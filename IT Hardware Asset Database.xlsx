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tables/table8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defaultThemeVersion="202300"/>
  <mc:AlternateContent xmlns:mc="http://schemas.openxmlformats.org/markup-compatibility/2006">
    <mc:Choice Requires="x15">
      <x15ac:absPath xmlns:x15ac="http://schemas.microsoft.com/office/spreadsheetml/2010/11/ac" url="https://pggti.sharepoint.com/sites/PT.PATIMBANGLOBALGATEWAYTERMINAL/Shared Documents/IT/Asset Management/"/>
    </mc:Choice>
  </mc:AlternateContent>
  <xr:revisionPtr revIDLastSave="4040" documentId="13_ncr:1_{F523C9C2-B659-4717-BDF0-9CBD10E2E7EB}" xr6:coauthVersionLast="47" xr6:coauthVersionMax="47" xr10:uidLastSave="{A513D806-B6DB-4AB3-851D-3B19BC9B6BA5}"/>
  <bookViews>
    <workbookView xWindow="-120" yWindow="-120" windowWidth="29040" windowHeight="15720" tabRatio="815" firstSheet="1" activeTab="2" xr2:uid="{EE77356D-4E87-42D0-A445-E8E6176DB6B3}"/>
  </bookViews>
  <sheets>
    <sheet name="Dashboard" sheetId="8" r:id="rId1"/>
    <sheet name="COMPUTER" sheetId="1" r:id="rId2"/>
    <sheet name="DISPLAY" sheetId="2" r:id="rId3"/>
    <sheet name="NETWORK-DEVICES" sheetId="4" r:id="rId4"/>
    <sheet name="PERIPHERAL" sheetId="5" r:id="rId5"/>
    <sheet name="UTILITIES" sheetId="6" r:id="rId6"/>
    <sheet name="IOT" sheetId="15" r:id="rId7"/>
    <sheet name="SERVER" sheetId="16" r:id="rId8"/>
    <sheet name="HANDOVER" sheetId="7" r:id="rId9"/>
    <sheet name="BASE-DATA" sheetId="13" r:id="rId10"/>
    <sheet name="CODEX" sheetId="3" r:id="rId11"/>
    <sheet name="LIST ASSET DATA" sheetId="9" state="hidden" r:id="rId12"/>
    <sheet name="Sample" sheetId="10" state="hidden" r:id="rId13"/>
    <sheet name="Asset Options" sheetId="12" state="hidden" r:id="rId14"/>
  </sheets>
  <definedNames>
    <definedName name="_xlnm._FilterDatabase" localSheetId="2" hidden="1">DISPLAY!$A$2:$AB$36</definedName>
    <definedName name="Cat_Computer">CODEX!$AL$2:$AL$17</definedName>
    <definedName name="Cat_Display">CODEX!$AM$2:$AM$17</definedName>
    <definedName name="Cat_IOT">CODEX!$AQ$2:$AQ$5</definedName>
    <definedName name="Cat_Network_Device">CODEX!$AN$2:$AN$17</definedName>
    <definedName name="Cat_Peripheral">CODEX!$AO$2:$AO$21</definedName>
    <definedName name="Cat_Server">CODEX!$AR$2:$AR$3</definedName>
    <definedName name="Cat_Utilities">CODEX!$AP$2:$AP$15</definedName>
    <definedName name="Category_List">CODEX!$AK$2:$AK$15</definedName>
    <definedName name="COMPUTER" localSheetId="6">IOT!$B$1</definedName>
    <definedName name="COMPUTER" localSheetId="7">SERVER!$B$1</definedName>
    <definedName name="COMPUTER">COMPUTER!$B$1</definedName>
    <definedName name="Owner_list">CODEX!$AI$1:$AI$6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7" i="7" l="1"/>
  <c r="B31" i="15"/>
  <c r="AK31" i="15" s="1"/>
  <c r="B38" i="15"/>
  <c r="AK38" i="15" s="1"/>
  <c r="B37" i="15"/>
  <c r="AK37" i="15" s="1"/>
  <c r="B36" i="15"/>
  <c r="AK36" i="15" s="1"/>
  <c r="B35" i="15"/>
  <c r="AK35" i="15" s="1"/>
  <c r="B34" i="15"/>
  <c r="AK34" i="15" s="1"/>
  <c r="B32" i="15"/>
  <c r="AK32" i="15" s="1"/>
  <c r="B33" i="15"/>
  <c r="AK33" i="15" s="1"/>
  <c r="B30" i="15"/>
  <c r="B29" i="15"/>
  <c r="AK29" i="15" s="1"/>
  <c r="B28" i="15"/>
  <c r="AK28" i="15" s="1"/>
  <c r="B27" i="15"/>
  <c r="AK27" i="15" s="1"/>
  <c r="B26" i="15"/>
  <c r="AK26" i="15" s="1"/>
  <c r="B25" i="15"/>
  <c r="B98" i="13"/>
  <c r="B97" i="13"/>
  <c r="B96" i="13"/>
  <c r="B95" i="13"/>
  <c r="B94" i="13"/>
  <c r="B93" i="13"/>
  <c r="B92" i="13"/>
  <c r="B91" i="13"/>
  <c r="C91" i="13" s="1"/>
  <c r="B90" i="13"/>
  <c r="B89" i="13"/>
  <c r="B88" i="13"/>
  <c r="B87" i="13"/>
  <c r="B86" i="13"/>
  <c r="B85" i="13"/>
  <c r="B84" i="13"/>
  <c r="B83" i="13"/>
  <c r="B82" i="13"/>
  <c r="B81" i="13"/>
  <c r="B80" i="13"/>
  <c r="B79" i="13"/>
  <c r="C79" i="13" s="1"/>
  <c r="B78" i="13"/>
  <c r="B77" i="13"/>
  <c r="B76" i="13"/>
  <c r="B75" i="13"/>
  <c r="B74" i="13"/>
  <c r="C63" i="13"/>
  <c r="C62" i="13"/>
  <c r="C61" i="13"/>
  <c r="C60" i="13"/>
  <c r="C8" i="13"/>
  <c r="B22" i="15"/>
  <c r="AK22" i="15" s="1"/>
  <c r="B23" i="15"/>
  <c r="AK23" i="15" s="1"/>
  <c r="B24" i="15"/>
  <c r="AK24" i="15" s="1"/>
  <c r="B21" i="15"/>
  <c r="AK21" i="15" s="1"/>
  <c r="B20" i="15"/>
  <c r="AK20" i="15" s="1"/>
  <c r="B15" i="15"/>
  <c r="AK15" i="15" s="1"/>
  <c r="B16" i="15"/>
  <c r="B17" i="15"/>
  <c r="AK17" i="15" s="1"/>
  <c r="B18" i="15"/>
  <c r="AK18" i="15" s="1"/>
  <c r="B19" i="15"/>
  <c r="AK19" i="15" s="1"/>
  <c r="C10" i="13"/>
  <c r="B14" i="15"/>
  <c r="AK14" i="15" s="1"/>
  <c r="B13" i="15"/>
  <c r="AK13" i="15" s="1"/>
  <c r="B27" i="4"/>
  <c r="A27" i="4" s="1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53" i="13"/>
  <c r="P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29" i="13"/>
  <c r="B52" i="13"/>
  <c r="F52" i="13" s="1"/>
  <c r="B53" i="13"/>
  <c r="F53" i="13" s="1"/>
  <c r="B51" i="13"/>
  <c r="F51" i="13" s="1"/>
  <c r="B30" i="13"/>
  <c r="B31" i="13"/>
  <c r="B32" i="13"/>
  <c r="B33" i="13"/>
  <c r="B34" i="13"/>
  <c r="B35" i="13"/>
  <c r="B36" i="13"/>
  <c r="B37" i="13"/>
  <c r="B38" i="13"/>
  <c r="B39" i="13"/>
  <c r="F39" i="13" s="1"/>
  <c r="B40" i="13"/>
  <c r="F40" i="13" s="1"/>
  <c r="B41" i="13"/>
  <c r="F41" i="13" s="1"/>
  <c r="B42" i="13"/>
  <c r="F42" i="13" s="1"/>
  <c r="B43" i="13"/>
  <c r="F43" i="13" s="1"/>
  <c r="B44" i="13"/>
  <c r="F44" i="13" s="1"/>
  <c r="B45" i="13"/>
  <c r="F45" i="13" s="1"/>
  <c r="B46" i="13"/>
  <c r="F46" i="13" s="1"/>
  <c r="B47" i="13"/>
  <c r="F47" i="13" s="1"/>
  <c r="B48" i="13"/>
  <c r="F48" i="13" s="1"/>
  <c r="B49" i="13"/>
  <c r="F49" i="13" s="1"/>
  <c r="B50" i="13"/>
  <c r="F50" i="13" s="1"/>
  <c r="B29" i="13"/>
  <c r="R47" i="7"/>
  <c r="Q23" i="13"/>
  <c r="Q22" i="13"/>
  <c r="Q21" i="13"/>
  <c r="Q20" i="13"/>
  <c r="Q19" i="13"/>
  <c r="L8" i="13" a="1"/>
  <c r="J9" i="13"/>
  <c r="J10" i="13"/>
  <c r="J11" i="13"/>
  <c r="J12" i="13"/>
  <c r="J13" i="13"/>
  <c r="J14" i="13"/>
  <c r="J8" i="13"/>
  <c r="F14" i="13"/>
  <c r="E14" i="13"/>
  <c r="D14" i="13"/>
  <c r="C14" i="13"/>
  <c r="F13" i="13"/>
  <c r="E13" i="13"/>
  <c r="D13" i="13"/>
  <c r="C13" i="13"/>
  <c r="Q49" i="7" a="1"/>
  <c r="Q50" i="7" a="1"/>
  <c r="Q51" i="7" a="1"/>
  <c r="Q52" i="7" a="1"/>
  <c r="Q53" i="7" a="1"/>
  <c r="Q54" i="7" a="1"/>
  <c r="Q55" i="7" a="1"/>
  <c r="Q56" i="7" a="1"/>
  <c r="Q57" i="7" a="1"/>
  <c r="Q58" i="7" a="1"/>
  <c r="Q59" i="7" a="1"/>
  <c r="Q60" i="7" a="1"/>
  <c r="Q61" i="7" a="1"/>
  <c r="Q62" i="7" a="1"/>
  <c r="Q63" i="7" a="1"/>
  <c r="Q64" i="7" a="1"/>
  <c r="Q65" i="7" a="1"/>
  <c r="Q66" i="7" a="1"/>
  <c r="Q67" i="7" a="1"/>
  <c r="Q68" i="7" a="1"/>
  <c r="Q69" i="7" a="1"/>
  <c r="Q70" i="7" a="1"/>
  <c r="Q71" i="7" a="1"/>
  <c r="Q72" i="7" a="1"/>
  <c r="Q73" i="7" a="1"/>
  <c r="Q74" i="7" a="1"/>
  <c r="Q75" i="7" a="1"/>
  <c r="Q76" i="7" a="1"/>
  <c r="Q77" i="7" a="1"/>
  <c r="Q78" i="7" a="1"/>
  <c r="Q79" i="7" a="1"/>
  <c r="Q80" i="7" a="1"/>
  <c r="Q81" i="7" a="1"/>
  <c r="Q82" i="7" a="1"/>
  <c r="Q83" i="7" a="1"/>
  <c r="Q84" i="7" a="1"/>
  <c r="Q85" i="7" a="1"/>
  <c r="Q86" i="7" a="1"/>
  <c r="Q87" i="7" a="1"/>
  <c r="Q88" i="7" a="1"/>
  <c r="Q89" i="7" a="1"/>
  <c r="Q90" i="7" a="1"/>
  <c r="Q91" i="7" a="1"/>
  <c r="Q92" i="7" a="1"/>
  <c r="Q93" i="7" a="1"/>
  <c r="Q94" i="7" a="1"/>
  <c r="Q95" i="7" a="1"/>
  <c r="Q96" i="7" a="1"/>
  <c r="Q97" i="7" a="1"/>
  <c r="Q98" i="7" a="1"/>
  <c r="Q99" i="7" a="1"/>
  <c r="Q100" i="7" a="1"/>
  <c r="Q101" i="7" a="1"/>
  <c r="Q102" i="7" a="1"/>
  <c r="Q103" i="7" a="1"/>
  <c r="Q104" i="7" a="1"/>
  <c r="Q105" i="7" a="1"/>
  <c r="Q106" i="7" a="1"/>
  <c r="Q107" i="7" a="1"/>
  <c r="Q108" i="7" a="1"/>
  <c r="Q109" i="7" a="1"/>
  <c r="Q110" i="7" a="1"/>
  <c r="Q111" i="7" a="1"/>
  <c r="Q112" i="7" a="1"/>
  <c r="Q113" i="7" a="1"/>
  <c r="Q114" i="7" a="1"/>
  <c r="Q115" i="7" a="1"/>
  <c r="Q116" i="7" a="1"/>
  <c r="Q117" i="7" a="1"/>
  <c r="Q118" i="7" a="1"/>
  <c r="Q119" i="7" a="1"/>
  <c r="Q120" i="7" a="1"/>
  <c r="Q121" i="7" a="1"/>
  <c r="Q122" i="7" a="1"/>
  <c r="Q123" i="7" a="1"/>
  <c r="Q124" i="7" a="1"/>
  <c r="Q125" i="7" a="1"/>
  <c r="Q126" i="7" a="1"/>
  <c r="Q127" i="7" a="1"/>
  <c r="Q128" i="7" a="1"/>
  <c r="Q129" i="7" a="1"/>
  <c r="Q130" i="7" a="1"/>
  <c r="Q131" i="7" a="1"/>
  <c r="Q132" i="7" a="1"/>
  <c r="Q133" i="7" a="1"/>
  <c r="Q134" i="7" a="1"/>
  <c r="Q135" i="7" a="1"/>
  <c r="Q136" i="7" a="1"/>
  <c r="Q137" i="7" a="1"/>
  <c r="Q138" i="7" a="1"/>
  <c r="Q139" i="7" a="1"/>
  <c r="Q140" i="7" a="1"/>
  <c r="Q141" i="7" a="1"/>
  <c r="Q142" i="7" a="1"/>
  <c r="Q143" i="7" a="1"/>
  <c r="Q144" i="7" a="1"/>
  <c r="Q145" i="7" a="1"/>
  <c r="Q146" i="7" a="1"/>
  <c r="Q147" i="7" a="1"/>
  <c r="Q148" i="7" a="1"/>
  <c r="Q149" i="7" a="1"/>
  <c r="Q150" i="7" a="1"/>
  <c r="Q151" i="7" a="1"/>
  <c r="Q152" i="7" a="1"/>
  <c r="Q153" i="7" a="1"/>
  <c r="Q154" i="7" a="1"/>
  <c r="Q155" i="7" a="1"/>
  <c r="Q156" i="7" a="1"/>
  <c r="Q157" i="7" a="1"/>
  <c r="Q158" i="7" a="1"/>
  <c r="Q159" i="7" a="1"/>
  <c r="Q160" i="7" a="1"/>
  <c r="Q161" i="7" a="1"/>
  <c r="Q162" i="7" a="1"/>
  <c r="Q163" i="7" a="1"/>
  <c r="Q164" i="7" a="1"/>
  <c r="Q165" i="7" a="1"/>
  <c r="Q166" i="7" a="1"/>
  <c r="Q167" i="7" a="1"/>
  <c r="Q168" i="7" a="1"/>
  <c r="Q169" i="7" a="1"/>
  <c r="Q170" i="7" a="1"/>
  <c r="Q171" i="7" a="1"/>
  <c r="Q172" i="7" a="1"/>
  <c r="Q173" i="7" a="1"/>
  <c r="Q174" i="7" a="1"/>
  <c r="Q175" i="7" a="1"/>
  <c r="Q176" i="7" a="1"/>
  <c r="Q177" i="7" a="1"/>
  <c r="Q178" i="7" a="1"/>
  <c r="Q179" i="7" a="1"/>
  <c r="Q180" i="7" a="1"/>
  <c r="Q181" i="7" a="1"/>
  <c r="Q182" i="7" a="1"/>
  <c r="Q183" i="7" a="1"/>
  <c r="Q184" i="7" a="1"/>
  <c r="Q185" i="7" a="1"/>
  <c r="Q186" i="7" a="1"/>
  <c r="Q187" i="7" a="1"/>
  <c r="Q188" i="7" a="1"/>
  <c r="Q189" i="7" a="1"/>
  <c r="Q190" i="7" a="1"/>
  <c r="Q191" i="7" a="1"/>
  <c r="Q192" i="7" a="1"/>
  <c r="Q193" i="7" a="1"/>
  <c r="Q194" i="7" a="1"/>
  <c r="Q195" i="7" a="1"/>
  <c r="Q196" i="7" a="1"/>
  <c r="Q197" i="7" a="1"/>
  <c r="Q198" i="7" a="1"/>
  <c r="Q199" i="7" a="1"/>
  <c r="Q200" i="7" a="1"/>
  <c r="Q201" i="7" a="1"/>
  <c r="Q202" i="7" a="1"/>
  <c r="Q203" i="7" a="1"/>
  <c r="Q204" i="7" a="1"/>
  <c r="Q205" i="7" a="1"/>
  <c r="Q206" i="7" a="1"/>
  <c r="Q207" i="7" a="1"/>
  <c r="Q208" i="7" a="1"/>
  <c r="Q209" i="7" a="1"/>
  <c r="Q210" i="7" a="1"/>
  <c r="Q211" i="7" a="1"/>
  <c r="Q212" i="7" a="1"/>
  <c r="Q213" i="7" a="1"/>
  <c r="Q214" i="7" a="1"/>
  <c r="Q215" i="7" a="1"/>
  <c r="Q216" i="7" a="1"/>
  <c r="Q217" i="7" a="1"/>
  <c r="Q218" i="7" a="1"/>
  <c r="Q219" i="7" a="1"/>
  <c r="Q220" i="7" a="1"/>
  <c r="Q221" i="7" a="1"/>
  <c r="Q222" i="7" a="1"/>
  <c r="Q223" i="7" a="1"/>
  <c r="Q224" i="7" a="1"/>
  <c r="Q225" i="7" a="1"/>
  <c r="Q226" i="7" a="1"/>
  <c r="Q227" i="7" a="1"/>
  <c r="Q228" i="7" a="1"/>
  <c r="Q229" i="7" a="1"/>
  <c r="Q230" i="7" a="1"/>
  <c r="Q231" i="7" a="1"/>
  <c r="Q232" i="7" a="1"/>
  <c r="Q233" i="7" a="1"/>
  <c r="Q234" i="7" a="1"/>
  <c r="Q235" i="7" a="1"/>
  <c r="Q236" i="7" a="1"/>
  <c r="Q237" i="7" a="1"/>
  <c r="Q238" i="7" a="1"/>
  <c r="Q239" i="7" a="1"/>
  <c r="Q240" i="7" a="1"/>
  <c r="Q241" i="7" a="1"/>
  <c r="Q242" i="7" a="1"/>
  <c r="Q243" i="7" a="1"/>
  <c r="Q244" i="7" a="1"/>
  <c r="Q245" i="7" a="1"/>
  <c r="Q246" i="7" a="1"/>
  <c r="Q247" i="7" a="1"/>
  <c r="Q248" i="7" a="1"/>
  <c r="Q249" i="7" a="1"/>
  <c r="Q250" i="7" a="1"/>
  <c r="Q251" i="7" a="1"/>
  <c r="Q252" i="7" a="1"/>
  <c r="Q253" i="7" a="1"/>
  <c r="Q254" i="7" a="1"/>
  <c r="Q255" i="7" a="1"/>
  <c r="Q256" i="7" a="1"/>
  <c r="Q257" i="7" a="1"/>
  <c r="Q258" i="7" a="1"/>
  <c r="Q259" i="7" a="1"/>
  <c r="Q260" i="7" a="1"/>
  <c r="Q261" i="7" a="1"/>
  <c r="Q262" i="7" a="1"/>
  <c r="Q263" i="7" a="1"/>
  <c r="Q264" i="7" a="1"/>
  <c r="Q265" i="7" a="1"/>
  <c r="Q266" i="7" a="1"/>
  <c r="Q267" i="7" a="1"/>
  <c r="Q268" i="7" a="1"/>
  <c r="Q269" i="7" a="1"/>
  <c r="Q270" i="7" a="1"/>
  <c r="Q271" i="7" a="1"/>
  <c r="Q272" i="7" a="1"/>
  <c r="Q273" i="7" a="1"/>
  <c r="Q274" i="7" a="1"/>
  <c r="Q275" i="7" a="1"/>
  <c r="Q276" i="7" a="1"/>
  <c r="Q277" i="7" a="1"/>
  <c r="Q278" i="7" a="1"/>
  <c r="Q279" i="7" a="1"/>
  <c r="Q280" i="7" a="1"/>
  <c r="Q281" i="7" a="1"/>
  <c r="Q282" i="7" a="1"/>
  <c r="Q283" i="7" a="1"/>
  <c r="Q284" i="7" a="1"/>
  <c r="Q285" i="7" a="1"/>
  <c r="Q286" i="7" a="1"/>
  <c r="Q287" i="7" a="1"/>
  <c r="Q288" i="7" a="1"/>
  <c r="Q289" i="7" a="1"/>
  <c r="Q290" i="7" a="1"/>
  <c r="Q291" i="7" a="1"/>
  <c r="Q292" i="7" a="1"/>
  <c r="Q293" i="7" a="1"/>
  <c r="Q294" i="7" a="1"/>
  <c r="Q295" i="7" a="1"/>
  <c r="Q296" i="7" a="1"/>
  <c r="Q297" i="7" a="1"/>
  <c r="Q298" i="7" a="1"/>
  <c r="Q299" i="7" a="1"/>
  <c r="Q300" i="7" a="1"/>
  <c r="Q301" i="7" a="1"/>
  <c r="Q302" i="7" a="1"/>
  <c r="Q303" i="7" a="1"/>
  <c r="Q304" i="7" a="1"/>
  <c r="Q305" i="7" a="1"/>
  <c r="Q306" i="7" a="1"/>
  <c r="Q307" i="7" a="1"/>
  <c r="Q308" i="7" a="1"/>
  <c r="Q309" i="7" a="1"/>
  <c r="Q310" i="7" a="1"/>
  <c r="Q311" i="7" a="1"/>
  <c r="Q312" i="7" a="1"/>
  <c r="Q313" i="7" a="1"/>
  <c r="Q314" i="7" a="1"/>
  <c r="Q315" i="7" a="1"/>
  <c r="Q316" i="7" a="1"/>
  <c r="Q317" i="7" a="1"/>
  <c r="Q318" i="7" a="1"/>
  <c r="Q319" i="7" a="1"/>
  <c r="Q320" i="7" a="1"/>
  <c r="Q321" i="7" a="1"/>
  <c r="Q322" i="7" a="1"/>
  <c r="Q323" i="7" a="1"/>
  <c r="Q324" i="7" a="1"/>
  <c r="Q325" i="7" a="1"/>
  <c r="Q326" i="7" a="1"/>
  <c r="Q327" i="7" a="1"/>
  <c r="Q328" i="7" a="1"/>
  <c r="Q329" i="7" a="1"/>
  <c r="Q330" i="7" a="1"/>
  <c r="Q331" i="7" a="1"/>
  <c r="Q332" i="7" a="1"/>
  <c r="Q333" i="7" a="1"/>
  <c r="Q334" i="7" a="1"/>
  <c r="Q335" i="7" a="1"/>
  <c r="Q336" i="7" a="1"/>
  <c r="Q337" i="7" a="1"/>
  <c r="Q338" i="7" a="1"/>
  <c r="Q339" i="7" a="1"/>
  <c r="Q340" i="7" a="1"/>
  <c r="Q341" i="7" a="1"/>
  <c r="Q342" i="7" a="1"/>
  <c r="Q343" i="7" a="1"/>
  <c r="Q344" i="7" a="1"/>
  <c r="Q345" i="7" a="1"/>
  <c r="Q346" i="7" a="1"/>
  <c r="Q347" i="7" a="1"/>
  <c r="Q348" i="7" a="1"/>
  <c r="Q349" i="7" a="1"/>
  <c r="Q350" i="7" a="1"/>
  <c r="Q351" i="7" a="1"/>
  <c r="Q352" i="7" a="1"/>
  <c r="Q353" i="7" a="1"/>
  <c r="Q354" i="7" a="1"/>
  <c r="Q355" i="7" a="1"/>
  <c r="Q356" i="7" a="1"/>
  <c r="Q357" i="7" a="1"/>
  <c r="Q358" i="7" a="1"/>
  <c r="Q359" i="7" a="1"/>
  <c r="Q360" i="7" a="1"/>
  <c r="Q361" i="7" a="1"/>
  <c r="Q362" i="7" a="1"/>
  <c r="Q363" i="7" a="1"/>
  <c r="Q364" i="7" a="1"/>
  <c r="Q365" i="7" a="1"/>
  <c r="Q366" i="7" a="1"/>
  <c r="Q367" i="7" a="1"/>
  <c r="Q368" i="7" a="1"/>
  <c r="Q369" i="7" a="1"/>
  <c r="Q370" i="7" a="1"/>
  <c r="Q371" i="7" a="1"/>
  <c r="Q372" i="7" a="1"/>
  <c r="Q373" i="7" a="1"/>
  <c r="Q374" i="7" a="1"/>
  <c r="Q375" i="7" a="1"/>
  <c r="Q376" i="7" a="1"/>
  <c r="Q377" i="7" a="1"/>
  <c r="Q378" i="7" a="1"/>
  <c r="Q379" i="7" a="1"/>
  <c r="Q380" i="7" a="1"/>
  <c r="Q381" i="7" a="1"/>
  <c r="Q382" i="7" a="1"/>
  <c r="Q383" i="7" a="1"/>
  <c r="Q384" i="7" a="1"/>
  <c r="Q385" i="7" a="1"/>
  <c r="Q386" i="7" a="1"/>
  <c r="Q387" i="7" a="1"/>
  <c r="Q388" i="7" a="1"/>
  <c r="Q389" i="7" a="1"/>
  <c r="Q390" i="7" a="1"/>
  <c r="Q391" i="7" a="1"/>
  <c r="Q392" i="7" a="1"/>
  <c r="Q393" i="7" a="1"/>
  <c r="Q394" i="7" a="1"/>
  <c r="Q395" i="7" a="1"/>
  <c r="Q396" i="7" a="1"/>
  <c r="Q397" i="7" a="1"/>
  <c r="Q398" i="7" a="1"/>
  <c r="Q399" i="7" a="1"/>
  <c r="Q400" i="7" a="1"/>
  <c r="Q401" i="7" a="1"/>
  <c r="Q402" i="7" a="1"/>
  <c r="Q403" i="7" a="1"/>
  <c r="Q404" i="7" a="1"/>
  <c r="Q405" i="7" a="1"/>
  <c r="Q406" i="7" a="1"/>
  <c r="Q407" i="7" a="1"/>
  <c r="Q408" i="7" a="1"/>
  <c r="Q409" i="7" a="1"/>
  <c r="Q410" i="7" a="1"/>
  <c r="Q411" i="7" a="1"/>
  <c r="Q412" i="7" a="1"/>
  <c r="Q413" i="7" a="1"/>
  <c r="Q414" i="7" a="1"/>
  <c r="Q415" i="7" a="1"/>
  <c r="Q416" i="7" a="1"/>
  <c r="Q417" i="7" a="1"/>
  <c r="Q418" i="7" a="1"/>
  <c r="Q419" i="7" a="1"/>
  <c r="Q420" i="7" a="1"/>
  <c r="Q421" i="7" a="1"/>
  <c r="Q422" i="7" a="1"/>
  <c r="Q423" i="7" a="1"/>
  <c r="Q424" i="7" a="1"/>
  <c r="Q425" i="7" a="1"/>
  <c r="Q426" i="7" a="1"/>
  <c r="Q427" i="7" a="1"/>
  <c r="Q428" i="7" a="1"/>
  <c r="Q429" i="7" a="1"/>
  <c r="Q430" i="7" a="1"/>
  <c r="Q431" i="7" a="1"/>
  <c r="Q432" i="7" a="1"/>
  <c r="Q433" i="7" a="1"/>
  <c r="Q434" i="7" a="1"/>
  <c r="Q435" i="7" a="1"/>
  <c r="Q436" i="7" a="1"/>
  <c r="Q437" i="7" a="1"/>
  <c r="Q438" i="7" a="1"/>
  <c r="Q439" i="7" a="1"/>
  <c r="Q440" i="7" a="1"/>
  <c r="Q441" i="7" a="1"/>
  <c r="Q442" i="7" a="1"/>
  <c r="Q443" i="7" a="1"/>
  <c r="Q444" i="7" a="1"/>
  <c r="Q445" i="7" a="1"/>
  <c r="Q446" i="7" a="1"/>
  <c r="Q447" i="7" a="1"/>
  <c r="Q448" i="7" a="1"/>
  <c r="Q449" i="7" a="1"/>
  <c r="Q450" i="7" a="1"/>
  <c r="Q451" i="7" a="1"/>
  <c r="Q452" i="7" a="1"/>
  <c r="Q453" i="7" a="1"/>
  <c r="Q454" i="7" a="1"/>
  <c r="Q455" i="7" a="1"/>
  <c r="Q456" i="7" a="1"/>
  <c r="Q457" i="7" a="1"/>
  <c r="Q458" i="7" a="1"/>
  <c r="Q459" i="7" a="1"/>
  <c r="Q460" i="7" a="1"/>
  <c r="Q461" i="7" a="1"/>
  <c r="Q462" i="7" a="1"/>
  <c r="Q463" i="7" a="1"/>
  <c r="Q464" i="7" a="1"/>
  <c r="Q465" i="7" a="1"/>
  <c r="Q466" i="7" a="1"/>
  <c r="Q467" i="7" a="1"/>
  <c r="Q468" i="7" a="1"/>
  <c r="Q469" i="7" a="1"/>
  <c r="Q470" i="7" a="1"/>
  <c r="Q471" i="7" a="1"/>
  <c r="Q472" i="7" a="1"/>
  <c r="Q473" i="7" a="1"/>
  <c r="Q474" i="7" a="1"/>
  <c r="Q475" i="7" a="1"/>
  <c r="Q476" i="7" a="1"/>
  <c r="Q477" i="7" a="1"/>
  <c r="Q478" i="7" a="1"/>
  <c r="Q479" i="7" a="1"/>
  <c r="Q480" i="7" a="1"/>
  <c r="Q481" i="7" a="1"/>
  <c r="Q482" i="7" a="1"/>
  <c r="Q483" i="7" a="1"/>
  <c r="Q484" i="7" a="1"/>
  <c r="Q485" i="7" a="1"/>
  <c r="Q486" i="7" a="1"/>
  <c r="Q487" i="7" a="1"/>
  <c r="Q488" i="7" a="1"/>
  <c r="Q489" i="7" a="1"/>
  <c r="Q490" i="7" a="1"/>
  <c r="Q491" i="7" a="1"/>
  <c r="Q492" i="7" a="1"/>
  <c r="Q493" i="7" a="1"/>
  <c r="Q494" i="7" a="1"/>
  <c r="Q495" i="7" a="1"/>
  <c r="Q496" i="7" a="1"/>
  <c r="Q497" i="7" a="1"/>
  <c r="Q498" i="7" a="1"/>
  <c r="Q499" i="7" a="1"/>
  <c r="Q500" i="7" a="1"/>
  <c r="Q501" i="7" a="1"/>
  <c r="Q502" i="7" a="1"/>
  <c r="Q503" i="7" a="1"/>
  <c r="Q504" i="7" a="1"/>
  <c r="Q505" i="7" a="1"/>
  <c r="Q506" i="7" a="1"/>
  <c r="Q507" i="7" a="1"/>
  <c r="Q508" i="7" a="1"/>
  <c r="Q509" i="7" a="1"/>
  <c r="Q510" i="7" a="1"/>
  <c r="Q511" i="7" a="1"/>
  <c r="Q512" i="7" a="1"/>
  <c r="Q513" i="7" a="1"/>
  <c r="Q514" i="7" a="1"/>
  <c r="Q515" i="7" a="1"/>
  <c r="Q516" i="7" a="1"/>
  <c r="Q517" i="7" a="1"/>
  <c r="Q518" i="7" a="1"/>
  <c r="Q519" i="7" a="1"/>
  <c r="Q520" i="7" a="1"/>
  <c r="Q521" i="7" a="1"/>
  <c r="Q522" i="7" a="1"/>
  <c r="Q523" i="7" a="1"/>
  <c r="Q524" i="7" a="1"/>
  <c r="Q525" i="7" a="1"/>
  <c r="Q526" i="7" a="1"/>
  <c r="Q527" i="7" a="1"/>
  <c r="Q528" i="7" a="1"/>
  <c r="Q529" i="7" a="1"/>
  <c r="Q530" i="7" a="1"/>
  <c r="Q531" i="7" a="1"/>
  <c r="Q532" i="7" a="1"/>
  <c r="Q533" i="7" a="1"/>
  <c r="Q534" i="7" a="1"/>
  <c r="Q535" i="7" a="1"/>
  <c r="Q536" i="7" a="1"/>
  <c r="Q537" i="7" a="1"/>
  <c r="Q538" i="7" a="1"/>
  <c r="Q539" i="7" a="1"/>
  <c r="Q540" i="7" a="1"/>
  <c r="Q541" i="7" a="1"/>
  <c r="Q542" i="7" a="1"/>
  <c r="Q543" i="7" a="1"/>
  <c r="Q544" i="7" a="1"/>
  <c r="Q545" i="7" a="1"/>
  <c r="Q546" i="7" a="1"/>
  <c r="Q547" i="7" a="1"/>
  <c r="Q548" i="7" a="1"/>
  <c r="Q549" i="7" a="1"/>
  <c r="Q550" i="7" a="1"/>
  <c r="Q551" i="7" a="1"/>
  <c r="Q552" i="7" a="1"/>
  <c r="Q553" i="7" a="1"/>
  <c r="Q554" i="7" a="1"/>
  <c r="Q555" i="7" a="1"/>
  <c r="Q556" i="7" a="1"/>
  <c r="Q557" i="7" a="1"/>
  <c r="Q558" i="7" a="1"/>
  <c r="Q559" i="7" a="1"/>
  <c r="Q560" i="7" a="1"/>
  <c r="Q561" i="7" a="1"/>
  <c r="Q562" i="7" a="1"/>
  <c r="Q563" i="7" a="1"/>
  <c r="Q564" i="7" a="1"/>
  <c r="Q565" i="7" a="1"/>
  <c r="Q566" i="7" a="1"/>
  <c r="Q567" i="7" a="1"/>
  <c r="Q568" i="7" a="1"/>
  <c r="Q569" i="7" a="1"/>
  <c r="Q570" i="7" a="1"/>
  <c r="Q571" i="7" a="1"/>
  <c r="Q572" i="7" a="1"/>
  <c r="Q573" i="7" a="1"/>
  <c r="Q574" i="7" a="1"/>
  <c r="Q575" i="7" a="1"/>
  <c r="Q576" i="7" a="1"/>
  <c r="Q577" i="7" a="1"/>
  <c r="Q578" i="7" a="1"/>
  <c r="Q579" i="7" a="1"/>
  <c r="Q580" i="7" a="1"/>
  <c r="Q581" i="7" a="1"/>
  <c r="Q582" i="7" a="1"/>
  <c r="Q583" i="7" a="1"/>
  <c r="Q584" i="7" a="1"/>
  <c r="Q585" i="7" a="1"/>
  <c r="Q586" i="7" a="1"/>
  <c r="Q587" i="7" a="1"/>
  <c r="Q588" i="7" a="1"/>
  <c r="Q589" i="7" a="1"/>
  <c r="Q590" i="7" a="1"/>
  <c r="Q591" i="7" a="1"/>
  <c r="Q592" i="7" a="1"/>
  <c r="Q593" i="7" a="1"/>
  <c r="Q594" i="7" a="1"/>
  <c r="Q595" i="7" a="1"/>
  <c r="Q596" i="7" a="1"/>
  <c r="Q597" i="7" a="1"/>
  <c r="Q598" i="7" a="1"/>
  <c r="Q599" i="7" a="1"/>
  <c r="Q600" i="7" a="1"/>
  <c r="Q601" i="7" a="1"/>
  <c r="Q602" i="7" a="1"/>
  <c r="Q603" i="7" a="1"/>
  <c r="Q604" i="7" a="1"/>
  <c r="Q605" i="7" a="1"/>
  <c r="Q606" i="7" a="1"/>
  <c r="Q607" i="7" a="1"/>
  <c r="Q608" i="7" a="1"/>
  <c r="Q609" i="7" a="1"/>
  <c r="Q610" i="7" a="1"/>
  <c r="Q611" i="7" a="1"/>
  <c r="Q612" i="7" a="1"/>
  <c r="Q613" i="7" a="1"/>
  <c r="Q614" i="7" a="1"/>
  <c r="Q615" i="7" a="1"/>
  <c r="Q616" i="7" a="1"/>
  <c r="Q617" i="7" a="1"/>
  <c r="Q618" i="7" a="1"/>
  <c r="Q619" i="7" a="1"/>
  <c r="Q620" i="7" a="1"/>
  <c r="Q621" i="7" a="1"/>
  <c r="Q622" i="7" a="1"/>
  <c r="Q623" i="7" a="1"/>
  <c r="Q624" i="7" a="1"/>
  <c r="Q625" i="7" a="1"/>
  <c r="Q626" i="7" a="1"/>
  <c r="Q627" i="7" a="1"/>
  <c r="Q628" i="7" a="1"/>
  <c r="Q629" i="7" a="1"/>
  <c r="Q630" i="7" a="1"/>
  <c r="Q631" i="7" a="1"/>
  <c r="Q632" i="7" a="1"/>
  <c r="Q633" i="7" a="1"/>
  <c r="Q634" i="7" a="1"/>
  <c r="Q635" i="7" a="1"/>
  <c r="Q636" i="7" a="1"/>
  <c r="Q637" i="7" a="1"/>
  <c r="Q638" i="7" a="1"/>
  <c r="Q639" i="7" a="1"/>
  <c r="Q640" i="7" a="1"/>
  <c r="Q641" i="7" a="1"/>
  <c r="Q642" i="7" a="1"/>
  <c r="Q643" i="7" a="1"/>
  <c r="Q644" i="7" a="1"/>
  <c r="Q645" i="7" a="1"/>
  <c r="Q646" i="7" a="1"/>
  <c r="Q647" i="7" a="1"/>
  <c r="Q648" i="7" a="1"/>
  <c r="Q649" i="7" a="1"/>
  <c r="Q650" i="7" a="1"/>
  <c r="Q651" i="7" a="1"/>
  <c r="Q652" i="7" a="1"/>
  <c r="Q653" i="7" a="1"/>
  <c r="Q654" i="7" a="1"/>
  <c r="Q655" i="7" a="1"/>
  <c r="Q656" i="7" a="1"/>
  <c r="Q657" i="7" a="1"/>
  <c r="Q658" i="7" a="1"/>
  <c r="Q659" i="7" a="1"/>
  <c r="Q660" i="7" a="1"/>
  <c r="Q661" i="7" a="1"/>
  <c r="Q662" i="7" a="1"/>
  <c r="Q663" i="7" a="1"/>
  <c r="Q664" i="7" a="1"/>
  <c r="Q665" i="7" a="1"/>
  <c r="Q666" i="7" a="1"/>
  <c r="Q667" i="7" a="1"/>
  <c r="Q668" i="7" a="1"/>
  <c r="Q669" i="7" a="1"/>
  <c r="Q670" i="7" a="1"/>
  <c r="Q671" i="7" a="1"/>
  <c r="Q672" i="7" a="1"/>
  <c r="Q673" i="7" a="1"/>
  <c r="Q674" i="7" a="1"/>
  <c r="Q675" i="7" a="1"/>
  <c r="Q676" i="7" a="1"/>
  <c r="Q677" i="7" a="1"/>
  <c r="Q678" i="7" a="1"/>
  <c r="Q679" i="7" a="1"/>
  <c r="Q680" i="7" a="1"/>
  <c r="Q681" i="7" a="1"/>
  <c r="Q682" i="7" a="1"/>
  <c r="Q683" i="7" a="1"/>
  <c r="Q684" i="7" a="1"/>
  <c r="Q685" i="7" a="1"/>
  <c r="Q686" i="7" a="1"/>
  <c r="Q687" i="7" a="1"/>
  <c r="Q688" i="7" a="1"/>
  <c r="Q689" i="7" a="1"/>
  <c r="Q690" i="7" a="1"/>
  <c r="Q691" i="7" a="1"/>
  <c r="Q692" i="7" a="1"/>
  <c r="Q693" i="7" a="1"/>
  <c r="Q694" i="7" a="1"/>
  <c r="Q695" i="7" a="1"/>
  <c r="Q696" i="7" a="1"/>
  <c r="Q697" i="7" a="1"/>
  <c r="Q698" i="7" a="1"/>
  <c r="Q699" i="7" a="1"/>
  <c r="Q700" i="7" a="1"/>
  <c r="Q701" i="7" a="1"/>
  <c r="Q702" i="7" a="1"/>
  <c r="Q703" i="7" a="1"/>
  <c r="Q704" i="7" a="1"/>
  <c r="Q705" i="7" a="1"/>
  <c r="Q706" i="7" a="1"/>
  <c r="Q707" i="7" a="1"/>
  <c r="Q708" i="7" a="1"/>
  <c r="Q709" i="7" a="1"/>
  <c r="Q710" i="7" a="1"/>
  <c r="Q711" i="7" a="1"/>
  <c r="Q712" i="7" a="1"/>
  <c r="Q713" i="7" a="1"/>
  <c r="Q714" i="7" a="1"/>
  <c r="Q715" i="7" a="1"/>
  <c r="Q716" i="7" a="1"/>
  <c r="Q717" i="7" a="1"/>
  <c r="Q718" i="7" a="1"/>
  <c r="Q719" i="7" a="1"/>
  <c r="Q720" i="7" a="1"/>
  <c r="Q721" i="7" a="1"/>
  <c r="Q722" i="7" a="1"/>
  <c r="Q723" i="7" a="1"/>
  <c r="Q724" i="7" a="1"/>
  <c r="Q725" i="7" a="1"/>
  <c r="Q726" i="7" a="1"/>
  <c r="Q727" i="7" a="1"/>
  <c r="Q728" i="7" a="1"/>
  <c r="Q729" i="7" a="1"/>
  <c r="Q730" i="7" a="1"/>
  <c r="Q731" i="7" a="1"/>
  <c r="Q732" i="7" a="1"/>
  <c r="Q733" i="7" a="1"/>
  <c r="Q734" i="7" a="1"/>
  <c r="Q735" i="7" a="1"/>
  <c r="Q736" i="7" a="1"/>
  <c r="Q737" i="7" a="1"/>
  <c r="Q738" i="7" a="1"/>
  <c r="Q739" i="7" a="1"/>
  <c r="Q740" i="7" a="1"/>
  <c r="Q741" i="7" a="1"/>
  <c r="Q742" i="7" a="1"/>
  <c r="Q743" i="7" a="1"/>
  <c r="Q744" i="7" a="1"/>
  <c r="Q745" i="7" a="1"/>
  <c r="Q746" i="7" a="1"/>
  <c r="Q747" i="7" a="1"/>
  <c r="Q748" i="7" a="1"/>
  <c r="Q749" i="7" a="1"/>
  <c r="Q750" i="7" a="1"/>
  <c r="Q751" i="7" a="1"/>
  <c r="Q752" i="7" a="1"/>
  <c r="Q753" i="7" a="1"/>
  <c r="Q754" i="7" a="1"/>
  <c r="Q755" i="7" a="1"/>
  <c r="Q756" i="7" a="1"/>
  <c r="Q757" i="7" a="1"/>
  <c r="Q758" i="7" a="1"/>
  <c r="Q759" i="7" a="1"/>
  <c r="Q760" i="7" a="1"/>
  <c r="Q761" i="7" a="1"/>
  <c r="Q762" i="7" a="1"/>
  <c r="Q763" i="7" a="1"/>
  <c r="Q764" i="7" a="1"/>
  <c r="Q765" i="7" a="1"/>
  <c r="Q766" i="7" a="1"/>
  <c r="Q767" i="7" a="1"/>
  <c r="Q768" i="7" a="1"/>
  <c r="Q769" i="7" a="1"/>
  <c r="Q770" i="7" a="1"/>
  <c r="Q771" i="7" a="1"/>
  <c r="Q772" i="7" a="1"/>
  <c r="Q773" i="7" a="1"/>
  <c r="Q774" i="7" a="1"/>
  <c r="Q775" i="7" a="1"/>
  <c r="Q776" i="7" a="1"/>
  <c r="Q777" i="7" a="1"/>
  <c r="Q778" i="7" a="1"/>
  <c r="Q779" i="7" a="1"/>
  <c r="Q780" i="7" a="1"/>
  <c r="Q781" i="7" a="1"/>
  <c r="Q782" i="7" a="1"/>
  <c r="Q783" i="7" a="1"/>
  <c r="Q784" i="7" a="1"/>
  <c r="Q785" i="7" a="1"/>
  <c r="Q786" i="7" a="1"/>
  <c r="Q787" i="7" a="1"/>
  <c r="Q788" i="7" a="1"/>
  <c r="Q789" i="7" a="1"/>
  <c r="Q790" i="7" a="1"/>
  <c r="Q791" i="7" a="1"/>
  <c r="Q792" i="7" a="1"/>
  <c r="Q793" i="7" a="1"/>
  <c r="Q794" i="7" a="1"/>
  <c r="Q795" i="7" a="1"/>
  <c r="Q796" i="7" a="1"/>
  <c r="Q797" i="7" a="1"/>
  <c r="Q798" i="7" a="1"/>
  <c r="Q799" i="7" a="1"/>
  <c r="Q800" i="7" a="1"/>
  <c r="Q801" i="7" a="1"/>
  <c r="Q802" i="7" a="1"/>
  <c r="Q803" i="7" a="1"/>
  <c r="Q804" i="7" a="1"/>
  <c r="Q805" i="7" a="1"/>
  <c r="Q806" i="7" a="1"/>
  <c r="Q807" i="7" a="1"/>
  <c r="Q808" i="7" a="1"/>
  <c r="Q809" i="7" a="1"/>
  <c r="Q810" i="7" a="1"/>
  <c r="Q811" i="7" a="1"/>
  <c r="Q812" i="7" a="1"/>
  <c r="Q813" i="7" a="1"/>
  <c r="Q814" i="7" a="1"/>
  <c r="Q815" i="7" a="1"/>
  <c r="Q816" i="7" a="1"/>
  <c r="Q817" i="7" a="1"/>
  <c r="Q818" i="7" a="1"/>
  <c r="Q819" i="7" a="1"/>
  <c r="Q820" i="7" a="1"/>
  <c r="Q821" i="7" a="1"/>
  <c r="Q822" i="7" a="1"/>
  <c r="Q823" i="7" a="1"/>
  <c r="Q824" i="7" a="1"/>
  <c r="Q825" i="7" a="1"/>
  <c r="Q826" i="7" a="1"/>
  <c r="Q827" i="7" a="1"/>
  <c r="Q828" i="7" a="1"/>
  <c r="Q829" i="7" a="1"/>
  <c r="Q830" i="7" a="1"/>
  <c r="Q831" i="7" a="1"/>
  <c r="Q832" i="7" a="1"/>
  <c r="Q833" i="7" a="1"/>
  <c r="Q834" i="7" a="1"/>
  <c r="Q835" i="7" a="1"/>
  <c r="Q836" i="7" a="1"/>
  <c r="Q837" i="7" a="1"/>
  <c r="Q838" i="7" a="1"/>
  <c r="Q839" i="7" a="1"/>
  <c r="Q840" i="7" a="1"/>
  <c r="Q841" i="7" a="1"/>
  <c r="Q842" i="7" a="1"/>
  <c r="Q843" i="7" a="1"/>
  <c r="Q844" i="7" a="1"/>
  <c r="Q845" i="7" a="1"/>
  <c r="Q846" i="7" a="1"/>
  <c r="Q847" i="7" a="1"/>
  <c r="Q848" i="7" a="1"/>
  <c r="Q849" i="7" a="1"/>
  <c r="Q850" i="7" a="1"/>
  <c r="Q851" i="7" a="1"/>
  <c r="Q852" i="7" a="1"/>
  <c r="Q853" i="7" a="1"/>
  <c r="Q854" i="7" a="1"/>
  <c r="Q855" i="7" a="1"/>
  <c r="Q856" i="7" a="1"/>
  <c r="Q857" i="7" a="1"/>
  <c r="Q858" i="7" a="1"/>
  <c r="Q859" i="7" a="1"/>
  <c r="Q860" i="7" a="1"/>
  <c r="Q861" i="7" a="1"/>
  <c r="Q862" i="7" a="1"/>
  <c r="Q863" i="7" a="1"/>
  <c r="Q864" i="7" a="1"/>
  <c r="Q865" i="7" a="1"/>
  <c r="Q866" i="7" a="1"/>
  <c r="Q867" i="7" a="1"/>
  <c r="Q868" i="7" a="1"/>
  <c r="Q869" i="7" a="1"/>
  <c r="Q870" i="7" a="1"/>
  <c r="Q871" i="7" a="1"/>
  <c r="Q872" i="7" a="1"/>
  <c r="Q873" i="7" a="1"/>
  <c r="Q874" i="7" a="1"/>
  <c r="Q875" i="7" a="1"/>
  <c r="Q876" i="7" a="1"/>
  <c r="Q877" i="7" a="1"/>
  <c r="Q878" i="7" a="1"/>
  <c r="Q879" i="7" a="1"/>
  <c r="Q880" i="7" a="1"/>
  <c r="Q881" i="7" a="1"/>
  <c r="Q882" i="7" a="1"/>
  <c r="Q883" i="7" a="1"/>
  <c r="Q884" i="7" a="1"/>
  <c r="Q885" i="7" a="1"/>
  <c r="Q886" i="7" a="1"/>
  <c r="Q887" i="7" a="1"/>
  <c r="Q888" i="7" a="1"/>
  <c r="Q889" i="7" a="1"/>
  <c r="Q890" i="7" a="1"/>
  <c r="Q891" i="7" a="1"/>
  <c r="Q892" i="7" a="1"/>
  <c r="Q893" i="7" a="1"/>
  <c r="Q894" i="7" a="1"/>
  <c r="Q895" i="7" a="1"/>
  <c r="Q896" i="7" a="1"/>
  <c r="Q897" i="7" a="1"/>
  <c r="Q898" i="7" a="1"/>
  <c r="Q899" i="7" a="1"/>
  <c r="Q900" i="7" a="1"/>
  <c r="Q901" i="7" a="1"/>
  <c r="Q902" i="7" a="1"/>
  <c r="Q903" i="7" a="1"/>
  <c r="Q904" i="7" a="1"/>
  <c r="Q905" i="7" a="1"/>
  <c r="Q906" i="7" a="1"/>
  <c r="Q907" i="7" a="1"/>
  <c r="Q908" i="7" a="1"/>
  <c r="Q909" i="7" a="1"/>
  <c r="Q910" i="7" a="1"/>
  <c r="Q911" i="7" a="1"/>
  <c r="Q912" i="7" a="1"/>
  <c r="Q913" i="7" a="1"/>
  <c r="Q914" i="7" a="1"/>
  <c r="Q915" i="7" a="1"/>
  <c r="Q916" i="7" a="1"/>
  <c r="Q917" i="7" a="1"/>
  <c r="Q918" i="7" a="1"/>
  <c r="Q919" i="7" a="1"/>
  <c r="Q920" i="7" a="1"/>
  <c r="Q921" i="7" a="1"/>
  <c r="Q922" i="7" a="1"/>
  <c r="Q923" i="7" a="1"/>
  <c r="Q924" i="7" a="1"/>
  <c r="Q925" i="7" a="1"/>
  <c r="Q926" i="7" a="1"/>
  <c r="Q927" i="7" a="1"/>
  <c r="Q928" i="7" a="1"/>
  <c r="Q929" i="7" a="1"/>
  <c r="Q930" i="7" a="1"/>
  <c r="Q931" i="7" a="1"/>
  <c r="Q932" i="7" a="1"/>
  <c r="Q933" i="7" a="1"/>
  <c r="Q934" i="7" a="1"/>
  <c r="Q935" i="7" a="1"/>
  <c r="Q936" i="7" a="1"/>
  <c r="Q937" i="7" a="1"/>
  <c r="Q938" i="7" a="1"/>
  <c r="Q939" i="7" a="1"/>
  <c r="Q940" i="7" a="1"/>
  <c r="Q941" i="7" a="1"/>
  <c r="Q942" i="7" a="1"/>
  <c r="Q943" i="7" a="1"/>
  <c r="Q944" i="7" a="1"/>
  <c r="Q945" i="7" a="1"/>
  <c r="Q946" i="7" a="1"/>
  <c r="Q947" i="7" a="1"/>
  <c r="Q948" i="7" a="1"/>
  <c r="Q949" i="7" a="1"/>
  <c r="Q950" i="7" a="1"/>
  <c r="Q951" i="7" a="1"/>
  <c r="Q952" i="7" a="1"/>
  <c r="Q953" i="7" a="1"/>
  <c r="Q954" i="7" a="1"/>
  <c r="Q955" i="7" a="1"/>
  <c r="Q956" i="7" a="1"/>
  <c r="Q957" i="7" a="1"/>
  <c r="Q958" i="7" a="1"/>
  <c r="Q959" i="7" a="1"/>
  <c r="Q960" i="7" a="1"/>
  <c r="Q961" i="7" a="1"/>
  <c r="Q962" i="7" a="1"/>
  <c r="Q963" i="7" a="1"/>
  <c r="Q964" i="7" a="1"/>
  <c r="Q965" i="7" a="1"/>
  <c r="Q966" i="7" a="1"/>
  <c r="Q967" i="7" a="1"/>
  <c r="Q968" i="7" a="1"/>
  <c r="Q969" i="7" a="1"/>
  <c r="Q970" i="7" a="1"/>
  <c r="Q971" i="7" a="1"/>
  <c r="Q972" i="7" a="1"/>
  <c r="Q973" i="7" a="1"/>
  <c r="Q974" i="7" a="1"/>
  <c r="Q975" i="7" a="1"/>
  <c r="Q976" i="7" a="1"/>
  <c r="Q977" i="7" a="1"/>
  <c r="Q978" i="7" a="1"/>
  <c r="Q979" i="7" a="1"/>
  <c r="Q980" i="7" a="1"/>
  <c r="Q981" i="7" a="1"/>
  <c r="Q982" i="7" a="1"/>
  <c r="Q983" i="7" a="1"/>
  <c r="Q984" i="7" a="1"/>
  <c r="Q985" i="7" a="1"/>
  <c r="Q986" i="7" a="1"/>
  <c r="Q987" i="7" a="1"/>
  <c r="Q988" i="7" a="1"/>
  <c r="Q989" i="7" a="1"/>
  <c r="Q990" i="7" a="1"/>
  <c r="Q991" i="7" a="1"/>
  <c r="Q992" i="7" a="1"/>
  <c r="Q993" i="7" a="1"/>
  <c r="Q994" i="7" a="1"/>
  <c r="Q995" i="7" a="1"/>
  <c r="Q996" i="7" a="1"/>
  <c r="Q997" i="7" a="1"/>
  <c r="Q998" i="7" a="1"/>
  <c r="Q999" i="7" a="1"/>
  <c r="Q1000" i="7" a="1"/>
  <c r="Q1001" i="7" a="1"/>
  <c r="O49" i="7" a="1"/>
  <c r="O50" i="7" a="1"/>
  <c r="O51" i="7" a="1"/>
  <c r="O52" i="7" a="1"/>
  <c r="O53" i="7" a="1"/>
  <c r="O54" i="7" a="1"/>
  <c r="O55" i="7" a="1"/>
  <c r="O56" i="7" a="1"/>
  <c r="O57" i="7" a="1"/>
  <c r="O58" i="7" a="1"/>
  <c r="O59" i="7" a="1"/>
  <c r="O60" i="7" a="1"/>
  <c r="O61" i="7" a="1"/>
  <c r="O62" i="7" a="1"/>
  <c r="O63" i="7" a="1"/>
  <c r="O64" i="7" a="1"/>
  <c r="O65" i="7" a="1"/>
  <c r="O66" i="7" a="1"/>
  <c r="O67" i="7" a="1"/>
  <c r="O68" i="7" a="1"/>
  <c r="O69" i="7" a="1"/>
  <c r="O70" i="7" a="1"/>
  <c r="O71" i="7" a="1"/>
  <c r="O72" i="7" a="1"/>
  <c r="O73" i="7" a="1"/>
  <c r="O74" i="7" a="1"/>
  <c r="O75" i="7" a="1"/>
  <c r="O76" i="7" a="1"/>
  <c r="O77" i="7" a="1"/>
  <c r="O78" i="7" a="1"/>
  <c r="O79" i="7" a="1"/>
  <c r="O80" i="7" a="1"/>
  <c r="O81" i="7" a="1"/>
  <c r="O82" i="7" a="1"/>
  <c r="O83" i="7" a="1"/>
  <c r="O84" i="7" a="1"/>
  <c r="O85" i="7" a="1"/>
  <c r="O86" i="7" a="1"/>
  <c r="O87" i="7" a="1"/>
  <c r="O88" i="7" a="1"/>
  <c r="O89" i="7" a="1"/>
  <c r="O90" i="7" a="1"/>
  <c r="O91" i="7" a="1"/>
  <c r="O92" i="7" a="1"/>
  <c r="O93" i="7" a="1"/>
  <c r="O94" i="7" a="1"/>
  <c r="O95" i="7" a="1"/>
  <c r="O96" i="7" a="1"/>
  <c r="O97" i="7" a="1"/>
  <c r="O98" i="7" a="1"/>
  <c r="O99" i="7" a="1"/>
  <c r="O100" i="7" a="1"/>
  <c r="O101" i="7" a="1"/>
  <c r="O102" i="7" a="1"/>
  <c r="O103" i="7" a="1"/>
  <c r="O104" i="7" a="1"/>
  <c r="O105" i="7" a="1"/>
  <c r="O106" i="7" a="1"/>
  <c r="O107" i="7" a="1"/>
  <c r="O108" i="7" a="1"/>
  <c r="O109" i="7" a="1"/>
  <c r="O110" i="7" a="1"/>
  <c r="O111" i="7" a="1"/>
  <c r="O112" i="7" a="1"/>
  <c r="O113" i="7" a="1"/>
  <c r="O114" i="7" a="1"/>
  <c r="O115" i="7" a="1"/>
  <c r="O116" i="7" a="1"/>
  <c r="O117" i="7" a="1"/>
  <c r="O118" i="7" a="1"/>
  <c r="O119" i="7" a="1"/>
  <c r="O120" i="7" a="1"/>
  <c r="O121" i="7" a="1"/>
  <c r="O122" i="7" a="1"/>
  <c r="O123" i="7" a="1"/>
  <c r="O124" i="7" a="1"/>
  <c r="O125" i="7" a="1"/>
  <c r="O126" i="7" a="1"/>
  <c r="O127" i="7" a="1"/>
  <c r="O128" i="7" a="1"/>
  <c r="O129" i="7" a="1"/>
  <c r="O130" i="7" a="1"/>
  <c r="O131" i="7" a="1"/>
  <c r="O132" i="7" a="1"/>
  <c r="O133" i="7" a="1"/>
  <c r="O134" i="7" a="1"/>
  <c r="O135" i="7" a="1"/>
  <c r="O136" i="7" a="1"/>
  <c r="O137" i="7" a="1"/>
  <c r="O138" i="7" a="1"/>
  <c r="O139" i="7" a="1"/>
  <c r="O140" i="7" a="1"/>
  <c r="O141" i="7" a="1"/>
  <c r="O142" i="7" a="1"/>
  <c r="O143" i="7" a="1"/>
  <c r="O144" i="7" a="1"/>
  <c r="O145" i="7" a="1"/>
  <c r="O146" i="7" a="1"/>
  <c r="O147" i="7" a="1"/>
  <c r="O148" i="7" a="1"/>
  <c r="O149" i="7" a="1"/>
  <c r="O150" i="7" a="1"/>
  <c r="O151" i="7" a="1"/>
  <c r="O152" i="7" a="1"/>
  <c r="O153" i="7" a="1"/>
  <c r="O154" i="7" a="1"/>
  <c r="O155" i="7" a="1"/>
  <c r="O156" i="7" a="1"/>
  <c r="O157" i="7" a="1"/>
  <c r="O158" i="7" a="1"/>
  <c r="O159" i="7" a="1"/>
  <c r="O160" i="7" a="1"/>
  <c r="O161" i="7" a="1"/>
  <c r="O162" i="7" a="1"/>
  <c r="O163" i="7" a="1"/>
  <c r="O164" i="7" a="1"/>
  <c r="O165" i="7" a="1"/>
  <c r="O166" i="7" a="1"/>
  <c r="O167" i="7" a="1"/>
  <c r="O168" i="7" a="1"/>
  <c r="O169" i="7" a="1"/>
  <c r="O170" i="7" a="1"/>
  <c r="O171" i="7" a="1"/>
  <c r="O172" i="7" a="1"/>
  <c r="O173" i="7" a="1"/>
  <c r="O174" i="7" a="1"/>
  <c r="O175" i="7" a="1"/>
  <c r="O176" i="7" a="1"/>
  <c r="O177" i="7" a="1"/>
  <c r="O178" i="7" a="1"/>
  <c r="O179" i="7" a="1"/>
  <c r="O180" i="7" a="1"/>
  <c r="O181" i="7" a="1"/>
  <c r="O182" i="7" a="1"/>
  <c r="O183" i="7" a="1"/>
  <c r="O184" i="7" a="1"/>
  <c r="O185" i="7" a="1"/>
  <c r="O186" i="7" a="1"/>
  <c r="O187" i="7" a="1"/>
  <c r="O188" i="7" a="1"/>
  <c r="O189" i="7" a="1"/>
  <c r="O190" i="7" a="1"/>
  <c r="O191" i="7" a="1"/>
  <c r="O192" i="7" a="1"/>
  <c r="O193" i="7" a="1"/>
  <c r="O194" i="7" a="1"/>
  <c r="O195" i="7" a="1"/>
  <c r="O196" i="7" a="1"/>
  <c r="O197" i="7" a="1"/>
  <c r="O198" i="7" a="1"/>
  <c r="O199" i="7" a="1"/>
  <c r="O200" i="7" a="1"/>
  <c r="O201" i="7" a="1"/>
  <c r="O202" i="7" a="1"/>
  <c r="O203" i="7" a="1"/>
  <c r="O204" i="7" a="1"/>
  <c r="O205" i="7" a="1"/>
  <c r="O206" i="7" a="1"/>
  <c r="O207" i="7" a="1"/>
  <c r="O208" i="7" a="1"/>
  <c r="O209" i="7" a="1"/>
  <c r="O210" i="7" a="1"/>
  <c r="O211" i="7" a="1"/>
  <c r="O212" i="7" a="1"/>
  <c r="O213" i="7" a="1"/>
  <c r="O214" i="7" a="1"/>
  <c r="O215" i="7" a="1"/>
  <c r="O216" i="7" a="1"/>
  <c r="O217" i="7" a="1"/>
  <c r="O218" i="7" a="1"/>
  <c r="O219" i="7" a="1"/>
  <c r="O220" i="7" a="1"/>
  <c r="O221" i="7" a="1"/>
  <c r="O222" i="7" a="1"/>
  <c r="O223" i="7" a="1"/>
  <c r="O224" i="7" a="1"/>
  <c r="O225" i="7" a="1"/>
  <c r="O226" i="7" a="1"/>
  <c r="O227" i="7" a="1"/>
  <c r="O228" i="7" a="1"/>
  <c r="O229" i="7" a="1"/>
  <c r="O230" i="7" a="1"/>
  <c r="O231" i="7" a="1"/>
  <c r="O232" i="7" a="1"/>
  <c r="O233" i="7" a="1"/>
  <c r="O234" i="7" a="1"/>
  <c r="O235" i="7" a="1"/>
  <c r="O236" i="7" a="1"/>
  <c r="O237" i="7" a="1"/>
  <c r="O238" i="7" a="1"/>
  <c r="O239" i="7" a="1"/>
  <c r="O240" i="7" a="1"/>
  <c r="O241" i="7" a="1"/>
  <c r="O242" i="7" a="1"/>
  <c r="O243" i="7" a="1"/>
  <c r="O244" i="7" a="1"/>
  <c r="O245" i="7" a="1"/>
  <c r="O246" i="7" a="1"/>
  <c r="O247" i="7" a="1"/>
  <c r="O248" i="7" a="1"/>
  <c r="O249" i="7" a="1"/>
  <c r="O250" i="7" a="1"/>
  <c r="O251" i="7" a="1"/>
  <c r="O252" i="7" a="1"/>
  <c r="O253" i="7" a="1"/>
  <c r="O254" i="7" a="1"/>
  <c r="O255" i="7" a="1"/>
  <c r="O256" i="7" a="1"/>
  <c r="O257" i="7" a="1"/>
  <c r="O258" i="7" a="1"/>
  <c r="O259" i="7" a="1"/>
  <c r="O260" i="7" a="1"/>
  <c r="O261" i="7" a="1"/>
  <c r="O262" i="7" a="1"/>
  <c r="O263" i="7" a="1"/>
  <c r="O264" i="7" a="1"/>
  <c r="O265" i="7" a="1"/>
  <c r="O266" i="7" a="1"/>
  <c r="O267" i="7" a="1"/>
  <c r="O268" i="7" a="1"/>
  <c r="O269" i="7" a="1"/>
  <c r="O270" i="7" a="1"/>
  <c r="O271" i="7" a="1"/>
  <c r="O272" i="7" a="1"/>
  <c r="O273" i="7" a="1"/>
  <c r="O274" i="7" a="1"/>
  <c r="O275" i="7" a="1"/>
  <c r="O276" i="7" a="1"/>
  <c r="O277" i="7" a="1"/>
  <c r="O278" i="7" a="1"/>
  <c r="O279" i="7" a="1"/>
  <c r="O280" i="7" a="1"/>
  <c r="O281" i="7" a="1"/>
  <c r="O282" i="7" a="1"/>
  <c r="O283" i="7" a="1"/>
  <c r="O284" i="7" a="1"/>
  <c r="O285" i="7" a="1"/>
  <c r="O286" i="7" a="1"/>
  <c r="O287" i="7" a="1"/>
  <c r="O288" i="7" a="1"/>
  <c r="O289" i="7" a="1"/>
  <c r="O290" i="7" a="1"/>
  <c r="O291" i="7" a="1"/>
  <c r="O292" i="7" a="1"/>
  <c r="O293" i="7" a="1"/>
  <c r="O294" i="7" a="1"/>
  <c r="O295" i="7" a="1"/>
  <c r="O296" i="7" a="1"/>
  <c r="O297" i="7" a="1"/>
  <c r="O298" i="7" a="1"/>
  <c r="O299" i="7" a="1"/>
  <c r="O300" i="7" a="1"/>
  <c r="O301" i="7" a="1"/>
  <c r="O302" i="7" a="1"/>
  <c r="O303" i="7" a="1"/>
  <c r="O304" i="7" a="1"/>
  <c r="O305" i="7" a="1"/>
  <c r="O306" i="7" a="1"/>
  <c r="O307" i="7" a="1"/>
  <c r="O308" i="7" a="1"/>
  <c r="O309" i="7" a="1"/>
  <c r="O310" i="7" a="1"/>
  <c r="O311" i="7" a="1"/>
  <c r="O312" i="7" a="1"/>
  <c r="O313" i="7" a="1"/>
  <c r="O314" i="7" a="1"/>
  <c r="O315" i="7" a="1"/>
  <c r="O316" i="7" a="1"/>
  <c r="O317" i="7" a="1"/>
  <c r="O318" i="7" a="1"/>
  <c r="O319" i="7" a="1"/>
  <c r="O320" i="7" a="1"/>
  <c r="O321" i="7" a="1"/>
  <c r="O322" i="7" a="1"/>
  <c r="O323" i="7" a="1"/>
  <c r="O324" i="7" a="1"/>
  <c r="O325" i="7" a="1"/>
  <c r="O326" i="7" a="1"/>
  <c r="O327" i="7" a="1"/>
  <c r="O328" i="7" a="1"/>
  <c r="O329" i="7" a="1"/>
  <c r="O330" i="7" a="1"/>
  <c r="O331" i="7" a="1"/>
  <c r="O332" i="7" a="1"/>
  <c r="O333" i="7" a="1"/>
  <c r="O334" i="7" a="1"/>
  <c r="O335" i="7" a="1"/>
  <c r="O336" i="7" a="1"/>
  <c r="O337" i="7" a="1"/>
  <c r="O338" i="7" a="1"/>
  <c r="O339" i="7" a="1"/>
  <c r="O340" i="7" a="1"/>
  <c r="O341" i="7" a="1"/>
  <c r="O342" i="7" a="1"/>
  <c r="O343" i="7" a="1"/>
  <c r="O344" i="7" a="1"/>
  <c r="O345" i="7" a="1"/>
  <c r="O346" i="7" a="1"/>
  <c r="O347" i="7" a="1"/>
  <c r="O348" i="7" a="1"/>
  <c r="O349" i="7" a="1"/>
  <c r="O350" i="7" a="1"/>
  <c r="O351" i="7" a="1"/>
  <c r="O352" i="7" a="1"/>
  <c r="O353" i="7" a="1"/>
  <c r="O354" i="7" a="1"/>
  <c r="O355" i="7" a="1"/>
  <c r="O356" i="7" a="1"/>
  <c r="O357" i="7" a="1"/>
  <c r="O358" i="7" a="1"/>
  <c r="O359" i="7" a="1"/>
  <c r="O360" i="7" a="1"/>
  <c r="O361" i="7" a="1"/>
  <c r="O362" i="7" a="1"/>
  <c r="O363" i="7" a="1"/>
  <c r="O364" i="7" a="1"/>
  <c r="O365" i="7" a="1"/>
  <c r="O366" i="7" a="1"/>
  <c r="O367" i="7" a="1"/>
  <c r="O368" i="7" a="1"/>
  <c r="O369" i="7" a="1"/>
  <c r="O370" i="7" a="1"/>
  <c r="O371" i="7" a="1"/>
  <c r="O372" i="7" a="1"/>
  <c r="O373" i="7" a="1"/>
  <c r="O374" i="7" a="1"/>
  <c r="O375" i="7" a="1"/>
  <c r="O376" i="7" a="1"/>
  <c r="O377" i="7" a="1"/>
  <c r="O378" i="7" a="1"/>
  <c r="O379" i="7" a="1"/>
  <c r="O380" i="7" a="1"/>
  <c r="O381" i="7" a="1"/>
  <c r="O382" i="7" a="1"/>
  <c r="O383" i="7" a="1"/>
  <c r="O384" i="7" a="1"/>
  <c r="O385" i="7" a="1"/>
  <c r="O386" i="7" a="1"/>
  <c r="O387" i="7" a="1"/>
  <c r="O388" i="7" a="1"/>
  <c r="O389" i="7" a="1"/>
  <c r="O390" i="7" a="1"/>
  <c r="O391" i="7" a="1"/>
  <c r="O392" i="7" a="1"/>
  <c r="O393" i="7" a="1"/>
  <c r="O394" i="7" a="1"/>
  <c r="O395" i="7" a="1"/>
  <c r="O396" i="7" a="1"/>
  <c r="O397" i="7" a="1"/>
  <c r="O398" i="7" a="1"/>
  <c r="O399" i="7" a="1"/>
  <c r="O400" i="7" a="1"/>
  <c r="O401" i="7" a="1"/>
  <c r="O402" i="7" a="1"/>
  <c r="O403" i="7" a="1"/>
  <c r="O404" i="7" a="1"/>
  <c r="O405" i="7" a="1"/>
  <c r="O406" i="7" a="1"/>
  <c r="O407" i="7" a="1"/>
  <c r="O408" i="7" a="1"/>
  <c r="O409" i="7" a="1"/>
  <c r="O410" i="7" a="1"/>
  <c r="O411" i="7" a="1"/>
  <c r="O412" i="7" a="1"/>
  <c r="O413" i="7" a="1"/>
  <c r="O414" i="7" a="1"/>
  <c r="O415" i="7" a="1"/>
  <c r="O416" i="7" a="1"/>
  <c r="O417" i="7" a="1"/>
  <c r="O418" i="7" a="1"/>
  <c r="O419" i="7" a="1"/>
  <c r="O420" i="7" a="1"/>
  <c r="O421" i="7" a="1"/>
  <c r="O422" i="7" a="1"/>
  <c r="O423" i="7" a="1"/>
  <c r="O424" i="7" a="1"/>
  <c r="O425" i="7" a="1"/>
  <c r="O426" i="7" a="1"/>
  <c r="O427" i="7" a="1"/>
  <c r="O428" i="7" a="1"/>
  <c r="O429" i="7" a="1"/>
  <c r="O430" i="7" a="1"/>
  <c r="O431" i="7" a="1"/>
  <c r="O432" i="7" a="1"/>
  <c r="O433" i="7" a="1"/>
  <c r="O434" i="7" a="1"/>
  <c r="O435" i="7" a="1"/>
  <c r="O436" i="7" a="1"/>
  <c r="O437" i="7" a="1"/>
  <c r="O438" i="7" a="1"/>
  <c r="O439" i="7" a="1"/>
  <c r="O440" i="7" a="1"/>
  <c r="O441" i="7" a="1"/>
  <c r="O442" i="7" a="1"/>
  <c r="O443" i="7" a="1"/>
  <c r="O444" i="7" a="1"/>
  <c r="O445" i="7" a="1"/>
  <c r="O446" i="7" a="1"/>
  <c r="O447" i="7" a="1"/>
  <c r="O448" i="7" a="1"/>
  <c r="O449" i="7" a="1"/>
  <c r="O450" i="7" a="1"/>
  <c r="O451" i="7" a="1"/>
  <c r="O452" i="7" a="1"/>
  <c r="O453" i="7" a="1"/>
  <c r="O454" i="7" a="1"/>
  <c r="O455" i="7" a="1"/>
  <c r="O456" i="7" a="1"/>
  <c r="O457" i="7" a="1"/>
  <c r="O458" i="7" a="1"/>
  <c r="O459" i="7" a="1"/>
  <c r="O460" i="7" a="1"/>
  <c r="O461" i="7" a="1"/>
  <c r="O462" i="7" a="1"/>
  <c r="O463" i="7" a="1"/>
  <c r="O464" i="7" a="1"/>
  <c r="O465" i="7" a="1"/>
  <c r="O466" i="7" a="1"/>
  <c r="O467" i="7" a="1"/>
  <c r="O468" i="7" a="1"/>
  <c r="O469" i="7" a="1"/>
  <c r="O470" i="7" a="1"/>
  <c r="O471" i="7" a="1"/>
  <c r="O472" i="7" a="1"/>
  <c r="O473" i="7" a="1"/>
  <c r="O474" i="7" a="1"/>
  <c r="O475" i="7" a="1"/>
  <c r="O476" i="7" a="1"/>
  <c r="O477" i="7" a="1"/>
  <c r="O478" i="7" a="1"/>
  <c r="O479" i="7" a="1"/>
  <c r="O480" i="7" a="1"/>
  <c r="O481" i="7" a="1"/>
  <c r="O482" i="7" a="1"/>
  <c r="O483" i="7" a="1"/>
  <c r="O484" i="7" a="1"/>
  <c r="O485" i="7" a="1"/>
  <c r="O486" i="7" a="1"/>
  <c r="O487" i="7" a="1"/>
  <c r="O488" i="7" a="1"/>
  <c r="O489" i="7" a="1"/>
  <c r="O490" i="7" a="1"/>
  <c r="O491" i="7" a="1"/>
  <c r="O492" i="7" a="1"/>
  <c r="O493" i="7" a="1"/>
  <c r="O494" i="7" a="1"/>
  <c r="O495" i="7" a="1"/>
  <c r="O496" i="7" a="1"/>
  <c r="O497" i="7" a="1"/>
  <c r="O498" i="7" a="1"/>
  <c r="O499" i="7" a="1"/>
  <c r="O500" i="7" a="1"/>
  <c r="O501" i="7" a="1"/>
  <c r="O502" i="7" a="1"/>
  <c r="O503" i="7" a="1"/>
  <c r="O504" i="7" a="1"/>
  <c r="O505" i="7" a="1"/>
  <c r="O506" i="7" a="1"/>
  <c r="O507" i="7" a="1"/>
  <c r="O508" i="7" a="1"/>
  <c r="O509" i="7" a="1"/>
  <c r="O510" i="7" a="1"/>
  <c r="O511" i="7" a="1"/>
  <c r="O512" i="7" a="1"/>
  <c r="O513" i="7" a="1"/>
  <c r="O514" i="7" a="1"/>
  <c r="O515" i="7" a="1"/>
  <c r="O516" i="7" a="1"/>
  <c r="O517" i="7" a="1"/>
  <c r="O518" i="7" a="1"/>
  <c r="O519" i="7" a="1"/>
  <c r="O520" i="7" a="1"/>
  <c r="O521" i="7" a="1"/>
  <c r="O522" i="7" a="1"/>
  <c r="O523" i="7" a="1"/>
  <c r="O524" i="7" a="1"/>
  <c r="O525" i="7" a="1"/>
  <c r="O526" i="7" a="1"/>
  <c r="O527" i="7" a="1"/>
  <c r="O528" i="7" a="1"/>
  <c r="O529" i="7" a="1"/>
  <c r="O530" i="7" a="1"/>
  <c r="O531" i="7" a="1"/>
  <c r="O532" i="7" a="1"/>
  <c r="O533" i="7" a="1"/>
  <c r="O534" i="7" a="1"/>
  <c r="O535" i="7" a="1"/>
  <c r="O536" i="7" a="1"/>
  <c r="O537" i="7" a="1"/>
  <c r="O538" i="7" a="1"/>
  <c r="O539" i="7" a="1"/>
  <c r="O540" i="7" a="1"/>
  <c r="O541" i="7" a="1"/>
  <c r="O542" i="7" a="1"/>
  <c r="O543" i="7" a="1"/>
  <c r="O544" i="7" a="1"/>
  <c r="O545" i="7" a="1"/>
  <c r="O546" i="7" a="1"/>
  <c r="O547" i="7" a="1"/>
  <c r="O548" i="7" a="1"/>
  <c r="O549" i="7" a="1"/>
  <c r="O550" i="7" a="1"/>
  <c r="O551" i="7" a="1"/>
  <c r="O552" i="7" a="1"/>
  <c r="O553" i="7" a="1"/>
  <c r="O554" i="7" a="1"/>
  <c r="O555" i="7" a="1"/>
  <c r="O556" i="7" a="1"/>
  <c r="O557" i="7" a="1"/>
  <c r="O558" i="7" a="1"/>
  <c r="O559" i="7" a="1"/>
  <c r="O560" i="7" a="1"/>
  <c r="O561" i="7" a="1"/>
  <c r="O562" i="7" a="1"/>
  <c r="O563" i="7" a="1"/>
  <c r="O564" i="7" a="1"/>
  <c r="O565" i="7" a="1"/>
  <c r="O566" i="7" a="1"/>
  <c r="O567" i="7" a="1"/>
  <c r="O568" i="7" a="1"/>
  <c r="O569" i="7" a="1"/>
  <c r="O570" i="7" a="1"/>
  <c r="O571" i="7" a="1"/>
  <c r="O572" i="7" a="1"/>
  <c r="O573" i="7" a="1"/>
  <c r="O574" i="7" a="1"/>
  <c r="O575" i="7" a="1"/>
  <c r="O576" i="7" a="1"/>
  <c r="O577" i="7" a="1"/>
  <c r="O578" i="7" a="1"/>
  <c r="O579" i="7" a="1"/>
  <c r="O580" i="7" a="1"/>
  <c r="O581" i="7" a="1"/>
  <c r="O582" i="7" a="1"/>
  <c r="O583" i="7" a="1"/>
  <c r="O584" i="7" a="1"/>
  <c r="O585" i="7" a="1"/>
  <c r="O586" i="7" a="1"/>
  <c r="O587" i="7" a="1"/>
  <c r="O588" i="7" a="1"/>
  <c r="O589" i="7" a="1"/>
  <c r="O590" i="7" a="1"/>
  <c r="O591" i="7" a="1"/>
  <c r="O592" i="7" a="1"/>
  <c r="O593" i="7" a="1"/>
  <c r="O594" i="7" a="1"/>
  <c r="O595" i="7" a="1"/>
  <c r="O596" i="7" a="1"/>
  <c r="O597" i="7" a="1"/>
  <c r="O598" i="7" a="1"/>
  <c r="O599" i="7" a="1"/>
  <c r="O600" i="7" a="1"/>
  <c r="O601" i="7" a="1"/>
  <c r="O602" i="7" a="1"/>
  <c r="O603" i="7" a="1"/>
  <c r="O604" i="7" a="1"/>
  <c r="O605" i="7" a="1"/>
  <c r="O606" i="7" a="1"/>
  <c r="O607" i="7" a="1"/>
  <c r="O608" i="7" a="1"/>
  <c r="O609" i="7" a="1"/>
  <c r="O610" i="7" a="1"/>
  <c r="O611" i="7" a="1"/>
  <c r="O612" i="7" a="1"/>
  <c r="O613" i="7" a="1"/>
  <c r="O614" i="7" a="1"/>
  <c r="O615" i="7" a="1"/>
  <c r="O616" i="7" a="1"/>
  <c r="O617" i="7" a="1"/>
  <c r="O618" i="7" a="1"/>
  <c r="O619" i="7" a="1"/>
  <c r="O620" i="7" a="1"/>
  <c r="O621" i="7" a="1"/>
  <c r="O622" i="7" a="1"/>
  <c r="O623" i="7" a="1"/>
  <c r="O624" i="7" a="1"/>
  <c r="O625" i="7" a="1"/>
  <c r="O626" i="7" a="1"/>
  <c r="O627" i="7" a="1"/>
  <c r="O628" i="7" a="1"/>
  <c r="O629" i="7" a="1"/>
  <c r="O630" i="7" a="1"/>
  <c r="O631" i="7" a="1"/>
  <c r="O632" i="7" a="1"/>
  <c r="O633" i="7" a="1"/>
  <c r="O634" i="7" a="1"/>
  <c r="O635" i="7" a="1"/>
  <c r="O636" i="7" a="1"/>
  <c r="O637" i="7" a="1"/>
  <c r="O638" i="7" a="1"/>
  <c r="O639" i="7" a="1"/>
  <c r="O640" i="7" a="1"/>
  <c r="O641" i="7" a="1"/>
  <c r="O642" i="7" a="1"/>
  <c r="O643" i="7" a="1"/>
  <c r="O644" i="7" a="1"/>
  <c r="O645" i="7" a="1"/>
  <c r="O646" i="7" a="1"/>
  <c r="O647" i="7" a="1"/>
  <c r="O648" i="7" a="1"/>
  <c r="O649" i="7" a="1"/>
  <c r="O650" i="7" a="1"/>
  <c r="O651" i="7" a="1"/>
  <c r="O652" i="7" a="1"/>
  <c r="O653" i="7" a="1"/>
  <c r="O654" i="7" a="1"/>
  <c r="O655" i="7" a="1"/>
  <c r="O656" i="7" a="1"/>
  <c r="O657" i="7" a="1"/>
  <c r="O658" i="7" a="1"/>
  <c r="O659" i="7" a="1"/>
  <c r="O660" i="7" a="1"/>
  <c r="O661" i="7" a="1"/>
  <c r="O662" i="7" a="1"/>
  <c r="O663" i="7" a="1"/>
  <c r="O664" i="7" a="1"/>
  <c r="O665" i="7" a="1"/>
  <c r="O666" i="7" a="1"/>
  <c r="O667" i="7" a="1"/>
  <c r="O668" i="7" a="1"/>
  <c r="O669" i="7" a="1"/>
  <c r="O670" i="7" a="1"/>
  <c r="O671" i="7" a="1"/>
  <c r="O672" i="7" a="1"/>
  <c r="O673" i="7" a="1"/>
  <c r="O674" i="7" a="1"/>
  <c r="O675" i="7" a="1"/>
  <c r="O676" i="7" a="1"/>
  <c r="O677" i="7" a="1"/>
  <c r="O678" i="7" a="1"/>
  <c r="O679" i="7" a="1"/>
  <c r="O680" i="7" a="1"/>
  <c r="O681" i="7" a="1"/>
  <c r="O682" i="7" a="1"/>
  <c r="O683" i="7" a="1"/>
  <c r="O684" i="7" a="1"/>
  <c r="O685" i="7" a="1"/>
  <c r="O686" i="7" a="1"/>
  <c r="O687" i="7" a="1"/>
  <c r="O688" i="7" a="1"/>
  <c r="O689" i="7" a="1"/>
  <c r="O690" i="7" a="1"/>
  <c r="O691" i="7" a="1"/>
  <c r="O692" i="7" a="1"/>
  <c r="O693" i="7" a="1"/>
  <c r="O694" i="7" a="1"/>
  <c r="O695" i="7" a="1"/>
  <c r="O696" i="7" a="1"/>
  <c r="O697" i="7" a="1"/>
  <c r="O698" i="7" a="1"/>
  <c r="O699" i="7" a="1"/>
  <c r="O700" i="7" a="1"/>
  <c r="O701" i="7" a="1"/>
  <c r="O702" i="7" a="1"/>
  <c r="O703" i="7" a="1"/>
  <c r="O704" i="7" a="1"/>
  <c r="O705" i="7" a="1"/>
  <c r="O706" i="7" a="1"/>
  <c r="O707" i="7" a="1"/>
  <c r="O708" i="7" a="1"/>
  <c r="O709" i="7" a="1"/>
  <c r="O710" i="7" a="1"/>
  <c r="O711" i="7" a="1"/>
  <c r="O712" i="7" a="1"/>
  <c r="O713" i="7" a="1"/>
  <c r="O714" i="7" a="1"/>
  <c r="O715" i="7" a="1"/>
  <c r="O716" i="7" a="1"/>
  <c r="O717" i="7" a="1"/>
  <c r="O718" i="7" a="1"/>
  <c r="O719" i="7" a="1"/>
  <c r="O720" i="7" a="1"/>
  <c r="O721" i="7" a="1"/>
  <c r="O722" i="7" a="1"/>
  <c r="O723" i="7" a="1"/>
  <c r="O724" i="7" a="1"/>
  <c r="O725" i="7" a="1"/>
  <c r="O726" i="7" a="1"/>
  <c r="O727" i="7" a="1"/>
  <c r="O728" i="7" a="1"/>
  <c r="O729" i="7" a="1"/>
  <c r="O730" i="7" a="1"/>
  <c r="O731" i="7" a="1"/>
  <c r="O732" i="7" a="1"/>
  <c r="O733" i="7" a="1"/>
  <c r="O734" i="7" a="1"/>
  <c r="O735" i="7" a="1"/>
  <c r="O736" i="7" a="1"/>
  <c r="O737" i="7" a="1"/>
  <c r="O738" i="7" a="1"/>
  <c r="O739" i="7" a="1"/>
  <c r="O740" i="7" a="1"/>
  <c r="O741" i="7" a="1"/>
  <c r="O742" i="7" a="1"/>
  <c r="O743" i="7" a="1"/>
  <c r="O744" i="7" a="1"/>
  <c r="O745" i="7" a="1"/>
  <c r="O746" i="7" a="1"/>
  <c r="O747" i="7" a="1"/>
  <c r="O748" i="7" a="1"/>
  <c r="O749" i="7" a="1"/>
  <c r="O750" i="7" a="1"/>
  <c r="O751" i="7" a="1"/>
  <c r="O752" i="7" a="1"/>
  <c r="O753" i="7" a="1"/>
  <c r="O754" i="7" a="1"/>
  <c r="O755" i="7" a="1"/>
  <c r="O756" i="7" a="1"/>
  <c r="O757" i="7" a="1"/>
  <c r="O758" i="7" a="1"/>
  <c r="O759" i="7" a="1"/>
  <c r="O760" i="7" a="1"/>
  <c r="O761" i="7" a="1"/>
  <c r="O762" i="7" a="1"/>
  <c r="O763" i="7" a="1"/>
  <c r="O764" i="7" a="1"/>
  <c r="O765" i="7" a="1"/>
  <c r="O766" i="7" a="1"/>
  <c r="O767" i="7" a="1"/>
  <c r="O768" i="7" a="1"/>
  <c r="O769" i="7" a="1"/>
  <c r="O770" i="7" a="1"/>
  <c r="O771" i="7" a="1"/>
  <c r="O772" i="7" a="1"/>
  <c r="O773" i="7" a="1"/>
  <c r="O774" i="7" a="1"/>
  <c r="O775" i="7" a="1"/>
  <c r="O776" i="7" a="1"/>
  <c r="O777" i="7" a="1"/>
  <c r="O778" i="7" a="1"/>
  <c r="O779" i="7" a="1"/>
  <c r="O780" i="7" a="1"/>
  <c r="O781" i="7" a="1"/>
  <c r="O782" i="7" a="1"/>
  <c r="O783" i="7" a="1"/>
  <c r="O784" i="7" a="1"/>
  <c r="O785" i="7" a="1"/>
  <c r="O786" i="7" a="1"/>
  <c r="O787" i="7" a="1"/>
  <c r="O788" i="7" a="1"/>
  <c r="O789" i="7" a="1"/>
  <c r="O790" i="7" a="1"/>
  <c r="O791" i="7" a="1"/>
  <c r="O792" i="7" a="1"/>
  <c r="O793" i="7" a="1"/>
  <c r="O794" i="7" a="1"/>
  <c r="O795" i="7" a="1"/>
  <c r="O796" i="7" a="1"/>
  <c r="O797" i="7" a="1"/>
  <c r="O798" i="7" a="1"/>
  <c r="O799" i="7" a="1"/>
  <c r="O800" i="7" a="1"/>
  <c r="O801" i="7" a="1"/>
  <c r="O802" i="7" a="1"/>
  <c r="O803" i="7" a="1"/>
  <c r="O804" i="7" a="1"/>
  <c r="O805" i="7" a="1"/>
  <c r="O806" i="7" a="1"/>
  <c r="O807" i="7" a="1"/>
  <c r="O808" i="7" a="1"/>
  <c r="O809" i="7" a="1"/>
  <c r="O810" i="7" a="1"/>
  <c r="O811" i="7" a="1"/>
  <c r="O812" i="7" a="1"/>
  <c r="O813" i="7" a="1"/>
  <c r="O814" i="7" a="1"/>
  <c r="O815" i="7" a="1"/>
  <c r="O816" i="7" a="1"/>
  <c r="O817" i="7" a="1"/>
  <c r="O818" i="7" a="1"/>
  <c r="O819" i="7" a="1"/>
  <c r="O820" i="7" a="1"/>
  <c r="O821" i="7" a="1"/>
  <c r="O822" i="7" a="1"/>
  <c r="O823" i="7" a="1"/>
  <c r="O824" i="7" a="1"/>
  <c r="O825" i="7" a="1"/>
  <c r="O826" i="7" a="1"/>
  <c r="O827" i="7" a="1"/>
  <c r="O828" i="7" a="1"/>
  <c r="O829" i="7" a="1"/>
  <c r="O830" i="7" a="1"/>
  <c r="O831" i="7" a="1"/>
  <c r="O832" i="7" a="1"/>
  <c r="O833" i="7" a="1"/>
  <c r="O834" i="7" a="1"/>
  <c r="O835" i="7" a="1"/>
  <c r="O836" i="7" a="1"/>
  <c r="O837" i="7" a="1"/>
  <c r="O838" i="7" a="1"/>
  <c r="O839" i="7" a="1"/>
  <c r="O840" i="7" a="1"/>
  <c r="O841" i="7" a="1"/>
  <c r="O842" i="7" a="1"/>
  <c r="O843" i="7" a="1"/>
  <c r="O844" i="7" a="1"/>
  <c r="O845" i="7" a="1"/>
  <c r="O846" i="7" a="1"/>
  <c r="O847" i="7" a="1"/>
  <c r="O848" i="7" a="1"/>
  <c r="O849" i="7" a="1"/>
  <c r="O850" i="7" a="1"/>
  <c r="O851" i="7" a="1"/>
  <c r="O852" i="7" a="1"/>
  <c r="O853" i="7" a="1"/>
  <c r="O854" i="7" a="1"/>
  <c r="O855" i="7" a="1"/>
  <c r="O856" i="7" a="1"/>
  <c r="O857" i="7" a="1"/>
  <c r="O858" i="7" a="1"/>
  <c r="O859" i="7" a="1"/>
  <c r="O860" i="7" a="1"/>
  <c r="O861" i="7" a="1"/>
  <c r="O862" i="7" a="1"/>
  <c r="O863" i="7" a="1"/>
  <c r="O864" i="7" a="1"/>
  <c r="O865" i="7" a="1"/>
  <c r="O866" i="7" a="1"/>
  <c r="O867" i="7" a="1"/>
  <c r="O868" i="7" a="1"/>
  <c r="O869" i="7" a="1"/>
  <c r="O870" i="7" a="1"/>
  <c r="O871" i="7" a="1"/>
  <c r="O872" i="7" a="1"/>
  <c r="O873" i="7" a="1"/>
  <c r="O874" i="7" a="1"/>
  <c r="O875" i="7" a="1"/>
  <c r="O876" i="7" a="1"/>
  <c r="O877" i="7" a="1"/>
  <c r="O878" i="7" a="1"/>
  <c r="O879" i="7" a="1"/>
  <c r="O880" i="7" a="1"/>
  <c r="O881" i="7" a="1"/>
  <c r="O882" i="7" a="1"/>
  <c r="O883" i="7" a="1"/>
  <c r="O884" i="7" a="1"/>
  <c r="O885" i="7" a="1"/>
  <c r="O886" i="7" a="1"/>
  <c r="O887" i="7" a="1"/>
  <c r="O888" i="7" a="1"/>
  <c r="O889" i="7" a="1"/>
  <c r="O890" i="7" a="1"/>
  <c r="O891" i="7" a="1"/>
  <c r="O892" i="7" a="1"/>
  <c r="O893" i="7" a="1"/>
  <c r="O894" i="7" a="1"/>
  <c r="O895" i="7" a="1"/>
  <c r="O896" i="7" a="1"/>
  <c r="O897" i="7" a="1"/>
  <c r="O898" i="7" a="1"/>
  <c r="O899" i="7" a="1"/>
  <c r="O900" i="7" a="1"/>
  <c r="O901" i="7" a="1"/>
  <c r="O902" i="7" a="1"/>
  <c r="O903" i="7" a="1"/>
  <c r="O904" i="7" a="1"/>
  <c r="O905" i="7" a="1"/>
  <c r="O906" i="7" a="1"/>
  <c r="O907" i="7" a="1"/>
  <c r="O908" i="7" a="1"/>
  <c r="O909" i="7" a="1"/>
  <c r="O910" i="7" a="1"/>
  <c r="O911" i="7" a="1"/>
  <c r="O912" i="7" a="1"/>
  <c r="O913" i="7" a="1"/>
  <c r="O914" i="7" a="1"/>
  <c r="O915" i="7" a="1"/>
  <c r="O916" i="7" a="1"/>
  <c r="O917" i="7" a="1"/>
  <c r="O918" i="7" a="1"/>
  <c r="O919" i="7" a="1"/>
  <c r="O920" i="7" a="1"/>
  <c r="O921" i="7" a="1"/>
  <c r="O922" i="7" a="1"/>
  <c r="O923" i="7" a="1"/>
  <c r="O924" i="7" a="1"/>
  <c r="O925" i="7" a="1"/>
  <c r="O926" i="7" a="1"/>
  <c r="O927" i="7" a="1"/>
  <c r="O928" i="7" a="1"/>
  <c r="O929" i="7" a="1"/>
  <c r="O930" i="7" a="1"/>
  <c r="O931" i="7" a="1"/>
  <c r="O932" i="7" a="1"/>
  <c r="O933" i="7" a="1"/>
  <c r="O934" i="7" a="1"/>
  <c r="O935" i="7" a="1"/>
  <c r="O936" i="7" a="1"/>
  <c r="O937" i="7" a="1"/>
  <c r="O938" i="7" a="1"/>
  <c r="O939" i="7" a="1"/>
  <c r="O940" i="7" a="1"/>
  <c r="O941" i="7" a="1"/>
  <c r="O942" i="7" a="1"/>
  <c r="O943" i="7" a="1"/>
  <c r="O944" i="7" a="1"/>
  <c r="O945" i="7" a="1"/>
  <c r="O946" i="7" a="1"/>
  <c r="O947" i="7" a="1"/>
  <c r="O948" i="7" a="1"/>
  <c r="O949" i="7" a="1"/>
  <c r="O950" i="7" a="1"/>
  <c r="O951" i="7" a="1"/>
  <c r="O952" i="7" a="1"/>
  <c r="O953" i="7" a="1"/>
  <c r="O954" i="7" a="1"/>
  <c r="O955" i="7" a="1"/>
  <c r="O956" i="7" a="1"/>
  <c r="O957" i="7" a="1"/>
  <c r="O958" i="7" a="1"/>
  <c r="O959" i="7" a="1"/>
  <c r="O960" i="7" a="1"/>
  <c r="O961" i="7" a="1"/>
  <c r="O962" i="7" a="1"/>
  <c r="O963" i="7" a="1"/>
  <c r="O964" i="7" a="1"/>
  <c r="O965" i="7" a="1"/>
  <c r="O966" i="7" a="1"/>
  <c r="O967" i="7" a="1"/>
  <c r="O968" i="7" a="1"/>
  <c r="O969" i="7" a="1"/>
  <c r="O970" i="7" a="1"/>
  <c r="O971" i="7" a="1"/>
  <c r="O972" i="7" a="1"/>
  <c r="O973" i="7" a="1"/>
  <c r="O974" i="7" a="1"/>
  <c r="O975" i="7" a="1"/>
  <c r="O976" i="7" a="1"/>
  <c r="O977" i="7" a="1"/>
  <c r="O978" i="7" a="1"/>
  <c r="O979" i="7" a="1"/>
  <c r="O980" i="7" a="1"/>
  <c r="O981" i="7" a="1"/>
  <c r="O982" i="7" a="1"/>
  <c r="O983" i="7" a="1"/>
  <c r="O984" i="7" a="1"/>
  <c r="O985" i="7" a="1"/>
  <c r="O986" i="7" a="1"/>
  <c r="O987" i="7" a="1"/>
  <c r="O988" i="7" a="1"/>
  <c r="O989" i="7" a="1"/>
  <c r="O990" i="7" a="1"/>
  <c r="O991" i="7" a="1"/>
  <c r="O992" i="7" a="1"/>
  <c r="O993" i="7" a="1"/>
  <c r="O994" i="7" a="1"/>
  <c r="O995" i="7" a="1"/>
  <c r="O996" i="7" a="1"/>
  <c r="O997" i="7" a="1"/>
  <c r="O998" i="7" a="1"/>
  <c r="O999" i="7" a="1"/>
  <c r="O1000" i="7" a="1"/>
  <c r="O1001" i="7" a="1"/>
  <c r="N49" i="7" a="1"/>
  <c r="N50" i="7" a="1"/>
  <c r="N51" i="7" a="1"/>
  <c r="N52" i="7" a="1"/>
  <c r="N53" i="7" a="1"/>
  <c r="N54" i="7" a="1"/>
  <c r="N55" i="7" a="1"/>
  <c r="N56" i="7" a="1"/>
  <c r="N57" i="7" a="1"/>
  <c r="N58" i="7" a="1"/>
  <c r="N59" i="7" a="1"/>
  <c r="N60" i="7" a="1"/>
  <c r="N61" i="7" a="1"/>
  <c r="N62" i="7" a="1"/>
  <c r="N63" i="7" a="1"/>
  <c r="N64" i="7" a="1"/>
  <c r="N65" i="7" a="1"/>
  <c r="N66" i="7" a="1"/>
  <c r="N67" i="7" a="1"/>
  <c r="N68" i="7" a="1"/>
  <c r="N69" i="7" a="1"/>
  <c r="N70" i="7" a="1"/>
  <c r="N71" i="7" a="1"/>
  <c r="N72" i="7" a="1"/>
  <c r="N73" i="7" a="1"/>
  <c r="N74" i="7" a="1"/>
  <c r="N75" i="7" a="1"/>
  <c r="N76" i="7" a="1"/>
  <c r="N77" i="7" a="1"/>
  <c r="N78" i="7" a="1"/>
  <c r="N79" i="7" a="1"/>
  <c r="N80" i="7" a="1"/>
  <c r="N81" i="7" a="1"/>
  <c r="N82" i="7" a="1"/>
  <c r="N83" i="7" a="1"/>
  <c r="N84" i="7" a="1"/>
  <c r="N85" i="7" a="1"/>
  <c r="N86" i="7" a="1"/>
  <c r="N87" i="7" a="1"/>
  <c r="N88" i="7" a="1"/>
  <c r="N89" i="7" a="1"/>
  <c r="N90" i="7" a="1"/>
  <c r="N91" i="7" a="1"/>
  <c r="N92" i="7" a="1"/>
  <c r="N93" i="7" a="1"/>
  <c r="N94" i="7" a="1"/>
  <c r="N95" i="7" a="1"/>
  <c r="N96" i="7" a="1"/>
  <c r="N97" i="7" a="1"/>
  <c r="N98" i="7" a="1"/>
  <c r="N99" i="7" a="1"/>
  <c r="N100" i="7" a="1"/>
  <c r="N101" i="7" a="1"/>
  <c r="N102" i="7" a="1"/>
  <c r="N103" i="7" a="1"/>
  <c r="N104" i="7" a="1"/>
  <c r="N105" i="7" a="1"/>
  <c r="N106" i="7" a="1"/>
  <c r="N107" i="7" a="1"/>
  <c r="N108" i="7" a="1"/>
  <c r="N109" i="7" a="1"/>
  <c r="N110" i="7" a="1"/>
  <c r="N111" i="7" a="1"/>
  <c r="N112" i="7" a="1"/>
  <c r="N113" i="7" a="1"/>
  <c r="N114" i="7" a="1"/>
  <c r="N115" i="7" a="1"/>
  <c r="N116" i="7" a="1"/>
  <c r="N117" i="7" a="1"/>
  <c r="N118" i="7" a="1"/>
  <c r="N119" i="7" a="1"/>
  <c r="N120" i="7" a="1"/>
  <c r="N121" i="7" a="1"/>
  <c r="N122" i="7" a="1"/>
  <c r="N123" i="7" a="1"/>
  <c r="N124" i="7" a="1"/>
  <c r="N125" i="7" a="1"/>
  <c r="N126" i="7" a="1"/>
  <c r="N127" i="7" a="1"/>
  <c r="N128" i="7" a="1"/>
  <c r="N129" i="7" a="1"/>
  <c r="N130" i="7" a="1"/>
  <c r="N131" i="7" a="1"/>
  <c r="N132" i="7" a="1"/>
  <c r="N133" i="7" a="1"/>
  <c r="N134" i="7" a="1"/>
  <c r="N135" i="7" a="1"/>
  <c r="N136" i="7" a="1"/>
  <c r="N137" i="7" a="1"/>
  <c r="N138" i="7" a="1"/>
  <c r="N139" i="7" a="1"/>
  <c r="N140" i="7" a="1"/>
  <c r="N141" i="7" a="1"/>
  <c r="N142" i="7" a="1"/>
  <c r="N143" i="7" a="1"/>
  <c r="N144" i="7" a="1"/>
  <c r="N145" i="7" a="1"/>
  <c r="N146" i="7" a="1"/>
  <c r="N147" i="7" a="1"/>
  <c r="N148" i="7" a="1"/>
  <c r="N149" i="7" a="1"/>
  <c r="N150" i="7" a="1"/>
  <c r="N151" i="7" a="1"/>
  <c r="N152" i="7" a="1"/>
  <c r="N153" i="7" a="1"/>
  <c r="N154" i="7" a="1"/>
  <c r="N155" i="7" a="1"/>
  <c r="N156" i="7" a="1"/>
  <c r="N157" i="7" a="1"/>
  <c r="N158" i="7" a="1"/>
  <c r="N159" i="7" a="1"/>
  <c r="N160" i="7" a="1"/>
  <c r="N161" i="7" a="1"/>
  <c r="N162" i="7" a="1"/>
  <c r="N163" i="7" a="1"/>
  <c r="N164" i="7" a="1"/>
  <c r="N165" i="7" a="1"/>
  <c r="N166" i="7" a="1"/>
  <c r="N167" i="7" a="1"/>
  <c r="N168" i="7" a="1"/>
  <c r="N169" i="7" a="1"/>
  <c r="N170" i="7" a="1"/>
  <c r="N171" i="7" a="1"/>
  <c r="N172" i="7" a="1"/>
  <c r="N173" i="7" a="1"/>
  <c r="N174" i="7" a="1"/>
  <c r="N175" i="7" a="1"/>
  <c r="N176" i="7" a="1"/>
  <c r="N177" i="7" a="1"/>
  <c r="N178" i="7" a="1"/>
  <c r="N179" i="7" a="1"/>
  <c r="N180" i="7" a="1"/>
  <c r="N181" i="7" a="1"/>
  <c r="N182" i="7" a="1"/>
  <c r="N183" i="7" a="1"/>
  <c r="N184" i="7" a="1"/>
  <c r="N185" i="7" a="1"/>
  <c r="N186" i="7" a="1"/>
  <c r="N187" i="7" a="1"/>
  <c r="N188" i="7" a="1"/>
  <c r="N189" i="7" a="1"/>
  <c r="N190" i="7" a="1"/>
  <c r="N191" i="7" a="1"/>
  <c r="N192" i="7" a="1"/>
  <c r="N193" i="7" a="1"/>
  <c r="N194" i="7" a="1"/>
  <c r="N195" i="7" a="1"/>
  <c r="N196" i="7" a="1"/>
  <c r="N197" i="7" a="1"/>
  <c r="N198" i="7" a="1"/>
  <c r="N199" i="7" a="1"/>
  <c r="N200" i="7" a="1"/>
  <c r="N201" i="7" a="1"/>
  <c r="N202" i="7" a="1"/>
  <c r="N203" i="7" a="1"/>
  <c r="N204" i="7" a="1"/>
  <c r="N205" i="7" a="1"/>
  <c r="N206" i="7" a="1"/>
  <c r="N207" i="7" a="1"/>
  <c r="N208" i="7" a="1"/>
  <c r="N209" i="7" a="1"/>
  <c r="N210" i="7" a="1"/>
  <c r="N211" i="7" a="1"/>
  <c r="N212" i="7" a="1"/>
  <c r="N213" i="7" a="1"/>
  <c r="N214" i="7" a="1"/>
  <c r="N215" i="7" a="1"/>
  <c r="N216" i="7" a="1"/>
  <c r="N217" i="7" a="1"/>
  <c r="N218" i="7" a="1"/>
  <c r="N219" i="7" a="1"/>
  <c r="N220" i="7" a="1"/>
  <c r="N221" i="7" a="1"/>
  <c r="N222" i="7" a="1"/>
  <c r="N223" i="7" a="1"/>
  <c r="N224" i="7" a="1"/>
  <c r="N225" i="7" a="1"/>
  <c r="N226" i="7" a="1"/>
  <c r="N227" i="7" a="1"/>
  <c r="N228" i="7" a="1"/>
  <c r="N229" i="7" a="1"/>
  <c r="N230" i="7" a="1"/>
  <c r="N231" i="7" a="1"/>
  <c r="N232" i="7" a="1"/>
  <c r="N233" i="7" a="1"/>
  <c r="N234" i="7" a="1"/>
  <c r="N235" i="7" a="1"/>
  <c r="N236" i="7" a="1"/>
  <c r="N237" i="7" a="1"/>
  <c r="N238" i="7" a="1"/>
  <c r="N239" i="7" a="1"/>
  <c r="N240" i="7" a="1"/>
  <c r="N241" i="7" a="1"/>
  <c r="N242" i="7" a="1"/>
  <c r="N243" i="7" a="1"/>
  <c r="N244" i="7" a="1"/>
  <c r="N245" i="7" a="1"/>
  <c r="N246" i="7" a="1"/>
  <c r="N247" i="7" a="1"/>
  <c r="N248" i="7" a="1"/>
  <c r="N249" i="7" a="1"/>
  <c r="N250" i="7" a="1"/>
  <c r="N251" i="7" a="1"/>
  <c r="N252" i="7" a="1"/>
  <c r="N253" i="7" a="1"/>
  <c r="N254" i="7" a="1"/>
  <c r="N255" i="7" a="1"/>
  <c r="N256" i="7" a="1"/>
  <c r="N257" i="7" a="1"/>
  <c r="N258" i="7" a="1"/>
  <c r="N259" i="7" a="1"/>
  <c r="N260" i="7" a="1"/>
  <c r="N261" i="7" a="1"/>
  <c r="N262" i="7" a="1"/>
  <c r="N263" i="7" a="1"/>
  <c r="N264" i="7" a="1"/>
  <c r="N265" i="7" a="1"/>
  <c r="N266" i="7" a="1"/>
  <c r="N267" i="7" a="1"/>
  <c r="N268" i="7" a="1"/>
  <c r="N269" i="7" a="1"/>
  <c r="N270" i="7" a="1"/>
  <c r="N271" i="7" a="1"/>
  <c r="N272" i="7" a="1"/>
  <c r="N273" i="7" a="1"/>
  <c r="N274" i="7" a="1"/>
  <c r="N275" i="7" a="1"/>
  <c r="N276" i="7" a="1"/>
  <c r="N277" i="7" a="1"/>
  <c r="N278" i="7" a="1"/>
  <c r="N279" i="7" a="1"/>
  <c r="N280" i="7" a="1"/>
  <c r="N281" i="7" a="1"/>
  <c r="N282" i="7" a="1"/>
  <c r="N283" i="7" a="1"/>
  <c r="N284" i="7" a="1"/>
  <c r="N285" i="7" a="1"/>
  <c r="N286" i="7" a="1"/>
  <c r="N287" i="7" a="1"/>
  <c r="N288" i="7" a="1"/>
  <c r="N289" i="7" a="1"/>
  <c r="N290" i="7" a="1"/>
  <c r="N291" i="7" a="1"/>
  <c r="N292" i="7" a="1"/>
  <c r="N293" i="7" a="1"/>
  <c r="N294" i="7" a="1"/>
  <c r="N295" i="7" a="1"/>
  <c r="N296" i="7" a="1"/>
  <c r="N297" i="7" a="1"/>
  <c r="N298" i="7" a="1"/>
  <c r="N299" i="7" a="1"/>
  <c r="N300" i="7" a="1"/>
  <c r="N301" i="7" a="1"/>
  <c r="N302" i="7" a="1"/>
  <c r="N303" i="7" a="1"/>
  <c r="N304" i="7" a="1"/>
  <c r="N305" i="7" a="1"/>
  <c r="N306" i="7" a="1"/>
  <c r="N307" i="7" a="1"/>
  <c r="N308" i="7" a="1"/>
  <c r="N309" i="7" a="1"/>
  <c r="N310" i="7" a="1"/>
  <c r="N311" i="7" a="1"/>
  <c r="N312" i="7" a="1"/>
  <c r="N313" i="7" a="1"/>
  <c r="N314" i="7" a="1"/>
  <c r="N315" i="7" a="1"/>
  <c r="N316" i="7" a="1"/>
  <c r="N317" i="7" a="1"/>
  <c r="N318" i="7" a="1"/>
  <c r="N319" i="7" a="1"/>
  <c r="N320" i="7" a="1"/>
  <c r="N321" i="7" a="1"/>
  <c r="N322" i="7" a="1"/>
  <c r="N323" i="7" a="1"/>
  <c r="N324" i="7" a="1"/>
  <c r="N325" i="7" a="1"/>
  <c r="N326" i="7" a="1"/>
  <c r="N327" i="7" a="1"/>
  <c r="N328" i="7" a="1"/>
  <c r="N329" i="7" a="1"/>
  <c r="N330" i="7" a="1"/>
  <c r="N331" i="7" a="1"/>
  <c r="N332" i="7" a="1"/>
  <c r="N333" i="7" a="1"/>
  <c r="N334" i="7" a="1"/>
  <c r="N335" i="7" a="1"/>
  <c r="N336" i="7" a="1"/>
  <c r="N337" i="7" a="1"/>
  <c r="N338" i="7" a="1"/>
  <c r="N339" i="7" a="1"/>
  <c r="N340" i="7" a="1"/>
  <c r="N341" i="7" a="1"/>
  <c r="N342" i="7" a="1"/>
  <c r="N343" i="7" a="1"/>
  <c r="N344" i="7" a="1"/>
  <c r="N345" i="7" a="1"/>
  <c r="N346" i="7" a="1"/>
  <c r="N347" i="7" a="1"/>
  <c r="N348" i="7" a="1"/>
  <c r="N349" i="7" a="1"/>
  <c r="N350" i="7" a="1"/>
  <c r="N351" i="7" a="1"/>
  <c r="N352" i="7" a="1"/>
  <c r="N353" i="7" a="1"/>
  <c r="N354" i="7" a="1"/>
  <c r="N355" i="7" a="1"/>
  <c r="N356" i="7" a="1"/>
  <c r="N357" i="7" a="1"/>
  <c r="N358" i="7" a="1"/>
  <c r="N359" i="7" a="1"/>
  <c r="N360" i="7" a="1"/>
  <c r="N361" i="7" a="1"/>
  <c r="N362" i="7" a="1"/>
  <c r="N363" i="7" a="1"/>
  <c r="N364" i="7" a="1"/>
  <c r="N365" i="7" a="1"/>
  <c r="N366" i="7" a="1"/>
  <c r="N367" i="7" a="1"/>
  <c r="N368" i="7" a="1"/>
  <c r="N369" i="7" a="1"/>
  <c r="N370" i="7" a="1"/>
  <c r="N371" i="7" a="1"/>
  <c r="N372" i="7" a="1"/>
  <c r="N373" i="7" a="1"/>
  <c r="N374" i="7" a="1"/>
  <c r="N375" i="7" a="1"/>
  <c r="N376" i="7" a="1"/>
  <c r="N377" i="7" a="1"/>
  <c r="N378" i="7" a="1"/>
  <c r="N379" i="7" a="1"/>
  <c r="N380" i="7" a="1"/>
  <c r="N381" i="7" a="1"/>
  <c r="N382" i="7" a="1"/>
  <c r="N383" i="7" a="1"/>
  <c r="N384" i="7" a="1"/>
  <c r="N385" i="7" a="1"/>
  <c r="N386" i="7" a="1"/>
  <c r="N387" i="7" a="1"/>
  <c r="N388" i="7" a="1"/>
  <c r="N389" i="7" a="1"/>
  <c r="N390" i="7" a="1"/>
  <c r="N391" i="7" a="1"/>
  <c r="N392" i="7" a="1"/>
  <c r="N393" i="7" a="1"/>
  <c r="N394" i="7" a="1"/>
  <c r="N395" i="7" a="1"/>
  <c r="N396" i="7" a="1"/>
  <c r="N397" i="7" a="1"/>
  <c r="N398" i="7" a="1"/>
  <c r="N399" i="7" a="1"/>
  <c r="N400" i="7" a="1"/>
  <c r="N401" i="7" a="1"/>
  <c r="N402" i="7" a="1"/>
  <c r="N403" i="7" a="1"/>
  <c r="N404" i="7" a="1"/>
  <c r="N405" i="7" a="1"/>
  <c r="N406" i="7" a="1"/>
  <c r="N407" i="7" a="1"/>
  <c r="N408" i="7" a="1"/>
  <c r="N409" i="7" a="1"/>
  <c r="N410" i="7" a="1"/>
  <c r="N411" i="7" a="1"/>
  <c r="N412" i="7" a="1"/>
  <c r="N413" i="7" a="1"/>
  <c r="N414" i="7" a="1"/>
  <c r="N415" i="7" a="1"/>
  <c r="N416" i="7" a="1"/>
  <c r="N417" i="7" a="1"/>
  <c r="N418" i="7" a="1"/>
  <c r="N419" i="7" a="1"/>
  <c r="N420" i="7" a="1"/>
  <c r="N421" i="7" a="1"/>
  <c r="N422" i="7" a="1"/>
  <c r="N423" i="7" a="1"/>
  <c r="N424" i="7" a="1"/>
  <c r="N425" i="7" a="1"/>
  <c r="N426" i="7" a="1"/>
  <c r="N427" i="7" a="1"/>
  <c r="N428" i="7" a="1"/>
  <c r="N429" i="7" a="1"/>
  <c r="N430" i="7" a="1"/>
  <c r="N431" i="7" a="1"/>
  <c r="N432" i="7" a="1"/>
  <c r="N433" i="7" a="1"/>
  <c r="N434" i="7" a="1"/>
  <c r="N435" i="7" a="1"/>
  <c r="N436" i="7" a="1"/>
  <c r="N437" i="7" a="1"/>
  <c r="N438" i="7" a="1"/>
  <c r="N439" i="7" a="1"/>
  <c r="N440" i="7" a="1"/>
  <c r="N441" i="7" a="1"/>
  <c r="N442" i="7" a="1"/>
  <c r="N443" i="7" a="1"/>
  <c r="N444" i="7" a="1"/>
  <c r="N445" i="7" a="1"/>
  <c r="N446" i="7" a="1"/>
  <c r="N447" i="7" a="1"/>
  <c r="N448" i="7" a="1"/>
  <c r="N449" i="7" a="1"/>
  <c r="N450" i="7" a="1"/>
  <c r="N451" i="7" a="1"/>
  <c r="N452" i="7" a="1"/>
  <c r="N453" i="7" a="1"/>
  <c r="N454" i="7" a="1"/>
  <c r="N455" i="7" a="1"/>
  <c r="N456" i="7" a="1"/>
  <c r="N457" i="7" a="1"/>
  <c r="N458" i="7" a="1"/>
  <c r="N459" i="7" a="1"/>
  <c r="N460" i="7" a="1"/>
  <c r="N461" i="7" a="1"/>
  <c r="N462" i="7" a="1"/>
  <c r="N463" i="7" a="1"/>
  <c r="N464" i="7" a="1"/>
  <c r="N465" i="7" a="1"/>
  <c r="N466" i="7" a="1"/>
  <c r="N467" i="7" a="1"/>
  <c r="N468" i="7" a="1"/>
  <c r="N469" i="7" a="1"/>
  <c r="N470" i="7" a="1"/>
  <c r="N471" i="7" a="1"/>
  <c r="N472" i="7" a="1"/>
  <c r="N473" i="7" a="1"/>
  <c r="N474" i="7" a="1"/>
  <c r="N475" i="7" a="1"/>
  <c r="N476" i="7" a="1"/>
  <c r="N477" i="7" a="1"/>
  <c r="N478" i="7" a="1"/>
  <c r="N479" i="7" a="1"/>
  <c r="N480" i="7" a="1"/>
  <c r="N481" i="7" a="1"/>
  <c r="N482" i="7" a="1"/>
  <c r="N483" i="7" a="1"/>
  <c r="N484" i="7" a="1"/>
  <c r="N485" i="7" a="1"/>
  <c r="N486" i="7" a="1"/>
  <c r="N487" i="7" a="1"/>
  <c r="N488" i="7" a="1"/>
  <c r="N489" i="7" a="1"/>
  <c r="N490" i="7" a="1"/>
  <c r="N491" i="7" a="1"/>
  <c r="N492" i="7" a="1"/>
  <c r="N493" i="7" a="1"/>
  <c r="N494" i="7" a="1"/>
  <c r="N495" i="7" a="1"/>
  <c r="N496" i="7" a="1"/>
  <c r="N497" i="7" a="1"/>
  <c r="N498" i="7" a="1"/>
  <c r="N499" i="7" a="1"/>
  <c r="N500" i="7" a="1"/>
  <c r="N501" i="7" a="1"/>
  <c r="N502" i="7" a="1"/>
  <c r="N503" i="7" a="1"/>
  <c r="N504" i="7" a="1"/>
  <c r="N505" i="7" a="1"/>
  <c r="N506" i="7" a="1"/>
  <c r="N507" i="7" a="1"/>
  <c r="N508" i="7" a="1"/>
  <c r="N509" i="7" a="1"/>
  <c r="N510" i="7" a="1"/>
  <c r="N511" i="7" a="1"/>
  <c r="N512" i="7" a="1"/>
  <c r="N513" i="7" a="1"/>
  <c r="N514" i="7" a="1"/>
  <c r="N515" i="7" a="1"/>
  <c r="N516" i="7" a="1"/>
  <c r="N517" i="7" a="1"/>
  <c r="N518" i="7" a="1"/>
  <c r="N519" i="7" a="1"/>
  <c r="N520" i="7" a="1"/>
  <c r="N521" i="7" a="1"/>
  <c r="N522" i="7" a="1"/>
  <c r="N523" i="7" a="1"/>
  <c r="N524" i="7" a="1"/>
  <c r="N525" i="7" a="1"/>
  <c r="N526" i="7" a="1"/>
  <c r="N527" i="7" a="1"/>
  <c r="N528" i="7" a="1"/>
  <c r="N529" i="7" a="1"/>
  <c r="N530" i="7" a="1"/>
  <c r="N531" i="7" a="1"/>
  <c r="N532" i="7" a="1"/>
  <c r="N533" i="7" a="1"/>
  <c r="N534" i="7" a="1"/>
  <c r="N535" i="7" a="1"/>
  <c r="N536" i="7" a="1"/>
  <c r="N537" i="7" a="1"/>
  <c r="N538" i="7" a="1"/>
  <c r="N539" i="7" a="1"/>
  <c r="N540" i="7" a="1"/>
  <c r="N541" i="7" a="1"/>
  <c r="N542" i="7" a="1"/>
  <c r="N543" i="7" a="1"/>
  <c r="N544" i="7" a="1"/>
  <c r="N545" i="7" a="1"/>
  <c r="N546" i="7" a="1"/>
  <c r="N547" i="7" a="1"/>
  <c r="N548" i="7" a="1"/>
  <c r="N549" i="7" a="1"/>
  <c r="N550" i="7" a="1"/>
  <c r="N551" i="7" a="1"/>
  <c r="N552" i="7" a="1"/>
  <c r="N553" i="7" a="1"/>
  <c r="N554" i="7" a="1"/>
  <c r="N555" i="7" a="1"/>
  <c r="N556" i="7" a="1"/>
  <c r="N557" i="7" a="1"/>
  <c r="N558" i="7" a="1"/>
  <c r="N559" i="7" a="1"/>
  <c r="N560" i="7" a="1"/>
  <c r="N561" i="7" a="1"/>
  <c r="N562" i="7" a="1"/>
  <c r="N563" i="7" a="1"/>
  <c r="N564" i="7" a="1"/>
  <c r="N565" i="7" a="1"/>
  <c r="N566" i="7" a="1"/>
  <c r="N567" i="7" a="1"/>
  <c r="N568" i="7" a="1"/>
  <c r="N569" i="7" a="1"/>
  <c r="N570" i="7" a="1"/>
  <c r="N571" i="7" a="1"/>
  <c r="N572" i="7" a="1"/>
  <c r="N573" i="7" a="1"/>
  <c r="N574" i="7" a="1"/>
  <c r="N575" i="7" a="1"/>
  <c r="N576" i="7" a="1"/>
  <c r="N577" i="7" a="1"/>
  <c r="N578" i="7" a="1"/>
  <c r="N579" i="7" a="1"/>
  <c r="N580" i="7" a="1"/>
  <c r="N581" i="7" a="1"/>
  <c r="N582" i="7" a="1"/>
  <c r="N583" i="7" a="1"/>
  <c r="N584" i="7" a="1"/>
  <c r="N585" i="7" a="1"/>
  <c r="N586" i="7" a="1"/>
  <c r="N587" i="7" a="1"/>
  <c r="N588" i="7" a="1"/>
  <c r="N589" i="7" a="1"/>
  <c r="N590" i="7" a="1"/>
  <c r="N591" i="7" a="1"/>
  <c r="N592" i="7" a="1"/>
  <c r="N593" i="7" a="1"/>
  <c r="N594" i="7" a="1"/>
  <c r="N595" i="7" a="1"/>
  <c r="N596" i="7" a="1"/>
  <c r="N597" i="7" a="1"/>
  <c r="N598" i="7" a="1"/>
  <c r="N599" i="7" a="1"/>
  <c r="N600" i="7" a="1"/>
  <c r="N601" i="7" a="1"/>
  <c r="N602" i="7" a="1"/>
  <c r="N603" i="7" a="1"/>
  <c r="N604" i="7" a="1"/>
  <c r="N605" i="7" a="1"/>
  <c r="N606" i="7" a="1"/>
  <c r="N607" i="7" a="1"/>
  <c r="N608" i="7" a="1"/>
  <c r="N609" i="7" a="1"/>
  <c r="N610" i="7" a="1"/>
  <c r="N611" i="7" a="1"/>
  <c r="N612" i="7" a="1"/>
  <c r="N613" i="7" a="1"/>
  <c r="N614" i="7" a="1"/>
  <c r="N615" i="7" a="1"/>
  <c r="N616" i="7" a="1"/>
  <c r="N617" i="7" a="1"/>
  <c r="N618" i="7" a="1"/>
  <c r="N619" i="7" a="1"/>
  <c r="N620" i="7" a="1"/>
  <c r="N621" i="7" a="1"/>
  <c r="N622" i="7" a="1"/>
  <c r="N623" i="7" a="1"/>
  <c r="N624" i="7" a="1"/>
  <c r="N625" i="7" a="1"/>
  <c r="N626" i="7" a="1"/>
  <c r="N627" i="7" a="1"/>
  <c r="N628" i="7" a="1"/>
  <c r="N629" i="7" a="1"/>
  <c r="N630" i="7" a="1"/>
  <c r="N631" i="7" a="1"/>
  <c r="N632" i="7" a="1"/>
  <c r="N633" i="7" a="1"/>
  <c r="N634" i="7" a="1"/>
  <c r="N635" i="7" a="1"/>
  <c r="N636" i="7" a="1"/>
  <c r="N637" i="7" a="1"/>
  <c r="N638" i="7" a="1"/>
  <c r="N639" i="7" a="1"/>
  <c r="N640" i="7" a="1"/>
  <c r="N641" i="7" a="1"/>
  <c r="N642" i="7" a="1"/>
  <c r="N643" i="7" a="1"/>
  <c r="N644" i="7" a="1"/>
  <c r="N645" i="7" a="1"/>
  <c r="N646" i="7" a="1"/>
  <c r="N647" i="7" a="1"/>
  <c r="N648" i="7" a="1"/>
  <c r="N649" i="7" a="1"/>
  <c r="N650" i="7" a="1"/>
  <c r="N651" i="7" a="1"/>
  <c r="N652" i="7" a="1"/>
  <c r="N653" i="7" a="1"/>
  <c r="N654" i="7" a="1"/>
  <c r="N655" i="7" a="1"/>
  <c r="N656" i="7" a="1"/>
  <c r="N657" i="7" a="1"/>
  <c r="N658" i="7" a="1"/>
  <c r="N659" i="7" a="1"/>
  <c r="N660" i="7" a="1"/>
  <c r="N661" i="7" a="1"/>
  <c r="N662" i="7" a="1"/>
  <c r="N663" i="7" a="1"/>
  <c r="N664" i="7" a="1"/>
  <c r="N665" i="7" a="1"/>
  <c r="N666" i="7" a="1"/>
  <c r="N667" i="7" a="1"/>
  <c r="N668" i="7" a="1"/>
  <c r="N669" i="7" a="1"/>
  <c r="N670" i="7" a="1"/>
  <c r="N671" i="7" a="1"/>
  <c r="N672" i="7" a="1"/>
  <c r="N673" i="7" a="1"/>
  <c r="N674" i="7" a="1"/>
  <c r="N675" i="7" a="1"/>
  <c r="N676" i="7" a="1"/>
  <c r="N677" i="7" a="1"/>
  <c r="N678" i="7" a="1"/>
  <c r="N679" i="7" a="1"/>
  <c r="N680" i="7" a="1"/>
  <c r="N681" i="7" a="1"/>
  <c r="N682" i="7" a="1"/>
  <c r="N683" i="7" a="1"/>
  <c r="N684" i="7" a="1"/>
  <c r="N685" i="7" a="1"/>
  <c r="N686" i="7" a="1"/>
  <c r="N687" i="7" a="1"/>
  <c r="N688" i="7" a="1"/>
  <c r="N689" i="7" a="1"/>
  <c r="N690" i="7" a="1"/>
  <c r="N691" i="7" a="1"/>
  <c r="N692" i="7" a="1"/>
  <c r="N693" i="7" a="1"/>
  <c r="N694" i="7" a="1"/>
  <c r="N695" i="7" a="1"/>
  <c r="N696" i="7" a="1"/>
  <c r="N697" i="7" a="1"/>
  <c r="N698" i="7" a="1"/>
  <c r="N699" i="7" a="1"/>
  <c r="N700" i="7" a="1"/>
  <c r="N701" i="7" a="1"/>
  <c r="N702" i="7" a="1"/>
  <c r="N703" i="7" a="1"/>
  <c r="N704" i="7" a="1"/>
  <c r="N705" i="7" a="1"/>
  <c r="N706" i="7" a="1"/>
  <c r="N707" i="7" a="1"/>
  <c r="N708" i="7" a="1"/>
  <c r="N709" i="7" a="1"/>
  <c r="N710" i="7" a="1"/>
  <c r="N711" i="7" a="1"/>
  <c r="N712" i="7" a="1"/>
  <c r="N713" i="7" a="1"/>
  <c r="N714" i="7" a="1"/>
  <c r="N715" i="7" a="1"/>
  <c r="N716" i="7" a="1"/>
  <c r="N717" i="7" a="1"/>
  <c r="N718" i="7" a="1"/>
  <c r="N719" i="7" a="1"/>
  <c r="N720" i="7" a="1"/>
  <c r="N721" i="7" a="1"/>
  <c r="N722" i="7" a="1"/>
  <c r="N723" i="7" a="1"/>
  <c r="N724" i="7" a="1"/>
  <c r="N725" i="7" a="1"/>
  <c r="N726" i="7" a="1"/>
  <c r="N727" i="7" a="1"/>
  <c r="N728" i="7" a="1"/>
  <c r="N729" i="7" a="1"/>
  <c r="N730" i="7" a="1"/>
  <c r="N731" i="7" a="1"/>
  <c r="N732" i="7" a="1"/>
  <c r="N733" i="7" a="1"/>
  <c r="N734" i="7" a="1"/>
  <c r="N735" i="7" a="1"/>
  <c r="N736" i="7" a="1"/>
  <c r="N737" i="7" a="1"/>
  <c r="N738" i="7" a="1"/>
  <c r="N739" i="7" a="1"/>
  <c r="N740" i="7" a="1"/>
  <c r="N741" i="7" a="1"/>
  <c r="N742" i="7" a="1"/>
  <c r="N743" i="7" a="1"/>
  <c r="N744" i="7" a="1"/>
  <c r="N745" i="7" a="1"/>
  <c r="N746" i="7" a="1"/>
  <c r="N747" i="7" a="1"/>
  <c r="N748" i="7" a="1"/>
  <c r="N749" i="7" a="1"/>
  <c r="N750" i="7" a="1"/>
  <c r="N751" i="7" a="1"/>
  <c r="N752" i="7" a="1"/>
  <c r="N753" i="7" a="1"/>
  <c r="N754" i="7" a="1"/>
  <c r="N755" i="7" a="1"/>
  <c r="N756" i="7" a="1"/>
  <c r="N757" i="7" a="1"/>
  <c r="N758" i="7" a="1"/>
  <c r="N759" i="7" a="1"/>
  <c r="N760" i="7" a="1"/>
  <c r="N761" i="7" a="1"/>
  <c r="N762" i="7" a="1"/>
  <c r="N763" i="7" a="1"/>
  <c r="N764" i="7" a="1"/>
  <c r="N765" i="7" a="1"/>
  <c r="N766" i="7" a="1"/>
  <c r="N767" i="7" a="1"/>
  <c r="N768" i="7" a="1"/>
  <c r="N769" i="7" a="1"/>
  <c r="N770" i="7" a="1"/>
  <c r="N771" i="7" a="1"/>
  <c r="N772" i="7" a="1"/>
  <c r="N773" i="7" a="1"/>
  <c r="N774" i="7" a="1"/>
  <c r="N775" i="7" a="1"/>
  <c r="N776" i="7" a="1"/>
  <c r="N777" i="7" a="1"/>
  <c r="N778" i="7" a="1"/>
  <c r="N779" i="7" a="1"/>
  <c r="N780" i="7" a="1"/>
  <c r="N781" i="7" a="1"/>
  <c r="N782" i="7" a="1"/>
  <c r="N783" i="7" a="1"/>
  <c r="N784" i="7" a="1"/>
  <c r="N785" i="7" a="1"/>
  <c r="N786" i="7" a="1"/>
  <c r="N787" i="7" a="1"/>
  <c r="N788" i="7" a="1"/>
  <c r="N789" i="7" a="1"/>
  <c r="N790" i="7" a="1"/>
  <c r="N791" i="7" a="1"/>
  <c r="N792" i="7" a="1"/>
  <c r="N793" i="7" a="1"/>
  <c r="N794" i="7" a="1"/>
  <c r="N795" i="7" a="1"/>
  <c r="N796" i="7" a="1"/>
  <c r="N797" i="7" a="1"/>
  <c r="N798" i="7" a="1"/>
  <c r="N799" i="7" a="1"/>
  <c r="N800" i="7" a="1"/>
  <c r="N801" i="7" a="1"/>
  <c r="N802" i="7" a="1"/>
  <c r="N803" i="7" a="1"/>
  <c r="N804" i="7" a="1"/>
  <c r="N805" i="7" a="1"/>
  <c r="N806" i="7" a="1"/>
  <c r="N807" i="7" a="1"/>
  <c r="N808" i="7" a="1"/>
  <c r="N809" i="7" a="1"/>
  <c r="N810" i="7" a="1"/>
  <c r="N811" i="7" a="1"/>
  <c r="N812" i="7" a="1"/>
  <c r="N813" i="7" a="1"/>
  <c r="N814" i="7" a="1"/>
  <c r="N815" i="7" a="1"/>
  <c r="N816" i="7" a="1"/>
  <c r="N817" i="7" a="1"/>
  <c r="N818" i="7" a="1"/>
  <c r="N819" i="7" a="1"/>
  <c r="N820" i="7" a="1"/>
  <c r="N821" i="7" a="1"/>
  <c r="N822" i="7" a="1"/>
  <c r="N823" i="7" a="1"/>
  <c r="N824" i="7" a="1"/>
  <c r="N825" i="7" a="1"/>
  <c r="N826" i="7" a="1"/>
  <c r="N827" i="7" a="1"/>
  <c r="N828" i="7" a="1"/>
  <c r="N829" i="7" a="1"/>
  <c r="N830" i="7" a="1"/>
  <c r="N831" i="7" a="1"/>
  <c r="N832" i="7" a="1"/>
  <c r="N833" i="7" a="1"/>
  <c r="N834" i="7" a="1"/>
  <c r="N835" i="7" a="1"/>
  <c r="N836" i="7" a="1"/>
  <c r="N837" i="7" a="1"/>
  <c r="N838" i="7" a="1"/>
  <c r="N839" i="7" a="1"/>
  <c r="N840" i="7" a="1"/>
  <c r="N841" i="7" a="1"/>
  <c r="N842" i="7" a="1"/>
  <c r="N843" i="7" a="1"/>
  <c r="N844" i="7" a="1"/>
  <c r="N845" i="7" a="1"/>
  <c r="N846" i="7" a="1"/>
  <c r="N847" i="7" a="1"/>
  <c r="N848" i="7" a="1"/>
  <c r="N849" i="7" a="1"/>
  <c r="N850" i="7" a="1"/>
  <c r="N851" i="7" a="1"/>
  <c r="N852" i="7" a="1"/>
  <c r="N853" i="7" a="1"/>
  <c r="N854" i="7" a="1"/>
  <c r="N855" i="7" a="1"/>
  <c r="N856" i="7" a="1"/>
  <c r="N857" i="7" a="1"/>
  <c r="N858" i="7" a="1"/>
  <c r="N859" i="7" a="1"/>
  <c r="N860" i="7" a="1"/>
  <c r="N861" i="7" a="1"/>
  <c r="N862" i="7" a="1"/>
  <c r="N863" i="7" a="1"/>
  <c r="N864" i="7" a="1"/>
  <c r="N865" i="7" a="1"/>
  <c r="N866" i="7" a="1"/>
  <c r="N867" i="7" a="1"/>
  <c r="N868" i="7" a="1"/>
  <c r="N869" i="7" a="1"/>
  <c r="N870" i="7" a="1"/>
  <c r="N871" i="7" a="1"/>
  <c r="N872" i="7" a="1"/>
  <c r="N873" i="7" a="1"/>
  <c r="N874" i="7" a="1"/>
  <c r="N875" i="7" a="1"/>
  <c r="N876" i="7" a="1"/>
  <c r="N877" i="7" a="1"/>
  <c r="N878" i="7" a="1"/>
  <c r="N879" i="7" a="1"/>
  <c r="N880" i="7" a="1"/>
  <c r="N881" i="7" a="1"/>
  <c r="N882" i="7" a="1"/>
  <c r="N883" i="7" a="1"/>
  <c r="N884" i="7" a="1"/>
  <c r="N885" i="7" a="1"/>
  <c r="N886" i="7" a="1"/>
  <c r="N887" i="7" a="1"/>
  <c r="N888" i="7" a="1"/>
  <c r="N889" i="7" a="1"/>
  <c r="N890" i="7" a="1"/>
  <c r="N891" i="7" a="1"/>
  <c r="N892" i="7" a="1"/>
  <c r="N893" i="7" a="1"/>
  <c r="N894" i="7" a="1"/>
  <c r="N895" i="7" a="1"/>
  <c r="N896" i="7" a="1"/>
  <c r="N897" i="7" a="1"/>
  <c r="N898" i="7" a="1"/>
  <c r="N899" i="7" a="1"/>
  <c r="N900" i="7" a="1"/>
  <c r="N901" i="7" a="1"/>
  <c r="N902" i="7" a="1"/>
  <c r="N903" i="7" a="1"/>
  <c r="N904" i="7" a="1"/>
  <c r="N905" i="7" a="1"/>
  <c r="N906" i="7" a="1"/>
  <c r="N907" i="7" a="1"/>
  <c r="N908" i="7" a="1"/>
  <c r="N909" i="7" a="1"/>
  <c r="N910" i="7" a="1"/>
  <c r="N911" i="7" a="1"/>
  <c r="N912" i="7" a="1"/>
  <c r="N913" i="7" a="1"/>
  <c r="N914" i="7" a="1"/>
  <c r="N915" i="7" a="1"/>
  <c r="N916" i="7" a="1"/>
  <c r="N917" i="7" a="1"/>
  <c r="N918" i="7" a="1"/>
  <c r="N919" i="7" a="1"/>
  <c r="N920" i="7" a="1"/>
  <c r="N921" i="7" a="1"/>
  <c r="N922" i="7" a="1"/>
  <c r="N923" i="7" a="1"/>
  <c r="N924" i="7" a="1"/>
  <c r="N925" i="7" a="1"/>
  <c r="N926" i="7" a="1"/>
  <c r="N927" i="7" a="1"/>
  <c r="N928" i="7" a="1"/>
  <c r="N929" i="7" a="1"/>
  <c r="N930" i="7" a="1"/>
  <c r="N931" i="7" a="1"/>
  <c r="N932" i="7" a="1"/>
  <c r="N933" i="7" a="1"/>
  <c r="N934" i="7" a="1"/>
  <c r="N935" i="7" a="1"/>
  <c r="N936" i="7" a="1"/>
  <c r="N937" i="7" a="1"/>
  <c r="N938" i="7" a="1"/>
  <c r="N939" i="7" a="1"/>
  <c r="N940" i="7" a="1"/>
  <c r="N941" i="7" a="1"/>
  <c r="N942" i="7" a="1"/>
  <c r="N943" i="7" a="1"/>
  <c r="N944" i="7" a="1"/>
  <c r="N945" i="7" a="1"/>
  <c r="N946" i="7" a="1"/>
  <c r="N947" i="7" a="1"/>
  <c r="N948" i="7" a="1"/>
  <c r="N949" i="7" a="1"/>
  <c r="N950" i="7" a="1"/>
  <c r="N951" i="7" a="1"/>
  <c r="N952" i="7" a="1"/>
  <c r="N953" i="7" a="1"/>
  <c r="N954" i="7" a="1"/>
  <c r="N955" i="7" a="1"/>
  <c r="N956" i="7" a="1"/>
  <c r="N957" i="7" a="1"/>
  <c r="N958" i="7" a="1"/>
  <c r="N959" i="7" a="1"/>
  <c r="N960" i="7" a="1"/>
  <c r="N961" i="7" a="1"/>
  <c r="N962" i="7" a="1"/>
  <c r="N963" i="7" a="1"/>
  <c r="N964" i="7" a="1"/>
  <c r="N965" i="7" a="1"/>
  <c r="N966" i="7" a="1"/>
  <c r="N967" i="7" a="1"/>
  <c r="N968" i="7" a="1"/>
  <c r="N969" i="7" a="1"/>
  <c r="N970" i="7" a="1"/>
  <c r="N971" i="7" a="1"/>
  <c r="N972" i="7" a="1"/>
  <c r="N973" i="7" a="1"/>
  <c r="N974" i="7" a="1"/>
  <c r="N975" i="7" a="1"/>
  <c r="N976" i="7" a="1"/>
  <c r="N977" i="7" a="1"/>
  <c r="N978" i="7" a="1"/>
  <c r="N979" i="7" a="1"/>
  <c r="N980" i="7" a="1"/>
  <c r="N981" i="7" a="1"/>
  <c r="N982" i="7" a="1"/>
  <c r="N983" i="7" a="1"/>
  <c r="N984" i="7" a="1"/>
  <c r="N985" i="7" a="1"/>
  <c r="N986" i="7" a="1"/>
  <c r="N987" i="7" a="1"/>
  <c r="N988" i="7" a="1"/>
  <c r="N989" i="7" a="1"/>
  <c r="N990" i="7" a="1"/>
  <c r="N991" i="7" a="1"/>
  <c r="N992" i="7" a="1"/>
  <c r="N993" i="7" a="1"/>
  <c r="N994" i="7" a="1"/>
  <c r="N995" i="7" a="1"/>
  <c r="N996" i="7" a="1"/>
  <c r="N997" i="7" a="1"/>
  <c r="N998" i="7" a="1"/>
  <c r="N999" i="7" a="1"/>
  <c r="N1000" i="7" a="1"/>
  <c r="N1001" i="7" a="1"/>
  <c r="M49" i="7" a="1"/>
  <c r="M50" i="7" a="1"/>
  <c r="M51" i="7" a="1"/>
  <c r="M52" i="7" a="1"/>
  <c r="M53" i="7" a="1"/>
  <c r="M54" i="7" a="1"/>
  <c r="M55" i="7" a="1"/>
  <c r="M56" i="7" a="1"/>
  <c r="M57" i="7" a="1"/>
  <c r="M58" i="7" a="1"/>
  <c r="M59" i="7" a="1"/>
  <c r="M60" i="7" a="1"/>
  <c r="M61" i="7" a="1"/>
  <c r="M62" i="7" a="1"/>
  <c r="M63" i="7" a="1"/>
  <c r="M64" i="7" a="1"/>
  <c r="M65" i="7" a="1"/>
  <c r="M66" i="7" a="1"/>
  <c r="M67" i="7" a="1"/>
  <c r="M68" i="7" a="1"/>
  <c r="M69" i="7" a="1"/>
  <c r="M70" i="7" a="1"/>
  <c r="M71" i="7" a="1"/>
  <c r="M72" i="7" a="1"/>
  <c r="M73" i="7" a="1"/>
  <c r="M74" i="7" a="1"/>
  <c r="M75" i="7" a="1"/>
  <c r="M76" i="7" a="1"/>
  <c r="M77" i="7" a="1"/>
  <c r="M78" i="7" a="1"/>
  <c r="M79" i="7" a="1"/>
  <c r="M80" i="7" a="1"/>
  <c r="M81" i="7" a="1"/>
  <c r="M82" i="7" a="1"/>
  <c r="M83" i="7" a="1"/>
  <c r="M84" i="7" a="1"/>
  <c r="M85" i="7" a="1"/>
  <c r="M86" i="7" a="1"/>
  <c r="M87" i="7" a="1"/>
  <c r="M88" i="7" a="1"/>
  <c r="M89" i="7" a="1"/>
  <c r="M90" i="7" a="1"/>
  <c r="M91" i="7" a="1"/>
  <c r="M92" i="7" a="1"/>
  <c r="M93" i="7" a="1"/>
  <c r="M94" i="7" a="1"/>
  <c r="M95" i="7" a="1"/>
  <c r="M96" i="7" a="1"/>
  <c r="M97" i="7" a="1"/>
  <c r="M98" i="7" a="1"/>
  <c r="M99" i="7" a="1"/>
  <c r="M100" i="7" a="1"/>
  <c r="M101" i="7" a="1"/>
  <c r="M102" i="7" a="1"/>
  <c r="M103" i="7" a="1"/>
  <c r="M104" i="7" a="1"/>
  <c r="M105" i="7" a="1"/>
  <c r="M106" i="7" a="1"/>
  <c r="M107" i="7" a="1"/>
  <c r="M108" i="7" a="1"/>
  <c r="M109" i="7" a="1"/>
  <c r="M110" i="7" a="1"/>
  <c r="M111" i="7" a="1"/>
  <c r="M112" i="7" a="1"/>
  <c r="M113" i="7" a="1"/>
  <c r="M114" i="7" a="1"/>
  <c r="M115" i="7" a="1"/>
  <c r="M116" i="7" a="1"/>
  <c r="M117" i="7" a="1"/>
  <c r="M118" i="7" a="1"/>
  <c r="M119" i="7" a="1"/>
  <c r="M120" i="7" a="1"/>
  <c r="M121" i="7" a="1"/>
  <c r="M122" i="7" a="1"/>
  <c r="M123" i="7" a="1"/>
  <c r="M124" i="7" a="1"/>
  <c r="M125" i="7" a="1"/>
  <c r="M126" i="7" a="1"/>
  <c r="M127" i="7" a="1"/>
  <c r="M128" i="7" a="1"/>
  <c r="M129" i="7" a="1"/>
  <c r="M130" i="7" a="1"/>
  <c r="M131" i="7" a="1"/>
  <c r="M132" i="7" a="1"/>
  <c r="M133" i="7" a="1"/>
  <c r="M134" i="7" a="1"/>
  <c r="M135" i="7" a="1"/>
  <c r="M136" i="7" a="1"/>
  <c r="M137" i="7" a="1"/>
  <c r="M138" i="7" a="1"/>
  <c r="M139" i="7" a="1"/>
  <c r="M140" i="7" a="1"/>
  <c r="M141" i="7" a="1"/>
  <c r="M142" i="7" a="1"/>
  <c r="M143" i="7" a="1"/>
  <c r="M144" i="7" a="1"/>
  <c r="M145" i="7" a="1"/>
  <c r="M146" i="7" a="1"/>
  <c r="M147" i="7" a="1"/>
  <c r="M148" i="7" a="1"/>
  <c r="M149" i="7" a="1"/>
  <c r="M150" i="7" a="1"/>
  <c r="M151" i="7" a="1"/>
  <c r="M152" i="7" a="1"/>
  <c r="M153" i="7" a="1"/>
  <c r="M154" i="7" a="1"/>
  <c r="M155" i="7" a="1"/>
  <c r="M156" i="7" a="1"/>
  <c r="M157" i="7" a="1"/>
  <c r="M158" i="7" a="1"/>
  <c r="M159" i="7" a="1"/>
  <c r="M160" i="7" a="1"/>
  <c r="M161" i="7" a="1"/>
  <c r="M162" i="7" a="1"/>
  <c r="M163" i="7" a="1"/>
  <c r="M164" i="7" a="1"/>
  <c r="M165" i="7" a="1"/>
  <c r="M166" i="7" a="1"/>
  <c r="M167" i="7" a="1"/>
  <c r="M168" i="7" a="1"/>
  <c r="M169" i="7" a="1"/>
  <c r="M170" i="7" a="1"/>
  <c r="M171" i="7" a="1"/>
  <c r="M172" i="7" a="1"/>
  <c r="M173" i="7" a="1"/>
  <c r="M174" i="7" a="1"/>
  <c r="M175" i="7" a="1"/>
  <c r="M176" i="7" a="1"/>
  <c r="M177" i="7" a="1"/>
  <c r="M178" i="7" a="1"/>
  <c r="M179" i="7" a="1"/>
  <c r="M180" i="7" a="1"/>
  <c r="M181" i="7" a="1"/>
  <c r="M182" i="7" a="1"/>
  <c r="M183" i="7" a="1"/>
  <c r="M184" i="7" a="1"/>
  <c r="M185" i="7" a="1"/>
  <c r="M186" i="7" a="1"/>
  <c r="M187" i="7" a="1"/>
  <c r="M188" i="7" a="1"/>
  <c r="M189" i="7" a="1"/>
  <c r="M190" i="7" a="1"/>
  <c r="M191" i="7" a="1"/>
  <c r="M192" i="7" a="1"/>
  <c r="M193" i="7" a="1"/>
  <c r="M194" i="7" a="1"/>
  <c r="M195" i="7" a="1"/>
  <c r="M196" i="7" a="1"/>
  <c r="M197" i="7" a="1"/>
  <c r="M198" i="7" a="1"/>
  <c r="M199" i="7" a="1"/>
  <c r="M200" i="7" a="1"/>
  <c r="M201" i="7" a="1"/>
  <c r="M202" i="7" a="1"/>
  <c r="M203" i="7" a="1"/>
  <c r="M204" i="7" a="1"/>
  <c r="M205" i="7" a="1"/>
  <c r="M206" i="7" a="1"/>
  <c r="M207" i="7" a="1"/>
  <c r="M208" i="7" a="1"/>
  <c r="M209" i="7" a="1"/>
  <c r="M210" i="7" a="1"/>
  <c r="M211" i="7" a="1"/>
  <c r="M212" i="7" a="1"/>
  <c r="M213" i="7" a="1"/>
  <c r="M214" i="7" a="1"/>
  <c r="M215" i="7" a="1"/>
  <c r="M216" i="7" a="1"/>
  <c r="M217" i="7" a="1"/>
  <c r="M218" i="7" a="1"/>
  <c r="M219" i="7" a="1"/>
  <c r="M220" i="7" a="1"/>
  <c r="M221" i="7" a="1"/>
  <c r="M222" i="7" a="1"/>
  <c r="M223" i="7" a="1"/>
  <c r="M224" i="7" a="1"/>
  <c r="M225" i="7" a="1"/>
  <c r="M226" i="7" a="1"/>
  <c r="M227" i="7" a="1"/>
  <c r="M228" i="7" a="1"/>
  <c r="M229" i="7" a="1"/>
  <c r="M230" i="7" a="1"/>
  <c r="M231" i="7" a="1"/>
  <c r="M232" i="7" a="1"/>
  <c r="M233" i="7" a="1"/>
  <c r="M234" i="7" a="1"/>
  <c r="M235" i="7" a="1"/>
  <c r="M236" i="7" a="1"/>
  <c r="M237" i="7" a="1"/>
  <c r="M238" i="7" a="1"/>
  <c r="M239" i="7" a="1"/>
  <c r="M240" i="7" a="1"/>
  <c r="M241" i="7" a="1"/>
  <c r="M242" i="7" a="1"/>
  <c r="M243" i="7" a="1"/>
  <c r="M244" i="7" a="1"/>
  <c r="M245" i="7" a="1"/>
  <c r="M246" i="7" a="1"/>
  <c r="M247" i="7" a="1"/>
  <c r="M248" i="7" a="1"/>
  <c r="M249" i="7" a="1"/>
  <c r="M250" i="7" a="1"/>
  <c r="M251" i="7" a="1"/>
  <c r="M252" i="7" a="1"/>
  <c r="M253" i="7" a="1"/>
  <c r="M254" i="7" a="1"/>
  <c r="M255" i="7" a="1"/>
  <c r="M256" i="7" a="1"/>
  <c r="M257" i="7" a="1"/>
  <c r="M258" i="7" a="1"/>
  <c r="M259" i="7" a="1"/>
  <c r="M260" i="7" a="1"/>
  <c r="M261" i="7" a="1"/>
  <c r="M262" i="7" a="1"/>
  <c r="M263" i="7" a="1"/>
  <c r="M264" i="7" a="1"/>
  <c r="M265" i="7" a="1"/>
  <c r="M266" i="7" a="1"/>
  <c r="M267" i="7" a="1"/>
  <c r="M268" i="7" a="1"/>
  <c r="M269" i="7" a="1"/>
  <c r="M270" i="7" a="1"/>
  <c r="M271" i="7" a="1"/>
  <c r="M272" i="7" a="1"/>
  <c r="M273" i="7" a="1"/>
  <c r="M274" i="7" a="1"/>
  <c r="M275" i="7" a="1"/>
  <c r="M276" i="7" a="1"/>
  <c r="M277" i="7" a="1"/>
  <c r="M278" i="7" a="1"/>
  <c r="M279" i="7" a="1"/>
  <c r="M280" i="7" a="1"/>
  <c r="M281" i="7" a="1"/>
  <c r="M282" i="7" a="1"/>
  <c r="M283" i="7" a="1"/>
  <c r="M284" i="7" a="1"/>
  <c r="M285" i="7" a="1"/>
  <c r="M286" i="7" a="1"/>
  <c r="M287" i="7" a="1"/>
  <c r="M288" i="7" a="1"/>
  <c r="M289" i="7" a="1"/>
  <c r="M290" i="7" a="1"/>
  <c r="M291" i="7" a="1"/>
  <c r="M292" i="7" a="1"/>
  <c r="M293" i="7" a="1"/>
  <c r="M294" i="7" a="1"/>
  <c r="M295" i="7" a="1"/>
  <c r="M296" i="7" a="1"/>
  <c r="M297" i="7" a="1"/>
  <c r="M298" i="7" a="1"/>
  <c r="M299" i="7" a="1"/>
  <c r="M300" i="7" a="1"/>
  <c r="M301" i="7" a="1"/>
  <c r="M302" i="7" a="1"/>
  <c r="M303" i="7" a="1"/>
  <c r="M304" i="7" a="1"/>
  <c r="M305" i="7" a="1"/>
  <c r="M306" i="7" a="1"/>
  <c r="M307" i="7" a="1"/>
  <c r="M308" i="7" a="1"/>
  <c r="M309" i="7" a="1"/>
  <c r="M310" i="7" a="1"/>
  <c r="M311" i="7" a="1"/>
  <c r="M312" i="7" a="1"/>
  <c r="M313" i="7" a="1"/>
  <c r="M314" i="7" a="1"/>
  <c r="M315" i="7" a="1"/>
  <c r="M316" i="7" a="1"/>
  <c r="M317" i="7" a="1"/>
  <c r="M318" i="7" a="1"/>
  <c r="M319" i="7" a="1"/>
  <c r="M320" i="7" a="1"/>
  <c r="M321" i="7" a="1"/>
  <c r="M322" i="7" a="1"/>
  <c r="M323" i="7" a="1"/>
  <c r="M324" i="7" a="1"/>
  <c r="M325" i="7" a="1"/>
  <c r="M326" i="7" a="1"/>
  <c r="M327" i="7" a="1"/>
  <c r="M328" i="7" a="1"/>
  <c r="M329" i="7" a="1"/>
  <c r="M330" i="7" a="1"/>
  <c r="M331" i="7" a="1"/>
  <c r="M332" i="7" a="1"/>
  <c r="M333" i="7" a="1"/>
  <c r="M334" i="7" a="1"/>
  <c r="M335" i="7" a="1"/>
  <c r="M336" i="7" a="1"/>
  <c r="M337" i="7" a="1"/>
  <c r="M338" i="7" a="1"/>
  <c r="M339" i="7" a="1"/>
  <c r="M340" i="7" a="1"/>
  <c r="M341" i="7" a="1"/>
  <c r="M342" i="7" a="1"/>
  <c r="M343" i="7" a="1"/>
  <c r="M344" i="7" a="1"/>
  <c r="M345" i="7" a="1"/>
  <c r="M346" i="7" a="1"/>
  <c r="M347" i="7" a="1"/>
  <c r="M348" i="7" a="1"/>
  <c r="M349" i="7" a="1"/>
  <c r="M350" i="7" a="1"/>
  <c r="M351" i="7" a="1"/>
  <c r="M352" i="7" a="1"/>
  <c r="M353" i="7" a="1"/>
  <c r="M354" i="7" a="1"/>
  <c r="M355" i="7" a="1"/>
  <c r="M356" i="7" a="1"/>
  <c r="M357" i="7" a="1"/>
  <c r="M358" i="7" a="1"/>
  <c r="M359" i="7" a="1"/>
  <c r="M360" i="7" a="1"/>
  <c r="M361" i="7" a="1"/>
  <c r="M362" i="7" a="1"/>
  <c r="M363" i="7" a="1"/>
  <c r="M364" i="7" a="1"/>
  <c r="M365" i="7" a="1"/>
  <c r="M366" i="7" a="1"/>
  <c r="M367" i="7" a="1"/>
  <c r="M368" i="7" a="1"/>
  <c r="M369" i="7" a="1"/>
  <c r="M370" i="7" a="1"/>
  <c r="M371" i="7" a="1"/>
  <c r="M372" i="7" a="1"/>
  <c r="M373" i="7" a="1"/>
  <c r="M374" i="7" a="1"/>
  <c r="M375" i="7" a="1"/>
  <c r="M376" i="7" a="1"/>
  <c r="M377" i="7" a="1"/>
  <c r="M378" i="7" a="1"/>
  <c r="M379" i="7" a="1"/>
  <c r="M380" i="7" a="1"/>
  <c r="M381" i="7" a="1"/>
  <c r="M382" i="7" a="1"/>
  <c r="M383" i="7" a="1"/>
  <c r="M384" i="7" a="1"/>
  <c r="M385" i="7" a="1"/>
  <c r="M386" i="7" a="1"/>
  <c r="M387" i="7" a="1"/>
  <c r="M388" i="7" a="1"/>
  <c r="M389" i="7" a="1"/>
  <c r="M390" i="7" a="1"/>
  <c r="M391" i="7" a="1"/>
  <c r="M392" i="7" a="1"/>
  <c r="M393" i="7" a="1"/>
  <c r="M394" i="7" a="1"/>
  <c r="M395" i="7" a="1"/>
  <c r="M396" i="7" a="1"/>
  <c r="M397" i="7" a="1"/>
  <c r="M398" i="7" a="1"/>
  <c r="M399" i="7" a="1"/>
  <c r="M400" i="7" a="1"/>
  <c r="M401" i="7" a="1"/>
  <c r="M402" i="7" a="1"/>
  <c r="M403" i="7" a="1"/>
  <c r="M404" i="7" a="1"/>
  <c r="M405" i="7" a="1"/>
  <c r="M406" i="7" a="1"/>
  <c r="M407" i="7" a="1"/>
  <c r="M408" i="7" a="1"/>
  <c r="M409" i="7" a="1"/>
  <c r="M410" i="7" a="1"/>
  <c r="M411" i="7" a="1"/>
  <c r="M412" i="7" a="1"/>
  <c r="M413" i="7" a="1"/>
  <c r="M414" i="7" a="1"/>
  <c r="M415" i="7" a="1"/>
  <c r="M416" i="7" a="1"/>
  <c r="M417" i="7" a="1"/>
  <c r="M418" i="7" a="1"/>
  <c r="M419" i="7" a="1"/>
  <c r="M420" i="7" a="1"/>
  <c r="M421" i="7" a="1"/>
  <c r="M422" i="7" a="1"/>
  <c r="M423" i="7" a="1"/>
  <c r="M424" i="7" a="1"/>
  <c r="M425" i="7" a="1"/>
  <c r="M426" i="7" a="1"/>
  <c r="M427" i="7" a="1"/>
  <c r="M428" i="7" a="1"/>
  <c r="M429" i="7" a="1"/>
  <c r="M430" i="7" a="1"/>
  <c r="M431" i="7" a="1"/>
  <c r="M432" i="7" a="1"/>
  <c r="M433" i="7" a="1"/>
  <c r="M434" i="7" a="1"/>
  <c r="M435" i="7" a="1"/>
  <c r="M436" i="7" a="1"/>
  <c r="M437" i="7" a="1"/>
  <c r="M438" i="7" a="1"/>
  <c r="M439" i="7" a="1"/>
  <c r="M440" i="7" a="1"/>
  <c r="M441" i="7" a="1"/>
  <c r="M442" i="7" a="1"/>
  <c r="M443" i="7" a="1"/>
  <c r="M444" i="7" a="1"/>
  <c r="M445" i="7" a="1"/>
  <c r="M446" i="7" a="1"/>
  <c r="M447" i="7" a="1"/>
  <c r="M448" i="7" a="1"/>
  <c r="M449" i="7" a="1"/>
  <c r="M450" i="7" a="1"/>
  <c r="M451" i="7" a="1"/>
  <c r="M452" i="7" a="1"/>
  <c r="M453" i="7" a="1"/>
  <c r="M454" i="7" a="1"/>
  <c r="M455" i="7" a="1"/>
  <c r="M456" i="7" a="1"/>
  <c r="M457" i="7" a="1"/>
  <c r="M458" i="7" a="1"/>
  <c r="M459" i="7" a="1"/>
  <c r="M460" i="7" a="1"/>
  <c r="M461" i="7" a="1"/>
  <c r="M462" i="7" a="1"/>
  <c r="M463" i="7" a="1"/>
  <c r="M464" i="7" a="1"/>
  <c r="M465" i="7" a="1"/>
  <c r="M466" i="7" a="1"/>
  <c r="M467" i="7" a="1"/>
  <c r="M468" i="7" a="1"/>
  <c r="M469" i="7" a="1"/>
  <c r="M470" i="7" a="1"/>
  <c r="M471" i="7" a="1"/>
  <c r="M472" i="7" a="1"/>
  <c r="M473" i="7" a="1"/>
  <c r="M474" i="7" a="1"/>
  <c r="M475" i="7" a="1"/>
  <c r="M476" i="7" a="1"/>
  <c r="M477" i="7" a="1"/>
  <c r="M478" i="7" a="1"/>
  <c r="M479" i="7" a="1"/>
  <c r="M480" i="7" a="1"/>
  <c r="M481" i="7" a="1"/>
  <c r="M482" i="7" a="1"/>
  <c r="M483" i="7" a="1"/>
  <c r="M484" i="7" a="1"/>
  <c r="M485" i="7" a="1"/>
  <c r="M486" i="7" a="1"/>
  <c r="M487" i="7" a="1"/>
  <c r="M488" i="7" a="1"/>
  <c r="M489" i="7" a="1"/>
  <c r="M490" i="7" a="1"/>
  <c r="M491" i="7" a="1"/>
  <c r="M492" i="7" a="1"/>
  <c r="M493" i="7" a="1"/>
  <c r="M494" i="7" a="1"/>
  <c r="M495" i="7" a="1"/>
  <c r="M496" i="7" a="1"/>
  <c r="M497" i="7" a="1"/>
  <c r="M498" i="7" a="1"/>
  <c r="M499" i="7" a="1"/>
  <c r="M500" i="7" a="1"/>
  <c r="M501" i="7" a="1"/>
  <c r="M502" i="7" a="1"/>
  <c r="M503" i="7" a="1"/>
  <c r="M504" i="7" a="1"/>
  <c r="M505" i="7" a="1"/>
  <c r="M506" i="7" a="1"/>
  <c r="M507" i="7" a="1"/>
  <c r="M508" i="7" a="1"/>
  <c r="M509" i="7" a="1"/>
  <c r="M510" i="7" a="1"/>
  <c r="M511" i="7" a="1"/>
  <c r="M512" i="7" a="1"/>
  <c r="M513" i="7" a="1"/>
  <c r="M514" i="7" a="1"/>
  <c r="M515" i="7" a="1"/>
  <c r="M516" i="7" a="1"/>
  <c r="M517" i="7" a="1"/>
  <c r="M518" i="7" a="1"/>
  <c r="M519" i="7" a="1"/>
  <c r="M520" i="7" a="1"/>
  <c r="M521" i="7" a="1"/>
  <c r="M522" i="7" a="1"/>
  <c r="M523" i="7" a="1"/>
  <c r="M524" i="7" a="1"/>
  <c r="M525" i="7" a="1"/>
  <c r="M526" i="7" a="1"/>
  <c r="M527" i="7" a="1"/>
  <c r="M528" i="7" a="1"/>
  <c r="M529" i="7" a="1"/>
  <c r="M530" i="7" a="1"/>
  <c r="M531" i="7" a="1"/>
  <c r="M532" i="7" a="1"/>
  <c r="M533" i="7" a="1"/>
  <c r="M534" i="7" a="1"/>
  <c r="M535" i="7" a="1"/>
  <c r="M536" i="7" a="1"/>
  <c r="M537" i="7" a="1"/>
  <c r="M538" i="7" a="1"/>
  <c r="M539" i="7" a="1"/>
  <c r="M540" i="7" a="1"/>
  <c r="M541" i="7" a="1"/>
  <c r="M542" i="7" a="1"/>
  <c r="M543" i="7" a="1"/>
  <c r="M544" i="7" a="1"/>
  <c r="M545" i="7" a="1"/>
  <c r="M546" i="7" a="1"/>
  <c r="M547" i="7" a="1"/>
  <c r="M548" i="7" a="1"/>
  <c r="M549" i="7" a="1"/>
  <c r="M550" i="7" a="1"/>
  <c r="M551" i="7" a="1"/>
  <c r="M552" i="7" a="1"/>
  <c r="M553" i="7" a="1"/>
  <c r="M554" i="7" a="1"/>
  <c r="M555" i="7" a="1"/>
  <c r="M556" i="7" a="1"/>
  <c r="M557" i="7" a="1"/>
  <c r="M558" i="7" a="1"/>
  <c r="M559" i="7" a="1"/>
  <c r="M560" i="7" a="1"/>
  <c r="M561" i="7" a="1"/>
  <c r="M562" i="7" a="1"/>
  <c r="M563" i="7" a="1"/>
  <c r="M564" i="7" a="1"/>
  <c r="M565" i="7" a="1"/>
  <c r="M566" i="7" a="1"/>
  <c r="M567" i="7" a="1"/>
  <c r="M568" i="7" a="1"/>
  <c r="M569" i="7" a="1"/>
  <c r="M570" i="7" a="1"/>
  <c r="M571" i="7" a="1"/>
  <c r="M572" i="7" a="1"/>
  <c r="M573" i="7" a="1"/>
  <c r="M574" i="7" a="1"/>
  <c r="M575" i="7" a="1"/>
  <c r="M576" i="7" a="1"/>
  <c r="M577" i="7" a="1"/>
  <c r="M578" i="7" a="1"/>
  <c r="M579" i="7" a="1"/>
  <c r="M580" i="7" a="1"/>
  <c r="M581" i="7" a="1"/>
  <c r="M582" i="7" a="1"/>
  <c r="M583" i="7" a="1"/>
  <c r="M584" i="7" a="1"/>
  <c r="M585" i="7" a="1"/>
  <c r="M586" i="7" a="1"/>
  <c r="M587" i="7" a="1"/>
  <c r="M588" i="7" a="1"/>
  <c r="M589" i="7" a="1"/>
  <c r="M590" i="7" a="1"/>
  <c r="M591" i="7" a="1"/>
  <c r="M592" i="7" a="1"/>
  <c r="M593" i="7" a="1"/>
  <c r="M594" i="7" a="1"/>
  <c r="M595" i="7" a="1"/>
  <c r="M596" i="7" a="1"/>
  <c r="M597" i="7" a="1"/>
  <c r="M598" i="7" a="1"/>
  <c r="M599" i="7" a="1"/>
  <c r="M600" i="7" a="1"/>
  <c r="M601" i="7" a="1"/>
  <c r="M602" i="7" a="1"/>
  <c r="M603" i="7" a="1"/>
  <c r="M604" i="7" a="1"/>
  <c r="M605" i="7" a="1"/>
  <c r="M606" i="7" a="1"/>
  <c r="M607" i="7" a="1"/>
  <c r="M608" i="7" a="1"/>
  <c r="M609" i="7" a="1"/>
  <c r="M610" i="7" a="1"/>
  <c r="M611" i="7" a="1"/>
  <c r="M612" i="7" a="1"/>
  <c r="M613" i="7" a="1"/>
  <c r="M614" i="7" a="1"/>
  <c r="M615" i="7" a="1"/>
  <c r="M616" i="7" a="1"/>
  <c r="M617" i="7" a="1"/>
  <c r="M618" i="7" a="1"/>
  <c r="M619" i="7" a="1"/>
  <c r="M620" i="7" a="1"/>
  <c r="M621" i="7" a="1"/>
  <c r="M622" i="7" a="1"/>
  <c r="M623" i="7" a="1"/>
  <c r="M624" i="7" a="1"/>
  <c r="M625" i="7" a="1"/>
  <c r="M626" i="7" a="1"/>
  <c r="M627" i="7" a="1"/>
  <c r="M628" i="7" a="1"/>
  <c r="M629" i="7" a="1"/>
  <c r="M630" i="7" a="1"/>
  <c r="M631" i="7" a="1"/>
  <c r="M632" i="7" a="1"/>
  <c r="M633" i="7" a="1"/>
  <c r="M634" i="7" a="1"/>
  <c r="M635" i="7" a="1"/>
  <c r="M636" i="7" a="1"/>
  <c r="M637" i="7" a="1"/>
  <c r="M638" i="7" a="1"/>
  <c r="M639" i="7" a="1"/>
  <c r="M640" i="7" a="1"/>
  <c r="M641" i="7" a="1"/>
  <c r="M642" i="7" a="1"/>
  <c r="M643" i="7" a="1"/>
  <c r="M644" i="7" a="1"/>
  <c r="M645" i="7" a="1"/>
  <c r="M646" i="7" a="1"/>
  <c r="M647" i="7" a="1"/>
  <c r="M648" i="7" a="1"/>
  <c r="M649" i="7" a="1"/>
  <c r="M650" i="7" a="1"/>
  <c r="M651" i="7" a="1"/>
  <c r="M652" i="7" a="1"/>
  <c r="M653" i="7" a="1"/>
  <c r="M654" i="7" a="1"/>
  <c r="M655" i="7" a="1"/>
  <c r="M656" i="7" a="1"/>
  <c r="M657" i="7" a="1"/>
  <c r="M658" i="7" a="1"/>
  <c r="M659" i="7" a="1"/>
  <c r="M660" i="7" a="1"/>
  <c r="M661" i="7" a="1"/>
  <c r="M662" i="7" a="1"/>
  <c r="M663" i="7" a="1"/>
  <c r="M664" i="7" a="1"/>
  <c r="M665" i="7" a="1"/>
  <c r="M666" i="7" a="1"/>
  <c r="M667" i="7" a="1"/>
  <c r="M668" i="7" a="1"/>
  <c r="M669" i="7" a="1"/>
  <c r="M670" i="7" a="1"/>
  <c r="M671" i="7" a="1"/>
  <c r="M672" i="7" a="1"/>
  <c r="M673" i="7" a="1"/>
  <c r="M674" i="7" a="1"/>
  <c r="M675" i="7" a="1"/>
  <c r="M676" i="7" a="1"/>
  <c r="M677" i="7" a="1"/>
  <c r="M678" i="7" a="1"/>
  <c r="M679" i="7" a="1"/>
  <c r="M680" i="7" a="1"/>
  <c r="M681" i="7" a="1"/>
  <c r="M682" i="7" a="1"/>
  <c r="M683" i="7" a="1"/>
  <c r="M684" i="7" a="1"/>
  <c r="M685" i="7" a="1"/>
  <c r="M686" i="7" a="1"/>
  <c r="M687" i="7" a="1"/>
  <c r="M688" i="7" a="1"/>
  <c r="M689" i="7" a="1"/>
  <c r="M690" i="7" a="1"/>
  <c r="M691" i="7" a="1"/>
  <c r="M692" i="7" a="1"/>
  <c r="M693" i="7" a="1"/>
  <c r="M694" i="7" a="1"/>
  <c r="M695" i="7" a="1"/>
  <c r="M696" i="7" a="1"/>
  <c r="M697" i="7" a="1"/>
  <c r="M698" i="7" a="1"/>
  <c r="M699" i="7" a="1"/>
  <c r="M700" i="7" a="1"/>
  <c r="M701" i="7" a="1"/>
  <c r="M702" i="7" a="1"/>
  <c r="M703" i="7" a="1"/>
  <c r="M704" i="7" a="1"/>
  <c r="M705" i="7" a="1"/>
  <c r="M706" i="7" a="1"/>
  <c r="M707" i="7" a="1"/>
  <c r="M708" i="7" a="1"/>
  <c r="M709" i="7" a="1"/>
  <c r="M710" i="7" a="1"/>
  <c r="M711" i="7" a="1"/>
  <c r="M712" i="7" a="1"/>
  <c r="M713" i="7" a="1"/>
  <c r="M714" i="7" a="1"/>
  <c r="M715" i="7" a="1"/>
  <c r="M716" i="7" a="1"/>
  <c r="M717" i="7" a="1"/>
  <c r="M718" i="7" a="1"/>
  <c r="M719" i="7" a="1"/>
  <c r="M720" i="7" a="1"/>
  <c r="M721" i="7" a="1"/>
  <c r="M722" i="7" a="1"/>
  <c r="M723" i="7" a="1"/>
  <c r="M724" i="7" a="1"/>
  <c r="M725" i="7" a="1"/>
  <c r="M726" i="7" a="1"/>
  <c r="M727" i="7" a="1"/>
  <c r="M728" i="7" a="1"/>
  <c r="M729" i="7" a="1"/>
  <c r="M730" i="7" a="1"/>
  <c r="M731" i="7" a="1"/>
  <c r="M732" i="7" a="1"/>
  <c r="M733" i="7" a="1"/>
  <c r="M734" i="7" a="1"/>
  <c r="M735" i="7" a="1"/>
  <c r="M736" i="7" a="1"/>
  <c r="M737" i="7" a="1"/>
  <c r="M738" i="7" a="1"/>
  <c r="M739" i="7" a="1"/>
  <c r="M740" i="7" a="1"/>
  <c r="M741" i="7" a="1"/>
  <c r="M742" i="7" a="1"/>
  <c r="M743" i="7" a="1"/>
  <c r="M744" i="7" a="1"/>
  <c r="M745" i="7" a="1"/>
  <c r="M746" i="7" a="1"/>
  <c r="M747" i="7" a="1"/>
  <c r="M748" i="7" a="1"/>
  <c r="M749" i="7" a="1"/>
  <c r="M750" i="7" a="1"/>
  <c r="M751" i="7" a="1"/>
  <c r="M752" i="7" a="1"/>
  <c r="M753" i="7" a="1"/>
  <c r="M754" i="7" a="1"/>
  <c r="M755" i="7" a="1"/>
  <c r="M756" i="7" a="1"/>
  <c r="M757" i="7" a="1"/>
  <c r="M758" i="7" a="1"/>
  <c r="M759" i="7" a="1"/>
  <c r="M760" i="7" a="1"/>
  <c r="M761" i="7" a="1"/>
  <c r="M762" i="7" a="1"/>
  <c r="M763" i="7" a="1"/>
  <c r="M764" i="7" a="1"/>
  <c r="M765" i="7" a="1"/>
  <c r="M766" i="7" a="1"/>
  <c r="M767" i="7" a="1"/>
  <c r="M768" i="7" a="1"/>
  <c r="M769" i="7" a="1"/>
  <c r="M770" i="7" a="1"/>
  <c r="M771" i="7" a="1"/>
  <c r="M772" i="7" a="1"/>
  <c r="M773" i="7" a="1"/>
  <c r="M774" i="7" a="1"/>
  <c r="M775" i="7" a="1"/>
  <c r="M776" i="7" a="1"/>
  <c r="M777" i="7" a="1"/>
  <c r="M778" i="7" a="1"/>
  <c r="M779" i="7" a="1"/>
  <c r="M780" i="7" a="1"/>
  <c r="M781" i="7" a="1"/>
  <c r="M782" i="7" a="1"/>
  <c r="M783" i="7" a="1"/>
  <c r="M784" i="7" a="1"/>
  <c r="M785" i="7" a="1"/>
  <c r="M786" i="7" a="1"/>
  <c r="M787" i="7" a="1"/>
  <c r="M788" i="7" a="1"/>
  <c r="M789" i="7" a="1"/>
  <c r="M790" i="7" a="1"/>
  <c r="M791" i="7" a="1"/>
  <c r="M792" i="7" a="1"/>
  <c r="M793" i="7" a="1"/>
  <c r="M794" i="7" a="1"/>
  <c r="M795" i="7" a="1"/>
  <c r="M796" i="7" a="1"/>
  <c r="M797" i="7" a="1"/>
  <c r="M798" i="7" a="1"/>
  <c r="M799" i="7" a="1"/>
  <c r="M800" i="7" a="1"/>
  <c r="M801" i="7" a="1"/>
  <c r="M802" i="7" a="1"/>
  <c r="M803" i="7" a="1"/>
  <c r="M804" i="7" a="1"/>
  <c r="M805" i="7" a="1"/>
  <c r="M806" i="7" a="1"/>
  <c r="M807" i="7" a="1"/>
  <c r="M808" i="7" a="1"/>
  <c r="M809" i="7" a="1"/>
  <c r="M810" i="7" a="1"/>
  <c r="M811" i="7" a="1"/>
  <c r="M812" i="7" a="1"/>
  <c r="M813" i="7" a="1"/>
  <c r="M814" i="7" a="1"/>
  <c r="M815" i="7" a="1"/>
  <c r="M816" i="7" a="1"/>
  <c r="M817" i="7" a="1"/>
  <c r="M818" i="7" a="1"/>
  <c r="M819" i="7" a="1"/>
  <c r="M820" i="7" a="1"/>
  <c r="M821" i="7" a="1"/>
  <c r="M822" i="7" a="1"/>
  <c r="M823" i="7" a="1"/>
  <c r="M824" i="7" a="1"/>
  <c r="M825" i="7" a="1"/>
  <c r="M826" i="7" a="1"/>
  <c r="M827" i="7" a="1"/>
  <c r="M828" i="7" a="1"/>
  <c r="M829" i="7" a="1"/>
  <c r="M830" i="7" a="1"/>
  <c r="M831" i="7" a="1"/>
  <c r="M832" i="7" a="1"/>
  <c r="M833" i="7" a="1"/>
  <c r="M834" i="7" a="1"/>
  <c r="M835" i="7" a="1"/>
  <c r="M836" i="7" a="1"/>
  <c r="M837" i="7" a="1"/>
  <c r="M838" i="7" a="1"/>
  <c r="M839" i="7" a="1"/>
  <c r="M840" i="7" a="1"/>
  <c r="M841" i="7" a="1"/>
  <c r="M842" i="7" a="1"/>
  <c r="M843" i="7" a="1"/>
  <c r="M844" i="7" a="1"/>
  <c r="M845" i="7" a="1"/>
  <c r="M846" i="7" a="1"/>
  <c r="M847" i="7" a="1"/>
  <c r="M848" i="7" a="1"/>
  <c r="M849" i="7" a="1"/>
  <c r="M850" i="7" a="1"/>
  <c r="M851" i="7" a="1"/>
  <c r="M852" i="7" a="1"/>
  <c r="M853" i="7" a="1"/>
  <c r="M854" i="7" a="1"/>
  <c r="M855" i="7" a="1"/>
  <c r="M856" i="7" a="1"/>
  <c r="M857" i="7" a="1"/>
  <c r="M858" i="7" a="1"/>
  <c r="M859" i="7" a="1"/>
  <c r="M860" i="7" a="1"/>
  <c r="M861" i="7" a="1"/>
  <c r="M862" i="7" a="1"/>
  <c r="M863" i="7" a="1"/>
  <c r="M864" i="7" a="1"/>
  <c r="M865" i="7" a="1"/>
  <c r="M866" i="7" a="1"/>
  <c r="M867" i="7" a="1"/>
  <c r="M868" i="7" a="1"/>
  <c r="M869" i="7" a="1"/>
  <c r="M870" i="7" a="1"/>
  <c r="M871" i="7" a="1"/>
  <c r="M872" i="7" a="1"/>
  <c r="M873" i="7" a="1"/>
  <c r="M874" i="7" a="1"/>
  <c r="M875" i="7" a="1"/>
  <c r="M876" i="7" a="1"/>
  <c r="M877" i="7" a="1"/>
  <c r="M878" i="7" a="1"/>
  <c r="M879" i="7" a="1"/>
  <c r="M880" i="7" a="1"/>
  <c r="M881" i="7" a="1"/>
  <c r="M882" i="7" a="1"/>
  <c r="M883" i="7" a="1"/>
  <c r="M884" i="7" a="1"/>
  <c r="M885" i="7" a="1"/>
  <c r="M886" i="7" a="1"/>
  <c r="M887" i="7" a="1"/>
  <c r="M888" i="7" a="1"/>
  <c r="M889" i="7" a="1"/>
  <c r="M890" i="7" a="1"/>
  <c r="M891" i="7" a="1"/>
  <c r="M892" i="7" a="1"/>
  <c r="M893" i="7" a="1"/>
  <c r="M894" i="7" a="1"/>
  <c r="M895" i="7" a="1"/>
  <c r="M896" i="7" a="1"/>
  <c r="M897" i="7" a="1"/>
  <c r="M898" i="7" a="1"/>
  <c r="M899" i="7" a="1"/>
  <c r="M900" i="7" a="1"/>
  <c r="M901" i="7" a="1"/>
  <c r="M902" i="7" a="1"/>
  <c r="M903" i="7" a="1"/>
  <c r="M904" i="7" a="1"/>
  <c r="M905" i="7" a="1"/>
  <c r="M906" i="7" a="1"/>
  <c r="M907" i="7" a="1"/>
  <c r="M908" i="7" a="1"/>
  <c r="M909" i="7" a="1"/>
  <c r="M910" i="7" a="1"/>
  <c r="M911" i="7" a="1"/>
  <c r="M912" i="7" a="1"/>
  <c r="M913" i="7" a="1"/>
  <c r="M914" i="7" a="1"/>
  <c r="M915" i="7" a="1"/>
  <c r="M916" i="7" a="1"/>
  <c r="M917" i="7" a="1"/>
  <c r="M918" i="7" a="1"/>
  <c r="M919" i="7" a="1"/>
  <c r="M920" i="7" a="1"/>
  <c r="M921" i="7" a="1"/>
  <c r="M922" i="7" a="1"/>
  <c r="M923" i="7" a="1"/>
  <c r="M924" i="7" a="1"/>
  <c r="M925" i="7" a="1"/>
  <c r="M926" i="7" a="1"/>
  <c r="M927" i="7" a="1"/>
  <c r="M928" i="7" a="1"/>
  <c r="M929" i="7" a="1"/>
  <c r="M930" i="7" a="1"/>
  <c r="M931" i="7" a="1"/>
  <c r="M932" i="7" a="1"/>
  <c r="M933" i="7" a="1"/>
  <c r="M934" i="7" a="1"/>
  <c r="M935" i="7" a="1"/>
  <c r="M936" i="7" a="1"/>
  <c r="M937" i="7" a="1"/>
  <c r="M938" i="7" a="1"/>
  <c r="M939" i="7" a="1"/>
  <c r="M940" i="7" a="1"/>
  <c r="M941" i="7" a="1"/>
  <c r="M942" i="7" a="1"/>
  <c r="M943" i="7" a="1"/>
  <c r="M944" i="7" a="1"/>
  <c r="M945" i="7" a="1"/>
  <c r="M946" i="7" a="1"/>
  <c r="M947" i="7" a="1"/>
  <c r="M948" i="7" a="1"/>
  <c r="M949" i="7" a="1"/>
  <c r="M950" i="7" a="1"/>
  <c r="M951" i="7" a="1"/>
  <c r="M952" i="7" a="1"/>
  <c r="M953" i="7" a="1"/>
  <c r="M954" i="7" a="1"/>
  <c r="M955" i="7" a="1"/>
  <c r="M956" i="7" a="1"/>
  <c r="M957" i="7" a="1"/>
  <c r="M958" i="7" a="1"/>
  <c r="M959" i="7" a="1"/>
  <c r="M960" i="7" a="1"/>
  <c r="M961" i="7" a="1"/>
  <c r="M962" i="7" a="1"/>
  <c r="M963" i="7" a="1"/>
  <c r="M964" i="7" a="1"/>
  <c r="M965" i="7" a="1"/>
  <c r="M966" i="7" a="1"/>
  <c r="M967" i="7" a="1"/>
  <c r="M968" i="7" a="1"/>
  <c r="M969" i="7" a="1"/>
  <c r="M970" i="7" a="1"/>
  <c r="M971" i="7" a="1"/>
  <c r="M972" i="7" a="1"/>
  <c r="M973" i="7" a="1"/>
  <c r="M974" i="7" a="1"/>
  <c r="M975" i="7" a="1"/>
  <c r="M976" i="7" a="1"/>
  <c r="M977" i="7" a="1"/>
  <c r="M978" i="7" a="1"/>
  <c r="M979" i="7" a="1"/>
  <c r="M980" i="7" a="1"/>
  <c r="M981" i="7" a="1"/>
  <c r="M982" i="7" a="1"/>
  <c r="M983" i="7" a="1"/>
  <c r="M984" i="7" a="1"/>
  <c r="M985" i="7" a="1"/>
  <c r="M986" i="7" a="1"/>
  <c r="M987" i="7" a="1"/>
  <c r="M988" i="7" a="1"/>
  <c r="M989" i="7" a="1"/>
  <c r="M990" i="7" a="1"/>
  <c r="M991" i="7" a="1"/>
  <c r="M992" i="7" a="1"/>
  <c r="M993" i="7" a="1"/>
  <c r="M994" i="7" a="1"/>
  <c r="M995" i="7" a="1"/>
  <c r="M996" i="7" a="1"/>
  <c r="M997" i="7" a="1"/>
  <c r="M998" i="7" a="1"/>
  <c r="M999" i="7" a="1"/>
  <c r="M1000" i="7" a="1"/>
  <c r="M1001" i="7" a="1"/>
  <c r="L49" i="7" a="1"/>
  <c r="L50" i="7" a="1"/>
  <c r="L51" i="7" a="1"/>
  <c r="L52" i="7" a="1"/>
  <c r="L53" i="7" a="1"/>
  <c r="L54" i="7" a="1"/>
  <c r="L55" i="7" a="1"/>
  <c r="L56" i="7" a="1"/>
  <c r="L57" i="7" a="1"/>
  <c r="L58" i="7" a="1"/>
  <c r="L59" i="7" a="1"/>
  <c r="L60" i="7" a="1"/>
  <c r="L61" i="7" a="1"/>
  <c r="L62" i="7" a="1"/>
  <c r="L63" i="7" a="1"/>
  <c r="L64" i="7" a="1"/>
  <c r="L65" i="7" a="1"/>
  <c r="L66" i="7" a="1"/>
  <c r="L67" i="7" a="1"/>
  <c r="L68" i="7" a="1"/>
  <c r="L69" i="7" a="1"/>
  <c r="L70" i="7" a="1"/>
  <c r="L71" i="7" a="1"/>
  <c r="L72" i="7" a="1"/>
  <c r="L73" i="7" a="1"/>
  <c r="L74" i="7" a="1"/>
  <c r="L75" i="7" a="1"/>
  <c r="L76" i="7" a="1"/>
  <c r="L77" i="7" a="1"/>
  <c r="L78" i="7" a="1"/>
  <c r="L79" i="7" a="1"/>
  <c r="L80" i="7" a="1"/>
  <c r="L81" i="7" a="1"/>
  <c r="L82" i="7" a="1"/>
  <c r="L83" i="7" a="1"/>
  <c r="L84" i="7" a="1"/>
  <c r="L85" i="7" a="1"/>
  <c r="L86" i="7" a="1"/>
  <c r="L87" i="7" a="1"/>
  <c r="L88" i="7" a="1"/>
  <c r="L89" i="7" a="1"/>
  <c r="L90" i="7" a="1"/>
  <c r="L91" i="7" a="1"/>
  <c r="L92" i="7" a="1"/>
  <c r="L93" i="7" a="1"/>
  <c r="L94" i="7" a="1"/>
  <c r="L95" i="7" a="1"/>
  <c r="L96" i="7" a="1"/>
  <c r="L97" i="7" a="1"/>
  <c r="L98" i="7" a="1"/>
  <c r="L99" i="7" a="1"/>
  <c r="L100" i="7" a="1"/>
  <c r="L101" i="7" a="1"/>
  <c r="L102" i="7" a="1"/>
  <c r="L103" i="7" a="1"/>
  <c r="L104" i="7" a="1"/>
  <c r="L105" i="7" a="1"/>
  <c r="L106" i="7" a="1"/>
  <c r="L107" i="7" a="1"/>
  <c r="L108" i="7" a="1"/>
  <c r="L109" i="7" a="1"/>
  <c r="L110" i="7" a="1"/>
  <c r="L111" i="7" a="1"/>
  <c r="L112" i="7" a="1"/>
  <c r="L113" i="7" a="1"/>
  <c r="L114" i="7" a="1"/>
  <c r="L115" i="7" a="1"/>
  <c r="L116" i="7" a="1"/>
  <c r="L117" i="7" a="1"/>
  <c r="L118" i="7" a="1"/>
  <c r="L119" i="7" a="1"/>
  <c r="L120" i="7" a="1"/>
  <c r="L121" i="7" a="1"/>
  <c r="L122" i="7" a="1"/>
  <c r="L123" i="7" a="1"/>
  <c r="L124" i="7" a="1"/>
  <c r="L125" i="7" a="1"/>
  <c r="L126" i="7" a="1"/>
  <c r="L127" i="7" a="1"/>
  <c r="L128" i="7" a="1"/>
  <c r="L129" i="7" a="1"/>
  <c r="L130" i="7" a="1"/>
  <c r="L131" i="7" a="1"/>
  <c r="L132" i="7" a="1"/>
  <c r="L133" i="7" a="1"/>
  <c r="L134" i="7" a="1"/>
  <c r="L135" i="7" a="1"/>
  <c r="L136" i="7" a="1"/>
  <c r="L137" i="7" a="1"/>
  <c r="L138" i="7" a="1"/>
  <c r="L139" i="7" a="1"/>
  <c r="L140" i="7" a="1"/>
  <c r="L141" i="7" a="1"/>
  <c r="L142" i="7" a="1"/>
  <c r="L143" i="7" a="1"/>
  <c r="L144" i="7" a="1"/>
  <c r="L145" i="7" a="1"/>
  <c r="L146" i="7" a="1"/>
  <c r="L147" i="7" a="1"/>
  <c r="L148" i="7" a="1"/>
  <c r="L149" i="7" a="1"/>
  <c r="L150" i="7" a="1"/>
  <c r="L151" i="7" a="1"/>
  <c r="L152" i="7" a="1"/>
  <c r="L153" i="7" a="1"/>
  <c r="L154" i="7" a="1"/>
  <c r="L155" i="7" a="1"/>
  <c r="L156" i="7" a="1"/>
  <c r="L157" i="7" a="1"/>
  <c r="L158" i="7" a="1"/>
  <c r="L159" i="7" a="1"/>
  <c r="L160" i="7" a="1"/>
  <c r="L161" i="7" a="1"/>
  <c r="L162" i="7" a="1"/>
  <c r="L163" i="7" a="1"/>
  <c r="L164" i="7" a="1"/>
  <c r="L165" i="7" a="1"/>
  <c r="L166" i="7" a="1"/>
  <c r="L167" i="7" a="1"/>
  <c r="L168" i="7" a="1"/>
  <c r="L169" i="7" a="1"/>
  <c r="L170" i="7" a="1"/>
  <c r="L171" i="7" a="1"/>
  <c r="L172" i="7" a="1"/>
  <c r="L173" i="7" a="1"/>
  <c r="L174" i="7" a="1"/>
  <c r="L175" i="7" a="1"/>
  <c r="L176" i="7" a="1"/>
  <c r="L177" i="7" a="1"/>
  <c r="L178" i="7" a="1"/>
  <c r="L179" i="7" a="1"/>
  <c r="L180" i="7" a="1"/>
  <c r="L181" i="7" a="1"/>
  <c r="L182" i="7" a="1"/>
  <c r="L183" i="7" a="1"/>
  <c r="L184" i="7" a="1"/>
  <c r="L185" i="7" a="1"/>
  <c r="L186" i="7" a="1"/>
  <c r="L187" i="7" a="1"/>
  <c r="L188" i="7" a="1"/>
  <c r="L189" i="7" a="1"/>
  <c r="L190" i="7" a="1"/>
  <c r="L191" i="7" a="1"/>
  <c r="L192" i="7" a="1"/>
  <c r="L193" i="7" a="1"/>
  <c r="L194" i="7" a="1"/>
  <c r="L195" i="7" a="1"/>
  <c r="L196" i="7" a="1"/>
  <c r="L197" i="7" a="1"/>
  <c r="L198" i="7" a="1"/>
  <c r="L199" i="7" a="1"/>
  <c r="L200" i="7" a="1"/>
  <c r="L201" i="7" a="1"/>
  <c r="L202" i="7" a="1"/>
  <c r="L203" i="7" a="1"/>
  <c r="L204" i="7" a="1"/>
  <c r="L205" i="7" a="1"/>
  <c r="L206" i="7" a="1"/>
  <c r="L207" i="7" a="1"/>
  <c r="L208" i="7" a="1"/>
  <c r="L209" i="7" a="1"/>
  <c r="L210" i="7" a="1"/>
  <c r="L211" i="7" a="1"/>
  <c r="L212" i="7" a="1"/>
  <c r="L213" i="7" a="1"/>
  <c r="L214" i="7" a="1"/>
  <c r="L215" i="7" a="1"/>
  <c r="L216" i="7" a="1"/>
  <c r="L217" i="7" a="1"/>
  <c r="L218" i="7" a="1"/>
  <c r="L219" i="7" a="1"/>
  <c r="L220" i="7" a="1"/>
  <c r="L221" i="7" a="1"/>
  <c r="L222" i="7" a="1"/>
  <c r="L223" i="7" a="1"/>
  <c r="L224" i="7" a="1"/>
  <c r="L225" i="7" a="1"/>
  <c r="L226" i="7" a="1"/>
  <c r="L227" i="7" a="1"/>
  <c r="L228" i="7" a="1"/>
  <c r="L229" i="7" a="1"/>
  <c r="L230" i="7" a="1"/>
  <c r="L231" i="7" a="1"/>
  <c r="L232" i="7" a="1"/>
  <c r="L233" i="7" a="1"/>
  <c r="L234" i="7" a="1"/>
  <c r="L235" i="7" a="1"/>
  <c r="L236" i="7" a="1"/>
  <c r="L237" i="7" a="1"/>
  <c r="L238" i="7" a="1"/>
  <c r="L239" i="7" a="1"/>
  <c r="L240" i="7" a="1"/>
  <c r="L241" i="7" a="1"/>
  <c r="L242" i="7" a="1"/>
  <c r="L243" i="7" a="1"/>
  <c r="L244" i="7" a="1"/>
  <c r="L245" i="7" a="1"/>
  <c r="L246" i="7" a="1"/>
  <c r="L247" i="7" a="1"/>
  <c r="L248" i="7" a="1"/>
  <c r="L249" i="7" a="1"/>
  <c r="L250" i="7" a="1"/>
  <c r="L251" i="7" a="1"/>
  <c r="L252" i="7" a="1"/>
  <c r="L253" i="7" a="1"/>
  <c r="L254" i="7" a="1"/>
  <c r="L255" i="7" a="1"/>
  <c r="L256" i="7" a="1"/>
  <c r="L257" i="7" a="1"/>
  <c r="L258" i="7" a="1"/>
  <c r="L259" i="7" a="1"/>
  <c r="L260" i="7" a="1"/>
  <c r="L261" i="7" a="1"/>
  <c r="L262" i="7" a="1"/>
  <c r="L263" i="7" a="1"/>
  <c r="L264" i="7" a="1"/>
  <c r="L265" i="7" a="1"/>
  <c r="L266" i="7" a="1"/>
  <c r="L267" i="7" a="1"/>
  <c r="L268" i="7" a="1"/>
  <c r="L269" i="7" a="1"/>
  <c r="L270" i="7" a="1"/>
  <c r="L271" i="7" a="1"/>
  <c r="L272" i="7" a="1"/>
  <c r="L273" i="7" a="1"/>
  <c r="L274" i="7" a="1"/>
  <c r="L275" i="7" a="1"/>
  <c r="L276" i="7" a="1"/>
  <c r="L277" i="7" a="1"/>
  <c r="L278" i="7" a="1"/>
  <c r="L279" i="7" a="1"/>
  <c r="L280" i="7" a="1"/>
  <c r="L281" i="7" a="1"/>
  <c r="L282" i="7" a="1"/>
  <c r="L283" i="7" a="1"/>
  <c r="L284" i="7" a="1"/>
  <c r="L285" i="7" a="1"/>
  <c r="L286" i="7" a="1"/>
  <c r="L287" i="7" a="1"/>
  <c r="L288" i="7" a="1"/>
  <c r="L289" i="7" a="1"/>
  <c r="L290" i="7" a="1"/>
  <c r="L291" i="7" a="1"/>
  <c r="L292" i="7" a="1"/>
  <c r="L293" i="7" a="1"/>
  <c r="L294" i="7" a="1"/>
  <c r="L295" i="7" a="1"/>
  <c r="L296" i="7" a="1"/>
  <c r="L297" i="7" a="1"/>
  <c r="L298" i="7" a="1"/>
  <c r="L299" i="7" a="1"/>
  <c r="L300" i="7" a="1"/>
  <c r="L301" i="7" a="1"/>
  <c r="L302" i="7" a="1"/>
  <c r="L303" i="7" a="1"/>
  <c r="L304" i="7" a="1"/>
  <c r="L305" i="7" a="1"/>
  <c r="L306" i="7" a="1"/>
  <c r="L307" i="7" a="1"/>
  <c r="L308" i="7" a="1"/>
  <c r="L309" i="7" a="1"/>
  <c r="L310" i="7" a="1"/>
  <c r="L311" i="7" a="1"/>
  <c r="L312" i="7" a="1"/>
  <c r="L313" i="7" a="1"/>
  <c r="L314" i="7" a="1"/>
  <c r="L315" i="7" a="1"/>
  <c r="L316" i="7" a="1"/>
  <c r="L317" i="7" a="1"/>
  <c r="L318" i="7" a="1"/>
  <c r="L319" i="7" a="1"/>
  <c r="L320" i="7" a="1"/>
  <c r="L321" i="7" a="1"/>
  <c r="L322" i="7" a="1"/>
  <c r="L323" i="7" a="1"/>
  <c r="L324" i="7" a="1"/>
  <c r="L325" i="7" a="1"/>
  <c r="L326" i="7" a="1"/>
  <c r="L327" i="7" a="1"/>
  <c r="L328" i="7" a="1"/>
  <c r="L329" i="7" a="1"/>
  <c r="L330" i="7" a="1"/>
  <c r="L331" i="7" a="1"/>
  <c r="L332" i="7" a="1"/>
  <c r="L333" i="7" a="1"/>
  <c r="L334" i="7" a="1"/>
  <c r="L335" i="7" a="1"/>
  <c r="L336" i="7" a="1"/>
  <c r="L337" i="7" a="1"/>
  <c r="L338" i="7" a="1"/>
  <c r="L339" i="7" a="1"/>
  <c r="L340" i="7" a="1"/>
  <c r="L341" i="7" a="1"/>
  <c r="L342" i="7" a="1"/>
  <c r="L343" i="7" a="1"/>
  <c r="L344" i="7" a="1"/>
  <c r="L345" i="7" a="1"/>
  <c r="L346" i="7" a="1"/>
  <c r="L347" i="7" a="1"/>
  <c r="L348" i="7" a="1"/>
  <c r="L349" i="7" a="1"/>
  <c r="L350" i="7" a="1"/>
  <c r="L351" i="7" a="1"/>
  <c r="L352" i="7" a="1"/>
  <c r="L353" i="7" a="1"/>
  <c r="L354" i="7" a="1"/>
  <c r="L355" i="7" a="1"/>
  <c r="L356" i="7" a="1"/>
  <c r="L357" i="7" a="1"/>
  <c r="L358" i="7" a="1"/>
  <c r="L359" i="7" a="1"/>
  <c r="L360" i="7" a="1"/>
  <c r="L361" i="7" a="1"/>
  <c r="L362" i="7" a="1"/>
  <c r="L363" i="7" a="1"/>
  <c r="L364" i="7" a="1"/>
  <c r="L365" i="7" a="1"/>
  <c r="L366" i="7" a="1"/>
  <c r="L367" i="7" a="1"/>
  <c r="L368" i="7" a="1"/>
  <c r="L369" i="7" a="1"/>
  <c r="L370" i="7" a="1"/>
  <c r="L371" i="7" a="1"/>
  <c r="L372" i="7" a="1"/>
  <c r="L373" i="7" a="1"/>
  <c r="L374" i="7" a="1"/>
  <c r="L375" i="7" a="1"/>
  <c r="L376" i="7" a="1"/>
  <c r="L377" i="7" a="1"/>
  <c r="L378" i="7" a="1"/>
  <c r="L379" i="7" a="1"/>
  <c r="L380" i="7" a="1"/>
  <c r="L381" i="7" a="1"/>
  <c r="L382" i="7" a="1"/>
  <c r="L383" i="7" a="1"/>
  <c r="L384" i="7" a="1"/>
  <c r="L385" i="7" a="1"/>
  <c r="L386" i="7" a="1"/>
  <c r="L387" i="7" a="1"/>
  <c r="L388" i="7" a="1"/>
  <c r="L389" i="7" a="1"/>
  <c r="L390" i="7" a="1"/>
  <c r="L391" i="7" a="1"/>
  <c r="L392" i="7" a="1"/>
  <c r="L393" i="7" a="1"/>
  <c r="L394" i="7" a="1"/>
  <c r="L395" i="7" a="1"/>
  <c r="L396" i="7" a="1"/>
  <c r="L397" i="7" a="1"/>
  <c r="L398" i="7" a="1"/>
  <c r="L399" i="7" a="1"/>
  <c r="L400" i="7" a="1"/>
  <c r="L401" i="7" a="1"/>
  <c r="L402" i="7" a="1"/>
  <c r="L403" i="7" a="1"/>
  <c r="L404" i="7" a="1"/>
  <c r="L405" i="7" a="1"/>
  <c r="L406" i="7" a="1"/>
  <c r="L407" i="7" a="1"/>
  <c r="L408" i="7" a="1"/>
  <c r="L409" i="7" a="1"/>
  <c r="L410" i="7" a="1"/>
  <c r="L411" i="7" a="1"/>
  <c r="L412" i="7" a="1"/>
  <c r="L413" i="7" a="1"/>
  <c r="L414" i="7" a="1"/>
  <c r="L415" i="7" a="1"/>
  <c r="L416" i="7" a="1"/>
  <c r="L417" i="7" a="1"/>
  <c r="L418" i="7" a="1"/>
  <c r="L419" i="7" a="1"/>
  <c r="L420" i="7" a="1"/>
  <c r="L421" i="7" a="1"/>
  <c r="L422" i="7" a="1"/>
  <c r="L423" i="7" a="1"/>
  <c r="L424" i="7" a="1"/>
  <c r="L425" i="7" a="1"/>
  <c r="L426" i="7" a="1"/>
  <c r="L427" i="7" a="1"/>
  <c r="L428" i="7" a="1"/>
  <c r="L429" i="7" a="1"/>
  <c r="L430" i="7" a="1"/>
  <c r="L431" i="7" a="1"/>
  <c r="L432" i="7" a="1"/>
  <c r="L433" i="7" a="1"/>
  <c r="L434" i="7" a="1"/>
  <c r="L435" i="7" a="1"/>
  <c r="L436" i="7" a="1"/>
  <c r="L437" i="7" a="1"/>
  <c r="L438" i="7" a="1"/>
  <c r="L439" i="7" a="1"/>
  <c r="L440" i="7" a="1"/>
  <c r="L441" i="7" a="1"/>
  <c r="L442" i="7" a="1"/>
  <c r="L443" i="7" a="1"/>
  <c r="L444" i="7" a="1"/>
  <c r="L445" i="7" a="1"/>
  <c r="L446" i="7" a="1"/>
  <c r="L447" i="7" a="1"/>
  <c r="L448" i="7" a="1"/>
  <c r="L449" i="7" a="1"/>
  <c r="L450" i="7" a="1"/>
  <c r="L451" i="7" a="1"/>
  <c r="L452" i="7" a="1"/>
  <c r="L453" i="7" a="1"/>
  <c r="L454" i="7" a="1"/>
  <c r="L455" i="7" a="1"/>
  <c r="L456" i="7" a="1"/>
  <c r="L457" i="7" a="1"/>
  <c r="L458" i="7" a="1"/>
  <c r="L459" i="7" a="1"/>
  <c r="L460" i="7" a="1"/>
  <c r="L461" i="7" a="1"/>
  <c r="L462" i="7" a="1"/>
  <c r="L463" i="7" a="1"/>
  <c r="L464" i="7" a="1"/>
  <c r="L465" i="7" a="1"/>
  <c r="L466" i="7" a="1"/>
  <c r="L467" i="7" a="1"/>
  <c r="L468" i="7" a="1"/>
  <c r="L469" i="7" a="1"/>
  <c r="L470" i="7" a="1"/>
  <c r="L471" i="7" a="1"/>
  <c r="L472" i="7" a="1"/>
  <c r="L473" i="7" a="1"/>
  <c r="L474" i="7" a="1"/>
  <c r="L475" i="7" a="1"/>
  <c r="L476" i="7" a="1"/>
  <c r="L477" i="7" a="1"/>
  <c r="L478" i="7" a="1"/>
  <c r="L479" i="7" a="1"/>
  <c r="L480" i="7" a="1"/>
  <c r="L481" i="7" a="1"/>
  <c r="L482" i="7" a="1"/>
  <c r="L483" i="7" a="1"/>
  <c r="L484" i="7" a="1"/>
  <c r="L485" i="7" a="1"/>
  <c r="L486" i="7" a="1"/>
  <c r="L487" i="7" a="1"/>
  <c r="L488" i="7" a="1"/>
  <c r="L489" i="7" a="1"/>
  <c r="L490" i="7" a="1"/>
  <c r="L491" i="7" a="1"/>
  <c r="L492" i="7" a="1"/>
  <c r="L493" i="7" a="1"/>
  <c r="L494" i="7" a="1"/>
  <c r="L495" i="7" a="1"/>
  <c r="L496" i="7" a="1"/>
  <c r="L497" i="7" a="1"/>
  <c r="L498" i="7" a="1"/>
  <c r="L499" i="7" a="1"/>
  <c r="L500" i="7" a="1"/>
  <c r="L501" i="7" a="1"/>
  <c r="L502" i="7" a="1"/>
  <c r="L503" i="7" a="1"/>
  <c r="L504" i="7" a="1"/>
  <c r="L505" i="7" a="1"/>
  <c r="L506" i="7" a="1"/>
  <c r="L507" i="7" a="1"/>
  <c r="L508" i="7" a="1"/>
  <c r="L509" i="7" a="1"/>
  <c r="L510" i="7" a="1"/>
  <c r="L511" i="7" a="1"/>
  <c r="L512" i="7" a="1"/>
  <c r="L513" i="7" a="1"/>
  <c r="L514" i="7" a="1"/>
  <c r="L515" i="7" a="1"/>
  <c r="L516" i="7" a="1"/>
  <c r="L517" i="7" a="1"/>
  <c r="L518" i="7" a="1"/>
  <c r="L519" i="7" a="1"/>
  <c r="L520" i="7" a="1"/>
  <c r="L521" i="7" a="1"/>
  <c r="L522" i="7" a="1"/>
  <c r="L523" i="7" a="1"/>
  <c r="L524" i="7" a="1"/>
  <c r="L525" i="7" a="1"/>
  <c r="L526" i="7" a="1"/>
  <c r="L527" i="7" a="1"/>
  <c r="L528" i="7" a="1"/>
  <c r="L529" i="7" a="1"/>
  <c r="L530" i="7" a="1"/>
  <c r="L531" i="7" a="1"/>
  <c r="L532" i="7" a="1"/>
  <c r="L533" i="7" a="1"/>
  <c r="L534" i="7" a="1"/>
  <c r="L535" i="7" a="1"/>
  <c r="L536" i="7" a="1"/>
  <c r="L537" i="7" a="1"/>
  <c r="L538" i="7" a="1"/>
  <c r="L539" i="7" a="1"/>
  <c r="L540" i="7" a="1"/>
  <c r="L541" i="7" a="1"/>
  <c r="L542" i="7" a="1"/>
  <c r="L543" i="7" a="1"/>
  <c r="L544" i="7" a="1"/>
  <c r="L545" i="7" a="1"/>
  <c r="L546" i="7" a="1"/>
  <c r="L547" i="7" a="1"/>
  <c r="L548" i="7" a="1"/>
  <c r="L549" i="7" a="1"/>
  <c r="L550" i="7" a="1"/>
  <c r="L551" i="7" a="1"/>
  <c r="L552" i="7" a="1"/>
  <c r="L553" i="7" a="1"/>
  <c r="L554" i="7" a="1"/>
  <c r="L555" i="7" a="1"/>
  <c r="L556" i="7" a="1"/>
  <c r="L557" i="7" a="1"/>
  <c r="L558" i="7" a="1"/>
  <c r="L559" i="7" a="1"/>
  <c r="L560" i="7" a="1"/>
  <c r="L561" i="7" a="1"/>
  <c r="L562" i="7" a="1"/>
  <c r="L563" i="7" a="1"/>
  <c r="L564" i="7" a="1"/>
  <c r="L565" i="7" a="1"/>
  <c r="L566" i="7" a="1"/>
  <c r="L567" i="7" a="1"/>
  <c r="L568" i="7" a="1"/>
  <c r="L569" i="7" a="1"/>
  <c r="L570" i="7" a="1"/>
  <c r="L571" i="7" a="1"/>
  <c r="L572" i="7" a="1"/>
  <c r="L573" i="7" a="1"/>
  <c r="L574" i="7" a="1"/>
  <c r="L575" i="7" a="1"/>
  <c r="L576" i="7" a="1"/>
  <c r="L577" i="7" a="1"/>
  <c r="L578" i="7" a="1"/>
  <c r="L579" i="7" a="1"/>
  <c r="L580" i="7" a="1"/>
  <c r="L581" i="7" a="1"/>
  <c r="L582" i="7" a="1"/>
  <c r="L583" i="7" a="1"/>
  <c r="L584" i="7" a="1"/>
  <c r="L585" i="7" a="1"/>
  <c r="L586" i="7" a="1"/>
  <c r="L587" i="7" a="1"/>
  <c r="L588" i="7" a="1"/>
  <c r="L589" i="7" a="1"/>
  <c r="L590" i="7" a="1"/>
  <c r="L591" i="7" a="1"/>
  <c r="L592" i="7" a="1"/>
  <c r="L593" i="7" a="1"/>
  <c r="L594" i="7" a="1"/>
  <c r="L595" i="7" a="1"/>
  <c r="L596" i="7" a="1"/>
  <c r="L597" i="7" a="1"/>
  <c r="L598" i="7" a="1"/>
  <c r="L599" i="7" a="1"/>
  <c r="L600" i="7" a="1"/>
  <c r="L601" i="7" a="1"/>
  <c r="L602" i="7" a="1"/>
  <c r="L603" i="7" a="1"/>
  <c r="L604" i="7" a="1"/>
  <c r="L605" i="7" a="1"/>
  <c r="L606" i="7" a="1"/>
  <c r="L607" i="7" a="1"/>
  <c r="L608" i="7" a="1"/>
  <c r="L609" i="7" a="1"/>
  <c r="L610" i="7" a="1"/>
  <c r="L611" i="7" a="1"/>
  <c r="L612" i="7" a="1"/>
  <c r="L613" i="7" a="1"/>
  <c r="L614" i="7" a="1"/>
  <c r="L615" i="7" a="1"/>
  <c r="L616" i="7" a="1"/>
  <c r="L617" i="7" a="1"/>
  <c r="L618" i="7" a="1"/>
  <c r="L619" i="7" a="1"/>
  <c r="L620" i="7" a="1"/>
  <c r="L621" i="7" a="1"/>
  <c r="L622" i="7" a="1"/>
  <c r="L623" i="7" a="1"/>
  <c r="L624" i="7" a="1"/>
  <c r="L625" i="7" a="1"/>
  <c r="L626" i="7" a="1"/>
  <c r="L627" i="7" a="1"/>
  <c r="L628" i="7" a="1"/>
  <c r="L629" i="7" a="1"/>
  <c r="L630" i="7" a="1"/>
  <c r="L631" i="7" a="1"/>
  <c r="L632" i="7" a="1"/>
  <c r="L633" i="7" a="1"/>
  <c r="L634" i="7" a="1"/>
  <c r="L635" i="7" a="1"/>
  <c r="L636" i="7" a="1"/>
  <c r="L637" i="7" a="1"/>
  <c r="L638" i="7" a="1"/>
  <c r="L639" i="7" a="1"/>
  <c r="L640" i="7" a="1"/>
  <c r="L641" i="7" a="1"/>
  <c r="L642" i="7" a="1"/>
  <c r="L643" i="7" a="1"/>
  <c r="L644" i="7" a="1"/>
  <c r="L645" i="7" a="1"/>
  <c r="L646" i="7" a="1"/>
  <c r="L647" i="7" a="1"/>
  <c r="L648" i="7" a="1"/>
  <c r="L649" i="7" a="1"/>
  <c r="L650" i="7" a="1"/>
  <c r="L651" i="7" a="1"/>
  <c r="L652" i="7" a="1"/>
  <c r="L653" i="7" a="1"/>
  <c r="L654" i="7" a="1"/>
  <c r="L655" i="7" a="1"/>
  <c r="L656" i="7" a="1"/>
  <c r="L657" i="7" a="1"/>
  <c r="L658" i="7" a="1"/>
  <c r="L659" i="7" a="1"/>
  <c r="L660" i="7" a="1"/>
  <c r="L661" i="7" a="1"/>
  <c r="L662" i="7" a="1"/>
  <c r="L663" i="7" a="1"/>
  <c r="L664" i="7" a="1"/>
  <c r="L665" i="7" a="1"/>
  <c r="L666" i="7" a="1"/>
  <c r="L667" i="7" a="1"/>
  <c r="L668" i="7" a="1"/>
  <c r="L669" i="7" a="1"/>
  <c r="L670" i="7" a="1"/>
  <c r="L671" i="7" a="1"/>
  <c r="L672" i="7" a="1"/>
  <c r="L673" i="7" a="1"/>
  <c r="L674" i="7" a="1"/>
  <c r="L675" i="7" a="1"/>
  <c r="L676" i="7" a="1"/>
  <c r="L677" i="7" a="1"/>
  <c r="L678" i="7" a="1"/>
  <c r="L679" i="7" a="1"/>
  <c r="L680" i="7" a="1"/>
  <c r="L681" i="7" a="1"/>
  <c r="L682" i="7" a="1"/>
  <c r="L683" i="7" a="1"/>
  <c r="L684" i="7" a="1"/>
  <c r="L685" i="7" a="1"/>
  <c r="L686" i="7" a="1"/>
  <c r="L687" i="7" a="1"/>
  <c r="L688" i="7" a="1"/>
  <c r="L689" i="7" a="1"/>
  <c r="L690" i="7" a="1"/>
  <c r="L691" i="7" a="1"/>
  <c r="L692" i="7" a="1"/>
  <c r="L693" i="7" a="1"/>
  <c r="L694" i="7" a="1"/>
  <c r="L695" i="7" a="1"/>
  <c r="L696" i="7" a="1"/>
  <c r="L697" i="7" a="1"/>
  <c r="L698" i="7" a="1"/>
  <c r="L699" i="7" a="1"/>
  <c r="L700" i="7" a="1"/>
  <c r="L701" i="7" a="1"/>
  <c r="L702" i="7" a="1"/>
  <c r="L703" i="7" a="1"/>
  <c r="L704" i="7" a="1"/>
  <c r="L705" i="7" a="1"/>
  <c r="L706" i="7" a="1"/>
  <c r="L707" i="7" a="1"/>
  <c r="L708" i="7" a="1"/>
  <c r="L709" i="7" a="1"/>
  <c r="L710" i="7" a="1"/>
  <c r="L711" i="7" a="1"/>
  <c r="L712" i="7" a="1"/>
  <c r="L713" i="7" a="1"/>
  <c r="L714" i="7" a="1"/>
  <c r="L715" i="7" a="1"/>
  <c r="L716" i="7" a="1"/>
  <c r="L717" i="7" a="1"/>
  <c r="L718" i="7" a="1"/>
  <c r="L719" i="7" a="1"/>
  <c r="L720" i="7" a="1"/>
  <c r="L721" i="7" a="1"/>
  <c r="L722" i="7" a="1"/>
  <c r="L723" i="7" a="1"/>
  <c r="L724" i="7" a="1"/>
  <c r="L725" i="7" a="1"/>
  <c r="L726" i="7" a="1"/>
  <c r="L727" i="7" a="1"/>
  <c r="L728" i="7" a="1"/>
  <c r="L729" i="7" a="1"/>
  <c r="L730" i="7" a="1"/>
  <c r="L731" i="7" a="1"/>
  <c r="L732" i="7" a="1"/>
  <c r="L733" i="7" a="1"/>
  <c r="L734" i="7" a="1"/>
  <c r="L735" i="7" a="1"/>
  <c r="L736" i="7" a="1"/>
  <c r="L737" i="7" a="1"/>
  <c r="L738" i="7" a="1"/>
  <c r="L739" i="7" a="1"/>
  <c r="L740" i="7" a="1"/>
  <c r="L741" i="7" a="1"/>
  <c r="L742" i="7" a="1"/>
  <c r="L743" i="7" a="1"/>
  <c r="L744" i="7" a="1"/>
  <c r="L745" i="7" a="1"/>
  <c r="L746" i="7" a="1"/>
  <c r="L747" i="7" a="1"/>
  <c r="L748" i="7" a="1"/>
  <c r="L749" i="7" a="1"/>
  <c r="L750" i="7" a="1"/>
  <c r="L751" i="7" a="1"/>
  <c r="L752" i="7" a="1"/>
  <c r="L753" i="7" a="1"/>
  <c r="L754" i="7" a="1"/>
  <c r="L755" i="7" a="1"/>
  <c r="L756" i="7" a="1"/>
  <c r="L757" i="7" a="1"/>
  <c r="L758" i="7" a="1"/>
  <c r="L759" i="7" a="1"/>
  <c r="L760" i="7" a="1"/>
  <c r="L761" i="7" a="1"/>
  <c r="L762" i="7" a="1"/>
  <c r="L763" i="7" a="1"/>
  <c r="L764" i="7" a="1"/>
  <c r="L765" i="7" a="1"/>
  <c r="L766" i="7" a="1"/>
  <c r="L767" i="7" a="1"/>
  <c r="L768" i="7" a="1"/>
  <c r="L769" i="7" a="1"/>
  <c r="L770" i="7" a="1"/>
  <c r="L771" i="7" a="1"/>
  <c r="L772" i="7" a="1"/>
  <c r="L773" i="7" a="1"/>
  <c r="L774" i="7" a="1"/>
  <c r="L775" i="7" a="1"/>
  <c r="L776" i="7" a="1"/>
  <c r="L777" i="7" a="1"/>
  <c r="L778" i="7" a="1"/>
  <c r="L779" i="7" a="1"/>
  <c r="L780" i="7" a="1"/>
  <c r="L781" i="7" a="1"/>
  <c r="L782" i="7" a="1"/>
  <c r="L783" i="7" a="1"/>
  <c r="L784" i="7" a="1"/>
  <c r="L785" i="7" a="1"/>
  <c r="L786" i="7" a="1"/>
  <c r="L787" i="7" a="1"/>
  <c r="L788" i="7" a="1"/>
  <c r="L789" i="7" a="1"/>
  <c r="L790" i="7" a="1"/>
  <c r="L791" i="7" a="1"/>
  <c r="L792" i="7" a="1"/>
  <c r="L793" i="7" a="1"/>
  <c r="L794" i="7" a="1"/>
  <c r="L795" i="7" a="1"/>
  <c r="L796" i="7" a="1"/>
  <c r="L797" i="7" a="1"/>
  <c r="L798" i="7" a="1"/>
  <c r="L799" i="7" a="1"/>
  <c r="L800" i="7" a="1"/>
  <c r="L801" i="7" a="1"/>
  <c r="L802" i="7" a="1"/>
  <c r="L803" i="7" a="1"/>
  <c r="L804" i="7" a="1"/>
  <c r="L805" i="7" a="1"/>
  <c r="L806" i="7" a="1"/>
  <c r="L807" i="7" a="1"/>
  <c r="L808" i="7" a="1"/>
  <c r="L809" i="7" a="1"/>
  <c r="L810" i="7" a="1"/>
  <c r="L811" i="7" a="1"/>
  <c r="L812" i="7" a="1"/>
  <c r="L813" i="7" a="1"/>
  <c r="L814" i="7" a="1"/>
  <c r="L815" i="7" a="1"/>
  <c r="L816" i="7" a="1"/>
  <c r="L817" i="7" a="1"/>
  <c r="L818" i="7" a="1"/>
  <c r="L819" i="7" a="1"/>
  <c r="L820" i="7" a="1"/>
  <c r="L821" i="7" a="1"/>
  <c r="L822" i="7" a="1"/>
  <c r="L823" i="7" a="1"/>
  <c r="L824" i="7" a="1"/>
  <c r="L825" i="7" a="1"/>
  <c r="L826" i="7" a="1"/>
  <c r="L827" i="7" a="1"/>
  <c r="L828" i="7" a="1"/>
  <c r="L829" i="7" a="1"/>
  <c r="L830" i="7" a="1"/>
  <c r="L831" i="7" a="1"/>
  <c r="L832" i="7" a="1"/>
  <c r="L833" i="7" a="1"/>
  <c r="L834" i="7" a="1"/>
  <c r="L835" i="7" a="1"/>
  <c r="L836" i="7" a="1"/>
  <c r="L837" i="7" a="1"/>
  <c r="L838" i="7" a="1"/>
  <c r="L839" i="7" a="1"/>
  <c r="L840" i="7" a="1"/>
  <c r="L841" i="7" a="1"/>
  <c r="L842" i="7" a="1"/>
  <c r="L843" i="7" a="1"/>
  <c r="L844" i="7" a="1"/>
  <c r="L845" i="7" a="1"/>
  <c r="L846" i="7" a="1"/>
  <c r="L847" i="7" a="1"/>
  <c r="L848" i="7" a="1"/>
  <c r="L849" i="7" a="1"/>
  <c r="L850" i="7" a="1"/>
  <c r="L851" i="7" a="1"/>
  <c r="L852" i="7" a="1"/>
  <c r="L853" i="7" a="1"/>
  <c r="L854" i="7" a="1"/>
  <c r="L855" i="7" a="1"/>
  <c r="L856" i="7" a="1"/>
  <c r="L857" i="7" a="1"/>
  <c r="L858" i="7" a="1"/>
  <c r="L859" i="7" a="1"/>
  <c r="L860" i="7" a="1"/>
  <c r="L861" i="7" a="1"/>
  <c r="L862" i="7" a="1"/>
  <c r="L863" i="7" a="1"/>
  <c r="L864" i="7" a="1"/>
  <c r="L865" i="7" a="1"/>
  <c r="L866" i="7" a="1"/>
  <c r="L867" i="7" a="1"/>
  <c r="L868" i="7" a="1"/>
  <c r="L869" i="7" a="1"/>
  <c r="L870" i="7" a="1"/>
  <c r="L871" i="7" a="1"/>
  <c r="L872" i="7" a="1"/>
  <c r="L873" i="7" a="1"/>
  <c r="L874" i="7" a="1"/>
  <c r="L875" i="7" a="1"/>
  <c r="L876" i="7" a="1"/>
  <c r="L877" i="7" a="1"/>
  <c r="L878" i="7" a="1"/>
  <c r="L879" i="7" a="1"/>
  <c r="L880" i="7" a="1"/>
  <c r="L881" i="7" a="1"/>
  <c r="L882" i="7" a="1"/>
  <c r="L883" i="7" a="1"/>
  <c r="L884" i="7" a="1"/>
  <c r="L885" i="7" a="1"/>
  <c r="L886" i="7" a="1"/>
  <c r="L887" i="7" a="1"/>
  <c r="L888" i="7" a="1"/>
  <c r="L889" i="7" a="1"/>
  <c r="L890" i="7" a="1"/>
  <c r="L891" i="7" a="1"/>
  <c r="L892" i="7" a="1"/>
  <c r="L893" i="7" a="1"/>
  <c r="L894" i="7" a="1"/>
  <c r="L895" i="7" a="1"/>
  <c r="L896" i="7" a="1"/>
  <c r="L897" i="7" a="1"/>
  <c r="L898" i="7" a="1"/>
  <c r="L899" i="7" a="1"/>
  <c r="L900" i="7" a="1"/>
  <c r="L901" i="7" a="1"/>
  <c r="L902" i="7" a="1"/>
  <c r="L903" i="7" a="1"/>
  <c r="L904" i="7" a="1"/>
  <c r="L905" i="7" a="1"/>
  <c r="L906" i="7" a="1"/>
  <c r="L907" i="7" a="1"/>
  <c r="L908" i="7" a="1"/>
  <c r="L909" i="7" a="1"/>
  <c r="L910" i="7" a="1"/>
  <c r="L911" i="7" a="1"/>
  <c r="L912" i="7" a="1"/>
  <c r="L913" i="7" a="1"/>
  <c r="L914" i="7" a="1"/>
  <c r="L915" i="7" a="1"/>
  <c r="L916" i="7" a="1"/>
  <c r="L917" i="7" a="1"/>
  <c r="L918" i="7" a="1"/>
  <c r="L919" i="7" a="1"/>
  <c r="L920" i="7" a="1"/>
  <c r="L921" i="7" a="1"/>
  <c r="L922" i="7" a="1"/>
  <c r="L923" i="7" a="1"/>
  <c r="L924" i="7" a="1"/>
  <c r="L925" i="7" a="1"/>
  <c r="L926" i="7" a="1"/>
  <c r="L927" i="7" a="1"/>
  <c r="L928" i="7" a="1"/>
  <c r="L929" i="7" a="1"/>
  <c r="L930" i="7" a="1"/>
  <c r="L931" i="7" a="1"/>
  <c r="L932" i="7" a="1"/>
  <c r="L933" i="7" a="1"/>
  <c r="L934" i="7" a="1"/>
  <c r="L935" i="7" a="1"/>
  <c r="L936" i="7" a="1"/>
  <c r="L937" i="7" a="1"/>
  <c r="L938" i="7" a="1"/>
  <c r="L939" i="7" a="1"/>
  <c r="L940" i="7" a="1"/>
  <c r="L941" i="7" a="1"/>
  <c r="L942" i="7" a="1"/>
  <c r="L943" i="7" a="1"/>
  <c r="L944" i="7" a="1"/>
  <c r="L945" i="7" a="1"/>
  <c r="L946" i="7" a="1"/>
  <c r="L947" i="7" a="1"/>
  <c r="L948" i="7" a="1"/>
  <c r="L949" i="7" a="1"/>
  <c r="L950" i="7" a="1"/>
  <c r="L951" i="7" a="1"/>
  <c r="L952" i="7" a="1"/>
  <c r="L953" i="7" a="1"/>
  <c r="L954" i="7" a="1"/>
  <c r="L955" i="7" a="1"/>
  <c r="L956" i="7" a="1"/>
  <c r="L957" i="7" a="1"/>
  <c r="L958" i="7" a="1"/>
  <c r="L959" i="7" a="1"/>
  <c r="L960" i="7" a="1"/>
  <c r="L961" i="7" a="1"/>
  <c r="L962" i="7" a="1"/>
  <c r="L963" i="7" a="1"/>
  <c r="L964" i="7" a="1"/>
  <c r="L965" i="7" a="1"/>
  <c r="L966" i="7" a="1"/>
  <c r="L967" i="7" a="1"/>
  <c r="L968" i="7" a="1"/>
  <c r="L969" i="7" a="1"/>
  <c r="L970" i="7" a="1"/>
  <c r="L971" i="7" a="1"/>
  <c r="L972" i="7" a="1"/>
  <c r="L973" i="7" a="1"/>
  <c r="L974" i="7" a="1"/>
  <c r="L975" i="7" a="1"/>
  <c r="L976" i="7" a="1"/>
  <c r="L977" i="7" a="1"/>
  <c r="L978" i="7" a="1"/>
  <c r="L979" i="7" a="1"/>
  <c r="L980" i="7" a="1"/>
  <c r="L981" i="7" a="1"/>
  <c r="L982" i="7" a="1"/>
  <c r="L983" i="7" a="1"/>
  <c r="L984" i="7" a="1"/>
  <c r="L985" i="7" a="1"/>
  <c r="L986" i="7" a="1"/>
  <c r="L987" i="7" a="1"/>
  <c r="L988" i="7" a="1"/>
  <c r="L989" i="7" a="1"/>
  <c r="L990" i="7" a="1"/>
  <c r="L991" i="7" a="1"/>
  <c r="L992" i="7" a="1"/>
  <c r="L993" i="7" a="1"/>
  <c r="L994" i="7" a="1"/>
  <c r="L995" i="7" a="1"/>
  <c r="L996" i="7" a="1"/>
  <c r="L997" i="7" a="1"/>
  <c r="L998" i="7" a="1"/>
  <c r="L999" i="7" a="1"/>
  <c r="L1000" i="7" a="1"/>
  <c r="L1001" i="7" a="1"/>
  <c r="AR2" i="3"/>
  <c r="AQ3" i="3"/>
  <c r="AQ4" i="3"/>
  <c r="AQ5" i="3"/>
  <c r="AQ2" i="3"/>
  <c r="AP5" i="3"/>
  <c r="AO5" i="3"/>
  <c r="AO6" i="3"/>
  <c r="AO7" i="3"/>
  <c r="AO8" i="3"/>
  <c r="AO9" i="3"/>
  <c r="AO10" i="3"/>
  <c r="AO11" i="3"/>
  <c r="AO12" i="3"/>
  <c r="AN7" i="3"/>
  <c r="AM6" i="3"/>
  <c r="AK8" i="3"/>
  <c r="AK7" i="3"/>
  <c r="AK6" i="3"/>
  <c r="AK5" i="3"/>
  <c r="AK4" i="3"/>
  <c r="AK2" i="3"/>
  <c r="AK3" i="3"/>
  <c r="B12" i="16"/>
  <c r="AK12" i="16" s="1"/>
  <c r="B11" i="16"/>
  <c r="AK11" i="16" s="1"/>
  <c r="B10" i="16"/>
  <c r="AK10" i="16" s="1"/>
  <c r="B9" i="16"/>
  <c r="B8" i="16"/>
  <c r="B7" i="16"/>
  <c r="AK7" i="16" s="1"/>
  <c r="B6" i="16"/>
  <c r="B5" i="16"/>
  <c r="AK5" i="16" s="1"/>
  <c r="B4" i="16"/>
  <c r="B3" i="16"/>
  <c r="B12" i="15"/>
  <c r="AK12" i="15" s="1"/>
  <c r="B11" i="15"/>
  <c r="AK11" i="15" s="1"/>
  <c r="B10" i="15"/>
  <c r="AK10" i="15" s="1"/>
  <c r="B9" i="15"/>
  <c r="AK9" i="15" s="1"/>
  <c r="B8" i="15"/>
  <c r="AK8" i="15" s="1"/>
  <c r="B7" i="15"/>
  <c r="AK7" i="15" s="1"/>
  <c r="B6" i="15"/>
  <c r="AK6" i="15" s="1"/>
  <c r="B5" i="15"/>
  <c r="B4" i="15"/>
  <c r="AK4" i="15" s="1"/>
  <c r="B3" i="15"/>
  <c r="A38" i="15" l="1"/>
  <c r="A31" i="15"/>
  <c r="A37" i="15"/>
  <c r="A36" i="15"/>
  <c r="A35" i="15"/>
  <c r="A34" i="15"/>
  <c r="A32" i="15"/>
  <c r="A33" i="15"/>
  <c r="A30" i="15"/>
  <c r="AK30" i="15"/>
  <c r="A29" i="15"/>
  <c r="A28" i="15"/>
  <c r="A27" i="15"/>
  <c r="A26" i="15"/>
  <c r="A25" i="15"/>
  <c r="AK25" i="15"/>
  <c r="C70" i="13"/>
  <c r="F98" i="13"/>
  <c r="E98" i="13"/>
  <c r="C98" i="13"/>
  <c r="D98" i="13"/>
  <c r="F97" i="13"/>
  <c r="E97" i="13"/>
  <c r="D97" i="13"/>
  <c r="C97" i="13"/>
  <c r="F96" i="13"/>
  <c r="E96" i="13"/>
  <c r="D96" i="13"/>
  <c r="C96" i="13"/>
  <c r="F95" i="13"/>
  <c r="E95" i="13"/>
  <c r="D95" i="13"/>
  <c r="C95" i="13"/>
  <c r="F94" i="13"/>
  <c r="E94" i="13"/>
  <c r="D94" i="13"/>
  <c r="C94" i="13"/>
  <c r="F93" i="13"/>
  <c r="E93" i="13"/>
  <c r="D93" i="13"/>
  <c r="C93" i="13"/>
  <c r="E92" i="13"/>
  <c r="D92" i="13"/>
  <c r="C92" i="13"/>
  <c r="F92" i="13"/>
  <c r="E91" i="13"/>
  <c r="D91" i="13"/>
  <c r="F91" i="13"/>
  <c r="F90" i="13"/>
  <c r="E90" i="13"/>
  <c r="D90" i="13"/>
  <c r="C90" i="13"/>
  <c r="F89" i="13"/>
  <c r="E89" i="13"/>
  <c r="C89" i="13"/>
  <c r="D89" i="13"/>
  <c r="F88" i="13"/>
  <c r="E88" i="13"/>
  <c r="D88" i="13"/>
  <c r="C88" i="13"/>
  <c r="F87" i="13"/>
  <c r="E87" i="13"/>
  <c r="D87" i="13"/>
  <c r="C87" i="13"/>
  <c r="E86" i="13"/>
  <c r="D86" i="13"/>
  <c r="C86" i="13"/>
  <c r="F86" i="13"/>
  <c r="E85" i="13"/>
  <c r="D85" i="13"/>
  <c r="C85" i="13"/>
  <c r="F85" i="13"/>
  <c r="F84" i="13"/>
  <c r="E84" i="13"/>
  <c r="D84" i="13"/>
  <c r="C84" i="13"/>
  <c r="F83" i="13"/>
  <c r="E83" i="13"/>
  <c r="D83" i="13"/>
  <c r="C83" i="13"/>
  <c r="F82" i="13"/>
  <c r="E82" i="13"/>
  <c r="D82" i="13"/>
  <c r="C82" i="13"/>
  <c r="F81" i="13"/>
  <c r="E81" i="13"/>
  <c r="D81" i="13"/>
  <c r="C81" i="13"/>
  <c r="F80" i="13"/>
  <c r="E80" i="13"/>
  <c r="D80" i="13"/>
  <c r="C80" i="13"/>
  <c r="E79" i="13"/>
  <c r="D79" i="13"/>
  <c r="F79" i="13"/>
  <c r="E78" i="13"/>
  <c r="D78" i="13"/>
  <c r="C78" i="13"/>
  <c r="F78" i="13"/>
  <c r="F77" i="13"/>
  <c r="E77" i="13"/>
  <c r="D77" i="13"/>
  <c r="C77" i="13"/>
  <c r="F76" i="13"/>
  <c r="E76" i="13"/>
  <c r="C76" i="13"/>
  <c r="D76" i="13"/>
  <c r="F75" i="13"/>
  <c r="E75" i="13"/>
  <c r="D75" i="13"/>
  <c r="C75" i="13"/>
  <c r="F74" i="13"/>
  <c r="D74" i="13"/>
  <c r="C74" i="13"/>
  <c r="E74" i="13"/>
  <c r="U30" i="13"/>
  <c r="R30" i="13"/>
  <c r="S30" i="13"/>
  <c r="T30" i="13"/>
  <c r="Q30" i="13"/>
  <c r="R31" i="13"/>
  <c r="S31" i="13"/>
  <c r="T31" i="13"/>
  <c r="U31" i="13"/>
  <c r="Q31" i="13"/>
  <c r="T32" i="13"/>
  <c r="R32" i="13"/>
  <c r="S32" i="13"/>
  <c r="U32" i="13"/>
  <c r="Q32" i="13"/>
  <c r="Q33" i="13"/>
  <c r="R33" i="13"/>
  <c r="S33" i="13"/>
  <c r="T33" i="13"/>
  <c r="U33" i="13"/>
  <c r="Q34" i="13"/>
  <c r="R34" i="13"/>
  <c r="S34" i="13"/>
  <c r="T34" i="13"/>
  <c r="U34" i="13"/>
  <c r="U35" i="13"/>
  <c r="Q35" i="13"/>
  <c r="R35" i="13"/>
  <c r="S35" i="13"/>
  <c r="T35" i="13"/>
  <c r="T36" i="13"/>
  <c r="U36" i="13"/>
  <c r="S36" i="13"/>
  <c r="R36" i="13"/>
  <c r="Q36" i="13"/>
  <c r="S37" i="13"/>
  <c r="T37" i="13"/>
  <c r="U37" i="13"/>
  <c r="R37" i="13"/>
  <c r="Q37" i="13"/>
  <c r="R38" i="13"/>
  <c r="S38" i="13"/>
  <c r="T38" i="13"/>
  <c r="U38" i="13"/>
  <c r="Q38" i="13"/>
  <c r="R39" i="13"/>
  <c r="S39" i="13"/>
  <c r="T39" i="13"/>
  <c r="Q39" i="13"/>
  <c r="U39" i="13"/>
  <c r="R40" i="13"/>
  <c r="S40" i="13"/>
  <c r="T40" i="13"/>
  <c r="U40" i="13"/>
  <c r="Q40" i="13"/>
  <c r="U41" i="13"/>
  <c r="Q41" i="13"/>
  <c r="R41" i="13"/>
  <c r="S41" i="13"/>
  <c r="T41" i="13"/>
  <c r="Q42" i="13"/>
  <c r="R42" i="13"/>
  <c r="S42" i="13"/>
  <c r="T42" i="13"/>
  <c r="U42" i="13"/>
  <c r="Q43" i="13"/>
  <c r="U43" i="13"/>
  <c r="R43" i="13"/>
  <c r="S43" i="13"/>
  <c r="T43" i="13"/>
  <c r="U44" i="13"/>
  <c r="R44" i="13"/>
  <c r="S44" i="13"/>
  <c r="T44" i="13"/>
  <c r="Q44" i="13"/>
  <c r="S45" i="13"/>
  <c r="T45" i="13"/>
  <c r="U45" i="13"/>
  <c r="Q45" i="13"/>
  <c r="R45" i="13"/>
  <c r="U46" i="13"/>
  <c r="Q46" i="13"/>
  <c r="R46" i="13"/>
  <c r="S46" i="13"/>
  <c r="T46" i="13"/>
  <c r="R47" i="13"/>
  <c r="S47" i="13"/>
  <c r="T47" i="13"/>
  <c r="U47" i="13"/>
  <c r="Q47" i="13"/>
  <c r="S48" i="13"/>
  <c r="T48" i="13"/>
  <c r="U48" i="13"/>
  <c r="R48" i="13"/>
  <c r="Q48" i="13"/>
  <c r="U49" i="13"/>
  <c r="T49" i="13"/>
  <c r="S49" i="13"/>
  <c r="R49" i="13"/>
  <c r="Q49" i="13"/>
  <c r="U50" i="13"/>
  <c r="T50" i="13"/>
  <c r="S50" i="13"/>
  <c r="R50" i="13"/>
  <c r="Q50" i="13"/>
  <c r="U51" i="13"/>
  <c r="T51" i="13"/>
  <c r="S51" i="13"/>
  <c r="R51" i="13"/>
  <c r="Q51" i="13"/>
  <c r="T52" i="13"/>
  <c r="S52" i="13"/>
  <c r="R52" i="13"/>
  <c r="Q52" i="13"/>
  <c r="U52" i="13"/>
  <c r="T53" i="13"/>
  <c r="U53" i="13"/>
  <c r="R53" i="13"/>
  <c r="S53" i="13"/>
  <c r="Q53" i="13"/>
  <c r="S29" i="13"/>
  <c r="T29" i="13"/>
  <c r="Q29" i="13"/>
  <c r="R29" i="13"/>
  <c r="U29" i="13"/>
  <c r="A24" i="15"/>
  <c r="A23" i="15"/>
  <c r="A22" i="15"/>
  <c r="A21" i="15"/>
  <c r="A20" i="15"/>
  <c r="A15" i="15"/>
  <c r="A16" i="15"/>
  <c r="A17" i="15"/>
  <c r="A18" i="15"/>
  <c r="A19" i="15"/>
  <c r="AK16" i="15"/>
  <c r="AO27" i="4"/>
  <c r="A14" i="15"/>
  <c r="A13" i="15"/>
  <c r="Q24" i="13"/>
  <c r="F30" i="13"/>
  <c r="E30" i="13"/>
  <c r="F31" i="13"/>
  <c r="E31" i="13"/>
  <c r="F32" i="13"/>
  <c r="E32" i="13"/>
  <c r="F33" i="13"/>
  <c r="E33" i="13"/>
  <c r="F34" i="13"/>
  <c r="E34" i="13"/>
  <c r="F35" i="13"/>
  <c r="E35" i="13"/>
  <c r="F36" i="13"/>
  <c r="E36" i="13"/>
  <c r="F37" i="13"/>
  <c r="E37" i="13"/>
  <c r="E38" i="13"/>
  <c r="F38" i="13"/>
  <c r="K30" i="13"/>
  <c r="L30" i="13"/>
  <c r="M30" i="13"/>
  <c r="J30" i="13"/>
  <c r="L31" i="13"/>
  <c r="M31" i="13"/>
  <c r="K31" i="13"/>
  <c r="J31" i="13"/>
  <c r="M32" i="13"/>
  <c r="L32" i="13"/>
  <c r="K32" i="13"/>
  <c r="J32" i="13"/>
  <c r="J33" i="13"/>
  <c r="L33" i="13"/>
  <c r="K33" i="13"/>
  <c r="M33" i="13"/>
  <c r="J34" i="13"/>
  <c r="L34" i="13"/>
  <c r="K34" i="13"/>
  <c r="M34" i="13"/>
  <c r="J35" i="13"/>
  <c r="K35" i="13"/>
  <c r="L35" i="13"/>
  <c r="M35" i="13"/>
  <c r="J36" i="13"/>
  <c r="L36" i="13"/>
  <c r="K36" i="13"/>
  <c r="M36" i="13"/>
  <c r="J37" i="13"/>
  <c r="K37" i="13"/>
  <c r="L37" i="13"/>
  <c r="M37" i="13"/>
  <c r="M38" i="13"/>
  <c r="L38" i="13"/>
  <c r="K38" i="13"/>
  <c r="J38" i="13"/>
  <c r="J39" i="13"/>
  <c r="L39" i="13"/>
  <c r="M39" i="13"/>
  <c r="K39" i="13"/>
  <c r="K40" i="13"/>
  <c r="M40" i="13"/>
  <c r="L40" i="13"/>
  <c r="J40" i="13"/>
  <c r="K41" i="13"/>
  <c r="L41" i="13"/>
  <c r="M41" i="13"/>
  <c r="J41" i="13"/>
  <c r="M42" i="13"/>
  <c r="L42" i="13"/>
  <c r="K42" i="13"/>
  <c r="J42" i="13"/>
  <c r="M43" i="13"/>
  <c r="K43" i="13"/>
  <c r="J43" i="13"/>
  <c r="L43" i="13"/>
  <c r="K44" i="13"/>
  <c r="M44" i="13"/>
  <c r="L44" i="13"/>
  <c r="J44" i="13"/>
  <c r="K45" i="13"/>
  <c r="L45" i="13"/>
  <c r="M45" i="13"/>
  <c r="J45" i="13"/>
  <c r="K46" i="13"/>
  <c r="J46" i="13"/>
  <c r="L46" i="13"/>
  <c r="M46" i="13"/>
  <c r="L47" i="13"/>
  <c r="M47" i="13"/>
  <c r="K47" i="13"/>
  <c r="J47" i="13"/>
  <c r="M48" i="13"/>
  <c r="K48" i="13"/>
  <c r="L48" i="13"/>
  <c r="J48" i="13"/>
  <c r="L49" i="13"/>
  <c r="M49" i="13"/>
  <c r="J49" i="13"/>
  <c r="K49" i="13"/>
  <c r="J50" i="13"/>
  <c r="L50" i="13"/>
  <c r="M50" i="13"/>
  <c r="K50" i="13"/>
  <c r="L51" i="13"/>
  <c r="K51" i="13"/>
  <c r="J51" i="13"/>
  <c r="M51" i="13"/>
  <c r="L52" i="13"/>
  <c r="K52" i="13"/>
  <c r="M52" i="13"/>
  <c r="J52" i="13"/>
  <c r="K53" i="13"/>
  <c r="M53" i="13"/>
  <c r="L53" i="13"/>
  <c r="J53" i="13"/>
  <c r="C52" i="13"/>
  <c r="D52" i="13"/>
  <c r="E52" i="13"/>
  <c r="C53" i="13"/>
  <c r="D53" i="13"/>
  <c r="E53" i="13"/>
  <c r="D51" i="13"/>
  <c r="C51" i="13"/>
  <c r="E51" i="13"/>
  <c r="C30" i="13"/>
  <c r="D30" i="13"/>
  <c r="C31" i="13"/>
  <c r="D31" i="13"/>
  <c r="C32" i="13"/>
  <c r="D32" i="13"/>
  <c r="C33" i="13"/>
  <c r="D33" i="13"/>
  <c r="C34" i="13"/>
  <c r="D34" i="13"/>
  <c r="C35" i="13"/>
  <c r="D35" i="13"/>
  <c r="C36" i="13"/>
  <c r="D36" i="13"/>
  <c r="C37" i="13"/>
  <c r="D37" i="13"/>
  <c r="C38" i="13"/>
  <c r="D38" i="13"/>
  <c r="C39" i="13"/>
  <c r="E39" i="13"/>
  <c r="D39" i="13"/>
  <c r="C40" i="13"/>
  <c r="D40" i="13"/>
  <c r="E40" i="13"/>
  <c r="D41" i="13"/>
  <c r="E41" i="13"/>
  <c r="C41" i="13"/>
  <c r="E42" i="13"/>
  <c r="C42" i="13"/>
  <c r="D42" i="13"/>
  <c r="D43" i="13"/>
  <c r="E43" i="13"/>
  <c r="C43" i="13"/>
  <c r="D44" i="13"/>
  <c r="E44" i="13"/>
  <c r="C44" i="13"/>
  <c r="E45" i="13"/>
  <c r="D45" i="13"/>
  <c r="C45" i="13"/>
  <c r="E46" i="13"/>
  <c r="D46" i="13"/>
  <c r="C46" i="13"/>
  <c r="C47" i="13"/>
  <c r="E47" i="13"/>
  <c r="D47" i="13"/>
  <c r="E48" i="13"/>
  <c r="C48" i="13"/>
  <c r="D48" i="13"/>
  <c r="E49" i="13"/>
  <c r="C49" i="13"/>
  <c r="D49" i="13"/>
  <c r="E50" i="13"/>
  <c r="C50" i="13"/>
  <c r="D50" i="13"/>
  <c r="J29" i="13"/>
  <c r="K29" i="13"/>
  <c r="M29" i="13"/>
  <c r="L29" i="13"/>
  <c r="L12" i="13"/>
  <c r="G14" i="13"/>
  <c r="AK9" i="16"/>
  <c r="A9" i="16"/>
  <c r="AK8" i="16"/>
  <c r="A8" i="16"/>
  <c r="AK6" i="16"/>
  <c r="A6" i="16"/>
  <c r="A4" i="16"/>
  <c r="A3" i="16"/>
  <c r="A7" i="16"/>
  <c r="A5" i="16"/>
  <c r="A11" i="16"/>
  <c r="A10" i="16"/>
  <c r="A12" i="16"/>
  <c r="A9" i="15"/>
  <c r="A8" i="15"/>
  <c r="A7" i="15"/>
  <c r="A11" i="15"/>
  <c r="AK3" i="15"/>
  <c r="A10" i="15"/>
  <c r="A3" i="15"/>
  <c r="A12" i="15"/>
  <c r="A4" i="15"/>
  <c r="A5" i="15"/>
  <c r="AK5" i="15"/>
  <c r="A6" i="15"/>
  <c r="H5" i="8" l="1"/>
  <c r="G13" i="13"/>
  <c r="B3" i="6"/>
  <c r="B4" i="6"/>
  <c r="B5" i="6"/>
  <c r="B6" i="6"/>
  <c r="B7" i="6"/>
  <c r="B8" i="6"/>
  <c r="B9" i="6"/>
  <c r="B10" i="6"/>
  <c r="B11" i="6"/>
  <c r="B12" i="6"/>
  <c r="B13" i="6"/>
  <c r="B14" i="6"/>
  <c r="B26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3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AG40" i="5" s="1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A11" i="6" l="1"/>
  <c r="V11" i="6"/>
  <c r="A12" i="6"/>
  <c r="V12" i="6"/>
  <c r="A13" i="6"/>
  <c r="V13" i="6"/>
  <c r="V3" i="6"/>
  <c r="A3" i="6"/>
  <c r="A4" i="6"/>
  <c r="V4" i="6"/>
  <c r="V5" i="6"/>
  <c r="A5" i="6"/>
  <c r="A6" i="6"/>
  <c r="V6" i="6"/>
  <c r="V7" i="6"/>
  <c r="A7" i="6"/>
  <c r="A8" i="6"/>
  <c r="V8" i="6"/>
  <c r="A9" i="6"/>
  <c r="V9" i="6"/>
  <c r="A10" i="6"/>
  <c r="V10" i="6"/>
  <c r="A14" i="6"/>
  <c r="V14" i="6"/>
  <c r="A26" i="4"/>
  <c r="AO26" i="4"/>
  <c r="A4" i="4"/>
  <c r="A5" i="4"/>
  <c r="A6" i="4"/>
  <c r="A7" i="4"/>
  <c r="A8" i="4"/>
  <c r="A9" i="4"/>
  <c r="A10" i="4"/>
  <c r="A11" i="4"/>
  <c r="A12" i="4"/>
  <c r="A13" i="4"/>
  <c r="AO13" i="4"/>
  <c r="A14" i="4"/>
  <c r="AO14" i="4"/>
  <c r="A15" i="4"/>
  <c r="AO15" i="4"/>
  <c r="A16" i="4"/>
  <c r="AO16" i="4"/>
  <c r="A17" i="4"/>
  <c r="AO17" i="4"/>
  <c r="A18" i="4"/>
  <c r="AO18" i="4"/>
  <c r="A19" i="4"/>
  <c r="AO19" i="4"/>
  <c r="A20" i="4"/>
  <c r="AO20" i="4"/>
  <c r="A21" i="4"/>
  <c r="AO21" i="4"/>
  <c r="A22" i="4"/>
  <c r="AO22" i="4"/>
  <c r="A23" i="4"/>
  <c r="AO23" i="4"/>
  <c r="A24" i="4"/>
  <c r="AO24" i="4"/>
  <c r="A25" i="4"/>
  <c r="AO25" i="4"/>
  <c r="A3" i="4"/>
  <c r="AG3" i="5"/>
  <c r="A3" i="5"/>
  <c r="AG4" i="5"/>
  <c r="A4" i="5"/>
  <c r="AG5" i="5"/>
  <c r="A5" i="5"/>
  <c r="A6" i="5"/>
  <c r="AG6" i="5"/>
  <c r="AG7" i="5"/>
  <c r="A7" i="5"/>
  <c r="AG8" i="5"/>
  <c r="A8" i="5"/>
  <c r="AG9" i="5"/>
  <c r="A9" i="5"/>
  <c r="AG10" i="5"/>
  <c r="A10" i="5"/>
  <c r="AG11" i="5"/>
  <c r="A11" i="5"/>
  <c r="AG12" i="5"/>
  <c r="A12" i="5"/>
  <c r="AG13" i="5"/>
  <c r="A13" i="5"/>
  <c r="AG14" i="5"/>
  <c r="A14" i="5"/>
  <c r="AG15" i="5"/>
  <c r="A15" i="5"/>
  <c r="AG16" i="5"/>
  <c r="A16" i="5"/>
  <c r="A17" i="5"/>
  <c r="AG17" i="5"/>
  <c r="AG18" i="5"/>
  <c r="A18" i="5"/>
  <c r="A19" i="5"/>
  <c r="AG19" i="5"/>
  <c r="A20" i="5"/>
  <c r="AG20" i="5"/>
  <c r="AG21" i="5"/>
  <c r="A21" i="5"/>
  <c r="AG22" i="5"/>
  <c r="A22" i="5"/>
  <c r="AG23" i="5"/>
  <c r="A23" i="5"/>
  <c r="AG24" i="5"/>
  <c r="A24" i="5"/>
  <c r="A25" i="5"/>
  <c r="AG25" i="5"/>
  <c r="A26" i="5"/>
  <c r="AG26" i="5"/>
  <c r="A27" i="5"/>
  <c r="AG27" i="5"/>
  <c r="A28" i="5"/>
  <c r="AG28" i="5"/>
  <c r="AG29" i="5"/>
  <c r="A29" i="5"/>
  <c r="AG30" i="5"/>
  <c r="A30" i="5"/>
  <c r="AG31" i="5"/>
  <c r="A31" i="5"/>
  <c r="AG32" i="5"/>
  <c r="A32" i="5"/>
  <c r="AG33" i="5"/>
  <c r="A33" i="5"/>
  <c r="AG34" i="5"/>
  <c r="A34" i="5"/>
  <c r="AG35" i="5"/>
  <c r="A35" i="5"/>
  <c r="A36" i="5"/>
  <c r="AG36" i="5"/>
  <c r="AG37" i="5"/>
  <c r="A37" i="5"/>
  <c r="AG38" i="5"/>
  <c r="A38" i="5"/>
  <c r="AG39" i="5"/>
  <c r="A39" i="5"/>
  <c r="A40" i="5"/>
  <c r="A41" i="5"/>
  <c r="AG41" i="5"/>
  <c r="AG42" i="5"/>
  <c r="A42" i="5"/>
  <c r="AG43" i="5"/>
  <c r="A43" i="5"/>
  <c r="AG44" i="5"/>
  <c r="A44" i="5"/>
  <c r="AG45" i="5"/>
  <c r="A45" i="5"/>
  <c r="AG46" i="5"/>
  <c r="A46" i="5"/>
  <c r="AG47" i="5"/>
  <c r="A47" i="5"/>
  <c r="AG48" i="5"/>
  <c r="A48" i="5"/>
  <c r="AG49" i="5"/>
  <c r="A49" i="5"/>
  <c r="A50" i="5"/>
  <c r="AG50" i="5"/>
  <c r="A51" i="5"/>
  <c r="AG51" i="5"/>
  <c r="AG52" i="5"/>
  <c r="A52" i="5"/>
  <c r="AG53" i="5"/>
  <c r="A53" i="5"/>
  <c r="AG54" i="5"/>
  <c r="A54" i="5"/>
  <c r="AG55" i="5"/>
  <c r="A55" i="5"/>
  <c r="AG56" i="5"/>
  <c r="A56" i="5"/>
  <c r="AG57" i="5"/>
  <c r="A57" i="5"/>
  <c r="AG58" i="5"/>
  <c r="A58" i="5"/>
  <c r="AG59" i="5"/>
  <c r="A59" i="5"/>
  <c r="A60" i="5"/>
  <c r="AG60" i="5"/>
  <c r="AG61" i="5"/>
  <c r="A61" i="5"/>
  <c r="A62" i="5"/>
  <c r="AG62" i="5"/>
  <c r="J20" i="13"/>
  <c r="J21" i="13"/>
  <c r="J22" i="13"/>
  <c r="J19" i="13"/>
  <c r="C29" i="13"/>
  <c r="D29" i="13"/>
  <c r="E29" i="13"/>
  <c r="F29" i="13"/>
  <c r="C19" i="13"/>
  <c r="C20" i="13"/>
  <c r="C21" i="13"/>
  <c r="C22" i="13"/>
  <c r="D8" i="13"/>
  <c r="E8" i="13"/>
  <c r="F8" i="13"/>
  <c r="C9" i="13"/>
  <c r="E5" i="8" s="1"/>
  <c r="D9" i="13"/>
  <c r="E9" i="13"/>
  <c r="F9" i="13"/>
  <c r="D10" i="13"/>
  <c r="E10" i="13"/>
  <c r="F10" i="13"/>
  <c r="C11" i="13"/>
  <c r="K5" i="8" s="1"/>
  <c r="D11" i="13"/>
  <c r="E11" i="13"/>
  <c r="F11" i="13"/>
  <c r="C12" i="13"/>
  <c r="N5" i="8" s="1"/>
  <c r="D12" i="13"/>
  <c r="E12" i="13"/>
  <c r="F12" i="13"/>
  <c r="B62" i="1"/>
  <c r="AV62" i="1" s="1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A1001" i="7"/>
  <c r="A43" i="7"/>
  <c r="R43" i="7"/>
  <c r="B61" i="1"/>
  <c r="AV61" i="1" s="1"/>
  <c r="J23" i="13" l="1"/>
  <c r="G9" i="13"/>
  <c r="G11" i="13"/>
  <c r="G10" i="13"/>
  <c r="B9" i="8"/>
  <c r="J9" i="8"/>
  <c r="C23" i="13"/>
  <c r="N9" i="8"/>
  <c r="G8" i="13"/>
  <c r="G12" i="13"/>
  <c r="B5" i="8"/>
  <c r="A62" i="1"/>
  <c r="B60" i="1"/>
  <c r="B54" i="1"/>
  <c r="AV54" i="1" s="1"/>
  <c r="B55" i="1"/>
  <c r="AV55" i="1" s="1"/>
  <c r="B56" i="1"/>
  <c r="AV56" i="1" s="1"/>
  <c r="B57" i="1"/>
  <c r="B58" i="1"/>
  <c r="B59" i="1"/>
  <c r="B50" i="1"/>
  <c r="AV50" i="1" s="1"/>
  <c r="B51" i="1"/>
  <c r="AV51" i="1" s="1"/>
  <c r="B52" i="1"/>
  <c r="AV52" i="1" s="1"/>
  <c r="B53" i="1"/>
  <c r="AV53" i="1" s="1"/>
  <c r="B4" i="1"/>
  <c r="AV4" i="1" s="1"/>
  <c r="B5" i="1"/>
  <c r="AV5" i="1" s="1"/>
  <c r="B6" i="1"/>
  <c r="AV6" i="1" s="1"/>
  <c r="B7" i="1"/>
  <c r="AV7" i="1" s="1"/>
  <c r="B8" i="1"/>
  <c r="AV8" i="1" s="1"/>
  <c r="B9" i="1"/>
  <c r="AV9" i="1" s="1"/>
  <c r="B10" i="1"/>
  <c r="AV10" i="1" s="1"/>
  <c r="B11" i="1"/>
  <c r="AV11" i="1" s="1"/>
  <c r="B12" i="1"/>
  <c r="AV12" i="1" s="1"/>
  <c r="B13" i="1"/>
  <c r="AV13" i="1" s="1"/>
  <c r="B14" i="1"/>
  <c r="AV14" i="1" s="1"/>
  <c r="B15" i="1"/>
  <c r="AV15" i="1" s="1"/>
  <c r="B16" i="1"/>
  <c r="AV16" i="1" s="1"/>
  <c r="B17" i="1"/>
  <c r="AV17" i="1" s="1"/>
  <c r="B18" i="1"/>
  <c r="AV18" i="1" s="1"/>
  <c r="B19" i="1"/>
  <c r="AV19" i="1" s="1"/>
  <c r="B20" i="1"/>
  <c r="AV20" i="1" s="1"/>
  <c r="B21" i="1"/>
  <c r="AV21" i="1" s="1"/>
  <c r="B22" i="1"/>
  <c r="AV22" i="1" s="1"/>
  <c r="B23" i="1"/>
  <c r="AV23" i="1" s="1"/>
  <c r="B24" i="1"/>
  <c r="AV24" i="1" s="1"/>
  <c r="B25" i="1"/>
  <c r="AV25" i="1" s="1"/>
  <c r="B26" i="1"/>
  <c r="AV26" i="1" s="1"/>
  <c r="B27" i="1"/>
  <c r="AV27" i="1" s="1"/>
  <c r="B28" i="1"/>
  <c r="AV28" i="1" s="1"/>
  <c r="B29" i="1"/>
  <c r="AV29" i="1" s="1"/>
  <c r="B30" i="1"/>
  <c r="AV30" i="1" s="1"/>
  <c r="B31" i="1"/>
  <c r="AV31" i="1" s="1"/>
  <c r="B32" i="1"/>
  <c r="AV32" i="1" s="1"/>
  <c r="B33" i="1"/>
  <c r="AV33" i="1" s="1"/>
  <c r="B34" i="1"/>
  <c r="AV34" i="1" s="1"/>
  <c r="B35" i="1"/>
  <c r="AV35" i="1" s="1"/>
  <c r="B36" i="1"/>
  <c r="AV36" i="1" s="1"/>
  <c r="B37" i="1"/>
  <c r="AV37" i="1" s="1"/>
  <c r="B38" i="1"/>
  <c r="AV38" i="1" s="1"/>
  <c r="B39" i="1"/>
  <c r="AV39" i="1" s="1"/>
  <c r="B40" i="1"/>
  <c r="AV40" i="1" s="1"/>
  <c r="B41" i="1"/>
  <c r="AV41" i="1" s="1"/>
  <c r="B42" i="1"/>
  <c r="AV42" i="1" s="1"/>
  <c r="B43" i="1"/>
  <c r="AV43" i="1" s="1"/>
  <c r="B44" i="1"/>
  <c r="AV44" i="1" s="1"/>
  <c r="B45" i="1"/>
  <c r="AV45" i="1" s="1"/>
  <c r="B46" i="1"/>
  <c r="AV46" i="1" s="1"/>
  <c r="B47" i="1"/>
  <c r="AV47" i="1" s="1"/>
  <c r="B48" i="1"/>
  <c r="AV48" i="1" s="1"/>
  <c r="B49" i="1"/>
  <c r="AV49" i="1" s="1"/>
  <c r="R46" i="7"/>
  <c r="R45" i="7"/>
  <c r="R41" i="7"/>
  <c r="R40" i="7"/>
  <c r="R39" i="7"/>
  <c r="R38" i="7"/>
  <c r="A37" i="7"/>
  <c r="A38" i="7"/>
  <c r="A39" i="7"/>
  <c r="A40" i="7"/>
  <c r="A41" i="7"/>
  <c r="A42" i="7"/>
  <c r="A44" i="7"/>
  <c r="A45" i="7"/>
  <c r="A46" i="7"/>
  <c r="R31" i="7"/>
  <c r="R30" i="7"/>
  <c r="R29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R21" i="7"/>
  <c r="R19" i="7"/>
  <c r="R28" i="7"/>
  <c r="AO3" i="3"/>
  <c r="AO4" i="3"/>
  <c r="AN3" i="3"/>
  <c r="AN4" i="3"/>
  <c r="AN5" i="3"/>
  <c r="AN6" i="3"/>
  <c r="AM3" i="3"/>
  <c r="AM4" i="3"/>
  <c r="AM5" i="3"/>
  <c r="AL3" i="3"/>
  <c r="AL4" i="3"/>
  <c r="AL5" i="3"/>
  <c r="AL6" i="3"/>
  <c r="B13" i="2"/>
  <c r="AD13" i="2" s="1"/>
  <c r="B14" i="2"/>
  <c r="AD14" i="2" s="1"/>
  <c r="B15" i="2"/>
  <c r="B16" i="2"/>
  <c r="AD16" i="2" s="1"/>
  <c r="B17" i="2"/>
  <c r="AD17" i="2" s="1"/>
  <c r="B18" i="2"/>
  <c r="AD18" i="2" s="1"/>
  <c r="B19" i="2"/>
  <c r="AD19" i="2" s="1"/>
  <c r="B20" i="2"/>
  <c r="AD20" i="2" s="1"/>
  <c r="B21" i="2"/>
  <c r="AD21" i="2" s="1"/>
  <c r="B22" i="2"/>
  <c r="AD22" i="2" s="1"/>
  <c r="B23" i="2"/>
  <c r="AD23" i="2" s="1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4" i="2"/>
  <c r="B5" i="2"/>
  <c r="AD5" i="2" s="1"/>
  <c r="B6" i="2"/>
  <c r="AD6" i="2" s="1"/>
  <c r="B7" i="2"/>
  <c r="B8" i="2"/>
  <c r="B9" i="2"/>
  <c r="AD9" i="2" s="1"/>
  <c r="B10" i="2"/>
  <c r="AD10" i="2" s="1"/>
  <c r="B11" i="2"/>
  <c r="AD11" i="2" s="1"/>
  <c r="B12" i="2"/>
  <c r="AD12" i="2" s="1"/>
  <c r="B3" i="2"/>
  <c r="AD3" i="2" s="1"/>
  <c r="B59" i="2"/>
  <c r="B58" i="2"/>
  <c r="B57" i="2"/>
  <c r="B56" i="2"/>
  <c r="B55" i="2"/>
  <c r="B54" i="2"/>
  <c r="B53" i="2"/>
  <c r="B52" i="2"/>
  <c r="B51" i="2"/>
  <c r="B50" i="2"/>
  <c r="B49" i="2"/>
  <c r="B3" i="1"/>
  <c r="R1001" i="7"/>
  <c r="R1000" i="7"/>
  <c r="R999" i="7"/>
  <c r="R998" i="7"/>
  <c r="R997" i="7"/>
  <c r="R996" i="7"/>
  <c r="R995" i="7"/>
  <c r="R994" i="7"/>
  <c r="R993" i="7"/>
  <c r="R992" i="7"/>
  <c r="R991" i="7"/>
  <c r="R990" i="7"/>
  <c r="R989" i="7"/>
  <c r="R988" i="7"/>
  <c r="R987" i="7"/>
  <c r="R986" i="7"/>
  <c r="R985" i="7"/>
  <c r="R984" i="7"/>
  <c r="R983" i="7"/>
  <c r="R982" i="7"/>
  <c r="R981" i="7"/>
  <c r="R980" i="7"/>
  <c r="R979" i="7"/>
  <c r="R978" i="7"/>
  <c r="R977" i="7"/>
  <c r="R976" i="7"/>
  <c r="R975" i="7"/>
  <c r="R974" i="7"/>
  <c r="R973" i="7"/>
  <c r="R972" i="7"/>
  <c r="R971" i="7"/>
  <c r="R970" i="7"/>
  <c r="R969" i="7"/>
  <c r="R968" i="7"/>
  <c r="R967" i="7"/>
  <c r="R966" i="7"/>
  <c r="R965" i="7"/>
  <c r="R964" i="7"/>
  <c r="R963" i="7"/>
  <c r="R962" i="7"/>
  <c r="R961" i="7"/>
  <c r="R960" i="7"/>
  <c r="R959" i="7"/>
  <c r="R958" i="7"/>
  <c r="R957" i="7"/>
  <c r="R956" i="7"/>
  <c r="R955" i="7"/>
  <c r="R954" i="7"/>
  <c r="R953" i="7"/>
  <c r="R952" i="7"/>
  <c r="R951" i="7"/>
  <c r="R950" i="7"/>
  <c r="R949" i="7"/>
  <c r="R948" i="7"/>
  <c r="R947" i="7"/>
  <c r="R946" i="7"/>
  <c r="R945" i="7"/>
  <c r="R944" i="7"/>
  <c r="R943" i="7"/>
  <c r="R942" i="7"/>
  <c r="R941" i="7"/>
  <c r="R940" i="7"/>
  <c r="R939" i="7"/>
  <c r="R938" i="7"/>
  <c r="R937" i="7"/>
  <c r="R936" i="7"/>
  <c r="R935" i="7"/>
  <c r="R934" i="7"/>
  <c r="R933" i="7"/>
  <c r="R932" i="7"/>
  <c r="R931" i="7"/>
  <c r="R930" i="7"/>
  <c r="R929" i="7"/>
  <c r="R928" i="7"/>
  <c r="R927" i="7"/>
  <c r="R926" i="7"/>
  <c r="R925" i="7"/>
  <c r="R924" i="7"/>
  <c r="R923" i="7"/>
  <c r="R922" i="7"/>
  <c r="R921" i="7"/>
  <c r="R920" i="7"/>
  <c r="R919" i="7"/>
  <c r="R918" i="7"/>
  <c r="R917" i="7"/>
  <c r="R916" i="7"/>
  <c r="R915" i="7"/>
  <c r="R914" i="7"/>
  <c r="R913" i="7"/>
  <c r="R912" i="7"/>
  <c r="R911" i="7"/>
  <c r="R910" i="7"/>
  <c r="R909" i="7"/>
  <c r="R908" i="7"/>
  <c r="R907" i="7"/>
  <c r="R906" i="7"/>
  <c r="R905" i="7"/>
  <c r="R904" i="7"/>
  <c r="R903" i="7"/>
  <c r="R902" i="7"/>
  <c r="R901" i="7"/>
  <c r="R900" i="7"/>
  <c r="R899" i="7"/>
  <c r="R898" i="7"/>
  <c r="R897" i="7"/>
  <c r="R896" i="7"/>
  <c r="R895" i="7"/>
  <c r="R894" i="7"/>
  <c r="R893" i="7"/>
  <c r="R892" i="7"/>
  <c r="R891" i="7"/>
  <c r="R890" i="7"/>
  <c r="R889" i="7"/>
  <c r="R888" i="7"/>
  <c r="R887" i="7"/>
  <c r="R886" i="7"/>
  <c r="R885" i="7"/>
  <c r="R884" i="7"/>
  <c r="R883" i="7"/>
  <c r="R882" i="7"/>
  <c r="R881" i="7"/>
  <c r="R880" i="7"/>
  <c r="R879" i="7"/>
  <c r="R878" i="7"/>
  <c r="R877" i="7"/>
  <c r="R876" i="7"/>
  <c r="R875" i="7"/>
  <c r="R874" i="7"/>
  <c r="R873" i="7"/>
  <c r="R872" i="7"/>
  <c r="R871" i="7"/>
  <c r="R870" i="7"/>
  <c r="R869" i="7"/>
  <c r="R868" i="7"/>
  <c r="R867" i="7"/>
  <c r="R866" i="7"/>
  <c r="R865" i="7"/>
  <c r="R864" i="7"/>
  <c r="R863" i="7"/>
  <c r="R862" i="7"/>
  <c r="R861" i="7"/>
  <c r="R860" i="7"/>
  <c r="R859" i="7"/>
  <c r="R858" i="7"/>
  <c r="R857" i="7"/>
  <c r="R856" i="7"/>
  <c r="R855" i="7"/>
  <c r="R854" i="7"/>
  <c r="R853" i="7"/>
  <c r="R852" i="7"/>
  <c r="R851" i="7"/>
  <c r="R850" i="7"/>
  <c r="R849" i="7"/>
  <c r="R848" i="7"/>
  <c r="R847" i="7"/>
  <c r="R846" i="7"/>
  <c r="R845" i="7"/>
  <c r="R844" i="7"/>
  <c r="R843" i="7"/>
  <c r="R842" i="7"/>
  <c r="R841" i="7"/>
  <c r="R840" i="7"/>
  <c r="R839" i="7"/>
  <c r="R838" i="7"/>
  <c r="R837" i="7"/>
  <c r="R836" i="7"/>
  <c r="R835" i="7"/>
  <c r="R834" i="7"/>
  <c r="R833" i="7"/>
  <c r="R832" i="7"/>
  <c r="R831" i="7"/>
  <c r="R830" i="7"/>
  <c r="R829" i="7"/>
  <c r="R828" i="7"/>
  <c r="R827" i="7"/>
  <c r="R826" i="7"/>
  <c r="R825" i="7"/>
  <c r="R824" i="7"/>
  <c r="R823" i="7"/>
  <c r="R822" i="7"/>
  <c r="R821" i="7"/>
  <c r="R820" i="7"/>
  <c r="R819" i="7"/>
  <c r="R818" i="7"/>
  <c r="R817" i="7"/>
  <c r="R816" i="7"/>
  <c r="R815" i="7"/>
  <c r="R814" i="7"/>
  <c r="R813" i="7"/>
  <c r="R812" i="7"/>
  <c r="R811" i="7"/>
  <c r="R810" i="7"/>
  <c r="R809" i="7"/>
  <c r="R808" i="7"/>
  <c r="R807" i="7"/>
  <c r="R806" i="7"/>
  <c r="R805" i="7"/>
  <c r="R804" i="7"/>
  <c r="R803" i="7"/>
  <c r="R802" i="7"/>
  <c r="R801" i="7"/>
  <c r="R800" i="7"/>
  <c r="R799" i="7"/>
  <c r="R798" i="7"/>
  <c r="R797" i="7"/>
  <c r="R796" i="7"/>
  <c r="R795" i="7"/>
  <c r="R794" i="7"/>
  <c r="R793" i="7"/>
  <c r="R792" i="7"/>
  <c r="R791" i="7"/>
  <c r="R790" i="7"/>
  <c r="R789" i="7"/>
  <c r="R788" i="7"/>
  <c r="R787" i="7"/>
  <c r="R786" i="7"/>
  <c r="R785" i="7"/>
  <c r="R784" i="7"/>
  <c r="R783" i="7"/>
  <c r="R782" i="7"/>
  <c r="R781" i="7"/>
  <c r="R780" i="7"/>
  <c r="R779" i="7"/>
  <c r="R778" i="7"/>
  <c r="R777" i="7"/>
  <c r="R776" i="7"/>
  <c r="R775" i="7"/>
  <c r="R774" i="7"/>
  <c r="R773" i="7"/>
  <c r="R772" i="7"/>
  <c r="R771" i="7"/>
  <c r="R770" i="7"/>
  <c r="R769" i="7"/>
  <c r="R768" i="7"/>
  <c r="R767" i="7"/>
  <c r="R766" i="7"/>
  <c r="R765" i="7"/>
  <c r="R764" i="7"/>
  <c r="R763" i="7"/>
  <c r="R762" i="7"/>
  <c r="R761" i="7"/>
  <c r="R760" i="7"/>
  <c r="R759" i="7"/>
  <c r="R758" i="7"/>
  <c r="R757" i="7"/>
  <c r="R756" i="7"/>
  <c r="R755" i="7"/>
  <c r="R754" i="7"/>
  <c r="R753" i="7"/>
  <c r="R752" i="7"/>
  <c r="R751" i="7"/>
  <c r="R750" i="7"/>
  <c r="R749" i="7"/>
  <c r="R748" i="7"/>
  <c r="R747" i="7"/>
  <c r="R746" i="7"/>
  <c r="R745" i="7"/>
  <c r="R744" i="7"/>
  <c r="R743" i="7"/>
  <c r="R742" i="7"/>
  <c r="R741" i="7"/>
  <c r="R740" i="7"/>
  <c r="R739" i="7"/>
  <c r="R738" i="7"/>
  <c r="R737" i="7"/>
  <c r="R736" i="7"/>
  <c r="R735" i="7"/>
  <c r="R734" i="7"/>
  <c r="R733" i="7"/>
  <c r="R732" i="7"/>
  <c r="R731" i="7"/>
  <c r="R730" i="7"/>
  <c r="R729" i="7"/>
  <c r="R728" i="7"/>
  <c r="R727" i="7"/>
  <c r="R726" i="7"/>
  <c r="R725" i="7"/>
  <c r="R724" i="7"/>
  <c r="R723" i="7"/>
  <c r="R722" i="7"/>
  <c r="R721" i="7"/>
  <c r="R720" i="7"/>
  <c r="R719" i="7"/>
  <c r="R718" i="7"/>
  <c r="R717" i="7"/>
  <c r="R716" i="7"/>
  <c r="R715" i="7"/>
  <c r="R714" i="7"/>
  <c r="R713" i="7"/>
  <c r="R712" i="7"/>
  <c r="R711" i="7"/>
  <c r="R710" i="7"/>
  <c r="R709" i="7"/>
  <c r="R708" i="7"/>
  <c r="R707" i="7"/>
  <c r="R706" i="7"/>
  <c r="R705" i="7"/>
  <c r="R704" i="7"/>
  <c r="R703" i="7"/>
  <c r="R702" i="7"/>
  <c r="R701" i="7"/>
  <c r="R700" i="7"/>
  <c r="R699" i="7"/>
  <c r="R698" i="7"/>
  <c r="R697" i="7"/>
  <c r="R696" i="7"/>
  <c r="R695" i="7"/>
  <c r="R694" i="7"/>
  <c r="R693" i="7"/>
  <c r="R692" i="7"/>
  <c r="R691" i="7"/>
  <c r="R690" i="7"/>
  <c r="R689" i="7"/>
  <c r="R688" i="7"/>
  <c r="R687" i="7"/>
  <c r="R686" i="7"/>
  <c r="R685" i="7"/>
  <c r="R684" i="7"/>
  <c r="R683" i="7"/>
  <c r="R682" i="7"/>
  <c r="R681" i="7"/>
  <c r="R680" i="7"/>
  <c r="R679" i="7"/>
  <c r="R678" i="7"/>
  <c r="R677" i="7"/>
  <c r="R676" i="7"/>
  <c r="R675" i="7"/>
  <c r="R674" i="7"/>
  <c r="R673" i="7"/>
  <c r="R672" i="7"/>
  <c r="R671" i="7"/>
  <c r="R670" i="7"/>
  <c r="R669" i="7"/>
  <c r="R668" i="7"/>
  <c r="R667" i="7"/>
  <c r="R666" i="7"/>
  <c r="R665" i="7"/>
  <c r="R664" i="7"/>
  <c r="R663" i="7"/>
  <c r="R662" i="7"/>
  <c r="R661" i="7"/>
  <c r="R660" i="7"/>
  <c r="R659" i="7"/>
  <c r="R658" i="7"/>
  <c r="R657" i="7"/>
  <c r="R656" i="7"/>
  <c r="R655" i="7"/>
  <c r="R654" i="7"/>
  <c r="R653" i="7"/>
  <c r="R652" i="7"/>
  <c r="R651" i="7"/>
  <c r="R650" i="7"/>
  <c r="R649" i="7"/>
  <c r="R648" i="7"/>
  <c r="R647" i="7"/>
  <c r="R646" i="7"/>
  <c r="R645" i="7"/>
  <c r="R644" i="7"/>
  <c r="R643" i="7"/>
  <c r="R642" i="7"/>
  <c r="R641" i="7"/>
  <c r="R640" i="7"/>
  <c r="R639" i="7"/>
  <c r="R638" i="7"/>
  <c r="R637" i="7"/>
  <c r="R636" i="7"/>
  <c r="R635" i="7"/>
  <c r="R634" i="7"/>
  <c r="R633" i="7"/>
  <c r="R632" i="7"/>
  <c r="R631" i="7"/>
  <c r="R630" i="7"/>
  <c r="R629" i="7"/>
  <c r="R628" i="7"/>
  <c r="R627" i="7"/>
  <c r="R626" i="7"/>
  <c r="R625" i="7"/>
  <c r="R624" i="7"/>
  <c r="R623" i="7"/>
  <c r="R622" i="7"/>
  <c r="R621" i="7"/>
  <c r="R620" i="7"/>
  <c r="R619" i="7"/>
  <c r="R618" i="7"/>
  <c r="R617" i="7"/>
  <c r="R616" i="7"/>
  <c r="R615" i="7"/>
  <c r="R614" i="7"/>
  <c r="R613" i="7"/>
  <c r="R612" i="7"/>
  <c r="R611" i="7"/>
  <c r="R610" i="7"/>
  <c r="R609" i="7"/>
  <c r="R608" i="7"/>
  <c r="R607" i="7"/>
  <c r="R606" i="7"/>
  <c r="R605" i="7"/>
  <c r="R604" i="7"/>
  <c r="R603" i="7"/>
  <c r="R602" i="7"/>
  <c r="R601" i="7"/>
  <c r="R600" i="7"/>
  <c r="R599" i="7"/>
  <c r="R598" i="7"/>
  <c r="R597" i="7"/>
  <c r="R596" i="7"/>
  <c r="R595" i="7"/>
  <c r="R594" i="7"/>
  <c r="R593" i="7"/>
  <c r="R592" i="7"/>
  <c r="R591" i="7"/>
  <c r="R590" i="7"/>
  <c r="R589" i="7"/>
  <c r="R588" i="7"/>
  <c r="R587" i="7"/>
  <c r="R586" i="7"/>
  <c r="R585" i="7"/>
  <c r="R584" i="7"/>
  <c r="R583" i="7"/>
  <c r="R582" i="7"/>
  <c r="R581" i="7"/>
  <c r="R580" i="7"/>
  <c r="R579" i="7"/>
  <c r="R578" i="7"/>
  <c r="R577" i="7"/>
  <c r="R576" i="7"/>
  <c r="R575" i="7"/>
  <c r="R574" i="7"/>
  <c r="R573" i="7"/>
  <c r="R572" i="7"/>
  <c r="R571" i="7"/>
  <c r="R570" i="7"/>
  <c r="R569" i="7"/>
  <c r="R568" i="7"/>
  <c r="R567" i="7"/>
  <c r="R566" i="7"/>
  <c r="R565" i="7"/>
  <c r="R564" i="7"/>
  <c r="R563" i="7"/>
  <c r="R562" i="7"/>
  <c r="R561" i="7"/>
  <c r="R560" i="7"/>
  <c r="R559" i="7"/>
  <c r="R558" i="7"/>
  <c r="R557" i="7"/>
  <c r="R556" i="7"/>
  <c r="R555" i="7"/>
  <c r="R554" i="7"/>
  <c r="R553" i="7"/>
  <c r="R552" i="7"/>
  <c r="R551" i="7"/>
  <c r="R550" i="7"/>
  <c r="R549" i="7"/>
  <c r="R548" i="7"/>
  <c r="R547" i="7"/>
  <c r="R546" i="7"/>
  <c r="R545" i="7"/>
  <c r="R544" i="7"/>
  <c r="R543" i="7"/>
  <c r="R542" i="7"/>
  <c r="R541" i="7"/>
  <c r="R540" i="7"/>
  <c r="R539" i="7"/>
  <c r="R538" i="7"/>
  <c r="R537" i="7"/>
  <c r="R536" i="7"/>
  <c r="R535" i="7"/>
  <c r="R534" i="7"/>
  <c r="R533" i="7"/>
  <c r="R532" i="7"/>
  <c r="R531" i="7"/>
  <c r="R530" i="7"/>
  <c r="R529" i="7"/>
  <c r="R528" i="7"/>
  <c r="R527" i="7"/>
  <c r="R526" i="7"/>
  <c r="R525" i="7"/>
  <c r="R524" i="7"/>
  <c r="R523" i="7"/>
  <c r="R522" i="7"/>
  <c r="R521" i="7"/>
  <c r="R520" i="7"/>
  <c r="R519" i="7"/>
  <c r="R518" i="7"/>
  <c r="R517" i="7"/>
  <c r="R516" i="7"/>
  <c r="R515" i="7"/>
  <c r="R514" i="7"/>
  <c r="R513" i="7"/>
  <c r="R512" i="7"/>
  <c r="R511" i="7"/>
  <c r="R510" i="7"/>
  <c r="R509" i="7"/>
  <c r="R508" i="7"/>
  <c r="R507" i="7"/>
  <c r="R506" i="7"/>
  <c r="R505" i="7"/>
  <c r="R504" i="7"/>
  <c r="R503" i="7"/>
  <c r="R502" i="7"/>
  <c r="R501" i="7"/>
  <c r="R500" i="7"/>
  <c r="R499" i="7"/>
  <c r="R498" i="7"/>
  <c r="R497" i="7"/>
  <c r="R496" i="7"/>
  <c r="R495" i="7"/>
  <c r="R494" i="7"/>
  <c r="R493" i="7"/>
  <c r="R492" i="7"/>
  <c r="R491" i="7"/>
  <c r="R490" i="7"/>
  <c r="R489" i="7"/>
  <c r="R488" i="7"/>
  <c r="R487" i="7"/>
  <c r="R486" i="7"/>
  <c r="R485" i="7"/>
  <c r="R484" i="7"/>
  <c r="R483" i="7"/>
  <c r="R482" i="7"/>
  <c r="R481" i="7"/>
  <c r="R480" i="7"/>
  <c r="R479" i="7"/>
  <c r="R478" i="7"/>
  <c r="R477" i="7"/>
  <c r="R476" i="7"/>
  <c r="R475" i="7"/>
  <c r="R474" i="7"/>
  <c r="R473" i="7"/>
  <c r="R472" i="7"/>
  <c r="R471" i="7"/>
  <c r="R470" i="7"/>
  <c r="R469" i="7"/>
  <c r="R468" i="7"/>
  <c r="R467" i="7"/>
  <c r="R466" i="7"/>
  <c r="R465" i="7"/>
  <c r="R464" i="7"/>
  <c r="R463" i="7"/>
  <c r="R462" i="7"/>
  <c r="R461" i="7"/>
  <c r="R460" i="7"/>
  <c r="R459" i="7"/>
  <c r="R458" i="7"/>
  <c r="R457" i="7"/>
  <c r="R456" i="7"/>
  <c r="R455" i="7"/>
  <c r="R454" i="7"/>
  <c r="R453" i="7"/>
  <c r="R452" i="7"/>
  <c r="R451" i="7"/>
  <c r="R450" i="7"/>
  <c r="R449" i="7"/>
  <c r="R448" i="7"/>
  <c r="R447" i="7"/>
  <c r="R446" i="7"/>
  <c r="R445" i="7"/>
  <c r="R444" i="7"/>
  <c r="R443" i="7"/>
  <c r="R442" i="7"/>
  <c r="R441" i="7"/>
  <c r="R440" i="7"/>
  <c r="R439" i="7"/>
  <c r="R438" i="7"/>
  <c r="R437" i="7"/>
  <c r="R436" i="7"/>
  <c r="R435" i="7"/>
  <c r="R434" i="7"/>
  <c r="R433" i="7"/>
  <c r="R432" i="7"/>
  <c r="R431" i="7"/>
  <c r="R430" i="7"/>
  <c r="R429" i="7"/>
  <c r="R428" i="7"/>
  <c r="R427" i="7"/>
  <c r="R426" i="7"/>
  <c r="R425" i="7"/>
  <c r="R424" i="7"/>
  <c r="R423" i="7"/>
  <c r="R422" i="7"/>
  <c r="R421" i="7"/>
  <c r="R420" i="7"/>
  <c r="R419" i="7"/>
  <c r="R418" i="7"/>
  <c r="R417" i="7"/>
  <c r="R416" i="7"/>
  <c r="R415" i="7"/>
  <c r="R414" i="7"/>
  <c r="R413" i="7"/>
  <c r="R412" i="7"/>
  <c r="R411" i="7"/>
  <c r="R410" i="7"/>
  <c r="R409" i="7"/>
  <c r="R408" i="7"/>
  <c r="R407" i="7"/>
  <c r="R406" i="7"/>
  <c r="R405" i="7"/>
  <c r="R404" i="7"/>
  <c r="R403" i="7"/>
  <c r="R402" i="7"/>
  <c r="R401" i="7"/>
  <c r="R400" i="7"/>
  <c r="R399" i="7"/>
  <c r="R398" i="7"/>
  <c r="R397" i="7"/>
  <c r="R396" i="7"/>
  <c r="R395" i="7"/>
  <c r="R394" i="7"/>
  <c r="R393" i="7"/>
  <c r="R392" i="7"/>
  <c r="R391" i="7"/>
  <c r="R390" i="7"/>
  <c r="R389" i="7"/>
  <c r="R388" i="7"/>
  <c r="R387" i="7"/>
  <c r="R386" i="7"/>
  <c r="R385" i="7"/>
  <c r="R384" i="7"/>
  <c r="R383" i="7"/>
  <c r="R382" i="7"/>
  <c r="R381" i="7"/>
  <c r="R380" i="7"/>
  <c r="R379" i="7"/>
  <c r="R378" i="7"/>
  <c r="R377" i="7"/>
  <c r="R376" i="7"/>
  <c r="R375" i="7"/>
  <c r="R374" i="7"/>
  <c r="R373" i="7"/>
  <c r="R372" i="7"/>
  <c r="R371" i="7"/>
  <c r="R370" i="7"/>
  <c r="R369" i="7"/>
  <c r="R368" i="7"/>
  <c r="R367" i="7"/>
  <c r="R366" i="7"/>
  <c r="R365" i="7"/>
  <c r="R364" i="7"/>
  <c r="R363" i="7"/>
  <c r="R362" i="7"/>
  <c r="R361" i="7"/>
  <c r="R360" i="7"/>
  <c r="R359" i="7"/>
  <c r="R358" i="7"/>
  <c r="R357" i="7"/>
  <c r="R356" i="7"/>
  <c r="R355" i="7"/>
  <c r="R354" i="7"/>
  <c r="R353" i="7"/>
  <c r="R352" i="7"/>
  <c r="R351" i="7"/>
  <c r="R350" i="7"/>
  <c r="R349" i="7"/>
  <c r="R348" i="7"/>
  <c r="R347" i="7"/>
  <c r="R346" i="7"/>
  <c r="R345" i="7"/>
  <c r="R344" i="7"/>
  <c r="R343" i="7"/>
  <c r="R342" i="7"/>
  <c r="R341" i="7"/>
  <c r="R340" i="7"/>
  <c r="R339" i="7"/>
  <c r="R338" i="7"/>
  <c r="R337" i="7"/>
  <c r="R336" i="7"/>
  <c r="R335" i="7"/>
  <c r="R334" i="7"/>
  <c r="R333" i="7"/>
  <c r="R332" i="7"/>
  <c r="R331" i="7"/>
  <c r="R330" i="7"/>
  <c r="R329" i="7"/>
  <c r="R328" i="7"/>
  <c r="R327" i="7"/>
  <c r="R326" i="7"/>
  <c r="R325" i="7"/>
  <c r="R324" i="7"/>
  <c r="R323" i="7"/>
  <c r="R322" i="7"/>
  <c r="R321" i="7"/>
  <c r="R320" i="7"/>
  <c r="R319" i="7"/>
  <c r="R318" i="7"/>
  <c r="R317" i="7"/>
  <c r="R316" i="7"/>
  <c r="R315" i="7"/>
  <c r="R314" i="7"/>
  <c r="R313" i="7"/>
  <c r="R312" i="7"/>
  <c r="R311" i="7"/>
  <c r="R310" i="7"/>
  <c r="R309" i="7"/>
  <c r="R308" i="7"/>
  <c r="R307" i="7"/>
  <c r="R306" i="7"/>
  <c r="R305" i="7"/>
  <c r="R304" i="7"/>
  <c r="R303" i="7"/>
  <c r="R302" i="7"/>
  <c r="R301" i="7"/>
  <c r="R300" i="7"/>
  <c r="R299" i="7"/>
  <c r="R298" i="7"/>
  <c r="R297" i="7"/>
  <c r="R296" i="7"/>
  <c r="R295" i="7"/>
  <c r="R294" i="7"/>
  <c r="R293" i="7"/>
  <c r="R292" i="7"/>
  <c r="R291" i="7"/>
  <c r="R290" i="7"/>
  <c r="R289" i="7"/>
  <c r="R288" i="7"/>
  <c r="R287" i="7"/>
  <c r="R286" i="7"/>
  <c r="R285" i="7"/>
  <c r="R284" i="7"/>
  <c r="R283" i="7"/>
  <c r="R282" i="7"/>
  <c r="R281" i="7"/>
  <c r="R280" i="7"/>
  <c r="R279" i="7"/>
  <c r="R278" i="7"/>
  <c r="R277" i="7"/>
  <c r="R276" i="7"/>
  <c r="R275" i="7"/>
  <c r="R274" i="7"/>
  <c r="R273" i="7"/>
  <c r="R272" i="7"/>
  <c r="R271" i="7"/>
  <c r="R270" i="7"/>
  <c r="R269" i="7"/>
  <c r="R268" i="7"/>
  <c r="R267" i="7"/>
  <c r="R266" i="7"/>
  <c r="R265" i="7"/>
  <c r="R264" i="7"/>
  <c r="R263" i="7"/>
  <c r="R262" i="7"/>
  <c r="R261" i="7"/>
  <c r="R260" i="7"/>
  <c r="R259" i="7"/>
  <c r="R258" i="7"/>
  <c r="R257" i="7"/>
  <c r="R256" i="7"/>
  <c r="R255" i="7"/>
  <c r="R254" i="7"/>
  <c r="R253" i="7"/>
  <c r="R252" i="7"/>
  <c r="R251" i="7"/>
  <c r="R250" i="7"/>
  <c r="R249" i="7"/>
  <c r="R248" i="7"/>
  <c r="R247" i="7"/>
  <c r="R246" i="7"/>
  <c r="R245" i="7"/>
  <c r="R244" i="7"/>
  <c r="R243" i="7"/>
  <c r="R242" i="7"/>
  <c r="R241" i="7"/>
  <c r="R240" i="7"/>
  <c r="R239" i="7"/>
  <c r="R238" i="7"/>
  <c r="R237" i="7"/>
  <c r="R236" i="7"/>
  <c r="R235" i="7"/>
  <c r="R234" i="7"/>
  <c r="R233" i="7"/>
  <c r="R232" i="7"/>
  <c r="R231" i="7"/>
  <c r="R230" i="7"/>
  <c r="R229" i="7"/>
  <c r="R228" i="7"/>
  <c r="R227" i="7"/>
  <c r="R226" i="7"/>
  <c r="R225" i="7"/>
  <c r="R224" i="7"/>
  <c r="R223" i="7"/>
  <c r="R222" i="7"/>
  <c r="R221" i="7"/>
  <c r="R220" i="7"/>
  <c r="R219" i="7"/>
  <c r="R218" i="7"/>
  <c r="R217" i="7"/>
  <c r="R216" i="7"/>
  <c r="R215" i="7"/>
  <c r="R214" i="7"/>
  <c r="R213" i="7"/>
  <c r="R212" i="7"/>
  <c r="R211" i="7"/>
  <c r="R210" i="7"/>
  <c r="R209" i="7"/>
  <c r="R208" i="7"/>
  <c r="R207" i="7"/>
  <c r="R206" i="7"/>
  <c r="R205" i="7"/>
  <c r="R204" i="7"/>
  <c r="R203" i="7"/>
  <c r="R202" i="7"/>
  <c r="R201" i="7"/>
  <c r="R200" i="7"/>
  <c r="R199" i="7"/>
  <c r="R198" i="7"/>
  <c r="R197" i="7"/>
  <c r="R196" i="7"/>
  <c r="R195" i="7"/>
  <c r="R194" i="7"/>
  <c r="R193" i="7"/>
  <c r="R192" i="7"/>
  <c r="R191" i="7"/>
  <c r="R190" i="7"/>
  <c r="R189" i="7"/>
  <c r="R188" i="7"/>
  <c r="R187" i="7"/>
  <c r="R186" i="7"/>
  <c r="R185" i="7"/>
  <c r="R184" i="7"/>
  <c r="R183" i="7"/>
  <c r="R182" i="7"/>
  <c r="R181" i="7"/>
  <c r="R180" i="7"/>
  <c r="R179" i="7"/>
  <c r="R178" i="7"/>
  <c r="R177" i="7"/>
  <c r="R176" i="7"/>
  <c r="R175" i="7"/>
  <c r="R174" i="7"/>
  <c r="R173" i="7"/>
  <c r="R172" i="7"/>
  <c r="R171" i="7"/>
  <c r="R170" i="7"/>
  <c r="R169" i="7"/>
  <c r="R168" i="7"/>
  <c r="R167" i="7"/>
  <c r="R166" i="7"/>
  <c r="R165" i="7"/>
  <c r="R164" i="7"/>
  <c r="R163" i="7"/>
  <c r="R162" i="7"/>
  <c r="R161" i="7"/>
  <c r="R160" i="7"/>
  <c r="R159" i="7"/>
  <c r="R158" i="7"/>
  <c r="R157" i="7"/>
  <c r="R156" i="7"/>
  <c r="R155" i="7"/>
  <c r="R154" i="7"/>
  <c r="R153" i="7"/>
  <c r="R152" i="7"/>
  <c r="R151" i="7"/>
  <c r="R150" i="7"/>
  <c r="R149" i="7"/>
  <c r="R148" i="7"/>
  <c r="R147" i="7"/>
  <c r="R146" i="7"/>
  <c r="R145" i="7"/>
  <c r="R144" i="7"/>
  <c r="R143" i="7"/>
  <c r="R142" i="7"/>
  <c r="R141" i="7"/>
  <c r="R140" i="7"/>
  <c r="R139" i="7"/>
  <c r="R138" i="7"/>
  <c r="R137" i="7"/>
  <c r="R136" i="7"/>
  <c r="R135" i="7"/>
  <c r="R134" i="7"/>
  <c r="R133" i="7"/>
  <c r="R132" i="7"/>
  <c r="R131" i="7"/>
  <c r="R130" i="7"/>
  <c r="R129" i="7"/>
  <c r="R128" i="7"/>
  <c r="R127" i="7"/>
  <c r="R126" i="7"/>
  <c r="R125" i="7"/>
  <c r="R124" i="7"/>
  <c r="R123" i="7"/>
  <c r="R122" i="7"/>
  <c r="R121" i="7"/>
  <c r="R120" i="7"/>
  <c r="R119" i="7"/>
  <c r="R118" i="7"/>
  <c r="R117" i="7"/>
  <c r="R116" i="7"/>
  <c r="R115" i="7"/>
  <c r="R114" i="7"/>
  <c r="R113" i="7"/>
  <c r="R112" i="7"/>
  <c r="R111" i="7"/>
  <c r="R110" i="7"/>
  <c r="R109" i="7"/>
  <c r="R108" i="7"/>
  <c r="R107" i="7"/>
  <c r="R106" i="7"/>
  <c r="R105" i="7"/>
  <c r="R104" i="7"/>
  <c r="R103" i="7"/>
  <c r="R102" i="7"/>
  <c r="R101" i="7"/>
  <c r="R100" i="7"/>
  <c r="R99" i="7"/>
  <c r="R98" i="7"/>
  <c r="R97" i="7"/>
  <c r="R96" i="7"/>
  <c r="R95" i="7"/>
  <c r="R94" i="7"/>
  <c r="R93" i="7"/>
  <c r="R92" i="7"/>
  <c r="R91" i="7"/>
  <c r="R90" i="7"/>
  <c r="R89" i="7"/>
  <c r="R88" i="7"/>
  <c r="R87" i="7"/>
  <c r="R86" i="7"/>
  <c r="R85" i="7"/>
  <c r="R84" i="7"/>
  <c r="R83" i="7"/>
  <c r="R82" i="7"/>
  <c r="R81" i="7"/>
  <c r="R80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62" i="7"/>
  <c r="R61" i="7"/>
  <c r="R60" i="7"/>
  <c r="R59" i="7"/>
  <c r="R58" i="7"/>
  <c r="R57" i="7"/>
  <c r="R56" i="7"/>
  <c r="R55" i="7"/>
  <c r="R54" i="7"/>
  <c r="R53" i="7"/>
  <c r="R52" i="7"/>
  <c r="R51" i="7"/>
  <c r="R50" i="7"/>
  <c r="R49" i="7"/>
  <c r="R48" i="7"/>
  <c r="R44" i="7"/>
  <c r="R42" i="7"/>
  <c r="R37" i="7"/>
  <c r="R36" i="7"/>
  <c r="R35" i="7"/>
  <c r="R33" i="7"/>
  <c r="R32" i="7"/>
  <c r="R27" i="7"/>
  <c r="R26" i="7"/>
  <c r="R25" i="7"/>
  <c r="R24" i="7"/>
  <c r="R23" i="7"/>
  <c r="R22" i="7"/>
  <c r="R20" i="7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R4" i="7"/>
  <c r="R3" i="7"/>
  <c r="R2" i="7"/>
  <c r="A13" i="7"/>
  <c r="A3" i="7"/>
  <c r="A4" i="7"/>
  <c r="A5" i="7"/>
  <c r="A6" i="7"/>
  <c r="A7" i="7"/>
  <c r="A8" i="7"/>
  <c r="A9" i="7"/>
  <c r="A10" i="7"/>
  <c r="A11" i="7"/>
  <c r="A12" i="7"/>
  <c r="A14" i="7"/>
  <c r="A15" i="7"/>
  <c r="A16" i="7"/>
  <c r="A17" i="7"/>
  <c r="A2" i="7"/>
  <c r="AP3" i="3"/>
  <c r="AP4" i="3"/>
  <c r="AP2" i="3"/>
  <c r="AO2" i="3"/>
  <c r="AN2" i="3"/>
  <c r="AM2" i="3"/>
  <c r="AL2" i="3"/>
  <c r="Q47" i="7" l="1" a="1"/>
  <c r="O47" i="7" a="1"/>
  <c r="N47" i="7" a="1"/>
  <c r="M47" i="7" a="1"/>
  <c r="L47" i="7" a="1"/>
  <c r="Q48" i="7" a="1"/>
  <c r="O48" i="7" a="1"/>
  <c r="N48" i="7" a="1"/>
  <c r="M48" i="7" a="1"/>
  <c r="L48" i="7" a="1"/>
  <c r="O7" i="7" a="1"/>
  <c r="O4" i="7" a="1"/>
  <c r="O33" i="7" a="1"/>
  <c r="N30" i="7" a="1"/>
  <c r="N23" i="7" a="1"/>
  <c r="M11" i="7" a="1"/>
  <c r="M23" i="7" a="1"/>
  <c r="Q31" i="7" a="1"/>
  <c r="Q21" i="7" a="1"/>
  <c r="N36" i="7" a="1"/>
  <c r="M46" i="7" a="1"/>
  <c r="O5" i="7" a="1"/>
  <c r="O13" i="7" a="1"/>
  <c r="O18" i="7" a="1"/>
  <c r="O24" i="7" a="1"/>
  <c r="O28" i="7" a="1"/>
  <c r="O39" i="7" a="1"/>
  <c r="N5" i="7" a="1"/>
  <c r="M35" i="7" a="1"/>
  <c r="M12" i="7" a="1"/>
  <c r="Q4" i="7" a="1"/>
  <c r="N38" i="7" a="1"/>
  <c r="N15" i="7" a="1"/>
  <c r="N19" i="7" a="1"/>
  <c r="N24" i="7" a="1"/>
  <c r="N41" i="7" a="1"/>
  <c r="M6" i="7" a="1"/>
  <c r="M15" i="7" a="1"/>
  <c r="M20" i="7" a="1"/>
  <c r="M25" i="7" a="1"/>
  <c r="M26" i="7" a="1"/>
  <c r="M2" i="7" a="1"/>
  <c r="Q6" i="7" a="1"/>
  <c r="M44" i="7" a="1"/>
  <c r="Q7" i="7" a="1"/>
  <c r="Q18" i="7" a="1"/>
  <c r="Q29" i="7" a="1"/>
  <c r="Q39" i="7" a="1"/>
  <c r="N28" i="7" a="1"/>
  <c r="Q3" i="7" a="1"/>
  <c r="Q14" i="7" a="1"/>
  <c r="Q23" i="7" a="1"/>
  <c r="Q28" i="7" a="1"/>
  <c r="Q36" i="7" a="1"/>
  <c r="Q46" i="7" a="1"/>
  <c r="O19" i="7" a="1"/>
  <c r="N42" i="7" a="1"/>
  <c r="O31" i="7" a="1"/>
  <c r="N33" i="7" a="1"/>
  <c r="N6" i="7" a="1"/>
  <c r="N17" i="7" a="1"/>
  <c r="N13" i="7" a="1"/>
  <c r="M34" i="7" a="1"/>
  <c r="M40" i="7" a="1"/>
  <c r="Q45" i="7" a="1"/>
  <c r="A2" i="12" a="1"/>
  <c r="Q24" i="7" a="1"/>
  <c r="N32" i="7" a="1"/>
  <c r="M24" i="7" a="1"/>
  <c r="M33" i="7" a="1"/>
  <c r="N46" i="7" a="1"/>
  <c r="Q10" i="7" a="1"/>
  <c r="Q38" i="7" a="1"/>
  <c r="O21" i="7" a="1"/>
  <c r="O42" i="7" a="1"/>
  <c r="O20" i="7" a="1"/>
  <c r="N39" i="7" a="1"/>
  <c r="N7" i="7" a="1"/>
  <c r="M29" i="7" a="1"/>
  <c r="M10" i="7" a="1"/>
  <c r="Q16" i="7" a="1"/>
  <c r="O14" i="7" a="1"/>
  <c r="N34" i="7" a="1"/>
  <c r="N12" i="7" a="1"/>
  <c r="M39" i="7" a="1"/>
  <c r="Q25" i="7" a="1"/>
  <c r="Q15" i="7" a="1"/>
  <c r="Q19" i="7" a="1"/>
  <c r="N40" i="7" a="1"/>
  <c r="Q11" i="7" a="1"/>
  <c r="N27" i="7" a="1"/>
  <c r="O9" i="7" a="1"/>
  <c r="O25" i="7" a="1"/>
  <c r="N9" i="7" a="1"/>
  <c r="M9" i="7" a="1"/>
  <c r="Q12" i="7" a="1"/>
  <c r="Q42" i="7" a="1"/>
  <c r="M45" i="7" a="1"/>
  <c r="N29" i="7" a="1"/>
  <c r="M4" i="7" a="1"/>
  <c r="M36" i="7" a="1"/>
  <c r="O3" i="7" a="1"/>
  <c r="O46" i="7" a="1"/>
  <c r="O32" i="7" a="1"/>
  <c r="N3" i="7" a="1"/>
  <c r="N20" i="7" a="1"/>
  <c r="M38" i="7" a="1"/>
  <c r="M16" i="7" a="1"/>
  <c r="M30" i="7" a="1"/>
  <c r="Q37" i="7" a="1"/>
  <c r="Q43" i="7" a="1"/>
  <c r="Q26" i="7" a="1"/>
  <c r="O17" i="7" a="1"/>
  <c r="N45" i="7" a="1"/>
  <c r="N11" i="7" a="1"/>
  <c r="M7" i="7" a="1"/>
  <c r="Q34" i="7" a="1"/>
  <c r="Q30" i="7" a="1"/>
  <c r="N31" i="7" a="1"/>
  <c r="M3" i="7" a="1"/>
  <c r="M41" i="7" a="1"/>
  <c r="Q27" i="7" a="1"/>
  <c r="Q35" i="7" a="1"/>
  <c r="O35" i="7" a="1"/>
  <c r="O12" i="7" a="1"/>
  <c r="N2" i="7" a="1"/>
  <c r="M37" i="7" a="1"/>
  <c r="M43" i="7" a="1"/>
  <c r="Q9" i="7" a="1"/>
  <c r="O15" i="7" a="1"/>
  <c r="N43" i="7" a="1"/>
  <c r="N18" i="7" a="1"/>
  <c r="M18" i="7" a="1"/>
  <c r="M17" i="7" a="1"/>
  <c r="Q40" i="7" a="1"/>
  <c r="N44" i="7" a="1"/>
  <c r="O34" i="7" a="1"/>
  <c r="O44" i="7" a="1"/>
  <c r="O41" i="7" a="1"/>
  <c r="N8" i="7" a="1"/>
  <c r="M32" i="7" a="1"/>
  <c r="M13" i="7" a="1"/>
  <c r="Q5" i="7" a="1"/>
  <c r="Q2" i="7" a="1"/>
  <c r="O43" i="7" a="1"/>
  <c r="O36" i="7" a="1"/>
  <c r="N21" i="7" a="1"/>
  <c r="M14" i="7" a="1"/>
  <c r="N37" i="7" a="1"/>
  <c r="N35" i="7" a="1"/>
  <c r="O30" i="7" a="1"/>
  <c r="O2" i="7" a="1"/>
  <c r="N14" i="7" a="1"/>
  <c r="M28" i="7" a="1"/>
  <c r="Q41" i="7" a="1"/>
  <c r="O11" i="7" a="1"/>
  <c r="O26" i="7" a="1"/>
  <c r="O37" i="7" a="1"/>
  <c r="O16" i="7" a="1"/>
  <c r="N10" i="7" a="1"/>
  <c r="M31" i="7" a="1"/>
  <c r="M8" i="7" a="1"/>
  <c r="M22" i="7" a="1"/>
  <c r="N26" i="7" a="1"/>
  <c r="Q13" i="7" a="1"/>
  <c r="O23" i="7" a="1"/>
  <c r="O38" i="7" a="1"/>
  <c r="O8" i="7" a="1"/>
  <c r="O40" i="7" a="1"/>
  <c r="O27" i="7" a="1"/>
  <c r="O45" i="7" a="1"/>
  <c r="O10" i="7" a="1"/>
  <c r="N22" i="7" a="1"/>
  <c r="N4" i="7" a="1"/>
  <c r="M5" i="7" a="1"/>
  <c r="M19" i="7" a="1"/>
  <c r="Q17" i="7" a="1"/>
  <c r="Q32" i="7" a="1"/>
  <c r="Q20" i="7" a="1"/>
  <c r="Q33" i="7" a="1"/>
  <c r="O6" i="7" a="1"/>
  <c r="N16" i="7" a="1"/>
  <c r="M42" i="7" a="1"/>
  <c r="M27" i="7" a="1"/>
  <c r="Q8" i="7" a="1"/>
  <c r="Q44" i="7" a="1"/>
  <c r="O29" i="7" a="1"/>
  <c r="O22" i="7" a="1"/>
  <c r="N25" i="7" a="1"/>
  <c r="M21" i="7" a="1"/>
  <c r="Q22" i="7" a="1"/>
  <c r="AV3" i="1"/>
  <c r="L11" i="7" a="1"/>
  <c r="L39" i="7" a="1"/>
  <c r="L40" i="7" a="1"/>
  <c r="L4" i="7" a="1"/>
  <c r="L21" i="7" a="1"/>
  <c r="L26" i="7" a="1"/>
  <c r="L27" i="7" a="1"/>
  <c r="L33" i="7" a="1"/>
  <c r="L41" i="7" a="1"/>
  <c r="L5" i="7" a="1"/>
  <c r="L44" i="7" a="1"/>
  <c r="L2" i="7" a="1"/>
  <c r="L22" i="7" a="1"/>
  <c r="L28" i="7" a="1"/>
  <c r="L32" i="7" a="1"/>
  <c r="L37" i="7" a="1"/>
  <c r="L46" i="7" a="1"/>
  <c r="L3" i="7" a="1"/>
  <c r="L6" i="7" a="1"/>
  <c r="L15" i="7" a="1"/>
  <c r="L14" i="7" a="1"/>
  <c r="L18" i="7" a="1"/>
  <c r="L20" i="7" a="1"/>
  <c r="L30" i="7" a="1"/>
  <c r="L34" i="7" a="1"/>
  <c r="L43" i="7" a="1"/>
  <c r="L13" i="7" a="1"/>
  <c r="L7" i="7" a="1"/>
  <c r="L25" i="7" a="1"/>
  <c r="L35" i="7" a="1"/>
  <c r="L12" i="7" a="1"/>
  <c r="L8" i="7" a="1"/>
  <c r="L23" i="7" a="1"/>
  <c r="L16" i="7" a="1"/>
  <c r="L9" i="7" a="1"/>
  <c r="L24" i="7" a="1"/>
  <c r="L31" i="7" a="1"/>
  <c r="L38" i="7" a="1"/>
  <c r="L17" i="7" a="1"/>
  <c r="L36" i="7" a="1"/>
  <c r="L10" i="7" a="1"/>
  <c r="L29" i="7" a="1"/>
  <c r="L45" i="7" a="1"/>
  <c r="L19" i="7" a="1"/>
  <c r="L42" i="7" a="1"/>
  <c r="A59" i="1"/>
  <c r="A55" i="1"/>
  <c r="A54" i="1"/>
  <c r="A58" i="1"/>
  <c r="A56" i="1"/>
  <c r="F9" i="8"/>
  <c r="AV59" i="1"/>
  <c r="AV58" i="1"/>
  <c r="A25" i="2"/>
  <c r="AD25" i="2"/>
  <c r="A24" i="2"/>
  <c r="AD24" i="2"/>
  <c r="A15" i="2"/>
  <c r="AD15" i="2"/>
  <c r="A4" i="2"/>
  <c r="AD4" i="2"/>
  <c r="A7" i="2"/>
  <c r="AD7" i="2"/>
  <c r="A37" i="2"/>
  <c r="AD37" i="2"/>
  <c r="A29" i="2"/>
  <c r="AD29" i="2"/>
  <c r="A38" i="2"/>
  <c r="AD38" i="2"/>
  <c r="A36" i="2"/>
  <c r="AD36" i="2"/>
  <c r="A34" i="2"/>
  <c r="AD34" i="2"/>
  <c r="A8" i="2"/>
  <c r="AD8" i="2"/>
  <c r="A33" i="2"/>
  <c r="AD33" i="2"/>
  <c r="A35" i="2"/>
  <c r="AD35" i="2"/>
  <c r="A32" i="2"/>
  <c r="AD32" i="2"/>
  <c r="A31" i="2"/>
  <c r="AD31" i="2"/>
  <c r="A30" i="2"/>
  <c r="AD30" i="2"/>
  <c r="A28" i="2"/>
  <c r="AD28" i="2"/>
  <c r="A27" i="2"/>
  <c r="AD27" i="2"/>
  <c r="A26" i="2"/>
  <c r="AD26" i="2"/>
  <c r="A57" i="1"/>
  <c r="AV57" i="1"/>
  <c r="A60" i="1"/>
  <c r="AV60" i="1"/>
  <c r="A53" i="1"/>
  <c r="A6" i="2"/>
  <c r="A13" i="2"/>
  <c r="A5" i="2"/>
  <c r="A14" i="2"/>
  <c r="A23" i="2"/>
  <c r="A21" i="2"/>
  <c r="A22" i="2"/>
  <c r="A20" i="2"/>
  <c r="A12" i="2"/>
  <c r="A19" i="2"/>
  <c r="A11" i="2"/>
  <c r="A18" i="2"/>
  <c r="A10" i="2"/>
  <c r="A17" i="2"/>
  <c r="A9" i="2"/>
  <c r="A16" i="2"/>
  <c r="A52" i="1"/>
  <c r="A51" i="1"/>
  <c r="A61" i="1"/>
  <c r="A50" i="1"/>
  <c r="A24" i="1"/>
  <c r="A5" i="1"/>
  <c r="A4" i="1"/>
  <c r="A13" i="1"/>
  <c r="A29" i="1"/>
  <c r="A31" i="1"/>
  <c r="A38" i="1"/>
  <c r="A14" i="1"/>
  <c r="A32" i="1"/>
  <c r="A39" i="1"/>
  <c r="A12" i="1"/>
  <c r="A40" i="1"/>
  <c r="A47" i="1"/>
  <c r="A15" i="1"/>
  <c r="A46" i="1"/>
  <c r="A20" i="1"/>
  <c r="A26" i="1"/>
  <c r="A21" i="1"/>
  <c r="A11" i="1"/>
  <c r="A25" i="1"/>
  <c r="A17" i="1"/>
  <c r="A45" i="1"/>
  <c r="A22" i="1"/>
  <c r="A48" i="1"/>
  <c r="A16" i="1"/>
  <c r="A37" i="1"/>
  <c r="A7" i="1"/>
  <c r="A41" i="1"/>
  <c r="A8" i="1"/>
  <c r="A10" i="1"/>
  <c r="A28" i="1"/>
  <c r="A3" i="2"/>
  <c r="A35" i="1"/>
  <c r="A36" i="1"/>
  <c r="A43" i="1"/>
  <c r="A23" i="1"/>
  <c r="A3" i="1"/>
  <c r="A6" i="1"/>
  <c r="A9" i="1"/>
  <c r="A18" i="1"/>
  <c r="A19" i="1"/>
  <c r="A34" i="1"/>
  <c r="A42" i="1"/>
  <c r="A44" i="1"/>
  <c r="A30" i="1"/>
  <c r="A27" i="1"/>
  <c r="A49" i="1"/>
  <c r="A33" i="1"/>
  <c r="JF2" i="12" l="1" a="1"/>
  <c r="NK2" i="12" a="1"/>
  <c r="AGI2" i="12" a="1"/>
  <c r="CX2" i="12" a="1"/>
  <c r="IQ2" i="12" a="1"/>
  <c r="IO2" i="12" a="1"/>
  <c r="AC2" i="12" a="1"/>
  <c r="VV2" i="12" a="1"/>
  <c r="ABH2" i="12" a="1"/>
  <c r="KP2" i="12" a="1"/>
  <c r="OW2" i="12" a="1"/>
  <c r="ID2" i="12" a="1"/>
  <c r="QC2" i="12" a="1"/>
  <c r="AGP2" i="12" a="1"/>
  <c r="ACU2" i="12" a="1"/>
  <c r="GX2" i="12" a="1"/>
  <c r="FZ2" i="12" a="1"/>
  <c r="L2" i="12" a="1"/>
  <c r="UV2" i="12" a="1"/>
  <c r="AER2" i="12" a="1"/>
  <c r="XX2" i="12" a="1"/>
  <c r="FE2" i="12" a="1"/>
  <c r="ABS2" i="12" a="1"/>
  <c r="EA2" i="12" a="1"/>
  <c r="UW2" i="12" a="1"/>
  <c r="AEZ2" i="12" a="1"/>
  <c r="AJX2" i="12" a="1"/>
  <c r="YY2" i="12" a="1"/>
  <c r="JI2" i="12" a="1"/>
  <c r="XN2" i="12" a="1"/>
  <c r="OV2" i="12" a="1"/>
  <c r="AKG2" i="12" a="1"/>
  <c r="MQ2" i="12" a="1"/>
  <c r="ADJ2" i="12" a="1"/>
  <c r="AAE2" i="12" a="1"/>
  <c r="ZT2" i="12" a="1"/>
  <c r="AKE2" i="12" a="1"/>
  <c r="NZ2" i="12" a="1"/>
  <c r="XL2" i="12" a="1"/>
  <c r="FG2" i="12" a="1"/>
  <c r="GE2" i="12" a="1"/>
  <c r="OZ2" i="12" a="1"/>
  <c r="AFM2" i="12" a="1"/>
  <c r="FR2" i="12" a="1"/>
  <c r="PF2" i="12" a="1"/>
  <c r="AKP2" i="12" a="1"/>
  <c r="DB2" i="12" a="1"/>
  <c r="YK2" i="12" a="1"/>
  <c r="DI2" i="12" a="1"/>
  <c r="ACJ2" i="12" a="1"/>
  <c r="AJG2" i="12" a="1"/>
  <c r="GO2" i="12" a="1"/>
  <c r="AIB2" i="12" a="1"/>
  <c r="ABA2" i="12" a="1"/>
  <c r="VN2" i="12" a="1"/>
  <c r="YE2" i="12" a="1"/>
  <c r="AF2" i="12" a="1"/>
  <c r="AHI2" i="12" a="1"/>
  <c r="AKH2" i="12" a="1"/>
  <c r="AFH2" i="12" a="1"/>
  <c r="AJN2" i="12" a="1"/>
  <c r="JW2" i="12" a="1"/>
  <c r="AN2" i="12" a="1"/>
  <c r="KL2" i="12" a="1"/>
  <c r="AEH2" i="12" a="1"/>
  <c r="WA2" i="12" a="1"/>
  <c r="ES2" i="12" a="1"/>
  <c r="AJL2" i="12" a="1"/>
  <c r="AGZ2" i="12" a="1"/>
  <c r="XM2" i="12" a="1"/>
  <c r="WL2" i="12" a="1"/>
  <c r="AGS2" i="12" a="1"/>
  <c r="P2" i="12" a="1"/>
  <c r="GI2" i="12" a="1"/>
  <c r="ED2" i="12" a="1"/>
  <c r="RI2" i="12" a="1"/>
  <c r="RH2" i="12" a="1"/>
  <c r="ACA2" i="12" a="1"/>
  <c r="KB2" i="12" a="1"/>
  <c r="VC2" i="12" a="1"/>
  <c r="ZK2" i="12" a="1"/>
  <c r="OB2" i="12" a="1"/>
  <c r="DC2" i="12" a="1"/>
  <c r="AKR2" i="12" a="1"/>
  <c r="AKK2" i="12" a="1"/>
  <c r="YZ2" i="12" a="1"/>
  <c r="YV2" i="12" a="1"/>
  <c r="AFP2" i="12" a="1"/>
  <c r="S2" i="12" a="1"/>
  <c r="KC2" i="12" a="1"/>
  <c r="ADL2" i="12" a="1"/>
  <c r="YB2" i="12" a="1"/>
  <c r="PJ2" i="12" a="1"/>
  <c r="ACX2" i="12" a="1"/>
  <c r="AEX2" i="12" a="1"/>
  <c r="BZ2" i="12" a="1"/>
  <c r="MW2" i="12" a="1"/>
  <c r="ADT2" i="12" a="1"/>
  <c r="NV2" i="12" a="1"/>
  <c r="AFR2" i="12" a="1"/>
  <c r="WT2" i="12" a="1"/>
  <c r="AGL2" i="12" a="1"/>
  <c r="ABQ2" i="12" a="1"/>
  <c r="AEU2" i="12" a="1"/>
  <c r="AFA2" i="12" a="1"/>
  <c r="WZ2" i="12" a="1"/>
  <c r="BM2" i="12" a="1"/>
  <c r="LD2" i="12" a="1"/>
  <c r="AJF2" i="12" a="1"/>
  <c r="GN2" i="12" a="1"/>
  <c r="LM2" i="12" a="1"/>
  <c r="ON2" i="12" a="1"/>
  <c r="BR2" i="12" a="1"/>
  <c r="XU2" i="12" a="1"/>
  <c r="XO2" i="12" a="1"/>
  <c r="AV2" i="12" a="1"/>
  <c r="DF2" i="12" a="1"/>
  <c r="ALJ2" i="12" a="1"/>
  <c r="ALN2" i="12" a="1"/>
  <c r="KG2" i="12" a="1"/>
  <c r="GT2" i="12" a="1"/>
  <c r="LK2" i="12" a="1"/>
  <c r="NB2" i="12" a="1"/>
  <c r="VQ2" i="12" a="1"/>
  <c r="NT2" i="12" a="1"/>
  <c r="OO2" i="12" a="1"/>
  <c r="VW2" i="12" a="1"/>
  <c r="ADX2" i="12" a="1"/>
  <c r="AFB2" i="12" a="1"/>
  <c r="PH2" i="12" a="1"/>
  <c r="TS2" i="12" a="1"/>
  <c r="TG2" i="12" a="1"/>
  <c r="RM2" i="12" a="1"/>
  <c r="LH2" i="12" a="1"/>
  <c r="MU2" i="12" a="1"/>
  <c r="ADK2" i="12" a="1"/>
  <c r="ABO2" i="12" a="1"/>
  <c r="GR2" i="12" a="1"/>
  <c r="DD2" i="12" a="1"/>
  <c r="AKX2" i="12" a="1"/>
  <c r="ADW2" i="12" a="1"/>
  <c r="CB2" i="12" a="1"/>
  <c r="NC2" i="12" a="1"/>
  <c r="ABV2" i="12" a="1"/>
  <c r="AH2" i="12" a="1"/>
  <c r="ACB2" i="12" a="1"/>
  <c r="AJY2" i="12" a="1"/>
  <c r="AHP2" i="12" a="1"/>
  <c r="ABP2" i="12" a="1"/>
  <c r="AT2" i="12" a="1"/>
  <c r="AIX2" i="12" a="1"/>
  <c r="UP2" i="12" a="1"/>
  <c r="IN2" i="12" a="1"/>
  <c r="AKV2" i="12" a="1"/>
  <c r="BU2" i="12" a="1"/>
  <c r="AJQ2" i="12" a="1"/>
  <c r="TJ2" i="12" a="1"/>
  <c r="JS2" i="12" a="1"/>
  <c r="AJ2" i="12" a="1"/>
  <c r="AG2" i="12" a="1"/>
  <c r="FT2" i="12" a="1"/>
  <c r="ABB2" i="12" a="1"/>
  <c r="JJ2" i="12" a="1"/>
  <c r="GB2" i="12" a="1"/>
  <c r="QA2" i="12" a="1"/>
  <c r="PK2" i="12" a="1"/>
  <c r="AHQ2" i="12" a="1"/>
  <c r="SE2" i="12" a="1"/>
  <c r="ALM2" i="12" a="1"/>
  <c r="AJB2" i="12" a="1"/>
  <c r="QV2" i="12" a="1"/>
  <c r="AGU2" i="12" a="1"/>
  <c r="ZP2" i="12" a="1"/>
  <c r="NY2" i="12" a="1"/>
  <c r="U2" i="12" a="1"/>
  <c r="AY2" i="12" a="1"/>
  <c r="TH2" i="12" a="1"/>
  <c r="AZ2" i="12" a="1"/>
  <c r="ABK2" i="12" a="1"/>
  <c r="AAW2" i="12" a="1"/>
  <c r="AIH2" i="12" a="1"/>
  <c r="UT2" i="12" a="1"/>
  <c r="SF2" i="12" a="1"/>
  <c r="AHD2" i="12" a="1"/>
  <c r="QL2" i="12" a="1"/>
  <c r="YI2" i="12" a="1"/>
  <c r="CJ2" i="12" a="1"/>
  <c r="UD2" i="12" a="1"/>
  <c r="EI2" i="12" a="1"/>
  <c r="MK2" i="12" a="1"/>
  <c r="RB2" i="12" a="1"/>
  <c r="RG2" i="12" a="1"/>
  <c r="AAC2" i="12" a="1"/>
  <c r="HU2" i="12" a="1"/>
  <c r="AEM2" i="12" a="1"/>
  <c r="ACG2" i="12" a="1"/>
  <c r="Q2" i="12" a="1"/>
  <c r="XY2" i="12" a="1"/>
  <c r="AHF2" i="12" a="1"/>
  <c r="TU2" i="12" a="1"/>
  <c r="AGX2" i="12" a="1"/>
  <c r="UF2" i="12" a="1"/>
  <c r="PA2" i="12" a="1"/>
  <c r="HZ2" i="12" a="1"/>
  <c r="AAR2" i="12" a="1"/>
  <c r="TA2" i="12" a="1"/>
  <c r="AHJ2" i="12" a="1"/>
  <c r="ACL2" i="12" a="1"/>
  <c r="KU2" i="12" a="1"/>
  <c r="ZV2" i="12" a="1"/>
  <c r="IZ2" i="12" a="1"/>
  <c r="EO2" i="12" a="1"/>
  <c r="JY2" i="12" a="1"/>
  <c r="AIE2" i="12" a="1"/>
  <c r="ABR2" i="12" a="1"/>
  <c r="ZJ2" i="12" a="1"/>
  <c r="LV2" i="12" a="1"/>
  <c r="AAV2" i="12" a="1"/>
  <c r="ZZ2" i="12" a="1"/>
  <c r="OQ2" i="12" a="1"/>
  <c r="AGG2" i="12" a="1"/>
  <c r="FY2" i="12" a="1"/>
  <c r="CE2" i="12" a="1"/>
  <c r="ALB2" i="12" a="1"/>
  <c r="MA2" i="12" a="1"/>
  <c r="VX2" i="12" a="1"/>
  <c r="AKN2" i="12" a="1"/>
  <c r="CR2" i="12" a="1"/>
  <c r="ZC2" i="12" a="1"/>
  <c r="AAA2" i="12" a="1"/>
  <c r="TD2" i="12" a="1"/>
  <c r="EH2" i="12" a="1"/>
  <c r="CV2" i="12" a="1"/>
  <c r="EK2" i="12" a="1"/>
  <c r="MO2" i="12" a="1"/>
  <c r="YF2" i="12" a="1"/>
  <c r="FF2" i="12" a="1"/>
  <c r="AEN2" i="12" a="1"/>
  <c r="ADH2" i="12" a="1"/>
  <c r="LQ2" i="12" a="1"/>
  <c r="AKJ2" i="12" a="1"/>
  <c r="SR2" i="12" a="1"/>
  <c r="ZH2" i="12" a="1"/>
  <c r="KD2" i="12" a="1"/>
  <c r="ST2" i="12" a="1"/>
  <c r="AJW2" i="12" a="1"/>
  <c r="M2" i="12" a="1"/>
  <c r="AGR2" i="12" a="1"/>
  <c r="AJD2" i="12" a="1"/>
  <c r="AHB2" i="12" a="1"/>
  <c r="EU2" i="12" a="1"/>
  <c r="Z2" i="12" a="1"/>
  <c r="EC2" i="12" a="1"/>
  <c r="AJK2" i="12" a="1"/>
  <c r="AFL2" i="12" a="1"/>
  <c r="ACQ2" i="12" a="1"/>
  <c r="JR2" i="12" a="1"/>
  <c r="QS2" i="12" a="1"/>
  <c r="NE2" i="12" a="1"/>
  <c r="XH2" i="12" a="1"/>
  <c r="KY2" i="12" a="1"/>
  <c r="CN2" i="12" a="1"/>
  <c r="AGB2" i="12" a="1"/>
  <c r="LI2" i="12" a="1"/>
  <c r="VG2" i="12" a="1"/>
  <c r="AHC2" i="12" a="1"/>
  <c r="EQ2" i="12" a="1"/>
  <c r="EJ2" i="12" a="1"/>
  <c r="HH2" i="12" a="1"/>
  <c r="SQ2" i="12" a="1"/>
  <c r="SS2" i="12" a="1"/>
  <c r="ZX2" i="12" a="1"/>
  <c r="WJ2" i="12" a="1"/>
  <c r="BO2" i="12" a="1"/>
  <c r="AO2" i="12" a="1"/>
  <c r="MB2" i="12" a="1"/>
  <c r="EG2" i="12" a="1"/>
  <c r="O2" i="12" a="1"/>
  <c r="KV2" i="12" a="1"/>
  <c r="CW2" i="12" a="1"/>
  <c r="NS2" i="12" a="1"/>
  <c r="QH2" i="12" a="1"/>
  <c r="FO2" i="12" a="1"/>
  <c r="TB2" i="12" a="1"/>
  <c r="JC2" i="12" a="1"/>
  <c r="ADS2" i="12" a="1"/>
  <c r="PS2" i="12" a="1"/>
  <c r="IF2" i="12" a="1"/>
  <c r="HB2" i="12" a="1"/>
  <c r="AAX2" i="12" a="1"/>
  <c r="AKT2" i="12" a="1"/>
  <c r="JH2" i="12" a="1"/>
  <c r="J2" i="12" a="1"/>
  <c r="JK2" i="12" a="1"/>
  <c r="QG2" i="12" a="1"/>
  <c r="ADE2" i="12" a="1"/>
  <c r="PG2" i="12" a="1"/>
  <c r="KJ2" i="12" a="1"/>
  <c r="AKW2" i="12" a="1"/>
  <c r="OI2" i="12" a="1"/>
  <c r="K2" i="12" a="1"/>
  <c r="AFQ2" i="12" a="1"/>
  <c r="ABG2" i="12" a="1"/>
  <c r="RS2" i="12" a="1"/>
  <c r="ADG2" i="12" a="1"/>
  <c r="CD2" i="12" a="1"/>
  <c r="OG2" i="12" a="1"/>
  <c r="HJ2" i="12" a="1"/>
  <c r="LR2" i="12" a="1"/>
  <c r="TO2" i="12" a="1"/>
  <c r="NQ2" i="12" a="1"/>
  <c r="NU2" i="12" a="1"/>
  <c r="EZ2" i="12" a="1"/>
  <c r="HC2" i="12" a="1"/>
  <c r="IM2" i="12" a="1"/>
  <c r="KI2" i="12" a="1"/>
  <c r="AAK2" i="12" a="1"/>
  <c r="BD2" i="12" a="1"/>
  <c r="AGH2" i="12" a="1"/>
  <c r="OJ2" i="12" a="1"/>
  <c r="AAI2" i="12" a="1"/>
  <c r="YN2" i="12" a="1"/>
  <c r="YO2" i="12" a="1"/>
  <c r="RY2" i="12" a="1"/>
  <c r="D2" i="12" a="1"/>
  <c r="AKL2" i="12" a="1"/>
  <c r="UZ2" i="12" a="1"/>
  <c r="VY2" i="12" a="1"/>
  <c r="LW2" i="12" a="1"/>
  <c r="AKY2" i="12" a="1"/>
  <c r="TM2" i="12" a="1"/>
  <c r="UO2" i="12" a="1"/>
  <c r="QP2" i="12" a="1"/>
  <c r="OD2" i="12" a="1"/>
  <c r="PR2" i="12" a="1"/>
  <c r="ABW2" i="12" a="1"/>
  <c r="TT2" i="12" a="1"/>
  <c r="HE2" i="12" a="1"/>
  <c r="KS2" i="12" a="1"/>
  <c r="BW2" i="12" a="1"/>
  <c r="ABD2" i="12" a="1"/>
  <c r="YP2" i="12" a="1"/>
  <c r="ABY2" i="12" a="1"/>
  <c r="AHS2" i="12" a="1"/>
  <c r="AGY2" i="12" a="1"/>
  <c r="UU2" i="12" a="1"/>
  <c r="EW2" i="12" a="1"/>
  <c r="NH2" i="12" a="1"/>
  <c r="BQ2" i="12" a="1"/>
  <c r="SV2" i="12" a="1"/>
  <c r="AHA2" i="12" a="1"/>
  <c r="AKQ2" i="12" a="1"/>
  <c r="RE2" i="12" a="1"/>
  <c r="AFG2" i="12" a="1"/>
  <c r="AFX2" i="12" a="1"/>
  <c r="AHO2" i="12" a="1"/>
  <c r="ACO2" i="12" a="1"/>
  <c r="RF2" i="12" a="1"/>
  <c r="ACE2" i="12" a="1"/>
  <c r="WO2" i="12" a="1"/>
  <c r="AFT2" i="12" a="1"/>
  <c r="AIS2" i="12" a="1"/>
  <c r="YM2" i="12" a="1"/>
  <c r="MG2" i="12" a="1"/>
  <c r="ZM2" i="12" a="1"/>
  <c r="CT2" i="12" a="1"/>
  <c r="PP2" i="12" a="1"/>
  <c r="XD2" i="12" a="1"/>
  <c r="ZY2" i="12" a="1"/>
  <c r="ADZ2" i="12" a="1"/>
  <c r="XV2" i="12" a="1"/>
  <c r="AFD2" i="12" a="1"/>
  <c r="XB2" i="12" a="1"/>
  <c r="AGQ2" i="12" a="1"/>
  <c r="DJ2" i="12" a="1"/>
  <c r="UA2" i="12" a="1"/>
  <c r="ABJ2" i="12" a="1"/>
  <c r="LE2" i="12" a="1"/>
  <c r="EM2" i="12" a="1"/>
  <c r="RN2" i="12" a="1"/>
  <c r="ADU2" i="12" a="1"/>
  <c r="QF2" i="12" a="1"/>
  <c r="VL2" i="12" a="1"/>
  <c r="LB2" i="12" a="1"/>
  <c r="MZ2" i="12" a="1"/>
  <c r="JG2" i="12" a="1"/>
  <c r="KZ2" i="12" a="1"/>
  <c r="AHY2" i="12" a="1"/>
  <c r="ALG2" i="12" a="1"/>
  <c r="ALK2" i="12" a="1"/>
  <c r="XK2" i="12" a="1"/>
  <c r="KW2" i="12" a="1"/>
  <c r="JX2" i="12" a="1"/>
  <c r="SX2" i="12" a="1"/>
  <c r="ZR2" i="12" a="1"/>
  <c r="GS2" i="12" a="1"/>
  <c r="YT2" i="12" a="1"/>
  <c r="PN2" i="12" a="1"/>
  <c r="EL2" i="12" a="1"/>
  <c r="XF2" i="12" a="1"/>
  <c r="ALE2" i="12" a="1"/>
  <c r="AAF2" i="12" a="1"/>
  <c r="AJA2" i="12" a="1"/>
  <c r="AFO2" i="12" a="1"/>
  <c r="AKO2" i="12" a="1"/>
  <c r="RX2" i="12" a="1"/>
  <c r="PU2" i="12" a="1"/>
  <c r="AFS2" i="12" a="1"/>
  <c r="GM2" i="12" a="1"/>
  <c r="BJ2" i="12" a="1"/>
  <c r="RA2" i="12" a="1"/>
  <c r="AEB2" i="12" a="1"/>
  <c r="TZ2" i="12" a="1"/>
  <c r="WM2" i="12" a="1"/>
  <c r="OT2" i="12" a="1"/>
  <c r="XE2" i="12" a="1"/>
  <c r="OM2" i="12" a="1"/>
  <c r="BC2" i="12" a="1"/>
  <c r="T2" i="12" a="1"/>
  <c r="XG2" i="12" a="1"/>
  <c r="PT2" i="12" a="1"/>
  <c r="WP2" i="12" a="1"/>
  <c r="PM2" i="12" a="1"/>
  <c r="ALC2" i="12" a="1"/>
  <c r="FA2" i="12" a="1"/>
  <c r="AJP2" i="12" a="1"/>
  <c r="ABN2" i="12" a="1"/>
  <c r="ZN2" i="12" a="1"/>
  <c r="LJ2" i="12" a="1"/>
  <c r="DK2" i="12" a="1"/>
  <c r="R2" i="12" a="1"/>
  <c r="ALI2" i="12" a="1"/>
  <c r="FQ2" i="12" a="1"/>
  <c r="CA2" i="12" a="1"/>
  <c r="JQ2" i="12" a="1"/>
  <c r="ALA2" i="12" a="1"/>
  <c r="XC2" i="12" a="1"/>
  <c r="AIR2" i="12" a="1"/>
  <c r="V2" i="12" a="1"/>
  <c r="VP2" i="12" a="1"/>
  <c r="AFJ2" i="12" a="1"/>
  <c r="AFE2" i="12" a="1"/>
  <c r="AGT2" i="12" a="1"/>
  <c r="TE2" i="12" a="1"/>
  <c r="AAH2" i="12" a="1"/>
  <c r="AED2" i="12" a="1"/>
  <c r="ADP2" i="12" a="1"/>
  <c r="SO2" i="12" a="1"/>
  <c r="UH2" i="12" a="1"/>
  <c r="NI2" i="12" a="1"/>
  <c r="DQ2" i="12" a="1"/>
  <c r="WS2" i="12" a="1"/>
  <c r="AEP2" i="12" a="1"/>
  <c r="LX2" i="12" a="1"/>
  <c r="RL2" i="12" a="1"/>
  <c r="HA2" i="12" a="1"/>
  <c r="QW2" i="12" a="1"/>
  <c r="GJ2" i="12" a="1"/>
  <c r="JO2" i="12" a="1"/>
  <c r="OC2" i="12" a="1"/>
  <c r="CC2" i="12" a="1"/>
  <c r="KF2" i="12" a="1"/>
  <c r="AHN2" i="12" a="1"/>
  <c r="JL2" i="12" a="1"/>
  <c r="FK2" i="12" a="1"/>
  <c r="AAB2" i="12" a="1"/>
  <c r="QQ2" i="12" a="1"/>
  <c r="VJ2" i="12" a="1"/>
  <c r="UC2" i="12" a="1"/>
  <c r="VD2" i="12" a="1"/>
  <c r="IB2" i="12" a="1"/>
  <c r="AJV2" i="12" a="1"/>
  <c r="GA2" i="12" a="1"/>
  <c r="AEI2" i="12" a="1"/>
  <c r="HT2" i="12" a="1"/>
  <c r="DW2" i="12" a="1"/>
  <c r="DL2" i="12" a="1"/>
  <c r="X2" i="12" a="1"/>
  <c r="AEY2" i="12" a="1"/>
  <c r="FN2" i="12" a="1"/>
  <c r="MF2" i="12" a="1"/>
  <c r="ZO2" i="12" a="1"/>
  <c r="ACK2" i="12" a="1"/>
  <c r="VE2" i="12" a="1"/>
  <c r="CY2" i="12" a="1"/>
  <c r="YG2" i="12" a="1"/>
  <c r="ZU2" i="12" a="1"/>
  <c r="GF2" i="12" a="1"/>
  <c r="VH2" i="12" a="1"/>
  <c r="ME2" i="12" a="1"/>
  <c r="GY2" i="12" a="1"/>
  <c r="EN2" i="12" a="1"/>
  <c r="SW2" i="12" a="1"/>
  <c r="HY2" i="12" a="1"/>
  <c r="CP2" i="12" a="1"/>
  <c r="FD2" i="12" a="1"/>
  <c r="VR2" i="12" a="1"/>
  <c r="AFY2" i="12" a="1"/>
  <c r="AFF2" i="12" a="1"/>
  <c r="HX2" i="12" a="1"/>
  <c r="CF2" i="12" a="1"/>
  <c r="AX2" i="12" a="1"/>
  <c r="ABL2" i="12" a="1"/>
  <c r="UY2" i="12" a="1"/>
  <c r="UQ2" i="12" a="1"/>
  <c r="KK2" i="12" a="1"/>
  <c r="AIA2" i="12" a="1"/>
  <c r="AEE2" i="12" a="1"/>
  <c r="ZL2" i="12" a="1"/>
  <c r="EX2" i="12" a="1"/>
  <c r="F2" i="12" a="1"/>
  <c r="AHE2" i="12" a="1"/>
  <c r="RK2" i="12" a="1"/>
  <c r="AHT2" i="12" a="1"/>
  <c r="EB2" i="12" a="1"/>
  <c r="KR2" i="12" a="1"/>
  <c r="AIF2" i="12" a="1"/>
  <c r="RW2" i="12" a="1"/>
  <c r="YX2" i="12" a="1"/>
  <c r="ZG2" i="12" a="1"/>
  <c r="YJ2" i="12" a="1"/>
  <c r="AIC2" i="12" a="1"/>
  <c r="TL2" i="12" a="1"/>
  <c r="BI2" i="12" a="1"/>
  <c r="NP2" i="12" a="1"/>
  <c r="AGC2" i="12" a="1"/>
  <c r="FS2" i="12" a="1"/>
  <c r="ET2" i="12" a="1"/>
  <c r="LA2" i="12" a="1"/>
  <c r="RT2" i="12" a="1"/>
  <c r="RP2" i="12" a="1"/>
  <c r="YD2" i="12" a="1"/>
  <c r="PB2" i="12" a="1"/>
  <c r="AGF2" i="12" a="1"/>
  <c r="PI2" i="12" a="1"/>
  <c r="WN2" i="12" a="1"/>
  <c r="KH2" i="12" a="1"/>
  <c r="JU2" i="12" a="1"/>
  <c r="E2" i="12" a="1"/>
  <c r="CO2" i="12" a="1"/>
  <c r="UN2" i="12" a="1"/>
  <c r="AFW2" i="12" a="1"/>
  <c r="ML2" i="12" a="1"/>
  <c r="AB2" i="12" a="1"/>
  <c r="DX2" i="12" a="1"/>
  <c r="IT2" i="12" a="1"/>
  <c r="BS2" i="12" a="1"/>
  <c r="AHM2" i="12" a="1"/>
  <c r="TW2" i="12" a="1"/>
  <c r="MS2" i="12" a="1"/>
  <c r="UE2" i="12" a="1"/>
  <c r="AFI2" i="12" a="1"/>
  <c r="SG2" i="12" a="1"/>
  <c r="RR2" i="12" a="1"/>
  <c r="LZ2" i="12" a="1"/>
  <c r="ADD2" i="12" a="1"/>
  <c r="GV2" i="12" a="1"/>
  <c r="AHK2" i="12" a="1"/>
  <c r="AGK2" i="12" a="1"/>
  <c r="TK2" i="12" a="1"/>
  <c r="LL2" i="12" a="1"/>
  <c r="ZI2" i="12" a="1"/>
  <c r="ALL2" i="12" a="1"/>
  <c r="GP2" i="12" a="1"/>
  <c r="AU2" i="12" a="1"/>
  <c r="NJ2" i="12" a="1"/>
  <c r="AKS2" i="12" a="1"/>
  <c r="DZ2" i="12" a="1"/>
  <c r="DG2" i="12" a="1"/>
  <c r="ALH2" i="12" a="1"/>
  <c r="FV2" i="12" a="1"/>
  <c r="ABC2" i="12" a="1"/>
  <c r="AIN2" i="12" a="1"/>
  <c r="ZQ2" i="12" a="1"/>
  <c r="AJS2" i="12" a="1"/>
  <c r="OF2" i="12" a="1"/>
  <c r="VB2" i="12" a="1"/>
  <c r="MC2" i="12" a="1"/>
  <c r="KA2" i="12" a="1"/>
  <c r="ZW2" i="12" a="1"/>
  <c r="SB2" i="12" a="1"/>
  <c r="JD2" i="12" a="1"/>
  <c r="QR2" i="12" a="1"/>
  <c r="LF2" i="12" a="1"/>
  <c r="AP2" i="12" a="1"/>
  <c r="MN2" i="12" a="1"/>
  <c r="XQ2" i="12" a="1"/>
  <c r="MP2" i="12" a="1"/>
  <c r="AHW2" i="12" a="1"/>
  <c r="KX2" i="12" a="1"/>
  <c r="AFU2" i="12" a="1"/>
  <c r="ADC2" i="12" a="1"/>
  <c r="AHV2" i="12" a="1"/>
  <c r="GZ2" i="12" a="1"/>
  <c r="AE2" i="12" a="1"/>
  <c r="AGD2" i="12" a="1"/>
  <c r="FM2" i="12" a="1"/>
  <c r="AGO2" i="12" a="1"/>
  <c r="OY2" i="12" a="1"/>
  <c r="AEG2" i="12" a="1"/>
  <c r="JN2" i="12" a="1"/>
  <c r="AET2" i="12" a="1"/>
  <c r="ACN2" i="12" a="1"/>
  <c r="OH2" i="12" a="1"/>
  <c r="TF2" i="12" a="1"/>
  <c r="ACR2" i="12" a="1"/>
  <c r="AKF2" i="12" a="1"/>
  <c r="PW2" i="12" a="1"/>
  <c r="YS2" i="12" a="1"/>
  <c r="WH2" i="12" a="1"/>
  <c r="EV2" i="12" a="1"/>
  <c r="OL2" i="12" a="1"/>
  <c r="OS2" i="12" a="1"/>
  <c r="WC2" i="12" a="1"/>
  <c r="HM2" i="12" a="1"/>
  <c r="BT2" i="12" a="1"/>
  <c r="EE2" i="12" a="1"/>
  <c r="BY2" i="12" a="1"/>
  <c r="AJM2" i="12" a="1"/>
  <c r="XJ2" i="12" a="1"/>
  <c r="YC2" i="12" a="1"/>
  <c r="AM2" i="12" a="1"/>
  <c r="AGE2" i="12" a="1"/>
  <c r="AIO2" i="12" a="1"/>
  <c r="HG2" i="12" a="1"/>
  <c r="SN2" i="12" a="1"/>
  <c r="SU2" i="12" a="1"/>
  <c r="HV2" i="12" a="1"/>
  <c r="PY2" i="12" a="1"/>
  <c r="FP2" i="12" a="1"/>
  <c r="LG2" i="12" a="1"/>
  <c r="JT2" i="12" a="1"/>
  <c r="CH2" i="12" a="1"/>
  <c r="QM2" i="12" a="1"/>
  <c r="AEC2" i="12" a="1"/>
  <c r="ADO2" i="12" a="1"/>
  <c r="DO2" i="12" a="1"/>
  <c r="PX2" i="12" a="1"/>
  <c r="IG2" i="12" a="1"/>
  <c r="II2" i="12" a="1"/>
  <c r="NA2" i="12" a="1"/>
  <c r="AII2" i="12" a="1"/>
  <c r="AIM2" i="12" a="1"/>
  <c r="XS2" i="12" a="1"/>
  <c r="QY2" i="12" a="1"/>
  <c r="AAL2" i="12" a="1"/>
  <c r="LN2" i="12" a="1"/>
  <c r="ACY2" i="12" a="1"/>
  <c r="SP2" i="12" a="1"/>
  <c r="AIY2" i="12" a="1"/>
  <c r="VF2" i="12" a="1"/>
  <c r="AW2" i="12" a="1"/>
  <c r="AJO2" i="12" a="1"/>
  <c r="GL2" i="12" a="1"/>
  <c r="XW2" i="12" a="1"/>
  <c r="IC2" i="12" a="1"/>
  <c r="GW2" i="12" a="1"/>
  <c r="FC2" i="12" a="1"/>
  <c r="ADI2" i="12" a="1"/>
  <c r="GG2" i="12" a="1"/>
  <c r="VK2" i="12" a="1"/>
  <c r="JP2" i="12" a="1"/>
  <c r="AEQ2" i="12" a="1"/>
  <c r="ND2" i="12" a="1"/>
  <c r="AAP2" i="12" a="1"/>
  <c r="AAU2" i="12" a="1"/>
  <c r="QO2" i="12" a="1"/>
  <c r="AFK2" i="12" a="1"/>
  <c r="NX2" i="12" a="1"/>
  <c r="QJ2" i="12" a="1"/>
  <c r="AIW2" i="12" a="1"/>
  <c r="GU2" i="12" a="1"/>
  <c r="ABM2" i="12" a="1"/>
  <c r="VO2" i="12" a="1"/>
  <c r="ACD2" i="12" a="1"/>
  <c r="AIV2" i="12" a="1"/>
  <c r="AQ2" i="12" a="1"/>
  <c r="RO2" i="12" a="1"/>
  <c r="CZ2" i="12" a="1"/>
  <c r="OE2" i="12" a="1"/>
  <c r="AIT2" i="12" a="1"/>
  <c r="AJJ2" i="12" a="1"/>
  <c r="XR2" i="12" a="1"/>
  <c r="EY2" i="12" a="1"/>
  <c r="AD2" i="12" a="1"/>
  <c r="LP2" i="12" a="1"/>
  <c r="KT2" i="12" a="1"/>
  <c r="AHL2" i="12" a="1"/>
  <c r="QX2" i="12" a="1"/>
  <c r="QT2" i="12" a="1"/>
  <c r="AFN2" i="12" a="1"/>
  <c r="UR2" i="12" a="1"/>
  <c r="PZ2" i="12" a="1"/>
  <c r="BG2" i="12" a="1"/>
  <c r="IV2" i="12" a="1"/>
  <c r="QD2" i="12" a="1"/>
  <c r="AAN2" i="12" a="1"/>
  <c r="FB2" i="12" a="1"/>
  <c r="WX2" i="12" a="1"/>
  <c r="IU2" i="12" a="1"/>
  <c r="AJC2" i="12" a="1"/>
  <c r="PL2" i="12" a="1"/>
  <c r="CG2" i="12" a="1"/>
  <c r="LO2" i="12" a="1"/>
  <c r="AHZ2" i="12" a="1"/>
  <c r="AJU2" i="12" a="1"/>
  <c r="AJT2" i="12" a="1"/>
  <c r="CK2" i="12" a="1"/>
  <c r="BB2" i="12" a="1"/>
  <c r="DA2" i="12" a="1"/>
  <c r="AHH2" i="12" a="1"/>
  <c r="RU2" i="12" a="1"/>
  <c r="ACV2" i="12" a="1"/>
  <c r="AAS2" i="12" a="1"/>
  <c r="LU2" i="12" a="1"/>
  <c r="NL2" i="12" a="1"/>
  <c r="OX2" i="12" a="1"/>
  <c r="ZF2" i="12" a="1"/>
  <c r="VU2" i="12" a="1"/>
  <c r="GK2" i="12" a="1"/>
  <c r="ACH2" i="12" a="1"/>
  <c r="AKA2" i="12" a="1"/>
  <c r="WV2" i="12" a="1"/>
  <c r="ADY2" i="12" a="1"/>
  <c r="AIK2" i="12" a="1"/>
  <c r="JE2" i="12" a="1"/>
  <c r="AGW2" i="12" a="1"/>
  <c r="TN2" i="12" a="1"/>
  <c r="ABI2" i="12" a="1"/>
  <c r="AAJ2" i="12" a="1"/>
  <c r="KE2" i="12" a="1"/>
  <c r="WI2" i="12" a="1"/>
  <c r="FU2" i="12" a="1"/>
  <c r="MX2" i="12" a="1"/>
  <c r="ABT2" i="12" a="1"/>
  <c r="YH2" i="12" a="1"/>
  <c r="OU2" i="12" a="1"/>
  <c r="HI2" i="12" a="1"/>
  <c r="LC2" i="12" a="1"/>
  <c r="BN2" i="12" a="1"/>
  <c r="EP2" i="12" a="1"/>
  <c r="NM2" i="12" a="1"/>
  <c r="MM2" i="12" a="1"/>
  <c r="PC2" i="12" a="1"/>
  <c r="SA2" i="12" a="1"/>
  <c r="CQ2" i="12" a="1"/>
  <c r="AKI2" i="12" a="1"/>
  <c r="ACZ2" i="12" a="1"/>
  <c r="AJI2" i="12" a="1"/>
  <c r="ABZ2" i="12" a="1"/>
  <c r="DU2" i="12" a="1"/>
  <c r="AFV2" i="12" a="1"/>
  <c r="US2" i="12" a="1"/>
  <c r="DP2" i="12" a="1"/>
  <c r="AK2" i="12" a="1"/>
  <c r="GD2" i="12" a="1"/>
  <c r="XI2" i="12" a="1"/>
  <c r="HO2" i="12" a="1"/>
  <c r="UB2" i="12" a="1"/>
  <c r="MD2" i="12" a="1"/>
  <c r="TY2" i="12" a="1"/>
  <c r="VS2" i="12" a="1"/>
  <c r="ABU2" i="12" a="1"/>
  <c r="UG2" i="12" a="1"/>
  <c r="FL2" i="12" a="1"/>
  <c r="KN2" i="12" a="1"/>
  <c r="TP2" i="12" a="1"/>
  <c r="ADV2" i="12" a="1"/>
  <c r="EF2" i="12" a="1"/>
  <c r="IS2" i="12" a="1"/>
  <c r="MT2" i="12" a="1"/>
  <c r="AHU2" i="12" a="1"/>
  <c r="CM2" i="12" a="1"/>
  <c r="UM2" i="12" a="1"/>
  <c r="AKD2" i="12" a="1"/>
  <c r="NO2" i="12" a="1"/>
  <c r="AAY2" i="12" a="1"/>
  <c r="PQ2" i="12" a="1"/>
  <c r="AIU2" i="12" a="1"/>
  <c r="ACP2" i="12" a="1"/>
  <c r="ACT2" i="12" a="1"/>
  <c r="AI2" i="12" a="1"/>
  <c r="ALF2" i="12" a="1"/>
  <c r="TX2" i="12" a="1"/>
  <c r="CS2" i="12" a="1"/>
  <c r="TI2" i="12" a="1"/>
  <c r="PD2" i="12" a="1"/>
  <c r="OK2" i="12" a="1"/>
  <c r="XT2" i="12" a="1"/>
  <c r="QK2" i="12" a="1"/>
  <c r="ALD2" i="12" a="1"/>
  <c r="AEJ2" i="12" a="1"/>
  <c r="AKC2" i="12" a="1"/>
  <c r="HS2" i="12" a="1"/>
  <c r="AAZ2" i="12" a="1"/>
  <c r="AGN2" i="12" a="1"/>
  <c r="AGV2" i="12" a="1"/>
  <c r="SZ2" i="12" a="1"/>
  <c r="OA2" i="12" a="1"/>
  <c r="MH2" i="12" a="1"/>
  <c r="FX2" i="12" a="1"/>
  <c r="WG2" i="12" a="1"/>
  <c r="BL2" i="12" a="1"/>
  <c r="VT2" i="12" a="1"/>
  <c r="AJZ2" i="12" a="1"/>
  <c r="AID2" i="12" a="1"/>
  <c r="H2" i="12" a="1"/>
  <c r="WW2" i="12" a="1"/>
  <c r="IA2" i="12" a="1"/>
  <c r="AL2" i="12" a="1"/>
  <c r="IL2" i="12" a="1"/>
  <c r="HR2" i="12" a="1"/>
  <c r="ABX2" i="12" a="1"/>
  <c r="ZA2" i="12" a="1"/>
  <c r="AAQ2" i="12" a="1"/>
  <c r="JV2" i="12" a="1"/>
  <c r="XP2" i="12" a="1"/>
  <c r="PV2" i="12" a="1"/>
  <c r="ACC2" i="12" a="1"/>
  <c r="AGA2" i="12" a="1"/>
  <c r="BX2" i="12" a="1"/>
  <c r="ER2" i="12" a="1"/>
  <c r="MR2" i="12" a="1"/>
  <c r="HF2" i="12" a="1"/>
  <c r="BA2" i="12" a="1"/>
  <c r="SD2" i="12" a="1"/>
  <c r="ZD2" i="12" a="1"/>
  <c r="ADF2" i="12" a="1"/>
  <c r="AEW2" i="12" a="1"/>
  <c r="VZ2" i="12" a="1"/>
  <c r="IW2" i="12" a="1"/>
  <c r="WE2" i="12" a="1"/>
  <c r="QB2" i="12" a="1"/>
  <c r="VM2" i="12" a="1"/>
  <c r="AIQ2" i="12" a="1"/>
  <c r="HN2" i="12" a="1"/>
  <c r="MJ2" i="12" a="1"/>
  <c r="ABE2" i="12" a="1"/>
  <c r="RC2" i="12" a="1"/>
  <c r="UJ2" i="12" a="1"/>
  <c r="AJH2" i="12" a="1"/>
  <c r="JM2" i="12" a="1"/>
  <c r="XA2" i="12" a="1"/>
  <c r="AIG2" i="12" a="1"/>
  <c r="HK2" i="12" a="1"/>
  <c r="MY2" i="12" a="1"/>
  <c r="IX2" i="12" a="1"/>
  <c r="WR2" i="12" a="1"/>
  <c r="IE2" i="12" a="1"/>
  <c r="KM2" i="12" a="1"/>
  <c r="AEL2" i="12" a="1"/>
  <c r="AKZ2" i="12" a="1"/>
  <c r="AEF2" i="12" a="1"/>
  <c r="AAO2" i="12" a="1"/>
  <c r="UX2" i="12" a="1"/>
  <c r="TC2" i="12" a="1"/>
  <c r="ADM2" i="12" a="1"/>
  <c r="AS2" i="12" a="1"/>
  <c r="IH2" i="12" a="1"/>
  <c r="AKB2" i="12" a="1"/>
  <c r="AIP2" i="12" a="1"/>
  <c r="TQ2" i="12" a="1"/>
  <c r="IK2" i="12" a="1"/>
  <c r="AIL2" i="12" a="1"/>
  <c r="MV2" i="12" a="1"/>
  <c r="AKM2" i="12" a="1"/>
  <c r="NN2" i="12" a="1"/>
  <c r="CI2" i="12" a="1"/>
  <c r="ACF2" i="12" a="1"/>
  <c r="LS2" i="12" a="1"/>
  <c r="SL2" i="12" a="1"/>
  <c r="FJ2" i="12" a="1"/>
  <c r="YA2" i="12" a="1"/>
  <c r="SK2" i="12" a="1"/>
  <c r="CL2" i="12" a="1"/>
  <c r="DE2" i="12" a="1"/>
  <c r="AES2" i="12" a="1"/>
  <c r="YL2" i="12" a="1"/>
  <c r="ADA2" i="12" a="1"/>
  <c r="AAM2" i="12" a="1"/>
  <c r="TR2" i="12" a="1"/>
  <c r="AGM2" i="12" a="1"/>
  <c r="WF2" i="12" a="1"/>
  <c r="AAG2" i="12" a="1"/>
  <c r="VI2" i="12" a="1"/>
  <c r="SY2" i="12" a="1"/>
  <c r="WY2" i="12" a="1"/>
  <c r="KQ2" i="12" a="1"/>
  <c r="AIZ2" i="12" a="1"/>
  <c r="DH2" i="12" a="1"/>
  <c r="NW2" i="12" a="1"/>
  <c r="G2" i="12" a="1"/>
  <c r="QU2" i="12" a="1"/>
  <c r="AAT2" i="12" a="1"/>
  <c r="N2" i="12" a="1"/>
  <c r="WD2" i="12" a="1"/>
  <c r="RJ2" i="12" a="1"/>
  <c r="AEA2" i="12" a="1"/>
  <c r="WK2" i="12" a="1"/>
  <c r="DS2" i="12" a="1"/>
  <c r="DV2" i="12" a="1"/>
  <c r="AAD2" i="12" a="1"/>
  <c r="AR2" i="12" a="1"/>
  <c r="OP2" i="12" a="1"/>
  <c r="LT2" i="12" a="1"/>
  <c r="YR2" i="12" a="1"/>
  <c r="DM2" i="12" a="1"/>
  <c r="AHG2" i="12" a="1"/>
  <c r="AHX2" i="12" a="1"/>
  <c r="AJE2" i="12" a="1"/>
  <c r="I2" i="12" a="1"/>
  <c r="JZ2" i="12" a="1"/>
  <c r="AJR2" i="12" a="1"/>
  <c r="IR2" i="12" a="1"/>
  <c r="RD2" i="12" a="1"/>
  <c r="ADN2" i="12" a="1"/>
  <c r="BP2" i="12" a="1"/>
  <c r="ADQ2" i="12" a="1"/>
  <c r="KO2" i="12" a="1"/>
  <c r="AIJ2" i="12" a="1"/>
  <c r="SI2" i="12" a="1"/>
  <c r="GH2" i="12" a="1"/>
  <c r="ZE2" i="12" a="1"/>
  <c r="WU2" i="12" a="1"/>
  <c r="Y2" i="12" a="1"/>
  <c r="UK2" i="12" a="1"/>
  <c r="ACI2" i="12" a="1"/>
  <c r="ZS2" i="12" a="1"/>
  <c r="PE2" i="12" a="1"/>
  <c r="QZ2" i="12" a="1"/>
  <c r="JB2" i="12" a="1"/>
  <c r="BV2" i="12" a="1"/>
  <c r="FI2" i="12" a="1"/>
  <c r="HL2" i="12" a="1"/>
  <c r="YQ2" i="12" a="1"/>
  <c r="JA2" i="12" a="1"/>
  <c r="TV2" i="12" a="1"/>
  <c r="DT2" i="12" a="1"/>
  <c r="BK2" i="12" a="1"/>
  <c r="ADB2" i="12" a="1"/>
  <c r="SM2" i="12" a="1"/>
  <c r="AFC2" i="12" a="1"/>
  <c r="DN2" i="12" a="1"/>
  <c r="DR2" i="12" a="1"/>
  <c r="XZ2" i="12" a="1"/>
  <c r="SC2" i="12" a="1"/>
  <c r="WB2" i="12" a="1"/>
  <c r="SH2" i="12" a="1"/>
  <c r="AEV2" i="12" a="1"/>
  <c r="QI2" i="12" a="1"/>
  <c r="OR2" i="12" a="1"/>
  <c r="BH2" i="12" a="1"/>
  <c r="IY2" i="12" a="1"/>
  <c r="NF2" i="12" a="1"/>
  <c r="ACS2" i="12" a="1"/>
  <c r="MI2" i="12" a="1"/>
  <c r="QE2" i="12" a="1"/>
  <c r="W2" i="12" a="1"/>
  <c r="VA2" i="12" a="1"/>
  <c r="UI2" i="12" a="1"/>
  <c r="HQ2" i="12" a="1"/>
  <c r="AFZ2" i="12" a="1"/>
  <c r="HW2" i="12" a="1"/>
  <c r="GC2" i="12" a="1"/>
  <c r="UL2" i="12" a="1"/>
  <c r="NG2" i="12" a="1"/>
  <c r="RV2" i="12" a="1"/>
  <c r="AHR2" i="12" a="1"/>
  <c r="GQ2" i="12" a="1"/>
  <c r="YW2" i="12" a="1"/>
  <c r="ACW2" i="12" a="1"/>
  <c r="HP2" i="12" a="1"/>
  <c r="AGJ2" i="12" a="1"/>
  <c r="ABF2" i="12" a="1"/>
  <c r="AKU2" i="12" a="1"/>
  <c r="AEO2" i="12" a="1"/>
  <c r="FH2" i="12" a="1"/>
  <c r="BE2" i="12" a="1"/>
  <c r="PO2" i="12" a="1"/>
  <c r="NR2" i="12" a="1"/>
  <c r="WQ2" i="12" a="1"/>
  <c r="YU2" i="12" a="1"/>
  <c r="IP2" i="12" a="1"/>
  <c r="FW2" i="12" a="1"/>
  <c r="ZB2" i="12" a="1"/>
  <c r="HD2" i="12" a="1"/>
  <c r="AA2" i="12" a="1"/>
  <c r="AEK2" i="12" a="1"/>
  <c r="RQ2" i="12" a="1"/>
  <c r="RZ2" i="12" a="1"/>
  <c r="CU2" i="12" a="1"/>
  <c r="ADR2" i="12" a="1"/>
  <c r="SJ2" i="12" a="1"/>
  <c r="QN2" i="12" a="1"/>
  <c r="DY2" i="12" a="1"/>
  <c r="BF2" i="12" a="1"/>
  <c r="ACM2" i="12" a="1"/>
  <c r="IJ2" i="12" a="1"/>
  <c r="LY2" i="12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PGT-Administrator</author>
    <author>tc={A4CA4F2C-07B9-44B3-AC57-67F0160147CD}</author>
  </authors>
  <commentList>
    <comment ref="N2" authorId="0" shapeId="0" xr:uid="{1A0909A3-15DC-4043-8592-5D7993389D43}">
      <text>
        <r>
          <rPr>
            <b/>
            <sz val="9"/>
            <color indexed="81"/>
            <rFont val="Tahoma"/>
            <family val="2"/>
          </rPr>
          <t>PGT-Administrator:</t>
        </r>
        <r>
          <rPr>
            <sz val="9"/>
            <color indexed="81"/>
            <rFont val="Tahoma"/>
            <family val="2"/>
          </rPr>
          <t xml:space="preserve">
Sepertinya cukup model name saja(?)
</t>
        </r>
      </text>
    </comment>
    <comment ref="R7" authorId="1" shapeId="0" xr:uid="{A4CA4F2C-07B9-44B3-AC57-67F0160147CD}">
      <text>
        <t>[Threaded comment]
Your version of Excel allows you to read this threaded comment; however, any edits to it will get removed if the file is opened in a newer version of Excel. Learn more: https://go.microsoft.com/fwlink/?linkid=870924
Comment:
    Perlu cek ulang karena asset posisi idle saat ini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PGT-Administrator</author>
  </authors>
  <commentList>
    <comment ref="N2" authorId="0" shapeId="0" xr:uid="{D1124BAB-BABD-4710-B4B2-46068D557275}">
      <text>
        <r>
          <rPr>
            <b/>
            <sz val="9"/>
            <color indexed="81"/>
            <rFont val="Tahoma"/>
            <family val="2"/>
          </rPr>
          <t>PGT-Administrator:</t>
        </r>
        <r>
          <rPr>
            <sz val="9"/>
            <color indexed="81"/>
            <rFont val="Tahoma"/>
            <family val="2"/>
          </rPr>
          <t xml:space="preserve">
Sepertinya cukup model name saja(?)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PGT-Administrator</author>
    <author>tc={45E31895-DAC7-4260-93E6-5D7A76F8F5F9}</author>
  </authors>
  <commentList>
    <comment ref="N2" authorId="0" shapeId="0" xr:uid="{AD6E4624-9ECC-4BC4-BC77-288B0771D79F}">
      <text>
        <r>
          <rPr>
            <b/>
            <sz val="9"/>
            <color indexed="81"/>
            <rFont val="Tahoma"/>
            <family val="2"/>
          </rPr>
          <t>PGT-Administrator:</t>
        </r>
        <r>
          <rPr>
            <sz val="9"/>
            <color indexed="81"/>
            <rFont val="Tahoma"/>
            <family val="2"/>
          </rPr>
          <t xml:space="preserve">
Sepertinya cukup model name saja(?)
</t>
        </r>
      </text>
    </comment>
    <comment ref="R7" authorId="1" shapeId="0" xr:uid="{45E31895-DAC7-4260-93E6-5D7A76F8F5F9}">
      <text>
        <t>[Threaded comment]
Your version of Excel allows you to read this threaded comment; however, any edits to it will get removed if the file is opened in a newer version of Excel. Learn more: https://go.microsoft.com/fwlink/?linkid=870924
Comment:
    Perlu cek ulang karena asset posisi idle saat ini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<sst xmlns="http://schemas.openxmlformats.org/spreadsheetml/2006/main" count="6483" uniqueCount="1436">
  <si>
    <t>DASHBOARD ASET PERANGKAT IT PGT</t>
  </si>
  <si>
    <t>Ringkasan inventaris aktif • data terhubung langsung ke seluruh register aset</t>
  </si>
  <si>
    <t>COMPUTER</t>
  </si>
  <si>
    <t>DISPLAY</t>
  </si>
  <si>
    <t>NETWORK DEVICE</t>
  </si>
  <si>
    <t>PERIPHERAL</t>
  </si>
  <si>
    <t>UTILITIES</t>
  </si>
  <si>
    <t>TOTAL ASSET</t>
  </si>
  <si>
    <t>DEVICES HANDOVER</t>
  </si>
  <si>
    <t>IDLE STATUS</t>
  </si>
  <si>
    <t>SHARED STATUS</t>
  </si>
  <si>
    <t>NOTE: This New Handover</t>
  </si>
  <si>
    <t>ASSET CATEGORIES</t>
  </si>
  <si>
    <t>Sample : TTBBKSK000</t>
  </si>
  <si>
    <t>Asset Order</t>
  </si>
  <si>
    <t>Asset ( Category 1 - Computer )</t>
  </si>
  <si>
    <t>Operating System</t>
  </si>
  <si>
    <t>IP Address</t>
  </si>
  <si>
    <t>MAC Address</t>
  </si>
  <si>
    <t>Processor</t>
  </si>
  <si>
    <t>Ram</t>
  </si>
  <si>
    <t>Video (GPU)</t>
  </si>
  <si>
    <t>Storage</t>
  </si>
  <si>
    <t>Display</t>
  </si>
  <si>
    <t>Image Device</t>
  </si>
  <si>
    <t>No</t>
  </si>
  <si>
    <t>No Asset</t>
  </si>
  <si>
    <t>Purchase Date</t>
  </si>
  <si>
    <t>No PO</t>
  </si>
  <si>
    <t>Location</t>
  </si>
  <si>
    <t>Current Location</t>
  </si>
  <si>
    <t>Categories</t>
  </si>
  <si>
    <t>Sub-Cat</t>
  </si>
  <si>
    <t>Device Name</t>
  </si>
  <si>
    <t>Short Name</t>
  </si>
  <si>
    <t>S/N PC UNIT</t>
  </si>
  <si>
    <t>Manufacture</t>
  </si>
  <si>
    <t>Model Name</t>
  </si>
  <si>
    <t>Type</t>
  </si>
  <si>
    <t>Hostname</t>
  </si>
  <si>
    <t>Version</t>
  </si>
  <si>
    <t>Product Key</t>
  </si>
  <si>
    <t>IP_WIFI</t>
  </si>
  <si>
    <t>IP_ETH</t>
  </si>
  <si>
    <t>MC_WIFI</t>
  </si>
  <si>
    <t>MC_ETH</t>
  </si>
  <si>
    <t>Processor_MFG</t>
  </si>
  <si>
    <t>Model</t>
  </si>
  <si>
    <t>Specifik</t>
  </si>
  <si>
    <t>RAM_MFG</t>
  </si>
  <si>
    <t>RAM_Type</t>
  </si>
  <si>
    <t>Speed</t>
  </si>
  <si>
    <t>Slot</t>
  </si>
  <si>
    <t>Chanel</t>
  </si>
  <si>
    <t>Size (GB)</t>
  </si>
  <si>
    <t>GPU_Model</t>
  </si>
  <si>
    <t>Onboard (Y/N)</t>
  </si>
  <si>
    <t>Storage_MFG</t>
  </si>
  <si>
    <t>Storage_Type</t>
  </si>
  <si>
    <t>Storage_Size
(GB)</t>
  </si>
  <si>
    <t>Model11</t>
  </si>
  <si>
    <t>Type12</t>
  </si>
  <si>
    <t>Size</t>
  </si>
  <si>
    <t>Device Condition</t>
  </si>
  <si>
    <t>Ownership</t>
  </si>
  <si>
    <t>Asset PIC</t>
  </si>
  <si>
    <t>Usage Status</t>
  </si>
  <si>
    <t>NOTES</t>
  </si>
  <si>
    <t>img_1</t>
  </si>
  <si>
    <t>img_2</t>
  </si>
  <si>
    <t>img_3</t>
  </si>
  <si>
    <t>Labeling</t>
  </si>
  <si>
    <t>Handover Doc</t>
  </si>
  <si>
    <t>PO-001</t>
  </si>
  <si>
    <t>Patimban</t>
  </si>
  <si>
    <t>Customs Building</t>
  </si>
  <si>
    <t>Computer</t>
  </si>
  <si>
    <t>PC</t>
  </si>
  <si>
    <t>HP Pro Mini 400G9 Desktop PC</t>
  </si>
  <si>
    <t>MFF PC</t>
  </si>
  <si>
    <t>8CC6090X4D</t>
  </si>
  <si>
    <t>HP</t>
  </si>
  <si>
    <t>Pro Mini 400G9</t>
  </si>
  <si>
    <t>400G9</t>
  </si>
  <si>
    <t>PBPCIT-CUSTOMS</t>
  </si>
  <si>
    <t>W 11 Pro</t>
  </si>
  <si>
    <t>00355-63810-25299-AAOEM</t>
  </si>
  <si>
    <t>N/A</t>
  </si>
  <si>
    <t>EC-3A-56-78-25-C8</t>
  </si>
  <si>
    <t>B4-E2-5B-77-5C-B5</t>
  </si>
  <si>
    <t>INTEL</t>
  </si>
  <si>
    <t>Core i7 14700T</t>
  </si>
  <si>
    <t>Core(TM) i7-14700T (1.30 GHz)</t>
  </si>
  <si>
    <t>Samsung</t>
  </si>
  <si>
    <t>DDR5</t>
  </si>
  <si>
    <t>Dual Chanel</t>
  </si>
  <si>
    <t>UHD Graphics 770</t>
  </si>
  <si>
    <t>Y</t>
  </si>
  <si>
    <t>KIOXIA</t>
  </si>
  <si>
    <t>SSD-NVME</t>
  </si>
  <si>
    <t>4K UHD (3.840 x 2.160 piksel)</t>
  </si>
  <si>
    <t>UA55DU8000</t>
  </si>
  <si>
    <t>55"</t>
  </si>
  <si>
    <t>Good</t>
  </si>
  <si>
    <t>PGT</t>
  </si>
  <si>
    <t>IT</t>
  </si>
  <si>
    <t>Shared</t>
  </si>
  <si>
    <t>EX. Jetty; For CCTV monitoring</t>
  </si>
  <si>
    <t>PO-002</t>
  </si>
  <si>
    <t>KSOP Building</t>
  </si>
  <si>
    <t>HP ProDesk 4 Mini G1i Desktop AI PC</t>
  </si>
  <si>
    <t>8CC6062FV7</t>
  </si>
  <si>
    <t>ProDesk 4 Mini G1i</t>
  </si>
  <si>
    <t>G1i</t>
  </si>
  <si>
    <t>PBPCIT-KSOP</t>
  </si>
  <si>
    <t>XMNWX-R3HVM-CGKD7-R3W7X-H6DGR</t>
  </si>
  <si>
    <t>Ultra 5 225T</t>
  </si>
  <si>
    <t>Intel(R) Core(TM) Ultra 5 225T (2.50 GHz)</t>
  </si>
  <si>
    <t>Intel ARC Graphics</t>
  </si>
  <si>
    <t>SAMSUNG</t>
  </si>
  <si>
    <t>UA50U8000</t>
  </si>
  <si>
    <t>50"</t>
  </si>
  <si>
    <t>New</t>
  </si>
  <si>
    <t>For CCTV monitoring</t>
  </si>
  <si>
    <t>Engineer Room</t>
  </si>
  <si>
    <t>Notebook</t>
  </si>
  <si>
    <t>HP ZBook 8 G1i 14 inch Mobile Workstation PC</t>
  </si>
  <si>
    <t>NOTEBOOK</t>
  </si>
  <si>
    <t>5CG60633X1</t>
  </si>
  <si>
    <t>ZBook 8 G1i</t>
  </si>
  <si>
    <t>JKNBIS-QUENTIN</t>
  </si>
  <si>
    <t>QN6VY-VY3DF-PGFT6-BDPWT-QYJGG</t>
  </si>
  <si>
    <t>10.90.10.87</t>
  </si>
  <si>
    <t>AC-F4-66-CF-BA-C2</t>
  </si>
  <si>
    <t>9C-97-1B-FF-6C-7A</t>
  </si>
  <si>
    <t>Ultra 7 265H</t>
  </si>
  <si>
    <t>Intel(R) Core(TM) Ultra 7 265H (16 CPUs), ~2.2GHz</t>
  </si>
  <si>
    <t>Singgle Chanel</t>
  </si>
  <si>
    <t>NVDIA RTX500 4 GB GDDR6 Dedicated</t>
  </si>
  <si>
    <t>PC SN5000S</t>
  </si>
  <si>
    <t>WQXGA(2560x1600) Anti-Glare</t>
  </si>
  <si>
    <t>WQXGA</t>
  </si>
  <si>
    <t>14"</t>
  </si>
  <si>
    <t>Idle</t>
  </si>
  <si>
    <t>For Manager Engineer (Quentin Bonny); include notebook bag</t>
  </si>
  <si>
    <t>8CC6062FT4</t>
  </si>
  <si>
    <t>PBPCOP-LABOUR2</t>
  </si>
  <si>
    <t>NPDHG-MFP9V-RPD42-276F6-GMVCM</t>
  </si>
  <si>
    <t>10.90.10.114</t>
  </si>
  <si>
    <t>44-25-38-33-F0-A1</t>
  </si>
  <si>
    <t>B4-E2-5B-72-44-CA</t>
  </si>
  <si>
    <t>IPS Full HD (1920×1080) – 120 Hz</t>
  </si>
  <si>
    <t>F27F320GA</t>
  </si>
  <si>
    <t>27"</t>
  </si>
  <si>
    <t>In used by User</t>
  </si>
  <si>
    <t>Exchange from PBPCIT-ITSTAFF; Asset allocation for Labour Staff</t>
  </si>
  <si>
    <t>8CC6062FR8</t>
  </si>
  <si>
    <t>PBPCIT-ASSET260801</t>
  </si>
  <si>
    <t>2NQVP-9T3PW-6KXQJ-FP2J2-GQ78Y</t>
  </si>
  <si>
    <t>10.90.10.93</t>
  </si>
  <si>
    <t xml:space="preserve"> 44-25-38-33-EF-53</t>
  </si>
  <si>
    <t>B4-E2-5B-72-45-F9</t>
  </si>
  <si>
    <t>Spare PC desktop</t>
  </si>
  <si>
    <t>8CC6062FS5</t>
  </si>
  <si>
    <t>PBPCEQ-STAFF2</t>
  </si>
  <si>
    <t>MX22P-KNGKJ-CTYT3-WB4Q4-844JY</t>
  </si>
  <si>
    <t>10.90.10.94</t>
  </si>
  <si>
    <t>44-25-38-33-74-13</t>
  </si>
  <si>
    <t>B4-E2-5B-72-45-74</t>
  </si>
  <si>
    <t>Asset allocation for Equipment Staff 2</t>
  </si>
  <si>
    <t>Customs Gate-Out</t>
  </si>
  <si>
    <t>8CC6062FST</t>
  </si>
  <si>
    <t>PBPCIT-GATEOUT</t>
  </si>
  <si>
    <t>D88W6-NVTMG-JWHRH-X4Y6J-CPQPM</t>
  </si>
  <si>
    <t>10.90.10.96</t>
  </si>
  <si>
    <t>44-25-38-33-F0-D5</t>
  </si>
  <si>
    <t>B4-E2-5B-72-45-C7</t>
  </si>
  <si>
    <t>Exchange to PBPCHS-GATEOUT; Asset allocation for Customs in PGT</t>
  </si>
  <si>
    <t>Customs Gate-In</t>
  </si>
  <si>
    <t>8CC6062FV2</t>
  </si>
  <si>
    <t>PBPCIT-GATEIN</t>
  </si>
  <si>
    <t>M273T-6NJC7-BCMVG-X69G9-9HJ6B</t>
  </si>
  <si>
    <t>10.90.10.98</t>
  </si>
  <si>
    <t>44-25-38-33-79-07</t>
  </si>
  <si>
    <t>B4-E2-5B-72-44-5C</t>
  </si>
  <si>
    <t>Asset allocation for Customs in PGT</t>
  </si>
  <si>
    <t>Equipment Room</t>
  </si>
  <si>
    <t>Dell Pro Micro QCM1250</t>
  </si>
  <si>
    <t>FLYZHC4</t>
  </si>
  <si>
    <t>DELL</t>
  </si>
  <si>
    <t>Pro Micro QCM1250</t>
  </si>
  <si>
    <t>PBPCEQ-TIRTA</t>
  </si>
  <si>
    <t>W3MGP-NWGJ2-349TB-6W9RJ-RX9CT</t>
  </si>
  <si>
    <t>FC-4C-EA-11-2D-54</t>
  </si>
  <si>
    <t>C0-A8-10-1D-2E-EB</t>
  </si>
  <si>
    <t>i5-14500T</t>
  </si>
  <si>
    <t>Intel(R) Core(TM) i5-14500T (1.70 GHz)</t>
  </si>
  <si>
    <t>Labour Room</t>
  </si>
  <si>
    <t>CNYZHC4</t>
  </si>
  <si>
    <t>PBPCOP-LABOUR1</t>
  </si>
  <si>
    <t>T494N-JBXDH-7DHM6-MW9W6-HFTPT</t>
  </si>
  <si>
    <t>FC-4C-EA-11-2D-20</t>
  </si>
  <si>
    <t>C0-A8-10-1D-2E-E1</t>
  </si>
  <si>
    <t>HSE Room</t>
  </si>
  <si>
    <t>HP Pro Mini PC 400 G9</t>
  </si>
  <si>
    <t>8CC6090X4V</t>
  </si>
  <si>
    <t>Pro Mini PC 400 G9</t>
  </si>
  <si>
    <t>PBPCHS-HSSE</t>
  </si>
  <si>
    <t>EC-3A-56-75-AC-C2</t>
  </si>
  <si>
    <t>B4-E2-5B-77-5C-9E</t>
  </si>
  <si>
    <t>For CCTV display in HSSE room</t>
  </si>
  <si>
    <t>Operations Room</t>
  </si>
  <si>
    <t>11N0JC4</t>
  </si>
  <si>
    <t>PBPCOP-BERTHING</t>
  </si>
  <si>
    <t>QR44C-N7QHM-TV7YP-97P8T-6F4TG</t>
  </si>
  <si>
    <t>10.90.10.129</t>
  </si>
  <si>
    <t>C0-A8-10-30-81-85</t>
  </si>
  <si>
    <t>FC-4C-EA-10-9C-2E</t>
  </si>
  <si>
    <t>Core(TM)i5-14500T (1.70 GHz)</t>
  </si>
  <si>
    <t>Samsung Curved 32" S32D396GAE</t>
  </si>
  <si>
    <t>Curve</t>
  </si>
  <si>
    <t>32"</t>
  </si>
  <si>
    <t>91N0JC4</t>
  </si>
  <si>
    <t>PBPCOP-YARD</t>
  </si>
  <si>
    <t>D9WNB-H36DJ-4M2J9-6V94R-MWRTG</t>
  </si>
  <si>
    <t>86-47-21-9B-E7-75</t>
  </si>
  <si>
    <t>FC-4C-EA-11-46-A4</t>
  </si>
  <si>
    <t>G0N0JC4</t>
  </si>
  <si>
    <t>PBPCOP-SHIPPLANNER</t>
  </si>
  <si>
    <t>BFCWM-6NPQG-CJ4Y4-XVPJM-3GP2T</t>
  </si>
  <si>
    <t>C0-A8-10-30-50-B6</t>
  </si>
  <si>
    <t>FC-4C-EA-10-AB-9C</t>
  </si>
  <si>
    <t>Loket Room</t>
  </si>
  <si>
    <t>70N0JCA</t>
  </si>
  <si>
    <t>PBPCCO-LOCKETSTAFF</t>
  </si>
  <si>
    <t>T9NCH-M7RWZ-6YKJ2-66FKD-4GDW6</t>
  </si>
  <si>
    <t xml:space="preserve"> 192.168.101.181</t>
  </si>
  <si>
    <t>C0-A8-10-30-50-DE</t>
  </si>
  <si>
    <t>FC-4C-EA-10-F2-6C</t>
  </si>
  <si>
    <t>Used by locket staff</t>
  </si>
  <si>
    <t>AIO</t>
  </si>
  <si>
    <t>Axioo HYPE Flex X6 AIO</t>
  </si>
  <si>
    <t>AIO PC</t>
  </si>
  <si>
    <t>NPM23I34</t>
  </si>
  <si>
    <t>AXIOO</t>
  </si>
  <si>
    <t>HYPE Flex X6 AIO</t>
  </si>
  <si>
    <t>Axioo HYPE Flex X6</t>
  </si>
  <si>
    <t>192.168.100.13</t>
  </si>
  <si>
    <t>9C:12:21:16:E2:86</t>
  </si>
  <si>
    <t>84-47-09-54-22-E3</t>
  </si>
  <si>
    <t>AMD</t>
  </si>
  <si>
    <t>Ryzen 5 6600H</t>
  </si>
  <si>
    <t>DDR4</t>
  </si>
  <si>
    <t>HIGHREAL</t>
  </si>
  <si>
    <t>Service</t>
  </si>
  <si>
    <t>CY/Wharf Area</t>
  </si>
  <si>
    <t>Handheld</t>
  </si>
  <si>
    <t xml:space="preserve">Samsung Galaxy Tab Active5 </t>
  </si>
  <si>
    <t>TABLET</t>
  </si>
  <si>
    <t>RRGYC03GBWD</t>
  </si>
  <si>
    <t xml:space="preserve">Galaxy Tab Active5 </t>
  </si>
  <si>
    <t>PBTBOP-YOS2</t>
  </si>
  <si>
    <t>Android</t>
  </si>
  <si>
    <t>08:10:93:5C:55:87</t>
  </si>
  <si>
    <t>Exynos 1380</t>
  </si>
  <si>
    <t>Chipset Samsung Exynos 1380, CPU octa-core</t>
  </si>
  <si>
    <t>INTERNAL</t>
  </si>
  <si>
    <t>N</t>
  </si>
  <si>
    <t>TFT LCD (1920 x 1200) - 120Hz</t>
  </si>
  <si>
    <t>WUXGA</t>
  </si>
  <si>
    <t>8"</t>
  </si>
  <si>
    <t>Include Anker Zolo charger (20w,PD 3.0); ex. Gate staff (PBTABGS-GATE IN); in used by YOS-2</t>
  </si>
  <si>
    <t>RRGYC03GCWT</t>
  </si>
  <si>
    <t>PBTABWS-WOS-1</t>
  </si>
  <si>
    <t>08:10:93:5C:55:C9</t>
  </si>
  <si>
    <t>Include Anker Zolo charger (20w,PD 3.0)</t>
  </si>
  <si>
    <t>RRGYC03GCWI</t>
  </si>
  <si>
    <t>Samsung Galaxy Tab Active5 Pro</t>
  </si>
  <si>
    <t>RRGYC03GCWU</t>
  </si>
  <si>
    <t>Galaxy Tab Active5 Pro</t>
  </si>
  <si>
    <t>PBTABEH-ECH101</t>
  </si>
  <si>
    <t>QUALCOMM</t>
  </si>
  <si>
    <t>Snapdragon 7s Gen 3</t>
  </si>
  <si>
    <t>Qualcomm Snapdragon 7s Gen 3 (4nm)</t>
  </si>
  <si>
    <t>10"</t>
  </si>
  <si>
    <t>Include UGREEN USB to type C 3 Meter</t>
  </si>
  <si>
    <t>RRGYC09N6MN</t>
  </si>
  <si>
    <t>PBTABRS-RS101</t>
  </si>
  <si>
    <t>RRGYC09N70E</t>
  </si>
  <si>
    <t>PBTABRS-RS102</t>
  </si>
  <si>
    <t>10.90.70.2</t>
  </si>
  <si>
    <t>08-10-93-69-E9-DD</t>
  </si>
  <si>
    <t>Samsung Galaxy Tab Active5</t>
  </si>
  <si>
    <t>RRGYC03GCZD</t>
  </si>
  <si>
    <t>Galaxy Tab Active5</t>
  </si>
  <si>
    <t>PBTABGS-GATE OUT STAFF</t>
  </si>
  <si>
    <t>Include Anker Zolo charger (20w,PD 3.0); ex. Gate staff (PBTABGS-GATE OUT STAFF); in used by ECH-102 operators</t>
  </si>
  <si>
    <t>Dell Pro 14 PC14250</t>
  </si>
  <si>
    <t>BDVNND4</t>
  </si>
  <si>
    <t>Pro 14 PC14250</t>
  </si>
  <si>
    <t>PBNBEQ-DIAN</t>
  </si>
  <si>
    <t>TM2FM-MQNJY-PGV4W-PYFM2-XTP2T</t>
  </si>
  <si>
    <t>192.168.100.248</t>
  </si>
  <si>
    <t>E8-BF-E1-DC-7E-18</t>
  </si>
  <si>
    <t>84-5C-31-81-8F-DA</t>
  </si>
  <si>
    <t>Ultra 5 235U</t>
  </si>
  <si>
    <t>Intel(R) Core(TM) Ultra 5 235U (2.00 GHz)</t>
  </si>
  <si>
    <t>11"</t>
  </si>
  <si>
    <t>ex. PBNBIT-ITSTAFF</t>
  </si>
  <si>
    <t>AGL Office</t>
  </si>
  <si>
    <t>Lenovo ThinkPad E14 Gen7</t>
  </si>
  <si>
    <t>PF6LXC2</t>
  </si>
  <si>
    <t>LENOVO</t>
  </si>
  <si>
    <t>AGL</t>
  </si>
  <si>
    <t>TM3GM-WQNJY-GGIO4-PYFM2-XPP2G</t>
  </si>
  <si>
    <t>F4-4E-B4-60-68-BF</t>
  </si>
  <si>
    <t xml:space="preserve"> D4-A2-CD-F0-91-C2</t>
  </si>
  <si>
    <t>Lent out</t>
  </si>
  <si>
    <t>Lent out to AGL staff (include Miniso mouse &amp; laptop bag); Ex. Hangga</t>
  </si>
  <si>
    <t>Gate Office</t>
  </si>
  <si>
    <t>60N0JC4</t>
  </si>
  <si>
    <t>PBPCOP-GATEIN</t>
  </si>
  <si>
    <t>BP6NY-H3KT4-H42QH-4WJ8C-D6986</t>
  </si>
  <si>
    <t>192.168.101.182</t>
  </si>
  <si>
    <t>C0-A8-10-30-8F-BD</t>
  </si>
  <si>
    <t>FC-4C-EA-10-F3-45</t>
  </si>
  <si>
    <t>Used by gate staff</t>
  </si>
  <si>
    <t>D8DJ6J4</t>
  </si>
  <si>
    <t>PBNBIS-BAHTIAR</t>
  </si>
  <si>
    <t>HYN27-92RFV-4G4KM-4MDQ2-GQ8GG</t>
  </si>
  <si>
    <t>3C-EF-A5-F6-F7-F5</t>
  </si>
  <si>
    <t>94-10-5A-5B-7A-8B</t>
  </si>
  <si>
    <t>Ultra 5 225U</t>
  </si>
  <si>
    <t>Intel(R) Core(TM) Ultra 5 225U (1.50 GHz)</t>
  </si>
  <si>
    <t>Used by Bahtiar</t>
  </si>
  <si>
    <t>Dell Latitude 3450</t>
  </si>
  <si>
    <t>9MHWB94</t>
  </si>
  <si>
    <t>Latitude 3450</t>
  </si>
  <si>
    <t>PBNBEQ-SUPARNO</t>
  </si>
  <si>
    <t>6HNPJ-8H7MP-47GP7-HFMG2-JB6PT</t>
  </si>
  <si>
    <t>28-95-29-41-CA-26</t>
  </si>
  <si>
    <t>C4-D6-D3-81-63-B7</t>
  </si>
  <si>
    <t xml:space="preserve"> i7-1355U </t>
  </si>
  <si>
    <t>13th Gen Intel(R) Core(TM) i7-1355U (1.70 GHz)</t>
  </si>
  <si>
    <t>Used by Suparno</t>
  </si>
  <si>
    <t>Dell Latitude 5450</t>
  </si>
  <si>
    <t>J9BLPB4</t>
  </si>
  <si>
    <t>Latitude 5450</t>
  </si>
  <si>
    <t>PBNBIT-ITSTAFF</t>
  </si>
  <si>
    <t>PNKPT-WGD79-2DR6G-KXTTH-X77J6</t>
  </si>
  <si>
    <t>C4-0F-08-73-C0-94</t>
  </si>
  <si>
    <t>C0-47-0E-47-7C-44</t>
  </si>
  <si>
    <t>Ultra 5 135H</t>
  </si>
  <si>
    <t>Intel(R) Core(TM) Ultra 5 135H   1.70 GHz</t>
  </si>
  <si>
    <t>PSI</t>
  </si>
  <si>
    <t>Used by IT Staff; Ex. Dedy Saputra</t>
  </si>
  <si>
    <t>8CC6090X4Z</t>
  </si>
  <si>
    <t>PBPCHS-GATEIN</t>
  </si>
  <si>
    <t>EC-3A-56-78-1A-A6</t>
  </si>
  <si>
    <t>B4-E2-5B-77-5C-9C</t>
  </si>
  <si>
    <t xml:space="preserve"> i7-14700T</t>
  </si>
  <si>
    <t>Intel(R) Core(TM) i7-14700T (1.30 GHz)</t>
  </si>
  <si>
    <t>Lost</t>
  </si>
  <si>
    <t>Lost mini-PC in Customs Gate-In</t>
  </si>
  <si>
    <t>8CC6090X52</t>
  </si>
  <si>
    <t>PBPCIT-SPARE</t>
  </si>
  <si>
    <t>KBPJ3-NQXCH-98TJR-VFC3Q-63B6G</t>
  </si>
  <si>
    <t>10.90.10.18</t>
  </si>
  <si>
    <t>EC-3A-56-78-1B-F0</t>
  </si>
  <si>
    <t>00-09-0F-FE-00-01</t>
  </si>
  <si>
    <t>Exchange from PBPCHS-GATEOUT; Used by IT Staff</t>
  </si>
  <si>
    <t>Security Pos 1</t>
  </si>
  <si>
    <t>Mini PC Dell Pro Micro QCM1250</t>
  </si>
  <si>
    <t>BMYZHC4</t>
  </si>
  <si>
    <t>PBPCHS-SECURITY</t>
  </si>
  <si>
    <t>JBGNK-4DJG6-MR49Y-44PPC-FX9CT</t>
  </si>
  <si>
    <t>192.168.8.33</t>
  </si>
  <si>
    <t>C0-A8-10-21-0D-27</t>
  </si>
  <si>
    <t>FC-4C-EA-11-2B-52</t>
  </si>
  <si>
    <t>Samsung Galaxy A36 5G</t>
  </si>
  <si>
    <t>SMARTPHONE</t>
  </si>
  <si>
    <t>RRCY3086CBJ</t>
  </si>
  <si>
    <t>Galaxy A36 5G</t>
  </si>
  <si>
    <t>PBHPIT-ILCHAM</t>
  </si>
  <si>
    <t>One UI 7 Android</t>
  </si>
  <si>
    <t>Octa-Core</t>
  </si>
  <si>
    <t>Snapdragon 6 Gen3 (4nm Octa-core)</t>
  </si>
  <si>
    <t>Onboard</t>
  </si>
  <si>
    <t xml:space="preserve">Snapdragon 6 Gen 3 </t>
  </si>
  <si>
    <t>FHD+ Super AMOLED 120Hz</t>
  </si>
  <si>
    <t>AMOLED</t>
  </si>
  <si>
    <t>6,7 inci</t>
  </si>
  <si>
    <t>PBTBOP-SOEHARDONO</t>
  </si>
  <si>
    <t>Samsung Galaxy A32 4G</t>
  </si>
  <si>
    <t>Galaxy A32 4G</t>
  </si>
  <si>
    <t>PBHPOP-CALL CENTER OPRATIONAL</t>
  </si>
  <si>
    <t>MediaTek Helio G80 (12 nm)</t>
  </si>
  <si>
    <t>Helio G80</t>
  </si>
  <si>
    <t>Full HD+, refresh rate 90 Hz</t>
  </si>
  <si>
    <t>6,6"</t>
  </si>
  <si>
    <t>Dell Pro 14 Latitude 3450</t>
  </si>
  <si>
    <t>3GKWB94</t>
  </si>
  <si>
    <t>Pro 14 Latitude 3450</t>
  </si>
  <si>
    <t>PBNBEQ-RIJALI</t>
  </si>
  <si>
    <t>Q9TXN-XH8WH-H33RH-QKHMP-W2QW6</t>
  </si>
  <si>
    <t xml:space="preserve"> 28-95-29-43-C0-6A</t>
  </si>
  <si>
    <t>C4-D6-D3-81-62-F9</t>
  </si>
  <si>
    <t xml:space="preserve"> i7-1355U</t>
  </si>
  <si>
    <t>13th GEN INTEL(R) CORE(TM) I7-1355U 1.7GHz</t>
  </si>
  <si>
    <t>Ex. Ilham</t>
  </si>
  <si>
    <t>Lenovo IdeaCentre AIO 24IRH9</t>
  </si>
  <si>
    <t>MP2A9719</t>
  </si>
  <si>
    <t>IdeaCentre AIO 24IRH9</t>
  </si>
  <si>
    <t>PBPCHS-HSSE2</t>
  </si>
  <si>
    <t>Q28HQ-XPND7-BCVHW-RRJ76-XQB6Q</t>
  </si>
  <si>
    <t>192.168.137.211</t>
  </si>
  <si>
    <t>70-08-94-41-A9-F7</t>
  </si>
  <si>
    <t>40-C2-BA-6F-6E-9A</t>
  </si>
  <si>
    <t>i5-13420H</t>
  </si>
  <si>
    <t>13th Gen Intel(R) Core(TM) i5-13420H (2.10 GHz)</t>
  </si>
  <si>
    <t>Exchange from PBNBIT-ITSTAFF; ex. Bahtiar currently used by HSE Staff</t>
  </si>
  <si>
    <t>RRGL603RWAT</t>
  </si>
  <si>
    <t>PBTBIS-REEFER01</t>
  </si>
  <si>
    <t>10.90.10.231</t>
  </si>
  <si>
    <t>08:10:93:E7:57:CB</t>
  </si>
  <si>
    <t>RRGL603SHLN</t>
  </si>
  <si>
    <t>PBTBIS-REEFER03</t>
  </si>
  <si>
    <t>10.90.10.230</t>
  </si>
  <si>
    <t>08:10:93:E7:5D:49</t>
  </si>
  <si>
    <t>Use For RS103</t>
  </si>
  <si>
    <t>RRGL603SJAW</t>
  </si>
  <si>
    <t>PBTBIS-REEFER02</t>
  </si>
  <si>
    <t>10.90.10.229</t>
  </si>
  <si>
    <t>08:10:93:E7:5D:77</t>
  </si>
  <si>
    <t>Use For ECH 103</t>
  </si>
  <si>
    <t>CNWS20057U00LM/HZM0JC4</t>
  </si>
  <si>
    <t>PBPCHL-Helpdesk</t>
  </si>
  <si>
    <t>8GFXY-NRHX2-DQX33-V7MY8-JFHJ6</t>
  </si>
  <si>
    <t>192.168.101.185</t>
  </si>
  <si>
    <t>C0-A8-10-30-7B-77</t>
  </si>
  <si>
    <t>FC-4C-EA-10-F2-FC</t>
  </si>
  <si>
    <t>PC HALOTEC</t>
  </si>
  <si>
    <t>Dell Alienware 16 Aurora AC16250</t>
  </si>
  <si>
    <t>8HB54C4</t>
  </si>
  <si>
    <t>Aurora AC16250</t>
  </si>
  <si>
    <t>PBNBIS-HANGGA</t>
  </si>
  <si>
    <t>7YXN8-YBW8B-8CQQ4-F4263-VXMP2</t>
  </si>
  <si>
    <t>D4-A2-CD-F0-91-C2</t>
  </si>
  <si>
    <t>Intel® Core™ 7 (Series 2) 240H</t>
  </si>
  <si>
    <t>Intel® Core™ 7 Processor (Series 2) 240H (24MB cache, 10 cores, 1.80 to 5.20 GHz P-Core)</t>
  </si>
  <si>
    <t>NVIDIA® GeForce RTX™ 5060, 8 GB GDDR7</t>
  </si>
  <si>
    <t>M.2 PCIe NVMe</t>
  </si>
  <si>
    <t>M.2, PCIe NVMe</t>
  </si>
  <si>
    <t>WQXGA, 120Hz, 300 nits, 100% sRGB, ComfortView Plus</t>
  </si>
  <si>
    <t>16"</t>
  </si>
  <si>
    <t>7L5QBC4</t>
  </si>
  <si>
    <t>PBNBME-DEDY</t>
  </si>
  <si>
    <t>ADAPTOR : LA180PM180 + BAGPACK (PAK DEDY )</t>
  </si>
  <si>
    <t>48WXFC4</t>
  </si>
  <si>
    <t>PBNBME-ILHAM</t>
  </si>
  <si>
    <t>ADAPTOR : LA180PM180 + BAGPACK (PAK ILHAM )</t>
  </si>
  <si>
    <t>RRGL603SJTB</t>
  </si>
  <si>
    <t>PBTBIT-ITCENTRE</t>
  </si>
  <si>
    <t>10.90.10.2</t>
  </si>
  <si>
    <t>08:10:93:E7:5D:99</t>
  </si>
  <si>
    <t>IT CENTRE</t>
  </si>
  <si>
    <t>RRCYA04P1WP</t>
  </si>
  <si>
    <t>PBHPCO-CUSTOMER</t>
  </si>
  <si>
    <t>10.67.93.42</t>
  </si>
  <si>
    <t>08-10-93-3D-CF-15</t>
  </si>
  <si>
    <t>Comersial - Loket</t>
  </si>
  <si>
    <t>RRGYC03G5QR</t>
  </si>
  <si>
    <t>PBTBOP-YOS1</t>
  </si>
  <si>
    <t>RRGYC09N65W</t>
  </si>
  <si>
    <t>PBTBOP-ECH102</t>
  </si>
  <si>
    <t>10.90.10.225</t>
  </si>
  <si>
    <t>08:10:93:69:E9:A5</t>
  </si>
  <si>
    <t>To be use by ECH 102 operators</t>
  </si>
  <si>
    <t>Office B PGT</t>
  </si>
  <si>
    <t>PBTBOP-ENCEP</t>
  </si>
  <si>
    <t>RRGL603S22R</t>
  </si>
  <si>
    <t>PBTBIS-ILHAM</t>
  </si>
  <si>
    <t>10.90.10.250</t>
  </si>
  <si>
    <t>08:10:93:E7:59:47</t>
  </si>
  <si>
    <t>In used by Ilham Adi</t>
  </si>
  <si>
    <t>Jakarta</t>
  </si>
  <si>
    <t>Senayan Office</t>
  </si>
  <si>
    <t>PSI-PGT/0805</t>
  </si>
  <si>
    <t>In used by Allya Arrahim</t>
  </si>
  <si>
    <t>PSI-PGT/0845</t>
  </si>
  <si>
    <t>In used by Zinedinne Rolamallah</t>
  </si>
  <si>
    <t>PSI-PGT/0952</t>
  </si>
  <si>
    <t xml:space="preserve">ex. Quentin Bonny </t>
  </si>
  <si>
    <t>In used by Encep; ex. Desy</t>
  </si>
  <si>
    <t>PSI-PGT/0745</t>
  </si>
  <si>
    <t>In used by Adriyan</t>
  </si>
  <si>
    <t>In used by Operation Staff</t>
  </si>
  <si>
    <t>In used by Anggi - HSSE</t>
  </si>
  <si>
    <t>Asset ( Category 2 - Display )</t>
  </si>
  <si>
    <t>Connectivity / Port (1/2/3)</t>
  </si>
  <si>
    <t>S/N Unit</t>
  </si>
  <si>
    <t>Resolution</t>
  </si>
  <si>
    <t>Panel Size</t>
  </si>
  <si>
    <t>VGA</t>
  </si>
  <si>
    <t>HDMI</t>
  </si>
  <si>
    <t>LAN</t>
  </si>
  <si>
    <t>WIFI</t>
  </si>
  <si>
    <t>USB</t>
  </si>
  <si>
    <t>Notes</t>
  </si>
  <si>
    <t>PO-0001</t>
  </si>
  <si>
    <t>TV</t>
  </si>
  <si>
    <t>PBTVIT-KSOP</t>
  </si>
  <si>
    <t>SMART TV SAMSUNG 50 INCH</t>
  </si>
  <si>
    <t>TV 50" SET</t>
  </si>
  <si>
    <t>0ZMW3NFY409326A</t>
  </si>
  <si>
    <t>UA50U8000FK</t>
  </si>
  <si>
    <t>Exchange from Enggineer Room</t>
  </si>
  <si>
    <t>PBTVIT-CUSTMS</t>
  </si>
  <si>
    <t>SMART TV SAMSUNG 55 INCH</t>
  </si>
  <si>
    <t>TV 55" SET</t>
  </si>
  <si>
    <t>0TSV3NDX900291Z</t>
  </si>
  <si>
    <t>UA55DU8000K</t>
  </si>
  <si>
    <t>Exchange from Operations Room</t>
  </si>
  <si>
    <t>PBTVIT-GEDUNGB</t>
  </si>
  <si>
    <t>501INCN6C763</t>
  </si>
  <si>
    <t>55UT8050PSB</t>
  </si>
  <si>
    <t>55UT8050</t>
  </si>
  <si>
    <t>4K Ultra HD (3.840 x 2.160 piksel)</t>
  </si>
  <si>
    <t>Exchange from Customs Office</t>
  </si>
  <si>
    <t>PBTVIT-HSE</t>
  </si>
  <si>
    <t>0ZMW3NFY405632J</t>
  </si>
  <si>
    <t>Exchange from Building B</t>
  </si>
  <si>
    <t>PO-0002</t>
  </si>
  <si>
    <t>Monitor</t>
  </si>
  <si>
    <t>SAMSUNG MONITOR 27 INCH</t>
  </si>
  <si>
    <t>MONITOR 27"</t>
  </si>
  <si>
    <t>0XRKHNAYB00221H</t>
  </si>
  <si>
    <t>S27F320GAE</t>
  </si>
  <si>
    <t>Monitor for asset 2609101005</t>
  </si>
  <si>
    <t>0XRKHNAL100050W</t>
  </si>
  <si>
    <t>Monitor for asset 2609101002</t>
  </si>
  <si>
    <t>0XRKHNCL200077A</t>
  </si>
  <si>
    <t>Monitor for asset 2609101003</t>
  </si>
  <si>
    <t>0XRKHNAYB00199A</t>
  </si>
  <si>
    <t>Monitor for asset 2609101004</t>
  </si>
  <si>
    <t>PBTVIT-ENGINEER</t>
  </si>
  <si>
    <t>SMART TV SAMSUNG 65 INCH</t>
  </si>
  <si>
    <t>TV 65" SET</t>
  </si>
  <si>
    <t>140S3NGL800300Z</t>
  </si>
  <si>
    <t>UA65U8500HKXXD</t>
  </si>
  <si>
    <t>UA65U8500</t>
  </si>
  <si>
    <t>65"</t>
  </si>
  <si>
    <t>SAMSUNG MONITOR CURVED 32 INCH</t>
  </si>
  <si>
    <t>C.MONITOR 32"</t>
  </si>
  <si>
    <t>6RLFHBAY300399B</t>
  </si>
  <si>
    <t>S32D396GAE</t>
  </si>
  <si>
    <t>S32D396GA</t>
  </si>
  <si>
    <t>VA FHD 16:9 (1,920 x 1,080) 95% SRGB</t>
  </si>
  <si>
    <t>DELL MONITOR 27 INCH</t>
  </si>
  <si>
    <t>PBPCBC-GATEIN</t>
  </si>
  <si>
    <t>HP MONITOR 27 INCH</t>
  </si>
  <si>
    <t>HSD-0189-V</t>
  </si>
  <si>
    <t>HSD-0189</t>
  </si>
  <si>
    <t>Full HD (1920 x 1080 piksel)</t>
  </si>
  <si>
    <t>PBPCIT-ASSET</t>
  </si>
  <si>
    <t>LENOVO MONITOR 27 INCH</t>
  </si>
  <si>
    <t>1S67DEKAC1WWUT100LDA</t>
  </si>
  <si>
    <t>UT100LDA</t>
  </si>
  <si>
    <t>L27-4C</t>
  </si>
  <si>
    <t>FHD 144Hz - 99% sRGB - 1500:1</t>
  </si>
  <si>
    <t>Paulus desk</t>
  </si>
  <si>
    <t>PBTVIT-OPERATIONS</t>
  </si>
  <si>
    <t>140S3NGL80030DH</t>
  </si>
  <si>
    <t>PBPCIT-HALOTEC</t>
  </si>
  <si>
    <t>MONITOR 32" C</t>
  </si>
  <si>
    <t>6RLFHBAY300376K</t>
  </si>
  <si>
    <t>PBPCLT-LOCKET</t>
  </si>
  <si>
    <t>6RLFHBAY300394R</t>
  </si>
  <si>
    <t>PC LOKET</t>
  </si>
  <si>
    <t>6RLFHBAY300395K</t>
  </si>
  <si>
    <t>PC GATEIN</t>
  </si>
  <si>
    <t>PBPCOP-SHIPLAN</t>
  </si>
  <si>
    <t>6RLFHBAY300381R</t>
  </si>
  <si>
    <t>PBPCOP-YARDPLAN</t>
  </si>
  <si>
    <t>6RLFHBAY300396T</t>
  </si>
  <si>
    <t>Projector</t>
  </si>
  <si>
    <t>PBPJIT-ASSET</t>
  </si>
  <si>
    <t>EPSON LCD Projector EB-FH54</t>
  </si>
  <si>
    <t>PROJECTOR</t>
  </si>
  <si>
    <t>XDAUA5Z00486</t>
  </si>
  <si>
    <t>HB59C</t>
  </si>
  <si>
    <t>Projector Multimedia</t>
  </si>
  <si>
    <t xml:space="preserve">Full HD 16:9 (1920 x 1080 piksel x3) </t>
  </si>
  <si>
    <t>304”</t>
  </si>
  <si>
    <t>Asset IT</t>
  </si>
  <si>
    <t>PC LABOUR1</t>
  </si>
  <si>
    <t>Asset ( Category 3 - Network Device )</t>
  </si>
  <si>
    <t>System Info</t>
  </si>
  <si>
    <t>Network &amp; Access</t>
  </si>
  <si>
    <t>Port Interface</t>
  </si>
  <si>
    <t>Model / Detil Spc.</t>
  </si>
  <si>
    <t>Firmware</t>
  </si>
  <si>
    <t>Firmware Version</t>
  </si>
  <si>
    <t>Credential - Username</t>
  </si>
  <si>
    <t>Credential - Password</t>
  </si>
  <si>
    <t>Connection Type</t>
  </si>
  <si>
    <t>Protocol / Stream URL</t>
  </si>
  <si>
    <t>RJ45 Port</t>
  </si>
  <si>
    <t>SFP+ Slot</t>
  </si>
  <si>
    <t>Console Port</t>
  </si>
  <si>
    <t>Power Port</t>
  </si>
  <si>
    <t>NOTE</t>
  </si>
  <si>
    <t>02-SI/AID-HI/WP.7A/XII-25</t>
  </si>
  <si>
    <t>Server Autogate</t>
  </si>
  <si>
    <t>Network Device</t>
  </si>
  <si>
    <t>Firewall</t>
  </si>
  <si>
    <t>Firewall Fortinet v7.4.11</t>
  </si>
  <si>
    <t>v7.4.11</t>
  </si>
  <si>
    <t>FGT91GTK25001977</t>
  </si>
  <si>
    <t>Fortinet</t>
  </si>
  <si>
    <t>FortiGate 91G</t>
  </si>
  <si>
    <t>FortiGatePGT-91G</t>
  </si>
  <si>
    <t>FortiGate</t>
  </si>
  <si>
    <t>FortiOS</t>
  </si>
  <si>
    <t>Halotec</t>
  </si>
  <si>
    <t>halotec2026</t>
  </si>
  <si>
    <t>172.20.88.101</t>
  </si>
  <si>
    <t>48:3a:02:a3:a4:ae</t>
  </si>
  <si>
    <t>https://172.20.88.101/</t>
  </si>
  <si>
    <t>120GB</t>
  </si>
  <si>
    <t>HALOTEC</t>
  </si>
  <si>
    <t>SR.25.11.013/XI/2025/PGT/PKS/HI</t>
  </si>
  <si>
    <t>Switch</t>
  </si>
  <si>
    <t>Switch Distribution 24 Port</t>
  </si>
  <si>
    <t>C1300-24T-4G</t>
  </si>
  <si>
    <t>DNI292104YM</t>
  </si>
  <si>
    <t>CISCO</t>
  </si>
  <si>
    <t>24P-4G V01</t>
  </si>
  <si>
    <t>Catalyst 1300 Series Managed Switch, 24-port GE, PoE, 4x1G SFP (C1300-24P-4G)</t>
  </si>
  <si>
    <t>SW-DST-SERVER</t>
  </si>
  <si>
    <t xml:space="preserve">	4.1.3.36</t>
  </si>
  <si>
    <t>admin</t>
  </si>
  <si>
    <t>Halotec100$$</t>
  </si>
  <si>
    <t>192.168.102.101</t>
  </si>
  <si>
    <t xml:space="preserve">	f4:74:70:3b:f7:d9</t>
  </si>
  <si>
    <t>https://192.168.102.101/</t>
  </si>
  <si>
    <t>Gate IN Area</t>
  </si>
  <si>
    <t>Switch Client Distribution 24 Port</t>
  </si>
  <si>
    <t>DNI273804GU</t>
  </si>
  <si>
    <t>24P-4G</t>
  </si>
  <si>
    <t>Catalyst 1300 Series Managed Switch, 24-port GE, 4x1G SFP (C1300-24T-4G)</t>
  </si>
  <si>
    <t>SW-DST-Gate-In-ocr</t>
  </si>
  <si>
    <t>4.0.0.93</t>
  </si>
  <si>
    <t>192.168.100.251</t>
  </si>
  <si>
    <t>84:5a:3e:87:cc:db</t>
  </si>
  <si>
    <t>https://192.168.100.251/</t>
  </si>
  <si>
    <t>Gate OUT Area</t>
  </si>
  <si>
    <t>DNI273804GD</t>
  </si>
  <si>
    <t>192.168.101.252</t>
  </si>
  <si>
    <t>84:5a:3e:87:cb:28</t>
  </si>
  <si>
    <t>https://192.168.101.252/</t>
  </si>
  <si>
    <t>Switch Client Distribution 8 Port</t>
  </si>
  <si>
    <t>C1300-8P-E-2G</t>
  </si>
  <si>
    <t>PVN29271F1G</t>
  </si>
  <si>
    <t>8P-E-2G</t>
  </si>
  <si>
    <t>Catalyst 1300 Series Managed Switch, 8-port GE, PoE, Ext PS, 2x1G Combo (C1300-8P-E-2G)</t>
  </si>
  <si>
    <t>SW-Auto-Gate-IN</t>
  </si>
  <si>
    <t>4.1.3.36</t>
  </si>
  <si>
    <t>192.168.100.102</t>
  </si>
  <si>
    <t>30:01:af:84:58:8c</t>
  </si>
  <si>
    <t>https://192.168.100.102/</t>
  </si>
  <si>
    <t>Weighbridge IN</t>
  </si>
  <si>
    <t>PVN29271F6R</t>
  </si>
  <si>
    <t>SW-Gate-IN-2</t>
  </si>
  <si>
    <t>192.168.100.103</t>
  </si>
  <si>
    <t>30:01:af:84:64:6f</t>
  </si>
  <si>
    <t>https://192.168.101.103/</t>
  </si>
  <si>
    <t>Gate IN 2</t>
  </si>
  <si>
    <t>PVN29271GP6</t>
  </si>
  <si>
    <t>SW-AUTO-GATE-OUT1</t>
  </si>
  <si>
    <t>192.168.101.102</t>
  </si>
  <si>
    <t>30:01:af:85:0a:8a</t>
  </si>
  <si>
    <t>https://192.168.101.102/</t>
  </si>
  <si>
    <t>Weighbridge Out</t>
  </si>
  <si>
    <t>PVN29271EY3</t>
  </si>
  <si>
    <t>SW-Auto-Gate-2</t>
  </si>
  <si>
    <t>192.168.101.103</t>
  </si>
  <si>
    <t>30:01:af:84:50:6b</t>
  </si>
  <si>
    <t>Gate OUT 2</t>
  </si>
  <si>
    <t>Asset ( Category 4 - Peripheral )</t>
  </si>
  <si>
    <t>Room</t>
  </si>
  <si>
    <t>Mac Address</t>
  </si>
  <si>
    <t>Capacity</t>
  </si>
  <si>
    <t>BT/Wireless</t>
  </si>
  <si>
    <t>Authority Supp. - Customs</t>
  </si>
  <si>
    <t>Peripheral</t>
  </si>
  <si>
    <t>MK SET</t>
  </si>
  <si>
    <t>Keyboard + Mouse Wireless MK270</t>
  </si>
  <si>
    <t>2610TVZ373S9</t>
  </si>
  <si>
    <t>Logitech</t>
  </si>
  <si>
    <t>Wireless</t>
  </si>
  <si>
    <t>Wireless MK270</t>
  </si>
  <si>
    <t>Authority Supp. - KSOP</t>
  </si>
  <si>
    <t>2610TVZ373S8</t>
  </si>
  <si>
    <t>Printer</t>
  </si>
  <si>
    <t>Printer Epson Eco Tank L15180</t>
  </si>
  <si>
    <t>Printer A3</t>
  </si>
  <si>
    <t>X9DT004266</t>
  </si>
  <si>
    <t>EPSON</t>
  </si>
  <si>
    <t>Inkjet</t>
  </si>
  <si>
    <t>Eco Tank L15180</t>
  </si>
  <si>
    <t>PBPTIT-ENGINEER</t>
  </si>
  <si>
    <t>DC:CD:2F:8B:AB:74</t>
  </si>
  <si>
    <t>10.90.10.164</t>
  </si>
  <si>
    <t>A3 Paper Max</t>
  </si>
  <si>
    <t>Shared usage in Labour Room</t>
  </si>
  <si>
    <t>Printer Epson Eco Tank L5290</t>
  </si>
  <si>
    <t>Printer A4</t>
  </si>
  <si>
    <t>X8H4180703</t>
  </si>
  <si>
    <t>Epson L5290</t>
  </si>
  <si>
    <t>PBPTIT-LABOUR</t>
  </si>
  <si>
    <t>A4 Paper Max</t>
  </si>
  <si>
    <t>Ex. Engineer Room; Shared usage in Labour Room</t>
  </si>
  <si>
    <t>Mouse + Keyboard HP SET</t>
  </si>
  <si>
    <t>MK SET WIRE</t>
  </si>
  <si>
    <t>BUCCA0EUEM067Y | FUDLL0AQWLT2EG</t>
  </si>
  <si>
    <t>HP Inc</t>
  </si>
  <si>
    <t>Wire</t>
  </si>
  <si>
    <t>HP 125WK</t>
  </si>
  <si>
    <t>Customs Gate-In Room</t>
  </si>
  <si>
    <t>Customs Gate-Out Room</t>
  </si>
  <si>
    <t>9CP602QR42</t>
  </si>
  <si>
    <t>9CP602QR0Y | FUDLL0AQWLT210</t>
  </si>
  <si>
    <t>ASSET</t>
  </si>
  <si>
    <t>BUCCA0EUEM0672 | FUDLL0AQWLT2EG</t>
  </si>
  <si>
    <t>Peripheral allocation for asset 2609101004</t>
  </si>
  <si>
    <t>9CP602QQZK</t>
  </si>
  <si>
    <t>Peripheral allocation for asset 2609101002</t>
  </si>
  <si>
    <t>UPS</t>
  </si>
  <si>
    <t>UPS APC BVG700I-GR</t>
  </si>
  <si>
    <t>UPS APC</t>
  </si>
  <si>
    <t>9B2552A03931</t>
  </si>
  <si>
    <t>Schneider</t>
  </si>
  <si>
    <t>700VA</t>
  </si>
  <si>
    <t>Easy-UPS 700VA</t>
  </si>
  <si>
    <t>Headphone</t>
  </si>
  <si>
    <t>USB Heaset Stereo H570E Logitech</t>
  </si>
  <si>
    <t>Headset USB</t>
  </si>
  <si>
    <t>2543MEY2ECC9</t>
  </si>
  <si>
    <t>USB Connection</t>
  </si>
  <si>
    <t>H570E STEREO</t>
  </si>
  <si>
    <t>Pak Dedi</t>
  </si>
  <si>
    <t>2542MEQ1T0F8</t>
  </si>
  <si>
    <t>Pak Ilham</t>
  </si>
  <si>
    <t>2543MEL2ECD9</t>
  </si>
  <si>
    <t>Pak Suhardono</t>
  </si>
  <si>
    <t xml:space="preserve">IT Stock </t>
  </si>
  <si>
    <t>2542MEA1T0N9</t>
  </si>
  <si>
    <t>Speaker</t>
  </si>
  <si>
    <t>Jabra Speak2 55 MS Teams</t>
  </si>
  <si>
    <t>Jabra MS Teams</t>
  </si>
  <si>
    <t>00088215877</t>
  </si>
  <si>
    <t>Jabra GN</t>
  </si>
  <si>
    <t>Multi Connections</t>
  </si>
  <si>
    <t>PHS080W</t>
  </si>
  <si>
    <t>12 Hour</t>
  </si>
  <si>
    <t>2543MEM2EC58</t>
  </si>
  <si>
    <t>Pak Quentin</t>
  </si>
  <si>
    <t>2543ME62ECJ8</t>
  </si>
  <si>
    <t>Pak Ilcham</t>
  </si>
  <si>
    <t>2538MEU3B7J8</t>
  </si>
  <si>
    <t>HSSE Room</t>
  </si>
  <si>
    <t>2538MEV3B888</t>
  </si>
  <si>
    <t>Pak Bahtiar</t>
  </si>
  <si>
    <t>2404ME01H6W8</t>
  </si>
  <si>
    <t>Pak Angghi</t>
  </si>
  <si>
    <t>2543ME52ECN8</t>
  </si>
  <si>
    <t>Pak Encep</t>
  </si>
  <si>
    <t>2538MEZ3B878</t>
  </si>
  <si>
    <t>Muhammad Rijali</t>
  </si>
  <si>
    <t>2542ME21T1Y8</t>
  </si>
  <si>
    <t>Andriansyah</t>
  </si>
  <si>
    <t>2538MEJ3B7X8</t>
  </si>
  <si>
    <t>Mirda Samita</t>
  </si>
  <si>
    <t>Mouse + Keyboard DELL SET</t>
  </si>
  <si>
    <t>Mouse</t>
  </si>
  <si>
    <t>Mouse Logitech M185 Wireless</t>
  </si>
  <si>
    <t>MOUSE</t>
  </si>
  <si>
    <t>2601ZE714V69</t>
  </si>
  <si>
    <t>Wireless M185</t>
  </si>
  <si>
    <t>External Storage</t>
  </si>
  <si>
    <t>Sandisk Ultra Dual Drive Luxe 64GB-400MB/s</t>
  </si>
  <si>
    <t>FD</t>
  </si>
  <si>
    <t>Sandisk</t>
  </si>
  <si>
    <t>Dual Type E &amp; C</t>
  </si>
  <si>
    <t>SDDDC4-064G-G46</t>
  </si>
  <si>
    <t>64 GB</t>
  </si>
  <si>
    <t>400 MB/s</t>
  </si>
  <si>
    <t>2538MEG3B7F8</t>
  </si>
  <si>
    <t>Pak Rama</t>
  </si>
  <si>
    <t>Pak Dedy</t>
  </si>
  <si>
    <t>MK SET HP</t>
  </si>
  <si>
    <t>HSSE</t>
  </si>
  <si>
    <t>Keyboard</t>
  </si>
  <si>
    <t>Keyboard Axioo Wireless</t>
  </si>
  <si>
    <t>KEYBOARD</t>
  </si>
  <si>
    <t>Axioo</t>
  </si>
  <si>
    <t>Axioo WK</t>
  </si>
  <si>
    <t>SET AIO AXIOO</t>
  </si>
  <si>
    <t>Helpdesk Gate-In Room</t>
  </si>
  <si>
    <t>PROLINK PRO1201SFCU</t>
  </si>
  <si>
    <t>UPS 120</t>
  </si>
  <si>
    <t>PROLINK</t>
  </si>
  <si>
    <t>Line Interactive, Capacity 1200VA, Voltage 230VAC, USB, Speed charging</t>
  </si>
  <si>
    <t>1200 VA / 720W</t>
  </si>
  <si>
    <t>CN07W2PJPRC0056J0I6BA00</t>
  </si>
  <si>
    <t>Dell Mouse &amp; Keyboard Wire</t>
  </si>
  <si>
    <t>CN07W2PJPRC0056J0FMAA00</t>
  </si>
  <si>
    <t>CN07W2PJPRC00S6J0EWKA00</t>
  </si>
  <si>
    <t>Jabra Speaker</t>
  </si>
  <si>
    <t>2022DJ15145</t>
  </si>
  <si>
    <t>9B2546A06059</t>
  </si>
  <si>
    <t>PBUPIT-ASSET</t>
  </si>
  <si>
    <t>9B2546A06057</t>
  </si>
  <si>
    <t>9B2546A06105</t>
  </si>
  <si>
    <t>9B2604A04453</t>
  </si>
  <si>
    <t>2610TV8373J9 | 2603AP85UFV8 | 2610TV8373J8</t>
  </si>
  <si>
    <t>2610TVS373R9 | 2603AP75UF88 | 2610TVS373R8</t>
  </si>
  <si>
    <t>2610TVE373U9 | 2603AP85UFA8 | 2610TVE373U8</t>
  </si>
  <si>
    <t>2610TVW373M9 | 2603APY5UFZ8 | 2610TVW373M8</t>
  </si>
  <si>
    <t>Mouse + Keyboard DELL SET WIRE</t>
  </si>
  <si>
    <t>CN07W2PJPRC0055T019ZA00</t>
  </si>
  <si>
    <t>X8H4180722</t>
  </si>
  <si>
    <t>PBPTOP-L5290</t>
  </si>
  <si>
    <t>58-05-D9-2D-78-0B</t>
  </si>
  <si>
    <t>10.90.10.54</t>
  </si>
  <si>
    <t>Operations</t>
  </si>
  <si>
    <t>PC BERTHING</t>
  </si>
  <si>
    <t>PC YARDPLANE</t>
  </si>
  <si>
    <t>PC SHIPPLANE</t>
  </si>
  <si>
    <t>PBPCOP-LABOR1</t>
  </si>
  <si>
    <t>PC LABOR1</t>
  </si>
  <si>
    <t>Asset ( Category 5 - Utilities )</t>
  </si>
  <si>
    <t>PO-000</t>
  </si>
  <si>
    <t>Utilities</t>
  </si>
  <si>
    <t>Bracket TV + Port Electric</t>
  </si>
  <si>
    <t>Bracket Standing / Dorong 2 Tatakan/Shelf untuk TV 40"-80" + Port Electric</t>
  </si>
  <si>
    <t>Bracket Standing SET</t>
  </si>
  <si>
    <t>BERVIN</t>
  </si>
  <si>
    <t>Bracket Standing</t>
  </si>
  <si>
    <t>2 Shaft</t>
  </si>
  <si>
    <t>Large</t>
  </si>
  <si>
    <t>2601105001</t>
  </si>
  <si>
    <t>2601105002</t>
  </si>
  <si>
    <t xml:space="preserve">Network Tools </t>
  </si>
  <si>
    <t>CRIMPING PLIERS</t>
  </si>
  <si>
    <t>Tools SET</t>
  </si>
  <si>
    <t>PENTIENT</t>
  </si>
  <si>
    <t>RJ45+11</t>
  </si>
  <si>
    <t>Pliers</t>
  </si>
  <si>
    <t>Medium</t>
  </si>
  <si>
    <t>2601105003</t>
  </si>
  <si>
    <t>2601105004</t>
  </si>
  <si>
    <t>Bracket Standing / Dorong Tiang Pipa untuk TV 40"-80" + Port Electric</t>
  </si>
  <si>
    <t>NB Ergonomic</t>
  </si>
  <si>
    <t>AVA1500-60-1P</t>
  </si>
  <si>
    <t>2 Pipa</t>
  </si>
  <si>
    <t>2603105001</t>
  </si>
  <si>
    <t>2603105002</t>
  </si>
  <si>
    <t/>
  </si>
  <si>
    <t>Asset ( Category 6 - IoT )</t>
  </si>
  <si>
    <t>Hardware &amp; Power</t>
  </si>
  <si>
    <t>S/N UNIT</t>
  </si>
  <si>
    <t>Power Source</t>
  </si>
  <si>
    <t>IOT</t>
  </si>
  <si>
    <t>AI &amp; Compute</t>
  </si>
  <si>
    <t>SIEMENS SIMATIC IOT2050</t>
  </si>
  <si>
    <t>IOT2050</t>
  </si>
  <si>
    <t>V-T7AOXVA0</t>
  </si>
  <si>
    <t>SIEMENS</t>
  </si>
  <si>
    <t>SIMATIC IOT2050</t>
  </si>
  <si>
    <t>halotec</t>
  </si>
  <si>
    <t>halotec123</t>
  </si>
  <si>
    <t>192.168.100.10</t>
  </si>
  <si>
    <t>Ethernet (LAN)</t>
  </si>
  <si>
    <t>ssh halotec@192.168.100.10</t>
  </si>
  <si>
    <t>MicroSD Capacity</t>
  </si>
  <si>
    <t>Adaptor 24V</t>
  </si>
  <si>
    <t>Use for Controller Gate IN 01 KiosK</t>
  </si>
  <si>
    <t>T7AOXVFK4</t>
  </si>
  <si>
    <t>192.168.100.20</t>
  </si>
  <si>
    <t>4c:e7:05:ee:ed:26</t>
  </si>
  <si>
    <t>ssh halotec@192.168.100.20</t>
  </si>
  <si>
    <t>Use for Controller Gate IN 02 KiosK</t>
  </si>
  <si>
    <t>V-T7AOXVA6</t>
  </si>
  <si>
    <t>192.168.101.10</t>
  </si>
  <si>
    <t>ssh halotec@192.168.101.10</t>
  </si>
  <si>
    <t>Use for Controller Gate OUT 01 KiosK</t>
  </si>
  <si>
    <t>V-T7AOXVB4</t>
  </si>
  <si>
    <t>192.168.101.20</t>
  </si>
  <si>
    <t>4c:e7:05:ef:2a:d8</t>
  </si>
  <si>
    <t>ssh halotec@192.168.101.20</t>
  </si>
  <si>
    <t>Use for Controller Gate OUT 02 KiosK</t>
  </si>
  <si>
    <t>Raspberry Pi</t>
  </si>
  <si>
    <t>IOT Raspi</t>
  </si>
  <si>
    <t>10000000409ff3d8</t>
  </si>
  <si>
    <t>Raspberry Pi 4 Model B Rev 1.5</t>
  </si>
  <si>
    <t>Linux Debian 6.12.62</t>
  </si>
  <si>
    <t>pi</t>
  </si>
  <si>
    <t>halotec100</t>
  </si>
  <si>
    <t>192.168.100.11</t>
  </si>
  <si>
    <t>2c:cf:67:94:eb:5c</t>
  </si>
  <si>
    <t>ssh pi@192.168.100.11</t>
  </si>
  <si>
    <t>Samsung EVO</t>
  </si>
  <si>
    <t xml:space="preserve">Adaptor 5V </t>
  </si>
  <si>
    <t>Use for display Videotron Weighbridge IN</t>
  </si>
  <si>
    <t>1000000067eeb54e</t>
  </si>
  <si>
    <t>192.168.100.21</t>
  </si>
  <si>
    <t>88:a2:9e:4b:96:0e</t>
  </si>
  <si>
    <t>ssh pi@192.168.100.21</t>
  </si>
  <si>
    <t>Use for display Videotron Gate IN KiosK</t>
  </si>
  <si>
    <t>10000000ca55512d</t>
  </si>
  <si>
    <t>192.168.101.11</t>
  </si>
  <si>
    <t>88:a2:9e:4b:95:b1</t>
  </si>
  <si>
    <t>ssh pi@192.168.101.11</t>
  </si>
  <si>
    <t>Use for display Videotron Weighbridge OUT</t>
  </si>
  <si>
    <t>10000000cd6d09a5</t>
  </si>
  <si>
    <t>192.168.101.21</t>
  </si>
  <si>
    <t>2c:cf:67:94:ea:70</t>
  </si>
  <si>
    <t>ssh pi@192.168.101.21</t>
  </si>
  <si>
    <t>Use for display Videotron Gate OUT KiosK</t>
  </si>
  <si>
    <t>Super J4012 Advanced Edge AI Computer with NVIDIA Jetson Orin NX 16GB</t>
  </si>
  <si>
    <t>JETSON IN REAR</t>
  </si>
  <si>
    <t>NVIDIA</t>
  </si>
  <si>
    <t>Jetson Orin NX (ONX)16GB</t>
  </si>
  <si>
    <t>Ubuntu 22.04.5 LTS</t>
  </si>
  <si>
    <t>smartcam</t>
  </si>
  <si>
    <t>HLTC_20@6</t>
  </si>
  <si>
    <t>192.168.100.28</t>
  </si>
  <si>
    <t>4C:BB:47:51:13:64</t>
  </si>
  <si>
    <t>ssh smartcam@192.168.100.28</t>
  </si>
  <si>
    <t>NHESR128GTLEW-I3C-2 (EDFMG1.5)</t>
  </si>
  <si>
    <t>Onboard Flash</t>
  </si>
  <si>
    <t>Adaptor 12V</t>
  </si>
  <si>
    <t>Jetson Gate IN-Rear</t>
  </si>
  <si>
    <t>JETSON IN RIGHT</t>
  </si>
  <si>
    <t>192.168.100.29</t>
  </si>
  <si>
    <t>4c:bb:47:51:15:e4</t>
  </si>
  <si>
    <t>ssh smartcam@192.168.100.29</t>
  </si>
  <si>
    <t>Jetson Gate IN-Right</t>
  </si>
  <si>
    <t>JETSON IN TOP</t>
  </si>
  <si>
    <t>192.168.100.30</t>
  </si>
  <si>
    <t>9c:69:d3:3e:e6:b8</t>
  </si>
  <si>
    <t>ssh smartcam@192.168.100.30</t>
  </si>
  <si>
    <t>Jetson Gate IN-Top</t>
  </si>
  <si>
    <t>192.168.100.31</t>
  </si>
  <si>
    <t>4c:bb:47:51:14:4a</t>
  </si>
  <si>
    <t>ssh smartcam@192.168.100.31</t>
  </si>
  <si>
    <t>Jetson Gate IN-Left</t>
  </si>
  <si>
    <t>4c:bb:47:51:15:d4</t>
  </si>
  <si>
    <t>ssh smartcam@192.168.100.32</t>
  </si>
  <si>
    <t>Jetson Gate IN-Trigger</t>
  </si>
  <si>
    <t>192.168.101.28</t>
  </si>
  <si>
    <t>9c:69:d3:3e:e7:f0</t>
  </si>
  <si>
    <t>Jetson Gate OUT-Rear</t>
  </si>
  <si>
    <t>192.168.101.29</t>
  </si>
  <si>
    <t>4c:bb:47:51:15:de</t>
  </si>
  <si>
    <t>Jetson Gate OUT-Right</t>
  </si>
  <si>
    <t>192.168.101.30</t>
  </si>
  <si>
    <t>4c:bb:47:51:15:ac</t>
  </si>
  <si>
    <t>Jetson Gate OUT-Top</t>
  </si>
  <si>
    <t>192.168.101.31</t>
  </si>
  <si>
    <t>4c:bb:47:51:13:59</t>
  </si>
  <si>
    <t>Jetson Gate OUT-Left</t>
  </si>
  <si>
    <t>192.168.101.32</t>
  </si>
  <si>
    <t>4c:bb:47:51:15:fc</t>
  </si>
  <si>
    <t>Jetson Gate OUT-Trigger</t>
  </si>
  <si>
    <t>Surveillance &amp; Autogate</t>
  </si>
  <si>
    <t>HIKROBOT MV-CL042-91GC 4K Color Line Scan Camera</t>
  </si>
  <si>
    <t>Line Scan CAM</t>
  </si>
  <si>
    <t>DA8542958</t>
  </si>
  <si>
    <t>HIKROBOT</t>
  </si>
  <si>
    <t>HIKROBOT MV-CL042-91GC</t>
  </si>
  <si>
    <t>HIKROBOT V3.4.72</t>
  </si>
  <si>
    <t>192.168.200.29</t>
  </si>
  <si>
    <t>34:BD:20:7A:FE:49</t>
  </si>
  <si>
    <t>PoE (Power over Ethernet)</t>
  </si>
  <si>
    <t>Line Scan CAM Gate IN Right</t>
  </si>
  <si>
    <t>DA8542952</t>
  </si>
  <si>
    <t>192.168.200.31</t>
  </si>
  <si>
    <t>34:BD:20:7A:FE:43</t>
  </si>
  <si>
    <t>Line Scan CAM Gate IN Left</t>
  </si>
  <si>
    <t>DA8542901</t>
  </si>
  <si>
    <t>192.168.200.60</t>
  </si>
  <si>
    <t>34:BD:20:7A:FE:10</t>
  </si>
  <si>
    <t>ssh smartcam@192.168.101.29</t>
  </si>
  <si>
    <t>Line Scan CAM Gate OUT Right</t>
  </si>
  <si>
    <t>DA8542882</t>
  </si>
  <si>
    <t>ssh smartcam@192.168.101.31</t>
  </si>
  <si>
    <t>Line Scan CAM Gate OUT Left</t>
  </si>
  <si>
    <t>HIKVISION 8 MP Dual Light Motion 2.0 Fixed Bullet Network Camera DS-2CD1T83G2-LIUF</t>
  </si>
  <si>
    <t>TRIGGER F CAM</t>
  </si>
  <si>
    <t>LIUF20251017AAWRGH1068282</t>
  </si>
  <si>
    <t>HIKVISION</t>
  </si>
  <si>
    <t>DS-2CD1T83G2-LIUF</t>
  </si>
  <si>
    <t>V5.8.5 build 250714</t>
  </si>
  <si>
    <t>192.168.200.33</t>
  </si>
  <si>
    <t>0c:75:d2:c3:a1:f9</t>
  </si>
  <si>
    <t>http://192.168.100.32:1001/</t>
  </si>
  <si>
    <t>Trigger CAM Gate IN Front</t>
  </si>
  <si>
    <t>TRIGGER R CAM</t>
  </si>
  <si>
    <t>LIUF20251017AAWRGH1068348</t>
  </si>
  <si>
    <t>192.168.200.34</t>
  </si>
  <si>
    <t>0c:75:d2:c3:a2:3b</t>
  </si>
  <si>
    <t>http://192.168.100.32:1002/</t>
  </si>
  <si>
    <t>Trigger CAM Gate IN Back</t>
  </si>
  <si>
    <t>OCR R CAM</t>
  </si>
  <si>
    <t>LIUF20251017AAWRGH1068350</t>
  </si>
  <si>
    <t>192.168.200.35</t>
  </si>
  <si>
    <t>0c:75:d2:c3:a2:3d</t>
  </si>
  <si>
    <t>http://192.168.100.28:1001/</t>
  </si>
  <si>
    <t>OCR CAM Gate IN Rear Door</t>
  </si>
  <si>
    <t>HIKVISION 8MP AcuSense Strobe Light and Audible Warning Motorized Varifocal Bullet Network Camera</t>
  </si>
  <si>
    <t>IZS2U/SL20241009AAWRFQ6369162</t>
  </si>
  <si>
    <t>DS-2CD2686G2HT-IZS2U/SL</t>
  </si>
  <si>
    <t>V5.7.18 build 240826</t>
  </si>
  <si>
    <t>192.168.200.36</t>
  </si>
  <si>
    <t>24:48:45:70:d6:ad</t>
  </si>
  <si>
    <t>http://192.168.100.28:1002/</t>
  </si>
  <si>
    <t>OCR CAM Gate IN Rear Seal</t>
  </si>
  <si>
    <t>OCR T CAM</t>
  </si>
  <si>
    <t>IZS2U/SL20241009AAWRFQ6369141</t>
  </si>
  <si>
    <t>192.168.200.30</t>
  </si>
  <si>
    <t>24:48:45:70:d6:98</t>
  </si>
  <si>
    <t>http://192.168.100.30:1001/</t>
  </si>
  <si>
    <t>OCR CAM Gate IN Top</t>
  </si>
  <si>
    <t>GATE T CAM</t>
  </si>
  <si>
    <t>IZS2U/SL20241009AAWRFQ6369158</t>
  </si>
  <si>
    <t>Halotec100</t>
  </si>
  <si>
    <t>192.168.100.23</t>
  </si>
  <si>
    <t>24:48:45:70:d6:a9</t>
  </si>
  <si>
    <t>http://192.168.100.23</t>
  </si>
  <si>
    <t>GATE CAM IN Truck</t>
  </si>
  <si>
    <t>DAHUA 2 MP Entry IR Fixed-focal Bullet Network Camera</t>
  </si>
  <si>
    <t>GATE D CAM</t>
  </si>
  <si>
    <t>AE03D74PAG8EAF2</t>
  </si>
  <si>
    <t>DAHUATECH</t>
  </si>
  <si>
    <t>DH-IPC-HFW1230S1-A-S5</t>
  </si>
  <si>
    <t>V2.800.0000000.12.R, 2024-03-22</t>
  </si>
  <si>
    <t>192.168.100.24</t>
  </si>
  <si>
    <t>d4:43:0e:f9:93:b4</t>
  </si>
  <si>
    <t>http://192.168.100.24</t>
  </si>
  <si>
    <t>GATE CAM IN DRIVE</t>
  </si>
  <si>
    <t>LIUF20251009AAWRGG5647378</t>
  </si>
  <si>
    <t>192.168.200.64</t>
  </si>
  <si>
    <t>0c:75:d2:a6:d7:f8</t>
  </si>
  <si>
    <t>http://192.168.101.32:1001/</t>
  </si>
  <si>
    <t>Trigger CAM Gate OUT Front</t>
  </si>
  <si>
    <t>LIUF20251009AAWRGG5647439</t>
  </si>
  <si>
    <t>192.168.200.65</t>
  </si>
  <si>
    <t>0c:75:d2:a6:d8:35</t>
  </si>
  <si>
    <t>http://192.168.101.32:1002/</t>
  </si>
  <si>
    <t>Trigger CAM Gate OUT Back</t>
  </si>
  <si>
    <t>LIUF20251017AAWRGH1068357</t>
  </si>
  <si>
    <t>192.168.200.66</t>
  </si>
  <si>
    <t>0c:75:d2:c3:a2:44</t>
  </si>
  <si>
    <t>http://192.168.101.28:1001/</t>
  </si>
  <si>
    <t>OCR CAM Gate OUT Rear Door</t>
  </si>
  <si>
    <t>IZS2U/SL20241009AAWRFQ6369149</t>
  </si>
  <si>
    <t>192.168.200.67</t>
  </si>
  <si>
    <t>24:48:45:70:d6:a0</t>
  </si>
  <si>
    <t>http://192.168.101.28:1002/</t>
  </si>
  <si>
    <t>OCR CAM Gate OUT Rear Seal</t>
  </si>
  <si>
    <t>IZS2U/SL20241009AAWRFQ6369154</t>
  </si>
  <si>
    <t>192.168.200.61</t>
  </si>
  <si>
    <t>24:48:45:70:d6:a5</t>
  </si>
  <si>
    <t>http://192.168.101.30:1001/</t>
  </si>
  <si>
    <t>OCR CAM Gate OUT Top</t>
  </si>
  <si>
    <t>IZS2U/SL20241009AAWRFQ6369136</t>
  </si>
  <si>
    <t>192.168.101.23</t>
  </si>
  <si>
    <t>24:48:45:70:d6:93</t>
  </si>
  <si>
    <t>http://192.168.101.23</t>
  </si>
  <si>
    <t>GATE CAM OUT Truck</t>
  </si>
  <si>
    <t>AE03D74PAG3FBCB</t>
  </si>
  <si>
    <t>192.168.101.24</t>
  </si>
  <si>
    <t>d4:43:0e:f9:93:3f</t>
  </si>
  <si>
    <t>http://192.168.101.24</t>
  </si>
  <si>
    <t>GATE CAM OUT DRIVE</t>
  </si>
  <si>
    <t>Server</t>
  </si>
  <si>
    <t>Dell PowerEdge R760XS</t>
  </si>
  <si>
    <t>SERVER APP</t>
  </si>
  <si>
    <t>35F5KB4</t>
  </si>
  <si>
    <t>Dell Inc.</t>
  </si>
  <si>
    <t>SERVER U2</t>
  </si>
  <si>
    <t>Ubuntu 24.04 LTS</t>
  </si>
  <si>
    <t>ocr</t>
  </si>
  <si>
    <t>192.168.102.251</t>
  </si>
  <si>
    <t>e8:cf:83:a4:57:31</t>
  </si>
  <si>
    <t>ssh ocr@192.168.102.251</t>
  </si>
  <si>
    <t>Dell NL SAS 12G 7.2K RPM</t>
  </si>
  <si>
    <t xml:space="preserve"> LFF RAID 1 Mirroring</t>
  </si>
  <si>
    <t>2x 4TB</t>
  </si>
  <si>
    <t>Battery</t>
  </si>
  <si>
    <t>SERVER DB</t>
  </si>
  <si>
    <t>2ZD5KB4</t>
  </si>
  <si>
    <t>H@lotec_20@6</t>
  </si>
  <si>
    <t>192.168.102.252</t>
  </si>
  <si>
    <t>e8:cf:83:a4:4b:d9</t>
  </si>
  <si>
    <t>ssh ocr@192.168.102.252</t>
  </si>
  <si>
    <t>4x 12TB</t>
  </si>
  <si>
    <t>No. Handover</t>
  </si>
  <si>
    <t>Transfer Date</t>
  </si>
  <si>
    <t>NIK</t>
  </si>
  <si>
    <t>Recipient’s Name</t>
  </si>
  <si>
    <t>Company</t>
  </si>
  <si>
    <t>Position Status</t>
  </si>
  <si>
    <t>Department</t>
  </si>
  <si>
    <t>Category</t>
  </si>
  <si>
    <t>Sub-Category</t>
  </si>
  <si>
    <t>Asset Code</t>
  </si>
  <si>
    <t>Asset Name</t>
  </si>
  <si>
    <t>S/N Device</t>
  </si>
  <si>
    <t>Current Location / ROOM</t>
  </si>
  <si>
    <t>Condition Device</t>
  </si>
  <si>
    <t>Qty</t>
  </si>
  <si>
    <t>Unit</t>
  </si>
  <si>
    <t>SR.26.09.0001/IX/2026/PGT/IT/INT</t>
  </si>
  <si>
    <t>Soehardono</t>
  </si>
  <si>
    <t>Staf / Staff / Associate</t>
  </si>
  <si>
    <t>Authority Support (KSOP &amp; BC )</t>
  </si>
  <si>
    <t>2601101001</t>
  </si>
  <si>
    <t>SET</t>
  </si>
  <si>
    <t>Bapak Gatot</t>
  </si>
  <si>
    <t>2601102002</t>
  </si>
  <si>
    <t>2609104001</t>
  </si>
  <si>
    <t>SR.26.09.0002/IX/2026/PGT/IT/INT</t>
  </si>
  <si>
    <t>2609101001</t>
  </si>
  <si>
    <t>Bapak Ewin Riansyah</t>
  </si>
  <si>
    <t>2601102001</t>
  </si>
  <si>
    <t>2609104002</t>
  </si>
  <si>
    <t>SR.26.09.0003/IX/2026/PGT/IT/INT</t>
  </si>
  <si>
    <t>IT Staff</t>
  </si>
  <si>
    <t>Information Technology</t>
  </si>
  <si>
    <t>2609102005</t>
  </si>
  <si>
    <t>Transfer with OB</t>
  </si>
  <si>
    <t>SR.26.09.0004/IX/2026/PGT/IT/INT</t>
  </si>
  <si>
    <t>HSE Staff</t>
  </si>
  <si>
    <t>HSE &amp; PFSO</t>
  </si>
  <si>
    <t>2601102004</t>
  </si>
  <si>
    <t>SR.26.09.0005/IX/2026/PGT/IT/INT</t>
  </si>
  <si>
    <t>Labour Staff</t>
  </si>
  <si>
    <t>2609101003</t>
  </si>
  <si>
    <t>2609102002</t>
  </si>
  <si>
    <t>2609104009</t>
  </si>
  <si>
    <t>2601104001</t>
  </si>
  <si>
    <t>2609104010</t>
  </si>
  <si>
    <t>SR.26.09.0006/IX/2026/PGT/IT/INT</t>
  </si>
  <si>
    <t>Manager</t>
  </si>
  <si>
    <t>Electrical</t>
  </si>
  <si>
    <t>2609104011</t>
  </si>
  <si>
    <t>UNIT</t>
  </si>
  <si>
    <t>2609101009</t>
  </si>
  <si>
    <t>SR.26.09.0007/IX/2026/PGT/IT/INT</t>
  </si>
  <si>
    <t>2609104012</t>
  </si>
  <si>
    <t>2609101010</t>
  </si>
  <si>
    <t>SR.26.09.0008/IX/2026/PGT/IT/INT</t>
  </si>
  <si>
    <t>Senior Manager</t>
  </si>
  <si>
    <t>2609104013</t>
  </si>
  <si>
    <t>2609104015</t>
  </si>
  <si>
    <t>SR.26.09.0009/IX/2026/PGT/IT/INT</t>
  </si>
  <si>
    <t>Pak Quentin Bonny</t>
  </si>
  <si>
    <t>SP</t>
  </si>
  <si>
    <t>Engineering</t>
  </si>
  <si>
    <t>2609101002</t>
  </si>
  <si>
    <t>2609104016</t>
  </si>
  <si>
    <t>SR.26.09.0010/IX/2026/PGT/IT/INT</t>
  </si>
  <si>
    <t>Pak Suparno</t>
  </si>
  <si>
    <t>Supervisor / Team Leader</t>
  </si>
  <si>
    <t>Equipment</t>
  </si>
  <si>
    <t>2609101005</t>
  </si>
  <si>
    <t>SR.26.09.0011/IX/2026/PGT/IT/INT</t>
  </si>
  <si>
    <t>Rama Danu Atmaja</t>
  </si>
  <si>
    <t>2601101025</t>
  </si>
  <si>
    <t>2609104027</t>
  </si>
  <si>
    <t>2601101004</t>
  </si>
  <si>
    <t>2601102008</t>
  </si>
  <si>
    <t>2601101030</t>
  </si>
  <si>
    <t>SR.26.09.0012/IX/2026/PGT/IT/INT</t>
  </si>
  <si>
    <t>Bahtiar Nurul Fahmi</t>
  </si>
  <si>
    <t>2609104025</t>
  </si>
  <si>
    <t>2609104019</t>
  </si>
  <si>
    <t>2609104026</t>
  </si>
  <si>
    <t>SR.26.09.0013/IX/2026/PGT/IT/INT</t>
  </si>
  <si>
    <t>Angghi Datiansyah</t>
  </si>
  <si>
    <t>2609104020</t>
  </si>
  <si>
    <t>SR.26.09.0014/IX/2026/PGT/IT/INT</t>
  </si>
  <si>
    <t>Encep Sukendar</t>
  </si>
  <si>
    <t>Human Resource &amp; General Affair (HRGA)</t>
  </si>
  <si>
    <t>2609104021</t>
  </si>
  <si>
    <t>SR.26.09.0015/IX/2026/PGT/IT/INT</t>
  </si>
  <si>
    <t>Annisa Dyah Permata</t>
  </si>
  <si>
    <t>Commercial</t>
  </si>
  <si>
    <t>2609101011</t>
  </si>
  <si>
    <t>2601101034</t>
  </si>
  <si>
    <t>2601102010</t>
  </si>
  <si>
    <t>2601104010</t>
  </si>
  <si>
    <t>2601104008</t>
  </si>
  <si>
    <t>SR.26.09.0016/IX/2026/PGT/IT/INT</t>
  </si>
  <si>
    <t>Yusriansyah Dian</t>
  </si>
  <si>
    <t>2601101017</t>
  </si>
  <si>
    <t>Adaptor : CN-07JHD3</t>
  </si>
  <si>
    <t>2609104014</t>
  </si>
  <si>
    <t>SR.26.09.0017/IX/2026/PGT/IT/INT</t>
  </si>
  <si>
    <t>Mirda Samtia-SHI</t>
  </si>
  <si>
    <t>2609104024</t>
  </si>
  <si>
    <t>Billing Office B</t>
  </si>
  <si>
    <t>SR.26.09.0018/IX/2026/PGT/IT/INT</t>
  </si>
  <si>
    <t xml:space="preserve">Muhammad Rijali </t>
  </si>
  <si>
    <t>Assistant Manager</t>
  </si>
  <si>
    <t>2609104022</t>
  </si>
  <si>
    <t>SR.26.09.0019/IX/2026/PGT/IT/INT</t>
  </si>
  <si>
    <t>Finance, Accounting, &amp; Tax (FAT)</t>
  </si>
  <si>
    <t>2609104023</t>
  </si>
  <si>
    <t>SR.26.09.0020/IX/2026/PGT/IT/INT</t>
  </si>
  <si>
    <t>Sonny Fauzi</t>
  </si>
  <si>
    <t>2601101032</t>
  </si>
  <si>
    <t>Adaptor Charger</t>
  </si>
  <si>
    <t>2601101033</t>
  </si>
  <si>
    <t>BASE DATA ASET PERANGKAT IT PGT</t>
  </si>
  <si>
    <t>ASET HANDOVER</t>
  </si>
  <si>
    <t>CATEGORIES NAME</t>
  </si>
  <si>
    <t>TOTAL DEVICES</t>
  </si>
  <si>
    <t>STATUS IDLE</t>
  </si>
  <si>
    <t>STATUS IN USE</t>
  </si>
  <si>
    <t>STATUS SHARED</t>
  </si>
  <si>
    <t>NOT STATUS</t>
  </si>
  <si>
    <t>TOTAL HANDOVER</t>
  </si>
  <si>
    <t>Leter</t>
  </si>
  <si>
    <t>NETWORK DEVICES</t>
  </si>
  <si>
    <t>TO USER</t>
  </si>
  <si>
    <t>SERVER</t>
  </si>
  <si>
    <t>COMPUTER CATEGORIES</t>
  </si>
  <si>
    <t>DISPLAY CATEGORIES</t>
  </si>
  <si>
    <t>NETWORK DEVICES CATEGORIES</t>
  </si>
  <si>
    <t>SUB-CATEGORIES NAME</t>
  </si>
  <si>
    <t>Access Point</t>
  </si>
  <si>
    <t>Modem</t>
  </si>
  <si>
    <t>Router</t>
  </si>
  <si>
    <t>Hendheld</t>
  </si>
  <si>
    <t>Touchscreen</t>
  </si>
  <si>
    <t>LOCATIONS COMPUTERS</t>
  </si>
  <si>
    <t>LOCATIONS DISPLAY</t>
  </si>
  <si>
    <t>LOCATIONS NETWORK DEVICES</t>
  </si>
  <si>
    <t>LOCATIONS</t>
  </si>
  <si>
    <t>HENDHELD</t>
  </si>
  <si>
    <t>MONITOR</t>
  </si>
  <si>
    <t>TOUCHSCREEN</t>
  </si>
  <si>
    <t>PERIPHERAL CATEGORIES</t>
  </si>
  <si>
    <t>External Cam</t>
  </si>
  <si>
    <t>Intercom</t>
  </si>
  <si>
    <t>Owner</t>
  </si>
  <si>
    <t>Locations</t>
  </si>
  <si>
    <t>device_condition</t>
  </si>
  <si>
    <t>ownership</t>
  </si>
  <si>
    <t>kd_dpt</t>
  </si>
  <si>
    <t>asset_pic</t>
  </si>
  <si>
    <t>usage_status</t>
  </si>
  <si>
    <t>Department Names</t>
  </si>
  <si>
    <t>kd_pon</t>
  </si>
  <si>
    <t>Position Name</t>
  </si>
  <si>
    <t>kd_cat</t>
  </si>
  <si>
    <t>categories</t>
  </si>
  <si>
    <t>kd_catdev</t>
  </si>
  <si>
    <t>categories_devices</t>
  </si>
  <si>
    <t>kd_subcat</t>
  </si>
  <si>
    <t>sub_categories</t>
  </si>
  <si>
    <t>Keterangan</t>
  </si>
  <si>
    <t>Head Office</t>
  </si>
  <si>
    <t>CEO (Chief Executive Officer)</t>
  </si>
  <si>
    <t>01</t>
  </si>
  <si>
    <t>Building B</t>
  </si>
  <si>
    <t>Operation</t>
  </si>
  <si>
    <t>CFO (Chief Financial Officer)</t>
  </si>
  <si>
    <t>02</t>
  </si>
  <si>
    <t>GA</t>
  </si>
  <si>
    <t>Building F</t>
  </si>
  <si>
    <t>SHI</t>
  </si>
  <si>
    <t>COO (Chief Operating Officer)</t>
  </si>
  <si>
    <t>03</t>
  </si>
  <si>
    <t>Broken</t>
  </si>
  <si>
    <t>HRGA</t>
  </si>
  <si>
    <t>CTO / CMO</t>
  </si>
  <si>
    <t>04</t>
  </si>
  <si>
    <t>DENKI</t>
  </si>
  <si>
    <t>Facility Infrastructure</t>
  </si>
  <si>
    <t>President Director</t>
  </si>
  <si>
    <t>05</t>
  </si>
  <si>
    <t>Storage Room</t>
  </si>
  <si>
    <t>TELKOMSAT</t>
  </si>
  <si>
    <t>Direktur Fungsional</t>
  </si>
  <si>
    <t>06</t>
  </si>
  <si>
    <t>General Manager</t>
  </si>
  <si>
    <t>07</t>
  </si>
  <si>
    <t>Vessel Operations &amp; Marine</t>
  </si>
  <si>
    <t>Clinic</t>
  </si>
  <si>
    <t xml:space="preserve">Operation </t>
  </si>
  <si>
    <t>Cargo Handling Gear &amp; Rigging</t>
  </si>
  <si>
    <t>IT Room</t>
  </si>
  <si>
    <t>Terminal Operation Tools</t>
  </si>
  <si>
    <t>Pre Gate-In Room</t>
  </si>
  <si>
    <t>Server Room</t>
  </si>
  <si>
    <t>Warehouse &amp; CFS Equipment</t>
  </si>
  <si>
    <t xml:space="preserve">Equipment </t>
  </si>
  <si>
    <t>Quay &amp; Yard Heavy Equipment</t>
  </si>
  <si>
    <t>Videotron</t>
  </si>
  <si>
    <t>IT Storage Room</t>
  </si>
  <si>
    <t>Horizontal Transport &amp; Rolling Stock</t>
  </si>
  <si>
    <t>Jetty</t>
  </si>
  <si>
    <t>Mechanical &amp; Electrical Utilities</t>
  </si>
  <si>
    <t>Workshop &amp; Maintenance Tools</t>
  </si>
  <si>
    <t>Office Furniture &amp; Fixtures</t>
  </si>
  <si>
    <t>Customs Gate</t>
  </si>
  <si>
    <t>Building Facilities &amp; HVAC</t>
  </si>
  <si>
    <t>Operational Vehicles &amp; Fleet</t>
  </si>
  <si>
    <t>General Office Appliances</t>
  </si>
  <si>
    <t>Fire Protection Equipment</t>
  </si>
  <si>
    <t>Safety &amp; Emergency Response</t>
  </si>
  <si>
    <t>Security &amp; Surveillance Assets</t>
  </si>
  <si>
    <t>Environmental &amp; Oil Spill Control</t>
  </si>
  <si>
    <t>08</t>
  </si>
  <si>
    <t>09</t>
  </si>
  <si>
    <t>10</t>
  </si>
  <si>
    <t>cat /sys/class/dmi/id/product_serial</t>
  </si>
  <si>
    <t>Toolskit</t>
  </si>
  <si>
    <t>NVIDIA Jetson, Raspberry Pi, NPU Module</t>
  </si>
  <si>
    <t>IP Camera, Smart CCTV, Thermal Camera, License Plate Recognition Camera, Industrial IoT Gateway, Protocol Converter, Wireless Gateway</t>
  </si>
  <si>
    <t>Sensors &amp; Security</t>
  </si>
  <si>
    <t>Sensor lingkungan, Vibration Sensor, GPS/Asset Tracker, Smart Metering, Smart Gate, Biometric Terminal, Smart Access Card Reader</t>
  </si>
  <si>
    <t>Server fisik penyedia virtualisasi (VMware ESXi Host, Proxmox Node, Nutanix Node), Server fisik khusus database (PostgreSQL, Oracle, SQL Server), Server fisik pendukung aplikasi enterprise / ERP / API, Server repositori data backup (Veeam Backup Appliance, Tape Library), Server appliance untuk Domain Controller (AD), DNS, Security Gateway, Firewall Physical Appliance</t>
  </si>
  <si>
    <t>Mooring Line / Tali Tambat</t>
  </si>
  <si>
    <t>Quick Release Mooring Hook (QRMH)</t>
  </si>
  <si>
    <t>Pneumatic / Rubber Fender</t>
  </si>
  <si>
    <t>Gangway Tower / Tangga Kapal</t>
  </si>
  <si>
    <t>Pilot Ladder &amp; Safety Net</t>
  </si>
  <si>
    <t>Container Spreader (Manual/Semi-Auto)</t>
  </si>
  <si>
    <t>Lifting Beam / Lifting Frame</t>
  </si>
  <si>
    <t>Wire Rope Sling &amp; Webbing Sling</t>
  </si>
  <si>
    <t>Shackle &amp; Master Link</t>
  </si>
  <si>
    <t>Car Lashing Bar &amp; Belt (Ro-Ro)</t>
  </si>
  <si>
    <t>Cargo Hook &amp; Swivel</t>
  </si>
  <si>
    <t>Handheld Radio / HT Operasional</t>
  </si>
  <si>
    <t>Barcode / RFID Terminal Scanner</t>
  </si>
  <si>
    <t>Portable Traffic Light &amp; Signage</t>
  </si>
  <si>
    <t>Traffic Cone &amp; Rubber Barrier</t>
  </si>
  <si>
    <t>Weighbridge / Jembatan Timbang</t>
  </si>
  <si>
    <t>Hand Pallet Truck (Manual/Electric)</t>
  </si>
  <si>
    <t>Pallet Racking System</t>
  </si>
  <si>
    <t>Cargo Scale / Timbangan Barang</t>
  </si>
  <si>
    <t>Dock Leveler System</t>
  </si>
  <si>
    <t>Ship-to-Shore (STS) Crane</t>
  </si>
  <si>
    <t>Rubber Tyred Gantry (RTG) Crane</t>
  </si>
  <si>
    <t>Rail Mounted Gantry (RMG) Crane</t>
  </si>
  <si>
    <t>Mobile Harbor Crane (MHC)</t>
  </si>
  <si>
    <t>Reach Stacker</t>
  </si>
  <si>
    <t>Empty Container Handler (ECH)</t>
  </si>
  <si>
    <t>Heavy Duty Forklift (&gt;10 Ton)</t>
  </si>
  <si>
    <t>Terminal Tractor / Prime Mover</t>
  </si>
  <si>
    <t>Skeleton Trailer / Chassis</t>
  </si>
  <si>
    <t>Car Carrier Truck</t>
  </si>
  <si>
    <t>Light / Medium Forklift (3-5 Ton)</t>
  </si>
  <si>
    <t>Passenger Service / Shuttle Van</t>
  </si>
  <si>
    <t>Maintenance Service Pickup</t>
  </si>
  <si>
    <t>Diesel Generator Set (Genset)</t>
  </si>
  <si>
    <t>Reefer Plug &amp; Monitoring Station</t>
  </si>
  <si>
    <t>High Mast Tower &amp; Floodlight</t>
  </si>
  <si>
    <t>Air Compressor System</t>
  </si>
  <si>
    <t>Transformer &amp; Substation Switchgear</t>
  </si>
  <si>
    <t>Fuel Dispenser &amp; Storage Tank</t>
  </si>
  <si>
    <t>Hydraulic Jack &amp; Press Machine</t>
  </si>
  <si>
    <t>Welding Machine (SMAW/GMAW)</t>
  </si>
  <si>
    <t>Tire Changer &amp; Balancer Machine</t>
  </si>
  <si>
    <t>Heavy Duty Mechanic Tool Set</t>
  </si>
  <si>
    <t>Lube Dispenser &amp; Waste Drain</t>
  </si>
  <si>
    <t>Overhead Crane Workshop</t>
  </si>
  <si>
    <t>Work Desk / Meja Kerja</t>
  </si>
  <si>
    <t>Ergonomic Office Chair</t>
  </si>
  <si>
    <t>Meeting Table &amp; Chair Set</t>
  </si>
  <si>
    <t>Filing Cabinet &amp; Credenza</t>
  </si>
  <si>
    <t>Sofa &amp; Lounge Visitor Chair</t>
  </si>
  <si>
    <t>Office Workstation Partition</t>
  </si>
  <si>
    <t>Air Conditioner (Split/Cassette/Central)</t>
  </si>
  <si>
    <t>Water Dispenser &amp; Filter System</t>
  </si>
  <si>
    <t>Pantry Refrigerator &amp; Microwave</t>
  </si>
  <si>
    <t>Public Address / Sound System</t>
  </si>
  <si>
    <t>Smart TV &amp; Display Presentation</t>
  </si>
  <si>
    <t>Access Control &amp; Smart Door Lock</t>
  </si>
  <si>
    <t>Executive &amp; Management Pool Car</t>
  </si>
  <si>
    <t>General Utility Pickup / Box</t>
  </si>
  <si>
    <t>Operational Motorbike</t>
  </si>
  <si>
    <t>Golf Car / Operational Buggy</t>
  </si>
  <si>
    <t>Industrial Vacuum Cleaner</t>
  </si>
  <si>
    <t>High-Pressure Cleaner</t>
  </si>
  <si>
    <t>Heavy Duty Paper Shredder</t>
  </si>
  <si>
    <t>Safe Box / Brankas</t>
  </si>
  <si>
    <t>Portable Fire Extinguisher (APAR)</t>
  </si>
  <si>
    <t>Trolley Fire Extinguisher (APAB)</t>
  </si>
  <si>
    <t>Fire Hose &amp; Nozzle Box</t>
  </si>
  <si>
    <t>Fire Hydrant Pump &amp; Monitor</t>
  </si>
  <si>
    <t>Gas Suppression System (FM200/Novec)</t>
  </si>
  <si>
    <t>Fire Suit &amp; Breathing Apparatus (SCBA)</t>
  </si>
  <si>
    <t>First Aid Kit &amp; Emergency Stretcher</t>
  </si>
  <si>
    <t>Automated External Defibrillator (AED)</t>
  </si>
  <si>
    <t>Emergency Rescue Kit &amp; Life Buoy</t>
  </si>
  <si>
    <t>Portable Multi-Gas Detector</t>
  </si>
  <si>
    <t>Eye Wash Station &amp; Safety Shower</t>
  </si>
  <si>
    <t>Wind Cone / Anemometer Station</t>
  </si>
  <si>
    <t>CCTV Camera (PTZ / Fixed Bullet)</t>
  </si>
  <si>
    <t>NVR &amp; Video Wall Storage Server</t>
  </si>
  <si>
    <t>Automated Gate Barrier System</t>
  </si>
  <si>
    <t>Metal Detector &amp; UVIS Scanner</t>
  </si>
  <si>
    <t>Guard Patrol Tour System</t>
  </si>
  <si>
    <t>Portable Security Guard Booth</t>
  </si>
  <si>
    <t>Oil Spill Boom (Inflatable/Solid)</t>
  </si>
  <si>
    <t>Oil Skimmer System</t>
  </si>
  <si>
    <t>Sorbent Boom &amp; Pad Set</t>
  </si>
  <si>
    <t>Oil Spill Kit Mobile Container</t>
  </si>
  <si>
    <t>Environment Monitoring Station</t>
  </si>
  <si>
    <t>LIST ASSET DATA</t>
  </si>
  <si>
    <t>ETH</t>
  </si>
  <si>
    <t>PC Desktop</t>
  </si>
  <si>
    <t>HP Mini PC</t>
  </si>
  <si>
    <t>PBPCOP-JETTY1</t>
  </si>
  <si>
    <t>Handover Status</t>
  </si>
  <si>
    <t>Name</t>
  </si>
  <si>
    <t>Hand Over Date</t>
  </si>
  <si>
    <t>Row 3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</si>
</sst>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0\ &quot;aset&quot;"/>
    <numFmt numFmtId="166" formatCode="yyyy\-mm\-dd;@"/>
  </numFmts>
  <fonts count="5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  <charset val="1"/>
    </font>
    <font>
      <b/>
      <sz val="11"/>
      <color rgb="FFFFFFFF"/>
      <name val="Calibri"/>
      <family val="2"/>
      <charset val="1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  <charset val="1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sz val="10"/>
      <name val="Calibri"/>
      <family val="2"/>
      <charset val="1"/>
    </font>
    <font>
      <b/>
      <sz val="10"/>
      <color theme="1"/>
      <name val="Calibri"/>
      <family val="2"/>
    </font>
    <font>
      <sz val="10"/>
      <color rgb="FF000000"/>
      <name val="Calibri"/>
      <family val="2"/>
      <charset val="1"/>
    </font>
    <font>
      <sz val="10"/>
      <color rgb="FFFF0000"/>
      <name val="Calibri"/>
      <family val="2"/>
      <charset val="1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  <charset val="1"/>
    </font>
    <font>
      <b/>
      <sz val="14"/>
      <color theme="1"/>
      <name val="Aptos Narrow"/>
      <family val="2"/>
      <scheme val="minor"/>
    </font>
    <font>
      <b/>
      <sz val="11"/>
      <color rgb="FF17365D"/>
      <name val="Calibri"/>
      <family val="2"/>
      <charset val="1"/>
    </font>
    <font>
      <sz val="10"/>
      <color rgb="FF333333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0"/>
      <name val="Calibri"/>
      <family val="2"/>
      <charset val="1"/>
    </font>
    <font>
      <b/>
      <sz val="10"/>
      <name val="Calibri"/>
      <family val="2"/>
      <charset val="1"/>
    </font>
    <font>
      <b/>
      <sz val="11"/>
      <name val="Aptos Narrow"/>
      <family val="2"/>
      <scheme val="minor"/>
    </font>
    <font>
      <b/>
      <sz val="10"/>
      <name val="Calibri"/>
      <family val="2"/>
    </font>
    <font>
      <sz val="9"/>
      <color rgb="FF333538"/>
      <name val="Arial"/>
      <family val="2"/>
    </font>
    <font>
      <sz val="9"/>
      <color rgb="FF000000"/>
      <name val="Arial"/>
      <family val="2"/>
    </font>
    <font>
      <sz val="10"/>
      <color rgb="FF000000"/>
      <name val="Calibri"/>
      <family val="2"/>
    </font>
    <font>
      <sz val="11"/>
      <name val="Aptos Narrow"/>
      <family val="2"/>
      <scheme val="minor"/>
    </font>
    <font>
      <b/>
      <sz val="11"/>
      <color rgb="FFFFFFFF"/>
      <name val="Calibri"/>
      <family val="2"/>
    </font>
    <font>
      <sz val="10"/>
      <color theme="1"/>
      <name val="Calibri"/>
      <family val="2"/>
    </font>
    <font>
      <b/>
      <sz val="18"/>
      <color rgb="FFFFFFFF"/>
      <name val="Calibri"/>
      <family val="2"/>
    </font>
    <font>
      <i/>
      <sz val="10"/>
      <color rgb="FF5B6573"/>
      <name val="Calibri"/>
      <family val="2"/>
    </font>
    <font>
      <b/>
      <sz val="11"/>
      <color rgb="FF17365D"/>
      <name val="Calibri"/>
      <family val="2"/>
    </font>
    <font>
      <b/>
      <sz val="24"/>
      <color rgb="FF17365D"/>
      <name val="Calibri"/>
      <family val="2"/>
    </font>
    <font>
      <sz val="10"/>
      <color rgb="FF333333"/>
      <name val="Calibri"/>
      <family val="2"/>
    </font>
    <font>
      <b/>
      <sz val="10"/>
      <color rgb="FF000000"/>
      <name val="Calibri"/>
      <family val="2"/>
    </font>
    <font>
      <b/>
      <sz val="28"/>
      <color rgb="FF17365D"/>
      <name val="Calibri"/>
      <family val="2"/>
      <charset val="1"/>
    </font>
    <font>
      <b/>
      <sz val="10"/>
      <color theme="1"/>
      <name val="Calibri"/>
      <family val="2"/>
    </font>
    <font>
      <b/>
      <sz val="11"/>
      <color rgb="FFFFFFFF"/>
      <name val="Calibri"/>
      <family val="2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00A6A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</fills>
  <borders count="55">
    <border>
      <left/>
      <right/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4B4B4"/>
      </left>
      <right style="thin">
        <color rgb="FFB4B4B4"/>
      </right>
      <top/>
      <bottom style="thin">
        <color rgb="FFB4B4B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/>
      </top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7" tint="-0.2499465926084170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2" fillId="0" borderId="0"/>
    <xf numFmtId="0" fontId="46" fillId="0" borderId="0" applyNumberFormat="0" applyFill="0" applyBorder="0" applyAlignment="0" applyProtection="0"/>
  </cellStyleXfs>
  <cellXfs count="248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6" fillId="0" borderId="1" xfId="0" applyFont="1" applyBorder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8" fillId="2" borderId="3" xfId="1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4" fontId="0" fillId="0" borderId="0" xfId="0" applyNumberFormat="1"/>
    <xf numFmtId="0" fontId="11" fillId="2" borderId="4" xfId="1" applyNumberFormat="1" applyFont="1" applyFill="1" applyBorder="1" applyAlignment="1">
      <alignment vertical="center" wrapText="1"/>
    </xf>
    <xf numFmtId="0" fontId="12" fillId="3" borderId="9" xfId="1" applyNumberFormat="1" applyFont="1" applyFill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0" fontId="14" fillId="0" borderId="3" xfId="1" applyNumberFormat="1" applyFont="1" applyBorder="1" applyAlignment="1">
      <alignment horizontal="center" vertical="center"/>
    </xf>
    <xf numFmtId="14" fontId="15" fillId="0" borderId="3" xfId="1" applyNumberFormat="1" applyFont="1" applyBorder="1" applyAlignment="1">
      <alignment horizontal="center" vertical="center"/>
    </xf>
    <xf numFmtId="0" fontId="14" fillId="0" borderId="8" xfId="1" applyNumberFormat="1" applyFont="1" applyBorder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14" fontId="17" fillId="0" borderId="0" xfId="0" applyNumberFormat="1" applyFont="1"/>
    <xf numFmtId="0" fontId="18" fillId="2" borderId="4" xfId="1" applyNumberFormat="1" applyFont="1" applyFill="1" applyBorder="1" applyAlignment="1">
      <alignment horizontal="center" vertical="center"/>
    </xf>
    <xf numFmtId="0" fontId="7" fillId="2" borderId="6" xfId="1" applyNumberFormat="1" applyFont="1" applyFill="1" applyBorder="1" applyAlignment="1">
      <alignment vertical="center" wrapText="1"/>
    </xf>
    <xf numFmtId="0" fontId="17" fillId="0" borderId="3" xfId="0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7" fillId="5" borderId="0" xfId="0" applyFont="1" applyFill="1"/>
    <xf numFmtId="0" fontId="7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6" fillId="5" borderId="0" xfId="0" applyFont="1" applyFill="1"/>
    <xf numFmtId="0" fontId="5" fillId="5" borderId="0" xfId="0" applyFont="1" applyFill="1"/>
    <xf numFmtId="0" fontId="5" fillId="5" borderId="0" xfId="0" applyFont="1" applyFill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49" fontId="0" fillId="0" borderId="0" xfId="0" applyNumberFormat="1"/>
    <xf numFmtId="1" fontId="0" fillId="0" borderId="0" xfId="0" applyNumberForma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24" fillId="3" borderId="9" xfId="1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 vertical="center"/>
    </xf>
    <xf numFmtId="0" fontId="9" fillId="0" borderId="0" xfId="0" applyFont="1"/>
    <xf numFmtId="0" fontId="0" fillId="0" borderId="0" xfId="0" quotePrefix="1" applyAlignment="1">
      <alignment horizontal="center"/>
    </xf>
    <xf numFmtId="0" fontId="26" fillId="0" borderId="8" xfId="1" applyNumberFormat="1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 wrapText="1"/>
    </xf>
    <xf numFmtId="0" fontId="27" fillId="4" borderId="8" xfId="1" applyNumberFormat="1" applyFont="1" applyFill="1" applyBorder="1" applyAlignment="1">
      <alignment horizontal="center" vertical="center"/>
    </xf>
    <xf numFmtId="0" fontId="27" fillId="4" borderId="8" xfId="1" applyNumberFormat="1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7" fillId="4" borderId="13" xfId="1" applyNumberFormat="1" applyFont="1" applyFill="1" applyBorder="1" applyAlignment="1">
      <alignment horizontal="center"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7" fillId="13" borderId="8" xfId="1" applyNumberFormat="1" applyFont="1" applyFill="1" applyBorder="1" applyAlignment="1">
      <alignment horizontal="center" vertical="center"/>
    </xf>
    <xf numFmtId="0" fontId="26" fillId="0" borderId="13" xfId="1" applyNumberFormat="1" applyFont="1" applyBorder="1" applyAlignment="1">
      <alignment horizontal="center" vertical="center"/>
    </xf>
    <xf numFmtId="0" fontId="0" fillId="14" borderId="0" xfId="0" applyFill="1" applyAlignment="1">
      <alignment horizontal="left"/>
    </xf>
    <xf numFmtId="0" fontId="29" fillId="4" borderId="13" xfId="1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0" fillId="0" borderId="14" xfId="0" applyBorder="1" applyAlignment="1">
      <alignment horizontal="center"/>
    </xf>
    <xf numFmtId="0" fontId="12" fillId="3" borderId="15" xfId="1" applyNumberFormat="1" applyFont="1" applyFill="1" applyBorder="1" applyAlignment="1">
      <alignment horizontal="center" vertical="center"/>
    </xf>
    <xf numFmtId="49" fontId="5" fillId="0" borderId="0" xfId="0" quotePrefix="1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0" fillId="0" borderId="0" xfId="0" applyFont="1"/>
    <xf numFmtId="166" fontId="0" fillId="0" borderId="0" xfId="0" applyNumberFormat="1"/>
    <xf numFmtId="166" fontId="26" fillId="0" borderId="8" xfId="1" applyNumberFormat="1" applyFont="1" applyBorder="1" applyAlignment="1">
      <alignment horizontal="center" vertical="center"/>
    </xf>
    <xf numFmtId="166" fontId="27" fillId="4" borderId="8" xfId="1" applyNumberFormat="1" applyFont="1" applyFill="1" applyBorder="1" applyAlignment="1">
      <alignment horizontal="center" vertical="center" wrapText="1"/>
    </xf>
    <xf numFmtId="1" fontId="0" fillId="2" borderId="0" xfId="0" applyNumberFormat="1" applyFill="1" applyAlignment="1">
      <alignment horizontal="center" vertical="center"/>
    </xf>
    <xf numFmtId="0" fontId="8" fillId="2" borderId="18" xfId="1" applyNumberFormat="1" applyFont="1" applyFill="1" applyBorder="1" applyAlignment="1">
      <alignment horizontal="center" vertical="center"/>
    </xf>
    <xf numFmtId="0" fontId="1" fillId="0" borderId="16" xfId="0" applyFont="1" applyBorder="1"/>
    <xf numFmtId="0" fontId="1" fillId="0" borderId="17" xfId="0" applyFont="1" applyBorder="1"/>
    <xf numFmtId="1" fontId="0" fillId="15" borderId="0" xfId="0" applyNumberForma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7" fillId="4" borderId="13" xfId="1" applyNumberFormat="1" applyFont="1" applyFill="1" applyBorder="1" applyAlignment="1">
      <alignment horizontal="center" vertical="center" wrapText="1"/>
    </xf>
    <xf numFmtId="0" fontId="0" fillId="2" borderId="0" xfId="0" applyFill="1"/>
    <xf numFmtId="0" fontId="9" fillId="0" borderId="20" xfId="0" applyFont="1" applyBorder="1" applyAlignment="1">
      <alignment horizontal="center" vertical="center"/>
    </xf>
    <xf numFmtId="0" fontId="18" fillId="7" borderId="8" xfId="1" applyNumberFormat="1" applyFont="1" applyFill="1" applyBorder="1" applyAlignment="1">
      <alignment horizontal="center" vertical="center"/>
    </xf>
    <xf numFmtId="166" fontId="18" fillId="7" borderId="8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0" fillId="0" borderId="0" xfId="0" applyAlignment="1">
      <alignment wrapText="1"/>
    </xf>
    <xf numFmtId="0" fontId="33" fillId="16" borderId="0" xfId="0" applyFont="1" applyFill="1" applyAlignment="1">
      <alignment horizontal="center"/>
    </xf>
    <xf numFmtId="0" fontId="33" fillId="0" borderId="0" xfId="0" applyFont="1"/>
    <xf numFmtId="0" fontId="0" fillId="0" borderId="3" xfId="0" applyBorder="1" applyAlignment="1">
      <alignment horizontal="center" vertical="center"/>
    </xf>
    <xf numFmtId="0" fontId="0" fillId="0" borderId="31" xfId="0" applyBorder="1"/>
    <xf numFmtId="0" fontId="0" fillId="0" borderId="32" xfId="0" applyBorder="1" applyAlignment="1">
      <alignment horizontal="center" vertical="center"/>
    </xf>
    <xf numFmtId="0" fontId="0" fillId="0" borderId="33" xfId="0" applyBorder="1"/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3" fillId="0" borderId="0" xfId="0" applyFont="1"/>
    <xf numFmtId="0" fontId="32" fillId="0" borderId="23" xfId="0" applyFont="1" applyBorder="1" applyAlignment="1">
      <alignment horizontal="left" vertical="center"/>
    </xf>
    <xf numFmtId="0" fontId="32" fillId="0" borderId="35" xfId="0" applyFont="1" applyBorder="1" applyAlignment="1">
      <alignment horizontal="left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41" fillId="4" borderId="38" xfId="0" applyFont="1" applyFill="1" applyBorder="1" applyAlignment="1">
      <alignment horizontal="left" vertical="center"/>
    </xf>
    <xf numFmtId="0" fontId="34" fillId="0" borderId="0" xfId="0" applyFont="1"/>
    <xf numFmtId="0" fontId="32" fillId="0" borderId="25" xfId="0" applyFont="1" applyBorder="1" applyAlignment="1">
      <alignment horizontal="left" vertical="center"/>
    </xf>
    <xf numFmtId="0" fontId="0" fillId="0" borderId="27" xfId="0" applyBorder="1" applyAlignment="1">
      <alignment horizontal="center" vertical="center"/>
    </xf>
    <xf numFmtId="0" fontId="32" fillId="0" borderId="31" xfId="0" applyFont="1" applyBorder="1" applyAlignment="1">
      <alignment horizontal="left" vertical="center"/>
    </xf>
    <xf numFmtId="1" fontId="33" fillId="0" borderId="0" xfId="0" applyNumberFormat="1" applyFont="1" applyAlignment="1">
      <alignment horizontal="center"/>
    </xf>
    <xf numFmtId="1" fontId="33" fillId="0" borderId="0" xfId="0" applyNumberFormat="1" applyFont="1" applyAlignment="1">
      <alignment horizontal="center" vertical="center"/>
    </xf>
    <xf numFmtId="166" fontId="33" fillId="0" borderId="0" xfId="0" applyNumberFormat="1" applyFont="1"/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33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21" borderId="3" xfId="1" applyNumberFormat="1" applyFont="1" applyFill="1" applyBorder="1" applyAlignment="1">
      <alignment horizontal="center" vertical="center"/>
    </xf>
    <xf numFmtId="166" fontId="18" fillId="21" borderId="3" xfId="1" applyNumberFormat="1" applyFont="1" applyFill="1" applyBorder="1" applyAlignment="1">
      <alignment horizontal="center" vertical="center"/>
    </xf>
    <xf numFmtId="49" fontId="18" fillId="21" borderId="3" xfId="1" applyNumberFormat="1" applyFont="1" applyFill="1" applyBorder="1" applyAlignment="1">
      <alignment horizontal="center" vertical="center"/>
    </xf>
    <xf numFmtId="0" fontId="18" fillId="21" borderId="13" xfId="1" applyNumberFormat="1" applyFont="1" applyFill="1" applyBorder="1" applyAlignment="1">
      <alignment horizontal="center" vertical="center"/>
    </xf>
    <xf numFmtId="0" fontId="43" fillId="21" borderId="13" xfId="1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8" fillId="22" borderId="3" xfId="1" applyNumberFormat="1" applyFont="1" applyFill="1" applyBorder="1" applyAlignment="1">
      <alignment horizontal="center" vertical="center"/>
    </xf>
    <xf numFmtId="166" fontId="18" fillId="22" borderId="3" xfId="1" applyNumberFormat="1" applyFont="1" applyFill="1" applyBorder="1" applyAlignment="1">
      <alignment horizontal="center" vertical="center"/>
    </xf>
    <xf numFmtId="0" fontId="13" fillId="22" borderId="13" xfId="1" applyNumberFormat="1" applyFont="1" applyFill="1" applyBorder="1" applyAlignment="1">
      <alignment horizontal="center" vertical="center"/>
    </xf>
    <xf numFmtId="0" fontId="18" fillId="22" borderId="13" xfId="1" applyNumberFormat="1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27" fillId="7" borderId="8" xfId="1" applyNumberFormat="1" applyFont="1" applyFill="1" applyBorder="1" applyAlignment="1">
      <alignment horizontal="center" vertical="center"/>
    </xf>
    <xf numFmtId="0" fontId="27" fillId="7" borderId="8" xfId="1" applyNumberFormat="1" applyFont="1" applyFill="1" applyBorder="1" applyAlignment="1">
      <alignment horizontal="center" vertical="center" wrapText="1"/>
    </xf>
    <xf numFmtId="0" fontId="8" fillId="0" borderId="20" xfId="1" applyNumberFormat="1" applyFont="1" applyBorder="1" applyAlignment="1">
      <alignment horizontal="center" vertical="center"/>
    </xf>
    <xf numFmtId="0" fontId="7" fillId="0" borderId="0" xfId="0" quotePrefix="1" applyFont="1" applyAlignment="1">
      <alignment horizontal="center"/>
    </xf>
    <xf numFmtId="0" fontId="13" fillId="5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quotePrefix="1" applyFont="1" applyAlignment="1">
      <alignment horizontal="center" vertical="center"/>
    </xf>
    <xf numFmtId="0" fontId="24" fillId="3" borderId="0" xfId="1" applyNumberFormat="1" applyFont="1" applyFill="1" applyAlignment="1">
      <alignment horizontal="center" vertical="center"/>
    </xf>
    <xf numFmtId="0" fontId="46" fillId="0" borderId="0" xfId="2" applyAlignment="1">
      <alignment horizontal="center"/>
    </xf>
    <xf numFmtId="0" fontId="46" fillId="0" borderId="0" xfId="2"/>
    <xf numFmtId="0" fontId="47" fillId="24" borderId="0" xfId="0" applyFont="1" applyFill="1" applyAlignment="1">
      <alignment vertical="center"/>
    </xf>
    <xf numFmtId="0" fontId="48" fillId="24" borderId="0" xfId="0" applyFont="1" applyFill="1" applyAlignment="1">
      <alignment horizontal="center" vertical="center"/>
    </xf>
    <xf numFmtId="0" fontId="0" fillId="0" borderId="25" xfId="0" applyBorder="1"/>
    <xf numFmtId="0" fontId="45" fillId="26" borderId="0" xfId="0" applyFont="1" applyFill="1"/>
    <xf numFmtId="0" fontId="25" fillId="26" borderId="0" xfId="0" applyFont="1" applyFill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5" fillId="0" borderId="31" xfId="0" applyFont="1" applyBorder="1" applyAlignment="1">
      <alignment horizontal="left" vertical="center"/>
    </xf>
    <xf numFmtId="0" fontId="32" fillId="0" borderId="51" xfId="0" applyFont="1" applyBorder="1" applyAlignment="1">
      <alignment horizontal="left" vertical="center"/>
    </xf>
    <xf numFmtId="0" fontId="0" fillId="0" borderId="52" xfId="0" applyBorder="1" applyAlignment="1">
      <alignment horizontal="center" vertical="center"/>
    </xf>
    <xf numFmtId="0" fontId="41" fillId="4" borderId="18" xfId="0" applyFont="1" applyFill="1" applyBorder="1" applyAlignment="1">
      <alignment horizontal="left" vertical="center"/>
    </xf>
    <xf numFmtId="0" fontId="9" fillId="4" borderId="43" xfId="0" applyFont="1" applyFill="1" applyBorder="1" applyAlignment="1">
      <alignment horizontal="center" vertical="center"/>
    </xf>
    <xf numFmtId="0" fontId="5" fillId="0" borderId="51" xfId="0" applyFont="1" applyBorder="1" applyAlignment="1">
      <alignment horizontal="left" vertical="center"/>
    </xf>
    <xf numFmtId="0" fontId="35" fillId="0" borderId="3" xfId="0" applyFont="1" applyBorder="1"/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35" fillId="0" borderId="0" xfId="0" applyFont="1"/>
    <xf numFmtId="0" fontId="35" fillId="0" borderId="8" xfId="0" applyFont="1" applyBorder="1"/>
    <xf numFmtId="0" fontId="0" fillId="0" borderId="0" xfId="0" applyAlignment="1">
      <alignment vertical="center"/>
    </xf>
    <xf numFmtId="0" fontId="17" fillId="0" borderId="0" xfId="0" applyFont="1" applyAlignment="1">
      <alignment horizontal="left" vertical="center"/>
    </xf>
    <xf numFmtId="0" fontId="0" fillId="0" borderId="0" xfId="0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6" fillId="0" borderId="0" xfId="2" applyAlignment="1">
      <alignment horizontal="center" vertical="center"/>
    </xf>
    <xf numFmtId="0" fontId="50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/>
    </xf>
    <xf numFmtId="0" fontId="5" fillId="0" borderId="36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7" fillId="0" borderId="37" xfId="0" applyFont="1" applyBorder="1" applyAlignment="1">
      <alignment horizontal="left" vertical="center"/>
    </xf>
    <xf numFmtId="0" fontId="5" fillId="0" borderId="54" xfId="0" applyFont="1" applyBorder="1" applyAlignment="1">
      <alignment horizontal="left" vertical="center"/>
    </xf>
    <xf numFmtId="0" fontId="0" fillId="0" borderId="37" xfId="0" applyBorder="1"/>
    <xf numFmtId="0" fontId="9" fillId="0" borderId="37" xfId="0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" fontId="0" fillId="27" borderId="0" xfId="0" applyNumberFormat="1" applyFill="1" applyAlignment="1">
      <alignment horizontal="center" vertical="center"/>
    </xf>
    <xf numFmtId="0" fontId="17" fillId="27" borderId="0" xfId="0" applyFont="1" applyFill="1" applyAlignment="1">
      <alignment horizontal="left"/>
    </xf>
    <xf numFmtId="0" fontId="9" fillId="0" borderId="20" xfId="0" applyFont="1" applyBorder="1" applyAlignment="1">
      <alignment horizontal="center"/>
    </xf>
    <xf numFmtId="0" fontId="8" fillId="0" borderId="19" xfId="1" applyNumberFormat="1" applyFont="1" applyBorder="1" applyAlignment="1">
      <alignment horizontal="center" vertical="center"/>
    </xf>
    <xf numFmtId="0" fontId="8" fillId="0" borderId="16" xfId="1" applyNumberFormat="1" applyFont="1" applyBorder="1" applyAlignment="1">
      <alignment horizontal="center" vertical="center"/>
    </xf>
    <xf numFmtId="0" fontId="8" fillId="0" borderId="21" xfId="1" applyNumberFormat="1" applyFont="1" applyBorder="1" applyAlignment="1">
      <alignment horizontal="center" vertical="center"/>
    </xf>
    <xf numFmtId="0" fontId="8" fillId="0" borderId="20" xfId="1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65" fontId="39" fillId="18" borderId="12" xfId="0" applyNumberFormat="1" applyFont="1" applyFill="1" applyBorder="1" applyAlignment="1">
      <alignment horizontal="center" vertical="center"/>
    </xf>
    <xf numFmtId="165" fontId="39" fillId="18" borderId="0" xfId="0" applyNumberFormat="1" applyFont="1" applyFill="1" applyAlignment="1">
      <alignment horizontal="center" vertical="center"/>
    </xf>
    <xf numFmtId="165" fontId="39" fillId="18" borderId="24" xfId="0" applyNumberFormat="1" applyFont="1" applyFill="1" applyBorder="1" applyAlignment="1">
      <alignment horizontal="center" vertical="center"/>
    </xf>
    <xf numFmtId="0" fontId="34" fillId="12" borderId="0" xfId="0" applyFont="1" applyFill="1" applyAlignment="1">
      <alignment horizontal="center"/>
    </xf>
    <xf numFmtId="165" fontId="42" fillId="18" borderId="12" xfId="0" applyNumberFormat="1" applyFont="1" applyFill="1" applyBorder="1" applyAlignment="1">
      <alignment horizontal="center" vertical="center"/>
    </xf>
    <xf numFmtId="165" fontId="42" fillId="18" borderId="0" xfId="0" applyNumberFormat="1" applyFont="1" applyFill="1" applyAlignment="1">
      <alignment horizontal="center" vertical="center"/>
    </xf>
    <xf numFmtId="165" fontId="42" fillId="18" borderId="24" xfId="0" applyNumberFormat="1" applyFont="1" applyFill="1" applyBorder="1" applyAlignment="1">
      <alignment horizontal="center" vertical="center"/>
    </xf>
    <xf numFmtId="0" fontId="51" fillId="20" borderId="53" xfId="0" applyFont="1" applyFill="1" applyBorder="1" applyAlignment="1">
      <alignment horizontal="center"/>
    </xf>
    <xf numFmtId="0" fontId="36" fillId="9" borderId="0" xfId="0" applyFont="1" applyFill="1" applyAlignment="1">
      <alignment horizontal="center" vertical="center"/>
    </xf>
    <xf numFmtId="0" fontId="37" fillId="0" borderId="0" xfId="0" applyFont="1" applyAlignment="1">
      <alignment horizontal="center"/>
    </xf>
    <xf numFmtId="0" fontId="34" fillId="17" borderId="0" xfId="0" applyFont="1" applyFill="1" applyAlignment="1">
      <alignment horizontal="center" vertical="center"/>
    </xf>
    <xf numFmtId="0" fontId="34" fillId="10" borderId="0" xfId="0" applyFont="1" applyFill="1" applyAlignment="1">
      <alignment horizontal="center" vertical="center"/>
    </xf>
    <xf numFmtId="165" fontId="39" fillId="11" borderId="12" xfId="0" applyNumberFormat="1" applyFont="1" applyFill="1" applyBorder="1" applyAlignment="1">
      <alignment horizontal="center" vertical="center"/>
    </xf>
    <xf numFmtId="165" fontId="39" fillId="11" borderId="44" xfId="0" applyNumberFormat="1" applyFont="1" applyFill="1" applyBorder="1" applyAlignment="1">
      <alignment horizontal="center" vertical="center"/>
    </xf>
    <xf numFmtId="0" fontId="38" fillId="20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20" fillId="19" borderId="0" xfId="0" applyFont="1" applyFill="1" applyAlignment="1">
      <alignment horizontal="center" vertical="center"/>
    </xf>
    <xf numFmtId="0" fontId="39" fillId="11" borderId="12" xfId="0" applyFont="1" applyFill="1" applyBorder="1" applyAlignment="1">
      <alignment horizontal="center" vertical="center"/>
    </xf>
    <xf numFmtId="0" fontId="39" fillId="11" borderId="44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8" fillId="0" borderId="3" xfId="1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4" xfId="1" applyNumberFormat="1" applyFont="1" applyBorder="1" applyAlignment="1">
      <alignment horizontal="center" vertical="center"/>
    </xf>
    <xf numFmtId="0" fontId="8" fillId="0" borderId="5" xfId="1" applyNumberFormat="1" applyFont="1" applyBorder="1" applyAlignment="1">
      <alignment horizontal="center" vertical="center"/>
    </xf>
    <xf numFmtId="0" fontId="8" fillId="0" borderId="6" xfId="1" applyNumberFormat="1" applyFont="1" applyBorder="1" applyAlignment="1">
      <alignment horizontal="center" vertical="center"/>
    </xf>
    <xf numFmtId="0" fontId="44" fillId="12" borderId="0" xfId="0" applyFont="1" applyFill="1" applyAlignment="1">
      <alignment horizont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44" fillId="12" borderId="24" xfId="0" applyFont="1" applyFill="1" applyBorder="1" applyAlignment="1">
      <alignment horizontal="center"/>
    </xf>
    <xf numFmtId="0" fontId="49" fillId="26" borderId="0" xfId="0" applyFont="1" applyFill="1" applyAlignment="1">
      <alignment horizontal="center" vertical="center"/>
    </xf>
    <xf numFmtId="0" fontId="9" fillId="25" borderId="0" xfId="0" applyFont="1" applyFill="1" applyAlignment="1">
      <alignment horizontal="center"/>
    </xf>
    <xf numFmtId="0" fontId="9" fillId="23" borderId="0" xfId="0" applyFont="1" applyFill="1" applyAlignment="1">
      <alignment horizontal="center"/>
    </xf>
    <xf numFmtId="1" fontId="49" fillId="24" borderId="0" xfId="0" applyNumberFormat="1" applyFont="1" applyFill="1" applyAlignment="1">
      <alignment horizontal="center" vertical="center"/>
    </xf>
    <xf numFmtId="0" fontId="9" fillId="7" borderId="27" xfId="0" applyFont="1" applyFill="1" applyBorder="1" applyAlignment="1">
      <alignment horizontal="center" wrapText="1"/>
    </xf>
    <xf numFmtId="0" fontId="9" fillId="7" borderId="30" xfId="0" applyFont="1" applyFill="1" applyBorder="1" applyAlignment="1">
      <alignment horizontal="center" wrapText="1"/>
    </xf>
    <xf numFmtId="0" fontId="9" fillId="0" borderId="25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9" fillId="4" borderId="0" xfId="0" applyFont="1" applyFill="1" applyAlignment="1">
      <alignment horizontal="center"/>
    </xf>
    <xf numFmtId="0" fontId="18" fillId="0" borderId="3" xfId="1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8" fillId="0" borderId="4" xfId="1" applyNumberFormat="1" applyFont="1" applyBorder="1" applyAlignment="1">
      <alignment horizontal="center" vertical="center"/>
    </xf>
    <xf numFmtId="0" fontId="18" fillId="0" borderId="5" xfId="1" applyNumberFormat="1" applyFont="1" applyBorder="1" applyAlignment="1">
      <alignment horizontal="center" vertical="center"/>
    </xf>
    <xf numFmtId="0" fontId="18" fillId="0" borderId="6" xfId="1" applyNumberFormat="1" applyFont="1" applyBorder="1" applyAlignment="1">
      <alignment horizontal="center" vertical="center"/>
    </xf>
    <xf numFmtId="0" fontId="18" fillId="0" borderId="11" xfId="1" applyNumberFormat="1" applyFont="1" applyBorder="1" applyAlignment="1">
      <alignment horizontal="center" vertical="center"/>
    </xf>
    <xf numFmtId="0" fontId="18" fillId="0" borderId="12" xfId="1" applyNumberFormat="1" applyFont="1" applyBorder="1" applyAlignment="1">
      <alignment horizontal="center" vertical="center"/>
    </xf>
    <xf numFmtId="0" fontId="18" fillId="0" borderId="10" xfId="1" applyNumberFormat="1" applyFont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304535A5-7B6E-4979-B217-14EB651AE72C}"/>
  </cellStyles>
  <dxfs count="30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3CD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0C1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3C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3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0C1"/>
        </patternFill>
      </fill>
    </dxf>
    <dxf>
      <fill>
        <patternFill>
          <bgColor rgb="FFFFF0C1"/>
        </patternFill>
      </fill>
    </dxf>
    <dxf>
      <fill>
        <patternFill>
          <bgColor rgb="FFFFF3C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0C1"/>
        </patternFill>
      </fill>
    </dxf>
    <dxf>
      <fill>
        <patternFill>
          <bgColor rgb="FFFFF0C1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0C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0C1"/>
        </patternFill>
      </fill>
    </dxf>
    <dxf>
      <fill>
        <patternFill>
          <bgColor rgb="FFFFF3CD"/>
        </patternFill>
      </fill>
    </dxf>
    <dxf>
      <fill>
        <patternFill>
          <bgColor rgb="FFFFF3CD"/>
        </patternFill>
      </fill>
    </dxf>
    <dxf>
      <fill>
        <patternFill>
          <bgColor rgb="FFFFF3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EFB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1C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0C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3C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EFBD"/>
        </patternFill>
      </fill>
    </dxf>
    <dxf>
      <fill>
        <patternFill>
          <bgColor rgb="FFFFF0C1"/>
        </patternFill>
      </fill>
    </dxf>
    <dxf>
      <fill>
        <patternFill>
          <bgColor rgb="FFFFF0C1"/>
        </patternFill>
      </fill>
    </dxf>
    <dxf>
      <fill>
        <patternFill>
          <bgColor rgb="FFFFF0C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EFBD"/>
        </patternFill>
      </fill>
    </dxf>
    <dxf>
      <fill>
        <patternFill>
          <bgColor rgb="FFFFEFBD"/>
        </patternFill>
      </fill>
    </dxf>
    <dxf>
      <fill>
        <patternFill>
          <bgColor rgb="FFFFEFBD"/>
        </patternFill>
      </fill>
    </dxf>
    <dxf>
      <fill>
        <patternFill>
          <bgColor rgb="FFFFEFBD"/>
        </patternFill>
      </fill>
    </dxf>
    <dxf>
      <fill>
        <patternFill>
          <bgColor rgb="FFFFF0C1"/>
        </patternFill>
      </fill>
    </dxf>
    <dxf>
      <fill>
        <patternFill>
          <bgColor rgb="FFFFF0C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0C1"/>
        </patternFill>
      </fill>
    </dxf>
    <dxf>
      <fill>
        <patternFill>
          <bgColor rgb="FFFFF0C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0C1"/>
        </patternFill>
      </fill>
    </dxf>
    <dxf>
      <fill>
        <patternFill>
          <bgColor rgb="FFFFF0C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0C1"/>
        </patternFill>
      </fill>
    </dxf>
    <dxf>
      <fill>
        <patternFill>
          <bgColor rgb="FFFFF0C1"/>
        </patternFill>
      </fill>
    </dxf>
    <dxf>
      <fill>
        <patternFill>
          <bgColor rgb="FFFFF0C1"/>
        </patternFill>
      </fill>
    </dxf>
    <dxf>
      <fill>
        <patternFill>
          <bgColor rgb="FFFFF0C1"/>
        </patternFill>
      </fill>
    </dxf>
    <dxf>
      <fill>
        <patternFill>
          <bgColor rgb="FFFFF0C1"/>
        </patternFill>
      </fill>
    </dxf>
    <dxf>
      <fill>
        <patternFill>
          <bgColor rgb="FFFFF0C1"/>
        </patternFill>
      </fill>
    </dxf>
    <dxf>
      <fill>
        <patternFill>
          <bgColor rgb="FFFFF0C1"/>
        </patternFill>
      </fill>
    </dxf>
    <dxf>
      <fill>
        <patternFill>
          <bgColor rgb="FFFFF0C1"/>
        </patternFill>
      </fill>
    </dxf>
    <dxf>
      <fill>
        <patternFill>
          <bgColor rgb="FFFFF0C1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30" formatCode="@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yyyy\-mm\-dd;@"/>
    </dxf>
    <dxf>
      <numFmt numFmtId="166" formatCode="yyyy\-mm\-dd;@"/>
    </dxf>
    <dxf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yyyy\-mm\-dd;@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1"/>
        <scheme val="none"/>
      </font>
      <numFmt numFmtId="0" formatCode="General"/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166" formatCode="yyyy\-mm\-dd;@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1"/>
        <scheme val="none"/>
      </font>
      <numFmt numFmtId="0" formatCode="General"/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yyyy\-mm\-dd;@"/>
    </dxf>
    <dxf>
      <numFmt numFmtId="0" formatCode="General"/>
    </dxf>
    <dxf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numFmt numFmtId="0" formatCode="General"/>
      <fill>
        <patternFill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6" formatCode="yyyy\-mm\-dd;@"/>
    </dxf>
    <dxf>
      <numFmt numFmtId="0" formatCode="General"/>
    </dxf>
    <dxf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numFmt numFmtId="0" formatCode="General"/>
      <fill>
        <patternFill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left" vertical="center" textRotation="0" wrapText="0" indent="0" justifyLastLine="0" shrinkToFit="0" readingOrder="0"/>
    </dxf>
    <dxf>
      <numFmt numFmtId="166" formatCode="yyyy\-mm\-dd;@"/>
    </dxf>
    <dxf>
      <numFmt numFmtId="1" formatCode="0"/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6" formatCode="yyyy\-mm\-dd;@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charset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yyyy\-mm\-dd;@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1"/>
        <scheme val="none"/>
      </font>
      <numFmt numFmtId="0" formatCode="General"/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1C5"/>
      <color rgb="FFFFF3CD"/>
      <color rgb="FFFCE7DC"/>
      <color rgb="FFFFEFBD"/>
      <color rgb="FFFFF0C1"/>
      <color rgb="FFFFEEB9"/>
      <color rgb="FFFFFF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CATEGORIES</a:t>
            </a:r>
            <a:r>
              <a:rPr lang="en-US" baseline="0"/>
              <a:t> ASSET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'BASE-DATA'!$C$6</c:f>
              <c:strCache>
                <c:ptCount val="1"/>
                <c:pt idx="0">
                  <c:v>TOTAL DEVICES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'BASE-DATA'!$B$7:$B$12</c:f>
              <c:strCache>
                <c:ptCount val="6"/>
                <c:pt idx="1">
                  <c:v>COMPUTER</c:v>
                </c:pt>
                <c:pt idx="2">
                  <c:v>DISPLAY</c:v>
                </c:pt>
                <c:pt idx="3">
                  <c:v>NETWORK DEVICES</c:v>
                </c:pt>
                <c:pt idx="4">
                  <c:v>PERIPHERAL</c:v>
                </c:pt>
                <c:pt idx="5">
                  <c:v>UTILITIES</c:v>
                </c:pt>
              </c:strCache>
            </c:strRef>
          </c:cat>
          <c:val>
            <c:numRef>
              <c:f>'BASE-DATA'!$C$7:$C$12</c:f>
              <c:numCache>
                <c:formatCode>General</c:formatCode>
                <c:ptCount val="6"/>
                <c:pt idx="1">
                  <c:v>57</c:v>
                </c:pt>
                <c:pt idx="2">
                  <c:v>22</c:v>
                </c:pt>
                <c:pt idx="3">
                  <c:v>8</c:v>
                </c:pt>
                <c:pt idx="4">
                  <c:v>57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C-4A77-8695-872C1B4FF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915760"/>
        <c:axId val="462157808"/>
      </c:barChart>
      <c:catAx>
        <c:axId val="97915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157808"/>
        <c:crosses val="autoZero"/>
        <c:auto val="1"/>
        <c:lblAlgn val="ctr"/>
        <c:lblOffset val="100"/>
        <c:noMultiLvlLbl val="0"/>
      </c:catAx>
      <c:valAx>
        <c:axId val="46215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1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16</xdr:row>
      <xdr:rowOff>9524</xdr:rowOff>
    </xdr:from>
    <xdr:to>
      <xdr:col>8</xdr:col>
      <xdr:colOff>600074</xdr:colOff>
      <xdr:row>31</xdr:row>
      <xdr:rowOff>19049</xdr:rowOff>
    </xdr:to>
    <xdr:graphicFrame macro="">
      <xdr:nvGraphicFramePr>
        <xdr:cNvPr id="25" name="Chart 5">
          <a:extLst>
            <a:ext uri="{FF2B5EF4-FFF2-40B4-BE49-F238E27FC236}">
              <a16:creationId xmlns:a16="http://schemas.microsoft.com/office/drawing/2014/main" id="{A8FD8DC8-B734-43D0-8C1B-A45B222101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XFControls"/>
  <bag type="XFComplement">
    <bagId k="XFControls">4</bagId>
  </bag>
  <bag type="DXFComplements" extRef="DXFComplementsMapperExtRef">
    <a k="MappedFeaturePropertyBags">
      <bagId>2</bagId>
      <bagId>5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Support PGT" id="{7CFBFD1C-54B9-471A-94C2-56BC61E75800}" userId="S::support@pgt.id::77561498-6bcf-49af-b2f3-36d9e6ff5a4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721927-7DB8-4A59-9631-203F6D0550F1}" name="tbl_computer" displayName="tbl_computer" ref="A2:AV62" totalsRowShown="0" headerRowDxfId="306" tableBorderDxfId="305" headerRowCellStyle="Normal 2">
  <autoFilter ref="A2:AV62" xr:uid="{22721927-7DB8-4A59-9631-203F6D0550F1}">
    <filterColumn colId="9">
      <filters>
        <filter val="TABLET"/>
      </filters>
    </filterColumn>
  </autoFilter>
  <tableColumns count="48">
    <tableColumn id="49" xr3:uid="{309EE85A-EB32-4A41-ACCB-15C746577355}" name="No" dataDxfId="304">
      <calculatedColumnFormula>IF(tbl_computer[[#This Row],[No Asset]]&lt;&gt;"",SUBTOTAL(3,INDEX(tbl_computer[No Asset],1):tbl_computer[[#This Row],[No Asset]]),"")</calculatedColumnFormula>
    </tableColumn>
    <tableColumn id="46" xr3:uid="{8997F15C-F0AA-4C2A-BC20-F9C89A8092AD}" name="No Asset" dataDxfId="303">
      <calculatedColumnFormula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calculatedColumnFormula>
    </tableColumn>
    <tableColumn id="3" xr3:uid="{891F504F-11A1-4CA5-9BFD-7D8B06DAA64C}" name="Purchase Date" dataDxfId="302"/>
    <tableColumn id="4" xr3:uid="{C2D89C06-8434-4BF5-B433-79CE3F1BC725}" name="No PO"/>
    <tableColumn id="5" xr3:uid="{499F121A-66CD-412E-A69A-18E1CDDC3600}" name="Location" dataDxfId="301"/>
    <tableColumn id="6" xr3:uid="{30E59F0C-1BB8-4F22-B195-02E939BFCFB2}" name="Current Location" dataDxfId="300"/>
    <tableColumn id="7" xr3:uid="{A4F0AFC4-24BF-4152-9A82-FADE4E4053AF}" name="Categories" dataDxfId="299"/>
    <tableColumn id="2" xr3:uid="{6899313D-5C97-48FF-8404-5405DC3E0CEE}" name="Sub-Cat" dataDxfId="298"/>
    <tableColumn id="8" xr3:uid="{49D3BA75-F197-4EFE-9976-BD2AAE965568}" name="Device Name"/>
    <tableColumn id="9" xr3:uid="{0F4AE1D0-5DD8-4172-A8A5-853EC6FAE13E}" name="Short Name"/>
    <tableColumn id="10" xr3:uid="{B27BDBA2-C7D0-49CF-9CED-329F3E23EA23}" name="S/N PC UNIT" dataDxfId="297"/>
    <tableColumn id="11" xr3:uid="{3AE96243-0072-4DDB-8759-99F583FB724A}" name="Manufacture" dataDxfId="296"/>
    <tableColumn id="12" xr3:uid="{1BC734EE-7646-4C4E-82F8-D979D4DA2E40}" name="Model Name"/>
    <tableColumn id="13" xr3:uid="{3CEB32FF-4A1C-452B-A2CF-7E46AEDB0D24}" name="Type" dataDxfId="295"/>
    <tableColumn id="14" xr3:uid="{2C60C6E4-47F6-4719-87AD-66AB0BA93D4B}" name="Hostname" dataDxfId="294"/>
    <tableColumn id="15" xr3:uid="{77F2BDDA-D16B-4DC6-9D85-D0F15D18964E}" name="Version" dataDxfId="293"/>
    <tableColumn id="16" xr3:uid="{F4F6AD76-6801-4091-8D4B-B878F93682BC}" name="Product Key" dataDxfId="292"/>
    <tableColumn id="17" xr3:uid="{EDC9E27D-36AB-42B9-BCD5-0B96F542AA45}" name="IP_WIFI" dataDxfId="291"/>
    <tableColumn id="18" xr3:uid="{A40FC409-C2BC-428A-A243-01BDE94F2657}" name="IP_ETH" dataDxfId="290"/>
    <tableColumn id="19" xr3:uid="{1067C4AD-F90C-4F18-A01A-6182734D84C8}" name="MC_WIFI" dataDxfId="289"/>
    <tableColumn id="20" xr3:uid="{02DA0DC5-37F2-4615-8370-F9C9324B10A8}" name="MC_ETH" dataDxfId="288"/>
    <tableColumn id="21" xr3:uid="{C9BEEF77-D3D3-4023-96CF-B9F3A5FE09E5}" name="Processor_MFG" dataDxfId="287"/>
    <tableColumn id="22" xr3:uid="{4BB9F196-7068-434E-8D18-9AE30CF38740}" name="Model" dataDxfId="286"/>
    <tableColumn id="23" xr3:uid="{65B18C14-9234-4204-AAF9-2DF1E5A65FF4}" name="Specifik"/>
    <tableColumn id="24" xr3:uid="{0D119461-487D-46F4-A3B2-93367DA9401A}" name="RAM_MFG" dataDxfId="285"/>
    <tableColumn id="25" xr3:uid="{16D2CEF6-5D26-4912-A18B-79EF12F4734E}" name="RAM_Type" dataDxfId="284"/>
    <tableColumn id="26" xr3:uid="{B66DC4B1-A726-4465-AC7C-1F7DF4641430}" name="Speed" dataDxfId="283"/>
    <tableColumn id="27" xr3:uid="{25691A41-1BCD-4F86-A83C-B7C171E60E58}" name="Slot" dataDxfId="282"/>
    <tableColumn id="28" xr3:uid="{2A109341-8114-4158-82FA-20E3556C2351}" name="Chanel" dataDxfId="281"/>
    <tableColumn id="29" xr3:uid="{AF4A4A5A-D763-44D1-A657-E1BE186714EA}" name="Size (GB)" dataDxfId="280"/>
    <tableColumn id="30" xr3:uid="{87E158B6-05A4-4708-A420-B1F31A9F118D}" name="GPU_Model" dataDxfId="279"/>
    <tableColumn id="31" xr3:uid="{BF55B412-E184-41E0-B6FF-C0A367526205}" name="Onboard (Y/N)"/>
    <tableColumn id="32" xr3:uid="{9789CEC9-4F2A-4486-A823-2EAFDDF9D67B}" name="Storage_MFG" dataDxfId="278"/>
    <tableColumn id="33" xr3:uid="{96FB13E2-49B2-4F6E-8693-C86C62149765}" name="Storage_Type" dataDxfId="277"/>
    <tableColumn id="34" xr3:uid="{A60B2FE3-0721-493A-BD29-690D75FF7F04}" name="Storage_Size_x000a_(GB)" dataDxfId="276"/>
    <tableColumn id="35" xr3:uid="{3DF3ECC8-4A67-437D-839B-EBB408A8F79B}" name="Model11" dataDxfId="275"/>
    <tableColumn id="36" xr3:uid="{85537FB5-EEEC-4E9D-899D-4CFE2E703F91}" name="Type12" dataDxfId="274"/>
    <tableColumn id="37" xr3:uid="{E70F30CB-9E91-49C3-8EEF-0AED39AD8A73}" name="Size" dataDxfId="273"/>
    <tableColumn id="38" xr3:uid="{92F15718-26C5-4D1E-B2DF-E083CFD2BA32}" name="Device Condition" dataDxfId="272"/>
    <tableColumn id="39" xr3:uid="{8FC26BBD-FDC7-4C80-890D-DAF40A954F77}" name="Ownership" dataDxfId="271"/>
    <tableColumn id="1" xr3:uid="{4DD112A0-6A15-4BC2-9EA1-9641702BC464}" name="Asset PIC" dataDxfId="270"/>
    <tableColumn id="40" xr3:uid="{47270E3A-B822-443B-925F-DCE5E40ABE70}" name="Usage Status" dataDxfId="269"/>
    <tableColumn id="41" xr3:uid="{251FCCD5-CC54-4959-B52A-2AC34261C892}" name="NOTES" dataDxfId="268"/>
    <tableColumn id="42" xr3:uid="{AE555186-478D-41A8-B132-EA587603CFA2}" name="img_1"/>
    <tableColumn id="43" xr3:uid="{A91A3419-8276-4F9A-A140-1DB5E81F8373}" name="img_2"/>
    <tableColumn id="44" xr3:uid="{3DF1CFBF-CE89-4685-AB7B-12EEF9E2F8E1}" name="img_3"/>
    <tableColumn id="45" xr3:uid="{282C1AAB-CC39-4C95-AB08-F0D7C7179267}" name="Labeling" dataDxfId="267"/>
    <tableColumn id="47" xr3:uid="{57B33AEF-AC42-43A0-A0F4-827D66EBB4C4}" name="Handover Doc" dataDxfId="266">
      <calculatedColumnFormula>_xlfn.IFNA(INDEX(tbl_handover[No. Handover],MATCH(tbl_computer[[#This Row],[No Asset]],tbl_handover[Asset Code],0)),"")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366217-5F45-4737-83CB-9B250D48FFCB}" name="tbl_display" displayName="tbl_display" ref="A2:AD38" totalsRowShown="0" headerRowDxfId="265" tableBorderDxfId="264" headerRowCellStyle="Normal 2">
  <autoFilter ref="A2:AD38" xr:uid="{16366217-5F45-4737-83CB-9B250D48FFCB}"/>
  <tableColumns count="30">
    <tableColumn id="1" xr3:uid="{429FC66D-12BB-4284-93A7-C5D9F49FDB5E}" name="No" dataDxfId="263">
      <calculatedColumnFormula>IF(tbl_display[[#This Row],[No Asset]]&lt;&gt;"",SUBTOTAL(3,INDEX(tbl_display[No Asset],1):tbl_display[[#This Row],[No Asset]]),"")</calculatedColumnFormula>
    </tableColumn>
    <tableColumn id="2" xr3:uid="{39751865-BF7A-4052-9519-6C7DE8405740}" name="No Asset" dataDxfId="262">
      <calculatedColumnFormula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calculatedColumnFormula>
    </tableColumn>
    <tableColumn id="3" xr3:uid="{555F2337-EF29-4EA7-9100-77D3C338D6B2}" name="Purchase Date" dataDxfId="261"/>
    <tableColumn id="4" xr3:uid="{3A7ACB8C-7B9F-4C4F-BD1F-9D783FA35132}" name="No PO"/>
    <tableColumn id="5" xr3:uid="{BDB8A37C-A365-4A29-87C3-7814F8767862}" name="Location"/>
    <tableColumn id="6" xr3:uid="{5E406CDF-7074-4A15-8D76-5C5EACC6AD4F}" name="Current Location" dataDxfId="260"/>
    <tableColumn id="7" xr3:uid="{06263E9D-96C5-421D-92BF-490C1995D54D}" name="Categories"/>
    <tableColumn id="29" xr3:uid="{3E1678C7-BE63-43C6-BBF4-48BAFBEF55E6}" name="Sub-Cat"/>
    <tableColumn id="8" xr3:uid="{C3F68D5B-62EE-4396-A55A-FD4B2BAA7479}" name="Hostname"/>
    <tableColumn id="9" xr3:uid="{D0C07852-0543-4CB9-AD7B-29D1C0BF23DB}" name="Device Name"/>
    <tableColumn id="10" xr3:uid="{00EE1138-1BE0-40D0-9EA8-A869B342CB67}" name="Short Name"/>
    <tableColumn id="11" xr3:uid="{366C7F67-14A7-4524-8F2A-9B504C86F3A0}" name="S/N Unit" dataDxfId="259"/>
    <tableColumn id="12" xr3:uid="{60B4E5D4-8DD2-4BDB-8A95-BF1D90738AB6}" name="Model" dataDxfId="258"/>
    <tableColumn id="13" xr3:uid="{2A087857-9CCC-4D6E-AD94-BD3044F9D0B4}" name="Type" dataDxfId="257"/>
    <tableColumn id="14" xr3:uid="{44AF40D8-ADB4-4A5C-957D-22D0196E6F14}" name="Resolution"/>
    <tableColumn id="15" xr3:uid="{E20F73E4-6C13-4D2B-83E6-0A9DF24D4309}" name="Panel Size" dataDxfId="256"/>
    <tableColumn id="16" xr3:uid="{8CD2E34D-ECFD-4B16-8A8B-A4E47DD669B6}" name="VGA" dataDxfId="255"/>
    <tableColumn id="17" xr3:uid="{B4944C9F-F668-4880-95AC-67212038457F}" name="HDMI" dataDxfId="254"/>
    <tableColumn id="18" xr3:uid="{005A866E-FBD8-46A8-8AA7-0F067D202E08}" name="LAN" dataDxfId="253"/>
    <tableColumn id="19" xr3:uid="{2BE1F3C0-FC54-41E4-BADE-3E39B1FA3056}" name="WIFI" dataDxfId="252"/>
    <tableColumn id="20" xr3:uid="{EB3C95C4-77A5-4946-A20B-BDBCD3307D46}" name="USB" dataDxfId="251"/>
    <tableColumn id="21" xr3:uid="{8B26BC0E-68DB-4EB7-8FCA-ABFCE222F22A}" name="Device Condition" dataDxfId="250"/>
    <tableColumn id="22" xr3:uid="{7EA91EA5-4E1B-4462-A8F3-C6401A65F5FC}" name="Ownership" dataDxfId="249"/>
    <tableColumn id="23" xr3:uid="{67A31A0F-43E6-4907-A916-54C799656EB1}" name="Usage Status" dataDxfId="248"/>
    <tableColumn id="24" xr3:uid="{B5FD2F94-5599-4964-8881-7F005C8B3988}" name="Notes" dataDxfId="247"/>
    <tableColumn id="25" xr3:uid="{D5858D22-92AC-4C70-8243-B39EA752FEA6}" name="img_1"/>
    <tableColumn id="26" xr3:uid="{78AF0016-029C-4CC1-9489-CFEBBC856F00}" name="img_2"/>
    <tableColumn id="27" xr3:uid="{C46CE434-C9FE-4E4B-A8AD-CC225579B523}" name="img_3"/>
    <tableColumn id="28" xr3:uid="{8469ED8F-B8C1-46A0-8693-C6F13A3603E2}" name="Labeling" dataDxfId="246"/>
    <tableColumn id="30" xr3:uid="{81DEDA18-4DB3-473F-9FFB-D322A45FC216}" name="Handover Doc" dataDxfId="245">
      <calculatedColumnFormula>_xlfn.IFNA(INDEX(tbl_handover[No. Handover],MATCH(tbl_display[[#This Row],[No Asset]],tbl_handover[Asset Code],0)),"")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0D83CD-493C-44FC-844F-F5A8E43D576F}" name="tbl_network" displayName="tbl_network" ref="A2:AO27" totalsRowShown="0" headerRowDxfId="244" headerRowBorderDxfId="243" tableBorderDxfId="242" headerRowCellStyle="Normal 2">
  <tableColumns count="41">
    <tableColumn id="1" xr3:uid="{53C7EC81-FEB6-424C-96D7-3ADE9D0CBD3A}" name="No" dataDxfId="241">
      <calculatedColumnFormula>IF(tbl_network[[#This Row],[No Asset]]&lt;&gt;"",SUBTOTAL(3,INDEX(tbl_network[No Asset],1):tbl_network[[#This Row],[No Asset]]),"")</calculatedColumnFormula>
    </tableColumn>
    <tableColumn id="2" xr3:uid="{AB266A38-A9DB-415A-881F-3135CDD67548}" name="No Asset">
      <calculatedColumnFormula>IF(OR(tbl_network[[#This Row],[Purchase Date]]="",tbl_network[[#This Row],[Categories]]=""),"",
TEXT(tbl_network[[#This Row],[Purchase Date]],"YYMM")&amp;
_xlfn.XLOOKUP(tbl_network[[#This Row],[Categories]],CODEX!$Z:$Z,CODEX!$W:$W,"")&amp;
TEXT(_xlfn.XLOOKUP(tbl_network[[#This Row],[Categories]],CODEX!$Z:$Z,CODEX!$Y:$Y,""),"00")&amp;
TEXT(COUNTIFS(INDEX(tbl_network[Purchase Date],1):tbl_network[[#This Row],[Purchase Date]],"&gt;="&amp;DATE(YEAR(tbl_network[[#This Row],[Purchase Date]]),MONTH(tbl_network[[#This Row],[Purchase Date]]),1),INDEX(tbl_network[Purchase Date],1):tbl_network[[#This Row],[Purchase Date]],"&lt;"&amp;EDATE(DATE(YEAR(tbl_network[[#This Row],[Purchase Date]]),MONTH(tbl_network[[#This Row],[Purchase Date]]),1),1),INDEX(tbl_network[Categories],1):tbl_network[[#This Row],[Categories]],tbl_network[[#This Row],[Categories]]),"000"))</calculatedColumnFormula>
    </tableColumn>
    <tableColumn id="3" xr3:uid="{988A1906-01D6-484B-A4C9-572EE10AE048}" name="Purchase Date" dataDxfId="240"/>
    <tableColumn id="4" xr3:uid="{6CE1B7DD-D27F-424D-ADB3-885110553F26}" name="No PO"/>
    <tableColumn id="5" xr3:uid="{549C21DF-726D-4F64-B951-D3A81BCE9ED4}" name="Location"/>
    <tableColumn id="6" xr3:uid="{A164CD89-2EA3-44A5-93D7-34F9DBFB99AA}" name="Current Location" dataDxfId="239"/>
    <tableColumn id="7" xr3:uid="{0423B0C1-9211-422F-9212-04951E700ABD}" name="Categories" dataDxfId="238"/>
    <tableColumn id="8" xr3:uid="{D32B8FB1-27C1-48DE-9FE6-5898AB5BE91A}" name="Sub-Cat" dataDxfId="237"/>
    <tableColumn id="9" xr3:uid="{ECB3CC50-44DF-4E91-A3F2-462AC87A4BE7}" name="Device Name"/>
    <tableColumn id="10" xr3:uid="{24B701CF-35A1-44C2-B349-76FFB8979101}" name="Model Name"/>
    <tableColumn id="11" xr3:uid="{E1A43AD9-4DDA-4FFD-A389-89537F84AF8B}" name="S/N Unit"/>
    <tableColumn id="12" xr3:uid="{AB96BBC2-A03A-42ED-AFAA-13E9609B4873}" name="Manufacture"/>
    <tableColumn id="13" xr3:uid="{1354AE18-A25C-4B02-A851-747250A71D4F}" name="Type"/>
    <tableColumn id="14" xr3:uid="{5623407F-70F2-4881-A367-724DA2D8A6DD}" name="Model / Detil Spc."/>
    <tableColumn id="33" xr3:uid="{54201A71-D6C4-45A1-878E-F6B17794DDE6}" name="Hostname"/>
    <tableColumn id="32" xr3:uid="{B0C8CEE9-C22F-444F-B8B3-00251869B58D}" name="Firmware" dataDxfId="236"/>
    <tableColumn id="15" xr3:uid="{17BF83E8-42D5-46B2-8822-F2AB7C823E03}" name="Firmware Version" dataDxfId="235"/>
    <tableColumn id="16" xr3:uid="{A7D3B747-34F9-44C3-BC64-F14B08E68235}" name="Credential - Username" dataDxfId="234"/>
    <tableColumn id="42" xr3:uid="{3DA43132-B972-4209-8CB8-60AD98FFFC02}" name="Credential - Password" dataDxfId="233"/>
    <tableColumn id="41" xr3:uid="{E96B63AA-4A4A-4946-AF4A-F7E3B5476C95}" name="IP_WIFI" dataDxfId="232"/>
    <tableColumn id="40" xr3:uid="{F49C2A82-9CE6-41A6-AF23-430713F0D72A}" name="IP_ETH"/>
    <tableColumn id="39" xr3:uid="{731DE3EC-9BD8-4CD7-A4AB-8A79CBF3510F}" name="MC_WIFI"/>
    <tableColumn id="38" xr3:uid="{B53A43E8-D5B2-4588-90CC-26EF396AB989}" name="MC_ETH"/>
    <tableColumn id="37" xr3:uid="{05115794-EDCF-4402-930A-EC3B3DB0AF0D}" name="Connection Type"/>
    <tableColumn id="36" xr3:uid="{F035649E-D252-4AEC-BC22-01C8BB2D4558}" name="Protocol / Stream URL"/>
    <tableColumn id="46" xr3:uid="{4BA760A2-33E5-4DAF-9F64-B5D7ACAF21AF}" name="Storage_Size_x000a_(GB)"/>
    <tableColumn id="17" xr3:uid="{3DBB1F55-6809-4B96-B451-D33BCB874580}" name="USB"/>
    <tableColumn id="18" xr3:uid="{B7A1A33C-8259-48C5-98CE-F54BD7258363}" name="RJ45 Port"/>
    <tableColumn id="19" xr3:uid="{F6588390-5A4D-49A1-96CC-ED14850BA65F}" name="SFP+ Slot"/>
    <tableColumn id="20" xr3:uid="{CBEFD2D5-21BF-45D4-AE5B-1075EED69BDF}" name="Console Port"/>
    <tableColumn id="21" xr3:uid="{A03B128F-FFF7-42EE-A94A-92B6DB1E09EB}" name="Power Port"/>
    <tableColumn id="22" xr3:uid="{54A14989-2F02-4E97-91EA-683E42BF20D7}" name="Device Condition"/>
    <tableColumn id="23" xr3:uid="{0CB8BE89-1C49-4DF7-A7B9-E3F37E00032A}" name="Ownership" dataDxfId="231"/>
    <tableColumn id="31" xr3:uid="{790587C9-0DEC-461D-A90C-552F0F6F3A6A}" name="Asset PIC" dataDxfId="230"/>
    <tableColumn id="27" xr3:uid="{766CD39D-18E5-45C1-9006-B2C84146A5CA}" name="Usage Status" dataDxfId="229"/>
    <tableColumn id="28" xr3:uid="{4D1CB050-6C5E-456C-947F-06AB1796F113}" name="NOTE" dataDxfId="228"/>
    <tableColumn id="24" xr3:uid="{109BA612-34B7-4833-932C-2F248CA0CA89}" name="img_1"/>
    <tableColumn id="25" xr3:uid="{0C999FAB-8AD1-4262-9AAB-31DA6B4182FF}" name="img_2"/>
    <tableColumn id="26" xr3:uid="{06F3FA57-74FC-415E-B28E-D10644F09DA4}" name="img_3"/>
    <tableColumn id="29" xr3:uid="{86A80846-0F7C-4C65-AD65-FA0E37BF6C7F}" name="Labeling" dataDxfId="227"/>
    <tableColumn id="30" xr3:uid="{EAFD755B-33F0-4442-BE1B-919C9B19760D}" name="Handover Doc" dataDxfId="226">
      <calculatedColumnFormula>_xlfn.IFNA(INDEX(tbl_handover[No. Handover],MATCH(tbl_network[[#This Row],[No Asset]],tbl_handover[Asset Code],0)),"")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11AE2A9-833B-4E5E-9B33-5FB3D68E7DAA}" name="tbl_peripheral" displayName="tbl_peripheral" ref="A2:AG62" totalsRowShown="0" headerRowDxfId="225" headerRowCellStyle="Normal 2">
  <autoFilter ref="A2:AG62" xr:uid="{011AE2A9-833B-4E5E-9B33-5FB3D68E7DAA}"/>
  <tableColumns count="33">
    <tableColumn id="1" xr3:uid="{4902AB6E-5F28-40BC-A26A-3FB833EA0160}" name="No" dataDxfId="224">
      <calculatedColumnFormula>IF(tbl_peripheral[[#This Row],[No Asset]]&lt;&gt;"",SUBTOTAL(3,INDEX(tbl_peripheral[No Asset],1):tbl_peripheral[[#This Row],[No Asset]]),"")</calculatedColumnFormula>
    </tableColumn>
    <tableColumn id="2" xr3:uid="{B68FF02E-A550-4F7C-9574-AC6926E67266}" name="No Asset" dataDxfId="223">
      <calculatedColumnFormula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calculatedColumnFormula>
    </tableColumn>
    <tableColumn id="3" xr3:uid="{6A31329E-01EC-4FCE-97CE-F4380598320A}" name="Purchase Date" dataDxfId="222"/>
    <tableColumn id="4" xr3:uid="{A160590D-3D60-47D8-BD19-B87D8D49065E}" name="No PO"/>
    <tableColumn id="5" xr3:uid="{5535D3BA-BFD8-426A-B1B7-1B07ACD75FEE}" name="Location"/>
    <tableColumn id="6" xr3:uid="{E246FBC4-762B-4147-8218-5D01650C9A03}" name="Room" dataDxfId="221"/>
    <tableColumn id="7" xr3:uid="{C818A951-715B-4915-B43A-61D3CD391D33}" name="Categories" dataDxfId="220"/>
    <tableColumn id="8" xr3:uid="{F5F64DA3-D391-46FC-ACE3-B3A02237E405}" name="Sub-Cat"/>
    <tableColumn id="9" xr3:uid="{68A43203-E15F-4CC9-9AFD-FB4B69FF2CAF}" name="Device Name"/>
    <tableColumn id="10" xr3:uid="{855D3A19-BE19-4A1E-A9F7-8B2D6C977F8B}" name="Short Name" dataDxfId="219"/>
    <tableColumn id="11" xr3:uid="{31DBDF49-F02B-470D-A4F0-D7F3238EDA7F}" name="S/N Unit" dataDxfId="218"/>
    <tableColumn id="12" xr3:uid="{C9CA1801-8936-4662-A99D-FBE1B2B3A33D}" name="Manufacture" dataDxfId="217"/>
    <tableColumn id="13" xr3:uid="{861CBF11-0BB6-444B-8D1A-2061921548DC}" name="Type" dataDxfId="216"/>
    <tableColumn id="14" xr3:uid="{FC21CD87-F6F0-4392-B2B4-600AD39F8BB2}" name="Model / Detil Spc."/>
    <tableColumn id="15" xr3:uid="{B04E9CA6-6761-4EF6-AFEF-E40CD82F35FC}" name="Hostname" dataDxfId="215"/>
    <tableColumn id="16" xr3:uid="{3F3A17B1-476A-4B70-AEB8-CA7C915F9939}" name="Mac Address" dataDxfId="214"/>
    <tableColumn id="17" xr3:uid="{403DD6E5-3304-473F-A043-DD459AFB763F}" name="IP Address" dataDxfId="213"/>
    <tableColumn id="18" xr3:uid="{C163A131-8298-41E8-B662-50AD516ADCA6}" name="Capacity" dataDxfId="212"/>
    <tableColumn id="19" xr3:uid="{B5C8F974-5A0F-4B1C-9EE0-07938C493A7F}" name="Speed" dataDxfId="211"/>
    <tableColumn id="20" xr3:uid="{083FFEF1-112F-4D69-A58F-62EEC55C4254}" name="USB" dataDxfId="210"/>
    <tableColumn id="21" xr3:uid="{99C69194-C671-4CF1-8576-8C74886FCED8}" name="BT/Wireless" dataDxfId="209"/>
    <tableColumn id="22" xr3:uid="{0416D2B5-BB2A-43FD-9E6E-FC745ABCCB0E}" name="HDMI" dataDxfId="208"/>
    <tableColumn id="23" xr3:uid="{B4B204E6-4234-43B2-BDFF-9928CBB3A2A5}" name="LAN" dataDxfId="207"/>
    <tableColumn id="24" xr3:uid="{3F77BC9A-BBDD-4B00-941C-46209ABB8441}" name="WIFI" dataDxfId="206"/>
    <tableColumn id="25" xr3:uid="{A03AB66C-F5AE-4549-AC51-AF22EA89D2D1}" name="Device Condition" dataDxfId="205"/>
    <tableColumn id="26" xr3:uid="{E05B08C8-AF88-4EFD-8E03-932DC49406DA}" name="Ownership" dataDxfId="204"/>
    <tableColumn id="27" xr3:uid="{056A2506-C044-43EC-A124-9FFC2C184FB4}" name="Usage Status" dataDxfId="203"/>
    <tableColumn id="28" xr3:uid="{11D6584A-07C7-4CBC-A61D-D05C8C98A853}" name="Notes" dataDxfId="202"/>
    <tableColumn id="29" xr3:uid="{8BF47E5C-7309-4081-B0B1-819BB2B7A52F}" name="img_1"/>
    <tableColumn id="30" xr3:uid="{DB821846-D999-473C-8BAA-36D788F495C5}" name="img_2"/>
    <tableColumn id="31" xr3:uid="{5B7E4A4D-693C-4F8C-998B-0641A8237189}" name="img_3"/>
    <tableColumn id="32" xr3:uid="{51CF7D3D-8DB7-4164-A030-49ADDC97DB6F}" name="Labeling" dataDxfId="201"/>
    <tableColumn id="33" xr3:uid="{0395404D-CDDB-4F7F-B519-A1E090B11668}" name="Handover Doc" dataDxfId="200">
      <calculatedColumnFormula>_xlfn.IFNA(INDEX(tbl_handover[No. Handover],MATCH(tbl_peripheral[[#This Row],[No Asset]],tbl_handover[Asset Code],0)),"")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403E8E-2051-4BDA-BAC2-DC1F7AACE79F}" name="tbl_utilities" displayName="tbl_utilities" ref="A2:V14" totalsRowShown="0" headerRowDxfId="199" headerRowCellStyle="Normal 2">
  <autoFilter ref="A2:V14" xr:uid="{78403E8E-2051-4BDA-BAC2-DC1F7AACE79F}"/>
  <tableColumns count="22">
    <tableColumn id="1" xr3:uid="{44EE1DAE-0AED-4A07-BAC6-F2334A212B78}" name="No" dataDxfId="198">
      <calculatedColumnFormula>IF(tbl_utilities[[#This Row],[No Asset]]&lt;&gt;"",SUBTOTAL(3,INDEX(tbl_utilities[No Asset],1):tbl_utilities[[#This Row],[No Asset]]),"")</calculatedColumnFormula>
    </tableColumn>
    <tableColumn id="2" xr3:uid="{75CF4B2A-4911-4D4E-8CD6-3ABF10AEBF45}" name="No Asset" dataDxfId="197">
      <calculatedColumnFormula>IF(OR(tbl_utilities[[#This Row],[Purchase Date]]="",tbl_utilities[[#This Row],[Categories]]=""),"",
TEXT(tbl_utilities[[#This Row],[Purchase Date]],"YYMM")&amp;
_xlfn.XLOOKUP(tbl_utilities[[#This Row],[Categories]],CODEX!$Z:$Z,CODEX!$W:$W,"")&amp;
TEXT(_xlfn.XLOOKUP(tbl_utilities[[#This Row],[Categories]],CODEX!$Z:$Z,CODEX!$Y:$Y,""),"00")&amp;
TEXT(COUNTIFS(INDEX(tbl_utilities[Purchase Date],1):tbl_utilities[[#This Row],[Purchase Date]],"&gt;="&amp;DATE(YEAR(tbl_utilities[[#This Row],[Purchase Date]]),MONTH(tbl_utilities[[#This Row],[Purchase Date]]),1),INDEX(tbl_utilities[Purchase Date],1):tbl_utilities[[#This Row],[Purchase Date]],"&lt;"&amp;EDATE(DATE(YEAR(tbl_utilities[[#This Row],[Purchase Date]]),MONTH(tbl_utilities[[#This Row],[Purchase Date]]),1),1),INDEX(tbl_utilities[Categories],1):tbl_utilities[[#This Row],[Categories]],tbl_utilities[[#This Row],[Categories]]),"000"))</calculatedColumnFormula>
    </tableColumn>
    <tableColumn id="3" xr3:uid="{5AC2C688-F605-4C30-BC5C-3B704A48D006}" name="Purchase Date" dataDxfId="196"/>
    <tableColumn id="4" xr3:uid="{0B04C548-7EF5-448C-8817-6AC7E0C32318}" name="No PO"/>
    <tableColumn id="5" xr3:uid="{BC728CA0-AF44-4125-9A64-BE58E15F6279}" name="Location"/>
    <tableColumn id="6" xr3:uid="{2818CC41-5387-42D8-A203-BE6143B779F0}" name="Categories"/>
    <tableColumn id="7" xr3:uid="{478AC377-80CE-40F7-9844-8B4721A7395C}" name="Sub-Cat"/>
    <tableColumn id="8" xr3:uid="{84B4BEB9-BCF2-47B5-A588-F71C57633243}" name="Device Name"/>
    <tableColumn id="9" xr3:uid="{45BCE4F5-2137-4B56-A52D-E3D67EF6DF11}" name="Short Name"/>
    <tableColumn id="10" xr3:uid="{6CDEFEAE-3FA0-48CF-A23B-66DBFBE1D0DD}" name="S/N Unit"/>
    <tableColumn id="11" xr3:uid="{88E244E6-F30E-400B-8E07-FAC647B7DDEC}" name="Manufacture"/>
    <tableColumn id="12" xr3:uid="{E767C4BB-2127-4B0C-84DF-005D36A6F6CF}" name="Model"/>
    <tableColumn id="13" xr3:uid="{01C76F4A-F7CC-459B-94DF-39CCC2B2A95A}" name="Type"/>
    <tableColumn id="14" xr3:uid="{F2AD4F33-3958-42BD-A536-95F9AC56E9F8}" name="Size"/>
    <tableColumn id="15" xr3:uid="{12AD133B-508C-4CA8-9DBE-FAFA726DE814}" name="Device Condition" dataDxfId="195"/>
    <tableColumn id="21" xr3:uid="{073FBFD7-D1E1-4456-93AE-7A529C9BC3A7}" name="Ownership" dataDxfId="194"/>
    <tableColumn id="16" xr3:uid="{FDB00F39-960E-4663-A002-AED30D6C98FB}" name="Usage Status" dataDxfId="193"/>
    <tableColumn id="17" xr3:uid="{AF12B092-B83F-4E87-823E-3DE3E1BD146E}" name="img_1"/>
    <tableColumn id="18" xr3:uid="{51752C01-0219-4249-A70E-53B00E0B1124}" name="img_2"/>
    <tableColumn id="19" xr3:uid="{11CEA4C7-ED91-4EC0-9674-1BB708FF36CD}" name="img_3"/>
    <tableColumn id="20" xr3:uid="{E476448E-F5B0-43F8-9733-41DBE177E1BA}" name="Labeling" dataDxfId="192"/>
    <tableColumn id="22" xr3:uid="{6896E93C-89BB-40FA-B579-FE1FEDCCF0FA}" name="Handover Doc" dataDxfId="191">
      <calculatedColumnFormula>_xlfn.IFNA(INDEX(tbl_handover[No. Handover],MATCH(tbl_utilities[[#This Row],[No Asset]],tbl_handover[Asset Code],0)),"")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C39CEE3-B348-4535-9BF4-A46058B0E891}" name="tbl_iot" displayName="tbl_iot" ref="A2:AK38" totalsRowShown="0" headerRowDxfId="190" dataDxfId="189" tableBorderDxfId="188" headerRowCellStyle="Normal 2">
  <autoFilter ref="A2:AK38" xr:uid="{22721927-7DB8-4A59-9631-203F6D0550F1}"/>
  <sortState xmlns:xlrd2="http://schemas.microsoft.com/office/spreadsheetml/2017/richdata2" ref="A3:AK24">
    <sortCondition ref="H2:H24"/>
  </sortState>
  <tableColumns count="37">
    <tableColumn id="49" xr3:uid="{F58A72E9-2822-4A00-9D18-C7026869B86F}" name="No" dataDxfId="187">
      <calculatedColumnFormula>IF(tbl_iot[[#This Row],[No Asset]]&lt;&gt;"",SUBTOTAL(3,INDEX(tbl_iot[No Asset],1):tbl_iot[[#This Row],[No Asset]]),"")</calculatedColumnFormula>
    </tableColumn>
    <tableColumn id="46" xr3:uid="{E422DCA5-0691-44AD-AB27-231C80C41CCB}" name="No Asset" dataDxfId="186">
      <calculatedColumnFormula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calculatedColumnFormula>
    </tableColumn>
    <tableColumn id="3" xr3:uid="{ADA6D550-83E4-4D79-AC3A-0195D0F49AD3}" name="Purchase Date" dataDxfId="185"/>
    <tableColumn id="4" xr3:uid="{F6982187-7011-400E-9691-2B41F5BC3FEA}" name="No PO" dataDxfId="184"/>
    <tableColumn id="5" xr3:uid="{29FB0472-13A7-4023-8C50-9DEE999B054C}" name="Location" dataDxfId="183"/>
    <tableColumn id="6" xr3:uid="{73BCC0C3-1F0F-4281-AAF2-05FB0CCEA3A0}" name="Current Location" dataDxfId="182"/>
    <tableColumn id="7" xr3:uid="{ABF22366-BA5D-4489-B4DD-28524146FF99}" name="Categories" dataDxfId="181"/>
    <tableColumn id="2" xr3:uid="{813E63FF-6537-4F1E-A58A-2DE107A1D576}" name="Sub-Cat" dataDxfId="180"/>
    <tableColumn id="8" xr3:uid="{F6A5D08A-EA84-4A12-8C73-AAB38096F61D}" name="Device Name" dataDxfId="179"/>
    <tableColumn id="9" xr3:uid="{A6DE5E73-646C-4669-B217-2F885A5AB068}" name="Short Name" dataDxfId="178"/>
    <tableColumn id="10" xr3:uid="{24B18361-D830-482E-B6F1-264FAEE12883}" name="S/N UNIT" dataDxfId="177"/>
    <tableColumn id="11" xr3:uid="{C7F18C75-FB23-414C-A0FC-350366451B4F}" name="Manufacture" dataDxfId="176"/>
    <tableColumn id="12" xr3:uid="{39EA35D6-0861-4C5E-AD44-DB7E9651BB33}" name="Model Name" dataDxfId="175"/>
    <tableColumn id="13" xr3:uid="{BB04653A-E329-48D8-AD28-19CC0D95BE13}" name="Type" dataDxfId="174"/>
    <tableColumn id="14" xr3:uid="{4651B7DE-5A72-4A42-B2E4-0D4EBA66F276}" name="Firmware Version" dataDxfId="173"/>
    <tableColumn id="15" xr3:uid="{CBE49EC6-7D84-4234-9EB2-73C96CAAC5B4}" name="Credential - Username" dataDxfId="172"/>
    <tableColumn id="16" xr3:uid="{72E5ED42-DE64-4924-9209-DD64B92D9B12}" name="Credential - Password" dataDxfId="171"/>
    <tableColumn id="17" xr3:uid="{6DFC16FA-248A-4FB6-AA77-4E1254A88A28}" name="IP_WIFI" dataDxfId="170"/>
    <tableColumn id="18" xr3:uid="{FA419F9C-9864-490D-97D0-4685E5733A06}" name="IP_ETH" dataDxfId="169"/>
    <tableColumn id="19" xr3:uid="{DD0BBA98-209F-4815-B496-462282C26DFB}" name="MC_WIFI" dataDxfId="168"/>
    <tableColumn id="20" xr3:uid="{2A738B92-DECC-48DB-A60F-56088367DFA3}" name="MC_ETH" dataDxfId="167"/>
    <tableColumn id="35" xr3:uid="{59389FB6-EA1A-4152-B9F1-D71711648133}" name="Connection Type" dataDxfId="166"/>
    <tableColumn id="36" xr3:uid="{63CC7C79-A1ED-4128-BCD3-7BC2A6517EA5}" name="Protocol / Stream URL" dataDxfId="165"/>
    <tableColumn id="32" xr3:uid="{16A82715-A056-4AEC-BAD8-8345259CDF00}" name="Storage_MFG" dataDxfId="164"/>
    <tableColumn id="33" xr3:uid="{DF94C808-18C3-4A8E-8612-A11EF308D7D8}" name="Storage_Type" dataDxfId="163"/>
    <tableColumn id="34" xr3:uid="{45871D30-C315-4789-8E55-44F22D55059B}" name="Storage_Size_x000a_(GB)" dataDxfId="162"/>
    <tableColumn id="37" xr3:uid="{0FEA3CCC-035A-426F-9DD0-AFEB5EE8A4F0}" name="Power Source" dataDxfId="161"/>
    <tableColumn id="38" xr3:uid="{CB7D0E87-2BE3-430D-815D-BA142B6EE5BA}" name="Device Condition" dataDxfId="160"/>
    <tableColumn id="39" xr3:uid="{2F8DC8FB-AC70-495A-AB76-BD6C2823C7BD}" name="Ownership" dataDxfId="159"/>
    <tableColumn id="1" xr3:uid="{5617A488-981C-4A9E-9DE7-B2B8380BA3D0}" name="Asset PIC" dataDxfId="158"/>
    <tableColumn id="40" xr3:uid="{6B40BA1D-4688-40E3-B0A7-DC2F2B0B1471}" name="Usage Status" dataDxfId="157"/>
    <tableColumn id="41" xr3:uid="{23E4B022-5D25-43FB-90FD-D2CF577E7A3E}" name="NOTES" dataDxfId="156"/>
    <tableColumn id="42" xr3:uid="{A6350F3E-3854-4143-B03C-32BF465FEA1B}" name="img_1" dataDxfId="155"/>
    <tableColumn id="43" xr3:uid="{11D057B1-B4C3-4BE4-8CC6-81790FD84A77}" name="img_2" dataDxfId="154"/>
    <tableColumn id="44" xr3:uid="{E2BD1482-17F1-4749-9D7F-01907AB87280}" name="img_3" dataDxfId="153"/>
    <tableColumn id="45" xr3:uid="{EFC67469-BFF6-4344-8366-994BE0AE8BA2}" name="Labeling" dataDxfId="152"/>
    <tableColumn id="47" xr3:uid="{1770614A-5336-479F-97F9-4467AC291E2E}" name="Handover Doc" dataDxfId="151">
      <calculatedColumnFormula>_xlfn.IFNA(INDEX(tbl_handover[No. Handover],MATCH(tbl_iot[[#This Row],[No Asset]],tbl_handover[Asset Code],0)),"")</calculatedColumnFormula>
    </tableColumn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45431A7-7096-4F39-BDF8-F9AA1A1394D1}" name="tbl_server" displayName="tbl_server" ref="A2:AK12" totalsRowShown="0" headerRowDxfId="150" tableBorderDxfId="149" headerRowCellStyle="Normal 2">
  <autoFilter ref="A2:AK12" xr:uid="{22721927-7DB8-4A59-9631-203F6D0550F1}"/>
  <tableColumns count="37">
    <tableColumn id="49" xr3:uid="{0D8216B8-5259-4850-B015-41AE06659FC4}" name="No" dataDxfId="148">
      <calculatedColumnFormula>IF(tbl_server[[#This Row],[No Asset]]&lt;&gt;"",SUBTOTAL(3,INDEX(tbl_server[No Asset],1):tbl_server[[#This Row],[No Asset]]),"")</calculatedColumnFormula>
    </tableColumn>
    <tableColumn id="46" xr3:uid="{564606D1-C80D-49F5-97F5-3D3A57A2D3C0}" name="No Asset" dataDxfId="147">
      <calculatedColumnFormula>IF(OR(tbl_server[[#This Row],[Purchase Date]]="",tbl_server[[#This Row],[Categories]]=""),"",
TEXT(tbl_server[[#This Row],[Purchase Date]],"YYMM")&amp;
_xlfn.XLOOKUP(tbl_server[[#This Row],[Categories]],CODEX!$Z:$Z,CODEX!$W:$W,"")&amp;
TEXT(_xlfn.XLOOKUP(tbl_server[[#This Row],[Categories]],CODEX!$Z:$Z,CODEX!$Y:$Y,""),"00")&amp;
TEXT(COUNTIFS(INDEX(tbl_server[Purchase Date],1):tbl_server[[#This Row],[Purchase Date]],"&gt;="&amp;DATE(YEAR(tbl_server[[#This Row],[Purchase Date]]),MONTH(tbl_server[[#This Row],[Purchase Date]]),1),INDEX(tbl_server[Purchase Date],1):tbl_server[[#This Row],[Purchase Date]],"&lt;"&amp;EDATE(DATE(YEAR(tbl_server[[#This Row],[Purchase Date]]),MONTH(tbl_server[[#This Row],[Purchase Date]]),1),1),INDEX(tbl_server[Categories],1):tbl_server[[#This Row],[Categories]],tbl_server[[#This Row],[Categories]]),"000"))</calculatedColumnFormula>
    </tableColumn>
    <tableColumn id="3" xr3:uid="{C19F2B3D-A963-4F29-92A8-B6E28549B710}" name="Purchase Date" dataDxfId="146"/>
    <tableColumn id="4" xr3:uid="{3AE6546C-33AF-4850-BBC9-437545F04435}" name="No PO"/>
    <tableColumn id="5" xr3:uid="{12FF7A21-A96D-4FD0-AE61-4FF995BCD9F0}" name="Location" dataDxfId="145"/>
    <tableColumn id="6" xr3:uid="{CFA1200F-B5BC-42BA-A2C1-D3976B8BD2C0}" name="Current Location" dataDxfId="144"/>
    <tableColumn id="7" xr3:uid="{48BE692A-FA59-4E30-B693-33E6F8331612}" name="Categories" dataDxfId="143"/>
    <tableColumn id="2" xr3:uid="{C02E65F2-1E5B-4AE2-9188-EDA2F36D5694}" name="Sub-Cat" dataDxfId="142"/>
    <tableColumn id="8" xr3:uid="{7D7E3857-B3AA-443D-B718-BC1466851492}" name="Device Name"/>
    <tableColumn id="9" xr3:uid="{2BF13281-9AAC-4A9A-95C9-1036AAC9C9F4}" name="Short Name"/>
    <tableColumn id="10" xr3:uid="{92826893-7CC8-455E-8996-1F604DAD8EE5}" name="S/N UNIT" dataDxfId="141"/>
    <tableColumn id="11" xr3:uid="{02F9BD9F-A3D6-4370-B91D-006D990C2F3F}" name="Manufacture" dataDxfId="140"/>
    <tableColumn id="12" xr3:uid="{26A336BD-1468-4566-B40A-B2E1F6FF3473}" name="Model Name"/>
    <tableColumn id="13" xr3:uid="{B482F9D2-18C1-466C-88BE-45E7A897B79B}" name="Type" dataDxfId="139"/>
    <tableColumn id="14" xr3:uid="{98A431EE-C8AE-4333-AC71-CE7B4B9B6253}" name="Firmware Version" dataDxfId="138"/>
    <tableColumn id="15" xr3:uid="{968C3EA4-BAC4-47F4-BAAE-790645658630}" name="Credential - Username" dataDxfId="137"/>
    <tableColumn id="16" xr3:uid="{2175B05F-C3C8-4A14-9EB5-5495545F2724}" name="Credential - Password" dataDxfId="136"/>
    <tableColumn id="17" xr3:uid="{4014EBE8-859B-4BE0-8911-3521595657E4}" name="IP_WIFI" dataDxfId="135"/>
    <tableColumn id="18" xr3:uid="{BF639F75-091F-4FDD-A099-BF3A69946CCF}" name="IP_ETH" dataDxfId="134"/>
    <tableColumn id="19" xr3:uid="{9154AFCD-C74B-485D-A6F4-2CB59ECF5A22}" name="MC_WIFI" dataDxfId="133"/>
    <tableColumn id="20" xr3:uid="{E1CEF68E-F1C0-4B1F-8EEB-760E3B0A3488}" name="MC_ETH" dataDxfId="132"/>
    <tableColumn id="35" xr3:uid="{87A35A1A-FFA1-4BE8-A17D-511C2540BAC1}" name="Connection Type" dataDxfId="131"/>
    <tableColumn id="36" xr3:uid="{67069D17-367F-4530-BAEE-023AD52C2BC0}" name="Protocol / Stream URL" dataDxfId="130"/>
    <tableColumn id="32" xr3:uid="{27FB9F14-5367-4709-845D-49753AB4A4B9}" name="Storage_MFG" dataDxfId="129"/>
    <tableColumn id="33" xr3:uid="{1353D957-6FFF-480E-A778-7ADFB47531E5}" name="Storage_Type" dataDxfId="128"/>
    <tableColumn id="34" xr3:uid="{F9C286C8-6397-460F-A60A-59F565DA61FF}" name="Storage_Size_x000a_(GB)" dataDxfId="127"/>
    <tableColumn id="37" xr3:uid="{DA6F702E-A0D1-4F40-84B3-C5BD590E6C48}" name="Power Source" dataDxfId="126"/>
    <tableColumn id="38" xr3:uid="{759FD9CB-CCA7-41CA-910D-7A03DCE8FF0A}" name="Device Condition" dataDxfId="125"/>
    <tableColumn id="39" xr3:uid="{430D6BF4-8F41-4251-8C90-925046692FAB}" name="Ownership" dataDxfId="124"/>
    <tableColumn id="1" xr3:uid="{F4A48A7B-E713-4FA6-8B56-FA831EB32006}" name="Asset PIC" dataDxfId="123"/>
    <tableColumn id="40" xr3:uid="{4BE4330C-E72A-4B56-A0D9-110CA301AC7D}" name="Usage Status" dataDxfId="122"/>
    <tableColumn id="41" xr3:uid="{AC49E8C4-E42B-423F-BD87-93BEF66334B4}" name="NOTES" dataDxfId="121"/>
    <tableColumn id="42" xr3:uid="{97DAC4FE-7C2A-4366-885D-44550344F2CA}" name="img_1"/>
    <tableColumn id="43" xr3:uid="{BC53062C-5FF2-4B66-90ED-9F9CE435C167}" name="img_2"/>
    <tableColumn id="44" xr3:uid="{85C89DF1-CC5D-4B41-91D9-C5C597B2A45A}" name="img_3"/>
    <tableColumn id="45" xr3:uid="{A509D8A8-5F9F-4061-93CA-5F35644D13EF}" name="Labeling" dataDxfId="120"/>
    <tableColumn id="47" xr3:uid="{89A1E789-36D3-45C7-A404-5C94788F7657}" name="Handover Doc" dataDxfId="119">
      <calculatedColumnFormula>_xlfn.IFNA(INDEX(tbl_handover[No. Handover],MATCH(tbl_server[[#This Row],[No Asset]],tbl_handover[Asset Code],0)),"")</calculatedColumnFormula>
    </tableColumn>
  </tableColumns>
  <tableStyleInfo name="TableStyleLight1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72DB2F-FB11-49FA-B83E-345EFF32A073}" name="tbl_handover" displayName="tbl_handover" ref="A1:T1001" totalsRowShown="0" headerRowDxfId="118">
  <autoFilter ref="A1:T1001" xr:uid="{6572DB2F-FB11-49FA-B83E-345EFF32A073}"/>
  <tableColumns count="20">
    <tableColumn id="1" xr3:uid="{6287A409-B883-4144-9C2F-32FC444886C1}" name="No" dataDxfId="117">
      <calculatedColumnFormula>IF(B2&lt;&gt;"",SUBTOTAL(3,$B$1:B1),"")</calculatedColumnFormula>
    </tableColumn>
    <tableColumn id="2" xr3:uid="{DC761C48-AD5D-4005-B75C-3957EBC4C3F3}" name="No. Handover"/>
    <tableColumn id="3" xr3:uid="{F2AF49ED-AB74-4ADF-8F8C-A9B5E64D91A3}" name="Transfer Date" dataDxfId="116"/>
    <tableColumn id="19" xr3:uid="{46F9B265-F396-4919-AE1B-E7841ADA779F}" name="NIK" dataDxfId="115"/>
    <tableColumn id="4" xr3:uid="{77BF39BA-1318-4A30-A164-D10387725C18}" name="Recipient’s Name"/>
    <tableColumn id="20" xr3:uid="{885A6DDF-F702-4FA6-A3C6-55F1521E65DC}" name="Company" dataDxfId="114"/>
    <tableColumn id="5" xr3:uid="{E956ED20-D19D-401C-A761-E95F2F749FE1}" name="Position Status" dataDxfId="113"/>
    <tableColumn id="6" xr3:uid="{69C62DB7-DF3A-4B21-A8CF-1FB71F11194E}" name="Department"/>
    <tableColumn id="7" xr3:uid="{68D64ED4-D573-4138-9D41-39A5A54CC580}" name="Category" dataDxfId="112"/>
    <tableColumn id="8" xr3:uid="{6CC43A5D-EBFA-4504-82CC-659B4FFBA45C}" name="Sub-Category" dataDxfId="111"/>
    <tableColumn id="9" xr3:uid="{47B38BD0-82B4-4782-A36D-0673C4F9393A}" name="Asset Code" dataDxfId="110"/>
    <tableColumn id="10" xr3:uid="{0376D94C-14FE-48C1-BDCD-667F61BCD03D}" name="Asset Name" dataDxfId="109">
      <calculatedColumnFormula array="1">IF($K2="","",_xlfn.SWITCH($I2,"Computer",_xlfn.XLOOKUP($K2&amp;"",COMPUTER!$B$3:$B$1009&amp;"",COMPUTER!$I$3:$I$1009,""),"Display",_xlfn.XLOOKUP($K2&amp;"",DISPLAY!$B$3:$B$1000&amp;"",DISPLAY!$J$3:$J$1000,""),"Network Device",_xlfn.XLOOKUP($K2&amp;"",'NETWORK-DEVICES'!$B$3:$B$987&amp;"",'NETWORK-DEVICES'!$I$3:$I$987,""),"Peripheral",_xlfn.XLOOKUP($K2&amp;"",PERIPHERAL!$B$3:$B$954&amp;"",PERIPHERAL!$I$3:$I$954,""),"Utilities",_xlfn.XLOOKUP($K2&amp;"",UTILITIES!$B$3:$B$953&amp;"",UTILITIES!$H$3:$H$953,""),"IOT",_xlfn.XLOOKUP($K2&amp;"",IOT!$B$3:$B$1012&amp;"",IOT!$I$3:$I$1012,""),"SERVER",_xlfn.XLOOKUP($K2&amp;"",SERVER!$B$3:$B$1009&amp;"",SERVER!$I$3:$I$1009,""),""))</calculatedColumnFormula>
    </tableColumn>
    <tableColumn id="17" xr3:uid="{3BEB1D3F-59C1-42F1-A052-4121B75F7EA3}" name="Short Name" dataDxfId="108">
      <calculatedColumnFormula array="1">IF($K2="","",_xlfn.SWITCH($I2,"Computer",_xlfn.XLOOKUP($K2&amp;"",COMPUTER!$B$3:$B$1009&amp;"",COMPUTER!$J$3:$J$1009,""),"Display",_xlfn.XLOOKUP($K2&amp;"",DISPLAY!$B$3:$B$1000&amp;"",DISPLAY!$K$3:$K$1000,""),"Network Device",_xlfn.XLOOKUP($K2&amp;"",'NETWORK-DEVICES'!$B$3:$B$987&amp;"",'NETWORK-DEVICES'!$I$3:$I$987,""),"Peripheral",_xlfn.XLOOKUP($K2&amp;"",PERIPHERAL!$B$3:$B$954&amp;"",PERIPHERAL!$J$3:$J$954,""),"Utilities",_xlfn.XLOOKUP($K2&amp;"",UTILITIES!$B$3:$B$953&amp;"",UTILITIES!$I$3:$I$953,""),"IOT",_xlfn.XLOOKUP($K2&amp;"",IOT!$B$3:$B$1012&amp;"",IOT!$J$3:$J$1012,""),"Server",_xlfn.XLOOKUP($K2&amp;"",SERVER!$B$3:$B$1009&amp;"",SERVER!$J$3:$J$1009,""),""))</calculatedColumnFormula>
    </tableColumn>
    <tableColumn id="11" xr3:uid="{33624F8E-7C15-4E6A-AEB6-C637E711F1FF}" name="S/N Device" dataDxfId="107">
      <calculatedColumnFormula array="1">IF(OR($K2="",$I2="",$J2=""),"",_xlfn.LET(_xlpm.srcCat,_xlfn.SWITCH($I2,"Computer",_xlfn.XLOOKUP($K2&amp;"",COMPUTER!$B$3:$B$1009&amp;"",COMPUTER!$H$3:$H$1009,""),"Display",_xlfn.XLOOKUP($K2&amp;"",DISPLAY!$B$3:$B$1000&amp;"",DISPLAY!$H$3:$H$1000,""),"Network Device",_xlfn.XLOOKUP($K2&amp;"",'NETWORK-DEVICES'!$B$3:$B$987&amp;"",'NETWORK-DEVICES'!$H$3:$H$987,""),"Peripheral",_xlfn.XLOOKUP($K2&amp;"",PERIPHERAL!$B$3:$B$954&amp;"",PERIPHERAL!$H$3:$H$954,""),"Utilities",_xlfn.XLOOKUP($K2&amp;"",UTILITIES!$B$3:$B$953&amp;"",UTILITIES!$G$3:$G$953,""),"IOT",_xlfn.XLOOKUP($K2&amp;"",IOT!$B$3:$B$1012&amp;"",IOT!$H$3:$H$1012,""),"Server",_xlfn.XLOOKUP($K2&amp;"",SERVER!$B$3:$B$1009&amp;"",SERVER!$H$3:$H$1009,""),""),IF(TRIM(_xlpm.srcCat)&lt;&gt;TRIM($J2),"",_xlfn.SWITCH($I2,"Computer",_xlfn.XLOOKUP($K2&amp;"",COMPUTER!$B$3:$B$1009&amp;"",COMPUTER!$K$3:$K$1009,""),"Display",_xlfn.XLOOKUP($K2&amp;"",DISPLAY!$B$3:$B$1000&amp;"",DISPLAY!$L$3:$L$1000,""),"Network Device",_xlfn.XLOOKUP($K2&amp;"",'NETWORK-DEVICES'!$B$3:$B$987&amp;"",'NETWORK-DEVICES'!$K$3:$K$987,""),"Peripheral",_xlfn.XLOOKUP($K2&amp;"",PERIPHERAL!$B$3:$B$954&amp;"",PERIPHERAL!$K$3:$K$954,""),"Utilities",_xlfn.XLOOKUP($K2&amp;"",UTILITIES!$B$3:$B$953&amp;"",UTILITIES!$J$3:$J$953,""),"IOT",_xlfn.XLOOKUP($K2&amp;"",IOT!$B$3:$B$1012&amp;"",IOT!$K$4:$K$1012,""),"Server",_xlfn.XLOOKUP($K2&amp;"",SERVER!$B$3:$B$1009&amp;"",SERVER!$K$3:$K$1009,""),""))))</calculatedColumnFormula>
    </tableColumn>
    <tableColumn id="12" xr3:uid="{222141F0-E52C-4DDB-93B6-65123AE69F19}" name="Location" dataDxfId="106">
      <calculatedColumnFormula array="1">IF(OR($K2="",$I2="",$J2=""),"",_xlfn.LET(_xlpm.srcCat,_xlfn.SWITCH($I2,"Computer",_xlfn.XLOOKUP($K2&amp;"",COMPUTER!$B$3:$B$1009&amp;"",COMPUTER!$H$3:$H$1009,""),"Display",_xlfn.XLOOKUP($K2&amp;"",DISPLAY!$B$3:$B$1000&amp;"",DISPLAY!$H$3:$H$1000,""),"Network Device",_xlfn.XLOOKUP($K2&amp;"",'NETWORK-DEVICES'!$B$3:$B$987&amp;"",'NETWORK-DEVICES'!$H$3:$H$987,""),"Peripheral",_xlfn.XLOOKUP($K2&amp;"",PERIPHERAL!$B$3:$B$954&amp;"",PERIPHERAL!$H$3:$H$954,""),"Utilities",_xlfn.XLOOKUP($K2&amp;"",UTILITIES!$B$3:$B$953&amp;"",UTILITIES!$G$3:$G$953,""),"IOT",_xlfn.XLOOKUP($K2&amp;"",IOT!$B$3:$B$1012&amp;"",IOT!$H$3:$H$1012,""),"Server",_xlfn.XLOOKUP($K2&amp;"",SERVER!$B$3:$B$1009&amp;"",SERVER!$H$3:$H$1009,""),""),IF(TRIM(_xlpm.srcCat)&lt;&gt;TRIM($J2),"",_xlfn.SWITCH($I2,"Computer",_xlfn.XLOOKUP($K2&amp;"",COMPUTER!$B$3:$B$1009&amp;"",COMPUTER!$E$3:$E$1009,""),"Display",_xlfn.XLOOKUP($K2&amp;"",DISPLAY!$B$3:$B$1000&amp;"",DISPLAY!$E$3:$E$1000,""),"Network Device",_xlfn.XLOOKUP($K2&amp;"",'NETWORK-DEVICES'!$B$3:$B$987&amp;"",'NETWORK-DEVICES'!$E$3:$E$987,""),"Peripheral",_xlfn.XLOOKUP($K2&amp;"",PERIPHERAL!$B$3:$B$954&amp;"",PERIPHERAL!$E$3:$E$954,""),"Utilities",_xlfn.XLOOKUP($K2&amp;"",UTILITIES!$B$3:$B$953&amp;"",UTILITIES!$E$3:$E$953,""),"IOT",_xlfn.XLOOKUP($K2&amp;"",IOT!$B$3:$B$1012&amp;"",IOT!$E$3:$E$1012,""),"Server",_xlfn.XLOOKUP($K2&amp;"",SERVER!$B$3:$B$1009&amp;"",SERVER!$E$3:$E$1009,""),""))))</calculatedColumnFormula>
    </tableColumn>
    <tableColumn id="13" xr3:uid="{656D7128-CCD1-4799-AE84-C6A8589C4F7B}" name="Current Location / ROOM"/>
    <tableColumn id="14" xr3:uid="{F7913625-9254-4262-94CC-9AB74B9E0ED3}" name="Condition Device" dataDxfId="105">
      <calculatedColumnFormula array="1">IF(OR($K2="",$I2="",$J2=""),"",_xlfn.LET(_xlpm.srcCat,_xlfn.SWITCH($I2,"Computer",_xlfn.XLOOKUP($K2&amp;"",COMPUTER!$B$3:$B$1009&amp;"",COMPUTER!$H$3:$H$1009,""),"Display",_xlfn.XLOOKUP($K2&amp;"",DISPLAY!$B$3:$B$1000&amp;"",DISPLAY!$H$3:$H$1000,""),"Network Device",_xlfn.XLOOKUP($K2&amp;"",'NETWORK-DEVICES'!$B$3:$B$987&amp;"",'NETWORK-DEVICES'!$H$3:$H$987,""),"Peripheral",_xlfn.XLOOKUP($K2&amp;"",PERIPHERAL!$B$3:$B$954&amp;"",PERIPHERAL!$H$3:$H$954,""),"Utilities",_xlfn.XLOOKUP($K2&amp;"",UTILITIES!$B$3:$B$953&amp;"",UTILITIES!$G$3:$G$953,""),"IOT",_xlfn.XLOOKUP($K2&amp;"",IOT!$B$3:$B$1012&amp;"",IOT!$H$3:$H$1012,""),"Server",_xlfn.XLOOKUP($K2&amp;"",SERVER!$B$3:$B$1009&amp;"",SERVER!$H$3:$H$1009,""),""),IF(TRIM(_xlpm.srcCat)&lt;&gt;TRIM($J2),"",_xlfn.SWITCH($I2,"Computer",_xlfn.XLOOKUP($K2&amp;"",COMPUTER!$B$3:$B$1009&amp;"",COMPUTER!$AM$3:$AM$1009,""),"Display",_xlfn.XLOOKUP($K2&amp;"",DISPLAY!$B$3:$B$1000&amp;"",DISPLAY!$V$3:$V$1000,""),"Network Device",_xlfn.XLOOKUP($K2&amp;"",'NETWORK-DEVICES'!$B$3:$B$987&amp;"",'NETWORK-DEVICES'!$AF$3:$AF$987,""),"Peripheral",_xlfn.XLOOKUP($K2&amp;"",PERIPHERAL!$B$3:$B$954&amp;"",PERIPHERAL!$Y$3:$Y$954,""),"Utilities",_xlfn.XLOOKUP($K2&amp;"",UTILITIES!$B$3:$B$953&amp;"",UTILITIES!$O$3:$O$953,""),"IOT",_xlfn.XLOOKUP($K2&amp;"",IOT!$B$3:$B$1012&amp;"",IOT!$AB$3:$AB$1012,""),"Server",_xlfn.XLOOKUP($K2&amp;"",SERVER!$B$3:$B$1009&amp;"",SERVER!$AB$3:$AB$1009,""),""))))</calculatedColumnFormula>
    </tableColumn>
    <tableColumn id="18" xr3:uid="{B61C23FB-D4C7-48F1-B01D-932D4E5944F6}" name="Qty" dataDxfId="104">
      <calculatedColumnFormula>IF(tbl_handover[[#This Row],[Asset Code]]="","",COUNTIF(tbl_handover[Asset Code],tbl_handover[[#This Row],[Asset Code]]))</calculatedColumnFormula>
    </tableColumn>
    <tableColumn id="16" xr3:uid="{2822CFAF-BE8E-4E4D-A2FB-A4E7E59C93D6}" name="Unit" dataDxfId="103"/>
    <tableColumn id="15" xr3:uid="{29D3E16B-3567-4A6D-9D6F-432D5304F63A}" name="Notes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7" dT="2026-09-06T21:25:13.94" personId="{7CFBFD1C-54B9-471A-94C2-56BC61E75800}" id="{A4CA4F2C-07B9-44B3-AC57-67F0160147CD}">
    <text>Perlu cek ulang karena asset posisi idle saat ini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7" dT="2026-09-06T21:25:13.94" personId="{7CFBFD1C-54B9-471A-94C2-56BC61E75800}" id="{45E31895-DAC7-4260-93E6-5D7A76F8F5F9}">
    <text>Perlu cek ulang karena asset posisi idle saat ini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microsoft.com/office/2019/04/relationships/namedSheetView" Target="../namedSheetViews/namedSheetView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192.168.101.103/" TargetMode="External"/><Relationship Id="rId3" Type="http://schemas.openxmlformats.org/officeDocument/2006/relationships/hyperlink" Target="https://192.168.100.251/" TargetMode="External"/><Relationship Id="rId7" Type="http://schemas.openxmlformats.org/officeDocument/2006/relationships/hyperlink" Target="https://192.168.101.102/" TargetMode="External"/><Relationship Id="rId2" Type="http://schemas.openxmlformats.org/officeDocument/2006/relationships/hyperlink" Target="https://192.168.102.101/" TargetMode="External"/><Relationship Id="rId1" Type="http://schemas.openxmlformats.org/officeDocument/2006/relationships/hyperlink" Target="https://192.168.102.101/" TargetMode="External"/><Relationship Id="rId6" Type="http://schemas.openxmlformats.org/officeDocument/2006/relationships/hyperlink" Target="https://192.168.101.103/" TargetMode="External"/><Relationship Id="rId5" Type="http://schemas.openxmlformats.org/officeDocument/2006/relationships/hyperlink" Target="https://192.168.100.102/" TargetMode="External"/><Relationship Id="rId10" Type="http://schemas.openxmlformats.org/officeDocument/2006/relationships/table" Target="../tables/table3.xml"/><Relationship Id="rId4" Type="http://schemas.openxmlformats.org/officeDocument/2006/relationships/hyperlink" Target="https://192.168.101.252/" TargetMode="External"/><Relationship Id="rId9" Type="http://schemas.openxmlformats.org/officeDocument/2006/relationships/hyperlink" Target="https://172.20.88.101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://192.168.101.32:1002/" TargetMode="External"/><Relationship Id="rId13" Type="http://schemas.openxmlformats.org/officeDocument/2006/relationships/hyperlink" Target="http://192.168.100.24/" TargetMode="External"/><Relationship Id="rId18" Type="http://schemas.openxmlformats.org/officeDocument/2006/relationships/comments" Target="../comments2.xml"/><Relationship Id="rId3" Type="http://schemas.openxmlformats.org/officeDocument/2006/relationships/hyperlink" Target="http://192.168.100.28:1001/" TargetMode="External"/><Relationship Id="rId7" Type="http://schemas.openxmlformats.org/officeDocument/2006/relationships/hyperlink" Target="http://192.168.101.32:1001/" TargetMode="External"/><Relationship Id="rId12" Type="http://schemas.openxmlformats.org/officeDocument/2006/relationships/hyperlink" Target="http://192.168.101.23/" TargetMode="External"/><Relationship Id="rId17" Type="http://schemas.openxmlformats.org/officeDocument/2006/relationships/table" Target="../tables/table6.xml"/><Relationship Id="rId2" Type="http://schemas.openxmlformats.org/officeDocument/2006/relationships/hyperlink" Target="http://192.168.100.32:1002/" TargetMode="External"/><Relationship Id="rId16" Type="http://schemas.openxmlformats.org/officeDocument/2006/relationships/vmlDrawing" Target="../drawings/vmlDrawing2.vml"/><Relationship Id="rId1" Type="http://schemas.openxmlformats.org/officeDocument/2006/relationships/hyperlink" Target="http://192.168.100.32:1001/" TargetMode="External"/><Relationship Id="rId6" Type="http://schemas.openxmlformats.org/officeDocument/2006/relationships/hyperlink" Target="http://192.168.100.23/" TargetMode="External"/><Relationship Id="rId11" Type="http://schemas.openxmlformats.org/officeDocument/2006/relationships/hyperlink" Target="http://192.168.101.30:1001/" TargetMode="External"/><Relationship Id="rId5" Type="http://schemas.openxmlformats.org/officeDocument/2006/relationships/hyperlink" Target="http://192.168.100.30:1001/" TargetMode="External"/><Relationship Id="rId15" Type="http://schemas.openxmlformats.org/officeDocument/2006/relationships/printerSettings" Target="../printerSettings/printerSettings4.bin"/><Relationship Id="rId10" Type="http://schemas.openxmlformats.org/officeDocument/2006/relationships/hyperlink" Target="http://192.168.101.28:1002/" TargetMode="External"/><Relationship Id="rId4" Type="http://schemas.openxmlformats.org/officeDocument/2006/relationships/hyperlink" Target="http://192.168.100.28:1002/" TargetMode="External"/><Relationship Id="rId9" Type="http://schemas.openxmlformats.org/officeDocument/2006/relationships/hyperlink" Target="http://192.168.101.28:1001/" TargetMode="External"/><Relationship Id="rId14" Type="http://schemas.openxmlformats.org/officeDocument/2006/relationships/hyperlink" Target="http://192.168.101.24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7" Type="http://schemas.microsoft.com/office/2017/10/relationships/threadedComment" Target="../threadedComments/threadedComment2.xml"/><Relationship Id="rId2" Type="http://schemas.openxmlformats.org/officeDocument/2006/relationships/hyperlink" Target="mailto:H@lotec_20@6" TargetMode="External"/><Relationship Id="rId1" Type="http://schemas.openxmlformats.org/officeDocument/2006/relationships/hyperlink" Target="mailto:HLTC_20@6" TargetMode="External"/><Relationship Id="rId6" Type="http://schemas.openxmlformats.org/officeDocument/2006/relationships/comments" Target="../comments3.xml"/><Relationship Id="rId5" Type="http://schemas.openxmlformats.org/officeDocument/2006/relationships/table" Target="../tables/table7.xml"/><Relationship Id="rId4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7BB36-64CC-49BD-B963-9E349B805691}">
  <dimension ref="B1:P24"/>
  <sheetViews>
    <sheetView workbookViewId="0">
      <selection activeCell="M23" sqref="M23"/>
    </sheetView>
  </sheetViews>
  <sheetFormatPr defaultRowHeight="15" x14ac:dyDescent="0.25"/>
  <cols>
    <col min="14" max="14" width="12.85546875" bestFit="1" customWidth="1"/>
  </cols>
  <sheetData>
    <row r="1" spans="2:16" ht="23.25" x14ac:dyDescent="0.25">
      <c r="B1" s="198" t="s">
        <v>0</v>
      </c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2:16" x14ac:dyDescent="0.25">
      <c r="B2" s="199" t="s">
        <v>1</v>
      </c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</row>
    <row r="4" spans="2:16" x14ac:dyDescent="0.25">
      <c r="B4" s="205" t="s">
        <v>2</v>
      </c>
      <c r="C4" s="205"/>
      <c r="D4" s="205"/>
      <c r="E4" s="201" t="s">
        <v>3</v>
      </c>
      <c r="F4" s="201"/>
      <c r="G4" s="201"/>
      <c r="H4" s="201" t="s">
        <v>4</v>
      </c>
      <c r="I4" s="201"/>
      <c r="J4" s="201"/>
      <c r="K4" s="201" t="s">
        <v>5</v>
      </c>
      <c r="L4" s="201"/>
      <c r="M4" s="201"/>
      <c r="N4" s="201" t="s">
        <v>6</v>
      </c>
      <c r="O4" s="201"/>
      <c r="P4" s="201"/>
    </row>
    <row r="5" spans="2:16" ht="15" customHeight="1" x14ac:dyDescent="0.25">
      <c r="B5" s="202">
        <f>'BASE-DATA'!$C8</f>
        <v>57</v>
      </c>
      <c r="C5" s="207"/>
      <c r="D5" s="207"/>
      <c r="E5" s="202">
        <f>'BASE-DATA'!$C9</f>
        <v>22</v>
      </c>
      <c r="F5" s="202"/>
      <c r="G5" s="202"/>
      <c r="H5" s="202">
        <f>'BASE-DATA'!$C10</f>
        <v>8</v>
      </c>
      <c r="I5" s="202"/>
      <c r="J5" s="202"/>
      <c r="K5" s="202">
        <f>'BASE-DATA'!$C11</f>
        <v>57</v>
      </c>
      <c r="L5" s="202"/>
      <c r="M5" s="202"/>
      <c r="N5" s="202">
        <f>'BASE-DATA'!$C12</f>
        <v>6</v>
      </c>
      <c r="O5" s="202"/>
      <c r="P5" s="202"/>
    </row>
    <row r="6" spans="2:16" ht="15" customHeight="1" thickBot="1" x14ac:dyDescent="0.3">
      <c r="B6" s="208"/>
      <c r="C6" s="208"/>
      <c r="D6" s="208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</row>
    <row r="8" spans="2:16" x14ac:dyDescent="0.25">
      <c r="B8" s="200" t="s">
        <v>7</v>
      </c>
      <c r="C8" s="200"/>
      <c r="D8" s="200"/>
      <c r="E8" s="88"/>
      <c r="F8" s="201" t="s">
        <v>8</v>
      </c>
      <c r="G8" s="201"/>
      <c r="H8" s="201"/>
      <c r="I8" s="88"/>
      <c r="J8" s="206" t="s">
        <v>9</v>
      </c>
      <c r="K8" s="206"/>
      <c r="L8" s="206"/>
      <c r="M8" s="88"/>
      <c r="N8" s="204" t="s">
        <v>10</v>
      </c>
      <c r="O8" s="204"/>
      <c r="P8" s="204"/>
    </row>
    <row r="9" spans="2:16" x14ac:dyDescent="0.25">
      <c r="B9" s="194">
        <f>SUM('BASE-DATA'!C8:C12)</f>
        <v>150</v>
      </c>
      <c r="C9" s="194"/>
      <c r="D9" s="194"/>
      <c r="E9" s="88"/>
      <c r="F9" s="190">
        <f>SUM(HANDOVER!$R$2:$R$1048576)</f>
        <v>47</v>
      </c>
      <c r="G9" s="190"/>
      <c r="H9" s="190"/>
      <c r="I9" s="88"/>
      <c r="J9" s="190">
        <f>SUM('BASE-DATA'!D8:D12)</f>
        <v>27</v>
      </c>
      <c r="K9" s="190"/>
      <c r="L9" s="190"/>
      <c r="M9" s="88"/>
      <c r="N9" s="190">
        <f>SUM('BASE-DATA'!E8:F12)</f>
        <v>116</v>
      </c>
      <c r="O9" s="190"/>
      <c r="P9" s="190"/>
    </row>
    <row r="10" spans="2:16" x14ac:dyDescent="0.25">
      <c r="B10" s="195"/>
      <c r="C10" s="195"/>
      <c r="D10" s="195"/>
      <c r="E10" s="88"/>
      <c r="F10" s="191"/>
      <c r="G10" s="191"/>
      <c r="H10" s="191"/>
      <c r="I10" s="88"/>
      <c r="J10" s="191"/>
      <c r="K10" s="191"/>
      <c r="L10" s="191"/>
      <c r="M10" s="88"/>
      <c r="N10" s="191"/>
      <c r="O10" s="191"/>
      <c r="P10" s="191"/>
    </row>
    <row r="11" spans="2:16" x14ac:dyDescent="0.25">
      <c r="B11" s="195"/>
      <c r="C11" s="195"/>
      <c r="D11" s="195"/>
      <c r="F11" s="191"/>
      <c r="G11" s="191"/>
      <c r="H11" s="191"/>
      <c r="J11" s="191"/>
      <c r="K11" s="191"/>
      <c r="L11" s="191"/>
      <c r="N11" s="191"/>
      <c r="O11" s="191"/>
      <c r="P11" s="191"/>
    </row>
    <row r="12" spans="2:16" ht="15.75" thickBot="1" x14ac:dyDescent="0.3">
      <c r="B12" s="196"/>
      <c r="C12" s="196"/>
      <c r="D12" s="196"/>
      <c r="F12" s="192"/>
      <c r="G12" s="192"/>
      <c r="H12" s="192"/>
      <c r="J12" s="192"/>
      <c r="K12" s="192"/>
      <c r="L12" s="192"/>
      <c r="N12" s="192"/>
      <c r="O12" s="192"/>
      <c r="P12" s="192"/>
    </row>
    <row r="13" spans="2:16" x14ac:dyDescent="0.25">
      <c r="F13" s="197" t="s">
        <v>11</v>
      </c>
      <c r="G13" s="197"/>
      <c r="H13" s="197"/>
    </row>
    <row r="16" spans="2:16" x14ac:dyDescent="0.25">
      <c r="B16" s="193" t="s">
        <v>12</v>
      </c>
      <c r="C16" s="193"/>
      <c r="D16" s="193"/>
      <c r="E16" s="193"/>
      <c r="F16" s="193"/>
      <c r="G16" s="193"/>
      <c r="H16" s="193"/>
      <c r="I16" s="193"/>
      <c r="L16" s="98"/>
      <c r="M16" s="98"/>
      <c r="N16" s="98"/>
      <c r="O16" s="98"/>
      <c r="P16" s="98"/>
    </row>
    <row r="22" spans="2:7" x14ac:dyDescent="0.25">
      <c r="B22" s="108"/>
      <c r="C22" s="108"/>
      <c r="D22" s="108"/>
      <c r="E22" s="108"/>
      <c r="F22" s="108"/>
      <c r="G22" s="108"/>
    </row>
    <row r="23" spans="2:7" x14ac:dyDescent="0.25">
      <c r="B23" s="108"/>
      <c r="C23" s="108"/>
      <c r="D23" s="108"/>
      <c r="E23" s="108"/>
      <c r="F23" s="108"/>
      <c r="G23" s="108"/>
    </row>
    <row r="24" spans="2:7" x14ac:dyDescent="0.25">
      <c r="B24" s="108"/>
      <c r="C24" s="108"/>
      <c r="D24" s="108"/>
      <c r="E24" s="108"/>
      <c r="F24" s="108"/>
      <c r="G24" s="108"/>
    </row>
  </sheetData>
  <mergeCells count="22">
    <mergeCell ref="B1:P1"/>
    <mergeCell ref="B2:P2"/>
    <mergeCell ref="B8:D8"/>
    <mergeCell ref="N4:P4"/>
    <mergeCell ref="N5:P6"/>
    <mergeCell ref="F8:H8"/>
    <mergeCell ref="N8:P8"/>
    <mergeCell ref="B4:D4"/>
    <mergeCell ref="J8:L8"/>
    <mergeCell ref="B5:D6"/>
    <mergeCell ref="E4:G4"/>
    <mergeCell ref="E5:G6"/>
    <mergeCell ref="H4:J4"/>
    <mergeCell ref="H5:J6"/>
    <mergeCell ref="K4:M4"/>
    <mergeCell ref="K5:M6"/>
    <mergeCell ref="N9:P12"/>
    <mergeCell ref="B16:I16"/>
    <mergeCell ref="B9:D12"/>
    <mergeCell ref="F9:H12"/>
    <mergeCell ref="J9:L12"/>
    <mergeCell ref="F13:H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4787E-CBD5-4BE2-A01B-28BC08F8813F}">
  <dimension ref="A1:AV62"/>
  <sheetViews>
    <sheetView zoomScale="85" zoomScaleNormal="85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P73" sqref="P73"/>
    </sheetView>
  </sheetViews>
  <sheetFormatPr defaultRowHeight="15" outlineLevelCol="1" x14ac:dyDescent="0.25"/>
  <cols>
    <col min="1" max="1" width="7.42578125" style="1" customWidth="1"/>
    <col min="2" max="2" width="17.28515625" style="1" bestFit="1" customWidth="1"/>
    <col min="3" max="3" width="12.7109375" style="74" customWidth="1"/>
    <col min="4" max="4" width="11.140625" customWidth="1"/>
    <col min="5" max="5" width="10.7109375" style="1" customWidth="1"/>
    <col min="6" max="6" width="24" style="46" customWidth="1"/>
    <col min="7" max="7" width="12.42578125" style="1" customWidth="1"/>
    <col min="8" max="8" width="14.85546875" style="1" customWidth="1"/>
    <col min="9" max="9" width="42.140625" customWidth="1"/>
    <col min="10" max="10" width="15.5703125" bestFit="1" customWidth="1"/>
    <col min="11" max="11" width="25.85546875" style="1" customWidth="1"/>
    <col min="12" max="12" width="15.5703125" style="1" bestFit="1" customWidth="1"/>
    <col min="13" max="13" width="29.5703125" customWidth="1"/>
    <col min="14" max="14" width="11.7109375" style="1" hidden="1" customWidth="1" outlineLevel="1"/>
    <col min="15" max="15" width="32.5703125" style="1" bestFit="1" customWidth="1" collapsed="1"/>
    <col min="16" max="16" width="15.85546875" style="1" bestFit="1" customWidth="1"/>
    <col min="17" max="17" width="37.85546875" style="1" bestFit="1" customWidth="1"/>
    <col min="18" max="19" width="16.28515625" style="1" customWidth="1"/>
    <col min="20" max="22" width="18.42578125" style="1" customWidth="1"/>
    <col min="23" max="23" width="26.42578125" style="1" bestFit="1" customWidth="1"/>
    <col min="24" max="24" width="78.85546875" bestFit="1" customWidth="1"/>
    <col min="25" max="25" width="14.28515625" style="1" customWidth="1"/>
    <col min="26" max="26" width="9.42578125" style="1" customWidth="1"/>
    <col min="27" max="27" width="10.28515625" style="1" bestFit="1" customWidth="1"/>
    <col min="28" max="28" width="8.5703125" style="1" bestFit="1" customWidth="1"/>
    <col min="29" max="29" width="14" style="1" bestFit="1" customWidth="1"/>
    <col min="30" max="30" width="12.28515625" style="1" bestFit="1" customWidth="1"/>
    <col min="31" max="31" width="34.140625" style="1" bestFit="1" customWidth="1"/>
    <col min="32" max="32" width="17.140625" bestFit="1" customWidth="1"/>
    <col min="33" max="33" width="16.5703125" bestFit="1" customWidth="1"/>
    <col min="34" max="34" width="15.7109375" style="1" customWidth="1"/>
    <col min="35" max="35" width="17.42578125" style="1" customWidth="1"/>
    <col min="36" max="36" width="29.28515625" style="46" bestFit="1" customWidth="1"/>
    <col min="37" max="37" width="12" style="1" bestFit="1" customWidth="1"/>
    <col min="38" max="38" width="9.140625" style="1"/>
    <col min="39" max="39" width="18.85546875" style="1" customWidth="1"/>
    <col min="40" max="40" width="15.5703125" style="1" bestFit="1" customWidth="1"/>
    <col min="41" max="41" width="15.5703125" style="1" customWidth="1"/>
    <col min="42" max="42" width="17.140625" style="1" bestFit="1" customWidth="1"/>
    <col min="43" max="43" width="87.7109375" style="46" bestFit="1" customWidth="1"/>
    <col min="44" max="46" width="10.28515625" bestFit="1" customWidth="1"/>
    <col min="47" max="47" width="13.5703125" bestFit="1" customWidth="1"/>
    <col min="48" max="48" width="30.85546875" bestFit="1" customWidth="1"/>
    <col min="49" max="49" width="12.140625" bestFit="1" customWidth="1"/>
  </cols>
  <sheetData>
    <row r="1" spans="1:48" s="12" customFormat="1" ht="20.25" customHeight="1" thickBot="1" x14ac:dyDescent="0.3">
      <c r="A1" s="78">
        <v>1</v>
      </c>
      <c r="B1" s="17" t="s">
        <v>13</v>
      </c>
      <c r="C1" s="184" t="s">
        <v>14</v>
      </c>
      <c r="D1" s="184"/>
      <c r="E1" s="185" t="s">
        <v>15</v>
      </c>
      <c r="F1" s="186"/>
      <c r="G1" s="186"/>
      <c r="H1" s="186"/>
      <c r="I1" s="186"/>
      <c r="J1" s="186"/>
      <c r="K1" s="186"/>
      <c r="L1" s="186"/>
      <c r="M1" s="186"/>
      <c r="N1" s="187"/>
      <c r="O1" s="185" t="s">
        <v>16</v>
      </c>
      <c r="P1" s="186"/>
      <c r="Q1" s="187"/>
      <c r="R1" s="188" t="s">
        <v>17</v>
      </c>
      <c r="S1" s="188"/>
      <c r="T1" s="188" t="s">
        <v>18</v>
      </c>
      <c r="U1" s="188"/>
      <c r="V1" s="188" t="s">
        <v>19</v>
      </c>
      <c r="W1" s="188"/>
      <c r="X1" s="188"/>
      <c r="Y1" s="188" t="s">
        <v>20</v>
      </c>
      <c r="Z1" s="188"/>
      <c r="AA1" s="188"/>
      <c r="AB1" s="188"/>
      <c r="AC1" s="188"/>
      <c r="AD1" s="188"/>
      <c r="AE1" s="188" t="s">
        <v>21</v>
      </c>
      <c r="AF1" s="188"/>
      <c r="AG1" s="188" t="s">
        <v>22</v>
      </c>
      <c r="AH1" s="188"/>
      <c r="AI1" s="188"/>
      <c r="AJ1" s="188" t="s">
        <v>23</v>
      </c>
      <c r="AK1" s="188"/>
      <c r="AL1" s="188"/>
      <c r="AM1" s="79"/>
      <c r="AN1" s="79"/>
      <c r="AO1" s="79"/>
      <c r="AP1" s="79"/>
      <c r="AQ1" s="79"/>
      <c r="AR1" s="189" t="s">
        <v>24</v>
      </c>
      <c r="AS1" s="189"/>
      <c r="AT1" s="189"/>
      <c r="AU1" s="80"/>
    </row>
    <row r="2" spans="1:48" ht="25.5" x14ac:dyDescent="0.25">
      <c r="A2" s="56" t="s">
        <v>25</v>
      </c>
      <c r="B2" s="56" t="s">
        <v>26</v>
      </c>
      <c r="C2" s="76" t="s">
        <v>27</v>
      </c>
      <c r="D2" s="56" t="s">
        <v>28</v>
      </c>
      <c r="E2" s="56" t="s">
        <v>29</v>
      </c>
      <c r="F2" s="56" t="s">
        <v>30</v>
      </c>
      <c r="G2" s="56" t="s">
        <v>31</v>
      </c>
      <c r="H2" s="56" t="s">
        <v>32</v>
      </c>
      <c r="I2" s="56" t="s">
        <v>33</v>
      </c>
      <c r="J2" s="56" t="s">
        <v>34</v>
      </c>
      <c r="K2" s="56" t="s">
        <v>35</v>
      </c>
      <c r="L2" s="56" t="s">
        <v>36</v>
      </c>
      <c r="M2" s="56" t="s">
        <v>37</v>
      </c>
      <c r="N2" s="61" t="s">
        <v>38</v>
      </c>
      <c r="O2" s="56" t="s">
        <v>39</v>
      </c>
      <c r="P2" s="56" t="s">
        <v>40</v>
      </c>
      <c r="Q2" s="56" t="s">
        <v>41</v>
      </c>
      <c r="R2" s="56" t="s">
        <v>42</v>
      </c>
      <c r="S2" s="56" t="s">
        <v>43</v>
      </c>
      <c r="T2" s="56" t="s">
        <v>44</v>
      </c>
      <c r="U2" s="56" t="s">
        <v>45</v>
      </c>
      <c r="V2" s="56" t="s">
        <v>46</v>
      </c>
      <c r="W2" s="56" t="s">
        <v>47</v>
      </c>
      <c r="X2" s="56" t="s">
        <v>48</v>
      </c>
      <c r="Y2" s="56" t="s">
        <v>49</v>
      </c>
      <c r="Z2" s="56" t="s">
        <v>50</v>
      </c>
      <c r="AA2" s="56" t="s">
        <v>51</v>
      </c>
      <c r="AB2" s="56" t="s">
        <v>52</v>
      </c>
      <c r="AC2" s="56" t="s">
        <v>53</v>
      </c>
      <c r="AD2" s="56" t="s">
        <v>54</v>
      </c>
      <c r="AE2" s="56" t="s">
        <v>55</v>
      </c>
      <c r="AF2" s="57" t="s">
        <v>56</v>
      </c>
      <c r="AG2" s="56" t="s">
        <v>57</v>
      </c>
      <c r="AH2" s="56" t="s">
        <v>58</v>
      </c>
      <c r="AI2" s="57" t="s">
        <v>59</v>
      </c>
      <c r="AJ2" s="56" t="s">
        <v>60</v>
      </c>
      <c r="AK2" s="56" t="s">
        <v>61</v>
      </c>
      <c r="AL2" s="56" t="s">
        <v>62</v>
      </c>
      <c r="AM2" s="58" t="s">
        <v>63</v>
      </c>
      <c r="AN2" s="58" t="s">
        <v>64</v>
      </c>
      <c r="AO2" s="58" t="s">
        <v>65</v>
      </c>
      <c r="AP2" s="58" t="s">
        <v>66</v>
      </c>
      <c r="AQ2" s="58" t="s">
        <v>67</v>
      </c>
      <c r="AR2" s="56" t="s">
        <v>68</v>
      </c>
      <c r="AS2" s="56" t="s">
        <v>69</v>
      </c>
      <c r="AT2" s="56" t="s">
        <v>70</v>
      </c>
      <c r="AU2" s="59" t="s">
        <v>71</v>
      </c>
      <c r="AV2" s="83" t="s">
        <v>72</v>
      </c>
    </row>
    <row r="3" spans="1:48" hidden="1" x14ac:dyDescent="0.25">
      <c r="A3" s="43">
        <f>IF(tbl_computer[[#This Row],[No Asset]]&lt;&gt;"",SUBTOTAL(3,INDEX(tbl_computer[No Asset],1):tbl_computer[[#This Row],[No Asset]]),"")</f>
        <v>0</v>
      </c>
      <c r="B3" s="13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2601101001</v>
      </c>
      <c r="C3" s="74">
        <v>46023</v>
      </c>
      <c r="D3" t="s">
        <v>73</v>
      </c>
      <c r="E3" s="13" t="s">
        <v>74</v>
      </c>
      <c r="F3" s="45" t="s">
        <v>75</v>
      </c>
      <c r="G3" s="1" t="s">
        <v>76</v>
      </c>
      <c r="H3" s="1" t="s">
        <v>77</v>
      </c>
      <c r="I3" t="s">
        <v>78</v>
      </c>
      <c r="J3" t="s">
        <v>79</v>
      </c>
      <c r="K3" s="13" t="s">
        <v>80</v>
      </c>
      <c r="L3" s="13" t="s">
        <v>81</v>
      </c>
      <c r="M3" t="s">
        <v>82</v>
      </c>
      <c r="N3" s="13" t="s">
        <v>83</v>
      </c>
      <c r="O3" s="46" t="s">
        <v>84</v>
      </c>
      <c r="P3" s="1" t="s">
        <v>85</v>
      </c>
      <c r="Q3" s="1" t="s">
        <v>86</v>
      </c>
      <c r="R3" s="50"/>
      <c r="S3" s="1" t="s">
        <v>87</v>
      </c>
      <c r="T3" s="48" t="s">
        <v>88</v>
      </c>
      <c r="U3" s="48" t="s">
        <v>89</v>
      </c>
      <c r="V3" s="13" t="s">
        <v>90</v>
      </c>
      <c r="W3" s="1" t="s">
        <v>91</v>
      </c>
      <c r="X3" t="s">
        <v>92</v>
      </c>
      <c r="Y3" s="13" t="s">
        <v>93</v>
      </c>
      <c r="Z3" s="13" t="s">
        <v>94</v>
      </c>
      <c r="AA3" s="13">
        <v>5600</v>
      </c>
      <c r="AB3" s="13">
        <v>2</v>
      </c>
      <c r="AC3" s="1" t="s">
        <v>95</v>
      </c>
      <c r="AD3" s="13">
        <v>16</v>
      </c>
      <c r="AE3" s="13" t="s">
        <v>96</v>
      </c>
      <c r="AF3" s="13" t="s">
        <v>97</v>
      </c>
      <c r="AG3" s="13" t="s">
        <v>98</v>
      </c>
      <c r="AH3" s="13" t="s">
        <v>99</v>
      </c>
      <c r="AI3" s="13">
        <v>1024</v>
      </c>
      <c r="AJ3" s="46" t="s">
        <v>100</v>
      </c>
      <c r="AK3" s="1" t="s">
        <v>101</v>
      </c>
      <c r="AL3" s="1" t="s">
        <v>102</v>
      </c>
      <c r="AM3" s="1" t="s">
        <v>103</v>
      </c>
      <c r="AN3" s="1" t="s">
        <v>104</v>
      </c>
      <c r="AO3" s="1" t="s">
        <v>105</v>
      </c>
      <c r="AP3" s="1" t="s">
        <v>106</v>
      </c>
      <c r="AQ3" s="125" t="s">
        <v>107</v>
      </c>
      <c r="AU3" s="60" t="b">
        <v>1</v>
      </c>
      <c r="AV3" t="str">
        <f>_xlfn.IFNA(INDEX(tbl_handover[No. Handover],MATCH(tbl_computer[[#This Row],[No Asset]],tbl_handover[Asset Code],0)),"")</f>
        <v>SR.26.09.0001/IX/2026/PGT/IT/INT</v>
      </c>
    </row>
    <row r="4" spans="1:48" hidden="1" x14ac:dyDescent="0.25">
      <c r="A4" s="43">
        <f>IF(tbl_computer[[#This Row],[No Asset]]&lt;&gt;"",SUBTOTAL(3,INDEX(tbl_computer[No Asset],1):tbl_computer[[#This Row],[No Asset]]),"")</f>
        <v>0</v>
      </c>
      <c r="B4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2609101001</v>
      </c>
      <c r="C4" s="74">
        <v>46268</v>
      </c>
      <c r="D4" t="s">
        <v>108</v>
      </c>
      <c r="E4" s="13" t="s">
        <v>74</v>
      </c>
      <c r="F4" s="45" t="s">
        <v>109</v>
      </c>
      <c r="G4" s="1" t="s">
        <v>76</v>
      </c>
      <c r="H4" s="1" t="s">
        <v>77</v>
      </c>
      <c r="I4" t="s">
        <v>110</v>
      </c>
      <c r="J4" t="s">
        <v>79</v>
      </c>
      <c r="K4" s="13" t="s">
        <v>111</v>
      </c>
      <c r="L4" s="13" t="s">
        <v>81</v>
      </c>
      <c r="M4" t="s">
        <v>112</v>
      </c>
      <c r="N4" s="13" t="s">
        <v>113</v>
      </c>
      <c r="O4" s="46" t="s">
        <v>114</v>
      </c>
      <c r="P4" s="1" t="s">
        <v>85</v>
      </c>
      <c r="Q4" s="1" t="s">
        <v>115</v>
      </c>
      <c r="R4" s="50"/>
      <c r="S4" s="1" t="s">
        <v>87</v>
      </c>
      <c r="T4" s="50"/>
      <c r="U4" s="50"/>
      <c r="V4" s="13" t="s">
        <v>90</v>
      </c>
      <c r="W4" s="1" t="s">
        <v>116</v>
      </c>
      <c r="X4" t="s">
        <v>117</v>
      </c>
      <c r="Y4" s="13" t="s">
        <v>93</v>
      </c>
      <c r="Z4" s="13" t="s">
        <v>94</v>
      </c>
      <c r="AA4" s="13">
        <v>5600</v>
      </c>
      <c r="AB4" s="13">
        <v>2</v>
      </c>
      <c r="AC4" s="1" t="s">
        <v>95</v>
      </c>
      <c r="AD4" s="13">
        <v>16</v>
      </c>
      <c r="AE4" s="13" t="s">
        <v>118</v>
      </c>
      <c r="AF4" s="13" t="s">
        <v>97</v>
      </c>
      <c r="AG4" s="13" t="s">
        <v>119</v>
      </c>
      <c r="AH4" s="13" t="s">
        <v>99</v>
      </c>
      <c r="AI4" s="13">
        <v>512</v>
      </c>
      <c r="AJ4" s="46" t="s">
        <v>100</v>
      </c>
      <c r="AK4" s="1" t="s">
        <v>120</v>
      </c>
      <c r="AL4" s="1" t="s">
        <v>121</v>
      </c>
      <c r="AM4" s="1" t="s">
        <v>122</v>
      </c>
      <c r="AN4" s="1" t="s">
        <v>104</v>
      </c>
      <c r="AO4" s="1" t="s">
        <v>105</v>
      </c>
      <c r="AP4" s="1" t="s">
        <v>106</v>
      </c>
      <c r="AQ4" s="125" t="s">
        <v>123</v>
      </c>
      <c r="AU4" s="60" t="b">
        <v>1</v>
      </c>
      <c r="AV4" t="str">
        <f>_xlfn.IFNA(INDEX(tbl_handover[No. Handover],MATCH(tbl_computer[[#This Row],[No Asset]],tbl_handover[Asset Code],0)),"")</f>
        <v>SR.26.09.0002/IX/2026/PGT/IT/INT</v>
      </c>
    </row>
    <row r="5" spans="1:48" hidden="1" x14ac:dyDescent="0.25">
      <c r="A5" s="43">
        <f>IF(tbl_computer[[#This Row],[No Asset]]&lt;&gt;"",SUBTOTAL(3,INDEX(tbl_computer[No Asset],1):tbl_computer[[#This Row],[No Asset]]),"")</f>
        <v>0</v>
      </c>
      <c r="B5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2609101002</v>
      </c>
      <c r="C5" s="74">
        <v>46268</v>
      </c>
      <c r="D5" t="s">
        <v>108</v>
      </c>
      <c r="E5" s="13" t="s">
        <v>74</v>
      </c>
      <c r="F5" s="45" t="s">
        <v>124</v>
      </c>
      <c r="G5" s="1" t="s">
        <v>76</v>
      </c>
      <c r="H5" s="1" t="s">
        <v>125</v>
      </c>
      <c r="I5" t="s">
        <v>126</v>
      </c>
      <c r="J5" t="s">
        <v>127</v>
      </c>
      <c r="K5" s="1" t="s">
        <v>128</v>
      </c>
      <c r="L5" s="1" t="s">
        <v>81</v>
      </c>
      <c r="M5" s="46" t="s">
        <v>129</v>
      </c>
      <c r="N5" s="1" t="s">
        <v>129</v>
      </c>
      <c r="O5" s="46" t="s">
        <v>130</v>
      </c>
      <c r="P5" s="1" t="s">
        <v>85</v>
      </c>
      <c r="Q5" s="1" t="s">
        <v>131</v>
      </c>
      <c r="R5" s="1" t="s">
        <v>132</v>
      </c>
      <c r="S5" s="1" t="s">
        <v>87</v>
      </c>
      <c r="T5" s="1" t="s">
        <v>133</v>
      </c>
      <c r="U5" s="1" t="s">
        <v>134</v>
      </c>
      <c r="V5" s="1" t="s">
        <v>90</v>
      </c>
      <c r="W5" s="1" t="s">
        <v>135</v>
      </c>
      <c r="X5" t="s">
        <v>136</v>
      </c>
      <c r="Y5" s="13" t="s">
        <v>93</v>
      </c>
      <c r="Z5" s="13" t="s">
        <v>94</v>
      </c>
      <c r="AA5" s="13">
        <v>5600</v>
      </c>
      <c r="AB5" s="1">
        <v>2</v>
      </c>
      <c r="AC5" s="1" t="s">
        <v>137</v>
      </c>
      <c r="AD5" s="1">
        <v>32</v>
      </c>
      <c r="AE5" s="13" t="s">
        <v>138</v>
      </c>
      <c r="AF5" s="13" t="s">
        <v>97</v>
      </c>
      <c r="AG5" s="1" t="s">
        <v>139</v>
      </c>
      <c r="AH5" s="13" t="s">
        <v>99</v>
      </c>
      <c r="AI5" s="1">
        <v>1024</v>
      </c>
      <c r="AJ5" s="45" t="s">
        <v>140</v>
      </c>
      <c r="AK5" s="1" t="s">
        <v>141</v>
      </c>
      <c r="AL5" s="1" t="s">
        <v>142</v>
      </c>
      <c r="AM5" s="1" t="s">
        <v>122</v>
      </c>
      <c r="AN5" s="1" t="s">
        <v>104</v>
      </c>
      <c r="AO5" s="1" t="s">
        <v>105</v>
      </c>
      <c r="AP5" s="1" t="s">
        <v>143</v>
      </c>
      <c r="AQ5" s="125" t="s">
        <v>144</v>
      </c>
      <c r="AU5" s="60" t="b">
        <v>1</v>
      </c>
      <c r="AV5" t="str">
        <f>_xlfn.IFNA(INDEX(tbl_handover[No. Handover],MATCH(tbl_computer[[#This Row],[No Asset]],tbl_handover[Asset Code],0)),"")</f>
        <v>SR.26.09.0009/IX/2026/PGT/IT/INT</v>
      </c>
    </row>
    <row r="6" spans="1:48" hidden="1" x14ac:dyDescent="0.25">
      <c r="A6" s="43">
        <f>IF(tbl_computer[[#This Row],[No Asset]]&lt;&gt;"",SUBTOTAL(3,INDEX(tbl_computer[No Asset],1):tbl_computer[[#This Row],[No Asset]]),"")</f>
        <v>0</v>
      </c>
      <c r="B6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2609101003</v>
      </c>
      <c r="C6" s="74">
        <v>46268</v>
      </c>
      <c r="D6" t="s">
        <v>108</v>
      </c>
      <c r="E6" s="13" t="s">
        <v>74</v>
      </c>
      <c r="F6" s="45" t="s">
        <v>124</v>
      </c>
      <c r="G6" s="1" t="s">
        <v>76</v>
      </c>
      <c r="H6" s="1" t="s">
        <v>77</v>
      </c>
      <c r="I6" t="s">
        <v>110</v>
      </c>
      <c r="J6" t="s">
        <v>79</v>
      </c>
      <c r="K6" s="1" t="s">
        <v>145</v>
      </c>
      <c r="L6" s="1" t="s">
        <v>81</v>
      </c>
      <c r="M6" t="s">
        <v>112</v>
      </c>
      <c r="O6" s="46" t="s">
        <v>146</v>
      </c>
      <c r="P6" s="1" t="s">
        <v>85</v>
      </c>
      <c r="Q6" s="1" t="s">
        <v>147</v>
      </c>
      <c r="R6" s="1" t="s">
        <v>148</v>
      </c>
      <c r="S6" s="1" t="s">
        <v>87</v>
      </c>
      <c r="T6" s="1" t="s">
        <v>149</v>
      </c>
      <c r="U6" s="1" t="s">
        <v>150</v>
      </c>
      <c r="V6" s="13" t="s">
        <v>90</v>
      </c>
      <c r="W6" s="1" t="s">
        <v>116</v>
      </c>
      <c r="X6" t="s">
        <v>117</v>
      </c>
      <c r="Y6" s="13" t="s">
        <v>93</v>
      </c>
      <c r="Z6" s="13" t="s">
        <v>94</v>
      </c>
      <c r="AA6" s="13">
        <v>5600</v>
      </c>
      <c r="AB6" s="13">
        <v>2</v>
      </c>
      <c r="AC6" s="1" t="s">
        <v>95</v>
      </c>
      <c r="AD6" s="13">
        <v>16</v>
      </c>
      <c r="AE6" s="13" t="s">
        <v>118</v>
      </c>
      <c r="AF6" s="13" t="s">
        <v>97</v>
      </c>
      <c r="AG6" s="13" t="s">
        <v>119</v>
      </c>
      <c r="AH6" s="13" t="s">
        <v>99</v>
      </c>
      <c r="AI6" s="13">
        <v>512</v>
      </c>
      <c r="AJ6" s="46" t="s">
        <v>151</v>
      </c>
      <c r="AK6" s="1" t="s">
        <v>152</v>
      </c>
      <c r="AL6" s="1" t="s">
        <v>153</v>
      </c>
      <c r="AM6" s="1" t="s">
        <v>122</v>
      </c>
      <c r="AN6" s="1" t="s">
        <v>104</v>
      </c>
      <c r="AO6" s="1" t="s">
        <v>105</v>
      </c>
      <c r="AP6" s="1" t="s">
        <v>154</v>
      </c>
      <c r="AQ6" s="125" t="s">
        <v>155</v>
      </c>
      <c r="AU6" s="60" t="b">
        <v>1</v>
      </c>
      <c r="AV6" t="str">
        <f>_xlfn.IFNA(INDEX(tbl_handover[No. Handover],MATCH(tbl_computer[[#This Row],[No Asset]],tbl_handover[Asset Code],0)),"")</f>
        <v>SR.26.09.0005/IX/2026/PGT/IT/INT</v>
      </c>
    </row>
    <row r="7" spans="1:48" hidden="1" x14ac:dyDescent="0.25">
      <c r="A7" s="43">
        <f>IF(tbl_computer[[#This Row],[No Asset]]&lt;&gt;"",SUBTOTAL(3,INDEX(tbl_computer[No Asset],1):tbl_computer[[#This Row],[No Asset]]),"")</f>
        <v>0</v>
      </c>
      <c r="B7" s="77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2609101004</v>
      </c>
      <c r="C7" s="74">
        <v>46268</v>
      </c>
      <c r="D7" t="s">
        <v>108</v>
      </c>
      <c r="E7" s="13" t="s">
        <v>74</v>
      </c>
      <c r="F7" s="45" t="s">
        <v>124</v>
      </c>
      <c r="G7" s="1" t="s">
        <v>76</v>
      </c>
      <c r="H7" s="1" t="s">
        <v>77</v>
      </c>
      <c r="I7" t="s">
        <v>110</v>
      </c>
      <c r="J7" t="s">
        <v>79</v>
      </c>
      <c r="K7" s="1" t="s">
        <v>156</v>
      </c>
      <c r="L7" s="1" t="s">
        <v>81</v>
      </c>
      <c r="M7" t="s">
        <v>112</v>
      </c>
      <c r="O7" s="63" t="s">
        <v>157</v>
      </c>
      <c r="P7" s="1" t="s">
        <v>85</v>
      </c>
      <c r="Q7" s="1" t="s">
        <v>158</v>
      </c>
      <c r="R7" s="1" t="s">
        <v>159</v>
      </c>
      <c r="S7" s="1" t="s">
        <v>87</v>
      </c>
      <c r="T7" s="1" t="s">
        <v>160</v>
      </c>
      <c r="U7" s="1" t="s">
        <v>161</v>
      </c>
      <c r="V7" s="13" t="s">
        <v>90</v>
      </c>
      <c r="W7" s="1" t="s">
        <v>116</v>
      </c>
      <c r="X7" t="s">
        <v>117</v>
      </c>
      <c r="Y7" s="13" t="s">
        <v>93</v>
      </c>
      <c r="Z7" s="13" t="s">
        <v>94</v>
      </c>
      <c r="AA7" s="13">
        <v>5600</v>
      </c>
      <c r="AB7" s="13">
        <v>2</v>
      </c>
      <c r="AC7" s="1" t="s">
        <v>95</v>
      </c>
      <c r="AD7" s="13">
        <v>16</v>
      </c>
      <c r="AE7" s="13" t="s">
        <v>118</v>
      </c>
      <c r="AF7" s="13" t="s">
        <v>97</v>
      </c>
      <c r="AG7" s="13" t="s">
        <v>119</v>
      </c>
      <c r="AH7" s="13" t="s">
        <v>99</v>
      </c>
      <c r="AI7" s="13">
        <v>512</v>
      </c>
      <c r="AJ7" s="46" t="s">
        <v>151</v>
      </c>
      <c r="AK7" s="1" t="s">
        <v>152</v>
      </c>
      <c r="AL7" s="1" t="s">
        <v>153</v>
      </c>
      <c r="AM7" s="1" t="s">
        <v>122</v>
      </c>
      <c r="AN7" s="1" t="s">
        <v>104</v>
      </c>
      <c r="AO7" s="1" t="s">
        <v>105</v>
      </c>
      <c r="AP7" s="1" t="s">
        <v>143</v>
      </c>
      <c r="AQ7" s="125" t="s">
        <v>162</v>
      </c>
      <c r="AU7" s="60" t="b">
        <v>1</v>
      </c>
      <c r="AV7" t="str">
        <f>_xlfn.IFNA(INDEX(tbl_handover[No. Handover],MATCH(tbl_computer[[#This Row],[No Asset]],tbl_handover[Asset Code],0)),"")</f>
        <v/>
      </c>
    </row>
    <row r="8" spans="1:48" hidden="1" x14ac:dyDescent="0.25">
      <c r="A8" s="43">
        <f>IF(tbl_computer[[#This Row],[No Asset]]&lt;&gt;"",SUBTOTAL(3,INDEX(tbl_computer[No Asset],1):tbl_computer[[#This Row],[No Asset]]),"")</f>
        <v>0</v>
      </c>
      <c r="B8" s="77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2609101005</v>
      </c>
      <c r="C8" s="74">
        <v>46268</v>
      </c>
      <c r="D8" t="s">
        <v>108</v>
      </c>
      <c r="E8" s="13" t="s">
        <v>74</v>
      </c>
      <c r="F8" s="45" t="s">
        <v>124</v>
      </c>
      <c r="G8" s="1" t="s">
        <v>76</v>
      </c>
      <c r="H8" s="1" t="s">
        <v>77</v>
      </c>
      <c r="I8" t="s">
        <v>110</v>
      </c>
      <c r="J8" t="s">
        <v>79</v>
      </c>
      <c r="K8" s="1" t="s">
        <v>163</v>
      </c>
      <c r="L8" s="1" t="s">
        <v>81</v>
      </c>
      <c r="M8" t="s">
        <v>112</v>
      </c>
      <c r="O8" s="46" t="s">
        <v>164</v>
      </c>
      <c r="P8" s="1" t="s">
        <v>85</v>
      </c>
      <c r="Q8" s="1" t="s">
        <v>165</v>
      </c>
      <c r="R8" s="1" t="s">
        <v>166</v>
      </c>
      <c r="S8" s="1" t="s">
        <v>87</v>
      </c>
      <c r="T8" s="1" t="s">
        <v>167</v>
      </c>
      <c r="U8" s="1" t="s">
        <v>168</v>
      </c>
      <c r="V8" s="13" t="s">
        <v>90</v>
      </c>
      <c r="W8" s="1" t="s">
        <v>116</v>
      </c>
      <c r="X8" t="s">
        <v>117</v>
      </c>
      <c r="Y8" s="13" t="s">
        <v>93</v>
      </c>
      <c r="Z8" s="13" t="s">
        <v>94</v>
      </c>
      <c r="AA8" s="13">
        <v>5600</v>
      </c>
      <c r="AB8" s="13">
        <v>2</v>
      </c>
      <c r="AC8" s="1" t="s">
        <v>95</v>
      </c>
      <c r="AD8" s="13">
        <v>16</v>
      </c>
      <c r="AE8" s="13" t="s">
        <v>118</v>
      </c>
      <c r="AF8" s="13" t="s">
        <v>97</v>
      </c>
      <c r="AG8" s="13" t="s">
        <v>119</v>
      </c>
      <c r="AH8" s="13" t="s">
        <v>99</v>
      </c>
      <c r="AI8" s="13">
        <v>512</v>
      </c>
      <c r="AJ8" s="46" t="s">
        <v>151</v>
      </c>
      <c r="AK8" s="1" t="s">
        <v>152</v>
      </c>
      <c r="AL8" s="1" t="s">
        <v>153</v>
      </c>
      <c r="AM8" s="1" t="s">
        <v>122</v>
      </c>
      <c r="AN8" s="1" t="s">
        <v>104</v>
      </c>
      <c r="AO8" s="1" t="s">
        <v>105</v>
      </c>
      <c r="AP8" s="1" t="s">
        <v>143</v>
      </c>
      <c r="AQ8" s="125" t="s">
        <v>169</v>
      </c>
      <c r="AU8" s="60" t="b">
        <v>0</v>
      </c>
      <c r="AV8" t="str">
        <f>_xlfn.IFNA(INDEX(tbl_handover[No. Handover],MATCH(tbl_computer[[#This Row],[No Asset]],tbl_handover[Asset Code],0)),"")</f>
        <v>SR.26.09.0010/IX/2026/PGT/IT/INT</v>
      </c>
    </row>
    <row r="9" spans="1:48" hidden="1" x14ac:dyDescent="0.25">
      <c r="A9" s="43">
        <f>IF(tbl_computer[[#This Row],[No Asset]]&lt;&gt;"",SUBTOTAL(3,INDEX(tbl_computer[No Asset],1):tbl_computer[[#This Row],[No Asset]]),"")</f>
        <v>0</v>
      </c>
      <c r="B9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2609101006</v>
      </c>
      <c r="C9" s="74">
        <v>46268</v>
      </c>
      <c r="D9" t="s">
        <v>108</v>
      </c>
      <c r="E9" s="13" t="s">
        <v>74</v>
      </c>
      <c r="F9" s="45" t="s">
        <v>170</v>
      </c>
      <c r="G9" s="1" t="s">
        <v>76</v>
      </c>
      <c r="H9" s="1" t="s">
        <v>77</v>
      </c>
      <c r="I9" t="s">
        <v>110</v>
      </c>
      <c r="J9" t="s">
        <v>79</v>
      </c>
      <c r="K9" s="1" t="s">
        <v>171</v>
      </c>
      <c r="L9" s="1" t="s">
        <v>81</v>
      </c>
      <c r="M9" t="s">
        <v>112</v>
      </c>
      <c r="O9" s="49" t="s">
        <v>172</v>
      </c>
      <c r="P9" s="1" t="s">
        <v>85</v>
      </c>
      <c r="Q9" s="1" t="s">
        <v>173</v>
      </c>
      <c r="R9" s="1" t="s">
        <v>174</v>
      </c>
      <c r="S9" s="1" t="s">
        <v>87</v>
      </c>
      <c r="T9" s="1" t="s">
        <v>175</v>
      </c>
      <c r="U9" s="1" t="s">
        <v>176</v>
      </c>
      <c r="V9" s="13" t="s">
        <v>90</v>
      </c>
      <c r="W9" s="1" t="s">
        <v>116</v>
      </c>
      <c r="X9" t="s">
        <v>117</v>
      </c>
      <c r="Y9" s="13" t="s">
        <v>93</v>
      </c>
      <c r="Z9" s="13" t="s">
        <v>94</v>
      </c>
      <c r="AA9" s="13">
        <v>5600</v>
      </c>
      <c r="AB9" s="13">
        <v>2</v>
      </c>
      <c r="AC9" s="1" t="s">
        <v>95</v>
      </c>
      <c r="AD9" s="13">
        <v>16</v>
      </c>
      <c r="AE9" s="13" t="s">
        <v>118</v>
      </c>
      <c r="AF9" s="13" t="s">
        <v>97</v>
      </c>
      <c r="AG9" s="13" t="s">
        <v>119</v>
      </c>
      <c r="AH9" s="13" t="s">
        <v>99</v>
      </c>
      <c r="AI9" s="13">
        <v>512</v>
      </c>
      <c r="AJ9" s="46" t="s">
        <v>151</v>
      </c>
      <c r="AK9" s="1" t="s">
        <v>152</v>
      </c>
      <c r="AL9" s="1" t="s">
        <v>153</v>
      </c>
      <c r="AM9" s="1" t="s">
        <v>122</v>
      </c>
      <c r="AN9" s="1" t="s">
        <v>104</v>
      </c>
      <c r="AO9" s="1" t="s">
        <v>105</v>
      </c>
      <c r="AP9" s="1" t="s">
        <v>154</v>
      </c>
      <c r="AQ9" s="125" t="s">
        <v>177</v>
      </c>
      <c r="AU9" s="60" t="b">
        <v>1</v>
      </c>
      <c r="AV9" t="str">
        <f>_xlfn.IFNA(INDEX(tbl_handover[No. Handover],MATCH(tbl_computer[[#This Row],[No Asset]],tbl_handover[Asset Code],0)),"")</f>
        <v/>
      </c>
    </row>
    <row r="10" spans="1:48" hidden="1" x14ac:dyDescent="0.25">
      <c r="A10" s="43">
        <f>IF(tbl_computer[[#This Row],[No Asset]]&lt;&gt;"",SUBTOTAL(3,INDEX(tbl_computer[No Asset],1):tbl_computer[[#This Row],[No Asset]]),"")</f>
        <v>0</v>
      </c>
      <c r="B10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2609101007</v>
      </c>
      <c r="C10" s="74">
        <v>46268</v>
      </c>
      <c r="D10" t="s">
        <v>108</v>
      </c>
      <c r="E10" s="13" t="s">
        <v>74</v>
      </c>
      <c r="F10" s="45" t="s">
        <v>178</v>
      </c>
      <c r="G10" s="1" t="s">
        <v>76</v>
      </c>
      <c r="H10" s="1" t="s">
        <v>77</v>
      </c>
      <c r="I10" t="s">
        <v>110</v>
      </c>
      <c r="J10" t="s">
        <v>79</v>
      </c>
      <c r="K10" s="1" t="s">
        <v>179</v>
      </c>
      <c r="L10" s="1" t="s">
        <v>81</v>
      </c>
      <c r="M10" t="s">
        <v>112</v>
      </c>
      <c r="O10" s="49" t="s">
        <v>180</v>
      </c>
      <c r="P10" s="1" t="s">
        <v>85</v>
      </c>
      <c r="Q10" s="1" t="s">
        <v>181</v>
      </c>
      <c r="R10" s="1" t="s">
        <v>182</v>
      </c>
      <c r="S10" s="1" t="s">
        <v>87</v>
      </c>
      <c r="T10" s="1" t="s">
        <v>183</v>
      </c>
      <c r="U10" s="1" t="s">
        <v>184</v>
      </c>
      <c r="V10" s="13" t="s">
        <v>90</v>
      </c>
      <c r="W10" s="1" t="s">
        <v>116</v>
      </c>
      <c r="X10" t="s">
        <v>117</v>
      </c>
      <c r="Y10" s="13" t="s">
        <v>93</v>
      </c>
      <c r="Z10" s="13" t="s">
        <v>94</v>
      </c>
      <c r="AA10" s="13">
        <v>5600</v>
      </c>
      <c r="AB10" s="13">
        <v>2</v>
      </c>
      <c r="AC10" s="1" t="s">
        <v>95</v>
      </c>
      <c r="AD10" s="13">
        <v>16</v>
      </c>
      <c r="AE10" s="13" t="s">
        <v>118</v>
      </c>
      <c r="AF10" s="13" t="s">
        <v>97</v>
      </c>
      <c r="AG10" s="13" t="s">
        <v>119</v>
      </c>
      <c r="AH10" s="13" t="s">
        <v>99</v>
      </c>
      <c r="AI10" s="13">
        <v>512</v>
      </c>
      <c r="AJ10" s="44"/>
      <c r="AK10" s="44"/>
      <c r="AL10" s="44"/>
      <c r="AM10" s="1" t="s">
        <v>122</v>
      </c>
      <c r="AN10" s="1" t="s">
        <v>104</v>
      </c>
      <c r="AO10" s="1" t="s">
        <v>105</v>
      </c>
      <c r="AP10" s="1" t="s">
        <v>154</v>
      </c>
      <c r="AQ10" s="125" t="s">
        <v>185</v>
      </c>
      <c r="AU10" s="60" t="b">
        <v>0</v>
      </c>
      <c r="AV10" t="str">
        <f>_xlfn.IFNA(INDEX(tbl_handover[No. Handover],MATCH(tbl_computer[[#This Row],[No Asset]],tbl_handover[Asset Code],0)),"")</f>
        <v/>
      </c>
    </row>
    <row r="11" spans="1:48" hidden="1" x14ac:dyDescent="0.25">
      <c r="A11" s="43">
        <f>IF(tbl_computer[[#This Row],[No Asset]]&lt;&gt;"",SUBTOTAL(3,INDEX(tbl_computer[No Asset],1):tbl_computer[[#This Row],[No Asset]]),"")</f>
        <v>0</v>
      </c>
      <c r="B11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2601101002</v>
      </c>
      <c r="C11" s="74">
        <v>46023</v>
      </c>
      <c r="D11" t="s">
        <v>73</v>
      </c>
      <c r="E11" s="13" t="s">
        <v>74</v>
      </c>
      <c r="F11" s="45" t="s">
        <v>186</v>
      </c>
      <c r="G11" s="1" t="s">
        <v>76</v>
      </c>
      <c r="H11" s="1" t="s">
        <v>77</v>
      </c>
      <c r="I11" t="s">
        <v>187</v>
      </c>
      <c r="J11" t="s">
        <v>79</v>
      </c>
      <c r="K11" s="1" t="s">
        <v>188</v>
      </c>
      <c r="L11" s="1" t="s">
        <v>189</v>
      </c>
      <c r="M11" t="s">
        <v>190</v>
      </c>
      <c r="O11" s="46" t="s">
        <v>191</v>
      </c>
      <c r="P11" s="1" t="s">
        <v>85</v>
      </c>
      <c r="Q11" s="1" t="s">
        <v>192</v>
      </c>
      <c r="R11" s="50"/>
      <c r="S11" s="1" t="s">
        <v>87</v>
      </c>
      <c r="T11" s="1" t="s">
        <v>193</v>
      </c>
      <c r="U11" s="1" t="s">
        <v>194</v>
      </c>
      <c r="V11" s="1" t="s">
        <v>90</v>
      </c>
      <c r="W11" s="1" t="s">
        <v>195</v>
      </c>
      <c r="X11" t="s">
        <v>196</v>
      </c>
      <c r="Y11" s="13" t="s">
        <v>93</v>
      </c>
      <c r="Z11" s="13" t="s">
        <v>94</v>
      </c>
      <c r="AA11" s="13">
        <v>5600</v>
      </c>
      <c r="AB11" s="13">
        <v>2</v>
      </c>
      <c r="AC11" s="1" t="s">
        <v>95</v>
      </c>
      <c r="AD11" s="13">
        <v>16</v>
      </c>
      <c r="AE11" s="50"/>
      <c r="AF11" s="13" t="s">
        <v>97</v>
      </c>
      <c r="AG11" s="50"/>
      <c r="AH11" s="13" t="s">
        <v>99</v>
      </c>
      <c r="AI11" s="1">
        <v>512</v>
      </c>
      <c r="AJ11" s="49"/>
      <c r="AK11" s="50"/>
      <c r="AL11" s="50"/>
      <c r="AM11" s="1" t="s">
        <v>103</v>
      </c>
      <c r="AN11" s="1" t="s">
        <v>104</v>
      </c>
      <c r="AO11" s="1" t="s">
        <v>105</v>
      </c>
      <c r="AP11" s="1" t="s">
        <v>154</v>
      </c>
      <c r="AQ11" s="125"/>
      <c r="AU11" s="60" t="b">
        <v>0</v>
      </c>
      <c r="AV11" t="str">
        <f>_xlfn.IFNA(INDEX(tbl_handover[No. Handover],MATCH(tbl_computer[[#This Row],[No Asset]],tbl_handover[Asset Code],0)),"")</f>
        <v/>
      </c>
    </row>
    <row r="12" spans="1:48" hidden="1" x14ac:dyDescent="0.25">
      <c r="A12" s="43">
        <f>IF(tbl_computer[[#This Row],[No Asset]]&lt;&gt;"",SUBTOTAL(3,INDEX(tbl_computer[No Asset],1):tbl_computer[[#This Row],[No Asset]]),"")</f>
        <v>0</v>
      </c>
      <c r="B12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2601101003</v>
      </c>
      <c r="C12" s="74">
        <v>46023</v>
      </c>
      <c r="D12" t="s">
        <v>73</v>
      </c>
      <c r="E12" s="13" t="s">
        <v>74</v>
      </c>
      <c r="F12" s="45" t="s">
        <v>197</v>
      </c>
      <c r="G12" s="1" t="s">
        <v>76</v>
      </c>
      <c r="H12" s="1" t="s">
        <v>77</v>
      </c>
      <c r="I12" t="s">
        <v>187</v>
      </c>
      <c r="J12" t="s">
        <v>79</v>
      </c>
      <c r="K12" s="1" t="s">
        <v>198</v>
      </c>
      <c r="L12" s="1" t="s">
        <v>189</v>
      </c>
      <c r="M12" t="s">
        <v>190</v>
      </c>
      <c r="O12" s="49" t="s">
        <v>199</v>
      </c>
      <c r="P12" s="1" t="s">
        <v>85</v>
      </c>
      <c r="Q12" s="1" t="s">
        <v>200</v>
      </c>
      <c r="S12" s="1" t="s">
        <v>87</v>
      </c>
      <c r="T12" s="1" t="s">
        <v>201</v>
      </c>
      <c r="U12" s="1" t="s">
        <v>202</v>
      </c>
      <c r="V12" s="1" t="s">
        <v>90</v>
      </c>
      <c r="W12" s="1" t="s">
        <v>195</v>
      </c>
      <c r="X12" t="s">
        <v>196</v>
      </c>
      <c r="Y12" s="13" t="s">
        <v>93</v>
      </c>
      <c r="Z12" s="13" t="s">
        <v>94</v>
      </c>
      <c r="AA12" s="13">
        <v>5600</v>
      </c>
      <c r="AB12" s="13">
        <v>2</v>
      </c>
      <c r="AC12" s="1" t="s">
        <v>95</v>
      </c>
      <c r="AD12" s="13">
        <v>16</v>
      </c>
      <c r="AE12" s="50"/>
      <c r="AF12" s="13" t="s">
        <v>97</v>
      </c>
      <c r="AG12" s="50"/>
      <c r="AH12" s="13" t="s">
        <v>99</v>
      </c>
      <c r="AI12" s="1">
        <v>512</v>
      </c>
      <c r="AJ12" s="49"/>
      <c r="AK12" s="50"/>
      <c r="AL12" s="50"/>
      <c r="AM12" s="1" t="s">
        <v>103</v>
      </c>
      <c r="AN12" s="1" t="s">
        <v>104</v>
      </c>
      <c r="AO12" s="1" t="s">
        <v>105</v>
      </c>
      <c r="AP12" s="1" t="s">
        <v>154</v>
      </c>
      <c r="AQ12" s="125"/>
      <c r="AU12" s="60" t="b">
        <v>1</v>
      </c>
      <c r="AV12" t="str">
        <f>_xlfn.IFNA(INDEX(tbl_handover[No. Handover],MATCH(tbl_computer[[#This Row],[No Asset]],tbl_handover[Asset Code],0)),"")</f>
        <v/>
      </c>
    </row>
    <row r="13" spans="1:48" hidden="1" x14ac:dyDescent="0.25">
      <c r="A13" s="43">
        <f>IF(tbl_computer[[#This Row],[No Asset]]&lt;&gt;"",SUBTOTAL(3,INDEX(tbl_computer[No Asset],1):tbl_computer[[#This Row],[No Asset]]),"")</f>
        <v>0</v>
      </c>
      <c r="B13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2601101004</v>
      </c>
      <c r="C13" s="74">
        <v>46023</v>
      </c>
      <c r="D13" t="s">
        <v>73</v>
      </c>
      <c r="E13" s="13" t="s">
        <v>74</v>
      </c>
      <c r="F13" s="45" t="s">
        <v>203</v>
      </c>
      <c r="G13" s="1" t="s">
        <v>76</v>
      </c>
      <c r="H13" s="1" t="s">
        <v>77</v>
      </c>
      <c r="I13" t="s">
        <v>204</v>
      </c>
      <c r="J13" t="s">
        <v>79</v>
      </c>
      <c r="K13" s="1" t="s">
        <v>205</v>
      </c>
      <c r="L13" s="1" t="s">
        <v>81</v>
      </c>
      <c r="M13" t="s">
        <v>206</v>
      </c>
      <c r="O13" s="46" t="s">
        <v>207</v>
      </c>
      <c r="P13" s="1" t="s">
        <v>85</v>
      </c>
      <c r="S13" s="1" t="s">
        <v>87</v>
      </c>
      <c r="T13" s="1" t="s">
        <v>208</v>
      </c>
      <c r="U13" s="1" t="s">
        <v>209</v>
      </c>
      <c r="V13" s="13" t="s">
        <v>90</v>
      </c>
      <c r="W13" s="1" t="s">
        <v>91</v>
      </c>
      <c r="X13" t="s">
        <v>92</v>
      </c>
      <c r="Y13" s="13" t="s">
        <v>93</v>
      </c>
      <c r="Z13" s="13" t="s">
        <v>94</v>
      </c>
      <c r="AA13" s="13">
        <v>5600</v>
      </c>
      <c r="AB13" s="13">
        <v>2</v>
      </c>
      <c r="AC13" s="1" t="s">
        <v>95</v>
      </c>
      <c r="AD13" s="13">
        <v>16</v>
      </c>
      <c r="AE13" s="13" t="s">
        <v>96</v>
      </c>
      <c r="AF13" s="13" t="s">
        <v>97</v>
      </c>
      <c r="AG13" s="13" t="s">
        <v>98</v>
      </c>
      <c r="AH13" s="13" t="s">
        <v>99</v>
      </c>
      <c r="AI13" s="13">
        <v>1024</v>
      </c>
      <c r="AL13" s="1" t="s">
        <v>153</v>
      </c>
      <c r="AM13" s="1" t="s">
        <v>103</v>
      </c>
      <c r="AN13" s="1" t="s">
        <v>104</v>
      </c>
      <c r="AO13" s="1" t="s">
        <v>105</v>
      </c>
      <c r="AP13" s="1" t="s">
        <v>106</v>
      </c>
      <c r="AQ13" s="125" t="s">
        <v>210</v>
      </c>
      <c r="AU13" s="60" t="b">
        <v>1</v>
      </c>
      <c r="AV13" t="str">
        <f>_xlfn.IFNA(INDEX(tbl_handover[No. Handover],MATCH(tbl_computer[[#This Row],[No Asset]],tbl_handover[Asset Code],0)),"")</f>
        <v>SR.26.09.0011/IX/2026/PGT/IT/INT</v>
      </c>
    </row>
    <row r="14" spans="1:48" hidden="1" x14ac:dyDescent="0.25">
      <c r="A14" s="43">
        <f>IF(tbl_computer[[#This Row],[No Asset]]&lt;&gt;"",SUBTOTAL(3,INDEX(tbl_computer[No Asset],1):tbl_computer[[#This Row],[No Asset]]),"")</f>
        <v>0</v>
      </c>
      <c r="B14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2601101005</v>
      </c>
      <c r="C14" s="74">
        <v>46023</v>
      </c>
      <c r="D14" t="s">
        <v>73</v>
      </c>
      <c r="E14" s="13" t="s">
        <v>74</v>
      </c>
      <c r="F14" s="45" t="s">
        <v>211</v>
      </c>
      <c r="G14" s="1" t="s">
        <v>76</v>
      </c>
      <c r="H14" s="1" t="s">
        <v>77</v>
      </c>
      <c r="I14" t="s">
        <v>187</v>
      </c>
      <c r="J14" t="s">
        <v>79</v>
      </c>
      <c r="K14" s="1" t="s">
        <v>212</v>
      </c>
      <c r="L14" s="1" t="s">
        <v>189</v>
      </c>
      <c r="M14" t="s">
        <v>190</v>
      </c>
      <c r="O14" s="46" t="s">
        <v>213</v>
      </c>
      <c r="P14" s="1" t="s">
        <v>85</v>
      </c>
      <c r="Q14" s="1" t="s">
        <v>214</v>
      </c>
      <c r="R14" s="1" t="s">
        <v>215</v>
      </c>
      <c r="S14" s="1" t="s">
        <v>87</v>
      </c>
      <c r="T14" s="1" t="s">
        <v>216</v>
      </c>
      <c r="U14" s="1" t="s">
        <v>217</v>
      </c>
      <c r="V14" s="13" t="s">
        <v>90</v>
      </c>
      <c r="W14" s="1" t="s">
        <v>195</v>
      </c>
      <c r="X14" t="s">
        <v>218</v>
      </c>
      <c r="Y14" s="13" t="s">
        <v>93</v>
      </c>
      <c r="Z14" s="13" t="s">
        <v>94</v>
      </c>
      <c r="AA14" s="13">
        <v>5600</v>
      </c>
      <c r="AB14" s="13">
        <v>2</v>
      </c>
      <c r="AC14" s="1" t="s">
        <v>95</v>
      </c>
      <c r="AD14" s="13">
        <v>16</v>
      </c>
      <c r="AE14" s="13" t="s">
        <v>96</v>
      </c>
      <c r="AF14" s="13" t="s">
        <v>97</v>
      </c>
      <c r="AG14" s="13" t="s">
        <v>98</v>
      </c>
      <c r="AH14" s="13" t="s">
        <v>99</v>
      </c>
      <c r="AI14" s="1">
        <v>512</v>
      </c>
      <c r="AJ14" t="s">
        <v>219</v>
      </c>
      <c r="AK14" s="1" t="s">
        <v>220</v>
      </c>
      <c r="AL14" s="1" t="s">
        <v>221</v>
      </c>
      <c r="AM14" s="1" t="s">
        <v>103</v>
      </c>
      <c r="AN14" s="1" t="s">
        <v>104</v>
      </c>
      <c r="AO14" s="1" t="s">
        <v>105</v>
      </c>
      <c r="AP14" s="1" t="s">
        <v>154</v>
      </c>
      <c r="AQ14" s="125"/>
      <c r="AU14" s="60" t="b">
        <v>1</v>
      </c>
      <c r="AV14" t="str">
        <f>_xlfn.IFNA(INDEX(tbl_handover[No. Handover],MATCH(tbl_computer[[#This Row],[No Asset]],tbl_handover[Asset Code],0)),"")</f>
        <v/>
      </c>
    </row>
    <row r="15" spans="1:48" hidden="1" x14ac:dyDescent="0.25">
      <c r="A15" s="43">
        <f>IF(tbl_computer[[#This Row],[No Asset]]&lt;&gt;"",SUBTOTAL(3,INDEX(tbl_computer[No Asset],1):tbl_computer[[#This Row],[No Asset]]),"")</f>
        <v>0</v>
      </c>
      <c r="B15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2601101006</v>
      </c>
      <c r="C15" s="74">
        <v>46023</v>
      </c>
      <c r="D15" t="s">
        <v>73</v>
      </c>
      <c r="E15" s="13" t="s">
        <v>74</v>
      </c>
      <c r="F15" s="45" t="s">
        <v>211</v>
      </c>
      <c r="G15" s="1" t="s">
        <v>76</v>
      </c>
      <c r="H15" s="1" t="s">
        <v>77</v>
      </c>
      <c r="I15" t="s">
        <v>187</v>
      </c>
      <c r="J15" t="s">
        <v>79</v>
      </c>
      <c r="K15" s="1" t="s">
        <v>222</v>
      </c>
      <c r="L15" s="1" t="s">
        <v>189</v>
      </c>
      <c r="M15" t="s">
        <v>190</v>
      </c>
      <c r="O15" s="46" t="s">
        <v>223</v>
      </c>
      <c r="P15" s="1" t="s">
        <v>85</v>
      </c>
      <c r="Q15" s="1" t="s">
        <v>224</v>
      </c>
      <c r="S15" s="1" t="s">
        <v>87</v>
      </c>
      <c r="T15" s="1" t="s">
        <v>225</v>
      </c>
      <c r="U15" s="1" t="s">
        <v>226</v>
      </c>
      <c r="V15" s="13" t="s">
        <v>90</v>
      </c>
      <c r="W15" s="1" t="s">
        <v>195</v>
      </c>
      <c r="X15" t="s">
        <v>218</v>
      </c>
      <c r="Y15" s="13" t="s">
        <v>93</v>
      </c>
      <c r="Z15" s="13" t="s">
        <v>94</v>
      </c>
      <c r="AA15" s="13">
        <v>5600</v>
      </c>
      <c r="AB15" s="13">
        <v>2</v>
      </c>
      <c r="AC15" s="1" t="s">
        <v>95</v>
      </c>
      <c r="AD15" s="13">
        <v>16</v>
      </c>
      <c r="AE15" s="13" t="s">
        <v>96</v>
      </c>
      <c r="AF15" s="13" t="s">
        <v>97</v>
      </c>
      <c r="AG15" s="13" t="s">
        <v>98</v>
      </c>
      <c r="AH15" s="13" t="s">
        <v>99</v>
      </c>
      <c r="AI15" s="1">
        <v>512</v>
      </c>
      <c r="AJ15" t="s">
        <v>219</v>
      </c>
      <c r="AK15" s="1" t="s">
        <v>220</v>
      </c>
      <c r="AL15" s="1" t="s">
        <v>221</v>
      </c>
      <c r="AM15" s="1" t="s">
        <v>103</v>
      </c>
      <c r="AN15" s="1" t="s">
        <v>104</v>
      </c>
      <c r="AO15" s="1" t="s">
        <v>105</v>
      </c>
      <c r="AP15" s="1" t="s">
        <v>154</v>
      </c>
      <c r="AQ15" s="125"/>
      <c r="AU15" s="60" t="b">
        <v>1</v>
      </c>
      <c r="AV15" t="str">
        <f>_xlfn.IFNA(INDEX(tbl_handover[No. Handover],MATCH(tbl_computer[[#This Row],[No Asset]],tbl_handover[Asset Code],0)),"")</f>
        <v/>
      </c>
    </row>
    <row r="16" spans="1:48" hidden="1" x14ac:dyDescent="0.25">
      <c r="A16" s="43">
        <f>IF(tbl_computer[[#This Row],[No Asset]]&lt;&gt;"",SUBTOTAL(3,INDEX(tbl_computer[No Asset],1):tbl_computer[[#This Row],[No Asset]]),"")</f>
        <v>0</v>
      </c>
      <c r="B16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2601101007</v>
      </c>
      <c r="C16" s="74">
        <v>46023</v>
      </c>
      <c r="D16" t="s">
        <v>73</v>
      </c>
      <c r="E16" s="13" t="s">
        <v>74</v>
      </c>
      <c r="F16" s="45" t="s">
        <v>211</v>
      </c>
      <c r="G16" s="1" t="s">
        <v>76</v>
      </c>
      <c r="H16" s="1" t="s">
        <v>77</v>
      </c>
      <c r="I16" t="s">
        <v>187</v>
      </c>
      <c r="J16" t="s">
        <v>79</v>
      </c>
      <c r="K16" s="1" t="s">
        <v>227</v>
      </c>
      <c r="L16" s="1" t="s">
        <v>189</v>
      </c>
      <c r="M16" t="s">
        <v>190</v>
      </c>
      <c r="O16" s="46" t="s">
        <v>228</v>
      </c>
      <c r="P16" s="1" t="s">
        <v>85</v>
      </c>
      <c r="Q16" s="1" t="s">
        <v>229</v>
      </c>
      <c r="S16" s="1" t="s">
        <v>87</v>
      </c>
      <c r="T16" s="1" t="s">
        <v>230</v>
      </c>
      <c r="U16" s="1" t="s">
        <v>231</v>
      </c>
      <c r="V16" s="13" t="s">
        <v>90</v>
      </c>
      <c r="W16" s="1" t="s">
        <v>195</v>
      </c>
      <c r="X16" t="s">
        <v>218</v>
      </c>
      <c r="Y16" s="13" t="s">
        <v>93</v>
      </c>
      <c r="Z16" s="13" t="s">
        <v>94</v>
      </c>
      <c r="AA16" s="13">
        <v>5600</v>
      </c>
      <c r="AB16" s="13">
        <v>2</v>
      </c>
      <c r="AC16" s="1" t="s">
        <v>95</v>
      </c>
      <c r="AD16" s="13">
        <v>16</v>
      </c>
      <c r="AE16" s="13" t="s">
        <v>96</v>
      </c>
      <c r="AF16" s="13" t="s">
        <v>97</v>
      </c>
      <c r="AG16" s="13" t="s">
        <v>98</v>
      </c>
      <c r="AH16" s="13" t="s">
        <v>99</v>
      </c>
      <c r="AI16" s="1">
        <v>512</v>
      </c>
      <c r="AJ16" t="s">
        <v>219</v>
      </c>
      <c r="AK16" s="1" t="s">
        <v>220</v>
      </c>
      <c r="AL16" s="1" t="s">
        <v>221</v>
      </c>
      <c r="AM16" s="1" t="s">
        <v>103</v>
      </c>
      <c r="AN16" s="1" t="s">
        <v>104</v>
      </c>
      <c r="AO16" s="1" t="s">
        <v>105</v>
      </c>
      <c r="AP16" s="1" t="s">
        <v>154</v>
      </c>
      <c r="AQ16" s="125"/>
      <c r="AU16" s="60" t="b">
        <v>1</v>
      </c>
      <c r="AV16" t="str">
        <f>_xlfn.IFNA(INDEX(tbl_handover[No. Handover],MATCH(tbl_computer[[#This Row],[No Asset]],tbl_handover[Asset Code],0)),"")</f>
        <v/>
      </c>
    </row>
    <row r="17" spans="1:48" hidden="1" x14ac:dyDescent="0.25">
      <c r="A17" s="43">
        <f>IF(tbl_computer[[#This Row],[No Asset]]&lt;&gt;"",SUBTOTAL(3,INDEX(tbl_computer[No Asset],1):tbl_computer[[#This Row],[No Asset]]),"")</f>
        <v>0</v>
      </c>
      <c r="B17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2601101008</v>
      </c>
      <c r="C17" s="74">
        <v>46023</v>
      </c>
      <c r="D17" t="s">
        <v>73</v>
      </c>
      <c r="E17" s="13" t="s">
        <v>74</v>
      </c>
      <c r="F17" s="45" t="s">
        <v>232</v>
      </c>
      <c r="G17" s="1" t="s">
        <v>76</v>
      </c>
      <c r="H17" s="1" t="s">
        <v>77</v>
      </c>
      <c r="I17" t="s">
        <v>187</v>
      </c>
      <c r="J17" t="s">
        <v>79</v>
      </c>
      <c r="K17" s="1" t="s">
        <v>233</v>
      </c>
      <c r="L17" s="1" t="s">
        <v>189</v>
      </c>
      <c r="M17" t="s">
        <v>190</v>
      </c>
      <c r="O17" s="46" t="s">
        <v>234</v>
      </c>
      <c r="P17" s="1" t="s">
        <v>85</v>
      </c>
      <c r="Q17" s="1" t="s">
        <v>235</v>
      </c>
      <c r="R17" s="1" t="s">
        <v>87</v>
      </c>
      <c r="S17" s="1" t="s">
        <v>236</v>
      </c>
      <c r="T17" s="1" t="s">
        <v>237</v>
      </c>
      <c r="U17" s="1" t="s">
        <v>238</v>
      </c>
      <c r="V17" s="13" t="s">
        <v>90</v>
      </c>
      <c r="W17" s="1" t="s">
        <v>195</v>
      </c>
      <c r="X17" t="s">
        <v>218</v>
      </c>
      <c r="Y17" s="13" t="s">
        <v>93</v>
      </c>
      <c r="Z17" s="13" t="s">
        <v>94</v>
      </c>
      <c r="AA17" s="13">
        <v>5600</v>
      </c>
      <c r="AB17" s="13">
        <v>2</v>
      </c>
      <c r="AC17" s="1" t="s">
        <v>95</v>
      </c>
      <c r="AD17" s="13">
        <v>16</v>
      </c>
      <c r="AE17" s="13" t="s">
        <v>96</v>
      </c>
      <c r="AF17" s="13" t="s">
        <v>97</v>
      </c>
      <c r="AG17" s="13" t="s">
        <v>98</v>
      </c>
      <c r="AH17" s="13" t="s">
        <v>99</v>
      </c>
      <c r="AI17" s="1">
        <v>512</v>
      </c>
      <c r="AJ17" t="s">
        <v>219</v>
      </c>
      <c r="AK17" s="1" t="s">
        <v>220</v>
      </c>
      <c r="AL17" s="1" t="s">
        <v>221</v>
      </c>
      <c r="AM17" s="1" t="s">
        <v>103</v>
      </c>
      <c r="AN17" s="1" t="s">
        <v>104</v>
      </c>
      <c r="AO17" s="1" t="s">
        <v>105</v>
      </c>
      <c r="AP17" s="1" t="s">
        <v>154</v>
      </c>
      <c r="AQ17" s="125" t="s">
        <v>239</v>
      </c>
      <c r="AU17" s="60" t="b">
        <v>0</v>
      </c>
      <c r="AV17" t="str">
        <f>_xlfn.IFNA(INDEX(tbl_handover[No. Handover],MATCH(tbl_computer[[#This Row],[No Asset]],tbl_handover[Asset Code],0)),"")</f>
        <v/>
      </c>
    </row>
    <row r="18" spans="1:48" hidden="1" x14ac:dyDescent="0.25">
      <c r="A18" s="43">
        <f>IF(tbl_computer[[#This Row],[No Asset]]&lt;&gt;"",SUBTOTAL(3,INDEX(tbl_computer[No Asset],1):tbl_computer[[#This Row],[No Asset]]),"")</f>
        <v>0</v>
      </c>
      <c r="B18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2601101009</v>
      </c>
      <c r="C18" s="74">
        <v>46023</v>
      </c>
      <c r="D18" t="s">
        <v>73</v>
      </c>
      <c r="E18" s="13" t="s">
        <v>74</v>
      </c>
      <c r="F18" s="45" t="s">
        <v>124</v>
      </c>
      <c r="G18" s="1" t="s">
        <v>76</v>
      </c>
      <c r="H18" s="1" t="s">
        <v>240</v>
      </c>
      <c r="I18" t="s">
        <v>241</v>
      </c>
      <c r="J18" t="s">
        <v>242</v>
      </c>
      <c r="K18" s="1" t="s">
        <v>243</v>
      </c>
      <c r="L18" s="1" t="s">
        <v>244</v>
      </c>
      <c r="M18" t="s">
        <v>245</v>
      </c>
      <c r="O18" s="49" t="s">
        <v>246</v>
      </c>
      <c r="P18" s="1" t="s">
        <v>85</v>
      </c>
      <c r="R18" s="1" t="s">
        <v>247</v>
      </c>
      <c r="S18" s="1" t="s">
        <v>87</v>
      </c>
      <c r="T18" s="1" t="s">
        <v>248</v>
      </c>
      <c r="U18" s="1" t="s">
        <v>249</v>
      </c>
      <c r="V18" s="13" t="s">
        <v>250</v>
      </c>
      <c r="W18" s="1" t="s">
        <v>251</v>
      </c>
      <c r="X18" t="s">
        <v>251</v>
      </c>
      <c r="Z18" s="13" t="s">
        <v>252</v>
      </c>
      <c r="AD18" s="1">
        <v>16</v>
      </c>
      <c r="AF18" s="13" t="s">
        <v>97</v>
      </c>
      <c r="AG18" s="1" t="s">
        <v>253</v>
      </c>
      <c r="AH18" s="13" t="s">
        <v>99</v>
      </c>
      <c r="AI18" s="1">
        <v>512</v>
      </c>
      <c r="AJ18"/>
      <c r="AM18" s="1" t="s">
        <v>254</v>
      </c>
      <c r="AN18" s="1" t="s">
        <v>104</v>
      </c>
      <c r="AO18" s="1" t="s">
        <v>105</v>
      </c>
      <c r="AP18" s="1" t="s">
        <v>143</v>
      </c>
      <c r="AQ18" s="125"/>
      <c r="AU18" s="60" t="b">
        <v>1</v>
      </c>
      <c r="AV18" t="str">
        <f>_xlfn.IFNA(INDEX(tbl_handover[No. Handover],MATCH(tbl_computer[[#This Row],[No Asset]],tbl_handover[Asset Code],0)),"")</f>
        <v/>
      </c>
    </row>
    <row r="19" spans="1:48" x14ac:dyDescent="0.25">
      <c r="A19" s="43">
        <f>IF(tbl_computer[[#This Row],[No Asset]]&lt;&gt;"",SUBTOTAL(3,INDEX(tbl_computer[No Asset],1):tbl_computer[[#This Row],[No Asset]]),"")</f>
        <v>1</v>
      </c>
      <c r="B19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2601101010</v>
      </c>
      <c r="C19" s="74">
        <v>46023</v>
      </c>
      <c r="D19" t="s">
        <v>73</v>
      </c>
      <c r="E19" s="13" t="s">
        <v>74</v>
      </c>
      <c r="F19" s="45" t="s">
        <v>255</v>
      </c>
      <c r="G19" s="1" t="s">
        <v>76</v>
      </c>
      <c r="H19" s="1" t="s">
        <v>256</v>
      </c>
      <c r="I19" t="s">
        <v>257</v>
      </c>
      <c r="J19" t="s">
        <v>258</v>
      </c>
      <c r="K19" s="1" t="s">
        <v>259</v>
      </c>
      <c r="L19" s="1" t="s">
        <v>119</v>
      </c>
      <c r="M19" t="s">
        <v>260</v>
      </c>
      <c r="O19" s="46" t="s">
        <v>261</v>
      </c>
      <c r="P19" s="1" t="s">
        <v>262</v>
      </c>
      <c r="Q19" s="1" t="s">
        <v>87</v>
      </c>
      <c r="S19" s="1" t="s">
        <v>87</v>
      </c>
      <c r="T19" s="1" t="s">
        <v>263</v>
      </c>
      <c r="U19" s="1" t="s">
        <v>87</v>
      </c>
      <c r="V19" s="1" t="s">
        <v>119</v>
      </c>
      <c r="W19" s="1" t="s">
        <v>264</v>
      </c>
      <c r="X19" t="s">
        <v>265</v>
      </c>
      <c r="Y19" s="1" t="s">
        <v>87</v>
      </c>
      <c r="Z19" s="13" t="s">
        <v>266</v>
      </c>
      <c r="AA19" s="1" t="s">
        <v>87</v>
      </c>
      <c r="AB19" s="1" t="s">
        <v>87</v>
      </c>
      <c r="AC19" s="1" t="s">
        <v>87</v>
      </c>
      <c r="AD19" s="1">
        <v>6</v>
      </c>
      <c r="AE19" s="1" t="s">
        <v>87</v>
      </c>
      <c r="AF19" s="13" t="s">
        <v>267</v>
      </c>
      <c r="AG19" s="1" t="s">
        <v>87</v>
      </c>
      <c r="AH19" s="1" t="s">
        <v>87</v>
      </c>
      <c r="AI19" s="1">
        <v>128</v>
      </c>
      <c r="AJ19" s="46" t="s">
        <v>268</v>
      </c>
      <c r="AK19" s="1" t="s">
        <v>269</v>
      </c>
      <c r="AL19" s="1" t="s">
        <v>270</v>
      </c>
      <c r="AM19" s="1" t="s">
        <v>103</v>
      </c>
      <c r="AN19" s="1" t="s">
        <v>104</v>
      </c>
      <c r="AO19" s="1" t="s">
        <v>105</v>
      </c>
      <c r="AP19" s="1" t="s">
        <v>154</v>
      </c>
      <c r="AQ19" s="125" t="s">
        <v>271</v>
      </c>
      <c r="AU19" s="60" t="b">
        <v>1</v>
      </c>
      <c r="AV19" t="str">
        <f>_xlfn.IFNA(INDEX(tbl_handover[No. Handover],MATCH(tbl_computer[[#This Row],[No Asset]],tbl_handover[Asset Code],0)),"")</f>
        <v/>
      </c>
    </row>
    <row r="20" spans="1:48" x14ac:dyDescent="0.25">
      <c r="A20" s="43">
        <f>IF(tbl_computer[[#This Row],[No Asset]]&lt;&gt;"",SUBTOTAL(3,INDEX(tbl_computer[No Asset],1):tbl_computer[[#This Row],[No Asset]]),"")</f>
        <v>2</v>
      </c>
      <c r="B20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2601101011</v>
      </c>
      <c r="C20" s="74">
        <v>46023</v>
      </c>
      <c r="D20" t="s">
        <v>73</v>
      </c>
      <c r="E20" s="13" t="s">
        <v>74</v>
      </c>
      <c r="F20" s="45" t="s">
        <v>255</v>
      </c>
      <c r="G20" s="1" t="s">
        <v>76</v>
      </c>
      <c r="H20" s="1" t="s">
        <v>256</v>
      </c>
      <c r="I20" t="s">
        <v>257</v>
      </c>
      <c r="J20" t="s">
        <v>258</v>
      </c>
      <c r="K20" s="1" t="s">
        <v>272</v>
      </c>
      <c r="L20" s="1" t="s">
        <v>119</v>
      </c>
      <c r="M20" t="s">
        <v>260</v>
      </c>
      <c r="O20" s="49" t="s">
        <v>273</v>
      </c>
      <c r="P20" s="1" t="s">
        <v>262</v>
      </c>
      <c r="Q20" s="1" t="s">
        <v>87</v>
      </c>
      <c r="S20" s="1" t="s">
        <v>87</v>
      </c>
      <c r="T20" s="1" t="s">
        <v>274</v>
      </c>
      <c r="U20" s="1" t="s">
        <v>87</v>
      </c>
      <c r="V20" s="1" t="s">
        <v>119</v>
      </c>
      <c r="W20" s="1" t="s">
        <v>264</v>
      </c>
      <c r="X20" t="s">
        <v>265</v>
      </c>
      <c r="Y20" s="1" t="s">
        <v>87</v>
      </c>
      <c r="Z20" s="13" t="s">
        <v>266</v>
      </c>
      <c r="AA20" s="1" t="s">
        <v>87</v>
      </c>
      <c r="AB20" s="1" t="s">
        <v>87</v>
      </c>
      <c r="AC20" s="1" t="s">
        <v>87</v>
      </c>
      <c r="AD20" s="1">
        <v>6</v>
      </c>
      <c r="AE20" s="1" t="s">
        <v>87</v>
      </c>
      <c r="AF20" s="13" t="s">
        <v>267</v>
      </c>
      <c r="AG20" s="1" t="s">
        <v>87</v>
      </c>
      <c r="AH20" s="1" t="s">
        <v>87</v>
      </c>
      <c r="AI20" s="1">
        <v>128</v>
      </c>
      <c r="AJ20" s="46" t="s">
        <v>268</v>
      </c>
      <c r="AK20" s="1" t="s">
        <v>269</v>
      </c>
      <c r="AL20" s="1" t="s">
        <v>270</v>
      </c>
      <c r="AM20" s="1" t="s">
        <v>103</v>
      </c>
      <c r="AN20" s="1" t="s">
        <v>104</v>
      </c>
      <c r="AO20" s="1" t="s">
        <v>105</v>
      </c>
      <c r="AP20" s="1" t="s">
        <v>154</v>
      </c>
      <c r="AQ20" s="125" t="s">
        <v>275</v>
      </c>
      <c r="AU20" s="60" t="b">
        <v>0</v>
      </c>
      <c r="AV20" t="str">
        <f>_xlfn.IFNA(INDEX(tbl_handover[No. Handover],MATCH(tbl_computer[[#This Row],[No Asset]],tbl_handover[Asset Code],0)),"")</f>
        <v/>
      </c>
    </row>
    <row r="21" spans="1:48" x14ac:dyDescent="0.25">
      <c r="A21" s="43">
        <f>IF(tbl_computer[[#This Row],[No Asset]]&lt;&gt;"",SUBTOTAL(3,INDEX(tbl_computer[No Asset],1):tbl_computer[[#This Row],[No Asset]]),"")</f>
        <v>3</v>
      </c>
      <c r="B21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2601101012</v>
      </c>
      <c r="C21" s="74">
        <v>46023</v>
      </c>
      <c r="D21" t="s">
        <v>73</v>
      </c>
      <c r="E21" s="13" t="s">
        <v>74</v>
      </c>
      <c r="F21" s="45" t="s">
        <v>255</v>
      </c>
      <c r="G21" s="1" t="s">
        <v>76</v>
      </c>
      <c r="H21" s="1" t="s">
        <v>256</v>
      </c>
      <c r="I21" t="s">
        <v>257</v>
      </c>
      <c r="J21" t="s">
        <v>258</v>
      </c>
      <c r="K21" s="1" t="s">
        <v>276</v>
      </c>
      <c r="L21" s="1" t="s">
        <v>119</v>
      </c>
      <c r="M21" t="s">
        <v>260</v>
      </c>
      <c r="O21" s="49" t="s">
        <v>273</v>
      </c>
      <c r="P21" s="1" t="s">
        <v>262</v>
      </c>
      <c r="Q21" s="1" t="s">
        <v>87</v>
      </c>
      <c r="S21" s="1" t="s">
        <v>87</v>
      </c>
      <c r="U21" s="1" t="s">
        <v>87</v>
      </c>
      <c r="V21" s="1" t="s">
        <v>119</v>
      </c>
      <c r="W21" s="1" t="s">
        <v>264</v>
      </c>
      <c r="X21" t="s">
        <v>265</v>
      </c>
      <c r="Y21" s="1" t="s">
        <v>87</v>
      </c>
      <c r="Z21" s="13" t="s">
        <v>266</v>
      </c>
      <c r="AA21" s="1" t="s">
        <v>87</v>
      </c>
      <c r="AB21" s="1" t="s">
        <v>87</v>
      </c>
      <c r="AC21" s="1" t="s">
        <v>87</v>
      </c>
      <c r="AD21" s="1">
        <v>6</v>
      </c>
      <c r="AE21" s="1" t="s">
        <v>87</v>
      </c>
      <c r="AF21" s="13" t="s">
        <v>267</v>
      </c>
      <c r="AG21" s="1" t="s">
        <v>87</v>
      </c>
      <c r="AH21" s="1" t="s">
        <v>87</v>
      </c>
      <c r="AI21" s="1">
        <v>128</v>
      </c>
      <c r="AJ21" s="46" t="s">
        <v>268</v>
      </c>
      <c r="AK21" s="1" t="s">
        <v>269</v>
      </c>
      <c r="AL21" s="1" t="s">
        <v>270</v>
      </c>
      <c r="AM21" s="1" t="s">
        <v>103</v>
      </c>
      <c r="AN21" s="1" t="s">
        <v>104</v>
      </c>
      <c r="AO21" s="1" t="s">
        <v>105</v>
      </c>
      <c r="AP21" s="1" t="s">
        <v>154</v>
      </c>
      <c r="AQ21" s="125" t="s">
        <v>275</v>
      </c>
      <c r="AU21" s="60" t="b">
        <v>0</v>
      </c>
      <c r="AV21" t="str">
        <f>_xlfn.IFNA(INDEX(tbl_handover[No. Handover],MATCH(tbl_computer[[#This Row],[No Asset]],tbl_handover[Asset Code],0)),"")</f>
        <v/>
      </c>
    </row>
    <row r="22" spans="1:48" x14ac:dyDescent="0.25">
      <c r="A22" s="43">
        <f>IF(tbl_computer[[#This Row],[No Asset]]&lt;&gt;"",SUBTOTAL(3,INDEX(tbl_computer[No Asset],1):tbl_computer[[#This Row],[No Asset]]),"")</f>
        <v>4</v>
      </c>
      <c r="B22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2601101013</v>
      </c>
      <c r="C22" s="74">
        <v>46023</v>
      </c>
      <c r="D22" t="s">
        <v>73</v>
      </c>
      <c r="E22" s="13" t="s">
        <v>74</v>
      </c>
      <c r="F22" s="45" t="s">
        <v>255</v>
      </c>
      <c r="G22" s="1" t="s">
        <v>76</v>
      </c>
      <c r="H22" s="1" t="s">
        <v>256</v>
      </c>
      <c r="I22" t="s">
        <v>277</v>
      </c>
      <c r="J22" t="s">
        <v>258</v>
      </c>
      <c r="K22" s="1" t="s">
        <v>278</v>
      </c>
      <c r="L22" s="1" t="s">
        <v>119</v>
      </c>
      <c r="M22" t="s">
        <v>279</v>
      </c>
      <c r="O22" s="49" t="s">
        <v>280</v>
      </c>
      <c r="P22" s="1" t="s">
        <v>262</v>
      </c>
      <c r="Q22" s="1" t="s">
        <v>87</v>
      </c>
      <c r="S22" s="1" t="s">
        <v>87</v>
      </c>
      <c r="U22" s="1" t="s">
        <v>87</v>
      </c>
      <c r="V22" s="1" t="s">
        <v>281</v>
      </c>
      <c r="W22" s="1" t="s">
        <v>282</v>
      </c>
      <c r="X22" t="s">
        <v>283</v>
      </c>
      <c r="Y22" s="1" t="s">
        <v>87</v>
      </c>
      <c r="Z22" s="13" t="s">
        <v>266</v>
      </c>
      <c r="AA22" s="1" t="s">
        <v>87</v>
      </c>
      <c r="AB22" s="1" t="s">
        <v>87</v>
      </c>
      <c r="AC22" s="1" t="s">
        <v>87</v>
      </c>
      <c r="AD22" s="1">
        <v>8</v>
      </c>
      <c r="AE22" s="1" t="s">
        <v>87</v>
      </c>
      <c r="AF22" s="13" t="s">
        <v>267</v>
      </c>
      <c r="AG22" s="1" t="s">
        <v>87</v>
      </c>
      <c r="AH22" s="1" t="s">
        <v>87</v>
      </c>
      <c r="AI22" s="1">
        <v>256</v>
      </c>
      <c r="AJ22" s="46" t="s">
        <v>268</v>
      </c>
      <c r="AK22" s="1" t="s">
        <v>269</v>
      </c>
      <c r="AL22" s="1" t="s">
        <v>284</v>
      </c>
      <c r="AM22" s="1" t="s">
        <v>103</v>
      </c>
      <c r="AN22" s="1" t="s">
        <v>104</v>
      </c>
      <c r="AO22" s="1" t="s">
        <v>105</v>
      </c>
      <c r="AP22" s="1" t="s">
        <v>154</v>
      </c>
      <c r="AQ22" s="125" t="s">
        <v>285</v>
      </c>
      <c r="AU22" s="60" t="b">
        <v>1</v>
      </c>
      <c r="AV22" t="str">
        <f>_xlfn.IFNA(INDEX(tbl_handover[No. Handover],MATCH(tbl_computer[[#This Row],[No Asset]],tbl_handover[Asset Code],0)),"")</f>
        <v/>
      </c>
    </row>
    <row r="23" spans="1:48" x14ac:dyDescent="0.25">
      <c r="A23" s="43">
        <f>IF(tbl_computer[[#This Row],[No Asset]]&lt;&gt;"",SUBTOTAL(3,INDEX(tbl_computer[No Asset],1):tbl_computer[[#This Row],[No Asset]]),"")</f>
        <v>5</v>
      </c>
      <c r="B23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2601101014</v>
      </c>
      <c r="C23" s="74">
        <v>46023</v>
      </c>
      <c r="D23" t="s">
        <v>73</v>
      </c>
      <c r="E23" s="13" t="s">
        <v>74</v>
      </c>
      <c r="F23" s="45" t="s">
        <v>255</v>
      </c>
      <c r="G23" s="1" t="s">
        <v>76</v>
      </c>
      <c r="H23" s="1" t="s">
        <v>256</v>
      </c>
      <c r="I23" t="s">
        <v>277</v>
      </c>
      <c r="J23" t="s">
        <v>258</v>
      </c>
      <c r="K23" s="1" t="s">
        <v>286</v>
      </c>
      <c r="L23" s="1" t="s">
        <v>119</v>
      </c>
      <c r="M23" t="s">
        <v>279</v>
      </c>
      <c r="O23" s="49" t="s">
        <v>287</v>
      </c>
      <c r="P23" s="1" t="s">
        <v>262</v>
      </c>
      <c r="Q23" s="1" t="s">
        <v>87</v>
      </c>
      <c r="S23" s="1" t="s">
        <v>87</v>
      </c>
      <c r="U23" s="1" t="s">
        <v>87</v>
      </c>
      <c r="V23" s="1" t="s">
        <v>281</v>
      </c>
      <c r="W23" s="1" t="s">
        <v>282</v>
      </c>
      <c r="X23" t="s">
        <v>283</v>
      </c>
      <c r="Y23" s="1" t="s">
        <v>87</v>
      </c>
      <c r="Z23" s="13" t="s">
        <v>266</v>
      </c>
      <c r="AA23" s="1" t="s">
        <v>87</v>
      </c>
      <c r="AB23" s="1" t="s">
        <v>87</v>
      </c>
      <c r="AC23" s="1" t="s">
        <v>87</v>
      </c>
      <c r="AD23" s="1">
        <v>8</v>
      </c>
      <c r="AE23" s="1" t="s">
        <v>87</v>
      </c>
      <c r="AF23" s="13" t="s">
        <v>267</v>
      </c>
      <c r="AG23" s="1" t="s">
        <v>87</v>
      </c>
      <c r="AH23" s="1" t="s">
        <v>87</v>
      </c>
      <c r="AI23" s="1">
        <v>256</v>
      </c>
      <c r="AJ23" s="46" t="s">
        <v>268</v>
      </c>
      <c r="AK23" s="1" t="s">
        <v>269</v>
      </c>
      <c r="AL23" s="1" t="s">
        <v>284</v>
      </c>
      <c r="AM23" s="1" t="s">
        <v>103</v>
      </c>
      <c r="AN23" s="1" t="s">
        <v>104</v>
      </c>
      <c r="AO23" s="1" t="s">
        <v>105</v>
      </c>
      <c r="AP23" s="1" t="s">
        <v>154</v>
      </c>
      <c r="AQ23" s="125" t="s">
        <v>285</v>
      </c>
      <c r="AU23" s="60" t="b">
        <v>0</v>
      </c>
      <c r="AV23" t="str">
        <f>_xlfn.IFNA(INDEX(tbl_handover[No. Handover],MATCH(tbl_computer[[#This Row],[No Asset]],tbl_handover[Asset Code],0)),"")</f>
        <v/>
      </c>
    </row>
    <row r="24" spans="1:48" x14ac:dyDescent="0.25">
      <c r="A24" s="43">
        <f>IF(tbl_computer[[#This Row],[No Asset]]&lt;&gt;"",SUBTOTAL(3,INDEX(tbl_computer[No Asset],1):tbl_computer[[#This Row],[No Asset]]),"")</f>
        <v>6</v>
      </c>
      <c r="B24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2601101015</v>
      </c>
      <c r="C24" s="74">
        <v>46023</v>
      </c>
      <c r="D24" t="s">
        <v>73</v>
      </c>
      <c r="E24" s="13" t="s">
        <v>74</v>
      </c>
      <c r="F24" s="45" t="s">
        <v>255</v>
      </c>
      <c r="G24" s="1" t="s">
        <v>76</v>
      </c>
      <c r="H24" s="1" t="s">
        <v>256</v>
      </c>
      <c r="I24" t="s">
        <v>277</v>
      </c>
      <c r="J24" t="s">
        <v>258</v>
      </c>
      <c r="K24" s="1" t="s">
        <v>288</v>
      </c>
      <c r="L24" s="1" t="s">
        <v>119</v>
      </c>
      <c r="M24" t="s">
        <v>279</v>
      </c>
      <c r="O24" s="49" t="s">
        <v>289</v>
      </c>
      <c r="P24" s="1" t="s">
        <v>262</v>
      </c>
      <c r="Q24" s="1" t="s">
        <v>87</v>
      </c>
      <c r="R24" s="1" t="s">
        <v>290</v>
      </c>
      <c r="S24" s="1" t="s">
        <v>87</v>
      </c>
      <c r="T24" s="1" t="s">
        <v>291</v>
      </c>
      <c r="U24" s="1" t="s">
        <v>87</v>
      </c>
      <c r="V24" s="1" t="s">
        <v>281</v>
      </c>
      <c r="W24" s="1" t="s">
        <v>282</v>
      </c>
      <c r="X24" t="s">
        <v>283</v>
      </c>
      <c r="Y24" s="1" t="s">
        <v>87</v>
      </c>
      <c r="Z24" s="13" t="s">
        <v>266</v>
      </c>
      <c r="AA24" s="1" t="s">
        <v>87</v>
      </c>
      <c r="AB24" s="1" t="s">
        <v>87</v>
      </c>
      <c r="AC24" s="1" t="s">
        <v>87</v>
      </c>
      <c r="AD24" s="1">
        <v>8</v>
      </c>
      <c r="AE24" s="1" t="s">
        <v>87</v>
      </c>
      <c r="AF24" s="13" t="s">
        <v>267</v>
      </c>
      <c r="AG24" s="1" t="s">
        <v>87</v>
      </c>
      <c r="AH24" s="1" t="s">
        <v>87</v>
      </c>
      <c r="AI24" s="1">
        <v>256</v>
      </c>
      <c r="AJ24" s="46" t="s">
        <v>268</v>
      </c>
      <c r="AK24" s="1" t="s">
        <v>269</v>
      </c>
      <c r="AL24" s="1" t="s">
        <v>284</v>
      </c>
      <c r="AM24" s="1" t="s">
        <v>103</v>
      </c>
      <c r="AN24" s="1" t="s">
        <v>104</v>
      </c>
      <c r="AO24" s="1" t="s">
        <v>105</v>
      </c>
      <c r="AP24" s="1" t="s">
        <v>154</v>
      </c>
      <c r="AQ24" s="125" t="s">
        <v>285</v>
      </c>
      <c r="AU24" s="60" t="b">
        <v>1</v>
      </c>
      <c r="AV24" t="str">
        <f>_xlfn.IFNA(INDEX(tbl_handover[No. Handover],MATCH(tbl_computer[[#This Row],[No Asset]],tbl_handover[Asset Code],0)),"")</f>
        <v/>
      </c>
    </row>
    <row r="25" spans="1:48" x14ac:dyDescent="0.25">
      <c r="A25" s="43">
        <f>IF(tbl_computer[[#This Row],[No Asset]]&lt;&gt;"",SUBTOTAL(3,INDEX(tbl_computer[No Asset],1):tbl_computer[[#This Row],[No Asset]]),"")</f>
        <v>7</v>
      </c>
      <c r="B25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2601101016</v>
      </c>
      <c r="C25" s="74">
        <v>46023</v>
      </c>
      <c r="D25" t="s">
        <v>73</v>
      </c>
      <c r="E25" s="13" t="s">
        <v>74</v>
      </c>
      <c r="F25" s="45" t="s">
        <v>255</v>
      </c>
      <c r="G25" s="1" t="s">
        <v>76</v>
      </c>
      <c r="H25" s="1" t="s">
        <v>256</v>
      </c>
      <c r="I25" t="s">
        <v>292</v>
      </c>
      <c r="J25" t="s">
        <v>258</v>
      </c>
      <c r="K25" s="1" t="s">
        <v>293</v>
      </c>
      <c r="L25" s="1" t="s">
        <v>119</v>
      </c>
      <c r="M25" t="s">
        <v>294</v>
      </c>
      <c r="O25" s="49" t="s">
        <v>295</v>
      </c>
      <c r="P25" s="1" t="s">
        <v>262</v>
      </c>
      <c r="Q25" s="1" t="s">
        <v>87</v>
      </c>
      <c r="S25" s="1" t="s">
        <v>87</v>
      </c>
      <c r="U25" s="1" t="s">
        <v>87</v>
      </c>
      <c r="V25" s="1" t="s">
        <v>119</v>
      </c>
      <c r="W25" s="1" t="s">
        <v>264</v>
      </c>
      <c r="X25" t="s">
        <v>265</v>
      </c>
      <c r="Y25" s="1" t="s">
        <v>87</v>
      </c>
      <c r="Z25" s="13" t="s">
        <v>266</v>
      </c>
      <c r="AA25" s="1" t="s">
        <v>87</v>
      </c>
      <c r="AB25" s="1" t="s">
        <v>87</v>
      </c>
      <c r="AC25" s="1" t="s">
        <v>87</v>
      </c>
      <c r="AD25" s="1">
        <v>6</v>
      </c>
      <c r="AE25" s="1" t="s">
        <v>87</v>
      </c>
      <c r="AF25" s="13" t="s">
        <v>267</v>
      </c>
      <c r="AG25" s="1" t="s">
        <v>87</v>
      </c>
      <c r="AH25" s="1" t="s">
        <v>87</v>
      </c>
      <c r="AI25" s="1">
        <v>128</v>
      </c>
      <c r="AJ25" s="46" t="s">
        <v>268</v>
      </c>
      <c r="AK25" s="1" t="s">
        <v>269</v>
      </c>
      <c r="AL25" s="1" t="s">
        <v>270</v>
      </c>
      <c r="AM25" s="1" t="s">
        <v>103</v>
      </c>
      <c r="AN25" s="1" t="s">
        <v>104</v>
      </c>
      <c r="AO25" s="1" t="s">
        <v>105</v>
      </c>
      <c r="AP25" s="1" t="s">
        <v>154</v>
      </c>
      <c r="AQ25" s="125" t="s">
        <v>296</v>
      </c>
      <c r="AU25" s="60" t="b">
        <v>0</v>
      </c>
      <c r="AV25" t="str">
        <f>_xlfn.IFNA(INDEX(tbl_handover[No. Handover],MATCH(tbl_computer[[#This Row],[No Asset]],tbl_handover[Asset Code],0)),"")</f>
        <v/>
      </c>
    </row>
    <row r="26" spans="1:48" hidden="1" x14ac:dyDescent="0.25">
      <c r="A26" s="43">
        <f>IF(tbl_computer[[#This Row],[No Asset]]&lt;&gt;"",SUBTOTAL(3,INDEX(tbl_computer[No Asset],1):tbl_computer[[#This Row],[No Asset]]),"")</f>
        <v>7</v>
      </c>
      <c r="B26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2601101017</v>
      </c>
      <c r="C26" s="74">
        <v>46023</v>
      </c>
      <c r="D26" t="s">
        <v>73</v>
      </c>
      <c r="E26" s="13" t="s">
        <v>74</v>
      </c>
      <c r="F26" s="45" t="s">
        <v>186</v>
      </c>
      <c r="G26" s="1" t="s">
        <v>76</v>
      </c>
      <c r="H26" s="1" t="s">
        <v>125</v>
      </c>
      <c r="I26" t="s">
        <v>297</v>
      </c>
      <c r="J26" t="s">
        <v>127</v>
      </c>
      <c r="K26" s="1" t="s">
        <v>298</v>
      </c>
      <c r="L26" s="1" t="s">
        <v>189</v>
      </c>
      <c r="M26" t="s">
        <v>299</v>
      </c>
      <c r="O26" s="46" t="s">
        <v>300</v>
      </c>
      <c r="P26" s="1" t="s">
        <v>85</v>
      </c>
      <c r="Q26" s="1" t="s">
        <v>301</v>
      </c>
      <c r="R26" s="1" t="s">
        <v>302</v>
      </c>
      <c r="S26" s="1" t="s">
        <v>87</v>
      </c>
      <c r="T26" s="1" t="s">
        <v>303</v>
      </c>
      <c r="U26" s="1" t="s">
        <v>304</v>
      </c>
      <c r="V26" s="1" t="s">
        <v>90</v>
      </c>
      <c r="W26" s="1" t="s">
        <v>305</v>
      </c>
      <c r="X26" t="s">
        <v>306</v>
      </c>
      <c r="Y26" s="1" t="s">
        <v>93</v>
      </c>
      <c r="Z26" s="13" t="s">
        <v>94</v>
      </c>
      <c r="AA26" s="1">
        <v>5600</v>
      </c>
      <c r="AB26" s="1">
        <v>2</v>
      </c>
      <c r="AC26" s="1" t="s">
        <v>137</v>
      </c>
      <c r="AD26" s="1">
        <v>16</v>
      </c>
      <c r="AE26" s="13" t="s">
        <v>118</v>
      </c>
      <c r="AF26" s="13" t="s">
        <v>97</v>
      </c>
      <c r="AG26" s="13" t="s">
        <v>119</v>
      </c>
      <c r="AH26" s="13" t="s">
        <v>99</v>
      </c>
      <c r="AI26" s="1">
        <v>512</v>
      </c>
      <c r="AL26" s="1" t="s">
        <v>307</v>
      </c>
      <c r="AM26" s="1" t="s">
        <v>103</v>
      </c>
      <c r="AN26" s="1" t="s">
        <v>104</v>
      </c>
      <c r="AO26" s="1" t="s">
        <v>105</v>
      </c>
      <c r="AP26" s="1" t="s">
        <v>154</v>
      </c>
      <c r="AQ26" s="125" t="s">
        <v>308</v>
      </c>
      <c r="AU26" s="60" t="b">
        <v>1</v>
      </c>
      <c r="AV26" t="str">
        <f>_xlfn.IFNA(INDEX(tbl_handover[No. Handover],MATCH(tbl_computer[[#This Row],[No Asset]],tbl_handover[Asset Code],0)),"")</f>
        <v>SR.26.09.0016/IX/2026/PGT/IT/INT</v>
      </c>
    </row>
    <row r="27" spans="1:48" hidden="1" x14ac:dyDescent="0.25">
      <c r="A27" s="43">
        <f>IF(tbl_computer[[#This Row],[No Asset]]&lt;&gt;"",SUBTOTAL(3,INDEX(tbl_computer[No Asset],1):tbl_computer[[#This Row],[No Asset]]),"")</f>
        <v>7</v>
      </c>
      <c r="B27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2601101018</v>
      </c>
      <c r="C27" s="74">
        <v>46023</v>
      </c>
      <c r="D27" t="s">
        <v>73</v>
      </c>
      <c r="E27" s="13" t="s">
        <v>74</v>
      </c>
      <c r="F27" s="45" t="s">
        <v>309</v>
      </c>
      <c r="G27" s="1" t="s">
        <v>76</v>
      </c>
      <c r="H27" s="1" t="s">
        <v>125</v>
      </c>
      <c r="I27" t="s">
        <v>310</v>
      </c>
      <c r="J27" t="s">
        <v>127</v>
      </c>
      <c r="K27" s="1" t="s">
        <v>311</v>
      </c>
      <c r="L27" s="1" t="s">
        <v>312</v>
      </c>
      <c r="M27" t="s">
        <v>310</v>
      </c>
      <c r="O27" s="49" t="s">
        <v>313</v>
      </c>
      <c r="P27" s="1" t="s">
        <v>85</v>
      </c>
      <c r="Q27" s="1" t="s">
        <v>314</v>
      </c>
      <c r="S27" s="1" t="s">
        <v>87</v>
      </c>
      <c r="T27" s="1" t="s">
        <v>315</v>
      </c>
      <c r="U27" s="1" t="s">
        <v>316</v>
      </c>
      <c r="V27" s="1" t="s">
        <v>90</v>
      </c>
      <c r="Z27" s="13"/>
      <c r="AD27" s="1">
        <v>16</v>
      </c>
      <c r="AF27" s="13" t="s">
        <v>97</v>
      </c>
      <c r="AG27" s="1"/>
      <c r="AH27" s="13" t="s">
        <v>99</v>
      </c>
      <c r="AI27" s="1">
        <v>512</v>
      </c>
      <c r="AM27" s="1" t="s">
        <v>103</v>
      </c>
      <c r="AN27" s="1" t="s">
        <v>104</v>
      </c>
      <c r="AO27" s="1" t="s">
        <v>105</v>
      </c>
      <c r="AP27" s="1" t="s">
        <v>317</v>
      </c>
      <c r="AQ27" s="125" t="s">
        <v>318</v>
      </c>
      <c r="AU27" s="60" t="b">
        <v>1</v>
      </c>
      <c r="AV27" t="str">
        <f>_xlfn.IFNA(INDEX(tbl_handover[No. Handover],MATCH(tbl_computer[[#This Row],[No Asset]],tbl_handover[Asset Code],0)),"")</f>
        <v/>
      </c>
    </row>
    <row r="28" spans="1:48" hidden="1" x14ac:dyDescent="0.25">
      <c r="A28" s="43">
        <f>IF(tbl_computer[[#This Row],[No Asset]]&lt;&gt;"",SUBTOTAL(3,INDEX(tbl_computer[No Asset],1):tbl_computer[[#This Row],[No Asset]]),"")</f>
        <v>7</v>
      </c>
      <c r="B28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2601101019</v>
      </c>
      <c r="C28" s="74">
        <v>46023</v>
      </c>
      <c r="D28" t="s">
        <v>73</v>
      </c>
      <c r="E28" s="13" t="s">
        <v>74</v>
      </c>
      <c r="F28" s="46" t="s">
        <v>319</v>
      </c>
      <c r="G28" s="1" t="s">
        <v>76</v>
      </c>
      <c r="H28" s="1" t="s">
        <v>77</v>
      </c>
      <c r="I28" t="s">
        <v>187</v>
      </c>
      <c r="J28" t="s">
        <v>79</v>
      </c>
      <c r="K28" s="1" t="s">
        <v>320</v>
      </c>
      <c r="L28" s="1" t="s">
        <v>189</v>
      </c>
      <c r="M28" t="s">
        <v>190</v>
      </c>
      <c r="O28" s="46" t="s">
        <v>321</v>
      </c>
      <c r="P28" s="1" t="s">
        <v>85</v>
      </c>
      <c r="Q28" s="1" t="s">
        <v>322</v>
      </c>
      <c r="R28" s="1" t="s">
        <v>87</v>
      </c>
      <c r="S28" s="1" t="s">
        <v>323</v>
      </c>
      <c r="T28" s="1" t="s">
        <v>324</v>
      </c>
      <c r="U28" s="1" t="s">
        <v>325</v>
      </c>
      <c r="V28" s="13" t="s">
        <v>90</v>
      </c>
      <c r="W28" s="1" t="s">
        <v>195</v>
      </c>
      <c r="X28" t="s">
        <v>218</v>
      </c>
      <c r="Y28" s="13" t="s">
        <v>93</v>
      </c>
      <c r="Z28" s="13" t="s">
        <v>94</v>
      </c>
      <c r="AA28" s="13">
        <v>5600</v>
      </c>
      <c r="AB28" s="13">
        <v>2</v>
      </c>
      <c r="AC28" s="1" t="s">
        <v>95</v>
      </c>
      <c r="AD28" s="13">
        <v>16</v>
      </c>
      <c r="AE28" s="13" t="s">
        <v>96</v>
      </c>
      <c r="AF28" s="13" t="s">
        <v>97</v>
      </c>
      <c r="AG28" s="13" t="s">
        <v>98</v>
      </c>
      <c r="AH28" s="13" t="s">
        <v>99</v>
      </c>
      <c r="AI28" s="1">
        <v>512</v>
      </c>
      <c r="AJ28" t="s">
        <v>219</v>
      </c>
      <c r="AK28" s="1" t="s">
        <v>220</v>
      </c>
      <c r="AL28" s="1" t="s">
        <v>221</v>
      </c>
      <c r="AM28" s="1" t="s">
        <v>103</v>
      </c>
      <c r="AN28" s="1" t="s">
        <v>104</v>
      </c>
      <c r="AO28" s="1" t="s">
        <v>105</v>
      </c>
      <c r="AP28" s="1" t="s">
        <v>154</v>
      </c>
      <c r="AQ28" s="125" t="s">
        <v>326</v>
      </c>
      <c r="AU28" s="60" t="b">
        <v>0</v>
      </c>
      <c r="AV28" t="str">
        <f>_xlfn.IFNA(INDEX(tbl_handover[No. Handover],MATCH(tbl_computer[[#This Row],[No Asset]],tbl_handover[Asset Code],0)),"")</f>
        <v/>
      </c>
    </row>
    <row r="29" spans="1:48" hidden="1" x14ac:dyDescent="0.25">
      <c r="A29" s="43">
        <f>IF(tbl_computer[[#This Row],[No Asset]]&lt;&gt;"",SUBTOTAL(3,INDEX(tbl_computer[No Asset],1):tbl_computer[[#This Row],[No Asset]]),"")</f>
        <v>7</v>
      </c>
      <c r="B29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2601101020</v>
      </c>
      <c r="C29" s="74">
        <v>46023</v>
      </c>
      <c r="D29" t="s">
        <v>73</v>
      </c>
      <c r="E29" s="13" t="s">
        <v>74</v>
      </c>
      <c r="F29" s="45" t="s">
        <v>203</v>
      </c>
      <c r="G29" s="1" t="s">
        <v>76</v>
      </c>
      <c r="H29" s="1" t="s">
        <v>125</v>
      </c>
      <c r="I29" t="s">
        <v>297</v>
      </c>
      <c r="J29" t="s">
        <v>127</v>
      </c>
      <c r="K29" s="1" t="s">
        <v>327</v>
      </c>
      <c r="L29" s="1" t="s">
        <v>189</v>
      </c>
      <c r="M29" t="s">
        <v>299</v>
      </c>
      <c r="O29" s="46" t="s">
        <v>328</v>
      </c>
      <c r="P29" s="1" t="s">
        <v>85</v>
      </c>
      <c r="Q29" s="1" t="s">
        <v>329</v>
      </c>
      <c r="S29" s="1" t="s">
        <v>87</v>
      </c>
      <c r="T29" s="1" t="s">
        <v>330</v>
      </c>
      <c r="U29" s="1" t="s">
        <v>331</v>
      </c>
      <c r="V29" s="1" t="s">
        <v>90</v>
      </c>
      <c r="W29" s="1" t="s">
        <v>332</v>
      </c>
      <c r="X29" t="s">
        <v>333</v>
      </c>
      <c r="Z29" s="13"/>
      <c r="AD29" s="1">
        <v>32</v>
      </c>
      <c r="AE29" s="13" t="s">
        <v>118</v>
      </c>
      <c r="AF29" s="13" t="s">
        <v>97</v>
      </c>
      <c r="AG29" s="1"/>
      <c r="AH29" s="13" t="s">
        <v>99</v>
      </c>
      <c r="AI29" s="1">
        <v>512</v>
      </c>
      <c r="AL29" s="1" t="s">
        <v>307</v>
      </c>
      <c r="AM29" s="1" t="s">
        <v>103</v>
      </c>
      <c r="AN29" s="1" t="s">
        <v>104</v>
      </c>
      <c r="AO29" s="1" t="s">
        <v>105</v>
      </c>
      <c r="AP29" s="1" t="s">
        <v>154</v>
      </c>
      <c r="AQ29" s="125" t="s">
        <v>334</v>
      </c>
      <c r="AU29" s="60" t="b">
        <v>1</v>
      </c>
      <c r="AV29" t="str">
        <f>_xlfn.IFNA(INDEX(tbl_handover[No. Handover],MATCH(tbl_computer[[#This Row],[No Asset]],tbl_handover[Asset Code],0)),"")</f>
        <v/>
      </c>
    </row>
    <row r="30" spans="1:48" hidden="1" x14ac:dyDescent="0.25">
      <c r="A30" s="43">
        <f>IF(tbl_computer[[#This Row],[No Asset]]&lt;&gt;"",SUBTOTAL(3,INDEX(tbl_computer[No Asset],1):tbl_computer[[#This Row],[No Asset]]),"")</f>
        <v>7</v>
      </c>
      <c r="B30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2601101021</v>
      </c>
      <c r="C30" s="74">
        <v>46023</v>
      </c>
      <c r="D30" t="s">
        <v>73</v>
      </c>
      <c r="E30" s="13" t="s">
        <v>74</v>
      </c>
      <c r="F30" s="45" t="s">
        <v>186</v>
      </c>
      <c r="G30" s="1" t="s">
        <v>76</v>
      </c>
      <c r="H30" s="1" t="s">
        <v>125</v>
      </c>
      <c r="I30" t="s">
        <v>335</v>
      </c>
      <c r="J30" t="s">
        <v>127</v>
      </c>
      <c r="K30" s="1" t="s">
        <v>336</v>
      </c>
      <c r="L30" s="1" t="s">
        <v>189</v>
      </c>
      <c r="M30" t="s">
        <v>337</v>
      </c>
      <c r="O30" s="46" t="s">
        <v>338</v>
      </c>
      <c r="P30" s="1" t="s">
        <v>85</v>
      </c>
      <c r="Q30" s="1" t="s">
        <v>339</v>
      </c>
      <c r="S30" s="1" t="s">
        <v>87</v>
      </c>
      <c r="T30" s="1" t="s">
        <v>340</v>
      </c>
      <c r="U30" s="1" t="s">
        <v>341</v>
      </c>
      <c r="V30" s="1" t="s">
        <v>90</v>
      </c>
      <c r="W30" s="1" t="s">
        <v>342</v>
      </c>
      <c r="X30" t="s">
        <v>343</v>
      </c>
      <c r="Z30" s="13"/>
      <c r="AD30" s="1">
        <v>16</v>
      </c>
      <c r="AE30" s="13" t="s">
        <v>118</v>
      </c>
      <c r="AF30" s="13" t="s">
        <v>97</v>
      </c>
      <c r="AG30" s="1"/>
      <c r="AH30" s="13" t="s">
        <v>99</v>
      </c>
      <c r="AI30" s="1">
        <v>512</v>
      </c>
      <c r="AL30" s="1" t="s">
        <v>307</v>
      </c>
      <c r="AM30" s="1" t="s">
        <v>103</v>
      </c>
      <c r="AN30" s="1" t="s">
        <v>104</v>
      </c>
      <c r="AO30" s="1" t="s">
        <v>105</v>
      </c>
      <c r="AP30" s="1" t="s">
        <v>154</v>
      </c>
      <c r="AQ30" s="125" t="s">
        <v>344</v>
      </c>
      <c r="AU30" s="60" t="b">
        <v>0</v>
      </c>
      <c r="AV30" t="str">
        <f>_xlfn.IFNA(INDEX(tbl_handover[No. Handover],MATCH(tbl_computer[[#This Row],[No Asset]],tbl_handover[Asset Code],0)),"")</f>
        <v/>
      </c>
    </row>
    <row r="31" spans="1:48" hidden="1" x14ac:dyDescent="0.25">
      <c r="A31" s="43">
        <f>IF(tbl_computer[[#This Row],[No Asset]]&lt;&gt;"",SUBTOTAL(3,INDEX(tbl_computer[No Asset],1):tbl_computer[[#This Row],[No Asset]]),"")</f>
        <v>7</v>
      </c>
      <c r="B31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2601101022</v>
      </c>
      <c r="C31" s="74">
        <v>46023</v>
      </c>
      <c r="D31" t="s">
        <v>73</v>
      </c>
      <c r="E31" s="13" t="s">
        <v>74</v>
      </c>
      <c r="F31" s="45" t="s">
        <v>124</v>
      </c>
      <c r="G31" s="1" t="s">
        <v>76</v>
      </c>
      <c r="H31" s="1" t="s">
        <v>125</v>
      </c>
      <c r="I31" t="s">
        <v>345</v>
      </c>
      <c r="J31" t="s">
        <v>127</v>
      </c>
      <c r="K31" s="1" t="s">
        <v>346</v>
      </c>
      <c r="L31" s="1" t="s">
        <v>189</v>
      </c>
      <c r="M31" t="s">
        <v>347</v>
      </c>
      <c r="O31" s="46" t="s">
        <v>348</v>
      </c>
      <c r="P31" s="1" t="s">
        <v>85</v>
      </c>
      <c r="Q31" s="1" t="s">
        <v>349</v>
      </c>
      <c r="S31" s="1" t="s">
        <v>87</v>
      </c>
      <c r="T31" s="1" t="s">
        <v>350</v>
      </c>
      <c r="U31" s="1" t="s">
        <v>351</v>
      </c>
      <c r="V31" s="1" t="s">
        <v>90</v>
      </c>
      <c r="W31" s="1" t="s">
        <v>352</v>
      </c>
      <c r="X31" t="s">
        <v>353</v>
      </c>
      <c r="Z31" s="13"/>
      <c r="AD31" s="1">
        <v>16</v>
      </c>
      <c r="AE31" s="13" t="s">
        <v>118</v>
      </c>
      <c r="AF31" s="13" t="s">
        <v>97</v>
      </c>
      <c r="AG31" s="1"/>
      <c r="AH31" s="13" t="s">
        <v>99</v>
      </c>
      <c r="AI31" s="1">
        <v>512</v>
      </c>
      <c r="AL31" s="1" t="s">
        <v>307</v>
      </c>
      <c r="AM31" s="1" t="s">
        <v>103</v>
      </c>
      <c r="AN31" s="1" t="s">
        <v>354</v>
      </c>
      <c r="AO31" s="1" t="s">
        <v>105</v>
      </c>
      <c r="AP31" s="1" t="s">
        <v>154</v>
      </c>
      <c r="AQ31" s="125" t="s">
        <v>355</v>
      </c>
      <c r="AU31" s="60" t="b">
        <v>1</v>
      </c>
      <c r="AV31" t="str">
        <f>_xlfn.IFNA(INDEX(tbl_handover[No. Handover],MATCH(tbl_computer[[#This Row],[No Asset]],tbl_handover[Asset Code],0)),"")</f>
        <v/>
      </c>
    </row>
    <row r="32" spans="1:48" s="91" customFormat="1" hidden="1" x14ac:dyDescent="0.25">
      <c r="A32" s="112">
        <f>IF(tbl_computer[[#This Row],[No Asset]]&lt;&gt;"",SUBTOTAL(3,INDEX(tbl_computer[No Asset],1):tbl_computer[[#This Row],[No Asset]]),"")</f>
        <v>7</v>
      </c>
      <c r="B32" s="113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2601101023</v>
      </c>
      <c r="C32" s="114">
        <v>46023</v>
      </c>
      <c r="D32" s="91" t="s">
        <v>73</v>
      </c>
      <c r="E32" s="115" t="s">
        <v>74</v>
      </c>
      <c r="F32" s="116" t="s">
        <v>178</v>
      </c>
      <c r="G32" s="117" t="s">
        <v>76</v>
      </c>
      <c r="H32" s="117" t="s">
        <v>77</v>
      </c>
      <c r="I32" s="91" t="s">
        <v>204</v>
      </c>
      <c r="J32" s="91" t="s">
        <v>79</v>
      </c>
      <c r="K32" s="117" t="s">
        <v>356</v>
      </c>
      <c r="L32" s="117" t="s">
        <v>81</v>
      </c>
      <c r="M32" s="91" t="s">
        <v>206</v>
      </c>
      <c r="N32" s="90"/>
      <c r="O32" s="118" t="s">
        <v>357</v>
      </c>
      <c r="P32" s="117" t="s">
        <v>85</v>
      </c>
      <c r="Q32" s="117"/>
      <c r="R32" s="117"/>
      <c r="S32" s="117" t="s">
        <v>87</v>
      </c>
      <c r="T32" s="117" t="s">
        <v>358</v>
      </c>
      <c r="U32" s="117" t="s">
        <v>359</v>
      </c>
      <c r="V32" s="117" t="s">
        <v>90</v>
      </c>
      <c r="W32" s="117" t="s">
        <v>360</v>
      </c>
      <c r="X32" s="91" t="s">
        <v>361</v>
      </c>
      <c r="Y32" s="117"/>
      <c r="Z32" s="115"/>
      <c r="AA32" s="117"/>
      <c r="AB32" s="117"/>
      <c r="AC32" s="117"/>
      <c r="AD32" s="117">
        <v>16</v>
      </c>
      <c r="AE32" s="117" t="s">
        <v>96</v>
      </c>
      <c r="AF32" s="115" t="s">
        <v>97</v>
      </c>
      <c r="AG32" s="117"/>
      <c r="AH32" s="115" t="s">
        <v>99</v>
      </c>
      <c r="AI32" s="115">
        <v>1024</v>
      </c>
      <c r="AJ32" s="118"/>
      <c r="AK32" s="117"/>
      <c r="AL32" s="117" t="s">
        <v>153</v>
      </c>
      <c r="AM32" s="117" t="s">
        <v>362</v>
      </c>
      <c r="AN32" s="117" t="s">
        <v>104</v>
      </c>
      <c r="AO32" s="117" t="s">
        <v>105</v>
      </c>
      <c r="AP32" s="117" t="s">
        <v>143</v>
      </c>
      <c r="AQ32" s="126" t="s">
        <v>363</v>
      </c>
      <c r="AU32" s="119" t="b">
        <v>0</v>
      </c>
      <c r="AV32" s="91" t="str">
        <f>_xlfn.IFNA(INDEX(tbl_handover[No. Handover],MATCH(tbl_computer[[#This Row],[No Asset]],tbl_handover[Asset Code],0)),"")</f>
        <v/>
      </c>
    </row>
    <row r="33" spans="1:48" hidden="1" x14ac:dyDescent="0.25">
      <c r="A33" s="43">
        <f>IF(tbl_computer[[#This Row],[No Asset]]&lt;&gt;"",SUBTOTAL(3,INDEX(tbl_computer[No Asset],1):tbl_computer[[#This Row],[No Asset]]),"")</f>
        <v>7</v>
      </c>
      <c r="B33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2601101024</v>
      </c>
      <c r="C33" s="74">
        <v>46023</v>
      </c>
      <c r="D33" t="s">
        <v>73</v>
      </c>
      <c r="E33" s="13" t="s">
        <v>74</v>
      </c>
      <c r="F33" s="45" t="s">
        <v>124</v>
      </c>
      <c r="G33" s="1" t="s">
        <v>76</v>
      </c>
      <c r="H33" s="1" t="s">
        <v>77</v>
      </c>
      <c r="I33" t="s">
        <v>204</v>
      </c>
      <c r="J33" t="s">
        <v>79</v>
      </c>
      <c r="K33" s="1" t="s">
        <v>364</v>
      </c>
      <c r="L33" s="1" t="s">
        <v>81</v>
      </c>
      <c r="M33" t="s">
        <v>206</v>
      </c>
      <c r="O33" s="46" t="s">
        <v>365</v>
      </c>
      <c r="P33" s="1" t="s">
        <v>85</v>
      </c>
      <c r="Q33" s="1" t="s">
        <v>366</v>
      </c>
      <c r="R33" s="1" t="s">
        <v>367</v>
      </c>
      <c r="S33" s="1" t="s">
        <v>87</v>
      </c>
      <c r="T33" s="1" t="s">
        <v>368</v>
      </c>
      <c r="U33" s="1" t="s">
        <v>369</v>
      </c>
      <c r="V33" s="1" t="s">
        <v>90</v>
      </c>
      <c r="W33" s="1" t="s">
        <v>360</v>
      </c>
      <c r="X33" t="s">
        <v>361</v>
      </c>
      <c r="Z33" s="13"/>
      <c r="AD33" s="1">
        <v>16</v>
      </c>
      <c r="AE33" s="1" t="s">
        <v>96</v>
      </c>
      <c r="AF33" s="13" t="s">
        <v>97</v>
      </c>
      <c r="AG33" s="1"/>
      <c r="AH33" s="13" t="s">
        <v>99</v>
      </c>
      <c r="AI33" s="13">
        <v>1024</v>
      </c>
      <c r="AL33" s="1" t="s">
        <v>153</v>
      </c>
      <c r="AM33" s="1" t="s">
        <v>103</v>
      </c>
      <c r="AN33" s="1" t="s">
        <v>104</v>
      </c>
      <c r="AO33" s="1" t="s">
        <v>105</v>
      </c>
      <c r="AP33" s="1" t="s">
        <v>154</v>
      </c>
      <c r="AQ33" s="125" t="s">
        <v>370</v>
      </c>
      <c r="AU33" s="60" t="b">
        <v>1</v>
      </c>
      <c r="AV33" t="str">
        <f>_xlfn.IFNA(INDEX(tbl_handover[No. Handover],MATCH(tbl_computer[[#This Row],[No Asset]],tbl_handover[Asset Code],0)),"")</f>
        <v/>
      </c>
    </row>
    <row r="34" spans="1:48" hidden="1" x14ac:dyDescent="0.25">
      <c r="A34" s="43">
        <f>IF(tbl_computer[[#This Row],[No Asset]]&lt;&gt;"",SUBTOTAL(3,INDEX(tbl_computer[No Asset],1):tbl_computer[[#This Row],[No Asset]]),"")</f>
        <v>7</v>
      </c>
      <c r="B34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2601101025</v>
      </c>
      <c r="C34" s="74">
        <v>46023</v>
      </c>
      <c r="D34" t="s">
        <v>73</v>
      </c>
      <c r="E34" s="13" t="s">
        <v>74</v>
      </c>
      <c r="F34" s="45" t="s">
        <v>371</v>
      </c>
      <c r="G34" s="1" t="s">
        <v>76</v>
      </c>
      <c r="H34" s="1" t="s">
        <v>77</v>
      </c>
      <c r="I34" t="s">
        <v>372</v>
      </c>
      <c r="J34" t="s">
        <v>79</v>
      </c>
      <c r="K34" s="1" t="s">
        <v>373</v>
      </c>
      <c r="L34" s="1" t="s">
        <v>189</v>
      </c>
      <c r="M34" t="s">
        <v>190</v>
      </c>
      <c r="O34" s="46" t="s">
        <v>374</v>
      </c>
      <c r="P34" s="1" t="s">
        <v>85</v>
      </c>
      <c r="Q34" s="70" t="s">
        <v>375</v>
      </c>
      <c r="R34" s="1" t="s">
        <v>87</v>
      </c>
      <c r="S34" s="1" t="s">
        <v>376</v>
      </c>
      <c r="T34" s="1" t="s">
        <v>377</v>
      </c>
      <c r="U34" s="1" t="s">
        <v>378</v>
      </c>
      <c r="V34" s="13" t="s">
        <v>90</v>
      </c>
      <c r="W34" s="1" t="s">
        <v>195</v>
      </c>
      <c r="X34" t="s">
        <v>218</v>
      </c>
      <c r="Y34" s="13" t="s">
        <v>93</v>
      </c>
      <c r="Z34" s="13" t="s">
        <v>94</v>
      </c>
      <c r="AA34" s="13">
        <v>5600</v>
      </c>
      <c r="AB34" s="13">
        <v>2</v>
      </c>
      <c r="AC34" s="1" t="s">
        <v>95</v>
      </c>
      <c r="AD34" s="1">
        <v>16</v>
      </c>
      <c r="AF34" s="13" t="s">
        <v>97</v>
      </c>
      <c r="AG34" s="13" t="s">
        <v>98</v>
      </c>
      <c r="AH34" s="13" t="s">
        <v>99</v>
      </c>
      <c r="AI34" s="1">
        <v>512</v>
      </c>
      <c r="AJ34" s="1" t="s">
        <v>87</v>
      </c>
      <c r="AK34" s="1" t="s">
        <v>87</v>
      </c>
      <c r="AL34" s="1" t="s">
        <v>87</v>
      </c>
      <c r="AM34" s="1" t="s">
        <v>103</v>
      </c>
      <c r="AN34" s="1" t="s">
        <v>104</v>
      </c>
      <c r="AO34" s="1" t="s">
        <v>105</v>
      </c>
      <c r="AP34" s="1" t="s">
        <v>154</v>
      </c>
      <c r="AQ34" s="125"/>
      <c r="AU34" s="60" t="b">
        <v>1</v>
      </c>
      <c r="AV34" t="str">
        <f>_xlfn.IFNA(INDEX(tbl_handover[No. Handover],MATCH(tbl_computer[[#This Row],[No Asset]],tbl_handover[Asset Code],0)),"")</f>
        <v>SR.26.09.0011/IX/2026/PGT/IT/INT</v>
      </c>
    </row>
    <row r="35" spans="1:48" hidden="1" x14ac:dyDescent="0.25">
      <c r="A35" s="43">
        <f>IF(tbl_computer[[#This Row],[No Asset]]&lt;&gt;"",SUBTOTAL(3,INDEX(tbl_computer[No Asset],1):tbl_computer[[#This Row],[No Asset]]),"")</f>
        <v>7</v>
      </c>
      <c r="B35" s="81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2601101026</v>
      </c>
      <c r="C35" s="74">
        <v>46023</v>
      </c>
      <c r="D35" t="s">
        <v>73</v>
      </c>
      <c r="E35" s="13" t="s">
        <v>74</v>
      </c>
      <c r="F35" s="45" t="s">
        <v>124</v>
      </c>
      <c r="G35" s="1" t="s">
        <v>76</v>
      </c>
      <c r="H35" s="1" t="s">
        <v>256</v>
      </c>
      <c r="I35" t="s">
        <v>379</v>
      </c>
      <c r="J35" t="s">
        <v>380</v>
      </c>
      <c r="K35" s="1" t="s">
        <v>381</v>
      </c>
      <c r="L35" s="1" t="s">
        <v>119</v>
      </c>
      <c r="M35" t="s">
        <v>382</v>
      </c>
      <c r="O35" s="49" t="s">
        <v>383</v>
      </c>
      <c r="P35" t="s">
        <v>384</v>
      </c>
      <c r="Q35" s="1" t="s">
        <v>87</v>
      </c>
      <c r="S35" s="1" t="s">
        <v>87</v>
      </c>
      <c r="U35" s="1" t="s">
        <v>87</v>
      </c>
      <c r="V35" s="1" t="s">
        <v>385</v>
      </c>
      <c r="W35" s="1" t="s">
        <v>282</v>
      </c>
      <c r="X35" s="73" t="s">
        <v>386</v>
      </c>
      <c r="Y35" s="1" t="s">
        <v>93</v>
      </c>
      <c r="Z35" s="1" t="s">
        <v>387</v>
      </c>
      <c r="AA35" s="1" t="s">
        <v>87</v>
      </c>
      <c r="AB35" s="1">
        <v>1</v>
      </c>
      <c r="AC35" s="1" t="s">
        <v>137</v>
      </c>
      <c r="AD35" s="1">
        <v>12</v>
      </c>
      <c r="AE35" s="1" t="s">
        <v>388</v>
      </c>
      <c r="AF35" s="13" t="s">
        <v>97</v>
      </c>
      <c r="AG35" s="1" t="s">
        <v>119</v>
      </c>
      <c r="AH35" s="1" t="s">
        <v>266</v>
      </c>
      <c r="AI35" s="1">
        <v>256</v>
      </c>
      <c r="AJ35" s="46" t="s">
        <v>389</v>
      </c>
      <c r="AK35" s="1" t="s">
        <v>390</v>
      </c>
      <c r="AL35" s="1" t="s">
        <v>391</v>
      </c>
      <c r="AM35" s="1" t="s">
        <v>122</v>
      </c>
      <c r="AN35" s="1" t="s">
        <v>104</v>
      </c>
      <c r="AO35" s="1" t="s">
        <v>105</v>
      </c>
      <c r="AP35" s="1" t="s">
        <v>154</v>
      </c>
      <c r="AQ35" s="125"/>
      <c r="AU35" s="60" t="b">
        <v>0</v>
      </c>
      <c r="AV35" t="str">
        <f>_xlfn.IFNA(INDEX(tbl_handover[No. Handover],MATCH(tbl_computer[[#This Row],[No Asset]],tbl_handover[Asset Code],0)),"")</f>
        <v/>
      </c>
    </row>
    <row r="36" spans="1:48" x14ac:dyDescent="0.25">
      <c r="A36" s="43">
        <f>IF(tbl_computer[[#This Row],[No Asset]]&lt;&gt;"",SUBTOTAL(3,INDEX(tbl_computer[No Asset],1):tbl_computer[[#This Row],[No Asset]]),"")</f>
        <v>8</v>
      </c>
      <c r="B36" s="81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2601101027</v>
      </c>
      <c r="C36" s="74">
        <v>46023</v>
      </c>
      <c r="D36" t="s">
        <v>73</v>
      </c>
      <c r="E36" s="13" t="s">
        <v>74</v>
      </c>
      <c r="F36" s="45" t="s">
        <v>211</v>
      </c>
      <c r="G36" s="1" t="s">
        <v>76</v>
      </c>
      <c r="H36" s="1" t="s">
        <v>256</v>
      </c>
      <c r="I36" t="s">
        <v>257</v>
      </c>
      <c r="J36" t="s">
        <v>258</v>
      </c>
      <c r="L36" s="1" t="s">
        <v>119</v>
      </c>
      <c r="M36" t="s">
        <v>294</v>
      </c>
      <c r="O36" s="46" t="s">
        <v>392</v>
      </c>
      <c r="P36" s="1" t="s">
        <v>262</v>
      </c>
      <c r="Q36" s="1" t="s">
        <v>87</v>
      </c>
      <c r="S36" s="1" t="s">
        <v>87</v>
      </c>
      <c r="U36" s="1" t="s">
        <v>87</v>
      </c>
      <c r="V36" s="1" t="s">
        <v>119</v>
      </c>
      <c r="W36" s="1" t="s">
        <v>264</v>
      </c>
      <c r="X36" t="s">
        <v>265</v>
      </c>
      <c r="Y36" s="1" t="s">
        <v>87</v>
      </c>
      <c r="Z36" s="13" t="s">
        <v>266</v>
      </c>
      <c r="AA36" s="1" t="s">
        <v>87</v>
      </c>
      <c r="AB36" s="1" t="s">
        <v>87</v>
      </c>
      <c r="AC36" s="1" t="s">
        <v>87</v>
      </c>
      <c r="AD36" s="1">
        <v>6</v>
      </c>
      <c r="AE36" s="1" t="s">
        <v>87</v>
      </c>
      <c r="AF36" s="13" t="s">
        <v>267</v>
      </c>
      <c r="AG36" s="1" t="s">
        <v>87</v>
      </c>
      <c r="AH36" s="1" t="s">
        <v>87</v>
      </c>
      <c r="AI36" s="1">
        <v>128</v>
      </c>
      <c r="AJ36" s="46" t="s">
        <v>268</v>
      </c>
      <c r="AK36" s="1" t="s">
        <v>269</v>
      </c>
      <c r="AL36" s="1" t="s">
        <v>270</v>
      </c>
      <c r="AM36" s="1" t="s">
        <v>103</v>
      </c>
      <c r="AN36" s="1" t="s">
        <v>104</v>
      </c>
      <c r="AO36" s="1" t="s">
        <v>105</v>
      </c>
      <c r="AP36" s="1" t="s">
        <v>154</v>
      </c>
      <c r="AQ36" s="125"/>
      <c r="AU36" s="60" t="b">
        <v>0</v>
      </c>
      <c r="AV36" t="str">
        <f>_xlfn.IFNA(INDEX(tbl_handover[No. Handover],MATCH(tbl_computer[[#This Row],[No Asset]],tbl_handover[Asset Code],0)),"")</f>
        <v/>
      </c>
    </row>
    <row r="37" spans="1:48" hidden="1" x14ac:dyDescent="0.25">
      <c r="A37" s="43">
        <f>IF(tbl_computer[[#This Row],[No Asset]]&lt;&gt;"",SUBTOTAL(3,INDEX(tbl_computer[No Asset],1):tbl_computer[[#This Row],[No Asset]]),"")</f>
        <v>8</v>
      </c>
      <c r="B37" s="81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2601101028</v>
      </c>
      <c r="C37" s="74">
        <v>46023</v>
      </c>
      <c r="D37" t="s">
        <v>73</v>
      </c>
      <c r="E37" s="13" t="s">
        <v>74</v>
      </c>
      <c r="F37" s="45" t="s">
        <v>211</v>
      </c>
      <c r="G37" s="1" t="s">
        <v>76</v>
      </c>
      <c r="H37" s="1" t="s">
        <v>256</v>
      </c>
      <c r="I37" t="s">
        <v>393</v>
      </c>
      <c r="J37" t="s">
        <v>380</v>
      </c>
      <c r="L37" s="1" t="s">
        <v>119</v>
      </c>
      <c r="M37" t="s">
        <v>394</v>
      </c>
      <c r="O37" s="46" t="s">
        <v>395</v>
      </c>
      <c r="P37" s="1" t="s">
        <v>262</v>
      </c>
      <c r="Q37" s="1" t="s">
        <v>87</v>
      </c>
      <c r="S37" s="1" t="s">
        <v>87</v>
      </c>
      <c r="U37" s="1" t="s">
        <v>87</v>
      </c>
      <c r="V37" s="1" t="s">
        <v>119</v>
      </c>
      <c r="W37" s="1" t="s">
        <v>396</v>
      </c>
      <c r="Y37" s="1" t="s">
        <v>87</v>
      </c>
      <c r="Z37" s="1" t="s">
        <v>87</v>
      </c>
      <c r="AA37" s="1" t="s">
        <v>87</v>
      </c>
      <c r="AB37" s="1" t="s">
        <v>87</v>
      </c>
      <c r="AC37" s="1" t="s">
        <v>87</v>
      </c>
      <c r="AD37" s="1">
        <v>8</v>
      </c>
      <c r="AE37" s="1" t="s">
        <v>397</v>
      </c>
      <c r="AF37" s="13" t="s">
        <v>97</v>
      </c>
      <c r="AG37" s="1" t="s">
        <v>87</v>
      </c>
      <c r="AH37" s="1" t="s">
        <v>87</v>
      </c>
      <c r="AI37" s="1">
        <v>128</v>
      </c>
      <c r="AJ37" s="89" t="s">
        <v>398</v>
      </c>
      <c r="AK37" s="1" t="s">
        <v>390</v>
      </c>
      <c r="AL37" s="1" t="s">
        <v>399</v>
      </c>
      <c r="AM37" s="1" t="s">
        <v>103</v>
      </c>
      <c r="AN37" s="1" t="s">
        <v>104</v>
      </c>
      <c r="AO37" s="1" t="s">
        <v>105</v>
      </c>
      <c r="AP37" s="1" t="s">
        <v>154</v>
      </c>
      <c r="AQ37" s="125"/>
      <c r="AU37" s="60" t="b">
        <v>0</v>
      </c>
      <c r="AV37" t="str">
        <f>_xlfn.IFNA(INDEX(tbl_handover[No. Handover],MATCH(tbl_computer[[#This Row],[No Asset]],tbl_handover[Asset Code],0)),"")</f>
        <v/>
      </c>
    </row>
    <row r="38" spans="1:48" hidden="1" x14ac:dyDescent="0.25">
      <c r="A38" s="43">
        <f>IF(tbl_computer[[#This Row],[No Asset]]&lt;&gt;"",SUBTOTAL(3,INDEX(tbl_computer[No Asset],1):tbl_computer[[#This Row],[No Asset]]),"")</f>
        <v>8</v>
      </c>
      <c r="B38" s="81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2601101029</v>
      </c>
      <c r="C38" s="74">
        <v>46023</v>
      </c>
      <c r="D38" t="s">
        <v>73</v>
      </c>
      <c r="E38" s="13" t="s">
        <v>74</v>
      </c>
      <c r="F38" s="46" t="s">
        <v>186</v>
      </c>
      <c r="G38" s="1" t="s">
        <v>76</v>
      </c>
      <c r="H38" s="1" t="s">
        <v>125</v>
      </c>
      <c r="I38" t="s">
        <v>400</v>
      </c>
      <c r="J38" t="s">
        <v>127</v>
      </c>
      <c r="K38" s="1" t="s">
        <v>401</v>
      </c>
      <c r="L38" s="1" t="s">
        <v>189</v>
      </c>
      <c r="M38" t="s">
        <v>402</v>
      </c>
      <c r="O38" s="46" t="s">
        <v>403</v>
      </c>
      <c r="P38" s="1" t="s">
        <v>85</v>
      </c>
      <c r="Q38" s="1" t="s">
        <v>404</v>
      </c>
      <c r="T38" s="1" t="s">
        <v>405</v>
      </c>
      <c r="U38" s="1" t="s">
        <v>406</v>
      </c>
      <c r="V38" s="1" t="s">
        <v>90</v>
      </c>
      <c r="W38" s="1" t="s">
        <v>407</v>
      </c>
      <c r="X38" t="s">
        <v>408</v>
      </c>
      <c r="AD38" s="1">
        <v>16</v>
      </c>
      <c r="AG38" s="1"/>
      <c r="AH38" s="13" t="s">
        <v>99</v>
      </c>
      <c r="AI38" s="1">
        <v>512</v>
      </c>
      <c r="AL38" s="1" t="s">
        <v>307</v>
      </c>
      <c r="AM38" s="1" t="s">
        <v>103</v>
      </c>
      <c r="AN38" s="1" t="s">
        <v>104</v>
      </c>
      <c r="AO38" s="1" t="s">
        <v>105</v>
      </c>
      <c r="AP38" s="1" t="s">
        <v>154</v>
      </c>
      <c r="AQ38" s="125" t="s">
        <v>409</v>
      </c>
      <c r="AU38" s="60" t="b">
        <v>0</v>
      </c>
      <c r="AV38" t="str">
        <f>_xlfn.IFNA(INDEX(tbl_handover[No. Handover],MATCH(tbl_computer[[#This Row],[No Asset]],tbl_handover[Asset Code],0)),"")</f>
        <v/>
      </c>
    </row>
    <row r="39" spans="1:48" hidden="1" x14ac:dyDescent="0.25">
      <c r="A39" s="43">
        <f>IF(tbl_computer[[#This Row],[No Asset]]&lt;&gt;"",SUBTOTAL(3,INDEX(tbl_computer[No Asset],1):tbl_computer[[#This Row],[No Asset]]),"")</f>
        <v>8</v>
      </c>
      <c r="B39" s="77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2601101030</v>
      </c>
      <c r="C39" s="74">
        <v>46023</v>
      </c>
      <c r="D39" t="s">
        <v>73</v>
      </c>
      <c r="E39" s="13" t="s">
        <v>74</v>
      </c>
      <c r="F39" s="46" t="s">
        <v>203</v>
      </c>
      <c r="G39" s="1" t="s">
        <v>76</v>
      </c>
      <c r="H39" s="1" t="s">
        <v>240</v>
      </c>
      <c r="I39" t="s">
        <v>410</v>
      </c>
      <c r="J39" t="s">
        <v>242</v>
      </c>
      <c r="K39" s="1" t="s">
        <v>411</v>
      </c>
      <c r="L39" s="1" t="s">
        <v>312</v>
      </c>
      <c r="M39" t="s">
        <v>412</v>
      </c>
      <c r="O39" s="46" t="s">
        <v>413</v>
      </c>
      <c r="P39" s="1" t="s">
        <v>85</v>
      </c>
      <c r="Q39" s="1" t="s">
        <v>414</v>
      </c>
      <c r="R39" s="1" t="s">
        <v>415</v>
      </c>
      <c r="S39" s="1" t="s">
        <v>87</v>
      </c>
      <c r="T39" s="1" t="s">
        <v>416</v>
      </c>
      <c r="U39" s="1" t="s">
        <v>417</v>
      </c>
      <c r="V39" s="1" t="s">
        <v>90</v>
      </c>
      <c r="W39" s="1" t="s">
        <v>418</v>
      </c>
      <c r="X39" t="s">
        <v>419</v>
      </c>
      <c r="AD39" s="1">
        <v>8</v>
      </c>
      <c r="AE39" s="13" t="s">
        <v>118</v>
      </c>
      <c r="AF39" s="13" t="s">
        <v>97</v>
      </c>
      <c r="AG39" s="13"/>
      <c r="AH39" s="13" t="s">
        <v>99</v>
      </c>
      <c r="AI39" s="1">
        <v>512</v>
      </c>
      <c r="AL39" s="1" t="s">
        <v>153</v>
      </c>
      <c r="AM39" s="1" t="s">
        <v>103</v>
      </c>
      <c r="AN39" s="1" t="s">
        <v>104</v>
      </c>
      <c r="AO39" s="1" t="s">
        <v>105</v>
      </c>
      <c r="AP39" s="1" t="s">
        <v>154</v>
      </c>
      <c r="AQ39" s="125" t="s">
        <v>420</v>
      </c>
      <c r="AU39" s="60" t="b">
        <v>1</v>
      </c>
      <c r="AV39" t="str">
        <f>_xlfn.IFNA(INDEX(tbl_handover[No. Handover],MATCH(tbl_computer[[#This Row],[No Asset]],tbl_handover[Asset Code],0)),"")</f>
        <v>SR.26.09.0011/IX/2026/PGT/IT/INT</v>
      </c>
    </row>
    <row r="40" spans="1:48" x14ac:dyDescent="0.25">
      <c r="A40" s="43">
        <f>IF(tbl_computer[[#This Row],[No Asset]]&lt;&gt;"",SUBTOTAL(3,INDEX(tbl_computer[No Asset],1):tbl_computer[[#This Row],[No Asset]]),"")</f>
        <v>9</v>
      </c>
      <c r="B40" s="81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2601101031</v>
      </c>
      <c r="C40" s="74">
        <v>46023</v>
      </c>
      <c r="D40" t="s">
        <v>73</v>
      </c>
      <c r="E40" s="13" t="s">
        <v>74</v>
      </c>
      <c r="F40" s="46" t="s">
        <v>124</v>
      </c>
      <c r="G40" s="1" t="s">
        <v>76</v>
      </c>
      <c r="H40" s="1" t="s">
        <v>256</v>
      </c>
      <c r="I40" t="s">
        <v>257</v>
      </c>
      <c r="J40" t="s">
        <v>258</v>
      </c>
      <c r="K40" s="1" t="s">
        <v>421</v>
      </c>
      <c r="L40" s="1" t="s">
        <v>119</v>
      </c>
      <c r="M40" t="s">
        <v>294</v>
      </c>
      <c r="O40" s="46" t="s">
        <v>422</v>
      </c>
      <c r="P40" s="1" t="s">
        <v>262</v>
      </c>
      <c r="Q40" s="1" t="s">
        <v>87</v>
      </c>
      <c r="R40" s="1" t="s">
        <v>423</v>
      </c>
      <c r="S40" s="1" t="s">
        <v>87</v>
      </c>
      <c r="T40" s="1" t="s">
        <v>424</v>
      </c>
      <c r="U40" s="1" t="s">
        <v>87</v>
      </c>
      <c r="V40" s="1" t="s">
        <v>119</v>
      </c>
      <c r="W40" s="1" t="s">
        <v>264</v>
      </c>
      <c r="X40" t="s">
        <v>265</v>
      </c>
      <c r="Y40" s="1" t="s">
        <v>87</v>
      </c>
      <c r="Z40" s="13" t="s">
        <v>266</v>
      </c>
      <c r="AA40" s="1" t="s">
        <v>87</v>
      </c>
      <c r="AB40" s="1" t="s">
        <v>87</v>
      </c>
      <c r="AC40" s="1" t="s">
        <v>87</v>
      </c>
      <c r="AD40" s="1">
        <v>6</v>
      </c>
      <c r="AE40" s="1" t="s">
        <v>87</v>
      </c>
      <c r="AF40" s="13" t="s">
        <v>267</v>
      </c>
      <c r="AG40" s="1" t="s">
        <v>87</v>
      </c>
      <c r="AH40" s="1" t="s">
        <v>87</v>
      </c>
      <c r="AI40" s="1">
        <v>128</v>
      </c>
      <c r="AJ40" s="46" t="s">
        <v>268</v>
      </c>
      <c r="AK40" s="1" t="s">
        <v>269</v>
      </c>
      <c r="AL40" s="1" t="s">
        <v>270</v>
      </c>
      <c r="AM40" s="1" t="s">
        <v>103</v>
      </c>
      <c r="AN40" s="1" t="s">
        <v>104</v>
      </c>
      <c r="AO40" s="1" t="s">
        <v>105</v>
      </c>
      <c r="AP40" s="1" t="s">
        <v>154</v>
      </c>
      <c r="AQ40" s="125"/>
      <c r="AU40" s="60" t="b">
        <v>1</v>
      </c>
      <c r="AV40" t="str">
        <f>_xlfn.IFNA(INDEX(tbl_handover[No. Handover],MATCH(tbl_computer[[#This Row],[No Asset]],tbl_handover[Asset Code],0)),"")</f>
        <v/>
      </c>
    </row>
    <row r="41" spans="1:48" x14ac:dyDescent="0.25">
      <c r="A41" s="43">
        <f>IF(tbl_computer[[#This Row],[No Asset]]&lt;&gt;"",SUBTOTAL(3,INDEX(tbl_computer[No Asset],1):tbl_computer[[#This Row],[No Asset]]),"")</f>
        <v>10</v>
      </c>
      <c r="B41" s="182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2601101032</v>
      </c>
      <c r="C41" s="74">
        <v>46023</v>
      </c>
      <c r="D41" t="s">
        <v>73</v>
      </c>
      <c r="E41" s="13" t="s">
        <v>74</v>
      </c>
      <c r="F41" s="46" t="s">
        <v>255</v>
      </c>
      <c r="G41" s="1" t="s">
        <v>76</v>
      </c>
      <c r="H41" s="1" t="s">
        <v>256</v>
      </c>
      <c r="I41" t="s">
        <v>257</v>
      </c>
      <c r="J41" t="s">
        <v>258</v>
      </c>
      <c r="K41" s="1" t="s">
        <v>425</v>
      </c>
      <c r="L41" s="1" t="s">
        <v>119</v>
      </c>
      <c r="M41" t="s">
        <v>294</v>
      </c>
      <c r="O41" s="46" t="s">
        <v>426</v>
      </c>
      <c r="P41" s="1" t="s">
        <v>262</v>
      </c>
      <c r="Q41" s="1" t="s">
        <v>87</v>
      </c>
      <c r="R41" s="1" t="s">
        <v>427</v>
      </c>
      <c r="S41" s="1" t="s">
        <v>87</v>
      </c>
      <c r="T41" s="1" t="s">
        <v>428</v>
      </c>
      <c r="U41" s="1" t="s">
        <v>87</v>
      </c>
      <c r="V41" s="1" t="s">
        <v>119</v>
      </c>
      <c r="W41" s="1" t="s">
        <v>264</v>
      </c>
      <c r="X41" t="s">
        <v>265</v>
      </c>
      <c r="Y41" s="1" t="s">
        <v>87</v>
      </c>
      <c r="Z41" s="13" t="s">
        <v>266</v>
      </c>
      <c r="AA41" s="1" t="s">
        <v>87</v>
      </c>
      <c r="AB41" s="1" t="s">
        <v>87</v>
      </c>
      <c r="AC41" s="1" t="s">
        <v>87</v>
      </c>
      <c r="AD41" s="1">
        <v>6</v>
      </c>
      <c r="AE41" s="1" t="s">
        <v>87</v>
      </c>
      <c r="AF41" s="13" t="s">
        <v>267</v>
      </c>
      <c r="AG41" s="1" t="s">
        <v>87</v>
      </c>
      <c r="AH41" s="1" t="s">
        <v>87</v>
      </c>
      <c r="AI41" s="1">
        <v>128</v>
      </c>
      <c r="AJ41" s="46" t="s">
        <v>268</v>
      </c>
      <c r="AK41" s="1" t="s">
        <v>269</v>
      </c>
      <c r="AL41" s="1" t="s">
        <v>270</v>
      </c>
      <c r="AM41" s="1" t="s">
        <v>103</v>
      </c>
      <c r="AN41" s="1" t="s">
        <v>104</v>
      </c>
      <c r="AO41" s="1" t="s">
        <v>105</v>
      </c>
      <c r="AP41" s="1" t="s">
        <v>154</v>
      </c>
      <c r="AQ41" s="183" t="s">
        <v>429</v>
      </c>
      <c r="AU41" s="60" t="b">
        <v>1</v>
      </c>
      <c r="AV41" t="str">
        <f>_xlfn.IFNA(INDEX(tbl_handover[No. Handover],MATCH(tbl_computer[[#This Row],[No Asset]],tbl_handover[Asset Code],0)),"")</f>
        <v>SR.26.09.0020/IX/2026/PGT/IT/INT</v>
      </c>
    </row>
    <row r="42" spans="1:48" x14ac:dyDescent="0.25">
      <c r="A42" s="43">
        <f>IF(tbl_computer[[#This Row],[No Asset]]&lt;&gt;"",SUBTOTAL(3,INDEX(tbl_computer[No Asset],1):tbl_computer[[#This Row],[No Asset]]),"")</f>
        <v>11</v>
      </c>
      <c r="B42" s="182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2601101033</v>
      </c>
      <c r="C42" s="74">
        <v>46023</v>
      </c>
      <c r="D42" t="s">
        <v>73</v>
      </c>
      <c r="E42" s="13" t="s">
        <v>74</v>
      </c>
      <c r="F42" s="46" t="s">
        <v>255</v>
      </c>
      <c r="G42" s="1" t="s">
        <v>76</v>
      </c>
      <c r="H42" s="1" t="s">
        <v>256</v>
      </c>
      <c r="I42" t="s">
        <v>257</v>
      </c>
      <c r="J42" t="s">
        <v>258</v>
      </c>
      <c r="K42" s="1" t="s">
        <v>430</v>
      </c>
      <c r="L42" s="1" t="s">
        <v>119</v>
      </c>
      <c r="M42" t="s">
        <v>294</v>
      </c>
      <c r="O42" s="46" t="s">
        <v>431</v>
      </c>
      <c r="P42" s="1" t="s">
        <v>262</v>
      </c>
      <c r="Q42" s="1" t="s">
        <v>87</v>
      </c>
      <c r="R42" s="1" t="s">
        <v>432</v>
      </c>
      <c r="S42" s="1" t="s">
        <v>87</v>
      </c>
      <c r="T42" s="1" t="s">
        <v>433</v>
      </c>
      <c r="U42" s="1" t="s">
        <v>87</v>
      </c>
      <c r="V42" s="1" t="s">
        <v>119</v>
      </c>
      <c r="W42" s="1" t="s">
        <v>264</v>
      </c>
      <c r="X42" t="s">
        <v>265</v>
      </c>
      <c r="Y42" s="1" t="s">
        <v>87</v>
      </c>
      <c r="Z42" s="13" t="s">
        <v>266</v>
      </c>
      <c r="AA42" s="1" t="s">
        <v>87</v>
      </c>
      <c r="AB42" s="1" t="s">
        <v>87</v>
      </c>
      <c r="AC42" s="1" t="s">
        <v>87</v>
      </c>
      <c r="AD42" s="1">
        <v>6</v>
      </c>
      <c r="AE42" s="1" t="s">
        <v>87</v>
      </c>
      <c r="AF42" s="13" t="s">
        <v>267</v>
      </c>
      <c r="AG42" s="1" t="s">
        <v>87</v>
      </c>
      <c r="AH42" s="1" t="s">
        <v>87</v>
      </c>
      <c r="AI42" s="1">
        <v>128</v>
      </c>
      <c r="AJ42" s="46" t="s">
        <v>268</v>
      </c>
      <c r="AK42" s="1" t="s">
        <v>269</v>
      </c>
      <c r="AL42" s="1" t="s">
        <v>270</v>
      </c>
      <c r="AM42" s="1" t="s">
        <v>103</v>
      </c>
      <c r="AN42" s="1" t="s">
        <v>104</v>
      </c>
      <c r="AO42" s="1" t="s">
        <v>105</v>
      </c>
      <c r="AP42" s="1" t="s">
        <v>154</v>
      </c>
      <c r="AQ42" s="183" t="s">
        <v>434</v>
      </c>
      <c r="AU42" s="60" t="b">
        <v>1</v>
      </c>
      <c r="AV42" t="str">
        <f>_xlfn.IFNA(INDEX(tbl_handover[No. Handover],MATCH(tbl_computer[[#This Row],[No Asset]],tbl_handover[Asset Code],0)),"")</f>
        <v>SR.26.09.0020/IX/2026/PGT/IT/INT</v>
      </c>
    </row>
    <row r="43" spans="1:48" hidden="1" x14ac:dyDescent="0.25">
      <c r="A43" s="43">
        <f>IF(tbl_computer[[#This Row],[No Asset]]&lt;&gt;"",SUBTOTAL(3,INDEX(tbl_computer[No Asset],1):tbl_computer[[#This Row],[No Asset]]),"")</f>
        <v>11</v>
      </c>
      <c r="B43" s="81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2601101034</v>
      </c>
      <c r="C43" s="74">
        <v>46023</v>
      </c>
      <c r="D43" t="s">
        <v>73</v>
      </c>
      <c r="E43" s="13" t="s">
        <v>74</v>
      </c>
      <c r="F43" s="46" t="s">
        <v>232</v>
      </c>
      <c r="G43" s="1" t="s">
        <v>76</v>
      </c>
      <c r="H43" s="1" t="s">
        <v>77</v>
      </c>
      <c r="I43" t="s">
        <v>187</v>
      </c>
      <c r="J43" t="s">
        <v>79</v>
      </c>
      <c r="K43" s="1" t="s">
        <v>435</v>
      </c>
      <c r="L43" s="1" t="s">
        <v>189</v>
      </c>
      <c r="M43" t="s">
        <v>190</v>
      </c>
      <c r="O43" s="49" t="s">
        <v>436</v>
      </c>
      <c r="P43" s="1" t="s">
        <v>85</v>
      </c>
      <c r="Q43" t="s">
        <v>437</v>
      </c>
      <c r="R43" s="1" t="s">
        <v>87</v>
      </c>
      <c r="S43" s="1" t="s">
        <v>438</v>
      </c>
      <c r="T43" s="1" t="s">
        <v>439</v>
      </c>
      <c r="U43" s="1" t="s">
        <v>440</v>
      </c>
      <c r="V43" s="13" t="s">
        <v>90</v>
      </c>
      <c r="W43" s="1" t="s">
        <v>195</v>
      </c>
      <c r="X43" t="s">
        <v>218</v>
      </c>
      <c r="Y43" s="1" t="s">
        <v>93</v>
      </c>
      <c r="Z43" s="1" t="s">
        <v>94</v>
      </c>
      <c r="AA43" s="1">
        <v>4800</v>
      </c>
      <c r="AB43" s="1">
        <v>2</v>
      </c>
      <c r="AC43" s="1" t="s">
        <v>95</v>
      </c>
      <c r="AD43" s="1">
        <v>16</v>
      </c>
      <c r="AE43" s="1" t="s">
        <v>96</v>
      </c>
      <c r="AF43" s="13" t="s">
        <v>97</v>
      </c>
      <c r="AG43" s="13" t="s">
        <v>98</v>
      </c>
      <c r="AH43" s="13" t="s">
        <v>99</v>
      </c>
      <c r="AI43" s="1">
        <v>512</v>
      </c>
      <c r="AJ43" t="s">
        <v>219</v>
      </c>
      <c r="AK43" s="1" t="s">
        <v>220</v>
      </c>
      <c r="AL43" s="1" t="s">
        <v>221</v>
      </c>
      <c r="AM43" s="1" t="s">
        <v>103</v>
      </c>
      <c r="AN43" s="1" t="s">
        <v>104</v>
      </c>
      <c r="AO43" s="1" t="s">
        <v>105</v>
      </c>
      <c r="AP43" s="1" t="s">
        <v>154</v>
      </c>
      <c r="AQ43" s="125" t="s">
        <v>441</v>
      </c>
      <c r="AU43" s="60" t="b">
        <v>1</v>
      </c>
      <c r="AV43" t="str">
        <f>_xlfn.IFNA(INDEX(tbl_handover[No. Handover],MATCH(tbl_computer[[#This Row],[No Asset]],tbl_handover[Asset Code],0)),"")</f>
        <v>SR.26.09.0015/IX/2026/PGT/IT/INT</v>
      </c>
    </row>
    <row r="44" spans="1:48" hidden="1" x14ac:dyDescent="0.25">
      <c r="A44" s="43">
        <f>IF(tbl_computer[[#This Row],[No Asset]]&lt;&gt;"",SUBTOTAL(3,INDEX(tbl_computer[No Asset],1):tbl_computer[[#This Row],[No Asset]]),"")</f>
        <v>11</v>
      </c>
      <c r="B44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2609101008</v>
      </c>
      <c r="C44" s="74">
        <v>46268</v>
      </c>
      <c r="D44" t="s">
        <v>108</v>
      </c>
      <c r="E44" s="13" t="s">
        <v>74</v>
      </c>
      <c r="F44" s="46" t="s">
        <v>124</v>
      </c>
      <c r="G44" s="1" t="s">
        <v>76</v>
      </c>
      <c r="H44" s="1" t="s">
        <v>125</v>
      </c>
      <c r="I44" t="s">
        <v>442</v>
      </c>
      <c r="J44" t="s">
        <v>127</v>
      </c>
      <c r="K44" s="1" t="s">
        <v>443</v>
      </c>
      <c r="L44" s="1" t="s">
        <v>189</v>
      </c>
      <c r="M44" t="s">
        <v>444</v>
      </c>
      <c r="O44" s="46" t="s">
        <v>445</v>
      </c>
      <c r="P44" s="1" t="s">
        <v>85</v>
      </c>
      <c r="Q44" s="1" t="s">
        <v>446</v>
      </c>
      <c r="T44" s="1" t="s">
        <v>315</v>
      </c>
      <c r="U44" s="1" t="s">
        <v>447</v>
      </c>
      <c r="V44" s="1" t="s">
        <v>90</v>
      </c>
      <c r="W44" s="1" t="s">
        <v>448</v>
      </c>
      <c r="X44" t="s">
        <v>449</v>
      </c>
      <c r="Y44" s="1" t="s">
        <v>93</v>
      </c>
      <c r="Z44" s="1" t="s">
        <v>94</v>
      </c>
      <c r="AA44" s="1">
        <v>5600</v>
      </c>
      <c r="AB44" s="1">
        <v>2</v>
      </c>
      <c r="AC44" s="1" t="s">
        <v>95</v>
      </c>
      <c r="AD44" s="1">
        <v>32</v>
      </c>
      <c r="AE44" s="1" t="s">
        <v>450</v>
      </c>
      <c r="AG44" s="1" t="s">
        <v>451</v>
      </c>
      <c r="AH44" s="1" t="s">
        <v>452</v>
      </c>
      <c r="AI44" s="1">
        <v>1024</v>
      </c>
      <c r="AJ44" s="46" t="s">
        <v>453</v>
      </c>
      <c r="AK44" s="1" t="s">
        <v>141</v>
      </c>
      <c r="AL44" s="1" t="s">
        <v>454</v>
      </c>
      <c r="AM44" s="1" t="s">
        <v>122</v>
      </c>
      <c r="AN44" s="1" t="s">
        <v>104</v>
      </c>
      <c r="AO44" s="1" t="s">
        <v>105</v>
      </c>
      <c r="AP44" s="1" t="s">
        <v>154</v>
      </c>
      <c r="AQ44" s="125"/>
      <c r="AU44" s="60" t="b">
        <v>1</v>
      </c>
      <c r="AV44" t="str">
        <f>_xlfn.IFNA(INDEX(tbl_handover[No. Handover],MATCH(tbl_computer[[#This Row],[No Asset]],tbl_handover[Asset Code],0)),"")</f>
        <v/>
      </c>
    </row>
    <row r="45" spans="1:48" hidden="1" x14ac:dyDescent="0.25">
      <c r="A45" s="43">
        <f>IF(tbl_computer[[#This Row],[No Asset]]&lt;&gt;"",SUBTOTAL(3,INDEX(tbl_computer[No Asset],1):tbl_computer[[#This Row],[No Asset]]),"")</f>
        <v>11</v>
      </c>
      <c r="B45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2609101009</v>
      </c>
      <c r="C45" s="74">
        <v>46268</v>
      </c>
      <c r="D45" t="s">
        <v>108</v>
      </c>
      <c r="E45" s="13" t="s">
        <v>74</v>
      </c>
      <c r="F45" s="46" t="s">
        <v>124</v>
      </c>
      <c r="G45" s="1" t="s">
        <v>76</v>
      </c>
      <c r="H45" s="1" t="s">
        <v>125</v>
      </c>
      <c r="I45" t="s">
        <v>442</v>
      </c>
      <c r="J45" t="s">
        <v>127</v>
      </c>
      <c r="K45" s="1" t="s">
        <v>455</v>
      </c>
      <c r="L45" s="1" t="s">
        <v>189</v>
      </c>
      <c r="M45" t="s">
        <v>444</v>
      </c>
      <c r="O45" s="49" t="s">
        <v>456</v>
      </c>
      <c r="P45" s="1" t="s">
        <v>85</v>
      </c>
      <c r="V45" s="1" t="s">
        <v>90</v>
      </c>
      <c r="W45" s="1" t="s">
        <v>448</v>
      </c>
      <c r="X45" t="s">
        <v>449</v>
      </c>
      <c r="Y45" s="1" t="s">
        <v>93</v>
      </c>
      <c r="Z45" s="1" t="s">
        <v>94</v>
      </c>
      <c r="AA45" s="1">
        <v>5600</v>
      </c>
      <c r="AB45" s="1">
        <v>2</v>
      </c>
      <c r="AC45" s="1" t="s">
        <v>95</v>
      </c>
      <c r="AD45" s="1">
        <v>32</v>
      </c>
      <c r="AE45" s="1" t="s">
        <v>450</v>
      </c>
      <c r="AF45" s="13" t="s">
        <v>97</v>
      </c>
      <c r="AG45" s="1" t="s">
        <v>451</v>
      </c>
      <c r="AH45" s="1" t="s">
        <v>452</v>
      </c>
      <c r="AI45" s="1">
        <v>1024</v>
      </c>
      <c r="AJ45" s="46" t="s">
        <v>453</v>
      </c>
      <c r="AK45" s="1" t="s">
        <v>141</v>
      </c>
      <c r="AL45" s="1" t="s">
        <v>454</v>
      </c>
      <c r="AM45" s="1" t="s">
        <v>122</v>
      </c>
      <c r="AN45" s="1" t="s">
        <v>104</v>
      </c>
      <c r="AO45" s="1" t="s">
        <v>105</v>
      </c>
      <c r="AP45" s="1" t="s">
        <v>154</v>
      </c>
      <c r="AQ45" s="125" t="s">
        <v>457</v>
      </c>
      <c r="AU45" s="60" t="b">
        <v>1</v>
      </c>
      <c r="AV45" t="str">
        <f>_xlfn.IFNA(INDEX(tbl_handover[No. Handover],MATCH(tbl_computer[[#This Row],[No Asset]],tbl_handover[Asset Code],0)),"")</f>
        <v>SR.26.09.0006/IX/2026/PGT/IT/INT</v>
      </c>
    </row>
    <row r="46" spans="1:48" hidden="1" x14ac:dyDescent="0.25">
      <c r="A46" s="43">
        <f>IF(tbl_computer[[#This Row],[No Asset]]&lt;&gt;"",SUBTOTAL(3,INDEX(tbl_computer[No Asset],1):tbl_computer[[#This Row],[No Asset]]),"")</f>
        <v>11</v>
      </c>
      <c r="B46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2609101010</v>
      </c>
      <c r="C46" s="74">
        <v>46268</v>
      </c>
      <c r="D46" t="s">
        <v>108</v>
      </c>
      <c r="E46" s="13" t="s">
        <v>74</v>
      </c>
      <c r="F46" s="46" t="s">
        <v>124</v>
      </c>
      <c r="G46" s="1" t="s">
        <v>76</v>
      </c>
      <c r="H46" s="1" t="s">
        <v>125</v>
      </c>
      <c r="I46" t="s">
        <v>442</v>
      </c>
      <c r="J46" t="s">
        <v>127</v>
      </c>
      <c r="K46" s="1" t="s">
        <v>458</v>
      </c>
      <c r="L46" s="1" t="s">
        <v>189</v>
      </c>
      <c r="M46" t="s">
        <v>444</v>
      </c>
      <c r="O46" s="46" t="s">
        <v>459</v>
      </c>
      <c r="P46" s="1" t="s">
        <v>85</v>
      </c>
      <c r="V46" s="1" t="s">
        <v>90</v>
      </c>
      <c r="W46" s="1" t="s">
        <v>448</v>
      </c>
      <c r="X46" t="s">
        <v>449</v>
      </c>
      <c r="Y46" s="1" t="s">
        <v>93</v>
      </c>
      <c r="Z46" s="1" t="s">
        <v>94</v>
      </c>
      <c r="AA46" s="1">
        <v>5600</v>
      </c>
      <c r="AB46" s="1">
        <v>2</v>
      </c>
      <c r="AC46" s="1" t="s">
        <v>95</v>
      </c>
      <c r="AD46" s="1">
        <v>32</v>
      </c>
      <c r="AE46" s="1" t="s">
        <v>450</v>
      </c>
      <c r="AF46" s="13" t="s">
        <v>97</v>
      </c>
      <c r="AG46" s="1" t="s">
        <v>451</v>
      </c>
      <c r="AH46" s="1" t="s">
        <v>452</v>
      </c>
      <c r="AI46" s="1">
        <v>1024</v>
      </c>
      <c r="AJ46" s="46" t="s">
        <v>453</v>
      </c>
      <c r="AK46" s="1" t="s">
        <v>141</v>
      </c>
      <c r="AL46" s="1" t="s">
        <v>454</v>
      </c>
      <c r="AM46" s="1" t="s">
        <v>122</v>
      </c>
      <c r="AN46" s="1" t="s">
        <v>104</v>
      </c>
      <c r="AO46" s="1" t="s">
        <v>105</v>
      </c>
      <c r="AP46" s="1" t="s">
        <v>154</v>
      </c>
      <c r="AQ46" s="125" t="s">
        <v>460</v>
      </c>
      <c r="AU46" s="60" t="b">
        <v>1</v>
      </c>
      <c r="AV46" t="str">
        <f>_xlfn.IFNA(INDEX(tbl_handover[No. Handover],MATCH(tbl_computer[[#This Row],[No Asset]],tbl_handover[Asset Code],0)),"")</f>
        <v>SR.26.09.0007/IX/2026/PGT/IT/INT</v>
      </c>
    </row>
    <row r="47" spans="1:48" x14ac:dyDescent="0.25">
      <c r="A47" s="43">
        <f>IF(tbl_computer[[#This Row],[No Asset]]&lt;&gt;"",SUBTOTAL(3,INDEX(tbl_computer[No Asset],1):tbl_computer[[#This Row],[No Asset]]),"")</f>
        <v>12</v>
      </c>
      <c r="B47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2601101035</v>
      </c>
      <c r="C47" s="74">
        <v>46023</v>
      </c>
      <c r="D47" t="s">
        <v>73</v>
      </c>
      <c r="E47" s="13" t="s">
        <v>74</v>
      </c>
      <c r="F47" s="46" t="s">
        <v>124</v>
      </c>
      <c r="G47" s="1" t="s">
        <v>76</v>
      </c>
      <c r="H47" s="1" t="s">
        <v>256</v>
      </c>
      <c r="I47" t="s">
        <v>257</v>
      </c>
      <c r="J47" t="s">
        <v>258</v>
      </c>
      <c r="K47" s="1" t="s">
        <v>461</v>
      </c>
      <c r="L47" s="1" t="s">
        <v>119</v>
      </c>
      <c r="M47" t="s">
        <v>260</v>
      </c>
      <c r="O47" s="46" t="s">
        <v>462</v>
      </c>
      <c r="P47" s="1" t="s">
        <v>262</v>
      </c>
      <c r="Q47" s="1" t="s">
        <v>87</v>
      </c>
      <c r="R47" s="1" t="s">
        <v>463</v>
      </c>
      <c r="S47" s="1" t="s">
        <v>87</v>
      </c>
      <c r="T47" s="1" t="s">
        <v>464</v>
      </c>
      <c r="U47" s="1" t="s">
        <v>87</v>
      </c>
      <c r="V47" s="1" t="s">
        <v>119</v>
      </c>
      <c r="W47" s="1" t="s">
        <v>264</v>
      </c>
      <c r="X47" t="s">
        <v>265</v>
      </c>
      <c r="Y47" s="1" t="s">
        <v>87</v>
      </c>
      <c r="Z47" s="13" t="s">
        <v>266</v>
      </c>
      <c r="AA47" s="1" t="s">
        <v>87</v>
      </c>
      <c r="AB47" s="1" t="s">
        <v>87</v>
      </c>
      <c r="AC47" s="1" t="s">
        <v>87</v>
      </c>
      <c r="AD47" s="1">
        <v>6</v>
      </c>
      <c r="AE47" s="1" t="s">
        <v>87</v>
      </c>
      <c r="AF47" s="13" t="s">
        <v>267</v>
      </c>
      <c r="AG47" s="1" t="s">
        <v>87</v>
      </c>
      <c r="AH47" s="1" t="s">
        <v>87</v>
      </c>
      <c r="AI47" s="1">
        <v>128</v>
      </c>
      <c r="AJ47" s="46" t="s">
        <v>268</v>
      </c>
      <c r="AK47" s="1" t="s">
        <v>269</v>
      </c>
      <c r="AL47" s="1" t="s">
        <v>270</v>
      </c>
      <c r="AM47" s="1" t="s">
        <v>103</v>
      </c>
      <c r="AN47" s="1" t="s">
        <v>104</v>
      </c>
      <c r="AO47" s="1" t="s">
        <v>105</v>
      </c>
      <c r="AP47" s="1" t="s">
        <v>154</v>
      </c>
      <c r="AQ47" s="125" t="s">
        <v>465</v>
      </c>
      <c r="AU47" s="60" t="b">
        <v>1</v>
      </c>
      <c r="AV47" t="str">
        <f>_xlfn.IFNA(INDEX(tbl_handover[No. Handover],MATCH(tbl_computer[[#This Row],[No Asset]],tbl_handover[Asset Code],0)),"")</f>
        <v/>
      </c>
    </row>
    <row r="48" spans="1:48" hidden="1" x14ac:dyDescent="0.25">
      <c r="A48" s="43">
        <f>IF(tbl_computer[[#This Row],[No Asset]]&lt;&gt;"",SUBTOTAL(3,INDEX(tbl_computer[No Asset],1):tbl_computer[[#This Row],[No Asset]]),"")</f>
        <v>12</v>
      </c>
      <c r="B48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2609101011</v>
      </c>
      <c r="C48" s="74">
        <v>46268</v>
      </c>
      <c r="D48" t="s">
        <v>108</v>
      </c>
      <c r="E48" s="13" t="s">
        <v>74</v>
      </c>
      <c r="F48" s="46" t="s">
        <v>232</v>
      </c>
      <c r="G48" s="1" t="s">
        <v>76</v>
      </c>
      <c r="H48" s="1" t="s">
        <v>256</v>
      </c>
      <c r="I48" t="s">
        <v>379</v>
      </c>
      <c r="J48" t="s">
        <v>380</v>
      </c>
      <c r="K48" s="1" t="s">
        <v>466</v>
      </c>
      <c r="L48" s="1" t="s">
        <v>119</v>
      </c>
      <c r="M48" t="s">
        <v>382</v>
      </c>
      <c r="O48" s="46" t="s">
        <v>467</v>
      </c>
      <c r="P48" t="s">
        <v>384</v>
      </c>
      <c r="Q48" s="1" t="s">
        <v>87</v>
      </c>
      <c r="R48" s="1" t="s">
        <v>468</v>
      </c>
      <c r="S48" s="1" t="s">
        <v>87</v>
      </c>
      <c r="T48" s="1" t="s">
        <v>469</v>
      </c>
      <c r="U48" s="1" t="s">
        <v>87</v>
      </c>
      <c r="V48" s="1" t="s">
        <v>385</v>
      </c>
      <c r="W48" s="1" t="s">
        <v>282</v>
      </c>
      <c r="X48" s="73" t="s">
        <v>386</v>
      </c>
      <c r="Y48" s="1" t="s">
        <v>93</v>
      </c>
      <c r="Z48" s="1" t="s">
        <v>387</v>
      </c>
      <c r="AA48" s="1" t="s">
        <v>87</v>
      </c>
      <c r="AB48" s="1">
        <v>1</v>
      </c>
      <c r="AC48" s="1" t="s">
        <v>137</v>
      </c>
      <c r="AD48" s="1">
        <v>12</v>
      </c>
      <c r="AE48" s="1" t="s">
        <v>388</v>
      </c>
      <c r="AF48" s="13" t="s">
        <v>97</v>
      </c>
      <c r="AG48" s="1" t="s">
        <v>119</v>
      </c>
      <c r="AH48" s="1" t="s">
        <v>266</v>
      </c>
      <c r="AI48" s="1">
        <v>256</v>
      </c>
      <c r="AJ48" s="46" t="s">
        <v>389</v>
      </c>
      <c r="AK48" s="1" t="s">
        <v>390</v>
      </c>
      <c r="AL48" s="1" t="s">
        <v>391</v>
      </c>
      <c r="AM48" s="1" t="s">
        <v>122</v>
      </c>
      <c r="AN48" s="1" t="s">
        <v>104</v>
      </c>
      <c r="AO48" s="1" t="s">
        <v>105</v>
      </c>
      <c r="AP48" s="1" t="s">
        <v>154</v>
      </c>
      <c r="AQ48" s="125" t="s">
        <v>470</v>
      </c>
      <c r="AU48" s="60" t="b">
        <v>1</v>
      </c>
      <c r="AV48" t="str">
        <f>_xlfn.IFNA(INDEX(tbl_handover[No. Handover],MATCH(tbl_computer[[#This Row],[No Asset]],tbl_handover[Asset Code],0)),"")</f>
        <v>SR.26.09.0015/IX/2026/PGT/IT/INT</v>
      </c>
    </row>
    <row r="49" spans="1:48" x14ac:dyDescent="0.25">
      <c r="A49" s="43">
        <f>IF(tbl_computer[[#This Row],[No Asset]]&lt;&gt;"",SUBTOTAL(3,INDEX(tbl_computer[No Asset],1):tbl_computer[[#This Row],[No Asset]]),"")</f>
        <v>13</v>
      </c>
      <c r="B49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2601101036</v>
      </c>
      <c r="C49" s="74">
        <v>46023</v>
      </c>
      <c r="D49" t="s">
        <v>73</v>
      </c>
      <c r="E49" s="13" t="s">
        <v>74</v>
      </c>
      <c r="F49" s="46" t="s">
        <v>255</v>
      </c>
      <c r="G49" s="1" t="s">
        <v>76</v>
      </c>
      <c r="H49" s="1" t="s">
        <v>256</v>
      </c>
      <c r="I49" t="s">
        <v>257</v>
      </c>
      <c r="J49" t="s">
        <v>258</v>
      </c>
      <c r="K49" s="1" t="s">
        <v>471</v>
      </c>
      <c r="L49" s="1" t="s">
        <v>119</v>
      </c>
      <c r="M49" t="s">
        <v>260</v>
      </c>
      <c r="O49" s="46" t="s">
        <v>472</v>
      </c>
      <c r="P49" s="1" t="s">
        <v>262</v>
      </c>
      <c r="Q49" s="1" t="s">
        <v>87</v>
      </c>
      <c r="S49" s="1" t="s">
        <v>87</v>
      </c>
      <c r="U49" s="1" t="s">
        <v>87</v>
      </c>
      <c r="V49" s="1" t="s">
        <v>119</v>
      </c>
      <c r="W49" s="1" t="s">
        <v>264</v>
      </c>
      <c r="X49" t="s">
        <v>265</v>
      </c>
      <c r="Y49" s="1" t="s">
        <v>87</v>
      </c>
      <c r="Z49" s="13" t="s">
        <v>266</v>
      </c>
      <c r="AA49" s="1" t="s">
        <v>87</v>
      </c>
      <c r="AB49" s="1" t="s">
        <v>87</v>
      </c>
      <c r="AC49" s="1" t="s">
        <v>87</v>
      </c>
      <c r="AD49" s="1">
        <v>6</v>
      </c>
      <c r="AE49" s="1" t="s">
        <v>87</v>
      </c>
      <c r="AF49" s="13" t="s">
        <v>267</v>
      </c>
      <c r="AG49" s="1" t="s">
        <v>87</v>
      </c>
      <c r="AH49" s="1" t="s">
        <v>87</v>
      </c>
      <c r="AI49" s="1">
        <v>128</v>
      </c>
      <c r="AJ49" s="46" t="s">
        <v>268</v>
      </c>
      <c r="AK49" s="1" t="s">
        <v>269</v>
      </c>
      <c r="AL49" s="1" t="s">
        <v>270</v>
      </c>
      <c r="AM49" s="1" t="s">
        <v>103</v>
      </c>
      <c r="AN49" s="1" t="s">
        <v>104</v>
      </c>
      <c r="AO49" s="1" t="s">
        <v>105</v>
      </c>
      <c r="AP49" s="1" t="s">
        <v>154</v>
      </c>
      <c r="AQ49" s="125" t="s">
        <v>275</v>
      </c>
      <c r="AU49" s="60" t="b">
        <v>0</v>
      </c>
      <c r="AV49" t="str">
        <f>_xlfn.IFNA(INDEX(tbl_handover[No. Handover],MATCH(tbl_computer[[#This Row],[No Asset]],tbl_handover[Asset Code],0)),"")</f>
        <v/>
      </c>
    </row>
    <row r="50" spans="1:48" x14ac:dyDescent="0.25">
      <c r="A50" s="43">
        <f>IF(tbl_computer[[#This Row],[No Asset]]&lt;&gt;"",SUBTOTAL(3,INDEX(tbl_computer[No Asset],1):tbl_computer[[#This Row],[No Asset]]),"")</f>
        <v>14</v>
      </c>
      <c r="B50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2601101037</v>
      </c>
      <c r="C50" s="74">
        <v>46023</v>
      </c>
      <c r="D50" t="s">
        <v>73</v>
      </c>
      <c r="E50" s="13" t="s">
        <v>74</v>
      </c>
      <c r="F50" s="45" t="s">
        <v>255</v>
      </c>
      <c r="G50" s="1" t="s">
        <v>76</v>
      </c>
      <c r="H50" s="1" t="s">
        <v>256</v>
      </c>
      <c r="I50" t="s">
        <v>277</v>
      </c>
      <c r="J50" t="s">
        <v>258</v>
      </c>
      <c r="K50" s="1" t="s">
        <v>473</v>
      </c>
      <c r="L50" s="1" t="s">
        <v>119</v>
      </c>
      <c r="M50" t="s">
        <v>279</v>
      </c>
      <c r="O50" s="46" t="s">
        <v>474</v>
      </c>
      <c r="P50" s="1" t="s">
        <v>262</v>
      </c>
      <c r="Q50" s="1" t="s">
        <v>87</v>
      </c>
      <c r="R50" s="1" t="s">
        <v>475</v>
      </c>
      <c r="S50" s="1" t="s">
        <v>87</v>
      </c>
      <c r="T50" s="1" t="s">
        <v>476</v>
      </c>
      <c r="U50" s="1" t="s">
        <v>87</v>
      </c>
      <c r="V50" s="1" t="s">
        <v>119</v>
      </c>
      <c r="W50" s="1" t="s">
        <v>264</v>
      </c>
      <c r="X50" t="s">
        <v>283</v>
      </c>
      <c r="Y50" s="1" t="s">
        <v>87</v>
      </c>
      <c r="Z50" s="13" t="s">
        <v>266</v>
      </c>
      <c r="AA50" s="1" t="s">
        <v>87</v>
      </c>
      <c r="AB50" s="1" t="s">
        <v>87</v>
      </c>
      <c r="AC50" s="1" t="s">
        <v>87</v>
      </c>
      <c r="AD50" s="1">
        <v>8</v>
      </c>
      <c r="AE50" s="1" t="s">
        <v>87</v>
      </c>
      <c r="AF50" s="13" t="s">
        <v>267</v>
      </c>
      <c r="AG50" s="1" t="s">
        <v>87</v>
      </c>
      <c r="AH50" s="1" t="s">
        <v>87</v>
      </c>
      <c r="AI50" s="1">
        <v>256</v>
      </c>
      <c r="AJ50" s="46" t="s">
        <v>268</v>
      </c>
      <c r="AK50" s="1" t="s">
        <v>269</v>
      </c>
      <c r="AL50" s="1" t="s">
        <v>284</v>
      </c>
      <c r="AM50" s="1" t="s">
        <v>103</v>
      </c>
      <c r="AN50" s="1" t="s">
        <v>104</v>
      </c>
      <c r="AO50" s="1" t="s">
        <v>105</v>
      </c>
      <c r="AP50" s="1" t="s">
        <v>143</v>
      </c>
      <c r="AQ50" s="125" t="s">
        <v>477</v>
      </c>
      <c r="AU50" s="60" t="b">
        <v>1</v>
      </c>
      <c r="AV50" t="str">
        <f>_xlfn.IFNA(INDEX(tbl_handover[No. Handover],MATCH(tbl_computer[[#This Row],[No Asset]],tbl_handover[Asset Code],0)),"")</f>
        <v/>
      </c>
    </row>
    <row r="51" spans="1:48" x14ac:dyDescent="0.25">
      <c r="A51" s="43">
        <f>IF(tbl_computer[[#This Row],[No Asset]]&lt;&gt;"",SUBTOTAL(3,INDEX(tbl_computer[No Asset],1):tbl_computer[[#This Row],[No Asset]]),"")</f>
        <v>15</v>
      </c>
      <c r="B51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2601101038</v>
      </c>
      <c r="C51" s="74">
        <v>46023</v>
      </c>
      <c r="D51" t="s">
        <v>73</v>
      </c>
      <c r="E51" s="13" t="s">
        <v>74</v>
      </c>
      <c r="F51" s="46" t="s">
        <v>478</v>
      </c>
      <c r="G51" s="1" t="s">
        <v>76</v>
      </c>
      <c r="H51" s="1" t="s">
        <v>256</v>
      </c>
      <c r="I51" t="s">
        <v>277</v>
      </c>
      <c r="J51" t="s">
        <v>258</v>
      </c>
      <c r="L51" s="1" t="s">
        <v>119</v>
      </c>
      <c r="M51" t="s">
        <v>279</v>
      </c>
      <c r="O51" s="49" t="s">
        <v>479</v>
      </c>
      <c r="P51" s="1" t="s">
        <v>262</v>
      </c>
      <c r="Q51" s="1" t="s">
        <v>87</v>
      </c>
      <c r="V51" s="1" t="s">
        <v>119</v>
      </c>
      <c r="W51" s="1" t="s">
        <v>264</v>
      </c>
      <c r="X51" t="s">
        <v>283</v>
      </c>
      <c r="Y51" s="1" t="s">
        <v>87</v>
      </c>
      <c r="Z51" s="13" t="s">
        <v>266</v>
      </c>
      <c r="AA51" s="1" t="s">
        <v>87</v>
      </c>
      <c r="AB51" s="1" t="s">
        <v>87</v>
      </c>
      <c r="AC51" s="1" t="s">
        <v>87</v>
      </c>
      <c r="AD51" s="1">
        <v>8</v>
      </c>
      <c r="AE51" s="1" t="s">
        <v>87</v>
      </c>
      <c r="AF51" s="13" t="s">
        <v>267</v>
      </c>
      <c r="AG51" s="1" t="s">
        <v>87</v>
      </c>
      <c r="AH51" s="1" t="s">
        <v>87</v>
      </c>
      <c r="AI51" s="1">
        <v>256</v>
      </c>
      <c r="AJ51" s="46" t="s">
        <v>268</v>
      </c>
      <c r="AK51" s="1" t="s">
        <v>269</v>
      </c>
      <c r="AL51" s="1" t="s">
        <v>284</v>
      </c>
      <c r="AM51" s="1" t="s">
        <v>103</v>
      </c>
      <c r="AN51" s="1" t="s">
        <v>104</v>
      </c>
      <c r="AO51" s="1" t="s">
        <v>105</v>
      </c>
      <c r="AP51" s="1" t="s">
        <v>154</v>
      </c>
      <c r="AQ51" s="125"/>
      <c r="AU51" s="60" t="b">
        <v>0</v>
      </c>
      <c r="AV51" t="str">
        <f>_xlfn.IFNA(INDEX(tbl_handover[No. Handover],MATCH(tbl_computer[[#This Row],[No Asset]],tbl_handover[Asset Code],0)),"")</f>
        <v/>
      </c>
    </row>
    <row r="52" spans="1:48" x14ac:dyDescent="0.25">
      <c r="A52" s="43">
        <f>IF(tbl_computer[[#This Row],[No Asset]]&lt;&gt;"",SUBTOTAL(3,INDEX(tbl_computer[No Asset],1):tbl_computer[[#This Row],[No Asset]]),"")</f>
        <v>16</v>
      </c>
      <c r="B52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2601101039</v>
      </c>
      <c r="C52" s="74">
        <v>46023</v>
      </c>
      <c r="D52" t="s">
        <v>73</v>
      </c>
      <c r="E52" s="13" t="s">
        <v>74</v>
      </c>
      <c r="F52" s="46" t="s">
        <v>124</v>
      </c>
      <c r="G52" s="1" t="s">
        <v>76</v>
      </c>
      <c r="H52" s="1" t="s">
        <v>256</v>
      </c>
      <c r="I52" t="s">
        <v>257</v>
      </c>
      <c r="J52" t="s">
        <v>258</v>
      </c>
      <c r="K52" s="1" t="s">
        <v>480</v>
      </c>
      <c r="L52" s="1" t="s">
        <v>119</v>
      </c>
      <c r="M52" t="s">
        <v>260</v>
      </c>
      <c r="O52" s="46" t="s">
        <v>481</v>
      </c>
      <c r="P52" s="1" t="s">
        <v>262</v>
      </c>
      <c r="Q52" s="1" t="s">
        <v>87</v>
      </c>
      <c r="R52" s="1" t="s">
        <v>482</v>
      </c>
      <c r="S52" s="1" t="s">
        <v>87</v>
      </c>
      <c r="T52" s="1" t="s">
        <v>483</v>
      </c>
      <c r="U52" s="1" t="s">
        <v>87</v>
      </c>
      <c r="V52" s="1" t="s">
        <v>119</v>
      </c>
      <c r="W52" s="1" t="s">
        <v>264</v>
      </c>
      <c r="X52" t="s">
        <v>265</v>
      </c>
      <c r="Y52" s="1" t="s">
        <v>87</v>
      </c>
      <c r="Z52" s="13" t="s">
        <v>266</v>
      </c>
      <c r="AA52" s="1" t="s">
        <v>87</v>
      </c>
      <c r="AB52" s="1" t="s">
        <v>87</v>
      </c>
      <c r="AC52" s="1" t="s">
        <v>87</v>
      </c>
      <c r="AD52" s="1">
        <v>6</v>
      </c>
      <c r="AE52" s="1" t="s">
        <v>87</v>
      </c>
      <c r="AF52" s="13" t="s">
        <v>267</v>
      </c>
      <c r="AG52" s="1" t="s">
        <v>87</v>
      </c>
      <c r="AH52" s="1" t="s">
        <v>87</v>
      </c>
      <c r="AI52" s="1">
        <v>128</v>
      </c>
      <c r="AJ52" s="46" t="s">
        <v>268</v>
      </c>
      <c r="AK52" s="1" t="s">
        <v>269</v>
      </c>
      <c r="AL52" s="1" t="s">
        <v>270</v>
      </c>
      <c r="AM52" s="1" t="s">
        <v>103</v>
      </c>
      <c r="AN52" s="1" t="s">
        <v>104</v>
      </c>
      <c r="AO52" s="1" t="s">
        <v>105</v>
      </c>
      <c r="AP52" s="1" t="s">
        <v>154</v>
      </c>
      <c r="AQ52" s="125" t="s">
        <v>484</v>
      </c>
      <c r="AU52" s="60" t="b">
        <v>0</v>
      </c>
      <c r="AV52" t="str">
        <f>_xlfn.IFNA(INDEX(tbl_handover[No. Handover],MATCH(tbl_computer[[#This Row],[No Asset]],tbl_handover[Asset Code],0)),"")</f>
        <v/>
      </c>
    </row>
    <row r="53" spans="1:48" hidden="1" x14ac:dyDescent="0.25">
      <c r="A53" s="43">
        <f>IF(tbl_computer[[#This Row],[No Asset]]&lt;&gt;"",SUBTOTAL(3,INDEX(tbl_computer[No Asset],1):tbl_computer[[#This Row],[No Asset]]),"")</f>
        <v>16</v>
      </c>
      <c r="B53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2601101040</v>
      </c>
      <c r="C53" s="74">
        <v>46023</v>
      </c>
      <c r="D53" t="s">
        <v>73</v>
      </c>
      <c r="E53" s="13" t="s">
        <v>485</v>
      </c>
      <c r="F53" s="46" t="s">
        <v>486</v>
      </c>
      <c r="G53" s="1" t="s">
        <v>76</v>
      </c>
      <c r="H53" s="1" t="s">
        <v>125</v>
      </c>
      <c r="I53" t="s">
        <v>335</v>
      </c>
      <c r="J53" t="s">
        <v>127</v>
      </c>
      <c r="K53" s="1" t="s">
        <v>487</v>
      </c>
      <c r="L53" s="1" t="s">
        <v>189</v>
      </c>
      <c r="M53" t="s">
        <v>337</v>
      </c>
      <c r="O53" s="46"/>
      <c r="P53" s="1" t="s">
        <v>85</v>
      </c>
      <c r="V53" s="13"/>
      <c r="Y53" s="13"/>
      <c r="Z53" s="13"/>
      <c r="AA53" s="13"/>
      <c r="AB53" s="13"/>
      <c r="AD53" s="13"/>
      <c r="AE53" s="13"/>
      <c r="AF53" s="13"/>
      <c r="AG53" s="13"/>
      <c r="AH53" s="13"/>
      <c r="AJ53"/>
      <c r="AM53" s="1" t="s">
        <v>103</v>
      </c>
      <c r="AN53" s="1" t="s">
        <v>354</v>
      </c>
      <c r="AO53" s="1" t="s">
        <v>105</v>
      </c>
      <c r="AP53" s="1" t="s">
        <v>154</v>
      </c>
      <c r="AQ53" s="125" t="s">
        <v>488</v>
      </c>
      <c r="AU53" s="60" t="b">
        <v>0</v>
      </c>
      <c r="AV53" t="str">
        <f>_xlfn.IFNA(INDEX(tbl_handover[No. Handover],MATCH(tbl_computer[[#This Row],[No Asset]],tbl_handover[Asset Code],0)),"")</f>
        <v/>
      </c>
    </row>
    <row r="54" spans="1:48" hidden="1" x14ac:dyDescent="0.25">
      <c r="A54" s="43">
        <f>IF(tbl_computer[[#This Row],[No Asset]]&lt;&gt;"",SUBTOTAL(3,INDEX(tbl_computer[No Asset],1):tbl_computer[[#This Row],[No Asset]]),"")</f>
        <v>16</v>
      </c>
      <c r="B54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2601101041</v>
      </c>
      <c r="C54" s="74">
        <v>46023</v>
      </c>
      <c r="D54" t="s">
        <v>73</v>
      </c>
      <c r="E54" s="13" t="s">
        <v>485</v>
      </c>
      <c r="F54" s="46" t="s">
        <v>486</v>
      </c>
      <c r="G54" s="1" t="s">
        <v>76</v>
      </c>
      <c r="H54" s="1" t="s">
        <v>125</v>
      </c>
      <c r="I54" t="s">
        <v>345</v>
      </c>
      <c r="J54" t="s">
        <v>127</v>
      </c>
      <c r="K54" s="1" t="s">
        <v>489</v>
      </c>
      <c r="L54" s="1" t="s">
        <v>189</v>
      </c>
      <c r="M54" t="s">
        <v>347</v>
      </c>
      <c r="O54" s="46"/>
      <c r="P54" s="1" t="s">
        <v>85</v>
      </c>
      <c r="AG54" s="1"/>
      <c r="AM54" s="1" t="s">
        <v>103</v>
      </c>
      <c r="AN54" s="1" t="s">
        <v>354</v>
      </c>
      <c r="AO54" s="1" t="s">
        <v>105</v>
      </c>
      <c r="AP54" s="1" t="s">
        <v>154</v>
      </c>
      <c r="AQ54" s="125" t="s">
        <v>490</v>
      </c>
      <c r="AU54" s="60" t="b">
        <v>0</v>
      </c>
      <c r="AV54" t="str">
        <f>_xlfn.IFNA(INDEX(tbl_handover[No. Handover],MATCH(tbl_computer[[#This Row],[No Asset]],tbl_handover[Asset Code],0)),"")</f>
        <v/>
      </c>
    </row>
    <row r="55" spans="1:48" hidden="1" x14ac:dyDescent="0.25">
      <c r="A55" s="43">
        <f>IF(tbl_computer[[#This Row],[No Asset]]&lt;&gt;"",SUBTOTAL(3,INDEX(tbl_computer[No Asset],1):tbl_computer[[#This Row],[No Asset]]),"")</f>
        <v>16</v>
      </c>
      <c r="B55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2601101042</v>
      </c>
      <c r="C55" s="74">
        <v>46023</v>
      </c>
      <c r="D55" t="s">
        <v>73</v>
      </c>
      <c r="E55" s="13" t="s">
        <v>485</v>
      </c>
      <c r="F55" s="46" t="s">
        <v>486</v>
      </c>
      <c r="G55" s="1" t="s">
        <v>76</v>
      </c>
      <c r="H55" s="1" t="s">
        <v>125</v>
      </c>
      <c r="I55" t="s">
        <v>345</v>
      </c>
      <c r="J55" t="s">
        <v>127</v>
      </c>
      <c r="K55" s="1" t="s">
        <v>491</v>
      </c>
      <c r="L55" s="1" t="s">
        <v>189</v>
      </c>
      <c r="M55" t="s">
        <v>347</v>
      </c>
      <c r="O55" s="46"/>
      <c r="P55" s="1" t="s">
        <v>85</v>
      </c>
      <c r="AG55" s="1"/>
      <c r="AM55" s="1" t="s">
        <v>103</v>
      </c>
      <c r="AN55" s="1" t="s">
        <v>354</v>
      </c>
      <c r="AO55" s="1" t="s">
        <v>105</v>
      </c>
      <c r="AP55" s="1" t="s">
        <v>143</v>
      </c>
      <c r="AQ55" s="125" t="s">
        <v>492</v>
      </c>
      <c r="AU55" s="60" t="b">
        <v>0</v>
      </c>
      <c r="AV55" t="str">
        <f>_xlfn.IFNA(INDEX(tbl_handover[No. Handover],MATCH(tbl_computer[[#This Row],[No Asset]],tbl_handover[Asset Code],0)),"")</f>
        <v/>
      </c>
    </row>
    <row r="56" spans="1:48" hidden="1" x14ac:dyDescent="0.25">
      <c r="A56" s="43">
        <f>IF(tbl_computer[[#This Row],[No Asset]]&lt;&gt;"",SUBTOTAL(3,INDEX(tbl_computer[No Asset],1):tbl_computer[[#This Row],[No Asset]]),"")</f>
        <v>16</v>
      </c>
      <c r="B56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2601101043</v>
      </c>
      <c r="C56" s="74">
        <v>46023</v>
      </c>
      <c r="D56" t="s">
        <v>73</v>
      </c>
      <c r="E56" s="1" t="s">
        <v>74</v>
      </c>
      <c r="F56" s="46" t="s">
        <v>124</v>
      </c>
      <c r="G56" s="1" t="s">
        <v>76</v>
      </c>
      <c r="H56" s="1" t="s">
        <v>125</v>
      </c>
      <c r="I56" t="s">
        <v>345</v>
      </c>
      <c r="J56" t="s">
        <v>127</v>
      </c>
      <c r="K56" s="1" t="s">
        <v>491</v>
      </c>
      <c r="L56" s="1" t="s">
        <v>189</v>
      </c>
      <c r="M56" t="s">
        <v>347</v>
      </c>
      <c r="O56" s="46"/>
      <c r="P56" s="1" t="s">
        <v>85</v>
      </c>
      <c r="AG56" s="1"/>
      <c r="AM56" s="1" t="s">
        <v>103</v>
      </c>
      <c r="AN56" s="1" t="s">
        <v>354</v>
      </c>
      <c r="AO56" s="1" t="s">
        <v>105</v>
      </c>
      <c r="AP56" s="1" t="s">
        <v>154</v>
      </c>
      <c r="AQ56" s="125" t="s">
        <v>493</v>
      </c>
      <c r="AU56" s="60" t="b">
        <v>0</v>
      </c>
      <c r="AV56" t="str">
        <f>_xlfn.IFNA(INDEX(tbl_handover[No. Handover],MATCH(tbl_computer[[#This Row],[No Asset]],tbl_handover[Asset Code],0)),"")</f>
        <v/>
      </c>
    </row>
    <row r="57" spans="1:48" hidden="1" x14ac:dyDescent="0.25">
      <c r="A57" s="43">
        <f>IF(tbl_computer[[#This Row],[No Asset]]&lt;&gt;"",SUBTOTAL(3,INDEX(tbl_computer[No Asset],1):tbl_computer[[#This Row],[No Asset]]),"")</f>
        <v>16</v>
      </c>
      <c r="B57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2601101044</v>
      </c>
      <c r="C57" s="74">
        <v>46023</v>
      </c>
      <c r="D57" t="s">
        <v>73</v>
      </c>
      <c r="E57" s="1" t="s">
        <v>74</v>
      </c>
      <c r="F57" s="46" t="s">
        <v>478</v>
      </c>
      <c r="G57" s="1" t="s">
        <v>76</v>
      </c>
      <c r="H57" s="1" t="s">
        <v>125</v>
      </c>
      <c r="I57" t="s">
        <v>335</v>
      </c>
      <c r="J57" t="s">
        <v>127</v>
      </c>
      <c r="K57" s="1" t="s">
        <v>494</v>
      </c>
      <c r="L57" s="1" t="s">
        <v>189</v>
      </c>
      <c r="M57" t="s">
        <v>337</v>
      </c>
      <c r="O57" s="46"/>
      <c r="P57" s="1" t="s">
        <v>85</v>
      </c>
      <c r="AG57" s="1"/>
      <c r="AM57" s="1" t="s">
        <v>103</v>
      </c>
      <c r="AN57" s="1" t="s">
        <v>354</v>
      </c>
      <c r="AO57" s="1" t="s">
        <v>105</v>
      </c>
      <c r="AP57" s="1" t="s">
        <v>154</v>
      </c>
      <c r="AQ57" s="125" t="s">
        <v>495</v>
      </c>
      <c r="AU57" s="60" t="b">
        <v>0</v>
      </c>
      <c r="AV57" t="str">
        <f>_xlfn.IFNA(INDEX(tbl_handover[No. Handover],MATCH(tbl_computer[[#This Row],[No Asset]],tbl_handover[Asset Code],0)),"")</f>
        <v/>
      </c>
    </row>
    <row r="58" spans="1:48" hidden="1" x14ac:dyDescent="0.25">
      <c r="A58" s="43">
        <f>IF(tbl_computer[[#This Row],[No Asset]]&lt;&gt;"",SUBTOTAL(3,INDEX(tbl_computer[No Asset],1):tbl_computer[[#This Row],[No Asset]]),"")</f>
        <v>16</v>
      </c>
      <c r="B58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2601101045</v>
      </c>
      <c r="C58" s="74">
        <v>46023</v>
      </c>
      <c r="D58" t="s">
        <v>73</v>
      </c>
      <c r="E58" s="1" t="s">
        <v>74</v>
      </c>
      <c r="F58" s="46" t="s">
        <v>211</v>
      </c>
      <c r="G58" s="1" t="s">
        <v>76</v>
      </c>
      <c r="H58" s="1" t="s">
        <v>125</v>
      </c>
      <c r="I58" t="s">
        <v>345</v>
      </c>
      <c r="J58" t="s">
        <v>127</v>
      </c>
      <c r="K58" s="1" t="s">
        <v>494</v>
      </c>
      <c r="L58" s="1" t="s">
        <v>189</v>
      </c>
      <c r="M58" t="s">
        <v>347</v>
      </c>
      <c r="O58" s="46"/>
      <c r="P58" s="1" t="s">
        <v>85</v>
      </c>
      <c r="AG58" s="1"/>
      <c r="AM58" s="1" t="s">
        <v>103</v>
      </c>
      <c r="AN58" s="1" t="s">
        <v>354</v>
      </c>
      <c r="AO58" s="1" t="s">
        <v>105</v>
      </c>
      <c r="AP58" s="1" t="s">
        <v>154</v>
      </c>
      <c r="AQ58" s="125" t="s">
        <v>496</v>
      </c>
      <c r="AU58" s="60" t="b">
        <v>0</v>
      </c>
      <c r="AV58" t="str">
        <f>_xlfn.IFNA(INDEX(tbl_handover[No. Handover],MATCH(tbl_computer[[#This Row],[No Asset]],tbl_handover[Asset Code],0)),"")</f>
        <v/>
      </c>
    </row>
    <row r="59" spans="1:48" hidden="1" x14ac:dyDescent="0.25">
      <c r="A59" s="43">
        <f>IF(tbl_computer[[#This Row],[No Asset]]&lt;&gt;"",SUBTOTAL(3,INDEX(tbl_computer[No Asset],1):tbl_computer[[#This Row],[No Asset]]),"")</f>
        <v>16</v>
      </c>
      <c r="B59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2601101046</v>
      </c>
      <c r="C59" s="74">
        <v>46023</v>
      </c>
      <c r="D59" t="s">
        <v>73</v>
      </c>
      <c r="E59" s="1" t="s">
        <v>74</v>
      </c>
      <c r="F59" s="46" t="s">
        <v>203</v>
      </c>
      <c r="G59" s="1" t="s">
        <v>76</v>
      </c>
      <c r="H59" s="1" t="s">
        <v>125</v>
      </c>
      <c r="I59" s="84" t="s">
        <v>345</v>
      </c>
      <c r="J59" t="s">
        <v>127</v>
      </c>
      <c r="L59" s="1" t="s">
        <v>189</v>
      </c>
      <c r="M59" s="84" t="s">
        <v>347</v>
      </c>
      <c r="O59" s="46"/>
      <c r="P59" s="1" t="s">
        <v>85</v>
      </c>
      <c r="AG59" s="1"/>
      <c r="AM59" s="1" t="s">
        <v>103</v>
      </c>
      <c r="AN59" s="1" t="s">
        <v>354</v>
      </c>
      <c r="AO59" s="1" t="s">
        <v>105</v>
      </c>
      <c r="AP59" s="1" t="s">
        <v>154</v>
      </c>
      <c r="AQ59" s="125" t="s">
        <v>497</v>
      </c>
      <c r="AU59" s="60" t="b">
        <v>0</v>
      </c>
      <c r="AV59" t="str">
        <f>_xlfn.IFNA(INDEX(tbl_handover[No. Handover],MATCH(tbl_computer[[#This Row],[No Asset]],tbl_handover[Asset Code],0)),"")</f>
        <v/>
      </c>
    </row>
    <row r="60" spans="1:48" hidden="1" x14ac:dyDescent="0.25">
      <c r="A60" s="43" t="str">
        <f>IF(tbl_computer[[#This Row],[No Asset]]&lt;&gt;"",SUBTOTAL(3,INDEX(tbl_computer[No Asset],1):tbl_computer[[#This Row],[No Asset]]),"")</f>
        <v/>
      </c>
      <c r="B60" s="13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/>
      </c>
      <c r="O60" s="46"/>
      <c r="AG60" s="1"/>
      <c r="AQ60" s="125"/>
      <c r="AU60" s="60" t="b">
        <v>0</v>
      </c>
      <c r="AV60" t="str">
        <f>_xlfn.IFNA(INDEX(tbl_handover[No. Handover],MATCH(tbl_computer[[#This Row],[No Asset]],tbl_handover[Asset Code],0)),"")</f>
        <v/>
      </c>
    </row>
    <row r="61" spans="1:48" hidden="1" x14ac:dyDescent="0.25">
      <c r="A61" s="43" t="str">
        <f>IF(tbl_computer[[#This Row],[No Asset]]&lt;&gt;"",SUBTOTAL(3,INDEX(tbl_computer[No Asset],1):tbl_computer[[#This Row],[No Asset]]),"")</f>
        <v/>
      </c>
      <c r="B61" s="13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/>
      </c>
      <c r="O61" s="46"/>
      <c r="AG61" s="1"/>
      <c r="AQ61" s="125"/>
      <c r="AU61" s="60" t="b">
        <v>0</v>
      </c>
      <c r="AV61" t="str">
        <f>_xlfn.IFNA(INDEX(tbl_handover[No. Handover],MATCH(tbl_computer[[#This Row],[No Asset]],tbl_handover[Asset Code],0)),"")</f>
        <v/>
      </c>
    </row>
    <row r="62" spans="1:48" hidden="1" x14ac:dyDescent="0.25">
      <c r="A62" s="43" t="str">
        <f>IF(tbl_computer[[#This Row],[No Asset]]&lt;&gt;"",SUBTOTAL(3,INDEX(tbl_computer[No Asset],1):tbl_computer[[#This Row],[No Asset]]),"")</f>
        <v/>
      </c>
      <c r="B62" s="13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/>
      </c>
      <c r="O62" s="46"/>
      <c r="AG62" s="1"/>
      <c r="AQ62" s="125"/>
      <c r="AU62" s="60" t="b">
        <v>0</v>
      </c>
      <c r="AV62" s="60" t="str">
        <f>_xlfn.IFNA(INDEX(tbl_handover[No. Handover],MATCH(tbl_computer[[#This Row],[No Asset]],tbl_handover[Asset Code],0)),"")</f>
        <v/>
      </c>
    </row>
  </sheetData>
  <mergeCells count="11">
    <mergeCell ref="AR1:AT1"/>
    <mergeCell ref="E1:N1"/>
    <mergeCell ref="Y1:AD1"/>
    <mergeCell ref="AE1:AF1"/>
    <mergeCell ref="AG1:AI1"/>
    <mergeCell ref="AJ1:AL1"/>
    <mergeCell ref="C1:D1"/>
    <mergeCell ref="O1:Q1"/>
    <mergeCell ref="R1:S1"/>
    <mergeCell ref="T1:U1"/>
    <mergeCell ref="V1:X1"/>
  </mergeCells>
  <phoneticPr fontId="10" type="noConversion"/>
  <conditionalFormatting sqref="B3">
    <cfRule type="duplicateValues" dxfId="102" priority="24"/>
  </conditionalFormatting>
  <conditionalFormatting sqref="C53:D60">
    <cfRule type="containsBlanks" dxfId="101" priority="2">
      <formula>LEN(TRIM(C53))=0</formula>
    </cfRule>
  </conditionalFormatting>
  <conditionalFormatting sqref="C3:AP3 AO3:AO27 H4:AP4 C4:G27 I5:AP12 H5:H27 AH13:AP13 I13:AG17 AH14:AI17 AK14:AP18 I18:AI18 X19:Z19 V19:V21 I19:U25 AA19:AP25 X20:X21 Y20:Z25 V22:X24 V25 X25 T26:W26 Y26:AP26 I26:S27 T27:AP27 C28:E28 AK28:AP28 I29:AP33 AO29:AO34 C29:H52 I34:P34 R34:AD34 AF34:AP34 I35:O35 Q35:W35 I36:V36 X36 I40:V42 X40:AP42 I43:AI43 AK43:AP43 AO43:AO47 I44:AE44 AG44:AP44 I45:AP46 I47:V47 X47:AP47 I48:O48 Q48:W48 Y48:AP52 I49:V52 X49:X52 AK53:AL53 P53:P59 AM53:AP59 I54:I59 M54:O59 Q54:AL59">
    <cfRule type="containsBlanks" dxfId="100" priority="26">
      <formula>LEN(TRIM(C3))=0</formula>
    </cfRule>
  </conditionalFormatting>
  <conditionalFormatting sqref="E54:F60">
    <cfRule type="containsBlanks" dxfId="99" priority="1">
      <formula>LEN(TRIM(E54))=0</formula>
    </cfRule>
  </conditionalFormatting>
  <conditionalFormatting sqref="F28:Q28 S28:AI28">
    <cfRule type="containsBlanks" dxfId="98" priority="9">
      <formula>LEN(TRIM(F28))=0</formula>
    </cfRule>
  </conditionalFormatting>
  <conditionalFormatting sqref="G54:H59">
    <cfRule type="containsBlanks" dxfId="97" priority="3">
      <formula>LEN(TRIM(G54))=0</formula>
    </cfRule>
  </conditionalFormatting>
  <conditionalFormatting sqref="I51">
    <cfRule type="containsBlanks" dxfId="96" priority="17">
      <formula>LEN(TRIM(I51))=0</formula>
    </cfRule>
  </conditionalFormatting>
  <conditionalFormatting sqref="J37">
    <cfRule type="containsBlanks" dxfId="95" priority="6">
      <formula>LEN(TRIM(J37))=0</formula>
    </cfRule>
  </conditionalFormatting>
  <conditionalFormatting sqref="J51">
    <cfRule type="containsBlanks" dxfId="94" priority="15">
      <formula>LEN(TRIM(J51))=0</formula>
    </cfRule>
  </conditionalFormatting>
  <conditionalFormatting sqref="K54:K58">
    <cfRule type="containsBlanks" dxfId="93" priority="18">
      <formula>LEN(TRIM(K54))=0</formula>
    </cfRule>
  </conditionalFormatting>
  <conditionalFormatting sqref="K60 K3:K58">
    <cfRule type="duplicateValues" dxfId="92" priority="51"/>
  </conditionalFormatting>
  <conditionalFormatting sqref="L54:L59">
    <cfRule type="containsBlanks" dxfId="91" priority="4">
      <formula>LEN(TRIM(L54))=0</formula>
    </cfRule>
  </conditionalFormatting>
  <conditionalFormatting sqref="L51:M51">
    <cfRule type="containsBlanks" dxfId="90" priority="14">
      <formula>LEN(TRIM(L51))=0</formula>
    </cfRule>
  </conditionalFormatting>
  <conditionalFormatting sqref="Q2 K2">
    <cfRule type="duplicateValues" dxfId="89" priority="42"/>
  </conditionalFormatting>
  <conditionalFormatting sqref="Q34">
    <cfRule type="expression" dxfId="88" priority="21">
      <formula>$AT34="scrap"</formula>
    </cfRule>
    <cfRule type="duplicateValues" dxfId="87" priority="22"/>
    <cfRule type="expression" priority="23">
      <formula>$G34="Tablet"</formula>
    </cfRule>
  </conditionalFormatting>
  <conditionalFormatting sqref="R28">
    <cfRule type="containsBlanks" dxfId="86" priority="7">
      <formula>LEN(TRIM(R28))=0</formula>
    </cfRule>
  </conditionalFormatting>
  <conditionalFormatting sqref="R53">
    <cfRule type="containsBlanks" dxfId="85" priority="10">
      <formula>LEN(TRIM(R53))=0</formula>
    </cfRule>
  </conditionalFormatting>
  <conditionalFormatting sqref="S1:S2">
    <cfRule type="duplicateValues" dxfId="84" priority="41"/>
  </conditionalFormatting>
  <conditionalFormatting sqref="T3:U3">
    <cfRule type="expression" priority="31">
      <formula>$K3="Tablet"</formula>
    </cfRule>
    <cfRule type="expression" dxfId="83" priority="33">
      <formula>$BA3="scrap"</formula>
    </cfRule>
  </conditionalFormatting>
  <conditionalFormatting sqref="U1:U2">
    <cfRule type="duplicateValues" dxfId="82" priority="40"/>
  </conditionalFormatting>
  <conditionalFormatting sqref="U3">
    <cfRule type="duplicateValues" dxfId="81" priority="32"/>
    <cfRule type="duplicateValues" dxfId="80" priority="34"/>
  </conditionalFormatting>
  <conditionalFormatting sqref="Y35:AP37 I37 K37:W37 I38:AP39 C51:E51 E53:O53 Q53 S53:AI53 J54:J59">
    <cfRule type="containsBlanks" dxfId="79" priority="16">
      <formula>LEN(TRIM(C35))=0</formula>
    </cfRule>
  </conditionalFormatting>
  <conditionalFormatting sqref="Z62">
    <cfRule type="containsBlanks" dxfId="78" priority="13">
      <formula>LEN(TRIM(Z62))=0</formula>
    </cfRule>
  </conditionalFormatting>
  <conditionalFormatting sqref="AJ14:AJ18">
    <cfRule type="containsBlanks" dxfId="77" priority="20">
      <formula>LEN(TRIM(AJ14))=0</formula>
    </cfRule>
  </conditionalFormatting>
  <conditionalFormatting sqref="AJ28">
    <cfRule type="containsBlanks" dxfId="76" priority="8">
      <formula>LEN(TRIM(AJ28))=0</formula>
    </cfRule>
  </conditionalFormatting>
  <conditionalFormatting sqref="AJ43">
    <cfRule type="containsBlanks" dxfId="75" priority="19">
      <formula>LEN(TRIM(AJ43))=0</formula>
    </cfRule>
  </conditionalFormatting>
  <conditionalFormatting sqref="AJ53">
    <cfRule type="containsBlanks" dxfId="74" priority="12">
      <formula>LEN(TRIM(AJ53))=0</formula>
    </cfRule>
  </conditionalFormatting>
  <dataValidations count="4">
    <dataValidation type="list" allowBlank="1" showInputMessage="1" showErrorMessage="1" sqref="AF45:AF53 AF39:AF43 AF3:AF37" xr:uid="{16D0705B-E562-45B6-B234-7E63CD0A1415}">
      <formula1>"Y,N,"</formula1>
    </dataValidation>
    <dataValidation type="list" allowBlank="1" showInputMessage="1" showErrorMessage="1" sqref="AC3:AC18 AC53 AC26:AC34" xr:uid="{98FBE542-77A3-41B3-B535-4CDA2D12E1E6}">
      <formula1>"Singgle Chanel,Dual Chanel"</formula1>
    </dataValidation>
    <dataValidation type="list" allowBlank="1" showInputMessage="1" showErrorMessage="1" sqref="Z3:Z18 Z53 Z26:Z34" xr:uid="{3813FE0A-5E6B-43DD-B8AC-2600097DF5F4}">
      <formula1>"DDR4,DDR5"</formula1>
    </dataValidation>
    <dataValidation type="list" allowBlank="1" showInputMessage="1" showErrorMessage="1" sqref="Z19:Z25 Z36 Z40:Z42 Z47 Z49:Z52 Z62" xr:uid="{0937B208-4F49-4C4D-B4AF-919743822C45}">
      <formula1>"DDR4,DDR5,INTERNAL"</formula1>
    </dataValidation>
  </dataValidations>
  <pageMargins left="0.7" right="0.7" top="0.75" bottom="0.75" header="0.3" footer="0.3"/>
  <pageSetup paperSize="262" orientation="landscape" horizontalDpi="360" verticalDpi="360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EED42C62-458E-447B-A345-646FAF77EC2D}">
          <x14:formula1>
            <xm:f>CODEX!$O$3:$O$7</xm:f>
          </x14:formula1>
          <xm:sqref>AP3:AP62</xm:sqref>
        </x14:dataValidation>
        <x14:dataValidation type="list" allowBlank="1" showInputMessage="1" showErrorMessage="1" xr:uid="{A6589D4B-6F6A-4B6D-9C8E-9F871BC269E7}">
          <x14:formula1>
            <xm:f>CODEX!$H$3:$H$9</xm:f>
          </x14:formula1>
          <xm:sqref>AM3:AM62</xm:sqref>
        </x14:dataValidation>
        <x14:dataValidation type="list" allowBlank="1" showInputMessage="1" showErrorMessage="1" xr:uid="{26C7961B-FD5F-439E-BDCC-80A9BE132A58}">
          <x14:formula1>
            <xm:f>CODEX!$M$3:$M$8</xm:f>
          </x14:formula1>
          <xm:sqref>AO3:AO62</xm:sqref>
        </x14:dataValidation>
        <x14:dataValidation type="list" allowBlank="1" showInputMessage="1" showErrorMessage="1" xr:uid="{0616FD2D-04A3-40C7-BE62-1AECC6455D3E}">
          <x14:formula1>
            <xm:f>CODEX!$A$3:$A$13</xm:f>
          </x14:formula1>
          <xm:sqref>E3:E60</xm:sqref>
        </x14:dataValidation>
        <x14:dataValidation type="list" allowBlank="1" showInputMessage="1" showErrorMessage="1" xr:uid="{950433F4-ABA2-44AB-8775-F5312E2C2557}">
          <x14:formula1>
            <xm:f>CODEX!$Z$3</xm:f>
          </x14:formula1>
          <xm:sqref>G3:G60</xm:sqref>
        </x14:dataValidation>
        <x14:dataValidation type="list" allowBlank="1" showInputMessage="1" showErrorMessage="1" xr:uid="{798A9E8B-9330-4E4E-ACD5-48FDDC94A2CF}">
          <x14:formula1>
            <xm:f>CODEX!$F$3:$F$27</xm:f>
          </x14:formula1>
          <xm:sqref>F3:F62</xm:sqref>
        </x14:dataValidation>
        <x14:dataValidation type="list" allowBlank="1" showInputMessage="1" showErrorMessage="1" xr:uid="{67A1D0D8-D007-4E46-887E-16E43A12CDCA}">
          <x14:formula1>
            <xm:f>CODEX!$J$3:$J$8</xm:f>
          </x14:formula1>
          <xm:sqref>AN3:AN62</xm:sqref>
        </x14:dataValidation>
        <x14:dataValidation type="list" allowBlank="1" showInputMessage="1" showErrorMessage="1" xr:uid="{D328ECDE-4030-47A0-A415-9230F7223038}">
          <x14:formula1>
            <xm:f>CODEX!$AD$4:$AD$10</xm:f>
          </x14:formula1>
          <xm:sqref>H3:H1048576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1F607-4A1B-43DD-80C3-349498884A7E}">
  <dimension ref="A1:AD59"/>
  <sheetViews>
    <sheetView tabSelected="1" workbookViewId="0">
      <pane ySplit="2" topLeftCell="A3" activePane="bottomLeft" state="frozen"/>
      <selection activeCell="I1" sqref="I1"/>
      <selection pane="bottomLeft" activeCell="K23" sqref="K23"/>
    </sheetView>
  </sheetViews>
  <sheetFormatPr defaultRowHeight="15" x14ac:dyDescent="0.25"/>
  <cols>
    <col min="1" max="1" width="7.7109375" customWidth="1"/>
    <col min="2" max="2" width="17.28515625" style="1" bestFit="1" customWidth="1"/>
    <col min="3" max="3" width="16.7109375" style="74" bestFit="1" customWidth="1"/>
    <col min="4" max="4" width="10.5703125" bestFit="1" customWidth="1"/>
    <col min="5" max="5" width="12.140625" bestFit="1" customWidth="1"/>
    <col min="6" max="6" width="24" style="46" bestFit="1" customWidth="1"/>
    <col min="7" max="8" width="11.42578125" customWidth="1"/>
    <col min="9" max="9" width="20.140625" customWidth="1"/>
    <col min="10" max="10" width="37.28515625" customWidth="1"/>
    <col min="11" max="11" width="15" bestFit="1" customWidth="1"/>
    <col min="12" max="12" width="24.140625" style="1" bestFit="1" customWidth="1"/>
    <col min="13" max="13" width="19.140625" style="1" customWidth="1"/>
    <col min="14" max="14" width="19.7109375" style="1" bestFit="1" customWidth="1"/>
    <col min="15" max="15" width="37" customWidth="1"/>
    <col min="16" max="16" width="10.85546875" style="1" customWidth="1"/>
    <col min="17" max="21" width="7.7109375" style="1" customWidth="1"/>
    <col min="22" max="22" width="18.85546875" style="1" customWidth="1"/>
    <col min="23" max="23" width="12.85546875" style="1" customWidth="1"/>
    <col min="24" max="24" width="15.85546875" style="1" customWidth="1"/>
    <col min="25" max="25" width="31.42578125" style="1" customWidth="1"/>
    <col min="29" max="29" width="12" bestFit="1" customWidth="1"/>
    <col min="30" max="30" width="30.85546875" bestFit="1" customWidth="1"/>
  </cols>
  <sheetData>
    <row r="1" spans="1:30" ht="15" customHeight="1" x14ac:dyDescent="0.25">
      <c r="A1" s="14">
        <v>2</v>
      </c>
      <c r="B1" s="17" t="s">
        <v>13</v>
      </c>
      <c r="C1" s="209" t="s">
        <v>14</v>
      </c>
      <c r="D1" s="209"/>
      <c r="E1" s="212" t="s">
        <v>498</v>
      </c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4"/>
      <c r="Q1" s="210" t="s">
        <v>499</v>
      </c>
      <c r="R1" s="210"/>
      <c r="S1" s="210"/>
      <c r="T1" s="210"/>
      <c r="U1" s="210"/>
      <c r="Z1" s="211" t="s">
        <v>24</v>
      </c>
      <c r="AA1" s="211"/>
      <c r="AB1" s="211"/>
    </row>
    <row r="2" spans="1:30" x14ac:dyDescent="0.25">
      <c r="A2" s="54" t="s">
        <v>25</v>
      </c>
      <c r="B2" s="56" t="s">
        <v>26</v>
      </c>
      <c r="C2" s="75" t="s">
        <v>27</v>
      </c>
      <c r="D2" s="54" t="s">
        <v>28</v>
      </c>
      <c r="E2" s="54" t="s">
        <v>29</v>
      </c>
      <c r="F2" s="54" t="s">
        <v>30</v>
      </c>
      <c r="G2" s="54" t="s">
        <v>31</v>
      </c>
      <c r="H2" s="54" t="s">
        <v>32</v>
      </c>
      <c r="I2" s="54" t="s">
        <v>39</v>
      </c>
      <c r="J2" s="54" t="s">
        <v>33</v>
      </c>
      <c r="K2" s="54" t="s">
        <v>34</v>
      </c>
      <c r="L2" s="54" t="s">
        <v>500</v>
      </c>
      <c r="M2" s="54" t="s">
        <v>47</v>
      </c>
      <c r="N2" s="54" t="s">
        <v>38</v>
      </c>
      <c r="O2" s="54" t="s">
        <v>501</v>
      </c>
      <c r="P2" s="54" t="s">
        <v>502</v>
      </c>
      <c r="Q2" s="54" t="s">
        <v>503</v>
      </c>
      <c r="R2" s="54" t="s">
        <v>504</v>
      </c>
      <c r="S2" s="54" t="s">
        <v>505</v>
      </c>
      <c r="T2" s="54" t="s">
        <v>506</v>
      </c>
      <c r="U2" s="54" t="s">
        <v>507</v>
      </c>
      <c r="V2" s="55" t="s">
        <v>63</v>
      </c>
      <c r="W2" s="55" t="s">
        <v>64</v>
      </c>
      <c r="X2" s="55" t="s">
        <v>66</v>
      </c>
      <c r="Y2" s="55" t="s">
        <v>508</v>
      </c>
      <c r="Z2" s="54" t="s">
        <v>68</v>
      </c>
      <c r="AA2" s="54" t="s">
        <v>69</v>
      </c>
      <c r="AB2" s="54" t="s">
        <v>70</v>
      </c>
      <c r="AC2" s="62" t="s">
        <v>71</v>
      </c>
      <c r="AD2" s="62" t="s">
        <v>72</v>
      </c>
    </row>
    <row r="3" spans="1:30" x14ac:dyDescent="0.25">
      <c r="A3" s="43">
        <f>IF(tbl_display[[#This Row],[No Asset]]&lt;&gt;"",SUBTOTAL(3,INDEX(tbl_display[No Asset],1):tbl_display[[#This Row],[No Asset]]),"")</f>
        <v>1</v>
      </c>
      <c r="B3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>2601102001</v>
      </c>
      <c r="C3" s="74">
        <v>46023</v>
      </c>
      <c r="D3" t="s">
        <v>509</v>
      </c>
      <c r="E3" t="s">
        <v>74</v>
      </c>
      <c r="F3" s="45" t="s">
        <v>109</v>
      </c>
      <c r="G3" s="1" t="s">
        <v>23</v>
      </c>
      <c r="H3" s="1" t="s">
        <v>510</v>
      </c>
      <c r="I3" t="s">
        <v>511</v>
      </c>
      <c r="J3" t="s">
        <v>512</v>
      </c>
      <c r="K3" s="13" t="s">
        <v>513</v>
      </c>
      <c r="L3" s="1" t="s">
        <v>514</v>
      </c>
      <c r="M3" s="1" t="s">
        <v>515</v>
      </c>
      <c r="N3" s="1" t="s">
        <v>120</v>
      </c>
      <c r="O3" s="46" t="s">
        <v>100</v>
      </c>
      <c r="P3" s="1" t="s">
        <v>121</v>
      </c>
      <c r="Q3" s="1" t="s">
        <v>87</v>
      </c>
      <c r="R3" s="13">
        <v>3</v>
      </c>
      <c r="S3" s="13">
        <v>1</v>
      </c>
      <c r="T3" s="13">
        <v>1</v>
      </c>
      <c r="U3" s="13">
        <v>1</v>
      </c>
      <c r="V3" s="13" t="s">
        <v>103</v>
      </c>
      <c r="W3" s="1" t="s">
        <v>104</v>
      </c>
      <c r="X3" s="1" t="s">
        <v>106</v>
      </c>
      <c r="Y3" s="45" t="s">
        <v>516</v>
      </c>
      <c r="AC3" s="60" t="b">
        <v>1</v>
      </c>
      <c r="AD3" t="str">
        <f>_xlfn.IFNA(INDEX(tbl_handover[No. Handover],MATCH(tbl_display[[#This Row],[No Asset]],tbl_handover[Asset Code],0)),"")</f>
        <v>SR.26.09.0002/IX/2026/PGT/IT/INT</v>
      </c>
    </row>
    <row r="4" spans="1:30" x14ac:dyDescent="0.25">
      <c r="A4" s="43">
        <f>IF(tbl_display[[#This Row],[No Asset]]&lt;&gt;"",SUBTOTAL(3,INDEX(tbl_display[No Asset],1):tbl_display[[#This Row],[No Asset]]),"")</f>
        <v>2</v>
      </c>
      <c r="B4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>2601102002</v>
      </c>
      <c r="C4" s="74">
        <v>46023</v>
      </c>
      <c r="D4" t="s">
        <v>509</v>
      </c>
      <c r="E4" t="s">
        <v>74</v>
      </c>
      <c r="F4" s="45" t="s">
        <v>75</v>
      </c>
      <c r="G4" s="1" t="s">
        <v>23</v>
      </c>
      <c r="H4" s="1" t="s">
        <v>510</v>
      </c>
      <c r="I4" t="s">
        <v>517</v>
      </c>
      <c r="J4" t="s">
        <v>518</v>
      </c>
      <c r="K4" s="13" t="s">
        <v>519</v>
      </c>
      <c r="L4" s="1" t="s">
        <v>520</v>
      </c>
      <c r="M4" s="1" t="s">
        <v>521</v>
      </c>
      <c r="N4" s="1" t="s">
        <v>101</v>
      </c>
      <c r="O4" s="46" t="s">
        <v>100</v>
      </c>
      <c r="P4" s="13" t="s">
        <v>102</v>
      </c>
      <c r="Q4" s="1" t="s">
        <v>87</v>
      </c>
      <c r="R4" s="13">
        <v>3</v>
      </c>
      <c r="S4" s="13">
        <v>1</v>
      </c>
      <c r="T4" s="13">
        <v>1</v>
      </c>
      <c r="U4" s="13">
        <v>2</v>
      </c>
      <c r="V4" s="1" t="s">
        <v>103</v>
      </c>
      <c r="W4" s="1" t="s">
        <v>104</v>
      </c>
      <c r="X4" s="1" t="s">
        <v>106</v>
      </c>
      <c r="Y4" s="45" t="s">
        <v>522</v>
      </c>
      <c r="AC4" s="60" t="b">
        <v>1</v>
      </c>
      <c r="AD4" t="str">
        <f>_xlfn.IFNA(INDEX(tbl_handover[No. Handover],MATCH(tbl_display[[#This Row],[No Asset]],tbl_handover[Asset Code],0)),"")</f>
        <v>SR.26.09.0001/IX/2026/PGT/IT/INT</v>
      </c>
    </row>
    <row r="5" spans="1:30" x14ac:dyDescent="0.25">
      <c r="A5" s="43">
        <f>IF(tbl_display[[#This Row],[No Asset]]&lt;&gt;"",SUBTOTAL(3,INDEX(tbl_display[No Asset],1):tbl_display[[#This Row],[No Asset]]),"")</f>
        <v>3</v>
      </c>
      <c r="B5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>2601102003</v>
      </c>
      <c r="C5" s="74">
        <v>46023</v>
      </c>
      <c r="D5" t="s">
        <v>509</v>
      </c>
      <c r="E5" t="s">
        <v>74</v>
      </c>
      <c r="F5" s="45" t="s">
        <v>478</v>
      </c>
      <c r="G5" s="1" t="s">
        <v>23</v>
      </c>
      <c r="H5" s="1" t="s">
        <v>510</v>
      </c>
      <c r="I5" t="s">
        <v>523</v>
      </c>
      <c r="J5" t="s">
        <v>518</v>
      </c>
      <c r="K5" s="13" t="s">
        <v>519</v>
      </c>
      <c r="L5" s="1" t="s">
        <v>524</v>
      </c>
      <c r="M5" s="1" t="s">
        <v>525</v>
      </c>
      <c r="N5" s="1" t="s">
        <v>526</v>
      </c>
      <c r="O5" s="46" t="s">
        <v>527</v>
      </c>
      <c r="P5" s="13" t="s">
        <v>102</v>
      </c>
      <c r="Q5" s="1" t="s">
        <v>87</v>
      </c>
      <c r="R5" s="1">
        <v>3</v>
      </c>
      <c r="S5" s="1">
        <v>1</v>
      </c>
      <c r="T5" s="1">
        <v>1</v>
      </c>
      <c r="U5" s="1">
        <v>2</v>
      </c>
      <c r="V5" s="1" t="s">
        <v>103</v>
      </c>
      <c r="W5" s="1" t="s">
        <v>104</v>
      </c>
      <c r="X5" s="1" t="s">
        <v>106</v>
      </c>
      <c r="Y5" s="46" t="s">
        <v>528</v>
      </c>
      <c r="AC5" s="60" t="b">
        <v>1</v>
      </c>
      <c r="AD5" t="str">
        <f>_xlfn.IFNA(INDEX(tbl_handover[No. Handover],MATCH(tbl_display[[#This Row],[No Asset]],tbl_handover[Asset Code],0)),"")</f>
        <v/>
      </c>
    </row>
    <row r="6" spans="1:30" x14ac:dyDescent="0.25">
      <c r="A6" s="43">
        <f>IF(tbl_display[[#This Row],[No Asset]]&lt;&gt;"",SUBTOTAL(3,INDEX(tbl_display[No Asset],1):tbl_display[[#This Row],[No Asset]]),"")</f>
        <v>4</v>
      </c>
      <c r="B6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>2601102004</v>
      </c>
      <c r="C6" s="74">
        <v>46023</v>
      </c>
      <c r="D6" t="s">
        <v>509</v>
      </c>
      <c r="E6" t="s">
        <v>74</v>
      </c>
      <c r="F6" s="45" t="s">
        <v>203</v>
      </c>
      <c r="G6" s="1" t="s">
        <v>23</v>
      </c>
      <c r="H6" s="1" t="s">
        <v>510</v>
      </c>
      <c r="I6" t="s">
        <v>529</v>
      </c>
      <c r="J6" t="s">
        <v>512</v>
      </c>
      <c r="K6" s="13" t="s">
        <v>513</v>
      </c>
      <c r="L6" s="1" t="s">
        <v>530</v>
      </c>
      <c r="M6" s="1" t="s">
        <v>515</v>
      </c>
      <c r="N6" s="1" t="s">
        <v>120</v>
      </c>
      <c r="O6" s="46" t="s">
        <v>100</v>
      </c>
      <c r="P6" s="1" t="s">
        <v>121</v>
      </c>
      <c r="Q6" s="1" t="s">
        <v>87</v>
      </c>
      <c r="R6" s="13">
        <v>3</v>
      </c>
      <c r="S6" s="13">
        <v>1</v>
      </c>
      <c r="T6" s="13">
        <v>1</v>
      </c>
      <c r="U6" s="1">
        <v>1</v>
      </c>
      <c r="V6" s="1" t="s">
        <v>103</v>
      </c>
      <c r="W6" s="1" t="s">
        <v>104</v>
      </c>
      <c r="X6" s="1" t="s">
        <v>106</v>
      </c>
      <c r="Y6" s="46" t="s">
        <v>531</v>
      </c>
      <c r="AC6" s="60" t="b">
        <v>1</v>
      </c>
      <c r="AD6" t="str">
        <f>_xlfn.IFNA(INDEX(tbl_handover[No. Handover],MATCH(tbl_display[[#This Row],[No Asset]],tbl_handover[Asset Code],0)),"")</f>
        <v>SR.26.09.0004/IX/2026/PGT/IT/INT</v>
      </c>
    </row>
    <row r="7" spans="1:30" x14ac:dyDescent="0.25">
      <c r="A7" s="43">
        <f>IF(tbl_display[[#This Row],[No Asset]]&lt;&gt;"",SUBTOTAL(3,INDEX(tbl_display[No Asset],1):tbl_display[[#This Row],[No Asset]]),"")</f>
        <v>5</v>
      </c>
      <c r="B7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>2609102001</v>
      </c>
      <c r="C7" s="74">
        <v>46268</v>
      </c>
      <c r="D7" t="s">
        <v>532</v>
      </c>
      <c r="E7" t="s">
        <v>74</v>
      </c>
      <c r="F7" s="45" t="s">
        <v>170</v>
      </c>
      <c r="G7" s="1" t="s">
        <v>23</v>
      </c>
      <c r="H7" s="1" t="s">
        <v>533</v>
      </c>
      <c r="I7" t="s">
        <v>172</v>
      </c>
      <c r="J7" t="s">
        <v>534</v>
      </c>
      <c r="K7" s="13" t="s">
        <v>535</v>
      </c>
      <c r="L7" s="1" t="s">
        <v>536</v>
      </c>
      <c r="M7" s="1" t="s">
        <v>537</v>
      </c>
      <c r="N7" s="1" t="s">
        <v>152</v>
      </c>
      <c r="O7" s="46" t="s">
        <v>151</v>
      </c>
      <c r="P7" s="1" t="s">
        <v>153</v>
      </c>
      <c r="Q7" s="1" t="s">
        <v>87</v>
      </c>
      <c r="R7" s="1">
        <v>2</v>
      </c>
      <c r="S7" s="1" t="s">
        <v>87</v>
      </c>
      <c r="T7" s="1" t="s">
        <v>87</v>
      </c>
      <c r="U7" s="1" t="s">
        <v>87</v>
      </c>
      <c r="V7" s="1" t="s">
        <v>122</v>
      </c>
      <c r="W7" s="1" t="s">
        <v>104</v>
      </c>
      <c r="X7" s="1" t="s">
        <v>154</v>
      </c>
      <c r="Y7" s="46" t="s">
        <v>538</v>
      </c>
      <c r="AC7" s="60" t="b">
        <v>1</v>
      </c>
      <c r="AD7" t="str">
        <f>_xlfn.IFNA(INDEX(tbl_handover[No. Handover],MATCH(tbl_display[[#This Row],[No Asset]],tbl_handover[Asset Code],0)),"")</f>
        <v/>
      </c>
    </row>
    <row r="8" spans="1:30" x14ac:dyDescent="0.25">
      <c r="A8" s="43">
        <f>IF(tbl_display[[#This Row],[No Asset]]&lt;&gt;"",SUBTOTAL(3,INDEX(tbl_display[No Asset],1):tbl_display[[#This Row],[No Asset]]),"")</f>
        <v>6</v>
      </c>
      <c r="B8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>2609102002</v>
      </c>
      <c r="C8" s="74">
        <v>46268</v>
      </c>
      <c r="D8" t="s">
        <v>532</v>
      </c>
      <c r="E8" t="s">
        <v>74</v>
      </c>
      <c r="F8" s="45" t="s">
        <v>197</v>
      </c>
      <c r="G8" s="1" t="s">
        <v>23</v>
      </c>
      <c r="H8" s="1" t="s">
        <v>533</v>
      </c>
      <c r="I8" t="s">
        <v>146</v>
      </c>
      <c r="J8" t="s">
        <v>534</v>
      </c>
      <c r="K8" s="13" t="s">
        <v>535</v>
      </c>
      <c r="L8" s="1" t="s">
        <v>539</v>
      </c>
      <c r="M8" s="1" t="s">
        <v>537</v>
      </c>
      <c r="N8" s="1" t="s">
        <v>152</v>
      </c>
      <c r="O8" s="46" t="s">
        <v>151</v>
      </c>
      <c r="P8" s="1" t="s">
        <v>153</v>
      </c>
      <c r="Q8" s="1" t="s">
        <v>87</v>
      </c>
      <c r="R8" s="1">
        <v>2</v>
      </c>
      <c r="S8" s="1" t="s">
        <v>87</v>
      </c>
      <c r="T8" s="1" t="s">
        <v>87</v>
      </c>
      <c r="U8" s="1" t="s">
        <v>87</v>
      </c>
      <c r="V8" s="1" t="s">
        <v>122</v>
      </c>
      <c r="W8" s="1" t="s">
        <v>104</v>
      </c>
      <c r="X8" s="1" t="s">
        <v>154</v>
      </c>
      <c r="Y8" s="46" t="s">
        <v>540</v>
      </c>
      <c r="AC8" s="60" t="b">
        <v>1</v>
      </c>
      <c r="AD8" t="str">
        <f>_xlfn.IFNA(INDEX(tbl_handover[No. Handover],MATCH(tbl_display[[#This Row],[No Asset]],tbl_handover[Asset Code],0)),"")</f>
        <v>SR.26.09.0005/IX/2026/PGT/IT/INT</v>
      </c>
    </row>
    <row r="9" spans="1:30" x14ac:dyDescent="0.25">
      <c r="A9" s="43">
        <f>IF(tbl_display[[#This Row],[No Asset]]&lt;&gt;"",SUBTOTAL(3,INDEX(tbl_display[No Asset],1):tbl_display[[#This Row],[No Asset]]),"")</f>
        <v>7</v>
      </c>
      <c r="B9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>2609102003</v>
      </c>
      <c r="C9" s="74">
        <v>46268</v>
      </c>
      <c r="D9" t="s">
        <v>532</v>
      </c>
      <c r="E9" t="s">
        <v>74</v>
      </c>
      <c r="F9" s="45" t="s">
        <v>124</v>
      </c>
      <c r="G9" s="1" t="s">
        <v>23</v>
      </c>
      <c r="H9" s="1" t="s">
        <v>533</v>
      </c>
      <c r="I9" t="s">
        <v>157</v>
      </c>
      <c r="J9" t="s">
        <v>534</v>
      </c>
      <c r="K9" s="13" t="s">
        <v>535</v>
      </c>
      <c r="L9" s="1" t="s">
        <v>541</v>
      </c>
      <c r="M9" s="1" t="s">
        <v>537</v>
      </c>
      <c r="N9" s="1" t="s">
        <v>152</v>
      </c>
      <c r="O9" s="46" t="s">
        <v>151</v>
      </c>
      <c r="P9" s="1" t="s">
        <v>153</v>
      </c>
      <c r="Q9" s="1" t="s">
        <v>87</v>
      </c>
      <c r="R9" s="1">
        <v>2</v>
      </c>
      <c r="S9" s="1" t="s">
        <v>87</v>
      </c>
      <c r="T9" s="1" t="s">
        <v>87</v>
      </c>
      <c r="U9" s="1" t="s">
        <v>87</v>
      </c>
      <c r="V9" s="1" t="s">
        <v>122</v>
      </c>
      <c r="W9" s="1" t="s">
        <v>104</v>
      </c>
      <c r="X9" s="1" t="s">
        <v>143</v>
      </c>
      <c r="Y9" s="46" t="s">
        <v>542</v>
      </c>
      <c r="AC9" s="60" t="b">
        <v>1</v>
      </c>
      <c r="AD9" t="str">
        <f>_xlfn.IFNA(INDEX(tbl_handover[No. Handover],MATCH(tbl_display[[#This Row],[No Asset]],tbl_handover[Asset Code],0)),"")</f>
        <v/>
      </c>
    </row>
    <row r="10" spans="1:30" x14ac:dyDescent="0.25">
      <c r="A10" s="43">
        <f>IF(tbl_display[[#This Row],[No Asset]]&lt;&gt;"",SUBTOTAL(3,INDEX(tbl_display[No Asset],1):tbl_display[[#This Row],[No Asset]]),"")</f>
        <v>8</v>
      </c>
      <c r="B10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>2609102004</v>
      </c>
      <c r="C10" s="74">
        <v>46268</v>
      </c>
      <c r="D10" t="s">
        <v>532</v>
      </c>
      <c r="E10" t="s">
        <v>74</v>
      </c>
      <c r="F10" s="45" t="s">
        <v>124</v>
      </c>
      <c r="G10" s="1" t="s">
        <v>23</v>
      </c>
      <c r="H10" s="1" t="s">
        <v>533</v>
      </c>
      <c r="I10" t="s">
        <v>164</v>
      </c>
      <c r="J10" t="s">
        <v>534</v>
      </c>
      <c r="K10" s="13" t="s">
        <v>535</v>
      </c>
      <c r="L10" s="1" t="s">
        <v>543</v>
      </c>
      <c r="M10" s="1" t="s">
        <v>537</v>
      </c>
      <c r="N10" s="1" t="s">
        <v>152</v>
      </c>
      <c r="O10" s="46" t="s">
        <v>151</v>
      </c>
      <c r="P10" s="1" t="s">
        <v>153</v>
      </c>
      <c r="Q10" s="1" t="s">
        <v>87</v>
      </c>
      <c r="R10" s="1">
        <v>2</v>
      </c>
      <c r="S10" s="1" t="s">
        <v>87</v>
      </c>
      <c r="T10" s="1" t="s">
        <v>87</v>
      </c>
      <c r="U10" s="1" t="s">
        <v>87</v>
      </c>
      <c r="V10" s="1" t="s">
        <v>122</v>
      </c>
      <c r="W10" s="1" t="s">
        <v>104</v>
      </c>
      <c r="X10" s="1" t="s">
        <v>143</v>
      </c>
      <c r="Y10" s="46" t="s">
        <v>544</v>
      </c>
      <c r="AC10" s="60" t="b">
        <v>1</v>
      </c>
      <c r="AD10" t="str">
        <f>_xlfn.IFNA(INDEX(tbl_handover[No. Handover],MATCH(tbl_display[[#This Row],[No Asset]],tbl_handover[Asset Code],0)),"")</f>
        <v/>
      </c>
    </row>
    <row r="11" spans="1:30" x14ac:dyDescent="0.25">
      <c r="A11" s="43">
        <f>IF(tbl_display[[#This Row],[No Asset]]&lt;&gt;"",SUBTOTAL(3,INDEX(tbl_display[No Asset],1):tbl_display[[#This Row],[No Asset]]),"")</f>
        <v>9</v>
      </c>
      <c r="B11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>2609102005</v>
      </c>
      <c r="C11" s="74">
        <v>46268</v>
      </c>
      <c r="D11" t="s">
        <v>532</v>
      </c>
      <c r="E11" t="s">
        <v>74</v>
      </c>
      <c r="F11" s="45" t="s">
        <v>124</v>
      </c>
      <c r="G11" s="1" t="s">
        <v>23</v>
      </c>
      <c r="H11" s="1" t="s">
        <v>510</v>
      </c>
      <c r="I11" t="s">
        <v>545</v>
      </c>
      <c r="J11" t="s">
        <v>546</v>
      </c>
      <c r="K11" s="13" t="s">
        <v>547</v>
      </c>
      <c r="L11" s="1" t="s">
        <v>548</v>
      </c>
      <c r="M11" s="1" t="s">
        <v>549</v>
      </c>
      <c r="N11" s="1" t="s">
        <v>550</v>
      </c>
      <c r="O11" s="49" t="s">
        <v>100</v>
      </c>
      <c r="P11" s="1" t="s">
        <v>551</v>
      </c>
      <c r="Q11" s="1" t="s">
        <v>87</v>
      </c>
      <c r="R11" s="13">
        <v>3</v>
      </c>
      <c r="S11" s="13">
        <v>1</v>
      </c>
      <c r="T11" s="13">
        <v>1</v>
      </c>
      <c r="U11" s="13">
        <v>1</v>
      </c>
      <c r="V11" s="1" t="s">
        <v>122</v>
      </c>
      <c r="W11" s="1" t="s">
        <v>104</v>
      </c>
      <c r="X11" s="1" t="s">
        <v>106</v>
      </c>
      <c r="AC11" s="60" t="b">
        <v>1</v>
      </c>
      <c r="AD11" t="str">
        <f>_xlfn.IFNA(INDEX(tbl_handover[No. Handover],MATCH(tbl_display[[#This Row],[No Asset]],tbl_handover[Asset Code],0)),"")</f>
        <v>SR.26.09.0003/IX/2026/PGT/IT/INT</v>
      </c>
    </row>
    <row r="12" spans="1:30" x14ac:dyDescent="0.25">
      <c r="A12" s="43">
        <f>IF(tbl_display[[#This Row],[No Asset]]&lt;&gt;"",SUBTOTAL(3,INDEX(tbl_display[No Asset],1):tbl_display[[#This Row],[No Asset]]),"")</f>
        <v>10</v>
      </c>
      <c r="B12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>2601102005</v>
      </c>
      <c r="C12" s="74">
        <v>46023</v>
      </c>
      <c r="D12" t="s">
        <v>509</v>
      </c>
      <c r="E12" t="s">
        <v>74</v>
      </c>
      <c r="F12" s="45" t="s">
        <v>211</v>
      </c>
      <c r="G12" s="1" t="s">
        <v>23</v>
      </c>
      <c r="H12" s="1" t="s">
        <v>533</v>
      </c>
      <c r="I12" t="s">
        <v>213</v>
      </c>
      <c r="J12" t="s">
        <v>552</v>
      </c>
      <c r="K12" s="13" t="s">
        <v>553</v>
      </c>
      <c r="L12" s="1" t="s">
        <v>554</v>
      </c>
      <c r="M12" s="1" t="s">
        <v>555</v>
      </c>
      <c r="N12" s="1" t="s">
        <v>556</v>
      </c>
      <c r="O12" t="s">
        <v>557</v>
      </c>
      <c r="P12" s="1" t="s">
        <v>221</v>
      </c>
      <c r="Q12" s="1">
        <v>1</v>
      </c>
      <c r="R12" s="1">
        <v>1</v>
      </c>
      <c r="S12" s="1" t="s">
        <v>87</v>
      </c>
      <c r="T12" s="1" t="s">
        <v>87</v>
      </c>
      <c r="U12" s="1">
        <v>1</v>
      </c>
      <c r="V12" s="1" t="s">
        <v>103</v>
      </c>
      <c r="W12" s="1" t="s">
        <v>104</v>
      </c>
      <c r="X12" s="1" t="s">
        <v>154</v>
      </c>
      <c r="AC12" s="60" t="b">
        <v>0</v>
      </c>
      <c r="AD12" t="str">
        <f>_xlfn.IFNA(INDEX(tbl_handover[No. Handover],MATCH(tbl_display[[#This Row],[No Asset]],tbl_handover[Asset Code],0)),"")</f>
        <v/>
      </c>
    </row>
    <row r="13" spans="1:30" x14ac:dyDescent="0.25">
      <c r="A13" s="43">
        <f>IF(tbl_display[[#This Row],[No Asset]]&lt;&gt;"",SUBTOTAL(3,INDEX(tbl_display[No Asset],1):tbl_display[[#This Row],[No Asset]]),"")</f>
        <v>11</v>
      </c>
      <c r="B13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>2601102006</v>
      </c>
      <c r="C13" s="74">
        <v>46023</v>
      </c>
      <c r="D13" t="s">
        <v>509</v>
      </c>
      <c r="E13" t="s">
        <v>74</v>
      </c>
      <c r="F13" s="45" t="s">
        <v>371</v>
      </c>
      <c r="G13" s="1" t="s">
        <v>23</v>
      </c>
      <c r="H13" s="1" t="s">
        <v>533</v>
      </c>
      <c r="I13" s="46" t="s">
        <v>374</v>
      </c>
      <c r="J13" t="s">
        <v>558</v>
      </c>
      <c r="K13" s="13" t="s">
        <v>535</v>
      </c>
      <c r="P13" s="1" t="s">
        <v>153</v>
      </c>
      <c r="Q13" s="1">
        <v>1</v>
      </c>
      <c r="R13" s="1">
        <v>1</v>
      </c>
      <c r="S13" s="1" t="s">
        <v>87</v>
      </c>
      <c r="T13" s="1" t="s">
        <v>87</v>
      </c>
      <c r="U13" s="1" t="s">
        <v>87</v>
      </c>
      <c r="V13" s="1" t="s">
        <v>103</v>
      </c>
      <c r="W13" s="1" t="s">
        <v>104</v>
      </c>
      <c r="X13" s="1" t="s">
        <v>154</v>
      </c>
      <c r="AC13" s="60" t="b">
        <v>1</v>
      </c>
      <c r="AD13" t="str">
        <f>_xlfn.IFNA(INDEX(tbl_handover[No. Handover],MATCH(tbl_display[[#This Row],[No Asset]],tbl_handover[Asset Code],0)),"")</f>
        <v/>
      </c>
    </row>
    <row r="14" spans="1:30" x14ac:dyDescent="0.25">
      <c r="A14" s="43">
        <f>IF(tbl_display[[#This Row],[No Asset]]&lt;&gt;"",SUBTOTAL(3,INDEX(tbl_display[No Asset],1):tbl_display[[#This Row],[No Asset]]),"")</f>
        <v>12</v>
      </c>
      <c r="B14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>2601102007</v>
      </c>
      <c r="C14" s="74">
        <v>46023</v>
      </c>
      <c r="D14" t="s">
        <v>509</v>
      </c>
      <c r="E14" t="s">
        <v>74</v>
      </c>
      <c r="F14" s="45" t="s">
        <v>178</v>
      </c>
      <c r="G14" s="1" t="s">
        <v>23</v>
      </c>
      <c r="H14" s="1" t="s">
        <v>533</v>
      </c>
      <c r="I14" t="s">
        <v>559</v>
      </c>
      <c r="J14" t="s">
        <v>560</v>
      </c>
      <c r="K14" s="13" t="s">
        <v>535</v>
      </c>
      <c r="M14" s="1" t="s">
        <v>561</v>
      </c>
      <c r="N14" s="1" t="s">
        <v>562</v>
      </c>
      <c r="O14" t="s">
        <v>563</v>
      </c>
      <c r="P14" s="1" t="s">
        <v>153</v>
      </c>
      <c r="Q14" s="1">
        <v>1</v>
      </c>
      <c r="R14" s="1">
        <v>1</v>
      </c>
      <c r="S14" s="1" t="s">
        <v>87</v>
      </c>
      <c r="T14" s="1" t="s">
        <v>87</v>
      </c>
      <c r="U14" s="1" t="s">
        <v>87</v>
      </c>
      <c r="V14" s="1" t="s">
        <v>103</v>
      </c>
      <c r="W14" s="1" t="s">
        <v>104</v>
      </c>
      <c r="X14" s="1" t="s">
        <v>154</v>
      </c>
      <c r="AC14" s="60" t="b">
        <v>0</v>
      </c>
      <c r="AD14" t="str">
        <f>_xlfn.IFNA(INDEX(tbl_handover[No. Handover],MATCH(tbl_display[[#This Row],[No Asset]],tbl_handover[Asset Code],0)),"")</f>
        <v/>
      </c>
    </row>
    <row r="15" spans="1:30" x14ac:dyDescent="0.25">
      <c r="A15" s="43">
        <f>IF(tbl_display[[#This Row],[No Asset]]&lt;&gt;"",SUBTOTAL(3,INDEX(tbl_display[No Asset],1):tbl_display[[#This Row],[No Asset]]),"")</f>
        <v>13</v>
      </c>
      <c r="B15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>2601102008</v>
      </c>
      <c r="C15" s="74">
        <v>46023</v>
      </c>
      <c r="D15" t="s">
        <v>509</v>
      </c>
      <c r="E15" t="s">
        <v>74</v>
      </c>
      <c r="F15" s="45" t="s">
        <v>203</v>
      </c>
      <c r="G15" s="1" t="s">
        <v>23</v>
      </c>
      <c r="H15" s="1" t="s">
        <v>533</v>
      </c>
      <c r="I15" t="s">
        <v>207</v>
      </c>
      <c r="J15" t="s">
        <v>560</v>
      </c>
      <c r="K15" s="13" t="s">
        <v>535</v>
      </c>
      <c r="M15" s="1" t="s">
        <v>561</v>
      </c>
      <c r="N15" s="1" t="s">
        <v>562</v>
      </c>
      <c r="O15" t="s">
        <v>563</v>
      </c>
      <c r="P15" s="1" t="s">
        <v>153</v>
      </c>
      <c r="Q15" s="1">
        <v>1</v>
      </c>
      <c r="R15" s="1">
        <v>1</v>
      </c>
      <c r="S15" s="1" t="s">
        <v>87</v>
      </c>
      <c r="T15" s="1" t="s">
        <v>87</v>
      </c>
      <c r="U15" s="1" t="s">
        <v>87</v>
      </c>
      <c r="V15" s="1" t="s">
        <v>103</v>
      </c>
      <c r="W15" s="1" t="s">
        <v>104</v>
      </c>
      <c r="X15" s="1" t="s">
        <v>154</v>
      </c>
      <c r="AC15" s="60" t="b">
        <v>1</v>
      </c>
      <c r="AD15" t="str">
        <f>_xlfn.IFNA(INDEX(tbl_handover[No. Handover],MATCH(tbl_display[[#This Row],[No Asset]],tbl_handover[Asset Code],0)),"")</f>
        <v>SR.26.09.0011/IX/2026/PGT/IT/INT</v>
      </c>
    </row>
    <row r="16" spans="1:30" x14ac:dyDescent="0.25">
      <c r="A16" s="43">
        <f>IF(tbl_display[[#This Row],[No Asset]]&lt;&gt;"",SUBTOTAL(3,INDEX(tbl_display[No Asset],1):tbl_display[[#This Row],[No Asset]]),"")</f>
        <v>14</v>
      </c>
      <c r="B16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>2601102009</v>
      </c>
      <c r="C16" s="74">
        <v>46023</v>
      </c>
      <c r="D16" t="s">
        <v>509</v>
      </c>
      <c r="E16" t="s">
        <v>74</v>
      </c>
      <c r="F16" s="45" t="s">
        <v>124</v>
      </c>
      <c r="G16" s="1" t="s">
        <v>23</v>
      </c>
      <c r="H16" s="1" t="s">
        <v>533</v>
      </c>
      <c r="I16" t="s">
        <v>564</v>
      </c>
      <c r="J16" t="s">
        <v>565</v>
      </c>
      <c r="K16" s="13" t="s">
        <v>535</v>
      </c>
      <c r="L16" s="1" t="s">
        <v>566</v>
      </c>
      <c r="M16" s="1" t="s">
        <v>567</v>
      </c>
      <c r="N16" s="1" t="s">
        <v>568</v>
      </c>
      <c r="O16" t="s">
        <v>569</v>
      </c>
      <c r="P16" s="1" t="s">
        <v>153</v>
      </c>
      <c r="Q16" s="1">
        <v>1</v>
      </c>
      <c r="R16" s="1">
        <v>1</v>
      </c>
      <c r="S16" s="1" t="s">
        <v>87</v>
      </c>
      <c r="T16" s="1" t="s">
        <v>87</v>
      </c>
      <c r="U16" s="1" t="s">
        <v>87</v>
      </c>
      <c r="V16" s="1" t="s">
        <v>103</v>
      </c>
      <c r="W16" s="1" t="s">
        <v>104</v>
      </c>
      <c r="X16" s="1" t="s">
        <v>154</v>
      </c>
      <c r="Y16" s="1" t="s">
        <v>570</v>
      </c>
      <c r="AC16" s="60" t="b">
        <v>1</v>
      </c>
      <c r="AD16" t="str">
        <f>_xlfn.IFNA(INDEX(tbl_handover[No. Handover],MATCH(tbl_display[[#This Row],[No Asset]],tbl_handover[Asset Code],0)),"")</f>
        <v/>
      </c>
    </row>
    <row r="17" spans="1:30" x14ac:dyDescent="0.25">
      <c r="A17" s="43">
        <f>IF(tbl_display[[#This Row],[No Asset]]&lt;&gt;"",SUBTOTAL(3,INDEX(tbl_display[No Asset],1):tbl_display[[#This Row],[No Asset]]),"")</f>
        <v>15</v>
      </c>
      <c r="B17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>2609102006</v>
      </c>
      <c r="C17" s="74">
        <v>46268</v>
      </c>
      <c r="D17" t="s">
        <v>532</v>
      </c>
      <c r="E17" t="s">
        <v>74</v>
      </c>
      <c r="F17" s="45" t="s">
        <v>211</v>
      </c>
      <c r="G17" s="1" t="s">
        <v>23</v>
      </c>
      <c r="H17" s="1" t="s">
        <v>510</v>
      </c>
      <c r="I17" t="s">
        <v>571</v>
      </c>
      <c r="J17" t="s">
        <v>546</v>
      </c>
      <c r="K17" s="13" t="s">
        <v>547</v>
      </c>
      <c r="L17" s="1" t="s">
        <v>572</v>
      </c>
      <c r="M17" s="1" t="s">
        <v>549</v>
      </c>
      <c r="N17" s="1" t="s">
        <v>550</v>
      </c>
      <c r="O17" s="49" t="s">
        <v>100</v>
      </c>
      <c r="P17" s="1" t="s">
        <v>551</v>
      </c>
      <c r="Q17" s="1" t="s">
        <v>87</v>
      </c>
      <c r="R17" s="13">
        <v>3</v>
      </c>
      <c r="S17" s="13">
        <v>1</v>
      </c>
      <c r="T17" s="13">
        <v>1</v>
      </c>
      <c r="U17" s="13">
        <v>1</v>
      </c>
      <c r="V17" s="1" t="s">
        <v>122</v>
      </c>
      <c r="W17" s="1" t="s">
        <v>104</v>
      </c>
      <c r="X17" s="1" t="s">
        <v>106</v>
      </c>
      <c r="AC17" s="60" t="b">
        <v>1</v>
      </c>
      <c r="AD17" t="str">
        <f>_xlfn.IFNA(INDEX(tbl_handover[No. Handover],MATCH(tbl_display[[#This Row],[No Asset]],tbl_handover[Asset Code],0)),"")</f>
        <v/>
      </c>
    </row>
    <row r="18" spans="1:30" x14ac:dyDescent="0.25">
      <c r="A18" s="43">
        <f>IF(tbl_display[[#This Row],[No Asset]]&lt;&gt;"",SUBTOTAL(3,INDEX(tbl_display[No Asset],1):tbl_display[[#This Row],[No Asset]]),"")</f>
        <v>16</v>
      </c>
      <c r="B18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>2601102010</v>
      </c>
      <c r="C18" s="74">
        <v>46023</v>
      </c>
      <c r="D18" t="s">
        <v>509</v>
      </c>
      <c r="E18" t="s">
        <v>74</v>
      </c>
      <c r="F18" s="45" t="s">
        <v>232</v>
      </c>
      <c r="G18" s="1" t="s">
        <v>23</v>
      </c>
      <c r="H18" s="1" t="s">
        <v>533</v>
      </c>
      <c r="I18" t="s">
        <v>573</v>
      </c>
      <c r="J18" t="s">
        <v>219</v>
      </c>
      <c r="K18" t="s">
        <v>574</v>
      </c>
      <c r="L18" s="1" t="s">
        <v>575</v>
      </c>
      <c r="M18" s="1" t="s">
        <v>555</v>
      </c>
      <c r="N18" s="1" t="s">
        <v>556</v>
      </c>
      <c r="O18" t="s">
        <v>557</v>
      </c>
      <c r="P18" s="1" t="s">
        <v>221</v>
      </c>
      <c r="Q18" s="1">
        <v>1</v>
      </c>
      <c r="R18" s="1">
        <v>1</v>
      </c>
      <c r="S18" s="1" t="s">
        <v>87</v>
      </c>
      <c r="T18" s="1" t="s">
        <v>87</v>
      </c>
      <c r="U18" s="1">
        <v>1</v>
      </c>
      <c r="V18" s="1" t="s">
        <v>103</v>
      </c>
      <c r="W18" s="1" t="s">
        <v>104</v>
      </c>
      <c r="X18" s="1" t="s">
        <v>154</v>
      </c>
      <c r="Y18" s="1" t="s">
        <v>441</v>
      </c>
      <c r="AC18" s="60" t="b">
        <v>1</v>
      </c>
      <c r="AD18" t="str">
        <f>_xlfn.IFNA(INDEX(tbl_handover[No. Handover],MATCH(tbl_display[[#This Row],[No Asset]],tbl_handover[Asset Code],0)),"")</f>
        <v>SR.26.09.0015/IX/2026/PGT/IT/INT</v>
      </c>
    </row>
    <row r="19" spans="1:30" x14ac:dyDescent="0.25">
      <c r="A19" s="43">
        <f>IF(tbl_display[[#This Row],[No Asset]]&lt;&gt;"",SUBTOTAL(3,INDEX(tbl_display[No Asset],1):tbl_display[[#This Row],[No Asset]]),"")</f>
        <v>17</v>
      </c>
      <c r="B19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>2601102011</v>
      </c>
      <c r="C19" s="74">
        <v>46023</v>
      </c>
      <c r="D19" t="s">
        <v>509</v>
      </c>
      <c r="E19" t="s">
        <v>74</v>
      </c>
      <c r="F19" s="45" t="s">
        <v>232</v>
      </c>
      <c r="G19" s="1" t="s">
        <v>23</v>
      </c>
      <c r="H19" s="1" t="s">
        <v>533</v>
      </c>
      <c r="I19" s="46" t="s">
        <v>576</v>
      </c>
      <c r="J19" t="s">
        <v>219</v>
      </c>
      <c r="K19" t="s">
        <v>574</v>
      </c>
      <c r="L19" s="1" t="s">
        <v>577</v>
      </c>
      <c r="M19" s="1" t="s">
        <v>555</v>
      </c>
      <c r="N19" s="1" t="s">
        <v>556</v>
      </c>
      <c r="O19" t="s">
        <v>557</v>
      </c>
      <c r="P19" s="1" t="s">
        <v>221</v>
      </c>
      <c r="Q19" s="1">
        <v>1</v>
      </c>
      <c r="R19" s="1">
        <v>1</v>
      </c>
      <c r="S19" s="1" t="s">
        <v>87</v>
      </c>
      <c r="T19" s="1" t="s">
        <v>87</v>
      </c>
      <c r="U19" s="1">
        <v>1</v>
      </c>
      <c r="V19" s="1" t="s">
        <v>103</v>
      </c>
      <c r="W19" s="1" t="s">
        <v>104</v>
      </c>
      <c r="X19" s="1" t="s">
        <v>154</v>
      </c>
      <c r="Y19" s="1" t="s">
        <v>578</v>
      </c>
      <c r="AC19" s="60" t="b">
        <v>0</v>
      </c>
      <c r="AD19" t="str">
        <f>_xlfn.IFNA(INDEX(tbl_handover[No. Handover],MATCH(tbl_display[[#This Row],[No Asset]],tbl_handover[Asset Code],0)),"")</f>
        <v/>
      </c>
    </row>
    <row r="20" spans="1:30" x14ac:dyDescent="0.25">
      <c r="A20" s="43">
        <f>IF(tbl_display[[#This Row],[No Asset]]&lt;&gt;"",SUBTOTAL(3,INDEX(tbl_display[No Asset],1):tbl_display[[#This Row],[No Asset]]),"")</f>
        <v>18</v>
      </c>
      <c r="B20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>2601102012</v>
      </c>
      <c r="C20" s="74">
        <v>46023</v>
      </c>
      <c r="D20" t="s">
        <v>509</v>
      </c>
      <c r="E20" t="s">
        <v>74</v>
      </c>
      <c r="F20" s="45" t="s">
        <v>319</v>
      </c>
      <c r="G20" s="1" t="s">
        <v>23</v>
      </c>
      <c r="H20" s="1" t="s">
        <v>533</v>
      </c>
      <c r="I20" t="s">
        <v>357</v>
      </c>
      <c r="J20" t="s">
        <v>219</v>
      </c>
      <c r="K20" t="s">
        <v>574</v>
      </c>
      <c r="L20" s="1" t="s">
        <v>579</v>
      </c>
      <c r="M20" s="1" t="s">
        <v>555</v>
      </c>
      <c r="N20" s="1" t="s">
        <v>556</v>
      </c>
      <c r="O20" t="s">
        <v>557</v>
      </c>
      <c r="P20" s="1" t="s">
        <v>221</v>
      </c>
      <c r="Q20" s="1">
        <v>1</v>
      </c>
      <c r="R20" s="1">
        <v>1</v>
      </c>
      <c r="S20" s="1" t="s">
        <v>87</v>
      </c>
      <c r="T20" s="1" t="s">
        <v>87</v>
      </c>
      <c r="U20" s="1">
        <v>1</v>
      </c>
      <c r="V20" s="1" t="s">
        <v>103</v>
      </c>
      <c r="W20" s="1" t="s">
        <v>104</v>
      </c>
      <c r="X20" s="1" t="s">
        <v>154</v>
      </c>
      <c r="Y20" s="1" t="s">
        <v>580</v>
      </c>
      <c r="AC20" s="60" t="b">
        <v>0</v>
      </c>
      <c r="AD20" t="str">
        <f>_xlfn.IFNA(INDEX(tbl_handover[No. Handover],MATCH(tbl_display[[#This Row],[No Asset]],tbl_handover[Asset Code],0)),"")</f>
        <v/>
      </c>
    </row>
    <row r="21" spans="1:30" x14ac:dyDescent="0.25">
      <c r="A21" s="43">
        <f>IF(tbl_display[[#This Row],[No Asset]]&lt;&gt;"",SUBTOTAL(3,INDEX(tbl_display[No Asset],1):tbl_display[[#This Row],[No Asset]]),"")</f>
        <v>19</v>
      </c>
      <c r="B21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>2601102013</v>
      </c>
      <c r="C21" s="74">
        <v>46023</v>
      </c>
      <c r="D21" t="s">
        <v>509</v>
      </c>
      <c r="E21" t="s">
        <v>74</v>
      </c>
      <c r="F21" s="45" t="s">
        <v>211</v>
      </c>
      <c r="G21" s="1" t="s">
        <v>23</v>
      </c>
      <c r="H21" s="1" t="s">
        <v>533</v>
      </c>
      <c r="I21" t="s">
        <v>581</v>
      </c>
      <c r="J21" t="s">
        <v>219</v>
      </c>
      <c r="K21" t="s">
        <v>574</v>
      </c>
      <c r="L21" s="1" t="s">
        <v>582</v>
      </c>
      <c r="M21" s="1" t="s">
        <v>555</v>
      </c>
      <c r="N21" s="1" t="s">
        <v>556</v>
      </c>
      <c r="O21" t="s">
        <v>557</v>
      </c>
      <c r="P21" s="1" t="s">
        <v>221</v>
      </c>
      <c r="Q21" s="1">
        <v>1</v>
      </c>
      <c r="R21" s="1">
        <v>1</v>
      </c>
      <c r="S21" s="1" t="s">
        <v>87</v>
      </c>
      <c r="T21" s="1" t="s">
        <v>87</v>
      </c>
      <c r="U21" s="1">
        <v>1</v>
      </c>
      <c r="V21" s="1" t="s">
        <v>103</v>
      </c>
      <c r="W21" s="1" t="s">
        <v>104</v>
      </c>
      <c r="X21" s="1" t="s">
        <v>154</v>
      </c>
      <c r="Y21" s="1" t="s">
        <v>580</v>
      </c>
      <c r="AC21" s="60" t="b">
        <v>0</v>
      </c>
      <c r="AD21" t="str">
        <f>_xlfn.IFNA(INDEX(tbl_handover[No. Handover],MATCH(tbl_display[[#This Row],[No Asset]],tbl_handover[Asset Code],0)),"")</f>
        <v/>
      </c>
    </row>
    <row r="22" spans="1:30" x14ac:dyDescent="0.25">
      <c r="A22" s="43">
        <f>IF(tbl_display[[#This Row],[No Asset]]&lt;&gt;"",SUBTOTAL(3,INDEX(tbl_display[No Asset],1):tbl_display[[#This Row],[No Asset]]),"")</f>
        <v>20</v>
      </c>
      <c r="B22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>2601102014</v>
      </c>
      <c r="C22" s="74">
        <v>46023</v>
      </c>
      <c r="D22" t="s">
        <v>509</v>
      </c>
      <c r="E22" t="s">
        <v>74</v>
      </c>
      <c r="F22" s="45" t="s">
        <v>211</v>
      </c>
      <c r="G22" s="1" t="s">
        <v>23</v>
      </c>
      <c r="H22" s="1" t="s">
        <v>533</v>
      </c>
      <c r="I22" t="s">
        <v>583</v>
      </c>
      <c r="J22" t="s">
        <v>219</v>
      </c>
      <c r="K22" t="s">
        <v>574</v>
      </c>
      <c r="L22" s="1" t="s">
        <v>584</v>
      </c>
      <c r="M22" s="1" t="s">
        <v>555</v>
      </c>
      <c r="N22" s="1" t="s">
        <v>556</v>
      </c>
      <c r="O22" t="s">
        <v>557</v>
      </c>
      <c r="P22" s="1" t="s">
        <v>221</v>
      </c>
      <c r="Q22" s="1">
        <v>1</v>
      </c>
      <c r="R22" s="1">
        <v>1</v>
      </c>
      <c r="S22" s="1" t="s">
        <v>87</v>
      </c>
      <c r="T22" s="1" t="s">
        <v>87</v>
      </c>
      <c r="U22" s="1">
        <v>1</v>
      </c>
      <c r="V22" s="1" t="s">
        <v>103</v>
      </c>
      <c r="W22" s="1" t="s">
        <v>104</v>
      </c>
      <c r="X22" s="1" t="s">
        <v>154</v>
      </c>
      <c r="Y22" s="1" t="s">
        <v>580</v>
      </c>
      <c r="AC22" s="60" t="b">
        <v>0</v>
      </c>
      <c r="AD22" t="str">
        <f>_xlfn.IFNA(INDEX(tbl_handover[No. Handover],MATCH(tbl_display[[#This Row],[No Asset]],tbl_handover[Asset Code],0)),"")</f>
        <v/>
      </c>
    </row>
    <row r="23" spans="1:30" x14ac:dyDescent="0.25">
      <c r="A23" s="43">
        <f>IF(tbl_display[[#This Row],[No Asset]]&lt;&gt;"",SUBTOTAL(3,INDEX(tbl_display[No Asset],1):tbl_display[[#This Row],[No Asset]]),"")</f>
        <v>21</v>
      </c>
      <c r="B23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>2609102007</v>
      </c>
      <c r="C23" s="74">
        <v>46268</v>
      </c>
      <c r="D23" t="s">
        <v>532</v>
      </c>
      <c r="E23" t="s">
        <v>74</v>
      </c>
      <c r="F23" s="45" t="s">
        <v>124</v>
      </c>
      <c r="G23" s="1" t="s">
        <v>23</v>
      </c>
      <c r="H23" s="1" t="s">
        <v>585</v>
      </c>
      <c r="I23" t="s">
        <v>586</v>
      </c>
      <c r="J23" t="s">
        <v>587</v>
      </c>
      <c r="K23" t="s">
        <v>588</v>
      </c>
      <c r="L23" s="1" t="s">
        <v>589</v>
      </c>
      <c r="M23" s="1" t="s">
        <v>590</v>
      </c>
      <c r="N23" s="1" t="s">
        <v>591</v>
      </c>
      <c r="O23" t="s">
        <v>592</v>
      </c>
      <c r="P23" s="82" t="s">
        <v>593</v>
      </c>
      <c r="Q23" s="1" t="s">
        <v>87</v>
      </c>
      <c r="R23" s="1">
        <v>2</v>
      </c>
      <c r="S23" s="1" t="s">
        <v>87</v>
      </c>
      <c r="T23" s="1">
        <v>1</v>
      </c>
      <c r="U23" s="1">
        <v>1</v>
      </c>
      <c r="V23" s="1" t="s">
        <v>122</v>
      </c>
      <c r="W23" s="1" t="s">
        <v>104</v>
      </c>
      <c r="X23" s="1" t="s">
        <v>143</v>
      </c>
      <c r="Y23" s="1" t="s">
        <v>594</v>
      </c>
      <c r="AC23" s="60" t="b">
        <v>1</v>
      </c>
      <c r="AD23" t="str">
        <f>_xlfn.IFNA(INDEX(tbl_handover[No. Handover],MATCH(tbl_display[[#This Row],[No Asset]],tbl_handover[Asset Code],0)),"")</f>
        <v/>
      </c>
    </row>
    <row r="24" spans="1:30" x14ac:dyDescent="0.25">
      <c r="A24" s="43">
        <f>IF(tbl_display[[#This Row],[No Asset]]&lt;&gt;"",SUBTOTAL(3,INDEX(tbl_display[No Asset],1):tbl_display[[#This Row],[No Asset]]),"")</f>
        <v>22</v>
      </c>
      <c r="B24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>2601102015</v>
      </c>
      <c r="C24" s="74">
        <v>46023</v>
      </c>
      <c r="D24" t="s">
        <v>509</v>
      </c>
      <c r="E24" t="s">
        <v>74</v>
      </c>
      <c r="F24" s="45" t="s">
        <v>197</v>
      </c>
      <c r="G24" s="1" t="s">
        <v>23</v>
      </c>
      <c r="H24" s="1" t="s">
        <v>533</v>
      </c>
      <c r="I24" t="s">
        <v>199</v>
      </c>
      <c r="J24" t="s">
        <v>560</v>
      </c>
      <c r="K24" s="13" t="s">
        <v>535</v>
      </c>
      <c r="M24" s="1" t="s">
        <v>561</v>
      </c>
      <c r="N24" s="1" t="s">
        <v>562</v>
      </c>
      <c r="O24" t="s">
        <v>563</v>
      </c>
      <c r="P24" s="1" t="s">
        <v>153</v>
      </c>
      <c r="Q24" s="1">
        <v>1</v>
      </c>
      <c r="R24" s="1">
        <v>1</v>
      </c>
      <c r="S24" s="1" t="s">
        <v>87</v>
      </c>
      <c r="T24" s="1" t="s">
        <v>87</v>
      </c>
      <c r="U24" s="1" t="s">
        <v>87</v>
      </c>
      <c r="V24" s="1" t="s">
        <v>103</v>
      </c>
      <c r="W24" s="1" t="s">
        <v>104</v>
      </c>
      <c r="X24" s="1" t="s">
        <v>154</v>
      </c>
      <c r="Y24" s="1" t="s">
        <v>595</v>
      </c>
      <c r="AC24" s="60" t="b">
        <v>0</v>
      </c>
      <c r="AD24" t="str">
        <f>_xlfn.IFNA(INDEX(tbl_handover[No. Handover],MATCH(tbl_display[[#This Row],[No Asset]],tbl_handover[Asset Code],0)),"")</f>
        <v/>
      </c>
    </row>
    <row r="25" spans="1:30" x14ac:dyDescent="0.25">
      <c r="A25" s="43" t="str">
        <f>IF(tbl_display[[#This Row],[No Asset]]&lt;&gt;"",SUBTOTAL(3,INDEX(tbl_display[No Asset],1):tbl_display[[#This Row],[No Asset]]),"")</f>
        <v/>
      </c>
      <c r="B25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/>
      </c>
      <c r="F25" s="45"/>
      <c r="G25" s="1"/>
      <c r="H25" s="1"/>
      <c r="AC25" s="60" t="b">
        <v>0</v>
      </c>
      <c r="AD25" t="str">
        <f>_xlfn.IFNA(INDEX(tbl_handover[No. Handover],MATCH(tbl_display[[#This Row],[No Asset]],tbl_handover[Asset Code],0)),"")</f>
        <v/>
      </c>
    </row>
    <row r="26" spans="1:30" x14ac:dyDescent="0.25">
      <c r="A26" s="43" t="str">
        <f>IF(tbl_display[[#This Row],[No Asset]]&lt;&gt;"",SUBTOTAL(3,INDEX(tbl_display[No Asset],1):tbl_display[[#This Row],[No Asset]]),"")</f>
        <v/>
      </c>
      <c r="B26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/>
      </c>
      <c r="F26" s="45"/>
      <c r="G26" s="1"/>
      <c r="H26" s="1"/>
      <c r="AC26" s="60" t="b">
        <v>0</v>
      </c>
      <c r="AD26" t="str">
        <f>_xlfn.IFNA(INDEX(tbl_handover[No. Handover],MATCH(tbl_display[[#This Row],[No Asset]],tbl_handover[Asset Code],0)),"")</f>
        <v/>
      </c>
    </row>
    <row r="27" spans="1:30" x14ac:dyDescent="0.25">
      <c r="A27" s="43" t="str">
        <f>IF(tbl_display[[#This Row],[No Asset]]&lt;&gt;"",SUBTOTAL(3,INDEX(tbl_display[No Asset],1):tbl_display[[#This Row],[No Asset]]),"")</f>
        <v/>
      </c>
      <c r="B27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/>
      </c>
      <c r="F27" s="45"/>
      <c r="G27" s="1"/>
      <c r="H27" s="1"/>
      <c r="AC27" s="60" t="b">
        <v>0</v>
      </c>
      <c r="AD27" t="str">
        <f>_xlfn.IFNA(INDEX(tbl_handover[No. Handover],MATCH(tbl_display[[#This Row],[No Asset]],tbl_handover[Asset Code],0)),"")</f>
        <v/>
      </c>
    </row>
    <row r="28" spans="1:30" x14ac:dyDescent="0.25">
      <c r="A28" s="43" t="str">
        <f>IF(tbl_display[[#This Row],[No Asset]]&lt;&gt;"",SUBTOTAL(3,INDEX(tbl_display[No Asset],1):tbl_display[[#This Row],[No Asset]]),"")</f>
        <v/>
      </c>
      <c r="B28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/>
      </c>
      <c r="F28" s="45"/>
      <c r="G28" s="1"/>
      <c r="H28" s="1"/>
      <c r="AC28" s="60" t="b">
        <v>0</v>
      </c>
      <c r="AD28" t="str">
        <f>_xlfn.IFNA(INDEX(tbl_handover[No. Handover],MATCH(tbl_display[[#This Row],[No Asset]],tbl_handover[Asset Code],0)),"")</f>
        <v/>
      </c>
    </row>
    <row r="29" spans="1:30" x14ac:dyDescent="0.25">
      <c r="A29" s="43" t="str">
        <f>IF(tbl_display[[#This Row],[No Asset]]&lt;&gt;"",SUBTOTAL(3,INDEX(tbl_display[No Asset],1):tbl_display[[#This Row],[No Asset]]),"")</f>
        <v/>
      </c>
      <c r="B29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/>
      </c>
      <c r="F29" s="45"/>
      <c r="G29" s="1"/>
      <c r="H29" s="1"/>
      <c r="AC29" s="60" t="b">
        <v>0</v>
      </c>
      <c r="AD29" t="str">
        <f>_xlfn.IFNA(INDEX(tbl_handover[No. Handover],MATCH(tbl_display[[#This Row],[No Asset]],tbl_handover[Asset Code],0)),"")</f>
        <v/>
      </c>
    </row>
    <row r="30" spans="1:30" x14ac:dyDescent="0.25">
      <c r="A30" s="43" t="str">
        <f>IF(tbl_display[[#This Row],[No Asset]]&lt;&gt;"",SUBTOTAL(3,INDEX(tbl_display[No Asset],1):tbl_display[[#This Row],[No Asset]]),"")</f>
        <v/>
      </c>
      <c r="B30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/>
      </c>
      <c r="F30" s="45"/>
      <c r="G30" s="1"/>
      <c r="H30" s="1"/>
      <c r="AC30" s="60" t="b">
        <v>0</v>
      </c>
      <c r="AD30" t="str">
        <f>_xlfn.IFNA(INDEX(tbl_handover[No. Handover],MATCH(tbl_display[[#This Row],[No Asset]],tbl_handover[Asset Code],0)),"")</f>
        <v/>
      </c>
    </row>
    <row r="31" spans="1:30" x14ac:dyDescent="0.25">
      <c r="A31" s="43" t="str">
        <f>IF(tbl_display[[#This Row],[No Asset]]&lt;&gt;"",SUBTOTAL(3,INDEX(tbl_display[No Asset],1):tbl_display[[#This Row],[No Asset]]),"")</f>
        <v/>
      </c>
      <c r="B31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/>
      </c>
      <c r="F31" s="45"/>
      <c r="G31" s="1"/>
      <c r="H31" s="1"/>
      <c r="AC31" s="60" t="b">
        <v>0</v>
      </c>
      <c r="AD31" t="str">
        <f>_xlfn.IFNA(INDEX(tbl_handover[No. Handover],MATCH(tbl_display[[#This Row],[No Asset]],tbl_handover[Asset Code],0)),"")</f>
        <v/>
      </c>
    </row>
    <row r="32" spans="1:30" x14ac:dyDescent="0.25">
      <c r="A32" s="43" t="str">
        <f>IF(tbl_display[[#This Row],[No Asset]]&lt;&gt;"",SUBTOTAL(3,INDEX(tbl_display[No Asset],1):tbl_display[[#This Row],[No Asset]]),"")</f>
        <v/>
      </c>
      <c r="B32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/>
      </c>
      <c r="F32" s="45"/>
      <c r="G32" s="1"/>
      <c r="H32" s="1"/>
      <c r="AC32" s="60" t="b">
        <v>0</v>
      </c>
      <c r="AD32" t="str">
        <f>_xlfn.IFNA(INDEX(tbl_handover[No. Handover],MATCH(tbl_display[[#This Row],[No Asset]],tbl_handover[Asset Code],0)),"")</f>
        <v/>
      </c>
    </row>
    <row r="33" spans="1:30" x14ac:dyDescent="0.25">
      <c r="A33" s="43" t="str">
        <f>IF(tbl_display[[#This Row],[No Asset]]&lt;&gt;"",SUBTOTAL(3,INDEX(tbl_display[No Asset],1):tbl_display[[#This Row],[No Asset]]),"")</f>
        <v/>
      </c>
      <c r="B33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/>
      </c>
      <c r="F33" s="45"/>
      <c r="G33" s="1"/>
      <c r="H33" s="1"/>
      <c r="AC33" s="60" t="b">
        <v>0</v>
      </c>
      <c r="AD33" t="str">
        <f>_xlfn.IFNA(INDEX(tbl_handover[No. Handover],MATCH(tbl_display[[#This Row],[No Asset]],tbl_handover[Asset Code],0)),"")</f>
        <v/>
      </c>
    </row>
    <row r="34" spans="1:30" x14ac:dyDescent="0.25">
      <c r="A34" s="43" t="str">
        <f>IF(tbl_display[[#This Row],[No Asset]]&lt;&gt;"",SUBTOTAL(3,INDEX(tbl_display[No Asset],1):tbl_display[[#This Row],[No Asset]]),"")</f>
        <v/>
      </c>
      <c r="B34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/>
      </c>
      <c r="F34" s="45"/>
      <c r="G34" s="1"/>
      <c r="H34" s="1"/>
      <c r="AC34" s="60" t="b">
        <v>0</v>
      </c>
      <c r="AD34" t="str">
        <f>_xlfn.IFNA(INDEX(tbl_handover[No. Handover],MATCH(tbl_display[[#This Row],[No Asset]],tbl_handover[Asset Code],0)),"")</f>
        <v/>
      </c>
    </row>
    <row r="35" spans="1:30" x14ac:dyDescent="0.25">
      <c r="A35" s="43" t="str">
        <f>IF(tbl_display[[#This Row],[No Asset]]&lt;&gt;"",SUBTOTAL(3,INDEX(tbl_display[No Asset],1):tbl_display[[#This Row],[No Asset]]),"")</f>
        <v/>
      </c>
      <c r="B35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/>
      </c>
      <c r="F35" s="45"/>
      <c r="G35" s="1"/>
      <c r="H35" s="1"/>
      <c r="AC35" s="60" t="b">
        <v>0</v>
      </c>
      <c r="AD35" t="str">
        <f>_xlfn.IFNA(INDEX(tbl_handover[No. Handover],MATCH(tbl_display[[#This Row],[No Asset]],tbl_handover[Asset Code],0)),"")</f>
        <v/>
      </c>
    </row>
    <row r="36" spans="1:30" x14ac:dyDescent="0.25">
      <c r="A36" s="43" t="str">
        <f>IF(tbl_display[[#This Row],[No Asset]]&lt;&gt;"",SUBTOTAL(3,INDEX(tbl_display[No Asset],1):tbl_display[[#This Row],[No Asset]]),"")</f>
        <v/>
      </c>
      <c r="B36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/>
      </c>
      <c r="F36" s="45"/>
      <c r="G36" s="1"/>
      <c r="H36" s="1"/>
      <c r="AC36" s="60" t="b">
        <v>0</v>
      </c>
      <c r="AD36" t="str">
        <f>_xlfn.IFNA(INDEX(tbl_handover[No. Handover],MATCH(tbl_display[[#This Row],[No Asset]],tbl_handover[Asset Code],0)),"")</f>
        <v/>
      </c>
    </row>
    <row r="37" spans="1:30" x14ac:dyDescent="0.25">
      <c r="A37" s="43" t="str">
        <f>IF(tbl_display[[#This Row],[No Asset]]&lt;&gt;"",SUBTOTAL(3,INDEX(tbl_display[No Asset],1):tbl_display[[#This Row],[No Asset]]),"")</f>
        <v/>
      </c>
      <c r="B37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/>
      </c>
      <c r="F37" s="45"/>
      <c r="G37" s="1"/>
      <c r="H37" s="1"/>
      <c r="AC37" s="60" t="b">
        <v>0</v>
      </c>
      <c r="AD37" t="str">
        <f>_xlfn.IFNA(INDEX(tbl_handover[No. Handover],MATCH(tbl_display[[#This Row],[No Asset]],tbl_handover[Asset Code],0)),"")</f>
        <v/>
      </c>
    </row>
    <row r="38" spans="1:30" x14ac:dyDescent="0.25">
      <c r="A38" s="43" t="str">
        <f>IF(tbl_display[[#This Row],[No Asset]]&lt;&gt;"",SUBTOTAL(3,INDEX(tbl_display[No Asset],1):tbl_display[[#This Row],[No Asset]]),"")</f>
        <v/>
      </c>
      <c r="B38" s="13" t="str">
        <f>IF(OR(tbl_display[[#This Row],[Purchase Date]]="",tbl_display[[#This Row],[Categories]]=""),"",
TEXT(tbl_display[[#This Row],[Purchase Date]],"YYMM")&amp;
_xlfn.XLOOKUP(tbl_display[[#This Row],[Categories]],CODEX!$Z:$Z,CODEX!$W:$W,"")&amp;
TEXT(_xlfn.XLOOKUP(tbl_display[[#This Row],[Categories]],CODEX!$Z:$Z,CODEX!$Y:$Y,""),"00")&amp;
TEXT(COUNTIFS(INDEX(tbl_display[Purchase Date],1):tbl_display[[#This Row],[Purchase Date]],"&gt;="&amp;DATE(YEAR(tbl_display[[#This Row],[Purchase Date]]),MONTH(tbl_display[[#This Row],[Purchase Date]]),1),INDEX(tbl_display[Purchase Date],1):tbl_display[[#This Row],[Purchase Date]],"&lt;"&amp;EDATE(DATE(YEAR(tbl_display[[#This Row],[Purchase Date]]),MONTH(tbl_display[[#This Row],[Purchase Date]]),1),1),INDEX(tbl_display[Categories],1):tbl_display[[#This Row],[Categories]],tbl_display[[#This Row],[Categories]]),"000"))</f>
        <v/>
      </c>
      <c r="G38" s="1"/>
      <c r="H38" s="1"/>
      <c r="AC38" s="60" t="b">
        <v>0</v>
      </c>
      <c r="AD38" t="str">
        <f>_xlfn.IFNA(INDEX(tbl_handover[No. Handover],MATCH(tbl_display[[#This Row],[No Asset]],tbl_handover[Asset Code],0)),"")</f>
        <v/>
      </c>
    </row>
    <row r="39" spans="1:30" x14ac:dyDescent="0.25">
      <c r="B39" s="65"/>
    </row>
    <row r="40" spans="1:30" x14ac:dyDescent="0.25">
      <c r="B40" s="65"/>
    </row>
    <row r="41" spans="1:30" x14ac:dyDescent="0.25">
      <c r="B41" s="65"/>
    </row>
    <row r="42" spans="1:30" x14ac:dyDescent="0.25">
      <c r="B42" s="65"/>
    </row>
    <row r="43" spans="1:30" x14ac:dyDescent="0.25">
      <c r="B43" s="65"/>
    </row>
    <row r="44" spans="1:30" x14ac:dyDescent="0.25">
      <c r="B44" s="65"/>
    </row>
    <row r="45" spans="1:30" x14ac:dyDescent="0.25">
      <c r="B45" s="65"/>
    </row>
    <row r="46" spans="1:30" x14ac:dyDescent="0.25">
      <c r="B46" s="65"/>
    </row>
    <row r="47" spans="1:30" x14ac:dyDescent="0.25">
      <c r="B47" s="65"/>
    </row>
    <row r="48" spans="1:30" x14ac:dyDescent="0.25">
      <c r="B48" s="65"/>
    </row>
    <row r="49" spans="2:2" x14ac:dyDescent="0.25">
      <c r="B49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2601101036</v>
      </c>
    </row>
    <row r="50" spans="2:2" x14ac:dyDescent="0.25">
      <c r="B50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2601101037</v>
      </c>
    </row>
    <row r="51" spans="2:2" x14ac:dyDescent="0.25">
      <c r="B51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2601101038</v>
      </c>
    </row>
    <row r="52" spans="2:2" x14ac:dyDescent="0.25">
      <c r="B52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2601101039</v>
      </c>
    </row>
    <row r="53" spans="2:2" x14ac:dyDescent="0.25">
      <c r="B53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2601101040</v>
      </c>
    </row>
    <row r="54" spans="2:2" x14ac:dyDescent="0.25">
      <c r="B54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2601101041</v>
      </c>
    </row>
    <row r="55" spans="2:2" x14ac:dyDescent="0.25">
      <c r="B55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2601101042</v>
      </c>
    </row>
    <row r="56" spans="2:2" x14ac:dyDescent="0.25">
      <c r="B56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2601101043</v>
      </c>
    </row>
    <row r="57" spans="2:2" x14ac:dyDescent="0.25">
      <c r="B57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2601101044</v>
      </c>
    </row>
    <row r="58" spans="2:2" x14ac:dyDescent="0.25">
      <c r="B58" s="65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2601101045</v>
      </c>
    </row>
    <row r="59" spans="2:2" x14ac:dyDescent="0.25">
      <c r="B59" s="13" t="str">
        <f>IF(OR(tbl_computer[[#This Row],[Purchase Date]]="",tbl_computer[[#This Row],[Categories]]=""),"",
TEXT(tbl_computer[[#This Row],[Purchase Date]],"YYMM")&amp;
_xlfn.XLOOKUP(tbl_computer[[#This Row],[Categories]],CODEX!$Z:$Z,CODEX!$W:$W,"")&amp;
TEXT(_xlfn.XLOOKUP(tbl_computer[[#This Row],[Categories]],CODEX!$Z:$Z,CODEX!$Y:$Y,""),"00")&amp;
TEXT(COUNTIFS(INDEX(tbl_computer[Purchase Date],1):tbl_computer[[#This Row],[Purchase Date]],"&gt;="&amp;DATE(YEAR(tbl_computer[[#This Row],[Purchase Date]]),MONTH(tbl_computer[[#This Row],[Purchase Date]]),1),INDEX(tbl_computer[Purchase Date],1):tbl_computer[[#This Row],[Purchase Date]],"&lt;"&amp;EDATE(DATE(YEAR(tbl_computer[[#This Row],[Purchase Date]]),MONTH(tbl_computer[[#This Row],[Purchase Date]]),1),1),INDEX(tbl_computer[Categories],1):tbl_computer[[#This Row],[Categories]],tbl_computer[[#This Row],[Categories]]),"000"))</f>
        <v>2601101046</v>
      </c>
    </row>
  </sheetData>
  <mergeCells count="4">
    <mergeCell ref="C1:D1"/>
    <mergeCell ref="Q1:U1"/>
    <mergeCell ref="Z1:AB1"/>
    <mergeCell ref="E1:P1"/>
  </mergeCells>
  <conditionalFormatting sqref="B3:B38">
    <cfRule type="duplicateValues" dxfId="73" priority="4"/>
  </conditionalFormatting>
  <conditionalFormatting sqref="G3:H38">
    <cfRule type="containsBlanks" dxfId="72" priority="3">
      <formula>LEN(TRIM(G3))=0</formula>
    </cfRule>
  </conditionalFormatting>
  <conditionalFormatting sqref="I13">
    <cfRule type="containsBlanks" dxfId="71" priority="2">
      <formula>LEN(TRIM(I13))=0</formula>
    </cfRule>
  </conditionalFormatting>
  <conditionalFormatting sqref="I19">
    <cfRule type="containsBlanks" dxfId="70" priority="1">
      <formula>LEN(TRIM(I19))=0</formula>
    </cfRule>
  </conditionalFormatting>
  <conditionalFormatting sqref="I3:X12 C3:F38 J13:X13 I14:K15 M14:N15 P14:X15 I16:X18 J19:X19 I20:X22 I23:O23 Q23:X23 I24:K24 M24:N24 P24:X24 I25:X38">
    <cfRule type="containsBlanks" dxfId="69" priority="8">
      <formula>LEN(TRIM(C3))=0</formula>
    </cfRule>
  </conditionalFormatting>
  <conditionalFormatting sqref="L2">
    <cfRule type="duplicateValues" dxfId="68" priority="15"/>
  </conditionalFormatting>
  <pageMargins left="0.7" right="0.7" top="0.75" bottom="0.75" header="0.3" footer="0.3"/>
  <pageSetup orientation="portrait" horizontalDpi="0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A1CB8A7A-C250-4D61-B22E-56EF984418C7}">
          <x14:formula1>
            <xm:f>CODEX!$A$3:$A$22</xm:f>
          </x14:formula1>
          <xm:sqref>E3:E36</xm:sqref>
        </x14:dataValidation>
        <x14:dataValidation type="list" allowBlank="1" showInputMessage="1" showErrorMessage="1" xr:uid="{C87B3003-8FA7-4D1A-B56F-6A0B357957E2}">
          <x14:formula1>
            <xm:f>CODEX!$J$3:$J$8</xm:f>
          </x14:formula1>
          <xm:sqref>W3:W38</xm:sqref>
        </x14:dataValidation>
        <x14:dataValidation type="list" allowBlank="1" showInputMessage="1" showErrorMessage="1" xr:uid="{3F398B41-1CE9-4002-8310-280A8B65907A}">
          <x14:formula1>
            <xm:f>CODEX!$O$3:$O$7</xm:f>
          </x14:formula1>
          <xm:sqref>X3:X38</xm:sqref>
        </x14:dataValidation>
        <x14:dataValidation type="list" allowBlank="1" showInputMessage="1" showErrorMessage="1" xr:uid="{BB8B93A1-5FA5-418A-92B0-ED839827D030}">
          <x14:formula1>
            <xm:f>CODEX!$H$3:$H$10</xm:f>
          </x14:formula1>
          <xm:sqref>V3:V36</xm:sqref>
        </x14:dataValidation>
        <x14:dataValidation type="list" allowBlank="1" showInputMessage="1" showErrorMessage="1" xr:uid="{803DC1C8-38CB-41CD-9C19-7C4E0EF0966B}">
          <x14:formula1>
            <xm:f>CODEX!$Z$4</xm:f>
          </x14:formula1>
          <xm:sqref>G3:G38</xm:sqref>
        </x14:dataValidation>
        <x14:dataValidation type="list" allowBlank="1" showInputMessage="1" showErrorMessage="1" xr:uid="{137E50D9-40CA-4814-BD05-6F98DE94B855}">
          <x14:formula1>
            <xm:f>CODEX!$F$3:$F$27</xm:f>
          </x14:formula1>
          <xm:sqref>F3:F38</xm:sqref>
        </x14:dataValidation>
        <x14:dataValidation type="list" allowBlank="1" showInputMessage="1" showErrorMessage="1" xr:uid="{E9ADEC80-8C09-4D1F-92E6-03C5393FF4CE}">
          <x14:formula1>
            <xm:f>CODEX!$AD$11:$AD$17</xm:f>
          </x14:formula1>
          <xm:sqref>H3:H1048576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C0B2D-0093-45AE-BD34-46CA998A3B55}">
  <dimension ref="A1:AO27"/>
  <sheetViews>
    <sheetView topLeftCell="H1" zoomScaleNormal="100" workbookViewId="0">
      <selection activeCell="M20" sqref="M20"/>
    </sheetView>
  </sheetViews>
  <sheetFormatPr defaultRowHeight="15" x14ac:dyDescent="0.25"/>
  <cols>
    <col min="1" max="1" width="7.5703125" customWidth="1"/>
    <col min="2" max="2" width="17" customWidth="1"/>
    <col min="3" max="3" width="14.5703125" style="74" customWidth="1"/>
    <col min="4" max="4" width="24" bestFit="1" customWidth="1"/>
    <col min="5" max="5" width="12.42578125" customWidth="1"/>
    <col min="6" max="6" width="24" style="46" bestFit="1" customWidth="1"/>
    <col min="7" max="7" width="15.7109375" customWidth="1"/>
    <col min="8" max="8" width="11.42578125" customWidth="1"/>
    <col min="9" max="9" width="30.140625" bestFit="1" customWidth="1"/>
    <col min="10" max="10" width="22.140625" customWidth="1"/>
    <col min="11" max="11" width="21.140625" customWidth="1"/>
    <col min="12" max="12" width="15.28515625" customWidth="1"/>
    <col min="13" max="13" width="22.5703125" customWidth="1"/>
    <col min="14" max="14" width="81" bestFit="1" customWidth="1"/>
    <col min="15" max="15" width="20.140625" bestFit="1" customWidth="1"/>
    <col min="16" max="16" width="19.42578125" style="1" customWidth="1"/>
    <col min="17" max="17" width="16" style="1" customWidth="1"/>
    <col min="18" max="18" width="18.85546875" style="1" bestFit="1" customWidth="1"/>
    <col min="19" max="19" width="18.28515625" style="1" bestFit="1" customWidth="1"/>
    <col min="20" max="20" width="26" bestFit="1" customWidth="1"/>
    <col min="21" max="21" width="14.85546875" bestFit="1" customWidth="1"/>
    <col min="22" max="23" width="16.85546875" customWidth="1"/>
    <col min="24" max="24" width="14.140625" bestFit="1" customWidth="1"/>
    <col min="25" max="25" width="22.28515625" bestFit="1" customWidth="1"/>
    <col min="26" max="26" width="14.28515625" customWidth="1"/>
    <col min="27" max="27" width="11.85546875" bestFit="1" customWidth="1"/>
    <col min="28" max="29" width="12.140625" customWidth="1"/>
    <col min="30" max="30" width="13" customWidth="1"/>
    <col min="31" max="32" width="14.28515625" bestFit="1" customWidth="1"/>
    <col min="33" max="33" width="14.5703125" style="1" bestFit="1" customWidth="1"/>
    <col min="34" max="34" width="14.5703125" style="1" customWidth="1"/>
    <col min="35" max="35" width="15.140625" style="1" bestFit="1" customWidth="1"/>
    <col min="36" max="36" width="15.140625" style="1" customWidth="1"/>
    <col min="40" max="40" width="12.7109375" bestFit="1" customWidth="1"/>
    <col min="41" max="41" width="30.42578125" bestFit="1" customWidth="1"/>
  </cols>
  <sheetData>
    <row r="1" spans="1:41" ht="15" customHeight="1" thickBot="1" x14ac:dyDescent="0.3">
      <c r="A1" s="14">
        <v>3</v>
      </c>
      <c r="B1" s="17" t="s">
        <v>13</v>
      </c>
      <c r="C1" s="209" t="s">
        <v>14</v>
      </c>
      <c r="D1" s="209"/>
      <c r="E1" s="212" t="s">
        <v>596</v>
      </c>
      <c r="F1" s="213"/>
      <c r="G1" s="213"/>
      <c r="H1" s="213"/>
      <c r="I1" s="213"/>
      <c r="J1" s="213"/>
      <c r="K1" s="213"/>
      <c r="L1" s="213"/>
      <c r="M1" s="213"/>
      <c r="N1" s="214"/>
      <c r="O1" s="185" t="s">
        <v>597</v>
      </c>
      <c r="P1" s="186"/>
      <c r="Q1" s="186"/>
      <c r="R1" s="186"/>
      <c r="S1" s="187"/>
      <c r="T1" s="185" t="s">
        <v>598</v>
      </c>
      <c r="U1" s="186"/>
      <c r="V1" s="186"/>
      <c r="W1" s="186"/>
      <c r="X1" s="186"/>
      <c r="Y1" s="187"/>
      <c r="Z1" s="136"/>
      <c r="AA1" s="210" t="s">
        <v>599</v>
      </c>
      <c r="AB1" s="210"/>
      <c r="AC1" s="210"/>
      <c r="AD1" s="210"/>
      <c r="AE1" s="210"/>
      <c r="AK1" s="211" t="s">
        <v>24</v>
      </c>
      <c r="AL1" s="211"/>
      <c r="AM1" s="211"/>
    </row>
    <row r="2" spans="1:41" ht="25.5" x14ac:dyDescent="0.25">
      <c r="A2" s="86" t="s">
        <v>25</v>
      </c>
      <c r="B2" s="86" t="s">
        <v>26</v>
      </c>
      <c r="C2" s="87" t="s">
        <v>27</v>
      </c>
      <c r="D2" s="86" t="s">
        <v>28</v>
      </c>
      <c r="E2" s="86" t="s">
        <v>29</v>
      </c>
      <c r="F2" s="86" t="s">
        <v>30</v>
      </c>
      <c r="G2" s="86" t="s">
        <v>31</v>
      </c>
      <c r="H2" s="86" t="s">
        <v>32</v>
      </c>
      <c r="I2" s="86" t="s">
        <v>33</v>
      </c>
      <c r="J2" s="86" t="s">
        <v>37</v>
      </c>
      <c r="K2" s="86" t="s">
        <v>500</v>
      </c>
      <c r="L2" s="86" t="s">
        <v>36</v>
      </c>
      <c r="M2" s="86" t="s">
        <v>38</v>
      </c>
      <c r="N2" s="86" t="s">
        <v>600</v>
      </c>
      <c r="O2" s="134" t="s">
        <v>39</v>
      </c>
      <c r="P2" s="134" t="s">
        <v>601</v>
      </c>
      <c r="Q2" s="56" t="s">
        <v>602</v>
      </c>
      <c r="R2" s="56" t="s">
        <v>603</v>
      </c>
      <c r="S2" s="56" t="s">
        <v>604</v>
      </c>
      <c r="T2" s="56" t="s">
        <v>42</v>
      </c>
      <c r="U2" s="56" t="s">
        <v>43</v>
      </c>
      <c r="V2" s="56" t="s">
        <v>44</v>
      </c>
      <c r="W2" s="56" t="s">
        <v>45</v>
      </c>
      <c r="X2" s="56" t="s">
        <v>605</v>
      </c>
      <c r="Y2" s="56" t="s">
        <v>606</v>
      </c>
      <c r="Z2" s="135" t="s">
        <v>59</v>
      </c>
      <c r="AA2" s="86" t="s">
        <v>507</v>
      </c>
      <c r="AB2" s="86" t="s">
        <v>607</v>
      </c>
      <c r="AC2" s="86" t="s">
        <v>608</v>
      </c>
      <c r="AD2" s="86" t="s">
        <v>609</v>
      </c>
      <c r="AE2" s="86" t="s">
        <v>610</v>
      </c>
      <c r="AF2" s="86" t="s">
        <v>63</v>
      </c>
      <c r="AG2" s="86" t="s">
        <v>64</v>
      </c>
      <c r="AH2" s="58" t="s">
        <v>65</v>
      </c>
      <c r="AI2" s="86" t="s">
        <v>66</v>
      </c>
      <c r="AJ2" s="86" t="s">
        <v>611</v>
      </c>
      <c r="AK2" s="86" t="s">
        <v>68</v>
      </c>
      <c r="AL2" s="86" t="s">
        <v>69</v>
      </c>
      <c r="AM2" s="86" t="s">
        <v>70</v>
      </c>
      <c r="AN2" s="86" t="s">
        <v>71</v>
      </c>
      <c r="AO2" s="86" t="s">
        <v>72</v>
      </c>
    </row>
    <row r="3" spans="1:41" x14ac:dyDescent="0.25">
      <c r="A3" s="43">
        <f>IF(tbl_network[[#This Row],[No Asset]]&lt;&gt;"",SUBTOTAL(3,INDEX(tbl_network[No Asset],1):tbl_network[[#This Row],[No Asset]]),"")</f>
        <v>1</v>
      </c>
      <c r="B3" t="str">
        <f>IF(OR(tbl_network[[#This Row],[Purchase Date]]="",tbl_network[[#This Row],[Categories]]=""),"",
TEXT(tbl_network[[#This Row],[Purchase Date]],"YYMM")&amp;
_xlfn.XLOOKUP(tbl_network[[#This Row],[Categories]],CODEX!$Z:$Z,CODEX!$W:$W,"")&amp;
TEXT(_xlfn.XLOOKUP(tbl_network[[#This Row],[Categories]],CODEX!$Z:$Z,CODEX!$Y:$Y,""),"00")&amp;
TEXT(COUNTIFS(INDEX(tbl_network[Purchase Date],1):tbl_network[[#This Row],[Purchase Date]],"&gt;="&amp;DATE(YEAR(tbl_network[[#This Row],[Purchase Date]]),MONTH(tbl_network[[#This Row],[Purchase Date]]),1),INDEX(tbl_network[Purchase Date],1):tbl_network[[#This Row],[Purchase Date]],"&lt;"&amp;EDATE(DATE(YEAR(tbl_network[[#This Row],[Purchase Date]]),MONTH(tbl_network[[#This Row],[Purchase Date]]),1),1),INDEX(tbl_network[Categories],1):tbl_network[[#This Row],[Categories]],tbl_network[[#This Row],[Categories]]),"000"))</f>
        <v>2601103001</v>
      </c>
      <c r="C3" s="74">
        <v>46023</v>
      </c>
      <c r="D3" t="s">
        <v>612</v>
      </c>
      <c r="E3" t="s">
        <v>74</v>
      </c>
      <c r="F3" s="45" t="s">
        <v>613</v>
      </c>
      <c r="G3" s="69" t="s">
        <v>614</v>
      </c>
      <c r="H3" s="69" t="s">
        <v>615</v>
      </c>
      <c r="I3" t="s">
        <v>616</v>
      </c>
      <c r="J3" s="13" t="s">
        <v>617</v>
      </c>
      <c r="K3" s="13" t="s">
        <v>618</v>
      </c>
      <c r="L3" s="13" t="s">
        <v>619</v>
      </c>
      <c r="M3" s="1" t="s">
        <v>615</v>
      </c>
      <c r="N3" t="s">
        <v>620</v>
      </c>
      <c r="O3" s="13" t="s">
        <v>621</v>
      </c>
      <c r="P3" s="1" t="s">
        <v>622</v>
      </c>
      <c r="Q3" s="1" t="s">
        <v>623</v>
      </c>
      <c r="R3" s="1" t="s">
        <v>624</v>
      </c>
      <c r="S3" s="1" t="s">
        <v>625</v>
      </c>
      <c r="T3" s="13" t="s">
        <v>87</v>
      </c>
      <c r="U3" t="s">
        <v>626</v>
      </c>
      <c r="V3" s="13" t="s">
        <v>87</v>
      </c>
      <c r="W3" t="s">
        <v>627</v>
      </c>
      <c r="Y3" s="143" t="s">
        <v>628</v>
      </c>
      <c r="Z3" s="13" t="s">
        <v>629</v>
      </c>
      <c r="AA3" s="13">
        <v>1</v>
      </c>
      <c r="AB3" s="13">
        <v>8</v>
      </c>
      <c r="AC3" s="13">
        <v>2</v>
      </c>
      <c r="AD3" s="13">
        <v>1</v>
      </c>
      <c r="AE3" s="13">
        <v>1</v>
      </c>
      <c r="AF3" s="13" t="s">
        <v>122</v>
      </c>
      <c r="AG3" s="1" t="s">
        <v>630</v>
      </c>
      <c r="AH3" s="1" t="s">
        <v>105</v>
      </c>
      <c r="AI3" s="1" t="s">
        <v>154</v>
      </c>
      <c r="AN3" s="60" t="b">
        <v>0</v>
      </c>
      <c r="AO3" t="s">
        <v>631</v>
      </c>
    </row>
    <row r="4" spans="1:41" x14ac:dyDescent="0.25">
      <c r="A4" s="43">
        <f>IF(tbl_network[[#This Row],[No Asset]]&lt;&gt;"",SUBTOTAL(3,INDEX(tbl_network[No Asset],1):tbl_network[[#This Row],[No Asset]]),"")</f>
        <v>2</v>
      </c>
      <c r="B4" t="str">
        <f>IF(OR(tbl_network[[#This Row],[Purchase Date]]="",tbl_network[[#This Row],[Categories]]=""),"",
TEXT(tbl_network[[#This Row],[Purchase Date]],"YYMM")&amp;
_xlfn.XLOOKUP(tbl_network[[#This Row],[Categories]],CODEX!$Z:$Z,CODEX!$W:$W,"")&amp;
TEXT(_xlfn.XLOOKUP(tbl_network[[#This Row],[Categories]],CODEX!$Z:$Z,CODEX!$Y:$Y,""),"00")&amp;
TEXT(COUNTIFS(INDEX(tbl_network[Purchase Date],1):tbl_network[[#This Row],[Purchase Date]],"&gt;="&amp;DATE(YEAR(tbl_network[[#This Row],[Purchase Date]]),MONTH(tbl_network[[#This Row],[Purchase Date]]),1),INDEX(tbl_network[Purchase Date],1):tbl_network[[#This Row],[Purchase Date]],"&lt;"&amp;EDATE(DATE(YEAR(tbl_network[[#This Row],[Purchase Date]]),MONTH(tbl_network[[#This Row],[Purchase Date]]),1),1),INDEX(tbl_network[Categories],1):tbl_network[[#This Row],[Categories]],tbl_network[[#This Row],[Categories]]),"000"))</f>
        <v>2601103002</v>
      </c>
      <c r="C4" s="74">
        <v>46023</v>
      </c>
      <c r="D4" t="s">
        <v>612</v>
      </c>
      <c r="E4" t="s">
        <v>74</v>
      </c>
      <c r="F4" s="45" t="s">
        <v>613</v>
      </c>
      <c r="G4" s="69" t="s">
        <v>614</v>
      </c>
      <c r="H4" s="69" t="s">
        <v>632</v>
      </c>
      <c r="I4" t="s">
        <v>633</v>
      </c>
      <c r="J4" s="13" t="s">
        <v>634</v>
      </c>
      <c r="K4" s="13" t="s">
        <v>635</v>
      </c>
      <c r="L4" s="13" t="s">
        <v>636</v>
      </c>
      <c r="M4" s="1" t="s">
        <v>637</v>
      </c>
      <c r="N4" t="s">
        <v>638</v>
      </c>
      <c r="O4" t="s">
        <v>639</v>
      </c>
      <c r="P4" s="1" t="s">
        <v>636</v>
      </c>
      <c r="Q4" s="1" t="s">
        <v>640</v>
      </c>
      <c r="R4" s="1" t="s">
        <v>641</v>
      </c>
      <c r="S4" s="1" t="s">
        <v>642</v>
      </c>
      <c r="T4" s="13" t="s">
        <v>87</v>
      </c>
      <c r="U4" t="s">
        <v>643</v>
      </c>
      <c r="V4" s="13" t="s">
        <v>87</v>
      </c>
      <c r="W4" t="s">
        <v>644</v>
      </c>
      <c r="Y4" s="143" t="s">
        <v>645</v>
      </c>
      <c r="Z4" t="s">
        <v>87</v>
      </c>
      <c r="AA4" s="13">
        <v>1</v>
      </c>
      <c r="AB4" s="13">
        <v>24</v>
      </c>
      <c r="AC4" s="13">
        <v>4</v>
      </c>
      <c r="AD4" s="13">
        <v>1</v>
      </c>
      <c r="AE4" s="13">
        <v>1</v>
      </c>
      <c r="AF4" s="13" t="s">
        <v>122</v>
      </c>
      <c r="AG4" s="1" t="s">
        <v>630</v>
      </c>
      <c r="AH4" s="1" t="s">
        <v>105</v>
      </c>
      <c r="AI4" s="1" t="s">
        <v>154</v>
      </c>
      <c r="AN4" s="60" t="b">
        <v>0</v>
      </c>
      <c r="AO4" t="s">
        <v>631</v>
      </c>
    </row>
    <row r="5" spans="1:41" x14ac:dyDescent="0.25">
      <c r="A5" s="43">
        <f>IF(tbl_network[[#This Row],[No Asset]]&lt;&gt;"",SUBTOTAL(3,INDEX(tbl_network[No Asset],1):tbl_network[[#This Row],[No Asset]]),"")</f>
        <v>3</v>
      </c>
      <c r="B5" t="str">
        <f>IF(OR(tbl_network[[#This Row],[Purchase Date]]="",tbl_network[[#This Row],[Categories]]=""),"",
TEXT(tbl_network[[#This Row],[Purchase Date]],"YYMM")&amp;
_xlfn.XLOOKUP(tbl_network[[#This Row],[Categories]],CODEX!$Z:$Z,CODEX!$W:$W,"")&amp;
TEXT(_xlfn.XLOOKUP(tbl_network[[#This Row],[Categories]],CODEX!$Z:$Z,CODEX!$Y:$Y,""),"00")&amp;
TEXT(COUNTIFS(INDEX(tbl_network[Purchase Date],1):tbl_network[[#This Row],[Purchase Date]],"&gt;="&amp;DATE(YEAR(tbl_network[[#This Row],[Purchase Date]]),MONTH(tbl_network[[#This Row],[Purchase Date]]),1),INDEX(tbl_network[Purchase Date],1):tbl_network[[#This Row],[Purchase Date]],"&lt;"&amp;EDATE(DATE(YEAR(tbl_network[[#This Row],[Purchase Date]]),MONTH(tbl_network[[#This Row],[Purchase Date]]),1),1),INDEX(tbl_network[Categories],1):tbl_network[[#This Row],[Categories]],tbl_network[[#This Row],[Categories]]),"000"))</f>
        <v>2601103003</v>
      </c>
      <c r="C5" s="74">
        <v>46023</v>
      </c>
      <c r="D5" t="s">
        <v>612</v>
      </c>
      <c r="E5" t="s">
        <v>74</v>
      </c>
      <c r="F5" s="45" t="s">
        <v>646</v>
      </c>
      <c r="G5" s="69" t="s">
        <v>614</v>
      </c>
      <c r="H5" s="69" t="s">
        <v>632</v>
      </c>
      <c r="I5" t="s">
        <v>647</v>
      </c>
      <c r="J5" s="13" t="s">
        <v>634</v>
      </c>
      <c r="K5" s="13" t="s">
        <v>648</v>
      </c>
      <c r="L5" s="13" t="s">
        <v>636</v>
      </c>
      <c r="M5" s="1" t="s">
        <v>649</v>
      </c>
      <c r="N5" t="s">
        <v>650</v>
      </c>
      <c r="O5" t="s">
        <v>651</v>
      </c>
      <c r="P5" s="1" t="s">
        <v>636</v>
      </c>
      <c r="Q5" s="1" t="s">
        <v>652</v>
      </c>
      <c r="R5" s="1" t="s">
        <v>641</v>
      </c>
      <c r="S5" s="1" t="s">
        <v>642</v>
      </c>
      <c r="T5" s="13" t="s">
        <v>87</v>
      </c>
      <c r="U5" t="s">
        <v>653</v>
      </c>
      <c r="V5" s="13" t="s">
        <v>87</v>
      </c>
      <c r="W5" t="s">
        <v>654</v>
      </c>
      <c r="Y5" s="143" t="s">
        <v>655</v>
      </c>
      <c r="Z5" t="s">
        <v>87</v>
      </c>
      <c r="AA5" s="13">
        <v>1</v>
      </c>
      <c r="AB5" s="13">
        <v>24</v>
      </c>
      <c r="AC5" s="13">
        <v>4</v>
      </c>
      <c r="AD5" s="13">
        <v>1</v>
      </c>
      <c r="AE5" s="13">
        <v>1</v>
      </c>
      <c r="AF5" s="13" t="s">
        <v>122</v>
      </c>
      <c r="AG5" s="1" t="s">
        <v>630</v>
      </c>
      <c r="AH5" s="1" t="s">
        <v>105</v>
      </c>
      <c r="AI5" s="1" t="s">
        <v>154</v>
      </c>
      <c r="AN5" s="60" t="b">
        <v>0</v>
      </c>
      <c r="AO5" t="s">
        <v>631</v>
      </c>
    </row>
    <row r="6" spans="1:41" x14ac:dyDescent="0.25">
      <c r="A6" s="43">
        <f>IF(tbl_network[[#This Row],[No Asset]]&lt;&gt;"",SUBTOTAL(3,INDEX(tbl_network[No Asset],1):tbl_network[[#This Row],[No Asset]]),"")</f>
        <v>4</v>
      </c>
      <c r="B6" t="str">
        <f>IF(OR(tbl_network[[#This Row],[Purchase Date]]="",tbl_network[[#This Row],[Categories]]=""),"",
TEXT(tbl_network[[#This Row],[Purchase Date]],"YYMM")&amp;
_xlfn.XLOOKUP(tbl_network[[#This Row],[Categories]],CODEX!$Z:$Z,CODEX!$W:$W,"")&amp;
TEXT(_xlfn.XLOOKUP(tbl_network[[#This Row],[Categories]],CODEX!$Z:$Z,CODEX!$Y:$Y,""),"00")&amp;
TEXT(COUNTIFS(INDEX(tbl_network[Purchase Date],1):tbl_network[[#This Row],[Purchase Date]],"&gt;="&amp;DATE(YEAR(tbl_network[[#This Row],[Purchase Date]]),MONTH(tbl_network[[#This Row],[Purchase Date]]),1),INDEX(tbl_network[Purchase Date],1):tbl_network[[#This Row],[Purchase Date]],"&lt;"&amp;EDATE(DATE(YEAR(tbl_network[[#This Row],[Purchase Date]]),MONTH(tbl_network[[#This Row],[Purchase Date]]),1),1),INDEX(tbl_network[Categories],1):tbl_network[[#This Row],[Categories]],tbl_network[[#This Row],[Categories]]),"000"))</f>
        <v>2601103004</v>
      </c>
      <c r="C6" s="74">
        <v>46023</v>
      </c>
      <c r="D6" t="s">
        <v>612</v>
      </c>
      <c r="E6" t="s">
        <v>74</v>
      </c>
      <c r="F6" s="45" t="s">
        <v>656</v>
      </c>
      <c r="G6" s="69" t="s">
        <v>614</v>
      </c>
      <c r="H6" s="69" t="s">
        <v>632</v>
      </c>
      <c r="I6" t="s">
        <v>647</v>
      </c>
      <c r="J6" s="13" t="s">
        <v>634</v>
      </c>
      <c r="K6" s="13" t="s">
        <v>657</v>
      </c>
      <c r="L6" s="13" t="s">
        <v>636</v>
      </c>
      <c r="M6" s="1" t="s">
        <v>649</v>
      </c>
      <c r="N6" t="s">
        <v>650</v>
      </c>
      <c r="O6" t="s">
        <v>651</v>
      </c>
      <c r="P6" s="1" t="s">
        <v>636</v>
      </c>
      <c r="Q6" s="1" t="s">
        <v>652</v>
      </c>
      <c r="R6" s="1" t="s">
        <v>641</v>
      </c>
      <c r="S6" s="1" t="s">
        <v>642</v>
      </c>
      <c r="T6" s="13" t="s">
        <v>87</v>
      </c>
      <c r="U6" t="s">
        <v>658</v>
      </c>
      <c r="V6" s="13" t="s">
        <v>87</v>
      </c>
      <c r="W6" t="s">
        <v>659</v>
      </c>
      <c r="Y6" s="143" t="s">
        <v>660</v>
      </c>
      <c r="Z6" t="s">
        <v>87</v>
      </c>
      <c r="AA6" s="13">
        <v>1</v>
      </c>
      <c r="AB6" s="13">
        <v>24</v>
      </c>
      <c r="AC6" s="13">
        <v>4</v>
      </c>
      <c r="AD6" s="13">
        <v>1</v>
      </c>
      <c r="AE6" s="13">
        <v>1</v>
      </c>
      <c r="AF6" s="13" t="s">
        <v>122</v>
      </c>
      <c r="AG6" s="1" t="s">
        <v>630</v>
      </c>
      <c r="AH6" s="1" t="s">
        <v>105</v>
      </c>
      <c r="AI6" s="1" t="s">
        <v>154</v>
      </c>
      <c r="AN6" s="60" t="b">
        <v>0</v>
      </c>
      <c r="AO6" t="s">
        <v>631</v>
      </c>
    </row>
    <row r="7" spans="1:41" x14ac:dyDescent="0.25">
      <c r="A7" s="43">
        <f>IF(tbl_network[[#This Row],[No Asset]]&lt;&gt;"",SUBTOTAL(3,INDEX(tbl_network[No Asset],1):tbl_network[[#This Row],[No Asset]]),"")</f>
        <v>5</v>
      </c>
      <c r="B7" t="str">
        <f>IF(OR(tbl_network[[#This Row],[Purchase Date]]="",tbl_network[[#This Row],[Categories]]=""),"",
TEXT(tbl_network[[#This Row],[Purchase Date]],"YYMM")&amp;
_xlfn.XLOOKUP(tbl_network[[#This Row],[Categories]],CODEX!$Z:$Z,CODEX!$W:$W,"")&amp;
TEXT(_xlfn.XLOOKUP(tbl_network[[#This Row],[Categories]],CODEX!$Z:$Z,CODEX!$Y:$Y,""),"00")&amp;
TEXT(COUNTIFS(INDEX(tbl_network[Purchase Date],1):tbl_network[[#This Row],[Purchase Date]],"&gt;="&amp;DATE(YEAR(tbl_network[[#This Row],[Purchase Date]]),MONTH(tbl_network[[#This Row],[Purchase Date]]),1),INDEX(tbl_network[Purchase Date],1):tbl_network[[#This Row],[Purchase Date]],"&lt;"&amp;EDATE(DATE(YEAR(tbl_network[[#This Row],[Purchase Date]]),MONTH(tbl_network[[#This Row],[Purchase Date]]),1),1),INDEX(tbl_network[Categories],1):tbl_network[[#This Row],[Categories]],tbl_network[[#This Row],[Categories]]),"000"))</f>
        <v>2601103005</v>
      </c>
      <c r="C7" s="74">
        <v>46023</v>
      </c>
      <c r="D7" t="s">
        <v>612</v>
      </c>
      <c r="E7" t="s">
        <v>74</v>
      </c>
      <c r="F7" s="45" t="s">
        <v>646</v>
      </c>
      <c r="G7" s="69" t="s">
        <v>614</v>
      </c>
      <c r="H7" s="69" t="s">
        <v>632</v>
      </c>
      <c r="I7" t="s">
        <v>661</v>
      </c>
      <c r="J7" s="13" t="s">
        <v>662</v>
      </c>
      <c r="K7" s="1" t="s">
        <v>663</v>
      </c>
      <c r="L7" s="13" t="s">
        <v>636</v>
      </c>
      <c r="M7" s="13" t="s">
        <v>664</v>
      </c>
      <c r="N7" t="s">
        <v>665</v>
      </c>
      <c r="O7" t="s">
        <v>666</v>
      </c>
      <c r="P7" s="1" t="s">
        <v>636</v>
      </c>
      <c r="Q7" s="1" t="s">
        <v>667</v>
      </c>
      <c r="R7" s="1" t="s">
        <v>641</v>
      </c>
      <c r="S7" s="1" t="s">
        <v>642</v>
      </c>
      <c r="T7" s="13" t="s">
        <v>87</v>
      </c>
      <c r="U7" t="s">
        <v>668</v>
      </c>
      <c r="V7" s="13" t="s">
        <v>87</v>
      </c>
      <c r="W7" t="s">
        <v>669</v>
      </c>
      <c r="Y7" s="143" t="s">
        <v>670</v>
      </c>
      <c r="Z7" t="s">
        <v>87</v>
      </c>
      <c r="AA7" s="13">
        <v>1</v>
      </c>
      <c r="AB7" s="13">
        <v>10</v>
      </c>
      <c r="AC7" s="13">
        <v>2</v>
      </c>
      <c r="AD7" s="13">
        <v>1</v>
      </c>
      <c r="AE7" s="13">
        <v>1</v>
      </c>
      <c r="AF7" s="13" t="s">
        <v>122</v>
      </c>
      <c r="AG7" s="1" t="s">
        <v>630</v>
      </c>
      <c r="AH7" s="1" t="s">
        <v>105</v>
      </c>
      <c r="AI7" s="1" t="s">
        <v>154</v>
      </c>
      <c r="AJ7" s="1" t="s">
        <v>671</v>
      </c>
      <c r="AN7" s="60" t="b">
        <v>0</v>
      </c>
      <c r="AO7" t="s">
        <v>631</v>
      </c>
    </row>
    <row r="8" spans="1:41" x14ac:dyDescent="0.25">
      <c r="A8" s="43">
        <f>IF(tbl_network[[#This Row],[No Asset]]&lt;&gt;"",SUBTOTAL(3,INDEX(tbl_network[No Asset],1):tbl_network[[#This Row],[No Asset]]),"")</f>
        <v>6</v>
      </c>
      <c r="B8" t="str">
        <f>IF(OR(tbl_network[[#This Row],[Purchase Date]]="",tbl_network[[#This Row],[Categories]]=""),"",
TEXT(tbl_network[[#This Row],[Purchase Date]],"YYMM")&amp;
_xlfn.XLOOKUP(tbl_network[[#This Row],[Categories]],CODEX!$Z:$Z,CODEX!$W:$W,"")&amp;
TEXT(_xlfn.XLOOKUP(tbl_network[[#This Row],[Categories]],CODEX!$Z:$Z,CODEX!$Y:$Y,""),"00")&amp;
TEXT(COUNTIFS(INDEX(tbl_network[Purchase Date],1):tbl_network[[#This Row],[Purchase Date]],"&gt;="&amp;DATE(YEAR(tbl_network[[#This Row],[Purchase Date]]),MONTH(tbl_network[[#This Row],[Purchase Date]]),1),INDEX(tbl_network[Purchase Date],1):tbl_network[[#This Row],[Purchase Date]],"&lt;"&amp;EDATE(DATE(YEAR(tbl_network[[#This Row],[Purchase Date]]),MONTH(tbl_network[[#This Row],[Purchase Date]]),1),1),INDEX(tbl_network[Categories],1):tbl_network[[#This Row],[Categories]],tbl_network[[#This Row],[Categories]]),"000"))</f>
        <v>2601103006</v>
      </c>
      <c r="C8" s="74">
        <v>46023</v>
      </c>
      <c r="D8" t="s">
        <v>612</v>
      </c>
      <c r="E8" t="s">
        <v>74</v>
      </c>
      <c r="F8" s="45" t="s">
        <v>646</v>
      </c>
      <c r="G8" s="69" t="s">
        <v>614</v>
      </c>
      <c r="H8" s="69" t="s">
        <v>632</v>
      </c>
      <c r="I8" t="s">
        <v>661</v>
      </c>
      <c r="J8" s="13" t="s">
        <v>662</v>
      </c>
      <c r="K8" s="1" t="s">
        <v>672</v>
      </c>
      <c r="L8" s="13" t="s">
        <v>636</v>
      </c>
      <c r="M8" s="13" t="s">
        <v>664</v>
      </c>
      <c r="N8" t="s">
        <v>665</v>
      </c>
      <c r="O8" t="s">
        <v>673</v>
      </c>
      <c r="P8" s="1" t="s">
        <v>636</v>
      </c>
      <c r="Q8" s="1" t="s">
        <v>667</v>
      </c>
      <c r="R8" s="1" t="s">
        <v>641</v>
      </c>
      <c r="S8" s="1" t="s">
        <v>642</v>
      </c>
      <c r="T8" s="13" t="s">
        <v>87</v>
      </c>
      <c r="U8" t="s">
        <v>674</v>
      </c>
      <c r="V8" s="13" t="s">
        <v>87</v>
      </c>
      <c r="W8" t="s">
        <v>675</v>
      </c>
      <c r="Y8" s="143" t="s">
        <v>676</v>
      </c>
      <c r="Z8" t="s">
        <v>87</v>
      </c>
      <c r="AA8" s="13">
        <v>1</v>
      </c>
      <c r="AB8" s="13">
        <v>10</v>
      </c>
      <c r="AC8" s="13">
        <v>2</v>
      </c>
      <c r="AD8" s="13">
        <v>1</v>
      </c>
      <c r="AE8" s="13">
        <v>1</v>
      </c>
      <c r="AF8" s="13" t="s">
        <v>122</v>
      </c>
      <c r="AG8" s="1" t="s">
        <v>630</v>
      </c>
      <c r="AH8" s="1" t="s">
        <v>105</v>
      </c>
      <c r="AI8" s="1" t="s">
        <v>154</v>
      </c>
      <c r="AJ8" s="1" t="s">
        <v>677</v>
      </c>
      <c r="AN8" s="60" t="b">
        <v>0</v>
      </c>
      <c r="AO8" t="s">
        <v>631</v>
      </c>
    </row>
    <row r="9" spans="1:41" x14ac:dyDescent="0.25">
      <c r="A9" s="43">
        <f>IF(tbl_network[[#This Row],[No Asset]]&lt;&gt;"",SUBTOTAL(3,INDEX(tbl_network[No Asset],1):tbl_network[[#This Row],[No Asset]]),"")</f>
        <v>7</v>
      </c>
      <c r="B9" t="str">
        <f>IF(OR(tbl_network[[#This Row],[Purchase Date]]="",tbl_network[[#This Row],[Categories]]=""),"",
TEXT(tbl_network[[#This Row],[Purchase Date]],"YYMM")&amp;
_xlfn.XLOOKUP(tbl_network[[#This Row],[Categories]],CODEX!$Z:$Z,CODEX!$W:$W,"")&amp;
TEXT(_xlfn.XLOOKUP(tbl_network[[#This Row],[Categories]],CODEX!$Z:$Z,CODEX!$Y:$Y,""),"00")&amp;
TEXT(COUNTIFS(INDEX(tbl_network[Purchase Date],1):tbl_network[[#This Row],[Purchase Date]],"&gt;="&amp;DATE(YEAR(tbl_network[[#This Row],[Purchase Date]]),MONTH(tbl_network[[#This Row],[Purchase Date]]),1),INDEX(tbl_network[Purchase Date],1):tbl_network[[#This Row],[Purchase Date]],"&lt;"&amp;EDATE(DATE(YEAR(tbl_network[[#This Row],[Purchase Date]]),MONTH(tbl_network[[#This Row],[Purchase Date]]),1),1),INDEX(tbl_network[Categories],1):tbl_network[[#This Row],[Categories]],tbl_network[[#This Row],[Categories]]),"000"))</f>
        <v>2601103007</v>
      </c>
      <c r="C9" s="74">
        <v>46023</v>
      </c>
      <c r="D9" t="s">
        <v>612</v>
      </c>
      <c r="E9" t="s">
        <v>74</v>
      </c>
      <c r="F9" s="45" t="s">
        <v>656</v>
      </c>
      <c r="G9" s="69" t="s">
        <v>614</v>
      </c>
      <c r="H9" s="69" t="s">
        <v>632</v>
      </c>
      <c r="I9" t="s">
        <v>661</v>
      </c>
      <c r="J9" s="13" t="s">
        <v>662</v>
      </c>
      <c r="K9" s="1" t="s">
        <v>678</v>
      </c>
      <c r="L9" s="13" t="s">
        <v>636</v>
      </c>
      <c r="M9" s="13" t="s">
        <v>664</v>
      </c>
      <c r="N9" t="s">
        <v>665</v>
      </c>
      <c r="O9" t="s">
        <v>679</v>
      </c>
      <c r="P9" s="1" t="s">
        <v>636</v>
      </c>
      <c r="Q9" s="1" t="s">
        <v>667</v>
      </c>
      <c r="R9" s="1" t="s">
        <v>641</v>
      </c>
      <c r="S9" s="1" t="s">
        <v>642</v>
      </c>
      <c r="T9" s="13" t="s">
        <v>87</v>
      </c>
      <c r="U9" t="s">
        <v>680</v>
      </c>
      <c r="V9" s="13" t="s">
        <v>87</v>
      </c>
      <c r="W9" t="s">
        <v>681</v>
      </c>
      <c r="Y9" s="143" t="s">
        <v>682</v>
      </c>
      <c r="Z9" t="s">
        <v>87</v>
      </c>
      <c r="AA9" s="13">
        <v>1</v>
      </c>
      <c r="AB9" s="13">
        <v>10</v>
      </c>
      <c r="AC9" s="13">
        <v>2</v>
      </c>
      <c r="AD9" s="13">
        <v>1</v>
      </c>
      <c r="AE9" s="13">
        <v>1</v>
      </c>
      <c r="AF9" s="13" t="s">
        <v>122</v>
      </c>
      <c r="AG9" s="1" t="s">
        <v>630</v>
      </c>
      <c r="AH9" s="1" t="s">
        <v>105</v>
      </c>
      <c r="AI9" s="1" t="s">
        <v>154</v>
      </c>
      <c r="AJ9" s="1" t="s">
        <v>683</v>
      </c>
      <c r="AN9" s="60" t="b">
        <v>0</v>
      </c>
      <c r="AO9" t="s">
        <v>631</v>
      </c>
    </row>
    <row r="10" spans="1:41" x14ac:dyDescent="0.25">
      <c r="A10" s="43">
        <f>IF(tbl_network[[#This Row],[No Asset]]&lt;&gt;"",SUBTOTAL(3,INDEX(tbl_network[No Asset],1):tbl_network[[#This Row],[No Asset]]),"")</f>
        <v>8</v>
      </c>
      <c r="B10" t="str">
        <f>IF(OR(tbl_network[[#This Row],[Purchase Date]]="",tbl_network[[#This Row],[Categories]]=""),"",
TEXT(tbl_network[[#This Row],[Purchase Date]],"YYMM")&amp;
_xlfn.XLOOKUP(tbl_network[[#This Row],[Categories]],CODEX!$Z:$Z,CODEX!$W:$W,"")&amp;
TEXT(_xlfn.XLOOKUP(tbl_network[[#This Row],[Categories]],CODEX!$Z:$Z,CODEX!$Y:$Y,""),"00")&amp;
TEXT(COUNTIFS(INDEX(tbl_network[Purchase Date],1):tbl_network[[#This Row],[Purchase Date]],"&gt;="&amp;DATE(YEAR(tbl_network[[#This Row],[Purchase Date]]),MONTH(tbl_network[[#This Row],[Purchase Date]]),1),INDEX(tbl_network[Purchase Date],1):tbl_network[[#This Row],[Purchase Date]],"&lt;"&amp;EDATE(DATE(YEAR(tbl_network[[#This Row],[Purchase Date]]),MONTH(tbl_network[[#This Row],[Purchase Date]]),1),1),INDEX(tbl_network[Categories],1):tbl_network[[#This Row],[Categories]],tbl_network[[#This Row],[Categories]]),"000"))</f>
        <v>2601103008</v>
      </c>
      <c r="C10" s="74">
        <v>46023</v>
      </c>
      <c r="D10" t="s">
        <v>612</v>
      </c>
      <c r="E10" t="s">
        <v>74</v>
      </c>
      <c r="F10" s="45" t="s">
        <v>656</v>
      </c>
      <c r="G10" s="69" t="s">
        <v>614</v>
      </c>
      <c r="H10" s="69" t="s">
        <v>632</v>
      </c>
      <c r="I10" t="s">
        <v>661</v>
      </c>
      <c r="J10" s="13" t="s">
        <v>662</v>
      </c>
      <c r="K10" s="1" t="s">
        <v>684</v>
      </c>
      <c r="L10" s="13" t="s">
        <v>636</v>
      </c>
      <c r="M10" s="13" t="s">
        <v>664</v>
      </c>
      <c r="N10" t="s">
        <v>665</v>
      </c>
      <c r="O10" t="s">
        <v>685</v>
      </c>
      <c r="P10" s="1" t="s">
        <v>636</v>
      </c>
      <c r="Q10" s="1" t="s">
        <v>667</v>
      </c>
      <c r="R10" s="1" t="s">
        <v>641</v>
      </c>
      <c r="S10" s="1" t="s">
        <v>642</v>
      </c>
      <c r="T10" s="13" t="s">
        <v>87</v>
      </c>
      <c r="U10" t="s">
        <v>686</v>
      </c>
      <c r="V10" s="13" t="s">
        <v>87</v>
      </c>
      <c r="W10" t="s">
        <v>687</v>
      </c>
      <c r="Y10" s="143" t="s">
        <v>676</v>
      </c>
      <c r="Z10" t="s">
        <v>87</v>
      </c>
      <c r="AA10" s="13">
        <v>1</v>
      </c>
      <c r="AB10" s="13">
        <v>10</v>
      </c>
      <c r="AC10" s="13">
        <v>2</v>
      </c>
      <c r="AD10" s="13">
        <v>1</v>
      </c>
      <c r="AE10" s="13">
        <v>1</v>
      </c>
      <c r="AF10" s="13" t="s">
        <v>122</v>
      </c>
      <c r="AG10" s="1" t="s">
        <v>630</v>
      </c>
      <c r="AH10" s="1" t="s">
        <v>105</v>
      </c>
      <c r="AI10" s="1" t="s">
        <v>154</v>
      </c>
      <c r="AJ10" s="1" t="s">
        <v>688</v>
      </c>
      <c r="AN10" s="60" t="b">
        <v>0</v>
      </c>
      <c r="AO10" t="s">
        <v>631</v>
      </c>
    </row>
    <row r="11" spans="1:41" x14ac:dyDescent="0.25">
      <c r="A11" s="43" t="str">
        <f>IF(tbl_network[[#This Row],[No Asset]]&lt;&gt;"",SUBTOTAL(3,INDEX(tbl_network[No Asset],1):tbl_network[[#This Row],[No Asset]]),"")</f>
        <v/>
      </c>
      <c r="B11" t="str">
        <f>IF(OR(tbl_network[[#This Row],[Purchase Date]]="",tbl_network[[#This Row],[Categories]]=""),"",
TEXT(tbl_network[[#This Row],[Purchase Date]],"YYMM")&amp;
_xlfn.XLOOKUP(tbl_network[[#This Row],[Categories]],CODEX!$Z:$Z,CODEX!$W:$W,"")&amp;
TEXT(_xlfn.XLOOKUP(tbl_network[[#This Row],[Categories]],CODEX!$Z:$Z,CODEX!$Y:$Y,""),"00")&amp;
TEXT(COUNTIFS(INDEX(tbl_network[Purchase Date],1):tbl_network[[#This Row],[Purchase Date]],"&gt;="&amp;DATE(YEAR(tbl_network[[#This Row],[Purchase Date]]),MONTH(tbl_network[[#This Row],[Purchase Date]]),1),INDEX(tbl_network[Purchase Date],1):tbl_network[[#This Row],[Purchase Date]],"&lt;"&amp;EDATE(DATE(YEAR(tbl_network[[#This Row],[Purchase Date]]),MONTH(tbl_network[[#This Row],[Purchase Date]]),1),1),INDEX(tbl_network[Categories],1):tbl_network[[#This Row],[Categories]],tbl_network[[#This Row],[Categories]]),"000"))</f>
        <v/>
      </c>
      <c r="F11" s="45"/>
      <c r="G11" s="1"/>
      <c r="H11" s="1"/>
      <c r="T11" s="13"/>
      <c r="AN11" s="60" t="b">
        <v>0</v>
      </c>
    </row>
    <row r="12" spans="1:41" x14ac:dyDescent="0.25">
      <c r="A12" s="43" t="str">
        <f>IF(tbl_network[[#This Row],[No Asset]]&lt;&gt;"",SUBTOTAL(3,INDEX(tbl_network[No Asset],1):tbl_network[[#This Row],[No Asset]]),"")</f>
        <v/>
      </c>
      <c r="B12" t="str">
        <f>IF(OR(tbl_network[[#This Row],[Purchase Date]]="",tbl_network[[#This Row],[Categories]]=""),"",
TEXT(tbl_network[[#This Row],[Purchase Date]],"YYMM")&amp;
_xlfn.XLOOKUP(tbl_network[[#This Row],[Categories]],CODEX!$Z:$Z,CODEX!$W:$W,"")&amp;
TEXT(_xlfn.XLOOKUP(tbl_network[[#This Row],[Categories]],CODEX!$Z:$Z,CODEX!$Y:$Y,""),"00")&amp;
TEXT(COUNTIFS(INDEX(tbl_network[Purchase Date],1):tbl_network[[#This Row],[Purchase Date]],"&gt;="&amp;DATE(YEAR(tbl_network[[#This Row],[Purchase Date]]),MONTH(tbl_network[[#This Row],[Purchase Date]]),1),INDEX(tbl_network[Purchase Date],1):tbl_network[[#This Row],[Purchase Date]],"&lt;"&amp;EDATE(DATE(YEAR(tbl_network[[#This Row],[Purchase Date]]),MONTH(tbl_network[[#This Row],[Purchase Date]]),1),1),INDEX(tbl_network[Categories],1):tbl_network[[#This Row],[Categories]],tbl_network[[#This Row],[Categories]]),"000"))</f>
        <v/>
      </c>
      <c r="F12" s="45"/>
      <c r="G12" s="1"/>
      <c r="H12" s="1"/>
      <c r="T12" s="13"/>
      <c r="AN12" s="60" t="b">
        <v>0</v>
      </c>
    </row>
    <row r="13" spans="1:41" x14ac:dyDescent="0.25">
      <c r="A13" s="43" t="str">
        <f>IF(tbl_network[[#This Row],[No Asset]]&lt;&gt;"",SUBTOTAL(3,INDEX(tbl_network[No Asset],1):tbl_network[[#This Row],[No Asset]]),"")</f>
        <v/>
      </c>
      <c r="B13" t="str">
        <f>IF(OR(tbl_network[[#This Row],[Purchase Date]]="",tbl_network[[#This Row],[Categories]]=""),"",
TEXT(tbl_network[[#This Row],[Purchase Date]],"YYMM")&amp;
_xlfn.XLOOKUP(tbl_network[[#This Row],[Categories]],CODEX!$Z:$Z,CODEX!$W:$W,"")&amp;
TEXT(_xlfn.XLOOKUP(tbl_network[[#This Row],[Categories]],CODEX!$Z:$Z,CODEX!$Y:$Y,""),"00")&amp;
TEXT(COUNTIFS(INDEX(tbl_network[Purchase Date],1):tbl_network[[#This Row],[Purchase Date]],"&gt;="&amp;DATE(YEAR(tbl_network[[#This Row],[Purchase Date]]),MONTH(tbl_network[[#This Row],[Purchase Date]]),1),INDEX(tbl_network[Purchase Date],1):tbl_network[[#This Row],[Purchase Date]],"&lt;"&amp;EDATE(DATE(YEAR(tbl_network[[#This Row],[Purchase Date]]),MONTH(tbl_network[[#This Row],[Purchase Date]]),1),1),INDEX(tbl_network[Categories],1):tbl_network[[#This Row],[Categories]],tbl_network[[#This Row],[Categories]]),"000"))</f>
        <v/>
      </c>
      <c r="F13" s="45"/>
      <c r="G13" s="69"/>
      <c r="H13" s="69"/>
      <c r="T13" s="13"/>
      <c r="AN13" s="60" t="b">
        <v>0</v>
      </c>
      <c r="AO13" t="str">
        <f>_xlfn.IFNA(INDEX(tbl_handover[No. Handover],MATCH(tbl_network[[#This Row],[No Asset]],tbl_handover[Asset Code],0)),"")</f>
        <v/>
      </c>
    </row>
    <row r="14" spans="1:41" x14ac:dyDescent="0.25">
      <c r="A14" s="43" t="str">
        <f>IF(tbl_network[[#This Row],[No Asset]]&lt;&gt;"",SUBTOTAL(3,INDEX(tbl_network[No Asset],1):tbl_network[[#This Row],[No Asset]]),"")</f>
        <v/>
      </c>
      <c r="B14" t="str">
        <f>IF(OR(tbl_network[[#This Row],[Purchase Date]]="",tbl_network[[#This Row],[Categories]]=""),"",
TEXT(tbl_network[[#This Row],[Purchase Date]],"YYMM")&amp;
_xlfn.XLOOKUP(tbl_network[[#This Row],[Categories]],CODEX!$Z:$Z,CODEX!$W:$W,"")&amp;
TEXT(_xlfn.XLOOKUP(tbl_network[[#This Row],[Categories]],CODEX!$Z:$Z,CODEX!$Y:$Y,""),"00")&amp;
TEXT(COUNTIFS(INDEX(tbl_network[Purchase Date],1):tbl_network[[#This Row],[Purchase Date]],"&gt;="&amp;DATE(YEAR(tbl_network[[#This Row],[Purchase Date]]),MONTH(tbl_network[[#This Row],[Purchase Date]]),1),INDEX(tbl_network[Purchase Date],1):tbl_network[[#This Row],[Purchase Date]],"&lt;"&amp;EDATE(DATE(YEAR(tbl_network[[#This Row],[Purchase Date]]),MONTH(tbl_network[[#This Row],[Purchase Date]]),1),1),INDEX(tbl_network[Categories],1):tbl_network[[#This Row],[Categories]],tbl_network[[#This Row],[Categories]]),"000"))</f>
        <v/>
      </c>
      <c r="F14" s="45"/>
      <c r="G14" s="69"/>
      <c r="H14" s="69"/>
      <c r="T14" s="13"/>
      <c r="AN14" s="60" t="b">
        <v>0</v>
      </c>
      <c r="AO14" t="str">
        <f>_xlfn.IFNA(INDEX(tbl_handover[No. Handover],MATCH(tbl_network[[#This Row],[No Asset]],tbl_handover[Asset Code],0)),"")</f>
        <v/>
      </c>
    </row>
    <row r="15" spans="1:41" x14ac:dyDescent="0.25">
      <c r="A15" s="43" t="str">
        <f>IF(tbl_network[[#This Row],[No Asset]]&lt;&gt;"",SUBTOTAL(3,INDEX(tbl_network[No Asset],1):tbl_network[[#This Row],[No Asset]]),"")</f>
        <v/>
      </c>
      <c r="B15" t="str">
        <f>IF(OR(tbl_network[[#This Row],[Purchase Date]]="",tbl_network[[#This Row],[Categories]]=""),"",
TEXT(tbl_network[[#This Row],[Purchase Date]],"YYMM")&amp;
_xlfn.XLOOKUP(tbl_network[[#This Row],[Categories]],CODEX!$Z:$Z,CODEX!$W:$W,"")&amp;
TEXT(_xlfn.XLOOKUP(tbl_network[[#This Row],[Categories]],CODEX!$Z:$Z,CODEX!$Y:$Y,""),"00")&amp;
TEXT(COUNTIFS(INDEX(tbl_network[Purchase Date],1):tbl_network[[#This Row],[Purchase Date]],"&gt;="&amp;DATE(YEAR(tbl_network[[#This Row],[Purchase Date]]),MONTH(tbl_network[[#This Row],[Purchase Date]]),1),INDEX(tbl_network[Purchase Date],1):tbl_network[[#This Row],[Purchase Date]],"&lt;"&amp;EDATE(DATE(YEAR(tbl_network[[#This Row],[Purchase Date]]),MONTH(tbl_network[[#This Row],[Purchase Date]]),1),1),INDEX(tbl_network[Categories],1):tbl_network[[#This Row],[Categories]],tbl_network[[#This Row],[Categories]]),"000"))</f>
        <v/>
      </c>
      <c r="F15" s="45"/>
      <c r="G15" s="69"/>
      <c r="H15" s="69"/>
      <c r="T15" s="13"/>
      <c r="AN15" s="60" t="b">
        <v>0</v>
      </c>
      <c r="AO15" t="str">
        <f>_xlfn.IFNA(INDEX(tbl_handover[No. Handover],MATCH(tbl_network[[#This Row],[No Asset]],tbl_handover[Asset Code],0)),"")</f>
        <v/>
      </c>
    </row>
    <row r="16" spans="1:41" x14ac:dyDescent="0.25">
      <c r="A16" s="43" t="str">
        <f>IF(tbl_network[[#This Row],[No Asset]]&lt;&gt;"",SUBTOTAL(3,INDEX(tbl_network[No Asset],1):tbl_network[[#This Row],[No Asset]]),"")</f>
        <v/>
      </c>
      <c r="B16" t="str">
        <f>IF(OR(tbl_network[[#This Row],[Purchase Date]]="",tbl_network[[#This Row],[Categories]]=""),"",
TEXT(tbl_network[[#This Row],[Purchase Date]],"YYMM")&amp;
_xlfn.XLOOKUP(tbl_network[[#This Row],[Categories]],CODEX!$Z:$Z,CODEX!$W:$W,"")&amp;
TEXT(_xlfn.XLOOKUP(tbl_network[[#This Row],[Categories]],CODEX!$Z:$Z,CODEX!$Y:$Y,""),"00")&amp;
TEXT(COUNTIFS(INDEX(tbl_network[Purchase Date],1):tbl_network[[#This Row],[Purchase Date]],"&gt;="&amp;DATE(YEAR(tbl_network[[#This Row],[Purchase Date]]),MONTH(tbl_network[[#This Row],[Purchase Date]]),1),INDEX(tbl_network[Purchase Date],1):tbl_network[[#This Row],[Purchase Date]],"&lt;"&amp;EDATE(DATE(YEAR(tbl_network[[#This Row],[Purchase Date]]),MONTH(tbl_network[[#This Row],[Purchase Date]]),1),1),INDEX(tbl_network[Categories],1):tbl_network[[#This Row],[Categories]],tbl_network[[#This Row],[Categories]]),"000"))</f>
        <v/>
      </c>
      <c r="F16" s="45"/>
      <c r="G16" s="69"/>
      <c r="H16" s="69"/>
      <c r="T16" s="13"/>
      <c r="AN16" s="60" t="b">
        <v>0</v>
      </c>
      <c r="AO16" t="str">
        <f>_xlfn.IFNA(INDEX(tbl_handover[No. Handover],MATCH(tbl_network[[#This Row],[No Asset]],tbl_handover[Asset Code],0)),"")</f>
        <v/>
      </c>
    </row>
    <row r="17" spans="1:41" x14ac:dyDescent="0.25">
      <c r="A17" s="43" t="str">
        <f>IF(tbl_network[[#This Row],[No Asset]]&lt;&gt;"",SUBTOTAL(3,INDEX(tbl_network[No Asset],1):tbl_network[[#This Row],[No Asset]]),"")</f>
        <v/>
      </c>
      <c r="B17" t="str">
        <f>IF(OR(tbl_network[[#This Row],[Purchase Date]]="",tbl_network[[#This Row],[Categories]]=""),"",
TEXT(tbl_network[[#This Row],[Purchase Date]],"YYMM")&amp;
_xlfn.XLOOKUP(tbl_network[[#This Row],[Categories]],CODEX!$Z:$Z,CODEX!$W:$W,"")&amp;
TEXT(_xlfn.XLOOKUP(tbl_network[[#This Row],[Categories]],CODEX!$Z:$Z,CODEX!$Y:$Y,""),"00")&amp;
TEXT(COUNTIFS(INDEX(tbl_network[Purchase Date],1):tbl_network[[#This Row],[Purchase Date]],"&gt;="&amp;DATE(YEAR(tbl_network[[#This Row],[Purchase Date]]),MONTH(tbl_network[[#This Row],[Purchase Date]]),1),INDEX(tbl_network[Purchase Date],1):tbl_network[[#This Row],[Purchase Date]],"&lt;"&amp;EDATE(DATE(YEAR(tbl_network[[#This Row],[Purchase Date]]),MONTH(tbl_network[[#This Row],[Purchase Date]]),1),1),INDEX(tbl_network[Categories],1):tbl_network[[#This Row],[Categories]],tbl_network[[#This Row],[Categories]]),"000"))</f>
        <v/>
      </c>
      <c r="F17" s="45"/>
      <c r="G17" s="69"/>
      <c r="H17" s="69"/>
      <c r="T17" s="13"/>
      <c r="AN17" s="60" t="b">
        <v>0</v>
      </c>
      <c r="AO17" t="str">
        <f>_xlfn.IFNA(INDEX(tbl_handover[No. Handover],MATCH(tbl_network[[#This Row],[No Asset]],tbl_handover[Asset Code],0)),"")</f>
        <v/>
      </c>
    </row>
    <row r="18" spans="1:41" x14ac:dyDescent="0.25">
      <c r="A18" s="43" t="str">
        <f>IF(tbl_network[[#This Row],[No Asset]]&lt;&gt;"",SUBTOTAL(3,INDEX(tbl_network[No Asset],1):tbl_network[[#This Row],[No Asset]]),"")</f>
        <v/>
      </c>
      <c r="B18" t="str">
        <f>IF(OR(tbl_network[[#This Row],[Purchase Date]]="",tbl_network[[#This Row],[Categories]]=""),"",
TEXT(tbl_network[[#This Row],[Purchase Date]],"YYMM")&amp;
_xlfn.XLOOKUP(tbl_network[[#This Row],[Categories]],CODEX!$Z:$Z,CODEX!$W:$W,"")&amp;
TEXT(_xlfn.XLOOKUP(tbl_network[[#This Row],[Categories]],CODEX!$Z:$Z,CODEX!$Y:$Y,""),"00")&amp;
TEXT(COUNTIFS(INDEX(tbl_network[Purchase Date],1):tbl_network[[#This Row],[Purchase Date]],"&gt;="&amp;DATE(YEAR(tbl_network[[#This Row],[Purchase Date]]),MONTH(tbl_network[[#This Row],[Purchase Date]]),1),INDEX(tbl_network[Purchase Date],1):tbl_network[[#This Row],[Purchase Date]],"&lt;"&amp;EDATE(DATE(YEAR(tbl_network[[#This Row],[Purchase Date]]),MONTH(tbl_network[[#This Row],[Purchase Date]]),1),1),INDEX(tbl_network[Categories],1):tbl_network[[#This Row],[Categories]],tbl_network[[#This Row],[Categories]]),"000"))</f>
        <v/>
      </c>
      <c r="F18" s="45"/>
      <c r="G18" s="69"/>
      <c r="H18" s="69"/>
      <c r="T18" s="13"/>
      <c r="AN18" s="60" t="b">
        <v>0</v>
      </c>
      <c r="AO18" t="str">
        <f>_xlfn.IFNA(INDEX(tbl_handover[No. Handover],MATCH(tbl_network[[#This Row],[No Asset]],tbl_handover[Asset Code],0)),"")</f>
        <v/>
      </c>
    </row>
    <row r="19" spans="1:41" x14ac:dyDescent="0.25">
      <c r="A19" s="43" t="str">
        <f>IF(tbl_network[[#This Row],[No Asset]]&lt;&gt;"",SUBTOTAL(3,INDEX(tbl_network[No Asset],1):tbl_network[[#This Row],[No Asset]]),"")</f>
        <v/>
      </c>
      <c r="B19" t="str">
        <f>IF(OR(tbl_network[[#This Row],[Purchase Date]]="",tbl_network[[#This Row],[Categories]]=""),"",
TEXT(tbl_network[[#This Row],[Purchase Date]],"YYMM")&amp;
_xlfn.XLOOKUP(tbl_network[[#This Row],[Categories]],CODEX!$Z:$Z,CODEX!$W:$W,"")&amp;
TEXT(_xlfn.XLOOKUP(tbl_network[[#This Row],[Categories]],CODEX!$Z:$Z,CODEX!$Y:$Y,""),"00")&amp;
TEXT(COUNTIFS(INDEX(tbl_network[Purchase Date],1):tbl_network[[#This Row],[Purchase Date]],"&gt;="&amp;DATE(YEAR(tbl_network[[#This Row],[Purchase Date]]),MONTH(tbl_network[[#This Row],[Purchase Date]]),1),INDEX(tbl_network[Purchase Date],1):tbl_network[[#This Row],[Purchase Date]],"&lt;"&amp;EDATE(DATE(YEAR(tbl_network[[#This Row],[Purchase Date]]),MONTH(tbl_network[[#This Row],[Purchase Date]]),1),1),INDEX(tbl_network[Categories],1):tbl_network[[#This Row],[Categories]],tbl_network[[#This Row],[Categories]]),"000"))</f>
        <v/>
      </c>
      <c r="F19" s="45"/>
      <c r="G19" s="69"/>
      <c r="H19" s="69"/>
      <c r="T19" s="13"/>
      <c r="AN19" s="60" t="b">
        <v>0</v>
      </c>
      <c r="AO19" t="str">
        <f>_xlfn.IFNA(INDEX(tbl_handover[No. Handover],MATCH(tbl_network[[#This Row],[No Asset]],tbl_handover[Asset Code],0)),"")</f>
        <v/>
      </c>
    </row>
    <row r="20" spans="1:41" x14ac:dyDescent="0.25">
      <c r="A20" s="43" t="str">
        <f>IF(tbl_network[[#This Row],[No Asset]]&lt;&gt;"",SUBTOTAL(3,INDEX(tbl_network[No Asset],1):tbl_network[[#This Row],[No Asset]]),"")</f>
        <v/>
      </c>
      <c r="B20" t="str">
        <f>IF(OR(tbl_network[[#This Row],[Purchase Date]]="",tbl_network[[#This Row],[Categories]]=""),"",
TEXT(tbl_network[[#This Row],[Purchase Date]],"YYMM")&amp;
_xlfn.XLOOKUP(tbl_network[[#This Row],[Categories]],CODEX!$Z:$Z,CODEX!$W:$W,"")&amp;
TEXT(_xlfn.XLOOKUP(tbl_network[[#This Row],[Categories]],CODEX!$Z:$Z,CODEX!$Y:$Y,""),"00")&amp;
TEXT(COUNTIFS(INDEX(tbl_network[Purchase Date],1):tbl_network[[#This Row],[Purchase Date]],"&gt;="&amp;DATE(YEAR(tbl_network[[#This Row],[Purchase Date]]),MONTH(tbl_network[[#This Row],[Purchase Date]]),1),INDEX(tbl_network[Purchase Date],1):tbl_network[[#This Row],[Purchase Date]],"&lt;"&amp;EDATE(DATE(YEAR(tbl_network[[#This Row],[Purchase Date]]),MONTH(tbl_network[[#This Row],[Purchase Date]]),1),1),INDEX(tbl_network[Categories],1):tbl_network[[#This Row],[Categories]],tbl_network[[#This Row],[Categories]]),"000"))</f>
        <v/>
      </c>
      <c r="F20" s="45"/>
      <c r="G20" s="69"/>
      <c r="H20" s="69"/>
      <c r="T20" s="13"/>
      <c r="AN20" s="60" t="b">
        <v>0</v>
      </c>
      <c r="AO20" t="str">
        <f>_xlfn.IFNA(INDEX(tbl_handover[No. Handover],MATCH(tbl_network[[#This Row],[No Asset]],tbl_handover[Asset Code],0)),"")</f>
        <v/>
      </c>
    </row>
    <row r="21" spans="1:41" x14ac:dyDescent="0.25">
      <c r="A21" s="43" t="str">
        <f>IF(tbl_network[[#This Row],[No Asset]]&lt;&gt;"",SUBTOTAL(3,INDEX(tbl_network[No Asset],1):tbl_network[[#This Row],[No Asset]]),"")</f>
        <v/>
      </c>
      <c r="B21" t="str">
        <f>IF(OR(tbl_network[[#This Row],[Purchase Date]]="",tbl_network[[#This Row],[Categories]]=""),"",
TEXT(tbl_network[[#This Row],[Purchase Date]],"YYMM")&amp;
_xlfn.XLOOKUP(tbl_network[[#This Row],[Categories]],CODEX!$Z:$Z,CODEX!$W:$W,"")&amp;
TEXT(_xlfn.XLOOKUP(tbl_network[[#This Row],[Categories]],CODEX!$Z:$Z,CODEX!$Y:$Y,""),"00")&amp;
TEXT(COUNTIFS(INDEX(tbl_network[Purchase Date],1):tbl_network[[#This Row],[Purchase Date]],"&gt;="&amp;DATE(YEAR(tbl_network[[#This Row],[Purchase Date]]),MONTH(tbl_network[[#This Row],[Purchase Date]]),1),INDEX(tbl_network[Purchase Date],1):tbl_network[[#This Row],[Purchase Date]],"&lt;"&amp;EDATE(DATE(YEAR(tbl_network[[#This Row],[Purchase Date]]),MONTH(tbl_network[[#This Row],[Purchase Date]]),1),1),INDEX(tbl_network[Categories],1):tbl_network[[#This Row],[Categories]],tbl_network[[#This Row],[Categories]]),"000"))</f>
        <v/>
      </c>
      <c r="F21" s="45"/>
      <c r="G21" s="69"/>
      <c r="H21" s="69"/>
      <c r="T21" s="13"/>
      <c r="AN21" s="60" t="b">
        <v>0</v>
      </c>
      <c r="AO21" t="str">
        <f>_xlfn.IFNA(INDEX(tbl_handover[No. Handover],MATCH(tbl_network[[#This Row],[No Asset]],tbl_handover[Asset Code],0)),"")</f>
        <v/>
      </c>
    </row>
    <row r="22" spans="1:41" x14ac:dyDescent="0.25">
      <c r="A22" s="43" t="str">
        <f>IF(tbl_network[[#This Row],[No Asset]]&lt;&gt;"",SUBTOTAL(3,INDEX(tbl_network[No Asset],1):tbl_network[[#This Row],[No Asset]]),"")</f>
        <v/>
      </c>
      <c r="B22" t="str">
        <f>IF(OR(tbl_network[[#This Row],[Purchase Date]]="",tbl_network[[#This Row],[Categories]]=""),"",
TEXT(tbl_network[[#This Row],[Purchase Date]],"YYMM")&amp;
_xlfn.XLOOKUP(tbl_network[[#This Row],[Categories]],CODEX!$Z:$Z,CODEX!$W:$W,"")&amp;
TEXT(_xlfn.XLOOKUP(tbl_network[[#This Row],[Categories]],CODEX!$Z:$Z,CODEX!$Y:$Y,""),"00")&amp;
TEXT(COUNTIFS(INDEX(tbl_network[Purchase Date],1):tbl_network[[#This Row],[Purchase Date]],"&gt;="&amp;DATE(YEAR(tbl_network[[#This Row],[Purchase Date]]),MONTH(tbl_network[[#This Row],[Purchase Date]]),1),INDEX(tbl_network[Purchase Date],1):tbl_network[[#This Row],[Purchase Date]],"&lt;"&amp;EDATE(DATE(YEAR(tbl_network[[#This Row],[Purchase Date]]),MONTH(tbl_network[[#This Row],[Purchase Date]]),1),1),INDEX(tbl_network[Categories],1):tbl_network[[#This Row],[Categories]],tbl_network[[#This Row],[Categories]]),"000"))</f>
        <v/>
      </c>
      <c r="F22" s="45"/>
      <c r="G22" s="69"/>
      <c r="H22" s="69"/>
      <c r="T22" s="13"/>
      <c r="AN22" s="60" t="b">
        <v>0</v>
      </c>
      <c r="AO22" t="str">
        <f>_xlfn.IFNA(INDEX(tbl_handover[No. Handover],MATCH(tbl_network[[#This Row],[No Asset]],tbl_handover[Asset Code],0)),"")</f>
        <v/>
      </c>
    </row>
    <row r="23" spans="1:41" x14ac:dyDescent="0.25">
      <c r="A23" s="43" t="str">
        <f>IF(tbl_network[[#This Row],[No Asset]]&lt;&gt;"",SUBTOTAL(3,INDEX(tbl_network[No Asset],1):tbl_network[[#This Row],[No Asset]]),"")</f>
        <v/>
      </c>
      <c r="B23" t="str">
        <f>IF(OR(tbl_network[[#This Row],[Purchase Date]]="",tbl_network[[#This Row],[Categories]]=""),"",
TEXT(tbl_network[[#This Row],[Purchase Date]],"YYMM")&amp;
_xlfn.XLOOKUP(tbl_network[[#This Row],[Categories]],CODEX!$Z:$Z,CODEX!$W:$W,"")&amp;
TEXT(_xlfn.XLOOKUP(tbl_network[[#This Row],[Categories]],CODEX!$Z:$Z,CODEX!$Y:$Y,""),"00")&amp;
TEXT(COUNTIFS(INDEX(tbl_network[Purchase Date],1):tbl_network[[#This Row],[Purchase Date]],"&gt;="&amp;DATE(YEAR(tbl_network[[#This Row],[Purchase Date]]),MONTH(tbl_network[[#This Row],[Purchase Date]]),1),INDEX(tbl_network[Purchase Date],1):tbl_network[[#This Row],[Purchase Date]],"&lt;"&amp;EDATE(DATE(YEAR(tbl_network[[#This Row],[Purchase Date]]),MONTH(tbl_network[[#This Row],[Purchase Date]]),1),1),INDEX(tbl_network[Categories],1):tbl_network[[#This Row],[Categories]],tbl_network[[#This Row],[Categories]]),"000"))</f>
        <v/>
      </c>
      <c r="F23" s="45"/>
      <c r="G23" s="69"/>
      <c r="H23" s="69"/>
      <c r="T23" s="13"/>
      <c r="AN23" s="60" t="b">
        <v>0</v>
      </c>
      <c r="AO23" t="str">
        <f>_xlfn.IFNA(INDEX(tbl_handover[No. Handover],MATCH(tbl_network[[#This Row],[No Asset]],tbl_handover[Asset Code],0)),"")</f>
        <v/>
      </c>
    </row>
    <row r="24" spans="1:41" x14ac:dyDescent="0.25">
      <c r="A24" s="43" t="str">
        <f>IF(tbl_network[[#This Row],[No Asset]]&lt;&gt;"",SUBTOTAL(3,INDEX(tbl_network[No Asset],1):tbl_network[[#This Row],[No Asset]]),"")</f>
        <v/>
      </c>
      <c r="B24" t="str">
        <f>IF(OR(tbl_network[[#This Row],[Purchase Date]]="",tbl_network[[#This Row],[Categories]]=""),"",
TEXT(tbl_network[[#This Row],[Purchase Date]],"YYMM")&amp;
_xlfn.XLOOKUP(tbl_network[[#This Row],[Categories]],CODEX!$Z:$Z,CODEX!$W:$W,"")&amp;
TEXT(_xlfn.XLOOKUP(tbl_network[[#This Row],[Categories]],CODEX!$Z:$Z,CODEX!$Y:$Y,""),"00")&amp;
TEXT(COUNTIFS(INDEX(tbl_network[Purchase Date],1):tbl_network[[#This Row],[Purchase Date]],"&gt;="&amp;DATE(YEAR(tbl_network[[#This Row],[Purchase Date]]),MONTH(tbl_network[[#This Row],[Purchase Date]]),1),INDEX(tbl_network[Purchase Date],1):tbl_network[[#This Row],[Purchase Date]],"&lt;"&amp;EDATE(DATE(YEAR(tbl_network[[#This Row],[Purchase Date]]),MONTH(tbl_network[[#This Row],[Purchase Date]]),1),1),INDEX(tbl_network[Categories],1):tbl_network[[#This Row],[Categories]],tbl_network[[#This Row],[Categories]]),"000"))</f>
        <v/>
      </c>
      <c r="F24" s="45"/>
      <c r="G24" s="69"/>
      <c r="H24" s="69"/>
      <c r="T24" s="13"/>
      <c r="AN24" s="60" t="b">
        <v>0</v>
      </c>
      <c r="AO24" t="str">
        <f>_xlfn.IFNA(INDEX(tbl_handover[No. Handover],MATCH(tbl_network[[#This Row],[No Asset]],tbl_handover[Asset Code],0)),"")</f>
        <v/>
      </c>
    </row>
    <row r="25" spans="1:41" x14ac:dyDescent="0.25">
      <c r="A25" s="43" t="str">
        <f>IF(tbl_network[[#This Row],[No Asset]]&lt;&gt;"",SUBTOTAL(3,INDEX(tbl_network[No Asset],1):tbl_network[[#This Row],[No Asset]]),"")</f>
        <v/>
      </c>
      <c r="B25" t="str">
        <f>IF(OR(tbl_network[[#This Row],[Purchase Date]]="",tbl_network[[#This Row],[Categories]]=""),"",
TEXT(tbl_network[[#This Row],[Purchase Date]],"YYMM")&amp;
_xlfn.XLOOKUP(tbl_network[[#This Row],[Categories]],CODEX!$Z:$Z,CODEX!$W:$W,"")&amp;
TEXT(_xlfn.XLOOKUP(tbl_network[[#This Row],[Categories]],CODEX!$Z:$Z,CODEX!$Y:$Y,""),"00")&amp;
TEXT(COUNTIFS(INDEX(tbl_network[Purchase Date],1):tbl_network[[#This Row],[Purchase Date]],"&gt;="&amp;DATE(YEAR(tbl_network[[#This Row],[Purchase Date]]),MONTH(tbl_network[[#This Row],[Purchase Date]]),1),INDEX(tbl_network[Purchase Date],1):tbl_network[[#This Row],[Purchase Date]],"&lt;"&amp;EDATE(DATE(YEAR(tbl_network[[#This Row],[Purchase Date]]),MONTH(tbl_network[[#This Row],[Purchase Date]]),1),1),INDEX(tbl_network[Categories],1):tbl_network[[#This Row],[Categories]],tbl_network[[#This Row],[Categories]]),"000"))</f>
        <v/>
      </c>
      <c r="F25" s="45"/>
      <c r="G25" s="69"/>
      <c r="H25" s="69"/>
      <c r="T25" s="13"/>
      <c r="AN25" s="60" t="b">
        <v>0</v>
      </c>
      <c r="AO25" t="str">
        <f>_xlfn.IFNA(INDEX(tbl_handover[No. Handover],MATCH(tbl_network[[#This Row],[No Asset]],tbl_handover[Asset Code],0)),"")</f>
        <v/>
      </c>
    </row>
    <row r="26" spans="1:41" x14ac:dyDescent="0.25">
      <c r="A26" s="43" t="str">
        <f>IF(tbl_network[[#This Row],[No Asset]]&lt;&gt;"",SUBTOTAL(3,INDEX(tbl_network[No Asset],1):tbl_network[[#This Row],[No Asset]]),"")</f>
        <v/>
      </c>
      <c r="B26" t="str">
        <f>IF(OR(tbl_network[[#This Row],[Purchase Date]]="",tbl_network[[#This Row],[Categories]]=""),"",
TEXT(tbl_network[[#This Row],[Purchase Date]],"YYMM")&amp;
_xlfn.XLOOKUP(tbl_network[[#This Row],[Categories]],CODEX!$Z:$Z,CODEX!$W:$W,"")&amp;
TEXT(_xlfn.XLOOKUP(tbl_network[[#This Row],[Categories]],CODEX!$Z:$Z,CODEX!$Y:$Y,""),"00")&amp;
TEXT(COUNTIFS(INDEX(tbl_network[Purchase Date],1):tbl_network[[#This Row],[Purchase Date]],"&gt;="&amp;DATE(YEAR(tbl_network[[#This Row],[Purchase Date]]),MONTH(tbl_network[[#This Row],[Purchase Date]]),1),INDEX(tbl_network[Purchase Date],1):tbl_network[[#This Row],[Purchase Date]],"&lt;"&amp;EDATE(DATE(YEAR(tbl_network[[#This Row],[Purchase Date]]),MONTH(tbl_network[[#This Row],[Purchase Date]]),1),1),INDEX(tbl_network[Categories],1):tbl_network[[#This Row],[Categories]],tbl_network[[#This Row],[Categories]]),"000"))</f>
        <v/>
      </c>
      <c r="F26" s="45"/>
      <c r="G26" s="69"/>
      <c r="H26" s="69"/>
      <c r="T26" s="13"/>
      <c r="AN26" s="60" t="b">
        <v>0</v>
      </c>
      <c r="AO26" t="str">
        <f>_xlfn.IFNA(INDEX(tbl_handover[No. Handover],MATCH(tbl_network[[#This Row],[No Asset]],tbl_handover[Asset Code],0)),"")</f>
        <v/>
      </c>
    </row>
    <row r="27" spans="1:41" x14ac:dyDescent="0.25">
      <c r="A27" s="43" t="str">
        <f>IF(tbl_network[[#This Row],[No Asset]]&lt;&gt;"",SUBTOTAL(3,INDEX(tbl_network[No Asset],1):tbl_network[[#This Row],[No Asset]]),"")</f>
        <v/>
      </c>
      <c r="B27" t="str">
        <f>IF(OR(tbl_network[[#This Row],[Purchase Date]]="",tbl_network[[#This Row],[Categories]]=""),"",
TEXT(tbl_network[[#This Row],[Purchase Date]],"YYMM")&amp;
_xlfn.XLOOKUP(tbl_network[[#This Row],[Categories]],CODEX!$Z:$Z,CODEX!$W:$W,"")&amp;
TEXT(_xlfn.XLOOKUP(tbl_network[[#This Row],[Categories]],CODEX!$Z:$Z,CODEX!$Y:$Y,""),"00")&amp;
TEXT(COUNTIFS(INDEX(tbl_network[Purchase Date],1):tbl_network[[#This Row],[Purchase Date]],"&gt;="&amp;DATE(YEAR(tbl_network[[#This Row],[Purchase Date]]),MONTH(tbl_network[[#This Row],[Purchase Date]]),1),INDEX(tbl_network[Purchase Date],1):tbl_network[[#This Row],[Purchase Date]],"&lt;"&amp;EDATE(DATE(YEAR(tbl_network[[#This Row],[Purchase Date]]),MONTH(tbl_network[[#This Row],[Purchase Date]]),1),1),INDEX(tbl_network[Categories],1):tbl_network[[#This Row],[Categories]],tbl_network[[#This Row],[Categories]]),"000"))</f>
        <v/>
      </c>
      <c r="F27" s="45"/>
      <c r="G27" s="69"/>
      <c r="H27" s="69"/>
      <c r="T27" s="13"/>
      <c r="AN27" s="60" t="b">
        <v>0</v>
      </c>
      <c r="AO27" t="str">
        <f>_xlfn.IFNA(INDEX(tbl_handover[No. Handover],MATCH(tbl_network[[#This Row],[No Asset]],tbl_handover[Asset Code],0)),"")</f>
        <v/>
      </c>
    </row>
  </sheetData>
  <mergeCells count="6">
    <mergeCell ref="AK1:AM1"/>
    <mergeCell ref="E1:N1"/>
    <mergeCell ref="C1:D1"/>
    <mergeCell ref="AA1:AE1"/>
    <mergeCell ref="T1:Y1"/>
    <mergeCell ref="O1:S1"/>
  </mergeCells>
  <phoneticPr fontId="10" type="noConversion"/>
  <conditionalFormatting sqref="G3:O3 C3:F4 Q3:Q10 U3:U10 W3:AG10 AI3:AI10 G4:H4 J4:O4 C5:I6 K5:O6 C7:O10 C13:AG27 AI13:AI27">
    <cfRule type="containsBlanks" dxfId="67" priority="6">
      <formula>LEN(TRIM(C3))=0</formula>
    </cfRule>
  </conditionalFormatting>
  <conditionalFormatting sqref="U2">
    <cfRule type="duplicateValues" dxfId="66" priority="3"/>
  </conditionalFormatting>
  <conditionalFormatting sqref="W2:Y2">
    <cfRule type="duplicateValues" dxfId="65" priority="2"/>
  </conditionalFormatting>
  <conditionalFormatting sqref="AH3:AH27">
    <cfRule type="containsBlanks" dxfId="64" priority="1">
      <formula>LEN(TRIM(AH3))=0</formula>
    </cfRule>
  </conditionalFormatting>
  <hyperlinks>
    <hyperlink ref="Y4" r:id="rId1" xr:uid="{B87F5F16-8C38-484E-BA75-9F0A6871AF89}"/>
    <hyperlink ref="Y5:Y10" r:id="rId2" display="https://192.168.102.101/" xr:uid="{21E61BE7-A953-4042-BB03-A8D3116E37FA}"/>
    <hyperlink ref="Y5" r:id="rId3" xr:uid="{42074066-F6D8-4783-9879-BF803F878D71}"/>
    <hyperlink ref="Y6" r:id="rId4" xr:uid="{A9D1A1CE-7794-4998-AB16-CD768525ABE6}"/>
    <hyperlink ref="Y7" r:id="rId5" xr:uid="{55489404-4B02-4294-8901-650774084852}"/>
    <hyperlink ref="Y8" r:id="rId6" xr:uid="{471C3700-1DE3-4ED1-9F3A-A0443AE46AED}"/>
    <hyperlink ref="Y9" r:id="rId7" xr:uid="{A29B911B-C184-45B2-BAFF-B4DE24E7B499}"/>
    <hyperlink ref="Y10" r:id="rId8" xr:uid="{13A32F04-F77C-4966-9166-0BD9A5C22827}"/>
    <hyperlink ref="Y3" r:id="rId9" xr:uid="{BFD9EACB-53C7-44EB-A006-7864965283A1}"/>
  </hyperlinks>
  <pageMargins left="0.7" right="0.7" top="0.75" bottom="0.75" header="0.3" footer="0.3"/>
  <tableParts count="1">
    <tablePart r:id="rId10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18B7019B-C59E-4ADD-AD16-6C9B518ACCCA}">
          <x14:formula1>
            <xm:f>CODEX!$A$3:$A$7</xm:f>
          </x14:formula1>
          <xm:sqref>E3:E10 E13:E27</xm:sqref>
        </x14:dataValidation>
        <x14:dataValidation type="list" allowBlank="1" showInputMessage="1" showErrorMessage="1" xr:uid="{EADC66F3-1A08-43FD-AF50-39213B79D346}">
          <x14:formula1>
            <xm:f>CODEX!$H$3:$H$10</xm:f>
          </x14:formula1>
          <xm:sqref>AF3:AF10 AF13:AF27</xm:sqref>
        </x14:dataValidation>
        <x14:dataValidation type="list" allowBlank="1" showInputMessage="1" showErrorMessage="1" xr:uid="{478F964B-1FDC-4D0C-83DB-7BB1A9B9E1D1}">
          <x14:formula1>
            <xm:f>CODEX!$O$3:$O$7</xm:f>
          </x14:formula1>
          <xm:sqref>AI3:AI10 AI13:AI27</xm:sqref>
        </x14:dataValidation>
        <x14:dataValidation type="list" allowBlank="1" showInputMessage="1" showErrorMessage="1" xr:uid="{1FC30BED-B1E1-46DF-83DB-E85BBB78263A}">
          <x14:formula1>
            <xm:f>CODEX!$Z$5</xm:f>
          </x14:formula1>
          <xm:sqref>G3:G10 G13:G1048576</xm:sqref>
        </x14:dataValidation>
        <x14:dataValidation type="list" allowBlank="1" showInputMessage="1" showErrorMessage="1" xr:uid="{4F905DFE-AA0F-4D7A-B7D8-A2745490D091}">
          <x14:formula1>
            <xm:f>CODEX!$F$3:$F$27</xm:f>
          </x14:formula1>
          <xm:sqref>F3:F10 F13:F27</xm:sqref>
        </x14:dataValidation>
        <x14:dataValidation type="list" allowBlank="1" showInputMessage="1" showErrorMessage="1" xr:uid="{478C1D66-4E7E-429C-BA05-CC6F9857A217}">
          <x14:formula1>
            <xm:f>CODEX!$J$3:$J$8</xm:f>
          </x14:formula1>
          <xm:sqref>AG3:AG10 AG13:AG27</xm:sqref>
        </x14:dataValidation>
        <x14:dataValidation type="list" allowBlank="1" showInputMessage="1" showErrorMessage="1" xr:uid="{71AE6ECB-10B6-46DF-8AB7-5045EE50612D}">
          <x14:formula1>
            <xm:f>CODEX!$M$3:$M$8</xm:f>
          </x14:formula1>
          <xm:sqref>AH3:AH27</xm:sqref>
        </x14:dataValidation>
        <x14:dataValidation type="list" allowBlank="1" showInputMessage="1" showErrorMessage="1" xr:uid="{F3FA587A-8453-4216-B39C-7BB9B2E485EA}">
          <x14:formula1>
            <xm:f>CODEX!$AD$18:$AD$26</xm:f>
          </x14:formula1>
          <xm:sqref>H3:H1048576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246BA-D52A-4810-9993-F14EA5D64231}">
  <dimension ref="A1:AG62"/>
  <sheetViews>
    <sheetView zoomScale="85" zoomScaleNormal="85" workbookViewId="0">
      <pane xSplit="2" ySplit="2" topLeftCell="C36" activePane="bottomRight" state="frozen"/>
      <selection pane="topRight" activeCell="C1" sqref="C1"/>
      <selection pane="bottomLeft" activeCell="A3" sqref="A3"/>
      <selection pane="bottomRight" activeCell="H49" sqref="H49"/>
    </sheetView>
  </sheetViews>
  <sheetFormatPr defaultRowHeight="15" x14ac:dyDescent="0.25"/>
  <cols>
    <col min="1" max="1" width="7.5703125" customWidth="1"/>
    <col min="2" max="2" width="19.42578125" bestFit="1" customWidth="1"/>
    <col min="3" max="3" width="14.140625" style="74" customWidth="1"/>
    <col min="5" max="5" width="11.42578125" customWidth="1"/>
    <col min="6" max="6" width="24" style="46" bestFit="1" customWidth="1"/>
    <col min="7" max="7" width="17.28515625" style="46" customWidth="1"/>
    <col min="8" max="8" width="17.28515625" bestFit="1" customWidth="1"/>
    <col min="9" max="9" width="40.42578125" bestFit="1" customWidth="1"/>
    <col min="10" max="10" width="14.42578125" style="1" customWidth="1"/>
    <col min="11" max="11" width="43.7109375" style="1" bestFit="1" customWidth="1"/>
    <col min="12" max="12" width="15.28515625" style="1" customWidth="1"/>
    <col min="13" max="13" width="16.42578125" style="1" bestFit="1" customWidth="1"/>
    <col min="14" max="14" width="64.5703125" bestFit="1" customWidth="1"/>
    <col min="15" max="15" width="18.85546875" style="42" customWidth="1"/>
    <col min="16" max="17" width="19.85546875" style="42" customWidth="1"/>
    <col min="18" max="18" width="14.42578125" style="1" customWidth="1"/>
    <col min="19" max="19" width="10.85546875" style="1" customWidth="1"/>
    <col min="20" max="20" width="7.7109375" style="1" customWidth="1"/>
    <col min="21" max="21" width="12.42578125" style="1" customWidth="1"/>
    <col min="22" max="24" width="7.7109375" style="1" customWidth="1"/>
    <col min="25" max="25" width="17.140625" style="1" customWidth="1"/>
    <col min="26" max="26" width="12" style="1" customWidth="1"/>
    <col min="27" max="27" width="14.42578125" style="1" bestFit="1" customWidth="1"/>
    <col min="28" max="28" width="45.28515625" style="1" bestFit="1" customWidth="1"/>
    <col min="32" max="32" width="12" bestFit="1" customWidth="1"/>
    <col min="33" max="33" width="30.85546875" bestFit="1" customWidth="1"/>
    <col min="34" max="35" width="11.28515625" bestFit="1" customWidth="1"/>
  </cols>
  <sheetData>
    <row r="1" spans="1:33" ht="15" customHeight="1" x14ac:dyDescent="0.25">
      <c r="A1" s="14">
        <v>4</v>
      </c>
      <c r="B1" s="17" t="s">
        <v>13</v>
      </c>
      <c r="C1" s="209" t="s">
        <v>14</v>
      </c>
      <c r="D1" s="209"/>
      <c r="E1" s="212" t="s">
        <v>689</v>
      </c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4"/>
      <c r="T1" s="210" t="s">
        <v>499</v>
      </c>
      <c r="U1" s="210"/>
      <c r="V1" s="210"/>
      <c r="W1" s="210"/>
      <c r="X1" s="210"/>
      <c r="AC1" s="211" t="s">
        <v>24</v>
      </c>
      <c r="AD1" s="211"/>
      <c r="AE1" s="211"/>
      <c r="AF1" s="12"/>
    </row>
    <row r="2" spans="1:33" s="1" customFormat="1" x14ac:dyDescent="0.25">
      <c r="A2" s="120" t="s">
        <v>25</v>
      </c>
      <c r="B2" s="120" t="s">
        <v>26</v>
      </c>
      <c r="C2" s="121" t="s">
        <v>27</v>
      </c>
      <c r="D2" s="120" t="s">
        <v>28</v>
      </c>
      <c r="E2" s="120" t="s">
        <v>29</v>
      </c>
      <c r="F2" s="120" t="s">
        <v>690</v>
      </c>
      <c r="G2" s="120" t="s">
        <v>31</v>
      </c>
      <c r="H2" s="120" t="s">
        <v>32</v>
      </c>
      <c r="I2" s="120" t="s">
        <v>33</v>
      </c>
      <c r="J2" s="120" t="s">
        <v>34</v>
      </c>
      <c r="K2" s="120" t="s">
        <v>500</v>
      </c>
      <c r="L2" s="120" t="s">
        <v>36</v>
      </c>
      <c r="M2" s="120" t="s">
        <v>38</v>
      </c>
      <c r="N2" s="120" t="s">
        <v>600</v>
      </c>
      <c r="O2" s="122" t="s">
        <v>39</v>
      </c>
      <c r="P2" s="122" t="s">
        <v>691</v>
      </c>
      <c r="Q2" s="122" t="s">
        <v>17</v>
      </c>
      <c r="R2" s="120" t="s">
        <v>692</v>
      </c>
      <c r="S2" s="120" t="s">
        <v>51</v>
      </c>
      <c r="T2" s="120" t="s">
        <v>507</v>
      </c>
      <c r="U2" s="120" t="s">
        <v>693</v>
      </c>
      <c r="V2" s="120" t="s">
        <v>504</v>
      </c>
      <c r="W2" s="120" t="s">
        <v>505</v>
      </c>
      <c r="X2" s="120" t="s">
        <v>506</v>
      </c>
      <c r="Y2" s="120" t="s">
        <v>63</v>
      </c>
      <c r="Z2" s="120" t="s">
        <v>64</v>
      </c>
      <c r="AA2" s="120" t="s">
        <v>66</v>
      </c>
      <c r="AB2" s="120" t="s">
        <v>508</v>
      </c>
      <c r="AC2" s="120" t="s">
        <v>68</v>
      </c>
      <c r="AD2" s="120" t="s">
        <v>69</v>
      </c>
      <c r="AE2" s="120" t="s">
        <v>70</v>
      </c>
      <c r="AF2" s="123" t="s">
        <v>71</v>
      </c>
      <c r="AG2" s="124" t="s">
        <v>72</v>
      </c>
    </row>
    <row r="3" spans="1:33" x14ac:dyDescent="0.25">
      <c r="A3" s="43">
        <f>IF(tbl_peripheral[[#This Row],[No Asset]]&lt;&gt;"",SUBTOTAL(3,INDEX(tbl_peripheral[No Asset],1):tbl_peripheral[[#This Row],[No Asset]]),"")</f>
        <v>1</v>
      </c>
      <c r="B3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2609104001</v>
      </c>
      <c r="C3" s="74">
        <v>46268</v>
      </c>
      <c r="D3" t="s">
        <v>73</v>
      </c>
      <c r="E3" t="s">
        <v>74</v>
      </c>
      <c r="F3" s="45" t="s">
        <v>694</v>
      </c>
      <c r="G3" s="45" t="s">
        <v>695</v>
      </c>
      <c r="H3" t="s">
        <v>696</v>
      </c>
      <c r="I3" t="s">
        <v>697</v>
      </c>
      <c r="J3" s="1" t="s">
        <v>696</v>
      </c>
      <c r="K3" s="1" t="s">
        <v>698</v>
      </c>
      <c r="L3" s="1" t="s">
        <v>699</v>
      </c>
      <c r="M3" s="1" t="s">
        <v>700</v>
      </c>
      <c r="N3" s="1" t="s">
        <v>701</v>
      </c>
      <c r="O3" s="47" t="s">
        <v>87</v>
      </c>
      <c r="P3" s="47" t="s">
        <v>87</v>
      </c>
      <c r="Q3" s="47" t="s">
        <v>87</v>
      </c>
      <c r="R3" s="47" t="s">
        <v>87</v>
      </c>
      <c r="S3" s="47" t="s">
        <v>87</v>
      </c>
      <c r="T3" s="47" t="s">
        <v>87</v>
      </c>
      <c r="U3" s="1">
        <v>1</v>
      </c>
      <c r="V3" s="47" t="s">
        <v>87</v>
      </c>
      <c r="W3" s="47" t="s">
        <v>87</v>
      </c>
      <c r="X3" s="47" t="s">
        <v>87</v>
      </c>
      <c r="Y3" s="1" t="s">
        <v>122</v>
      </c>
      <c r="Z3" s="1" t="s">
        <v>104</v>
      </c>
      <c r="AA3" s="1" t="s">
        <v>106</v>
      </c>
      <c r="AB3" s="46"/>
      <c r="AF3" s="60" t="b">
        <v>1</v>
      </c>
      <c r="AG3" t="str">
        <f>_xlfn.IFNA(INDEX(tbl_handover[No. Handover],MATCH(tbl_peripheral[[#This Row],[No Asset]],tbl_handover[Asset Code],0)),"")</f>
        <v>SR.26.09.0001/IX/2026/PGT/IT/INT</v>
      </c>
    </row>
    <row r="4" spans="1:33" x14ac:dyDescent="0.25">
      <c r="A4" s="43">
        <f>IF(tbl_peripheral[[#This Row],[No Asset]]&lt;&gt;"",SUBTOTAL(3,INDEX(tbl_peripheral[No Asset],1):tbl_peripheral[[#This Row],[No Asset]]),"")</f>
        <v>2</v>
      </c>
      <c r="B4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2609104002</v>
      </c>
      <c r="C4" s="74">
        <v>46268</v>
      </c>
      <c r="D4" t="s">
        <v>73</v>
      </c>
      <c r="E4" t="s">
        <v>74</v>
      </c>
      <c r="F4" s="45" t="s">
        <v>702</v>
      </c>
      <c r="G4" s="45" t="s">
        <v>695</v>
      </c>
      <c r="H4" t="s">
        <v>696</v>
      </c>
      <c r="I4" t="s">
        <v>697</v>
      </c>
      <c r="J4" s="1" t="s">
        <v>696</v>
      </c>
      <c r="K4" s="1" t="s">
        <v>703</v>
      </c>
      <c r="L4" s="1" t="s">
        <v>699</v>
      </c>
      <c r="M4" s="1" t="s">
        <v>700</v>
      </c>
      <c r="N4" s="1" t="s">
        <v>701</v>
      </c>
      <c r="O4" s="47" t="s">
        <v>87</v>
      </c>
      <c r="P4" s="47" t="s">
        <v>87</v>
      </c>
      <c r="Q4" s="47" t="s">
        <v>87</v>
      </c>
      <c r="R4" s="47" t="s">
        <v>87</v>
      </c>
      <c r="S4" s="47" t="s">
        <v>87</v>
      </c>
      <c r="T4" s="47" t="s">
        <v>87</v>
      </c>
      <c r="U4" s="1">
        <v>1</v>
      </c>
      <c r="V4" s="47" t="s">
        <v>87</v>
      </c>
      <c r="W4" s="47" t="s">
        <v>87</v>
      </c>
      <c r="X4" s="47" t="s">
        <v>87</v>
      </c>
      <c r="Y4" s="1" t="s">
        <v>122</v>
      </c>
      <c r="Z4" s="1" t="s">
        <v>104</v>
      </c>
      <c r="AA4" s="1" t="s">
        <v>106</v>
      </c>
      <c r="AB4" s="46"/>
      <c r="AF4" s="60" t="b">
        <v>1</v>
      </c>
      <c r="AG4" t="str">
        <f>_xlfn.IFNA(INDEX(tbl_handover[No. Handover],MATCH(tbl_peripheral[[#This Row],[No Asset]],tbl_handover[Asset Code],0)),"")</f>
        <v>SR.26.09.0002/IX/2026/PGT/IT/INT</v>
      </c>
    </row>
    <row r="5" spans="1:33" x14ac:dyDescent="0.25">
      <c r="A5" s="43">
        <f>IF(tbl_peripheral[[#This Row],[No Asset]]&lt;&gt;"",SUBTOTAL(3,INDEX(tbl_peripheral[No Asset],1):tbl_peripheral[[#This Row],[No Asset]]),"")</f>
        <v>3</v>
      </c>
      <c r="B5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2609104003</v>
      </c>
      <c r="C5" s="74">
        <v>46268</v>
      </c>
      <c r="D5" t="s">
        <v>108</v>
      </c>
      <c r="E5" t="s">
        <v>74</v>
      </c>
      <c r="F5" s="45" t="s">
        <v>124</v>
      </c>
      <c r="G5" s="45" t="s">
        <v>695</v>
      </c>
      <c r="H5" t="s">
        <v>704</v>
      </c>
      <c r="I5" t="s">
        <v>705</v>
      </c>
      <c r="J5" s="1" t="s">
        <v>706</v>
      </c>
      <c r="K5" s="1" t="s">
        <v>707</v>
      </c>
      <c r="L5" s="1" t="s">
        <v>708</v>
      </c>
      <c r="M5" s="1" t="s">
        <v>709</v>
      </c>
      <c r="N5" s="1" t="s">
        <v>710</v>
      </c>
      <c r="O5" s="47" t="s">
        <v>711</v>
      </c>
      <c r="P5" s="47" t="s">
        <v>712</v>
      </c>
      <c r="Q5" s="47" t="s">
        <v>713</v>
      </c>
      <c r="R5" s="1" t="s">
        <v>714</v>
      </c>
      <c r="S5" s="47" t="s">
        <v>87</v>
      </c>
      <c r="T5" s="1">
        <v>1</v>
      </c>
      <c r="U5" s="47" t="s">
        <v>87</v>
      </c>
      <c r="V5" s="47" t="s">
        <v>87</v>
      </c>
      <c r="W5" s="1">
        <v>1</v>
      </c>
      <c r="X5" s="1">
        <v>1</v>
      </c>
      <c r="Y5" s="1" t="s">
        <v>122</v>
      </c>
      <c r="Z5" s="1" t="s">
        <v>104</v>
      </c>
      <c r="AA5" s="1" t="s">
        <v>106</v>
      </c>
      <c r="AB5" s="46" t="s">
        <v>715</v>
      </c>
      <c r="AF5" s="60" t="b">
        <v>1</v>
      </c>
      <c r="AG5" t="str">
        <f>_xlfn.IFNA(INDEX(tbl_handover[No. Handover],MATCH(tbl_peripheral[[#This Row],[No Asset]],tbl_handover[Asset Code],0)),"")</f>
        <v/>
      </c>
    </row>
    <row r="6" spans="1:33" x14ac:dyDescent="0.25">
      <c r="A6" s="43">
        <f>IF(tbl_peripheral[[#This Row],[No Asset]]&lt;&gt;"",SUBTOTAL(3,INDEX(tbl_peripheral[No Asset],1):tbl_peripheral[[#This Row],[No Asset]]),"")</f>
        <v>4</v>
      </c>
      <c r="B6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2601104001</v>
      </c>
      <c r="C6" s="74">
        <v>46023</v>
      </c>
      <c r="D6" t="s">
        <v>73</v>
      </c>
      <c r="E6" t="s">
        <v>74</v>
      </c>
      <c r="F6" s="45" t="s">
        <v>197</v>
      </c>
      <c r="G6" s="45" t="s">
        <v>695</v>
      </c>
      <c r="H6" t="s">
        <v>704</v>
      </c>
      <c r="I6" t="s">
        <v>716</v>
      </c>
      <c r="J6" s="1" t="s">
        <v>717</v>
      </c>
      <c r="K6" s="13" t="s">
        <v>718</v>
      </c>
      <c r="L6" s="1" t="s">
        <v>708</v>
      </c>
      <c r="M6" s="1" t="s">
        <v>709</v>
      </c>
      <c r="N6" s="1" t="s">
        <v>719</v>
      </c>
      <c r="O6" s="47" t="s">
        <v>720</v>
      </c>
      <c r="Q6" s="13"/>
      <c r="R6" s="1" t="s">
        <v>721</v>
      </c>
      <c r="S6" s="47" t="s">
        <v>87</v>
      </c>
      <c r="T6" s="1">
        <v>1</v>
      </c>
      <c r="U6" s="47" t="s">
        <v>87</v>
      </c>
      <c r="V6" s="47" t="s">
        <v>87</v>
      </c>
      <c r="W6" s="47" t="s">
        <v>87</v>
      </c>
      <c r="X6" s="1">
        <v>1</v>
      </c>
      <c r="Y6" s="1" t="s">
        <v>103</v>
      </c>
      <c r="Z6" s="1" t="s">
        <v>104</v>
      </c>
      <c r="AA6" s="1" t="s">
        <v>106</v>
      </c>
      <c r="AB6" s="46" t="s">
        <v>722</v>
      </c>
      <c r="AF6" s="60" t="b">
        <v>1</v>
      </c>
      <c r="AG6" t="str">
        <f>_xlfn.IFNA(INDEX(tbl_handover[No. Handover],MATCH(tbl_peripheral[[#This Row],[No Asset]],tbl_handover[Asset Code],0)),"")</f>
        <v>SR.26.09.0005/IX/2026/PGT/IT/INT</v>
      </c>
    </row>
    <row r="7" spans="1:33" x14ac:dyDescent="0.25">
      <c r="A7" s="43">
        <f>IF(tbl_peripheral[[#This Row],[No Asset]]&lt;&gt;"",SUBTOTAL(3,INDEX(tbl_peripheral[No Asset],1):tbl_peripheral[[#This Row],[No Asset]]),"")</f>
        <v>5</v>
      </c>
      <c r="B7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2609104004</v>
      </c>
      <c r="C7" s="74">
        <v>46268</v>
      </c>
      <c r="D7" t="s">
        <v>108</v>
      </c>
      <c r="E7" t="s">
        <v>74</v>
      </c>
      <c r="F7" s="51" t="s">
        <v>186</v>
      </c>
      <c r="G7" s="45" t="s">
        <v>695</v>
      </c>
      <c r="H7" t="s">
        <v>696</v>
      </c>
      <c r="I7" t="s">
        <v>723</v>
      </c>
      <c r="J7" s="1" t="s">
        <v>724</v>
      </c>
      <c r="K7" s="1" t="s">
        <v>725</v>
      </c>
      <c r="L7" s="1" t="s">
        <v>726</v>
      </c>
      <c r="M7" s="1" t="s">
        <v>727</v>
      </c>
      <c r="N7" s="1" t="s">
        <v>728</v>
      </c>
      <c r="O7" s="47" t="s">
        <v>87</v>
      </c>
      <c r="P7" s="47" t="s">
        <v>87</v>
      </c>
      <c r="Q7" s="47" t="s">
        <v>87</v>
      </c>
      <c r="R7" s="47" t="s">
        <v>87</v>
      </c>
      <c r="S7" s="47" t="s">
        <v>87</v>
      </c>
      <c r="T7" s="1">
        <v>1</v>
      </c>
      <c r="U7" s="1">
        <v>1</v>
      </c>
      <c r="V7" s="47" t="s">
        <v>87</v>
      </c>
      <c r="W7" s="47" t="s">
        <v>87</v>
      </c>
      <c r="X7" s="47" t="s">
        <v>87</v>
      </c>
      <c r="Y7" s="1" t="s">
        <v>122</v>
      </c>
      <c r="Z7" s="1" t="s">
        <v>104</v>
      </c>
      <c r="AA7" s="1" t="s">
        <v>154</v>
      </c>
      <c r="AB7" s="46"/>
      <c r="AF7" s="60" t="b">
        <v>0</v>
      </c>
      <c r="AG7" t="str">
        <f>_xlfn.IFNA(INDEX(tbl_handover[No. Handover],MATCH(tbl_peripheral[[#This Row],[No Asset]],tbl_handover[Asset Code],0)),"")</f>
        <v/>
      </c>
    </row>
    <row r="8" spans="1:33" x14ac:dyDescent="0.25">
      <c r="A8" s="43">
        <f>IF(tbl_peripheral[[#This Row],[No Asset]]&lt;&gt;"",SUBTOTAL(3,INDEX(tbl_peripheral[No Asset],1):tbl_peripheral[[#This Row],[No Asset]]),"")</f>
        <v>6</v>
      </c>
      <c r="B8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2609104005</v>
      </c>
      <c r="C8" s="74">
        <v>46268</v>
      </c>
      <c r="D8" t="s">
        <v>108</v>
      </c>
      <c r="E8" t="s">
        <v>74</v>
      </c>
      <c r="F8" s="51" t="s">
        <v>729</v>
      </c>
      <c r="G8" s="45" t="s">
        <v>695</v>
      </c>
      <c r="H8" t="s">
        <v>696</v>
      </c>
      <c r="I8" t="s">
        <v>723</v>
      </c>
      <c r="J8" s="1" t="s">
        <v>724</v>
      </c>
      <c r="K8" s="50"/>
      <c r="L8" s="1" t="s">
        <v>726</v>
      </c>
      <c r="M8" s="1" t="s">
        <v>727</v>
      </c>
      <c r="N8" s="1" t="s">
        <v>728</v>
      </c>
      <c r="O8" s="47" t="s">
        <v>87</v>
      </c>
      <c r="P8" s="47" t="s">
        <v>87</v>
      </c>
      <c r="Q8" s="47" t="s">
        <v>87</v>
      </c>
      <c r="R8" s="47" t="s">
        <v>87</v>
      </c>
      <c r="S8" s="47" t="s">
        <v>87</v>
      </c>
      <c r="T8" s="1">
        <v>1</v>
      </c>
      <c r="U8" s="1">
        <v>1</v>
      </c>
      <c r="V8" s="47" t="s">
        <v>87</v>
      </c>
      <c r="W8" s="47" t="s">
        <v>87</v>
      </c>
      <c r="X8" s="47" t="s">
        <v>87</v>
      </c>
      <c r="Y8" s="1" t="s">
        <v>122</v>
      </c>
      <c r="Z8" s="1" t="s">
        <v>104</v>
      </c>
      <c r="AA8" s="1" t="s">
        <v>154</v>
      </c>
      <c r="AF8" s="60" t="b">
        <v>0</v>
      </c>
      <c r="AG8" t="str">
        <f>_xlfn.IFNA(INDEX(tbl_handover[No. Handover],MATCH(tbl_peripheral[[#This Row],[No Asset]],tbl_handover[Asset Code],0)),"")</f>
        <v/>
      </c>
    </row>
    <row r="9" spans="1:33" x14ac:dyDescent="0.25">
      <c r="A9" s="43">
        <f>IF(tbl_peripheral[[#This Row],[No Asset]]&lt;&gt;"",SUBTOTAL(3,INDEX(tbl_peripheral[No Asset],1):tbl_peripheral[[#This Row],[No Asset]]),"")</f>
        <v>7</v>
      </c>
      <c r="B9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2609104006</v>
      </c>
      <c r="C9" s="74">
        <v>46268</v>
      </c>
      <c r="D9" t="s">
        <v>108</v>
      </c>
      <c r="E9" t="s">
        <v>74</v>
      </c>
      <c r="F9" s="51" t="s">
        <v>730</v>
      </c>
      <c r="G9" s="45" t="s">
        <v>695</v>
      </c>
      <c r="H9" t="s">
        <v>696</v>
      </c>
      <c r="I9" t="s">
        <v>723</v>
      </c>
      <c r="J9" s="1" t="s">
        <v>724</v>
      </c>
      <c r="K9" s="50" t="s">
        <v>731</v>
      </c>
      <c r="L9" s="1" t="s">
        <v>726</v>
      </c>
      <c r="M9" s="1" t="s">
        <v>727</v>
      </c>
      <c r="N9" s="1" t="s">
        <v>728</v>
      </c>
      <c r="O9" s="47" t="s">
        <v>87</v>
      </c>
      <c r="P9" s="47" t="s">
        <v>87</v>
      </c>
      <c r="Q9" s="47" t="s">
        <v>87</v>
      </c>
      <c r="R9" s="47" t="s">
        <v>87</v>
      </c>
      <c r="S9" s="47" t="s">
        <v>87</v>
      </c>
      <c r="T9" s="1">
        <v>1</v>
      </c>
      <c r="U9" s="1">
        <v>1</v>
      </c>
      <c r="V9" s="47" t="s">
        <v>87</v>
      </c>
      <c r="W9" s="47" t="s">
        <v>87</v>
      </c>
      <c r="X9" s="47" t="s">
        <v>87</v>
      </c>
      <c r="Y9" s="1" t="s">
        <v>122</v>
      </c>
      <c r="Z9" s="1" t="s">
        <v>104</v>
      </c>
      <c r="AA9" s="1" t="s">
        <v>154</v>
      </c>
      <c r="AF9" s="60" t="b">
        <v>0</v>
      </c>
      <c r="AG9" t="str">
        <f>_xlfn.IFNA(INDEX(tbl_handover[No. Handover],MATCH(tbl_peripheral[[#This Row],[No Asset]],tbl_handover[Asset Code],0)),"")</f>
        <v/>
      </c>
    </row>
    <row r="10" spans="1:33" x14ac:dyDescent="0.25">
      <c r="A10" s="43">
        <f>IF(tbl_peripheral[[#This Row],[No Asset]]&lt;&gt;"",SUBTOTAL(3,INDEX(tbl_peripheral[No Asset],1):tbl_peripheral[[#This Row],[No Asset]]),"")</f>
        <v>8</v>
      </c>
      <c r="B10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2609104007</v>
      </c>
      <c r="C10" s="74">
        <v>46268</v>
      </c>
      <c r="D10" t="s">
        <v>108</v>
      </c>
      <c r="E10" t="s">
        <v>74</v>
      </c>
      <c r="F10" s="51" t="s">
        <v>124</v>
      </c>
      <c r="G10" s="45" t="s">
        <v>695</v>
      </c>
      <c r="H10" t="s">
        <v>696</v>
      </c>
      <c r="I10" t="s">
        <v>723</v>
      </c>
      <c r="J10" s="1" t="s">
        <v>724</v>
      </c>
      <c r="K10" s="50" t="s">
        <v>732</v>
      </c>
      <c r="L10" s="1" t="s">
        <v>726</v>
      </c>
      <c r="M10" s="1" t="s">
        <v>727</v>
      </c>
      <c r="N10" s="1" t="s">
        <v>728</v>
      </c>
      <c r="O10" s="47" t="s">
        <v>733</v>
      </c>
      <c r="P10" s="47" t="s">
        <v>87</v>
      </c>
      <c r="Q10" s="47" t="s">
        <v>87</v>
      </c>
      <c r="R10" s="47" t="s">
        <v>87</v>
      </c>
      <c r="S10" s="47" t="s">
        <v>87</v>
      </c>
      <c r="T10" s="1">
        <v>1</v>
      </c>
      <c r="U10" s="1">
        <v>1</v>
      </c>
      <c r="V10" s="47" t="s">
        <v>87</v>
      </c>
      <c r="W10" s="47" t="s">
        <v>87</v>
      </c>
      <c r="X10" s="47" t="s">
        <v>87</v>
      </c>
      <c r="Y10" s="1" t="s">
        <v>122</v>
      </c>
      <c r="Z10" s="1" t="s">
        <v>104</v>
      </c>
      <c r="AA10" s="1" t="s">
        <v>154</v>
      </c>
      <c r="AF10" s="60" t="b">
        <v>0</v>
      </c>
      <c r="AG10" t="str">
        <f>_xlfn.IFNA(INDEX(tbl_handover[No. Handover],MATCH(tbl_peripheral[[#This Row],[No Asset]],tbl_handover[Asset Code],0)),"")</f>
        <v/>
      </c>
    </row>
    <row r="11" spans="1:33" x14ac:dyDescent="0.25">
      <c r="A11" s="43">
        <f>IF(tbl_peripheral[[#This Row],[No Asset]]&lt;&gt;"",SUBTOTAL(3,INDEX(tbl_peripheral[No Asset],1):tbl_peripheral[[#This Row],[No Asset]]),"")</f>
        <v>9</v>
      </c>
      <c r="B11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2609104008</v>
      </c>
      <c r="C11" s="74">
        <v>46268</v>
      </c>
      <c r="D11" t="s">
        <v>108</v>
      </c>
      <c r="E11" t="s">
        <v>74</v>
      </c>
      <c r="F11" s="45" t="s">
        <v>124</v>
      </c>
      <c r="G11" s="45" t="s">
        <v>695</v>
      </c>
      <c r="H11" t="s">
        <v>696</v>
      </c>
      <c r="I11" t="s">
        <v>723</v>
      </c>
      <c r="J11" s="1" t="s">
        <v>724</v>
      </c>
      <c r="K11" s="1" t="s">
        <v>734</v>
      </c>
      <c r="L11" s="1" t="s">
        <v>726</v>
      </c>
      <c r="M11" s="1" t="s">
        <v>727</v>
      </c>
      <c r="N11" s="1" t="s">
        <v>728</v>
      </c>
      <c r="O11" s="47" t="s">
        <v>87</v>
      </c>
      <c r="P11" s="47" t="s">
        <v>87</v>
      </c>
      <c r="Q11" s="47" t="s">
        <v>87</v>
      </c>
      <c r="R11" s="47" t="s">
        <v>87</v>
      </c>
      <c r="S11" s="47" t="s">
        <v>87</v>
      </c>
      <c r="T11" s="1">
        <v>1</v>
      </c>
      <c r="U11" s="1">
        <v>1</v>
      </c>
      <c r="V11" s="47" t="s">
        <v>87</v>
      </c>
      <c r="W11" s="47" t="s">
        <v>87</v>
      </c>
      <c r="X11" s="47" t="s">
        <v>87</v>
      </c>
      <c r="Y11" s="1" t="s">
        <v>122</v>
      </c>
      <c r="Z11" s="1" t="s">
        <v>104</v>
      </c>
      <c r="AA11" s="1" t="s">
        <v>143</v>
      </c>
      <c r="AB11" s="63" t="s">
        <v>735</v>
      </c>
      <c r="AF11" s="60" t="b">
        <v>0</v>
      </c>
      <c r="AG11" t="str">
        <f>_xlfn.IFNA(INDEX(tbl_handover[No. Handover],MATCH(tbl_peripheral[[#This Row],[No Asset]],tbl_handover[Asset Code],0)),"")</f>
        <v/>
      </c>
    </row>
    <row r="12" spans="1:33" x14ac:dyDescent="0.25">
      <c r="A12" s="43">
        <f>IF(tbl_peripheral[[#This Row],[No Asset]]&lt;&gt;"",SUBTOTAL(3,INDEX(tbl_peripheral[No Asset],1):tbl_peripheral[[#This Row],[No Asset]]),"")</f>
        <v>10</v>
      </c>
      <c r="B12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2609104009</v>
      </c>
      <c r="C12" s="74">
        <v>46268</v>
      </c>
      <c r="D12" t="s">
        <v>108</v>
      </c>
      <c r="E12" t="s">
        <v>74</v>
      </c>
      <c r="F12" s="45" t="s">
        <v>197</v>
      </c>
      <c r="G12" s="45" t="s">
        <v>695</v>
      </c>
      <c r="H12" t="s">
        <v>696</v>
      </c>
      <c r="I12" t="s">
        <v>723</v>
      </c>
      <c r="J12" s="1" t="s">
        <v>724</v>
      </c>
      <c r="K12" s="1" t="s">
        <v>736</v>
      </c>
      <c r="L12" s="1" t="s">
        <v>726</v>
      </c>
      <c r="M12" s="1" t="s">
        <v>727</v>
      </c>
      <c r="N12" s="1" t="s">
        <v>728</v>
      </c>
      <c r="O12" s="47" t="s">
        <v>87</v>
      </c>
      <c r="P12" s="47" t="s">
        <v>87</v>
      </c>
      <c r="Q12" s="47" t="s">
        <v>87</v>
      </c>
      <c r="R12" s="47" t="s">
        <v>87</v>
      </c>
      <c r="S12" s="47" t="s">
        <v>87</v>
      </c>
      <c r="T12" s="1">
        <v>1</v>
      </c>
      <c r="U12" s="1">
        <v>1</v>
      </c>
      <c r="V12" s="47" t="s">
        <v>87</v>
      </c>
      <c r="W12" s="47" t="s">
        <v>87</v>
      </c>
      <c r="X12" s="47" t="s">
        <v>87</v>
      </c>
      <c r="Y12" s="1" t="s">
        <v>122</v>
      </c>
      <c r="Z12" s="1" t="s">
        <v>104</v>
      </c>
      <c r="AA12" s="1" t="s">
        <v>143</v>
      </c>
      <c r="AB12" s="63" t="s">
        <v>737</v>
      </c>
      <c r="AF12" s="60" t="b">
        <v>0</v>
      </c>
      <c r="AG12" t="str">
        <f>_xlfn.IFNA(INDEX(tbl_handover[No. Handover],MATCH(tbl_peripheral[[#This Row],[No Asset]],tbl_handover[Asset Code],0)),"")</f>
        <v>SR.26.09.0005/IX/2026/PGT/IT/INT</v>
      </c>
    </row>
    <row r="13" spans="1:33" x14ac:dyDescent="0.25">
      <c r="A13" s="43">
        <f>IF(tbl_peripheral[[#This Row],[No Asset]]&lt;&gt;"",SUBTOTAL(3,INDEX(tbl_peripheral[No Asset],1):tbl_peripheral[[#This Row],[No Asset]]),"")</f>
        <v>11</v>
      </c>
      <c r="B13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2609104010</v>
      </c>
      <c r="C13" s="74">
        <v>46268</v>
      </c>
      <c r="D13" t="s">
        <v>108</v>
      </c>
      <c r="E13" t="s">
        <v>74</v>
      </c>
      <c r="F13" s="45" t="s">
        <v>197</v>
      </c>
      <c r="G13" s="45" t="s">
        <v>695</v>
      </c>
      <c r="H13" t="s">
        <v>738</v>
      </c>
      <c r="I13" t="s">
        <v>739</v>
      </c>
      <c r="J13" s="1" t="s">
        <v>740</v>
      </c>
      <c r="K13" s="1" t="s">
        <v>741</v>
      </c>
      <c r="L13" s="1" t="s">
        <v>742</v>
      </c>
      <c r="M13" s="1" t="s">
        <v>743</v>
      </c>
      <c r="N13" s="1" t="s">
        <v>744</v>
      </c>
      <c r="O13" s="47" t="s">
        <v>720</v>
      </c>
      <c r="P13" s="47" t="s">
        <v>87</v>
      </c>
      <c r="Q13" s="47" t="s">
        <v>87</v>
      </c>
      <c r="R13" s="1" t="s">
        <v>743</v>
      </c>
      <c r="S13" s="47" t="s">
        <v>87</v>
      </c>
      <c r="T13" s="47" t="s">
        <v>87</v>
      </c>
      <c r="U13" s="47" t="s">
        <v>87</v>
      </c>
      <c r="V13" s="47" t="s">
        <v>87</v>
      </c>
      <c r="W13" s="47" t="s">
        <v>87</v>
      </c>
      <c r="X13" s="47" t="s">
        <v>87</v>
      </c>
      <c r="Y13" s="1" t="s">
        <v>122</v>
      </c>
      <c r="Z13" s="1" t="s">
        <v>104</v>
      </c>
      <c r="AA13" s="1" t="s">
        <v>154</v>
      </c>
      <c r="AF13" s="60" t="b">
        <v>1</v>
      </c>
      <c r="AG13" t="str">
        <f>_xlfn.IFNA(INDEX(tbl_handover[No. Handover],MATCH(tbl_peripheral[[#This Row],[No Asset]],tbl_handover[Asset Code],0)),"")</f>
        <v>SR.26.09.0005/IX/2026/PGT/IT/INT</v>
      </c>
    </row>
    <row r="14" spans="1:33" x14ac:dyDescent="0.25">
      <c r="A14" s="43">
        <f>IF(tbl_peripheral[[#This Row],[No Asset]]&lt;&gt;"",SUBTOTAL(3,INDEX(tbl_peripheral[No Asset],1):tbl_peripheral[[#This Row],[No Asset]]),"")</f>
        <v>12</v>
      </c>
      <c r="B14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2609104011</v>
      </c>
      <c r="C14" s="74">
        <v>46268</v>
      </c>
      <c r="D14" t="s">
        <v>108</v>
      </c>
      <c r="E14" t="s">
        <v>74</v>
      </c>
      <c r="F14" s="45" t="s">
        <v>124</v>
      </c>
      <c r="G14" s="45" t="s">
        <v>695</v>
      </c>
      <c r="H14" t="s">
        <v>745</v>
      </c>
      <c r="I14" t="s">
        <v>746</v>
      </c>
      <c r="J14" s="1" t="s">
        <v>747</v>
      </c>
      <c r="K14" s="1" t="s">
        <v>748</v>
      </c>
      <c r="L14" s="1" t="s">
        <v>699</v>
      </c>
      <c r="M14" s="1" t="s">
        <v>749</v>
      </c>
      <c r="N14" s="1" t="s">
        <v>750</v>
      </c>
      <c r="O14" s="47" t="s">
        <v>87</v>
      </c>
      <c r="P14" s="47" t="s">
        <v>87</v>
      </c>
      <c r="Q14" s="47" t="s">
        <v>87</v>
      </c>
      <c r="R14" s="47" t="s">
        <v>87</v>
      </c>
      <c r="S14" s="47" t="s">
        <v>87</v>
      </c>
      <c r="T14" s="1">
        <v>1</v>
      </c>
      <c r="U14" s="47" t="s">
        <v>87</v>
      </c>
      <c r="V14" s="47" t="s">
        <v>87</v>
      </c>
      <c r="W14" s="47" t="s">
        <v>87</v>
      </c>
      <c r="X14" s="47" t="s">
        <v>87</v>
      </c>
      <c r="Y14" s="1" t="s">
        <v>122</v>
      </c>
      <c r="Z14" s="1" t="s">
        <v>104</v>
      </c>
      <c r="AA14" s="1" t="s">
        <v>154</v>
      </c>
      <c r="AB14" s="1" t="s">
        <v>751</v>
      </c>
      <c r="AF14" s="60" t="b">
        <v>0</v>
      </c>
      <c r="AG14" t="str">
        <f>_xlfn.IFNA(INDEX(tbl_handover[No. Handover],MATCH(tbl_peripheral[[#This Row],[No Asset]],tbl_handover[Asset Code],0)),"")</f>
        <v>SR.26.09.0006/IX/2026/PGT/IT/INT</v>
      </c>
    </row>
    <row r="15" spans="1:33" x14ac:dyDescent="0.25">
      <c r="A15" s="43">
        <f>IF(tbl_peripheral[[#This Row],[No Asset]]&lt;&gt;"",SUBTOTAL(3,INDEX(tbl_peripheral[No Asset],1):tbl_peripheral[[#This Row],[No Asset]]),"")</f>
        <v>13</v>
      </c>
      <c r="B15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2609104012</v>
      </c>
      <c r="C15" s="74">
        <v>46268</v>
      </c>
      <c r="D15" t="s">
        <v>108</v>
      </c>
      <c r="E15" t="s">
        <v>74</v>
      </c>
      <c r="F15" s="45" t="s">
        <v>124</v>
      </c>
      <c r="G15" s="45" t="s">
        <v>695</v>
      </c>
      <c r="H15" t="s">
        <v>745</v>
      </c>
      <c r="I15" t="s">
        <v>746</v>
      </c>
      <c r="J15" s="1" t="s">
        <v>747</v>
      </c>
      <c r="K15" s="1" t="s">
        <v>752</v>
      </c>
      <c r="L15" s="1" t="s">
        <v>699</v>
      </c>
      <c r="M15" s="1" t="s">
        <v>749</v>
      </c>
      <c r="N15" s="1" t="s">
        <v>750</v>
      </c>
      <c r="O15" s="47" t="s">
        <v>87</v>
      </c>
      <c r="P15" s="47" t="s">
        <v>87</v>
      </c>
      <c r="Q15" s="47" t="s">
        <v>87</v>
      </c>
      <c r="R15" s="47" t="s">
        <v>87</v>
      </c>
      <c r="S15" s="47" t="s">
        <v>87</v>
      </c>
      <c r="T15" s="1">
        <v>1</v>
      </c>
      <c r="U15" s="47" t="s">
        <v>87</v>
      </c>
      <c r="V15" s="47" t="s">
        <v>87</v>
      </c>
      <c r="W15" s="47" t="s">
        <v>87</v>
      </c>
      <c r="X15" s="47" t="s">
        <v>87</v>
      </c>
      <c r="Y15" s="1" t="s">
        <v>122</v>
      </c>
      <c r="Z15" s="1" t="s">
        <v>104</v>
      </c>
      <c r="AA15" s="1" t="s">
        <v>154</v>
      </c>
      <c r="AB15" s="1" t="s">
        <v>753</v>
      </c>
      <c r="AF15" s="60" t="b">
        <v>1</v>
      </c>
      <c r="AG15" t="str">
        <f>_xlfn.IFNA(INDEX(tbl_handover[No. Handover],MATCH(tbl_peripheral[[#This Row],[No Asset]],tbl_handover[Asset Code],0)),"")</f>
        <v>SR.26.09.0007/IX/2026/PGT/IT/INT</v>
      </c>
    </row>
    <row r="16" spans="1:33" x14ac:dyDescent="0.25">
      <c r="A16" s="43">
        <f>IF(tbl_peripheral[[#This Row],[No Asset]]&lt;&gt;"",SUBTOTAL(3,INDEX(tbl_peripheral[No Asset],1):tbl_peripheral[[#This Row],[No Asset]]),"")</f>
        <v>14</v>
      </c>
      <c r="B16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2609104013</v>
      </c>
      <c r="C16" s="74">
        <v>46268</v>
      </c>
      <c r="D16" t="s">
        <v>108</v>
      </c>
      <c r="E16" t="s">
        <v>74</v>
      </c>
      <c r="F16" s="45" t="s">
        <v>211</v>
      </c>
      <c r="G16" s="45" t="s">
        <v>695</v>
      </c>
      <c r="H16" t="s">
        <v>745</v>
      </c>
      <c r="I16" t="s">
        <v>746</v>
      </c>
      <c r="J16" s="1" t="s">
        <v>747</v>
      </c>
      <c r="K16" s="1" t="s">
        <v>754</v>
      </c>
      <c r="L16" s="1" t="s">
        <v>699</v>
      </c>
      <c r="M16" s="1" t="s">
        <v>749</v>
      </c>
      <c r="N16" s="1" t="s">
        <v>750</v>
      </c>
      <c r="O16" s="47" t="s">
        <v>87</v>
      </c>
      <c r="P16" s="47" t="s">
        <v>87</v>
      </c>
      <c r="Q16" s="47" t="s">
        <v>87</v>
      </c>
      <c r="R16" s="47" t="s">
        <v>87</v>
      </c>
      <c r="S16" s="47" t="s">
        <v>87</v>
      </c>
      <c r="T16" s="1">
        <v>1</v>
      </c>
      <c r="U16" s="47" t="s">
        <v>87</v>
      </c>
      <c r="V16" s="47" t="s">
        <v>87</v>
      </c>
      <c r="W16" s="47" t="s">
        <v>87</v>
      </c>
      <c r="X16" s="47" t="s">
        <v>87</v>
      </c>
      <c r="Y16" s="1" t="s">
        <v>122</v>
      </c>
      <c r="Z16" s="1" t="s">
        <v>104</v>
      </c>
      <c r="AA16" s="1" t="s">
        <v>154</v>
      </c>
      <c r="AB16" s="1" t="s">
        <v>755</v>
      </c>
      <c r="AF16" s="60" t="b">
        <v>1</v>
      </c>
      <c r="AG16" t="str">
        <f>_xlfn.IFNA(INDEX(tbl_handover[No. Handover],MATCH(tbl_peripheral[[#This Row],[No Asset]],tbl_handover[Asset Code],0)),"")</f>
        <v>SR.26.09.0008/IX/2026/PGT/IT/INT</v>
      </c>
    </row>
    <row r="17" spans="1:33" x14ac:dyDescent="0.25">
      <c r="A17" s="43">
        <f>IF(tbl_peripheral[[#This Row],[No Asset]]&lt;&gt;"",SUBTOTAL(3,INDEX(tbl_peripheral[No Asset],1):tbl_peripheral[[#This Row],[No Asset]]),"")</f>
        <v>15</v>
      </c>
      <c r="B17" s="84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2609104014</v>
      </c>
      <c r="C17" s="74">
        <v>46268</v>
      </c>
      <c r="D17" t="s">
        <v>108</v>
      </c>
      <c r="E17" t="s">
        <v>74</v>
      </c>
      <c r="F17" s="45" t="s">
        <v>756</v>
      </c>
      <c r="G17" s="45" t="s">
        <v>695</v>
      </c>
      <c r="H17" t="s">
        <v>745</v>
      </c>
      <c r="I17" t="s">
        <v>746</v>
      </c>
      <c r="J17" s="1" t="s">
        <v>747</v>
      </c>
      <c r="K17" s="1" t="s">
        <v>757</v>
      </c>
      <c r="L17" s="1" t="s">
        <v>699</v>
      </c>
      <c r="M17" s="1" t="s">
        <v>749</v>
      </c>
      <c r="N17" s="1" t="s">
        <v>750</v>
      </c>
      <c r="O17" s="47" t="s">
        <v>87</v>
      </c>
      <c r="P17" s="47" t="s">
        <v>87</v>
      </c>
      <c r="Q17" s="47" t="s">
        <v>87</v>
      </c>
      <c r="R17" s="47" t="s">
        <v>87</v>
      </c>
      <c r="S17" s="47" t="s">
        <v>87</v>
      </c>
      <c r="T17" s="1">
        <v>1</v>
      </c>
      <c r="U17" s="47" t="s">
        <v>87</v>
      </c>
      <c r="V17" s="47" t="s">
        <v>87</v>
      </c>
      <c r="W17" s="47" t="s">
        <v>87</v>
      </c>
      <c r="X17" s="47" t="s">
        <v>87</v>
      </c>
      <c r="Y17" s="1" t="s">
        <v>122</v>
      </c>
      <c r="Z17" s="1" t="s">
        <v>104</v>
      </c>
      <c r="AA17" s="1" t="s">
        <v>143</v>
      </c>
      <c r="AF17" s="60" t="b">
        <v>1</v>
      </c>
      <c r="AG17" t="str">
        <f>_xlfn.IFNA(INDEX(tbl_handover[No. Handover],MATCH(tbl_peripheral[[#This Row],[No Asset]],tbl_handover[Asset Code],0)),"")</f>
        <v>SR.26.09.0016/IX/2026/PGT/IT/INT</v>
      </c>
    </row>
    <row r="18" spans="1:33" x14ac:dyDescent="0.25">
      <c r="A18" s="43">
        <f>IF(tbl_peripheral[[#This Row],[No Asset]]&lt;&gt;"",SUBTOTAL(3,INDEX(tbl_peripheral[No Asset],1):tbl_peripheral[[#This Row],[No Asset]]),"")</f>
        <v>16</v>
      </c>
      <c r="B18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2609104015</v>
      </c>
      <c r="C18" s="74">
        <v>46268</v>
      </c>
      <c r="D18" t="s">
        <v>108</v>
      </c>
      <c r="E18" t="s">
        <v>74</v>
      </c>
      <c r="F18" s="45" t="s">
        <v>211</v>
      </c>
      <c r="G18" s="45" t="s">
        <v>695</v>
      </c>
      <c r="H18" t="s">
        <v>758</v>
      </c>
      <c r="I18" t="s">
        <v>759</v>
      </c>
      <c r="J18" s="1" t="s">
        <v>760</v>
      </c>
      <c r="K18" s="53" t="s">
        <v>761</v>
      </c>
      <c r="L18" s="1" t="s">
        <v>762</v>
      </c>
      <c r="M18" s="1" t="s">
        <v>763</v>
      </c>
      <c r="N18" s="1" t="s">
        <v>764</v>
      </c>
      <c r="O18" s="47" t="s">
        <v>87</v>
      </c>
      <c r="P18" s="47" t="s">
        <v>87</v>
      </c>
      <c r="Q18" s="47" t="s">
        <v>87</v>
      </c>
      <c r="R18" s="1" t="s">
        <v>765</v>
      </c>
      <c r="S18" s="47" t="s">
        <v>87</v>
      </c>
      <c r="T18" s="1">
        <v>1</v>
      </c>
      <c r="U18" s="1">
        <v>1</v>
      </c>
      <c r="V18" s="47" t="s">
        <v>87</v>
      </c>
      <c r="W18" s="47" t="s">
        <v>87</v>
      </c>
      <c r="X18" s="47" t="s">
        <v>87</v>
      </c>
      <c r="Y18" s="1" t="s">
        <v>122</v>
      </c>
      <c r="Z18" s="1" t="s">
        <v>104</v>
      </c>
      <c r="AA18" s="1" t="s">
        <v>154</v>
      </c>
      <c r="AB18" s="1" t="s">
        <v>755</v>
      </c>
      <c r="AF18" s="60" t="b">
        <v>1</v>
      </c>
      <c r="AG18" t="str">
        <f>_xlfn.IFNA(INDEX(tbl_handover[No. Handover],MATCH(tbl_peripheral[[#This Row],[No Asset]],tbl_handover[Asset Code],0)),"")</f>
        <v>SR.26.09.0008/IX/2026/PGT/IT/INT</v>
      </c>
    </row>
    <row r="19" spans="1:33" x14ac:dyDescent="0.25">
      <c r="A19" s="43">
        <f>IF(tbl_peripheral[[#This Row],[No Asset]]&lt;&gt;"",SUBTOTAL(3,INDEX(tbl_peripheral[No Asset],1):tbl_peripheral[[#This Row],[No Asset]]),"")</f>
        <v>17</v>
      </c>
      <c r="B19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2609104016</v>
      </c>
      <c r="C19" s="74">
        <v>46268</v>
      </c>
      <c r="D19" t="s">
        <v>108</v>
      </c>
      <c r="E19" t="s">
        <v>74</v>
      </c>
      <c r="F19" s="45" t="s">
        <v>756</v>
      </c>
      <c r="G19" s="45" t="s">
        <v>695</v>
      </c>
      <c r="H19" t="s">
        <v>745</v>
      </c>
      <c r="I19" t="s">
        <v>746</v>
      </c>
      <c r="J19" s="1" t="s">
        <v>747</v>
      </c>
      <c r="K19" s="1" t="s">
        <v>766</v>
      </c>
      <c r="L19" s="1" t="s">
        <v>699</v>
      </c>
      <c r="M19" s="1" t="s">
        <v>749</v>
      </c>
      <c r="N19" s="1" t="s">
        <v>750</v>
      </c>
      <c r="O19" s="47" t="s">
        <v>87</v>
      </c>
      <c r="P19" s="47" t="s">
        <v>87</v>
      </c>
      <c r="Q19" s="47" t="s">
        <v>87</v>
      </c>
      <c r="R19" s="47" t="s">
        <v>87</v>
      </c>
      <c r="S19" s="47" t="s">
        <v>87</v>
      </c>
      <c r="T19" s="1">
        <v>1</v>
      </c>
      <c r="U19" s="47" t="s">
        <v>87</v>
      </c>
      <c r="V19" s="47" t="s">
        <v>87</v>
      </c>
      <c r="W19" s="47" t="s">
        <v>87</v>
      </c>
      <c r="X19" s="47" t="s">
        <v>87</v>
      </c>
      <c r="Y19" s="1" t="s">
        <v>122</v>
      </c>
      <c r="Z19" s="1" t="s">
        <v>104</v>
      </c>
      <c r="AA19" s="1" t="s">
        <v>154</v>
      </c>
      <c r="AB19" s="1" t="s">
        <v>767</v>
      </c>
      <c r="AF19" s="60" t="b">
        <v>1</v>
      </c>
      <c r="AG19" t="str">
        <f>_xlfn.IFNA(INDEX(tbl_handover[No. Handover],MATCH(tbl_peripheral[[#This Row],[No Asset]],tbl_handover[Asset Code],0)),"")</f>
        <v>SR.26.09.0009/IX/2026/PGT/IT/INT</v>
      </c>
    </row>
    <row r="20" spans="1:33" x14ac:dyDescent="0.25">
      <c r="A20" s="43">
        <f>IF(tbl_peripheral[[#This Row],[No Asset]]&lt;&gt;"",SUBTOTAL(3,INDEX(tbl_peripheral[No Asset],1):tbl_peripheral[[#This Row],[No Asset]]),"")</f>
        <v>18</v>
      </c>
      <c r="B20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2609104017</v>
      </c>
      <c r="C20" s="74">
        <v>46268</v>
      </c>
      <c r="D20" t="s">
        <v>108</v>
      </c>
      <c r="E20" t="s">
        <v>74</v>
      </c>
      <c r="F20" s="45" t="s">
        <v>756</v>
      </c>
      <c r="G20" s="45" t="s">
        <v>695</v>
      </c>
      <c r="H20" t="s">
        <v>745</v>
      </c>
      <c r="I20" t="s">
        <v>746</v>
      </c>
      <c r="J20" s="1" t="s">
        <v>747</v>
      </c>
      <c r="K20" s="1" t="s">
        <v>768</v>
      </c>
      <c r="L20" s="1" t="s">
        <v>699</v>
      </c>
      <c r="M20" s="1" t="s">
        <v>749</v>
      </c>
      <c r="N20" s="1" t="s">
        <v>750</v>
      </c>
      <c r="O20" s="47" t="s">
        <v>87</v>
      </c>
      <c r="P20" s="47" t="s">
        <v>87</v>
      </c>
      <c r="Q20" s="47" t="s">
        <v>87</v>
      </c>
      <c r="R20" s="47" t="s">
        <v>87</v>
      </c>
      <c r="S20" s="47" t="s">
        <v>87</v>
      </c>
      <c r="T20" s="1">
        <v>1</v>
      </c>
      <c r="U20" s="47" t="s">
        <v>87</v>
      </c>
      <c r="V20" s="47" t="s">
        <v>87</v>
      </c>
      <c r="W20" s="47" t="s">
        <v>87</v>
      </c>
      <c r="X20" s="47" t="s">
        <v>87</v>
      </c>
      <c r="Y20" s="1" t="s">
        <v>122</v>
      </c>
      <c r="Z20" s="1" t="s">
        <v>104</v>
      </c>
      <c r="AA20" s="1" t="s">
        <v>143</v>
      </c>
      <c r="AB20" s="1" t="s">
        <v>769</v>
      </c>
      <c r="AF20" s="60" t="b">
        <v>1</v>
      </c>
      <c r="AG20" t="str">
        <f>_xlfn.IFNA(INDEX(tbl_handover[No. Handover],MATCH(tbl_peripheral[[#This Row],[No Asset]],tbl_handover[Asset Code],0)),"")</f>
        <v/>
      </c>
    </row>
    <row r="21" spans="1:33" x14ac:dyDescent="0.25">
      <c r="A21" s="43">
        <f>IF(tbl_peripheral[[#This Row],[No Asset]]&lt;&gt;"",SUBTOTAL(3,INDEX(tbl_peripheral[No Asset],1):tbl_peripheral[[#This Row],[No Asset]]),"")</f>
        <v>19</v>
      </c>
      <c r="B21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2609104018</v>
      </c>
      <c r="C21" s="74">
        <v>46268</v>
      </c>
      <c r="D21" t="s">
        <v>108</v>
      </c>
      <c r="E21" t="s">
        <v>74</v>
      </c>
      <c r="F21" s="45" t="s">
        <v>756</v>
      </c>
      <c r="G21" s="45" t="s">
        <v>695</v>
      </c>
      <c r="H21" t="s">
        <v>745</v>
      </c>
      <c r="I21" t="s">
        <v>746</v>
      </c>
      <c r="J21" s="1" t="s">
        <v>747</v>
      </c>
      <c r="K21" s="1" t="s">
        <v>770</v>
      </c>
      <c r="L21" s="1" t="s">
        <v>699</v>
      </c>
      <c r="M21" s="1" t="s">
        <v>749</v>
      </c>
      <c r="N21" s="1" t="s">
        <v>750</v>
      </c>
      <c r="O21" s="47" t="s">
        <v>87</v>
      </c>
      <c r="P21" s="47" t="s">
        <v>87</v>
      </c>
      <c r="Q21" s="47" t="s">
        <v>87</v>
      </c>
      <c r="R21" s="47" t="s">
        <v>87</v>
      </c>
      <c r="S21" s="47" t="s">
        <v>87</v>
      </c>
      <c r="T21" s="1">
        <v>1</v>
      </c>
      <c r="U21" s="47" t="s">
        <v>87</v>
      </c>
      <c r="V21" s="47" t="s">
        <v>87</v>
      </c>
      <c r="W21" s="47" t="s">
        <v>87</v>
      </c>
      <c r="X21" s="47" t="s">
        <v>87</v>
      </c>
      <c r="Y21" s="1" t="s">
        <v>122</v>
      </c>
      <c r="Z21" s="1" t="s">
        <v>104</v>
      </c>
      <c r="AA21" s="1" t="s">
        <v>143</v>
      </c>
      <c r="AF21" s="60" t="b">
        <v>1</v>
      </c>
      <c r="AG21" t="str">
        <f>_xlfn.IFNA(INDEX(tbl_handover[No. Handover],MATCH(tbl_peripheral[[#This Row],[No Asset]],tbl_handover[Asset Code],0)),"")</f>
        <v/>
      </c>
    </row>
    <row r="22" spans="1:33" x14ac:dyDescent="0.25">
      <c r="A22" s="43">
        <f>IF(tbl_peripheral[[#This Row],[No Asset]]&lt;&gt;"",SUBTOTAL(3,INDEX(tbl_peripheral[No Asset],1):tbl_peripheral[[#This Row],[No Asset]]),"")</f>
        <v>20</v>
      </c>
      <c r="B22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2609104019</v>
      </c>
      <c r="C22" s="74">
        <v>46268</v>
      </c>
      <c r="D22" t="s">
        <v>108</v>
      </c>
      <c r="E22" t="s">
        <v>74</v>
      </c>
      <c r="F22" s="45" t="s">
        <v>771</v>
      </c>
      <c r="G22" s="45" t="s">
        <v>695</v>
      </c>
      <c r="H22" t="s">
        <v>745</v>
      </c>
      <c r="I22" t="s">
        <v>746</v>
      </c>
      <c r="J22" s="1" t="s">
        <v>747</v>
      </c>
      <c r="K22" s="1" t="s">
        <v>772</v>
      </c>
      <c r="L22" s="1" t="s">
        <v>699</v>
      </c>
      <c r="M22" s="1" t="s">
        <v>749</v>
      </c>
      <c r="N22" s="1" t="s">
        <v>750</v>
      </c>
      <c r="O22" s="47" t="s">
        <v>87</v>
      </c>
      <c r="P22" s="47" t="s">
        <v>87</v>
      </c>
      <c r="Q22" s="47" t="s">
        <v>87</v>
      </c>
      <c r="R22" s="47" t="s">
        <v>87</v>
      </c>
      <c r="S22" s="47" t="s">
        <v>87</v>
      </c>
      <c r="T22" s="1">
        <v>1</v>
      </c>
      <c r="U22" s="47" t="s">
        <v>87</v>
      </c>
      <c r="V22" s="47" t="s">
        <v>87</v>
      </c>
      <c r="W22" s="47" t="s">
        <v>87</v>
      </c>
      <c r="X22" s="47" t="s">
        <v>87</v>
      </c>
      <c r="Y22" s="1" t="s">
        <v>122</v>
      </c>
      <c r="Z22" s="1" t="s">
        <v>104</v>
      </c>
      <c r="AA22" s="1" t="s">
        <v>154</v>
      </c>
      <c r="AB22" s="1" t="s">
        <v>773</v>
      </c>
      <c r="AF22" s="60" t="b">
        <v>1</v>
      </c>
      <c r="AG22" t="str">
        <f>_xlfn.IFNA(INDEX(tbl_handover[No. Handover],MATCH(tbl_peripheral[[#This Row],[No Asset]],tbl_handover[Asset Code],0)),"")</f>
        <v>SR.26.09.0012/IX/2026/PGT/IT/INT</v>
      </c>
    </row>
    <row r="23" spans="1:33" x14ac:dyDescent="0.25">
      <c r="A23" s="43">
        <f>IF(tbl_peripheral[[#This Row],[No Asset]]&lt;&gt;"",SUBTOTAL(3,INDEX(tbl_peripheral[No Asset],1):tbl_peripheral[[#This Row],[No Asset]]),"")</f>
        <v>21</v>
      </c>
      <c r="B23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2609104020</v>
      </c>
      <c r="C23" s="74">
        <v>46268</v>
      </c>
      <c r="D23" t="s">
        <v>108</v>
      </c>
      <c r="E23" t="s">
        <v>74</v>
      </c>
      <c r="F23" s="45" t="s">
        <v>771</v>
      </c>
      <c r="G23" s="45" t="s">
        <v>695</v>
      </c>
      <c r="H23" t="s">
        <v>745</v>
      </c>
      <c r="I23" t="s">
        <v>746</v>
      </c>
      <c r="J23" s="1" t="s">
        <v>747</v>
      </c>
      <c r="K23" s="1" t="s">
        <v>774</v>
      </c>
      <c r="L23" s="1" t="s">
        <v>699</v>
      </c>
      <c r="M23" s="1" t="s">
        <v>749</v>
      </c>
      <c r="N23" s="1" t="s">
        <v>750</v>
      </c>
      <c r="O23" s="47" t="s">
        <v>87</v>
      </c>
      <c r="P23" s="47" t="s">
        <v>87</v>
      </c>
      <c r="Q23" s="47" t="s">
        <v>87</v>
      </c>
      <c r="R23" s="47" t="s">
        <v>87</v>
      </c>
      <c r="S23" s="47" t="s">
        <v>87</v>
      </c>
      <c r="T23" s="1">
        <v>1</v>
      </c>
      <c r="U23" s="47" t="s">
        <v>87</v>
      </c>
      <c r="V23" s="47" t="s">
        <v>87</v>
      </c>
      <c r="W23" s="47" t="s">
        <v>87</v>
      </c>
      <c r="X23" s="47" t="s">
        <v>87</v>
      </c>
      <c r="Y23" s="1" t="s">
        <v>122</v>
      </c>
      <c r="Z23" s="1" t="s">
        <v>104</v>
      </c>
      <c r="AA23" s="1" t="s">
        <v>154</v>
      </c>
      <c r="AB23" s="1" t="s">
        <v>775</v>
      </c>
      <c r="AF23" s="60" t="b">
        <v>1</v>
      </c>
      <c r="AG23" t="str">
        <f>_xlfn.IFNA(INDEX(tbl_handover[No. Handover],MATCH(tbl_peripheral[[#This Row],[No Asset]],tbl_handover[Asset Code],0)),"")</f>
        <v>SR.26.09.0013/IX/2026/PGT/IT/INT</v>
      </c>
    </row>
    <row r="24" spans="1:33" x14ac:dyDescent="0.25">
      <c r="A24" s="43">
        <f>IF(tbl_peripheral[[#This Row],[No Asset]]&lt;&gt;"",SUBTOTAL(3,INDEX(tbl_peripheral[No Asset],1):tbl_peripheral[[#This Row],[No Asset]]),"")</f>
        <v>22</v>
      </c>
      <c r="B24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2609104021</v>
      </c>
      <c r="C24" s="74">
        <v>46268</v>
      </c>
      <c r="D24" t="s">
        <v>108</v>
      </c>
      <c r="E24" t="s">
        <v>74</v>
      </c>
      <c r="F24" s="45" t="s">
        <v>124</v>
      </c>
      <c r="G24" s="45" t="s">
        <v>695</v>
      </c>
      <c r="H24" t="s">
        <v>745</v>
      </c>
      <c r="I24" t="s">
        <v>746</v>
      </c>
      <c r="J24" s="1" t="s">
        <v>747</v>
      </c>
      <c r="K24" s="1" t="s">
        <v>776</v>
      </c>
      <c r="L24" s="1" t="s">
        <v>699</v>
      </c>
      <c r="M24" s="1" t="s">
        <v>749</v>
      </c>
      <c r="N24" s="1" t="s">
        <v>750</v>
      </c>
      <c r="O24" s="47" t="s">
        <v>87</v>
      </c>
      <c r="P24" s="47" t="s">
        <v>87</v>
      </c>
      <c r="Q24" s="47" t="s">
        <v>87</v>
      </c>
      <c r="R24" s="47" t="s">
        <v>87</v>
      </c>
      <c r="S24" s="47" t="s">
        <v>87</v>
      </c>
      <c r="T24" s="1">
        <v>1</v>
      </c>
      <c r="U24" s="47" t="s">
        <v>87</v>
      </c>
      <c r="V24" s="47" t="s">
        <v>87</v>
      </c>
      <c r="W24" s="47" t="s">
        <v>87</v>
      </c>
      <c r="X24" s="47" t="s">
        <v>87</v>
      </c>
      <c r="Y24" s="1" t="s">
        <v>122</v>
      </c>
      <c r="Z24" s="1" t="s">
        <v>104</v>
      </c>
      <c r="AA24" s="1" t="s">
        <v>154</v>
      </c>
      <c r="AB24" s="1" t="s">
        <v>777</v>
      </c>
      <c r="AF24" s="60" t="b">
        <v>1</v>
      </c>
      <c r="AG24" t="str">
        <f>_xlfn.IFNA(INDEX(tbl_handover[No. Handover],MATCH(tbl_peripheral[[#This Row],[No Asset]],tbl_handover[Asset Code],0)),"")</f>
        <v>SR.26.09.0014/IX/2026/PGT/IT/INT</v>
      </c>
    </row>
    <row r="25" spans="1:33" x14ac:dyDescent="0.25">
      <c r="A25" s="43">
        <f>IF(tbl_peripheral[[#This Row],[No Asset]]&lt;&gt;"",SUBTOTAL(3,INDEX(tbl_peripheral[No Asset],1):tbl_peripheral[[#This Row],[No Asset]]),"")</f>
        <v>23</v>
      </c>
      <c r="B25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2609104022</v>
      </c>
      <c r="C25" s="74">
        <v>46268</v>
      </c>
      <c r="D25" t="s">
        <v>108</v>
      </c>
      <c r="E25" t="s">
        <v>74</v>
      </c>
      <c r="F25" s="45" t="s">
        <v>756</v>
      </c>
      <c r="G25" s="45" t="s">
        <v>695</v>
      </c>
      <c r="H25" t="s">
        <v>745</v>
      </c>
      <c r="I25" t="s">
        <v>746</v>
      </c>
      <c r="J25" s="1" t="s">
        <v>747</v>
      </c>
      <c r="K25" s="1" t="s">
        <v>778</v>
      </c>
      <c r="L25" s="1" t="s">
        <v>699</v>
      </c>
      <c r="M25" s="1" t="s">
        <v>749</v>
      </c>
      <c r="N25" s="1" t="s">
        <v>750</v>
      </c>
      <c r="O25" s="47" t="s">
        <v>87</v>
      </c>
      <c r="P25" s="47" t="s">
        <v>87</v>
      </c>
      <c r="Q25" s="47" t="s">
        <v>87</v>
      </c>
      <c r="R25" s="47" t="s">
        <v>87</v>
      </c>
      <c r="S25" s="47" t="s">
        <v>87</v>
      </c>
      <c r="T25" s="1">
        <v>1</v>
      </c>
      <c r="U25" s="47" t="s">
        <v>87</v>
      </c>
      <c r="V25" s="47" t="s">
        <v>87</v>
      </c>
      <c r="W25" s="47" t="s">
        <v>87</v>
      </c>
      <c r="X25" s="47" t="s">
        <v>87</v>
      </c>
      <c r="Y25" s="1" t="s">
        <v>122</v>
      </c>
      <c r="Z25" s="1" t="s">
        <v>104</v>
      </c>
      <c r="AA25" s="1" t="s">
        <v>154</v>
      </c>
      <c r="AB25" s="1" t="s">
        <v>779</v>
      </c>
      <c r="AF25" s="60" t="b">
        <v>1</v>
      </c>
      <c r="AG25" t="str">
        <f>_xlfn.IFNA(INDEX(tbl_handover[No. Handover],MATCH(tbl_peripheral[[#This Row],[No Asset]],tbl_handover[Asset Code],0)),"")</f>
        <v>SR.26.09.0018/IX/2026/PGT/IT/INT</v>
      </c>
    </row>
    <row r="26" spans="1:33" x14ac:dyDescent="0.25">
      <c r="A26" s="43">
        <f>IF(tbl_peripheral[[#This Row],[No Asset]]&lt;&gt;"",SUBTOTAL(3,INDEX(tbl_peripheral[No Asset],1):tbl_peripheral[[#This Row],[No Asset]]),"")</f>
        <v>24</v>
      </c>
      <c r="B26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2609104023</v>
      </c>
      <c r="C26" s="74">
        <v>46268</v>
      </c>
      <c r="D26" t="s">
        <v>108</v>
      </c>
      <c r="E26" t="s">
        <v>74</v>
      </c>
      <c r="F26" s="45" t="s">
        <v>756</v>
      </c>
      <c r="G26" s="45" t="s">
        <v>695</v>
      </c>
      <c r="H26" t="s">
        <v>745</v>
      </c>
      <c r="I26" t="s">
        <v>746</v>
      </c>
      <c r="J26" s="1" t="s">
        <v>747</v>
      </c>
      <c r="K26" s="1" t="s">
        <v>780</v>
      </c>
      <c r="L26" s="1" t="s">
        <v>699</v>
      </c>
      <c r="M26" s="1" t="s">
        <v>749</v>
      </c>
      <c r="N26" s="1" t="s">
        <v>750</v>
      </c>
      <c r="O26" s="47" t="s">
        <v>87</v>
      </c>
      <c r="P26" s="47" t="s">
        <v>87</v>
      </c>
      <c r="Q26" s="47" t="s">
        <v>87</v>
      </c>
      <c r="R26" s="47" t="s">
        <v>87</v>
      </c>
      <c r="S26" s="47" t="s">
        <v>87</v>
      </c>
      <c r="T26" s="1">
        <v>1</v>
      </c>
      <c r="U26" s="47" t="s">
        <v>87</v>
      </c>
      <c r="V26" s="47" t="s">
        <v>87</v>
      </c>
      <c r="W26" s="47" t="s">
        <v>87</v>
      </c>
      <c r="X26" s="47" t="s">
        <v>87</v>
      </c>
      <c r="Y26" s="1" t="s">
        <v>122</v>
      </c>
      <c r="Z26" s="1" t="s">
        <v>104</v>
      </c>
      <c r="AA26" s="1" t="s">
        <v>154</v>
      </c>
      <c r="AB26" s="1" t="s">
        <v>781</v>
      </c>
      <c r="AF26" s="60" t="b">
        <v>1</v>
      </c>
      <c r="AG26" t="str">
        <f>_xlfn.IFNA(INDEX(tbl_handover[No. Handover],MATCH(tbl_peripheral[[#This Row],[No Asset]],tbl_handover[Asset Code],0)),"")</f>
        <v>SR.26.09.0019/IX/2026/PGT/IT/INT</v>
      </c>
    </row>
    <row r="27" spans="1:33" x14ac:dyDescent="0.25">
      <c r="A27" s="43">
        <f>IF(tbl_peripheral[[#This Row],[No Asset]]&lt;&gt;"",SUBTOTAL(3,INDEX(tbl_peripheral[No Asset],1):tbl_peripheral[[#This Row],[No Asset]]),"")</f>
        <v>25</v>
      </c>
      <c r="B27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2609104024</v>
      </c>
      <c r="C27" s="74">
        <v>46268</v>
      </c>
      <c r="D27" t="s">
        <v>108</v>
      </c>
      <c r="E27" t="s">
        <v>74</v>
      </c>
      <c r="F27" s="45" t="s">
        <v>756</v>
      </c>
      <c r="G27" s="45" t="s">
        <v>695</v>
      </c>
      <c r="H27" t="s">
        <v>745</v>
      </c>
      <c r="I27" t="s">
        <v>746</v>
      </c>
      <c r="J27" s="1" t="s">
        <v>747</v>
      </c>
      <c r="K27" s="1" t="s">
        <v>782</v>
      </c>
      <c r="L27" s="1" t="s">
        <v>699</v>
      </c>
      <c r="M27" s="1" t="s">
        <v>749</v>
      </c>
      <c r="N27" s="1" t="s">
        <v>750</v>
      </c>
      <c r="O27" s="47" t="s">
        <v>87</v>
      </c>
      <c r="P27" s="47" t="s">
        <v>87</v>
      </c>
      <c r="Q27" s="47" t="s">
        <v>87</v>
      </c>
      <c r="R27" s="47" t="s">
        <v>87</v>
      </c>
      <c r="S27" s="47" t="s">
        <v>87</v>
      </c>
      <c r="T27" s="1">
        <v>1</v>
      </c>
      <c r="U27" s="47" t="s">
        <v>87</v>
      </c>
      <c r="V27" s="47" t="s">
        <v>87</v>
      </c>
      <c r="W27" s="47" t="s">
        <v>87</v>
      </c>
      <c r="X27" s="47" t="s">
        <v>87</v>
      </c>
      <c r="Y27" s="1" t="s">
        <v>122</v>
      </c>
      <c r="Z27" s="1" t="s">
        <v>104</v>
      </c>
      <c r="AA27" s="1" t="s">
        <v>154</v>
      </c>
      <c r="AB27" s="1" t="s">
        <v>783</v>
      </c>
      <c r="AF27" s="60" t="b">
        <v>1</v>
      </c>
      <c r="AG27" t="str">
        <f>_xlfn.IFNA(INDEX(tbl_handover[No. Handover],MATCH(tbl_peripheral[[#This Row],[No Asset]],tbl_handover[Asset Code],0)),"")</f>
        <v>SR.26.09.0017/IX/2026/PGT/IT/INT</v>
      </c>
    </row>
    <row r="28" spans="1:33" x14ac:dyDescent="0.25">
      <c r="A28" s="43">
        <f>IF(tbl_peripheral[[#This Row],[No Asset]]&lt;&gt;"",SUBTOTAL(3,INDEX(tbl_peripheral[No Asset],1):tbl_peripheral[[#This Row],[No Asset]]),"")</f>
        <v>26</v>
      </c>
      <c r="B28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2601104002</v>
      </c>
      <c r="C28" s="74">
        <v>46023</v>
      </c>
      <c r="D28" t="s">
        <v>73</v>
      </c>
      <c r="E28" t="s">
        <v>74</v>
      </c>
      <c r="F28" s="45" t="s">
        <v>371</v>
      </c>
      <c r="G28" s="45" t="s">
        <v>695</v>
      </c>
      <c r="H28" t="s">
        <v>696</v>
      </c>
      <c r="I28" t="s">
        <v>784</v>
      </c>
      <c r="J28" s="1" t="s">
        <v>696</v>
      </c>
      <c r="L28" s="1" t="s">
        <v>189</v>
      </c>
      <c r="M28" s="1" t="s">
        <v>749</v>
      </c>
      <c r="O28" s="47" t="s">
        <v>87</v>
      </c>
      <c r="P28" s="47" t="s">
        <v>87</v>
      </c>
      <c r="Q28" s="47" t="s">
        <v>87</v>
      </c>
      <c r="R28" s="47" t="s">
        <v>87</v>
      </c>
      <c r="S28" s="47" t="s">
        <v>87</v>
      </c>
      <c r="T28" s="1">
        <v>1</v>
      </c>
      <c r="U28" s="47" t="s">
        <v>87</v>
      </c>
      <c r="V28" s="47" t="s">
        <v>87</v>
      </c>
      <c r="W28" s="47" t="s">
        <v>87</v>
      </c>
      <c r="X28" s="47" t="s">
        <v>87</v>
      </c>
      <c r="Y28" s="1" t="s">
        <v>122</v>
      </c>
      <c r="Z28" s="1" t="s">
        <v>104</v>
      </c>
      <c r="AA28" s="1" t="s">
        <v>154</v>
      </c>
      <c r="AF28" s="60" t="b">
        <v>0</v>
      </c>
      <c r="AG28" t="str">
        <f>_xlfn.IFNA(INDEX(tbl_handover[No. Handover],MATCH(tbl_peripheral[[#This Row],[No Asset]],tbl_handover[Asset Code],0)),"")</f>
        <v/>
      </c>
    </row>
    <row r="29" spans="1:33" x14ac:dyDescent="0.25">
      <c r="A29" s="43">
        <f>IF(tbl_peripheral[[#This Row],[No Asset]]&lt;&gt;"",SUBTOTAL(3,INDEX(tbl_peripheral[No Asset],1):tbl_peripheral[[#This Row],[No Asset]]),"")</f>
        <v>27</v>
      </c>
      <c r="B29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2609104025</v>
      </c>
      <c r="C29" s="74">
        <v>46268</v>
      </c>
      <c r="D29" t="s">
        <v>108</v>
      </c>
      <c r="E29" t="s">
        <v>74</v>
      </c>
      <c r="F29" s="45" t="s">
        <v>771</v>
      </c>
      <c r="G29" s="45" t="s">
        <v>695</v>
      </c>
      <c r="H29" t="s">
        <v>785</v>
      </c>
      <c r="I29" t="s">
        <v>786</v>
      </c>
      <c r="J29" s="1" t="s">
        <v>787</v>
      </c>
      <c r="K29" s="1" t="s">
        <v>788</v>
      </c>
      <c r="L29" s="1" t="s">
        <v>699</v>
      </c>
      <c r="M29" s="1" t="s">
        <v>700</v>
      </c>
      <c r="N29" s="1" t="s">
        <v>789</v>
      </c>
      <c r="O29" s="47" t="s">
        <v>87</v>
      </c>
      <c r="P29" s="47" t="s">
        <v>87</v>
      </c>
      <c r="Q29" s="47" t="s">
        <v>87</v>
      </c>
      <c r="R29" s="47" t="s">
        <v>87</v>
      </c>
      <c r="S29" s="47" t="s">
        <v>87</v>
      </c>
      <c r="T29" s="47" t="s">
        <v>87</v>
      </c>
      <c r="U29" s="1">
        <v>1</v>
      </c>
      <c r="V29" s="47" t="s">
        <v>87</v>
      </c>
      <c r="W29" s="47" t="s">
        <v>87</v>
      </c>
      <c r="X29" s="47" t="s">
        <v>87</v>
      </c>
      <c r="Y29" s="1" t="s">
        <v>122</v>
      </c>
      <c r="Z29" s="1" t="s">
        <v>104</v>
      </c>
      <c r="AA29" s="1" t="s">
        <v>154</v>
      </c>
      <c r="AB29" s="1" t="s">
        <v>773</v>
      </c>
      <c r="AF29" s="60" t="b">
        <v>0</v>
      </c>
      <c r="AG29" t="str">
        <f>_xlfn.IFNA(INDEX(tbl_handover[No. Handover],MATCH(tbl_peripheral[[#This Row],[No Asset]],tbl_handover[Asset Code],0)),"")</f>
        <v>SR.26.09.0012/IX/2026/PGT/IT/INT</v>
      </c>
    </row>
    <row r="30" spans="1:33" x14ac:dyDescent="0.25">
      <c r="A30" s="43">
        <f>IF(tbl_peripheral[[#This Row],[No Asset]]&lt;&gt;"",SUBTOTAL(3,INDEX(tbl_peripheral[No Asset],1):tbl_peripheral[[#This Row],[No Asset]]),"")</f>
        <v>28</v>
      </c>
      <c r="B30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2609104026</v>
      </c>
      <c r="C30" s="74">
        <v>46268</v>
      </c>
      <c r="D30" t="s">
        <v>108</v>
      </c>
      <c r="E30" t="s">
        <v>74</v>
      </c>
      <c r="F30" s="45" t="s">
        <v>771</v>
      </c>
      <c r="G30" s="45" t="s">
        <v>695</v>
      </c>
      <c r="H30" t="s">
        <v>790</v>
      </c>
      <c r="I30" t="s">
        <v>791</v>
      </c>
      <c r="J30" s="1" t="s">
        <v>792</v>
      </c>
      <c r="K30" s="1">
        <v>19659179021</v>
      </c>
      <c r="L30" s="1" t="s">
        <v>793</v>
      </c>
      <c r="M30" s="1" t="s">
        <v>794</v>
      </c>
      <c r="N30" s="1" t="s">
        <v>795</v>
      </c>
      <c r="O30" s="47" t="s">
        <v>87</v>
      </c>
      <c r="P30" s="47" t="s">
        <v>87</v>
      </c>
      <c r="Q30" s="47" t="s">
        <v>87</v>
      </c>
      <c r="R30" s="1" t="s">
        <v>796</v>
      </c>
      <c r="S30" s="1" t="s">
        <v>797</v>
      </c>
      <c r="T30" s="1">
        <v>2</v>
      </c>
      <c r="U30" s="47" t="s">
        <v>87</v>
      </c>
      <c r="V30" s="47" t="s">
        <v>87</v>
      </c>
      <c r="W30" s="47" t="s">
        <v>87</v>
      </c>
      <c r="X30" s="47" t="s">
        <v>87</v>
      </c>
      <c r="Y30" s="1" t="s">
        <v>122</v>
      </c>
      <c r="Z30" s="1" t="s">
        <v>104</v>
      </c>
      <c r="AA30" s="1" t="s">
        <v>154</v>
      </c>
      <c r="AB30" s="1" t="s">
        <v>773</v>
      </c>
      <c r="AF30" s="60" t="b">
        <v>0</v>
      </c>
      <c r="AG30" t="str">
        <f>_xlfn.IFNA(INDEX(tbl_handover[No. Handover],MATCH(tbl_peripheral[[#This Row],[No Asset]],tbl_handover[Asset Code],0)),"")</f>
        <v>SR.26.09.0012/IX/2026/PGT/IT/INT</v>
      </c>
    </row>
    <row r="31" spans="1:33" x14ac:dyDescent="0.25">
      <c r="A31" s="43">
        <f>IF(tbl_peripheral[[#This Row],[No Asset]]&lt;&gt;"",SUBTOTAL(3,INDEX(tbl_peripheral[No Asset],1):tbl_peripheral[[#This Row],[No Asset]]),"")</f>
        <v>29</v>
      </c>
      <c r="B31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2609104027</v>
      </c>
      <c r="C31" s="74">
        <v>46268</v>
      </c>
      <c r="D31" t="s">
        <v>108</v>
      </c>
      <c r="E31" t="s">
        <v>74</v>
      </c>
      <c r="F31" s="45" t="s">
        <v>756</v>
      </c>
      <c r="G31" s="45" t="s">
        <v>695</v>
      </c>
      <c r="H31" t="s">
        <v>745</v>
      </c>
      <c r="I31" t="s">
        <v>746</v>
      </c>
      <c r="J31" s="1" t="s">
        <v>747</v>
      </c>
      <c r="K31" s="1" t="s">
        <v>798</v>
      </c>
      <c r="L31" s="1" t="s">
        <v>699</v>
      </c>
      <c r="M31" s="1" t="s">
        <v>749</v>
      </c>
      <c r="N31" s="1" t="s">
        <v>750</v>
      </c>
      <c r="O31" s="47" t="s">
        <v>87</v>
      </c>
      <c r="P31" s="47" t="s">
        <v>87</v>
      </c>
      <c r="Q31" s="47" t="s">
        <v>87</v>
      </c>
      <c r="R31" s="47" t="s">
        <v>87</v>
      </c>
      <c r="S31" s="47" t="s">
        <v>87</v>
      </c>
      <c r="T31" s="1">
        <v>1</v>
      </c>
      <c r="U31" s="47" t="s">
        <v>87</v>
      </c>
      <c r="V31" s="47" t="s">
        <v>87</v>
      </c>
      <c r="W31" s="47" t="s">
        <v>87</v>
      </c>
      <c r="X31" s="47" t="s">
        <v>87</v>
      </c>
      <c r="Y31" s="1" t="s">
        <v>122</v>
      </c>
      <c r="Z31" s="1" t="s">
        <v>104</v>
      </c>
      <c r="AA31" s="1" t="s">
        <v>154</v>
      </c>
      <c r="AB31" s="1" t="s">
        <v>799</v>
      </c>
      <c r="AF31" s="60" t="b">
        <v>1</v>
      </c>
      <c r="AG31" t="str">
        <f>_xlfn.IFNA(INDEX(tbl_handover[No. Handover],MATCH(tbl_peripheral[[#This Row],[No Asset]],tbl_handover[Asset Code],0)),"")</f>
        <v>SR.26.09.0011/IX/2026/PGT/IT/INT</v>
      </c>
    </row>
    <row r="32" spans="1:33" x14ac:dyDescent="0.25">
      <c r="A32" s="43">
        <f>IF(tbl_peripheral[[#This Row],[No Asset]]&lt;&gt;"",SUBTOTAL(3,INDEX(tbl_peripheral[No Asset],1):tbl_peripheral[[#This Row],[No Asset]]),"")</f>
        <v>30</v>
      </c>
      <c r="B32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2601104003</v>
      </c>
      <c r="C32" s="74">
        <v>46023</v>
      </c>
      <c r="D32" t="s">
        <v>73</v>
      </c>
      <c r="E32" t="s">
        <v>74</v>
      </c>
      <c r="F32" s="45" t="s">
        <v>124</v>
      </c>
      <c r="G32" s="45" t="s">
        <v>695</v>
      </c>
      <c r="H32" t="s">
        <v>785</v>
      </c>
      <c r="I32" t="s">
        <v>786</v>
      </c>
      <c r="J32" s="1" t="s">
        <v>787</v>
      </c>
      <c r="L32" s="1" t="s">
        <v>699</v>
      </c>
      <c r="M32" s="1" t="s">
        <v>700</v>
      </c>
      <c r="N32" s="1" t="s">
        <v>789</v>
      </c>
      <c r="O32" s="47" t="s">
        <v>87</v>
      </c>
      <c r="P32" s="47" t="s">
        <v>87</v>
      </c>
      <c r="Q32" s="47" t="s">
        <v>87</v>
      </c>
      <c r="R32" s="47" t="s">
        <v>87</v>
      </c>
      <c r="S32" s="47" t="s">
        <v>87</v>
      </c>
      <c r="T32" s="47" t="s">
        <v>87</v>
      </c>
      <c r="U32" s="1">
        <v>1</v>
      </c>
      <c r="V32" s="47" t="s">
        <v>87</v>
      </c>
      <c r="W32" s="47" t="s">
        <v>87</v>
      </c>
      <c r="X32" s="47" t="s">
        <v>87</v>
      </c>
      <c r="Y32" s="1" t="s">
        <v>122</v>
      </c>
      <c r="Z32" s="1" t="s">
        <v>104</v>
      </c>
      <c r="AA32" s="1" t="s">
        <v>154</v>
      </c>
      <c r="AB32" s="1" t="s">
        <v>800</v>
      </c>
      <c r="AF32" s="60" t="b">
        <v>0</v>
      </c>
      <c r="AG32" s="91" t="str">
        <f>_xlfn.IFNA(INDEX(tbl_handover[No. Handover],MATCH(tbl_peripheral[[#This Row],[No Asset]],tbl_handover[Asset Code],0)),"")</f>
        <v/>
      </c>
    </row>
    <row r="33" spans="1:33" x14ac:dyDescent="0.25">
      <c r="A33" s="43">
        <f>IF(tbl_peripheral[[#This Row],[No Asset]]&lt;&gt;"",SUBTOTAL(3,INDEX(tbl_peripheral[No Asset],1):tbl_peripheral[[#This Row],[No Asset]]),"")</f>
        <v>31</v>
      </c>
      <c r="B33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2601104004</v>
      </c>
      <c r="C33" s="74">
        <v>46023</v>
      </c>
      <c r="D33" t="s">
        <v>73</v>
      </c>
      <c r="E33" t="s">
        <v>74</v>
      </c>
      <c r="F33" s="45" t="s">
        <v>124</v>
      </c>
      <c r="G33" s="45" t="s">
        <v>695</v>
      </c>
      <c r="H33" t="s">
        <v>785</v>
      </c>
      <c r="I33" t="s">
        <v>786</v>
      </c>
      <c r="J33" s="1" t="s">
        <v>787</v>
      </c>
      <c r="L33" s="1" t="s">
        <v>699</v>
      </c>
      <c r="M33" s="1" t="s">
        <v>700</v>
      </c>
      <c r="N33" s="1" t="s">
        <v>789</v>
      </c>
      <c r="O33" s="47" t="s">
        <v>87</v>
      </c>
      <c r="P33" s="47" t="s">
        <v>87</v>
      </c>
      <c r="Q33" s="47" t="s">
        <v>87</v>
      </c>
      <c r="R33" s="47" t="s">
        <v>87</v>
      </c>
      <c r="S33" s="47" t="s">
        <v>87</v>
      </c>
      <c r="T33" s="47" t="s">
        <v>87</v>
      </c>
      <c r="U33" s="1">
        <v>1</v>
      </c>
      <c r="V33" s="47" t="s">
        <v>87</v>
      </c>
      <c r="W33" s="47" t="s">
        <v>87</v>
      </c>
      <c r="X33" s="47" t="s">
        <v>87</v>
      </c>
      <c r="Y33" s="1" t="s">
        <v>122</v>
      </c>
      <c r="Z33" s="1" t="s">
        <v>104</v>
      </c>
      <c r="AA33" s="1" t="s">
        <v>154</v>
      </c>
      <c r="AB33" s="1" t="s">
        <v>753</v>
      </c>
      <c r="AF33" s="60" t="b">
        <v>0</v>
      </c>
      <c r="AG33" t="str">
        <f>_xlfn.IFNA(INDEX(tbl_handover[No. Handover],MATCH(tbl_peripheral[[#This Row],[No Asset]],tbl_handover[Asset Code],0)),"")</f>
        <v/>
      </c>
    </row>
    <row r="34" spans="1:33" x14ac:dyDescent="0.25">
      <c r="A34" s="43">
        <f>IF(tbl_peripheral[[#This Row],[No Asset]]&lt;&gt;"",SUBTOTAL(3,INDEX(tbl_peripheral[No Asset],1):tbl_peripheral[[#This Row],[No Asset]]),"")</f>
        <v>32</v>
      </c>
      <c r="B34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2601104005</v>
      </c>
      <c r="C34" s="74">
        <v>46023</v>
      </c>
      <c r="D34" t="s">
        <v>73</v>
      </c>
      <c r="E34" t="s">
        <v>74</v>
      </c>
      <c r="F34" s="45" t="s">
        <v>197</v>
      </c>
      <c r="G34" s="45" t="s">
        <v>695</v>
      </c>
      <c r="H34" t="s">
        <v>696</v>
      </c>
      <c r="I34" t="s">
        <v>723</v>
      </c>
      <c r="J34" s="1" t="s">
        <v>801</v>
      </c>
      <c r="L34" s="1" t="s">
        <v>726</v>
      </c>
      <c r="M34" s="1" t="s">
        <v>727</v>
      </c>
      <c r="N34" s="1" t="s">
        <v>728</v>
      </c>
      <c r="O34" s="47" t="s">
        <v>87</v>
      </c>
      <c r="P34" s="47" t="s">
        <v>87</v>
      </c>
      <c r="Q34" s="47" t="s">
        <v>87</v>
      </c>
      <c r="R34" s="47" t="s">
        <v>87</v>
      </c>
      <c r="S34" s="47" t="s">
        <v>87</v>
      </c>
      <c r="T34" s="1">
        <v>1</v>
      </c>
      <c r="U34" s="1">
        <v>1</v>
      </c>
      <c r="V34" s="47" t="s">
        <v>87</v>
      </c>
      <c r="W34" s="47" t="s">
        <v>87</v>
      </c>
      <c r="X34" s="47" t="s">
        <v>87</v>
      </c>
      <c r="Y34" s="1" t="s">
        <v>122</v>
      </c>
      <c r="Z34" s="1" t="s">
        <v>104</v>
      </c>
      <c r="AA34" s="1" t="s">
        <v>143</v>
      </c>
      <c r="AB34" s="63" t="s">
        <v>802</v>
      </c>
      <c r="AF34" s="60" t="b">
        <v>0</v>
      </c>
      <c r="AG34" t="str">
        <f>_xlfn.IFNA(INDEX(tbl_handover[No. Handover],MATCH(tbl_peripheral[[#This Row],[No Asset]],tbl_handover[Asset Code],0)),"")</f>
        <v/>
      </c>
    </row>
    <row r="35" spans="1:33" x14ac:dyDescent="0.25">
      <c r="A35" s="43">
        <f>IF(tbl_peripheral[[#This Row],[No Asset]]&lt;&gt;"",SUBTOTAL(3,INDEX(tbl_peripheral[No Asset],1):tbl_peripheral[[#This Row],[No Asset]]),"")</f>
        <v>33</v>
      </c>
      <c r="B35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2601104006</v>
      </c>
      <c r="C35" s="74">
        <v>46023</v>
      </c>
      <c r="D35" t="s">
        <v>73</v>
      </c>
      <c r="E35" t="s">
        <v>74</v>
      </c>
      <c r="F35" s="45" t="s">
        <v>197</v>
      </c>
      <c r="G35" s="45" t="s">
        <v>695</v>
      </c>
      <c r="H35" t="s">
        <v>696</v>
      </c>
      <c r="I35" t="s">
        <v>723</v>
      </c>
      <c r="J35" s="1" t="s">
        <v>801</v>
      </c>
      <c r="L35" s="1" t="s">
        <v>726</v>
      </c>
      <c r="M35" s="1" t="s">
        <v>727</v>
      </c>
      <c r="N35" s="1" t="s">
        <v>728</v>
      </c>
      <c r="O35" s="47" t="s">
        <v>87</v>
      </c>
      <c r="P35" s="47" t="s">
        <v>87</v>
      </c>
      <c r="Q35" s="47" t="s">
        <v>87</v>
      </c>
      <c r="R35" s="47" t="s">
        <v>87</v>
      </c>
      <c r="S35" s="47" t="s">
        <v>87</v>
      </c>
      <c r="T35" s="1">
        <v>1</v>
      </c>
      <c r="U35" s="1">
        <v>1</v>
      </c>
      <c r="V35" s="47" t="s">
        <v>87</v>
      </c>
      <c r="W35" s="47" t="s">
        <v>87</v>
      </c>
      <c r="X35" s="47" t="s">
        <v>87</v>
      </c>
      <c r="Y35" s="1" t="s">
        <v>122</v>
      </c>
      <c r="Z35" s="1" t="s">
        <v>104</v>
      </c>
      <c r="AA35" s="1" t="s">
        <v>143</v>
      </c>
      <c r="AB35" s="63" t="s">
        <v>802</v>
      </c>
      <c r="AF35" s="60" t="b">
        <v>0</v>
      </c>
      <c r="AG35" t="str">
        <f>_xlfn.IFNA(INDEX(tbl_handover[No. Handover],MATCH(tbl_peripheral[[#This Row],[No Asset]],tbl_handover[Asset Code],0)),"")</f>
        <v/>
      </c>
    </row>
    <row r="36" spans="1:33" x14ac:dyDescent="0.25">
      <c r="A36" s="43">
        <f>IF(tbl_peripheral[[#This Row],[No Asset]]&lt;&gt;"",SUBTOTAL(3,INDEX(tbl_peripheral[No Asset],1):tbl_peripheral[[#This Row],[No Asset]]),"")</f>
        <v>34</v>
      </c>
      <c r="B36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2601104007</v>
      </c>
      <c r="C36" s="74">
        <v>46023</v>
      </c>
      <c r="D36" t="s">
        <v>73</v>
      </c>
      <c r="E36" t="s">
        <v>74</v>
      </c>
      <c r="F36" s="45" t="s">
        <v>124</v>
      </c>
      <c r="G36" s="45" t="s">
        <v>695</v>
      </c>
      <c r="H36" t="s">
        <v>803</v>
      </c>
      <c r="I36" t="s">
        <v>804</v>
      </c>
      <c r="J36" s="1" t="s">
        <v>805</v>
      </c>
      <c r="K36" s="1">
        <v>2601101009</v>
      </c>
      <c r="L36" s="1" t="s">
        <v>806</v>
      </c>
      <c r="M36" s="1" t="s">
        <v>700</v>
      </c>
      <c r="N36" s="1" t="s">
        <v>807</v>
      </c>
      <c r="O36" s="47" t="s">
        <v>87</v>
      </c>
      <c r="P36" s="47" t="s">
        <v>87</v>
      </c>
      <c r="Q36" s="47" t="s">
        <v>87</v>
      </c>
      <c r="R36" s="47" t="s">
        <v>87</v>
      </c>
      <c r="S36" s="47" t="s">
        <v>87</v>
      </c>
      <c r="T36" s="1">
        <v>1</v>
      </c>
      <c r="U36" s="1">
        <v>1</v>
      </c>
      <c r="V36" s="47" t="s">
        <v>87</v>
      </c>
      <c r="W36" s="47" t="s">
        <v>87</v>
      </c>
      <c r="X36" s="47" t="s">
        <v>87</v>
      </c>
      <c r="Y36" s="1" t="s">
        <v>122</v>
      </c>
      <c r="Z36" s="1" t="s">
        <v>104</v>
      </c>
      <c r="AA36" s="1" t="s">
        <v>143</v>
      </c>
      <c r="AB36" s="1" t="s">
        <v>808</v>
      </c>
      <c r="AF36" s="60" t="b">
        <v>0</v>
      </c>
      <c r="AG36" t="str">
        <f>_xlfn.IFNA(INDEX(tbl_handover[No. Handover],MATCH(tbl_peripheral[[#This Row],[No Asset]],tbl_handover[Asset Code],0)),"")</f>
        <v/>
      </c>
    </row>
    <row r="37" spans="1:33" x14ac:dyDescent="0.25">
      <c r="A37" s="43">
        <f>IF(tbl_peripheral[[#This Row],[No Asset]]&lt;&gt;"",SUBTOTAL(3,INDEX(tbl_peripheral[No Asset],1):tbl_peripheral[[#This Row],[No Asset]]),"")</f>
        <v>35</v>
      </c>
      <c r="B37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2601104008</v>
      </c>
      <c r="C37" s="74">
        <v>46023</v>
      </c>
      <c r="D37" t="s">
        <v>73</v>
      </c>
      <c r="E37" t="s">
        <v>74</v>
      </c>
      <c r="F37" s="45" t="s">
        <v>809</v>
      </c>
      <c r="G37" s="45" t="s">
        <v>695</v>
      </c>
      <c r="H37" t="s">
        <v>738</v>
      </c>
      <c r="I37" t="s">
        <v>810</v>
      </c>
      <c r="J37" s="1" t="s">
        <v>811</v>
      </c>
      <c r="K37" s="43">
        <v>553801254800926</v>
      </c>
      <c r="L37" s="1" t="s">
        <v>812</v>
      </c>
      <c r="M37" s="1" t="s">
        <v>738</v>
      </c>
      <c r="N37" t="s">
        <v>813</v>
      </c>
      <c r="O37" s="42" t="s">
        <v>576</v>
      </c>
      <c r="P37" s="47" t="s">
        <v>87</v>
      </c>
      <c r="Q37" s="47" t="s">
        <v>87</v>
      </c>
      <c r="R37" s="1" t="s">
        <v>814</v>
      </c>
      <c r="T37" s="1">
        <v>1</v>
      </c>
      <c r="U37" s="47" t="s">
        <v>87</v>
      </c>
      <c r="V37" s="47" t="s">
        <v>87</v>
      </c>
      <c r="W37" s="1">
        <v>1</v>
      </c>
      <c r="X37" s="47" t="s">
        <v>87</v>
      </c>
      <c r="Y37" s="1" t="s">
        <v>103</v>
      </c>
      <c r="Z37" s="1" t="s">
        <v>104</v>
      </c>
      <c r="AA37" s="1" t="s">
        <v>154</v>
      </c>
      <c r="AB37" s="1" t="s">
        <v>578</v>
      </c>
      <c r="AF37" s="60" t="b">
        <v>1</v>
      </c>
      <c r="AG37" t="str">
        <f>_xlfn.IFNA(INDEX(tbl_handover[No. Handover],MATCH(tbl_peripheral[[#This Row],[No Asset]],tbl_handover[Asset Code],0)),"")</f>
        <v>SR.26.09.0015/IX/2026/PGT/IT/INT</v>
      </c>
    </row>
    <row r="38" spans="1:33" x14ac:dyDescent="0.25">
      <c r="A38" s="43">
        <f>IF(tbl_peripheral[[#This Row],[No Asset]]&lt;&gt;"",SUBTOTAL(3,INDEX(tbl_peripheral[No Asset],1):tbl_peripheral[[#This Row],[No Asset]]),"")</f>
        <v>36</v>
      </c>
      <c r="B38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2601104009</v>
      </c>
      <c r="C38" s="74">
        <v>46023</v>
      </c>
      <c r="D38" t="s">
        <v>73</v>
      </c>
      <c r="E38" t="s">
        <v>74</v>
      </c>
      <c r="F38" s="45" t="s">
        <v>809</v>
      </c>
      <c r="G38" s="45" t="s">
        <v>695</v>
      </c>
      <c r="H38" t="s">
        <v>738</v>
      </c>
      <c r="I38" t="s">
        <v>810</v>
      </c>
      <c r="J38" s="1" t="s">
        <v>811</v>
      </c>
      <c r="K38" s="43">
        <v>553801254300873</v>
      </c>
      <c r="L38" s="1" t="s">
        <v>812</v>
      </c>
      <c r="M38" s="1" t="s">
        <v>738</v>
      </c>
      <c r="N38" t="s">
        <v>813</v>
      </c>
      <c r="O38" s="42" t="s">
        <v>576</v>
      </c>
      <c r="P38" s="47" t="s">
        <v>87</v>
      </c>
      <c r="Q38" s="47" t="s">
        <v>87</v>
      </c>
      <c r="R38" s="1" t="s">
        <v>814</v>
      </c>
      <c r="T38" s="1">
        <v>1</v>
      </c>
      <c r="U38" s="47" t="s">
        <v>87</v>
      </c>
      <c r="V38" s="47" t="s">
        <v>87</v>
      </c>
      <c r="W38" s="1">
        <v>1</v>
      </c>
      <c r="X38" s="47" t="s">
        <v>87</v>
      </c>
      <c r="Y38" s="1" t="s">
        <v>103</v>
      </c>
      <c r="Z38" s="1" t="s">
        <v>104</v>
      </c>
      <c r="AA38" s="1" t="s">
        <v>154</v>
      </c>
      <c r="AB38" s="1" t="s">
        <v>580</v>
      </c>
      <c r="AF38" s="60" t="b">
        <v>1</v>
      </c>
      <c r="AG38" t="str">
        <f>_xlfn.IFNA(INDEX(tbl_handover[No. Handover],MATCH(tbl_peripheral[[#This Row],[No Asset]],tbl_handover[Asset Code],0)),"")</f>
        <v/>
      </c>
    </row>
    <row r="39" spans="1:33" x14ac:dyDescent="0.25">
      <c r="A39" s="43">
        <f>IF(tbl_peripheral[[#This Row],[No Asset]]&lt;&gt;"",SUBTOTAL(3,INDEX(tbl_peripheral[No Asset],1):tbl_peripheral[[#This Row],[No Asset]]),"")</f>
        <v>37</v>
      </c>
      <c r="B39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2601104010</v>
      </c>
      <c r="C39" s="74">
        <v>46023</v>
      </c>
      <c r="D39" t="s">
        <v>73</v>
      </c>
      <c r="E39" t="s">
        <v>74</v>
      </c>
      <c r="F39" s="45" t="s">
        <v>809</v>
      </c>
      <c r="G39" s="45" t="s">
        <v>695</v>
      </c>
      <c r="H39" t="s">
        <v>696</v>
      </c>
      <c r="I39" t="s">
        <v>784</v>
      </c>
      <c r="J39" s="1" t="s">
        <v>696</v>
      </c>
      <c r="K39" s="1" t="s">
        <v>815</v>
      </c>
      <c r="L39" s="1" t="s">
        <v>189</v>
      </c>
      <c r="M39" s="1" t="s">
        <v>727</v>
      </c>
      <c r="N39" s="1" t="s">
        <v>816</v>
      </c>
      <c r="O39" s="47" t="s">
        <v>87</v>
      </c>
      <c r="P39" s="47" t="s">
        <v>87</v>
      </c>
      <c r="Q39" s="47" t="s">
        <v>87</v>
      </c>
      <c r="R39" s="47" t="s">
        <v>87</v>
      </c>
      <c r="S39" s="47" t="s">
        <v>87</v>
      </c>
      <c r="T39" s="1">
        <v>1</v>
      </c>
      <c r="U39" s="47" t="s">
        <v>87</v>
      </c>
      <c r="V39" s="47" t="s">
        <v>87</v>
      </c>
      <c r="W39" s="47" t="s">
        <v>87</v>
      </c>
      <c r="X39" s="47" t="s">
        <v>87</v>
      </c>
      <c r="Y39" s="1" t="s">
        <v>103</v>
      </c>
      <c r="Z39" s="1" t="s">
        <v>104</v>
      </c>
      <c r="AA39" s="1" t="s">
        <v>154</v>
      </c>
      <c r="AB39" s="1" t="s">
        <v>578</v>
      </c>
      <c r="AF39" s="60" t="b">
        <v>1</v>
      </c>
      <c r="AG39" t="str">
        <f>_xlfn.IFNA(INDEX(tbl_handover[No. Handover],MATCH(tbl_peripheral[[#This Row],[No Asset]],tbl_handover[Asset Code],0)),"")</f>
        <v>SR.26.09.0015/IX/2026/PGT/IT/INT</v>
      </c>
    </row>
    <row r="40" spans="1:33" x14ac:dyDescent="0.25">
      <c r="A40" s="43">
        <f>IF(tbl_peripheral[[#This Row],[No Asset]]&lt;&gt;"",SUBTOTAL(3,INDEX(tbl_peripheral[No Asset],1):tbl_peripheral[[#This Row],[No Asset]]),"")</f>
        <v>38</v>
      </c>
      <c r="B40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2601104011</v>
      </c>
      <c r="C40" s="74">
        <v>46023</v>
      </c>
      <c r="D40" t="s">
        <v>73</v>
      </c>
      <c r="E40" t="s">
        <v>74</v>
      </c>
      <c r="F40" s="45" t="s">
        <v>809</v>
      </c>
      <c r="G40" s="45" t="s">
        <v>695</v>
      </c>
      <c r="H40" t="s">
        <v>696</v>
      </c>
      <c r="I40" t="s">
        <v>784</v>
      </c>
      <c r="J40" s="1" t="s">
        <v>696</v>
      </c>
      <c r="K40" s="1" t="s">
        <v>817</v>
      </c>
      <c r="L40" s="1" t="s">
        <v>189</v>
      </c>
      <c r="M40" s="1" t="s">
        <v>727</v>
      </c>
      <c r="N40" s="1" t="s">
        <v>816</v>
      </c>
      <c r="O40" s="47" t="s">
        <v>87</v>
      </c>
      <c r="P40" s="47" t="s">
        <v>87</v>
      </c>
      <c r="Q40" s="47" t="s">
        <v>87</v>
      </c>
      <c r="R40" s="47" t="s">
        <v>87</v>
      </c>
      <c r="S40" s="47" t="s">
        <v>87</v>
      </c>
      <c r="T40" s="1">
        <v>1</v>
      </c>
      <c r="U40" s="47" t="s">
        <v>87</v>
      </c>
      <c r="V40" s="47" t="s">
        <v>87</v>
      </c>
      <c r="W40" s="47" t="s">
        <v>87</v>
      </c>
      <c r="X40" s="47" t="s">
        <v>87</v>
      </c>
      <c r="Y40" s="1" t="s">
        <v>103</v>
      </c>
      <c r="Z40" s="1" t="s">
        <v>104</v>
      </c>
      <c r="AA40" s="1" t="s">
        <v>154</v>
      </c>
      <c r="AB40" s="1" t="s">
        <v>441</v>
      </c>
      <c r="AF40" s="60" t="b">
        <v>1</v>
      </c>
      <c r="AG40" t="str">
        <f>_xlfn.IFNA(INDEX(tbl_handover[No. Handover],MATCH(tbl_peripheral[[#This Row],[No Asset]],tbl_handover[Asset Code],0)),"")</f>
        <v/>
      </c>
    </row>
    <row r="41" spans="1:33" x14ac:dyDescent="0.25">
      <c r="A41" s="43">
        <f>IF(tbl_peripheral[[#This Row],[No Asset]]&lt;&gt;"",SUBTOTAL(3,INDEX(tbl_peripheral[No Asset],1):tbl_peripheral[[#This Row],[No Asset]]),"")</f>
        <v>39</v>
      </c>
      <c r="B41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2601104012</v>
      </c>
      <c r="C41" s="74">
        <v>46023</v>
      </c>
      <c r="D41" t="s">
        <v>73</v>
      </c>
      <c r="E41" t="s">
        <v>74</v>
      </c>
      <c r="F41" s="45" t="s">
        <v>809</v>
      </c>
      <c r="G41" s="45" t="s">
        <v>695</v>
      </c>
      <c r="H41" t="s">
        <v>696</v>
      </c>
      <c r="I41" t="s">
        <v>784</v>
      </c>
      <c r="J41" s="1" t="s">
        <v>696</v>
      </c>
      <c r="K41" s="1" t="s">
        <v>818</v>
      </c>
      <c r="L41" s="1" t="s">
        <v>189</v>
      </c>
      <c r="M41" s="1" t="s">
        <v>727</v>
      </c>
      <c r="N41" s="1" t="s">
        <v>816</v>
      </c>
      <c r="O41" s="47" t="s">
        <v>87</v>
      </c>
      <c r="P41" s="47" t="s">
        <v>87</v>
      </c>
      <c r="Q41" s="47" t="s">
        <v>87</v>
      </c>
      <c r="R41" s="47" t="s">
        <v>87</v>
      </c>
      <c r="S41" s="47" t="s">
        <v>87</v>
      </c>
      <c r="T41" s="1">
        <v>1</v>
      </c>
      <c r="U41" s="47" t="s">
        <v>87</v>
      </c>
      <c r="V41" s="47" t="s">
        <v>87</v>
      </c>
      <c r="W41" s="47" t="s">
        <v>87</v>
      </c>
      <c r="X41" s="47" t="s">
        <v>87</v>
      </c>
      <c r="Y41" s="1" t="s">
        <v>103</v>
      </c>
      <c r="Z41" s="1" t="s">
        <v>104</v>
      </c>
      <c r="AA41" s="1" t="s">
        <v>154</v>
      </c>
      <c r="AB41" s="1" t="s">
        <v>580</v>
      </c>
      <c r="AF41" s="60" t="b">
        <v>1</v>
      </c>
      <c r="AG41" t="str">
        <f>_xlfn.IFNA(INDEX(tbl_handover[No. Handover],MATCH(tbl_peripheral[[#This Row],[No Asset]],tbl_handover[Asset Code],0)),"")</f>
        <v/>
      </c>
    </row>
    <row r="42" spans="1:33" x14ac:dyDescent="0.25">
      <c r="A42" s="43">
        <f>IF(tbl_peripheral[[#This Row],[No Asset]]&lt;&gt;"",SUBTOTAL(3,INDEX(tbl_peripheral[No Asset],1):tbl_peripheral[[#This Row],[No Asset]]),"")</f>
        <v>40</v>
      </c>
      <c r="B42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2609104028</v>
      </c>
      <c r="C42" s="74">
        <v>46268</v>
      </c>
      <c r="D42" t="s">
        <v>108</v>
      </c>
      <c r="E42" t="s">
        <v>74</v>
      </c>
      <c r="F42" s="45" t="s">
        <v>124</v>
      </c>
      <c r="G42" s="45" t="s">
        <v>695</v>
      </c>
      <c r="H42" t="s">
        <v>758</v>
      </c>
      <c r="I42" t="s">
        <v>759</v>
      </c>
      <c r="J42" s="1" t="s">
        <v>819</v>
      </c>
      <c r="K42" s="53" t="s">
        <v>820</v>
      </c>
      <c r="L42" s="1" t="s">
        <v>762</v>
      </c>
      <c r="M42" s="1" t="s">
        <v>763</v>
      </c>
      <c r="N42" s="1" t="s">
        <v>764</v>
      </c>
      <c r="O42" s="47" t="s">
        <v>87</v>
      </c>
      <c r="P42" s="47" t="s">
        <v>87</v>
      </c>
      <c r="Q42" s="47" t="s">
        <v>87</v>
      </c>
      <c r="R42" s="1" t="s">
        <v>765</v>
      </c>
      <c r="S42" s="47" t="s">
        <v>87</v>
      </c>
      <c r="T42" s="1">
        <v>1</v>
      </c>
      <c r="U42" s="1">
        <v>1</v>
      </c>
      <c r="V42" s="47" t="s">
        <v>87</v>
      </c>
      <c r="W42" s="47" t="s">
        <v>87</v>
      </c>
      <c r="X42" s="47" t="s">
        <v>87</v>
      </c>
      <c r="Y42" s="1" t="s">
        <v>122</v>
      </c>
      <c r="Z42" s="1" t="s">
        <v>104</v>
      </c>
      <c r="AA42" s="1" t="s">
        <v>154</v>
      </c>
      <c r="AB42" s="1" t="s">
        <v>769</v>
      </c>
      <c r="AF42" s="60" t="b">
        <v>1</v>
      </c>
      <c r="AG42" t="str">
        <f>_xlfn.IFNA(INDEX(tbl_handover[No. Handover],MATCH(tbl_peripheral[[#This Row],[No Asset]],tbl_handover[Asset Code],0)),"")</f>
        <v/>
      </c>
    </row>
    <row r="43" spans="1:33" x14ac:dyDescent="0.25">
      <c r="A43" s="43">
        <f>IF(tbl_peripheral[[#This Row],[No Asset]]&lt;&gt;"",SUBTOTAL(3,INDEX(tbl_peripheral[No Asset],1):tbl_peripheral[[#This Row],[No Asset]]),"")</f>
        <v>41</v>
      </c>
      <c r="B43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2609104029</v>
      </c>
      <c r="C43" s="74">
        <v>46268</v>
      </c>
      <c r="D43" t="s">
        <v>108</v>
      </c>
      <c r="E43" t="s">
        <v>74</v>
      </c>
      <c r="F43" s="45" t="s">
        <v>124</v>
      </c>
      <c r="G43" s="45" t="s">
        <v>695</v>
      </c>
      <c r="H43" t="s">
        <v>738</v>
      </c>
      <c r="I43" t="s">
        <v>739</v>
      </c>
      <c r="J43" s="1" t="s">
        <v>740</v>
      </c>
      <c r="K43" s="1" t="s">
        <v>821</v>
      </c>
      <c r="L43" s="1" t="s">
        <v>742</v>
      </c>
      <c r="M43" s="1" t="s">
        <v>743</v>
      </c>
      <c r="N43" s="1" t="s">
        <v>744</v>
      </c>
      <c r="O43" s="47" t="s">
        <v>822</v>
      </c>
      <c r="P43" s="47" t="s">
        <v>87</v>
      </c>
      <c r="Q43" s="47" t="s">
        <v>87</v>
      </c>
      <c r="R43" s="1" t="s">
        <v>743</v>
      </c>
      <c r="S43" s="47" t="s">
        <v>87</v>
      </c>
      <c r="T43" s="47" t="s">
        <v>87</v>
      </c>
      <c r="U43" s="47" t="s">
        <v>87</v>
      </c>
      <c r="V43" s="47" t="s">
        <v>87</v>
      </c>
      <c r="W43" s="47" t="s">
        <v>87</v>
      </c>
      <c r="X43" s="47" t="s">
        <v>87</v>
      </c>
      <c r="Y43" s="1" t="s">
        <v>122</v>
      </c>
      <c r="Z43" s="1" t="s">
        <v>104</v>
      </c>
      <c r="AA43" s="1" t="s">
        <v>143</v>
      </c>
      <c r="AF43" s="60" t="b">
        <v>1</v>
      </c>
      <c r="AG43" t="str">
        <f>_xlfn.IFNA(INDEX(tbl_handover[No. Handover],MATCH(tbl_peripheral[[#This Row],[No Asset]],tbl_handover[Asset Code],0)),"")</f>
        <v/>
      </c>
    </row>
    <row r="44" spans="1:33" x14ac:dyDescent="0.25">
      <c r="A44" s="43">
        <f>IF(tbl_peripheral[[#This Row],[No Asset]]&lt;&gt;"",SUBTOTAL(3,INDEX(tbl_peripheral[No Asset],1):tbl_peripheral[[#This Row],[No Asset]]),"")</f>
        <v>42</v>
      </c>
      <c r="B44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2609104030</v>
      </c>
      <c r="C44" s="74">
        <v>46268</v>
      </c>
      <c r="D44" t="s">
        <v>108</v>
      </c>
      <c r="E44" t="s">
        <v>74</v>
      </c>
      <c r="F44" s="45" t="s">
        <v>124</v>
      </c>
      <c r="G44" s="45" t="s">
        <v>695</v>
      </c>
      <c r="H44" t="s">
        <v>738</v>
      </c>
      <c r="I44" t="s">
        <v>739</v>
      </c>
      <c r="J44" s="1" t="s">
        <v>740</v>
      </c>
      <c r="K44" s="1" t="s">
        <v>823</v>
      </c>
      <c r="L44" s="1" t="s">
        <v>742</v>
      </c>
      <c r="M44" s="1" t="s">
        <v>743</v>
      </c>
      <c r="N44" s="1" t="s">
        <v>744</v>
      </c>
      <c r="O44" s="47" t="s">
        <v>822</v>
      </c>
      <c r="P44" s="47" t="s">
        <v>87</v>
      </c>
      <c r="Q44" s="47" t="s">
        <v>87</v>
      </c>
      <c r="R44" s="1" t="s">
        <v>743</v>
      </c>
      <c r="S44" s="47" t="s">
        <v>87</v>
      </c>
      <c r="T44" s="47" t="s">
        <v>87</v>
      </c>
      <c r="U44" s="47" t="s">
        <v>87</v>
      </c>
      <c r="V44" s="47" t="s">
        <v>87</v>
      </c>
      <c r="W44" s="47" t="s">
        <v>87</v>
      </c>
      <c r="X44" s="47" t="s">
        <v>87</v>
      </c>
      <c r="Y44" s="1" t="s">
        <v>122</v>
      </c>
      <c r="Z44" s="1" t="s">
        <v>104</v>
      </c>
      <c r="AA44" s="1" t="s">
        <v>143</v>
      </c>
      <c r="AF44" s="60" t="b">
        <v>1</v>
      </c>
      <c r="AG44" t="str">
        <f>_xlfn.IFNA(INDEX(tbl_handover[No. Handover],MATCH(tbl_peripheral[[#This Row],[No Asset]],tbl_handover[Asset Code],0)),"")</f>
        <v/>
      </c>
    </row>
    <row r="45" spans="1:33" x14ac:dyDescent="0.25">
      <c r="A45" s="43">
        <f>IF(tbl_peripheral[[#This Row],[No Asset]]&lt;&gt;"",SUBTOTAL(3,INDEX(tbl_peripheral[No Asset],1):tbl_peripheral[[#This Row],[No Asset]]),"")</f>
        <v>43</v>
      </c>
      <c r="B45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2609104031</v>
      </c>
      <c r="C45" s="74">
        <v>46268</v>
      </c>
      <c r="D45" t="s">
        <v>108</v>
      </c>
      <c r="E45" t="s">
        <v>74</v>
      </c>
      <c r="F45" s="45" t="s">
        <v>124</v>
      </c>
      <c r="G45" s="45" t="s">
        <v>695</v>
      </c>
      <c r="H45" t="s">
        <v>738</v>
      </c>
      <c r="I45" t="s">
        <v>739</v>
      </c>
      <c r="J45" s="1" t="s">
        <v>740</v>
      </c>
      <c r="K45" s="1" t="s">
        <v>824</v>
      </c>
      <c r="L45" s="1" t="s">
        <v>742</v>
      </c>
      <c r="M45" s="1" t="s">
        <v>743</v>
      </c>
      <c r="N45" s="1" t="s">
        <v>744</v>
      </c>
      <c r="O45" s="47" t="s">
        <v>822</v>
      </c>
      <c r="P45" s="47" t="s">
        <v>87</v>
      </c>
      <c r="Q45" s="47" t="s">
        <v>87</v>
      </c>
      <c r="R45" s="1" t="s">
        <v>743</v>
      </c>
      <c r="S45" s="47" t="s">
        <v>87</v>
      </c>
      <c r="T45" s="47" t="s">
        <v>87</v>
      </c>
      <c r="U45" s="47" t="s">
        <v>87</v>
      </c>
      <c r="V45" s="47" t="s">
        <v>87</v>
      </c>
      <c r="W45" s="47" t="s">
        <v>87</v>
      </c>
      <c r="X45" s="47" t="s">
        <v>87</v>
      </c>
      <c r="Y45" s="1" t="s">
        <v>122</v>
      </c>
      <c r="Z45" s="1" t="s">
        <v>104</v>
      </c>
      <c r="AA45" s="1" t="s">
        <v>143</v>
      </c>
      <c r="AF45" s="60" t="b">
        <v>1</v>
      </c>
      <c r="AG45" t="str">
        <f>_xlfn.IFNA(INDEX(tbl_handover[No. Handover],MATCH(tbl_peripheral[[#This Row],[No Asset]],tbl_handover[Asset Code],0)),"")</f>
        <v/>
      </c>
    </row>
    <row r="46" spans="1:33" x14ac:dyDescent="0.25">
      <c r="A46" s="43">
        <f>IF(tbl_peripheral[[#This Row],[No Asset]]&lt;&gt;"",SUBTOTAL(3,INDEX(tbl_peripheral[No Asset],1):tbl_peripheral[[#This Row],[No Asset]]),"")</f>
        <v>44</v>
      </c>
      <c r="B46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2609104032</v>
      </c>
      <c r="C46" s="74">
        <v>46268</v>
      </c>
      <c r="D46" t="s">
        <v>108</v>
      </c>
      <c r="E46" t="s">
        <v>74</v>
      </c>
      <c r="F46" s="45" t="s">
        <v>124</v>
      </c>
      <c r="G46" s="45" t="s">
        <v>695</v>
      </c>
      <c r="H46" t="s">
        <v>738</v>
      </c>
      <c r="I46" t="s">
        <v>739</v>
      </c>
      <c r="J46" s="1" t="s">
        <v>740</v>
      </c>
      <c r="K46" s="1" t="s">
        <v>825</v>
      </c>
      <c r="L46" s="1" t="s">
        <v>742</v>
      </c>
      <c r="M46" s="1" t="s">
        <v>743</v>
      </c>
      <c r="N46" s="1" t="s">
        <v>744</v>
      </c>
      <c r="O46" s="47" t="s">
        <v>822</v>
      </c>
      <c r="P46" s="47" t="s">
        <v>87</v>
      </c>
      <c r="Q46" s="47" t="s">
        <v>87</v>
      </c>
      <c r="R46" s="1" t="s">
        <v>743</v>
      </c>
      <c r="S46" s="47" t="s">
        <v>87</v>
      </c>
      <c r="T46" s="47" t="s">
        <v>87</v>
      </c>
      <c r="U46" s="47" t="s">
        <v>87</v>
      </c>
      <c r="V46" s="47" t="s">
        <v>87</v>
      </c>
      <c r="W46" s="47" t="s">
        <v>87</v>
      </c>
      <c r="X46" s="47" t="s">
        <v>87</v>
      </c>
      <c r="Y46" s="1" t="s">
        <v>122</v>
      </c>
      <c r="Z46" s="1" t="s">
        <v>104</v>
      </c>
      <c r="AA46" s="1" t="s">
        <v>143</v>
      </c>
      <c r="AF46" s="60" t="b">
        <v>1</v>
      </c>
      <c r="AG46" t="str">
        <f>_xlfn.IFNA(INDEX(tbl_handover[No. Handover],MATCH(tbl_peripheral[[#This Row],[No Asset]],tbl_handover[Asset Code],0)),"")</f>
        <v/>
      </c>
    </row>
    <row r="47" spans="1:33" x14ac:dyDescent="0.25">
      <c r="A47" s="43">
        <f>IF(tbl_peripheral[[#This Row],[No Asset]]&lt;&gt;"",SUBTOTAL(3,INDEX(tbl_peripheral[No Asset],1):tbl_peripheral[[#This Row],[No Asset]]),"")</f>
        <v>45</v>
      </c>
      <c r="B47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2609104033</v>
      </c>
      <c r="C47" s="74">
        <v>46268</v>
      </c>
      <c r="D47" t="s">
        <v>108</v>
      </c>
      <c r="E47" t="s">
        <v>74</v>
      </c>
      <c r="F47" s="45" t="s">
        <v>124</v>
      </c>
      <c r="G47" s="45" t="s">
        <v>695</v>
      </c>
      <c r="H47" t="s">
        <v>696</v>
      </c>
      <c r="I47" t="s">
        <v>697</v>
      </c>
      <c r="J47" s="1" t="s">
        <v>696</v>
      </c>
      <c r="K47" s="1" t="s">
        <v>826</v>
      </c>
      <c r="L47" s="1" t="s">
        <v>699</v>
      </c>
      <c r="M47" s="1" t="s">
        <v>700</v>
      </c>
      <c r="N47" s="1" t="s">
        <v>701</v>
      </c>
      <c r="O47" s="47" t="s">
        <v>733</v>
      </c>
      <c r="P47" s="47" t="s">
        <v>87</v>
      </c>
      <c r="Q47" s="47" t="s">
        <v>87</v>
      </c>
      <c r="R47" s="47" t="s">
        <v>87</v>
      </c>
      <c r="S47" s="47" t="s">
        <v>87</v>
      </c>
      <c r="T47" s="47" t="s">
        <v>87</v>
      </c>
      <c r="U47" s="1">
        <v>1</v>
      </c>
      <c r="V47" s="47" t="s">
        <v>87</v>
      </c>
      <c r="W47" s="47" t="s">
        <v>87</v>
      </c>
      <c r="X47" s="47" t="s">
        <v>87</v>
      </c>
      <c r="Y47" s="1" t="s">
        <v>122</v>
      </c>
      <c r="Z47" s="1" t="s">
        <v>104</v>
      </c>
      <c r="AA47" s="1" t="s">
        <v>143</v>
      </c>
      <c r="AF47" s="60" t="b">
        <v>1</v>
      </c>
      <c r="AG47" t="str">
        <f>_xlfn.IFNA(INDEX(tbl_handover[No. Handover],MATCH(tbl_peripheral[[#This Row],[No Asset]],tbl_handover[Asset Code],0)),"")</f>
        <v/>
      </c>
    </row>
    <row r="48" spans="1:33" x14ac:dyDescent="0.25">
      <c r="A48" s="43">
        <f>IF(tbl_peripheral[[#This Row],[No Asset]]&lt;&gt;"",SUBTOTAL(3,INDEX(tbl_peripheral[No Asset],1):tbl_peripheral[[#This Row],[No Asset]]),"")</f>
        <v>46</v>
      </c>
      <c r="B48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2609104034</v>
      </c>
      <c r="C48" s="74">
        <v>46268</v>
      </c>
      <c r="D48" t="s">
        <v>108</v>
      </c>
      <c r="E48" t="s">
        <v>74</v>
      </c>
      <c r="F48" s="45" t="s">
        <v>124</v>
      </c>
      <c r="G48" s="45" t="s">
        <v>695</v>
      </c>
      <c r="H48" t="s">
        <v>696</v>
      </c>
      <c r="I48" t="s">
        <v>697</v>
      </c>
      <c r="J48" s="1" t="s">
        <v>696</v>
      </c>
      <c r="K48" s="1" t="s">
        <v>827</v>
      </c>
      <c r="L48" s="1" t="s">
        <v>699</v>
      </c>
      <c r="M48" s="1" t="s">
        <v>700</v>
      </c>
      <c r="N48" s="1" t="s">
        <v>701</v>
      </c>
      <c r="O48" s="47" t="s">
        <v>733</v>
      </c>
      <c r="P48" s="47" t="s">
        <v>87</v>
      </c>
      <c r="Q48" s="47" t="s">
        <v>87</v>
      </c>
      <c r="R48" s="47" t="s">
        <v>87</v>
      </c>
      <c r="S48" s="47" t="s">
        <v>87</v>
      </c>
      <c r="T48" s="47" t="s">
        <v>87</v>
      </c>
      <c r="U48" s="1">
        <v>1</v>
      </c>
      <c r="V48" s="47" t="s">
        <v>87</v>
      </c>
      <c r="W48" s="47" t="s">
        <v>87</v>
      </c>
      <c r="X48" s="47" t="s">
        <v>87</v>
      </c>
      <c r="Y48" s="1" t="s">
        <v>122</v>
      </c>
      <c r="Z48" s="1" t="s">
        <v>104</v>
      </c>
      <c r="AA48" s="1" t="s">
        <v>143</v>
      </c>
      <c r="AF48" s="60" t="b">
        <v>1</v>
      </c>
      <c r="AG48" t="str">
        <f>_xlfn.IFNA(INDEX(tbl_handover[No. Handover],MATCH(tbl_peripheral[[#This Row],[No Asset]],tbl_handover[Asset Code],0)),"")</f>
        <v/>
      </c>
    </row>
    <row r="49" spans="1:33" x14ac:dyDescent="0.25">
      <c r="A49" s="43">
        <f>IF(tbl_peripheral[[#This Row],[No Asset]]&lt;&gt;"",SUBTOTAL(3,INDEX(tbl_peripheral[No Asset],1):tbl_peripheral[[#This Row],[No Asset]]),"")</f>
        <v>47</v>
      </c>
      <c r="B49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2609104035</v>
      </c>
      <c r="C49" s="74">
        <v>46268</v>
      </c>
      <c r="D49" t="s">
        <v>108</v>
      </c>
      <c r="E49" t="s">
        <v>74</v>
      </c>
      <c r="F49" s="45" t="s">
        <v>124</v>
      </c>
      <c r="G49" s="45" t="s">
        <v>695</v>
      </c>
      <c r="H49" t="s">
        <v>696</v>
      </c>
      <c r="I49" t="s">
        <v>697</v>
      </c>
      <c r="J49" s="1" t="s">
        <v>696</v>
      </c>
      <c r="K49" s="1" t="s">
        <v>828</v>
      </c>
      <c r="L49" s="1" t="s">
        <v>699</v>
      </c>
      <c r="M49" s="1" t="s">
        <v>700</v>
      </c>
      <c r="N49" s="1" t="s">
        <v>701</v>
      </c>
      <c r="O49" s="47" t="s">
        <v>733</v>
      </c>
      <c r="P49" s="47" t="s">
        <v>87</v>
      </c>
      <c r="Q49" s="47" t="s">
        <v>87</v>
      </c>
      <c r="R49" s="47" t="s">
        <v>87</v>
      </c>
      <c r="S49" s="47" t="s">
        <v>87</v>
      </c>
      <c r="T49" s="47" t="s">
        <v>87</v>
      </c>
      <c r="U49" s="1">
        <v>1</v>
      </c>
      <c r="V49" s="47" t="s">
        <v>87</v>
      </c>
      <c r="W49" s="47" t="s">
        <v>87</v>
      </c>
      <c r="X49" s="47" t="s">
        <v>87</v>
      </c>
      <c r="Y49" s="1" t="s">
        <v>122</v>
      </c>
      <c r="Z49" s="1" t="s">
        <v>104</v>
      </c>
      <c r="AA49" s="1" t="s">
        <v>143</v>
      </c>
      <c r="AF49" s="60" t="b">
        <v>1</v>
      </c>
      <c r="AG49" t="str">
        <f>_xlfn.IFNA(INDEX(tbl_handover[No. Handover],MATCH(tbl_peripheral[[#This Row],[No Asset]],tbl_handover[Asset Code],0)),"")</f>
        <v/>
      </c>
    </row>
    <row r="50" spans="1:33" x14ac:dyDescent="0.25">
      <c r="A50" s="43">
        <f>IF(tbl_peripheral[[#This Row],[No Asset]]&lt;&gt;"",SUBTOTAL(3,INDEX(tbl_peripheral[No Asset],1):tbl_peripheral[[#This Row],[No Asset]]),"")</f>
        <v>48</v>
      </c>
      <c r="B50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2609104036</v>
      </c>
      <c r="C50" s="74">
        <v>46268</v>
      </c>
      <c r="D50" t="s">
        <v>108</v>
      </c>
      <c r="E50" t="s">
        <v>74</v>
      </c>
      <c r="F50" s="45" t="s">
        <v>124</v>
      </c>
      <c r="G50" s="45" t="s">
        <v>695</v>
      </c>
      <c r="H50" t="s">
        <v>696</v>
      </c>
      <c r="I50" t="s">
        <v>697</v>
      </c>
      <c r="J50" s="1" t="s">
        <v>696</v>
      </c>
      <c r="K50" s="1" t="s">
        <v>829</v>
      </c>
      <c r="L50" s="1" t="s">
        <v>699</v>
      </c>
      <c r="M50" s="1" t="s">
        <v>700</v>
      </c>
      <c r="N50" s="1" t="s">
        <v>701</v>
      </c>
      <c r="O50" s="47" t="s">
        <v>733</v>
      </c>
      <c r="P50" s="47" t="s">
        <v>87</v>
      </c>
      <c r="Q50" s="47" t="s">
        <v>87</v>
      </c>
      <c r="R50" s="47" t="s">
        <v>87</v>
      </c>
      <c r="S50" s="47" t="s">
        <v>87</v>
      </c>
      <c r="T50" s="47" t="s">
        <v>87</v>
      </c>
      <c r="U50" s="1">
        <v>1</v>
      </c>
      <c r="V50" s="47" t="s">
        <v>87</v>
      </c>
      <c r="W50" s="47" t="s">
        <v>87</v>
      </c>
      <c r="X50" s="47" t="s">
        <v>87</v>
      </c>
      <c r="Y50" s="1" t="s">
        <v>122</v>
      </c>
      <c r="Z50" s="1" t="s">
        <v>104</v>
      </c>
      <c r="AA50" s="1" t="s">
        <v>143</v>
      </c>
      <c r="AF50" s="60" t="b">
        <v>1</v>
      </c>
      <c r="AG50" t="str">
        <f>_xlfn.IFNA(INDEX(tbl_handover[No. Handover],MATCH(tbl_peripheral[[#This Row],[No Asset]],tbl_handover[Asset Code],0)),"")</f>
        <v/>
      </c>
    </row>
    <row r="51" spans="1:33" x14ac:dyDescent="0.25">
      <c r="A51" s="43">
        <f>IF(tbl_peripheral[[#This Row],[No Asset]]&lt;&gt;"",SUBTOTAL(3,INDEX(tbl_peripheral[No Asset],1):tbl_peripheral[[#This Row],[No Asset]]),"")</f>
        <v>49</v>
      </c>
      <c r="B51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2609104037</v>
      </c>
      <c r="C51" s="74">
        <v>46268</v>
      </c>
      <c r="D51" t="s">
        <v>108</v>
      </c>
      <c r="E51" t="s">
        <v>74</v>
      </c>
      <c r="F51" s="45" t="s">
        <v>124</v>
      </c>
      <c r="G51" s="45" t="s">
        <v>695</v>
      </c>
      <c r="H51" t="s">
        <v>696</v>
      </c>
      <c r="I51" t="s">
        <v>830</v>
      </c>
      <c r="J51" s="1" t="s">
        <v>724</v>
      </c>
      <c r="K51" s="1" t="s">
        <v>831</v>
      </c>
      <c r="L51" s="1" t="s">
        <v>189</v>
      </c>
      <c r="M51" s="1" t="s">
        <v>727</v>
      </c>
      <c r="N51" s="1" t="s">
        <v>816</v>
      </c>
      <c r="O51" s="47" t="s">
        <v>733</v>
      </c>
      <c r="P51" s="47" t="s">
        <v>87</v>
      </c>
      <c r="Q51" s="47" t="s">
        <v>87</v>
      </c>
      <c r="R51" s="47" t="s">
        <v>87</v>
      </c>
      <c r="S51" s="47" t="s">
        <v>87</v>
      </c>
      <c r="T51" s="1">
        <v>1</v>
      </c>
      <c r="U51" s="47" t="s">
        <v>87</v>
      </c>
      <c r="V51" s="47" t="s">
        <v>87</v>
      </c>
      <c r="W51" s="47" t="s">
        <v>87</v>
      </c>
      <c r="X51" s="47" t="s">
        <v>87</v>
      </c>
      <c r="Y51" s="1" t="s">
        <v>103</v>
      </c>
      <c r="Z51" s="1" t="s">
        <v>104</v>
      </c>
      <c r="AA51" s="1" t="s">
        <v>143</v>
      </c>
      <c r="AF51" s="60" t="b">
        <v>1</v>
      </c>
      <c r="AG51" t="str">
        <f>_xlfn.IFNA(INDEX(tbl_handover[No. Handover],MATCH(tbl_peripheral[[#This Row],[No Asset]],tbl_handover[Asset Code],0)),"")</f>
        <v/>
      </c>
    </row>
    <row r="52" spans="1:33" x14ac:dyDescent="0.25">
      <c r="A52" s="43">
        <f>IF(tbl_peripheral[[#This Row],[No Asset]]&lt;&gt;"",SUBTOTAL(3,INDEX(tbl_peripheral[No Asset],1):tbl_peripheral[[#This Row],[No Asset]]),"")</f>
        <v>50</v>
      </c>
      <c r="B52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2601104013</v>
      </c>
      <c r="C52" s="74">
        <v>46023</v>
      </c>
      <c r="D52" t="s">
        <v>73</v>
      </c>
      <c r="E52" t="s">
        <v>74</v>
      </c>
      <c r="F52" s="45" t="s">
        <v>211</v>
      </c>
      <c r="G52" s="46" t="s">
        <v>695</v>
      </c>
      <c r="H52" t="s">
        <v>704</v>
      </c>
      <c r="I52" t="s">
        <v>716</v>
      </c>
      <c r="J52" s="1" t="s">
        <v>717</v>
      </c>
      <c r="K52" s="13" t="s">
        <v>832</v>
      </c>
      <c r="L52" s="1" t="s">
        <v>708</v>
      </c>
      <c r="M52" s="1" t="s">
        <v>709</v>
      </c>
      <c r="N52" s="1" t="s">
        <v>719</v>
      </c>
      <c r="O52" s="47" t="s">
        <v>833</v>
      </c>
      <c r="P52" s="42" t="s">
        <v>834</v>
      </c>
      <c r="Q52" s="13" t="s">
        <v>835</v>
      </c>
      <c r="R52" s="1" t="s">
        <v>721</v>
      </c>
      <c r="S52" s="47" t="s">
        <v>87</v>
      </c>
      <c r="T52" s="1">
        <v>1</v>
      </c>
      <c r="U52" s="47" t="s">
        <v>87</v>
      </c>
      <c r="V52" s="47" t="s">
        <v>87</v>
      </c>
      <c r="W52" s="47" t="s">
        <v>87</v>
      </c>
      <c r="X52" s="1">
        <v>1</v>
      </c>
      <c r="Y52" s="1" t="s">
        <v>103</v>
      </c>
      <c r="Z52" s="1" t="s">
        <v>104</v>
      </c>
      <c r="AA52" s="1" t="s">
        <v>106</v>
      </c>
      <c r="AB52" s="1" t="s">
        <v>836</v>
      </c>
      <c r="AF52" s="60" t="b">
        <v>1</v>
      </c>
      <c r="AG52" t="str">
        <f>_xlfn.IFNA(INDEX(tbl_handover[No. Handover],MATCH(tbl_peripheral[[#This Row],[No Asset]],tbl_handover[Asset Code],0)),"")</f>
        <v/>
      </c>
    </row>
    <row r="53" spans="1:33" x14ac:dyDescent="0.25">
      <c r="A53" s="43">
        <f>IF(tbl_peripheral[[#This Row],[No Asset]]&lt;&gt;"",SUBTOTAL(3,INDEX(tbl_peripheral[No Asset],1):tbl_peripheral[[#This Row],[No Asset]]),"")</f>
        <v>51</v>
      </c>
      <c r="B53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2601104014</v>
      </c>
      <c r="C53" s="74">
        <v>46023</v>
      </c>
      <c r="D53" t="s">
        <v>73</v>
      </c>
      <c r="E53" t="s">
        <v>74</v>
      </c>
      <c r="F53" s="45" t="s">
        <v>211</v>
      </c>
      <c r="G53" s="45" t="s">
        <v>695</v>
      </c>
      <c r="H53" t="s">
        <v>738</v>
      </c>
      <c r="I53" t="s">
        <v>810</v>
      </c>
      <c r="J53" s="1" t="s">
        <v>811</v>
      </c>
      <c r="K53" s="43">
        <v>553801254800223</v>
      </c>
      <c r="L53" s="1" t="s">
        <v>812</v>
      </c>
      <c r="M53" s="1" t="s">
        <v>738</v>
      </c>
      <c r="N53" t="s">
        <v>813</v>
      </c>
      <c r="O53" t="s">
        <v>213</v>
      </c>
      <c r="P53" s="47" t="s">
        <v>87</v>
      </c>
      <c r="Q53" s="47" t="s">
        <v>87</v>
      </c>
      <c r="R53" s="1" t="s">
        <v>814</v>
      </c>
      <c r="T53" s="1">
        <v>1</v>
      </c>
      <c r="U53" s="47" t="s">
        <v>87</v>
      </c>
      <c r="V53" s="47" t="s">
        <v>87</v>
      </c>
      <c r="W53" s="1">
        <v>1</v>
      </c>
      <c r="X53" s="47" t="s">
        <v>87</v>
      </c>
      <c r="Y53" s="1" t="s">
        <v>103</v>
      </c>
      <c r="Z53" s="1" t="s">
        <v>104</v>
      </c>
      <c r="AA53" s="1" t="s">
        <v>154</v>
      </c>
      <c r="AB53" s="1" t="s">
        <v>837</v>
      </c>
      <c r="AF53" s="60" t="b">
        <v>1</v>
      </c>
      <c r="AG53" t="str">
        <f>_xlfn.IFNA(INDEX(tbl_handover[No. Handover],MATCH(tbl_peripheral[[#This Row],[No Asset]],tbl_handover[Asset Code],0)),"")</f>
        <v/>
      </c>
    </row>
    <row r="54" spans="1:33" x14ac:dyDescent="0.25">
      <c r="A54" s="43">
        <f>IF(tbl_peripheral[[#This Row],[No Asset]]&lt;&gt;"",SUBTOTAL(3,INDEX(tbl_peripheral[No Asset],1):tbl_peripheral[[#This Row],[No Asset]]),"")</f>
        <v>52</v>
      </c>
      <c r="B54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2601104015</v>
      </c>
      <c r="C54" s="74">
        <v>46023</v>
      </c>
      <c r="D54" t="s">
        <v>73</v>
      </c>
      <c r="E54" t="s">
        <v>74</v>
      </c>
      <c r="F54" s="45" t="s">
        <v>211</v>
      </c>
      <c r="G54" s="45" t="s">
        <v>695</v>
      </c>
      <c r="H54" t="s">
        <v>738</v>
      </c>
      <c r="I54" t="s">
        <v>810</v>
      </c>
      <c r="J54" s="1" t="s">
        <v>811</v>
      </c>
      <c r="K54" s="43">
        <v>553801254800927</v>
      </c>
      <c r="L54" s="1" t="s">
        <v>812</v>
      </c>
      <c r="M54" s="1" t="s">
        <v>738</v>
      </c>
      <c r="N54" t="s">
        <v>813</v>
      </c>
      <c r="O54" t="s">
        <v>583</v>
      </c>
      <c r="P54" s="47" t="s">
        <v>87</v>
      </c>
      <c r="Q54" s="47" t="s">
        <v>87</v>
      </c>
      <c r="R54" s="1" t="s">
        <v>814</v>
      </c>
      <c r="T54" s="1">
        <v>1</v>
      </c>
      <c r="U54" s="47" t="s">
        <v>87</v>
      </c>
      <c r="V54" s="47" t="s">
        <v>87</v>
      </c>
      <c r="W54" s="1">
        <v>1</v>
      </c>
      <c r="X54" s="47" t="s">
        <v>87</v>
      </c>
      <c r="Y54" s="1" t="s">
        <v>103</v>
      </c>
      <c r="Z54" s="1" t="s">
        <v>104</v>
      </c>
      <c r="AA54" s="1" t="s">
        <v>154</v>
      </c>
      <c r="AB54" s="1" t="s">
        <v>838</v>
      </c>
      <c r="AF54" s="60" t="b">
        <v>1</v>
      </c>
      <c r="AG54" t="str">
        <f>_xlfn.IFNA(INDEX(tbl_handover[No. Handover],MATCH(tbl_peripheral[[#This Row],[No Asset]],tbl_handover[Asset Code],0)),"")</f>
        <v/>
      </c>
    </row>
    <row r="55" spans="1:33" x14ac:dyDescent="0.25">
      <c r="A55" s="43">
        <f>IF(tbl_peripheral[[#This Row],[No Asset]]&lt;&gt;"",SUBTOTAL(3,INDEX(tbl_peripheral[No Asset],1):tbl_peripheral[[#This Row],[No Asset]]),"")</f>
        <v>53</v>
      </c>
      <c r="B55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2601104016</v>
      </c>
      <c r="C55" s="74">
        <v>46023</v>
      </c>
      <c r="D55" t="s">
        <v>73</v>
      </c>
      <c r="E55" t="s">
        <v>74</v>
      </c>
      <c r="F55" s="45" t="s">
        <v>211</v>
      </c>
      <c r="G55" s="45" t="s">
        <v>695</v>
      </c>
      <c r="H55" t="s">
        <v>738</v>
      </c>
      <c r="I55" t="s">
        <v>810</v>
      </c>
      <c r="J55" s="1" t="s">
        <v>811</v>
      </c>
      <c r="K55" s="43">
        <v>553801254800</v>
      </c>
      <c r="L55" s="1" t="s">
        <v>812</v>
      </c>
      <c r="M55" s="1" t="s">
        <v>738</v>
      </c>
      <c r="N55" t="s">
        <v>813</v>
      </c>
      <c r="O55" t="s">
        <v>581</v>
      </c>
      <c r="P55" s="47" t="s">
        <v>87</v>
      </c>
      <c r="Q55" s="47" t="s">
        <v>87</v>
      </c>
      <c r="R55" s="1" t="s">
        <v>814</v>
      </c>
      <c r="T55" s="1">
        <v>1</v>
      </c>
      <c r="U55" s="47" t="s">
        <v>87</v>
      </c>
      <c r="V55" s="47" t="s">
        <v>87</v>
      </c>
      <c r="W55" s="1">
        <v>1</v>
      </c>
      <c r="X55" s="47" t="s">
        <v>87</v>
      </c>
      <c r="Y55" s="1" t="s">
        <v>103</v>
      </c>
      <c r="Z55" s="1" t="s">
        <v>104</v>
      </c>
      <c r="AA55" s="1" t="s">
        <v>154</v>
      </c>
      <c r="AB55" s="1" t="s">
        <v>839</v>
      </c>
      <c r="AF55" s="60" t="b">
        <v>1</v>
      </c>
      <c r="AG55" t="str">
        <f>_xlfn.IFNA(INDEX(tbl_handover[No. Handover],MATCH(tbl_peripheral[[#This Row],[No Asset]],tbl_handover[Asset Code],0)),"")</f>
        <v/>
      </c>
    </row>
    <row r="56" spans="1:33" x14ac:dyDescent="0.25">
      <c r="A56" s="43">
        <f>IF(tbl_peripheral[[#This Row],[No Asset]]&lt;&gt;"",SUBTOTAL(3,INDEX(tbl_peripheral[No Asset],1):tbl_peripheral[[#This Row],[No Asset]]),"")</f>
        <v>54</v>
      </c>
      <c r="B56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2601104017</v>
      </c>
      <c r="C56" s="74">
        <v>46023</v>
      </c>
      <c r="D56" t="s">
        <v>73</v>
      </c>
      <c r="E56" t="s">
        <v>74</v>
      </c>
      <c r="F56" s="45" t="s">
        <v>211</v>
      </c>
      <c r="G56" s="45" t="s">
        <v>695</v>
      </c>
      <c r="H56" t="s">
        <v>696</v>
      </c>
      <c r="I56" t="s">
        <v>723</v>
      </c>
      <c r="J56" s="1" t="s">
        <v>801</v>
      </c>
      <c r="L56" s="1" t="s">
        <v>726</v>
      </c>
      <c r="M56" s="1" t="s">
        <v>727</v>
      </c>
      <c r="N56" s="1" t="s">
        <v>728</v>
      </c>
      <c r="O56" t="s">
        <v>213</v>
      </c>
      <c r="P56" s="47" t="s">
        <v>87</v>
      </c>
      <c r="Q56" s="47" t="s">
        <v>87</v>
      </c>
      <c r="R56" s="47" t="s">
        <v>87</v>
      </c>
      <c r="S56" s="47" t="s">
        <v>87</v>
      </c>
      <c r="T56" s="1">
        <v>1</v>
      </c>
      <c r="U56" s="1">
        <v>1</v>
      </c>
      <c r="V56" s="47" t="s">
        <v>87</v>
      </c>
      <c r="W56" s="47" t="s">
        <v>87</v>
      </c>
      <c r="X56" s="47" t="s">
        <v>87</v>
      </c>
      <c r="Y56" s="1" t="s">
        <v>122</v>
      </c>
      <c r="Z56" s="1" t="s">
        <v>104</v>
      </c>
      <c r="AA56" s="1" t="s">
        <v>154</v>
      </c>
      <c r="AB56" s="1" t="s">
        <v>837</v>
      </c>
      <c r="AF56" s="60" t="b">
        <v>1</v>
      </c>
      <c r="AG56" t="str">
        <f>_xlfn.IFNA(INDEX(tbl_handover[No. Handover],MATCH(tbl_peripheral[[#This Row],[No Asset]],tbl_handover[Asset Code],0)),"")</f>
        <v/>
      </c>
    </row>
    <row r="57" spans="1:33" x14ac:dyDescent="0.25">
      <c r="A57" s="43">
        <f>IF(tbl_peripheral[[#This Row],[No Asset]]&lt;&gt;"",SUBTOTAL(3,INDEX(tbl_peripheral[No Asset],1):tbl_peripheral[[#This Row],[No Asset]]),"")</f>
        <v>55</v>
      </c>
      <c r="B57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2601104018</v>
      </c>
      <c r="C57" s="74">
        <v>46023</v>
      </c>
      <c r="D57" t="s">
        <v>73</v>
      </c>
      <c r="E57" t="s">
        <v>74</v>
      </c>
      <c r="F57" s="45" t="s">
        <v>211</v>
      </c>
      <c r="G57" s="45" t="s">
        <v>695</v>
      </c>
      <c r="H57" t="s">
        <v>696</v>
      </c>
      <c r="I57" t="s">
        <v>723</v>
      </c>
      <c r="J57" s="1" t="s">
        <v>801</v>
      </c>
      <c r="L57" s="1" t="s">
        <v>726</v>
      </c>
      <c r="M57" s="1" t="s">
        <v>727</v>
      </c>
      <c r="N57" s="1" t="s">
        <v>728</v>
      </c>
      <c r="O57" t="s">
        <v>583</v>
      </c>
      <c r="P57" s="47" t="s">
        <v>87</v>
      </c>
      <c r="Q57" s="47" t="s">
        <v>87</v>
      </c>
      <c r="R57" s="47" t="s">
        <v>87</v>
      </c>
      <c r="S57" s="47" t="s">
        <v>87</v>
      </c>
      <c r="T57" s="1">
        <v>1</v>
      </c>
      <c r="U57" s="1">
        <v>1</v>
      </c>
      <c r="V57" s="47" t="s">
        <v>87</v>
      </c>
      <c r="W57" s="47" t="s">
        <v>87</v>
      </c>
      <c r="X57" s="47" t="s">
        <v>87</v>
      </c>
      <c r="Y57" s="1" t="s">
        <v>122</v>
      </c>
      <c r="Z57" s="1" t="s">
        <v>104</v>
      </c>
      <c r="AA57" s="1" t="s">
        <v>154</v>
      </c>
      <c r="AB57" s="1" t="s">
        <v>838</v>
      </c>
      <c r="AF57" s="60" t="b">
        <v>1</v>
      </c>
      <c r="AG57" t="str">
        <f>_xlfn.IFNA(INDEX(tbl_handover[No. Handover],MATCH(tbl_peripheral[[#This Row],[No Asset]],tbl_handover[Asset Code],0)),"")</f>
        <v/>
      </c>
    </row>
    <row r="58" spans="1:33" x14ac:dyDescent="0.25">
      <c r="A58" s="43">
        <f>IF(tbl_peripheral[[#This Row],[No Asset]]&lt;&gt;"",SUBTOTAL(3,INDEX(tbl_peripheral[No Asset],1):tbl_peripheral[[#This Row],[No Asset]]),"")</f>
        <v>56</v>
      </c>
      <c r="B58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2601104019</v>
      </c>
      <c r="C58" s="74">
        <v>46023</v>
      </c>
      <c r="D58" t="s">
        <v>73</v>
      </c>
      <c r="E58" t="s">
        <v>74</v>
      </c>
      <c r="F58" s="45" t="s">
        <v>211</v>
      </c>
      <c r="G58" s="45" t="s">
        <v>695</v>
      </c>
      <c r="H58" t="s">
        <v>696</v>
      </c>
      <c r="I58" t="s">
        <v>723</v>
      </c>
      <c r="J58" s="1" t="s">
        <v>801</v>
      </c>
      <c r="L58" s="1" t="s">
        <v>726</v>
      </c>
      <c r="M58" s="1" t="s">
        <v>727</v>
      </c>
      <c r="N58" s="1" t="s">
        <v>728</v>
      </c>
      <c r="O58" t="s">
        <v>581</v>
      </c>
      <c r="P58" s="47" t="s">
        <v>87</v>
      </c>
      <c r="Q58" s="47" t="s">
        <v>87</v>
      </c>
      <c r="R58" s="47" t="s">
        <v>87</v>
      </c>
      <c r="S58" s="47" t="s">
        <v>87</v>
      </c>
      <c r="T58" s="1">
        <v>1</v>
      </c>
      <c r="U58" s="1">
        <v>1</v>
      </c>
      <c r="V58" s="47" t="s">
        <v>87</v>
      </c>
      <c r="W58" s="47" t="s">
        <v>87</v>
      </c>
      <c r="X58" s="47" t="s">
        <v>87</v>
      </c>
      <c r="Y58" s="1" t="s">
        <v>122</v>
      </c>
      <c r="Z58" s="1" t="s">
        <v>104</v>
      </c>
      <c r="AA58" s="1" t="s">
        <v>154</v>
      </c>
      <c r="AB58" s="1" t="s">
        <v>839</v>
      </c>
      <c r="AF58" s="60" t="b">
        <v>1</v>
      </c>
      <c r="AG58" t="str">
        <f>_xlfn.IFNA(INDEX(tbl_handover[No. Handover],MATCH(tbl_peripheral[[#This Row],[No Asset]],tbl_handover[Asset Code],0)),"")</f>
        <v/>
      </c>
    </row>
    <row r="59" spans="1:33" x14ac:dyDescent="0.25">
      <c r="A59" s="43">
        <f>IF(tbl_peripheral[[#This Row],[No Asset]]&lt;&gt;"",SUBTOTAL(3,INDEX(tbl_peripheral[No Asset],1):tbl_peripheral[[#This Row],[No Asset]]),"")</f>
        <v>57</v>
      </c>
      <c r="B59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>2601104020</v>
      </c>
      <c r="C59" s="74">
        <v>46023</v>
      </c>
      <c r="D59" t="s">
        <v>73</v>
      </c>
      <c r="E59" t="s">
        <v>74</v>
      </c>
      <c r="F59" s="45" t="s">
        <v>211</v>
      </c>
      <c r="G59" s="45" t="s">
        <v>695</v>
      </c>
      <c r="H59" t="s">
        <v>696</v>
      </c>
      <c r="I59" t="s">
        <v>723</v>
      </c>
      <c r="J59" s="1" t="s">
        <v>801</v>
      </c>
      <c r="L59" s="1" t="s">
        <v>726</v>
      </c>
      <c r="M59" s="1" t="s">
        <v>727</v>
      </c>
      <c r="N59" s="1" t="s">
        <v>728</v>
      </c>
      <c r="O59" t="s">
        <v>840</v>
      </c>
      <c r="P59" s="47" t="s">
        <v>87</v>
      </c>
      <c r="Q59" s="47" t="s">
        <v>87</v>
      </c>
      <c r="R59" s="47" t="s">
        <v>87</v>
      </c>
      <c r="S59" s="47" t="s">
        <v>87</v>
      </c>
      <c r="T59" s="1">
        <v>1</v>
      </c>
      <c r="U59" s="1">
        <v>1</v>
      </c>
      <c r="V59" s="47" t="s">
        <v>87</v>
      </c>
      <c r="W59" s="47" t="s">
        <v>87</v>
      </c>
      <c r="X59" s="47" t="s">
        <v>87</v>
      </c>
      <c r="Y59" s="1" t="s">
        <v>122</v>
      </c>
      <c r="Z59" s="1" t="s">
        <v>104</v>
      </c>
      <c r="AA59" s="1" t="s">
        <v>154</v>
      </c>
      <c r="AB59" s="1" t="s">
        <v>841</v>
      </c>
      <c r="AF59" s="60" t="b">
        <v>1</v>
      </c>
      <c r="AG59" t="str">
        <f>_xlfn.IFNA(INDEX(tbl_handover[No. Handover],MATCH(tbl_peripheral[[#This Row],[No Asset]],tbl_handover[Asset Code],0)),"")</f>
        <v/>
      </c>
    </row>
    <row r="60" spans="1:33" x14ac:dyDescent="0.25">
      <c r="A60" s="43" t="str">
        <f>IF(tbl_peripheral[[#This Row],[No Asset]]&lt;&gt;"",SUBTOTAL(3,INDEX(tbl_peripheral[No Asset],1):tbl_peripheral[[#This Row],[No Asset]]),"")</f>
        <v/>
      </c>
      <c r="B60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/>
      </c>
      <c r="F60" s="45"/>
      <c r="AF60" s="60" t="b">
        <v>0</v>
      </c>
      <c r="AG60" t="str">
        <f>_xlfn.IFNA(INDEX(tbl_handover[No. Handover],MATCH(tbl_peripheral[[#This Row],[No Asset]],tbl_handover[Asset Code],0)),"")</f>
        <v/>
      </c>
    </row>
    <row r="61" spans="1:33" x14ac:dyDescent="0.25">
      <c r="A61" s="43" t="str">
        <f>IF(tbl_peripheral[[#This Row],[No Asset]]&lt;&gt;"",SUBTOTAL(3,INDEX(tbl_peripheral[No Asset],1):tbl_peripheral[[#This Row],[No Asset]]),"")</f>
        <v/>
      </c>
      <c r="B61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/>
      </c>
      <c r="F61" s="45"/>
      <c r="AF61" s="60" t="b">
        <v>0</v>
      </c>
      <c r="AG61" t="str">
        <f>_xlfn.IFNA(INDEX(tbl_handover[No. Handover],MATCH(tbl_peripheral[[#This Row],[No Asset]],tbl_handover[Asset Code],0)),"")</f>
        <v/>
      </c>
    </row>
    <row r="62" spans="1:33" x14ac:dyDescent="0.25">
      <c r="A62" s="43" t="str">
        <f>IF(tbl_peripheral[[#This Row],[No Asset]]&lt;&gt;"",SUBTOTAL(3,INDEX(tbl_peripheral[No Asset],1):tbl_peripheral[[#This Row],[No Asset]]),"")</f>
        <v/>
      </c>
      <c r="B62" t="str">
        <f>IF(OR(tbl_peripheral[[#This Row],[Purchase Date]]="",tbl_peripheral[[#This Row],[Categories]]=""),"",
TEXT(tbl_peripheral[[#This Row],[Purchase Date]],"YYMM")&amp;
_xlfn.XLOOKUP(tbl_peripheral[[#This Row],[Categories]],CODEX!$Z:$Z,CODEX!$W:$W,"")&amp;
TEXT(_xlfn.XLOOKUP(tbl_peripheral[[#This Row],[Categories]],CODEX!$Z:$Z,CODEX!$Y:$Y,""),"00")&amp;
TEXT(COUNTIFS(INDEX(tbl_peripheral[Purchase Date],1):tbl_peripheral[[#This Row],[Purchase Date]],"&gt;="&amp;DATE(YEAR(tbl_peripheral[[#This Row],[Purchase Date]]),MONTH(tbl_peripheral[[#This Row],[Purchase Date]]),1),INDEX(tbl_peripheral[Purchase Date],1):tbl_peripheral[[#This Row],[Purchase Date]],"&lt;"&amp;EDATE(DATE(YEAR(tbl_peripheral[[#This Row],[Purchase Date]]),MONTH(tbl_peripheral[[#This Row],[Purchase Date]]),1),1),INDEX(tbl_peripheral[Categories],1):tbl_peripheral[[#This Row],[Categories]],tbl_peripheral[[#This Row],[Categories]]),"000"))</f>
        <v/>
      </c>
      <c r="F62" s="45"/>
      <c r="AF62" s="60" t="b">
        <v>0</v>
      </c>
      <c r="AG62" s="60" t="str">
        <f>_xlfn.IFNA(INDEX(tbl_handover[No. Handover],MATCH(tbl_peripheral[[#This Row],[No Asset]],tbl_handover[Asset Code],0)),"")</f>
        <v/>
      </c>
    </row>
  </sheetData>
  <mergeCells count="4">
    <mergeCell ref="T1:X1"/>
    <mergeCell ref="C1:D1"/>
    <mergeCell ref="AC1:AE1"/>
    <mergeCell ref="E1:S1"/>
  </mergeCells>
  <conditionalFormatting sqref="B2">
    <cfRule type="duplicateValues" dxfId="63" priority="8"/>
    <cfRule type="duplicateValues" dxfId="62" priority="9"/>
    <cfRule type="duplicateValues" dxfId="61" priority="10"/>
  </conditionalFormatting>
  <conditionalFormatting sqref="C3:AA52 C53:N59 P53:AA59 C60:AA62">
    <cfRule type="containsBlanks" dxfId="60" priority="7">
      <formula>LEN(TRIM(C3))=0</formula>
    </cfRule>
  </conditionalFormatting>
  <conditionalFormatting sqref="K2:L2">
    <cfRule type="duplicateValues" dxfId="59" priority="11"/>
  </conditionalFormatting>
  <conditionalFormatting sqref="O53:O59">
    <cfRule type="containsBlanks" dxfId="58" priority="1">
      <formula>LEN(TRIM(O53))=0</formula>
    </cfRule>
  </conditionalFormatting>
  <pageMargins left="0.7" right="0.7" top="0.75" bottom="0.75" header="0.3" footer="0.3"/>
  <pageSetup paperSize="262" orientation="landscape" horizontalDpi="360" verticalDpi="36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AC168AB7-B2C7-4538-91F1-F4C274B0C712}">
          <x14:formula1>
            <xm:f>CODEX!$A$3:$A$7</xm:f>
          </x14:formula1>
          <xm:sqref>E3:E59</xm:sqref>
        </x14:dataValidation>
        <x14:dataValidation type="list" allowBlank="1" showInputMessage="1" showErrorMessage="1" xr:uid="{1074B7C0-825F-4916-9A22-2FA287B2492E}">
          <x14:formula1>
            <xm:f>CODEX!$O$3:$O$5</xm:f>
          </x14:formula1>
          <xm:sqref>AA3:AA62</xm:sqref>
        </x14:dataValidation>
        <x14:dataValidation type="list" allowBlank="1" showInputMessage="1" showErrorMessage="1" xr:uid="{212C526D-DA87-47F2-BCC3-5BB483A7FD2E}">
          <x14:formula1>
            <xm:f>CODEX!$C$3:$C$17</xm:f>
          </x14:formula1>
          <xm:sqref>F37:F41 F53:F59</xm:sqref>
        </x14:dataValidation>
        <x14:dataValidation type="list" allowBlank="1" showInputMessage="1" showErrorMessage="1" xr:uid="{1018E855-19CB-475D-8DCA-6BE7583E8CF7}">
          <x14:formula1>
            <xm:f>CODEX!$C$3:$C$20</xm:f>
          </x14:formula1>
          <xm:sqref>F3:F36 F42:F52 F60:F62</xm:sqref>
        </x14:dataValidation>
        <x14:dataValidation type="list" allowBlank="1" showInputMessage="1" showErrorMessage="1" xr:uid="{35C41BCF-6C84-4B9C-904C-83B6E5BFFB77}">
          <x14:formula1>
            <xm:f>CODEX!$H$3:$H$10</xm:f>
          </x14:formula1>
          <xm:sqref>Y3:Y36 Y42:Y50 Y52 Y56:Y59</xm:sqref>
        </x14:dataValidation>
        <x14:dataValidation type="list" allowBlank="1" showInputMessage="1" showErrorMessage="1" xr:uid="{A7AEABE6-3381-4A54-904E-18EC46D9A69D}">
          <x14:formula1>
            <xm:f>CODEX!$J$3:$J$8</xm:f>
          </x14:formula1>
          <xm:sqref>Z3:Z62</xm:sqref>
        </x14:dataValidation>
        <x14:dataValidation type="list" allowBlank="1" showInputMessage="1" showErrorMessage="1" xr:uid="{9B62C2E1-E2B0-46D0-9450-C8C9710D02EF}">
          <x14:formula1>
            <xm:f>CODEX!$Z$6</xm:f>
          </x14:formula1>
          <xm:sqref>G3:G1048576</xm:sqref>
        </x14:dataValidation>
        <x14:dataValidation type="list" allowBlank="1" showInputMessage="1" showErrorMessage="1" xr:uid="{DBA6C513-AF04-4C33-83C4-EEEA4CBA4D53}">
          <x14:formula1>
            <xm:f>CODEX!$AD$27:$AD$36</xm:f>
          </x14:formula1>
          <xm:sqref>H3:H36 H42:H52 H56:H62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3628F-B73C-4C38-B64B-8726A1697E0E}">
  <dimension ref="A1:X14"/>
  <sheetViews>
    <sheetView workbookViewId="0">
      <selection activeCell="G10" sqref="G10"/>
    </sheetView>
  </sheetViews>
  <sheetFormatPr defaultRowHeight="15" x14ac:dyDescent="0.25"/>
  <cols>
    <col min="1" max="1" width="7.5703125" customWidth="1"/>
    <col min="2" max="2" width="17" customWidth="1"/>
    <col min="3" max="3" width="14.140625" style="74" customWidth="1"/>
    <col min="4" max="4" width="13.5703125" customWidth="1"/>
    <col min="5" max="6" width="11.42578125" customWidth="1"/>
    <col min="7" max="7" width="24.5703125" customWidth="1"/>
    <col min="8" max="8" width="66.42578125" bestFit="1" customWidth="1"/>
    <col min="9" max="9" width="20.28515625" customWidth="1"/>
    <col min="10" max="11" width="15.28515625" customWidth="1"/>
    <col min="12" max="12" width="19.140625" customWidth="1"/>
    <col min="13" max="13" width="14" customWidth="1"/>
    <col min="14" max="14" width="10.85546875" customWidth="1"/>
    <col min="15" max="15" width="18.7109375" customWidth="1"/>
    <col min="16" max="16" width="14.5703125" style="1" customWidth="1"/>
    <col min="17" max="17" width="15.140625" bestFit="1" customWidth="1"/>
    <col min="20" max="20" width="12" bestFit="1" customWidth="1"/>
    <col min="21" max="21" width="11.7109375" bestFit="1" customWidth="1"/>
    <col min="22" max="22" width="30.85546875" bestFit="1" customWidth="1"/>
    <col min="24" max="24" width="11" bestFit="1" customWidth="1"/>
  </cols>
  <sheetData>
    <row r="1" spans="1:24" ht="15" customHeight="1" x14ac:dyDescent="0.25">
      <c r="A1" s="14">
        <v>5</v>
      </c>
      <c r="B1" s="17" t="s">
        <v>13</v>
      </c>
      <c r="C1" s="209" t="s">
        <v>14</v>
      </c>
      <c r="D1" s="209"/>
      <c r="E1" s="212" t="s">
        <v>842</v>
      </c>
      <c r="F1" s="213"/>
      <c r="G1" s="213"/>
      <c r="H1" s="213"/>
      <c r="I1" s="213"/>
      <c r="J1" s="213"/>
      <c r="K1" s="213"/>
      <c r="L1" s="213"/>
      <c r="M1" s="213"/>
      <c r="N1" s="214"/>
      <c r="Q1" s="211" t="s">
        <v>24</v>
      </c>
      <c r="R1" s="211"/>
      <c r="S1" s="211"/>
    </row>
    <row r="2" spans="1:24" x14ac:dyDescent="0.25">
      <c r="A2" s="127" t="s">
        <v>25</v>
      </c>
      <c r="B2" s="127" t="s">
        <v>26</v>
      </c>
      <c r="C2" s="128" t="s">
        <v>27</v>
      </c>
      <c r="D2" s="127" t="s">
        <v>28</v>
      </c>
      <c r="E2" s="127" t="s">
        <v>29</v>
      </c>
      <c r="F2" s="127" t="s">
        <v>31</v>
      </c>
      <c r="G2" s="127" t="s">
        <v>32</v>
      </c>
      <c r="H2" s="127" t="s">
        <v>33</v>
      </c>
      <c r="I2" s="127" t="s">
        <v>34</v>
      </c>
      <c r="J2" s="127" t="s">
        <v>500</v>
      </c>
      <c r="K2" s="127" t="s">
        <v>36</v>
      </c>
      <c r="L2" s="127" t="s">
        <v>47</v>
      </c>
      <c r="M2" s="127" t="s">
        <v>38</v>
      </c>
      <c r="N2" s="127" t="s">
        <v>62</v>
      </c>
      <c r="O2" s="127" t="s">
        <v>63</v>
      </c>
      <c r="P2" s="127" t="s">
        <v>64</v>
      </c>
      <c r="Q2" s="127" t="s">
        <v>66</v>
      </c>
      <c r="R2" s="127" t="s">
        <v>68</v>
      </c>
      <c r="S2" s="127" t="s">
        <v>69</v>
      </c>
      <c r="T2" s="127" t="s">
        <v>70</v>
      </c>
      <c r="U2" s="129" t="s">
        <v>71</v>
      </c>
      <c r="V2" s="130" t="s">
        <v>72</v>
      </c>
    </row>
    <row r="3" spans="1:24" x14ac:dyDescent="0.25">
      <c r="A3" s="43">
        <f>IF(tbl_utilities[[#This Row],[No Asset]]&lt;&gt;"",SUBTOTAL(3,INDEX(tbl_utilities[No Asset],1):tbl_utilities[[#This Row],[No Asset]]),"")</f>
        <v>1</v>
      </c>
      <c r="B3" t="str">
        <f>IF(OR(tbl_utilities[[#This Row],[Purchase Date]]="",tbl_utilities[[#This Row],[Categories]]=""),"",
TEXT(tbl_utilities[[#This Row],[Purchase Date]],"YYMM")&amp;
_xlfn.XLOOKUP(tbl_utilities[[#This Row],[Categories]],CODEX!$Z:$Z,CODEX!$W:$W,"")&amp;
TEXT(_xlfn.XLOOKUP(tbl_utilities[[#This Row],[Categories]],CODEX!$Z:$Z,CODEX!$Y:$Y,""),"00")&amp;
TEXT(COUNTIFS(INDEX(tbl_utilities[Purchase Date],1):tbl_utilities[[#This Row],[Purchase Date]],"&gt;="&amp;DATE(YEAR(tbl_utilities[[#This Row],[Purchase Date]]),MONTH(tbl_utilities[[#This Row],[Purchase Date]]),1),INDEX(tbl_utilities[Purchase Date],1):tbl_utilities[[#This Row],[Purchase Date]],"&lt;"&amp;EDATE(DATE(YEAR(tbl_utilities[[#This Row],[Purchase Date]]),MONTH(tbl_utilities[[#This Row],[Purchase Date]]),1),1),INDEX(tbl_utilities[Categories],1):tbl_utilities[[#This Row],[Categories]],tbl_utilities[[#This Row],[Categories]]),"000"))</f>
        <v>2601105001</v>
      </c>
      <c r="C3" s="74">
        <v>46023</v>
      </c>
      <c r="D3" t="s">
        <v>843</v>
      </c>
      <c r="E3" t="s">
        <v>74</v>
      </c>
      <c r="F3" t="s">
        <v>844</v>
      </c>
      <c r="G3" t="s">
        <v>845</v>
      </c>
      <c r="H3" t="s">
        <v>846</v>
      </c>
      <c r="I3" t="s">
        <v>847</v>
      </c>
      <c r="J3" s="13" t="s">
        <v>87</v>
      </c>
      <c r="K3" s="13" t="s">
        <v>848</v>
      </c>
      <c r="L3" s="13" t="s">
        <v>849</v>
      </c>
      <c r="M3" s="13" t="s">
        <v>850</v>
      </c>
      <c r="N3" s="13" t="s">
        <v>851</v>
      </c>
      <c r="O3" s="13" t="s">
        <v>103</v>
      </c>
      <c r="P3" s="13" t="s">
        <v>104</v>
      </c>
      <c r="Q3" s="1" t="s">
        <v>154</v>
      </c>
      <c r="U3" s="60" t="b">
        <v>1</v>
      </c>
      <c r="V3" t="str">
        <f>_xlfn.IFNA(INDEX(tbl_handover[No. Handover],MATCH(tbl_utilities[[#This Row],[No Asset]],tbl_handover[Asset Code],0)),"")</f>
        <v>SR.26.09.0001/IX/2026/PGT/IT/INT</v>
      </c>
      <c r="X3" t="s">
        <v>852</v>
      </c>
    </row>
    <row r="4" spans="1:24" x14ac:dyDescent="0.25">
      <c r="A4" s="43">
        <f>IF(tbl_utilities[[#This Row],[No Asset]]&lt;&gt;"",SUBTOTAL(3,INDEX(tbl_utilities[No Asset],1):tbl_utilities[[#This Row],[No Asset]]),"")</f>
        <v>2</v>
      </c>
      <c r="B4" t="str">
        <f>IF(OR(tbl_utilities[[#This Row],[Purchase Date]]="",tbl_utilities[[#This Row],[Categories]]=""),"",
TEXT(tbl_utilities[[#This Row],[Purchase Date]],"YYMM")&amp;
_xlfn.XLOOKUP(tbl_utilities[[#This Row],[Categories]],CODEX!$Z:$Z,CODEX!$W:$W,"")&amp;
TEXT(_xlfn.XLOOKUP(tbl_utilities[[#This Row],[Categories]],CODEX!$Z:$Z,CODEX!$Y:$Y,""),"00")&amp;
TEXT(COUNTIFS(INDEX(tbl_utilities[Purchase Date],1):tbl_utilities[[#This Row],[Purchase Date]],"&gt;="&amp;DATE(YEAR(tbl_utilities[[#This Row],[Purchase Date]]),MONTH(tbl_utilities[[#This Row],[Purchase Date]]),1),INDEX(tbl_utilities[Purchase Date],1):tbl_utilities[[#This Row],[Purchase Date]],"&lt;"&amp;EDATE(DATE(YEAR(tbl_utilities[[#This Row],[Purchase Date]]),MONTH(tbl_utilities[[#This Row],[Purchase Date]]),1),1),INDEX(tbl_utilities[Categories],1):tbl_utilities[[#This Row],[Categories]],tbl_utilities[[#This Row],[Categories]]),"000"))</f>
        <v>2601105002</v>
      </c>
      <c r="C4" s="74">
        <v>46023</v>
      </c>
      <c r="D4" t="s">
        <v>843</v>
      </c>
      <c r="E4" t="s">
        <v>74</v>
      </c>
      <c r="F4" t="s">
        <v>844</v>
      </c>
      <c r="G4" t="s">
        <v>845</v>
      </c>
      <c r="H4" t="s">
        <v>846</v>
      </c>
      <c r="I4" t="s">
        <v>847</v>
      </c>
      <c r="J4" s="13" t="s">
        <v>87</v>
      </c>
      <c r="K4" s="13" t="s">
        <v>848</v>
      </c>
      <c r="L4" s="13" t="s">
        <v>849</v>
      </c>
      <c r="M4" s="13" t="s">
        <v>850</v>
      </c>
      <c r="N4" s="13" t="s">
        <v>851</v>
      </c>
      <c r="O4" s="13" t="s">
        <v>103</v>
      </c>
      <c r="P4" s="13" t="s">
        <v>104</v>
      </c>
      <c r="Q4" s="1" t="s">
        <v>154</v>
      </c>
      <c r="U4" s="60" t="b">
        <v>1</v>
      </c>
      <c r="V4" t="str">
        <f>_xlfn.IFNA(INDEX(tbl_handover[No. Handover],MATCH(tbl_utilities[[#This Row],[No Asset]],tbl_handover[Asset Code],0)),"")</f>
        <v>SR.26.09.0002/IX/2026/PGT/IT/INT</v>
      </c>
      <c r="X4" t="s">
        <v>853</v>
      </c>
    </row>
    <row r="5" spans="1:24" x14ac:dyDescent="0.25">
      <c r="A5" s="43">
        <f>IF(tbl_utilities[[#This Row],[No Asset]]&lt;&gt;"",SUBTOTAL(3,INDEX(tbl_utilities[No Asset],1):tbl_utilities[[#This Row],[No Asset]]),"")</f>
        <v>3</v>
      </c>
      <c r="B5" t="str">
        <f>IF(OR(tbl_utilities[[#This Row],[Purchase Date]]="",tbl_utilities[[#This Row],[Categories]]=""),"",
TEXT(tbl_utilities[[#This Row],[Purchase Date]],"YYMM")&amp;
_xlfn.XLOOKUP(tbl_utilities[[#This Row],[Categories]],CODEX!$Z:$Z,CODEX!$W:$W,"")&amp;
TEXT(_xlfn.XLOOKUP(tbl_utilities[[#This Row],[Categories]],CODEX!$Z:$Z,CODEX!$Y:$Y,""),"00")&amp;
TEXT(COUNTIFS(INDEX(tbl_utilities[Purchase Date],1):tbl_utilities[[#This Row],[Purchase Date]],"&gt;="&amp;DATE(YEAR(tbl_utilities[[#This Row],[Purchase Date]]),MONTH(tbl_utilities[[#This Row],[Purchase Date]]),1),INDEX(tbl_utilities[Purchase Date],1):tbl_utilities[[#This Row],[Purchase Date]],"&lt;"&amp;EDATE(DATE(YEAR(tbl_utilities[[#This Row],[Purchase Date]]),MONTH(tbl_utilities[[#This Row],[Purchase Date]]),1),1),INDEX(tbl_utilities[Categories],1):tbl_utilities[[#This Row],[Categories]],tbl_utilities[[#This Row],[Categories]]),"000"))</f>
        <v>2601105003</v>
      </c>
      <c r="C5" s="74">
        <v>46023</v>
      </c>
      <c r="D5" t="s">
        <v>843</v>
      </c>
      <c r="E5" t="s">
        <v>74</v>
      </c>
      <c r="F5" t="s">
        <v>844</v>
      </c>
      <c r="G5" t="s">
        <v>854</v>
      </c>
      <c r="H5" t="s">
        <v>855</v>
      </c>
      <c r="I5" t="s">
        <v>856</v>
      </c>
      <c r="J5" s="13" t="s">
        <v>87</v>
      </c>
      <c r="K5" s="13" t="s">
        <v>857</v>
      </c>
      <c r="L5" s="13" t="s">
        <v>858</v>
      </c>
      <c r="M5" s="13" t="s">
        <v>859</v>
      </c>
      <c r="N5" s="13" t="s">
        <v>860</v>
      </c>
      <c r="O5" s="13" t="s">
        <v>103</v>
      </c>
      <c r="P5" s="13" t="s">
        <v>104</v>
      </c>
      <c r="Q5" s="1" t="s">
        <v>154</v>
      </c>
      <c r="U5" s="60" t="b">
        <v>0</v>
      </c>
      <c r="V5" t="str">
        <f>_xlfn.IFNA(INDEX(tbl_handover[No. Handover],MATCH(tbl_utilities[[#This Row],[No Asset]],tbl_handover[Asset Code],0)),"")</f>
        <v/>
      </c>
      <c r="X5" t="s">
        <v>861</v>
      </c>
    </row>
    <row r="6" spans="1:24" x14ac:dyDescent="0.25">
      <c r="A6" s="43">
        <f>IF(tbl_utilities[[#This Row],[No Asset]]&lt;&gt;"",SUBTOTAL(3,INDEX(tbl_utilities[No Asset],1):tbl_utilities[[#This Row],[No Asset]]),"")</f>
        <v>4</v>
      </c>
      <c r="B6" t="str">
        <f>IF(OR(tbl_utilities[[#This Row],[Purchase Date]]="",tbl_utilities[[#This Row],[Categories]]=""),"",
TEXT(tbl_utilities[[#This Row],[Purchase Date]],"YYMM")&amp;
_xlfn.XLOOKUP(tbl_utilities[[#This Row],[Categories]],CODEX!$Z:$Z,CODEX!$W:$W,"")&amp;
TEXT(_xlfn.XLOOKUP(tbl_utilities[[#This Row],[Categories]],CODEX!$Z:$Z,CODEX!$Y:$Y,""),"00")&amp;
TEXT(COUNTIFS(INDEX(tbl_utilities[Purchase Date],1):tbl_utilities[[#This Row],[Purchase Date]],"&gt;="&amp;DATE(YEAR(tbl_utilities[[#This Row],[Purchase Date]]),MONTH(tbl_utilities[[#This Row],[Purchase Date]]),1),INDEX(tbl_utilities[Purchase Date],1):tbl_utilities[[#This Row],[Purchase Date]],"&lt;"&amp;EDATE(DATE(YEAR(tbl_utilities[[#This Row],[Purchase Date]]),MONTH(tbl_utilities[[#This Row],[Purchase Date]]),1),1),INDEX(tbl_utilities[Categories],1):tbl_utilities[[#This Row],[Categories]],tbl_utilities[[#This Row],[Categories]]),"000"))</f>
        <v>2601105004</v>
      </c>
      <c r="C6" s="74">
        <v>46023</v>
      </c>
      <c r="D6" t="s">
        <v>843</v>
      </c>
      <c r="E6" t="s">
        <v>74</v>
      </c>
      <c r="F6" t="s">
        <v>844</v>
      </c>
      <c r="G6" t="s">
        <v>845</v>
      </c>
      <c r="H6" t="s">
        <v>846</v>
      </c>
      <c r="I6" t="s">
        <v>847</v>
      </c>
      <c r="J6" s="13" t="s">
        <v>87</v>
      </c>
      <c r="K6" s="13" t="s">
        <v>848</v>
      </c>
      <c r="L6" s="13" t="s">
        <v>849</v>
      </c>
      <c r="M6" s="13" t="s">
        <v>850</v>
      </c>
      <c r="N6" s="13" t="s">
        <v>851</v>
      </c>
      <c r="O6" s="13" t="s">
        <v>103</v>
      </c>
      <c r="P6" s="13" t="s">
        <v>104</v>
      </c>
      <c r="Q6" s="1" t="s">
        <v>154</v>
      </c>
      <c r="U6" s="60" t="b">
        <v>1</v>
      </c>
      <c r="V6" t="str">
        <f>_xlfn.IFNA(INDEX(tbl_handover[No. Handover],MATCH(tbl_utilities[[#This Row],[No Asset]],tbl_handover[Asset Code],0)),"")</f>
        <v>SR.26.09.0003/IX/2026/PGT/IT/INT</v>
      </c>
      <c r="X6" t="s">
        <v>862</v>
      </c>
    </row>
    <row r="7" spans="1:24" x14ac:dyDescent="0.25">
      <c r="A7" s="43">
        <f>IF(tbl_utilities[[#This Row],[No Asset]]&lt;&gt;"",SUBTOTAL(3,INDEX(tbl_utilities[No Asset],1):tbl_utilities[[#This Row],[No Asset]]),"")</f>
        <v>5</v>
      </c>
      <c r="B7" t="str">
        <f>IF(OR(tbl_utilities[[#This Row],[Purchase Date]]="",tbl_utilities[[#This Row],[Categories]]=""),"",
TEXT(tbl_utilities[[#This Row],[Purchase Date]],"YYMM")&amp;
_xlfn.XLOOKUP(tbl_utilities[[#This Row],[Categories]],CODEX!$Z:$Z,CODEX!$W:$W,"")&amp;
TEXT(_xlfn.XLOOKUP(tbl_utilities[[#This Row],[Categories]],CODEX!$Z:$Z,CODEX!$Y:$Y,""),"00")&amp;
TEXT(COUNTIFS(INDEX(tbl_utilities[Purchase Date],1):tbl_utilities[[#This Row],[Purchase Date]],"&gt;="&amp;DATE(YEAR(tbl_utilities[[#This Row],[Purchase Date]]),MONTH(tbl_utilities[[#This Row],[Purchase Date]]),1),INDEX(tbl_utilities[Purchase Date],1):tbl_utilities[[#This Row],[Purchase Date]],"&lt;"&amp;EDATE(DATE(YEAR(tbl_utilities[[#This Row],[Purchase Date]]),MONTH(tbl_utilities[[#This Row],[Purchase Date]]),1),1),INDEX(tbl_utilities[Categories],1):tbl_utilities[[#This Row],[Categories]],tbl_utilities[[#This Row],[Categories]]),"000"))</f>
        <v>2603105001</v>
      </c>
      <c r="C7" s="74">
        <v>46090</v>
      </c>
      <c r="D7" t="s">
        <v>108</v>
      </c>
      <c r="E7" t="s">
        <v>74</v>
      </c>
      <c r="F7" t="s">
        <v>844</v>
      </c>
      <c r="G7" t="s">
        <v>845</v>
      </c>
      <c r="H7" t="s">
        <v>863</v>
      </c>
      <c r="I7" t="s">
        <v>847</v>
      </c>
      <c r="J7" s="13" t="s">
        <v>87</v>
      </c>
      <c r="K7" s="13" t="s">
        <v>864</v>
      </c>
      <c r="L7" s="13" t="s">
        <v>865</v>
      </c>
      <c r="M7" s="13" t="s">
        <v>866</v>
      </c>
      <c r="N7" s="13" t="s">
        <v>851</v>
      </c>
      <c r="O7" s="13" t="s">
        <v>122</v>
      </c>
      <c r="P7" s="13" t="s">
        <v>104</v>
      </c>
      <c r="Q7" s="1" t="s">
        <v>154</v>
      </c>
      <c r="U7" s="60" t="b">
        <v>0</v>
      </c>
      <c r="V7" t="str">
        <f>_xlfn.IFNA(INDEX(tbl_handover[No. Handover],MATCH(tbl_utilities[[#This Row],[No Asset]],tbl_handover[Asset Code],0)),"")</f>
        <v/>
      </c>
      <c r="X7" t="s">
        <v>867</v>
      </c>
    </row>
    <row r="8" spans="1:24" x14ac:dyDescent="0.25">
      <c r="A8" s="43">
        <f>IF(tbl_utilities[[#This Row],[No Asset]]&lt;&gt;"",SUBTOTAL(3,INDEX(tbl_utilities[No Asset],1):tbl_utilities[[#This Row],[No Asset]]),"")</f>
        <v>6</v>
      </c>
      <c r="B8" t="str">
        <f>IF(OR(tbl_utilities[[#This Row],[Purchase Date]]="",tbl_utilities[[#This Row],[Categories]]=""),"",
TEXT(tbl_utilities[[#This Row],[Purchase Date]],"YYMM")&amp;
_xlfn.XLOOKUP(tbl_utilities[[#This Row],[Categories]],CODEX!$Z:$Z,CODEX!$W:$W,"")&amp;
TEXT(_xlfn.XLOOKUP(tbl_utilities[[#This Row],[Categories]],CODEX!$Z:$Z,CODEX!$Y:$Y,""),"00")&amp;
TEXT(COUNTIFS(INDEX(tbl_utilities[Purchase Date],1):tbl_utilities[[#This Row],[Purchase Date]],"&gt;="&amp;DATE(YEAR(tbl_utilities[[#This Row],[Purchase Date]]),MONTH(tbl_utilities[[#This Row],[Purchase Date]]),1),INDEX(tbl_utilities[Purchase Date],1):tbl_utilities[[#This Row],[Purchase Date]],"&lt;"&amp;EDATE(DATE(YEAR(tbl_utilities[[#This Row],[Purchase Date]]),MONTH(tbl_utilities[[#This Row],[Purchase Date]]),1),1),INDEX(tbl_utilities[Categories],1):tbl_utilities[[#This Row],[Categories]],tbl_utilities[[#This Row],[Categories]]),"000"))</f>
        <v>2603105002</v>
      </c>
      <c r="C8" s="74">
        <v>46090</v>
      </c>
      <c r="D8" t="s">
        <v>108</v>
      </c>
      <c r="E8" t="s">
        <v>74</v>
      </c>
      <c r="F8" t="s">
        <v>844</v>
      </c>
      <c r="G8" t="s">
        <v>845</v>
      </c>
      <c r="H8" t="s">
        <v>863</v>
      </c>
      <c r="I8" t="s">
        <v>847</v>
      </c>
      <c r="J8" s="13" t="s">
        <v>87</v>
      </c>
      <c r="K8" s="13" t="s">
        <v>864</v>
      </c>
      <c r="L8" s="13" t="s">
        <v>865</v>
      </c>
      <c r="M8" s="13" t="s">
        <v>866</v>
      </c>
      <c r="N8" s="13" t="s">
        <v>851</v>
      </c>
      <c r="O8" s="13" t="s">
        <v>122</v>
      </c>
      <c r="P8" s="13" t="s">
        <v>104</v>
      </c>
      <c r="Q8" s="1" t="s">
        <v>154</v>
      </c>
      <c r="U8" s="60" t="b">
        <v>0</v>
      </c>
      <c r="V8" t="str">
        <f>_xlfn.IFNA(INDEX(tbl_handover[No. Handover],MATCH(tbl_utilities[[#This Row],[No Asset]],tbl_handover[Asset Code],0)),"")</f>
        <v/>
      </c>
      <c r="X8" t="s">
        <v>868</v>
      </c>
    </row>
    <row r="9" spans="1:24" x14ac:dyDescent="0.25">
      <c r="A9" s="43" t="str">
        <f>IF(tbl_utilities[[#This Row],[No Asset]]&lt;&gt;"",SUBTOTAL(3,INDEX(tbl_utilities[No Asset],1):tbl_utilities[[#This Row],[No Asset]]),"")</f>
        <v/>
      </c>
      <c r="B9" t="str">
        <f>IF(OR(tbl_utilities[[#This Row],[Purchase Date]]="",tbl_utilities[[#This Row],[Categories]]=""),"",
TEXT(tbl_utilities[[#This Row],[Purchase Date]],"YYMM")&amp;
_xlfn.XLOOKUP(tbl_utilities[[#This Row],[Categories]],CODEX!$Z:$Z,CODEX!$W:$W,"")&amp;
TEXT(_xlfn.XLOOKUP(tbl_utilities[[#This Row],[Categories]],CODEX!$Z:$Z,CODEX!$Y:$Y,""),"00")&amp;
TEXT(COUNTIFS(INDEX(tbl_utilities[Purchase Date],1):tbl_utilities[[#This Row],[Purchase Date]],"&gt;="&amp;DATE(YEAR(tbl_utilities[[#This Row],[Purchase Date]]),MONTH(tbl_utilities[[#This Row],[Purchase Date]]),1),INDEX(tbl_utilities[Purchase Date],1):tbl_utilities[[#This Row],[Purchase Date]],"&lt;"&amp;EDATE(DATE(YEAR(tbl_utilities[[#This Row],[Purchase Date]]),MONTH(tbl_utilities[[#This Row],[Purchase Date]]),1),1),INDEX(tbl_utilities[Categories],1):tbl_utilities[[#This Row],[Categories]],tbl_utilities[[#This Row],[Categories]]),"000"))</f>
        <v/>
      </c>
      <c r="O9" s="13"/>
      <c r="P9" s="13"/>
      <c r="Q9" s="1"/>
      <c r="U9" s="60" t="b">
        <v>0</v>
      </c>
      <c r="V9" t="str">
        <f>_xlfn.IFNA(INDEX(tbl_handover[No. Handover],MATCH(tbl_utilities[[#This Row],[No Asset]],tbl_handover[Asset Code],0)),"")</f>
        <v/>
      </c>
      <c r="X9" t="s">
        <v>869</v>
      </c>
    </row>
    <row r="10" spans="1:24" x14ac:dyDescent="0.25">
      <c r="A10" s="43" t="str">
        <f>IF(tbl_utilities[[#This Row],[No Asset]]&lt;&gt;"",SUBTOTAL(3,INDEX(tbl_utilities[No Asset],1):tbl_utilities[[#This Row],[No Asset]]),"")</f>
        <v/>
      </c>
      <c r="B10" t="str">
        <f>IF(OR(tbl_utilities[[#This Row],[Purchase Date]]="",tbl_utilities[[#This Row],[Categories]]=""),"",
TEXT(tbl_utilities[[#This Row],[Purchase Date]],"YYMM")&amp;
_xlfn.XLOOKUP(tbl_utilities[[#This Row],[Categories]],CODEX!$Z:$Z,CODEX!$W:$W,"")&amp;
TEXT(_xlfn.XLOOKUP(tbl_utilities[[#This Row],[Categories]],CODEX!$Z:$Z,CODEX!$Y:$Y,""),"00")&amp;
TEXT(COUNTIFS(INDEX(tbl_utilities[Purchase Date],1):tbl_utilities[[#This Row],[Purchase Date]],"&gt;="&amp;DATE(YEAR(tbl_utilities[[#This Row],[Purchase Date]]),MONTH(tbl_utilities[[#This Row],[Purchase Date]]),1),INDEX(tbl_utilities[Purchase Date],1):tbl_utilities[[#This Row],[Purchase Date]],"&lt;"&amp;EDATE(DATE(YEAR(tbl_utilities[[#This Row],[Purchase Date]]),MONTH(tbl_utilities[[#This Row],[Purchase Date]]),1),1),INDEX(tbl_utilities[Categories],1):tbl_utilities[[#This Row],[Categories]],tbl_utilities[[#This Row],[Categories]]),"000"))</f>
        <v/>
      </c>
      <c r="O10" s="13"/>
      <c r="P10" s="13"/>
      <c r="Q10" s="1"/>
      <c r="U10" s="60" t="b">
        <v>0</v>
      </c>
      <c r="V10" t="str">
        <f>_xlfn.IFNA(INDEX(tbl_handover[No. Handover],MATCH(tbl_utilities[[#This Row],[No Asset]],tbl_handover[Asset Code],0)),"")</f>
        <v/>
      </c>
      <c r="X10" t="s">
        <v>869</v>
      </c>
    </row>
    <row r="11" spans="1:24" x14ac:dyDescent="0.25">
      <c r="A11" s="43" t="str">
        <f>IF(tbl_utilities[[#This Row],[No Asset]]&lt;&gt;"",SUBTOTAL(3,INDEX(tbl_utilities[No Asset],1):tbl_utilities[[#This Row],[No Asset]]),"")</f>
        <v/>
      </c>
      <c r="B11" t="str">
        <f>IF(OR(tbl_utilities[[#This Row],[Purchase Date]]="",tbl_utilities[[#This Row],[Categories]]=""),"",
TEXT(tbl_utilities[[#This Row],[Purchase Date]],"YYMM")&amp;
_xlfn.XLOOKUP(tbl_utilities[[#This Row],[Categories]],CODEX!$Z:$Z,CODEX!$W:$W,"")&amp;
TEXT(_xlfn.XLOOKUP(tbl_utilities[[#This Row],[Categories]],CODEX!$Z:$Z,CODEX!$Y:$Y,""),"00")&amp;
TEXT(COUNTIFS(INDEX(tbl_utilities[Purchase Date],1):tbl_utilities[[#This Row],[Purchase Date]],"&gt;="&amp;DATE(YEAR(tbl_utilities[[#This Row],[Purchase Date]]),MONTH(tbl_utilities[[#This Row],[Purchase Date]]),1),INDEX(tbl_utilities[Purchase Date],1):tbl_utilities[[#This Row],[Purchase Date]],"&lt;"&amp;EDATE(DATE(YEAR(tbl_utilities[[#This Row],[Purchase Date]]),MONTH(tbl_utilities[[#This Row],[Purchase Date]]),1),1),INDEX(tbl_utilities[Categories],1):tbl_utilities[[#This Row],[Categories]],tbl_utilities[[#This Row],[Categories]]),"000"))</f>
        <v/>
      </c>
      <c r="O11" s="13"/>
      <c r="P11" s="13"/>
      <c r="Q11" s="1"/>
      <c r="U11" s="60" t="b">
        <v>0</v>
      </c>
      <c r="V11" t="str">
        <f>_xlfn.IFNA(INDEX(tbl_handover[No. Handover],MATCH(tbl_utilities[[#This Row],[No Asset]],tbl_handover[Asset Code],0)),"")</f>
        <v/>
      </c>
      <c r="X11" t="s">
        <v>869</v>
      </c>
    </row>
    <row r="12" spans="1:24" x14ac:dyDescent="0.25">
      <c r="A12" s="43" t="str">
        <f>IF(tbl_utilities[[#This Row],[No Asset]]&lt;&gt;"",SUBTOTAL(3,INDEX(tbl_utilities[No Asset],1):tbl_utilities[[#This Row],[No Asset]]),"")</f>
        <v/>
      </c>
      <c r="B12" t="str">
        <f>IF(OR(tbl_utilities[[#This Row],[Purchase Date]]="",tbl_utilities[[#This Row],[Categories]]=""),"",
TEXT(tbl_utilities[[#This Row],[Purchase Date]],"YYMM")&amp;
_xlfn.XLOOKUP(tbl_utilities[[#This Row],[Categories]],CODEX!$Z:$Z,CODEX!$W:$W,"")&amp;
TEXT(_xlfn.XLOOKUP(tbl_utilities[[#This Row],[Categories]],CODEX!$Z:$Z,CODEX!$Y:$Y,""),"00")&amp;
TEXT(COUNTIFS(INDEX(tbl_utilities[Purchase Date],1):tbl_utilities[[#This Row],[Purchase Date]],"&gt;="&amp;DATE(YEAR(tbl_utilities[[#This Row],[Purchase Date]]),MONTH(tbl_utilities[[#This Row],[Purchase Date]]),1),INDEX(tbl_utilities[Purchase Date],1):tbl_utilities[[#This Row],[Purchase Date]],"&lt;"&amp;EDATE(DATE(YEAR(tbl_utilities[[#This Row],[Purchase Date]]),MONTH(tbl_utilities[[#This Row],[Purchase Date]]),1),1),INDEX(tbl_utilities[Categories],1):tbl_utilities[[#This Row],[Categories]],tbl_utilities[[#This Row],[Categories]]),"000"))</f>
        <v/>
      </c>
      <c r="O12" s="13"/>
      <c r="P12" s="13"/>
      <c r="Q12" s="1"/>
      <c r="U12" s="60" t="b">
        <v>0</v>
      </c>
      <c r="V12" t="str">
        <f>_xlfn.IFNA(INDEX(tbl_handover[No. Handover],MATCH(tbl_utilities[[#This Row],[No Asset]],tbl_handover[Asset Code],0)),"")</f>
        <v/>
      </c>
      <c r="X12" t="s">
        <v>869</v>
      </c>
    </row>
    <row r="13" spans="1:24" x14ac:dyDescent="0.25">
      <c r="A13" s="43" t="str">
        <f>IF(tbl_utilities[[#This Row],[No Asset]]&lt;&gt;"",SUBTOTAL(3,INDEX(tbl_utilities[No Asset],1):tbl_utilities[[#This Row],[No Asset]]),"")</f>
        <v/>
      </c>
      <c r="B13" t="str">
        <f>IF(OR(tbl_utilities[[#This Row],[Purchase Date]]="",tbl_utilities[[#This Row],[Categories]]=""),"",
TEXT(tbl_utilities[[#This Row],[Purchase Date]],"YYMM")&amp;
_xlfn.XLOOKUP(tbl_utilities[[#This Row],[Categories]],CODEX!$Z:$Z,CODEX!$W:$W,"")&amp;
TEXT(_xlfn.XLOOKUP(tbl_utilities[[#This Row],[Categories]],CODEX!$Z:$Z,CODEX!$Y:$Y,""),"00")&amp;
TEXT(COUNTIFS(INDEX(tbl_utilities[Purchase Date],1):tbl_utilities[[#This Row],[Purchase Date]],"&gt;="&amp;DATE(YEAR(tbl_utilities[[#This Row],[Purchase Date]]),MONTH(tbl_utilities[[#This Row],[Purchase Date]]),1),INDEX(tbl_utilities[Purchase Date],1):tbl_utilities[[#This Row],[Purchase Date]],"&lt;"&amp;EDATE(DATE(YEAR(tbl_utilities[[#This Row],[Purchase Date]]),MONTH(tbl_utilities[[#This Row],[Purchase Date]]),1),1),INDEX(tbl_utilities[Categories],1):tbl_utilities[[#This Row],[Categories]],tbl_utilities[[#This Row],[Categories]]),"000"))</f>
        <v/>
      </c>
      <c r="O13" s="13"/>
      <c r="P13" s="13"/>
      <c r="Q13" s="1"/>
      <c r="U13" s="60" t="b">
        <v>0</v>
      </c>
      <c r="V13" t="str">
        <f>_xlfn.IFNA(INDEX(tbl_handover[No. Handover],MATCH(tbl_utilities[[#This Row],[No Asset]],tbl_handover[Asset Code],0)),"")</f>
        <v/>
      </c>
      <c r="X13" t="s">
        <v>869</v>
      </c>
    </row>
    <row r="14" spans="1:24" x14ac:dyDescent="0.25">
      <c r="A14" s="43" t="str">
        <f>IF(tbl_utilities[[#This Row],[No Asset]]&lt;&gt;"",SUBTOTAL(3,INDEX(tbl_utilities[No Asset],1):tbl_utilities[[#This Row],[No Asset]]),"")</f>
        <v/>
      </c>
      <c r="B14" t="str">
        <f>IF(OR(tbl_utilities[[#This Row],[Purchase Date]]="",tbl_utilities[[#This Row],[Categories]]=""),"",
TEXT(tbl_utilities[[#This Row],[Purchase Date]],"YYMM")&amp;
_xlfn.XLOOKUP(tbl_utilities[[#This Row],[Categories]],CODEX!$Z:$Z,CODEX!$W:$W,"")&amp;
TEXT(_xlfn.XLOOKUP(tbl_utilities[[#This Row],[Categories]],CODEX!$Z:$Z,CODEX!$Y:$Y,""),"00")&amp;
TEXT(COUNTIFS(INDEX(tbl_utilities[Purchase Date],1):tbl_utilities[[#This Row],[Purchase Date]],"&gt;="&amp;DATE(YEAR(tbl_utilities[[#This Row],[Purchase Date]]),MONTH(tbl_utilities[[#This Row],[Purchase Date]]),1),INDEX(tbl_utilities[Purchase Date],1):tbl_utilities[[#This Row],[Purchase Date]],"&lt;"&amp;EDATE(DATE(YEAR(tbl_utilities[[#This Row],[Purchase Date]]),MONTH(tbl_utilities[[#This Row],[Purchase Date]]),1),1),INDEX(tbl_utilities[Categories],1):tbl_utilities[[#This Row],[Categories]],tbl_utilities[[#This Row],[Categories]]),"000"))</f>
        <v/>
      </c>
      <c r="O14" s="13"/>
      <c r="P14" s="13"/>
      <c r="Q14" s="1"/>
      <c r="U14" s="60" t="b">
        <v>0</v>
      </c>
      <c r="V14" t="str">
        <f>_xlfn.IFNA(INDEX(tbl_handover[No. Handover],MATCH(tbl_utilities[[#This Row],[No Asset]],tbl_handover[Asset Code],0)),"")</f>
        <v/>
      </c>
      <c r="X14" t="s">
        <v>869</v>
      </c>
    </row>
  </sheetData>
  <mergeCells count="3">
    <mergeCell ref="C1:D1"/>
    <mergeCell ref="Q1:S1"/>
    <mergeCell ref="E1:N1"/>
  </mergeCells>
  <conditionalFormatting sqref="B1:B2">
    <cfRule type="duplicateValues" dxfId="57" priority="1"/>
    <cfRule type="duplicateValues" dxfId="56" priority="2"/>
    <cfRule type="duplicateValues" dxfId="55" priority="3"/>
  </conditionalFormatting>
  <conditionalFormatting sqref="J2:K2">
    <cfRule type="duplicateValues" dxfId="54" priority="4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66E4189-E1C3-4DD1-9A60-47F41F88A5A6}">
          <x14:formula1>
            <xm:f>CODEX!$A$3:$A$7</xm:f>
          </x14:formula1>
          <xm:sqref>E3:E14</xm:sqref>
        </x14:dataValidation>
        <x14:dataValidation type="list" allowBlank="1" showInputMessage="1" showErrorMessage="1" xr:uid="{4D3BF5E5-925A-42B5-BC21-C4910F3D0BFD}">
          <x14:formula1>
            <xm:f>CODEX!$H$3:$H$10</xm:f>
          </x14:formula1>
          <xm:sqref>O3:O14</xm:sqref>
        </x14:dataValidation>
        <x14:dataValidation type="list" allowBlank="1" showInputMessage="1" showErrorMessage="1" xr:uid="{05ED745F-E9B0-48E3-A543-9373E0D17A95}">
          <x14:formula1>
            <xm:f>CODEX!$Z$7</xm:f>
          </x14:formula1>
          <xm:sqref>F3:F1048576</xm:sqref>
        </x14:dataValidation>
        <x14:dataValidation type="list" allowBlank="1" showInputMessage="1" showErrorMessage="1" xr:uid="{3CEA7FD3-18DA-4965-8BF1-EA01A44DF152}">
          <x14:formula1>
            <xm:f>CODEX!$O$3:$O$5</xm:f>
          </x14:formula1>
          <xm:sqref>P15:P61 Q3:Q14</xm:sqref>
        </x14:dataValidation>
        <x14:dataValidation type="list" allowBlank="1" showInputMessage="1" showErrorMessage="1" xr:uid="{CEAB5CF8-A85B-47AB-8929-DFC076073701}">
          <x14:formula1>
            <xm:f>CODEX!$J$3:$J$8</xm:f>
          </x14:formula1>
          <xm:sqref>P3:P14</xm:sqref>
        </x14:dataValidation>
        <x14:dataValidation type="list" allowBlank="1" showInputMessage="1" showErrorMessage="1" xr:uid="{E72EBD93-8ECF-48B3-B971-23D693B06EC1}">
          <x14:formula1>
            <xm:f>CODEX!$AD$41:$AD$45</xm:f>
          </x14:formula1>
          <xm:sqref>G3:G1048576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1B502-4D3E-4D83-A5AE-A7CD4777B969}">
  <dimension ref="A1:AK38"/>
  <sheetViews>
    <sheetView zoomScaleNormal="100" workbookViewId="0">
      <pane xSplit="2" ySplit="2" topLeftCell="C12" activePane="bottomRight" state="frozen"/>
      <selection pane="topRight" activeCell="C1" sqref="C1"/>
      <selection pane="bottomLeft" activeCell="A3" sqref="A3"/>
      <selection pane="bottomRight" activeCell="E19" sqref="E19"/>
    </sheetView>
  </sheetViews>
  <sheetFormatPr defaultRowHeight="15" outlineLevelCol="1" x14ac:dyDescent="0.25"/>
  <cols>
    <col min="1" max="1" width="7.42578125" style="1" customWidth="1"/>
    <col min="2" max="2" width="19.42578125" style="1" bestFit="1" customWidth="1"/>
    <col min="3" max="3" width="17.28515625" style="172" bestFit="1" customWidth="1"/>
    <col min="4" max="4" width="25" customWidth="1"/>
    <col min="5" max="5" width="12.85546875" style="1" bestFit="1" customWidth="1"/>
    <col min="6" max="6" width="24" style="46" customWidth="1"/>
    <col min="7" max="7" width="14.42578125" style="1" bestFit="1" customWidth="1"/>
    <col min="8" max="8" width="22" style="1" bestFit="1" customWidth="1"/>
    <col min="9" max="9" width="93.42578125" bestFit="1" customWidth="1"/>
    <col min="10" max="10" width="15.5703125" bestFit="1" customWidth="1"/>
    <col min="11" max="11" width="31.7109375" style="1" bestFit="1" customWidth="1"/>
    <col min="12" max="12" width="15.5703125" style="1" bestFit="1" customWidth="1"/>
    <col min="13" max="13" width="50.7109375" bestFit="1" customWidth="1"/>
    <col min="14" max="14" width="11.7109375" style="1" hidden="1" customWidth="1" outlineLevel="1"/>
    <col min="15" max="15" width="32.5703125" style="1" bestFit="1" customWidth="1" collapsed="1"/>
    <col min="16" max="16" width="23.85546875" style="1" bestFit="1" customWidth="1"/>
    <col min="17" max="17" width="37.85546875" style="1" bestFit="1" customWidth="1"/>
    <col min="18" max="19" width="16.28515625" style="1" customWidth="1"/>
    <col min="20" max="21" width="18.42578125" style="1" customWidth="1"/>
    <col min="22" max="22" width="19.42578125" style="1" bestFit="1" customWidth="1"/>
    <col min="23" max="23" width="28.5703125" style="1" bestFit="1" customWidth="1"/>
    <col min="24" max="24" width="32.28515625" bestFit="1" customWidth="1"/>
    <col min="25" max="25" width="16.5703125" style="1" bestFit="1" customWidth="1"/>
    <col min="26" max="26" width="17.42578125" style="1" customWidth="1"/>
    <col min="27" max="27" width="23.7109375" style="1" bestFit="1" customWidth="1"/>
    <col min="28" max="28" width="18.85546875" style="1" customWidth="1"/>
    <col min="29" max="29" width="15.5703125" style="1" bestFit="1" customWidth="1"/>
    <col min="30" max="30" width="15.5703125" style="1" customWidth="1"/>
    <col min="31" max="31" width="17.140625" style="1" bestFit="1" customWidth="1"/>
    <col min="32" max="32" width="37.42578125" style="46" customWidth="1"/>
    <col min="33" max="35" width="10.28515625" bestFit="1" customWidth="1"/>
    <col min="36" max="36" width="13.5703125" bestFit="1" customWidth="1"/>
    <col min="37" max="37" width="30.85546875" bestFit="1" customWidth="1"/>
    <col min="38" max="38" width="12.140625" bestFit="1" customWidth="1"/>
  </cols>
  <sheetData>
    <row r="1" spans="1:37" s="12" customFormat="1" ht="20.25" customHeight="1" thickBot="1" x14ac:dyDescent="0.3">
      <c r="A1" s="78">
        <v>6</v>
      </c>
      <c r="B1" s="17" t="s">
        <v>13</v>
      </c>
      <c r="C1" s="184" t="s">
        <v>14</v>
      </c>
      <c r="D1" s="184"/>
      <c r="E1" s="185" t="s">
        <v>870</v>
      </c>
      <c r="F1" s="186"/>
      <c r="G1" s="186"/>
      <c r="H1" s="186"/>
      <c r="I1" s="186"/>
      <c r="J1" s="186"/>
      <c r="K1" s="186"/>
      <c r="L1" s="186"/>
      <c r="M1" s="186"/>
      <c r="N1" s="187"/>
      <c r="O1" s="185" t="s">
        <v>597</v>
      </c>
      <c r="P1" s="186"/>
      <c r="Q1" s="187"/>
      <c r="R1" s="185" t="s">
        <v>598</v>
      </c>
      <c r="S1" s="186"/>
      <c r="T1" s="186"/>
      <c r="U1" s="186"/>
      <c r="V1" s="186"/>
      <c r="W1" s="187"/>
      <c r="X1" s="185" t="s">
        <v>871</v>
      </c>
      <c r="Y1" s="186"/>
      <c r="Z1" s="186"/>
      <c r="AA1" s="186"/>
      <c r="AB1" s="79"/>
      <c r="AC1" s="79"/>
      <c r="AD1" s="79"/>
      <c r="AE1" s="79"/>
      <c r="AF1" s="79"/>
      <c r="AG1" s="189" t="s">
        <v>24</v>
      </c>
      <c r="AH1" s="189"/>
      <c r="AI1" s="189"/>
      <c r="AJ1" s="80"/>
    </row>
    <row r="2" spans="1:37" ht="25.5" x14ac:dyDescent="0.25">
      <c r="A2" s="56" t="s">
        <v>25</v>
      </c>
      <c r="B2" s="56" t="s">
        <v>26</v>
      </c>
      <c r="C2" s="76" t="s">
        <v>27</v>
      </c>
      <c r="D2" s="56" t="s">
        <v>28</v>
      </c>
      <c r="E2" s="56" t="s">
        <v>29</v>
      </c>
      <c r="F2" s="56" t="s">
        <v>30</v>
      </c>
      <c r="G2" s="56" t="s">
        <v>31</v>
      </c>
      <c r="H2" s="56" t="s">
        <v>32</v>
      </c>
      <c r="I2" s="56" t="s">
        <v>33</v>
      </c>
      <c r="J2" s="56" t="s">
        <v>34</v>
      </c>
      <c r="K2" s="56" t="s">
        <v>872</v>
      </c>
      <c r="L2" s="56" t="s">
        <v>36</v>
      </c>
      <c r="M2" s="56" t="s">
        <v>37</v>
      </c>
      <c r="N2" s="61" t="s">
        <v>38</v>
      </c>
      <c r="O2" s="56" t="s">
        <v>602</v>
      </c>
      <c r="P2" s="56" t="s">
        <v>603</v>
      </c>
      <c r="Q2" s="56" t="s">
        <v>604</v>
      </c>
      <c r="R2" s="56" t="s">
        <v>42</v>
      </c>
      <c r="S2" s="56" t="s">
        <v>43</v>
      </c>
      <c r="T2" s="56" t="s">
        <v>44</v>
      </c>
      <c r="U2" s="56" t="s">
        <v>45</v>
      </c>
      <c r="V2" s="56" t="s">
        <v>605</v>
      </c>
      <c r="W2" s="56" t="s">
        <v>606</v>
      </c>
      <c r="X2" s="56" t="s">
        <v>57</v>
      </c>
      <c r="Y2" s="56" t="s">
        <v>58</v>
      </c>
      <c r="Z2" s="57" t="s">
        <v>59</v>
      </c>
      <c r="AA2" s="83" t="s">
        <v>873</v>
      </c>
      <c r="AB2" s="58" t="s">
        <v>63</v>
      </c>
      <c r="AC2" s="58" t="s">
        <v>64</v>
      </c>
      <c r="AD2" s="58" t="s">
        <v>65</v>
      </c>
      <c r="AE2" s="58" t="s">
        <v>66</v>
      </c>
      <c r="AF2" s="58" t="s">
        <v>67</v>
      </c>
      <c r="AG2" s="56" t="s">
        <v>68</v>
      </c>
      <c r="AH2" s="56" t="s">
        <v>69</v>
      </c>
      <c r="AI2" s="56" t="s">
        <v>70</v>
      </c>
      <c r="AJ2" s="59" t="s">
        <v>71</v>
      </c>
      <c r="AK2" s="83" t="s">
        <v>72</v>
      </c>
    </row>
    <row r="3" spans="1:37" x14ac:dyDescent="0.25">
      <c r="A3" s="65">
        <f>IF(tbl_iot[[#This Row],[No Asset]]&lt;&gt;"",SUBTOTAL(3,INDEX(tbl_iot[No Asset],1):tbl_iot[[#This Row],[No Asset]]),"")</f>
        <v>1</v>
      </c>
      <c r="B3" s="13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2601106001</v>
      </c>
      <c r="C3" s="171">
        <v>46023</v>
      </c>
      <c r="D3" s="166" t="s">
        <v>612</v>
      </c>
      <c r="E3" s="13" t="s">
        <v>74</v>
      </c>
      <c r="F3" s="45" t="s">
        <v>646</v>
      </c>
      <c r="G3" s="13" t="s">
        <v>874</v>
      </c>
      <c r="H3" s="13" t="s">
        <v>875</v>
      </c>
      <c r="I3" s="166" t="s">
        <v>876</v>
      </c>
      <c r="J3" s="166" t="s">
        <v>877</v>
      </c>
      <c r="K3" s="170" t="s">
        <v>878</v>
      </c>
      <c r="L3" s="13" t="s">
        <v>879</v>
      </c>
      <c r="M3" s="166" t="s">
        <v>880</v>
      </c>
      <c r="N3" s="13"/>
      <c r="O3" s="45"/>
      <c r="P3" s="13" t="s">
        <v>881</v>
      </c>
      <c r="Q3" s="13" t="s">
        <v>882</v>
      </c>
      <c r="R3" s="13" t="s">
        <v>87</v>
      </c>
      <c r="S3" s="13" t="s">
        <v>883</v>
      </c>
      <c r="T3" s="13" t="s">
        <v>87</v>
      </c>
      <c r="U3" s="13"/>
      <c r="V3" s="13" t="s">
        <v>884</v>
      </c>
      <c r="W3" s="141" t="s">
        <v>885</v>
      </c>
      <c r="X3" s="13" t="s">
        <v>793</v>
      </c>
      <c r="Y3" s="13" t="s">
        <v>886</v>
      </c>
      <c r="Z3" s="13">
        <v>64</v>
      </c>
      <c r="AA3" s="13" t="s">
        <v>887</v>
      </c>
      <c r="AB3" s="13" t="s">
        <v>122</v>
      </c>
      <c r="AC3" s="13" t="s">
        <v>630</v>
      </c>
      <c r="AD3" s="13" t="s">
        <v>105</v>
      </c>
      <c r="AE3" s="13" t="s">
        <v>154</v>
      </c>
      <c r="AF3" s="167" t="s">
        <v>888</v>
      </c>
      <c r="AG3" s="166"/>
      <c r="AH3" s="166"/>
      <c r="AI3" s="166"/>
      <c r="AJ3" s="168" t="b">
        <v>0</v>
      </c>
      <c r="AK3" s="166" t="str">
        <f>_xlfn.IFNA(INDEX(tbl_handover[No. Handover],MATCH(tbl_iot[[#This Row],[No Asset]],tbl_handover[Asset Code],0)),"")</f>
        <v/>
      </c>
    </row>
    <row r="4" spans="1:37" x14ac:dyDescent="0.25">
      <c r="A4" s="65">
        <f>IF(tbl_iot[[#This Row],[No Asset]]&lt;&gt;"",SUBTOTAL(3,INDEX(tbl_iot[No Asset],1):tbl_iot[[#This Row],[No Asset]]),"")</f>
        <v>2</v>
      </c>
      <c r="B4" s="65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2601106002</v>
      </c>
      <c r="C4" s="171">
        <v>46023</v>
      </c>
      <c r="D4" s="166" t="s">
        <v>612</v>
      </c>
      <c r="E4" s="13" t="s">
        <v>74</v>
      </c>
      <c r="F4" s="45" t="s">
        <v>646</v>
      </c>
      <c r="G4" s="13" t="s">
        <v>874</v>
      </c>
      <c r="H4" s="13" t="s">
        <v>875</v>
      </c>
      <c r="I4" s="166" t="s">
        <v>876</v>
      </c>
      <c r="J4" s="166" t="s">
        <v>877</v>
      </c>
      <c r="K4" s="13" t="s">
        <v>889</v>
      </c>
      <c r="L4" s="13" t="s">
        <v>879</v>
      </c>
      <c r="M4" s="166" t="s">
        <v>880</v>
      </c>
      <c r="N4" s="13"/>
      <c r="O4" s="45"/>
      <c r="P4" s="13" t="s">
        <v>881</v>
      </c>
      <c r="Q4" s="13" t="s">
        <v>882</v>
      </c>
      <c r="R4" s="13" t="s">
        <v>87</v>
      </c>
      <c r="S4" s="13" t="s">
        <v>890</v>
      </c>
      <c r="T4" s="13" t="s">
        <v>87</v>
      </c>
      <c r="U4" s="48" t="s">
        <v>891</v>
      </c>
      <c r="V4" s="13" t="s">
        <v>884</v>
      </c>
      <c r="W4" s="141" t="s">
        <v>892</v>
      </c>
      <c r="X4" s="13" t="s">
        <v>793</v>
      </c>
      <c r="Y4" s="13" t="s">
        <v>886</v>
      </c>
      <c r="Z4" s="13">
        <v>64</v>
      </c>
      <c r="AA4" s="13" t="s">
        <v>887</v>
      </c>
      <c r="AB4" s="13" t="s">
        <v>122</v>
      </c>
      <c r="AC4" s="13" t="s">
        <v>630</v>
      </c>
      <c r="AD4" s="13" t="s">
        <v>105</v>
      </c>
      <c r="AE4" s="13" t="s">
        <v>154</v>
      </c>
      <c r="AF4" s="167" t="s">
        <v>893</v>
      </c>
      <c r="AG4" s="166"/>
      <c r="AH4" s="166"/>
      <c r="AI4" s="166"/>
      <c r="AJ4" s="168" t="b">
        <v>0</v>
      </c>
      <c r="AK4" s="166" t="str">
        <f>_xlfn.IFNA(INDEX(tbl_handover[No. Handover],MATCH(tbl_iot[[#This Row],[No Asset]],tbl_handover[Asset Code],0)),"")</f>
        <v/>
      </c>
    </row>
    <row r="5" spans="1:37" x14ac:dyDescent="0.25">
      <c r="A5" s="65">
        <f>IF(tbl_iot[[#This Row],[No Asset]]&lt;&gt;"",SUBTOTAL(3,INDEX(tbl_iot[No Asset],1):tbl_iot[[#This Row],[No Asset]]),"")</f>
        <v>3</v>
      </c>
      <c r="B5" s="65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2601106003</v>
      </c>
      <c r="C5" s="171">
        <v>46023</v>
      </c>
      <c r="D5" s="166" t="s">
        <v>612</v>
      </c>
      <c r="E5" s="13" t="s">
        <v>74</v>
      </c>
      <c r="F5" s="45" t="s">
        <v>656</v>
      </c>
      <c r="G5" s="13" t="s">
        <v>874</v>
      </c>
      <c r="H5" s="13" t="s">
        <v>875</v>
      </c>
      <c r="I5" s="166" t="s">
        <v>876</v>
      </c>
      <c r="J5" s="166" t="s">
        <v>877</v>
      </c>
      <c r="K5" s="170" t="s">
        <v>894</v>
      </c>
      <c r="L5" s="13" t="s">
        <v>879</v>
      </c>
      <c r="M5" s="166" t="s">
        <v>880</v>
      </c>
      <c r="N5" s="13"/>
      <c r="O5" s="45"/>
      <c r="P5" s="13" t="s">
        <v>881</v>
      </c>
      <c r="Q5" s="13" t="s">
        <v>882</v>
      </c>
      <c r="R5" s="13" t="s">
        <v>87</v>
      </c>
      <c r="S5" s="13" t="s">
        <v>895</v>
      </c>
      <c r="T5" s="13" t="s">
        <v>87</v>
      </c>
      <c r="U5" s="48"/>
      <c r="V5" s="13" t="s">
        <v>884</v>
      </c>
      <c r="W5" s="141" t="s">
        <v>896</v>
      </c>
      <c r="X5" s="13" t="s">
        <v>793</v>
      </c>
      <c r="Y5" s="13" t="s">
        <v>886</v>
      </c>
      <c r="Z5" s="13">
        <v>64</v>
      </c>
      <c r="AA5" s="13" t="s">
        <v>887</v>
      </c>
      <c r="AB5" s="13" t="s">
        <v>122</v>
      </c>
      <c r="AC5" s="13" t="s">
        <v>630</v>
      </c>
      <c r="AD5" s="13" t="s">
        <v>105</v>
      </c>
      <c r="AE5" s="13" t="s">
        <v>154</v>
      </c>
      <c r="AF5" s="167" t="s">
        <v>897</v>
      </c>
      <c r="AG5" s="166"/>
      <c r="AH5" s="166"/>
      <c r="AI5" s="166"/>
      <c r="AJ5" s="168" t="b">
        <v>0</v>
      </c>
      <c r="AK5" s="166" t="str">
        <f>_xlfn.IFNA(INDEX(tbl_handover[No. Handover],MATCH(tbl_iot[[#This Row],[No Asset]],tbl_handover[Asset Code],0)),"")</f>
        <v/>
      </c>
    </row>
    <row r="6" spans="1:37" x14ac:dyDescent="0.25">
      <c r="A6" s="65">
        <f>IF(tbl_iot[[#This Row],[No Asset]]&lt;&gt;"",SUBTOTAL(3,INDEX(tbl_iot[No Asset],1):tbl_iot[[#This Row],[No Asset]]),"")</f>
        <v>4</v>
      </c>
      <c r="B6" s="65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2601106004</v>
      </c>
      <c r="C6" s="171">
        <v>46023</v>
      </c>
      <c r="D6" s="166" t="s">
        <v>612</v>
      </c>
      <c r="E6" s="13" t="s">
        <v>74</v>
      </c>
      <c r="F6" s="45" t="s">
        <v>656</v>
      </c>
      <c r="G6" s="13" t="s">
        <v>874</v>
      </c>
      <c r="H6" s="13" t="s">
        <v>875</v>
      </c>
      <c r="I6" s="166" t="s">
        <v>876</v>
      </c>
      <c r="J6" s="166" t="s">
        <v>877</v>
      </c>
      <c r="K6" s="13" t="s">
        <v>898</v>
      </c>
      <c r="L6" s="13" t="s">
        <v>879</v>
      </c>
      <c r="M6" s="166" t="s">
        <v>880</v>
      </c>
      <c r="N6" s="13"/>
      <c r="O6" s="45"/>
      <c r="P6" s="13" t="s">
        <v>881</v>
      </c>
      <c r="Q6" s="13" t="s">
        <v>882</v>
      </c>
      <c r="R6" s="13" t="s">
        <v>87</v>
      </c>
      <c r="S6" s="13" t="s">
        <v>899</v>
      </c>
      <c r="T6" s="13" t="s">
        <v>87</v>
      </c>
      <c r="U6" s="48" t="s">
        <v>900</v>
      </c>
      <c r="V6" s="13" t="s">
        <v>884</v>
      </c>
      <c r="W6" s="141" t="s">
        <v>901</v>
      </c>
      <c r="X6" s="13" t="s">
        <v>793</v>
      </c>
      <c r="Y6" s="13" t="s">
        <v>886</v>
      </c>
      <c r="Z6" s="13">
        <v>64</v>
      </c>
      <c r="AA6" s="13" t="s">
        <v>887</v>
      </c>
      <c r="AB6" s="13" t="s">
        <v>122</v>
      </c>
      <c r="AC6" s="13" t="s">
        <v>630</v>
      </c>
      <c r="AD6" s="13" t="s">
        <v>105</v>
      </c>
      <c r="AE6" s="13" t="s">
        <v>154</v>
      </c>
      <c r="AF6" s="167" t="s">
        <v>902</v>
      </c>
      <c r="AG6" s="166"/>
      <c r="AH6" s="166"/>
      <c r="AI6" s="166"/>
      <c r="AJ6" s="168" t="b">
        <v>0</v>
      </c>
      <c r="AK6" s="166" t="str">
        <f>_xlfn.IFNA(INDEX(tbl_handover[No. Handover],MATCH(tbl_iot[[#This Row],[No Asset]],tbl_handover[Asset Code],0)),"")</f>
        <v/>
      </c>
    </row>
    <row r="7" spans="1:37" x14ac:dyDescent="0.25">
      <c r="A7" s="65">
        <f>IF(tbl_iot[[#This Row],[No Asset]]&lt;&gt;"",SUBTOTAL(3,INDEX(tbl_iot[No Asset],1):tbl_iot[[#This Row],[No Asset]]),"")</f>
        <v>5</v>
      </c>
      <c r="B7" s="65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2601106005</v>
      </c>
      <c r="C7" s="171">
        <v>46023</v>
      </c>
      <c r="D7" s="166" t="s">
        <v>612</v>
      </c>
      <c r="E7" s="13" t="s">
        <v>74</v>
      </c>
      <c r="F7" s="45" t="s">
        <v>646</v>
      </c>
      <c r="G7" s="13" t="s">
        <v>874</v>
      </c>
      <c r="H7" s="13" t="s">
        <v>875</v>
      </c>
      <c r="I7" s="166" t="s">
        <v>903</v>
      </c>
      <c r="J7" s="166" t="s">
        <v>904</v>
      </c>
      <c r="K7" s="13" t="s">
        <v>905</v>
      </c>
      <c r="L7" s="13" t="s">
        <v>903</v>
      </c>
      <c r="M7" s="166" t="s">
        <v>906</v>
      </c>
      <c r="N7" s="13"/>
      <c r="O7" s="45" t="s">
        <v>907</v>
      </c>
      <c r="P7" s="13" t="s">
        <v>908</v>
      </c>
      <c r="Q7" s="13" t="s">
        <v>909</v>
      </c>
      <c r="R7" s="13" t="s">
        <v>87</v>
      </c>
      <c r="S7" s="13" t="s">
        <v>910</v>
      </c>
      <c r="T7" s="13" t="s">
        <v>87</v>
      </c>
      <c r="U7" s="13" t="s">
        <v>911</v>
      </c>
      <c r="V7" s="13" t="s">
        <v>884</v>
      </c>
      <c r="W7" s="13" t="s">
        <v>912</v>
      </c>
      <c r="X7" s="13" t="s">
        <v>913</v>
      </c>
      <c r="Y7" s="13" t="s">
        <v>886</v>
      </c>
      <c r="Z7" s="13">
        <v>128</v>
      </c>
      <c r="AA7" s="13" t="s">
        <v>914</v>
      </c>
      <c r="AB7" s="13" t="s">
        <v>122</v>
      </c>
      <c r="AC7" s="13" t="s">
        <v>630</v>
      </c>
      <c r="AD7" s="13" t="s">
        <v>105</v>
      </c>
      <c r="AE7" s="13" t="s">
        <v>154</v>
      </c>
      <c r="AF7" s="167" t="s">
        <v>915</v>
      </c>
      <c r="AG7" s="166"/>
      <c r="AH7" s="166"/>
      <c r="AI7" s="166"/>
      <c r="AJ7" s="168" t="b">
        <v>0</v>
      </c>
      <c r="AK7" s="166" t="str">
        <f>_xlfn.IFNA(INDEX(tbl_handover[No. Handover],MATCH(tbl_iot[[#This Row],[No Asset]],tbl_handover[Asset Code],0)),"")</f>
        <v/>
      </c>
    </row>
    <row r="8" spans="1:37" x14ac:dyDescent="0.25">
      <c r="A8" s="65">
        <f>IF(tbl_iot[[#This Row],[No Asset]]&lt;&gt;"",SUBTOTAL(3,INDEX(tbl_iot[No Asset],1):tbl_iot[[#This Row],[No Asset]]),"")</f>
        <v>6</v>
      </c>
      <c r="B8" s="65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2601106006</v>
      </c>
      <c r="C8" s="171">
        <v>46023</v>
      </c>
      <c r="D8" s="166" t="s">
        <v>612</v>
      </c>
      <c r="E8" s="13" t="s">
        <v>74</v>
      </c>
      <c r="F8" s="45" t="s">
        <v>646</v>
      </c>
      <c r="G8" s="13" t="s">
        <v>874</v>
      </c>
      <c r="H8" s="13" t="s">
        <v>875</v>
      </c>
      <c r="I8" s="166" t="s">
        <v>903</v>
      </c>
      <c r="J8" s="166" t="s">
        <v>904</v>
      </c>
      <c r="K8" s="13" t="s">
        <v>916</v>
      </c>
      <c r="L8" s="13" t="s">
        <v>903</v>
      </c>
      <c r="M8" s="166" t="s">
        <v>906</v>
      </c>
      <c r="N8" s="13"/>
      <c r="O8" s="45" t="s">
        <v>907</v>
      </c>
      <c r="P8" s="13" t="s">
        <v>908</v>
      </c>
      <c r="Q8" s="13" t="s">
        <v>909</v>
      </c>
      <c r="R8" s="13" t="s">
        <v>87</v>
      </c>
      <c r="S8" s="13" t="s">
        <v>917</v>
      </c>
      <c r="T8" s="13" t="s">
        <v>87</v>
      </c>
      <c r="U8" s="13" t="s">
        <v>918</v>
      </c>
      <c r="V8" s="13" t="s">
        <v>884</v>
      </c>
      <c r="W8" s="13" t="s">
        <v>919</v>
      </c>
      <c r="X8" s="13" t="s">
        <v>913</v>
      </c>
      <c r="Y8" s="13" t="s">
        <v>886</v>
      </c>
      <c r="Z8" s="13">
        <v>128</v>
      </c>
      <c r="AA8" s="13" t="s">
        <v>914</v>
      </c>
      <c r="AB8" s="13" t="s">
        <v>122</v>
      </c>
      <c r="AC8" s="13" t="s">
        <v>630</v>
      </c>
      <c r="AD8" s="13" t="s">
        <v>105</v>
      </c>
      <c r="AE8" s="13" t="s">
        <v>154</v>
      </c>
      <c r="AF8" s="167" t="s">
        <v>920</v>
      </c>
      <c r="AG8" s="166"/>
      <c r="AH8" s="166"/>
      <c r="AI8" s="166"/>
      <c r="AJ8" s="168" t="b">
        <v>0</v>
      </c>
      <c r="AK8" s="166" t="str">
        <f>_xlfn.IFNA(INDEX(tbl_handover[No. Handover],MATCH(tbl_iot[[#This Row],[No Asset]],tbl_handover[Asset Code],0)),"")</f>
        <v/>
      </c>
    </row>
    <row r="9" spans="1:37" x14ac:dyDescent="0.25">
      <c r="A9" s="65">
        <f>IF(tbl_iot[[#This Row],[No Asset]]&lt;&gt;"",SUBTOTAL(3,INDEX(tbl_iot[No Asset],1):tbl_iot[[#This Row],[No Asset]]),"")</f>
        <v>7</v>
      </c>
      <c r="B9" s="65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2601106007</v>
      </c>
      <c r="C9" s="171">
        <v>46023</v>
      </c>
      <c r="D9" s="166" t="s">
        <v>612</v>
      </c>
      <c r="E9" s="13" t="s">
        <v>74</v>
      </c>
      <c r="F9" s="45" t="s">
        <v>656</v>
      </c>
      <c r="G9" s="13" t="s">
        <v>874</v>
      </c>
      <c r="H9" s="13" t="s">
        <v>875</v>
      </c>
      <c r="I9" s="166" t="s">
        <v>903</v>
      </c>
      <c r="J9" s="166" t="s">
        <v>904</v>
      </c>
      <c r="K9" s="13" t="s">
        <v>921</v>
      </c>
      <c r="L9" s="13" t="s">
        <v>903</v>
      </c>
      <c r="M9" s="166" t="s">
        <v>906</v>
      </c>
      <c r="N9" s="13"/>
      <c r="O9" s="45" t="s">
        <v>907</v>
      </c>
      <c r="P9" s="13" t="s">
        <v>908</v>
      </c>
      <c r="Q9" s="13" t="s">
        <v>909</v>
      </c>
      <c r="R9" s="13" t="s">
        <v>87</v>
      </c>
      <c r="S9" s="13" t="s">
        <v>922</v>
      </c>
      <c r="T9" s="13" t="s">
        <v>87</v>
      </c>
      <c r="U9" s="13" t="s">
        <v>923</v>
      </c>
      <c r="V9" s="13" t="s">
        <v>884</v>
      </c>
      <c r="W9" s="13" t="s">
        <v>924</v>
      </c>
      <c r="X9" s="13" t="s">
        <v>913</v>
      </c>
      <c r="Y9" s="13" t="s">
        <v>886</v>
      </c>
      <c r="Z9" s="13">
        <v>128</v>
      </c>
      <c r="AA9" s="13" t="s">
        <v>914</v>
      </c>
      <c r="AB9" s="13" t="s">
        <v>122</v>
      </c>
      <c r="AC9" s="13" t="s">
        <v>630</v>
      </c>
      <c r="AD9" s="13" t="s">
        <v>105</v>
      </c>
      <c r="AE9" s="13" t="s">
        <v>154</v>
      </c>
      <c r="AF9" s="167" t="s">
        <v>925</v>
      </c>
      <c r="AG9" s="166"/>
      <c r="AH9" s="166"/>
      <c r="AI9" s="166"/>
      <c r="AJ9" s="168" t="b">
        <v>0</v>
      </c>
      <c r="AK9" s="166" t="str">
        <f>_xlfn.IFNA(INDEX(tbl_handover[No. Handover],MATCH(tbl_iot[[#This Row],[No Asset]],tbl_handover[Asset Code],0)),"")</f>
        <v/>
      </c>
    </row>
    <row r="10" spans="1:37" x14ac:dyDescent="0.25">
      <c r="A10" s="65">
        <f>IF(tbl_iot[[#This Row],[No Asset]]&lt;&gt;"",SUBTOTAL(3,INDEX(tbl_iot[No Asset],1):tbl_iot[[#This Row],[No Asset]]),"")</f>
        <v>8</v>
      </c>
      <c r="B10" s="65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2601106008</v>
      </c>
      <c r="C10" s="171">
        <v>46023</v>
      </c>
      <c r="D10" s="166" t="s">
        <v>612</v>
      </c>
      <c r="E10" s="13" t="s">
        <v>74</v>
      </c>
      <c r="F10" s="45" t="s">
        <v>656</v>
      </c>
      <c r="G10" s="13" t="s">
        <v>874</v>
      </c>
      <c r="H10" s="13" t="s">
        <v>875</v>
      </c>
      <c r="I10" s="166" t="s">
        <v>903</v>
      </c>
      <c r="J10" s="166" t="s">
        <v>904</v>
      </c>
      <c r="K10" s="13" t="s">
        <v>926</v>
      </c>
      <c r="L10" s="13" t="s">
        <v>903</v>
      </c>
      <c r="M10" s="166" t="s">
        <v>906</v>
      </c>
      <c r="N10" s="13"/>
      <c r="O10" s="45" t="s">
        <v>907</v>
      </c>
      <c r="P10" s="13" t="s">
        <v>908</v>
      </c>
      <c r="Q10" s="13" t="s">
        <v>909</v>
      </c>
      <c r="R10" s="13" t="s">
        <v>87</v>
      </c>
      <c r="S10" s="13" t="s">
        <v>927</v>
      </c>
      <c r="T10" s="13" t="s">
        <v>87</v>
      </c>
      <c r="U10" s="13" t="s">
        <v>928</v>
      </c>
      <c r="V10" s="13" t="s">
        <v>884</v>
      </c>
      <c r="W10" s="13" t="s">
        <v>929</v>
      </c>
      <c r="X10" s="13" t="s">
        <v>913</v>
      </c>
      <c r="Y10" s="13" t="s">
        <v>886</v>
      </c>
      <c r="Z10" s="13">
        <v>128</v>
      </c>
      <c r="AA10" s="13" t="s">
        <v>914</v>
      </c>
      <c r="AB10" s="13" t="s">
        <v>122</v>
      </c>
      <c r="AC10" s="13" t="s">
        <v>630</v>
      </c>
      <c r="AD10" s="13" t="s">
        <v>105</v>
      </c>
      <c r="AE10" s="13" t="s">
        <v>154</v>
      </c>
      <c r="AF10" s="167" t="s">
        <v>930</v>
      </c>
      <c r="AG10" s="166"/>
      <c r="AH10" s="166"/>
      <c r="AI10" s="166"/>
      <c r="AJ10" s="168" t="b">
        <v>0</v>
      </c>
      <c r="AK10" s="166" t="str">
        <f>_xlfn.IFNA(INDEX(tbl_handover[No. Handover],MATCH(tbl_iot[[#This Row],[No Asset]],tbl_handover[Asset Code],0)),"")</f>
        <v/>
      </c>
    </row>
    <row r="11" spans="1:37" x14ac:dyDescent="0.25">
      <c r="A11" s="65">
        <f>IF(tbl_iot[[#This Row],[No Asset]]&lt;&gt;"",SUBTOTAL(3,INDEX(tbl_iot[No Asset],1):tbl_iot[[#This Row],[No Asset]]),"")</f>
        <v>9</v>
      </c>
      <c r="B11" s="65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2601106009</v>
      </c>
      <c r="C11" s="171">
        <v>46023</v>
      </c>
      <c r="D11" s="166" t="s">
        <v>612</v>
      </c>
      <c r="E11" s="13" t="s">
        <v>74</v>
      </c>
      <c r="F11" s="45" t="s">
        <v>646</v>
      </c>
      <c r="G11" s="13" t="s">
        <v>874</v>
      </c>
      <c r="H11" s="13" t="s">
        <v>875</v>
      </c>
      <c r="I11" s="166" t="s">
        <v>931</v>
      </c>
      <c r="J11" s="166" t="s">
        <v>932</v>
      </c>
      <c r="K11" s="65">
        <v>1424025022762</v>
      </c>
      <c r="L11" s="13" t="s">
        <v>933</v>
      </c>
      <c r="M11" s="166" t="s">
        <v>934</v>
      </c>
      <c r="N11" s="13"/>
      <c r="O11" s="45" t="s">
        <v>935</v>
      </c>
      <c r="P11" s="13" t="s">
        <v>936</v>
      </c>
      <c r="Q11" s="13" t="s">
        <v>937</v>
      </c>
      <c r="R11" s="13" t="s">
        <v>87</v>
      </c>
      <c r="S11" s="13" t="s">
        <v>938</v>
      </c>
      <c r="T11" s="13" t="s">
        <v>87</v>
      </c>
      <c r="U11" s="13" t="s">
        <v>939</v>
      </c>
      <c r="V11" s="13" t="s">
        <v>884</v>
      </c>
      <c r="W11" s="13" t="s">
        <v>940</v>
      </c>
      <c r="X11" s="44" t="s">
        <v>941</v>
      </c>
      <c r="Y11" s="13" t="s">
        <v>942</v>
      </c>
      <c r="Z11" s="13">
        <v>128</v>
      </c>
      <c r="AA11" s="13" t="s">
        <v>943</v>
      </c>
      <c r="AB11" s="13" t="s">
        <v>122</v>
      </c>
      <c r="AC11" s="13" t="s">
        <v>630</v>
      </c>
      <c r="AD11" s="13" t="s">
        <v>105</v>
      </c>
      <c r="AE11" s="13" t="s">
        <v>154</v>
      </c>
      <c r="AF11" s="167" t="s">
        <v>944</v>
      </c>
      <c r="AG11" s="166"/>
      <c r="AH11" s="166"/>
      <c r="AI11" s="166"/>
      <c r="AJ11" s="168" t="b">
        <v>0</v>
      </c>
      <c r="AK11" s="166" t="str">
        <f>_xlfn.IFNA(INDEX(tbl_handover[No. Handover],MATCH(tbl_iot[[#This Row],[No Asset]],tbl_handover[Asset Code],0)),"")</f>
        <v/>
      </c>
    </row>
    <row r="12" spans="1:37" x14ac:dyDescent="0.25">
      <c r="A12" s="65">
        <f>IF(tbl_iot[[#This Row],[No Asset]]&lt;&gt;"",SUBTOTAL(3,INDEX(tbl_iot[No Asset],1):tbl_iot[[#This Row],[No Asset]]),"")</f>
        <v>10</v>
      </c>
      <c r="B12" s="65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2601106010</v>
      </c>
      <c r="C12" s="171">
        <v>46023</v>
      </c>
      <c r="D12" s="166" t="s">
        <v>612</v>
      </c>
      <c r="E12" s="13" t="s">
        <v>74</v>
      </c>
      <c r="F12" s="45" t="s">
        <v>646</v>
      </c>
      <c r="G12" s="13" t="s">
        <v>874</v>
      </c>
      <c r="H12" s="13" t="s">
        <v>875</v>
      </c>
      <c r="I12" s="166" t="s">
        <v>931</v>
      </c>
      <c r="J12" s="166" t="s">
        <v>945</v>
      </c>
      <c r="K12" s="65">
        <v>1424025022282</v>
      </c>
      <c r="L12" s="13" t="s">
        <v>933</v>
      </c>
      <c r="M12" s="166" t="s">
        <v>934</v>
      </c>
      <c r="N12" s="13"/>
      <c r="O12" s="45" t="s">
        <v>935</v>
      </c>
      <c r="P12" s="13" t="s">
        <v>936</v>
      </c>
      <c r="Q12" s="13" t="s">
        <v>937</v>
      </c>
      <c r="R12" s="13" t="s">
        <v>87</v>
      </c>
      <c r="S12" s="13" t="s">
        <v>946</v>
      </c>
      <c r="T12" s="13" t="s">
        <v>87</v>
      </c>
      <c r="U12" s="13" t="s">
        <v>947</v>
      </c>
      <c r="V12" s="13" t="s">
        <v>884</v>
      </c>
      <c r="W12" s="13" t="s">
        <v>948</v>
      </c>
      <c r="X12" s="44" t="s">
        <v>941</v>
      </c>
      <c r="Y12" s="13" t="s">
        <v>942</v>
      </c>
      <c r="Z12" s="13">
        <v>128</v>
      </c>
      <c r="AA12" s="13" t="s">
        <v>943</v>
      </c>
      <c r="AB12" s="13" t="s">
        <v>122</v>
      </c>
      <c r="AC12" s="13" t="s">
        <v>630</v>
      </c>
      <c r="AD12" s="13" t="s">
        <v>105</v>
      </c>
      <c r="AE12" s="13" t="s">
        <v>154</v>
      </c>
      <c r="AF12" s="167" t="s">
        <v>949</v>
      </c>
      <c r="AG12" s="166"/>
      <c r="AH12" s="166"/>
      <c r="AI12" s="166"/>
      <c r="AJ12" s="168" t="b">
        <v>0</v>
      </c>
      <c r="AK12" s="166" t="str">
        <f>_xlfn.IFNA(INDEX(tbl_handover[No. Handover],MATCH(tbl_iot[[#This Row],[No Asset]],tbl_handover[Asset Code],0)),"")</f>
        <v/>
      </c>
    </row>
    <row r="13" spans="1:37" x14ac:dyDescent="0.25">
      <c r="A13" s="65">
        <f>IF(tbl_iot[[#This Row],[No Asset]]&lt;&gt;"",SUBTOTAL(3,INDEX(tbl_iot[No Asset],1):tbl_iot[[#This Row],[No Asset]]),"")</f>
        <v>11</v>
      </c>
      <c r="B13" s="13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2601106011</v>
      </c>
      <c r="C13" s="171">
        <v>46023</v>
      </c>
      <c r="D13" s="166" t="s">
        <v>612</v>
      </c>
      <c r="E13" s="13" t="s">
        <v>74</v>
      </c>
      <c r="F13" s="45" t="s">
        <v>646</v>
      </c>
      <c r="G13" s="13" t="s">
        <v>874</v>
      </c>
      <c r="H13" s="13" t="s">
        <v>875</v>
      </c>
      <c r="I13" s="166" t="s">
        <v>931</v>
      </c>
      <c r="J13" s="166" t="s">
        <v>950</v>
      </c>
      <c r="K13" s="65">
        <v>1424025022141</v>
      </c>
      <c r="L13" s="13" t="s">
        <v>933</v>
      </c>
      <c r="M13" s="166" t="s">
        <v>934</v>
      </c>
      <c r="N13" s="13"/>
      <c r="O13" s="45" t="s">
        <v>935</v>
      </c>
      <c r="P13" s="13" t="s">
        <v>936</v>
      </c>
      <c r="Q13" s="13" t="s">
        <v>937</v>
      </c>
      <c r="R13" s="13" t="s">
        <v>87</v>
      </c>
      <c r="S13" s="13" t="s">
        <v>951</v>
      </c>
      <c r="T13" s="13" t="s">
        <v>87</v>
      </c>
      <c r="U13" s="13" t="s">
        <v>952</v>
      </c>
      <c r="V13" s="13" t="s">
        <v>884</v>
      </c>
      <c r="W13" s="13" t="s">
        <v>953</v>
      </c>
      <c r="X13" s="44" t="s">
        <v>941</v>
      </c>
      <c r="Y13" s="13" t="s">
        <v>942</v>
      </c>
      <c r="Z13" s="13">
        <v>128</v>
      </c>
      <c r="AA13" s="13" t="s">
        <v>943</v>
      </c>
      <c r="AB13" s="13" t="s">
        <v>122</v>
      </c>
      <c r="AC13" s="13" t="s">
        <v>630</v>
      </c>
      <c r="AD13" s="13" t="s">
        <v>105</v>
      </c>
      <c r="AE13" s="13" t="s">
        <v>154</v>
      </c>
      <c r="AF13" s="167" t="s">
        <v>954</v>
      </c>
      <c r="AG13" s="166"/>
      <c r="AH13" s="166"/>
      <c r="AI13" s="166"/>
      <c r="AJ13" s="168" t="b">
        <v>0</v>
      </c>
      <c r="AK13" s="168" t="str">
        <f>_xlfn.IFNA(INDEX(tbl_handover[No. Handover],MATCH(tbl_iot[[#This Row],[No Asset]],tbl_handover[Asset Code],0)),"")</f>
        <v/>
      </c>
    </row>
    <row r="14" spans="1:37" x14ac:dyDescent="0.25">
      <c r="A14" s="65">
        <f>IF(tbl_iot[[#This Row],[No Asset]]&lt;&gt;"",SUBTOTAL(3,INDEX(tbl_iot[No Asset],1):tbl_iot[[#This Row],[No Asset]]),"")</f>
        <v>12</v>
      </c>
      <c r="B14" s="13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2601106012</v>
      </c>
      <c r="C14" s="171">
        <v>46023</v>
      </c>
      <c r="D14" s="166" t="s">
        <v>612</v>
      </c>
      <c r="E14" s="13" t="s">
        <v>74</v>
      </c>
      <c r="F14" s="45" t="s">
        <v>646</v>
      </c>
      <c r="G14" s="13" t="s">
        <v>874</v>
      </c>
      <c r="H14" s="13" t="s">
        <v>875</v>
      </c>
      <c r="I14" s="166" t="s">
        <v>931</v>
      </c>
      <c r="J14" s="166" t="s">
        <v>950</v>
      </c>
      <c r="K14" s="65">
        <v>1424025022539</v>
      </c>
      <c r="L14" s="13" t="s">
        <v>933</v>
      </c>
      <c r="M14" s="166" t="s">
        <v>934</v>
      </c>
      <c r="N14" s="13"/>
      <c r="O14" s="45" t="s">
        <v>935</v>
      </c>
      <c r="P14" s="13" t="s">
        <v>936</v>
      </c>
      <c r="Q14" s="13" t="s">
        <v>937</v>
      </c>
      <c r="R14" s="13" t="s">
        <v>87</v>
      </c>
      <c r="S14" s="13" t="s">
        <v>955</v>
      </c>
      <c r="T14" s="13" t="s">
        <v>87</v>
      </c>
      <c r="U14" s="13" t="s">
        <v>956</v>
      </c>
      <c r="V14" s="13" t="s">
        <v>884</v>
      </c>
      <c r="W14" s="13" t="s">
        <v>957</v>
      </c>
      <c r="X14" s="44" t="s">
        <v>941</v>
      </c>
      <c r="Y14" s="13" t="s">
        <v>942</v>
      </c>
      <c r="Z14" s="13">
        <v>128</v>
      </c>
      <c r="AA14" s="13" t="s">
        <v>943</v>
      </c>
      <c r="AB14" s="13" t="s">
        <v>122</v>
      </c>
      <c r="AC14" s="13" t="s">
        <v>630</v>
      </c>
      <c r="AD14" s="13" t="s">
        <v>105</v>
      </c>
      <c r="AE14" s="13" t="s">
        <v>154</v>
      </c>
      <c r="AF14" s="167" t="s">
        <v>958</v>
      </c>
      <c r="AG14" s="166"/>
      <c r="AH14" s="166"/>
      <c r="AI14" s="166"/>
      <c r="AJ14" s="168" t="b">
        <v>0</v>
      </c>
      <c r="AK14" s="168" t="str">
        <f>_xlfn.IFNA(INDEX(tbl_handover[No. Handover],MATCH(tbl_iot[[#This Row],[No Asset]],tbl_handover[Asset Code],0)),"")</f>
        <v/>
      </c>
    </row>
    <row r="15" spans="1:37" x14ac:dyDescent="0.25">
      <c r="A15" s="65">
        <f>IF(tbl_iot[[#This Row],[No Asset]]&lt;&gt;"",SUBTOTAL(3,INDEX(tbl_iot[No Asset],1):tbl_iot[[#This Row],[No Asset]]),"")</f>
        <v>13</v>
      </c>
      <c r="B15" s="13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2601106013</v>
      </c>
      <c r="C15" s="171">
        <v>46023</v>
      </c>
      <c r="D15" s="166" t="s">
        <v>612</v>
      </c>
      <c r="E15" s="13" t="s">
        <v>74</v>
      </c>
      <c r="F15" s="45" t="s">
        <v>646</v>
      </c>
      <c r="G15" s="13" t="s">
        <v>874</v>
      </c>
      <c r="H15" s="13" t="s">
        <v>875</v>
      </c>
      <c r="I15" s="166" t="s">
        <v>931</v>
      </c>
      <c r="J15" s="166" t="s">
        <v>950</v>
      </c>
      <c r="K15" s="65">
        <v>1424025022535</v>
      </c>
      <c r="L15" s="13" t="s">
        <v>933</v>
      </c>
      <c r="M15" s="166" t="s">
        <v>934</v>
      </c>
      <c r="N15" s="13"/>
      <c r="O15" s="45" t="s">
        <v>935</v>
      </c>
      <c r="P15" s="13" t="s">
        <v>936</v>
      </c>
      <c r="Q15" s="13" t="s">
        <v>937</v>
      </c>
      <c r="R15" s="13" t="s">
        <v>87</v>
      </c>
      <c r="S15" s="13" t="s">
        <v>955</v>
      </c>
      <c r="T15" s="13" t="s">
        <v>87</v>
      </c>
      <c r="U15" s="13" t="s">
        <v>959</v>
      </c>
      <c r="V15" s="13" t="s">
        <v>884</v>
      </c>
      <c r="W15" s="13" t="s">
        <v>960</v>
      </c>
      <c r="X15" s="44" t="s">
        <v>941</v>
      </c>
      <c r="Y15" s="13" t="s">
        <v>942</v>
      </c>
      <c r="Z15" s="13">
        <v>128</v>
      </c>
      <c r="AA15" s="13" t="s">
        <v>943</v>
      </c>
      <c r="AB15" s="13" t="s">
        <v>122</v>
      </c>
      <c r="AC15" s="13" t="s">
        <v>630</v>
      </c>
      <c r="AD15" s="13" t="s">
        <v>105</v>
      </c>
      <c r="AE15" s="13" t="s">
        <v>154</v>
      </c>
      <c r="AF15" s="167" t="s">
        <v>961</v>
      </c>
      <c r="AG15" s="166"/>
      <c r="AH15" s="166"/>
      <c r="AI15" s="166"/>
      <c r="AJ15" s="168" t="b">
        <v>0</v>
      </c>
      <c r="AK15" s="168" t="str">
        <f>_xlfn.IFNA(INDEX(tbl_handover[No. Handover],MATCH(tbl_iot[[#This Row],[No Asset]],tbl_handover[Asset Code],0)),"")</f>
        <v/>
      </c>
    </row>
    <row r="16" spans="1:37" x14ac:dyDescent="0.25">
      <c r="A16" s="65">
        <f>IF(tbl_iot[[#This Row],[No Asset]]&lt;&gt;"",SUBTOTAL(3,INDEX(tbl_iot[No Asset],1):tbl_iot[[#This Row],[No Asset]]),"")</f>
        <v>14</v>
      </c>
      <c r="B16" s="13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2601106014</v>
      </c>
      <c r="C16" s="171">
        <v>46023</v>
      </c>
      <c r="D16" s="166" t="s">
        <v>612</v>
      </c>
      <c r="E16" s="13" t="s">
        <v>74</v>
      </c>
      <c r="F16" s="45" t="s">
        <v>656</v>
      </c>
      <c r="G16" s="13" t="s">
        <v>874</v>
      </c>
      <c r="H16" s="13" t="s">
        <v>875</v>
      </c>
      <c r="I16" s="166" t="s">
        <v>931</v>
      </c>
      <c r="J16" s="166" t="s">
        <v>932</v>
      </c>
      <c r="K16" s="65">
        <v>1424025022309</v>
      </c>
      <c r="L16" s="13" t="s">
        <v>933</v>
      </c>
      <c r="M16" s="166" t="s">
        <v>934</v>
      </c>
      <c r="N16" s="13"/>
      <c r="O16" s="45" t="s">
        <v>935</v>
      </c>
      <c r="P16" s="13" t="s">
        <v>936</v>
      </c>
      <c r="Q16" s="13" t="s">
        <v>937</v>
      </c>
      <c r="R16" s="13" t="s">
        <v>87</v>
      </c>
      <c r="S16" s="13" t="s">
        <v>962</v>
      </c>
      <c r="T16" s="13" t="s">
        <v>87</v>
      </c>
      <c r="U16" s="13" t="s">
        <v>963</v>
      </c>
      <c r="V16" s="13" t="s">
        <v>884</v>
      </c>
      <c r="W16" s="13" t="s">
        <v>940</v>
      </c>
      <c r="X16" s="44" t="s">
        <v>941</v>
      </c>
      <c r="Y16" s="13" t="s">
        <v>942</v>
      </c>
      <c r="Z16" s="13">
        <v>128</v>
      </c>
      <c r="AA16" s="13" t="s">
        <v>943</v>
      </c>
      <c r="AB16" s="13" t="s">
        <v>122</v>
      </c>
      <c r="AC16" s="13" t="s">
        <v>630</v>
      </c>
      <c r="AD16" s="13" t="s">
        <v>105</v>
      </c>
      <c r="AE16" s="13" t="s">
        <v>154</v>
      </c>
      <c r="AF16" s="167" t="s">
        <v>964</v>
      </c>
      <c r="AG16" s="166"/>
      <c r="AH16" s="166"/>
      <c r="AI16" s="166"/>
      <c r="AJ16" s="168" t="b">
        <v>0</v>
      </c>
      <c r="AK16" s="168" t="str">
        <f>_xlfn.IFNA(INDEX(tbl_handover[No. Handover],MATCH(tbl_iot[[#This Row],[No Asset]],tbl_handover[Asset Code],0)),"")</f>
        <v/>
      </c>
    </row>
    <row r="17" spans="1:37" x14ac:dyDescent="0.25">
      <c r="A17" s="65">
        <f>IF(tbl_iot[[#This Row],[No Asset]]&lt;&gt;"",SUBTOTAL(3,INDEX(tbl_iot[No Asset],1):tbl_iot[[#This Row],[No Asset]]),"")</f>
        <v>15</v>
      </c>
      <c r="B17" s="13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2601106015</v>
      </c>
      <c r="C17" s="171">
        <v>46023</v>
      </c>
      <c r="D17" s="166" t="s">
        <v>612</v>
      </c>
      <c r="E17" s="13" t="s">
        <v>74</v>
      </c>
      <c r="F17" s="45" t="s">
        <v>656</v>
      </c>
      <c r="G17" s="13" t="s">
        <v>874</v>
      </c>
      <c r="H17" s="13" t="s">
        <v>875</v>
      </c>
      <c r="I17" s="166" t="s">
        <v>931</v>
      </c>
      <c r="J17" s="166" t="s">
        <v>945</v>
      </c>
      <c r="K17" s="65">
        <v>1424025022137</v>
      </c>
      <c r="L17" s="13" t="s">
        <v>933</v>
      </c>
      <c r="M17" s="166" t="s">
        <v>934</v>
      </c>
      <c r="N17" s="13"/>
      <c r="O17" s="45" t="s">
        <v>935</v>
      </c>
      <c r="P17" s="13" t="s">
        <v>936</v>
      </c>
      <c r="Q17" s="13" t="s">
        <v>937</v>
      </c>
      <c r="R17" s="13" t="s">
        <v>87</v>
      </c>
      <c r="S17" s="13" t="s">
        <v>965</v>
      </c>
      <c r="T17" s="13" t="s">
        <v>87</v>
      </c>
      <c r="U17" s="13" t="s">
        <v>966</v>
      </c>
      <c r="V17" s="13" t="s">
        <v>884</v>
      </c>
      <c r="W17" s="13" t="s">
        <v>948</v>
      </c>
      <c r="X17" s="44" t="s">
        <v>941</v>
      </c>
      <c r="Y17" s="13" t="s">
        <v>942</v>
      </c>
      <c r="Z17" s="13">
        <v>128</v>
      </c>
      <c r="AA17" s="13" t="s">
        <v>943</v>
      </c>
      <c r="AB17" s="13" t="s">
        <v>122</v>
      </c>
      <c r="AC17" s="13" t="s">
        <v>630</v>
      </c>
      <c r="AD17" s="13" t="s">
        <v>105</v>
      </c>
      <c r="AE17" s="13" t="s">
        <v>154</v>
      </c>
      <c r="AF17" s="167" t="s">
        <v>967</v>
      </c>
      <c r="AG17" s="166"/>
      <c r="AH17" s="166"/>
      <c r="AI17" s="166"/>
      <c r="AJ17" s="168" t="b">
        <v>0</v>
      </c>
      <c r="AK17" s="168" t="str">
        <f>_xlfn.IFNA(INDEX(tbl_handover[No. Handover],MATCH(tbl_iot[[#This Row],[No Asset]],tbl_handover[Asset Code],0)),"")</f>
        <v/>
      </c>
    </row>
    <row r="18" spans="1:37" x14ac:dyDescent="0.25">
      <c r="A18" s="65">
        <f>IF(tbl_iot[[#This Row],[No Asset]]&lt;&gt;"",SUBTOTAL(3,INDEX(tbl_iot[No Asset],1):tbl_iot[[#This Row],[No Asset]]),"")</f>
        <v>16</v>
      </c>
      <c r="B18" s="13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2601106016</v>
      </c>
      <c r="C18" s="171">
        <v>46023</v>
      </c>
      <c r="D18" s="166" t="s">
        <v>612</v>
      </c>
      <c r="E18" s="13" t="s">
        <v>74</v>
      </c>
      <c r="F18" s="45" t="s">
        <v>656</v>
      </c>
      <c r="G18" s="13" t="s">
        <v>874</v>
      </c>
      <c r="H18" s="13" t="s">
        <v>875</v>
      </c>
      <c r="I18" s="166" t="s">
        <v>931</v>
      </c>
      <c r="J18" s="166" t="s">
        <v>950</v>
      </c>
      <c r="K18" s="65">
        <v>1424025021157</v>
      </c>
      <c r="L18" s="13" t="s">
        <v>933</v>
      </c>
      <c r="M18" s="166" t="s">
        <v>934</v>
      </c>
      <c r="N18" s="13"/>
      <c r="O18" s="45" t="s">
        <v>935</v>
      </c>
      <c r="P18" s="13" t="s">
        <v>936</v>
      </c>
      <c r="Q18" s="13" t="s">
        <v>937</v>
      </c>
      <c r="R18" s="13" t="s">
        <v>87</v>
      </c>
      <c r="S18" s="13" t="s">
        <v>968</v>
      </c>
      <c r="T18" s="13" t="s">
        <v>87</v>
      </c>
      <c r="U18" s="13" t="s">
        <v>969</v>
      </c>
      <c r="V18" s="13" t="s">
        <v>884</v>
      </c>
      <c r="W18" s="13" t="s">
        <v>953</v>
      </c>
      <c r="X18" s="44" t="s">
        <v>941</v>
      </c>
      <c r="Y18" s="13" t="s">
        <v>942</v>
      </c>
      <c r="Z18" s="13">
        <v>128</v>
      </c>
      <c r="AA18" s="13" t="s">
        <v>943</v>
      </c>
      <c r="AB18" s="13" t="s">
        <v>122</v>
      </c>
      <c r="AC18" s="13" t="s">
        <v>630</v>
      </c>
      <c r="AD18" s="13" t="s">
        <v>105</v>
      </c>
      <c r="AE18" s="13" t="s">
        <v>154</v>
      </c>
      <c r="AF18" s="167" t="s">
        <v>970</v>
      </c>
      <c r="AG18" s="166"/>
      <c r="AH18" s="166"/>
      <c r="AI18" s="166"/>
      <c r="AJ18" s="168" t="b">
        <v>0</v>
      </c>
      <c r="AK18" s="168" t="str">
        <f>_xlfn.IFNA(INDEX(tbl_handover[No. Handover],MATCH(tbl_iot[[#This Row],[No Asset]],tbl_handover[Asset Code],0)),"")</f>
        <v/>
      </c>
    </row>
    <row r="19" spans="1:37" x14ac:dyDescent="0.25">
      <c r="A19" s="65">
        <f>IF(tbl_iot[[#This Row],[No Asset]]&lt;&gt;"",SUBTOTAL(3,INDEX(tbl_iot[No Asset],1):tbl_iot[[#This Row],[No Asset]]),"")</f>
        <v>17</v>
      </c>
      <c r="B19" s="13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2601106017</v>
      </c>
      <c r="C19" s="171">
        <v>46023</v>
      </c>
      <c r="D19" s="166" t="s">
        <v>612</v>
      </c>
      <c r="E19" s="13" t="s">
        <v>74</v>
      </c>
      <c r="F19" s="45" t="s">
        <v>656</v>
      </c>
      <c r="G19" s="13" t="s">
        <v>874</v>
      </c>
      <c r="H19" s="13" t="s">
        <v>875</v>
      </c>
      <c r="I19" s="166" t="s">
        <v>931</v>
      </c>
      <c r="J19" s="166" t="s">
        <v>950</v>
      </c>
      <c r="K19" s="65">
        <v>1424025022628</v>
      </c>
      <c r="L19" s="13" t="s">
        <v>933</v>
      </c>
      <c r="M19" s="166" t="s">
        <v>934</v>
      </c>
      <c r="N19" s="13"/>
      <c r="O19" s="45" t="s">
        <v>935</v>
      </c>
      <c r="P19" s="13" t="s">
        <v>936</v>
      </c>
      <c r="Q19" s="13" t="s">
        <v>937</v>
      </c>
      <c r="R19" s="13" t="s">
        <v>87</v>
      </c>
      <c r="S19" s="13" t="s">
        <v>971</v>
      </c>
      <c r="T19" s="13" t="s">
        <v>87</v>
      </c>
      <c r="U19" s="13" t="s">
        <v>972</v>
      </c>
      <c r="V19" s="13" t="s">
        <v>884</v>
      </c>
      <c r="W19" s="13" t="s">
        <v>957</v>
      </c>
      <c r="X19" s="44" t="s">
        <v>941</v>
      </c>
      <c r="Y19" s="13" t="s">
        <v>942</v>
      </c>
      <c r="Z19" s="13">
        <v>128</v>
      </c>
      <c r="AA19" s="13" t="s">
        <v>943</v>
      </c>
      <c r="AB19" s="13" t="s">
        <v>122</v>
      </c>
      <c r="AC19" s="13" t="s">
        <v>630</v>
      </c>
      <c r="AD19" s="13" t="s">
        <v>105</v>
      </c>
      <c r="AE19" s="13" t="s">
        <v>154</v>
      </c>
      <c r="AF19" s="167" t="s">
        <v>973</v>
      </c>
      <c r="AG19" s="166"/>
      <c r="AH19" s="166"/>
      <c r="AI19" s="166"/>
      <c r="AJ19" s="168" t="b">
        <v>0</v>
      </c>
      <c r="AK19" s="168" t="str">
        <f>_xlfn.IFNA(INDEX(tbl_handover[No. Handover],MATCH(tbl_iot[[#This Row],[No Asset]],tbl_handover[Asset Code],0)),"")</f>
        <v/>
      </c>
    </row>
    <row r="20" spans="1:37" x14ac:dyDescent="0.25">
      <c r="A20" s="65">
        <f>IF(tbl_iot[[#This Row],[No Asset]]&lt;&gt;"",SUBTOTAL(3,INDEX(tbl_iot[No Asset],1):tbl_iot[[#This Row],[No Asset]]),"")</f>
        <v>18</v>
      </c>
      <c r="B20" s="13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2601106018</v>
      </c>
      <c r="C20" s="171">
        <v>46023</v>
      </c>
      <c r="D20" s="166" t="s">
        <v>612</v>
      </c>
      <c r="E20" s="13" t="s">
        <v>74</v>
      </c>
      <c r="F20" s="45" t="s">
        <v>656</v>
      </c>
      <c r="G20" s="13" t="s">
        <v>874</v>
      </c>
      <c r="H20" s="13" t="s">
        <v>875</v>
      </c>
      <c r="I20" s="166" t="s">
        <v>931</v>
      </c>
      <c r="J20" s="166" t="s">
        <v>950</v>
      </c>
      <c r="K20" s="65">
        <v>1424025021205</v>
      </c>
      <c r="L20" s="13" t="s">
        <v>933</v>
      </c>
      <c r="M20" s="166" t="s">
        <v>934</v>
      </c>
      <c r="N20" s="13"/>
      <c r="O20" s="45" t="s">
        <v>935</v>
      </c>
      <c r="P20" s="13" t="s">
        <v>936</v>
      </c>
      <c r="Q20" s="13" t="s">
        <v>937</v>
      </c>
      <c r="R20" s="13" t="s">
        <v>87</v>
      </c>
      <c r="S20" s="13" t="s">
        <v>974</v>
      </c>
      <c r="T20" s="13" t="s">
        <v>87</v>
      </c>
      <c r="U20" s="13" t="s">
        <v>975</v>
      </c>
      <c r="V20" s="13" t="s">
        <v>884</v>
      </c>
      <c r="W20" s="13" t="s">
        <v>960</v>
      </c>
      <c r="X20" s="44" t="s">
        <v>941</v>
      </c>
      <c r="Y20" s="13" t="s">
        <v>942</v>
      </c>
      <c r="Z20" s="13">
        <v>128</v>
      </c>
      <c r="AA20" s="13" t="s">
        <v>943</v>
      </c>
      <c r="AB20" s="13" t="s">
        <v>122</v>
      </c>
      <c r="AC20" s="13" t="s">
        <v>630</v>
      </c>
      <c r="AD20" s="13" t="s">
        <v>105</v>
      </c>
      <c r="AE20" s="13" t="s">
        <v>154</v>
      </c>
      <c r="AF20" s="167" t="s">
        <v>976</v>
      </c>
      <c r="AG20" s="166"/>
      <c r="AH20" s="166"/>
      <c r="AI20" s="166"/>
      <c r="AJ20" s="168" t="b">
        <v>0</v>
      </c>
      <c r="AK20" s="168" t="str">
        <f>_xlfn.IFNA(INDEX(tbl_handover[No. Handover],MATCH(tbl_iot[[#This Row],[No Asset]],tbl_handover[Asset Code],0)),"")</f>
        <v/>
      </c>
    </row>
    <row r="21" spans="1:37" x14ac:dyDescent="0.25">
      <c r="A21" s="65">
        <f>IF(tbl_iot[[#This Row],[No Asset]]&lt;&gt;"",SUBTOTAL(3,INDEX(tbl_iot[No Asset],1):tbl_iot[[#This Row],[No Asset]]),"")</f>
        <v>19</v>
      </c>
      <c r="B21" s="13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2601106019</v>
      </c>
      <c r="C21" s="171">
        <v>46023</v>
      </c>
      <c r="D21" s="166" t="s">
        <v>612</v>
      </c>
      <c r="E21" s="13" t="s">
        <v>74</v>
      </c>
      <c r="F21" s="45" t="s">
        <v>646</v>
      </c>
      <c r="G21" s="13" t="s">
        <v>874</v>
      </c>
      <c r="H21" s="13" t="s">
        <v>977</v>
      </c>
      <c r="I21" s="166" t="s">
        <v>978</v>
      </c>
      <c r="J21" s="166" t="s">
        <v>979</v>
      </c>
      <c r="K21" s="13" t="s">
        <v>980</v>
      </c>
      <c r="L21" s="13" t="s">
        <v>981</v>
      </c>
      <c r="M21" s="166" t="s">
        <v>982</v>
      </c>
      <c r="N21" s="13"/>
      <c r="O21" s="45" t="s">
        <v>983</v>
      </c>
      <c r="P21" s="13" t="s">
        <v>936</v>
      </c>
      <c r="Q21" s="13" t="s">
        <v>937</v>
      </c>
      <c r="R21" s="13" t="s">
        <v>87</v>
      </c>
      <c r="S21" s="13" t="s">
        <v>984</v>
      </c>
      <c r="T21" s="13" t="s">
        <v>87</v>
      </c>
      <c r="U21" s="13" t="s">
        <v>985</v>
      </c>
      <c r="V21" s="13" t="s">
        <v>884</v>
      </c>
      <c r="W21" s="13" t="s">
        <v>948</v>
      </c>
      <c r="X21" s="13" t="s">
        <v>87</v>
      </c>
      <c r="Y21" s="13" t="s">
        <v>87</v>
      </c>
      <c r="Z21" s="13" t="s">
        <v>87</v>
      </c>
      <c r="AA21" s="13" t="s">
        <v>986</v>
      </c>
      <c r="AB21" s="13" t="s">
        <v>122</v>
      </c>
      <c r="AC21" s="13" t="s">
        <v>630</v>
      </c>
      <c r="AD21" s="13" t="s">
        <v>105</v>
      </c>
      <c r="AE21" s="13" t="s">
        <v>154</v>
      </c>
      <c r="AF21" s="167" t="s">
        <v>987</v>
      </c>
      <c r="AG21" s="166"/>
      <c r="AH21" s="166"/>
      <c r="AI21" s="166"/>
      <c r="AJ21" s="168" t="b">
        <v>0</v>
      </c>
      <c r="AK21" s="168" t="str">
        <f>_xlfn.IFNA(INDEX(tbl_handover[No. Handover],MATCH(tbl_iot[[#This Row],[No Asset]],tbl_handover[Asset Code],0)),"")</f>
        <v/>
      </c>
    </row>
    <row r="22" spans="1:37" x14ac:dyDescent="0.25">
      <c r="A22" s="65">
        <f>IF(tbl_iot[[#This Row],[No Asset]]&lt;&gt;"",SUBTOTAL(3,INDEX(tbl_iot[No Asset],1):tbl_iot[[#This Row],[No Asset]]),"")</f>
        <v>20</v>
      </c>
      <c r="B22" s="13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2601106020</v>
      </c>
      <c r="C22" s="171">
        <v>46023</v>
      </c>
      <c r="D22" s="166" t="s">
        <v>612</v>
      </c>
      <c r="E22" s="13" t="s">
        <v>74</v>
      </c>
      <c r="F22" s="45" t="s">
        <v>646</v>
      </c>
      <c r="G22" s="13" t="s">
        <v>874</v>
      </c>
      <c r="H22" s="13" t="s">
        <v>977</v>
      </c>
      <c r="I22" s="166" t="s">
        <v>978</v>
      </c>
      <c r="J22" s="166" t="s">
        <v>979</v>
      </c>
      <c r="K22" s="13" t="s">
        <v>988</v>
      </c>
      <c r="L22" s="13" t="s">
        <v>981</v>
      </c>
      <c r="M22" s="166" t="s">
        <v>982</v>
      </c>
      <c r="N22" s="13"/>
      <c r="O22" s="45" t="s">
        <v>983</v>
      </c>
      <c r="P22" s="13" t="s">
        <v>936</v>
      </c>
      <c r="Q22" s="13" t="s">
        <v>937</v>
      </c>
      <c r="R22" s="13" t="s">
        <v>87</v>
      </c>
      <c r="S22" s="13" t="s">
        <v>989</v>
      </c>
      <c r="T22" s="13" t="s">
        <v>87</v>
      </c>
      <c r="U22" s="13" t="s">
        <v>990</v>
      </c>
      <c r="V22" s="13" t="s">
        <v>884</v>
      </c>
      <c r="W22" s="13" t="s">
        <v>957</v>
      </c>
      <c r="X22" s="13" t="s">
        <v>87</v>
      </c>
      <c r="Y22" s="13" t="s">
        <v>87</v>
      </c>
      <c r="Z22" s="13" t="s">
        <v>87</v>
      </c>
      <c r="AA22" s="13" t="s">
        <v>986</v>
      </c>
      <c r="AB22" s="13" t="s">
        <v>122</v>
      </c>
      <c r="AC22" s="13" t="s">
        <v>630</v>
      </c>
      <c r="AD22" s="13" t="s">
        <v>105</v>
      </c>
      <c r="AE22" s="13" t="s">
        <v>154</v>
      </c>
      <c r="AF22" s="167" t="s">
        <v>991</v>
      </c>
      <c r="AG22" s="166"/>
      <c r="AH22" s="166"/>
      <c r="AI22" s="166"/>
      <c r="AJ22" s="168" t="b">
        <v>0</v>
      </c>
      <c r="AK22" s="168" t="str">
        <f>_xlfn.IFNA(INDEX(tbl_handover[No. Handover],MATCH(tbl_iot[[#This Row],[No Asset]],tbl_handover[Asset Code],0)),"")</f>
        <v/>
      </c>
    </row>
    <row r="23" spans="1:37" x14ac:dyDescent="0.25">
      <c r="A23" s="65">
        <f>IF(tbl_iot[[#This Row],[No Asset]]&lt;&gt;"",SUBTOTAL(3,INDEX(tbl_iot[No Asset],1):tbl_iot[[#This Row],[No Asset]]),"")</f>
        <v>21</v>
      </c>
      <c r="B23" s="13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2601106021</v>
      </c>
      <c r="C23" s="171">
        <v>46023</v>
      </c>
      <c r="D23" s="166" t="s">
        <v>612</v>
      </c>
      <c r="E23" s="13" t="s">
        <v>74</v>
      </c>
      <c r="F23" s="45" t="s">
        <v>656</v>
      </c>
      <c r="G23" s="13" t="s">
        <v>874</v>
      </c>
      <c r="H23" s="13" t="s">
        <v>977</v>
      </c>
      <c r="I23" s="166" t="s">
        <v>978</v>
      </c>
      <c r="J23" s="166" t="s">
        <v>979</v>
      </c>
      <c r="K23" s="13" t="s">
        <v>992</v>
      </c>
      <c r="L23" s="13" t="s">
        <v>981</v>
      </c>
      <c r="M23" s="166" t="s">
        <v>982</v>
      </c>
      <c r="N23" s="13"/>
      <c r="O23" s="45" t="s">
        <v>983</v>
      </c>
      <c r="P23" s="13" t="s">
        <v>936</v>
      </c>
      <c r="Q23" s="13" t="s">
        <v>937</v>
      </c>
      <c r="R23" s="13" t="s">
        <v>87</v>
      </c>
      <c r="S23" s="13" t="s">
        <v>993</v>
      </c>
      <c r="T23" s="13" t="s">
        <v>87</v>
      </c>
      <c r="U23" s="13" t="s">
        <v>994</v>
      </c>
      <c r="V23" s="13" t="s">
        <v>884</v>
      </c>
      <c r="W23" s="13" t="s">
        <v>995</v>
      </c>
      <c r="X23" s="13" t="s">
        <v>87</v>
      </c>
      <c r="Y23" s="13" t="s">
        <v>87</v>
      </c>
      <c r="Z23" s="13" t="s">
        <v>87</v>
      </c>
      <c r="AA23" s="13" t="s">
        <v>986</v>
      </c>
      <c r="AB23" s="13" t="s">
        <v>122</v>
      </c>
      <c r="AC23" s="13" t="s">
        <v>630</v>
      </c>
      <c r="AD23" s="13" t="s">
        <v>105</v>
      </c>
      <c r="AE23" s="13" t="s">
        <v>154</v>
      </c>
      <c r="AF23" s="167" t="s">
        <v>996</v>
      </c>
      <c r="AG23" s="166"/>
      <c r="AH23" s="166"/>
      <c r="AI23" s="166"/>
      <c r="AJ23" s="168" t="b">
        <v>0</v>
      </c>
      <c r="AK23" s="168" t="str">
        <f>_xlfn.IFNA(INDEX(tbl_handover[No. Handover],MATCH(tbl_iot[[#This Row],[No Asset]],tbl_handover[Asset Code],0)),"")</f>
        <v/>
      </c>
    </row>
    <row r="24" spans="1:37" x14ac:dyDescent="0.25">
      <c r="A24" s="65">
        <f>IF(tbl_iot[[#This Row],[No Asset]]&lt;&gt;"",SUBTOTAL(3,INDEX(tbl_iot[No Asset],1):tbl_iot[[#This Row],[No Asset]]),"")</f>
        <v>22</v>
      </c>
      <c r="B24" s="13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2601106022</v>
      </c>
      <c r="C24" s="171">
        <v>46023</v>
      </c>
      <c r="D24" s="166" t="s">
        <v>612</v>
      </c>
      <c r="E24" s="13" t="s">
        <v>74</v>
      </c>
      <c r="F24" s="45" t="s">
        <v>656</v>
      </c>
      <c r="G24" s="13" t="s">
        <v>874</v>
      </c>
      <c r="H24" s="13" t="s">
        <v>977</v>
      </c>
      <c r="I24" s="166" t="s">
        <v>978</v>
      </c>
      <c r="J24" s="166" t="s">
        <v>979</v>
      </c>
      <c r="K24" s="13" t="s">
        <v>997</v>
      </c>
      <c r="L24" s="13" t="s">
        <v>981</v>
      </c>
      <c r="M24" s="166" t="s">
        <v>982</v>
      </c>
      <c r="N24" s="13"/>
      <c r="O24" s="45" t="s">
        <v>983</v>
      </c>
      <c r="P24" s="13" t="s">
        <v>936</v>
      </c>
      <c r="Q24" s="13" t="s">
        <v>937</v>
      </c>
      <c r="R24" s="13" t="s">
        <v>87</v>
      </c>
      <c r="S24" s="13" t="s">
        <v>989</v>
      </c>
      <c r="T24" s="13" t="s">
        <v>87</v>
      </c>
      <c r="U24" s="13"/>
      <c r="V24" s="13" t="s">
        <v>884</v>
      </c>
      <c r="W24" s="13" t="s">
        <v>998</v>
      </c>
      <c r="X24" s="13" t="s">
        <v>87</v>
      </c>
      <c r="Y24" s="13" t="s">
        <v>87</v>
      </c>
      <c r="Z24" s="13" t="s">
        <v>87</v>
      </c>
      <c r="AA24" s="13" t="s">
        <v>986</v>
      </c>
      <c r="AB24" s="13" t="s">
        <v>122</v>
      </c>
      <c r="AC24" s="13" t="s">
        <v>630</v>
      </c>
      <c r="AD24" s="13" t="s">
        <v>105</v>
      </c>
      <c r="AE24" s="13" t="s">
        <v>154</v>
      </c>
      <c r="AF24" s="167" t="s">
        <v>999</v>
      </c>
      <c r="AG24" s="166"/>
      <c r="AH24" s="166"/>
      <c r="AI24" s="166"/>
      <c r="AJ24" s="168" t="b">
        <v>0</v>
      </c>
      <c r="AK24" s="168" t="str">
        <f>_xlfn.IFNA(INDEX(tbl_handover[No. Handover],MATCH(tbl_iot[[#This Row],[No Asset]],tbl_handover[Asset Code],0)),"")</f>
        <v/>
      </c>
    </row>
    <row r="25" spans="1:37" x14ac:dyDescent="0.25">
      <c r="A25" s="65">
        <f>IF(tbl_iot[[#This Row],[No Asset]]&lt;&gt;"",SUBTOTAL(3,INDEX(tbl_iot[No Asset],1):tbl_iot[[#This Row],[No Asset]]),"")</f>
        <v>23</v>
      </c>
      <c r="B25" s="13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2601106023</v>
      </c>
      <c r="C25" s="171">
        <v>46023</v>
      </c>
      <c r="D25" s="166" t="s">
        <v>612</v>
      </c>
      <c r="E25" s="13" t="s">
        <v>74</v>
      </c>
      <c r="F25" s="45" t="s">
        <v>646</v>
      </c>
      <c r="G25" s="13" t="s">
        <v>874</v>
      </c>
      <c r="H25" s="13" t="s">
        <v>977</v>
      </c>
      <c r="I25" s="166" t="s">
        <v>1000</v>
      </c>
      <c r="J25" s="166" t="s">
        <v>1001</v>
      </c>
      <c r="K25" s="13" t="s">
        <v>1002</v>
      </c>
      <c r="L25" s="13" t="s">
        <v>1003</v>
      </c>
      <c r="M25" s="166" t="s">
        <v>1004</v>
      </c>
      <c r="N25" s="13"/>
      <c r="O25" s="180" t="s">
        <v>1005</v>
      </c>
      <c r="P25" s="13" t="s">
        <v>641</v>
      </c>
      <c r="Q25" s="13" t="s">
        <v>642</v>
      </c>
      <c r="R25" s="13" t="s">
        <v>87</v>
      </c>
      <c r="S25" s="13" t="s">
        <v>1006</v>
      </c>
      <c r="T25" s="13" t="s">
        <v>87</v>
      </c>
      <c r="U25" s="13" t="s">
        <v>1007</v>
      </c>
      <c r="V25" s="13" t="s">
        <v>884</v>
      </c>
      <c r="W25" s="169" t="s">
        <v>1008</v>
      </c>
      <c r="X25" s="13" t="s">
        <v>87</v>
      </c>
      <c r="Y25" s="13" t="s">
        <v>87</v>
      </c>
      <c r="Z25" s="13" t="s">
        <v>87</v>
      </c>
      <c r="AA25" s="13" t="s">
        <v>986</v>
      </c>
      <c r="AB25" s="13" t="s">
        <v>122</v>
      </c>
      <c r="AC25" s="13" t="s">
        <v>630</v>
      </c>
      <c r="AD25" s="13" t="s">
        <v>105</v>
      </c>
      <c r="AE25" s="13" t="s">
        <v>154</v>
      </c>
      <c r="AF25" s="167" t="s">
        <v>1009</v>
      </c>
      <c r="AG25" s="166"/>
      <c r="AH25" s="166"/>
      <c r="AI25" s="166"/>
      <c r="AJ25" s="168" t="b">
        <v>0</v>
      </c>
      <c r="AK25" s="168" t="str">
        <f>_xlfn.IFNA(INDEX(tbl_handover[No. Handover],MATCH(tbl_iot[[#This Row],[No Asset]],tbl_handover[Asset Code],0)),"")</f>
        <v/>
      </c>
    </row>
    <row r="26" spans="1:37" x14ac:dyDescent="0.25">
      <c r="A26" s="65">
        <f>IF(tbl_iot[[#This Row],[No Asset]]&lt;&gt;"",SUBTOTAL(3,INDEX(tbl_iot[No Asset],1):tbl_iot[[#This Row],[No Asset]]),"")</f>
        <v>24</v>
      </c>
      <c r="B26" s="13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2601106024</v>
      </c>
      <c r="C26" s="171">
        <v>46023</v>
      </c>
      <c r="D26" s="166" t="s">
        <v>612</v>
      </c>
      <c r="E26" s="13" t="s">
        <v>74</v>
      </c>
      <c r="F26" s="45" t="s">
        <v>646</v>
      </c>
      <c r="G26" s="13" t="s">
        <v>874</v>
      </c>
      <c r="H26" s="13" t="s">
        <v>977</v>
      </c>
      <c r="I26" s="166" t="s">
        <v>1000</v>
      </c>
      <c r="J26" s="166" t="s">
        <v>1010</v>
      </c>
      <c r="K26" s="13" t="s">
        <v>1011</v>
      </c>
      <c r="L26" s="13" t="s">
        <v>1003</v>
      </c>
      <c r="M26" s="166" t="s">
        <v>1004</v>
      </c>
      <c r="N26" s="13"/>
      <c r="O26" s="45" t="s">
        <v>1005</v>
      </c>
      <c r="P26" s="13" t="s">
        <v>641</v>
      </c>
      <c r="Q26" s="13" t="s">
        <v>642</v>
      </c>
      <c r="R26" s="13" t="s">
        <v>87</v>
      </c>
      <c r="S26" s="13" t="s">
        <v>1012</v>
      </c>
      <c r="T26" s="13" t="s">
        <v>87</v>
      </c>
      <c r="U26" s="181" t="s">
        <v>1013</v>
      </c>
      <c r="V26" s="13" t="s">
        <v>884</v>
      </c>
      <c r="W26" s="169" t="s">
        <v>1014</v>
      </c>
      <c r="X26" s="13" t="s">
        <v>87</v>
      </c>
      <c r="Y26" s="13" t="s">
        <v>87</v>
      </c>
      <c r="Z26" s="13" t="s">
        <v>87</v>
      </c>
      <c r="AA26" s="13" t="s">
        <v>986</v>
      </c>
      <c r="AB26" s="13" t="s">
        <v>122</v>
      </c>
      <c r="AC26" s="13" t="s">
        <v>630</v>
      </c>
      <c r="AD26" s="13" t="s">
        <v>105</v>
      </c>
      <c r="AE26" s="13" t="s">
        <v>154</v>
      </c>
      <c r="AF26" s="167" t="s">
        <v>1015</v>
      </c>
      <c r="AG26" s="166"/>
      <c r="AH26" s="166"/>
      <c r="AI26" s="166"/>
      <c r="AJ26" s="168" t="b">
        <v>0</v>
      </c>
      <c r="AK26" s="168" t="str">
        <f>_xlfn.IFNA(INDEX(tbl_handover[No. Handover],MATCH(tbl_iot[[#This Row],[No Asset]],tbl_handover[Asset Code],0)),"")</f>
        <v/>
      </c>
    </row>
    <row r="27" spans="1:37" x14ac:dyDescent="0.25">
      <c r="A27" s="65">
        <f>IF(tbl_iot[[#This Row],[No Asset]]&lt;&gt;"",SUBTOTAL(3,INDEX(tbl_iot[No Asset],1):tbl_iot[[#This Row],[No Asset]]),"")</f>
        <v>25</v>
      </c>
      <c r="B27" s="13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2601106025</v>
      </c>
      <c r="C27" s="171">
        <v>46023</v>
      </c>
      <c r="D27" s="166" t="s">
        <v>612</v>
      </c>
      <c r="E27" s="13" t="s">
        <v>74</v>
      </c>
      <c r="F27" s="45" t="s">
        <v>646</v>
      </c>
      <c r="G27" s="13" t="s">
        <v>874</v>
      </c>
      <c r="H27" s="13" t="s">
        <v>977</v>
      </c>
      <c r="I27" s="166" t="s">
        <v>1000</v>
      </c>
      <c r="J27" s="166" t="s">
        <v>1016</v>
      </c>
      <c r="K27" s="13" t="s">
        <v>1017</v>
      </c>
      <c r="L27" s="13" t="s">
        <v>1003</v>
      </c>
      <c r="M27" s="166" t="s">
        <v>1004</v>
      </c>
      <c r="N27" s="13"/>
      <c r="O27" s="45" t="s">
        <v>1005</v>
      </c>
      <c r="P27" s="13" t="s">
        <v>641</v>
      </c>
      <c r="Q27" s="13" t="s">
        <v>642</v>
      </c>
      <c r="R27" s="13" t="s">
        <v>87</v>
      </c>
      <c r="S27" s="13" t="s">
        <v>1018</v>
      </c>
      <c r="T27" s="13" t="s">
        <v>87</v>
      </c>
      <c r="U27" s="181" t="s">
        <v>1019</v>
      </c>
      <c r="V27" s="13" t="s">
        <v>884</v>
      </c>
      <c r="W27" s="169" t="s">
        <v>1020</v>
      </c>
      <c r="X27" s="13" t="s">
        <v>87</v>
      </c>
      <c r="Y27" s="13" t="s">
        <v>87</v>
      </c>
      <c r="Z27" s="13" t="s">
        <v>87</v>
      </c>
      <c r="AA27" s="13" t="s">
        <v>986</v>
      </c>
      <c r="AB27" s="13" t="s">
        <v>122</v>
      </c>
      <c r="AC27" s="13" t="s">
        <v>630</v>
      </c>
      <c r="AD27" s="13" t="s">
        <v>105</v>
      </c>
      <c r="AE27" s="13" t="s">
        <v>154</v>
      </c>
      <c r="AF27" s="167" t="s">
        <v>1021</v>
      </c>
      <c r="AG27" s="166"/>
      <c r="AH27" s="166"/>
      <c r="AI27" s="166"/>
      <c r="AJ27" s="168" t="b">
        <v>0</v>
      </c>
      <c r="AK27" s="168" t="str">
        <f>_xlfn.IFNA(INDEX(tbl_handover[No. Handover],MATCH(tbl_iot[[#This Row],[No Asset]],tbl_handover[Asset Code],0)),"")</f>
        <v/>
      </c>
    </row>
    <row r="28" spans="1:37" x14ac:dyDescent="0.25">
      <c r="A28" s="65">
        <f>IF(tbl_iot[[#This Row],[No Asset]]&lt;&gt;"",SUBTOTAL(3,INDEX(tbl_iot[No Asset],1):tbl_iot[[#This Row],[No Asset]]),"")</f>
        <v>26</v>
      </c>
      <c r="B28" s="13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2601106026</v>
      </c>
      <c r="C28" s="171">
        <v>46023</v>
      </c>
      <c r="D28" s="166" t="s">
        <v>612</v>
      </c>
      <c r="E28" s="13" t="s">
        <v>74</v>
      </c>
      <c r="F28" s="45" t="s">
        <v>646</v>
      </c>
      <c r="G28" s="13" t="s">
        <v>874</v>
      </c>
      <c r="H28" s="13" t="s">
        <v>977</v>
      </c>
      <c r="I28" s="166" t="s">
        <v>1022</v>
      </c>
      <c r="J28" s="166" t="s">
        <v>1016</v>
      </c>
      <c r="K28" s="13" t="s">
        <v>1023</v>
      </c>
      <c r="L28" s="13" t="s">
        <v>1003</v>
      </c>
      <c r="M28" s="166" t="s">
        <v>1024</v>
      </c>
      <c r="N28" s="13"/>
      <c r="O28" s="45" t="s">
        <v>1025</v>
      </c>
      <c r="P28" s="13" t="s">
        <v>641</v>
      </c>
      <c r="Q28" s="13" t="s">
        <v>642</v>
      </c>
      <c r="R28" s="13" t="s">
        <v>87</v>
      </c>
      <c r="S28" s="13" t="s">
        <v>1026</v>
      </c>
      <c r="T28" s="13" t="s">
        <v>87</v>
      </c>
      <c r="U28" s="181" t="s">
        <v>1027</v>
      </c>
      <c r="V28" s="13" t="s">
        <v>884</v>
      </c>
      <c r="W28" s="169" t="s">
        <v>1028</v>
      </c>
      <c r="X28" s="13" t="s">
        <v>87</v>
      </c>
      <c r="Y28" s="13" t="s">
        <v>87</v>
      </c>
      <c r="Z28" s="13" t="s">
        <v>87</v>
      </c>
      <c r="AA28" s="13" t="s">
        <v>986</v>
      </c>
      <c r="AB28" s="13" t="s">
        <v>122</v>
      </c>
      <c r="AC28" s="13" t="s">
        <v>630</v>
      </c>
      <c r="AD28" s="13" t="s">
        <v>105</v>
      </c>
      <c r="AE28" s="13" t="s">
        <v>154</v>
      </c>
      <c r="AF28" s="167" t="s">
        <v>1029</v>
      </c>
      <c r="AG28" s="166"/>
      <c r="AH28" s="166"/>
      <c r="AI28" s="166"/>
      <c r="AJ28" s="168" t="b">
        <v>0</v>
      </c>
      <c r="AK28" s="168" t="str">
        <f>_xlfn.IFNA(INDEX(tbl_handover[No. Handover],MATCH(tbl_iot[[#This Row],[No Asset]],tbl_handover[Asset Code],0)),"")</f>
        <v/>
      </c>
    </row>
    <row r="29" spans="1:37" x14ac:dyDescent="0.25">
      <c r="A29" s="65">
        <f>IF(tbl_iot[[#This Row],[No Asset]]&lt;&gt;"",SUBTOTAL(3,INDEX(tbl_iot[No Asset],1):tbl_iot[[#This Row],[No Asset]]),"")</f>
        <v>27</v>
      </c>
      <c r="B29" s="13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2601106027</v>
      </c>
      <c r="C29" s="171">
        <v>46023</v>
      </c>
      <c r="D29" s="166" t="s">
        <v>612</v>
      </c>
      <c r="E29" s="13" t="s">
        <v>74</v>
      </c>
      <c r="F29" s="45" t="s">
        <v>646</v>
      </c>
      <c r="G29" s="13" t="s">
        <v>874</v>
      </c>
      <c r="H29" s="13" t="s">
        <v>977</v>
      </c>
      <c r="I29" s="166" t="s">
        <v>1022</v>
      </c>
      <c r="J29" s="166" t="s">
        <v>1030</v>
      </c>
      <c r="K29" s="13" t="s">
        <v>1031</v>
      </c>
      <c r="L29" s="13" t="s">
        <v>1003</v>
      </c>
      <c r="M29" s="166" t="s">
        <v>1024</v>
      </c>
      <c r="N29" s="13"/>
      <c r="O29" s="45" t="s">
        <v>1025</v>
      </c>
      <c r="P29" s="13" t="s">
        <v>641</v>
      </c>
      <c r="Q29" s="13" t="s">
        <v>642</v>
      </c>
      <c r="R29" s="13" t="s">
        <v>87</v>
      </c>
      <c r="S29" s="13" t="s">
        <v>1032</v>
      </c>
      <c r="T29" s="13" t="s">
        <v>87</v>
      </c>
      <c r="U29" s="181" t="s">
        <v>1033</v>
      </c>
      <c r="V29" s="13" t="s">
        <v>884</v>
      </c>
      <c r="W29" s="169" t="s">
        <v>1034</v>
      </c>
      <c r="X29" s="13" t="s">
        <v>87</v>
      </c>
      <c r="Y29" s="13" t="s">
        <v>87</v>
      </c>
      <c r="Z29" s="13" t="s">
        <v>87</v>
      </c>
      <c r="AA29" s="13" t="s">
        <v>986</v>
      </c>
      <c r="AB29" s="13" t="s">
        <v>122</v>
      </c>
      <c r="AC29" s="13" t="s">
        <v>630</v>
      </c>
      <c r="AD29" s="13" t="s">
        <v>105</v>
      </c>
      <c r="AE29" s="13" t="s">
        <v>154</v>
      </c>
      <c r="AF29" s="167" t="s">
        <v>1035</v>
      </c>
      <c r="AG29" s="166"/>
      <c r="AH29" s="166"/>
      <c r="AI29" s="166"/>
      <c r="AJ29" s="168" t="b">
        <v>0</v>
      </c>
      <c r="AK29" s="168" t="str">
        <f>_xlfn.IFNA(INDEX(tbl_handover[No. Handover],MATCH(tbl_iot[[#This Row],[No Asset]],tbl_handover[Asset Code],0)),"")</f>
        <v/>
      </c>
    </row>
    <row r="30" spans="1:37" x14ac:dyDescent="0.25">
      <c r="A30" s="65">
        <f>IF(tbl_iot[[#This Row],[No Asset]]&lt;&gt;"",SUBTOTAL(3,INDEX(tbl_iot[No Asset],1):tbl_iot[[#This Row],[No Asset]]),"")</f>
        <v>28</v>
      </c>
      <c r="B30" s="13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2601106028</v>
      </c>
      <c r="C30" s="171">
        <v>46023</v>
      </c>
      <c r="D30" s="166" t="s">
        <v>612</v>
      </c>
      <c r="E30" s="13" t="s">
        <v>74</v>
      </c>
      <c r="F30" s="45" t="s">
        <v>646</v>
      </c>
      <c r="G30" s="13" t="s">
        <v>874</v>
      </c>
      <c r="H30" s="13" t="s">
        <v>977</v>
      </c>
      <c r="I30" s="166" t="s">
        <v>1022</v>
      </c>
      <c r="J30" s="166" t="s">
        <v>1036</v>
      </c>
      <c r="K30" s="13" t="s">
        <v>1037</v>
      </c>
      <c r="L30" s="13" t="s">
        <v>1003</v>
      </c>
      <c r="M30" s="166" t="s">
        <v>1024</v>
      </c>
      <c r="N30" s="13"/>
      <c r="O30" s="45" t="s">
        <v>1025</v>
      </c>
      <c r="P30" s="13" t="s">
        <v>641</v>
      </c>
      <c r="Q30" s="13" t="s">
        <v>1038</v>
      </c>
      <c r="R30" s="13" t="s">
        <v>87</v>
      </c>
      <c r="S30" s="13" t="s">
        <v>1039</v>
      </c>
      <c r="T30" s="13" t="s">
        <v>87</v>
      </c>
      <c r="U30" s="181" t="s">
        <v>1040</v>
      </c>
      <c r="V30" s="13" t="s">
        <v>884</v>
      </c>
      <c r="W30" s="169" t="s">
        <v>1041</v>
      </c>
      <c r="X30" s="13" t="s">
        <v>87</v>
      </c>
      <c r="Y30" s="13" t="s">
        <v>87</v>
      </c>
      <c r="Z30" s="13" t="s">
        <v>87</v>
      </c>
      <c r="AA30" s="13" t="s">
        <v>986</v>
      </c>
      <c r="AB30" s="13" t="s">
        <v>122</v>
      </c>
      <c r="AC30" s="13" t="s">
        <v>630</v>
      </c>
      <c r="AD30" s="13" t="s">
        <v>105</v>
      </c>
      <c r="AE30" s="13" t="s">
        <v>154</v>
      </c>
      <c r="AF30" s="167" t="s">
        <v>1042</v>
      </c>
      <c r="AG30" s="166"/>
      <c r="AH30" s="166"/>
      <c r="AI30" s="166"/>
      <c r="AJ30" s="168" t="b">
        <v>0</v>
      </c>
      <c r="AK30" s="168" t="str">
        <f>_xlfn.IFNA(INDEX(tbl_handover[No. Handover],MATCH(tbl_iot[[#This Row],[No Asset]],tbl_handover[Asset Code],0)),"")</f>
        <v/>
      </c>
    </row>
    <row r="31" spans="1:37" x14ac:dyDescent="0.25">
      <c r="A31" s="65">
        <f>IF(tbl_iot[[#This Row],[No Asset]]&lt;&gt;"",SUBTOTAL(3,INDEX(tbl_iot[No Asset],1):tbl_iot[[#This Row],[No Asset]]),"")</f>
        <v>29</v>
      </c>
      <c r="B31" s="13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2601106029</v>
      </c>
      <c r="C31" s="171">
        <v>46023</v>
      </c>
      <c r="D31" s="166" t="s">
        <v>612</v>
      </c>
      <c r="E31" s="13" t="s">
        <v>74</v>
      </c>
      <c r="F31" s="45" t="s">
        <v>646</v>
      </c>
      <c r="G31" s="13" t="s">
        <v>874</v>
      </c>
      <c r="H31" s="13" t="s">
        <v>977</v>
      </c>
      <c r="I31" s="166" t="s">
        <v>1043</v>
      </c>
      <c r="J31" s="166" t="s">
        <v>1044</v>
      </c>
      <c r="K31" s="13" t="s">
        <v>1045</v>
      </c>
      <c r="L31" s="13" t="s">
        <v>1046</v>
      </c>
      <c r="M31" s="166" t="s">
        <v>1047</v>
      </c>
      <c r="N31" s="13"/>
      <c r="O31" s="45" t="s">
        <v>1048</v>
      </c>
      <c r="P31" s="13" t="s">
        <v>641</v>
      </c>
      <c r="Q31" s="13" t="s">
        <v>1038</v>
      </c>
      <c r="R31" s="13" t="s">
        <v>87</v>
      </c>
      <c r="S31" s="13" t="s">
        <v>1049</v>
      </c>
      <c r="T31" s="13" t="s">
        <v>87</v>
      </c>
      <c r="U31" s="13" t="s">
        <v>1050</v>
      </c>
      <c r="V31" s="13" t="s">
        <v>884</v>
      </c>
      <c r="W31" s="169" t="s">
        <v>1051</v>
      </c>
      <c r="X31" s="13" t="s">
        <v>87</v>
      </c>
      <c r="Y31" s="13" t="s">
        <v>87</v>
      </c>
      <c r="Z31" s="13" t="s">
        <v>87</v>
      </c>
      <c r="AA31" s="13" t="s">
        <v>986</v>
      </c>
      <c r="AB31" s="13" t="s">
        <v>122</v>
      </c>
      <c r="AC31" s="13" t="s">
        <v>630</v>
      </c>
      <c r="AD31" s="13" t="s">
        <v>105</v>
      </c>
      <c r="AE31" s="13" t="s">
        <v>154</v>
      </c>
      <c r="AF31" s="167" t="s">
        <v>1052</v>
      </c>
      <c r="AG31" s="166"/>
      <c r="AH31" s="166"/>
      <c r="AI31" s="166"/>
      <c r="AJ31" s="168" t="b">
        <v>0</v>
      </c>
      <c r="AK31" s="168" t="str">
        <f>_xlfn.IFNA(INDEX(tbl_handover[No. Handover],MATCH(tbl_iot[[#This Row],[No Asset]],tbl_handover[Asset Code],0)),"")</f>
        <v/>
      </c>
    </row>
    <row r="32" spans="1:37" x14ac:dyDescent="0.25">
      <c r="A32" s="65">
        <f>IF(tbl_iot[[#This Row],[No Asset]]&lt;&gt;"",SUBTOTAL(3,INDEX(tbl_iot[No Asset],1):tbl_iot[[#This Row],[No Asset]]),"")</f>
        <v>30</v>
      </c>
      <c r="B32" s="13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2601106030</v>
      </c>
      <c r="C32" s="171">
        <v>46023</v>
      </c>
      <c r="D32" s="166" t="s">
        <v>612</v>
      </c>
      <c r="E32" s="13" t="s">
        <v>74</v>
      </c>
      <c r="F32" s="45" t="s">
        <v>656</v>
      </c>
      <c r="G32" s="13" t="s">
        <v>874</v>
      </c>
      <c r="H32" s="13" t="s">
        <v>977</v>
      </c>
      <c r="I32" s="166" t="s">
        <v>1000</v>
      </c>
      <c r="J32" s="166" t="s">
        <v>1001</v>
      </c>
      <c r="K32" s="13" t="s">
        <v>1053</v>
      </c>
      <c r="L32" s="13" t="s">
        <v>1003</v>
      </c>
      <c r="M32" s="166" t="s">
        <v>1004</v>
      </c>
      <c r="N32" s="13"/>
      <c r="O32" s="45" t="s">
        <v>1005</v>
      </c>
      <c r="P32" s="13" t="s">
        <v>641</v>
      </c>
      <c r="Q32" s="13" t="s">
        <v>642</v>
      </c>
      <c r="R32" s="13" t="s">
        <v>87</v>
      </c>
      <c r="S32" s="13" t="s">
        <v>1054</v>
      </c>
      <c r="T32" s="13" t="s">
        <v>87</v>
      </c>
      <c r="U32" s="13" t="s">
        <v>1055</v>
      </c>
      <c r="V32" s="13" t="s">
        <v>884</v>
      </c>
      <c r="W32" s="169" t="s">
        <v>1056</v>
      </c>
      <c r="X32" s="13" t="s">
        <v>87</v>
      </c>
      <c r="Y32" s="13" t="s">
        <v>87</v>
      </c>
      <c r="Z32" s="13" t="s">
        <v>87</v>
      </c>
      <c r="AA32" s="13" t="s">
        <v>986</v>
      </c>
      <c r="AB32" s="13" t="s">
        <v>122</v>
      </c>
      <c r="AC32" s="13" t="s">
        <v>630</v>
      </c>
      <c r="AD32" s="13" t="s">
        <v>105</v>
      </c>
      <c r="AE32" s="13" t="s">
        <v>154</v>
      </c>
      <c r="AF32" s="167" t="s">
        <v>1057</v>
      </c>
      <c r="AG32" s="166"/>
      <c r="AH32" s="166"/>
      <c r="AI32" s="166"/>
      <c r="AJ32" s="168" t="b">
        <v>0</v>
      </c>
      <c r="AK32" s="168" t="str">
        <f>_xlfn.IFNA(INDEX(tbl_handover[No. Handover],MATCH(tbl_iot[[#This Row],[No Asset]],tbl_handover[Asset Code],0)),"")</f>
        <v/>
      </c>
    </row>
    <row r="33" spans="1:37" x14ac:dyDescent="0.25">
      <c r="A33" s="65">
        <f>IF(tbl_iot[[#This Row],[No Asset]]&lt;&gt;"",SUBTOTAL(3,INDEX(tbl_iot[No Asset],1):tbl_iot[[#This Row],[No Asset]]),"")</f>
        <v>31</v>
      </c>
      <c r="B33" s="13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2601106031</v>
      </c>
      <c r="C33" s="171">
        <v>46023</v>
      </c>
      <c r="D33" s="166" t="s">
        <v>612</v>
      </c>
      <c r="E33" s="13" t="s">
        <v>74</v>
      </c>
      <c r="F33" s="45" t="s">
        <v>656</v>
      </c>
      <c r="G33" s="13" t="s">
        <v>874</v>
      </c>
      <c r="H33" s="13" t="s">
        <v>977</v>
      </c>
      <c r="I33" s="166" t="s">
        <v>1000</v>
      </c>
      <c r="J33" s="166" t="s">
        <v>1010</v>
      </c>
      <c r="K33" s="13" t="s">
        <v>1058</v>
      </c>
      <c r="L33" s="13" t="s">
        <v>1003</v>
      </c>
      <c r="M33" s="166" t="s">
        <v>1004</v>
      </c>
      <c r="N33" s="13"/>
      <c r="O33" s="45" t="s">
        <v>1005</v>
      </c>
      <c r="P33" s="13" t="s">
        <v>641</v>
      </c>
      <c r="Q33" s="13" t="s">
        <v>642</v>
      </c>
      <c r="R33" s="13" t="s">
        <v>87</v>
      </c>
      <c r="S33" s="13" t="s">
        <v>1059</v>
      </c>
      <c r="T33" s="13" t="s">
        <v>87</v>
      </c>
      <c r="U33" s="13" t="s">
        <v>1060</v>
      </c>
      <c r="V33" s="13" t="s">
        <v>884</v>
      </c>
      <c r="W33" s="169" t="s">
        <v>1061</v>
      </c>
      <c r="X33" s="13" t="s">
        <v>87</v>
      </c>
      <c r="Y33" s="13" t="s">
        <v>87</v>
      </c>
      <c r="Z33" s="13" t="s">
        <v>87</v>
      </c>
      <c r="AA33" s="13" t="s">
        <v>986</v>
      </c>
      <c r="AB33" s="13" t="s">
        <v>122</v>
      </c>
      <c r="AC33" s="13" t="s">
        <v>630</v>
      </c>
      <c r="AD33" s="13" t="s">
        <v>105</v>
      </c>
      <c r="AE33" s="13" t="s">
        <v>154</v>
      </c>
      <c r="AF33" s="167" t="s">
        <v>1062</v>
      </c>
      <c r="AG33" s="166"/>
      <c r="AH33" s="166"/>
      <c r="AI33" s="166"/>
      <c r="AJ33" s="168" t="b">
        <v>0</v>
      </c>
      <c r="AK33" s="168" t="str">
        <f>_xlfn.IFNA(INDEX(tbl_handover[No. Handover],MATCH(tbl_iot[[#This Row],[No Asset]],tbl_handover[Asset Code],0)),"")</f>
        <v/>
      </c>
    </row>
    <row r="34" spans="1:37" x14ac:dyDescent="0.25">
      <c r="A34" s="65">
        <f>IF(tbl_iot[[#This Row],[No Asset]]&lt;&gt;"",SUBTOTAL(3,INDEX(tbl_iot[No Asset],1):tbl_iot[[#This Row],[No Asset]]),"")</f>
        <v>32</v>
      </c>
      <c r="B34" s="13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2601106032</v>
      </c>
      <c r="C34" s="171">
        <v>46023</v>
      </c>
      <c r="D34" s="166" t="s">
        <v>612</v>
      </c>
      <c r="E34" s="13" t="s">
        <v>74</v>
      </c>
      <c r="F34" s="45" t="s">
        <v>656</v>
      </c>
      <c r="G34" s="13" t="s">
        <v>874</v>
      </c>
      <c r="H34" s="13" t="s">
        <v>977</v>
      </c>
      <c r="I34" s="166" t="s">
        <v>1000</v>
      </c>
      <c r="J34" s="166" t="s">
        <v>1016</v>
      </c>
      <c r="K34" s="13" t="s">
        <v>1063</v>
      </c>
      <c r="L34" s="13" t="s">
        <v>1003</v>
      </c>
      <c r="M34" s="166" t="s">
        <v>1004</v>
      </c>
      <c r="N34" s="13"/>
      <c r="O34" s="45" t="s">
        <v>1005</v>
      </c>
      <c r="P34" s="13" t="s">
        <v>641</v>
      </c>
      <c r="Q34" s="13" t="s">
        <v>642</v>
      </c>
      <c r="R34" s="13" t="s">
        <v>87</v>
      </c>
      <c r="S34" s="13" t="s">
        <v>1064</v>
      </c>
      <c r="T34" s="13" t="s">
        <v>87</v>
      </c>
      <c r="U34" s="13" t="s">
        <v>1065</v>
      </c>
      <c r="V34" s="13" t="s">
        <v>884</v>
      </c>
      <c r="W34" s="169" t="s">
        <v>1066</v>
      </c>
      <c r="X34" s="13" t="s">
        <v>87</v>
      </c>
      <c r="Y34" s="13" t="s">
        <v>87</v>
      </c>
      <c r="Z34" s="13" t="s">
        <v>87</v>
      </c>
      <c r="AA34" s="13" t="s">
        <v>986</v>
      </c>
      <c r="AB34" s="13" t="s">
        <v>122</v>
      </c>
      <c r="AC34" s="13" t="s">
        <v>630</v>
      </c>
      <c r="AD34" s="13" t="s">
        <v>105</v>
      </c>
      <c r="AE34" s="13" t="s">
        <v>154</v>
      </c>
      <c r="AF34" s="167" t="s">
        <v>1067</v>
      </c>
      <c r="AG34" s="166"/>
      <c r="AH34" s="166"/>
      <c r="AI34" s="166"/>
      <c r="AJ34" s="168" t="b">
        <v>0</v>
      </c>
      <c r="AK34" s="168" t="str">
        <f>_xlfn.IFNA(INDEX(tbl_handover[No. Handover],MATCH(tbl_iot[[#This Row],[No Asset]],tbl_handover[Asset Code],0)),"")</f>
        <v/>
      </c>
    </row>
    <row r="35" spans="1:37" x14ac:dyDescent="0.25">
      <c r="A35" s="65">
        <f>IF(tbl_iot[[#This Row],[No Asset]]&lt;&gt;"",SUBTOTAL(3,INDEX(tbl_iot[No Asset],1):tbl_iot[[#This Row],[No Asset]]),"")</f>
        <v>33</v>
      </c>
      <c r="B35" s="13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2601106033</v>
      </c>
      <c r="C35" s="171">
        <v>46023</v>
      </c>
      <c r="D35" s="166" t="s">
        <v>612</v>
      </c>
      <c r="E35" s="13" t="s">
        <v>74</v>
      </c>
      <c r="F35" s="45" t="s">
        <v>656</v>
      </c>
      <c r="G35" s="13" t="s">
        <v>874</v>
      </c>
      <c r="H35" s="13" t="s">
        <v>977</v>
      </c>
      <c r="I35" s="166" t="s">
        <v>1022</v>
      </c>
      <c r="J35" s="166" t="s">
        <v>1016</v>
      </c>
      <c r="K35" s="13" t="s">
        <v>1068</v>
      </c>
      <c r="L35" s="13" t="s">
        <v>1003</v>
      </c>
      <c r="M35" s="166" t="s">
        <v>1024</v>
      </c>
      <c r="N35" s="13"/>
      <c r="O35" s="45" t="s">
        <v>1025</v>
      </c>
      <c r="P35" s="13" t="s">
        <v>641</v>
      </c>
      <c r="Q35" s="13" t="s">
        <v>642</v>
      </c>
      <c r="R35" s="13" t="s">
        <v>87</v>
      </c>
      <c r="S35" s="13" t="s">
        <v>1069</v>
      </c>
      <c r="T35" s="13" t="s">
        <v>87</v>
      </c>
      <c r="U35" s="13" t="s">
        <v>1070</v>
      </c>
      <c r="V35" s="13" t="s">
        <v>884</v>
      </c>
      <c r="W35" s="169" t="s">
        <v>1071</v>
      </c>
      <c r="X35" s="13" t="s">
        <v>87</v>
      </c>
      <c r="Y35" s="13" t="s">
        <v>87</v>
      </c>
      <c r="Z35" s="13" t="s">
        <v>87</v>
      </c>
      <c r="AA35" s="13" t="s">
        <v>986</v>
      </c>
      <c r="AB35" s="13" t="s">
        <v>122</v>
      </c>
      <c r="AC35" s="13" t="s">
        <v>630</v>
      </c>
      <c r="AD35" s="13" t="s">
        <v>105</v>
      </c>
      <c r="AE35" s="13" t="s">
        <v>154</v>
      </c>
      <c r="AF35" s="167" t="s">
        <v>1072</v>
      </c>
      <c r="AG35" s="166"/>
      <c r="AH35" s="166"/>
      <c r="AI35" s="166"/>
      <c r="AJ35" s="168" t="b">
        <v>0</v>
      </c>
      <c r="AK35" s="168" t="str">
        <f>_xlfn.IFNA(INDEX(tbl_handover[No. Handover],MATCH(tbl_iot[[#This Row],[No Asset]],tbl_handover[Asset Code],0)),"")</f>
        <v/>
      </c>
    </row>
    <row r="36" spans="1:37" x14ac:dyDescent="0.25">
      <c r="A36" s="65">
        <f>IF(tbl_iot[[#This Row],[No Asset]]&lt;&gt;"",SUBTOTAL(3,INDEX(tbl_iot[No Asset],1):tbl_iot[[#This Row],[No Asset]]),"")</f>
        <v>34</v>
      </c>
      <c r="B36" s="13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2601106034</v>
      </c>
      <c r="C36" s="171">
        <v>46023</v>
      </c>
      <c r="D36" s="166" t="s">
        <v>612</v>
      </c>
      <c r="E36" s="13" t="s">
        <v>74</v>
      </c>
      <c r="F36" s="45" t="s">
        <v>656</v>
      </c>
      <c r="G36" s="13" t="s">
        <v>874</v>
      </c>
      <c r="H36" s="13" t="s">
        <v>977</v>
      </c>
      <c r="I36" s="166" t="s">
        <v>1022</v>
      </c>
      <c r="J36" s="166" t="s">
        <v>1030</v>
      </c>
      <c r="K36" s="13" t="s">
        <v>1073</v>
      </c>
      <c r="L36" s="13" t="s">
        <v>1003</v>
      </c>
      <c r="M36" s="166" t="s">
        <v>1024</v>
      </c>
      <c r="N36" s="13"/>
      <c r="O36" s="45" t="s">
        <v>1025</v>
      </c>
      <c r="P36" s="13" t="s">
        <v>641</v>
      </c>
      <c r="Q36" s="13" t="s">
        <v>642</v>
      </c>
      <c r="R36" s="13" t="s">
        <v>87</v>
      </c>
      <c r="S36" s="13" t="s">
        <v>1074</v>
      </c>
      <c r="T36" s="13" t="s">
        <v>87</v>
      </c>
      <c r="U36" s="13" t="s">
        <v>1075</v>
      </c>
      <c r="V36" s="13" t="s">
        <v>884</v>
      </c>
      <c r="W36" s="169" t="s">
        <v>1076</v>
      </c>
      <c r="X36" s="13" t="s">
        <v>87</v>
      </c>
      <c r="Y36" s="13" t="s">
        <v>87</v>
      </c>
      <c r="Z36" s="13" t="s">
        <v>87</v>
      </c>
      <c r="AA36" s="13" t="s">
        <v>986</v>
      </c>
      <c r="AB36" s="13" t="s">
        <v>122</v>
      </c>
      <c r="AC36" s="13" t="s">
        <v>630</v>
      </c>
      <c r="AD36" s="13" t="s">
        <v>105</v>
      </c>
      <c r="AE36" s="13" t="s">
        <v>154</v>
      </c>
      <c r="AF36" s="167" t="s">
        <v>1077</v>
      </c>
      <c r="AG36" s="166"/>
      <c r="AH36" s="166"/>
      <c r="AI36" s="166"/>
      <c r="AJ36" s="168" t="b">
        <v>0</v>
      </c>
      <c r="AK36" s="168" t="str">
        <f>_xlfn.IFNA(INDEX(tbl_handover[No. Handover],MATCH(tbl_iot[[#This Row],[No Asset]],tbl_handover[Asset Code],0)),"")</f>
        <v/>
      </c>
    </row>
    <row r="37" spans="1:37" x14ac:dyDescent="0.25">
      <c r="A37" s="65">
        <f>IF(tbl_iot[[#This Row],[No Asset]]&lt;&gt;"",SUBTOTAL(3,INDEX(tbl_iot[No Asset],1):tbl_iot[[#This Row],[No Asset]]),"")</f>
        <v>35</v>
      </c>
      <c r="B37" s="13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2601106035</v>
      </c>
      <c r="C37" s="171">
        <v>46023</v>
      </c>
      <c r="D37" s="166" t="s">
        <v>612</v>
      </c>
      <c r="E37" s="13" t="s">
        <v>74</v>
      </c>
      <c r="F37" s="45" t="s">
        <v>656</v>
      </c>
      <c r="G37" s="13" t="s">
        <v>874</v>
      </c>
      <c r="H37" s="13" t="s">
        <v>977</v>
      </c>
      <c r="I37" s="166" t="s">
        <v>1022</v>
      </c>
      <c r="J37" s="166" t="s">
        <v>1036</v>
      </c>
      <c r="K37" s="13" t="s">
        <v>1078</v>
      </c>
      <c r="L37" s="13" t="s">
        <v>1003</v>
      </c>
      <c r="M37" s="166" t="s">
        <v>1024</v>
      </c>
      <c r="N37" s="13"/>
      <c r="O37" s="45" t="s">
        <v>1025</v>
      </c>
      <c r="P37" s="13" t="s">
        <v>641</v>
      </c>
      <c r="Q37" s="13" t="s">
        <v>642</v>
      </c>
      <c r="R37" s="13" t="s">
        <v>87</v>
      </c>
      <c r="S37" s="13" t="s">
        <v>1079</v>
      </c>
      <c r="T37" s="13" t="s">
        <v>87</v>
      </c>
      <c r="U37" s="13" t="s">
        <v>1080</v>
      </c>
      <c r="V37" s="13" t="s">
        <v>884</v>
      </c>
      <c r="W37" s="169" t="s">
        <v>1081</v>
      </c>
      <c r="X37" s="13" t="s">
        <v>87</v>
      </c>
      <c r="Y37" s="13" t="s">
        <v>87</v>
      </c>
      <c r="Z37" s="13" t="s">
        <v>87</v>
      </c>
      <c r="AA37" s="13" t="s">
        <v>986</v>
      </c>
      <c r="AB37" s="13" t="s">
        <v>122</v>
      </c>
      <c r="AC37" s="13" t="s">
        <v>630</v>
      </c>
      <c r="AD37" s="13" t="s">
        <v>105</v>
      </c>
      <c r="AE37" s="13" t="s">
        <v>154</v>
      </c>
      <c r="AF37" s="167" t="s">
        <v>1082</v>
      </c>
      <c r="AG37" s="166"/>
      <c r="AH37" s="166"/>
      <c r="AI37" s="166"/>
      <c r="AJ37" s="168" t="b">
        <v>0</v>
      </c>
      <c r="AK37" s="168" t="str">
        <f>_xlfn.IFNA(INDEX(tbl_handover[No. Handover],MATCH(tbl_iot[[#This Row],[No Asset]],tbl_handover[Asset Code],0)),"")</f>
        <v/>
      </c>
    </row>
    <row r="38" spans="1:37" x14ac:dyDescent="0.25">
      <c r="A38" s="65">
        <f>IF(tbl_iot[[#This Row],[No Asset]]&lt;&gt;"",SUBTOTAL(3,INDEX(tbl_iot[No Asset],1):tbl_iot[[#This Row],[No Asset]]),"")</f>
        <v>36</v>
      </c>
      <c r="B38" s="13" t="str">
        <f>IF(OR(tbl_iot[[#This Row],[Purchase Date]]="",tbl_iot[[#This Row],[Categories]]=""),"",
TEXT(tbl_iot[[#This Row],[Purchase Date]],"YYMM")&amp;
_xlfn.XLOOKUP(tbl_iot[[#This Row],[Categories]],CODEX!$Z:$Z,CODEX!$W:$W,"")&amp;
TEXT(_xlfn.XLOOKUP(tbl_iot[[#This Row],[Categories]],CODEX!$Z:$Z,CODEX!$Y:$Y,""),"00")&amp;
TEXT(COUNTIFS(INDEX(tbl_iot[Purchase Date],1):tbl_iot[[#This Row],[Purchase Date]],"&gt;="&amp;DATE(YEAR(tbl_iot[[#This Row],[Purchase Date]]),MONTH(tbl_iot[[#This Row],[Purchase Date]]),1),INDEX(tbl_iot[Purchase Date],1):tbl_iot[[#This Row],[Purchase Date]],"&lt;"&amp;EDATE(DATE(YEAR(tbl_iot[[#This Row],[Purchase Date]]),MONTH(tbl_iot[[#This Row],[Purchase Date]]),1),1),INDEX(tbl_iot[Categories],1):tbl_iot[[#This Row],[Categories]],tbl_iot[[#This Row],[Categories]]),"000"))</f>
        <v>2601106036</v>
      </c>
      <c r="C38" s="171">
        <v>46023</v>
      </c>
      <c r="D38" s="166" t="s">
        <v>612</v>
      </c>
      <c r="E38" s="13" t="s">
        <v>74</v>
      </c>
      <c r="F38" s="45" t="s">
        <v>656</v>
      </c>
      <c r="G38" s="13" t="s">
        <v>874</v>
      </c>
      <c r="H38" s="13" t="s">
        <v>977</v>
      </c>
      <c r="I38" s="166" t="s">
        <v>1043</v>
      </c>
      <c r="J38" s="166" t="s">
        <v>1044</v>
      </c>
      <c r="K38" s="13" t="s">
        <v>1083</v>
      </c>
      <c r="L38" s="13" t="s">
        <v>1046</v>
      </c>
      <c r="M38" s="166" t="s">
        <v>1047</v>
      </c>
      <c r="N38" s="13"/>
      <c r="O38" s="45" t="s">
        <v>1048</v>
      </c>
      <c r="P38" s="13" t="s">
        <v>641</v>
      </c>
      <c r="Q38" s="13" t="s">
        <v>1038</v>
      </c>
      <c r="R38" s="13" t="s">
        <v>87</v>
      </c>
      <c r="S38" s="13" t="s">
        <v>1084</v>
      </c>
      <c r="T38" s="13" t="s">
        <v>87</v>
      </c>
      <c r="U38" s="13" t="s">
        <v>1085</v>
      </c>
      <c r="V38" s="13" t="s">
        <v>884</v>
      </c>
      <c r="W38" s="169" t="s">
        <v>1086</v>
      </c>
      <c r="X38" s="13" t="s">
        <v>87</v>
      </c>
      <c r="Y38" s="13" t="s">
        <v>87</v>
      </c>
      <c r="Z38" s="13" t="s">
        <v>87</v>
      </c>
      <c r="AA38" s="13" t="s">
        <v>986</v>
      </c>
      <c r="AB38" s="13" t="s">
        <v>122</v>
      </c>
      <c r="AC38" s="13" t="s">
        <v>630</v>
      </c>
      <c r="AD38" s="13" t="s">
        <v>105</v>
      </c>
      <c r="AE38" s="13" t="s">
        <v>154</v>
      </c>
      <c r="AF38" s="167" t="s">
        <v>1087</v>
      </c>
      <c r="AG38" s="166"/>
      <c r="AH38" s="166"/>
      <c r="AI38" s="166"/>
      <c r="AJ38" s="168" t="b">
        <v>0</v>
      </c>
      <c r="AK38" s="168" t="str">
        <f>_xlfn.IFNA(INDEX(tbl_handover[No. Handover],MATCH(tbl_iot[[#This Row],[No Asset]],tbl_handover[Asset Code],0)),"")</f>
        <v/>
      </c>
    </row>
  </sheetData>
  <mergeCells count="6">
    <mergeCell ref="AG1:AI1"/>
    <mergeCell ref="R1:W1"/>
    <mergeCell ref="X1:AA1"/>
    <mergeCell ref="C1:D1"/>
    <mergeCell ref="E1:N1"/>
    <mergeCell ref="O1:Q1"/>
  </mergeCells>
  <phoneticPr fontId="10" type="noConversion"/>
  <conditionalFormatting sqref="B3">
    <cfRule type="duplicateValues" dxfId="53" priority="77"/>
  </conditionalFormatting>
  <conditionalFormatting sqref="D16:E38">
    <cfRule type="containsBlanks" dxfId="52" priority="1">
      <formula>LEN(TRIM(D16))=0</formula>
    </cfRule>
  </conditionalFormatting>
  <conditionalFormatting sqref="D3:F15">
    <cfRule type="containsBlanks" dxfId="51" priority="37">
      <formula>LEN(TRIM(D3))=0</formula>
    </cfRule>
  </conditionalFormatting>
  <conditionalFormatting sqref="F16:F24">
    <cfRule type="containsBlanks" dxfId="50" priority="26">
      <formula>LEN(TRIM(F16))=0</formula>
    </cfRule>
  </conditionalFormatting>
  <conditionalFormatting sqref="G4:AE20 G3:T3 V3:AE3 C3:C38 G21:G24 I21:I24 R21:R38 T21:T38">
    <cfRule type="containsBlanks" dxfId="49" priority="78">
      <formula>LEN(TRIM(C3))=0</formula>
    </cfRule>
  </conditionalFormatting>
  <conditionalFormatting sqref="K2">
    <cfRule type="duplicateValues" dxfId="48" priority="85"/>
  </conditionalFormatting>
  <conditionalFormatting sqref="K3:K38">
    <cfRule type="duplicateValues" dxfId="47" priority="142"/>
  </conditionalFormatting>
  <conditionalFormatting sqref="P21:Q24">
    <cfRule type="containsBlanks" dxfId="46" priority="27">
      <formula>LEN(TRIM(P21))=0</formula>
    </cfRule>
  </conditionalFormatting>
  <conditionalFormatting sqref="S2">
    <cfRule type="duplicateValues" dxfId="45" priority="84"/>
  </conditionalFormatting>
  <conditionalFormatting sqref="U4">
    <cfRule type="expression" dxfId="44" priority="126">
      <formula>$AP3="scrap"</formula>
    </cfRule>
    <cfRule type="expression" priority="150">
      <formula>$K6="Tablet"</formula>
    </cfRule>
  </conditionalFormatting>
  <conditionalFormatting sqref="U2:W2">
    <cfRule type="duplicateValues" dxfId="43" priority="83"/>
  </conditionalFormatting>
  <conditionalFormatting sqref="U4:W6">
    <cfRule type="expression" dxfId="42" priority="53">
      <formula>$AP4="scrap"</formula>
    </cfRule>
  </conditionalFormatting>
  <conditionalFormatting sqref="U5:W6 V4:W4">
    <cfRule type="duplicateValues" dxfId="41" priority="50"/>
    <cfRule type="duplicateValues" dxfId="40" priority="51"/>
  </conditionalFormatting>
  <conditionalFormatting sqref="V3">
    <cfRule type="duplicateValues" dxfId="39" priority="146"/>
    <cfRule type="duplicateValues" dxfId="38" priority="147"/>
    <cfRule type="expression" priority="148">
      <formula>$K6="Tablet"</formula>
    </cfRule>
    <cfRule type="expression" dxfId="37" priority="149">
      <formula>$AP3="scrap"</formula>
    </cfRule>
  </conditionalFormatting>
  <conditionalFormatting sqref="V3:W3 U4">
    <cfRule type="duplicateValues" dxfId="36" priority="80"/>
    <cfRule type="duplicateValues" dxfId="35" priority="82"/>
  </conditionalFormatting>
  <conditionalFormatting sqref="V3:W3">
    <cfRule type="expression" dxfId="34" priority="122">
      <formula>$AP3="scrap"</formula>
    </cfRule>
    <cfRule type="expression" priority="145">
      <formula>$K6="Tablet"</formula>
    </cfRule>
  </conditionalFormatting>
  <conditionalFormatting sqref="V4:W4 U5:W6">
    <cfRule type="expression" priority="128">
      <formula>$K3="Tablet"</formula>
    </cfRule>
  </conditionalFormatting>
  <conditionalFormatting sqref="W21:W24">
    <cfRule type="containsBlanks" dxfId="33" priority="31">
      <formula>LEN(TRIM(W21))=0</formula>
    </cfRule>
  </conditionalFormatting>
  <conditionalFormatting sqref="AC21:AE38">
    <cfRule type="containsBlanks" dxfId="32" priority="2">
      <formula>LEN(TRIM(AC21))=0</formula>
    </cfRule>
  </conditionalFormatting>
  <dataValidations count="3">
    <dataValidation type="list" allowBlank="1" showInputMessage="1" showErrorMessage="1" promptTitle="Option" prompt="Select the storage type below" sqref="Y3:Y20" xr:uid="{22ED042B-222C-451B-B863-7459F9785738}">
      <formula1>"MicroSD Capacity, Onboard Flash"</formula1>
    </dataValidation>
    <dataValidation type="list" allowBlank="1" showInputMessage="1" showErrorMessage="1" sqref="V3:V38" xr:uid="{9AD20915-4F6A-449E-AE36-93D8AAB8AE2A}">
      <formula1>"Ethernet (LAN), WiFi, Data Cellular, LoRaWAN, Zigbee"</formula1>
    </dataValidation>
    <dataValidation type="list" allowBlank="1" showInputMessage="1" showErrorMessage="1" promptTitle="Option" prompt="Select the storage type below" sqref="AA3:AA38" xr:uid="{75E0A830-3BCA-432C-9FB4-24F307B2572D}">
      <formula1>"PoE (Power over Ethernet), Adaptor 5V ,Adaptor 12V, Adaptor 24V, Battery, Solar"</formula1>
    </dataValidation>
  </dataValidations>
  <hyperlinks>
    <hyperlink ref="W25" r:id="rId1" xr:uid="{ECF380A3-ADDF-4476-8FA6-35664F879A22}"/>
    <hyperlink ref="W26" r:id="rId2" xr:uid="{B2185CDF-BB19-4933-8688-71B5135800B4}"/>
    <hyperlink ref="W27" r:id="rId3" xr:uid="{12FB5FED-D656-4989-BB28-53911457E42A}"/>
    <hyperlink ref="W28" r:id="rId4" xr:uid="{528B1F13-BF83-4C8C-8BFA-F8E311407B24}"/>
    <hyperlink ref="W29" r:id="rId5" xr:uid="{E82DDA01-1C7B-49B3-B04B-F5CE530A9B1C}"/>
    <hyperlink ref="W30" r:id="rId6" xr:uid="{3CDF2674-1895-4788-BE74-1BBE5E3E9DD3}"/>
    <hyperlink ref="W32" r:id="rId7" xr:uid="{D5686AF3-5601-47BB-A850-351A62DF0EA3}"/>
    <hyperlink ref="W33" r:id="rId8" xr:uid="{2BDAB6D7-00B5-4610-92AC-6F1BCE1F024F}"/>
    <hyperlink ref="W34" r:id="rId9" xr:uid="{3B008CC9-7960-496C-B23A-450BB62470C0}"/>
    <hyperlink ref="W35" r:id="rId10" xr:uid="{426A5B71-060D-4C0D-BB9D-25CC5E355B5F}"/>
    <hyperlink ref="W36" r:id="rId11" xr:uid="{CD25E0D8-64F7-4AF9-80F1-96C26A004771}"/>
    <hyperlink ref="W37" r:id="rId12" xr:uid="{2247941C-2DAC-44E5-AB26-E0766A49DEC1}"/>
    <hyperlink ref="W31" r:id="rId13" xr:uid="{861134ED-1143-440D-A9A1-F758FBC31B28}"/>
    <hyperlink ref="W38" r:id="rId14" xr:uid="{F44AFDEB-1907-4C73-A7D1-7717EDA931A9}"/>
  </hyperlinks>
  <pageMargins left="0.7" right="0.7" top="0.75" bottom="0.75" header="0.3" footer="0.3"/>
  <pageSetup paperSize="262" orientation="landscape" horizontalDpi="360" verticalDpi="360" r:id="rId15"/>
  <legacyDrawing r:id="rId16"/>
  <tableParts count="1">
    <tablePart r:id="rId17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D87BF75A-F0D4-4E03-B9BA-AA4610ECC7CA}">
          <x14:formula1>
            <xm:f>CODEX!$J$3:$J$8</xm:f>
          </x14:formula1>
          <xm:sqref>AC3:AC38</xm:sqref>
        </x14:dataValidation>
        <x14:dataValidation type="list" allowBlank="1" showInputMessage="1" showErrorMessage="1" xr:uid="{709EAD5E-ECFE-4958-867D-2AB07094CC82}">
          <x14:formula1>
            <xm:f>CODEX!$F$3:$F$27</xm:f>
          </x14:formula1>
          <xm:sqref>F3:F38</xm:sqref>
        </x14:dataValidation>
        <x14:dataValidation type="list" allowBlank="1" showInputMessage="1" showErrorMessage="1" xr:uid="{29F19EE5-02CB-4A17-BF09-36D25D963993}">
          <x14:formula1>
            <xm:f>CODEX!$Z$8</xm:f>
          </x14:formula1>
          <xm:sqref>G3:G38</xm:sqref>
        </x14:dataValidation>
        <x14:dataValidation type="list" allowBlank="1" showInputMessage="1" showErrorMessage="1" xr:uid="{F21F172F-2EFA-4B3A-9750-FD1B918CA87A}">
          <x14:formula1>
            <xm:f>CODEX!$M$3:$M$8</xm:f>
          </x14:formula1>
          <xm:sqref>AD3:AD38</xm:sqref>
        </x14:dataValidation>
        <x14:dataValidation type="list" allowBlank="1" showInputMessage="1" showErrorMessage="1" xr:uid="{E4D589DB-D536-44F9-BD75-D0DFBD1C9D0C}">
          <x14:formula1>
            <xm:f>CODEX!$H$3:$H$9</xm:f>
          </x14:formula1>
          <xm:sqref>AB3:AB38</xm:sqref>
        </x14:dataValidation>
        <x14:dataValidation type="list" allowBlank="1" showInputMessage="1" showErrorMessage="1" xr:uid="{029BFC90-9F44-4809-BD95-8B5B704B6DB2}">
          <x14:formula1>
            <xm:f>CODEX!$O$3:$O$7</xm:f>
          </x14:formula1>
          <xm:sqref>AE3:AE38</xm:sqref>
        </x14:dataValidation>
        <x14:dataValidation type="list" allowBlank="1" showInputMessage="1" showErrorMessage="1" xr:uid="{F09B04DB-450C-49EE-9CA0-0E8E1251C476}">
          <x14:formula1>
            <xm:f>CODEX!$A$3:$A$7</xm:f>
          </x14:formula1>
          <xm:sqref>E3:E38</xm:sqref>
        </x14:dataValidation>
        <x14:dataValidation type="list" allowBlank="1" showInputMessage="1" showErrorMessage="1" xr:uid="{100F0B64-FD1E-46CE-90F3-665B7D67D9EC}">
          <x14:formula1>
            <xm:f>CODEX!$AD$47:$AD$51</xm:f>
          </x14:formula1>
          <xm:sqref>H3:H1048576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6319A-B4F7-4119-A277-F4B973DA4F43}">
  <dimension ref="A1:AK12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13" sqref="I13"/>
    </sheetView>
  </sheetViews>
  <sheetFormatPr defaultRowHeight="15" outlineLevelCol="1" x14ac:dyDescent="0.25"/>
  <cols>
    <col min="1" max="1" width="7.42578125" style="1" customWidth="1"/>
    <col min="2" max="2" width="19.42578125" style="1" bestFit="1" customWidth="1"/>
    <col min="3" max="3" width="14.85546875" style="74" customWidth="1"/>
    <col min="4" max="4" width="24" bestFit="1" customWidth="1"/>
    <col min="5" max="5" width="12.85546875" style="1" bestFit="1" customWidth="1"/>
    <col min="6" max="6" width="24" style="46" customWidth="1"/>
    <col min="7" max="7" width="14.42578125" style="1" bestFit="1" customWidth="1"/>
    <col min="8" max="8" width="22" style="1" bestFit="1" customWidth="1"/>
    <col min="9" max="9" width="42.140625" customWidth="1"/>
    <col min="10" max="10" width="15.5703125" bestFit="1" customWidth="1"/>
    <col min="11" max="11" width="25.85546875" style="1" customWidth="1"/>
    <col min="12" max="12" width="15.5703125" style="1" bestFit="1" customWidth="1"/>
    <col min="13" max="13" width="29.5703125" customWidth="1"/>
    <col min="14" max="14" width="11.7109375" style="1" hidden="1" customWidth="1" outlineLevel="1"/>
    <col min="15" max="15" width="20.42578125" style="1" bestFit="1" customWidth="1" collapsed="1"/>
    <col min="16" max="16" width="23.85546875" style="1" bestFit="1" customWidth="1"/>
    <col min="17" max="17" width="37.85546875" style="1" bestFit="1" customWidth="1"/>
    <col min="18" max="19" width="16.28515625" style="1" customWidth="1"/>
    <col min="20" max="21" width="18.42578125" style="1" customWidth="1"/>
    <col min="22" max="22" width="19.42578125" style="1" bestFit="1" customWidth="1"/>
    <col min="23" max="23" width="23.7109375" style="1" bestFit="1" customWidth="1"/>
    <col min="24" max="24" width="23.28515625" bestFit="1" customWidth="1"/>
    <col min="25" max="25" width="19.140625" style="1" bestFit="1" customWidth="1"/>
    <col min="26" max="27" width="17.42578125" style="1" customWidth="1"/>
    <col min="28" max="28" width="18.85546875" style="1" customWidth="1"/>
    <col min="29" max="29" width="15.5703125" style="1" bestFit="1" customWidth="1"/>
    <col min="30" max="30" width="15.5703125" style="1" customWidth="1"/>
    <col min="31" max="31" width="17.140625" style="1" bestFit="1" customWidth="1"/>
    <col min="32" max="32" width="87.7109375" style="46" bestFit="1" customWidth="1"/>
    <col min="33" max="35" width="10.28515625" bestFit="1" customWidth="1"/>
    <col min="36" max="36" width="13.5703125" bestFit="1" customWidth="1"/>
    <col min="37" max="37" width="30.85546875" bestFit="1" customWidth="1"/>
    <col min="38" max="38" width="12.140625" bestFit="1" customWidth="1"/>
  </cols>
  <sheetData>
    <row r="1" spans="1:37" s="12" customFormat="1" ht="20.25" customHeight="1" thickBot="1" x14ac:dyDescent="0.3">
      <c r="A1" s="78">
        <v>6</v>
      </c>
      <c r="B1" s="17" t="s">
        <v>13</v>
      </c>
      <c r="C1" s="184" t="s">
        <v>14</v>
      </c>
      <c r="D1" s="184"/>
      <c r="E1" s="185" t="s">
        <v>870</v>
      </c>
      <c r="F1" s="186"/>
      <c r="G1" s="186"/>
      <c r="H1" s="186"/>
      <c r="I1" s="186"/>
      <c r="J1" s="186"/>
      <c r="K1" s="186"/>
      <c r="L1" s="186"/>
      <c r="M1" s="186"/>
      <c r="N1" s="187"/>
      <c r="O1" s="185" t="s">
        <v>597</v>
      </c>
      <c r="P1" s="186"/>
      <c r="Q1" s="187"/>
      <c r="R1" s="185" t="s">
        <v>598</v>
      </c>
      <c r="S1" s="186"/>
      <c r="T1" s="186"/>
      <c r="U1" s="186"/>
      <c r="V1" s="186"/>
      <c r="W1" s="187"/>
      <c r="X1" s="185" t="s">
        <v>871</v>
      </c>
      <c r="Y1" s="186"/>
      <c r="Z1" s="186"/>
      <c r="AA1" s="186"/>
      <c r="AB1" s="79"/>
      <c r="AC1" s="79"/>
      <c r="AD1" s="79"/>
      <c r="AE1" s="79"/>
      <c r="AF1" s="79"/>
      <c r="AG1" s="189" t="s">
        <v>24</v>
      </c>
      <c r="AH1" s="189"/>
      <c r="AI1" s="189"/>
      <c r="AJ1" s="80"/>
    </row>
    <row r="2" spans="1:37" ht="25.5" x14ac:dyDescent="0.25">
      <c r="A2" s="56" t="s">
        <v>25</v>
      </c>
      <c r="B2" s="56" t="s">
        <v>26</v>
      </c>
      <c r="C2" s="76" t="s">
        <v>27</v>
      </c>
      <c r="D2" s="56" t="s">
        <v>28</v>
      </c>
      <c r="E2" s="56" t="s">
        <v>29</v>
      </c>
      <c r="F2" s="56" t="s">
        <v>30</v>
      </c>
      <c r="G2" s="56" t="s">
        <v>31</v>
      </c>
      <c r="H2" s="56" t="s">
        <v>32</v>
      </c>
      <c r="I2" s="56" t="s">
        <v>33</v>
      </c>
      <c r="J2" s="56" t="s">
        <v>34</v>
      </c>
      <c r="K2" s="56" t="s">
        <v>872</v>
      </c>
      <c r="L2" s="56" t="s">
        <v>36</v>
      </c>
      <c r="M2" s="56" t="s">
        <v>37</v>
      </c>
      <c r="N2" s="61" t="s">
        <v>38</v>
      </c>
      <c r="O2" s="56" t="s">
        <v>602</v>
      </c>
      <c r="P2" s="56" t="s">
        <v>603</v>
      </c>
      <c r="Q2" s="56" t="s">
        <v>604</v>
      </c>
      <c r="R2" s="56" t="s">
        <v>42</v>
      </c>
      <c r="S2" s="56" t="s">
        <v>43</v>
      </c>
      <c r="T2" s="56" t="s">
        <v>44</v>
      </c>
      <c r="U2" s="56" t="s">
        <v>45</v>
      </c>
      <c r="V2" s="56" t="s">
        <v>605</v>
      </c>
      <c r="W2" s="56" t="s">
        <v>606</v>
      </c>
      <c r="X2" s="56" t="s">
        <v>57</v>
      </c>
      <c r="Y2" s="56" t="s">
        <v>58</v>
      </c>
      <c r="Z2" s="57" t="s">
        <v>59</v>
      </c>
      <c r="AA2" s="83" t="s">
        <v>873</v>
      </c>
      <c r="AB2" s="58" t="s">
        <v>63</v>
      </c>
      <c r="AC2" s="58" t="s">
        <v>64</v>
      </c>
      <c r="AD2" s="58" t="s">
        <v>65</v>
      </c>
      <c r="AE2" s="58" t="s">
        <v>66</v>
      </c>
      <c r="AF2" s="58" t="s">
        <v>67</v>
      </c>
      <c r="AG2" s="56" t="s">
        <v>68</v>
      </c>
      <c r="AH2" s="56" t="s">
        <v>69</v>
      </c>
      <c r="AI2" s="56" t="s">
        <v>70</v>
      </c>
      <c r="AJ2" s="59" t="s">
        <v>71</v>
      </c>
      <c r="AK2" s="83" t="s">
        <v>72</v>
      </c>
    </row>
    <row r="3" spans="1:37" x14ac:dyDescent="0.25">
      <c r="A3" s="43">
        <f>IF(tbl_server[[#This Row],[No Asset]]&lt;&gt;"",SUBTOTAL(3,INDEX(tbl_server[No Asset],1):tbl_server[[#This Row],[No Asset]]),"")</f>
        <v>1</v>
      </c>
      <c r="B3" s="13" t="str">
        <f>IF(OR(tbl_server[[#This Row],[Purchase Date]]="",tbl_server[[#This Row],[Categories]]=""),"",
TEXT(tbl_server[[#This Row],[Purchase Date]],"YYMM")&amp;
_xlfn.XLOOKUP(tbl_server[[#This Row],[Categories]],CODEX!$Z:$Z,CODEX!$W:$W,"")&amp;
TEXT(_xlfn.XLOOKUP(tbl_server[[#This Row],[Categories]],CODEX!$Z:$Z,CODEX!$Y:$Y,""),"00")&amp;
TEXT(COUNTIFS(INDEX(tbl_server[Purchase Date],1):tbl_server[[#This Row],[Purchase Date]],"&gt;="&amp;DATE(YEAR(tbl_server[[#This Row],[Purchase Date]]),MONTH(tbl_server[[#This Row],[Purchase Date]]),1),INDEX(tbl_server[Purchase Date],1):tbl_server[[#This Row],[Purchase Date]],"&lt;"&amp;EDATE(DATE(YEAR(tbl_server[[#This Row],[Purchase Date]]),MONTH(tbl_server[[#This Row],[Purchase Date]]),1),1),INDEX(tbl_server[Categories],1):tbl_server[[#This Row],[Categories]],tbl_server[[#This Row],[Categories]]),"000"))</f>
        <v>2601107001</v>
      </c>
      <c r="C3" s="74">
        <v>46023</v>
      </c>
      <c r="D3" t="s">
        <v>612</v>
      </c>
      <c r="E3" t="s">
        <v>74</v>
      </c>
      <c r="F3" s="45" t="s">
        <v>613</v>
      </c>
      <c r="G3" s="1" t="s">
        <v>1088</v>
      </c>
      <c r="H3" s="1" t="s">
        <v>1088</v>
      </c>
      <c r="I3" t="s">
        <v>1089</v>
      </c>
      <c r="J3" t="s">
        <v>1090</v>
      </c>
      <c r="K3" s="13" t="s">
        <v>1091</v>
      </c>
      <c r="L3" s="1" t="s">
        <v>1092</v>
      </c>
      <c r="M3" s="1" t="s">
        <v>1093</v>
      </c>
      <c r="N3" s="13"/>
      <c r="O3" s="1" t="s">
        <v>1094</v>
      </c>
      <c r="P3" s="1" t="s">
        <v>1095</v>
      </c>
      <c r="Q3" s="142" t="s">
        <v>937</v>
      </c>
      <c r="R3" s="1" t="s">
        <v>87</v>
      </c>
      <c r="S3" s="50" t="s">
        <v>1096</v>
      </c>
      <c r="T3" s="1" t="s">
        <v>87</v>
      </c>
      <c r="U3" t="s">
        <v>1097</v>
      </c>
      <c r="V3" s="141" t="s">
        <v>884</v>
      </c>
      <c r="W3" s="141" t="s">
        <v>1098</v>
      </c>
      <c r="X3" s="13" t="s">
        <v>1099</v>
      </c>
      <c r="Y3" s="13" t="s">
        <v>1100</v>
      </c>
      <c r="Z3" s="13" t="s">
        <v>1101</v>
      </c>
      <c r="AA3" s="13" t="s">
        <v>1102</v>
      </c>
      <c r="AB3" s="1" t="s">
        <v>122</v>
      </c>
      <c r="AC3" s="1" t="s">
        <v>630</v>
      </c>
      <c r="AD3" s="1" t="s">
        <v>105</v>
      </c>
      <c r="AE3" s="1" t="s">
        <v>154</v>
      </c>
      <c r="AF3" s="125"/>
      <c r="AJ3" s="60" t="b">
        <v>0</v>
      </c>
      <c r="AK3" t="s">
        <v>631</v>
      </c>
    </row>
    <row r="4" spans="1:37" x14ac:dyDescent="0.25">
      <c r="A4" s="43">
        <f>IF(tbl_server[[#This Row],[No Asset]]&lt;&gt;"",SUBTOTAL(3,INDEX(tbl_server[No Asset],1):tbl_server[[#This Row],[No Asset]]),"")</f>
        <v>2</v>
      </c>
      <c r="B4" s="65" t="str">
        <f>IF(OR(tbl_server[[#This Row],[Purchase Date]]="",tbl_server[[#This Row],[Categories]]=""),"",
TEXT(tbl_server[[#This Row],[Purchase Date]],"YYMM")&amp;
_xlfn.XLOOKUP(tbl_server[[#This Row],[Categories]],CODEX!$Z:$Z,CODEX!$W:$W,"")&amp;
TEXT(_xlfn.XLOOKUP(tbl_server[[#This Row],[Categories]],CODEX!$Z:$Z,CODEX!$Y:$Y,""),"00")&amp;
TEXT(COUNTIFS(INDEX(tbl_server[Purchase Date],1):tbl_server[[#This Row],[Purchase Date]],"&gt;="&amp;DATE(YEAR(tbl_server[[#This Row],[Purchase Date]]),MONTH(tbl_server[[#This Row],[Purchase Date]]),1),INDEX(tbl_server[Purchase Date],1):tbl_server[[#This Row],[Purchase Date]],"&lt;"&amp;EDATE(DATE(YEAR(tbl_server[[#This Row],[Purchase Date]]),MONTH(tbl_server[[#This Row],[Purchase Date]]),1),1),INDEX(tbl_server[Categories],1):tbl_server[[#This Row],[Categories]],tbl_server[[#This Row],[Categories]]),"000"))</f>
        <v>2601107002</v>
      </c>
      <c r="C4" s="74">
        <v>46023</v>
      </c>
      <c r="D4" t="s">
        <v>612</v>
      </c>
      <c r="E4" t="s">
        <v>74</v>
      </c>
      <c r="F4" s="45" t="s">
        <v>613</v>
      </c>
      <c r="G4" s="1" t="s">
        <v>1088</v>
      </c>
      <c r="H4" s="1" t="s">
        <v>1088</v>
      </c>
      <c r="I4" t="s">
        <v>1089</v>
      </c>
      <c r="J4" t="s">
        <v>1103</v>
      </c>
      <c r="K4" s="13" t="s">
        <v>1104</v>
      </c>
      <c r="L4" s="1" t="s">
        <v>1092</v>
      </c>
      <c r="M4" s="1" t="s">
        <v>1093</v>
      </c>
      <c r="N4" s="13"/>
      <c r="O4" s="1" t="s">
        <v>1094</v>
      </c>
      <c r="P4" s="1" t="s">
        <v>1095</v>
      </c>
      <c r="Q4" s="142" t="s">
        <v>1105</v>
      </c>
      <c r="R4" s="1" t="s">
        <v>87</v>
      </c>
      <c r="S4" s="50" t="s">
        <v>1106</v>
      </c>
      <c r="T4" s="1" t="s">
        <v>87</v>
      </c>
      <c r="U4" t="s">
        <v>1107</v>
      </c>
      <c r="V4" s="50" t="s">
        <v>884</v>
      </c>
      <c r="W4" s="141" t="s">
        <v>1108</v>
      </c>
      <c r="X4" s="13" t="s">
        <v>1099</v>
      </c>
      <c r="Y4" s="13" t="s">
        <v>1100</v>
      </c>
      <c r="Z4" s="13" t="s">
        <v>1109</v>
      </c>
      <c r="AA4" s="13" t="s">
        <v>1102</v>
      </c>
      <c r="AB4" s="1" t="s">
        <v>122</v>
      </c>
      <c r="AC4" s="1" t="s">
        <v>630</v>
      </c>
      <c r="AD4" s="1" t="s">
        <v>105</v>
      </c>
      <c r="AE4" s="1" t="s">
        <v>154</v>
      </c>
      <c r="AF4" s="125"/>
      <c r="AJ4" s="60" t="b">
        <v>0</v>
      </c>
      <c r="AK4" t="s">
        <v>631</v>
      </c>
    </row>
    <row r="5" spans="1:37" x14ac:dyDescent="0.25">
      <c r="A5" s="43" t="str">
        <f>IF(tbl_server[[#This Row],[No Asset]]&lt;&gt;"",SUBTOTAL(3,INDEX(tbl_server[No Asset],1):tbl_server[[#This Row],[No Asset]]),"")</f>
        <v/>
      </c>
      <c r="B5" s="65" t="str">
        <f>IF(OR(tbl_server[[#This Row],[Purchase Date]]="",tbl_server[[#This Row],[Categories]]=""),"",
TEXT(tbl_server[[#This Row],[Purchase Date]],"YYMM")&amp;
_xlfn.XLOOKUP(tbl_server[[#This Row],[Categories]],CODEX!$Z:$Z,CODEX!$W:$W,"")&amp;
TEXT(_xlfn.XLOOKUP(tbl_server[[#This Row],[Categories]],CODEX!$Z:$Z,CODEX!$Y:$Y,""),"00")&amp;
TEXT(COUNTIFS(INDEX(tbl_server[Purchase Date],1):tbl_server[[#This Row],[Purchase Date]],"&gt;="&amp;DATE(YEAR(tbl_server[[#This Row],[Purchase Date]]),MONTH(tbl_server[[#This Row],[Purchase Date]]),1),INDEX(tbl_server[Purchase Date],1):tbl_server[[#This Row],[Purchase Date]],"&lt;"&amp;EDATE(DATE(YEAR(tbl_server[[#This Row],[Purchase Date]]),MONTH(tbl_server[[#This Row],[Purchase Date]]),1),1),INDEX(tbl_server[Categories],1):tbl_server[[#This Row],[Categories]],tbl_server[[#This Row],[Categories]]),"000"))</f>
        <v/>
      </c>
      <c r="E5" s="13"/>
      <c r="F5" s="45"/>
      <c r="M5" s="46"/>
      <c r="O5" s="46"/>
      <c r="X5" s="1"/>
      <c r="Y5" s="13"/>
      <c r="AF5" s="125"/>
      <c r="AJ5" s="60" t="b">
        <v>0</v>
      </c>
      <c r="AK5" t="str">
        <f>_xlfn.IFNA(INDEX(tbl_handover[No. Handover],MATCH(tbl_server[[#This Row],[No Asset]],tbl_handover[Asset Code],0)),"")</f>
        <v/>
      </c>
    </row>
    <row r="6" spans="1:37" x14ac:dyDescent="0.25">
      <c r="A6" s="43" t="str">
        <f>IF(tbl_server[[#This Row],[No Asset]]&lt;&gt;"",SUBTOTAL(3,INDEX(tbl_server[No Asset],1):tbl_server[[#This Row],[No Asset]]),"")</f>
        <v/>
      </c>
      <c r="B6" s="65" t="str">
        <f>IF(OR(tbl_server[[#This Row],[Purchase Date]]="",tbl_server[[#This Row],[Categories]]=""),"",
TEXT(tbl_server[[#This Row],[Purchase Date]],"YYMM")&amp;
_xlfn.XLOOKUP(tbl_server[[#This Row],[Categories]],CODEX!$Z:$Z,CODEX!$W:$W,"")&amp;
TEXT(_xlfn.XLOOKUP(tbl_server[[#This Row],[Categories]],CODEX!$Z:$Z,CODEX!$Y:$Y,""),"00")&amp;
TEXT(COUNTIFS(INDEX(tbl_server[Purchase Date],1):tbl_server[[#This Row],[Purchase Date]],"&gt;="&amp;DATE(YEAR(tbl_server[[#This Row],[Purchase Date]]),MONTH(tbl_server[[#This Row],[Purchase Date]]),1),INDEX(tbl_server[Purchase Date],1):tbl_server[[#This Row],[Purchase Date]],"&lt;"&amp;EDATE(DATE(YEAR(tbl_server[[#This Row],[Purchase Date]]),MONTH(tbl_server[[#This Row],[Purchase Date]]),1),1),INDEX(tbl_server[Categories],1):tbl_server[[#This Row],[Categories]],tbl_server[[#This Row],[Categories]]),"000"))</f>
        <v/>
      </c>
      <c r="E6" s="13"/>
      <c r="F6" s="45"/>
      <c r="O6" s="46"/>
      <c r="X6" s="13"/>
      <c r="Y6" s="13"/>
      <c r="Z6" s="13"/>
      <c r="AA6" s="13"/>
      <c r="AF6" s="125"/>
      <c r="AJ6" s="60" t="b">
        <v>0</v>
      </c>
      <c r="AK6" t="str">
        <f>_xlfn.IFNA(INDEX(tbl_handover[No. Handover],MATCH(tbl_server[[#This Row],[No Asset]],tbl_handover[Asset Code],0)),"")</f>
        <v/>
      </c>
    </row>
    <row r="7" spans="1:37" x14ac:dyDescent="0.25">
      <c r="A7" s="43" t="str">
        <f>IF(tbl_server[[#This Row],[No Asset]]&lt;&gt;"",SUBTOTAL(3,INDEX(tbl_server[No Asset],1):tbl_server[[#This Row],[No Asset]]),"")</f>
        <v/>
      </c>
      <c r="B7" s="65" t="str">
        <f>IF(OR(tbl_server[[#This Row],[Purchase Date]]="",tbl_server[[#This Row],[Categories]]=""),"",
TEXT(tbl_server[[#This Row],[Purchase Date]],"YYMM")&amp;
_xlfn.XLOOKUP(tbl_server[[#This Row],[Categories]],CODEX!$Z:$Z,CODEX!$W:$W,"")&amp;
TEXT(_xlfn.XLOOKUP(tbl_server[[#This Row],[Categories]],CODEX!$Z:$Z,CODEX!$Y:$Y,""),"00")&amp;
TEXT(COUNTIFS(INDEX(tbl_server[Purchase Date],1):tbl_server[[#This Row],[Purchase Date]],"&gt;="&amp;DATE(YEAR(tbl_server[[#This Row],[Purchase Date]]),MONTH(tbl_server[[#This Row],[Purchase Date]]),1),INDEX(tbl_server[Purchase Date],1):tbl_server[[#This Row],[Purchase Date]],"&lt;"&amp;EDATE(DATE(YEAR(tbl_server[[#This Row],[Purchase Date]]),MONTH(tbl_server[[#This Row],[Purchase Date]]),1),1),INDEX(tbl_server[Categories],1):tbl_server[[#This Row],[Categories]],tbl_server[[#This Row],[Categories]]),"000"))</f>
        <v/>
      </c>
      <c r="E7" s="13"/>
      <c r="F7" s="45"/>
      <c r="O7" s="63"/>
      <c r="X7" s="13"/>
      <c r="Y7" s="13"/>
      <c r="Z7" s="13"/>
      <c r="AA7" s="13"/>
      <c r="AF7" s="125"/>
      <c r="AJ7" s="60" t="b">
        <v>0</v>
      </c>
      <c r="AK7" t="str">
        <f>_xlfn.IFNA(INDEX(tbl_handover[No. Handover],MATCH(tbl_server[[#This Row],[No Asset]],tbl_handover[Asset Code],0)),"")</f>
        <v/>
      </c>
    </row>
    <row r="8" spans="1:37" x14ac:dyDescent="0.25">
      <c r="A8" s="43" t="str">
        <f>IF(tbl_server[[#This Row],[No Asset]]&lt;&gt;"",SUBTOTAL(3,INDEX(tbl_server[No Asset],1):tbl_server[[#This Row],[No Asset]]),"")</f>
        <v/>
      </c>
      <c r="B8" s="65" t="str">
        <f>IF(OR(tbl_server[[#This Row],[Purchase Date]]="",tbl_server[[#This Row],[Categories]]=""),"",
TEXT(tbl_server[[#This Row],[Purchase Date]],"YYMM")&amp;
_xlfn.XLOOKUP(tbl_server[[#This Row],[Categories]],CODEX!$Z:$Z,CODEX!$W:$W,"")&amp;
TEXT(_xlfn.XLOOKUP(tbl_server[[#This Row],[Categories]],CODEX!$Z:$Z,CODEX!$Y:$Y,""),"00")&amp;
TEXT(COUNTIFS(INDEX(tbl_server[Purchase Date],1):tbl_server[[#This Row],[Purchase Date]],"&gt;="&amp;DATE(YEAR(tbl_server[[#This Row],[Purchase Date]]),MONTH(tbl_server[[#This Row],[Purchase Date]]),1),INDEX(tbl_server[Purchase Date],1):tbl_server[[#This Row],[Purchase Date]],"&lt;"&amp;EDATE(DATE(YEAR(tbl_server[[#This Row],[Purchase Date]]),MONTH(tbl_server[[#This Row],[Purchase Date]]),1),1),INDEX(tbl_server[Categories],1):tbl_server[[#This Row],[Categories]],tbl_server[[#This Row],[Categories]]),"000"))</f>
        <v/>
      </c>
      <c r="E8" s="13"/>
      <c r="F8" s="45"/>
      <c r="O8" s="46"/>
      <c r="X8" s="13"/>
      <c r="Y8" s="13"/>
      <c r="Z8" s="13"/>
      <c r="AA8" s="13"/>
      <c r="AF8" s="125"/>
      <c r="AJ8" s="60" t="b">
        <v>0</v>
      </c>
      <c r="AK8" t="str">
        <f>_xlfn.IFNA(INDEX(tbl_handover[No. Handover],MATCH(tbl_server[[#This Row],[No Asset]],tbl_handover[Asset Code],0)),"")</f>
        <v/>
      </c>
    </row>
    <row r="9" spans="1:37" x14ac:dyDescent="0.25">
      <c r="A9" s="43" t="str">
        <f>IF(tbl_server[[#This Row],[No Asset]]&lt;&gt;"",SUBTOTAL(3,INDEX(tbl_server[No Asset],1):tbl_server[[#This Row],[No Asset]]),"")</f>
        <v/>
      </c>
      <c r="B9" s="65" t="str">
        <f>IF(OR(tbl_server[[#This Row],[Purchase Date]]="",tbl_server[[#This Row],[Categories]]=""),"",
TEXT(tbl_server[[#This Row],[Purchase Date]],"YYMM")&amp;
_xlfn.XLOOKUP(tbl_server[[#This Row],[Categories]],CODEX!$Z:$Z,CODEX!$W:$W,"")&amp;
TEXT(_xlfn.XLOOKUP(tbl_server[[#This Row],[Categories]],CODEX!$Z:$Z,CODEX!$Y:$Y,""),"00")&amp;
TEXT(COUNTIFS(INDEX(tbl_server[Purchase Date],1):tbl_server[[#This Row],[Purchase Date]],"&gt;="&amp;DATE(YEAR(tbl_server[[#This Row],[Purchase Date]]),MONTH(tbl_server[[#This Row],[Purchase Date]]),1),INDEX(tbl_server[Purchase Date],1):tbl_server[[#This Row],[Purchase Date]],"&lt;"&amp;EDATE(DATE(YEAR(tbl_server[[#This Row],[Purchase Date]]),MONTH(tbl_server[[#This Row],[Purchase Date]]),1),1),INDEX(tbl_server[Categories],1):tbl_server[[#This Row],[Categories]],tbl_server[[#This Row],[Categories]]),"000"))</f>
        <v/>
      </c>
      <c r="E9" s="13"/>
      <c r="F9" s="45"/>
      <c r="O9" s="49"/>
      <c r="X9" s="13"/>
      <c r="Y9" s="13"/>
      <c r="Z9" s="13"/>
      <c r="AA9" s="13"/>
      <c r="AF9" s="125"/>
      <c r="AJ9" s="60" t="b">
        <v>0</v>
      </c>
      <c r="AK9" t="str">
        <f>_xlfn.IFNA(INDEX(tbl_handover[No. Handover],MATCH(tbl_server[[#This Row],[No Asset]],tbl_handover[Asset Code],0)),"")</f>
        <v/>
      </c>
    </row>
    <row r="10" spans="1:37" x14ac:dyDescent="0.25">
      <c r="A10" s="43" t="str">
        <f>IF(tbl_server[[#This Row],[No Asset]]&lt;&gt;"",SUBTOTAL(3,INDEX(tbl_server[No Asset],1):tbl_server[[#This Row],[No Asset]]),"")</f>
        <v/>
      </c>
      <c r="B10" s="65" t="str">
        <f>IF(OR(tbl_server[[#This Row],[Purchase Date]]="",tbl_server[[#This Row],[Categories]]=""),"",
TEXT(tbl_server[[#This Row],[Purchase Date]],"YYMM")&amp;
_xlfn.XLOOKUP(tbl_server[[#This Row],[Categories]],CODEX!$Z:$Z,CODEX!$W:$W,"")&amp;
TEXT(_xlfn.XLOOKUP(tbl_server[[#This Row],[Categories]],CODEX!$Z:$Z,CODEX!$Y:$Y,""),"00")&amp;
TEXT(COUNTIFS(INDEX(tbl_server[Purchase Date],1):tbl_server[[#This Row],[Purchase Date]],"&gt;="&amp;DATE(YEAR(tbl_server[[#This Row],[Purchase Date]]),MONTH(tbl_server[[#This Row],[Purchase Date]]),1),INDEX(tbl_server[Purchase Date],1):tbl_server[[#This Row],[Purchase Date]],"&lt;"&amp;EDATE(DATE(YEAR(tbl_server[[#This Row],[Purchase Date]]),MONTH(tbl_server[[#This Row],[Purchase Date]]),1),1),INDEX(tbl_server[Categories],1):tbl_server[[#This Row],[Categories]],tbl_server[[#This Row],[Categories]]),"000"))</f>
        <v/>
      </c>
      <c r="E10" s="13"/>
      <c r="F10" s="45"/>
      <c r="O10" s="49"/>
      <c r="X10" s="13"/>
      <c r="Y10" s="13"/>
      <c r="Z10" s="13"/>
      <c r="AA10" s="13"/>
      <c r="AF10" s="125"/>
      <c r="AJ10" s="60" t="b">
        <v>0</v>
      </c>
      <c r="AK10" t="str">
        <f>_xlfn.IFNA(INDEX(tbl_handover[No. Handover],MATCH(tbl_server[[#This Row],[No Asset]],tbl_handover[Asset Code],0)),"")</f>
        <v/>
      </c>
    </row>
    <row r="11" spans="1:37" x14ac:dyDescent="0.25">
      <c r="A11" s="43" t="str">
        <f>IF(tbl_server[[#This Row],[No Asset]]&lt;&gt;"",SUBTOTAL(3,INDEX(tbl_server[No Asset],1):tbl_server[[#This Row],[No Asset]]),"")</f>
        <v/>
      </c>
      <c r="B11" s="65" t="str">
        <f>IF(OR(tbl_server[[#This Row],[Purchase Date]]="",tbl_server[[#This Row],[Categories]]=""),"",
TEXT(tbl_server[[#This Row],[Purchase Date]],"YYMM")&amp;
_xlfn.XLOOKUP(tbl_server[[#This Row],[Categories]],CODEX!$Z:$Z,CODEX!$W:$W,"")&amp;
TEXT(_xlfn.XLOOKUP(tbl_server[[#This Row],[Categories]],CODEX!$Z:$Z,CODEX!$Y:$Y,""),"00")&amp;
TEXT(COUNTIFS(INDEX(tbl_server[Purchase Date],1):tbl_server[[#This Row],[Purchase Date]],"&gt;="&amp;DATE(YEAR(tbl_server[[#This Row],[Purchase Date]]),MONTH(tbl_server[[#This Row],[Purchase Date]]),1),INDEX(tbl_server[Purchase Date],1):tbl_server[[#This Row],[Purchase Date]],"&lt;"&amp;EDATE(DATE(YEAR(tbl_server[[#This Row],[Purchase Date]]),MONTH(tbl_server[[#This Row],[Purchase Date]]),1),1),INDEX(tbl_server[Categories],1):tbl_server[[#This Row],[Categories]],tbl_server[[#This Row],[Categories]]),"000"))</f>
        <v/>
      </c>
      <c r="E11" s="13"/>
      <c r="F11" s="45"/>
      <c r="O11" s="46"/>
      <c r="R11" s="50"/>
      <c r="X11" s="50"/>
      <c r="Y11" s="13"/>
      <c r="AF11" s="125"/>
      <c r="AJ11" s="60" t="b">
        <v>0</v>
      </c>
      <c r="AK11" t="str">
        <f>_xlfn.IFNA(INDEX(tbl_handover[No. Handover],MATCH(tbl_server[[#This Row],[No Asset]],tbl_handover[Asset Code],0)),"")</f>
        <v/>
      </c>
    </row>
    <row r="12" spans="1:37" x14ac:dyDescent="0.25">
      <c r="A12" s="43" t="str">
        <f>IF(tbl_server[[#This Row],[No Asset]]&lt;&gt;"",SUBTOTAL(3,INDEX(tbl_server[No Asset],1):tbl_server[[#This Row],[No Asset]]),"")</f>
        <v/>
      </c>
      <c r="B12" s="65" t="str">
        <f>IF(OR(tbl_server[[#This Row],[Purchase Date]]="",tbl_server[[#This Row],[Categories]]=""),"",
TEXT(tbl_server[[#This Row],[Purchase Date]],"YYMM")&amp;
_xlfn.XLOOKUP(tbl_server[[#This Row],[Categories]],CODEX!$Z:$Z,CODEX!$W:$W,"")&amp;
TEXT(_xlfn.XLOOKUP(tbl_server[[#This Row],[Categories]],CODEX!$Z:$Z,CODEX!$Y:$Y,""),"00")&amp;
TEXT(COUNTIFS(INDEX(tbl_server[Purchase Date],1):tbl_server[[#This Row],[Purchase Date]],"&gt;="&amp;DATE(YEAR(tbl_server[[#This Row],[Purchase Date]]),MONTH(tbl_server[[#This Row],[Purchase Date]]),1),INDEX(tbl_server[Purchase Date],1):tbl_server[[#This Row],[Purchase Date]],"&lt;"&amp;EDATE(DATE(YEAR(tbl_server[[#This Row],[Purchase Date]]),MONTH(tbl_server[[#This Row],[Purchase Date]]),1),1),INDEX(tbl_server[Categories],1):tbl_server[[#This Row],[Categories]],tbl_server[[#This Row],[Categories]]),"000"))</f>
        <v/>
      </c>
      <c r="E12" s="13"/>
      <c r="F12" s="45"/>
      <c r="O12" s="49"/>
      <c r="X12" s="50"/>
      <c r="Y12" s="13"/>
      <c r="AF12" s="125"/>
      <c r="AJ12" s="60" t="b">
        <v>0</v>
      </c>
      <c r="AK12" t="str">
        <f>_xlfn.IFNA(INDEX(tbl_handover[No. Handover],MATCH(tbl_server[[#This Row],[No Asset]],tbl_handover[Asset Code],0)),"")</f>
        <v/>
      </c>
    </row>
  </sheetData>
  <mergeCells count="6">
    <mergeCell ref="AG1:AI1"/>
    <mergeCell ref="C1:D1"/>
    <mergeCell ref="E1:N1"/>
    <mergeCell ref="O1:Q1"/>
    <mergeCell ref="R1:W1"/>
    <mergeCell ref="X1:AA1"/>
  </mergeCells>
  <phoneticPr fontId="10" type="noConversion"/>
  <conditionalFormatting sqref="B3">
    <cfRule type="duplicateValues" dxfId="31" priority="11"/>
  </conditionalFormatting>
  <conditionalFormatting sqref="D3:F4 I3:I4">
    <cfRule type="containsBlanks" dxfId="30" priority="10">
      <formula>LEN(TRIM(D3))=0</formula>
    </cfRule>
  </conditionalFormatting>
  <conditionalFormatting sqref="G3:G12">
    <cfRule type="containsBlanks" dxfId="29" priority="1">
      <formula>LEN(TRIM(G3))=0</formula>
    </cfRule>
  </conditionalFormatting>
  <conditionalFormatting sqref="H3:H12">
    <cfRule type="containsBlanks" dxfId="28" priority="2">
      <formula>LEN(TRIM(H3))=0</formula>
    </cfRule>
  </conditionalFormatting>
  <conditionalFormatting sqref="K2">
    <cfRule type="duplicateValues" dxfId="27" priority="17"/>
  </conditionalFormatting>
  <conditionalFormatting sqref="K5:K12">
    <cfRule type="duplicateValues" dxfId="26" priority="18"/>
  </conditionalFormatting>
  <conditionalFormatting sqref="K3:M4">
    <cfRule type="containsBlanks" dxfId="25" priority="9">
      <formula>LEN(TRIM(K3))=0</formula>
    </cfRule>
  </conditionalFormatting>
  <conditionalFormatting sqref="S2">
    <cfRule type="duplicateValues" dxfId="24" priority="16"/>
  </conditionalFormatting>
  <conditionalFormatting sqref="U3:U4">
    <cfRule type="containsBlanks" dxfId="23" priority="8">
      <formula>LEN(TRIM(U3))=0</formula>
    </cfRule>
  </conditionalFormatting>
  <conditionalFormatting sqref="U2:W2">
    <cfRule type="duplicateValues" dxfId="22" priority="15"/>
  </conditionalFormatting>
  <conditionalFormatting sqref="V3:W3">
    <cfRule type="duplicateValues" dxfId="21" priority="13"/>
    <cfRule type="duplicateValues" dxfId="20" priority="14"/>
    <cfRule type="expression" priority="19">
      <formula>$K3="Tablet"</formula>
    </cfRule>
    <cfRule type="expression" dxfId="19" priority="20">
      <formula>$AP3="scrap"</formula>
    </cfRule>
  </conditionalFormatting>
  <conditionalFormatting sqref="V3:W4 C3:C4 J3:J4 N3:Q4 S3:S4 AA3:AE4 C5:F12 I5:AE12">
    <cfRule type="containsBlanks" dxfId="18" priority="12">
      <formula>LEN(TRIM(C3))=0</formula>
    </cfRule>
  </conditionalFormatting>
  <conditionalFormatting sqref="W4">
    <cfRule type="duplicateValues" dxfId="17" priority="3"/>
    <cfRule type="duplicateValues" dxfId="16" priority="4"/>
    <cfRule type="expression" priority="5">
      <formula>$K4="Tablet"</formula>
    </cfRule>
    <cfRule type="expression" dxfId="15" priority="6">
      <formula>$AP4="scrap"</formula>
    </cfRule>
  </conditionalFormatting>
  <conditionalFormatting sqref="X3:Z4">
    <cfRule type="containsBlanks" dxfId="14" priority="7">
      <formula>LEN(TRIM(X3))=0</formula>
    </cfRule>
  </conditionalFormatting>
  <dataValidations count="3">
    <dataValidation type="list" allowBlank="1" showInputMessage="1" showErrorMessage="1" promptTitle="Option" prompt="Select the storage type below" sqref="AA3:AA12" xr:uid="{1E377972-6473-4DB3-9F10-B1E9BE6DEE84}">
      <formula1>"PoE (Power over Ethernet), Adaptor 12V, Battery, Solar"</formula1>
    </dataValidation>
    <dataValidation type="list" allowBlank="1" showInputMessage="1" showErrorMessage="1" promptTitle="Option" prompt="Select the storage type below" sqref="Y5:Y12" xr:uid="{675B0BA0-EE66-49E8-BB34-51E65172D4B1}">
      <formula1>"MicroSD Capacity, Onboard Flash"</formula1>
    </dataValidation>
    <dataValidation type="list" allowBlank="1" showInputMessage="1" showErrorMessage="1" sqref="V3:V12" xr:uid="{01A3B59D-4DE6-413D-8697-C70E8BB2C3DA}">
      <formula1>"Ethernet (LAN), WiFi, Data Cellular, LoRaWAN, Zigbee"</formula1>
    </dataValidation>
  </dataValidations>
  <hyperlinks>
    <hyperlink ref="Q3" r:id="rId1" xr:uid="{B2E2ADC6-60B5-41F7-ACBF-1EB2F5806C5C}"/>
    <hyperlink ref="Q4" r:id="rId2" xr:uid="{1E2997BD-16FE-42B2-BE9D-583342F00394}"/>
  </hyperlinks>
  <pageMargins left="0.7" right="0.7" top="0.75" bottom="0.75" header="0.3" footer="0.3"/>
  <pageSetup paperSize="262" orientation="landscape" horizontalDpi="360" verticalDpi="360" r:id="rId3"/>
  <legacyDrawing r:id="rId4"/>
  <tableParts count="1"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7BDC5CF-B0F4-4AD2-A125-A6494CDD74EC}">
          <x14:formula1>
            <xm:f>CODEX!$O$3:$O$7</xm:f>
          </x14:formula1>
          <xm:sqref>AE3:AE12</xm:sqref>
        </x14:dataValidation>
        <x14:dataValidation type="list" allowBlank="1" showInputMessage="1" showErrorMessage="1" xr:uid="{426851C2-8C0E-480A-98A6-8B104A56CEF5}">
          <x14:formula1>
            <xm:f>CODEX!$H$3:$H$9</xm:f>
          </x14:formula1>
          <xm:sqref>AB3:AB12</xm:sqref>
        </x14:dataValidation>
        <x14:dataValidation type="list" allowBlank="1" showInputMessage="1" showErrorMessage="1" xr:uid="{0AD49837-E2CC-4543-9BC6-9E82B743FF30}">
          <x14:formula1>
            <xm:f>CODEX!$M$3:$M$8</xm:f>
          </x14:formula1>
          <xm:sqref>AD3:AD12</xm:sqref>
        </x14:dataValidation>
        <x14:dataValidation type="list" allowBlank="1" showInputMessage="1" showErrorMessage="1" xr:uid="{9CDB0D7B-16BE-474B-8A5B-94A5859D094E}">
          <x14:formula1>
            <xm:f>CODEX!$A$3:$A$13</xm:f>
          </x14:formula1>
          <xm:sqref>E5:E12</xm:sqref>
        </x14:dataValidation>
        <x14:dataValidation type="list" allowBlank="1" showInputMessage="1" showErrorMessage="1" xr:uid="{D7EF9999-2D61-4BC2-BD1E-365A87F8F6FC}">
          <x14:formula1>
            <xm:f>CODEX!$F$3:$F$27</xm:f>
          </x14:formula1>
          <xm:sqref>F3:F12</xm:sqref>
        </x14:dataValidation>
        <x14:dataValidation type="list" allowBlank="1" showInputMessage="1" showErrorMessage="1" xr:uid="{1C158381-ECAC-4923-A9F3-BDFD4FEC1512}">
          <x14:formula1>
            <xm:f>CODEX!$J$3:$J$8</xm:f>
          </x14:formula1>
          <xm:sqref>AC3:AC12</xm:sqref>
        </x14:dataValidation>
        <x14:dataValidation type="list" allowBlank="1" showInputMessage="1" showErrorMessage="1" xr:uid="{81858A33-C463-4495-97C2-C1C2E5A8FEA3}">
          <x14:formula1>
            <xm:f>CODEX!$A$3:$A$7</xm:f>
          </x14:formula1>
          <xm:sqref>E3:E4</xm:sqref>
        </x14:dataValidation>
        <x14:dataValidation type="list" allowBlank="1" showInputMessage="1" showErrorMessage="1" xr:uid="{B1250DC8-5368-44D5-AA71-FE1DF3409016}">
          <x14:formula1>
            <xm:f>CODEX!$Z$9</xm:f>
          </x14:formula1>
          <xm:sqref>G3:G12</xm:sqref>
        </x14:dataValidation>
        <x14:dataValidation type="list" allowBlank="1" showInputMessage="1" showErrorMessage="1" xr:uid="{2B921723-6C7E-492D-84EB-67B48D297725}">
          <x14:formula1>
            <xm:f>CODEX!$AD$53:$AD$55</xm:f>
          </x14:formula1>
          <xm:sqref>H3:H1048576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8FE92-F36F-4480-9B89-FA2E86F5B0C1}">
  <dimension ref="A1:U1001"/>
  <sheetViews>
    <sheetView topLeftCell="E28" workbookViewId="0">
      <selection activeCell="H49" sqref="H49"/>
    </sheetView>
  </sheetViews>
  <sheetFormatPr defaultRowHeight="15" x14ac:dyDescent="0.25"/>
  <cols>
    <col min="1" max="1" width="6" style="13" customWidth="1"/>
    <col min="2" max="2" width="33.85546875" customWidth="1"/>
    <col min="3" max="3" width="13.28515625" style="16" customWidth="1"/>
    <col min="4" max="4" width="14.5703125" style="16" customWidth="1"/>
    <col min="5" max="5" width="23.42578125" customWidth="1"/>
    <col min="6" max="6" width="14.140625" style="13" bestFit="1" customWidth="1"/>
    <col min="7" max="7" width="25.140625" customWidth="1"/>
    <col min="8" max="8" width="38.28515625" customWidth="1"/>
    <col min="9" max="9" width="15.42578125" style="1" customWidth="1"/>
    <col min="10" max="10" width="26.5703125" style="1" customWidth="1"/>
    <col min="11" max="11" width="14.85546875" customWidth="1"/>
    <col min="12" max="12" width="66.42578125" bestFit="1" customWidth="1"/>
    <col min="13" max="13" width="22" bestFit="1" customWidth="1"/>
    <col min="14" max="14" width="27.42578125" style="1" customWidth="1"/>
    <col min="15" max="15" width="15.5703125" style="1" customWidth="1"/>
    <col min="16" max="16" width="28.42578125" bestFit="1" customWidth="1"/>
    <col min="17" max="17" width="18.85546875" style="1" customWidth="1"/>
    <col min="18" max="18" width="8.7109375" style="1" bestFit="1" customWidth="1"/>
    <col min="19" max="19" width="12.85546875" style="1" customWidth="1"/>
    <col min="20" max="20" width="26.5703125" customWidth="1"/>
    <col min="21" max="21" width="12" bestFit="1" customWidth="1"/>
  </cols>
  <sheetData>
    <row r="1" spans="1:21" x14ac:dyDescent="0.25">
      <c r="A1" s="15" t="s">
        <v>25</v>
      </c>
      <c r="B1" s="15" t="s">
        <v>1110</v>
      </c>
      <c r="C1" s="19" t="s">
        <v>1111</v>
      </c>
      <c r="D1" s="19" t="s">
        <v>1112</v>
      </c>
      <c r="E1" s="15" t="s">
        <v>1113</v>
      </c>
      <c r="F1" s="15" t="s">
        <v>1114</v>
      </c>
      <c r="G1" s="15" t="s">
        <v>1115</v>
      </c>
      <c r="H1" s="15" t="s">
        <v>1116</v>
      </c>
      <c r="I1" s="15" t="s">
        <v>1117</v>
      </c>
      <c r="J1" s="15" t="s">
        <v>1118</v>
      </c>
      <c r="K1" s="15" t="s">
        <v>1119</v>
      </c>
      <c r="L1" s="15" t="s">
        <v>1120</v>
      </c>
      <c r="M1" s="15" t="s">
        <v>34</v>
      </c>
      <c r="N1" s="15" t="s">
        <v>1121</v>
      </c>
      <c r="O1" s="15" t="s">
        <v>29</v>
      </c>
      <c r="P1" s="15" t="s">
        <v>1122</v>
      </c>
      <c r="Q1" s="15" t="s">
        <v>1123</v>
      </c>
      <c r="R1" s="15" t="s">
        <v>1124</v>
      </c>
      <c r="S1" s="15" t="s">
        <v>1125</v>
      </c>
      <c r="T1" s="15" t="s">
        <v>508</v>
      </c>
      <c r="U1" s="64" t="s">
        <v>71</v>
      </c>
    </row>
    <row r="2" spans="1:21" x14ac:dyDescent="0.25">
      <c r="A2" s="43">
        <f>IF(B2&lt;&gt;"",SUBTOTAL(3,$B$1:B1),"")</f>
        <v>1</v>
      </c>
      <c r="B2" t="s">
        <v>1126</v>
      </c>
      <c r="C2" s="74">
        <v>46268</v>
      </c>
      <c r="D2" s="74"/>
      <c r="E2" t="s">
        <v>1127</v>
      </c>
      <c r="F2" s="13" t="s">
        <v>104</v>
      </c>
      <c r="G2" s="1" t="s">
        <v>1128</v>
      </c>
      <c r="H2" t="s">
        <v>1129</v>
      </c>
      <c r="I2" s="1" t="s">
        <v>76</v>
      </c>
      <c r="J2" s="1" t="s">
        <v>77</v>
      </c>
      <c r="K2" s="42" t="s">
        <v>1130</v>
      </c>
      <c r="L2" t="str" cm="1">
        <f t="array" ref="L2">IF($K2="","",_xlfn.SWITCH($I2,"Computer",_xlfn.XLOOKUP($K2&amp;"",COMPUTER!$B$3:$B$1009&amp;"",COMPUTER!$I$3:$I$1009,""),"Display",_xlfn.XLOOKUP($K2&amp;"",DISPLAY!$B$3:$B$1000&amp;"",DISPLAY!$J$3:$J$1000,""),"Network Device",_xlfn.XLOOKUP($K2&amp;"",'NETWORK-DEVICES'!$B$3:$B$987&amp;"",'NETWORK-DEVICES'!$I$3:$I$987,""),"Peripheral",_xlfn.XLOOKUP($K2&amp;"",PERIPHERAL!$B$3:$B$954&amp;"",PERIPHERAL!$I$3:$I$954,""),"Utilities",_xlfn.XLOOKUP($K2&amp;"",UTILITIES!$B$3:$B$953&amp;"",UTILITIES!$H$3:$H$953,""),"IOT",_xlfn.XLOOKUP($K2&amp;"",IOT!$B$3:$B$1012&amp;"",IOT!$I$3:$I$1012,""),"SERVER",_xlfn.XLOOKUP($K2&amp;"",SERVER!$B$3:$B$1009&amp;"",SERVER!$I$3:$I$1009,""),""))</f>
        <v>HP Pro Mini 400G9 Desktop PC</v>
      </c>
      <c r="M2" t="str" cm="1">
        <f t="array" ref="M2">IF($K2="","",_xlfn.SWITCH($I2,"Computer",_xlfn.XLOOKUP($K2&amp;"",COMPUTER!$B$3:$B$1009&amp;"",COMPUTER!$J$3:$J$1009,""),"Display",_xlfn.XLOOKUP($K2&amp;"",DISPLAY!$B$3:$B$1000&amp;"",DISPLAY!$K$3:$K$1000,""),"Network Device",_xlfn.XLOOKUP($K2&amp;"",'NETWORK-DEVICES'!$B$3:$B$987&amp;"",'NETWORK-DEVICES'!$I$3:$I$987,""),"Peripheral",_xlfn.XLOOKUP($K2&amp;"",PERIPHERAL!$B$3:$B$954&amp;"",PERIPHERAL!$J$3:$J$954,""),"Utilities",_xlfn.XLOOKUP($K2&amp;"",UTILITIES!$B$3:$B$953&amp;"",UTILITIES!$I$3:$I$953,""),"IOT",_xlfn.XLOOKUP($K2&amp;"",IOT!$B$3:$B$1012&amp;"",IOT!$J$3:$J$1012,""),"Server",_xlfn.XLOOKUP($K2&amp;"",SERVER!$B$3:$B$1009&amp;"",SERVER!$J$3:$J$1009,""),""))</f>
        <v>MFF PC</v>
      </c>
      <c r="N2" s="1" t="str" cm="1">
        <f t="array" ref="N2">IF(OR($K2="",$I2="",$J2=""),"",_xlfn.LET(_xlpm.srcCat,_xlfn.SWITCH($I2,"Computer",_xlfn.XLOOKUP($K2&amp;"",COMPUTER!$B$3:$B$1009&amp;"",COMPUTER!$H$3:$H$1009,""),"Display",_xlfn.XLOOKUP($K2&amp;"",DISPLAY!$B$3:$B$1000&amp;"",DISPLAY!$H$3:$H$1000,""),"Network Device",_xlfn.XLOOKUP($K2&amp;"",'NETWORK-DEVICES'!$B$3:$B$987&amp;"",'NETWORK-DEVICES'!$H$3:$H$987,""),"Peripheral",_xlfn.XLOOKUP($K2&amp;"",PERIPHERAL!$B$3:$B$954&amp;"",PERIPHERAL!$H$3:$H$954,""),"Utilities",_xlfn.XLOOKUP($K2&amp;"",UTILITIES!$B$3:$B$953&amp;"",UTILITIES!$G$3:$G$953,""),"IOT",_xlfn.XLOOKUP($K2&amp;"",IOT!$B$3:$B$1012&amp;"",IOT!$H$3:$H$1012,""),"Server",_xlfn.XLOOKUP($K2&amp;"",SERVER!$B$3:$B$1009&amp;"",SERVER!$H$3:$H$1009,""),""),IF(TRIM(_xlpm.srcCat)&lt;&gt;TRIM($J2),"",_xlfn.SWITCH($I2,"Computer",_xlfn.XLOOKUP($K2&amp;"",COMPUTER!$B$3:$B$1009&amp;"",COMPUTER!$K$3:$K$1009,""),"Display",_xlfn.XLOOKUP($K2&amp;"",DISPLAY!$B$3:$B$1000&amp;"",DISPLAY!$L$3:$L$1000,""),"Network Device",_xlfn.XLOOKUP($K2&amp;"",'NETWORK-DEVICES'!$B$3:$B$987&amp;"",'NETWORK-DEVICES'!$K$3:$K$987,""),"Peripheral",_xlfn.XLOOKUP($K2&amp;"",PERIPHERAL!$B$3:$B$954&amp;"",PERIPHERAL!$K$3:$K$954,""),"Utilities",_xlfn.XLOOKUP($K2&amp;"",UTILITIES!$B$3:$B$953&amp;"",UTILITIES!$J$3:$J$953,""),"IOT",_xlfn.XLOOKUP($K2&amp;"",IOT!$B$3:$B$1012&amp;"",IOT!$K$4:$K$1012,""),"Server",_xlfn.XLOOKUP($K2&amp;"",SERVER!$B$3:$B$1009&amp;"",SERVER!$K$3:$K$1009,""),""))))</f>
        <v>8CC6090X4D</v>
      </c>
      <c r="O2" s="1" t="str" cm="1">
        <f t="array" ref="O2">IF(OR($K2="",$I2="",$J2=""),"",_xlfn.LET(_xlpm.srcCat,_xlfn.SWITCH($I2,"Computer",_xlfn.XLOOKUP($K2&amp;"",COMPUTER!$B$3:$B$1009&amp;"",COMPUTER!$H$3:$H$1009,""),"Display",_xlfn.XLOOKUP($K2&amp;"",DISPLAY!$B$3:$B$1000&amp;"",DISPLAY!$H$3:$H$1000,""),"Network Device",_xlfn.XLOOKUP($K2&amp;"",'NETWORK-DEVICES'!$B$3:$B$987&amp;"",'NETWORK-DEVICES'!$H$3:$H$987,""),"Peripheral",_xlfn.XLOOKUP($K2&amp;"",PERIPHERAL!$B$3:$B$954&amp;"",PERIPHERAL!$H$3:$H$954,""),"Utilities",_xlfn.XLOOKUP($K2&amp;"",UTILITIES!$B$3:$B$953&amp;"",UTILITIES!$G$3:$G$953,""),"IOT",_xlfn.XLOOKUP($K2&amp;"",IOT!$B$3:$B$1012&amp;"",IOT!$H$3:$H$1012,""),"Server",_xlfn.XLOOKUP($K2&amp;"",SERVER!$B$3:$B$1009&amp;"",SERVER!$H$3:$H$1009,""),""),IF(TRIM(_xlpm.srcCat)&lt;&gt;TRIM($J2),"",_xlfn.SWITCH($I2,"Computer",_xlfn.XLOOKUP($K2&amp;"",COMPUTER!$B$3:$B$1009&amp;"",COMPUTER!$E$3:$E$1009,""),"Display",_xlfn.XLOOKUP($K2&amp;"",DISPLAY!$B$3:$B$1000&amp;"",DISPLAY!$E$3:$E$1000,""),"Network Device",_xlfn.XLOOKUP($K2&amp;"",'NETWORK-DEVICES'!$B$3:$B$987&amp;"",'NETWORK-DEVICES'!$E$3:$E$987,""),"Peripheral",_xlfn.XLOOKUP($K2&amp;"",PERIPHERAL!$B$3:$B$954&amp;"",PERIPHERAL!$E$3:$E$954,""),"Utilities",_xlfn.XLOOKUP($K2&amp;"",UTILITIES!$B$3:$B$953&amp;"",UTILITIES!$E$3:$E$953,""),"IOT",_xlfn.XLOOKUP($K2&amp;"",IOT!$B$3:$B$1012&amp;"",IOT!$E$3:$E$1012,""),"Server",_xlfn.XLOOKUP($K2&amp;"",SERVER!$B$3:$B$1009&amp;"",SERVER!$E$3:$E$1009,""),""))))</f>
        <v>Patimban</v>
      </c>
      <c r="P2" t="s">
        <v>75</v>
      </c>
      <c r="Q2" s="1" t="str" cm="1">
        <f t="array" ref="Q2">IF(OR($K2="",$I2="",$J2=""),"",_xlfn.LET(_xlpm.srcCat,_xlfn.SWITCH($I2,"Computer",_xlfn.XLOOKUP($K2&amp;"",COMPUTER!$B$3:$B$1009&amp;"",COMPUTER!$H$3:$H$1009,""),"Display",_xlfn.XLOOKUP($K2&amp;"",DISPLAY!$B$3:$B$1000&amp;"",DISPLAY!$H$3:$H$1000,""),"Network Device",_xlfn.XLOOKUP($K2&amp;"",'NETWORK-DEVICES'!$B$3:$B$987&amp;"",'NETWORK-DEVICES'!$H$3:$H$987,""),"Peripheral",_xlfn.XLOOKUP($K2&amp;"",PERIPHERAL!$B$3:$B$954&amp;"",PERIPHERAL!$H$3:$H$954,""),"Utilities",_xlfn.XLOOKUP($K2&amp;"",UTILITIES!$B$3:$B$953&amp;"",UTILITIES!$G$3:$G$953,""),"IOT",_xlfn.XLOOKUP($K2&amp;"",IOT!$B$3:$B$1012&amp;"",IOT!$H$3:$H$1012,""),"Server",_xlfn.XLOOKUP($K2&amp;"",SERVER!$B$3:$B$1009&amp;"",SERVER!$H$3:$H$1009,""),""),IF(TRIM(_xlpm.srcCat)&lt;&gt;TRIM($J2),"",_xlfn.SWITCH($I2,"Computer",_xlfn.XLOOKUP($K2&amp;"",COMPUTER!$B$3:$B$1009&amp;"",COMPUTER!$AM$3:$AM$1009,""),"Display",_xlfn.XLOOKUP($K2&amp;"",DISPLAY!$B$3:$B$1000&amp;"",DISPLAY!$V$3:$V$1000,""),"Network Device",_xlfn.XLOOKUP($K2&amp;"",'NETWORK-DEVICES'!$B$3:$B$987&amp;"",'NETWORK-DEVICES'!$AF$3:$AF$987,""),"Peripheral",_xlfn.XLOOKUP($K2&amp;"",PERIPHERAL!$B$3:$B$954&amp;"",PERIPHERAL!$Y$3:$Y$954,""),"Utilities",_xlfn.XLOOKUP($K2&amp;"",UTILITIES!$B$3:$B$953&amp;"",UTILITIES!$O$3:$O$953,""),"IOT",_xlfn.XLOOKUP($K2&amp;"",IOT!$B$3:$B$1012&amp;"",IOT!$AB$3:$AB$1012,""),"Server",_xlfn.XLOOKUP($K2&amp;"",SERVER!$B$3:$B$1009&amp;"",SERVER!$AB$3:$AB$1009,""),""))))</f>
        <v>Good</v>
      </c>
      <c r="R2" s="43">
        <f>IF(tbl_handover[[#This Row],[Asset Code]]="","",COUNTIF(tbl_handover[Asset Code],tbl_handover[[#This Row],[Asset Code]]))</f>
        <v>1</v>
      </c>
      <c r="S2" s="1" t="s">
        <v>1131</v>
      </c>
      <c r="T2" t="s">
        <v>1132</v>
      </c>
      <c r="U2" s="60" t="b">
        <v>0</v>
      </c>
    </row>
    <row r="3" spans="1:21" x14ac:dyDescent="0.25">
      <c r="A3" s="43">
        <f>IF(B3&lt;&gt;"",SUBTOTAL(3,$B$1:B2),"")</f>
        <v>2</v>
      </c>
      <c r="B3" t="s">
        <v>1126</v>
      </c>
      <c r="C3" s="74">
        <v>46268</v>
      </c>
      <c r="D3" s="74"/>
      <c r="E3" t="s">
        <v>1127</v>
      </c>
      <c r="F3" s="13" t="s">
        <v>104</v>
      </c>
      <c r="G3" s="1" t="s">
        <v>1128</v>
      </c>
      <c r="H3" t="s">
        <v>1129</v>
      </c>
      <c r="I3" s="1" t="s">
        <v>23</v>
      </c>
      <c r="J3" s="1" t="s">
        <v>510</v>
      </c>
      <c r="K3" s="42" t="s">
        <v>1133</v>
      </c>
      <c r="L3" t="str" cm="1">
        <f t="array" ref="L3">IF($K3="","",_xlfn.SWITCH($I3,"Computer",_xlfn.XLOOKUP($K3&amp;"",COMPUTER!$B$3:$B$1009&amp;"",COMPUTER!$I$3:$I$1009,""),"Display",_xlfn.XLOOKUP($K3&amp;"",DISPLAY!$B$3:$B$1000&amp;"",DISPLAY!$J$3:$J$1000,""),"Network Device",_xlfn.XLOOKUP($K3&amp;"",'NETWORK-DEVICES'!$B$3:$B$987&amp;"",'NETWORK-DEVICES'!$I$3:$I$987,""),"Peripheral",_xlfn.XLOOKUP($K3&amp;"",PERIPHERAL!$B$3:$B$954&amp;"",PERIPHERAL!$I$3:$I$954,""),"Utilities",_xlfn.XLOOKUP($K3&amp;"",UTILITIES!$B$3:$B$953&amp;"",UTILITIES!$H$3:$H$953,""),"IOT",_xlfn.XLOOKUP($K3&amp;"",IOT!$B$3:$B$1012&amp;"",IOT!$I$3:$I$1012,""),"SERVER",_xlfn.XLOOKUP($K3&amp;"",SERVER!$B$3:$B$1009&amp;"",SERVER!$I$3:$I$1009,""),""))</f>
        <v>SMART TV SAMSUNG 55 INCH</v>
      </c>
      <c r="M3" t="str" cm="1">
        <f t="array" ref="M3">IF($K3="","",_xlfn.SWITCH($I3,"Computer",_xlfn.XLOOKUP($K3&amp;"",COMPUTER!$B$3:$B$1009&amp;"",COMPUTER!$J$3:$J$1009,""),"Display",_xlfn.XLOOKUP($K3&amp;"",DISPLAY!$B$3:$B$1000&amp;"",DISPLAY!$K$3:$K$1000,""),"Network Device",_xlfn.XLOOKUP($K3&amp;"",'NETWORK-DEVICES'!$B$3:$B$987&amp;"",'NETWORK-DEVICES'!$I$3:$I$987,""),"Peripheral",_xlfn.XLOOKUP($K3&amp;"",PERIPHERAL!$B$3:$B$954&amp;"",PERIPHERAL!$J$3:$J$954,""),"Utilities",_xlfn.XLOOKUP($K3&amp;"",UTILITIES!$B$3:$B$953&amp;"",UTILITIES!$I$3:$I$953,""),"IOT",_xlfn.XLOOKUP($K3&amp;"",IOT!$B$3:$B$1012&amp;"",IOT!$J$3:$J$1012,""),"Server",_xlfn.XLOOKUP($K3&amp;"",SERVER!$B$3:$B$1009&amp;"",SERVER!$J$3:$J$1009,""),""))</f>
        <v>TV 55" SET</v>
      </c>
      <c r="N3" s="1" t="str" cm="1">
        <f t="array" ref="N3">IF(OR($K3="",$I3="",$J3=""),"",_xlfn.LET(_xlpm.srcCat,_xlfn.SWITCH($I3,"Computer",_xlfn.XLOOKUP($K3&amp;"",COMPUTER!$B$3:$B$1009&amp;"",COMPUTER!$H$3:$H$1009,""),"Display",_xlfn.XLOOKUP($K3&amp;"",DISPLAY!$B$3:$B$1000&amp;"",DISPLAY!$H$3:$H$1000,""),"Network Device",_xlfn.XLOOKUP($K3&amp;"",'NETWORK-DEVICES'!$B$3:$B$987&amp;"",'NETWORK-DEVICES'!$H$3:$H$987,""),"Peripheral",_xlfn.XLOOKUP($K3&amp;"",PERIPHERAL!$B$3:$B$954&amp;"",PERIPHERAL!$H$3:$H$954,""),"Utilities",_xlfn.XLOOKUP($K3&amp;"",UTILITIES!$B$3:$B$953&amp;"",UTILITIES!$G$3:$G$953,""),"IOT",_xlfn.XLOOKUP($K3&amp;"",IOT!$B$3:$B$1012&amp;"",IOT!$H$3:$H$1012,""),"Server",_xlfn.XLOOKUP($K3&amp;"",SERVER!$B$3:$B$1009&amp;"",SERVER!$H$3:$H$1009,""),""),IF(TRIM(_xlpm.srcCat)&lt;&gt;TRIM($J3),"",_xlfn.SWITCH($I3,"Computer",_xlfn.XLOOKUP($K3&amp;"",COMPUTER!$B$3:$B$1009&amp;"",COMPUTER!$K$3:$K$1009,""),"Display",_xlfn.XLOOKUP($K3&amp;"",DISPLAY!$B$3:$B$1000&amp;"",DISPLAY!$L$3:$L$1000,""),"Network Device",_xlfn.XLOOKUP($K3&amp;"",'NETWORK-DEVICES'!$B$3:$B$987&amp;"",'NETWORK-DEVICES'!$K$3:$K$987,""),"Peripheral",_xlfn.XLOOKUP($K3&amp;"",PERIPHERAL!$B$3:$B$954&amp;"",PERIPHERAL!$K$3:$K$954,""),"Utilities",_xlfn.XLOOKUP($K3&amp;"",UTILITIES!$B$3:$B$953&amp;"",UTILITIES!$J$3:$J$953,""),"IOT",_xlfn.XLOOKUP($K3&amp;"",IOT!$B$3:$B$1012&amp;"",IOT!$K$4:$K$1012,""),"Server",_xlfn.XLOOKUP($K3&amp;"",SERVER!$B$3:$B$1009&amp;"",SERVER!$K$3:$K$1009,""),""))))</f>
        <v>0TSV3NDX900291Z</v>
      </c>
      <c r="O3" s="1" t="str" cm="1">
        <f t="array" ref="O3">IF(OR($K3="",$I3="",$J3=""),"",_xlfn.LET(_xlpm.srcCat,_xlfn.SWITCH($I3,"Computer",_xlfn.XLOOKUP($K3&amp;"",COMPUTER!$B$3:$B$1009&amp;"",COMPUTER!$H$3:$H$1009,""),"Display",_xlfn.XLOOKUP($K3&amp;"",DISPLAY!$B$3:$B$1000&amp;"",DISPLAY!$H$3:$H$1000,""),"Network Device",_xlfn.XLOOKUP($K3&amp;"",'NETWORK-DEVICES'!$B$3:$B$987&amp;"",'NETWORK-DEVICES'!$H$3:$H$987,""),"Peripheral",_xlfn.XLOOKUP($K3&amp;"",PERIPHERAL!$B$3:$B$954&amp;"",PERIPHERAL!$H$3:$H$954,""),"Utilities",_xlfn.XLOOKUP($K3&amp;"",UTILITIES!$B$3:$B$953&amp;"",UTILITIES!$G$3:$G$953,""),"IOT",_xlfn.XLOOKUP($K3&amp;"",IOT!$B$3:$B$1012&amp;"",IOT!$H$3:$H$1012,""),"Server",_xlfn.XLOOKUP($K3&amp;"",SERVER!$B$3:$B$1009&amp;"",SERVER!$H$3:$H$1009,""),""),IF(TRIM(_xlpm.srcCat)&lt;&gt;TRIM($J3),"",_xlfn.SWITCH($I3,"Computer",_xlfn.XLOOKUP($K3&amp;"",COMPUTER!$B$3:$B$1009&amp;"",COMPUTER!$E$3:$E$1009,""),"Display",_xlfn.XLOOKUP($K3&amp;"",DISPLAY!$B$3:$B$1000&amp;"",DISPLAY!$E$3:$E$1000,""),"Network Device",_xlfn.XLOOKUP($K3&amp;"",'NETWORK-DEVICES'!$B$3:$B$987&amp;"",'NETWORK-DEVICES'!$E$3:$E$987,""),"Peripheral",_xlfn.XLOOKUP($K3&amp;"",PERIPHERAL!$B$3:$B$954&amp;"",PERIPHERAL!$E$3:$E$954,""),"Utilities",_xlfn.XLOOKUP($K3&amp;"",UTILITIES!$B$3:$B$953&amp;"",UTILITIES!$E$3:$E$953,""),"IOT",_xlfn.XLOOKUP($K3&amp;"",IOT!$B$3:$B$1012&amp;"",IOT!$E$3:$E$1012,""),"Server",_xlfn.XLOOKUP($K3&amp;"",SERVER!$B$3:$B$1009&amp;"",SERVER!$E$3:$E$1009,""),""))))</f>
        <v>Patimban</v>
      </c>
      <c r="P3" t="s">
        <v>75</v>
      </c>
      <c r="Q3" s="1" t="str" cm="1">
        <f t="array" ref="Q3">IF(OR($K3="",$I3="",$J3=""),"",_xlfn.LET(_xlpm.srcCat,_xlfn.SWITCH($I3,"Computer",_xlfn.XLOOKUP($K3&amp;"",COMPUTER!$B$3:$B$1009&amp;"",COMPUTER!$H$3:$H$1009,""),"Display",_xlfn.XLOOKUP($K3&amp;"",DISPLAY!$B$3:$B$1000&amp;"",DISPLAY!$H$3:$H$1000,""),"Network Device",_xlfn.XLOOKUP($K3&amp;"",'NETWORK-DEVICES'!$B$3:$B$987&amp;"",'NETWORK-DEVICES'!$H$3:$H$987,""),"Peripheral",_xlfn.XLOOKUP($K3&amp;"",PERIPHERAL!$B$3:$B$954&amp;"",PERIPHERAL!$H$3:$H$954,""),"Utilities",_xlfn.XLOOKUP($K3&amp;"",UTILITIES!$B$3:$B$953&amp;"",UTILITIES!$G$3:$G$953,""),"IOT",_xlfn.XLOOKUP($K3&amp;"",IOT!$B$3:$B$1012&amp;"",IOT!$H$3:$H$1012,""),"Server",_xlfn.XLOOKUP($K3&amp;"",SERVER!$B$3:$B$1009&amp;"",SERVER!$H$3:$H$1009,""),""),IF(TRIM(_xlpm.srcCat)&lt;&gt;TRIM($J3),"",_xlfn.SWITCH($I3,"Computer",_xlfn.XLOOKUP($K3&amp;"",COMPUTER!$B$3:$B$1009&amp;"",COMPUTER!$AM$3:$AM$1009,""),"Display",_xlfn.XLOOKUP($K3&amp;"",DISPLAY!$B$3:$B$1000&amp;"",DISPLAY!$V$3:$V$1000,""),"Network Device",_xlfn.XLOOKUP($K3&amp;"",'NETWORK-DEVICES'!$B$3:$B$987&amp;"",'NETWORK-DEVICES'!$AF$3:$AF$987,""),"Peripheral",_xlfn.XLOOKUP($K3&amp;"",PERIPHERAL!$B$3:$B$954&amp;"",PERIPHERAL!$Y$3:$Y$954,""),"Utilities",_xlfn.XLOOKUP($K3&amp;"",UTILITIES!$B$3:$B$953&amp;"",UTILITIES!$O$3:$O$953,""),"IOT",_xlfn.XLOOKUP($K3&amp;"",IOT!$B$3:$B$1012&amp;"",IOT!$AB$3:$AB$1012,""),"Server",_xlfn.XLOOKUP($K3&amp;"",SERVER!$B$3:$B$1009&amp;"",SERVER!$AB$3:$AB$1009,""),""))))</f>
        <v>Good</v>
      </c>
      <c r="R3" s="43">
        <f>IF(tbl_handover[[#This Row],[Asset Code]]="","",COUNTIF(tbl_handover[Asset Code],tbl_handover[[#This Row],[Asset Code]]))</f>
        <v>1</v>
      </c>
      <c r="S3" s="1" t="s">
        <v>1131</v>
      </c>
      <c r="T3" t="s">
        <v>1132</v>
      </c>
      <c r="U3" s="60" t="b">
        <v>0</v>
      </c>
    </row>
    <row r="4" spans="1:21" x14ac:dyDescent="0.25">
      <c r="A4" s="43">
        <f>IF(B4&lt;&gt;"",SUBTOTAL(3,$B$1:B3),"")</f>
        <v>3</v>
      </c>
      <c r="B4" t="s">
        <v>1126</v>
      </c>
      <c r="C4" s="74">
        <v>46268</v>
      </c>
      <c r="D4" s="74"/>
      <c r="E4" t="s">
        <v>1127</v>
      </c>
      <c r="F4" s="13" t="s">
        <v>104</v>
      </c>
      <c r="G4" s="1" t="s">
        <v>1128</v>
      </c>
      <c r="H4" t="s">
        <v>1129</v>
      </c>
      <c r="I4" s="1" t="s">
        <v>695</v>
      </c>
      <c r="J4" s="1" t="s">
        <v>696</v>
      </c>
      <c r="K4" s="42" t="s">
        <v>1134</v>
      </c>
      <c r="L4" t="str" cm="1">
        <f t="array" ref="L4">IF($K4="","",_xlfn.SWITCH($I4,"Computer",_xlfn.XLOOKUP($K4&amp;"",COMPUTER!$B$3:$B$1009&amp;"",COMPUTER!$I$3:$I$1009,""),"Display",_xlfn.XLOOKUP($K4&amp;"",DISPLAY!$B$3:$B$1000&amp;"",DISPLAY!$J$3:$J$1000,""),"Network Device",_xlfn.XLOOKUP($K4&amp;"",'NETWORK-DEVICES'!$B$3:$B$987&amp;"",'NETWORK-DEVICES'!$I$3:$I$987,""),"Peripheral",_xlfn.XLOOKUP($K4&amp;"",PERIPHERAL!$B$3:$B$954&amp;"",PERIPHERAL!$I$3:$I$954,""),"Utilities",_xlfn.XLOOKUP($K4&amp;"",UTILITIES!$B$3:$B$953&amp;"",UTILITIES!$H$3:$H$953,""),"IOT",_xlfn.XLOOKUP($K4&amp;"",IOT!$B$3:$B$1012&amp;"",IOT!$I$3:$I$1012,""),"SERVER",_xlfn.XLOOKUP($K4&amp;"",SERVER!$B$3:$B$1009&amp;"",SERVER!$I$3:$I$1009,""),""))</f>
        <v>Keyboard + Mouse Wireless MK270</v>
      </c>
      <c r="M4" t="str" cm="1">
        <f t="array" ref="M4">IF($K4="","",_xlfn.SWITCH($I4,"Computer",_xlfn.XLOOKUP($K4&amp;"",COMPUTER!$B$3:$B$1009&amp;"",COMPUTER!$J$3:$J$1009,""),"Display",_xlfn.XLOOKUP($K4&amp;"",DISPLAY!$B$3:$B$1000&amp;"",DISPLAY!$K$3:$K$1000,""),"Network Device",_xlfn.XLOOKUP($K4&amp;"",'NETWORK-DEVICES'!$B$3:$B$987&amp;"",'NETWORK-DEVICES'!$I$3:$I$987,""),"Peripheral",_xlfn.XLOOKUP($K4&amp;"",PERIPHERAL!$B$3:$B$954&amp;"",PERIPHERAL!$J$3:$J$954,""),"Utilities",_xlfn.XLOOKUP($K4&amp;"",UTILITIES!$B$3:$B$953&amp;"",UTILITIES!$I$3:$I$953,""),"IOT",_xlfn.XLOOKUP($K4&amp;"",IOT!$B$3:$B$1012&amp;"",IOT!$J$3:$J$1012,""),"Server",_xlfn.XLOOKUP($K4&amp;"",SERVER!$B$3:$B$1009&amp;"",SERVER!$J$3:$J$1009,""),""))</f>
        <v>MK SET</v>
      </c>
      <c r="N4" s="1" t="str" cm="1">
        <f t="array" ref="N4">IF(OR($K4="",$I4="",$J4=""),"",_xlfn.LET(_xlpm.srcCat,_xlfn.SWITCH($I4,"Computer",_xlfn.XLOOKUP($K4&amp;"",COMPUTER!$B$3:$B$1009&amp;"",COMPUTER!$H$3:$H$1009,""),"Display",_xlfn.XLOOKUP($K4&amp;"",DISPLAY!$B$3:$B$1000&amp;"",DISPLAY!$H$3:$H$1000,""),"Network Device",_xlfn.XLOOKUP($K4&amp;"",'NETWORK-DEVICES'!$B$3:$B$987&amp;"",'NETWORK-DEVICES'!$H$3:$H$987,""),"Peripheral",_xlfn.XLOOKUP($K4&amp;"",PERIPHERAL!$B$3:$B$954&amp;"",PERIPHERAL!$H$3:$H$954,""),"Utilities",_xlfn.XLOOKUP($K4&amp;"",UTILITIES!$B$3:$B$953&amp;"",UTILITIES!$G$3:$G$953,""),"IOT",_xlfn.XLOOKUP($K4&amp;"",IOT!$B$3:$B$1012&amp;"",IOT!$H$3:$H$1012,""),"Server",_xlfn.XLOOKUP($K4&amp;"",SERVER!$B$3:$B$1009&amp;"",SERVER!$H$3:$H$1009,""),""),IF(TRIM(_xlpm.srcCat)&lt;&gt;TRIM($J4),"",_xlfn.SWITCH($I4,"Computer",_xlfn.XLOOKUP($K4&amp;"",COMPUTER!$B$3:$B$1009&amp;"",COMPUTER!$K$3:$K$1009,""),"Display",_xlfn.XLOOKUP($K4&amp;"",DISPLAY!$B$3:$B$1000&amp;"",DISPLAY!$L$3:$L$1000,""),"Network Device",_xlfn.XLOOKUP($K4&amp;"",'NETWORK-DEVICES'!$B$3:$B$987&amp;"",'NETWORK-DEVICES'!$K$3:$K$987,""),"Peripheral",_xlfn.XLOOKUP($K4&amp;"",PERIPHERAL!$B$3:$B$954&amp;"",PERIPHERAL!$K$3:$K$954,""),"Utilities",_xlfn.XLOOKUP($K4&amp;"",UTILITIES!$B$3:$B$953&amp;"",UTILITIES!$J$3:$J$953,""),"IOT",_xlfn.XLOOKUP($K4&amp;"",IOT!$B$3:$B$1012&amp;"",IOT!$K$4:$K$1012,""),"Server",_xlfn.XLOOKUP($K4&amp;"",SERVER!$B$3:$B$1009&amp;"",SERVER!$K$3:$K$1009,""),""))))</f>
        <v>2610TVZ373S9</v>
      </c>
      <c r="O4" s="1" t="str" cm="1">
        <f t="array" ref="O4">IF(OR($K4="",$I4="",$J4=""),"",_xlfn.LET(_xlpm.srcCat,_xlfn.SWITCH($I4,"Computer",_xlfn.XLOOKUP($K4&amp;"",COMPUTER!$B$3:$B$1009&amp;"",COMPUTER!$H$3:$H$1009,""),"Display",_xlfn.XLOOKUP($K4&amp;"",DISPLAY!$B$3:$B$1000&amp;"",DISPLAY!$H$3:$H$1000,""),"Network Device",_xlfn.XLOOKUP($K4&amp;"",'NETWORK-DEVICES'!$B$3:$B$987&amp;"",'NETWORK-DEVICES'!$H$3:$H$987,""),"Peripheral",_xlfn.XLOOKUP($K4&amp;"",PERIPHERAL!$B$3:$B$954&amp;"",PERIPHERAL!$H$3:$H$954,""),"Utilities",_xlfn.XLOOKUP($K4&amp;"",UTILITIES!$B$3:$B$953&amp;"",UTILITIES!$G$3:$G$953,""),"IOT",_xlfn.XLOOKUP($K4&amp;"",IOT!$B$3:$B$1012&amp;"",IOT!$H$3:$H$1012,""),"Server",_xlfn.XLOOKUP($K4&amp;"",SERVER!$B$3:$B$1009&amp;"",SERVER!$H$3:$H$1009,""),""),IF(TRIM(_xlpm.srcCat)&lt;&gt;TRIM($J4),"",_xlfn.SWITCH($I4,"Computer",_xlfn.XLOOKUP($K4&amp;"",COMPUTER!$B$3:$B$1009&amp;"",COMPUTER!$E$3:$E$1009,""),"Display",_xlfn.XLOOKUP($K4&amp;"",DISPLAY!$B$3:$B$1000&amp;"",DISPLAY!$E$3:$E$1000,""),"Network Device",_xlfn.XLOOKUP($K4&amp;"",'NETWORK-DEVICES'!$B$3:$B$987&amp;"",'NETWORK-DEVICES'!$E$3:$E$987,""),"Peripheral",_xlfn.XLOOKUP($K4&amp;"",PERIPHERAL!$B$3:$B$954&amp;"",PERIPHERAL!$E$3:$E$954,""),"Utilities",_xlfn.XLOOKUP($K4&amp;"",UTILITIES!$B$3:$B$953&amp;"",UTILITIES!$E$3:$E$953,""),"IOT",_xlfn.XLOOKUP($K4&amp;"",IOT!$B$3:$B$1012&amp;"",IOT!$E$3:$E$1012,""),"Server",_xlfn.XLOOKUP($K4&amp;"",SERVER!$B$3:$B$1009&amp;"",SERVER!$E$3:$E$1009,""),""))))</f>
        <v>Patimban</v>
      </c>
      <c r="P4" t="s">
        <v>75</v>
      </c>
      <c r="Q4" s="1" t="str" cm="1">
        <f t="array" ref="Q4">IF(OR($K4="",$I4="",$J4=""),"",_xlfn.LET(_xlpm.srcCat,_xlfn.SWITCH($I4,"Computer",_xlfn.XLOOKUP($K4&amp;"",COMPUTER!$B$3:$B$1009&amp;"",COMPUTER!$H$3:$H$1009,""),"Display",_xlfn.XLOOKUP($K4&amp;"",DISPLAY!$B$3:$B$1000&amp;"",DISPLAY!$H$3:$H$1000,""),"Network Device",_xlfn.XLOOKUP($K4&amp;"",'NETWORK-DEVICES'!$B$3:$B$987&amp;"",'NETWORK-DEVICES'!$H$3:$H$987,""),"Peripheral",_xlfn.XLOOKUP($K4&amp;"",PERIPHERAL!$B$3:$B$954&amp;"",PERIPHERAL!$H$3:$H$954,""),"Utilities",_xlfn.XLOOKUP($K4&amp;"",UTILITIES!$B$3:$B$953&amp;"",UTILITIES!$G$3:$G$953,""),"IOT",_xlfn.XLOOKUP($K4&amp;"",IOT!$B$3:$B$1012&amp;"",IOT!$H$3:$H$1012,""),"Server",_xlfn.XLOOKUP($K4&amp;"",SERVER!$B$3:$B$1009&amp;"",SERVER!$H$3:$H$1009,""),""),IF(TRIM(_xlpm.srcCat)&lt;&gt;TRIM($J4),"",_xlfn.SWITCH($I4,"Computer",_xlfn.XLOOKUP($K4&amp;"",COMPUTER!$B$3:$B$1009&amp;"",COMPUTER!$AM$3:$AM$1009,""),"Display",_xlfn.XLOOKUP($K4&amp;"",DISPLAY!$B$3:$B$1000&amp;"",DISPLAY!$V$3:$V$1000,""),"Network Device",_xlfn.XLOOKUP($K4&amp;"",'NETWORK-DEVICES'!$B$3:$B$987&amp;"",'NETWORK-DEVICES'!$AF$3:$AF$987,""),"Peripheral",_xlfn.XLOOKUP($K4&amp;"",PERIPHERAL!$B$3:$B$954&amp;"",PERIPHERAL!$Y$3:$Y$954,""),"Utilities",_xlfn.XLOOKUP($K4&amp;"",UTILITIES!$B$3:$B$953&amp;"",UTILITIES!$O$3:$O$953,""),"IOT",_xlfn.XLOOKUP($K4&amp;"",IOT!$B$3:$B$1012&amp;"",IOT!$AB$3:$AB$1012,""),"Server",_xlfn.XLOOKUP($K4&amp;"",SERVER!$B$3:$B$1009&amp;"",SERVER!$AB$3:$AB$1009,""),""))))</f>
        <v>New</v>
      </c>
      <c r="R4" s="43">
        <f>IF(tbl_handover[[#This Row],[Asset Code]]="","",COUNTIF(tbl_handover[Asset Code],tbl_handover[[#This Row],[Asset Code]]))</f>
        <v>1</v>
      </c>
      <c r="S4" s="1" t="s">
        <v>1131</v>
      </c>
      <c r="T4" t="s">
        <v>1132</v>
      </c>
      <c r="U4" s="60" t="b">
        <v>0</v>
      </c>
    </row>
    <row r="5" spans="1:21" x14ac:dyDescent="0.25">
      <c r="A5" s="43">
        <f>IF(B5&lt;&gt;"",SUBTOTAL(3,$B$1:B4),"")</f>
        <v>4</v>
      </c>
      <c r="B5" t="s">
        <v>1126</v>
      </c>
      <c r="C5" s="74">
        <v>46268</v>
      </c>
      <c r="D5" s="74"/>
      <c r="E5" t="s">
        <v>1127</v>
      </c>
      <c r="F5" s="13" t="s">
        <v>104</v>
      </c>
      <c r="G5" s="1" t="s">
        <v>1128</v>
      </c>
      <c r="H5" t="s">
        <v>1129</v>
      </c>
      <c r="I5" s="1" t="s">
        <v>844</v>
      </c>
      <c r="J5" s="1" t="s">
        <v>845</v>
      </c>
      <c r="K5" s="42" t="s">
        <v>852</v>
      </c>
      <c r="L5" t="str" cm="1">
        <f t="array" ref="L5">IF($K5="","",_xlfn.SWITCH($I5,"Computer",_xlfn.XLOOKUP($K5&amp;"",COMPUTER!$B$3:$B$1009&amp;"",COMPUTER!$I$3:$I$1009,""),"Display",_xlfn.XLOOKUP($K5&amp;"",DISPLAY!$B$3:$B$1000&amp;"",DISPLAY!$J$3:$J$1000,""),"Network Device",_xlfn.XLOOKUP($K5&amp;"",'NETWORK-DEVICES'!$B$3:$B$987&amp;"",'NETWORK-DEVICES'!$I$3:$I$987,""),"Peripheral",_xlfn.XLOOKUP($K5&amp;"",PERIPHERAL!$B$3:$B$954&amp;"",PERIPHERAL!$I$3:$I$954,""),"Utilities",_xlfn.XLOOKUP($K5&amp;"",UTILITIES!$B$3:$B$953&amp;"",UTILITIES!$H$3:$H$953,""),"IOT",_xlfn.XLOOKUP($K5&amp;"",IOT!$B$3:$B$1012&amp;"",IOT!$I$3:$I$1012,""),"SERVER",_xlfn.XLOOKUP($K5&amp;"",SERVER!$B$3:$B$1009&amp;"",SERVER!$I$3:$I$1009,""),""))</f>
        <v>Bracket Standing / Dorong 2 Tatakan/Shelf untuk TV 40"-80" + Port Electric</v>
      </c>
      <c r="M5" t="str" cm="1">
        <f t="array" ref="M5">IF($K5="","",_xlfn.SWITCH($I5,"Computer",_xlfn.XLOOKUP($K5&amp;"",COMPUTER!$B$3:$B$1009&amp;"",COMPUTER!$J$3:$J$1009,""),"Display",_xlfn.XLOOKUP($K5&amp;"",DISPLAY!$B$3:$B$1000&amp;"",DISPLAY!$K$3:$K$1000,""),"Network Device",_xlfn.XLOOKUP($K5&amp;"",'NETWORK-DEVICES'!$B$3:$B$987&amp;"",'NETWORK-DEVICES'!$I$3:$I$987,""),"Peripheral",_xlfn.XLOOKUP($K5&amp;"",PERIPHERAL!$B$3:$B$954&amp;"",PERIPHERAL!$J$3:$J$954,""),"Utilities",_xlfn.XLOOKUP($K5&amp;"",UTILITIES!$B$3:$B$953&amp;"",UTILITIES!$I$3:$I$953,""),"IOT",_xlfn.XLOOKUP($K5&amp;"",IOT!$B$3:$B$1012&amp;"",IOT!$J$3:$J$1012,""),"Server",_xlfn.XLOOKUP($K5&amp;"",SERVER!$B$3:$B$1009&amp;"",SERVER!$J$3:$J$1009,""),""))</f>
        <v>Bracket Standing SET</v>
      </c>
      <c r="N5" s="1" t="str" cm="1">
        <f t="array" ref="N5">IF(OR($K5="",$I5="",$J5=""),"",_xlfn.LET(_xlpm.srcCat,_xlfn.SWITCH($I5,"Computer",_xlfn.XLOOKUP($K5&amp;"",COMPUTER!$B$3:$B$1009&amp;"",COMPUTER!$H$3:$H$1009,""),"Display",_xlfn.XLOOKUP($K5&amp;"",DISPLAY!$B$3:$B$1000&amp;"",DISPLAY!$H$3:$H$1000,""),"Network Device",_xlfn.XLOOKUP($K5&amp;"",'NETWORK-DEVICES'!$B$3:$B$987&amp;"",'NETWORK-DEVICES'!$H$3:$H$987,""),"Peripheral",_xlfn.XLOOKUP($K5&amp;"",PERIPHERAL!$B$3:$B$954&amp;"",PERIPHERAL!$H$3:$H$954,""),"Utilities",_xlfn.XLOOKUP($K5&amp;"",UTILITIES!$B$3:$B$953&amp;"",UTILITIES!$G$3:$G$953,""),"IOT",_xlfn.XLOOKUP($K5&amp;"",IOT!$B$3:$B$1012&amp;"",IOT!$H$3:$H$1012,""),"Server",_xlfn.XLOOKUP($K5&amp;"",SERVER!$B$3:$B$1009&amp;"",SERVER!$H$3:$H$1009,""),""),IF(TRIM(_xlpm.srcCat)&lt;&gt;TRIM($J5),"",_xlfn.SWITCH($I5,"Computer",_xlfn.XLOOKUP($K5&amp;"",COMPUTER!$B$3:$B$1009&amp;"",COMPUTER!$K$3:$K$1009,""),"Display",_xlfn.XLOOKUP($K5&amp;"",DISPLAY!$B$3:$B$1000&amp;"",DISPLAY!$L$3:$L$1000,""),"Network Device",_xlfn.XLOOKUP($K5&amp;"",'NETWORK-DEVICES'!$B$3:$B$987&amp;"",'NETWORK-DEVICES'!$K$3:$K$987,""),"Peripheral",_xlfn.XLOOKUP($K5&amp;"",PERIPHERAL!$B$3:$B$954&amp;"",PERIPHERAL!$K$3:$K$954,""),"Utilities",_xlfn.XLOOKUP($K5&amp;"",UTILITIES!$B$3:$B$953&amp;"",UTILITIES!$J$3:$J$953,""),"IOT",_xlfn.XLOOKUP($K5&amp;"",IOT!$B$3:$B$1012&amp;"",IOT!$K$4:$K$1012,""),"Server",_xlfn.XLOOKUP($K5&amp;"",SERVER!$B$3:$B$1009&amp;"",SERVER!$K$3:$K$1009,""),""))))</f>
        <v>N/A</v>
      </c>
      <c r="O5" s="1" t="str" cm="1">
        <f t="array" ref="O5">IF(OR($K5="",$I5="",$J5=""),"",_xlfn.LET(_xlpm.srcCat,_xlfn.SWITCH($I5,"Computer",_xlfn.XLOOKUP($K5&amp;"",COMPUTER!$B$3:$B$1009&amp;"",COMPUTER!$H$3:$H$1009,""),"Display",_xlfn.XLOOKUP($K5&amp;"",DISPLAY!$B$3:$B$1000&amp;"",DISPLAY!$H$3:$H$1000,""),"Network Device",_xlfn.XLOOKUP($K5&amp;"",'NETWORK-DEVICES'!$B$3:$B$987&amp;"",'NETWORK-DEVICES'!$H$3:$H$987,""),"Peripheral",_xlfn.XLOOKUP($K5&amp;"",PERIPHERAL!$B$3:$B$954&amp;"",PERIPHERAL!$H$3:$H$954,""),"Utilities",_xlfn.XLOOKUP($K5&amp;"",UTILITIES!$B$3:$B$953&amp;"",UTILITIES!$G$3:$G$953,""),"IOT",_xlfn.XLOOKUP($K5&amp;"",IOT!$B$3:$B$1012&amp;"",IOT!$H$3:$H$1012,""),"Server",_xlfn.XLOOKUP($K5&amp;"",SERVER!$B$3:$B$1009&amp;"",SERVER!$H$3:$H$1009,""),""),IF(TRIM(_xlpm.srcCat)&lt;&gt;TRIM($J5),"",_xlfn.SWITCH($I5,"Computer",_xlfn.XLOOKUP($K5&amp;"",COMPUTER!$B$3:$B$1009&amp;"",COMPUTER!$E$3:$E$1009,""),"Display",_xlfn.XLOOKUP($K5&amp;"",DISPLAY!$B$3:$B$1000&amp;"",DISPLAY!$E$3:$E$1000,""),"Network Device",_xlfn.XLOOKUP($K5&amp;"",'NETWORK-DEVICES'!$B$3:$B$987&amp;"",'NETWORK-DEVICES'!$E$3:$E$987,""),"Peripheral",_xlfn.XLOOKUP($K5&amp;"",PERIPHERAL!$B$3:$B$954&amp;"",PERIPHERAL!$E$3:$E$954,""),"Utilities",_xlfn.XLOOKUP($K5&amp;"",UTILITIES!$B$3:$B$953&amp;"",UTILITIES!$E$3:$E$953,""),"IOT",_xlfn.XLOOKUP($K5&amp;"",IOT!$B$3:$B$1012&amp;"",IOT!$E$3:$E$1012,""),"Server",_xlfn.XLOOKUP($K5&amp;"",SERVER!$B$3:$B$1009&amp;"",SERVER!$E$3:$E$1009,""),""))))</f>
        <v>Patimban</v>
      </c>
      <c r="P5" t="s">
        <v>75</v>
      </c>
      <c r="Q5" s="1" t="str" cm="1">
        <f t="array" ref="Q5">IF(OR($K5="",$I5="",$J5=""),"",_xlfn.LET(_xlpm.srcCat,_xlfn.SWITCH($I5,"Computer",_xlfn.XLOOKUP($K5&amp;"",COMPUTER!$B$3:$B$1009&amp;"",COMPUTER!$H$3:$H$1009,""),"Display",_xlfn.XLOOKUP($K5&amp;"",DISPLAY!$B$3:$B$1000&amp;"",DISPLAY!$H$3:$H$1000,""),"Network Device",_xlfn.XLOOKUP($K5&amp;"",'NETWORK-DEVICES'!$B$3:$B$987&amp;"",'NETWORK-DEVICES'!$H$3:$H$987,""),"Peripheral",_xlfn.XLOOKUP($K5&amp;"",PERIPHERAL!$B$3:$B$954&amp;"",PERIPHERAL!$H$3:$H$954,""),"Utilities",_xlfn.XLOOKUP($K5&amp;"",UTILITIES!$B$3:$B$953&amp;"",UTILITIES!$G$3:$G$953,""),"IOT",_xlfn.XLOOKUP($K5&amp;"",IOT!$B$3:$B$1012&amp;"",IOT!$H$3:$H$1012,""),"Server",_xlfn.XLOOKUP($K5&amp;"",SERVER!$B$3:$B$1009&amp;"",SERVER!$H$3:$H$1009,""),""),IF(TRIM(_xlpm.srcCat)&lt;&gt;TRIM($J5),"",_xlfn.SWITCH($I5,"Computer",_xlfn.XLOOKUP($K5&amp;"",COMPUTER!$B$3:$B$1009&amp;"",COMPUTER!$AM$3:$AM$1009,""),"Display",_xlfn.XLOOKUP($K5&amp;"",DISPLAY!$B$3:$B$1000&amp;"",DISPLAY!$V$3:$V$1000,""),"Network Device",_xlfn.XLOOKUP($K5&amp;"",'NETWORK-DEVICES'!$B$3:$B$987&amp;"",'NETWORK-DEVICES'!$AF$3:$AF$987,""),"Peripheral",_xlfn.XLOOKUP($K5&amp;"",PERIPHERAL!$B$3:$B$954&amp;"",PERIPHERAL!$Y$3:$Y$954,""),"Utilities",_xlfn.XLOOKUP($K5&amp;"",UTILITIES!$B$3:$B$953&amp;"",UTILITIES!$O$3:$O$953,""),"IOT",_xlfn.XLOOKUP($K5&amp;"",IOT!$B$3:$B$1012&amp;"",IOT!$AB$3:$AB$1012,""),"Server",_xlfn.XLOOKUP($K5&amp;"",SERVER!$B$3:$B$1009&amp;"",SERVER!$AB$3:$AB$1009,""),""))))</f>
        <v>Good</v>
      </c>
      <c r="R5" s="43">
        <f>IF(tbl_handover[[#This Row],[Asset Code]]="","",COUNTIF(tbl_handover[Asset Code],tbl_handover[[#This Row],[Asset Code]]))</f>
        <v>1</v>
      </c>
      <c r="S5" s="1" t="s">
        <v>1131</v>
      </c>
      <c r="T5" t="s">
        <v>1132</v>
      </c>
      <c r="U5" s="60" t="b">
        <v>0</v>
      </c>
    </row>
    <row r="6" spans="1:21" x14ac:dyDescent="0.25">
      <c r="A6" s="43">
        <f>IF(B6&lt;&gt;"",SUBTOTAL(3,$B$1:B5),"")</f>
        <v>5</v>
      </c>
      <c r="B6" t="s">
        <v>1135</v>
      </c>
      <c r="C6" s="74">
        <v>46268</v>
      </c>
      <c r="D6" s="74"/>
      <c r="E6" t="s">
        <v>1127</v>
      </c>
      <c r="F6" s="13" t="s">
        <v>104</v>
      </c>
      <c r="G6" s="1" t="s">
        <v>1128</v>
      </c>
      <c r="H6" t="s">
        <v>1129</v>
      </c>
      <c r="I6" s="1" t="s">
        <v>76</v>
      </c>
      <c r="J6" s="1" t="s">
        <v>77</v>
      </c>
      <c r="K6" s="42" t="s">
        <v>1136</v>
      </c>
      <c r="L6" t="str" cm="1">
        <f t="array" ref="L6">IF($K6="","",_xlfn.SWITCH($I6,"Computer",_xlfn.XLOOKUP($K6&amp;"",COMPUTER!$B$3:$B$1009&amp;"",COMPUTER!$I$3:$I$1009,""),"Display",_xlfn.XLOOKUP($K6&amp;"",DISPLAY!$B$3:$B$1000&amp;"",DISPLAY!$J$3:$J$1000,""),"Network Device",_xlfn.XLOOKUP($K6&amp;"",'NETWORK-DEVICES'!$B$3:$B$987&amp;"",'NETWORK-DEVICES'!$I$3:$I$987,""),"Peripheral",_xlfn.XLOOKUP($K6&amp;"",PERIPHERAL!$B$3:$B$954&amp;"",PERIPHERAL!$I$3:$I$954,""),"Utilities",_xlfn.XLOOKUP($K6&amp;"",UTILITIES!$B$3:$B$953&amp;"",UTILITIES!$H$3:$H$953,""),"IOT",_xlfn.XLOOKUP($K6&amp;"",IOT!$B$3:$B$1012&amp;"",IOT!$I$3:$I$1012,""),"SERVER",_xlfn.XLOOKUP($K6&amp;"",SERVER!$B$3:$B$1009&amp;"",SERVER!$I$3:$I$1009,""),""))</f>
        <v>HP ProDesk 4 Mini G1i Desktop AI PC</v>
      </c>
      <c r="M6" t="str" cm="1">
        <f t="array" ref="M6">IF($K6="","",_xlfn.SWITCH($I6,"Computer",_xlfn.XLOOKUP($K6&amp;"",COMPUTER!$B$3:$B$1009&amp;"",COMPUTER!$J$3:$J$1009,""),"Display",_xlfn.XLOOKUP($K6&amp;"",DISPLAY!$B$3:$B$1000&amp;"",DISPLAY!$K$3:$K$1000,""),"Network Device",_xlfn.XLOOKUP($K6&amp;"",'NETWORK-DEVICES'!$B$3:$B$987&amp;"",'NETWORK-DEVICES'!$I$3:$I$987,""),"Peripheral",_xlfn.XLOOKUP($K6&amp;"",PERIPHERAL!$B$3:$B$954&amp;"",PERIPHERAL!$J$3:$J$954,""),"Utilities",_xlfn.XLOOKUP($K6&amp;"",UTILITIES!$B$3:$B$953&amp;"",UTILITIES!$I$3:$I$953,""),"IOT",_xlfn.XLOOKUP($K6&amp;"",IOT!$B$3:$B$1012&amp;"",IOT!$J$3:$J$1012,""),"Server",_xlfn.XLOOKUP($K6&amp;"",SERVER!$B$3:$B$1009&amp;"",SERVER!$J$3:$J$1009,""),""))</f>
        <v>MFF PC</v>
      </c>
      <c r="N6" s="1" t="str" cm="1">
        <f t="array" ref="N6">IF(OR($K6="",$I6="",$J6=""),"",_xlfn.LET(_xlpm.srcCat,_xlfn.SWITCH($I6,"Computer",_xlfn.XLOOKUP($K6&amp;"",COMPUTER!$B$3:$B$1009&amp;"",COMPUTER!$H$3:$H$1009,""),"Display",_xlfn.XLOOKUP($K6&amp;"",DISPLAY!$B$3:$B$1000&amp;"",DISPLAY!$H$3:$H$1000,""),"Network Device",_xlfn.XLOOKUP($K6&amp;"",'NETWORK-DEVICES'!$B$3:$B$987&amp;"",'NETWORK-DEVICES'!$H$3:$H$987,""),"Peripheral",_xlfn.XLOOKUP($K6&amp;"",PERIPHERAL!$B$3:$B$954&amp;"",PERIPHERAL!$H$3:$H$954,""),"Utilities",_xlfn.XLOOKUP($K6&amp;"",UTILITIES!$B$3:$B$953&amp;"",UTILITIES!$G$3:$G$953,""),"IOT",_xlfn.XLOOKUP($K6&amp;"",IOT!$B$3:$B$1012&amp;"",IOT!$H$3:$H$1012,""),"Server",_xlfn.XLOOKUP($K6&amp;"",SERVER!$B$3:$B$1009&amp;"",SERVER!$H$3:$H$1009,""),""),IF(TRIM(_xlpm.srcCat)&lt;&gt;TRIM($J6),"",_xlfn.SWITCH($I6,"Computer",_xlfn.XLOOKUP($K6&amp;"",COMPUTER!$B$3:$B$1009&amp;"",COMPUTER!$K$3:$K$1009,""),"Display",_xlfn.XLOOKUP($K6&amp;"",DISPLAY!$B$3:$B$1000&amp;"",DISPLAY!$L$3:$L$1000,""),"Network Device",_xlfn.XLOOKUP($K6&amp;"",'NETWORK-DEVICES'!$B$3:$B$987&amp;"",'NETWORK-DEVICES'!$K$3:$K$987,""),"Peripheral",_xlfn.XLOOKUP($K6&amp;"",PERIPHERAL!$B$3:$B$954&amp;"",PERIPHERAL!$K$3:$K$954,""),"Utilities",_xlfn.XLOOKUP($K6&amp;"",UTILITIES!$B$3:$B$953&amp;"",UTILITIES!$J$3:$J$953,""),"IOT",_xlfn.XLOOKUP($K6&amp;"",IOT!$B$3:$B$1012&amp;"",IOT!$K$4:$K$1012,""),"Server",_xlfn.XLOOKUP($K6&amp;"",SERVER!$B$3:$B$1009&amp;"",SERVER!$K$3:$K$1009,""),""))))</f>
        <v>8CC6062FV7</v>
      </c>
      <c r="O6" s="1" t="str" cm="1">
        <f t="array" ref="O6">IF(OR($K6="",$I6="",$J6=""),"",_xlfn.LET(_xlpm.srcCat,_xlfn.SWITCH($I6,"Computer",_xlfn.XLOOKUP($K6&amp;"",COMPUTER!$B$3:$B$1009&amp;"",COMPUTER!$H$3:$H$1009,""),"Display",_xlfn.XLOOKUP($K6&amp;"",DISPLAY!$B$3:$B$1000&amp;"",DISPLAY!$H$3:$H$1000,""),"Network Device",_xlfn.XLOOKUP($K6&amp;"",'NETWORK-DEVICES'!$B$3:$B$987&amp;"",'NETWORK-DEVICES'!$H$3:$H$987,""),"Peripheral",_xlfn.XLOOKUP($K6&amp;"",PERIPHERAL!$B$3:$B$954&amp;"",PERIPHERAL!$H$3:$H$954,""),"Utilities",_xlfn.XLOOKUP($K6&amp;"",UTILITIES!$B$3:$B$953&amp;"",UTILITIES!$G$3:$G$953,""),"IOT",_xlfn.XLOOKUP($K6&amp;"",IOT!$B$3:$B$1012&amp;"",IOT!$H$3:$H$1012,""),"Server",_xlfn.XLOOKUP($K6&amp;"",SERVER!$B$3:$B$1009&amp;"",SERVER!$H$3:$H$1009,""),""),IF(TRIM(_xlpm.srcCat)&lt;&gt;TRIM($J6),"",_xlfn.SWITCH($I6,"Computer",_xlfn.XLOOKUP($K6&amp;"",COMPUTER!$B$3:$B$1009&amp;"",COMPUTER!$E$3:$E$1009,""),"Display",_xlfn.XLOOKUP($K6&amp;"",DISPLAY!$B$3:$B$1000&amp;"",DISPLAY!$E$3:$E$1000,""),"Network Device",_xlfn.XLOOKUP($K6&amp;"",'NETWORK-DEVICES'!$B$3:$B$987&amp;"",'NETWORK-DEVICES'!$E$3:$E$987,""),"Peripheral",_xlfn.XLOOKUP($K6&amp;"",PERIPHERAL!$B$3:$B$954&amp;"",PERIPHERAL!$E$3:$E$954,""),"Utilities",_xlfn.XLOOKUP($K6&amp;"",UTILITIES!$B$3:$B$953&amp;"",UTILITIES!$E$3:$E$953,""),"IOT",_xlfn.XLOOKUP($K6&amp;"",IOT!$B$3:$B$1012&amp;"",IOT!$E$3:$E$1012,""),"Server",_xlfn.XLOOKUP($K6&amp;"",SERVER!$B$3:$B$1009&amp;"",SERVER!$E$3:$E$1009,""),""))))</f>
        <v>Patimban</v>
      </c>
      <c r="P6" t="s">
        <v>109</v>
      </c>
      <c r="Q6" s="1" t="str" cm="1">
        <f t="array" ref="Q6">IF(OR($K6="",$I6="",$J6=""),"",_xlfn.LET(_xlpm.srcCat,_xlfn.SWITCH($I6,"Computer",_xlfn.XLOOKUP($K6&amp;"",COMPUTER!$B$3:$B$1009&amp;"",COMPUTER!$H$3:$H$1009,""),"Display",_xlfn.XLOOKUP($K6&amp;"",DISPLAY!$B$3:$B$1000&amp;"",DISPLAY!$H$3:$H$1000,""),"Network Device",_xlfn.XLOOKUP($K6&amp;"",'NETWORK-DEVICES'!$B$3:$B$987&amp;"",'NETWORK-DEVICES'!$H$3:$H$987,""),"Peripheral",_xlfn.XLOOKUP($K6&amp;"",PERIPHERAL!$B$3:$B$954&amp;"",PERIPHERAL!$H$3:$H$954,""),"Utilities",_xlfn.XLOOKUP($K6&amp;"",UTILITIES!$B$3:$B$953&amp;"",UTILITIES!$G$3:$G$953,""),"IOT",_xlfn.XLOOKUP($K6&amp;"",IOT!$B$3:$B$1012&amp;"",IOT!$H$3:$H$1012,""),"Server",_xlfn.XLOOKUP($K6&amp;"",SERVER!$B$3:$B$1009&amp;"",SERVER!$H$3:$H$1009,""),""),IF(TRIM(_xlpm.srcCat)&lt;&gt;TRIM($J6),"",_xlfn.SWITCH($I6,"Computer",_xlfn.XLOOKUP($K6&amp;"",COMPUTER!$B$3:$B$1009&amp;"",COMPUTER!$AM$3:$AM$1009,""),"Display",_xlfn.XLOOKUP($K6&amp;"",DISPLAY!$B$3:$B$1000&amp;"",DISPLAY!$V$3:$V$1000,""),"Network Device",_xlfn.XLOOKUP($K6&amp;"",'NETWORK-DEVICES'!$B$3:$B$987&amp;"",'NETWORK-DEVICES'!$AF$3:$AF$987,""),"Peripheral",_xlfn.XLOOKUP($K6&amp;"",PERIPHERAL!$B$3:$B$954&amp;"",PERIPHERAL!$Y$3:$Y$954,""),"Utilities",_xlfn.XLOOKUP($K6&amp;"",UTILITIES!$B$3:$B$953&amp;"",UTILITIES!$O$3:$O$953,""),"IOT",_xlfn.XLOOKUP($K6&amp;"",IOT!$B$3:$B$1012&amp;"",IOT!$AB$3:$AB$1012,""),"Server",_xlfn.XLOOKUP($K6&amp;"",SERVER!$B$3:$B$1009&amp;"",SERVER!$AB$3:$AB$1009,""),""))))</f>
        <v>New</v>
      </c>
      <c r="R6" s="43">
        <f>IF(tbl_handover[[#This Row],[Asset Code]]="","",COUNTIF(tbl_handover[Asset Code],tbl_handover[[#This Row],[Asset Code]]))</f>
        <v>1</v>
      </c>
      <c r="S6" s="1" t="s">
        <v>1131</v>
      </c>
      <c r="T6" t="s">
        <v>1137</v>
      </c>
      <c r="U6" s="60" t="b">
        <v>0</v>
      </c>
    </row>
    <row r="7" spans="1:21" x14ac:dyDescent="0.25">
      <c r="A7" s="43">
        <f>IF(B7&lt;&gt;"",SUBTOTAL(3,$B$1:B6),"")</f>
        <v>6</v>
      </c>
      <c r="B7" t="s">
        <v>1135</v>
      </c>
      <c r="C7" s="74">
        <v>46268</v>
      </c>
      <c r="D7" s="74"/>
      <c r="E7" t="s">
        <v>1127</v>
      </c>
      <c r="F7" s="13" t="s">
        <v>104</v>
      </c>
      <c r="G7" s="1" t="s">
        <v>1128</v>
      </c>
      <c r="H7" t="s">
        <v>1129</v>
      </c>
      <c r="I7" s="1" t="s">
        <v>23</v>
      </c>
      <c r="J7" s="1" t="s">
        <v>510</v>
      </c>
      <c r="K7" s="42" t="s">
        <v>1138</v>
      </c>
      <c r="L7" t="str" cm="1">
        <f t="array" ref="L7">IF($K7="","",_xlfn.SWITCH($I7,"Computer",_xlfn.XLOOKUP($K7&amp;"",COMPUTER!$B$3:$B$1009&amp;"",COMPUTER!$I$3:$I$1009,""),"Display",_xlfn.XLOOKUP($K7&amp;"",DISPLAY!$B$3:$B$1000&amp;"",DISPLAY!$J$3:$J$1000,""),"Network Device",_xlfn.XLOOKUP($K7&amp;"",'NETWORK-DEVICES'!$B$3:$B$987&amp;"",'NETWORK-DEVICES'!$I$3:$I$987,""),"Peripheral",_xlfn.XLOOKUP($K7&amp;"",PERIPHERAL!$B$3:$B$954&amp;"",PERIPHERAL!$I$3:$I$954,""),"Utilities",_xlfn.XLOOKUP($K7&amp;"",UTILITIES!$B$3:$B$953&amp;"",UTILITIES!$H$3:$H$953,""),"IOT",_xlfn.XLOOKUP($K7&amp;"",IOT!$B$3:$B$1012&amp;"",IOT!$I$3:$I$1012,""),"SERVER",_xlfn.XLOOKUP($K7&amp;"",SERVER!$B$3:$B$1009&amp;"",SERVER!$I$3:$I$1009,""),""))</f>
        <v>SMART TV SAMSUNG 50 INCH</v>
      </c>
      <c r="M7" t="str" cm="1">
        <f t="array" ref="M7">IF($K7="","",_xlfn.SWITCH($I7,"Computer",_xlfn.XLOOKUP($K7&amp;"",COMPUTER!$B$3:$B$1009&amp;"",COMPUTER!$J$3:$J$1009,""),"Display",_xlfn.XLOOKUP($K7&amp;"",DISPLAY!$B$3:$B$1000&amp;"",DISPLAY!$K$3:$K$1000,""),"Network Device",_xlfn.XLOOKUP($K7&amp;"",'NETWORK-DEVICES'!$B$3:$B$987&amp;"",'NETWORK-DEVICES'!$I$3:$I$987,""),"Peripheral",_xlfn.XLOOKUP($K7&amp;"",PERIPHERAL!$B$3:$B$954&amp;"",PERIPHERAL!$J$3:$J$954,""),"Utilities",_xlfn.XLOOKUP($K7&amp;"",UTILITIES!$B$3:$B$953&amp;"",UTILITIES!$I$3:$I$953,""),"IOT",_xlfn.XLOOKUP($K7&amp;"",IOT!$B$3:$B$1012&amp;"",IOT!$J$3:$J$1012,""),"Server",_xlfn.XLOOKUP($K7&amp;"",SERVER!$B$3:$B$1009&amp;"",SERVER!$J$3:$J$1009,""),""))</f>
        <v>TV 50" SET</v>
      </c>
      <c r="N7" s="1" t="str" cm="1">
        <f t="array" ref="N7">IF(OR($K7="",$I7="",$J7=""),"",_xlfn.LET(_xlpm.srcCat,_xlfn.SWITCH($I7,"Computer",_xlfn.XLOOKUP($K7&amp;"",COMPUTER!$B$3:$B$1009&amp;"",COMPUTER!$H$3:$H$1009,""),"Display",_xlfn.XLOOKUP($K7&amp;"",DISPLAY!$B$3:$B$1000&amp;"",DISPLAY!$H$3:$H$1000,""),"Network Device",_xlfn.XLOOKUP($K7&amp;"",'NETWORK-DEVICES'!$B$3:$B$987&amp;"",'NETWORK-DEVICES'!$H$3:$H$987,""),"Peripheral",_xlfn.XLOOKUP($K7&amp;"",PERIPHERAL!$B$3:$B$954&amp;"",PERIPHERAL!$H$3:$H$954,""),"Utilities",_xlfn.XLOOKUP($K7&amp;"",UTILITIES!$B$3:$B$953&amp;"",UTILITIES!$G$3:$G$953,""),"IOT",_xlfn.XLOOKUP($K7&amp;"",IOT!$B$3:$B$1012&amp;"",IOT!$H$3:$H$1012,""),"Server",_xlfn.XLOOKUP($K7&amp;"",SERVER!$B$3:$B$1009&amp;"",SERVER!$H$3:$H$1009,""),""),IF(TRIM(_xlpm.srcCat)&lt;&gt;TRIM($J7),"",_xlfn.SWITCH($I7,"Computer",_xlfn.XLOOKUP($K7&amp;"",COMPUTER!$B$3:$B$1009&amp;"",COMPUTER!$K$3:$K$1009,""),"Display",_xlfn.XLOOKUP($K7&amp;"",DISPLAY!$B$3:$B$1000&amp;"",DISPLAY!$L$3:$L$1000,""),"Network Device",_xlfn.XLOOKUP($K7&amp;"",'NETWORK-DEVICES'!$B$3:$B$987&amp;"",'NETWORK-DEVICES'!$K$3:$K$987,""),"Peripheral",_xlfn.XLOOKUP($K7&amp;"",PERIPHERAL!$B$3:$B$954&amp;"",PERIPHERAL!$K$3:$K$954,""),"Utilities",_xlfn.XLOOKUP($K7&amp;"",UTILITIES!$B$3:$B$953&amp;"",UTILITIES!$J$3:$J$953,""),"IOT",_xlfn.XLOOKUP($K7&amp;"",IOT!$B$3:$B$1012&amp;"",IOT!$K$4:$K$1012,""),"Server",_xlfn.XLOOKUP($K7&amp;"",SERVER!$B$3:$B$1009&amp;"",SERVER!$K$3:$K$1009,""),""))))</f>
        <v>0ZMW3NFY409326A</v>
      </c>
      <c r="O7" s="1" t="str" cm="1">
        <f t="array" ref="O7">IF(OR($K7="",$I7="",$J7=""),"",_xlfn.LET(_xlpm.srcCat,_xlfn.SWITCH($I7,"Computer",_xlfn.XLOOKUP($K7&amp;"",COMPUTER!$B$3:$B$1009&amp;"",COMPUTER!$H$3:$H$1009,""),"Display",_xlfn.XLOOKUP($K7&amp;"",DISPLAY!$B$3:$B$1000&amp;"",DISPLAY!$H$3:$H$1000,""),"Network Device",_xlfn.XLOOKUP($K7&amp;"",'NETWORK-DEVICES'!$B$3:$B$987&amp;"",'NETWORK-DEVICES'!$H$3:$H$987,""),"Peripheral",_xlfn.XLOOKUP($K7&amp;"",PERIPHERAL!$B$3:$B$954&amp;"",PERIPHERAL!$H$3:$H$954,""),"Utilities",_xlfn.XLOOKUP($K7&amp;"",UTILITIES!$B$3:$B$953&amp;"",UTILITIES!$G$3:$G$953,""),"IOT",_xlfn.XLOOKUP($K7&amp;"",IOT!$B$3:$B$1012&amp;"",IOT!$H$3:$H$1012,""),"Server",_xlfn.XLOOKUP($K7&amp;"",SERVER!$B$3:$B$1009&amp;"",SERVER!$H$3:$H$1009,""),""),IF(TRIM(_xlpm.srcCat)&lt;&gt;TRIM($J7),"",_xlfn.SWITCH($I7,"Computer",_xlfn.XLOOKUP($K7&amp;"",COMPUTER!$B$3:$B$1009&amp;"",COMPUTER!$E$3:$E$1009,""),"Display",_xlfn.XLOOKUP($K7&amp;"",DISPLAY!$B$3:$B$1000&amp;"",DISPLAY!$E$3:$E$1000,""),"Network Device",_xlfn.XLOOKUP($K7&amp;"",'NETWORK-DEVICES'!$B$3:$B$987&amp;"",'NETWORK-DEVICES'!$E$3:$E$987,""),"Peripheral",_xlfn.XLOOKUP($K7&amp;"",PERIPHERAL!$B$3:$B$954&amp;"",PERIPHERAL!$E$3:$E$954,""),"Utilities",_xlfn.XLOOKUP($K7&amp;"",UTILITIES!$B$3:$B$953&amp;"",UTILITIES!$E$3:$E$953,""),"IOT",_xlfn.XLOOKUP($K7&amp;"",IOT!$B$3:$B$1012&amp;"",IOT!$E$3:$E$1012,""),"Server",_xlfn.XLOOKUP($K7&amp;"",SERVER!$B$3:$B$1009&amp;"",SERVER!$E$3:$E$1009,""),""))))</f>
        <v>Patimban</v>
      </c>
      <c r="P7" t="s">
        <v>109</v>
      </c>
      <c r="Q7" s="1" t="str" cm="1">
        <f t="array" ref="Q7">IF(OR($K7="",$I7="",$J7=""),"",_xlfn.LET(_xlpm.srcCat,_xlfn.SWITCH($I7,"Computer",_xlfn.XLOOKUP($K7&amp;"",COMPUTER!$B$3:$B$1009&amp;"",COMPUTER!$H$3:$H$1009,""),"Display",_xlfn.XLOOKUP($K7&amp;"",DISPLAY!$B$3:$B$1000&amp;"",DISPLAY!$H$3:$H$1000,""),"Network Device",_xlfn.XLOOKUP($K7&amp;"",'NETWORK-DEVICES'!$B$3:$B$987&amp;"",'NETWORK-DEVICES'!$H$3:$H$987,""),"Peripheral",_xlfn.XLOOKUP($K7&amp;"",PERIPHERAL!$B$3:$B$954&amp;"",PERIPHERAL!$H$3:$H$954,""),"Utilities",_xlfn.XLOOKUP($K7&amp;"",UTILITIES!$B$3:$B$953&amp;"",UTILITIES!$G$3:$G$953,""),"IOT",_xlfn.XLOOKUP($K7&amp;"",IOT!$B$3:$B$1012&amp;"",IOT!$H$3:$H$1012,""),"Server",_xlfn.XLOOKUP($K7&amp;"",SERVER!$B$3:$B$1009&amp;"",SERVER!$H$3:$H$1009,""),""),IF(TRIM(_xlpm.srcCat)&lt;&gt;TRIM($J7),"",_xlfn.SWITCH($I7,"Computer",_xlfn.XLOOKUP($K7&amp;"",COMPUTER!$B$3:$B$1009&amp;"",COMPUTER!$AM$3:$AM$1009,""),"Display",_xlfn.XLOOKUP($K7&amp;"",DISPLAY!$B$3:$B$1000&amp;"",DISPLAY!$V$3:$V$1000,""),"Network Device",_xlfn.XLOOKUP($K7&amp;"",'NETWORK-DEVICES'!$B$3:$B$987&amp;"",'NETWORK-DEVICES'!$AF$3:$AF$987,""),"Peripheral",_xlfn.XLOOKUP($K7&amp;"",PERIPHERAL!$B$3:$B$954&amp;"",PERIPHERAL!$Y$3:$Y$954,""),"Utilities",_xlfn.XLOOKUP($K7&amp;"",UTILITIES!$B$3:$B$953&amp;"",UTILITIES!$O$3:$O$953,""),"IOT",_xlfn.XLOOKUP($K7&amp;"",IOT!$B$3:$B$1012&amp;"",IOT!$AB$3:$AB$1012,""),"Server",_xlfn.XLOOKUP($K7&amp;"",SERVER!$B$3:$B$1009&amp;"",SERVER!$AB$3:$AB$1009,""),""))))</f>
        <v>Good</v>
      </c>
      <c r="R7" s="43">
        <f>IF(tbl_handover[[#This Row],[Asset Code]]="","",COUNTIF(tbl_handover[Asset Code],tbl_handover[[#This Row],[Asset Code]]))</f>
        <v>1</v>
      </c>
      <c r="S7" s="1" t="s">
        <v>1131</v>
      </c>
      <c r="T7" t="s">
        <v>1137</v>
      </c>
      <c r="U7" s="60" t="b">
        <v>0</v>
      </c>
    </row>
    <row r="8" spans="1:21" x14ac:dyDescent="0.25">
      <c r="A8" s="43">
        <f>IF(B8&lt;&gt;"",SUBTOTAL(3,$B$1:B7),"")</f>
        <v>7</v>
      </c>
      <c r="B8" t="s">
        <v>1135</v>
      </c>
      <c r="C8" s="74">
        <v>46268</v>
      </c>
      <c r="D8" s="74"/>
      <c r="E8" t="s">
        <v>1127</v>
      </c>
      <c r="F8" s="13" t="s">
        <v>104</v>
      </c>
      <c r="G8" s="1" t="s">
        <v>1128</v>
      </c>
      <c r="H8" t="s">
        <v>1129</v>
      </c>
      <c r="I8" s="1" t="s">
        <v>695</v>
      </c>
      <c r="J8" s="1" t="s">
        <v>696</v>
      </c>
      <c r="K8" s="42" t="s">
        <v>1139</v>
      </c>
      <c r="L8" t="str" cm="1">
        <f t="array" ref="L8">IF($K8="","",_xlfn.SWITCH($I8,"Computer",_xlfn.XLOOKUP($K8&amp;"",COMPUTER!$B$3:$B$1009&amp;"",COMPUTER!$I$3:$I$1009,""),"Display",_xlfn.XLOOKUP($K8&amp;"",DISPLAY!$B$3:$B$1000&amp;"",DISPLAY!$J$3:$J$1000,""),"Network Device",_xlfn.XLOOKUP($K8&amp;"",'NETWORK-DEVICES'!$B$3:$B$987&amp;"",'NETWORK-DEVICES'!$I$3:$I$987,""),"Peripheral",_xlfn.XLOOKUP($K8&amp;"",PERIPHERAL!$B$3:$B$954&amp;"",PERIPHERAL!$I$3:$I$954,""),"Utilities",_xlfn.XLOOKUP($K8&amp;"",UTILITIES!$B$3:$B$953&amp;"",UTILITIES!$H$3:$H$953,""),"IOT",_xlfn.XLOOKUP($K8&amp;"",IOT!$B$3:$B$1012&amp;"",IOT!$I$3:$I$1012,""),"SERVER",_xlfn.XLOOKUP($K8&amp;"",SERVER!$B$3:$B$1009&amp;"",SERVER!$I$3:$I$1009,""),""))</f>
        <v>Keyboard + Mouse Wireless MK270</v>
      </c>
      <c r="M8" t="str" cm="1">
        <f t="array" ref="M8">IF($K8="","",_xlfn.SWITCH($I8,"Computer",_xlfn.XLOOKUP($K8&amp;"",COMPUTER!$B$3:$B$1009&amp;"",COMPUTER!$J$3:$J$1009,""),"Display",_xlfn.XLOOKUP($K8&amp;"",DISPLAY!$B$3:$B$1000&amp;"",DISPLAY!$K$3:$K$1000,""),"Network Device",_xlfn.XLOOKUP($K8&amp;"",'NETWORK-DEVICES'!$B$3:$B$987&amp;"",'NETWORK-DEVICES'!$I$3:$I$987,""),"Peripheral",_xlfn.XLOOKUP($K8&amp;"",PERIPHERAL!$B$3:$B$954&amp;"",PERIPHERAL!$J$3:$J$954,""),"Utilities",_xlfn.XLOOKUP($K8&amp;"",UTILITIES!$B$3:$B$953&amp;"",UTILITIES!$I$3:$I$953,""),"IOT",_xlfn.XLOOKUP($K8&amp;"",IOT!$B$3:$B$1012&amp;"",IOT!$J$3:$J$1012,""),"Server",_xlfn.XLOOKUP($K8&amp;"",SERVER!$B$3:$B$1009&amp;"",SERVER!$J$3:$J$1009,""),""))</f>
        <v>MK SET</v>
      </c>
      <c r="N8" s="1" t="str" cm="1">
        <f t="array" ref="N8">IF(OR($K8="",$I8="",$J8=""),"",_xlfn.LET(_xlpm.srcCat,_xlfn.SWITCH($I8,"Computer",_xlfn.XLOOKUP($K8&amp;"",COMPUTER!$B$3:$B$1009&amp;"",COMPUTER!$H$3:$H$1009,""),"Display",_xlfn.XLOOKUP($K8&amp;"",DISPLAY!$B$3:$B$1000&amp;"",DISPLAY!$H$3:$H$1000,""),"Network Device",_xlfn.XLOOKUP($K8&amp;"",'NETWORK-DEVICES'!$B$3:$B$987&amp;"",'NETWORK-DEVICES'!$H$3:$H$987,""),"Peripheral",_xlfn.XLOOKUP($K8&amp;"",PERIPHERAL!$B$3:$B$954&amp;"",PERIPHERAL!$H$3:$H$954,""),"Utilities",_xlfn.XLOOKUP($K8&amp;"",UTILITIES!$B$3:$B$953&amp;"",UTILITIES!$G$3:$G$953,""),"IOT",_xlfn.XLOOKUP($K8&amp;"",IOT!$B$3:$B$1012&amp;"",IOT!$H$3:$H$1012,""),"Server",_xlfn.XLOOKUP($K8&amp;"",SERVER!$B$3:$B$1009&amp;"",SERVER!$H$3:$H$1009,""),""),IF(TRIM(_xlpm.srcCat)&lt;&gt;TRIM($J8),"",_xlfn.SWITCH($I8,"Computer",_xlfn.XLOOKUP($K8&amp;"",COMPUTER!$B$3:$B$1009&amp;"",COMPUTER!$K$3:$K$1009,""),"Display",_xlfn.XLOOKUP($K8&amp;"",DISPLAY!$B$3:$B$1000&amp;"",DISPLAY!$L$3:$L$1000,""),"Network Device",_xlfn.XLOOKUP($K8&amp;"",'NETWORK-DEVICES'!$B$3:$B$987&amp;"",'NETWORK-DEVICES'!$K$3:$K$987,""),"Peripheral",_xlfn.XLOOKUP($K8&amp;"",PERIPHERAL!$B$3:$B$954&amp;"",PERIPHERAL!$K$3:$K$954,""),"Utilities",_xlfn.XLOOKUP($K8&amp;"",UTILITIES!$B$3:$B$953&amp;"",UTILITIES!$J$3:$J$953,""),"IOT",_xlfn.XLOOKUP($K8&amp;"",IOT!$B$3:$B$1012&amp;"",IOT!$K$4:$K$1012,""),"Server",_xlfn.XLOOKUP($K8&amp;"",SERVER!$B$3:$B$1009&amp;"",SERVER!$K$3:$K$1009,""),""))))</f>
        <v>2610TVZ373S8</v>
      </c>
      <c r="O8" s="1" t="str" cm="1">
        <f t="array" ref="O8">IF(OR($K8="",$I8="",$J8=""),"",_xlfn.LET(_xlpm.srcCat,_xlfn.SWITCH($I8,"Computer",_xlfn.XLOOKUP($K8&amp;"",COMPUTER!$B$3:$B$1009&amp;"",COMPUTER!$H$3:$H$1009,""),"Display",_xlfn.XLOOKUP($K8&amp;"",DISPLAY!$B$3:$B$1000&amp;"",DISPLAY!$H$3:$H$1000,""),"Network Device",_xlfn.XLOOKUP($K8&amp;"",'NETWORK-DEVICES'!$B$3:$B$987&amp;"",'NETWORK-DEVICES'!$H$3:$H$987,""),"Peripheral",_xlfn.XLOOKUP($K8&amp;"",PERIPHERAL!$B$3:$B$954&amp;"",PERIPHERAL!$H$3:$H$954,""),"Utilities",_xlfn.XLOOKUP($K8&amp;"",UTILITIES!$B$3:$B$953&amp;"",UTILITIES!$G$3:$G$953,""),"IOT",_xlfn.XLOOKUP($K8&amp;"",IOT!$B$3:$B$1012&amp;"",IOT!$H$3:$H$1012,""),"Server",_xlfn.XLOOKUP($K8&amp;"",SERVER!$B$3:$B$1009&amp;"",SERVER!$H$3:$H$1009,""),""),IF(TRIM(_xlpm.srcCat)&lt;&gt;TRIM($J8),"",_xlfn.SWITCH($I8,"Computer",_xlfn.XLOOKUP($K8&amp;"",COMPUTER!$B$3:$B$1009&amp;"",COMPUTER!$E$3:$E$1009,""),"Display",_xlfn.XLOOKUP($K8&amp;"",DISPLAY!$B$3:$B$1000&amp;"",DISPLAY!$E$3:$E$1000,""),"Network Device",_xlfn.XLOOKUP($K8&amp;"",'NETWORK-DEVICES'!$B$3:$B$987&amp;"",'NETWORK-DEVICES'!$E$3:$E$987,""),"Peripheral",_xlfn.XLOOKUP($K8&amp;"",PERIPHERAL!$B$3:$B$954&amp;"",PERIPHERAL!$E$3:$E$954,""),"Utilities",_xlfn.XLOOKUP($K8&amp;"",UTILITIES!$B$3:$B$953&amp;"",UTILITIES!$E$3:$E$953,""),"IOT",_xlfn.XLOOKUP($K8&amp;"",IOT!$B$3:$B$1012&amp;"",IOT!$E$3:$E$1012,""),"Server",_xlfn.XLOOKUP($K8&amp;"",SERVER!$B$3:$B$1009&amp;"",SERVER!$E$3:$E$1009,""),""))))</f>
        <v>Patimban</v>
      </c>
      <c r="P8" t="s">
        <v>109</v>
      </c>
      <c r="Q8" s="1" t="str" cm="1">
        <f t="array" ref="Q8">IF(OR($K8="",$I8="",$J8=""),"",_xlfn.LET(_xlpm.srcCat,_xlfn.SWITCH($I8,"Computer",_xlfn.XLOOKUP($K8&amp;"",COMPUTER!$B$3:$B$1009&amp;"",COMPUTER!$H$3:$H$1009,""),"Display",_xlfn.XLOOKUP($K8&amp;"",DISPLAY!$B$3:$B$1000&amp;"",DISPLAY!$H$3:$H$1000,""),"Network Device",_xlfn.XLOOKUP($K8&amp;"",'NETWORK-DEVICES'!$B$3:$B$987&amp;"",'NETWORK-DEVICES'!$H$3:$H$987,""),"Peripheral",_xlfn.XLOOKUP($K8&amp;"",PERIPHERAL!$B$3:$B$954&amp;"",PERIPHERAL!$H$3:$H$954,""),"Utilities",_xlfn.XLOOKUP($K8&amp;"",UTILITIES!$B$3:$B$953&amp;"",UTILITIES!$G$3:$G$953,""),"IOT",_xlfn.XLOOKUP($K8&amp;"",IOT!$B$3:$B$1012&amp;"",IOT!$H$3:$H$1012,""),"Server",_xlfn.XLOOKUP($K8&amp;"",SERVER!$B$3:$B$1009&amp;"",SERVER!$H$3:$H$1009,""),""),IF(TRIM(_xlpm.srcCat)&lt;&gt;TRIM($J8),"",_xlfn.SWITCH($I8,"Computer",_xlfn.XLOOKUP($K8&amp;"",COMPUTER!$B$3:$B$1009&amp;"",COMPUTER!$AM$3:$AM$1009,""),"Display",_xlfn.XLOOKUP($K8&amp;"",DISPLAY!$B$3:$B$1000&amp;"",DISPLAY!$V$3:$V$1000,""),"Network Device",_xlfn.XLOOKUP($K8&amp;"",'NETWORK-DEVICES'!$B$3:$B$987&amp;"",'NETWORK-DEVICES'!$AF$3:$AF$987,""),"Peripheral",_xlfn.XLOOKUP($K8&amp;"",PERIPHERAL!$B$3:$B$954&amp;"",PERIPHERAL!$Y$3:$Y$954,""),"Utilities",_xlfn.XLOOKUP($K8&amp;"",UTILITIES!$B$3:$B$953&amp;"",UTILITIES!$O$3:$O$953,""),"IOT",_xlfn.XLOOKUP($K8&amp;"",IOT!$B$3:$B$1012&amp;"",IOT!$AB$3:$AB$1012,""),"Server",_xlfn.XLOOKUP($K8&amp;"",SERVER!$B$3:$B$1009&amp;"",SERVER!$AB$3:$AB$1009,""),""))))</f>
        <v>New</v>
      </c>
      <c r="R8" s="43">
        <f>IF(tbl_handover[[#This Row],[Asset Code]]="","",COUNTIF(tbl_handover[Asset Code],tbl_handover[[#This Row],[Asset Code]]))</f>
        <v>1</v>
      </c>
      <c r="S8" s="1" t="s">
        <v>1131</v>
      </c>
      <c r="T8" t="s">
        <v>1137</v>
      </c>
      <c r="U8" s="60" t="b">
        <v>0</v>
      </c>
    </row>
    <row r="9" spans="1:21" x14ac:dyDescent="0.25">
      <c r="A9" s="43">
        <f>IF(B9&lt;&gt;"",SUBTOTAL(3,$B$1:B8),"")</f>
        <v>8</v>
      </c>
      <c r="B9" t="s">
        <v>1135</v>
      </c>
      <c r="C9" s="74">
        <v>46268</v>
      </c>
      <c r="D9" s="74"/>
      <c r="E9" t="s">
        <v>1127</v>
      </c>
      <c r="F9" s="13" t="s">
        <v>104</v>
      </c>
      <c r="G9" s="1" t="s">
        <v>1128</v>
      </c>
      <c r="H9" t="s">
        <v>1129</v>
      </c>
      <c r="I9" s="1" t="s">
        <v>844</v>
      </c>
      <c r="J9" s="1" t="s">
        <v>845</v>
      </c>
      <c r="K9" s="42" t="s">
        <v>853</v>
      </c>
      <c r="L9" t="str" cm="1">
        <f t="array" ref="L9">IF($K9="","",_xlfn.SWITCH($I9,"Computer",_xlfn.XLOOKUP($K9&amp;"",COMPUTER!$B$3:$B$1009&amp;"",COMPUTER!$I$3:$I$1009,""),"Display",_xlfn.XLOOKUP($K9&amp;"",DISPLAY!$B$3:$B$1000&amp;"",DISPLAY!$J$3:$J$1000,""),"Network Device",_xlfn.XLOOKUP($K9&amp;"",'NETWORK-DEVICES'!$B$3:$B$987&amp;"",'NETWORK-DEVICES'!$I$3:$I$987,""),"Peripheral",_xlfn.XLOOKUP($K9&amp;"",PERIPHERAL!$B$3:$B$954&amp;"",PERIPHERAL!$I$3:$I$954,""),"Utilities",_xlfn.XLOOKUP($K9&amp;"",UTILITIES!$B$3:$B$953&amp;"",UTILITIES!$H$3:$H$953,""),"IOT",_xlfn.XLOOKUP($K9&amp;"",IOT!$B$3:$B$1012&amp;"",IOT!$I$3:$I$1012,""),"SERVER",_xlfn.XLOOKUP($K9&amp;"",SERVER!$B$3:$B$1009&amp;"",SERVER!$I$3:$I$1009,""),""))</f>
        <v>Bracket Standing / Dorong 2 Tatakan/Shelf untuk TV 40"-80" + Port Electric</v>
      </c>
      <c r="M9" t="str" cm="1">
        <f t="array" ref="M9">IF($K9="","",_xlfn.SWITCH($I9,"Computer",_xlfn.XLOOKUP($K9&amp;"",COMPUTER!$B$3:$B$1009&amp;"",COMPUTER!$J$3:$J$1009,""),"Display",_xlfn.XLOOKUP($K9&amp;"",DISPLAY!$B$3:$B$1000&amp;"",DISPLAY!$K$3:$K$1000,""),"Network Device",_xlfn.XLOOKUP($K9&amp;"",'NETWORK-DEVICES'!$B$3:$B$987&amp;"",'NETWORK-DEVICES'!$I$3:$I$987,""),"Peripheral",_xlfn.XLOOKUP($K9&amp;"",PERIPHERAL!$B$3:$B$954&amp;"",PERIPHERAL!$J$3:$J$954,""),"Utilities",_xlfn.XLOOKUP($K9&amp;"",UTILITIES!$B$3:$B$953&amp;"",UTILITIES!$I$3:$I$953,""),"IOT",_xlfn.XLOOKUP($K9&amp;"",IOT!$B$3:$B$1012&amp;"",IOT!$J$3:$J$1012,""),"Server",_xlfn.XLOOKUP($K9&amp;"",SERVER!$B$3:$B$1009&amp;"",SERVER!$J$3:$J$1009,""),""))</f>
        <v>Bracket Standing SET</v>
      </c>
      <c r="N9" s="1" t="str" cm="1">
        <f t="array" ref="N9">IF(OR($K9="",$I9="",$J9=""),"",_xlfn.LET(_xlpm.srcCat,_xlfn.SWITCH($I9,"Computer",_xlfn.XLOOKUP($K9&amp;"",COMPUTER!$B$3:$B$1009&amp;"",COMPUTER!$H$3:$H$1009,""),"Display",_xlfn.XLOOKUP($K9&amp;"",DISPLAY!$B$3:$B$1000&amp;"",DISPLAY!$H$3:$H$1000,""),"Network Device",_xlfn.XLOOKUP($K9&amp;"",'NETWORK-DEVICES'!$B$3:$B$987&amp;"",'NETWORK-DEVICES'!$H$3:$H$987,""),"Peripheral",_xlfn.XLOOKUP($K9&amp;"",PERIPHERAL!$B$3:$B$954&amp;"",PERIPHERAL!$H$3:$H$954,""),"Utilities",_xlfn.XLOOKUP($K9&amp;"",UTILITIES!$B$3:$B$953&amp;"",UTILITIES!$G$3:$G$953,""),"IOT",_xlfn.XLOOKUP($K9&amp;"",IOT!$B$3:$B$1012&amp;"",IOT!$H$3:$H$1012,""),"Server",_xlfn.XLOOKUP($K9&amp;"",SERVER!$B$3:$B$1009&amp;"",SERVER!$H$3:$H$1009,""),""),IF(TRIM(_xlpm.srcCat)&lt;&gt;TRIM($J9),"",_xlfn.SWITCH($I9,"Computer",_xlfn.XLOOKUP($K9&amp;"",COMPUTER!$B$3:$B$1009&amp;"",COMPUTER!$K$3:$K$1009,""),"Display",_xlfn.XLOOKUP($K9&amp;"",DISPLAY!$B$3:$B$1000&amp;"",DISPLAY!$L$3:$L$1000,""),"Network Device",_xlfn.XLOOKUP($K9&amp;"",'NETWORK-DEVICES'!$B$3:$B$987&amp;"",'NETWORK-DEVICES'!$K$3:$K$987,""),"Peripheral",_xlfn.XLOOKUP($K9&amp;"",PERIPHERAL!$B$3:$B$954&amp;"",PERIPHERAL!$K$3:$K$954,""),"Utilities",_xlfn.XLOOKUP($K9&amp;"",UTILITIES!$B$3:$B$953&amp;"",UTILITIES!$J$3:$J$953,""),"IOT",_xlfn.XLOOKUP($K9&amp;"",IOT!$B$3:$B$1012&amp;"",IOT!$K$4:$K$1012,""),"Server",_xlfn.XLOOKUP($K9&amp;"",SERVER!$B$3:$B$1009&amp;"",SERVER!$K$3:$K$1009,""),""))))</f>
        <v>N/A</v>
      </c>
      <c r="O9" s="1" t="str" cm="1">
        <f t="array" ref="O9">IF(OR($K9="",$I9="",$J9=""),"",_xlfn.LET(_xlpm.srcCat,_xlfn.SWITCH($I9,"Computer",_xlfn.XLOOKUP($K9&amp;"",COMPUTER!$B$3:$B$1009&amp;"",COMPUTER!$H$3:$H$1009,""),"Display",_xlfn.XLOOKUP($K9&amp;"",DISPLAY!$B$3:$B$1000&amp;"",DISPLAY!$H$3:$H$1000,""),"Network Device",_xlfn.XLOOKUP($K9&amp;"",'NETWORK-DEVICES'!$B$3:$B$987&amp;"",'NETWORK-DEVICES'!$H$3:$H$987,""),"Peripheral",_xlfn.XLOOKUP($K9&amp;"",PERIPHERAL!$B$3:$B$954&amp;"",PERIPHERAL!$H$3:$H$954,""),"Utilities",_xlfn.XLOOKUP($K9&amp;"",UTILITIES!$B$3:$B$953&amp;"",UTILITIES!$G$3:$G$953,""),"IOT",_xlfn.XLOOKUP($K9&amp;"",IOT!$B$3:$B$1012&amp;"",IOT!$H$3:$H$1012,""),"Server",_xlfn.XLOOKUP($K9&amp;"",SERVER!$B$3:$B$1009&amp;"",SERVER!$H$3:$H$1009,""),""),IF(TRIM(_xlpm.srcCat)&lt;&gt;TRIM($J9),"",_xlfn.SWITCH($I9,"Computer",_xlfn.XLOOKUP($K9&amp;"",COMPUTER!$B$3:$B$1009&amp;"",COMPUTER!$E$3:$E$1009,""),"Display",_xlfn.XLOOKUP($K9&amp;"",DISPLAY!$B$3:$B$1000&amp;"",DISPLAY!$E$3:$E$1000,""),"Network Device",_xlfn.XLOOKUP($K9&amp;"",'NETWORK-DEVICES'!$B$3:$B$987&amp;"",'NETWORK-DEVICES'!$E$3:$E$987,""),"Peripheral",_xlfn.XLOOKUP($K9&amp;"",PERIPHERAL!$B$3:$B$954&amp;"",PERIPHERAL!$E$3:$E$954,""),"Utilities",_xlfn.XLOOKUP($K9&amp;"",UTILITIES!$B$3:$B$953&amp;"",UTILITIES!$E$3:$E$953,""),"IOT",_xlfn.XLOOKUP($K9&amp;"",IOT!$B$3:$B$1012&amp;"",IOT!$E$3:$E$1012,""),"Server",_xlfn.XLOOKUP($K9&amp;"",SERVER!$B$3:$B$1009&amp;"",SERVER!$E$3:$E$1009,""),""))))</f>
        <v>Patimban</v>
      </c>
      <c r="P9" t="s">
        <v>109</v>
      </c>
      <c r="Q9" s="1" t="str" cm="1">
        <f t="array" ref="Q9">IF(OR($K9="",$I9="",$J9=""),"",_xlfn.LET(_xlpm.srcCat,_xlfn.SWITCH($I9,"Computer",_xlfn.XLOOKUP($K9&amp;"",COMPUTER!$B$3:$B$1009&amp;"",COMPUTER!$H$3:$H$1009,""),"Display",_xlfn.XLOOKUP($K9&amp;"",DISPLAY!$B$3:$B$1000&amp;"",DISPLAY!$H$3:$H$1000,""),"Network Device",_xlfn.XLOOKUP($K9&amp;"",'NETWORK-DEVICES'!$B$3:$B$987&amp;"",'NETWORK-DEVICES'!$H$3:$H$987,""),"Peripheral",_xlfn.XLOOKUP($K9&amp;"",PERIPHERAL!$B$3:$B$954&amp;"",PERIPHERAL!$H$3:$H$954,""),"Utilities",_xlfn.XLOOKUP($K9&amp;"",UTILITIES!$B$3:$B$953&amp;"",UTILITIES!$G$3:$G$953,""),"IOT",_xlfn.XLOOKUP($K9&amp;"",IOT!$B$3:$B$1012&amp;"",IOT!$H$3:$H$1012,""),"Server",_xlfn.XLOOKUP($K9&amp;"",SERVER!$B$3:$B$1009&amp;"",SERVER!$H$3:$H$1009,""),""),IF(TRIM(_xlpm.srcCat)&lt;&gt;TRIM($J9),"",_xlfn.SWITCH($I9,"Computer",_xlfn.XLOOKUP($K9&amp;"",COMPUTER!$B$3:$B$1009&amp;"",COMPUTER!$AM$3:$AM$1009,""),"Display",_xlfn.XLOOKUP($K9&amp;"",DISPLAY!$B$3:$B$1000&amp;"",DISPLAY!$V$3:$V$1000,""),"Network Device",_xlfn.XLOOKUP($K9&amp;"",'NETWORK-DEVICES'!$B$3:$B$987&amp;"",'NETWORK-DEVICES'!$AF$3:$AF$987,""),"Peripheral",_xlfn.XLOOKUP($K9&amp;"",PERIPHERAL!$B$3:$B$954&amp;"",PERIPHERAL!$Y$3:$Y$954,""),"Utilities",_xlfn.XLOOKUP($K9&amp;"",UTILITIES!$B$3:$B$953&amp;"",UTILITIES!$O$3:$O$953,""),"IOT",_xlfn.XLOOKUP($K9&amp;"",IOT!$B$3:$B$1012&amp;"",IOT!$AB$3:$AB$1012,""),"Server",_xlfn.XLOOKUP($K9&amp;"",SERVER!$B$3:$B$1009&amp;"",SERVER!$AB$3:$AB$1009,""),""))))</f>
        <v>Good</v>
      </c>
      <c r="R9" s="43">
        <f>IF(tbl_handover[[#This Row],[Asset Code]]="","",COUNTIF(tbl_handover[Asset Code],tbl_handover[[#This Row],[Asset Code]]))</f>
        <v>1</v>
      </c>
      <c r="S9" s="1" t="s">
        <v>1131</v>
      </c>
      <c r="T9" t="s">
        <v>1137</v>
      </c>
      <c r="U9" s="60" t="b">
        <v>0</v>
      </c>
    </row>
    <row r="10" spans="1:21" x14ac:dyDescent="0.25">
      <c r="A10" s="43">
        <f>IF(B10&lt;&gt;"",SUBTOTAL(3,$B$1:B9),"")</f>
        <v>9</v>
      </c>
      <c r="B10" t="s">
        <v>1140</v>
      </c>
      <c r="C10" s="74">
        <v>46272</v>
      </c>
      <c r="D10" s="74"/>
      <c r="E10" t="s">
        <v>1141</v>
      </c>
      <c r="F10" s="13" t="s">
        <v>104</v>
      </c>
      <c r="G10" s="1" t="s">
        <v>1128</v>
      </c>
      <c r="H10" t="s">
        <v>1142</v>
      </c>
      <c r="I10" s="1" t="s">
        <v>23</v>
      </c>
      <c r="J10" s="1" t="s">
        <v>510</v>
      </c>
      <c r="K10" s="42" t="s">
        <v>1143</v>
      </c>
      <c r="L10" t="str" cm="1">
        <f t="array" ref="L10">IF($K10="","",_xlfn.SWITCH($I10,"Computer",_xlfn.XLOOKUP($K10&amp;"",COMPUTER!$B$3:$B$1009&amp;"",COMPUTER!$I$3:$I$1009,""),"Display",_xlfn.XLOOKUP($K10&amp;"",DISPLAY!$B$3:$B$1000&amp;"",DISPLAY!$J$3:$J$1000,""),"Network Device",_xlfn.XLOOKUP($K10&amp;"",'NETWORK-DEVICES'!$B$3:$B$987&amp;"",'NETWORK-DEVICES'!$I$3:$I$987,""),"Peripheral",_xlfn.XLOOKUP($K10&amp;"",PERIPHERAL!$B$3:$B$954&amp;"",PERIPHERAL!$I$3:$I$954,""),"Utilities",_xlfn.XLOOKUP($K10&amp;"",UTILITIES!$B$3:$B$953&amp;"",UTILITIES!$H$3:$H$953,""),"IOT",_xlfn.XLOOKUP($K10&amp;"",IOT!$B$3:$B$1012&amp;"",IOT!$I$3:$I$1012,""),"SERVER",_xlfn.XLOOKUP($K10&amp;"",SERVER!$B$3:$B$1009&amp;"",SERVER!$I$3:$I$1009,""),""))</f>
        <v>SMART TV SAMSUNG 65 INCH</v>
      </c>
      <c r="M10" t="str" cm="1">
        <f t="array" ref="M10">IF($K10="","",_xlfn.SWITCH($I10,"Computer",_xlfn.XLOOKUP($K10&amp;"",COMPUTER!$B$3:$B$1009&amp;"",COMPUTER!$J$3:$J$1009,""),"Display",_xlfn.XLOOKUP($K10&amp;"",DISPLAY!$B$3:$B$1000&amp;"",DISPLAY!$K$3:$K$1000,""),"Network Device",_xlfn.XLOOKUP($K10&amp;"",'NETWORK-DEVICES'!$B$3:$B$987&amp;"",'NETWORK-DEVICES'!$I$3:$I$987,""),"Peripheral",_xlfn.XLOOKUP($K10&amp;"",PERIPHERAL!$B$3:$B$954&amp;"",PERIPHERAL!$J$3:$J$954,""),"Utilities",_xlfn.XLOOKUP($K10&amp;"",UTILITIES!$B$3:$B$953&amp;"",UTILITIES!$I$3:$I$953,""),"IOT",_xlfn.XLOOKUP($K10&amp;"",IOT!$B$3:$B$1012&amp;"",IOT!$J$3:$J$1012,""),"Server",_xlfn.XLOOKUP($K10&amp;"",SERVER!$B$3:$B$1009&amp;"",SERVER!$J$3:$J$1009,""),""))</f>
        <v>TV 65" SET</v>
      </c>
      <c r="N10" s="1" t="str" cm="1">
        <f t="array" ref="N10">IF(OR($K10="",$I10="",$J10=""),"",_xlfn.LET(_xlpm.srcCat,_xlfn.SWITCH($I10,"Computer",_xlfn.XLOOKUP($K10&amp;"",COMPUTER!$B$3:$B$1009&amp;"",COMPUTER!$H$3:$H$1009,""),"Display",_xlfn.XLOOKUP($K10&amp;"",DISPLAY!$B$3:$B$1000&amp;"",DISPLAY!$H$3:$H$1000,""),"Network Device",_xlfn.XLOOKUP($K10&amp;"",'NETWORK-DEVICES'!$B$3:$B$987&amp;"",'NETWORK-DEVICES'!$H$3:$H$987,""),"Peripheral",_xlfn.XLOOKUP($K10&amp;"",PERIPHERAL!$B$3:$B$954&amp;"",PERIPHERAL!$H$3:$H$954,""),"Utilities",_xlfn.XLOOKUP($K10&amp;"",UTILITIES!$B$3:$B$953&amp;"",UTILITIES!$G$3:$G$953,""),"IOT",_xlfn.XLOOKUP($K10&amp;"",IOT!$B$3:$B$1012&amp;"",IOT!$H$3:$H$1012,""),"Server",_xlfn.XLOOKUP($K10&amp;"",SERVER!$B$3:$B$1009&amp;"",SERVER!$H$3:$H$1009,""),""),IF(TRIM(_xlpm.srcCat)&lt;&gt;TRIM($J10),"",_xlfn.SWITCH($I10,"Computer",_xlfn.XLOOKUP($K10&amp;"",COMPUTER!$B$3:$B$1009&amp;"",COMPUTER!$K$3:$K$1009,""),"Display",_xlfn.XLOOKUP($K10&amp;"",DISPLAY!$B$3:$B$1000&amp;"",DISPLAY!$L$3:$L$1000,""),"Network Device",_xlfn.XLOOKUP($K10&amp;"",'NETWORK-DEVICES'!$B$3:$B$987&amp;"",'NETWORK-DEVICES'!$K$3:$K$987,""),"Peripheral",_xlfn.XLOOKUP($K10&amp;"",PERIPHERAL!$B$3:$B$954&amp;"",PERIPHERAL!$K$3:$K$954,""),"Utilities",_xlfn.XLOOKUP($K10&amp;"",UTILITIES!$B$3:$B$953&amp;"",UTILITIES!$J$3:$J$953,""),"IOT",_xlfn.XLOOKUP($K10&amp;"",IOT!$B$3:$B$1012&amp;"",IOT!$K$4:$K$1012,""),"Server",_xlfn.XLOOKUP($K10&amp;"",SERVER!$B$3:$B$1009&amp;"",SERVER!$K$3:$K$1009,""),""))))</f>
        <v>140S3NGL800300Z</v>
      </c>
      <c r="O10" s="1" t="str" cm="1">
        <f t="array" ref="O10">IF(OR($K10="",$I10="",$J10=""),"",_xlfn.LET(_xlpm.srcCat,_xlfn.SWITCH($I10,"Computer",_xlfn.XLOOKUP($K10&amp;"",COMPUTER!$B$3:$B$1009&amp;"",COMPUTER!$H$3:$H$1009,""),"Display",_xlfn.XLOOKUP($K10&amp;"",DISPLAY!$B$3:$B$1000&amp;"",DISPLAY!$H$3:$H$1000,""),"Network Device",_xlfn.XLOOKUP($K10&amp;"",'NETWORK-DEVICES'!$B$3:$B$987&amp;"",'NETWORK-DEVICES'!$H$3:$H$987,""),"Peripheral",_xlfn.XLOOKUP($K10&amp;"",PERIPHERAL!$B$3:$B$954&amp;"",PERIPHERAL!$H$3:$H$954,""),"Utilities",_xlfn.XLOOKUP($K10&amp;"",UTILITIES!$B$3:$B$953&amp;"",UTILITIES!$G$3:$G$953,""),"IOT",_xlfn.XLOOKUP($K10&amp;"",IOT!$B$3:$B$1012&amp;"",IOT!$H$3:$H$1012,""),"Server",_xlfn.XLOOKUP($K10&amp;"",SERVER!$B$3:$B$1009&amp;"",SERVER!$H$3:$H$1009,""),""),IF(TRIM(_xlpm.srcCat)&lt;&gt;TRIM($J10),"",_xlfn.SWITCH($I10,"Computer",_xlfn.XLOOKUP($K10&amp;"",COMPUTER!$B$3:$B$1009&amp;"",COMPUTER!$E$3:$E$1009,""),"Display",_xlfn.XLOOKUP($K10&amp;"",DISPLAY!$B$3:$B$1000&amp;"",DISPLAY!$E$3:$E$1000,""),"Network Device",_xlfn.XLOOKUP($K10&amp;"",'NETWORK-DEVICES'!$B$3:$B$987&amp;"",'NETWORK-DEVICES'!$E$3:$E$987,""),"Peripheral",_xlfn.XLOOKUP($K10&amp;"",PERIPHERAL!$B$3:$B$954&amp;"",PERIPHERAL!$E$3:$E$954,""),"Utilities",_xlfn.XLOOKUP($K10&amp;"",UTILITIES!$B$3:$B$953&amp;"",UTILITIES!$E$3:$E$953,""),"IOT",_xlfn.XLOOKUP($K10&amp;"",IOT!$B$3:$B$1012&amp;"",IOT!$E$3:$E$1012,""),"Server",_xlfn.XLOOKUP($K10&amp;"",SERVER!$B$3:$B$1009&amp;"",SERVER!$E$3:$E$1009,""),""))))</f>
        <v>Patimban</v>
      </c>
      <c r="P10" t="s">
        <v>478</v>
      </c>
      <c r="Q10" s="1" t="str" cm="1">
        <f t="array" ref="Q10">IF(OR($K10="",$I10="",$J10=""),"",_xlfn.LET(_xlpm.srcCat,_xlfn.SWITCH($I10,"Computer",_xlfn.XLOOKUP($K10&amp;"",COMPUTER!$B$3:$B$1009&amp;"",COMPUTER!$H$3:$H$1009,""),"Display",_xlfn.XLOOKUP($K10&amp;"",DISPLAY!$B$3:$B$1000&amp;"",DISPLAY!$H$3:$H$1000,""),"Network Device",_xlfn.XLOOKUP($K10&amp;"",'NETWORK-DEVICES'!$B$3:$B$987&amp;"",'NETWORK-DEVICES'!$H$3:$H$987,""),"Peripheral",_xlfn.XLOOKUP($K10&amp;"",PERIPHERAL!$B$3:$B$954&amp;"",PERIPHERAL!$H$3:$H$954,""),"Utilities",_xlfn.XLOOKUP($K10&amp;"",UTILITIES!$B$3:$B$953&amp;"",UTILITIES!$G$3:$G$953,""),"IOT",_xlfn.XLOOKUP($K10&amp;"",IOT!$B$3:$B$1012&amp;"",IOT!$H$3:$H$1012,""),"Server",_xlfn.XLOOKUP($K10&amp;"",SERVER!$B$3:$B$1009&amp;"",SERVER!$H$3:$H$1009,""),""),IF(TRIM(_xlpm.srcCat)&lt;&gt;TRIM($J10),"",_xlfn.SWITCH($I10,"Computer",_xlfn.XLOOKUP($K10&amp;"",COMPUTER!$B$3:$B$1009&amp;"",COMPUTER!$AM$3:$AM$1009,""),"Display",_xlfn.XLOOKUP($K10&amp;"",DISPLAY!$B$3:$B$1000&amp;"",DISPLAY!$V$3:$V$1000,""),"Network Device",_xlfn.XLOOKUP($K10&amp;"",'NETWORK-DEVICES'!$B$3:$B$987&amp;"",'NETWORK-DEVICES'!$AF$3:$AF$987,""),"Peripheral",_xlfn.XLOOKUP($K10&amp;"",PERIPHERAL!$B$3:$B$954&amp;"",PERIPHERAL!$Y$3:$Y$954,""),"Utilities",_xlfn.XLOOKUP($K10&amp;"",UTILITIES!$B$3:$B$953&amp;"",UTILITIES!$O$3:$O$953,""),"IOT",_xlfn.XLOOKUP($K10&amp;"",IOT!$B$3:$B$1012&amp;"",IOT!$AB$3:$AB$1012,""),"Server",_xlfn.XLOOKUP($K10&amp;"",SERVER!$B$3:$B$1009&amp;"",SERVER!$AB$3:$AB$1009,""),""))))</f>
        <v>New</v>
      </c>
      <c r="R10" s="43">
        <f>IF(tbl_handover[[#This Row],[Asset Code]]="","",COUNTIF(tbl_handover[Asset Code],tbl_handover[[#This Row],[Asset Code]]))</f>
        <v>1</v>
      </c>
      <c r="S10" s="1" t="s">
        <v>1131</v>
      </c>
      <c r="T10" t="s">
        <v>1144</v>
      </c>
      <c r="U10" s="60" t="b">
        <v>0</v>
      </c>
    </row>
    <row r="11" spans="1:21" x14ac:dyDescent="0.25">
      <c r="A11" s="43">
        <f>IF(B11&lt;&gt;"",SUBTOTAL(3,$B$1:B10),"")</f>
        <v>10</v>
      </c>
      <c r="B11" t="s">
        <v>1140</v>
      </c>
      <c r="C11" s="74">
        <v>46272</v>
      </c>
      <c r="D11" s="74"/>
      <c r="E11" t="s">
        <v>1141</v>
      </c>
      <c r="F11" s="13" t="s">
        <v>104</v>
      </c>
      <c r="G11" s="1" t="s">
        <v>1128</v>
      </c>
      <c r="H11" t="s">
        <v>1142</v>
      </c>
      <c r="I11" s="1" t="s">
        <v>844</v>
      </c>
      <c r="J11" s="1" t="s">
        <v>845</v>
      </c>
      <c r="K11" s="42" t="s">
        <v>862</v>
      </c>
      <c r="L11" t="str" cm="1">
        <f t="array" ref="L11">IF($K11="","",_xlfn.SWITCH($I11,"Computer",_xlfn.XLOOKUP($K11&amp;"",COMPUTER!$B$3:$B$1009&amp;"",COMPUTER!$I$3:$I$1009,""),"Display",_xlfn.XLOOKUP($K11&amp;"",DISPLAY!$B$3:$B$1000&amp;"",DISPLAY!$J$3:$J$1000,""),"Network Device",_xlfn.XLOOKUP($K11&amp;"",'NETWORK-DEVICES'!$B$3:$B$987&amp;"",'NETWORK-DEVICES'!$I$3:$I$987,""),"Peripheral",_xlfn.XLOOKUP($K11&amp;"",PERIPHERAL!$B$3:$B$954&amp;"",PERIPHERAL!$I$3:$I$954,""),"Utilities",_xlfn.XLOOKUP($K11&amp;"",UTILITIES!$B$3:$B$953&amp;"",UTILITIES!$H$3:$H$953,""),"IOT",_xlfn.XLOOKUP($K11&amp;"",IOT!$B$3:$B$1012&amp;"",IOT!$I$3:$I$1012,""),"SERVER",_xlfn.XLOOKUP($K11&amp;"",SERVER!$B$3:$B$1009&amp;"",SERVER!$I$3:$I$1009,""),""))</f>
        <v>Bracket Standing / Dorong 2 Tatakan/Shelf untuk TV 40"-80" + Port Electric</v>
      </c>
      <c r="M11" t="str" cm="1">
        <f t="array" ref="M11">IF($K11="","",_xlfn.SWITCH($I11,"Computer",_xlfn.XLOOKUP($K11&amp;"",COMPUTER!$B$3:$B$1009&amp;"",COMPUTER!$J$3:$J$1009,""),"Display",_xlfn.XLOOKUP($K11&amp;"",DISPLAY!$B$3:$B$1000&amp;"",DISPLAY!$K$3:$K$1000,""),"Network Device",_xlfn.XLOOKUP($K11&amp;"",'NETWORK-DEVICES'!$B$3:$B$987&amp;"",'NETWORK-DEVICES'!$I$3:$I$987,""),"Peripheral",_xlfn.XLOOKUP($K11&amp;"",PERIPHERAL!$B$3:$B$954&amp;"",PERIPHERAL!$J$3:$J$954,""),"Utilities",_xlfn.XLOOKUP($K11&amp;"",UTILITIES!$B$3:$B$953&amp;"",UTILITIES!$I$3:$I$953,""),"IOT",_xlfn.XLOOKUP($K11&amp;"",IOT!$B$3:$B$1012&amp;"",IOT!$J$3:$J$1012,""),"Server",_xlfn.XLOOKUP($K11&amp;"",SERVER!$B$3:$B$1009&amp;"",SERVER!$J$3:$J$1009,""),""))</f>
        <v>Bracket Standing SET</v>
      </c>
      <c r="N11" s="1" t="str" cm="1">
        <f t="array" ref="N11">IF(OR($K11="",$I11="",$J11=""),"",_xlfn.LET(_xlpm.srcCat,_xlfn.SWITCH($I11,"Computer",_xlfn.XLOOKUP($K11&amp;"",COMPUTER!$B$3:$B$1009&amp;"",COMPUTER!$H$3:$H$1009,""),"Display",_xlfn.XLOOKUP($K11&amp;"",DISPLAY!$B$3:$B$1000&amp;"",DISPLAY!$H$3:$H$1000,""),"Network Device",_xlfn.XLOOKUP($K11&amp;"",'NETWORK-DEVICES'!$B$3:$B$987&amp;"",'NETWORK-DEVICES'!$H$3:$H$987,""),"Peripheral",_xlfn.XLOOKUP($K11&amp;"",PERIPHERAL!$B$3:$B$954&amp;"",PERIPHERAL!$H$3:$H$954,""),"Utilities",_xlfn.XLOOKUP($K11&amp;"",UTILITIES!$B$3:$B$953&amp;"",UTILITIES!$G$3:$G$953,""),"IOT",_xlfn.XLOOKUP($K11&amp;"",IOT!$B$3:$B$1012&amp;"",IOT!$H$3:$H$1012,""),"Server",_xlfn.XLOOKUP($K11&amp;"",SERVER!$B$3:$B$1009&amp;"",SERVER!$H$3:$H$1009,""),""),IF(TRIM(_xlpm.srcCat)&lt;&gt;TRIM($J11),"",_xlfn.SWITCH($I11,"Computer",_xlfn.XLOOKUP($K11&amp;"",COMPUTER!$B$3:$B$1009&amp;"",COMPUTER!$K$3:$K$1009,""),"Display",_xlfn.XLOOKUP($K11&amp;"",DISPLAY!$B$3:$B$1000&amp;"",DISPLAY!$L$3:$L$1000,""),"Network Device",_xlfn.XLOOKUP($K11&amp;"",'NETWORK-DEVICES'!$B$3:$B$987&amp;"",'NETWORK-DEVICES'!$K$3:$K$987,""),"Peripheral",_xlfn.XLOOKUP($K11&amp;"",PERIPHERAL!$B$3:$B$954&amp;"",PERIPHERAL!$K$3:$K$954,""),"Utilities",_xlfn.XLOOKUP($K11&amp;"",UTILITIES!$B$3:$B$953&amp;"",UTILITIES!$J$3:$J$953,""),"IOT",_xlfn.XLOOKUP($K11&amp;"",IOT!$B$3:$B$1012&amp;"",IOT!$K$4:$K$1012,""),"Server",_xlfn.XLOOKUP($K11&amp;"",SERVER!$B$3:$B$1009&amp;"",SERVER!$K$3:$K$1009,""),""))))</f>
        <v>N/A</v>
      </c>
      <c r="O11" s="1" t="str" cm="1">
        <f t="array" ref="O11">IF(OR($K11="",$I11="",$J11=""),"",_xlfn.LET(_xlpm.srcCat,_xlfn.SWITCH($I11,"Computer",_xlfn.XLOOKUP($K11&amp;"",COMPUTER!$B$3:$B$1009&amp;"",COMPUTER!$H$3:$H$1009,""),"Display",_xlfn.XLOOKUP($K11&amp;"",DISPLAY!$B$3:$B$1000&amp;"",DISPLAY!$H$3:$H$1000,""),"Network Device",_xlfn.XLOOKUP($K11&amp;"",'NETWORK-DEVICES'!$B$3:$B$987&amp;"",'NETWORK-DEVICES'!$H$3:$H$987,""),"Peripheral",_xlfn.XLOOKUP($K11&amp;"",PERIPHERAL!$B$3:$B$954&amp;"",PERIPHERAL!$H$3:$H$954,""),"Utilities",_xlfn.XLOOKUP($K11&amp;"",UTILITIES!$B$3:$B$953&amp;"",UTILITIES!$G$3:$G$953,""),"IOT",_xlfn.XLOOKUP($K11&amp;"",IOT!$B$3:$B$1012&amp;"",IOT!$H$3:$H$1012,""),"Server",_xlfn.XLOOKUP($K11&amp;"",SERVER!$B$3:$B$1009&amp;"",SERVER!$H$3:$H$1009,""),""),IF(TRIM(_xlpm.srcCat)&lt;&gt;TRIM($J11),"",_xlfn.SWITCH($I11,"Computer",_xlfn.XLOOKUP($K11&amp;"",COMPUTER!$B$3:$B$1009&amp;"",COMPUTER!$E$3:$E$1009,""),"Display",_xlfn.XLOOKUP($K11&amp;"",DISPLAY!$B$3:$B$1000&amp;"",DISPLAY!$E$3:$E$1000,""),"Network Device",_xlfn.XLOOKUP($K11&amp;"",'NETWORK-DEVICES'!$B$3:$B$987&amp;"",'NETWORK-DEVICES'!$E$3:$E$987,""),"Peripheral",_xlfn.XLOOKUP($K11&amp;"",PERIPHERAL!$B$3:$B$954&amp;"",PERIPHERAL!$E$3:$E$954,""),"Utilities",_xlfn.XLOOKUP($K11&amp;"",UTILITIES!$B$3:$B$953&amp;"",UTILITIES!$E$3:$E$953,""),"IOT",_xlfn.XLOOKUP($K11&amp;"",IOT!$B$3:$B$1012&amp;"",IOT!$E$3:$E$1012,""),"Server",_xlfn.XLOOKUP($K11&amp;"",SERVER!$B$3:$B$1009&amp;"",SERVER!$E$3:$E$1009,""),""))))</f>
        <v>Patimban</v>
      </c>
      <c r="P11" t="s">
        <v>478</v>
      </c>
      <c r="Q11" s="1" t="str" cm="1">
        <f t="array" ref="Q11">IF(OR($K11="",$I11="",$J11=""),"",_xlfn.LET(_xlpm.srcCat,_xlfn.SWITCH($I11,"Computer",_xlfn.XLOOKUP($K11&amp;"",COMPUTER!$B$3:$B$1009&amp;"",COMPUTER!$H$3:$H$1009,""),"Display",_xlfn.XLOOKUP($K11&amp;"",DISPLAY!$B$3:$B$1000&amp;"",DISPLAY!$H$3:$H$1000,""),"Network Device",_xlfn.XLOOKUP($K11&amp;"",'NETWORK-DEVICES'!$B$3:$B$987&amp;"",'NETWORK-DEVICES'!$H$3:$H$987,""),"Peripheral",_xlfn.XLOOKUP($K11&amp;"",PERIPHERAL!$B$3:$B$954&amp;"",PERIPHERAL!$H$3:$H$954,""),"Utilities",_xlfn.XLOOKUP($K11&amp;"",UTILITIES!$B$3:$B$953&amp;"",UTILITIES!$G$3:$G$953,""),"IOT",_xlfn.XLOOKUP($K11&amp;"",IOT!$B$3:$B$1012&amp;"",IOT!$H$3:$H$1012,""),"Server",_xlfn.XLOOKUP($K11&amp;"",SERVER!$B$3:$B$1009&amp;"",SERVER!$H$3:$H$1009,""),""),IF(TRIM(_xlpm.srcCat)&lt;&gt;TRIM($J11),"",_xlfn.SWITCH($I11,"Computer",_xlfn.XLOOKUP($K11&amp;"",COMPUTER!$B$3:$B$1009&amp;"",COMPUTER!$AM$3:$AM$1009,""),"Display",_xlfn.XLOOKUP($K11&amp;"",DISPLAY!$B$3:$B$1000&amp;"",DISPLAY!$V$3:$V$1000,""),"Network Device",_xlfn.XLOOKUP($K11&amp;"",'NETWORK-DEVICES'!$B$3:$B$987&amp;"",'NETWORK-DEVICES'!$AF$3:$AF$987,""),"Peripheral",_xlfn.XLOOKUP($K11&amp;"",PERIPHERAL!$B$3:$B$954&amp;"",PERIPHERAL!$Y$3:$Y$954,""),"Utilities",_xlfn.XLOOKUP($K11&amp;"",UTILITIES!$B$3:$B$953&amp;"",UTILITIES!$O$3:$O$953,""),"IOT",_xlfn.XLOOKUP($K11&amp;"",IOT!$B$3:$B$1012&amp;"",IOT!$AB$3:$AB$1012,""),"Server",_xlfn.XLOOKUP($K11&amp;"",SERVER!$B$3:$B$1009&amp;"",SERVER!$AB$3:$AB$1009,""),""))))</f>
        <v>Good</v>
      </c>
      <c r="R11" s="43">
        <f>IF(tbl_handover[[#This Row],[Asset Code]]="","",COUNTIF(tbl_handover[Asset Code],tbl_handover[[#This Row],[Asset Code]]))</f>
        <v>1</v>
      </c>
      <c r="S11" s="1" t="s">
        <v>1131</v>
      </c>
      <c r="T11" t="s">
        <v>1144</v>
      </c>
      <c r="U11" s="60" t="b">
        <v>0</v>
      </c>
    </row>
    <row r="12" spans="1:21" x14ac:dyDescent="0.25">
      <c r="A12" s="43">
        <f>IF(B12&lt;&gt;"",SUBTOTAL(3,$B$1:B11),"")</f>
        <v>11</v>
      </c>
      <c r="B12" t="s">
        <v>1145</v>
      </c>
      <c r="C12" s="74">
        <v>46273</v>
      </c>
      <c r="D12" s="74"/>
      <c r="E12" t="s">
        <v>1146</v>
      </c>
      <c r="F12" s="13" t="s">
        <v>104</v>
      </c>
      <c r="G12" s="1" t="s">
        <v>1128</v>
      </c>
      <c r="H12" t="s">
        <v>1147</v>
      </c>
      <c r="I12" s="1" t="s">
        <v>23</v>
      </c>
      <c r="J12" s="1" t="s">
        <v>510</v>
      </c>
      <c r="K12" s="42" t="s">
        <v>1148</v>
      </c>
      <c r="L12" t="str" cm="1">
        <f t="array" ref="L12">IF($K12="","",_xlfn.SWITCH($I12,"Computer",_xlfn.XLOOKUP($K12&amp;"",COMPUTER!$B$3:$B$1009&amp;"",COMPUTER!$I$3:$I$1009,""),"Display",_xlfn.XLOOKUP($K12&amp;"",DISPLAY!$B$3:$B$1000&amp;"",DISPLAY!$J$3:$J$1000,""),"Network Device",_xlfn.XLOOKUP($K12&amp;"",'NETWORK-DEVICES'!$B$3:$B$987&amp;"",'NETWORK-DEVICES'!$I$3:$I$987,""),"Peripheral",_xlfn.XLOOKUP($K12&amp;"",PERIPHERAL!$B$3:$B$954&amp;"",PERIPHERAL!$I$3:$I$954,""),"Utilities",_xlfn.XLOOKUP($K12&amp;"",UTILITIES!$B$3:$B$953&amp;"",UTILITIES!$H$3:$H$953,""),"IOT",_xlfn.XLOOKUP($K12&amp;"",IOT!$B$3:$B$1012&amp;"",IOT!$I$3:$I$1012,""),"SERVER",_xlfn.XLOOKUP($K12&amp;"",SERVER!$B$3:$B$1009&amp;"",SERVER!$I$3:$I$1009,""),""))</f>
        <v>SMART TV SAMSUNG 50 INCH</v>
      </c>
      <c r="M12" t="str" cm="1">
        <f t="array" ref="M12">IF($K12="","",_xlfn.SWITCH($I12,"Computer",_xlfn.XLOOKUP($K12&amp;"",COMPUTER!$B$3:$B$1009&amp;"",COMPUTER!$J$3:$J$1009,""),"Display",_xlfn.XLOOKUP($K12&amp;"",DISPLAY!$B$3:$B$1000&amp;"",DISPLAY!$K$3:$K$1000,""),"Network Device",_xlfn.XLOOKUP($K12&amp;"",'NETWORK-DEVICES'!$B$3:$B$987&amp;"",'NETWORK-DEVICES'!$I$3:$I$987,""),"Peripheral",_xlfn.XLOOKUP($K12&amp;"",PERIPHERAL!$B$3:$B$954&amp;"",PERIPHERAL!$J$3:$J$954,""),"Utilities",_xlfn.XLOOKUP($K12&amp;"",UTILITIES!$B$3:$B$953&amp;"",UTILITIES!$I$3:$I$953,""),"IOT",_xlfn.XLOOKUP($K12&amp;"",IOT!$B$3:$B$1012&amp;"",IOT!$J$3:$J$1012,""),"Server",_xlfn.XLOOKUP($K12&amp;"",SERVER!$B$3:$B$1009&amp;"",SERVER!$J$3:$J$1009,""),""))</f>
        <v>TV 50" SET</v>
      </c>
      <c r="N12" s="1" t="str" cm="1">
        <f t="array" ref="N12">IF(OR($K12="",$I12="",$J12=""),"",_xlfn.LET(_xlpm.srcCat,_xlfn.SWITCH($I12,"Computer",_xlfn.XLOOKUP($K12&amp;"",COMPUTER!$B$3:$B$1009&amp;"",COMPUTER!$H$3:$H$1009,""),"Display",_xlfn.XLOOKUP($K12&amp;"",DISPLAY!$B$3:$B$1000&amp;"",DISPLAY!$H$3:$H$1000,""),"Network Device",_xlfn.XLOOKUP($K12&amp;"",'NETWORK-DEVICES'!$B$3:$B$987&amp;"",'NETWORK-DEVICES'!$H$3:$H$987,""),"Peripheral",_xlfn.XLOOKUP($K12&amp;"",PERIPHERAL!$B$3:$B$954&amp;"",PERIPHERAL!$H$3:$H$954,""),"Utilities",_xlfn.XLOOKUP($K12&amp;"",UTILITIES!$B$3:$B$953&amp;"",UTILITIES!$G$3:$G$953,""),"IOT",_xlfn.XLOOKUP($K12&amp;"",IOT!$B$3:$B$1012&amp;"",IOT!$H$3:$H$1012,""),"Server",_xlfn.XLOOKUP($K12&amp;"",SERVER!$B$3:$B$1009&amp;"",SERVER!$H$3:$H$1009,""),""),IF(TRIM(_xlpm.srcCat)&lt;&gt;TRIM($J12),"",_xlfn.SWITCH($I12,"Computer",_xlfn.XLOOKUP($K12&amp;"",COMPUTER!$B$3:$B$1009&amp;"",COMPUTER!$K$3:$K$1009,""),"Display",_xlfn.XLOOKUP($K12&amp;"",DISPLAY!$B$3:$B$1000&amp;"",DISPLAY!$L$3:$L$1000,""),"Network Device",_xlfn.XLOOKUP($K12&amp;"",'NETWORK-DEVICES'!$B$3:$B$987&amp;"",'NETWORK-DEVICES'!$K$3:$K$987,""),"Peripheral",_xlfn.XLOOKUP($K12&amp;"",PERIPHERAL!$B$3:$B$954&amp;"",PERIPHERAL!$K$3:$K$954,""),"Utilities",_xlfn.XLOOKUP($K12&amp;"",UTILITIES!$B$3:$B$953&amp;"",UTILITIES!$J$3:$J$953,""),"IOT",_xlfn.XLOOKUP($K12&amp;"",IOT!$B$3:$B$1012&amp;"",IOT!$K$4:$K$1012,""),"Server",_xlfn.XLOOKUP($K12&amp;"",SERVER!$B$3:$B$1009&amp;"",SERVER!$K$3:$K$1009,""),""))))</f>
        <v>0ZMW3NFY405632J</v>
      </c>
      <c r="O12" s="1" t="str" cm="1">
        <f t="array" ref="O12">IF(OR($K12="",$I12="",$J12=""),"",_xlfn.LET(_xlpm.srcCat,_xlfn.SWITCH($I12,"Computer",_xlfn.XLOOKUP($K12&amp;"",COMPUTER!$B$3:$B$1009&amp;"",COMPUTER!$H$3:$H$1009,""),"Display",_xlfn.XLOOKUP($K12&amp;"",DISPLAY!$B$3:$B$1000&amp;"",DISPLAY!$H$3:$H$1000,""),"Network Device",_xlfn.XLOOKUP($K12&amp;"",'NETWORK-DEVICES'!$B$3:$B$987&amp;"",'NETWORK-DEVICES'!$H$3:$H$987,""),"Peripheral",_xlfn.XLOOKUP($K12&amp;"",PERIPHERAL!$B$3:$B$954&amp;"",PERIPHERAL!$H$3:$H$954,""),"Utilities",_xlfn.XLOOKUP($K12&amp;"",UTILITIES!$B$3:$B$953&amp;"",UTILITIES!$G$3:$G$953,""),"IOT",_xlfn.XLOOKUP($K12&amp;"",IOT!$B$3:$B$1012&amp;"",IOT!$H$3:$H$1012,""),"Server",_xlfn.XLOOKUP($K12&amp;"",SERVER!$B$3:$B$1009&amp;"",SERVER!$H$3:$H$1009,""),""),IF(TRIM(_xlpm.srcCat)&lt;&gt;TRIM($J12),"",_xlfn.SWITCH($I12,"Computer",_xlfn.XLOOKUP($K12&amp;"",COMPUTER!$B$3:$B$1009&amp;"",COMPUTER!$E$3:$E$1009,""),"Display",_xlfn.XLOOKUP($K12&amp;"",DISPLAY!$B$3:$B$1000&amp;"",DISPLAY!$E$3:$E$1000,""),"Network Device",_xlfn.XLOOKUP($K12&amp;"",'NETWORK-DEVICES'!$B$3:$B$987&amp;"",'NETWORK-DEVICES'!$E$3:$E$987,""),"Peripheral",_xlfn.XLOOKUP($K12&amp;"",PERIPHERAL!$B$3:$B$954&amp;"",PERIPHERAL!$E$3:$E$954,""),"Utilities",_xlfn.XLOOKUP($K12&amp;"",UTILITIES!$B$3:$B$953&amp;"",UTILITIES!$E$3:$E$953,""),"IOT",_xlfn.XLOOKUP($K12&amp;"",IOT!$B$3:$B$1012&amp;"",IOT!$E$3:$E$1012,""),"Server",_xlfn.XLOOKUP($K12&amp;"",SERVER!$B$3:$B$1009&amp;"",SERVER!$E$3:$E$1009,""),""))))</f>
        <v>Patimban</v>
      </c>
      <c r="P12" t="s">
        <v>203</v>
      </c>
      <c r="Q12" s="1" t="str" cm="1">
        <f t="array" ref="Q12">IF(OR($K12="",$I12="",$J12=""),"",_xlfn.LET(_xlpm.srcCat,_xlfn.SWITCH($I12,"Computer",_xlfn.XLOOKUP($K12&amp;"",COMPUTER!$B$3:$B$1009&amp;"",COMPUTER!$H$3:$H$1009,""),"Display",_xlfn.XLOOKUP($K12&amp;"",DISPLAY!$B$3:$B$1000&amp;"",DISPLAY!$H$3:$H$1000,""),"Network Device",_xlfn.XLOOKUP($K12&amp;"",'NETWORK-DEVICES'!$B$3:$B$987&amp;"",'NETWORK-DEVICES'!$H$3:$H$987,""),"Peripheral",_xlfn.XLOOKUP($K12&amp;"",PERIPHERAL!$B$3:$B$954&amp;"",PERIPHERAL!$H$3:$H$954,""),"Utilities",_xlfn.XLOOKUP($K12&amp;"",UTILITIES!$B$3:$B$953&amp;"",UTILITIES!$G$3:$G$953,""),"IOT",_xlfn.XLOOKUP($K12&amp;"",IOT!$B$3:$B$1012&amp;"",IOT!$H$3:$H$1012,""),"Server",_xlfn.XLOOKUP($K12&amp;"",SERVER!$B$3:$B$1009&amp;"",SERVER!$H$3:$H$1009,""),""),IF(TRIM(_xlpm.srcCat)&lt;&gt;TRIM($J12),"",_xlfn.SWITCH($I12,"Computer",_xlfn.XLOOKUP($K12&amp;"",COMPUTER!$B$3:$B$1009&amp;"",COMPUTER!$AM$3:$AM$1009,""),"Display",_xlfn.XLOOKUP($K12&amp;"",DISPLAY!$B$3:$B$1000&amp;"",DISPLAY!$V$3:$V$1000,""),"Network Device",_xlfn.XLOOKUP($K12&amp;"",'NETWORK-DEVICES'!$B$3:$B$987&amp;"",'NETWORK-DEVICES'!$AF$3:$AF$987,""),"Peripheral",_xlfn.XLOOKUP($K12&amp;"",PERIPHERAL!$B$3:$B$954&amp;"",PERIPHERAL!$Y$3:$Y$954,""),"Utilities",_xlfn.XLOOKUP($K12&amp;"",UTILITIES!$B$3:$B$953&amp;"",UTILITIES!$O$3:$O$953,""),"IOT",_xlfn.XLOOKUP($K12&amp;"",IOT!$B$3:$B$1012&amp;"",IOT!$AB$3:$AB$1012,""),"Server",_xlfn.XLOOKUP($K12&amp;"",SERVER!$B$3:$B$1009&amp;"",SERVER!$AB$3:$AB$1009,""),""))))</f>
        <v>Good</v>
      </c>
      <c r="R12" s="43">
        <f>IF(tbl_handover[[#This Row],[Asset Code]]="","",COUNTIF(tbl_handover[Asset Code],tbl_handover[[#This Row],[Asset Code]]))</f>
        <v>1</v>
      </c>
      <c r="S12" s="1" t="s">
        <v>1131</v>
      </c>
      <c r="T12" t="s">
        <v>1144</v>
      </c>
      <c r="U12" s="60" t="b">
        <v>0</v>
      </c>
    </row>
    <row r="13" spans="1:21" x14ac:dyDescent="0.25">
      <c r="A13" s="43">
        <f>IF(B13&lt;&gt;"",SUBTOTAL(3,$B$1:B12),"")</f>
        <v>12</v>
      </c>
      <c r="B13" t="s">
        <v>1149</v>
      </c>
      <c r="C13" s="74">
        <v>46273</v>
      </c>
      <c r="D13" s="74"/>
      <c r="E13" t="s">
        <v>1150</v>
      </c>
      <c r="F13" s="13" t="s">
        <v>104</v>
      </c>
      <c r="G13" s="1" t="s">
        <v>1128</v>
      </c>
      <c r="H13" t="s">
        <v>836</v>
      </c>
      <c r="I13" s="1" t="s">
        <v>76</v>
      </c>
      <c r="J13" s="1" t="s">
        <v>77</v>
      </c>
      <c r="K13" s="42" t="s">
        <v>1151</v>
      </c>
      <c r="L13" t="str" cm="1">
        <f t="array" ref="L13">IF($K13="","",_xlfn.SWITCH($I13,"Computer",_xlfn.XLOOKUP($K13&amp;"",COMPUTER!$B$3:$B$1009&amp;"",COMPUTER!$I$3:$I$1009,""),"Display",_xlfn.XLOOKUP($K13&amp;"",DISPLAY!$B$3:$B$1000&amp;"",DISPLAY!$J$3:$J$1000,""),"Network Device",_xlfn.XLOOKUP($K13&amp;"",'NETWORK-DEVICES'!$B$3:$B$987&amp;"",'NETWORK-DEVICES'!$I$3:$I$987,""),"Peripheral",_xlfn.XLOOKUP($K13&amp;"",PERIPHERAL!$B$3:$B$954&amp;"",PERIPHERAL!$I$3:$I$954,""),"Utilities",_xlfn.XLOOKUP($K13&amp;"",UTILITIES!$B$3:$B$953&amp;"",UTILITIES!$H$3:$H$953,""),"IOT",_xlfn.XLOOKUP($K13&amp;"",IOT!$B$3:$B$1012&amp;"",IOT!$I$3:$I$1012,""),"SERVER",_xlfn.XLOOKUP($K13&amp;"",SERVER!$B$3:$B$1009&amp;"",SERVER!$I$3:$I$1009,""),""))</f>
        <v>HP ProDesk 4 Mini G1i Desktop AI PC</v>
      </c>
      <c r="M13" t="str" cm="1">
        <f t="array" ref="M13">IF($K13="","",_xlfn.SWITCH($I13,"Computer",_xlfn.XLOOKUP($K13&amp;"",COMPUTER!$B$3:$B$1009&amp;"",COMPUTER!$J$3:$J$1009,""),"Display",_xlfn.XLOOKUP($K13&amp;"",DISPLAY!$B$3:$B$1000&amp;"",DISPLAY!$K$3:$K$1000,""),"Network Device",_xlfn.XLOOKUP($K13&amp;"",'NETWORK-DEVICES'!$B$3:$B$987&amp;"",'NETWORK-DEVICES'!$I$3:$I$987,""),"Peripheral",_xlfn.XLOOKUP($K13&amp;"",PERIPHERAL!$B$3:$B$954&amp;"",PERIPHERAL!$J$3:$J$954,""),"Utilities",_xlfn.XLOOKUP($K13&amp;"",UTILITIES!$B$3:$B$953&amp;"",UTILITIES!$I$3:$I$953,""),"IOT",_xlfn.XLOOKUP($K13&amp;"",IOT!$B$3:$B$1012&amp;"",IOT!$J$3:$J$1012,""),"Server",_xlfn.XLOOKUP($K13&amp;"",SERVER!$B$3:$B$1009&amp;"",SERVER!$J$3:$J$1009,""),""))</f>
        <v>MFF PC</v>
      </c>
      <c r="N13" s="1" t="str" cm="1">
        <f t="array" ref="N13">IF(OR($K13="",$I13="",$J13=""),"",_xlfn.LET(_xlpm.srcCat,_xlfn.SWITCH($I13,"Computer",_xlfn.XLOOKUP($K13&amp;"",COMPUTER!$B$3:$B$1009&amp;"",COMPUTER!$H$3:$H$1009,""),"Display",_xlfn.XLOOKUP($K13&amp;"",DISPLAY!$B$3:$B$1000&amp;"",DISPLAY!$H$3:$H$1000,""),"Network Device",_xlfn.XLOOKUP($K13&amp;"",'NETWORK-DEVICES'!$B$3:$B$987&amp;"",'NETWORK-DEVICES'!$H$3:$H$987,""),"Peripheral",_xlfn.XLOOKUP($K13&amp;"",PERIPHERAL!$B$3:$B$954&amp;"",PERIPHERAL!$H$3:$H$954,""),"Utilities",_xlfn.XLOOKUP($K13&amp;"",UTILITIES!$B$3:$B$953&amp;"",UTILITIES!$G$3:$G$953,""),"IOT",_xlfn.XLOOKUP($K13&amp;"",IOT!$B$3:$B$1012&amp;"",IOT!$H$3:$H$1012,""),"Server",_xlfn.XLOOKUP($K13&amp;"",SERVER!$B$3:$B$1009&amp;"",SERVER!$H$3:$H$1009,""),""),IF(TRIM(_xlpm.srcCat)&lt;&gt;TRIM($J13),"",_xlfn.SWITCH($I13,"Computer",_xlfn.XLOOKUP($K13&amp;"",COMPUTER!$B$3:$B$1009&amp;"",COMPUTER!$K$3:$K$1009,""),"Display",_xlfn.XLOOKUP($K13&amp;"",DISPLAY!$B$3:$B$1000&amp;"",DISPLAY!$L$3:$L$1000,""),"Network Device",_xlfn.XLOOKUP($K13&amp;"",'NETWORK-DEVICES'!$B$3:$B$987&amp;"",'NETWORK-DEVICES'!$K$3:$K$987,""),"Peripheral",_xlfn.XLOOKUP($K13&amp;"",PERIPHERAL!$B$3:$B$954&amp;"",PERIPHERAL!$K$3:$K$954,""),"Utilities",_xlfn.XLOOKUP($K13&amp;"",UTILITIES!$B$3:$B$953&amp;"",UTILITIES!$J$3:$J$953,""),"IOT",_xlfn.XLOOKUP($K13&amp;"",IOT!$B$3:$B$1012&amp;"",IOT!$K$4:$K$1012,""),"Server",_xlfn.XLOOKUP($K13&amp;"",SERVER!$B$3:$B$1009&amp;"",SERVER!$K$3:$K$1009,""),""))))</f>
        <v>8CC6062FT4</v>
      </c>
      <c r="O13" s="1" t="str" cm="1">
        <f t="array" ref="O13">IF(OR($K13="",$I13="",$J13=""),"",_xlfn.LET(_xlpm.srcCat,_xlfn.SWITCH($I13,"Computer",_xlfn.XLOOKUP($K13&amp;"",COMPUTER!$B$3:$B$1009&amp;"",COMPUTER!$H$3:$H$1009,""),"Display",_xlfn.XLOOKUP($K13&amp;"",DISPLAY!$B$3:$B$1000&amp;"",DISPLAY!$H$3:$H$1000,""),"Network Device",_xlfn.XLOOKUP($K13&amp;"",'NETWORK-DEVICES'!$B$3:$B$987&amp;"",'NETWORK-DEVICES'!$H$3:$H$987,""),"Peripheral",_xlfn.XLOOKUP($K13&amp;"",PERIPHERAL!$B$3:$B$954&amp;"",PERIPHERAL!$H$3:$H$954,""),"Utilities",_xlfn.XLOOKUP($K13&amp;"",UTILITIES!$B$3:$B$953&amp;"",UTILITIES!$G$3:$G$953,""),"IOT",_xlfn.XLOOKUP($K13&amp;"",IOT!$B$3:$B$1012&amp;"",IOT!$H$3:$H$1012,""),"Server",_xlfn.XLOOKUP($K13&amp;"",SERVER!$B$3:$B$1009&amp;"",SERVER!$H$3:$H$1009,""),""),IF(TRIM(_xlpm.srcCat)&lt;&gt;TRIM($J13),"",_xlfn.SWITCH($I13,"Computer",_xlfn.XLOOKUP($K13&amp;"",COMPUTER!$B$3:$B$1009&amp;"",COMPUTER!$E$3:$E$1009,""),"Display",_xlfn.XLOOKUP($K13&amp;"",DISPLAY!$B$3:$B$1000&amp;"",DISPLAY!$E$3:$E$1000,""),"Network Device",_xlfn.XLOOKUP($K13&amp;"",'NETWORK-DEVICES'!$B$3:$B$987&amp;"",'NETWORK-DEVICES'!$E$3:$E$987,""),"Peripheral",_xlfn.XLOOKUP($K13&amp;"",PERIPHERAL!$B$3:$B$954&amp;"",PERIPHERAL!$E$3:$E$954,""),"Utilities",_xlfn.XLOOKUP($K13&amp;"",UTILITIES!$B$3:$B$953&amp;"",UTILITIES!$E$3:$E$953,""),"IOT",_xlfn.XLOOKUP($K13&amp;"",IOT!$B$3:$B$1012&amp;"",IOT!$E$3:$E$1012,""),"Server",_xlfn.XLOOKUP($K13&amp;"",SERVER!$B$3:$B$1009&amp;"",SERVER!$E$3:$E$1009,""),""))))</f>
        <v>Patimban</v>
      </c>
      <c r="P13" t="s">
        <v>197</v>
      </c>
      <c r="Q13" s="1" t="str" cm="1">
        <f t="array" ref="Q13">IF(OR($K13="",$I13="",$J13=""),"",_xlfn.LET(_xlpm.srcCat,_xlfn.SWITCH($I13,"Computer",_xlfn.XLOOKUP($K13&amp;"",COMPUTER!$B$3:$B$1009&amp;"",COMPUTER!$H$3:$H$1009,""),"Display",_xlfn.XLOOKUP($K13&amp;"",DISPLAY!$B$3:$B$1000&amp;"",DISPLAY!$H$3:$H$1000,""),"Network Device",_xlfn.XLOOKUP($K13&amp;"",'NETWORK-DEVICES'!$B$3:$B$987&amp;"",'NETWORK-DEVICES'!$H$3:$H$987,""),"Peripheral",_xlfn.XLOOKUP($K13&amp;"",PERIPHERAL!$B$3:$B$954&amp;"",PERIPHERAL!$H$3:$H$954,""),"Utilities",_xlfn.XLOOKUP($K13&amp;"",UTILITIES!$B$3:$B$953&amp;"",UTILITIES!$G$3:$G$953,""),"IOT",_xlfn.XLOOKUP($K13&amp;"",IOT!$B$3:$B$1012&amp;"",IOT!$H$3:$H$1012,""),"Server",_xlfn.XLOOKUP($K13&amp;"",SERVER!$B$3:$B$1009&amp;"",SERVER!$H$3:$H$1009,""),""),IF(TRIM(_xlpm.srcCat)&lt;&gt;TRIM($J13),"",_xlfn.SWITCH($I13,"Computer",_xlfn.XLOOKUP($K13&amp;"",COMPUTER!$B$3:$B$1009&amp;"",COMPUTER!$AM$3:$AM$1009,""),"Display",_xlfn.XLOOKUP($K13&amp;"",DISPLAY!$B$3:$B$1000&amp;"",DISPLAY!$V$3:$V$1000,""),"Network Device",_xlfn.XLOOKUP($K13&amp;"",'NETWORK-DEVICES'!$B$3:$B$987&amp;"",'NETWORK-DEVICES'!$AF$3:$AF$987,""),"Peripheral",_xlfn.XLOOKUP($K13&amp;"",PERIPHERAL!$B$3:$B$954&amp;"",PERIPHERAL!$Y$3:$Y$954,""),"Utilities",_xlfn.XLOOKUP($K13&amp;"",UTILITIES!$B$3:$B$953&amp;"",UTILITIES!$O$3:$O$953,""),"IOT",_xlfn.XLOOKUP($K13&amp;"",IOT!$B$3:$B$1012&amp;"",IOT!$AB$3:$AB$1012,""),"Server",_xlfn.XLOOKUP($K13&amp;"",SERVER!$B$3:$B$1009&amp;"",SERVER!$AB$3:$AB$1009,""),""))))</f>
        <v>New</v>
      </c>
      <c r="R13" s="43">
        <f>IF(tbl_handover[[#This Row],[Asset Code]]="","",COUNTIF(tbl_handover[Asset Code],tbl_handover[[#This Row],[Asset Code]]))</f>
        <v>1</v>
      </c>
      <c r="S13" s="1" t="s">
        <v>1131</v>
      </c>
      <c r="U13" s="60" t="b">
        <v>0</v>
      </c>
    </row>
    <row r="14" spans="1:21" x14ac:dyDescent="0.25">
      <c r="A14" s="43">
        <f>IF(B14&lt;&gt;"",SUBTOTAL(3,$B$1:B13),"")</f>
        <v>13</v>
      </c>
      <c r="B14" t="s">
        <v>1149</v>
      </c>
      <c r="C14" s="74">
        <v>46273</v>
      </c>
      <c r="D14" s="74"/>
      <c r="E14" t="s">
        <v>1150</v>
      </c>
      <c r="F14" s="13" t="s">
        <v>104</v>
      </c>
      <c r="G14" s="1" t="s">
        <v>1128</v>
      </c>
      <c r="H14" t="s">
        <v>836</v>
      </c>
      <c r="I14" s="1" t="s">
        <v>23</v>
      </c>
      <c r="J14" s="1" t="s">
        <v>533</v>
      </c>
      <c r="K14" s="42" t="s">
        <v>1152</v>
      </c>
      <c r="L14" t="str" cm="1">
        <f t="array" ref="L14">IF($K14="","",_xlfn.SWITCH($I14,"Computer",_xlfn.XLOOKUP($K14&amp;"",COMPUTER!$B$3:$B$1009&amp;"",COMPUTER!$I$3:$I$1009,""),"Display",_xlfn.XLOOKUP($K14&amp;"",DISPLAY!$B$3:$B$1000&amp;"",DISPLAY!$J$3:$J$1000,""),"Network Device",_xlfn.XLOOKUP($K14&amp;"",'NETWORK-DEVICES'!$B$3:$B$987&amp;"",'NETWORK-DEVICES'!$I$3:$I$987,""),"Peripheral",_xlfn.XLOOKUP($K14&amp;"",PERIPHERAL!$B$3:$B$954&amp;"",PERIPHERAL!$I$3:$I$954,""),"Utilities",_xlfn.XLOOKUP($K14&amp;"",UTILITIES!$B$3:$B$953&amp;"",UTILITIES!$H$3:$H$953,""),"IOT",_xlfn.XLOOKUP($K14&amp;"",IOT!$B$3:$B$1012&amp;"",IOT!$I$3:$I$1012,""),"SERVER",_xlfn.XLOOKUP($K14&amp;"",SERVER!$B$3:$B$1009&amp;"",SERVER!$I$3:$I$1009,""),""))</f>
        <v>SAMSUNG MONITOR 27 INCH</v>
      </c>
      <c r="M14" t="str" cm="1">
        <f t="array" ref="M14">IF($K14="","",_xlfn.SWITCH($I14,"Computer",_xlfn.XLOOKUP($K14&amp;"",COMPUTER!$B$3:$B$1009&amp;"",COMPUTER!$J$3:$J$1009,""),"Display",_xlfn.XLOOKUP($K14&amp;"",DISPLAY!$B$3:$B$1000&amp;"",DISPLAY!$K$3:$K$1000,""),"Network Device",_xlfn.XLOOKUP($K14&amp;"",'NETWORK-DEVICES'!$B$3:$B$987&amp;"",'NETWORK-DEVICES'!$I$3:$I$987,""),"Peripheral",_xlfn.XLOOKUP($K14&amp;"",PERIPHERAL!$B$3:$B$954&amp;"",PERIPHERAL!$J$3:$J$954,""),"Utilities",_xlfn.XLOOKUP($K14&amp;"",UTILITIES!$B$3:$B$953&amp;"",UTILITIES!$I$3:$I$953,""),"IOT",_xlfn.XLOOKUP($K14&amp;"",IOT!$B$3:$B$1012&amp;"",IOT!$J$3:$J$1012,""),"Server",_xlfn.XLOOKUP($K14&amp;"",SERVER!$B$3:$B$1009&amp;"",SERVER!$J$3:$J$1009,""),""))</f>
        <v>MONITOR 27"</v>
      </c>
      <c r="N14" s="1" t="str" cm="1">
        <f t="array" ref="N14">IF(OR($K14="",$I14="",$J14=""),"",_xlfn.LET(_xlpm.srcCat,_xlfn.SWITCH($I14,"Computer",_xlfn.XLOOKUP($K14&amp;"",COMPUTER!$B$3:$B$1009&amp;"",COMPUTER!$H$3:$H$1009,""),"Display",_xlfn.XLOOKUP($K14&amp;"",DISPLAY!$B$3:$B$1000&amp;"",DISPLAY!$H$3:$H$1000,""),"Network Device",_xlfn.XLOOKUP($K14&amp;"",'NETWORK-DEVICES'!$B$3:$B$987&amp;"",'NETWORK-DEVICES'!$H$3:$H$987,""),"Peripheral",_xlfn.XLOOKUP($K14&amp;"",PERIPHERAL!$B$3:$B$954&amp;"",PERIPHERAL!$H$3:$H$954,""),"Utilities",_xlfn.XLOOKUP($K14&amp;"",UTILITIES!$B$3:$B$953&amp;"",UTILITIES!$G$3:$G$953,""),"IOT",_xlfn.XLOOKUP($K14&amp;"",IOT!$B$3:$B$1012&amp;"",IOT!$H$3:$H$1012,""),"Server",_xlfn.XLOOKUP($K14&amp;"",SERVER!$B$3:$B$1009&amp;"",SERVER!$H$3:$H$1009,""),""),IF(TRIM(_xlpm.srcCat)&lt;&gt;TRIM($J14),"",_xlfn.SWITCH($I14,"Computer",_xlfn.XLOOKUP($K14&amp;"",COMPUTER!$B$3:$B$1009&amp;"",COMPUTER!$K$3:$K$1009,""),"Display",_xlfn.XLOOKUP($K14&amp;"",DISPLAY!$B$3:$B$1000&amp;"",DISPLAY!$L$3:$L$1000,""),"Network Device",_xlfn.XLOOKUP($K14&amp;"",'NETWORK-DEVICES'!$B$3:$B$987&amp;"",'NETWORK-DEVICES'!$K$3:$K$987,""),"Peripheral",_xlfn.XLOOKUP($K14&amp;"",PERIPHERAL!$B$3:$B$954&amp;"",PERIPHERAL!$K$3:$K$954,""),"Utilities",_xlfn.XLOOKUP($K14&amp;"",UTILITIES!$B$3:$B$953&amp;"",UTILITIES!$J$3:$J$953,""),"IOT",_xlfn.XLOOKUP($K14&amp;"",IOT!$B$3:$B$1012&amp;"",IOT!$K$4:$K$1012,""),"Server",_xlfn.XLOOKUP($K14&amp;"",SERVER!$B$3:$B$1009&amp;"",SERVER!$K$3:$K$1009,""),""))))</f>
        <v>0XRKHNAL100050W</v>
      </c>
      <c r="O14" s="1" t="str" cm="1">
        <f t="array" ref="O14">IF(OR($K14="",$I14="",$J14=""),"",_xlfn.LET(_xlpm.srcCat,_xlfn.SWITCH($I14,"Computer",_xlfn.XLOOKUP($K14&amp;"",COMPUTER!$B$3:$B$1009&amp;"",COMPUTER!$H$3:$H$1009,""),"Display",_xlfn.XLOOKUP($K14&amp;"",DISPLAY!$B$3:$B$1000&amp;"",DISPLAY!$H$3:$H$1000,""),"Network Device",_xlfn.XLOOKUP($K14&amp;"",'NETWORK-DEVICES'!$B$3:$B$987&amp;"",'NETWORK-DEVICES'!$H$3:$H$987,""),"Peripheral",_xlfn.XLOOKUP($K14&amp;"",PERIPHERAL!$B$3:$B$954&amp;"",PERIPHERAL!$H$3:$H$954,""),"Utilities",_xlfn.XLOOKUP($K14&amp;"",UTILITIES!$B$3:$B$953&amp;"",UTILITIES!$G$3:$G$953,""),"IOT",_xlfn.XLOOKUP($K14&amp;"",IOT!$B$3:$B$1012&amp;"",IOT!$H$3:$H$1012,""),"Server",_xlfn.XLOOKUP($K14&amp;"",SERVER!$B$3:$B$1009&amp;"",SERVER!$H$3:$H$1009,""),""),IF(TRIM(_xlpm.srcCat)&lt;&gt;TRIM($J14),"",_xlfn.SWITCH($I14,"Computer",_xlfn.XLOOKUP($K14&amp;"",COMPUTER!$B$3:$B$1009&amp;"",COMPUTER!$E$3:$E$1009,""),"Display",_xlfn.XLOOKUP($K14&amp;"",DISPLAY!$B$3:$B$1000&amp;"",DISPLAY!$E$3:$E$1000,""),"Network Device",_xlfn.XLOOKUP($K14&amp;"",'NETWORK-DEVICES'!$B$3:$B$987&amp;"",'NETWORK-DEVICES'!$E$3:$E$987,""),"Peripheral",_xlfn.XLOOKUP($K14&amp;"",PERIPHERAL!$B$3:$B$954&amp;"",PERIPHERAL!$E$3:$E$954,""),"Utilities",_xlfn.XLOOKUP($K14&amp;"",UTILITIES!$B$3:$B$953&amp;"",UTILITIES!$E$3:$E$953,""),"IOT",_xlfn.XLOOKUP($K14&amp;"",IOT!$B$3:$B$1012&amp;"",IOT!$E$3:$E$1012,""),"Server",_xlfn.XLOOKUP($K14&amp;"",SERVER!$B$3:$B$1009&amp;"",SERVER!$E$3:$E$1009,""),""))))</f>
        <v>Patimban</v>
      </c>
      <c r="P14" t="s">
        <v>197</v>
      </c>
      <c r="Q14" s="1" t="str" cm="1">
        <f t="array" ref="Q14">IF(OR($K14="",$I14="",$J14=""),"",_xlfn.LET(_xlpm.srcCat,_xlfn.SWITCH($I14,"Computer",_xlfn.XLOOKUP($K14&amp;"",COMPUTER!$B$3:$B$1009&amp;"",COMPUTER!$H$3:$H$1009,""),"Display",_xlfn.XLOOKUP($K14&amp;"",DISPLAY!$B$3:$B$1000&amp;"",DISPLAY!$H$3:$H$1000,""),"Network Device",_xlfn.XLOOKUP($K14&amp;"",'NETWORK-DEVICES'!$B$3:$B$987&amp;"",'NETWORK-DEVICES'!$H$3:$H$987,""),"Peripheral",_xlfn.XLOOKUP($K14&amp;"",PERIPHERAL!$B$3:$B$954&amp;"",PERIPHERAL!$H$3:$H$954,""),"Utilities",_xlfn.XLOOKUP($K14&amp;"",UTILITIES!$B$3:$B$953&amp;"",UTILITIES!$G$3:$G$953,""),"IOT",_xlfn.XLOOKUP($K14&amp;"",IOT!$B$3:$B$1012&amp;"",IOT!$H$3:$H$1012,""),"Server",_xlfn.XLOOKUP($K14&amp;"",SERVER!$B$3:$B$1009&amp;"",SERVER!$H$3:$H$1009,""),""),IF(TRIM(_xlpm.srcCat)&lt;&gt;TRIM($J14),"",_xlfn.SWITCH($I14,"Computer",_xlfn.XLOOKUP($K14&amp;"",COMPUTER!$B$3:$B$1009&amp;"",COMPUTER!$AM$3:$AM$1009,""),"Display",_xlfn.XLOOKUP($K14&amp;"",DISPLAY!$B$3:$B$1000&amp;"",DISPLAY!$V$3:$V$1000,""),"Network Device",_xlfn.XLOOKUP($K14&amp;"",'NETWORK-DEVICES'!$B$3:$B$987&amp;"",'NETWORK-DEVICES'!$AF$3:$AF$987,""),"Peripheral",_xlfn.XLOOKUP($K14&amp;"",PERIPHERAL!$B$3:$B$954&amp;"",PERIPHERAL!$Y$3:$Y$954,""),"Utilities",_xlfn.XLOOKUP($K14&amp;"",UTILITIES!$B$3:$B$953&amp;"",UTILITIES!$O$3:$O$953,""),"IOT",_xlfn.XLOOKUP($K14&amp;"",IOT!$B$3:$B$1012&amp;"",IOT!$AB$3:$AB$1012,""),"Server",_xlfn.XLOOKUP($K14&amp;"",SERVER!$B$3:$B$1009&amp;"",SERVER!$AB$3:$AB$1009,""),""))))</f>
        <v>New</v>
      </c>
      <c r="R14" s="43">
        <f>IF(tbl_handover[[#This Row],[Asset Code]]="","",COUNTIF(tbl_handover[Asset Code],tbl_handover[[#This Row],[Asset Code]]))</f>
        <v>1</v>
      </c>
      <c r="S14" s="1" t="s">
        <v>1131</v>
      </c>
      <c r="U14" s="60" t="b">
        <v>0</v>
      </c>
    </row>
    <row r="15" spans="1:21" x14ac:dyDescent="0.25">
      <c r="A15" s="43">
        <f>IF(B15&lt;&gt;"",SUBTOTAL(3,$B$1:B14),"")</f>
        <v>14</v>
      </c>
      <c r="B15" t="s">
        <v>1149</v>
      </c>
      <c r="C15" s="74">
        <v>46273</v>
      </c>
      <c r="D15" s="74"/>
      <c r="E15" t="s">
        <v>1150</v>
      </c>
      <c r="F15" s="13" t="s">
        <v>104</v>
      </c>
      <c r="G15" s="1" t="s">
        <v>1128</v>
      </c>
      <c r="H15" t="s">
        <v>836</v>
      </c>
      <c r="I15" s="1" t="s">
        <v>695</v>
      </c>
      <c r="J15" s="1" t="s">
        <v>696</v>
      </c>
      <c r="K15" s="42" t="s">
        <v>1153</v>
      </c>
      <c r="L15" t="str" cm="1">
        <f t="array" ref="L15">IF($K15="","",_xlfn.SWITCH($I15,"Computer",_xlfn.XLOOKUP($K15&amp;"",COMPUTER!$B$3:$B$1009&amp;"",COMPUTER!$I$3:$I$1009,""),"Display",_xlfn.XLOOKUP($K15&amp;"",DISPLAY!$B$3:$B$1000&amp;"",DISPLAY!$J$3:$J$1000,""),"Network Device",_xlfn.XLOOKUP($K15&amp;"",'NETWORK-DEVICES'!$B$3:$B$987&amp;"",'NETWORK-DEVICES'!$I$3:$I$987,""),"Peripheral",_xlfn.XLOOKUP($K15&amp;"",PERIPHERAL!$B$3:$B$954&amp;"",PERIPHERAL!$I$3:$I$954,""),"Utilities",_xlfn.XLOOKUP($K15&amp;"",UTILITIES!$B$3:$B$953&amp;"",UTILITIES!$H$3:$H$953,""),"IOT",_xlfn.XLOOKUP($K15&amp;"",IOT!$B$3:$B$1012&amp;"",IOT!$I$3:$I$1012,""),"SERVER",_xlfn.XLOOKUP($K15&amp;"",SERVER!$B$3:$B$1009&amp;"",SERVER!$I$3:$I$1009,""),""))</f>
        <v>Mouse + Keyboard HP SET</v>
      </c>
      <c r="M15" t="str" cm="1">
        <f t="array" ref="M15">IF($K15="","",_xlfn.SWITCH($I15,"Computer",_xlfn.XLOOKUP($K15&amp;"",COMPUTER!$B$3:$B$1009&amp;"",COMPUTER!$J$3:$J$1009,""),"Display",_xlfn.XLOOKUP($K15&amp;"",DISPLAY!$B$3:$B$1000&amp;"",DISPLAY!$K$3:$K$1000,""),"Network Device",_xlfn.XLOOKUP($K15&amp;"",'NETWORK-DEVICES'!$B$3:$B$987&amp;"",'NETWORK-DEVICES'!$I$3:$I$987,""),"Peripheral",_xlfn.XLOOKUP($K15&amp;"",PERIPHERAL!$B$3:$B$954&amp;"",PERIPHERAL!$J$3:$J$954,""),"Utilities",_xlfn.XLOOKUP($K15&amp;"",UTILITIES!$B$3:$B$953&amp;"",UTILITIES!$I$3:$I$953,""),"IOT",_xlfn.XLOOKUP($K15&amp;"",IOT!$B$3:$B$1012&amp;"",IOT!$J$3:$J$1012,""),"Server",_xlfn.XLOOKUP($K15&amp;"",SERVER!$B$3:$B$1009&amp;"",SERVER!$J$3:$J$1009,""),""))</f>
        <v>MK SET WIRE</v>
      </c>
      <c r="N15" s="1" t="str" cm="1">
        <f t="array" ref="N15">IF(OR($K15="",$I15="",$J15=""),"",_xlfn.LET(_xlpm.srcCat,_xlfn.SWITCH($I15,"Computer",_xlfn.XLOOKUP($K15&amp;"",COMPUTER!$B$3:$B$1009&amp;"",COMPUTER!$H$3:$H$1009,""),"Display",_xlfn.XLOOKUP($K15&amp;"",DISPLAY!$B$3:$B$1000&amp;"",DISPLAY!$H$3:$H$1000,""),"Network Device",_xlfn.XLOOKUP($K15&amp;"",'NETWORK-DEVICES'!$B$3:$B$987&amp;"",'NETWORK-DEVICES'!$H$3:$H$987,""),"Peripheral",_xlfn.XLOOKUP($K15&amp;"",PERIPHERAL!$B$3:$B$954&amp;"",PERIPHERAL!$H$3:$H$954,""),"Utilities",_xlfn.XLOOKUP($K15&amp;"",UTILITIES!$B$3:$B$953&amp;"",UTILITIES!$G$3:$G$953,""),"IOT",_xlfn.XLOOKUP($K15&amp;"",IOT!$B$3:$B$1012&amp;"",IOT!$H$3:$H$1012,""),"Server",_xlfn.XLOOKUP($K15&amp;"",SERVER!$B$3:$B$1009&amp;"",SERVER!$H$3:$H$1009,""),""),IF(TRIM(_xlpm.srcCat)&lt;&gt;TRIM($J15),"",_xlfn.SWITCH($I15,"Computer",_xlfn.XLOOKUP($K15&amp;"",COMPUTER!$B$3:$B$1009&amp;"",COMPUTER!$K$3:$K$1009,""),"Display",_xlfn.XLOOKUP($K15&amp;"",DISPLAY!$B$3:$B$1000&amp;"",DISPLAY!$L$3:$L$1000,""),"Network Device",_xlfn.XLOOKUP($K15&amp;"",'NETWORK-DEVICES'!$B$3:$B$987&amp;"",'NETWORK-DEVICES'!$K$3:$K$987,""),"Peripheral",_xlfn.XLOOKUP($K15&amp;"",PERIPHERAL!$B$3:$B$954&amp;"",PERIPHERAL!$K$3:$K$954,""),"Utilities",_xlfn.XLOOKUP($K15&amp;"",UTILITIES!$B$3:$B$953&amp;"",UTILITIES!$J$3:$J$953,""),"IOT",_xlfn.XLOOKUP($K15&amp;"",IOT!$B$3:$B$1012&amp;"",IOT!$K$4:$K$1012,""),"Server",_xlfn.XLOOKUP($K15&amp;"",SERVER!$B$3:$B$1009&amp;"",SERVER!$K$3:$K$1009,""),""))))</f>
        <v>9CP602QQZK</v>
      </c>
      <c r="O15" s="1" t="str" cm="1">
        <f t="array" ref="O15">IF(OR($K15="",$I15="",$J15=""),"",_xlfn.LET(_xlpm.srcCat,_xlfn.SWITCH($I15,"Computer",_xlfn.XLOOKUP($K15&amp;"",COMPUTER!$B$3:$B$1009&amp;"",COMPUTER!$H$3:$H$1009,""),"Display",_xlfn.XLOOKUP($K15&amp;"",DISPLAY!$B$3:$B$1000&amp;"",DISPLAY!$H$3:$H$1000,""),"Network Device",_xlfn.XLOOKUP($K15&amp;"",'NETWORK-DEVICES'!$B$3:$B$987&amp;"",'NETWORK-DEVICES'!$H$3:$H$987,""),"Peripheral",_xlfn.XLOOKUP($K15&amp;"",PERIPHERAL!$B$3:$B$954&amp;"",PERIPHERAL!$H$3:$H$954,""),"Utilities",_xlfn.XLOOKUP($K15&amp;"",UTILITIES!$B$3:$B$953&amp;"",UTILITIES!$G$3:$G$953,""),"IOT",_xlfn.XLOOKUP($K15&amp;"",IOT!$B$3:$B$1012&amp;"",IOT!$H$3:$H$1012,""),"Server",_xlfn.XLOOKUP($K15&amp;"",SERVER!$B$3:$B$1009&amp;"",SERVER!$H$3:$H$1009,""),""),IF(TRIM(_xlpm.srcCat)&lt;&gt;TRIM($J15),"",_xlfn.SWITCH($I15,"Computer",_xlfn.XLOOKUP($K15&amp;"",COMPUTER!$B$3:$B$1009&amp;"",COMPUTER!$E$3:$E$1009,""),"Display",_xlfn.XLOOKUP($K15&amp;"",DISPLAY!$B$3:$B$1000&amp;"",DISPLAY!$E$3:$E$1000,""),"Network Device",_xlfn.XLOOKUP($K15&amp;"",'NETWORK-DEVICES'!$B$3:$B$987&amp;"",'NETWORK-DEVICES'!$E$3:$E$987,""),"Peripheral",_xlfn.XLOOKUP($K15&amp;"",PERIPHERAL!$B$3:$B$954&amp;"",PERIPHERAL!$E$3:$E$954,""),"Utilities",_xlfn.XLOOKUP($K15&amp;"",UTILITIES!$B$3:$B$953&amp;"",UTILITIES!$E$3:$E$953,""),"IOT",_xlfn.XLOOKUP($K15&amp;"",IOT!$B$3:$B$1012&amp;"",IOT!$E$3:$E$1012,""),"Server",_xlfn.XLOOKUP($K15&amp;"",SERVER!$B$3:$B$1009&amp;"",SERVER!$E$3:$E$1009,""),""))))</f>
        <v>Patimban</v>
      </c>
      <c r="P15" t="s">
        <v>197</v>
      </c>
      <c r="Q15" s="1" t="str" cm="1">
        <f t="array" ref="Q15">IF(OR($K15="",$I15="",$J15=""),"",_xlfn.LET(_xlpm.srcCat,_xlfn.SWITCH($I15,"Computer",_xlfn.XLOOKUP($K15&amp;"",COMPUTER!$B$3:$B$1009&amp;"",COMPUTER!$H$3:$H$1009,""),"Display",_xlfn.XLOOKUP($K15&amp;"",DISPLAY!$B$3:$B$1000&amp;"",DISPLAY!$H$3:$H$1000,""),"Network Device",_xlfn.XLOOKUP($K15&amp;"",'NETWORK-DEVICES'!$B$3:$B$987&amp;"",'NETWORK-DEVICES'!$H$3:$H$987,""),"Peripheral",_xlfn.XLOOKUP($K15&amp;"",PERIPHERAL!$B$3:$B$954&amp;"",PERIPHERAL!$H$3:$H$954,""),"Utilities",_xlfn.XLOOKUP($K15&amp;"",UTILITIES!$B$3:$B$953&amp;"",UTILITIES!$G$3:$G$953,""),"IOT",_xlfn.XLOOKUP($K15&amp;"",IOT!$B$3:$B$1012&amp;"",IOT!$H$3:$H$1012,""),"Server",_xlfn.XLOOKUP($K15&amp;"",SERVER!$B$3:$B$1009&amp;"",SERVER!$H$3:$H$1009,""),""),IF(TRIM(_xlpm.srcCat)&lt;&gt;TRIM($J15),"",_xlfn.SWITCH($I15,"Computer",_xlfn.XLOOKUP($K15&amp;"",COMPUTER!$B$3:$B$1009&amp;"",COMPUTER!$AM$3:$AM$1009,""),"Display",_xlfn.XLOOKUP($K15&amp;"",DISPLAY!$B$3:$B$1000&amp;"",DISPLAY!$V$3:$V$1000,""),"Network Device",_xlfn.XLOOKUP($K15&amp;"",'NETWORK-DEVICES'!$B$3:$B$987&amp;"",'NETWORK-DEVICES'!$AF$3:$AF$987,""),"Peripheral",_xlfn.XLOOKUP($K15&amp;"",PERIPHERAL!$B$3:$B$954&amp;"",PERIPHERAL!$Y$3:$Y$954,""),"Utilities",_xlfn.XLOOKUP($K15&amp;"",UTILITIES!$B$3:$B$953&amp;"",UTILITIES!$O$3:$O$953,""),"IOT",_xlfn.XLOOKUP($K15&amp;"",IOT!$B$3:$B$1012&amp;"",IOT!$AB$3:$AB$1012,""),"Server",_xlfn.XLOOKUP($K15&amp;"",SERVER!$B$3:$B$1009&amp;"",SERVER!$AB$3:$AB$1009,""),""))))</f>
        <v>New</v>
      </c>
      <c r="R15" s="43">
        <f>IF(tbl_handover[[#This Row],[Asset Code]]="","",COUNTIF(tbl_handover[Asset Code],tbl_handover[[#This Row],[Asset Code]]))</f>
        <v>1</v>
      </c>
      <c r="S15" s="1" t="s">
        <v>1131</v>
      </c>
      <c r="U15" s="60" t="b">
        <v>0</v>
      </c>
    </row>
    <row r="16" spans="1:21" x14ac:dyDescent="0.25">
      <c r="A16" s="43">
        <f>IF(B16&lt;&gt;"",SUBTOTAL(3,$B$1:B15),"")</f>
        <v>15</v>
      </c>
      <c r="B16" t="s">
        <v>1149</v>
      </c>
      <c r="C16" s="74">
        <v>46273</v>
      </c>
      <c r="D16" s="74"/>
      <c r="E16" t="s">
        <v>1150</v>
      </c>
      <c r="F16" s="13" t="s">
        <v>104</v>
      </c>
      <c r="G16" s="1" t="s">
        <v>1128</v>
      </c>
      <c r="H16" t="s">
        <v>836</v>
      </c>
      <c r="I16" s="1" t="s">
        <v>695</v>
      </c>
      <c r="J16" s="1" t="s">
        <v>704</v>
      </c>
      <c r="K16" s="42" t="s">
        <v>1154</v>
      </c>
      <c r="L16" t="str" cm="1">
        <f t="array" ref="L16">IF($K16="","",_xlfn.SWITCH($I16,"Computer",_xlfn.XLOOKUP($K16&amp;"",COMPUTER!$B$3:$B$1009&amp;"",COMPUTER!$I$3:$I$1009,""),"Display",_xlfn.XLOOKUP($K16&amp;"",DISPLAY!$B$3:$B$1000&amp;"",DISPLAY!$J$3:$J$1000,""),"Network Device",_xlfn.XLOOKUP($K16&amp;"",'NETWORK-DEVICES'!$B$3:$B$987&amp;"",'NETWORK-DEVICES'!$I$3:$I$987,""),"Peripheral",_xlfn.XLOOKUP($K16&amp;"",PERIPHERAL!$B$3:$B$954&amp;"",PERIPHERAL!$I$3:$I$954,""),"Utilities",_xlfn.XLOOKUP($K16&amp;"",UTILITIES!$B$3:$B$953&amp;"",UTILITIES!$H$3:$H$953,""),"IOT",_xlfn.XLOOKUP($K16&amp;"",IOT!$B$3:$B$1012&amp;"",IOT!$I$3:$I$1012,""),"SERVER",_xlfn.XLOOKUP($K16&amp;"",SERVER!$B$3:$B$1009&amp;"",SERVER!$I$3:$I$1009,""),""))</f>
        <v>Printer Epson Eco Tank L5290</v>
      </c>
      <c r="M16" t="str" cm="1">
        <f t="array" ref="M16">IF($K16="","",_xlfn.SWITCH($I16,"Computer",_xlfn.XLOOKUP($K16&amp;"",COMPUTER!$B$3:$B$1009&amp;"",COMPUTER!$J$3:$J$1009,""),"Display",_xlfn.XLOOKUP($K16&amp;"",DISPLAY!$B$3:$B$1000&amp;"",DISPLAY!$K$3:$K$1000,""),"Network Device",_xlfn.XLOOKUP($K16&amp;"",'NETWORK-DEVICES'!$B$3:$B$987&amp;"",'NETWORK-DEVICES'!$I$3:$I$987,""),"Peripheral",_xlfn.XLOOKUP($K16&amp;"",PERIPHERAL!$B$3:$B$954&amp;"",PERIPHERAL!$J$3:$J$954,""),"Utilities",_xlfn.XLOOKUP($K16&amp;"",UTILITIES!$B$3:$B$953&amp;"",UTILITIES!$I$3:$I$953,""),"IOT",_xlfn.XLOOKUP($K16&amp;"",IOT!$B$3:$B$1012&amp;"",IOT!$J$3:$J$1012,""),"Server",_xlfn.XLOOKUP($K16&amp;"",SERVER!$B$3:$B$1009&amp;"",SERVER!$J$3:$J$1009,""),""))</f>
        <v>Printer A4</v>
      </c>
      <c r="N16" s="1" t="str" cm="1">
        <f t="array" ref="N16">IF(OR($K16="",$I16="",$J16=""),"",_xlfn.LET(_xlpm.srcCat,_xlfn.SWITCH($I16,"Computer",_xlfn.XLOOKUP($K16&amp;"",COMPUTER!$B$3:$B$1009&amp;"",COMPUTER!$H$3:$H$1009,""),"Display",_xlfn.XLOOKUP($K16&amp;"",DISPLAY!$B$3:$B$1000&amp;"",DISPLAY!$H$3:$H$1000,""),"Network Device",_xlfn.XLOOKUP($K16&amp;"",'NETWORK-DEVICES'!$B$3:$B$987&amp;"",'NETWORK-DEVICES'!$H$3:$H$987,""),"Peripheral",_xlfn.XLOOKUP($K16&amp;"",PERIPHERAL!$B$3:$B$954&amp;"",PERIPHERAL!$H$3:$H$954,""),"Utilities",_xlfn.XLOOKUP($K16&amp;"",UTILITIES!$B$3:$B$953&amp;"",UTILITIES!$G$3:$G$953,""),"IOT",_xlfn.XLOOKUP($K16&amp;"",IOT!$B$3:$B$1012&amp;"",IOT!$H$3:$H$1012,""),"Server",_xlfn.XLOOKUP($K16&amp;"",SERVER!$B$3:$B$1009&amp;"",SERVER!$H$3:$H$1009,""),""),IF(TRIM(_xlpm.srcCat)&lt;&gt;TRIM($J16),"",_xlfn.SWITCH($I16,"Computer",_xlfn.XLOOKUP($K16&amp;"",COMPUTER!$B$3:$B$1009&amp;"",COMPUTER!$K$3:$K$1009,""),"Display",_xlfn.XLOOKUP($K16&amp;"",DISPLAY!$B$3:$B$1000&amp;"",DISPLAY!$L$3:$L$1000,""),"Network Device",_xlfn.XLOOKUP($K16&amp;"",'NETWORK-DEVICES'!$B$3:$B$987&amp;"",'NETWORK-DEVICES'!$K$3:$K$987,""),"Peripheral",_xlfn.XLOOKUP($K16&amp;"",PERIPHERAL!$B$3:$B$954&amp;"",PERIPHERAL!$K$3:$K$954,""),"Utilities",_xlfn.XLOOKUP($K16&amp;"",UTILITIES!$B$3:$B$953&amp;"",UTILITIES!$J$3:$J$953,""),"IOT",_xlfn.XLOOKUP($K16&amp;"",IOT!$B$3:$B$1012&amp;"",IOT!$K$4:$K$1012,""),"Server",_xlfn.XLOOKUP($K16&amp;"",SERVER!$B$3:$B$1009&amp;"",SERVER!$K$3:$K$1009,""),""))))</f>
        <v>X8H4180703</v>
      </c>
      <c r="O16" s="1" t="str" cm="1">
        <f t="array" ref="O16">IF(OR($K16="",$I16="",$J16=""),"",_xlfn.LET(_xlpm.srcCat,_xlfn.SWITCH($I16,"Computer",_xlfn.XLOOKUP($K16&amp;"",COMPUTER!$B$3:$B$1009&amp;"",COMPUTER!$H$3:$H$1009,""),"Display",_xlfn.XLOOKUP($K16&amp;"",DISPLAY!$B$3:$B$1000&amp;"",DISPLAY!$H$3:$H$1000,""),"Network Device",_xlfn.XLOOKUP($K16&amp;"",'NETWORK-DEVICES'!$B$3:$B$987&amp;"",'NETWORK-DEVICES'!$H$3:$H$987,""),"Peripheral",_xlfn.XLOOKUP($K16&amp;"",PERIPHERAL!$B$3:$B$954&amp;"",PERIPHERAL!$H$3:$H$954,""),"Utilities",_xlfn.XLOOKUP($K16&amp;"",UTILITIES!$B$3:$B$953&amp;"",UTILITIES!$G$3:$G$953,""),"IOT",_xlfn.XLOOKUP($K16&amp;"",IOT!$B$3:$B$1012&amp;"",IOT!$H$3:$H$1012,""),"Server",_xlfn.XLOOKUP($K16&amp;"",SERVER!$B$3:$B$1009&amp;"",SERVER!$H$3:$H$1009,""),""),IF(TRIM(_xlpm.srcCat)&lt;&gt;TRIM($J16),"",_xlfn.SWITCH($I16,"Computer",_xlfn.XLOOKUP($K16&amp;"",COMPUTER!$B$3:$B$1009&amp;"",COMPUTER!$E$3:$E$1009,""),"Display",_xlfn.XLOOKUP($K16&amp;"",DISPLAY!$B$3:$B$1000&amp;"",DISPLAY!$E$3:$E$1000,""),"Network Device",_xlfn.XLOOKUP($K16&amp;"",'NETWORK-DEVICES'!$B$3:$B$987&amp;"",'NETWORK-DEVICES'!$E$3:$E$987,""),"Peripheral",_xlfn.XLOOKUP($K16&amp;"",PERIPHERAL!$B$3:$B$954&amp;"",PERIPHERAL!$E$3:$E$954,""),"Utilities",_xlfn.XLOOKUP($K16&amp;"",UTILITIES!$B$3:$B$953&amp;"",UTILITIES!$E$3:$E$953,""),"IOT",_xlfn.XLOOKUP($K16&amp;"",IOT!$B$3:$B$1012&amp;"",IOT!$E$3:$E$1012,""),"Server",_xlfn.XLOOKUP($K16&amp;"",SERVER!$B$3:$B$1009&amp;"",SERVER!$E$3:$E$1009,""),""))))</f>
        <v>Patimban</v>
      </c>
      <c r="P16" t="s">
        <v>197</v>
      </c>
      <c r="Q16" s="1" t="str" cm="1">
        <f t="array" ref="Q16">IF(OR($K16="",$I16="",$J16=""),"",_xlfn.LET(_xlpm.srcCat,_xlfn.SWITCH($I16,"Computer",_xlfn.XLOOKUP($K16&amp;"",COMPUTER!$B$3:$B$1009&amp;"",COMPUTER!$H$3:$H$1009,""),"Display",_xlfn.XLOOKUP($K16&amp;"",DISPLAY!$B$3:$B$1000&amp;"",DISPLAY!$H$3:$H$1000,""),"Network Device",_xlfn.XLOOKUP($K16&amp;"",'NETWORK-DEVICES'!$B$3:$B$987&amp;"",'NETWORK-DEVICES'!$H$3:$H$987,""),"Peripheral",_xlfn.XLOOKUP($K16&amp;"",PERIPHERAL!$B$3:$B$954&amp;"",PERIPHERAL!$H$3:$H$954,""),"Utilities",_xlfn.XLOOKUP($K16&amp;"",UTILITIES!$B$3:$B$953&amp;"",UTILITIES!$G$3:$G$953,""),"IOT",_xlfn.XLOOKUP($K16&amp;"",IOT!$B$3:$B$1012&amp;"",IOT!$H$3:$H$1012,""),"Server",_xlfn.XLOOKUP($K16&amp;"",SERVER!$B$3:$B$1009&amp;"",SERVER!$H$3:$H$1009,""),""),IF(TRIM(_xlpm.srcCat)&lt;&gt;TRIM($J16),"",_xlfn.SWITCH($I16,"Computer",_xlfn.XLOOKUP($K16&amp;"",COMPUTER!$B$3:$B$1009&amp;"",COMPUTER!$AM$3:$AM$1009,""),"Display",_xlfn.XLOOKUP($K16&amp;"",DISPLAY!$B$3:$B$1000&amp;"",DISPLAY!$V$3:$V$1000,""),"Network Device",_xlfn.XLOOKUP($K16&amp;"",'NETWORK-DEVICES'!$B$3:$B$987&amp;"",'NETWORK-DEVICES'!$AF$3:$AF$987,""),"Peripheral",_xlfn.XLOOKUP($K16&amp;"",PERIPHERAL!$B$3:$B$954&amp;"",PERIPHERAL!$Y$3:$Y$954,""),"Utilities",_xlfn.XLOOKUP($K16&amp;"",UTILITIES!$B$3:$B$953&amp;"",UTILITIES!$O$3:$O$953,""),"IOT",_xlfn.XLOOKUP($K16&amp;"",IOT!$B$3:$B$1012&amp;"",IOT!$AB$3:$AB$1012,""),"Server",_xlfn.XLOOKUP($K16&amp;"",SERVER!$B$3:$B$1009&amp;"",SERVER!$AB$3:$AB$1009,""),""))))</f>
        <v>Good</v>
      </c>
      <c r="R16" s="43">
        <f>IF(tbl_handover[[#This Row],[Asset Code]]="","",COUNTIF(tbl_handover[Asset Code],tbl_handover[[#This Row],[Asset Code]]))</f>
        <v>1</v>
      </c>
      <c r="S16" s="1" t="s">
        <v>1131</v>
      </c>
      <c r="U16" s="60" t="b">
        <v>0</v>
      </c>
    </row>
    <row r="17" spans="1:21" x14ac:dyDescent="0.25">
      <c r="A17" s="43">
        <f>IF(B17&lt;&gt;"",SUBTOTAL(3,$B$1:B16),"")</f>
        <v>16</v>
      </c>
      <c r="B17" t="s">
        <v>1149</v>
      </c>
      <c r="C17" s="74">
        <v>46273</v>
      </c>
      <c r="D17" s="74"/>
      <c r="E17" t="s">
        <v>1150</v>
      </c>
      <c r="F17" s="13" t="s">
        <v>104</v>
      </c>
      <c r="G17" s="1" t="s">
        <v>1128</v>
      </c>
      <c r="H17" t="s">
        <v>836</v>
      </c>
      <c r="I17" s="1" t="s">
        <v>695</v>
      </c>
      <c r="J17" s="1" t="s">
        <v>738</v>
      </c>
      <c r="K17" s="42" t="s">
        <v>1155</v>
      </c>
      <c r="L17" t="str" cm="1">
        <f t="array" ref="L17">IF($K17="","",_xlfn.SWITCH($I17,"Computer",_xlfn.XLOOKUP($K17&amp;"",COMPUTER!$B$3:$B$1009&amp;"",COMPUTER!$I$3:$I$1009,""),"Display",_xlfn.XLOOKUP($K17&amp;"",DISPLAY!$B$3:$B$1000&amp;"",DISPLAY!$J$3:$J$1000,""),"Network Device",_xlfn.XLOOKUP($K17&amp;"",'NETWORK-DEVICES'!$B$3:$B$987&amp;"",'NETWORK-DEVICES'!$I$3:$I$987,""),"Peripheral",_xlfn.XLOOKUP($K17&amp;"",PERIPHERAL!$B$3:$B$954&amp;"",PERIPHERAL!$I$3:$I$954,""),"Utilities",_xlfn.XLOOKUP($K17&amp;"",UTILITIES!$B$3:$B$953&amp;"",UTILITIES!$H$3:$H$953,""),"IOT",_xlfn.XLOOKUP($K17&amp;"",IOT!$B$3:$B$1012&amp;"",IOT!$I$3:$I$1012,""),"SERVER",_xlfn.XLOOKUP($K17&amp;"",SERVER!$B$3:$B$1009&amp;"",SERVER!$I$3:$I$1009,""),""))</f>
        <v>UPS APC BVG700I-GR</v>
      </c>
      <c r="M17" t="str" cm="1">
        <f t="array" ref="M17">IF($K17="","",_xlfn.SWITCH($I17,"Computer",_xlfn.XLOOKUP($K17&amp;"",COMPUTER!$B$3:$B$1009&amp;"",COMPUTER!$J$3:$J$1009,""),"Display",_xlfn.XLOOKUP($K17&amp;"",DISPLAY!$B$3:$B$1000&amp;"",DISPLAY!$K$3:$K$1000,""),"Network Device",_xlfn.XLOOKUP($K17&amp;"",'NETWORK-DEVICES'!$B$3:$B$987&amp;"",'NETWORK-DEVICES'!$I$3:$I$987,""),"Peripheral",_xlfn.XLOOKUP($K17&amp;"",PERIPHERAL!$B$3:$B$954&amp;"",PERIPHERAL!$J$3:$J$954,""),"Utilities",_xlfn.XLOOKUP($K17&amp;"",UTILITIES!$B$3:$B$953&amp;"",UTILITIES!$I$3:$I$953,""),"IOT",_xlfn.XLOOKUP($K17&amp;"",IOT!$B$3:$B$1012&amp;"",IOT!$J$3:$J$1012,""),"Server",_xlfn.XLOOKUP($K17&amp;"",SERVER!$B$3:$B$1009&amp;"",SERVER!$J$3:$J$1009,""),""))</f>
        <v>UPS APC</v>
      </c>
      <c r="N17" s="1" t="str" cm="1">
        <f t="array" ref="N17">IF(OR($K17="",$I17="",$J17=""),"",_xlfn.LET(_xlpm.srcCat,_xlfn.SWITCH($I17,"Computer",_xlfn.XLOOKUP($K17&amp;"",COMPUTER!$B$3:$B$1009&amp;"",COMPUTER!$H$3:$H$1009,""),"Display",_xlfn.XLOOKUP($K17&amp;"",DISPLAY!$B$3:$B$1000&amp;"",DISPLAY!$H$3:$H$1000,""),"Network Device",_xlfn.XLOOKUP($K17&amp;"",'NETWORK-DEVICES'!$B$3:$B$987&amp;"",'NETWORK-DEVICES'!$H$3:$H$987,""),"Peripheral",_xlfn.XLOOKUP($K17&amp;"",PERIPHERAL!$B$3:$B$954&amp;"",PERIPHERAL!$H$3:$H$954,""),"Utilities",_xlfn.XLOOKUP($K17&amp;"",UTILITIES!$B$3:$B$953&amp;"",UTILITIES!$G$3:$G$953,""),"IOT",_xlfn.XLOOKUP($K17&amp;"",IOT!$B$3:$B$1012&amp;"",IOT!$H$3:$H$1012,""),"Server",_xlfn.XLOOKUP($K17&amp;"",SERVER!$B$3:$B$1009&amp;"",SERVER!$H$3:$H$1009,""),""),IF(TRIM(_xlpm.srcCat)&lt;&gt;TRIM($J17),"",_xlfn.SWITCH($I17,"Computer",_xlfn.XLOOKUP($K17&amp;"",COMPUTER!$B$3:$B$1009&amp;"",COMPUTER!$K$3:$K$1009,""),"Display",_xlfn.XLOOKUP($K17&amp;"",DISPLAY!$B$3:$B$1000&amp;"",DISPLAY!$L$3:$L$1000,""),"Network Device",_xlfn.XLOOKUP($K17&amp;"",'NETWORK-DEVICES'!$B$3:$B$987&amp;"",'NETWORK-DEVICES'!$K$3:$K$987,""),"Peripheral",_xlfn.XLOOKUP($K17&amp;"",PERIPHERAL!$B$3:$B$954&amp;"",PERIPHERAL!$K$3:$K$954,""),"Utilities",_xlfn.XLOOKUP($K17&amp;"",UTILITIES!$B$3:$B$953&amp;"",UTILITIES!$J$3:$J$953,""),"IOT",_xlfn.XLOOKUP($K17&amp;"",IOT!$B$3:$B$1012&amp;"",IOT!$K$4:$K$1012,""),"Server",_xlfn.XLOOKUP($K17&amp;"",SERVER!$B$3:$B$1009&amp;"",SERVER!$K$3:$K$1009,""),""))))</f>
        <v>9B2552A03931</v>
      </c>
      <c r="O17" s="1" t="str" cm="1">
        <f t="array" ref="O17">IF(OR($K17="",$I17="",$J17=""),"",_xlfn.LET(_xlpm.srcCat,_xlfn.SWITCH($I17,"Computer",_xlfn.XLOOKUP($K17&amp;"",COMPUTER!$B$3:$B$1009&amp;"",COMPUTER!$H$3:$H$1009,""),"Display",_xlfn.XLOOKUP($K17&amp;"",DISPLAY!$B$3:$B$1000&amp;"",DISPLAY!$H$3:$H$1000,""),"Network Device",_xlfn.XLOOKUP($K17&amp;"",'NETWORK-DEVICES'!$B$3:$B$987&amp;"",'NETWORK-DEVICES'!$H$3:$H$987,""),"Peripheral",_xlfn.XLOOKUP($K17&amp;"",PERIPHERAL!$B$3:$B$954&amp;"",PERIPHERAL!$H$3:$H$954,""),"Utilities",_xlfn.XLOOKUP($K17&amp;"",UTILITIES!$B$3:$B$953&amp;"",UTILITIES!$G$3:$G$953,""),"IOT",_xlfn.XLOOKUP($K17&amp;"",IOT!$B$3:$B$1012&amp;"",IOT!$H$3:$H$1012,""),"Server",_xlfn.XLOOKUP($K17&amp;"",SERVER!$B$3:$B$1009&amp;"",SERVER!$H$3:$H$1009,""),""),IF(TRIM(_xlpm.srcCat)&lt;&gt;TRIM($J17),"",_xlfn.SWITCH($I17,"Computer",_xlfn.XLOOKUP($K17&amp;"",COMPUTER!$B$3:$B$1009&amp;"",COMPUTER!$E$3:$E$1009,""),"Display",_xlfn.XLOOKUP($K17&amp;"",DISPLAY!$B$3:$B$1000&amp;"",DISPLAY!$E$3:$E$1000,""),"Network Device",_xlfn.XLOOKUP($K17&amp;"",'NETWORK-DEVICES'!$B$3:$B$987&amp;"",'NETWORK-DEVICES'!$E$3:$E$987,""),"Peripheral",_xlfn.XLOOKUP($K17&amp;"",PERIPHERAL!$B$3:$B$954&amp;"",PERIPHERAL!$E$3:$E$954,""),"Utilities",_xlfn.XLOOKUP($K17&amp;"",UTILITIES!$B$3:$B$953&amp;"",UTILITIES!$E$3:$E$953,""),"IOT",_xlfn.XLOOKUP($K17&amp;"",IOT!$B$3:$B$1012&amp;"",IOT!$E$3:$E$1012,""),"Server",_xlfn.XLOOKUP($K17&amp;"",SERVER!$B$3:$B$1009&amp;"",SERVER!$E$3:$E$1009,""),""))))</f>
        <v>Patimban</v>
      </c>
      <c r="P17" t="s">
        <v>197</v>
      </c>
      <c r="Q17" s="1" t="str" cm="1">
        <f t="array" ref="Q17">IF(OR($K17="",$I17="",$J17=""),"",_xlfn.LET(_xlpm.srcCat,_xlfn.SWITCH($I17,"Computer",_xlfn.XLOOKUP($K17&amp;"",COMPUTER!$B$3:$B$1009&amp;"",COMPUTER!$H$3:$H$1009,""),"Display",_xlfn.XLOOKUP($K17&amp;"",DISPLAY!$B$3:$B$1000&amp;"",DISPLAY!$H$3:$H$1000,""),"Network Device",_xlfn.XLOOKUP($K17&amp;"",'NETWORK-DEVICES'!$B$3:$B$987&amp;"",'NETWORK-DEVICES'!$H$3:$H$987,""),"Peripheral",_xlfn.XLOOKUP($K17&amp;"",PERIPHERAL!$B$3:$B$954&amp;"",PERIPHERAL!$H$3:$H$954,""),"Utilities",_xlfn.XLOOKUP($K17&amp;"",UTILITIES!$B$3:$B$953&amp;"",UTILITIES!$G$3:$G$953,""),"IOT",_xlfn.XLOOKUP($K17&amp;"",IOT!$B$3:$B$1012&amp;"",IOT!$H$3:$H$1012,""),"Server",_xlfn.XLOOKUP($K17&amp;"",SERVER!$B$3:$B$1009&amp;"",SERVER!$H$3:$H$1009,""),""),IF(TRIM(_xlpm.srcCat)&lt;&gt;TRIM($J17),"",_xlfn.SWITCH($I17,"Computer",_xlfn.XLOOKUP($K17&amp;"",COMPUTER!$B$3:$B$1009&amp;"",COMPUTER!$AM$3:$AM$1009,""),"Display",_xlfn.XLOOKUP($K17&amp;"",DISPLAY!$B$3:$B$1000&amp;"",DISPLAY!$V$3:$V$1000,""),"Network Device",_xlfn.XLOOKUP($K17&amp;"",'NETWORK-DEVICES'!$B$3:$B$987&amp;"",'NETWORK-DEVICES'!$AF$3:$AF$987,""),"Peripheral",_xlfn.XLOOKUP($K17&amp;"",PERIPHERAL!$B$3:$B$954&amp;"",PERIPHERAL!$Y$3:$Y$954,""),"Utilities",_xlfn.XLOOKUP($K17&amp;"",UTILITIES!$B$3:$B$953&amp;"",UTILITIES!$O$3:$O$953,""),"IOT",_xlfn.XLOOKUP($K17&amp;"",IOT!$B$3:$B$1012&amp;"",IOT!$AB$3:$AB$1012,""),"Server",_xlfn.XLOOKUP($K17&amp;"",SERVER!$B$3:$B$1009&amp;"",SERVER!$AB$3:$AB$1009,""),""))))</f>
        <v>New</v>
      </c>
      <c r="R17" s="43">
        <f>IF(tbl_handover[[#This Row],[Asset Code]]="","",COUNTIF(tbl_handover[Asset Code],tbl_handover[[#This Row],[Asset Code]]))</f>
        <v>1</v>
      </c>
      <c r="S17" s="1" t="s">
        <v>1131</v>
      </c>
      <c r="U17" s="60" t="b">
        <v>0</v>
      </c>
    </row>
    <row r="18" spans="1:21" x14ac:dyDescent="0.25">
      <c r="A18" s="43">
        <f>IF(B18&lt;&gt;"",SUBTOTAL(3,$B$1:B17),"")</f>
        <v>17</v>
      </c>
      <c r="B18" t="s">
        <v>1156</v>
      </c>
      <c r="C18" s="74">
        <v>46273</v>
      </c>
      <c r="D18" s="74"/>
      <c r="E18" t="s">
        <v>800</v>
      </c>
      <c r="F18" s="13" t="s">
        <v>104</v>
      </c>
      <c r="G18" s="1" t="s">
        <v>1157</v>
      </c>
      <c r="H18" t="s">
        <v>1158</v>
      </c>
      <c r="I18" s="1" t="s">
        <v>695</v>
      </c>
      <c r="J18" s="1" t="s">
        <v>745</v>
      </c>
      <c r="K18" s="42" t="s">
        <v>1159</v>
      </c>
      <c r="L18" t="str" cm="1">
        <f t="array" ref="L18">IF($K18="","",_xlfn.SWITCH($I18,"Computer",_xlfn.XLOOKUP($K18&amp;"",COMPUTER!$B$3:$B$1009&amp;"",COMPUTER!$I$3:$I$1009,""),"Display",_xlfn.XLOOKUP($K18&amp;"",DISPLAY!$B$3:$B$1000&amp;"",DISPLAY!$J$3:$J$1000,""),"Network Device",_xlfn.XLOOKUP($K18&amp;"",'NETWORK-DEVICES'!$B$3:$B$987&amp;"",'NETWORK-DEVICES'!$I$3:$I$987,""),"Peripheral",_xlfn.XLOOKUP($K18&amp;"",PERIPHERAL!$B$3:$B$954&amp;"",PERIPHERAL!$I$3:$I$954,""),"Utilities",_xlfn.XLOOKUP($K18&amp;"",UTILITIES!$B$3:$B$953&amp;"",UTILITIES!$H$3:$H$953,""),"IOT",_xlfn.XLOOKUP($K18&amp;"",IOT!$B$3:$B$1012&amp;"",IOT!$I$3:$I$1012,""),"SERVER",_xlfn.XLOOKUP($K18&amp;"",SERVER!$B$3:$B$1009&amp;"",SERVER!$I$3:$I$1009,""),""))</f>
        <v>USB Heaset Stereo H570E Logitech</v>
      </c>
      <c r="M18" t="str" cm="1">
        <f t="array" ref="M18">IF($K18="","",_xlfn.SWITCH($I18,"Computer",_xlfn.XLOOKUP($K18&amp;"",COMPUTER!$B$3:$B$1009&amp;"",COMPUTER!$J$3:$J$1009,""),"Display",_xlfn.XLOOKUP($K18&amp;"",DISPLAY!$B$3:$B$1000&amp;"",DISPLAY!$K$3:$K$1000,""),"Network Device",_xlfn.XLOOKUP($K18&amp;"",'NETWORK-DEVICES'!$B$3:$B$987&amp;"",'NETWORK-DEVICES'!$I$3:$I$987,""),"Peripheral",_xlfn.XLOOKUP($K18&amp;"",PERIPHERAL!$B$3:$B$954&amp;"",PERIPHERAL!$J$3:$J$954,""),"Utilities",_xlfn.XLOOKUP($K18&amp;"",UTILITIES!$B$3:$B$953&amp;"",UTILITIES!$I$3:$I$953,""),"IOT",_xlfn.XLOOKUP($K18&amp;"",IOT!$B$3:$B$1012&amp;"",IOT!$J$3:$J$1012,""),"Server",_xlfn.XLOOKUP($K18&amp;"",SERVER!$B$3:$B$1009&amp;"",SERVER!$J$3:$J$1009,""),""))</f>
        <v>Headset USB</v>
      </c>
      <c r="N18" s="1" t="str" cm="1">
        <f t="array" ref="N18">IF(OR($K18="",$I18="",$J18=""),"",_xlfn.LET(_xlpm.srcCat,_xlfn.SWITCH($I18,"Computer",_xlfn.XLOOKUP($K18&amp;"",COMPUTER!$B$3:$B$1009&amp;"",COMPUTER!$H$3:$H$1009,""),"Display",_xlfn.XLOOKUP($K18&amp;"",DISPLAY!$B$3:$B$1000&amp;"",DISPLAY!$H$3:$H$1000,""),"Network Device",_xlfn.XLOOKUP($K18&amp;"",'NETWORK-DEVICES'!$B$3:$B$987&amp;"",'NETWORK-DEVICES'!$H$3:$H$987,""),"Peripheral",_xlfn.XLOOKUP($K18&amp;"",PERIPHERAL!$B$3:$B$954&amp;"",PERIPHERAL!$H$3:$H$954,""),"Utilities",_xlfn.XLOOKUP($K18&amp;"",UTILITIES!$B$3:$B$953&amp;"",UTILITIES!$G$3:$G$953,""),"IOT",_xlfn.XLOOKUP($K18&amp;"",IOT!$B$3:$B$1012&amp;"",IOT!$H$3:$H$1012,""),"Server",_xlfn.XLOOKUP($K18&amp;"",SERVER!$B$3:$B$1009&amp;"",SERVER!$H$3:$H$1009,""),""),IF(TRIM(_xlpm.srcCat)&lt;&gt;TRIM($J18),"",_xlfn.SWITCH($I18,"Computer",_xlfn.XLOOKUP($K18&amp;"",COMPUTER!$B$3:$B$1009&amp;"",COMPUTER!$K$3:$K$1009,""),"Display",_xlfn.XLOOKUP($K18&amp;"",DISPLAY!$B$3:$B$1000&amp;"",DISPLAY!$L$3:$L$1000,""),"Network Device",_xlfn.XLOOKUP($K18&amp;"",'NETWORK-DEVICES'!$B$3:$B$987&amp;"",'NETWORK-DEVICES'!$K$3:$K$987,""),"Peripheral",_xlfn.XLOOKUP($K18&amp;"",PERIPHERAL!$B$3:$B$954&amp;"",PERIPHERAL!$K$3:$K$954,""),"Utilities",_xlfn.XLOOKUP($K18&amp;"",UTILITIES!$B$3:$B$953&amp;"",UTILITIES!$J$3:$J$953,""),"IOT",_xlfn.XLOOKUP($K18&amp;"",IOT!$B$3:$B$1012&amp;"",IOT!$K$4:$K$1012,""),"Server",_xlfn.XLOOKUP($K18&amp;"",SERVER!$B$3:$B$1009&amp;"",SERVER!$K$3:$K$1009,""),""))))</f>
        <v>2543MEY2ECC9</v>
      </c>
      <c r="O18" s="1" t="str" cm="1">
        <f t="array" ref="O18">IF(OR($K18="",$I18="",$J18=""),"",_xlfn.LET(_xlpm.srcCat,_xlfn.SWITCH($I18,"Computer",_xlfn.XLOOKUP($K18&amp;"",COMPUTER!$B$3:$B$1009&amp;"",COMPUTER!$H$3:$H$1009,""),"Display",_xlfn.XLOOKUP($K18&amp;"",DISPLAY!$B$3:$B$1000&amp;"",DISPLAY!$H$3:$H$1000,""),"Network Device",_xlfn.XLOOKUP($K18&amp;"",'NETWORK-DEVICES'!$B$3:$B$987&amp;"",'NETWORK-DEVICES'!$H$3:$H$987,""),"Peripheral",_xlfn.XLOOKUP($K18&amp;"",PERIPHERAL!$B$3:$B$954&amp;"",PERIPHERAL!$H$3:$H$954,""),"Utilities",_xlfn.XLOOKUP($K18&amp;"",UTILITIES!$B$3:$B$953&amp;"",UTILITIES!$G$3:$G$953,""),"IOT",_xlfn.XLOOKUP($K18&amp;"",IOT!$B$3:$B$1012&amp;"",IOT!$H$3:$H$1012,""),"Server",_xlfn.XLOOKUP($K18&amp;"",SERVER!$B$3:$B$1009&amp;"",SERVER!$H$3:$H$1009,""),""),IF(TRIM(_xlpm.srcCat)&lt;&gt;TRIM($J18),"",_xlfn.SWITCH($I18,"Computer",_xlfn.XLOOKUP($K18&amp;"",COMPUTER!$B$3:$B$1009&amp;"",COMPUTER!$E$3:$E$1009,""),"Display",_xlfn.XLOOKUP($K18&amp;"",DISPLAY!$B$3:$B$1000&amp;"",DISPLAY!$E$3:$E$1000,""),"Network Device",_xlfn.XLOOKUP($K18&amp;"",'NETWORK-DEVICES'!$B$3:$B$987&amp;"",'NETWORK-DEVICES'!$E$3:$E$987,""),"Peripheral",_xlfn.XLOOKUP($K18&amp;"",PERIPHERAL!$B$3:$B$954&amp;"",PERIPHERAL!$E$3:$E$954,""),"Utilities",_xlfn.XLOOKUP($K18&amp;"",UTILITIES!$B$3:$B$953&amp;"",UTILITIES!$E$3:$E$953,""),"IOT",_xlfn.XLOOKUP($K18&amp;"",IOT!$B$3:$B$1012&amp;"",IOT!$E$3:$E$1012,""),"Server",_xlfn.XLOOKUP($K18&amp;"",SERVER!$B$3:$B$1009&amp;"",SERVER!$E$3:$E$1009,""),""))))</f>
        <v>Patimban</v>
      </c>
      <c r="P18" t="s">
        <v>124</v>
      </c>
      <c r="Q18" s="1" t="str" cm="1">
        <f t="array" ref="Q18">IF(OR($K18="",$I18="",$J18=""),"",_xlfn.LET(_xlpm.srcCat,_xlfn.SWITCH($I18,"Computer",_xlfn.XLOOKUP($K18&amp;"",COMPUTER!$B$3:$B$1009&amp;"",COMPUTER!$H$3:$H$1009,""),"Display",_xlfn.XLOOKUP($K18&amp;"",DISPLAY!$B$3:$B$1000&amp;"",DISPLAY!$H$3:$H$1000,""),"Network Device",_xlfn.XLOOKUP($K18&amp;"",'NETWORK-DEVICES'!$B$3:$B$987&amp;"",'NETWORK-DEVICES'!$H$3:$H$987,""),"Peripheral",_xlfn.XLOOKUP($K18&amp;"",PERIPHERAL!$B$3:$B$954&amp;"",PERIPHERAL!$H$3:$H$954,""),"Utilities",_xlfn.XLOOKUP($K18&amp;"",UTILITIES!$B$3:$B$953&amp;"",UTILITIES!$G$3:$G$953,""),"IOT",_xlfn.XLOOKUP($K18&amp;"",IOT!$B$3:$B$1012&amp;"",IOT!$H$3:$H$1012,""),"Server",_xlfn.XLOOKUP($K18&amp;"",SERVER!$B$3:$B$1009&amp;"",SERVER!$H$3:$H$1009,""),""),IF(TRIM(_xlpm.srcCat)&lt;&gt;TRIM($J18),"",_xlfn.SWITCH($I18,"Computer",_xlfn.XLOOKUP($K18&amp;"",COMPUTER!$B$3:$B$1009&amp;"",COMPUTER!$AM$3:$AM$1009,""),"Display",_xlfn.XLOOKUP($K18&amp;"",DISPLAY!$B$3:$B$1000&amp;"",DISPLAY!$V$3:$V$1000,""),"Network Device",_xlfn.XLOOKUP($K18&amp;"",'NETWORK-DEVICES'!$B$3:$B$987&amp;"",'NETWORK-DEVICES'!$AF$3:$AF$987,""),"Peripheral",_xlfn.XLOOKUP($K18&amp;"",PERIPHERAL!$B$3:$B$954&amp;"",PERIPHERAL!$Y$3:$Y$954,""),"Utilities",_xlfn.XLOOKUP($K18&amp;"",UTILITIES!$B$3:$B$953&amp;"",UTILITIES!$O$3:$O$953,""),"IOT",_xlfn.XLOOKUP($K18&amp;"",IOT!$B$3:$B$1012&amp;"",IOT!$AB$3:$AB$1012,""),"Server",_xlfn.XLOOKUP($K18&amp;"",SERVER!$B$3:$B$1009&amp;"",SERVER!$AB$3:$AB$1009,""),""))))</f>
        <v>New</v>
      </c>
      <c r="R18" s="43">
        <f>IF(tbl_handover[[#This Row],[Asset Code]]="","",COUNTIF(tbl_handover[Asset Code],tbl_handover[[#This Row],[Asset Code]]))</f>
        <v>1</v>
      </c>
      <c r="S18" s="1" t="s">
        <v>1160</v>
      </c>
      <c r="U18" s="60" t="b">
        <v>0</v>
      </c>
    </row>
    <row r="19" spans="1:21" x14ac:dyDescent="0.25">
      <c r="A19" s="43">
        <f>IF(B19&lt;&gt;"",SUBTOTAL(3,$B$1:B18),"")</f>
        <v>18</v>
      </c>
      <c r="B19" t="s">
        <v>1156</v>
      </c>
      <c r="C19" s="74">
        <v>46273</v>
      </c>
      <c r="D19" s="74"/>
      <c r="E19" t="s">
        <v>800</v>
      </c>
      <c r="F19" s="13" t="s">
        <v>104</v>
      </c>
      <c r="G19" s="1" t="s">
        <v>1157</v>
      </c>
      <c r="H19" t="s">
        <v>1158</v>
      </c>
      <c r="I19" s="1" t="s">
        <v>76</v>
      </c>
      <c r="J19" s="1" t="s">
        <v>125</v>
      </c>
      <c r="K19" s="42" t="s">
        <v>1161</v>
      </c>
      <c r="L19" t="str" cm="1">
        <f t="array" ref="L19">IF($K19="","",_xlfn.SWITCH($I19,"Computer",_xlfn.XLOOKUP($K19&amp;"",COMPUTER!$B$3:$B$1009&amp;"",COMPUTER!$I$3:$I$1009,""),"Display",_xlfn.XLOOKUP($K19&amp;"",DISPLAY!$B$3:$B$1000&amp;"",DISPLAY!$J$3:$J$1000,""),"Network Device",_xlfn.XLOOKUP($K19&amp;"",'NETWORK-DEVICES'!$B$3:$B$987&amp;"",'NETWORK-DEVICES'!$I$3:$I$987,""),"Peripheral",_xlfn.XLOOKUP($K19&amp;"",PERIPHERAL!$B$3:$B$954&amp;"",PERIPHERAL!$I$3:$I$954,""),"Utilities",_xlfn.XLOOKUP($K19&amp;"",UTILITIES!$B$3:$B$953&amp;"",UTILITIES!$H$3:$H$953,""),"IOT",_xlfn.XLOOKUP($K19&amp;"",IOT!$B$3:$B$1012&amp;"",IOT!$I$3:$I$1012,""),"SERVER",_xlfn.XLOOKUP($K19&amp;"",SERVER!$B$3:$B$1009&amp;"",SERVER!$I$3:$I$1009,""),""))</f>
        <v>Dell Alienware 16 Aurora AC16250</v>
      </c>
      <c r="M19" t="str" cm="1">
        <f t="array" ref="M19">IF($K19="","",_xlfn.SWITCH($I19,"Computer",_xlfn.XLOOKUP($K19&amp;"",COMPUTER!$B$3:$B$1009&amp;"",COMPUTER!$J$3:$J$1009,""),"Display",_xlfn.XLOOKUP($K19&amp;"",DISPLAY!$B$3:$B$1000&amp;"",DISPLAY!$K$3:$K$1000,""),"Network Device",_xlfn.XLOOKUP($K19&amp;"",'NETWORK-DEVICES'!$B$3:$B$987&amp;"",'NETWORK-DEVICES'!$I$3:$I$987,""),"Peripheral",_xlfn.XLOOKUP($K19&amp;"",PERIPHERAL!$B$3:$B$954&amp;"",PERIPHERAL!$J$3:$J$954,""),"Utilities",_xlfn.XLOOKUP($K19&amp;"",UTILITIES!$B$3:$B$953&amp;"",UTILITIES!$I$3:$I$953,""),"IOT",_xlfn.XLOOKUP($K19&amp;"",IOT!$B$3:$B$1012&amp;"",IOT!$J$3:$J$1012,""),"Server",_xlfn.XLOOKUP($K19&amp;"",SERVER!$B$3:$B$1009&amp;"",SERVER!$J$3:$J$1009,""),""))</f>
        <v>NOTEBOOK</v>
      </c>
      <c r="N19" s="1" t="str" cm="1">
        <f t="array" ref="N19">IF(OR($K19="",$I19="",$J19=""),"",_xlfn.LET(_xlpm.srcCat,_xlfn.SWITCH($I19,"Computer",_xlfn.XLOOKUP($K19&amp;"",COMPUTER!$B$3:$B$1009&amp;"",COMPUTER!$H$3:$H$1009,""),"Display",_xlfn.XLOOKUP($K19&amp;"",DISPLAY!$B$3:$B$1000&amp;"",DISPLAY!$H$3:$H$1000,""),"Network Device",_xlfn.XLOOKUP($K19&amp;"",'NETWORK-DEVICES'!$B$3:$B$987&amp;"",'NETWORK-DEVICES'!$H$3:$H$987,""),"Peripheral",_xlfn.XLOOKUP($K19&amp;"",PERIPHERAL!$B$3:$B$954&amp;"",PERIPHERAL!$H$3:$H$954,""),"Utilities",_xlfn.XLOOKUP($K19&amp;"",UTILITIES!$B$3:$B$953&amp;"",UTILITIES!$G$3:$G$953,""),"IOT",_xlfn.XLOOKUP($K19&amp;"",IOT!$B$3:$B$1012&amp;"",IOT!$H$3:$H$1012,""),"Server",_xlfn.XLOOKUP($K19&amp;"",SERVER!$B$3:$B$1009&amp;"",SERVER!$H$3:$H$1009,""),""),IF(TRIM(_xlpm.srcCat)&lt;&gt;TRIM($J19),"",_xlfn.SWITCH($I19,"Computer",_xlfn.XLOOKUP($K19&amp;"",COMPUTER!$B$3:$B$1009&amp;"",COMPUTER!$K$3:$K$1009,""),"Display",_xlfn.XLOOKUP($K19&amp;"",DISPLAY!$B$3:$B$1000&amp;"",DISPLAY!$L$3:$L$1000,""),"Network Device",_xlfn.XLOOKUP($K19&amp;"",'NETWORK-DEVICES'!$B$3:$B$987&amp;"",'NETWORK-DEVICES'!$K$3:$K$987,""),"Peripheral",_xlfn.XLOOKUP($K19&amp;"",PERIPHERAL!$B$3:$B$954&amp;"",PERIPHERAL!$K$3:$K$954,""),"Utilities",_xlfn.XLOOKUP($K19&amp;"",UTILITIES!$B$3:$B$953&amp;"",UTILITIES!$J$3:$J$953,""),"IOT",_xlfn.XLOOKUP($K19&amp;"",IOT!$B$3:$B$1012&amp;"",IOT!$K$4:$K$1012,""),"Server",_xlfn.XLOOKUP($K19&amp;"",SERVER!$B$3:$B$1009&amp;"",SERVER!$K$3:$K$1009,""),""))))</f>
        <v>7L5QBC4</v>
      </c>
      <c r="O19" s="1" t="str" cm="1">
        <f t="array" ref="O19">IF(OR($K19="",$I19="",$J19=""),"",_xlfn.LET(_xlpm.srcCat,_xlfn.SWITCH($I19,"Computer",_xlfn.XLOOKUP($K19&amp;"",COMPUTER!$B$3:$B$1009&amp;"",COMPUTER!$H$3:$H$1009,""),"Display",_xlfn.XLOOKUP($K19&amp;"",DISPLAY!$B$3:$B$1000&amp;"",DISPLAY!$H$3:$H$1000,""),"Network Device",_xlfn.XLOOKUP($K19&amp;"",'NETWORK-DEVICES'!$B$3:$B$987&amp;"",'NETWORK-DEVICES'!$H$3:$H$987,""),"Peripheral",_xlfn.XLOOKUP($K19&amp;"",PERIPHERAL!$B$3:$B$954&amp;"",PERIPHERAL!$H$3:$H$954,""),"Utilities",_xlfn.XLOOKUP($K19&amp;"",UTILITIES!$B$3:$B$953&amp;"",UTILITIES!$G$3:$G$953,""),"IOT",_xlfn.XLOOKUP($K19&amp;"",IOT!$B$3:$B$1012&amp;"",IOT!$H$3:$H$1012,""),"Server",_xlfn.XLOOKUP($K19&amp;"",SERVER!$B$3:$B$1009&amp;"",SERVER!$H$3:$H$1009,""),""),IF(TRIM(_xlpm.srcCat)&lt;&gt;TRIM($J19),"",_xlfn.SWITCH($I19,"Computer",_xlfn.XLOOKUP($K19&amp;"",COMPUTER!$B$3:$B$1009&amp;"",COMPUTER!$E$3:$E$1009,""),"Display",_xlfn.XLOOKUP($K19&amp;"",DISPLAY!$B$3:$B$1000&amp;"",DISPLAY!$E$3:$E$1000,""),"Network Device",_xlfn.XLOOKUP($K19&amp;"",'NETWORK-DEVICES'!$B$3:$B$987&amp;"",'NETWORK-DEVICES'!$E$3:$E$987,""),"Peripheral",_xlfn.XLOOKUP($K19&amp;"",PERIPHERAL!$B$3:$B$954&amp;"",PERIPHERAL!$E$3:$E$954,""),"Utilities",_xlfn.XLOOKUP($K19&amp;"",UTILITIES!$B$3:$B$953&amp;"",UTILITIES!$E$3:$E$953,""),"IOT",_xlfn.XLOOKUP($K19&amp;"",IOT!$B$3:$B$1012&amp;"",IOT!$E$3:$E$1012,""),"Server",_xlfn.XLOOKUP($K19&amp;"",SERVER!$B$3:$B$1009&amp;"",SERVER!$E$3:$E$1009,""),""))))</f>
        <v>Patimban</v>
      </c>
      <c r="P19" t="s">
        <v>124</v>
      </c>
      <c r="Q19" s="1" t="str" cm="1">
        <f t="array" ref="Q19">IF(OR($K19="",$I19="",$J19=""),"",_xlfn.LET(_xlpm.srcCat,_xlfn.SWITCH($I19,"Computer",_xlfn.XLOOKUP($K19&amp;"",COMPUTER!$B$3:$B$1009&amp;"",COMPUTER!$H$3:$H$1009,""),"Display",_xlfn.XLOOKUP($K19&amp;"",DISPLAY!$B$3:$B$1000&amp;"",DISPLAY!$H$3:$H$1000,""),"Network Device",_xlfn.XLOOKUP($K19&amp;"",'NETWORK-DEVICES'!$B$3:$B$987&amp;"",'NETWORK-DEVICES'!$H$3:$H$987,""),"Peripheral",_xlfn.XLOOKUP($K19&amp;"",PERIPHERAL!$B$3:$B$954&amp;"",PERIPHERAL!$H$3:$H$954,""),"Utilities",_xlfn.XLOOKUP($K19&amp;"",UTILITIES!$B$3:$B$953&amp;"",UTILITIES!$G$3:$G$953,""),"IOT",_xlfn.XLOOKUP($K19&amp;"",IOT!$B$3:$B$1012&amp;"",IOT!$H$3:$H$1012,""),"Server",_xlfn.XLOOKUP($K19&amp;"",SERVER!$B$3:$B$1009&amp;"",SERVER!$H$3:$H$1009,""),""),IF(TRIM(_xlpm.srcCat)&lt;&gt;TRIM($J19),"",_xlfn.SWITCH($I19,"Computer",_xlfn.XLOOKUP($K19&amp;"",COMPUTER!$B$3:$B$1009&amp;"",COMPUTER!$AM$3:$AM$1009,""),"Display",_xlfn.XLOOKUP($K19&amp;"",DISPLAY!$B$3:$B$1000&amp;"",DISPLAY!$V$3:$V$1000,""),"Network Device",_xlfn.XLOOKUP($K19&amp;"",'NETWORK-DEVICES'!$B$3:$B$987&amp;"",'NETWORK-DEVICES'!$AF$3:$AF$987,""),"Peripheral",_xlfn.XLOOKUP($K19&amp;"",PERIPHERAL!$B$3:$B$954&amp;"",PERIPHERAL!$Y$3:$Y$954,""),"Utilities",_xlfn.XLOOKUP($K19&amp;"",UTILITIES!$B$3:$B$953&amp;"",UTILITIES!$O$3:$O$953,""),"IOT",_xlfn.XLOOKUP($K19&amp;"",IOT!$B$3:$B$1012&amp;"",IOT!$AB$3:$AB$1012,""),"Server",_xlfn.XLOOKUP($K19&amp;"",SERVER!$B$3:$B$1009&amp;"",SERVER!$AB$3:$AB$1009,""),""))))</f>
        <v>New</v>
      </c>
      <c r="R19" s="43">
        <f>IF(tbl_handover[[#This Row],[Asset Code]]="","",COUNTIF(tbl_handover[Asset Code],tbl_handover[[#This Row],[Asset Code]]))</f>
        <v>1</v>
      </c>
      <c r="S19" s="1" t="s">
        <v>1160</v>
      </c>
      <c r="U19" s="60" t="b">
        <v>0</v>
      </c>
    </row>
    <row r="20" spans="1:21" x14ac:dyDescent="0.25">
      <c r="A20" s="43">
        <f>IF(B20&lt;&gt;"",SUBTOTAL(3,$B$1:B19),"")</f>
        <v>19</v>
      </c>
      <c r="B20" t="s">
        <v>1162</v>
      </c>
      <c r="C20" s="74">
        <v>46273</v>
      </c>
      <c r="D20" s="74"/>
      <c r="E20" t="s">
        <v>753</v>
      </c>
      <c r="F20" s="13" t="s">
        <v>104</v>
      </c>
      <c r="G20" s="1" t="s">
        <v>1128</v>
      </c>
      <c r="H20" t="s">
        <v>1158</v>
      </c>
      <c r="I20" s="1" t="s">
        <v>695</v>
      </c>
      <c r="J20" s="1" t="s">
        <v>745</v>
      </c>
      <c r="K20" s="42" t="s">
        <v>1163</v>
      </c>
      <c r="L20" t="str" cm="1">
        <f t="array" ref="L20">IF($K20="","",_xlfn.SWITCH($I20,"Computer",_xlfn.XLOOKUP($K20&amp;"",COMPUTER!$B$3:$B$1009&amp;"",COMPUTER!$I$3:$I$1009,""),"Display",_xlfn.XLOOKUP($K20&amp;"",DISPLAY!$B$3:$B$1000&amp;"",DISPLAY!$J$3:$J$1000,""),"Network Device",_xlfn.XLOOKUP($K20&amp;"",'NETWORK-DEVICES'!$B$3:$B$987&amp;"",'NETWORK-DEVICES'!$I$3:$I$987,""),"Peripheral",_xlfn.XLOOKUP($K20&amp;"",PERIPHERAL!$B$3:$B$954&amp;"",PERIPHERAL!$I$3:$I$954,""),"Utilities",_xlfn.XLOOKUP($K20&amp;"",UTILITIES!$B$3:$B$953&amp;"",UTILITIES!$H$3:$H$953,""),"IOT",_xlfn.XLOOKUP($K20&amp;"",IOT!$B$3:$B$1012&amp;"",IOT!$I$3:$I$1012,""),"SERVER",_xlfn.XLOOKUP($K20&amp;"",SERVER!$B$3:$B$1009&amp;"",SERVER!$I$3:$I$1009,""),""))</f>
        <v>USB Heaset Stereo H570E Logitech</v>
      </c>
      <c r="M20" t="str" cm="1">
        <f t="array" ref="M20">IF($K20="","",_xlfn.SWITCH($I20,"Computer",_xlfn.XLOOKUP($K20&amp;"",COMPUTER!$B$3:$B$1009&amp;"",COMPUTER!$J$3:$J$1009,""),"Display",_xlfn.XLOOKUP($K20&amp;"",DISPLAY!$B$3:$B$1000&amp;"",DISPLAY!$K$3:$K$1000,""),"Network Device",_xlfn.XLOOKUP($K20&amp;"",'NETWORK-DEVICES'!$B$3:$B$987&amp;"",'NETWORK-DEVICES'!$I$3:$I$987,""),"Peripheral",_xlfn.XLOOKUP($K20&amp;"",PERIPHERAL!$B$3:$B$954&amp;"",PERIPHERAL!$J$3:$J$954,""),"Utilities",_xlfn.XLOOKUP($K20&amp;"",UTILITIES!$B$3:$B$953&amp;"",UTILITIES!$I$3:$I$953,""),"IOT",_xlfn.XLOOKUP($K20&amp;"",IOT!$B$3:$B$1012&amp;"",IOT!$J$3:$J$1012,""),"Server",_xlfn.XLOOKUP($K20&amp;"",SERVER!$B$3:$B$1009&amp;"",SERVER!$J$3:$J$1009,""),""))</f>
        <v>Headset USB</v>
      </c>
      <c r="N20" s="1" t="str" cm="1">
        <f t="array" ref="N20">IF(OR($K20="",$I20="",$J20=""),"",_xlfn.LET(_xlpm.srcCat,_xlfn.SWITCH($I20,"Computer",_xlfn.XLOOKUP($K20&amp;"",COMPUTER!$B$3:$B$1009&amp;"",COMPUTER!$H$3:$H$1009,""),"Display",_xlfn.XLOOKUP($K20&amp;"",DISPLAY!$B$3:$B$1000&amp;"",DISPLAY!$H$3:$H$1000,""),"Network Device",_xlfn.XLOOKUP($K20&amp;"",'NETWORK-DEVICES'!$B$3:$B$987&amp;"",'NETWORK-DEVICES'!$H$3:$H$987,""),"Peripheral",_xlfn.XLOOKUP($K20&amp;"",PERIPHERAL!$B$3:$B$954&amp;"",PERIPHERAL!$H$3:$H$954,""),"Utilities",_xlfn.XLOOKUP($K20&amp;"",UTILITIES!$B$3:$B$953&amp;"",UTILITIES!$G$3:$G$953,""),"IOT",_xlfn.XLOOKUP($K20&amp;"",IOT!$B$3:$B$1012&amp;"",IOT!$H$3:$H$1012,""),"Server",_xlfn.XLOOKUP($K20&amp;"",SERVER!$B$3:$B$1009&amp;"",SERVER!$H$3:$H$1009,""),""),IF(TRIM(_xlpm.srcCat)&lt;&gt;TRIM($J20),"",_xlfn.SWITCH($I20,"Computer",_xlfn.XLOOKUP($K20&amp;"",COMPUTER!$B$3:$B$1009&amp;"",COMPUTER!$K$3:$K$1009,""),"Display",_xlfn.XLOOKUP($K20&amp;"",DISPLAY!$B$3:$B$1000&amp;"",DISPLAY!$L$3:$L$1000,""),"Network Device",_xlfn.XLOOKUP($K20&amp;"",'NETWORK-DEVICES'!$B$3:$B$987&amp;"",'NETWORK-DEVICES'!$K$3:$K$987,""),"Peripheral",_xlfn.XLOOKUP($K20&amp;"",PERIPHERAL!$B$3:$B$954&amp;"",PERIPHERAL!$K$3:$K$954,""),"Utilities",_xlfn.XLOOKUP($K20&amp;"",UTILITIES!$B$3:$B$953&amp;"",UTILITIES!$J$3:$J$953,""),"IOT",_xlfn.XLOOKUP($K20&amp;"",IOT!$B$3:$B$1012&amp;"",IOT!$K$4:$K$1012,""),"Server",_xlfn.XLOOKUP($K20&amp;"",SERVER!$B$3:$B$1009&amp;"",SERVER!$K$3:$K$1009,""),""))))</f>
        <v>2542MEQ1T0F8</v>
      </c>
      <c r="O20" s="1" t="str" cm="1">
        <f t="array" ref="O20">IF(OR($K20="",$I20="",$J20=""),"",_xlfn.LET(_xlpm.srcCat,_xlfn.SWITCH($I20,"Computer",_xlfn.XLOOKUP($K20&amp;"",COMPUTER!$B$3:$B$1009&amp;"",COMPUTER!$H$3:$H$1009,""),"Display",_xlfn.XLOOKUP($K20&amp;"",DISPLAY!$B$3:$B$1000&amp;"",DISPLAY!$H$3:$H$1000,""),"Network Device",_xlfn.XLOOKUP($K20&amp;"",'NETWORK-DEVICES'!$B$3:$B$987&amp;"",'NETWORK-DEVICES'!$H$3:$H$987,""),"Peripheral",_xlfn.XLOOKUP($K20&amp;"",PERIPHERAL!$B$3:$B$954&amp;"",PERIPHERAL!$H$3:$H$954,""),"Utilities",_xlfn.XLOOKUP($K20&amp;"",UTILITIES!$B$3:$B$953&amp;"",UTILITIES!$G$3:$G$953,""),"IOT",_xlfn.XLOOKUP($K20&amp;"",IOT!$B$3:$B$1012&amp;"",IOT!$H$3:$H$1012,""),"Server",_xlfn.XLOOKUP($K20&amp;"",SERVER!$B$3:$B$1009&amp;"",SERVER!$H$3:$H$1009,""),""),IF(TRIM(_xlpm.srcCat)&lt;&gt;TRIM($J20),"",_xlfn.SWITCH($I20,"Computer",_xlfn.XLOOKUP($K20&amp;"",COMPUTER!$B$3:$B$1009&amp;"",COMPUTER!$E$3:$E$1009,""),"Display",_xlfn.XLOOKUP($K20&amp;"",DISPLAY!$B$3:$B$1000&amp;"",DISPLAY!$E$3:$E$1000,""),"Network Device",_xlfn.XLOOKUP($K20&amp;"",'NETWORK-DEVICES'!$B$3:$B$987&amp;"",'NETWORK-DEVICES'!$E$3:$E$987,""),"Peripheral",_xlfn.XLOOKUP($K20&amp;"",PERIPHERAL!$B$3:$B$954&amp;"",PERIPHERAL!$E$3:$E$954,""),"Utilities",_xlfn.XLOOKUP($K20&amp;"",UTILITIES!$B$3:$B$953&amp;"",UTILITIES!$E$3:$E$953,""),"IOT",_xlfn.XLOOKUP($K20&amp;"",IOT!$B$3:$B$1012&amp;"",IOT!$E$3:$E$1012,""),"Server",_xlfn.XLOOKUP($K20&amp;"",SERVER!$B$3:$B$1009&amp;"",SERVER!$E$3:$E$1009,""),""))))</f>
        <v>Patimban</v>
      </c>
      <c r="P20" t="s">
        <v>124</v>
      </c>
      <c r="Q20" s="1" t="str" cm="1">
        <f t="array" ref="Q20">IF(OR($K20="",$I20="",$J20=""),"",_xlfn.LET(_xlpm.srcCat,_xlfn.SWITCH($I20,"Computer",_xlfn.XLOOKUP($K20&amp;"",COMPUTER!$B$3:$B$1009&amp;"",COMPUTER!$H$3:$H$1009,""),"Display",_xlfn.XLOOKUP($K20&amp;"",DISPLAY!$B$3:$B$1000&amp;"",DISPLAY!$H$3:$H$1000,""),"Network Device",_xlfn.XLOOKUP($K20&amp;"",'NETWORK-DEVICES'!$B$3:$B$987&amp;"",'NETWORK-DEVICES'!$H$3:$H$987,""),"Peripheral",_xlfn.XLOOKUP($K20&amp;"",PERIPHERAL!$B$3:$B$954&amp;"",PERIPHERAL!$H$3:$H$954,""),"Utilities",_xlfn.XLOOKUP($K20&amp;"",UTILITIES!$B$3:$B$953&amp;"",UTILITIES!$G$3:$G$953,""),"IOT",_xlfn.XLOOKUP($K20&amp;"",IOT!$B$3:$B$1012&amp;"",IOT!$H$3:$H$1012,""),"Server",_xlfn.XLOOKUP($K20&amp;"",SERVER!$B$3:$B$1009&amp;"",SERVER!$H$3:$H$1009,""),""),IF(TRIM(_xlpm.srcCat)&lt;&gt;TRIM($J20),"",_xlfn.SWITCH($I20,"Computer",_xlfn.XLOOKUP($K20&amp;"",COMPUTER!$B$3:$B$1009&amp;"",COMPUTER!$AM$3:$AM$1009,""),"Display",_xlfn.XLOOKUP($K20&amp;"",DISPLAY!$B$3:$B$1000&amp;"",DISPLAY!$V$3:$V$1000,""),"Network Device",_xlfn.XLOOKUP($K20&amp;"",'NETWORK-DEVICES'!$B$3:$B$987&amp;"",'NETWORK-DEVICES'!$AF$3:$AF$987,""),"Peripheral",_xlfn.XLOOKUP($K20&amp;"",PERIPHERAL!$B$3:$B$954&amp;"",PERIPHERAL!$Y$3:$Y$954,""),"Utilities",_xlfn.XLOOKUP($K20&amp;"",UTILITIES!$B$3:$B$953&amp;"",UTILITIES!$O$3:$O$953,""),"IOT",_xlfn.XLOOKUP($K20&amp;"",IOT!$B$3:$B$1012&amp;"",IOT!$AB$3:$AB$1012,""),"Server",_xlfn.XLOOKUP($K20&amp;"",SERVER!$B$3:$B$1009&amp;"",SERVER!$AB$3:$AB$1009,""),""))))</f>
        <v>New</v>
      </c>
      <c r="R20" s="43">
        <f>IF(tbl_handover[[#This Row],[Asset Code]]="","",COUNTIF(tbl_handover[Asset Code],tbl_handover[[#This Row],[Asset Code]]))</f>
        <v>1</v>
      </c>
      <c r="S20" s="1" t="s">
        <v>1160</v>
      </c>
      <c r="U20" s="60" t="b">
        <v>1</v>
      </c>
    </row>
    <row r="21" spans="1:21" x14ac:dyDescent="0.25">
      <c r="A21" s="43">
        <f>IF(B21&lt;&gt;"",SUBTOTAL(3,$B$1:B20),"")</f>
        <v>20</v>
      </c>
      <c r="B21" t="s">
        <v>1162</v>
      </c>
      <c r="C21" s="74">
        <v>46273</v>
      </c>
      <c r="D21" s="74"/>
      <c r="E21" t="s">
        <v>753</v>
      </c>
      <c r="F21" s="13" t="s">
        <v>104</v>
      </c>
      <c r="G21" s="1" t="s">
        <v>1128</v>
      </c>
      <c r="H21" t="s">
        <v>1158</v>
      </c>
      <c r="I21" s="1" t="s">
        <v>76</v>
      </c>
      <c r="J21" s="1" t="s">
        <v>125</v>
      </c>
      <c r="K21" s="42" t="s">
        <v>1164</v>
      </c>
      <c r="L21" t="str" cm="1">
        <f t="array" ref="L21">IF($K21="","",_xlfn.SWITCH($I21,"Computer",_xlfn.XLOOKUP($K21&amp;"",COMPUTER!$B$3:$B$1009&amp;"",COMPUTER!$I$3:$I$1009,""),"Display",_xlfn.XLOOKUP($K21&amp;"",DISPLAY!$B$3:$B$1000&amp;"",DISPLAY!$J$3:$J$1000,""),"Network Device",_xlfn.XLOOKUP($K21&amp;"",'NETWORK-DEVICES'!$B$3:$B$987&amp;"",'NETWORK-DEVICES'!$I$3:$I$987,""),"Peripheral",_xlfn.XLOOKUP($K21&amp;"",PERIPHERAL!$B$3:$B$954&amp;"",PERIPHERAL!$I$3:$I$954,""),"Utilities",_xlfn.XLOOKUP($K21&amp;"",UTILITIES!$B$3:$B$953&amp;"",UTILITIES!$H$3:$H$953,""),"IOT",_xlfn.XLOOKUP($K21&amp;"",IOT!$B$3:$B$1012&amp;"",IOT!$I$3:$I$1012,""),"SERVER",_xlfn.XLOOKUP($K21&amp;"",SERVER!$B$3:$B$1009&amp;"",SERVER!$I$3:$I$1009,""),""))</f>
        <v>Dell Alienware 16 Aurora AC16250</v>
      </c>
      <c r="M21" t="str" cm="1">
        <f t="array" ref="M21">IF($K21="","",_xlfn.SWITCH($I21,"Computer",_xlfn.XLOOKUP($K21&amp;"",COMPUTER!$B$3:$B$1009&amp;"",COMPUTER!$J$3:$J$1009,""),"Display",_xlfn.XLOOKUP($K21&amp;"",DISPLAY!$B$3:$B$1000&amp;"",DISPLAY!$K$3:$K$1000,""),"Network Device",_xlfn.XLOOKUP($K21&amp;"",'NETWORK-DEVICES'!$B$3:$B$987&amp;"",'NETWORK-DEVICES'!$I$3:$I$987,""),"Peripheral",_xlfn.XLOOKUP($K21&amp;"",PERIPHERAL!$B$3:$B$954&amp;"",PERIPHERAL!$J$3:$J$954,""),"Utilities",_xlfn.XLOOKUP($K21&amp;"",UTILITIES!$B$3:$B$953&amp;"",UTILITIES!$I$3:$I$953,""),"IOT",_xlfn.XLOOKUP($K21&amp;"",IOT!$B$3:$B$1012&amp;"",IOT!$J$3:$J$1012,""),"Server",_xlfn.XLOOKUP($K21&amp;"",SERVER!$B$3:$B$1009&amp;"",SERVER!$J$3:$J$1009,""),""))</f>
        <v>NOTEBOOK</v>
      </c>
      <c r="N21" s="1" t="str" cm="1">
        <f t="array" ref="N21">IF(OR($K21="",$I21="",$J21=""),"",_xlfn.LET(_xlpm.srcCat,_xlfn.SWITCH($I21,"Computer",_xlfn.XLOOKUP($K21&amp;"",COMPUTER!$B$3:$B$1009&amp;"",COMPUTER!$H$3:$H$1009,""),"Display",_xlfn.XLOOKUP($K21&amp;"",DISPLAY!$B$3:$B$1000&amp;"",DISPLAY!$H$3:$H$1000,""),"Network Device",_xlfn.XLOOKUP($K21&amp;"",'NETWORK-DEVICES'!$B$3:$B$987&amp;"",'NETWORK-DEVICES'!$H$3:$H$987,""),"Peripheral",_xlfn.XLOOKUP($K21&amp;"",PERIPHERAL!$B$3:$B$954&amp;"",PERIPHERAL!$H$3:$H$954,""),"Utilities",_xlfn.XLOOKUP($K21&amp;"",UTILITIES!$B$3:$B$953&amp;"",UTILITIES!$G$3:$G$953,""),"IOT",_xlfn.XLOOKUP($K21&amp;"",IOT!$B$3:$B$1012&amp;"",IOT!$H$3:$H$1012,""),"Server",_xlfn.XLOOKUP($K21&amp;"",SERVER!$B$3:$B$1009&amp;"",SERVER!$H$3:$H$1009,""),""),IF(TRIM(_xlpm.srcCat)&lt;&gt;TRIM($J21),"",_xlfn.SWITCH($I21,"Computer",_xlfn.XLOOKUP($K21&amp;"",COMPUTER!$B$3:$B$1009&amp;"",COMPUTER!$K$3:$K$1009,""),"Display",_xlfn.XLOOKUP($K21&amp;"",DISPLAY!$B$3:$B$1000&amp;"",DISPLAY!$L$3:$L$1000,""),"Network Device",_xlfn.XLOOKUP($K21&amp;"",'NETWORK-DEVICES'!$B$3:$B$987&amp;"",'NETWORK-DEVICES'!$K$3:$K$987,""),"Peripheral",_xlfn.XLOOKUP($K21&amp;"",PERIPHERAL!$B$3:$B$954&amp;"",PERIPHERAL!$K$3:$K$954,""),"Utilities",_xlfn.XLOOKUP($K21&amp;"",UTILITIES!$B$3:$B$953&amp;"",UTILITIES!$J$3:$J$953,""),"IOT",_xlfn.XLOOKUP($K21&amp;"",IOT!$B$3:$B$1012&amp;"",IOT!$K$4:$K$1012,""),"Server",_xlfn.XLOOKUP($K21&amp;"",SERVER!$B$3:$B$1009&amp;"",SERVER!$K$3:$K$1009,""),""))))</f>
        <v>48WXFC4</v>
      </c>
      <c r="O21" s="1" t="str" cm="1">
        <f t="array" ref="O21">IF(OR($K21="",$I21="",$J21=""),"",_xlfn.LET(_xlpm.srcCat,_xlfn.SWITCH($I21,"Computer",_xlfn.XLOOKUP($K21&amp;"",COMPUTER!$B$3:$B$1009&amp;"",COMPUTER!$H$3:$H$1009,""),"Display",_xlfn.XLOOKUP($K21&amp;"",DISPLAY!$B$3:$B$1000&amp;"",DISPLAY!$H$3:$H$1000,""),"Network Device",_xlfn.XLOOKUP($K21&amp;"",'NETWORK-DEVICES'!$B$3:$B$987&amp;"",'NETWORK-DEVICES'!$H$3:$H$987,""),"Peripheral",_xlfn.XLOOKUP($K21&amp;"",PERIPHERAL!$B$3:$B$954&amp;"",PERIPHERAL!$H$3:$H$954,""),"Utilities",_xlfn.XLOOKUP($K21&amp;"",UTILITIES!$B$3:$B$953&amp;"",UTILITIES!$G$3:$G$953,""),"IOT",_xlfn.XLOOKUP($K21&amp;"",IOT!$B$3:$B$1012&amp;"",IOT!$H$3:$H$1012,""),"Server",_xlfn.XLOOKUP($K21&amp;"",SERVER!$B$3:$B$1009&amp;"",SERVER!$H$3:$H$1009,""),""),IF(TRIM(_xlpm.srcCat)&lt;&gt;TRIM($J21),"",_xlfn.SWITCH($I21,"Computer",_xlfn.XLOOKUP($K21&amp;"",COMPUTER!$B$3:$B$1009&amp;"",COMPUTER!$E$3:$E$1009,""),"Display",_xlfn.XLOOKUP($K21&amp;"",DISPLAY!$B$3:$B$1000&amp;"",DISPLAY!$E$3:$E$1000,""),"Network Device",_xlfn.XLOOKUP($K21&amp;"",'NETWORK-DEVICES'!$B$3:$B$987&amp;"",'NETWORK-DEVICES'!$E$3:$E$987,""),"Peripheral",_xlfn.XLOOKUP($K21&amp;"",PERIPHERAL!$B$3:$B$954&amp;"",PERIPHERAL!$E$3:$E$954,""),"Utilities",_xlfn.XLOOKUP($K21&amp;"",UTILITIES!$B$3:$B$953&amp;"",UTILITIES!$E$3:$E$953,""),"IOT",_xlfn.XLOOKUP($K21&amp;"",IOT!$B$3:$B$1012&amp;"",IOT!$E$3:$E$1012,""),"Server",_xlfn.XLOOKUP($K21&amp;"",SERVER!$B$3:$B$1009&amp;"",SERVER!$E$3:$E$1009,""),""))))</f>
        <v>Patimban</v>
      </c>
      <c r="P21" t="s">
        <v>124</v>
      </c>
      <c r="Q21" s="1" t="str" cm="1">
        <f t="array" ref="Q21">IF(OR($K21="",$I21="",$J21=""),"",_xlfn.LET(_xlpm.srcCat,_xlfn.SWITCH($I21,"Computer",_xlfn.XLOOKUP($K21&amp;"",COMPUTER!$B$3:$B$1009&amp;"",COMPUTER!$H$3:$H$1009,""),"Display",_xlfn.XLOOKUP($K21&amp;"",DISPLAY!$B$3:$B$1000&amp;"",DISPLAY!$H$3:$H$1000,""),"Network Device",_xlfn.XLOOKUP($K21&amp;"",'NETWORK-DEVICES'!$B$3:$B$987&amp;"",'NETWORK-DEVICES'!$H$3:$H$987,""),"Peripheral",_xlfn.XLOOKUP($K21&amp;"",PERIPHERAL!$B$3:$B$954&amp;"",PERIPHERAL!$H$3:$H$954,""),"Utilities",_xlfn.XLOOKUP($K21&amp;"",UTILITIES!$B$3:$B$953&amp;"",UTILITIES!$G$3:$G$953,""),"IOT",_xlfn.XLOOKUP($K21&amp;"",IOT!$B$3:$B$1012&amp;"",IOT!$H$3:$H$1012,""),"Server",_xlfn.XLOOKUP($K21&amp;"",SERVER!$B$3:$B$1009&amp;"",SERVER!$H$3:$H$1009,""),""),IF(TRIM(_xlpm.srcCat)&lt;&gt;TRIM($J21),"",_xlfn.SWITCH($I21,"Computer",_xlfn.XLOOKUP($K21&amp;"",COMPUTER!$B$3:$B$1009&amp;"",COMPUTER!$AM$3:$AM$1009,""),"Display",_xlfn.XLOOKUP($K21&amp;"",DISPLAY!$B$3:$B$1000&amp;"",DISPLAY!$V$3:$V$1000,""),"Network Device",_xlfn.XLOOKUP($K21&amp;"",'NETWORK-DEVICES'!$B$3:$B$987&amp;"",'NETWORK-DEVICES'!$AF$3:$AF$987,""),"Peripheral",_xlfn.XLOOKUP($K21&amp;"",PERIPHERAL!$B$3:$B$954&amp;"",PERIPHERAL!$Y$3:$Y$954,""),"Utilities",_xlfn.XLOOKUP($K21&amp;"",UTILITIES!$B$3:$B$953&amp;"",UTILITIES!$O$3:$O$953,""),"IOT",_xlfn.XLOOKUP($K21&amp;"",IOT!$B$3:$B$1012&amp;"",IOT!$AB$3:$AB$1012,""),"Server",_xlfn.XLOOKUP($K21&amp;"",SERVER!$B$3:$B$1009&amp;"",SERVER!$AB$3:$AB$1009,""),""))))</f>
        <v>New</v>
      </c>
      <c r="R21" s="43">
        <f>IF(tbl_handover[[#This Row],[Asset Code]]="","",COUNTIF(tbl_handover[Asset Code],tbl_handover[[#This Row],[Asset Code]]))</f>
        <v>1</v>
      </c>
      <c r="S21" s="1" t="s">
        <v>1160</v>
      </c>
      <c r="U21" s="60" t="b">
        <v>1</v>
      </c>
    </row>
    <row r="22" spans="1:21" x14ac:dyDescent="0.25">
      <c r="A22" s="43">
        <f>IF(B22&lt;&gt;"",SUBTOTAL(3,$B$1:B21),"")</f>
        <v>21</v>
      </c>
      <c r="B22" t="s">
        <v>1165</v>
      </c>
      <c r="C22" s="74">
        <v>46273</v>
      </c>
      <c r="D22" s="74"/>
      <c r="E22" t="s">
        <v>755</v>
      </c>
      <c r="F22" s="13" t="s">
        <v>104</v>
      </c>
      <c r="G22" s="1" t="s">
        <v>1166</v>
      </c>
      <c r="H22" t="s">
        <v>836</v>
      </c>
      <c r="I22" s="1" t="s">
        <v>695</v>
      </c>
      <c r="J22" s="1" t="s">
        <v>745</v>
      </c>
      <c r="K22" s="42" t="s">
        <v>1167</v>
      </c>
      <c r="L22" t="str" cm="1">
        <f t="array" ref="L22">IF($K22="","",_xlfn.SWITCH($I22,"Computer",_xlfn.XLOOKUP($K22&amp;"",COMPUTER!$B$3:$B$1009&amp;"",COMPUTER!$I$3:$I$1009,""),"Display",_xlfn.XLOOKUP($K22&amp;"",DISPLAY!$B$3:$B$1000&amp;"",DISPLAY!$J$3:$J$1000,""),"Network Device",_xlfn.XLOOKUP($K22&amp;"",'NETWORK-DEVICES'!$B$3:$B$987&amp;"",'NETWORK-DEVICES'!$I$3:$I$987,""),"Peripheral",_xlfn.XLOOKUP($K22&amp;"",PERIPHERAL!$B$3:$B$954&amp;"",PERIPHERAL!$I$3:$I$954,""),"Utilities",_xlfn.XLOOKUP($K22&amp;"",UTILITIES!$B$3:$B$953&amp;"",UTILITIES!$H$3:$H$953,""),"IOT",_xlfn.XLOOKUP($K22&amp;"",IOT!$B$3:$B$1012&amp;"",IOT!$I$3:$I$1012,""),"SERVER",_xlfn.XLOOKUP($K22&amp;"",SERVER!$B$3:$B$1009&amp;"",SERVER!$I$3:$I$1009,""),""))</f>
        <v>USB Heaset Stereo H570E Logitech</v>
      </c>
      <c r="M22" t="str" cm="1">
        <f t="array" ref="M22">IF($K22="","",_xlfn.SWITCH($I22,"Computer",_xlfn.XLOOKUP($K22&amp;"",COMPUTER!$B$3:$B$1009&amp;"",COMPUTER!$J$3:$J$1009,""),"Display",_xlfn.XLOOKUP($K22&amp;"",DISPLAY!$B$3:$B$1000&amp;"",DISPLAY!$K$3:$K$1000,""),"Network Device",_xlfn.XLOOKUP($K22&amp;"",'NETWORK-DEVICES'!$B$3:$B$987&amp;"",'NETWORK-DEVICES'!$I$3:$I$987,""),"Peripheral",_xlfn.XLOOKUP($K22&amp;"",PERIPHERAL!$B$3:$B$954&amp;"",PERIPHERAL!$J$3:$J$954,""),"Utilities",_xlfn.XLOOKUP($K22&amp;"",UTILITIES!$B$3:$B$953&amp;"",UTILITIES!$I$3:$I$953,""),"IOT",_xlfn.XLOOKUP($K22&amp;"",IOT!$B$3:$B$1012&amp;"",IOT!$J$3:$J$1012,""),"Server",_xlfn.XLOOKUP($K22&amp;"",SERVER!$B$3:$B$1009&amp;"",SERVER!$J$3:$J$1009,""),""))</f>
        <v>Headset USB</v>
      </c>
      <c r="N22" s="1" t="str" cm="1">
        <f t="array" ref="N22">IF(OR($K22="",$I22="",$J22=""),"",_xlfn.LET(_xlpm.srcCat,_xlfn.SWITCH($I22,"Computer",_xlfn.XLOOKUP($K22&amp;"",COMPUTER!$B$3:$B$1009&amp;"",COMPUTER!$H$3:$H$1009,""),"Display",_xlfn.XLOOKUP($K22&amp;"",DISPLAY!$B$3:$B$1000&amp;"",DISPLAY!$H$3:$H$1000,""),"Network Device",_xlfn.XLOOKUP($K22&amp;"",'NETWORK-DEVICES'!$B$3:$B$987&amp;"",'NETWORK-DEVICES'!$H$3:$H$987,""),"Peripheral",_xlfn.XLOOKUP($K22&amp;"",PERIPHERAL!$B$3:$B$954&amp;"",PERIPHERAL!$H$3:$H$954,""),"Utilities",_xlfn.XLOOKUP($K22&amp;"",UTILITIES!$B$3:$B$953&amp;"",UTILITIES!$G$3:$G$953,""),"IOT",_xlfn.XLOOKUP($K22&amp;"",IOT!$B$3:$B$1012&amp;"",IOT!$H$3:$H$1012,""),"Server",_xlfn.XLOOKUP($K22&amp;"",SERVER!$B$3:$B$1009&amp;"",SERVER!$H$3:$H$1009,""),""),IF(TRIM(_xlpm.srcCat)&lt;&gt;TRIM($J22),"",_xlfn.SWITCH($I22,"Computer",_xlfn.XLOOKUP($K22&amp;"",COMPUTER!$B$3:$B$1009&amp;"",COMPUTER!$K$3:$K$1009,""),"Display",_xlfn.XLOOKUP($K22&amp;"",DISPLAY!$B$3:$B$1000&amp;"",DISPLAY!$L$3:$L$1000,""),"Network Device",_xlfn.XLOOKUP($K22&amp;"",'NETWORK-DEVICES'!$B$3:$B$987&amp;"",'NETWORK-DEVICES'!$K$3:$K$987,""),"Peripheral",_xlfn.XLOOKUP($K22&amp;"",PERIPHERAL!$B$3:$B$954&amp;"",PERIPHERAL!$K$3:$K$954,""),"Utilities",_xlfn.XLOOKUP($K22&amp;"",UTILITIES!$B$3:$B$953&amp;"",UTILITIES!$J$3:$J$953,""),"IOT",_xlfn.XLOOKUP($K22&amp;"",IOT!$B$3:$B$1012&amp;"",IOT!$K$4:$K$1012,""),"Server",_xlfn.XLOOKUP($K22&amp;"",SERVER!$B$3:$B$1009&amp;"",SERVER!$K$3:$K$1009,""),""))))</f>
        <v>2543MEL2ECD9</v>
      </c>
      <c r="O22" s="1" t="str" cm="1">
        <f t="array" ref="O22">IF(OR($K22="",$I22="",$J22=""),"",_xlfn.LET(_xlpm.srcCat,_xlfn.SWITCH($I22,"Computer",_xlfn.XLOOKUP($K22&amp;"",COMPUTER!$B$3:$B$1009&amp;"",COMPUTER!$H$3:$H$1009,""),"Display",_xlfn.XLOOKUP($K22&amp;"",DISPLAY!$B$3:$B$1000&amp;"",DISPLAY!$H$3:$H$1000,""),"Network Device",_xlfn.XLOOKUP($K22&amp;"",'NETWORK-DEVICES'!$B$3:$B$987&amp;"",'NETWORK-DEVICES'!$H$3:$H$987,""),"Peripheral",_xlfn.XLOOKUP($K22&amp;"",PERIPHERAL!$B$3:$B$954&amp;"",PERIPHERAL!$H$3:$H$954,""),"Utilities",_xlfn.XLOOKUP($K22&amp;"",UTILITIES!$B$3:$B$953&amp;"",UTILITIES!$G$3:$G$953,""),"IOT",_xlfn.XLOOKUP($K22&amp;"",IOT!$B$3:$B$1012&amp;"",IOT!$H$3:$H$1012,""),"Server",_xlfn.XLOOKUP($K22&amp;"",SERVER!$B$3:$B$1009&amp;"",SERVER!$H$3:$H$1009,""),""),IF(TRIM(_xlpm.srcCat)&lt;&gt;TRIM($J22),"",_xlfn.SWITCH($I22,"Computer",_xlfn.XLOOKUP($K22&amp;"",COMPUTER!$B$3:$B$1009&amp;"",COMPUTER!$E$3:$E$1009,""),"Display",_xlfn.XLOOKUP($K22&amp;"",DISPLAY!$B$3:$B$1000&amp;"",DISPLAY!$E$3:$E$1000,""),"Network Device",_xlfn.XLOOKUP($K22&amp;"",'NETWORK-DEVICES'!$B$3:$B$987&amp;"",'NETWORK-DEVICES'!$E$3:$E$987,""),"Peripheral",_xlfn.XLOOKUP($K22&amp;"",PERIPHERAL!$B$3:$B$954&amp;"",PERIPHERAL!$E$3:$E$954,""),"Utilities",_xlfn.XLOOKUP($K22&amp;"",UTILITIES!$B$3:$B$953&amp;"",UTILITIES!$E$3:$E$953,""),"IOT",_xlfn.XLOOKUP($K22&amp;"",IOT!$B$3:$B$1012&amp;"",IOT!$E$3:$E$1012,""),"Server",_xlfn.XLOOKUP($K22&amp;"",SERVER!$B$3:$B$1009&amp;"",SERVER!$E$3:$E$1009,""),""))))</f>
        <v>Patimban</v>
      </c>
      <c r="P22" t="s">
        <v>211</v>
      </c>
      <c r="Q22" s="1" t="str" cm="1">
        <f t="array" ref="Q22">IF(OR($K22="",$I22="",$J22=""),"",_xlfn.LET(_xlpm.srcCat,_xlfn.SWITCH($I22,"Computer",_xlfn.XLOOKUP($K22&amp;"",COMPUTER!$B$3:$B$1009&amp;"",COMPUTER!$H$3:$H$1009,""),"Display",_xlfn.XLOOKUP($K22&amp;"",DISPLAY!$B$3:$B$1000&amp;"",DISPLAY!$H$3:$H$1000,""),"Network Device",_xlfn.XLOOKUP($K22&amp;"",'NETWORK-DEVICES'!$B$3:$B$987&amp;"",'NETWORK-DEVICES'!$H$3:$H$987,""),"Peripheral",_xlfn.XLOOKUP($K22&amp;"",PERIPHERAL!$B$3:$B$954&amp;"",PERIPHERAL!$H$3:$H$954,""),"Utilities",_xlfn.XLOOKUP($K22&amp;"",UTILITIES!$B$3:$B$953&amp;"",UTILITIES!$G$3:$G$953,""),"IOT",_xlfn.XLOOKUP($K22&amp;"",IOT!$B$3:$B$1012&amp;"",IOT!$H$3:$H$1012,""),"Server",_xlfn.XLOOKUP($K22&amp;"",SERVER!$B$3:$B$1009&amp;"",SERVER!$H$3:$H$1009,""),""),IF(TRIM(_xlpm.srcCat)&lt;&gt;TRIM($J22),"",_xlfn.SWITCH($I22,"Computer",_xlfn.XLOOKUP($K22&amp;"",COMPUTER!$B$3:$B$1009&amp;"",COMPUTER!$AM$3:$AM$1009,""),"Display",_xlfn.XLOOKUP($K22&amp;"",DISPLAY!$B$3:$B$1000&amp;"",DISPLAY!$V$3:$V$1000,""),"Network Device",_xlfn.XLOOKUP($K22&amp;"",'NETWORK-DEVICES'!$B$3:$B$987&amp;"",'NETWORK-DEVICES'!$AF$3:$AF$987,""),"Peripheral",_xlfn.XLOOKUP($K22&amp;"",PERIPHERAL!$B$3:$B$954&amp;"",PERIPHERAL!$Y$3:$Y$954,""),"Utilities",_xlfn.XLOOKUP($K22&amp;"",UTILITIES!$B$3:$B$953&amp;"",UTILITIES!$O$3:$O$953,""),"IOT",_xlfn.XLOOKUP($K22&amp;"",IOT!$B$3:$B$1012&amp;"",IOT!$AB$3:$AB$1012,""),"Server",_xlfn.XLOOKUP($K22&amp;"",SERVER!$B$3:$B$1009&amp;"",SERVER!$AB$3:$AB$1009,""),""))))</f>
        <v>New</v>
      </c>
      <c r="R22" s="43">
        <f>IF(tbl_handover[[#This Row],[Asset Code]]="","",COUNTIF(tbl_handover[Asset Code],tbl_handover[[#This Row],[Asset Code]]))</f>
        <v>1</v>
      </c>
      <c r="S22" s="1" t="s">
        <v>1160</v>
      </c>
      <c r="U22" s="60" t="b">
        <v>1</v>
      </c>
    </row>
    <row r="23" spans="1:21" x14ac:dyDescent="0.25">
      <c r="A23" s="43">
        <f>IF(B23&lt;&gt;"",SUBTOTAL(3,$B$1:B22),"")</f>
        <v>22</v>
      </c>
      <c r="B23" t="s">
        <v>1165</v>
      </c>
      <c r="C23" s="74">
        <v>46273</v>
      </c>
      <c r="D23" s="74"/>
      <c r="E23" t="s">
        <v>755</v>
      </c>
      <c r="F23" s="13" t="s">
        <v>104</v>
      </c>
      <c r="G23" s="1" t="s">
        <v>1166</v>
      </c>
      <c r="H23" t="s">
        <v>836</v>
      </c>
      <c r="I23" s="1" t="s">
        <v>695</v>
      </c>
      <c r="J23" s="1" t="s">
        <v>758</v>
      </c>
      <c r="K23" s="42" t="s">
        <v>1168</v>
      </c>
      <c r="L23" t="str" cm="1">
        <f t="array" ref="L23">IF($K23="","",_xlfn.SWITCH($I23,"Computer",_xlfn.XLOOKUP($K23&amp;"",COMPUTER!$B$3:$B$1009&amp;"",COMPUTER!$I$3:$I$1009,""),"Display",_xlfn.XLOOKUP($K23&amp;"",DISPLAY!$B$3:$B$1000&amp;"",DISPLAY!$J$3:$J$1000,""),"Network Device",_xlfn.XLOOKUP($K23&amp;"",'NETWORK-DEVICES'!$B$3:$B$987&amp;"",'NETWORK-DEVICES'!$I$3:$I$987,""),"Peripheral",_xlfn.XLOOKUP($K23&amp;"",PERIPHERAL!$B$3:$B$954&amp;"",PERIPHERAL!$I$3:$I$954,""),"Utilities",_xlfn.XLOOKUP($K23&amp;"",UTILITIES!$B$3:$B$953&amp;"",UTILITIES!$H$3:$H$953,""),"IOT",_xlfn.XLOOKUP($K23&amp;"",IOT!$B$3:$B$1012&amp;"",IOT!$I$3:$I$1012,""),"SERVER",_xlfn.XLOOKUP($K23&amp;"",SERVER!$B$3:$B$1009&amp;"",SERVER!$I$3:$I$1009,""),""))</f>
        <v>Jabra Speak2 55 MS Teams</v>
      </c>
      <c r="M23" t="str" cm="1">
        <f t="array" ref="M23">IF($K23="","",_xlfn.SWITCH($I23,"Computer",_xlfn.XLOOKUP($K23&amp;"",COMPUTER!$B$3:$B$1009&amp;"",COMPUTER!$J$3:$J$1009,""),"Display",_xlfn.XLOOKUP($K23&amp;"",DISPLAY!$B$3:$B$1000&amp;"",DISPLAY!$K$3:$K$1000,""),"Network Device",_xlfn.XLOOKUP($K23&amp;"",'NETWORK-DEVICES'!$B$3:$B$987&amp;"",'NETWORK-DEVICES'!$I$3:$I$987,""),"Peripheral",_xlfn.XLOOKUP($K23&amp;"",PERIPHERAL!$B$3:$B$954&amp;"",PERIPHERAL!$J$3:$J$954,""),"Utilities",_xlfn.XLOOKUP($K23&amp;"",UTILITIES!$B$3:$B$953&amp;"",UTILITIES!$I$3:$I$953,""),"IOT",_xlfn.XLOOKUP($K23&amp;"",IOT!$B$3:$B$1012&amp;"",IOT!$J$3:$J$1012,""),"Server",_xlfn.XLOOKUP($K23&amp;"",SERVER!$B$3:$B$1009&amp;"",SERVER!$J$3:$J$1009,""),""))</f>
        <v>Jabra MS Teams</v>
      </c>
      <c r="N23" s="1" t="str" cm="1">
        <f t="array" ref="N23">IF(OR($K23="",$I23="",$J23=""),"",_xlfn.LET(_xlpm.srcCat,_xlfn.SWITCH($I23,"Computer",_xlfn.XLOOKUP($K23&amp;"",COMPUTER!$B$3:$B$1009&amp;"",COMPUTER!$H$3:$H$1009,""),"Display",_xlfn.XLOOKUP($K23&amp;"",DISPLAY!$B$3:$B$1000&amp;"",DISPLAY!$H$3:$H$1000,""),"Network Device",_xlfn.XLOOKUP($K23&amp;"",'NETWORK-DEVICES'!$B$3:$B$987&amp;"",'NETWORK-DEVICES'!$H$3:$H$987,""),"Peripheral",_xlfn.XLOOKUP($K23&amp;"",PERIPHERAL!$B$3:$B$954&amp;"",PERIPHERAL!$H$3:$H$954,""),"Utilities",_xlfn.XLOOKUP($K23&amp;"",UTILITIES!$B$3:$B$953&amp;"",UTILITIES!$G$3:$G$953,""),"IOT",_xlfn.XLOOKUP($K23&amp;"",IOT!$B$3:$B$1012&amp;"",IOT!$H$3:$H$1012,""),"Server",_xlfn.XLOOKUP($K23&amp;"",SERVER!$B$3:$B$1009&amp;"",SERVER!$H$3:$H$1009,""),""),IF(TRIM(_xlpm.srcCat)&lt;&gt;TRIM($J23),"",_xlfn.SWITCH($I23,"Computer",_xlfn.XLOOKUP($K23&amp;"",COMPUTER!$B$3:$B$1009&amp;"",COMPUTER!$K$3:$K$1009,""),"Display",_xlfn.XLOOKUP($K23&amp;"",DISPLAY!$B$3:$B$1000&amp;"",DISPLAY!$L$3:$L$1000,""),"Network Device",_xlfn.XLOOKUP($K23&amp;"",'NETWORK-DEVICES'!$B$3:$B$987&amp;"",'NETWORK-DEVICES'!$K$3:$K$987,""),"Peripheral",_xlfn.XLOOKUP($K23&amp;"",PERIPHERAL!$B$3:$B$954&amp;"",PERIPHERAL!$K$3:$K$954,""),"Utilities",_xlfn.XLOOKUP($K23&amp;"",UTILITIES!$B$3:$B$953&amp;"",UTILITIES!$J$3:$J$953,""),"IOT",_xlfn.XLOOKUP($K23&amp;"",IOT!$B$3:$B$1012&amp;"",IOT!$K$4:$K$1012,""),"Server",_xlfn.XLOOKUP($K23&amp;"",SERVER!$B$3:$B$1009&amp;"",SERVER!$K$3:$K$1009,""),""))))</f>
        <v>00088215877</v>
      </c>
      <c r="O23" s="1" t="str" cm="1">
        <f t="array" ref="O23">IF(OR($K23="",$I23="",$J23=""),"",_xlfn.LET(_xlpm.srcCat,_xlfn.SWITCH($I23,"Computer",_xlfn.XLOOKUP($K23&amp;"",COMPUTER!$B$3:$B$1009&amp;"",COMPUTER!$H$3:$H$1009,""),"Display",_xlfn.XLOOKUP($K23&amp;"",DISPLAY!$B$3:$B$1000&amp;"",DISPLAY!$H$3:$H$1000,""),"Network Device",_xlfn.XLOOKUP($K23&amp;"",'NETWORK-DEVICES'!$B$3:$B$987&amp;"",'NETWORK-DEVICES'!$H$3:$H$987,""),"Peripheral",_xlfn.XLOOKUP($K23&amp;"",PERIPHERAL!$B$3:$B$954&amp;"",PERIPHERAL!$H$3:$H$954,""),"Utilities",_xlfn.XLOOKUP($K23&amp;"",UTILITIES!$B$3:$B$953&amp;"",UTILITIES!$G$3:$G$953,""),"IOT",_xlfn.XLOOKUP($K23&amp;"",IOT!$B$3:$B$1012&amp;"",IOT!$H$3:$H$1012,""),"Server",_xlfn.XLOOKUP($K23&amp;"",SERVER!$B$3:$B$1009&amp;"",SERVER!$H$3:$H$1009,""),""),IF(TRIM(_xlpm.srcCat)&lt;&gt;TRIM($J23),"",_xlfn.SWITCH($I23,"Computer",_xlfn.XLOOKUP($K23&amp;"",COMPUTER!$B$3:$B$1009&amp;"",COMPUTER!$E$3:$E$1009,""),"Display",_xlfn.XLOOKUP($K23&amp;"",DISPLAY!$B$3:$B$1000&amp;"",DISPLAY!$E$3:$E$1000,""),"Network Device",_xlfn.XLOOKUP($K23&amp;"",'NETWORK-DEVICES'!$B$3:$B$987&amp;"",'NETWORK-DEVICES'!$E$3:$E$987,""),"Peripheral",_xlfn.XLOOKUP($K23&amp;"",PERIPHERAL!$B$3:$B$954&amp;"",PERIPHERAL!$E$3:$E$954,""),"Utilities",_xlfn.XLOOKUP($K23&amp;"",UTILITIES!$B$3:$B$953&amp;"",UTILITIES!$E$3:$E$953,""),"IOT",_xlfn.XLOOKUP($K23&amp;"",IOT!$B$3:$B$1012&amp;"",IOT!$E$3:$E$1012,""),"Server",_xlfn.XLOOKUP($K23&amp;"",SERVER!$B$3:$B$1009&amp;"",SERVER!$E$3:$E$1009,""),""))))</f>
        <v>Patimban</v>
      </c>
      <c r="P23" t="s">
        <v>211</v>
      </c>
      <c r="Q23" s="1" t="str" cm="1">
        <f t="array" ref="Q23">IF(OR($K23="",$I23="",$J23=""),"",_xlfn.LET(_xlpm.srcCat,_xlfn.SWITCH($I23,"Computer",_xlfn.XLOOKUP($K23&amp;"",COMPUTER!$B$3:$B$1009&amp;"",COMPUTER!$H$3:$H$1009,""),"Display",_xlfn.XLOOKUP($K23&amp;"",DISPLAY!$B$3:$B$1000&amp;"",DISPLAY!$H$3:$H$1000,""),"Network Device",_xlfn.XLOOKUP($K23&amp;"",'NETWORK-DEVICES'!$B$3:$B$987&amp;"",'NETWORK-DEVICES'!$H$3:$H$987,""),"Peripheral",_xlfn.XLOOKUP($K23&amp;"",PERIPHERAL!$B$3:$B$954&amp;"",PERIPHERAL!$H$3:$H$954,""),"Utilities",_xlfn.XLOOKUP($K23&amp;"",UTILITIES!$B$3:$B$953&amp;"",UTILITIES!$G$3:$G$953,""),"IOT",_xlfn.XLOOKUP($K23&amp;"",IOT!$B$3:$B$1012&amp;"",IOT!$H$3:$H$1012,""),"Server",_xlfn.XLOOKUP($K23&amp;"",SERVER!$B$3:$B$1009&amp;"",SERVER!$H$3:$H$1009,""),""),IF(TRIM(_xlpm.srcCat)&lt;&gt;TRIM($J23),"",_xlfn.SWITCH($I23,"Computer",_xlfn.XLOOKUP($K23&amp;"",COMPUTER!$B$3:$B$1009&amp;"",COMPUTER!$AM$3:$AM$1009,""),"Display",_xlfn.XLOOKUP($K23&amp;"",DISPLAY!$B$3:$B$1000&amp;"",DISPLAY!$V$3:$V$1000,""),"Network Device",_xlfn.XLOOKUP($K23&amp;"",'NETWORK-DEVICES'!$B$3:$B$987&amp;"",'NETWORK-DEVICES'!$AF$3:$AF$987,""),"Peripheral",_xlfn.XLOOKUP($K23&amp;"",PERIPHERAL!$B$3:$B$954&amp;"",PERIPHERAL!$Y$3:$Y$954,""),"Utilities",_xlfn.XLOOKUP($K23&amp;"",UTILITIES!$B$3:$B$953&amp;"",UTILITIES!$O$3:$O$953,""),"IOT",_xlfn.XLOOKUP($K23&amp;"",IOT!$B$3:$B$1012&amp;"",IOT!$AB$3:$AB$1012,""),"Server",_xlfn.XLOOKUP($K23&amp;"",SERVER!$B$3:$B$1009&amp;"",SERVER!$AB$3:$AB$1009,""),""))))</f>
        <v>New</v>
      </c>
      <c r="R23" s="43">
        <f>IF(tbl_handover[[#This Row],[Asset Code]]="","",COUNTIF(tbl_handover[Asset Code],tbl_handover[[#This Row],[Asset Code]]))</f>
        <v>1</v>
      </c>
      <c r="S23" s="1" t="s">
        <v>1160</v>
      </c>
      <c r="U23" s="60" t="b">
        <v>1</v>
      </c>
    </row>
    <row r="24" spans="1:21" x14ac:dyDescent="0.25">
      <c r="A24" s="43">
        <f>IF(B24&lt;&gt;"",SUBTOTAL(3,$B$1:B23),"")</f>
        <v>23</v>
      </c>
      <c r="B24" t="s">
        <v>1169</v>
      </c>
      <c r="C24" s="74">
        <v>46274</v>
      </c>
      <c r="D24" s="74"/>
      <c r="E24" t="s">
        <v>1170</v>
      </c>
      <c r="F24" s="13" t="s">
        <v>1171</v>
      </c>
      <c r="G24" s="1" t="s">
        <v>1157</v>
      </c>
      <c r="H24" t="s">
        <v>1172</v>
      </c>
      <c r="I24" s="1" t="s">
        <v>76</v>
      </c>
      <c r="J24" s="1" t="s">
        <v>125</v>
      </c>
      <c r="K24" s="42" t="s">
        <v>1173</v>
      </c>
      <c r="L24" t="str" cm="1">
        <f t="array" ref="L24">IF($K24="","",_xlfn.SWITCH($I24,"Computer",_xlfn.XLOOKUP($K24&amp;"",COMPUTER!$B$3:$B$1009&amp;"",COMPUTER!$I$3:$I$1009,""),"Display",_xlfn.XLOOKUP($K24&amp;"",DISPLAY!$B$3:$B$1000&amp;"",DISPLAY!$J$3:$J$1000,""),"Network Device",_xlfn.XLOOKUP($K24&amp;"",'NETWORK-DEVICES'!$B$3:$B$987&amp;"",'NETWORK-DEVICES'!$I$3:$I$987,""),"Peripheral",_xlfn.XLOOKUP($K24&amp;"",PERIPHERAL!$B$3:$B$954&amp;"",PERIPHERAL!$I$3:$I$954,""),"Utilities",_xlfn.XLOOKUP($K24&amp;"",UTILITIES!$B$3:$B$953&amp;"",UTILITIES!$H$3:$H$953,""),"IOT",_xlfn.XLOOKUP($K24&amp;"",IOT!$B$3:$B$1012&amp;"",IOT!$I$3:$I$1012,""),"SERVER",_xlfn.XLOOKUP($K24&amp;"",SERVER!$B$3:$B$1009&amp;"",SERVER!$I$3:$I$1009,""),""))</f>
        <v>HP ZBook 8 G1i 14 inch Mobile Workstation PC</v>
      </c>
      <c r="M24" t="str" cm="1">
        <f t="array" ref="M24">IF($K24="","",_xlfn.SWITCH($I24,"Computer",_xlfn.XLOOKUP($K24&amp;"",COMPUTER!$B$3:$B$1009&amp;"",COMPUTER!$J$3:$J$1009,""),"Display",_xlfn.XLOOKUP($K24&amp;"",DISPLAY!$B$3:$B$1000&amp;"",DISPLAY!$K$3:$K$1000,""),"Network Device",_xlfn.XLOOKUP($K24&amp;"",'NETWORK-DEVICES'!$B$3:$B$987&amp;"",'NETWORK-DEVICES'!$I$3:$I$987,""),"Peripheral",_xlfn.XLOOKUP($K24&amp;"",PERIPHERAL!$B$3:$B$954&amp;"",PERIPHERAL!$J$3:$J$954,""),"Utilities",_xlfn.XLOOKUP($K24&amp;"",UTILITIES!$B$3:$B$953&amp;"",UTILITIES!$I$3:$I$953,""),"IOT",_xlfn.XLOOKUP($K24&amp;"",IOT!$B$3:$B$1012&amp;"",IOT!$J$3:$J$1012,""),"Server",_xlfn.XLOOKUP($K24&amp;"",SERVER!$B$3:$B$1009&amp;"",SERVER!$J$3:$J$1009,""),""))</f>
        <v>NOTEBOOK</v>
      </c>
      <c r="N24" s="1" t="str" cm="1">
        <f t="array" ref="N24">IF(OR($K24="",$I24="",$J24=""),"",_xlfn.LET(_xlpm.srcCat,_xlfn.SWITCH($I24,"Computer",_xlfn.XLOOKUP($K24&amp;"",COMPUTER!$B$3:$B$1009&amp;"",COMPUTER!$H$3:$H$1009,""),"Display",_xlfn.XLOOKUP($K24&amp;"",DISPLAY!$B$3:$B$1000&amp;"",DISPLAY!$H$3:$H$1000,""),"Network Device",_xlfn.XLOOKUP($K24&amp;"",'NETWORK-DEVICES'!$B$3:$B$987&amp;"",'NETWORK-DEVICES'!$H$3:$H$987,""),"Peripheral",_xlfn.XLOOKUP($K24&amp;"",PERIPHERAL!$B$3:$B$954&amp;"",PERIPHERAL!$H$3:$H$954,""),"Utilities",_xlfn.XLOOKUP($K24&amp;"",UTILITIES!$B$3:$B$953&amp;"",UTILITIES!$G$3:$G$953,""),"IOT",_xlfn.XLOOKUP($K24&amp;"",IOT!$B$3:$B$1012&amp;"",IOT!$H$3:$H$1012,""),"Server",_xlfn.XLOOKUP($K24&amp;"",SERVER!$B$3:$B$1009&amp;"",SERVER!$H$3:$H$1009,""),""),IF(TRIM(_xlpm.srcCat)&lt;&gt;TRIM($J24),"",_xlfn.SWITCH($I24,"Computer",_xlfn.XLOOKUP($K24&amp;"",COMPUTER!$B$3:$B$1009&amp;"",COMPUTER!$K$3:$K$1009,""),"Display",_xlfn.XLOOKUP($K24&amp;"",DISPLAY!$B$3:$B$1000&amp;"",DISPLAY!$L$3:$L$1000,""),"Network Device",_xlfn.XLOOKUP($K24&amp;"",'NETWORK-DEVICES'!$B$3:$B$987&amp;"",'NETWORK-DEVICES'!$K$3:$K$987,""),"Peripheral",_xlfn.XLOOKUP($K24&amp;"",PERIPHERAL!$B$3:$B$954&amp;"",PERIPHERAL!$K$3:$K$954,""),"Utilities",_xlfn.XLOOKUP($K24&amp;"",UTILITIES!$B$3:$B$953&amp;"",UTILITIES!$J$3:$J$953,""),"IOT",_xlfn.XLOOKUP($K24&amp;"",IOT!$B$3:$B$1012&amp;"",IOT!$K$4:$K$1012,""),"Server",_xlfn.XLOOKUP($K24&amp;"",SERVER!$B$3:$B$1009&amp;"",SERVER!$K$3:$K$1009,""),""))))</f>
        <v>5CG60633X1</v>
      </c>
      <c r="O24" s="1" t="str" cm="1">
        <f t="array" ref="O24">IF(OR($K24="",$I24="",$J24=""),"",_xlfn.LET(_xlpm.srcCat,_xlfn.SWITCH($I24,"Computer",_xlfn.XLOOKUP($K24&amp;"",COMPUTER!$B$3:$B$1009&amp;"",COMPUTER!$H$3:$H$1009,""),"Display",_xlfn.XLOOKUP($K24&amp;"",DISPLAY!$B$3:$B$1000&amp;"",DISPLAY!$H$3:$H$1000,""),"Network Device",_xlfn.XLOOKUP($K24&amp;"",'NETWORK-DEVICES'!$B$3:$B$987&amp;"",'NETWORK-DEVICES'!$H$3:$H$987,""),"Peripheral",_xlfn.XLOOKUP($K24&amp;"",PERIPHERAL!$B$3:$B$954&amp;"",PERIPHERAL!$H$3:$H$954,""),"Utilities",_xlfn.XLOOKUP($K24&amp;"",UTILITIES!$B$3:$B$953&amp;"",UTILITIES!$G$3:$G$953,""),"IOT",_xlfn.XLOOKUP($K24&amp;"",IOT!$B$3:$B$1012&amp;"",IOT!$H$3:$H$1012,""),"Server",_xlfn.XLOOKUP($K24&amp;"",SERVER!$B$3:$B$1009&amp;"",SERVER!$H$3:$H$1009,""),""),IF(TRIM(_xlpm.srcCat)&lt;&gt;TRIM($J24),"",_xlfn.SWITCH($I24,"Computer",_xlfn.XLOOKUP($K24&amp;"",COMPUTER!$B$3:$B$1009&amp;"",COMPUTER!$E$3:$E$1009,""),"Display",_xlfn.XLOOKUP($K24&amp;"",DISPLAY!$B$3:$B$1000&amp;"",DISPLAY!$E$3:$E$1000,""),"Network Device",_xlfn.XLOOKUP($K24&amp;"",'NETWORK-DEVICES'!$B$3:$B$987&amp;"",'NETWORK-DEVICES'!$E$3:$E$987,""),"Peripheral",_xlfn.XLOOKUP($K24&amp;"",PERIPHERAL!$B$3:$B$954&amp;"",PERIPHERAL!$E$3:$E$954,""),"Utilities",_xlfn.XLOOKUP($K24&amp;"",UTILITIES!$B$3:$B$953&amp;"",UTILITIES!$E$3:$E$953,""),"IOT",_xlfn.XLOOKUP($K24&amp;"",IOT!$B$3:$B$1012&amp;"",IOT!$E$3:$E$1012,""),"Server",_xlfn.XLOOKUP($K24&amp;"",SERVER!$B$3:$B$1009&amp;"",SERVER!$E$3:$E$1009,""),""))))</f>
        <v>Patimban</v>
      </c>
      <c r="P24" t="s">
        <v>124</v>
      </c>
      <c r="Q24" s="1" t="str" cm="1">
        <f t="array" ref="Q24">IF(OR($K24="",$I24="",$J24=""),"",_xlfn.LET(_xlpm.srcCat,_xlfn.SWITCH($I24,"Computer",_xlfn.XLOOKUP($K24&amp;"",COMPUTER!$B$3:$B$1009&amp;"",COMPUTER!$H$3:$H$1009,""),"Display",_xlfn.XLOOKUP($K24&amp;"",DISPLAY!$B$3:$B$1000&amp;"",DISPLAY!$H$3:$H$1000,""),"Network Device",_xlfn.XLOOKUP($K24&amp;"",'NETWORK-DEVICES'!$B$3:$B$987&amp;"",'NETWORK-DEVICES'!$H$3:$H$987,""),"Peripheral",_xlfn.XLOOKUP($K24&amp;"",PERIPHERAL!$B$3:$B$954&amp;"",PERIPHERAL!$H$3:$H$954,""),"Utilities",_xlfn.XLOOKUP($K24&amp;"",UTILITIES!$B$3:$B$953&amp;"",UTILITIES!$G$3:$G$953,""),"IOT",_xlfn.XLOOKUP($K24&amp;"",IOT!$B$3:$B$1012&amp;"",IOT!$H$3:$H$1012,""),"Server",_xlfn.XLOOKUP($K24&amp;"",SERVER!$B$3:$B$1009&amp;"",SERVER!$H$3:$H$1009,""),""),IF(TRIM(_xlpm.srcCat)&lt;&gt;TRIM($J24),"",_xlfn.SWITCH($I24,"Computer",_xlfn.XLOOKUP($K24&amp;"",COMPUTER!$B$3:$B$1009&amp;"",COMPUTER!$AM$3:$AM$1009,""),"Display",_xlfn.XLOOKUP($K24&amp;"",DISPLAY!$B$3:$B$1000&amp;"",DISPLAY!$V$3:$V$1000,""),"Network Device",_xlfn.XLOOKUP($K24&amp;"",'NETWORK-DEVICES'!$B$3:$B$987&amp;"",'NETWORK-DEVICES'!$AF$3:$AF$987,""),"Peripheral",_xlfn.XLOOKUP($K24&amp;"",PERIPHERAL!$B$3:$B$954&amp;"",PERIPHERAL!$Y$3:$Y$954,""),"Utilities",_xlfn.XLOOKUP($K24&amp;"",UTILITIES!$B$3:$B$953&amp;"",UTILITIES!$O$3:$O$953,""),"IOT",_xlfn.XLOOKUP($K24&amp;"",IOT!$B$3:$B$1012&amp;"",IOT!$AB$3:$AB$1012,""),"Server",_xlfn.XLOOKUP($K24&amp;"",SERVER!$B$3:$B$1009&amp;"",SERVER!$AB$3:$AB$1009,""),""))))</f>
        <v>New</v>
      </c>
      <c r="R24" s="43">
        <f>IF(tbl_handover[[#This Row],[Asset Code]]="","",COUNTIF(tbl_handover[Asset Code],tbl_handover[[#This Row],[Asset Code]]))</f>
        <v>1</v>
      </c>
      <c r="S24" s="1" t="s">
        <v>1131</v>
      </c>
      <c r="U24" s="60" t="b">
        <v>0</v>
      </c>
    </row>
    <row r="25" spans="1:21" x14ac:dyDescent="0.25">
      <c r="A25" s="43">
        <f>IF(B25&lt;&gt;"",SUBTOTAL(3,$B$1:B24),"")</f>
        <v>24</v>
      </c>
      <c r="B25" t="s">
        <v>1169</v>
      </c>
      <c r="C25" s="74">
        <v>46274</v>
      </c>
      <c r="D25" s="74"/>
      <c r="E25" t="s">
        <v>1170</v>
      </c>
      <c r="F25" s="13" t="s">
        <v>1171</v>
      </c>
      <c r="G25" s="1" t="s">
        <v>1157</v>
      </c>
      <c r="H25" t="s">
        <v>1172</v>
      </c>
      <c r="I25" s="1" t="s">
        <v>695</v>
      </c>
      <c r="J25" s="1" t="s">
        <v>745</v>
      </c>
      <c r="K25" s="42" t="s">
        <v>1174</v>
      </c>
      <c r="L25" t="str" cm="1">
        <f t="array" ref="L25">IF($K25="","",_xlfn.SWITCH($I25,"Computer",_xlfn.XLOOKUP($K25&amp;"",COMPUTER!$B$3:$B$1009&amp;"",COMPUTER!$I$3:$I$1009,""),"Display",_xlfn.XLOOKUP($K25&amp;"",DISPLAY!$B$3:$B$1000&amp;"",DISPLAY!$J$3:$J$1000,""),"Network Device",_xlfn.XLOOKUP($K25&amp;"",'NETWORK-DEVICES'!$B$3:$B$987&amp;"",'NETWORK-DEVICES'!$I$3:$I$987,""),"Peripheral",_xlfn.XLOOKUP($K25&amp;"",PERIPHERAL!$B$3:$B$954&amp;"",PERIPHERAL!$I$3:$I$954,""),"Utilities",_xlfn.XLOOKUP($K25&amp;"",UTILITIES!$B$3:$B$953&amp;"",UTILITIES!$H$3:$H$953,""),"IOT",_xlfn.XLOOKUP($K25&amp;"",IOT!$B$3:$B$1012&amp;"",IOT!$I$3:$I$1012,""),"SERVER",_xlfn.XLOOKUP($K25&amp;"",SERVER!$B$3:$B$1009&amp;"",SERVER!$I$3:$I$1009,""),""))</f>
        <v>USB Heaset Stereo H570E Logitech</v>
      </c>
      <c r="M25" t="str" cm="1">
        <f t="array" ref="M25">IF($K25="","",_xlfn.SWITCH($I25,"Computer",_xlfn.XLOOKUP($K25&amp;"",COMPUTER!$B$3:$B$1009&amp;"",COMPUTER!$J$3:$J$1009,""),"Display",_xlfn.XLOOKUP($K25&amp;"",DISPLAY!$B$3:$B$1000&amp;"",DISPLAY!$K$3:$K$1000,""),"Network Device",_xlfn.XLOOKUP($K25&amp;"",'NETWORK-DEVICES'!$B$3:$B$987&amp;"",'NETWORK-DEVICES'!$I$3:$I$987,""),"Peripheral",_xlfn.XLOOKUP($K25&amp;"",PERIPHERAL!$B$3:$B$954&amp;"",PERIPHERAL!$J$3:$J$954,""),"Utilities",_xlfn.XLOOKUP($K25&amp;"",UTILITIES!$B$3:$B$953&amp;"",UTILITIES!$I$3:$I$953,""),"IOT",_xlfn.XLOOKUP($K25&amp;"",IOT!$B$3:$B$1012&amp;"",IOT!$J$3:$J$1012,""),"Server",_xlfn.XLOOKUP($K25&amp;"",SERVER!$B$3:$B$1009&amp;"",SERVER!$J$3:$J$1009,""),""))</f>
        <v>Headset USB</v>
      </c>
      <c r="N25" s="1" t="str" cm="1">
        <f t="array" ref="N25">IF(OR($K25="",$I25="",$J25=""),"",_xlfn.LET(_xlpm.srcCat,_xlfn.SWITCH($I25,"Computer",_xlfn.XLOOKUP($K25&amp;"",COMPUTER!$B$3:$B$1009&amp;"",COMPUTER!$H$3:$H$1009,""),"Display",_xlfn.XLOOKUP($K25&amp;"",DISPLAY!$B$3:$B$1000&amp;"",DISPLAY!$H$3:$H$1000,""),"Network Device",_xlfn.XLOOKUP($K25&amp;"",'NETWORK-DEVICES'!$B$3:$B$987&amp;"",'NETWORK-DEVICES'!$H$3:$H$987,""),"Peripheral",_xlfn.XLOOKUP($K25&amp;"",PERIPHERAL!$B$3:$B$954&amp;"",PERIPHERAL!$H$3:$H$954,""),"Utilities",_xlfn.XLOOKUP($K25&amp;"",UTILITIES!$B$3:$B$953&amp;"",UTILITIES!$G$3:$G$953,""),"IOT",_xlfn.XLOOKUP($K25&amp;"",IOT!$B$3:$B$1012&amp;"",IOT!$H$3:$H$1012,""),"Server",_xlfn.XLOOKUP($K25&amp;"",SERVER!$B$3:$B$1009&amp;"",SERVER!$H$3:$H$1009,""),""),IF(TRIM(_xlpm.srcCat)&lt;&gt;TRIM($J25),"",_xlfn.SWITCH($I25,"Computer",_xlfn.XLOOKUP($K25&amp;"",COMPUTER!$B$3:$B$1009&amp;"",COMPUTER!$K$3:$K$1009,""),"Display",_xlfn.XLOOKUP($K25&amp;"",DISPLAY!$B$3:$B$1000&amp;"",DISPLAY!$L$3:$L$1000,""),"Network Device",_xlfn.XLOOKUP($K25&amp;"",'NETWORK-DEVICES'!$B$3:$B$987&amp;"",'NETWORK-DEVICES'!$K$3:$K$987,""),"Peripheral",_xlfn.XLOOKUP($K25&amp;"",PERIPHERAL!$B$3:$B$954&amp;"",PERIPHERAL!$K$3:$K$954,""),"Utilities",_xlfn.XLOOKUP($K25&amp;"",UTILITIES!$B$3:$B$953&amp;"",UTILITIES!$J$3:$J$953,""),"IOT",_xlfn.XLOOKUP($K25&amp;"",IOT!$B$3:$B$1012&amp;"",IOT!$K$4:$K$1012,""),"Server",_xlfn.XLOOKUP($K25&amp;"",SERVER!$B$3:$B$1009&amp;"",SERVER!$K$3:$K$1009,""),""))))</f>
        <v>2543MEM2EC58</v>
      </c>
      <c r="O25" s="1" t="str" cm="1">
        <f t="array" ref="O25">IF(OR($K25="",$I25="",$J25=""),"",_xlfn.LET(_xlpm.srcCat,_xlfn.SWITCH($I25,"Computer",_xlfn.XLOOKUP($K25&amp;"",COMPUTER!$B$3:$B$1009&amp;"",COMPUTER!$H$3:$H$1009,""),"Display",_xlfn.XLOOKUP($K25&amp;"",DISPLAY!$B$3:$B$1000&amp;"",DISPLAY!$H$3:$H$1000,""),"Network Device",_xlfn.XLOOKUP($K25&amp;"",'NETWORK-DEVICES'!$B$3:$B$987&amp;"",'NETWORK-DEVICES'!$H$3:$H$987,""),"Peripheral",_xlfn.XLOOKUP($K25&amp;"",PERIPHERAL!$B$3:$B$954&amp;"",PERIPHERAL!$H$3:$H$954,""),"Utilities",_xlfn.XLOOKUP($K25&amp;"",UTILITIES!$B$3:$B$953&amp;"",UTILITIES!$G$3:$G$953,""),"IOT",_xlfn.XLOOKUP($K25&amp;"",IOT!$B$3:$B$1012&amp;"",IOT!$H$3:$H$1012,""),"Server",_xlfn.XLOOKUP($K25&amp;"",SERVER!$B$3:$B$1009&amp;"",SERVER!$H$3:$H$1009,""),""),IF(TRIM(_xlpm.srcCat)&lt;&gt;TRIM($J25),"",_xlfn.SWITCH($I25,"Computer",_xlfn.XLOOKUP($K25&amp;"",COMPUTER!$B$3:$B$1009&amp;"",COMPUTER!$E$3:$E$1009,""),"Display",_xlfn.XLOOKUP($K25&amp;"",DISPLAY!$B$3:$B$1000&amp;"",DISPLAY!$E$3:$E$1000,""),"Network Device",_xlfn.XLOOKUP($K25&amp;"",'NETWORK-DEVICES'!$B$3:$B$987&amp;"",'NETWORK-DEVICES'!$E$3:$E$987,""),"Peripheral",_xlfn.XLOOKUP($K25&amp;"",PERIPHERAL!$B$3:$B$954&amp;"",PERIPHERAL!$E$3:$E$954,""),"Utilities",_xlfn.XLOOKUP($K25&amp;"",UTILITIES!$B$3:$B$953&amp;"",UTILITIES!$E$3:$E$953,""),"IOT",_xlfn.XLOOKUP($K25&amp;"",IOT!$B$3:$B$1012&amp;"",IOT!$E$3:$E$1012,""),"Server",_xlfn.XLOOKUP($K25&amp;"",SERVER!$B$3:$B$1009&amp;"",SERVER!$E$3:$E$1009,""),""))))</f>
        <v>Patimban</v>
      </c>
      <c r="P25" t="s">
        <v>124</v>
      </c>
      <c r="Q25" s="1" t="str" cm="1">
        <f t="array" ref="Q25">IF(OR($K25="",$I25="",$J25=""),"",_xlfn.LET(_xlpm.srcCat,_xlfn.SWITCH($I25,"Computer",_xlfn.XLOOKUP($K25&amp;"",COMPUTER!$B$3:$B$1009&amp;"",COMPUTER!$H$3:$H$1009,""),"Display",_xlfn.XLOOKUP($K25&amp;"",DISPLAY!$B$3:$B$1000&amp;"",DISPLAY!$H$3:$H$1000,""),"Network Device",_xlfn.XLOOKUP($K25&amp;"",'NETWORK-DEVICES'!$B$3:$B$987&amp;"",'NETWORK-DEVICES'!$H$3:$H$987,""),"Peripheral",_xlfn.XLOOKUP($K25&amp;"",PERIPHERAL!$B$3:$B$954&amp;"",PERIPHERAL!$H$3:$H$954,""),"Utilities",_xlfn.XLOOKUP($K25&amp;"",UTILITIES!$B$3:$B$953&amp;"",UTILITIES!$G$3:$G$953,""),"IOT",_xlfn.XLOOKUP($K25&amp;"",IOT!$B$3:$B$1012&amp;"",IOT!$H$3:$H$1012,""),"Server",_xlfn.XLOOKUP($K25&amp;"",SERVER!$B$3:$B$1009&amp;"",SERVER!$H$3:$H$1009,""),""),IF(TRIM(_xlpm.srcCat)&lt;&gt;TRIM($J25),"",_xlfn.SWITCH($I25,"Computer",_xlfn.XLOOKUP($K25&amp;"",COMPUTER!$B$3:$B$1009&amp;"",COMPUTER!$AM$3:$AM$1009,""),"Display",_xlfn.XLOOKUP($K25&amp;"",DISPLAY!$B$3:$B$1000&amp;"",DISPLAY!$V$3:$V$1000,""),"Network Device",_xlfn.XLOOKUP($K25&amp;"",'NETWORK-DEVICES'!$B$3:$B$987&amp;"",'NETWORK-DEVICES'!$AF$3:$AF$987,""),"Peripheral",_xlfn.XLOOKUP($K25&amp;"",PERIPHERAL!$B$3:$B$954&amp;"",PERIPHERAL!$Y$3:$Y$954,""),"Utilities",_xlfn.XLOOKUP($K25&amp;"",UTILITIES!$B$3:$B$953&amp;"",UTILITIES!$O$3:$O$953,""),"IOT",_xlfn.XLOOKUP($K25&amp;"",IOT!$B$3:$B$1012&amp;"",IOT!$AB$3:$AB$1012,""),"Server",_xlfn.XLOOKUP($K25&amp;"",SERVER!$B$3:$B$1009&amp;"",SERVER!$AB$3:$AB$1009,""),""))))</f>
        <v>New</v>
      </c>
      <c r="R25" s="43">
        <f>IF(tbl_handover[[#This Row],[Asset Code]]="","",COUNTIF(tbl_handover[Asset Code],tbl_handover[[#This Row],[Asset Code]]))</f>
        <v>1</v>
      </c>
      <c r="S25" s="1" t="s">
        <v>1160</v>
      </c>
      <c r="U25" s="60" t="b">
        <v>0</v>
      </c>
    </row>
    <row r="26" spans="1:21" x14ac:dyDescent="0.25">
      <c r="A26" s="43">
        <f>IF(B26&lt;&gt;"",SUBTOTAL(3,$B$1:B25),"")</f>
        <v>25</v>
      </c>
      <c r="B26" t="s">
        <v>1175</v>
      </c>
      <c r="C26" s="74">
        <v>46274</v>
      </c>
      <c r="D26" s="74"/>
      <c r="E26" t="s">
        <v>1176</v>
      </c>
      <c r="F26" s="13" t="s">
        <v>104</v>
      </c>
      <c r="G26" s="1" t="s">
        <v>1177</v>
      </c>
      <c r="H26" t="s">
        <v>1178</v>
      </c>
      <c r="I26" s="1" t="s">
        <v>76</v>
      </c>
      <c r="J26" s="1" t="s">
        <v>77</v>
      </c>
      <c r="K26" s="42" t="s">
        <v>1179</v>
      </c>
      <c r="L26" t="str" cm="1">
        <f t="array" ref="L26">IF($K26="","",_xlfn.SWITCH($I26,"Computer",_xlfn.XLOOKUP($K26&amp;"",COMPUTER!$B$3:$B$1009&amp;"",COMPUTER!$I$3:$I$1009,""),"Display",_xlfn.XLOOKUP($K26&amp;"",DISPLAY!$B$3:$B$1000&amp;"",DISPLAY!$J$3:$J$1000,""),"Network Device",_xlfn.XLOOKUP($K26&amp;"",'NETWORK-DEVICES'!$B$3:$B$987&amp;"",'NETWORK-DEVICES'!$I$3:$I$987,""),"Peripheral",_xlfn.XLOOKUP($K26&amp;"",PERIPHERAL!$B$3:$B$954&amp;"",PERIPHERAL!$I$3:$I$954,""),"Utilities",_xlfn.XLOOKUP($K26&amp;"",UTILITIES!$B$3:$B$953&amp;"",UTILITIES!$H$3:$H$953,""),"IOT",_xlfn.XLOOKUP($K26&amp;"",IOT!$B$3:$B$1012&amp;"",IOT!$I$3:$I$1012,""),"SERVER",_xlfn.XLOOKUP($K26&amp;"",SERVER!$B$3:$B$1009&amp;"",SERVER!$I$3:$I$1009,""),""))</f>
        <v>HP ProDesk 4 Mini G1i Desktop AI PC</v>
      </c>
      <c r="M26" t="str" cm="1">
        <f t="array" ref="M26">IF($K26="","",_xlfn.SWITCH($I26,"Computer",_xlfn.XLOOKUP($K26&amp;"",COMPUTER!$B$3:$B$1009&amp;"",COMPUTER!$J$3:$J$1009,""),"Display",_xlfn.XLOOKUP($K26&amp;"",DISPLAY!$B$3:$B$1000&amp;"",DISPLAY!$K$3:$K$1000,""),"Network Device",_xlfn.XLOOKUP($K26&amp;"",'NETWORK-DEVICES'!$B$3:$B$987&amp;"",'NETWORK-DEVICES'!$I$3:$I$987,""),"Peripheral",_xlfn.XLOOKUP($K26&amp;"",PERIPHERAL!$B$3:$B$954&amp;"",PERIPHERAL!$J$3:$J$954,""),"Utilities",_xlfn.XLOOKUP($K26&amp;"",UTILITIES!$B$3:$B$953&amp;"",UTILITIES!$I$3:$I$953,""),"IOT",_xlfn.XLOOKUP($K26&amp;"",IOT!$B$3:$B$1012&amp;"",IOT!$J$3:$J$1012,""),"Server",_xlfn.XLOOKUP($K26&amp;"",SERVER!$B$3:$B$1009&amp;"",SERVER!$J$3:$J$1009,""),""))</f>
        <v>MFF PC</v>
      </c>
      <c r="N26" s="1" t="str" cm="1">
        <f t="array" ref="N26">IF(OR($K26="",$I26="",$J26=""),"",_xlfn.LET(_xlpm.srcCat,_xlfn.SWITCH($I26,"Computer",_xlfn.XLOOKUP($K26&amp;"",COMPUTER!$B$3:$B$1009&amp;"",COMPUTER!$H$3:$H$1009,""),"Display",_xlfn.XLOOKUP($K26&amp;"",DISPLAY!$B$3:$B$1000&amp;"",DISPLAY!$H$3:$H$1000,""),"Network Device",_xlfn.XLOOKUP($K26&amp;"",'NETWORK-DEVICES'!$B$3:$B$987&amp;"",'NETWORK-DEVICES'!$H$3:$H$987,""),"Peripheral",_xlfn.XLOOKUP($K26&amp;"",PERIPHERAL!$B$3:$B$954&amp;"",PERIPHERAL!$H$3:$H$954,""),"Utilities",_xlfn.XLOOKUP($K26&amp;"",UTILITIES!$B$3:$B$953&amp;"",UTILITIES!$G$3:$G$953,""),"IOT",_xlfn.XLOOKUP($K26&amp;"",IOT!$B$3:$B$1012&amp;"",IOT!$H$3:$H$1012,""),"Server",_xlfn.XLOOKUP($K26&amp;"",SERVER!$B$3:$B$1009&amp;"",SERVER!$H$3:$H$1009,""),""),IF(TRIM(_xlpm.srcCat)&lt;&gt;TRIM($J26),"",_xlfn.SWITCH($I26,"Computer",_xlfn.XLOOKUP($K26&amp;"",COMPUTER!$B$3:$B$1009&amp;"",COMPUTER!$K$3:$K$1009,""),"Display",_xlfn.XLOOKUP($K26&amp;"",DISPLAY!$B$3:$B$1000&amp;"",DISPLAY!$L$3:$L$1000,""),"Network Device",_xlfn.XLOOKUP($K26&amp;"",'NETWORK-DEVICES'!$B$3:$B$987&amp;"",'NETWORK-DEVICES'!$K$3:$K$987,""),"Peripheral",_xlfn.XLOOKUP($K26&amp;"",PERIPHERAL!$B$3:$B$954&amp;"",PERIPHERAL!$K$3:$K$954,""),"Utilities",_xlfn.XLOOKUP($K26&amp;"",UTILITIES!$B$3:$B$953&amp;"",UTILITIES!$J$3:$J$953,""),"IOT",_xlfn.XLOOKUP($K26&amp;"",IOT!$B$3:$B$1012&amp;"",IOT!$K$4:$K$1012,""),"Server",_xlfn.XLOOKUP($K26&amp;"",SERVER!$B$3:$B$1009&amp;"",SERVER!$K$3:$K$1009,""),""))))</f>
        <v>8CC6062FS5</v>
      </c>
      <c r="O26" s="1" t="str" cm="1">
        <f t="array" ref="O26">IF(OR($K26="",$I26="",$J26=""),"",_xlfn.LET(_xlpm.srcCat,_xlfn.SWITCH($I26,"Computer",_xlfn.XLOOKUP($K26&amp;"",COMPUTER!$B$3:$B$1009&amp;"",COMPUTER!$H$3:$H$1009,""),"Display",_xlfn.XLOOKUP($K26&amp;"",DISPLAY!$B$3:$B$1000&amp;"",DISPLAY!$H$3:$H$1000,""),"Network Device",_xlfn.XLOOKUP($K26&amp;"",'NETWORK-DEVICES'!$B$3:$B$987&amp;"",'NETWORK-DEVICES'!$H$3:$H$987,""),"Peripheral",_xlfn.XLOOKUP($K26&amp;"",PERIPHERAL!$B$3:$B$954&amp;"",PERIPHERAL!$H$3:$H$954,""),"Utilities",_xlfn.XLOOKUP($K26&amp;"",UTILITIES!$B$3:$B$953&amp;"",UTILITIES!$G$3:$G$953,""),"IOT",_xlfn.XLOOKUP($K26&amp;"",IOT!$B$3:$B$1012&amp;"",IOT!$H$3:$H$1012,""),"Server",_xlfn.XLOOKUP($K26&amp;"",SERVER!$B$3:$B$1009&amp;"",SERVER!$H$3:$H$1009,""),""),IF(TRIM(_xlpm.srcCat)&lt;&gt;TRIM($J26),"",_xlfn.SWITCH($I26,"Computer",_xlfn.XLOOKUP($K26&amp;"",COMPUTER!$B$3:$B$1009&amp;"",COMPUTER!$E$3:$E$1009,""),"Display",_xlfn.XLOOKUP($K26&amp;"",DISPLAY!$B$3:$B$1000&amp;"",DISPLAY!$E$3:$E$1000,""),"Network Device",_xlfn.XLOOKUP($K26&amp;"",'NETWORK-DEVICES'!$B$3:$B$987&amp;"",'NETWORK-DEVICES'!$E$3:$E$987,""),"Peripheral",_xlfn.XLOOKUP($K26&amp;"",PERIPHERAL!$B$3:$B$954&amp;"",PERIPHERAL!$E$3:$E$954,""),"Utilities",_xlfn.XLOOKUP($K26&amp;"",UTILITIES!$B$3:$B$953&amp;"",UTILITIES!$E$3:$E$953,""),"IOT",_xlfn.XLOOKUP($K26&amp;"",IOT!$B$3:$B$1012&amp;"",IOT!$E$3:$E$1012,""),"Server",_xlfn.XLOOKUP($K26&amp;"",SERVER!$B$3:$B$1009&amp;"",SERVER!$E$3:$E$1009,""),""))))</f>
        <v>Patimban</v>
      </c>
      <c r="P26" t="s">
        <v>186</v>
      </c>
      <c r="Q26" s="1" t="str" cm="1">
        <f t="array" ref="Q26">IF(OR($K26="",$I26="",$J26=""),"",_xlfn.LET(_xlpm.srcCat,_xlfn.SWITCH($I26,"Computer",_xlfn.XLOOKUP($K26&amp;"",COMPUTER!$B$3:$B$1009&amp;"",COMPUTER!$H$3:$H$1009,""),"Display",_xlfn.XLOOKUP($K26&amp;"",DISPLAY!$B$3:$B$1000&amp;"",DISPLAY!$H$3:$H$1000,""),"Network Device",_xlfn.XLOOKUP($K26&amp;"",'NETWORK-DEVICES'!$B$3:$B$987&amp;"",'NETWORK-DEVICES'!$H$3:$H$987,""),"Peripheral",_xlfn.XLOOKUP($K26&amp;"",PERIPHERAL!$B$3:$B$954&amp;"",PERIPHERAL!$H$3:$H$954,""),"Utilities",_xlfn.XLOOKUP($K26&amp;"",UTILITIES!$B$3:$B$953&amp;"",UTILITIES!$G$3:$G$953,""),"IOT",_xlfn.XLOOKUP($K26&amp;"",IOT!$B$3:$B$1012&amp;"",IOT!$H$3:$H$1012,""),"Server",_xlfn.XLOOKUP($K26&amp;"",SERVER!$B$3:$B$1009&amp;"",SERVER!$H$3:$H$1009,""),""),IF(TRIM(_xlpm.srcCat)&lt;&gt;TRIM($J26),"",_xlfn.SWITCH($I26,"Computer",_xlfn.XLOOKUP($K26&amp;"",COMPUTER!$B$3:$B$1009&amp;"",COMPUTER!$AM$3:$AM$1009,""),"Display",_xlfn.XLOOKUP($K26&amp;"",DISPLAY!$B$3:$B$1000&amp;"",DISPLAY!$V$3:$V$1000,""),"Network Device",_xlfn.XLOOKUP($K26&amp;"",'NETWORK-DEVICES'!$B$3:$B$987&amp;"",'NETWORK-DEVICES'!$AF$3:$AF$987,""),"Peripheral",_xlfn.XLOOKUP($K26&amp;"",PERIPHERAL!$B$3:$B$954&amp;"",PERIPHERAL!$Y$3:$Y$954,""),"Utilities",_xlfn.XLOOKUP($K26&amp;"",UTILITIES!$B$3:$B$953&amp;"",UTILITIES!$O$3:$O$953,""),"IOT",_xlfn.XLOOKUP($K26&amp;"",IOT!$B$3:$B$1012&amp;"",IOT!$AB$3:$AB$1012,""),"Server",_xlfn.XLOOKUP($K26&amp;"",SERVER!$B$3:$B$1009&amp;"",SERVER!$AB$3:$AB$1009,""),""))))</f>
        <v>New</v>
      </c>
      <c r="R26" s="43">
        <f>IF(tbl_handover[[#This Row],[Asset Code]]="","",COUNTIF(tbl_handover[Asset Code],tbl_handover[[#This Row],[Asset Code]]))</f>
        <v>1</v>
      </c>
      <c r="S26" s="1" t="s">
        <v>1131</v>
      </c>
      <c r="U26" s="60" t="b">
        <v>0</v>
      </c>
    </row>
    <row r="27" spans="1:21" x14ac:dyDescent="0.25">
      <c r="A27" s="43">
        <f>IF(B27&lt;&gt;"",SUBTOTAL(3,$B$1:B26),"")</f>
        <v>26</v>
      </c>
      <c r="B27" t="s">
        <v>1180</v>
      </c>
      <c r="C27" s="74">
        <v>46276</v>
      </c>
      <c r="D27" s="74"/>
      <c r="E27" t="s">
        <v>1181</v>
      </c>
      <c r="F27" s="13" t="s">
        <v>104</v>
      </c>
      <c r="G27" s="1" t="s">
        <v>1177</v>
      </c>
      <c r="H27" t="s">
        <v>1147</v>
      </c>
      <c r="I27" s="1" t="s">
        <v>76</v>
      </c>
      <c r="J27" s="1" t="s">
        <v>77</v>
      </c>
      <c r="K27" s="42" t="s">
        <v>1182</v>
      </c>
      <c r="L27" t="str" cm="1">
        <f t="array" ref="L27">IF($K27="","",_xlfn.SWITCH($I27,"Computer",_xlfn.XLOOKUP($K27&amp;"",COMPUTER!$B$3:$B$1009&amp;"",COMPUTER!$I$3:$I$1009,""),"Display",_xlfn.XLOOKUP($K27&amp;"",DISPLAY!$B$3:$B$1000&amp;"",DISPLAY!$J$3:$J$1000,""),"Network Device",_xlfn.XLOOKUP($K27&amp;"",'NETWORK-DEVICES'!$B$3:$B$987&amp;"",'NETWORK-DEVICES'!$I$3:$I$987,""),"Peripheral",_xlfn.XLOOKUP($K27&amp;"",PERIPHERAL!$B$3:$B$954&amp;"",PERIPHERAL!$I$3:$I$954,""),"Utilities",_xlfn.XLOOKUP($K27&amp;"",UTILITIES!$B$3:$B$953&amp;"",UTILITIES!$H$3:$H$953,""),"IOT",_xlfn.XLOOKUP($K27&amp;"",IOT!$B$3:$B$1012&amp;"",IOT!$I$3:$I$1012,""),"SERVER",_xlfn.XLOOKUP($K27&amp;"",SERVER!$B$3:$B$1009&amp;"",SERVER!$I$3:$I$1009,""),""))</f>
        <v>Mini PC Dell Pro Micro QCM1250</v>
      </c>
      <c r="M27" t="str" cm="1">
        <f t="array" ref="M27">IF($K27="","",_xlfn.SWITCH($I27,"Computer",_xlfn.XLOOKUP($K27&amp;"",COMPUTER!$B$3:$B$1009&amp;"",COMPUTER!$J$3:$J$1009,""),"Display",_xlfn.XLOOKUP($K27&amp;"",DISPLAY!$B$3:$B$1000&amp;"",DISPLAY!$K$3:$K$1000,""),"Network Device",_xlfn.XLOOKUP($K27&amp;"",'NETWORK-DEVICES'!$B$3:$B$987&amp;"",'NETWORK-DEVICES'!$I$3:$I$987,""),"Peripheral",_xlfn.XLOOKUP($K27&amp;"",PERIPHERAL!$B$3:$B$954&amp;"",PERIPHERAL!$J$3:$J$954,""),"Utilities",_xlfn.XLOOKUP($K27&amp;"",UTILITIES!$B$3:$B$953&amp;"",UTILITIES!$I$3:$I$953,""),"IOT",_xlfn.XLOOKUP($K27&amp;"",IOT!$B$3:$B$1012&amp;"",IOT!$J$3:$J$1012,""),"Server",_xlfn.XLOOKUP($K27&amp;"",SERVER!$B$3:$B$1009&amp;"",SERVER!$J$3:$J$1009,""),""))</f>
        <v>MFF PC</v>
      </c>
      <c r="N27" s="1" t="str" cm="1">
        <f t="array" ref="N27">IF(OR($K27="",$I27="",$J27=""),"",_xlfn.LET(_xlpm.srcCat,_xlfn.SWITCH($I27,"Computer",_xlfn.XLOOKUP($K27&amp;"",COMPUTER!$B$3:$B$1009&amp;"",COMPUTER!$H$3:$H$1009,""),"Display",_xlfn.XLOOKUP($K27&amp;"",DISPLAY!$B$3:$B$1000&amp;"",DISPLAY!$H$3:$H$1000,""),"Network Device",_xlfn.XLOOKUP($K27&amp;"",'NETWORK-DEVICES'!$B$3:$B$987&amp;"",'NETWORK-DEVICES'!$H$3:$H$987,""),"Peripheral",_xlfn.XLOOKUP($K27&amp;"",PERIPHERAL!$B$3:$B$954&amp;"",PERIPHERAL!$H$3:$H$954,""),"Utilities",_xlfn.XLOOKUP($K27&amp;"",UTILITIES!$B$3:$B$953&amp;"",UTILITIES!$G$3:$G$953,""),"IOT",_xlfn.XLOOKUP($K27&amp;"",IOT!$B$3:$B$1012&amp;"",IOT!$H$3:$H$1012,""),"Server",_xlfn.XLOOKUP($K27&amp;"",SERVER!$B$3:$B$1009&amp;"",SERVER!$H$3:$H$1009,""),""),IF(TRIM(_xlpm.srcCat)&lt;&gt;TRIM($J27),"",_xlfn.SWITCH($I27,"Computer",_xlfn.XLOOKUP($K27&amp;"",COMPUTER!$B$3:$B$1009&amp;"",COMPUTER!$K$3:$K$1009,""),"Display",_xlfn.XLOOKUP($K27&amp;"",DISPLAY!$B$3:$B$1000&amp;"",DISPLAY!$L$3:$L$1000,""),"Network Device",_xlfn.XLOOKUP($K27&amp;"",'NETWORK-DEVICES'!$B$3:$B$987&amp;"",'NETWORK-DEVICES'!$K$3:$K$987,""),"Peripheral",_xlfn.XLOOKUP($K27&amp;"",PERIPHERAL!$B$3:$B$954&amp;"",PERIPHERAL!$K$3:$K$954,""),"Utilities",_xlfn.XLOOKUP($K27&amp;"",UTILITIES!$B$3:$B$953&amp;"",UTILITIES!$J$3:$J$953,""),"IOT",_xlfn.XLOOKUP($K27&amp;"",IOT!$B$3:$B$1012&amp;"",IOT!$K$4:$K$1012,""),"Server",_xlfn.XLOOKUP($K27&amp;"",SERVER!$B$3:$B$1009&amp;"",SERVER!$K$3:$K$1009,""),""))))</f>
        <v>BMYZHC4</v>
      </c>
      <c r="O27" s="1" t="str" cm="1">
        <f t="array" ref="O27">IF(OR($K27="",$I27="",$J27=""),"",_xlfn.LET(_xlpm.srcCat,_xlfn.SWITCH($I27,"Computer",_xlfn.XLOOKUP($K27&amp;"",COMPUTER!$B$3:$B$1009&amp;"",COMPUTER!$H$3:$H$1009,""),"Display",_xlfn.XLOOKUP($K27&amp;"",DISPLAY!$B$3:$B$1000&amp;"",DISPLAY!$H$3:$H$1000,""),"Network Device",_xlfn.XLOOKUP($K27&amp;"",'NETWORK-DEVICES'!$B$3:$B$987&amp;"",'NETWORK-DEVICES'!$H$3:$H$987,""),"Peripheral",_xlfn.XLOOKUP($K27&amp;"",PERIPHERAL!$B$3:$B$954&amp;"",PERIPHERAL!$H$3:$H$954,""),"Utilities",_xlfn.XLOOKUP($K27&amp;"",UTILITIES!$B$3:$B$953&amp;"",UTILITIES!$G$3:$G$953,""),"IOT",_xlfn.XLOOKUP($K27&amp;"",IOT!$B$3:$B$1012&amp;"",IOT!$H$3:$H$1012,""),"Server",_xlfn.XLOOKUP($K27&amp;"",SERVER!$B$3:$B$1009&amp;"",SERVER!$H$3:$H$1009,""),""),IF(TRIM(_xlpm.srcCat)&lt;&gt;TRIM($J27),"",_xlfn.SWITCH($I27,"Computer",_xlfn.XLOOKUP($K27&amp;"",COMPUTER!$B$3:$B$1009&amp;"",COMPUTER!$E$3:$E$1009,""),"Display",_xlfn.XLOOKUP($K27&amp;"",DISPLAY!$B$3:$B$1000&amp;"",DISPLAY!$E$3:$E$1000,""),"Network Device",_xlfn.XLOOKUP($K27&amp;"",'NETWORK-DEVICES'!$B$3:$B$987&amp;"",'NETWORK-DEVICES'!$E$3:$E$987,""),"Peripheral",_xlfn.XLOOKUP($K27&amp;"",PERIPHERAL!$B$3:$B$954&amp;"",PERIPHERAL!$E$3:$E$954,""),"Utilities",_xlfn.XLOOKUP($K27&amp;"",UTILITIES!$B$3:$B$953&amp;"",UTILITIES!$E$3:$E$953,""),"IOT",_xlfn.XLOOKUP($K27&amp;"",IOT!$B$3:$B$1012&amp;"",IOT!$E$3:$E$1012,""),"Server",_xlfn.XLOOKUP($K27&amp;"",SERVER!$B$3:$B$1009&amp;"",SERVER!$E$3:$E$1009,""),""))))</f>
        <v>Patimban</v>
      </c>
      <c r="P27" t="s">
        <v>371</v>
      </c>
      <c r="Q27" s="1" t="str" cm="1">
        <f t="array" ref="Q27">IF(OR($K27="",$I27="",$J27=""),"",_xlfn.LET(_xlpm.srcCat,_xlfn.SWITCH($I27,"Computer",_xlfn.XLOOKUP($K27&amp;"",COMPUTER!$B$3:$B$1009&amp;"",COMPUTER!$H$3:$H$1009,""),"Display",_xlfn.XLOOKUP($K27&amp;"",DISPLAY!$B$3:$B$1000&amp;"",DISPLAY!$H$3:$H$1000,""),"Network Device",_xlfn.XLOOKUP($K27&amp;"",'NETWORK-DEVICES'!$B$3:$B$987&amp;"",'NETWORK-DEVICES'!$H$3:$H$987,""),"Peripheral",_xlfn.XLOOKUP($K27&amp;"",PERIPHERAL!$B$3:$B$954&amp;"",PERIPHERAL!$H$3:$H$954,""),"Utilities",_xlfn.XLOOKUP($K27&amp;"",UTILITIES!$B$3:$B$953&amp;"",UTILITIES!$G$3:$G$953,""),"IOT",_xlfn.XLOOKUP($K27&amp;"",IOT!$B$3:$B$1012&amp;"",IOT!$H$3:$H$1012,""),"Server",_xlfn.XLOOKUP($K27&amp;"",SERVER!$B$3:$B$1009&amp;"",SERVER!$H$3:$H$1009,""),""),IF(TRIM(_xlpm.srcCat)&lt;&gt;TRIM($J27),"",_xlfn.SWITCH($I27,"Computer",_xlfn.XLOOKUP($K27&amp;"",COMPUTER!$B$3:$B$1009&amp;"",COMPUTER!$AM$3:$AM$1009,""),"Display",_xlfn.XLOOKUP($K27&amp;"",DISPLAY!$B$3:$B$1000&amp;"",DISPLAY!$V$3:$V$1000,""),"Network Device",_xlfn.XLOOKUP($K27&amp;"",'NETWORK-DEVICES'!$B$3:$B$987&amp;"",'NETWORK-DEVICES'!$AF$3:$AF$987,""),"Peripheral",_xlfn.XLOOKUP($K27&amp;"",PERIPHERAL!$B$3:$B$954&amp;"",PERIPHERAL!$Y$3:$Y$954,""),"Utilities",_xlfn.XLOOKUP($K27&amp;"",UTILITIES!$B$3:$B$953&amp;"",UTILITIES!$O$3:$O$953,""),"IOT",_xlfn.XLOOKUP($K27&amp;"",IOT!$B$3:$B$1012&amp;"",IOT!$AB$3:$AB$1012,""),"Server",_xlfn.XLOOKUP($K27&amp;"",SERVER!$B$3:$B$1009&amp;"",SERVER!$AB$3:$AB$1009,""),""))))</f>
        <v>Good</v>
      </c>
      <c r="R27" s="43">
        <f>IF(tbl_handover[[#This Row],[Asset Code]]="","",COUNTIF(tbl_handover[Asset Code],tbl_handover[[#This Row],[Asset Code]]))</f>
        <v>1</v>
      </c>
      <c r="S27" s="1" t="s">
        <v>1131</v>
      </c>
      <c r="U27" s="60" t="b">
        <v>1</v>
      </c>
    </row>
    <row r="28" spans="1:21" x14ac:dyDescent="0.25">
      <c r="A28" s="43">
        <f>IF(B28&lt;&gt;"",SUBTOTAL(3,$B$1:B27),"")</f>
        <v>27</v>
      </c>
      <c r="B28" t="s">
        <v>1180</v>
      </c>
      <c r="C28" s="74">
        <v>46276</v>
      </c>
      <c r="D28" s="74"/>
      <c r="E28" t="s">
        <v>1181</v>
      </c>
      <c r="F28" s="13" t="s">
        <v>104</v>
      </c>
      <c r="G28" s="1" t="s">
        <v>1177</v>
      </c>
      <c r="H28" t="s">
        <v>1147</v>
      </c>
      <c r="I28" s="1" t="s">
        <v>695</v>
      </c>
      <c r="J28" s="1" t="s">
        <v>745</v>
      </c>
      <c r="K28" s="42" t="s">
        <v>1183</v>
      </c>
      <c r="L28" t="str" cm="1">
        <f t="array" ref="L28">IF($K28="","",_xlfn.SWITCH($I28,"Computer",_xlfn.XLOOKUP($K28&amp;"",COMPUTER!$B$3:$B$1009&amp;"",COMPUTER!$I$3:$I$1009,""),"Display",_xlfn.XLOOKUP($K28&amp;"",DISPLAY!$B$3:$B$1000&amp;"",DISPLAY!$J$3:$J$1000,""),"Network Device",_xlfn.XLOOKUP($K28&amp;"",'NETWORK-DEVICES'!$B$3:$B$987&amp;"",'NETWORK-DEVICES'!$I$3:$I$987,""),"Peripheral",_xlfn.XLOOKUP($K28&amp;"",PERIPHERAL!$B$3:$B$954&amp;"",PERIPHERAL!$I$3:$I$954,""),"Utilities",_xlfn.XLOOKUP($K28&amp;"",UTILITIES!$B$3:$B$953&amp;"",UTILITIES!$H$3:$H$953,""),"IOT",_xlfn.XLOOKUP($K28&amp;"",IOT!$B$3:$B$1012&amp;"",IOT!$I$3:$I$1012,""),"SERVER",_xlfn.XLOOKUP($K28&amp;"",SERVER!$B$3:$B$1009&amp;"",SERVER!$I$3:$I$1009,""),""))</f>
        <v>USB Heaset Stereo H570E Logitech</v>
      </c>
      <c r="M28" t="str" cm="1">
        <f t="array" ref="M28">IF($K28="","",_xlfn.SWITCH($I28,"Computer",_xlfn.XLOOKUP($K28&amp;"",COMPUTER!$B$3:$B$1009&amp;"",COMPUTER!$J$3:$J$1009,""),"Display",_xlfn.XLOOKUP($K28&amp;"",DISPLAY!$B$3:$B$1000&amp;"",DISPLAY!$K$3:$K$1000,""),"Network Device",_xlfn.XLOOKUP($K28&amp;"",'NETWORK-DEVICES'!$B$3:$B$987&amp;"",'NETWORK-DEVICES'!$I$3:$I$987,""),"Peripheral",_xlfn.XLOOKUP($K28&amp;"",PERIPHERAL!$B$3:$B$954&amp;"",PERIPHERAL!$J$3:$J$954,""),"Utilities",_xlfn.XLOOKUP($K28&amp;"",UTILITIES!$B$3:$B$953&amp;"",UTILITIES!$I$3:$I$953,""),"IOT",_xlfn.XLOOKUP($K28&amp;"",IOT!$B$3:$B$1012&amp;"",IOT!$J$3:$J$1012,""),"Server",_xlfn.XLOOKUP($K28&amp;"",SERVER!$B$3:$B$1009&amp;"",SERVER!$J$3:$J$1009,""),""))</f>
        <v>Headset USB</v>
      </c>
      <c r="N28" s="1" t="str" cm="1">
        <f t="array" ref="N28">IF(OR($K28="",$I28="",$J28=""),"",_xlfn.LET(_xlpm.srcCat,_xlfn.SWITCH($I28,"Computer",_xlfn.XLOOKUP($K28&amp;"",COMPUTER!$B$3:$B$1009&amp;"",COMPUTER!$H$3:$H$1009,""),"Display",_xlfn.XLOOKUP($K28&amp;"",DISPLAY!$B$3:$B$1000&amp;"",DISPLAY!$H$3:$H$1000,""),"Network Device",_xlfn.XLOOKUP($K28&amp;"",'NETWORK-DEVICES'!$B$3:$B$987&amp;"",'NETWORK-DEVICES'!$H$3:$H$987,""),"Peripheral",_xlfn.XLOOKUP($K28&amp;"",PERIPHERAL!$B$3:$B$954&amp;"",PERIPHERAL!$H$3:$H$954,""),"Utilities",_xlfn.XLOOKUP($K28&amp;"",UTILITIES!$B$3:$B$953&amp;"",UTILITIES!$G$3:$G$953,""),"IOT",_xlfn.XLOOKUP($K28&amp;"",IOT!$B$3:$B$1012&amp;"",IOT!$H$3:$H$1012,""),"Server",_xlfn.XLOOKUP($K28&amp;"",SERVER!$B$3:$B$1009&amp;"",SERVER!$H$3:$H$1009,""),""),IF(TRIM(_xlpm.srcCat)&lt;&gt;TRIM($J28),"",_xlfn.SWITCH($I28,"Computer",_xlfn.XLOOKUP($K28&amp;"",COMPUTER!$B$3:$B$1009&amp;"",COMPUTER!$K$3:$K$1009,""),"Display",_xlfn.XLOOKUP($K28&amp;"",DISPLAY!$B$3:$B$1000&amp;"",DISPLAY!$L$3:$L$1000,""),"Network Device",_xlfn.XLOOKUP($K28&amp;"",'NETWORK-DEVICES'!$B$3:$B$987&amp;"",'NETWORK-DEVICES'!$K$3:$K$987,""),"Peripheral",_xlfn.XLOOKUP($K28&amp;"",PERIPHERAL!$B$3:$B$954&amp;"",PERIPHERAL!$K$3:$K$954,""),"Utilities",_xlfn.XLOOKUP($K28&amp;"",UTILITIES!$B$3:$B$953&amp;"",UTILITIES!$J$3:$J$953,""),"IOT",_xlfn.XLOOKUP($K28&amp;"",IOT!$B$3:$B$1012&amp;"",IOT!$K$4:$K$1012,""),"Server",_xlfn.XLOOKUP($K28&amp;"",SERVER!$B$3:$B$1009&amp;"",SERVER!$K$3:$K$1009,""),""))))</f>
        <v>2538MEG3B7F8</v>
      </c>
      <c r="O28" s="1" t="str" cm="1">
        <f t="array" ref="O28">IF(OR($K28="",$I28="",$J28=""),"",_xlfn.LET(_xlpm.srcCat,_xlfn.SWITCH($I28,"Computer",_xlfn.XLOOKUP($K28&amp;"",COMPUTER!$B$3:$B$1009&amp;"",COMPUTER!$H$3:$H$1009,""),"Display",_xlfn.XLOOKUP($K28&amp;"",DISPLAY!$B$3:$B$1000&amp;"",DISPLAY!$H$3:$H$1000,""),"Network Device",_xlfn.XLOOKUP($K28&amp;"",'NETWORK-DEVICES'!$B$3:$B$987&amp;"",'NETWORK-DEVICES'!$H$3:$H$987,""),"Peripheral",_xlfn.XLOOKUP($K28&amp;"",PERIPHERAL!$B$3:$B$954&amp;"",PERIPHERAL!$H$3:$H$954,""),"Utilities",_xlfn.XLOOKUP($K28&amp;"",UTILITIES!$B$3:$B$953&amp;"",UTILITIES!$G$3:$G$953,""),"IOT",_xlfn.XLOOKUP($K28&amp;"",IOT!$B$3:$B$1012&amp;"",IOT!$H$3:$H$1012,""),"Server",_xlfn.XLOOKUP($K28&amp;"",SERVER!$B$3:$B$1009&amp;"",SERVER!$H$3:$H$1009,""),""),IF(TRIM(_xlpm.srcCat)&lt;&gt;TRIM($J28),"",_xlfn.SWITCH($I28,"Computer",_xlfn.XLOOKUP($K28&amp;"",COMPUTER!$B$3:$B$1009&amp;"",COMPUTER!$E$3:$E$1009,""),"Display",_xlfn.XLOOKUP($K28&amp;"",DISPLAY!$B$3:$B$1000&amp;"",DISPLAY!$E$3:$E$1000,""),"Network Device",_xlfn.XLOOKUP($K28&amp;"",'NETWORK-DEVICES'!$B$3:$B$987&amp;"",'NETWORK-DEVICES'!$E$3:$E$987,""),"Peripheral",_xlfn.XLOOKUP($K28&amp;"",PERIPHERAL!$B$3:$B$954&amp;"",PERIPHERAL!$E$3:$E$954,""),"Utilities",_xlfn.XLOOKUP($K28&amp;"",UTILITIES!$B$3:$B$953&amp;"",UTILITIES!$E$3:$E$953,""),"IOT",_xlfn.XLOOKUP($K28&amp;"",IOT!$B$3:$B$1012&amp;"",IOT!$E$3:$E$1012,""),"Server",_xlfn.XLOOKUP($K28&amp;"",SERVER!$B$3:$B$1009&amp;"",SERVER!$E$3:$E$1009,""),""))))</f>
        <v>Patimban</v>
      </c>
      <c r="P28" t="s">
        <v>203</v>
      </c>
      <c r="Q28" s="1" t="str" cm="1">
        <f t="array" ref="Q28">IF(OR($K28="",$I28="",$J28=""),"",_xlfn.LET(_xlpm.srcCat,_xlfn.SWITCH($I28,"Computer",_xlfn.XLOOKUP($K28&amp;"",COMPUTER!$B$3:$B$1009&amp;"",COMPUTER!$H$3:$H$1009,""),"Display",_xlfn.XLOOKUP($K28&amp;"",DISPLAY!$B$3:$B$1000&amp;"",DISPLAY!$H$3:$H$1000,""),"Network Device",_xlfn.XLOOKUP($K28&amp;"",'NETWORK-DEVICES'!$B$3:$B$987&amp;"",'NETWORK-DEVICES'!$H$3:$H$987,""),"Peripheral",_xlfn.XLOOKUP($K28&amp;"",PERIPHERAL!$B$3:$B$954&amp;"",PERIPHERAL!$H$3:$H$954,""),"Utilities",_xlfn.XLOOKUP($K28&amp;"",UTILITIES!$B$3:$B$953&amp;"",UTILITIES!$G$3:$G$953,""),"IOT",_xlfn.XLOOKUP($K28&amp;"",IOT!$B$3:$B$1012&amp;"",IOT!$H$3:$H$1012,""),"Server",_xlfn.XLOOKUP($K28&amp;"",SERVER!$B$3:$B$1009&amp;"",SERVER!$H$3:$H$1009,""),""),IF(TRIM(_xlpm.srcCat)&lt;&gt;TRIM($J28),"",_xlfn.SWITCH($I28,"Computer",_xlfn.XLOOKUP($K28&amp;"",COMPUTER!$B$3:$B$1009&amp;"",COMPUTER!$AM$3:$AM$1009,""),"Display",_xlfn.XLOOKUP($K28&amp;"",DISPLAY!$B$3:$B$1000&amp;"",DISPLAY!$V$3:$V$1000,""),"Network Device",_xlfn.XLOOKUP($K28&amp;"",'NETWORK-DEVICES'!$B$3:$B$987&amp;"",'NETWORK-DEVICES'!$AF$3:$AF$987,""),"Peripheral",_xlfn.XLOOKUP($K28&amp;"",PERIPHERAL!$B$3:$B$954&amp;"",PERIPHERAL!$Y$3:$Y$954,""),"Utilities",_xlfn.XLOOKUP($K28&amp;"",UTILITIES!$B$3:$B$953&amp;"",UTILITIES!$O$3:$O$953,""),"IOT",_xlfn.XLOOKUP($K28&amp;"",IOT!$B$3:$B$1012&amp;"",IOT!$AB$3:$AB$1012,""),"Server",_xlfn.XLOOKUP($K28&amp;"",SERVER!$B$3:$B$1009&amp;"",SERVER!$AB$3:$AB$1009,""),""))))</f>
        <v>New</v>
      </c>
      <c r="R28" s="43">
        <f>IF(tbl_handover[[#This Row],[Asset Code]]="","",COUNTIF(tbl_handover[Asset Code],tbl_handover[[#This Row],[Asset Code]]))</f>
        <v>1</v>
      </c>
      <c r="S28" s="1" t="s">
        <v>1160</v>
      </c>
      <c r="U28" s="60" t="b">
        <v>1</v>
      </c>
    </row>
    <row r="29" spans="1:21" x14ac:dyDescent="0.25">
      <c r="A29" s="43">
        <f>IF(B29&lt;&gt;"",SUBTOTAL(3,$B$1:B28),"")</f>
        <v>28</v>
      </c>
      <c r="B29" t="s">
        <v>1180</v>
      </c>
      <c r="C29" s="74">
        <v>46276</v>
      </c>
      <c r="D29" s="74"/>
      <c r="E29" t="s">
        <v>1181</v>
      </c>
      <c r="F29" s="13" t="s">
        <v>104</v>
      </c>
      <c r="G29" s="1" t="s">
        <v>1177</v>
      </c>
      <c r="H29" t="s">
        <v>1147</v>
      </c>
      <c r="I29" s="1" t="s">
        <v>76</v>
      </c>
      <c r="J29" s="1" t="s">
        <v>77</v>
      </c>
      <c r="K29" s="42" t="s">
        <v>1184</v>
      </c>
      <c r="L29" t="str" cm="1">
        <f t="array" ref="L29">IF($K29="","",_xlfn.SWITCH($I29,"Computer",_xlfn.XLOOKUP($K29&amp;"",COMPUTER!$B$3:$B$1009&amp;"",COMPUTER!$I$3:$I$1009,""),"Display",_xlfn.XLOOKUP($K29&amp;"",DISPLAY!$B$3:$B$1000&amp;"",DISPLAY!$J$3:$J$1000,""),"Network Device",_xlfn.XLOOKUP($K29&amp;"",'NETWORK-DEVICES'!$B$3:$B$987&amp;"",'NETWORK-DEVICES'!$I$3:$I$987,""),"Peripheral",_xlfn.XLOOKUP($K29&amp;"",PERIPHERAL!$B$3:$B$954&amp;"",PERIPHERAL!$I$3:$I$954,""),"Utilities",_xlfn.XLOOKUP($K29&amp;"",UTILITIES!$B$3:$B$953&amp;"",UTILITIES!$H$3:$H$953,""),"IOT",_xlfn.XLOOKUP($K29&amp;"",IOT!$B$3:$B$1012&amp;"",IOT!$I$3:$I$1012,""),"SERVER",_xlfn.XLOOKUP($K29&amp;"",SERVER!$B$3:$B$1009&amp;"",SERVER!$I$3:$I$1009,""),""))</f>
        <v>HP Pro Mini PC 400 G9</v>
      </c>
      <c r="M29" t="str" cm="1">
        <f t="array" ref="M29">IF($K29="","",_xlfn.SWITCH($I29,"Computer",_xlfn.XLOOKUP($K29&amp;"",COMPUTER!$B$3:$B$1009&amp;"",COMPUTER!$J$3:$J$1009,""),"Display",_xlfn.XLOOKUP($K29&amp;"",DISPLAY!$B$3:$B$1000&amp;"",DISPLAY!$K$3:$K$1000,""),"Network Device",_xlfn.XLOOKUP($K29&amp;"",'NETWORK-DEVICES'!$B$3:$B$987&amp;"",'NETWORK-DEVICES'!$I$3:$I$987,""),"Peripheral",_xlfn.XLOOKUP($K29&amp;"",PERIPHERAL!$B$3:$B$954&amp;"",PERIPHERAL!$J$3:$J$954,""),"Utilities",_xlfn.XLOOKUP($K29&amp;"",UTILITIES!$B$3:$B$953&amp;"",UTILITIES!$I$3:$I$953,""),"IOT",_xlfn.XLOOKUP($K29&amp;"",IOT!$B$3:$B$1012&amp;"",IOT!$J$3:$J$1012,""),"Server",_xlfn.XLOOKUP($K29&amp;"",SERVER!$B$3:$B$1009&amp;"",SERVER!$J$3:$J$1009,""),""))</f>
        <v>MFF PC</v>
      </c>
      <c r="N29" s="1" t="str" cm="1">
        <f t="array" ref="N29">IF(OR($K29="",$I29="",$J29=""),"",_xlfn.LET(_xlpm.srcCat,_xlfn.SWITCH($I29,"Computer",_xlfn.XLOOKUP($K29&amp;"",COMPUTER!$B$3:$B$1009&amp;"",COMPUTER!$H$3:$H$1009,""),"Display",_xlfn.XLOOKUP($K29&amp;"",DISPLAY!$B$3:$B$1000&amp;"",DISPLAY!$H$3:$H$1000,""),"Network Device",_xlfn.XLOOKUP($K29&amp;"",'NETWORK-DEVICES'!$B$3:$B$987&amp;"",'NETWORK-DEVICES'!$H$3:$H$987,""),"Peripheral",_xlfn.XLOOKUP($K29&amp;"",PERIPHERAL!$B$3:$B$954&amp;"",PERIPHERAL!$H$3:$H$954,""),"Utilities",_xlfn.XLOOKUP($K29&amp;"",UTILITIES!$B$3:$B$953&amp;"",UTILITIES!$G$3:$G$953,""),"IOT",_xlfn.XLOOKUP($K29&amp;"",IOT!$B$3:$B$1012&amp;"",IOT!$H$3:$H$1012,""),"Server",_xlfn.XLOOKUP($K29&amp;"",SERVER!$B$3:$B$1009&amp;"",SERVER!$H$3:$H$1009,""),""),IF(TRIM(_xlpm.srcCat)&lt;&gt;TRIM($J29),"",_xlfn.SWITCH($I29,"Computer",_xlfn.XLOOKUP($K29&amp;"",COMPUTER!$B$3:$B$1009&amp;"",COMPUTER!$K$3:$K$1009,""),"Display",_xlfn.XLOOKUP($K29&amp;"",DISPLAY!$B$3:$B$1000&amp;"",DISPLAY!$L$3:$L$1000,""),"Network Device",_xlfn.XLOOKUP($K29&amp;"",'NETWORK-DEVICES'!$B$3:$B$987&amp;"",'NETWORK-DEVICES'!$K$3:$K$987,""),"Peripheral",_xlfn.XLOOKUP($K29&amp;"",PERIPHERAL!$B$3:$B$954&amp;"",PERIPHERAL!$K$3:$K$954,""),"Utilities",_xlfn.XLOOKUP($K29&amp;"",UTILITIES!$B$3:$B$953&amp;"",UTILITIES!$J$3:$J$953,""),"IOT",_xlfn.XLOOKUP($K29&amp;"",IOT!$B$3:$B$1012&amp;"",IOT!$K$4:$K$1012,""),"Server",_xlfn.XLOOKUP($K29&amp;"",SERVER!$B$3:$B$1009&amp;"",SERVER!$K$3:$K$1009,""),""))))</f>
        <v>8CC6090X4V</v>
      </c>
      <c r="O29" s="1" t="str" cm="1">
        <f t="array" ref="O29">IF(OR($K29="",$I29="",$J29=""),"",_xlfn.LET(_xlpm.srcCat,_xlfn.SWITCH($I29,"Computer",_xlfn.XLOOKUP($K29&amp;"",COMPUTER!$B$3:$B$1009&amp;"",COMPUTER!$H$3:$H$1009,""),"Display",_xlfn.XLOOKUP($K29&amp;"",DISPLAY!$B$3:$B$1000&amp;"",DISPLAY!$H$3:$H$1000,""),"Network Device",_xlfn.XLOOKUP($K29&amp;"",'NETWORK-DEVICES'!$B$3:$B$987&amp;"",'NETWORK-DEVICES'!$H$3:$H$987,""),"Peripheral",_xlfn.XLOOKUP($K29&amp;"",PERIPHERAL!$B$3:$B$954&amp;"",PERIPHERAL!$H$3:$H$954,""),"Utilities",_xlfn.XLOOKUP($K29&amp;"",UTILITIES!$B$3:$B$953&amp;"",UTILITIES!$G$3:$G$953,""),"IOT",_xlfn.XLOOKUP($K29&amp;"",IOT!$B$3:$B$1012&amp;"",IOT!$H$3:$H$1012,""),"Server",_xlfn.XLOOKUP($K29&amp;"",SERVER!$B$3:$B$1009&amp;"",SERVER!$H$3:$H$1009,""),""),IF(TRIM(_xlpm.srcCat)&lt;&gt;TRIM($J29),"",_xlfn.SWITCH($I29,"Computer",_xlfn.XLOOKUP($K29&amp;"",COMPUTER!$B$3:$B$1009&amp;"",COMPUTER!$E$3:$E$1009,""),"Display",_xlfn.XLOOKUP($K29&amp;"",DISPLAY!$B$3:$B$1000&amp;"",DISPLAY!$E$3:$E$1000,""),"Network Device",_xlfn.XLOOKUP($K29&amp;"",'NETWORK-DEVICES'!$B$3:$B$987&amp;"",'NETWORK-DEVICES'!$E$3:$E$987,""),"Peripheral",_xlfn.XLOOKUP($K29&amp;"",PERIPHERAL!$B$3:$B$954&amp;"",PERIPHERAL!$E$3:$E$954,""),"Utilities",_xlfn.XLOOKUP($K29&amp;"",UTILITIES!$B$3:$B$953&amp;"",UTILITIES!$E$3:$E$953,""),"IOT",_xlfn.XLOOKUP($K29&amp;"",IOT!$B$3:$B$1012&amp;"",IOT!$E$3:$E$1012,""),"Server",_xlfn.XLOOKUP($K29&amp;"",SERVER!$B$3:$B$1009&amp;"",SERVER!$E$3:$E$1009,""),""))))</f>
        <v>Patimban</v>
      </c>
      <c r="P29" t="s">
        <v>203</v>
      </c>
      <c r="Q29" s="1" t="str" cm="1">
        <f t="array" ref="Q29">IF(OR($K29="",$I29="",$J29=""),"",_xlfn.LET(_xlpm.srcCat,_xlfn.SWITCH($I29,"Computer",_xlfn.XLOOKUP($K29&amp;"",COMPUTER!$B$3:$B$1009&amp;"",COMPUTER!$H$3:$H$1009,""),"Display",_xlfn.XLOOKUP($K29&amp;"",DISPLAY!$B$3:$B$1000&amp;"",DISPLAY!$H$3:$H$1000,""),"Network Device",_xlfn.XLOOKUP($K29&amp;"",'NETWORK-DEVICES'!$B$3:$B$987&amp;"",'NETWORK-DEVICES'!$H$3:$H$987,""),"Peripheral",_xlfn.XLOOKUP($K29&amp;"",PERIPHERAL!$B$3:$B$954&amp;"",PERIPHERAL!$H$3:$H$954,""),"Utilities",_xlfn.XLOOKUP($K29&amp;"",UTILITIES!$B$3:$B$953&amp;"",UTILITIES!$G$3:$G$953,""),"IOT",_xlfn.XLOOKUP($K29&amp;"",IOT!$B$3:$B$1012&amp;"",IOT!$H$3:$H$1012,""),"Server",_xlfn.XLOOKUP($K29&amp;"",SERVER!$B$3:$B$1009&amp;"",SERVER!$H$3:$H$1009,""),""),IF(TRIM(_xlpm.srcCat)&lt;&gt;TRIM($J29),"",_xlfn.SWITCH($I29,"Computer",_xlfn.XLOOKUP($K29&amp;"",COMPUTER!$B$3:$B$1009&amp;"",COMPUTER!$AM$3:$AM$1009,""),"Display",_xlfn.XLOOKUP($K29&amp;"",DISPLAY!$B$3:$B$1000&amp;"",DISPLAY!$V$3:$V$1000,""),"Network Device",_xlfn.XLOOKUP($K29&amp;"",'NETWORK-DEVICES'!$B$3:$B$987&amp;"",'NETWORK-DEVICES'!$AF$3:$AF$987,""),"Peripheral",_xlfn.XLOOKUP($K29&amp;"",PERIPHERAL!$B$3:$B$954&amp;"",PERIPHERAL!$Y$3:$Y$954,""),"Utilities",_xlfn.XLOOKUP($K29&amp;"",UTILITIES!$B$3:$B$953&amp;"",UTILITIES!$O$3:$O$953,""),"IOT",_xlfn.XLOOKUP($K29&amp;"",IOT!$B$3:$B$1012&amp;"",IOT!$AB$3:$AB$1012,""),"Server",_xlfn.XLOOKUP($K29&amp;"",SERVER!$B$3:$B$1009&amp;"",SERVER!$AB$3:$AB$1009,""),""))))</f>
        <v>Good</v>
      </c>
      <c r="R29" s="43">
        <f>IF(tbl_handover[[#This Row],[Asset Code]]="","",COUNTIF(tbl_handover[Asset Code],tbl_handover[[#This Row],[Asset Code]]))</f>
        <v>1</v>
      </c>
      <c r="S29" s="1" t="s">
        <v>1160</v>
      </c>
      <c r="U29" s="60" t="b">
        <v>0</v>
      </c>
    </row>
    <row r="30" spans="1:21" x14ac:dyDescent="0.25">
      <c r="A30" s="43">
        <f>IF(B30&lt;&gt;"",SUBTOTAL(3,$B$1:B29),"")</f>
        <v>29</v>
      </c>
      <c r="B30" t="s">
        <v>1180</v>
      </c>
      <c r="C30" s="74">
        <v>46276</v>
      </c>
      <c r="D30" s="74"/>
      <c r="E30" t="s">
        <v>1181</v>
      </c>
      <c r="F30" s="13" t="s">
        <v>104</v>
      </c>
      <c r="G30" s="1" t="s">
        <v>1177</v>
      </c>
      <c r="H30" t="s">
        <v>1147</v>
      </c>
      <c r="I30" s="1" t="s">
        <v>23</v>
      </c>
      <c r="J30" s="1" t="s">
        <v>533</v>
      </c>
      <c r="K30" s="42" t="s">
        <v>1185</v>
      </c>
      <c r="L30" t="str" cm="1">
        <f t="array" ref="L30">IF($K30="","",_xlfn.SWITCH($I30,"Computer",_xlfn.XLOOKUP($K30&amp;"",COMPUTER!$B$3:$B$1009&amp;"",COMPUTER!$I$3:$I$1009,""),"Display",_xlfn.XLOOKUP($K30&amp;"",DISPLAY!$B$3:$B$1000&amp;"",DISPLAY!$J$3:$J$1000,""),"Network Device",_xlfn.XLOOKUP($K30&amp;"",'NETWORK-DEVICES'!$B$3:$B$987&amp;"",'NETWORK-DEVICES'!$I$3:$I$987,""),"Peripheral",_xlfn.XLOOKUP($K30&amp;"",PERIPHERAL!$B$3:$B$954&amp;"",PERIPHERAL!$I$3:$I$954,""),"Utilities",_xlfn.XLOOKUP($K30&amp;"",UTILITIES!$B$3:$B$953&amp;"",UTILITIES!$H$3:$H$953,""),"IOT",_xlfn.XLOOKUP($K30&amp;"",IOT!$B$3:$B$1012&amp;"",IOT!$I$3:$I$1012,""),"SERVER",_xlfn.XLOOKUP($K30&amp;"",SERVER!$B$3:$B$1009&amp;"",SERVER!$I$3:$I$1009,""),""))</f>
        <v>HP MONITOR 27 INCH</v>
      </c>
      <c r="M30" t="str" cm="1">
        <f t="array" ref="M30">IF($K30="","",_xlfn.SWITCH($I30,"Computer",_xlfn.XLOOKUP($K30&amp;"",COMPUTER!$B$3:$B$1009&amp;"",COMPUTER!$J$3:$J$1009,""),"Display",_xlfn.XLOOKUP($K30&amp;"",DISPLAY!$B$3:$B$1000&amp;"",DISPLAY!$K$3:$K$1000,""),"Network Device",_xlfn.XLOOKUP($K30&amp;"",'NETWORK-DEVICES'!$B$3:$B$987&amp;"",'NETWORK-DEVICES'!$I$3:$I$987,""),"Peripheral",_xlfn.XLOOKUP($K30&amp;"",PERIPHERAL!$B$3:$B$954&amp;"",PERIPHERAL!$J$3:$J$954,""),"Utilities",_xlfn.XLOOKUP($K30&amp;"",UTILITIES!$B$3:$B$953&amp;"",UTILITIES!$I$3:$I$953,""),"IOT",_xlfn.XLOOKUP($K30&amp;"",IOT!$B$3:$B$1012&amp;"",IOT!$J$3:$J$1012,""),"Server",_xlfn.XLOOKUP($K30&amp;"",SERVER!$B$3:$B$1009&amp;"",SERVER!$J$3:$J$1009,""),""))</f>
        <v>MONITOR 27"</v>
      </c>
      <c r="N30" s="1" cm="1">
        <f t="array" ref="N30">IF(OR($K30="",$I30="",$J30=""),"",_xlfn.LET(_xlpm.srcCat,_xlfn.SWITCH($I30,"Computer",_xlfn.XLOOKUP($K30&amp;"",COMPUTER!$B$3:$B$1009&amp;"",COMPUTER!$H$3:$H$1009,""),"Display",_xlfn.XLOOKUP($K30&amp;"",DISPLAY!$B$3:$B$1000&amp;"",DISPLAY!$H$3:$H$1000,""),"Network Device",_xlfn.XLOOKUP($K30&amp;"",'NETWORK-DEVICES'!$B$3:$B$987&amp;"",'NETWORK-DEVICES'!$H$3:$H$987,""),"Peripheral",_xlfn.XLOOKUP($K30&amp;"",PERIPHERAL!$B$3:$B$954&amp;"",PERIPHERAL!$H$3:$H$954,""),"Utilities",_xlfn.XLOOKUP($K30&amp;"",UTILITIES!$B$3:$B$953&amp;"",UTILITIES!$G$3:$G$953,""),"IOT",_xlfn.XLOOKUP($K30&amp;"",IOT!$B$3:$B$1012&amp;"",IOT!$H$3:$H$1012,""),"Server",_xlfn.XLOOKUP($K30&amp;"",SERVER!$B$3:$B$1009&amp;"",SERVER!$H$3:$H$1009,""),""),IF(TRIM(_xlpm.srcCat)&lt;&gt;TRIM($J30),"",_xlfn.SWITCH($I30,"Computer",_xlfn.XLOOKUP($K30&amp;"",COMPUTER!$B$3:$B$1009&amp;"",COMPUTER!$K$3:$K$1009,""),"Display",_xlfn.XLOOKUP($K30&amp;"",DISPLAY!$B$3:$B$1000&amp;"",DISPLAY!$L$3:$L$1000,""),"Network Device",_xlfn.XLOOKUP($K30&amp;"",'NETWORK-DEVICES'!$B$3:$B$987&amp;"",'NETWORK-DEVICES'!$K$3:$K$987,""),"Peripheral",_xlfn.XLOOKUP($K30&amp;"",PERIPHERAL!$B$3:$B$954&amp;"",PERIPHERAL!$K$3:$K$954,""),"Utilities",_xlfn.XLOOKUP($K30&amp;"",UTILITIES!$B$3:$B$953&amp;"",UTILITIES!$J$3:$J$953,""),"IOT",_xlfn.XLOOKUP($K30&amp;"",IOT!$B$3:$B$1012&amp;"",IOT!$K$4:$K$1012,""),"Server",_xlfn.XLOOKUP($K30&amp;"",SERVER!$B$3:$B$1009&amp;"",SERVER!$K$3:$K$1009,""),""))))</f>
        <v>0</v>
      </c>
      <c r="O30" s="1" t="str" cm="1">
        <f t="array" ref="O30">IF(OR($K30="",$I30="",$J30=""),"",_xlfn.LET(_xlpm.srcCat,_xlfn.SWITCH($I30,"Computer",_xlfn.XLOOKUP($K30&amp;"",COMPUTER!$B$3:$B$1009&amp;"",COMPUTER!$H$3:$H$1009,""),"Display",_xlfn.XLOOKUP($K30&amp;"",DISPLAY!$B$3:$B$1000&amp;"",DISPLAY!$H$3:$H$1000,""),"Network Device",_xlfn.XLOOKUP($K30&amp;"",'NETWORK-DEVICES'!$B$3:$B$987&amp;"",'NETWORK-DEVICES'!$H$3:$H$987,""),"Peripheral",_xlfn.XLOOKUP($K30&amp;"",PERIPHERAL!$B$3:$B$954&amp;"",PERIPHERAL!$H$3:$H$954,""),"Utilities",_xlfn.XLOOKUP($K30&amp;"",UTILITIES!$B$3:$B$953&amp;"",UTILITIES!$G$3:$G$953,""),"IOT",_xlfn.XLOOKUP($K30&amp;"",IOT!$B$3:$B$1012&amp;"",IOT!$H$3:$H$1012,""),"Server",_xlfn.XLOOKUP($K30&amp;"",SERVER!$B$3:$B$1009&amp;"",SERVER!$H$3:$H$1009,""),""),IF(TRIM(_xlpm.srcCat)&lt;&gt;TRIM($J30),"",_xlfn.SWITCH($I30,"Computer",_xlfn.XLOOKUP($K30&amp;"",COMPUTER!$B$3:$B$1009&amp;"",COMPUTER!$E$3:$E$1009,""),"Display",_xlfn.XLOOKUP($K30&amp;"",DISPLAY!$B$3:$B$1000&amp;"",DISPLAY!$E$3:$E$1000,""),"Network Device",_xlfn.XLOOKUP($K30&amp;"",'NETWORK-DEVICES'!$B$3:$B$987&amp;"",'NETWORK-DEVICES'!$E$3:$E$987,""),"Peripheral",_xlfn.XLOOKUP($K30&amp;"",PERIPHERAL!$B$3:$B$954&amp;"",PERIPHERAL!$E$3:$E$954,""),"Utilities",_xlfn.XLOOKUP($K30&amp;"",UTILITIES!$B$3:$B$953&amp;"",UTILITIES!$E$3:$E$953,""),"IOT",_xlfn.XLOOKUP($K30&amp;"",IOT!$B$3:$B$1012&amp;"",IOT!$E$3:$E$1012,""),"Server",_xlfn.XLOOKUP($K30&amp;"",SERVER!$B$3:$B$1009&amp;"",SERVER!$E$3:$E$1009,""),""))))</f>
        <v>Patimban</v>
      </c>
      <c r="P30" t="s">
        <v>203</v>
      </c>
      <c r="Q30" s="1" t="str" cm="1">
        <f t="array" ref="Q30">IF(OR($K30="",$I30="",$J30=""),"",_xlfn.LET(_xlpm.srcCat,_xlfn.SWITCH($I30,"Computer",_xlfn.XLOOKUP($K30&amp;"",COMPUTER!$B$3:$B$1009&amp;"",COMPUTER!$H$3:$H$1009,""),"Display",_xlfn.XLOOKUP($K30&amp;"",DISPLAY!$B$3:$B$1000&amp;"",DISPLAY!$H$3:$H$1000,""),"Network Device",_xlfn.XLOOKUP($K30&amp;"",'NETWORK-DEVICES'!$B$3:$B$987&amp;"",'NETWORK-DEVICES'!$H$3:$H$987,""),"Peripheral",_xlfn.XLOOKUP($K30&amp;"",PERIPHERAL!$B$3:$B$954&amp;"",PERIPHERAL!$H$3:$H$954,""),"Utilities",_xlfn.XLOOKUP($K30&amp;"",UTILITIES!$B$3:$B$953&amp;"",UTILITIES!$G$3:$G$953,""),"IOT",_xlfn.XLOOKUP($K30&amp;"",IOT!$B$3:$B$1012&amp;"",IOT!$H$3:$H$1012,""),"Server",_xlfn.XLOOKUP($K30&amp;"",SERVER!$B$3:$B$1009&amp;"",SERVER!$H$3:$H$1009,""),""),IF(TRIM(_xlpm.srcCat)&lt;&gt;TRIM($J30),"",_xlfn.SWITCH($I30,"Computer",_xlfn.XLOOKUP($K30&amp;"",COMPUTER!$B$3:$B$1009&amp;"",COMPUTER!$AM$3:$AM$1009,""),"Display",_xlfn.XLOOKUP($K30&amp;"",DISPLAY!$B$3:$B$1000&amp;"",DISPLAY!$V$3:$V$1000,""),"Network Device",_xlfn.XLOOKUP($K30&amp;"",'NETWORK-DEVICES'!$B$3:$B$987&amp;"",'NETWORK-DEVICES'!$AF$3:$AF$987,""),"Peripheral",_xlfn.XLOOKUP($K30&amp;"",PERIPHERAL!$B$3:$B$954&amp;"",PERIPHERAL!$Y$3:$Y$954,""),"Utilities",_xlfn.XLOOKUP($K30&amp;"",UTILITIES!$B$3:$B$953&amp;"",UTILITIES!$O$3:$O$953,""),"IOT",_xlfn.XLOOKUP($K30&amp;"",IOT!$B$3:$B$1012&amp;"",IOT!$AB$3:$AB$1012,""),"Server",_xlfn.XLOOKUP($K30&amp;"",SERVER!$B$3:$B$1009&amp;"",SERVER!$AB$3:$AB$1009,""),""))))</f>
        <v>Good</v>
      </c>
      <c r="R30" s="43">
        <f>IF(tbl_handover[[#This Row],[Asset Code]]="","",COUNTIF(tbl_handover[Asset Code],tbl_handover[[#This Row],[Asset Code]]))</f>
        <v>1</v>
      </c>
      <c r="S30" s="1" t="s">
        <v>1160</v>
      </c>
      <c r="U30" s="60" t="b">
        <v>0</v>
      </c>
    </row>
    <row r="31" spans="1:21" x14ac:dyDescent="0.25">
      <c r="A31" s="43">
        <f>IF(B31&lt;&gt;"",SUBTOTAL(3,$B$1:B30),"")</f>
        <v>30</v>
      </c>
      <c r="B31" t="s">
        <v>1180</v>
      </c>
      <c r="C31" s="74">
        <v>46276</v>
      </c>
      <c r="D31" s="74"/>
      <c r="E31" t="s">
        <v>1181</v>
      </c>
      <c r="F31" s="13" t="s">
        <v>104</v>
      </c>
      <c r="G31" s="1" t="s">
        <v>1177</v>
      </c>
      <c r="H31" t="s">
        <v>1147</v>
      </c>
      <c r="I31" s="1" t="s">
        <v>76</v>
      </c>
      <c r="J31" s="1" t="s">
        <v>240</v>
      </c>
      <c r="K31" s="42" t="s">
        <v>1186</v>
      </c>
      <c r="L31" t="str" cm="1">
        <f t="array" ref="L31">IF($K31="","",_xlfn.SWITCH($I31,"Computer",_xlfn.XLOOKUP($K31&amp;"",COMPUTER!$B$3:$B$1009&amp;"",COMPUTER!$I$3:$I$1009,""),"Display",_xlfn.XLOOKUP($K31&amp;"",DISPLAY!$B$3:$B$1000&amp;"",DISPLAY!$J$3:$J$1000,""),"Network Device",_xlfn.XLOOKUP($K31&amp;"",'NETWORK-DEVICES'!$B$3:$B$987&amp;"",'NETWORK-DEVICES'!$I$3:$I$987,""),"Peripheral",_xlfn.XLOOKUP($K31&amp;"",PERIPHERAL!$B$3:$B$954&amp;"",PERIPHERAL!$I$3:$I$954,""),"Utilities",_xlfn.XLOOKUP($K31&amp;"",UTILITIES!$B$3:$B$953&amp;"",UTILITIES!$H$3:$H$953,""),"IOT",_xlfn.XLOOKUP($K31&amp;"",IOT!$B$3:$B$1012&amp;"",IOT!$I$3:$I$1012,""),"SERVER",_xlfn.XLOOKUP($K31&amp;"",SERVER!$B$3:$B$1009&amp;"",SERVER!$I$3:$I$1009,""),""))</f>
        <v>Lenovo IdeaCentre AIO 24IRH9</v>
      </c>
      <c r="M31" t="str" cm="1">
        <f t="array" ref="M31">IF($K31="","",_xlfn.SWITCH($I31,"Computer",_xlfn.XLOOKUP($K31&amp;"",COMPUTER!$B$3:$B$1009&amp;"",COMPUTER!$J$3:$J$1009,""),"Display",_xlfn.XLOOKUP($K31&amp;"",DISPLAY!$B$3:$B$1000&amp;"",DISPLAY!$K$3:$K$1000,""),"Network Device",_xlfn.XLOOKUP($K31&amp;"",'NETWORK-DEVICES'!$B$3:$B$987&amp;"",'NETWORK-DEVICES'!$I$3:$I$987,""),"Peripheral",_xlfn.XLOOKUP($K31&amp;"",PERIPHERAL!$B$3:$B$954&amp;"",PERIPHERAL!$J$3:$J$954,""),"Utilities",_xlfn.XLOOKUP($K31&amp;"",UTILITIES!$B$3:$B$953&amp;"",UTILITIES!$I$3:$I$953,""),"IOT",_xlfn.XLOOKUP($K31&amp;"",IOT!$B$3:$B$1012&amp;"",IOT!$J$3:$J$1012,""),"Server",_xlfn.XLOOKUP($K31&amp;"",SERVER!$B$3:$B$1009&amp;"",SERVER!$J$3:$J$1009,""),""))</f>
        <v>AIO PC</v>
      </c>
      <c r="N31" s="1" t="str" cm="1">
        <f t="array" ref="N31">IF(OR($K31="",$I31="",$J31=""),"",_xlfn.LET(_xlpm.srcCat,_xlfn.SWITCH($I31,"Computer",_xlfn.XLOOKUP($K31&amp;"",COMPUTER!$B$3:$B$1009&amp;"",COMPUTER!$H$3:$H$1009,""),"Display",_xlfn.XLOOKUP($K31&amp;"",DISPLAY!$B$3:$B$1000&amp;"",DISPLAY!$H$3:$H$1000,""),"Network Device",_xlfn.XLOOKUP($K31&amp;"",'NETWORK-DEVICES'!$B$3:$B$987&amp;"",'NETWORK-DEVICES'!$H$3:$H$987,""),"Peripheral",_xlfn.XLOOKUP($K31&amp;"",PERIPHERAL!$B$3:$B$954&amp;"",PERIPHERAL!$H$3:$H$954,""),"Utilities",_xlfn.XLOOKUP($K31&amp;"",UTILITIES!$B$3:$B$953&amp;"",UTILITIES!$G$3:$G$953,""),"IOT",_xlfn.XLOOKUP($K31&amp;"",IOT!$B$3:$B$1012&amp;"",IOT!$H$3:$H$1012,""),"Server",_xlfn.XLOOKUP($K31&amp;"",SERVER!$B$3:$B$1009&amp;"",SERVER!$H$3:$H$1009,""),""),IF(TRIM(_xlpm.srcCat)&lt;&gt;TRIM($J31),"",_xlfn.SWITCH($I31,"Computer",_xlfn.XLOOKUP($K31&amp;"",COMPUTER!$B$3:$B$1009&amp;"",COMPUTER!$K$3:$K$1009,""),"Display",_xlfn.XLOOKUP($K31&amp;"",DISPLAY!$B$3:$B$1000&amp;"",DISPLAY!$L$3:$L$1000,""),"Network Device",_xlfn.XLOOKUP($K31&amp;"",'NETWORK-DEVICES'!$B$3:$B$987&amp;"",'NETWORK-DEVICES'!$K$3:$K$987,""),"Peripheral",_xlfn.XLOOKUP($K31&amp;"",PERIPHERAL!$B$3:$B$954&amp;"",PERIPHERAL!$K$3:$K$954,""),"Utilities",_xlfn.XLOOKUP($K31&amp;"",UTILITIES!$B$3:$B$953&amp;"",UTILITIES!$J$3:$J$953,""),"IOT",_xlfn.XLOOKUP($K31&amp;"",IOT!$B$3:$B$1012&amp;"",IOT!$K$4:$K$1012,""),"Server",_xlfn.XLOOKUP($K31&amp;"",SERVER!$B$3:$B$1009&amp;"",SERVER!$K$3:$K$1009,""),""))))</f>
        <v>MP2A9719</v>
      </c>
      <c r="O31" s="1" t="str" cm="1">
        <f t="array" ref="O31">IF(OR($K31="",$I31="",$J31=""),"",_xlfn.LET(_xlpm.srcCat,_xlfn.SWITCH($I31,"Computer",_xlfn.XLOOKUP($K31&amp;"",COMPUTER!$B$3:$B$1009&amp;"",COMPUTER!$H$3:$H$1009,""),"Display",_xlfn.XLOOKUP($K31&amp;"",DISPLAY!$B$3:$B$1000&amp;"",DISPLAY!$H$3:$H$1000,""),"Network Device",_xlfn.XLOOKUP($K31&amp;"",'NETWORK-DEVICES'!$B$3:$B$987&amp;"",'NETWORK-DEVICES'!$H$3:$H$987,""),"Peripheral",_xlfn.XLOOKUP($K31&amp;"",PERIPHERAL!$B$3:$B$954&amp;"",PERIPHERAL!$H$3:$H$954,""),"Utilities",_xlfn.XLOOKUP($K31&amp;"",UTILITIES!$B$3:$B$953&amp;"",UTILITIES!$G$3:$G$953,""),"IOT",_xlfn.XLOOKUP($K31&amp;"",IOT!$B$3:$B$1012&amp;"",IOT!$H$3:$H$1012,""),"Server",_xlfn.XLOOKUP($K31&amp;"",SERVER!$B$3:$B$1009&amp;"",SERVER!$H$3:$H$1009,""),""),IF(TRIM(_xlpm.srcCat)&lt;&gt;TRIM($J31),"",_xlfn.SWITCH($I31,"Computer",_xlfn.XLOOKUP($K31&amp;"",COMPUTER!$B$3:$B$1009&amp;"",COMPUTER!$E$3:$E$1009,""),"Display",_xlfn.XLOOKUP($K31&amp;"",DISPLAY!$B$3:$B$1000&amp;"",DISPLAY!$E$3:$E$1000,""),"Network Device",_xlfn.XLOOKUP($K31&amp;"",'NETWORK-DEVICES'!$B$3:$B$987&amp;"",'NETWORK-DEVICES'!$E$3:$E$987,""),"Peripheral",_xlfn.XLOOKUP($K31&amp;"",PERIPHERAL!$B$3:$B$954&amp;"",PERIPHERAL!$E$3:$E$954,""),"Utilities",_xlfn.XLOOKUP($K31&amp;"",UTILITIES!$B$3:$B$953&amp;"",UTILITIES!$E$3:$E$953,""),"IOT",_xlfn.XLOOKUP($K31&amp;"",IOT!$B$3:$B$1012&amp;"",IOT!$E$3:$E$1012,""),"Server",_xlfn.XLOOKUP($K31&amp;"",SERVER!$B$3:$B$1009&amp;"",SERVER!$E$3:$E$1009,""),""))))</f>
        <v>Patimban</v>
      </c>
      <c r="P31" t="s">
        <v>203</v>
      </c>
      <c r="Q31" s="1" t="str" cm="1">
        <f t="array" ref="Q31">IF(OR($K31="",$I31="",$J31=""),"",_xlfn.LET(_xlpm.srcCat,_xlfn.SWITCH($I31,"Computer",_xlfn.XLOOKUP($K31&amp;"",COMPUTER!$B$3:$B$1009&amp;"",COMPUTER!$H$3:$H$1009,""),"Display",_xlfn.XLOOKUP($K31&amp;"",DISPLAY!$B$3:$B$1000&amp;"",DISPLAY!$H$3:$H$1000,""),"Network Device",_xlfn.XLOOKUP($K31&amp;"",'NETWORK-DEVICES'!$B$3:$B$987&amp;"",'NETWORK-DEVICES'!$H$3:$H$987,""),"Peripheral",_xlfn.XLOOKUP($K31&amp;"",PERIPHERAL!$B$3:$B$954&amp;"",PERIPHERAL!$H$3:$H$954,""),"Utilities",_xlfn.XLOOKUP($K31&amp;"",UTILITIES!$B$3:$B$953&amp;"",UTILITIES!$G$3:$G$953,""),"IOT",_xlfn.XLOOKUP($K31&amp;"",IOT!$B$3:$B$1012&amp;"",IOT!$H$3:$H$1012,""),"Server",_xlfn.XLOOKUP($K31&amp;"",SERVER!$B$3:$B$1009&amp;"",SERVER!$H$3:$H$1009,""),""),IF(TRIM(_xlpm.srcCat)&lt;&gt;TRIM($J31),"",_xlfn.SWITCH($I31,"Computer",_xlfn.XLOOKUP($K31&amp;"",COMPUTER!$B$3:$B$1009&amp;"",COMPUTER!$AM$3:$AM$1009,""),"Display",_xlfn.XLOOKUP($K31&amp;"",DISPLAY!$B$3:$B$1000&amp;"",DISPLAY!$V$3:$V$1000,""),"Network Device",_xlfn.XLOOKUP($K31&amp;"",'NETWORK-DEVICES'!$B$3:$B$987&amp;"",'NETWORK-DEVICES'!$AF$3:$AF$987,""),"Peripheral",_xlfn.XLOOKUP($K31&amp;"",PERIPHERAL!$B$3:$B$954&amp;"",PERIPHERAL!$Y$3:$Y$954,""),"Utilities",_xlfn.XLOOKUP($K31&amp;"",UTILITIES!$B$3:$B$953&amp;"",UTILITIES!$O$3:$O$953,""),"IOT",_xlfn.XLOOKUP($K31&amp;"",IOT!$B$3:$B$1012&amp;"",IOT!$AB$3:$AB$1012,""),"Server",_xlfn.XLOOKUP($K31&amp;"",SERVER!$B$3:$B$1009&amp;"",SERVER!$AB$3:$AB$1009,""),""))))</f>
        <v>Good</v>
      </c>
      <c r="R31" s="43">
        <f>IF(tbl_handover[[#This Row],[Asset Code]]="","",COUNTIF(tbl_handover[Asset Code],tbl_handover[[#This Row],[Asset Code]]))</f>
        <v>1</v>
      </c>
      <c r="S31" s="1" t="s">
        <v>1160</v>
      </c>
      <c r="U31" s="60" t="b">
        <v>0</v>
      </c>
    </row>
    <row r="32" spans="1:21" x14ac:dyDescent="0.25">
      <c r="A32" s="43">
        <f>IF(B32&lt;&gt;"",SUBTOTAL(3,$B$1:B31),"")</f>
        <v>31</v>
      </c>
      <c r="B32" t="s">
        <v>1187</v>
      </c>
      <c r="C32" s="74">
        <v>46275</v>
      </c>
      <c r="D32" s="74"/>
      <c r="E32" t="s">
        <v>1188</v>
      </c>
      <c r="F32" s="13" t="s">
        <v>104</v>
      </c>
      <c r="G32" s="1" t="s">
        <v>1128</v>
      </c>
      <c r="H32" t="s">
        <v>1147</v>
      </c>
      <c r="I32" s="1" t="s">
        <v>695</v>
      </c>
      <c r="J32" s="1" t="s">
        <v>785</v>
      </c>
      <c r="K32" s="42" t="s">
        <v>1189</v>
      </c>
      <c r="L32" t="str" cm="1">
        <f t="array" ref="L32">IF($K32="","",_xlfn.SWITCH($I32,"Computer",_xlfn.XLOOKUP($K32&amp;"",COMPUTER!$B$3:$B$1009&amp;"",COMPUTER!$I$3:$I$1009,""),"Display",_xlfn.XLOOKUP($K32&amp;"",DISPLAY!$B$3:$B$1000&amp;"",DISPLAY!$J$3:$J$1000,""),"Network Device",_xlfn.XLOOKUP($K32&amp;"",'NETWORK-DEVICES'!$B$3:$B$987&amp;"",'NETWORK-DEVICES'!$I$3:$I$987,""),"Peripheral",_xlfn.XLOOKUP($K32&amp;"",PERIPHERAL!$B$3:$B$954&amp;"",PERIPHERAL!$I$3:$I$954,""),"Utilities",_xlfn.XLOOKUP($K32&amp;"",UTILITIES!$B$3:$B$953&amp;"",UTILITIES!$H$3:$H$953,""),"IOT",_xlfn.XLOOKUP($K32&amp;"",IOT!$B$3:$B$1012&amp;"",IOT!$I$3:$I$1012,""),"SERVER",_xlfn.XLOOKUP($K32&amp;"",SERVER!$B$3:$B$1009&amp;"",SERVER!$I$3:$I$1009,""),""))</f>
        <v>Mouse Logitech M185 Wireless</v>
      </c>
      <c r="M32" t="str" cm="1">
        <f t="array" ref="M32">IF($K32="","",_xlfn.SWITCH($I32,"Computer",_xlfn.XLOOKUP($K32&amp;"",COMPUTER!$B$3:$B$1009&amp;"",COMPUTER!$J$3:$J$1009,""),"Display",_xlfn.XLOOKUP($K32&amp;"",DISPLAY!$B$3:$B$1000&amp;"",DISPLAY!$K$3:$K$1000,""),"Network Device",_xlfn.XLOOKUP($K32&amp;"",'NETWORK-DEVICES'!$B$3:$B$987&amp;"",'NETWORK-DEVICES'!$I$3:$I$987,""),"Peripheral",_xlfn.XLOOKUP($K32&amp;"",PERIPHERAL!$B$3:$B$954&amp;"",PERIPHERAL!$J$3:$J$954,""),"Utilities",_xlfn.XLOOKUP($K32&amp;"",UTILITIES!$B$3:$B$953&amp;"",UTILITIES!$I$3:$I$953,""),"IOT",_xlfn.XLOOKUP($K32&amp;"",IOT!$B$3:$B$1012&amp;"",IOT!$J$3:$J$1012,""),"Server",_xlfn.XLOOKUP($K32&amp;"",SERVER!$B$3:$B$1009&amp;"",SERVER!$J$3:$J$1009,""),""))</f>
        <v>MOUSE</v>
      </c>
      <c r="N32" s="1" t="str" cm="1">
        <f t="array" ref="N32">IF(OR($K32="",$I32="",$J32=""),"",_xlfn.LET(_xlpm.srcCat,_xlfn.SWITCH($I32,"Computer",_xlfn.XLOOKUP($K32&amp;"",COMPUTER!$B$3:$B$1009&amp;"",COMPUTER!$H$3:$H$1009,""),"Display",_xlfn.XLOOKUP($K32&amp;"",DISPLAY!$B$3:$B$1000&amp;"",DISPLAY!$H$3:$H$1000,""),"Network Device",_xlfn.XLOOKUP($K32&amp;"",'NETWORK-DEVICES'!$B$3:$B$987&amp;"",'NETWORK-DEVICES'!$H$3:$H$987,""),"Peripheral",_xlfn.XLOOKUP($K32&amp;"",PERIPHERAL!$B$3:$B$954&amp;"",PERIPHERAL!$H$3:$H$954,""),"Utilities",_xlfn.XLOOKUP($K32&amp;"",UTILITIES!$B$3:$B$953&amp;"",UTILITIES!$G$3:$G$953,""),"IOT",_xlfn.XLOOKUP($K32&amp;"",IOT!$B$3:$B$1012&amp;"",IOT!$H$3:$H$1012,""),"Server",_xlfn.XLOOKUP($K32&amp;"",SERVER!$B$3:$B$1009&amp;"",SERVER!$H$3:$H$1009,""),""),IF(TRIM(_xlpm.srcCat)&lt;&gt;TRIM($J32),"",_xlfn.SWITCH($I32,"Computer",_xlfn.XLOOKUP($K32&amp;"",COMPUTER!$B$3:$B$1009&amp;"",COMPUTER!$K$3:$K$1009,""),"Display",_xlfn.XLOOKUP($K32&amp;"",DISPLAY!$B$3:$B$1000&amp;"",DISPLAY!$L$3:$L$1000,""),"Network Device",_xlfn.XLOOKUP($K32&amp;"",'NETWORK-DEVICES'!$B$3:$B$987&amp;"",'NETWORK-DEVICES'!$K$3:$K$987,""),"Peripheral",_xlfn.XLOOKUP($K32&amp;"",PERIPHERAL!$B$3:$B$954&amp;"",PERIPHERAL!$K$3:$K$954,""),"Utilities",_xlfn.XLOOKUP($K32&amp;"",UTILITIES!$B$3:$B$953&amp;"",UTILITIES!$J$3:$J$953,""),"IOT",_xlfn.XLOOKUP($K32&amp;"",IOT!$B$3:$B$1012&amp;"",IOT!$K$4:$K$1012,""),"Server",_xlfn.XLOOKUP($K32&amp;"",SERVER!$B$3:$B$1009&amp;"",SERVER!$K$3:$K$1009,""),""))))</f>
        <v>2601ZE714V69</v>
      </c>
      <c r="O32" s="1" t="str" cm="1">
        <f t="array" ref="O32">IF(OR($K32="",$I32="",$J32=""),"",_xlfn.LET(_xlpm.srcCat,_xlfn.SWITCH($I32,"Computer",_xlfn.XLOOKUP($K32&amp;"",COMPUTER!$B$3:$B$1009&amp;"",COMPUTER!$H$3:$H$1009,""),"Display",_xlfn.XLOOKUP($K32&amp;"",DISPLAY!$B$3:$B$1000&amp;"",DISPLAY!$H$3:$H$1000,""),"Network Device",_xlfn.XLOOKUP($K32&amp;"",'NETWORK-DEVICES'!$B$3:$B$987&amp;"",'NETWORK-DEVICES'!$H$3:$H$987,""),"Peripheral",_xlfn.XLOOKUP($K32&amp;"",PERIPHERAL!$B$3:$B$954&amp;"",PERIPHERAL!$H$3:$H$954,""),"Utilities",_xlfn.XLOOKUP($K32&amp;"",UTILITIES!$B$3:$B$953&amp;"",UTILITIES!$G$3:$G$953,""),"IOT",_xlfn.XLOOKUP($K32&amp;"",IOT!$B$3:$B$1012&amp;"",IOT!$H$3:$H$1012,""),"Server",_xlfn.XLOOKUP($K32&amp;"",SERVER!$B$3:$B$1009&amp;"",SERVER!$H$3:$H$1009,""),""),IF(TRIM(_xlpm.srcCat)&lt;&gt;TRIM($J32),"",_xlfn.SWITCH($I32,"Computer",_xlfn.XLOOKUP($K32&amp;"",COMPUTER!$B$3:$B$1009&amp;"",COMPUTER!$E$3:$E$1009,""),"Display",_xlfn.XLOOKUP($K32&amp;"",DISPLAY!$B$3:$B$1000&amp;"",DISPLAY!$E$3:$E$1000,""),"Network Device",_xlfn.XLOOKUP($K32&amp;"",'NETWORK-DEVICES'!$B$3:$B$987&amp;"",'NETWORK-DEVICES'!$E$3:$E$987,""),"Peripheral",_xlfn.XLOOKUP($K32&amp;"",PERIPHERAL!$B$3:$B$954&amp;"",PERIPHERAL!$E$3:$E$954,""),"Utilities",_xlfn.XLOOKUP($K32&amp;"",UTILITIES!$B$3:$B$953&amp;"",UTILITIES!$E$3:$E$953,""),"IOT",_xlfn.XLOOKUP($K32&amp;"",IOT!$B$3:$B$1012&amp;"",IOT!$E$3:$E$1012,""),"Server",_xlfn.XLOOKUP($K32&amp;"",SERVER!$B$3:$B$1009&amp;"",SERVER!$E$3:$E$1009,""),""))))</f>
        <v>Patimban</v>
      </c>
      <c r="P32" t="s">
        <v>203</v>
      </c>
      <c r="Q32" s="1" t="str" cm="1">
        <f t="array" ref="Q32">IF(OR($K32="",$I32="",$J32=""),"",_xlfn.LET(_xlpm.srcCat,_xlfn.SWITCH($I32,"Computer",_xlfn.XLOOKUP($K32&amp;"",COMPUTER!$B$3:$B$1009&amp;"",COMPUTER!$H$3:$H$1009,""),"Display",_xlfn.XLOOKUP($K32&amp;"",DISPLAY!$B$3:$B$1000&amp;"",DISPLAY!$H$3:$H$1000,""),"Network Device",_xlfn.XLOOKUP($K32&amp;"",'NETWORK-DEVICES'!$B$3:$B$987&amp;"",'NETWORK-DEVICES'!$H$3:$H$987,""),"Peripheral",_xlfn.XLOOKUP($K32&amp;"",PERIPHERAL!$B$3:$B$954&amp;"",PERIPHERAL!$H$3:$H$954,""),"Utilities",_xlfn.XLOOKUP($K32&amp;"",UTILITIES!$B$3:$B$953&amp;"",UTILITIES!$G$3:$G$953,""),"IOT",_xlfn.XLOOKUP($K32&amp;"",IOT!$B$3:$B$1012&amp;"",IOT!$H$3:$H$1012,""),"Server",_xlfn.XLOOKUP($K32&amp;"",SERVER!$B$3:$B$1009&amp;"",SERVER!$H$3:$H$1009,""),""),IF(TRIM(_xlpm.srcCat)&lt;&gt;TRIM($J32),"",_xlfn.SWITCH($I32,"Computer",_xlfn.XLOOKUP($K32&amp;"",COMPUTER!$B$3:$B$1009&amp;"",COMPUTER!$AM$3:$AM$1009,""),"Display",_xlfn.XLOOKUP($K32&amp;"",DISPLAY!$B$3:$B$1000&amp;"",DISPLAY!$V$3:$V$1000,""),"Network Device",_xlfn.XLOOKUP($K32&amp;"",'NETWORK-DEVICES'!$B$3:$B$987&amp;"",'NETWORK-DEVICES'!$AF$3:$AF$987,""),"Peripheral",_xlfn.XLOOKUP($K32&amp;"",PERIPHERAL!$B$3:$B$954&amp;"",PERIPHERAL!$Y$3:$Y$954,""),"Utilities",_xlfn.XLOOKUP($K32&amp;"",UTILITIES!$B$3:$B$953&amp;"",UTILITIES!$O$3:$O$953,""),"IOT",_xlfn.XLOOKUP($K32&amp;"",IOT!$B$3:$B$1012&amp;"",IOT!$AB$3:$AB$1012,""),"Server",_xlfn.XLOOKUP($K32&amp;"",SERVER!$B$3:$B$1009&amp;"",SERVER!$AB$3:$AB$1009,""),""))))</f>
        <v>New</v>
      </c>
      <c r="R32" s="43">
        <f>IF(tbl_handover[[#This Row],[Asset Code]]="","",COUNTIF(tbl_handover[Asset Code],tbl_handover[[#This Row],[Asset Code]]))</f>
        <v>1</v>
      </c>
      <c r="S32" s="1" t="s">
        <v>1160</v>
      </c>
      <c r="U32" s="60" t="b">
        <v>0</v>
      </c>
    </row>
    <row r="33" spans="1:21" x14ac:dyDescent="0.25">
      <c r="A33" s="43">
        <f>IF(B33&lt;&gt;"",SUBTOTAL(3,$B$1:B32),"")</f>
        <v>32</v>
      </c>
      <c r="B33" t="s">
        <v>1187</v>
      </c>
      <c r="C33" s="74">
        <v>46275</v>
      </c>
      <c r="D33" s="74"/>
      <c r="E33" t="s">
        <v>1188</v>
      </c>
      <c r="F33" s="13" t="s">
        <v>104</v>
      </c>
      <c r="G33" s="1" t="s">
        <v>1128</v>
      </c>
      <c r="H33" t="s">
        <v>1147</v>
      </c>
      <c r="I33" s="1" t="s">
        <v>695</v>
      </c>
      <c r="J33" s="1" t="s">
        <v>745</v>
      </c>
      <c r="K33" s="42" t="s">
        <v>1190</v>
      </c>
      <c r="L33" t="str" cm="1">
        <f t="array" ref="L33">IF($K33="","",_xlfn.SWITCH($I33,"Computer",_xlfn.XLOOKUP($K33&amp;"",COMPUTER!$B$3:$B$1009&amp;"",COMPUTER!$I$3:$I$1009,""),"Display",_xlfn.XLOOKUP($K33&amp;"",DISPLAY!$B$3:$B$1000&amp;"",DISPLAY!$J$3:$J$1000,""),"Network Device",_xlfn.XLOOKUP($K33&amp;"",'NETWORK-DEVICES'!$B$3:$B$987&amp;"",'NETWORK-DEVICES'!$I$3:$I$987,""),"Peripheral",_xlfn.XLOOKUP($K33&amp;"",PERIPHERAL!$B$3:$B$954&amp;"",PERIPHERAL!$I$3:$I$954,""),"Utilities",_xlfn.XLOOKUP($K33&amp;"",UTILITIES!$B$3:$B$953&amp;"",UTILITIES!$H$3:$H$953,""),"IOT",_xlfn.XLOOKUP($K33&amp;"",IOT!$B$3:$B$1012&amp;"",IOT!$I$3:$I$1012,""),"SERVER",_xlfn.XLOOKUP($K33&amp;"",SERVER!$B$3:$B$1009&amp;"",SERVER!$I$3:$I$1009,""),""))</f>
        <v>USB Heaset Stereo H570E Logitech</v>
      </c>
      <c r="M33" t="str" cm="1">
        <f t="array" ref="M33">IF($K33="","",_xlfn.SWITCH($I33,"Computer",_xlfn.XLOOKUP($K33&amp;"",COMPUTER!$B$3:$B$1009&amp;"",COMPUTER!$J$3:$J$1009,""),"Display",_xlfn.XLOOKUP($K33&amp;"",DISPLAY!$B$3:$B$1000&amp;"",DISPLAY!$K$3:$K$1000,""),"Network Device",_xlfn.XLOOKUP($K33&amp;"",'NETWORK-DEVICES'!$B$3:$B$987&amp;"",'NETWORK-DEVICES'!$I$3:$I$987,""),"Peripheral",_xlfn.XLOOKUP($K33&amp;"",PERIPHERAL!$B$3:$B$954&amp;"",PERIPHERAL!$J$3:$J$954,""),"Utilities",_xlfn.XLOOKUP($K33&amp;"",UTILITIES!$B$3:$B$953&amp;"",UTILITIES!$I$3:$I$953,""),"IOT",_xlfn.XLOOKUP($K33&amp;"",IOT!$B$3:$B$1012&amp;"",IOT!$J$3:$J$1012,""),"Server",_xlfn.XLOOKUP($K33&amp;"",SERVER!$B$3:$B$1009&amp;"",SERVER!$J$3:$J$1009,""),""))</f>
        <v>Headset USB</v>
      </c>
      <c r="N33" s="1" t="str" cm="1">
        <f t="array" ref="N33">IF(OR($K33="",$I33="",$J33=""),"",_xlfn.LET(_xlpm.srcCat,_xlfn.SWITCH($I33,"Computer",_xlfn.XLOOKUP($K33&amp;"",COMPUTER!$B$3:$B$1009&amp;"",COMPUTER!$H$3:$H$1009,""),"Display",_xlfn.XLOOKUP($K33&amp;"",DISPLAY!$B$3:$B$1000&amp;"",DISPLAY!$H$3:$H$1000,""),"Network Device",_xlfn.XLOOKUP($K33&amp;"",'NETWORK-DEVICES'!$B$3:$B$987&amp;"",'NETWORK-DEVICES'!$H$3:$H$987,""),"Peripheral",_xlfn.XLOOKUP($K33&amp;"",PERIPHERAL!$B$3:$B$954&amp;"",PERIPHERAL!$H$3:$H$954,""),"Utilities",_xlfn.XLOOKUP($K33&amp;"",UTILITIES!$B$3:$B$953&amp;"",UTILITIES!$G$3:$G$953,""),"IOT",_xlfn.XLOOKUP($K33&amp;"",IOT!$B$3:$B$1012&amp;"",IOT!$H$3:$H$1012,""),"Server",_xlfn.XLOOKUP($K33&amp;"",SERVER!$B$3:$B$1009&amp;"",SERVER!$H$3:$H$1009,""),""),IF(TRIM(_xlpm.srcCat)&lt;&gt;TRIM($J33),"",_xlfn.SWITCH($I33,"Computer",_xlfn.XLOOKUP($K33&amp;"",COMPUTER!$B$3:$B$1009&amp;"",COMPUTER!$K$3:$K$1009,""),"Display",_xlfn.XLOOKUP($K33&amp;"",DISPLAY!$B$3:$B$1000&amp;"",DISPLAY!$L$3:$L$1000,""),"Network Device",_xlfn.XLOOKUP($K33&amp;"",'NETWORK-DEVICES'!$B$3:$B$987&amp;"",'NETWORK-DEVICES'!$K$3:$K$987,""),"Peripheral",_xlfn.XLOOKUP($K33&amp;"",PERIPHERAL!$B$3:$B$954&amp;"",PERIPHERAL!$K$3:$K$954,""),"Utilities",_xlfn.XLOOKUP($K33&amp;"",UTILITIES!$B$3:$B$953&amp;"",UTILITIES!$J$3:$J$953,""),"IOT",_xlfn.XLOOKUP($K33&amp;"",IOT!$B$3:$B$1012&amp;"",IOT!$K$4:$K$1012,""),"Server",_xlfn.XLOOKUP($K33&amp;"",SERVER!$B$3:$B$1009&amp;"",SERVER!$K$3:$K$1009,""),""))))</f>
        <v>2538MEV3B888</v>
      </c>
      <c r="O33" s="1" t="str" cm="1">
        <f t="array" ref="O33">IF(OR($K33="",$I33="",$J33=""),"",_xlfn.LET(_xlpm.srcCat,_xlfn.SWITCH($I33,"Computer",_xlfn.XLOOKUP($K33&amp;"",COMPUTER!$B$3:$B$1009&amp;"",COMPUTER!$H$3:$H$1009,""),"Display",_xlfn.XLOOKUP($K33&amp;"",DISPLAY!$B$3:$B$1000&amp;"",DISPLAY!$H$3:$H$1000,""),"Network Device",_xlfn.XLOOKUP($K33&amp;"",'NETWORK-DEVICES'!$B$3:$B$987&amp;"",'NETWORK-DEVICES'!$H$3:$H$987,""),"Peripheral",_xlfn.XLOOKUP($K33&amp;"",PERIPHERAL!$B$3:$B$954&amp;"",PERIPHERAL!$H$3:$H$954,""),"Utilities",_xlfn.XLOOKUP($K33&amp;"",UTILITIES!$B$3:$B$953&amp;"",UTILITIES!$G$3:$G$953,""),"IOT",_xlfn.XLOOKUP($K33&amp;"",IOT!$B$3:$B$1012&amp;"",IOT!$H$3:$H$1012,""),"Server",_xlfn.XLOOKUP($K33&amp;"",SERVER!$B$3:$B$1009&amp;"",SERVER!$H$3:$H$1009,""),""),IF(TRIM(_xlpm.srcCat)&lt;&gt;TRIM($J33),"",_xlfn.SWITCH($I33,"Computer",_xlfn.XLOOKUP($K33&amp;"",COMPUTER!$B$3:$B$1009&amp;"",COMPUTER!$E$3:$E$1009,""),"Display",_xlfn.XLOOKUP($K33&amp;"",DISPLAY!$B$3:$B$1000&amp;"",DISPLAY!$E$3:$E$1000,""),"Network Device",_xlfn.XLOOKUP($K33&amp;"",'NETWORK-DEVICES'!$B$3:$B$987&amp;"",'NETWORK-DEVICES'!$E$3:$E$987,""),"Peripheral",_xlfn.XLOOKUP($K33&amp;"",PERIPHERAL!$B$3:$B$954&amp;"",PERIPHERAL!$E$3:$E$954,""),"Utilities",_xlfn.XLOOKUP($K33&amp;"",UTILITIES!$B$3:$B$953&amp;"",UTILITIES!$E$3:$E$953,""),"IOT",_xlfn.XLOOKUP($K33&amp;"",IOT!$B$3:$B$1012&amp;"",IOT!$E$3:$E$1012,""),"Server",_xlfn.XLOOKUP($K33&amp;"",SERVER!$B$3:$B$1009&amp;"",SERVER!$E$3:$E$1009,""),""))))</f>
        <v>Patimban</v>
      </c>
      <c r="P33" t="s">
        <v>203</v>
      </c>
      <c r="Q33" s="1" t="str" cm="1">
        <f t="array" ref="Q33">IF(OR($K33="",$I33="",$J33=""),"",_xlfn.LET(_xlpm.srcCat,_xlfn.SWITCH($I33,"Computer",_xlfn.XLOOKUP($K33&amp;"",COMPUTER!$B$3:$B$1009&amp;"",COMPUTER!$H$3:$H$1009,""),"Display",_xlfn.XLOOKUP($K33&amp;"",DISPLAY!$B$3:$B$1000&amp;"",DISPLAY!$H$3:$H$1000,""),"Network Device",_xlfn.XLOOKUP($K33&amp;"",'NETWORK-DEVICES'!$B$3:$B$987&amp;"",'NETWORK-DEVICES'!$H$3:$H$987,""),"Peripheral",_xlfn.XLOOKUP($K33&amp;"",PERIPHERAL!$B$3:$B$954&amp;"",PERIPHERAL!$H$3:$H$954,""),"Utilities",_xlfn.XLOOKUP($K33&amp;"",UTILITIES!$B$3:$B$953&amp;"",UTILITIES!$G$3:$G$953,""),"IOT",_xlfn.XLOOKUP($K33&amp;"",IOT!$B$3:$B$1012&amp;"",IOT!$H$3:$H$1012,""),"Server",_xlfn.XLOOKUP($K33&amp;"",SERVER!$B$3:$B$1009&amp;"",SERVER!$H$3:$H$1009,""),""),IF(TRIM(_xlpm.srcCat)&lt;&gt;TRIM($J33),"",_xlfn.SWITCH($I33,"Computer",_xlfn.XLOOKUP($K33&amp;"",COMPUTER!$B$3:$B$1009&amp;"",COMPUTER!$AM$3:$AM$1009,""),"Display",_xlfn.XLOOKUP($K33&amp;"",DISPLAY!$B$3:$B$1000&amp;"",DISPLAY!$V$3:$V$1000,""),"Network Device",_xlfn.XLOOKUP($K33&amp;"",'NETWORK-DEVICES'!$B$3:$B$987&amp;"",'NETWORK-DEVICES'!$AF$3:$AF$987,""),"Peripheral",_xlfn.XLOOKUP($K33&amp;"",PERIPHERAL!$B$3:$B$954&amp;"",PERIPHERAL!$Y$3:$Y$954,""),"Utilities",_xlfn.XLOOKUP($K33&amp;"",UTILITIES!$B$3:$B$953&amp;"",UTILITIES!$O$3:$O$953,""),"IOT",_xlfn.XLOOKUP($K33&amp;"",IOT!$B$3:$B$1012&amp;"",IOT!$AB$3:$AB$1012,""),"Server",_xlfn.XLOOKUP($K33&amp;"",SERVER!$B$3:$B$1009&amp;"",SERVER!$AB$3:$AB$1009,""),""))))</f>
        <v>New</v>
      </c>
      <c r="R33" s="43">
        <f>IF(tbl_handover[[#This Row],[Asset Code]]="","",COUNTIF(tbl_handover[Asset Code],tbl_handover[[#This Row],[Asset Code]]))</f>
        <v>1</v>
      </c>
      <c r="S33" s="1" t="s">
        <v>1160</v>
      </c>
      <c r="U33" s="60" t="b">
        <v>0</v>
      </c>
    </row>
    <row r="34" spans="1:21" x14ac:dyDescent="0.25">
      <c r="A34" s="43">
        <f>IF(B34&lt;&gt;"",SUBTOTAL(3,$B$1:B33),"")</f>
        <v>33</v>
      </c>
      <c r="B34" t="s">
        <v>1187</v>
      </c>
      <c r="C34" s="74">
        <v>46275</v>
      </c>
      <c r="D34" s="74"/>
      <c r="E34" t="s">
        <v>1188</v>
      </c>
      <c r="F34" s="13" t="s">
        <v>104</v>
      </c>
      <c r="G34" s="1" t="s">
        <v>1128</v>
      </c>
      <c r="H34" t="s">
        <v>1147</v>
      </c>
      <c r="I34" s="1" t="s">
        <v>695</v>
      </c>
      <c r="J34" s="1" t="s">
        <v>790</v>
      </c>
      <c r="K34" s="42" t="s">
        <v>1191</v>
      </c>
      <c r="L34" t="str" cm="1">
        <f t="array" ref="L34">IF($K34="","",_xlfn.SWITCH($I34,"Computer",_xlfn.XLOOKUP($K34&amp;"",COMPUTER!$B$3:$B$1009&amp;"",COMPUTER!$I$3:$I$1009,""),"Display",_xlfn.XLOOKUP($K34&amp;"",DISPLAY!$B$3:$B$1000&amp;"",DISPLAY!$J$3:$J$1000,""),"Network Device",_xlfn.XLOOKUP($K34&amp;"",'NETWORK-DEVICES'!$B$3:$B$987&amp;"",'NETWORK-DEVICES'!$I$3:$I$987,""),"Peripheral",_xlfn.XLOOKUP($K34&amp;"",PERIPHERAL!$B$3:$B$954&amp;"",PERIPHERAL!$I$3:$I$954,""),"Utilities",_xlfn.XLOOKUP($K34&amp;"",UTILITIES!$B$3:$B$953&amp;"",UTILITIES!$H$3:$H$953,""),"IOT",_xlfn.XLOOKUP($K34&amp;"",IOT!$B$3:$B$1012&amp;"",IOT!$I$3:$I$1012,""),"SERVER",_xlfn.XLOOKUP($K34&amp;"",SERVER!$B$3:$B$1009&amp;"",SERVER!$I$3:$I$1009,""),""))</f>
        <v>Sandisk Ultra Dual Drive Luxe 64GB-400MB/s</v>
      </c>
      <c r="M34" t="str" cm="1">
        <f t="array" ref="M34">IF($K34="","",_xlfn.SWITCH($I34,"Computer",_xlfn.XLOOKUP($K34&amp;"",COMPUTER!$B$3:$B$1009&amp;"",COMPUTER!$J$3:$J$1009,""),"Display",_xlfn.XLOOKUP($K34&amp;"",DISPLAY!$B$3:$B$1000&amp;"",DISPLAY!$K$3:$K$1000,""),"Network Device",_xlfn.XLOOKUP($K34&amp;"",'NETWORK-DEVICES'!$B$3:$B$987&amp;"",'NETWORK-DEVICES'!$I$3:$I$987,""),"Peripheral",_xlfn.XLOOKUP($K34&amp;"",PERIPHERAL!$B$3:$B$954&amp;"",PERIPHERAL!$J$3:$J$954,""),"Utilities",_xlfn.XLOOKUP($K34&amp;"",UTILITIES!$B$3:$B$953&amp;"",UTILITIES!$I$3:$I$953,""),"IOT",_xlfn.XLOOKUP($K34&amp;"",IOT!$B$3:$B$1012&amp;"",IOT!$J$3:$J$1012,""),"Server",_xlfn.XLOOKUP($K34&amp;"",SERVER!$B$3:$B$1009&amp;"",SERVER!$J$3:$J$1009,""),""))</f>
        <v>FD</v>
      </c>
      <c r="N34" s="1" cm="1">
        <f t="array" ref="N34">IF(OR($K34="",$I34="",$J34=""),"",_xlfn.LET(_xlpm.srcCat,_xlfn.SWITCH($I34,"Computer",_xlfn.XLOOKUP($K34&amp;"",COMPUTER!$B$3:$B$1009&amp;"",COMPUTER!$H$3:$H$1009,""),"Display",_xlfn.XLOOKUP($K34&amp;"",DISPLAY!$B$3:$B$1000&amp;"",DISPLAY!$H$3:$H$1000,""),"Network Device",_xlfn.XLOOKUP($K34&amp;"",'NETWORK-DEVICES'!$B$3:$B$987&amp;"",'NETWORK-DEVICES'!$H$3:$H$987,""),"Peripheral",_xlfn.XLOOKUP($K34&amp;"",PERIPHERAL!$B$3:$B$954&amp;"",PERIPHERAL!$H$3:$H$954,""),"Utilities",_xlfn.XLOOKUP($K34&amp;"",UTILITIES!$B$3:$B$953&amp;"",UTILITIES!$G$3:$G$953,""),"IOT",_xlfn.XLOOKUP($K34&amp;"",IOT!$B$3:$B$1012&amp;"",IOT!$H$3:$H$1012,""),"Server",_xlfn.XLOOKUP($K34&amp;"",SERVER!$B$3:$B$1009&amp;"",SERVER!$H$3:$H$1009,""),""),IF(TRIM(_xlpm.srcCat)&lt;&gt;TRIM($J34),"",_xlfn.SWITCH($I34,"Computer",_xlfn.XLOOKUP($K34&amp;"",COMPUTER!$B$3:$B$1009&amp;"",COMPUTER!$K$3:$K$1009,""),"Display",_xlfn.XLOOKUP($K34&amp;"",DISPLAY!$B$3:$B$1000&amp;"",DISPLAY!$L$3:$L$1000,""),"Network Device",_xlfn.XLOOKUP($K34&amp;"",'NETWORK-DEVICES'!$B$3:$B$987&amp;"",'NETWORK-DEVICES'!$K$3:$K$987,""),"Peripheral",_xlfn.XLOOKUP($K34&amp;"",PERIPHERAL!$B$3:$B$954&amp;"",PERIPHERAL!$K$3:$K$954,""),"Utilities",_xlfn.XLOOKUP($K34&amp;"",UTILITIES!$B$3:$B$953&amp;"",UTILITIES!$J$3:$J$953,""),"IOT",_xlfn.XLOOKUP($K34&amp;"",IOT!$B$3:$B$1012&amp;"",IOT!$K$4:$K$1012,""),"Server",_xlfn.XLOOKUP($K34&amp;"",SERVER!$B$3:$B$1009&amp;"",SERVER!$K$3:$K$1009,""),""))))</f>
        <v>19659179021</v>
      </c>
      <c r="O34" s="1" t="str" cm="1">
        <f t="array" ref="O34">IF(OR($K34="",$I34="",$J34=""),"",_xlfn.LET(_xlpm.srcCat,_xlfn.SWITCH($I34,"Computer",_xlfn.XLOOKUP($K34&amp;"",COMPUTER!$B$3:$B$1009&amp;"",COMPUTER!$H$3:$H$1009,""),"Display",_xlfn.XLOOKUP($K34&amp;"",DISPLAY!$B$3:$B$1000&amp;"",DISPLAY!$H$3:$H$1000,""),"Network Device",_xlfn.XLOOKUP($K34&amp;"",'NETWORK-DEVICES'!$B$3:$B$987&amp;"",'NETWORK-DEVICES'!$H$3:$H$987,""),"Peripheral",_xlfn.XLOOKUP($K34&amp;"",PERIPHERAL!$B$3:$B$954&amp;"",PERIPHERAL!$H$3:$H$954,""),"Utilities",_xlfn.XLOOKUP($K34&amp;"",UTILITIES!$B$3:$B$953&amp;"",UTILITIES!$G$3:$G$953,""),"IOT",_xlfn.XLOOKUP($K34&amp;"",IOT!$B$3:$B$1012&amp;"",IOT!$H$3:$H$1012,""),"Server",_xlfn.XLOOKUP($K34&amp;"",SERVER!$B$3:$B$1009&amp;"",SERVER!$H$3:$H$1009,""),""),IF(TRIM(_xlpm.srcCat)&lt;&gt;TRIM($J34),"",_xlfn.SWITCH($I34,"Computer",_xlfn.XLOOKUP($K34&amp;"",COMPUTER!$B$3:$B$1009&amp;"",COMPUTER!$E$3:$E$1009,""),"Display",_xlfn.XLOOKUP($K34&amp;"",DISPLAY!$B$3:$B$1000&amp;"",DISPLAY!$E$3:$E$1000,""),"Network Device",_xlfn.XLOOKUP($K34&amp;"",'NETWORK-DEVICES'!$B$3:$B$987&amp;"",'NETWORK-DEVICES'!$E$3:$E$987,""),"Peripheral",_xlfn.XLOOKUP($K34&amp;"",PERIPHERAL!$B$3:$B$954&amp;"",PERIPHERAL!$E$3:$E$954,""),"Utilities",_xlfn.XLOOKUP($K34&amp;"",UTILITIES!$B$3:$B$953&amp;"",UTILITIES!$E$3:$E$953,""),"IOT",_xlfn.XLOOKUP($K34&amp;"",IOT!$B$3:$B$1012&amp;"",IOT!$E$3:$E$1012,""),"Server",_xlfn.XLOOKUP($K34&amp;"",SERVER!$B$3:$B$1009&amp;"",SERVER!$E$3:$E$1009,""),""))))</f>
        <v>Patimban</v>
      </c>
      <c r="P34" t="s">
        <v>203</v>
      </c>
      <c r="Q34" s="1" t="str" cm="1">
        <f t="array" ref="Q34">IF(OR($K34="",$I34="",$J34=""),"",_xlfn.LET(_xlpm.srcCat,_xlfn.SWITCH($I34,"Computer",_xlfn.XLOOKUP($K34&amp;"",COMPUTER!$B$3:$B$1009&amp;"",COMPUTER!$H$3:$H$1009,""),"Display",_xlfn.XLOOKUP($K34&amp;"",DISPLAY!$B$3:$B$1000&amp;"",DISPLAY!$H$3:$H$1000,""),"Network Device",_xlfn.XLOOKUP($K34&amp;"",'NETWORK-DEVICES'!$B$3:$B$987&amp;"",'NETWORK-DEVICES'!$H$3:$H$987,""),"Peripheral",_xlfn.XLOOKUP($K34&amp;"",PERIPHERAL!$B$3:$B$954&amp;"",PERIPHERAL!$H$3:$H$954,""),"Utilities",_xlfn.XLOOKUP($K34&amp;"",UTILITIES!$B$3:$B$953&amp;"",UTILITIES!$G$3:$G$953,""),"IOT",_xlfn.XLOOKUP($K34&amp;"",IOT!$B$3:$B$1012&amp;"",IOT!$H$3:$H$1012,""),"Server",_xlfn.XLOOKUP($K34&amp;"",SERVER!$B$3:$B$1009&amp;"",SERVER!$H$3:$H$1009,""),""),IF(TRIM(_xlpm.srcCat)&lt;&gt;TRIM($J34),"",_xlfn.SWITCH($I34,"Computer",_xlfn.XLOOKUP($K34&amp;"",COMPUTER!$B$3:$B$1009&amp;"",COMPUTER!$AM$3:$AM$1009,""),"Display",_xlfn.XLOOKUP($K34&amp;"",DISPLAY!$B$3:$B$1000&amp;"",DISPLAY!$V$3:$V$1000,""),"Network Device",_xlfn.XLOOKUP($K34&amp;"",'NETWORK-DEVICES'!$B$3:$B$987&amp;"",'NETWORK-DEVICES'!$AF$3:$AF$987,""),"Peripheral",_xlfn.XLOOKUP($K34&amp;"",PERIPHERAL!$B$3:$B$954&amp;"",PERIPHERAL!$Y$3:$Y$954,""),"Utilities",_xlfn.XLOOKUP($K34&amp;"",UTILITIES!$B$3:$B$953&amp;"",UTILITIES!$O$3:$O$953,""),"IOT",_xlfn.XLOOKUP($K34&amp;"",IOT!$B$3:$B$1012&amp;"",IOT!$AB$3:$AB$1012,""),"Server",_xlfn.XLOOKUP($K34&amp;"",SERVER!$B$3:$B$1009&amp;"",SERVER!$AB$3:$AB$1009,""),""))))</f>
        <v>New</v>
      </c>
      <c r="R34" s="43">
        <v>1</v>
      </c>
      <c r="S34" s="1" t="s">
        <v>1160</v>
      </c>
      <c r="U34" s="60" t="b">
        <v>0</v>
      </c>
    </row>
    <row r="35" spans="1:21" x14ac:dyDescent="0.25">
      <c r="A35" s="43">
        <f>IF(B35&lt;&gt;"",SUBTOTAL(3,$B$1:B34),"")</f>
        <v>34</v>
      </c>
      <c r="B35" t="s">
        <v>1192</v>
      </c>
      <c r="C35" s="74">
        <v>46275</v>
      </c>
      <c r="D35" s="74"/>
      <c r="E35" t="s">
        <v>1193</v>
      </c>
      <c r="F35" s="13" t="s">
        <v>104</v>
      </c>
      <c r="G35" s="1" t="s">
        <v>1128</v>
      </c>
      <c r="H35" t="s">
        <v>1147</v>
      </c>
      <c r="I35" s="1" t="s">
        <v>695</v>
      </c>
      <c r="J35" s="1" t="s">
        <v>745</v>
      </c>
      <c r="K35" s="42" t="s">
        <v>1194</v>
      </c>
      <c r="L35" t="str" cm="1">
        <f t="array" ref="L35">IF($K35="","",_xlfn.SWITCH($I35,"Computer",_xlfn.XLOOKUP($K35&amp;"",COMPUTER!$B$3:$B$1009&amp;"",COMPUTER!$I$3:$I$1009,""),"Display",_xlfn.XLOOKUP($K35&amp;"",DISPLAY!$B$3:$B$1000&amp;"",DISPLAY!$J$3:$J$1000,""),"Network Device",_xlfn.XLOOKUP($K35&amp;"",'NETWORK-DEVICES'!$B$3:$B$987&amp;"",'NETWORK-DEVICES'!$I$3:$I$987,""),"Peripheral",_xlfn.XLOOKUP($K35&amp;"",PERIPHERAL!$B$3:$B$954&amp;"",PERIPHERAL!$I$3:$I$954,""),"Utilities",_xlfn.XLOOKUP($K35&amp;"",UTILITIES!$B$3:$B$953&amp;"",UTILITIES!$H$3:$H$953,""),"IOT",_xlfn.XLOOKUP($K35&amp;"",IOT!$B$3:$B$1012&amp;"",IOT!$I$3:$I$1012,""),"SERVER",_xlfn.XLOOKUP($K35&amp;"",SERVER!$B$3:$B$1009&amp;"",SERVER!$I$3:$I$1009,""),""))</f>
        <v>USB Heaset Stereo H570E Logitech</v>
      </c>
      <c r="M35" t="str" cm="1">
        <f t="array" ref="M35">IF($K35="","",_xlfn.SWITCH($I35,"Computer",_xlfn.XLOOKUP($K35&amp;"",COMPUTER!$B$3:$B$1009&amp;"",COMPUTER!$J$3:$J$1009,""),"Display",_xlfn.XLOOKUP($K35&amp;"",DISPLAY!$B$3:$B$1000&amp;"",DISPLAY!$K$3:$K$1000,""),"Network Device",_xlfn.XLOOKUP($K35&amp;"",'NETWORK-DEVICES'!$B$3:$B$987&amp;"",'NETWORK-DEVICES'!$I$3:$I$987,""),"Peripheral",_xlfn.XLOOKUP($K35&amp;"",PERIPHERAL!$B$3:$B$954&amp;"",PERIPHERAL!$J$3:$J$954,""),"Utilities",_xlfn.XLOOKUP($K35&amp;"",UTILITIES!$B$3:$B$953&amp;"",UTILITIES!$I$3:$I$953,""),"IOT",_xlfn.XLOOKUP($K35&amp;"",IOT!$B$3:$B$1012&amp;"",IOT!$J$3:$J$1012,""),"Server",_xlfn.XLOOKUP($K35&amp;"",SERVER!$B$3:$B$1009&amp;"",SERVER!$J$3:$J$1009,""),""))</f>
        <v>Headset USB</v>
      </c>
      <c r="N35" s="1" t="str" cm="1">
        <f t="array" ref="N35">IF(OR($K35="",$I35="",$J35=""),"",_xlfn.LET(_xlpm.srcCat,_xlfn.SWITCH($I35,"Computer",_xlfn.XLOOKUP($K35&amp;"",COMPUTER!$B$3:$B$1009&amp;"",COMPUTER!$H$3:$H$1009,""),"Display",_xlfn.XLOOKUP($K35&amp;"",DISPLAY!$B$3:$B$1000&amp;"",DISPLAY!$H$3:$H$1000,""),"Network Device",_xlfn.XLOOKUP($K35&amp;"",'NETWORK-DEVICES'!$B$3:$B$987&amp;"",'NETWORK-DEVICES'!$H$3:$H$987,""),"Peripheral",_xlfn.XLOOKUP($K35&amp;"",PERIPHERAL!$B$3:$B$954&amp;"",PERIPHERAL!$H$3:$H$954,""),"Utilities",_xlfn.XLOOKUP($K35&amp;"",UTILITIES!$B$3:$B$953&amp;"",UTILITIES!$G$3:$G$953,""),"IOT",_xlfn.XLOOKUP($K35&amp;"",IOT!$B$3:$B$1012&amp;"",IOT!$H$3:$H$1012,""),"Server",_xlfn.XLOOKUP($K35&amp;"",SERVER!$B$3:$B$1009&amp;"",SERVER!$H$3:$H$1009,""),""),IF(TRIM(_xlpm.srcCat)&lt;&gt;TRIM($J35),"",_xlfn.SWITCH($I35,"Computer",_xlfn.XLOOKUP($K35&amp;"",COMPUTER!$B$3:$B$1009&amp;"",COMPUTER!$K$3:$K$1009,""),"Display",_xlfn.XLOOKUP($K35&amp;"",DISPLAY!$B$3:$B$1000&amp;"",DISPLAY!$L$3:$L$1000,""),"Network Device",_xlfn.XLOOKUP($K35&amp;"",'NETWORK-DEVICES'!$B$3:$B$987&amp;"",'NETWORK-DEVICES'!$K$3:$K$987,""),"Peripheral",_xlfn.XLOOKUP($K35&amp;"",PERIPHERAL!$B$3:$B$954&amp;"",PERIPHERAL!$K$3:$K$954,""),"Utilities",_xlfn.XLOOKUP($K35&amp;"",UTILITIES!$B$3:$B$953&amp;"",UTILITIES!$J$3:$J$953,""),"IOT",_xlfn.XLOOKUP($K35&amp;"",IOT!$B$3:$B$1012&amp;"",IOT!$K$4:$K$1012,""),"Server",_xlfn.XLOOKUP($K35&amp;"",SERVER!$B$3:$B$1009&amp;"",SERVER!$K$3:$K$1009,""),""))))</f>
        <v>2404ME01H6W8</v>
      </c>
      <c r="O35" s="1" t="str" cm="1">
        <f t="array" ref="O35">IF(OR($K35="",$I35="",$J35=""),"",_xlfn.LET(_xlpm.srcCat,_xlfn.SWITCH($I35,"Computer",_xlfn.XLOOKUP($K35&amp;"",COMPUTER!$B$3:$B$1009&amp;"",COMPUTER!$H$3:$H$1009,""),"Display",_xlfn.XLOOKUP($K35&amp;"",DISPLAY!$B$3:$B$1000&amp;"",DISPLAY!$H$3:$H$1000,""),"Network Device",_xlfn.XLOOKUP($K35&amp;"",'NETWORK-DEVICES'!$B$3:$B$987&amp;"",'NETWORK-DEVICES'!$H$3:$H$987,""),"Peripheral",_xlfn.XLOOKUP($K35&amp;"",PERIPHERAL!$B$3:$B$954&amp;"",PERIPHERAL!$H$3:$H$954,""),"Utilities",_xlfn.XLOOKUP($K35&amp;"",UTILITIES!$B$3:$B$953&amp;"",UTILITIES!$G$3:$G$953,""),"IOT",_xlfn.XLOOKUP($K35&amp;"",IOT!$B$3:$B$1012&amp;"",IOT!$H$3:$H$1012,""),"Server",_xlfn.XLOOKUP($K35&amp;"",SERVER!$B$3:$B$1009&amp;"",SERVER!$H$3:$H$1009,""),""),IF(TRIM(_xlpm.srcCat)&lt;&gt;TRIM($J35),"",_xlfn.SWITCH($I35,"Computer",_xlfn.XLOOKUP($K35&amp;"",COMPUTER!$B$3:$B$1009&amp;"",COMPUTER!$E$3:$E$1009,""),"Display",_xlfn.XLOOKUP($K35&amp;"",DISPLAY!$B$3:$B$1000&amp;"",DISPLAY!$E$3:$E$1000,""),"Network Device",_xlfn.XLOOKUP($K35&amp;"",'NETWORK-DEVICES'!$B$3:$B$987&amp;"",'NETWORK-DEVICES'!$E$3:$E$987,""),"Peripheral",_xlfn.XLOOKUP($K35&amp;"",PERIPHERAL!$B$3:$B$954&amp;"",PERIPHERAL!$E$3:$E$954,""),"Utilities",_xlfn.XLOOKUP($K35&amp;"",UTILITIES!$B$3:$B$953&amp;"",UTILITIES!$E$3:$E$953,""),"IOT",_xlfn.XLOOKUP($K35&amp;"",IOT!$B$3:$B$1012&amp;"",IOT!$E$3:$E$1012,""),"Server",_xlfn.XLOOKUP($K35&amp;"",SERVER!$B$3:$B$1009&amp;"",SERVER!$E$3:$E$1009,""),""))))</f>
        <v>Patimban</v>
      </c>
      <c r="P35" t="s">
        <v>203</v>
      </c>
      <c r="Q35" s="1" t="str" cm="1">
        <f t="array" ref="Q35">IF(OR($K35="",$I35="",$J35=""),"",_xlfn.LET(_xlpm.srcCat,_xlfn.SWITCH($I35,"Computer",_xlfn.XLOOKUP($K35&amp;"",COMPUTER!$B$3:$B$1009&amp;"",COMPUTER!$H$3:$H$1009,""),"Display",_xlfn.XLOOKUP($K35&amp;"",DISPLAY!$B$3:$B$1000&amp;"",DISPLAY!$H$3:$H$1000,""),"Network Device",_xlfn.XLOOKUP($K35&amp;"",'NETWORK-DEVICES'!$B$3:$B$987&amp;"",'NETWORK-DEVICES'!$H$3:$H$987,""),"Peripheral",_xlfn.XLOOKUP($K35&amp;"",PERIPHERAL!$B$3:$B$954&amp;"",PERIPHERAL!$H$3:$H$954,""),"Utilities",_xlfn.XLOOKUP($K35&amp;"",UTILITIES!$B$3:$B$953&amp;"",UTILITIES!$G$3:$G$953,""),"IOT",_xlfn.XLOOKUP($K35&amp;"",IOT!$B$3:$B$1012&amp;"",IOT!$H$3:$H$1012,""),"Server",_xlfn.XLOOKUP($K35&amp;"",SERVER!$B$3:$B$1009&amp;"",SERVER!$H$3:$H$1009,""),""),IF(TRIM(_xlpm.srcCat)&lt;&gt;TRIM($J35),"",_xlfn.SWITCH($I35,"Computer",_xlfn.XLOOKUP($K35&amp;"",COMPUTER!$B$3:$B$1009&amp;"",COMPUTER!$AM$3:$AM$1009,""),"Display",_xlfn.XLOOKUP($K35&amp;"",DISPLAY!$B$3:$B$1000&amp;"",DISPLAY!$V$3:$V$1000,""),"Network Device",_xlfn.XLOOKUP($K35&amp;"",'NETWORK-DEVICES'!$B$3:$B$987&amp;"",'NETWORK-DEVICES'!$AF$3:$AF$987,""),"Peripheral",_xlfn.XLOOKUP($K35&amp;"",PERIPHERAL!$B$3:$B$954&amp;"",PERIPHERAL!$Y$3:$Y$954,""),"Utilities",_xlfn.XLOOKUP($K35&amp;"",UTILITIES!$B$3:$B$953&amp;"",UTILITIES!$O$3:$O$953,""),"IOT",_xlfn.XLOOKUP($K35&amp;"",IOT!$B$3:$B$1012&amp;"",IOT!$AB$3:$AB$1012,""),"Server",_xlfn.XLOOKUP($K35&amp;"",SERVER!$B$3:$B$1009&amp;"",SERVER!$AB$3:$AB$1009,""),""))))</f>
        <v>New</v>
      </c>
      <c r="R35" s="43">
        <f>IF(tbl_handover[[#This Row],[Asset Code]]="","",COUNTIF(tbl_handover[Asset Code],tbl_handover[[#This Row],[Asset Code]]))</f>
        <v>1</v>
      </c>
      <c r="S35" s="1" t="s">
        <v>1160</v>
      </c>
      <c r="U35" s="60" t="b">
        <v>0</v>
      </c>
    </row>
    <row r="36" spans="1:21" x14ac:dyDescent="0.25">
      <c r="A36" s="43">
        <f>IF(B36&lt;&gt;"",SUBTOTAL(3,$B$1:B35),"")</f>
        <v>35</v>
      </c>
      <c r="B36" t="s">
        <v>1195</v>
      </c>
      <c r="C36" s="74">
        <v>46276</v>
      </c>
      <c r="D36" s="74"/>
      <c r="E36" t="s">
        <v>1196</v>
      </c>
      <c r="F36" s="13" t="s">
        <v>104</v>
      </c>
      <c r="G36" s="1" t="s">
        <v>1128</v>
      </c>
      <c r="H36" t="s">
        <v>1197</v>
      </c>
      <c r="I36" s="1" t="s">
        <v>695</v>
      </c>
      <c r="J36" s="1" t="s">
        <v>745</v>
      </c>
      <c r="K36" s="42" t="s">
        <v>1198</v>
      </c>
      <c r="L36" t="str" cm="1">
        <f t="array" ref="L36">IF($K36="","",_xlfn.SWITCH($I36,"Computer",_xlfn.XLOOKUP($K36&amp;"",COMPUTER!$B$3:$B$1009&amp;"",COMPUTER!$I$3:$I$1009,""),"Display",_xlfn.XLOOKUP($K36&amp;"",DISPLAY!$B$3:$B$1000&amp;"",DISPLAY!$J$3:$J$1000,""),"Network Device",_xlfn.XLOOKUP($K36&amp;"",'NETWORK-DEVICES'!$B$3:$B$987&amp;"",'NETWORK-DEVICES'!$I$3:$I$987,""),"Peripheral",_xlfn.XLOOKUP($K36&amp;"",PERIPHERAL!$B$3:$B$954&amp;"",PERIPHERAL!$I$3:$I$954,""),"Utilities",_xlfn.XLOOKUP($K36&amp;"",UTILITIES!$B$3:$B$953&amp;"",UTILITIES!$H$3:$H$953,""),"IOT",_xlfn.XLOOKUP($K36&amp;"",IOT!$B$3:$B$1012&amp;"",IOT!$I$3:$I$1012,""),"SERVER",_xlfn.XLOOKUP($K36&amp;"",SERVER!$B$3:$B$1009&amp;"",SERVER!$I$3:$I$1009,""),""))</f>
        <v>USB Heaset Stereo H570E Logitech</v>
      </c>
      <c r="M36" t="str" cm="1">
        <f t="array" ref="M36">IF($K36="","",_xlfn.SWITCH($I36,"Computer",_xlfn.XLOOKUP($K36&amp;"",COMPUTER!$B$3:$B$1009&amp;"",COMPUTER!$J$3:$J$1009,""),"Display",_xlfn.XLOOKUP($K36&amp;"",DISPLAY!$B$3:$B$1000&amp;"",DISPLAY!$K$3:$K$1000,""),"Network Device",_xlfn.XLOOKUP($K36&amp;"",'NETWORK-DEVICES'!$B$3:$B$987&amp;"",'NETWORK-DEVICES'!$I$3:$I$987,""),"Peripheral",_xlfn.XLOOKUP($K36&amp;"",PERIPHERAL!$B$3:$B$954&amp;"",PERIPHERAL!$J$3:$J$954,""),"Utilities",_xlfn.XLOOKUP($K36&amp;"",UTILITIES!$B$3:$B$953&amp;"",UTILITIES!$I$3:$I$953,""),"IOT",_xlfn.XLOOKUP($K36&amp;"",IOT!$B$3:$B$1012&amp;"",IOT!$J$3:$J$1012,""),"Server",_xlfn.XLOOKUP($K36&amp;"",SERVER!$B$3:$B$1009&amp;"",SERVER!$J$3:$J$1009,""),""))</f>
        <v>Headset USB</v>
      </c>
      <c r="N36" s="1" t="str" cm="1">
        <f t="array" ref="N36">IF(OR($K36="",$I36="",$J36=""),"",_xlfn.LET(_xlpm.srcCat,_xlfn.SWITCH($I36,"Computer",_xlfn.XLOOKUP($K36&amp;"",COMPUTER!$B$3:$B$1009&amp;"",COMPUTER!$H$3:$H$1009,""),"Display",_xlfn.XLOOKUP($K36&amp;"",DISPLAY!$B$3:$B$1000&amp;"",DISPLAY!$H$3:$H$1000,""),"Network Device",_xlfn.XLOOKUP($K36&amp;"",'NETWORK-DEVICES'!$B$3:$B$987&amp;"",'NETWORK-DEVICES'!$H$3:$H$987,""),"Peripheral",_xlfn.XLOOKUP($K36&amp;"",PERIPHERAL!$B$3:$B$954&amp;"",PERIPHERAL!$H$3:$H$954,""),"Utilities",_xlfn.XLOOKUP($K36&amp;"",UTILITIES!$B$3:$B$953&amp;"",UTILITIES!$G$3:$G$953,""),"IOT",_xlfn.XLOOKUP($K36&amp;"",IOT!$B$3:$B$1012&amp;"",IOT!$H$3:$H$1012,""),"Server",_xlfn.XLOOKUP($K36&amp;"",SERVER!$B$3:$B$1009&amp;"",SERVER!$H$3:$H$1009,""),""),IF(TRIM(_xlpm.srcCat)&lt;&gt;TRIM($J36),"",_xlfn.SWITCH($I36,"Computer",_xlfn.XLOOKUP($K36&amp;"",COMPUTER!$B$3:$B$1009&amp;"",COMPUTER!$K$3:$K$1009,""),"Display",_xlfn.XLOOKUP($K36&amp;"",DISPLAY!$B$3:$B$1000&amp;"",DISPLAY!$L$3:$L$1000,""),"Network Device",_xlfn.XLOOKUP($K36&amp;"",'NETWORK-DEVICES'!$B$3:$B$987&amp;"",'NETWORK-DEVICES'!$K$3:$K$987,""),"Peripheral",_xlfn.XLOOKUP($K36&amp;"",PERIPHERAL!$B$3:$B$954&amp;"",PERIPHERAL!$K$3:$K$954,""),"Utilities",_xlfn.XLOOKUP($K36&amp;"",UTILITIES!$B$3:$B$953&amp;"",UTILITIES!$J$3:$J$953,""),"IOT",_xlfn.XLOOKUP($K36&amp;"",IOT!$B$3:$B$1012&amp;"",IOT!$K$4:$K$1012,""),"Server",_xlfn.XLOOKUP($K36&amp;"",SERVER!$B$3:$B$1009&amp;"",SERVER!$K$3:$K$1009,""),""))))</f>
        <v>2543ME52ECN8</v>
      </c>
      <c r="O36" s="1" t="str" cm="1">
        <f t="array" ref="O36">IF(OR($K36="",$I36="",$J36=""),"",_xlfn.LET(_xlpm.srcCat,_xlfn.SWITCH($I36,"Computer",_xlfn.XLOOKUP($K36&amp;"",COMPUTER!$B$3:$B$1009&amp;"",COMPUTER!$H$3:$H$1009,""),"Display",_xlfn.XLOOKUP($K36&amp;"",DISPLAY!$B$3:$B$1000&amp;"",DISPLAY!$H$3:$H$1000,""),"Network Device",_xlfn.XLOOKUP($K36&amp;"",'NETWORK-DEVICES'!$B$3:$B$987&amp;"",'NETWORK-DEVICES'!$H$3:$H$987,""),"Peripheral",_xlfn.XLOOKUP($K36&amp;"",PERIPHERAL!$B$3:$B$954&amp;"",PERIPHERAL!$H$3:$H$954,""),"Utilities",_xlfn.XLOOKUP($K36&amp;"",UTILITIES!$B$3:$B$953&amp;"",UTILITIES!$G$3:$G$953,""),"IOT",_xlfn.XLOOKUP($K36&amp;"",IOT!$B$3:$B$1012&amp;"",IOT!$H$3:$H$1012,""),"Server",_xlfn.XLOOKUP($K36&amp;"",SERVER!$B$3:$B$1009&amp;"",SERVER!$H$3:$H$1009,""),""),IF(TRIM(_xlpm.srcCat)&lt;&gt;TRIM($J36),"",_xlfn.SWITCH($I36,"Computer",_xlfn.XLOOKUP($K36&amp;"",COMPUTER!$B$3:$B$1009&amp;"",COMPUTER!$E$3:$E$1009,""),"Display",_xlfn.XLOOKUP($K36&amp;"",DISPLAY!$B$3:$B$1000&amp;"",DISPLAY!$E$3:$E$1000,""),"Network Device",_xlfn.XLOOKUP($K36&amp;"",'NETWORK-DEVICES'!$B$3:$B$987&amp;"",'NETWORK-DEVICES'!$E$3:$E$987,""),"Peripheral",_xlfn.XLOOKUP($K36&amp;"",PERIPHERAL!$B$3:$B$954&amp;"",PERIPHERAL!$E$3:$E$954,""),"Utilities",_xlfn.XLOOKUP($K36&amp;"",UTILITIES!$B$3:$B$953&amp;"",UTILITIES!$E$3:$E$953,""),"IOT",_xlfn.XLOOKUP($K36&amp;"",IOT!$B$3:$B$1012&amp;"",IOT!$E$3:$E$1012,""),"Server",_xlfn.XLOOKUP($K36&amp;"",SERVER!$B$3:$B$1009&amp;"",SERVER!$E$3:$E$1009,""),""))))</f>
        <v>Patimban</v>
      </c>
      <c r="P36" t="s">
        <v>124</v>
      </c>
      <c r="Q36" s="1" t="str" cm="1">
        <f t="array" ref="Q36">IF(OR($K36="",$I36="",$J36=""),"",_xlfn.LET(_xlpm.srcCat,_xlfn.SWITCH($I36,"Computer",_xlfn.XLOOKUP($K36&amp;"",COMPUTER!$B$3:$B$1009&amp;"",COMPUTER!$H$3:$H$1009,""),"Display",_xlfn.XLOOKUP($K36&amp;"",DISPLAY!$B$3:$B$1000&amp;"",DISPLAY!$H$3:$H$1000,""),"Network Device",_xlfn.XLOOKUP($K36&amp;"",'NETWORK-DEVICES'!$B$3:$B$987&amp;"",'NETWORK-DEVICES'!$H$3:$H$987,""),"Peripheral",_xlfn.XLOOKUP($K36&amp;"",PERIPHERAL!$B$3:$B$954&amp;"",PERIPHERAL!$H$3:$H$954,""),"Utilities",_xlfn.XLOOKUP($K36&amp;"",UTILITIES!$B$3:$B$953&amp;"",UTILITIES!$G$3:$G$953,""),"IOT",_xlfn.XLOOKUP($K36&amp;"",IOT!$B$3:$B$1012&amp;"",IOT!$H$3:$H$1012,""),"Server",_xlfn.XLOOKUP($K36&amp;"",SERVER!$B$3:$B$1009&amp;"",SERVER!$H$3:$H$1009,""),""),IF(TRIM(_xlpm.srcCat)&lt;&gt;TRIM($J36),"",_xlfn.SWITCH($I36,"Computer",_xlfn.XLOOKUP($K36&amp;"",COMPUTER!$B$3:$B$1009&amp;"",COMPUTER!$AM$3:$AM$1009,""),"Display",_xlfn.XLOOKUP($K36&amp;"",DISPLAY!$B$3:$B$1000&amp;"",DISPLAY!$V$3:$V$1000,""),"Network Device",_xlfn.XLOOKUP($K36&amp;"",'NETWORK-DEVICES'!$B$3:$B$987&amp;"",'NETWORK-DEVICES'!$AF$3:$AF$987,""),"Peripheral",_xlfn.XLOOKUP($K36&amp;"",PERIPHERAL!$B$3:$B$954&amp;"",PERIPHERAL!$Y$3:$Y$954,""),"Utilities",_xlfn.XLOOKUP($K36&amp;"",UTILITIES!$B$3:$B$953&amp;"",UTILITIES!$O$3:$O$953,""),"IOT",_xlfn.XLOOKUP($K36&amp;"",IOT!$B$3:$B$1012&amp;"",IOT!$AB$3:$AB$1012,""),"Server",_xlfn.XLOOKUP($K36&amp;"",SERVER!$B$3:$B$1009&amp;"",SERVER!$AB$3:$AB$1009,""),""))))</f>
        <v>New</v>
      </c>
      <c r="R36" s="43">
        <f>IF(tbl_handover[[#This Row],[Asset Code]]="","",COUNTIF(tbl_handover[Asset Code],tbl_handover[[#This Row],[Asset Code]]))</f>
        <v>1</v>
      </c>
      <c r="S36" s="1" t="s">
        <v>1160</v>
      </c>
      <c r="U36" s="60" t="b">
        <v>1</v>
      </c>
    </row>
    <row r="37" spans="1:21" x14ac:dyDescent="0.25">
      <c r="A37" s="43">
        <f>IF(B37&lt;&gt;"",SUBTOTAL(3,$B$1:B36),"")</f>
        <v>36</v>
      </c>
      <c r="B37" t="s">
        <v>1199</v>
      </c>
      <c r="C37" s="74">
        <v>46281</v>
      </c>
      <c r="D37" s="74"/>
      <c r="E37" t="s">
        <v>1200</v>
      </c>
      <c r="F37" s="13" t="s">
        <v>104</v>
      </c>
      <c r="G37" s="1" t="s">
        <v>1157</v>
      </c>
      <c r="H37" t="s">
        <v>1201</v>
      </c>
      <c r="I37" s="1" t="s">
        <v>76</v>
      </c>
      <c r="J37" s="1" t="s">
        <v>256</v>
      </c>
      <c r="K37" s="42" t="s">
        <v>1202</v>
      </c>
      <c r="L37" t="str" cm="1">
        <f t="array" ref="L37">IF($K37="","",_xlfn.SWITCH($I37,"Computer",_xlfn.XLOOKUP($K37&amp;"",COMPUTER!$B$3:$B$1009&amp;"",COMPUTER!$I$3:$I$1009,""),"Display",_xlfn.XLOOKUP($K37&amp;"",DISPLAY!$B$3:$B$1000&amp;"",DISPLAY!$J$3:$J$1000,""),"Network Device",_xlfn.XLOOKUP($K37&amp;"",'NETWORK-DEVICES'!$B$3:$B$987&amp;"",'NETWORK-DEVICES'!$I$3:$I$987,""),"Peripheral",_xlfn.XLOOKUP($K37&amp;"",PERIPHERAL!$B$3:$B$954&amp;"",PERIPHERAL!$I$3:$I$954,""),"Utilities",_xlfn.XLOOKUP($K37&amp;"",UTILITIES!$B$3:$B$953&amp;"",UTILITIES!$H$3:$H$953,""),"IOT",_xlfn.XLOOKUP($K37&amp;"",IOT!$B$3:$B$1012&amp;"",IOT!$I$3:$I$1012,""),"SERVER",_xlfn.XLOOKUP($K37&amp;"",SERVER!$B$3:$B$1009&amp;"",SERVER!$I$3:$I$1009,""),""))</f>
        <v>Samsung Galaxy A36 5G</v>
      </c>
      <c r="M37" t="str" cm="1">
        <f t="array" ref="M37">IF($K37="","",_xlfn.SWITCH($I37,"Computer",_xlfn.XLOOKUP($K37&amp;"",COMPUTER!$B$3:$B$1009&amp;"",COMPUTER!$J$3:$J$1009,""),"Display",_xlfn.XLOOKUP($K37&amp;"",DISPLAY!$B$3:$B$1000&amp;"",DISPLAY!$K$3:$K$1000,""),"Network Device",_xlfn.XLOOKUP($K37&amp;"",'NETWORK-DEVICES'!$B$3:$B$987&amp;"",'NETWORK-DEVICES'!$I$3:$I$987,""),"Peripheral",_xlfn.XLOOKUP($K37&amp;"",PERIPHERAL!$B$3:$B$954&amp;"",PERIPHERAL!$J$3:$J$954,""),"Utilities",_xlfn.XLOOKUP($K37&amp;"",UTILITIES!$B$3:$B$953&amp;"",UTILITIES!$I$3:$I$953,""),"IOT",_xlfn.XLOOKUP($K37&amp;"",IOT!$B$3:$B$1012&amp;"",IOT!$J$3:$J$1012,""),"Server",_xlfn.XLOOKUP($K37&amp;"",SERVER!$B$3:$B$1009&amp;"",SERVER!$J$3:$J$1009,""),""))</f>
        <v>SMARTPHONE</v>
      </c>
      <c r="N37" s="1" t="str" cm="1">
        <f t="array" ref="N37">IF(OR($K37="",$I37="",$J37=""),"",_xlfn.LET(_xlpm.srcCat,_xlfn.SWITCH($I37,"Computer",_xlfn.XLOOKUP($K37&amp;"",COMPUTER!$B$3:$B$1009&amp;"",COMPUTER!$H$3:$H$1009,""),"Display",_xlfn.XLOOKUP($K37&amp;"",DISPLAY!$B$3:$B$1000&amp;"",DISPLAY!$H$3:$H$1000,""),"Network Device",_xlfn.XLOOKUP($K37&amp;"",'NETWORK-DEVICES'!$B$3:$B$987&amp;"",'NETWORK-DEVICES'!$H$3:$H$987,""),"Peripheral",_xlfn.XLOOKUP($K37&amp;"",PERIPHERAL!$B$3:$B$954&amp;"",PERIPHERAL!$H$3:$H$954,""),"Utilities",_xlfn.XLOOKUP($K37&amp;"",UTILITIES!$B$3:$B$953&amp;"",UTILITIES!$G$3:$G$953,""),"IOT",_xlfn.XLOOKUP($K37&amp;"",IOT!$B$3:$B$1012&amp;"",IOT!$H$3:$H$1012,""),"Server",_xlfn.XLOOKUP($K37&amp;"",SERVER!$B$3:$B$1009&amp;"",SERVER!$H$3:$H$1009,""),""),IF(TRIM(_xlpm.srcCat)&lt;&gt;TRIM($J37),"",_xlfn.SWITCH($I37,"Computer",_xlfn.XLOOKUP($K37&amp;"",COMPUTER!$B$3:$B$1009&amp;"",COMPUTER!$K$3:$K$1009,""),"Display",_xlfn.XLOOKUP($K37&amp;"",DISPLAY!$B$3:$B$1000&amp;"",DISPLAY!$L$3:$L$1000,""),"Network Device",_xlfn.XLOOKUP($K37&amp;"",'NETWORK-DEVICES'!$B$3:$B$987&amp;"",'NETWORK-DEVICES'!$K$3:$K$987,""),"Peripheral",_xlfn.XLOOKUP($K37&amp;"",PERIPHERAL!$B$3:$B$954&amp;"",PERIPHERAL!$K$3:$K$954,""),"Utilities",_xlfn.XLOOKUP($K37&amp;"",UTILITIES!$B$3:$B$953&amp;"",UTILITIES!$J$3:$J$953,""),"IOT",_xlfn.XLOOKUP($K37&amp;"",IOT!$B$3:$B$1012&amp;"",IOT!$K$4:$K$1012,""),"Server",_xlfn.XLOOKUP($K37&amp;"",SERVER!$B$3:$B$1009&amp;"",SERVER!$K$3:$K$1009,""),""))))</f>
        <v>RRCYA04P1WP</v>
      </c>
      <c r="O37" s="1" t="str" cm="1">
        <f t="array" ref="O37">IF(OR($K37="",$I37="",$J37=""),"",_xlfn.LET(_xlpm.srcCat,_xlfn.SWITCH($I37,"Computer",_xlfn.XLOOKUP($K37&amp;"",COMPUTER!$B$3:$B$1009&amp;"",COMPUTER!$H$3:$H$1009,""),"Display",_xlfn.XLOOKUP($K37&amp;"",DISPLAY!$B$3:$B$1000&amp;"",DISPLAY!$H$3:$H$1000,""),"Network Device",_xlfn.XLOOKUP($K37&amp;"",'NETWORK-DEVICES'!$B$3:$B$987&amp;"",'NETWORK-DEVICES'!$H$3:$H$987,""),"Peripheral",_xlfn.XLOOKUP($K37&amp;"",PERIPHERAL!$B$3:$B$954&amp;"",PERIPHERAL!$H$3:$H$954,""),"Utilities",_xlfn.XLOOKUP($K37&amp;"",UTILITIES!$B$3:$B$953&amp;"",UTILITIES!$G$3:$G$953,""),"IOT",_xlfn.XLOOKUP($K37&amp;"",IOT!$B$3:$B$1012&amp;"",IOT!$H$3:$H$1012,""),"Server",_xlfn.XLOOKUP($K37&amp;"",SERVER!$B$3:$B$1009&amp;"",SERVER!$H$3:$H$1009,""),""),IF(TRIM(_xlpm.srcCat)&lt;&gt;TRIM($J37),"",_xlfn.SWITCH($I37,"Computer",_xlfn.XLOOKUP($K37&amp;"",COMPUTER!$B$3:$B$1009&amp;"",COMPUTER!$E$3:$E$1009,""),"Display",_xlfn.XLOOKUP($K37&amp;"",DISPLAY!$B$3:$B$1000&amp;"",DISPLAY!$E$3:$E$1000,""),"Network Device",_xlfn.XLOOKUP($K37&amp;"",'NETWORK-DEVICES'!$B$3:$B$987&amp;"",'NETWORK-DEVICES'!$E$3:$E$987,""),"Peripheral",_xlfn.XLOOKUP($K37&amp;"",PERIPHERAL!$B$3:$B$954&amp;"",PERIPHERAL!$E$3:$E$954,""),"Utilities",_xlfn.XLOOKUP($K37&amp;"",UTILITIES!$B$3:$B$953&amp;"",UTILITIES!$E$3:$E$953,""),"IOT",_xlfn.XLOOKUP($K37&amp;"",IOT!$B$3:$B$1012&amp;"",IOT!$E$3:$E$1012,""),"Server",_xlfn.XLOOKUP($K37&amp;"",SERVER!$B$3:$B$1009&amp;"",SERVER!$E$3:$E$1009,""),""))))</f>
        <v>Patimban</v>
      </c>
      <c r="P37" t="s">
        <v>232</v>
      </c>
      <c r="Q37" s="1" t="str" cm="1">
        <f t="array" ref="Q37">IF(OR($K37="",$I37="",$J37=""),"",_xlfn.LET(_xlpm.srcCat,_xlfn.SWITCH($I37,"Computer",_xlfn.XLOOKUP($K37&amp;"",COMPUTER!$B$3:$B$1009&amp;"",COMPUTER!$H$3:$H$1009,""),"Display",_xlfn.XLOOKUP($K37&amp;"",DISPLAY!$B$3:$B$1000&amp;"",DISPLAY!$H$3:$H$1000,""),"Network Device",_xlfn.XLOOKUP($K37&amp;"",'NETWORK-DEVICES'!$B$3:$B$987&amp;"",'NETWORK-DEVICES'!$H$3:$H$987,""),"Peripheral",_xlfn.XLOOKUP($K37&amp;"",PERIPHERAL!$B$3:$B$954&amp;"",PERIPHERAL!$H$3:$H$954,""),"Utilities",_xlfn.XLOOKUP($K37&amp;"",UTILITIES!$B$3:$B$953&amp;"",UTILITIES!$G$3:$G$953,""),"IOT",_xlfn.XLOOKUP($K37&amp;"",IOT!$B$3:$B$1012&amp;"",IOT!$H$3:$H$1012,""),"Server",_xlfn.XLOOKUP($K37&amp;"",SERVER!$B$3:$B$1009&amp;"",SERVER!$H$3:$H$1009,""),""),IF(TRIM(_xlpm.srcCat)&lt;&gt;TRIM($J37),"",_xlfn.SWITCH($I37,"Computer",_xlfn.XLOOKUP($K37&amp;"",COMPUTER!$B$3:$B$1009&amp;"",COMPUTER!$AM$3:$AM$1009,""),"Display",_xlfn.XLOOKUP($K37&amp;"",DISPLAY!$B$3:$B$1000&amp;"",DISPLAY!$V$3:$V$1000,""),"Network Device",_xlfn.XLOOKUP($K37&amp;"",'NETWORK-DEVICES'!$B$3:$B$987&amp;"",'NETWORK-DEVICES'!$AF$3:$AF$987,""),"Peripheral",_xlfn.XLOOKUP($K37&amp;"",PERIPHERAL!$B$3:$B$954&amp;"",PERIPHERAL!$Y$3:$Y$954,""),"Utilities",_xlfn.XLOOKUP($K37&amp;"",UTILITIES!$B$3:$B$953&amp;"",UTILITIES!$O$3:$O$953,""),"IOT",_xlfn.XLOOKUP($K37&amp;"",IOT!$B$3:$B$1012&amp;"",IOT!$AB$3:$AB$1012,""),"Server",_xlfn.XLOOKUP($K37&amp;"",SERVER!$B$3:$B$1009&amp;"",SERVER!$AB$3:$AB$1009,""),""))))</f>
        <v>New</v>
      </c>
      <c r="R37" s="43">
        <f>IF(tbl_handover[[#This Row],[Asset Code]]="","",COUNTIF(tbl_handover[Asset Code],tbl_handover[[#This Row],[Asset Code]]))</f>
        <v>1</v>
      </c>
      <c r="S37" s="1" t="s">
        <v>1160</v>
      </c>
      <c r="U37" s="60" t="b">
        <v>0</v>
      </c>
    </row>
    <row r="38" spans="1:21" x14ac:dyDescent="0.25">
      <c r="A38" s="43">
        <f>IF(B38&lt;&gt;"",SUBTOTAL(3,$B$1:B37),"")</f>
        <v>37</v>
      </c>
      <c r="B38" t="s">
        <v>1199</v>
      </c>
      <c r="C38" s="74">
        <v>46281</v>
      </c>
      <c r="D38" s="74"/>
      <c r="E38" t="s">
        <v>1200</v>
      </c>
      <c r="F38" s="13" t="s">
        <v>104</v>
      </c>
      <c r="G38" s="1" t="s">
        <v>1157</v>
      </c>
      <c r="H38" t="s">
        <v>1201</v>
      </c>
      <c r="I38" s="1" t="s">
        <v>76</v>
      </c>
      <c r="J38" s="1" t="s">
        <v>77</v>
      </c>
      <c r="K38" s="42" t="s">
        <v>1203</v>
      </c>
      <c r="L38" t="str" cm="1">
        <f t="array" ref="L38">IF($K38="","",_xlfn.SWITCH($I38,"Computer",_xlfn.XLOOKUP($K38&amp;"",COMPUTER!$B$3:$B$1009&amp;"",COMPUTER!$I$3:$I$1009,""),"Display",_xlfn.XLOOKUP($K38&amp;"",DISPLAY!$B$3:$B$1000&amp;"",DISPLAY!$J$3:$J$1000,""),"Network Device",_xlfn.XLOOKUP($K38&amp;"",'NETWORK-DEVICES'!$B$3:$B$987&amp;"",'NETWORK-DEVICES'!$I$3:$I$987,""),"Peripheral",_xlfn.XLOOKUP($K38&amp;"",PERIPHERAL!$B$3:$B$954&amp;"",PERIPHERAL!$I$3:$I$954,""),"Utilities",_xlfn.XLOOKUP($K38&amp;"",UTILITIES!$B$3:$B$953&amp;"",UTILITIES!$H$3:$H$953,""),"IOT",_xlfn.XLOOKUP($K38&amp;"",IOT!$B$3:$B$1012&amp;"",IOT!$I$3:$I$1012,""),"SERVER",_xlfn.XLOOKUP($K38&amp;"",SERVER!$B$3:$B$1009&amp;"",SERVER!$I$3:$I$1009,""),""))</f>
        <v>Dell Pro Micro QCM1250</v>
      </c>
      <c r="M38" t="str" cm="1">
        <f t="array" ref="M38">IF($K38="","",_xlfn.SWITCH($I38,"Computer",_xlfn.XLOOKUP($K38&amp;"",COMPUTER!$B$3:$B$1009&amp;"",COMPUTER!$J$3:$J$1009,""),"Display",_xlfn.XLOOKUP($K38&amp;"",DISPLAY!$B$3:$B$1000&amp;"",DISPLAY!$K$3:$K$1000,""),"Network Device",_xlfn.XLOOKUP($K38&amp;"",'NETWORK-DEVICES'!$B$3:$B$987&amp;"",'NETWORK-DEVICES'!$I$3:$I$987,""),"Peripheral",_xlfn.XLOOKUP($K38&amp;"",PERIPHERAL!$B$3:$B$954&amp;"",PERIPHERAL!$J$3:$J$954,""),"Utilities",_xlfn.XLOOKUP($K38&amp;"",UTILITIES!$B$3:$B$953&amp;"",UTILITIES!$I$3:$I$953,""),"IOT",_xlfn.XLOOKUP($K38&amp;"",IOT!$B$3:$B$1012&amp;"",IOT!$J$3:$J$1012,""),"Server",_xlfn.XLOOKUP($K38&amp;"",SERVER!$B$3:$B$1009&amp;"",SERVER!$J$3:$J$1009,""),""))</f>
        <v>MFF PC</v>
      </c>
      <c r="N38" s="1" t="str" cm="1">
        <f t="array" ref="N38">IF(OR($K38="",$I38="",$J38=""),"",_xlfn.LET(_xlpm.srcCat,_xlfn.SWITCH($I38,"Computer",_xlfn.XLOOKUP($K38&amp;"",COMPUTER!$B$3:$B$1009&amp;"",COMPUTER!$H$3:$H$1009,""),"Display",_xlfn.XLOOKUP($K38&amp;"",DISPLAY!$B$3:$B$1000&amp;"",DISPLAY!$H$3:$H$1000,""),"Network Device",_xlfn.XLOOKUP($K38&amp;"",'NETWORK-DEVICES'!$B$3:$B$987&amp;"",'NETWORK-DEVICES'!$H$3:$H$987,""),"Peripheral",_xlfn.XLOOKUP($K38&amp;"",PERIPHERAL!$B$3:$B$954&amp;"",PERIPHERAL!$H$3:$H$954,""),"Utilities",_xlfn.XLOOKUP($K38&amp;"",UTILITIES!$B$3:$B$953&amp;"",UTILITIES!$G$3:$G$953,""),"IOT",_xlfn.XLOOKUP($K38&amp;"",IOT!$B$3:$B$1012&amp;"",IOT!$H$3:$H$1012,""),"Server",_xlfn.XLOOKUP($K38&amp;"",SERVER!$B$3:$B$1009&amp;"",SERVER!$H$3:$H$1009,""),""),IF(TRIM(_xlpm.srcCat)&lt;&gt;TRIM($J38),"",_xlfn.SWITCH($I38,"Computer",_xlfn.XLOOKUP($K38&amp;"",COMPUTER!$B$3:$B$1009&amp;"",COMPUTER!$K$3:$K$1009,""),"Display",_xlfn.XLOOKUP($K38&amp;"",DISPLAY!$B$3:$B$1000&amp;"",DISPLAY!$L$3:$L$1000,""),"Network Device",_xlfn.XLOOKUP($K38&amp;"",'NETWORK-DEVICES'!$B$3:$B$987&amp;"",'NETWORK-DEVICES'!$K$3:$K$987,""),"Peripheral",_xlfn.XLOOKUP($K38&amp;"",PERIPHERAL!$B$3:$B$954&amp;"",PERIPHERAL!$K$3:$K$954,""),"Utilities",_xlfn.XLOOKUP($K38&amp;"",UTILITIES!$B$3:$B$953&amp;"",UTILITIES!$J$3:$J$953,""),"IOT",_xlfn.XLOOKUP($K38&amp;"",IOT!$B$3:$B$1012&amp;"",IOT!$K$4:$K$1012,""),"Server",_xlfn.XLOOKUP($K38&amp;"",SERVER!$B$3:$B$1009&amp;"",SERVER!$K$3:$K$1009,""),""))))</f>
        <v>CNWS20057U00LM/HZM0JC4</v>
      </c>
      <c r="O38" s="1" t="str" cm="1">
        <f t="array" ref="O38">IF(OR($K38="",$I38="",$J38=""),"",_xlfn.LET(_xlpm.srcCat,_xlfn.SWITCH($I38,"Computer",_xlfn.XLOOKUP($K38&amp;"",COMPUTER!$B$3:$B$1009&amp;"",COMPUTER!$H$3:$H$1009,""),"Display",_xlfn.XLOOKUP($K38&amp;"",DISPLAY!$B$3:$B$1000&amp;"",DISPLAY!$H$3:$H$1000,""),"Network Device",_xlfn.XLOOKUP($K38&amp;"",'NETWORK-DEVICES'!$B$3:$B$987&amp;"",'NETWORK-DEVICES'!$H$3:$H$987,""),"Peripheral",_xlfn.XLOOKUP($K38&amp;"",PERIPHERAL!$B$3:$B$954&amp;"",PERIPHERAL!$H$3:$H$954,""),"Utilities",_xlfn.XLOOKUP($K38&amp;"",UTILITIES!$B$3:$B$953&amp;"",UTILITIES!$G$3:$G$953,""),"IOT",_xlfn.XLOOKUP($K38&amp;"",IOT!$B$3:$B$1012&amp;"",IOT!$H$3:$H$1012,""),"Server",_xlfn.XLOOKUP($K38&amp;"",SERVER!$B$3:$B$1009&amp;"",SERVER!$H$3:$H$1009,""),""),IF(TRIM(_xlpm.srcCat)&lt;&gt;TRIM($J38),"",_xlfn.SWITCH($I38,"Computer",_xlfn.XLOOKUP($K38&amp;"",COMPUTER!$B$3:$B$1009&amp;"",COMPUTER!$E$3:$E$1009,""),"Display",_xlfn.XLOOKUP($K38&amp;"",DISPLAY!$B$3:$B$1000&amp;"",DISPLAY!$E$3:$E$1000,""),"Network Device",_xlfn.XLOOKUP($K38&amp;"",'NETWORK-DEVICES'!$B$3:$B$987&amp;"",'NETWORK-DEVICES'!$E$3:$E$987,""),"Peripheral",_xlfn.XLOOKUP($K38&amp;"",PERIPHERAL!$B$3:$B$954&amp;"",PERIPHERAL!$E$3:$E$954,""),"Utilities",_xlfn.XLOOKUP($K38&amp;"",UTILITIES!$B$3:$B$953&amp;"",UTILITIES!$E$3:$E$953,""),"IOT",_xlfn.XLOOKUP($K38&amp;"",IOT!$B$3:$B$1012&amp;"",IOT!$E$3:$E$1012,""),"Server",_xlfn.XLOOKUP($K38&amp;"",SERVER!$B$3:$B$1009&amp;"",SERVER!$E$3:$E$1009,""),""))))</f>
        <v>Patimban</v>
      </c>
      <c r="P38" t="s">
        <v>232</v>
      </c>
      <c r="Q38" s="1" t="str" cm="1">
        <f t="array" ref="Q38">IF(OR($K38="",$I38="",$J38=""),"",_xlfn.LET(_xlpm.srcCat,_xlfn.SWITCH($I38,"Computer",_xlfn.XLOOKUP($K38&amp;"",COMPUTER!$B$3:$B$1009&amp;"",COMPUTER!$H$3:$H$1009,""),"Display",_xlfn.XLOOKUP($K38&amp;"",DISPLAY!$B$3:$B$1000&amp;"",DISPLAY!$H$3:$H$1000,""),"Network Device",_xlfn.XLOOKUP($K38&amp;"",'NETWORK-DEVICES'!$B$3:$B$987&amp;"",'NETWORK-DEVICES'!$H$3:$H$987,""),"Peripheral",_xlfn.XLOOKUP($K38&amp;"",PERIPHERAL!$B$3:$B$954&amp;"",PERIPHERAL!$H$3:$H$954,""),"Utilities",_xlfn.XLOOKUP($K38&amp;"",UTILITIES!$B$3:$B$953&amp;"",UTILITIES!$G$3:$G$953,""),"IOT",_xlfn.XLOOKUP($K38&amp;"",IOT!$B$3:$B$1012&amp;"",IOT!$H$3:$H$1012,""),"Server",_xlfn.XLOOKUP($K38&amp;"",SERVER!$B$3:$B$1009&amp;"",SERVER!$H$3:$H$1009,""),""),IF(TRIM(_xlpm.srcCat)&lt;&gt;TRIM($J38),"",_xlfn.SWITCH($I38,"Computer",_xlfn.XLOOKUP($K38&amp;"",COMPUTER!$B$3:$B$1009&amp;"",COMPUTER!$AM$3:$AM$1009,""),"Display",_xlfn.XLOOKUP($K38&amp;"",DISPLAY!$B$3:$B$1000&amp;"",DISPLAY!$V$3:$V$1000,""),"Network Device",_xlfn.XLOOKUP($K38&amp;"",'NETWORK-DEVICES'!$B$3:$B$987&amp;"",'NETWORK-DEVICES'!$AF$3:$AF$987,""),"Peripheral",_xlfn.XLOOKUP($K38&amp;"",PERIPHERAL!$B$3:$B$954&amp;"",PERIPHERAL!$Y$3:$Y$954,""),"Utilities",_xlfn.XLOOKUP($K38&amp;"",UTILITIES!$B$3:$B$953&amp;"",UTILITIES!$O$3:$O$953,""),"IOT",_xlfn.XLOOKUP($K38&amp;"",IOT!$B$3:$B$1012&amp;"",IOT!$AB$3:$AB$1012,""),"Server",_xlfn.XLOOKUP($K38&amp;"",SERVER!$B$3:$B$1009&amp;"",SERVER!$AB$3:$AB$1009,""),""))))</f>
        <v>Good</v>
      </c>
      <c r="R38" s="43">
        <f>IF(tbl_handover[[#This Row],[Asset Code]]="","",COUNTIF(tbl_handover[Asset Code],tbl_handover[[#This Row],[Asset Code]]))</f>
        <v>1</v>
      </c>
      <c r="S38" s="1" t="s">
        <v>1160</v>
      </c>
      <c r="U38" s="60" t="b">
        <v>0</v>
      </c>
    </row>
    <row r="39" spans="1:21" x14ac:dyDescent="0.25">
      <c r="A39" s="43">
        <f>IF(B39&lt;&gt;"",SUBTOTAL(3,$B$1:B38),"")</f>
        <v>38</v>
      </c>
      <c r="B39" t="s">
        <v>1199</v>
      </c>
      <c r="C39" s="74">
        <v>46281</v>
      </c>
      <c r="D39" s="74"/>
      <c r="E39" t="s">
        <v>1200</v>
      </c>
      <c r="F39" s="13" t="s">
        <v>104</v>
      </c>
      <c r="G39" s="1" t="s">
        <v>1157</v>
      </c>
      <c r="H39" t="s">
        <v>1201</v>
      </c>
      <c r="I39" s="1" t="s">
        <v>23</v>
      </c>
      <c r="J39" s="1" t="s">
        <v>533</v>
      </c>
      <c r="K39" s="42" t="s">
        <v>1204</v>
      </c>
      <c r="L39" t="str" cm="1">
        <f t="array" ref="L39">IF($K39="","",_xlfn.SWITCH($I39,"Computer",_xlfn.XLOOKUP($K39&amp;"",COMPUTER!$B$3:$B$1009&amp;"",COMPUTER!$I$3:$I$1009,""),"Display",_xlfn.XLOOKUP($K39&amp;"",DISPLAY!$B$3:$B$1000&amp;"",DISPLAY!$J$3:$J$1000,""),"Network Device",_xlfn.XLOOKUP($K39&amp;"",'NETWORK-DEVICES'!$B$3:$B$987&amp;"",'NETWORK-DEVICES'!$I$3:$I$987,""),"Peripheral",_xlfn.XLOOKUP($K39&amp;"",PERIPHERAL!$B$3:$B$954&amp;"",PERIPHERAL!$I$3:$I$954,""),"Utilities",_xlfn.XLOOKUP($K39&amp;"",UTILITIES!$B$3:$B$953&amp;"",UTILITIES!$H$3:$H$953,""),"IOT",_xlfn.XLOOKUP($K39&amp;"",IOT!$B$3:$B$1012&amp;"",IOT!$I$3:$I$1012,""),"SERVER",_xlfn.XLOOKUP($K39&amp;"",SERVER!$B$3:$B$1009&amp;"",SERVER!$I$3:$I$1009,""),""))</f>
        <v>Samsung Curved 32" S32D396GAE</v>
      </c>
      <c r="M39" t="str" cm="1">
        <f t="array" ref="M39">IF($K39="","",_xlfn.SWITCH($I39,"Computer",_xlfn.XLOOKUP($K39&amp;"",COMPUTER!$B$3:$B$1009&amp;"",COMPUTER!$J$3:$J$1009,""),"Display",_xlfn.XLOOKUP($K39&amp;"",DISPLAY!$B$3:$B$1000&amp;"",DISPLAY!$K$3:$K$1000,""),"Network Device",_xlfn.XLOOKUP($K39&amp;"",'NETWORK-DEVICES'!$B$3:$B$987&amp;"",'NETWORK-DEVICES'!$I$3:$I$987,""),"Peripheral",_xlfn.XLOOKUP($K39&amp;"",PERIPHERAL!$B$3:$B$954&amp;"",PERIPHERAL!$J$3:$J$954,""),"Utilities",_xlfn.XLOOKUP($K39&amp;"",UTILITIES!$B$3:$B$953&amp;"",UTILITIES!$I$3:$I$953,""),"IOT",_xlfn.XLOOKUP($K39&amp;"",IOT!$B$3:$B$1012&amp;"",IOT!$J$3:$J$1012,""),"Server",_xlfn.XLOOKUP($K39&amp;"",SERVER!$B$3:$B$1009&amp;"",SERVER!$J$3:$J$1009,""),""))</f>
        <v>MONITOR 32" C</v>
      </c>
      <c r="N39" s="1" t="str" cm="1">
        <f t="array" ref="N39">IF(OR($K39="",$I39="",$J39=""),"",_xlfn.LET(_xlpm.srcCat,_xlfn.SWITCH($I39,"Computer",_xlfn.XLOOKUP($K39&amp;"",COMPUTER!$B$3:$B$1009&amp;"",COMPUTER!$H$3:$H$1009,""),"Display",_xlfn.XLOOKUP($K39&amp;"",DISPLAY!$B$3:$B$1000&amp;"",DISPLAY!$H$3:$H$1000,""),"Network Device",_xlfn.XLOOKUP($K39&amp;"",'NETWORK-DEVICES'!$B$3:$B$987&amp;"",'NETWORK-DEVICES'!$H$3:$H$987,""),"Peripheral",_xlfn.XLOOKUP($K39&amp;"",PERIPHERAL!$B$3:$B$954&amp;"",PERIPHERAL!$H$3:$H$954,""),"Utilities",_xlfn.XLOOKUP($K39&amp;"",UTILITIES!$B$3:$B$953&amp;"",UTILITIES!$G$3:$G$953,""),"IOT",_xlfn.XLOOKUP($K39&amp;"",IOT!$B$3:$B$1012&amp;"",IOT!$H$3:$H$1012,""),"Server",_xlfn.XLOOKUP($K39&amp;"",SERVER!$B$3:$B$1009&amp;"",SERVER!$H$3:$H$1009,""),""),IF(TRIM(_xlpm.srcCat)&lt;&gt;TRIM($J39),"",_xlfn.SWITCH($I39,"Computer",_xlfn.XLOOKUP($K39&amp;"",COMPUTER!$B$3:$B$1009&amp;"",COMPUTER!$K$3:$K$1009,""),"Display",_xlfn.XLOOKUP($K39&amp;"",DISPLAY!$B$3:$B$1000&amp;"",DISPLAY!$L$3:$L$1000,""),"Network Device",_xlfn.XLOOKUP($K39&amp;"",'NETWORK-DEVICES'!$B$3:$B$987&amp;"",'NETWORK-DEVICES'!$K$3:$K$987,""),"Peripheral",_xlfn.XLOOKUP($K39&amp;"",PERIPHERAL!$B$3:$B$954&amp;"",PERIPHERAL!$K$3:$K$954,""),"Utilities",_xlfn.XLOOKUP($K39&amp;"",UTILITIES!$B$3:$B$953&amp;"",UTILITIES!$J$3:$J$953,""),"IOT",_xlfn.XLOOKUP($K39&amp;"",IOT!$B$3:$B$1012&amp;"",IOT!$K$4:$K$1012,""),"Server",_xlfn.XLOOKUP($K39&amp;"",SERVER!$B$3:$B$1009&amp;"",SERVER!$K$3:$K$1009,""),""))))</f>
        <v>6RLFHBAY300376K</v>
      </c>
      <c r="O39" s="1" t="str" cm="1">
        <f t="array" ref="O39">IF(OR($K39="",$I39="",$J39=""),"",_xlfn.LET(_xlpm.srcCat,_xlfn.SWITCH($I39,"Computer",_xlfn.XLOOKUP($K39&amp;"",COMPUTER!$B$3:$B$1009&amp;"",COMPUTER!$H$3:$H$1009,""),"Display",_xlfn.XLOOKUP($K39&amp;"",DISPLAY!$B$3:$B$1000&amp;"",DISPLAY!$H$3:$H$1000,""),"Network Device",_xlfn.XLOOKUP($K39&amp;"",'NETWORK-DEVICES'!$B$3:$B$987&amp;"",'NETWORK-DEVICES'!$H$3:$H$987,""),"Peripheral",_xlfn.XLOOKUP($K39&amp;"",PERIPHERAL!$B$3:$B$954&amp;"",PERIPHERAL!$H$3:$H$954,""),"Utilities",_xlfn.XLOOKUP($K39&amp;"",UTILITIES!$B$3:$B$953&amp;"",UTILITIES!$G$3:$G$953,""),"IOT",_xlfn.XLOOKUP($K39&amp;"",IOT!$B$3:$B$1012&amp;"",IOT!$H$3:$H$1012,""),"Server",_xlfn.XLOOKUP($K39&amp;"",SERVER!$B$3:$B$1009&amp;"",SERVER!$H$3:$H$1009,""),""),IF(TRIM(_xlpm.srcCat)&lt;&gt;TRIM($J39),"",_xlfn.SWITCH($I39,"Computer",_xlfn.XLOOKUP($K39&amp;"",COMPUTER!$B$3:$B$1009&amp;"",COMPUTER!$E$3:$E$1009,""),"Display",_xlfn.XLOOKUP($K39&amp;"",DISPLAY!$B$3:$B$1000&amp;"",DISPLAY!$E$3:$E$1000,""),"Network Device",_xlfn.XLOOKUP($K39&amp;"",'NETWORK-DEVICES'!$B$3:$B$987&amp;"",'NETWORK-DEVICES'!$E$3:$E$987,""),"Peripheral",_xlfn.XLOOKUP($K39&amp;"",PERIPHERAL!$B$3:$B$954&amp;"",PERIPHERAL!$E$3:$E$954,""),"Utilities",_xlfn.XLOOKUP($K39&amp;"",UTILITIES!$B$3:$B$953&amp;"",UTILITIES!$E$3:$E$953,""),"IOT",_xlfn.XLOOKUP($K39&amp;"",IOT!$B$3:$B$1012&amp;"",IOT!$E$3:$E$1012,""),"Server",_xlfn.XLOOKUP($K39&amp;"",SERVER!$B$3:$B$1009&amp;"",SERVER!$E$3:$E$1009,""),""))))</f>
        <v>Patimban</v>
      </c>
      <c r="P39" t="s">
        <v>232</v>
      </c>
      <c r="Q39" s="1" t="str" cm="1">
        <f t="array" ref="Q39">IF(OR($K39="",$I39="",$J39=""),"",_xlfn.LET(_xlpm.srcCat,_xlfn.SWITCH($I39,"Computer",_xlfn.XLOOKUP($K39&amp;"",COMPUTER!$B$3:$B$1009&amp;"",COMPUTER!$H$3:$H$1009,""),"Display",_xlfn.XLOOKUP($K39&amp;"",DISPLAY!$B$3:$B$1000&amp;"",DISPLAY!$H$3:$H$1000,""),"Network Device",_xlfn.XLOOKUP($K39&amp;"",'NETWORK-DEVICES'!$B$3:$B$987&amp;"",'NETWORK-DEVICES'!$H$3:$H$987,""),"Peripheral",_xlfn.XLOOKUP($K39&amp;"",PERIPHERAL!$B$3:$B$954&amp;"",PERIPHERAL!$H$3:$H$954,""),"Utilities",_xlfn.XLOOKUP($K39&amp;"",UTILITIES!$B$3:$B$953&amp;"",UTILITIES!$G$3:$G$953,""),"IOT",_xlfn.XLOOKUP($K39&amp;"",IOT!$B$3:$B$1012&amp;"",IOT!$H$3:$H$1012,""),"Server",_xlfn.XLOOKUP($K39&amp;"",SERVER!$B$3:$B$1009&amp;"",SERVER!$H$3:$H$1009,""),""),IF(TRIM(_xlpm.srcCat)&lt;&gt;TRIM($J39),"",_xlfn.SWITCH($I39,"Computer",_xlfn.XLOOKUP($K39&amp;"",COMPUTER!$B$3:$B$1009&amp;"",COMPUTER!$AM$3:$AM$1009,""),"Display",_xlfn.XLOOKUP($K39&amp;"",DISPLAY!$B$3:$B$1000&amp;"",DISPLAY!$V$3:$V$1000,""),"Network Device",_xlfn.XLOOKUP($K39&amp;"",'NETWORK-DEVICES'!$B$3:$B$987&amp;"",'NETWORK-DEVICES'!$AF$3:$AF$987,""),"Peripheral",_xlfn.XLOOKUP($K39&amp;"",PERIPHERAL!$B$3:$B$954&amp;"",PERIPHERAL!$Y$3:$Y$954,""),"Utilities",_xlfn.XLOOKUP($K39&amp;"",UTILITIES!$B$3:$B$953&amp;"",UTILITIES!$O$3:$O$953,""),"IOT",_xlfn.XLOOKUP($K39&amp;"",IOT!$B$3:$B$1012&amp;"",IOT!$AB$3:$AB$1012,""),"Server",_xlfn.XLOOKUP($K39&amp;"",SERVER!$B$3:$B$1009&amp;"",SERVER!$AB$3:$AB$1009,""),""))))</f>
        <v>Good</v>
      </c>
      <c r="R39" s="43">
        <f>IF(tbl_handover[[#This Row],[Asset Code]]="","",COUNTIF(tbl_handover[Asset Code],tbl_handover[[#This Row],[Asset Code]]))</f>
        <v>1</v>
      </c>
      <c r="S39" s="1" t="s">
        <v>1160</v>
      </c>
      <c r="U39" s="60" t="b">
        <v>0</v>
      </c>
    </row>
    <row r="40" spans="1:21" x14ac:dyDescent="0.25">
      <c r="A40" s="43">
        <f>IF(B40&lt;&gt;"",SUBTOTAL(3,$B$1:B39),"")</f>
        <v>39</v>
      </c>
      <c r="B40" t="s">
        <v>1199</v>
      </c>
      <c r="C40" s="74">
        <v>46281</v>
      </c>
      <c r="D40" s="74"/>
      <c r="E40" t="s">
        <v>1200</v>
      </c>
      <c r="F40" s="13" t="s">
        <v>104</v>
      </c>
      <c r="G40" s="1" t="s">
        <v>1157</v>
      </c>
      <c r="H40" t="s">
        <v>1201</v>
      </c>
      <c r="I40" s="1" t="s">
        <v>695</v>
      </c>
      <c r="J40" s="1" t="s">
        <v>696</v>
      </c>
      <c r="K40" s="42" t="s">
        <v>1205</v>
      </c>
      <c r="L40" t="str" cm="1">
        <f t="array" ref="L40">IF($K40="","",_xlfn.SWITCH($I40,"Computer",_xlfn.XLOOKUP($K40&amp;"",COMPUTER!$B$3:$B$1009&amp;"",COMPUTER!$I$3:$I$1009,""),"Display",_xlfn.XLOOKUP($K40&amp;"",DISPLAY!$B$3:$B$1000&amp;"",DISPLAY!$J$3:$J$1000,""),"Network Device",_xlfn.XLOOKUP($K40&amp;"",'NETWORK-DEVICES'!$B$3:$B$987&amp;"",'NETWORK-DEVICES'!$I$3:$I$987,""),"Peripheral",_xlfn.XLOOKUP($K40&amp;"",PERIPHERAL!$B$3:$B$954&amp;"",PERIPHERAL!$I$3:$I$954,""),"Utilities",_xlfn.XLOOKUP($K40&amp;"",UTILITIES!$B$3:$B$953&amp;"",UTILITIES!$H$3:$H$953,""),"IOT",_xlfn.XLOOKUP($K40&amp;"",IOT!$B$3:$B$1012&amp;"",IOT!$I$3:$I$1012,""),"SERVER",_xlfn.XLOOKUP($K40&amp;"",SERVER!$B$3:$B$1009&amp;"",SERVER!$I$3:$I$1009,""),""))</f>
        <v>Mouse + Keyboard DELL SET</v>
      </c>
      <c r="M40" t="str" cm="1">
        <f t="array" ref="M40">IF($K40="","",_xlfn.SWITCH($I40,"Computer",_xlfn.XLOOKUP($K40&amp;"",COMPUTER!$B$3:$B$1009&amp;"",COMPUTER!$J$3:$J$1009,""),"Display",_xlfn.XLOOKUP($K40&amp;"",DISPLAY!$B$3:$B$1000&amp;"",DISPLAY!$K$3:$K$1000,""),"Network Device",_xlfn.XLOOKUP($K40&amp;"",'NETWORK-DEVICES'!$B$3:$B$987&amp;"",'NETWORK-DEVICES'!$I$3:$I$987,""),"Peripheral",_xlfn.XLOOKUP($K40&amp;"",PERIPHERAL!$B$3:$B$954&amp;"",PERIPHERAL!$J$3:$J$954,""),"Utilities",_xlfn.XLOOKUP($K40&amp;"",UTILITIES!$B$3:$B$953&amp;"",UTILITIES!$I$3:$I$953,""),"IOT",_xlfn.XLOOKUP($K40&amp;"",IOT!$B$3:$B$1012&amp;"",IOT!$J$3:$J$1012,""),"Server",_xlfn.XLOOKUP($K40&amp;"",SERVER!$B$3:$B$1009&amp;"",SERVER!$J$3:$J$1009,""),""))</f>
        <v>MK SET</v>
      </c>
      <c r="N40" s="1" t="str" cm="1">
        <f t="array" ref="N40">IF(OR($K40="",$I40="",$J40=""),"",_xlfn.LET(_xlpm.srcCat,_xlfn.SWITCH($I40,"Computer",_xlfn.XLOOKUP($K40&amp;"",COMPUTER!$B$3:$B$1009&amp;"",COMPUTER!$H$3:$H$1009,""),"Display",_xlfn.XLOOKUP($K40&amp;"",DISPLAY!$B$3:$B$1000&amp;"",DISPLAY!$H$3:$H$1000,""),"Network Device",_xlfn.XLOOKUP($K40&amp;"",'NETWORK-DEVICES'!$B$3:$B$987&amp;"",'NETWORK-DEVICES'!$H$3:$H$987,""),"Peripheral",_xlfn.XLOOKUP($K40&amp;"",PERIPHERAL!$B$3:$B$954&amp;"",PERIPHERAL!$H$3:$H$954,""),"Utilities",_xlfn.XLOOKUP($K40&amp;"",UTILITIES!$B$3:$B$953&amp;"",UTILITIES!$G$3:$G$953,""),"IOT",_xlfn.XLOOKUP($K40&amp;"",IOT!$B$3:$B$1012&amp;"",IOT!$H$3:$H$1012,""),"Server",_xlfn.XLOOKUP($K40&amp;"",SERVER!$B$3:$B$1009&amp;"",SERVER!$H$3:$H$1009,""),""),IF(TRIM(_xlpm.srcCat)&lt;&gt;TRIM($J40),"",_xlfn.SWITCH($I40,"Computer",_xlfn.XLOOKUP($K40&amp;"",COMPUTER!$B$3:$B$1009&amp;"",COMPUTER!$K$3:$K$1009,""),"Display",_xlfn.XLOOKUP($K40&amp;"",DISPLAY!$B$3:$B$1000&amp;"",DISPLAY!$L$3:$L$1000,""),"Network Device",_xlfn.XLOOKUP($K40&amp;"",'NETWORK-DEVICES'!$B$3:$B$987&amp;"",'NETWORK-DEVICES'!$K$3:$K$987,""),"Peripheral",_xlfn.XLOOKUP($K40&amp;"",PERIPHERAL!$B$3:$B$954&amp;"",PERIPHERAL!$K$3:$K$954,""),"Utilities",_xlfn.XLOOKUP($K40&amp;"",UTILITIES!$B$3:$B$953&amp;"",UTILITIES!$J$3:$J$953,""),"IOT",_xlfn.XLOOKUP($K40&amp;"",IOT!$B$3:$B$1012&amp;"",IOT!$K$4:$K$1012,""),"Server",_xlfn.XLOOKUP($K40&amp;"",SERVER!$B$3:$B$1009&amp;"",SERVER!$K$3:$K$1009,""),""))))</f>
        <v>CN07W2PJPRC0056J0I6BA00</v>
      </c>
      <c r="O40" s="1" t="str" cm="1">
        <f t="array" ref="O40">IF(OR($K40="",$I40="",$J40=""),"",_xlfn.LET(_xlpm.srcCat,_xlfn.SWITCH($I40,"Computer",_xlfn.XLOOKUP($K40&amp;"",COMPUTER!$B$3:$B$1009&amp;"",COMPUTER!$H$3:$H$1009,""),"Display",_xlfn.XLOOKUP($K40&amp;"",DISPLAY!$B$3:$B$1000&amp;"",DISPLAY!$H$3:$H$1000,""),"Network Device",_xlfn.XLOOKUP($K40&amp;"",'NETWORK-DEVICES'!$B$3:$B$987&amp;"",'NETWORK-DEVICES'!$H$3:$H$987,""),"Peripheral",_xlfn.XLOOKUP($K40&amp;"",PERIPHERAL!$B$3:$B$954&amp;"",PERIPHERAL!$H$3:$H$954,""),"Utilities",_xlfn.XLOOKUP($K40&amp;"",UTILITIES!$B$3:$B$953&amp;"",UTILITIES!$G$3:$G$953,""),"IOT",_xlfn.XLOOKUP($K40&amp;"",IOT!$B$3:$B$1012&amp;"",IOT!$H$3:$H$1012,""),"Server",_xlfn.XLOOKUP($K40&amp;"",SERVER!$B$3:$B$1009&amp;"",SERVER!$H$3:$H$1009,""),""),IF(TRIM(_xlpm.srcCat)&lt;&gt;TRIM($J40),"",_xlfn.SWITCH($I40,"Computer",_xlfn.XLOOKUP($K40&amp;"",COMPUTER!$B$3:$B$1009&amp;"",COMPUTER!$E$3:$E$1009,""),"Display",_xlfn.XLOOKUP($K40&amp;"",DISPLAY!$B$3:$B$1000&amp;"",DISPLAY!$E$3:$E$1000,""),"Network Device",_xlfn.XLOOKUP($K40&amp;"",'NETWORK-DEVICES'!$B$3:$B$987&amp;"",'NETWORK-DEVICES'!$E$3:$E$987,""),"Peripheral",_xlfn.XLOOKUP($K40&amp;"",PERIPHERAL!$B$3:$B$954&amp;"",PERIPHERAL!$E$3:$E$954,""),"Utilities",_xlfn.XLOOKUP($K40&amp;"",UTILITIES!$B$3:$B$953&amp;"",UTILITIES!$E$3:$E$953,""),"IOT",_xlfn.XLOOKUP($K40&amp;"",IOT!$B$3:$B$1012&amp;"",IOT!$E$3:$E$1012,""),"Server",_xlfn.XLOOKUP($K40&amp;"",SERVER!$B$3:$B$1009&amp;"",SERVER!$E$3:$E$1009,""),""))))</f>
        <v>Patimban</v>
      </c>
      <c r="P40" t="s">
        <v>232</v>
      </c>
      <c r="Q40" s="1" t="str" cm="1">
        <f t="array" ref="Q40">IF(OR($K40="",$I40="",$J40=""),"",_xlfn.LET(_xlpm.srcCat,_xlfn.SWITCH($I40,"Computer",_xlfn.XLOOKUP($K40&amp;"",COMPUTER!$B$3:$B$1009&amp;"",COMPUTER!$H$3:$H$1009,""),"Display",_xlfn.XLOOKUP($K40&amp;"",DISPLAY!$B$3:$B$1000&amp;"",DISPLAY!$H$3:$H$1000,""),"Network Device",_xlfn.XLOOKUP($K40&amp;"",'NETWORK-DEVICES'!$B$3:$B$987&amp;"",'NETWORK-DEVICES'!$H$3:$H$987,""),"Peripheral",_xlfn.XLOOKUP($K40&amp;"",PERIPHERAL!$B$3:$B$954&amp;"",PERIPHERAL!$H$3:$H$954,""),"Utilities",_xlfn.XLOOKUP($K40&amp;"",UTILITIES!$B$3:$B$953&amp;"",UTILITIES!$G$3:$G$953,""),"IOT",_xlfn.XLOOKUP($K40&amp;"",IOT!$B$3:$B$1012&amp;"",IOT!$H$3:$H$1012,""),"Server",_xlfn.XLOOKUP($K40&amp;"",SERVER!$B$3:$B$1009&amp;"",SERVER!$H$3:$H$1009,""),""),IF(TRIM(_xlpm.srcCat)&lt;&gt;TRIM($J40),"",_xlfn.SWITCH($I40,"Computer",_xlfn.XLOOKUP($K40&amp;"",COMPUTER!$B$3:$B$1009&amp;"",COMPUTER!$AM$3:$AM$1009,""),"Display",_xlfn.XLOOKUP($K40&amp;"",DISPLAY!$B$3:$B$1000&amp;"",DISPLAY!$V$3:$V$1000,""),"Network Device",_xlfn.XLOOKUP($K40&amp;"",'NETWORK-DEVICES'!$B$3:$B$987&amp;"",'NETWORK-DEVICES'!$AF$3:$AF$987,""),"Peripheral",_xlfn.XLOOKUP($K40&amp;"",PERIPHERAL!$B$3:$B$954&amp;"",PERIPHERAL!$Y$3:$Y$954,""),"Utilities",_xlfn.XLOOKUP($K40&amp;"",UTILITIES!$B$3:$B$953&amp;"",UTILITIES!$O$3:$O$953,""),"IOT",_xlfn.XLOOKUP($K40&amp;"",IOT!$B$3:$B$1012&amp;"",IOT!$AB$3:$AB$1012,""),"Server",_xlfn.XLOOKUP($K40&amp;"",SERVER!$B$3:$B$1009&amp;"",SERVER!$AB$3:$AB$1009,""),""))))</f>
        <v>Good</v>
      </c>
      <c r="R40" s="43">
        <f>IF(tbl_handover[[#This Row],[Asset Code]]="","",COUNTIF(tbl_handover[Asset Code],tbl_handover[[#This Row],[Asset Code]]))</f>
        <v>1</v>
      </c>
      <c r="S40" s="1" t="s">
        <v>1160</v>
      </c>
      <c r="U40" s="60" t="b">
        <v>0</v>
      </c>
    </row>
    <row r="41" spans="1:21" x14ac:dyDescent="0.25">
      <c r="A41" s="43">
        <f>IF(B41&lt;&gt;"",SUBTOTAL(3,$B$1:B40),"")</f>
        <v>40</v>
      </c>
      <c r="B41" t="s">
        <v>1199</v>
      </c>
      <c r="C41" s="74">
        <v>46281</v>
      </c>
      <c r="D41" s="74"/>
      <c r="E41" t="s">
        <v>1200</v>
      </c>
      <c r="F41" s="13" t="s">
        <v>104</v>
      </c>
      <c r="G41" s="1" t="s">
        <v>1157</v>
      </c>
      <c r="H41" t="s">
        <v>1201</v>
      </c>
      <c r="I41" s="1" t="s">
        <v>695</v>
      </c>
      <c r="J41" s="1" t="s">
        <v>738</v>
      </c>
      <c r="K41" s="42" t="s">
        <v>1206</v>
      </c>
      <c r="L41" t="str" cm="1">
        <f t="array" ref="L41">IF($K41="","",_xlfn.SWITCH($I41,"Computer",_xlfn.XLOOKUP($K41&amp;"",COMPUTER!$B$3:$B$1009&amp;"",COMPUTER!$I$3:$I$1009,""),"Display",_xlfn.XLOOKUP($K41&amp;"",DISPLAY!$B$3:$B$1000&amp;"",DISPLAY!$J$3:$J$1000,""),"Network Device",_xlfn.XLOOKUP($K41&amp;"",'NETWORK-DEVICES'!$B$3:$B$987&amp;"",'NETWORK-DEVICES'!$I$3:$I$987,""),"Peripheral",_xlfn.XLOOKUP($K41&amp;"",PERIPHERAL!$B$3:$B$954&amp;"",PERIPHERAL!$I$3:$I$954,""),"Utilities",_xlfn.XLOOKUP($K41&amp;"",UTILITIES!$B$3:$B$953&amp;"",UTILITIES!$H$3:$H$953,""),"IOT",_xlfn.XLOOKUP($K41&amp;"",IOT!$B$3:$B$1012&amp;"",IOT!$I$3:$I$1012,""),"SERVER",_xlfn.XLOOKUP($K41&amp;"",SERVER!$B$3:$B$1009&amp;"",SERVER!$I$3:$I$1009,""),""))</f>
        <v>PROLINK PRO1201SFCU</v>
      </c>
      <c r="M41" t="str" cm="1">
        <f t="array" ref="M41">IF($K41="","",_xlfn.SWITCH($I41,"Computer",_xlfn.XLOOKUP($K41&amp;"",COMPUTER!$B$3:$B$1009&amp;"",COMPUTER!$J$3:$J$1009,""),"Display",_xlfn.XLOOKUP($K41&amp;"",DISPLAY!$B$3:$B$1000&amp;"",DISPLAY!$K$3:$K$1000,""),"Network Device",_xlfn.XLOOKUP($K41&amp;"",'NETWORK-DEVICES'!$B$3:$B$987&amp;"",'NETWORK-DEVICES'!$I$3:$I$987,""),"Peripheral",_xlfn.XLOOKUP($K41&amp;"",PERIPHERAL!$B$3:$B$954&amp;"",PERIPHERAL!$J$3:$J$954,""),"Utilities",_xlfn.XLOOKUP($K41&amp;"",UTILITIES!$B$3:$B$953&amp;"",UTILITIES!$I$3:$I$953,""),"IOT",_xlfn.XLOOKUP($K41&amp;"",IOT!$B$3:$B$1012&amp;"",IOT!$J$3:$J$1012,""),"Server",_xlfn.XLOOKUP($K41&amp;"",SERVER!$B$3:$B$1009&amp;"",SERVER!$J$3:$J$1009,""),""))</f>
        <v>UPS 120</v>
      </c>
      <c r="N41" s="43" cm="1">
        <f t="array" ref="N41">IF(OR($K41="",$I41="",$J41=""),"",_xlfn.LET(_xlpm.srcCat,_xlfn.SWITCH($I41,"Computer",_xlfn.XLOOKUP($K41&amp;"",COMPUTER!$B$3:$B$1009&amp;"",COMPUTER!$H$3:$H$1009,""),"Display",_xlfn.XLOOKUP($K41&amp;"",DISPLAY!$B$3:$B$1000&amp;"",DISPLAY!$H$3:$H$1000,""),"Network Device",_xlfn.XLOOKUP($K41&amp;"",'NETWORK-DEVICES'!$B$3:$B$987&amp;"",'NETWORK-DEVICES'!$H$3:$H$987,""),"Peripheral",_xlfn.XLOOKUP($K41&amp;"",PERIPHERAL!$B$3:$B$954&amp;"",PERIPHERAL!$H$3:$H$954,""),"Utilities",_xlfn.XLOOKUP($K41&amp;"",UTILITIES!$B$3:$B$953&amp;"",UTILITIES!$G$3:$G$953,""),"IOT",_xlfn.XLOOKUP($K41&amp;"",IOT!$B$3:$B$1012&amp;"",IOT!$H$3:$H$1012,""),"Server",_xlfn.XLOOKUP($K41&amp;"",SERVER!$B$3:$B$1009&amp;"",SERVER!$H$3:$H$1009,""),""),IF(TRIM(_xlpm.srcCat)&lt;&gt;TRIM($J41),"",_xlfn.SWITCH($I41,"Computer",_xlfn.XLOOKUP($K41&amp;"",COMPUTER!$B$3:$B$1009&amp;"",COMPUTER!$K$3:$K$1009,""),"Display",_xlfn.XLOOKUP($K41&amp;"",DISPLAY!$B$3:$B$1000&amp;"",DISPLAY!$L$3:$L$1000,""),"Network Device",_xlfn.XLOOKUP($K41&amp;"",'NETWORK-DEVICES'!$B$3:$B$987&amp;"",'NETWORK-DEVICES'!$K$3:$K$987,""),"Peripheral",_xlfn.XLOOKUP($K41&amp;"",PERIPHERAL!$B$3:$B$954&amp;"",PERIPHERAL!$K$3:$K$954,""),"Utilities",_xlfn.XLOOKUP($K41&amp;"",UTILITIES!$B$3:$B$953&amp;"",UTILITIES!$J$3:$J$953,""),"IOT",_xlfn.XLOOKUP($K41&amp;"",IOT!$B$3:$B$1012&amp;"",IOT!$K$4:$K$1012,""),"Server",_xlfn.XLOOKUP($K41&amp;"",SERVER!$B$3:$B$1009&amp;"",SERVER!$K$3:$K$1009,""),""))))</f>
        <v>553801254800926</v>
      </c>
      <c r="O41" s="1" t="str" cm="1">
        <f t="array" ref="O41">IF(OR($K41="",$I41="",$J41=""),"",_xlfn.LET(_xlpm.srcCat,_xlfn.SWITCH($I41,"Computer",_xlfn.XLOOKUP($K41&amp;"",COMPUTER!$B$3:$B$1009&amp;"",COMPUTER!$H$3:$H$1009,""),"Display",_xlfn.XLOOKUP($K41&amp;"",DISPLAY!$B$3:$B$1000&amp;"",DISPLAY!$H$3:$H$1000,""),"Network Device",_xlfn.XLOOKUP($K41&amp;"",'NETWORK-DEVICES'!$B$3:$B$987&amp;"",'NETWORK-DEVICES'!$H$3:$H$987,""),"Peripheral",_xlfn.XLOOKUP($K41&amp;"",PERIPHERAL!$B$3:$B$954&amp;"",PERIPHERAL!$H$3:$H$954,""),"Utilities",_xlfn.XLOOKUP($K41&amp;"",UTILITIES!$B$3:$B$953&amp;"",UTILITIES!$G$3:$G$953,""),"IOT",_xlfn.XLOOKUP($K41&amp;"",IOT!$B$3:$B$1012&amp;"",IOT!$H$3:$H$1012,""),"Server",_xlfn.XLOOKUP($K41&amp;"",SERVER!$B$3:$B$1009&amp;"",SERVER!$H$3:$H$1009,""),""),IF(TRIM(_xlpm.srcCat)&lt;&gt;TRIM($J41),"",_xlfn.SWITCH($I41,"Computer",_xlfn.XLOOKUP($K41&amp;"",COMPUTER!$B$3:$B$1009&amp;"",COMPUTER!$E$3:$E$1009,""),"Display",_xlfn.XLOOKUP($K41&amp;"",DISPLAY!$B$3:$B$1000&amp;"",DISPLAY!$E$3:$E$1000,""),"Network Device",_xlfn.XLOOKUP($K41&amp;"",'NETWORK-DEVICES'!$B$3:$B$987&amp;"",'NETWORK-DEVICES'!$E$3:$E$987,""),"Peripheral",_xlfn.XLOOKUP($K41&amp;"",PERIPHERAL!$B$3:$B$954&amp;"",PERIPHERAL!$E$3:$E$954,""),"Utilities",_xlfn.XLOOKUP($K41&amp;"",UTILITIES!$B$3:$B$953&amp;"",UTILITIES!$E$3:$E$953,""),"IOT",_xlfn.XLOOKUP($K41&amp;"",IOT!$B$3:$B$1012&amp;"",IOT!$E$3:$E$1012,""),"Server",_xlfn.XLOOKUP($K41&amp;"",SERVER!$B$3:$B$1009&amp;"",SERVER!$E$3:$E$1009,""),""))))</f>
        <v>Patimban</v>
      </c>
      <c r="P41" t="s">
        <v>232</v>
      </c>
      <c r="Q41" s="1" t="str" cm="1">
        <f t="array" ref="Q41">IF(OR($K41="",$I41="",$J41=""),"",_xlfn.LET(_xlpm.srcCat,_xlfn.SWITCH($I41,"Computer",_xlfn.XLOOKUP($K41&amp;"",COMPUTER!$B$3:$B$1009&amp;"",COMPUTER!$H$3:$H$1009,""),"Display",_xlfn.XLOOKUP($K41&amp;"",DISPLAY!$B$3:$B$1000&amp;"",DISPLAY!$H$3:$H$1000,""),"Network Device",_xlfn.XLOOKUP($K41&amp;"",'NETWORK-DEVICES'!$B$3:$B$987&amp;"",'NETWORK-DEVICES'!$H$3:$H$987,""),"Peripheral",_xlfn.XLOOKUP($K41&amp;"",PERIPHERAL!$B$3:$B$954&amp;"",PERIPHERAL!$H$3:$H$954,""),"Utilities",_xlfn.XLOOKUP($K41&amp;"",UTILITIES!$B$3:$B$953&amp;"",UTILITIES!$G$3:$G$953,""),"IOT",_xlfn.XLOOKUP($K41&amp;"",IOT!$B$3:$B$1012&amp;"",IOT!$H$3:$H$1012,""),"Server",_xlfn.XLOOKUP($K41&amp;"",SERVER!$B$3:$B$1009&amp;"",SERVER!$H$3:$H$1009,""),""),IF(TRIM(_xlpm.srcCat)&lt;&gt;TRIM($J41),"",_xlfn.SWITCH($I41,"Computer",_xlfn.XLOOKUP($K41&amp;"",COMPUTER!$B$3:$B$1009&amp;"",COMPUTER!$AM$3:$AM$1009,""),"Display",_xlfn.XLOOKUP($K41&amp;"",DISPLAY!$B$3:$B$1000&amp;"",DISPLAY!$V$3:$V$1000,""),"Network Device",_xlfn.XLOOKUP($K41&amp;"",'NETWORK-DEVICES'!$B$3:$B$987&amp;"",'NETWORK-DEVICES'!$AF$3:$AF$987,""),"Peripheral",_xlfn.XLOOKUP($K41&amp;"",PERIPHERAL!$B$3:$B$954&amp;"",PERIPHERAL!$Y$3:$Y$954,""),"Utilities",_xlfn.XLOOKUP($K41&amp;"",UTILITIES!$B$3:$B$953&amp;"",UTILITIES!$O$3:$O$953,""),"IOT",_xlfn.XLOOKUP($K41&amp;"",IOT!$B$3:$B$1012&amp;"",IOT!$AB$3:$AB$1012,""),"Server",_xlfn.XLOOKUP($K41&amp;"",SERVER!$B$3:$B$1009&amp;"",SERVER!$AB$3:$AB$1009,""),""))))</f>
        <v>Good</v>
      </c>
      <c r="R41" s="43">
        <f>IF(tbl_handover[[#This Row],[Asset Code]]="","",COUNTIF(tbl_handover[Asset Code],tbl_handover[[#This Row],[Asset Code]]))</f>
        <v>1</v>
      </c>
      <c r="S41" s="1" t="s">
        <v>1160</v>
      </c>
      <c r="U41" s="60" t="b">
        <v>0</v>
      </c>
    </row>
    <row r="42" spans="1:21" x14ac:dyDescent="0.25">
      <c r="A42" s="43">
        <f>IF(B42&lt;&gt;"",SUBTOTAL(3,$B$1:B41),"")</f>
        <v>41</v>
      </c>
      <c r="B42" t="s">
        <v>1207</v>
      </c>
      <c r="C42" s="74">
        <v>46281</v>
      </c>
      <c r="D42" s="74"/>
      <c r="E42" t="s">
        <v>1208</v>
      </c>
      <c r="F42" s="13" t="s">
        <v>104</v>
      </c>
      <c r="G42" s="1" t="s">
        <v>1157</v>
      </c>
      <c r="H42" t="s">
        <v>1178</v>
      </c>
      <c r="I42" s="1" t="s">
        <v>76</v>
      </c>
      <c r="J42" s="1" t="s">
        <v>125</v>
      </c>
      <c r="K42" s="42" t="s">
        <v>1209</v>
      </c>
      <c r="L42" t="str" cm="1">
        <f t="array" ref="L42">IF($K42="","",_xlfn.SWITCH($I42,"Computer",_xlfn.XLOOKUP($K42&amp;"",COMPUTER!$B$3:$B$1009&amp;"",COMPUTER!$I$3:$I$1009,""),"Display",_xlfn.XLOOKUP($K42&amp;"",DISPLAY!$B$3:$B$1000&amp;"",DISPLAY!$J$3:$J$1000,""),"Network Device",_xlfn.XLOOKUP($K42&amp;"",'NETWORK-DEVICES'!$B$3:$B$987&amp;"",'NETWORK-DEVICES'!$I$3:$I$987,""),"Peripheral",_xlfn.XLOOKUP($K42&amp;"",PERIPHERAL!$B$3:$B$954&amp;"",PERIPHERAL!$I$3:$I$954,""),"Utilities",_xlfn.XLOOKUP($K42&amp;"",UTILITIES!$B$3:$B$953&amp;"",UTILITIES!$H$3:$H$953,""),"IOT",_xlfn.XLOOKUP($K42&amp;"",IOT!$B$3:$B$1012&amp;"",IOT!$I$3:$I$1012,""),"SERVER",_xlfn.XLOOKUP($K42&amp;"",SERVER!$B$3:$B$1009&amp;"",SERVER!$I$3:$I$1009,""),""))</f>
        <v>Dell Pro 14 PC14250</v>
      </c>
      <c r="M42" t="str" cm="1">
        <f t="array" ref="M42">IF($K42="","",_xlfn.SWITCH($I42,"Computer",_xlfn.XLOOKUP($K42&amp;"",COMPUTER!$B$3:$B$1009&amp;"",COMPUTER!$J$3:$J$1009,""),"Display",_xlfn.XLOOKUP($K42&amp;"",DISPLAY!$B$3:$B$1000&amp;"",DISPLAY!$K$3:$K$1000,""),"Network Device",_xlfn.XLOOKUP($K42&amp;"",'NETWORK-DEVICES'!$B$3:$B$987&amp;"",'NETWORK-DEVICES'!$I$3:$I$987,""),"Peripheral",_xlfn.XLOOKUP($K42&amp;"",PERIPHERAL!$B$3:$B$954&amp;"",PERIPHERAL!$J$3:$J$954,""),"Utilities",_xlfn.XLOOKUP($K42&amp;"",UTILITIES!$B$3:$B$953&amp;"",UTILITIES!$I$3:$I$953,""),"IOT",_xlfn.XLOOKUP($K42&amp;"",IOT!$B$3:$B$1012&amp;"",IOT!$J$3:$J$1012,""),"Server",_xlfn.XLOOKUP($K42&amp;"",SERVER!$B$3:$B$1009&amp;"",SERVER!$J$3:$J$1009,""),""))</f>
        <v>NOTEBOOK</v>
      </c>
      <c r="N42" s="1" t="str" cm="1">
        <f t="array" ref="N42">IF(OR($K42="",$I42="",$J42=""),"",_xlfn.LET(_xlpm.srcCat,_xlfn.SWITCH($I42,"Computer",_xlfn.XLOOKUP($K42&amp;"",COMPUTER!$B$3:$B$1009&amp;"",COMPUTER!$H$3:$H$1009,""),"Display",_xlfn.XLOOKUP($K42&amp;"",DISPLAY!$B$3:$B$1000&amp;"",DISPLAY!$H$3:$H$1000,""),"Network Device",_xlfn.XLOOKUP($K42&amp;"",'NETWORK-DEVICES'!$B$3:$B$987&amp;"",'NETWORK-DEVICES'!$H$3:$H$987,""),"Peripheral",_xlfn.XLOOKUP($K42&amp;"",PERIPHERAL!$B$3:$B$954&amp;"",PERIPHERAL!$H$3:$H$954,""),"Utilities",_xlfn.XLOOKUP($K42&amp;"",UTILITIES!$B$3:$B$953&amp;"",UTILITIES!$G$3:$G$953,""),"IOT",_xlfn.XLOOKUP($K42&amp;"",IOT!$B$3:$B$1012&amp;"",IOT!$H$3:$H$1012,""),"Server",_xlfn.XLOOKUP($K42&amp;"",SERVER!$B$3:$B$1009&amp;"",SERVER!$H$3:$H$1009,""),""),IF(TRIM(_xlpm.srcCat)&lt;&gt;TRIM($J42),"",_xlfn.SWITCH($I42,"Computer",_xlfn.XLOOKUP($K42&amp;"",COMPUTER!$B$3:$B$1009&amp;"",COMPUTER!$K$3:$K$1009,""),"Display",_xlfn.XLOOKUP($K42&amp;"",DISPLAY!$B$3:$B$1000&amp;"",DISPLAY!$L$3:$L$1000,""),"Network Device",_xlfn.XLOOKUP($K42&amp;"",'NETWORK-DEVICES'!$B$3:$B$987&amp;"",'NETWORK-DEVICES'!$K$3:$K$987,""),"Peripheral",_xlfn.XLOOKUP($K42&amp;"",PERIPHERAL!$B$3:$B$954&amp;"",PERIPHERAL!$K$3:$K$954,""),"Utilities",_xlfn.XLOOKUP($K42&amp;"",UTILITIES!$B$3:$B$953&amp;"",UTILITIES!$J$3:$J$953,""),"IOT",_xlfn.XLOOKUP($K42&amp;"",IOT!$B$3:$B$1012&amp;"",IOT!$K$4:$K$1012,""),"Server",_xlfn.XLOOKUP($K42&amp;"",SERVER!$B$3:$B$1009&amp;"",SERVER!$K$3:$K$1009,""),""))))</f>
        <v>BDVNND4</v>
      </c>
      <c r="O42" s="1" t="str" cm="1">
        <f t="array" ref="O42">IF(OR($K42="",$I42="",$J42=""),"",_xlfn.LET(_xlpm.srcCat,_xlfn.SWITCH($I42,"Computer",_xlfn.XLOOKUP($K42&amp;"",COMPUTER!$B$3:$B$1009&amp;"",COMPUTER!$H$3:$H$1009,""),"Display",_xlfn.XLOOKUP($K42&amp;"",DISPLAY!$B$3:$B$1000&amp;"",DISPLAY!$H$3:$H$1000,""),"Network Device",_xlfn.XLOOKUP($K42&amp;"",'NETWORK-DEVICES'!$B$3:$B$987&amp;"",'NETWORK-DEVICES'!$H$3:$H$987,""),"Peripheral",_xlfn.XLOOKUP($K42&amp;"",PERIPHERAL!$B$3:$B$954&amp;"",PERIPHERAL!$H$3:$H$954,""),"Utilities",_xlfn.XLOOKUP($K42&amp;"",UTILITIES!$B$3:$B$953&amp;"",UTILITIES!$G$3:$G$953,""),"IOT",_xlfn.XLOOKUP($K42&amp;"",IOT!$B$3:$B$1012&amp;"",IOT!$H$3:$H$1012,""),"Server",_xlfn.XLOOKUP($K42&amp;"",SERVER!$B$3:$B$1009&amp;"",SERVER!$H$3:$H$1009,""),""),IF(TRIM(_xlpm.srcCat)&lt;&gt;TRIM($J42),"",_xlfn.SWITCH($I42,"Computer",_xlfn.XLOOKUP($K42&amp;"",COMPUTER!$B$3:$B$1009&amp;"",COMPUTER!$E$3:$E$1009,""),"Display",_xlfn.XLOOKUP($K42&amp;"",DISPLAY!$B$3:$B$1000&amp;"",DISPLAY!$E$3:$E$1000,""),"Network Device",_xlfn.XLOOKUP($K42&amp;"",'NETWORK-DEVICES'!$B$3:$B$987&amp;"",'NETWORK-DEVICES'!$E$3:$E$987,""),"Peripheral",_xlfn.XLOOKUP($K42&amp;"",PERIPHERAL!$B$3:$B$954&amp;"",PERIPHERAL!$E$3:$E$954,""),"Utilities",_xlfn.XLOOKUP($K42&amp;"",UTILITIES!$B$3:$B$953&amp;"",UTILITIES!$E$3:$E$953,""),"IOT",_xlfn.XLOOKUP($K42&amp;"",IOT!$B$3:$B$1012&amp;"",IOT!$E$3:$E$1012,""),"Server",_xlfn.XLOOKUP($K42&amp;"",SERVER!$B$3:$B$1009&amp;"",SERVER!$E$3:$E$1009,""),""))))</f>
        <v>Patimban</v>
      </c>
      <c r="P42" t="s">
        <v>186</v>
      </c>
      <c r="Q42" s="1" t="str" cm="1">
        <f t="array" ref="Q42">IF(OR($K42="",$I42="",$J42=""),"",_xlfn.LET(_xlpm.srcCat,_xlfn.SWITCH($I42,"Computer",_xlfn.XLOOKUP($K42&amp;"",COMPUTER!$B$3:$B$1009&amp;"",COMPUTER!$H$3:$H$1009,""),"Display",_xlfn.XLOOKUP($K42&amp;"",DISPLAY!$B$3:$B$1000&amp;"",DISPLAY!$H$3:$H$1000,""),"Network Device",_xlfn.XLOOKUP($K42&amp;"",'NETWORK-DEVICES'!$B$3:$B$987&amp;"",'NETWORK-DEVICES'!$H$3:$H$987,""),"Peripheral",_xlfn.XLOOKUP($K42&amp;"",PERIPHERAL!$B$3:$B$954&amp;"",PERIPHERAL!$H$3:$H$954,""),"Utilities",_xlfn.XLOOKUP($K42&amp;"",UTILITIES!$B$3:$B$953&amp;"",UTILITIES!$G$3:$G$953,""),"IOT",_xlfn.XLOOKUP($K42&amp;"",IOT!$B$3:$B$1012&amp;"",IOT!$H$3:$H$1012,""),"Server",_xlfn.XLOOKUP($K42&amp;"",SERVER!$B$3:$B$1009&amp;"",SERVER!$H$3:$H$1009,""),""),IF(TRIM(_xlpm.srcCat)&lt;&gt;TRIM($J42),"",_xlfn.SWITCH($I42,"Computer",_xlfn.XLOOKUP($K42&amp;"",COMPUTER!$B$3:$B$1009&amp;"",COMPUTER!$AM$3:$AM$1009,""),"Display",_xlfn.XLOOKUP($K42&amp;"",DISPLAY!$B$3:$B$1000&amp;"",DISPLAY!$V$3:$V$1000,""),"Network Device",_xlfn.XLOOKUP($K42&amp;"",'NETWORK-DEVICES'!$B$3:$B$987&amp;"",'NETWORK-DEVICES'!$AF$3:$AF$987,""),"Peripheral",_xlfn.XLOOKUP($K42&amp;"",PERIPHERAL!$B$3:$B$954&amp;"",PERIPHERAL!$Y$3:$Y$954,""),"Utilities",_xlfn.XLOOKUP($K42&amp;"",UTILITIES!$B$3:$B$953&amp;"",UTILITIES!$O$3:$O$953,""),"IOT",_xlfn.XLOOKUP($K42&amp;"",IOT!$B$3:$B$1012&amp;"",IOT!$AB$3:$AB$1012,""),"Server",_xlfn.XLOOKUP($K42&amp;"",SERVER!$B$3:$B$1009&amp;"",SERVER!$AB$3:$AB$1009,""),""))))</f>
        <v>Good</v>
      </c>
      <c r="R42" s="43">
        <f>IF(tbl_handover[[#This Row],[Asset Code]]="","",COUNTIF(tbl_handover[Asset Code],tbl_handover[[#This Row],[Asset Code]]))</f>
        <v>1</v>
      </c>
      <c r="S42" s="1" t="s">
        <v>1160</v>
      </c>
      <c r="T42" t="s">
        <v>1210</v>
      </c>
      <c r="U42" s="60" t="b">
        <v>0</v>
      </c>
    </row>
    <row r="43" spans="1:21" x14ac:dyDescent="0.25">
      <c r="A43" s="43">
        <f>IF(B43&lt;&gt;"",SUBTOTAL(3,$B$1:B42),"")</f>
        <v>42</v>
      </c>
      <c r="B43" t="s">
        <v>1207</v>
      </c>
      <c r="C43" s="74">
        <v>46281</v>
      </c>
      <c r="D43" s="74"/>
      <c r="E43" t="s">
        <v>1208</v>
      </c>
      <c r="F43" s="13" t="s">
        <v>104</v>
      </c>
      <c r="G43" s="1" t="s">
        <v>1157</v>
      </c>
      <c r="H43" t="s">
        <v>1178</v>
      </c>
      <c r="I43" s="1" t="s">
        <v>695</v>
      </c>
      <c r="J43" s="1" t="s">
        <v>745</v>
      </c>
      <c r="K43" s="42" t="s">
        <v>1211</v>
      </c>
      <c r="L43" t="str" cm="1">
        <f t="array" ref="L43">IF($K43="","",_xlfn.SWITCH($I43,"Computer",_xlfn.XLOOKUP($K43&amp;"",COMPUTER!$B$3:$B$1009&amp;"",COMPUTER!$I$3:$I$1009,""),"Display",_xlfn.XLOOKUP($K43&amp;"",DISPLAY!$B$3:$B$1000&amp;"",DISPLAY!$J$3:$J$1000,""),"Network Device",_xlfn.XLOOKUP($K43&amp;"",'NETWORK-DEVICES'!$B$3:$B$987&amp;"",'NETWORK-DEVICES'!$I$3:$I$987,""),"Peripheral",_xlfn.XLOOKUP($K43&amp;"",PERIPHERAL!$B$3:$B$954&amp;"",PERIPHERAL!$I$3:$I$954,""),"Utilities",_xlfn.XLOOKUP($K43&amp;"",UTILITIES!$B$3:$B$953&amp;"",UTILITIES!$H$3:$H$953,""),"IOT",_xlfn.XLOOKUP($K43&amp;"",IOT!$B$3:$B$1012&amp;"",IOT!$I$3:$I$1012,""),"SERVER",_xlfn.XLOOKUP($K43&amp;"",SERVER!$B$3:$B$1009&amp;"",SERVER!$I$3:$I$1009,""),""))</f>
        <v>USB Heaset Stereo H570E Logitech</v>
      </c>
      <c r="M43" t="str" cm="1">
        <f t="array" ref="M43">IF($K43="","",_xlfn.SWITCH($I43,"Computer",_xlfn.XLOOKUP($K43&amp;"",COMPUTER!$B$3:$B$1009&amp;"",COMPUTER!$J$3:$J$1009,""),"Display",_xlfn.XLOOKUP($K43&amp;"",DISPLAY!$B$3:$B$1000&amp;"",DISPLAY!$K$3:$K$1000,""),"Network Device",_xlfn.XLOOKUP($K43&amp;"",'NETWORK-DEVICES'!$B$3:$B$987&amp;"",'NETWORK-DEVICES'!$I$3:$I$987,""),"Peripheral",_xlfn.XLOOKUP($K43&amp;"",PERIPHERAL!$B$3:$B$954&amp;"",PERIPHERAL!$J$3:$J$954,""),"Utilities",_xlfn.XLOOKUP($K43&amp;"",UTILITIES!$B$3:$B$953&amp;"",UTILITIES!$I$3:$I$953,""),"IOT",_xlfn.XLOOKUP($K43&amp;"",IOT!$B$3:$B$1012&amp;"",IOT!$J$3:$J$1012,""),"Server",_xlfn.XLOOKUP($K43&amp;"",SERVER!$B$3:$B$1009&amp;"",SERVER!$J$3:$J$1009,""),""))</f>
        <v>Headset USB</v>
      </c>
      <c r="N43" s="1" t="str" cm="1">
        <f t="array" ref="N43">IF(OR($K43="",$I43="",$J43=""),"",_xlfn.LET(_xlpm.srcCat,_xlfn.SWITCH($I43,"Computer",_xlfn.XLOOKUP($K43&amp;"",COMPUTER!$B$3:$B$1009&amp;"",COMPUTER!$H$3:$H$1009,""),"Display",_xlfn.XLOOKUP($K43&amp;"",DISPLAY!$B$3:$B$1000&amp;"",DISPLAY!$H$3:$H$1000,""),"Network Device",_xlfn.XLOOKUP($K43&amp;"",'NETWORK-DEVICES'!$B$3:$B$987&amp;"",'NETWORK-DEVICES'!$H$3:$H$987,""),"Peripheral",_xlfn.XLOOKUP($K43&amp;"",PERIPHERAL!$B$3:$B$954&amp;"",PERIPHERAL!$H$3:$H$954,""),"Utilities",_xlfn.XLOOKUP($K43&amp;"",UTILITIES!$B$3:$B$953&amp;"",UTILITIES!$G$3:$G$953,""),"IOT",_xlfn.XLOOKUP($K43&amp;"",IOT!$B$3:$B$1012&amp;"",IOT!$H$3:$H$1012,""),"Server",_xlfn.XLOOKUP($K43&amp;"",SERVER!$B$3:$B$1009&amp;"",SERVER!$H$3:$H$1009,""),""),IF(TRIM(_xlpm.srcCat)&lt;&gt;TRIM($J43),"",_xlfn.SWITCH($I43,"Computer",_xlfn.XLOOKUP($K43&amp;"",COMPUTER!$B$3:$B$1009&amp;"",COMPUTER!$K$3:$K$1009,""),"Display",_xlfn.XLOOKUP($K43&amp;"",DISPLAY!$B$3:$B$1000&amp;"",DISPLAY!$L$3:$L$1000,""),"Network Device",_xlfn.XLOOKUP($K43&amp;"",'NETWORK-DEVICES'!$B$3:$B$987&amp;"",'NETWORK-DEVICES'!$K$3:$K$987,""),"Peripheral",_xlfn.XLOOKUP($K43&amp;"",PERIPHERAL!$B$3:$B$954&amp;"",PERIPHERAL!$K$3:$K$954,""),"Utilities",_xlfn.XLOOKUP($K43&amp;"",UTILITIES!$B$3:$B$953&amp;"",UTILITIES!$J$3:$J$953,""),"IOT",_xlfn.XLOOKUP($K43&amp;"",IOT!$B$3:$B$1012&amp;"",IOT!$K$4:$K$1012,""),"Server",_xlfn.XLOOKUP($K43&amp;"",SERVER!$B$3:$B$1009&amp;"",SERVER!$K$3:$K$1009,""),""))))</f>
        <v>2542MEA1T0N9</v>
      </c>
      <c r="O43" s="1" t="str" cm="1">
        <f t="array" ref="O43">IF(OR($K43="",$I43="",$J43=""),"",_xlfn.LET(_xlpm.srcCat,_xlfn.SWITCH($I43,"Computer",_xlfn.XLOOKUP($K43&amp;"",COMPUTER!$B$3:$B$1009&amp;"",COMPUTER!$H$3:$H$1009,""),"Display",_xlfn.XLOOKUP($K43&amp;"",DISPLAY!$B$3:$B$1000&amp;"",DISPLAY!$H$3:$H$1000,""),"Network Device",_xlfn.XLOOKUP($K43&amp;"",'NETWORK-DEVICES'!$B$3:$B$987&amp;"",'NETWORK-DEVICES'!$H$3:$H$987,""),"Peripheral",_xlfn.XLOOKUP($K43&amp;"",PERIPHERAL!$B$3:$B$954&amp;"",PERIPHERAL!$H$3:$H$954,""),"Utilities",_xlfn.XLOOKUP($K43&amp;"",UTILITIES!$B$3:$B$953&amp;"",UTILITIES!$G$3:$G$953,""),"IOT",_xlfn.XLOOKUP($K43&amp;"",IOT!$B$3:$B$1012&amp;"",IOT!$H$3:$H$1012,""),"Server",_xlfn.XLOOKUP($K43&amp;"",SERVER!$B$3:$B$1009&amp;"",SERVER!$H$3:$H$1009,""),""),IF(TRIM(_xlpm.srcCat)&lt;&gt;TRIM($J43),"",_xlfn.SWITCH($I43,"Computer",_xlfn.XLOOKUP($K43&amp;"",COMPUTER!$B$3:$B$1009&amp;"",COMPUTER!$E$3:$E$1009,""),"Display",_xlfn.XLOOKUP($K43&amp;"",DISPLAY!$B$3:$B$1000&amp;"",DISPLAY!$E$3:$E$1000,""),"Network Device",_xlfn.XLOOKUP($K43&amp;"",'NETWORK-DEVICES'!$B$3:$B$987&amp;"",'NETWORK-DEVICES'!$E$3:$E$987,""),"Peripheral",_xlfn.XLOOKUP($K43&amp;"",PERIPHERAL!$B$3:$B$954&amp;"",PERIPHERAL!$E$3:$E$954,""),"Utilities",_xlfn.XLOOKUP($K43&amp;"",UTILITIES!$B$3:$B$953&amp;"",UTILITIES!$E$3:$E$953,""),"IOT",_xlfn.XLOOKUP($K43&amp;"",IOT!$B$3:$B$1012&amp;"",IOT!$E$3:$E$1012,""),"Server",_xlfn.XLOOKUP($K43&amp;"",SERVER!$B$3:$B$1009&amp;"",SERVER!$E$3:$E$1009,""),""))))</f>
        <v>Patimban</v>
      </c>
      <c r="P43" t="s">
        <v>186</v>
      </c>
      <c r="Q43" s="1" t="str" cm="1">
        <f t="array" ref="Q43">IF(OR($K43="",$I43="",$J43=""),"",_xlfn.LET(_xlpm.srcCat,_xlfn.SWITCH($I43,"Computer",_xlfn.XLOOKUP($K43&amp;"",COMPUTER!$B$3:$B$1009&amp;"",COMPUTER!$H$3:$H$1009,""),"Display",_xlfn.XLOOKUP($K43&amp;"",DISPLAY!$B$3:$B$1000&amp;"",DISPLAY!$H$3:$H$1000,""),"Network Device",_xlfn.XLOOKUP($K43&amp;"",'NETWORK-DEVICES'!$B$3:$B$987&amp;"",'NETWORK-DEVICES'!$H$3:$H$987,""),"Peripheral",_xlfn.XLOOKUP($K43&amp;"",PERIPHERAL!$B$3:$B$954&amp;"",PERIPHERAL!$H$3:$H$954,""),"Utilities",_xlfn.XLOOKUP($K43&amp;"",UTILITIES!$B$3:$B$953&amp;"",UTILITIES!$G$3:$G$953,""),"IOT",_xlfn.XLOOKUP($K43&amp;"",IOT!$B$3:$B$1012&amp;"",IOT!$H$3:$H$1012,""),"Server",_xlfn.XLOOKUP($K43&amp;"",SERVER!$B$3:$B$1009&amp;"",SERVER!$H$3:$H$1009,""),""),IF(TRIM(_xlpm.srcCat)&lt;&gt;TRIM($J43),"",_xlfn.SWITCH($I43,"Computer",_xlfn.XLOOKUP($K43&amp;"",COMPUTER!$B$3:$B$1009&amp;"",COMPUTER!$AM$3:$AM$1009,""),"Display",_xlfn.XLOOKUP($K43&amp;"",DISPLAY!$B$3:$B$1000&amp;"",DISPLAY!$V$3:$V$1000,""),"Network Device",_xlfn.XLOOKUP($K43&amp;"",'NETWORK-DEVICES'!$B$3:$B$987&amp;"",'NETWORK-DEVICES'!$AF$3:$AF$987,""),"Peripheral",_xlfn.XLOOKUP($K43&amp;"",PERIPHERAL!$B$3:$B$954&amp;"",PERIPHERAL!$Y$3:$Y$954,""),"Utilities",_xlfn.XLOOKUP($K43&amp;"",UTILITIES!$B$3:$B$953&amp;"",UTILITIES!$O$3:$O$953,""),"IOT",_xlfn.XLOOKUP($K43&amp;"",IOT!$B$3:$B$1012&amp;"",IOT!$AB$3:$AB$1012,""),"Server",_xlfn.XLOOKUP($K43&amp;"",SERVER!$B$3:$B$1009&amp;"",SERVER!$AB$3:$AB$1009,""),""))))</f>
        <v>New</v>
      </c>
      <c r="R43" s="43">
        <f>IF(tbl_handover[[#This Row],[Asset Code]]="","",COUNTIF(tbl_handover[Asset Code],tbl_handover[[#This Row],[Asset Code]]))</f>
        <v>1</v>
      </c>
      <c r="S43" s="1" t="s">
        <v>1160</v>
      </c>
      <c r="U43" s="60" t="b">
        <v>0</v>
      </c>
    </row>
    <row r="44" spans="1:21" x14ac:dyDescent="0.25">
      <c r="A44" s="43">
        <f>IF(B44&lt;&gt;"",SUBTOTAL(3,$B$1:B42),"")</f>
        <v>42</v>
      </c>
      <c r="B44" t="s">
        <v>1212</v>
      </c>
      <c r="C44" s="74">
        <v>46279</v>
      </c>
      <c r="D44" s="74"/>
      <c r="E44" t="s">
        <v>1213</v>
      </c>
      <c r="F44" s="13" t="s">
        <v>104</v>
      </c>
      <c r="G44" s="1" t="s">
        <v>1128</v>
      </c>
      <c r="H44" t="s">
        <v>1201</v>
      </c>
      <c r="I44" s="1" t="s">
        <v>695</v>
      </c>
      <c r="J44" s="1" t="s">
        <v>745</v>
      </c>
      <c r="K44" s="42" t="s">
        <v>1214</v>
      </c>
      <c r="L44" t="str" cm="1">
        <f t="array" ref="L44">IF($K44="","",_xlfn.SWITCH($I44,"Computer",_xlfn.XLOOKUP($K44&amp;"",COMPUTER!$B$3:$B$1009&amp;"",COMPUTER!$I$3:$I$1009,""),"Display",_xlfn.XLOOKUP($K44&amp;"",DISPLAY!$B$3:$B$1000&amp;"",DISPLAY!$J$3:$J$1000,""),"Network Device",_xlfn.XLOOKUP($K44&amp;"",'NETWORK-DEVICES'!$B$3:$B$987&amp;"",'NETWORK-DEVICES'!$I$3:$I$987,""),"Peripheral",_xlfn.XLOOKUP($K44&amp;"",PERIPHERAL!$B$3:$B$954&amp;"",PERIPHERAL!$I$3:$I$954,""),"Utilities",_xlfn.XLOOKUP($K44&amp;"",UTILITIES!$B$3:$B$953&amp;"",UTILITIES!$H$3:$H$953,""),"IOT",_xlfn.XLOOKUP($K44&amp;"",IOT!$B$3:$B$1012&amp;"",IOT!$I$3:$I$1012,""),"SERVER",_xlfn.XLOOKUP($K44&amp;"",SERVER!$B$3:$B$1009&amp;"",SERVER!$I$3:$I$1009,""),""))</f>
        <v>USB Heaset Stereo H570E Logitech</v>
      </c>
      <c r="M44" t="str" cm="1">
        <f t="array" ref="M44">IF($K44="","",_xlfn.SWITCH($I44,"Computer",_xlfn.XLOOKUP($K44&amp;"",COMPUTER!$B$3:$B$1009&amp;"",COMPUTER!$J$3:$J$1009,""),"Display",_xlfn.XLOOKUP($K44&amp;"",DISPLAY!$B$3:$B$1000&amp;"",DISPLAY!$K$3:$K$1000,""),"Network Device",_xlfn.XLOOKUP($K44&amp;"",'NETWORK-DEVICES'!$B$3:$B$987&amp;"",'NETWORK-DEVICES'!$I$3:$I$987,""),"Peripheral",_xlfn.XLOOKUP($K44&amp;"",PERIPHERAL!$B$3:$B$954&amp;"",PERIPHERAL!$J$3:$J$954,""),"Utilities",_xlfn.XLOOKUP($K44&amp;"",UTILITIES!$B$3:$B$953&amp;"",UTILITIES!$I$3:$I$953,""),"IOT",_xlfn.XLOOKUP($K44&amp;"",IOT!$B$3:$B$1012&amp;"",IOT!$J$3:$J$1012,""),"Server",_xlfn.XLOOKUP($K44&amp;"",SERVER!$B$3:$B$1009&amp;"",SERVER!$J$3:$J$1009,""),""))</f>
        <v>Headset USB</v>
      </c>
      <c r="N44" s="1" t="str" cm="1">
        <f t="array" ref="N44">IF(OR($K44="",$I44="",$J44=""),"",_xlfn.LET(_xlpm.srcCat,_xlfn.SWITCH($I44,"Computer",_xlfn.XLOOKUP($K44&amp;"",COMPUTER!$B$3:$B$1009&amp;"",COMPUTER!$H$3:$H$1009,""),"Display",_xlfn.XLOOKUP($K44&amp;"",DISPLAY!$B$3:$B$1000&amp;"",DISPLAY!$H$3:$H$1000,""),"Network Device",_xlfn.XLOOKUP($K44&amp;"",'NETWORK-DEVICES'!$B$3:$B$987&amp;"",'NETWORK-DEVICES'!$H$3:$H$987,""),"Peripheral",_xlfn.XLOOKUP($K44&amp;"",PERIPHERAL!$B$3:$B$954&amp;"",PERIPHERAL!$H$3:$H$954,""),"Utilities",_xlfn.XLOOKUP($K44&amp;"",UTILITIES!$B$3:$B$953&amp;"",UTILITIES!$G$3:$G$953,""),"IOT",_xlfn.XLOOKUP($K44&amp;"",IOT!$B$3:$B$1012&amp;"",IOT!$H$3:$H$1012,""),"Server",_xlfn.XLOOKUP($K44&amp;"",SERVER!$B$3:$B$1009&amp;"",SERVER!$H$3:$H$1009,""),""),IF(TRIM(_xlpm.srcCat)&lt;&gt;TRIM($J44),"",_xlfn.SWITCH($I44,"Computer",_xlfn.XLOOKUP($K44&amp;"",COMPUTER!$B$3:$B$1009&amp;"",COMPUTER!$K$3:$K$1009,""),"Display",_xlfn.XLOOKUP($K44&amp;"",DISPLAY!$B$3:$B$1000&amp;"",DISPLAY!$L$3:$L$1000,""),"Network Device",_xlfn.XLOOKUP($K44&amp;"",'NETWORK-DEVICES'!$B$3:$B$987&amp;"",'NETWORK-DEVICES'!$K$3:$K$987,""),"Peripheral",_xlfn.XLOOKUP($K44&amp;"",PERIPHERAL!$B$3:$B$954&amp;"",PERIPHERAL!$K$3:$K$954,""),"Utilities",_xlfn.XLOOKUP($K44&amp;"",UTILITIES!$B$3:$B$953&amp;"",UTILITIES!$J$3:$J$953,""),"IOT",_xlfn.XLOOKUP($K44&amp;"",IOT!$B$3:$B$1012&amp;"",IOT!$K$4:$K$1012,""),"Server",_xlfn.XLOOKUP($K44&amp;"",SERVER!$B$3:$B$1009&amp;"",SERVER!$K$3:$K$1009,""),""))))</f>
        <v>2538MEJ3B7X8</v>
      </c>
      <c r="O44" s="1" t="str" cm="1">
        <f t="array" ref="O44">IF(OR($K44="",$I44="",$J44=""),"",_xlfn.LET(_xlpm.srcCat,_xlfn.SWITCH($I44,"Computer",_xlfn.XLOOKUP($K44&amp;"",COMPUTER!$B$3:$B$1009&amp;"",COMPUTER!$H$3:$H$1009,""),"Display",_xlfn.XLOOKUP($K44&amp;"",DISPLAY!$B$3:$B$1000&amp;"",DISPLAY!$H$3:$H$1000,""),"Network Device",_xlfn.XLOOKUP($K44&amp;"",'NETWORK-DEVICES'!$B$3:$B$987&amp;"",'NETWORK-DEVICES'!$H$3:$H$987,""),"Peripheral",_xlfn.XLOOKUP($K44&amp;"",PERIPHERAL!$B$3:$B$954&amp;"",PERIPHERAL!$H$3:$H$954,""),"Utilities",_xlfn.XLOOKUP($K44&amp;"",UTILITIES!$B$3:$B$953&amp;"",UTILITIES!$G$3:$G$953,""),"IOT",_xlfn.XLOOKUP($K44&amp;"",IOT!$B$3:$B$1012&amp;"",IOT!$H$3:$H$1012,""),"Server",_xlfn.XLOOKUP($K44&amp;"",SERVER!$B$3:$B$1009&amp;"",SERVER!$H$3:$H$1009,""),""),IF(TRIM(_xlpm.srcCat)&lt;&gt;TRIM($J44),"",_xlfn.SWITCH($I44,"Computer",_xlfn.XLOOKUP($K44&amp;"",COMPUTER!$B$3:$B$1009&amp;"",COMPUTER!$E$3:$E$1009,""),"Display",_xlfn.XLOOKUP($K44&amp;"",DISPLAY!$B$3:$B$1000&amp;"",DISPLAY!$E$3:$E$1000,""),"Network Device",_xlfn.XLOOKUP($K44&amp;"",'NETWORK-DEVICES'!$B$3:$B$987&amp;"",'NETWORK-DEVICES'!$E$3:$E$987,""),"Peripheral",_xlfn.XLOOKUP($K44&amp;"",PERIPHERAL!$B$3:$B$954&amp;"",PERIPHERAL!$E$3:$E$954,""),"Utilities",_xlfn.XLOOKUP($K44&amp;"",UTILITIES!$B$3:$B$953&amp;"",UTILITIES!$E$3:$E$953,""),"IOT",_xlfn.XLOOKUP($K44&amp;"",IOT!$B$3:$B$1012&amp;"",IOT!$E$3:$E$1012,""),"Server",_xlfn.XLOOKUP($K44&amp;"",SERVER!$B$3:$B$1009&amp;"",SERVER!$E$3:$E$1009,""),""))))</f>
        <v>Patimban</v>
      </c>
      <c r="P44" t="s">
        <v>1215</v>
      </c>
      <c r="Q44" s="1" t="str" cm="1">
        <f t="array" ref="Q44">IF(OR($K44="",$I44="",$J44=""),"",_xlfn.LET(_xlpm.srcCat,_xlfn.SWITCH($I44,"Computer",_xlfn.XLOOKUP($K44&amp;"",COMPUTER!$B$3:$B$1009&amp;"",COMPUTER!$H$3:$H$1009,""),"Display",_xlfn.XLOOKUP($K44&amp;"",DISPLAY!$B$3:$B$1000&amp;"",DISPLAY!$H$3:$H$1000,""),"Network Device",_xlfn.XLOOKUP($K44&amp;"",'NETWORK-DEVICES'!$B$3:$B$987&amp;"",'NETWORK-DEVICES'!$H$3:$H$987,""),"Peripheral",_xlfn.XLOOKUP($K44&amp;"",PERIPHERAL!$B$3:$B$954&amp;"",PERIPHERAL!$H$3:$H$954,""),"Utilities",_xlfn.XLOOKUP($K44&amp;"",UTILITIES!$B$3:$B$953&amp;"",UTILITIES!$G$3:$G$953,""),"IOT",_xlfn.XLOOKUP($K44&amp;"",IOT!$B$3:$B$1012&amp;"",IOT!$H$3:$H$1012,""),"Server",_xlfn.XLOOKUP($K44&amp;"",SERVER!$B$3:$B$1009&amp;"",SERVER!$H$3:$H$1009,""),""),IF(TRIM(_xlpm.srcCat)&lt;&gt;TRIM($J44),"",_xlfn.SWITCH($I44,"Computer",_xlfn.XLOOKUP($K44&amp;"",COMPUTER!$B$3:$B$1009&amp;"",COMPUTER!$AM$3:$AM$1009,""),"Display",_xlfn.XLOOKUP($K44&amp;"",DISPLAY!$B$3:$B$1000&amp;"",DISPLAY!$V$3:$V$1000,""),"Network Device",_xlfn.XLOOKUP($K44&amp;"",'NETWORK-DEVICES'!$B$3:$B$987&amp;"",'NETWORK-DEVICES'!$AF$3:$AF$987,""),"Peripheral",_xlfn.XLOOKUP($K44&amp;"",PERIPHERAL!$B$3:$B$954&amp;"",PERIPHERAL!$Y$3:$Y$954,""),"Utilities",_xlfn.XLOOKUP($K44&amp;"",UTILITIES!$B$3:$B$953&amp;"",UTILITIES!$O$3:$O$953,""),"IOT",_xlfn.XLOOKUP($K44&amp;"",IOT!$B$3:$B$1012&amp;"",IOT!$AB$3:$AB$1012,""),"Server",_xlfn.XLOOKUP($K44&amp;"",SERVER!$B$3:$B$1009&amp;"",SERVER!$AB$3:$AB$1009,""),""))))</f>
        <v>New</v>
      </c>
      <c r="R44" s="43">
        <f>IF(tbl_handover[[#This Row],[Asset Code]]="","",COUNTIF(tbl_handover[Asset Code],tbl_handover[[#This Row],[Asset Code]]))</f>
        <v>1</v>
      </c>
      <c r="S44" s="1" t="s">
        <v>1160</v>
      </c>
      <c r="U44" s="60" t="b">
        <v>0</v>
      </c>
    </row>
    <row r="45" spans="1:21" x14ac:dyDescent="0.25">
      <c r="A45" s="43">
        <f>IF(B45&lt;&gt;"",SUBTOTAL(3,$B$1:B44),"")</f>
        <v>44</v>
      </c>
      <c r="B45" t="s">
        <v>1216</v>
      </c>
      <c r="C45" s="74">
        <v>46279</v>
      </c>
      <c r="D45" s="74"/>
      <c r="E45" t="s">
        <v>1217</v>
      </c>
      <c r="F45" s="13" t="s">
        <v>104</v>
      </c>
      <c r="G45" s="1" t="s">
        <v>1218</v>
      </c>
      <c r="H45" t="s">
        <v>1178</v>
      </c>
      <c r="I45" s="1" t="s">
        <v>695</v>
      </c>
      <c r="J45" s="1" t="s">
        <v>745</v>
      </c>
      <c r="K45" s="42" t="s">
        <v>1219</v>
      </c>
      <c r="L45" t="str" cm="1">
        <f t="array" ref="L45">IF($K45="","",_xlfn.SWITCH($I45,"Computer",_xlfn.XLOOKUP($K45&amp;"",COMPUTER!$B$3:$B$1009&amp;"",COMPUTER!$I$3:$I$1009,""),"Display",_xlfn.XLOOKUP($K45&amp;"",DISPLAY!$B$3:$B$1000&amp;"",DISPLAY!$J$3:$J$1000,""),"Network Device",_xlfn.XLOOKUP($K45&amp;"",'NETWORK-DEVICES'!$B$3:$B$987&amp;"",'NETWORK-DEVICES'!$I$3:$I$987,""),"Peripheral",_xlfn.XLOOKUP($K45&amp;"",PERIPHERAL!$B$3:$B$954&amp;"",PERIPHERAL!$I$3:$I$954,""),"Utilities",_xlfn.XLOOKUP($K45&amp;"",UTILITIES!$B$3:$B$953&amp;"",UTILITIES!$H$3:$H$953,""),"IOT",_xlfn.XLOOKUP($K45&amp;"",IOT!$B$3:$B$1012&amp;"",IOT!$I$3:$I$1012,""),"SERVER",_xlfn.XLOOKUP($K45&amp;"",SERVER!$B$3:$B$1009&amp;"",SERVER!$I$3:$I$1009,""),""))</f>
        <v>USB Heaset Stereo H570E Logitech</v>
      </c>
      <c r="M45" t="str" cm="1">
        <f t="array" ref="M45">IF($K45="","",_xlfn.SWITCH($I45,"Computer",_xlfn.XLOOKUP($K45&amp;"",COMPUTER!$B$3:$B$1009&amp;"",COMPUTER!$J$3:$J$1009,""),"Display",_xlfn.XLOOKUP($K45&amp;"",DISPLAY!$B$3:$B$1000&amp;"",DISPLAY!$K$3:$K$1000,""),"Network Device",_xlfn.XLOOKUP($K45&amp;"",'NETWORK-DEVICES'!$B$3:$B$987&amp;"",'NETWORK-DEVICES'!$I$3:$I$987,""),"Peripheral",_xlfn.XLOOKUP($K45&amp;"",PERIPHERAL!$B$3:$B$954&amp;"",PERIPHERAL!$J$3:$J$954,""),"Utilities",_xlfn.XLOOKUP($K45&amp;"",UTILITIES!$B$3:$B$953&amp;"",UTILITIES!$I$3:$I$953,""),"IOT",_xlfn.XLOOKUP($K45&amp;"",IOT!$B$3:$B$1012&amp;"",IOT!$J$3:$J$1012,""),"Server",_xlfn.XLOOKUP($K45&amp;"",SERVER!$B$3:$B$1009&amp;"",SERVER!$J$3:$J$1009,""),""))</f>
        <v>Headset USB</v>
      </c>
      <c r="N45" s="1" t="str" cm="1">
        <f t="array" ref="N45">IF(OR($K45="",$I45="",$J45=""),"",_xlfn.LET(_xlpm.srcCat,_xlfn.SWITCH($I45,"Computer",_xlfn.XLOOKUP($K45&amp;"",COMPUTER!$B$3:$B$1009&amp;"",COMPUTER!$H$3:$H$1009,""),"Display",_xlfn.XLOOKUP($K45&amp;"",DISPLAY!$B$3:$B$1000&amp;"",DISPLAY!$H$3:$H$1000,""),"Network Device",_xlfn.XLOOKUP($K45&amp;"",'NETWORK-DEVICES'!$B$3:$B$987&amp;"",'NETWORK-DEVICES'!$H$3:$H$987,""),"Peripheral",_xlfn.XLOOKUP($K45&amp;"",PERIPHERAL!$B$3:$B$954&amp;"",PERIPHERAL!$H$3:$H$954,""),"Utilities",_xlfn.XLOOKUP($K45&amp;"",UTILITIES!$B$3:$B$953&amp;"",UTILITIES!$G$3:$G$953,""),"IOT",_xlfn.XLOOKUP($K45&amp;"",IOT!$B$3:$B$1012&amp;"",IOT!$H$3:$H$1012,""),"Server",_xlfn.XLOOKUP($K45&amp;"",SERVER!$B$3:$B$1009&amp;"",SERVER!$H$3:$H$1009,""),""),IF(TRIM(_xlpm.srcCat)&lt;&gt;TRIM($J45),"",_xlfn.SWITCH($I45,"Computer",_xlfn.XLOOKUP($K45&amp;"",COMPUTER!$B$3:$B$1009&amp;"",COMPUTER!$K$3:$K$1009,""),"Display",_xlfn.XLOOKUP($K45&amp;"",DISPLAY!$B$3:$B$1000&amp;"",DISPLAY!$L$3:$L$1000,""),"Network Device",_xlfn.XLOOKUP($K45&amp;"",'NETWORK-DEVICES'!$B$3:$B$987&amp;"",'NETWORK-DEVICES'!$K$3:$K$987,""),"Peripheral",_xlfn.XLOOKUP($K45&amp;"",PERIPHERAL!$B$3:$B$954&amp;"",PERIPHERAL!$K$3:$K$954,""),"Utilities",_xlfn.XLOOKUP($K45&amp;"",UTILITIES!$B$3:$B$953&amp;"",UTILITIES!$J$3:$J$953,""),"IOT",_xlfn.XLOOKUP($K45&amp;"",IOT!$B$3:$B$1012&amp;"",IOT!$K$4:$K$1012,""),"Server",_xlfn.XLOOKUP($K45&amp;"",SERVER!$B$3:$B$1009&amp;"",SERVER!$K$3:$K$1009,""),""))))</f>
        <v>2538MEZ3B878</v>
      </c>
      <c r="O45" s="1" t="str" cm="1">
        <f t="array" ref="O45">IF(OR($K45="",$I45="",$J45=""),"",_xlfn.LET(_xlpm.srcCat,_xlfn.SWITCH($I45,"Computer",_xlfn.XLOOKUP($K45&amp;"",COMPUTER!$B$3:$B$1009&amp;"",COMPUTER!$H$3:$H$1009,""),"Display",_xlfn.XLOOKUP($K45&amp;"",DISPLAY!$B$3:$B$1000&amp;"",DISPLAY!$H$3:$H$1000,""),"Network Device",_xlfn.XLOOKUP($K45&amp;"",'NETWORK-DEVICES'!$B$3:$B$987&amp;"",'NETWORK-DEVICES'!$H$3:$H$987,""),"Peripheral",_xlfn.XLOOKUP($K45&amp;"",PERIPHERAL!$B$3:$B$954&amp;"",PERIPHERAL!$H$3:$H$954,""),"Utilities",_xlfn.XLOOKUP($K45&amp;"",UTILITIES!$B$3:$B$953&amp;"",UTILITIES!$G$3:$G$953,""),"IOT",_xlfn.XLOOKUP($K45&amp;"",IOT!$B$3:$B$1012&amp;"",IOT!$H$3:$H$1012,""),"Server",_xlfn.XLOOKUP($K45&amp;"",SERVER!$B$3:$B$1009&amp;"",SERVER!$H$3:$H$1009,""),""),IF(TRIM(_xlpm.srcCat)&lt;&gt;TRIM($J45),"",_xlfn.SWITCH($I45,"Computer",_xlfn.XLOOKUP($K45&amp;"",COMPUTER!$B$3:$B$1009&amp;"",COMPUTER!$E$3:$E$1009,""),"Display",_xlfn.XLOOKUP($K45&amp;"",DISPLAY!$B$3:$B$1000&amp;"",DISPLAY!$E$3:$E$1000,""),"Network Device",_xlfn.XLOOKUP($K45&amp;"",'NETWORK-DEVICES'!$B$3:$B$987&amp;"",'NETWORK-DEVICES'!$E$3:$E$987,""),"Peripheral",_xlfn.XLOOKUP($K45&amp;"",PERIPHERAL!$B$3:$B$954&amp;"",PERIPHERAL!$E$3:$E$954,""),"Utilities",_xlfn.XLOOKUP($K45&amp;"",UTILITIES!$B$3:$B$953&amp;"",UTILITIES!$E$3:$E$953,""),"IOT",_xlfn.XLOOKUP($K45&amp;"",IOT!$B$3:$B$1012&amp;"",IOT!$E$3:$E$1012,""),"Server",_xlfn.XLOOKUP($K45&amp;"",SERVER!$B$3:$B$1009&amp;"",SERVER!$E$3:$E$1009,""),""))))</f>
        <v>Patimban</v>
      </c>
      <c r="P45" t="s">
        <v>186</v>
      </c>
      <c r="Q45" s="1" t="str" cm="1">
        <f t="array" ref="Q45">IF(OR($K45="",$I45="",$J45=""),"",_xlfn.LET(_xlpm.srcCat,_xlfn.SWITCH($I45,"Computer",_xlfn.XLOOKUP($K45&amp;"",COMPUTER!$B$3:$B$1009&amp;"",COMPUTER!$H$3:$H$1009,""),"Display",_xlfn.XLOOKUP($K45&amp;"",DISPLAY!$B$3:$B$1000&amp;"",DISPLAY!$H$3:$H$1000,""),"Network Device",_xlfn.XLOOKUP($K45&amp;"",'NETWORK-DEVICES'!$B$3:$B$987&amp;"",'NETWORK-DEVICES'!$H$3:$H$987,""),"Peripheral",_xlfn.XLOOKUP($K45&amp;"",PERIPHERAL!$B$3:$B$954&amp;"",PERIPHERAL!$H$3:$H$954,""),"Utilities",_xlfn.XLOOKUP($K45&amp;"",UTILITIES!$B$3:$B$953&amp;"",UTILITIES!$G$3:$G$953,""),"IOT",_xlfn.XLOOKUP($K45&amp;"",IOT!$B$3:$B$1012&amp;"",IOT!$H$3:$H$1012,""),"Server",_xlfn.XLOOKUP($K45&amp;"",SERVER!$B$3:$B$1009&amp;"",SERVER!$H$3:$H$1009,""),""),IF(TRIM(_xlpm.srcCat)&lt;&gt;TRIM($J45),"",_xlfn.SWITCH($I45,"Computer",_xlfn.XLOOKUP($K45&amp;"",COMPUTER!$B$3:$B$1009&amp;"",COMPUTER!$AM$3:$AM$1009,""),"Display",_xlfn.XLOOKUP($K45&amp;"",DISPLAY!$B$3:$B$1000&amp;"",DISPLAY!$V$3:$V$1000,""),"Network Device",_xlfn.XLOOKUP($K45&amp;"",'NETWORK-DEVICES'!$B$3:$B$987&amp;"",'NETWORK-DEVICES'!$AF$3:$AF$987,""),"Peripheral",_xlfn.XLOOKUP($K45&amp;"",PERIPHERAL!$B$3:$B$954&amp;"",PERIPHERAL!$Y$3:$Y$954,""),"Utilities",_xlfn.XLOOKUP($K45&amp;"",UTILITIES!$B$3:$B$953&amp;"",UTILITIES!$O$3:$O$953,""),"IOT",_xlfn.XLOOKUP($K45&amp;"",IOT!$B$3:$B$1012&amp;"",IOT!$AB$3:$AB$1012,""),"Server",_xlfn.XLOOKUP($K45&amp;"",SERVER!$B$3:$B$1009&amp;"",SERVER!$AB$3:$AB$1009,""),""))))</f>
        <v>New</v>
      </c>
      <c r="R45" s="43">
        <f>IF(tbl_handover[[#This Row],[Asset Code]]="","",COUNTIF(tbl_handover[Asset Code],tbl_handover[[#This Row],[Asset Code]]))</f>
        <v>1</v>
      </c>
      <c r="S45" s="1" t="s">
        <v>1160</v>
      </c>
      <c r="U45" s="60" t="b">
        <v>0</v>
      </c>
    </row>
    <row r="46" spans="1:21" x14ac:dyDescent="0.25">
      <c r="A46" s="43">
        <f>IF(B46&lt;&gt;"",SUBTOTAL(3,$B$1:B45),"")</f>
        <v>45</v>
      </c>
      <c r="B46" t="s">
        <v>1220</v>
      </c>
      <c r="C46" s="74">
        <v>46279</v>
      </c>
      <c r="D46" s="74"/>
      <c r="E46" t="s">
        <v>781</v>
      </c>
      <c r="F46" s="13" t="s">
        <v>104</v>
      </c>
      <c r="G46" s="1" t="s">
        <v>1128</v>
      </c>
      <c r="H46" t="s">
        <v>1221</v>
      </c>
      <c r="I46" s="1" t="s">
        <v>695</v>
      </c>
      <c r="J46" s="1" t="s">
        <v>745</v>
      </c>
      <c r="K46" s="42" t="s">
        <v>1222</v>
      </c>
      <c r="L46" t="str" cm="1">
        <f t="array" ref="L46">IF($K46="","",_xlfn.SWITCH($I46,"Computer",_xlfn.XLOOKUP($K46&amp;"",COMPUTER!$B$3:$B$1009&amp;"",COMPUTER!$I$3:$I$1009,""),"Display",_xlfn.XLOOKUP($K46&amp;"",DISPLAY!$B$3:$B$1000&amp;"",DISPLAY!$J$3:$J$1000,""),"Network Device",_xlfn.XLOOKUP($K46&amp;"",'NETWORK-DEVICES'!$B$3:$B$987&amp;"",'NETWORK-DEVICES'!$I$3:$I$987,""),"Peripheral",_xlfn.XLOOKUP($K46&amp;"",PERIPHERAL!$B$3:$B$954&amp;"",PERIPHERAL!$I$3:$I$954,""),"Utilities",_xlfn.XLOOKUP($K46&amp;"",UTILITIES!$B$3:$B$953&amp;"",UTILITIES!$H$3:$H$953,""),"IOT",_xlfn.XLOOKUP($K46&amp;"",IOT!$B$3:$B$1012&amp;"",IOT!$I$3:$I$1012,""),"SERVER",_xlfn.XLOOKUP($K46&amp;"",SERVER!$B$3:$B$1009&amp;"",SERVER!$I$3:$I$1009,""),""))</f>
        <v>USB Heaset Stereo H570E Logitech</v>
      </c>
      <c r="M46" t="str" cm="1">
        <f t="array" ref="M46">IF($K46="","",_xlfn.SWITCH($I46,"Computer",_xlfn.XLOOKUP($K46&amp;"",COMPUTER!$B$3:$B$1009&amp;"",COMPUTER!$J$3:$J$1009,""),"Display",_xlfn.XLOOKUP($K46&amp;"",DISPLAY!$B$3:$B$1000&amp;"",DISPLAY!$K$3:$K$1000,""),"Network Device",_xlfn.XLOOKUP($K46&amp;"",'NETWORK-DEVICES'!$B$3:$B$987&amp;"",'NETWORK-DEVICES'!$I$3:$I$987,""),"Peripheral",_xlfn.XLOOKUP($K46&amp;"",PERIPHERAL!$B$3:$B$954&amp;"",PERIPHERAL!$J$3:$J$954,""),"Utilities",_xlfn.XLOOKUP($K46&amp;"",UTILITIES!$B$3:$B$953&amp;"",UTILITIES!$I$3:$I$953,""),"IOT",_xlfn.XLOOKUP($K46&amp;"",IOT!$B$3:$B$1012&amp;"",IOT!$J$3:$J$1012,""),"Server",_xlfn.XLOOKUP($K46&amp;"",SERVER!$B$3:$B$1009&amp;"",SERVER!$J$3:$J$1009,""),""))</f>
        <v>Headset USB</v>
      </c>
      <c r="N46" s="1" t="str" cm="1">
        <f t="array" ref="N46">IF(OR($K46="",$I46="",$J46=""),"",_xlfn.LET(_xlpm.srcCat,_xlfn.SWITCH($I46,"Computer",_xlfn.XLOOKUP($K46&amp;"",COMPUTER!$B$3:$B$1009&amp;"",COMPUTER!$H$3:$H$1009,""),"Display",_xlfn.XLOOKUP($K46&amp;"",DISPLAY!$B$3:$B$1000&amp;"",DISPLAY!$H$3:$H$1000,""),"Network Device",_xlfn.XLOOKUP($K46&amp;"",'NETWORK-DEVICES'!$B$3:$B$987&amp;"",'NETWORK-DEVICES'!$H$3:$H$987,""),"Peripheral",_xlfn.XLOOKUP($K46&amp;"",PERIPHERAL!$B$3:$B$954&amp;"",PERIPHERAL!$H$3:$H$954,""),"Utilities",_xlfn.XLOOKUP($K46&amp;"",UTILITIES!$B$3:$B$953&amp;"",UTILITIES!$G$3:$G$953,""),"IOT",_xlfn.XLOOKUP($K46&amp;"",IOT!$B$3:$B$1012&amp;"",IOT!$H$3:$H$1012,""),"Server",_xlfn.XLOOKUP($K46&amp;"",SERVER!$B$3:$B$1009&amp;"",SERVER!$H$3:$H$1009,""),""),IF(TRIM(_xlpm.srcCat)&lt;&gt;TRIM($J46),"",_xlfn.SWITCH($I46,"Computer",_xlfn.XLOOKUP($K46&amp;"",COMPUTER!$B$3:$B$1009&amp;"",COMPUTER!$K$3:$K$1009,""),"Display",_xlfn.XLOOKUP($K46&amp;"",DISPLAY!$B$3:$B$1000&amp;"",DISPLAY!$L$3:$L$1000,""),"Network Device",_xlfn.XLOOKUP($K46&amp;"",'NETWORK-DEVICES'!$B$3:$B$987&amp;"",'NETWORK-DEVICES'!$K$3:$K$987,""),"Peripheral",_xlfn.XLOOKUP($K46&amp;"",PERIPHERAL!$B$3:$B$954&amp;"",PERIPHERAL!$K$3:$K$954,""),"Utilities",_xlfn.XLOOKUP($K46&amp;"",UTILITIES!$B$3:$B$953&amp;"",UTILITIES!$J$3:$J$953,""),"IOT",_xlfn.XLOOKUP($K46&amp;"",IOT!$B$3:$B$1012&amp;"",IOT!$K$4:$K$1012,""),"Server",_xlfn.XLOOKUP($K46&amp;"",SERVER!$B$3:$B$1009&amp;"",SERVER!$K$3:$K$1009,""),""))))</f>
        <v>2542ME21T1Y8</v>
      </c>
      <c r="O46" s="1" t="str" cm="1">
        <f t="array" ref="O46">IF(OR($K46="",$I46="",$J46=""),"",_xlfn.LET(_xlpm.srcCat,_xlfn.SWITCH($I46,"Computer",_xlfn.XLOOKUP($K46&amp;"",COMPUTER!$B$3:$B$1009&amp;"",COMPUTER!$H$3:$H$1009,""),"Display",_xlfn.XLOOKUP($K46&amp;"",DISPLAY!$B$3:$B$1000&amp;"",DISPLAY!$H$3:$H$1000,""),"Network Device",_xlfn.XLOOKUP($K46&amp;"",'NETWORK-DEVICES'!$B$3:$B$987&amp;"",'NETWORK-DEVICES'!$H$3:$H$987,""),"Peripheral",_xlfn.XLOOKUP($K46&amp;"",PERIPHERAL!$B$3:$B$954&amp;"",PERIPHERAL!$H$3:$H$954,""),"Utilities",_xlfn.XLOOKUP($K46&amp;"",UTILITIES!$B$3:$B$953&amp;"",UTILITIES!$G$3:$G$953,""),"IOT",_xlfn.XLOOKUP($K46&amp;"",IOT!$B$3:$B$1012&amp;"",IOT!$H$3:$H$1012,""),"Server",_xlfn.XLOOKUP($K46&amp;"",SERVER!$B$3:$B$1009&amp;"",SERVER!$H$3:$H$1009,""),""),IF(TRIM(_xlpm.srcCat)&lt;&gt;TRIM($J46),"",_xlfn.SWITCH($I46,"Computer",_xlfn.XLOOKUP($K46&amp;"",COMPUTER!$B$3:$B$1009&amp;"",COMPUTER!$E$3:$E$1009,""),"Display",_xlfn.XLOOKUP($K46&amp;"",DISPLAY!$B$3:$B$1000&amp;"",DISPLAY!$E$3:$E$1000,""),"Network Device",_xlfn.XLOOKUP($K46&amp;"",'NETWORK-DEVICES'!$B$3:$B$987&amp;"",'NETWORK-DEVICES'!$E$3:$E$987,""),"Peripheral",_xlfn.XLOOKUP($K46&amp;"",PERIPHERAL!$B$3:$B$954&amp;"",PERIPHERAL!$E$3:$E$954,""),"Utilities",_xlfn.XLOOKUP($K46&amp;"",UTILITIES!$B$3:$B$953&amp;"",UTILITIES!$E$3:$E$953,""),"IOT",_xlfn.XLOOKUP($K46&amp;"",IOT!$B$3:$B$1012&amp;"",IOT!$E$3:$E$1012,""),"Server",_xlfn.XLOOKUP($K46&amp;"",SERVER!$B$3:$B$1009&amp;"",SERVER!$E$3:$E$1009,""),""))))</f>
        <v>Patimban</v>
      </c>
      <c r="P46" t="s">
        <v>478</v>
      </c>
      <c r="Q46" s="1" t="str" cm="1">
        <f t="array" ref="Q46">IF(OR($K46="",$I46="",$J46=""),"",_xlfn.LET(_xlpm.srcCat,_xlfn.SWITCH($I46,"Computer",_xlfn.XLOOKUP($K46&amp;"",COMPUTER!$B$3:$B$1009&amp;"",COMPUTER!$H$3:$H$1009,""),"Display",_xlfn.XLOOKUP($K46&amp;"",DISPLAY!$B$3:$B$1000&amp;"",DISPLAY!$H$3:$H$1000,""),"Network Device",_xlfn.XLOOKUP($K46&amp;"",'NETWORK-DEVICES'!$B$3:$B$987&amp;"",'NETWORK-DEVICES'!$H$3:$H$987,""),"Peripheral",_xlfn.XLOOKUP($K46&amp;"",PERIPHERAL!$B$3:$B$954&amp;"",PERIPHERAL!$H$3:$H$954,""),"Utilities",_xlfn.XLOOKUP($K46&amp;"",UTILITIES!$B$3:$B$953&amp;"",UTILITIES!$G$3:$G$953,""),"IOT",_xlfn.XLOOKUP($K46&amp;"",IOT!$B$3:$B$1012&amp;"",IOT!$H$3:$H$1012,""),"Server",_xlfn.XLOOKUP($K46&amp;"",SERVER!$B$3:$B$1009&amp;"",SERVER!$H$3:$H$1009,""),""),IF(TRIM(_xlpm.srcCat)&lt;&gt;TRIM($J46),"",_xlfn.SWITCH($I46,"Computer",_xlfn.XLOOKUP($K46&amp;"",COMPUTER!$B$3:$B$1009&amp;"",COMPUTER!$AM$3:$AM$1009,""),"Display",_xlfn.XLOOKUP($K46&amp;"",DISPLAY!$B$3:$B$1000&amp;"",DISPLAY!$V$3:$V$1000,""),"Network Device",_xlfn.XLOOKUP($K46&amp;"",'NETWORK-DEVICES'!$B$3:$B$987&amp;"",'NETWORK-DEVICES'!$AF$3:$AF$987,""),"Peripheral",_xlfn.XLOOKUP($K46&amp;"",PERIPHERAL!$B$3:$B$954&amp;"",PERIPHERAL!$Y$3:$Y$954,""),"Utilities",_xlfn.XLOOKUP($K46&amp;"",UTILITIES!$B$3:$B$953&amp;"",UTILITIES!$O$3:$O$953,""),"IOT",_xlfn.XLOOKUP($K46&amp;"",IOT!$B$3:$B$1012&amp;"",IOT!$AB$3:$AB$1012,""),"Server",_xlfn.XLOOKUP($K46&amp;"",SERVER!$B$3:$B$1009&amp;"",SERVER!$AB$3:$AB$1009,""),""))))</f>
        <v>New</v>
      </c>
      <c r="R46" s="43">
        <f>IF(tbl_handover[[#This Row],[Asset Code]]="","",COUNTIF(tbl_handover[Asset Code],tbl_handover[[#This Row],[Asset Code]]))</f>
        <v>1</v>
      </c>
      <c r="S46" s="1" t="s">
        <v>1160</v>
      </c>
      <c r="U46" s="60" t="b">
        <v>0</v>
      </c>
    </row>
    <row r="47" spans="1:21" x14ac:dyDescent="0.25">
      <c r="A47" s="43">
        <f>IF(B47&lt;&gt;"",SUBTOTAL(3,$B$1:B46),"")</f>
        <v>46</v>
      </c>
      <c r="B47" t="s">
        <v>1223</v>
      </c>
      <c r="C47" s="74">
        <v>46289</v>
      </c>
      <c r="D47" s="74"/>
      <c r="E47" t="s">
        <v>1224</v>
      </c>
      <c r="F47" s="13" t="s">
        <v>104</v>
      </c>
      <c r="G47" s="1" t="s">
        <v>1218</v>
      </c>
      <c r="H47" t="s">
        <v>836</v>
      </c>
      <c r="I47" s="1" t="s">
        <v>76</v>
      </c>
      <c r="J47" s="1" t="s">
        <v>256</v>
      </c>
      <c r="K47" s="42" t="s">
        <v>1225</v>
      </c>
      <c r="L47" t="str" cm="1">
        <f t="array" ref="L47">IF($K47="","",_xlfn.SWITCH($I47,"Computer",_xlfn.XLOOKUP($K47&amp;"",COMPUTER!$B$3:$B$1009&amp;"",COMPUTER!$I$3:$I$1009,""),"Display",_xlfn.XLOOKUP($K47&amp;"",DISPLAY!$B$3:$B$1000&amp;"",DISPLAY!$J$3:$J$1000,""),"Network Device",_xlfn.XLOOKUP($K47&amp;"",'NETWORK-DEVICES'!$B$3:$B$987&amp;"",'NETWORK-DEVICES'!$I$3:$I$987,""),"Peripheral",_xlfn.XLOOKUP($K47&amp;"",PERIPHERAL!$B$3:$B$954&amp;"",PERIPHERAL!$I$3:$I$954,""),"Utilities",_xlfn.XLOOKUP($K47&amp;"",UTILITIES!$B$3:$B$953&amp;"",UTILITIES!$H$3:$H$953,""),"IOT",_xlfn.XLOOKUP($K47&amp;"",IOT!$B$3:$B$1012&amp;"",IOT!$I$3:$I$1012,""),"SERVER",_xlfn.XLOOKUP($K47&amp;"",SERVER!$B$3:$B$1009&amp;"",SERVER!$I$3:$I$1009,""),""))</f>
        <v xml:space="preserve">Samsung Galaxy Tab Active5 </v>
      </c>
      <c r="M47" t="str" cm="1">
        <f t="array" ref="M47">IF($K47="","",_xlfn.SWITCH($I47,"Computer",_xlfn.XLOOKUP($K47&amp;"",COMPUTER!$B$3:$B$1009&amp;"",COMPUTER!$J$3:$J$1009,""),"Display",_xlfn.XLOOKUP($K47&amp;"",DISPLAY!$B$3:$B$1000&amp;"",DISPLAY!$K$3:$K$1000,""),"Network Device",_xlfn.XLOOKUP($K47&amp;"",'NETWORK-DEVICES'!$B$3:$B$987&amp;"",'NETWORK-DEVICES'!$I$3:$I$987,""),"Peripheral",_xlfn.XLOOKUP($K47&amp;"",PERIPHERAL!$B$3:$B$954&amp;"",PERIPHERAL!$J$3:$J$954,""),"Utilities",_xlfn.XLOOKUP($K47&amp;"",UTILITIES!$B$3:$B$953&amp;"",UTILITIES!$I$3:$I$953,""),"IOT",_xlfn.XLOOKUP($K47&amp;"",IOT!$B$3:$B$1012&amp;"",IOT!$J$3:$J$1012,""),"Server",_xlfn.XLOOKUP($K47&amp;"",SERVER!$B$3:$B$1009&amp;"",SERVER!$J$3:$J$1009,""),""))</f>
        <v>TABLET</v>
      </c>
      <c r="N47" s="1" t="str" cm="1">
        <f t="array" ref="N47">IF(OR($K47="",$I47="",$J47=""),"",_xlfn.LET(_xlpm.srcCat,_xlfn.SWITCH($I47,"Computer",_xlfn.XLOOKUP($K47&amp;"",COMPUTER!$B$3:$B$1009&amp;"",COMPUTER!$H$3:$H$1009,""),"Display",_xlfn.XLOOKUP($K47&amp;"",DISPLAY!$B$3:$B$1000&amp;"",DISPLAY!$H$3:$H$1000,""),"Network Device",_xlfn.XLOOKUP($K47&amp;"",'NETWORK-DEVICES'!$B$3:$B$987&amp;"",'NETWORK-DEVICES'!$H$3:$H$987,""),"Peripheral",_xlfn.XLOOKUP($K47&amp;"",PERIPHERAL!$B$3:$B$954&amp;"",PERIPHERAL!$H$3:$H$954,""),"Utilities",_xlfn.XLOOKUP($K47&amp;"",UTILITIES!$B$3:$B$953&amp;"",UTILITIES!$G$3:$G$953,""),"IOT",_xlfn.XLOOKUP($K47&amp;"",IOT!$B$3:$B$1012&amp;"",IOT!$H$3:$H$1012,""),"Server",_xlfn.XLOOKUP($K47&amp;"",SERVER!$B$3:$B$1009&amp;"",SERVER!$H$3:$H$1009,""),""),IF(TRIM(_xlpm.srcCat)&lt;&gt;TRIM($J47),"",_xlfn.SWITCH($I47,"Computer",_xlfn.XLOOKUP($K47&amp;"",COMPUTER!$B$3:$B$1009&amp;"",COMPUTER!$K$3:$K$1009,""),"Display",_xlfn.XLOOKUP($K47&amp;"",DISPLAY!$B$3:$B$1000&amp;"",DISPLAY!$L$3:$L$1000,""),"Network Device",_xlfn.XLOOKUP($K47&amp;"",'NETWORK-DEVICES'!$B$3:$B$987&amp;"",'NETWORK-DEVICES'!$K$3:$K$987,""),"Peripheral",_xlfn.XLOOKUP($K47&amp;"",PERIPHERAL!$B$3:$B$954&amp;"",PERIPHERAL!$K$3:$K$954,""),"Utilities",_xlfn.XLOOKUP($K47&amp;"",UTILITIES!$B$3:$B$953&amp;"",UTILITIES!$J$3:$J$953,""),"IOT",_xlfn.XLOOKUP($K47&amp;"",IOT!$B$3:$B$1012&amp;"",IOT!$K$4:$K$1012,""),"Server",_xlfn.XLOOKUP($K47&amp;"",SERVER!$B$3:$B$1009&amp;"",SERVER!$K$3:$K$1009,""),""))))</f>
        <v>RRGL603SHLN</v>
      </c>
      <c r="O47" s="1" t="str" cm="1">
        <f t="array" ref="O47">IF(OR($K47="",$I47="",$J47=""),"",_xlfn.LET(_xlpm.srcCat,_xlfn.SWITCH($I47,"Computer",_xlfn.XLOOKUP($K47&amp;"",COMPUTER!$B$3:$B$1009&amp;"",COMPUTER!$H$3:$H$1009,""),"Display",_xlfn.XLOOKUP($K47&amp;"",DISPLAY!$B$3:$B$1000&amp;"",DISPLAY!$H$3:$H$1000,""),"Network Device",_xlfn.XLOOKUP($K47&amp;"",'NETWORK-DEVICES'!$B$3:$B$987&amp;"",'NETWORK-DEVICES'!$H$3:$H$987,""),"Peripheral",_xlfn.XLOOKUP($K47&amp;"",PERIPHERAL!$B$3:$B$954&amp;"",PERIPHERAL!$H$3:$H$954,""),"Utilities",_xlfn.XLOOKUP($K47&amp;"",UTILITIES!$B$3:$B$953&amp;"",UTILITIES!$G$3:$G$953,""),"IOT",_xlfn.XLOOKUP($K47&amp;"",IOT!$B$3:$B$1012&amp;"",IOT!$H$3:$H$1012,""),"Server",_xlfn.XLOOKUP($K47&amp;"",SERVER!$B$3:$B$1009&amp;"",SERVER!$H$3:$H$1009,""),""),IF(TRIM(_xlpm.srcCat)&lt;&gt;TRIM($J47),"",_xlfn.SWITCH($I47,"Computer",_xlfn.XLOOKUP($K47&amp;"",COMPUTER!$B$3:$B$1009&amp;"",COMPUTER!$E$3:$E$1009,""),"Display",_xlfn.XLOOKUP($K47&amp;"",DISPLAY!$B$3:$B$1000&amp;"",DISPLAY!$E$3:$E$1000,""),"Network Device",_xlfn.XLOOKUP($K47&amp;"",'NETWORK-DEVICES'!$B$3:$B$987&amp;"",'NETWORK-DEVICES'!$E$3:$E$987,""),"Peripheral",_xlfn.XLOOKUP($K47&amp;"",PERIPHERAL!$B$3:$B$954&amp;"",PERIPHERAL!$E$3:$E$954,""),"Utilities",_xlfn.XLOOKUP($K47&amp;"",UTILITIES!$B$3:$B$953&amp;"",UTILITIES!$E$3:$E$953,""),"IOT",_xlfn.XLOOKUP($K47&amp;"",IOT!$B$3:$B$1012&amp;"",IOT!$E$3:$E$1012,""),"Server",_xlfn.XLOOKUP($K47&amp;"",SERVER!$B$3:$B$1009&amp;"",SERVER!$E$3:$E$1009,""),""))))</f>
        <v>Patimban</v>
      </c>
      <c r="P47" t="s">
        <v>255</v>
      </c>
      <c r="Q47" s="1" t="str" cm="1">
        <f t="array" ref="Q47">IF(OR($K47="",$I47="",$J47=""),"",_xlfn.LET(_xlpm.srcCat,_xlfn.SWITCH($I47,"Computer",_xlfn.XLOOKUP($K47&amp;"",COMPUTER!$B$3:$B$1009&amp;"",COMPUTER!$H$3:$H$1009,""),"Display",_xlfn.XLOOKUP($K47&amp;"",DISPLAY!$B$3:$B$1000&amp;"",DISPLAY!$H$3:$H$1000,""),"Network Device",_xlfn.XLOOKUP($K47&amp;"",'NETWORK-DEVICES'!$B$3:$B$987&amp;"",'NETWORK-DEVICES'!$H$3:$H$987,""),"Peripheral",_xlfn.XLOOKUP($K47&amp;"",PERIPHERAL!$B$3:$B$954&amp;"",PERIPHERAL!$H$3:$H$954,""),"Utilities",_xlfn.XLOOKUP($K47&amp;"",UTILITIES!$B$3:$B$953&amp;"",UTILITIES!$G$3:$G$953,""),"IOT",_xlfn.XLOOKUP($K47&amp;"",IOT!$B$3:$B$1012&amp;"",IOT!$H$3:$H$1012,""),"Server",_xlfn.XLOOKUP($K47&amp;"",SERVER!$B$3:$B$1009&amp;"",SERVER!$H$3:$H$1009,""),""),IF(TRIM(_xlpm.srcCat)&lt;&gt;TRIM($J47),"",_xlfn.SWITCH($I47,"Computer",_xlfn.XLOOKUP($K47&amp;"",COMPUTER!$B$3:$B$1009&amp;"",COMPUTER!$AM$3:$AM$1009,""),"Display",_xlfn.XLOOKUP($K47&amp;"",DISPLAY!$B$3:$B$1000&amp;"",DISPLAY!$V$3:$V$1000,""),"Network Device",_xlfn.XLOOKUP($K47&amp;"",'NETWORK-DEVICES'!$B$3:$B$987&amp;"",'NETWORK-DEVICES'!$AF$3:$AF$987,""),"Peripheral",_xlfn.XLOOKUP($K47&amp;"",PERIPHERAL!$B$3:$B$954&amp;"",PERIPHERAL!$Y$3:$Y$954,""),"Utilities",_xlfn.XLOOKUP($K47&amp;"",UTILITIES!$B$3:$B$953&amp;"",UTILITIES!$O$3:$O$953,""),"IOT",_xlfn.XLOOKUP($K47&amp;"",IOT!$B$3:$B$1012&amp;"",IOT!$AB$3:$AB$1012,""),"Server",_xlfn.XLOOKUP($K47&amp;"",SERVER!$B$3:$B$1009&amp;"",SERVER!$AB$3:$AB$1009,""),""))))</f>
        <v>Good</v>
      </c>
      <c r="R47" s="43">
        <f>IF(tbl_handover[[#This Row],[Asset Code]]="","",COUNTIF(tbl_handover[Asset Code],tbl_handover[[#This Row],[Asset Code]]))</f>
        <v>1</v>
      </c>
      <c r="S47" s="1" t="s">
        <v>1131</v>
      </c>
      <c r="T47" t="s">
        <v>1226</v>
      </c>
      <c r="U47" s="60" t="b">
        <v>0</v>
      </c>
    </row>
    <row r="48" spans="1:21" x14ac:dyDescent="0.25">
      <c r="A48" s="43">
        <f>IF(B48&lt;&gt;"",SUBTOTAL(3,$B$1:B47),"")</f>
        <v>47</v>
      </c>
      <c r="B48" t="s">
        <v>1223</v>
      </c>
      <c r="C48" s="74">
        <v>46289</v>
      </c>
      <c r="D48" s="74"/>
      <c r="E48" t="s">
        <v>1224</v>
      </c>
      <c r="F48" s="13" t="s">
        <v>104</v>
      </c>
      <c r="G48" s="1" t="s">
        <v>1218</v>
      </c>
      <c r="H48" t="s">
        <v>836</v>
      </c>
      <c r="I48" s="1" t="s">
        <v>76</v>
      </c>
      <c r="J48" s="1" t="s">
        <v>256</v>
      </c>
      <c r="K48" s="42" t="s">
        <v>1227</v>
      </c>
      <c r="L48" t="str" cm="1">
        <f t="array" ref="L48">IF($K48="","",_xlfn.SWITCH($I48,"Computer",_xlfn.XLOOKUP($K48&amp;"",COMPUTER!$B$3:$B$1009&amp;"",COMPUTER!$I$3:$I$1009,""),"Display",_xlfn.XLOOKUP($K48&amp;"",DISPLAY!$B$3:$B$1000&amp;"",DISPLAY!$J$3:$J$1000,""),"Network Device",_xlfn.XLOOKUP($K48&amp;"",'NETWORK-DEVICES'!$B$3:$B$987&amp;"",'NETWORK-DEVICES'!$I$3:$I$987,""),"Peripheral",_xlfn.XLOOKUP($K48&amp;"",PERIPHERAL!$B$3:$B$954&amp;"",PERIPHERAL!$I$3:$I$954,""),"Utilities",_xlfn.XLOOKUP($K48&amp;"",UTILITIES!$B$3:$B$953&amp;"",UTILITIES!$H$3:$H$953,""),"IOT",_xlfn.XLOOKUP($K48&amp;"",IOT!$B$3:$B$1012&amp;"",IOT!$I$3:$I$1012,""),"SERVER",_xlfn.XLOOKUP($K48&amp;"",SERVER!$B$3:$B$1009&amp;"",SERVER!$I$3:$I$1009,""),""))</f>
        <v xml:space="preserve">Samsung Galaxy Tab Active5 </v>
      </c>
      <c r="M48" t="str" cm="1">
        <f t="array" ref="M48">IF($K48="","",_xlfn.SWITCH($I48,"Computer",_xlfn.XLOOKUP($K48&amp;"",COMPUTER!$B$3:$B$1009&amp;"",COMPUTER!$J$3:$J$1009,""),"Display",_xlfn.XLOOKUP($K48&amp;"",DISPLAY!$B$3:$B$1000&amp;"",DISPLAY!$K$3:$K$1000,""),"Network Device",_xlfn.XLOOKUP($K48&amp;"",'NETWORK-DEVICES'!$B$3:$B$987&amp;"",'NETWORK-DEVICES'!$I$3:$I$987,""),"Peripheral",_xlfn.XLOOKUP($K48&amp;"",PERIPHERAL!$B$3:$B$954&amp;"",PERIPHERAL!$J$3:$J$954,""),"Utilities",_xlfn.XLOOKUP($K48&amp;"",UTILITIES!$B$3:$B$953&amp;"",UTILITIES!$I$3:$I$953,""),"IOT",_xlfn.XLOOKUP($K48&amp;"",IOT!$B$3:$B$1012&amp;"",IOT!$J$3:$J$1012,""),"Server",_xlfn.XLOOKUP($K48&amp;"",SERVER!$B$3:$B$1009&amp;"",SERVER!$J$3:$J$1009,""),""))</f>
        <v>TABLET</v>
      </c>
      <c r="N48" s="1" t="str" cm="1">
        <f t="array" ref="N48">IF(OR($K48="",$I48="",$J48=""),"",_xlfn.LET(_xlpm.srcCat,_xlfn.SWITCH($I48,"Computer",_xlfn.XLOOKUP($K48&amp;"",COMPUTER!$B$3:$B$1009&amp;"",COMPUTER!$H$3:$H$1009,""),"Display",_xlfn.XLOOKUP($K48&amp;"",DISPLAY!$B$3:$B$1000&amp;"",DISPLAY!$H$3:$H$1000,""),"Network Device",_xlfn.XLOOKUP($K48&amp;"",'NETWORK-DEVICES'!$B$3:$B$987&amp;"",'NETWORK-DEVICES'!$H$3:$H$987,""),"Peripheral",_xlfn.XLOOKUP($K48&amp;"",PERIPHERAL!$B$3:$B$954&amp;"",PERIPHERAL!$H$3:$H$954,""),"Utilities",_xlfn.XLOOKUP($K48&amp;"",UTILITIES!$B$3:$B$953&amp;"",UTILITIES!$G$3:$G$953,""),"IOT",_xlfn.XLOOKUP($K48&amp;"",IOT!$B$3:$B$1012&amp;"",IOT!$H$3:$H$1012,""),"Server",_xlfn.XLOOKUP($K48&amp;"",SERVER!$B$3:$B$1009&amp;"",SERVER!$H$3:$H$1009,""),""),IF(TRIM(_xlpm.srcCat)&lt;&gt;TRIM($J48),"",_xlfn.SWITCH($I48,"Computer",_xlfn.XLOOKUP($K48&amp;"",COMPUTER!$B$3:$B$1009&amp;"",COMPUTER!$K$3:$K$1009,""),"Display",_xlfn.XLOOKUP($K48&amp;"",DISPLAY!$B$3:$B$1000&amp;"",DISPLAY!$L$3:$L$1000,""),"Network Device",_xlfn.XLOOKUP($K48&amp;"",'NETWORK-DEVICES'!$B$3:$B$987&amp;"",'NETWORK-DEVICES'!$K$3:$K$987,""),"Peripheral",_xlfn.XLOOKUP($K48&amp;"",PERIPHERAL!$B$3:$B$954&amp;"",PERIPHERAL!$K$3:$K$954,""),"Utilities",_xlfn.XLOOKUP($K48&amp;"",UTILITIES!$B$3:$B$953&amp;"",UTILITIES!$J$3:$J$953,""),"IOT",_xlfn.XLOOKUP($K48&amp;"",IOT!$B$3:$B$1012&amp;"",IOT!$K$4:$K$1012,""),"Server",_xlfn.XLOOKUP($K48&amp;"",SERVER!$B$3:$B$1009&amp;"",SERVER!$K$3:$K$1009,""),""))))</f>
        <v>RRGL603SJAW</v>
      </c>
      <c r="O48" s="1" t="str" cm="1">
        <f t="array" ref="O48">IF(OR($K48="",$I48="",$J48=""),"",_xlfn.LET(_xlpm.srcCat,_xlfn.SWITCH($I48,"Computer",_xlfn.XLOOKUP($K48&amp;"",COMPUTER!$B$3:$B$1009&amp;"",COMPUTER!$H$3:$H$1009,""),"Display",_xlfn.XLOOKUP($K48&amp;"",DISPLAY!$B$3:$B$1000&amp;"",DISPLAY!$H$3:$H$1000,""),"Network Device",_xlfn.XLOOKUP($K48&amp;"",'NETWORK-DEVICES'!$B$3:$B$987&amp;"",'NETWORK-DEVICES'!$H$3:$H$987,""),"Peripheral",_xlfn.XLOOKUP($K48&amp;"",PERIPHERAL!$B$3:$B$954&amp;"",PERIPHERAL!$H$3:$H$954,""),"Utilities",_xlfn.XLOOKUP($K48&amp;"",UTILITIES!$B$3:$B$953&amp;"",UTILITIES!$G$3:$G$953,""),"IOT",_xlfn.XLOOKUP($K48&amp;"",IOT!$B$3:$B$1012&amp;"",IOT!$H$3:$H$1012,""),"Server",_xlfn.XLOOKUP($K48&amp;"",SERVER!$B$3:$B$1009&amp;"",SERVER!$H$3:$H$1009,""),""),IF(TRIM(_xlpm.srcCat)&lt;&gt;TRIM($J48),"",_xlfn.SWITCH($I48,"Computer",_xlfn.XLOOKUP($K48&amp;"",COMPUTER!$B$3:$B$1009&amp;"",COMPUTER!$E$3:$E$1009,""),"Display",_xlfn.XLOOKUP($K48&amp;"",DISPLAY!$B$3:$B$1000&amp;"",DISPLAY!$E$3:$E$1000,""),"Network Device",_xlfn.XLOOKUP($K48&amp;"",'NETWORK-DEVICES'!$B$3:$B$987&amp;"",'NETWORK-DEVICES'!$E$3:$E$987,""),"Peripheral",_xlfn.XLOOKUP($K48&amp;"",PERIPHERAL!$B$3:$B$954&amp;"",PERIPHERAL!$E$3:$E$954,""),"Utilities",_xlfn.XLOOKUP($K48&amp;"",UTILITIES!$B$3:$B$953&amp;"",UTILITIES!$E$3:$E$953,""),"IOT",_xlfn.XLOOKUP($K48&amp;"",IOT!$B$3:$B$1012&amp;"",IOT!$E$3:$E$1012,""),"Server",_xlfn.XLOOKUP($K48&amp;"",SERVER!$B$3:$B$1009&amp;"",SERVER!$E$3:$E$1009,""),""))))</f>
        <v>Patimban</v>
      </c>
      <c r="P48" t="s">
        <v>255</v>
      </c>
      <c r="Q48" s="1" t="str" cm="1">
        <f t="array" ref="Q48">IF(OR($K48="",$I48="",$J48=""),"",_xlfn.LET(_xlpm.srcCat,_xlfn.SWITCH($I48,"Computer",_xlfn.XLOOKUP($K48&amp;"",COMPUTER!$B$3:$B$1009&amp;"",COMPUTER!$H$3:$H$1009,""),"Display",_xlfn.XLOOKUP($K48&amp;"",DISPLAY!$B$3:$B$1000&amp;"",DISPLAY!$H$3:$H$1000,""),"Network Device",_xlfn.XLOOKUP($K48&amp;"",'NETWORK-DEVICES'!$B$3:$B$987&amp;"",'NETWORK-DEVICES'!$H$3:$H$987,""),"Peripheral",_xlfn.XLOOKUP($K48&amp;"",PERIPHERAL!$B$3:$B$954&amp;"",PERIPHERAL!$H$3:$H$954,""),"Utilities",_xlfn.XLOOKUP($K48&amp;"",UTILITIES!$B$3:$B$953&amp;"",UTILITIES!$G$3:$G$953,""),"IOT",_xlfn.XLOOKUP($K48&amp;"",IOT!$B$3:$B$1012&amp;"",IOT!$H$3:$H$1012,""),"Server",_xlfn.XLOOKUP($K48&amp;"",SERVER!$B$3:$B$1009&amp;"",SERVER!$H$3:$H$1009,""),""),IF(TRIM(_xlpm.srcCat)&lt;&gt;TRIM($J48),"",_xlfn.SWITCH($I48,"Computer",_xlfn.XLOOKUP($K48&amp;"",COMPUTER!$B$3:$B$1009&amp;"",COMPUTER!$AM$3:$AM$1009,""),"Display",_xlfn.XLOOKUP($K48&amp;"",DISPLAY!$B$3:$B$1000&amp;"",DISPLAY!$V$3:$V$1000,""),"Network Device",_xlfn.XLOOKUP($K48&amp;"",'NETWORK-DEVICES'!$B$3:$B$987&amp;"",'NETWORK-DEVICES'!$AF$3:$AF$987,""),"Peripheral",_xlfn.XLOOKUP($K48&amp;"",PERIPHERAL!$B$3:$B$954&amp;"",PERIPHERAL!$Y$3:$Y$954,""),"Utilities",_xlfn.XLOOKUP($K48&amp;"",UTILITIES!$B$3:$B$953&amp;"",UTILITIES!$O$3:$O$953,""),"IOT",_xlfn.XLOOKUP($K48&amp;"",IOT!$B$3:$B$1012&amp;"",IOT!$AB$3:$AB$1012,""),"Server",_xlfn.XLOOKUP($K48&amp;"",SERVER!$B$3:$B$1009&amp;"",SERVER!$AB$3:$AB$1009,""),""))))</f>
        <v>Good</v>
      </c>
      <c r="R48" s="43">
        <f>IF(tbl_handover[[#This Row],[Asset Code]]="","",COUNTIF(tbl_handover[Asset Code],tbl_handover[[#This Row],[Asset Code]]))</f>
        <v>1</v>
      </c>
      <c r="S48" s="1" t="s">
        <v>1131</v>
      </c>
      <c r="T48" t="s">
        <v>1226</v>
      </c>
      <c r="U48" s="60" t="b">
        <v>0</v>
      </c>
    </row>
    <row r="49" spans="1:21" x14ac:dyDescent="0.25">
      <c r="A49" s="43" t="str">
        <f>IF(B49&lt;&gt;"",SUBTOTAL(3,$B$1:B48),"")</f>
        <v/>
      </c>
      <c r="C49" s="74"/>
      <c r="D49" s="74"/>
      <c r="G49" s="1"/>
      <c r="K49" s="42"/>
      <c r="L49" t="str" cm="1">
        <f t="array" ref="L49">IF($K49="","",_xlfn.SWITCH($I49,"Computer",_xlfn.XLOOKUP($K49&amp;"",COMPUTER!$B$3:$B$1009&amp;"",COMPUTER!$I$3:$I$1009,""),"Display",_xlfn.XLOOKUP($K49&amp;"",DISPLAY!$B$3:$B$1000&amp;"",DISPLAY!$J$3:$J$1000,""),"Network Device",_xlfn.XLOOKUP($K49&amp;"",'NETWORK-DEVICES'!$B$3:$B$987&amp;"",'NETWORK-DEVICES'!$I$3:$I$987,""),"Peripheral",_xlfn.XLOOKUP($K49&amp;"",PERIPHERAL!$B$3:$B$954&amp;"",PERIPHERAL!$I$3:$I$954,""),"Utilities",_xlfn.XLOOKUP($K49&amp;"",UTILITIES!$B$3:$B$953&amp;"",UTILITIES!$H$3:$H$953,""),"IOT",_xlfn.XLOOKUP($K49&amp;"",IOT!$B$3:$B$1012&amp;"",IOT!$I$3:$I$1012,""),"SERVER",_xlfn.XLOOKUP($K49&amp;"",SERVER!$B$3:$B$1009&amp;"",SERVER!$I$3:$I$1009,""),""))</f>
        <v/>
      </c>
      <c r="M49" t="str" cm="1">
        <f t="array" ref="M49">IF($K49="","",_xlfn.SWITCH($I49,"Computer",_xlfn.XLOOKUP($K49&amp;"",COMPUTER!$B$3:$B$1009&amp;"",COMPUTER!$J$3:$J$1009,""),"Display",_xlfn.XLOOKUP($K49&amp;"",DISPLAY!$B$3:$B$1000&amp;"",DISPLAY!$K$3:$K$1000,""),"Network Device",_xlfn.XLOOKUP($K49&amp;"",'NETWORK-DEVICES'!$B$3:$B$987&amp;"",'NETWORK-DEVICES'!$I$3:$I$987,""),"Peripheral",_xlfn.XLOOKUP($K49&amp;"",PERIPHERAL!$B$3:$B$954&amp;"",PERIPHERAL!$J$3:$J$954,""),"Utilities",_xlfn.XLOOKUP($K49&amp;"",UTILITIES!$B$3:$B$953&amp;"",UTILITIES!$I$3:$I$953,""),"IOT",_xlfn.XLOOKUP($K49&amp;"",IOT!$B$3:$B$1012&amp;"",IOT!$J$3:$J$1012,""),"Server",_xlfn.XLOOKUP($K49&amp;"",SERVER!$B$3:$B$1009&amp;"",SERVER!$J$3:$J$1009,""),""))</f>
        <v/>
      </c>
      <c r="N49" s="1" t="str" cm="1">
        <f t="array" ref="N49">IF(OR($K49="",$I49="",$J49=""),"",_xlfn.LET(_xlpm.srcCat,_xlfn.SWITCH($I49,"Computer",_xlfn.XLOOKUP($K49&amp;"",COMPUTER!$B$3:$B$1009&amp;"",COMPUTER!$H$3:$H$1009,""),"Display",_xlfn.XLOOKUP($K49&amp;"",DISPLAY!$B$3:$B$1000&amp;"",DISPLAY!$H$3:$H$1000,""),"Network Device",_xlfn.XLOOKUP($K49&amp;"",'NETWORK-DEVICES'!$B$3:$B$987&amp;"",'NETWORK-DEVICES'!$H$3:$H$987,""),"Peripheral",_xlfn.XLOOKUP($K49&amp;"",PERIPHERAL!$B$3:$B$954&amp;"",PERIPHERAL!$H$3:$H$954,""),"Utilities",_xlfn.XLOOKUP($K49&amp;"",UTILITIES!$B$3:$B$953&amp;"",UTILITIES!$G$3:$G$953,""),"IOT",_xlfn.XLOOKUP($K49&amp;"",IOT!$B$3:$B$1012&amp;"",IOT!$H$3:$H$1012,""),"Server",_xlfn.XLOOKUP($K49&amp;"",SERVER!$B$3:$B$1009&amp;"",SERVER!$H$3:$H$1009,""),""),IF(TRIM(_xlpm.srcCat)&lt;&gt;TRIM($J49),"",_xlfn.SWITCH($I49,"Computer",_xlfn.XLOOKUP($K49&amp;"",COMPUTER!$B$3:$B$1009&amp;"",COMPUTER!$K$3:$K$1009,""),"Display",_xlfn.XLOOKUP($K49&amp;"",DISPLAY!$B$3:$B$1000&amp;"",DISPLAY!$L$3:$L$1000,""),"Network Device",_xlfn.XLOOKUP($K49&amp;"",'NETWORK-DEVICES'!$B$3:$B$987&amp;"",'NETWORK-DEVICES'!$K$3:$K$987,""),"Peripheral",_xlfn.XLOOKUP($K49&amp;"",PERIPHERAL!$B$3:$B$954&amp;"",PERIPHERAL!$K$3:$K$954,""),"Utilities",_xlfn.XLOOKUP($K49&amp;"",UTILITIES!$B$3:$B$953&amp;"",UTILITIES!$J$3:$J$953,""),"IOT",_xlfn.XLOOKUP($K49&amp;"",IOT!$B$3:$B$1012&amp;"",IOT!$K$4:$K$1012,""),"Server",_xlfn.XLOOKUP($K49&amp;"",SERVER!$B$3:$B$1009&amp;"",SERVER!$K$3:$K$1009,""),""))))</f>
        <v/>
      </c>
      <c r="O49" s="1" t="str" cm="1">
        <f t="array" ref="O49">IF(OR($K49="",$I49="",$J49=""),"",_xlfn.LET(_xlpm.srcCat,_xlfn.SWITCH($I49,"Computer",_xlfn.XLOOKUP($K49&amp;"",COMPUTER!$B$3:$B$1009&amp;"",COMPUTER!$H$3:$H$1009,""),"Display",_xlfn.XLOOKUP($K49&amp;"",DISPLAY!$B$3:$B$1000&amp;"",DISPLAY!$H$3:$H$1000,""),"Network Device",_xlfn.XLOOKUP($K49&amp;"",'NETWORK-DEVICES'!$B$3:$B$987&amp;"",'NETWORK-DEVICES'!$H$3:$H$987,""),"Peripheral",_xlfn.XLOOKUP($K49&amp;"",PERIPHERAL!$B$3:$B$954&amp;"",PERIPHERAL!$H$3:$H$954,""),"Utilities",_xlfn.XLOOKUP($K49&amp;"",UTILITIES!$B$3:$B$953&amp;"",UTILITIES!$G$3:$G$953,""),"IOT",_xlfn.XLOOKUP($K49&amp;"",IOT!$B$3:$B$1012&amp;"",IOT!$H$3:$H$1012,""),"Server",_xlfn.XLOOKUP($K49&amp;"",SERVER!$B$3:$B$1009&amp;"",SERVER!$H$3:$H$1009,""),""),IF(TRIM(_xlpm.srcCat)&lt;&gt;TRIM($J49),"",_xlfn.SWITCH($I49,"Computer",_xlfn.XLOOKUP($K49&amp;"",COMPUTER!$B$3:$B$1009&amp;"",COMPUTER!$E$3:$E$1009,""),"Display",_xlfn.XLOOKUP($K49&amp;"",DISPLAY!$B$3:$B$1000&amp;"",DISPLAY!$E$3:$E$1000,""),"Network Device",_xlfn.XLOOKUP($K49&amp;"",'NETWORK-DEVICES'!$B$3:$B$987&amp;"",'NETWORK-DEVICES'!$E$3:$E$987,""),"Peripheral",_xlfn.XLOOKUP($K49&amp;"",PERIPHERAL!$B$3:$B$954&amp;"",PERIPHERAL!$E$3:$E$954,""),"Utilities",_xlfn.XLOOKUP($K49&amp;"",UTILITIES!$B$3:$B$953&amp;"",UTILITIES!$E$3:$E$953,""),"IOT",_xlfn.XLOOKUP($K49&amp;"",IOT!$B$3:$B$1012&amp;"",IOT!$E$3:$E$1012,""),"Server",_xlfn.XLOOKUP($K49&amp;"",SERVER!$B$3:$B$1009&amp;"",SERVER!$E$3:$E$1009,""),""))))</f>
        <v/>
      </c>
      <c r="Q49" s="1" t="str" cm="1">
        <f t="array" ref="Q49">IF(OR($K49="",$I49="",$J49=""),"",_xlfn.LET(_xlpm.srcCat,_xlfn.SWITCH($I49,"Computer",_xlfn.XLOOKUP($K49&amp;"",COMPUTER!$B$3:$B$1009&amp;"",COMPUTER!$H$3:$H$1009,""),"Display",_xlfn.XLOOKUP($K49&amp;"",DISPLAY!$B$3:$B$1000&amp;"",DISPLAY!$H$3:$H$1000,""),"Network Device",_xlfn.XLOOKUP($K49&amp;"",'NETWORK-DEVICES'!$B$3:$B$987&amp;"",'NETWORK-DEVICES'!$H$3:$H$987,""),"Peripheral",_xlfn.XLOOKUP($K49&amp;"",PERIPHERAL!$B$3:$B$954&amp;"",PERIPHERAL!$H$3:$H$954,""),"Utilities",_xlfn.XLOOKUP($K49&amp;"",UTILITIES!$B$3:$B$953&amp;"",UTILITIES!$G$3:$G$953,""),"IOT",_xlfn.XLOOKUP($K49&amp;"",IOT!$B$3:$B$1012&amp;"",IOT!$H$3:$H$1012,""),"Server",_xlfn.XLOOKUP($K49&amp;"",SERVER!$B$3:$B$1009&amp;"",SERVER!$H$3:$H$1009,""),""),IF(TRIM(_xlpm.srcCat)&lt;&gt;TRIM($J49),"",_xlfn.SWITCH($I49,"Computer",_xlfn.XLOOKUP($K49&amp;"",COMPUTER!$B$3:$B$1009&amp;"",COMPUTER!$AM$3:$AM$1009,""),"Display",_xlfn.XLOOKUP($K49&amp;"",DISPLAY!$B$3:$B$1000&amp;"",DISPLAY!$V$3:$V$1000,""),"Network Device",_xlfn.XLOOKUP($K49&amp;"",'NETWORK-DEVICES'!$B$3:$B$987&amp;"",'NETWORK-DEVICES'!$AF$3:$AF$987,""),"Peripheral",_xlfn.XLOOKUP($K49&amp;"",PERIPHERAL!$B$3:$B$954&amp;"",PERIPHERAL!$Y$3:$Y$954,""),"Utilities",_xlfn.XLOOKUP($K49&amp;"",UTILITIES!$B$3:$B$953&amp;"",UTILITIES!$O$3:$O$953,""),"IOT",_xlfn.XLOOKUP($K49&amp;"",IOT!$B$3:$B$1012&amp;"",IOT!$AB$3:$AB$1012,""),"Server",_xlfn.XLOOKUP($K49&amp;"",SERVER!$B$3:$B$1009&amp;"",SERVER!$AB$3:$AB$1009,""),""))))</f>
        <v/>
      </c>
      <c r="R49" s="43" t="str">
        <f>IF(tbl_handover[[#This Row],[Asset Code]]="","",COUNTIF(tbl_handover[Asset Code],tbl_handover[[#This Row],[Asset Code]]))</f>
        <v/>
      </c>
      <c r="U49" s="60" t="b">
        <v>0</v>
      </c>
    </row>
    <row r="50" spans="1:21" x14ac:dyDescent="0.25">
      <c r="A50" s="43" t="str">
        <f>IF(B50&lt;&gt;"",SUBTOTAL(3,$B$1:B49),"")</f>
        <v/>
      </c>
      <c r="C50" s="74"/>
      <c r="D50" s="74"/>
      <c r="G50" s="1"/>
      <c r="K50" s="42"/>
      <c r="L50" t="str" cm="1">
        <f t="array" ref="L50">IF($K50="","",_xlfn.SWITCH($I50,"Computer",_xlfn.XLOOKUP($K50&amp;"",COMPUTER!$B$3:$B$1009&amp;"",COMPUTER!$I$3:$I$1009,""),"Display",_xlfn.XLOOKUP($K50&amp;"",DISPLAY!$B$3:$B$1000&amp;"",DISPLAY!$J$3:$J$1000,""),"Network Device",_xlfn.XLOOKUP($K50&amp;"",'NETWORK-DEVICES'!$B$3:$B$987&amp;"",'NETWORK-DEVICES'!$I$3:$I$987,""),"Peripheral",_xlfn.XLOOKUP($K50&amp;"",PERIPHERAL!$B$3:$B$954&amp;"",PERIPHERAL!$I$3:$I$954,""),"Utilities",_xlfn.XLOOKUP($K50&amp;"",UTILITIES!$B$3:$B$953&amp;"",UTILITIES!$H$3:$H$953,""),"IOT",_xlfn.XLOOKUP($K50&amp;"",IOT!$B$3:$B$1012&amp;"",IOT!$I$3:$I$1012,""),"SERVER",_xlfn.XLOOKUP($K50&amp;"",SERVER!$B$3:$B$1009&amp;"",SERVER!$I$3:$I$1009,""),""))</f>
        <v/>
      </c>
      <c r="M50" t="str" cm="1">
        <f t="array" ref="M50">IF($K50="","",_xlfn.SWITCH($I50,"Computer",_xlfn.XLOOKUP($K50&amp;"",COMPUTER!$B$3:$B$1009&amp;"",COMPUTER!$J$3:$J$1009,""),"Display",_xlfn.XLOOKUP($K50&amp;"",DISPLAY!$B$3:$B$1000&amp;"",DISPLAY!$K$3:$K$1000,""),"Network Device",_xlfn.XLOOKUP($K50&amp;"",'NETWORK-DEVICES'!$B$3:$B$987&amp;"",'NETWORK-DEVICES'!$I$3:$I$987,""),"Peripheral",_xlfn.XLOOKUP($K50&amp;"",PERIPHERAL!$B$3:$B$954&amp;"",PERIPHERAL!$J$3:$J$954,""),"Utilities",_xlfn.XLOOKUP($K50&amp;"",UTILITIES!$B$3:$B$953&amp;"",UTILITIES!$I$3:$I$953,""),"IOT",_xlfn.XLOOKUP($K50&amp;"",IOT!$B$3:$B$1012&amp;"",IOT!$J$3:$J$1012,""),"Server",_xlfn.XLOOKUP($K50&amp;"",SERVER!$B$3:$B$1009&amp;"",SERVER!$J$3:$J$1009,""),""))</f>
        <v/>
      </c>
      <c r="N50" s="1" t="str" cm="1">
        <f t="array" ref="N50">IF(OR($K50="",$I50="",$J50=""),"",_xlfn.LET(_xlpm.srcCat,_xlfn.SWITCH($I50,"Computer",_xlfn.XLOOKUP($K50&amp;"",COMPUTER!$B$3:$B$1009&amp;"",COMPUTER!$H$3:$H$1009,""),"Display",_xlfn.XLOOKUP($K50&amp;"",DISPLAY!$B$3:$B$1000&amp;"",DISPLAY!$H$3:$H$1000,""),"Network Device",_xlfn.XLOOKUP($K50&amp;"",'NETWORK-DEVICES'!$B$3:$B$987&amp;"",'NETWORK-DEVICES'!$H$3:$H$987,""),"Peripheral",_xlfn.XLOOKUP($K50&amp;"",PERIPHERAL!$B$3:$B$954&amp;"",PERIPHERAL!$H$3:$H$954,""),"Utilities",_xlfn.XLOOKUP($K50&amp;"",UTILITIES!$B$3:$B$953&amp;"",UTILITIES!$G$3:$G$953,""),"IOT",_xlfn.XLOOKUP($K50&amp;"",IOT!$B$3:$B$1012&amp;"",IOT!$H$3:$H$1012,""),"Server",_xlfn.XLOOKUP($K50&amp;"",SERVER!$B$3:$B$1009&amp;"",SERVER!$H$3:$H$1009,""),""),IF(TRIM(_xlpm.srcCat)&lt;&gt;TRIM($J50),"",_xlfn.SWITCH($I50,"Computer",_xlfn.XLOOKUP($K50&amp;"",COMPUTER!$B$3:$B$1009&amp;"",COMPUTER!$K$3:$K$1009,""),"Display",_xlfn.XLOOKUP($K50&amp;"",DISPLAY!$B$3:$B$1000&amp;"",DISPLAY!$L$3:$L$1000,""),"Network Device",_xlfn.XLOOKUP($K50&amp;"",'NETWORK-DEVICES'!$B$3:$B$987&amp;"",'NETWORK-DEVICES'!$K$3:$K$987,""),"Peripheral",_xlfn.XLOOKUP($K50&amp;"",PERIPHERAL!$B$3:$B$954&amp;"",PERIPHERAL!$K$3:$K$954,""),"Utilities",_xlfn.XLOOKUP($K50&amp;"",UTILITIES!$B$3:$B$953&amp;"",UTILITIES!$J$3:$J$953,""),"IOT",_xlfn.XLOOKUP($K50&amp;"",IOT!$B$3:$B$1012&amp;"",IOT!$K$4:$K$1012,""),"Server",_xlfn.XLOOKUP($K50&amp;"",SERVER!$B$3:$B$1009&amp;"",SERVER!$K$3:$K$1009,""),""))))</f>
        <v/>
      </c>
      <c r="O50" s="1" t="str" cm="1">
        <f t="array" ref="O50">IF(OR($K50="",$I50="",$J50=""),"",_xlfn.LET(_xlpm.srcCat,_xlfn.SWITCH($I50,"Computer",_xlfn.XLOOKUP($K50&amp;"",COMPUTER!$B$3:$B$1009&amp;"",COMPUTER!$H$3:$H$1009,""),"Display",_xlfn.XLOOKUP($K50&amp;"",DISPLAY!$B$3:$B$1000&amp;"",DISPLAY!$H$3:$H$1000,""),"Network Device",_xlfn.XLOOKUP($K50&amp;"",'NETWORK-DEVICES'!$B$3:$B$987&amp;"",'NETWORK-DEVICES'!$H$3:$H$987,""),"Peripheral",_xlfn.XLOOKUP($K50&amp;"",PERIPHERAL!$B$3:$B$954&amp;"",PERIPHERAL!$H$3:$H$954,""),"Utilities",_xlfn.XLOOKUP($K50&amp;"",UTILITIES!$B$3:$B$953&amp;"",UTILITIES!$G$3:$G$953,""),"IOT",_xlfn.XLOOKUP($K50&amp;"",IOT!$B$3:$B$1012&amp;"",IOT!$H$3:$H$1012,""),"Server",_xlfn.XLOOKUP($K50&amp;"",SERVER!$B$3:$B$1009&amp;"",SERVER!$H$3:$H$1009,""),""),IF(TRIM(_xlpm.srcCat)&lt;&gt;TRIM($J50),"",_xlfn.SWITCH($I50,"Computer",_xlfn.XLOOKUP($K50&amp;"",COMPUTER!$B$3:$B$1009&amp;"",COMPUTER!$E$3:$E$1009,""),"Display",_xlfn.XLOOKUP($K50&amp;"",DISPLAY!$B$3:$B$1000&amp;"",DISPLAY!$E$3:$E$1000,""),"Network Device",_xlfn.XLOOKUP($K50&amp;"",'NETWORK-DEVICES'!$B$3:$B$987&amp;"",'NETWORK-DEVICES'!$E$3:$E$987,""),"Peripheral",_xlfn.XLOOKUP($K50&amp;"",PERIPHERAL!$B$3:$B$954&amp;"",PERIPHERAL!$E$3:$E$954,""),"Utilities",_xlfn.XLOOKUP($K50&amp;"",UTILITIES!$B$3:$B$953&amp;"",UTILITIES!$E$3:$E$953,""),"IOT",_xlfn.XLOOKUP($K50&amp;"",IOT!$B$3:$B$1012&amp;"",IOT!$E$3:$E$1012,""),"Server",_xlfn.XLOOKUP($K50&amp;"",SERVER!$B$3:$B$1009&amp;"",SERVER!$E$3:$E$1009,""),""))))</f>
        <v/>
      </c>
      <c r="Q50" s="1" t="str" cm="1">
        <f t="array" ref="Q50">IF(OR($K50="",$I50="",$J50=""),"",_xlfn.LET(_xlpm.srcCat,_xlfn.SWITCH($I50,"Computer",_xlfn.XLOOKUP($K50&amp;"",COMPUTER!$B$3:$B$1009&amp;"",COMPUTER!$H$3:$H$1009,""),"Display",_xlfn.XLOOKUP($K50&amp;"",DISPLAY!$B$3:$B$1000&amp;"",DISPLAY!$H$3:$H$1000,""),"Network Device",_xlfn.XLOOKUP($K50&amp;"",'NETWORK-DEVICES'!$B$3:$B$987&amp;"",'NETWORK-DEVICES'!$H$3:$H$987,""),"Peripheral",_xlfn.XLOOKUP($K50&amp;"",PERIPHERAL!$B$3:$B$954&amp;"",PERIPHERAL!$H$3:$H$954,""),"Utilities",_xlfn.XLOOKUP($K50&amp;"",UTILITIES!$B$3:$B$953&amp;"",UTILITIES!$G$3:$G$953,""),"IOT",_xlfn.XLOOKUP($K50&amp;"",IOT!$B$3:$B$1012&amp;"",IOT!$H$3:$H$1012,""),"Server",_xlfn.XLOOKUP($K50&amp;"",SERVER!$B$3:$B$1009&amp;"",SERVER!$H$3:$H$1009,""),""),IF(TRIM(_xlpm.srcCat)&lt;&gt;TRIM($J50),"",_xlfn.SWITCH($I50,"Computer",_xlfn.XLOOKUP($K50&amp;"",COMPUTER!$B$3:$B$1009&amp;"",COMPUTER!$AM$3:$AM$1009,""),"Display",_xlfn.XLOOKUP($K50&amp;"",DISPLAY!$B$3:$B$1000&amp;"",DISPLAY!$V$3:$V$1000,""),"Network Device",_xlfn.XLOOKUP($K50&amp;"",'NETWORK-DEVICES'!$B$3:$B$987&amp;"",'NETWORK-DEVICES'!$AF$3:$AF$987,""),"Peripheral",_xlfn.XLOOKUP($K50&amp;"",PERIPHERAL!$B$3:$B$954&amp;"",PERIPHERAL!$Y$3:$Y$954,""),"Utilities",_xlfn.XLOOKUP($K50&amp;"",UTILITIES!$B$3:$B$953&amp;"",UTILITIES!$O$3:$O$953,""),"IOT",_xlfn.XLOOKUP($K50&amp;"",IOT!$B$3:$B$1012&amp;"",IOT!$AB$3:$AB$1012,""),"Server",_xlfn.XLOOKUP($K50&amp;"",SERVER!$B$3:$B$1009&amp;"",SERVER!$AB$3:$AB$1009,""),""))))</f>
        <v/>
      </c>
      <c r="R50" s="43" t="str">
        <f>IF(tbl_handover[[#This Row],[Asset Code]]="","",COUNTIF(tbl_handover[Asset Code],tbl_handover[[#This Row],[Asset Code]]))</f>
        <v/>
      </c>
      <c r="U50" s="60" t="b">
        <v>0</v>
      </c>
    </row>
    <row r="51" spans="1:21" x14ac:dyDescent="0.25">
      <c r="A51" s="43" t="str">
        <f>IF(B51&lt;&gt;"",SUBTOTAL(3,$B$1:B50),"")</f>
        <v/>
      </c>
      <c r="C51" s="74"/>
      <c r="D51" s="74"/>
      <c r="G51" s="1"/>
      <c r="K51" s="42"/>
      <c r="L51" t="str" cm="1">
        <f t="array" ref="L51">IF($K51="","",_xlfn.SWITCH($I51,"Computer",_xlfn.XLOOKUP($K51&amp;"",COMPUTER!$B$3:$B$1009&amp;"",COMPUTER!$I$3:$I$1009,""),"Display",_xlfn.XLOOKUP($K51&amp;"",DISPLAY!$B$3:$B$1000&amp;"",DISPLAY!$J$3:$J$1000,""),"Network Device",_xlfn.XLOOKUP($K51&amp;"",'NETWORK-DEVICES'!$B$3:$B$987&amp;"",'NETWORK-DEVICES'!$I$3:$I$987,""),"Peripheral",_xlfn.XLOOKUP($K51&amp;"",PERIPHERAL!$B$3:$B$954&amp;"",PERIPHERAL!$I$3:$I$954,""),"Utilities",_xlfn.XLOOKUP($K51&amp;"",UTILITIES!$B$3:$B$953&amp;"",UTILITIES!$H$3:$H$953,""),"IOT",_xlfn.XLOOKUP($K51&amp;"",IOT!$B$3:$B$1012&amp;"",IOT!$I$3:$I$1012,""),"SERVER",_xlfn.XLOOKUP($K51&amp;"",SERVER!$B$3:$B$1009&amp;"",SERVER!$I$3:$I$1009,""),""))</f>
        <v/>
      </c>
      <c r="M51" t="str" cm="1">
        <f t="array" ref="M51">IF($K51="","",_xlfn.SWITCH($I51,"Computer",_xlfn.XLOOKUP($K51&amp;"",COMPUTER!$B$3:$B$1009&amp;"",COMPUTER!$J$3:$J$1009,""),"Display",_xlfn.XLOOKUP($K51&amp;"",DISPLAY!$B$3:$B$1000&amp;"",DISPLAY!$K$3:$K$1000,""),"Network Device",_xlfn.XLOOKUP($K51&amp;"",'NETWORK-DEVICES'!$B$3:$B$987&amp;"",'NETWORK-DEVICES'!$I$3:$I$987,""),"Peripheral",_xlfn.XLOOKUP($K51&amp;"",PERIPHERAL!$B$3:$B$954&amp;"",PERIPHERAL!$J$3:$J$954,""),"Utilities",_xlfn.XLOOKUP($K51&amp;"",UTILITIES!$B$3:$B$953&amp;"",UTILITIES!$I$3:$I$953,""),"IOT",_xlfn.XLOOKUP($K51&amp;"",IOT!$B$3:$B$1012&amp;"",IOT!$J$3:$J$1012,""),"Server",_xlfn.XLOOKUP($K51&amp;"",SERVER!$B$3:$B$1009&amp;"",SERVER!$J$3:$J$1009,""),""))</f>
        <v/>
      </c>
      <c r="N51" s="1" t="str" cm="1">
        <f t="array" ref="N51">IF(OR($K51="",$I51="",$J51=""),"",_xlfn.LET(_xlpm.srcCat,_xlfn.SWITCH($I51,"Computer",_xlfn.XLOOKUP($K51&amp;"",COMPUTER!$B$3:$B$1009&amp;"",COMPUTER!$H$3:$H$1009,""),"Display",_xlfn.XLOOKUP($K51&amp;"",DISPLAY!$B$3:$B$1000&amp;"",DISPLAY!$H$3:$H$1000,""),"Network Device",_xlfn.XLOOKUP($K51&amp;"",'NETWORK-DEVICES'!$B$3:$B$987&amp;"",'NETWORK-DEVICES'!$H$3:$H$987,""),"Peripheral",_xlfn.XLOOKUP($K51&amp;"",PERIPHERAL!$B$3:$B$954&amp;"",PERIPHERAL!$H$3:$H$954,""),"Utilities",_xlfn.XLOOKUP($K51&amp;"",UTILITIES!$B$3:$B$953&amp;"",UTILITIES!$G$3:$G$953,""),"IOT",_xlfn.XLOOKUP($K51&amp;"",IOT!$B$3:$B$1012&amp;"",IOT!$H$3:$H$1012,""),"Server",_xlfn.XLOOKUP($K51&amp;"",SERVER!$B$3:$B$1009&amp;"",SERVER!$H$3:$H$1009,""),""),IF(TRIM(_xlpm.srcCat)&lt;&gt;TRIM($J51),"",_xlfn.SWITCH($I51,"Computer",_xlfn.XLOOKUP($K51&amp;"",COMPUTER!$B$3:$B$1009&amp;"",COMPUTER!$K$3:$K$1009,""),"Display",_xlfn.XLOOKUP($K51&amp;"",DISPLAY!$B$3:$B$1000&amp;"",DISPLAY!$L$3:$L$1000,""),"Network Device",_xlfn.XLOOKUP($K51&amp;"",'NETWORK-DEVICES'!$B$3:$B$987&amp;"",'NETWORK-DEVICES'!$K$3:$K$987,""),"Peripheral",_xlfn.XLOOKUP($K51&amp;"",PERIPHERAL!$B$3:$B$954&amp;"",PERIPHERAL!$K$3:$K$954,""),"Utilities",_xlfn.XLOOKUP($K51&amp;"",UTILITIES!$B$3:$B$953&amp;"",UTILITIES!$J$3:$J$953,""),"IOT",_xlfn.XLOOKUP($K51&amp;"",IOT!$B$3:$B$1012&amp;"",IOT!$K$4:$K$1012,""),"Server",_xlfn.XLOOKUP($K51&amp;"",SERVER!$B$3:$B$1009&amp;"",SERVER!$K$3:$K$1009,""),""))))</f>
        <v/>
      </c>
      <c r="O51" s="1" t="str" cm="1">
        <f t="array" ref="O51">IF(OR($K51="",$I51="",$J51=""),"",_xlfn.LET(_xlpm.srcCat,_xlfn.SWITCH($I51,"Computer",_xlfn.XLOOKUP($K51&amp;"",COMPUTER!$B$3:$B$1009&amp;"",COMPUTER!$H$3:$H$1009,""),"Display",_xlfn.XLOOKUP($K51&amp;"",DISPLAY!$B$3:$B$1000&amp;"",DISPLAY!$H$3:$H$1000,""),"Network Device",_xlfn.XLOOKUP($K51&amp;"",'NETWORK-DEVICES'!$B$3:$B$987&amp;"",'NETWORK-DEVICES'!$H$3:$H$987,""),"Peripheral",_xlfn.XLOOKUP($K51&amp;"",PERIPHERAL!$B$3:$B$954&amp;"",PERIPHERAL!$H$3:$H$954,""),"Utilities",_xlfn.XLOOKUP($K51&amp;"",UTILITIES!$B$3:$B$953&amp;"",UTILITIES!$G$3:$G$953,""),"IOT",_xlfn.XLOOKUP($K51&amp;"",IOT!$B$3:$B$1012&amp;"",IOT!$H$3:$H$1012,""),"Server",_xlfn.XLOOKUP($K51&amp;"",SERVER!$B$3:$B$1009&amp;"",SERVER!$H$3:$H$1009,""),""),IF(TRIM(_xlpm.srcCat)&lt;&gt;TRIM($J51),"",_xlfn.SWITCH($I51,"Computer",_xlfn.XLOOKUP($K51&amp;"",COMPUTER!$B$3:$B$1009&amp;"",COMPUTER!$E$3:$E$1009,""),"Display",_xlfn.XLOOKUP($K51&amp;"",DISPLAY!$B$3:$B$1000&amp;"",DISPLAY!$E$3:$E$1000,""),"Network Device",_xlfn.XLOOKUP($K51&amp;"",'NETWORK-DEVICES'!$B$3:$B$987&amp;"",'NETWORK-DEVICES'!$E$3:$E$987,""),"Peripheral",_xlfn.XLOOKUP($K51&amp;"",PERIPHERAL!$B$3:$B$954&amp;"",PERIPHERAL!$E$3:$E$954,""),"Utilities",_xlfn.XLOOKUP($K51&amp;"",UTILITIES!$B$3:$B$953&amp;"",UTILITIES!$E$3:$E$953,""),"IOT",_xlfn.XLOOKUP($K51&amp;"",IOT!$B$3:$B$1012&amp;"",IOT!$E$3:$E$1012,""),"Server",_xlfn.XLOOKUP($K51&amp;"",SERVER!$B$3:$B$1009&amp;"",SERVER!$E$3:$E$1009,""),""))))</f>
        <v/>
      </c>
      <c r="Q51" s="1" t="str" cm="1">
        <f t="array" ref="Q51">IF(OR($K51="",$I51="",$J51=""),"",_xlfn.LET(_xlpm.srcCat,_xlfn.SWITCH($I51,"Computer",_xlfn.XLOOKUP($K51&amp;"",COMPUTER!$B$3:$B$1009&amp;"",COMPUTER!$H$3:$H$1009,""),"Display",_xlfn.XLOOKUP($K51&amp;"",DISPLAY!$B$3:$B$1000&amp;"",DISPLAY!$H$3:$H$1000,""),"Network Device",_xlfn.XLOOKUP($K51&amp;"",'NETWORK-DEVICES'!$B$3:$B$987&amp;"",'NETWORK-DEVICES'!$H$3:$H$987,""),"Peripheral",_xlfn.XLOOKUP($K51&amp;"",PERIPHERAL!$B$3:$B$954&amp;"",PERIPHERAL!$H$3:$H$954,""),"Utilities",_xlfn.XLOOKUP($K51&amp;"",UTILITIES!$B$3:$B$953&amp;"",UTILITIES!$G$3:$G$953,""),"IOT",_xlfn.XLOOKUP($K51&amp;"",IOT!$B$3:$B$1012&amp;"",IOT!$H$3:$H$1012,""),"Server",_xlfn.XLOOKUP($K51&amp;"",SERVER!$B$3:$B$1009&amp;"",SERVER!$H$3:$H$1009,""),""),IF(TRIM(_xlpm.srcCat)&lt;&gt;TRIM($J51),"",_xlfn.SWITCH($I51,"Computer",_xlfn.XLOOKUP($K51&amp;"",COMPUTER!$B$3:$B$1009&amp;"",COMPUTER!$AM$3:$AM$1009,""),"Display",_xlfn.XLOOKUP($K51&amp;"",DISPLAY!$B$3:$B$1000&amp;"",DISPLAY!$V$3:$V$1000,""),"Network Device",_xlfn.XLOOKUP($K51&amp;"",'NETWORK-DEVICES'!$B$3:$B$987&amp;"",'NETWORK-DEVICES'!$AF$3:$AF$987,""),"Peripheral",_xlfn.XLOOKUP($K51&amp;"",PERIPHERAL!$B$3:$B$954&amp;"",PERIPHERAL!$Y$3:$Y$954,""),"Utilities",_xlfn.XLOOKUP($K51&amp;"",UTILITIES!$B$3:$B$953&amp;"",UTILITIES!$O$3:$O$953,""),"IOT",_xlfn.XLOOKUP($K51&amp;"",IOT!$B$3:$B$1012&amp;"",IOT!$AB$3:$AB$1012,""),"Server",_xlfn.XLOOKUP($K51&amp;"",SERVER!$B$3:$B$1009&amp;"",SERVER!$AB$3:$AB$1009,""),""))))</f>
        <v/>
      </c>
      <c r="R51" s="43" t="str">
        <f>IF(tbl_handover[[#This Row],[Asset Code]]="","",COUNTIF(tbl_handover[Asset Code],tbl_handover[[#This Row],[Asset Code]]))</f>
        <v/>
      </c>
      <c r="U51" s="60" t="b">
        <v>0</v>
      </c>
    </row>
    <row r="52" spans="1:21" x14ac:dyDescent="0.25">
      <c r="A52" s="43" t="str">
        <f>IF(B52&lt;&gt;"",SUBTOTAL(3,$B$1:B51),"")</f>
        <v/>
      </c>
      <c r="C52" s="74"/>
      <c r="D52" s="74"/>
      <c r="G52" s="1"/>
      <c r="K52" s="42"/>
      <c r="L52" t="str" cm="1">
        <f t="array" ref="L52">IF($K52="","",_xlfn.SWITCH($I52,"Computer",_xlfn.XLOOKUP($K52&amp;"",COMPUTER!$B$3:$B$1009&amp;"",COMPUTER!$I$3:$I$1009,""),"Display",_xlfn.XLOOKUP($K52&amp;"",DISPLAY!$B$3:$B$1000&amp;"",DISPLAY!$J$3:$J$1000,""),"Network Device",_xlfn.XLOOKUP($K52&amp;"",'NETWORK-DEVICES'!$B$3:$B$987&amp;"",'NETWORK-DEVICES'!$I$3:$I$987,""),"Peripheral",_xlfn.XLOOKUP($K52&amp;"",PERIPHERAL!$B$3:$B$954&amp;"",PERIPHERAL!$I$3:$I$954,""),"Utilities",_xlfn.XLOOKUP($K52&amp;"",UTILITIES!$B$3:$B$953&amp;"",UTILITIES!$H$3:$H$953,""),"IOT",_xlfn.XLOOKUP($K52&amp;"",IOT!$B$3:$B$1012&amp;"",IOT!$I$3:$I$1012,""),"SERVER",_xlfn.XLOOKUP($K52&amp;"",SERVER!$B$3:$B$1009&amp;"",SERVER!$I$3:$I$1009,""),""))</f>
        <v/>
      </c>
      <c r="M52" t="str" cm="1">
        <f t="array" ref="M52">IF($K52="","",_xlfn.SWITCH($I52,"Computer",_xlfn.XLOOKUP($K52&amp;"",COMPUTER!$B$3:$B$1009&amp;"",COMPUTER!$J$3:$J$1009,""),"Display",_xlfn.XLOOKUP($K52&amp;"",DISPLAY!$B$3:$B$1000&amp;"",DISPLAY!$K$3:$K$1000,""),"Network Device",_xlfn.XLOOKUP($K52&amp;"",'NETWORK-DEVICES'!$B$3:$B$987&amp;"",'NETWORK-DEVICES'!$I$3:$I$987,""),"Peripheral",_xlfn.XLOOKUP($K52&amp;"",PERIPHERAL!$B$3:$B$954&amp;"",PERIPHERAL!$J$3:$J$954,""),"Utilities",_xlfn.XLOOKUP($K52&amp;"",UTILITIES!$B$3:$B$953&amp;"",UTILITIES!$I$3:$I$953,""),"IOT",_xlfn.XLOOKUP($K52&amp;"",IOT!$B$3:$B$1012&amp;"",IOT!$J$3:$J$1012,""),"Server",_xlfn.XLOOKUP($K52&amp;"",SERVER!$B$3:$B$1009&amp;"",SERVER!$J$3:$J$1009,""),""))</f>
        <v/>
      </c>
      <c r="N52" s="1" t="str" cm="1">
        <f t="array" ref="N52">IF(OR($K52="",$I52="",$J52=""),"",_xlfn.LET(_xlpm.srcCat,_xlfn.SWITCH($I52,"Computer",_xlfn.XLOOKUP($K52&amp;"",COMPUTER!$B$3:$B$1009&amp;"",COMPUTER!$H$3:$H$1009,""),"Display",_xlfn.XLOOKUP($K52&amp;"",DISPLAY!$B$3:$B$1000&amp;"",DISPLAY!$H$3:$H$1000,""),"Network Device",_xlfn.XLOOKUP($K52&amp;"",'NETWORK-DEVICES'!$B$3:$B$987&amp;"",'NETWORK-DEVICES'!$H$3:$H$987,""),"Peripheral",_xlfn.XLOOKUP($K52&amp;"",PERIPHERAL!$B$3:$B$954&amp;"",PERIPHERAL!$H$3:$H$954,""),"Utilities",_xlfn.XLOOKUP($K52&amp;"",UTILITIES!$B$3:$B$953&amp;"",UTILITIES!$G$3:$G$953,""),"IOT",_xlfn.XLOOKUP($K52&amp;"",IOT!$B$3:$B$1012&amp;"",IOT!$H$3:$H$1012,""),"Server",_xlfn.XLOOKUP($K52&amp;"",SERVER!$B$3:$B$1009&amp;"",SERVER!$H$3:$H$1009,""),""),IF(TRIM(_xlpm.srcCat)&lt;&gt;TRIM($J52),"",_xlfn.SWITCH($I52,"Computer",_xlfn.XLOOKUP($K52&amp;"",COMPUTER!$B$3:$B$1009&amp;"",COMPUTER!$K$3:$K$1009,""),"Display",_xlfn.XLOOKUP($K52&amp;"",DISPLAY!$B$3:$B$1000&amp;"",DISPLAY!$L$3:$L$1000,""),"Network Device",_xlfn.XLOOKUP($K52&amp;"",'NETWORK-DEVICES'!$B$3:$B$987&amp;"",'NETWORK-DEVICES'!$K$3:$K$987,""),"Peripheral",_xlfn.XLOOKUP($K52&amp;"",PERIPHERAL!$B$3:$B$954&amp;"",PERIPHERAL!$K$3:$K$954,""),"Utilities",_xlfn.XLOOKUP($K52&amp;"",UTILITIES!$B$3:$B$953&amp;"",UTILITIES!$J$3:$J$953,""),"IOT",_xlfn.XLOOKUP($K52&amp;"",IOT!$B$3:$B$1012&amp;"",IOT!$K$4:$K$1012,""),"Server",_xlfn.XLOOKUP($K52&amp;"",SERVER!$B$3:$B$1009&amp;"",SERVER!$K$3:$K$1009,""),""))))</f>
        <v/>
      </c>
      <c r="O52" s="1" t="str" cm="1">
        <f t="array" ref="O52">IF(OR($K52="",$I52="",$J52=""),"",_xlfn.LET(_xlpm.srcCat,_xlfn.SWITCH($I52,"Computer",_xlfn.XLOOKUP($K52&amp;"",COMPUTER!$B$3:$B$1009&amp;"",COMPUTER!$H$3:$H$1009,""),"Display",_xlfn.XLOOKUP($K52&amp;"",DISPLAY!$B$3:$B$1000&amp;"",DISPLAY!$H$3:$H$1000,""),"Network Device",_xlfn.XLOOKUP($K52&amp;"",'NETWORK-DEVICES'!$B$3:$B$987&amp;"",'NETWORK-DEVICES'!$H$3:$H$987,""),"Peripheral",_xlfn.XLOOKUP($K52&amp;"",PERIPHERAL!$B$3:$B$954&amp;"",PERIPHERAL!$H$3:$H$954,""),"Utilities",_xlfn.XLOOKUP($K52&amp;"",UTILITIES!$B$3:$B$953&amp;"",UTILITIES!$G$3:$G$953,""),"IOT",_xlfn.XLOOKUP($K52&amp;"",IOT!$B$3:$B$1012&amp;"",IOT!$H$3:$H$1012,""),"Server",_xlfn.XLOOKUP($K52&amp;"",SERVER!$B$3:$B$1009&amp;"",SERVER!$H$3:$H$1009,""),""),IF(TRIM(_xlpm.srcCat)&lt;&gt;TRIM($J52),"",_xlfn.SWITCH($I52,"Computer",_xlfn.XLOOKUP($K52&amp;"",COMPUTER!$B$3:$B$1009&amp;"",COMPUTER!$E$3:$E$1009,""),"Display",_xlfn.XLOOKUP($K52&amp;"",DISPLAY!$B$3:$B$1000&amp;"",DISPLAY!$E$3:$E$1000,""),"Network Device",_xlfn.XLOOKUP($K52&amp;"",'NETWORK-DEVICES'!$B$3:$B$987&amp;"",'NETWORK-DEVICES'!$E$3:$E$987,""),"Peripheral",_xlfn.XLOOKUP($K52&amp;"",PERIPHERAL!$B$3:$B$954&amp;"",PERIPHERAL!$E$3:$E$954,""),"Utilities",_xlfn.XLOOKUP($K52&amp;"",UTILITIES!$B$3:$B$953&amp;"",UTILITIES!$E$3:$E$953,""),"IOT",_xlfn.XLOOKUP($K52&amp;"",IOT!$B$3:$B$1012&amp;"",IOT!$E$3:$E$1012,""),"Server",_xlfn.XLOOKUP($K52&amp;"",SERVER!$B$3:$B$1009&amp;"",SERVER!$E$3:$E$1009,""),""))))</f>
        <v/>
      </c>
      <c r="Q52" s="1" t="str" cm="1">
        <f t="array" ref="Q52">IF(OR($K52="",$I52="",$J52=""),"",_xlfn.LET(_xlpm.srcCat,_xlfn.SWITCH($I52,"Computer",_xlfn.XLOOKUP($K52&amp;"",COMPUTER!$B$3:$B$1009&amp;"",COMPUTER!$H$3:$H$1009,""),"Display",_xlfn.XLOOKUP($K52&amp;"",DISPLAY!$B$3:$B$1000&amp;"",DISPLAY!$H$3:$H$1000,""),"Network Device",_xlfn.XLOOKUP($K52&amp;"",'NETWORK-DEVICES'!$B$3:$B$987&amp;"",'NETWORK-DEVICES'!$H$3:$H$987,""),"Peripheral",_xlfn.XLOOKUP($K52&amp;"",PERIPHERAL!$B$3:$B$954&amp;"",PERIPHERAL!$H$3:$H$954,""),"Utilities",_xlfn.XLOOKUP($K52&amp;"",UTILITIES!$B$3:$B$953&amp;"",UTILITIES!$G$3:$G$953,""),"IOT",_xlfn.XLOOKUP($K52&amp;"",IOT!$B$3:$B$1012&amp;"",IOT!$H$3:$H$1012,""),"Server",_xlfn.XLOOKUP($K52&amp;"",SERVER!$B$3:$B$1009&amp;"",SERVER!$H$3:$H$1009,""),""),IF(TRIM(_xlpm.srcCat)&lt;&gt;TRIM($J52),"",_xlfn.SWITCH($I52,"Computer",_xlfn.XLOOKUP($K52&amp;"",COMPUTER!$B$3:$B$1009&amp;"",COMPUTER!$AM$3:$AM$1009,""),"Display",_xlfn.XLOOKUP($K52&amp;"",DISPLAY!$B$3:$B$1000&amp;"",DISPLAY!$V$3:$V$1000,""),"Network Device",_xlfn.XLOOKUP($K52&amp;"",'NETWORK-DEVICES'!$B$3:$B$987&amp;"",'NETWORK-DEVICES'!$AF$3:$AF$987,""),"Peripheral",_xlfn.XLOOKUP($K52&amp;"",PERIPHERAL!$B$3:$B$954&amp;"",PERIPHERAL!$Y$3:$Y$954,""),"Utilities",_xlfn.XLOOKUP($K52&amp;"",UTILITIES!$B$3:$B$953&amp;"",UTILITIES!$O$3:$O$953,""),"IOT",_xlfn.XLOOKUP($K52&amp;"",IOT!$B$3:$B$1012&amp;"",IOT!$AB$3:$AB$1012,""),"Server",_xlfn.XLOOKUP($K52&amp;"",SERVER!$B$3:$B$1009&amp;"",SERVER!$AB$3:$AB$1009,""),""))))</f>
        <v/>
      </c>
      <c r="R52" s="43" t="str">
        <f>IF(tbl_handover[[#This Row],[Asset Code]]="","",COUNTIF(tbl_handover[Asset Code],tbl_handover[[#This Row],[Asset Code]]))</f>
        <v/>
      </c>
      <c r="U52" s="60" t="b">
        <v>0</v>
      </c>
    </row>
    <row r="53" spans="1:21" x14ac:dyDescent="0.25">
      <c r="A53" s="43" t="str">
        <f>IF(B53&lt;&gt;"",SUBTOTAL(3,$B$1:B52),"")</f>
        <v/>
      </c>
      <c r="C53" s="74"/>
      <c r="D53" s="74"/>
      <c r="G53" s="1"/>
      <c r="K53" s="42"/>
      <c r="L53" t="str" cm="1">
        <f t="array" ref="L53">IF($K53="","",_xlfn.SWITCH($I53,"Computer",_xlfn.XLOOKUP($K53&amp;"",COMPUTER!$B$3:$B$1009&amp;"",COMPUTER!$I$3:$I$1009,""),"Display",_xlfn.XLOOKUP($K53&amp;"",DISPLAY!$B$3:$B$1000&amp;"",DISPLAY!$J$3:$J$1000,""),"Network Device",_xlfn.XLOOKUP($K53&amp;"",'NETWORK-DEVICES'!$B$3:$B$987&amp;"",'NETWORK-DEVICES'!$I$3:$I$987,""),"Peripheral",_xlfn.XLOOKUP($K53&amp;"",PERIPHERAL!$B$3:$B$954&amp;"",PERIPHERAL!$I$3:$I$954,""),"Utilities",_xlfn.XLOOKUP($K53&amp;"",UTILITIES!$B$3:$B$953&amp;"",UTILITIES!$H$3:$H$953,""),"IOT",_xlfn.XLOOKUP($K53&amp;"",IOT!$B$3:$B$1012&amp;"",IOT!$I$3:$I$1012,""),"SERVER",_xlfn.XLOOKUP($K53&amp;"",SERVER!$B$3:$B$1009&amp;"",SERVER!$I$3:$I$1009,""),""))</f>
        <v/>
      </c>
      <c r="M53" t="str" cm="1">
        <f t="array" ref="M53">IF($K53="","",_xlfn.SWITCH($I53,"Computer",_xlfn.XLOOKUP($K53&amp;"",COMPUTER!$B$3:$B$1009&amp;"",COMPUTER!$J$3:$J$1009,""),"Display",_xlfn.XLOOKUP($K53&amp;"",DISPLAY!$B$3:$B$1000&amp;"",DISPLAY!$K$3:$K$1000,""),"Network Device",_xlfn.XLOOKUP($K53&amp;"",'NETWORK-DEVICES'!$B$3:$B$987&amp;"",'NETWORK-DEVICES'!$I$3:$I$987,""),"Peripheral",_xlfn.XLOOKUP($K53&amp;"",PERIPHERAL!$B$3:$B$954&amp;"",PERIPHERAL!$J$3:$J$954,""),"Utilities",_xlfn.XLOOKUP($K53&amp;"",UTILITIES!$B$3:$B$953&amp;"",UTILITIES!$I$3:$I$953,""),"IOT",_xlfn.XLOOKUP($K53&amp;"",IOT!$B$3:$B$1012&amp;"",IOT!$J$3:$J$1012,""),"Server",_xlfn.XLOOKUP($K53&amp;"",SERVER!$B$3:$B$1009&amp;"",SERVER!$J$3:$J$1009,""),""))</f>
        <v/>
      </c>
      <c r="N53" s="1" t="str" cm="1">
        <f t="array" ref="N53">IF(OR($K53="",$I53="",$J53=""),"",_xlfn.LET(_xlpm.srcCat,_xlfn.SWITCH($I53,"Computer",_xlfn.XLOOKUP($K53&amp;"",COMPUTER!$B$3:$B$1009&amp;"",COMPUTER!$H$3:$H$1009,""),"Display",_xlfn.XLOOKUP($K53&amp;"",DISPLAY!$B$3:$B$1000&amp;"",DISPLAY!$H$3:$H$1000,""),"Network Device",_xlfn.XLOOKUP($K53&amp;"",'NETWORK-DEVICES'!$B$3:$B$987&amp;"",'NETWORK-DEVICES'!$H$3:$H$987,""),"Peripheral",_xlfn.XLOOKUP($K53&amp;"",PERIPHERAL!$B$3:$B$954&amp;"",PERIPHERAL!$H$3:$H$954,""),"Utilities",_xlfn.XLOOKUP($K53&amp;"",UTILITIES!$B$3:$B$953&amp;"",UTILITIES!$G$3:$G$953,""),"IOT",_xlfn.XLOOKUP($K53&amp;"",IOT!$B$3:$B$1012&amp;"",IOT!$H$3:$H$1012,""),"Server",_xlfn.XLOOKUP($K53&amp;"",SERVER!$B$3:$B$1009&amp;"",SERVER!$H$3:$H$1009,""),""),IF(TRIM(_xlpm.srcCat)&lt;&gt;TRIM($J53),"",_xlfn.SWITCH($I53,"Computer",_xlfn.XLOOKUP($K53&amp;"",COMPUTER!$B$3:$B$1009&amp;"",COMPUTER!$K$3:$K$1009,""),"Display",_xlfn.XLOOKUP($K53&amp;"",DISPLAY!$B$3:$B$1000&amp;"",DISPLAY!$L$3:$L$1000,""),"Network Device",_xlfn.XLOOKUP($K53&amp;"",'NETWORK-DEVICES'!$B$3:$B$987&amp;"",'NETWORK-DEVICES'!$K$3:$K$987,""),"Peripheral",_xlfn.XLOOKUP($K53&amp;"",PERIPHERAL!$B$3:$B$954&amp;"",PERIPHERAL!$K$3:$K$954,""),"Utilities",_xlfn.XLOOKUP($K53&amp;"",UTILITIES!$B$3:$B$953&amp;"",UTILITIES!$J$3:$J$953,""),"IOT",_xlfn.XLOOKUP($K53&amp;"",IOT!$B$3:$B$1012&amp;"",IOT!$K$4:$K$1012,""),"Server",_xlfn.XLOOKUP($K53&amp;"",SERVER!$B$3:$B$1009&amp;"",SERVER!$K$3:$K$1009,""),""))))</f>
        <v/>
      </c>
      <c r="O53" s="1" t="str" cm="1">
        <f t="array" ref="O53">IF(OR($K53="",$I53="",$J53=""),"",_xlfn.LET(_xlpm.srcCat,_xlfn.SWITCH($I53,"Computer",_xlfn.XLOOKUP($K53&amp;"",COMPUTER!$B$3:$B$1009&amp;"",COMPUTER!$H$3:$H$1009,""),"Display",_xlfn.XLOOKUP($K53&amp;"",DISPLAY!$B$3:$B$1000&amp;"",DISPLAY!$H$3:$H$1000,""),"Network Device",_xlfn.XLOOKUP($K53&amp;"",'NETWORK-DEVICES'!$B$3:$B$987&amp;"",'NETWORK-DEVICES'!$H$3:$H$987,""),"Peripheral",_xlfn.XLOOKUP($K53&amp;"",PERIPHERAL!$B$3:$B$954&amp;"",PERIPHERAL!$H$3:$H$954,""),"Utilities",_xlfn.XLOOKUP($K53&amp;"",UTILITIES!$B$3:$B$953&amp;"",UTILITIES!$G$3:$G$953,""),"IOT",_xlfn.XLOOKUP($K53&amp;"",IOT!$B$3:$B$1012&amp;"",IOT!$H$3:$H$1012,""),"Server",_xlfn.XLOOKUP($K53&amp;"",SERVER!$B$3:$B$1009&amp;"",SERVER!$H$3:$H$1009,""),""),IF(TRIM(_xlpm.srcCat)&lt;&gt;TRIM($J53),"",_xlfn.SWITCH($I53,"Computer",_xlfn.XLOOKUP($K53&amp;"",COMPUTER!$B$3:$B$1009&amp;"",COMPUTER!$E$3:$E$1009,""),"Display",_xlfn.XLOOKUP($K53&amp;"",DISPLAY!$B$3:$B$1000&amp;"",DISPLAY!$E$3:$E$1000,""),"Network Device",_xlfn.XLOOKUP($K53&amp;"",'NETWORK-DEVICES'!$B$3:$B$987&amp;"",'NETWORK-DEVICES'!$E$3:$E$987,""),"Peripheral",_xlfn.XLOOKUP($K53&amp;"",PERIPHERAL!$B$3:$B$954&amp;"",PERIPHERAL!$E$3:$E$954,""),"Utilities",_xlfn.XLOOKUP($K53&amp;"",UTILITIES!$B$3:$B$953&amp;"",UTILITIES!$E$3:$E$953,""),"IOT",_xlfn.XLOOKUP($K53&amp;"",IOT!$B$3:$B$1012&amp;"",IOT!$E$3:$E$1012,""),"Server",_xlfn.XLOOKUP($K53&amp;"",SERVER!$B$3:$B$1009&amp;"",SERVER!$E$3:$E$1009,""),""))))</f>
        <v/>
      </c>
      <c r="Q53" s="1" t="str" cm="1">
        <f t="array" ref="Q53">IF(OR($K53="",$I53="",$J53=""),"",_xlfn.LET(_xlpm.srcCat,_xlfn.SWITCH($I53,"Computer",_xlfn.XLOOKUP($K53&amp;"",COMPUTER!$B$3:$B$1009&amp;"",COMPUTER!$H$3:$H$1009,""),"Display",_xlfn.XLOOKUP($K53&amp;"",DISPLAY!$B$3:$B$1000&amp;"",DISPLAY!$H$3:$H$1000,""),"Network Device",_xlfn.XLOOKUP($K53&amp;"",'NETWORK-DEVICES'!$B$3:$B$987&amp;"",'NETWORK-DEVICES'!$H$3:$H$987,""),"Peripheral",_xlfn.XLOOKUP($K53&amp;"",PERIPHERAL!$B$3:$B$954&amp;"",PERIPHERAL!$H$3:$H$954,""),"Utilities",_xlfn.XLOOKUP($K53&amp;"",UTILITIES!$B$3:$B$953&amp;"",UTILITIES!$G$3:$G$953,""),"IOT",_xlfn.XLOOKUP($K53&amp;"",IOT!$B$3:$B$1012&amp;"",IOT!$H$3:$H$1012,""),"Server",_xlfn.XLOOKUP($K53&amp;"",SERVER!$B$3:$B$1009&amp;"",SERVER!$H$3:$H$1009,""),""),IF(TRIM(_xlpm.srcCat)&lt;&gt;TRIM($J53),"",_xlfn.SWITCH($I53,"Computer",_xlfn.XLOOKUP($K53&amp;"",COMPUTER!$B$3:$B$1009&amp;"",COMPUTER!$AM$3:$AM$1009,""),"Display",_xlfn.XLOOKUP($K53&amp;"",DISPLAY!$B$3:$B$1000&amp;"",DISPLAY!$V$3:$V$1000,""),"Network Device",_xlfn.XLOOKUP($K53&amp;"",'NETWORK-DEVICES'!$B$3:$B$987&amp;"",'NETWORK-DEVICES'!$AF$3:$AF$987,""),"Peripheral",_xlfn.XLOOKUP($K53&amp;"",PERIPHERAL!$B$3:$B$954&amp;"",PERIPHERAL!$Y$3:$Y$954,""),"Utilities",_xlfn.XLOOKUP($K53&amp;"",UTILITIES!$B$3:$B$953&amp;"",UTILITIES!$O$3:$O$953,""),"IOT",_xlfn.XLOOKUP($K53&amp;"",IOT!$B$3:$B$1012&amp;"",IOT!$AB$3:$AB$1012,""),"Server",_xlfn.XLOOKUP($K53&amp;"",SERVER!$B$3:$B$1009&amp;"",SERVER!$AB$3:$AB$1009,""),""))))</f>
        <v/>
      </c>
      <c r="R53" s="43" t="str">
        <f>IF(tbl_handover[[#This Row],[Asset Code]]="","",COUNTIF(tbl_handover[Asset Code],tbl_handover[[#This Row],[Asset Code]]))</f>
        <v/>
      </c>
      <c r="U53" s="60" t="b">
        <v>0</v>
      </c>
    </row>
    <row r="54" spans="1:21" x14ac:dyDescent="0.25">
      <c r="A54" s="43" t="str">
        <f>IF(B54&lt;&gt;"",SUBTOTAL(3,$B$1:B53),"")</f>
        <v/>
      </c>
      <c r="C54" s="74"/>
      <c r="D54" s="74"/>
      <c r="G54" s="1"/>
      <c r="K54" s="42"/>
      <c r="L54" t="str" cm="1">
        <f t="array" ref="L54">IF($K54="","",_xlfn.SWITCH($I54,"Computer",_xlfn.XLOOKUP($K54&amp;"",COMPUTER!$B$3:$B$1009&amp;"",COMPUTER!$I$3:$I$1009,""),"Display",_xlfn.XLOOKUP($K54&amp;"",DISPLAY!$B$3:$B$1000&amp;"",DISPLAY!$J$3:$J$1000,""),"Network Device",_xlfn.XLOOKUP($K54&amp;"",'NETWORK-DEVICES'!$B$3:$B$987&amp;"",'NETWORK-DEVICES'!$I$3:$I$987,""),"Peripheral",_xlfn.XLOOKUP($K54&amp;"",PERIPHERAL!$B$3:$B$954&amp;"",PERIPHERAL!$I$3:$I$954,""),"Utilities",_xlfn.XLOOKUP($K54&amp;"",UTILITIES!$B$3:$B$953&amp;"",UTILITIES!$H$3:$H$953,""),"IOT",_xlfn.XLOOKUP($K54&amp;"",IOT!$B$3:$B$1012&amp;"",IOT!$I$3:$I$1012,""),"SERVER",_xlfn.XLOOKUP($K54&amp;"",SERVER!$B$3:$B$1009&amp;"",SERVER!$I$3:$I$1009,""),""))</f>
        <v/>
      </c>
      <c r="M54" t="str" cm="1">
        <f t="array" ref="M54">IF($K54="","",_xlfn.SWITCH($I54,"Computer",_xlfn.XLOOKUP($K54&amp;"",COMPUTER!$B$3:$B$1009&amp;"",COMPUTER!$J$3:$J$1009,""),"Display",_xlfn.XLOOKUP($K54&amp;"",DISPLAY!$B$3:$B$1000&amp;"",DISPLAY!$K$3:$K$1000,""),"Network Device",_xlfn.XLOOKUP($K54&amp;"",'NETWORK-DEVICES'!$B$3:$B$987&amp;"",'NETWORK-DEVICES'!$I$3:$I$987,""),"Peripheral",_xlfn.XLOOKUP($K54&amp;"",PERIPHERAL!$B$3:$B$954&amp;"",PERIPHERAL!$J$3:$J$954,""),"Utilities",_xlfn.XLOOKUP($K54&amp;"",UTILITIES!$B$3:$B$953&amp;"",UTILITIES!$I$3:$I$953,""),"IOT",_xlfn.XLOOKUP($K54&amp;"",IOT!$B$3:$B$1012&amp;"",IOT!$J$3:$J$1012,""),"Server",_xlfn.XLOOKUP($K54&amp;"",SERVER!$B$3:$B$1009&amp;"",SERVER!$J$3:$J$1009,""),""))</f>
        <v/>
      </c>
      <c r="N54" s="1" t="str" cm="1">
        <f t="array" ref="N54">IF(OR($K54="",$I54="",$J54=""),"",_xlfn.LET(_xlpm.srcCat,_xlfn.SWITCH($I54,"Computer",_xlfn.XLOOKUP($K54&amp;"",COMPUTER!$B$3:$B$1009&amp;"",COMPUTER!$H$3:$H$1009,""),"Display",_xlfn.XLOOKUP($K54&amp;"",DISPLAY!$B$3:$B$1000&amp;"",DISPLAY!$H$3:$H$1000,""),"Network Device",_xlfn.XLOOKUP($K54&amp;"",'NETWORK-DEVICES'!$B$3:$B$987&amp;"",'NETWORK-DEVICES'!$H$3:$H$987,""),"Peripheral",_xlfn.XLOOKUP($K54&amp;"",PERIPHERAL!$B$3:$B$954&amp;"",PERIPHERAL!$H$3:$H$954,""),"Utilities",_xlfn.XLOOKUP($K54&amp;"",UTILITIES!$B$3:$B$953&amp;"",UTILITIES!$G$3:$G$953,""),"IOT",_xlfn.XLOOKUP($K54&amp;"",IOT!$B$3:$B$1012&amp;"",IOT!$H$3:$H$1012,""),"Server",_xlfn.XLOOKUP($K54&amp;"",SERVER!$B$3:$B$1009&amp;"",SERVER!$H$3:$H$1009,""),""),IF(TRIM(_xlpm.srcCat)&lt;&gt;TRIM($J54),"",_xlfn.SWITCH($I54,"Computer",_xlfn.XLOOKUP($K54&amp;"",COMPUTER!$B$3:$B$1009&amp;"",COMPUTER!$K$3:$K$1009,""),"Display",_xlfn.XLOOKUP($K54&amp;"",DISPLAY!$B$3:$B$1000&amp;"",DISPLAY!$L$3:$L$1000,""),"Network Device",_xlfn.XLOOKUP($K54&amp;"",'NETWORK-DEVICES'!$B$3:$B$987&amp;"",'NETWORK-DEVICES'!$K$3:$K$987,""),"Peripheral",_xlfn.XLOOKUP($K54&amp;"",PERIPHERAL!$B$3:$B$954&amp;"",PERIPHERAL!$K$3:$K$954,""),"Utilities",_xlfn.XLOOKUP($K54&amp;"",UTILITIES!$B$3:$B$953&amp;"",UTILITIES!$J$3:$J$953,""),"IOT",_xlfn.XLOOKUP($K54&amp;"",IOT!$B$3:$B$1012&amp;"",IOT!$K$4:$K$1012,""),"Server",_xlfn.XLOOKUP($K54&amp;"",SERVER!$B$3:$B$1009&amp;"",SERVER!$K$3:$K$1009,""),""))))</f>
        <v/>
      </c>
      <c r="O54" s="1" t="str" cm="1">
        <f t="array" ref="O54">IF(OR($K54="",$I54="",$J54=""),"",_xlfn.LET(_xlpm.srcCat,_xlfn.SWITCH($I54,"Computer",_xlfn.XLOOKUP($K54&amp;"",COMPUTER!$B$3:$B$1009&amp;"",COMPUTER!$H$3:$H$1009,""),"Display",_xlfn.XLOOKUP($K54&amp;"",DISPLAY!$B$3:$B$1000&amp;"",DISPLAY!$H$3:$H$1000,""),"Network Device",_xlfn.XLOOKUP($K54&amp;"",'NETWORK-DEVICES'!$B$3:$B$987&amp;"",'NETWORK-DEVICES'!$H$3:$H$987,""),"Peripheral",_xlfn.XLOOKUP($K54&amp;"",PERIPHERAL!$B$3:$B$954&amp;"",PERIPHERAL!$H$3:$H$954,""),"Utilities",_xlfn.XLOOKUP($K54&amp;"",UTILITIES!$B$3:$B$953&amp;"",UTILITIES!$G$3:$G$953,""),"IOT",_xlfn.XLOOKUP($K54&amp;"",IOT!$B$3:$B$1012&amp;"",IOT!$H$3:$H$1012,""),"Server",_xlfn.XLOOKUP($K54&amp;"",SERVER!$B$3:$B$1009&amp;"",SERVER!$H$3:$H$1009,""),""),IF(TRIM(_xlpm.srcCat)&lt;&gt;TRIM($J54),"",_xlfn.SWITCH($I54,"Computer",_xlfn.XLOOKUP($K54&amp;"",COMPUTER!$B$3:$B$1009&amp;"",COMPUTER!$E$3:$E$1009,""),"Display",_xlfn.XLOOKUP($K54&amp;"",DISPLAY!$B$3:$B$1000&amp;"",DISPLAY!$E$3:$E$1000,""),"Network Device",_xlfn.XLOOKUP($K54&amp;"",'NETWORK-DEVICES'!$B$3:$B$987&amp;"",'NETWORK-DEVICES'!$E$3:$E$987,""),"Peripheral",_xlfn.XLOOKUP($K54&amp;"",PERIPHERAL!$B$3:$B$954&amp;"",PERIPHERAL!$E$3:$E$954,""),"Utilities",_xlfn.XLOOKUP($K54&amp;"",UTILITIES!$B$3:$B$953&amp;"",UTILITIES!$E$3:$E$953,""),"IOT",_xlfn.XLOOKUP($K54&amp;"",IOT!$B$3:$B$1012&amp;"",IOT!$E$3:$E$1012,""),"Server",_xlfn.XLOOKUP($K54&amp;"",SERVER!$B$3:$B$1009&amp;"",SERVER!$E$3:$E$1009,""),""))))</f>
        <v/>
      </c>
      <c r="Q54" s="1" t="str" cm="1">
        <f t="array" ref="Q54">IF(OR($K54="",$I54="",$J54=""),"",_xlfn.LET(_xlpm.srcCat,_xlfn.SWITCH($I54,"Computer",_xlfn.XLOOKUP($K54&amp;"",COMPUTER!$B$3:$B$1009&amp;"",COMPUTER!$H$3:$H$1009,""),"Display",_xlfn.XLOOKUP($K54&amp;"",DISPLAY!$B$3:$B$1000&amp;"",DISPLAY!$H$3:$H$1000,""),"Network Device",_xlfn.XLOOKUP($K54&amp;"",'NETWORK-DEVICES'!$B$3:$B$987&amp;"",'NETWORK-DEVICES'!$H$3:$H$987,""),"Peripheral",_xlfn.XLOOKUP($K54&amp;"",PERIPHERAL!$B$3:$B$954&amp;"",PERIPHERAL!$H$3:$H$954,""),"Utilities",_xlfn.XLOOKUP($K54&amp;"",UTILITIES!$B$3:$B$953&amp;"",UTILITIES!$G$3:$G$953,""),"IOT",_xlfn.XLOOKUP($K54&amp;"",IOT!$B$3:$B$1012&amp;"",IOT!$H$3:$H$1012,""),"Server",_xlfn.XLOOKUP($K54&amp;"",SERVER!$B$3:$B$1009&amp;"",SERVER!$H$3:$H$1009,""),""),IF(TRIM(_xlpm.srcCat)&lt;&gt;TRIM($J54),"",_xlfn.SWITCH($I54,"Computer",_xlfn.XLOOKUP($K54&amp;"",COMPUTER!$B$3:$B$1009&amp;"",COMPUTER!$AM$3:$AM$1009,""),"Display",_xlfn.XLOOKUP($K54&amp;"",DISPLAY!$B$3:$B$1000&amp;"",DISPLAY!$V$3:$V$1000,""),"Network Device",_xlfn.XLOOKUP($K54&amp;"",'NETWORK-DEVICES'!$B$3:$B$987&amp;"",'NETWORK-DEVICES'!$AF$3:$AF$987,""),"Peripheral",_xlfn.XLOOKUP($K54&amp;"",PERIPHERAL!$B$3:$B$954&amp;"",PERIPHERAL!$Y$3:$Y$954,""),"Utilities",_xlfn.XLOOKUP($K54&amp;"",UTILITIES!$B$3:$B$953&amp;"",UTILITIES!$O$3:$O$953,""),"IOT",_xlfn.XLOOKUP($K54&amp;"",IOT!$B$3:$B$1012&amp;"",IOT!$AB$3:$AB$1012,""),"Server",_xlfn.XLOOKUP($K54&amp;"",SERVER!$B$3:$B$1009&amp;"",SERVER!$AB$3:$AB$1009,""),""))))</f>
        <v/>
      </c>
      <c r="R54" s="43" t="str">
        <f>IF(tbl_handover[[#This Row],[Asset Code]]="","",COUNTIF(tbl_handover[Asset Code],tbl_handover[[#This Row],[Asset Code]]))</f>
        <v/>
      </c>
      <c r="U54" s="60" t="b">
        <v>0</v>
      </c>
    </row>
    <row r="55" spans="1:21" x14ac:dyDescent="0.25">
      <c r="A55" s="43" t="str">
        <f>IF(B55&lt;&gt;"",SUBTOTAL(3,$B$1:B54),"")</f>
        <v/>
      </c>
      <c r="C55" s="74"/>
      <c r="D55" s="74"/>
      <c r="G55" s="1"/>
      <c r="K55" s="42"/>
      <c r="L55" t="str" cm="1">
        <f t="array" ref="L55">IF($K55="","",_xlfn.SWITCH($I55,"Computer",_xlfn.XLOOKUP($K55&amp;"",COMPUTER!$B$3:$B$1009&amp;"",COMPUTER!$I$3:$I$1009,""),"Display",_xlfn.XLOOKUP($K55&amp;"",DISPLAY!$B$3:$B$1000&amp;"",DISPLAY!$J$3:$J$1000,""),"Network Device",_xlfn.XLOOKUP($K55&amp;"",'NETWORK-DEVICES'!$B$3:$B$987&amp;"",'NETWORK-DEVICES'!$I$3:$I$987,""),"Peripheral",_xlfn.XLOOKUP($K55&amp;"",PERIPHERAL!$B$3:$B$954&amp;"",PERIPHERAL!$I$3:$I$954,""),"Utilities",_xlfn.XLOOKUP($K55&amp;"",UTILITIES!$B$3:$B$953&amp;"",UTILITIES!$H$3:$H$953,""),"IOT",_xlfn.XLOOKUP($K55&amp;"",IOT!$B$3:$B$1012&amp;"",IOT!$I$3:$I$1012,""),"SERVER",_xlfn.XLOOKUP($K55&amp;"",SERVER!$B$3:$B$1009&amp;"",SERVER!$I$3:$I$1009,""),""))</f>
        <v/>
      </c>
      <c r="M55" t="str" cm="1">
        <f t="array" ref="M55">IF($K55="","",_xlfn.SWITCH($I55,"Computer",_xlfn.XLOOKUP($K55&amp;"",COMPUTER!$B$3:$B$1009&amp;"",COMPUTER!$J$3:$J$1009,""),"Display",_xlfn.XLOOKUP($K55&amp;"",DISPLAY!$B$3:$B$1000&amp;"",DISPLAY!$K$3:$K$1000,""),"Network Device",_xlfn.XLOOKUP($K55&amp;"",'NETWORK-DEVICES'!$B$3:$B$987&amp;"",'NETWORK-DEVICES'!$I$3:$I$987,""),"Peripheral",_xlfn.XLOOKUP($K55&amp;"",PERIPHERAL!$B$3:$B$954&amp;"",PERIPHERAL!$J$3:$J$954,""),"Utilities",_xlfn.XLOOKUP($K55&amp;"",UTILITIES!$B$3:$B$953&amp;"",UTILITIES!$I$3:$I$953,""),"IOT",_xlfn.XLOOKUP($K55&amp;"",IOT!$B$3:$B$1012&amp;"",IOT!$J$3:$J$1012,""),"Server",_xlfn.XLOOKUP($K55&amp;"",SERVER!$B$3:$B$1009&amp;"",SERVER!$J$3:$J$1009,""),""))</f>
        <v/>
      </c>
      <c r="N55" s="1" t="str" cm="1">
        <f t="array" ref="N55">IF(OR($K55="",$I55="",$J55=""),"",_xlfn.LET(_xlpm.srcCat,_xlfn.SWITCH($I55,"Computer",_xlfn.XLOOKUP($K55&amp;"",COMPUTER!$B$3:$B$1009&amp;"",COMPUTER!$H$3:$H$1009,""),"Display",_xlfn.XLOOKUP($K55&amp;"",DISPLAY!$B$3:$B$1000&amp;"",DISPLAY!$H$3:$H$1000,""),"Network Device",_xlfn.XLOOKUP($K55&amp;"",'NETWORK-DEVICES'!$B$3:$B$987&amp;"",'NETWORK-DEVICES'!$H$3:$H$987,""),"Peripheral",_xlfn.XLOOKUP($K55&amp;"",PERIPHERAL!$B$3:$B$954&amp;"",PERIPHERAL!$H$3:$H$954,""),"Utilities",_xlfn.XLOOKUP($K55&amp;"",UTILITIES!$B$3:$B$953&amp;"",UTILITIES!$G$3:$G$953,""),"IOT",_xlfn.XLOOKUP($K55&amp;"",IOT!$B$3:$B$1012&amp;"",IOT!$H$3:$H$1012,""),"Server",_xlfn.XLOOKUP($K55&amp;"",SERVER!$B$3:$B$1009&amp;"",SERVER!$H$3:$H$1009,""),""),IF(TRIM(_xlpm.srcCat)&lt;&gt;TRIM($J55),"",_xlfn.SWITCH($I55,"Computer",_xlfn.XLOOKUP($K55&amp;"",COMPUTER!$B$3:$B$1009&amp;"",COMPUTER!$K$3:$K$1009,""),"Display",_xlfn.XLOOKUP($K55&amp;"",DISPLAY!$B$3:$B$1000&amp;"",DISPLAY!$L$3:$L$1000,""),"Network Device",_xlfn.XLOOKUP($K55&amp;"",'NETWORK-DEVICES'!$B$3:$B$987&amp;"",'NETWORK-DEVICES'!$K$3:$K$987,""),"Peripheral",_xlfn.XLOOKUP($K55&amp;"",PERIPHERAL!$B$3:$B$954&amp;"",PERIPHERAL!$K$3:$K$954,""),"Utilities",_xlfn.XLOOKUP($K55&amp;"",UTILITIES!$B$3:$B$953&amp;"",UTILITIES!$J$3:$J$953,""),"IOT",_xlfn.XLOOKUP($K55&amp;"",IOT!$B$3:$B$1012&amp;"",IOT!$K$4:$K$1012,""),"Server",_xlfn.XLOOKUP($K55&amp;"",SERVER!$B$3:$B$1009&amp;"",SERVER!$K$3:$K$1009,""),""))))</f>
        <v/>
      </c>
      <c r="O55" s="1" t="str" cm="1">
        <f t="array" ref="O55">IF(OR($K55="",$I55="",$J55=""),"",_xlfn.LET(_xlpm.srcCat,_xlfn.SWITCH($I55,"Computer",_xlfn.XLOOKUP($K55&amp;"",COMPUTER!$B$3:$B$1009&amp;"",COMPUTER!$H$3:$H$1009,""),"Display",_xlfn.XLOOKUP($K55&amp;"",DISPLAY!$B$3:$B$1000&amp;"",DISPLAY!$H$3:$H$1000,""),"Network Device",_xlfn.XLOOKUP($K55&amp;"",'NETWORK-DEVICES'!$B$3:$B$987&amp;"",'NETWORK-DEVICES'!$H$3:$H$987,""),"Peripheral",_xlfn.XLOOKUP($K55&amp;"",PERIPHERAL!$B$3:$B$954&amp;"",PERIPHERAL!$H$3:$H$954,""),"Utilities",_xlfn.XLOOKUP($K55&amp;"",UTILITIES!$B$3:$B$953&amp;"",UTILITIES!$G$3:$G$953,""),"IOT",_xlfn.XLOOKUP($K55&amp;"",IOT!$B$3:$B$1012&amp;"",IOT!$H$3:$H$1012,""),"Server",_xlfn.XLOOKUP($K55&amp;"",SERVER!$B$3:$B$1009&amp;"",SERVER!$H$3:$H$1009,""),""),IF(TRIM(_xlpm.srcCat)&lt;&gt;TRIM($J55),"",_xlfn.SWITCH($I55,"Computer",_xlfn.XLOOKUP($K55&amp;"",COMPUTER!$B$3:$B$1009&amp;"",COMPUTER!$E$3:$E$1009,""),"Display",_xlfn.XLOOKUP($K55&amp;"",DISPLAY!$B$3:$B$1000&amp;"",DISPLAY!$E$3:$E$1000,""),"Network Device",_xlfn.XLOOKUP($K55&amp;"",'NETWORK-DEVICES'!$B$3:$B$987&amp;"",'NETWORK-DEVICES'!$E$3:$E$987,""),"Peripheral",_xlfn.XLOOKUP($K55&amp;"",PERIPHERAL!$B$3:$B$954&amp;"",PERIPHERAL!$E$3:$E$954,""),"Utilities",_xlfn.XLOOKUP($K55&amp;"",UTILITIES!$B$3:$B$953&amp;"",UTILITIES!$E$3:$E$953,""),"IOT",_xlfn.XLOOKUP($K55&amp;"",IOT!$B$3:$B$1012&amp;"",IOT!$E$3:$E$1012,""),"Server",_xlfn.XLOOKUP($K55&amp;"",SERVER!$B$3:$B$1009&amp;"",SERVER!$E$3:$E$1009,""),""))))</f>
        <v/>
      </c>
      <c r="Q55" s="1" t="str" cm="1">
        <f t="array" ref="Q55">IF(OR($K55="",$I55="",$J55=""),"",_xlfn.LET(_xlpm.srcCat,_xlfn.SWITCH($I55,"Computer",_xlfn.XLOOKUP($K55&amp;"",COMPUTER!$B$3:$B$1009&amp;"",COMPUTER!$H$3:$H$1009,""),"Display",_xlfn.XLOOKUP($K55&amp;"",DISPLAY!$B$3:$B$1000&amp;"",DISPLAY!$H$3:$H$1000,""),"Network Device",_xlfn.XLOOKUP($K55&amp;"",'NETWORK-DEVICES'!$B$3:$B$987&amp;"",'NETWORK-DEVICES'!$H$3:$H$987,""),"Peripheral",_xlfn.XLOOKUP($K55&amp;"",PERIPHERAL!$B$3:$B$954&amp;"",PERIPHERAL!$H$3:$H$954,""),"Utilities",_xlfn.XLOOKUP($K55&amp;"",UTILITIES!$B$3:$B$953&amp;"",UTILITIES!$G$3:$G$953,""),"IOT",_xlfn.XLOOKUP($K55&amp;"",IOT!$B$3:$B$1012&amp;"",IOT!$H$3:$H$1012,""),"Server",_xlfn.XLOOKUP($K55&amp;"",SERVER!$B$3:$B$1009&amp;"",SERVER!$H$3:$H$1009,""),""),IF(TRIM(_xlpm.srcCat)&lt;&gt;TRIM($J55),"",_xlfn.SWITCH($I55,"Computer",_xlfn.XLOOKUP($K55&amp;"",COMPUTER!$B$3:$B$1009&amp;"",COMPUTER!$AM$3:$AM$1009,""),"Display",_xlfn.XLOOKUP($K55&amp;"",DISPLAY!$B$3:$B$1000&amp;"",DISPLAY!$V$3:$V$1000,""),"Network Device",_xlfn.XLOOKUP($K55&amp;"",'NETWORK-DEVICES'!$B$3:$B$987&amp;"",'NETWORK-DEVICES'!$AF$3:$AF$987,""),"Peripheral",_xlfn.XLOOKUP($K55&amp;"",PERIPHERAL!$B$3:$B$954&amp;"",PERIPHERAL!$Y$3:$Y$954,""),"Utilities",_xlfn.XLOOKUP($K55&amp;"",UTILITIES!$B$3:$B$953&amp;"",UTILITIES!$O$3:$O$953,""),"IOT",_xlfn.XLOOKUP($K55&amp;"",IOT!$B$3:$B$1012&amp;"",IOT!$AB$3:$AB$1012,""),"Server",_xlfn.XLOOKUP($K55&amp;"",SERVER!$B$3:$B$1009&amp;"",SERVER!$AB$3:$AB$1009,""),""))))</f>
        <v/>
      </c>
      <c r="R55" s="43" t="str">
        <f>IF(tbl_handover[[#This Row],[Asset Code]]="","",COUNTIF(tbl_handover[Asset Code],tbl_handover[[#This Row],[Asset Code]]))</f>
        <v/>
      </c>
      <c r="U55" s="60" t="b">
        <v>0</v>
      </c>
    </row>
    <row r="56" spans="1:21" x14ac:dyDescent="0.25">
      <c r="A56" s="43" t="str">
        <f>IF(B56&lt;&gt;"",SUBTOTAL(3,$B$1:B55),"")</f>
        <v/>
      </c>
      <c r="C56" s="74"/>
      <c r="D56" s="74"/>
      <c r="G56" s="1"/>
      <c r="K56" s="42"/>
      <c r="L56" t="str" cm="1">
        <f t="array" ref="L56">IF($K56="","",_xlfn.SWITCH($I56,"Computer",_xlfn.XLOOKUP($K56&amp;"",COMPUTER!$B$3:$B$1009&amp;"",COMPUTER!$I$3:$I$1009,""),"Display",_xlfn.XLOOKUP($K56&amp;"",DISPLAY!$B$3:$B$1000&amp;"",DISPLAY!$J$3:$J$1000,""),"Network Device",_xlfn.XLOOKUP($K56&amp;"",'NETWORK-DEVICES'!$B$3:$B$987&amp;"",'NETWORK-DEVICES'!$I$3:$I$987,""),"Peripheral",_xlfn.XLOOKUP($K56&amp;"",PERIPHERAL!$B$3:$B$954&amp;"",PERIPHERAL!$I$3:$I$954,""),"Utilities",_xlfn.XLOOKUP($K56&amp;"",UTILITIES!$B$3:$B$953&amp;"",UTILITIES!$H$3:$H$953,""),"IOT",_xlfn.XLOOKUP($K56&amp;"",IOT!$B$3:$B$1012&amp;"",IOT!$I$3:$I$1012,""),"SERVER",_xlfn.XLOOKUP($K56&amp;"",SERVER!$B$3:$B$1009&amp;"",SERVER!$I$3:$I$1009,""),""))</f>
        <v/>
      </c>
      <c r="M56" t="str" cm="1">
        <f t="array" ref="M56">IF($K56="","",_xlfn.SWITCH($I56,"Computer",_xlfn.XLOOKUP($K56&amp;"",COMPUTER!$B$3:$B$1009&amp;"",COMPUTER!$J$3:$J$1009,""),"Display",_xlfn.XLOOKUP($K56&amp;"",DISPLAY!$B$3:$B$1000&amp;"",DISPLAY!$K$3:$K$1000,""),"Network Device",_xlfn.XLOOKUP($K56&amp;"",'NETWORK-DEVICES'!$B$3:$B$987&amp;"",'NETWORK-DEVICES'!$I$3:$I$987,""),"Peripheral",_xlfn.XLOOKUP($K56&amp;"",PERIPHERAL!$B$3:$B$954&amp;"",PERIPHERAL!$J$3:$J$954,""),"Utilities",_xlfn.XLOOKUP($K56&amp;"",UTILITIES!$B$3:$B$953&amp;"",UTILITIES!$I$3:$I$953,""),"IOT",_xlfn.XLOOKUP($K56&amp;"",IOT!$B$3:$B$1012&amp;"",IOT!$J$3:$J$1012,""),"Server",_xlfn.XLOOKUP($K56&amp;"",SERVER!$B$3:$B$1009&amp;"",SERVER!$J$3:$J$1009,""),""))</f>
        <v/>
      </c>
      <c r="N56" s="1" t="str" cm="1">
        <f t="array" ref="N56">IF(OR($K56="",$I56="",$J56=""),"",_xlfn.LET(_xlpm.srcCat,_xlfn.SWITCH($I56,"Computer",_xlfn.XLOOKUP($K56&amp;"",COMPUTER!$B$3:$B$1009&amp;"",COMPUTER!$H$3:$H$1009,""),"Display",_xlfn.XLOOKUP($K56&amp;"",DISPLAY!$B$3:$B$1000&amp;"",DISPLAY!$H$3:$H$1000,""),"Network Device",_xlfn.XLOOKUP($K56&amp;"",'NETWORK-DEVICES'!$B$3:$B$987&amp;"",'NETWORK-DEVICES'!$H$3:$H$987,""),"Peripheral",_xlfn.XLOOKUP($K56&amp;"",PERIPHERAL!$B$3:$B$954&amp;"",PERIPHERAL!$H$3:$H$954,""),"Utilities",_xlfn.XLOOKUP($K56&amp;"",UTILITIES!$B$3:$B$953&amp;"",UTILITIES!$G$3:$G$953,""),"IOT",_xlfn.XLOOKUP($K56&amp;"",IOT!$B$3:$B$1012&amp;"",IOT!$H$3:$H$1012,""),"Server",_xlfn.XLOOKUP($K56&amp;"",SERVER!$B$3:$B$1009&amp;"",SERVER!$H$3:$H$1009,""),""),IF(TRIM(_xlpm.srcCat)&lt;&gt;TRIM($J56),"",_xlfn.SWITCH($I56,"Computer",_xlfn.XLOOKUP($K56&amp;"",COMPUTER!$B$3:$B$1009&amp;"",COMPUTER!$K$3:$K$1009,""),"Display",_xlfn.XLOOKUP($K56&amp;"",DISPLAY!$B$3:$B$1000&amp;"",DISPLAY!$L$3:$L$1000,""),"Network Device",_xlfn.XLOOKUP($K56&amp;"",'NETWORK-DEVICES'!$B$3:$B$987&amp;"",'NETWORK-DEVICES'!$K$3:$K$987,""),"Peripheral",_xlfn.XLOOKUP($K56&amp;"",PERIPHERAL!$B$3:$B$954&amp;"",PERIPHERAL!$K$3:$K$954,""),"Utilities",_xlfn.XLOOKUP($K56&amp;"",UTILITIES!$B$3:$B$953&amp;"",UTILITIES!$J$3:$J$953,""),"IOT",_xlfn.XLOOKUP($K56&amp;"",IOT!$B$3:$B$1012&amp;"",IOT!$K$4:$K$1012,""),"Server",_xlfn.XLOOKUP($K56&amp;"",SERVER!$B$3:$B$1009&amp;"",SERVER!$K$3:$K$1009,""),""))))</f>
        <v/>
      </c>
      <c r="O56" s="1" t="str" cm="1">
        <f t="array" ref="O56">IF(OR($K56="",$I56="",$J56=""),"",_xlfn.LET(_xlpm.srcCat,_xlfn.SWITCH($I56,"Computer",_xlfn.XLOOKUP($K56&amp;"",COMPUTER!$B$3:$B$1009&amp;"",COMPUTER!$H$3:$H$1009,""),"Display",_xlfn.XLOOKUP($K56&amp;"",DISPLAY!$B$3:$B$1000&amp;"",DISPLAY!$H$3:$H$1000,""),"Network Device",_xlfn.XLOOKUP($K56&amp;"",'NETWORK-DEVICES'!$B$3:$B$987&amp;"",'NETWORK-DEVICES'!$H$3:$H$987,""),"Peripheral",_xlfn.XLOOKUP($K56&amp;"",PERIPHERAL!$B$3:$B$954&amp;"",PERIPHERAL!$H$3:$H$954,""),"Utilities",_xlfn.XLOOKUP($K56&amp;"",UTILITIES!$B$3:$B$953&amp;"",UTILITIES!$G$3:$G$953,""),"IOT",_xlfn.XLOOKUP($K56&amp;"",IOT!$B$3:$B$1012&amp;"",IOT!$H$3:$H$1012,""),"Server",_xlfn.XLOOKUP($K56&amp;"",SERVER!$B$3:$B$1009&amp;"",SERVER!$H$3:$H$1009,""),""),IF(TRIM(_xlpm.srcCat)&lt;&gt;TRIM($J56),"",_xlfn.SWITCH($I56,"Computer",_xlfn.XLOOKUP($K56&amp;"",COMPUTER!$B$3:$B$1009&amp;"",COMPUTER!$E$3:$E$1009,""),"Display",_xlfn.XLOOKUP($K56&amp;"",DISPLAY!$B$3:$B$1000&amp;"",DISPLAY!$E$3:$E$1000,""),"Network Device",_xlfn.XLOOKUP($K56&amp;"",'NETWORK-DEVICES'!$B$3:$B$987&amp;"",'NETWORK-DEVICES'!$E$3:$E$987,""),"Peripheral",_xlfn.XLOOKUP($K56&amp;"",PERIPHERAL!$B$3:$B$954&amp;"",PERIPHERAL!$E$3:$E$954,""),"Utilities",_xlfn.XLOOKUP($K56&amp;"",UTILITIES!$B$3:$B$953&amp;"",UTILITIES!$E$3:$E$953,""),"IOT",_xlfn.XLOOKUP($K56&amp;"",IOT!$B$3:$B$1012&amp;"",IOT!$E$3:$E$1012,""),"Server",_xlfn.XLOOKUP($K56&amp;"",SERVER!$B$3:$B$1009&amp;"",SERVER!$E$3:$E$1009,""),""))))</f>
        <v/>
      </c>
      <c r="Q56" s="1" t="str" cm="1">
        <f t="array" ref="Q56">IF(OR($K56="",$I56="",$J56=""),"",_xlfn.LET(_xlpm.srcCat,_xlfn.SWITCH($I56,"Computer",_xlfn.XLOOKUP($K56&amp;"",COMPUTER!$B$3:$B$1009&amp;"",COMPUTER!$H$3:$H$1009,""),"Display",_xlfn.XLOOKUP($K56&amp;"",DISPLAY!$B$3:$B$1000&amp;"",DISPLAY!$H$3:$H$1000,""),"Network Device",_xlfn.XLOOKUP($K56&amp;"",'NETWORK-DEVICES'!$B$3:$B$987&amp;"",'NETWORK-DEVICES'!$H$3:$H$987,""),"Peripheral",_xlfn.XLOOKUP($K56&amp;"",PERIPHERAL!$B$3:$B$954&amp;"",PERIPHERAL!$H$3:$H$954,""),"Utilities",_xlfn.XLOOKUP($K56&amp;"",UTILITIES!$B$3:$B$953&amp;"",UTILITIES!$G$3:$G$953,""),"IOT",_xlfn.XLOOKUP($K56&amp;"",IOT!$B$3:$B$1012&amp;"",IOT!$H$3:$H$1012,""),"Server",_xlfn.XLOOKUP($K56&amp;"",SERVER!$B$3:$B$1009&amp;"",SERVER!$H$3:$H$1009,""),""),IF(TRIM(_xlpm.srcCat)&lt;&gt;TRIM($J56),"",_xlfn.SWITCH($I56,"Computer",_xlfn.XLOOKUP($K56&amp;"",COMPUTER!$B$3:$B$1009&amp;"",COMPUTER!$AM$3:$AM$1009,""),"Display",_xlfn.XLOOKUP($K56&amp;"",DISPLAY!$B$3:$B$1000&amp;"",DISPLAY!$V$3:$V$1000,""),"Network Device",_xlfn.XLOOKUP($K56&amp;"",'NETWORK-DEVICES'!$B$3:$B$987&amp;"",'NETWORK-DEVICES'!$AF$3:$AF$987,""),"Peripheral",_xlfn.XLOOKUP($K56&amp;"",PERIPHERAL!$B$3:$B$954&amp;"",PERIPHERAL!$Y$3:$Y$954,""),"Utilities",_xlfn.XLOOKUP($K56&amp;"",UTILITIES!$B$3:$B$953&amp;"",UTILITIES!$O$3:$O$953,""),"IOT",_xlfn.XLOOKUP($K56&amp;"",IOT!$B$3:$B$1012&amp;"",IOT!$AB$3:$AB$1012,""),"Server",_xlfn.XLOOKUP($K56&amp;"",SERVER!$B$3:$B$1009&amp;"",SERVER!$AB$3:$AB$1009,""),""))))</f>
        <v/>
      </c>
      <c r="R56" s="43" t="str">
        <f>IF(tbl_handover[[#This Row],[Asset Code]]="","",COUNTIF(tbl_handover[Asset Code],tbl_handover[[#This Row],[Asset Code]]))</f>
        <v/>
      </c>
      <c r="U56" s="60" t="b">
        <v>0</v>
      </c>
    </row>
    <row r="57" spans="1:21" x14ac:dyDescent="0.25">
      <c r="A57" s="43" t="str">
        <f>IF(B57&lt;&gt;"",SUBTOTAL(3,$B$1:B56),"")</f>
        <v/>
      </c>
      <c r="C57" s="74"/>
      <c r="D57" s="74"/>
      <c r="G57" s="1"/>
      <c r="K57" s="42"/>
      <c r="L57" t="str" cm="1">
        <f t="array" ref="L57">IF($K57="","",_xlfn.SWITCH($I57,"Computer",_xlfn.XLOOKUP($K57&amp;"",COMPUTER!$B$3:$B$1009&amp;"",COMPUTER!$I$3:$I$1009,""),"Display",_xlfn.XLOOKUP($K57&amp;"",DISPLAY!$B$3:$B$1000&amp;"",DISPLAY!$J$3:$J$1000,""),"Network Device",_xlfn.XLOOKUP($K57&amp;"",'NETWORK-DEVICES'!$B$3:$B$987&amp;"",'NETWORK-DEVICES'!$I$3:$I$987,""),"Peripheral",_xlfn.XLOOKUP($K57&amp;"",PERIPHERAL!$B$3:$B$954&amp;"",PERIPHERAL!$I$3:$I$954,""),"Utilities",_xlfn.XLOOKUP($K57&amp;"",UTILITIES!$B$3:$B$953&amp;"",UTILITIES!$H$3:$H$953,""),"IOT",_xlfn.XLOOKUP($K57&amp;"",IOT!$B$3:$B$1012&amp;"",IOT!$I$3:$I$1012,""),"SERVER",_xlfn.XLOOKUP($K57&amp;"",SERVER!$B$3:$B$1009&amp;"",SERVER!$I$3:$I$1009,""),""))</f>
        <v/>
      </c>
      <c r="M57" t="str" cm="1">
        <f t="array" ref="M57">IF($K57="","",_xlfn.SWITCH($I57,"Computer",_xlfn.XLOOKUP($K57&amp;"",COMPUTER!$B$3:$B$1009&amp;"",COMPUTER!$J$3:$J$1009,""),"Display",_xlfn.XLOOKUP($K57&amp;"",DISPLAY!$B$3:$B$1000&amp;"",DISPLAY!$K$3:$K$1000,""),"Network Device",_xlfn.XLOOKUP($K57&amp;"",'NETWORK-DEVICES'!$B$3:$B$987&amp;"",'NETWORK-DEVICES'!$I$3:$I$987,""),"Peripheral",_xlfn.XLOOKUP($K57&amp;"",PERIPHERAL!$B$3:$B$954&amp;"",PERIPHERAL!$J$3:$J$954,""),"Utilities",_xlfn.XLOOKUP($K57&amp;"",UTILITIES!$B$3:$B$953&amp;"",UTILITIES!$I$3:$I$953,""),"IOT",_xlfn.XLOOKUP($K57&amp;"",IOT!$B$3:$B$1012&amp;"",IOT!$J$3:$J$1012,""),"Server",_xlfn.XLOOKUP($K57&amp;"",SERVER!$B$3:$B$1009&amp;"",SERVER!$J$3:$J$1009,""),""))</f>
        <v/>
      </c>
      <c r="N57" s="1" t="str" cm="1">
        <f t="array" ref="N57">IF(OR($K57="",$I57="",$J57=""),"",_xlfn.LET(_xlpm.srcCat,_xlfn.SWITCH($I57,"Computer",_xlfn.XLOOKUP($K57&amp;"",COMPUTER!$B$3:$B$1009&amp;"",COMPUTER!$H$3:$H$1009,""),"Display",_xlfn.XLOOKUP($K57&amp;"",DISPLAY!$B$3:$B$1000&amp;"",DISPLAY!$H$3:$H$1000,""),"Network Device",_xlfn.XLOOKUP($K57&amp;"",'NETWORK-DEVICES'!$B$3:$B$987&amp;"",'NETWORK-DEVICES'!$H$3:$H$987,""),"Peripheral",_xlfn.XLOOKUP($K57&amp;"",PERIPHERAL!$B$3:$B$954&amp;"",PERIPHERAL!$H$3:$H$954,""),"Utilities",_xlfn.XLOOKUP($K57&amp;"",UTILITIES!$B$3:$B$953&amp;"",UTILITIES!$G$3:$G$953,""),"IOT",_xlfn.XLOOKUP($K57&amp;"",IOT!$B$3:$B$1012&amp;"",IOT!$H$3:$H$1012,""),"Server",_xlfn.XLOOKUP($K57&amp;"",SERVER!$B$3:$B$1009&amp;"",SERVER!$H$3:$H$1009,""),""),IF(TRIM(_xlpm.srcCat)&lt;&gt;TRIM($J57),"",_xlfn.SWITCH($I57,"Computer",_xlfn.XLOOKUP($K57&amp;"",COMPUTER!$B$3:$B$1009&amp;"",COMPUTER!$K$3:$K$1009,""),"Display",_xlfn.XLOOKUP($K57&amp;"",DISPLAY!$B$3:$B$1000&amp;"",DISPLAY!$L$3:$L$1000,""),"Network Device",_xlfn.XLOOKUP($K57&amp;"",'NETWORK-DEVICES'!$B$3:$B$987&amp;"",'NETWORK-DEVICES'!$K$3:$K$987,""),"Peripheral",_xlfn.XLOOKUP($K57&amp;"",PERIPHERAL!$B$3:$B$954&amp;"",PERIPHERAL!$K$3:$K$954,""),"Utilities",_xlfn.XLOOKUP($K57&amp;"",UTILITIES!$B$3:$B$953&amp;"",UTILITIES!$J$3:$J$953,""),"IOT",_xlfn.XLOOKUP($K57&amp;"",IOT!$B$3:$B$1012&amp;"",IOT!$K$4:$K$1012,""),"Server",_xlfn.XLOOKUP($K57&amp;"",SERVER!$B$3:$B$1009&amp;"",SERVER!$K$3:$K$1009,""),""))))</f>
        <v/>
      </c>
      <c r="O57" s="1" t="str" cm="1">
        <f t="array" ref="O57">IF(OR($K57="",$I57="",$J57=""),"",_xlfn.LET(_xlpm.srcCat,_xlfn.SWITCH($I57,"Computer",_xlfn.XLOOKUP($K57&amp;"",COMPUTER!$B$3:$B$1009&amp;"",COMPUTER!$H$3:$H$1009,""),"Display",_xlfn.XLOOKUP($K57&amp;"",DISPLAY!$B$3:$B$1000&amp;"",DISPLAY!$H$3:$H$1000,""),"Network Device",_xlfn.XLOOKUP($K57&amp;"",'NETWORK-DEVICES'!$B$3:$B$987&amp;"",'NETWORK-DEVICES'!$H$3:$H$987,""),"Peripheral",_xlfn.XLOOKUP($K57&amp;"",PERIPHERAL!$B$3:$B$954&amp;"",PERIPHERAL!$H$3:$H$954,""),"Utilities",_xlfn.XLOOKUP($K57&amp;"",UTILITIES!$B$3:$B$953&amp;"",UTILITIES!$G$3:$G$953,""),"IOT",_xlfn.XLOOKUP($K57&amp;"",IOT!$B$3:$B$1012&amp;"",IOT!$H$3:$H$1012,""),"Server",_xlfn.XLOOKUP($K57&amp;"",SERVER!$B$3:$B$1009&amp;"",SERVER!$H$3:$H$1009,""),""),IF(TRIM(_xlpm.srcCat)&lt;&gt;TRIM($J57),"",_xlfn.SWITCH($I57,"Computer",_xlfn.XLOOKUP($K57&amp;"",COMPUTER!$B$3:$B$1009&amp;"",COMPUTER!$E$3:$E$1009,""),"Display",_xlfn.XLOOKUP($K57&amp;"",DISPLAY!$B$3:$B$1000&amp;"",DISPLAY!$E$3:$E$1000,""),"Network Device",_xlfn.XLOOKUP($K57&amp;"",'NETWORK-DEVICES'!$B$3:$B$987&amp;"",'NETWORK-DEVICES'!$E$3:$E$987,""),"Peripheral",_xlfn.XLOOKUP($K57&amp;"",PERIPHERAL!$B$3:$B$954&amp;"",PERIPHERAL!$E$3:$E$954,""),"Utilities",_xlfn.XLOOKUP($K57&amp;"",UTILITIES!$B$3:$B$953&amp;"",UTILITIES!$E$3:$E$953,""),"IOT",_xlfn.XLOOKUP($K57&amp;"",IOT!$B$3:$B$1012&amp;"",IOT!$E$3:$E$1012,""),"Server",_xlfn.XLOOKUP($K57&amp;"",SERVER!$B$3:$B$1009&amp;"",SERVER!$E$3:$E$1009,""),""))))</f>
        <v/>
      </c>
      <c r="Q57" s="1" t="str" cm="1">
        <f t="array" ref="Q57">IF(OR($K57="",$I57="",$J57=""),"",_xlfn.LET(_xlpm.srcCat,_xlfn.SWITCH($I57,"Computer",_xlfn.XLOOKUP($K57&amp;"",COMPUTER!$B$3:$B$1009&amp;"",COMPUTER!$H$3:$H$1009,""),"Display",_xlfn.XLOOKUP($K57&amp;"",DISPLAY!$B$3:$B$1000&amp;"",DISPLAY!$H$3:$H$1000,""),"Network Device",_xlfn.XLOOKUP($K57&amp;"",'NETWORK-DEVICES'!$B$3:$B$987&amp;"",'NETWORK-DEVICES'!$H$3:$H$987,""),"Peripheral",_xlfn.XLOOKUP($K57&amp;"",PERIPHERAL!$B$3:$B$954&amp;"",PERIPHERAL!$H$3:$H$954,""),"Utilities",_xlfn.XLOOKUP($K57&amp;"",UTILITIES!$B$3:$B$953&amp;"",UTILITIES!$G$3:$G$953,""),"IOT",_xlfn.XLOOKUP($K57&amp;"",IOT!$B$3:$B$1012&amp;"",IOT!$H$3:$H$1012,""),"Server",_xlfn.XLOOKUP($K57&amp;"",SERVER!$B$3:$B$1009&amp;"",SERVER!$H$3:$H$1009,""),""),IF(TRIM(_xlpm.srcCat)&lt;&gt;TRIM($J57),"",_xlfn.SWITCH($I57,"Computer",_xlfn.XLOOKUP($K57&amp;"",COMPUTER!$B$3:$B$1009&amp;"",COMPUTER!$AM$3:$AM$1009,""),"Display",_xlfn.XLOOKUP($K57&amp;"",DISPLAY!$B$3:$B$1000&amp;"",DISPLAY!$V$3:$V$1000,""),"Network Device",_xlfn.XLOOKUP($K57&amp;"",'NETWORK-DEVICES'!$B$3:$B$987&amp;"",'NETWORK-DEVICES'!$AF$3:$AF$987,""),"Peripheral",_xlfn.XLOOKUP($K57&amp;"",PERIPHERAL!$B$3:$B$954&amp;"",PERIPHERAL!$Y$3:$Y$954,""),"Utilities",_xlfn.XLOOKUP($K57&amp;"",UTILITIES!$B$3:$B$953&amp;"",UTILITIES!$O$3:$O$953,""),"IOT",_xlfn.XLOOKUP($K57&amp;"",IOT!$B$3:$B$1012&amp;"",IOT!$AB$3:$AB$1012,""),"Server",_xlfn.XLOOKUP($K57&amp;"",SERVER!$B$3:$B$1009&amp;"",SERVER!$AB$3:$AB$1009,""),""))))</f>
        <v/>
      </c>
      <c r="R57" s="43" t="str">
        <f>IF(tbl_handover[[#This Row],[Asset Code]]="","",COUNTIF(tbl_handover[Asset Code],tbl_handover[[#This Row],[Asset Code]]))</f>
        <v/>
      </c>
      <c r="U57" s="60" t="b">
        <v>0</v>
      </c>
    </row>
    <row r="58" spans="1:21" x14ac:dyDescent="0.25">
      <c r="A58" s="43" t="str">
        <f>IF(B58&lt;&gt;"",SUBTOTAL(3,$B$1:B57),"")</f>
        <v/>
      </c>
      <c r="C58" s="74"/>
      <c r="D58" s="74"/>
      <c r="G58" s="1"/>
      <c r="K58" s="42"/>
      <c r="L58" t="str" cm="1">
        <f t="array" ref="L58">IF($K58="","",_xlfn.SWITCH($I58,"Computer",_xlfn.XLOOKUP($K58&amp;"",COMPUTER!$B$3:$B$1009&amp;"",COMPUTER!$I$3:$I$1009,""),"Display",_xlfn.XLOOKUP($K58&amp;"",DISPLAY!$B$3:$B$1000&amp;"",DISPLAY!$J$3:$J$1000,""),"Network Device",_xlfn.XLOOKUP($K58&amp;"",'NETWORK-DEVICES'!$B$3:$B$987&amp;"",'NETWORK-DEVICES'!$I$3:$I$987,""),"Peripheral",_xlfn.XLOOKUP($K58&amp;"",PERIPHERAL!$B$3:$B$954&amp;"",PERIPHERAL!$I$3:$I$954,""),"Utilities",_xlfn.XLOOKUP($K58&amp;"",UTILITIES!$B$3:$B$953&amp;"",UTILITIES!$H$3:$H$953,""),"IOT",_xlfn.XLOOKUP($K58&amp;"",IOT!$B$3:$B$1012&amp;"",IOT!$I$3:$I$1012,""),"SERVER",_xlfn.XLOOKUP($K58&amp;"",SERVER!$B$3:$B$1009&amp;"",SERVER!$I$3:$I$1009,""),""))</f>
        <v/>
      </c>
      <c r="M58" t="str" cm="1">
        <f t="array" ref="M58">IF($K58="","",_xlfn.SWITCH($I58,"Computer",_xlfn.XLOOKUP($K58&amp;"",COMPUTER!$B$3:$B$1009&amp;"",COMPUTER!$J$3:$J$1009,""),"Display",_xlfn.XLOOKUP($K58&amp;"",DISPLAY!$B$3:$B$1000&amp;"",DISPLAY!$K$3:$K$1000,""),"Network Device",_xlfn.XLOOKUP($K58&amp;"",'NETWORK-DEVICES'!$B$3:$B$987&amp;"",'NETWORK-DEVICES'!$I$3:$I$987,""),"Peripheral",_xlfn.XLOOKUP($K58&amp;"",PERIPHERAL!$B$3:$B$954&amp;"",PERIPHERAL!$J$3:$J$954,""),"Utilities",_xlfn.XLOOKUP($K58&amp;"",UTILITIES!$B$3:$B$953&amp;"",UTILITIES!$I$3:$I$953,""),"IOT",_xlfn.XLOOKUP($K58&amp;"",IOT!$B$3:$B$1012&amp;"",IOT!$J$3:$J$1012,""),"Server",_xlfn.XLOOKUP($K58&amp;"",SERVER!$B$3:$B$1009&amp;"",SERVER!$J$3:$J$1009,""),""))</f>
        <v/>
      </c>
      <c r="N58" s="1" t="str" cm="1">
        <f t="array" ref="N58">IF(OR($K58="",$I58="",$J58=""),"",_xlfn.LET(_xlpm.srcCat,_xlfn.SWITCH($I58,"Computer",_xlfn.XLOOKUP($K58&amp;"",COMPUTER!$B$3:$B$1009&amp;"",COMPUTER!$H$3:$H$1009,""),"Display",_xlfn.XLOOKUP($K58&amp;"",DISPLAY!$B$3:$B$1000&amp;"",DISPLAY!$H$3:$H$1000,""),"Network Device",_xlfn.XLOOKUP($K58&amp;"",'NETWORK-DEVICES'!$B$3:$B$987&amp;"",'NETWORK-DEVICES'!$H$3:$H$987,""),"Peripheral",_xlfn.XLOOKUP($K58&amp;"",PERIPHERAL!$B$3:$B$954&amp;"",PERIPHERAL!$H$3:$H$954,""),"Utilities",_xlfn.XLOOKUP($K58&amp;"",UTILITIES!$B$3:$B$953&amp;"",UTILITIES!$G$3:$G$953,""),"IOT",_xlfn.XLOOKUP($K58&amp;"",IOT!$B$3:$B$1012&amp;"",IOT!$H$3:$H$1012,""),"Server",_xlfn.XLOOKUP($K58&amp;"",SERVER!$B$3:$B$1009&amp;"",SERVER!$H$3:$H$1009,""),""),IF(TRIM(_xlpm.srcCat)&lt;&gt;TRIM($J58),"",_xlfn.SWITCH($I58,"Computer",_xlfn.XLOOKUP($K58&amp;"",COMPUTER!$B$3:$B$1009&amp;"",COMPUTER!$K$3:$K$1009,""),"Display",_xlfn.XLOOKUP($K58&amp;"",DISPLAY!$B$3:$B$1000&amp;"",DISPLAY!$L$3:$L$1000,""),"Network Device",_xlfn.XLOOKUP($K58&amp;"",'NETWORK-DEVICES'!$B$3:$B$987&amp;"",'NETWORK-DEVICES'!$K$3:$K$987,""),"Peripheral",_xlfn.XLOOKUP($K58&amp;"",PERIPHERAL!$B$3:$B$954&amp;"",PERIPHERAL!$K$3:$K$954,""),"Utilities",_xlfn.XLOOKUP($K58&amp;"",UTILITIES!$B$3:$B$953&amp;"",UTILITIES!$J$3:$J$953,""),"IOT",_xlfn.XLOOKUP($K58&amp;"",IOT!$B$3:$B$1012&amp;"",IOT!$K$4:$K$1012,""),"Server",_xlfn.XLOOKUP($K58&amp;"",SERVER!$B$3:$B$1009&amp;"",SERVER!$K$3:$K$1009,""),""))))</f>
        <v/>
      </c>
      <c r="O58" s="1" t="str" cm="1">
        <f t="array" ref="O58">IF(OR($K58="",$I58="",$J58=""),"",_xlfn.LET(_xlpm.srcCat,_xlfn.SWITCH($I58,"Computer",_xlfn.XLOOKUP($K58&amp;"",COMPUTER!$B$3:$B$1009&amp;"",COMPUTER!$H$3:$H$1009,""),"Display",_xlfn.XLOOKUP($K58&amp;"",DISPLAY!$B$3:$B$1000&amp;"",DISPLAY!$H$3:$H$1000,""),"Network Device",_xlfn.XLOOKUP($K58&amp;"",'NETWORK-DEVICES'!$B$3:$B$987&amp;"",'NETWORK-DEVICES'!$H$3:$H$987,""),"Peripheral",_xlfn.XLOOKUP($K58&amp;"",PERIPHERAL!$B$3:$B$954&amp;"",PERIPHERAL!$H$3:$H$954,""),"Utilities",_xlfn.XLOOKUP($K58&amp;"",UTILITIES!$B$3:$B$953&amp;"",UTILITIES!$G$3:$G$953,""),"IOT",_xlfn.XLOOKUP($K58&amp;"",IOT!$B$3:$B$1012&amp;"",IOT!$H$3:$H$1012,""),"Server",_xlfn.XLOOKUP($K58&amp;"",SERVER!$B$3:$B$1009&amp;"",SERVER!$H$3:$H$1009,""),""),IF(TRIM(_xlpm.srcCat)&lt;&gt;TRIM($J58),"",_xlfn.SWITCH($I58,"Computer",_xlfn.XLOOKUP($K58&amp;"",COMPUTER!$B$3:$B$1009&amp;"",COMPUTER!$E$3:$E$1009,""),"Display",_xlfn.XLOOKUP($K58&amp;"",DISPLAY!$B$3:$B$1000&amp;"",DISPLAY!$E$3:$E$1000,""),"Network Device",_xlfn.XLOOKUP($K58&amp;"",'NETWORK-DEVICES'!$B$3:$B$987&amp;"",'NETWORK-DEVICES'!$E$3:$E$987,""),"Peripheral",_xlfn.XLOOKUP($K58&amp;"",PERIPHERAL!$B$3:$B$954&amp;"",PERIPHERAL!$E$3:$E$954,""),"Utilities",_xlfn.XLOOKUP($K58&amp;"",UTILITIES!$B$3:$B$953&amp;"",UTILITIES!$E$3:$E$953,""),"IOT",_xlfn.XLOOKUP($K58&amp;"",IOT!$B$3:$B$1012&amp;"",IOT!$E$3:$E$1012,""),"Server",_xlfn.XLOOKUP($K58&amp;"",SERVER!$B$3:$B$1009&amp;"",SERVER!$E$3:$E$1009,""),""))))</f>
        <v/>
      </c>
      <c r="Q58" s="1" t="str" cm="1">
        <f t="array" ref="Q58">IF(OR($K58="",$I58="",$J58=""),"",_xlfn.LET(_xlpm.srcCat,_xlfn.SWITCH($I58,"Computer",_xlfn.XLOOKUP($K58&amp;"",COMPUTER!$B$3:$B$1009&amp;"",COMPUTER!$H$3:$H$1009,""),"Display",_xlfn.XLOOKUP($K58&amp;"",DISPLAY!$B$3:$B$1000&amp;"",DISPLAY!$H$3:$H$1000,""),"Network Device",_xlfn.XLOOKUP($K58&amp;"",'NETWORK-DEVICES'!$B$3:$B$987&amp;"",'NETWORK-DEVICES'!$H$3:$H$987,""),"Peripheral",_xlfn.XLOOKUP($K58&amp;"",PERIPHERAL!$B$3:$B$954&amp;"",PERIPHERAL!$H$3:$H$954,""),"Utilities",_xlfn.XLOOKUP($K58&amp;"",UTILITIES!$B$3:$B$953&amp;"",UTILITIES!$G$3:$G$953,""),"IOT",_xlfn.XLOOKUP($K58&amp;"",IOT!$B$3:$B$1012&amp;"",IOT!$H$3:$H$1012,""),"Server",_xlfn.XLOOKUP($K58&amp;"",SERVER!$B$3:$B$1009&amp;"",SERVER!$H$3:$H$1009,""),""),IF(TRIM(_xlpm.srcCat)&lt;&gt;TRIM($J58),"",_xlfn.SWITCH($I58,"Computer",_xlfn.XLOOKUP($K58&amp;"",COMPUTER!$B$3:$B$1009&amp;"",COMPUTER!$AM$3:$AM$1009,""),"Display",_xlfn.XLOOKUP($K58&amp;"",DISPLAY!$B$3:$B$1000&amp;"",DISPLAY!$V$3:$V$1000,""),"Network Device",_xlfn.XLOOKUP($K58&amp;"",'NETWORK-DEVICES'!$B$3:$B$987&amp;"",'NETWORK-DEVICES'!$AF$3:$AF$987,""),"Peripheral",_xlfn.XLOOKUP($K58&amp;"",PERIPHERAL!$B$3:$B$954&amp;"",PERIPHERAL!$Y$3:$Y$954,""),"Utilities",_xlfn.XLOOKUP($K58&amp;"",UTILITIES!$B$3:$B$953&amp;"",UTILITIES!$O$3:$O$953,""),"IOT",_xlfn.XLOOKUP($K58&amp;"",IOT!$B$3:$B$1012&amp;"",IOT!$AB$3:$AB$1012,""),"Server",_xlfn.XLOOKUP($K58&amp;"",SERVER!$B$3:$B$1009&amp;"",SERVER!$AB$3:$AB$1009,""),""))))</f>
        <v/>
      </c>
      <c r="R58" s="43" t="str">
        <f>IF(tbl_handover[[#This Row],[Asset Code]]="","",COUNTIF(tbl_handover[Asset Code],tbl_handover[[#This Row],[Asset Code]]))</f>
        <v/>
      </c>
      <c r="U58" s="60" t="b">
        <v>0</v>
      </c>
    </row>
    <row r="59" spans="1:21" x14ac:dyDescent="0.25">
      <c r="A59" s="43" t="str">
        <f>IF(B59&lt;&gt;"",SUBTOTAL(3,$B$1:B58),"")</f>
        <v/>
      </c>
      <c r="C59" s="74"/>
      <c r="D59" s="74"/>
      <c r="G59" s="1"/>
      <c r="K59" s="42"/>
      <c r="L59" t="str" cm="1">
        <f t="array" ref="L59">IF($K59="","",_xlfn.SWITCH($I59,"Computer",_xlfn.XLOOKUP($K59&amp;"",COMPUTER!$B$3:$B$1009&amp;"",COMPUTER!$I$3:$I$1009,""),"Display",_xlfn.XLOOKUP($K59&amp;"",DISPLAY!$B$3:$B$1000&amp;"",DISPLAY!$J$3:$J$1000,""),"Network Device",_xlfn.XLOOKUP($K59&amp;"",'NETWORK-DEVICES'!$B$3:$B$987&amp;"",'NETWORK-DEVICES'!$I$3:$I$987,""),"Peripheral",_xlfn.XLOOKUP($K59&amp;"",PERIPHERAL!$B$3:$B$954&amp;"",PERIPHERAL!$I$3:$I$954,""),"Utilities",_xlfn.XLOOKUP($K59&amp;"",UTILITIES!$B$3:$B$953&amp;"",UTILITIES!$H$3:$H$953,""),"IOT",_xlfn.XLOOKUP($K59&amp;"",IOT!$B$3:$B$1012&amp;"",IOT!$I$3:$I$1012,""),"SERVER",_xlfn.XLOOKUP($K59&amp;"",SERVER!$B$3:$B$1009&amp;"",SERVER!$I$3:$I$1009,""),""))</f>
        <v/>
      </c>
      <c r="M59" t="str" cm="1">
        <f t="array" ref="M59">IF($K59="","",_xlfn.SWITCH($I59,"Computer",_xlfn.XLOOKUP($K59&amp;"",COMPUTER!$B$3:$B$1009&amp;"",COMPUTER!$J$3:$J$1009,""),"Display",_xlfn.XLOOKUP($K59&amp;"",DISPLAY!$B$3:$B$1000&amp;"",DISPLAY!$K$3:$K$1000,""),"Network Device",_xlfn.XLOOKUP($K59&amp;"",'NETWORK-DEVICES'!$B$3:$B$987&amp;"",'NETWORK-DEVICES'!$I$3:$I$987,""),"Peripheral",_xlfn.XLOOKUP($K59&amp;"",PERIPHERAL!$B$3:$B$954&amp;"",PERIPHERAL!$J$3:$J$954,""),"Utilities",_xlfn.XLOOKUP($K59&amp;"",UTILITIES!$B$3:$B$953&amp;"",UTILITIES!$I$3:$I$953,""),"IOT",_xlfn.XLOOKUP($K59&amp;"",IOT!$B$3:$B$1012&amp;"",IOT!$J$3:$J$1012,""),"Server",_xlfn.XLOOKUP($K59&amp;"",SERVER!$B$3:$B$1009&amp;"",SERVER!$J$3:$J$1009,""),""))</f>
        <v/>
      </c>
      <c r="N59" s="1" t="str" cm="1">
        <f t="array" ref="N59">IF(OR($K59="",$I59="",$J59=""),"",_xlfn.LET(_xlpm.srcCat,_xlfn.SWITCH($I59,"Computer",_xlfn.XLOOKUP($K59&amp;"",COMPUTER!$B$3:$B$1009&amp;"",COMPUTER!$H$3:$H$1009,""),"Display",_xlfn.XLOOKUP($K59&amp;"",DISPLAY!$B$3:$B$1000&amp;"",DISPLAY!$H$3:$H$1000,""),"Network Device",_xlfn.XLOOKUP($K59&amp;"",'NETWORK-DEVICES'!$B$3:$B$987&amp;"",'NETWORK-DEVICES'!$H$3:$H$987,""),"Peripheral",_xlfn.XLOOKUP($K59&amp;"",PERIPHERAL!$B$3:$B$954&amp;"",PERIPHERAL!$H$3:$H$954,""),"Utilities",_xlfn.XLOOKUP($K59&amp;"",UTILITIES!$B$3:$B$953&amp;"",UTILITIES!$G$3:$G$953,""),"IOT",_xlfn.XLOOKUP($K59&amp;"",IOT!$B$3:$B$1012&amp;"",IOT!$H$3:$H$1012,""),"Server",_xlfn.XLOOKUP($K59&amp;"",SERVER!$B$3:$B$1009&amp;"",SERVER!$H$3:$H$1009,""),""),IF(TRIM(_xlpm.srcCat)&lt;&gt;TRIM($J59),"",_xlfn.SWITCH($I59,"Computer",_xlfn.XLOOKUP($K59&amp;"",COMPUTER!$B$3:$B$1009&amp;"",COMPUTER!$K$3:$K$1009,""),"Display",_xlfn.XLOOKUP($K59&amp;"",DISPLAY!$B$3:$B$1000&amp;"",DISPLAY!$L$3:$L$1000,""),"Network Device",_xlfn.XLOOKUP($K59&amp;"",'NETWORK-DEVICES'!$B$3:$B$987&amp;"",'NETWORK-DEVICES'!$K$3:$K$987,""),"Peripheral",_xlfn.XLOOKUP($K59&amp;"",PERIPHERAL!$B$3:$B$954&amp;"",PERIPHERAL!$K$3:$K$954,""),"Utilities",_xlfn.XLOOKUP($K59&amp;"",UTILITIES!$B$3:$B$953&amp;"",UTILITIES!$J$3:$J$953,""),"IOT",_xlfn.XLOOKUP($K59&amp;"",IOT!$B$3:$B$1012&amp;"",IOT!$K$4:$K$1012,""),"Server",_xlfn.XLOOKUP($K59&amp;"",SERVER!$B$3:$B$1009&amp;"",SERVER!$K$3:$K$1009,""),""))))</f>
        <v/>
      </c>
      <c r="O59" s="1" t="str" cm="1">
        <f t="array" ref="O59">IF(OR($K59="",$I59="",$J59=""),"",_xlfn.LET(_xlpm.srcCat,_xlfn.SWITCH($I59,"Computer",_xlfn.XLOOKUP($K59&amp;"",COMPUTER!$B$3:$B$1009&amp;"",COMPUTER!$H$3:$H$1009,""),"Display",_xlfn.XLOOKUP($K59&amp;"",DISPLAY!$B$3:$B$1000&amp;"",DISPLAY!$H$3:$H$1000,""),"Network Device",_xlfn.XLOOKUP($K59&amp;"",'NETWORK-DEVICES'!$B$3:$B$987&amp;"",'NETWORK-DEVICES'!$H$3:$H$987,""),"Peripheral",_xlfn.XLOOKUP($K59&amp;"",PERIPHERAL!$B$3:$B$954&amp;"",PERIPHERAL!$H$3:$H$954,""),"Utilities",_xlfn.XLOOKUP($K59&amp;"",UTILITIES!$B$3:$B$953&amp;"",UTILITIES!$G$3:$G$953,""),"IOT",_xlfn.XLOOKUP($K59&amp;"",IOT!$B$3:$B$1012&amp;"",IOT!$H$3:$H$1012,""),"Server",_xlfn.XLOOKUP($K59&amp;"",SERVER!$B$3:$B$1009&amp;"",SERVER!$H$3:$H$1009,""),""),IF(TRIM(_xlpm.srcCat)&lt;&gt;TRIM($J59),"",_xlfn.SWITCH($I59,"Computer",_xlfn.XLOOKUP($K59&amp;"",COMPUTER!$B$3:$B$1009&amp;"",COMPUTER!$E$3:$E$1009,""),"Display",_xlfn.XLOOKUP($K59&amp;"",DISPLAY!$B$3:$B$1000&amp;"",DISPLAY!$E$3:$E$1000,""),"Network Device",_xlfn.XLOOKUP($K59&amp;"",'NETWORK-DEVICES'!$B$3:$B$987&amp;"",'NETWORK-DEVICES'!$E$3:$E$987,""),"Peripheral",_xlfn.XLOOKUP($K59&amp;"",PERIPHERAL!$B$3:$B$954&amp;"",PERIPHERAL!$E$3:$E$954,""),"Utilities",_xlfn.XLOOKUP($K59&amp;"",UTILITIES!$B$3:$B$953&amp;"",UTILITIES!$E$3:$E$953,""),"IOT",_xlfn.XLOOKUP($K59&amp;"",IOT!$B$3:$B$1012&amp;"",IOT!$E$3:$E$1012,""),"Server",_xlfn.XLOOKUP($K59&amp;"",SERVER!$B$3:$B$1009&amp;"",SERVER!$E$3:$E$1009,""),""))))</f>
        <v/>
      </c>
      <c r="Q59" s="1" t="str" cm="1">
        <f t="array" ref="Q59">IF(OR($K59="",$I59="",$J59=""),"",_xlfn.LET(_xlpm.srcCat,_xlfn.SWITCH($I59,"Computer",_xlfn.XLOOKUP($K59&amp;"",COMPUTER!$B$3:$B$1009&amp;"",COMPUTER!$H$3:$H$1009,""),"Display",_xlfn.XLOOKUP($K59&amp;"",DISPLAY!$B$3:$B$1000&amp;"",DISPLAY!$H$3:$H$1000,""),"Network Device",_xlfn.XLOOKUP($K59&amp;"",'NETWORK-DEVICES'!$B$3:$B$987&amp;"",'NETWORK-DEVICES'!$H$3:$H$987,""),"Peripheral",_xlfn.XLOOKUP($K59&amp;"",PERIPHERAL!$B$3:$B$954&amp;"",PERIPHERAL!$H$3:$H$954,""),"Utilities",_xlfn.XLOOKUP($K59&amp;"",UTILITIES!$B$3:$B$953&amp;"",UTILITIES!$G$3:$G$953,""),"IOT",_xlfn.XLOOKUP($K59&amp;"",IOT!$B$3:$B$1012&amp;"",IOT!$H$3:$H$1012,""),"Server",_xlfn.XLOOKUP($K59&amp;"",SERVER!$B$3:$B$1009&amp;"",SERVER!$H$3:$H$1009,""),""),IF(TRIM(_xlpm.srcCat)&lt;&gt;TRIM($J59),"",_xlfn.SWITCH($I59,"Computer",_xlfn.XLOOKUP($K59&amp;"",COMPUTER!$B$3:$B$1009&amp;"",COMPUTER!$AM$3:$AM$1009,""),"Display",_xlfn.XLOOKUP($K59&amp;"",DISPLAY!$B$3:$B$1000&amp;"",DISPLAY!$V$3:$V$1000,""),"Network Device",_xlfn.XLOOKUP($K59&amp;"",'NETWORK-DEVICES'!$B$3:$B$987&amp;"",'NETWORK-DEVICES'!$AF$3:$AF$987,""),"Peripheral",_xlfn.XLOOKUP($K59&amp;"",PERIPHERAL!$B$3:$B$954&amp;"",PERIPHERAL!$Y$3:$Y$954,""),"Utilities",_xlfn.XLOOKUP($K59&amp;"",UTILITIES!$B$3:$B$953&amp;"",UTILITIES!$O$3:$O$953,""),"IOT",_xlfn.XLOOKUP($K59&amp;"",IOT!$B$3:$B$1012&amp;"",IOT!$AB$3:$AB$1012,""),"Server",_xlfn.XLOOKUP($K59&amp;"",SERVER!$B$3:$B$1009&amp;"",SERVER!$AB$3:$AB$1009,""),""))))</f>
        <v/>
      </c>
      <c r="R59" s="43" t="str">
        <f>IF(tbl_handover[[#This Row],[Asset Code]]="","",COUNTIF(tbl_handover[Asset Code],tbl_handover[[#This Row],[Asset Code]]))</f>
        <v/>
      </c>
      <c r="U59" s="60" t="b">
        <v>0</v>
      </c>
    </row>
    <row r="60" spans="1:21" x14ac:dyDescent="0.25">
      <c r="A60" s="43" t="str">
        <f>IF(B60&lt;&gt;"",SUBTOTAL(3,$B$1:B59),"")</f>
        <v/>
      </c>
      <c r="C60" s="74"/>
      <c r="D60" s="74"/>
      <c r="G60" s="1"/>
      <c r="K60" s="42"/>
      <c r="L60" t="str" cm="1">
        <f t="array" ref="L60">IF($K60="","",_xlfn.SWITCH($I60,"Computer",_xlfn.XLOOKUP($K60&amp;"",COMPUTER!$B$3:$B$1009&amp;"",COMPUTER!$I$3:$I$1009,""),"Display",_xlfn.XLOOKUP($K60&amp;"",DISPLAY!$B$3:$B$1000&amp;"",DISPLAY!$J$3:$J$1000,""),"Network Device",_xlfn.XLOOKUP($K60&amp;"",'NETWORK-DEVICES'!$B$3:$B$987&amp;"",'NETWORK-DEVICES'!$I$3:$I$987,""),"Peripheral",_xlfn.XLOOKUP($K60&amp;"",PERIPHERAL!$B$3:$B$954&amp;"",PERIPHERAL!$I$3:$I$954,""),"Utilities",_xlfn.XLOOKUP($K60&amp;"",UTILITIES!$B$3:$B$953&amp;"",UTILITIES!$H$3:$H$953,""),"IOT",_xlfn.XLOOKUP($K60&amp;"",IOT!$B$3:$B$1012&amp;"",IOT!$I$3:$I$1012,""),"SERVER",_xlfn.XLOOKUP($K60&amp;"",SERVER!$B$3:$B$1009&amp;"",SERVER!$I$3:$I$1009,""),""))</f>
        <v/>
      </c>
      <c r="M60" t="str" cm="1">
        <f t="array" ref="M60">IF($K60="","",_xlfn.SWITCH($I60,"Computer",_xlfn.XLOOKUP($K60&amp;"",COMPUTER!$B$3:$B$1009&amp;"",COMPUTER!$J$3:$J$1009,""),"Display",_xlfn.XLOOKUP($K60&amp;"",DISPLAY!$B$3:$B$1000&amp;"",DISPLAY!$K$3:$K$1000,""),"Network Device",_xlfn.XLOOKUP($K60&amp;"",'NETWORK-DEVICES'!$B$3:$B$987&amp;"",'NETWORK-DEVICES'!$I$3:$I$987,""),"Peripheral",_xlfn.XLOOKUP($K60&amp;"",PERIPHERAL!$B$3:$B$954&amp;"",PERIPHERAL!$J$3:$J$954,""),"Utilities",_xlfn.XLOOKUP($K60&amp;"",UTILITIES!$B$3:$B$953&amp;"",UTILITIES!$I$3:$I$953,""),"IOT",_xlfn.XLOOKUP($K60&amp;"",IOT!$B$3:$B$1012&amp;"",IOT!$J$3:$J$1012,""),"Server",_xlfn.XLOOKUP($K60&amp;"",SERVER!$B$3:$B$1009&amp;"",SERVER!$J$3:$J$1009,""),""))</f>
        <v/>
      </c>
      <c r="N60" s="1" t="str" cm="1">
        <f t="array" ref="N60">IF(OR($K60="",$I60="",$J60=""),"",_xlfn.LET(_xlpm.srcCat,_xlfn.SWITCH($I60,"Computer",_xlfn.XLOOKUP($K60&amp;"",COMPUTER!$B$3:$B$1009&amp;"",COMPUTER!$H$3:$H$1009,""),"Display",_xlfn.XLOOKUP($K60&amp;"",DISPLAY!$B$3:$B$1000&amp;"",DISPLAY!$H$3:$H$1000,""),"Network Device",_xlfn.XLOOKUP($K60&amp;"",'NETWORK-DEVICES'!$B$3:$B$987&amp;"",'NETWORK-DEVICES'!$H$3:$H$987,""),"Peripheral",_xlfn.XLOOKUP($K60&amp;"",PERIPHERAL!$B$3:$B$954&amp;"",PERIPHERAL!$H$3:$H$954,""),"Utilities",_xlfn.XLOOKUP($K60&amp;"",UTILITIES!$B$3:$B$953&amp;"",UTILITIES!$G$3:$G$953,""),"IOT",_xlfn.XLOOKUP($K60&amp;"",IOT!$B$3:$B$1012&amp;"",IOT!$H$3:$H$1012,""),"Server",_xlfn.XLOOKUP($K60&amp;"",SERVER!$B$3:$B$1009&amp;"",SERVER!$H$3:$H$1009,""),""),IF(TRIM(_xlpm.srcCat)&lt;&gt;TRIM($J60),"",_xlfn.SWITCH($I60,"Computer",_xlfn.XLOOKUP($K60&amp;"",COMPUTER!$B$3:$B$1009&amp;"",COMPUTER!$K$3:$K$1009,""),"Display",_xlfn.XLOOKUP($K60&amp;"",DISPLAY!$B$3:$B$1000&amp;"",DISPLAY!$L$3:$L$1000,""),"Network Device",_xlfn.XLOOKUP($K60&amp;"",'NETWORK-DEVICES'!$B$3:$B$987&amp;"",'NETWORK-DEVICES'!$K$3:$K$987,""),"Peripheral",_xlfn.XLOOKUP($K60&amp;"",PERIPHERAL!$B$3:$B$954&amp;"",PERIPHERAL!$K$3:$K$954,""),"Utilities",_xlfn.XLOOKUP($K60&amp;"",UTILITIES!$B$3:$B$953&amp;"",UTILITIES!$J$3:$J$953,""),"IOT",_xlfn.XLOOKUP($K60&amp;"",IOT!$B$3:$B$1012&amp;"",IOT!$K$4:$K$1012,""),"Server",_xlfn.XLOOKUP($K60&amp;"",SERVER!$B$3:$B$1009&amp;"",SERVER!$K$3:$K$1009,""),""))))</f>
        <v/>
      </c>
      <c r="O60" s="1" t="str" cm="1">
        <f t="array" ref="O60">IF(OR($K60="",$I60="",$J60=""),"",_xlfn.LET(_xlpm.srcCat,_xlfn.SWITCH($I60,"Computer",_xlfn.XLOOKUP($K60&amp;"",COMPUTER!$B$3:$B$1009&amp;"",COMPUTER!$H$3:$H$1009,""),"Display",_xlfn.XLOOKUP($K60&amp;"",DISPLAY!$B$3:$B$1000&amp;"",DISPLAY!$H$3:$H$1000,""),"Network Device",_xlfn.XLOOKUP($K60&amp;"",'NETWORK-DEVICES'!$B$3:$B$987&amp;"",'NETWORK-DEVICES'!$H$3:$H$987,""),"Peripheral",_xlfn.XLOOKUP($K60&amp;"",PERIPHERAL!$B$3:$B$954&amp;"",PERIPHERAL!$H$3:$H$954,""),"Utilities",_xlfn.XLOOKUP($K60&amp;"",UTILITIES!$B$3:$B$953&amp;"",UTILITIES!$G$3:$G$953,""),"IOT",_xlfn.XLOOKUP($K60&amp;"",IOT!$B$3:$B$1012&amp;"",IOT!$H$3:$H$1012,""),"Server",_xlfn.XLOOKUP($K60&amp;"",SERVER!$B$3:$B$1009&amp;"",SERVER!$H$3:$H$1009,""),""),IF(TRIM(_xlpm.srcCat)&lt;&gt;TRIM($J60),"",_xlfn.SWITCH($I60,"Computer",_xlfn.XLOOKUP($K60&amp;"",COMPUTER!$B$3:$B$1009&amp;"",COMPUTER!$E$3:$E$1009,""),"Display",_xlfn.XLOOKUP($K60&amp;"",DISPLAY!$B$3:$B$1000&amp;"",DISPLAY!$E$3:$E$1000,""),"Network Device",_xlfn.XLOOKUP($K60&amp;"",'NETWORK-DEVICES'!$B$3:$B$987&amp;"",'NETWORK-DEVICES'!$E$3:$E$987,""),"Peripheral",_xlfn.XLOOKUP($K60&amp;"",PERIPHERAL!$B$3:$B$954&amp;"",PERIPHERAL!$E$3:$E$954,""),"Utilities",_xlfn.XLOOKUP($K60&amp;"",UTILITIES!$B$3:$B$953&amp;"",UTILITIES!$E$3:$E$953,""),"IOT",_xlfn.XLOOKUP($K60&amp;"",IOT!$B$3:$B$1012&amp;"",IOT!$E$3:$E$1012,""),"Server",_xlfn.XLOOKUP($K60&amp;"",SERVER!$B$3:$B$1009&amp;"",SERVER!$E$3:$E$1009,""),""))))</f>
        <v/>
      </c>
      <c r="Q60" s="1" t="str" cm="1">
        <f t="array" ref="Q60">IF(OR($K60="",$I60="",$J60=""),"",_xlfn.LET(_xlpm.srcCat,_xlfn.SWITCH($I60,"Computer",_xlfn.XLOOKUP($K60&amp;"",COMPUTER!$B$3:$B$1009&amp;"",COMPUTER!$H$3:$H$1009,""),"Display",_xlfn.XLOOKUP($K60&amp;"",DISPLAY!$B$3:$B$1000&amp;"",DISPLAY!$H$3:$H$1000,""),"Network Device",_xlfn.XLOOKUP($K60&amp;"",'NETWORK-DEVICES'!$B$3:$B$987&amp;"",'NETWORK-DEVICES'!$H$3:$H$987,""),"Peripheral",_xlfn.XLOOKUP($K60&amp;"",PERIPHERAL!$B$3:$B$954&amp;"",PERIPHERAL!$H$3:$H$954,""),"Utilities",_xlfn.XLOOKUP($K60&amp;"",UTILITIES!$B$3:$B$953&amp;"",UTILITIES!$G$3:$G$953,""),"IOT",_xlfn.XLOOKUP($K60&amp;"",IOT!$B$3:$B$1012&amp;"",IOT!$H$3:$H$1012,""),"Server",_xlfn.XLOOKUP($K60&amp;"",SERVER!$B$3:$B$1009&amp;"",SERVER!$H$3:$H$1009,""),""),IF(TRIM(_xlpm.srcCat)&lt;&gt;TRIM($J60),"",_xlfn.SWITCH($I60,"Computer",_xlfn.XLOOKUP($K60&amp;"",COMPUTER!$B$3:$B$1009&amp;"",COMPUTER!$AM$3:$AM$1009,""),"Display",_xlfn.XLOOKUP($K60&amp;"",DISPLAY!$B$3:$B$1000&amp;"",DISPLAY!$V$3:$V$1000,""),"Network Device",_xlfn.XLOOKUP($K60&amp;"",'NETWORK-DEVICES'!$B$3:$B$987&amp;"",'NETWORK-DEVICES'!$AF$3:$AF$987,""),"Peripheral",_xlfn.XLOOKUP($K60&amp;"",PERIPHERAL!$B$3:$B$954&amp;"",PERIPHERAL!$Y$3:$Y$954,""),"Utilities",_xlfn.XLOOKUP($K60&amp;"",UTILITIES!$B$3:$B$953&amp;"",UTILITIES!$O$3:$O$953,""),"IOT",_xlfn.XLOOKUP($K60&amp;"",IOT!$B$3:$B$1012&amp;"",IOT!$AB$3:$AB$1012,""),"Server",_xlfn.XLOOKUP($K60&amp;"",SERVER!$B$3:$B$1009&amp;"",SERVER!$AB$3:$AB$1009,""),""))))</f>
        <v/>
      </c>
      <c r="R60" s="43" t="str">
        <f>IF(tbl_handover[[#This Row],[Asset Code]]="","",COUNTIF(tbl_handover[Asset Code],tbl_handover[[#This Row],[Asset Code]]))</f>
        <v/>
      </c>
      <c r="U60" s="60" t="b">
        <v>0</v>
      </c>
    </row>
    <row r="61" spans="1:21" x14ac:dyDescent="0.25">
      <c r="A61" s="43" t="str">
        <f>IF(B61&lt;&gt;"",SUBTOTAL(3,$B$1:B60),"")</f>
        <v/>
      </c>
      <c r="C61" s="74"/>
      <c r="D61" s="74"/>
      <c r="G61" s="1"/>
      <c r="K61" s="42"/>
      <c r="L61" t="str" cm="1">
        <f t="array" ref="L61">IF($K61="","",_xlfn.SWITCH($I61,"Computer",_xlfn.XLOOKUP($K61&amp;"",COMPUTER!$B$3:$B$1009&amp;"",COMPUTER!$I$3:$I$1009,""),"Display",_xlfn.XLOOKUP($K61&amp;"",DISPLAY!$B$3:$B$1000&amp;"",DISPLAY!$J$3:$J$1000,""),"Network Device",_xlfn.XLOOKUP($K61&amp;"",'NETWORK-DEVICES'!$B$3:$B$987&amp;"",'NETWORK-DEVICES'!$I$3:$I$987,""),"Peripheral",_xlfn.XLOOKUP($K61&amp;"",PERIPHERAL!$B$3:$B$954&amp;"",PERIPHERAL!$I$3:$I$954,""),"Utilities",_xlfn.XLOOKUP($K61&amp;"",UTILITIES!$B$3:$B$953&amp;"",UTILITIES!$H$3:$H$953,""),"IOT",_xlfn.XLOOKUP($K61&amp;"",IOT!$B$3:$B$1012&amp;"",IOT!$I$3:$I$1012,""),"SERVER",_xlfn.XLOOKUP($K61&amp;"",SERVER!$B$3:$B$1009&amp;"",SERVER!$I$3:$I$1009,""),""))</f>
        <v/>
      </c>
      <c r="M61" t="str" cm="1">
        <f t="array" ref="M61">IF($K61="","",_xlfn.SWITCH($I61,"Computer",_xlfn.XLOOKUP($K61&amp;"",COMPUTER!$B$3:$B$1009&amp;"",COMPUTER!$J$3:$J$1009,""),"Display",_xlfn.XLOOKUP($K61&amp;"",DISPLAY!$B$3:$B$1000&amp;"",DISPLAY!$K$3:$K$1000,""),"Network Device",_xlfn.XLOOKUP($K61&amp;"",'NETWORK-DEVICES'!$B$3:$B$987&amp;"",'NETWORK-DEVICES'!$I$3:$I$987,""),"Peripheral",_xlfn.XLOOKUP($K61&amp;"",PERIPHERAL!$B$3:$B$954&amp;"",PERIPHERAL!$J$3:$J$954,""),"Utilities",_xlfn.XLOOKUP($K61&amp;"",UTILITIES!$B$3:$B$953&amp;"",UTILITIES!$I$3:$I$953,""),"IOT",_xlfn.XLOOKUP($K61&amp;"",IOT!$B$3:$B$1012&amp;"",IOT!$J$3:$J$1012,""),"Server",_xlfn.XLOOKUP($K61&amp;"",SERVER!$B$3:$B$1009&amp;"",SERVER!$J$3:$J$1009,""),""))</f>
        <v/>
      </c>
      <c r="N61" s="1" t="str" cm="1">
        <f t="array" ref="N61">IF(OR($K61="",$I61="",$J61=""),"",_xlfn.LET(_xlpm.srcCat,_xlfn.SWITCH($I61,"Computer",_xlfn.XLOOKUP($K61&amp;"",COMPUTER!$B$3:$B$1009&amp;"",COMPUTER!$H$3:$H$1009,""),"Display",_xlfn.XLOOKUP($K61&amp;"",DISPLAY!$B$3:$B$1000&amp;"",DISPLAY!$H$3:$H$1000,""),"Network Device",_xlfn.XLOOKUP($K61&amp;"",'NETWORK-DEVICES'!$B$3:$B$987&amp;"",'NETWORK-DEVICES'!$H$3:$H$987,""),"Peripheral",_xlfn.XLOOKUP($K61&amp;"",PERIPHERAL!$B$3:$B$954&amp;"",PERIPHERAL!$H$3:$H$954,""),"Utilities",_xlfn.XLOOKUP($K61&amp;"",UTILITIES!$B$3:$B$953&amp;"",UTILITIES!$G$3:$G$953,""),"IOT",_xlfn.XLOOKUP($K61&amp;"",IOT!$B$3:$B$1012&amp;"",IOT!$H$3:$H$1012,""),"Server",_xlfn.XLOOKUP($K61&amp;"",SERVER!$B$3:$B$1009&amp;"",SERVER!$H$3:$H$1009,""),""),IF(TRIM(_xlpm.srcCat)&lt;&gt;TRIM($J61),"",_xlfn.SWITCH($I61,"Computer",_xlfn.XLOOKUP($K61&amp;"",COMPUTER!$B$3:$B$1009&amp;"",COMPUTER!$K$3:$K$1009,""),"Display",_xlfn.XLOOKUP($K61&amp;"",DISPLAY!$B$3:$B$1000&amp;"",DISPLAY!$L$3:$L$1000,""),"Network Device",_xlfn.XLOOKUP($K61&amp;"",'NETWORK-DEVICES'!$B$3:$B$987&amp;"",'NETWORK-DEVICES'!$K$3:$K$987,""),"Peripheral",_xlfn.XLOOKUP($K61&amp;"",PERIPHERAL!$B$3:$B$954&amp;"",PERIPHERAL!$K$3:$K$954,""),"Utilities",_xlfn.XLOOKUP($K61&amp;"",UTILITIES!$B$3:$B$953&amp;"",UTILITIES!$J$3:$J$953,""),"IOT",_xlfn.XLOOKUP($K61&amp;"",IOT!$B$3:$B$1012&amp;"",IOT!$K$4:$K$1012,""),"Server",_xlfn.XLOOKUP($K61&amp;"",SERVER!$B$3:$B$1009&amp;"",SERVER!$K$3:$K$1009,""),""))))</f>
        <v/>
      </c>
      <c r="O61" s="1" t="str" cm="1">
        <f t="array" ref="O61">IF(OR($K61="",$I61="",$J61=""),"",_xlfn.LET(_xlpm.srcCat,_xlfn.SWITCH($I61,"Computer",_xlfn.XLOOKUP($K61&amp;"",COMPUTER!$B$3:$B$1009&amp;"",COMPUTER!$H$3:$H$1009,""),"Display",_xlfn.XLOOKUP($K61&amp;"",DISPLAY!$B$3:$B$1000&amp;"",DISPLAY!$H$3:$H$1000,""),"Network Device",_xlfn.XLOOKUP($K61&amp;"",'NETWORK-DEVICES'!$B$3:$B$987&amp;"",'NETWORK-DEVICES'!$H$3:$H$987,""),"Peripheral",_xlfn.XLOOKUP($K61&amp;"",PERIPHERAL!$B$3:$B$954&amp;"",PERIPHERAL!$H$3:$H$954,""),"Utilities",_xlfn.XLOOKUP($K61&amp;"",UTILITIES!$B$3:$B$953&amp;"",UTILITIES!$G$3:$G$953,""),"IOT",_xlfn.XLOOKUP($K61&amp;"",IOT!$B$3:$B$1012&amp;"",IOT!$H$3:$H$1012,""),"Server",_xlfn.XLOOKUP($K61&amp;"",SERVER!$B$3:$B$1009&amp;"",SERVER!$H$3:$H$1009,""),""),IF(TRIM(_xlpm.srcCat)&lt;&gt;TRIM($J61),"",_xlfn.SWITCH($I61,"Computer",_xlfn.XLOOKUP($K61&amp;"",COMPUTER!$B$3:$B$1009&amp;"",COMPUTER!$E$3:$E$1009,""),"Display",_xlfn.XLOOKUP($K61&amp;"",DISPLAY!$B$3:$B$1000&amp;"",DISPLAY!$E$3:$E$1000,""),"Network Device",_xlfn.XLOOKUP($K61&amp;"",'NETWORK-DEVICES'!$B$3:$B$987&amp;"",'NETWORK-DEVICES'!$E$3:$E$987,""),"Peripheral",_xlfn.XLOOKUP($K61&amp;"",PERIPHERAL!$B$3:$B$954&amp;"",PERIPHERAL!$E$3:$E$954,""),"Utilities",_xlfn.XLOOKUP($K61&amp;"",UTILITIES!$B$3:$B$953&amp;"",UTILITIES!$E$3:$E$953,""),"IOT",_xlfn.XLOOKUP($K61&amp;"",IOT!$B$3:$B$1012&amp;"",IOT!$E$3:$E$1012,""),"Server",_xlfn.XLOOKUP($K61&amp;"",SERVER!$B$3:$B$1009&amp;"",SERVER!$E$3:$E$1009,""),""))))</f>
        <v/>
      </c>
      <c r="Q61" s="1" t="str" cm="1">
        <f t="array" ref="Q61">IF(OR($K61="",$I61="",$J61=""),"",_xlfn.LET(_xlpm.srcCat,_xlfn.SWITCH($I61,"Computer",_xlfn.XLOOKUP($K61&amp;"",COMPUTER!$B$3:$B$1009&amp;"",COMPUTER!$H$3:$H$1009,""),"Display",_xlfn.XLOOKUP($K61&amp;"",DISPLAY!$B$3:$B$1000&amp;"",DISPLAY!$H$3:$H$1000,""),"Network Device",_xlfn.XLOOKUP($K61&amp;"",'NETWORK-DEVICES'!$B$3:$B$987&amp;"",'NETWORK-DEVICES'!$H$3:$H$987,""),"Peripheral",_xlfn.XLOOKUP($K61&amp;"",PERIPHERAL!$B$3:$B$954&amp;"",PERIPHERAL!$H$3:$H$954,""),"Utilities",_xlfn.XLOOKUP($K61&amp;"",UTILITIES!$B$3:$B$953&amp;"",UTILITIES!$G$3:$G$953,""),"IOT",_xlfn.XLOOKUP($K61&amp;"",IOT!$B$3:$B$1012&amp;"",IOT!$H$3:$H$1012,""),"Server",_xlfn.XLOOKUP($K61&amp;"",SERVER!$B$3:$B$1009&amp;"",SERVER!$H$3:$H$1009,""),""),IF(TRIM(_xlpm.srcCat)&lt;&gt;TRIM($J61),"",_xlfn.SWITCH($I61,"Computer",_xlfn.XLOOKUP($K61&amp;"",COMPUTER!$B$3:$B$1009&amp;"",COMPUTER!$AM$3:$AM$1009,""),"Display",_xlfn.XLOOKUP($K61&amp;"",DISPLAY!$B$3:$B$1000&amp;"",DISPLAY!$V$3:$V$1000,""),"Network Device",_xlfn.XLOOKUP($K61&amp;"",'NETWORK-DEVICES'!$B$3:$B$987&amp;"",'NETWORK-DEVICES'!$AF$3:$AF$987,""),"Peripheral",_xlfn.XLOOKUP($K61&amp;"",PERIPHERAL!$B$3:$B$954&amp;"",PERIPHERAL!$Y$3:$Y$954,""),"Utilities",_xlfn.XLOOKUP($K61&amp;"",UTILITIES!$B$3:$B$953&amp;"",UTILITIES!$O$3:$O$953,""),"IOT",_xlfn.XLOOKUP($K61&amp;"",IOT!$B$3:$B$1012&amp;"",IOT!$AB$3:$AB$1012,""),"Server",_xlfn.XLOOKUP($K61&amp;"",SERVER!$B$3:$B$1009&amp;"",SERVER!$AB$3:$AB$1009,""),""))))</f>
        <v/>
      </c>
      <c r="R61" s="43" t="str">
        <f>IF(tbl_handover[[#This Row],[Asset Code]]="","",COUNTIF(tbl_handover[Asset Code],tbl_handover[[#This Row],[Asset Code]]))</f>
        <v/>
      </c>
    </row>
    <row r="62" spans="1:21" x14ac:dyDescent="0.25">
      <c r="A62" s="43" t="str">
        <f>IF(B62&lt;&gt;"",SUBTOTAL(3,$B$1:B61),"")</f>
        <v/>
      </c>
      <c r="C62" s="74"/>
      <c r="D62" s="74"/>
      <c r="G62" s="1"/>
      <c r="K62" s="42"/>
      <c r="L62" t="str" cm="1">
        <f t="array" ref="L62">IF($K62="","",_xlfn.SWITCH($I62,"Computer",_xlfn.XLOOKUP($K62&amp;"",COMPUTER!$B$3:$B$1009&amp;"",COMPUTER!$I$3:$I$1009,""),"Display",_xlfn.XLOOKUP($K62&amp;"",DISPLAY!$B$3:$B$1000&amp;"",DISPLAY!$J$3:$J$1000,""),"Network Device",_xlfn.XLOOKUP($K62&amp;"",'NETWORK-DEVICES'!$B$3:$B$987&amp;"",'NETWORK-DEVICES'!$I$3:$I$987,""),"Peripheral",_xlfn.XLOOKUP($K62&amp;"",PERIPHERAL!$B$3:$B$954&amp;"",PERIPHERAL!$I$3:$I$954,""),"Utilities",_xlfn.XLOOKUP($K62&amp;"",UTILITIES!$B$3:$B$953&amp;"",UTILITIES!$H$3:$H$953,""),"IOT",_xlfn.XLOOKUP($K62&amp;"",IOT!$B$3:$B$1012&amp;"",IOT!$I$3:$I$1012,""),"SERVER",_xlfn.XLOOKUP($K62&amp;"",SERVER!$B$3:$B$1009&amp;"",SERVER!$I$3:$I$1009,""),""))</f>
        <v/>
      </c>
      <c r="M62" t="str" cm="1">
        <f t="array" ref="M62">IF($K62="","",_xlfn.SWITCH($I62,"Computer",_xlfn.XLOOKUP($K62&amp;"",COMPUTER!$B$3:$B$1009&amp;"",COMPUTER!$J$3:$J$1009,""),"Display",_xlfn.XLOOKUP($K62&amp;"",DISPLAY!$B$3:$B$1000&amp;"",DISPLAY!$K$3:$K$1000,""),"Network Device",_xlfn.XLOOKUP($K62&amp;"",'NETWORK-DEVICES'!$B$3:$B$987&amp;"",'NETWORK-DEVICES'!$I$3:$I$987,""),"Peripheral",_xlfn.XLOOKUP($K62&amp;"",PERIPHERAL!$B$3:$B$954&amp;"",PERIPHERAL!$J$3:$J$954,""),"Utilities",_xlfn.XLOOKUP($K62&amp;"",UTILITIES!$B$3:$B$953&amp;"",UTILITIES!$I$3:$I$953,""),"IOT",_xlfn.XLOOKUP($K62&amp;"",IOT!$B$3:$B$1012&amp;"",IOT!$J$3:$J$1012,""),"Server",_xlfn.XLOOKUP($K62&amp;"",SERVER!$B$3:$B$1009&amp;"",SERVER!$J$3:$J$1009,""),""))</f>
        <v/>
      </c>
      <c r="N62" s="1" t="str" cm="1">
        <f t="array" ref="N62">IF(OR($K62="",$I62="",$J62=""),"",_xlfn.LET(_xlpm.srcCat,_xlfn.SWITCH($I62,"Computer",_xlfn.XLOOKUP($K62&amp;"",COMPUTER!$B$3:$B$1009&amp;"",COMPUTER!$H$3:$H$1009,""),"Display",_xlfn.XLOOKUP($K62&amp;"",DISPLAY!$B$3:$B$1000&amp;"",DISPLAY!$H$3:$H$1000,""),"Network Device",_xlfn.XLOOKUP($K62&amp;"",'NETWORK-DEVICES'!$B$3:$B$987&amp;"",'NETWORK-DEVICES'!$H$3:$H$987,""),"Peripheral",_xlfn.XLOOKUP($K62&amp;"",PERIPHERAL!$B$3:$B$954&amp;"",PERIPHERAL!$H$3:$H$954,""),"Utilities",_xlfn.XLOOKUP($K62&amp;"",UTILITIES!$B$3:$B$953&amp;"",UTILITIES!$G$3:$G$953,""),"IOT",_xlfn.XLOOKUP($K62&amp;"",IOT!$B$3:$B$1012&amp;"",IOT!$H$3:$H$1012,""),"Server",_xlfn.XLOOKUP($K62&amp;"",SERVER!$B$3:$B$1009&amp;"",SERVER!$H$3:$H$1009,""),""),IF(TRIM(_xlpm.srcCat)&lt;&gt;TRIM($J62),"",_xlfn.SWITCH($I62,"Computer",_xlfn.XLOOKUP($K62&amp;"",COMPUTER!$B$3:$B$1009&amp;"",COMPUTER!$K$3:$K$1009,""),"Display",_xlfn.XLOOKUP($K62&amp;"",DISPLAY!$B$3:$B$1000&amp;"",DISPLAY!$L$3:$L$1000,""),"Network Device",_xlfn.XLOOKUP($K62&amp;"",'NETWORK-DEVICES'!$B$3:$B$987&amp;"",'NETWORK-DEVICES'!$K$3:$K$987,""),"Peripheral",_xlfn.XLOOKUP($K62&amp;"",PERIPHERAL!$B$3:$B$954&amp;"",PERIPHERAL!$K$3:$K$954,""),"Utilities",_xlfn.XLOOKUP($K62&amp;"",UTILITIES!$B$3:$B$953&amp;"",UTILITIES!$J$3:$J$953,""),"IOT",_xlfn.XLOOKUP($K62&amp;"",IOT!$B$3:$B$1012&amp;"",IOT!$K$4:$K$1012,""),"Server",_xlfn.XLOOKUP($K62&amp;"",SERVER!$B$3:$B$1009&amp;"",SERVER!$K$3:$K$1009,""),""))))</f>
        <v/>
      </c>
      <c r="O62" s="1" t="str" cm="1">
        <f t="array" ref="O62">IF(OR($K62="",$I62="",$J62=""),"",_xlfn.LET(_xlpm.srcCat,_xlfn.SWITCH($I62,"Computer",_xlfn.XLOOKUP($K62&amp;"",COMPUTER!$B$3:$B$1009&amp;"",COMPUTER!$H$3:$H$1009,""),"Display",_xlfn.XLOOKUP($K62&amp;"",DISPLAY!$B$3:$B$1000&amp;"",DISPLAY!$H$3:$H$1000,""),"Network Device",_xlfn.XLOOKUP($K62&amp;"",'NETWORK-DEVICES'!$B$3:$B$987&amp;"",'NETWORK-DEVICES'!$H$3:$H$987,""),"Peripheral",_xlfn.XLOOKUP($K62&amp;"",PERIPHERAL!$B$3:$B$954&amp;"",PERIPHERAL!$H$3:$H$954,""),"Utilities",_xlfn.XLOOKUP($K62&amp;"",UTILITIES!$B$3:$B$953&amp;"",UTILITIES!$G$3:$G$953,""),"IOT",_xlfn.XLOOKUP($K62&amp;"",IOT!$B$3:$B$1012&amp;"",IOT!$H$3:$H$1012,""),"Server",_xlfn.XLOOKUP($K62&amp;"",SERVER!$B$3:$B$1009&amp;"",SERVER!$H$3:$H$1009,""),""),IF(TRIM(_xlpm.srcCat)&lt;&gt;TRIM($J62),"",_xlfn.SWITCH($I62,"Computer",_xlfn.XLOOKUP($K62&amp;"",COMPUTER!$B$3:$B$1009&amp;"",COMPUTER!$E$3:$E$1009,""),"Display",_xlfn.XLOOKUP($K62&amp;"",DISPLAY!$B$3:$B$1000&amp;"",DISPLAY!$E$3:$E$1000,""),"Network Device",_xlfn.XLOOKUP($K62&amp;"",'NETWORK-DEVICES'!$B$3:$B$987&amp;"",'NETWORK-DEVICES'!$E$3:$E$987,""),"Peripheral",_xlfn.XLOOKUP($K62&amp;"",PERIPHERAL!$B$3:$B$954&amp;"",PERIPHERAL!$E$3:$E$954,""),"Utilities",_xlfn.XLOOKUP($K62&amp;"",UTILITIES!$B$3:$B$953&amp;"",UTILITIES!$E$3:$E$953,""),"IOT",_xlfn.XLOOKUP($K62&amp;"",IOT!$B$3:$B$1012&amp;"",IOT!$E$3:$E$1012,""),"Server",_xlfn.XLOOKUP($K62&amp;"",SERVER!$B$3:$B$1009&amp;"",SERVER!$E$3:$E$1009,""),""))))</f>
        <v/>
      </c>
      <c r="Q62" s="1" t="str" cm="1">
        <f t="array" ref="Q62">IF(OR($K62="",$I62="",$J62=""),"",_xlfn.LET(_xlpm.srcCat,_xlfn.SWITCH($I62,"Computer",_xlfn.XLOOKUP($K62&amp;"",COMPUTER!$B$3:$B$1009&amp;"",COMPUTER!$H$3:$H$1009,""),"Display",_xlfn.XLOOKUP($K62&amp;"",DISPLAY!$B$3:$B$1000&amp;"",DISPLAY!$H$3:$H$1000,""),"Network Device",_xlfn.XLOOKUP($K62&amp;"",'NETWORK-DEVICES'!$B$3:$B$987&amp;"",'NETWORK-DEVICES'!$H$3:$H$987,""),"Peripheral",_xlfn.XLOOKUP($K62&amp;"",PERIPHERAL!$B$3:$B$954&amp;"",PERIPHERAL!$H$3:$H$954,""),"Utilities",_xlfn.XLOOKUP($K62&amp;"",UTILITIES!$B$3:$B$953&amp;"",UTILITIES!$G$3:$G$953,""),"IOT",_xlfn.XLOOKUP($K62&amp;"",IOT!$B$3:$B$1012&amp;"",IOT!$H$3:$H$1012,""),"Server",_xlfn.XLOOKUP($K62&amp;"",SERVER!$B$3:$B$1009&amp;"",SERVER!$H$3:$H$1009,""),""),IF(TRIM(_xlpm.srcCat)&lt;&gt;TRIM($J62),"",_xlfn.SWITCH($I62,"Computer",_xlfn.XLOOKUP($K62&amp;"",COMPUTER!$B$3:$B$1009&amp;"",COMPUTER!$AM$3:$AM$1009,""),"Display",_xlfn.XLOOKUP($K62&amp;"",DISPLAY!$B$3:$B$1000&amp;"",DISPLAY!$V$3:$V$1000,""),"Network Device",_xlfn.XLOOKUP($K62&amp;"",'NETWORK-DEVICES'!$B$3:$B$987&amp;"",'NETWORK-DEVICES'!$AF$3:$AF$987,""),"Peripheral",_xlfn.XLOOKUP($K62&amp;"",PERIPHERAL!$B$3:$B$954&amp;"",PERIPHERAL!$Y$3:$Y$954,""),"Utilities",_xlfn.XLOOKUP($K62&amp;"",UTILITIES!$B$3:$B$953&amp;"",UTILITIES!$O$3:$O$953,""),"IOT",_xlfn.XLOOKUP($K62&amp;"",IOT!$B$3:$B$1012&amp;"",IOT!$AB$3:$AB$1012,""),"Server",_xlfn.XLOOKUP($K62&amp;"",SERVER!$B$3:$B$1009&amp;"",SERVER!$AB$3:$AB$1009,""),""))))</f>
        <v/>
      </c>
      <c r="R62" s="43" t="str">
        <f>IF(tbl_handover[[#This Row],[Asset Code]]="","",COUNTIF(tbl_handover[Asset Code],tbl_handover[[#This Row],[Asset Code]]))</f>
        <v/>
      </c>
    </row>
    <row r="63" spans="1:21" x14ac:dyDescent="0.25">
      <c r="A63" s="43" t="str">
        <f>IF(B63&lt;&gt;"",SUBTOTAL(3,$B$1:B62),"")</f>
        <v/>
      </c>
      <c r="C63" s="74"/>
      <c r="D63" s="74"/>
      <c r="G63" s="1"/>
      <c r="K63" s="42"/>
      <c r="L63" t="str" cm="1">
        <f t="array" ref="L63">IF($K63="","",_xlfn.SWITCH($I63,"Computer",_xlfn.XLOOKUP($K63&amp;"",COMPUTER!$B$3:$B$1009&amp;"",COMPUTER!$I$3:$I$1009,""),"Display",_xlfn.XLOOKUP($K63&amp;"",DISPLAY!$B$3:$B$1000&amp;"",DISPLAY!$J$3:$J$1000,""),"Network Device",_xlfn.XLOOKUP($K63&amp;"",'NETWORK-DEVICES'!$B$3:$B$987&amp;"",'NETWORK-DEVICES'!$I$3:$I$987,""),"Peripheral",_xlfn.XLOOKUP($K63&amp;"",PERIPHERAL!$B$3:$B$954&amp;"",PERIPHERAL!$I$3:$I$954,""),"Utilities",_xlfn.XLOOKUP($K63&amp;"",UTILITIES!$B$3:$B$953&amp;"",UTILITIES!$H$3:$H$953,""),"IOT",_xlfn.XLOOKUP($K63&amp;"",IOT!$B$3:$B$1012&amp;"",IOT!$I$3:$I$1012,""),"SERVER",_xlfn.XLOOKUP($K63&amp;"",SERVER!$B$3:$B$1009&amp;"",SERVER!$I$3:$I$1009,""),""))</f>
        <v/>
      </c>
      <c r="M63" t="str" cm="1">
        <f t="array" ref="M63">IF($K63="","",_xlfn.SWITCH($I63,"Computer",_xlfn.XLOOKUP($K63&amp;"",COMPUTER!$B$3:$B$1009&amp;"",COMPUTER!$J$3:$J$1009,""),"Display",_xlfn.XLOOKUP($K63&amp;"",DISPLAY!$B$3:$B$1000&amp;"",DISPLAY!$K$3:$K$1000,""),"Network Device",_xlfn.XLOOKUP($K63&amp;"",'NETWORK-DEVICES'!$B$3:$B$987&amp;"",'NETWORK-DEVICES'!$I$3:$I$987,""),"Peripheral",_xlfn.XLOOKUP($K63&amp;"",PERIPHERAL!$B$3:$B$954&amp;"",PERIPHERAL!$J$3:$J$954,""),"Utilities",_xlfn.XLOOKUP($K63&amp;"",UTILITIES!$B$3:$B$953&amp;"",UTILITIES!$I$3:$I$953,""),"IOT",_xlfn.XLOOKUP($K63&amp;"",IOT!$B$3:$B$1012&amp;"",IOT!$J$3:$J$1012,""),"Server",_xlfn.XLOOKUP($K63&amp;"",SERVER!$B$3:$B$1009&amp;"",SERVER!$J$3:$J$1009,""),""))</f>
        <v/>
      </c>
      <c r="N63" s="1" t="str" cm="1">
        <f t="array" ref="N63">IF(OR($K63="",$I63="",$J63=""),"",_xlfn.LET(_xlpm.srcCat,_xlfn.SWITCH($I63,"Computer",_xlfn.XLOOKUP($K63&amp;"",COMPUTER!$B$3:$B$1009&amp;"",COMPUTER!$H$3:$H$1009,""),"Display",_xlfn.XLOOKUP($K63&amp;"",DISPLAY!$B$3:$B$1000&amp;"",DISPLAY!$H$3:$H$1000,""),"Network Device",_xlfn.XLOOKUP($K63&amp;"",'NETWORK-DEVICES'!$B$3:$B$987&amp;"",'NETWORK-DEVICES'!$H$3:$H$987,""),"Peripheral",_xlfn.XLOOKUP($K63&amp;"",PERIPHERAL!$B$3:$B$954&amp;"",PERIPHERAL!$H$3:$H$954,""),"Utilities",_xlfn.XLOOKUP($K63&amp;"",UTILITIES!$B$3:$B$953&amp;"",UTILITIES!$G$3:$G$953,""),"IOT",_xlfn.XLOOKUP($K63&amp;"",IOT!$B$3:$B$1012&amp;"",IOT!$H$3:$H$1012,""),"Server",_xlfn.XLOOKUP($K63&amp;"",SERVER!$B$3:$B$1009&amp;"",SERVER!$H$3:$H$1009,""),""),IF(TRIM(_xlpm.srcCat)&lt;&gt;TRIM($J63),"",_xlfn.SWITCH($I63,"Computer",_xlfn.XLOOKUP($K63&amp;"",COMPUTER!$B$3:$B$1009&amp;"",COMPUTER!$K$3:$K$1009,""),"Display",_xlfn.XLOOKUP($K63&amp;"",DISPLAY!$B$3:$B$1000&amp;"",DISPLAY!$L$3:$L$1000,""),"Network Device",_xlfn.XLOOKUP($K63&amp;"",'NETWORK-DEVICES'!$B$3:$B$987&amp;"",'NETWORK-DEVICES'!$K$3:$K$987,""),"Peripheral",_xlfn.XLOOKUP($K63&amp;"",PERIPHERAL!$B$3:$B$954&amp;"",PERIPHERAL!$K$3:$K$954,""),"Utilities",_xlfn.XLOOKUP($K63&amp;"",UTILITIES!$B$3:$B$953&amp;"",UTILITIES!$J$3:$J$953,""),"IOT",_xlfn.XLOOKUP($K63&amp;"",IOT!$B$3:$B$1012&amp;"",IOT!$K$4:$K$1012,""),"Server",_xlfn.XLOOKUP($K63&amp;"",SERVER!$B$3:$B$1009&amp;"",SERVER!$K$3:$K$1009,""),""))))</f>
        <v/>
      </c>
      <c r="O63" s="1" t="str" cm="1">
        <f t="array" ref="O63">IF(OR($K63="",$I63="",$J63=""),"",_xlfn.LET(_xlpm.srcCat,_xlfn.SWITCH($I63,"Computer",_xlfn.XLOOKUP($K63&amp;"",COMPUTER!$B$3:$B$1009&amp;"",COMPUTER!$H$3:$H$1009,""),"Display",_xlfn.XLOOKUP($K63&amp;"",DISPLAY!$B$3:$B$1000&amp;"",DISPLAY!$H$3:$H$1000,""),"Network Device",_xlfn.XLOOKUP($K63&amp;"",'NETWORK-DEVICES'!$B$3:$B$987&amp;"",'NETWORK-DEVICES'!$H$3:$H$987,""),"Peripheral",_xlfn.XLOOKUP($K63&amp;"",PERIPHERAL!$B$3:$B$954&amp;"",PERIPHERAL!$H$3:$H$954,""),"Utilities",_xlfn.XLOOKUP($K63&amp;"",UTILITIES!$B$3:$B$953&amp;"",UTILITIES!$G$3:$G$953,""),"IOT",_xlfn.XLOOKUP($K63&amp;"",IOT!$B$3:$B$1012&amp;"",IOT!$H$3:$H$1012,""),"Server",_xlfn.XLOOKUP($K63&amp;"",SERVER!$B$3:$B$1009&amp;"",SERVER!$H$3:$H$1009,""),""),IF(TRIM(_xlpm.srcCat)&lt;&gt;TRIM($J63),"",_xlfn.SWITCH($I63,"Computer",_xlfn.XLOOKUP($K63&amp;"",COMPUTER!$B$3:$B$1009&amp;"",COMPUTER!$E$3:$E$1009,""),"Display",_xlfn.XLOOKUP($K63&amp;"",DISPLAY!$B$3:$B$1000&amp;"",DISPLAY!$E$3:$E$1000,""),"Network Device",_xlfn.XLOOKUP($K63&amp;"",'NETWORK-DEVICES'!$B$3:$B$987&amp;"",'NETWORK-DEVICES'!$E$3:$E$987,""),"Peripheral",_xlfn.XLOOKUP($K63&amp;"",PERIPHERAL!$B$3:$B$954&amp;"",PERIPHERAL!$E$3:$E$954,""),"Utilities",_xlfn.XLOOKUP($K63&amp;"",UTILITIES!$B$3:$B$953&amp;"",UTILITIES!$E$3:$E$953,""),"IOT",_xlfn.XLOOKUP($K63&amp;"",IOT!$B$3:$B$1012&amp;"",IOT!$E$3:$E$1012,""),"Server",_xlfn.XLOOKUP($K63&amp;"",SERVER!$B$3:$B$1009&amp;"",SERVER!$E$3:$E$1009,""),""))))</f>
        <v/>
      </c>
      <c r="Q63" s="1" t="str" cm="1">
        <f t="array" ref="Q63">IF(OR($K63="",$I63="",$J63=""),"",_xlfn.LET(_xlpm.srcCat,_xlfn.SWITCH($I63,"Computer",_xlfn.XLOOKUP($K63&amp;"",COMPUTER!$B$3:$B$1009&amp;"",COMPUTER!$H$3:$H$1009,""),"Display",_xlfn.XLOOKUP($K63&amp;"",DISPLAY!$B$3:$B$1000&amp;"",DISPLAY!$H$3:$H$1000,""),"Network Device",_xlfn.XLOOKUP($K63&amp;"",'NETWORK-DEVICES'!$B$3:$B$987&amp;"",'NETWORK-DEVICES'!$H$3:$H$987,""),"Peripheral",_xlfn.XLOOKUP($K63&amp;"",PERIPHERAL!$B$3:$B$954&amp;"",PERIPHERAL!$H$3:$H$954,""),"Utilities",_xlfn.XLOOKUP($K63&amp;"",UTILITIES!$B$3:$B$953&amp;"",UTILITIES!$G$3:$G$953,""),"IOT",_xlfn.XLOOKUP($K63&amp;"",IOT!$B$3:$B$1012&amp;"",IOT!$H$3:$H$1012,""),"Server",_xlfn.XLOOKUP($K63&amp;"",SERVER!$B$3:$B$1009&amp;"",SERVER!$H$3:$H$1009,""),""),IF(TRIM(_xlpm.srcCat)&lt;&gt;TRIM($J63),"",_xlfn.SWITCH($I63,"Computer",_xlfn.XLOOKUP($K63&amp;"",COMPUTER!$B$3:$B$1009&amp;"",COMPUTER!$AM$3:$AM$1009,""),"Display",_xlfn.XLOOKUP($K63&amp;"",DISPLAY!$B$3:$B$1000&amp;"",DISPLAY!$V$3:$V$1000,""),"Network Device",_xlfn.XLOOKUP($K63&amp;"",'NETWORK-DEVICES'!$B$3:$B$987&amp;"",'NETWORK-DEVICES'!$AF$3:$AF$987,""),"Peripheral",_xlfn.XLOOKUP($K63&amp;"",PERIPHERAL!$B$3:$B$954&amp;"",PERIPHERAL!$Y$3:$Y$954,""),"Utilities",_xlfn.XLOOKUP($K63&amp;"",UTILITIES!$B$3:$B$953&amp;"",UTILITIES!$O$3:$O$953,""),"IOT",_xlfn.XLOOKUP($K63&amp;"",IOT!$B$3:$B$1012&amp;"",IOT!$AB$3:$AB$1012,""),"Server",_xlfn.XLOOKUP($K63&amp;"",SERVER!$B$3:$B$1009&amp;"",SERVER!$AB$3:$AB$1009,""),""))))</f>
        <v/>
      </c>
      <c r="R63" s="43" t="str">
        <f>IF(tbl_handover[[#This Row],[Asset Code]]="","",COUNTIF(tbl_handover[Asset Code],tbl_handover[[#This Row],[Asset Code]]))</f>
        <v/>
      </c>
    </row>
    <row r="64" spans="1:21" x14ac:dyDescent="0.25">
      <c r="A64" s="43" t="str">
        <f>IF(B64&lt;&gt;"",SUBTOTAL(3,$B$1:B63),"")</f>
        <v/>
      </c>
      <c r="C64" s="74"/>
      <c r="D64" s="74"/>
      <c r="G64" s="1"/>
      <c r="K64" s="42"/>
      <c r="L64" t="str" cm="1">
        <f t="array" ref="L64">IF($K64="","",_xlfn.SWITCH($I64,"Computer",_xlfn.XLOOKUP($K64&amp;"",COMPUTER!$B$3:$B$1009&amp;"",COMPUTER!$I$3:$I$1009,""),"Display",_xlfn.XLOOKUP($K64&amp;"",DISPLAY!$B$3:$B$1000&amp;"",DISPLAY!$J$3:$J$1000,""),"Network Device",_xlfn.XLOOKUP($K64&amp;"",'NETWORK-DEVICES'!$B$3:$B$987&amp;"",'NETWORK-DEVICES'!$I$3:$I$987,""),"Peripheral",_xlfn.XLOOKUP($K64&amp;"",PERIPHERAL!$B$3:$B$954&amp;"",PERIPHERAL!$I$3:$I$954,""),"Utilities",_xlfn.XLOOKUP($K64&amp;"",UTILITIES!$B$3:$B$953&amp;"",UTILITIES!$H$3:$H$953,""),"IOT",_xlfn.XLOOKUP($K64&amp;"",IOT!$B$3:$B$1012&amp;"",IOT!$I$3:$I$1012,""),"SERVER",_xlfn.XLOOKUP($K64&amp;"",SERVER!$B$3:$B$1009&amp;"",SERVER!$I$3:$I$1009,""),""))</f>
        <v/>
      </c>
      <c r="M64" t="str" cm="1">
        <f t="array" ref="M64">IF($K64="","",_xlfn.SWITCH($I64,"Computer",_xlfn.XLOOKUP($K64&amp;"",COMPUTER!$B$3:$B$1009&amp;"",COMPUTER!$J$3:$J$1009,""),"Display",_xlfn.XLOOKUP($K64&amp;"",DISPLAY!$B$3:$B$1000&amp;"",DISPLAY!$K$3:$K$1000,""),"Network Device",_xlfn.XLOOKUP($K64&amp;"",'NETWORK-DEVICES'!$B$3:$B$987&amp;"",'NETWORK-DEVICES'!$I$3:$I$987,""),"Peripheral",_xlfn.XLOOKUP($K64&amp;"",PERIPHERAL!$B$3:$B$954&amp;"",PERIPHERAL!$J$3:$J$954,""),"Utilities",_xlfn.XLOOKUP($K64&amp;"",UTILITIES!$B$3:$B$953&amp;"",UTILITIES!$I$3:$I$953,""),"IOT",_xlfn.XLOOKUP($K64&amp;"",IOT!$B$3:$B$1012&amp;"",IOT!$J$3:$J$1012,""),"Server",_xlfn.XLOOKUP($K64&amp;"",SERVER!$B$3:$B$1009&amp;"",SERVER!$J$3:$J$1009,""),""))</f>
        <v/>
      </c>
      <c r="N64" s="1" t="str" cm="1">
        <f t="array" ref="N64">IF(OR($K64="",$I64="",$J64=""),"",_xlfn.LET(_xlpm.srcCat,_xlfn.SWITCH($I64,"Computer",_xlfn.XLOOKUP($K64&amp;"",COMPUTER!$B$3:$B$1009&amp;"",COMPUTER!$H$3:$H$1009,""),"Display",_xlfn.XLOOKUP($K64&amp;"",DISPLAY!$B$3:$B$1000&amp;"",DISPLAY!$H$3:$H$1000,""),"Network Device",_xlfn.XLOOKUP($K64&amp;"",'NETWORK-DEVICES'!$B$3:$B$987&amp;"",'NETWORK-DEVICES'!$H$3:$H$987,""),"Peripheral",_xlfn.XLOOKUP($K64&amp;"",PERIPHERAL!$B$3:$B$954&amp;"",PERIPHERAL!$H$3:$H$954,""),"Utilities",_xlfn.XLOOKUP($K64&amp;"",UTILITIES!$B$3:$B$953&amp;"",UTILITIES!$G$3:$G$953,""),"IOT",_xlfn.XLOOKUP($K64&amp;"",IOT!$B$3:$B$1012&amp;"",IOT!$H$3:$H$1012,""),"Server",_xlfn.XLOOKUP($K64&amp;"",SERVER!$B$3:$B$1009&amp;"",SERVER!$H$3:$H$1009,""),""),IF(TRIM(_xlpm.srcCat)&lt;&gt;TRIM($J64),"",_xlfn.SWITCH($I64,"Computer",_xlfn.XLOOKUP($K64&amp;"",COMPUTER!$B$3:$B$1009&amp;"",COMPUTER!$K$3:$K$1009,""),"Display",_xlfn.XLOOKUP($K64&amp;"",DISPLAY!$B$3:$B$1000&amp;"",DISPLAY!$L$3:$L$1000,""),"Network Device",_xlfn.XLOOKUP($K64&amp;"",'NETWORK-DEVICES'!$B$3:$B$987&amp;"",'NETWORK-DEVICES'!$K$3:$K$987,""),"Peripheral",_xlfn.XLOOKUP($K64&amp;"",PERIPHERAL!$B$3:$B$954&amp;"",PERIPHERAL!$K$3:$K$954,""),"Utilities",_xlfn.XLOOKUP($K64&amp;"",UTILITIES!$B$3:$B$953&amp;"",UTILITIES!$J$3:$J$953,""),"IOT",_xlfn.XLOOKUP($K64&amp;"",IOT!$B$3:$B$1012&amp;"",IOT!$K$4:$K$1012,""),"Server",_xlfn.XLOOKUP($K64&amp;"",SERVER!$B$3:$B$1009&amp;"",SERVER!$K$3:$K$1009,""),""))))</f>
        <v/>
      </c>
      <c r="O64" s="1" t="str" cm="1">
        <f t="array" ref="O64">IF(OR($K64="",$I64="",$J64=""),"",_xlfn.LET(_xlpm.srcCat,_xlfn.SWITCH($I64,"Computer",_xlfn.XLOOKUP($K64&amp;"",COMPUTER!$B$3:$B$1009&amp;"",COMPUTER!$H$3:$H$1009,""),"Display",_xlfn.XLOOKUP($K64&amp;"",DISPLAY!$B$3:$B$1000&amp;"",DISPLAY!$H$3:$H$1000,""),"Network Device",_xlfn.XLOOKUP($K64&amp;"",'NETWORK-DEVICES'!$B$3:$B$987&amp;"",'NETWORK-DEVICES'!$H$3:$H$987,""),"Peripheral",_xlfn.XLOOKUP($K64&amp;"",PERIPHERAL!$B$3:$B$954&amp;"",PERIPHERAL!$H$3:$H$954,""),"Utilities",_xlfn.XLOOKUP($K64&amp;"",UTILITIES!$B$3:$B$953&amp;"",UTILITIES!$G$3:$G$953,""),"IOT",_xlfn.XLOOKUP($K64&amp;"",IOT!$B$3:$B$1012&amp;"",IOT!$H$3:$H$1012,""),"Server",_xlfn.XLOOKUP($K64&amp;"",SERVER!$B$3:$B$1009&amp;"",SERVER!$H$3:$H$1009,""),""),IF(TRIM(_xlpm.srcCat)&lt;&gt;TRIM($J64),"",_xlfn.SWITCH($I64,"Computer",_xlfn.XLOOKUP($K64&amp;"",COMPUTER!$B$3:$B$1009&amp;"",COMPUTER!$E$3:$E$1009,""),"Display",_xlfn.XLOOKUP($K64&amp;"",DISPLAY!$B$3:$B$1000&amp;"",DISPLAY!$E$3:$E$1000,""),"Network Device",_xlfn.XLOOKUP($K64&amp;"",'NETWORK-DEVICES'!$B$3:$B$987&amp;"",'NETWORK-DEVICES'!$E$3:$E$987,""),"Peripheral",_xlfn.XLOOKUP($K64&amp;"",PERIPHERAL!$B$3:$B$954&amp;"",PERIPHERAL!$E$3:$E$954,""),"Utilities",_xlfn.XLOOKUP($K64&amp;"",UTILITIES!$B$3:$B$953&amp;"",UTILITIES!$E$3:$E$953,""),"IOT",_xlfn.XLOOKUP($K64&amp;"",IOT!$B$3:$B$1012&amp;"",IOT!$E$3:$E$1012,""),"Server",_xlfn.XLOOKUP($K64&amp;"",SERVER!$B$3:$B$1009&amp;"",SERVER!$E$3:$E$1009,""),""))))</f>
        <v/>
      </c>
      <c r="Q64" s="1" t="str" cm="1">
        <f t="array" ref="Q64">IF(OR($K64="",$I64="",$J64=""),"",_xlfn.LET(_xlpm.srcCat,_xlfn.SWITCH($I64,"Computer",_xlfn.XLOOKUP($K64&amp;"",COMPUTER!$B$3:$B$1009&amp;"",COMPUTER!$H$3:$H$1009,""),"Display",_xlfn.XLOOKUP($K64&amp;"",DISPLAY!$B$3:$B$1000&amp;"",DISPLAY!$H$3:$H$1000,""),"Network Device",_xlfn.XLOOKUP($K64&amp;"",'NETWORK-DEVICES'!$B$3:$B$987&amp;"",'NETWORK-DEVICES'!$H$3:$H$987,""),"Peripheral",_xlfn.XLOOKUP($K64&amp;"",PERIPHERAL!$B$3:$B$954&amp;"",PERIPHERAL!$H$3:$H$954,""),"Utilities",_xlfn.XLOOKUP($K64&amp;"",UTILITIES!$B$3:$B$953&amp;"",UTILITIES!$G$3:$G$953,""),"IOT",_xlfn.XLOOKUP($K64&amp;"",IOT!$B$3:$B$1012&amp;"",IOT!$H$3:$H$1012,""),"Server",_xlfn.XLOOKUP($K64&amp;"",SERVER!$B$3:$B$1009&amp;"",SERVER!$H$3:$H$1009,""),""),IF(TRIM(_xlpm.srcCat)&lt;&gt;TRIM($J64),"",_xlfn.SWITCH($I64,"Computer",_xlfn.XLOOKUP($K64&amp;"",COMPUTER!$B$3:$B$1009&amp;"",COMPUTER!$AM$3:$AM$1009,""),"Display",_xlfn.XLOOKUP($K64&amp;"",DISPLAY!$B$3:$B$1000&amp;"",DISPLAY!$V$3:$V$1000,""),"Network Device",_xlfn.XLOOKUP($K64&amp;"",'NETWORK-DEVICES'!$B$3:$B$987&amp;"",'NETWORK-DEVICES'!$AF$3:$AF$987,""),"Peripheral",_xlfn.XLOOKUP($K64&amp;"",PERIPHERAL!$B$3:$B$954&amp;"",PERIPHERAL!$Y$3:$Y$954,""),"Utilities",_xlfn.XLOOKUP($K64&amp;"",UTILITIES!$B$3:$B$953&amp;"",UTILITIES!$O$3:$O$953,""),"IOT",_xlfn.XLOOKUP($K64&amp;"",IOT!$B$3:$B$1012&amp;"",IOT!$AB$3:$AB$1012,""),"Server",_xlfn.XLOOKUP($K64&amp;"",SERVER!$B$3:$B$1009&amp;"",SERVER!$AB$3:$AB$1009,""),""))))</f>
        <v/>
      </c>
      <c r="R64" s="43" t="str">
        <f>IF(tbl_handover[[#This Row],[Asset Code]]="","",COUNTIF(tbl_handover[Asset Code],tbl_handover[[#This Row],[Asset Code]]))</f>
        <v/>
      </c>
    </row>
    <row r="65" spans="1:18" x14ac:dyDescent="0.25">
      <c r="A65" s="43" t="str">
        <f>IF(B65&lt;&gt;"",SUBTOTAL(3,$B$1:B64),"")</f>
        <v/>
      </c>
      <c r="C65" s="74"/>
      <c r="D65" s="74"/>
      <c r="G65" s="1"/>
      <c r="K65" s="42"/>
      <c r="L65" t="str" cm="1">
        <f t="array" ref="L65">IF($K65="","",_xlfn.SWITCH($I65,"Computer",_xlfn.XLOOKUP($K65&amp;"",COMPUTER!$B$3:$B$1009&amp;"",COMPUTER!$I$3:$I$1009,""),"Display",_xlfn.XLOOKUP($K65&amp;"",DISPLAY!$B$3:$B$1000&amp;"",DISPLAY!$J$3:$J$1000,""),"Network Device",_xlfn.XLOOKUP($K65&amp;"",'NETWORK-DEVICES'!$B$3:$B$987&amp;"",'NETWORK-DEVICES'!$I$3:$I$987,""),"Peripheral",_xlfn.XLOOKUP($K65&amp;"",PERIPHERAL!$B$3:$B$954&amp;"",PERIPHERAL!$I$3:$I$954,""),"Utilities",_xlfn.XLOOKUP($K65&amp;"",UTILITIES!$B$3:$B$953&amp;"",UTILITIES!$H$3:$H$953,""),"IOT",_xlfn.XLOOKUP($K65&amp;"",IOT!$B$3:$B$1012&amp;"",IOT!$I$3:$I$1012,""),"SERVER",_xlfn.XLOOKUP($K65&amp;"",SERVER!$B$3:$B$1009&amp;"",SERVER!$I$3:$I$1009,""),""))</f>
        <v/>
      </c>
      <c r="M65" t="str" cm="1">
        <f t="array" ref="M65">IF($K65="","",_xlfn.SWITCH($I65,"Computer",_xlfn.XLOOKUP($K65&amp;"",COMPUTER!$B$3:$B$1009&amp;"",COMPUTER!$J$3:$J$1009,""),"Display",_xlfn.XLOOKUP($K65&amp;"",DISPLAY!$B$3:$B$1000&amp;"",DISPLAY!$K$3:$K$1000,""),"Network Device",_xlfn.XLOOKUP($K65&amp;"",'NETWORK-DEVICES'!$B$3:$B$987&amp;"",'NETWORK-DEVICES'!$I$3:$I$987,""),"Peripheral",_xlfn.XLOOKUP($K65&amp;"",PERIPHERAL!$B$3:$B$954&amp;"",PERIPHERAL!$J$3:$J$954,""),"Utilities",_xlfn.XLOOKUP($K65&amp;"",UTILITIES!$B$3:$B$953&amp;"",UTILITIES!$I$3:$I$953,""),"IOT",_xlfn.XLOOKUP($K65&amp;"",IOT!$B$3:$B$1012&amp;"",IOT!$J$3:$J$1012,""),"Server",_xlfn.XLOOKUP($K65&amp;"",SERVER!$B$3:$B$1009&amp;"",SERVER!$J$3:$J$1009,""),""))</f>
        <v/>
      </c>
      <c r="N65" s="1" t="str" cm="1">
        <f t="array" ref="N65">IF(OR($K65="",$I65="",$J65=""),"",_xlfn.LET(_xlpm.srcCat,_xlfn.SWITCH($I65,"Computer",_xlfn.XLOOKUP($K65&amp;"",COMPUTER!$B$3:$B$1009&amp;"",COMPUTER!$H$3:$H$1009,""),"Display",_xlfn.XLOOKUP($K65&amp;"",DISPLAY!$B$3:$B$1000&amp;"",DISPLAY!$H$3:$H$1000,""),"Network Device",_xlfn.XLOOKUP($K65&amp;"",'NETWORK-DEVICES'!$B$3:$B$987&amp;"",'NETWORK-DEVICES'!$H$3:$H$987,""),"Peripheral",_xlfn.XLOOKUP($K65&amp;"",PERIPHERAL!$B$3:$B$954&amp;"",PERIPHERAL!$H$3:$H$954,""),"Utilities",_xlfn.XLOOKUP($K65&amp;"",UTILITIES!$B$3:$B$953&amp;"",UTILITIES!$G$3:$G$953,""),"IOT",_xlfn.XLOOKUP($K65&amp;"",IOT!$B$3:$B$1012&amp;"",IOT!$H$3:$H$1012,""),"Server",_xlfn.XLOOKUP($K65&amp;"",SERVER!$B$3:$B$1009&amp;"",SERVER!$H$3:$H$1009,""),""),IF(TRIM(_xlpm.srcCat)&lt;&gt;TRIM($J65),"",_xlfn.SWITCH($I65,"Computer",_xlfn.XLOOKUP($K65&amp;"",COMPUTER!$B$3:$B$1009&amp;"",COMPUTER!$K$3:$K$1009,""),"Display",_xlfn.XLOOKUP($K65&amp;"",DISPLAY!$B$3:$B$1000&amp;"",DISPLAY!$L$3:$L$1000,""),"Network Device",_xlfn.XLOOKUP($K65&amp;"",'NETWORK-DEVICES'!$B$3:$B$987&amp;"",'NETWORK-DEVICES'!$K$3:$K$987,""),"Peripheral",_xlfn.XLOOKUP($K65&amp;"",PERIPHERAL!$B$3:$B$954&amp;"",PERIPHERAL!$K$3:$K$954,""),"Utilities",_xlfn.XLOOKUP($K65&amp;"",UTILITIES!$B$3:$B$953&amp;"",UTILITIES!$J$3:$J$953,""),"IOT",_xlfn.XLOOKUP($K65&amp;"",IOT!$B$3:$B$1012&amp;"",IOT!$K$4:$K$1012,""),"Server",_xlfn.XLOOKUP($K65&amp;"",SERVER!$B$3:$B$1009&amp;"",SERVER!$K$3:$K$1009,""),""))))</f>
        <v/>
      </c>
      <c r="O65" s="1" t="str" cm="1">
        <f t="array" ref="O65">IF(OR($K65="",$I65="",$J65=""),"",_xlfn.LET(_xlpm.srcCat,_xlfn.SWITCH($I65,"Computer",_xlfn.XLOOKUP($K65&amp;"",COMPUTER!$B$3:$B$1009&amp;"",COMPUTER!$H$3:$H$1009,""),"Display",_xlfn.XLOOKUP($K65&amp;"",DISPLAY!$B$3:$B$1000&amp;"",DISPLAY!$H$3:$H$1000,""),"Network Device",_xlfn.XLOOKUP($K65&amp;"",'NETWORK-DEVICES'!$B$3:$B$987&amp;"",'NETWORK-DEVICES'!$H$3:$H$987,""),"Peripheral",_xlfn.XLOOKUP($K65&amp;"",PERIPHERAL!$B$3:$B$954&amp;"",PERIPHERAL!$H$3:$H$954,""),"Utilities",_xlfn.XLOOKUP($K65&amp;"",UTILITIES!$B$3:$B$953&amp;"",UTILITIES!$G$3:$G$953,""),"IOT",_xlfn.XLOOKUP($K65&amp;"",IOT!$B$3:$B$1012&amp;"",IOT!$H$3:$H$1012,""),"Server",_xlfn.XLOOKUP($K65&amp;"",SERVER!$B$3:$B$1009&amp;"",SERVER!$H$3:$H$1009,""),""),IF(TRIM(_xlpm.srcCat)&lt;&gt;TRIM($J65),"",_xlfn.SWITCH($I65,"Computer",_xlfn.XLOOKUP($K65&amp;"",COMPUTER!$B$3:$B$1009&amp;"",COMPUTER!$E$3:$E$1009,""),"Display",_xlfn.XLOOKUP($K65&amp;"",DISPLAY!$B$3:$B$1000&amp;"",DISPLAY!$E$3:$E$1000,""),"Network Device",_xlfn.XLOOKUP($K65&amp;"",'NETWORK-DEVICES'!$B$3:$B$987&amp;"",'NETWORK-DEVICES'!$E$3:$E$987,""),"Peripheral",_xlfn.XLOOKUP($K65&amp;"",PERIPHERAL!$B$3:$B$954&amp;"",PERIPHERAL!$E$3:$E$954,""),"Utilities",_xlfn.XLOOKUP($K65&amp;"",UTILITIES!$B$3:$B$953&amp;"",UTILITIES!$E$3:$E$953,""),"IOT",_xlfn.XLOOKUP($K65&amp;"",IOT!$B$3:$B$1012&amp;"",IOT!$E$3:$E$1012,""),"Server",_xlfn.XLOOKUP($K65&amp;"",SERVER!$B$3:$B$1009&amp;"",SERVER!$E$3:$E$1009,""),""))))</f>
        <v/>
      </c>
      <c r="Q65" s="1" t="str" cm="1">
        <f t="array" ref="Q65">IF(OR($K65="",$I65="",$J65=""),"",_xlfn.LET(_xlpm.srcCat,_xlfn.SWITCH($I65,"Computer",_xlfn.XLOOKUP($K65&amp;"",COMPUTER!$B$3:$B$1009&amp;"",COMPUTER!$H$3:$H$1009,""),"Display",_xlfn.XLOOKUP($K65&amp;"",DISPLAY!$B$3:$B$1000&amp;"",DISPLAY!$H$3:$H$1000,""),"Network Device",_xlfn.XLOOKUP($K65&amp;"",'NETWORK-DEVICES'!$B$3:$B$987&amp;"",'NETWORK-DEVICES'!$H$3:$H$987,""),"Peripheral",_xlfn.XLOOKUP($K65&amp;"",PERIPHERAL!$B$3:$B$954&amp;"",PERIPHERAL!$H$3:$H$954,""),"Utilities",_xlfn.XLOOKUP($K65&amp;"",UTILITIES!$B$3:$B$953&amp;"",UTILITIES!$G$3:$G$953,""),"IOT",_xlfn.XLOOKUP($K65&amp;"",IOT!$B$3:$B$1012&amp;"",IOT!$H$3:$H$1012,""),"Server",_xlfn.XLOOKUP($K65&amp;"",SERVER!$B$3:$B$1009&amp;"",SERVER!$H$3:$H$1009,""),""),IF(TRIM(_xlpm.srcCat)&lt;&gt;TRIM($J65),"",_xlfn.SWITCH($I65,"Computer",_xlfn.XLOOKUP($K65&amp;"",COMPUTER!$B$3:$B$1009&amp;"",COMPUTER!$AM$3:$AM$1009,""),"Display",_xlfn.XLOOKUP($K65&amp;"",DISPLAY!$B$3:$B$1000&amp;"",DISPLAY!$V$3:$V$1000,""),"Network Device",_xlfn.XLOOKUP($K65&amp;"",'NETWORK-DEVICES'!$B$3:$B$987&amp;"",'NETWORK-DEVICES'!$AF$3:$AF$987,""),"Peripheral",_xlfn.XLOOKUP($K65&amp;"",PERIPHERAL!$B$3:$B$954&amp;"",PERIPHERAL!$Y$3:$Y$954,""),"Utilities",_xlfn.XLOOKUP($K65&amp;"",UTILITIES!$B$3:$B$953&amp;"",UTILITIES!$O$3:$O$953,""),"IOT",_xlfn.XLOOKUP($K65&amp;"",IOT!$B$3:$B$1012&amp;"",IOT!$AB$3:$AB$1012,""),"Server",_xlfn.XLOOKUP($K65&amp;"",SERVER!$B$3:$B$1009&amp;"",SERVER!$AB$3:$AB$1009,""),""))))</f>
        <v/>
      </c>
      <c r="R65" s="43" t="str">
        <f>IF(tbl_handover[[#This Row],[Asset Code]]="","",COUNTIF(tbl_handover[Asset Code],tbl_handover[[#This Row],[Asset Code]]))</f>
        <v/>
      </c>
    </row>
    <row r="66" spans="1:18" x14ac:dyDescent="0.25">
      <c r="A66" s="43" t="str">
        <f>IF(B66&lt;&gt;"",SUBTOTAL(3,$B$1:B65),"")</f>
        <v/>
      </c>
      <c r="C66" s="74"/>
      <c r="D66" s="74"/>
      <c r="G66" s="1"/>
      <c r="K66" s="42"/>
      <c r="L66" t="str" cm="1">
        <f t="array" ref="L66">IF($K66="","",_xlfn.SWITCH($I66,"Computer",_xlfn.XLOOKUP($K66&amp;"",COMPUTER!$B$3:$B$1009&amp;"",COMPUTER!$I$3:$I$1009,""),"Display",_xlfn.XLOOKUP($K66&amp;"",DISPLAY!$B$3:$B$1000&amp;"",DISPLAY!$J$3:$J$1000,""),"Network Device",_xlfn.XLOOKUP($K66&amp;"",'NETWORK-DEVICES'!$B$3:$B$987&amp;"",'NETWORK-DEVICES'!$I$3:$I$987,""),"Peripheral",_xlfn.XLOOKUP($K66&amp;"",PERIPHERAL!$B$3:$B$954&amp;"",PERIPHERAL!$I$3:$I$954,""),"Utilities",_xlfn.XLOOKUP($K66&amp;"",UTILITIES!$B$3:$B$953&amp;"",UTILITIES!$H$3:$H$953,""),"IOT",_xlfn.XLOOKUP($K66&amp;"",IOT!$B$3:$B$1012&amp;"",IOT!$I$3:$I$1012,""),"SERVER",_xlfn.XLOOKUP($K66&amp;"",SERVER!$B$3:$B$1009&amp;"",SERVER!$I$3:$I$1009,""),""))</f>
        <v/>
      </c>
      <c r="M66" t="str" cm="1">
        <f t="array" ref="M66">IF($K66="","",_xlfn.SWITCH($I66,"Computer",_xlfn.XLOOKUP($K66&amp;"",COMPUTER!$B$3:$B$1009&amp;"",COMPUTER!$J$3:$J$1009,""),"Display",_xlfn.XLOOKUP($K66&amp;"",DISPLAY!$B$3:$B$1000&amp;"",DISPLAY!$K$3:$K$1000,""),"Network Device",_xlfn.XLOOKUP($K66&amp;"",'NETWORK-DEVICES'!$B$3:$B$987&amp;"",'NETWORK-DEVICES'!$I$3:$I$987,""),"Peripheral",_xlfn.XLOOKUP($K66&amp;"",PERIPHERAL!$B$3:$B$954&amp;"",PERIPHERAL!$J$3:$J$954,""),"Utilities",_xlfn.XLOOKUP($K66&amp;"",UTILITIES!$B$3:$B$953&amp;"",UTILITIES!$I$3:$I$953,""),"IOT",_xlfn.XLOOKUP($K66&amp;"",IOT!$B$3:$B$1012&amp;"",IOT!$J$3:$J$1012,""),"Server",_xlfn.XLOOKUP($K66&amp;"",SERVER!$B$3:$B$1009&amp;"",SERVER!$J$3:$J$1009,""),""))</f>
        <v/>
      </c>
      <c r="N66" s="1" t="str" cm="1">
        <f t="array" ref="N66">IF(OR($K66="",$I66="",$J66=""),"",_xlfn.LET(_xlpm.srcCat,_xlfn.SWITCH($I66,"Computer",_xlfn.XLOOKUP($K66&amp;"",COMPUTER!$B$3:$B$1009&amp;"",COMPUTER!$H$3:$H$1009,""),"Display",_xlfn.XLOOKUP($K66&amp;"",DISPLAY!$B$3:$B$1000&amp;"",DISPLAY!$H$3:$H$1000,""),"Network Device",_xlfn.XLOOKUP($K66&amp;"",'NETWORK-DEVICES'!$B$3:$B$987&amp;"",'NETWORK-DEVICES'!$H$3:$H$987,""),"Peripheral",_xlfn.XLOOKUP($K66&amp;"",PERIPHERAL!$B$3:$B$954&amp;"",PERIPHERAL!$H$3:$H$954,""),"Utilities",_xlfn.XLOOKUP($K66&amp;"",UTILITIES!$B$3:$B$953&amp;"",UTILITIES!$G$3:$G$953,""),"IOT",_xlfn.XLOOKUP($K66&amp;"",IOT!$B$3:$B$1012&amp;"",IOT!$H$3:$H$1012,""),"Server",_xlfn.XLOOKUP($K66&amp;"",SERVER!$B$3:$B$1009&amp;"",SERVER!$H$3:$H$1009,""),""),IF(TRIM(_xlpm.srcCat)&lt;&gt;TRIM($J66),"",_xlfn.SWITCH($I66,"Computer",_xlfn.XLOOKUP($K66&amp;"",COMPUTER!$B$3:$B$1009&amp;"",COMPUTER!$K$3:$K$1009,""),"Display",_xlfn.XLOOKUP($K66&amp;"",DISPLAY!$B$3:$B$1000&amp;"",DISPLAY!$L$3:$L$1000,""),"Network Device",_xlfn.XLOOKUP($K66&amp;"",'NETWORK-DEVICES'!$B$3:$B$987&amp;"",'NETWORK-DEVICES'!$K$3:$K$987,""),"Peripheral",_xlfn.XLOOKUP($K66&amp;"",PERIPHERAL!$B$3:$B$954&amp;"",PERIPHERAL!$K$3:$K$954,""),"Utilities",_xlfn.XLOOKUP($K66&amp;"",UTILITIES!$B$3:$B$953&amp;"",UTILITIES!$J$3:$J$953,""),"IOT",_xlfn.XLOOKUP($K66&amp;"",IOT!$B$3:$B$1012&amp;"",IOT!$K$4:$K$1012,""),"Server",_xlfn.XLOOKUP($K66&amp;"",SERVER!$B$3:$B$1009&amp;"",SERVER!$K$3:$K$1009,""),""))))</f>
        <v/>
      </c>
      <c r="O66" s="1" t="str" cm="1">
        <f t="array" ref="O66">IF(OR($K66="",$I66="",$J66=""),"",_xlfn.LET(_xlpm.srcCat,_xlfn.SWITCH($I66,"Computer",_xlfn.XLOOKUP($K66&amp;"",COMPUTER!$B$3:$B$1009&amp;"",COMPUTER!$H$3:$H$1009,""),"Display",_xlfn.XLOOKUP($K66&amp;"",DISPLAY!$B$3:$B$1000&amp;"",DISPLAY!$H$3:$H$1000,""),"Network Device",_xlfn.XLOOKUP($K66&amp;"",'NETWORK-DEVICES'!$B$3:$B$987&amp;"",'NETWORK-DEVICES'!$H$3:$H$987,""),"Peripheral",_xlfn.XLOOKUP($K66&amp;"",PERIPHERAL!$B$3:$B$954&amp;"",PERIPHERAL!$H$3:$H$954,""),"Utilities",_xlfn.XLOOKUP($K66&amp;"",UTILITIES!$B$3:$B$953&amp;"",UTILITIES!$G$3:$G$953,""),"IOT",_xlfn.XLOOKUP($K66&amp;"",IOT!$B$3:$B$1012&amp;"",IOT!$H$3:$H$1012,""),"Server",_xlfn.XLOOKUP($K66&amp;"",SERVER!$B$3:$B$1009&amp;"",SERVER!$H$3:$H$1009,""),""),IF(TRIM(_xlpm.srcCat)&lt;&gt;TRIM($J66),"",_xlfn.SWITCH($I66,"Computer",_xlfn.XLOOKUP($K66&amp;"",COMPUTER!$B$3:$B$1009&amp;"",COMPUTER!$E$3:$E$1009,""),"Display",_xlfn.XLOOKUP($K66&amp;"",DISPLAY!$B$3:$B$1000&amp;"",DISPLAY!$E$3:$E$1000,""),"Network Device",_xlfn.XLOOKUP($K66&amp;"",'NETWORK-DEVICES'!$B$3:$B$987&amp;"",'NETWORK-DEVICES'!$E$3:$E$987,""),"Peripheral",_xlfn.XLOOKUP($K66&amp;"",PERIPHERAL!$B$3:$B$954&amp;"",PERIPHERAL!$E$3:$E$954,""),"Utilities",_xlfn.XLOOKUP($K66&amp;"",UTILITIES!$B$3:$B$953&amp;"",UTILITIES!$E$3:$E$953,""),"IOT",_xlfn.XLOOKUP($K66&amp;"",IOT!$B$3:$B$1012&amp;"",IOT!$E$3:$E$1012,""),"Server",_xlfn.XLOOKUP($K66&amp;"",SERVER!$B$3:$B$1009&amp;"",SERVER!$E$3:$E$1009,""),""))))</f>
        <v/>
      </c>
      <c r="Q66" s="1" t="str" cm="1">
        <f t="array" ref="Q66">IF(OR($K66="",$I66="",$J66=""),"",_xlfn.LET(_xlpm.srcCat,_xlfn.SWITCH($I66,"Computer",_xlfn.XLOOKUP($K66&amp;"",COMPUTER!$B$3:$B$1009&amp;"",COMPUTER!$H$3:$H$1009,""),"Display",_xlfn.XLOOKUP($K66&amp;"",DISPLAY!$B$3:$B$1000&amp;"",DISPLAY!$H$3:$H$1000,""),"Network Device",_xlfn.XLOOKUP($K66&amp;"",'NETWORK-DEVICES'!$B$3:$B$987&amp;"",'NETWORK-DEVICES'!$H$3:$H$987,""),"Peripheral",_xlfn.XLOOKUP($K66&amp;"",PERIPHERAL!$B$3:$B$954&amp;"",PERIPHERAL!$H$3:$H$954,""),"Utilities",_xlfn.XLOOKUP($K66&amp;"",UTILITIES!$B$3:$B$953&amp;"",UTILITIES!$G$3:$G$953,""),"IOT",_xlfn.XLOOKUP($K66&amp;"",IOT!$B$3:$B$1012&amp;"",IOT!$H$3:$H$1012,""),"Server",_xlfn.XLOOKUP($K66&amp;"",SERVER!$B$3:$B$1009&amp;"",SERVER!$H$3:$H$1009,""),""),IF(TRIM(_xlpm.srcCat)&lt;&gt;TRIM($J66),"",_xlfn.SWITCH($I66,"Computer",_xlfn.XLOOKUP($K66&amp;"",COMPUTER!$B$3:$B$1009&amp;"",COMPUTER!$AM$3:$AM$1009,""),"Display",_xlfn.XLOOKUP($K66&amp;"",DISPLAY!$B$3:$B$1000&amp;"",DISPLAY!$V$3:$V$1000,""),"Network Device",_xlfn.XLOOKUP($K66&amp;"",'NETWORK-DEVICES'!$B$3:$B$987&amp;"",'NETWORK-DEVICES'!$AF$3:$AF$987,""),"Peripheral",_xlfn.XLOOKUP($K66&amp;"",PERIPHERAL!$B$3:$B$954&amp;"",PERIPHERAL!$Y$3:$Y$954,""),"Utilities",_xlfn.XLOOKUP($K66&amp;"",UTILITIES!$B$3:$B$953&amp;"",UTILITIES!$O$3:$O$953,""),"IOT",_xlfn.XLOOKUP($K66&amp;"",IOT!$B$3:$B$1012&amp;"",IOT!$AB$3:$AB$1012,""),"Server",_xlfn.XLOOKUP($K66&amp;"",SERVER!$B$3:$B$1009&amp;"",SERVER!$AB$3:$AB$1009,""),""))))</f>
        <v/>
      </c>
      <c r="R66" s="43" t="str">
        <f>IF(tbl_handover[[#This Row],[Asset Code]]="","",COUNTIF(tbl_handover[Asset Code],tbl_handover[[#This Row],[Asset Code]]))</f>
        <v/>
      </c>
    </row>
    <row r="67" spans="1:18" x14ac:dyDescent="0.25">
      <c r="A67" s="43" t="str">
        <f>IF(B67&lt;&gt;"",SUBTOTAL(3,$B$1:B66),"")</f>
        <v/>
      </c>
      <c r="C67" s="74"/>
      <c r="D67" s="74"/>
      <c r="G67" s="1"/>
      <c r="K67" s="42"/>
      <c r="L67" t="str" cm="1">
        <f t="array" ref="L67">IF($K67="","",_xlfn.SWITCH($I67,"Computer",_xlfn.XLOOKUP($K67&amp;"",COMPUTER!$B$3:$B$1009&amp;"",COMPUTER!$I$3:$I$1009,""),"Display",_xlfn.XLOOKUP($K67&amp;"",DISPLAY!$B$3:$B$1000&amp;"",DISPLAY!$J$3:$J$1000,""),"Network Device",_xlfn.XLOOKUP($K67&amp;"",'NETWORK-DEVICES'!$B$3:$B$987&amp;"",'NETWORK-DEVICES'!$I$3:$I$987,""),"Peripheral",_xlfn.XLOOKUP($K67&amp;"",PERIPHERAL!$B$3:$B$954&amp;"",PERIPHERAL!$I$3:$I$954,""),"Utilities",_xlfn.XLOOKUP($K67&amp;"",UTILITIES!$B$3:$B$953&amp;"",UTILITIES!$H$3:$H$953,""),"IOT",_xlfn.XLOOKUP($K67&amp;"",IOT!$B$3:$B$1012&amp;"",IOT!$I$3:$I$1012,""),"SERVER",_xlfn.XLOOKUP($K67&amp;"",SERVER!$B$3:$B$1009&amp;"",SERVER!$I$3:$I$1009,""),""))</f>
        <v/>
      </c>
      <c r="M67" t="str" cm="1">
        <f t="array" ref="M67">IF($K67="","",_xlfn.SWITCH($I67,"Computer",_xlfn.XLOOKUP($K67&amp;"",COMPUTER!$B$3:$B$1009&amp;"",COMPUTER!$J$3:$J$1009,""),"Display",_xlfn.XLOOKUP($K67&amp;"",DISPLAY!$B$3:$B$1000&amp;"",DISPLAY!$K$3:$K$1000,""),"Network Device",_xlfn.XLOOKUP($K67&amp;"",'NETWORK-DEVICES'!$B$3:$B$987&amp;"",'NETWORK-DEVICES'!$I$3:$I$987,""),"Peripheral",_xlfn.XLOOKUP($K67&amp;"",PERIPHERAL!$B$3:$B$954&amp;"",PERIPHERAL!$J$3:$J$954,""),"Utilities",_xlfn.XLOOKUP($K67&amp;"",UTILITIES!$B$3:$B$953&amp;"",UTILITIES!$I$3:$I$953,""),"IOT",_xlfn.XLOOKUP($K67&amp;"",IOT!$B$3:$B$1012&amp;"",IOT!$J$3:$J$1012,""),"Server",_xlfn.XLOOKUP($K67&amp;"",SERVER!$B$3:$B$1009&amp;"",SERVER!$J$3:$J$1009,""),""))</f>
        <v/>
      </c>
      <c r="N67" s="1" t="str" cm="1">
        <f t="array" ref="N67">IF(OR($K67="",$I67="",$J67=""),"",_xlfn.LET(_xlpm.srcCat,_xlfn.SWITCH($I67,"Computer",_xlfn.XLOOKUP($K67&amp;"",COMPUTER!$B$3:$B$1009&amp;"",COMPUTER!$H$3:$H$1009,""),"Display",_xlfn.XLOOKUP($K67&amp;"",DISPLAY!$B$3:$B$1000&amp;"",DISPLAY!$H$3:$H$1000,""),"Network Device",_xlfn.XLOOKUP($K67&amp;"",'NETWORK-DEVICES'!$B$3:$B$987&amp;"",'NETWORK-DEVICES'!$H$3:$H$987,""),"Peripheral",_xlfn.XLOOKUP($K67&amp;"",PERIPHERAL!$B$3:$B$954&amp;"",PERIPHERAL!$H$3:$H$954,""),"Utilities",_xlfn.XLOOKUP($K67&amp;"",UTILITIES!$B$3:$B$953&amp;"",UTILITIES!$G$3:$G$953,""),"IOT",_xlfn.XLOOKUP($K67&amp;"",IOT!$B$3:$B$1012&amp;"",IOT!$H$3:$H$1012,""),"Server",_xlfn.XLOOKUP($K67&amp;"",SERVER!$B$3:$B$1009&amp;"",SERVER!$H$3:$H$1009,""),""),IF(TRIM(_xlpm.srcCat)&lt;&gt;TRIM($J67),"",_xlfn.SWITCH($I67,"Computer",_xlfn.XLOOKUP($K67&amp;"",COMPUTER!$B$3:$B$1009&amp;"",COMPUTER!$K$3:$K$1009,""),"Display",_xlfn.XLOOKUP($K67&amp;"",DISPLAY!$B$3:$B$1000&amp;"",DISPLAY!$L$3:$L$1000,""),"Network Device",_xlfn.XLOOKUP($K67&amp;"",'NETWORK-DEVICES'!$B$3:$B$987&amp;"",'NETWORK-DEVICES'!$K$3:$K$987,""),"Peripheral",_xlfn.XLOOKUP($K67&amp;"",PERIPHERAL!$B$3:$B$954&amp;"",PERIPHERAL!$K$3:$K$954,""),"Utilities",_xlfn.XLOOKUP($K67&amp;"",UTILITIES!$B$3:$B$953&amp;"",UTILITIES!$J$3:$J$953,""),"IOT",_xlfn.XLOOKUP($K67&amp;"",IOT!$B$3:$B$1012&amp;"",IOT!$K$4:$K$1012,""),"Server",_xlfn.XLOOKUP($K67&amp;"",SERVER!$B$3:$B$1009&amp;"",SERVER!$K$3:$K$1009,""),""))))</f>
        <v/>
      </c>
      <c r="O67" s="1" t="str" cm="1">
        <f t="array" ref="O67">IF(OR($K67="",$I67="",$J67=""),"",_xlfn.LET(_xlpm.srcCat,_xlfn.SWITCH($I67,"Computer",_xlfn.XLOOKUP($K67&amp;"",COMPUTER!$B$3:$B$1009&amp;"",COMPUTER!$H$3:$H$1009,""),"Display",_xlfn.XLOOKUP($K67&amp;"",DISPLAY!$B$3:$B$1000&amp;"",DISPLAY!$H$3:$H$1000,""),"Network Device",_xlfn.XLOOKUP($K67&amp;"",'NETWORK-DEVICES'!$B$3:$B$987&amp;"",'NETWORK-DEVICES'!$H$3:$H$987,""),"Peripheral",_xlfn.XLOOKUP($K67&amp;"",PERIPHERAL!$B$3:$B$954&amp;"",PERIPHERAL!$H$3:$H$954,""),"Utilities",_xlfn.XLOOKUP($K67&amp;"",UTILITIES!$B$3:$B$953&amp;"",UTILITIES!$G$3:$G$953,""),"IOT",_xlfn.XLOOKUP($K67&amp;"",IOT!$B$3:$B$1012&amp;"",IOT!$H$3:$H$1012,""),"Server",_xlfn.XLOOKUP($K67&amp;"",SERVER!$B$3:$B$1009&amp;"",SERVER!$H$3:$H$1009,""),""),IF(TRIM(_xlpm.srcCat)&lt;&gt;TRIM($J67),"",_xlfn.SWITCH($I67,"Computer",_xlfn.XLOOKUP($K67&amp;"",COMPUTER!$B$3:$B$1009&amp;"",COMPUTER!$E$3:$E$1009,""),"Display",_xlfn.XLOOKUP($K67&amp;"",DISPLAY!$B$3:$B$1000&amp;"",DISPLAY!$E$3:$E$1000,""),"Network Device",_xlfn.XLOOKUP($K67&amp;"",'NETWORK-DEVICES'!$B$3:$B$987&amp;"",'NETWORK-DEVICES'!$E$3:$E$987,""),"Peripheral",_xlfn.XLOOKUP($K67&amp;"",PERIPHERAL!$B$3:$B$954&amp;"",PERIPHERAL!$E$3:$E$954,""),"Utilities",_xlfn.XLOOKUP($K67&amp;"",UTILITIES!$B$3:$B$953&amp;"",UTILITIES!$E$3:$E$953,""),"IOT",_xlfn.XLOOKUP($K67&amp;"",IOT!$B$3:$B$1012&amp;"",IOT!$E$3:$E$1012,""),"Server",_xlfn.XLOOKUP($K67&amp;"",SERVER!$B$3:$B$1009&amp;"",SERVER!$E$3:$E$1009,""),""))))</f>
        <v/>
      </c>
      <c r="Q67" s="1" t="str" cm="1">
        <f t="array" ref="Q67">IF(OR($K67="",$I67="",$J67=""),"",_xlfn.LET(_xlpm.srcCat,_xlfn.SWITCH($I67,"Computer",_xlfn.XLOOKUP($K67&amp;"",COMPUTER!$B$3:$B$1009&amp;"",COMPUTER!$H$3:$H$1009,""),"Display",_xlfn.XLOOKUP($K67&amp;"",DISPLAY!$B$3:$B$1000&amp;"",DISPLAY!$H$3:$H$1000,""),"Network Device",_xlfn.XLOOKUP($K67&amp;"",'NETWORK-DEVICES'!$B$3:$B$987&amp;"",'NETWORK-DEVICES'!$H$3:$H$987,""),"Peripheral",_xlfn.XLOOKUP($K67&amp;"",PERIPHERAL!$B$3:$B$954&amp;"",PERIPHERAL!$H$3:$H$954,""),"Utilities",_xlfn.XLOOKUP($K67&amp;"",UTILITIES!$B$3:$B$953&amp;"",UTILITIES!$G$3:$G$953,""),"IOT",_xlfn.XLOOKUP($K67&amp;"",IOT!$B$3:$B$1012&amp;"",IOT!$H$3:$H$1012,""),"Server",_xlfn.XLOOKUP($K67&amp;"",SERVER!$B$3:$B$1009&amp;"",SERVER!$H$3:$H$1009,""),""),IF(TRIM(_xlpm.srcCat)&lt;&gt;TRIM($J67),"",_xlfn.SWITCH($I67,"Computer",_xlfn.XLOOKUP($K67&amp;"",COMPUTER!$B$3:$B$1009&amp;"",COMPUTER!$AM$3:$AM$1009,""),"Display",_xlfn.XLOOKUP($K67&amp;"",DISPLAY!$B$3:$B$1000&amp;"",DISPLAY!$V$3:$V$1000,""),"Network Device",_xlfn.XLOOKUP($K67&amp;"",'NETWORK-DEVICES'!$B$3:$B$987&amp;"",'NETWORK-DEVICES'!$AF$3:$AF$987,""),"Peripheral",_xlfn.XLOOKUP($K67&amp;"",PERIPHERAL!$B$3:$B$954&amp;"",PERIPHERAL!$Y$3:$Y$954,""),"Utilities",_xlfn.XLOOKUP($K67&amp;"",UTILITIES!$B$3:$B$953&amp;"",UTILITIES!$O$3:$O$953,""),"IOT",_xlfn.XLOOKUP($K67&amp;"",IOT!$B$3:$B$1012&amp;"",IOT!$AB$3:$AB$1012,""),"Server",_xlfn.XLOOKUP($K67&amp;"",SERVER!$B$3:$B$1009&amp;"",SERVER!$AB$3:$AB$1009,""),""))))</f>
        <v/>
      </c>
      <c r="R67" s="43" t="str">
        <f>IF(tbl_handover[[#This Row],[Asset Code]]="","",COUNTIF(tbl_handover[Asset Code],tbl_handover[[#This Row],[Asset Code]]))</f>
        <v/>
      </c>
    </row>
    <row r="68" spans="1:18" x14ac:dyDescent="0.25">
      <c r="A68" s="43" t="str">
        <f>IF(B68&lt;&gt;"",SUBTOTAL(3,$B$1:B67),"")</f>
        <v/>
      </c>
      <c r="C68" s="74"/>
      <c r="D68" s="74"/>
      <c r="G68" s="1"/>
      <c r="K68" s="42"/>
      <c r="L68" t="str" cm="1">
        <f t="array" ref="L68">IF($K68="","",_xlfn.SWITCH($I68,"Computer",_xlfn.XLOOKUP($K68&amp;"",COMPUTER!$B$3:$B$1009&amp;"",COMPUTER!$I$3:$I$1009,""),"Display",_xlfn.XLOOKUP($K68&amp;"",DISPLAY!$B$3:$B$1000&amp;"",DISPLAY!$J$3:$J$1000,""),"Network Device",_xlfn.XLOOKUP($K68&amp;"",'NETWORK-DEVICES'!$B$3:$B$987&amp;"",'NETWORK-DEVICES'!$I$3:$I$987,""),"Peripheral",_xlfn.XLOOKUP($K68&amp;"",PERIPHERAL!$B$3:$B$954&amp;"",PERIPHERAL!$I$3:$I$954,""),"Utilities",_xlfn.XLOOKUP($K68&amp;"",UTILITIES!$B$3:$B$953&amp;"",UTILITIES!$H$3:$H$953,""),"IOT",_xlfn.XLOOKUP($K68&amp;"",IOT!$B$3:$B$1012&amp;"",IOT!$I$3:$I$1012,""),"SERVER",_xlfn.XLOOKUP($K68&amp;"",SERVER!$B$3:$B$1009&amp;"",SERVER!$I$3:$I$1009,""),""))</f>
        <v/>
      </c>
      <c r="M68" t="str" cm="1">
        <f t="array" ref="M68">IF($K68="","",_xlfn.SWITCH($I68,"Computer",_xlfn.XLOOKUP($K68&amp;"",COMPUTER!$B$3:$B$1009&amp;"",COMPUTER!$J$3:$J$1009,""),"Display",_xlfn.XLOOKUP($K68&amp;"",DISPLAY!$B$3:$B$1000&amp;"",DISPLAY!$K$3:$K$1000,""),"Network Device",_xlfn.XLOOKUP($K68&amp;"",'NETWORK-DEVICES'!$B$3:$B$987&amp;"",'NETWORK-DEVICES'!$I$3:$I$987,""),"Peripheral",_xlfn.XLOOKUP($K68&amp;"",PERIPHERAL!$B$3:$B$954&amp;"",PERIPHERAL!$J$3:$J$954,""),"Utilities",_xlfn.XLOOKUP($K68&amp;"",UTILITIES!$B$3:$B$953&amp;"",UTILITIES!$I$3:$I$953,""),"IOT",_xlfn.XLOOKUP($K68&amp;"",IOT!$B$3:$B$1012&amp;"",IOT!$J$3:$J$1012,""),"Server",_xlfn.XLOOKUP($K68&amp;"",SERVER!$B$3:$B$1009&amp;"",SERVER!$J$3:$J$1009,""),""))</f>
        <v/>
      </c>
      <c r="N68" s="1" t="str" cm="1">
        <f t="array" ref="N68">IF(OR($K68="",$I68="",$J68=""),"",_xlfn.LET(_xlpm.srcCat,_xlfn.SWITCH($I68,"Computer",_xlfn.XLOOKUP($K68&amp;"",COMPUTER!$B$3:$B$1009&amp;"",COMPUTER!$H$3:$H$1009,""),"Display",_xlfn.XLOOKUP($K68&amp;"",DISPLAY!$B$3:$B$1000&amp;"",DISPLAY!$H$3:$H$1000,""),"Network Device",_xlfn.XLOOKUP($K68&amp;"",'NETWORK-DEVICES'!$B$3:$B$987&amp;"",'NETWORK-DEVICES'!$H$3:$H$987,""),"Peripheral",_xlfn.XLOOKUP($K68&amp;"",PERIPHERAL!$B$3:$B$954&amp;"",PERIPHERAL!$H$3:$H$954,""),"Utilities",_xlfn.XLOOKUP($K68&amp;"",UTILITIES!$B$3:$B$953&amp;"",UTILITIES!$G$3:$G$953,""),"IOT",_xlfn.XLOOKUP($K68&amp;"",IOT!$B$3:$B$1012&amp;"",IOT!$H$3:$H$1012,""),"Server",_xlfn.XLOOKUP($K68&amp;"",SERVER!$B$3:$B$1009&amp;"",SERVER!$H$3:$H$1009,""),""),IF(TRIM(_xlpm.srcCat)&lt;&gt;TRIM($J68),"",_xlfn.SWITCH($I68,"Computer",_xlfn.XLOOKUP($K68&amp;"",COMPUTER!$B$3:$B$1009&amp;"",COMPUTER!$K$3:$K$1009,""),"Display",_xlfn.XLOOKUP($K68&amp;"",DISPLAY!$B$3:$B$1000&amp;"",DISPLAY!$L$3:$L$1000,""),"Network Device",_xlfn.XLOOKUP($K68&amp;"",'NETWORK-DEVICES'!$B$3:$B$987&amp;"",'NETWORK-DEVICES'!$K$3:$K$987,""),"Peripheral",_xlfn.XLOOKUP($K68&amp;"",PERIPHERAL!$B$3:$B$954&amp;"",PERIPHERAL!$K$3:$K$954,""),"Utilities",_xlfn.XLOOKUP($K68&amp;"",UTILITIES!$B$3:$B$953&amp;"",UTILITIES!$J$3:$J$953,""),"IOT",_xlfn.XLOOKUP($K68&amp;"",IOT!$B$3:$B$1012&amp;"",IOT!$K$4:$K$1012,""),"Server",_xlfn.XLOOKUP($K68&amp;"",SERVER!$B$3:$B$1009&amp;"",SERVER!$K$3:$K$1009,""),""))))</f>
        <v/>
      </c>
      <c r="O68" s="1" t="str" cm="1">
        <f t="array" ref="O68">IF(OR($K68="",$I68="",$J68=""),"",_xlfn.LET(_xlpm.srcCat,_xlfn.SWITCH($I68,"Computer",_xlfn.XLOOKUP($K68&amp;"",COMPUTER!$B$3:$B$1009&amp;"",COMPUTER!$H$3:$H$1009,""),"Display",_xlfn.XLOOKUP($K68&amp;"",DISPLAY!$B$3:$B$1000&amp;"",DISPLAY!$H$3:$H$1000,""),"Network Device",_xlfn.XLOOKUP($K68&amp;"",'NETWORK-DEVICES'!$B$3:$B$987&amp;"",'NETWORK-DEVICES'!$H$3:$H$987,""),"Peripheral",_xlfn.XLOOKUP($K68&amp;"",PERIPHERAL!$B$3:$B$954&amp;"",PERIPHERAL!$H$3:$H$954,""),"Utilities",_xlfn.XLOOKUP($K68&amp;"",UTILITIES!$B$3:$B$953&amp;"",UTILITIES!$G$3:$G$953,""),"IOT",_xlfn.XLOOKUP($K68&amp;"",IOT!$B$3:$B$1012&amp;"",IOT!$H$3:$H$1012,""),"Server",_xlfn.XLOOKUP($K68&amp;"",SERVER!$B$3:$B$1009&amp;"",SERVER!$H$3:$H$1009,""),""),IF(TRIM(_xlpm.srcCat)&lt;&gt;TRIM($J68),"",_xlfn.SWITCH($I68,"Computer",_xlfn.XLOOKUP($K68&amp;"",COMPUTER!$B$3:$B$1009&amp;"",COMPUTER!$E$3:$E$1009,""),"Display",_xlfn.XLOOKUP($K68&amp;"",DISPLAY!$B$3:$B$1000&amp;"",DISPLAY!$E$3:$E$1000,""),"Network Device",_xlfn.XLOOKUP($K68&amp;"",'NETWORK-DEVICES'!$B$3:$B$987&amp;"",'NETWORK-DEVICES'!$E$3:$E$987,""),"Peripheral",_xlfn.XLOOKUP($K68&amp;"",PERIPHERAL!$B$3:$B$954&amp;"",PERIPHERAL!$E$3:$E$954,""),"Utilities",_xlfn.XLOOKUP($K68&amp;"",UTILITIES!$B$3:$B$953&amp;"",UTILITIES!$E$3:$E$953,""),"IOT",_xlfn.XLOOKUP($K68&amp;"",IOT!$B$3:$B$1012&amp;"",IOT!$E$3:$E$1012,""),"Server",_xlfn.XLOOKUP($K68&amp;"",SERVER!$B$3:$B$1009&amp;"",SERVER!$E$3:$E$1009,""),""))))</f>
        <v/>
      </c>
      <c r="Q68" s="1" t="str" cm="1">
        <f t="array" ref="Q68">IF(OR($K68="",$I68="",$J68=""),"",_xlfn.LET(_xlpm.srcCat,_xlfn.SWITCH($I68,"Computer",_xlfn.XLOOKUP($K68&amp;"",COMPUTER!$B$3:$B$1009&amp;"",COMPUTER!$H$3:$H$1009,""),"Display",_xlfn.XLOOKUP($K68&amp;"",DISPLAY!$B$3:$B$1000&amp;"",DISPLAY!$H$3:$H$1000,""),"Network Device",_xlfn.XLOOKUP($K68&amp;"",'NETWORK-DEVICES'!$B$3:$B$987&amp;"",'NETWORK-DEVICES'!$H$3:$H$987,""),"Peripheral",_xlfn.XLOOKUP($K68&amp;"",PERIPHERAL!$B$3:$B$954&amp;"",PERIPHERAL!$H$3:$H$954,""),"Utilities",_xlfn.XLOOKUP($K68&amp;"",UTILITIES!$B$3:$B$953&amp;"",UTILITIES!$G$3:$G$953,""),"IOT",_xlfn.XLOOKUP($K68&amp;"",IOT!$B$3:$B$1012&amp;"",IOT!$H$3:$H$1012,""),"Server",_xlfn.XLOOKUP($K68&amp;"",SERVER!$B$3:$B$1009&amp;"",SERVER!$H$3:$H$1009,""),""),IF(TRIM(_xlpm.srcCat)&lt;&gt;TRIM($J68),"",_xlfn.SWITCH($I68,"Computer",_xlfn.XLOOKUP($K68&amp;"",COMPUTER!$B$3:$B$1009&amp;"",COMPUTER!$AM$3:$AM$1009,""),"Display",_xlfn.XLOOKUP($K68&amp;"",DISPLAY!$B$3:$B$1000&amp;"",DISPLAY!$V$3:$V$1000,""),"Network Device",_xlfn.XLOOKUP($K68&amp;"",'NETWORK-DEVICES'!$B$3:$B$987&amp;"",'NETWORK-DEVICES'!$AF$3:$AF$987,""),"Peripheral",_xlfn.XLOOKUP($K68&amp;"",PERIPHERAL!$B$3:$B$954&amp;"",PERIPHERAL!$Y$3:$Y$954,""),"Utilities",_xlfn.XLOOKUP($K68&amp;"",UTILITIES!$B$3:$B$953&amp;"",UTILITIES!$O$3:$O$953,""),"IOT",_xlfn.XLOOKUP($K68&amp;"",IOT!$B$3:$B$1012&amp;"",IOT!$AB$3:$AB$1012,""),"Server",_xlfn.XLOOKUP($K68&amp;"",SERVER!$B$3:$B$1009&amp;"",SERVER!$AB$3:$AB$1009,""),""))))</f>
        <v/>
      </c>
      <c r="R68" s="43" t="str">
        <f>IF(tbl_handover[[#This Row],[Asset Code]]="","",COUNTIF(tbl_handover[Asset Code],tbl_handover[[#This Row],[Asset Code]]))</f>
        <v/>
      </c>
    </row>
    <row r="69" spans="1:18" x14ac:dyDescent="0.25">
      <c r="A69" s="43" t="str">
        <f>IF(B69&lt;&gt;"",SUBTOTAL(3,$B$1:B68),"")</f>
        <v/>
      </c>
      <c r="C69" s="74"/>
      <c r="D69" s="74"/>
      <c r="G69" s="1"/>
      <c r="K69" s="42"/>
      <c r="L69" t="str" cm="1">
        <f t="array" ref="L69">IF($K69="","",_xlfn.SWITCH($I69,"Computer",_xlfn.XLOOKUP($K69&amp;"",COMPUTER!$B$3:$B$1009&amp;"",COMPUTER!$I$3:$I$1009,""),"Display",_xlfn.XLOOKUP($K69&amp;"",DISPLAY!$B$3:$B$1000&amp;"",DISPLAY!$J$3:$J$1000,""),"Network Device",_xlfn.XLOOKUP($K69&amp;"",'NETWORK-DEVICES'!$B$3:$B$987&amp;"",'NETWORK-DEVICES'!$I$3:$I$987,""),"Peripheral",_xlfn.XLOOKUP($K69&amp;"",PERIPHERAL!$B$3:$B$954&amp;"",PERIPHERAL!$I$3:$I$954,""),"Utilities",_xlfn.XLOOKUP($K69&amp;"",UTILITIES!$B$3:$B$953&amp;"",UTILITIES!$H$3:$H$953,""),"IOT",_xlfn.XLOOKUP($K69&amp;"",IOT!$B$3:$B$1012&amp;"",IOT!$I$3:$I$1012,""),"SERVER",_xlfn.XLOOKUP($K69&amp;"",SERVER!$B$3:$B$1009&amp;"",SERVER!$I$3:$I$1009,""),""))</f>
        <v/>
      </c>
      <c r="M69" t="str" cm="1">
        <f t="array" ref="M69">IF($K69="","",_xlfn.SWITCH($I69,"Computer",_xlfn.XLOOKUP($K69&amp;"",COMPUTER!$B$3:$B$1009&amp;"",COMPUTER!$J$3:$J$1009,""),"Display",_xlfn.XLOOKUP($K69&amp;"",DISPLAY!$B$3:$B$1000&amp;"",DISPLAY!$K$3:$K$1000,""),"Network Device",_xlfn.XLOOKUP($K69&amp;"",'NETWORK-DEVICES'!$B$3:$B$987&amp;"",'NETWORK-DEVICES'!$I$3:$I$987,""),"Peripheral",_xlfn.XLOOKUP($K69&amp;"",PERIPHERAL!$B$3:$B$954&amp;"",PERIPHERAL!$J$3:$J$954,""),"Utilities",_xlfn.XLOOKUP($K69&amp;"",UTILITIES!$B$3:$B$953&amp;"",UTILITIES!$I$3:$I$953,""),"IOT",_xlfn.XLOOKUP($K69&amp;"",IOT!$B$3:$B$1012&amp;"",IOT!$J$3:$J$1012,""),"Server",_xlfn.XLOOKUP($K69&amp;"",SERVER!$B$3:$B$1009&amp;"",SERVER!$J$3:$J$1009,""),""))</f>
        <v/>
      </c>
      <c r="N69" s="1" t="str" cm="1">
        <f t="array" ref="N69">IF(OR($K69="",$I69="",$J69=""),"",_xlfn.LET(_xlpm.srcCat,_xlfn.SWITCH($I69,"Computer",_xlfn.XLOOKUP($K69&amp;"",COMPUTER!$B$3:$B$1009&amp;"",COMPUTER!$H$3:$H$1009,""),"Display",_xlfn.XLOOKUP($K69&amp;"",DISPLAY!$B$3:$B$1000&amp;"",DISPLAY!$H$3:$H$1000,""),"Network Device",_xlfn.XLOOKUP($K69&amp;"",'NETWORK-DEVICES'!$B$3:$B$987&amp;"",'NETWORK-DEVICES'!$H$3:$H$987,""),"Peripheral",_xlfn.XLOOKUP($K69&amp;"",PERIPHERAL!$B$3:$B$954&amp;"",PERIPHERAL!$H$3:$H$954,""),"Utilities",_xlfn.XLOOKUP($K69&amp;"",UTILITIES!$B$3:$B$953&amp;"",UTILITIES!$G$3:$G$953,""),"IOT",_xlfn.XLOOKUP($K69&amp;"",IOT!$B$3:$B$1012&amp;"",IOT!$H$3:$H$1012,""),"Server",_xlfn.XLOOKUP($K69&amp;"",SERVER!$B$3:$B$1009&amp;"",SERVER!$H$3:$H$1009,""),""),IF(TRIM(_xlpm.srcCat)&lt;&gt;TRIM($J69),"",_xlfn.SWITCH($I69,"Computer",_xlfn.XLOOKUP($K69&amp;"",COMPUTER!$B$3:$B$1009&amp;"",COMPUTER!$K$3:$K$1009,""),"Display",_xlfn.XLOOKUP($K69&amp;"",DISPLAY!$B$3:$B$1000&amp;"",DISPLAY!$L$3:$L$1000,""),"Network Device",_xlfn.XLOOKUP($K69&amp;"",'NETWORK-DEVICES'!$B$3:$B$987&amp;"",'NETWORK-DEVICES'!$K$3:$K$987,""),"Peripheral",_xlfn.XLOOKUP($K69&amp;"",PERIPHERAL!$B$3:$B$954&amp;"",PERIPHERAL!$K$3:$K$954,""),"Utilities",_xlfn.XLOOKUP($K69&amp;"",UTILITIES!$B$3:$B$953&amp;"",UTILITIES!$J$3:$J$953,""),"IOT",_xlfn.XLOOKUP($K69&amp;"",IOT!$B$3:$B$1012&amp;"",IOT!$K$4:$K$1012,""),"Server",_xlfn.XLOOKUP($K69&amp;"",SERVER!$B$3:$B$1009&amp;"",SERVER!$K$3:$K$1009,""),""))))</f>
        <v/>
      </c>
      <c r="O69" s="1" t="str" cm="1">
        <f t="array" ref="O69">IF(OR($K69="",$I69="",$J69=""),"",_xlfn.LET(_xlpm.srcCat,_xlfn.SWITCH($I69,"Computer",_xlfn.XLOOKUP($K69&amp;"",COMPUTER!$B$3:$B$1009&amp;"",COMPUTER!$H$3:$H$1009,""),"Display",_xlfn.XLOOKUP($K69&amp;"",DISPLAY!$B$3:$B$1000&amp;"",DISPLAY!$H$3:$H$1000,""),"Network Device",_xlfn.XLOOKUP($K69&amp;"",'NETWORK-DEVICES'!$B$3:$B$987&amp;"",'NETWORK-DEVICES'!$H$3:$H$987,""),"Peripheral",_xlfn.XLOOKUP($K69&amp;"",PERIPHERAL!$B$3:$B$954&amp;"",PERIPHERAL!$H$3:$H$954,""),"Utilities",_xlfn.XLOOKUP($K69&amp;"",UTILITIES!$B$3:$B$953&amp;"",UTILITIES!$G$3:$G$953,""),"IOT",_xlfn.XLOOKUP($K69&amp;"",IOT!$B$3:$B$1012&amp;"",IOT!$H$3:$H$1012,""),"Server",_xlfn.XLOOKUP($K69&amp;"",SERVER!$B$3:$B$1009&amp;"",SERVER!$H$3:$H$1009,""),""),IF(TRIM(_xlpm.srcCat)&lt;&gt;TRIM($J69),"",_xlfn.SWITCH($I69,"Computer",_xlfn.XLOOKUP($K69&amp;"",COMPUTER!$B$3:$B$1009&amp;"",COMPUTER!$E$3:$E$1009,""),"Display",_xlfn.XLOOKUP($K69&amp;"",DISPLAY!$B$3:$B$1000&amp;"",DISPLAY!$E$3:$E$1000,""),"Network Device",_xlfn.XLOOKUP($K69&amp;"",'NETWORK-DEVICES'!$B$3:$B$987&amp;"",'NETWORK-DEVICES'!$E$3:$E$987,""),"Peripheral",_xlfn.XLOOKUP($K69&amp;"",PERIPHERAL!$B$3:$B$954&amp;"",PERIPHERAL!$E$3:$E$954,""),"Utilities",_xlfn.XLOOKUP($K69&amp;"",UTILITIES!$B$3:$B$953&amp;"",UTILITIES!$E$3:$E$953,""),"IOT",_xlfn.XLOOKUP($K69&amp;"",IOT!$B$3:$B$1012&amp;"",IOT!$E$3:$E$1012,""),"Server",_xlfn.XLOOKUP($K69&amp;"",SERVER!$B$3:$B$1009&amp;"",SERVER!$E$3:$E$1009,""),""))))</f>
        <v/>
      </c>
      <c r="Q69" s="1" t="str" cm="1">
        <f t="array" ref="Q69">IF(OR($K69="",$I69="",$J69=""),"",_xlfn.LET(_xlpm.srcCat,_xlfn.SWITCH($I69,"Computer",_xlfn.XLOOKUP($K69&amp;"",COMPUTER!$B$3:$B$1009&amp;"",COMPUTER!$H$3:$H$1009,""),"Display",_xlfn.XLOOKUP($K69&amp;"",DISPLAY!$B$3:$B$1000&amp;"",DISPLAY!$H$3:$H$1000,""),"Network Device",_xlfn.XLOOKUP($K69&amp;"",'NETWORK-DEVICES'!$B$3:$B$987&amp;"",'NETWORK-DEVICES'!$H$3:$H$987,""),"Peripheral",_xlfn.XLOOKUP($K69&amp;"",PERIPHERAL!$B$3:$B$954&amp;"",PERIPHERAL!$H$3:$H$954,""),"Utilities",_xlfn.XLOOKUP($K69&amp;"",UTILITIES!$B$3:$B$953&amp;"",UTILITIES!$G$3:$G$953,""),"IOT",_xlfn.XLOOKUP($K69&amp;"",IOT!$B$3:$B$1012&amp;"",IOT!$H$3:$H$1012,""),"Server",_xlfn.XLOOKUP($K69&amp;"",SERVER!$B$3:$B$1009&amp;"",SERVER!$H$3:$H$1009,""),""),IF(TRIM(_xlpm.srcCat)&lt;&gt;TRIM($J69),"",_xlfn.SWITCH($I69,"Computer",_xlfn.XLOOKUP($K69&amp;"",COMPUTER!$B$3:$B$1009&amp;"",COMPUTER!$AM$3:$AM$1009,""),"Display",_xlfn.XLOOKUP($K69&amp;"",DISPLAY!$B$3:$B$1000&amp;"",DISPLAY!$V$3:$V$1000,""),"Network Device",_xlfn.XLOOKUP($K69&amp;"",'NETWORK-DEVICES'!$B$3:$B$987&amp;"",'NETWORK-DEVICES'!$AF$3:$AF$987,""),"Peripheral",_xlfn.XLOOKUP($K69&amp;"",PERIPHERAL!$B$3:$B$954&amp;"",PERIPHERAL!$Y$3:$Y$954,""),"Utilities",_xlfn.XLOOKUP($K69&amp;"",UTILITIES!$B$3:$B$953&amp;"",UTILITIES!$O$3:$O$953,""),"IOT",_xlfn.XLOOKUP($K69&amp;"",IOT!$B$3:$B$1012&amp;"",IOT!$AB$3:$AB$1012,""),"Server",_xlfn.XLOOKUP($K69&amp;"",SERVER!$B$3:$B$1009&amp;"",SERVER!$AB$3:$AB$1009,""),""))))</f>
        <v/>
      </c>
      <c r="R69" s="43" t="str">
        <f>IF(tbl_handover[[#This Row],[Asset Code]]="","",COUNTIF(tbl_handover[Asset Code],tbl_handover[[#This Row],[Asset Code]]))</f>
        <v/>
      </c>
    </row>
    <row r="70" spans="1:18" x14ac:dyDescent="0.25">
      <c r="A70" s="43" t="str">
        <f>IF(B70&lt;&gt;"",SUBTOTAL(3,$B$1:B69),"")</f>
        <v/>
      </c>
      <c r="C70" s="74"/>
      <c r="D70" s="74"/>
      <c r="G70" s="1"/>
      <c r="K70" s="42"/>
      <c r="L70" t="str" cm="1">
        <f t="array" ref="L70">IF($K70="","",_xlfn.SWITCH($I70,"Computer",_xlfn.XLOOKUP($K70&amp;"",COMPUTER!$B$3:$B$1009&amp;"",COMPUTER!$I$3:$I$1009,""),"Display",_xlfn.XLOOKUP($K70&amp;"",DISPLAY!$B$3:$B$1000&amp;"",DISPLAY!$J$3:$J$1000,""),"Network Device",_xlfn.XLOOKUP($K70&amp;"",'NETWORK-DEVICES'!$B$3:$B$987&amp;"",'NETWORK-DEVICES'!$I$3:$I$987,""),"Peripheral",_xlfn.XLOOKUP($K70&amp;"",PERIPHERAL!$B$3:$B$954&amp;"",PERIPHERAL!$I$3:$I$954,""),"Utilities",_xlfn.XLOOKUP($K70&amp;"",UTILITIES!$B$3:$B$953&amp;"",UTILITIES!$H$3:$H$953,""),"IOT",_xlfn.XLOOKUP($K70&amp;"",IOT!$B$3:$B$1012&amp;"",IOT!$I$3:$I$1012,""),"SERVER",_xlfn.XLOOKUP($K70&amp;"",SERVER!$B$3:$B$1009&amp;"",SERVER!$I$3:$I$1009,""),""))</f>
        <v/>
      </c>
      <c r="M70" t="str" cm="1">
        <f t="array" ref="M70">IF($K70="","",_xlfn.SWITCH($I70,"Computer",_xlfn.XLOOKUP($K70&amp;"",COMPUTER!$B$3:$B$1009&amp;"",COMPUTER!$J$3:$J$1009,""),"Display",_xlfn.XLOOKUP($K70&amp;"",DISPLAY!$B$3:$B$1000&amp;"",DISPLAY!$K$3:$K$1000,""),"Network Device",_xlfn.XLOOKUP($K70&amp;"",'NETWORK-DEVICES'!$B$3:$B$987&amp;"",'NETWORK-DEVICES'!$I$3:$I$987,""),"Peripheral",_xlfn.XLOOKUP($K70&amp;"",PERIPHERAL!$B$3:$B$954&amp;"",PERIPHERAL!$J$3:$J$954,""),"Utilities",_xlfn.XLOOKUP($K70&amp;"",UTILITIES!$B$3:$B$953&amp;"",UTILITIES!$I$3:$I$953,""),"IOT",_xlfn.XLOOKUP($K70&amp;"",IOT!$B$3:$B$1012&amp;"",IOT!$J$3:$J$1012,""),"Server",_xlfn.XLOOKUP($K70&amp;"",SERVER!$B$3:$B$1009&amp;"",SERVER!$J$3:$J$1009,""),""))</f>
        <v/>
      </c>
      <c r="N70" s="1" t="str" cm="1">
        <f t="array" ref="N70">IF(OR($K70="",$I70="",$J70=""),"",_xlfn.LET(_xlpm.srcCat,_xlfn.SWITCH($I70,"Computer",_xlfn.XLOOKUP($K70&amp;"",COMPUTER!$B$3:$B$1009&amp;"",COMPUTER!$H$3:$H$1009,""),"Display",_xlfn.XLOOKUP($K70&amp;"",DISPLAY!$B$3:$B$1000&amp;"",DISPLAY!$H$3:$H$1000,""),"Network Device",_xlfn.XLOOKUP($K70&amp;"",'NETWORK-DEVICES'!$B$3:$B$987&amp;"",'NETWORK-DEVICES'!$H$3:$H$987,""),"Peripheral",_xlfn.XLOOKUP($K70&amp;"",PERIPHERAL!$B$3:$B$954&amp;"",PERIPHERAL!$H$3:$H$954,""),"Utilities",_xlfn.XLOOKUP($K70&amp;"",UTILITIES!$B$3:$B$953&amp;"",UTILITIES!$G$3:$G$953,""),"IOT",_xlfn.XLOOKUP($K70&amp;"",IOT!$B$3:$B$1012&amp;"",IOT!$H$3:$H$1012,""),"Server",_xlfn.XLOOKUP($K70&amp;"",SERVER!$B$3:$B$1009&amp;"",SERVER!$H$3:$H$1009,""),""),IF(TRIM(_xlpm.srcCat)&lt;&gt;TRIM($J70),"",_xlfn.SWITCH($I70,"Computer",_xlfn.XLOOKUP($K70&amp;"",COMPUTER!$B$3:$B$1009&amp;"",COMPUTER!$K$3:$K$1009,""),"Display",_xlfn.XLOOKUP($K70&amp;"",DISPLAY!$B$3:$B$1000&amp;"",DISPLAY!$L$3:$L$1000,""),"Network Device",_xlfn.XLOOKUP($K70&amp;"",'NETWORK-DEVICES'!$B$3:$B$987&amp;"",'NETWORK-DEVICES'!$K$3:$K$987,""),"Peripheral",_xlfn.XLOOKUP($K70&amp;"",PERIPHERAL!$B$3:$B$954&amp;"",PERIPHERAL!$K$3:$K$954,""),"Utilities",_xlfn.XLOOKUP($K70&amp;"",UTILITIES!$B$3:$B$953&amp;"",UTILITIES!$J$3:$J$953,""),"IOT",_xlfn.XLOOKUP($K70&amp;"",IOT!$B$3:$B$1012&amp;"",IOT!$K$4:$K$1012,""),"Server",_xlfn.XLOOKUP($K70&amp;"",SERVER!$B$3:$B$1009&amp;"",SERVER!$K$3:$K$1009,""),""))))</f>
        <v/>
      </c>
      <c r="O70" s="1" t="str" cm="1">
        <f t="array" ref="O70">IF(OR($K70="",$I70="",$J70=""),"",_xlfn.LET(_xlpm.srcCat,_xlfn.SWITCH($I70,"Computer",_xlfn.XLOOKUP($K70&amp;"",COMPUTER!$B$3:$B$1009&amp;"",COMPUTER!$H$3:$H$1009,""),"Display",_xlfn.XLOOKUP($K70&amp;"",DISPLAY!$B$3:$B$1000&amp;"",DISPLAY!$H$3:$H$1000,""),"Network Device",_xlfn.XLOOKUP($K70&amp;"",'NETWORK-DEVICES'!$B$3:$B$987&amp;"",'NETWORK-DEVICES'!$H$3:$H$987,""),"Peripheral",_xlfn.XLOOKUP($K70&amp;"",PERIPHERAL!$B$3:$B$954&amp;"",PERIPHERAL!$H$3:$H$954,""),"Utilities",_xlfn.XLOOKUP($K70&amp;"",UTILITIES!$B$3:$B$953&amp;"",UTILITIES!$G$3:$G$953,""),"IOT",_xlfn.XLOOKUP($K70&amp;"",IOT!$B$3:$B$1012&amp;"",IOT!$H$3:$H$1012,""),"Server",_xlfn.XLOOKUP($K70&amp;"",SERVER!$B$3:$B$1009&amp;"",SERVER!$H$3:$H$1009,""),""),IF(TRIM(_xlpm.srcCat)&lt;&gt;TRIM($J70),"",_xlfn.SWITCH($I70,"Computer",_xlfn.XLOOKUP($K70&amp;"",COMPUTER!$B$3:$B$1009&amp;"",COMPUTER!$E$3:$E$1009,""),"Display",_xlfn.XLOOKUP($K70&amp;"",DISPLAY!$B$3:$B$1000&amp;"",DISPLAY!$E$3:$E$1000,""),"Network Device",_xlfn.XLOOKUP($K70&amp;"",'NETWORK-DEVICES'!$B$3:$B$987&amp;"",'NETWORK-DEVICES'!$E$3:$E$987,""),"Peripheral",_xlfn.XLOOKUP($K70&amp;"",PERIPHERAL!$B$3:$B$954&amp;"",PERIPHERAL!$E$3:$E$954,""),"Utilities",_xlfn.XLOOKUP($K70&amp;"",UTILITIES!$B$3:$B$953&amp;"",UTILITIES!$E$3:$E$953,""),"IOT",_xlfn.XLOOKUP($K70&amp;"",IOT!$B$3:$B$1012&amp;"",IOT!$E$3:$E$1012,""),"Server",_xlfn.XLOOKUP($K70&amp;"",SERVER!$B$3:$B$1009&amp;"",SERVER!$E$3:$E$1009,""),""))))</f>
        <v/>
      </c>
      <c r="Q70" s="1" t="str" cm="1">
        <f t="array" ref="Q70">IF(OR($K70="",$I70="",$J70=""),"",_xlfn.LET(_xlpm.srcCat,_xlfn.SWITCH($I70,"Computer",_xlfn.XLOOKUP($K70&amp;"",COMPUTER!$B$3:$B$1009&amp;"",COMPUTER!$H$3:$H$1009,""),"Display",_xlfn.XLOOKUP($K70&amp;"",DISPLAY!$B$3:$B$1000&amp;"",DISPLAY!$H$3:$H$1000,""),"Network Device",_xlfn.XLOOKUP($K70&amp;"",'NETWORK-DEVICES'!$B$3:$B$987&amp;"",'NETWORK-DEVICES'!$H$3:$H$987,""),"Peripheral",_xlfn.XLOOKUP($K70&amp;"",PERIPHERAL!$B$3:$B$954&amp;"",PERIPHERAL!$H$3:$H$954,""),"Utilities",_xlfn.XLOOKUP($K70&amp;"",UTILITIES!$B$3:$B$953&amp;"",UTILITIES!$G$3:$G$953,""),"IOT",_xlfn.XLOOKUP($K70&amp;"",IOT!$B$3:$B$1012&amp;"",IOT!$H$3:$H$1012,""),"Server",_xlfn.XLOOKUP($K70&amp;"",SERVER!$B$3:$B$1009&amp;"",SERVER!$H$3:$H$1009,""),""),IF(TRIM(_xlpm.srcCat)&lt;&gt;TRIM($J70),"",_xlfn.SWITCH($I70,"Computer",_xlfn.XLOOKUP($K70&amp;"",COMPUTER!$B$3:$B$1009&amp;"",COMPUTER!$AM$3:$AM$1009,""),"Display",_xlfn.XLOOKUP($K70&amp;"",DISPLAY!$B$3:$B$1000&amp;"",DISPLAY!$V$3:$V$1000,""),"Network Device",_xlfn.XLOOKUP($K70&amp;"",'NETWORK-DEVICES'!$B$3:$B$987&amp;"",'NETWORK-DEVICES'!$AF$3:$AF$987,""),"Peripheral",_xlfn.XLOOKUP($K70&amp;"",PERIPHERAL!$B$3:$B$954&amp;"",PERIPHERAL!$Y$3:$Y$954,""),"Utilities",_xlfn.XLOOKUP($K70&amp;"",UTILITIES!$B$3:$B$953&amp;"",UTILITIES!$O$3:$O$953,""),"IOT",_xlfn.XLOOKUP($K70&amp;"",IOT!$B$3:$B$1012&amp;"",IOT!$AB$3:$AB$1012,""),"Server",_xlfn.XLOOKUP($K70&amp;"",SERVER!$B$3:$B$1009&amp;"",SERVER!$AB$3:$AB$1009,""),""))))</f>
        <v/>
      </c>
      <c r="R70" s="43" t="str">
        <f>IF(tbl_handover[[#This Row],[Asset Code]]="","",COUNTIF(tbl_handover[Asset Code],tbl_handover[[#This Row],[Asset Code]]))</f>
        <v/>
      </c>
    </row>
    <row r="71" spans="1:18" x14ac:dyDescent="0.25">
      <c r="A71" s="43" t="str">
        <f>IF(B71&lt;&gt;"",SUBTOTAL(3,$B$1:B70),"")</f>
        <v/>
      </c>
      <c r="C71" s="74"/>
      <c r="D71" s="74"/>
      <c r="G71" s="1"/>
      <c r="K71" s="42"/>
      <c r="L71" t="str" cm="1">
        <f t="array" ref="L71">IF($K71="","",_xlfn.SWITCH($I71,"Computer",_xlfn.XLOOKUP($K71&amp;"",COMPUTER!$B$3:$B$1009&amp;"",COMPUTER!$I$3:$I$1009,""),"Display",_xlfn.XLOOKUP($K71&amp;"",DISPLAY!$B$3:$B$1000&amp;"",DISPLAY!$J$3:$J$1000,""),"Network Device",_xlfn.XLOOKUP($K71&amp;"",'NETWORK-DEVICES'!$B$3:$B$987&amp;"",'NETWORK-DEVICES'!$I$3:$I$987,""),"Peripheral",_xlfn.XLOOKUP($K71&amp;"",PERIPHERAL!$B$3:$B$954&amp;"",PERIPHERAL!$I$3:$I$954,""),"Utilities",_xlfn.XLOOKUP($K71&amp;"",UTILITIES!$B$3:$B$953&amp;"",UTILITIES!$H$3:$H$953,""),"IOT",_xlfn.XLOOKUP($K71&amp;"",IOT!$B$3:$B$1012&amp;"",IOT!$I$3:$I$1012,""),"SERVER",_xlfn.XLOOKUP($K71&amp;"",SERVER!$B$3:$B$1009&amp;"",SERVER!$I$3:$I$1009,""),""))</f>
        <v/>
      </c>
      <c r="M71" t="str" cm="1">
        <f t="array" ref="M71">IF($K71="","",_xlfn.SWITCH($I71,"Computer",_xlfn.XLOOKUP($K71&amp;"",COMPUTER!$B$3:$B$1009&amp;"",COMPUTER!$J$3:$J$1009,""),"Display",_xlfn.XLOOKUP($K71&amp;"",DISPLAY!$B$3:$B$1000&amp;"",DISPLAY!$K$3:$K$1000,""),"Network Device",_xlfn.XLOOKUP($K71&amp;"",'NETWORK-DEVICES'!$B$3:$B$987&amp;"",'NETWORK-DEVICES'!$I$3:$I$987,""),"Peripheral",_xlfn.XLOOKUP($K71&amp;"",PERIPHERAL!$B$3:$B$954&amp;"",PERIPHERAL!$J$3:$J$954,""),"Utilities",_xlfn.XLOOKUP($K71&amp;"",UTILITIES!$B$3:$B$953&amp;"",UTILITIES!$I$3:$I$953,""),"IOT",_xlfn.XLOOKUP($K71&amp;"",IOT!$B$3:$B$1012&amp;"",IOT!$J$3:$J$1012,""),"Server",_xlfn.XLOOKUP($K71&amp;"",SERVER!$B$3:$B$1009&amp;"",SERVER!$J$3:$J$1009,""),""))</f>
        <v/>
      </c>
      <c r="N71" s="1" t="str" cm="1">
        <f t="array" ref="N71">IF(OR($K71="",$I71="",$J71=""),"",_xlfn.LET(_xlpm.srcCat,_xlfn.SWITCH($I71,"Computer",_xlfn.XLOOKUP($K71&amp;"",COMPUTER!$B$3:$B$1009&amp;"",COMPUTER!$H$3:$H$1009,""),"Display",_xlfn.XLOOKUP($K71&amp;"",DISPLAY!$B$3:$B$1000&amp;"",DISPLAY!$H$3:$H$1000,""),"Network Device",_xlfn.XLOOKUP($K71&amp;"",'NETWORK-DEVICES'!$B$3:$B$987&amp;"",'NETWORK-DEVICES'!$H$3:$H$987,""),"Peripheral",_xlfn.XLOOKUP($K71&amp;"",PERIPHERAL!$B$3:$B$954&amp;"",PERIPHERAL!$H$3:$H$954,""),"Utilities",_xlfn.XLOOKUP($K71&amp;"",UTILITIES!$B$3:$B$953&amp;"",UTILITIES!$G$3:$G$953,""),"IOT",_xlfn.XLOOKUP($K71&amp;"",IOT!$B$3:$B$1012&amp;"",IOT!$H$3:$H$1012,""),"Server",_xlfn.XLOOKUP($K71&amp;"",SERVER!$B$3:$B$1009&amp;"",SERVER!$H$3:$H$1009,""),""),IF(TRIM(_xlpm.srcCat)&lt;&gt;TRIM($J71),"",_xlfn.SWITCH($I71,"Computer",_xlfn.XLOOKUP($K71&amp;"",COMPUTER!$B$3:$B$1009&amp;"",COMPUTER!$K$3:$K$1009,""),"Display",_xlfn.XLOOKUP($K71&amp;"",DISPLAY!$B$3:$B$1000&amp;"",DISPLAY!$L$3:$L$1000,""),"Network Device",_xlfn.XLOOKUP($K71&amp;"",'NETWORK-DEVICES'!$B$3:$B$987&amp;"",'NETWORK-DEVICES'!$K$3:$K$987,""),"Peripheral",_xlfn.XLOOKUP($K71&amp;"",PERIPHERAL!$B$3:$B$954&amp;"",PERIPHERAL!$K$3:$K$954,""),"Utilities",_xlfn.XLOOKUP($K71&amp;"",UTILITIES!$B$3:$B$953&amp;"",UTILITIES!$J$3:$J$953,""),"IOT",_xlfn.XLOOKUP($K71&amp;"",IOT!$B$3:$B$1012&amp;"",IOT!$K$4:$K$1012,""),"Server",_xlfn.XLOOKUP($K71&amp;"",SERVER!$B$3:$B$1009&amp;"",SERVER!$K$3:$K$1009,""),""))))</f>
        <v/>
      </c>
      <c r="O71" s="1" t="str" cm="1">
        <f t="array" ref="O71">IF(OR($K71="",$I71="",$J71=""),"",_xlfn.LET(_xlpm.srcCat,_xlfn.SWITCH($I71,"Computer",_xlfn.XLOOKUP($K71&amp;"",COMPUTER!$B$3:$B$1009&amp;"",COMPUTER!$H$3:$H$1009,""),"Display",_xlfn.XLOOKUP($K71&amp;"",DISPLAY!$B$3:$B$1000&amp;"",DISPLAY!$H$3:$H$1000,""),"Network Device",_xlfn.XLOOKUP($K71&amp;"",'NETWORK-DEVICES'!$B$3:$B$987&amp;"",'NETWORK-DEVICES'!$H$3:$H$987,""),"Peripheral",_xlfn.XLOOKUP($K71&amp;"",PERIPHERAL!$B$3:$B$954&amp;"",PERIPHERAL!$H$3:$H$954,""),"Utilities",_xlfn.XLOOKUP($K71&amp;"",UTILITIES!$B$3:$B$953&amp;"",UTILITIES!$G$3:$G$953,""),"IOT",_xlfn.XLOOKUP($K71&amp;"",IOT!$B$3:$B$1012&amp;"",IOT!$H$3:$H$1012,""),"Server",_xlfn.XLOOKUP($K71&amp;"",SERVER!$B$3:$B$1009&amp;"",SERVER!$H$3:$H$1009,""),""),IF(TRIM(_xlpm.srcCat)&lt;&gt;TRIM($J71),"",_xlfn.SWITCH($I71,"Computer",_xlfn.XLOOKUP($K71&amp;"",COMPUTER!$B$3:$B$1009&amp;"",COMPUTER!$E$3:$E$1009,""),"Display",_xlfn.XLOOKUP($K71&amp;"",DISPLAY!$B$3:$B$1000&amp;"",DISPLAY!$E$3:$E$1000,""),"Network Device",_xlfn.XLOOKUP($K71&amp;"",'NETWORK-DEVICES'!$B$3:$B$987&amp;"",'NETWORK-DEVICES'!$E$3:$E$987,""),"Peripheral",_xlfn.XLOOKUP($K71&amp;"",PERIPHERAL!$B$3:$B$954&amp;"",PERIPHERAL!$E$3:$E$954,""),"Utilities",_xlfn.XLOOKUP($K71&amp;"",UTILITIES!$B$3:$B$953&amp;"",UTILITIES!$E$3:$E$953,""),"IOT",_xlfn.XLOOKUP($K71&amp;"",IOT!$B$3:$B$1012&amp;"",IOT!$E$3:$E$1012,""),"Server",_xlfn.XLOOKUP($K71&amp;"",SERVER!$B$3:$B$1009&amp;"",SERVER!$E$3:$E$1009,""),""))))</f>
        <v/>
      </c>
      <c r="Q71" s="1" t="str" cm="1">
        <f t="array" ref="Q71">IF(OR($K71="",$I71="",$J71=""),"",_xlfn.LET(_xlpm.srcCat,_xlfn.SWITCH($I71,"Computer",_xlfn.XLOOKUP($K71&amp;"",COMPUTER!$B$3:$B$1009&amp;"",COMPUTER!$H$3:$H$1009,""),"Display",_xlfn.XLOOKUP($K71&amp;"",DISPLAY!$B$3:$B$1000&amp;"",DISPLAY!$H$3:$H$1000,""),"Network Device",_xlfn.XLOOKUP($K71&amp;"",'NETWORK-DEVICES'!$B$3:$B$987&amp;"",'NETWORK-DEVICES'!$H$3:$H$987,""),"Peripheral",_xlfn.XLOOKUP($K71&amp;"",PERIPHERAL!$B$3:$B$954&amp;"",PERIPHERAL!$H$3:$H$954,""),"Utilities",_xlfn.XLOOKUP($K71&amp;"",UTILITIES!$B$3:$B$953&amp;"",UTILITIES!$G$3:$G$953,""),"IOT",_xlfn.XLOOKUP($K71&amp;"",IOT!$B$3:$B$1012&amp;"",IOT!$H$3:$H$1012,""),"Server",_xlfn.XLOOKUP($K71&amp;"",SERVER!$B$3:$B$1009&amp;"",SERVER!$H$3:$H$1009,""),""),IF(TRIM(_xlpm.srcCat)&lt;&gt;TRIM($J71),"",_xlfn.SWITCH($I71,"Computer",_xlfn.XLOOKUP($K71&amp;"",COMPUTER!$B$3:$B$1009&amp;"",COMPUTER!$AM$3:$AM$1009,""),"Display",_xlfn.XLOOKUP($K71&amp;"",DISPLAY!$B$3:$B$1000&amp;"",DISPLAY!$V$3:$V$1000,""),"Network Device",_xlfn.XLOOKUP($K71&amp;"",'NETWORK-DEVICES'!$B$3:$B$987&amp;"",'NETWORK-DEVICES'!$AF$3:$AF$987,""),"Peripheral",_xlfn.XLOOKUP($K71&amp;"",PERIPHERAL!$B$3:$B$954&amp;"",PERIPHERAL!$Y$3:$Y$954,""),"Utilities",_xlfn.XLOOKUP($K71&amp;"",UTILITIES!$B$3:$B$953&amp;"",UTILITIES!$O$3:$O$953,""),"IOT",_xlfn.XLOOKUP($K71&amp;"",IOT!$B$3:$B$1012&amp;"",IOT!$AB$3:$AB$1012,""),"Server",_xlfn.XLOOKUP($K71&amp;"",SERVER!$B$3:$B$1009&amp;"",SERVER!$AB$3:$AB$1009,""),""))))</f>
        <v/>
      </c>
      <c r="R71" s="43" t="str">
        <f>IF(tbl_handover[[#This Row],[Asset Code]]="","",COUNTIF(tbl_handover[Asset Code],tbl_handover[[#This Row],[Asset Code]]))</f>
        <v/>
      </c>
    </row>
    <row r="72" spans="1:18" x14ac:dyDescent="0.25">
      <c r="A72" s="43" t="str">
        <f>IF(B72&lt;&gt;"",SUBTOTAL(3,$B$1:B71),"")</f>
        <v/>
      </c>
      <c r="C72" s="74"/>
      <c r="D72" s="74"/>
      <c r="G72" s="1"/>
      <c r="K72" s="42"/>
      <c r="L72" t="str" cm="1">
        <f t="array" ref="L72">IF($K72="","",_xlfn.SWITCH($I72,"Computer",_xlfn.XLOOKUP($K72&amp;"",COMPUTER!$B$3:$B$1009&amp;"",COMPUTER!$I$3:$I$1009,""),"Display",_xlfn.XLOOKUP($K72&amp;"",DISPLAY!$B$3:$B$1000&amp;"",DISPLAY!$J$3:$J$1000,""),"Network Device",_xlfn.XLOOKUP($K72&amp;"",'NETWORK-DEVICES'!$B$3:$B$987&amp;"",'NETWORK-DEVICES'!$I$3:$I$987,""),"Peripheral",_xlfn.XLOOKUP($K72&amp;"",PERIPHERAL!$B$3:$B$954&amp;"",PERIPHERAL!$I$3:$I$954,""),"Utilities",_xlfn.XLOOKUP($K72&amp;"",UTILITIES!$B$3:$B$953&amp;"",UTILITIES!$H$3:$H$953,""),"IOT",_xlfn.XLOOKUP($K72&amp;"",IOT!$B$3:$B$1012&amp;"",IOT!$I$3:$I$1012,""),"SERVER",_xlfn.XLOOKUP($K72&amp;"",SERVER!$B$3:$B$1009&amp;"",SERVER!$I$3:$I$1009,""),""))</f>
        <v/>
      </c>
      <c r="M72" t="str" cm="1">
        <f t="array" ref="M72">IF($K72="","",_xlfn.SWITCH($I72,"Computer",_xlfn.XLOOKUP($K72&amp;"",COMPUTER!$B$3:$B$1009&amp;"",COMPUTER!$J$3:$J$1009,""),"Display",_xlfn.XLOOKUP($K72&amp;"",DISPLAY!$B$3:$B$1000&amp;"",DISPLAY!$K$3:$K$1000,""),"Network Device",_xlfn.XLOOKUP($K72&amp;"",'NETWORK-DEVICES'!$B$3:$B$987&amp;"",'NETWORK-DEVICES'!$I$3:$I$987,""),"Peripheral",_xlfn.XLOOKUP($K72&amp;"",PERIPHERAL!$B$3:$B$954&amp;"",PERIPHERAL!$J$3:$J$954,""),"Utilities",_xlfn.XLOOKUP($K72&amp;"",UTILITIES!$B$3:$B$953&amp;"",UTILITIES!$I$3:$I$953,""),"IOT",_xlfn.XLOOKUP($K72&amp;"",IOT!$B$3:$B$1012&amp;"",IOT!$J$3:$J$1012,""),"Server",_xlfn.XLOOKUP($K72&amp;"",SERVER!$B$3:$B$1009&amp;"",SERVER!$J$3:$J$1009,""),""))</f>
        <v/>
      </c>
      <c r="N72" s="1" t="str" cm="1">
        <f t="array" ref="N72">IF(OR($K72="",$I72="",$J72=""),"",_xlfn.LET(_xlpm.srcCat,_xlfn.SWITCH($I72,"Computer",_xlfn.XLOOKUP($K72&amp;"",COMPUTER!$B$3:$B$1009&amp;"",COMPUTER!$H$3:$H$1009,""),"Display",_xlfn.XLOOKUP($K72&amp;"",DISPLAY!$B$3:$B$1000&amp;"",DISPLAY!$H$3:$H$1000,""),"Network Device",_xlfn.XLOOKUP($K72&amp;"",'NETWORK-DEVICES'!$B$3:$B$987&amp;"",'NETWORK-DEVICES'!$H$3:$H$987,""),"Peripheral",_xlfn.XLOOKUP($K72&amp;"",PERIPHERAL!$B$3:$B$954&amp;"",PERIPHERAL!$H$3:$H$954,""),"Utilities",_xlfn.XLOOKUP($K72&amp;"",UTILITIES!$B$3:$B$953&amp;"",UTILITIES!$G$3:$G$953,""),"IOT",_xlfn.XLOOKUP($K72&amp;"",IOT!$B$3:$B$1012&amp;"",IOT!$H$3:$H$1012,""),"Server",_xlfn.XLOOKUP($K72&amp;"",SERVER!$B$3:$B$1009&amp;"",SERVER!$H$3:$H$1009,""),""),IF(TRIM(_xlpm.srcCat)&lt;&gt;TRIM($J72),"",_xlfn.SWITCH($I72,"Computer",_xlfn.XLOOKUP($K72&amp;"",COMPUTER!$B$3:$B$1009&amp;"",COMPUTER!$K$3:$K$1009,""),"Display",_xlfn.XLOOKUP($K72&amp;"",DISPLAY!$B$3:$B$1000&amp;"",DISPLAY!$L$3:$L$1000,""),"Network Device",_xlfn.XLOOKUP($K72&amp;"",'NETWORK-DEVICES'!$B$3:$B$987&amp;"",'NETWORK-DEVICES'!$K$3:$K$987,""),"Peripheral",_xlfn.XLOOKUP($K72&amp;"",PERIPHERAL!$B$3:$B$954&amp;"",PERIPHERAL!$K$3:$K$954,""),"Utilities",_xlfn.XLOOKUP($K72&amp;"",UTILITIES!$B$3:$B$953&amp;"",UTILITIES!$J$3:$J$953,""),"IOT",_xlfn.XLOOKUP($K72&amp;"",IOT!$B$3:$B$1012&amp;"",IOT!$K$4:$K$1012,""),"Server",_xlfn.XLOOKUP($K72&amp;"",SERVER!$B$3:$B$1009&amp;"",SERVER!$K$3:$K$1009,""),""))))</f>
        <v/>
      </c>
      <c r="O72" s="1" t="str" cm="1">
        <f t="array" ref="O72">IF(OR($K72="",$I72="",$J72=""),"",_xlfn.LET(_xlpm.srcCat,_xlfn.SWITCH($I72,"Computer",_xlfn.XLOOKUP($K72&amp;"",COMPUTER!$B$3:$B$1009&amp;"",COMPUTER!$H$3:$H$1009,""),"Display",_xlfn.XLOOKUP($K72&amp;"",DISPLAY!$B$3:$B$1000&amp;"",DISPLAY!$H$3:$H$1000,""),"Network Device",_xlfn.XLOOKUP($K72&amp;"",'NETWORK-DEVICES'!$B$3:$B$987&amp;"",'NETWORK-DEVICES'!$H$3:$H$987,""),"Peripheral",_xlfn.XLOOKUP($K72&amp;"",PERIPHERAL!$B$3:$B$954&amp;"",PERIPHERAL!$H$3:$H$954,""),"Utilities",_xlfn.XLOOKUP($K72&amp;"",UTILITIES!$B$3:$B$953&amp;"",UTILITIES!$G$3:$G$953,""),"IOT",_xlfn.XLOOKUP($K72&amp;"",IOT!$B$3:$B$1012&amp;"",IOT!$H$3:$H$1012,""),"Server",_xlfn.XLOOKUP($K72&amp;"",SERVER!$B$3:$B$1009&amp;"",SERVER!$H$3:$H$1009,""),""),IF(TRIM(_xlpm.srcCat)&lt;&gt;TRIM($J72),"",_xlfn.SWITCH($I72,"Computer",_xlfn.XLOOKUP($K72&amp;"",COMPUTER!$B$3:$B$1009&amp;"",COMPUTER!$E$3:$E$1009,""),"Display",_xlfn.XLOOKUP($K72&amp;"",DISPLAY!$B$3:$B$1000&amp;"",DISPLAY!$E$3:$E$1000,""),"Network Device",_xlfn.XLOOKUP($K72&amp;"",'NETWORK-DEVICES'!$B$3:$B$987&amp;"",'NETWORK-DEVICES'!$E$3:$E$987,""),"Peripheral",_xlfn.XLOOKUP($K72&amp;"",PERIPHERAL!$B$3:$B$954&amp;"",PERIPHERAL!$E$3:$E$954,""),"Utilities",_xlfn.XLOOKUP($K72&amp;"",UTILITIES!$B$3:$B$953&amp;"",UTILITIES!$E$3:$E$953,""),"IOT",_xlfn.XLOOKUP($K72&amp;"",IOT!$B$3:$B$1012&amp;"",IOT!$E$3:$E$1012,""),"Server",_xlfn.XLOOKUP($K72&amp;"",SERVER!$B$3:$B$1009&amp;"",SERVER!$E$3:$E$1009,""),""))))</f>
        <v/>
      </c>
      <c r="Q72" s="1" t="str" cm="1">
        <f t="array" ref="Q72">IF(OR($K72="",$I72="",$J72=""),"",_xlfn.LET(_xlpm.srcCat,_xlfn.SWITCH($I72,"Computer",_xlfn.XLOOKUP($K72&amp;"",COMPUTER!$B$3:$B$1009&amp;"",COMPUTER!$H$3:$H$1009,""),"Display",_xlfn.XLOOKUP($K72&amp;"",DISPLAY!$B$3:$B$1000&amp;"",DISPLAY!$H$3:$H$1000,""),"Network Device",_xlfn.XLOOKUP($K72&amp;"",'NETWORK-DEVICES'!$B$3:$B$987&amp;"",'NETWORK-DEVICES'!$H$3:$H$987,""),"Peripheral",_xlfn.XLOOKUP($K72&amp;"",PERIPHERAL!$B$3:$B$954&amp;"",PERIPHERAL!$H$3:$H$954,""),"Utilities",_xlfn.XLOOKUP($K72&amp;"",UTILITIES!$B$3:$B$953&amp;"",UTILITIES!$G$3:$G$953,""),"IOT",_xlfn.XLOOKUP($K72&amp;"",IOT!$B$3:$B$1012&amp;"",IOT!$H$3:$H$1012,""),"Server",_xlfn.XLOOKUP($K72&amp;"",SERVER!$B$3:$B$1009&amp;"",SERVER!$H$3:$H$1009,""),""),IF(TRIM(_xlpm.srcCat)&lt;&gt;TRIM($J72),"",_xlfn.SWITCH($I72,"Computer",_xlfn.XLOOKUP($K72&amp;"",COMPUTER!$B$3:$B$1009&amp;"",COMPUTER!$AM$3:$AM$1009,""),"Display",_xlfn.XLOOKUP($K72&amp;"",DISPLAY!$B$3:$B$1000&amp;"",DISPLAY!$V$3:$V$1000,""),"Network Device",_xlfn.XLOOKUP($K72&amp;"",'NETWORK-DEVICES'!$B$3:$B$987&amp;"",'NETWORK-DEVICES'!$AF$3:$AF$987,""),"Peripheral",_xlfn.XLOOKUP($K72&amp;"",PERIPHERAL!$B$3:$B$954&amp;"",PERIPHERAL!$Y$3:$Y$954,""),"Utilities",_xlfn.XLOOKUP($K72&amp;"",UTILITIES!$B$3:$B$953&amp;"",UTILITIES!$O$3:$O$953,""),"IOT",_xlfn.XLOOKUP($K72&amp;"",IOT!$B$3:$B$1012&amp;"",IOT!$AB$3:$AB$1012,""),"Server",_xlfn.XLOOKUP($K72&amp;"",SERVER!$B$3:$B$1009&amp;"",SERVER!$AB$3:$AB$1009,""),""))))</f>
        <v/>
      </c>
      <c r="R72" s="43" t="str">
        <f>IF(tbl_handover[[#This Row],[Asset Code]]="","",COUNTIF(tbl_handover[Asset Code],tbl_handover[[#This Row],[Asset Code]]))</f>
        <v/>
      </c>
    </row>
    <row r="73" spans="1:18" x14ac:dyDescent="0.25">
      <c r="A73" s="43" t="str">
        <f>IF(B73&lt;&gt;"",SUBTOTAL(3,$B$1:B72),"")</f>
        <v/>
      </c>
      <c r="C73" s="74"/>
      <c r="D73" s="74"/>
      <c r="G73" s="1"/>
      <c r="K73" s="42"/>
      <c r="L73" t="str" cm="1">
        <f t="array" ref="L73">IF($K73="","",_xlfn.SWITCH($I73,"Computer",_xlfn.XLOOKUP($K73&amp;"",COMPUTER!$B$3:$B$1009&amp;"",COMPUTER!$I$3:$I$1009,""),"Display",_xlfn.XLOOKUP($K73&amp;"",DISPLAY!$B$3:$B$1000&amp;"",DISPLAY!$J$3:$J$1000,""),"Network Device",_xlfn.XLOOKUP($K73&amp;"",'NETWORK-DEVICES'!$B$3:$B$987&amp;"",'NETWORK-DEVICES'!$I$3:$I$987,""),"Peripheral",_xlfn.XLOOKUP($K73&amp;"",PERIPHERAL!$B$3:$B$954&amp;"",PERIPHERAL!$I$3:$I$954,""),"Utilities",_xlfn.XLOOKUP($K73&amp;"",UTILITIES!$B$3:$B$953&amp;"",UTILITIES!$H$3:$H$953,""),"IOT",_xlfn.XLOOKUP($K73&amp;"",IOT!$B$3:$B$1012&amp;"",IOT!$I$3:$I$1012,""),"SERVER",_xlfn.XLOOKUP($K73&amp;"",SERVER!$B$3:$B$1009&amp;"",SERVER!$I$3:$I$1009,""),""))</f>
        <v/>
      </c>
      <c r="M73" t="str" cm="1">
        <f t="array" ref="M73">IF($K73="","",_xlfn.SWITCH($I73,"Computer",_xlfn.XLOOKUP($K73&amp;"",COMPUTER!$B$3:$B$1009&amp;"",COMPUTER!$J$3:$J$1009,""),"Display",_xlfn.XLOOKUP($K73&amp;"",DISPLAY!$B$3:$B$1000&amp;"",DISPLAY!$K$3:$K$1000,""),"Network Device",_xlfn.XLOOKUP($K73&amp;"",'NETWORK-DEVICES'!$B$3:$B$987&amp;"",'NETWORK-DEVICES'!$I$3:$I$987,""),"Peripheral",_xlfn.XLOOKUP($K73&amp;"",PERIPHERAL!$B$3:$B$954&amp;"",PERIPHERAL!$J$3:$J$954,""),"Utilities",_xlfn.XLOOKUP($K73&amp;"",UTILITIES!$B$3:$B$953&amp;"",UTILITIES!$I$3:$I$953,""),"IOT",_xlfn.XLOOKUP($K73&amp;"",IOT!$B$3:$B$1012&amp;"",IOT!$J$3:$J$1012,""),"Server",_xlfn.XLOOKUP($K73&amp;"",SERVER!$B$3:$B$1009&amp;"",SERVER!$J$3:$J$1009,""),""))</f>
        <v/>
      </c>
      <c r="N73" s="1" t="str" cm="1">
        <f t="array" ref="N73">IF(OR($K73="",$I73="",$J73=""),"",_xlfn.LET(_xlpm.srcCat,_xlfn.SWITCH($I73,"Computer",_xlfn.XLOOKUP($K73&amp;"",COMPUTER!$B$3:$B$1009&amp;"",COMPUTER!$H$3:$H$1009,""),"Display",_xlfn.XLOOKUP($K73&amp;"",DISPLAY!$B$3:$B$1000&amp;"",DISPLAY!$H$3:$H$1000,""),"Network Device",_xlfn.XLOOKUP($K73&amp;"",'NETWORK-DEVICES'!$B$3:$B$987&amp;"",'NETWORK-DEVICES'!$H$3:$H$987,""),"Peripheral",_xlfn.XLOOKUP($K73&amp;"",PERIPHERAL!$B$3:$B$954&amp;"",PERIPHERAL!$H$3:$H$954,""),"Utilities",_xlfn.XLOOKUP($K73&amp;"",UTILITIES!$B$3:$B$953&amp;"",UTILITIES!$G$3:$G$953,""),"IOT",_xlfn.XLOOKUP($K73&amp;"",IOT!$B$3:$B$1012&amp;"",IOT!$H$3:$H$1012,""),"Server",_xlfn.XLOOKUP($K73&amp;"",SERVER!$B$3:$B$1009&amp;"",SERVER!$H$3:$H$1009,""),""),IF(TRIM(_xlpm.srcCat)&lt;&gt;TRIM($J73),"",_xlfn.SWITCH($I73,"Computer",_xlfn.XLOOKUP($K73&amp;"",COMPUTER!$B$3:$B$1009&amp;"",COMPUTER!$K$3:$K$1009,""),"Display",_xlfn.XLOOKUP($K73&amp;"",DISPLAY!$B$3:$B$1000&amp;"",DISPLAY!$L$3:$L$1000,""),"Network Device",_xlfn.XLOOKUP($K73&amp;"",'NETWORK-DEVICES'!$B$3:$B$987&amp;"",'NETWORK-DEVICES'!$K$3:$K$987,""),"Peripheral",_xlfn.XLOOKUP($K73&amp;"",PERIPHERAL!$B$3:$B$954&amp;"",PERIPHERAL!$K$3:$K$954,""),"Utilities",_xlfn.XLOOKUP($K73&amp;"",UTILITIES!$B$3:$B$953&amp;"",UTILITIES!$J$3:$J$953,""),"IOT",_xlfn.XLOOKUP($K73&amp;"",IOT!$B$3:$B$1012&amp;"",IOT!$K$4:$K$1012,""),"Server",_xlfn.XLOOKUP($K73&amp;"",SERVER!$B$3:$B$1009&amp;"",SERVER!$K$3:$K$1009,""),""))))</f>
        <v/>
      </c>
      <c r="O73" s="1" t="str" cm="1">
        <f t="array" ref="O73">IF(OR($K73="",$I73="",$J73=""),"",_xlfn.LET(_xlpm.srcCat,_xlfn.SWITCH($I73,"Computer",_xlfn.XLOOKUP($K73&amp;"",COMPUTER!$B$3:$B$1009&amp;"",COMPUTER!$H$3:$H$1009,""),"Display",_xlfn.XLOOKUP($K73&amp;"",DISPLAY!$B$3:$B$1000&amp;"",DISPLAY!$H$3:$H$1000,""),"Network Device",_xlfn.XLOOKUP($K73&amp;"",'NETWORK-DEVICES'!$B$3:$B$987&amp;"",'NETWORK-DEVICES'!$H$3:$H$987,""),"Peripheral",_xlfn.XLOOKUP($K73&amp;"",PERIPHERAL!$B$3:$B$954&amp;"",PERIPHERAL!$H$3:$H$954,""),"Utilities",_xlfn.XLOOKUP($K73&amp;"",UTILITIES!$B$3:$B$953&amp;"",UTILITIES!$G$3:$G$953,""),"IOT",_xlfn.XLOOKUP($K73&amp;"",IOT!$B$3:$B$1012&amp;"",IOT!$H$3:$H$1012,""),"Server",_xlfn.XLOOKUP($K73&amp;"",SERVER!$B$3:$B$1009&amp;"",SERVER!$H$3:$H$1009,""),""),IF(TRIM(_xlpm.srcCat)&lt;&gt;TRIM($J73),"",_xlfn.SWITCH($I73,"Computer",_xlfn.XLOOKUP($K73&amp;"",COMPUTER!$B$3:$B$1009&amp;"",COMPUTER!$E$3:$E$1009,""),"Display",_xlfn.XLOOKUP($K73&amp;"",DISPLAY!$B$3:$B$1000&amp;"",DISPLAY!$E$3:$E$1000,""),"Network Device",_xlfn.XLOOKUP($K73&amp;"",'NETWORK-DEVICES'!$B$3:$B$987&amp;"",'NETWORK-DEVICES'!$E$3:$E$987,""),"Peripheral",_xlfn.XLOOKUP($K73&amp;"",PERIPHERAL!$B$3:$B$954&amp;"",PERIPHERAL!$E$3:$E$954,""),"Utilities",_xlfn.XLOOKUP($K73&amp;"",UTILITIES!$B$3:$B$953&amp;"",UTILITIES!$E$3:$E$953,""),"IOT",_xlfn.XLOOKUP($K73&amp;"",IOT!$B$3:$B$1012&amp;"",IOT!$E$3:$E$1012,""),"Server",_xlfn.XLOOKUP($K73&amp;"",SERVER!$B$3:$B$1009&amp;"",SERVER!$E$3:$E$1009,""),""))))</f>
        <v/>
      </c>
      <c r="Q73" s="1" t="str" cm="1">
        <f t="array" ref="Q73">IF(OR($K73="",$I73="",$J73=""),"",_xlfn.LET(_xlpm.srcCat,_xlfn.SWITCH($I73,"Computer",_xlfn.XLOOKUP($K73&amp;"",COMPUTER!$B$3:$B$1009&amp;"",COMPUTER!$H$3:$H$1009,""),"Display",_xlfn.XLOOKUP($K73&amp;"",DISPLAY!$B$3:$B$1000&amp;"",DISPLAY!$H$3:$H$1000,""),"Network Device",_xlfn.XLOOKUP($K73&amp;"",'NETWORK-DEVICES'!$B$3:$B$987&amp;"",'NETWORK-DEVICES'!$H$3:$H$987,""),"Peripheral",_xlfn.XLOOKUP($K73&amp;"",PERIPHERAL!$B$3:$B$954&amp;"",PERIPHERAL!$H$3:$H$954,""),"Utilities",_xlfn.XLOOKUP($K73&amp;"",UTILITIES!$B$3:$B$953&amp;"",UTILITIES!$G$3:$G$953,""),"IOT",_xlfn.XLOOKUP($K73&amp;"",IOT!$B$3:$B$1012&amp;"",IOT!$H$3:$H$1012,""),"Server",_xlfn.XLOOKUP($K73&amp;"",SERVER!$B$3:$B$1009&amp;"",SERVER!$H$3:$H$1009,""),""),IF(TRIM(_xlpm.srcCat)&lt;&gt;TRIM($J73),"",_xlfn.SWITCH($I73,"Computer",_xlfn.XLOOKUP($K73&amp;"",COMPUTER!$B$3:$B$1009&amp;"",COMPUTER!$AM$3:$AM$1009,""),"Display",_xlfn.XLOOKUP($K73&amp;"",DISPLAY!$B$3:$B$1000&amp;"",DISPLAY!$V$3:$V$1000,""),"Network Device",_xlfn.XLOOKUP($K73&amp;"",'NETWORK-DEVICES'!$B$3:$B$987&amp;"",'NETWORK-DEVICES'!$AF$3:$AF$987,""),"Peripheral",_xlfn.XLOOKUP($K73&amp;"",PERIPHERAL!$B$3:$B$954&amp;"",PERIPHERAL!$Y$3:$Y$954,""),"Utilities",_xlfn.XLOOKUP($K73&amp;"",UTILITIES!$B$3:$B$953&amp;"",UTILITIES!$O$3:$O$953,""),"IOT",_xlfn.XLOOKUP($K73&amp;"",IOT!$B$3:$B$1012&amp;"",IOT!$AB$3:$AB$1012,""),"Server",_xlfn.XLOOKUP($K73&amp;"",SERVER!$B$3:$B$1009&amp;"",SERVER!$AB$3:$AB$1009,""),""))))</f>
        <v/>
      </c>
      <c r="R73" s="43" t="str">
        <f>IF(tbl_handover[[#This Row],[Asset Code]]="","",COUNTIF(tbl_handover[Asset Code],tbl_handover[[#This Row],[Asset Code]]))</f>
        <v/>
      </c>
    </row>
    <row r="74" spans="1:18" x14ac:dyDescent="0.25">
      <c r="A74" s="43" t="str">
        <f>IF(B74&lt;&gt;"",SUBTOTAL(3,$B$1:B73),"")</f>
        <v/>
      </c>
      <c r="C74" s="74"/>
      <c r="D74" s="74"/>
      <c r="G74" s="1"/>
      <c r="K74" s="42"/>
      <c r="L74" t="str" cm="1">
        <f t="array" ref="L74">IF($K74="","",_xlfn.SWITCH($I74,"Computer",_xlfn.XLOOKUP($K74&amp;"",COMPUTER!$B$3:$B$1009&amp;"",COMPUTER!$I$3:$I$1009,""),"Display",_xlfn.XLOOKUP($K74&amp;"",DISPLAY!$B$3:$B$1000&amp;"",DISPLAY!$J$3:$J$1000,""),"Network Device",_xlfn.XLOOKUP($K74&amp;"",'NETWORK-DEVICES'!$B$3:$B$987&amp;"",'NETWORK-DEVICES'!$I$3:$I$987,""),"Peripheral",_xlfn.XLOOKUP($K74&amp;"",PERIPHERAL!$B$3:$B$954&amp;"",PERIPHERAL!$I$3:$I$954,""),"Utilities",_xlfn.XLOOKUP($K74&amp;"",UTILITIES!$B$3:$B$953&amp;"",UTILITIES!$H$3:$H$953,""),"IOT",_xlfn.XLOOKUP($K74&amp;"",IOT!$B$3:$B$1012&amp;"",IOT!$I$3:$I$1012,""),"SERVER",_xlfn.XLOOKUP($K74&amp;"",SERVER!$B$3:$B$1009&amp;"",SERVER!$I$3:$I$1009,""),""))</f>
        <v/>
      </c>
      <c r="M74" t="str" cm="1">
        <f t="array" ref="M74">IF($K74="","",_xlfn.SWITCH($I74,"Computer",_xlfn.XLOOKUP($K74&amp;"",COMPUTER!$B$3:$B$1009&amp;"",COMPUTER!$J$3:$J$1009,""),"Display",_xlfn.XLOOKUP($K74&amp;"",DISPLAY!$B$3:$B$1000&amp;"",DISPLAY!$K$3:$K$1000,""),"Network Device",_xlfn.XLOOKUP($K74&amp;"",'NETWORK-DEVICES'!$B$3:$B$987&amp;"",'NETWORK-DEVICES'!$I$3:$I$987,""),"Peripheral",_xlfn.XLOOKUP($K74&amp;"",PERIPHERAL!$B$3:$B$954&amp;"",PERIPHERAL!$J$3:$J$954,""),"Utilities",_xlfn.XLOOKUP($K74&amp;"",UTILITIES!$B$3:$B$953&amp;"",UTILITIES!$I$3:$I$953,""),"IOT",_xlfn.XLOOKUP($K74&amp;"",IOT!$B$3:$B$1012&amp;"",IOT!$J$3:$J$1012,""),"Server",_xlfn.XLOOKUP($K74&amp;"",SERVER!$B$3:$B$1009&amp;"",SERVER!$J$3:$J$1009,""),""))</f>
        <v/>
      </c>
      <c r="N74" s="1" t="str" cm="1">
        <f t="array" ref="N74">IF(OR($K74="",$I74="",$J74=""),"",_xlfn.LET(_xlpm.srcCat,_xlfn.SWITCH($I74,"Computer",_xlfn.XLOOKUP($K74&amp;"",COMPUTER!$B$3:$B$1009&amp;"",COMPUTER!$H$3:$H$1009,""),"Display",_xlfn.XLOOKUP($K74&amp;"",DISPLAY!$B$3:$B$1000&amp;"",DISPLAY!$H$3:$H$1000,""),"Network Device",_xlfn.XLOOKUP($K74&amp;"",'NETWORK-DEVICES'!$B$3:$B$987&amp;"",'NETWORK-DEVICES'!$H$3:$H$987,""),"Peripheral",_xlfn.XLOOKUP($K74&amp;"",PERIPHERAL!$B$3:$B$954&amp;"",PERIPHERAL!$H$3:$H$954,""),"Utilities",_xlfn.XLOOKUP($K74&amp;"",UTILITIES!$B$3:$B$953&amp;"",UTILITIES!$G$3:$G$953,""),"IOT",_xlfn.XLOOKUP($K74&amp;"",IOT!$B$3:$B$1012&amp;"",IOT!$H$3:$H$1012,""),"Server",_xlfn.XLOOKUP($K74&amp;"",SERVER!$B$3:$B$1009&amp;"",SERVER!$H$3:$H$1009,""),""),IF(TRIM(_xlpm.srcCat)&lt;&gt;TRIM($J74),"",_xlfn.SWITCH($I74,"Computer",_xlfn.XLOOKUP($K74&amp;"",COMPUTER!$B$3:$B$1009&amp;"",COMPUTER!$K$3:$K$1009,""),"Display",_xlfn.XLOOKUP($K74&amp;"",DISPLAY!$B$3:$B$1000&amp;"",DISPLAY!$L$3:$L$1000,""),"Network Device",_xlfn.XLOOKUP($K74&amp;"",'NETWORK-DEVICES'!$B$3:$B$987&amp;"",'NETWORK-DEVICES'!$K$3:$K$987,""),"Peripheral",_xlfn.XLOOKUP($K74&amp;"",PERIPHERAL!$B$3:$B$954&amp;"",PERIPHERAL!$K$3:$K$954,""),"Utilities",_xlfn.XLOOKUP($K74&amp;"",UTILITIES!$B$3:$B$953&amp;"",UTILITIES!$J$3:$J$953,""),"IOT",_xlfn.XLOOKUP($K74&amp;"",IOT!$B$3:$B$1012&amp;"",IOT!$K$4:$K$1012,""),"Server",_xlfn.XLOOKUP($K74&amp;"",SERVER!$B$3:$B$1009&amp;"",SERVER!$K$3:$K$1009,""),""))))</f>
        <v/>
      </c>
      <c r="O74" s="1" t="str" cm="1">
        <f t="array" ref="O74">IF(OR($K74="",$I74="",$J74=""),"",_xlfn.LET(_xlpm.srcCat,_xlfn.SWITCH($I74,"Computer",_xlfn.XLOOKUP($K74&amp;"",COMPUTER!$B$3:$B$1009&amp;"",COMPUTER!$H$3:$H$1009,""),"Display",_xlfn.XLOOKUP($K74&amp;"",DISPLAY!$B$3:$B$1000&amp;"",DISPLAY!$H$3:$H$1000,""),"Network Device",_xlfn.XLOOKUP($K74&amp;"",'NETWORK-DEVICES'!$B$3:$B$987&amp;"",'NETWORK-DEVICES'!$H$3:$H$987,""),"Peripheral",_xlfn.XLOOKUP($K74&amp;"",PERIPHERAL!$B$3:$B$954&amp;"",PERIPHERAL!$H$3:$H$954,""),"Utilities",_xlfn.XLOOKUP($K74&amp;"",UTILITIES!$B$3:$B$953&amp;"",UTILITIES!$G$3:$G$953,""),"IOT",_xlfn.XLOOKUP($K74&amp;"",IOT!$B$3:$B$1012&amp;"",IOT!$H$3:$H$1012,""),"Server",_xlfn.XLOOKUP($K74&amp;"",SERVER!$B$3:$B$1009&amp;"",SERVER!$H$3:$H$1009,""),""),IF(TRIM(_xlpm.srcCat)&lt;&gt;TRIM($J74),"",_xlfn.SWITCH($I74,"Computer",_xlfn.XLOOKUP($K74&amp;"",COMPUTER!$B$3:$B$1009&amp;"",COMPUTER!$E$3:$E$1009,""),"Display",_xlfn.XLOOKUP($K74&amp;"",DISPLAY!$B$3:$B$1000&amp;"",DISPLAY!$E$3:$E$1000,""),"Network Device",_xlfn.XLOOKUP($K74&amp;"",'NETWORK-DEVICES'!$B$3:$B$987&amp;"",'NETWORK-DEVICES'!$E$3:$E$987,""),"Peripheral",_xlfn.XLOOKUP($K74&amp;"",PERIPHERAL!$B$3:$B$954&amp;"",PERIPHERAL!$E$3:$E$954,""),"Utilities",_xlfn.XLOOKUP($K74&amp;"",UTILITIES!$B$3:$B$953&amp;"",UTILITIES!$E$3:$E$953,""),"IOT",_xlfn.XLOOKUP($K74&amp;"",IOT!$B$3:$B$1012&amp;"",IOT!$E$3:$E$1012,""),"Server",_xlfn.XLOOKUP($K74&amp;"",SERVER!$B$3:$B$1009&amp;"",SERVER!$E$3:$E$1009,""),""))))</f>
        <v/>
      </c>
      <c r="Q74" s="1" t="str" cm="1">
        <f t="array" ref="Q74">IF(OR($K74="",$I74="",$J74=""),"",_xlfn.LET(_xlpm.srcCat,_xlfn.SWITCH($I74,"Computer",_xlfn.XLOOKUP($K74&amp;"",COMPUTER!$B$3:$B$1009&amp;"",COMPUTER!$H$3:$H$1009,""),"Display",_xlfn.XLOOKUP($K74&amp;"",DISPLAY!$B$3:$B$1000&amp;"",DISPLAY!$H$3:$H$1000,""),"Network Device",_xlfn.XLOOKUP($K74&amp;"",'NETWORK-DEVICES'!$B$3:$B$987&amp;"",'NETWORK-DEVICES'!$H$3:$H$987,""),"Peripheral",_xlfn.XLOOKUP($K74&amp;"",PERIPHERAL!$B$3:$B$954&amp;"",PERIPHERAL!$H$3:$H$954,""),"Utilities",_xlfn.XLOOKUP($K74&amp;"",UTILITIES!$B$3:$B$953&amp;"",UTILITIES!$G$3:$G$953,""),"IOT",_xlfn.XLOOKUP($K74&amp;"",IOT!$B$3:$B$1012&amp;"",IOT!$H$3:$H$1012,""),"Server",_xlfn.XLOOKUP($K74&amp;"",SERVER!$B$3:$B$1009&amp;"",SERVER!$H$3:$H$1009,""),""),IF(TRIM(_xlpm.srcCat)&lt;&gt;TRIM($J74),"",_xlfn.SWITCH($I74,"Computer",_xlfn.XLOOKUP($K74&amp;"",COMPUTER!$B$3:$B$1009&amp;"",COMPUTER!$AM$3:$AM$1009,""),"Display",_xlfn.XLOOKUP($K74&amp;"",DISPLAY!$B$3:$B$1000&amp;"",DISPLAY!$V$3:$V$1000,""),"Network Device",_xlfn.XLOOKUP($K74&amp;"",'NETWORK-DEVICES'!$B$3:$B$987&amp;"",'NETWORK-DEVICES'!$AF$3:$AF$987,""),"Peripheral",_xlfn.XLOOKUP($K74&amp;"",PERIPHERAL!$B$3:$B$954&amp;"",PERIPHERAL!$Y$3:$Y$954,""),"Utilities",_xlfn.XLOOKUP($K74&amp;"",UTILITIES!$B$3:$B$953&amp;"",UTILITIES!$O$3:$O$953,""),"IOT",_xlfn.XLOOKUP($K74&amp;"",IOT!$B$3:$B$1012&amp;"",IOT!$AB$3:$AB$1012,""),"Server",_xlfn.XLOOKUP($K74&amp;"",SERVER!$B$3:$B$1009&amp;"",SERVER!$AB$3:$AB$1009,""),""))))</f>
        <v/>
      </c>
      <c r="R74" s="43" t="str">
        <f>IF(tbl_handover[[#This Row],[Asset Code]]="","",COUNTIF(tbl_handover[Asset Code],tbl_handover[[#This Row],[Asset Code]]))</f>
        <v/>
      </c>
    </row>
    <row r="75" spans="1:18" x14ac:dyDescent="0.25">
      <c r="A75" s="43" t="str">
        <f>IF(B75&lt;&gt;"",SUBTOTAL(3,$B$1:B74),"")</f>
        <v/>
      </c>
      <c r="C75" s="74"/>
      <c r="D75" s="74"/>
      <c r="G75" s="1"/>
      <c r="K75" s="42"/>
      <c r="L75" t="str" cm="1">
        <f t="array" ref="L75">IF($K75="","",_xlfn.SWITCH($I75,"Computer",_xlfn.XLOOKUP($K75&amp;"",COMPUTER!$B$3:$B$1009&amp;"",COMPUTER!$I$3:$I$1009,""),"Display",_xlfn.XLOOKUP($K75&amp;"",DISPLAY!$B$3:$B$1000&amp;"",DISPLAY!$J$3:$J$1000,""),"Network Device",_xlfn.XLOOKUP($K75&amp;"",'NETWORK-DEVICES'!$B$3:$B$987&amp;"",'NETWORK-DEVICES'!$I$3:$I$987,""),"Peripheral",_xlfn.XLOOKUP($K75&amp;"",PERIPHERAL!$B$3:$B$954&amp;"",PERIPHERAL!$I$3:$I$954,""),"Utilities",_xlfn.XLOOKUP($K75&amp;"",UTILITIES!$B$3:$B$953&amp;"",UTILITIES!$H$3:$H$953,""),"IOT",_xlfn.XLOOKUP($K75&amp;"",IOT!$B$3:$B$1012&amp;"",IOT!$I$3:$I$1012,""),"SERVER",_xlfn.XLOOKUP($K75&amp;"",SERVER!$B$3:$B$1009&amp;"",SERVER!$I$3:$I$1009,""),""))</f>
        <v/>
      </c>
      <c r="M75" t="str" cm="1">
        <f t="array" ref="M75">IF($K75="","",_xlfn.SWITCH($I75,"Computer",_xlfn.XLOOKUP($K75&amp;"",COMPUTER!$B$3:$B$1009&amp;"",COMPUTER!$J$3:$J$1009,""),"Display",_xlfn.XLOOKUP($K75&amp;"",DISPLAY!$B$3:$B$1000&amp;"",DISPLAY!$K$3:$K$1000,""),"Network Device",_xlfn.XLOOKUP($K75&amp;"",'NETWORK-DEVICES'!$B$3:$B$987&amp;"",'NETWORK-DEVICES'!$I$3:$I$987,""),"Peripheral",_xlfn.XLOOKUP($K75&amp;"",PERIPHERAL!$B$3:$B$954&amp;"",PERIPHERAL!$J$3:$J$954,""),"Utilities",_xlfn.XLOOKUP($K75&amp;"",UTILITIES!$B$3:$B$953&amp;"",UTILITIES!$I$3:$I$953,""),"IOT",_xlfn.XLOOKUP($K75&amp;"",IOT!$B$3:$B$1012&amp;"",IOT!$J$3:$J$1012,""),"Server",_xlfn.XLOOKUP($K75&amp;"",SERVER!$B$3:$B$1009&amp;"",SERVER!$J$3:$J$1009,""),""))</f>
        <v/>
      </c>
      <c r="N75" s="1" t="str" cm="1">
        <f t="array" ref="N75">IF(OR($K75="",$I75="",$J75=""),"",_xlfn.LET(_xlpm.srcCat,_xlfn.SWITCH($I75,"Computer",_xlfn.XLOOKUP($K75&amp;"",COMPUTER!$B$3:$B$1009&amp;"",COMPUTER!$H$3:$H$1009,""),"Display",_xlfn.XLOOKUP($K75&amp;"",DISPLAY!$B$3:$B$1000&amp;"",DISPLAY!$H$3:$H$1000,""),"Network Device",_xlfn.XLOOKUP($K75&amp;"",'NETWORK-DEVICES'!$B$3:$B$987&amp;"",'NETWORK-DEVICES'!$H$3:$H$987,""),"Peripheral",_xlfn.XLOOKUP($K75&amp;"",PERIPHERAL!$B$3:$B$954&amp;"",PERIPHERAL!$H$3:$H$954,""),"Utilities",_xlfn.XLOOKUP($K75&amp;"",UTILITIES!$B$3:$B$953&amp;"",UTILITIES!$G$3:$G$953,""),"IOT",_xlfn.XLOOKUP($K75&amp;"",IOT!$B$3:$B$1012&amp;"",IOT!$H$3:$H$1012,""),"Server",_xlfn.XLOOKUP($K75&amp;"",SERVER!$B$3:$B$1009&amp;"",SERVER!$H$3:$H$1009,""),""),IF(TRIM(_xlpm.srcCat)&lt;&gt;TRIM($J75),"",_xlfn.SWITCH($I75,"Computer",_xlfn.XLOOKUP($K75&amp;"",COMPUTER!$B$3:$B$1009&amp;"",COMPUTER!$K$3:$K$1009,""),"Display",_xlfn.XLOOKUP($K75&amp;"",DISPLAY!$B$3:$B$1000&amp;"",DISPLAY!$L$3:$L$1000,""),"Network Device",_xlfn.XLOOKUP($K75&amp;"",'NETWORK-DEVICES'!$B$3:$B$987&amp;"",'NETWORK-DEVICES'!$K$3:$K$987,""),"Peripheral",_xlfn.XLOOKUP($K75&amp;"",PERIPHERAL!$B$3:$B$954&amp;"",PERIPHERAL!$K$3:$K$954,""),"Utilities",_xlfn.XLOOKUP($K75&amp;"",UTILITIES!$B$3:$B$953&amp;"",UTILITIES!$J$3:$J$953,""),"IOT",_xlfn.XLOOKUP($K75&amp;"",IOT!$B$3:$B$1012&amp;"",IOT!$K$4:$K$1012,""),"Server",_xlfn.XLOOKUP($K75&amp;"",SERVER!$B$3:$B$1009&amp;"",SERVER!$K$3:$K$1009,""),""))))</f>
        <v/>
      </c>
      <c r="O75" s="1" t="str" cm="1">
        <f t="array" ref="O75">IF(OR($K75="",$I75="",$J75=""),"",_xlfn.LET(_xlpm.srcCat,_xlfn.SWITCH($I75,"Computer",_xlfn.XLOOKUP($K75&amp;"",COMPUTER!$B$3:$B$1009&amp;"",COMPUTER!$H$3:$H$1009,""),"Display",_xlfn.XLOOKUP($K75&amp;"",DISPLAY!$B$3:$B$1000&amp;"",DISPLAY!$H$3:$H$1000,""),"Network Device",_xlfn.XLOOKUP($K75&amp;"",'NETWORK-DEVICES'!$B$3:$B$987&amp;"",'NETWORK-DEVICES'!$H$3:$H$987,""),"Peripheral",_xlfn.XLOOKUP($K75&amp;"",PERIPHERAL!$B$3:$B$954&amp;"",PERIPHERAL!$H$3:$H$954,""),"Utilities",_xlfn.XLOOKUP($K75&amp;"",UTILITIES!$B$3:$B$953&amp;"",UTILITIES!$G$3:$G$953,""),"IOT",_xlfn.XLOOKUP($K75&amp;"",IOT!$B$3:$B$1012&amp;"",IOT!$H$3:$H$1012,""),"Server",_xlfn.XLOOKUP($K75&amp;"",SERVER!$B$3:$B$1009&amp;"",SERVER!$H$3:$H$1009,""),""),IF(TRIM(_xlpm.srcCat)&lt;&gt;TRIM($J75),"",_xlfn.SWITCH($I75,"Computer",_xlfn.XLOOKUP($K75&amp;"",COMPUTER!$B$3:$B$1009&amp;"",COMPUTER!$E$3:$E$1009,""),"Display",_xlfn.XLOOKUP($K75&amp;"",DISPLAY!$B$3:$B$1000&amp;"",DISPLAY!$E$3:$E$1000,""),"Network Device",_xlfn.XLOOKUP($K75&amp;"",'NETWORK-DEVICES'!$B$3:$B$987&amp;"",'NETWORK-DEVICES'!$E$3:$E$987,""),"Peripheral",_xlfn.XLOOKUP($K75&amp;"",PERIPHERAL!$B$3:$B$954&amp;"",PERIPHERAL!$E$3:$E$954,""),"Utilities",_xlfn.XLOOKUP($K75&amp;"",UTILITIES!$B$3:$B$953&amp;"",UTILITIES!$E$3:$E$953,""),"IOT",_xlfn.XLOOKUP($K75&amp;"",IOT!$B$3:$B$1012&amp;"",IOT!$E$3:$E$1012,""),"Server",_xlfn.XLOOKUP($K75&amp;"",SERVER!$B$3:$B$1009&amp;"",SERVER!$E$3:$E$1009,""),""))))</f>
        <v/>
      </c>
      <c r="Q75" s="1" t="str" cm="1">
        <f t="array" ref="Q75">IF(OR($K75="",$I75="",$J75=""),"",_xlfn.LET(_xlpm.srcCat,_xlfn.SWITCH($I75,"Computer",_xlfn.XLOOKUP($K75&amp;"",COMPUTER!$B$3:$B$1009&amp;"",COMPUTER!$H$3:$H$1009,""),"Display",_xlfn.XLOOKUP($K75&amp;"",DISPLAY!$B$3:$B$1000&amp;"",DISPLAY!$H$3:$H$1000,""),"Network Device",_xlfn.XLOOKUP($K75&amp;"",'NETWORK-DEVICES'!$B$3:$B$987&amp;"",'NETWORK-DEVICES'!$H$3:$H$987,""),"Peripheral",_xlfn.XLOOKUP($K75&amp;"",PERIPHERAL!$B$3:$B$954&amp;"",PERIPHERAL!$H$3:$H$954,""),"Utilities",_xlfn.XLOOKUP($K75&amp;"",UTILITIES!$B$3:$B$953&amp;"",UTILITIES!$G$3:$G$953,""),"IOT",_xlfn.XLOOKUP($K75&amp;"",IOT!$B$3:$B$1012&amp;"",IOT!$H$3:$H$1012,""),"Server",_xlfn.XLOOKUP($K75&amp;"",SERVER!$B$3:$B$1009&amp;"",SERVER!$H$3:$H$1009,""),""),IF(TRIM(_xlpm.srcCat)&lt;&gt;TRIM($J75),"",_xlfn.SWITCH($I75,"Computer",_xlfn.XLOOKUP($K75&amp;"",COMPUTER!$B$3:$B$1009&amp;"",COMPUTER!$AM$3:$AM$1009,""),"Display",_xlfn.XLOOKUP($K75&amp;"",DISPLAY!$B$3:$B$1000&amp;"",DISPLAY!$V$3:$V$1000,""),"Network Device",_xlfn.XLOOKUP($K75&amp;"",'NETWORK-DEVICES'!$B$3:$B$987&amp;"",'NETWORK-DEVICES'!$AF$3:$AF$987,""),"Peripheral",_xlfn.XLOOKUP($K75&amp;"",PERIPHERAL!$B$3:$B$954&amp;"",PERIPHERAL!$Y$3:$Y$954,""),"Utilities",_xlfn.XLOOKUP($K75&amp;"",UTILITIES!$B$3:$B$953&amp;"",UTILITIES!$O$3:$O$953,""),"IOT",_xlfn.XLOOKUP($K75&amp;"",IOT!$B$3:$B$1012&amp;"",IOT!$AB$3:$AB$1012,""),"Server",_xlfn.XLOOKUP($K75&amp;"",SERVER!$B$3:$B$1009&amp;"",SERVER!$AB$3:$AB$1009,""),""))))</f>
        <v/>
      </c>
      <c r="R75" s="43" t="str">
        <f>IF(tbl_handover[[#This Row],[Asset Code]]="","",COUNTIF(tbl_handover[Asset Code],tbl_handover[[#This Row],[Asset Code]]))</f>
        <v/>
      </c>
    </row>
    <row r="76" spans="1:18" x14ac:dyDescent="0.25">
      <c r="A76" s="43" t="str">
        <f>IF(B76&lt;&gt;"",SUBTOTAL(3,$B$1:B75),"")</f>
        <v/>
      </c>
      <c r="C76" s="74"/>
      <c r="D76" s="74"/>
      <c r="G76" s="1"/>
      <c r="K76" s="42"/>
      <c r="L76" t="str" cm="1">
        <f t="array" ref="L76">IF($K76="","",_xlfn.SWITCH($I76,"Computer",_xlfn.XLOOKUP($K76&amp;"",COMPUTER!$B$3:$B$1009&amp;"",COMPUTER!$I$3:$I$1009,""),"Display",_xlfn.XLOOKUP($K76&amp;"",DISPLAY!$B$3:$B$1000&amp;"",DISPLAY!$J$3:$J$1000,""),"Network Device",_xlfn.XLOOKUP($K76&amp;"",'NETWORK-DEVICES'!$B$3:$B$987&amp;"",'NETWORK-DEVICES'!$I$3:$I$987,""),"Peripheral",_xlfn.XLOOKUP($K76&amp;"",PERIPHERAL!$B$3:$B$954&amp;"",PERIPHERAL!$I$3:$I$954,""),"Utilities",_xlfn.XLOOKUP($K76&amp;"",UTILITIES!$B$3:$B$953&amp;"",UTILITIES!$H$3:$H$953,""),"IOT",_xlfn.XLOOKUP($K76&amp;"",IOT!$B$3:$B$1012&amp;"",IOT!$I$3:$I$1012,""),"SERVER",_xlfn.XLOOKUP($K76&amp;"",SERVER!$B$3:$B$1009&amp;"",SERVER!$I$3:$I$1009,""),""))</f>
        <v/>
      </c>
      <c r="M76" t="str" cm="1">
        <f t="array" ref="M76">IF($K76="","",_xlfn.SWITCH($I76,"Computer",_xlfn.XLOOKUP($K76&amp;"",COMPUTER!$B$3:$B$1009&amp;"",COMPUTER!$J$3:$J$1009,""),"Display",_xlfn.XLOOKUP($K76&amp;"",DISPLAY!$B$3:$B$1000&amp;"",DISPLAY!$K$3:$K$1000,""),"Network Device",_xlfn.XLOOKUP($K76&amp;"",'NETWORK-DEVICES'!$B$3:$B$987&amp;"",'NETWORK-DEVICES'!$I$3:$I$987,""),"Peripheral",_xlfn.XLOOKUP($K76&amp;"",PERIPHERAL!$B$3:$B$954&amp;"",PERIPHERAL!$J$3:$J$954,""),"Utilities",_xlfn.XLOOKUP($K76&amp;"",UTILITIES!$B$3:$B$953&amp;"",UTILITIES!$I$3:$I$953,""),"IOT",_xlfn.XLOOKUP($K76&amp;"",IOT!$B$3:$B$1012&amp;"",IOT!$J$3:$J$1012,""),"Server",_xlfn.XLOOKUP($K76&amp;"",SERVER!$B$3:$B$1009&amp;"",SERVER!$J$3:$J$1009,""),""))</f>
        <v/>
      </c>
      <c r="N76" s="1" t="str" cm="1">
        <f t="array" ref="N76">IF(OR($K76="",$I76="",$J76=""),"",_xlfn.LET(_xlpm.srcCat,_xlfn.SWITCH($I76,"Computer",_xlfn.XLOOKUP($K76&amp;"",COMPUTER!$B$3:$B$1009&amp;"",COMPUTER!$H$3:$H$1009,""),"Display",_xlfn.XLOOKUP($K76&amp;"",DISPLAY!$B$3:$B$1000&amp;"",DISPLAY!$H$3:$H$1000,""),"Network Device",_xlfn.XLOOKUP($K76&amp;"",'NETWORK-DEVICES'!$B$3:$B$987&amp;"",'NETWORK-DEVICES'!$H$3:$H$987,""),"Peripheral",_xlfn.XLOOKUP($K76&amp;"",PERIPHERAL!$B$3:$B$954&amp;"",PERIPHERAL!$H$3:$H$954,""),"Utilities",_xlfn.XLOOKUP($K76&amp;"",UTILITIES!$B$3:$B$953&amp;"",UTILITIES!$G$3:$G$953,""),"IOT",_xlfn.XLOOKUP($K76&amp;"",IOT!$B$3:$B$1012&amp;"",IOT!$H$3:$H$1012,""),"Server",_xlfn.XLOOKUP($K76&amp;"",SERVER!$B$3:$B$1009&amp;"",SERVER!$H$3:$H$1009,""),""),IF(TRIM(_xlpm.srcCat)&lt;&gt;TRIM($J76),"",_xlfn.SWITCH($I76,"Computer",_xlfn.XLOOKUP($K76&amp;"",COMPUTER!$B$3:$B$1009&amp;"",COMPUTER!$K$3:$K$1009,""),"Display",_xlfn.XLOOKUP($K76&amp;"",DISPLAY!$B$3:$B$1000&amp;"",DISPLAY!$L$3:$L$1000,""),"Network Device",_xlfn.XLOOKUP($K76&amp;"",'NETWORK-DEVICES'!$B$3:$B$987&amp;"",'NETWORK-DEVICES'!$K$3:$K$987,""),"Peripheral",_xlfn.XLOOKUP($K76&amp;"",PERIPHERAL!$B$3:$B$954&amp;"",PERIPHERAL!$K$3:$K$954,""),"Utilities",_xlfn.XLOOKUP($K76&amp;"",UTILITIES!$B$3:$B$953&amp;"",UTILITIES!$J$3:$J$953,""),"IOT",_xlfn.XLOOKUP($K76&amp;"",IOT!$B$3:$B$1012&amp;"",IOT!$K$4:$K$1012,""),"Server",_xlfn.XLOOKUP($K76&amp;"",SERVER!$B$3:$B$1009&amp;"",SERVER!$K$3:$K$1009,""),""))))</f>
        <v/>
      </c>
      <c r="O76" s="1" t="str" cm="1">
        <f t="array" ref="O76">IF(OR($K76="",$I76="",$J76=""),"",_xlfn.LET(_xlpm.srcCat,_xlfn.SWITCH($I76,"Computer",_xlfn.XLOOKUP($K76&amp;"",COMPUTER!$B$3:$B$1009&amp;"",COMPUTER!$H$3:$H$1009,""),"Display",_xlfn.XLOOKUP($K76&amp;"",DISPLAY!$B$3:$B$1000&amp;"",DISPLAY!$H$3:$H$1000,""),"Network Device",_xlfn.XLOOKUP($K76&amp;"",'NETWORK-DEVICES'!$B$3:$B$987&amp;"",'NETWORK-DEVICES'!$H$3:$H$987,""),"Peripheral",_xlfn.XLOOKUP($K76&amp;"",PERIPHERAL!$B$3:$B$954&amp;"",PERIPHERAL!$H$3:$H$954,""),"Utilities",_xlfn.XLOOKUP($K76&amp;"",UTILITIES!$B$3:$B$953&amp;"",UTILITIES!$G$3:$G$953,""),"IOT",_xlfn.XLOOKUP($K76&amp;"",IOT!$B$3:$B$1012&amp;"",IOT!$H$3:$H$1012,""),"Server",_xlfn.XLOOKUP($K76&amp;"",SERVER!$B$3:$B$1009&amp;"",SERVER!$H$3:$H$1009,""),""),IF(TRIM(_xlpm.srcCat)&lt;&gt;TRIM($J76),"",_xlfn.SWITCH($I76,"Computer",_xlfn.XLOOKUP($K76&amp;"",COMPUTER!$B$3:$B$1009&amp;"",COMPUTER!$E$3:$E$1009,""),"Display",_xlfn.XLOOKUP($K76&amp;"",DISPLAY!$B$3:$B$1000&amp;"",DISPLAY!$E$3:$E$1000,""),"Network Device",_xlfn.XLOOKUP($K76&amp;"",'NETWORK-DEVICES'!$B$3:$B$987&amp;"",'NETWORK-DEVICES'!$E$3:$E$987,""),"Peripheral",_xlfn.XLOOKUP($K76&amp;"",PERIPHERAL!$B$3:$B$954&amp;"",PERIPHERAL!$E$3:$E$954,""),"Utilities",_xlfn.XLOOKUP($K76&amp;"",UTILITIES!$B$3:$B$953&amp;"",UTILITIES!$E$3:$E$953,""),"IOT",_xlfn.XLOOKUP($K76&amp;"",IOT!$B$3:$B$1012&amp;"",IOT!$E$3:$E$1012,""),"Server",_xlfn.XLOOKUP($K76&amp;"",SERVER!$B$3:$B$1009&amp;"",SERVER!$E$3:$E$1009,""),""))))</f>
        <v/>
      </c>
      <c r="Q76" s="1" t="str" cm="1">
        <f t="array" ref="Q76">IF(OR($K76="",$I76="",$J76=""),"",_xlfn.LET(_xlpm.srcCat,_xlfn.SWITCH($I76,"Computer",_xlfn.XLOOKUP($K76&amp;"",COMPUTER!$B$3:$B$1009&amp;"",COMPUTER!$H$3:$H$1009,""),"Display",_xlfn.XLOOKUP($K76&amp;"",DISPLAY!$B$3:$B$1000&amp;"",DISPLAY!$H$3:$H$1000,""),"Network Device",_xlfn.XLOOKUP($K76&amp;"",'NETWORK-DEVICES'!$B$3:$B$987&amp;"",'NETWORK-DEVICES'!$H$3:$H$987,""),"Peripheral",_xlfn.XLOOKUP($K76&amp;"",PERIPHERAL!$B$3:$B$954&amp;"",PERIPHERAL!$H$3:$H$954,""),"Utilities",_xlfn.XLOOKUP($K76&amp;"",UTILITIES!$B$3:$B$953&amp;"",UTILITIES!$G$3:$G$953,""),"IOT",_xlfn.XLOOKUP($K76&amp;"",IOT!$B$3:$B$1012&amp;"",IOT!$H$3:$H$1012,""),"Server",_xlfn.XLOOKUP($K76&amp;"",SERVER!$B$3:$B$1009&amp;"",SERVER!$H$3:$H$1009,""),""),IF(TRIM(_xlpm.srcCat)&lt;&gt;TRIM($J76),"",_xlfn.SWITCH($I76,"Computer",_xlfn.XLOOKUP($K76&amp;"",COMPUTER!$B$3:$B$1009&amp;"",COMPUTER!$AM$3:$AM$1009,""),"Display",_xlfn.XLOOKUP($K76&amp;"",DISPLAY!$B$3:$B$1000&amp;"",DISPLAY!$V$3:$V$1000,""),"Network Device",_xlfn.XLOOKUP($K76&amp;"",'NETWORK-DEVICES'!$B$3:$B$987&amp;"",'NETWORK-DEVICES'!$AF$3:$AF$987,""),"Peripheral",_xlfn.XLOOKUP($K76&amp;"",PERIPHERAL!$B$3:$B$954&amp;"",PERIPHERAL!$Y$3:$Y$954,""),"Utilities",_xlfn.XLOOKUP($K76&amp;"",UTILITIES!$B$3:$B$953&amp;"",UTILITIES!$O$3:$O$953,""),"IOT",_xlfn.XLOOKUP($K76&amp;"",IOT!$B$3:$B$1012&amp;"",IOT!$AB$3:$AB$1012,""),"Server",_xlfn.XLOOKUP($K76&amp;"",SERVER!$B$3:$B$1009&amp;"",SERVER!$AB$3:$AB$1009,""),""))))</f>
        <v/>
      </c>
      <c r="R76" s="43" t="str">
        <f>IF(tbl_handover[[#This Row],[Asset Code]]="","",COUNTIF(tbl_handover[Asset Code],tbl_handover[[#This Row],[Asset Code]]))</f>
        <v/>
      </c>
    </row>
    <row r="77" spans="1:18" x14ac:dyDescent="0.25">
      <c r="A77" s="43" t="str">
        <f>IF(B77&lt;&gt;"",SUBTOTAL(3,$B$1:B76),"")</f>
        <v/>
      </c>
      <c r="C77" s="74"/>
      <c r="D77" s="74"/>
      <c r="G77" s="1"/>
      <c r="K77" s="42"/>
      <c r="L77" t="str" cm="1">
        <f t="array" ref="L77">IF($K77="","",_xlfn.SWITCH($I77,"Computer",_xlfn.XLOOKUP($K77&amp;"",COMPUTER!$B$3:$B$1009&amp;"",COMPUTER!$I$3:$I$1009,""),"Display",_xlfn.XLOOKUP($K77&amp;"",DISPLAY!$B$3:$B$1000&amp;"",DISPLAY!$J$3:$J$1000,""),"Network Device",_xlfn.XLOOKUP($K77&amp;"",'NETWORK-DEVICES'!$B$3:$B$987&amp;"",'NETWORK-DEVICES'!$I$3:$I$987,""),"Peripheral",_xlfn.XLOOKUP($K77&amp;"",PERIPHERAL!$B$3:$B$954&amp;"",PERIPHERAL!$I$3:$I$954,""),"Utilities",_xlfn.XLOOKUP($K77&amp;"",UTILITIES!$B$3:$B$953&amp;"",UTILITIES!$H$3:$H$953,""),"IOT",_xlfn.XLOOKUP($K77&amp;"",IOT!$B$3:$B$1012&amp;"",IOT!$I$3:$I$1012,""),"SERVER",_xlfn.XLOOKUP($K77&amp;"",SERVER!$B$3:$B$1009&amp;"",SERVER!$I$3:$I$1009,""),""))</f>
        <v/>
      </c>
      <c r="M77" t="str" cm="1">
        <f t="array" ref="M77">IF($K77="","",_xlfn.SWITCH($I77,"Computer",_xlfn.XLOOKUP($K77&amp;"",COMPUTER!$B$3:$B$1009&amp;"",COMPUTER!$J$3:$J$1009,""),"Display",_xlfn.XLOOKUP($K77&amp;"",DISPLAY!$B$3:$B$1000&amp;"",DISPLAY!$K$3:$K$1000,""),"Network Device",_xlfn.XLOOKUP($K77&amp;"",'NETWORK-DEVICES'!$B$3:$B$987&amp;"",'NETWORK-DEVICES'!$I$3:$I$987,""),"Peripheral",_xlfn.XLOOKUP($K77&amp;"",PERIPHERAL!$B$3:$B$954&amp;"",PERIPHERAL!$J$3:$J$954,""),"Utilities",_xlfn.XLOOKUP($K77&amp;"",UTILITIES!$B$3:$B$953&amp;"",UTILITIES!$I$3:$I$953,""),"IOT",_xlfn.XLOOKUP($K77&amp;"",IOT!$B$3:$B$1012&amp;"",IOT!$J$3:$J$1012,""),"Server",_xlfn.XLOOKUP($K77&amp;"",SERVER!$B$3:$B$1009&amp;"",SERVER!$J$3:$J$1009,""),""))</f>
        <v/>
      </c>
      <c r="N77" s="1" t="str" cm="1">
        <f t="array" ref="N77">IF(OR($K77="",$I77="",$J77=""),"",_xlfn.LET(_xlpm.srcCat,_xlfn.SWITCH($I77,"Computer",_xlfn.XLOOKUP($K77&amp;"",COMPUTER!$B$3:$B$1009&amp;"",COMPUTER!$H$3:$H$1009,""),"Display",_xlfn.XLOOKUP($K77&amp;"",DISPLAY!$B$3:$B$1000&amp;"",DISPLAY!$H$3:$H$1000,""),"Network Device",_xlfn.XLOOKUP($K77&amp;"",'NETWORK-DEVICES'!$B$3:$B$987&amp;"",'NETWORK-DEVICES'!$H$3:$H$987,""),"Peripheral",_xlfn.XLOOKUP($K77&amp;"",PERIPHERAL!$B$3:$B$954&amp;"",PERIPHERAL!$H$3:$H$954,""),"Utilities",_xlfn.XLOOKUP($K77&amp;"",UTILITIES!$B$3:$B$953&amp;"",UTILITIES!$G$3:$G$953,""),"IOT",_xlfn.XLOOKUP($K77&amp;"",IOT!$B$3:$B$1012&amp;"",IOT!$H$3:$H$1012,""),"Server",_xlfn.XLOOKUP($K77&amp;"",SERVER!$B$3:$B$1009&amp;"",SERVER!$H$3:$H$1009,""),""),IF(TRIM(_xlpm.srcCat)&lt;&gt;TRIM($J77),"",_xlfn.SWITCH($I77,"Computer",_xlfn.XLOOKUP($K77&amp;"",COMPUTER!$B$3:$B$1009&amp;"",COMPUTER!$K$3:$K$1009,""),"Display",_xlfn.XLOOKUP($K77&amp;"",DISPLAY!$B$3:$B$1000&amp;"",DISPLAY!$L$3:$L$1000,""),"Network Device",_xlfn.XLOOKUP($K77&amp;"",'NETWORK-DEVICES'!$B$3:$B$987&amp;"",'NETWORK-DEVICES'!$K$3:$K$987,""),"Peripheral",_xlfn.XLOOKUP($K77&amp;"",PERIPHERAL!$B$3:$B$954&amp;"",PERIPHERAL!$K$3:$K$954,""),"Utilities",_xlfn.XLOOKUP($K77&amp;"",UTILITIES!$B$3:$B$953&amp;"",UTILITIES!$J$3:$J$953,""),"IOT",_xlfn.XLOOKUP($K77&amp;"",IOT!$B$3:$B$1012&amp;"",IOT!$K$4:$K$1012,""),"Server",_xlfn.XLOOKUP($K77&amp;"",SERVER!$B$3:$B$1009&amp;"",SERVER!$K$3:$K$1009,""),""))))</f>
        <v/>
      </c>
      <c r="O77" s="1" t="str" cm="1">
        <f t="array" ref="O77">IF(OR($K77="",$I77="",$J77=""),"",_xlfn.LET(_xlpm.srcCat,_xlfn.SWITCH($I77,"Computer",_xlfn.XLOOKUP($K77&amp;"",COMPUTER!$B$3:$B$1009&amp;"",COMPUTER!$H$3:$H$1009,""),"Display",_xlfn.XLOOKUP($K77&amp;"",DISPLAY!$B$3:$B$1000&amp;"",DISPLAY!$H$3:$H$1000,""),"Network Device",_xlfn.XLOOKUP($K77&amp;"",'NETWORK-DEVICES'!$B$3:$B$987&amp;"",'NETWORK-DEVICES'!$H$3:$H$987,""),"Peripheral",_xlfn.XLOOKUP($K77&amp;"",PERIPHERAL!$B$3:$B$954&amp;"",PERIPHERAL!$H$3:$H$954,""),"Utilities",_xlfn.XLOOKUP($K77&amp;"",UTILITIES!$B$3:$B$953&amp;"",UTILITIES!$G$3:$G$953,""),"IOT",_xlfn.XLOOKUP($K77&amp;"",IOT!$B$3:$B$1012&amp;"",IOT!$H$3:$H$1012,""),"Server",_xlfn.XLOOKUP($K77&amp;"",SERVER!$B$3:$B$1009&amp;"",SERVER!$H$3:$H$1009,""),""),IF(TRIM(_xlpm.srcCat)&lt;&gt;TRIM($J77),"",_xlfn.SWITCH($I77,"Computer",_xlfn.XLOOKUP($K77&amp;"",COMPUTER!$B$3:$B$1009&amp;"",COMPUTER!$E$3:$E$1009,""),"Display",_xlfn.XLOOKUP($K77&amp;"",DISPLAY!$B$3:$B$1000&amp;"",DISPLAY!$E$3:$E$1000,""),"Network Device",_xlfn.XLOOKUP($K77&amp;"",'NETWORK-DEVICES'!$B$3:$B$987&amp;"",'NETWORK-DEVICES'!$E$3:$E$987,""),"Peripheral",_xlfn.XLOOKUP($K77&amp;"",PERIPHERAL!$B$3:$B$954&amp;"",PERIPHERAL!$E$3:$E$954,""),"Utilities",_xlfn.XLOOKUP($K77&amp;"",UTILITIES!$B$3:$B$953&amp;"",UTILITIES!$E$3:$E$953,""),"IOT",_xlfn.XLOOKUP($K77&amp;"",IOT!$B$3:$B$1012&amp;"",IOT!$E$3:$E$1012,""),"Server",_xlfn.XLOOKUP($K77&amp;"",SERVER!$B$3:$B$1009&amp;"",SERVER!$E$3:$E$1009,""),""))))</f>
        <v/>
      </c>
      <c r="Q77" s="1" t="str" cm="1">
        <f t="array" ref="Q77">IF(OR($K77="",$I77="",$J77=""),"",_xlfn.LET(_xlpm.srcCat,_xlfn.SWITCH($I77,"Computer",_xlfn.XLOOKUP($K77&amp;"",COMPUTER!$B$3:$B$1009&amp;"",COMPUTER!$H$3:$H$1009,""),"Display",_xlfn.XLOOKUP($K77&amp;"",DISPLAY!$B$3:$B$1000&amp;"",DISPLAY!$H$3:$H$1000,""),"Network Device",_xlfn.XLOOKUP($K77&amp;"",'NETWORK-DEVICES'!$B$3:$B$987&amp;"",'NETWORK-DEVICES'!$H$3:$H$987,""),"Peripheral",_xlfn.XLOOKUP($K77&amp;"",PERIPHERAL!$B$3:$B$954&amp;"",PERIPHERAL!$H$3:$H$954,""),"Utilities",_xlfn.XLOOKUP($K77&amp;"",UTILITIES!$B$3:$B$953&amp;"",UTILITIES!$G$3:$G$953,""),"IOT",_xlfn.XLOOKUP($K77&amp;"",IOT!$B$3:$B$1012&amp;"",IOT!$H$3:$H$1012,""),"Server",_xlfn.XLOOKUP($K77&amp;"",SERVER!$B$3:$B$1009&amp;"",SERVER!$H$3:$H$1009,""),""),IF(TRIM(_xlpm.srcCat)&lt;&gt;TRIM($J77),"",_xlfn.SWITCH($I77,"Computer",_xlfn.XLOOKUP($K77&amp;"",COMPUTER!$B$3:$B$1009&amp;"",COMPUTER!$AM$3:$AM$1009,""),"Display",_xlfn.XLOOKUP($K77&amp;"",DISPLAY!$B$3:$B$1000&amp;"",DISPLAY!$V$3:$V$1000,""),"Network Device",_xlfn.XLOOKUP($K77&amp;"",'NETWORK-DEVICES'!$B$3:$B$987&amp;"",'NETWORK-DEVICES'!$AF$3:$AF$987,""),"Peripheral",_xlfn.XLOOKUP($K77&amp;"",PERIPHERAL!$B$3:$B$954&amp;"",PERIPHERAL!$Y$3:$Y$954,""),"Utilities",_xlfn.XLOOKUP($K77&amp;"",UTILITIES!$B$3:$B$953&amp;"",UTILITIES!$O$3:$O$953,""),"IOT",_xlfn.XLOOKUP($K77&amp;"",IOT!$B$3:$B$1012&amp;"",IOT!$AB$3:$AB$1012,""),"Server",_xlfn.XLOOKUP($K77&amp;"",SERVER!$B$3:$B$1009&amp;"",SERVER!$AB$3:$AB$1009,""),""))))</f>
        <v/>
      </c>
      <c r="R77" s="43" t="str">
        <f>IF(tbl_handover[[#This Row],[Asset Code]]="","",COUNTIF(tbl_handover[Asset Code],tbl_handover[[#This Row],[Asset Code]]))</f>
        <v/>
      </c>
    </row>
    <row r="78" spans="1:18" x14ac:dyDescent="0.25">
      <c r="A78" s="43" t="str">
        <f>IF(B78&lt;&gt;"",SUBTOTAL(3,$B$1:B77),"")</f>
        <v/>
      </c>
      <c r="C78" s="74"/>
      <c r="D78" s="74"/>
      <c r="G78" s="1"/>
      <c r="K78" s="42"/>
      <c r="L78" t="str" cm="1">
        <f t="array" ref="L78">IF($K78="","",_xlfn.SWITCH($I78,"Computer",_xlfn.XLOOKUP($K78&amp;"",COMPUTER!$B$3:$B$1009&amp;"",COMPUTER!$I$3:$I$1009,""),"Display",_xlfn.XLOOKUP($K78&amp;"",DISPLAY!$B$3:$B$1000&amp;"",DISPLAY!$J$3:$J$1000,""),"Network Device",_xlfn.XLOOKUP($K78&amp;"",'NETWORK-DEVICES'!$B$3:$B$987&amp;"",'NETWORK-DEVICES'!$I$3:$I$987,""),"Peripheral",_xlfn.XLOOKUP($K78&amp;"",PERIPHERAL!$B$3:$B$954&amp;"",PERIPHERAL!$I$3:$I$954,""),"Utilities",_xlfn.XLOOKUP($K78&amp;"",UTILITIES!$B$3:$B$953&amp;"",UTILITIES!$H$3:$H$953,""),"IOT",_xlfn.XLOOKUP($K78&amp;"",IOT!$B$3:$B$1012&amp;"",IOT!$I$3:$I$1012,""),"SERVER",_xlfn.XLOOKUP($K78&amp;"",SERVER!$B$3:$B$1009&amp;"",SERVER!$I$3:$I$1009,""),""))</f>
        <v/>
      </c>
      <c r="M78" t="str" cm="1">
        <f t="array" ref="M78">IF($K78="","",_xlfn.SWITCH($I78,"Computer",_xlfn.XLOOKUP($K78&amp;"",COMPUTER!$B$3:$B$1009&amp;"",COMPUTER!$J$3:$J$1009,""),"Display",_xlfn.XLOOKUP($K78&amp;"",DISPLAY!$B$3:$B$1000&amp;"",DISPLAY!$K$3:$K$1000,""),"Network Device",_xlfn.XLOOKUP($K78&amp;"",'NETWORK-DEVICES'!$B$3:$B$987&amp;"",'NETWORK-DEVICES'!$I$3:$I$987,""),"Peripheral",_xlfn.XLOOKUP($K78&amp;"",PERIPHERAL!$B$3:$B$954&amp;"",PERIPHERAL!$J$3:$J$954,""),"Utilities",_xlfn.XLOOKUP($K78&amp;"",UTILITIES!$B$3:$B$953&amp;"",UTILITIES!$I$3:$I$953,""),"IOT",_xlfn.XLOOKUP($K78&amp;"",IOT!$B$3:$B$1012&amp;"",IOT!$J$3:$J$1012,""),"Server",_xlfn.XLOOKUP($K78&amp;"",SERVER!$B$3:$B$1009&amp;"",SERVER!$J$3:$J$1009,""),""))</f>
        <v/>
      </c>
      <c r="N78" s="1" t="str" cm="1">
        <f t="array" ref="N78">IF(OR($K78="",$I78="",$J78=""),"",_xlfn.LET(_xlpm.srcCat,_xlfn.SWITCH($I78,"Computer",_xlfn.XLOOKUP($K78&amp;"",COMPUTER!$B$3:$B$1009&amp;"",COMPUTER!$H$3:$H$1009,""),"Display",_xlfn.XLOOKUP($K78&amp;"",DISPLAY!$B$3:$B$1000&amp;"",DISPLAY!$H$3:$H$1000,""),"Network Device",_xlfn.XLOOKUP($K78&amp;"",'NETWORK-DEVICES'!$B$3:$B$987&amp;"",'NETWORK-DEVICES'!$H$3:$H$987,""),"Peripheral",_xlfn.XLOOKUP($K78&amp;"",PERIPHERAL!$B$3:$B$954&amp;"",PERIPHERAL!$H$3:$H$954,""),"Utilities",_xlfn.XLOOKUP($K78&amp;"",UTILITIES!$B$3:$B$953&amp;"",UTILITIES!$G$3:$G$953,""),"IOT",_xlfn.XLOOKUP($K78&amp;"",IOT!$B$3:$B$1012&amp;"",IOT!$H$3:$H$1012,""),"Server",_xlfn.XLOOKUP($K78&amp;"",SERVER!$B$3:$B$1009&amp;"",SERVER!$H$3:$H$1009,""),""),IF(TRIM(_xlpm.srcCat)&lt;&gt;TRIM($J78),"",_xlfn.SWITCH($I78,"Computer",_xlfn.XLOOKUP($K78&amp;"",COMPUTER!$B$3:$B$1009&amp;"",COMPUTER!$K$3:$K$1009,""),"Display",_xlfn.XLOOKUP($K78&amp;"",DISPLAY!$B$3:$B$1000&amp;"",DISPLAY!$L$3:$L$1000,""),"Network Device",_xlfn.XLOOKUP($K78&amp;"",'NETWORK-DEVICES'!$B$3:$B$987&amp;"",'NETWORK-DEVICES'!$K$3:$K$987,""),"Peripheral",_xlfn.XLOOKUP($K78&amp;"",PERIPHERAL!$B$3:$B$954&amp;"",PERIPHERAL!$K$3:$K$954,""),"Utilities",_xlfn.XLOOKUP($K78&amp;"",UTILITIES!$B$3:$B$953&amp;"",UTILITIES!$J$3:$J$953,""),"IOT",_xlfn.XLOOKUP($K78&amp;"",IOT!$B$3:$B$1012&amp;"",IOT!$K$4:$K$1012,""),"Server",_xlfn.XLOOKUP($K78&amp;"",SERVER!$B$3:$B$1009&amp;"",SERVER!$K$3:$K$1009,""),""))))</f>
        <v/>
      </c>
      <c r="O78" s="1" t="str" cm="1">
        <f t="array" ref="O78">IF(OR($K78="",$I78="",$J78=""),"",_xlfn.LET(_xlpm.srcCat,_xlfn.SWITCH($I78,"Computer",_xlfn.XLOOKUP($K78&amp;"",COMPUTER!$B$3:$B$1009&amp;"",COMPUTER!$H$3:$H$1009,""),"Display",_xlfn.XLOOKUP($K78&amp;"",DISPLAY!$B$3:$B$1000&amp;"",DISPLAY!$H$3:$H$1000,""),"Network Device",_xlfn.XLOOKUP($K78&amp;"",'NETWORK-DEVICES'!$B$3:$B$987&amp;"",'NETWORK-DEVICES'!$H$3:$H$987,""),"Peripheral",_xlfn.XLOOKUP($K78&amp;"",PERIPHERAL!$B$3:$B$954&amp;"",PERIPHERAL!$H$3:$H$954,""),"Utilities",_xlfn.XLOOKUP($K78&amp;"",UTILITIES!$B$3:$B$953&amp;"",UTILITIES!$G$3:$G$953,""),"IOT",_xlfn.XLOOKUP($K78&amp;"",IOT!$B$3:$B$1012&amp;"",IOT!$H$3:$H$1012,""),"Server",_xlfn.XLOOKUP($K78&amp;"",SERVER!$B$3:$B$1009&amp;"",SERVER!$H$3:$H$1009,""),""),IF(TRIM(_xlpm.srcCat)&lt;&gt;TRIM($J78),"",_xlfn.SWITCH($I78,"Computer",_xlfn.XLOOKUP($K78&amp;"",COMPUTER!$B$3:$B$1009&amp;"",COMPUTER!$E$3:$E$1009,""),"Display",_xlfn.XLOOKUP($K78&amp;"",DISPLAY!$B$3:$B$1000&amp;"",DISPLAY!$E$3:$E$1000,""),"Network Device",_xlfn.XLOOKUP($K78&amp;"",'NETWORK-DEVICES'!$B$3:$B$987&amp;"",'NETWORK-DEVICES'!$E$3:$E$987,""),"Peripheral",_xlfn.XLOOKUP($K78&amp;"",PERIPHERAL!$B$3:$B$954&amp;"",PERIPHERAL!$E$3:$E$954,""),"Utilities",_xlfn.XLOOKUP($K78&amp;"",UTILITIES!$B$3:$B$953&amp;"",UTILITIES!$E$3:$E$953,""),"IOT",_xlfn.XLOOKUP($K78&amp;"",IOT!$B$3:$B$1012&amp;"",IOT!$E$3:$E$1012,""),"Server",_xlfn.XLOOKUP($K78&amp;"",SERVER!$B$3:$B$1009&amp;"",SERVER!$E$3:$E$1009,""),""))))</f>
        <v/>
      </c>
      <c r="Q78" s="1" t="str" cm="1">
        <f t="array" ref="Q78">IF(OR($K78="",$I78="",$J78=""),"",_xlfn.LET(_xlpm.srcCat,_xlfn.SWITCH($I78,"Computer",_xlfn.XLOOKUP($K78&amp;"",COMPUTER!$B$3:$B$1009&amp;"",COMPUTER!$H$3:$H$1009,""),"Display",_xlfn.XLOOKUP($K78&amp;"",DISPLAY!$B$3:$B$1000&amp;"",DISPLAY!$H$3:$H$1000,""),"Network Device",_xlfn.XLOOKUP($K78&amp;"",'NETWORK-DEVICES'!$B$3:$B$987&amp;"",'NETWORK-DEVICES'!$H$3:$H$987,""),"Peripheral",_xlfn.XLOOKUP($K78&amp;"",PERIPHERAL!$B$3:$B$954&amp;"",PERIPHERAL!$H$3:$H$954,""),"Utilities",_xlfn.XLOOKUP($K78&amp;"",UTILITIES!$B$3:$B$953&amp;"",UTILITIES!$G$3:$G$953,""),"IOT",_xlfn.XLOOKUP($K78&amp;"",IOT!$B$3:$B$1012&amp;"",IOT!$H$3:$H$1012,""),"Server",_xlfn.XLOOKUP($K78&amp;"",SERVER!$B$3:$B$1009&amp;"",SERVER!$H$3:$H$1009,""),""),IF(TRIM(_xlpm.srcCat)&lt;&gt;TRIM($J78),"",_xlfn.SWITCH($I78,"Computer",_xlfn.XLOOKUP($K78&amp;"",COMPUTER!$B$3:$B$1009&amp;"",COMPUTER!$AM$3:$AM$1009,""),"Display",_xlfn.XLOOKUP($K78&amp;"",DISPLAY!$B$3:$B$1000&amp;"",DISPLAY!$V$3:$V$1000,""),"Network Device",_xlfn.XLOOKUP($K78&amp;"",'NETWORK-DEVICES'!$B$3:$B$987&amp;"",'NETWORK-DEVICES'!$AF$3:$AF$987,""),"Peripheral",_xlfn.XLOOKUP($K78&amp;"",PERIPHERAL!$B$3:$B$954&amp;"",PERIPHERAL!$Y$3:$Y$954,""),"Utilities",_xlfn.XLOOKUP($K78&amp;"",UTILITIES!$B$3:$B$953&amp;"",UTILITIES!$O$3:$O$953,""),"IOT",_xlfn.XLOOKUP($K78&amp;"",IOT!$B$3:$B$1012&amp;"",IOT!$AB$3:$AB$1012,""),"Server",_xlfn.XLOOKUP($K78&amp;"",SERVER!$B$3:$B$1009&amp;"",SERVER!$AB$3:$AB$1009,""),""))))</f>
        <v/>
      </c>
      <c r="R78" s="43" t="str">
        <f>IF(tbl_handover[[#This Row],[Asset Code]]="","",COUNTIF(tbl_handover[Asset Code],tbl_handover[[#This Row],[Asset Code]]))</f>
        <v/>
      </c>
    </row>
    <row r="79" spans="1:18" x14ac:dyDescent="0.25">
      <c r="A79" s="43" t="str">
        <f>IF(B79&lt;&gt;"",SUBTOTAL(3,$B$1:B78),"")</f>
        <v/>
      </c>
      <c r="C79" s="74"/>
      <c r="D79" s="74"/>
      <c r="G79" s="1"/>
      <c r="K79" s="42"/>
      <c r="L79" t="str" cm="1">
        <f t="array" ref="L79">IF($K79="","",_xlfn.SWITCH($I79,"Computer",_xlfn.XLOOKUP($K79&amp;"",COMPUTER!$B$3:$B$1009&amp;"",COMPUTER!$I$3:$I$1009,""),"Display",_xlfn.XLOOKUP($K79&amp;"",DISPLAY!$B$3:$B$1000&amp;"",DISPLAY!$J$3:$J$1000,""),"Network Device",_xlfn.XLOOKUP($K79&amp;"",'NETWORK-DEVICES'!$B$3:$B$987&amp;"",'NETWORK-DEVICES'!$I$3:$I$987,""),"Peripheral",_xlfn.XLOOKUP($K79&amp;"",PERIPHERAL!$B$3:$B$954&amp;"",PERIPHERAL!$I$3:$I$954,""),"Utilities",_xlfn.XLOOKUP($K79&amp;"",UTILITIES!$B$3:$B$953&amp;"",UTILITIES!$H$3:$H$953,""),"IOT",_xlfn.XLOOKUP($K79&amp;"",IOT!$B$3:$B$1012&amp;"",IOT!$I$3:$I$1012,""),"SERVER",_xlfn.XLOOKUP($K79&amp;"",SERVER!$B$3:$B$1009&amp;"",SERVER!$I$3:$I$1009,""),""))</f>
        <v/>
      </c>
      <c r="M79" t="str" cm="1">
        <f t="array" ref="M79">IF($K79="","",_xlfn.SWITCH($I79,"Computer",_xlfn.XLOOKUP($K79&amp;"",COMPUTER!$B$3:$B$1009&amp;"",COMPUTER!$J$3:$J$1009,""),"Display",_xlfn.XLOOKUP($K79&amp;"",DISPLAY!$B$3:$B$1000&amp;"",DISPLAY!$K$3:$K$1000,""),"Network Device",_xlfn.XLOOKUP($K79&amp;"",'NETWORK-DEVICES'!$B$3:$B$987&amp;"",'NETWORK-DEVICES'!$I$3:$I$987,""),"Peripheral",_xlfn.XLOOKUP($K79&amp;"",PERIPHERAL!$B$3:$B$954&amp;"",PERIPHERAL!$J$3:$J$954,""),"Utilities",_xlfn.XLOOKUP($K79&amp;"",UTILITIES!$B$3:$B$953&amp;"",UTILITIES!$I$3:$I$953,""),"IOT",_xlfn.XLOOKUP($K79&amp;"",IOT!$B$3:$B$1012&amp;"",IOT!$J$3:$J$1012,""),"Server",_xlfn.XLOOKUP($K79&amp;"",SERVER!$B$3:$B$1009&amp;"",SERVER!$J$3:$J$1009,""),""))</f>
        <v/>
      </c>
      <c r="N79" s="1" t="str" cm="1">
        <f t="array" ref="N79">IF(OR($K79="",$I79="",$J79=""),"",_xlfn.LET(_xlpm.srcCat,_xlfn.SWITCH($I79,"Computer",_xlfn.XLOOKUP($K79&amp;"",COMPUTER!$B$3:$B$1009&amp;"",COMPUTER!$H$3:$H$1009,""),"Display",_xlfn.XLOOKUP($K79&amp;"",DISPLAY!$B$3:$B$1000&amp;"",DISPLAY!$H$3:$H$1000,""),"Network Device",_xlfn.XLOOKUP($K79&amp;"",'NETWORK-DEVICES'!$B$3:$B$987&amp;"",'NETWORK-DEVICES'!$H$3:$H$987,""),"Peripheral",_xlfn.XLOOKUP($K79&amp;"",PERIPHERAL!$B$3:$B$954&amp;"",PERIPHERAL!$H$3:$H$954,""),"Utilities",_xlfn.XLOOKUP($K79&amp;"",UTILITIES!$B$3:$B$953&amp;"",UTILITIES!$G$3:$G$953,""),"IOT",_xlfn.XLOOKUP($K79&amp;"",IOT!$B$3:$B$1012&amp;"",IOT!$H$3:$H$1012,""),"Server",_xlfn.XLOOKUP($K79&amp;"",SERVER!$B$3:$B$1009&amp;"",SERVER!$H$3:$H$1009,""),""),IF(TRIM(_xlpm.srcCat)&lt;&gt;TRIM($J79),"",_xlfn.SWITCH($I79,"Computer",_xlfn.XLOOKUP($K79&amp;"",COMPUTER!$B$3:$B$1009&amp;"",COMPUTER!$K$3:$K$1009,""),"Display",_xlfn.XLOOKUP($K79&amp;"",DISPLAY!$B$3:$B$1000&amp;"",DISPLAY!$L$3:$L$1000,""),"Network Device",_xlfn.XLOOKUP($K79&amp;"",'NETWORK-DEVICES'!$B$3:$B$987&amp;"",'NETWORK-DEVICES'!$K$3:$K$987,""),"Peripheral",_xlfn.XLOOKUP($K79&amp;"",PERIPHERAL!$B$3:$B$954&amp;"",PERIPHERAL!$K$3:$K$954,""),"Utilities",_xlfn.XLOOKUP($K79&amp;"",UTILITIES!$B$3:$B$953&amp;"",UTILITIES!$J$3:$J$953,""),"IOT",_xlfn.XLOOKUP($K79&amp;"",IOT!$B$3:$B$1012&amp;"",IOT!$K$4:$K$1012,""),"Server",_xlfn.XLOOKUP($K79&amp;"",SERVER!$B$3:$B$1009&amp;"",SERVER!$K$3:$K$1009,""),""))))</f>
        <v/>
      </c>
      <c r="O79" s="1" t="str" cm="1">
        <f t="array" ref="O79">IF(OR($K79="",$I79="",$J79=""),"",_xlfn.LET(_xlpm.srcCat,_xlfn.SWITCH($I79,"Computer",_xlfn.XLOOKUP($K79&amp;"",COMPUTER!$B$3:$B$1009&amp;"",COMPUTER!$H$3:$H$1009,""),"Display",_xlfn.XLOOKUP($K79&amp;"",DISPLAY!$B$3:$B$1000&amp;"",DISPLAY!$H$3:$H$1000,""),"Network Device",_xlfn.XLOOKUP($K79&amp;"",'NETWORK-DEVICES'!$B$3:$B$987&amp;"",'NETWORK-DEVICES'!$H$3:$H$987,""),"Peripheral",_xlfn.XLOOKUP($K79&amp;"",PERIPHERAL!$B$3:$B$954&amp;"",PERIPHERAL!$H$3:$H$954,""),"Utilities",_xlfn.XLOOKUP($K79&amp;"",UTILITIES!$B$3:$B$953&amp;"",UTILITIES!$G$3:$G$953,""),"IOT",_xlfn.XLOOKUP($K79&amp;"",IOT!$B$3:$B$1012&amp;"",IOT!$H$3:$H$1012,""),"Server",_xlfn.XLOOKUP($K79&amp;"",SERVER!$B$3:$B$1009&amp;"",SERVER!$H$3:$H$1009,""),""),IF(TRIM(_xlpm.srcCat)&lt;&gt;TRIM($J79),"",_xlfn.SWITCH($I79,"Computer",_xlfn.XLOOKUP($K79&amp;"",COMPUTER!$B$3:$B$1009&amp;"",COMPUTER!$E$3:$E$1009,""),"Display",_xlfn.XLOOKUP($K79&amp;"",DISPLAY!$B$3:$B$1000&amp;"",DISPLAY!$E$3:$E$1000,""),"Network Device",_xlfn.XLOOKUP($K79&amp;"",'NETWORK-DEVICES'!$B$3:$B$987&amp;"",'NETWORK-DEVICES'!$E$3:$E$987,""),"Peripheral",_xlfn.XLOOKUP($K79&amp;"",PERIPHERAL!$B$3:$B$954&amp;"",PERIPHERAL!$E$3:$E$954,""),"Utilities",_xlfn.XLOOKUP($K79&amp;"",UTILITIES!$B$3:$B$953&amp;"",UTILITIES!$E$3:$E$953,""),"IOT",_xlfn.XLOOKUP($K79&amp;"",IOT!$B$3:$B$1012&amp;"",IOT!$E$3:$E$1012,""),"Server",_xlfn.XLOOKUP($K79&amp;"",SERVER!$B$3:$B$1009&amp;"",SERVER!$E$3:$E$1009,""),""))))</f>
        <v/>
      </c>
      <c r="Q79" s="1" t="str" cm="1">
        <f t="array" ref="Q79">IF(OR($K79="",$I79="",$J79=""),"",_xlfn.LET(_xlpm.srcCat,_xlfn.SWITCH($I79,"Computer",_xlfn.XLOOKUP($K79&amp;"",COMPUTER!$B$3:$B$1009&amp;"",COMPUTER!$H$3:$H$1009,""),"Display",_xlfn.XLOOKUP($K79&amp;"",DISPLAY!$B$3:$B$1000&amp;"",DISPLAY!$H$3:$H$1000,""),"Network Device",_xlfn.XLOOKUP($K79&amp;"",'NETWORK-DEVICES'!$B$3:$B$987&amp;"",'NETWORK-DEVICES'!$H$3:$H$987,""),"Peripheral",_xlfn.XLOOKUP($K79&amp;"",PERIPHERAL!$B$3:$B$954&amp;"",PERIPHERAL!$H$3:$H$954,""),"Utilities",_xlfn.XLOOKUP($K79&amp;"",UTILITIES!$B$3:$B$953&amp;"",UTILITIES!$G$3:$G$953,""),"IOT",_xlfn.XLOOKUP($K79&amp;"",IOT!$B$3:$B$1012&amp;"",IOT!$H$3:$H$1012,""),"Server",_xlfn.XLOOKUP($K79&amp;"",SERVER!$B$3:$B$1009&amp;"",SERVER!$H$3:$H$1009,""),""),IF(TRIM(_xlpm.srcCat)&lt;&gt;TRIM($J79),"",_xlfn.SWITCH($I79,"Computer",_xlfn.XLOOKUP($K79&amp;"",COMPUTER!$B$3:$B$1009&amp;"",COMPUTER!$AM$3:$AM$1009,""),"Display",_xlfn.XLOOKUP($K79&amp;"",DISPLAY!$B$3:$B$1000&amp;"",DISPLAY!$V$3:$V$1000,""),"Network Device",_xlfn.XLOOKUP($K79&amp;"",'NETWORK-DEVICES'!$B$3:$B$987&amp;"",'NETWORK-DEVICES'!$AF$3:$AF$987,""),"Peripheral",_xlfn.XLOOKUP($K79&amp;"",PERIPHERAL!$B$3:$B$954&amp;"",PERIPHERAL!$Y$3:$Y$954,""),"Utilities",_xlfn.XLOOKUP($K79&amp;"",UTILITIES!$B$3:$B$953&amp;"",UTILITIES!$O$3:$O$953,""),"IOT",_xlfn.XLOOKUP($K79&amp;"",IOT!$B$3:$B$1012&amp;"",IOT!$AB$3:$AB$1012,""),"Server",_xlfn.XLOOKUP($K79&amp;"",SERVER!$B$3:$B$1009&amp;"",SERVER!$AB$3:$AB$1009,""),""))))</f>
        <v/>
      </c>
      <c r="R79" s="43" t="str">
        <f>IF(tbl_handover[[#This Row],[Asset Code]]="","",COUNTIF(tbl_handover[Asset Code],tbl_handover[[#This Row],[Asset Code]]))</f>
        <v/>
      </c>
    </row>
    <row r="80" spans="1:18" x14ac:dyDescent="0.25">
      <c r="A80" s="43" t="str">
        <f>IF(B80&lt;&gt;"",SUBTOTAL(3,$B$1:B79),"")</f>
        <v/>
      </c>
      <c r="C80" s="74"/>
      <c r="D80" s="74"/>
      <c r="G80" s="1"/>
      <c r="K80" s="42"/>
      <c r="L80" t="str" cm="1">
        <f t="array" ref="L80">IF($K80="","",_xlfn.SWITCH($I80,"Computer",_xlfn.XLOOKUP($K80&amp;"",COMPUTER!$B$3:$B$1009&amp;"",COMPUTER!$I$3:$I$1009,""),"Display",_xlfn.XLOOKUP($K80&amp;"",DISPLAY!$B$3:$B$1000&amp;"",DISPLAY!$J$3:$J$1000,""),"Network Device",_xlfn.XLOOKUP($K80&amp;"",'NETWORK-DEVICES'!$B$3:$B$987&amp;"",'NETWORK-DEVICES'!$I$3:$I$987,""),"Peripheral",_xlfn.XLOOKUP($K80&amp;"",PERIPHERAL!$B$3:$B$954&amp;"",PERIPHERAL!$I$3:$I$954,""),"Utilities",_xlfn.XLOOKUP($K80&amp;"",UTILITIES!$B$3:$B$953&amp;"",UTILITIES!$H$3:$H$953,""),"IOT",_xlfn.XLOOKUP($K80&amp;"",IOT!$B$3:$B$1012&amp;"",IOT!$I$3:$I$1012,""),"SERVER",_xlfn.XLOOKUP($K80&amp;"",SERVER!$B$3:$B$1009&amp;"",SERVER!$I$3:$I$1009,""),""))</f>
        <v/>
      </c>
      <c r="M80" t="str" cm="1">
        <f t="array" ref="M80">IF($K80="","",_xlfn.SWITCH($I80,"Computer",_xlfn.XLOOKUP($K80&amp;"",COMPUTER!$B$3:$B$1009&amp;"",COMPUTER!$J$3:$J$1009,""),"Display",_xlfn.XLOOKUP($K80&amp;"",DISPLAY!$B$3:$B$1000&amp;"",DISPLAY!$K$3:$K$1000,""),"Network Device",_xlfn.XLOOKUP($K80&amp;"",'NETWORK-DEVICES'!$B$3:$B$987&amp;"",'NETWORK-DEVICES'!$I$3:$I$987,""),"Peripheral",_xlfn.XLOOKUP($K80&amp;"",PERIPHERAL!$B$3:$B$954&amp;"",PERIPHERAL!$J$3:$J$954,""),"Utilities",_xlfn.XLOOKUP($K80&amp;"",UTILITIES!$B$3:$B$953&amp;"",UTILITIES!$I$3:$I$953,""),"IOT",_xlfn.XLOOKUP($K80&amp;"",IOT!$B$3:$B$1012&amp;"",IOT!$J$3:$J$1012,""),"Server",_xlfn.XLOOKUP($K80&amp;"",SERVER!$B$3:$B$1009&amp;"",SERVER!$J$3:$J$1009,""),""))</f>
        <v/>
      </c>
      <c r="N80" s="1" t="str" cm="1">
        <f t="array" ref="N80">IF(OR($K80="",$I80="",$J80=""),"",_xlfn.LET(_xlpm.srcCat,_xlfn.SWITCH($I80,"Computer",_xlfn.XLOOKUP($K80&amp;"",COMPUTER!$B$3:$B$1009&amp;"",COMPUTER!$H$3:$H$1009,""),"Display",_xlfn.XLOOKUP($K80&amp;"",DISPLAY!$B$3:$B$1000&amp;"",DISPLAY!$H$3:$H$1000,""),"Network Device",_xlfn.XLOOKUP($K80&amp;"",'NETWORK-DEVICES'!$B$3:$B$987&amp;"",'NETWORK-DEVICES'!$H$3:$H$987,""),"Peripheral",_xlfn.XLOOKUP($K80&amp;"",PERIPHERAL!$B$3:$B$954&amp;"",PERIPHERAL!$H$3:$H$954,""),"Utilities",_xlfn.XLOOKUP($K80&amp;"",UTILITIES!$B$3:$B$953&amp;"",UTILITIES!$G$3:$G$953,""),"IOT",_xlfn.XLOOKUP($K80&amp;"",IOT!$B$3:$B$1012&amp;"",IOT!$H$3:$H$1012,""),"Server",_xlfn.XLOOKUP($K80&amp;"",SERVER!$B$3:$B$1009&amp;"",SERVER!$H$3:$H$1009,""),""),IF(TRIM(_xlpm.srcCat)&lt;&gt;TRIM($J80),"",_xlfn.SWITCH($I80,"Computer",_xlfn.XLOOKUP($K80&amp;"",COMPUTER!$B$3:$B$1009&amp;"",COMPUTER!$K$3:$K$1009,""),"Display",_xlfn.XLOOKUP($K80&amp;"",DISPLAY!$B$3:$B$1000&amp;"",DISPLAY!$L$3:$L$1000,""),"Network Device",_xlfn.XLOOKUP($K80&amp;"",'NETWORK-DEVICES'!$B$3:$B$987&amp;"",'NETWORK-DEVICES'!$K$3:$K$987,""),"Peripheral",_xlfn.XLOOKUP($K80&amp;"",PERIPHERAL!$B$3:$B$954&amp;"",PERIPHERAL!$K$3:$K$954,""),"Utilities",_xlfn.XLOOKUP($K80&amp;"",UTILITIES!$B$3:$B$953&amp;"",UTILITIES!$J$3:$J$953,""),"IOT",_xlfn.XLOOKUP($K80&amp;"",IOT!$B$3:$B$1012&amp;"",IOT!$K$4:$K$1012,""),"Server",_xlfn.XLOOKUP($K80&amp;"",SERVER!$B$3:$B$1009&amp;"",SERVER!$K$3:$K$1009,""),""))))</f>
        <v/>
      </c>
      <c r="O80" s="1" t="str" cm="1">
        <f t="array" ref="O80">IF(OR($K80="",$I80="",$J80=""),"",_xlfn.LET(_xlpm.srcCat,_xlfn.SWITCH($I80,"Computer",_xlfn.XLOOKUP($K80&amp;"",COMPUTER!$B$3:$B$1009&amp;"",COMPUTER!$H$3:$H$1009,""),"Display",_xlfn.XLOOKUP($K80&amp;"",DISPLAY!$B$3:$B$1000&amp;"",DISPLAY!$H$3:$H$1000,""),"Network Device",_xlfn.XLOOKUP($K80&amp;"",'NETWORK-DEVICES'!$B$3:$B$987&amp;"",'NETWORK-DEVICES'!$H$3:$H$987,""),"Peripheral",_xlfn.XLOOKUP($K80&amp;"",PERIPHERAL!$B$3:$B$954&amp;"",PERIPHERAL!$H$3:$H$954,""),"Utilities",_xlfn.XLOOKUP($K80&amp;"",UTILITIES!$B$3:$B$953&amp;"",UTILITIES!$G$3:$G$953,""),"IOT",_xlfn.XLOOKUP($K80&amp;"",IOT!$B$3:$B$1012&amp;"",IOT!$H$3:$H$1012,""),"Server",_xlfn.XLOOKUP($K80&amp;"",SERVER!$B$3:$B$1009&amp;"",SERVER!$H$3:$H$1009,""),""),IF(TRIM(_xlpm.srcCat)&lt;&gt;TRIM($J80),"",_xlfn.SWITCH($I80,"Computer",_xlfn.XLOOKUP($K80&amp;"",COMPUTER!$B$3:$B$1009&amp;"",COMPUTER!$E$3:$E$1009,""),"Display",_xlfn.XLOOKUP($K80&amp;"",DISPLAY!$B$3:$B$1000&amp;"",DISPLAY!$E$3:$E$1000,""),"Network Device",_xlfn.XLOOKUP($K80&amp;"",'NETWORK-DEVICES'!$B$3:$B$987&amp;"",'NETWORK-DEVICES'!$E$3:$E$987,""),"Peripheral",_xlfn.XLOOKUP($K80&amp;"",PERIPHERAL!$B$3:$B$954&amp;"",PERIPHERAL!$E$3:$E$954,""),"Utilities",_xlfn.XLOOKUP($K80&amp;"",UTILITIES!$B$3:$B$953&amp;"",UTILITIES!$E$3:$E$953,""),"IOT",_xlfn.XLOOKUP($K80&amp;"",IOT!$B$3:$B$1012&amp;"",IOT!$E$3:$E$1012,""),"Server",_xlfn.XLOOKUP($K80&amp;"",SERVER!$B$3:$B$1009&amp;"",SERVER!$E$3:$E$1009,""),""))))</f>
        <v/>
      </c>
      <c r="Q80" s="1" t="str" cm="1">
        <f t="array" ref="Q80">IF(OR($K80="",$I80="",$J80=""),"",_xlfn.LET(_xlpm.srcCat,_xlfn.SWITCH($I80,"Computer",_xlfn.XLOOKUP($K80&amp;"",COMPUTER!$B$3:$B$1009&amp;"",COMPUTER!$H$3:$H$1009,""),"Display",_xlfn.XLOOKUP($K80&amp;"",DISPLAY!$B$3:$B$1000&amp;"",DISPLAY!$H$3:$H$1000,""),"Network Device",_xlfn.XLOOKUP($K80&amp;"",'NETWORK-DEVICES'!$B$3:$B$987&amp;"",'NETWORK-DEVICES'!$H$3:$H$987,""),"Peripheral",_xlfn.XLOOKUP($K80&amp;"",PERIPHERAL!$B$3:$B$954&amp;"",PERIPHERAL!$H$3:$H$954,""),"Utilities",_xlfn.XLOOKUP($K80&amp;"",UTILITIES!$B$3:$B$953&amp;"",UTILITIES!$G$3:$G$953,""),"IOT",_xlfn.XLOOKUP($K80&amp;"",IOT!$B$3:$B$1012&amp;"",IOT!$H$3:$H$1012,""),"Server",_xlfn.XLOOKUP($K80&amp;"",SERVER!$B$3:$B$1009&amp;"",SERVER!$H$3:$H$1009,""),""),IF(TRIM(_xlpm.srcCat)&lt;&gt;TRIM($J80),"",_xlfn.SWITCH($I80,"Computer",_xlfn.XLOOKUP($K80&amp;"",COMPUTER!$B$3:$B$1009&amp;"",COMPUTER!$AM$3:$AM$1009,""),"Display",_xlfn.XLOOKUP($K80&amp;"",DISPLAY!$B$3:$B$1000&amp;"",DISPLAY!$V$3:$V$1000,""),"Network Device",_xlfn.XLOOKUP($K80&amp;"",'NETWORK-DEVICES'!$B$3:$B$987&amp;"",'NETWORK-DEVICES'!$AF$3:$AF$987,""),"Peripheral",_xlfn.XLOOKUP($K80&amp;"",PERIPHERAL!$B$3:$B$954&amp;"",PERIPHERAL!$Y$3:$Y$954,""),"Utilities",_xlfn.XLOOKUP($K80&amp;"",UTILITIES!$B$3:$B$953&amp;"",UTILITIES!$O$3:$O$953,""),"IOT",_xlfn.XLOOKUP($K80&amp;"",IOT!$B$3:$B$1012&amp;"",IOT!$AB$3:$AB$1012,""),"Server",_xlfn.XLOOKUP($K80&amp;"",SERVER!$B$3:$B$1009&amp;"",SERVER!$AB$3:$AB$1009,""),""))))</f>
        <v/>
      </c>
      <c r="R80" s="43" t="str">
        <f>IF(tbl_handover[[#This Row],[Asset Code]]="","",COUNTIF(tbl_handover[Asset Code],tbl_handover[[#This Row],[Asset Code]]))</f>
        <v/>
      </c>
    </row>
    <row r="81" spans="1:18" x14ac:dyDescent="0.25">
      <c r="A81" s="43" t="str">
        <f>IF(B81&lt;&gt;"",SUBTOTAL(3,$B$1:B80),"")</f>
        <v/>
      </c>
      <c r="C81" s="74"/>
      <c r="D81" s="74"/>
      <c r="G81" s="1"/>
      <c r="K81" s="42"/>
      <c r="L81" t="str" cm="1">
        <f t="array" ref="L81">IF($K81="","",_xlfn.SWITCH($I81,"Computer",_xlfn.XLOOKUP($K81&amp;"",COMPUTER!$B$3:$B$1009&amp;"",COMPUTER!$I$3:$I$1009,""),"Display",_xlfn.XLOOKUP($K81&amp;"",DISPLAY!$B$3:$B$1000&amp;"",DISPLAY!$J$3:$J$1000,""),"Network Device",_xlfn.XLOOKUP($K81&amp;"",'NETWORK-DEVICES'!$B$3:$B$987&amp;"",'NETWORK-DEVICES'!$I$3:$I$987,""),"Peripheral",_xlfn.XLOOKUP($K81&amp;"",PERIPHERAL!$B$3:$B$954&amp;"",PERIPHERAL!$I$3:$I$954,""),"Utilities",_xlfn.XLOOKUP($K81&amp;"",UTILITIES!$B$3:$B$953&amp;"",UTILITIES!$H$3:$H$953,""),"IOT",_xlfn.XLOOKUP($K81&amp;"",IOT!$B$3:$B$1012&amp;"",IOT!$I$3:$I$1012,""),"SERVER",_xlfn.XLOOKUP($K81&amp;"",SERVER!$B$3:$B$1009&amp;"",SERVER!$I$3:$I$1009,""),""))</f>
        <v/>
      </c>
      <c r="M81" t="str" cm="1">
        <f t="array" ref="M81">IF($K81="","",_xlfn.SWITCH($I81,"Computer",_xlfn.XLOOKUP($K81&amp;"",COMPUTER!$B$3:$B$1009&amp;"",COMPUTER!$J$3:$J$1009,""),"Display",_xlfn.XLOOKUP($K81&amp;"",DISPLAY!$B$3:$B$1000&amp;"",DISPLAY!$K$3:$K$1000,""),"Network Device",_xlfn.XLOOKUP($K81&amp;"",'NETWORK-DEVICES'!$B$3:$B$987&amp;"",'NETWORK-DEVICES'!$I$3:$I$987,""),"Peripheral",_xlfn.XLOOKUP($K81&amp;"",PERIPHERAL!$B$3:$B$954&amp;"",PERIPHERAL!$J$3:$J$954,""),"Utilities",_xlfn.XLOOKUP($K81&amp;"",UTILITIES!$B$3:$B$953&amp;"",UTILITIES!$I$3:$I$953,""),"IOT",_xlfn.XLOOKUP($K81&amp;"",IOT!$B$3:$B$1012&amp;"",IOT!$J$3:$J$1012,""),"Server",_xlfn.XLOOKUP($K81&amp;"",SERVER!$B$3:$B$1009&amp;"",SERVER!$J$3:$J$1009,""),""))</f>
        <v/>
      </c>
      <c r="N81" s="1" t="str" cm="1">
        <f t="array" ref="N81">IF(OR($K81="",$I81="",$J81=""),"",_xlfn.LET(_xlpm.srcCat,_xlfn.SWITCH($I81,"Computer",_xlfn.XLOOKUP($K81&amp;"",COMPUTER!$B$3:$B$1009&amp;"",COMPUTER!$H$3:$H$1009,""),"Display",_xlfn.XLOOKUP($K81&amp;"",DISPLAY!$B$3:$B$1000&amp;"",DISPLAY!$H$3:$H$1000,""),"Network Device",_xlfn.XLOOKUP($K81&amp;"",'NETWORK-DEVICES'!$B$3:$B$987&amp;"",'NETWORK-DEVICES'!$H$3:$H$987,""),"Peripheral",_xlfn.XLOOKUP($K81&amp;"",PERIPHERAL!$B$3:$B$954&amp;"",PERIPHERAL!$H$3:$H$954,""),"Utilities",_xlfn.XLOOKUP($K81&amp;"",UTILITIES!$B$3:$B$953&amp;"",UTILITIES!$G$3:$G$953,""),"IOT",_xlfn.XLOOKUP($K81&amp;"",IOT!$B$3:$B$1012&amp;"",IOT!$H$3:$H$1012,""),"Server",_xlfn.XLOOKUP($K81&amp;"",SERVER!$B$3:$B$1009&amp;"",SERVER!$H$3:$H$1009,""),""),IF(TRIM(_xlpm.srcCat)&lt;&gt;TRIM($J81),"",_xlfn.SWITCH($I81,"Computer",_xlfn.XLOOKUP($K81&amp;"",COMPUTER!$B$3:$B$1009&amp;"",COMPUTER!$K$3:$K$1009,""),"Display",_xlfn.XLOOKUP($K81&amp;"",DISPLAY!$B$3:$B$1000&amp;"",DISPLAY!$L$3:$L$1000,""),"Network Device",_xlfn.XLOOKUP($K81&amp;"",'NETWORK-DEVICES'!$B$3:$B$987&amp;"",'NETWORK-DEVICES'!$K$3:$K$987,""),"Peripheral",_xlfn.XLOOKUP($K81&amp;"",PERIPHERAL!$B$3:$B$954&amp;"",PERIPHERAL!$K$3:$K$954,""),"Utilities",_xlfn.XLOOKUP($K81&amp;"",UTILITIES!$B$3:$B$953&amp;"",UTILITIES!$J$3:$J$953,""),"IOT",_xlfn.XLOOKUP($K81&amp;"",IOT!$B$3:$B$1012&amp;"",IOT!$K$4:$K$1012,""),"Server",_xlfn.XLOOKUP($K81&amp;"",SERVER!$B$3:$B$1009&amp;"",SERVER!$K$3:$K$1009,""),""))))</f>
        <v/>
      </c>
      <c r="O81" s="1" t="str" cm="1">
        <f t="array" ref="O81">IF(OR($K81="",$I81="",$J81=""),"",_xlfn.LET(_xlpm.srcCat,_xlfn.SWITCH($I81,"Computer",_xlfn.XLOOKUP($K81&amp;"",COMPUTER!$B$3:$B$1009&amp;"",COMPUTER!$H$3:$H$1009,""),"Display",_xlfn.XLOOKUP($K81&amp;"",DISPLAY!$B$3:$B$1000&amp;"",DISPLAY!$H$3:$H$1000,""),"Network Device",_xlfn.XLOOKUP($K81&amp;"",'NETWORK-DEVICES'!$B$3:$B$987&amp;"",'NETWORK-DEVICES'!$H$3:$H$987,""),"Peripheral",_xlfn.XLOOKUP($K81&amp;"",PERIPHERAL!$B$3:$B$954&amp;"",PERIPHERAL!$H$3:$H$954,""),"Utilities",_xlfn.XLOOKUP($K81&amp;"",UTILITIES!$B$3:$B$953&amp;"",UTILITIES!$G$3:$G$953,""),"IOT",_xlfn.XLOOKUP($K81&amp;"",IOT!$B$3:$B$1012&amp;"",IOT!$H$3:$H$1012,""),"Server",_xlfn.XLOOKUP($K81&amp;"",SERVER!$B$3:$B$1009&amp;"",SERVER!$H$3:$H$1009,""),""),IF(TRIM(_xlpm.srcCat)&lt;&gt;TRIM($J81),"",_xlfn.SWITCH($I81,"Computer",_xlfn.XLOOKUP($K81&amp;"",COMPUTER!$B$3:$B$1009&amp;"",COMPUTER!$E$3:$E$1009,""),"Display",_xlfn.XLOOKUP($K81&amp;"",DISPLAY!$B$3:$B$1000&amp;"",DISPLAY!$E$3:$E$1000,""),"Network Device",_xlfn.XLOOKUP($K81&amp;"",'NETWORK-DEVICES'!$B$3:$B$987&amp;"",'NETWORK-DEVICES'!$E$3:$E$987,""),"Peripheral",_xlfn.XLOOKUP($K81&amp;"",PERIPHERAL!$B$3:$B$954&amp;"",PERIPHERAL!$E$3:$E$954,""),"Utilities",_xlfn.XLOOKUP($K81&amp;"",UTILITIES!$B$3:$B$953&amp;"",UTILITIES!$E$3:$E$953,""),"IOT",_xlfn.XLOOKUP($K81&amp;"",IOT!$B$3:$B$1012&amp;"",IOT!$E$3:$E$1012,""),"Server",_xlfn.XLOOKUP($K81&amp;"",SERVER!$B$3:$B$1009&amp;"",SERVER!$E$3:$E$1009,""),""))))</f>
        <v/>
      </c>
      <c r="Q81" s="1" t="str" cm="1">
        <f t="array" ref="Q81">IF(OR($K81="",$I81="",$J81=""),"",_xlfn.LET(_xlpm.srcCat,_xlfn.SWITCH($I81,"Computer",_xlfn.XLOOKUP($K81&amp;"",COMPUTER!$B$3:$B$1009&amp;"",COMPUTER!$H$3:$H$1009,""),"Display",_xlfn.XLOOKUP($K81&amp;"",DISPLAY!$B$3:$B$1000&amp;"",DISPLAY!$H$3:$H$1000,""),"Network Device",_xlfn.XLOOKUP($K81&amp;"",'NETWORK-DEVICES'!$B$3:$B$987&amp;"",'NETWORK-DEVICES'!$H$3:$H$987,""),"Peripheral",_xlfn.XLOOKUP($K81&amp;"",PERIPHERAL!$B$3:$B$954&amp;"",PERIPHERAL!$H$3:$H$954,""),"Utilities",_xlfn.XLOOKUP($K81&amp;"",UTILITIES!$B$3:$B$953&amp;"",UTILITIES!$G$3:$G$953,""),"IOT",_xlfn.XLOOKUP($K81&amp;"",IOT!$B$3:$B$1012&amp;"",IOT!$H$3:$H$1012,""),"Server",_xlfn.XLOOKUP($K81&amp;"",SERVER!$B$3:$B$1009&amp;"",SERVER!$H$3:$H$1009,""),""),IF(TRIM(_xlpm.srcCat)&lt;&gt;TRIM($J81),"",_xlfn.SWITCH($I81,"Computer",_xlfn.XLOOKUP($K81&amp;"",COMPUTER!$B$3:$B$1009&amp;"",COMPUTER!$AM$3:$AM$1009,""),"Display",_xlfn.XLOOKUP($K81&amp;"",DISPLAY!$B$3:$B$1000&amp;"",DISPLAY!$V$3:$V$1000,""),"Network Device",_xlfn.XLOOKUP($K81&amp;"",'NETWORK-DEVICES'!$B$3:$B$987&amp;"",'NETWORK-DEVICES'!$AF$3:$AF$987,""),"Peripheral",_xlfn.XLOOKUP($K81&amp;"",PERIPHERAL!$B$3:$B$954&amp;"",PERIPHERAL!$Y$3:$Y$954,""),"Utilities",_xlfn.XLOOKUP($K81&amp;"",UTILITIES!$B$3:$B$953&amp;"",UTILITIES!$O$3:$O$953,""),"IOT",_xlfn.XLOOKUP($K81&amp;"",IOT!$B$3:$B$1012&amp;"",IOT!$AB$3:$AB$1012,""),"Server",_xlfn.XLOOKUP($K81&amp;"",SERVER!$B$3:$B$1009&amp;"",SERVER!$AB$3:$AB$1009,""),""))))</f>
        <v/>
      </c>
      <c r="R81" s="43" t="str">
        <f>IF(tbl_handover[[#This Row],[Asset Code]]="","",COUNTIF(tbl_handover[Asset Code],tbl_handover[[#This Row],[Asset Code]]))</f>
        <v/>
      </c>
    </row>
    <row r="82" spans="1:18" x14ac:dyDescent="0.25">
      <c r="A82" s="43" t="str">
        <f>IF(B82&lt;&gt;"",SUBTOTAL(3,$B$1:B81),"")</f>
        <v/>
      </c>
      <c r="C82" s="74"/>
      <c r="D82" s="74"/>
      <c r="G82" s="1"/>
      <c r="K82" s="42"/>
      <c r="L82" t="str" cm="1">
        <f t="array" ref="L82">IF($K82="","",_xlfn.SWITCH($I82,"Computer",_xlfn.XLOOKUP($K82&amp;"",COMPUTER!$B$3:$B$1009&amp;"",COMPUTER!$I$3:$I$1009,""),"Display",_xlfn.XLOOKUP($K82&amp;"",DISPLAY!$B$3:$B$1000&amp;"",DISPLAY!$J$3:$J$1000,""),"Network Device",_xlfn.XLOOKUP($K82&amp;"",'NETWORK-DEVICES'!$B$3:$B$987&amp;"",'NETWORK-DEVICES'!$I$3:$I$987,""),"Peripheral",_xlfn.XLOOKUP($K82&amp;"",PERIPHERAL!$B$3:$B$954&amp;"",PERIPHERAL!$I$3:$I$954,""),"Utilities",_xlfn.XLOOKUP($K82&amp;"",UTILITIES!$B$3:$B$953&amp;"",UTILITIES!$H$3:$H$953,""),"IOT",_xlfn.XLOOKUP($K82&amp;"",IOT!$B$3:$B$1012&amp;"",IOT!$I$3:$I$1012,""),"SERVER",_xlfn.XLOOKUP($K82&amp;"",SERVER!$B$3:$B$1009&amp;"",SERVER!$I$3:$I$1009,""),""))</f>
        <v/>
      </c>
      <c r="M82" t="str" cm="1">
        <f t="array" ref="M82">IF($K82="","",_xlfn.SWITCH($I82,"Computer",_xlfn.XLOOKUP($K82&amp;"",COMPUTER!$B$3:$B$1009&amp;"",COMPUTER!$J$3:$J$1009,""),"Display",_xlfn.XLOOKUP($K82&amp;"",DISPLAY!$B$3:$B$1000&amp;"",DISPLAY!$K$3:$K$1000,""),"Network Device",_xlfn.XLOOKUP($K82&amp;"",'NETWORK-DEVICES'!$B$3:$B$987&amp;"",'NETWORK-DEVICES'!$I$3:$I$987,""),"Peripheral",_xlfn.XLOOKUP($K82&amp;"",PERIPHERAL!$B$3:$B$954&amp;"",PERIPHERAL!$J$3:$J$954,""),"Utilities",_xlfn.XLOOKUP($K82&amp;"",UTILITIES!$B$3:$B$953&amp;"",UTILITIES!$I$3:$I$953,""),"IOT",_xlfn.XLOOKUP($K82&amp;"",IOT!$B$3:$B$1012&amp;"",IOT!$J$3:$J$1012,""),"Server",_xlfn.XLOOKUP($K82&amp;"",SERVER!$B$3:$B$1009&amp;"",SERVER!$J$3:$J$1009,""),""))</f>
        <v/>
      </c>
      <c r="N82" s="1" t="str" cm="1">
        <f t="array" ref="N82">IF(OR($K82="",$I82="",$J82=""),"",_xlfn.LET(_xlpm.srcCat,_xlfn.SWITCH($I82,"Computer",_xlfn.XLOOKUP($K82&amp;"",COMPUTER!$B$3:$B$1009&amp;"",COMPUTER!$H$3:$H$1009,""),"Display",_xlfn.XLOOKUP($K82&amp;"",DISPLAY!$B$3:$B$1000&amp;"",DISPLAY!$H$3:$H$1000,""),"Network Device",_xlfn.XLOOKUP($K82&amp;"",'NETWORK-DEVICES'!$B$3:$B$987&amp;"",'NETWORK-DEVICES'!$H$3:$H$987,""),"Peripheral",_xlfn.XLOOKUP($K82&amp;"",PERIPHERAL!$B$3:$B$954&amp;"",PERIPHERAL!$H$3:$H$954,""),"Utilities",_xlfn.XLOOKUP($K82&amp;"",UTILITIES!$B$3:$B$953&amp;"",UTILITIES!$G$3:$G$953,""),"IOT",_xlfn.XLOOKUP($K82&amp;"",IOT!$B$3:$B$1012&amp;"",IOT!$H$3:$H$1012,""),"Server",_xlfn.XLOOKUP($K82&amp;"",SERVER!$B$3:$B$1009&amp;"",SERVER!$H$3:$H$1009,""),""),IF(TRIM(_xlpm.srcCat)&lt;&gt;TRIM($J82),"",_xlfn.SWITCH($I82,"Computer",_xlfn.XLOOKUP($K82&amp;"",COMPUTER!$B$3:$B$1009&amp;"",COMPUTER!$K$3:$K$1009,""),"Display",_xlfn.XLOOKUP($K82&amp;"",DISPLAY!$B$3:$B$1000&amp;"",DISPLAY!$L$3:$L$1000,""),"Network Device",_xlfn.XLOOKUP($K82&amp;"",'NETWORK-DEVICES'!$B$3:$B$987&amp;"",'NETWORK-DEVICES'!$K$3:$K$987,""),"Peripheral",_xlfn.XLOOKUP($K82&amp;"",PERIPHERAL!$B$3:$B$954&amp;"",PERIPHERAL!$K$3:$K$954,""),"Utilities",_xlfn.XLOOKUP($K82&amp;"",UTILITIES!$B$3:$B$953&amp;"",UTILITIES!$J$3:$J$953,""),"IOT",_xlfn.XLOOKUP($K82&amp;"",IOT!$B$3:$B$1012&amp;"",IOT!$K$4:$K$1012,""),"Server",_xlfn.XLOOKUP($K82&amp;"",SERVER!$B$3:$B$1009&amp;"",SERVER!$K$3:$K$1009,""),""))))</f>
        <v/>
      </c>
      <c r="O82" s="1" t="str" cm="1">
        <f t="array" ref="O82">IF(OR($K82="",$I82="",$J82=""),"",_xlfn.LET(_xlpm.srcCat,_xlfn.SWITCH($I82,"Computer",_xlfn.XLOOKUP($K82&amp;"",COMPUTER!$B$3:$B$1009&amp;"",COMPUTER!$H$3:$H$1009,""),"Display",_xlfn.XLOOKUP($K82&amp;"",DISPLAY!$B$3:$B$1000&amp;"",DISPLAY!$H$3:$H$1000,""),"Network Device",_xlfn.XLOOKUP($K82&amp;"",'NETWORK-DEVICES'!$B$3:$B$987&amp;"",'NETWORK-DEVICES'!$H$3:$H$987,""),"Peripheral",_xlfn.XLOOKUP($K82&amp;"",PERIPHERAL!$B$3:$B$954&amp;"",PERIPHERAL!$H$3:$H$954,""),"Utilities",_xlfn.XLOOKUP($K82&amp;"",UTILITIES!$B$3:$B$953&amp;"",UTILITIES!$G$3:$G$953,""),"IOT",_xlfn.XLOOKUP($K82&amp;"",IOT!$B$3:$B$1012&amp;"",IOT!$H$3:$H$1012,""),"Server",_xlfn.XLOOKUP($K82&amp;"",SERVER!$B$3:$B$1009&amp;"",SERVER!$H$3:$H$1009,""),""),IF(TRIM(_xlpm.srcCat)&lt;&gt;TRIM($J82),"",_xlfn.SWITCH($I82,"Computer",_xlfn.XLOOKUP($K82&amp;"",COMPUTER!$B$3:$B$1009&amp;"",COMPUTER!$E$3:$E$1009,""),"Display",_xlfn.XLOOKUP($K82&amp;"",DISPLAY!$B$3:$B$1000&amp;"",DISPLAY!$E$3:$E$1000,""),"Network Device",_xlfn.XLOOKUP($K82&amp;"",'NETWORK-DEVICES'!$B$3:$B$987&amp;"",'NETWORK-DEVICES'!$E$3:$E$987,""),"Peripheral",_xlfn.XLOOKUP($K82&amp;"",PERIPHERAL!$B$3:$B$954&amp;"",PERIPHERAL!$E$3:$E$954,""),"Utilities",_xlfn.XLOOKUP($K82&amp;"",UTILITIES!$B$3:$B$953&amp;"",UTILITIES!$E$3:$E$953,""),"IOT",_xlfn.XLOOKUP($K82&amp;"",IOT!$B$3:$B$1012&amp;"",IOT!$E$3:$E$1012,""),"Server",_xlfn.XLOOKUP($K82&amp;"",SERVER!$B$3:$B$1009&amp;"",SERVER!$E$3:$E$1009,""),""))))</f>
        <v/>
      </c>
      <c r="Q82" s="1" t="str" cm="1">
        <f t="array" ref="Q82">IF(OR($K82="",$I82="",$J82=""),"",_xlfn.LET(_xlpm.srcCat,_xlfn.SWITCH($I82,"Computer",_xlfn.XLOOKUP($K82&amp;"",COMPUTER!$B$3:$B$1009&amp;"",COMPUTER!$H$3:$H$1009,""),"Display",_xlfn.XLOOKUP($K82&amp;"",DISPLAY!$B$3:$B$1000&amp;"",DISPLAY!$H$3:$H$1000,""),"Network Device",_xlfn.XLOOKUP($K82&amp;"",'NETWORK-DEVICES'!$B$3:$B$987&amp;"",'NETWORK-DEVICES'!$H$3:$H$987,""),"Peripheral",_xlfn.XLOOKUP($K82&amp;"",PERIPHERAL!$B$3:$B$954&amp;"",PERIPHERAL!$H$3:$H$954,""),"Utilities",_xlfn.XLOOKUP($K82&amp;"",UTILITIES!$B$3:$B$953&amp;"",UTILITIES!$G$3:$G$953,""),"IOT",_xlfn.XLOOKUP($K82&amp;"",IOT!$B$3:$B$1012&amp;"",IOT!$H$3:$H$1012,""),"Server",_xlfn.XLOOKUP($K82&amp;"",SERVER!$B$3:$B$1009&amp;"",SERVER!$H$3:$H$1009,""),""),IF(TRIM(_xlpm.srcCat)&lt;&gt;TRIM($J82),"",_xlfn.SWITCH($I82,"Computer",_xlfn.XLOOKUP($K82&amp;"",COMPUTER!$B$3:$B$1009&amp;"",COMPUTER!$AM$3:$AM$1009,""),"Display",_xlfn.XLOOKUP($K82&amp;"",DISPLAY!$B$3:$B$1000&amp;"",DISPLAY!$V$3:$V$1000,""),"Network Device",_xlfn.XLOOKUP($K82&amp;"",'NETWORK-DEVICES'!$B$3:$B$987&amp;"",'NETWORK-DEVICES'!$AF$3:$AF$987,""),"Peripheral",_xlfn.XLOOKUP($K82&amp;"",PERIPHERAL!$B$3:$B$954&amp;"",PERIPHERAL!$Y$3:$Y$954,""),"Utilities",_xlfn.XLOOKUP($K82&amp;"",UTILITIES!$B$3:$B$953&amp;"",UTILITIES!$O$3:$O$953,""),"IOT",_xlfn.XLOOKUP($K82&amp;"",IOT!$B$3:$B$1012&amp;"",IOT!$AB$3:$AB$1012,""),"Server",_xlfn.XLOOKUP($K82&amp;"",SERVER!$B$3:$B$1009&amp;"",SERVER!$AB$3:$AB$1009,""),""))))</f>
        <v/>
      </c>
      <c r="R82" s="43" t="str">
        <f>IF(tbl_handover[[#This Row],[Asset Code]]="","",COUNTIF(tbl_handover[Asset Code],tbl_handover[[#This Row],[Asset Code]]))</f>
        <v/>
      </c>
    </row>
    <row r="83" spans="1:18" x14ac:dyDescent="0.25">
      <c r="A83" s="43" t="str">
        <f>IF(B83&lt;&gt;"",SUBTOTAL(3,$B$1:B82),"")</f>
        <v/>
      </c>
      <c r="C83" s="74"/>
      <c r="D83" s="74"/>
      <c r="G83" s="1"/>
      <c r="K83" s="42"/>
      <c r="L83" t="str" cm="1">
        <f t="array" ref="L83">IF($K83="","",_xlfn.SWITCH($I83,"Computer",_xlfn.XLOOKUP($K83&amp;"",COMPUTER!$B$3:$B$1009&amp;"",COMPUTER!$I$3:$I$1009,""),"Display",_xlfn.XLOOKUP($K83&amp;"",DISPLAY!$B$3:$B$1000&amp;"",DISPLAY!$J$3:$J$1000,""),"Network Device",_xlfn.XLOOKUP($K83&amp;"",'NETWORK-DEVICES'!$B$3:$B$987&amp;"",'NETWORK-DEVICES'!$I$3:$I$987,""),"Peripheral",_xlfn.XLOOKUP($K83&amp;"",PERIPHERAL!$B$3:$B$954&amp;"",PERIPHERAL!$I$3:$I$954,""),"Utilities",_xlfn.XLOOKUP($K83&amp;"",UTILITIES!$B$3:$B$953&amp;"",UTILITIES!$H$3:$H$953,""),"IOT",_xlfn.XLOOKUP($K83&amp;"",IOT!$B$3:$B$1012&amp;"",IOT!$I$3:$I$1012,""),"SERVER",_xlfn.XLOOKUP($K83&amp;"",SERVER!$B$3:$B$1009&amp;"",SERVER!$I$3:$I$1009,""),""))</f>
        <v/>
      </c>
      <c r="M83" t="str" cm="1">
        <f t="array" ref="M83">IF($K83="","",_xlfn.SWITCH($I83,"Computer",_xlfn.XLOOKUP($K83&amp;"",COMPUTER!$B$3:$B$1009&amp;"",COMPUTER!$J$3:$J$1009,""),"Display",_xlfn.XLOOKUP($K83&amp;"",DISPLAY!$B$3:$B$1000&amp;"",DISPLAY!$K$3:$K$1000,""),"Network Device",_xlfn.XLOOKUP($K83&amp;"",'NETWORK-DEVICES'!$B$3:$B$987&amp;"",'NETWORK-DEVICES'!$I$3:$I$987,""),"Peripheral",_xlfn.XLOOKUP($K83&amp;"",PERIPHERAL!$B$3:$B$954&amp;"",PERIPHERAL!$J$3:$J$954,""),"Utilities",_xlfn.XLOOKUP($K83&amp;"",UTILITIES!$B$3:$B$953&amp;"",UTILITIES!$I$3:$I$953,""),"IOT",_xlfn.XLOOKUP($K83&amp;"",IOT!$B$3:$B$1012&amp;"",IOT!$J$3:$J$1012,""),"Server",_xlfn.XLOOKUP($K83&amp;"",SERVER!$B$3:$B$1009&amp;"",SERVER!$J$3:$J$1009,""),""))</f>
        <v/>
      </c>
      <c r="N83" s="1" t="str" cm="1">
        <f t="array" ref="N83">IF(OR($K83="",$I83="",$J83=""),"",_xlfn.LET(_xlpm.srcCat,_xlfn.SWITCH($I83,"Computer",_xlfn.XLOOKUP($K83&amp;"",COMPUTER!$B$3:$B$1009&amp;"",COMPUTER!$H$3:$H$1009,""),"Display",_xlfn.XLOOKUP($K83&amp;"",DISPLAY!$B$3:$B$1000&amp;"",DISPLAY!$H$3:$H$1000,""),"Network Device",_xlfn.XLOOKUP($K83&amp;"",'NETWORK-DEVICES'!$B$3:$B$987&amp;"",'NETWORK-DEVICES'!$H$3:$H$987,""),"Peripheral",_xlfn.XLOOKUP($K83&amp;"",PERIPHERAL!$B$3:$B$954&amp;"",PERIPHERAL!$H$3:$H$954,""),"Utilities",_xlfn.XLOOKUP($K83&amp;"",UTILITIES!$B$3:$B$953&amp;"",UTILITIES!$G$3:$G$953,""),"IOT",_xlfn.XLOOKUP($K83&amp;"",IOT!$B$3:$B$1012&amp;"",IOT!$H$3:$H$1012,""),"Server",_xlfn.XLOOKUP($K83&amp;"",SERVER!$B$3:$B$1009&amp;"",SERVER!$H$3:$H$1009,""),""),IF(TRIM(_xlpm.srcCat)&lt;&gt;TRIM($J83),"",_xlfn.SWITCH($I83,"Computer",_xlfn.XLOOKUP($K83&amp;"",COMPUTER!$B$3:$B$1009&amp;"",COMPUTER!$K$3:$K$1009,""),"Display",_xlfn.XLOOKUP($K83&amp;"",DISPLAY!$B$3:$B$1000&amp;"",DISPLAY!$L$3:$L$1000,""),"Network Device",_xlfn.XLOOKUP($K83&amp;"",'NETWORK-DEVICES'!$B$3:$B$987&amp;"",'NETWORK-DEVICES'!$K$3:$K$987,""),"Peripheral",_xlfn.XLOOKUP($K83&amp;"",PERIPHERAL!$B$3:$B$954&amp;"",PERIPHERAL!$K$3:$K$954,""),"Utilities",_xlfn.XLOOKUP($K83&amp;"",UTILITIES!$B$3:$B$953&amp;"",UTILITIES!$J$3:$J$953,""),"IOT",_xlfn.XLOOKUP($K83&amp;"",IOT!$B$3:$B$1012&amp;"",IOT!$K$4:$K$1012,""),"Server",_xlfn.XLOOKUP($K83&amp;"",SERVER!$B$3:$B$1009&amp;"",SERVER!$K$3:$K$1009,""),""))))</f>
        <v/>
      </c>
      <c r="O83" s="1" t="str" cm="1">
        <f t="array" ref="O83">IF(OR($K83="",$I83="",$J83=""),"",_xlfn.LET(_xlpm.srcCat,_xlfn.SWITCH($I83,"Computer",_xlfn.XLOOKUP($K83&amp;"",COMPUTER!$B$3:$B$1009&amp;"",COMPUTER!$H$3:$H$1009,""),"Display",_xlfn.XLOOKUP($K83&amp;"",DISPLAY!$B$3:$B$1000&amp;"",DISPLAY!$H$3:$H$1000,""),"Network Device",_xlfn.XLOOKUP($K83&amp;"",'NETWORK-DEVICES'!$B$3:$B$987&amp;"",'NETWORK-DEVICES'!$H$3:$H$987,""),"Peripheral",_xlfn.XLOOKUP($K83&amp;"",PERIPHERAL!$B$3:$B$954&amp;"",PERIPHERAL!$H$3:$H$954,""),"Utilities",_xlfn.XLOOKUP($K83&amp;"",UTILITIES!$B$3:$B$953&amp;"",UTILITIES!$G$3:$G$953,""),"IOT",_xlfn.XLOOKUP($K83&amp;"",IOT!$B$3:$B$1012&amp;"",IOT!$H$3:$H$1012,""),"Server",_xlfn.XLOOKUP($K83&amp;"",SERVER!$B$3:$B$1009&amp;"",SERVER!$H$3:$H$1009,""),""),IF(TRIM(_xlpm.srcCat)&lt;&gt;TRIM($J83),"",_xlfn.SWITCH($I83,"Computer",_xlfn.XLOOKUP($K83&amp;"",COMPUTER!$B$3:$B$1009&amp;"",COMPUTER!$E$3:$E$1009,""),"Display",_xlfn.XLOOKUP($K83&amp;"",DISPLAY!$B$3:$B$1000&amp;"",DISPLAY!$E$3:$E$1000,""),"Network Device",_xlfn.XLOOKUP($K83&amp;"",'NETWORK-DEVICES'!$B$3:$B$987&amp;"",'NETWORK-DEVICES'!$E$3:$E$987,""),"Peripheral",_xlfn.XLOOKUP($K83&amp;"",PERIPHERAL!$B$3:$B$954&amp;"",PERIPHERAL!$E$3:$E$954,""),"Utilities",_xlfn.XLOOKUP($K83&amp;"",UTILITIES!$B$3:$B$953&amp;"",UTILITIES!$E$3:$E$953,""),"IOT",_xlfn.XLOOKUP($K83&amp;"",IOT!$B$3:$B$1012&amp;"",IOT!$E$3:$E$1012,""),"Server",_xlfn.XLOOKUP($K83&amp;"",SERVER!$B$3:$B$1009&amp;"",SERVER!$E$3:$E$1009,""),""))))</f>
        <v/>
      </c>
      <c r="Q83" s="1" t="str" cm="1">
        <f t="array" ref="Q83">IF(OR($K83="",$I83="",$J83=""),"",_xlfn.LET(_xlpm.srcCat,_xlfn.SWITCH($I83,"Computer",_xlfn.XLOOKUP($K83&amp;"",COMPUTER!$B$3:$B$1009&amp;"",COMPUTER!$H$3:$H$1009,""),"Display",_xlfn.XLOOKUP($K83&amp;"",DISPLAY!$B$3:$B$1000&amp;"",DISPLAY!$H$3:$H$1000,""),"Network Device",_xlfn.XLOOKUP($K83&amp;"",'NETWORK-DEVICES'!$B$3:$B$987&amp;"",'NETWORK-DEVICES'!$H$3:$H$987,""),"Peripheral",_xlfn.XLOOKUP($K83&amp;"",PERIPHERAL!$B$3:$B$954&amp;"",PERIPHERAL!$H$3:$H$954,""),"Utilities",_xlfn.XLOOKUP($K83&amp;"",UTILITIES!$B$3:$B$953&amp;"",UTILITIES!$G$3:$G$953,""),"IOT",_xlfn.XLOOKUP($K83&amp;"",IOT!$B$3:$B$1012&amp;"",IOT!$H$3:$H$1012,""),"Server",_xlfn.XLOOKUP($K83&amp;"",SERVER!$B$3:$B$1009&amp;"",SERVER!$H$3:$H$1009,""),""),IF(TRIM(_xlpm.srcCat)&lt;&gt;TRIM($J83),"",_xlfn.SWITCH($I83,"Computer",_xlfn.XLOOKUP($K83&amp;"",COMPUTER!$B$3:$B$1009&amp;"",COMPUTER!$AM$3:$AM$1009,""),"Display",_xlfn.XLOOKUP($K83&amp;"",DISPLAY!$B$3:$B$1000&amp;"",DISPLAY!$V$3:$V$1000,""),"Network Device",_xlfn.XLOOKUP($K83&amp;"",'NETWORK-DEVICES'!$B$3:$B$987&amp;"",'NETWORK-DEVICES'!$AF$3:$AF$987,""),"Peripheral",_xlfn.XLOOKUP($K83&amp;"",PERIPHERAL!$B$3:$B$954&amp;"",PERIPHERAL!$Y$3:$Y$954,""),"Utilities",_xlfn.XLOOKUP($K83&amp;"",UTILITIES!$B$3:$B$953&amp;"",UTILITIES!$O$3:$O$953,""),"IOT",_xlfn.XLOOKUP($K83&amp;"",IOT!$B$3:$B$1012&amp;"",IOT!$AB$3:$AB$1012,""),"Server",_xlfn.XLOOKUP($K83&amp;"",SERVER!$B$3:$B$1009&amp;"",SERVER!$AB$3:$AB$1009,""),""))))</f>
        <v/>
      </c>
      <c r="R83" s="43" t="str">
        <f>IF(tbl_handover[[#This Row],[Asset Code]]="","",COUNTIF(tbl_handover[Asset Code],tbl_handover[[#This Row],[Asset Code]]))</f>
        <v/>
      </c>
    </row>
    <row r="84" spans="1:18" x14ac:dyDescent="0.25">
      <c r="A84" s="43" t="str">
        <f>IF(B84&lt;&gt;"",SUBTOTAL(3,$B$1:B83),"")</f>
        <v/>
      </c>
      <c r="C84" s="74"/>
      <c r="D84" s="74"/>
      <c r="G84" s="1"/>
      <c r="K84" s="42"/>
      <c r="L84" t="str" cm="1">
        <f t="array" ref="L84">IF($K84="","",_xlfn.SWITCH($I84,"Computer",_xlfn.XLOOKUP($K84&amp;"",COMPUTER!$B$3:$B$1009&amp;"",COMPUTER!$I$3:$I$1009,""),"Display",_xlfn.XLOOKUP($K84&amp;"",DISPLAY!$B$3:$B$1000&amp;"",DISPLAY!$J$3:$J$1000,""),"Network Device",_xlfn.XLOOKUP($K84&amp;"",'NETWORK-DEVICES'!$B$3:$B$987&amp;"",'NETWORK-DEVICES'!$I$3:$I$987,""),"Peripheral",_xlfn.XLOOKUP($K84&amp;"",PERIPHERAL!$B$3:$B$954&amp;"",PERIPHERAL!$I$3:$I$954,""),"Utilities",_xlfn.XLOOKUP($K84&amp;"",UTILITIES!$B$3:$B$953&amp;"",UTILITIES!$H$3:$H$953,""),"IOT",_xlfn.XLOOKUP($K84&amp;"",IOT!$B$3:$B$1012&amp;"",IOT!$I$3:$I$1012,""),"SERVER",_xlfn.XLOOKUP($K84&amp;"",SERVER!$B$3:$B$1009&amp;"",SERVER!$I$3:$I$1009,""),""))</f>
        <v/>
      </c>
      <c r="M84" t="str" cm="1">
        <f t="array" ref="M84">IF($K84="","",_xlfn.SWITCH($I84,"Computer",_xlfn.XLOOKUP($K84&amp;"",COMPUTER!$B$3:$B$1009&amp;"",COMPUTER!$J$3:$J$1009,""),"Display",_xlfn.XLOOKUP($K84&amp;"",DISPLAY!$B$3:$B$1000&amp;"",DISPLAY!$K$3:$K$1000,""),"Network Device",_xlfn.XLOOKUP($K84&amp;"",'NETWORK-DEVICES'!$B$3:$B$987&amp;"",'NETWORK-DEVICES'!$I$3:$I$987,""),"Peripheral",_xlfn.XLOOKUP($K84&amp;"",PERIPHERAL!$B$3:$B$954&amp;"",PERIPHERAL!$J$3:$J$954,""),"Utilities",_xlfn.XLOOKUP($K84&amp;"",UTILITIES!$B$3:$B$953&amp;"",UTILITIES!$I$3:$I$953,""),"IOT",_xlfn.XLOOKUP($K84&amp;"",IOT!$B$3:$B$1012&amp;"",IOT!$J$3:$J$1012,""),"Server",_xlfn.XLOOKUP($K84&amp;"",SERVER!$B$3:$B$1009&amp;"",SERVER!$J$3:$J$1009,""),""))</f>
        <v/>
      </c>
      <c r="N84" s="1" t="str" cm="1">
        <f t="array" ref="N84">IF(OR($K84="",$I84="",$J84=""),"",_xlfn.LET(_xlpm.srcCat,_xlfn.SWITCH($I84,"Computer",_xlfn.XLOOKUP($K84&amp;"",COMPUTER!$B$3:$B$1009&amp;"",COMPUTER!$H$3:$H$1009,""),"Display",_xlfn.XLOOKUP($K84&amp;"",DISPLAY!$B$3:$B$1000&amp;"",DISPLAY!$H$3:$H$1000,""),"Network Device",_xlfn.XLOOKUP($K84&amp;"",'NETWORK-DEVICES'!$B$3:$B$987&amp;"",'NETWORK-DEVICES'!$H$3:$H$987,""),"Peripheral",_xlfn.XLOOKUP($K84&amp;"",PERIPHERAL!$B$3:$B$954&amp;"",PERIPHERAL!$H$3:$H$954,""),"Utilities",_xlfn.XLOOKUP($K84&amp;"",UTILITIES!$B$3:$B$953&amp;"",UTILITIES!$G$3:$G$953,""),"IOT",_xlfn.XLOOKUP($K84&amp;"",IOT!$B$3:$B$1012&amp;"",IOT!$H$3:$H$1012,""),"Server",_xlfn.XLOOKUP($K84&amp;"",SERVER!$B$3:$B$1009&amp;"",SERVER!$H$3:$H$1009,""),""),IF(TRIM(_xlpm.srcCat)&lt;&gt;TRIM($J84),"",_xlfn.SWITCH($I84,"Computer",_xlfn.XLOOKUP($K84&amp;"",COMPUTER!$B$3:$B$1009&amp;"",COMPUTER!$K$3:$K$1009,""),"Display",_xlfn.XLOOKUP($K84&amp;"",DISPLAY!$B$3:$B$1000&amp;"",DISPLAY!$L$3:$L$1000,""),"Network Device",_xlfn.XLOOKUP($K84&amp;"",'NETWORK-DEVICES'!$B$3:$B$987&amp;"",'NETWORK-DEVICES'!$K$3:$K$987,""),"Peripheral",_xlfn.XLOOKUP($K84&amp;"",PERIPHERAL!$B$3:$B$954&amp;"",PERIPHERAL!$K$3:$K$954,""),"Utilities",_xlfn.XLOOKUP($K84&amp;"",UTILITIES!$B$3:$B$953&amp;"",UTILITIES!$J$3:$J$953,""),"IOT",_xlfn.XLOOKUP($K84&amp;"",IOT!$B$3:$B$1012&amp;"",IOT!$K$4:$K$1012,""),"Server",_xlfn.XLOOKUP($K84&amp;"",SERVER!$B$3:$B$1009&amp;"",SERVER!$K$3:$K$1009,""),""))))</f>
        <v/>
      </c>
      <c r="O84" s="1" t="str" cm="1">
        <f t="array" ref="O84">IF(OR($K84="",$I84="",$J84=""),"",_xlfn.LET(_xlpm.srcCat,_xlfn.SWITCH($I84,"Computer",_xlfn.XLOOKUP($K84&amp;"",COMPUTER!$B$3:$B$1009&amp;"",COMPUTER!$H$3:$H$1009,""),"Display",_xlfn.XLOOKUP($K84&amp;"",DISPLAY!$B$3:$B$1000&amp;"",DISPLAY!$H$3:$H$1000,""),"Network Device",_xlfn.XLOOKUP($K84&amp;"",'NETWORK-DEVICES'!$B$3:$B$987&amp;"",'NETWORK-DEVICES'!$H$3:$H$987,""),"Peripheral",_xlfn.XLOOKUP($K84&amp;"",PERIPHERAL!$B$3:$B$954&amp;"",PERIPHERAL!$H$3:$H$954,""),"Utilities",_xlfn.XLOOKUP($K84&amp;"",UTILITIES!$B$3:$B$953&amp;"",UTILITIES!$G$3:$G$953,""),"IOT",_xlfn.XLOOKUP($K84&amp;"",IOT!$B$3:$B$1012&amp;"",IOT!$H$3:$H$1012,""),"Server",_xlfn.XLOOKUP($K84&amp;"",SERVER!$B$3:$B$1009&amp;"",SERVER!$H$3:$H$1009,""),""),IF(TRIM(_xlpm.srcCat)&lt;&gt;TRIM($J84),"",_xlfn.SWITCH($I84,"Computer",_xlfn.XLOOKUP($K84&amp;"",COMPUTER!$B$3:$B$1009&amp;"",COMPUTER!$E$3:$E$1009,""),"Display",_xlfn.XLOOKUP($K84&amp;"",DISPLAY!$B$3:$B$1000&amp;"",DISPLAY!$E$3:$E$1000,""),"Network Device",_xlfn.XLOOKUP($K84&amp;"",'NETWORK-DEVICES'!$B$3:$B$987&amp;"",'NETWORK-DEVICES'!$E$3:$E$987,""),"Peripheral",_xlfn.XLOOKUP($K84&amp;"",PERIPHERAL!$B$3:$B$954&amp;"",PERIPHERAL!$E$3:$E$954,""),"Utilities",_xlfn.XLOOKUP($K84&amp;"",UTILITIES!$B$3:$B$953&amp;"",UTILITIES!$E$3:$E$953,""),"IOT",_xlfn.XLOOKUP($K84&amp;"",IOT!$B$3:$B$1012&amp;"",IOT!$E$3:$E$1012,""),"Server",_xlfn.XLOOKUP($K84&amp;"",SERVER!$B$3:$B$1009&amp;"",SERVER!$E$3:$E$1009,""),""))))</f>
        <v/>
      </c>
      <c r="Q84" s="1" t="str" cm="1">
        <f t="array" ref="Q84">IF(OR($K84="",$I84="",$J84=""),"",_xlfn.LET(_xlpm.srcCat,_xlfn.SWITCH($I84,"Computer",_xlfn.XLOOKUP($K84&amp;"",COMPUTER!$B$3:$B$1009&amp;"",COMPUTER!$H$3:$H$1009,""),"Display",_xlfn.XLOOKUP($K84&amp;"",DISPLAY!$B$3:$B$1000&amp;"",DISPLAY!$H$3:$H$1000,""),"Network Device",_xlfn.XLOOKUP($K84&amp;"",'NETWORK-DEVICES'!$B$3:$B$987&amp;"",'NETWORK-DEVICES'!$H$3:$H$987,""),"Peripheral",_xlfn.XLOOKUP($K84&amp;"",PERIPHERAL!$B$3:$B$954&amp;"",PERIPHERAL!$H$3:$H$954,""),"Utilities",_xlfn.XLOOKUP($K84&amp;"",UTILITIES!$B$3:$B$953&amp;"",UTILITIES!$G$3:$G$953,""),"IOT",_xlfn.XLOOKUP($K84&amp;"",IOT!$B$3:$B$1012&amp;"",IOT!$H$3:$H$1012,""),"Server",_xlfn.XLOOKUP($K84&amp;"",SERVER!$B$3:$B$1009&amp;"",SERVER!$H$3:$H$1009,""),""),IF(TRIM(_xlpm.srcCat)&lt;&gt;TRIM($J84),"",_xlfn.SWITCH($I84,"Computer",_xlfn.XLOOKUP($K84&amp;"",COMPUTER!$B$3:$B$1009&amp;"",COMPUTER!$AM$3:$AM$1009,""),"Display",_xlfn.XLOOKUP($K84&amp;"",DISPLAY!$B$3:$B$1000&amp;"",DISPLAY!$V$3:$V$1000,""),"Network Device",_xlfn.XLOOKUP($K84&amp;"",'NETWORK-DEVICES'!$B$3:$B$987&amp;"",'NETWORK-DEVICES'!$AF$3:$AF$987,""),"Peripheral",_xlfn.XLOOKUP($K84&amp;"",PERIPHERAL!$B$3:$B$954&amp;"",PERIPHERAL!$Y$3:$Y$954,""),"Utilities",_xlfn.XLOOKUP($K84&amp;"",UTILITIES!$B$3:$B$953&amp;"",UTILITIES!$O$3:$O$953,""),"IOT",_xlfn.XLOOKUP($K84&amp;"",IOT!$B$3:$B$1012&amp;"",IOT!$AB$3:$AB$1012,""),"Server",_xlfn.XLOOKUP($K84&amp;"",SERVER!$B$3:$B$1009&amp;"",SERVER!$AB$3:$AB$1009,""),""))))</f>
        <v/>
      </c>
      <c r="R84" s="43" t="str">
        <f>IF(tbl_handover[[#This Row],[Asset Code]]="","",COUNTIF(tbl_handover[Asset Code],tbl_handover[[#This Row],[Asset Code]]))</f>
        <v/>
      </c>
    </row>
    <row r="85" spans="1:18" x14ac:dyDescent="0.25">
      <c r="A85" s="43" t="str">
        <f>IF(B85&lt;&gt;"",SUBTOTAL(3,$B$1:B84),"")</f>
        <v/>
      </c>
      <c r="C85" s="74"/>
      <c r="D85" s="74"/>
      <c r="G85" s="1"/>
      <c r="K85" s="42"/>
      <c r="L85" t="str" cm="1">
        <f t="array" ref="L85">IF($K85="","",_xlfn.SWITCH($I85,"Computer",_xlfn.XLOOKUP($K85&amp;"",COMPUTER!$B$3:$B$1009&amp;"",COMPUTER!$I$3:$I$1009,""),"Display",_xlfn.XLOOKUP($K85&amp;"",DISPLAY!$B$3:$B$1000&amp;"",DISPLAY!$J$3:$J$1000,""),"Network Device",_xlfn.XLOOKUP($K85&amp;"",'NETWORK-DEVICES'!$B$3:$B$987&amp;"",'NETWORK-DEVICES'!$I$3:$I$987,""),"Peripheral",_xlfn.XLOOKUP($K85&amp;"",PERIPHERAL!$B$3:$B$954&amp;"",PERIPHERAL!$I$3:$I$954,""),"Utilities",_xlfn.XLOOKUP($K85&amp;"",UTILITIES!$B$3:$B$953&amp;"",UTILITIES!$H$3:$H$953,""),"IOT",_xlfn.XLOOKUP($K85&amp;"",IOT!$B$3:$B$1012&amp;"",IOT!$I$3:$I$1012,""),"SERVER",_xlfn.XLOOKUP($K85&amp;"",SERVER!$B$3:$B$1009&amp;"",SERVER!$I$3:$I$1009,""),""))</f>
        <v/>
      </c>
      <c r="M85" t="str" cm="1">
        <f t="array" ref="M85">IF($K85="","",_xlfn.SWITCH($I85,"Computer",_xlfn.XLOOKUP($K85&amp;"",COMPUTER!$B$3:$B$1009&amp;"",COMPUTER!$J$3:$J$1009,""),"Display",_xlfn.XLOOKUP($K85&amp;"",DISPLAY!$B$3:$B$1000&amp;"",DISPLAY!$K$3:$K$1000,""),"Network Device",_xlfn.XLOOKUP($K85&amp;"",'NETWORK-DEVICES'!$B$3:$B$987&amp;"",'NETWORK-DEVICES'!$I$3:$I$987,""),"Peripheral",_xlfn.XLOOKUP($K85&amp;"",PERIPHERAL!$B$3:$B$954&amp;"",PERIPHERAL!$J$3:$J$954,""),"Utilities",_xlfn.XLOOKUP($K85&amp;"",UTILITIES!$B$3:$B$953&amp;"",UTILITIES!$I$3:$I$953,""),"IOT",_xlfn.XLOOKUP($K85&amp;"",IOT!$B$3:$B$1012&amp;"",IOT!$J$3:$J$1012,""),"Server",_xlfn.XLOOKUP($K85&amp;"",SERVER!$B$3:$B$1009&amp;"",SERVER!$J$3:$J$1009,""),""))</f>
        <v/>
      </c>
      <c r="N85" s="1" t="str" cm="1">
        <f t="array" ref="N85">IF(OR($K85="",$I85="",$J85=""),"",_xlfn.LET(_xlpm.srcCat,_xlfn.SWITCH($I85,"Computer",_xlfn.XLOOKUP($K85&amp;"",COMPUTER!$B$3:$B$1009&amp;"",COMPUTER!$H$3:$H$1009,""),"Display",_xlfn.XLOOKUP($K85&amp;"",DISPLAY!$B$3:$B$1000&amp;"",DISPLAY!$H$3:$H$1000,""),"Network Device",_xlfn.XLOOKUP($K85&amp;"",'NETWORK-DEVICES'!$B$3:$B$987&amp;"",'NETWORK-DEVICES'!$H$3:$H$987,""),"Peripheral",_xlfn.XLOOKUP($K85&amp;"",PERIPHERAL!$B$3:$B$954&amp;"",PERIPHERAL!$H$3:$H$954,""),"Utilities",_xlfn.XLOOKUP($K85&amp;"",UTILITIES!$B$3:$B$953&amp;"",UTILITIES!$G$3:$G$953,""),"IOT",_xlfn.XLOOKUP($K85&amp;"",IOT!$B$3:$B$1012&amp;"",IOT!$H$3:$H$1012,""),"Server",_xlfn.XLOOKUP($K85&amp;"",SERVER!$B$3:$B$1009&amp;"",SERVER!$H$3:$H$1009,""),""),IF(TRIM(_xlpm.srcCat)&lt;&gt;TRIM($J85),"",_xlfn.SWITCH($I85,"Computer",_xlfn.XLOOKUP($K85&amp;"",COMPUTER!$B$3:$B$1009&amp;"",COMPUTER!$K$3:$K$1009,""),"Display",_xlfn.XLOOKUP($K85&amp;"",DISPLAY!$B$3:$B$1000&amp;"",DISPLAY!$L$3:$L$1000,""),"Network Device",_xlfn.XLOOKUP($K85&amp;"",'NETWORK-DEVICES'!$B$3:$B$987&amp;"",'NETWORK-DEVICES'!$K$3:$K$987,""),"Peripheral",_xlfn.XLOOKUP($K85&amp;"",PERIPHERAL!$B$3:$B$954&amp;"",PERIPHERAL!$K$3:$K$954,""),"Utilities",_xlfn.XLOOKUP($K85&amp;"",UTILITIES!$B$3:$B$953&amp;"",UTILITIES!$J$3:$J$953,""),"IOT",_xlfn.XLOOKUP($K85&amp;"",IOT!$B$3:$B$1012&amp;"",IOT!$K$4:$K$1012,""),"Server",_xlfn.XLOOKUP($K85&amp;"",SERVER!$B$3:$B$1009&amp;"",SERVER!$K$3:$K$1009,""),""))))</f>
        <v/>
      </c>
      <c r="O85" s="1" t="str" cm="1">
        <f t="array" ref="O85">IF(OR($K85="",$I85="",$J85=""),"",_xlfn.LET(_xlpm.srcCat,_xlfn.SWITCH($I85,"Computer",_xlfn.XLOOKUP($K85&amp;"",COMPUTER!$B$3:$B$1009&amp;"",COMPUTER!$H$3:$H$1009,""),"Display",_xlfn.XLOOKUP($K85&amp;"",DISPLAY!$B$3:$B$1000&amp;"",DISPLAY!$H$3:$H$1000,""),"Network Device",_xlfn.XLOOKUP($K85&amp;"",'NETWORK-DEVICES'!$B$3:$B$987&amp;"",'NETWORK-DEVICES'!$H$3:$H$987,""),"Peripheral",_xlfn.XLOOKUP($K85&amp;"",PERIPHERAL!$B$3:$B$954&amp;"",PERIPHERAL!$H$3:$H$954,""),"Utilities",_xlfn.XLOOKUP($K85&amp;"",UTILITIES!$B$3:$B$953&amp;"",UTILITIES!$G$3:$G$953,""),"IOT",_xlfn.XLOOKUP($K85&amp;"",IOT!$B$3:$B$1012&amp;"",IOT!$H$3:$H$1012,""),"Server",_xlfn.XLOOKUP($K85&amp;"",SERVER!$B$3:$B$1009&amp;"",SERVER!$H$3:$H$1009,""),""),IF(TRIM(_xlpm.srcCat)&lt;&gt;TRIM($J85),"",_xlfn.SWITCH($I85,"Computer",_xlfn.XLOOKUP($K85&amp;"",COMPUTER!$B$3:$B$1009&amp;"",COMPUTER!$E$3:$E$1009,""),"Display",_xlfn.XLOOKUP($K85&amp;"",DISPLAY!$B$3:$B$1000&amp;"",DISPLAY!$E$3:$E$1000,""),"Network Device",_xlfn.XLOOKUP($K85&amp;"",'NETWORK-DEVICES'!$B$3:$B$987&amp;"",'NETWORK-DEVICES'!$E$3:$E$987,""),"Peripheral",_xlfn.XLOOKUP($K85&amp;"",PERIPHERAL!$B$3:$B$954&amp;"",PERIPHERAL!$E$3:$E$954,""),"Utilities",_xlfn.XLOOKUP($K85&amp;"",UTILITIES!$B$3:$B$953&amp;"",UTILITIES!$E$3:$E$953,""),"IOT",_xlfn.XLOOKUP($K85&amp;"",IOT!$B$3:$B$1012&amp;"",IOT!$E$3:$E$1012,""),"Server",_xlfn.XLOOKUP($K85&amp;"",SERVER!$B$3:$B$1009&amp;"",SERVER!$E$3:$E$1009,""),""))))</f>
        <v/>
      </c>
      <c r="Q85" s="1" t="str" cm="1">
        <f t="array" ref="Q85">IF(OR($K85="",$I85="",$J85=""),"",_xlfn.LET(_xlpm.srcCat,_xlfn.SWITCH($I85,"Computer",_xlfn.XLOOKUP($K85&amp;"",COMPUTER!$B$3:$B$1009&amp;"",COMPUTER!$H$3:$H$1009,""),"Display",_xlfn.XLOOKUP($K85&amp;"",DISPLAY!$B$3:$B$1000&amp;"",DISPLAY!$H$3:$H$1000,""),"Network Device",_xlfn.XLOOKUP($K85&amp;"",'NETWORK-DEVICES'!$B$3:$B$987&amp;"",'NETWORK-DEVICES'!$H$3:$H$987,""),"Peripheral",_xlfn.XLOOKUP($K85&amp;"",PERIPHERAL!$B$3:$B$954&amp;"",PERIPHERAL!$H$3:$H$954,""),"Utilities",_xlfn.XLOOKUP($K85&amp;"",UTILITIES!$B$3:$B$953&amp;"",UTILITIES!$G$3:$G$953,""),"IOT",_xlfn.XLOOKUP($K85&amp;"",IOT!$B$3:$B$1012&amp;"",IOT!$H$3:$H$1012,""),"Server",_xlfn.XLOOKUP($K85&amp;"",SERVER!$B$3:$B$1009&amp;"",SERVER!$H$3:$H$1009,""),""),IF(TRIM(_xlpm.srcCat)&lt;&gt;TRIM($J85),"",_xlfn.SWITCH($I85,"Computer",_xlfn.XLOOKUP($K85&amp;"",COMPUTER!$B$3:$B$1009&amp;"",COMPUTER!$AM$3:$AM$1009,""),"Display",_xlfn.XLOOKUP($K85&amp;"",DISPLAY!$B$3:$B$1000&amp;"",DISPLAY!$V$3:$V$1000,""),"Network Device",_xlfn.XLOOKUP($K85&amp;"",'NETWORK-DEVICES'!$B$3:$B$987&amp;"",'NETWORK-DEVICES'!$AF$3:$AF$987,""),"Peripheral",_xlfn.XLOOKUP($K85&amp;"",PERIPHERAL!$B$3:$B$954&amp;"",PERIPHERAL!$Y$3:$Y$954,""),"Utilities",_xlfn.XLOOKUP($K85&amp;"",UTILITIES!$B$3:$B$953&amp;"",UTILITIES!$O$3:$O$953,""),"IOT",_xlfn.XLOOKUP($K85&amp;"",IOT!$B$3:$B$1012&amp;"",IOT!$AB$3:$AB$1012,""),"Server",_xlfn.XLOOKUP($K85&amp;"",SERVER!$B$3:$B$1009&amp;"",SERVER!$AB$3:$AB$1009,""),""))))</f>
        <v/>
      </c>
      <c r="R85" s="43" t="str">
        <f>IF(tbl_handover[[#This Row],[Asset Code]]="","",COUNTIF(tbl_handover[Asset Code],tbl_handover[[#This Row],[Asset Code]]))</f>
        <v/>
      </c>
    </row>
    <row r="86" spans="1:18" x14ac:dyDescent="0.25">
      <c r="A86" s="43" t="str">
        <f>IF(B86&lt;&gt;"",SUBTOTAL(3,$B$1:B85),"")</f>
        <v/>
      </c>
      <c r="C86" s="74"/>
      <c r="D86" s="74"/>
      <c r="G86" s="1"/>
      <c r="K86" s="42"/>
      <c r="L86" t="str" cm="1">
        <f t="array" ref="L86">IF($K86="","",_xlfn.SWITCH($I86,"Computer",_xlfn.XLOOKUP($K86&amp;"",COMPUTER!$B$3:$B$1009&amp;"",COMPUTER!$I$3:$I$1009,""),"Display",_xlfn.XLOOKUP($K86&amp;"",DISPLAY!$B$3:$B$1000&amp;"",DISPLAY!$J$3:$J$1000,""),"Network Device",_xlfn.XLOOKUP($K86&amp;"",'NETWORK-DEVICES'!$B$3:$B$987&amp;"",'NETWORK-DEVICES'!$I$3:$I$987,""),"Peripheral",_xlfn.XLOOKUP($K86&amp;"",PERIPHERAL!$B$3:$B$954&amp;"",PERIPHERAL!$I$3:$I$954,""),"Utilities",_xlfn.XLOOKUP($K86&amp;"",UTILITIES!$B$3:$B$953&amp;"",UTILITIES!$H$3:$H$953,""),"IOT",_xlfn.XLOOKUP($K86&amp;"",IOT!$B$3:$B$1012&amp;"",IOT!$I$3:$I$1012,""),"SERVER",_xlfn.XLOOKUP($K86&amp;"",SERVER!$B$3:$B$1009&amp;"",SERVER!$I$3:$I$1009,""),""))</f>
        <v/>
      </c>
      <c r="M86" t="str" cm="1">
        <f t="array" ref="M86">IF($K86="","",_xlfn.SWITCH($I86,"Computer",_xlfn.XLOOKUP($K86&amp;"",COMPUTER!$B$3:$B$1009&amp;"",COMPUTER!$J$3:$J$1009,""),"Display",_xlfn.XLOOKUP($K86&amp;"",DISPLAY!$B$3:$B$1000&amp;"",DISPLAY!$K$3:$K$1000,""),"Network Device",_xlfn.XLOOKUP($K86&amp;"",'NETWORK-DEVICES'!$B$3:$B$987&amp;"",'NETWORK-DEVICES'!$I$3:$I$987,""),"Peripheral",_xlfn.XLOOKUP($K86&amp;"",PERIPHERAL!$B$3:$B$954&amp;"",PERIPHERAL!$J$3:$J$954,""),"Utilities",_xlfn.XLOOKUP($K86&amp;"",UTILITIES!$B$3:$B$953&amp;"",UTILITIES!$I$3:$I$953,""),"IOT",_xlfn.XLOOKUP($K86&amp;"",IOT!$B$3:$B$1012&amp;"",IOT!$J$3:$J$1012,""),"Server",_xlfn.XLOOKUP($K86&amp;"",SERVER!$B$3:$B$1009&amp;"",SERVER!$J$3:$J$1009,""),""))</f>
        <v/>
      </c>
      <c r="N86" s="1" t="str" cm="1">
        <f t="array" ref="N86">IF(OR($K86="",$I86="",$J86=""),"",_xlfn.LET(_xlpm.srcCat,_xlfn.SWITCH($I86,"Computer",_xlfn.XLOOKUP($K86&amp;"",COMPUTER!$B$3:$B$1009&amp;"",COMPUTER!$H$3:$H$1009,""),"Display",_xlfn.XLOOKUP($K86&amp;"",DISPLAY!$B$3:$B$1000&amp;"",DISPLAY!$H$3:$H$1000,""),"Network Device",_xlfn.XLOOKUP($K86&amp;"",'NETWORK-DEVICES'!$B$3:$B$987&amp;"",'NETWORK-DEVICES'!$H$3:$H$987,""),"Peripheral",_xlfn.XLOOKUP($K86&amp;"",PERIPHERAL!$B$3:$B$954&amp;"",PERIPHERAL!$H$3:$H$954,""),"Utilities",_xlfn.XLOOKUP($K86&amp;"",UTILITIES!$B$3:$B$953&amp;"",UTILITIES!$G$3:$G$953,""),"IOT",_xlfn.XLOOKUP($K86&amp;"",IOT!$B$3:$B$1012&amp;"",IOT!$H$3:$H$1012,""),"Server",_xlfn.XLOOKUP($K86&amp;"",SERVER!$B$3:$B$1009&amp;"",SERVER!$H$3:$H$1009,""),""),IF(TRIM(_xlpm.srcCat)&lt;&gt;TRIM($J86),"",_xlfn.SWITCH($I86,"Computer",_xlfn.XLOOKUP($K86&amp;"",COMPUTER!$B$3:$B$1009&amp;"",COMPUTER!$K$3:$K$1009,""),"Display",_xlfn.XLOOKUP($K86&amp;"",DISPLAY!$B$3:$B$1000&amp;"",DISPLAY!$L$3:$L$1000,""),"Network Device",_xlfn.XLOOKUP($K86&amp;"",'NETWORK-DEVICES'!$B$3:$B$987&amp;"",'NETWORK-DEVICES'!$K$3:$K$987,""),"Peripheral",_xlfn.XLOOKUP($K86&amp;"",PERIPHERAL!$B$3:$B$954&amp;"",PERIPHERAL!$K$3:$K$954,""),"Utilities",_xlfn.XLOOKUP($K86&amp;"",UTILITIES!$B$3:$B$953&amp;"",UTILITIES!$J$3:$J$953,""),"IOT",_xlfn.XLOOKUP($K86&amp;"",IOT!$B$3:$B$1012&amp;"",IOT!$K$4:$K$1012,""),"Server",_xlfn.XLOOKUP($K86&amp;"",SERVER!$B$3:$B$1009&amp;"",SERVER!$K$3:$K$1009,""),""))))</f>
        <v/>
      </c>
      <c r="O86" s="1" t="str" cm="1">
        <f t="array" ref="O86">IF(OR($K86="",$I86="",$J86=""),"",_xlfn.LET(_xlpm.srcCat,_xlfn.SWITCH($I86,"Computer",_xlfn.XLOOKUP($K86&amp;"",COMPUTER!$B$3:$B$1009&amp;"",COMPUTER!$H$3:$H$1009,""),"Display",_xlfn.XLOOKUP($K86&amp;"",DISPLAY!$B$3:$B$1000&amp;"",DISPLAY!$H$3:$H$1000,""),"Network Device",_xlfn.XLOOKUP($K86&amp;"",'NETWORK-DEVICES'!$B$3:$B$987&amp;"",'NETWORK-DEVICES'!$H$3:$H$987,""),"Peripheral",_xlfn.XLOOKUP($K86&amp;"",PERIPHERAL!$B$3:$B$954&amp;"",PERIPHERAL!$H$3:$H$954,""),"Utilities",_xlfn.XLOOKUP($K86&amp;"",UTILITIES!$B$3:$B$953&amp;"",UTILITIES!$G$3:$G$953,""),"IOT",_xlfn.XLOOKUP($K86&amp;"",IOT!$B$3:$B$1012&amp;"",IOT!$H$3:$H$1012,""),"Server",_xlfn.XLOOKUP($K86&amp;"",SERVER!$B$3:$B$1009&amp;"",SERVER!$H$3:$H$1009,""),""),IF(TRIM(_xlpm.srcCat)&lt;&gt;TRIM($J86),"",_xlfn.SWITCH($I86,"Computer",_xlfn.XLOOKUP($K86&amp;"",COMPUTER!$B$3:$B$1009&amp;"",COMPUTER!$E$3:$E$1009,""),"Display",_xlfn.XLOOKUP($K86&amp;"",DISPLAY!$B$3:$B$1000&amp;"",DISPLAY!$E$3:$E$1000,""),"Network Device",_xlfn.XLOOKUP($K86&amp;"",'NETWORK-DEVICES'!$B$3:$B$987&amp;"",'NETWORK-DEVICES'!$E$3:$E$987,""),"Peripheral",_xlfn.XLOOKUP($K86&amp;"",PERIPHERAL!$B$3:$B$954&amp;"",PERIPHERAL!$E$3:$E$954,""),"Utilities",_xlfn.XLOOKUP($K86&amp;"",UTILITIES!$B$3:$B$953&amp;"",UTILITIES!$E$3:$E$953,""),"IOT",_xlfn.XLOOKUP($K86&amp;"",IOT!$B$3:$B$1012&amp;"",IOT!$E$3:$E$1012,""),"Server",_xlfn.XLOOKUP($K86&amp;"",SERVER!$B$3:$B$1009&amp;"",SERVER!$E$3:$E$1009,""),""))))</f>
        <v/>
      </c>
      <c r="Q86" s="1" t="str" cm="1">
        <f t="array" ref="Q86">IF(OR($K86="",$I86="",$J86=""),"",_xlfn.LET(_xlpm.srcCat,_xlfn.SWITCH($I86,"Computer",_xlfn.XLOOKUP($K86&amp;"",COMPUTER!$B$3:$B$1009&amp;"",COMPUTER!$H$3:$H$1009,""),"Display",_xlfn.XLOOKUP($K86&amp;"",DISPLAY!$B$3:$B$1000&amp;"",DISPLAY!$H$3:$H$1000,""),"Network Device",_xlfn.XLOOKUP($K86&amp;"",'NETWORK-DEVICES'!$B$3:$B$987&amp;"",'NETWORK-DEVICES'!$H$3:$H$987,""),"Peripheral",_xlfn.XLOOKUP($K86&amp;"",PERIPHERAL!$B$3:$B$954&amp;"",PERIPHERAL!$H$3:$H$954,""),"Utilities",_xlfn.XLOOKUP($K86&amp;"",UTILITIES!$B$3:$B$953&amp;"",UTILITIES!$G$3:$G$953,""),"IOT",_xlfn.XLOOKUP($K86&amp;"",IOT!$B$3:$B$1012&amp;"",IOT!$H$3:$H$1012,""),"Server",_xlfn.XLOOKUP($K86&amp;"",SERVER!$B$3:$B$1009&amp;"",SERVER!$H$3:$H$1009,""),""),IF(TRIM(_xlpm.srcCat)&lt;&gt;TRIM($J86),"",_xlfn.SWITCH($I86,"Computer",_xlfn.XLOOKUP($K86&amp;"",COMPUTER!$B$3:$B$1009&amp;"",COMPUTER!$AM$3:$AM$1009,""),"Display",_xlfn.XLOOKUP($K86&amp;"",DISPLAY!$B$3:$B$1000&amp;"",DISPLAY!$V$3:$V$1000,""),"Network Device",_xlfn.XLOOKUP($K86&amp;"",'NETWORK-DEVICES'!$B$3:$B$987&amp;"",'NETWORK-DEVICES'!$AF$3:$AF$987,""),"Peripheral",_xlfn.XLOOKUP($K86&amp;"",PERIPHERAL!$B$3:$B$954&amp;"",PERIPHERAL!$Y$3:$Y$954,""),"Utilities",_xlfn.XLOOKUP($K86&amp;"",UTILITIES!$B$3:$B$953&amp;"",UTILITIES!$O$3:$O$953,""),"IOT",_xlfn.XLOOKUP($K86&amp;"",IOT!$B$3:$B$1012&amp;"",IOT!$AB$3:$AB$1012,""),"Server",_xlfn.XLOOKUP($K86&amp;"",SERVER!$B$3:$B$1009&amp;"",SERVER!$AB$3:$AB$1009,""),""))))</f>
        <v/>
      </c>
      <c r="R86" s="43" t="str">
        <f>IF(tbl_handover[[#This Row],[Asset Code]]="","",COUNTIF(tbl_handover[Asset Code],tbl_handover[[#This Row],[Asset Code]]))</f>
        <v/>
      </c>
    </row>
    <row r="87" spans="1:18" x14ac:dyDescent="0.25">
      <c r="A87" s="43" t="str">
        <f>IF(B87&lt;&gt;"",SUBTOTAL(3,$B$1:B86),"")</f>
        <v/>
      </c>
      <c r="C87" s="74"/>
      <c r="D87" s="74"/>
      <c r="G87" s="1"/>
      <c r="K87" s="42"/>
      <c r="L87" t="str" cm="1">
        <f t="array" ref="L87">IF($K87="","",_xlfn.SWITCH($I87,"Computer",_xlfn.XLOOKUP($K87&amp;"",COMPUTER!$B$3:$B$1009&amp;"",COMPUTER!$I$3:$I$1009,""),"Display",_xlfn.XLOOKUP($K87&amp;"",DISPLAY!$B$3:$B$1000&amp;"",DISPLAY!$J$3:$J$1000,""),"Network Device",_xlfn.XLOOKUP($K87&amp;"",'NETWORK-DEVICES'!$B$3:$B$987&amp;"",'NETWORK-DEVICES'!$I$3:$I$987,""),"Peripheral",_xlfn.XLOOKUP($K87&amp;"",PERIPHERAL!$B$3:$B$954&amp;"",PERIPHERAL!$I$3:$I$954,""),"Utilities",_xlfn.XLOOKUP($K87&amp;"",UTILITIES!$B$3:$B$953&amp;"",UTILITIES!$H$3:$H$953,""),"IOT",_xlfn.XLOOKUP($K87&amp;"",IOT!$B$3:$B$1012&amp;"",IOT!$I$3:$I$1012,""),"SERVER",_xlfn.XLOOKUP($K87&amp;"",SERVER!$B$3:$B$1009&amp;"",SERVER!$I$3:$I$1009,""),""))</f>
        <v/>
      </c>
      <c r="M87" t="str" cm="1">
        <f t="array" ref="M87">IF($K87="","",_xlfn.SWITCH($I87,"Computer",_xlfn.XLOOKUP($K87&amp;"",COMPUTER!$B$3:$B$1009&amp;"",COMPUTER!$J$3:$J$1009,""),"Display",_xlfn.XLOOKUP($K87&amp;"",DISPLAY!$B$3:$B$1000&amp;"",DISPLAY!$K$3:$K$1000,""),"Network Device",_xlfn.XLOOKUP($K87&amp;"",'NETWORK-DEVICES'!$B$3:$B$987&amp;"",'NETWORK-DEVICES'!$I$3:$I$987,""),"Peripheral",_xlfn.XLOOKUP($K87&amp;"",PERIPHERAL!$B$3:$B$954&amp;"",PERIPHERAL!$J$3:$J$954,""),"Utilities",_xlfn.XLOOKUP($K87&amp;"",UTILITIES!$B$3:$B$953&amp;"",UTILITIES!$I$3:$I$953,""),"IOT",_xlfn.XLOOKUP($K87&amp;"",IOT!$B$3:$B$1012&amp;"",IOT!$J$3:$J$1012,""),"Server",_xlfn.XLOOKUP($K87&amp;"",SERVER!$B$3:$B$1009&amp;"",SERVER!$J$3:$J$1009,""),""))</f>
        <v/>
      </c>
      <c r="N87" s="1" t="str" cm="1">
        <f t="array" ref="N87">IF(OR($K87="",$I87="",$J87=""),"",_xlfn.LET(_xlpm.srcCat,_xlfn.SWITCH($I87,"Computer",_xlfn.XLOOKUP($K87&amp;"",COMPUTER!$B$3:$B$1009&amp;"",COMPUTER!$H$3:$H$1009,""),"Display",_xlfn.XLOOKUP($K87&amp;"",DISPLAY!$B$3:$B$1000&amp;"",DISPLAY!$H$3:$H$1000,""),"Network Device",_xlfn.XLOOKUP($K87&amp;"",'NETWORK-DEVICES'!$B$3:$B$987&amp;"",'NETWORK-DEVICES'!$H$3:$H$987,""),"Peripheral",_xlfn.XLOOKUP($K87&amp;"",PERIPHERAL!$B$3:$B$954&amp;"",PERIPHERAL!$H$3:$H$954,""),"Utilities",_xlfn.XLOOKUP($K87&amp;"",UTILITIES!$B$3:$B$953&amp;"",UTILITIES!$G$3:$G$953,""),"IOT",_xlfn.XLOOKUP($K87&amp;"",IOT!$B$3:$B$1012&amp;"",IOT!$H$3:$H$1012,""),"Server",_xlfn.XLOOKUP($K87&amp;"",SERVER!$B$3:$B$1009&amp;"",SERVER!$H$3:$H$1009,""),""),IF(TRIM(_xlpm.srcCat)&lt;&gt;TRIM($J87),"",_xlfn.SWITCH($I87,"Computer",_xlfn.XLOOKUP($K87&amp;"",COMPUTER!$B$3:$B$1009&amp;"",COMPUTER!$K$3:$K$1009,""),"Display",_xlfn.XLOOKUP($K87&amp;"",DISPLAY!$B$3:$B$1000&amp;"",DISPLAY!$L$3:$L$1000,""),"Network Device",_xlfn.XLOOKUP($K87&amp;"",'NETWORK-DEVICES'!$B$3:$B$987&amp;"",'NETWORK-DEVICES'!$K$3:$K$987,""),"Peripheral",_xlfn.XLOOKUP($K87&amp;"",PERIPHERAL!$B$3:$B$954&amp;"",PERIPHERAL!$K$3:$K$954,""),"Utilities",_xlfn.XLOOKUP($K87&amp;"",UTILITIES!$B$3:$B$953&amp;"",UTILITIES!$J$3:$J$953,""),"IOT",_xlfn.XLOOKUP($K87&amp;"",IOT!$B$3:$B$1012&amp;"",IOT!$K$4:$K$1012,""),"Server",_xlfn.XLOOKUP($K87&amp;"",SERVER!$B$3:$B$1009&amp;"",SERVER!$K$3:$K$1009,""),""))))</f>
        <v/>
      </c>
      <c r="O87" s="1" t="str" cm="1">
        <f t="array" ref="O87">IF(OR($K87="",$I87="",$J87=""),"",_xlfn.LET(_xlpm.srcCat,_xlfn.SWITCH($I87,"Computer",_xlfn.XLOOKUP($K87&amp;"",COMPUTER!$B$3:$B$1009&amp;"",COMPUTER!$H$3:$H$1009,""),"Display",_xlfn.XLOOKUP($K87&amp;"",DISPLAY!$B$3:$B$1000&amp;"",DISPLAY!$H$3:$H$1000,""),"Network Device",_xlfn.XLOOKUP($K87&amp;"",'NETWORK-DEVICES'!$B$3:$B$987&amp;"",'NETWORK-DEVICES'!$H$3:$H$987,""),"Peripheral",_xlfn.XLOOKUP($K87&amp;"",PERIPHERAL!$B$3:$B$954&amp;"",PERIPHERAL!$H$3:$H$954,""),"Utilities",_xlfn.XLOOKUP($K87&amp;"",UTILITIES!$B$3:$B$953&amp;"",UTILITIES!$G$3:$G$953,""),"IOT",_xlfn.XLOOKUP($K87&amp;"",IOT!$B$3:$B$1012&amp;"",IOT!$H$3:$H$1012,""),"Server",_xlfn.XLOOKUP($K87&amp;"",SERVER!$B$3:$B$1009&amp;"",SERVER!$H$3:$H$1009,""),""),IF(TRIM(_xlpm.srcCat)&lt;&gt;TRIM($J87),"",_xlfn.SWITCH($I87,"Computer",_xlfn.XLOOKUP($K87&amp;"",COMPUTER!$B$3:$B$1009&amp;"",COMPUTER!$E$3:$E$1009,""),"Display",_xlfn.XLOOKUP($K87&amp;"",DISPLAY!$B$3:$B$1000&amp;"",DISPLAY!$E$3:$E$1000,""),"Network Device",_xlfn.XLOOKUP($K87&amp;"",'NETWORK-DEVICES'!$B$3:$B$987&amp;"",'NETWORK-DEVICES'!$E$3:$E$987,""),"Peripheral",_xlfn.XLOOKUP($K87&amp;"",PERIPHERAL!$B$3:$B$954&amp;"",PERIPHERAL!$E$3:$E$954,""),"Utilities",_xlfn.XLOOKUP($K87&amp;"",UTILITIES!$B$3:$B$953&amp;"",UTILITIES!$E$3:$E$953,""),"IOT",_xlfn.XLOOKUP($K87&amp;"",IOT!$B$3:$B$1012&amp;"",IOT!$E$3:$E$1012,""),"Server",_xlfn.XLOOKUP($K87&amp;"",SERVER!$B$3:$B$1009&amp;"",SERVER!$E$3:$E$1009,""),""))))</f>
        <v/>
      </c>
      <c r="Q87" s="1" t="str" cm="1">
        <f t="array" ref="Q87">IF(OR($K87="",$I87="",$J87=""),"",_xlfn.LET(_xlpm.srcCat,_xlfn.SWITCH($I87,"Computer",_xlfn.XLOOKUP($K87&amp;"",COMPUTER!$B$3:$B$1009&amp;"",COMPUTER!$H$3:$H$1009,""),"Display",_xlfn.XLOOKUP($K87&amp;"",DISPLAY!$B$3:$B$1000&amp;"",DISPLAY!$H$3:$H$1000,""),"Network Device",_xlfn.XLOOKUP($K87&amp;"",'NETWORK-DEVICES'!$B$3:$B$987&amp;"",'NETWORK-DEVICES'!$H$3:$H$987,""),"Peripheral",_xlfn.XLOOKUP($K87&amp;"",PERIPHERAL!$B$3:$B$954&amp;"",PERIPHERAL!$H$3:$H$954,""),"Utilities",_xlfn.XLOOKUP($K87&amp;"",UTILITIES!$B$3:$B$953&amp;"",UTILITIES!$G$3:$G$953,""),"IOT",_xlfn.XLOOKUP($K87&amp;"",IOT!$B$3:$B$1012&amp;"",IOT!$H$3:$H$1012,""),"Server",_xlfn.XLOOKUP($K87&amp;"",SERVER!$B$3:$B$1009&amp;"",SERVER!$H$3:$H$1009,""),""),IF(TRIM(_xlpm.srcCat)&lt;&gt;TRIM($J87),"",_xlfn.SWITCH($I87,"Computer",_xlfn.XLOOKUP($K87&amp;"",COMPUTER!$B$3:$B$1009&amp;"",COMPUTER!$AM$3:$AM$1009,""),"Display",_xlfn.XLOOKUP($K87&amp;"",DISPLAY!$B$3:$B$1000&amp;"",DISPLAY!$V$3:$V$1000,""),"Network Device",_xlfn.XLOOKUP($K87&amp;"",'NETWORK-DEVICES'!$B$3:$B$987&amp;"",'NETWORK-DEVICES'!$AF$3:$AF$987,""),"Peripheral",_xlfn.XLOOKUP($K87&amp;"",PERIPHERAL!$B$3:$B$954&amp;"",PERIPHERAL!$Y$3:$Y$954,""),"Utilities",_xlfn.XLOOKUP($K87&amp;"",UTILITIES!$B$3:$B$953&amp;"",UTILITIES!$O$3:$O$953,""),"IOT",_xlfn.XLOOKUP($K87&amp;"",IOT!$B$3:$B$1012&amp;"",IOT!$AB$3:$AB$1012,""),"Server",_xlfn.XLOOKUP($K87&amp;"",SERVER!$B$3:$B$1009&amp;"",SERVER!$AB$3:$AB$1009,""),""))))</f>
        <v/>
      </c>
      <c r="R87" s="43" t="str">
        <f>IF(tbl_handover[[#This Row],[Asset Code]]="","",COUNTIF(tbl_handover[Asset Code],tbl_handover[[#This Row],[Asset Code]]))</f>
        <v/>
      </c>
    </row>
    <row r="88" spans="1:18" x14ac:dyDescent="0.25">
      <c r="A88" s="43" t="str">
        <f>IF(B88&lt;&gt;"",SUBTOTAL(3,$B$1:B87),"")</f>
        <v/>
      </c>
      <c r="C88" s="74"/>
      <c r="D88" s="74"/>
      <c r="G88" s="1"/>
      <c r="K88" s="42"/>
      <c r="L88" t="str" cm="1">
        <f t="array" ref="L88">IF($K88="","",_xlfn.SWITCH($I88,"Computer",_xlfn.XLOOKUP($K88&amp;"",COMPUTER!$B$3:$B$1009&amp;"",COMPUTER!$I$3:$I$1009,""),"Display",_xlfn.XLOOKUP($K88&amp;"",DISPLAY!$B$3:$B$1000&amp;"",DISPLAY!$J$3:$J$1000,""),"Network Device",_xlfn.XLOOKUP($K88&amp;"",'NETWORK-DEVICES'!$B$3:$B$987&amp;"",'NETWORK-DEVICES'!$I$3:$I$987,""),"Peripheral",_xlfn.XLOOKUP($K88&amp;"",PERIPHERAL!$B$3:$B$954&amp;"",PERIPHERAL!$I$3:$I$954,""),"Utilities",_xlfn.XLOOKUP($K88&amp;"",UTILITIES!$B$3:$B$953&amp;"",UTILITIES!$H$3:$H$953,""),"IOT",_xlfn.XLOOKUP($K88&amp;"",IOT!$B$3:$B$1012&amp;"",IOT!$I$3:$I$1012,""),"SERVER",_xlfn.XLOOKUP($K88&amp;"",SERVER!$B$3:$B$1009&amp;"",SERVER!$I$3:$I$1009,""),""))</f>
        <v/>
      </c>
      <c r="M88" t="str" cm="1">
        <f t="array" ref="M88">IF($K88="","",_xlfn.SWITCH($I88,"Computer",_xlfn.XLOOKUP($K88&amp;"",COMPUTER!$B$3:$B$1009&amp;"",COMPUTER!$J$3:$J$1009,""),"Display",_xlfn.XLOOKUP($K88&amp;"",DISPLAY!$B$3:$B$1000&amp;"",DISPLAY!$K$3:$K$1000,""),"Network Device",_xlfn.XLOOKUP($K88&amp;"",'NETWORK-DEVICES'!$B$3:$B$987&amp;"",'NETWORK-DEVICES'!$I$3:$I$987,""),"Peripheral",_xlfn.XLOOKUP($K88&amp;"",PERIPHERAL!$B$3:$B$954&amp;"",PERIPHERAL!$J$3:$J$954,""),"Utilities",_xlfn.XLOOKUP($K88&amp;"",UTILITIES!$B$3:$B$953&amp;"",UTILITIES!$I$3:$I$953,""),"IOT",_xlfn.XLOOKUP($K88&amp;"",IOT!$B$3:$B$1012&amp;"",IOT!$J$3:$J$1012,""),"Server",_xlfn.XLOOKUP($K88&amp;"",SERVER!$B$3:$B$1009&amp;"",SERVER!$J$3:$J$1009,""),""))</f>
        <v/>
      </c>
      <c r="N88" s="1" t="str" cm="1">
        <f t="array" ref="N88">IF(OR($K88="",$I88="",$J88=""),"",_xlfn.LET(_xlpm.srcCat,_xlfn.SWITCH($I88,"Computer",_xlfn.XLOOKUP($K88&amp;"",COMPUTER!$B$3:$B$1009&amp;"",COMPUTER!$H$3:$H$1009,""),"Display",_xlfn.XLOOKUP($K88&amp;"",DISPLAY!$B$3:$B$1000&amp;"",DISPLAY!$H$3:$H$1000,""),"Network Device",_xlfn.XLOOKUP($K88&amp;"",'NETWORK-DEVICES'!$B$3:$B$987&amp;"",'NETWORK-DEVICES'!$H$3:$H$987,""),"Peripheral",_xlfn.XLOOKUP($K88&amp;"",PERIPHERAL!$B$3:$B$954&amp;"",PERIPHERAL!$H$3:$H$954,""),"Utilities",_xlfn.XLOOKUP($K88&amp;"",UTILITIES!$B$3:$B$953&amp;"",UTILITIES!$G$3:$G$953,""),"IOT",_xlfn.XLOOKUP($K88&amp;"",IOT!$B$3:$B$1012&amp;"",IOT!$H$3:$H$1012,""),"Server",_xlfn.XLOOKUP($K88&amp;"",SERVER!$B$3:$B$1009&amp;"",SERVER!$H$3:$H$1009,""),""),IF(TRIM(_xlpm.srcCat)&lt;&gt;TRIM($J88),"",_xlfn.SWITCH($I88,"Computer",_xlfn.XLOOKUP($K88&amp;"",COMPUTER!$B$3:$B$1009&amp;"",COMPUTER!$K$3:$K$1009,""),"Display",_xlfn.XLOOKUP($K88&amp;"",DISPLAY!$B$3:$B$1000&amp;"",DISPLAY!$L$3:$L$1000,""),"Network Device",_xlfn.XLOOKUP($K88&amp;"",'NETWORK-DEVICES'!$B$3:$B$987&amp;"",'NETWORK-DEVICES'!$K$3:$K$987,""),"Peripheral",_xlfn.XLOOKUP($K88&amp;"",PERIPHERAL!$B$3:$B$954&amp;"",PERIPHERAL!$K$3:$K$954,""),"Utilities",_xlfn.XLOOKUP($K88&amp;"",UTILITIES!$B$3:$B$953&amp;"",UTILITIES!$J$3:$J$953,""),"IOT",_xlfn.XLOOKUP($K88&amp;"",IOT!$B$3:$B$1012&amp;"",IOT!$K$4:$K$1012,""),"Server",_xlfn.XLOOKUP($K88&amp;"",SERVER!$B$3:$B$1009&amp;"",SERVER!$K$3:$K$1009,""),""))))</f>
        <v/>
      </c>
      <c r="O88" s="1" t="str" cm="1">
        <f t="array" ref="O88">IF(OR($K88="",$I88="",$J88=""),"",_xlfn.LET(_xlpm.srcCat,_xlfn.SWITCH($I88,"Computer",_xlfn.XLOOKUP($K88&amp;"",COMPUTER!$B$3:$B$1009&amp;"",COMPUTER!$H$3:$H$1009,""),"Display",_xlfn.XLOOKUP($K88&amp;"",DISPLAY!$B$3:$B$1000&amp;"",DISPLAY!$H$3:$H$1000,""),"Network Device",_xlfn.XLOOKUP($K88&amp;"",'NETWORK-DEVICES'!$B$3:$B$987&amp;"",'NETWORK-DEVICES'!$H$3:$H$987,""),"Peripheral",_xlfn.XLOOKUP($K88&amp;"",PERIPHERAL!$B$3:$B$954&amp;"",PERIPHERAL!$H$3:$H$954,""),"Utilities",_xlfn.XLOOKUP($K88&amp;"",UTILITIES!$B$3:$B$953&amp;"",UTILITIES!$G$3:$G$953,""),"IOT",_xlfn.XLOOKUP($K88&amp;"",IOT!$B$3:$B$1012&amp;"",IOT!$H$3:$H$1012,""),"Server",_xlfn.XLOOKUP($K88&amp;"",SERVER!$B$3:$B$1009&amp;"",SERVER!$H$3:$H$1009,""),""),IF(TRIM(_xlpm.srcCat)&lt;&gt;TRIM($J88),"",_xlfn.SWITCH($I88,"Computer",_xlfn.XLOOKUP($K88&amp;"",COMPUTER!$B$3:$B$1009&amp;"",COMPUTER!$E$3:$E$1009,""),"Display",_xlfn.XLOOKUP($K88&amp;"",DISPLAY!$B$3:$B$1000&amp;"",DISPLAY!$E$3:$E$1000,""),"Network Device",_xlfn.XLOOKUP($K88&amp;"",'NETWORK-DEVICES'!$B$3:$B$987&amp;"",'NETWORK-DEVICES'!$E$3:$E$987,""),"Peripheral",_xlfn.XLOOKUP($K88&amp;"",PERIPHERAL!$B$3:$B$954&amp;"",PERIPHERAL!$E$3:$E$954,""),"Utilities",_xlfn.XLOOKUP($K88&amp;"",UTILITIES!$B$3:$B$953&amp;"",UTILITIES!$E$3:$E$953,""),"IOT",_xlfn.XLOOKUP($K88&amp;"",IOT!$B$3:$B$1012&amp;"",IOT!$E$3:$E$1012,""),"Server",_xlfn.XLOOKUP($K88&amp;"",SERVER!$B$3:$B$1009&amp;"",SERVER!$E$3:$E$1009,""),""))))</f>
        <v/>
      </c>
      <c r="Q88" s="1" t="str" cm="1">
        <f t="array" ref="Q88">IF(OR($K88="",$I88="",$J88=""),"",_xlfn.LET(_xlpm.srcCat,_xlfn.SWITCH($I88,"Computer",_xlfn.XLOOKUP($K88&amp;"",COMPUTER!$B$3:$B$1009&amp;"",COMPUTER!$H$3:$H$1009,""),"Display",_xlfn.XLOOKUP($K88&amp;"",DISPLAY!$B$3:$B$1000&amp;"",DISPLAY!$H$3:$H$1000,""),"Network Device",_xlfn.XLOOKUP($K88&amp;"",'NETWORK-DEVICES'!$B$3:$B$987&amp;"",'NETWORK-DEVICES'!$H$3:$H$987,""),"Peripheral",_xlfn.XLOOKUP($K88&amp;"",PERIPHERAL!$B$3:$B$954&amp;"",PERIPHERAL!$H$3:$H$954,""),"Utilities",_xlfn.XLOOKUP($K88&amp;"",UTILITIES!$B$3:$B$953&amp;"",UTILITIES!$G$3:$G$953,""),"IOT",_xlfn.XLOOKUP($K88&amp;"",IOT!$B$3:$B$1012&amp;"",IOT!$H$3:$H$1012,""),"Server",_xlfn.XLOOKUP($K88&amp;"",SERVER!$B$3:$B$1009&amp;"",SERVER!$H$3:$H$1009,""),""),IF(TRIM(_xlpm.srcCat)&lt;&gt;TRIM($J88),"",_xlfn.SWITCH($I88,"Computer",_xlfn.XLOOKUP($K88&amp;"",COMPUTER!$B$3:$B$1009&amp;"",COMPUTER!$AM$3:$AM$1009,""),"Display",_xlfn.XLOOKUP($K88&amp;"",DISPLAY!$B$3:$B$1000&amp;"",DISPLAY!$V$3:$V$1000,""),"Network Device",_xlfn.XLOOKUP($K88&amp;"",'NETWORK-DEVICES'!$B$3:$B$987&amp;"",'NETWORK-DEVICES'!$AF$3:$AF$987,""),"Peripheral",_xlfn.XLOOKUP($K88&amp;"",PERIPHERAL!$B$3:$B$954&amp;"",PERIPHERAL!$Y$3:$Y$954,""),"Utilities",_xlfn.XLOOKUP($K88&amp;"",UTILITIES!$B$3:$B$953&amp;"",UTILITIES!$O$3:$O$953,""),"IOT",_xlfn.XLOOKUP($K88&amp;"",IOT!$B$3:$B$1012&amp;"",IOT!$AB$3:$AB$1012,""),"Server",_xlfn.XLOOKUP($K88&amp;"",SERVER!$B$3:$B$1009&amp;"",SERVER!$AB$3:$AB$1009,""),""))))</f>
        <v/>
      </c>
      <c r="R88" s="43" t="str">
        <f>IF(tbl_handover[[#This Row],[Asset Code]]="","",COUNTIF(tbl_handover[Asset Code],tbl_handover[[#This Row],[Asset Code]]))</f>
        <v/>
      </c>
    </row>
    <row r="89" spans="1:18" x14ac:dyDescent="0.25">
      <c r="A89" s="43" t="str">
        <f>IF(B89&lt;&gt;"",SUBTOTAL(3,$B$1:B88),"")</f>
        <v/>
      </c>
      <c r="C89" s="74"/>
      <c r="D89" s="74"/>
      <c r="G89" s="1"/>
      <c r="K89" s="42"/>
      <c r="L89" t="str" cm="1">
        <f t="array" ref="L89">IF($K89="","",_xlfn.SWITCH($I89,"Computer",_xlfn.XLOOKUP($K89&amp;"",COMPUTER!$B$3:$B$1009&amp;"",COMPUTER!$I$3:$I$1009,""),"Display",_xlfn.XLOOKUP($K89&amp;"",DISPLAY!$B$3:$B$1000&amp;"",DISPLAY!$J$3:$J$1000,""),"Network Device",_xlfn.XLOOKUP($K89&amp;"",'NETWORK-DEVICES'!$B$3:$B$987&amp;"",'NETWORK-DEVICES'!$I$3:$I$987,""),"Peripheral",_xlfn.XLOOKUP($K89&amp;"",PERIPHERAL!$B$3:$B$954&amp;"",PERIPHERAL!$I$3:$I$954,""),"Utilities",_xlfn.XLOOKUP($K89&amp;"",UTILITIES!$B$3:$B$953&amp;"",UTILITIES!$H$3:$H$953,""),"IOT",_xlfn.XLOOKUP($K89&amp;"",IOT!$B$3:$B$1012&amp;"",IOT!$I$3:$I$1012,""),"SERVER",_xlfn.XLOOKUP($K89&amp;"",SERVER!$B$3:$B$1009&amp;"",SERVER!$I$3:$I$1009,""),""))</f>
        <v/>
      </c>
      <c r="M89" t="str" cm="1">
        <f t="array" ref="M89">IF($K89="","",_xlfn.SWITCH($I89,"Computer",_xlfn.XLOOKUP($K89&amp;"",COMPUTER!$B$3:$B$1009&amp;"",COMPUTER!$J$3:$J$1009,""),"Display",_xlfn.XLOOKUP($K89&amp;"",DISPLAY!$B$3:$B$1000&amp;"",DISPLAY!$K$3:$K$1000,""),"Network Device",_xlfn.XLOOKUP($K89&amp;"",'NETWORK-DEVICES'!$B$3:$B$987&amp;"",'NETWORK-DEVICES'!$I$3:$I$987,""),"Peripheral",_xlfn.XLOOKUP($K89&amp;"",PERIPHERAL!$B$3:$B$954&amp;"",PERIPHERAL!$J$3:$J$954,""),"Utilities",_xlfn.XLOOKUP($K89&amp;"",UTILITIES!$B$3:$B$953&amp;"",UTILITIES!$I$3:$I$953,""),"IOT",_xlfn.XLOOKUP($K89&amp;"",IOT!$B$3:$B$1012&amp;"",IOT!$J$3:$J$1012,""),"Server",_xlfn.XLOOKUP($K89&amp;"",SERVER!$B$3:$B$1009&amp;"",SERVER!$J$3:$J$1009,""),""))</f>
        <v/>
      </c>
      <c r="N89" s="1" t="str" cm="1">
        <f t="array" ref="N89">IF(OR($K89="",$I89="",$J89=""),"",_xlfn.LET(_xlpm.srcCat,_xlfn.SWITCH($I89,"Computer",_xlfn.XLOOKUP($K89&amp;"",COMPUTER!$B$3:$B$1009&amp;"",COMPUTER!$H$3:$H$1009,""),"Display",_xlfn.XLOOKUP($K89&amp;"",DISPLAY!$B$3:$B$1000&amp;"",DISPLAY!$H$3:$H$1000,""),"Network Device",_xlfn.XLOOKUP($K89&amp;"",'NETWORK-DEVICES'!$B$3:$B$987&amp;"",'NETWORK-DEVICES'!$H$3:$H$987,""),"Peripheral",_xlfn.XLOOKUP($K89&amp;"",PERIPHERAL!$B$3:$B$954&amp;"",PERIPHERAL!$H$3:$H$954,""),"Utilities",_xlfn.XLOOKUP($K89&amp;"",UTILITIES!$B$3:$B$953&amp;"",UTILITIES!$G$3:$G$953,""),"IOT",_xlfn.XLOOKUP($K89&amp;"",IOT!$B$3:$B$1012&amp;"",IOT!$H$3:$H$1012,""),"Server",_xlfn.XLOOKUP($K89&amp;"",SERVER!$B$3:$B$1009&amp;"",SERVER!$H$3:$H$1009,""),""),IF(TRIM(_xlpm.srcCat)&lt;&gt;TRIM($J89),"",_xlfn.SWITCH($I89,"Computer",_xlfn.XLOOKUP($K89&amp;"",COMPUTER!$B$3:$B$1009&amp;"",COMPUTER!$K$3:$K$1009,""),"Display",_xlfn.XLOOKUP($K89&amp;"",DISPLAY!$B$3:$B$1000&amp;"",DISPLAY!$L$3:$L$1000,""),"Network Device",_xlfn.XLOOKUP($K89&amp;"",'NETWORK-DEVICES'!$B$3:$B$987&amp;"",'NETWORK-DEVICES'!$K$3:$K$987,""),"Peripheral",_xlfn.XLOOKUP($K89&amp;"",PERIPHERAL!$B$3:$B$954&amp;"",PERIPHERAL!$K$3:$K$954,""),"Utilities",_xlfn.XLOOKUP($K89&amp;"",UTILITIES!$B$3:$B$953&amp;"",UTILITIES!$J$3:$J$953,""),"IOT",_xlfn.XLOOKUP($K89&amp;"",IOT!$B$3:$B$1012&amp;"",IOT!$K$4:$K$1012,""),"Server",_xlfn.XLOOKUP($K89&amp;"",SERVER!$B$3:$B$1009&amp;"",SERVER!$K$3:$K$1009,""),""))))</f>
        <v/>
      </c>
      <c r="O89" s="1" t="str" cm="1">
        <f t="array" ref="O89">IF(OR($K89="",$I89="",$J89=""),"",_xlfn.LET(_xlpm.srcCat,_xlfn.SWITCH($I89,"Computer",_xlfn.XLOOKUP($K89&amp;"",COMPUTER!$B$3:$B$1009&amp;"",COMPUTER!$H$3:$H$1009,""),"Display",_xlfn.XLOOKUP($K89&amp;"",DISPLAY!$B$3:$B$1000&amp;"",DISPLAY!$H$3:$H$1000,""),"Network Device",_xlfn.XLOOKUP($K89&amp;"",'NETWORK-DEVICES'!$B$3:$B$987&amp;"",'NETWORK-DEVICES'!$H$3:$H$987,""),"Peripheral",_xlfn.XLOOKUP($K89&amp;"",PERIPHERAL!$B$3:$B$954&amp;"",PERIPHERAL!$H$3:$H$954,""),"Utilities",_xlfn.XLOOKUP($K89&amp;"",UTILITIES!$B$3:$B$953&amp;"",UTILITIES!$G$3:$G$953,""),"IOT",_xlfn.XLOOKUP($K89&amp;"",IOT!$B$3:$B$1012&amp;"",IOT!$H$3:$H$1012,""),"Server",_xlfn.XLOOKUP($K89&amp;"",SERVER!$B$3:$B$1009&amp;"",SERVER!$H$3:$H$1009,""),""),IF(TRIM(_xlpm.srcCat)&lt;&gt;TRIM($J89),"",_xlfn.SWITCH($I89,"Computer",_xlfn.XLOOKUP($K89&amp;"",COMPUTER!$B$3:$B$1009&amp;"",COMPUTER!$E$3:$E$1009,""),"Display",_xlfn.XLOOKUP($K89&amp;"",DISPLAY!$B$3:$B$1000&amp;"",DISPLAY!$E$3:$E$1000,""),"Network Device",_xlfn.XLOOKUP($K89&amp;"",'NETWORK-DEVICES'!$B$3:$B$987&amp;"",'NETWORK-DEVICES'!$E$3:$E$987,""),"Peripheral",_xlfn.XLOOKUP($K89&amp;"",PERIPHERAL!$B$3:$B$954&amp;"",PERIPHERAL!$E$3:$E$954,""),"Utilities",_xlfn.XLOOKUP($K89&amp;"",UTILITIES!$B$3:$B$953&amp;"",UTILITIES!$E$3:$E$953,""),"IOT",_xlfn.XLOOKUP($K89&amp;"",IOT!$B$3:$B$1012&amp;"",IOT!$E$3:$E$1012,""),"Server",_xlfn.XLOOKUP($K89&amp;"",SERVER!$B$3:$B$1009&amp;"",SERVER!$E$3:$E$1009,""),""))))</f>
        <v/>
      </c>
      <c r="Q89" s="1" t="str" cm="1">
        <f t="array" ref="Q89">IF(OR($K89="",$I89="",$J89=""),"",_xlfn.LET(_xlpm.srcCat,_xlfn.SWITCH($I89,"Computer",_xlfn.XLOOKUP($K89&amp;"",COMPUTER!$B$3:$B$1009&amp;"",COMPUTER!$H$3:$H$1009,""),"Display",_xlfn.XLOOKUP($K89&amp;"",DISPLAY!$B$3:$B$1000&amp;"",DISPLAY!$H$3:$H$1000,""),"Network Device",_xlfn.XLOOKUP($K89&amp;"",'NETWORK-DEVICES'!$B$3:$B$987&amp;"",'NETWORK-DEVICES'!$H$3:$H$987,""),"Peripheral",_xlfn.XLOOKUP($K89&amp;"",PERIPHERAL!$B$3:$B$954&amp;"",PERIPHERAL!$H$3:$H$954,""),"Utilities",_xlfn.XLOOKUP($K89&amp;"",UTILITIES!$B$3:$B$953&amp;"",UTILITIES!$G$3:$G$953,""),"IOT",_xlfn.XLOOKUP($K89&amp;"",IOT!$B$3:$B$1012&amp;"",IOT!$H$3:$H$1012,""),"Server",_xlfn.XLOOKUP($K89&amp;"",SERVER!$B$3:$B$1009&amp;"",SERVER!$H$3:$H$1009,""),""),IF(TRIM(_xlpm.srcCat)&lt;&gt;TRIM($J89),"",_xlfn.SWITCH($I89,"Computer",_xlfn.XLOOKUP($K89&amp;"",COMPUTER!$B$3:$B$1009&amp;"",COMPUTER!$AM$3:$AM$1009,""),"Display",_xlfn.XLOOKUP($K89&amp;"",DISPLAY!$B$3:$B$1000&amp;"",DISPLAY!$V$3:$V$1000,""),"Network Device",_xlfn.XLOOKUP($K89&amp;"",'NETWORK-DEVICES'!$B$3:$B$987&amp;"",'NETWORK-DEVICES'!$AF$3:$AF$987,""),"Peripheral",_xlfn.XLOOKUP($K89&amp;"",PERIPHERAL!$B$3:$B$954&amp;"",PERIPHERAL!$Y$3:$Y$954,""),"Utilities",_xlfn.XLOOKUP($K89&amp;"",UTILITIES!$B$3:$B$953&amp;"",UTILITIES!$O$3:$O$953,""),"IOT",_xlfn.XLOOKUP($K89&amp;"",IOT!$B$3:$B$1012&amp;"",IOT!$AB$3:$AB$1012,""),"Server",_xlfn.XLOOKUP($K89&amp;"",SERVER!$B$3:$B$1009&amp;"",SERVER!$AB$3:$AB$1009,""),""))))</f>
        <v/>
      </c>
      <c r="R89" s="43" t="str">
        <f>IF(tbl_handover[[#This Row],[Asset Code]]="","",COUNTIF(tbl_handover[Asset Code],tbl_handover[[#This Row],[Asset Code]]))</f>
        <v/>
      </c>
    </row>
    <row r="90" spans="1:18" x14ac:dyDescent="0.25">
      <c r="A90" s="43" t="str">
        <f>IF(B90&lt;&gt;"",SUBTOTAL(3,$B$1:B89),"")</f>
        <v/>
      </c>
      <c r="C90" s="74"/>
      <c r="D90" s="74"/>
      <c r="G90" s="1"/>
      <c r="K90" s="42"/>
      <c r="L90" t="str" cm="1">
        <f t="array" ref="L90">IF($K90="","",_xlfn.SWITCH($I90,"Computer",_xlfn.XLOOKUP($K90&amp;"",COMPUTER!$B$3:$B$1009&amp;"",COMPUTER!$I$3:$I$1009,""),"Display",_xlfn.XLOOKUP($K90&amp;"",DISPLAY!$B$3:$B$1000&amp;"",DISPLAY!$J$3:$J$1000,""),"Network Device",_xlfn.XLOOKUP($K90&amp;"",'NETWORK-DEVICES'!$B$3:$B$987&amp;"",'NETWORK-DEVICES'!$I$3:$I$987,""),"Peripheral",_xlfn.XLOOKUP($K90&amp;"",PERIPHERAL!$B$3:$B$954&amp;"",PERIPHERAL!$I$3:$I$954,""),"Utilities",_xlfn.XLOOKUP($K90&amp;"",UTILITIES!$B$3:$B$953&amp;"",UTILITIES!$H$3:$H$953,""),"IOT",_xlfn.XLOOKUP($K90&amp;"",IOT!$B$3:$B$1012&amp;"",IOT!$I$3:$I$1012,""),"SERVER",_xlfn.XLOOKUP($K90&amp;"",SERVER!$B$3:$B$1009&amp;"",SERVER!$I$3:$I$1009,""),""))</f>
        <v/>
      </c>
      <c r="M90" t="str" cm="1">
        <f t="array" ref="M90">IF($K90="","",_xlfn.SWITCH($I90,"Computer",_xlfn.XLOOKUP($K90&amp;"",COMPUTER!$B$3:$B$1009&amp;"",COMPUTER!$J$3:$J$1009,""),"Display",_xlfn.XLOOKUP($K90&amp;"",DISPLAY!$B$3:$B$1000&amp;"",DISPLAY!$K$3:$K$1000,""),"Network Device",_xlfn.XLOOKUP($K90&amp;"",'NETWORK-DEVICES'!$B$3:$B$987&amp;"",'NETWORK-DEVICES'!$I$3:$I$987,""),"Peripheral",_xlfn.XLOOKUP($K90&amp;"",PERIPHERAL!$B$3:$B$954&amp;"",PERIPHERAL!$J$3:$J$954,""),"Utilities",_xlfn.XLOOKUP($K90&amp;"",UTILITIES!$B$3:$B$953&amp;"",UTILITIES!$I$3:$I$953,""),"IOT",_xlfn.XLOOKUP($K90&amp;"",IOT!$B$3:$B$1012&amp;"",IOT!$J$3:$J$1012,""),"Server",_xlfn.XLOOKUP($K90&amp;"",SERVER!$B$3:$B$1009&amp;"",SERVER!$J$3:$J$1009,""),""))</f>
        <v/>
      </c>
      <c r="N90" s="1" t="str" cm="1">
        <f t="array" ref="N90">IF(OR($K90="",$I90="",$J90=""),"",_xlfn.LET(_xlpm.srcCat,_xlfn.SWITCH($I90,"Computer",_xlfn.XLOOKUP($K90&amp;"",COMPUTER!$B$3:$B$1009&amp;"",COMPUTER!$H$3:$H$1009,""),"Display",_xlfn.XLOOKUP($K90&amp;"",DISPLAY!$B$3:$B$1000&amp;"",DISPLAY!$H$3:$H$1000,""),"Network Device",_xlfn.XLOOKUP($K90&amp;"",'NETWORK-DEVICES'!$B$3:$B$987&amp;"",'NETWORK-DEVICES'!$H$3:$H$987,""),"Peripheral",_xlfn.XLOOKUP($K90&amp;"",PERIPHERAL!$B$3:$B$954&amp;"",PERIPHERAL!$H$3:$H$954,""),"Utilities",_xlfn.XLOOKUP($K90&amp;"",UTILITIES!$B$3:$B$953&amp;"",UTILITIES!$G$3:$G$953,""),"IOT",_xlfn.XLOOKUP($K90&amp;"",IOT!$B$3:$B$1012&amp;"",IOT!$H$3:$H$1012,""),"Server",_xlfn.XLOOKUP($K90&amp;"",SERVER!$B$3:$B$1009&amp;"",SERVER!$H$3:$H$1009,""),""),IF(TRIM(_xlpm.srcCat)&lt;&gt;TRIM($J90),"",_xlfn.SWITCH($I90,"Computer",_xlfn.XLOOKUP($K90&amp;"",COMPUTER!$B$3:$B$1009&amp;"",COMPUTER!$K$3:$K$1009,""),"Display",_xlfn.XLOOKUP($K90&amp;"",DISPLAY!$B$3:$B$1000&amp;"",DISPLAY!$L$3:$L$1000,""),"Network Device",_xlfn.XLOOKUP($K90&amp;"",'NETWORK-DEVICES'!$B$3:$B$987&amp;"",'NETWORK-DEVICES'!$K$3:$K$987,""),"Peripheral",_xlfn.XLOOKUP($K90&amp;"",PERIPHERAL!$B$3:$B$954&amp;"",PERIPHERAL!$K$3:$K$954,""),"Utilities",_xlfn.XLOOKUP($K90&amp;"",UTILITIES!$B$3:$B$953&amp;"",UTILITIES!$J$3:$J$953,""),"IOT",_xlfn.XLOOKUP($K90&amp;"",IOT!$B$3:$B$1012&amp;"",IOT!$K$4:$K$1012,""),"Server",_xlfn.XLOOKUP($K90&amp;"",SERVER!$B$3:$B$1009&amp;"",SERVER!$K$3:$K$1009,""),""))))</f>
        <v/>
      </c>
      <c r="O90" s="1" t="str" cm="1">
        <f t="array" ref="O90">IF(OR($K90="",$I90="",$J90=""),"",_xlfn.LET(_xlpm.srcCat,_xlfn.SWITCH($I90,"Computer",_xlfn.XLOOKUP($K90&amp;"",COMPUTER!$B$3:$B$1009&amp;"",COMPUTER!$H$3:$H$1009,""),"Display",_xlfn.XLOOKUP($K90&amp;"",DISPLAY!$B$3:$B$1000&amp;"",DISPLAY!$H$3:$H$1000,""),"Network Device",_xlfn.XLOOKUP($K90&amp;"",'NETWORK-DEVICES'!$B$3:$B$987&amp;"",'NETWORK-DEVICES'!$H$3:$H$987,""),"Peripheral",_xlfn.XLOOKUP($K90&amp;"",PERIPHERAL!$B$3:$B$954&amp;"",PERIPHERAL!$H$3:$H$954,""),"Utilities",_xlfn.XLOOKUP($K90&amp;"",UTILITIES!$B$3:$B$953&amp;"",UTILITIES!$G$3:$G$953,""),"IOT",_xlfn.XLOOKUP($K90&amp;"",IOT!$B$3:$B$1012&amp;"",IOT!$H$3:$H$1012,""),"Server",_xlfn.XLOOKUP($K90&amp;"",SERVER!$B$3:$B$1009&amp;"",SERVER!$H$3:$H$1009,""),""),IF(TRIM(_xlpm.srcCat)&lt;&gt;TRIM($J90),"",_xlfn.SWITCH($I90,"Computer",_xlfn.XLOOKUP($K90&amp;"",COMPUTER!$B$3:$B$1009&amp;"",COMPUTER!$E$3:$E$1009,""),"Display",_xlfn.XLOOKUP($K90&amp;"",DISPLAY!$B$3:$B$1000&amp;"",DISPLAY!$E$3:$E$1000,""),"Network Device",_xlfn.XLOOKUP($K90&amp;"",'NETWORK-DEVICES'!$B$3:$B$987&amp;"",'NETWORK-DEVICES'!$E$3:$E$987,""),"Peripheral",_xlfn.XLOOKUP($K90&amp;"",PERIPHERAL!$B$3:$B$954&amp;"",PERIPHERAL!$E$3:$E$954,""),"Utilities",_xlfn.XLOOKUP($K90&amp;"",UTILITIES!$B$3:$B$953&amp;"",UTILITIES!$E$3:$E$953,""),"IOT",_xlfn.XLOOKUP($K90&amp;"",IOT!$B$3:$B$1012&amp;"",IOT!$E$3:$E$1012,""),"Server",_xlfn.XLOOKUP($K90&amp;"",SERVER!$B$3:$B$1009&amp;"",SERVER!$E$3:$E$1009,""),""))))</f>
        <v/>
      </c>
      <c r="Q90" s="1" t="str" cm="1">
        <f t="array" ref="Q90">IF(OR($K90="",$I90="",$J90=""),"",_xlfn.LET(_xlpm.srcCat,_xlfn.SWITCH($I90,"Computer",_xlfn.XLOOKUP($K90&amp;"",COMPUTER!$B$3:$B$1009&amp;"",COMPUTER!$H$3:$H$1009,""),"Display",_xlfn.XLOOKUP($K90&amp;"",DISPLAY!$B$3:$B$1000&amp;"",DISPLAY!$H$3:$H$1000,""),"Network Device",_xlfn.XLOOKUP($K90&amp;"",'NETWORK-DEVICES'!$B$3:$B$987&amp;"",'NETWORK-DEVICES'!$H$3:$H$987,""),"Peripheral",_xlfn.XLOOKUP($K90&amp;"",PERIPHERAL!$B$3:$B$954&amp;"",PERIPHERAL!$H$3:$H$954,""),"Utilities",_xlfn.XLOOKUP($K90&amp;"",UTILITIES!$B$3:$B$953&amp;"",UTILITIES!$G$3:$G$953,""),"IOT",_xlfn.XLOOKUP($K90&amp;"",IOT!$B$3:$B$1012&amp;"",IOT!$H$3:$H$1012,""),"Server",_xlfn.XLOOKUP($K90&amp;"",SERVER!$B$3:$B$1009&amp;"",SERVER!$H$3:$H$1009,""),""),IF(TRIM(_xlpm.srcCat)&lt;&gt;TRIM($J90),"",_xlfn.SWITCH($I90,"Computer",_xlfn.XLOOKUP($K90&amp;"",COMPUTER!$B$3:$B$1009&amp;"",COMPUTER!$AM$3:$AM$1009,""),"Display",_xlfn.XLOOKUP($K90&amp;"",DISPLAY!$B$3:$B$1000&amp;"",DISPLAY!$V$3:$V$1000,""),"Network Device",_xlfn.XLOOKUP($K90&amp;"",'NETWORK-DEVICES'!$B$3:$B$987&amp;"",'NETWORK-DEVICES'!$AF$3:$AF$987,""),"Peripheral",_xlfn.XLOOKUP($K90&amp;"",PERIPHERAL!$B$3:$B$954&amp;"",PERIPHERAL!$Y$3:$Y$954,""),"Utilities",_xlfn.XLOOKUP($K90&amp;"",UTILITIES!$B$3:$B$953&amp;"",UTILITIES!$O$3:$O$953,""),"IOT",_xlfn.XLOOKUP($K90&amp;"",IOT!$B$3:$B$1012&amp;"",IOT!$AB$3:$AB$1012,""),"Server",_xlfn.XLOOKUP($K90&amp;"",SERVER!$B$3:$B$1009&amp;"",SERVER!$AB$3:$AB$1009,""),""))))</f>
        <v/>
      </c>
      <c r="R90" s="43" t="str">
        <f>IF(tbl_handover[[#This Row],[Asset Code]]="","",COUNTIF(tbl_handover[Asset Code],tbl_handover[[#This Row],[Asset Code]]))</f>
        <v/>
      </c>
    </row>
    <row r="91" spans="1:18" x14ac:dyDescent="0.25">
      <c r="A91" s="43" t="str">
        <f>IF(B91&lt;&gt;"",SUBTOTAL(3,$B$1:B90),"")</f>
        <v/>
      </c>
      <c r="C91" s="74"/>
      <c r="D91" s="74"/>
      <c r="G91" s="1"/>
      <c r="K91" s="42"/>
      <c r="L91" t="str" cm="1">
        <f t="array" ref="L91">IF($K91="","",_xlfn.SWITCH($I91,"Computer",_xlfn.XLOOKUP($K91&amp;"",COMPUTER!$B$3:$B$1009&amp;"",COMPUTER!$I$3:$I$1009,""),"Display",_xlfn.XLOOKUP($K91&amp;"",DISPLAY!$B$3:$B$1000&amp;"",DISPLAY!$J$3:$J$1000,""),"Network Device",_xlfn.XLOOKUP($K91&amp;"",'NETWORK-DEVICES'!$B$3:$B$987&amp;"",'NETWORK-DEVICES'!$I$3:$I$987,""),"Peripheral",_xlfn.XLOOKUP($K91&amp;"",PERIPHERAL!$B$3:$B$954&amp;"",PERIPHERAL!$I$3:$I$954,""),"Utilities",_xlfn.XLOOKUP($K91&amp;"",UTILITIES!$B$3:$B$953&amp;"",UTILITIES!$H$3:$H$953,""),"IOT",_xlfn.XLOOKUP($K91&amp;"",IOT!$B$3:$B$1012&amp;"",IOT!$I$3:$I$1012,""),"SERVER",_xlfn.XLOOKUP($K91&amp;"",SERVER!$B$3:$B$1009&amp;"",SERVER!$I$3:$I$1009,""),""))</f>
        <v/>
      </c>
      <c r="M91" t="str" cm="1">
        <f t="array" ref="M91">IF($K91="","",_xlfn.SWITCH($I91,"Computer",_xlfn.XLOOKUP($K91&amp;"",COMPUTER!$B$3:$B$1009&amp;"",COMPUTER!$J$3:$J$1009,""),"Display",_xlfn.XLOOKUP($K91&amp;"",DISPLAY!$B$3:$B$1000&amp;"",DISPLAY!$K$3:$K$1000,""),"Network Device",_xlfn.XLOOKUP($K91&amp;"",'NETWORK-DEVICES'!$B$3:$B$987&amp;"",'NETWORK-DEVICES'!$I$3:$I$987,""),"Peripheral",_xlfn.XLOOKUP($K91&amp;"",PERIPHERAL!$B$3:$B$954&amp;"",PERIPHERAL!$J$3:$J$954,""),"Utilities",_xlfn.XLOOKUP($K91&amp;"",UTILITIES!$B$3:$B$953&amp;"",UTILITIES!$I$3:$I$953,""),"IOT",_xlfn.XLOOKUP($K91&amp;"",IOT!$B$3:$B$1012&amp;"",IOT!$J$3:$J$1012,""),"Server",_xlfn.XLOOKUP($K91&amp;"",SERVER!$B$3:$B$1009&amp;"",SERVER!$J$3:$J$1009,""),""))</f>
        <v/>
      </c>
      <c r="N91" s="1" t="str" cm="1">
        <f t="array" ref="N91">IF(OR($K91="",$I91="",$J91=""),"",_xlfn.LET(_xlpm.srcCat,_xlfn.SWITCH($I91,"Computer",_xlfn.XLOOKUP($K91&amp;"",COMPUTER!$B$3:$B$1009&amp;"",COMPUTER!$H$3:$H$1009,""),"Display",_xlfn.XLOOKUP($K91&amp;"",DISPLAY!$B$3:$B$1000&amp;"",DISPLAY!$H$3:$H$1000,""),"Network Device",_xlfn.XLOOKUP($K91&amp;"",'NETWORK-DEVICES'!$B$3:$B$987&amp;"",'NETWORK-DEVICES'!$H$3:$H$987,""),"Peripheral",_xlfn.XLOOKUP($K91&amp;"",PERIPHERAL!$B$3:$B$954&amp;"",PERIPHERAL!$H$3:$H$954,""),"Utilities",_xlfn.XLOOKUP($K91&amp;"",UTILITIES!$B$3:$B$953&amp;"",UTILITIES!$G$3:$G$953,""),"IOT",_xlfn.XLOOKUP($K91&amp;"",IOT!$B$3:$B$1012&amp;"",IOT!$H$3:$H$1012,""),"Server",_xlfn.XLOOKUP($K91&amp;"",SERVER!$B$3:$B$1009&amp;"",SERVER!$H$3:$H$1009,""),""),IF(TRIM(_xlpm.srcCat)&lt;&gt;TRIM($J91),"",_xlfn.SWITCH($I91,"Computer",_xlfn.XLOOKUP($K91&amp;"",COMPUTER!$B$3:$B$1009&amp;"",COMPUTER!$K$3:$K$1009,""),"Display",_xlfn.XLOOKUP($K91&amp;"",DISPLAY!$B$3:$B$1000&amp;"",DISPLAY!$L$3:$L$1000,""),"Network Device",_xlfn.XLOOKUP($K91&amp;"",'NETWORK-DEVICES'!$B$3:$B$987&amp;"",'NETWORK-DEVICES'!$K$3:$K$987,""),"Peripheral",_xlfn.XLOOKUP($K91&amp;"",PERIPHERAL!$B$3:$B$954&amp;"",PERIPHERAL!$K$3:$K$954,""),"Utilities",_xlfn.XLOOKUP($K91&amp;"",UTILITIES!$B$3:$B$953&amp;"",UTILITIES!$J$3:$J$953,""),"IOT",_xlfn.XLOOKUP($K91&amp;"",IOT!$B$3:$B$1012&amp;"",IOT!$K$4:$K$1012,""),"Server",_xlfn.XLOOKUP($K91&amp;"",SERVER!$B$3:$B$1009&amp;"",SERVER!$K$3:$K$1009,""),""))))</f>
        <v/>
      </c>
      <c r="O91" s="1" t="str" cm="1">
        <f t="array" ref="O91">IF(OR($K91="",$I91="",$J91=""),"",_xlfn.LET(_xlpm.srcCat,_xlfn.SWITCH($I91,"Computer",_xlfn.XLOOKUP($K91&amp;"",COMPUTER!$B$3:$B$1009&amp;"",COMPUTER!$H$3:$H$1009,""),"Display",_xlfn.XLOOKUP($K91&amp;"",DISPLAY!$B$3:$B$1000&amp;"",DISPLAY!$H$3:$H$1000,""),"Network Device",_xlfn.XLOOKUP($K91&amp;"",'NETWORK-DEVICES'!$B$3:$B$987&amp;"",'NETWORK-DEVICES'!$H$3:$H$987,""),"Peripheral",_xlfn.XLOOKUP($K91&amp;"",PERIPHERAL!$B$3:$B$954&amp;"",PERIPHERAL!$H$3:$H$954,""),"Utilities",_xlfn.XLOOKUP($K91&amp;"",UTILITIES!$B$3:$B$953&amp;"",UTILITIES!$G$3:$G$953,""),"IOT",_xlfn.XLOOKUP($K91&amp;"",IOT!$B$3:$B$1012&amp;"",IOT!$H$3:$H$1012,""),"Server",_xlfn.XLOOKUP($K91&amp;"",SERVER!$B$3:$B$1009&amp;"",SERVER!$H$3:$H$1009,""),""),IF(TRIM(_xlpm.srcCat)&lt;&gt;TRIM($J91),"",_xlfn.SWITCH($I91,"Computer",_xlfn.XLOOKUP($K91&amp;"",COMPUTER!$B$3:$B$1009&amp;"",COMPUTER!$E$3:$E$1009,""),"Display",_xlfn.XLOOKUP($K91&amp;"",DISPLAY!$B$3:$B$1000&amp;"",DISPLAY!$E$3:$E$1000,""),"Network Device",_xlfn.XLOOKUP($K91&amp;"",'NETWORK-DEVICES'!$B$3:$B$987&amp;"",'NETWORK-DEVICES'!$E$3:$E$987,""),"Peripheral",_xlfn.XLOOKUP($K91&amp;"",PERIPHERAL!$B$3:$B$954&amp;"",PERIPHERAL!$E$3:$E$954,""),"Utilities",_xlfn.XLOOKUP($K91&amp;"",UTILITIES!$B$3:$B$953&amp;"",UTILITIES!$E$3:$E$953,""),"IOT",_xlfn.XLOOKUP($K91&amp;"",IOT!$B$3:$B$1012&amp;"",IOT!$E$3:$E$1012,""),"Server",_xlfn.XLOOKUP($K91&amp;"",SERVER!$B$3:$B$1009&amp;"",SERVER!$E$3:$E$1009,""),""))))</f>
        <v/>
      </c>
      <c r="Q91" s="1" t="str" cm="1">
        <f t="array" ref="Q91">IF(OR($K91="",$I91="",$J91=""),"",_xlfn.LET(_xlpm.srcCat,_xlfn.SWITCH($I91,"Computer",_xlfn.XLOOKUP($K91&amp;"",COMPUTER!$B$3:$B$1009&amp;"",COMPUTER!$H$3:$H$1009,""),"Display",_xlfn.XLOOKUP($K91&amp;"",DISPLAY!$B$3:$B$1000&amp;"",DISPLAY!$H$3:$H$1000,""),"Network Device",_xlfn.XLOOKUP($K91&amp;"",'NETWORK-DEVICES'!$B$3:$B$987&amp;"",'NETWORK-DEVICES'!$H$3:$H$987,""),"Peripheral",_xlfn.XLOOKUP($K91&amp;"",PERIPHERAL!$B$3:$B$954&amp;"",PERIPHERAL!$H$3:$H$954,""),"Utilities",_xlfn.XLOOKUP($K91&amp;"",UTILITIES!$B$3:$B$953&amp;"",UTILITIES!$G$3:$G$953,""),"IOT",_xlfn.XLOOKUP($K91&amp;"",IOT!$B$3:$B$1012&amp;"",IOT!$H$3:$H$1012,""),"Server",_xlfn.XLOOKUP($K91&amp;"",SERVER!$B$3:$B$1009&amp;"",SERVER!$H$3:$H$1009,""),""),IF(TRIM(_xlpm.srcCat)&lt;&gt;TRIM($J91),"",_xlfn.SWITCH($I91,"Computer",_xlfn.XLOOKUP($K91&amp;"",COMPUTER!$B$3:$B$1009&amp;"",COMPUTER!$AM$3:$AM$1009,""),"Display",_xlfn.XLOOKUP($K91&amp;"",DISPLAY!$B$3:$B$1000&amp;"",DISPLAY!$V$3:$V$1000,""),"Network Device",_xlfn.XLOOKUP($K91&amp;"",'NETWORK-DEVICES'!$B$3:$B$987&amp;"",'NETWORK-DEVICES'!$AF$3:$AF$987,""),"Peripheral",_xlfn.XLOOKUP($K91&amp;"",PERIPHERAL!$B$3:$B$954&amp;"",PERIPHERAL!$Y$3:$Y$954,""),"Utilities",_xlfn.XLOOKUP($K91&amp;"",UTILITIES!$B$3:$B$953&amp;"",UTILITIES!$O$3:$O$953,""),"IOT",_xlfn.XLOOKUP($K91&amp;"",IOT!$B$3:$B$1012&amp;"",IOT!$AB$3:$AB$1012,""),"Server",_xlfn.XLOOKUP($K91&amp;"",SERVER!$B$3:$B$1009&amp;"",SERVER!$AB$3:$AB$1009,""),""))))</f>
        <v/>
      </c>
      <c r="R91" s="43" t="str">
        <f>IF(tbl_handover[[#This Row],[Asset Code]]="","",COUNTIF(tbl_handover[Asset Code],tbl_handover[[#This Row],[Asset Code]]))</f>
        <v/>
      </c>
    </row>
    <row r="92" spans="1:18" x14ac:dyDescent="0.25">
      <c r="A92" s="43" t="str">
        <f>IF(B92&lt;&gt;"",SUBTOTAL(3,$B$1:B91),"")</f>
        <v/>
      </c>
      <c r="C92" s="74"/>
      <c r="D92" s="74"/>
      <c r="G92" s="1"/>
      <c r="K92" s="42"/>
      <c r="L92" t="str" cm="1">
        <f t="array" ref="L92">IF($K92="","",_xlfn.SWITCH($I92,"Computer",_xlfn.XLOOKUP($K92&amp;"",COMPUTER!$B$3:$B$1009&amp;"",COMPUTER!$I$3:$I$1009,""),"Display",_xlfn.XLOOKUP($K92&amp;"",DISPLAY!$B$3:$B$1000&amp;"",DISPLAY!$J$3:$J$1000,""),"Network Device",_xlfn.XLOOKUP($K92&amp;"",'NETWORK-DEVICES'!$B$3:$B$987&amp;"",'NETWORK-DEVICES'!$I$3:$I$987,""),"Peripheral",_xlfn.XLOOKUP($K92&amp;"",PERIPHERAL!$B$3:$B$954&amp;"",PERIPHERAL!$I$3:$I$954,""),"Utilities",_xlfn.XLOOKUP($K92&amp;"",UTILITIES!$B$3:$B$953&amp;"",UTILITIES!$H$3:$H$953,""),"IOT",_xlfn.XLOOKUP($K92&amp;"",IOT!$B$3:$B$1012&amp;"",IOT!$I$3:$I$1012,""),"SERVER",_xlfn.XLOOKUP($K92&amp;"",SERVER!$B$3:$B$1009&amp;"",SERVER!$I$3:$I$1009,""),""))</f>
        <v/>
      </c>
      <c r="M92" t="str" cm="1">
        <f t="array" ref="M92">IF($K92="","",_xlfn.SWITCH($I92,"Computer",_xlfn.XLOOKUP($K92&amp;"",COMPUTER!$B$3:$B$1009&amp;"",COMPUTER!$J$3:$J$1009,""),"Display",_xlfn.XLOOKUP($K92&amp;"",DISPLAY!$B$3:$B$1000&amp;"",DISPLAY!$K$3:$K$1000,""),"Network Device",_xlfn.XLOOKUP($K92&amp;"",'NETWORK-DEVICES'!$B$3:$B$987&amp;"",'NETWORK-DEVICES'!$I$3:$I$987,""),"Peripheral",_xlfn.XLOOKUP($K92&amp;"",PERIPHERAL!$B$3:$B$954&amp;"",PERIPHERAL!$J$3:$J$954,""),"Utilities",_xlfn.XLOOKUP($K92&amp;"",UTILITIES!$B$3:$B$953&amp;"",UTILITIES!$I$3:$I$953,""),"IOT",_xlfn.XLOOKUP($K92&amp;"",IOT!$B$3:$B$1012&amp;"",IOT!$J$3:$J$1012,""),"Server",_xlfn.XLOOKUP($K92&amp;"",SERVER!$B$3:$B$1009&amp;"",SERVER!$J$3:$J$1009,""),""))</f>
        <v/>
      </c>
      <c r="N92" s="1" t="str" cm="1">
        <f t="array" ref="N92">IF(OR($K92="",$I92="",$J92=""),"",_xlfn.LET(_xlpm.srcCat,_xlfn.SWITCH($I92,"Computer",_xlfn.XLOOKUP($K92&amp;"",COMPUTER!$B$3:$B$1009&amp;"",COMPUTER!$H$3:$H$1009,""),"Display",_xlfn.XLOOKUP($K92&amp;"",DISPLAY!$B$3:$B$1000&amp;"",DISPLAY!$H$3:$H$1000,""),"Network Device",_xlfn.XLOOKUP($K92&amp;"",'NETWORK-DEVICES'!$B$3:$B$987&amp;"",'NETWORK-DEVICES'!$H$3:$H$987,""),"Peripheral",_xlfn.XLOOKUP($K92&amp;"",PERIPHERAL!$B$3:$B$954&amp;"",PERIPHERAL!$H$3:$H$954,""),"Utilities",_xlfn.XLOOKUP($K92&amp;"",UTILITIES!$B$3:$B$953&amp;"",UTILITIES!$G$3:$G$953,""),"IOT",_xlfn.XLOOKUP($K92&amp;"",IOT!$B$3:$B$1012&amp;"",IOT!$H$3:$H$1012,""),"Server",_xlfn.XLOOKUP($K92&amp;"",SERVER!$B$3:$B$1009&amp;"",SERVER!$H$3:$H$1009,""),""),IF(TRIM(_xlpm.srcCat)&lt;&gt;TRIM($J92),"",_xlfn.SWITCH($I92,"Computer",_xlfn.XLOOKUP($K92&amp;"",COMPUTER!$B$3:$B$1009&amp;"",COMPUTER!$K$3:$K$1009,""),"Display",_xlfn.XLOOKUP($K92&amp;"",DISPLAY!$B$3:$B$1000&amp;"",DISPLAY!$L$3:$L$1000,""),"Network Device",_xlfn.XLOOKUP($K92&amp;"",'NETWORK-DEVICES'!$B$3:$B$987&amp;"",'NETWORK-DEVICES'!$K$3:$K$987,""),"Peripheral",_xlfn.XLOOKUP($K92&amp;"",PERIPHERAL!$B$3:$B$954&amp;"",PERIPHERAL!$K$3:$K$954,""),"Utilities",_xlfn.XLOOKUP($K92&amp;"",UTILITIES!$B$3:$B$953&amp;"",UTILITIES!$J$3:$J$953,""),"IOT",_xlfn.XLOOKUP($K92&amp;"",IOT!$B$3:$B$1012&amp;"",IOT!$K$4:$K$1012,""),"Server",_xlfn.XLOOKUP($K92&amp;"",SERVER!$B$3:$B$1009&amp;"",SERVER!$K$3:$K$1009,""),""))))</f>
        <v/>
      </c>
      <c r="O92" s="1" t="str" cm="1">
        <f t="array" ref="O92">IF(OR($K92="",$I92="",$J92=""),"",_xlfn.LET(_xlpm.srcCat,_xlfn.SWITCH($I92,"Computer",_xlfn.XLOOKUP($K92&amp;"",COMPUTER!$B$3:$B$1009&amp;"",COMPUTER!$H$3:$H$1009,""),"Display",_xlfn.XLOOKUP($K92&amp;"",DISPLAY!$B$3:$B$1000&amp;"",DISPLAY!$H$3:$H$1000,""),"Network Device",_xlfn.XLOOKUP($K92&amp;"",'NETWORK-DEVICES'!$B$3:$B$987&amp;"",'NETWORK-DEVICES'!$H$3:$H$987,""),"Peripheral",_xlfn.XLOOKUP($K92&amp;"",PERIPHERAL!$B$3:$B$954&amp;"",PERIPHERAL!$H$3:$H$954,""),"Utilities",_xlfn.XLOOKUP($K92&amp;"",UTILITIES!$B$3:$B$953&amp;"",UTILITIES!$G$3:$G$953,""),"IOT",_xlfn.XLOOKUP($K92&amp;"",IOT!$B$3:$B$1012&amp;"",IOT!$H$3:$H$1012,""),"Server",_xlfn.XLOOKUP($K92&amp;"",SERVER!$B$3:$B$1009&amp;"",SERVER!$H$3:$H$1009,""),""),IF(TRIM(_xlpm.srcCat)&lt;&gt;TRIM($J92),"",_xlfn.SWITCH($I92,"Computer",_xlfn.XLOOKUP($K92&amp;"",COMPUTER!$B$3:$B$1009&amp;"",COMPUTER!$E$3:$E$1009,""),"Display",_xlfn.XLOOKUP($K92&amp;"",DISPLAY!$B$3:$B$1000&amp;"",DISPLAY!$E$3:$E$1000,""),"Network Device",_xlfn.XLOOKUP($K92&amp;"",'NETWORK-DEVICES'!$B$3:$B$987&amp;"",'NETWORK-DEVICES'!$E$3:$E$987,""),"Peripheral",_xlfn.XLOOKUP($K92&amp;"",PERIPHERAL!$B$3:$B$954&amp;"",PERIPHERAL!$E$3:$E$954,""),"Utilities",_xlfn.XLOOKUP($K92&amp;"",UTILITIES!$B$3:$B$953&amp;"",UTILITIES!$E$3:$E$953,""),"IOT",_xlfn.XLOOKUP($K92&amp;"",IOT!$B$3:$B$1012&amp;"",IOT!$E$3:$E$1012,""),"Server",_xlfn.XLOOKUP($K92&amp;"",SERVER!$B$3:$B$1009&amp;"",SERVER!$E$3:$E$1009,""),""))))</f>
        <v/>
      </c>
      <c r="Q92" s="1" t="str" cm="1">
        <f t="array" ref="Q92">IF(OR($K92="",$I92="",$J92=""),"",_xlfn.LET(_xlpm.srcCat,_xlfn.SWITCH($I92,"Computer",_xlfn.XLOOKUP($K92&amp;"",COMPUTER!$B$3:$B$1009&amp;"",COMPUTER!$H$3:$H$1009,""),"Display",_xlfn.XLOOKUP($K92&amp;"",DISPLAY!$B$3:$B$1000&amp;"",DISPLAY!$H$3:$H$1000,""),"Network Device",_xlfn.XLOOKUP($K92&amp;"",'NETWORK-DEVICES'!$B$3:$B$987&amp;"",'NETWORK-DEVICES'!$H$3:$H$987,""),"Peripheral",_xlfn.XLOOKUP($K92&amp;"",PERIPHERAL!$B$3:$B$954&amp;"",PERIPHERAL!$H$3:$H$954,""),"Utilities",_xlfn.XLOOKUP($K92&amp;"",UTILITIES!$B$3:$B$953&amp;"",UTILITIES!$G$3:$G$953,""),"IOT",_xlfn.XLOOKUP($K92&amp;"",IOT!$B$3:$B$1012&amp;"",IOT!$H$3:$H$1012,""),"Server",_xlfn.XLOOKUP($K92&amp;"",SERVER!$B$3:$B$1009&amp;"",SERVER!$H$3:$H$1009,""),""),IF(TRIM(_xlpm.srcCat)&lt;&gt;TRIM($J92),"",_xlfn.SWITCH($I92,"Computer",_xlfn.XLOOKUP($K92&amp;"",COMPUTER!$B$3:$B$1009&amp;"",COMPUTER!$AM$3:$AM$1009,""),"Display",_xlfn.XLOOKUP($K92&amp;"",DISPLAY!$B$3:$B$1000&amp;"",DISPLAY!$V$3:$V$1000,""),"Network Device",_xlfn.XLOOKUP($K92&amp;"",'NETWORK-DEVICES'!$B$3:$B$987&amp;"",'NETWORK-DEVICES'!$AF$3:$AF$987,""),"Peripheral",_xlfn.XLOOKUP($K92&amp;"",PERIPHERAL!$B$3:$B$954&amp;"",PERIPHERAL!$Y$3:$Y$954,""),"Utilities",_xlfn.XLOOKUP($K92&amp;"",UTILITIES!$B$3:$B$953&amp;"",UTILITIES!$O$3:$O$953,""),"IOT",_xlfn.XLOOKUP($K92&amp;"",IOT!$B$3:$B$1012&amp;"",IOT!$AB$3:$AB$1012,""),"Server",_xlfn.XLOOKUP($K92&amp;"",SERVER!$B$3:$B$1009&amp;"",SERVER!$AB$3:$AB$1009,""),""))))</f>
        <v/>
      </c>
      <c r="R92" s="43" t="str">
        <f>IF(tbl_handover[[#This Row],[Asset Code]]="","",COUNTIF(tbl_handover[Asset Code],tbl_handover[[#This Row],[Asset Code]]))</f>
        <v/>
      </c>
    </row>
    <row r="93" spans="1:18" x14ac:dyDescent="0.25">
      <c r="A93" s="43" t="str">
        <f>IF(B93&lt;&gt;"",SUBTOTAL(3,$B$1:B92),"")</f>
        <v/>
      </c>
      <c r="C93" s="74"/>
      <c r="D93" s="74"/>
      <c r="G93" s="1"/>
      <c r="K93" s="42"/>
      <c r="L93" t="str" cm="1">
        <f t="array" ref="L93">IF($K93="","",_xlfn.SWITCH($I93,"Computer",_xlfn.XLOOKUP($K93&amp;"",COMPUTER!$B$3:$B$1009&amp;"",COMPUTER!$I$3:$I$1009,""),"Display",_xlfn.XLOOKUP($K93&amp;"",DISPLAY!$B$3:$B$1000&amp;"",DISPLAY!$J$3:$J$1000,""),"Network Device",_xlfn.XLOOKUP($K93&amp;"",'NETWORK-DEVICES'!$B$3:$B$987&amp;"",'NETWORK-DEVICES'!$I$3:$I$987,""),"Peripheral",_xlfn.XLOOKUP($K93&amp;"",PERIPHERAL!$B$3:$B$954&amp;"",PERIPHERAL!$I$3:$I$954,""),"Utilities",_xlfn.XLOOKUP($K93&amp;"",UTILITIES!$B$3:$B$953&amp;"",UTILITIES!$H$3:$H$953,""),"IOT",_xlfn.XLOOKUP($K93&amp;"",IOT!$B$3:$B$1012&amp;"",IOT!$I$3:$I$1012,""),"SERVER",_xlfn.XLOOKUP($K93&amp;"",SERVER!$B$3:$B$1009&amp;"",SERVER!$I$3:$I$1009,""),""))</f>
        <v/>
      </c>
      <c r="M93" t="str" cm="1">
        <f t="array" ref="M93">IF($K93="","",_xlfn.SWITCH($I93,"Computer",_xlfn.XLOOKUP($K93&amp;"",COMPUTER!$B$3:$B$1009&amp;"",COMPUTER!$J$3:$J$1009,""),"Display",_xlfn.XLOOKUP($K93&amp;"",DISPLAY!$B$3:$B$1000&amp;"",DISPLAY!$K$3:$K$1000,""),"Network Device",_xlfn.XLOOKUP($K93&amp;"",'NETWORK-DEVICES'!$B$3:$B$987&amp;"",'NETWORK-DEVICES'!$I$3:$I$987,""),"Peripheral",_xlfn.XLOOKUP($K93&amp;"",PERIPHERAL!$B$3:$B$954&amp;"",PERIPHERAL!$J$3:$J$954,""),"Utilities",_xlfn.XLOOKUP($K93&amp;"",UTILITIES!$B$3:$B$953&amp;"",UTILITIES!$I$3:$I$953,""),"IOT",_xlfn.XLOOKUP($K93&amp;"",IOT!$B$3:$B$1012&amp;"",IOT!$J$3:$J$1012,""),"Server",_xlfn.XLOOKUP($K93&amp;"",SERVER!$B$3:$B$1009&amp;"",SERVER!$J$3:$J$1009,""),""))</f>
        <v/>
      </c>
      <c r="N93" s="1" t="str" cm="1">
        <f t="array" ref="N93">IF(OR($K93="",$I93="",$J93=""),"",_xlfn.LET(_xlpm.srcCat,_xlfn.SWITCH($I93,"Computer",_xlfn.XLOOKUP($K93&amp;"",COMPUTER!$B$3:$B$1009&amp;"",COMPUTER!$H$3:$H$1009,""),"Display",_xlfn.XLOOKUP($K93&amp;"",DISPLAY!$B$3:$B$1000&amp;"",DISPLAY!$H$3:$H$1000,""),"Network Device",_xlfn.XLOOKUP($K93&amp;"",'NETWORK-DEVICES'!$B$3:$B$987&amp;"",'NETWORK-DEVICES'!$H$3:$H$987,""),"Peripheral",_xlfn.XLOOKUP($K93&amp;"",PERIPHERAL!$B$3:$B$954&amp;"",PERIPHERAL!$H$3:$H$954,""),"Utilities",_xlfn.XLOOKUP($K93&amp;"",UTILITIES!$B$3:$B$953&amp;"",UTILITIES!$G$3:$G$953,""),"IOT",_xlfn.XLOOKUP($K93&amp;"",IOT!$B$3:$B$1012&amp;"",IOT!$H$3:$H$1012,""),"Server",_xlfn.XLOOKUP($K93&amp;"",SERVER!$B$3:$B$1009&amp;"",SERVER!$H$3:$H$1009,""),""),IF(TRIM(_xlpm.srcCat)&lt;&gt;TRIM($J93),"",_xlfn.SWITCH($I93,"Computer",_xlfn.XLOOKUP($K93&amp;"",COMPUTER!$B$3:$B$1009&amp;"",COMPUTER!$K$3:$K$1009,""),"Display",_xlfn.XLOOKUP($K93&amp;"",DISPLAY!$B$3:$B$1000&amp;"",DISPLAY!$L$3:$L$1000,""),"Network Device",_xlfn.XLOOKUP($K93&amp;"",'NETWORK-DEVICES'!$B$3:$B$987&amp;"",'NETWORK-DEVICES'!$K$3:$K$987,""),"Peripheral",_xlfn.XLOOKUP($K93&amp;"",PERIPHERAL!$B$3:$B$954&amp;"",PERIPHERAL!$K$3:$K$954,""),"Utilities",_xlfn.XLOOKUP($K93&amp;"",UTILITIES!$B$3:$B$953&amp;"",UTILITIES!$J$3:$J$953,""),"IOT",_xlfn.XLOOKUP($K93&amp;"",IOT!$B$3:$B$1012&amp;"",IOT!$K$4:$K$1012,""),"Server",_xlfn.XLOOKUP($K93&amp;"",SERVER!$B$3:$B$1009&amp;"",SERVER!$K$3:$K$1009,""),""))))</f>
        <v/>
      </c>
      <c r="O93" s="1" t="str" cm="1">
        <f t="array" ref="O93">IF(OR($K93="",$I93="",$J93=""),"",_xlfn.LET(_xlpm.srcCat,_xlfn.SWITCH($I93,"Computer",_xlfn.XLOOKUP($K93&amp;"",COMPUTER!$B$3:$B$1009&amp;"",COMPUTER!$H$3:$H$1009,""),"Display",_xlfn.XLOOKUP($K93&amp;"",DISPLAY!$B$3:$B$1000&amp;"",DISPLAY!$H$3:$H$1000,""),"Network Device",_xlfn.XLOOKUP($K93&amp;"",'NETWORK-DEVICES'!$B$3:$B$987&amp;"",'NETWORK-DEVICES'!$H$3:$H$987,""),"Peripheral",_xlfn.XLOOKUP($K93&amp;"",PERIPHERAL!$B$3:$B$954&amp;"",PERIPHERAL!$H$3:$H$954,""),"Utilities",_xlfn.XLOOKUP($K93&amp;"",UTILITIES!$B$3:$B$953&amp;"",UTILITIES!$G$3:$G$953,""),"IOT",_xlfn.XLOOKUP($K93&amp;"",IOT!$B$3:$B$1012&amp;"",IOT!$H$3:$H$1012,""),"Server",_xlfn.XLOOKUP($K93&amp;"",SERVER!$B$3:$B$1009&amp;"",SERVER!$H$3:$H$1009,""),""),IF(TRIM(_xlpm.srcCat)&lt;&gt;TRIM($J93),"",_xlfn.SWITCH($I93,"Computer",_xlfn.XLOOKUP($K93&amp;"",COMPUTER!$B$3:$B$1009&amp;"",COMPUTER!$E$3:$E$1009,""),"Display",_xlfn.XLOOKUP($K93&amp;"",DISPLAY!$B$3:$B$1000&amp;"",DISPLAY!$E$3:$E$1000,""),"Network Device",_xlfn.XLOOKUP($K93&amp;"",'NETWORK-DEVICES'!$B$3:$B$987&amp;"",'NETWORK-DEVICES'!$E$3:$E$987,""),"Peripheral",_xlfn.XLOOKUP($K93&amp;"",PERIPHERAL!$B$3:$B$954&amp;"",PERIPHERAL!$E$3:$E$954,""),"Utilities",_xlfn.XLOOKUP($K93&amp;"",UTILITIES!$B$3:$B$953&amp;"",UTILITIES!$E$3:$E$953,""),"IOT",_xlfn.XLOOKUP($K93&amp;"",IOT!$B$3:$B$1012&amp;"",IOT!$E$3:$E$1012,""),"Server",_xlfn.XLOOKUP($K93&amp;"",SERVER!$B$3:$B$1009&amp;"",SERVER!$E$3:$E$1009,""),""))))</f>
        <v/>
      </c>
      <c r="Q93" s="1" t="str" cm="1">
        <f t="array" ref="Q93">IF(OR($K93="",$I93="",$J93=""),"",_xlfn.LET(_xlpm.srcCat,_xlfn.SWITCH($I93,"Computer",_xlfn.XLOOKUP($K93&amp;"",COMPUTER!$B$3:$B$1009&amp;"",COMPUTER!$H$3:$H$1009,""),"Display",_xlfn.XLOOKUP($K93&amp;"",DISPLAY!$B$3:$B$1000&amp;"",DISPLAY!$H$3:$H$1000,""),"Network Device",_xlfn.XLOOKUP($K93&amp;"",'NETWORK-DEVICES'!$B$3:$B$987&amp;"",'NETWORK-DEVICES'!$H$3:$H$987,""),"Peripheral",_xlfn.XLOOKUP($K93&amp;"",PERIPHERAL!$B$3:$B$954&amp;"",PERIPHERAL!$H$3:$H$954,""),"Utilities",_xlfn.XLOOKUP($K93&amp;"",UTILITIES!$B$3:$B$953&amp;"",UTILITIES!$G$3:$G$953,""),"IOT",_xlfn.XLOOKUP($K93&amp;"",IOT!$B$3:$B$1012&amp;"",IOT!$H$3:$H$1012,""),"Server",_xlfn.XLOOKUP($K93&amp;"",SERVER!$B$3:$B$1009&amp;"",SERVER!$H$3:$H$1009,""),""),IF(TRIM(_xlpm.srcCat)&lt;&gt;TRIM($J93),"",_xlfn.SWITCH($I93,"Computer",_xlfn.XLOOKUP($K93&amp;"",COMPUTER!$B$3:$B$1009&amp;"",COMPUTER!$AM$3:$AM$1009,""),"Display",_xlfn.XLOOKUP($K93&amp;"",DISPLAY!$B$3:$B$1000&amp;"",DISPLAY!$V$3:$V$1000,""),"Network Device",_xlfn.XLOOKUP($K93&amp;"",'NETWORK-DEVICES'!$B$3:$B$987&amp;"",'NETWORK-DEVICES'!$AF$3:$AF$987,""),"Peripheral",_xlfn.XLOOKUP($K93&amp;"",PERIPHERAL!$B$3:$B$954&amp;"",PERIPHERAL!$Y$3:$Y$954,""),"Utilities",_xlfn.XLOOKUP($K93&amp;"",UTILITIES!$B$3:$B$953&amp;"",UTILITIES!$O$3:$O$953,""),"IOT",_xlfn.XLOOKUP($K93&amp;"",IOT!$B$3:$B$1012&amp;"",IOT!$AB$3:$AB$1012,""),"Server",_xlfn.XLOOKUP($K93&amp;"",SERVER!$B$3:$B$1009&amp;"",SERVER!$AB$3:$AB$1009,""),""))))</f>
        <v/>
      </c>
      <c r="R93" s="43" t="str">
        <f>IF(tbl_handover[[#This Row],[Asset Code]]="","",COUNTIF(tbl_handover[Asset Code],tbl_handover[[#This Row],[Asset Code]]))</f>
        <v/>
      </c>
    </row>
    <row r="94" spans="1:18" x14ac:dyDescent="0.25">
      <c r="A94" s="43" t="str">
        <f>IF(B94&lt;&gt;"",SUBTOTAL(3,$B$1:B93),"")</f>
        <v/>
      </c>
      <c r="C94" s="74"/>
      <c r="D94" s="74"/>
      <c r="G94" s="1"/>
      <c r="K94" s="42"/>
      <c r="L94" t="str" cm="1">
        <f t="array" ref="L94">IF($K94="","",_xlfn.SWITCH($I94,"Computer",_xlfn.XLOOKUP($K94&amp;"",COMPUTER!$B$3:$B$1009&amp;"",COMPUTER!$I$3:$I$1009,""),"Display",_xlfn.XLOOKUP($K94&amp;"",DISPLAY!$B$3:$B$1000&amp;"",DISPLAY!$J$3:$J$1000,""),"Network Device",_xlfn.XLOOKUP($K94&amp;"",'NETWORK-DEVICES'!$B$3:$B$987&amp;"",'NETWORK-DEVICES'!$I$3:$I$987,""),"Peripheral",_xlfn.XLOOKUP($K94&amp;"",PERIPHERAL!$B$3:$B$954&amp;"",PERIPHERAL!$I$3:$I$954,""),"Utilities",_xlfn.XLOOKUP($K94&amp;"",UTILITIES!$B$3:$B$953&amp;"",UTILITIES!$H$3:$H$953,""),"IOT",_xlfn.XLOOKUP($K94&amp;"",IOT!$B$3:$B$1012&amp;"",IOT!$I$3:$I$1012,""),"SERVER",_xlfn.XLOOKUP($K94&amp;"",SERVER!$B$3:$B$1009&amp;"",SERVER!$I$3:$I$1009,""),""))</f>
        <v/>
      </c>
      <c r="M94" t="str" cm="1">
        <f t="array" ref="M94">IF($K94="","",_xlfn.SWITCH($I94,"Computer",_xlfn.XLOOKUP($K94&amp;"",COMPUTER!$B$3:$B$1009&amp;"",COMPUTER!$J$3:$J$1009,""),"Display",_xlfn.XLOOKUP($K94&amp;"",DISPLAY!$B$3:$B$1000&amp;"",DISPLAY!$K$3:$K$1000,""),"Network Device",_xlfn.XLOOKUP($K94&amp;"",'NETWORK-DEVICES'!$B$3:$B$987&amp;"",'NETWORK-DEVICES'!$I$3:$I$987,""),"Peripheral",_xlfn.XLOOKUP($K94&amp;"",PERIPHERAL!$B$3:$B$954&amp;"",PERIPHERAL!$J$3:$J$954,""),"Utilities",_xlfn.XLOOKUP($K94&amp;"",UTILITIES!$B$3:$B$953&amp;"",UTILITIES!$I$3:$I$953,""),"IOT",_xlfn.XLOOKUP($K94&amp;"",IOT!$B$3:$B$1012&amp;"",IOT!$J$3:$J$1012,""),"Server",_xlfn.XLOOKUP($K94&amp;"",SERVER!$B$3:$B$1009&amp;"",SERVER!$J$3:$J$1009,""),""))</f>
        <v/>
      </c>
      <c r="N94" s="1" t="str" cm="1">
        <f t="array" ref="N94">IF(OR($K94="",$I94="",$J94=""),"",_xlfn.LET(_xlpm.srcCat,_xlfn.SWITCH($I94,"Computer",_xlfn.XLOOKUP($K94&amp;"",COMPUTER!$B$3:$B$1009&amp;"",COMPUTER!$H$3:$H$1009,""),"Display",_xlfn.XLOOKUP($K94&amp;"",DISPLAY!$B$3:$B$1000&amp;"",DISPLAY!$H$3:$H$1000,""),"Network Device",_xlfn.XLOOKUP($K94&amp;"",'NETWORK-DEVICES'!$B$3:$B$987&amp;"",'NETWORK-DEVICES'!$H$3:$H$987,""),"Peripheral",_xlfn.XLOOKUP($K94&amp;"",PERIPHERAL!$B$3:$B$954&amp;"",PERIPHERAL!$H$3:$H$954,""),"Utilities",_xlfn.XLOOKUP($K94&amp;"",UTILITIES!$B$3:$B$953&amp;"",UTILITIES!$G$3:$G$953,""),"IOT",_xlfn.XLOOKUP($K94&amp;"",IOT!$B$3:$B$1012&amp;"",IOT!$H$3:$H$1012,""),"Server",_xlfn.XLOOKUP($K94&amp;"",SERVER!$B$3:$B$1009&amp;"",SERVER!$H$3:$H$1009,""),""),IF(TRIM(_xlpm.srcCat)&lt;&gt;TRIM($J94),"",_xlfn.SWITCH($I94,"Computer",_xlfn.XLOOKUP($K94&amp;"",COMPUTER!$B$3:$B$1009&amp;"",COMPUTER!$K$3:$K$1009,""),"Display",_xlfn.XLOOKUP($K94&amp;"",DISPLAY!$B$3:$B$1000&amp;"",DISPLAY!$L$3:$L$1000,""),"Network Device",_xlfn.XLOOKUP($K94&amp;"",'NETWORK-DEVICES'!$B$3:$B$987&amp;"",'NETWORK-DEVICES'!$K$3:$K$987,""),"Peripheral",_xlfn.XLOOKUP($K94&amp;"",PERIPHERAL!$B$3:$B$954&amp;"",PERIPHERAL!$K$3:$K$954,""),"Utilities",_xlfn.XLOOKUP($K94&amp;"",UTILITIES!$B$3:$B$953&amp;"",UTILITIES!$J$3:$J$953,""),"IOT",_xlfn.XLOOKUP($K94&amp;"",IOT!$B$3:$B$1012&amp;"",IOT!$K$4:$K$1012,""),"Server",_xlfn.XLOOKUP($K94&amp;"",SERVER!$B$3:$B$1009&amp;"",SERVER!$K$3:$K$1009,""),""))))</f>
        <v/>
      </c>
      <c r="O94" s="1" t="str" cm="1">
        <f t="array" ref="O94">IF(OR($K94="",$I94="",$J94=""),"",_xlfn.LET(_xlpm.srcCat,_xlfn.SWITCH($I94,"Computer",_xlfn.XLOOKUP($K94&amp;"",COMPUTER!$B$3:$B$1009&amp;"",COMPUTER!$H$3:$H$1009,""),"Display",_xlfn.XLOOKUP($K94&amp;"",DISPLAY!$B$3:$B$1000&amp;"",DISPLAY!$H$3:$H$1000,""),"Network Device",_xlfn.XLOOKUP($K94&amp;"",'NETWORK-DEVICES'!$B$3:$B$987&amp;"",'NETWORK-DEVICES'!$H$3:$H$987,""),"Peripheral",_xlfn.XLOOKUP($K94&amp;"",PERIPHERAL!$B$3:$B$954&amp;"",PERIPHERAL!$H$3:$H$954,""),"Utilities",_xlfn.XLOOKUP($K94&amp;"",UTILITIES!$B$3:$B$953&amp;"",UTILITIES!$G$3:$G$953,""),"IOT",_xlfn.XLOOKUP($K94&amp;"",IOT!$B$3:$B$1012&amp;"",IOT!$H$3:$H$1012,""),"Server",_xlfn.XLOOKUP($K94&amp;"",SERVER!$B$3:$B$1009&amp;"",SERVER!$H$3:$H$1009,""),""),IF(TRIM(_xlpm.srcCat)&lt;&gt;TRIM($J94),"",_xlfn.SWITCH($I94,"Computer",_xlfn.XLOOKUP($K94&amp;"",COMPUTER!$B$3:$B$1009&amp;"",COMPUTER!$E$3:$E$1009,""),"Display",_xlfn.XLOOKUP($K94&amp;"",DISPLAY!$B$3:$B$1000&amp;"",DISPLAY!$E$3:$E$1000,""),"Network Device",_xlfn.XLOOKUP($K94&amp;"",'NETWORK-DEVICES'!$B$3:$B$987&amp;"",'NETWORK-DEVICES'!$E$3:$E$987,""),"Peripheral",_xlfn.XLOOKUP($K94&amp;"",PERIPHERAL!$B$3:$B$954&amp;"",PERIPHERAL!$E$3:$E$954,""),"Utilities",_xlfn.XLOOKUP($K94&amp;"",UTILITIES!$B$3:$B$953&amp;"",UTILITIES!$E$3:$E$953,""),"IOT",_xlfn.XLOOKUP($K94&amp;"",IOT!$B$3:$B$1012&amp;"",IOT!$E$3:$E$1012,""),"Server",_xlfn.XLOOKUP($K94&amp;"",SERVER!$B$3:$B$1009&amp;"",SERVER!$E$3:$E$1009,""),""))))</f>
        <v/>
      </c>
      <c r="Q94" s="1" t="str" cm="1">
        <f t="array" ref="Q94">IF(OR($K94="",$I94="",$J94=""),"",_xlfn.LET(_xlpm.srcCat,_xlfn.SWITCH($I94,"Computer",_xlfn.XLOOKUP($K94&amp;"",COMPUTER!$B$3:$B$1009&amp;"",COMPUTER!$H$3:$H$1009,""),"Display",_xlfn.XLOOKUP($K94&amp;"",DISPLAY!$B$3:$B$1000&amp;"",DISPLAY!$H$3:$H$1000,""),"Network Device",_xlfn.XLOOKUP($K94&amp;"",'NETWORK-DEVICES'!$B$3:$B$987&amp;"",'NETWORK-DEVICES'!$H$3:$H$987,""),"Peripheral",_xlfn.XLOOKUP($K94&amp;"",PERIPHERAL!$B$3:$B$954&amp;"",PERIPHERAL!$H$3:$H$954,""),"Utilities",_xlfn.XLOOKUP($K94&amp;"",UTILITIES!$B$3:$B$953&amp;"",UTILITIES!$G$3:$G$953,""),"IOT",_xlfn.XLOOKUP($K94&amp;"",IOT!$B$3:$B$1012&amp;"",IOT!$H$3:$H$1012,""),"Server",_xlfn.XLOOKUP($K94&amp;"",SERVER!$B$3:$B$1009&amp;"",SERVER!$H$3:$H$1009,""),""),IF(TRIM(_xlpm.srcCat)&lt;&gt;TRIM($J94),"",_xlfn.SWITCH($I94,"Computer",_xlfn.XLOOKUP($K94&amp;"",COMPUTER!$B$3:$B$1009&amp;"",COMPUTER!$AM$3:$AM$1009,""),"Display",_xlfn.XLOOKUP($K94&amp;"",DISPLAY!$B$3:$B$1000&amp;"",DISPLAY!$V$3:$V$1000,""),"Network Device",_xlfn.XLOOKUP($K94&amp;"",'NETWORK-DEVICES'!$B$3:$B$987&amp;"",'NETWORK-DEVICES'!$AF$3:$AF$987,""),"Peripheral",_xlfn.XLOOKUP($K94&amp;"",PERIPHERAL!$B$3:$B$954&amp;"",PERIPHERAL!$Y$3:$Y$954,""),"Utilities",_xlfn.XLOOKUP($K94&amp;"",UTILITIES!$B$3:$B$953&amp;"",UTILITIES!$O$3:$O$953,""),"IOT",_xlfn.XLOOKUP($K94&amp;"",IOT!$B$3:$B$1012&amp;"",IOT!$AB$3:$AB$1012,""),"Server",_xlfn.XLOOKUP($K94&amp;"",SERVER!$B$3:$B$1009&amp;"",SERVER!$AB$3:$AB$1009,""),""))))</f>
        <v/>
      </c>
      <c r="R94" s="43" t="str">
        <f>IF(tbl_handover[[#This Row],[Asset Code]]="","",COUNTIF(tbl_handover[Asset Code],tbl_handover[[#This Row],[Asset Code]]))</f>
        <v/>
      </c>
    </row>
    <row r="95" spans="1:18" x14ac:dyDescent="0.25">
      <c r="A95" s="43" t="str">
        <f>IF(B95&lt;&gt;"",SUBTOTAL(3,$B$1:B94),"")</f>
        <v/>
      </c>
      <c r="C95" s="74"/>
      <c r="D95" s="74"/>
      <c r="G95" s="1"/>
      <c r="K95" s="42"/>
      <c r="L95" t="str" cm="1">
        <f t="array" ref="L95">IF($K95="","",_xlfn.SWITCH($I95,"Computer",_xlfn.XLOOKUP($K95&amp;"",COMPUTER!$B$3:$B$1009&amp;"",COMPUTER!$I$3:$I$1009,""),"Display",_xlfn.XLOOKUP($K95&amp;"",DISPLAY!$B$3:$B$1000&amp;"",DISPLAY!$J$3:$J$1000,""),"Network Device",_xlfn.XLOOKUP($K95&amp;"",'NETWORK-DEVICES'!$B$3:$B$987&amp;"",'NETWORK-DEVICES'!$I$3:$I$987,""),"Peripheral",_xlfn.XLOOKUP($K95&amp;"",PERIPHERAL!$B$3:$B$954&amp;"",PERIPHERAL!$I$3:$I$954,""),"Utilities",_xlfn.XLOOKUP($K95&amp;"",UTILITIES!$B$3:$B$953&amp;"",UTILITIES!$H$3:$H$953,""),"IOT",_xlfn.XLOOKUP($K95&amp;"",IOT!$B$3:$B$1012&amp;"",IOT!$I$3:$I$1012,""),"SERVER",_xlfn.XLOOKUP($K95&amp;"",SERVER!$B$3:$B$1009&amp;"",SERVER!$I$3:$I$1009,""),""))</f>
        <v/>
      </c>
      <c r="M95" t="str" cm="1">
        <f t="array" ref="M95">IF($K95="","",_xlfn.SWITCH($I95,"Computer",_xlfn.XLOOKUP($K95&amp;"",COMPUTER!$B$3:$B$1009&amp;"",COMPUTER!$J$3:$J$1009,""),"Display",_xlfn.XLOOKUP($K95&amp;"",DISPLAY!$B$3:$B$1000&amp;"",DISPLAY!$K$3:$K$1000,""),"Network Device",_xlfn.XLOOKUP($K95&amp;"",'NETWORK-DEVICES'!$B$3:$B$987&amp;"",'NETWORK-DEVICES'!$I$3:$I$987,""),"Peripheral",_xlfn.XLOOKUP($K95&amp;"",PERIPHERAL!$B$3:$B$954&amp;"",PERIPHERAL!$J$3:$J$954,""),"Utilities",_xlfn.XLOOKUP($K95&amp;"",UTILITIES!$B$3:$B$953&amp;"",UTILITIES!$I$3:$I$953,""),"IOT",_xlfn.XLOOKUP($K95&amp;"",IOT!$B$3:$B$1012&amp;"",IOT!$J$3:$J$1012,""),"Server",_xlfn.XLOOKUP($K95&amp;"",SERVER!$B$3:$B$1009&amp;"",SERVER!$J$3:$J$1009,""),""))</f>
        <v/>
      </c>
      <c r="N95" s="1" t="str" cm="1">
        <f t="array" ref="N95">IF(OR($K95="",$I95="",$J95=""),"",_xlfn.LET(_xlpm.srcCat,_xlfn.SWITCH($I95,"Computer",_xlfn.XLOOKUP($K95&amp;"",COMPUTER!$B$3:$B$1009&amp;"",COMPUTER!$H$3:$H$1009,""),"Display",_xlfn.XLOOKUP($K95&amp;"",DISPLAY!$B$3:$B$1000&amp;"",DISPLAY!$H$3:$H$1000,""),"Network Device",_xlfn.XLOOKUP($K95&amp;"",'NETWORK-DEVICES'!$B$3:$B$987&amp;"",'NETWORK-DEVICES'!$H$3:$H$987,""),"Peripheral",_xlfn.XLOOKUP($K95&amp;"",PERIPHERAL!$B$3:$B$954&amp;"",PERIPHERAL!$H$3:$H$954,""),"Utilities",_xlfn.XLOOKUP($K95&amp;"",UTILITIES!$B$3:$B$953&amp;"",UTILITIES!$G$3:$G$953,""),"IOT",_xlfn.XLOOKUP($K95&amp;"",IOT!$B$3:$B$1012&amp;"",IOT!$H$3:$H$1012,""),"Server",_xlfn.XLOOKUP($K95&amp;"",SERVER!$B$3:$B$1009&amp;"",SERVER!$H$3:$H$1009,""),""),IF(TRIM(_xlpm.srcCat)&lt;&gt;TRIM($J95),"",_xlfn.SWITCH($I95,"Computer",_xlfn.XLOOKUP($K95&amp;"",COMPUTER!$B$3:$B$1009&amp;"",COMPUTER!$K$3:$K$1009,""),"Display",_xlfn.XLOOKUP($K95&amp;"",DISPLAY!$B$3:$B$1000&amp;"",DISPLAY!$L$3:$L$1000,""),"Network Device",_xlfn.XLOOKUP($K95&amp;"",'NETWORK-DEVICES'!$B$3:$B$987&amp;"",'NETWORK-DEVICES'!$K$3:$K$987,""),"Peripheral",_xlfn.XLOOKUP($K95&amp;"",PERIPHERAL!$B$3:$B$954&amp;"",PERIPHERAL!$K$3:$K$954,""),"Utilities",_xlfn.XLOOKUP($K95&amp;"",UTILITIES!$B$3:$B$953&amp;"",UTILITIES!$J$3:$J$953,""),"IOT",_xlfn.XLOOKUP($K95&amp;"",IOT!$B$3:$B$1012&amp;"",IOT!$K$4:$K$1012,""),"Server",_xlfn.XLOOKUP($K95&amp;"",SERVER!$B$3:$B$1009&amp;"",SERVER!$K$3:$K$1009,""),""))))</f>
        <v/>
      </c>
      <c r="O95" s="1" t="str" cm="1">
        <f t="array" ref="O95">IF(OR($K95="",$I95="",$J95=""),"",_xlfn.LET(_xlpm.srcCat,_xlfn.SWITCH($I95,"Computer",_xlfn.XLOOKUP($K95&amp;"",COMPUTER!$B$3:$B$1009&amp;"",COMPUTER!$H$3:$H$1009,""),"Display",_xlfn.XLOOKUP($K95&amp;"",DISPLAY!$B$3:$B$1000&amp;"",DISPLAY!$H$3:$H$1000,""),"Network Device",_xlfn.XLOOKUP($K95&amp;"",'NETWORK-DEVICES'!$B$3:$B$987&amp;"",'NETWORK-DEVICES'!$H$3:$H$987,""),"Peripheral",_xlfn.XLOOKUP($K95&amp;"",PERIPHERAL!$B$3:$B$954&amp;"",PERIPHERAL!$H$3:$H$954,""),"Utilities",_xlfn.XLOOKUP($K95&amp;"",UTILITIES!$B$3:$B$953&amp;"",UTILITIES!$G$3:$G$953,""),"IOT",_xlfn.XLOOKUP($K95&amp;"",IOT!$B$3:$B$1012&amp;"",IOT!$H$3:$H$1012,""),"Server",_xlfn.XLOOKUP($K95&amp;"",SERVER!$B$3:$B$1009&amp;"",SERVER!$H$3:$H$1009,""),""),IF(TRIM(_xlpm.srcCat)&lt;&gt;TRIM($J95),"",_xlfn.SWITCH($I95,"Computer",_xlfn.XLOOKUP($K95&amp;"",COMPUTER!$B$3:$B$1009&amp;"",COMPUTER!$E$3:$E$1009,""),"Display",_xlfn.XLOOKUP($K95&amp;"",DISPLAY!$B$3:$B$1000&amp;"",DISPLAY!$E$3:$E$1000,""),"Network Device",_xlfn.XLOOKUP($K95&amp;"",'NETWORK-DEVICES'!$B$3:$B$987&amp;"",'NETWORK-DEVICES'!$E$3:$E$987,""),"Peripheral",_xlfn.XLOOKUP($K95&amp;"",PERIPHERAL!$B$3:$B$954&amp;"",PERIPHERAL!$E$3:$E$954,""),"Utilities",_xlfn.XLOOKUP($K95&amp;"",UTILITIES!$B$3:$B$953&amp;"",UTILITIES!$E$3:$E$953,""),"IOT",_xlfn.XLOOKUP($K95&amp;"",IOT!$B$3:$B$1012&amp;"",IOT!$E$3:$E$1012,""),"Server",_xlfn.XLOOKUP($K95&amp;"",SERVER!$B$3:$B$1009&amp;"",SERVER!$E$3:$E$1009,""),""))))</f>
        <v/>
      </c>
      <c r="Q95" s="1" t="str" cm="1">
        <f t="array" ref="Q95">IF(OR($K95="",$I95="",$J95=""),"",_xlfn.LET(_xlpm.srcCat,_xlfn.SWITCH($I95,"Computer",_xlfn.XLOOKUP($K95&amp;"",COMPUTER!$B$3:$B$1009&amp;"",COMPUTER!$H$3:$H$1009,""),"Display",_xlfn.XLOOKUP($K95&amp;"",DISPLAY!$B$3:$B$1000&amp;"",DISPLAY!$H$3:$H$1000,""),"Network Device",_xlfn.XLOOKUP($K95&amp;"",'NETWORK-DEVICES'!$B$3:$B$987&amp;"",'NETWORK-DEVICES'!$H$3:$H$987,""),"Peripheral",_xlfn.XLOOKUP($K95&amp;"",PERIPHERAL!$B$3:$B$954&amp;"",PERIPHERAL!$H$3:$H$954,""),"Utilities",_xlfn.XLOOKUP($K95&amp;"",UTILITIES!$B$3:$B$953&amp;"",UTILITIES!$G$3:$G$953,""),"IOT",_xlfn.XLOOKUP($K95&amp;"",IOT!$B$3:$B$1012&amp;"",IOT!$H$3:$H$1012,""),"Server",_xlfn.XLOOKUP($K95&amp;"",SERVER!$B$3:$B$1009&amp;"",SERVER!$H$3:$H$1009,""),""),IF(TRIM(_xlpm.srcCat)&lt;&gt;TRIM($J95),"",_xlfn.SWITCH($I95,"Computer",_xlfn.XLOOKUP($K95&amp;"",COMPUTER!$B$3:$B$1009&amp;"",COMPUTER!$AM$3:$AM$1009,""),"Display",_xlfn.XLOOKUP($K95&amp;"",DISPLAY!$B$3:$B$1000&amp;"",DISPLAY!$V$3:$V$1000,""),"Network Device",_xlfn.XLOOKUP($K95&amp;"",'NETWORK-DEVICES'!$B$3:$B$987&amp;"",'NETWORK-DEVICES'!$AF$3:$AF$987,""),"Peripheral",_xlfn.XLOOKUP($K95&amp;"",PERIPHERAL!$B$3:$B$954&amp;"",PERIPHERAL!$Y$3:$Y$954,""),"Utilities",_xlfn.XLOOKUP($K95&amp;"",UTILITIES!$B$3:$B$953&amp;"",UTILITIES!$O$3:$O$953,""),"IOT",_xlfn.XLOOKUP($K95&amp;"",IOT!$B$3:$B$1012&amp;"",IOT!$AB$3:$AB$1012,""),"Server",_xlfn.XLOOKUP($K95&amp;"",SERVER!$B$3:$B$1009&amp;"",SERVER!$AB$3:$AB$1009,""),""))))</f>
        <v/>
      </c>
      <c r="R95" s="43" t="str">
        <f>IF(tbl_handover[[#This Row],[Asset Code]]="","",COUNTIF(tbl_handover[Asset Code],tbl_handover[[#This Row],[Asset Code]]))</f>
        <v/>
      </c>
    </row>
    <row r="96" spans="1:18" x14ac:dyDescent="0.25">
      <c r="A96" s="43" t="str">
        <f>IF(B96&lt;&gt;"",SUBTOTAL(3,$B$1:B95),"")</f>
        <v/>
      </c>
      <c r="C96" s="74"/>
      <c r="D96" s="74"/>
      <c r="G96" s="1"/>
      <c r="K96" s="42"/>
      <c r="L96" t="str" cm="1">
        <f t="array" ref="L96">IF($K96="","",_xlfn.SWITCH($I96,"Computer",_xlfn.XLOOKUP($K96&amp;"",COMPUTER!$B$3:$B$1009&amp;"",COMPUTER!$I$3:$I$1009,""),"Display",_xlfn.XLOOKUP($K96&amp;"",DISPLAY!$B$3:$B$1000&amp;"",DISPLAY!$J$3:$J$1000,""),"Network Device",_xlfn.XLOOKUP($K96&amp;"",'NETWORK-DEVICES'!$B$3:$B$987&amp;"",'NETWORK-DEVICES'!$I$3:$I$987,""),"Peripheral",_xlfn.XLOOKUP($K96&amp;"",PERIPHERAL!$B$3:$B$954&amp;"",PERIPHERAL!$I$3:$I$954,""),"Utilities",_xlfn.XLOOKUP($K96&amp;"",UTILITIES!$B$3:$B$953&amp;"",UTILITIES!$H$3:$H$953,""),"IOT",_xlfn.XLOOKUP($K96&amp;"",IOT!$B$3:$B$1012&amp;"",IOT!$I$3:$I$1012,""),"SERVER",_xlfn.XLOOKUP($K96&amp;"",SERVER!$B$3:$B$1009&amp;"",SERVER!$I$3:$I$1009,""),""))</f>
        <v/>
      </c>
      <c r="M96" t="str" cm="1">
        <f t="array" ref="M96">IF($K96="","",_xlfn.SWITCH($I96,"Computer",_xlfn.XLOOKUP($K96&amp;"",COMPUTER!$B$3:$B$1009&amp;"",COMPUTER!$J$3:$J$1009,""),"Display",_xlfn.XLOOKUP($K96&amp;"",DISPLAY!$B$3:$B$1000&amp;"",DISPLAY!$K$3:$K$1000,""),"Network Device",_xlfn.XLOOKUP($K96&amp;"",'NETWORK-DEVICES'!$B$3:$B$987&amp;"",'NETWORK-DEVICES'!$I$3:$I$987,""),"Peripheral",_xlfn.XLOOKUP($K96&amp;"",PERIPHERAL!$B$3:$B$954&amp;"",PERIPHERAL!$J$3:$J$954,""),"Utilities",_xlfn.XLOOKUP($K96&amp;"",UTILITIES!$B$3:$B$953&amp;"",UTILITIES!$I$3:$I$953,""),"IOT",_xlfn.XLOOKUP($K96&amp;"",IOT!$B$3:$B$1012&amp;"",IOT!$J$3:$J$1012,""),"Server",_xlfn.XLOOKUP($K96&amp;"",SERVER!$B$3:$B$1009&amp;"",SERVER!$J$3:$J$1009,""),""))</f>
        <v/>
      </c>
      <c r="N96" s="1" t="str" cm="1">
        <f t="array" ref="N96">IF(OR($K96="",$I96="",$J96=""),"",_xlfn.LET(_xlpm.srcCat,_xlfn.SWITCH($I96,"Computer",_xlfn.XLOOKUP($K96&amp;"",COMPUTER!$B$3:$B$1009&amp;"",COMPUTER!$H$3:$H$1009,""),"Display",_xlfn.XLOOKUP($K96&amp;"",DISPLAY!$B$3:$B$1000&amp;"",DISPLAY!$H$3:$H$1000,""),"Network Device",_xlfn.XLOOKUP($K96&amp;"",'NETWORK-DEVICES'!$B$3:$B$987&amp;"",'NETWORK-DEVICES'!$H$3:$H$987,""),"Peripheral",_xlfn.XLOOKUP($K96&amp;"",PERIPHERAL!$B$3:$B$954&amp;"",PERIPHERAL!$H$3:$H$954,""),"Utilities",_xlfn.XLOOKUP($K96&amp;"",UTILITIES!$B$3:$B$953&amp;"",UTILITIES!$G$3:$G$953,""),"IOT",_xlfn.XLOOKUP($K96&amp;"",IOT!$B$3:$B$1012&amp;"",IOT!$H$3:$H$1012,""),"Server",_xlfn.XLOOKUP($K96&amp;"",SERVER!$B$3:$B$1009&amp;"",SERVER!$H$3:$H$1009,""),""),IF(TRIM(_xlpm.srcCat)&lt;&gt;TRIM($J96),"",_xlfn.SWITCH($I96,"Computer",_xlfn.XLOOKUP($K96&amp;"",COMPUTER!$B$3:$B$1009&amp;"",COMPUTER!$K$3:$K$1009,""),"Display",_xlfn.XLOOKUP($K96&amp;"",DISPLAY!$B$3:$B$1000&amp;"",DISPLAY!$L$3:$L$1000,""),"Network Device",_xlfn.XLOOKUP($K96&amp;"",'NETWORK-DEVICES'!$B$3:$B$987&amp;"",'NETWORK-DEVICES'!$K$3:$K$987,""),"Peripheral",_xlfn.XLOOKUP($K96&amp;"",PERIPHERAL!$B$3:$B$954&amp;"",PERIPHERAL!$K$3:$K$954,""),"Utilities",_xlfn.XLOOKUP($K96&amp;"",UTILITIES!$B$3:$B$953&amp;"",UTILITIES!$J$3:$J$953,""),"IOT",_xlfn.XLOOKUP($K96&amp;"",IOT!$B$3:$B$1012&amp;"",IOT!$K$4:$K$1012,""),"Server",_xlfn.XLOOKUP($K96&amp;"",SERVER!$B$3:$B$1009&amp;"",SERVER!$K$3:$K$1009,""),""))))</f>
        <v/>
      </c>
      <c r="O96" s="1" t="str" cm="1">
        <f t="array" ref="O96">IF(OR($K96="",$I96="",$J96=""),"",_xlfn.LET(_xlpm.srcCat,_xlfn.SWITCH($I96,"Computer",_xlfn.XLOOKUP($K96&amp;"",COMPUTER!$B$3:$B$1009&amp;"",COMPUTER!$H$3:$H$1009,""),"Display",_xlfn.XLOOKUP($K96&amp;"",DISPLAY!$B$3:$B$1000&amp;"",DISPLAY!$H$3:$H$1000,""),"Network Device",_xlfn.XLOOKUP($K96&amp;"",'NETWORK-DEVICES'!$B$3:$B$987&amp;"",'NETWORK-DEVICES'!$H$3:$H$987,""),"Peripheral",_xlfn.XLOOKUP($K96&amp;"",PERIPHERAL!$B$3:$B$954&amp;"",PERIPHERAL!$H$3:$H$954,""),"Utilities",_xlfn.XLOOKUP($K96&amp;"",UTILITIES!$B$3:$B$953&amp;"",UTILITIES!$G$3:$G$953,""),"IOT",_xlfn.XLOOKUP($K96&amp;"",IOT!$B$3:$B$1012&amp;"",IOT!$H$3:$H$1012,""),"Server",_xlfn.XLOOKUP($K96&amp;"",SERVER!$B$3:$B$1009&amp;"",SERVER!$H$3:$H$1009,""),""),IF(TRIM(_xlpm.srcCat)&lt;&gt;TRIM($J96),"",_xlfn.SWITCH($I96,"Computer",_xlfn.XLOOKUP($K96&amp;"",COMPUTER!$B$3:$B$1009&amp;"",COMPUTER!$E$3:$E$1009,""),"Display",_xlfn.XLOOKUP($K96&amp;"",DISPLAY!$B$3:$B$1000&amp;"",DISPLAY!$E$3:$E$1000,""),"Network Device",_xlfn.XLOOKUP($K96&amp;"",'NETWORK-DEVICES'!$B$3:$B$987&amp;"",'NETWORK-DEVICES'!$E$3:$E$987,""),"Peripheral",_xlfn.XLOOKUP($K96&amp;"",PERIPHERAL!$B$3:$B$954&amp;"",PERIPHERAL!$E$3:$E$954,""),"Utilities",_xlfn.XLOOKUP($K96&amp;"",UTILITIES!$B$3:$B$953&amp;"",UTILITIES!$E$3:$E$953,""),"IOT",_xlfn.XLOOKUP($K96&amp;"",IOT!$B$3:$B$1012&amp;"",IOT!$E$3:$E$1012,""),"Server",_xlfn.XLOOKUP($K96&amp;"",SERVER!$B$3:$B$1009&amp;"",SERVER!$E$3:$E$1009,""),""))))</f>
        <v/>
      </c>
      <c r="Q96" s="1" t="str" cm="1">
        <f t="array" ref="Q96">IF(OR($K96="",$I96="",$J96=""),"",_xlfn.LET(_xlpm.srcCat,_xlfn.SWITCH($I96,"Computer",_xlfn.XLOOKUP($K96&amp;"",COMPUTER!$B$3:$B$1009&amp;"",COMPUTER!$H$3:$H$1009,""),"Display",_xlfn.XLOOKUP($K96&amp;"",DISPLAY!$B$3:$B$1000&amp;"",DISPLAY!$H$3:$H$1000,""),"Network Device",_xlfn.XLOOKUP($K96&amp;"",'NETWORK-DEVICES'!$B$3:$B$987&amp;"",'NETWORK-DEVICES'!$H$3:$H$987,""),"Peripheral",_xlfn.XLOOKUP($K96&amp;"",PERIPHERAL!$B$3:$B$954&amp;"",PERIPHERAL!$H$3:$H$954,""),"Utilities",_xlfn.XLOOKUP($K96&amp;"",UTILITIES!$B$3:$B$953&amp;"",UTILITIES!$G$3:$G$953,""),"IOT",_xlfn.XLOOKUP($K96&amp;"",IOT!$B$3:$B$1012&amp;"",IOT!$H$3:$H$1012,""),"Server",_xlfn.XLOOKUP($K96&amp;"",SERVER!$B$3:$B$1009&amp;"",SERVER!$H$3:$H$1009,""),""),IF(TRIM(_xlpm.srcCat)&lt;&gt;TRIM($J96),"",_xlfn.SWITCH($I96,"Computer",_xlfn.XLOOKUP($K96&amp;"",COMPUTER!$B$3:$B$1009&amp;"",COMPUTER!$AM$3:$AM$1009,""),"Display",_xlfn.XLOOKUP($K96&amp;"",DISPLAY!$B$3:$B$1000&amp;"",DISPLAY!$V$3:$V$1000,""),"Network Device",_xlfn.XLOOKUP($K96&amp;"",'NETWORK-DEVICES'!$B$3:$B$987&amp;"",'NETWORK-DEVICES'!$AF$3:$AF$987,""),"Peripheral",_xlfn.XLOOKUP($K96&amp;"",PERIPHERAL!$B$3:$B$954&amp;"",PERIPHERAL!$Y$3:$Y$954,""),"Utilities",_xlfn.XLOOKUP($K96&amp;"",UTILITIES!$B$3:$B$953&amp;"",UTILITIES!$O$3:$O$953,""),"IOT",_xlfn.XLOOKUP($K96&amp;"",IOT!$B$3:$B$1012&amp;"",IOT!$AB$3:$AB$1012,""),"Server",_xlfn.XLOOKUP($K96&amp;"",SERVER!$B$3:$B$1009&amp;"",SERVER!$AB$3:$AB$1009,""),""))))</f>
        <v/>
      </c>
      <c r="R96" s="43" t="str">
        <f>IF(tbl_handover[[#This Row],[Asset Code]]="","",COUNTIF(tbl_handover[Asset Code],tbl_handover[[#This Row],[Asset Code]]))</f>
        <v/>
      </c>
    </row>
    <row r="97" spans="1:18" x14ac:dyDescent="0.25">
      <c r="A97" s="43" t="str">
        <f>IF(B97&lt;&gt;"",SUBTOTAL(3,$B$1:B96),"")</f>
        <v/>
      </c>
      <c r="C97" s="74"/>
      <c r="D97" s="74"/>
      <c r="G97" s="1"/>
      <c r="K97" s="42"/>
      <c r="L97" t="str" cm="1">
        <f t="array" ref="L97">IF($K97="","",_xlfn.SWITCH($I97,"Computer",_xlfn.XLOOKUP($K97&amp;"",COMPUTER!$B$3:$B$1009&amp;"",COMPUTER!$I$3:$I$1009,""),"Display",_xlfn.XLOOKUP($K97&amp;"",DISPLAY!$B$3:$B$1000&amp;"",DISPLAY!$J$3:$J$1000,""),"Network Device",_xlfn.XLOOKUP($K97&amp;"",'NETWORK-DEVICES'!$B$3:$B$987&amp;"",'NETWORK-DEVICES'!$I$3:$I$987,""),"Peripheral",_xlfn.XLOOKUP($K97&amp;"",PERIPHERAL!$B$3:$B$954&amp;"",PERIPHERAL!$I$3:$I$954,""),"Utilities",_xlfn.XLOOKUP($K97&amp;"",UTILITIES!$B$3:$B$953&amp;"",UTILITIES!$H$3:$H$953,""),"IOT",_xlfn.XLOOKUP($K97&amp;"",IOT!$B$3:$B$1012&amp;"",IOT!$I$3:$I$1012,""),"SERVER",_xlfn.XLOOKUP($K97&amp;"",SERVER!$B$3:$B$1009&amp;"",SERVER!$I$3:$I$1009,""),""))</f>
        <v/>
      </c>
      <c r="M97" t="str" cm="1">
        <f t="array" ref="M97">IF($K97="","",_xlfn.SWITCH($I97,"Computer",_xlfn.XLOOKUP($K97&amp;"",COMPUTER!$B$3:$B$1009&amp;"",COMPUTER!$J$3:$J$1009,""),"Display",_xlfn.XLOOKUP($K97&amp;"",DISPLAY!$B$3:$B$1000&amp;"",DISPLAY!$K$3:$K$1000,""),"Network Device",_xlfn.XLOOKUP($K97&amp;"",'NETWORK-DEVICES'!$B$3:$B$987&amp;"",'NETWORK-DEVICES'!$I$3:$I$987,""),"Peripheral",_xlfn.XLOOKUP($K97&amp;"",PERIPHERAL!$B$3:$B$954&amp;"",PERIPHERAL!$J$3:$J$954,""),"Utilities",_xlfn.XLOOKUP($K97&amp;"",UTILITIES!$B$3:$B$953&amp;"",UTILITIES!$I$3:$I$953,""),"IOT",_xlfn.XLOOKUP($K97&amp;"",IOT!$B$3:$B$1012&amp;"",IOT!$J$3:$J$1012,""),"Server",_xlfn.XLOOKUP($K97&amp;"",SERVER!$B$3:$B$1009&amp;"",SERVER!$J$3:$J$1009,""),""))</f>
        <v/>
      </c>
      <c r="N97" s="1" t="str" cm="1">
        <f t="array" ref="N97">IF(OR($K97="",$I97="",$J97=""),"",_xlfn.LET(_xlpm.srcCat,_xlfn.SWITCH($I97,"Computer",_xlfn.XLOOKUP($K97&amp;"",COMPUTER!$B$3:$B$1009&amp;"",COMPUTER!$H$3:$H$1009,""),"Display",_xlfn.XLOOKUP($K97&amp;"",DISPLAY!$B$3:$B$1000&amp;"",DISPLAY!$H$3:$H$1000,""),"Network Device",_xlfn.XLOOKUP($K97&amp;"",'NETWORK-DEVICES'!$B$3:$B$987&amp;"",'NETWORK-DEVICES'!$H$3:$H$987,""),"Peripheral",_xlfn.XLOOKUP($K97&amp;"",PERIPHERAL!$B$3:$B$954&amp;"",PERIPHERAL!$H$3:$H$954,""),"Utilities",_xlfn.XLOOKUP($K97&amp;"",UTILITIES!$B$3:$B$953&amp;"",UTILITIES!$G$3:$G$953,""),"IOT",_xlfn.XLOOKUP($K97&amp;"",IOT!$B$3:$B$1012&amp;"",IOT!$H$3:$H$1012,""),"Server",_xlfn.XLOOKUP($K97&amp;"",SERVER!$B$3:$B$1009&amp;"",SERVER!$H$3:$H$1009,""),""),IF(TRIM(_xlpm.srcCat)&lt;&gt;TRIM($J97),"",_xlfn.SWITCH($I97,"Computer",_xlfn.XLOOKUP($K97&amp;"",COMPUTER!$B$3:$B$1009&amp;"",COMPUTER!$K$3:$K$1009,""),"Display",_xlfn.XLOOKUP($K97&amp;"",DISPLAY!$B$3:$B$1000&amp;"",DISPLAY!$L$3:$L$1000,""),"Network Device",_xlfn.XLOOKUP($K97&amp;"",'NETWORK-DEVICES'!$B$3:$B$987&amp;"",'NETWORK-DEVICES'!$K$3:$K$987,""),"Peripheral",_xlfn.XLOOKUP($K97&amp;"",PERIPHERAL!$B$3:$B$954&amp;"",PERIPHERAL!$K$3:$K$954,""),"Utilities",_xlfn.XLOOKUP($K97&amp;"",UTILITIES!$B$3:$B$953&amp;"",UTILITIES!$J$3:$J$953,""),"IOT",_xlfn.XLOOKUP($K97&amp;"",IOT!$B$3:$B$1012&amp;"",IOT!$K$4:$K$1012,""),"Server",_xlfn.XLOOKUP($K97&amp;"",SERVER!$B$3:$B$1009&amp;"",SERVER!$K$3:$K$1009,""),""))))</f>
        <v/>
      </c>
      <c r="O97" s="1" t="str" cm="1">
        <f t="array" ref="O97">IF(OR($K97="",$I97="",$J97=""),"",_xlfn.LET(_xlpm.srcCat,_xlfn.SWITCH($I97,"Computer",_xlfn.XLOOKUP($K97&amp;"",COMPUTER!$B$3:$B$1009&amp;"",COMPUTER!$H$3:$H$1009,""),"Display",_xlfn.XLOOKUP($K97&amp;"",DISPLAY!$B$3:$B$1000&amp;"",DISPLAY!$H$3:$H$1000,""),"Network Device",_xlfn.XLOOKUP($K97&amp;"",'NETWORK-DEVICES'!$B$3:$B$987&amp;"",'NETWORK-DEVICES'!$H$3:$H$987,""),"Peripheral",_xlfn.XLOOKUP($K97&amp;"",PERIPHERAL!$B$3:$B$954&amp;"",PERIPHERAL!$H$3:$H$954,""),"Utilities",_xlfn.XLOOKUP($K97&amp;"",UTILITIES!$B$3:$B$953&amp;"",UTILITIES!$G$3:$G$953,""),"IOT",_xlfn.XLOOKUP($K97&amp;"",IOT!$B$3:$B$1012&amp;"",IOT!$H$3:$H$1012,""),"Server",_xlfn.XLOOKUP($K97&amp;"",SERVER!$B$3:$B$1009&amp;"",SERVER!$H$3:$H$1009,""),""),IF(TRIM(_xlpm.srcCat)&lt;&gt;TRIM($J97),"",_xlfn.SWITCH($I97,"Computer",_xlfn.XLOOKUP($K97&amp;"",COMPUTER!$B$3:$B$1009&amp;"",COMPUTER!$E$3:$E$1009,""),"Display",_xlfn.XLOOKUP($K97&amp;"",DISPLAY!$B$3:$B$1000&amp;"",DISPLAY!$E$3:$E$1000,""),"Network Device",_xlfn.XLOOKUP($K97&amp;"",'NETWORK-DEVICES'!$B$3:$B$987&amp;"",'NETWORK-DEVICES'!$E$3:$E$987,""),"Peripheral",_xlfn.XLOOKUP($K97&amp;"",PERIPHERAL!$B$3:$B$954&amp;"",PERIPHERAL!$E$3:$E$954,""),"Utilities",_xlfn.XLOOKUP($K97&amp;"",UTILITIES!$B$3:$B$953&amp;"",UTILITIES!$E$3:$E$953,""),"IOT",_xlfn.XLOOKUP($K97&amp;"",IOT!$B$3:$B$1012&amp;"",IOT!$E$3:$E$1012,""),"Server",_xlfn.XLOOKUP($K97&amp;"",SERVER!$B$3:$B$1009&amp;"",SERVER!$E$3:$E$1009,""),""))))</f>
        <v/>
      </c>
      <c r="Q97" s="1" t="str" cm="1">
        <f t="array" ref="Q97">IF(OR($K97="",$I97="",$J97=""),"",_xlfn.LET(_xlpm.srcCat,_xlfn.SWITCH($I97,"Computer",_xlfn.XLOOKUP($K97&amp;"",COMPUTER!$B$3:$B$1009&amp;"",COMPUTER!$H$3:$H$1009,""),"Display",_xlfn.XLOOKUP($K97&amp;"",DISPLAY!$B$3:$B$1000&amp;"",DISPLAY!$H$3:$H$1000,""),"Network Device",_xlfn.XLOOKUP($K97&amp;"",'NETWORK-DEVICES'!$B$3:$B$987&amp;"",'NETWORK-DEVICES'!$H$3:$H$987,""),"Peripheral",_xlfn.XLOOKUP($K97&amp;"",PERIPHERAL!$B$3:$B$954&amp;"",PERIPHERAL!$H$3:$H$954,""),"Utilities",_xlfn.XLOOKUP($K97&amp;"",UTILITIES!$B$3:$B$953&amp;"",UTILITIES!$G$3:$G$953,""),"IOT",_xlfn.XLOOKUP($K97&amp;"",IOT!$B$3:$B$1012&amp;"",IOT!$H$3:$H$1012,""),"Server",_xlfn.XLOOKUP($K97&amp;"",SERVER!$B$3:$B$1009&amp;"",SERVER!$H$3:$H$1009,""),""),IF(TRIM(_xlpm.srcCat)&lt;&gt;TRIM($J97),"",_xlfn.SWITCH($I97,"Computer",_xlfn.XLOOKUP($K97&amp;"",COMPUTER!$B$3:$B$1009&amp;"",COMPUTER!$AM$3:$AM$1009,""),"Display",_xlfn.XLOOKUP($K97&amp;"",DISPLAY!$B$3:$B$1000&amp;"",DISPLAY!$V$3:$V$1000,""),"Network Device",_xlfn.XLOOKUP($K97&amp;"",'NETWORK-DEVICES'!$B$3:$B$987&amp;"",'NETWORK-DEVICES'!$AF$3:$AF$987,""),"Peripheral",_xlfn.XLOOKUP($K97&amp;"",PERIPHERAL!$B$3:$B$954&amp;"",PERIPHERAL!$Y$3:$Y$954,""),"Utilities",_xlfn.XLOOKUP($K97&amp;"",UTILITIES!$B$3:$B$953&amp;"",UTILITIES!$O$3:$O$953,""),"IOT",_xlfn.XLOOKUP($K97&amp;"",IOT!$B$3:$B$1012&amp;"",IOT!$AB$3:$AB$1012,""),"Server",_xlfn.XLOOKUP($K97&amp;"",SERVER!$B$3:$B$1009&amp;"",SERVER!$AB$3:$AB$1009,""),""))))</f>
        <v/>
      </c>
      <c r="R97" s="43" t="str">
        <f>IF(tbl_handover[[#This Row],[Asset Code]]="","",COUNTIF(tbl_handover[Asset Code],tbl_handover[[#This Row],[Asset Code]]))</f>
        <v/>
      </c>
    </row>
    <row r="98" spans="1:18" x14ac:dyDescent="0.25">
      <c r="A98" s="43" t="str">
        <f>IF(B98&lt;&gt;"",SUBTOTAL(3,$B$1:B97),"")</f>
        <v/>
      </c>
      <c r="C98" s="74"/>
      <c r="D98" s="74"/>
      <c r="G98" s="1"/>
      <c r="K98" s="42"/>
      <c r="L98" t="str" cm="1">
        <f t="array" ref="L98">IF($K98="","",_xlfn.SWITCH($I98,"Computer",_xlfn.XLOOKUP($K98&amp;"",COMPUTER!$B$3:$B$1009&amp;"",COMPUTER!$I$3:$I$1009,""),"Display",_xlfn.XLOOKUP($K98&amp;"",DISPLAY!$B$3:$B$1000&amp;"",DISPLAY!$J$3:$J$1000,""),"Network Device",_xlfn.XLOOKUP($K98&amp;"",'NETWORK-DEVICES'!$B$3:$B$987&amp;"",'NETWORK-DEVICES'!$I$3:$I$987,""),"Peripheral",_xlfn.XLOOKUP($K98&amp;"",PERIPHERAL!$B$3:$B$954&amp;"",PERIPHERAL!$I$3:$I$954,""),"Utilities",_xlfn.XLOOKUP($K98&amp;"",UTILITIES!$B$3:$B$953&amp;"",UTILITIES!$H$3:$H$953,""),"IOT",_xlfn.XLOOKUP($K98&amp;"",IOT!$B$3:$B$1012&amp;"",IOT!$I$3:$I$1012,""),"SERVER",_xlfn.XLOOKUP($K98&amp;"",SERVER!$B$3:$B$1009&amp;"",SERVER!$I$3:$I$1009,""),""))</f>
        <v/>
      </c>
      <c r="M98" t="str" cm="1">
        <f t="array" ref="M98">IF($K98="","",_xlfn.SWITCH($I98,"Computer",_xlfn.XLOOKUP($K98&amp;"",COMPUTER!$B$3:$B$1009&amp;"",COMPUTER!$J$3:$J$1009,""),"Display",_xlfn.XLOOKUP($K98&amp;"",DISPLAY!$B$3:$B$1000&amp;"",DISPLAY!$K$3:$K$1000,""),"Network Device",_xlfn.XLOOKUP($K98&amp;"",'NETWORK-DEVICES'!$B$3:$B$987&amp;"",'NETWORK-DEVICES'!$I$3:$I$987,""),"Peripheral",_xlfn.XLOOKUP($K98&amp;"",PERIPHERAL!$B$3:$B$954&amp;"",PERIPHERAL!$J$3:$J$954,""),"Utilities",_xlfn.XLOOKUP($K98&amp;"",UTILITIES!$B$3:$B$953&amp;"",UTILITIES!$I$3:$I$953,""),"IOT",_xlfn.XLOOKUP($K98&amp;"",IOT!$B$3:$B$1012&amp;"",IOT!$J$3:$J$1012,""),"Server",_xlfn.XLOOKUP($K98&amp;"",SERVER!$B$3:$B$1009&amp;"",SERVER!$J$3:$J$1009,""),""))</f>
        <v/>
      </c>
      <c r="N98" s="1" t="str" cm="1">
        <f t="array" ref="N98">IF(OR($K98="",$I98="",$J98=""),"",_xlfn.LET(_xlpm.srcCat,_xlfn.SWITCH($I98,"Computer",_xlfn.XLOOKUP($K98&amp;"",COMPUTER!$B$3:$B$1009&amp;"",COMPUTER!$H$3:$H$1009,""),"Display",_xlfn.XLOOKUP($K98&amp;"",DISPLAY!$B$3:$B$1000&amp;"",DISPLAY!$H$3:$H$1000,""),"Network Device",_xlfn.XLOOKUP($K98&amp;"",'NETWORK-DEVICES'!$B$3:$B$987&amp;"",'NETWORK-DEVICES'!$H$3:$H$987,""),"Peripheral",_xlfn.XLOOKUP($K98&amp;"",PERIPHERAL!$B$3:$B$954&amp;"",PERIPHERAL!$H$3:$H$954,""),"Utilities",_xlfn.XLOOKUP($K98&amp;"",UTILITIES!$B$3:$B$953&amp;"",UTILITIES!$G$3:$G$953,""),"IOT",_xlfn.XLOOKUP($K98&amp;"",IOT!$B$3:$B$1012&amp;"",IOT!$H$3:$H$1012,""),"Server",_xlfn.XLOOKUP($K98&amp;"",SERVER!$B$3:$B$1009&amp;"",SERVER!$H$3:$H$1009,""),""),IF(TRIM(_xlpm.srcCat)&lt;&gt;TRIM($J98),"",_xlfn.SWITCH($I98,"Computer",_xlfn.XLOOKUP($K98&amp;"",COMPUTER!$B$3:$B$1009&amp;"",COMPUTER!$K$3:$K$1009,""),"Display",_xlfn.XLOOKUP($K98&amp;"",DISPLAY!$B$3:$B$1000&amp;"",DISPLAY!$L$3:$L$1000,""),"Network Device",_xlfn.XLOOKUP($K98&amp;"",'NETWORK-DEVICES'!$B$3:$B$987&amp;"",'NETWORK-DEVICES'!$K$3:$K$987,""),"Peripheral",_xlfn.XLOOKUP($K98&amp;"",PERIPHERAL!$B$3:$B$954&amp;"",PERIPHERAL!$K$3:$K$954,""),"Utilities",_xlfn.XLOOKUP($K98&amp;"",UTILITIES!$B$3:$B$953&amp;"",UTILITIES!$J$3:$J$953,""),"IOT",_xlfn.XLOOKUP($K98&amp;"",IOT!$B$3:$B$1012&amp;"",IOT!$K$4:$K$1012,""),"Server",_xlfn.XLOOKUP($K98&amp;"",SERVER!$B$3:$B$1009&amp;"",SERVER!$K$3:$K$1009,""),""))))</f>
        <v/>
      </c>
      <c r="O98" s="1" t="str" cm="1">
        <f t="array" ref="O98">IF(OR($K98="",$I98="",$J98=""),"",_xlfn.LET(_xlpm.srcCat,_xlfn.SWITCH($I98,"Computer",_xlfn.XLOOKUP($K98&amp;"",COMPUTER!$B$3:$B$1009&amp;"",COMPUTER!$H$3:$H$1009,""),"Display",_xlfn.XLOOKUP($K98&amp;"",DISPLAY!$B$3:$B$1000&amp;"",DISPLAY!$H$3:$H$1000,""),"Network Device",_xlfn.XLOOKUP($K98&amp;"",'NETWORK-DEVICES'!$B$3:$B$987&amp;"",'NETWORK-DEVICES'!$H$3:$H$987,""),"Peripheral",_xlfn.XLOOKUP($K98&amp;"",PERIPHERAL!$B$3:$B$954&amp;"",PERIPHERAL!$H$3:$H$954,""),"Utilities",_xlfn.XLOOKUP($K98&amp;"",UTILITIES!$B$3:$B$953&amp;"",UTILITIES!$G$3:$G$953,""),"IOT",_xlfn.XLOOKUP($K98&amp;"",IOT!$B$3:$B$1012&amp;"",IOT!$H$3:$H$1012,""),"Server",_xlfn.XLOOKUP($K98&amp;"",SERVER!$B$3:$B$1009&amp;"",SERVER!$H$3:$H$1009,""),""),IF(TRIM(_xlpm.srcCat)&lt;&gt;TRIM($J98),"",_xlfn.SWITCH($I98,"Computer",_xlfn.XLOOKUP($K98&amp;"",COMPUTER!$B$3:$B$1009&amp;"",COMPUTER!$E$3:$E$1009,""),"Display",_xlfn.XLOOKUP($K98&amp;"",DISPLAY!$B$3:$B$1000&amp;"",DISPLAY!$E$3:$E$1000,""),"Network Device",_xlfn.XLOOKUP($K98&amp;"",'NETWORK-DEVICES'!$B$3:$B$987&amp;"",'NETWORK-DEVICES'!$E$3:$E$987,""),"Peripheral",_xlfn.XLOOKUP($K98&amp;"",PERIPHERAL!$B$3:$B$954&amp;"",PERIPHERAL!$E$3:$E$954,""),"Utilities",_xlfn.XLOOKUP($K98&amp;"",UTILITIES!$B$3:$B$953&amp;"",UTILITIES!$E$3:$E$953,""),"IOT",_xlfn.XLOOKUP($K98&amp;"",IOT!$B$3:$B$1012&amp;"",IOT!$E$3:$E$1012,""),"Server",_xlfn.XLOOKUP($K98&amp;"",SERVER!$B$3:$B$1009&amp;"",SERVER!$E$3:$E$1009,""),""))))</f>
        <v/>
      </c>
      <c r="Q98" s="1" t="str" cm="1">
        <f t="array" ref="Q98">IF(OR($K98="",$I98="",$J98=""),"",_xlfn.LET(_xlpm.srcCat,_xlfn.SWITCH($I98,"Computer",_xlfn.XLOOKUP($K98&amp;"",COMPUTER!$B$3:$B$1009&amp;"",COMPUTER!$H$3:$H$1009,""),"Display",_xlfn.XLOOKUP($K98&amp;"",DISPLAY!$B$3:$B$1000&amp;"",DISPLAY!$H$3:$H$1000,""),"Network Device",_xlfn.XLOOKUP($K98&amp;"",'NETWORK-DEVICES'!$B$3:$B$987&amp;"",'NETWORK-DEVICES'!$H$3:$H$987,""),"Peripheral",_xlfn.XLOOKUP($K98&amp;"",PERIPHERAL!$B$3:$B$954&amp;"",PERIPHERAL!$H$3:$H$954,""),"Utilities",_xlfn.XLOOKUP($K98&amp;"",UTILITIES!$B$3:$B$953&amp;"",UTILITIES!$G$3:$G$953,""),"IOT",_xlfn.XLOOKUP($K98&amp;"",IOT!$B$3:$B$1012&amp;"",IOT!$H$3:$H$1012,""),"Server",_xlfn.XLOOKUP($K98&amp;"",SERVER!$B$3:$B$1009&amp;"",SERVER!$H$3:$H$1009,""),""),IF(TRIM(_xlpm.srcCat)&lt;&gt;TRIM($J98),"",_xlfn.SWITCH($I98,"Computer",_xlfn.XLOOKUP($K98&amp;"",COMPUTER!$B$3:$B$1009&amp;"",COMPUTER!$AM$3:$AM$1009,""),"Display",_xlfn.XLOOKUP($K98&amp;"",DISPLAY!$B$3:$B$1000&amp;"",DISPLAY!$V$3:$V$1000,""),"Network Device",_xlfn.XLOOKUP($K98&amp;"",'NETWORK-DEVICES'!$B$3:$B$987&amp;"",'NETWORK-DEVICES'!$AF$3:$AF$987,""),"Peripheral",_xlfn.XLOOKUP($K98&amp;"",PERIPHERAL!$B$3:$B$954&amp;"",PERIPHERAL!$Y$3:$Y$954,""),"Utilities",_xlfn.XLOOKUP($K98&amp;"",UTILITIES!$B$3:$B$953&amp;"",UTILITIES!$O$3:$O$953,""),"IOT",_xlfn.XLOOKUP($K98&amp;"",IOT!$B$3:$B$1012&amp;"",IOT!$AB$3:$AB$1012,""),"Server",_xlfn.XLOOKUP($K98&amp;"",SERVER!$B$3:$B$1009&amp;"",SERVER!$AB$3:$AB$1009,""),""))))</f>
        <v/>
      </c>
      <c r="R98" s="43" t="str">
        <f>IF(tbl_handover[[#This Row],[Asset Code]]="","",COUNTIF(tbl_handover[Asset Code],tbl_handover[[#This Row],[Asset Code]]))</f>
        <v/>
      </c>
    </row>
    <row r="99" spans="1:18" x14ac:dyDescent="0.25">
      <c r="A99" s="43" t="str">
        <f>IF(B99&lt;&gt;"",SUBTOTAL(3,$B$1:B98),"")</f>
        <v/>
      </c>
      <c r="C99" s="74"/>
      <c r="D99" s="74"/>
      <c r="G99" s="1"/>
      <c r="K99" s="42"/>
      <c r="L99" t="str" cm="1">
        <f t="array" ref="L99">IF($K99="","",_xlfn.SWITCH($I99,"Computer",_xlfn.XLOOKUP($K99&amp;"",COMPUTER!$B$3:$B$1009&amp;"",COMPUTER!$I$3:$I$1009,""),"Display",_xlfn.XLOOKUP($K99&amp;"",DISPLAY!$B$3:$B$1000&amp;"",DISPLAY!$J$3:$J$1000,""),"Network Device",_xlfn.XLOOKUP($K99&amp;"",'NETWORK-DEVICES'!$B$3:$B$987&amp;"",'NETWORK-DEVICES'!$I$3:$I$987,""),"Peripheral",_xlfn.XLOOKUP($K99&amp;"",PERIPHERAL!$B$3:$B$954&amp;"",PERIPHERAL!$I$3:$I$954,""),"Utilities",_xlfn.XLOOKUP($K99&amp;"",UTILITIES!$B$3:$B$953&amp;"",UTILITIES!$H$3:$H$953,""),"IOT",_xlfn.XLOOKUP($K99&amp;"",IOT!$B$3:$B$1012&amp;"",IOT!$I$3:$I$1012,""),"SERVER",_xlfn.XLOOKUP($K99&amp;"",SERVER!$B$3:$B$1009&amp;"",SERVER!$I$3:$I$1009,""),""))</f>
        <v/>
      </c>
      <c r="M99" t="str" cm="1">
        <f t="array" ref="M99">IF($K99="","",_xlfn.SWITCH($I99,"Computer",_xlfn.XLOOKUP($K99&amp;"",COMPUTER!$B$3:$B$1009&amp;"",COMPUTER!$J$3:$J$1009,""),"Display",_xlfn.XLOOKUP($K99&amp;"",DISPLAY!$B$3:$B$1000&amp;"",DISPLAY!$K$3:$K$1000,""),"Network Device",_xlfn.XLOOKUP($K99&amp;"",'NETWORK-DEVICES'!$B$3:$B$987&amp;"",'NETWORK-DEVICES'!$I$3:$I$987,""),"Peripheral",_xlfn.XLOOKUP($K99&amp;"",PERIPHERAL!$B$3:$B$954&amp;"",PERIPHERAL!$J$3:$J$954,""),"Utilities",_xlfn.XLOOKUP($K99&amp;"",UTILITIES!$B$3:$B$953&amp;"",UTILITIES!$I$3:$I$953,""),"IOT",_xlfn.XLOOKUP($K99&amp;"",IOT!$B$3:$B$1012&amp;"",IOT!$J$3:$J$1012,""),"Server",_xlfn.XLOOKUP($K99&amp;"",SERVER!$B$3:$B$1009&amp;"",SERVER!$J$3:$J$1009,""),""))</f>
        <v/>
      </c>
      <c r="N99" s="1" t="str" cm="1">
        <f t="array" ref="N99">IF(OR($K99="",$I99="",$J99=""),"",_xlfn.LET(_xlpm.srcCat,_xlfn.SWITCH($I99,"Computer",_xlfn.XLOOKUP($K99&amp;"",COMPUTER!$B$3:$B$1009&amp;"",COMPUTER!$H$3:$H$1009,""),"Display",_xlfn.XLOOKUP($K99&amp;"",DISPLAY!$B$3:$B$1000&amp;"",DISPLAY!$H$3:$H$1000,""),"Network Device",_xlfn.XLOOKUP($K99&amp;"",'NETWORK-DEVICES'!$B$3:$B$987&amp;"",'NETWORK-DEVICES'!$H$3:$H$987,""),"Peripheral",_xlfn.XLOOKUP($K99&amp;"",PERIPHERAL!$B$3:$B$954&amp;"",PERIPHERAL!$H$3:$H$954,""),"Utilities",_xlfn.XLOOKUP($K99&amp;"",UTILITIES!$B$3:$B$953&amp;"",UTILITIES!$G$3:$G$953,""),"IOT",_xlfn.XLOOKUP($K99&amp;"",IOT!$B$3:$B$1012&amp;"",IOT!$H$3:$H$1012,""),"Server",_xlfn.XLOOKUP($K99&amp;"",SERVER!$B$3:$B$1009&amp;"",SERVER!$H$3:$H$1009,""),""),IF(TRIM(_xlpm.srcCat)&lt;&gt;TRIM($J99),"",_xlfn.SWITCH($I99,"Computer",_xlfn.XLOOKUP($K99&amp;"",COMPUTER!$B$3:$B$1009&amp;"",COMPUTER!$K$3:$K$1009,""),"Display",_xlfn.XLOOKUP($K99&amp;"",DISPLAY!$B$3:$B$1000&amp;"",DISPLAY!$L$3:$L$1000,""),"Network Device",_xlfn.XLOOKUP($K99&amp;"",'NETWORK-DEVICES'!$B$3:$B$987&amp;"",'NETWORK-DEVICES'!$K$3:$K$987,""),"Peripheral",_xlfn.XLOOKUP($K99&amp;"",PERIPHERAL!$B$3:$B$954&amp;"",PERIPHERAL!$K$3:$K$954,""),"Utilities",_xlfn.XLOOKUP($K99&amp;"",UTILITIES!$B$3:$B$953&amp;"",UTILITIES!$J$3:$J$953,""),"IOT",_xlfn.XLOOKUP($K99&amp;"",IOT!$B$3:$B$1012&amp;"",IOT!$K$4:$K$1012,""),"Server",_xlfn.XLOOKUP($K99&amp;"",SERVER!$B$3:$B$1009&amp;"",SERVER!$K$3:$K$1009,""),""))))</f>
        <v/>
      </c>
      <c r="O99" s="1" t="str" cm="1">
        <f t="array" ref="O99">IF(OR($K99="",$I99="",$J99=""),"",_xlfn.LET(_xlpm.srcCat,_xlfn.SWITCH($I99,"Computer",_xlfn.XLOOKUP($K99&amp;"",COMPUTER!$B$3:$B$1009&amp;"",COMPUTER!$H$3:$H$1009,""),"Display",_xlfn.XLOOKUP($K99&amp;"",DISPLAY!$B$3:$B$1000&amp;"",DISPLAY!$H$3:$H$1000,""),"Network Device",_xlfn.XLOOKUP($K99&amp;"",'NETWORK-DEVICES'!$B$3:$B$987&amp;"",'NETWORK-DEVICES'!$H$3:$H$987,""),"Peripheral",_xlfn.XLOOKUP($K99&amp;"",PERIPHERAL!$B$3:$B$954&amp;"",PERIPHERAL!$H$3:$H$954,""),"Utilities",_xlfn.XLOOKUP($K99&amp;"",UTILITIES!$B$3:$B$953&amp;"",UTILITIES!$G$3:$G$953,""),"IOT",_xlfn.XLOOKUP($K99&amp;"",IOT!$B$3:$B$1012&amp;"",IOT!$H$3:$H$1012,""),"Server",_xlfn.XLOOKUP($K99&amp;"",SERVER!$B$3:$B$1009&amp;"",SERVER!$H$3:$H$1009,""),""),IF(TRIM(_xlpm.srcCat)&lt;&gt;TRIM($J99),"",_xlfn.SWITCH($I99,"Computer",_xlfn.XLOOKUP($K99&amp;"",COMPUTER!$B$3:$B$1009&amp;"",COMPUTER!$E$3:$E$1009,""),"Display",_xlfn.XLOOKUP($K99&amp;"",DISPLAY!$B$3:$B$1000&amp;"",DISPLAY!$E$3:$E$1000,""),"Network Device",_xlfn.XLOOKUP($K99&amp;"",'NETWORK-DEVICES'!$B$3:$B$987&amp;"",'NETWORK-DEVICES'!$E$3:$E$987,""),"Peripheral",_xlfn.XLOOKUP($K99&amp;"",PERIPHERAL!$B$3:$B$954&amp;"",PERIPHERAL!$E$3:$E$954,""),"Utilities",_xlfn.XLOOKUP($K99&amp;"",UTILITIES!$B$3:$B$953&amp;"",UTILITIES!$E$3:$E$953,""),"IOT",_xlfn.XLOOKUP($K99&amp;"",IOT!$B$3:$B$1012&amp;"",IOT!$E$3:$E$1012,""),"Server",_xlfn.XLOOKUP($K99&amp;"",SERVER!$B$3:$B$1009&amp;"",SERVER!$E$3:$E$1009,""),""))))</f>
        <v/>
      </c>
      <c r="Q99" s="1" t="str" cm="1">
        <f t="array" ref="Q99">IF(OR($K99="",$I99="",$J99=""),"",_xlfn.LET(_xlpm.srcCat,_xlfn.SWITCH($I99,"Computer",_xlfn.XLOOKUP($K99&amp;"",COMPUTER!$B$3:$B$1009&amp;"",COMPUTER!$H$3:$H$1009,""),"Display",_xlfn.XLOOKUP($K99&amp;"",DISPLAY!$B$3:$B$1000&amp;"",DISPLAY!$H$3:$H$1000,""),"Network Device",_xlfn.XLOOKUP($K99&amp;"",'NETWORK-DEVICES'!$B$3:$B$987&amp;"",'NETWORK-DEVICES'!$H$3:$H$987,""),"Peripheral",_xlfn.XLOOKUP($K99&amp;"",PERIPHERAL!$B$3:$B$954&amp;"",PERIPHERAL!$H$3:$H$954,""),"Utilities",_xlfn.XLOOKUP($K99&amp;"",UTILITIES!$B$3:$B$953&amp;"",UTILITIES!$G$3:$G$953,""),"IOT",_xlfn.XLOOKUP($K99&amp;"",IOT!$B$3:$B$1012&amp;"",IOT!$H$3:$H$1012,""),"Server",_xlfn.XLOOKUP($K99&amp;"",SERVER!$B$3:$B$1009&amp;"",SERVER!$H$3:$H$1009,""),""),IF(TRIM(_xlpm.srcCat)&lt;&gt;TRIM($J99),"",_xlfn.SWITCH($I99,"Computer",_xlfn.XLOOKUP($K99&amp;"",COMPUTER!$B$3:$B$1009&amp;"",COMPUTER!$AM$3:$AM$1009,""),"Display",_xlfn.XLOOKUP($K99&amp;"",DISPLAY!$B$3:$B$1000&amp;"",DISPLAY!$V$3:$V$1000,""),"Network Device",_xlfn.XLOOKUP($K99&amp;"",'NETWORK-DEVICES'!$B$3:$B$987&amp;"",'NETWORK-DEVICES'!$AF$3:$AF$987,""),"Peripheral",_xlfn.XLOOKUP($K99&amp;"",PERIPHERAL!$B$3:$B$954&amp;"",PERIPHERAL!$Y$3:$Y$954,""),"Utilities",_xlfn.XLOOKUP($K99&amp;"",UTILITIES!$B$3:$B$953&amp;"",UTILITIES!$O$3:$O$953,""),"IOT",_xlfn.XLOOKUP($K99&amp;"",IOT!$B$3:$B$1012&amp;"",IOT!$AB$3:$AB$1012,""),"Server",_xlfn.XLOOKUP($K99&amp;"",SERVER!$B$3:$B$1009&amp;"",SERVER!$AB$3:$AB$1009,""),""))))</f>
        <v/>
      </c>
      <c r="R99" s="43" t="str">
        <f>IF(tbl_handover[[#This Row],[Asset Code]]="","",COUNTIF(tbl_handover[Asset Code],tbl_handover[[#This Row],[Asset Code]]))</f>
        <v/>
      </c>
    </row>
    <row r="100" spans="1:18" x14ac:dyDescent="0.25">
      <c r="A100" s="43" t="str">
        <f>IF(B100&lt;&gt;"",SUBTOTAL(3,$B$1:B99),"")</f>
        <v/>
      </c>
      <c r="C100" s="74"/>
      <c r="D100" s="74"/>
      <c r="G100" s="1"/>
      <c r="K100" s="42"/>
      <c r="L100" t="str" cm="1">
        <f t="array" ref="L100">IF($K100="","",_xlfn.SWITCH($I100,"Computer",_xlfn.XLOOKUP($K100&amp;"",COMPUTER!$B$3:$B$1009&amp;"",COMPUTER!$I$3:$I$1009,""),"Display",_xlfn.XLOOKUP($K100&amp;"",DISPLAY!$B$3:$B$1000&amp;"",DISPLAY!$J$3:$J$1000,""),"Network Device",_xlfn.XLOOKUP($K100&amp;"",'NETWORK-DEVICES'!$B$3:$B$987&amp;"",'NETWORK-DEVICES'!$I$3:$I$987,""),"Peripheral",_xlfn.XLOOKUP($K100&amp;"",PERIPHERAL!$B$3:$B$954&amp;"",PERIPHERAL!$I$3:$I$954,""),"Utilities",_xlfn.XLOOKUP($K100&amp;"",UTILITIES!$B$3:$B$953&amp;"",UTILITIES!$H$3:$H$953,""),"IOT",_xlfn.XLOOKUP($K100&amp;"",IOT!$B$3:$B$1012&amp;"",IOT!$I$3:$I$1012,""),"SERVER",_xlfn.XLOOKUP($K100&amp;"",SERVER!$B$3:$B$1009&amp;"",SERVER!$I$3:$I$1009,""),""))</f>
        <v/>
      </c>
      <c r="M100" t="str" cm="1">
        <f t="array" ref="M100">IF($K100="","",_xlfn.SWITCH($I100,"Computer",_xlfn.XLOOKUP($K100&amp;"",COMPUTER!$B$3:$B$1009&amp;"",COMPUTER!$J$3:$J$1009,""),"Display",_xlfn.XLOOKUP($K100&amp;"",DISPLAY!$B$3:$B$1000&amp;"",DISPLAY!$K$3:$K$1000,""),"Network Device",_xlfn.XLOOKUP($K100&amp;"",'NETWORK-DEVICES'!$B$3:$B$987&amp;"",'NETWORK-DEVICES'!$I$3:$I$987,""),"Peripheral",_xlfn.XLOOKUP($K100&amp;"",PERIPHERAL!$B$3:$B$954&amp;"",PERIPHERAL!$J$3:$J$954,""),"Utilities",_xlfn.XLOOKUP($K100&amp;"",UTILITIES!$B$3:$B$953&amp;"",UTILITIES!$I$3:$I$953,""),"IOT",_xlfn.XLOOKUP($K100&amp;"",IOT!$B$3:$B$1012&amp;"",IOT!$J$3:$J$1012,""),"Server",_xlfn.XLOOKUP($K100&amp;"",SERVER!$B$3:$B$1009&amp;"",SERVER!$J$3:$J$1009,""),""))</f>
        <v/>
      </c>
      <c r="N100" s="1" t="str" cm="1">
        <f t="array" ref="N100">IF(OR($K100="",$I100="",$J100=""),"",_xlfn.LET(_xlpm.srcCat,_xlfn.SWITCH($I100,"Computer",_xlfn.XLOOKUP($K100&amp;"",COMPUTER!$B$3:$B$1009&amp;"",COMPUTER!$H$3:$H$1009,""),"Display",_xlfn.XLOOKUP($K100&amp;"",DISPLAY!$B$3:$B$1000&amp;"",DISPLAY!$H$3:$H$1000,""),"Network Device",_xlfn.XLOOKUP($K100&amp;"",'NETWORK-DEVICES'!$B$3:$B$987&amp;"",'NETWORK-DEVICES'!$H$3:$H$987,""),"Peripheral",_xlfn.XLOOKUP($K100&amp;"",PERIPHERAL!$B$3:$B$954&amp;"",PERIPHERAL!$H$3:$H$954,""),"Utilities",_xlfn.XLOOKUP($K100&amp;"",UTILITIES!$B$3:$B$953&amp;"",UTILITIES!$G$3:$G$953,""),"IOT",_xlfn.XLOOKUP($K100&amp;"",IOT!$B$3:$B$1012&amp;"",IOT!$H$3:$H$1012,""),"Server",_xlfn.XLOOKUP($K100&amp;"",SERVER!$B$3:$B$1009&amp;"",SERVER!$H$3:$H$1009,""),""),IF(TRIM(_xlpm.srcCat)&lt;&gt;TRIM($J100),"",_xlfn.SWITCH($I100,"Computer",_xlfn.XLOOKUP($K100&amp;"",COMPUTER!$B$3:$B$1009&amp;"",COMPUTER!$K$3:$K$1009,""),"Display",_xlfn.XLOOKUP($K100&amp;"",DISPLAY!$B$3:$B$1000&amp;"",DISPLAY!$L$3:$L$1000,""),"Network Device",_xlfn.XLOOKUP($K100&amp;"",'NETWORK-DEVICES'!$B$3:$B$987&amp;"",'NETWORK-DEVICES'!$K$3:$K$987,""),"Peripheral",_xlfn.XLOOKUP($K100&amp;"",PERIPHERAL!$B$3:$B$954&amp;"",PERIPHERAL!$K$3:$K$954,""),"Utilities",_xlfn.XLOOKUP($K100&amp;"",UTILITIES!$B$3:$B$953&amp;"",UTILITIES!$J$3:$J$953,""),"IOT",_xlfn.XLOOKUP($K100&amp;"",IOT!$B$3:$B$1012&amp;"",IOT!$K$4:$K$1012,""),"Server",_xlfn.XLOOKUP($K100&amp;"",SERVER!$B$3:$B$1009&amp;"",SERVER!$K$3:$K$1009,""),""))))</f>
        <v/>
      </c>
      <c r="O100" s="1" t="str" cm="1">
        <f t="array" ref="O100">IF(OR($K100="",$I100="",$J100=""),"",_xlfn.LET(_xlpm.srcCat,_xlfn.SWITCH($I100,"Computer",_xlfn.XLOOKUP($K100&amp;"",COMPUTER!$B$3:$B$1009&amp;"",COMPUTER!$H$3:$H$1009,""),"Display",_xlfn.XLOOKUP($K100&amp;"",DISPLAY!$B$3:$B$1000&amp;"",DISPLAY!$H$3:$H$1000,""),"Network Device",_xlfn.XLOOKUP($K100&amp;"",'NETWORK-DEVICES'!$B$3:$B$987&amp;"",'NETWORK-DEVICES'!$H$3:$H$987,""),"Peripheral",_xlfn.XLOOKUP($K100&amp;"",PERIPHERAL!$B$3:$B$954&amp;"",PERIPHERAL!$H$3:$H$954,""),"Utilities",_xlfn.XLOOKUP($K100&amp;"",UTILITIES!$B$3:$B$953&amp;"",UTILITIES!$G$3:$G$953,""),"IOT",_xlfn.XLOOKUP($K100&amp;"",IOT!$B$3:$B$1012&amp;"",IOT!$H$3:$H$1012,""),"Server",_xlfn.XLOOKUP($K100&amp;"",SERVER!$B$3:$B$1009&amp;"",SERVER!$H$3:$H$1009,""),""),IF(TRIM(_xlpm.srcCat)&lt;&gt;TRIM($J100),"",_xlfn.SWITCH($I100,"Computer",_xlfn.XLOOKUP($K100&amp;"",COMPUTER!$B$3:$B$1009&amp;"",COMPUTER!$E$3:$E$1009,""),"Display",_xlfn.XLOOKUP($K100&amp;"",DISPLAY!$B$3:$B$1000&amp;"",DISPLAY!$E$3:$E$1000,""),"Network Device",_xlfn.XLOOKUP($K100&amp;"",'NETWORK-DEVICES'!$B$3:$B$987&amp;"",'NETWORK-DEVICES'!$E$3:$E$987,""),"Peripheral",_xlfn.XLOOKUP($K100&amp;"",PERIPHERAL!$B$3:$B$954&amp;"",PERIPHERAL!$E$3:$E$954,""),"Utilities",_xlfn.XLOOKUP($K100&amp;"",UTILITIES!$B$3:$B$953&amp;"",UTILITIES!$E$3:$E$953,""),"IOT",_xlfn.XLOOKUP($K100&amp;"",IOT!$B$3:$B$1012&amp;"",IOT!$E$3:$E$1012,""),"Server",_xlfn.XLOOKUP($K100&amp;"",SERVER!$B$3:$B$1009&amp;"",SERVER!$E$3:$E$1009,""),""))))</f>
        <v/>
      </c>
      <c r="Q100" s="1" t="str" cm="1">
        <f t="array" ref="Q100">IF(OR($K100="",$I100="",$J100=""),"",_xlfn.LET(_xlpm.srcCat,_xlfn.SWITCH($I100,"Computer",_xlfn.XLOOKUP($K100&amp;"",COMPUTER!$B$3:$B$1009&amp;"",COMPUTER!$H$3:$H$1009,""),"Display",_xlfn.XLOOKUP($K100&amp;"",DISPLAY!$B$3:$B$1000&amp;"",DISPLAY!$H$3:$H$1000,""),"Network Device",_xlfn.XLOOKUP($K100&amp;"",'NETWORK-DEVICES'!$B$3:$B$987&amp;"",'NETWORK-DEVICES'!$H$3:$H$987,""),"Peripheral",_xlfn.XLOOKUP($K100&amp;"",PERIPHERAL!$B$3:$B$954&amp;"",PERIPHERAL!$H$3:$H$954,""),"Utilities",_xlfn.XLOOKUP($K100&amp;"",UTILITIES!$B$3:$B$953&amp;"",UTILITIES!$G$3:$G$953,""),"IOT",_xlfn.XLOOKUP($K100&amp;"",IOT!$B$3:$B$1012&amp;"",IOT!$H$3:$H$1012,""),"Server",_xlfn.XLOOKUP($K100&amp;"",SERVER!$B$3:$B$1009&amp;"",SERVER!$H$3:$H$1009,""),""),IF(TRIM(_xlpm.srcCat)&lt;&gt;TRIM($J100),"",_xlfn.SWITCH($I100,"Computer",_xlfn.XLOOKUP($K100&amp;"",COMPUTER!$B$3:$B$1009&amp;"",COMPUTER!$AM$3:$AM$1009,""),"Display",_xlfn.XLOOKUP($K100&amp;"",DISPLAY!$B$3:$B$1000&amp;"",DISPLAY!$V$3:$V$1000,""),"Network Device",_xlfn.XLOOKUP($K100&amp;"",'NETWORK-DEVICES'!$B$3:$B$987&amp;"",'NETWORK-DEVICES'!$AF$3:$AF$987,""),"Peripheral",_xlfn.XLOOKUP($K100&amp;"",PERIPHERAL!$B$3:$B$954&amp;"",PERIPHERAL!$Y$3:$Y$954,""),"Utilities",_xlfn.XLOOKUP($K100&amp;"",UTILITIES!$B$3:$B$953&amp;"",UTILITIES!$O$3:$O$953,""),"IOT",_xlfn.XLOOKUP($K100&amp;"",IOT!$B$3:$B$1012&amp;"",IOT!$AB$3:$AB$1012,""),"Server",_xlfn.XLOOKUP($K100&amp;"",SERVER!$B$3:$B$1009&amp;"",SERVER!$AB$3:$AB$1009,""),""))))</f>
        <v/>
      </c>
      <c r="R100" s="43" t="str">
        <f>IF(tbl_handover[[#This Row],[Asset Code]]="","",COUNTIF(tbl_handover[Asset Code],tbl_handover[[#This Row],[Asset Code]]))</f>
        <v/>
      </c>
    </row>
    <row r="101" spans="1:18" x14ac:dyDescent="0.25">
      <c r="A101" s="43" t="str">
        <f>IF(B101&lt;&gt;"",SUBTOTAL(3,$B$1:B100),"")</f>
        <v/>
      </c>
      <c r="C101" s="74"/>
      <c r="D101" s="74"/>
      <c r="G101" s="1"/>
      <c r="K101" s="42"/>
      <c r="L101" t="str" cm="1">
        <f t="array" ref="L101">IF($K101="","",_xlfn.SWITCH($I101,"Computer",_xlfn.XLOOKUP($K101&amp;"",COMPUTER!$B$3:$B$1009&amp;"",COMPUTER!$I$3:$I$1009,""),"Display",_xlfn.XLOOKUP($K101&amp;"",DISPLAY!$B$3:$B$1000&amp;"",DISPLAY!$J$3:$J$1000,""),"Network Device",_xlfn.XLOOKUP($K101&amp;"",'NETWORK-DEVICES'!$B$3:$B$987&amp;"",'NETWORK-DEVICES'!$I$3:$I$987,""),"Peripheral",_xlfn.XLOOKUP($K101&amp;"",PERIPHERAL!$B$3:$B$954&amp;"",PERIPHERAL!$I$3:$I$954,""),"Utilities",_xlfn.XLOOKUP($K101&amp;"",UTILITIES!$B$3:$B$953&amp;"",UTILITIES!$H$3:$H$953,""),"IOT",_xlfn.XLOOKUP($K101&amp;"",IOT!$B$3:$B$1012&amp;"",IOT!$I$3:$I$1012,""),"SERVER",_xlfn.XLOOKUP($K101&amp;"",SERVER!$B$3:$B$1009&amp;"",SERVER!$I$3:$I$1009,""),""))</f>
        <v/>
      </c>
      <c r="M101" t="str" cm="1">
        <f t="array" ref="M101">IF($K101="","",_xlfn.SWITCH($I101,"Computer",_xlfn.XLOOKUP($K101&amp;"",COMPUTER!$B$3:$B$1009&amp;"",COMPUTER!$J$3:$J$1009,""),"Display",_xlfn.XLOOKUP($K101&amp;"",DISPLAY!$B$3:$B$1000&amp;"",DISPLAY!$K$3:$K$1000,""),"Network Device",_xlfn.XLOOKUP($K101&amp;"",'NETWORK-DEVICES'!$B$3:$B$987&amp;"",'NETWORK-DEVICES'!$I$3:$I$987,""),"Peripheral",_xlfn.XLOOKUP($K101&amp;"",PERIPHERAL!$B$3:$B$954&amp;"",PERIPHERAL!$J$3:$J$954,""),"Utilities",_xlfn.XLOOKUP($K101&amp;"",UTILITIES!$B$3:$B$953&amp;"",UTILITIES!$I$3:$I$953,""),"IOT",_xlfn.XLOOKUP($K101&amp;"",IOT!$B$3:$B$1012&amp;"",IOT!$J$3:$J$1012,""),"Server",_xlfn.XLOOKUP($K101&amp;"",SERVER!$B$3:$B$1009&amp;"",SERVER!$J$3:$J$1009,""),""))</f>
        <v/>
      </c>
      <c r="N101" s="1" t="str" cm="1">
        <f t="array" ref="N101">IF(OR($K101="",$I101="",$J101=""),"",_xlfn.LET(_xlpm.srcCat,_xlfn.SWITCH($I101,"Computer",_xlfn.XLOOKUP($K101&amp;"",COMPUTER!$B$3:$B$1009&amp;"",COMPUTER!$H$3:$H$1009,""),"Display",_xlfn.XLOOKUP($K101&amp;"",DISPLAY!$B$3:$B$1000&amp;"",DISPLAY!$H$3:$H$1000,""),"Network Device",_xlfn.XLOOKUP($K101&amp;"",'NETWORK-DEVICES'!$B$3:$B$987&amp;"",'NETWORK-DEVICES'!$H$3:$H$987,""),"Peripheral",_xlfn.XLOOKUP($K101&amp;"",PERIPHERAL!$B$3:$B$954&amp;"",PERIPHERAL!$H$3:$H$954,""),"Utilities",_xlfn.XLOOKUP($K101&amp;"",UTILITIES!$B$3:$B$953&amp;"",UTILITIES!$G$3:$G$953,""),"IOT",_xlfn.XLOOKUP($K101&amp;"",IOT!$B$3:$B$1012&amp;"",IOT!$H$3:$H$1012,""),"Server",_xlfn.XLOOKUP($K101&amp;"",SERVER!$B$3:$B$1009&amp;"",SERVER!$H$3:$H$1009,""),""),IF(TRIM(_xlpm.srcCat)&lt;&gt;TRIM($J101),"",_xlfn.SWITCH($I101,"Computer",_xlfn.XLOOKUP($K101&amp;"",COMPUTER!$B$3:$B$1009&amp;"",COMPUTER!$K$3:$K$1009,""),"Display",_xlfn.XLOOKUP($K101&amp;"",DISPLAY!$B$3:$B$1000&amp;"",DISPLAY!$L$3:$L$1000,""),"Network Device",_xlfn.XLOOKUP($K101&amp;"",'NETWORK-DEVICES'!$B$3:$B$987&amp;"",'NETWORK-DEVICES'!$K$3:$K$987,""),"Peripheral",_xlfn.XLOOKUP($K101&amp;"",PERIPHERAL!$B$3:$B$954&amp;"",PERIPHERAL!$K$3:$K$954,""),"Utilities",_xlfn.XLOOKUP($K101&amp;"",UTILITIES!$B$3:$B$953&amp;"",UTILITIES!$J$3:$J$953,""),"IOT",_xlfn.XLOOKUP($K101&amp;"",IOT!$B$3:$B$1012&amp;"",IOT!$K$4:$K$1012,""),"Server",_xlfn.XLOOKUP($K101&amp;"",SERVER!$B$3:$B$1009&amp;"",SERVER!$K$3:$K$1009,""),""))))</f>
        <v/>
      </c>
      <c r="O101" s="1" t="str" cm="1">
        <f t="array" ref="O101">IF(OR($K101="",$I101="",$J101=""),"",_xlfn.LET(_xlpm.srcCat,_xlfn.SWITCH($I101,"Computer",_xlfn.XLOOKUP($K101&amp;"",COMPUTER!$B$3:$B$1009&amp;"",COMPUTER!$H$3:$H$1009,""),"Display",_xlfn.XLOOKUP($K101&amp;"",DISPLAY!$B$3:$B$1000&amp;"",DISPLAY!$H$3:$H$1000,""),"Network Device",_xlfn.XLOOKUP($K101&amp;"",'NETWORK-DEVICES'!$B$3:$B$987&amp;"",'NETWORK-DEVICES'!$H$3:$H$987,""),"Peripheral",_xlfn.XLOOKUP($K101&amp;"",PERIPHERAL!$B$3:$B$954&amp;"",PERIPHERAL!$H$3:$H$954,""),"Utilities",_xlfn.XLOOKUP($K101&amp;"",UTILITIES!$B$3:$B$953&amp;"",UTILITIES!$G$3:$G$953,""),"IOT",_xlfn.XLOOKUP($K101&amp;"",IOT!$B$3:$B$1012&amp;"",IOT!$H$3:$H$1012,""),"Server",_xlfn.XLOOKUP($K101&amp;"",SERVER!$B$3:$B$1009&amp;"",SERVER!$H$3:$H$1009,""),""),IF(TRIM(_xlpm.srcCat)&lt;&gt;TRIM($J101),"",_xlfn.SWITCH($I101,"Computer",_xlfn.XLOOKUP($K101&amp;"",COMPUTER!$B$3:$B$1009&amp;"",COMPUTER!$E$3:$E$1009,""),"Display",_xlfn.XLOOKUP($K101&amp;"",DISPLAY!$B$3:$B$1000&amp;"",DISPLAY!$E$3:$E$1000,""),"Network Device",_xlfn.XLOOKUP($K101&amp;"",'NETWORK-DEVICES'!$B$3:$B$987&amp;"",'NETWORK-DEVICES'!$E$3:$E$987,""),"Peripheral",_xlfn.XLOOKUP($K101&amp;"",PERIPHERAL!$B$3:$B$954&amp;"",PERIPHERAL!$E$3:$E$954,""),"Utilities",_xlfn.XLOOKUP($K101&amp;"",UTILITIES!$B$3:$B$953&amp;"",UTILITIES!$E$3:$E$953,""),"IOT",_xlfn.XLOOKUP($K101&amp;"",IOT!$B$3:$B$1012&amp;"",IOT!$E$3:$E$1012,""),"Server",_xlfn.XLOOKUP($K101&amp;"",SERVER!$B$3:$B$1009&amp;"",SERVER!$E$3:$E$1009,""),""))))</f>
        <v/>
      </c>
      <c r="Q101" s="1" t="str" cm="1">
        <f t="array" ref="Q101">IF(OR($K101="",$I101="",$J101=""),"",_xlfn.LET(_xlpm.srcCat,_xlfn.SWITCH($I101,"Computer",_xlfn.XLOOKUP($K101&amp;"",COMPUTER!$B$3:$B$1009&amp;"",COMPUTER!$H$3:$H$1009,""),"Display",_xlfn.XLOOKUP($K101&amp;"",DISPLAY!$B$3:$B$1000&amp;"",DISPLAY!$H$3:$H$1000,""),"Network Device",_xlfn.XLOOKUP($K101&amp;"",'NETWORK-DEVICES'!$B$3:$B$987&amp;"",'NETWORK-DEVICES'!$H$3:$H$987,""),"Peripheral",_xlfn.XLOOKUP($K101&amp;"",PERIPHERAL!$B$3:$B$954&amp;"",PERIPHERAL!$H$3:$H$954,""),"Utilities",_xlfn.XLOOKUP($K101&amp;"",UTILITIES!$B$3:$B$953&amp;"",UTILITIES!$G$3:$G$953,""),"IOT",_xlfn.XLOOKUP($K101&amp;"",IOT!$B$3:$B$1012&amp;"",IOT!$H$3:$H$1012,""),"Server",_xlfn.XLOOKUP($K101&amp;"",SERVER!$B$3:$B$1009&amp;"",SERVER!$H$3:$H$1009,""),""),IF(TRIM(_xlpm.srcCat)&lt;&gt;TRIM($J101),"",_xlfn.SWITCH($I101,"Computer",_xlfn.XLOOKUP($K101&amp;"",COMPUTER!$B$3:$B$1009&amp;"",COMPUTER!$AM$3:$AM$1009,""),"Display",_xlfn.XLOOKUP($K101&amp;"",DISPLAY!$B$3:$B$1000&amp;"",DISPLAY!$V$3:$V$1000,""),"Network Device",_xlfn.XLOOKUP($K101&amp;"",'NETWORK-DEVICES'!$B$3:$B$987&amp;"",'NETWORK-DEVICES'!$AF$3:$AF$987,""),"Peripheral",_xlfn.XLOOKUP($K101&amp;"",PERIPHERAL!$B$3:$B$954&amp;"",PERIPHERAL!$Y$3:$Y$954,""),"Utilities",_xlfn.XLOOKUP($K101&amp;"",UTILITIES!$B$3:$B$953&amp;"",UTILITIES!$O$3:$O$953,""),"IOT",_xlfn.XLOOKUP($K101&amp;"",IOT!$B$3:$B$1012&amp;"",IOT!$AB$3:$AB$1012,""),"Server",_xlfn.XLOOKUP($K101&amp;"",SERVER!$B$3:$B$1009&amp;"",SERVER!$AB$3:$AB$1009,""),""))))</f>
        <v/>
      </c>
      <c r="R101" s="43" t="str">
        <f>IF(tbl_handover[[#This Row],[Asset Code]]="","",COUNTIF(tbl_handover[Asset Code],tbl_handover[[#This Row],[Asset Code]]))</f>
        <v/>
      </c>
    </row>
    <row r="102" spans="1:18" x14ac:dyDescent="0.25">
      <c r="A102" s="43" t="str">
        <f>IF(B102&lt;&gt;"",SUBTOTAL(3,$B$1:B101),"")</f>
        <v/>
      </c>
      <c r="C102" s="74"/>
      <c r="D102" s="74"/>
      <c r="G102" s="1"/>
      <c r="K102" s="42"/>
      <c r="L102" t="str" cm="1">
        <f t="array" ref="L102">IF($K102="","",_xlfn.SWITCH($I102,"Computer",_xlfn.XLOOKUP($K102&amp;"",COMPUTER!$B$3:$B$1009&amp;"",COMPUTER!$I$3:$I$1009,""),"Display",_xlfn.XLOOKUP($K102&amp;"",DISPLAY!$B$3:$B$1000&amp;"",DISPLAY!$J$3:$J$1000,""),"Network Device",_xlfn.XLOOKUP($K102&amp;"",'NETWORK-DEVICES'!$B$3:$B$987&amp;"",'NETWORK-DEVICES'!$I$3:$I$987,""),"Peripheral",_xlfn.XLOOKUP($K102&amp;"",PERIPHERAL!$B$3:$B$954&amp;"",PERIPHERAL!$I$3:$I$954,""),"Utilities",_xlfn.XLOOKUP($K102&amp;"",UTILITIES!$B$3:$B$953&amp;"",UTILITIES!$H$3:$H$953,""),"IOT",_xlfn.XLOOKUP($K102&amp;"",IOT!$B$3:$B$1012&amp;"",IOT!$I$3:$I$1012,""),"SERVER",_xlfn.XLOOKUP($K102&amp;"",SERVER!$B$3:$B$1009&amp;"",SERVER!$I$3:$I$1009,""),""))</f>
        <v/>
      </c>
      <c r="M102" t="str" cm="1">
        <f t="array" ref="M102">IF($K102="","",_xlfn.SWITCH($I102,"Computer",_xlfn.XLOOKUP($K102&amp;"",COMPUTER!$B$3:$B$1009&amp;"",COMPUTER!$J$3:$J$1009,""),"Display",_xlfn.XLOOKUP($K102&amp;"",DISPLAY!$B$3:$B$1000&amp;"",DISPLAY!$K$3:$K$1000,""),"Network Device",_xlfn.XLOOKUP($K102&amp;"",'NETWORK-DEVICES'!$B$3:$B$987&amp;"",'NETWORK-DEVICES'!$I$3:$I$987,""),"Peripheral",_xlfn.XLOOKUP($K102&amp;"",PERIPHERAL!$B$3:$B$954&amp;"",PERIPHERAL!$J$3:$J$954,""),"Utilities",_xlfn.XLOOKUP($K102&amp;"",UTILITIES!$B$3:$B$953&amp;"",UTILITIES!$I$3:$I$953,""),"IOT",_xlfn.XLOOKUP($K102&amp;"",IOT!$B$3:$B$1012&amp;"",IOT!$J$3:$J$1012,""),"Server",_xlfn.XLOOKUP($K102&amp;"",SERVER!$B$3:$B$1009&amp;"",SERVER!$J$3:$J$1009,""),""))</f>
        <v/>
      </c>
      <c r="N102" s="1" t="str" cm="1">
        <f t="array" ref="N102">IF(OR($K102="",$I102="",$J102=""),"",_xlfn.LET(_xlpm.srcCat,_xlfn.SWITCH($I102,"Computer",_xlfn.XLOOKUP($K102&amp;"",COMPUTER!$B$3:$B$1009&amp;"",COMPUTER!$H$3:$H$1009,""),"Display",_xlfn.XLOOKUP($K102&amp;"",DISPLAY!$B$3:$B$1000&amp;"",DISPLAY!$H$3:$H$1000,""),"Network Device",_xlfn.XLOOKUP($K102&amp;"",'NETWORK-DEVICES'!$B$3:$B$987&amp;"",'NETWORK-DEVICES'!$H$3:$H$987,""),"Peripheral",_xlfn.XLOOKUP($K102&amp;"",PERIPHERAL!$B$3:$B$954&amp;"",PERIPHERAL!$H$3:$H$954,""),"Utilities",_xlfn.XLOOKUP($K102&amp;"",UTILITIES!$B$3:$B$953&amp;"",UTILITIES!$G$3:$G$953,""),"IOT",_xlfn.XLOOKUP($K102&amp;"",IOT!$B$3:$B$1012&amp;"",IOT!$H$3:$H$1012,""),"Server",_xlfn.XLOOKUP($K102&amp;"",SERVER!$B$3:$B$1009&amp;"",SERVER!$H$3:$H$1009,""),""),IF(TRIM(_xlpm.srcCat)&lt;&gt;TRIM($J102),"",_xlfn.SWITCH($I102,"Computer",_xlfn.XLOOKUP($K102&amp;"",COMPUTER!$B$3:$B$1009&amp;"",COMPUTER!$K$3:$K$1009,""),"Display",_xlfn.XLOOKUP($K102&amp;"",DISPLAY!$B$3:$B$1000&amp;"",DISPLAY!$L$3:$L$1000,""),"Network Device",_xlfn.XLOOKUP($K102&amp;"",'NETWORK-DEVICES'!$B$3:$B$987&amp;"",'NETWORK-DEVICES'!$K$3:$K$987,""),"Peripheral",_xlfn.XLOOKUP($K102&amp;"",PERIPHERAL!$B$3:$B$954&amp;"",PERIPHERAL!$K$3:$K$954,""),"Utilities",_xlfn.XLOOKUP($K102&amp;"",UTILITIES!$B$3:$B$953&amp;"",UTILITIES!$J$3:$J$953,""),"IOT",_xlfn.XLOOKUP($K102&amp;"",IOT!$B$3:$B$1012&amp;"",IOT!$K$4:$K$1012,""),"Server",_xlfn.XLOOKUP($K102&amp;"",SERVER!$B$3:$B$1009&amp;"",SERVER!$K$3:$K$1009,""),""))))</f>
        <v/>
      </c>
      <c r="O102" s="1" t="str" cm="1">
        <f t="array" ref="O102">IF(OR($K102="",$I102="",$J102=""),"",_xlfn.LET(_xlpm.srcCat,_xlfn.SWITCH($I102,"Computer",_xlfn.XLOOKUP($K102&amp;"",COMPUTER!$B$3:$B$1009&amp;"",COMPUTER!$H$3:$H$1009,""),"Display",_xlfn.XLOOKUP($K102&amp;"",DISPLAY!$B$3:$B$1000&amp;"",DISPLAY!$H$3:$H$1000,""),"Network Device",_xlfn.XLOOKUP($K102&amp;"",'NETWORK-DEVICES'!$B$3:$B$987&amp;"",'NETWORK-DEVICES'!$H$3:$H$987,""),"Peripheral",_xlfn.XLOOKUP($K102&amp;"",PERIPHERAL!$B$3:$B$954&amp;"",PERIPHERAL!$H$3:$H$954,""),"Utilities",_xlfn.XLOOKUP($K102&amp;"",UTILITIES!$B$3:$B$953&amp;"",UTILITIES!$G$3:$G$953,""),"IOT",_xlfn.XLOOKUP($K102&amp;"",IOT!$B$3:$B$1012&amp;"",IOT!$H$3:$H$1012,""),"Server",_xlfn.XLOOKUP($K102&amp;"",SERVER!$B$3:$B$1009&amp;"",SERVER!$H$3:$H$1009,""),""),IF(TRIM(_xlpm.srcCat)&lt;&gt;TRIM($J102),"",_xlfn.SWITCH($I102,"Computer",_xlfn.XLOOKUP($K102&amp;"",COMPUTER!$B$3:$B$1009&amp;"",COMPUTER!$E$3:$E$1009,""),"Display",_xlfn.XLOOKUP($K102&amp;"",DISPLAY!$B$3:$B$1000&amp;"",DISPLAY!$E$3:$E$1000,""),"Network Device",_xlfn.XLOOKUP($K102&amp;"",'NETWORK-DEVICES'!$B$3:$B$987&amp;"",'NETWORK-DEVICES'!$E$3:$E$987,""),"Peripheral",_xlfn.XLOOKUP($K102&amp;"",PERIPHERAL!$B$3:$B$954&amp;"",PERIPHERAL!$E$3:$E$954,""),"Utilities",_xlfn.XLOOKUP($K102&amp;"",UTILITIES!$B$3:$B$953&amp;"",UTILITIES!$E$3:$E$953,""),"IOT",_xlfn.XLOOKUP($K102&amp;"",IOT!$B$3:$B$1012&amp;"",IOT!$E$3:$E$1012,""),"Server",_xlfn.XLOOKUP($K102&amp;"",SERVER!$B$3:$B$1009&amp;"",SERVER!$E$3:$E$1009,""),""))))</f>
        <v/>
      </c>
      <c r="Q102" s="1" t="str" cm="1">
        <f t="array" ref="Q102">IF(OR($K102="",$I102="",$J102=""),"",_xlfn.LET(_xlpm.srcCat,_xlfn.SWITCH($I102,"Computer",_xlfn.XLOOKUP($K102&amp;"",COMPUTER!$B$3:$B$1009&amp;"",COMPUTER!$H$3:$H$1009,""),"Display",_xlfn.XLOOKUP($K102&amp;"",DISPLAY!$B$3:$B$1000&amp;"",DISPLAY!$H$3:$H$1000,""),"Network Device",_xlfn.XLOOKUP($K102&amp;"",'NETWORK-DEVICES'!$B$3:$B$987&amp;"",'NETWORK-DEVICES'!$H$3:$H$987,""),"Peripheral",_xlfn.XLOOKUP($K102&amp;"",PERIPHERAL!$B$3:$B$954&amp;"",PERIPHERAL!$H$3:$H$954,""),"Utilities",_xlfn.XLOOKUP($K102&amp;"",UTILITIES!$B$3:$B$953&amp;"",UTILITIES!$G$3:$G$953,""),"IOT",_xlfn.XLOOKUP($K102&amp;"",IOT!$B$3:$B$1012&amp;"",IOT!$H$3:$H$1012,""),"Server",_xlfn.XLOOKUP($K102&amp;"",SERVER!$B$3:$B$1009&amp;"",SERVER!$H$3:$H$1009,""),""),IF(TRIM(_xlpm.srcCat)&lt;&gt;TRIM($J102),"",_xlfn.SWITCH($I102,"Computer",_xlfn.XLOOKUP($K102&amp;"",COMPUTER!$B$3:$B$1009&amp;"",COMPUTER!$AM$3:$AM$1009,""),"Display",_xlfn.XLOOKUP($K102&amp;"",DISPLAY!$B$3:$B$1000&amp;"",DISPLAY!$V$3:$V$1000,""),"Network Device",_xlfn.XLOOKUP($K102&amp;"",'NETWORK-DEVICES'!$B$3:$B$987&amp;"",'NETWORK-DEVICES'!$AF$3:$AF$987,""),"Peripheral",_xlfn.XLOOKUP($K102&amp;"",PERIPHERAL!$B$3:$B$954&amp;"",PERIPHERAL!$Y$3:$Y$954,""),"Utilities",_xlfn.XLOOKUP($K102&amp;"",UTILITIES!$B$3:$B$953&amp;"",UTILITIES!$O$3:$O$953,""),"IOT",_xlfn.XLOOKUP($K102&amp;"",IOT!$B$3:$B$1012&amp;"",IOT!$AB$3:$AB$1012,""),"Server",_xlfn.XLOOKUP($K102&amp;"",SERVER!$B$3:$B$1009&amp;"",SERVER!$AB$3:$AB$1009,""),""))))</f>
        <v/>
      </c>
      <c r="R102" s="43" t="str">
        <f>IF(tbl_handover[[#This Row],[Asset Code]]="","",COUNTIF(tbl_handover[Asset Code],tbl_handover[[#This Row],[Asset Code]]))</f>
        <v/>
      </c>
    </row>
    <row r="103" spans="1:18" x14ac:dyDescent="0.25">
      <c r="A103" s="43" t="str">
        <f>IF(B103&lt;&gt;"",SUBTOTAL(3,$B$1:B102),"")</f>
        <v/>
      </c>
      <c r="C103" s="74"/>
      <c r="D103" s="74"/>
      <c r="G103" s="1"/>
      <c r="K103" s="42"/>
      <c r="L103" t="str" cm="1">
        <f t="array" ref="L103">IF($K103="","",_xlfn.SWITCH($I103,"Computer",_xlfn.XLOOKUP($K103&amp;"",COMPUTER!$B$3:$B$1009&amp;"",COMPUTER!$I$3:$I$1009,""),"Display",_xlfn.XLOOKUP($K103&amp;"",DISPLAY!$B$3:$B$1000&amp;"",DISPLAY!$J$3:$J$1000,""),"Network Device",_xlfn.XLOOKUP($K103&amp;"",'NETWORK-DEVICES'!$B$3:$B$987&amp;"",'NETWORK-DEVICES'!$I$3:$I$987,""),"Peripheral",_xlfn.XLOOKUP($K103&amp;"",PERIPHERAL!$B$3:$B$954&amp;"",PERIPHERAL!$I$3:$I$954,""),"Utilities",_xlfn.XLOOKUP($K103&amp;"",UTILITIES!$B$3:$B$953&amp;"",UTILITIES!$H$3:$H$953,""),"IOT",_xlfn.XLOOKUP($K103&amp;"",IOT!$B$3:$B$1012&amp;"",IOT!$I$3:$I$1012,""),"SERVER",_xlfn.XLOOKUP($K103&amp;"",SERVER!$B$3:$B$1009&amp;"",SERVER!$I$3:$I$1009,""),""))</f>
        <v/>
      </c>
      <c r="M103" t="str" cm="1">
        <f t="array" ref="M103">IF($K103="","",_xlfn.SWITCH($I103,"Computer",_xlfn.XLOOKUP($K103&amp;"",COMPUTER!$B$3:$B$1009&amp;"",COMPUTER!$J$3:$J$1009,""),"Display",_xlfn.XLOOKUP($K103&amp;"",DISPLAY!$B$3:$B$1000&amp;"",DISPLAY!$K$3:$K$1000,""),"Network Device",_xlfn.XLOOKUP($K103&amp;"",'NETWORK-DEVICES'!$B$3:$B$987&amp;"",'NETWORK-DEVICES'!$I$3:$I$987,""),"Peripheral",_xlfn.XLOOKUP($K103&amp;"",PERIPHERAL!$B$3:$B$954&amp;"",PERIPHERAL!$J$3:$J$954,""),"Utilities",_xlfn.XLOOKUP($K103&amp;"",UTILITIES!$B$3:$B$953&amp;"",UTILITIES!$I$3:$I$953,""),"IOT",_xlfn.XLOOKUP($K103&amp;"",IOT!$B$3:$B$1012&amp;"",IOT!$J$3:$J$1012,""),"Server",_xlfn.XLOOKUP($K103&amp;"",SERVER!$B$3:$B$1009&amp;"",SERVER!$J$3:$J$1009,""),""))</f>
        <v/>
      </c>
      <c r="N103" s="1" t="str" cm="1">
        <f t="array" ref="N103">IF(OR($K103="",$I103="",$J103=""),"",_xlfn.LET(_xlpm.srcCat,_xlfn.SWITCH($I103,"Computer",_xlfn.XLOOKUP($K103&amp;"",COMPUTER!$B$3:$B$1009&amp;"",COMPUTER!$H$3:$H$1009,""),"Display",_xlfn.XLOOKUP($K103&amp;"",DISPLAY!$B$3:$B$1000&amp;"",DISPLAY!$H$3:$H$1000,""),"Network Device",_xlfn.XLOOKUP($K103&amp;"",'NETWORK-DEVICES'!$B$3:$B$987&amp;"",'NETWORK-DEVICES'!$H$3:$H$987,""),"Peripheral",_xlfn.XLOOKUP($K103&amp;"",PERIPHERAL!$B$3:$B$954&amp;"",PERIPHERAL!$H$3:$H$954,""),"Utilities",_xlfn.XLOOKUP($K103&amp;"",UTILITIES!$B$3:$B$953&amp;"",UTILITIES!$G$3:$G$953,""),"IOT",_xlfn.XLOOKUP($K103&amp;"",IOT!$B$3:$B$1012&amp;"",IOT!$H$3:$H$1012,""),"Server",_xlfn.XLOOKUP($K103&amp;"",SERVER!$B$3:$B$1009&amp;"",SERVER!$H$3:$H$1009,""),""),IF(TRIM(_xlpm.srcCat)&lt;&gt;TRIM($J103),"",_xlfn.SWITCH($I103,"Computer",_xlfn.XLOOKUP($K103&amp;"",COMPUTER!$B$3:$B$1009&amp;"",COMPUTER!$K$3:$K$1009,""),"Display",_xlfn.XLOOKUP($K103&amp;"",DISPLAY!$B$3:$B$1000&amp;"",DISPLAY!$L$3:$L$1000,""),"Network Device",_xlfn.XLOOKUP($K103&amp;"",'NETWORK-DEVICES'!$B$3:$B$987&amp;"",'NETWORK-DEVICES'!$K$3:$K$987,""),"Peripheral",_xlfn.XLOOKUP($K103&amp;"",PERIPHERAL!$B$3:$B$954&amp;"",PERIPHERAL!$K$3:$K$954,""),"Utilities",_xlfn.XLOOKUP($K103&amp;"",UTILITIES!$B$3:$B$953&amp;"",UTILITIES!$J$3:$J$953,""),"IOT",_xlfn.XLOOKUP($K103&amp;"",IOT!$B$3:$B$1012&amp;"",IOT!$K$4:$K$1012,""),"Server",_xlfn.XLOOKUP($K103&amp;"",SERVER!$B$3:$B$1009&amp;"",SERVER!$K$3:$K$1009,""),""))))</f>
        <v/>
      </c>
      <c r="O103" s="1" t="str" cm="1">
        <f t="array" ref="O103">IF(OR($K103="",$I103="",$J103=""),"",_xlfn.LET(_xlpm.srcCat,_xlfn.SWITCH($I103,"Computer",_xlfn.XLOOKUP($K103&amp;"",COMPUTER!$B$3:$B$1009&amp;"",COMPUTER!$H$3:$H$1009,""),"Display",_xlfn.XLOOKUP($K103&amp;"",DISPLAY!$B$3:$B$1000&amp;"",DISPLAY!$H$3:$H$1000,""),"Network Device",_xlfn.XLOOKUP($K103&amp;"",'NETWORK-DEVICES'!$B$3:$B$987&amp;"",'NETWORK-DEVICES'!$H$3:$H$987,""),"Peripheral",_xlfn.XLOOKUP($K103&amp;"",PERIPHERAL!$B$3:$B$954&amp;"",PERIPHERAL!$H$3:$H$954,""),"Utilities",_xlfn.XLOOKUP($K103&amp;"",UTILITIES!$B$3:$B$953&amp;"",UTILITIES!$G$3:$G$953,""),"IOT",_xlfn.XLOOKUP($K103&amp;"",IOT!$B$3:$B$1012&amp;"",IOT!$H$3:$H$1012,""),"Server",_xlfn.XLOOKUP($K103&amp;"",SERVER!$B$3:$B$1009&amp;"",SERVER!$H$3:$H$1009,""),""),IF(TRIM(_xlpm.srcCat)&lt;&gt;TRIM($J103),"",_xlfn.SWITCH($I103,"Computer",_xlfn.XLOOKUP($K103&amp;"",COMPUTER!$B$3:$B$1009&amp;"",COMPUTER!$E$3:$E$1009,""),"Display",_xlfn.XLOOKUP($K103&amp;"",DISPLAY!$B$3:$B$1000&amp;"",DISPLAY!$E$3:$E$1000,""),"Network Device",_xlfn.XLOOKUP($K103&amp;"",'NETWORK-DEVICES'!$B$3:$B$987&amp;"",'NETWORK-DEVICES'!$E$3:$E$987,""),"Peripheral",_xlfn.XLOOKUP($K103&amp;"",PERIPHERAL!$B$3:$B$954&amp;"",PERIPHERAL!$E$3:$E$954,""),"Utilities",_xlfn.XLOOKUP($K103&amp;"",UTILITIES!$B$3:$B$953&amp;"",UTILITIES!$E$3:$E$953,""),"IOT",_xlfn.XLOOKUP($K103&amp;"",IOT!$B$3:$B$1012&amp;"",IOT!$E$3:$E$1012,""),"Server",_xlfn.XLOOKUP($K103&amp;"",SERVER!$B$3:$B$1009&amp;"",SERVER!$E$3:$E$1009,""),""))))</f>
        <v/>
      </c>
      <c r="Q103" s="1" t="str" cm="1">
        <f t="array" ref="Q103">IF(OR($K103="",$I103="",$J103=""),"",_xlfn.LET(_xlpm.srcCat,_xlfn.SWITCH($I103,"Computer",_xlfn.XLOOKUP($K103&amp;"",COMPUTER!$B$3:$B$1009&amp;"",COMPUTER!$H$3:$H$1009,""),"Display",_xlfn.XLOOKUP($K103&amp;"",DISPLAY!$B$3:$B$1000&amp;"",DISPLAY!$H$3:$H$1000,""),"Network Device",_xlfn.XLOOKUP($K103&amp;"",'NETWORK-DEVICES'!$B$3:$B$987&amp;"",'NETWORK-DEVICES'!$H$3:$H$987,""),"Peripheral",_xlfn.XLOOKUP($K103&amp;"",PERIPHERAL!$B$3:$B$954&amp;"",PERIPHERAL!$H$3:$H$954,""),"Utilities",_xlfn.XLOOKUP($K103&amp;"",UTILITIES!$B$3:$B$953&amp;"",UTILITIES!$G$3:$G$953,""),"IOT",_xlfn.XLOOKUP($K103&amp;"",IOT!$B$3:$B$1012&amp;"",IOT!$H$3:$H$1012,""),"Server",_xlfn.XLOOKUP($K103&amp;"",SERVER!$B$3:$B$1009&amp;"",SERVER!$H$3:$H$1009,""),""),IF(TRIM(_xlpm.srcCat)&lt;&gt;TRIM($J103),"",_xlfn.SWITCH($I103,"Computer",_xlfn.XLOOKUP($K103&amp;"",COMPUTER!$B$3:$B$1009&amp;"",COMPUTER!$AM$3:$AM$1009,""),"Display",_xlfn.XLOOKUP($K103&amp;"",DISPLAY!$B$3:$B$1000&amp;"",DISPLAY!$V$3:$V$1000,""),"Network Device",_xlfn.XLOOKUP($K103&amp;"",'NETWORK-DEVICES'!$B$3:$B$987&amp;"",'NETWORK-DEVICES'!$AF$3:$AF$987,""),"Peripheral",_xlfn.XLOOKUP($K103&amp;"",PERIPHERAL!$B$3:$B$954&amp;"",PERIPHERAL!$Y$3:$Y$954,""),"Utilities",_xlfn.XLOOKUP($K103&amp;"",UTILITIES!$B$3:$B$953&amp;"",UTILITIES!$O$3:$O$953,""),"IOT",_xlfn.XLOOKUP($K103&amp;"",IOT!$B$3:$B$1012&amp;"",IOT!$AB$3:$AB$1012,""),"Server",_xlfn.XLOOKUP($K103&amp;"",SERVER!$B$3:$B$1009&amp;"",SERVER!$AB$3:$AB$1009,""),""))))</f>
        <v/>
      </c>
      <c r="R103" s="43" t="str">
        <f>IF(tbl_handover[[#This Row],[Asset Code]]="","",COUNTIF(tbl_handover[Asset Code],tbl_handover[[#This Row],[Asset Code]]))</f>
        <v/>
      </c>
    </row>
    <row r="104" spans="1:18" x14ac:dyDescent="0.25">
      <c r="A104" s="43" t="str">
        <f>IF(B104&lt;&gt;"",SUBTOTAL(3,$B$1:B103),"")</f>
        <v/>
      </c>
      <c r="C104" s="74"/>
      <c r="D104" s="74"/>
      <c r="G104" s="1"/>
      <c r="K104" s="42"/>
      <c r="L104" t="str" cm="1">
        <f t="array" ref="L104">IF($K104="","",_xlfn.SWITCH($I104,"Computer",_xlfn.XLOOKUP($K104&amp;"",COMPUTER!$B$3:$B$1009&amp;"",COMPUTER!$I$3:$I$1009,""),"Display",_xlfn.XLOOKUP($K104&amp;"",DISPLAY!$B$3:$B$1000&amp;"",DISPLAY!$J$3:$J$1000,""),"Network Device",_xlfn.XLOOKUP($K104&amp;"",'NETWORK-DEVICES'!$B$3:$B$987&amp;"",'NETWORK-DEVICES'!$I$3:$I$987,""),"Peripheral",_xlfn.XLOOKUP($K104&amp;"",PERIPHERAL!$B$3:$B$954&amp;"",PERIPHERAL!$I$3:$I$954,""),"Utilities",_xlfn.XLOOKUP($K104&amp;"",UTILITIES!$B$3:$B$953&amp;"",UTILITIES!$H$3:$H$953,""),"IOT",_xlfn.XLOOKUP($K104&amp;"",IOT!$B$3:$B$1012&amp;"",IOT!$I$3:$I$1012,""),"SERVER",_xlfn.XLOOKUP($K104&amp;"",SERVER!$B$3:$B$1009&amp;"",SERVER!$I$3:$I$1009,""),""))</f>
        <v/>
      </c>
      <c r="M104" t="str" cm="1">
        <f t="array" ref="M104">IF($K104="","",_xlfn.SWITCH($I104,"Computer",_xlfn.XLOOKUP($K104&amp;"",COMPUTER!$B$3:$B$1009&amp;"",COMPUTER!$J$3:$J$1009,""),"Display",_xlfn.XLOOKUP($K104&amp;"",DISPLAY!$B$3:$B$1000&amp;"",DISPLAY!$K$3:$K$1000,""),"Network Device",_xlfn.XLOOKUP($K104&amp;"",'NETWORK-DEVICES'!$B$3:$B$987&amp;"",'NETWORK-DEVICES'!$I$3:$I$987,""),"Peripheral",_xlfn.XLOOKUP($K104&amp;"",PERIPHERAL!$B$3:$B$954&amp;"",PERIPHERAL!$J$3:$J$954,""),"Utilities",_xlfn.XLOOKUP($K104&amp;"",UTILITIES!$B$3:$B$953&amp;"",UTILITIES!$I$3:$I$953,""),"IOT",_xlfn.XLOOKUP($K104&amp;"",IOT!$B$3:$B$1012&amp;"",IOT!$J$3:$J$1012,""),"Server",_xlfn.XLOOKUP($K104&amp;"",SERVER!$B$3:$B$1009&amp;"",SERVER!$J$3:$J$1009,""),""))</f>
        <v/>
      </c>
      <c r="N104" s="1" t="str" cm="1">
        <f t="array" ref="N104">IF(OR($K104="",$I104="",$J104=""),"",_xlfn.LET(_xlpm.srcCat,_xlfn.SWITCH($I104,"Computer",_xlfn.XLOOKUP($K104&amp;"",COMPUTER!$B$3:$B$1009&amp;"",COMPUTER!$H$3:$H$1009,""),"Display",_xlfn.XLOOKUP($K104&amp;"",DISPLAY!$B$3:$B$1000&amp;"",DISPLAY!$H$3:$H$1000,""),"Network Device",_xlfn.XLOOKUP($K104&amp;"",'NETWORK-DEVICES'!$B$3:$B$987&amp;"",'NETWORK-DEVICES'!$H$3:$H$987,""),"Peripheral",_xlfn.XLOOKUP($K104&amp;"",PERIPHERAL!$B$3:$B$954&amp;"",PERIPHERAL!$H$3:$H$954,""),"Utilities",_xlfn.XLOOKUP($K104&amp;"",UTILITIES!$B$3:$B$953&amp;"",UTILITIES!$G$3:$G$953,""),"IOT",_xlfn.XLOOKUP($K104&amp;"",IOT!$B$3:$B$1012&amp;"",IOT!$H$3:$H$1012,""),"Server",_xlfn.XLOOKUP($K104&amp;"",SERVER!$B$3:$B$1009&amp;"",SERVER!$H$3:$H$1009,""),""),IF(TRIM(_xlpm.srcCat)&lt;&gt;TRIM($J104),"",_xlfn.SWITCH($I104,"Computer",_xlfn.XLOOKUP($K104&amp;"",COMPUTER!$B$3:$B$1009&amp;"",COMPUTER!$K$3:$K$1009,""),"Display",_xlfn.XLOOKUP($K104&amp;"",DISPLAY!$B$3:$B$1000&amp;"",DISPLAY!$L$3:$L$1000,""),"Network Device",_xlfn.XLOOKUP($K104&amp;"",'NETWORK-DEVICES'!$B$3:$B$987&amp;"",'NETWORK-DEVICES'!$K$3:$K$987,""),"Peripheral",_xlfn.XLOOKUP($K104&amp;"",PERIPHERAL!$B$3:$B$954&amp;"",PERIPHERAL!$K$3:$K$954,""),"Utilities",_xlfn.XLOOKUP($K104&amp;"",UTILITIES!$B$3:$B$953&amp;"",UTILITIES!$J$3:$J$953,""),"IOT",_xlfn.XLOOKUP($K104&amp;"",IOT!$B$3:$B$1012&amp;"",IOT!$K$4:$K$1012,""),"Server",_xlfn.XLOOKUP($K104&amp;"",SERVER!$B$3:$B$1009&amp;"",SERVER!$K$3:$K$1009,""),""))))</f>
        <v/>
      </c>
      <c r="O104" s="1" t="str" cm="1">
        <f t="array" ref="O104">IF(OR($K104="",$I104="",$J104=""),"",_xlfn.LET(_xlpm.srcCat,_xlfn.SWITCH($I104,"Computer",_xlfn.XLOOKUP($K104&amp;"",COMPUTER!$B$3:$B$1009&amp;"",COMPUTER!$H$3:$H$1009,""),"Display",_xlfn.XLOOKUP($K104&amp;"",DISPLAY!$B$3:$B$1000&amp;"",DISPLAY!$H$3:$H$1000,""),"Network Device",_xlfn.XLOOKUP($K104&amp;"",'NETWORK-DEVICES'!$B$3:$B$987&amp;"",'NETWORK-DEVICES'!$H$3:$H$987,""),"Peripheral",_xlfn.XLOOKUP($K104&amp;"",PERIPHERAL!$B$3:$B$954&amp;"",PERIPHERAL!$H$3:$H$954,""),"Utilities",_xlfn.XLOOKUP($K104&amp;"",UTILITIES!$B$3:$B$953&amp;"",UTILITIES!$G$3:$G$953,""),"IOT",_xlfn.XLOOKUP($K104&amp;"",IOT!$B$3:$B$1012&amp;"",IOT!$H$3:$H$1012,""),"Server",_xlfn.XLOOKUP($K104&amp;"",SERVER!$B$3:$B$1009&amp;"",SERVER!$H$3:$H$1009,""),""),IF(TRIM(_xlpm.srcCat)&lt;&gt;TRIM($J104),"",_xlfn.SWITCH($I104,"Computer",_xlfn.XLOOKUP($K104&amp;"",COMPUTER!$B$3:$B$1009&amp;"",COMPUTER!$E$3:$E$1009,""),"Display",_xlfn.XLOOKUP($K104&amp;"",DISPLAY!$B$3:$B$1000&amp;"",DISPLAY!$E$3:$E$1000,""),"Network Device",_xlfn.XLOOKUP($K104&amp;"",'NETWORK-DEVICES'!$B$3:$B$987&amp;"",'NETWORK-DEVICES'!$E$3:$E$987,""),"Peripheral",_xlfn.XLOOKUP($K104&amp;"",PERIPHERAL!$B$3:$B$954&amp;"",PERIPHERAL!$E$3:$E$954,""),"Utilities",_xlfn.XLOOKUP($K104&amp;"",UTILITIES!$B$3:$B$953&amp;"",UTILITIES!$E$3:$E$953,""),"IOT",_xlfn.XLOOKUP($K104&amp;"",IOT!$B$3:$B$1012&amp;"",IOT!$E$3:$E$1012,""),"Server",_xlfn.XLOOKUP($K104&amp;"",SERVER!$B$3:$B$1009&amp;"",SERVER!$E$3:$E$1009,""),""))))</f>
        <v/>
      </c>
      <c r="Q104" s="1" t="str" cm="1">
        <f t="array" ref="Q104">IF(OR($K104="",$I104="",$J104=""),"",_xlfn.LET(_xlpm.srcCat,_xlfn.SWITCH($I104,"Computer",_xlfn.XLOOKUP($K104&amp;"",COMPUTER!$B$3:$B$1009&amp;"",COMPUTER!$H$3:$H$1009,""),"Display",_xlfn.XLOOKUP($K104&amp;"",DISPLAY!$B$3:$B$1000&amp;"",DISPLAY!$H$3:$H$1000,""),"Network Device",_xlfn.XLOOKUP($K104&amp;"",'NETWORK-DEVICES'!$B$3:$B$987&amp;"",'NETWORK-DEVICES'!$H$3:$H$987,""),"Peripheral",_xlfn.XLOOKUP($K104&amp;"",PERIPHERAL!$B$3:$B$954&amp;"",PERIPHERAL!$H$3:$H$954,""),"Utilities",_xlfn.XLOOKUP($K104&amp;"",UTILITIES!$B$3:$B$953&amp;"",UTILITIES!$G$3:$G$953,""),"IOT",_xlfn.XLOOKUP($K104&amp;"",IOT!$B$3:$B$1012&amp;"",IOT!$H$3:$H$1012,""),"Server",_xlfn.XLOOKUP($K104&amp;"",SERVER!$B$3:$B$1009&amp;"",SERVER!$H$3:$H$1009,""),""),IF(TRIM(_xlpm.srcCat)&lt;&gt;TRIM($J104),"",_xlfn.SWITCH($I104,"Computer",_xlfn.XLOOKUP($K104&amp;"",COMPUTER!$B$3:$B$1009&amp;"",COMPUTER!$AM$3:$AM$1009,""),"Display",_xlfn.XLOOKUP($K104&amp;"",DISPLAY!$B$3:$B$1000&amp;"",DISPLAY!$V$3:$V$1000,""),"Network Device",_xlfn.XLOOKUP($K104&amp;"",'NETWORK-DEVICES'!$B$3:$B$987&amp;"",'NETWORK-DEVICES'!$AF$3:$AF$987,""),"Peripheral",_xlfn.XLOOKUP($K104&amp;"",PERIPHERAL!$B$3:$B$954&amp;"",PERIPHERAL!$Y$3:$Y$954,""),"Utilities",_xlfn.XLOOKUP($K104&amp;"",UTILITIES!$B$3:$B$953&amp;"",UTILITIES!$O$3:$O$953,""),"IOT",_xlfn.XLOOKUP($K104&amp;"",IOT!$B$3:$B$1012&amp;"",IOT!$AB$3:$AB$1012,""),"Server",_xlfn.XLOOKUP($K104&amp;"",SERVER!$B$3:$B$1009&amp;"",SERVER!$AB$3:$AB$1009,""),""))))</f>
        <v/>
      </c>
      <c r="R104" s="43" t="str">
        <f>IF(tbl_handover[[#This Row],[Asset Code]]="","",COUNTIF(tbl_handover[Asset Code],tbl_handover[[#This Row],[Asset Code]]))</f>
        <v/>
      </c>
    </row>
    <row r="105" spans="1:18" x14ac:dyDescent="0.25">
      <c r="A105" s="43" t="str">
        <f>IF(B105&lt;&gt;"",SUBTOTAL(3,$B$1:B104),"")</f>
        <v/>
      </c>
      <c r="C105" s="74"/>
      <c r="D105" s="74"/>
      <c r="G105" s="1"/>
      <c r="K105" s="42"/>
      <c r="L105" t="str" cm="1">
        <f t="array" ref="L105">IF($K105="","",_xlfn.SWITCH($I105,"Computer",_xlfn.XLOOKUP($K105&amp;"",COMPUTER!$B$3:$B$1009&amp;"",COMPUTER!$I$3:$I$1009,""),"Display",_xlfn.XLOOKUP($K105&amp;"",DISPLAY!$B$3:$B$1000&amp;"",DISPLAY!$J$3:$J$1000,""),"Network Device",_xlfn.XLOOKUP($K105&amp;"",'NETWORK-DEVICES'!$B$3:$B$987&amp;"",'NETWORK-DEVICES'!$I$3:$I$987,""),"Peripheral",_xlfn.XLOOKUP($K105&amp;"",PERIPHERAL!$B$3:$B$954&amp;"",PERIPHERAL!$I$3:$I$954,""),"Utilities",_xlfn.XLOOKUP($K105&amp;"",UTILITIES!$B$3:$B$953&amp;"",UTILITIES!$H$3:$H$953,""),"IOT",_xlfn.XLOOKUP($K105&amp;"",IOT!$B$3:$B$1012&amp;"",IOT!$I$3:$I$1012,""),"SERVER",_xlfn.XLOOKUP($K105&amp;"",SERVER!$B$3:$B$1009&amp;"",SERVER!$I$3:$I$1009,""),""))</f>
        <v/>
      </c>
      <c r="M105" t="str" cm="1">
        <f t="array" ref="M105">IF($K105="","",_xlfn.SWITCH($I105,"Computer",_xlfn.XLOOKUP($K105&amp;"",COMPUTER!$B$3:$B$1009&amp;"",COMPUTER!$J$3:$J$1009,""),"Display",_xlfn.XLOOKUP($K105&amp;"",DISPLAY!$B$3:$B$1000&amp;"",DISPLAY!$K$3:$K$1000,""),"Network Device",_xlfn.XLOOKUP($K105&amp;"",'NETWORK-DEVICES'!$B$3:$B$987&amp;"",'NETWORK-DEVICES'!$I$3:$I$987,""),"Peripheral",_xlfn.XLOOKUP($K105&amp;"",PERIPHERAL!$B$3:$B$954&amp;"",PERIPHERAL!$J$3:$J$954,""),"Utilities",_xlfn.XLOOKUP($K105&amp;"",UTILITIES!$B$3:$B$953&amp;"",UTILITIES!$I$3:$I$953,""),"IOT",_xlfn.XLOOKUP($K105&amp;"",IOT!$B$3:$B$1012&amp;"",IOT!$J$3:$J$1012,""),"Server",_xlfn.XLOOKUP($K105&amp;"",SERVER!$B$3:$B$1009&amp;"",SERVER!$J$3:$J$1009,""),""))</f>
        <v/>
      </c>
      <c r="N105" s="1" t="str" cm="1">
        <f t="array" ref="N105">IF(OR($K105="",$I105="",$J105=""),"",_xlfn.LET(_xlpm.srcCat,_xlfn.SWITCH($I105,"Computer",_xlfn.XLOOKUP($K105&amp;"",COMPUTER!$B$3:$B$1009&amp;"",COMPUTER!$H$3:$H$1009,""),"Display",_xlfn.XLOOKUP($K105&amp;"",DISPLAY!$B$3:$B$1000&amp;"",DISPLAY!$H$3:$H$1000,""),"Network Device",_xlfn.XLOOKUP($K105&amp;"",'NETWORK-DEVICES'!$B$3:$B$987&amp;"",'NETWORK-DEVICES'!$H$3:$H$987,""),"Peripheral",_xlfn.XLOOKUP($K105&amp;"",PERIPHERAL!$B$3:$B$954&amp;"",PERIPHERAL!$H$3:$H$954,""),"Utilities",_xlfn.XLOOKUP($K105&amp;"",UTILITIES!$B$3:$B$953&amp;"",UTILITIES!$G$3:$G$953,""),"IOT",_xlfn.XLOOKUP($K105&amp;"",IOT!$B$3:$B$1012&amp;"",IOT!$H$3:$H$1012,""),"Server",_xlfn.XLOOKUP($K105&amp;"",SERVER!$B$3:$B$1009&amp;"",SERVER!$H$3:$H$1009,""),""),IF(TRIM(_xlpm.srcCat)&lt;&gt;TRIM($J105),"",_xlfn.SWITCH($I105,"Computer",_xlfn.XLOOKUP($K105&amp;"",COMPUTER!$B$3:$B$1009&amp;"",COMPUTER!$K$3:$K$1009,""),"Display",_xlfn.XLOOKUP($K105&amp;"",DISPLAY!$B$3:$B$1000&amp;"",DISPLAY!$L$3:$L$1000,""),"Network Device",_xlfn.XLOOKUP($K105&amp;"",'NETWORK-DEVICES'!$B$3:$B$987&amp;"",'NETWORK-DEVICES'!$K$3:$K$987,""),"Peripheral",_xlfn.XLOOKUP($K105&amp;"",PERIPHERAL!$B$3:$B$954&amp;"",PERIPHERAL!$K$3:$K$954,""),"Utilities",_xlfn.XLOOKUP($K105&amp;"",UTILITIES!$B$3:$B$953&amp;"",UTILITIES!$J$3:$J$953,""),"IOT",_xlfn.XLOOKUP($K105&amp;"",IOT!$B$3:$B$1012&amp;"",IOT!$K$4:$K$1012,""),"Server",_xlfn.XLOOKUP($K105&amp;"",SERVER!$B$3:$B$1009&amp;"",SERVER!$K$3:$K$1009,""),""))))</f>
        <v/>
      </c>
      <c r="O105" s="1" t="str" cm="1">
        <f t="array" ref="O105">IF(OR($K105="",$I105="",$J105=""),"",_xlfn.LET(_xlpm.srcCat,_xlfn.SWITCH($I105,"Computer",_xlfn.XLOOKUP($K105&amp;"",COMPUTER!$B$3:$B$1009&amp;"",COMPUTER!$H$3:$H$1009,""),"Display",_xlfn.XLOOKUP($K105&amp;"",DISPLAY!$B$3:$B$1000&amp;"",DISPLAY!$H$3:$H$1000,""),"Network Device",_xlfn.XLOOKUP($K105&amp;"",'NETWORK-DEVICES'!$B$3:$B$987&amp;"",'NETWORK-DEVICES'!$H$3:$H$987,""),"Peripheral",_xlfn.XLOOKUP($K105&amp;"",PERIPHERAL!$B$3:$B$954&amp;"",PERIPHERAL!$H$3:$H$954,""),"Utilities",_xlfn.XLOOKUP($K105&amp;"",UTILITIES!$B$3:$B$953&amp;"",UTILITIES!$G$3:$G$953,""),"IOT",_xlfn.XLOOKUP($K105&amp;"",IOT!$B$3:$B$1012&amp;"",IOT!$H$3:$H$1012,""),"Server",_xlfn.XLOOKUP($K105&amp;"",SERVER!$B$3:$B$1009&amp;"",SERVER!$H$3:$H$1009,""),""),IF(TRIM(_xlpm.srcCat)&lt;&gt;TRIM($J105),"",_xlfn.SWITCH($I105,"Computer",_xlfn.XLOOKUP($K105&amp;"",COMPUTER!$B$3:$B$1009&amp;"",COMPUTER!$E$3:$E$1009,""),"Display",_xlfn.XLOOKUP($K105&amp;"",DISPLAY!$B$3:$B$1000&amp;"",DISPLAY!$E$3:$E$1000,""),"Network Device",_xlfn.XLOOKUP($K105&amp;"",'NETWORK-DEVICES'!$B$3:$B$987&amp;"",'NETWORK-DEVICES'!$E$3:$E$987,""),"Peripheral",_xlfn.XLOOKUP($K105&amp;"",PERIPHERAL!$B$3:$B$954&amp;"",PERIPHERAL!$E$3:$E$954,""),"Utilities",_xlfn.XLOOKUP($K105&amp;"",UTILITIES!$B$3:$B$953&amp;"",UTILITIES!$E$3:$E$953,""),"IOT",_xlfn.XLOOKUP($K105&amp;"",IOT!$B$3:$B$1012&amp;"",IOT!$E$3:$E$1012,""),"Server",_xlfn.XLOOKUP($K105&amp;"",SERVER!$B$3:$B$1009&amp;"",SERVER!$E$3:$E$1009,""),""))))</f>
        <v/>
      </c>
      <c r="Q105" s="1" t="str" cm="1">
        <f t="array" ref="Q105">IF(OR($K105="",$I105="",$J105=""),"",_xlfn.LET(_xlpm.srcCat,_xlfn.SWITCH($I105,"Computer",_xlfn.XLOOKUP($K105&amp;"",COMPUTER!$B$3:$B$1009&amp;"",COMPUTER!$H$3:$H$1009,""),"Display",_xlfn.XLOOKUP($K105&amp;"",DISPLAY!$B$3:$B$1000&amp;"",DISPLAY!$H$3:$H$1000,""),"Network Device",_xlfn.XLOOKUP($K105&amp;"",'NETWORK-DEVICES'!$B$3:$B$987&amp;"",'NETWORK-DEVICES'!$H$3:$H$987,""),"Peripheral",_xlfn.XLOOKUP($K105&amp;"",PERIPHERAL!$B$3:$B$954&amp;"",PERIPHERAL!$H$3:$H$954,""),"Utilities",_xlfn.XLOOKUP($K105&amp;"",UTILITIES!$B$3:$B$953&amp;"",UTILITIES!$G$3:$G$953,""),"IOT",_xlfn.XLOOKUP($K105&amp;"",IOT!$B$3:$B$1012&amp;"",IOT!$H$3:$H$1012,""),"Server",_xlfn.XLOOKUP($K105&amp;"",SERVER!$B$3:$B$1009&amp;"",SERVER!$H$3:$H$1009,""),""),IF(TRIM(_xlpm.srcCat)&lt;&gt;TRIM($J105),"",_xlfn.SWITCH($I105,"Computer",_xlfn.XLOOKUP($K105&amp;"",COMPUTER!$B$3:$B$1009&amp;"",COMPUTER!$AM$3:$AM$1009,""),"Display",_xlfn.XLOOKUP($K105&amp;"",DISPLAY!$B$3:$B$1000&amp;"",DISPLAY!$V$3:$V$1000,""),"Network Device",_xlfn.XLOOKUP($K105&amp;"",'NETWORK-DEVICES'!$B$3:$B$987&amp;"",'NETWORK-DEVICES'!$AF$3:$AF$987,""),"Peripheral",_xlfn.XLOOKUP($K105&amp;"",PERIPHERAL!$B$3:$B$954&amp;"",PERIPHERAL!$Y$3:$Y$954,""),"Utilities",_xlfn.XLOOKUP($K105&amp;"",UTILITIES!$B$3:$B$953&amp;"",UTILITIES!$O$3:$O$953,""),"IOT",_xlfn.XLOOKUP($K105&amp;"",IOT!$B$3:$B$1012&amp;"",IOT!$AB$3:$AB$1012,""),"Server",_xlfn.XLOOKUP($K105&amp;"",SERVER!$B$3:$B$1009&amp;"",SERVER!$AB$3:$AB$1009,""),""))))</f>
        <v/>
      </c>
      <c r="R105" s="43" t="str">
        <f>IF(tbl_handover[[#This Row],[Asset Code]]="","",COUNTIF(tbl_handover[Asset Code],tbl_handover[[#This Row],[Asset Code]]))</f>
        <v/>
      </c>
    </row>
    <row r="106" spans="1:18" x14ac:dyDescent="0.25">
      <c r="A106" s="43" t="str">
        <f>IF(B106&lt;&gt;"",SUBTOTAL(3,$B$1:B105),"")</f>
        <v/>
      </c>
      <c r="C106" s="74"/>
      <c r="D106" s="74"/>
      <c r="G106" s="1"/>
      <c r="K106" s="42"/>
      <c r="L106" t="str" cm="1">
        <f t="array" ref="L106">IF($K106="","",_xlfn.SWITCH($I106,"Computer",_xlfn.XLOOKUP($K106&amp;"",COMPUTER!$B$3:$B$1009&amp;"",COMPUTER!$I$3:$I$1009,""),"Display",_xlfn.XLOOKUP($K106&amp;"",DISPLAY!$B$3:$B$1000&amp;"",DISPLAY!$J$3:$J$1000,""),"Network Device",_xlfn.XLOOKUP($K106&amp;"",'NETWORK-DEVICES'!$B$3:$B$987&amp;"",'NETWORK-DEVICES'!$I$3:$I$987,""),"Peripheral",_xlfn.XLOOKUP($K106&amp;"",PERIPHERAL!$B$3:$B$954&amp;"",PERIPHERAL!$I$3:$I$954,""),"Utilities",_xlfn.XLOOKUP($K106&amp;"",UTILITIES!$B$3:$B$953&amp;"",UTILITIES!$H$3:$H$953,""),"IOT",_xlfn.XLOOKUP($K106&amp;"",IOT!$B$3:$B$1012&amp;"",IOT!$I$3:$I$1012,""),"SERVER",_xlfn.XLOOKUP($K106&amp;"",SERVER!$B$3:$B$1009&amp;"",SERVER!$I$3:$I$1009,""),""))</f>
        <v/>
      </c>
      <c r="M106" t="str" cm="1">
        <f t="array" ref="M106">IF($K106="","",_xlfn.SWITCH($I106,"Computer",_xlfn.XLOOKUP($K106&amp;"",COMPUTER!$B$3:$B$1009&amp;"",COMPUTER!$J$3:$J$1009,""),"Display",_xlfn.XLOOKUP($K106&amp;"",DISPLAY!$B$3:$B$1000&amp;"",DISPLAY!$K$3:$K$1000,""),"Network Device",_xlfn.XLOOKUP($K106&amp;"",'NETWORK-DEVICES'!$B$3:$B$987&amp;"",'NETWORK-DEVICES'!$I$3:$I$987,""),"Peripheral",_xlfn.XLOOKUP($K106&amp;"",PERIPHERAL!$B$3:$B$954&amp;"",PERIPHERAL!$J$3:$J$954,""),"Utilities",_xlfn.XLOOKUP($K106&amp;"",UTILITIES!$B$3:$B$953&amp;"",UTILITIES!$I$3:$I$953,""),"IOT",_xlfn.XLOOKUP($K106&amp;"",IOT!$B$3:$B$1012&amp;"",IOT!$J$3:$J$1012,""),"Server",_xlfn.XLOOKUP($K106&amp;"",SERVER!$B$3:$B$1009&amp;"",SERVER!$J$3:$J$1009,""),""))</f>
        <v/>
      </c>
      <c r="N106" s="1" t="str" cm="1">
        <f t="array" ref="N106">IF(OR($K106="",$I106="",$J106=""),"",_xlfn.LET(_xlpm.srcCat,_xlfn.SWITCH($I106,"Computer",_xlfn.XLOOKUP($K106&amp;"",COMPUTER!$B$3:$B$1009&amp;"",COMPUTER!$H$3:$H$1009,""),"Display",_xlfn.XLOOKUP($K106&amp;"",DISPLAY!$B$3:$B$1000&amp;"",DISPLAY!$H$3:$H$1000,""),"Network Device",_xlfn.XLOOKUP($K106&amp;"",'NETWORK-DEVICES'!$B$3:$B$987&amp;"",'NETWORK-DEVICES'!$H$3:$H$987,""),"Peripheral",_xlfn.XLOOKUP($K106&amp;"",PERIPHERAL!$B$3:$B$954&amp;"",PERIPHERAL!$H$3:$H$954,""),"Utilities",_xlfn.XLOOKUP($K106&amp;"",UTILITIES!$B$3:$B$953&amp;"",UTILITIES!$G$3:$G$953,""),"IOT",_xlfn.XLOOKUP($K106&amp;"",IOT!$B$3:$B$1012&amp;"",IOT!$H$3:$H$1012,""),"Server",_xlfn.XLOOKUP($K106&amp;"",SERVER!$B$3:$B$1009&amp;"",SERVER!$H$3:$H$1009,""),""),IF(TRIM(_xlpm.srcCat)&lt;&gt;TRIM($J106),"",_xlfn.SWITCH($I106,"Computer",_xlfn.XLOOKUP($K106&amp;"",COMPUTER!$B$3:$B$1009&amp;"",COMPUTER!$K$3:$K$1009,""),"Display",_xlfn.XLOOKUP($K106&amp;"",DISPLAY!$B$3:$B$1000&amp;"",DISPLAY!$L$3:$L$1000,""),"Network Device",_xlfn.XLOOKUP($K106&amp;"",'NETWORK-DEVICES'!$B$3:$B$987&amp;"",'NETWORK-DEVICES'!$K$3:$K$987,""),"Peripheral",_xlfn.XLOOKUP($K106&amp;"",PERIPHERAL!$B$3:$B$954&amp;"",PERIPHERAL!$K$3:$K$954,""),"Utilities",_xlfn.XLOOKUP($K106&amp;"",UTILITIES!$B$3:$B$953&amp;"",UTILITIES!$J$3:$J$953,""),"IOT",_xlfn.XLOOKUP($K106&amp;"",IOT!$B$3:$B$1012&amp;"",IOT!$K$4:$K$1012,""),"Server",_xlfn.XLOOKUP($K106&amp;"",SERVER!$B$3:$B$1009&amp;"",SERVER!$K$3:$K$1009,""),""))))</f>
        <v/>
      </c>
      <c r="O106" s="1" t="str" cm="1">
        <f t="array" ref="O106">IF(OR($K106="",$I106="",$J106=""),"",_xlfn.LET(_xlpm.srcCat,_xlfn.SWITCH($I106,"Computer",_xlfn.XLOOKUP($K106&amp;"",COMPUTER!$B$3:$B$1009&amp;"",COMPUTER!$H$3:$H$1009,""),"Display",_xlfn.XLOOKUP($K106&amp;"",DISPLAY!$B$3:$B$1000&amp;"",DISPLAY!$H$3:$H$1000,""),"Network Device",_xlfn.XLOOKUP($K106&amp;"",'NETWORK-DEVICES'!$B$3:$B$987&amp;"",'NETWORK-DEVICES'!$H$3:$H$987,""),"Peripheral",_xlfn.XLOOKUP($K106&amp;"",PERIPHERAL!$B$3:$B$954&amp;"",PERIPHERAL!$H$3:$H$954,""),"Utilities",_xlfn.XLOOKUP($K106&amp;"",UTILITIES!$B$3:$B$953&amp;"",UTILITIES!$G$3:$G$953,""),"IOT",_xlfn.XLOOKUP($K106&amp;"",IOT!$B$3:$B$1012&amp;"",IOT!$H$3:$H$1012,""),"Server",_xlfn.XLOOKUP($K106&amp;"",SERVER!$B$3:$B$1009&amp;"",SERVER!$H$3:$H$1009,""),""),IF(TRIM(_xlpm.srcCat)&lt;&gt;TRIM($J106),"",_xlfn.SWITCH($I106,"Computer",_xlfn.XLOOKUP($K106&amp;"",COMPUTER!$B$3:$B$1009&amp;"",COMPUTER!$E$3:$E$1009,""),"Display",_xlfn.XLOOKUP($K106&amp;"",DISPLAY!$B$3:$B$1000&amp;"",DISPLAY!$E$3:$E$1000,""),"Network Device",_xlfn.XLOOKUP($K106&amp;"",'NETWORK-DEVICES'!$B$3:$B$987&amp;"",'NETWORK-DEVICES'!$E$3:$E$987,""),"Peripheral",_xlfn.XLOOKUP($K106&amp;"",PERIPHERAL!$B$3:$B$954&amp;"",PERIPHERAL!$E$3:$E$954,""),"Utilities",_xlfn.XLOOKUP($K106&amp;"",UTILITIES!$B$3:$B$953&amp;"",UTILITIES!$E$3:$E$953,""),"IOT",_xlfn.XLOOKUP($K106&amp;"",IOT!$B$3:$B$1012&amp;"",IOT!$E$3:$E$1012,""),"Server",_xlfn.XLOOKUP($K106&amp;"",SERVER!$B$3:$B$1009&amp;"",SERVER!$E$3:$E$1009,""),""))))</f>
        <v/>
      </c>
      <c r="Q106" s="1" t="str" cm="1">
        <f t="array" ref="Q106">IF(OR($K106="",$I106="",$J106=""),"",_xlfn.LET(_xlpm.srcCat,_xlfn.SWITCH($I106,"Computer",_xlfn.XLOOKUP($K106&amp;"",COMPUTER!$B$3:$B$1009&amp;"",COMPUTER!$H$3:$H$1009,""),"Display",_xlfn.XLOOKUP($K106&amp;"",DISPLAY!$B$3:$B$1000&amp;"",DISPLAY!$H$3:$H$1000,""),"Network Device",_xlfn.XLOOKUP($K106&amp;"",'NETWORK-DEVICES'!$B$3:$B$987&amp;"",'NETWORK-DEVICES'!$H$3:$H$987,""),"Peripheral",_xlfn.XLOOKUP($K106&amp;"",PERIPHERAL!$B$3:$B$954&amp;"",PERIPHERAL!$H$3:$H$954,""),"Utilities",_xlfn.XLOOKUP($K106&amp;"",UTILITIES!$B$3:$B$953&amp;"",UTILITIES!$G$3:$G$953,""),"IOT",_xlfn.XLOOKUP($K106&amp;"",IOT!$B$3:$B$1012&amp;"",IOT!$H$3:$H$1012,""),"Server",_xlfn.XLOOKUP($K106&amp;"",SERVER!$B$3:$B$1009&amp;"",SERVER!$H$3:$H$1009,""),""),IF(TRIM(_xlpm.srcCat)&lt;&gt;TRIM($J106),"",_xlfn.SWITCH($I106,"Computer",_xlfn.XLOOKUP($K106&amp;"",COMPUTER!$B$3:$B$1009&amp;"",COMPUTER!$AM$3:$AM$1009,""),"Display",_xlfn.XLOOKUP($K106&amp;"",DISPLAY!$B$3:$B$1000&amp;"",DISPLAY!$V$3:$V$1000,""),"Network Device",_xlfn.XLOOKUP($K106&amp;"",'NETWORK-DEVICES'!$B$3:$B$987&amp;"",'NETWORK-DEVICES'!$AF$3:$AF$987,""),"Peripheral",_xlfn.XLOOKUP($K106&amp;"",PERIPHERAL!$B$3:$B$954&amp;"",PERIPHERAL!$Y$3:$Y$954,""),"Utilities",_xlfn.XLOOKUP($K106&amp;"",UTILITIES!$B$3:$B$953&amp;"",UTILITIES!$O$3:$O$953,""),"IOT",_xlfn.XLOOKUP($K106&amp;"",IOT!$B$3:$B$1012&amp;"",IOT!$AB$3:$AB$1012,""),"Server",_xlfn.XLOOKUP($K106&amp;"",SERVER!$B$3:$B$1009&amp;"",SERVER!$AB$3:$AB$1009,""),""))))</f>
        <v/>
      </c>
      <c r="R106" s="43" t="str">
        <f>IF(tbl_handover[[#This Row],[Asset Code]]="","",COUNTIF(tbl_handover[Asset Code],tbl_handover[[#This Row],[Asset Code]]))</f>
        <v/>
      </c>
    </row>
    <row r="107" spans="1:18" x14ac:dyDescent="0.25">
      <c r="A107" s="43" t="str">
        <f>IF(B107&lt;&gt;"",SUBTOTAL(3,$B$1:B106),"")</f>
        <v/>
      </c>
      <c r="C107" s="74"/>
      <c r="D107" s="74"/>
      <c r="G107" s="1"/>
      <c r="K107" s="42"/>
      <c r="L107" t="str" cm="1">
        <f t="array" ref="L107">IF($K107="","",_xlfn.SWITCH($I107,"Computer",_xlfn.XLOOKUP($K107&amp;"",COMPUTER!$B$3:$B$1009&amp;"",COMPUTER!$I$3:$I$1009,""),"Display",_xlfn.XLOOKUP($K107&amp;"",DISPLAY!$B$3:$B$1000&amp;"",DISPLAY!$J$3:$J$1000,""),"Network Device",_xlfn.XLOOKUP($K107&amp;"",'NETWORK-DEVICES'!$B$3:$B$987&amp;"",'NETWORK-DEVICES'!$I$3:$I$987,""),"Peripheral",_xlfn.XLOOKUP($K107&amp;"",PERIPHERAL!$B$3:$B$954&amp;"",PERIPHERAL!$I$3:$I$954,""),"Utilities",_xlfn.XLOOKUP($K107&amp;"",UTILITIES!$B$3:$B$953&amp;"",UTILITIES!$H$3:$H$953,""),"IOT",_xlfn.XLOOKUP($K107&amp;"",IOT!$B$3:$B$1012&amp;"",IOT!$I$3:$I$1012,""),"SERVER",_xlfn.XLOOKUP($K107&amp;"",SERVER!$B$3:$B$1009&amp;"",SERVER!$I$3:$I$1009,""),""))</f>
        <v/>
      </c>
      <c r="M107" t="str" cm="1">
        <f t="array" ref="M107">IF($K107="","",_xlfn.SWITCH($I107,"Computer",_xlfn.XLOOKUP($K107&amp;"",COMPUTER!$B$3:$B$1009&amp;"",COMPUTER!$J$3:$J$1009,""),"Display",_xlfn.XLOOKUP($K107&amp;"",DISPLAY!$B$3:$B$1000&amp;"",DISPLAY!$K$3:$K$1000,""),"Network Device",_xlfn.XLOOKUP($K107&amp;"",'NETWORK-DEVICES'!$B$3:$B$987&amp;"",'NETWORK-DEVICES'!$I$3:$I$987,""),"Peripheral",_xlfn.XLOOKUP($K107&amp;"",PERIPHERAL!$B$3:$B$954&amp;"",PERIPHERAL!$J$3:$J$954,""),"Utilities",_xlfn.XLOOKUP($K107&amp;"",UTILITIES!$B$3:$B$953&amp;"",UTILITIES!$I$3:$I$953,""),"IOT",_xlfn.XLOOKUP($K107&amp;"",IOT!$B$3:$B$1012&amp;"",IOT!$J$3:$J$1012,""),"Server",_xlfn.XLOOKUP($K107&amp;"",SERVER!$B$3:$B$1009&amp;"",SERVER!$J$3:$J$1009,""),""))</f>
        <v/>
      </c>
      <c r="N107" s="1" t="str" cm="1">
        <f t="array" ref="N107">IF(OR($K107="",$I107="",$J107=""),"",_xlfn.LET(_xlpm.srcCat,_xlfn.SWITCH($I107,"Computer",_xlfn.XLOOKUP($K107&amp;"",COMPUTER!$B$3:$B$1009&amp;"",COMPUTER!$H$3:$H$1009,""),"Display",_xlfn.XLOOKUP($K107&amp;"",DISPLAY!$B$3:$B$1000&amp;"",DISPLAY!$H$3:$H$1000,""),"Network Device",_xlfn.XLOOKUP($K107&amp;"",'NETWORK-DEVICES'!$B$3:$B$987&amp;"",'NETWORK-DEVICES'!$H$3:$H$987,""),"Peripheral",_xlfn.XLOOKUP($K107&amp;"",PERIPHERAL!$B$3:$B$954&amp;"",PERIPHERAL!$H$3:$H$954,""),"Utilities",_xlfn.XLOOKUP($K107&amp;"",UTILITIES!$B$3:$B$953&amp;"",UTILITIES!$G$3:$G$953,""),"IOT",_xlfn.XLOOKUP($K107&amp;"",IOT!$B$3:$B$1012&amp;"",IOT!$H$3:$H$1012,""),"Server",_xlfn.XLOOKUP($K107&amp;"",SERVER!$B$3:$B$1009&amp;"",SERVER!$H$3:$H$1009,""),""),IF(TRIM(_xlpm.srcCat)&lt;&gt;TRIM($J107),"",_xlfn.SWITCH($I107,"Computer",_xlfn.XLOOKUP($K107&amp;"",COMPUTER!$B$3:$B$1009&amp;"",COMPUTER!$K$3:$K$1009,""),"Display",_xlfn.XLOOKUP($K107&amp;"",DISPLAY!$B$3:$B$1000&amp;"",DISPLAY!$L$3:$L$1000,""),"Network Device",_xlfn.XLOOKUP($K107&amp;"",'NETWORK-DEVICES'!$B$3:$B$987&amp;"",'NETWORK-DEVICES'!$K$3:$K$987,""),"Peripheral",_xlfn.XLOOKUP($K107&amp;"",PERIPHERAL!$B$3:$B$954&amp;"",PERIPHERAL!$K$3:$K$954,""),"Utilities",_xlfn.XLOOKUP($K107&amp;"",UTILITIES!$B$3:$B$953&amp;"",UTILITIES!$J$3:$J$953,""),"IOT",_xlfn.XLOOKUP($K107&amp;"",IOT!$B$3:$B$1012&amp;"",IOT!$K$4:$K$1012,""),"Server",_xlfn.XLOOKUP($K107&amp;"",SERVER!$B$3:$B$1009&amp;"",SERVER!$K$3:$K$1009,""),""))))</f>
        <v/>
      </c>
      <c r="O107" s="1" t="str" cm="1">
        <f t="array" ref="O107">IF(OR($K107="",$I107="",$J107=""),"",_xlfn.LET(_xlpm.srcCat,_xlfn.SWITCH($I107,"Computer",_xlfn.XLOOKUP($K107&amp;"",COMPUTER!$B$3:$B$1009&amp;"",COMPUTER!$H$3:$H$1009,""),"Display",_xlfn.XLOOKUP($K107&amp;"",DISPLAY!$B$3:$B$1000&amp;"",DISPLAY!$H$3:$H$1000,""),"Network Device",_xlfn.XLOOKUP($K107&amp;"",'NETWORK-DEVICES'!$B$3:$B$987&amp;"",'NETWORK-DEVICES'!$H$3:$H$987,""),"Peripheral",_xlfn.XLOOKUP($K107&amp;"",PERIPHERAL!$B$3:$B$954&amp;"",PERIPHERAL!$H$3:$H$954,""),"Utilities",_xlfn.XLOOKUP($K107&amp;"",UTILITIES!$B$3:$B$953&amp;"",UTILITIES!$G$3:$G$953,""),"IOT",_xlfn.XLOOKUP($K107&amp;"",IOT!$B$3:$B$1012&amp;"",IOT!$H$3:$H$1012,""),"Server",_xlfn.XLOOKUP($K107&amp;"",SERVER!$B$3:$B$1009&amp;"",SERVER!$H$3:$H$1009,""),""),IF(TRIM(_xlpm.srcCat)&lt;&gt;TRIM($J107),"",_xlfn.SWITCH($I107,"Computer",_xlfn.XLOOKUP($K107&amp;"",COMPUTER!$B$3:$B$1009&amp;"",COMPUTER!$E$3:$E$1009,""),"Display",_xlfn.XLOOKUP($K107&amp;"",DISPLAY!$B$3:$B$1000&amp;"",DISPLAY!$E$3:$E$1000,""),"Network Device",_xlfn.XLOOKUP($K107&amp;"",'NETWORK-DEVICES'!$B$3:$B$987&amp;"",'NETWORK-DEVICES'!$E$3:$E$987,""),"Peripheral",_xlfn.XLOOKUP($K107&amp;"",PERIPHERAL!$B$3:$B$954&amp;"",PERIPHERAL!$E$3:$E$954,""),"Utilities",_xlfn.XLOOKUP($K107&amp;"",UTILITIES!$B$3:$B$953&amp;"",UTILITIES!$E$3:$E$953,""),"IOT",_xlfn.XLOOKUP($K107&amp;"",IOT!$B$3:$B$1012&amp;"",IOT!$E$3:$E$1012,""),"Server",_xlfn.XLOOKUP($K107&amp;"",SERVER!$B$3:$B$1009&amp;"",SERVER!$E$3:$E$1009,""),""))))</f>
        <v/>
      </c>
      <c r="Q107" s="1" t="str" cm="1">
        <f t="array" ref="Q107">IF(OR($K107="",$I107="",$J107=""),"",_xlfn.LET(_xlpm.srcCat,_xlfn.SWITCH($I107,"Computer",_xlfn.XLOOKUP($K107&amp;"",COMPUTER!$B$3:$B$1009&amp;"",COMPUTER!$H$3:$H$1009,""),"Display",_xlfn.XLOOKUP($K107&amp;"",DISPLAY!$B$3:$B$1000&amp;"",DISPLAY!$H$3:$H$1000,""),"Network Device",_xlfn.XLOOKUP($K107&amp;"",'NETWORK-DEVICES'!$B$3:$B$987&amp;"",'NETWORK-DEVICES'!$H$3:$H$987,""),"Peripheral",_xlfn.XLOOKUP($K107&amp;"",PERIPHERAL!$B$3:$B$954&amp;"",PERIPHERAL!$H$3:$H$954,""),"Utilities",_xlfn.XLOOKUP($K107&amp;"",UTILITIES!$B$3:$B$953&amp;"",UTILITIES!$G$3:$G$953,""),"IOT",_xlfn.XLOOKUP($K107&amp;"",IOT!$B$3:$B$1012&amp;"",IOT!$H$3:$H$1012,""),"Server",_xlfn.XLOOKUP($K107&amp;"",SERVER!$B$3:$B$1009&amp;"",SERVER!$H$3:$H$1009,""),""),IF(TRIM(_xlpm.srcCat)&lt;&gt;TRIM($J107),"",_xlfn.SWITCH($I107,"Computer",_xlfn.XLOOKUP($K107&amp;"",COMPUTER!$B$3:$B$1009&amp;"",COMPUTER!$AM$3:$AM$1009,""),"Display",_xlfn.XLOOKUP($K107&amp;"",DISPLAY!$B$3:$B$1000&amp;"",DISPLAY!$V$3:$V$1000,""),"Network Device",_xlfn.XLOOKUP($K107&amp;"",'NETWORK-DEVICES'!$B$3:$B$987&amp;"",'NETWORK-DEVICES'!$AF$3:$AF$987,""),"Peripheral",_xlfn.XLOOKUP($K107&amp;"",PERIPHERAL!$B$3:$B$954&amp;"",PERIPHERAL!$Y$3:$Y$954,""),"Utilities",_xlfn.XLOOKUP($K107&amp;"",UTILITIES!$B$3:$B$953&amp;"",UTILITIES!$O$3:$O$953,""),"IOT",_xlfn.XLOOKUP($K107&amp;"",IOT!$B$3:$B$1012&amp;"",IOT!$AB$3:$AB$1012,""),"Server",_xlfn.XLOOKUP($K107&amp;"",SERVER!$B$3:$B$1009&amp;"",SERVER!$AB$3:$AB$1009,""),""))))</f>
        <v/>
      </c>
      <c r="R107" s="43" t="str">
        <f>IF(tbl_handover[[#This Row],[Asset Code]]="","",COUNTIF(tbl_handover[Asset Code],tbl_handover[[#This Row],[Asset Code]]))</f>
        <v/>
      </c>
    </row>
    <row r="108" spans="1:18" x14ac:dyDescent="0.25">
      <c r="A108" s="43" t="str">
        <f>IF(B108&lt;&gt;"",SUBTOTAL(3,$B$1:B107),"")</f>
        <v/>
      </c>
      <c r="C108" s="74"/>
      <c r="D108" s="74"/>
      <c r="G108" s="1"/>
      <c r="K108" s="42"/>
      <c r="L108" t="str" cm="1">
        <f t="array" ref="L108">IF($K108="","",_xlfn.SWITCH($I108,"Computer",_xlfn.XLOOKUP($K108&amp;"",COMPUTER!$B$3:$B$1009&amp;"",COMPUTER!$I$3:$I$1009,""),"Display",_xlfn.XLOOKUP($K108&amp;"",DISPLAY!$B$3:$B$1000&amp;"",DISPLAY!$J$3:$J$1000,""),"Network Device",_xlfn.XLOOKUP($K108&amp;"",'NETWORK-DEVICES'!$B$3:$B$987&amp;"",'NETWORK-DEVICES'!$I$3:$I$987,""),"Peripheral",_xlfn.XLOOKUP($K108&amp;"",PERIPHERAL!$B$3:$B$954&amp;"",PERIPHERAL!$I$3:$I$954,""),"Utilities",_xlfn.XLOOKUP($K108&amp;"",UTILITIES!$B$3:$B$953&amp;"",UTILITIES!$H$3:$H$953,""),"IOT",_xlfn.XLOOKUP($K108&amp;"",IOT!$B$3:$B$1012&amp;"",IOT!$I$3:$I$1012,""),"SERVER",_xlfn.XLOOKUP($K108&amp;"",SERVER!$B$3:$B$1009&amp;"",SERVER!$I$3:$I$1009,""),""))</f>
        <v/>
      </c>
      <c r="M108" t="str" cm="1">
        <f t="array" ref="M108">IF($K108="","",_xlfn.SWITCH($I108,"Computer",_xlfn.XLOOKUP($K108&amp;"",COMPUTER!$B$3:$B$1009&amp;"",COMPUTER!$J$3:$J$1009,""),"Display",_xlfn.XLOOKUP($K108&amp;"",DISPLAY!$B$3:$B$1000&amp;"",DISPLAY!$K$3:$K$1000,""),"Network Device",_xlfn.XLOOKUP($K108&amp;"",'NETWORK-DEVICES'!$B$3:$B$987&amp;"",'NETWORK-DEVICES'!$I$3:$I$987,""),"Peripheral",_xlfn.XLOOKUP($K108&amp;"",PERIPHERAL!$B$3:$B$954&amp;"",PERIPHERAL!$J$3:$J$954,""),"Utilities",_xlfn.XLOOKUP($K108&amp;"",UTILITIES!$B$3:$B$953&amp;"",UTILITIES!$I$3:$I$953,""),"IOT",_xlfn.XLOOKUP($K108&amp;"",IOT!$B$3:$B$1012&amp;"",IOT!$J$3:$J$1012,""),"Server",_xlfn.XLOOKUP($K108&amp;"",SERVER!$B$3:$B$1009&amp;"",SERVER!$J$3:$J$1009,""),""))</f>
        <v/>
      </c>
      <c r="N108" s="1" t="str" cm="1">
        <f t="array" ref="N108">IF(OR($K108="",$I108="",$J108=""),"",_xlfn.LET(_xlpm.srcCat,_xlfn.SWITCH($I108,"Computer",_xlfn.XLOOKUP($K108&amp;"",COMPUTER!$B$3:$B$1009&amp;"",COMPUTER!$H$3:$H$1009,""),"Display",_xlfn.XLOOKUP($K108&amp;"",DISPLAY!$B$3:$B$1000&amp;"",DISPLAY!$H$3:$H$1000,""),"Network Device",_xlfn.XLOOKUP($K108&amp;"",'NETWORK-DEVICES'!$B$3:$B$987&amp;"",'NETWORK-DEVICES'!$H$3:$H$987,""),"Peripheral",_xlfn.XLOOKUP($K108&amp;"",PERIPHERAL!$B$3:$B$954&amp;"",PERIPHERAL!$H$3:$H$954,""),"Utilities",_xlfn.XLOOKUP($K108&amp;"",UTILITIES!$B$3:$B$953&amp;"",UTILITIES!$G$3:$G$953,""),"IOT",_xlfn.XLOOKUP($K108&amp;"",IOT!$B$3:$B$1012&amp;"",IOT!$H$3:$H$1012,""),"Server",_xlfn.XLOOKUP($K108&amp;"",SERVER!$B$3:$B$1009&amp;"",SERVER!$H$3:$H$1009,""),""),IF(TRIM(_xlpm.srcCat)&lt;&gt;TRIM($J108),"",_xlfn.SWITCH($I108,"Computer",_xlfn.XLOOKUP($K108&amp;"",COMPUTER!$B$3:$B$1009&amp;"",COMPUTER!$K$3:$K$1009,""),"Display",_xlfn.XLOOKUP($K108&amp;"",DISPLAY!$B$3:$B$1000&amp;"",DISPLAY!$L$3:$L$1000,""),"Network Device",_xlfn.XLOOKUP($K108&amp;"",'NETWORK-DEVICES'!$B$3:$B$987&amp;"",'NETWORK-DEVICES'!$K$3:$K$987,""),"Peripheral",_xlfn.XLOOKUP($K108&amp;"",PERIPHERAL!$B$3:$B$954&amp;"",PERIPHERAL!$K$3:$K$954,""),"Utilities",_xlfn.XLOOKUP($K108&amp;"",UTILITIES!$B$3:$B$953&amp;"",UTILITIES!$J$3:$J$953,""),"IOT",_xlfn.XLOOKUP($K108&amp;"",IOT!$B$3:$B$1012&amp;"",IOT!$K$4:$K$1012,""),"Server",_xlfn.XLOOKUP($K108&amp;"",SERVER!$B$3:$B$1009&amp;"",SERVER!$K$3:$K$1009,""),""))))</f>
        <v/>
      </c>
      <c r="O108" s="1" t="str" cm="1">
        <f t="array" ref="O108">IF(OR($K108="",$I108="",$J108=""),"",_xlfn.LET(_xlpm.srcCat,_xlfn.SWITCH($I108,"Computer",_xlfn.XLOOKUP($K108&amp;"",COMPUTER!$B$3:$B$1009&amp;"",COMPUTER!$H$3:$H$1009,""),"Display",_xlfn.XLOOKUP($K108&amp;"",DISPLAY!$B$3:$B$1000&amp;"",DISPLAY!$H$3:$H$1000,""),"Network Device",_xlfn.XLOOKUP($K108&amp;"",'NETWORK-DEVICES'!$B$3:$B$987&amp;"",'NETWORK-DEVICES'!$H$3:$H$987,""),"Peripheral",_xlfn.XLOOKUP($K108&amp;"",PERIPHERAL!$B$3:$B$954&amp;"",PERIPHERAL!$H$3:$H$954,""),"Utilities",_xlfn.XLOOKUP($K108&amp;"",UTILITIES!$B$3:$B$953&amp;"",UTILITIES!$G$3:$G$953,""),"IOT",_xlfn.XLOOKUP($K108&amp;"",IOT!$B$3:$B$1012&amp;"",IOT!$H$3:$H$1012,""),"Server",_xlfn.XLOOKUP($K108&amp;"",SERVER!$B$3:$B$1009&amp;"",SERVER!$H$3:$H$1009,""),""),IF(TRIM(_xlpm.srcCat)&lt;&gt;TRIM($J108),"",_xlfn.SWITCH($I108,"Computer",_xlfn.XLOOKUP($K108&amp;"",COMPUTER!$B$3:$B$1009&amp;"",COMPUTER!$E$3:$E$1009,""),"Display",_xlfn.XLOOKUP($K108&amp;"",DISPLAY!$B$3:$B$1000&amp;"",DISPLAY!$E$3:$E$1000,""),"Network Device",_xlfn.XLOOKUP($K108&amp;"",'NETWORK-DEVICES'!$B$3:$B$987&amp;"",'NETWORK-DEVICES'!$E$3:$E$987,""),"Peripheral",_xlfn.XLOOKUP($K108&amp;"",PERIPHERAL!$B$3:$B$954&amp;"",PERIPHERAL!$E$3:$E$954,""),"Utilities",_xlfn.XLOOKUP($K108&amp;"",UTILITIES!$B$3:$B$953&amp;"",UTILITIES!$E$3:$E$953,""),"IOT",_xlfn.XLOOKUP($K108&amp;"",IOT!$B$3:$B$1012&amp;"",IOT!$E$3:$E$1012,""),"Server",_xlfn.XLOOKUP($K108&amp;"",SERVER!$B$3:$B$1009&amp;"",SERVER!$E$3:$E$1009,""),""))))</f>
        <v/>
      </c>
      <c r="Q108" s="1" t="str" cm="1">
        <f t="array" ref="Q108">IF(OR($K108="",$I108="",$J108=""),"",_xlfn.LET(_xlpm.srcCat,_xlfn.SWITCH($I108,"Computer",_xlfn.XLOOKUP($K108&amp;"",COMPUTER!$B$3:$B$1009&amp;"",COMPUTER!$H$3:$H$1009,""),"Display",_xlfn.XLOOKUP($K108&amp;"",DISPLAY!$B$3:$B$1000&amp;"",DISPLAY!$H$3:$H$1000,""),"Network Device",_xlfn.XLOOKUP($K108&amp;"",'NETWORK-DEVICES'!$B$3:$B$987&amp;"",'NETWORK-DEVICES'!$H$3:$H$987,""),"Peripheral",_xlfn.XLOOKUP($K108&amp;"",PERIPHERAL!$B$3:$B$954&amp;"",PERIPHERAL!$H$3:$H$954,""),"Utilities",_xlfn.XLOOKUP($K108&amp;"",UTILITIES!$B$3:$B$953&amp;"",UTILITIES!$G$3:$G$953,""),"IOT",_xlfn.XLOOKUP($K108&amp;"",IOT!$B$3:$B$1012&amp;"",IOT!$H$3:$H$1012,""),"Server",_xlfn.XLOOKUP($K108&amp;"",SERVER!$B$3:$B$1009&amp;"",SERVER!$H$3:$H$1009,""),""),IF(TRIM(_xlpm.srcCat)&lt;&gt;TRIM($J108),"",_xlfn.SWITCH($I108,"Computer",_xlfn.XLOOKUP($K108&amp;"",COMPUTER!$B$3:$B$1009&amp;"",COMPUTER!$AM$3:$AM$1009,""),"Display",_xlfn.XLOOKUP($K108&amp;"",DISPLAY!$B$3:$B$1000&amp;"",DISPLAY!$V$3:$V$1000,""),"Network Device",_xlfn.XLOOKUP($K108&amp;"",'NETWORK-DEVICES'!$B$3:$B$987&amp;"",'NETWORK-DEVICES'!$AF$3:$AF$987,""),"Peripheral",_xlfn.XLOOKUP($K108&amp;"",PERIPHERAL!$B$3:$B$954&amp;"",PERIPHERAL!$Y$3:$Y$954,""),"Utilities",_xlfn.XLOOKUP($K108&amp;"",UTILITIES!$B$3:$B$953&amp;"",UTILITIES!$O$3:$O$953,""),"IOT",_xlfn.XLOOKUP($K108&amp;"",IOT!$B$3:$B$1012&amp;"",IOT!$AB$3:$AB$1012,""),"Server",_xlfn.XLOOKUP($K108&amp;"",SERVER!$B$3:$B$1009&amp;"",SERVER!$AB$3:$AB$1009,""),""))))</f>
        <v/>
      </c>
      <c r="R108" s="43" t="str">
        <f>IF(tbl_handover[[#This Row],[Asset Code]]="","",COUNTIF(tbl_handover[Asset Code],tbl_handover[[#This Row],[Asset Code]]))</f>
        <v/>
      </c>
    </row>
    <row r="109" spans="1:18" x14ac:dyDescent="0.25">
      <c r="A109" s="43" t="str">
        <f>IF(B109&lt;&gt;"",SUBTOTAL(3,$B$1:B108),"")</f>
        <v/>
      </c>
      <c r="C109" s="74"/>
      <c r="D109" s="74"/>
      <c r="G109" s="1"/>
      <c r="K109" s="42"/>
      <c r="L109" t="str" cm="1">
        <f t="array" ref="L109">IF($K109="","",_xlfn.SWITCH($I109,"Computer",_xlfn.XLOOKUP($K109&amp;"",COMPUTER!$B$3:$B$1009&amp;"",COMPUTER!$I$3:$I$1009,""),"Display",_xlfn.XLOOKUP($K109&amp;"",DISPLAY!$B$3:$B$1000&amp;"",DISPLAY!$J$3:$J$1000,""),"Network Device",_xlfn.XLOOKUP($K109&amp;"",'NETWORK-DEVICES'!$B$3:$B$987&amp;"",'NETWORK-DEVICES'!$I$3:$I$987,""),"Peripheral",_xlfn.XLOOKUP($K109&amp;"",PERIPHERAL!$B$3:$B$954&amp;"",PERIPHERAL!$I$3:$I$954,""),"Utilities",_xlfn.XLOOKUP($K109&amp;"",UTILITIES!$B$3:$B$953&amp;"",UTILITIES!$H$3:$H$953,""),"IOT",_xlfn.XLOOKUP($K109&amp;"",IOT!$B$3:$B$1012&amp;"",IOT!$I$3:$I$1012,""),"SERVER",_xlfn.XLOOKUP($K109&amp;"",SERVER!$B$3:$B$1009&amp;"",SERVER!$I$3:$I$1009,""),""))</f>
        <v/>
      </c>
      <c r="M109" t="str" cm="1">
        <f t="array" ref="M109">IF($K109="","",_xlfn.SWITCH($I109,"Computer",_xlfn.XLOOKUP($K109&amp;"",COMPUTER!$B$3:$B$1009&amp;"",COMPUTER!$J$3:$J$1009,""),"Display",_xlfn.XLOOKUP($K109&amp;"",DISPLAY!$B$3:$B$1000&amp;"",DISPLAY!$K$3:$K$1000,""),"Network Device",_xlfn.XLOOKUP($K109&amp;"",'NETWORK-DEVICES'!$B$3:$B$987&amp;"",'NETWORK-DEVICES'!$I$3:$I$987,""),"Peripheral",_xlfn.XLOOKUP($K109&amp;"",PERIPHERAL!$B$3:$B$954&amp;"",PERIPHERAL!$J$3:$J$954,""),"Utilities",_xlfn.XLOOKUP($K109&amp;"",UTILITIES!$B$3:$B$953&amp;"",UTILITIES!$I$3:$I$953,""),"IOT",_xlfn.XLOOKUP($K109&amp;"",IOT!$B$3:$B$1012&amp;"",IOT!$J$3:$J$1012,""),"Server",_xlfn.XLOOKUP($K109&amp;"",SERVER!$B$3:$B$1009&amp;"",SERVER!$J$3:$J$1009,""),""))</f>
        <v/>
      </c>
      <c r="N109" s="1" t="str" cm="1">
        <f t="array" ref="N109">IF(OR($K109="",$I109="",$J109=""),"",_xlfn.LET(_xlpm.srcCat,_xlfn.SWITCH($I109,"Computer",_xlfn.XLOOKUP($K109&amp;"",COMPUTER!$B$3:$B$1009&amp;"",COMPUTER!$H$3:$H$1009,""),"Display",_xlfn.XLOOKUP($K109&amp;"",DISPLAY!$B$3:$B$1000&amp;"",DISPLAY!$H$3:$H$1000,""),"Network Device",_xlfn.XLOOKUP($K109&amp;"",'NETWORK-DEVICES'!$B$3:$B$987&amp;"",'NETWORK-DEVICES'!$H$3:$H$987,""),"Peripheral",_xlfn.XLOOKUP($K109&amp;"",PERIPHERAL!$B$3:$B$954&amp;"",PERIPHERAL!$H$3:$H$954,""),"Utilities",_xlfn.XLOOKUP($K109&amp;"",UTILITIES!$B$3:$B$953&amp;"",UTILITIES!$G$3:$G$953,""),"IOT",_xlfn.XLOOKUP($K109&amp;"",IOT!$B$3:$B$1012&amp;"",IOT!$H$3:$H$1012,""),"Server",_xlfn.XLOOKUP($K109&amp;"",SERVER!$B$3:$B$1009&amp;"",SERVER!$H$3:$H$1009,""),""),IF(TRIM(_xlpm.srcCat)&lt;&gt;TRIM($J109),"",_xlfn.SWITCH($I109,"Computer",_xlfn.XLOOKUP($K109&amp;"",COMPUTER!$B$3:$B$1009&amp;"",COMPUTER!$K$3:$K$1009,""),"Display",_xlfn.XLOOKUP($K109&amp;"",DISPLAY!$B$3:$B$1000&amp;"",DISPLAY!$L$3:$L$1000,""),"Network Device",_xlfn.XLOOKUP($K109&amp;"",'NETWORK-DEVICES'!$B$3:$B$987&amp;"",'NETWORK-DEVICES'!$K$3:$K$987,""),"Peripheral",_xlfn.XLOOKUP($K109&amp;"",PERIPHERAL!$B$3:$B$954&amp;"",PERIPHERAL!$K$3:$K$954,""),"Utilities",_xlfn.XLOOKUP($K109&amp;"",UTILITIES!$B$3:$B$953&amp;"",UTILITIES!$J$3:$J$953,""),"IOT",_xlfn.XLOOKUP($K109&amp;"",IOT!$B$3:$B$1012&amp;"",IOT!$K$4:$K$1012,""),"Server",_xlfn.XLOOKUP($K109&amp;"",SERVER!$B$3:$B$1009&amp;"",SERVER!$K$3:$K$1009,""),""))))</f>
        <v/>
      </c>
      <c r="O109" s="1" t="str" cm="1">
        <f t="array" ref="O109">IF(OR($K109="",$I109="",$J109=""),"",_xlfn.LET(_xlpm.srcCat,_xlfn.SWITCH($I109,"Computer",_xlfn.XLOOKUP($K109&amp;"",COMPUTER!$B$3:$B$1009&amp;"",COMPUTER!$H$3:$H$1009,""),"Display",_xlfn.XLOOKUP($K109&amp;"",DISPLAY!$B$3:$B$1000&amp;"",DISPLAY!$H$3:$H$1000,""),"Network Device",_xlfn.XLOOKUP($K109&amp;"",'NETWORK-DEVICES'!$B$3:$B$987&amp;"",'NETWORK-DEVICES'!$H$3:$H$987,""),"Peripheral",_xlfn.XLOOKUP($K109&amp;"",PERIPHERAL!$B$3:$B$954&amp;"",PERIPHERAL!$H$3:$H$954,""),"Utilities",_xlfn.XLOOKUP($K109&amp;"",UTILITIES!$B$3:$B$953&amp;"",UTILITIES!$G$3:$G$953,""),"IOT",_xlfn.XLOOKUP($K109&amp;"",IOT!$B$3:$B$1012&amp;"",IOT!$H$3:$H$1012,""),"Server",_xlfn.XLOOKUP($K109&amp;"",SERVER!$B$3:$B$1009&amp;"",SERVER!$H$3:$H$1009,""),""),IF(TRIM(_xlpm.srcCat)&lt;&gt;TRIM($J109),"",_xlfn.SWITCH($I109,"Computer",_xlfn.XLOOKUP($K109&amp;"",COMPUTER!$B$3:$B$1009&amp;"",COMPUTER!$E$3:$E$1009,""),"Display",_xlfn.XLOOKUP($K109&amp;"",DISPLAY!$B$3:$B$1000&amp;"",DISPLAY!$E$3:$E$1000,""),"Network Device",_xlfn.XLOOKUP($K109&amp;"",'NETWORK-DEVICES'!$B$3:$B$987&amp;"",'NETWORK-DEVICES'!$E$3:$E$987,""),"Peripheral",_xlfn.XLOOKUP($K109&amp;"",PERIPHERAL!$B$3:$B$954&amp;"",PERIPHERAL!$E$3:$E$954,""),"Utilities",_xlfn.XLOOKUP($K109&amp;"",UTILITIES!$B$3:$B$953&amp;"",UTILITIES!$E$3:$E$953,""),"IOT",_xlfn.XLOOKUP($K109&amp;"",IOT!$B$3:$B$1012&amp;"",IOT!$E$3:$E$1012,""),"Server",_xlfn.XLOOKUP($K109&amp;"",SERVER!$B$3:$B$1009&amp;"",SERVER!$E$3:$E$1009,""),""))))</f>
        <v/>
      </c>
      <c r="Q109" s="1" t="str" cm="1">
        <f t="array" ref="Q109">IF(OR($K109="",$I109="",$J109=""),"",_xlfn.LET(_xlpm.srcCat,_xlfn.SWITCH($I109,"Computer",_xlfn.XLOOKUP($K109&amp;"",COMPUTER!$B$3:$B$1009&amp;"",COMPUTER!$H$3:$H$1009,""),"Display",_xlfn.XLOOKUP($K109&amp;"",DISPLAY!$B$3:$B$1000&amp;"",DISPLAY!$H$3:$H$1000,""),"Network Device",_xlfn.XLOOKUP($K109&amp;"",'NETWORK-DEVICES'!$B$3:$B$987&amp;"",'NETWORK-DEVICES'!$H$3:$H$987,""),"Peripheral",_xlfn.XLOOKUP($K109&amp;"",PERIPHERAL!$B$3:$B$954&amp;"",PERIPHERAL!$H$3:$H$954,""),"Utilities",_xlfn.XLOOKUP($K109&amp;"",UTILITIES!$B$3:$B$953&amp;"",UTILITIES!$G$3:$G$953,""),"IOT",_xlfn.XLOOKUP($K109&amp;"",IOT!$B$3:$B$1012&amp;"",IOT!$H$3:$H$1012,""),"Server",_xlfn.XLOOKUP($K109&amp;"",SERVER!$B$3:$B$1009&amp;"",SERVER!$H$3:$H$1009,""),""),IF(TRIM(_xlpm.srcCat)&lt;&gt;TRIM($J109),"",_xlfn.SWITCH($I109,"Computer",_xlfn.XLOOKUP($K109&amp;"",COMPUTER!$B$3:$B$1009&amp;"",COMPUTER!$AM$3:$AM$1009,""),"Display",_xlfn.XLOOKUP($K109&amp;"",DISPLAY!$B$3:$B$1000&amp;"",DISPLAY!$V$3:$V$1000,""),"Network Device",_xlfn.XLOOKUP($K109&amp;"",'NETWORK-DEVICES'!$B$3:$B$987&amp;"",'NETWORK-DEVICES'!$AF$3:$AF$987,""),"Peripheral",_xlfn.XLOOKUP($K109&amp;"",PERIPHERAL!$B$3:$B$954&amp;"",PERIPHERAL!$Y$3:$Y$954,""),"Utilities",_xlfn.XLOOKUP($K109&amp;"",UTILITIES!$B$3:$B$953&amp;"",UTILITIES!$O$3:$O$953,""),"IOT",_xlfn.XLOOKUP($K109&amp;"",IOT!$B$3:$B$1012&amp;"",IOT!$AB$3:$AB$1012,""),"Server",_xlfn.XLOOKUP($K109&amp;"",SERVER!$B$3:$B$1009&amp;"",SERVER!$AB$3:$AB$1009,""),""))))</f>
        <v/>
      </c>
      <c r="R109" s="43" t="str">
        <f>IF(tbl_handover[[#This Row],[Asset Code]]="","",COUNTIF(tbl_handover[Asset Code],tbl_handover[[#This Row],[Asset Code]]))</f>
        <v/>
      </c>
    </row>
    <row r="110" spans="1:18" x14ac:dyDescent="0.25">
      <c r="A110" s="43" t="str">
        <f>IF(B110&lt;&gt;"",SUBTOTAL(3,$B$1:B109),"")</f>
        <v/>
      </c>
      <c r="C110" s="74"/>
      <c r="D110" s="74"/>
      <c r="G110" s="1"/>
      <c r="K110" s="42"/>
      <c r="L110" t="str" cm="1">
        <f t="array" ref="L110">IF($K110="","",_xlfn.SWITCH($I110,"Computer",_xlfn.XLOOKUP($K110&amp;"",COMPUTER!$B$3:$B$1009&amp;"",COMPUTER!$I$3:$I$1009,""),"Display",_xlfn.XLOOKUP($K110&amp;"",DISPLAY!$B$3:$B$1000&amp;"",DISPLAY!$J$3:$J$1000,""),"Network Device",_xlfn.XLOOKUP($K110&amp;"",'NETWORK-DEVICES'!$B$3:$B$987&amp;"",'NETWORK-DEVICES'!$I$3:$I$987,""),"Peripheral",_xlfn.XLOOKUP($K110&amp;"",PERIPHERAL!$B$3:$B$954&amp;"",PERIPHERAL!$I$3:$I$954,""),"Utilities",_xlfn.XLOOKUP($K110&amp;"",UTILITIES!$B$3:$B$953&amp;"",UTILITIES!$H$3:$H$953,""),"IOT",_xlfn.XLOOKUP($K110&amp;"",IOT!$B$3:$B$1012&amp;"",IOT!$I$3:$I$1012,""),"SERVER",_xlfn.XLOOKUP($K110&amp;"",SERVER!$B$3:$B$1009&amp;"",SERVER!$I$3:$I$1009,""),""))</f>
        <v/>
      </c>
      <c r="M110" t="str" cm="1">
        <f t="array" ref="M110">IF($K110="","",_xlfn.SWITCH($I110,"Computer",_xlfn.XLOOKUP($K110&amp;"",COMPUTER!$B$3:$B$1009&amp;"",COMPUTER!$J$3:$J$1009,""),"Display",_xlfn.XLOOKUP($K110&amp;"",DISPLAY!$B$3:$B$1000&amp;"",DISPLAY!$K$3:$K$1000,""),"Network Device",_xlfn.XLOOKUP($K110&amp;"",'NETWORK-DEVICES'!$B$3:$B$987&amp;"",'NETWORK-DEVICES'!$I$3:$I$987,""),"Peripheral",_xlfn.XLOOKUP($K110&amp;"",PERIPHERAL!$B$3:$B$954&amp;"",PERIPHERAL!$J$3:$J$954,""),"Utilities",_xlfn.XLOOKUP($K110&amp;"",UTILITIES!$B$3:$B$953&amp;"",UTILITIES!$I$3:$I$953,""),"IOT",_xlfn.XLOOKUP($K110&amp;"",IOT!$B$3:$B$1012&amp;"",IOT!$J$3:$J$1012,""),"Server",_xlfn.XLOOKUP($K110&amp;"",SERVER!$B$3:$B$1009&amp;"",SERVER!$J$3:$J$1009,""),""))</f>
        <v/>
      </c>
      <c r="N110" s="1" t="str" cm="1">
        <f t="array" ref="N110">IF(OR($K110="",$I110="",$J110=""),"",_xlfn.LET(_xlpm.srcCat,_xlfn.SWITCH($I110,"Computer",_xlfn.XLOOKUP($K110&amp;"",COMPUTER!$B$3:$B$1009&amp;"",COMPUTER!$H$3:$H$1009,""),"Display",_xlfn.XLOOKUP($K110&amp;"",DISPLAY!$B$3:$B$1000&amp;"",DISPLAY!$H$3:$H$1000,""),"Network Device",_xlfn.XLOOKUP($K110&amp;"",'NETWORK-DEVICES'!$B$3:$B$987&amp;"",'NETWORK-DEVICES'!$H$3:$H$987,""),"Peripheral",_xlfn.XLOOKUP($K110&amp;"",PERIPHERAL!$B$3:$B$954&amp;"",PERIPHERAL!$H$3:$H$954,""),"Utilities",_xlfn.XLOOKUP($K110&amp;"",UTILITIES!$B$3:$B$953&amp;"",UTILITIES!$G$3:$G$953,""),"IOT",_xlfn.XLOOKUP($K110&amp;"",IOT!$B$3:$B$1012&amp;"",IOT!$H$3:$H$1012,""),"Server",_xlfn.XLOOKUP($K110&amp;"",SERVER!$B$3:$B$1009&amp;"",SERVER!$H$3:$H$1009,""),""),IF(TRIM(_xlpm.srcCat)&lt;&gt;TRIM($J110),"",_xlfn.SWITCH($I110,"Computer",_xlfn.XLOOKUP($K110&amp;"",COMPUTER!$B$3:$B$1009&amp;"",COMPUTER!$K$3:$K$1009,""),"Display",_xlfn.XLOOKUP($K110&amp;"",DISPLAY!$B$3:$B$1000&amp;"",DISPLAY!$L$3:$L$1000,""),"Network Device",_xlfn.XLOOKUP($K110&amp;"",'NETWORK-DEVICES'!$B$3:$B$987&amp;"",'NETWORK-DEVICES'!$K$3:$K$987,""),"Peripheral",_xlfn.XLOOKUP($K110&amp;"",PERIPHERAL!$B$3:$B$954&amp;"",PERIPHERAL!$K$3:$K$954,""),"Utilities",_xlfn.XLOOKUP($K110&amp;"",UTILITIES!$B$3:$B$953&amp;"",UTILITIES!$J$3:$J$953,""),"IOT",_xlfn.XLOOKUP($K110&amp;"",IOT!$B$3:$B$1012&amp;"",IOT!$K$4:$K$1012,""),"Server",_xlfn.XLOOKUP($K110&amp;"",SERVER!$B$3:$B$1009&amp;"",SERVER!$K$3:$K$1009,""),""))))</f>
        <v/>
      </c>
      <c r="O110" s="1" t="str" cm="1">
        <f t="array" ref="O110">IF(OR($K110="",$I110="",$J110=""),"",_xlfn.LET(_xlpm.srcCat,_xlfn.SWITCH($I110,"Computer",_xlfn.XLOOKUP($K110&amp;"",COMPUTER!$B$3:$B$1009&amp;"",COMPUTER!$H$3:$H$1009,""),"Display",_xlfn.XLOOKUP($K110&amp;"",DISPLAY!$B$3:$B$1000&amp;"",DISPLAY!$H$3:$H$1000,""),"Network Device",_xlfn.XLOOKUP($K110&amp;"",'NETWORK-DEVICES'!$B$3:$B$987&amp;"",'NETWORK-DEVICES'!$H$3:$H$987,""),"Peripheral",_xlfn.XLOOKUP($K110&amp;"",PERIPHERAL!$B$3:$B$954&amp;"",PERIPHERAL!$H$3:$H$954,""),"Utilities",_xlfn.XLOOKUP($K110&amp;"",UTILITIES!$B$3:$B$953&amp;"",UTILITIES!$G$3:$G$953,""),"IOT",_xlfn.XLOOKUP($K110&amp;"",IOT!$B$3:$B$1012&amp;"",IOT!$H$3:$H$1012,""),"Server",_xlfn.XLOOKUP($K110&amp;"",SERVER!$B$3:$B$1009&amp;"",SERVER!$H$3:$H$1009,""),""),IF(TRIM(_xlpm.srcCat)&lt;&gt;TRIM($J110),"",_xlfn.SWITCH($I110,"Computer",_xlfn.XLOOKUP($K110&amp;"",COMPUTER!$B$3:$B$1009&amp;"",COMPUTER!$E$3:$E$1009,""),"Display",_xlfn.XLOOKUP($K110&amp;"",DISPLAY!$B$3:$B$1000&amp;"",DISPLAY!$E$3:$E$1000,""),"Network Device",_xlfn.XLOOKUP($K110&amp;"",'NETWORK-DEVICES'!$B$3:$B$987&amp;"",'NETWORK-DEVICES'!$E$3:$E$987,""),"Peripheral",_xlfn.XLOOKUP($K110&amp;"",PERIPHERAL!$B$3:$B$954&amp;"",PERIPHERAL!$E$3:$E$954,""),"Utilities",_xlfn.XLOOKUP($K110&amp;"",UTILITIES!$B$3:$B$953&amp;"",UTILITIES!$E$3:$E$953,""),"IOT",_xlfn.XLOOKUP($K110&amp;"",IOT!$B$3:$B$1012&amp;"",IOT!$E$3:$E$1012,""),"Server",_xlfn.XLOOKUP($K110&amp;"",SERVER!$B$3:$B$1009&amp;"",SERVER!$E$3:$E$1009,""),""))))</f>
        <v/>
      </c>
      <c r="Q110" s="1" t="str" cm="1">
        <f t="array" ref="Q110">IF(OR($K110="",$I110="",$J110=""),"",_xlfn.LET(_xlpm.srcCat,_xlfn.SWITCH($I110,"Computer",_xlfn.XLOOKUP($K110&amp;"",COMPUTER!$B$3:$B$1009&amp;"",COMPUTER!$H$3:$H$1009,""),"Display",_xlfn.XLOOKUP($K110&amp;"",DISPLAY!$B$3:$B$1000&amp;"",DISPLAY!$H$3:$H$1000,""),"Network Device",_xlfn.XLOOKUP($K110&amp;"",'NETWORK-DEVICES'!$B$3:$B$987&amp;"",'NETWORK-DEVICES'!$H$3:$H$987,""),"Peripheral",_xlfn.XLOOKUP($K110&amp;"",PERIPHERAL!$B$3:$B$954&amp;"",PERIPHERAL!$H$3:$H$954,""),"Utilities",_xlfn.XLOOKUP($K110&amp;"",UTILITIES!$B$3:$B$953&amp;"",UTILITIES!$G$3:$G$953,""),"IOT",_xlfn.XLOOKUP($K110&amp;"",IOT!$B$3:$B$1012&amp;"",IOT!$H$3:$H$1012,""),"Server",_xlfn.XLOOKUP($K110&amp;"",SERVER!$B$3:$B$1009&amp;"",SERVER!$H$3:$H$1009,""),""),IF(TRIM(_xlpm.srcCat)&lt;&gt;TRIM($J110),"",_xlfn.SWITCH($I110,"Computer",_xlfn.XLOOKUP($K110&amp;"",COMPUTER!$B$3:$B$1009&amp;"",COMPUTER!$AM$3:$AM$1009,""),"Display",_xlfn.XLOOKUP($K110&amp;"",DISPLAY!$B$3:$B$1000&amp;"",DISPLAY!$V$3:$V$1000,""),"Network Device",_xlfn.XLOOKUP($K110&amp;"",'NETWORK-DEVICES'!$B$3:$B$987&amp;"",'NETWORK-DEVICES'!$AF$3:$AF$987,""),"Peripheral",_xlfn.XLOOKUP($K110&amp;"",PERIPHERAL!$B$3:$B$954&amp;"",PERIPHERAL!$Y$3:$Y$954,""),"Utilities",_xlfn.XLOOKUP($K110&amp;"",UTILITIES!$B$3:$B$953&amp;"",UTILITIES!$O$3:$O$953,""),"IOT",_xlfn.XLOOKUP($K110&amp;"",IOT!$B$3:$B$1012&amp;"",IOT!$AB$3:$AB$1012,""),"Server",_xlfn.XLOOKUP($K110&amp;"",SERVER!$B$3:$B$1009&amp;"",SERVER!$AB$3:$AB$1009,""),""))))</f>
        <v/>
      </c>
      <c r="R110" s="43" t="str">
        <f>IF(tbl_handover[[#This Row],[Asset Code]]="","",COUNTIF(tbl_handover[Asset Code],tbl_handover[[#This Row],[Asset Code]]))</f>
        <v/>
      </c>
    </row>
    <row r="111" spans="1:18" x14ac:dyDescent="0.25">
      <c r="A111" s="43" t="str">
        <f>IF(B111&lt;&gt;"",SUBTOTAL(3,$B$1:B110),"")</f>
        <v/>
      </c>
      <c r="C111" s="74"/>
      <c r="D111" s="74"/>
      <c r="G111" s="1"/>
      <c r="K111" s="42"/>
      <c r="L111" t="str" cm="1">
        <f t="array" ref="L111">IF($K111="","",_xlfn.SWITCH($I111,"Computer",_xlfn.XLOOKUP($K111&amp;"",COMPUTER!$B$3:$B$1009&amp;"",COMPUTER!$I$3:$I$1009,""),"Display",_xlfn.XLOOKUP($K111&amp;"",DISPLAY!$B$3:$B$1000&amp;"",DISPLAY!$J$3:$J$1000,""),"Network Device",_xlfn.XLOOKUP($K111&amp;"",'NETWORK-DEVICES'!$B$3:$B$987&amp;"",'NETWORK-DEVICES'!$I$3:$I$987,""),"Peripheral",_xlfn.XLOOKUP($K111&amp;"",PERIPHERAL!$B$3:$B$954&amp;"",PERIPHERAL!$I$3:$I$954,""),"Utilities",_xlfn.XLOOKUP($K111&amp;"",UTILITIES!$B$3:$B$953&amp;"",UTILITIES!$H$3:$H$953,""),"IOT",_xlfn.XLOOKUP($K111&amp;"",IOT!$B$3:$B$1012&amp;"",IOT!$I$3:$I$1012,""),"SERVER",_xlfn.XLOOKUP($K111&amp;"",SERVER!$B$3:$B$1009&amp;"",SERVER!$I$3:$I$1009,""),""))</f>
        <v/>
      </c>
      <c r="M111" t="str" cm="1">
        <f t="array" ref="M111">IF($K111="","",_xlfn.SWITCH($I111,"Computer",_xlfn.XLOOKUP($K111&amp;"",COMPUTER!$B$3:$B$1009&amp;"",COMPUTER!$J$3:$J$1009,""),"Display",_xlfn.XLOOKUP($K111&amp;"",DISPLAY!$B$3:$B$1000&amp;"",DISPLAY!$K$3:$K$1000,""),"Network Device",_xlfn.XLOOKUP($K111&amp;"",'NETWORK-DEVICES'!$B$3:$B$987&amp;"",'NETWORK-DEVICES'!$I$3:$I$987,""),"Peripheral",_xlfn.XLOOKUP($K111&amp;"",PERIPHERAL!$B$3:$B$954&amp;"",PERIPHERAL!$J$3:$J$954,""),"Utilities",_xlfn.XLOOKUP($K111&amp;"",UTILITIES!$B$3:$B$953&amp;"",UTILITIES!$I$3:$I$953,""),"IOT",_xlfn.XLOOKUP($K111&amp;"",IOT!$B$3:$B$1012&amp;"",IOT!$J$3:$J$1012,""),"Server",_xlfn.XLOOKUP($K111&amp;"",SERVER!$B$3:$B$1009&amp;"",SERVER!$J$3:$J$1009,""),""))</f>
        <v/>
      </c>
      <c r="N111" s="1" t="str" cm="1">
        <f t="array" ref="N111">IF(OR($K111="",$I111="",$J111=""),"",_xlfn.LET(_xlpm.srcCat,_xlfn.SWITCH($I111,"Computer",_xlfn.XLOOKUP($K111&amp;"",COMPUTER!$B$3:$B$1009&amp;"",COMPUTER!$H$3:$H$1009,""),"Display",_xlfn.XLOOKUP($K111&amp;"",DISPLAY!$B$3:$B$1000&amp;"",DISPLAY!$H$3:$H$1000,""),"Network Device",_xlfn.XLOOKUP($K111&amp;"",'NETWORK-DEVICES'!$B$3:$B$987&amp;"",'NETWORK-DEVICES'!$H$3:$H$987,""),"Peripheral",_xlfn.XLOOKUP($K111&amp;"",PERIPHERAL!$B$3:$B$954&amp;"",PERIPHERAL!$H$3:$H$954,""),"Utilities",_xlfn.XLOOKUP($K111&amp;"",UTILITIES!$B$3:$B$953&amp;"",UTILITIES!$G$3:$G$953,""),"IOT",_xlfn.XLOOKUP($K111&amp;"",IOT!$B$3:$B$1012&amp;"",IOT!$H$3:$H$1012,""),"Server",_xlfn.XLOOKUP($K111&amp;"",SERVER!$B$3:$B$1009&amp;"",SERVER!$H$3:$H$1009,""),""),IF(TRIM(_xlpm.srcCat)&lt;&gt;TRIM($J111),"",_xlfn.SWITCH($I111,"Computer",_xlfn.XLOOKUP($K111&amp;"",COMPUTER!$B$3:$B$1009&amp;"",COMPUTER!$K$3:$K$1009,""),"Display",_xlfn.XLOOKUP($K111&amp;"",DISPLAY!$B$3:$B$1000&amp;"",DISPLAY!$L$3:$L$1000,""),"Network Device",_xlfn.XLOOKUP($K111&amp;"",'NETWORK-DEVICES'!$B$3:$B$987&amp;"",'NETWORK-DEVICES'!$K$3:$K$987,""),"Peripheral",_xlfn.XLOOKUP($K111&amp;"",PERIPHERAL!$B$3:$B$954&amp;"",PERIPHERAL!$K$3:$K$954,""),"Utilities",_xlfn.XLOOKUP($K111&amp;"",UTILITIES!$B$3:$B$953&amp;"",UTILITIES!$J$3:$J$953,""),"IOT",_xlfn.XLOOKUP($K111&amp;"",IOT!$B$3:$B$1012&amp;"",IOT!$K$4:$K$1012,""),"Server",_xlfn.XLOOKUP($K111&amp;"",SERVER!$B$3:$B$1009&amp;"",SERVER!$K$3:$K$1009,""),""))))</f>
        <v/>
      </c>
      <c r="O111" s="1" t="str" cm="1">
        <f t="array" ref="O111">IF(OR($K111="",$I111="",$J111=""),"",_xlfn.LET(_xlpm.srcCat,_xlfn.SWITCH($I111,"Computer",_xlfn.XLOOKUP($K111&amp;"",COMPUTER!$B$3:$B$1009&amp;"",COMPUTER!$H$3:$H$1009,""),"Display",_xlfn.XLOOKUP($K111&amp;"",DISPLAY!$B$3:$B$1000&amp;"",DISPLAY!$H$3:$H$1000,""),"Network Device",_xlfn.XLOOKUP($K111&amp;"",'NETWORK-DEVICES'!$B$3:$B$987&amp;"",'NETWORK-DEVICES'!$H$3:$H$987,""),"Peripheral",_xlfn.XLOOKUP($K111&amp;"",PERIPHERAL!$B$3:$B$954&amp;"",PERIPHERAL!$H$3:$H$954,""),"Utilities",_xlfn.XLOOKUP($K111&amp;"",UTILITIES!$B$3:$B$953&amp;"",UTILITIES!$G$3:$G$953,""),"IOT",_xlfn.XLOOKUP($K111&amp;"",IOT!$B$3:$B$1012&amp;"",IOT!$H$3:$H$1012,""),"Server",_xlfn.XLOOKUP($K111&amp;"",SERVER!$B$3:$B$1009&amp;"",SERVER!$H$3:$H$1009,""),""),IF(TRIM(_xlpm.srcCat)&lt;&gt;TRIM($J111),"",_xlfn.SWITCH($I111,"Computer",_xlfn.XLOOKUP($K111&amp;"",COMPUTER!$B$3:$B$1009&amp;"",COMPUTER!$E$3:$E$1009,""),"Display",_xlfn.XLOOKUP($K111&amp;"",DISPLAY!$B$3:$B$1000&amp;"",DISPLAY!$E$3:$E$1000,""),"Network Device",_xlfn.XLOOKUP($K111&amp;"",'NETWORK-DEVICES'!$B$3:$B$987&amp;"",'NETWORK-DEVICES'!$E$3:$E$987,""),"Peripheral",_xlfn.XLOOKUP($K111&amp;"",PERIPHERAL!$B$3:$B$954&amp;"",PERIPHERAL!$E$3:$E$954,""),"Utilities",_xlfn.XLOOKUP($K111&amp;"",UTILITIES!$B$3:$B$953&amp;"",UTILITIES!$E$3:$E$953,""),"IOT",_xlfn.XLOOKUP($K111&amp;"",IOT!$B$3:$B$1012&amp;"",IOT!$E$3:$E$1012,""),"Server",_xlfn.XLOOKUP($K111&amp;"",SERVER!$B$3:$B$1009&amp;"",SERVER!$E$3:$E$1009,""),""))))</f>
        <v/>
      </c>
      <c r="Q111" s="1" t="str" cm="1">
        <f t="array" ref="Q111">IF(OR($K111="",$I111="",$J111=""),"",_xlfn.LET(_xlpm.srcCat,_xlfn.SWITCH($I111,"Computer",_xlfn.XLOOKUP($K111&amp;"",COMPUTER!$B$3:$B$1009&amp;"",COMPUTER!$H$3:$H$1009,""),"Display",_xlfn.XLOOKUP($K111&amp;"",DISPLAY!$B$3:$B$1000&amp;"",DISPLAY!$H$3:$H$1000,""),"Network Device",_xlfn.XLOOKUP($K111&amp;"",'NETWORK-DEVICES'!$B$3:$B$987&amp;"",'NETWORK-DEVICES'!$H$3:$H$987,""),"Peripheral",_xlfn.XLOOKUP($K111&amp;"",PERIPHERAL!$B$3:$B$954&amp;"",PERIPHERAL!$H$3:$H$954,""),"Utilities",_xlfn.XLOOKUP($K111&amp;"",UTILITIES!$B$3:$B$953&amp;"",UTILITIES!$G$3:$G$953,""),"IOT",_xlfn.XLOOKUP($K111&amp;"",IOT!$B$3:$B$1012&amp;"",IOT!$H$3:$H$1012,""),"Server",_xlfn.XLOOKUP($K111&amp;"",SERVER!$B$3:$B$1009&amp;"",SERVER!$H$3:$H$1009,""),""),IF(TRIM(_xlpm.srcCat)&lt;&gt;TRIM($J111),"",_xlfn.SWITCH($I111,"Computer",_xlfn.XLOOKUP($K111&amp;"",COMPUTER!$B$3:$B$1009&amp;"",COMPUTER!$AM$3:$AM$1009,""),"Display",_xlfn.XLOOKUP($K111&amp;"",DISPLAY!$B$3:$B$1000&amp;"",DISPLAY!$V$3:$V$1000,""),"Network Device",_xlfn.XLOOKUP($K111&amp;"",'NETWORK-DEVICES'!$B$3:$B$987&amp;"",'NETWORK-DEVICES'!$AF$3:$AF$987,""),"Peripheral",_xlfn.XLOOKUP($K111&amp;"",PERIPHERAL!$B$3:$B$954&amp;"",PERIPHERAL!$Y$3:$Y$954,""),"Utilities",_xlfn.XLOOKUP($K111&amp;"",UTILITIES!$B$3:$B$953&amp;"",UTILITIES!$O$3:$O$953,""),"IOT",_xlfn.XLOOKUP($K111&amp;"",IOT!$B$3:$B$1012&amp;"",IOT!$AB$3:$AB$1012,""),"Server",_xlfn.XLOOKUP($K111&amp;"",SERVER!$B$3:$B$1009&amp;"",SERVER!$AB$3:$AB$1009,""),""))))</f>
        <v/>
      </c>
      <c r="R111" s="43" t="str">
        <f>IF(tbl_handover[[#This Row],[Asset Code]]="","",COUNTIF(tbl_handover[Asset Code],tbl_handover[[#This Row],[Asset Code]]))</f>
        <v/>
      </c>
    </row>
    <row r="112" spans="1:18" x14ac:dyDescent="0.25">
      <c r="A112" s="43" t="str">
        <f>IF(B112&lt;&gt;"",SUBTOTAL(3,$B$1:B111),"")</f>
        <v/>
      </c>
      <c r="C112" s="74"/>
      <c r="D112" s="74"/>
      <c r="G112" s="1"/>
      <c r="K112" s="42"/>
      <c r="L112" t="str" cm="1">
        <f t="array" ref="L112">IF($K112="","",_xlfn.SWITCH($I112,"Computer",_xlfn.XLOOKUP($K112&amp;"",COMPUTER!$B$3:$B$1009&amp;"",COMPUTER!$I$3:$I$1009,""),"Display",_xlfn.XLOOKUP($K112&amp;"",DISPLAY!$B$3:$B$1000&amp;"",DISPLAY!$J$3:$J$1000,""),"Network Device",_xlfn.XLOOKUP($K112&amp;"",'NETWORK-DEVICES'!$B$3:$B$987&amp;"",'NETWORK-DEVICES'!$I$3:$I$987,""),"Peripheral",_xlfn.XLOOKUP($K112&amp;"",PERIPHERAL!$B$3:$B$954&amp;"",PERIPHERAL!$I$3:$I$954,""),"Utilities",_xlfn.XLOOKUP($K112&amp;"",UTILITIES!$B$3:$B$953&amp;"",UTILITIES!$H$3:$H$953,""),"IOT",_xlfn.XLOOKUP($K112&amp;"",IOT!$B$3:$B$1012&amp;"",IOT!$I$3:$I$1012,""),"SERVER",_xlfn.XLOOKUP($K112&amp;"",SERVER!$B$3:$B$1009&amp;"",SERVER!$I$3:$I$1009,""),""))</f>
        <v/>
      </c>
      <c r="M112" t="str" cm="1">
        <f t="array" ref="M112">IF($K112="","",_xlfn.SWITCH($I112,"Computer",_xlfn.XLOOKUP($K112&amp;"",COMPUTER!$B$3:$B$1009&amp;"",COMPUTER!$J$3:$J$1009,""),"Display",_xlfn.XLOOKUP($K112&amp;"",DISPLAY!$B$3:$B$1000&amp;"",DISPLAY!$K$3:$K$1000,""),"Network Device",_xlfn.XLOOKUP($K112&amp;"",'NETWORK-DEVICES'!$B$3:$B$987&amp;"",'NETWORK-DEVICES'!$I$3:$I$987,""),"Peripheral",_xlfn.XLOOKUP($K112&amp;"",PERIPHERAL!$B$3:$B$954&amp;"",PERIPHERAL!$J$3:$J$954,""),"Utilities",_xlfn.XLOOKUP($K112&amp;"",UTILITIES!$B$3:$B$953&amp;"",UTILITIES!$I$3:$I$953,""),"IOT",_xlfn.XLOOKUP($K112&amp;"",IOT!$B$3:$B$1012&amp;"",IOT!$J$3:$J$1012,""),"Server",_xlfn.XLOOKUP($K112&amp;"",SERVER!$B$3:$B$1009&amp;"",SERVER!$J$3:$J$1009,""),""))</f>
        <v/>
      </c>
      <c r="N112" s="1" t="str" cm="1">
        <f t="array" ref="N112">IF(OR($K112="",$I112="",$J112=""),"",_xlfn.LET(_xlpm.srcCat,_xlfn.SWITCH($I112,"Computer",_xlfn.XLOOKUP($K112&amp;"",COMPUTER!$B$3:$B$1009&amp;"",COMPUTER!$H$3:$H$1009,""),"Display",_xlfn.XLOOKUP($K112&amp;"",DISPLAY!$B$3:$B$1000&amp;"",DISPLAY!$H$3:$H$1000,""),"Network Device",_xlfn.XLOOKUP($K112&amp;"",'NETWORK-DEVICES'!$B$3:$B$987&amp;"",'NETWORK-DEVICES'!$H$3:$H$987,""),"Peripheral",_xlfn.XLOOKUP($K112&amp;"",PERIPHERAL!$B$3:$B$954&amp;"",PERIPHERAL!$H$3:$H$954,""),"Utilities",_xlfn.XLOOKUP($K112&amp;"",UTILITIES!$B$3:$B$953&amp;"",UTILITIES!$G$3:$G$953,""),"IOT",_xlfn.XLOOKUP($K112&amp;"",IOT!$B$3:$B$1012&amp;"",IOT!$H$3:$H$1012,""),"Server",_xlfn.XLOOKUP($K112&amp;"",SERVER!$B$3:$B$1009&amp;"",SERVER!$H$3:$H$1009,""),""),IF(TRIM(_xlpm.srcCat)&lt;&gt;TRIM($J112),"",_xlfn.SWITCH($I112,"Computer",_xlfn.XLOOKUP($K112&amp;"",COMPUTER!$B$3:$B$1009&amp;"",COMPUTER!$K$3:$K$1009,""),"Display",_xlfn.XLOOKUP($K112&amp;"",DISPLAY!$B$3:$B$1000&amp;"",DISPLAY!$L$3:$L$1000,""),"Network Device",_xlfn.XLOOKUP($K112&amp;"",'NETWORK-DEVICES'!$B$3:$B$987&amp;"",'NETWORK-DEVICES'!$K$3:$K$987,""),"Peripheral",_xlfn.XLOOKUP($K112&amp;"",PERIPHERAL!$B$3:$B$954&amp;"",PERIPHERAL!$K$3:$K$954,""),"Utilities",_xlfn.XLOOKUP($K112&amp;"",UTILITIES!$B$3:$B$953&amp;"",UTILITIES!$J$3:$J$953,""),"IOT",_xlfn.XLOOKUP($K112&amp;"",IOT!$B$3:$B$1012&amp;"",IOT!$K$4:$K$1012,""),"Server",_xlfn.XLOOKUP($K112&amp;"",SERVER!$B$3:$B$1009&amp;"",SERVER!$K$3:$K$1009,""),""))))</f>
        <v/>
      </c>
      <c r="O112" s="1" t="str" cm="1">
        <f t="array" ref="O112">IF(OR($K112="",$I112="",$J112=""),"",_xlfn.LET(_xlpm.srcCat,_xlfn.SWITCH($I112,"Computer",_xlfn.XLOOKUP($K112&amp;"",COMPUTER!$B$3:$B$1009&amp;"",COMPUTER!$H$3:$H$1009,""),"Display",_xlfn.XLOOKUP($K112&amp;"",DISPLAY!$B$3:$B$1000&amp;"",DISPLAY!$H$3:$H$1000,""),"Network Device",_xlfn.XLOOKUP($K112&amp;"",'NETWORK-DEVICES'!$B$3:$B$987&amp;"",'NETWORK-DEVICES'!$H$3:$H$987,""),"Peripheral",_xlfn.XLOOKUP($K112&amp;"",PERIPHERAL!$B$3:$B$954&amp;"",PERIPHERAL!$H$3:$H$954,""),"Utilities",_xlfn.XLOOKUP($K112&amp;"",UTILITIES!$B$3:$B$953&amp;"",UTILITIES!$G$3:$G$953,""),"IOT",_xlfn.XLOOKUP($K112&amp;"",IOT!$B$3:$B$1012&amp;"",IOT!$H$3:$H$1012,""),"Server",_xlfn.XLOOKUP($K112&amp;"",SERVER!$B$3:$B$1009&amp;"",SERVER!$H$3:$H$1009,""),""),IF(TRIM(_xlpm.srcCat)&lt;&gt;TRIM($J112),"",_xlfn.SWITCH($I112,"Computer",_xlfn.XLOOKUP($K112&amp;"",COMPUTER!$B$3:$B$1009&amp;"",COMPUTER!$E$3:$E$1009,""),"Display",_xlfn.XLOOKUP($K112&amp;"",DISPLAY!$B$3:$B$1000&amp;"",DISPLAY!$E$3:$E$1000,""),"Network Device",_xlfn.XLOOKUP($K112&amp;"",'NETWORK-DEVICES'!$B$3:$B$987&amp;"",'NETWORK-DEVICES'!$E$3:$E$987,""),"Peripheral",_xlfn.XLOOKUP($K112&amp;"",PERIPHERAL!$B$3:$B$954&amp;"",PERIPHERAL!$E$3:$E$954,""),"Utilities",_xlfn.XLOOKUP($K112&amp;"",UTILITIES!$B$3:$B$953&amp;"",UTILITIES!$E$3:$E$953,""),"IOT",_xlfn.XLOOKUP($K112&amp;"",IOT!$B$3:$B$1012&amp;"",IOT!$E$3:$E$1012,""),"Server",_xlfn.XLOOKUP($K112&amp;"",SERVER!$B$3:$B$1009&amp;"",SERVER!$E$3:$E$1009,""),""))))</f>
        <v/>
      </c>
      <c r="Q112" s="1" t="str" cm="1">
        <f t="array" ref="Q112">IF(OR($K112="",$I112="",$J112=""),"",_xlfn.LET(_xlpm.srcCat,_xlfn.SWITCH($I112,"Computer",_xlfn.XLOOKUP($K112&amp;"",COMPUTER!$B$3:$B$1009&amp;"",COMPUTER!$H$3:$H$1009,""),"Display",_xlfn.XLOOKUP($K112&amp;"",DISPLAY!$B$3:$B$1000&amp;"",DISPLAY!$H$3:$H$1000,""),"Network Device",_xlfn.XLOOKUP($K112&amp;"",'NETWORK-DEVICES'!$B$3:$B$987&amp;"",'NETWORK-DEVICES'!$H$3:$H$987,""),"Peripheral",_xlfn.XLOOKUP($K112&amp;"",PERIPHERAL!$B$3:$B$954&amp;"",PERIPHERAL!$H$3:$H$954,""),"Utilities",_xlfn.XLOOKUP($K112&amp;"",UTILITIES!$B$3:$B$953&amp;"",UTILITIES!$G$3:$G$953,""),"IOT",_xlfn.XLOOKUP($K112&amp;"",IOT!$B$3:$B$1012&amp;"",IOT!$H$3:$H$1012,""),"Server",_xlfn.XLOOKUP($K112&amp;"",SERVER!$B$3:$B$1009&amp;"",SERVER!$H$3:$H$1009,""),""),IF(TRIM(_xlpm.srcCat)&lt;&gt;TRIM($J112),"",_xlfn.SWITCH($I112,"Computer",_xlfn.XLOOKUP($K112&amp;"",COMPUTER!$B$3:$B$1009&amp;"",COMPUTER!$AM$3:$AM$1009,""),"Display",_xlfn.XLOOKUP($K112&amp;"",DISPLAY!$B$3:$B$1000&amp;"",DISPLAY!$V$3:$V$1000,""),"Network Device",_xlfn.XLOOKUP($K112&amp;"",'NETWORK-DEVICES'!$B$3:$B$987&amp;"",'NETWORK-DEVICES'!$AF$3:$AF$987,""),"Peripheral",_xlfn.XLOOKUP($K112&amp;"",PERIPHERAL!$B$3:$B$954&amp;"",PERIPHERAL!$Y$3:$Y$954,""),"Utilities",_xlfn.XLOOKUP($K112&amp;"",UTILITIES!$B$3:$B$953&amp;"",UTILITIES!$O$3:$O$953,""),"IOT",_xlfn.XLOOKUP($K112&amp;"",IOT!$B$3:$B$1012&amp;"",IOT!$AB$3:$AB$1012,""),"Server",_xlfn.XLOOKUP($K112&amp;"",SERVER!$B$3:$B$1009&amp;"",SERVER!$AB$3:$AB$1009,""),""))))</f>
        <v/>
      </c>
      <c r="R112" s="43" t="str">
        <f>IF(tbl_handover[[#This Row],[Asset Code]]="","",COUNTIF(tbl_handover[Asset Code],tbl_handover[[#This Row],[Asset Code]]))</f>
        <v/>
      </c>
    </row>
    <row r="113" spans="1:18" x14ac:dyDescent="0.25">
      <c r="A113" s="43" t="str">
        <f>IF(B113&lt;&gt;"",SUBTOTAL(3,$B$1:B112),"")</f>
        <v/>
      </c>
      <c r="C113" s="74"/>
      <c r="D113" s="74"/>
      <c r="G113" s="1"/>
      <c r="K113" s="42"/>
      <c r="L113" t="str" cm="1">
        <f t="array" ref="L113">IF($K113="","",_xlfn.SWITCH($I113,"Computer",_xlfn.XLOOKUP($K113&amp;"",COMPUTER!$B$3:$B$1009&amp;"",COMPUTER!$I$3:$I$1009,""),"Display",_xlfn.XLOOKUP($K113&amp;"",DISPLAY!$B$3:$B$1000&amp;"",DISPLAY!$J$3:$J$1000,""),"Network Device",_xlfn.XLOOKUP($K113&amp;"",'NETWORK-DEVICES'!$B$3:$B$987&amp;"",'NETWORK-DEVICES'!$I$3:$I$987,""),"Peripheral",_xlfn.XLOOKUP($K113&amp;"",PERIPHERAL!$B$3:$B$954&amp;"",PERIPHERAL!$I$3:$I$954,""),"Utilities",_xlfn.XLOOKUP($K113&amp;"",UTILITIES!$B$3:$B$953&amp;"",UTILITIES!$H$3:$H$953,""),"IOT",_xlfn.XLOOKUP($K113&amp;"",IOT!$B$3:$B$1012&amp;"",IOT!$I$3:$I$1012,""),"SERVER",_xlfn.XLOOKUP($K113&amp;"",SERVER!$B$3:$B$1009&amp;"",SERVER!$I$3:$I$1009,""),""))</f>
        <v/>
      </c>
      <c r="M113" t="str" cm="1">
        <f t="array" ref="M113">IF($K113="","",_xlfn.SWITCH($I113,"Computer",_xlfn.XLOOKUP($K113&amp;"",COMPUTER!$B$3:$B$1009&amp;"",COMPUTER!$J$3:$J$1009,""),"Display",_xlfn.XLOOKUP($K113&amp;"",DISPLAY!$B$3:$B$1000&amp;"",DISPLAY!$K$3:$K$1000,""),"Network Device",_xlfn.XLOOKUP($K113&amp;"",'NETWORK-DEVICES'!$B$3:$B$987&amp;"",'NETWORK-DEVICES'!$I$3:$I$987,""),"Peripheral",_xlfn.XLOOKUP($K113&amp;"",PERIPHERAL!$B$3:$B$954&amp;"",PERIPHERAL!$J$3:$J$954,""),"Utilities",_xlfn.XLOOKUP($K113&amp;"",UTILITIES!$B$3:$B$953&amp;"",UTILITIES!$I$3:$I$953,""),"IOT",_xlfn.XLOOKUP($K113&amp;"",IOT!$B$3:$B$1012&amp;"",IOT!$J$3:$J$1012,""),"Server",_xlfn.XLOOKUP($K113&amp;"",SERVER!$B$3:$B$1009&amp;"",SERVER!$J$3:$J$1009,""),""))</f>
        <v/>
      </c>
      <c r="N113" s="1" t="str" cm="1">
        <f t="array" ref="N113">IF(OR($K113="",$I113="",$J113=""),"",_xlfn.LET(_xlpm.srcCat,_xlfn.SWITCH($I113,"Computer",_xlfn.XLOOKUP($K113&amp;"",COMPUTER!$B$3:$B$1009&amp;"",COMPUTER!$H$3:$H$1009,""),"Display",_xlfn.XLOOKUP($K113&amp;"",DISPLAY!$B$3:$B$1000&amp;"",DISPLAY!$H$3:$H$1000,""),"Network Device",_xlfn.XLOOKUP($K113&amp;"",'NETWORK-DEVICES'!$B$3:$B$987&amp;"",'NETWORK-DEVICES'!$H$3:$H$987,""),"Peripheral",_xlfn.XLOOKUP($K113&amp;"",PERIPHERAL!$B$3:$B$954&amp;"",PERIPHERAL!$H$3:$H$954,""),"Utilities",_xlfn.XLOOKUP($K113&amp;"",UTILITIES!$B$3:$B$953&amp;"",UTILITIES!$G$3:$G$953,""),"IOT",_xlfn.XLOOKUP($K113&amp;"",IOT!$B$3:$B$1012&amp;"",IOT!$H$3:$H$1012,""),"Server",_xlfn.XLOOKUP($K113&amp;"",SERVER!$B$3:$B$1009&amp;"",SERVER!$H$3:$H$1009,""),""),IF(TRIM(_xlpm.srcCat)&lt;&gt;TRIM($J113),"",_xlfn.SWITCH($I113,"Computer",_xlfn.XLOOKUP($K113&amp;"",COMPUTER!$B$3:$B$1009&amp;"",COMPUTER!$K$3:$K$1009,""),"Display",_xlfn.XLOOKUP($K113&amp;"",DISPLAY!$B$3:$B$1000&amp;"",DISPLAY!$L$3:$L$1000,""),"Network Device",_xlfn.XLOOKUP($K113&amp;"",'NETWORK-DEVICES'!$B$3:$B$987&amp;"",'NETWORK-DEVICES'!$K$3:$K$987,""),"Peripheral",_xlfn.XLOOKUP($K113&amp;"",PERIPHERAL!$B$3:$B$954&amp;"",PERIPHERAL!$K$3:$K$954,""),"Utilities",_xlfn.XLOOKUP($K113&amp;"",UTILITIES!$B$3:$B$953&amp;"",UTILITIES!$J$3:$J$953,""),"IOT",_xlfn.XLOOKUP($K113&amp;"",IOT!$B$3:$B$1012&amp;"",IOT!$K$4:$K$1012,""),"Server",_xlfn.XLOOKUP($K113&amp;"",SERVER!$B$3:$B$1009&amp;"",SERVER!$K$3:$K$1009,""),""))))</f>
        <v/>
      </c>
      <c r="O113" s="1" t="str" cm="1">
        <f t="array" ref="O113">IF(OR($K113="",$I113="",$J113=""),"",_xlfn.LET(_xlpm.srcCat,_xlfn.SWITCH($I113,"Computer",_xlfn.XLOOKUP($K113&amp;"",COMPUTER!$B$3:$B$1009&amp;"",COMPUTER!$H$3:$H$1009,""),"Display",_xlfn.XLOOKUP($K113&amp;"",DISPLAY!$B$3:$B$1000&amp;"",DISPLAY!$H$3:$H$1000,""),"Network Device",_xlfn.XLOOKUP($K113&amp;"",'NETWORK-DEVICES'!$B$3:$B$987&amp;"",'NETWORK-DEVICES'!$H$3:$H$987,""),"Peripheral",_xlfn.XLOOKUP($K113&amp;"",PERIPHERAL!$B$3:$B$954&amp;"",PERIPHERAL!$H$3:$H$954,""),"Utilities",_xlfn.XLOOKUP($K113&amp;"",UTILITIES!$B$3:$B$953&amp;"",UTILITIES!$G$3:$G$953,""),"IOT",_xlfn.XLOOKUP($K113&amp;"",IOT!$B$3:$B$1012&amp;"",IOT!$H$3:$H$1012,""),"Server",_xlfn.XLOOKUP($K113&amp;"",SERVER!$B$3:$B$1009&amp;"",SERVER!$H$3:$H$1009,""),""),IF(TRIM(_xlpm.srcCat)&lt;&gt;TRIM($J113),"",_xlfn.SWITCH($I113,"Computer",_xlfn.XLOOKUP($K113&amp;"",COMPUTER!$B$3:$B$1009&amp;"",COMPUTER!$E$3:$E$1009,""),"Display",_xlfn.XLOOKUP($K113&amp;"",DISPLAY!$B$3:$B$1000&amp;"",DISPLAY!$E$3:$E$1000,""),"Network Device",_xlfn.XLOOKUP($K113&amp;"",'NETWORK-DEVICES'!$B$3:$B$987&amp;"",'NETWORK-DEVICES'!$E$3:$E$987,""),"Peripheral",_xlfn.XLOOKUP($K113&amp;"",PERIPHERAL!$B$3:$B$954&amp;"",PERIPHERAL!$E$3:$E$954,""),"Utilities",_xlfn.XLOOKUP($K113&amp;"",UTILITIES!$B$3:$B$953&amp;"",UTILITIES!$E$3:$E$953,""),"IOT",_xlfn.XLOOKUP($K113&amp;"",IOT!$B$3:$B$1012&amp;"",IOT!$E$3:$E$1012,""),"Server",_xlfn.XLOOKUP($K113&amp;"",SERVER!$B$3:$B$1009&amp;"",SERVER!$E$3:$E$1009,""),""))))</f>
        <v/>
      </c>
      <c r="Q113" s="1" t="str" cm="1">
        <f t="array" ref="Q113">IF(OR($K113="",$I113="",$J113=""),"",_xlfn.LET(_xlpm.srcCat,_xlfn.SWITCH($I113,"Computer",_xlfn.XLOOKUP($K113&amp;"",COMPUTER!$B$3:$B$1009&amp;"",COMPUTER!$H$3:$H$1009,""),"Display",_xlfn.XLOOKUP($K113&amp;"",DISPLAY!$B$3:$B$1000&amp;"",DISPLAY!$H$3:$H$1000,""),"Network Device",_xlfn.XLOOKUP($K113&amp;"",'NETWORK-DEVICES'!$B$3:$B$987&amp;"",'NETWORK-DEVICES'!$H$3:$H$987,""),"Peripheral",_xlfn.XLOOKUP($K113&amp;"",PERIPHERAL!$B$3:$B$954&amp;"",PERIPHERAL!$H$3:$H$954,""),"Utilities",_xlfn.XLOOKUP($K113&amp;"",UTILITIES!$B$3:$B$953&amp;"",UTILITIES!$G$3:$G$953,""),"IOT",_xlfn.XLOOKUP($K113&amp;"",IOT!$B$3:$B$1012&amp;"",IOT!$H$3:$H$1012,""),"Server",_xlfn.XLOOKUP($K113&amp;"",SERVER!$B$3:$B$1009&amp;"",SERVER!$H$3:$H$1009,""),""),IF(TRIM(_xlpm.srcCat)&lt;&gt;TRIM($J113),"",_xlfn.SWITCH($I113,"Computer",_xlfn.XLOOKUP($K113&amp;"",COMPUTER!$B$3:$B$1009&amp;"",COMPUTER!$AM$3:$AM$1009,""),"Display",_xlfn.XLOOKUP($K113&amp;"",DISPLAY!$B$3:$B$1000&amp;"",DISPLAY!$V$3:$V$1000,""),"Network Device",_xlfn.XLOOKUP($K113&amp;"",'NETWORK-DEVICES'!$B$3:$B$987&amp;"",'NETWORK-DEVICES'!$AF$3:$AF$987,""),"Peripheral",_xlfn.XLOOKUP($K113&amp;"",PERIPHERAL!$B$3:$B$954&amp;"",PERIPHERAL!$Y$3:$Y$954,""),"Utilities",_xlfn.XLOOKUP($K113&amp;"",UTILITIES!$B$3:$B$953&amp;"",UTILITIES!$O$3:$O$953,""),"IOT",_xlfn.XLOOKUP($K113&amp;"",IOT!$B$3:$B$1012&amp;"",IOT!$AB$3:$AB$1012,""),"Server",_xlfn.XLOOKUP($K113&amp;"",SERVER!$B$3:$B$1009&amp;"",SERVER!$AB$3:$AB$1009,""),""))))</f>
        <v/>
      </c>
      <c r="R113" s="43" t="str">
        <f>IF(tbl_handover[[#This Row],[Asset Code]]="","",COUNTIF(tbl_handover[Asset Code],tbl_handover[[#This Row],[Asset Code]]))</f>
        <v/>
      </c>
    </row>
    <row r="114" spans="1:18" x14ac:dyDescent="0.25">
      <c r="A114" s="43" t="str">
        <f>IF(B114&lt;&gt;"",SUBTOTAL(3,$B$1:B113),"")</f>
        <v/>
      </c>
      <c r="C114" s="74"/>
      <c r="D114" s="74"/>
      <c r="G114" s="1"/>
      <c r="K114" s="42"/>
      <c r="L114" t="str" cm="1">
        <f t="array" ref="L114">IF($K114="","",_xlfn.SWITCH($I114,"Computer",_xlfn.XLOOKUP($K114&amp;"",COMPUTER!$B$3:$B$1009&amp;"",COMPUTER!$I$3:$I$1009,""),"Display",_xlfn.XLOOKUP($K114&amp;"",DISPLAY!$B$3:$B$1000&amp;"",DISPLAY!$J$3:$J$1000,""),"Network Device",_xlfn.XLOOKUP($K114&amp;"",'NETWORK-DEVICES'!$B$3:$B$987&amp;"",'NETWORK-DEVICES'!$I$3:$I$987,""),"Peripheral",_xlfn.XLOOKUP($K114&amp;"",PERIPHERAL!$B$3:$B$954&amp;"",PERIPHERAL!$I$3:$I$954,""),"Utilities",_xlfn.XLOOKUP($K114&amp;"",UTILITIES!$B$3:$B$953&amp;"",UTILITIES!$H$3:$H$953,""),"IOT",_xlfn.XLOOKUP($K114&amp;"",IOT!$B$3:$B$1012&amp;"",IOT!$I$3:$I$1012,""),"SERVER",_xlfn.XLOOKUP($K114&amp;"",SERVER!$B$3:$B$1009&amp;"",SERVER!$I$3:$I$1009,""),""))</f>
        <v/>
      </c>
      <c r="M114" t="str" cm="1">
        <f t="array" ref="M114">IF($K114="","",_xlfn.SWITCH($I114,"Computer",_xlfn.XLOOKUP($K114&amp;"",COMPUTER!$B$3:$B$1009&amp;"",COMPUTER!$J$3:$J$1009,""),"Display",_xlfn.XLOOKUP($K114&amp;"",DISPLAY!$B$3:$B$1000&amp;"",DISPLAY!$K$3:$K$1000,""),"Network Device",_xlfn.XLOOKUP($K114&amp;"",'NETWORK-DEVICES'!$B$3:$B$987&amp;"",'NETWORK-DEVICES'!$I$3:$I$987,""),"Peripheral",_xlfn.XLOOKUP($K114&amp;"",PERIPHERAL!$B$3:$B$954&amp;"",PERIPHERAL!$J$3:$J$954,""),"Utilities",_xlfn.XLOOKUP($K114&amp;"",UTILITIES!$B$3:$B$953&amp;"",UTILITIES!$I$3:$I$953,""),"IOT",_xlfn.XLOOKUP($K114&amp;"",IOT!$B$3:$B$1012&amp;"",IOT!$J$3:$J$1012,""),"Server",_xlfn.XLOOKUP($K114&amp;"",SERVER!$B$3:$B$1009&amp;"",SERVER!$J$3:$J$1009,""),""))</f>
        <v/>
      </c>
      <c r="N114" s="1" t="str" cm="1">
        <f t="array" ref="N114">IF(OR($K114="",$I114="",$J114=""),"",_xlfn.LET(_xlpm.srcCat,_xlfn.SWITCH($I114,"Computer",_xlfn.XLOOKUP($K114&amp;"",COMPUTER!$B$3:$B$1009&amp;"",COMPUTER!$H$3:$H$1009,""),"Display",_xlfn.XLOOKUP($K114&amp;"",DISPLAY!$B$3:$B$1000&amp;"",DISPLAY!$H$3:$H$1000,""),"Network Device",_xlfn.XLOOKUP($K114&amp;"",'NETWORK-DEVICES'!$B$3:$B$987&amp;"",'NETWORK-DEVICES'!$H$3:$H$987,""),"Peripheral",_xlfn.XLOOKUP($K114&amp;"",PERIPHERAL!$B$3:$B$954&amp;"",PERIPHERAL!$H$3:$H$954,""),"Utilities",_xlfn.XLOOKUP($K114&amp;"",UTILITIES!$B$3:$B$953&amp;"",UTILITIES!$G$3:$G$953,""),"IOT",_xlfn.XLOOKUP($K114&amp;"",IOT!$B$3:$B$1012&amp;"",IOT!$H$3:$H$1012,""),"Server",_xlfn.XLOOKUP($K114&amp;"",SERVER!$B$3:$B$1009&amp;"",SERVER!$H$3:$H$1009,""),""),IF(TRIM(_xlpm.srcCat)&lt;&gt;TRIM($J114),"",_xlfn.SWITCH($I114,"Computer",_xlfn.XLOOKUP($K114&amp;"",COMPUTER!$B$3:$B$1009&amp;"",COMPUTER!$K$3:$K$1009,""),"Display",_xlfn.XLOOKUP($K114&amp;"",DISPLAY!$B$3:$B$1000&amp;"",DISPLAY!$L$3:$L$1000,""),"Network Device",_xlfn.XLOOKUP($K114&amp;"",'NETWORK-DEVICES'!$B$3:$B$987&amp;"",'NETWORK-DEVICES'!$K$3:$K$987,""),"Peripheral",_xlfn.XLOOKUP($K114&amp;"",PERIPHERAL!$B$3:$B$954&amp;"",PERIPHERAL!$K$3:$K$954,""),"Utilities",_xlfn.XLOOKUP($K114&amp;"",UTILITIES!$B$3:$B$953&amp;"",UTILITIES!$J$3:$J$953,""),"IOT",_xlfn.XLOOKUP($K114&amp;"",IOT!$B$3:$B$1012&amp;"",IOT!$K$4:$K$1012,""),"Server",_xlfn.XLOOKUP($K114&amp;"",SERVER!$B$3:$B$1009&amp;"",SERVER!$K$3:$K$1009,""),""))))</f>
        <v/>
      </c>
      <c r="O114" s="1" t="str" cm="1">
        <f t="array" ref="O114">IF(OR($K114="",$I114="",$J114=""),"",_xlfn.LET(_xlpm.srcCat,_xlfn.SWITCH($I114,"Computer",_xlfn.XLOOKUP($K114&amp;"",COMPUTER!$B$3:$B$1009&amp;"",COMPUTER!$H$3:$H$1009,""),"Display",_xlfn.XLOOKUP($K114&amp;"",DISPLAY!$B$3:$B$1000&amp;"",DISPLAY!$H$3:$H$1000,""),"Network Device",_xlfn.XLOOKUP($K114&amp;"",'NETWORK-DEVICES'!$B$3:$B$987&amp;"",'NETWORK-DEVICES'!$H$3:$H$987,""),"Peripheral",_xlfn.XLOOKUP($K114&amp;"",PERIPHERAL!$B$3:$B$954&amp;"",PERIPHERAL!$H$3:$H$954,""),"Utilities",_xlfn.XLOOKUP($K114&amp;"",UTILITIES!$B$3:$B$953&amp;"",UTILITIES!$G$3:$G$953,""),"IOT",_xlfn.XLOOKUP($K114&amp;"",IOT!$B$3:$B$1012&amp;"",IOT!$H$3:$H$1012,""),"Server",_xlfn.XLOOKUP($K114&amp;"",SERVER!$B$3:$B$1009&amp;"",SERVER!$H$3:$H$1009,""),""),IF(TRIM(_xlpm.srcCat)&lt;&gt;TRIM($J114),"",_xlfn.SWITCH($I114,"Computer",_xlfn.XLOOKUP($K114&amp;"",COMPUTER!$B$3:$B$1009&amp;"",COMPUTER!$E$3:$E$1009,""),"Display",_xlfn.XLOOKUP($K114&amp;"",DISPLAY!$B$3:$B$1000&amp;"",DISPLAY!$E$3:$E$1000,""),"Network Device",_xlfn.XLOOKUP($K114&amp;"",'NETWORK-DEVICES'!$B$3:$B$987&amp;"",'NETWORK-DEVICES'!$E$3:$E$987,""),"Peripheral",_xlfn.XLOOKUP($K114&amp;"",PERIPHERAL!$B$3:$B$954&amp;"",PERIPHERAL!$E$3:$E$954,""),"Utilities",_xlfn.XLOOKUP($K114&amp;"",UTILITIES!$B$3:$B$953&amp;"",UTILITIES!$E$3:$E$953,""),"IOT",_xlfn.XLOOKUP($K114&amp;"",IOT!$B$3:$B$1012&amp;"",IOT!$E$3:$E$1012,""),"Server",_xlfn.XLOOKUP($K114&amp;"",SERVER!$B$3:$B$1009&amp;"",SERVER!$E$3:$E$1009,""),""))))</f>
        <v/>
      </c>
      <c r="Q114" s="1" t="str" cm="1">
        <f t="array" ref="Q114">IF(OR($K114="",$I114="",$J114=""),"",_xlfn.LET(_xlpm.srcCat,_xlfn.SWITCH($I114,"Computer",_xlfn.XLOOKUP($K114&amp;"",COMPUTER!$B$3:$B$1009&amp;"",COMPUTER!$H$3:$H$1009,""),"Display",_xlfn.XLOOKUP($K114&amp;"",DISPLAY!$B$3:$B$1000&amp;"",DISPLAY!$H$3:$H$1000,""),"Network Device",_xlfn.XLOOKUP($K114&amp;"",'NETWORK-DEVICES'!$B$3:$B$987&amp;"",'NETWORK-DEVICES'!$H$3:$H$987,""),"Peripheral",_xlfn.XLOOKUP($K114&amp;"",PERIPHERAL!$B$3:$B$954&amp;"",PERIPHERAL!$H$3:$H$954,""),"Utilities",_xlfn.XLOOKUP($K114&amp;"",UTILITIES!$B$3:$B$953&amp;"",UTILITIES!$G$3:$G$953,""),"IOT",_xlfn.XLOOKUP($K114&amp;"",IOT!$B$3:$B$1012&amp;"",IOT!$H$3:$H$1012,""),"Server",_xlfn.XLOOKUP($K114&amp;"",SERVER!$B$3:$B$1009&amp;"",SERVER!$H$3:$H$1009,""),""),IF(TRIM(_xlpm.srcCat)&lt;&gt;TRIM($J114),"",_xlfn.SWITCH($I114,"Computer",_xlfn.XLOOKUP($K114&amp;"",COMPUTER!$B$3:$B$1009&amp;"",COMPUTER!$AM$3:$AM$1009,""),"Display",_xlfn.XLOOKUP($K114&amp;"",DISPLAY!$B$3:$B$1000&amp;"",DISPLAY!$V$3:$V$1000,""),"Network Device",_xlfn.XLOOKUP($K114&amp;"",'NETWORK-DEVICES'!$B$3:$B$987&amp;"",'NETWORK-DEVICES'!$AF$3:$AF$987,""),"Peripheral",_xlfn.XLOOKUP($K114&amp;"",PERIPHERAL!$B$3:$B$954&amp;"",PERIPHERAL!$Y$3:$Y$954,""),"Utilities",_xlfn.XLOOKUP($K114&amp;"",UTILITIES!$B$3:$B$953&amp;"",UTILITIES!$O$3:$O$953,""),"IOT",_xlfn.XLOOKUP($K114&amp;"",IOT!$B$3:$B$1012&amp;"",IOT!$AB$3:$AB$1012,""),"Server",_xlfn.XLOOKUP($K114&amp;"",SERVER!$B$3:$B$1009&amp;"",SERVER!$AB$3:$AB$1009,""),""))))</f>
        <v/>
      </c>
      <c r="R114" s="43" t="str">
        <f>IF(tbl_handover[[#This Row],[Asset Code]]="","",COUNTIF(tbl_handover[Asset Code],tbl_handover[[#This Row],[Asset Code]]))</f>
        <v/>
      </c>
    </row>
    <row r="115" spans="1:18" x14ac:dyDescent="0.25">
      <c r="A115" s="43" t="str">
        <f>IF(B115&lt;&gt;"",SUBTOTAL(3,$B$1:B114),"")</f>
        <v/>
      </c>
      <c r="C115" s="74"/>
      <c r="D115" s="74"/>
      <c r="G115" s="1"/>
      <c r="K115" s="42"/>
      <c r="L115" t="str" cm="1">
        <f t="array" ref="L115">IF($K115="","",_xlfn.SWITCH($I115,"Computer",_xlfn.XLOOKUP($K115&amp;"",COMPUTER!$B$3:$B$1009&amp;"",COMPUTER!$I$3:$I$1009,""),"Display",_xlfn.XLOOKUP($K115&amp;"",DISPLAY!$B$3:$B$1000&amp;"",DISPLAY!$J$3:$J$1000,""),"Network Device",_xlfn.XLOOKUP($K115&amp;"",'NETWORK-DEVICES'!$B$3:$B$987&amp;"",'NETWORK-DEVICES'!$I$3:$I$987,""),"Peripheral",_xlfn.XLOOKUP($K115&amp;"",PERIPHERAL!$B$3:$B$954&amp;"",PERIPHERAL!$I$3:$I$954,""),"Utilities",_xlfn.XLOOKUP($K115&amp;"",UTILITIES!$B$3:$B$953&amp;"",UTILITIES!$H$3:$H$953,""),"IOT",_xlfn.XLOOKUP($K115&amp;"",IOT!$B$3:$B$1012&amp;"",IOT!$I$3:$I$1012,""),"SERVER",_xlfn.XLOOKUP($K115&amp;"",SERVER!$B$3:$B$1009&amp;"",SERVER!$I$3:$I$1009,""),""))</f>
        <v/>
      </c>
      <c r="M115" t="str" cm="1">
        <f t="array" ref="M115">IF($K115="","",_xlfn.SWITCH($I115,"Computer",_xlfn.XLOOKUP($K115&amp;"",COMPUTER!$B$3:$B$1009&amp;"",COMPUTER!$J$3:$J$1009,""),"Display",_xlfn.XLOOKUP($K115&amp;"",DISPLAY!$B$3:$B$1000&amp;"",DISPLAY!$K$3:$K$1000,""),"Network Device",_xlfn.XLOOKUP($K115&amp;"",'NETWORK-DEVICES'!$B$3:$B$987&amp;"",'NETWORK-DEVICES'!$I$3:$I$987,""),"Peripheral",_xlfn.XLOOKUP($K115&amp;"",PERIPHERAL!$B$3:$B$954&amp;"",PERIPHERAL!$J$3:$J$954,""),"Utilities",_xlfn.XLOOKUP($K115&amp;"",UTILITIES!$B$3:$B$953&amp;"",UTILITIES!$I$3:$I$953,""),"IOT",_xlfn.XLOOKUP($K115&amp;"",IOT!$B$3:$B$1012&amp;"",IOT!$J$3:$J$1012,""),"Server",_xlfn.XLOOKUP($K115&amp;"",SERVER!$B$3:$B$1009&amp;"",SERVER!$J$3:$J$1009,""),""))</f>
        <v/>
      </c>
      <c r="N115" s="1" t="str" cm="1">
        <f t="array" ref="N115">IF(OR($K115="",$I115="",$J115=""),"",_xlfn.LET(_xlpm.srcCat,_xlfn.SWITCH($I115,"Computer",_xlfn.XLOOKUP($K115&amp;"",COMPUTER!$B$3:$B$1009&amp;"",COMPUTER!$H$3:$H$1009,""),"Display",_xlfn.XLOOKUP($K115&amp;"",DISPLAY!$B$3:$B$1000&amp;"",DISPLAY!$H$3:$H$1000,""),"Network Device",_xlfn.XLOOKUP($K115&amp;"",'NETWORK-DEVICES'!$B$3:$B$987&amp;"",'NETWORK-DEVICES'!$H$3:$H$987,""),"Peripheral",_xlfn.XLOOKUP($K115&amp;"",PERIPHERAL!$B$3:$B$954&amp;"",PERIPHERAL!$H$3:$H$954,""),"Utilities",_xlfn.XLOOKUP($K115&amp;"",UTILITIES!$B$3:$B$953&amp;"",UTILITIES!$G$3:$G$953,""),"IOT",_xlfn.XLOOKUP($K115&amp;"",IOT!$B$3:$B$1012&amp;"",IOT!$H$3:$H$1012,""),"Server",_xlfn.XLOOKUP($K115&amp;"",SERVER!$B$3:$B$1009&amp;"",SERVER!$H$3:$H$1009,""),""),IF(TRIM(_xlpm.srcCat)&lt;&gt;TRIM($J115),"",_xlfn.SWITCH($I115,"Computer",_xlfn.XLOOKUP($K115&amp;"",COMPUTER!$B$3:$B$1009&amp;"",COMPUTER!$K$3:$K$1009,""),"Display",_xlfn.XLOOKUP($K115&amp;"",DISPLAY!$B$3:$B$1000&amp;"",DISPLAY!$L$3:$L$1000,""),"Network Device",_xlfn.XLOOKUP($K115&amp;"",'NETWORK-DEVICES'!$B$3:$B$987&amp;"",'NETWORK-DEVICES'!$K$3:$K$987,""),"Peripheral",_xlfn.XLOOKUP($K115&amp;"",PERIPHERAL!$B$3:$B$954&amp;"",PERIPHERAL!$K$3:$K$954,""),"Utilities",_xlfn.XLOOKUP($K115&amp;"",UTILITIES!$B$3:$B$953&amp;"",UTILITIES!$J$3:$J$953,""),"IOT",_xlfn.XLOOKUP($K115&amp;"",IOT!$B$3:$B$1012&amp;"",IOT!$K$4:$K$1012,""),"Server",_xlfn.XLOOKUP($K115&amp;"",SERVER!$B$3:$B$1009&amp;"",SERVER!$K$3:$K$1009,""),""))))</f>
        <v/>
      </c>
      <c r="O115" s="1" t="str" cm="1">
        <f t="array" ref="O115">IF(OR($K115="",$I115="",$J115=""),"",_xlfn.LET(_xlpm.srcCat,_xlfn.SWITCH($I115,"Computer",_xlfn.XLOOKUP($K115&amp;"",COMPUTER!$B$3:$B$1009&amp;"",COMPUTER!$H$3:$H$1009,""),"Display",_xlfn.XLOOKUP($K115&amp;"",DISPLAY!$B$3:$B$1000&amp;"",DISPLAY!$H$3:$H$1000,""),"Network Device",_xlfn.XLOOKUP($K115&amp;"",'NETWORK-DEVICES'!$B$3:$B$987&amp;"",'NETWORK-DEVICES'!$H$3:$H$987,""),"Peripheral",_xlfn.XLOOKUP($K115&amp;"",PERIPHERAL!$B$3:$B$954&amp;"",PERIPHERAL!$H$3:$H$954,""),"Utilities",_xlfn.XLOOKUP($K115&amp;"",UTILITIES!$B$3:$B$953&amp;"",UTILITIES!$G$3:$G$953,""),"IOT",_xlfn.XLOOKUP($K115&amp;"",IOT!$B$3:$B$1012&amp;"",IOT!$H$3:$H$1012,""),"Server",_xlfn.XLOOKUP($K115&amp;"",SERVER!$B$3:$B$1009&amp;"",SERVER!$H$3:$H$1009,""),""),IF(TRIM(_xlpm.srcCat)&lt;&gt;TRIM($J115),"",_xlfn.SWITCH($I115,"Computer",_xlfn.XLOOKUP($K115&amp;"",COMPUTER!$B$3:$B$1009&amp;"",COMPUTER!$E$3:$E$1009,""),"Display",_xlfn.XLOOKUP($K115&amp;"",DISPLAY!$B$3:$B$1000&amp;"",DISPLAY!$E$3:$E$1000,""),"Network Device",_xlfn.XLOOKUP($K115&amp;"",'NETWORK-DEVICES'!$B$3:$B$987&amp;"",'NETWORK-DEVICES'!$E$3:$E$987,""),"Peripheral",_xlfn.XLOOKUP($K115&amp;"",PERIPHERAL!$B$3:$B$954&amp;"",PERIPHERAL!$E$3:$E$954,""),"Utilities",_xlfn.XLOOKUP($K115&amp;"",UTILITIES!$B$3:$B$953&amp;"",UTILITIES!$E$3:$E$953,""),"IOT",_xlfn.XLOOKUP($K115&amp;"",IOT!$B$3:$B$1012&amp;"",IOT!$E$3:$E$1012,""),"Server",_xlfn.XLOOKUP($K115&amp;"",SERVER!$B$3:$B$1009&amp;"",SERVER!$E$3:$E$1009,""),""))))</f>
        <v/>
      </c>
      <c r="Q115" s="1" t="str" cm="1">
        <f t="array" ref="Q115">IF(OR($K115="",$I115="",$J115=""),"",_xlfn.LET(_xlpm.srcCat,_xlfn.SWITCH($I115,"Computer",_xlfn.XLOOKUP($K115&amp;"",COMPUTER!$B$3:$B$1009&amp;"",COMPUTER!$H$3:$H$1009,""),"Display",_xlfn.XLOOKUP($K115&amp;"",DISPLAY!$B$3:$B$1000&amp;"",DISPLAY!$H$3:$H$1000,""),"Network Device",_xlfn.XLOOKUP($K115&amp;"",'NETWORK-DEVICES'!$B$3:$B$987&amp;"",'NETWORK-DEVICES'!$H$3:$H$987,""),"Peripheral",_xlfn.XLOOKUP($K115&amp;"",PERIPHERAL!$B$3:$B$954&amp;"",PERIPHERAL!$H$3:$H$954,""),"Utilities",_xlfn.XLOOKUP($K115&amp;"",UTILITIES!$B$3:$B$953&amp;"",UTILITIES!$G$3:$G$953,""),"IOT",_xlfn.XLOOKUP($K115&amp;"",IOT!$B$3:$B$1012&amp;"",IOT!$H$3:$H$1012,""),"Server",_xlfn.XLOOKUP($K115&amp;"",SERVER!$B$3:$B$1009&amp;"",SERVER!$H$3:$H$1009,""),""),IF(TRIM(_xlpm.srcCat)&lt;&gt;TRIM($J115),"",_xlfn.SWITCH($I115,"Computer",_xlfn.XLOOKUP($K115&amp;"",COMPUTER!$B$3:$B$1009&amp;"",COMPUTER!$AM$3:$AM$1009,""),"Display",_xlfn.XLOOKUP($K115&amp;"",DISPLAY!$B$3:$B$1000&amp;"",DISPLAY!$V$3:$V$1000,""),"Network Device",_xlfn.XLOOKUP($K115&amp;"",'NETWORK-DEVICES'!$B$3:$B$987&amp;"",'NETWORK-DEVICES'!$AF$3:$AF$987,""),"Peripheral",_xlfn.XLOOKUP($K115&amp;"",PERIPHERAL!$B$3:$B$954&amp;"",PERIPHERAL!$Y$3:$Y$954,""),"Utilities",_xlfn.XLOOKUP($K115&amp;"",UTILITIES!$B$3:$B$953&amp;"",UTILITIES!$O$3:$O$953,""),"IOT",_xlfn.XLOOKUP($K115&amp;"",IOT!$B$3:$B$1012&amp;"",IOT!$AB$3:$AB$1012,""),"Server",_xlfn.XLOOKUP($K115&amp;"",SERVER!$B$3:$B$1009&amp;"",SERVER!$AB$3:$AB$1009,""),""))))</f>
        <v/>
      </c>
      <c r="R115" s="43" t="str">
        <f>IF(tbl_handover[[#This Row],[Asset Code]]="","",COUNTIF(tbl_handover[Asset Code],tbl_handover[[#This Row],[Asset Code]]))</f>
        <v/>
      </c>
    </row>
    <row r="116" spans="1:18" x14ac:dyDescent="0.25">
      <c r="A116" s="43" t="str">
        <f>IF(B116&lt;&gt;"",SUBTOTAL(3,$B$1:B115),"")</f>
        <v/>
      </c>
      <c r="C116" s="74"/>
      <c r="D116" s="74"/>
      <c r="G116" s="1"/>
      <c r="K116" s="42"/>
      <c r="L116" t="str" cm="1">
        <f t="array" ref="L116">IF($K116="","",_xlfn.SWITCH($I116,"Computer",_xlfn.XLOOKUP($K116&amp;"",COMPUTER!$B$3:$B$1009&amp;"",COMPUTER!$I$3:$I$1009,""),"Display",_xlfn.XLOOKUP($K116&amp;"",DISPLAY!$B$3:$B$1000&amp;"",DISPLAY!$J$3:$J$1000,""),"Network Device",_xlfn.XLOOKUP($K116&amp;"",'NETWORK-DEVICES'!$B$3:$B$987&amp;"",'NETWORK-DEVICES'!$I$3:$I$987,""),"Peripheral",_xlfn.XLOOKUP($K116&amp;"",PERIPHERAL!$B$3:$B$954&amp;"",PERIPHERAL!$I$3:$I$954,""),"Utilities",_xlfn.XLOOKUP($K116&amp;"",UTILITIES!$B$3:$B$953&amp;"",UTILITIES!$H$3:$H$953,""),"IOT",_xlfn.XLOOKUP($K116&amp;"",IOT!$B$3:$B$1012&amp;"",IOT!$I$3:$I$1012,""),"SERVER",_xlfn.XLOOKUP($K116&amp;"",SERVER!$B$3:$B$1009&amp;"",SERVER!$I$3:$I$1009,""),""))</f>
        <v/>
      </c>
      <c r="M116" t="str" cm="1">
        <f t="array" ref="M116">IF($K116="","",_xlfn.SWITCH($I116,"Computer",_xlfn.XLOOKUP($K116&amp;"",COMPUTER!$B$3:$B$1009&amp;"",COMPUTER!$J$3:$J$1009,""),"Display",_xlfn.XLOOKUP($K116&amp;"",DISPLAY!$B$3:$B$1000&amp;"",DISPLAY!$K$3:$K$1000,""),"Network Device",_xlfn.XLOOKUP($K116&amp;"",'NETWORK-DEVICES'!$B$3:$B$987&amp;"",'NETWORK-DEVICES'!$I$3:$I$987,""),"Peripheral",_xlfn.XLOOKUP($K116&amp;"",PERIPHERAL!$B$3:$B$954&amp;"",PERIPHERAL!$J$3:$J$954,""),"Utilities",_xlfn.XLOOKUP($K116&amp;"",UTILITIES!$B$3:$B$953&amp;"",UTILITIES!$I$3:$I$953,""),"IOT",_xlfn.XLOOKUP($K116&amp;"",IOT!$B$3:$B$1012&amp;"",IOT!$J$3:$J$1012,""),"Server",_xlfn.XLOOKUP($K116&amp;"",SERVER!$B$3:$B$1009&amp;"",SERVER!$J$3:$J$1009,""),""))</f>
        <v/>
      </c>
      <c r="N116" s="1" t="str" cm="1">
        <f t="array" ref="N116">IF(OR($K116="",$I116="",$J116=""),"",_xlfn.LET(_xlpm.srcCat,_xlfn.SWITCH($I116,"Computer",_xlfn.XLOOKUP($K116&amp;"",COMPUTER!$B$3:$B$1009&amp;"",COMPUTER!$H$3:$H$1009,""),"Display",_xlfn.XLOOKUP($K116&amp;"",DISPLAY!$B$3:$B$1000&amp;"",DISPLAY!$H$3:$H$1000,""),"Network Device",_xlfn.XLOOKUP($K116&amp;"",'NETWORK-DEVICES'!$B$3:$B$987&amp;"",'NETWORK-DEVICES'!$H$3:$H$987,""),"Peripheral",_xlfn.XLOOKUP($K116&amp;"",PERIPHERAL!$B$3:$B$954&amp;"",PERIPHERAL!$H$3:$H$954,""),"Utilities",_xlfn.XLOOKUP($K116&amp;"",UTILITIES!$B$3:$B$953&amp;"",UTILITIES!$G$3:$G$953,""),"IOT",_xlfn.XLOOKUP($K116&amp;"",IOT!$B$3:$B$1012&amp;"",IOT!$H$3:$H$1012,""),"Server",_xlfn.XLOOKUP($K116&amp;"",SERVER!$B$3:$B$1009&amp;"",SERVER!$H$3:$H$1009,""),""),IF(TRIM(_xlpm.srcCat)&lt;&gt;TRIM($J116),"",_xlfn.SWITCH($I116,"Computer",_xlfn.XLOOKUP($K116&amp;"",COMPUTER!$B$3:$B$1009&amp;"",COMPUTER!$K$3:$K$1009,""),"Display",_xlfn.XLOOKUP($K116&amp;"",DISPLAY!$B$3:$B$1000&amp;"",DISPLAY!$L$3:$L$1000,""),"Network Device",_xlfn.XLOOKUP($K116&amp;"",'NETWORK-DEVICES'!$B$3:$B$987&amp;"",'NETWORK-DEVICES'!$K$3:$K$987,""),"Peripheral",_xlfn.XLOOKUP($K116&amp;"",PERIPHERAL!$B$3:$B$954&amp;"",PERIPHERAL!$K$3:$K$954,""),"Utilities",_xlfn.XLOOKUP($K116&amp;"",UTILITIES!$B$3:$B$953&amp;"",UTILITIES!$J$3:$J$953,""),"IOT",_xlfn.XLOOKUP($K116&amp;"",IOT!$B$3:$B$1012&amp;"",IOT!$K$4:$K$1012,""),"Server",_xlfn.XLOOKUP($K116&amp;"",SERVER!$B$3:$B$1009&amp;"",SERVER!$K$3:$K$1009,""),""))))</f>
        <v/>
      </c>
      <c r="O116" s="1" t="str" cm="1">
        <f t="array" ref="O116">IF(OR($K116="",$I116="",$J116=""),"",_xlfn.LET(_xlpm.srcCat,_xlfn.SWITCH($I116,"Computer",_xlfn.XLOOKUP($K116&amp;"",COMPUTER!$B$3:$B$1009&amp;"",COMPUTER!$H$3:$H$1009,""),"Display",_xlfn.XLOOKUP($K116&amp;"",DISPLAY!$B$3:$B$1000&amp;"",DISPLAY!$H$3:$H$1000,""),"Network Device",_xlfn.XLOOKUP($K116&amp;"",'NETWORK-DEVICES'!$B$3:$B$987&amp;"",'NETWORK-DEVICES'!$H$3:$H$987,""),"Peripheral",_xlfn.XLOOKUP($K116&amp;"",PERIPHERAL!$B$3:$B$954&amp;"",PERIPHERAL!$H$3:$H$954,""),"Utilities",_xlfn.XLOOKUP($K116&amp;"",UTILITIES!$B$3:$B$953&amp;"",UTILITIES!$G$3:$G$953,""),"IOT",_xlfn.XLOOKUP($K116&amp;"",IOT!$B$3:$B$1012&amp;"",IOT!$H$3:$H$1012,""),"Server",_xlfn.XLOOKUP($K116&amp;"",SERVER!$B$3:$B$1009&amp;"",SERVER!$H$3:$H$1009,""),""),IF(TRIM(_xlpm.srcCat)&lt;&gt;TRIM($J116),"",_xlfn.SWITCH($I116,"Computer",_xlfn.XLOOKUP($K116&amp;"",COMPUTER!$B$3:$B$1009&amp;"",COMPUTER!$E$3:$E$1009,""),"Display",_xlfn.XLOOKUP($K116&amp;"",DISPLAY!$B$3:$B$1000&amp;"",DISPLAY!$E$3:$E$1000,""),"Network Device",_xlfn.XLOOKUP($K116&amp;"",'NETWORK-DEVICES'!$B$3:$B$987&amp;"",'NETWORK-DEVICES'!$E$3:$E$987,""),"Peripheral",_xlfn.XLOOKUP($K116&amp;"",PERIPHERAL!$B$3:$B$954&amp;"",PERIPHERAL!$E$3:$E$954,""),"Utilities",_xlfn.XLOOKUP($K116&amp;"",UTILITIES!$B$3:$B$953&amp;"",UTILITIES!$E$3:$E$953,""),"IOT",_xlfn.XLOOKUP($K116&amp;"",IOT!$B$3:$B$1012&amp;"",IOT!$E$3:$E$1012,""),"Server",_xlfn.XLOOKUP($K116&amp;"",SERVER!$B$3:$B$1009&amp;"",SERVER!$E$3:$E$1009,""),""))))</f>
        <v/>
      </c>
      <c r="Q116" s="1" t="str" cm="1">
        <f t="array" ref="Q116">IF(OR($K116="",$I116="",$J116=""),"",_xlfn.LET(_xlpm.srcCat,_xlfn.SWITCH($I116,"Computer",_xlfn.XLOOKUP($K116&amp;"",COMPUTER!$B$3:$B$1009&amp;"",COMPUTER!$H$3:$H$1009,""),"Display",_xlfn.XLOOKUP($K116&amp;"",DISPLAY!$B$3:$B$1000&amp;"",DISPLAY!$H$3:$H$1000,""),"Network Device",_xlfn.XLOOKUP($K116&amp;"",'NETWORK-DEVICES'!$B$3:$B$987&amp;"",'NETWORK-DEVICES'!$H$3:$H$987,""),"Peripheral",_xlfn.XLOOKUP($K116&amp;"",PERIPHERAL!$B$3:$B$954&amp;"",PERIPHERAL!$H$3:$H$954,""),"Utilities",_xlfn.XLOOKUP($K116&amp;"",UTILITIES!$B$3:$B$953&amp;"",UTILITIES!$G$3:$G$953,""),"IOT",_xlfn.XLOOKUP($K116&amp;"",IOT!$B$3:$B$1012&amp;"",IOT!$H$3:$H$1012,""),"Server",_xlfn.XLOOKUP($K116&amp;"",SERVER!$B$3:$B$1009&amp;"",SERVER!$H$3:$H$1009,""),""),IF(TRIM(_xlpm.srcCat)&lt;&gt;TRIM($J116),"",_xlfn.SWITCH($I116,"Computer",_xlfn.XLOOKUP($K116&amp;"",COMPUTER!$B$3:$B$1009&amp;"",COMPUTER!$AM$3:$AM$1009,""),"Display",_xlfn.XLOOKUP($K116&amp;"",DISPLAY!$B$3:$B$1000&amp;"",DISPLAY!$V$3:$V$1000,""),"Network Device",_xlfn.XLOOKUP($K116&amp;"",'NETWORK-DEVICES'!$B$3:$B$987&amp;"",'NETWORK-DEVICES'!$AF$3:$AF$987,""),"Peripheral",_xlfn.XLOOKUP($K116&amp;"",PERIPHERAL!$B$3:$B$954&amp;"",PERIPHERAL!$Y$3:$Y$954,""),"Utilities",_xlfn.XLOOKUP($K116&amp;"",UTILITIES!$B$3:$B$953&amp;"",UTILITIES!$O$3:$O$953,""),"IOT",_xlfn.XLOOKUP($K116&amp;"",IOT!$B$3:$B$1012&amp;"",IOT!$AB$3:$AB$1012,""),"Server",_xlfn.XLOOKUP($K116&amp;"",SERVER!$B$3:$B$1009&amp;"",SERVER!$AB$3:$AB$1009,""),""))))</f>
        <v/>
      </c>
      <c r="R116" s="43" t="str">
        <f>IF(tbl_handover[[#This Row],[Asset Code]]="","",COUNTIF(tbl_handover[Asset Code],tbl_handover[[#This Row],[Asset Code]]))</f>
        <v/>
      </c>
    </row>
    <row r="117" spans="1:18" x14ac:dyDescent="0.25">
      <c r="A117" s="43" t="str">
        <f>IF(B117&lt;&gt;"",SUBTOTAL(3,$B$1:B116),"")</f>
        <v/>
      </c>
      <c r="C117" s="74"/>
      <c r="D117" s="74"/>
      <c r="G117" s="1"/>
      <c r="K117" s="42"/>
      <c r="L117" t="str" cm="1">
        <f t="array" ref="L117">IF($K117="","",_xlfn.SWITCH($I117,"Computer",_xlfn.XLOOKUP($K117&amp;"",COMPUTER!$B$3:$B$1009&amp;"",COMPUTER!$I$3:$I$1009,""),"Display",_xlfn.XLOOKUP($K117&amp;"",DISPLAY!$B$3:$B$1000&amp;"",DISPLAY!$J$3:$J$1000,""),"Network Device",_xlfn.XLOOKUP($K117&amp;"",'NETWORK-DEVICES'!$B$3:$B$987&amp;"",'NETWORK-DEVICES'!$I$3:$I$987,""),"Peripheral",_xlfn.XLOOKUP($K117&amp;"",PERIPHERAL!$B$3:$B$954&amp;"",PERIPHERAL!$I$3:$I$954,""),"Utilities",_xlfn.XLOOKUP($K117&amp;"",UTILITIES!$B$3:$B$953&amp;"",UTILITIES!$H$3:$H$953,""),"IOT",_xlfn.XLOOKUP($K117&amp;"",IOT!$B$3:$B$1012&amp;"",IOT!$I$3:$I$1012,""),"SERVER",_xlfn.XLOOKUP($K117&amp;"",SERVER!$B$3:$B$1009&amp;"",SERVER!$I$3:$I$1009,""),""))</f>
        <v/>
      </c>
      <c r="M117" t="str" cm="1">
        <f t="array" ref="M117">IF($K117="","",_xlfn.SWITCH($I117,"Computer",_xlfn.XLOOKUP($K117&amp;"",COMPUTER!$B$3:$B$1009&amp;"",COMPUTER!$J$3:$J$1009,""),"Display",_xlfn.XLOOKUP($K117&amp;"",DISPLAY!$B$3:$B$1000&amp;"",DISPLAY!$K$3:$K$1000,""),"Network Device",_xlfn.XLOOKUP($K117&amp;"",'NETWORK-DEVICES'!$B$3:$B$987&amp;"",'NETWORK-DEVICES'!$I$3:$I$987,""),"Peripheral",_xlfn.XLOOKUP($K117&amp;"",PERIPHERAL!$B$3:$B$954&amp;"",PERIPHERAL!$J$3:$J$954,""),"Utilities",_xlfn.XLOOKUP($K117&amp;"",UTILITIES!$B$3:$B$953&amp;"",UTILITIES!$I$3:$I$953,""),"IOT",_xlfn.XLOOKUP($K117&amp;"",IOT!$B$3:$B$1012&amp;"",IOT!$J$3:$J$1012,""),"Server",_xlfn.XLOOKUP($K117&amp;"",SERVER!$B$3:$B$1009&amp;"",SERVER!$J$3:$J$1009,""),""))</f>
        <v/>
      </c>
      <c r="N117" s="1" t="str" cm="1">
        <f t="array" ref="N117">IF(OR($K117="",$I117="",$J117=""),"",_xlfn.LET(_xlpm.srcCat,_xlfn.SWITCH($I117,"Computer",_xlfn.XLOOKUP($K117&amp;"",COMPUTER!$B$3:$B$1009&amp;"",COMPUTER!$H$3:$H$1009,""),"Display",_xlfn.XLOOKUP($K117&amp;"",DISPLAY!$B$3:$B$1000&amp;"",DISPLAY!$H$3:$H$1000,""),"Network Device",_xlfn.XLOOKUP($K117&amp;"",'NETWORK-DEVICES'!$B$3:$B$987&amp;"",'NETWORK-DEVICES'!$H$3:$H$987,""),"Peripheral",_xlfn.XLOOKUP($K117&amp;"",PERIPHERAL!$B$3:$B$954&amp;"",PERIPHERAL!$H$3:$H$954,""),"Utilities",_xlfn.XLOOKUP($K117&amp;"",UTILITIES!$B$3:$B$953&amp;"",UTILITIES!$G$3:$G$953,""),"IOT",_xlfn.XLOOKUP($K117&amp;"",IOT!$B$3:$B$1012&amp;"",IOT!$H$3:$H$1012,""),"Server",_xlfn.XLOOKUP($K117&amp;"",SERVER!$B$3:$B$1009&amp;"",SERVER!$H$3:$H$1009,""),""),IF(TRIM(_xlpm.srcCat)&lt;&gt;TRIM($J117),"",_xlfn.SWITCH($I117,"Computer",_xlfn.XLOOKUP($K117&amp;"",COMPUTER!$B$3:$B$1009&amp;"",COMPUTER!$K$3:$K$1009,""),"Display",_xlfn.XLOOKUP($K117&amp;"",DISPLAY!$B$3:$B$1000&amp;"",DISPLAY!$L$3:$L$1000,""),"Network Device",_xlfn.XLOOKUP($K117&amp;"",'NETWORK-DEVICES'!$B$3:$B$987&amp;"",'NETWORK-DEVICES'!$K$3:$K$987,""),"Peripheral",_xlfn.XLOOKUP($K117&amp;"",PERIPHERAL!$B$3:$B$954&amp;"",PERIPHERAL!$K$3:$K$954,""),"Utilities",_xlfn.XLOOKUP($K117&amp;"",UTILITIES!$B$3:$B$953&amp;"",UTILITIES!$J$3:$J$953,""),"IOT",_xlfn.XLOOKUP($K117&amp;"",IOT!$B$3:$B$1012&amp;"",IOT!$K$4:$K$1012,""),"Server",_xlfn.XLOOKUP($K117&amp;"",SERVER!$B$3:$B$1009&amp;"",SERVER!$K$3:$K$1009,""),""))))</f>
        <v/>
      </c>
      <c r="O117" s="1" t="str" cm="1">
        <f t="array" ref="O117">IF(OR($K117="",$I117="",$J117=""),"",_xlfn.LET(_xlpm.srcCat,_xlfn.SWITCH($I117,"Computer",_xlfn.XLOOKUP($K117&amp;"",COMPUTER!$B$3:$B$1009&amp;"",COMPUTER!$H$3:$H$1009,""),"Display",_xlfn.XLOOKUP($K117&amp;"",DISPLAY!$B$3:$B$1000&amp;"",DISPLAY!$H$3:$H$1000,""),"Network Device",_xlfn.XLOOKUP($K117&amp;"",'NETWORK-DEVICES'!$B$3:$B$987&amp;"",'NETWORK-DEVICES'!$H$3:$H$987,""),"Peripheral",_xlfn.XLOOKUP($K117&amp;"",PERIPHERAL!$B$3:$B$954&amp;"",PERIPHERAL!$H$3:$H$954,""),"Utilities",_xlfn.XLOOKUP($K117&amp;"",UTILITIES!$B$3:$B$953&amp;"",UTILITIES!$G$3:$G$953,""),"IOT",_xlfn.XLOOKUP($K117&amp;"",IOT!$B$3:$B$1012&amp;"",IOT!$H$3:$H$1012,""),"Server",_xlfn.XLOOKUP($K117&amp;"",SERVER!$B$3:$B$1009&amp;"",SERVER!$H$3:$H$1009,""),""),IF(TRIM(_xlpm.srcCat)&lt;&gt;TRIM($J117),"",_xlfn.SWITCH($I117,"Computer",_xlfn.XLOOKUP($K117&amp;"",COMPUTER!$B$3:$B$1009&amp;"",COMPUTER!$E$3:$E$1009,""),"Display",_xlfn.XLOOKUP($K117&amp;"",DISPLAY!$B$3:$B$1000&amp;"",DISPLAY!$E$3:$E$1000,""),"Network Device",_xlfn.XLOOKUP($K117&amp;"",'NETWORK-DEVICES'!$B$3:$B$987&amp;"",'NETWORK-DEVICES'!$E$3:$E$987,""),"Peripheral",_xlfn.XLOOKUP($K117&amp;"",PERIPHERAL!$B$3:$B$954&amp;"",PERIPHERAL!$E$3:$E$954,""),"Utilities",_xlfn.XLOOKUP($K117&amp;"",UTILITIES!$B$3:$B$953&amp;"",UTILITIES!$E$3:$E$953,""),"IOT",_xlfn.XLOOKUP($K117&amp;"",IOT!$B$3:$B$1012&amp;"",IOT!$E$3:$E$1012,""),"Server",_xlfn.XLOOKUP($K117&amp;"",SERVER!$B$3:$B$1009&amp;"",SERVER!$E$3:$E$1009,""),""))))</f>
        <v/>
      </c>
      <c r="Q117" s="1" t="str" cm="1">
        <f t="array" ref="Q117">IF(OR($K117="",$I117="",$J117=""),"",_xlfn.LET(_xlpm.srcCat,_xlfn.SWITCH($I117,"Computer",_xlfn.XLOOKUP($K117&amp;"",COMPUTER!$B$3:$B$1009&amp;"",COMPUTER!$H$3:$H$1009,""),"Display",_xlfn.XLOOKUP($K117&amp;"",DISPLAY!$B$3:$B$1000&amp;"",DISPLAY!$H$3:$H$1000,""),"Network Device",_xlfn.XLOOKUP($K117&amp;"",'NETWORK-DEVICES'!$B$3:$B$987&amp;"",'NETWORK-DEVICES'!$H$3:$H$987,""),"Peripheral",_xlfn.XLOOKUP($K117&amp;"",PERIPHERAL!$B$3:$B$954&amp;"",PERIPHERAL!$H$3:$H$954,""),"Utilities",_xlfn.XLOOKUP($K117&amp;"",UTILITIES!$B$3:$B$953&amp;"",UTILITIES!$G$3:$G$953,""),"IOT",_xlfn.XLOOKUP($K117&amp;"",IOT!$B$3:$B$1012&amp;"",IOT!$H$3:$H$1012,""),"Server",_xlfn.XLOOKUP($K117&amp;"",SERVER!$B$3:$B$1009&amp;"",SERVER!$H$3:$H$1009,""),""),IF(TRIM(_xlpm.srcCat)&lt;&gt;TRIM($J117),"",_xlfn.SWITCH($I117,"Computer",_xlfn.XLOOKUP($K117&amp;"",COMPUTER!$B$3:$B$1009&amp;"",COMPUTER!$AM$3:$AM$1009,""),"Display",_xlfn.XLOOKUP($K117&amp;"",DISPLAY!$B$3:$B$1000&amp;"",DISPLAY!$V$3:$V$1000,""),"Network Device",_xlfn.XLOOKUP($K117&amp;"",'NETWORK-DEVICES'!$B$3:$B$987&amp;"",'NETWORK-DEVICES'!$AF$3:$AF$987,""),"Peripheral",_xlfn.XLOOKUP($K117&amp;"",PERIPHERAL!$B$3:$B$954&amp;"",PERIPHERAL!$Y$3:$Y$954,""),"Utilities",_xlfn.XLOOKUP($K117&amp;"",UTILITIES!$B$3:$B$953&amp;"",UTILITIES!$O$3:$O$953,""),"IOT",_xlfn.XLOOKUP($K117&amp;"",IOT!$B$3:$B$1012&amp;"",IOT!$AB$3:$AB$1012,""),"Server",_xlfn.XLOOKUP($K117&amp;"",SERVER!$B$3:$B$1009&amp;"",SERVER!$AB$3:$AB$1009,""),""))))</f>
        <v/>
      </c>
      <c r="R117" s="43" t="str">
        <f>IF(tbl_handover[[#This Row],[Asset Code]]="","",COUNTIF(tbl_handover[Asset Code],tbl_handover[[#This Row],[Asset Code]]))</f>
        <v/>
      </c>
    </row>
    <row r="118" spans="1:18" x14ac:dyDescent="0.25">
      <c r="A118" s="43" t="str">
        <f>IF(B118&lt;&gt;"",SUBTOTAL(3,$B$1:B117),"")</f>
        <v/>
      </c>
      <c r="C118" s="74"/>
      <c r="D118" s="74"/>
      <c r="G118" s="1"/>
      <c r="K118" s="42"/>
      <c r="L118" t="str" cm="1">
        <f t="array" ref="L118">IF($K118="","",_xlfn.SWITCH($I118,"Computer",_xlfn.XLOOKUP($K118&amp;"",COMPUTER!$B$3:$B$1009&amp;"",COMPUTER!$I$3:$I$1009,""),"Display",_xlfn.XLOOKUP($K118&amp;"",DISPLAY!$B$3:$B$1000&amp;"",DISPLAY!$J$3:$J$1000,""),"Network Device",_xlfn.XLOOKUP($K118&amp;"",'NETWORK-DEVICES'!$B$3:$B$987&amp;"",'NETWORK-DEVICES'!$I$3:$I$987,""),"Peripheral",_xlfn.XLOOKUP($K118&amp;"",PERIPHERAL!$B$3:$B$954&amp;"",PERIPHERAL!$I$3:$I$954,""),"Utilities",_xlfn.XLOOKUP($K118&amp;"",UTILITIES!$B$3:$B$953&amp;"",UTILITIES!$H$3:$H$953,""),"IOT",_xlfn.XLOOKUP($K118&amp;"",IOT!$B$3:$B$1012&amp;"",IOT!$I$3:$I$1012,""),"SERVER",_xlfn.XLOOKUP($K118&amp;"",SERVER!$B$3:$B$1009&amp;"",SERVER!$I$3:$I$1009,""),""))</f>
        <v/>
      </c>
      <c r="M118" t="str" cm="1">
        <f t="array" ref="M118">IF($K118="","",_xlfn.SWITCH($I118,"Computer",_xlfn.XLOOKUP($K118&amp;"",COMPUTER!$B$3:$B$1009&amp;"",COMPUTER!$J$3:$J$1009,""),"Display",_xlfn.XLOOKUP($K118&amp;"",DISPLAY!$B$3:$B$1000&amp;"",DISPLAY!$K$3:$K$1000,""),"Network Device",_xlfn.XLOOKUP($K118&amp;"",'NETWORK-DEVICES'!$B$3:$B$987&amp;"",'NETWORK-DEVICES'!$I$3:$I$987,""),"Peripheral",_xlfn.XLOOKUP($K118&amp;"",PERIPHERAL!$B$3:$B$954&amp;"",PERIPHERAL!$J$3:$J$954,""),"Utilities",_xlfn.XLOOKUP($K118&amp;"",UTILITIES!$B$3:$B$953&amp;"",UTILITIES!$I$3:$I$953,""),"IOT",_xlfn.XLOOKUP($K118&amp;"",IOT!$B$3:$B$1012&amp;"",IOT!$J$3:$J$1012,""),"Server",_xlfn.XLOOKUP($K118&amp;"",SERVER!$B$3:$B$1009&amp;"",SERVER!$J$3:$J$1009,""),""))</f>
        <v/>
      </c>
      <c r="N118" s="1" t="str" cm="1">
        <f t="array" ref="N118">IF(OR($K118="",$I118="",$J118=""),"",_xlfn.LET(_xlpm.srcCat,_xlfn.SWITCH($I118,"Computer",_xlfn.XLOOKUP($K118&amp;"",COMPUTER!$B$3:$B$1009&amp;"",COMPUTER!$H$3:$H$1009,""),"Display",_xlfn.XLOOKUP($K118&amp;"",DISPLAY!$B$3:$B$1000&amp;"",DISPLAY!$H$3:$H$1000,""),"Network Device",_xlfn.XLOOKUP($K118&amp;"",'NETWORK-DEVICES'!$B$3:$B$987&amp;"",'NETWORK-DEVICES'!$H$3:$H$987,""),"Peripheral",_xlfn.XLOOKUP($K118&amp;"",PERIPHERAL!$B$3:$B$954&amp;"",PERIPHERAL!$H$3:$H$954,""),"Utilities",_xlfn.XLOOKUP($K118&amp;"",UTILITIES!$B$3:$B$953&amp;"",UTILITIES!$G$3:$G$953,""),"IOT",_xlfn.XLOOKUP($K118&amp;"",IOT!$B$3:$B$1012&amp;"",IOT!$H$3:$H$1012,""),"Server",_xlfn.XLOOKUP($K118&amp;"",SERVER!$B$3:$B$1009&amp;"",SERVER!$H$3:$H$1009,""),""),IF(TRIM(_xlpm.srcCat)&lt;&gt;TRIM($J118),"",_xlfn.SWITCH($I118,"Computer",_xlfn.XLOOKUP($K118&amp;"",COMPUTER!$B$3:$B$1009&amp;"",COMPUTER!$K$3:$K$1009,""),"Display",_xlfn.XLOOKUP($K118&amp;"",DISPLAY!$B$3:$B$1000&amp;"",DISPLAY!$L$3:$L$1000,""),"Network Device",_xlfn.XLOOKUP($K118&amp;"",'NETWORK-DEVICES'!$B$3:$B$987&amp;"",'NETWORK-DEVICES'!$K$3:$K$987,""),"Peripheral",_xlfn.XLOOKUP($K118&amp;"",PERIPHERAL!$B$3:$B$954&amp;"",PERIPHERAL!$K$3:$K$954,""),"Utilities",_xlfn.XLOOKUP($K118&amp;"",UTILITIES!$B$3:$B$953&amp;"",UTILITIES!$J$3:$J$953,""),"IOT",_xlfn.XLOOKUP($K118&amp;"",IOT!$B$3:$B$1012&amp;"",IOT!$K$4:$K$1012,""),"Server",_xlfn.XLOOKUP($K118&amp;"",SERVER!$B$3:$B$1009&amp;"",SERVER!$K$3:$K$1009,""),""))))</f>
        <v/>
      </c>
      <c r="O118" s="1" t="str" cm="1">
        <f t="array" ref="O118">IF(OR($K118="",$I118="",$J118=""),"",_xlfn.LET(_xlpm.srcCat,_xlfn.SWITCH($I118,"Computer",_xlfn.XLOOKUP($K118&amp;"",COMPUTER!$B$3:$B$1009&amp;"",COMPUTER!$H$3:$H$1009,""),"Display",_xlfn.XLOOKUP($K118&amp;"",DISPLAY!$B$3:$B$1000&amp;"",DISPLAY!$H$3:$H$1000,""),"Network Device",_xlfn.XLOOKUP($K118&amp;"",'NETWORK-DEVICES'!$B$3:$B$987&amp;"",'NETWORK-DEVICES'!$H$3:$H$987,""),"Peripheral",_xlfn.XLOOKUP($K118&amp;"",PERIPHERAL!$B$3:$B$954&amp;"",PERIPHERAL!$H$3:$H$954,""),"Utilities",_xlfn.XLOOKUP($K118&amp;"",UTILITIES!$B$3:$B$953&amp;"",UTILITIES!$G$3:$G$953,""),"IOT",_xlfn.XLOOKUP($K118&amp;"",IOT!$B$3:$B$1012&amp;"",IOT!$H$3:$H$1012,""),"Server",_xlfn.XLOOKUP($K118&amp;"",SERVER!$B$3:$B$1009&amp;"",SERVER!$H$3:$H$1009,""),""),IF(TRIM(_xlpm.srcCat)&lt;&gt;TRIM($J118),"",_xlfn.SWITCH($I118,"Computer",_xlfn.XLOOKUP($K118&amp;"",COMPUTER!$B$3:$B$1009&amp;"",COMPUTER!$E$3:$E$1009,""),"Display",_xlfn.XLOOKUP($K118&amp;"",DISPLAY!$B$3:$B$1000&amp;"",DISPLAY!$E$3:$E$1000,""),"Network Device",_xlfn.XLOOKUP($K118&amp;"",'NETWORK-DEVICES'!$B$3:$B$987&amp;"",'NETWORK-DEVICES'!$E$3:$E$987,""),"Peripheral",_xlfn.XLOOKUP($K118&amp;"",PERIPHERAL!$B$3:$B$954&amp;"",PERIPHERAL!$E$3:$E$954,""),"Utilities",_xlfn.XLOOKUP($K118&amp;"",UTILITIES!$B$3:$B$953&amp;"",UTILITIES!$E$3:$E$953,""),"IOT",_xlfn.XLOOKUP($K118&amp;"",IOT!$B$3:$B$1012&amp;"",IOT!$E$3:$E$1012,""),"Server",_xlfn.XLOOKUP($K118&amp;"",SERVER!$B$3:$B$1009&amp;"",SERVER!$E$3:$E$1009,""),""))))</f>
        <v/>
      </c>
      <c r="Q118" s="1" t="str" cm="1">
        <f t="array" ref="Q118">IF(OR($K118="",$I118="",$J118=""),"",_xlfn.LET(_xlpm.srcCat,_xlfn.SWITCH($I118,"Computer",_xlfn.XLOOKUP($K118&amp;"",COMPUTER!$B$3:$B$1009&amp;"",COMPUTER!$H$3:$H$1009,""),"Display",_xlfn.XLOOKUP($K118&amp;"",DISPLAY!$B$3:$B$1000&amp;"",DISPLAY!$H$3:$H$1000,""),"Network Device",_xlfn.XLOOKUP($K118&amp;"",'NETWORK-DEVICES'!$B$3:$B$987&amp;"",'NETWORK-DEVICES'!$H$3:$H$987,""),"Peripheral",_xlfn.XLOOKUP($K118&amp;"",PERIPHERAL!$B$3:$B$954&amp;"",PERIPHERAL!$H$3:$H$954,""),"Utilities",_xlfn.XLOOKUP($K118&amp;"",UTILITIES!$B$3:$B$953&amp;"",UTILITIES!$G$3:$G$953,""),"IOT",_xlfn.XLOOKUP($K118&amp;"",IOT!$B$3:$B$1012&amp;"",IOT!$H$3:$H$1012,""),"Server",_xlfn.XLOOKUP($K118&amp;"",SERVER!$B$3:$B$1009&amp;"",SERVER!$H$3:$H$1009,""),""),IF(TRIM(_xlpm.srcCat)&lt;&gt;TRIM($J118),"",_xlfn.SWITCH($I118,"Computer",_xlfn.XLOOKUP($K118&amp;"",COMPUTER!$B$3:$B$1009&amp;"",COMPUTER!$AM$3:$AM$1009,""),"Display",_xlfn.XLOOKUP($K118&amp;"",DISPLAY!$B$3:$B$1000&amp;"",DISPLAY!$V$3:$V$1000,""),"Network Device",_xlfn.XLOOKUP($K118&amp;"",'NETWORK-DEVICES'!$B$3:$B$987&amp;"",'NETWORK-DEVICES'!$AF$3:$AF$987,""),"Peripheral",_xlfn.XLOOKUP($K118&amp;"",PERIPHERAL!$B$3:$B$954&amp;"",PERIPHERAL!$Y$3:$Y$954,""),"Utilities",_xlfn.XLOOKUP($K118&amp;"",UTILITIES!$B$3:$B$953&amp;"",UTILITIES!$O$3:$O$953,""),"IOT",_xlfn.XLOOKUP($K118&amp;"",IOT!$B$3:$B$1012&amp;"",IOT!$AB$3:$AB$1012,""),"Server",_xlfn.XLOOKUP($K118&amp;"",SERVER!$B$3:$B$1009&amp;"",SERVER!$AB$3:$AB$1009,""),""))))</f>
        <v/>
      </c>
      <c r="R118" s="43" t="str">
        <f>IF(tbl_handover[[#This Row],[Asset Code]]="","",COUNTIF(tbl_handover[Asset Code],tbl_handover[[#This Row],[Asset Code]]))</f>
        <v/>
      </c>
    </row>
    <row r="119" spans="1:18" x14ac:dyDescent="0.25">
      <c r="A119" s="43" t="str">
        <f>IF(B119&lt;&gt;"",SUBTOTAL(3,$B$1:B118),"")</f>
        <v/>
      </c>
      <c r="C119" s="74"/>
      <c r="D119" s="74"/>
      <c r="G119" s="1"/>
      <c r="K119" s="42"/>
      <c r="L119" t="str" cm="1">
        <f t="array" ref="L119">IF($K119="","",_xlfn.SWITCH($I119,"Computer",_xlfn.XLOOKUP($K119&amp;"",COMPUTER!$B$3:$B$1009&amp;"",COMPUTER!$I$3:$I$1009,""),"Display",_xlfn.XLOOKUP($K119&amp;"",DISPLAY!$B$3:$B$1000&amp;"",DISPLAY!$J$3:$J$1000,""),"Network Device",_xlfn.XLOOKUP($K119&amp;"",'NETWORK-DEVICES'!$B$3:$B$987&amp;"",'NETWORK-DEVICES'!$I$3:$I$987,""),"Peripheral",_xlfn.XLOOKUP($K119&amp;"",PERIPHERAL!$B$3:$B$954&amp;"",PERIPHERAL!$I$3:$I$954,""),"Utilities",_xlfn.XLOOKUP($K119&amp;"",UTILITIES!$B$3:$B$953&amp;"",UTILITIES!$H$3:$H$953,""),"IOT",_xlfn.XLOOKUP($K119&amp;"",IOT!$B$3:$B$1012&amp;"",IOT!$I$3:$I$1012,""),"SERVER",_xlfn.XLOOKUP($K119&amp;"",SERVER!$B$3:$B$1009&amp;"",SERVER!$I$3:$I$1009,""),""))</f>
        <v/>
      </c>
      <c r="M119" t="str" cm="1">
        <f t="array" ref="M119">IF($K119="","",_xlfn.SWITCH($I119,"Computer",_xlfn.XLOOKUP($K119&amp;"",COMPUTER!$B$3:$B$1009&amp;"",COMPUTER!$J$3:$J$1009,""),"Display",_xlfn.XLOOKUP($K119&amp;"",DISPLAY!$B$3:$B$1000&amp;"",DISPLAY!$K$3:$K$1000,""),"Network Device",_xlfn.XLOOKUP($K119&amp;"",'NETWORK-DEVICES'!$B$3:$B$987&amp;"",'NETWORK-DEVICES'!$I$3:$I$987,""),"Peripheral",_xlfn.XLOOKUP($K119&amp;"",PERIPHERAL!$B$3:$B$954&amp;"",PERIPHERAL!$J$3:$J$954,""),"Utilities",_xlfn.XLOOKUP($K119&amp;"",UTILITIES!$B$3:$B$953&amp;"",UTILITIES!$I$3:$I$953,""),"IOT",_xlfn.XLOOKUP($K119&amp;"",IOT!$B$3:$B$1012&amp;"",IOT!$J$3:$J$1012,""),"Server",_xlfn.XLOOKUP($K119&amp;"",SERVER!$B$3:$B$1009&amp;"",SERVER!$J$3:$J$1009,""),""))</f>
        <v/>
      </c>
      <c r="N119" s="1" t="str" cm="1">
        <f t="array" ref="N119">IF(OR($K119="",$I119="",$J119=""),"",_xlfn.LET(_xlpm.srcCat,_xlfn.SWITCH($I119,"Computer",_xlfn.XLOOKUP($K119&amp;"",COMPUTER!$B$3:$B$1009&amp;"",COMPUTER!$H$3:$H$1009,""),"Display",_xlfn.XLOOKUP($K119&amp;"",DISPLAY!$B$3:$B$1000&amp;"",DISPLAY!$H$3:$H$1000,""),"Network Device",_xlfn.XLOOKUP($K119&amp;"",'NETWORK-DEVICES'!$B$3:$B$987&amp;"",'NETWORK-DEVICES'!$H$3:$H$987,""),"Peripheral",_xlfn.XLOOKUP($K119&amp;"",PERIPHERAL!$B$3:$B$954&amp;"",PERIPHERAL!$H$3:$H$954,""),"Utilities",_xlfn.XLOOKUP($K119&amp;"",UTILITIES!$B$3:$B$953&amp;"",UTILITIES!$G$3:$G$953,""),"IOT",_xlfn.XLOOKUP($K119&amp;"",IOT!$B$3:$B$1012&amp;"",IOT!$H$3:$H$1012,""),"Server",_xlfn.XLOOKUP($K119&amp;"",SERVER!$B$3:$B$1009&amp;"",SERVER!$H$3:$H$1009,""),""),IF(TRIM(_xlpm.srcCat)&lt;&gt;TRIM($J119),"",_xlfn.SWITCH($I119,"Computer",_xlfn.XLOOKUP($K119&amp;"",COMPUTER!$B$3:$B$1009&amp;"",COMPUTER!$K$3:$K$1009,""),"Display",_xlfn.XLOOKUP($K119&amp;"",DISPLAY!$B$3:$B$1000&amp;"",DISPLAY!$L$3:$L$1000,""),"Network Device",_xlfn.XLOOKUP($K119&amp;"",'NETWORK-DEVICES'!$B$3:$B$987&amp;"",'NETWORK-DEVICES'!$K$3:$K$987,""),"Peripheral",_xlfn.XLOOKUP($K119&amp;"",PERIPHERAL!$B$3:$B$954&amp;"",PERIPHERAL!$K$3:$K$954,""),"Utilities",_xlfn.XLOOKUP($K119&amp;"",UTILITIES!$B$3:$B$953&amp;"",UTILITIES!$J$3:$J$953,""),"IOT",_xlfn.XLOOKUP($K119&amp;"",IOT!$B$3:$B$1012&amp;"",IOT!$K$4:$K$1012,""),"Server",_xlfn.XLOOKUP($K119&amp;"",SERVER!$B$3:$B$1009&amp;"",SERVER!$K$3:$K$1009,""),""))))</f>
        <v/>
      </c>
      <c r="O119" s="1" t="str" cm="1">
        <f t="array" ref="O119">IF(OR($K119="",$I119="",$J119=""),"",_xlfn.LET(_xlpm.srcCat,_xlfn.SWITCH($I119,"Computer",_xlfn.XLOOKUP($K119&amp;"",COMPUTER!$B$3:$B$1009&amp;"",COMPUTER!$H$3:$H$1009,""),"Display",_xlfn.XLOOKUP($K119&amp;"",DISPLAY!$B$3:$B$1000&amp;"",DISPLAY!$H$3:$H$1000,""),"Network Device",_xlfn.XLOOKUP($K119&amp;"",'NETWORK-DEVICES'!$B$3:$B$987&amp;"",'NETWORK-DEVICES'!$H$3:$H$987,""),"Peripheral",_xlfn.XLOOKUP($K119&amp;"",PERIPHERAL!$B$3:$B$954&amp;"",PERIPHERAL!$H$3:$H$954,""),"Utilities",_xlfn.XLOOKUP($K119&amp;"",UTILITIES!$B$3:$B$953&amp;"",UTILITIES!$G$3:$G$953,""),"IOT",_xlfn.XLOOKUP($K119&amp;"",IOT!$B$3:$B$1012&amp;"",IOT!$H$3:$H$1012,""),"Server",_xlfn.XLOOKUP($K119&amp;"",SERVER!$B$3:$B$1009&amp;"",SERVER!$H$3:$H$1009,""),""),IF(TRIM(_xlpm.srcCat)&lt;&gt;TRIM($J119),"",_xlfn.SWITCH($I119,"Computer",_xlfn.XLOOKUP($K119&amp;"",COMPUTER!$B$3:$B$1009&amp;"",COMPUTER!$E$3:$E$1009,""),"Display",_xlfn.XLOOKUP($K119&amp;"",DISPLAY!$B$3:$B$1000&amp;"",DISPLAY!$E$3:$E$1000,""),"Network Device",_xlfn.XLOOKUP($K119&amp;"",'NETWORK-DEVICES'!$B$3:$B$987&amp;"",'NETWORK-DEVICES'!$E$3:$E$987,""),"Peripheral",_xlfn.XLOOKUP($K119&amp;"",PERIPHERAL!$B$3:$B$954&amp;"",PERIPHERAL!$E$3:$E$954,""),"Utilities",_xlfn.XLOOKUP($K119&amp;"",UTILITIES!$B$3:$B$953&amp;"",UTILITIES!$E$3:$E$953,""),"IOT",_xlfn.XLOOKUP($K119&amp;"",IOT!$B$3:$B$1012&amp;"",IOT!$E$3:$E$1012,""),"Server",_xlfn.XLOOKUP($K119&amp;"",SERVER!$B$3:$B$1009&amp;"",SERVER!$E$3:$E$1009,""),""))))</f>
        <v/>
      </c>
      <c r="Q119" s="1" t="str" cm="1">
        <f t="array" ref="Q119">IF(OR($K119="",$I119="",$J119=""),"",_xlfn.LET(_xlpm.srcCat,_xlfn.SWITCH($I119,"Computer",_xlfn.XLOOKUP($K119&amp;"",COMPUTER!$B$3:$B$1009&amp;"",COMPUTER!$H$3:$H$1009,""),"Display",_xlfn.XLOOKUP($K119&amp;"",DISPLAY!$B$3:$B$1000&amp;"",DISPLAY!$H$3:$H$1000,""),"Network Device",_xlfn.XLOOKUP($K119&amp;"",'NETWORK-DEVICES'!$B$3:$B$987&amp;"",'NETWORK-DEVICES'!$H$3:$H$987,""),"Peripheral",_xlfn.XLOOKUP($K119&amp;"",PERIPHERAL!$B$3:$B$954&amp;"",PERIPHERAL!$H$3:$H$954,""),"Utilities",_xlfn.XLOOKUP($K119&amp;"",UTILITIES!$B$3:$B$953&amp;"",UTILITIES!$G$3:$G$953,""),"IOT",_xlfn.XLOOKUP($K119&amp;"",IOT!$B$3:$B$1012&amp;"",IOT!$H$3:$H$1012,""),"Server",_xlfn.XLOOKUP($K119&amp;"",SERVER!$B$3:$B$1009&amp;"",SERVER!$H$3:$H$1009,""),""),IF(TRIM(_xlpm.srcCat)&lt;&gt;TRIM($J119),"",_xlfn.SWITCH($I119,"Computer",_xlfn.XLOOKUP($K119&amp;"",COMPUTER!$B$3:$B$1009&amp;"",COMPUTER!$AM$3:$AM$1009,""),"Display",_xlfn.XLOOKUP($K119&amp;"",DISPLAY!$B$3:$B$1000&amp;"",DISPLAY!$V$3:$V$1000,""),"Network Device",_xlfn.XLOOKUP($K119&amp;"",'NETWORK-DEVICES'!$B$3:$B$987&amp;"",'NETWORK-DEVICES'!$AF$3:$AF$987,""),"Peripheral",_xlfn.XLOOKUP($K119&amp;"",PERIPHERAL!$B$3:$B$954&amp;"",PERIPHERAL!$Y$3:$Y$954,""),"Utilities",_xlfn.XLOOKUP($K119&amp;"",UTILITIES!$B$3:$B$953&amp;"",UTILITIES!$O$3:$O$953,""),"IOT",_xlfn.XLOOKUP($K119&amp;"",IOT!$B$3:$B$1012&amp;"",IOT!$AB$3:$AB$1012,""),"Server",_xlfn.XLOOKUP($K119&amp;"",SERVER!$B$3:$B$1009&amp;"",SERVER!$AB$3:$AB$1009,""),""))))</f>
        <v/>
      </c>
      <c r="R119" s="43" t="str">
        <f>IF(tbl_handover[[#This Row],[Asset Code]]="","",COUNTIF(tbl_handover[Asset Code],tbl_handover[[#This Row],[Asset Code]]))</f>
        <v/>
      </c>
    </row>
    <row r="120" spans="1:18" x14ac:dyDescent="0.25">
      <c r="A120" s="43" t="str">
        <f>IF(B120&lt;&gt;"",SUBTOTAL(3,$B$1:B119),"")</f>
        <v/>
      </c>
      <c r="C120" s="74"/>
      <c r="D120" s="74"/>
      <c r="G120" s="1"/>
      <c r="K120" s="42"/>
      <c r="L120" t="str" cm="1">
        <f t="array" ref="L120">IF($K120="","",_xlfn.SWITCH($I120,"Computer",_xlfn.XLOOKUP($K120&amp;"",COMPUTER!$B$3:$B$1009&amp;"",COMPUTER!$I$3:$I$1009,""),"Display",_xlfn.XLOOKUP($K120&amp;"",DISPLAY!$B$3:$B$1000&amp;"",DISPLAY!$J$3:$J$1000,""),"Network Device",_xlfn.XLOOKUP($K120&amp;"",'NETWORK-DEVICES'!$B$3:$B$987&amp;"",'NETWORK-DEVICES'!$I$3:$I$987,""),"Peripheral",_xlfn.XLOOKUP($K120&amp;"",PERIPHERAL!$B$3:$B$954&amp;"",PERIPHERAL!$I$3:$I$954,""),"Utilities",_xlfn.XLOOKUP($K120&amp;"",UTILITIES!$B$3:$B$953&amp;"",UTILITIES!$H$3:$H$953,""),"IOT",_xlfn.XLOOKUP($K120&amp;"",IOT!$B$3:$B$1012&amp;"",IOT!$I$3:$I$1012,""),"SERVER",_xlfn.XLOOKUP($K120&amp;"",SERVER!$B$3:$B$1009&amp;"",SERVER!$I$3:$I$1009,""),""))</f>
        <v/>
      </c>
      <c r="M120" t="str" cm="1">
        <f t="array" ref="M120">IF($K120="","",_xlfn.SWITCH($I120,"Computer",_xlfn.XLOOKUP($K120&amp;"",COMPUTER!$B$3:$B$1009&amp;"",COMPUTER!$J$3:$J$1009,""),"Display",_xlfn.XLOOKUP($K120&amp;"",DISPLAY!$B$3:$B$1000&amp;"",DISPLAY!$K$3:$K$1000,""),"Network Device",_xlfn.XLOOKUP($K120&amp;"",'NETWORK-DEVICES'!$B$3:$B$987&amp;"",'NETWORK-DEVICES'!$I$3:$I$987,""),"Peripheral",_xlfn.XLOOKUP($K120&amp;"",PERIPHERAL!$B$3:$B$954&amp;"",PERIPHERAL!$J$3:$J$954,""),"Utilities",_xlfn.XLOOKUP($K120&amp;"",UTILITIES!$B$3:$B$953&amp;"",UTILITIES!$I$3:$I$953,""),"IOT",_xlfn.XLOOKUP($K120&amp;"",IOT!$B$3:$B$1012&amp;"",IOT!$J$3:$J$1012,""),"Server",_xlfn.XLOOKUP($K120&amp;"",SERVER!$B$3:$B$1009&amp;"",SERVER!$J$3:$J$1009,""),""))</f>
        <v/>
      </c>
      <c r="N120" s="1" t="str" cm="1">
        <f t="array" ref="N120">IF(OR($K120="",$I120="",$J120=""),"",_xlfn.LET(_xlpm.srcCat,_xlfn.SWITCH($I120,"Computer",_xlfn.XLOOKUP($K120&amp;"",COMPUTER!$B$3:$B$1009&amp;"",COMPUTER!$H$3:$H$1009,""),"Display",_xlfn.XLOOKUP($K120&amp;"",DISPLAY!$B$3:$B$1000&amp;"",DISPLAY!$H$3:$H$1000,""),"Network Device",_xlfn.XLOOKUP($K120&amp;"",'NETWORK-DEVICES'!$B$3:$B$987&amp;"",'NETWORK-DEVICES'!$H$3:$H$987,""),"Peripheral",_xlfn.XLOOKUP($K120&amp;"",PERIPHERAL!$B$3:$B$954&amp;"",PERIPHERAL!$H$3:$H$954,""),"Utilities",_xlfn.XLOOKUP($K120&amp;"",UTILITIES!$B$3:$B$953&amp;"",UTILITIES!$G$3:$G$953,""),"IOT",_xlfn.XLOOKUP($K120&amp;"",IOT!$B$3:$B$1012&amp;"",IOT!$H$3:$H$1012,""),"Server",_xlfn.XLOOKUP($K120&amp;"",SERVER!$B$3:$B$1009&amp;"",SERVER!$H$3:$H$1009,""),""),IF(TRIM(_xlpm.srcCat)&lt;&gt;TRIM($J120),"",_xlfn.SWITCH($I120,"Computer",_xlfn.XLOOKUP($K120&amp;"",COMPUTER!$B$3:$B$1009&amp;"",COMPUTER!$K$3:$K$1009,""),"Display",_xlfn.XLOOKUP($K120&amp;"",DISPLAY!$B$3:$B$1000&amp;"",DISPLAY!$L$3:$L$1000,""),"Network Device",_xlfn.XLOOKUP($K120&amp;"",'NETWORK-DEVICES'!$B$3:$B$987&amp;"",'NETWORK-DEVICES'!$K$3:$K$987,""),"Peripheral",_xlfn.XLOOKUP($K120&amp;"",PERIPHERAL!$B$3:$B$954&amp;"",PERIPHERAL!$K$3:$K$954,""),"Utilities",_xlfn.XLOOKUP($K120&amp;"",UTILITIES!$B$3:$B$953&amp;"",UTILITIES!$J$3:$J$953,""),"IOT",_xlfn.XLOOKUP($K120&amp;"",IOT!$B$3:$B$1012&amp;"",IOT!$K$4:$K$1012,""),"Server",_xlfn.XLOOKUP($K120&amp;"",SERVER!$B$3:$B$1009&amp;"",SERVER!$K$3:$K$1009,""),""))))</f>
        <v/>
      </c>
      <c r="O120" s="1" t="str" cm="1">
        <f t="array" ref="O120">IF(OR($K120="",$I120="",$J120=""),"",_xlfn.LET(_xlpm.srcCat,_xlfn.SWITCH($I120,"Computer",_xlfn.XLOOKUP($K120&amp;"",COMPUTER!$B$3:$B$1009&amp;"",COMPUTER!$H$3:$H$1009,""),"Display",_xlfn.XLOOKUP($K120&amp;"",DISPLAY!$B$3:$B$1000&amp;"",DISPLAY!$H$3:$H$1000,""),"Network Device",_xlfn.XLOOKUP($K120&amp;"",'NETWORK-DEVICES'!$B$3:$B$987&amp;"",'NETWORK-DEVICES'!$H$3:$H$987,""),"Peripheral",_xlfn.XLOOKUP($K120&amp;"",PERIPHERAL!$B$3:$B$954&amp;"",PERIPHERAL!$H$3:$H$954,""),"Utilities",_xlfn.XLOOKUP($K120&amp;"",UTILITIES!$B$3:$B$953&amp;"",UTILITIES!$G$3:$G$953,""),"IOT",_xlfn.XLOOKUP($K120&amp;"",IOT!$B$3:$B$1012&amp;"",IOT!$H$3:$H$1012,""),"Server",_xlfn.XLOOKUP($K120&amp;"",SERVER!$B$3:$B$1009&amp;"",SERVER!$H$3:$H$1009,""),""),IF(TRIM(_xlpm.srcCat)&lt;&gt;TRIM($J120),"",_xlfn.SWITCH($I120,"Computer",_xlfn.XLOOKUP($K120&amp;"",COMPUTER!$B$3:$B$1009&amp;"",COMPUTER!$E$3:$E$1009,""),"Display",_xlfn.XLOOKUP($K120&amp;"",DISPLAY!$B$3:$B$1000&amp;"",DISPLAY!$E$3:$E$1000,""),"Network Device",_xlfn.XLOOKUP($K120&amp;"",'NETWORK-DEVICES'!$B$3:$B$987&amp;"",'NETWORK-DEVICES'!$E$3:$E$987,""),"Peripheral",_xlfn.XLOOKUP($K120&amp;"",PERIPHERAL!$B$3:$B$954&amp;"",PERIPHERAL!$E$3:$E$954,""),"Utilities",_xlfn.XLOOKUP($K120&amp;"",UTILITIES!$B$3:$B$953&amp;"",UTILITIES!$E$3:$E$953,""),"IOT",_xlfn.XLOOKUP($K120&amp;"",IOT!$B$3:$B$1012&amp;"",IOT!$E$3:$E$1012,""),"Server",_xlfn.XLOOKUP($K120&amp;"",SERVER!$B$3:$B$1009&amp;"",SERVER!$E$3:$E$1009,""),""))))</f>
        <v/>
      </c>
      <c r="Q120" s="1" t="str" cm="1">
        <f t="array" ref="Q120">IF(OR($K120="",$I120="",$J120=""),"",_xlfn.LET(_xlpm.srcCat,_xlfn.SWITCH($I120,"Computer",_xlfn.XLOOKUP($K120&amp;"",COMPUTER!$B$3:$B$1009&amp;"",COMPUTER!$H$3:$H$1009,""),"Display",_xlfn.XLOOKUP($K120&amp;"",DISPLAY!$B$3:$B$1000&amp;"",DISPLAY!$H$3:$H$1000,""),"Network Device",_xlfn.XLOOKUP($K120&amp;"",'NETWORK-DEVICES'!$B$3:$B$987&amp;"",'NETWORK-DEVICES'!$H$3:$H$987,""),"Peripheral",_xlfn.XLOOKUP($K120&amp;"",PERIPHERAL!$B$3:$B$954&amp;"",PERIPHERAL!$H$3:$H$954,""),"Utilities",_xlfn.XLOOKUP($K120&amp;"",UTILITIES!$B$3:$B$953&amp;"",UTILITIES!$G$3:$G$953,""),"IOT",_xlfn.XLOOKUP($K120&amp;"",IOT!$B$3:$B$1012&amp;"",IOT!$H$3:$H$1012,""),"Server",_xlfn.XLOOKUP($K120&amp;"",SERVER!$B$3:$B$1009&amp;"",SERVER!$H$3:$H$1009,""),""),IF(TRIM(_xlpm.srcCat)&lt;&gt;TRIM($J120),"",_xlfn.SWITCH($I120,"Computer",_xlfn.XLOOKUP($K120&amp;"",COMPUTER!$B$3:$B$1009&amp;"",COMPUTER!$AM$3:$AM$1009,""),"Display",_xlfn.XLOOKUP($K120&amp;"",DISPLAY!$B$3:$B$1000&amp;"",DISPLAY!$V$3:$V$1000,""),"Network Device",_xlfn.XLOOKUP($K120&amp;"",'NETWORK-DEVICES'!$B$3:$B$987&amp;"",'NETWORK-DEVICES'!$AF$3:$AF$987,""),"Peripheral",_xlfn.XLOOKUP($K120&amp;"",PERIPHERAL!$B$3:$B$954&amp;"",PERIPHERAL!$Y$3:$Y$954,""),"Utilities",_xlfn.XLOOKUP($K120&amp;"",UTILITIES!$B$3:$B$953&amp;"",UTILITIES!$O$3:$O$953,""),"IOT",_xlfn.XLOOKUP($K120&amp;"",IOT!$B$3:$B$1012&amp;"",IOT!$AB$3:$AB$1012,""),"Server",_xlfn.XLOOKUP($K120&amp;"",SERVER!$B$3:$B$1009&amp;"",SERVER!$AB$3:$AB$1009,""),""))))</f>
        <v/>
      </c>
      <c r="R120" s="43" t="str">
        <f>IF(tbl_handover[[#This Row],[Asset Code]]="","",COUNTIF(tbl_handover[Asset Code],tbl_handover[[#This Row],[Asset Code]]))</f>
        <v/>
      </c>
    </row>
    <row r="121" spans="1:18" x14ac:dyDescent="0.25">
      <c r="A121" s="43" t="str">
        <f>IF(B121&lt;&gt;"",SUBTOTAL(3,$B$1:B120),"")</f>
        <v/>
      </c>
      <c r="C121" s="74"/>
      <c r="D121" s="74"/>
      <c r="G121" s="1"/>
      <c r="K121" s="42"/>
      <c r="L121" t="str" cm="1">
        <f t="array" ref="L121">IF($K121="","",_xlfn.SWITCH($I121,"Computer",_xlfn.XLOOKUP($K121&amp;"",COMPUTER!$B$3:$B$1009&amp;"",COMPUTER!$I$3:$I$1009,""),"Display",_xlfn.XLOOKUP($K121&amp;"",DISPLAY!$B$3:$B$1000&amp;"",DISPLAY!$J$3:$J$1000,""),"Network Device",_xlfn.XLOOKUP($K121&amp;"",'NETWORK-DEVICES'!$B$3:$B$987&amp;"",'NETWORK-DEVICES'!$I$3:$I$987,""),"Peripheral",_xlfn.XLOOKUP($K121&amp;"",PERIPHERAL!$B$3:$B$954&amp;"",PERIPHERAL!$I$3:$I$954,""),"Utilities",_xlfn.XLOOKUP($K121&amp;"",UTILITIES!$B$3:$B$953&amp;"",UTILITIES!$H$3:$H$953,""),"IOT",_xlfn.XLOOKUP($K121&amp;"",IOT!$B$3:$B$1012&amp;"",IOT!$I$3:$I$1012,""),"SERVER",_xlfn.XLOOKUP($K121&amp;"",SERVER!$B$3:$B$1009&amp;"",SERVER!$I$3:$I$1009,""),""))</f>
        <v/>
      </c>
      <c r="M121" t="str" cm="1">
        <f t="array" ref="M121">IF($K121="","",_xlfn.SWITCH($I121,"Computer",_xlfn.XLOOKUP($K121&amp;"",COMPUTER!$B$3:$B$1009&amp;"",COMPUTER!$J$3:$J$1009,""),"Display",_xlfn.XLOOKUP($K121&amp;"",DISPLAY!$B$3:$B$1000&amp;"",DISPLAY!$K$3:$K$1000,""),"Network Device",_xlfn.XLOOKUP($K121&amp;"",'NETWORK-DEVICES'!$B$3:$B$987&amp;"",'NETWORK-DEVICES'!$I$3:$I$987,""),"Peripheral",_xlfn.XLOOKUP($K121&amp;"",PERIPHERAL!$B$3:$B$954&amp;"",PERIPHERAL!$J$3:$J$954,""),"Utilities",_xlfn.XLOOKUP($K121&amp;"",UTILITIES!$B$3:$B$953&amp;"",UTILITIES!$I$3:$I$953,""),"IOT",_xlfn.XLOOKUP($K121&amp;"",IOT!$B$3:$B$1012&amp;"",IOT!$J$3:$J$1012,""),"Server",_xlfn.XLOOKUP($K121&amp;"",SERVER!$B$3:$B$1009&amp;"",SERVER!$J$3:$J$1009,""),""))</f>
        <v/>
      </c>
      <c r="N121" s="1" t="str" cm="1">
        <f t="array" ref="N121">IF(OR($K121="",$I121="",$J121=""),"",_xlfn.LET(_xlpm.srcCat,_xlfn.SWITCH($I121,"Computer",_xlfn.XLOOKUP($K121&amp;"",COMPUTER!$B$3:$B$1009&amp;"",COMPUTER!$H$3:$H$1009,""),"Display",_xlfn.XLOOKUP($K121&amp;"",DISPLAY!$B$3:$B$1000&amp;"",DISPLAY!$H$3:$H$1000,""),"Network Device",_xlfn.XLOOKUP($K121&amp;"",'NETWORK-DEVICES'!$B$3:$B$987&amp;"",'NETWORK-DEVICES'!$H$3:$H$987,""),"Peripheral",_xlfn.XLOOKUP($K121&amp;"",PERIPHERAL!$B$3:$B$954&amp;"",PERIPHERAL!$H$3:$H$954,""),"Utilities",_xlfn.XLOOKUP($K121&amp;"",UTILITIES!$B$3:$B$953&amp;"",UTILITIES!$G$3:$G$953,""),"IOT",_xlfn.XLOOKUP($K121&amp;"",IOT!$B$3:$B$1012&amp;"",IOT!$H$3:$H$1012,""),"Server",_xlfn.XLOOKUP($K121&amp;"",SERVER!$B$3:$B$1009&amp;"",SERVER!$H$3:$H$1009,""),""),IF(TRIM(_xlpm.srcCat)&lt;&gt;TRIM($J121),"",_xlfn.SWITCH($I121,"Computer",_xlfn.XLOOKUP($K121&amp;"",COMPUTER!$B$3:$B$1009&amp;"",COMPUTER!$K$3:$K$1009,""),"Display",_xlfn.XLOOKUP($K121&amp;"",DISPLAY!$B$3:$B$1000&amp;"",DISPLAY!$L$3:$L$1000,""),"Network Device",_xlfn.XLOOKUP($K121&amp;"",'NETWORK-DEVICES'!$B$3:$B$987&amp;"",'NETWORK-DEVICES'!$K$3:$K$987,""),"Peripheral",_xlfn.XLOOKUP($K121&amp;"",PERIPHERAL!$B$3:$B$954&amp;"",PERIPHERAL!$K$3:$K$954,""),"Utilities",_xlfn.XLOOKUP($K121&amp;"",UTILITIES!$B$3:$B$953&amp;"",UTILITIES!$J$3:$J$953,""),"IOT",_xlfn.XLOOKUP($K121&amp;"",IOT!$B$3:$B$1012&amp;"",IOT!$K$4:$K$1012,""),"Server",_xlfn.XLOOKUP($K121&amp;"",SERVER!$B$3:$B$1009&amp;"",SERVER!$K$3:$K$1009,""),""))))</f>
        <v/>
      </c>
      <c r="O121" s="1" t="str" cm="1">
        <f t="array" ref="O121">IF(OR($K121="",$I121="",$J121=""),"",_xlfn.LET(_xlpm.srcCat,_xlfn.SWITCH($I121,"Computer",_xlfn.XLOOKUP($K121&amp;"",COMPUTER!$B$3:$B$1009&amp;"",COMPUTER!$H$3:$H$1009,""),"Display",_xlfn.XLOOKUP($K121&amp;"",DISPLAY!$B$3:$B$1000&amp;"",DISPLAY!$H$3:$H$1000,""),"Network Device",_xlfn.XLOOKUP($K121&amp;"",'NETWORK-DEVICES'!$B$3:$B$987&amp;"",'NETWORK-DEVICES'!$H$3:$H$987,""),"Peripheral",_xlfn.XLOOKUP($K121&amp;"",PERIPHERAL!$B$3:$B$954&amp;"",PERIPHERAL!$H$3:$H$954,""),"Utilities",_xlfn.XLOOKUP($K121&amp;"",UTILITIES!$B$3:$B$953&amp;"",UTILITIES!$G$3:$G$953,""),"IOT",_xlfn.XLOOKUP($K121&amp;"",IOT!$B$3:$B$1012&amp;"",IOT!$H$3:$H$1012,""),"Server",_xlfn.XLOOKUP($K121&amp;"",SERVER!$B$3:$B$1009&amp;"",SERVER!$H$3:$H$1009,""),""),IF(TRIM(_xlpm.srcCat)&lt;&gt;TRIM($J121),"",_xlfn.SWITCH($I121,"Computer",_xlfn.XLOOKUP($K121&amp;"",COMPUTER!$B$3:$B$1009&amp;"",COMPUTER!$E$3:$E$1009,""),"Display",_xlfn.XLOOKUP($K121&amp;"",DISPLAY!$B$3:$B$1000&amp;"",DISPLAY!$E$3:$E$1000,""),"Network Device",_xlfn.XLOOKUP($K121&amp;"",'NETWORK-DEVICES'!$B$3:$B$987&amp;"",'NETWORK-DEVICES'!$E$3:$E$987,""),"Peripheral",_xlfn.XLOOKUP($K121&amp;"",PERIPHERAL!$B$3:$B$954&amp;"",PERIPHERAL!$E$3:$E$954,""),"Utilities",_xlfn.XLOOKUP($K121&amp;"",UTILITIES!$B$3:$B$953&amp;"",UTILITIES!$E$3:$E$953,""),"IOT",_xlfn.XLOOKUP($K121&amp;"",IOT!$B$3:$B$1012&amp;"",IOT!$E$3:$E$1012,""),"Server",_xlfn.XLOOKUP($K121&amp;"",SERVER!$B$3:$B$1009&amp;"",SERVER!$E$3:$E$1009,""),""))))</f>
        <v/>
      </c>
      <c r="Q121" s="1" t="str" cm="1">
        <f t="array" ref="Q121">IF(OR($K121="",$I121="",$J121=""),"",_xlfn.LET(_xlpm.srcCat,_xlfn.SWITCH($I121,"Computer",_xlfn.XLOOKUP($K121&amp;"",COMPUTER!$B$3:$B$1009&amp;"",COMPUTER!$H$3:$H$1009,""),"Display",_xlfn.XLOOKUP($K121&amp;"",DISPLAY!$B$3:$B$1000&amp;"",DISPLAY!$H$3:$H$1000,""),"Network Device",_xlfn.XLOOKUP($K121&amp;"",'NETWORK-DEVICES'!$B$3:$B$987&amp;"",'NETWORK-DEVICES'!$H$3:$H$987,""),"Peripheral",_xlfn.XLOOKUP($K121&amp;"",PERIPHERAL!$B$3:$B$954&amp;"",PERIPHERAL!$H$3:$H$954,""),"Utilities",_xlfn.XLOOKUP($K121&amp;"",UTILITIES!$B$3:$B$953&amp;"",UTILITIES!$G$3:$G$953,""),"IOT",_xlfn.XLOOKUP($K121&amp;"",IOT!$B$3:$B$1012&amp;"",IOT!$H$3:$H$1012,""),"Server",_xlfn.XLOOKUP($K121&amp;"",SERVER!$B$3:$B$1009&amp;"",SERVER!$H$3:$H$1009,""),""),IF(TRIM(_xlpm.srcCat)&lt;&gt;TRIM($J121),"",_xlfn.SWITCH($I121,"Computer",_xlfn.XLOOKUP($K121&amp;"",COMPUTER!$B$3:$B$1009&amp;"",COMPUTER!$AM$3:$AM$1009,""),"Display",_xlfn.XLOOKUP($K121&amp;"",DISPLAY!$B$3:$B$1000&amp;"",DISPLAY!$V$3:$V$1000,""),"Network Device",_xlfn.XLOOKUP($K121&amp;"",'NETWORK-DEVICES'!$B$3:$B$987&amp;"",'NETWORK-DEVICES'!$AF$3:$AF$987,""),"Peripheral",_xlfn.XLOOKUP($K121&amp;"",PERIPHERAL!$B$3:$B$954&amp;"",PERIPHERAL!$Y$3:$Y$954,""),"Utilities",_xlfn.XLOOKUP($K121&amp;"",UTILITIES!$B$3:$B$953&amp;"",UTILITIES!$O$3:$O$953,""),"IOT",_xlfn.XLOOKUP($K121&amp;"",IOT!$B$3:$B$1012&amp;"",IOT!$AB$3:$AB$1012,""),"Server",_xlfn.XLOOKUP($K121&amp;"",SERVER!$B$3:$B$1009&amp;"",SERVER!$AB$3:$AB$1009,""),""))))</f>
        <v/>
      </c>
      <c r="R121" s="43" t="str">
        <f>IF(tbl_handover[[#This Row],[Asset Code]]="","",COUNTIF(tbl_handover[Asset Code],tbl_handover[[#This Row],[Asset Code]]))</f>
        <v/>
      </c>
    </row>
    <row r="122" spans="1:18" x14ac:dyDescent="0.25">
      <c r="A122" s="43" t="str">
        <f>IF(B122&lt;&gt;"",SUBTOTAL(3,$B$1:B121),"")</f>
        <v/>
      </c>
      <c r="C122" s="74"/>
      <c r="D122" s="74"/>
      <c r="G122" s="1"/>
      <c r="K122" s="42"/>
      <c r="L122" t="str" cm="1">
        <f t="array" ref="L122">IF($K122="","",_xlfn.SWITCH($I122,"Computer",_xlfn.XLOOKUP($K122&amp;"",COMPUTER!$B$3:$B$1009&amp;"",COMPUTER!$I$3:$I$1009,""),"Display",_xlfn.XLOOKUP($K122&amp;"",DISPLAY!$B$3:$B$1000&amp;"",DISPLAY!$J$3:$J$1000,""),"Network Device",_xlfn.XLOOKUP($K122&amp;"",'NETWORK-DEVICES'!$B$3:$B$987&amp;"",'NETWORK-DEVICES'!$I$3:$I$987,""),"Peripheral",_xlfn.XLOOKUP($K122&amp;"",PERIPHERAL!$B$3:$B$954&amp;"",PERIPHERAL!$I$3:$I$954,""),"Utilities",_xlfn.XLOOKUP($K122&amp;"",UTILITIES!$B$3:$B$953&amp;"",UTILITIES!$H$3:$H$953,""),"IOT",_xlfn.XLOOKUP($K122&amp;"",IOT!$B$3:$B$1012&amp;"",IOT!$I$3:$I$1012,""),"SERVER",_xlfn.XLOOKUP($K122&amp;"",SERVER!$B$3:$B$1009&amp;"",SERVER!$I$3:$I$1009,""),""))</f>
        <v/>
      </c>
      <c r="M122" t="str" cm="1">
        <f t="array" ref="M122">IF($K122="","",_xlfn.SWITCH($I122,"Computer",_xlfn.XLOOKUP($K122&amp;"",COMPUTER!$B$3:$B$1009&amp;"",COMPUTER!$J$3:$J$1009,""),"Display",_xlfn.XLOOKUP($K122&amp;"",DISPLAY!$B$3:$B$1000&amp;"",DISPLAY!$K$3:$K$1000,""),"Network Device",_xlfn.XLOOKUP($K122&amp;"",'NETWORK-DEVICES'!$B$3:$B$987&amp;"",'NETWORK-DEVICES'!$I$3:$I$987,""),"Peripheral",_xlfn.XLOOKUP($K122&amp;"",PERIPHERAL!$B$3:$B$954&amp;"",PERIPHERAL!$J$3:$J$954,""),"Utilities",_xlfn.XLOOKUP($K122&amp;"",UTILITIES!$B$3:$B$953&amp;"",UTILITIES!$I$3:$I$953,""),"IOT",_xlfn.XLOOKUP($K122&amp;"",IOT!$B$3:$B$1012&amp;"",IOT!$J$3:$J$1012,""),"Server",_xlfn.XLOOKUP($K122&amp;"",SERVER!$B$3:$B$1009&amp;"",SERVER!$J$3:$J$1009,""),""))</f>
        <v/>
      </c>
      <c r="N122" s="1" t="str" cm="1">
        <f t="array" ref="N122">IF(OR($K122="",$I122="",$J122=""),"",_xlfn.LET(_xlpm.srcCat,_xlfn.SWITCH($I122,"Computer",_xlfn.XLOOKUP($K122&amp;"",COMPUTER!$B$3:$B$1009&amp;"",COMPUTER!$H$3:$H$1009,""),"Display",_xlfn.XLOOKUP($K122&amp;"",DISPLAY!$B$3:$B$1000&amp;"",DISPLAY!$H$3:$H$1000,""),"Network Device",_xlfn.XLOOKUP($K122&amp;"",'NETWORK-DEVICES'!$B$3:$B$987&amp;"",'NETWORK-DEVICES'!$H$3:$H$987,""),"Peripheral",_xlfn.XLOOKUP($K122&amp;"",PERIPHERAL!$B$3:$B$954&amp;"",PERIPHERAL!$H$3:$H$954,""),"Utilities",_xlfn.XLOOKUP($K122&amp;"",UTILITIES!$B$3:$B$953&amp;"",UTILITIES!$G$3:$G$953,""),"IOT",_xlfn.XLOOKUP($K122&amp;"",IOT!$B$3:$B$1012&amp;"",IOT!$H$3:$H$1012,""),"Server",_xlfn.XLOOKUP($K122&amp;"",SERVER!$B$3:$B$1009&amp;"",SERVER!$H$3:$H$1009,""),""),IF(TRIM(_xlpm.srcCat)&lt;&gt;TRIM($J122),"",_xlfn.SWITCH($I122,"Computer",_xlfn.XLOOKUP($K122&amp;"",COMPUTER!$B$3:$B$1009&amp;"",COMPUTER!$K$3:$K$1009,""),"Display",_xlfn.XLOOKUP($K122&amp;"",DISPLAY!$B$3:$B$1000&amp;"",DISPLAY!$L$3:$L$1000,""),"Network Device",_xlfn.XLOOKUP($K122&amp;"",'NETWORK-DEVICES'!$B$3:$B$987&amp;"",'NETWORK-DEVICES'!$K$3:$K$987,""),"Peripheral",_xlfn.XLOOKUP($K122&amp;"",PERIPHERAL!$B$3:$B$954&amp;"",PERIPHERAL!$K$3:$K$954,""),"Utilities",_xlfn.XLOOKUP($K122&amp;"",UTILITIES!$B$3:$B$953&amp;"",UTILITIES!$J$3:$J$953,""),"IOT",_xlfn.XLOOKUP($K122&amp;"",IOT!$B$3:$B$1012&amp;"",IOT!$K$4:$K$1012,""),"Server",_xlfn.XLOOKUP($K122&amp;"",SERVER!$B$3:$B$1009&amp;"",SERVER!$K$3:$K$1009,""),""))))</f>
        <v/>
      </c>
      <c r="O122" s="1" t="str" cm="1">
        <f t="array" ref="O122">IF(OR($K122="",$I122="",$J122=""),"",_xlfn.LET(_xlpm.srcCat,_xlfn.SWITCH($I122,"Computer",_xlfn.XLOOKUP($K122&amp;"",COMPUTER!$B$3:$B$1009&amp;"",COMPUTER!$H$3:$H$1009,""),"Display",_xlfn.XLOOKUP($K122&amp;"",DISPLAY!$B$3:$B$1000&amp;"",DISPLAY!$H$3:$H$1000,""),"Network Device",_xlfn.XLOOKUP($K122&amp;"",'NETWORK-DEVICES'!$B$3:$B$987&amp;"",'NETWORK-DEVICES'!$H$3:$H$987,""),"Peripheral",_xlfn.XLOOKUP($K122&amp;"",PERIPHERAL!$B$3:$B$954&amp;"",PERIPHERAL!$H$3:$H$954,""),"Utilities",_xlfn.XLOOKUP($K122&amp;"",UTILITIES!$B$3:$B$953&amp;"",UTILITIES!$G$3:$G$953,""),"IOT",_xlfn.XLOOKUP($K122&amp;"",IOT!$B$3:$B$1012&amp;"",IOT!$H$3:$H$1012,""),"Server",_xlfn.XLOOKUP($K122&amp;"",SERVER!$B$3:$B$1009&amp;"",SERVER!$H$3:$H$1009,""),""),IF(TRIM(_xlpm.srcCat)&lt;&gt;TRIM($J122),"",_xlfn.SWITCH($I122,"Computer",_xlfn.XLOOKUP($K122&amp;"",COMPUTER!$B$3:$B$1009&amp;"",COMPUTER!$E$3:$E$1009,""),"Display",_xlfn.XLOOKUP($K122&amp;"",DISPLAY!$B$3:$B$1000&amp;"",DISPLAY!$E$3:$E$1000,""),"Network Device",_xlfn.XLOOKUP($K122&amp;"",'NETWORK-DEVICES'!$B$3:$B$987&amp;"",'NETWORK-DEVICES'!$E$3:$E$987,""),"Peripheral",_xlfn.XLOOKUP($K122&amp;"",PERIPHERAL!$B$3:$B$954&amp;"",PERIPHERAL!$E$3:$E$954,""),"Utilities",_xlfn.XLOOKUP($K122&amp;"",UTILITIES!$B$3:$B$953&amp;"",UTILITIES!$E$3:$E$953,""),"IOT",_xlfn.XLOOKUP($K122&amp;"",IOT!$B$3:$B$1012&amp;"",IOT!$E$3:$E$1012,""),"Server",_xlfn.XLOOKUP($K122&amp;"",SERVER!$B$3:$B$1009&amp;"",SERVER!$E$3:$E$1009,""),""))))</f>
        <v/>
      </c>
      <c r="Q122" s="1" t="str" cm="1">
        <f t="array" ref="Q122">IF(OR($K122="",$I122="",$J122=""),"",_xlfn.LET(_xlpm.srcCat,_xlfn.SWITCH($I122,"Computer",_xlfn.XLOOKUP($K122&amp;"",COMPUTER!$B$3:$B$1009&amp;"",COMPUTER!$H$3:$H$1009,""),"Display",_xlfn.XLOOKUP($K122&amp;"",DISPLAY!$B$3:$B$1000&amp;"",DISPLAY!$H$3:$H$1000,""),"Network Device",_xlfn.XLOOKUP($K122&amp;"",'NETWORK-DEVICES'!$B$3:$B$987&amp;"",'NETWORK-DEVICES'!$H$3:$H$987,""),"Peripheral",_xlfn.XLOOKUP($K122&amp;"",PERIPHERAL!$B$3:$B$954&amp;"",PERIPHERAL!$H$3:$H$954,""),"Utilities",_xlfn.XLOOKUP($K122&amp;"",UTILITIES!$B$3:$B$953&amp;"",UTILITIES!$G$3:$G$953,""),"IOT",_xlfn.XLOOKUP($K122&amp;"",IOT!$B$3:$B$1012&amp;"",IOT!$H$3:$H$1012,""),"Server",_xlfn.XLOOKUP($K122&amp;"",SERVER!$B$3:$B$1009&amp;"",SERVER!$H$3:$H$1009,""),""),IF(TRIM(_xlpm.srcCat)&lt;&gt;TRIM($J122),"",_xlfn.SWITCH($I122,"Computer",_xlfn.XLOOKUP($K122&amp;"",COMPUTER!$B$3:$B$1009&amp;"",COMPUTER!$AM$3:$AM$1009,""),"Display",_xlfn.XLOOKUP($K122&amp;"",DISPLAY!$B$3:$B$1000&amp;"",DISPLAY!$V$3:$V$1000,""),"Network Device",_xlfn.XLOOKUP($K122&amp;"",'NETWORK-DEVICES'!$B$3:$B$987&amp;"",'NETWORK-DEVICES'!$AF$3:$AF$987,""),"Peripheral",_xlfn.XLOOKUP($K122&amp;"",PERIPHERAL!$B$3:$B$954&amp;"",PERIPHERAL!$Y$3:$Y$954,""),"Utilities",_xlfn.XLOOKUP($K122&amp;"",UTILITIES!$B$3:$B$953&amp;"",UTILITIES!$O$3:$O$953,""),"IOT",_xlfn.XLOOKUP($K122&amp;"",IOT!$B$3:$B$1012&amp;"",IOT!$AB$3:$AB$1012,""),"Server",_xlfn.XLOOKUP($K122&amp;"",SERVER!$B$3:$B$1009&amp;"",SERVER!$AB$3:$AB$1009,""),""))))</f>
        <v/>
      </c>
      <c r="R122" s="43" t="str">
        <f>IF(tbl_handover[[#This Row],[Asset Code]]="","",COUNTIF(tbl_handover[Asset Code],tbl_handover[[#This Row],[Asset Code]]))</f>
        <v/>
      </c>
    </row>
    <row r="123" spans="1:18" x14ac:dyDescent="0.25">
      <c r="A123" s="43" t="str">
        <f>IF(B123&lt;&gt;"",SUBTOTAL(3,$B$1:B122),"")</f>
        <v/>
      </c>
      <c r="C123" s="74"/>
      <c r="D123" s="74"/>
      <c r="G123" s="1"/>
      <c r="K123" s="42"/>
      <c r="L123" t="str" cm="1">
        <f t="array" ref="L123">IF($K123="","",_xlfn.SWITCH($I123,"Computer",_xlfn.XLOOKUP($K123&amp;"",COMPUTER!$B$3:$B$1009&amp;"",COMPUTER!$I$3:$I$1009,""),"Display",_xlfn.XLOOKUP($K123&amp;"",DISPLAY!$B$3:$B$1000&amp;"",DISPLAY!$J$3:$J$1000,""),"Network Device",_xlfn.XLOOKUP($K123&amp;"",'NETWORK-DEVICES'!$B$3:$B$987&amp;"",'NETWORK-DEVICES'!$I$3:$I$987,""),"Peripheral",_xlfn.XLOOKUP($K123&amp;"",PERIPHERAL!$B$3:$B$954&amp;"",PERIPHERAL!$I$3:$I$954,""),"Utilities",_xlfn.XLOOKUP($K123&amp;"",UTILITIES!$B$3:$B$953&amp;"",UTILITIES!$H$3:$H$953,""),"IOT",_xlfn.XLOOKUP($K123&amp;"",IOT!$B$3:$B$1012&amp;"",IOT!$I$3:$I$1012,""),"SERVER",_xlfn.XLOOKUP($K123&amp;"",SERVER!$B$3:$B$1009&amp;"",SERVER!$I$3:$I$1009,""),""))</f>
        <v/>
      </c>
      <c r="M123" t="str" cm="1">
        <f t="array" ref="M123">IF($K123="","",_xlfn.SWITCH($I123,"Computer",_xlfn.XLOOKUP($K123&amp;"",COMPUTER!$B$3:$B$1009&amp;"",COMPUTER!$J$3:$J$1009,""),"Display",_xlfn.XLOOKUP($K123&amp;"",DISPLAY!$B$3:$B$1000&amp;"",DISPLAY!$K$3:$K$1000,""),"Network Device",_xlfn.XLOOKUP($K123&amp;"",'NETWORK-DEVICES'!$B$3:$B$987&amp;"",'NETWORK-DEVICES'!$I$3:$I$987,""),"Peripheral",_xlfn.XLOOKUP($K123&amp;"",PERIPHERAL!$B$3:$B$954&amp;"",PERIPHERAL!$J$3:$J$954,""),"Utilities",_xlfn.XLOOKUP($K123&amp;"",UTILITIES!$B$3:$B$953&amp;"",UTILITIES!$I$3:$I$953,""),"IOT",_xlfn.XLOOKUP($K123&amp;"",IOT!$B$3:$B$1012&amp;"",IOT!$J$3:$J$1012,""),"Server",_xlfn.XLOOKUP($K123&amp;"",SERVER!$B$3:$B$1009&amp;"",SERVER!$J$3:$J$1009,""),""))</f>
        <v/>
      </c>
      <c r="N123" s="1" t="str" cm="1">
        <f t="array" ref="N123">IF(OR($K123="",$I123="",$J123=""),"",_xlfn.LET(_xlpm.srcCat,_xlfn.SWITCH($I123,"Computer",_xlfn.XLOOKUP($K123&amp;"",COMPUTER!$B$3:$B$1009&amp;"",COMPUTER!$H$3:$H$1009,""),"Display",_xlfn.XLOOKUP($K123&amp;"",DISPLAY!$B$3:$B$1000&amp;"",DISPLAY!$H$3:$H$1000,""),"Network Device",_xlfn.XLOOKUP($K123&amp;"",'NETWORK-DEVICES'!$B$3:$B$987&amp;"",'NETWORK-DEVICES'!$H$3:$H$987,""),"Peripheral",_xlfn.XLOOKUP($K123&amp;"",PERIPHERAL!$B$3:$B$954&amp;"",PERIPHERAL!$H$3:$H$954,""),"Utilities",_xlfn.XLOOKUP($K123&amp;"",UTILITIES!$B$3:$B$953&amp;"",UTILITIES!$G$3:$G$953,""),"IOT",_xlfn.XLOOKUP($K123&amp;"",IOT!$B$3:$B$1012&amp;"",IOT!$H$3:$H$1012,""),"Server",_xlfn.XLOOKUP($K123&amp;"",SERVER!$B$3:$B$1009&amp;"",SERVER!$H$3:$H$1009,""),""),IF(TRIM(_xlpm.srcCat)&lt;&gt;TRIM($J123),"",_xlfn.SWITCH($I123,"Computer",_xlfn.XLOOKUP($K123&amp;"",COMPUTER!$B$3:$B$1009&amp;"",COMPUTER!$K$3:$K$1009,""),"Display",_xlfn.XLOOKUP($K123&amp;"",DISPLAY!$B$3:$B$1000&amp;"",DISPLAY!$L$3:$L$1000,""),"Network Device",_xlfn.XLOOKUP($K123&amp;"",'NETWORK-DEVICES'!$B$3:$B$987&amp;"",'NETWORK-DEVICES'!$K$3:$K$987,""),"Peripheral",_xlfn.XLOOKUP($K123&amp;"",PERIPHERAL!$B$3:$B$954&amp;"",PERIPHERAL!$K$3:$K$954,""),"Utilities",_xlfn.XLOOKUP($K123&amp;"",UTILITIES!$B$3:$B$953&amp;"",UTILITIES!$J$3:$J$953,""),"IOT",_xlfn.XLOOKUP($K123&amp;"",IOT!$B$3:$B$1012&amp;"",IOT!$K$4:$K$1012,""),"Server",_xlfn.XLOOKUP($K123&amp;"",SERVER!$B$3:$B$1009&amp;"",SERVER!$K$3:$K$1009,""),""))))</f>
        <v/>
      </c>
      <c r="O123" s="1" t="str" cm="1">
        <f t="array" ref="O123">IF(OR($K123="",$I123="",$J123=""),"",_xlfn.LET(_xlpm.srcCat,_xlfn.SWITCH($I123,"Computer",_xlfn.XLOOKUP($K123&amp;"",COMPUTER!$B$3:$B$1009&amp;"",COMPUTER!$H$3:$H$1009,""),"Display",_xlfn.XLOOKUP($K123&amp;"",DISPLAY!$B$3:$B$1000&amp;"",DISPLAY!$H$3:$H$1000,""),"Network Device",_xlfn.XLOOKUP($K123&amp;"",'NETWORK-DEVICES'!$B$3:$B$987&amp;"",'NETWORK-DEVICES'!$H$3:$H$987,""),"Peripheral",_xlfn.XLOOKUP($K123&amp;"",PERIPHERAL!$B$3:$B$954&amp;"",PERIPHERAL!$H$3:$H$954,""),"Utilities",_xlfn.XLOOKUP($K123&amp;"",UTILITIES!$B$3:$B$953&amp;"",UTILITIES!$G$3:$G$953,""),"IOT",_xlfn.XLOOKUP($K123&amp;"",IOT!$B$3:$B$1012&amp;"",IOT!$H$3:$H$1012,""),"Server",_xlfn.XLOOKUP($K123&amp;"",SERVER!$B$3:$B$1009&amp;"",SERVER!$H$3:$H$1009,""),""),IF(TRIM(_xlpm.srcCat)&lt;&gt;TRIM($J123),"",_xlfn.SWITCH($I123,"Computer",_xlfn.XLOOKUP($K123&amp;"",COMPUTER!$B$3:$B$1009&amp;"",COMPUTER!$E$3:$E$1009,""),"Display",_xlfn.XLOOKUP($K123&amp;"",DISPLAY!$B$3:$B$1000&amp;"",DISPLAY!$E$3:$E$1000,""),"Network Device",_xlfn.XLOOKUP($K123&amp;"",'NETWORK-DEVICES'!$B$3:$B$987&amp;"",'NETWORK-DEVICES'!$E$3:$E$987,""),"Peripheral",_xlfn.XLOOKUP($K123&amp;"",PERIPHERAL!$B$3:$B$954&amp;"",PERIPHERAL!$E$3:$E$954,""),"Utilities",_xlfn.XLOOKUP($K123&amp;"",UTILITIES!$B$3:$B$953&amp;"",UTILITIES!$E$3:$E$953,""),"IOT",_xlfn.XLOOKUP($K123&amp;"",IOT!$B$3:$B$1012&amp;"",IOT!$E$3:$E$1012,""),"Server",_xlfn.XLOOKUP($K123&amp;"",SERVER!$B$3:$B$1009&amp;"",SERVER!$E$3:$E$1009,""),""))))</f>
        <v/>
      </c>
      <c r="Q123" s="1" t="str" cm="1">
        <f t="array" ref="Q123">IF(OR($K123="",$I123="",$J123=""),"",_xlfn.LET(_xlpm.srcCat,_xlfn.SWITCH($I123,"Computer",_xlfn.XLOOKUP($K123&amp;"",COMPUTER!$B$3:$B$1009&amp;"",COMPUTER!$H$3:$H$1009,""),"Display",_xlfn.XLOOKUP($K123&amp;"",DISPLAY!$B$3:$B$1000&amp;"",DISPLAY!$H$3:$H$1000,""),"Network Device",_xlfn.XLOOKUP($K123&amp;"",'NETWORK-DEVICES'!$B$3:$B$987&amp;"",'NETWORK-DEVICES'!$H$3:$H$987,""),"Peripheral",_xlfn.XLOOKUP($K123&amp;"",PERIPHERAL!$B$3:$B$954&amp;"",PERIPHERAL!$H$3:$H$954,""),"Utilities",_xlfn.XLOOKUP($K123&amp;"",UTILITIES!$B$3:$B$953&amp;"",UTILITIES!$G$3:$G$953,""),"IOT",_xlfn.XLOOKUP($K123&amp;"",IOT!$B$3:$B$1012&amp;"",IOT!$H$3:$H$1012,""),"Server",_xlfn.XLOOKUP($K123&amp;"",SERVER!$B$3:$B$1009&amp;"",SERVER!$H$3:$H$1009,""),""),IF(TRIM(_xlpm.srcCat)&lt;&gt;TRIM($J123),"",_xlfn.SWITCH($I123,"Computer",_xlfn.XLOOKUP($K123&amp;"",COMPUTER!$B$3:$B$1009&amp;"",COMPUTER!$AM$3:$AM$1009,""),"Display",_xlfn.XLOOKUP($K123&amp;"",DISPLAY!$B$3:$B$1000&amp;"",DISPLAY!$V$3:$V$1000,""),"Network Device",_xlfn.XLOOKUP($K123&amp;"",'NETWORK-DEVICES'!$B$3:$B$987&amp;"",'NETWORK-DEVICES'!$AF$3:$AF$987,""),"Peripheral",_xlfn.XLOOKUP($K123&amp;"",PERIPHERAL!$B$3:$B$954&amp;"",PERIPHERAL!$Y$3:$Y$954,""),"Utilities",_xlfn.XLOOKUP($K123&amp;"",UTILITIES!$B$3:$B$953&amp;"",UTILITIES!$O$3:$O$953,""),"IOT",_xlfn.XLOOKUP($K123&amp;"",IOT!$B$3:$B$1012&amp;"",IOT!$AB$3:$AB$1012,""),"Server",_xlfn.XLOOKUP($K123&amp;"",SERVER!$B$3:$B$1009&amp;"",SERVER!$AB$3:$AB$1009,""),""))))</f>
        <v/>
      </c>
      <c r="R123" s="43" t="str">
        <f>IF(tbl_handover[[#This Row],[Asset Code]]="","",COUNTIF(tbl_handover[Asset Code],tbl_handover[[#This Row],[Asset Code]]))</f>
        <v/>
      </c>
    </row>
    <row r="124" spans="1:18" x14ac:dyDescent="0.25">
      <c r="A124" s="43" t="str">
        <f>IF(B124&lt;&gt;"",SUBTOTAL(3,$B$1:B123),"")</f>
        <v/>
      </c>
      <c r="C124" s="74"/>
      <c r="D124" s="74"/>
      <c r="G124" s="1"/>
      <c r="K124" s="42"/>
      <c r="L124" t="str" cm="1">
        <f t="array" ref="L124">IF($K124="","",_xlfn.SWITCH($I124,"Computer",_xlfn.XLOOKUP($K124&amp;"",COMPUTER!$B$3:$B$1009&amp;"",COMPUTER!$I$3:$I$1009,""),"Display",_xlfn.XLOOKUP($K124&amp;"",DISPLAY!$B$3:$B$1000&amp;"",DISPLAY!$J$3:$J$1000,""),"Network Device",_xlfn.XLOOKUP($K124&amp;"",'NETWORK-DEVICES'!$B$3:$B$987&amp;"",'NETWORK-DEVICES'!$I$3:$I$987,""),"Peripheral",_xlfn.XLOOKUP($K124&amp;"",PERIPHERAL!$B$3:$B$954&amp;"",PERIPHERAL!$I$3:$I$954,""),"Utilities",_xlfn.XLOOKUP($K124&amp;"",UTILITIES!$B$3:$B$953&amp;"",UTILITIES!$H$3:$H$953,""),"IOT",_xlfn.XLOOKUP($K124&amp;"",IOT!$B$3:$B$1012&amp;"",IOT!$I$3:$I$1012,""),"SERVER",_xlfn.XLOOKUP($K124&amp;"",SERVER!$B$3:$B$1009&amp;"",SERVER!$I$3:$I$1009,""),""))</f>
        <v/>
      </c>
      <c r="M124" t="str" cm="1">
        <f t="array" ref="M124">IF($K124="","",_xlfn.SWITCH($I124,"Computer",_xlfn.XLOOKUP($K124&amp;"",COMPUTER!$B$3:$B$1009&amp;"",COMPUTER!$J$3:$J$1009,""),"Display",_xlfn.XLOOKUP($K124&amp;"",DISPLAY!$B$3:$B$1000&amp;"",DISPLAY!$K$3:$K$1000,""),"Network Device",_xlfn.XLOOKUP($K124&amp;"",'NETWORK-DEVICES'!$B$3:$B$987&amp;"",'NETWORK-DEVICES'!$I$3:$I$987,""),"Peripheral",_xlfn.XLOOKUP($K124&amp;"",PERIPHERAL!$B$3:$B$954&amp;"",PERIPHERAL!$J$3:$J$954,""),"Utilities",_xlfn.XLOOKUP($K124&amp;"",UTILITIES!$B$3:$B$953&amp;"",UTILITIES!$I$3:$I$953,""),"IOT",_xlfn.XLOOKUP($K124&amp;"",IOT!$B$3:$B$1012&amp;"",IOT!$J$3:$J$1012,""),"Server",_xlfn.XLOOKUP($K124&amp;"",SERVER!$B$3:$B$1009&amp;"",SERVER!$J$3:$J$1009,""),""))</f>
        <v/>
      </c>
      <c r="N124" s="1" t="str" cm="1">
        <f t="array" ref="N124">IF(OR($K124="",$I124="",$J124=""),"",_xlfn.LET(_xlpm.srcCat,_xlfn.SWITCH($I124,"Computer",_xlfn.XLOOKUP($K124&amp;"",COMPUTER!$B$3:$B$1009&amp;"",COMPUTER!$H$3:$H$1009,""),"Display",_xlfn.XLOOKUP($K124&amp;"",DISPLAY!$B$3:$B$1000&amp;"",DISPLAY!$H$3:$H$1000,""),"Network Device",_xlfn.XLOOKUP($K124&amp;"",'NETWORK-DEVICES'!$B$3:$B$987&amp;"",'NETWORK-DEVICES'!$H$3:$H$987,""),"Peripheral",_xlfn.XLOOKUP($K124&amp;"",PERIPHERAL!$B$3:$B$954&amp;"",PERIPHERAL!$H$3:$H$954,""),"Utilities",_xlfn.XLOOKUP($K124&amp;"",UTILITIES!$B$3:$B$953&amp;"",UTILITIES!$G$3:$G$953,""),"IOT",_xlfn.XLOOKUP($K124&amp;"",IOT!$B$3:$B$1012&amp;"",IOT!$H$3:$H$1012,""),"Server",_xlfn.XLOOKUP($K124&amp;"",SERVER!$B$3:$B$1009&amp;"",SERVER!$H$3:$H$1009,""),""),IF(TRIM(_xlpm.srcCat)&lt;&gt;TRIM($J124),"",_xlfn.SWITCH($I124,"Computer",_xlfn.XLOOKUP($K124&amp;"",COMPUTER!$B$3:$B$1009&amp;"",COMPUTER!$K$3:$K$1009,""),"Display",_xlfn.XLOOKUP($K124&amp;"",DISPLAY!$B$3:$B$1000&amp;"",DISPLAY!$L$3:$L$1000,""),"Network Device",_xlfn.XLOOKUP($K124&amp;"",'NETWORK-DEVICES'!$B$3:$B$987&amp;"",'NETWORK-DEVICES'!$K$3:$K$987,""),"Peripheral",_xlfn.XLOOKUP($K124&amp;"",PERIPHERAL!$B$3:$B$954&amp;"",PERIPHERAL!$K$3:$K$954,""),"Utilities",_xlfn.XLOOKUP($K124&amp;"",UTILITIES!$B$3:$B$953&amp;"",UTILITIES!$J$3:$J$953,""),"IOT",_xlfn.XLOOKUP($K124&amp;"",IOT!$B$3:$B$1012&amp;"",IOT!$K$4:$K$1012,""),"Server",_xlfn.XLOOKUP($K124&amp;"",SERVER!$B$3:$B$1009&amp;"",SERVER!$K$3:$K$1009,""),""))))</f>
        <v/>
      </c>
      <c r="O124" s="1" t="str" cm="1">
        <f t="array" ref="O124">IF(OR($K124="",$I124="",$J124=""),"",_xlfn.LET(_xlpm.srcCat,_xlfn.SWITCH($I124,"Computer",_xlfn.XLOOKUP($K124&amp;"",COMPUTER!$B$3:$B$1009&amp;"",COMPUTER!$H$3:$H$1009,""),"Display",_xlfn.XLOOKUP($K124&amp;"",DISPLAY!$B$3:$B$1000&amp;"",DISPLAY!$H$3:$H$1000,""),"Network Device",_xlfn.XLOOKUP($K124&amp;"",'NETWORK-DEVICES'!$B$3:$B$987&amp;"",'NETWORK-DEVICES'!$H$3:$H$987,""),"Peripheral",_xlfn.XLOOKUP($K124&amp;"",PERIPHERAL!$B$3:$B$954&amp;"",PERIPHERAL!$H$3:$H$954,""),"Utilities",_xlfn.XLOOKUP($K124&amp;"",UTILITIES!$B$3:$B$953&amp;"",UTILITIES!$G$3:$G$953,""),"IOT",_xlfn.XLOOKUP($K124&amp;"",IOT!$B$3:$B$1012&amp;"",IOT!$H$3:$H$1012,""),"Server",_xlfn.XLOOKUP($K124&amp;"",SERVER!$B$3:$B$1009&amp;"",SERVER!$H$3:$H$1009,""),""),IF(TRIM(_xlpm.srcCat)&lt;&gt;TRIM($J124),"",_xlfn.SWITCH($I124,"Computer",_xlfn.XLOOKUP($K124&amp;"",COMPUTER!$B$3:$B$1009&amp;"",COMPUTER!$E$3:$E$1009,""),"Display",_xlfn.XLOOKUP($K124&amp;"",DISPLAY!$B$3:$B$1000&amp;"",DISPLAY!$E$3:$E$1000,""),"Network Device",_xlfn.XLOOKUP($K124&amp;"",'NETWORK-DEVICES'!$B$3:$B$987&amp;"",'NETWORK-DEVICES'!$E$3:$E$987,""),"Peripheral",_xlfn.XLOOKUP($K124&amp;"",PERIPHERAL!$B$3:$B$954&amp;"",PERIPHERAL!$E$3:$E$954,""),"Utilities",_xlfn.XLOOKUP($K124&amp;"",UTILITIES!$B$3:$B$953&amp;"",UTILITIES!$E$3:$E$953,""),"IOT",_xlfn.XLOOKUP($K124&amp;"",IOT!$B$3:$B$1012&amp;"",IOT!$E$3:$E$1012,""),"Server",_xlfn.XLOOKUP($K124&amp;"",SERVER!$B$3:$B$1009&amp;"",SERVER!$E$3:$E$1009,""),""))))</f>
        <v/>
      </c>
      <c r="Q124" s="1" t="str" cm="1">
        <f t="array" ref="Q124">IF(OR($K124="",$I124="",$J124=""),"",_xlfn.LET(_xlpm.srcCat,_xlfn.SWITCH($I124,"Computer",_xlfn.XLOOKUP($K124&amp;"",COMPUTER!$B$3:$B$1009&amp;"",COMPUTER!$H$3:$H$1009,""),"Display",_xlfn.XLOOKUP($K124&amp;"",DISPLAY!$B$3:$B$1000&amp;"",DISPLAY!$H$3:$H$1000,""),"Network Device",_xlfn.XLOOKUP($K124&amp;"",'NETWORK-DEVICES'!$B$3:$B$987&amp;"",'NETWORK-DEVICES'!$H$3:$H$987,""),"Peripheral",_xlfn.XLOOKUP($K124&amp;"",PERIPHERAL!$B$3:$B$954&amp;"",PERIPHERAL!$H$3:$H$954,""),"Utilities",_xlfn.XLOOKUP($K124&amp;"",UTILITIES!$B$3:$B$953&amp;"",UTILITIES!$G$3:$G$953,""),"IOT",_xlfn.XLOOKUP($K124&amp;"",IOT!$B$3:$B$1012&amp;"",IOT!$H$3:$H$1012,""),"Server",_xlfn.XLOOKUP($K124&amp;"",SERVER!$B$3:$B$1009&amp;"",SERVER!$H$3:$H$1009,""),""),IF(TRIM(_xlpm.srcCat)&lt;&gt;TRIM($J124),"",_xlfn.SWITCH($I124,"Computer",_xlfn.XLOOKUP($K124&amp;"",COMPUTER!$B$3:$B$1009&amp;"",COMPUTER!$AM$3:$AM$1009,""),"Display",_xlfn.XLOOKUP($K124&amp;"",DISPLAY!$B$3:$B$1000&amp;"",DISPLAY!$V$3:$V$1000,""),"Network Device",_xlfn.XLOOKUP($K124&amp;"",'NETWORK-DEVICES'!$B$3:$B$987&amp;"",'NETWORK-DEVICES'!$AF$3:$AF$987,""),"Peripheral",_xlfn.XLOOKUP($K124&amp;"",PERIPHERAL!$B$3:$B$954&amp;"",PERIPHERAL!$Y$3:$Y$954,""),"Utilities",_xlfn.XLOOKUP($K124&amp;"",UTILITIES!$B$3:$B$953&amp;"",UTILITIES!$O$3:$O$953,""),"IOT",_xlfn.XLOOKUP($K124&amp;"",IOT!$B$3:$B$1012&amp;"",IOT!$AB$3:$AB$1012,""),"Server",_xlfn.XLOOKUP($K124&amp;"",SERVER!$B$3:$B$1009&amp;"",SERVER!$AB$3:$AB$1009,""),""))))</f>
        <v/>
      </c>
      <c r="R124" s="43" t="str">
        <f>IF(tbl_handover[[#This Row],[Asset Code]]="","",COUNTIF(tbl_handover[Asset Code],tbl_handover[[#This Row],[Asset Code]]))</f>
        <v/>
      </c>
    </row>
    <row r="125" spans="1:18" x14ac:dyDescent="0.25">
      <c r="A125" s="43" t="str">
        <f>IF(B125&lt;&gt;"",SUBTOTAL(3,$B$1:B124),"")</f>
        <v/>
      </c>
      <c r="C125" s="74"/>
      <c r="D125" s="74"/>
      <c r="G125" s="1"/>
      <c r="K125" s="42"/>
      <c r="L125" t="str" cm="1">
        <f t="array" ref="L125">IF($K125="","",_xlfn.SWITCH($I125,"Computer",_xlfn.XLOOKUP($K125&amp;"",COMPUTER!$B$3:$B$1009&amp;"",COMPUTER!$I$3:$I$1009,""),"Display",_xlfn.XLOOKUP($K125&amp;"",DISPLAY!$B$3:$B$1000&amp;"",DISPLAY!$J$3:$J$1000,""),"Network Device",_xlfn.XLOOKUP($K125&amp;"",'NETWORK-DEVICES'!$B$3:$B$987&amp;"",'NETWORK-DEVICES'!$I$3:$I$987,""),"Peripheral",_xlfn.XLOOKUP($K125&amp;"",PERIPHERAL!$B$3:$B$954&amp;"",PERIPHERAL!$I$3:$I$954,""),"Utilities",_xlfn.XLOOKUP($K125&amp;"",UTILITIES!$B$3:$B$953&amp;"",UTILITIES!$H$3:$H$953,""),"IOT",_xlfn.XLOOKUP($K125&amp;"",IOT!$B$3:$B$1012&amp;"",IOT!$I$3:$I$1012,""),"SERVER",_xlfn.XLOOKUP($K125&amp;"",SERVER!$B$3:$B$1009&amp;"",SERVER!$I$3:$I$1009,""),""))</f>
        <v/>
      </c>
      <c r="M125" t="str" cm="1">
        <f t="array" ref="M125">IF($K125="","",_xlfn.SWITCH($I125,"Computer",_xlfn.XLOOKUP($K125&amp;"",COMPUTER!$B$3:$B$1009&amp;"",COMPUTER!$J$3:$J$1009,""),"Display",_xlfn.XLOOKUP($K125&amp;"",DISPLAY!$B$3:$B$1000&amp;"",DISPLAY!$K$3:$K$1000,""),"Network Device",_xlfn.XLOOKUP($K125&amp;"",'NETWORK-DEVICES'!$B$3:$B$987&amp;"",'NETWORK-DEVICES'!$I$3:$I$987,""),"Peripheral",_xlfn.XLOOKUP($K125&amp;"",PERIPHERAL!$B$3:$B$954&amp;"",PERIPHERAL!$J$3:$J$954,""),"Utilities",_xlfn.XLOOKUP($K125&amp;"",UTILITIES!$B$3:$B$953&amp;"",UTILITIES!$I$3:$I$953,""),"IOT",_xlfn.XLOOKUP($K125&amp;"",IOT!$B$3:$B$1012&amp;"",IOT!$J$3:$J$1012,""),"Server",_xlfn.XLOOKUP($K125&amp;"",SERVER!$B$3:$B$1009&amp;"",SERVER!$J$3:$J$1009,""),""))</f>
        <v/>
      </c>
      <c r="N125" s="1" t="str" cm="1">
        <f t="array" ref="N125">IF(OR($K125="",$I125="",$J125=""),"",_xlfn.LET(_xlpm.srcCat,_xlfn.SWITCH($I125,"Computer",_xlfn.XLOOKUP($K125&amp;"",COMPUTER!$B$3:$B$1009&amp;"",COMPUTER!$H$3:$H$1009,""),"Display",_xlfn.XLOOKUP($K125&amp;"",DISPLAY!$B$3:$B$1000&amp;"",DISPLAY!$H$3:$H$1000,""),"Network Device",_xlfn.XLOOKUP($K125&amp;"",'NETWORK-DEVICES'!$B$3:$B$987&amp;"",'NETWORK-DEVICES'!$H$3:$H$987,""),"Peripheral",_xlfn.XLOOKUP($K125&amp;"",PERIPHERAL!$B$3:$B$954&amp;"",PERIPHERAL!$H$3:$H$954,""),"Utilities",_xlfn.XLOOKUP($K125&amp;"",UTILITIES!$B$3:$B$953&amp;"",UTILITIES!$G$3:$G$953,""),"IOT",_xlfn.XLOOKUP($K125&amp;"",IOT!$B$3:$B$1012&amp;"",IOT!$H$3:$H$1012,""),"Server",_xlfn.XLOOKUP($K125&amp;"",SERVER!$B$3:$B$1009&amp;"",SERVER!$H$3:$H$1009,""),""),IF(TRIM(_xlpm.srcCat)&lt;&gt;TRIM($J125),"",_xlfn.SWITCH($I125,"Computer",_xlfn.XLOOKUP($K125&amp;"",COMPUTER!$B$3:$B$1009&amp;"",COMPUTER!$K$3:$K$1009,""),"Display",_xlfn.XLOOKUP($K125&amp;"",DISPLAY!$B$3:$B$1000&amp;"",DISPLAY!$L$3:$L$1000,""),"Network Device",_xlfn.XLOOKUP($K125&amp;"",'NETWORK-DEVICES'!$B$3:$B$987&amp;"",'NETWORK-DEVICES'!$K$3:$K$987,""),"Peripheral",_xlfn.XLOOKUP($K125&amp;"",PERIPHERAL!$B$3:$B$954&amp;"",PERIPHERAL!$K$3:$K$954,""),"Utilities",_xlfn.XLOOKUP($K125&amp;"",UTILITIES!$B$3:$B$953&amp;"",UTILITIES!$J$3:$J$953,""),"IOT",_xlfn.XLOOKUP($K125&amp;"",IOT!$B$3:$B$1012&amp;"",IOT!$K$4:$K$1012,""),"Server",_xlfn.XLOOKUP($K125&amp;"",SERVER!$B$3:$B$1009&amp;"",SERVER!$K$3:$K$1009,""),""))))</f>
        <v/>
      </c>
      <c r="O125" s="1" t="str" cm="1">
        <f t="array" ref="O125">IF(OR($K125="",$I125="",$J125=""),"",_xlfn.LET(_xlpm.srcCat,_xlfn.SWITCH($I125,"Computer",_xlfn.XLOOKUP($K125&amp;"",COMPUTER!$B$3:$B$1009&amp;"",COMPUTER!$H$3:$H$1009,""),"Display",_xlfn.XLOOKUP($K125&amp;"",DISPLAY!$B$3:$B$1000&amp;"",DISPLAY!$H$3:$H$1000,""),"Network Device",_xlfn.XLOOKUP($K125&amp;"",'NETWORK-DEVICES'!$B$3:$B$987&amp;"",'NETWORK-DEVICES'!$H$3:$H$987,""),"Peripheral",_xlfn.XLOOKUP($K125&amp;"",PERIPHERAL!$B$3:$B$954&amp;"",PERIPHERAL!$H$3:$H$954,""),"Utilities",_xlfn.XLOOKUP($K125&amp;"",UTILITIES!$B$3:$B$953&amp;"",UTILITIES!$G$3:$G$953,""),"IOT",_xlfn.XLOOKUP($K125&amp;"",IOT!$B$3:$B$1012&amp;"",IOT!$H$3:$H$1012,""),"Server",_xlfn.XLOOKUP($K125&amp;"",SERVER!$B$3:$B$1009&amp;"",SERVER!$H$3:$H$1009,""),""),IF(TRIM(_xlpm.srcCat)&lt;&gt;TRIM($J125),"",_xlfn.SWITCH($I125,"Computer",_xlfn.XLOOKUP($K125&amp;"",COMPUTER!$B$3:$B$1009&amp;"",COMPUTER!$E$3:$E$1009,""),"Display",_xlfn.XLOOKUP($K125&amp;"",DISPLAY!$B$3:$B$1000&amp;"",DISPLAY!$E$3:$E$1000,""),"Network Device",_xlfn.XLOOKUP($K125&amp;"",'NETWORK-DEVICES'!$B$3:$B$987&amp;"",'NETWORK-DEVICES'!$E$3:$E$987,""),"Peripheral",_xlfn.XLOOKUP($K125&amp;"",PERIPHERAL!$B$3:$B$954&amp;"",PERIPHERAL!$E$3:$E$954,""),"Utilities",_xlfn.XLOOKUP($K125&amp;"",UTILITIES!$B$3:$B$953&amp;"",UTILITIES!$E$3:$E$953,""),"IOT",_xlfn.XLOOKUP($K125&amp;"",IOT!$B$3:$B$1012&amp;"",IOT!$E$3:$E$1012,""),"Server",_xlfn.XLOOKUP($K125&amp;"",SERVER!$B$3:$B$1009&amp;"",SERVER!$E$3:$E$1009,""),""))))</f>
        <v/>
      </c>
      <c r="Q125" s="1" t="str" cm="1">
        <f t="array" ref="Q125">IF(OR($K125="",$I125="",$J125=""),"",_xlfn.LET(_xlpm.srcCat,_xlfn.SWITCH($I125,"Computer",_xlfn.XLOOKUP($K125&amp;"",COMPUTER!$B$3:$B$1009&amp;"",COMPUTER!$H$3:$H$1009,""),"Display",_xlfn.XLOOKUP($K125&amp;"",DISPLAY!$B$3:$B$1000&amp;"",DISPLAY!$H$3:$H$1000,""),"Network Device",_xlfn.XLOOKUP($K125&amp;"",'NETWORK-DEVICES'!$B$3:$B$987&amp;"",'NETWORK-DEVICES'!$H$3:$H$987,""),"Peripheral",_xlfn.XLOOKUP($K125&amp;"",PERIPHERAL!$B$3:$B$954&amp;"",PERIPHERAL!$H$3:$H$954,""),"Utilities",_xlfn.XLOOKUP($K125&amp;"",UTILITIES!$B$3:$B$953&amp;"",UTILITIES!$G$3:$G$953,""),"IOT",_xlfn.XLOOKUP($K125&amp;"",IOT!$B$3:$B$1012&amp;"",IOT!$H$3:$H$1012,""),"Server",_xlfn.XLOOKUP($K125&amp;"",SERVER!$B$3:$B$1009&amp;"",SERVER!$H$3:$H$1009,""),""),IF(TRIM(_xlpm.srcCat)&lt;&gt;TRIM($J125),"",_xlfn.SWITCH($I125,"Computer",_xlfn.XLOOKUP($K125&amp;"",COMPUTER!$B$3:$B$1009&amp;"",COMPUTER!$AM$3:$AM$1009,""),"Display",_xlfn.XLOOKUP($K125&amp;"",DISPLAY!$B$3:$B$1000&amp;"",DISPLAY!$V$3:$V$1000,""),"Network Device",_xlfn.XLOOKUP($K125&amp;"",'NETWORK-DEVICES'!$B$3:$B$987&amp;"",'NETWORK-DEVICES'!$AF$3:$AF$987,""),"Peripheral",_xlfn.XLOOKUP($K125&amp;"",PERIPHERAL!$B$3:$B$954&amp;"",PERIPHERAL!$Y$3:$Y$954,""),"Utilities",_xlfn.XLOOKUP($K125&amp;"",UTILITIES!$B$3:$B$953&amp;"",UTILITIES!$O$3:$O$953,""),"IOT",_xlfn.XLOOKUP($K125&amp;"",IOT!$B$3:$B$1012&amp;"",IOT!$AB$3:$AB$1012,""),"Server",_xlfn.XLOOKUP($K125&amp;"",SERVER!$B$3:$B$1009&amp;"",SERVER!$AB$3:$AB$1009,""),""))))</f>
        <v/>
      </c>
      <c r="R125" s="43" t="str">
        <f>IF(tbl_handover[[#This Row],[Asset Code]]="","",COUNTIF(tbl_handover[Asset Code],tbl_handover[[#This Row],[Asset Code]]))</f>
        <v/>
      </c>
    </row>
    <row r="126" spans="1:18" x14ac:dyDescent="0.25">
      <c r="A126" s="43" t="str">
        <f>IF(B126&lt;&gt;"",SUBTOTAL(3,$B$1:B125),"")</f>
        <v/>
      </c>
      <c r="C126" s="74"/>
      <c r="D126" s="74"/>
      <c r="G126" s="1"/>
      <c r="K126" s="42"/>
      <c r="L126" t="str" cm="1">
        <f t="array" ref="L126">IF($K126="","",_xlfn.SWITCH($I126,"Computer",_xlfn.XLOOKUP($K126&amp;"",COMPUTER!$B$3:$B$1009&amp;"",COMPUTER!$I$3:$I$1009,""),"Display",_xlfn.XLOOKUP($K126&amp;"",DISPLAY!$B$3:$B$1000&amp;"",DISPLAY!$J$3:$J$1000,""),"Network Device",_xlfn.XLOOKUP($K126&amp;"",'NETWORK-DEVICES'!$B$3:$B$987&amp;"",'NETWORK-DEVICES'!$I$3:$I$987,""),"Peripheral",_xlfn.XLOOKUP($K126&amp;"",PERIPHERAL!$B$3:$B$954&amp;"",PERIPHERAL!$I$3:$I$954,""),"Utilities",_xlfn.XLOOKUP($K126&amp;"",UTILITIES!$B$3:$B$953&amp;"",UTILITIES!$H$3:$H$953,""),"IOT",_xlfn.XLOOKUP($K126&amp;"",IOT!$B$3:$B$1012&amp;"",IOT!$I$3:$I$1012,""),"SERVER",_xlfn.XLOOKUP($K126&amp;"",SERVER!$B$3:$B$1009&amp;"",SERVER!$I$3:$I$1009,""),""))</f>
        <v/>
      </c>
      <c r="M126" t="str" cm="1">
        <f t="array" ref="M126">IF($K126="","",_xlfn.SWITCH($I126,"Computer",_xlfn.XLOOKUP($K126&amp;"",COMPUTER!$B$3:$B$1009&amp;"",COMPUTER!$J$3:$J$1009,""),"Display",_xlfn.XLOOKUP($K126&amp;"",DISPLAY!$B$3:$B$1000&amp;"",DISPLAY!$K$3:$K$1000,""),"Network Device",_xlfn.XLOOKUP($K126&amp;"",'NETWORK-DEVICES'!$B$3:$B$987&amp;"",'NETWORK-DEVICES'!$I$3:$I$987,""),"Peripheral",_xlfn.XLOOKUP($K126&amp;"",PERIPHERAL!$B$3:$B$954&amp;"",PERIPHERAL!$J$3:$J$954,""),"Utilities",_xlfn.XLOOKUP($K126&amp;"",UTILITIES!$B$3:$B$953&amp;"",UTILITIES!$I$3:$I$953,""),"IOT",_xlfn.XLOOKUP($K126&amp;"",IOT!$B$3:$B$1012&amp;"",IOT!$J$3:$J$1012,""),"Server",_xlfn.XLOOKUP($K126&amp;"",SERVER!$B$3:$B$1009&amp;"",SERVER!$J$3:$J$1009,""),""))</f>
        <v/>
      </c>
      <c r="N126" s="1" t="str" cm="1">
        <f t="array" ref="N126">IF(OR($K126="",$I126="",$J126=""),"",_xlfn.LET(_xlpm.srcCat,_xlfn.SWITCH($I126,"Computer",_xlfn.XLOOKUP($K126&amp;"",COMPUTER!$B$3:$B$1009&amp;"",COMPUTER!$H$3:$H$1009,""),"Display",_xlfn.XLOOKUP($K126&amp;"",DISPLAY!$B$3:$B$1000&amp;"",DISPLAY!$H$3:$H$1000,""),"Network Device",_xlfn.XLOOKUP($K126&amp;"",'NETWORK-DEVICES'!$B$3:$B$987&amp;"",'NETWORK-DEVICES'!$H$3:$H$987,""),"Peripheral",_xlfn.XLOOKUP($K126&amp;"",PERIPHERAL!$B$3:$B$954&amp;"",PERIPHERAL!$H$3:$H$954,""),"Utilities",_xlfn.XLOOKUP($K126&amp;"",UTILITIES!$B$3:$B$953&amp;"",UTILITIES!$G$3:$G$953,""),"IOT",_xlfn.XLOOKUP($K126&amp;"",IOT!$B$3:$B$1012&amp;"",IOT!$H$3:$H$1012,""),"Server",_xlfn.XLOOKUP($K126&amp;"",SERVER!$B$3:$B$1009&amp;"",SERVER!$H$3:$H$1009,""),""),IF(TRIM(_xlpm.srcCat)&lt;&gt;TRIM($J126),"",_xlfn.SWITCH($I126,"Computer",_xlfn.XLOOKUP($K126&amp;"",COMPUTER!$B$3:$B$1009&amp;"",COMPUTER!$K$3:$K$1009,""),"Display",_xlfn.XLOOKUP($K126&amp;"",DISPLAY!$B$3:$B$1000&amp;"",DISPLAY!$L$3:$L$1000,""),"Network Device",_xlfn.XLOOKUP($K126&amp;"",'NETWORK-DEVICES'!$B$3:$B$987&amp;"",'NETWORK-DEVICES'!$K$3:$K$987,""),"Peripheral",_xlfn.XLOOKUP($K126&amp;"",PERIPHERAL!$B$3:$B$954&amp;"",PERIPHERAL!$K$3:$K$954,""),"Utilities",_xlfn.XLOOKUP($K126&amp;"",UTILITIES!$B$3:$B$953&amp;"",UTILITIES!$J$3:$J$953,""),"IOT",_xlfn.XLOOKUP($K126&amp;"",IOT!$B$3:$B$1012&amp;"",IOT!$K$4:$K$1012,""),"Server",_xlfn.XLOOKUP($K126&amp;"",SERVER!$B$3:$B$1009&amp;"",SERVER!$K$3:$K$1009,""),""))))</f>
        <v/>
      </c>
      <c r="O126" s="1" t="str" cm="1">
        <f t="array" ref="O126">IF(OR($K126="",$I126="",$J126=""),"",_xlfn.LET(_xlpm.srcCat,_xlfn.SWITCH($I126,"Computer",_xlfn.XLOOKUP($K126&amp;"",COMPUTER!$B$3:$B$1009&amp;"",COMPUTER!$H$3:$H$1009,""),"Display",_xlfn.XLOOKUP($K126&amp;"",DISPLAY!$B$3:$B$1000&amp;"",DISPLAY!$H$3:$H$1000,""),"Network Device",_xlfn.XLOOKUP($K126&amp;"",'NETWORK-DEVICES'!$B$3:$B$987&amp;"",'NETWORK-DEVICES'!$H$3:$H$987,""),"Peripheral",_xlfn.XLOOKUP($K126&amp;"",PERIPHERAL!$B$3:$B$954&amp;"",PERIPHERAL!$H$3:$H$954,""),"Utilities",_xlfn.XLOOKUP($K126&amp;"",UTILITIES!$B$3:$B$953&amp;"",UTILITIES!$G$3:$G$953,""),"IOT",_xlfn.XLOOKUP($K126&amp;"",IOT!$B$3:$B$1012&amp;"",IOT!$H$3:$H$1012,""),"Server",_xlfn.XLOOKUP($K126&amp;"",SERVER!$B$3:$B$1009&amp;"",SERVER!$H$3:$H$1009,""),""),IF(TRIM(_xlpm.srcCat)&lt;&gt;TRIM($J126),"",_xlfn.SWITCH($I126,"Computer",_xlfn.XLOOKUP($K126&amp;"",COMPUTER!$B$3:$B$1009&amp;"",COMPUTER!$E$3:$E$1009,""),"Display",_xlfn.XLOOKUP($K126&amp;"",DISPLAY!$B$3:$B$1000&amp;"",DISPLAY!$E$3:$E$1000,""),"Network Device",_xlfn.XLOOKUP($K126&amp;"",'NETWORK-DEVICES'!$B$3:$B$987&amp;"",'NETWORK-DEVICES'!$E$3:$E$987,""),"Peripheral",_xlfn.XLOOKUP($K126&amp;"",PERIPHERAL!$B$3:$B$954&amp;"",PERIPHERAL!$E$3:$E$954,""),"Utilities",_xlfn.XLOOKUP($K126&amp;"",UTILITIES!$B$3:$B$953&amp;"",UTILITIES!$E$3:$E$953,""),"IOT",_xlfn.XLOOKUP($K126&amp;"",IOT!$B$3:$B$1012&amp;"",IOT!$E$3:$E$1012,""),"Server",_xlfn.XLOOKUP($K126&amp;"",SERVER!$B$3:$B$1009&amp;"",SERVER!$E$3:$E$1009,""),""))))</f>
        <v/>
      </c>
      <c r="Q126" s="1" t="str" cm="1">
        <f t="array" ref="Q126">IF(OR($K126="",$I126="",$J126=""),"",_xlfn.LET(_xlpm.srcCat,_xlfn.SWITCH($I126,"Computer",_xlfn.XLOOKUP($K126&amp;"",COMPUTER!$B$3:$B$1009&amp;"",COMPUTER!$H$3:$H$1009,""),"Display",_xlfn.XLOOKUP($K126&amp;"",DISPLAY!$B$3:$B$1000&amp;"",DISPLAY!$H$3:$H$1000,""),"Network Device",_xlfn.XLOOKUP($K126&amp;"",'NETWORK-DEVICES'!$B$3:$B$987&amp;"",'NETWORK-DEVICES'!$H$3:$H$987,""),"Peripheral",_xlfn.XLOOKUP($K126&amp;"",PERIPHERAL!$B$3:$B$954&amp;"",PERIPHERAL!$H$3:$H$954,""),"Utilities",_xlfn.XLOOKUP($K126&amp;"",UTILITIES!$B$3:$B$953&amp;"",UTILITIES!$G$3:$G$953,""),"IOT",_xlfn.XLOOKUP($K126&amp;"",IOT!$B$3:$B$1012&amp;"",IOT!$H$3:$H$1012,""),"Server",_xlfn.XLOOKUP($K126&amp;"",SERVER!$B$3:$B$1009&amp;"",SERVER!$H$3:$H$1009,""),""),IF(TRIM(_xlpm.srcCat)&lt;&gt;TRIM($J126),"",_xlfn.SWITCH($I126,"Computer",_xlfn.XLOOKUP($K126&amp;"",COMPUTER!$B$3:$B$1009&amp;"",COMPUTER!$AM$3:$AM$1009,""),"Display",_xlfn.XLOOKUP($K126&amp;"",DISPLAY!$B$3:$B$1000&amp;"",DISPLAY!$V$3:$V$1000,""),"Network Device",_xlfn.XLOOKUP($K126&amp;"",'NETWORK-DEVICES'!$B$3:$B$987&amp;"",'NETWORK-DEVICES'!$AF$3:$AF$987,""),"Peripheral",_xlfn.XLOOKUP($K126&amp;"",PERIPHERAL!$B$3:$B$954&amp;"",PERIPHERAL!$Y$3:$Y$954,""),"Utilities",_xlfn.XLOOKUP($K126&amp;"",UTILITIES!$B$3:$B$953&amp;"",UTILITIES!$O$3:$O$953,""),"IOT",_xlfn.XLOOKUP($K126&amp;"",IOT!$B$3:$B$1012&amp;"",IOT!$AB$3:$AB$1012,""),"Server",_xlfn.XLOOKUP($K126&amp;"",SERVER!$B$3:$B$1009&amp;"",SERVER!$AB$3:$AB$1009,""),""))))</f>
        <v/>
      </c>
      <c r="R126" s="43" t="str">
        <f>IF(tbl_handover[[#This Row],[Asset Code]]="","",COUNTIF(tbl_handover[Asset Code],tbl_handover[[#This Row],[Asset Code]]))</f>
        <v/>
      </c>
    </row>
    <row r="127" spans="1:18" x14ac:dyDescent="0.25">
      <c r="A127" s="43" t="str">
        <f>IF(B127&lt;&gt;"",SUBTOTAL(3,$B$1:B126),"")</f>
        <v/>
      </c>
      <c r="C127" s="74"/>
      <c r="D127" s="74"/>
      <c r="G127" s="1"/>
      <c r="K127" s="42"/>
      <c r="L127" t="str" cm="1">
        <f t="array" ref="L127">IF($K127="","",_xlfn.SWITCH($I127,"Computer",_xlfn.XLOOKUP($K127&amp;"",COMPUTER!$B$3:$B$1009&amp;"",COMPUTER!$I$3:$I$1009,""),"Display",_xlfn.XLOOKUP($K127&amp;"",DISPLAY!$B$3:$B$1000&amp;"",DISPLAY!$J$3:$J$1000,""),"Network Device",_xlfn.XLOOKUP($K127&amp;"",'NETWORK-DEVICES'!$B$3:$B$987&amp;"",'NETWORK-DEVICES'!$I$3:$I$987,""),"Peripheral",_xlfn.XLOOKUP($K127&amp;"",PERIPHERAL!$B$3:$B$954&amp;"",PERIPHERAL!$I$3:$I$954,""),"Utilities",_xlfn.XLOOKUP($K127&amp;"",UTILITIES!$B$3:$B$953&amp;"",UTILITIES!$H$3:$H$953,""),"IOT",_xlfn.XLOOKUP($K127&amp;"",IOT!$B$3:$B$1012&amp;"",IOT!$I$3:$I$1012,""),"SERVER",_xlfn.XLOOKUP($K127&amp;"",SERVER!$B$3:$B$1009&amp;"",SERVER!$I$3:$I$1009,""),""))</f>
        <v/>
      </c>
      <c r="M127" t="str" cm="1">
        <f t="array" ref="M127">IF($K127="","",_xlfn.SWITCH($I127,"Computer",_xlfn.XLOOKUP($K127&amp;"",COMPUTER!$B$3:$B$1009&amp;"",COMPUTER!$J$3:$J$1009,""),"Display",_xlfn.XLOOKUP($K127&amp;"",DISPLAY!$B$3:$B$1000&amp;"",DISPLAY!$K$3:$K$1000,""),"Network Device",_xlfn.XLOOKUP($K127&amp;"",'NETWORK-DEVICES'!$B$3:$B$987&amp;"",'NETWORK-DEVICES'!$I$3:$I$987,""),"Peripheral",_xlfn.XLOOKUP($K127&amp;"",PERIPHERAL!$B$3:$B$954&amp;"",PERIPHERAL!$J$3:$J$954,""),"Utilities",_xlfn.XLOOKUP($K127&amp;"",UTILITIES!$B$3:$B$953&amp;"",UTILITIES!$I$3:$I$953,""),"IOT",_xlfn.XLOOKUP($K127&amp;"",IOT!$B$3:$B$1012&amp;"",IOT!$J$3:$J$1012,""),"Server",_xlfn.XLOOKUP($K127&amp;"",SERVER!$B$3:$B$1009&amp;"",SERVER!$J$3:$J$1009,""),""))</f>
        <v/>
      </c>
      <c r="N127" s="1" t="str" cm="1">
        <f t="array" ref="N127">IF(OR($K127="",$I127="",$J127=""),"",_xlfn.LET(_xlpm.srcCat,_xlfn.SWITCH($I127,"Computer",_xlfn.XLOOKUP($K127&amp;"",COMPUTER!$B$3:$B$1009&amp;"",COMPUTER!$H$3:$H$1009,""),"Display",_xlfn.XLOOKUP($K127&amp;"",DISPLAY!$B$3:$B$1000&amp;"",DISPLAY!$H$3:$H$1000,""),"Network Device",_xlfn.XLOOKUP($K127&amp;"",'NETWORK-DEVICES'!$B$3:$B$987&amp;"",'NETWORK-DEVICES'!$H$3:$H$987,""),"Peripheral",_xlfn.XLOOKUP($K127&amp;"",PERIPHERAL!$B$3:$B$954&amp;"",PERIPHERAL!$H$3:$H$954,""),"Utilities",_xlfn.XLOOKUP($K127&amp;"",UTILITIES!$B$3:$B$953&amp;"",UTILITIES!$G$3:$G$953,""),"IOT",_xlfn.XLOOKUP($K127&amp;"",IOT!$B$3:$B$1012&amp;"",IOT!$H$3:$H$1012,""),"Server",_xlfn.XLOOKUP($K127&amp;"",SERVER!$B$3:$B$1009&amp;"",SERVER!$H$3:$H$1009,""),""),IF(TRIM(_xlpm.srcCat)&lt;&gt;TRIM($J127),"",_xlfn.SWITCH($I127,"Computer",_xlfn.XLOOKUP($K127&amp;"",COMPUTER!$B$3:$B$1009&amp;"",COMPUTER!$K$3:$K$1009,""),"Display",_xlfn.XLOOKUP($K127&amp;"",DISPLAY!$B$3:$B$1000&amp;"",DISPLAY!$L$3:$L$1000,""),"Network Device",_xlfn.XLOOKUP($K127&amp;"",'NETWORK-DEVICES'!$B$3:$B$987&amp;"",'NETWORK-DEVICES'!$K$3:$K$987,""),"Peripheral",_xlfn.XLOOKUP($K127&amp;"",PERIPHERAL!$B$3:$B$954&amp;"",PERIPHERAL!$K$3:$K$954,""),"Utilities",_xlfn.XLOOKUP($K127&amp;"",UTILITIES!$B$3:$B$953&amp;"",UTILITIES!$J$3:$J$953,""),"IOT",_xlfn.XLOOKUP($K127&amp;"",IOT!$B$3:$B$1012&amp;"",IOT!$K$4:$K$1012,""),"Server",_xlfn.XLOOKUP($K127&amp;"",SERVER!$B$3:$B$1009&amp;"",SERVER!$K$3:$K$1009,""),""))))</f>
        <v/>
      </c>
      <c r="O127" s="1" t="str" cm="1">
        <f t="array" ref="O127">IF(OR($K127="",$I127="",$J127=""),"",_xlfn.LET(_xlpm.srcCat,_xlfn.SWITCH($I127,"Computer",_xlfn.XLOOKUP($K127&amp;"",COMPUTER!$B$3:$B$1009&amp;"",COMPUTER!$H$3:$H$1009,""),"Display",_xlfn.XLOOKUP($K127&amp;"",DISPLAY!$B$3:$B$1000&amp;"",DISPLAY!$H$3:$H$1000,""),"Network Device",_xlfn.XLOOKUP($K127&amp;"",'NETWORK-DEVICES'!$B$3:$B$987&amp;"",'NETWORK-DEVICES'!$H$3:$H$987,""),"Peripheral",_xlfn.XLOOKUP($K127&amp;"",PERIPHERAL!$B$3:$B$954&amp;"",PERIPHERAL!$H$3:$H$954,""),"Utilities",_xlfn.XLOOKUP($K127&amp;"",UTILITIES!$B$3:$B$953&amp;"",UTILITIES!$G$3:$G$953,""),"IOT",_xlfn.XLOOKUP($K127&amp;"",IOT!$B$3:$B$1012&amp;"",IOT!$H$3:$H$1012,""),"Server",_xlfn.XLOOKUP($K127&amp;"",SERVER!$B$3:$B$1009&amp;"",SERVER!$H$3:$H$1009,""),""),IF(TRIM(_xlpm.srcCat)&lt;&gt;TRIM($J127),"",_xlfn.SWITCH($I127,"Computer",_xlfn.XLOOKUP($K127&amp;"",COMPUTER!$B$3:$B$1009&amp;"",COMPUTER!$E$3:$E$1009,""),"Display",_xlfn.XLOOKUP($K127&amp;"",DISPLAY!$B$3:$B$1000&amp;"",DISPLAY!$E$3:$E$1000,""),"Network Device",_xlfn.XLOOKUP($K127&amp;"",'NETWORK-DEVICES'!$B$3:$B$987&amp;"",'NETWORK-DEVICES'!$E$3:$E$987,""),"Peripheral",_xlfn.XLOOKUP($K127&amp;"",PERIPHERAL!$B$3:$B$954&amp;"",PERIPHERAL!$E$3:$E$954,""),"Utilities",_xlfn.XLOOKUP($K127&amp;"",UTILITIES!$B$3:$B$953&amp;"",UTILITIES!$E$3:$E$953,""),"IOT",_xlfn.XLOOKUP($K127&amp;"",IOT!$B$3:$B$1012&amp;"",IOT!$E$3:$E$1012,""),"Server",_xlfn.XLOOKUP($K127&amp;"",SERVER!$B$3:$B$1009&amp;"",SERVER!$E$3:$E$1009,""),""))))</f>
        <v/>
      </c>
      <c r="Q127" s="1" t="str" cm="1">
        <f t="array" ref="Q127">IF(OR($K127="",$I127="",$J127=""),"",_xlfn.LET(_xlpm.srcCat,_xlfn.SWITCH($I127,"Computer",_xlfn.XLOOKUP($K127&amp;"",COMPUTER!$B$3:$B$1009&amp;"",COMPUTER!$H$3:$H$1009,""),"Display",_xlfn.XLOOKUP($K127&amp;"",DISPLAY!$B$3:$B$1000&amp;"",DISPLAY!$H$3:$H$1000,""),"Network Device",_xlfn.XLOOKUP($K127&amp;"",'NETWORK-DEVICES'!$B$3:$B$987&amp;"",'NETWORK-DEVICES'!$H$3:$H$987,""),"Peripheral",_xlfn.XLOOKUP($K127&amp;"",PERIPHERAL!$B$3:$B$954&amp;"",PERIPHERAL!$H$3:$H$954,""),"Utilities",_xlfn.XLOOKUP($K127&amp;"",UTILITIES!$B$3:$B$953&amp;"",UTILITIES!$G$3:$G$953,""),"IOT",_xlfn.XLOOKUP($K127&amp;"",IOT!$B$3:$B$1012&amp;"",IOT!$H$3:$H$1012,""),"Server",_xlfn.XLOOKUP($K127&amp;"",SERVER!$B$3:$B$1009&amp;"",SERVER!$H$3:$H$1009,""),""),IF(TRIM(_xlpm.srcCat)&lt;&gt;TRIM($J127),"",_xlfn.SWITCH($I127,"Computer",_xlfn.XLOOKUP($K127&amp;"",COMPUTER!$B$3:$B$1009&amp;"",COMPUTER!$AM$3:$AM$1009,""),"Display",_xlfn.XLOOKUP($K127&amp;"",DISPLAY!$B$3:$B$1000&amp;"",DISPLAY!$V$3:$V$1000,""),"Network Device",_xlfn.XLOOKUP($K127&amp;"",'NETWORK-DEVICES'!$B$3:$B$987&amp;"",'NETWORK-DEVICES'!$AF$3:$AF$987,""),"Peripheral",_xlfn.XLOOKUP($K127&amp;"",PERIPHERAL!$B$3:$B$954&amp;"",PERIPHERAL!$Y$3:$Y$954,""),"Utilities",_xlfn.XLOOKUP($K127&amp;"",UTILITIES!$B$3:$B$953&amp;"",UTILITIES!$O$3:$O$953,""),"IOT",_xlfn.XLOOKUP($K127&amp;"",IOT!$B$3:$B$1012&amp;"",IOT!$AB$3:$AB$1012,""),"Server",_xlfn.XLOOKUP($K127&amp;"",SERVER!$B$3:$B$1009&amp;"",SERVER!$AB$3:$AB$1009,""),""))))</f>
        <v/>
      </c>
      <c r="R127" s="43" t="str">
        <f>IF(tbl_handover[[#This Row],[Asset Code]]="","",COUNTIF(tbl_handover[Asset Code],tbl_handover[[#This Row],[Asset Code]]))</f>
        <v/>
      </c>
    </row>
    <row r="128" spans="1:18" x14ac:dyDescent="0.25">
      <c r="A128" s="43" t="str">
        <f>IF(B128&lt;&gt;"",SUBTOTAL(3,$B$1:B127),"")</f>
        <v/>
      </c>
      <c r="C128" s="74"/>
      <c r="D128" s="74"/>
      <c r="G128" s="1"/>
      <c r="K128" s="42"/>
      <c r="L128" t="str" cm="1">
        <f t="array" ref="L128">IF($K128="","",_xlfn.SWITCH($I128,"Computer",_xlfn.XLOOKUP($K128&amp;"",COMPUTER!$B$3:$B$1009&amp;"",COMPUTER!$I$3:$I$1009,""),"Display",_xlfn.XLOOKUP($K128&amp;"",DISPLAY!$B$3:$B$1000&amp;"",DISPLAY!$J$3:$J$1000,""),"Network Device",_xlfn.XLOOKUP($K128&amp;"",'NETWORK-DEVICES'!$B$3:$B$987&amp;"",'NETWORK-DEVICES'!$I$3:$I$987,""),"Peripheral",_xlfn.XLOOKUP($K128&amp;"",PERIPHERAL!$B$3:$B$954&amp;"",PERIPHERAL!$I$3:$I$954,""),"Utilities",_xlfn.XLOOKUP($K128&amp;"",UTILITIES!$B$3:$B$953&amp;"",UTILITIES!$H$3:$H$953,""),"IOT",_xlfn.XLOOKUP($K128&amp;"",IOT!$B$3:$B$1012&amp;"",IOT!$I$3:$I$1012,""),"SERVER",_xlfn.XLOOKUP($K128&amp;"",SERVER!$B$3:$B$1009&amp;"",SERVER!$I$3:$I$1009,""),""))</f>
        <v/>
      </c>
      <c r="M128" t="str" cm="1">
        <f t="array" ref="M128">IF($K128="","",_xlfn.SWITCH($I128,"Computer",_xlfn.XLOOKUP($K128&amp;"",COMPUTER!$B$3:$B$1009&amp;"",COMPUTER!$J$3:$J$1009,""),"Display",_xlfn.XLOOKUP($K128&amp;"",DISPLAY!$B$3:$B$1000&amp;"",DISPLAY!$K$3:$K$1000,""),"Network Device",_xlfn.XLOOKUP($K128&amp;"",'NETWORK-DEVICES'!$B$3:$B$987&amp;"",'NETWORK-DEVICES'!$I$3:$I$987,""),"Peripheral",_xlfn.XLOOKUP($K128&amp;"",PERIPHERAL!$B$3:$B$954&amp;"",PERIPHERAL!$J$3:$J$954,""),"Utilities",_xlfn.XLOOKUP($K128&amp;"",UTILITIES!$B$3:$B$953&amp;"",UTILITIES!$I$3:$I$953,""),"IOT",_xlfn.XLOOKUP($K128&amp;"",IOT!$B$3:$B$1012&amp;"",IOT!$J$3:$J$1012,""),"Server",_xlfn.XLOOKUP($K128&amp;"",SERVER!$B$3:$B$1009&amp;"",SERVER!$J$3:$J$1009,""),""))</f>
        <v/>
      </c>
      <c r="N128" s="1" t="str" cm="1">
        <f t="array" ref="N128">IF(OR($K128="",$I128="",$J128=""),"",_xlfn.LET(_xlpm.srcCat,_xlfn.SWITCH($I128,"Computer",_xlfn.XLOOKUP($K128&amp;"",COMPUTER!$B$3:$B$1009&amp;"",COMPUTER!$H$3:$H$1009,""),"Display",_xlfn.XLOOKUP($K128&amp;"",DISPLAY!$B$3:$B$1000&amp;"",DISPLAY!$H$3:$H$1000,""),"Network Device",_xlfn.XLOOKUP($K128&amp;"",'NETWORK-DEVICES'!$B$3:$B$987&amp;"",'NETWORK-DEVICES'!$H$3:$H$987,""),"Peripheral",_xlfn.XLOOKUP($K128&amp;"",PERIPHERAL!$B$3:$B$954&amp;"",PERIPHERAL!$H$3:$H$954,""),"Utilities",_xlfn.XLOOKUP($K128&amp;"",UTILITIES!$B$3:$B$953&amp;"",UTILITIES!$G$3:$G$953,""),"IOT",_xlfn.XLOOKUP($K128&amp;"",IOT!$B$3:$B$1012&amp;"",IOT!$H$3:$H$1012,""),"Server",_xlfn.XLOOKUP($K128&amp;"",SERVER!$B$3:$B$1009&amp;"",SERVER!$H$3:$H$1009,""),""),IF(TRIM(_xlpm.srcCat)&lt;&gt;TRIM($J128),"",_xlfn.SWITCH($I128,"Computer",_xlfn.XLOOKUP($K128&amp;"",COMPUTER!$B$3:$B$1009&amp;"",COMPUTER!$K$3:$K$1009,""),"Display",_xlfn.XLOOKUP($K128&amp;"",DISPLAY!$B$3:$B$1000&amp;"",DISPLAY!$L$3:$L$1000,""),"Network Device",_xlfn.XLOOKUP($K128&amp;"",'NETWORK-DEVICES'!$B$3:$B$987&amp;"",'NETWORK-DEVICES'!$K$3:$K$987,""),"Peripheral",_xlfn.XLOOKUP($K128&amp;"",PERIPHERAL!$B$3:$B$954&amp;"",PERIPHERAL!$K$3:$K$954,""),"Utilities",_xlfn.XLOOKUP($K128&amp;"",UTILITIES!$B$3:$B$953&amp;"",UTILITIES!$J$3:$J$953,""),"IOT",_xlfn.XLOOKUP($K128&amp;"",IOT!$B$3:$B$1012&amp;"",IOT!$K$4:$K$1012,""),"Server",_xlfn.XLOOKUP($K128&amp;"",SERVER!$B$3:$B$1009&amp;"",SERVER!$K$3:$K$1009,""),""))))</f>
        <v/>
      </c>
      <c r="O128" s="1" t="str" cm="1">
        <f t="array" ref="O128">IF(OR($K128="",$I128="",$J128=""),"",_xlfn.LET(_xlpm.srcCat,_xlfn.SWITCH($I128,"Computer",_xlfn.XLOOKUP($K128&amp;"",COMPUTER!$B$3:$B$1009&amp;"",COMPUTER!$H$3:$H$1009,""),"Display",_xlfn.XLOOKUP($K128&amp;"",DISPLAY!$B$3:$B$1000&amp;"",DISPLAY!$H$3:$H$1000,""),"Network Device",_xlfn.XLOOKUP($K128&amp;"",'NETWORK-DEVICES'!$B$3:$B$987&amp;"",'NETWORK-DEVICES'!$H$3:$H$987,""),"Peripheral",_xlfn.XLOOKUP($K128&amp;"",PERIPHERAL!$B$3:$B$954&amp;"",PERIPHERAL!$H$3:$H$954,""),"Utilities",_xlfn.XLOOKUP($K128&amp;"",UTILITIES!$B$3:$B$953&amp;"",UTILITIES!$G$3:$G$953,""),"IOT",_xlfn.XLOOKUP($K128&amp;"",IOT!$B$3:$B$1012&amp;"",IOT!$H$3:$H$1012,""),"Server",_xlfn.XLOOKUP($K128&amp;"",SERVER!$B$3:$B$1009&amp;"",SERVER!$H$3:$H$1009,""),""),IF(TRIM(_xlpm.srcCat)&lt;&gt;TRIM($J128),"",_xlfn.SWITCH($I128,"Computer",_xlfn.XLOOKUP($K128&amp;"",COMPUTER!$B$3:$B$1009&amp;"",COMPUTER!$E$3:$E$1009,""),"Display",_xlfn.XLOOKUP($K128&amp;"",DISPLAY!$B$3:$B$1000&amp;"",DISPLAY!$E$3:$E$1000,""),"Network Device",_xlfn.XLOOKUP($K128&amp;"",'NETWORK-DEVICES'!$B$3:$B$987&amp;"",'NETWORK-DEVICES'!$E$3:$E$987,""),"Peripheral",_xlfn.XLOOKUP($K128&amp;"",PERIPHERAL!$B$3:$B$954&amp;"",PERIPHERAL!$E$3:$E$954,""),"Utilities",_xlfn.XLOOKUP($K128&amp;"",UTILITIES!$B$3:$B$953&amp;"",UTILITIES!$E$3:$E$953,""),"IOT",_xlfn.XLOOKUP($K128&amp;"",IOT!$B$3:$B$1012&amp;"",IOT!$E$3:$E$1012,""),"Server",_xlfn.XLOOKUP($K128&amp;"",SERVER!$B$3:$B$1009&amp;"",SERVER!$E$3:$E$1009,""),""))))</f>
        <v/>
      </c>
      <c r="Q128" s="1" t="str" cm="1">
        <f t="array" ref="Q128">IF(OR($K128="",$I128="",$J128=""),"",_xlfn.LET(_xlpm.srcCat,_xlfn.SWITCH($I128,"Computer",_xlfn.XLOOKUP($K128&amp;"",COMPUTER!$B$3:$B$1009&amp;"",COMPUTER!$H$3:$H$1009,""),"Display",_xlfn.XLOOKUP($K128&amp;"",DISPLAY!$B$3:$B$1000&amp;"",DISPLAY!$H$3:$H$1000,""),"Network Device",_xlfn.XLOOKUP($K128&amp;"",'NETWORK-DEVICES'!$B$3:$B$987&amp;"",'NETWORK-DEVICES'!$H$3:$H$987,""),"Peripheral",_xlfn.XLOOKUP($K128&amp;"",PERIPHERAL!$B$3:$B$954&amp;"",PERIPHERAL!$H$3:$H$954,""),"Utilities",_xlfn.XLOOKUP($K128&amp;"",UTILITIES!$B$3:$B$953&amp;"",UTILITIES!$G$3:$G$953,""),"IOT",_xlfn.XLOOKUP($K128&amp;"",IOT!$B$3:$B$1012&amp;"",IOT!$H$3:$H$1012,""),"Server",_xlfn.XLOOKUP($K128&amp;"",SERVER!$B$3:$B$1009&amp;"",SERVER!$H$3:$H$1009,""),""),IF(TRIM(_xlpm.srcCat)&lt;&gt;TRIM($J128),"",_xlfn.SWITCH($I128,"Computer",_xlfn.XLOOKUP($K128&amp;"",COMPUTER!$B$3:$B$1009&amp;"",COMPUTER!$AM$3:$AM$1009,""),"Display",_xlfn.XLOOKUP($K128&amp;"",DISPLAY!$B$3:$B$1000&amp;"",DISPLAY!$V$3:$V$1000,""),"Network Device",_xlfn.XLOOKUP($K128&amp;"",'NETWORK-DEVICES'!$B$3:$B$987&amp;"",'NETWORK-DEVICES'!$AF$3:$AF$987,""),"Peripheral",_xlfn.XLOOKUP($K128&amp;"",PERIPHERAL!$B$3:$B$954&amp;"",PERIPHERAL!$Y$3:$Y$954,""),"Utilities",_xlfn.XLOOKUP($K128&amp;"",UTILITIES!$B$3:$B$953&amp;"",UTILITIES!$O$3:$O$953,""),"IOT",_xlfn.XLOOKUP($K128&amp;"",IOT!$B$3:$B$1012&amp;"",IOT!$AB$3:$AB$1012,""),"Server",_xlfn.XLOOKUP($K128&amp;"",SERVER!$B$3:$B$1009&amp;"",SERVER!$AB$3:$AB$1009,""),""))))</f>
        <v/>
      </c>
      <c r="R128" s="43" t="str">
        <f>IF(tbl_handover[[#This Row],[Asset Code]]="","",COUNTIF(tbl_handover[Asset Code],tbl_handover[[#This Row],[Asset Code]]))</f>
        <v/>
      </c>
    </row>
    <row r="129" spans="1:18" x14ac:dyDescent="0.25">
      <c r="A129" s="43" t="str">
        <f>IF(B129&lt;&gt;"",SUBTOTAL(3,$B$1:B128),"")</f>
        <v/>
      </c>
      <c r="C129" s="74"/>
      <c r="D129" s="74"/>
      <c r="G129" s="1"/>
      <c r="K129" s="42"/>
      <c r="L129" t="str" cm="1">
        <f t="array" ref="L129">IF($K129="","",_xlfn.SWITCH($I129,"Computer",_xlfn.XLOOKUP($K129&amp;"",COMPUTER!$B$3:$B$1009&amp;"",COMPUTER!$I$3:$I$1009,""),"Display",_xlfn.XLOOKUP($K129&amp;"",DISPLAY!$B$3:$B$1000&amp;"",DISPLAY!$J$3:$J$1000,""),"Network Device",_xlfn.XLOOKUP($K129&amp;"",'NETWORK-DEVICES'!$B$3:$B$987&amp;"",'NETWORK-DEVICES'!$I$3:$I$987,""),"Peripheral",_xlfn.XLOOKUP($K129&amp;"",PERIPHERAL!$B$3:$B$954&amp;"",PERIPHERAL!$I$3:$I$954,""),"Utilities",_xlfn.XLOOKUP($K129&amp;"",UTILITIES!$B$3:$B$953&amp;"",UTILITIES!$H$3:$H$953,""),"IOT",_xlfn.XLOOKUP($K129&amp;"",IOT!$B$3:$B$1012&amp;"",IOT!$I$3:$I$1012,""),"SERVER",_xlfn.XLOOKUP($K129&amp;"",SERVER!$B$3:$B$1009&amp;"",SERVER!$I$3:$I$1009,""),""))</f>
        <v/>
      </c>
      <c r="M129" t="str" cm="1">
        <f t="array" ref="M129">IF($K129="","",_xlfn.SWITCH($I129,"Computer",_xlfn.XLOOKUP($K129&amp;"",COMPUTER!$B$3:$B$1009&amp;"",COMPUTER!$J$3:$J$1009,""),"Display",_xlfn.XLOOKUP($K129&amp;"",DISPLAY!$B$3:$B$1000&amp;"",DISPLAY!$K$3:$K$1000,""),"Network Device",_xlfn.XLOOKUP($K129&amp;"",'NETWORK-DEVICES'!$B$3:$B$987&amp;"",'NETWORK-DEVICES'!$I$3:$I$987,""),"Peripheral",_xlfn.XLOOKUP($K129&amp;"",PERIPHERAL!$B$3:$B$954&amp;"",PERIPHERAL!$J$3:$J$954,""),"Utilities",_xlfn.XLOOKUP($K129&amp;"",UTILITIES!$B$3:$B$953&amp;"",UTILITIES!$I$3:$I$953,""),"IOT",_xlfn.XLOOKUP($K129&amp;"",IOT!$B$3:$B$1012&amp;"",IOT!$J$3:$J$1012,""),"Server",_xlfn.XLOOKUP($K129&amp;"",SERVER!$B$3:$B$1009&amp;"",SERVER!$J$3:$J$1009,""),""))</f>
        <v/>
      </c>
      <c r="N129" s="1" t="str" cm="1">
        <f t="array" ref="N129">IF(OR($K129="",$I129="",$J129=""),"",_xlfn.LET(_xlpm.srcCat,_xlfn.SWITCH($I129,"Computer",_xlfn.XLOOKUP($K129&amp;"",COMPUTER!$B$3:$B$1009&amp;"",COMPUTER!$H$3:$H$1009,""),"Display",_xlfn.XLOOKUP($K129&amp;"",DISPLAY!$B$3:$B$1000&amp;"",DISPLAY!$H$3:$H$1000,""),"Network Device",_xlfn.XLOOKUP($K129&amp;"",'NETWORK-DEVICES'!$B$3:$B$987&amp;"",'NETWORK-DEVICES'!$H$3:$H$987,""),"Peripheral",_xlfn.XLOOKUP($K129&amp;"",PERIPHERAL!$B$3:$B$954&amp;"",PERIPHERAL!$H$3:$H$954,""),"Utilities",_xlfn.XLOOKUP($K129&amp;"",UTILITIES!$B$3:$B$953&amp;"",UTILITIES!$G$3:$G$953,""),"IOT",_xlfn.XLOOKUP($K129&amp;"",IOT!$B$3:$B$1012&amp;"",IOT!$H$3:$H$1012,""),"Server",_xlfn.XLOOKUP($K129&amp;"",SERVER!$B$3:$B$1009&amp;"",SERVER!$H$3:$H$1009,""),""),IF(TRIM(_xlpm.srcCat)&lt;&gt;TRIM($J129),"",_xlfn.SWITCH($I129,"Computer",_xlfn.XLOOKUP($K129&amp;"",COMPUTER!$B$3:$B$1009&amp;"",COMPUTER!$K$3:$K$1009,""),"Display",_xlfn.XLOOKUP($K129&amp;"",DISPLAY!$B$3:$B$1000&amp;"",DISPLAY!$L$3:$L$1000,""),"Network Device",_xlfn.XLOOKUP($K129&amp;"",'NETWORK-DEVICES'!$B$3:$B$987&amp;"",'NETWORK-DEVICES'!$K$3:$K$987,""),"Peripheral",_xlfn.XLOOKUP($K129&amp;"",PERIPHERAL!$B$3:$B$954&amp;"",PERIPHERAL!$K$3:$K$954,""),"Utilities",_xlfn.XLOOKUP($K129&amp;"",UTILITIES!$B$3:$B$953&amp;"",UTILITIES!$J$3:$J$953,""),"IOT",_xlfn.XLOOKUP($K129&amp;"",IOT!$B$3:$B$1012&amp;"",IOT!$K$4:$K$1012,""),"Server",_xlfn.XLOOKUP($K129&amp;"",SERVER!$B$3:$B$1009&amp;"",SERVER!$K$3:$K$1009,""),""))))</f>
        <v/>
      </c>
      <c r="O129" s="1" t="str" cm="1">
        <f t="array" ref="O129">IF(OR($K129="",$I129="",$J129=""),"",_xlfn.LET(_xlpm.srcCat,_xlfn.SWITCH($I129,"Computer",_xlfn.XLOOKUP($K129&amp;"",COMPUTER!$B$3:$B$1009&amp;"",COMPUTER!$H$3:$H$1009,""),"Display",_xlfn.XLOOKUP($K129&amp;"",DISPLAY!$B$3:$B$1000&amp;"",DISPLAY!$H$3:$H$1000,""),"Network Device",_xlfn.XLOOKUP($K129&amp;"",'NETWORK-DEVICES'!$B$3:$B$987&amp;"",'NETWORK-DEVICES'!$H$3:$H$987,""),"Peripheral",_xlfn.XLOOKUP($K129&amp;"",PERIPHERAL!$B$3:$B$954&amp;"",PERIPHERAL!$H$3:$H$954,""),"Utilities",_xlfn.XLOOKUP($K129&amp;"",UTILITIES!$B$3:$B$953&amp;"",UTILITIES!$G$3:$G$953,""),"IOT",_xlfn.XLOOKUP($K129&amp;"",IOT!$B$3:$B$1012&amp;"",IOT!$H$3:$H$1012,""),"Server",_xlfn.XLOOKUP($K129&amp;"",SERVER!$B$3:$B$1009&amp;"",SERVER!$H$3:$H$1009,""),""),IF(TRIM(_xlpm.srcCat)&lt;&gt;TRIM($J129),"",_xlfn.SWITCH($I129,"Computer",_xlfn.XLOOKUP($K129&amp;"",COMPUTER!$B$3:$B$1009&amp;"",COMPUTER!$E$3:$E$1009,""),"Display",_xlfn.XLOOKUP($K129&amp;"",DISPLAY!$B$3:$B$1000&amp;"",DISPLAY!$E$3:$E$1000,""),"Network Device",_xlfn.XLOOKUP($K129&amp;"",'NETWORK-DEVICES'!$B$3:$B$987&amp;"",'NETWORK-DEVICES'!$E$3:$E$987,""),"Peripheral",_xlfn.XLOOKUP($K129&amp;"",PERIPHERAL!$B$3:$B$954&amp;"",PERIPHERAL!$E$3:$E$954,""),"Utilities",_xlfn.XLOOKUP($K129&amp;"",UTILITIES!$B$3:$B$953&amp;"",UTILITIES!$E$3:$E$953,""),"IOT",_xlfn.XLOOKUP($K129&amp;"",IOT!$B$3:$B$1012&amp;"",IOT!$E$3:$E$1012,""),"Server",_xlfn.XLOOKUP($K129&amp;"",SERVER!$B$3:$B$1009&amp;"",SERVER!$E$3:$E$1009,""),""))))</f>
        <v/>
      </c>
      <c r="Q129" s="1" t="str" cm="1">
        <f t="array" ref="Q129">IF(OR($K129="",$I129="",$J129=""),"",_xlfn.LET(_xlpm.srcCat,_xlfn.SWITCH($I129,"Computer",_xlfn.XLOOKUP($K129&amp;"",COMPUTER!$B$3:$B$1009&amp;"",COMPUTER!$H$3:$H$1009,""),"Display",_xlfn.XLOOKUP($K129&amp;"",DISPLAY!$B$3:$B$1000&amp;"",DISPLAY!$H$3:$H$1000,""),"Network Device",_xlfn.XLOOKUP($K129&amp;"",'NETWORK-DEVICES'!$B$3:$B$987&amp;"",'NETWORK-DEVICES'!$H$3:$H$987,""),"Peripheral",_xlfn.XLOOKUP($K129&amp;"",PERIPHERAL!$B$3:$B$954&amp;"",PERIPHERAL!$H$3:$H$954,""),"Utilities",_xlfn.XLOOKUP($K129&amp;"",UTILITIES!$B$3:$B$953&amp;"",UTILITIES!$G$3:$G$953,""),"IOT",_xlfn.XLOOKUP($K129&amp;"",IOT!$B$3:$B$1012&amp;"",IOT!$H$3:$H$1012,""),"Server",_xlfn.XLOOKUP($K129&amp;"",SERVER!$B$3:$B$1009&amp;"",SERVER!$H$3:$H$1009,""),""),IF(TRIM(_xlpm.srcCat)&lt;&gt;TRIM($J129),"",_xlfn.SWITCH($I129,"Computer",_xlfn.XLOOKUP($K129&amp;"",COMPUTER!$B$3:$B$1009&amp;"",COMPUTER!$AM$3:$AM$1009,""),"Display",_xlfn.XLOOKUP($K129&amp;"",DISPLAY!$B$3:$B$1000&amp;"",DISPLAY!$V$3:$V$1000,""),"Network Device",_xlfn.XLOOKUP($K129&amp;"",'NETWORK-DEVICES'!$B$3:$B$987&amp;"",'NETWORK-DEVICES'!$AF$3:$AF$987,""),"Peripheral",_xlfn.XLOOKUP($K129&amp;"",PERIPHERAL!$B$3:$B$954&amp;"",PERIPHERAL!$Y$3:$Y$954,""),"Utilities",_xlfn.XLOOKUP($K129&amp;"",UTILITIES!$B$3:$B$953&amp;"",UTILITIES!$O$3:$O$953,""),"IOT",_xlfn.XLOOKUP($K129&amp;"",IOT!$B$3:$B$1012&amp;"",IOT!$AB$3:$AB$1012,""),"Server",_xlfn.XLOOKUP($K129&amp;"",SERVER!$B$3:$B$1009&amp;"",SERVER!$AB$3:$AB$1009,""),""))))</f>
        <v/>
      </c>
      <c r="R129" s="43" t="str">
        <f>IF(tbl_handover[[#This Row],[Asset Code]]="","",COUNTIF(tbl_handover[Asset Code],tbl_handover[[#This Row],[Asset Code]]))</f>
        <v/>
      </c>
    </row>
    <row r="130" spans="1:18" x14ac:dyDescent="0.25">
      <c r="A130" s="43" t="str">
        <f>IF(B130&lt;&gt;"",SUBTOTAL(3,$B$1:B129),"")</f>
        <v/>
      </c>
      <c r="C130" s="74"/>
      <c r="D130" s="74"/>
      <c r="G130" s="1"/>
      <c r="K130" s="42"/>
      <c r="L130" t="str" cm="1">
        <f t="array" ref="L130">IF($K130="","",_xlfn.SWITCH($I130,"Computer",_xlfn.XLOOKUP($K130&amp;"",COMPUTER!$B$3:$B$1009&amp;"",COMPUTER!$I$3:$I$1009,""),"Display",_xlfn.XLOOKUP($K130&amp;"",DISPLAY!$B$3:$B$1000&amp;"",DISPLAY!$J$3:$J$1000,""),"Network Device",_xlfn.XLOOKUP($K130&amp;"",'NETWORK-DEVICES'!$B$3:$B$987&amp;"",'NETWORK-DEVICES'!$I$3:$I$987,""),"Peripheral",_xlfn.XLOOKUP($K130&amp;"",PERIPHERAL!$B$3:$B$954&amp;"",PERIPHERAL!$I$3:$I$954,""),"Utilities",_xlfn.XLOOKUP($K130&amp;"",UTILITIES!$B$3:$B$953&amp;"",UTILITIES!$H$3:$H$953,""),"IOT",_xlfn.XLOOKUP($K130&amp;"",IOT!$B$3:$B$1012&amp;"",IOT!$I$3:$I$1012,""),"SERVER",_xlfn.XLOOKUP($K130&amp;"",SERVER!$B$3:$B$1009&amp;"",SERVER!$I$3:$I$1009,""),""))</f>
        <v/>
      </c>
      <c r="M130" t="str" cm="1">
        <f t="array" ref="M130">IF($K130="","",_xlfn.SWITCH($I130,"Computer",_xlfn.XLOOKUP($K130&amp;"",COMPUTER!$B$3:$B$1009&amp;"",COMPUTER!$J$3:$J$1009,""),"Display",_xlfn.XLOOKUP($K130&amp;"",DISPLAY!$B$3:$B$1000&amp;"",DISPLAY!$K$3:$K$1000,""),"Network Device",_xlfn.XLOOKUP($K130&amp;"",'NETWORK-DEVICES'!$B$3:$B$987&amp;"",'NETWORK-DEVICES'!$I$3:$I$987,""),"Peripheral",_xlfn.XLOOKUP($K130&amp;"",PERIPHERAL!$B$3:$B$954&amp;"",PERIPHERAL!$J$3:$J$954,""),"Utilities",_xlfn.XLOOKUP($K130&amp;"",UTILITIES!$B$3:$B$953&amp;"",UTILITIES!$I$3:$I$953,""),"IOT",_xlfn.XLOOKUP($K130&amp;"",IOT!$B$3:$B$1012&amp;"",IOT!$J$3:$J$1012,""),"Server",_xlfn.XLOOKUP($K130&amp;"",SERVER!$B$3:$B$1009&amp;"",SERVER!$J$3:$J$1009,""),""))</f>
        <v/>
      </c>
      <c r="N130" s="1" t="str" cm="1">
        <f t="array" ref="N130">IF(OR($K130="",$I130="",$J130=""),"",_xlfn.LET(_xlpm.srcCat,_xlfn.SWITCH($I130,"Computer",_xlfn.XLOOKUP($K130&amp;"",COMPUTER!$B$3:$B$1009&amp;"",COMPUTER!$H$3:$H$1009,""),"Display",_xlfn.XLOOKUP($K130&amp;"",DISPLAY!$B$3:$B$1000&amp;"",DISPLAY!$H$3:$H$1000,""),"Network Device",_xlfn.XLOOKUP($K130&amp;"",'NETWORK-DEVICES'!$B$3:$B$987&amp;"",'NETWORK-DEVICES'!$H$3:$H$987,""),"Peripheral",_xlfn.XLOOKUP($K130&amp;"",PERIPHERAL!$B$3:$B$954&amp;"",PERIPHERAL!$H$3:$H$954,""),"Utilities",_xlfn.XLOOKUP($K130&amp;"",UTILITIES!$B$3:$B$953&amp;"",UTILITIES!$G$3:$G$953,""),"IOT",_xlfn.XLOOKUP($K130&amp;"",IOT!$B$3:$B$1012&amp;"",IOT!$H$3:$H$1012,""),"Server",_xlfn.XLOOKUP($K130&amp;"",SERVER!$B$3:$B$1009&amp;"",SERVER!$H$3:$H$1009,""),""),IF(TRIM(_xlpm.srcCat)&lt;&gt;TRIM($J130),"",_xlfn.SWITCH($I130,"Computer",_xlfn.XLOOKUP($K130&amp;"",COMPUTER!$B$3:$B$1009&amp;"",COMPUTER!$K$3:$K$1009,""),"Display",_xlfn.XLOOKUP($K130&amp;"",DISPLAY!$B$3:$B$1000&amp;"",DISPLAY!$L$3:$L$1000,""),"Network Device",_xlfn.XLOOKUP($K130&amp;"",'NETWORK-DEVICES'!$B$3:$B$987&amp;"",'NETWORK-DEVICES'!$K$3:$K$987,""),"Peripheral",_xlfn.XLOOKUP($K130&amp;"",PERIPHERAL!$B$3:$B$954&amp;"",PERIPHERAL!$K$3:$K$954,""),"Utilities",_xlfn.XLOOKUP($K130&amp;"",UTILITIES!$B$3:$B$953&amp;"",UTILITIES!$J$3:$J$953,""),"IOT",_xlfn.XLOOKUP($K130&amp;"",IOT!$B$3:$B$1012&amp;"",IOT!$K$4:$K$1012,""),"Server",_xlfn.XLOOKUP($K130&amp;"",SERVER!$B$3:$B$1009&amp;"",SERVER!$K$3:$K$1009,""),""))))</f>
        <v/>
      </c>
      <c r="O130" s="1" t="str" cm="1">
        <f t="array" ref="O130">IF(OR($K130="",$I130="",$J130=""),"",_xlfn.LET(_xlpm.srcCat,_xlfn.SWITCH($I130,"Computer",_xlfn.XLOOKUP($K130&amp;"",COMPUTER!$B$3:$B$1009&amp;"",COMPUTER!$H$3:$H$1009,""),"Display",_xlfn.XLOOKUP($K130&amp;"",DISPLAY!$B$3:$B$1000&amp;"",DISPLAY!$H$3:$H$1000,""),"Network Device",_xlfn.XLOOKUP($K130&amp;"",'NETWORK-DEVICES'!$B$3:$B$987&amp;"",'NETWORK-DEVICES'!$H$3:$H$987,""),"Peripheral",_xlfn.XLOOKUP($K130&amp;"",PERIPHERAL!$B$3:$B$954&amp;"",PERIPHERAL!$H$3:$H$954,""),"Utilities",_xlfn.XLOOKUP($K130&amp;"",UTILITIES!$B$3:$B$953&amp;"",UTILITIES!$G$3:$G$953,""),"IOT",_xlfn.XLOOKUP($K130&amp;"",IOT!$B$3:$B$1012&amp;"",IOT!$H$3:$H$1012,""),"Server",_xlfn.XLOOKUP($K130&amp;"",SERVER!$B$3:$B$1009&amp;"",SERVER!$H$3:$H$1009,""),""),IF(TRIM(_xlpm.srcCat)&lt;&gt;TRIM($J130),"",_xlfn.SWITCH($I130,"Computer",_xlfn.XLOOKUP($K130&amp;"",COMPUTER!$B$3:$B$1009&amp;"",COMPUTER!$E$3:$E$1009,""),"Display",_xlfn.XLOOKUP($K130&amp;"",DISPLAY!$B$3:$B$1000&amp;"",DISPLAY!$E$3:$E$1000,""),"Network Device",_xlfn.XLOOKUP($K130&amp;"",'NETWORK-DEVICES'!$B$3:$B$987&amp;"",'NETWORK-DEVICES'!$E$3:$E$987,""),"Peripheral",_xlfn.XLOOKUP($K130&amp;"",PERIPHERAL!$B$3:$B$954&amp;"",PERIPHERAL!$E$3:$E$954,""),"Utilities",_xlfn.XLOOKUP($K130&amp;"",UTILITIES!$B$3:$B$953&amp;"",UTILITIES!$E$3:$E$953,""),"IOT",_xlfn.XLOOKUP($K130&amp;"",IOT!$B$3:$B$1012&amp;"",IOT!$E$3:$E$1012,""),"Server",_xlfn.XLOOKUP($K130&amp;"",SERVER!$B$3:$B$1009&amp;"",SERVER!$E$3:$E$1009,""),""))))</f>
        <v/>
      </c>
      <c r="Q130" s="1" t="str" cm="1">
        <f t="array" ref="Q130">IF(OR($K130="",$I130="",$J130=""),"",_xlfn.LET(_xlpm.srcCat,_xlfn.SWITCH($I130,"Computer",_xlfn.XLOOKUP($K130&amp;"",COMPUTER!$B$3:$B$1009&amp;"",COMPUTER!$H$3:$H$1009,""),"Display",_xlfn.XLOOKUP($K130&amp;"",DISPLAY!$B$3:$B$1000&amp;"",DISPLAY!$H$3:$H$1000,""),"Network Device",_xlfn.XLOOKUP($K130&amp;"",'NETWORK-DEVICES'!$B$3:$B$987&amp;"",'NETWORK-DEVICES'!$H$3:$H$987,""),"Peripheral",_xlfn.XLOOKUP($K130&amp;"",PERIPHERAL!$B$3:$B$954&amp;"",PERIPHERAL!$H$3:$H$954,""),"Utilities",_xlfn.XLOOKUP($K130&amp;"",UTILITIES!$B$3:$B$953&amp;"",UTILITIES!$G$3:$G$953,""),"IOT",_xlfn.XLOOKUP($K130&amp;"",IOT!$B$3:$B$1012&amp;"",IOT!$H$3:$H$1012,""),"Server",_xlfn.XLOOKUP($K130&amp;"",SERVER!$B$3:$B$1009&amp;"",SERVER!$H$3:$H$1009,""),""),IF(TRIM(_xlpm.srcCat)&lt;&gt;TRIM($J130),"",_xlfn.SWITCH($I130,"Computer",_xlfn.XLOOKUP($K130&amp;"",COMPUTER!$B$3:$B$1009&amp;"",COMPUTER!$AM$3:$AM$1009,""),"Display",_xlfn.XLOOKUP($K130&amp;"",DISPLAY!$B$3:$B$1000&amp;"",DISPLAY!$V$3:$V$1000,""),"Network Device",_xlfn.XLOOKUP($K130&amp;"",'NETWORK-DEVICES'!$B$3:$B$987&amp;"",'NETWORK-DEVICES'!$AF$3:$AF$987,""),"Peripheral",_xlfn.XLOOKUP($K130&amp;"",PERIPHERAL!$B$3:$B$954&amp;"",PERIPHERAL!$Y$3:$Y$954,""),"Utilities",_xlfn.XLOOKUP($K130&amp;"",UTILITIES!$B$3:$B$953&amp;"",UTILITIES!$O$3:$O$953,""),"IOT",_xlfn.XLOOKUP($K130&amp;"",IOT!$B$3:$B$1012&amp;"",IOT!$AB$3:$AB$1012,""),"Server",_xlfn.XLOOKUP($K130&amp;"",SERVER!$B$3:$B$1009&amp;"",SERVER!$AB$3:$AB$1009,""),""))))</f>
        <v/>
      </c>
      <c r="R130" s="43" t="str">
        <f>IF(tbl_handover[[#This Row],[Asset Code]]="","",COUNTIF(tbl_handover[Asset Code],tbl_handover[[#This Row],[Asset Code]]))</f>
        <v/>
      </c>
    </row>
    <row r="131" spans="1:18" x14ac:dyDescent="0.25">
      <c r="A131" s="43" t="str">
        <f>IF(B131&lt;&gt;"",SUBTOTAL(3,$B$1:B130),"")</f>
        <v/>
      </c>
      <c r="C131" s="74"/>
      <c r="D131" s="74"/>
      <c r="G131" s="1"/>
      <c r="K131" s="42"/>
      <c r="L131" t="str" cm="1">
        <f t="array" ref="L131">IF($K131="","",_xlfn.SWITCH($I131,"Computer",_xlfn.XLOOKUP($K131&amp;"",COMPUTER!$B$3:$B$1009&amp;"",COMPUTER!$I$3:$I$1009,""),"Display",_xlfn.XLOOKUP($K131&amp;"",DISPLAY!$B$3:$B$1000&amp;"",DISPLAY!$J$3:$J$1000,""),"Network Device",_xlfn.XLOOKUP($K131&amp;"",'NETWORK-DEVICES'!$B$3:$B$987&amp;"",'NETWORK-DEVICES'!$I$3:$I$987,""),"Peripheral",_xlfn.XLOOKUP($K131&amp;"",PERIPHERAL!$B$3:$B$954&amp;"",PERIPHERAL!$I$3:$I$954,""),"Utilities",_xlfn.XLOOKUP($K131&amp;"",UTILITIES!$B$3:$B$953&amp;"",UTILITIES!$H$3:$H$953,""),"IOT",_xlfn.XLOOKUP($K131&amp;"",IOT!$B$3:$B$1012&amp;"",IOT!$I$3:$I$1012,""),"SERVER",_xlfn.XLOOKUP($K131&amp;"",SERVER!$B$3:$B$1009&amp;"",SERVER!$I$3:$I$1009,""),""))</f>
        <v/>
      </c>
      <c r="M131" t="str" cm="1">
        <f t="array" ref="M131">IF($K131="","",_xlfn.SWITCH($I131,"Computer",_xlfn.XLOOKUP($K131&amp;"",COMPUTER!$B$3:$B$1009&amp;"",COMPUTER!$J$3:$J$1009,""),"Display",_xlfn.XLOOKUP($K131&amp;"",DISPLAY!$B$3:$B$1000&amp;"",DISPLAY!$K$3:$K$1000,""),"Network Device",_xlfn.XLOOKUP($K131&amp;"",'NETWORK-DEVICES'!$B$3:$B$987&amp;"",'NETWORK-DEVICES'!$I$3:$I$987,""),"Peripheral",_xlfn.XLOOKUP($K131&amp;"",PERIPHERAL!$B$3:$B$954&amp;"",PERIPHERAL!$J$3:$J$954,""),"Utilities",_xlfn.XLOOKUP($K131&amp;"",UTILITIES!$B$3:$B$953&amp;"",UTILITIES!$I$3:$I$953,""),"IOT",_xlfn.XLOOKUP($K131&amp;"",IOT!$B$3:$B$1012&amp;"",IOT!$J$3:$J$1012,""),"Server",_xlfn.XLOOKUP($K131&amp;"",SERVER!$B$3:$B$1009&amp;"",SERVER!$J$3:$J$1009,""),""))</f>
        <v/>
      </c>
      <c r="N131" s="1" t="str" cm="1">
        <f t="array" ref="N131">IF(OR($K131="",$I131="",$J131=""),"",_xlfn.LET(_xlpm.srcCat,_xlfn.SWITCH($I131,"Computer",_xlfn.XLOOKUP($K131&amp;"",COMPUTER!$B$3:$B$1009&amp;"",COMPUTER!$H$3:$H$1009,""),"Display",_xlfn.XLOOKUP($K131&amp;"",DISPLAY!$B$3:$B$1000&amp;"",DISPLAY!$H$3:$H$1000,""),"Network Device",_xlfn.XLOOKUP($K131&amp;"",'NETWORK-DEVICES'!$B$3:$B$987&amp;"",'NETWORK-DEVICES'!$H$3:$H$987,""),"Peripheral",_xlfn.XLOOKUP($K131&amp;"",PERIPHERAL!$B$3:$B$954&amp;"",PERIPHERAL!$H$3:$H$954,""),"Utilities",_xlfn.XLOOKUP($K131&amp;"",UTILITIES!$B$3:$B$953&amp;"",UTILITIES!$G$3:$G$953,""),"IOT",_xlfn.XLOOKUP($K131&amp;"",IOT!$B$3:$B$1012&amp;"",IOT!$H$3:$H$1012,""),"Server",_xlfn.XLOOKUP($K131&amp;"",SERVER!$B$3:$B$1009&amp;"",SERVER!$H$3:$H$1009,""),""),IF(TRIM(_xlpm.srcCat)&lt;&gt;TRIM($J131),"",_xlfn.SWITCH($I131,"Computer",_xlfn.XLOOKUP($K131&amp;"",COMPUTER!$B$3:$B$1009&amp;"",COMPUTER!$K$3:$K$1009,""),"Display",_xlfn.XLOOKUP($K131&amp;"",DISPLAY!$B$3:$B$1000&amp;"",DISPLAY!$L$3:$L$1000,""),"Network Device",_xlfn.XLOOKUP($K131&amp;"",'NETWORK-DEVICES'!$B$3:$B$987&amp;"",'NETWORK-DEVICES'!$K$3:$K$987,""),"Peripheral",_xlfn.XLOOKUP($K131&amp;"",PERIPHERAL!$B$3:$B$954&amp;"",PERIPHERAL!$K$3:$K$954,""),"Utilities",_xlfn.XLOOKUP($K131&amp;"",UTILITIES!$B$3:$B$953&amp;"",UTILITIES!$J$3:$J$953,""),"IOT",_xlfn.XLOOKUP($K131&amp;"",IOT!$B$3:$B$1012&amp;"",IOT!$K$4:$K$1012,""),"Server",_xlfn.XLOOKUP($K131&amp;"",SERVER!$B$3:$B$1009&amp;"",SERVER!$K$3:$K$1009,""),""))))</f>
        <v/>
      </c>
      <c r="O131" s="1" t="str" cm="1">
        <f t="array" ref="O131">IF(OR($K131="",$I131="",$J131=""),"",_xlfn.LET(_xlpm.srcCat,_xlfn.SWITCH($I131,"Computer",_xlfn.XLOOKUP($K131&amp;"",COMPUTER!$B$3:$B$1009&amp;"",COMPUTER!$H$3:$H$1009,""),"Display",_xlfn.XLOOKUP($K131&amp;"",DISPLAY!$B$3:$B$1000&amp;"",DISPLAY!$H$3:$H$1000,""),"Network Device",_xlfn.XLOOKUP($K131&amp;"",'NETWORK-DEVICES'!$B$3:$B$987&amp;"",'NETWORK-DEVICES'!$H$3:$H$987,""),"Peripheral",_xlfn.XLOOKUP($K131&amp;"",PERIPHERAL!$B$3:$B$954&amp;"",PERIPHERAL!$H$3:$H$954,""),"Utilities",_xlfn.XLOOKUP($K131&amp;"",UTILITIES!$B$3:$B$953&amp;"",UTILITIES!$G$3:$G$953,""),"IOT",_xlfn.XLOOKUP($K131&amp;"",IOT!$B$3:$B$1012&amp;"",IOT!$H$3:$H$1012,""),"Server",_xlfn.XLOOKUP($K131&amp;"",SERVER!$B$3:$B$1009&amp;"",SERVER!$H$3:$H$1009,""),""),IF(TRIM(_xlpm.srcCat)&lt;&gt;TRIM($J131),"",_xlfn.SWITCH($I131,"Computer",_xlfn.XLOOKUP($K131&amp;"",COMPUTER!$B$3:$B$1009&amp;"",COMPUTER!$E$3:$E$1009,""),"Display",_xlfn.XLOOKUP($K131&amp;"",DISPLAY!$B$3:$B$1000&amp;"",DISPLAY!$E$3:$E$1000,""),"Network Device",_xlfn.XLOOKUP($K131&amp;"",'NETWORK-DEVICES'!$B$3:$B$987&amp;"",'NETWORK-DEVICES'!$E$3:$E$987,""),"Peripheral",_xlfn.XLOOKUP($K131&amp;"",PERIPHERAL!$B$3:$B$954&amp;"",PERIPHERAL!$E$3:$E$954,""),"Utilities",_xlfn.XLOOKUP($K131&amp;"",UTILITIES!$B$3:$B$953&amp;"",UTILITIES!$E$3:$E$953,""),"IOT",_xlfn.XLOOKUP($K131&amp;"",IOT!$B$3:$B$1012&amp;"",IOT!$E$3:$E$1012,""),"Server",_xlfn.XLOOKUP($K131&amp;"",SERVER!$B$3:$B$1009&amp;"",SERVER!$E$3:$E$1009,""),""))))</f>
        <v/>
      </c>
      <c r="Q131" s="1" t="str" cm="1">
        <f t="array" ref="Q131">IF(OR($K131="",$I131="",$J131=""),"",_xlfn.LET(_xlpm.srcCat,_xlfn.SWITCH($I131,"Computer",_xlfn.XLOOKUP($K131&amp;"",COMPUTER!$B$3:$B$1009&amp;"",COMPUTER!$H$3:$H$1009,""),"Display",_xlfn.XLOOKUP($K131&amp;"",DISPLAY!$B$3:$B$1000&amp;"",DISPLAY!$H$3:$H$1000,""),"Network Device",_xlfn.XLOOKUP($K131&amp;"",'NETWORK-DEVICES'!$B$3:$B$987&amp;"",'NETWORK-DEVICES'!$H$3:$H$987,""),"Peripheral",_xlfn.XLOOKUP($K131&amp;"",PERIPHERAL!$B$3:$B$954&amp;"",PERIPHERAL!$H$3:$H$954,""),"Utilities",_xlfn.XLOOKUP($K131&amp;"",UTILITIES!$B$3:$B$953&amp;"",UTILITIES!$G$3:$G$953,""),"IOT",_xlfn.XLOOKUP($K131&amp;"",IOT!$B$3:$B$1012&amp;"",IOT!$H$3:$H$1012,""),"Server",_xlfn.XLOOKUP($K131&amp;"",SERVER!$B$3:$B$1009&amp;"",SERVER!$H$3:$H$1009,""),""),IF(TRIM(_xlpm.srcCat)&lt;&gt;TRIM($J131),"",_xlfn.SWITCH($I131,"Computer",_xlfn.XLOOKUP($K131&amp;"",COMPUTER!$B$3:$B$1009&amp;"",COMPUTER!$AM$3:$AM$1009,""),"Display",_xlfn.XLOOKUP($K131&amp;"",DISPLAY!$B$3:$B$1000&amp;"",DISPLAY!$V$3:$V$1000,""),"Network Device",_xlfn.XLOOKUP($K131&amp;"",'NETWORK-DEVICES'!$B$3:$B$987&amp;"",'NETWORK-DEVICES'!$AF$3:$AF$987,""),"Peripheral",_xlfn.XLOOKUP($K131&amp;"",PERIPHERAL!$B$3:$B$954&amp;"",PERIPHERAL!$Y$3:$Y$954,""),"Utilities",_xlfn.XLOOKUP($K131&amp;"",UTILITIES!$B$3:$B$953&amp;"",UTILITIES!$O$3:$O$953,""),"IOT",_xlfn.XLOOKUP($K131&amp;"",IOT!$B$3:$B$1012&amp;"",IOT!$AB$3:$AB$1012,""),"Server",_xlfn.XLOOKUP($K131&amp;"",SERVER!$B$3:$B$1009&amp;"",SERVER!$AB$3:$AB$1009,""),""))))</f>
        <v/>
      </c>
      <c r="R131" s="43" t="str">
        <f>IF(tbl_handover[[#This Row],[Asset Code]]="","",COUNTIF(tbl_handover[Asset Code],tbl_handover[[#This Row],[Asset Code]]))</f>
        <v/>
      </c>
    </row>
    <row r="132" spans="1:18" x14ac:dyDescent="0.25">
      <c r="A132" s="43" t="str">
        <f>IF(B132&lt;&gt;"",SUBTOTAL(3,$B$1:B131),"")</f>
        <v/>
      </c>
      <c r="C132" s="74"/>
      <c r="D132" s="74"/>
      <c r="G132" s="1"/>
      <c r="K132" s="42"/>
      <c r="L132" t="str" cm="1">
        <f t="array" ref="L132">IF($K132="","",_xlfn.SWITCH($I132,"Computer",_xlfn.XLOOKUP($K132&amp;"",COMPUTER!$B$3:$B$1009&amp;"",COMPUTER!$I$3:$I$1009,""),"Display",_xlfn.XLOOKUP($K132&amp;"",DISPLAY!$B$3:$B$1000&amp;"",DISPLAY!$J$3:$J$1000,""),"Network Device",_xlfn.XLOOKUP($K132&amp;"",'NETWORK-DEVICES'!$B$3:$B$987&amp;"",'NETWORK-DEVICES'!$I$3:$I$987,""),"Peripheral",_xlfn.XLOOKUP($K132&amp;"",PERIPHERAL!$B$3:$B$954&amp;"",PERIPHERAL!$I$3:$I$954,""),"Utilities",_xlfn.XLOOKUP($K132&amp;"",UTILITIES!$B$3:$B$953&amp;"",UTILITIES!$H$3:$H$953,""),"IOT",_xlfn.XLOOKUP($K132&amp;"",IOT!$B$3:$B$1012&amp;"",IOT!$I$3:$I$1012,""),"SERVER",_xlfn.XLOOKUP($K132&amp;"",SERVER!$B$3:$B$1009&amp;"",SERVER!$I$3:$I$1009,""),""))</f>
        <v/>
      </c>
      <c r="M132" t="str" cm="1">
        <f t="array" ref="M132">IF($K132="","",_xlfn.SWITCH($I132,"Computer",_xlfn.XLOOKUP($K132&amp;"",COMPUTER!$B$3:$B$1009&amp;"",COMPUTER!$J$3:$J$1009,""),"Display",_xlfn.XLOOKUP($K132&amp;"",DISPLAY!$B$3:$B$1000&amp;"",DISPLAY!$K$3:$K$1000,""),"Network Device",_xlfn.XLOOKUP($K132&amp;"",'NETWORK-DEVICES'!$B$3:$B$987&amp;"",'NETWORK-DEVICES'!$I$3:$I$987,""),"Peripheral",_xlfn.XLOOKUP($K132&amp;"",PERIPHERAL!$B$3:$B$954&amp;"",PERIPHERAL!$J$3:$J$954,""),"Utilities",_xlfn.XLOOKUP($K132&amp;"",UTILITIES!$B$3:$B$953&amp;"",UTILITIES!$I$3:$I$953,""),"IOT",_xlfn.XLOOKUP($K132&amp;"",IOT!$B$3:$B$1012&amp;"",IOT!$J$3:$J$1012,""),"Server",_xlfn.XLOOKUP($K132&amp;"",SERVER!$B$3:$B$1009&amp;"",SERVER!$J$3:$J$1009,""),""))</f>
        <v/>
      </c>
      <c r="N132" s="1" t="str" cm="1">
        <f t="array" ref="N132">IF(OR($K132="",$I132="",$J132=""),"",_xlfn.LET(_xlpm.srcCat,_xlfn.SWITCH($I132,"Computer",_xlfn.XLOOKUP($K132&amp;"",COMPUTER!$B$3:$B$1009&amp;"",COMPUTER!$H$3:$H$1009,""),"Display",_xlfn.XLOOKUP($K132&amp;"",DISPLAY!$B$3:$B$1000&amp;"",DISPLAY!$H$3:$H$1000,""),"Network Device",_xlfn.XLOOKUP($K132&amp;"",'NETWORK-DEVICES'!$B$3:$B$987&amp;"",'NETWORK-DEVICES'!$H$3:$H$987,""),"Peripheral",_xlfn.XLOOKUP($K132&amp;"",PERIPHERAL!$B$3:$B$954&amp;"",PERIPHERAL!$H$3:$H$954,""),"Utilities",_xlfn.XLOOKUP($K132&amp;"",UTILITIES!$B$3:$B$953&amp;"",UTILITIES!$G$3:$G$953,""),"IOT",_xlfn.XLOOKUP($K132&amp;"",IOT!$B$3:$B$1012&amp;"",IOT!$H$3:$H$1012,""),"Server",_xlfn.XLOOKUP($K132&amp;"",SERVER!$B$3:$B$1009&amp;"",SERVER!$H$3:$H$1009,""),""),IF(TRIM(_xlpm.srcCat)&lt;&gt;TRIM($J132),"",_xlfn.SWITCH($I132,"Computer",_xlfn.XLOOKUP($K132&amp;"",COMPUTER!$B$3:$B$1009&amp;"",COMPUTER!$K$3:$K$1009,""),"Display",_xlfn.XLOOKUP($K132&amp;"",DISPLAY!$B$3:$B$1000&amp;"",DISPLAY!$L$3:$L$1000,""),"Network Device",_xlfn.XLOOKUP($K132&amp;"",'NETWORK-DEVICES'!$B$3:$B$987&amp;"",'NETWORK-DEVICES'!$K$3:$K$987,""),"Peripheral",_xlfn.XLOOKUP($K132&amp;"",PERIPHERAL!$B$3:$B$954&amp;"",PERIPHERAL!$K$3:$K$954,""),"Utilities",_xlfn.XLOOKUP($K132&amp;"",UTILITIES!$B$3:$B$953&amp;"",UTILITIES!$J$3:$J$953,""),"IOT",_xlfn.XLOOKUP($K132&amp;"",IOT!$B$3:$B$1012&amp;"",IOT!$K$4:$K$1012,""),"Server",_xlfn.XLOOKUP($K132&amp;"",SERVER!$B$3:$B$1009&amp;"",SERVER!$K$3:$K$1009,""),""))))</f>
        <v/>
      </c>
      <c r="O132" s="1" t="str" cm="1">
        <f t="array" ref="O132">IF(OR($K132="",$I132="",$J132=""),"",_xlfn.LET(_xlpm.srcCat,_xlfn.SWITCH($I132,"Computer",_xlfn.XLOOKUP($K132&amp;"",COMPUTER!$B$3:$B$1009&amp;"",COMPUTER!$H$3:$H$1009,""),"Display",_xlfn.XLOOKUP($K132&amp;"",DISPLAY!$B$3:$B$1000&amp;"",DISPLAY!$H$3:$H$1000,""),"Network Device",_xlfn.XLOOKUP($K132&amp;"",'NETWORK-DEVICES'!$B$3:$B$987&amp;"",'NETWORK-DEVICES'!$H$3:$H$987,""),"Peripheral",_xlfn.XLOOKUP($K132&amp;"",PERIPHERAL!$B$3:$B$954&amp;"",PERIPHERAL!$H$3:$H$954,""),"Utilities",_xlfn.XLOOKUP($K132&amp;"",UTILITIES!$B$3:$B$953&amp;"",UTILITIES!$G$3:$G$953,""),"IOT",_xlfn.XLOOKUP($K132&amp;"",IOT!$B$3:$B$1012&amp;"",IOT!$H$3:$H$1012,""),"Server",_xlfn.XLOOKUP($K132&amp;"",SERVER!$B$3:$B$1009&amp;"",SERVER!$H$3:$H$1009,""),""),IF(TRIM(_xlpm.srcCat)&lt;&gt;TRIM($J132),"",_xlfn.SWITCH($I132,"Computer",_xlfn.XLOOKUP($K132&amp;"",COMPUTER!$B$3:$B$1009&amp;"",COMPUTER!$E$3:$E$1009,""),"Display",_xlfn.XLOOKUP($K132&amp;"",DISPLAY!$B$3:$B$1000&amp;"",DISPLAY!$E$3:$E$1000,""),"Network Device",_xlfn.XLOOKUP($K132&amp;"",'NETWORK-DEVICES'!$B$3:$B$987&amp;"",'NETWORK-DEVICES'!$E$3:$E$987,""),"Peripheral",_xlfn.XLOOKUP($K132&amp;"",PERIPHERAL!$B$3:$B$954&amp;"",PERIPHERAL!$E$3:$E$954,""),"Utilities",_xlfn.XLOOKUP($K132&amp;"",UTILITIES!$B$3:$B$953&amp;"",UTILITIES!$E$3:$E$953,""),"IOT",_xlfn.XLOOKUP($K132&amp;"",IOT!$B$3:$B$1012&amp;"",IOT!$E$3:$E$1012,""),"Server",_xlfn.XLOOKUP($K132&amp;"",SERVER!$B$3:$B$1009&amp;"",SERVER!$E$3:$E$1009,""),""))))</f>
        <v/>
      </c>
      <c r="Q132" s="1" t="str" cm="1">
        <f t="array" ref="Q132">IF(OR($K132="",$I132="",$J132=""),"",_xlfn.LET(_xlpm.srcCat,_xlfn.SWITCH($I132,"Computer",_xlfn.XLOOKUP($K132&amp;"",COMPUTER!$B$3:$B$1009&amp;"",COMPUTER!$H$3:$H$1009,""),"Display",_xlfn.XLOOKUP($K132&amp;"",DISPLAY!$B$3:$B$1000&amp;"",DISPLAY!$H$3:$H$1000,""),"Network Device",_xlfn.XLOOKUP($K132&amp;"",'NETWORK-DEVICES'!$B$3:$B$987&amp;"",'NETWORK-DEVICES'!$H$3:$H$987,""),"Peripheral",_xlfn.XLOOKUP($K132&amp;"",PERIPHERAL!$B$3:$B$954&amp;"",PERIPHERAL!$H$3:$H$954,""),"Utilities",_xlfn.XLOOKUP($K132&amp;"",UTILITIES!$B$3:$B$953&amp;"",UTILITIES!$G$3:$G$953,""),"IOT",_xlfn.XLOOKUP($K132&amp;"",IOT!$B$3:$B$1012&amp;"",IOT!$H$3:$H$1012,""),"Server",_xlfn.XLOOKUP($K132&amp;"",SERVER!$B$3:$B$1009&amp;"",SERVER!$H$3:$H$1009,""),""),IF(TRIM(_xlpm.srcCat)&lt;&gt;TRIM($J132),"",_xlfn.SWITCH($I132,"Computer",_xlfn.XLOOKUP($K132&amp;"",COMPUTER!$B$3:$B$1009&amp;"",COMPUTER!$AM$3:$AM$1009,""),"Display",_xlfn.XLOOKUP($K132&amp;"",DISPLAY!$B$3:$B$1000&amp;"",DISPLAY!$V$3:$V$1000,""),"Network Device",_xlfn.XLOOKUP($K132&amp;"",'NETWORK-DEVICES'!$B$3:$B$987&amp;"",'NETWORK-DEVICES'!$AF$3:$AF$987,""),"Peripheral",_xlfn.XLOOKUP($K132&amp;"",PERIPHERAL!$B$3:$B$954&amp;"",PERIPHERAL!$Y$3:$Y$954,""),"Utilities",_xlfn.XLOOKUP($K132&amp;"",UTILITIES!$B$3:$B$953&amp;"",UTILITIES!$O$3:$O$953,""),"IOT",_xlfn.XLOOKUP($K132&amp;"",IOT!$B$3:$B$1012&amp;"",IOT!$AB$3:$AB$1012,""),"Server",_xlfn.XLOOKUP($K132&amp;"",SERVER!$B$3:$B$1009&amp;"",SERVER!$AB$3:$AB$1009,""),""))))</f>
        <v/>
      </c>
      <c r="R132" s="43" t="str">
        <f>IF(tbl_handover[[#This Row],[Asset Code]]="","",COUNTIF(tbl_handover[Asset Code],tbl_handover[[#This Row],[Asset Code]]))</f>
        <v/>
      </c>
    </row>
    <row r="133" spans="1:18" x14ac:dyDescent="0.25">
      <c r="A133" s="43" t="str">
        <f>IF(B133&lt;&gt;"",SUBTOTAL(3,$B$1:B132),"")</f>
        <v/>
      </c>
      <c r="C133" s="74"/>
      <c r="D133" s="74"/>
      <c r="G133" s="1"/>
      <c r="K133" s="42"/>
      <c r="L133" t="str" cm="1">
        <f t="array" ref="L133">IF($K133="","",_xlfn.SWITCH($I133,"Computer",_xlfn.XLOOKUP($K133&amp;"",COMPUTER!$B$3:$B$1009&amp;"",COMPUTER!$I$3:$I$1009,""),"Display",_xlfn.XLOOKUP($K133&amp;"",DISPLAY!$B$3:$B$1000&amp;"",DISPLAY!$J$3:$J$1000,""),"Network Device",_xlfn.XLOOKUP($K133&amp;"",'NETWORK-DEVICES'!$B$3:$B$987&amp;"",'NETWORK-DEVICES'!$I$3:$I$987,""),"Peripheral",_xlfn.XLOOKUP($K133&amp;"",PERIPHERAL!$B$3:$B$954&amp;"",PERIPHERAL!$I$3:$I$954,""),"Utilities",_xlfn.XLOOKUP($K133&amp;"",UTILITIES!$B$3:$B$953&amp;"",UTILITIES!$H$3:$H$953,""),"IOT",_xlfn.XLOOKUP($K133&amp;"",IOT!$B$3:$B$1012&amp;"",IOT!$I$3:$I$1012,""),"SERVER",_xlfn.XLOOKUP($K133&amp;"",SERVER!$B$3:$B$1009&amp;"",SERVER!$I$3:$I$1009,""),""))</f>
        <v/>
      </c>
      <c r="M133" t="str" cm="1">
        <f t="array" ref="M133">IF($K133="","",_xlfn.SWITCH($I133,"Computer",_xlfn.XLOOKUP($K133&amp;"",COMPUTER!$B$3:$B$1009&amp;"",COMPUTER!$J$3:$J$1009,""),"Display",_xlfn.XLOOKUP($K133&amp;"",DISPLAY!$B$3:$B$1000&amp;"",DISPLAY!$K$3:$K$1000,""),"Network Device",_xlfn.XLOOKUP($K133&amp;"",'NETWORK-DEVICES'!$B$3:$B$987&amp;"",'NETWORK-DEVICES'!$I$3:$I$987,""),"Peripheral",_xlfn.XLOOKUP($K133&amp;"",PERIPHERAL!$B$3:$B$954&amp;"",PERIPHERAL!$J$3:$J$954,""),"Utilities",_xlfn.XLOOKUP($K133&amp;"",UTILITIES!$B$3:$B$953&amp;"",UTILITIES!$I$3:$I$953,""),"IOT",_xlfn.XLOOKUP($K133&amp;"",IOT!$B$3:$B$1012&amp;"",IOT!$J$3:$J$1012,""),"Server",_xlfn.XLOOKUP($K133&amp;"",SERVER!$B$3:$B$1009&amp;"",SERVER!$J$3:$J$1009,""),""))</f>
        <v/>
      </c>
      <c r="N133" s="1" t="str" cm="1">
        <f t="array" ref="N133">IF(OR($K133="",$I133="",$J133=""),"",_xlfn.LET(_xlpm.srcCat,_xlfn.SWITCH($I133,"Computer",_xlfn.XLOOKUP($K133&amp;"",COMPUTER!$B$3:$B$1009&amp;"",COMPUTER!$H$3:$H$1009,""),"Display",_xlfn.XLOOKUP($K133&amp;"",DISPLAY!$B$3:$B$1000&amp;"",DISPLAY!$H$3:$H$1000,""),"Network Device",_xlfn.XLOOKUP($K133&amp;"",'NETWORK-DEVICES'!$B$3:$B$987&amp;"",'NETWORK-DEVICES'!$H$3:$H$987,""),"Peripheral",_xlfn.XLOOKUP($K133&amp;"",PERIPHERAL!$B$3:$B$954&amp;"",PERIPHERAL!$H$3:$H$954,""),"Utilities",_xlfn.XLOOKUP($K133&amp;"",UTILITIES!$B$3:$B$953&amp;"",UTILITIES!$G$3:$G$953,""),"IOT",_xlfn.XLOOKUP($K133&amp;"",IOT!$B$3:$B$1012&amp;"",IOT!$H$3:$H$1012,""),"Server",_xlfn.XLOOKUP($K133&amp;"",SERVER!$B$3:$B$1009&amp;"",SERVER!$H$3:$H$1009,""),""),IF(TRIM(_xlpm.srcCat)&lt;&gt;TRIM($J133),"",_xlfn.SWITCH($I133,"Computer",_xlfn.XLOOKUP($K133&amp;"",COMPUTER!$B$3:$B$1009&amp;"",COMPUTER!$K$3:$K$1009,""),"Display",_xlfn.XLOOKUP($K133&amp;"",DISPLAY!$B$3:$B$1000&amp;"",DISPLAY!$L$3:$L$1000,""),"Network Device",_xlfn.XLOOKUP($K133&amp;"",'NETWORK-DEVICES'!$B$3:$B$987&amp;"",'NETWORK-DEVICES'!$K$3:$K$987,""),"Peripheral",_xlfn.XLOOKUP($K133&amp;"",PERIPHERAL!$B$3:$B$954&amp;"",PERIPHERAL!$K$3:$K$954,""),"Utilities",_xlfn.XLOOKUP($K133&amp;"",UTILITIES!$B$3:$B$953&amp;"",UTILITIES!$J$3:$J$953,""),"IOT",_xlfn.XLOOKUP($K133&amp;"",IOT!$B$3:$B$1012&amp;"",IOT!$K$4:$K$1012,""),"Server",_xlfn.XLOOKUP($K133&amp;"",SERVER!$B$3:$B$1009&amp;"",SERVER!$K$3:$K$1009,""),""))))</f>
        <v/>
      </c>
      <c r="O133" s="1" t="str" cm="1">
        <f t="array" ref="O133">IF(OR($K133="",$I133="",$J133=""),"",_xlfn.LET(_xlpm.srcCat,_xlfn.SWITCH($I133,"Computer",_xlfn.XLOOKUP($K133&amp;"",COMPUTER!$B$3:$B$1009&amp;"",COMPUTER!$H$3:$H$1009,""),"Display",_xlfn.XLOOKUP($K133&amp;"",DISPLAY!$B$3:$B$1000&amp;"",DISPLAY!$H$3:$H$1000,""),"Network Device",_xlfn.XLOOKUP($K133&amp;"",'NETWORK-DEVICES'!$B$3:$B$987&amp;"",'NETWORK-DEVICES'!$H$3:$H$987,""),"Peripheral",_xlfn.XLOOKUP($K133&amp;"",PERIPHERAL!$B$3:$B$954&amp;"",PERIPHERAL!$H$3:$H$954,""),"Utilities",_xlfn.XLOOKUP($K133&amp;"",UTILITIES!$B$3:$B$953&amp;"",UTILITIES!$G$3:$G$953,""),"IOT",_xlfn.XLOOKUP($K133&amp;"",IOT!$B$3:$B$1012&amp;"",IOT!$H$3:$H$1012,""),"Server",_xlfn.XLOOKUP($K133&amp;"",SERVER!$B$3:$B$1009&amp;"",SERVER!$H$3:$H$1009,""),""),IF(TRIM(_xlpm.srcCat)&lt;&gt;TRIM($J133),"",_xlfn.SWITCH($I133,"Computer",_xlfn.XLOOKUP($K133&amp;"",COMPUTER!$B$3:$B$1009&amp;"",COMPUTER!$E$3:$E$1009,""),"Display",_xlfn.XLOOKUP($K133&amp;"",DISPLAY!$B$3:$B$1000&amp;"",DISPLAY!$E$3:$E$1000,""),"Network Device",_xlfn.XLOOKUP($K133&amp;"",'NETWORK-DEVICES'!$B$3:$B$987&amp;"",'NETWORK-DEVICES'!$E$3:$E$987,""),"Peripheral",_xlfn.XLOOKUP($K133&amp;"",PERIPHERAL!$B$3:$B$954&amp;"",PERIPHERAL!$E$3:$E$954,""),"Utilities",_xlfn.XLOOKUP($K133&amp;"",UTILITIES!$B$3:$B$953&amp;"",UTILITIES!$E$3:$E$953,""),"IOT",_xlfn.XLOOKUP($K133&amp;"",IOT!$B$3:$B$1012&amp;"",IOT!$E$3:$E$1012,""),"Server",_xlfn.XLOOKUP($K133&amp;"",SERVER!$B$3:$B$1009&amp;"",SERVER!$E$3:$E$1009,""),""))))</f>
        <v/>
      </c>
      <c r="Q133" s="1" t="str" cm="1">
        <f t="array" ref="Q133">IF(OR($K133="",$I133="",$J133=""),"",_xlfn.LET(_xlpm.srcCat,_xlfn.SWITCH($I133,"Computer",_xlfn.XLOOKUP($K133&amp;"",COMPUTER!$B$3:$B$1009&amp;"",COMPUTER!$H$3:$H$1009,""),"Display",_xlfn.XLOOKUP($K133&amp;"",DISPLAY!$B$3:$B$1000&amp;"",DISPLAY!$H$3:$H$1000,""),"Network Device",_xlfn.XLOOKUP($K133&amp;"",'NETWORK-DEVICES'!$B$3:$B$987&amp;"",'NETWORK-DEVICES'!$H$3:$H$987,""),"Peripheral",_xlfn.XLOOKUP($K133&amp;"",PERIPHERAL!$B$3:$B$954&amp;"",PERIPHERAL!$H$3:$H$954,""),"Utilities",_xlfn.XLOOKUP($K133&amp;"",UTILITIES!$B$3:$B$953&amp;"",UTILITIES!$G$3:$G$953,""),"IOT",_xlfn.XLOOKUP($K133&amp;"",IOT!$B$3:$B$1012&amp;"",IOT!$H$3:$H$1012,""),"Server",_xlfn.XLOOKUP($K133&amp;"",SERVER!$B$3:$B$1009&amp;"",SERVER!$H$3:$H$1009,""),""),IF(TRIM(_xlpm.srcCat)&lt;&gt;TRIM($J133),"",_xlfn.SWITCH($I133,"Computer",_xlfn.XLOOKUP($K133&amp;"",COMPUTER!$B$3:$B$1009&amp;"",COMPUTER!$AM$3:$AM$1009,""),"Display",_xlfn.XLOOKUP($K133&amp;"",DISPLAY!$B$3:$B$1000&amp;"",DISPLAY!$V$3:$V$1000,""),"Network Device",_xlfn.XLOOKUP($K133&amp;"",'NETWORK-DEVICES'!$B$3:$B$987&amp;"",'NETWORK-DEVICES'!$AF$3:$AF$987,""),"Peripheral",_xlfn.XLOOKUP($K133&amp;"",PERIPHERAL!$B$3:$B$954&amp;"",PERIPHERAL!$Y$3:$Y$954,""),"Utilities",_xlfn.XLOOKUP($K133&amp;"",UTILITIES!$B$3:$B$953&amp;"",UTILITIES!$O$3:$O$953,""),"IOT",_xlfn.XLOOKUP($K133&amp;"",IOT!$B$3:$B$1012&amp;"",IOT!$AB$3:$AB$1012,""),"Server",_xlfn.XLOOKUP($K133&amp;"",SERVER!$B$3:$B$1009&amp;"",SERVER!$AB$3:$AB$1009,""),""))))</f>
        <v/>
      </c>
      <c r="R133" s="43" t="str">
        <f>IF(tbl_handover[[#This Row],[Asset Code]]="","",COUNTIF(tbl_handover[Asset Code],tbl_handover[[#This Row],[Asset Code]]))</f>
        <v/>
      </c>
    </row>
    <row r="134" spans="1:18" x14ac:dyDescent="0.25">
      <c r="A134" s="43" t="str">
        <f>IF(B134&lt;&gt;"",SUBTOTAL(3,$B$1:B133),"")</f>
        <v/>
      </c>
      <c r="C134" s="74"/>
      <c r="D134" s="74"/>
      <c r="G134" s="1"/>
      <c r="K134" s="42"/>
      <c r="L134" t="str" cm="1">
        <f t="array" ref="L134">IF($K134="","",_xlfn.SWITCH($I134,"Computer",_xlfn.XLOOKUP($K134&amp;"",COMPUTER!$B$3:$B$1009&amp;"",COMPUTER!$I$3:$I$1009,""),"Display",_xlfn.XLOOKUP($K134&amp;"",DISPLAY!$B$3:$B$1000&amp;"",DISPLAY!$J$3:$J$1000,""),"Network Device",_xlfn.XLOOKUP($K134&amp;"",'NETWORK-DEVICES'!$B$3:$B$987&amp;"",'NETWORK-DEVICES'!$I$3:$I$987,""),"Peripheral",_xlfn.XLOOKUP($K134&amp;"",PERIPHERAL!$B$3:$B$954&amp;"",PERIPHERAL!$I$3:$I$954,""),"Utilities",_xlfn.XLOOKUP($K134&amp;"",UTILITIES!$B$3:$B$953&amp;"",UTILITIES!$H$3:$H$953,""),"IOT",_xlfn.XLOOKUP($K134&amp;"",IOT!$B$3:$B$1012&amp;"",IOT!$I$3:$I$1012,""),"SERVER",_xlfn.XLOOKUP($K134&amp;"",SERVER!$B$3:$B$1009&amp;"",SERVER!$I$3:$I$1009,""),""))</f>
        <v/>
      </c>
      <c r="M134" t="str" cm="1">
        <f t="array" ref="M134">IF($K134="","",_xlfn.SWITCH($I134,"Computer",_xlfn.XLOOKUP($K134&amp;"",COMPUTER!$B$3:$B$1009&amp;"",COMPUTER!$J$3:$J$1009,""),"Display",_xlfn.XLOOKUP($K134&amp;"",DISPLAY!$B$3:$B$1000&amp;"",DISPLAY!$K$3:$K$1000,""),"Network Device",_xlfn.XLOOKUP($K134&amp;"",'NETWORK-DEVICES'!$B$3:$B$987&amp;"",'NETWORK-DEVICES'!$I$3:$I$987,""),"Peripheral",_xlfn.XLOOKUP($K134&amp;"",PERIPHERAL!$B$3:$B$954&amp;"",PERIPHERAL!$J$3:$J$954,""),"Utilities",_xlfn.XLOOKUP($K134&amp;"",UTILITIES!$B$3:$B$953&amp;"",UTILITIES!$I$3:$I$953,""),"IOT",_xlfn.XLOOKUP($K134&amp;"",IOT!$B$3:$B$1012&amp;"",IOT!$J$3:$J$1012,""),"Server",_xlfn.XLOOKUP($K134&amp;"",SERVER!$B$3:$B$1009&amp;"",SERVER!$J$3:$J$1009,""),""))</f>
        <v/>
      </c>
      <c r="N134" s="1" t="str" cm="1">
        <f t="array" ref="N134">IF(OR($K134="",$I134="",$J134=""),"",_xlfn.LET(_xlpm.srcCat,_xlfn.SWITCH($I134,"Computer",_xlfn.XLOOKUP($K134&amp;"",COMPUTER!$B$3:$B$1009&amp;"",COMPUTER!$H$3:$H$1009,""),"Display",_xlfn.XLOOKUP($K134&amp;"",DISPLAY!$B$3:$B$1000&amp;"",DISPLAY!$H$3:$H$1000,""),"Network Device",_xlfn.XLOOKUP($K134&amp;"",'NETWORK-DEVICES'!$B$3:$B$987&amp;"",'NETWORK-DEVICES'!$H$3:$H$987,""),"Peripheral",_xlfn.XLOOKUP($K134&amp;"",PERIPHERAL!$B$3:$B$954&amp;"",PERIPHERAL!$H$3:$H$954,""),"Utilities",_xlfn.XLOOKUP($K134&amp;"",UTILITIES!$B$3:$B$953&amp;"",UTILITIES!$G$3:$G$953,""),"IOT",_xlfn.XLOOKUP($K134&amp;"",IOT!$B$3:$B$1012&amp;"",IOT!$H$3:$H$1012,""),"Server",_xlfn.XLOOKUP($K134&amp;"",SERVER!$B$3:$B$1009&amp;"",SERVER!$H$3:$H$1009,""),""),IF(TRIM(_xlpm.srcCat)&lt;&gt;TRIM($J134),"",_xlfn.SWITCH($I134,"Computer",_xlfn.XLOOKUP($K134&amp;"",COMPUTER!$B$3:$B$1009&amp;"",COMPUTER!$K$3:$K$1009,""),"Display",_xlfn.XLOOKUP($K134&amp;"",DISPLAY!$B$3:$B$1000&amp;"",DISPLAY!$L$3:$L$1000,""),"Network Device",_xlfn.XLOOKUP($K134&amp;"",'NETWORK-DEVICES'!$B$3:$B$987&amp;"",'NETWORK-DEVICES'!$K$3:$K$987,""),"Peripheral",_xlfn.XLOOKUP($K134&amp;"",PERIPHERAL!$B$3:$B$954&amp;"",PERIPHERAL!$K$3:$K$954,""),"Utilities",_xlfn.XLOOKUP($K134&amp;"",UTILITIES!$B$3:$B$953&amp;"",UTILITIES!$J$3:$J$953,""),"IOT",_xlfn.XLOOKUP($K134&amp;"",IOT!$B$3:$B$1012&amp;"",IOT!$K$4:$K$1012,""),"Server",_xlfn.XLOOKUP($K134&amp;"",SERVER!$B$3:$B$1009&amp;"",SERVER!$K$3:$K$1009,""),""))))</f>
        <v/>
      </c>
      <c r="O134" s="1" t="str" cm="1">
        <f t="array" ref="O134">IF(OR($K134="",$I134="",$J134=""),"",_xlfn.LET(_xlpm.srcCat,_xlfn.SWITCH($I134,"Computer",_xlfn.XLOOKUP($K134&amp;"",COMPUTER!$B$3:$B$1009&amp;"",COMPUTER!$H$3:$H$1009,""),"Display",_xlfn.XLOOKUP($K134&amp;"",DISPLAY!$B$3:$B$1000&amp;"",DISPLAY!$H$3:$H$1000,""),"Network Device",_xlfn.XLOOKUP($K134&amp;"",'NETWORK-DEVICES'!$B$3:$B$987&amp;"",'NETWORK-DEVICES'!$H$3:$H$987,""),"Peripheral",_xlfn.XLOOKUP($K134&amp;"",PERIPHERAL!$B$3:$B$954&amp;"",PERIPHERAL!$H$3:$H$954,""),"Utilities",_xlfn.XLOOKUP($K134&amp;"",UTILITIES!$B$3:$B$953&amp;"",UTILITIES!$G$3:$G$953,""),"IOT",_xlfn.XLOOKUP($K134&amp;"",IOT!$B$3:$B$1012&amp;"",IOT!$H$3:$H$1012,""),"Server",_xlfn.XLOOKUP($K134&amp;"",SERVER!$B$3:$B$1009&amp;"",SERVER!$H$3:$H$1009,""),""),IF(TRIM(_xlpm.srcCat)&lt;&gt;TRIM($J134),"",_xlfn.SWITCH($I134,"Computer",_xlfn.XLOOKUP($K134&amp;"",COMPUTER!$B$3:$B$1009&amp;"",COMPUTER!$E$3:$E$1009,""),"Display",_xlfn.XLOOKUP($K134&amp;"",DISPLAY!$B$3:$B$1000&amp;"",DISPLAY!$E$3:$E$1000,""),"Network Device",_xlfn.XLOOKUP($K134&amp;"",'NETWORK-DEVICES'!$B$3:$B$987&amp;"",'NETWORK-DEVICES'!$E$3:$E$987,""),"Peripheral",_xlfn.XLOOKUP($K134&amp;"",PERIPHERAL!$B$3:$B$954&amp;"",PERIPHERAL!$E$3:$E$954,""),"Utilities",_xlfn.XLOOKUP($K134&amp;"",UTILITIES!$B$3:$B$953&amp;"",UTILITIES!$E$3:$E$953,""),"IOT",_xlfn.XLOOKUP($K134&amp;"",IOT!$B$3:$B$1012&amp;"",IOT!$E$3:$E$1012,""),"Server",_xlfn.XLOOKUP($K134&amp;"",SERVER!$B$3:$B$1009&amp;"",SERVER!$E$3:$E$1009,""),""))))</f>
        <v/>
      </c>
      <c r="Q134" s="1" t="str" cm="1">
        <f t="array" ref="Q134">IF(OR($K134="",$I134="",$J134=""),"",_xlfn.LET(_xlpm.srcCat,_xlfn.SWITCH($I134,"Computer",_xlfn.XLOOKUP($K134&amp;"",COMPUTER!$B$3:$B$1009&amp;"",COMPUTER!$H$3:$H$1009,""),"Display",_xlfn.XLOOKUP($K134&amp;"",DISPLAY!$B$3:$B$1000&amp;"",DISPLAY!$H$3:$H$1000,""),"Network Device",_xlfn.XLOOKUP($K134&amp;"",'NETWORK-DEVICES'!$B$3:$B$987&amp;"",'NETWORK-DEVICES'!$H$3:$H$987,""),"Peripheral",_xlfn.XLOOKUP($K134&amp;"",PERIPHERAL!$B$3:$B$954&amp;"",PERIPHERAL!$H$3:$H$954,""),"Utilities",_xlfn.XLOOKUP($K134&amp;"",UTILITIES!$B$3:$B$953&amp;"",UTILITIES!$G$3:$G$953,""),"IOT",_xlfn.XLOOKUP($K134&amp;"",IOT!$B$3:$B$1012&amp;"",IOT!$H$3:$H$1012,""),"Server",_xlfn.XLOOKUP($K134&amp;"",SERVER!$B$3:$B$1009&amp;"",SERVER!$H$3:$H$1009,""),""),IF(TRIM(_xlpm.srcCat)&lt;&gt;TRIM($J134),"",_xlfn.SWITCH($I134,"Computer",_xlfn.XLOOKUP($K134&amp;"",COMPUTER!$B$3:$B$1009&amp;"",COMPUTER!$AM$3:$AM$1009,""),"Display",_xlfn.XLOOKUP($K134&amp;"",DISPLAY!$B$3:$B$1000&amp;"",DISPLAY!$V$3:$V$1000,""),"Network Device",_xlfn.XLOOKUP($K134&amp;"",'NETWORK-DEVICES'!$B$3:$B$987&amp;"",'NETWORK-DEVICES'!$AF$3:$AF$987,""),"Peripheral",_xlfn.XLOOKUP($K134&amp;"",PERIPHERAL!$B$3:$B$954&amp;"",PERIPHERAL!$Y$3:$Y$954,""),"Utilities",_xlfn.XLOOKUP($K134&amp;"",UTILITIES!$B$3:$B$953&amp;"",UTILITIES!$O$3:$O$953,""),"IOT",_xlfn.XLOOKUP($K134&amp;"",IOT!$B$3:$B$1012&amp;"",IOT!$AB$3:$AB$1012,""),"Server",_xlfn.XLOOKUP($K134&amp;"",SERVER!$B$3:$B$1009&amp;"",SERVER!$AB$3:$AB$1009,""),""))))</f>
        <v/>
      </c>
      <c r="R134" s="43" t="str">
        <f>IF(tbl_handover[[#This Row],[Asset Code]]="","",COUNTIF(tbl_handover[Asset Code],tbl_handover[[#This Row],[Asset Code]]))</f>
        <v/>
      </c>
    </row>
    <row r="135" spans="1:18" x14ac:dyDescent="0.25">
      <c r="A135" s="43" t="str">
        <f>IF(B135&lt;&gt;"",SUBTOTAL(3,$B$1:B134),"")</f>
        <v/>
      </c>
      <c r="C135" s="74"/>
      <c r="D135" s="74"/>
      <c r="G135" s="1"/>
      <c r="K135" s="42"/>
      <c r="L135" t="str" cm="1">
        <f t="array" ref="L135">IF($K135="","",_xlfn.SWITCH($I135,"Computer",_xlfn.XLOOKUP($K135&amp;"",COMPUTER!$B$3:$B$1009&amp;"",COMPUTER!$I$3:$I$1009,""),"Display",_xlfn.XLOOKUP($K135&amp;"",DISPLAY!$B$3:$B$1000&amp;"",DISPLAY!$J$3:$J$1000,""),"Network Device",_xlfn.XLOOKUP($K135&amp;"",'NETWORK-DEVICES'!$B$3:$B$987&amp;"",'NETWORK-DEVICES'!$I$3:$I$987,""),"Peripheral",_xlfn.XLOOKUP($K135&amp;"",PERIPHERAL!$B$3:$B$954&amp;"",PERIPHERAL!$I$3:$I$954,""),"Utilities",_xlfn.XLOOKUP($K135&amp;"",UTILITIES!$B$3:$B$953&amp;"",UTILITIES!$H$3:$H$953,""),"IOT",_xlfn.XLOOKUP($K135&amp;"",IOT!$B$3:$B$1012&amp;"",IOT!$I$3:$I$1012,""),"SERVER",_xlfn.XLOOKUP($K135&amp;"",SERVER!$B$3:$B$1009&amp;"",SERVER!$I$3:$I$1009,""),""))</f>
        <v/>
      </c>
      <c r="M135" t="str" cm="1">
        <f t="array" ref="M135">IF($K135="","",_xlfn.SWITCH($I135,"Computer",_xlfn.XLOOKUP($K135&amp;"",COMPUTER!$B$3:$B$1009&amp;"",COMPUTER!$J$3:$J$1009,""),"Display",_xlfn.XLOOKUP($K135&amp;"",DISPLAY!$B$3:$B$1000&amp;"",DISPLAY!$K$3:$K$1000,""),"Network Device",_xlfn.XLOOKUP($K135&amp;"",'NETWORK-DEVICES'!$B$3:$B$987&amp;"",'NETWORK-DEVICES'!$I$3:$I$987,""),"Peripheral",_xlfn.XLOOKUP($K135&amp;"",PERIPHERAL!$B$3:$B$954&amp;"",PERIPHERAL!$J$3:$J$954,""),"Utilities",_xlfn.XLOOKUP($K135&amp;"",UTILITIES!$B$3:$B$953&amp;"",UTILITIES!$I$3:$I$953,""),"IOT",_xlfn.XLOOKUP($K135&amp;"",IOT!$B$3:$B$1012&amp;"",IOT!$J$3:$J$1012,""),"Server",_xlfn.XLOOKUP($K135&amp;"",SERVER!$B$3:$B$1009&amp;"",SERVER!$J$3:$J$1009,""),""))</f>
        <v/>
      </c>
      <c r="N135" s="1" t="str" cm="1">
        <f t="array" ref="N135">IF(OR($K135="",$I135="",$J135=""),"",_xlfn.LET(_xlpm.srcCat,_xlfn.SWITCH($I135,"Computer",_xlfn.XLOOKUP($K135&amp;"",COMPUTER!$B$3:$B$1009&amp;"",COMPUTER!$H$3:$H$1009,""),"Display",_xlfn.XLOOKUP($K135&amp;"",DISPLAY!$B$3:$B$1000&amp;"",DISPLAY!$H$3:$H$1000,""),"Network Device",_xlfn.XLOOKUP($K135&amp;"",'NETWORK-DEVICES'!$B$3:$B$987&amp;"",'NETWORK-DEVICES'!$H$3:$H$987,""),"Peripheral",_xlfn.XLOOKUP($K135&amp;"",PERIPHERAL!$B$3:$B$954&amp;"",PERIPHERAL!$H$3:$H$954,""),"Utilities",_xlfn.XLOOKUP($K135&amp;"",UTILITIES!$B$3:$B$953&amp;"",UTILITIES!$G$3:$G$953,""),"IOT",_xlfn.XLOOKUP($K135&amp;"",IOT!$B$3:$B$1012&amp;"",IOT!$H$3:$H$1012,""),"Server",_xlfn.XLOOKUP($K135&amp;"",SERVER!$B$3:$B$1009&amp;"",SERVER!$H$3:$H$1009,""),""),IF(TRIM(_xlpm.srcCat)&lt;&gt;TRIM($J135),"",_xlfn.SWITCH($I135,"Computer",_xlfn.XLOOKUP($K135&amp;"",COMPUTER!$B$3:$B$1009&amp;"",COMPUTER!$K$3:$K$1009,""),"Display",_xlfn.XLOOKUP($K135&amp;"",DISPLAY!$B$3:$B$1000&amp;"",DISPLAY!$L$3:$L$1000,""),"Network Device",_xlfn.XLOOKUP($K135&amp;"",'NETWORK-DEVICES'!$B$3:$B$987&amp;"",'NETWORK-DEVICES'!$K$3:$K$987,""),"Peripheral",_xlfn.XLOOKUP($K135&amp;"",PERIPHERAL!$B$3:$B$954&amp;"",PERIPHERAL!$K$3:$K$954,""),"Utilities",_xlfn.XLOOKUP($K135&amp;"",UTILITIES!$B$3:$B$953&amp;"",UTILITIES!$J$3:$J$953,""),"IOT",_xlfn.XLOOKUP($K135&amp;"",IOT!$B$3:$B$1012&amp;"",IOT!$K$4:$K$1012,""),"Server",_xlfn.XLOOKUP($K135&amp;"",SERVER!$B$3:$B$1009&amp;"",SERVER!$K$3:$K$1009,""),""))))</f>
        <v/>
      </c>
      <c r="O135" s="1" t="str" cm="1">
        <f t="array" ref="O135">IF(OR($K135="",$I135="",$J135=""),"",_xlfn.LET(_xlpm.srcCat,_xlfn.SWITCH($I135,"Computer",_xlfn.XLOOKUP($K135&amp;"",COMPUTER!$B$3:$B$1009&amp;"",COMPUTER!$H$3:$H$1009,""),"Display",_xlfn.XLOOKUP($K135&amp;"",DISPLAY!$B$3:$B$1000&amp;"",DISPLAY!$H$3:$H$1000,""),"Network Device",_xlfn.XLOOKUP($K135&amp;"",'NETWORK-DEVICES'!$B$3:$B$987&amp;"",'NETWORK-DEVICES'!$H$3:$H$987,""),"Peripheral",_xlfn.XLOOKUP($K135&amp;"",PERIPHERAL!$B$3:$B$954&amp;"",PERIPHERAL!$H$3:$H$954,""),"Utilities",_xlfn.XLOOKUP($K135&amp;"",UTILITIES!$B$3:$B$953&amp;"",UTILITIES!$G$3:$G$953,""),"IOT",_xlfn.XLOOKUP($K135&amp;"",IOT!$B$3:$B$1012&amp;"",IOT!$H$3:$H$1012,""),"Server",_xlfn.XLOOKUP($K135&amp;"",SERVER!$B$3:$B$1009&amp;"",SERVER!$H$3:$H$1009,""),""),IF(TRIM(_xlpm.srcCat)&lt;&gt;TRIM($J135),"",_xlfn.SWITCH($I135,"Computer",_xlfn.XLOOKUP($K135&amp;"",COMPUTER!$B$3:$B$1009&amp;"",COMPUTER!$E$3:$E$1009,""),"Display",_xlfn.XLOOKUP($K135&amp;"",DISPLAY!$B$3:$B$1000&amp;"",DISPLAY!$E$3:$E$1000,""),"Network Device",_xlfn.XLOOKUP($K135&amp;"",'NETWORK-DEVICES'!$B$3:$B$987&amp;"",'NETWORK-DEVICES'!$E$3:$E$987,""),"Peripheral",_xlfn.XLOOKUP($K135&amp;"",PERIPHERAL!$B$3:$B$954&amp;"",PERIPHERAL!$E$3:$E$954,""),"Utilities",_xlfn.XLOOKUP($K135&amp;"",UTILITIES!$B$3:$B$953&amp;"",UTILITIES!$E$3:$E$953,""),"IOT",_xlfn.XLOOKUP($K135&amp;"",IOT!$B$3:$B$1012&amp;"",IOT!$E$3:$E$1012,""),"Server",_xlfn.XLOOKUP($K135&amp;"",SERVER!$B$3:$B$1009&amp;"",SERVER!$E$3:$E$1009,""),""))))</f>
        <v/>
      </c>
      <c r="Q135" s="1" t="str" cm="1">
        <f t="array" ref="Q135">IF(OR($K135="",$I135="",$J135=""),"",_xlfn.LET(_xlpm.srcCat,_xlfn.SWITCH($I135,"Computer",_xlfn.XLOOKUP($K135&amp;"",COMPUTER!$B$3:$B$1009&amp;"",COMPUTER!$H$3:$H$1009,""),"Display",_xlfn.XLOOKUP($K135&amp;"",DISPLAY!$B$3:$B$1000&amp;"",DISPLAY!$H$3:$H$1000,""),"Network Device",_xlfn.XLOOKUP($K135&amp;"",'NETWORK-DEVICES'!$B$3:$B$987&amp;"",'NETWORK-DEVICES'!$H$3:$H$987,""),"Peripheral",_xlfn.XLOOKUP($K135&amp;"",PERIPHERAL!$B$3:$B$954&amp;"",PERIPHERAL!$H$3:$H$954,""),"Utilities",_xlfn.XLOOKUP($K135&amp;"",UTILITIES!$B$3:$B$953&amp;"",UTILITIES!$G$3:$G$953,""),"IOT",_xlfn.XLOOKUP($K135&amp;"",IOT!$B$3:$B$1012&amp;"",IOT!$H$3:$H$1012,""),"Server",_xlfn.XLOOKUP($K135&amp;"",SERVER!$B$3:$B$1009&amp;"",SERVER!$H$3:$H$1009,""),""),IF(TRIM(_xlpm.srcCat)&lt;&gt;TRIM($J135),"",_xlfn.SWITCH($I135,"Computer",_xlfn.XLOOKUP($K135&amp;"",COMPUTER!$B$3:$B$1009&amp;"",COMPUTER!$AM$3:$AM$1009,""),"Display",_xlfn.XLOOKUP($K135&amp;"",DISPLAY!$B$3:$B$1000&amp;"",DISPLAY!$V$3:$V$1000,""),"Network Device",_xlfn.XLOOKUP($K135&amp;"",'NETWORK-DEVICES'!$B$3:$B$987&amp;"",'NETWORK-DEVICES'!$AF$3:$AF$987,""),"Peripheral",_xlfn.XLOOKUP($K135&amp;"",PERIPHERAL!$B$3:$B$954&amp;"",PERIPHERAL!$Y$3:$Y$954,""),"Utilities",_xlfn.XLOOKUP($K135&amp;"",UTILITIES!$B$3:$B$953&amp;"",UTILITIES!$O$3:$O$953,""),"IOT",_xlfn.XLOOKUP($K135&amp;"",IOT!$B$3:$B$1012&amp;"",IOT!$AB$3:$AB$1012,""),"Server",_xlfn.XLOOKUP($K135&amp;"",SERVER!$B$3:$B$1009&amp;"",SERVER!$AB$3:$AB$1009,""),""))))</f>
        <v/>
      </c>
      <c r="R135" s="43" t="str">
        <f>IF(tbl_handover[[#This Row],[Asset Code]]="","",COUNTIF(tbl_handover[Asset Code],tbl_handover[[#This Row],[Asset Code]]))</f>
        <v/>
      </c>
    </row>
    <row r="136" spans="1:18" x14ac:dyDescent="0.25">
      <c r="A136" s="43" t="str">
        <f>IF(B136&lt;&gt;"",SUBTOTAL(3,$B$1:B135),"")</f>
        <v/>
      </c>
      <c r="C136" s="74"/>
      <c r="D136" s="74"/>
      <c r="G136" s="1"/>
      <c r="K136" s="42"/>
      <c r="L136" t="str" cm="1">
        <f t="array" ref="L136">IF($K136="","",_xlfn.SWITCH($I136,"Computer",_xlfn.XLOOKUP($K136&amp;"",COMPUTER!$B$3:$B$1009&amp;"",COMPUTER!$I$3:$I$1009,""),"Display",_xlfn.XLOOKUP($K136&amp;"",DISPLAY!$B$3:$B$1000&amp;"",DISPLAY!$J$3:$J$1000,""),"Network Device",_xlfn.XLOOKUP($K136&amp;"",'NETWORK-DEVICES'!$B$3:$B$987&amp;"",'NETWORK-DEVICES'!$I$3:$I$987,""),"Peripheral",_xlfn.XLOOKUP($K136&amp;"",PERIPHERAL!$B$3:$B$954&amp;"",PERIPHERAL!$I$3:$I$954,""),"Utilities",_xlfn.XLOOKUP($K136&amp;"",UTILITIES!$B$3:$B$953&amp;"",UTILITIES!$H$3:$H$953,""),"IOT",_xlfn.XLOOKUP($K136&amp;"",IOT!$B$3:$B$1012&amp;"",IOT!$I$3:$I$1012,""),"SERVER",_xlfn.XLOOKUP($K136&amp;"",SERVER!$B$3:$B$1009&amp;"",SERVER!$I$3:$I$1009,""),""))</f>
        <v/>
      </c>
      <c r="M136" t="str" cm="1">
        <f t="array" ref="M136">IF($K136="","",_xlfn.SWITCH($I136,"Computer",_xlfn.XLOOKUP($K136&amp;"",COMPUTER!$B$3:$B$1009&amp;"",COMPUTER!$J$3:$J$1009,""),"Display",_xlfn.XLOOKUP($K136&amp;"",DISPLAY!$B$3:$B$1000&amp;"",DISPLAY!$K$3:$K$1000,""),"Network Device",_xlfn.XLOOKUP($K136&amp;"",'NETWORK-DEVICES'!$B$3:$B$987&amp;"",'NETWORK-DEVICES'!$I$3:$I$987,""),"Peripheral",_xlfn.XLOOKUP($K136&amp;"",PERIPHERAL!$B$3:$B$954&amp;"",PERIPHERAL!$J$3:$J$954,""),"Utilities",_xlfn.XLOOKUP($K136&amp;"",UTILITIES!$B$3:$B$953&amp;"",UTILITIES!$I$3:$I$953,""),"IOT",_xlfn.XLOOKUP($K136&amp;"",IOT!$B$3:$B$1012&amp;"",IOT!$J$3:$J$1012,""),"Server",_xlfn.XLOOKUP($K136&amp;"",SERVER!$B$3:$B$1009&amp;"",SERVER!$J$3:$J$1009,""),""))</f>
        <v/>
      </c>
      <c r="N136" s="1" t="str" cm="1">
        <f t="array" ref="N136">IF(OR($K136="",$I136="",$J136=""),"",_xlfn.LET(_xlpm.srcCat,_xlfn.SWITCH($I136,"Computer",_xlfn.XLOOKUP($K136&amp;"",COMPUTER!$B$3:$B$1009&amp;"",COMPUTER!$H$3:$H$1009,""),"Display",_xlfn.XLOOKUP($K136&amp;"",DISPLAY!$B$3:$B$1000&amp;"",DISPLAY!$H$3:$H$1000,""),"Network Device",_xlfn.XLOOKUP($K136&amp;"",'NETWORK-DEVICES'!$B$3:$B$987&amp;"",'NETWORK-DEVICES'!$H$3:$H$987,""),"Peripheral",_xlfn.XLOOKUP($K136&amp;"",PERIPHERAL!$B$3:$B$954&amp;"",PERIPHERAL!$H$3:$H$954,""),"Utilities",_xlfn.XLOOKUP($K136&amp;"",UTILITIES!$B$3:$B$953&amp;"",UTILITIES!$G$3:$G$953,""),"IOT",_xlfn.XLOOKUP($K136&amp;"",IOT!$B$3:$B$1012&amp;"",IOT!$H$3:$H$1012,""),"Server",_xlfn.XLOOKUP($K136&amp;"",SERVER!$B$3:$B$1009&amp;"",SERVER!$H$3:$H$1009,""),""),IF(TRIM(_xlpm.srcCat)&lt;&gt;TRIM($J136),"",_xlfn.SWITCH($I136,"Computer",_xlfn.XLOOKUP($K136&amp;"",COMPUTER!$B$3:$B$1009&amp;"",COMPUTER!$K$3:$K$1009,""),"Display",_xlfn.XLOOKUP($K136&amp;"",DISPLAY!$B$3:$B$1000&amp;"",DISPLAY!$L$3:$L$1000,""),"Network Device",_xlfn.XLOOKUP($K136&amp;"",'NETWORK-DEVICES'!$B$3:$B$987&amp;"",'NETWORK-DEVICES'!$K$3:$K$987,""),"Peripheral",_xlfn.XLOOKUP($K136&amp;"",PERIPHERAL!$B$3:$B$954&amp;"",PERIPHERAL!$K$3:$K$954,""),"Utilities",_xlfn.XLOOKUP($K136&amp;"",UTILITIES!$B$3:$B$953&amp;"",UTILITIES!$J$3:$J$953,""),"IOT",_xlfn.XLOOKUP($K136&amp;"",IOT!$B$3:$B$1012&amp;"",IOT!$K$4:$K$1012,""),"Server",_xlfn.XLOOKUP($K136&amp;"",SERVER!$B$3:$B$1009&amp;"",SERVER!$K$3:$K$1009,""),""))))</f>
        <v/>
      </c>
      <c r="O136" s="1" t="str" cm="1">
        <f t="array" ref="O136">IF(OR($K136="",$I136="",$J136=""),"",_xlfn.LET(_xlpm.srcCat,_xlfn.SWITCH($I136,"Computer",_xlfn.XLOOKUP($K136&amp;"",COMPUTER!$B$3:$B$1009&amp;"",COMPUTER!$H$3:$H$1009,""),"Display",_xlfn.XLOOKUP($K136&amp;"",DISPLAY!$B$3:$B$1000&amp;"",DISPLAY!$H$3:$H$1000,""),"Network Device",_xlfn.XLOOKUP($K136&amp;"",'NETWORK-DEVICES'!$B$3:$B$987&amp;"",'NETWORK-DEVICES'!$H$3:$H$987,""),"Peripheral",_xlfn.XLOOKUP($K136&amp;"",PERIPHERAL!$B$3:$B$954&amp;"",PERIPHERAL!$H$3:$H$954,""),"Utilities",_xlfn.XLOOKUP($K136&amp;"",UTILITIES!$B$3:$B$953&amp;"",UTILITIES!$G$3:$G$953,""),"IOT",_xlfn.XLOOKUP($K136&amp;"",IOT!$B$3:$B$1012&amp;"",IOT!$H$3:$H$1012,""),"Server",_xlfn.XLOOKUP($K136&amp;"",SERVER!$B$3:$B$1009&amp;"",SERVER!$H$3:$H$1009,""),""),IF(TRIM(_xlpm.srcCat)&lt;&gt;TRIM($J136),"",_xlfn.SWITCH($I136,"Computer",_xlfn.XLOOKUP($K136&amp;"",COMPUTER!$B$3:$B$1009&amp;"",COMPUTER!$E$3:$E$1009,""),"Display",_xlfn.XLOOKUP($K136&amp;"",DISPLAY!$B$3:$B$1000&amp;"",DISPLAY!$E$3:$E$1000,""),"Network Device",_xlfn.XLOOKUP($K136&amp;"",'NETWORK-DEVICES'!$B$3:$B$987&amp;"",'NETWORK-DEVICES'!$E$3:$E$987,""),"Peripheral",_xlfn.XLOOKUP($K136&amp;"",PERIPHERAL!$B$3:$B$954&amp;"",PERIPHERAL!$E$3:$E$954,""),"Utilities",_xlfn.XLOOKUP($K136&amp;"",UTILITIES!$B$3:$B$953&amp;"",UTILITIES!$E$3:$E$953,""),"IOT",_xlfn.XLOOKUP($K136&amp;"",IOT!$B$3:$B$1012&amp;"",IOT!$E$3:$E$1012,""),"Server",_xlfn.XLOOKUP($K136&amp;"",SERVER!$B$3:$B$1009&amp;"",SERVER!$E$3:$E$1009,""),""))))</f>
        <v/>
      </c>
      <c r="Q136" s="1" t="str" cm="1">
        <f t="array" ref="Q136">IF(OR($K136="",$I136="",$J136=""),"",_xlfn.LET(_xlpm.srcCat,_xlfn.SWITCH($I136,"Computer",_xlfn.XLOOKUP($K136&amp;"",COMPUTER!$B$3:$B$1009&amp;"",COMPUTER!$H$3:$H$1009,""),"Display",_xlfn.XLOOKUP($K136&amp;"",DISPLAY!$B$3:$B$1000&amp;"",DISPLAY!$H$3:$H$1000,""),"Network Device",_xlfn.XLOOKUP($K136&amp;"",'NETWORK-DEVICES'!$B$3:$B$987&amp;"",'NETWORK-DEVICES'!$H$3:$H$987,""),"Peripheral",_xlfn.XLOOKUP($K136&amp;"",PERIPHERAL!$B$3:$B$954&amp;"",PERIPHERAL!$H$3:$H$954,""),"Utilities",_xlfn.XLOOKUP($K136&amp;"",UTILITIES!$B$3:$B$953&amp;"",UTILITIES!$G$3:$G$953,""),"IOT",_xlfn.XLOOKUP($K136&amp;"",IOT!$B$3:$B$1012&amp;"",IOT!$H$3:$H$1012,""),"Server",_xlfn.XLOOKUP($K136&amp;"",SERVER!$B$3:$B$1009&amp;"",SERVER!$H$3:$H$1009,""),""),IF(TRIM(_xlpm.srcCat)&lt;&gt;TRIM($J136),"",_xlfn.SWITCH($I136,"Computer",_xlfn.XLOOKUP($K136&amp;"",COMPUTER!$B$3:$B$1009&amp;"",COMPUTER!$AM$3:$AM$1009,""),"Display",_xlfn.XLOOKUP($K136&amp;"",DISPLAY!$B$3:$B$1000&amp;"",DISPLAY!$V$3:$V$1000,""),"Network Device",_xlfn.XLOOKUP($K136&amp;"",'NETWORK-DEVICES'!$B$3:$B$987&amp;"",'NETWORK-DEVICES'!$AF$3:$AF$987,""),"Peripheral",_xlfn.XLOOKUP($K136&amp;"",PERIPHERAL!$B$3:$B$954&amp;"",PERIPHERAL!$Y$3:$Y$954,""),"Utilities",_xlfn.XLOOKUP($K136&amp;"",UTILITIES!$B$3:$B$953&amp;"",UTILITIES!$O$3:$O$953,""),"IOT",_xlfn.XLOOKUP($K136&amp;"",IOT!$B$3:$B$1012&amp;"",IOT!$AB$3:$AB$1012,""),"Server",_xlfn.XLOOKUP($K136&amp;"",SERVER!$B$3:$B$1009&amp;"",SERVER!$AB$3:$AB$1009,""),""))))</f>
        <v/>
      </c>
      <c r="R136" s="43" t="str">
        <f>IF(tbl_handover[[#This Row],[Asset Code]]="","",COUNTIF(tbl_handover[Asset Code],tbl_handover[[#This Row],[Asset Code]]))</f>
        <v/>
      </c>
    </row>
    <row r="137" spans="1:18" x14ac:dyDescent="0.25">
      <c r="A137" s="43" t="str">
        <f>IF(B137&lt;&gt;"",SUBTOTAL(3,$B$1:B136),"")</f>
        <v/>
      </c>
      <c r="C137" s="74"/>
      <c r="D137" s="74"/>
      <c r="G137" s="1"/>
      <c r="K137" s="42"/>
      <c r="L137" t="str" cm="1">
        <f t="array" ref="L137">IF($K137="","",_xlfn.SWITCH($I137,"Computer",_xlfn.XLOOKUP($K137&amp;"",COMPUTER!$B$3:$B$1009&amp;"",COMPUTER!$I$3:$I$1009,""),"Display",_xlfn.XLOOKUP($K137&amp;"",DISPLAY!$B$3:$B$1000&amp;"",DISPLAY!$J$3:$J$1000,""),"Network Device",_xlfn.XLOOKUP($K137&amp;"",'NETWORK-DEVICES'!$B$3:$B$987&amp;"",'NETWORK-DEVICES'!$I$3:$I$987,""),"Peripheral",_xlfn.XLOOKUP($K137&amp;"",PERIPHERAL!$B$3:$B$954&amp;"",PERIPHERAL!$I$3:$I$954,""),"Utilities",_xlfn.XLOOKUP($K137&amp;"",UTILITIES!$B$3:$B$953&amp;"",UTILITIES!$H$3:$H$953,""),"IOT",_xlfn.XLOOKUP($K137&amp;"",IOT!$B$3:$B$1012&amp;"",IOT!$I$3:$I$1012,""),"SERVER",_xlfn.XLOOKUP($K137&amp;"",SERVER!$B$3:$B$1009&amp;"",SERVER!$I$3:$I$1009,""),""))</f>
        <v/>
      </c>
      <c r="M137" t="str" cm="1">
        <f t="array" ref="M137">IF($K137="","",_xlfn.SWITCH($I137,"Computer",_xlfn.XLOOKUP($K137&amp;"",COMPUTER!$B$3:$B$1009&amp;"",COMPUTER!$J$3:$J$1009,""),"Display",_xlfn.XLOOKUP($K137&amp;"",DISPLAY!$B$3:$B$1000&amp;"",DISPLAY!$K$3:$K$1000,""),"Network Device",_xlfn.XLOOKUP($K137&amp;"",'NETWORK-DEVICES'!$B$3:$B$987&amp;"",'NETWORK-DEVICES'!$I$3:$I$987,""),"Peripheral",_xlfn.XLOOKUP($K137&amp;"",PERIPHERAL!$B$3:$B$954&amp;"",PERIPHERAL!$J$3:$J$954,""),"Utilities",_xlfn.XLOOKUP($K137&amp;"",UTILITIES!$B$3:$B$953&amp;"",UTILITIES!$I$3:$I$953,""),"IOT",_xlfn.XLOOKUP($K137&amp;"",IOT!$B$3:$B$1012&amp;"",IOT!$J$3:$J$1012,""),"Server",_xlfn.XLOOKUP($K137&amp;"",SERVER!$B$3:$B$1009&amp;"",SERVER!$J$3:$J$1009,""),""))</f>
        <v/>
      </c>
      <c r="N137" s="1" t="str" cm="1">
        <f t="array" ref="N137">IF(OR($K137="",$I137="",$J137=""),"",_xlfn.LET(_xlpm.srcCat,_xlfn.SWITCH($I137,"Computer",_xlfn.XLOOKUP($K137&amp;"",COMPUTER!$B$3:$B$1009&amp;"",COMPUTER!$H$3:$H$1009,""),"Display",_xlfn.XLOOKUP($K137&amp;"",DISPLAY!$B$3:$B$1000&amp;"",DISPLAY!$H$3:$H$1000,""),"Network Device",_xlfn.XLOOKUP($K137&amp;"",'NETWORK-DEVICES'!$B$3:$B$987&amp;"",'NETWORK-DEVICES'!$H$3:$H$987,""),"Peripheral",_xlfn.XLOOKUP($K137&amp;"",PERIPHERAL!$B$3:$B$954&amp;"",PERIPHERAL!$H$3:$H$954,""),"Utilities",_xlfn.XLOOKUP($K137&amp;"",UTILITIES!$B$3:$B$953&amp;"",UTILITIES!$G$3:$G$953,""),"IOT",_xlfn.XLOOKUP($K137&amp;"",IOT!$B$3:$B$1012&amp;"",IOT!$H$3:$H$1012,""),"Server",_xlfn.XLOOKUP($K137&amp;"",SERVER!$B$3:$B$1009&amp;"",SERVER!$H$3:$H$1009,""),""),IF(TRIM(_xlpm.srcCat)&lt;&gt;TRIM($J137),"",_xlfn.SWITCH($I137,"Computer",_xlfn.XLOOKUP($K137&amp;"",COMPUTER!$B$3:$B$1009&amp;"",COMPUTER!$K$3:$K$1009,""),"Display",_xlfn.XLOOKUP($K137&amp;"",DISPLAY!$B$3:$B$1000&amp;"",DISPLAY!$L$3:$L$1000,""),"Network Device",_xlfn.XLOOKUP($K137&amp;"",'NETWORK-DEVICES'!$B$3:$B$987&amp;"",'NETWORK-DEVICES'!$K$3:$K$987,""),"Peripheral",_xlfn.XLOOKUP($K137&amp;"",PERIPHERAL!$B$3:$B$954&amp;"",PERIPHERAL!$K$3:$K$954,""),"Utilities",_xlfn.XLOOKUP($K137&amp;"",UTILITIES!$B$3:$B$953&amp;"",UTILITIES!$J$3:$J$953,""),"IOT",_xlfn.XLOOKUP($K137&amp;"",IOT!$B$3:$B$1012&amp;"",IOT!$K$4:$K$1012,""),"Server",_xlfn.XLOOKUP($K137&amp;"",SERVER!$B$3:$B$1009&amp;"",SERVER!$K$3:$K$1009,""),""))))</f>
        <v/>
      </c>
      <c r="O137" s="1" t="str" cm="1">
        <f t="array" ref="O137">IF(OR($K137="",$I137="",$J137=""),"",_xlfn.LET(_xlpm.srcCat,_xlfn.SWITCH($I137,"Computer",_xlfn.XLOOKUP($K137&amp;"",COMPUTER!$B$3:$B$1009&amp;"",COMPUTER!$H$3:$H$1009,""),"Display",_xlfn.XLOOKUP($K137&amp;"",DISPLAY!$B$3:$B$1000&amp;"",DISPLAY!$H$3:$H$1000,""),"Network Device",_xlfn.XLOOKUP($K137&amp;"",'NETWORK-DEVICES'!$B$3:$B$987&amp;"",'NETWORK-DEVICES'!$H$3:$H$987,""),"Peripheral",_xlfn.XLOOKUP($K137&amp;"",PERIPHERAL!$B$3:$B$954&amp;"",PERIPHERAL!$H$3:$H$954,""),"Utilities",_xlfn.XLOOKUP($K137&amp;"",UTILITIES!$B$3:$B$953&amp;"",UTILITIES!$G$3:$G$953,""),"IOT",_xlfn.XLOOKUP($K137&amp;"",IOT!$B$3:$B$1012&amp;"",IOT!$H$3:$H$1012,""),"Server",_xlfn.XLOOKUP($K137&amp;"",SERVER!$B$3:$B$1009&amp;"",SERVER!$H$3:$H$1009,""),""),IF(TRIM(_xlpm.srcCat)&lt;&gt;TRIM($J137),"",_xlfn.SWITCH($I137,"Computer",_xlfn.XLOOKUP($K137&amp;"",COMPUTER!$B$3:$B$1009&amp;"",COMPUTER!$E$3:$E$1009,""),"Display",_xlfn.XLOOKUP($K137&amp;"",DISPLAY!$B$3:$B$1000&amp;"",DISPLAY!$E$3:$E$1000,""),"Network Device",_xlfn.XLOOKUP($K137&amp;"",'NETWORK-DEVICES'!$B$3:$B$987&amp;"",'NETWORK-DEVICES'!$E$3:$E$987,""),"Peripheral",_xlfn.XLOOKUP($K137&amp;"",PERIPHERAL!$B$3:$B$954&amp;"",PERIPHERAL!$E$3:$E$954,""),"Utilities",_xlfn.XLOOKUP($K137&amp;"",UTILITIES!$B$3:$B$953&amp;"",UTILITIES!$E$3:$E$953,""),"IOT",_xlfn.XLOOKUP($K137&amp;"",IOT!$B$3:$B$1012&amp;"",IOT!$E$3:$E$1012,""),"Server",_xlfn.XLOOKUP($K137&amp;"",SERVER!$B$3:$B$1009&amp;"",SERVER!$E$3:$E$1009,""),""))))</f>
        <v/>
      </c>
      <c r="Q137" s="1" t="str" cm="1">
        <f t="array" ref="Q137">IF(OR($K137="",$I137="",$J137=""),"",_xlfn.LET(_xlpm.srcCat,_xlfn.SWITCH($I137,"Computer",_xlfn.XLOOKUP($K137&amp;"",COMPUTER!$B$3:$B$1009&amp;"",COMPUTER!$H$3:$H$1009,""),"Display",_xlfn.XLOOKUP($K137&amp;"",DISPLAY!$B$3:$B$1000&amp;"",DISPLAY!$H$3:$H$1000,""),"Network Device",_xlfn.XLOOKUP($K137&amp;"",'NETWORK-DEVICES'!$B$3:$B$987&amp;"",'NETWORK-DEVICES'!$H$3:$H$987,""),"Peripheral",_xlfn.XLOOKUP($K137&amp;"",PERIPHERAL!$B$3:$B$954&amp;"",PERIPHERAL!$H$3:$H$954,""),"Utilities",_xlfn.XLOOKUP($K137&amp;"",UTILITIES!$B$3:$B$953&amp;"",UTILITIES!$G$3:$G$953,""),"IOT",_xlfn.XLOOKUP($K137&amp;"",IOT!$B$3:$B$1012&amp;"",IOT!$H$3:$H$1012,""),"Server",_xlfn.XLOOKUP($K137&amp;"",SERVER!$B$3:$B$1009&amp;"",SERVER!$H$3:$H$1009,""),""),IF(TRIM(_xlpm.srcCat)&lt;&gt;TRIM($J137),"",_xlfn.SWITCH($I137,"Computer",_xlfn.XLOOKUP($K137&amp;"",COMPUTER!$B$3:$B$1009&amp;"",COMPUTER!$AM$3:$AM$1009,""),"Display",_xlfn.XLOOKUP($K137&amp;"",DISPLAY!$B$3:$B$1000&amp;"",DISPLAY!$V$3:$V$1000,""),"Network Device",_xlfn.XLOOKUP($K137&amp;"",'NETWORK-DEVICES'!$B$3:$B$987&amp;"",'NETWORK-DEVICES'!$AF$3:$AF$987,""),"Peripheral",_xlfn.XLOOKUP($K137&amp;"",PERIPHERAL!$B$3:$B$954&amp;"",PERIPHERAL!$Y$3:$Y$954,""),"Utilities",_xlfn.XLOOKUP($K137&amp;"",UTILITIES!$B$3:$B$953&amp;"",UTILITIES!$O$3:$O$953,""),"IOT",_xlfn.XLOOKUP($K137&amp;"",IOT!$B$3:$B$1012&amp;"",IOT!$AB$3:$AB$1012,""),"Server",_xlfn.XLOOKUP($K137&amp;"",SERVER!$B$3:$B$1009&amp;"",SERVER!$AB$3:$AB$1009,""),""))))</f>
        <v/>
      </c>
      <c r="R137" s="43" t="str">
        <f>IF(tbl_handover[[#This Row],[Asset Code]]="","",COUNTIF(tbl_handover[Asset Code],tbl_handover[[#This Row],[Asset Code]]))</f>
        <v/>
      </c>
    </row>
    <row r="138" spans="1:18" x14ac:dyDescent="0.25">
      <c r="A138" s="43" t="str">
        <f>IF(B138&lt;&gt;"",SUBTOTAL(3,$B$1:B137),"")</f>
        <v/>
      </c>
      <c r="C138" s="74"/>
      <c r="D138" s="74"/>
      <c r="G138" s="1"/>
      <c r="K138" s="42"/>
      <c r="L138" t="str" cm="1">
        <f t="array" ref="L138">IF($K138="","",_xlfn.SWITCH($I138,"Computer",_xlfn.XLOOKUP($K138&amp;"",COMPUTER!$B$3:$B$1009&amp;"",COMPUTER!$I$3:$I$1009,""),"Display",_xlfn.XLOOKUP($K138&amp;"",DISPLAY!$B$3:$B$1000&amp;"",DISPLAY!$J$3:$J$1000,""),"Network Device",_xlfn.XLOOKUP($K138&amp;"",'NETWORK-DEVICES'!$B$3:$B$987&amp;"",'NETWORK-DEVICES'!$I$3:$I$987,""),"Peripheral",_xlfn.XLOOKUP($K138&amp;"",PERIPHERAL!$B$3:$B$954&amp;"",PERIPHERAL!$I$3:$I$954,""),"Utilities",_xlfn.XLOOKUP($K138&amp;"",UTILITIES!$B$3:$B$953&amp;"",UTILITIES!$H$3:$H$953,""),"IOT",_xlfn.XLOOKUP($K138&amp;"",IOT!$B$3:$B$1012&amp;"",IOT!$I$3:$I$1012,""),"SERVER",_xlfn.XLOOKUP($K138&amp;"",SERVER!$B$3:$B$1009&amp;"",SERVER!$I$3:$I$1009,""),""))</f>
        <v/>
      </c>
      <c r="M138" t="str" cm="1">
        <f t="array" ref="M138">IF($K138="","",_xlfn.SWITCH($I138,"Computer",_xlfn.XLOOKUP($K138&amp;"",COMPUTER!$B$3:$B$1009&amp;"",COMPUTER!$J$3:$J$1009,""),"Display",_xlfn.XLOOKUP($K138&amp;"",DISPLAY!$B$3:$B$1000&amp;"",DISPLAY!$K$3:$K$1000,""),"Network Device",_xlfn.XLOOKUP($K138&amp;"",'NETWORK-DEVICES'!$B$3:$B$987&amp;"",'NETWORK-DEVICES'!$I$3:$I$987,""),"Peripheral",_xlfn.XLOOKUP($K138&amp;"",PERIPHERAL!$B$3:$B$954&amp;"",PERIPHERAL!$J$3:$J$954,""),"Utilities",_xlfn.XLOOKUP($K138&amp;"",UTILITIES!$B$3:$B$953&amp;"",UTILITIES!$I$3:$I$953,""),"IOT",_xlfn.XLOOKUP($K138&amp;"",IOT!$B$3:$B$1012&amp;"",IOT!$J$3:$J$1012,""),"Server",_xlfn.XLOOKUP($K138&amp;"",SERVER!$B$3:$B$1009&amp;"",SERVER!$J$3:$J$1009,""),""))</f>
        <v/>
      </c>
      <c r="N138" s="1" t="str" cm="1">
        <f t="array" ref="N138">IF(OR($K138="",$I138="",$J138=""),"",_xlfn.LET(_xlpm.srcCat,_xlfn.SWITCH($I138,"Computer",_xlfn.XLOOKUP($K138&amp;"",COMPUTER!$B$3:$B$1009&amp;"",COMPUTER!$H$3:$H$1009,""),"Display",_xlfn.XLOOKUP($K138&amp;"",DISPLAY!$B$3:$B$1000&amp;"",DISPLAY!$H$3:$H$1000,""),"Network Device",_xlfn.XLOOKUP($K138&amp;"",'NETWORK-DEVICES'!$B$3:$B$987&amp;"",'NETWORK-DEVICES'!$H$3:$H$987,""),"Peripheral",_xlfn.XLOOKUP($K138&amp;"",PERIPHERAL!$B$3:$B$954&amp;"",PERIPHERAL!$H$3:$H$954,""),"Utilities",_xlfn.XLOOKUP($K138&amp;"",UTILITIES!$B$3:$B$953&amp;"",UTILITIES!$G$3:$G$953,""),"IOT",_xlfn.XLOOKUP($K138&amp;"",IOT!$B$3:$B$1012&amp;"",IOT!$H$3:$H$1012,""),"Server",_xlfn.XLOOKUP($K138&amp;"",SERVER!$B$3:$B$1009&amp;"",SERVER!$H$3:$H$1009,""),""),IF(TRIM(_xlpm.srcCat)&lt;&gt;TRIM($J138),"",_xlfn.SWITCH($I138,"Computer",_xlfn.XLOOKUP($K138&amp;"",COMPUTER!$B$3:$B$1009&amp;"",COMPUTER!$K$3:$K$1009,""),"Display",_xlfn.XLOOKUP($K138&amp;"",DISPLAY!$B$3:$B$1000&amp;"",DISPLAY!$L$3:$L$1000,""),"Network Device",_xlfn.XLOOKUP($K138&amp;"",'NETWORK-DEVICES'!$B$3:$B$987&amp;"",'NETWORK-DEVICES'!$K$3:$K$987,""),"Peripheral",_xlfn.XLOOKUP($K138&amp;"",PERIPHERAL!$B$3:$B$954&amp;"",PERIPHERAL!$K$3:$K$954,""),"Utilities",_xlfn.XLOOKUP($K138&amp;"",UTILITIES!$B$3:$B$953&amp;"",UTILITIES!$J$3:$J$953,""),"IOT",_xlfn.XLOOKUP($K138&amp;"",IOT!$B$3:$B$1012&amp;"",IOT!$K$4:$K$1012,""),"Server",_xlfn.XLOOKUP($K138&amp;"",SERVER!$B$3:$B$1009&amp;"",SERVER!$K$3:$K$1009,""),""))))</f>
        <v/>
      </c>
      <c r="O138" s="1" t="str" cm="1">
        <f t="array" ref="O138">IF(OR($K138="",$I138="",$J138=""),"",_xlfn.LET(_xlpm.srcCat,_xlfn.SWITCH($I138,"Computer",_xlfn.XLOOKUP($K138&amp;"",COMPUTER!$B$3:$B$1009&amp;"",COMPUTER!$H$3:$H$1009,""),"Display",_xlfn.XLOOKUP($K138&amp;"",DISPLAY!$B$3:$B$1000&amp;"",DISPLAY!$H$3:$H$1000,""),"Network Device",_xlfn.XLOOKUP($K138&amp;"",'NETWORK-DEVICES'!$B$3:$B$987&amp;"",'NETWORK-DEVICES'!$H$3:$H$987,""),"Peripheral",_xlfn.XLOOKUP($K138&amp;"",PERIPHERAL!$B$3:$B$954&amp;"",PERIPHERAL!$H$3:$H$954,""),"Utilities",_xlfn.XLOOKUP($K138&amp;"",UTILITIES!$B$3:$B$953&amp;"",UTILITIES!$G$3:$G$953,""),"IOT",_xlfn.XLOOKUP($K138&amp;"",IOT!$B$3:$B$1012&amp;"",IOT!$H$3:$H$1012,""),"Server",_xlfn.XLOOKUP($K138&amp;"",SERVER!$B$3:$B$1009&amp;"",SERVER!$H$3:$H$1009,""),""),IF(TRIM(_xlpm.srcCat)&lt;&gt;TRIM($J138),"",_xlfn.SWITCH($I138,"Computer",_xlfn.XLOOKUP($K138&amp;"",COMPUTER!$B$3:$B$1009&amp;"",COMPUTER!$E$3:$E$1009,""),"Display",_xlfn.XLOOKUP($K138&amp;"",DISPLAY!$B$3:$B$1000&amp;"",DISPLAY!$E$3:$E$1000,""),"Network Device",_xlfn.XLOOKUP($K138&amp;"",'NETWORK-DEVICES'!$B$3:$B$987&amp;"",'NETWORK-DEVICES'!$E$3:$E$987,""),"Peripheral",_xlfn.XLOOKUP($K138&amp;"",PERIPHERAL!$B$3:$B$954&amp;"",PERIPHERAL!$E$3:$E$954,""),"Utilities",_xlfn.XLOOKUP($K138&amp;"",UTILITIES!$B$3:$B$953&amp;"",UTILITIES!$E$3:$E$953,""),"IOT",_xlfn.XLOOKUP($K138&amp;"",IOT!$B$3:$B$1012&amp;"",IOT!$E$3:$E$1012,""),"Server",_xlfn.XLOOKUP($K138&amp;"",SERVER!$B$3:$B$1009&amp;"",SERVER!$E$3:$E$1009,""),""))))</f>
        <v/>
      </c>
      <c r="Q138" s="1" t="str" cm="1">
        <f t="array" ref="Q138">IF(OR($K138="",$I138="",$J138=""),"",_xlfn.LET(_xlpm.srcCat,_xlfn.SWITCH($I138,"Computer",_xlfn.XLOOKUP($K138&amp;"",COMPUTER!$B$3:$B$1009&amp;"",COMPUTER!$H$3:$H$1009,""),"Display",_xlfn.XLOOKUP($K138&amp;"",DISPLAY!$B$3:$B$1000&amp;"",DISPLAY!$H$3:$H$1000,""),"Network Device",_xlfn.XLOOKUP($K138&amp;"",'NETWORK-DEVICES'!$B$3:$B$987&amp;"",'NETWORK-DEVICES'!$H$3:$H$987,""),"Peripheral",_xlfn.XLOOKUP($K138&amp;"",PERIPHERAL!$B$3:$B$954&amp;"",PERIPHERAL!$H$3:$H$954,""),"Utilities",_xlfn.XLOOKUP($K138&amp;"",UTILITIES!$B$3:$B$953&amp;"",UTILITIES!$G$3:$G$953,""),"IOT",_xlfn.XLOOKUP($K138&amp;"",IOT!$B$3:$B$1012&amp;"",IOT!$H$3:$H$1012,""),"Server",_xlfn.XLOOKUP($K138&amp;"",SERVER!$B$3:$B$1009&amp;"",SERVER!$H$3:$H$1009,""),""),IF(TRIM(_xlpm.srcCat)&lt;&gt;TRIM($J138),"",_xlfn.SWITCH($I138,"Computer",_xlfn.XLOOKUP($K138&amp;"",COMPUTER!$B$3:$B$1009&amp;"",COMPUTER!$AM$3:$AM$1009,""),"Display",_xlfn.XLOOKUP($K138&amp;"",DISPLAY!$B$3:$B$1000&amp;"",DISPLAY!$V$3:$V$1000,""),"Network Device",_xlfn.XLOOKUP($K138&amp;"",'NETWORK-DEVICES'!$B$3:$B$987&amp;"",'NETWORK-DEVICES'!$AF$3:$AF$987,""),"Peripheral",_xlfn.XLOOKUP($K138&amp;"",PERIPHERAL!$B$3:$B$954&amp;"",PERIPHERAL!$Y$3:$Y$954,""),"Utilities",_xlfn.XLOOKUP($K138&amp;"",UTILITIES!$B$3:$B$953&amp;"",UTILITIES!$O$3:$O$953,""),"IOT",_xlfn.XLOOKUP($K138&amp;"",IOT!$B$3:$B$1012&amp;"",IOT!$AB$3:$AB$1012,""),"Server",_xlfn.XLOOKUP($K138&amp;"",SERVER!$B$3:$B$1009&amp;"",SERVER!$AB$3:$AB$1009,""),""))))</f>
        <v/>
      </c>
      <c r="R138" s="43" t="str">
        <f>IF(tbl_handover[[#This Row],[Asset Code]]="","",COUNTIF(tbl_handover[Asset Code],tbl_handover[[#This Row],[Asset Code]]))</f>
        <v/>
      </c>
    </row>
    <row r="139" spans="1:18" x14ac:dyDescent="0.25">
      <c r="A139" s="43" t="str">
        <f>IF(B139&lt;&gt;"",SUBTOTAL(3,$B$1:B138),"")</f>
        <v/>
      </c>
      <c r="C139" s="74"/>
      <c r="D139" s="74"/>
      <c r="G139" s="1"/>
      <c r="K139" s="42"/>
      <c r="L139" t="str" cm="1">
        <f t="array" ref="L139">IF($K139="","",_xlfn.SWITCH($I139,"Computer",_xlfn.XLOOKUP($K139&amp;"",COMPUTER!$B$3:$B$1009&amp;"",COMPUTER!$I$3:$I$1009,""),"Display",_xlfn.XLOOKUP($K139&amp;"",DISPLAY!$B$3:$B$1000&amp;"",DISPLAY!$J$3:$J$1000,""),"Network Device",_xlfn.XLOOKUP($K139&amp;"",'NETWORK-DEVICES'!$B$3:$B$987&amp;"",'NETWORK-DEVICES'!$I$3:$I$987,""),"Peripheral",_xlfn.XLOOKUP($K139&amp;"",PERIPHERAL!$B$3:$B$954&amp;"",PERIPHERAL!$I$3:$I$954,""),"Utilities",_xlfn.XLOOKUP($K139&amp;"",UTILITIES!$B$3:$B$953&amp;"",UTILITIES!$H$3:$H$953,""),"IOT",_xlfn.XLOOKUP($K139&amp;"",IOT!$B$3:$B$1012&amp;"",IOT!$I$3:$I$1012,""),"SERVER",_xlfn.XLOOKUP($K139&amp;"",SERVER!$B$3:$B$1009&amp;"",SERVER!$I$3:$I$1009,""),""))</f>
        <v/>
      </c>
      <c r="M139" t="str" cm="1">
        <f t="array" ref="M139">IF($K139="","",_xlfn.SWITCH($I139,"Computer",_xlfn.XLOOKUP($K139&amp;"",COMPUTER!$B$3:$B$1009&amp;"",COMPUTER!$J$3:$J$1009,""),"Display",_xlfn.XLOOKUP($K139&amp;"",DISPLAY!$B$3:$B$1000&amp;"",DISPLAY!$K$3:$K$1000,""),"Network Device",_xlfn.XLOOKUP($K139&amp;"",'NETWORK-DEVICES'!$B$3:$B$987&amp;"",'NETWORK-DEVICES'!$I$3:$I$987,""),"Peripheral",_xlfn.XLOOKUP($K139&amp;"",PERIPHERAL!$B$3:$B$954&amp;"",PERIPHERAL!$J$3:$J$954,""),"Utilities",_xlfn.XLOOKUP($K139&amp;"",UTILITIES!$B$3:$B$953&amp;"",UTILITIES!$I$3:$I$953,""),"IOT",_xlfn.XLOOKUP($K139&amp;"",IOT!$B$3:$B$1012&amp;"",IOT!$J$3:$J$1012,""),"Server",_xlfn.XLOOKUP($K139&amp;"",SERVER!$B$3:$B$1009&amp;"",SERVER!$J$3:$J$1009,""),""))</f>
        <v/>
      </c>
      <c r="N139" s="1" t="str" cm="1">
        <f t="array" ref="N139">IF(OR($K139="",$I139="",$J139=""),"",_xlfn.LET(_xlpm.srcCat,_xlfn.SWITCH($I139,"Computer",_xlfn.XLOOKUP($K139&amp;"",COMPUTER!$B$3:$B$1009&amp;"",COMPUTER!$H$3:$H$1009,""),"Display",_xlfn.XLOOKUP($K139&amp;"",DISPLAY!$B$3:$B$1000&amp;"",DISPLAY!$H$3:$H$1000,""),"Network Device",_xlfn.XLOOKUP($K139&amp;"",'NETWORK-DEVICES'!$B$3:$B$987&amp;"",'NETWORK-DEVICES'!$H$3:$H$987,""),"Peripheral",_xlfn.XLOOKUP($K139&amp;"",PERIPHERAL!$B$3:$B$954&amp;"",PERIPHERAL!$H$3:$H$954,""),"Utilities",_xlfn.XLOOKUP($K139&amp;"",UTILITIES!$B$3:$B$953&amp;"",UTILITIES!$G$3:$G$953,""),"IOT",_xlfn.XLOOKUP($K139&amp;"",IOT!$B$3:$B$1012&amp;"",IOT!$H$3:$H$1012,""),"Server",_xlfn.XLOOKUP($K139&amp;"",SERVER!$B$3:$B$1009&amp;"",SERVER!$H$3:$H$1009,""),""),IF(TRIM(_xlpm.srcCat)&lt;&gt;TRIM($J139),"",_xlfn.SWITCH($I139,"Computer",_xlfn.XLOOKUP($K139&amp;"",COMPUTER!$B$3:$B$1009&amp;"",COMPUTER!$K$3:$K$1009,""),"Display",_xlfn.XLOOKUP($K139&amp;"",DISPLAY!$B$3:$B$1000&amp;"",DISPLAY!$L$3:$L$1000,""),"Network Device",_xlfn.XLOOKUP($K139&amp;"",'NETWORK-DEVICES'!$B$3:$B$987&amp;"",'NETWORK-DEVICES'!$K$3:$K$987,""),"Peripheral",_xlfn.XLOOKUP($K139&amp;"",PERIPHERAL!$B$3:$B$954&amp;"",PERIPHERAL!$K$3:$K$954,""),"Utilities",_xlfn.XLOOKUP($K139&amp;"",UTILITIES!$B$3:$B$953&amp;"",UTILITIES!$J$3:$J$953,""),"IOT",_xlfn.XLOOKUP($K139&amp;"",IOT!$B$3:$B$1012&amp;"",IOT!$K$4:$K$1012,""),"Server",_xlfn.XLOOKUP($K139&amp;"",SERVER!$B$3:$B$1009&amp;"",SERVER!$K$3:$K$1009,""),""))))</f>
        <v/>
      </c>
      <c r="O139" s="1" t="str" cm="1">
        <f t="array" ref="O139">IF(OR($K139="",$I139="",$J139=""),"",_xlfn.LET(_xlpm.srcCat,_xlfn.SWITCH($I139,"Computer",_xlfn.XLOOKUP($K139&amp;"",COMPUTER!$B$3:$B$1009&amp;"",COMPUTER!$H$3:$H$1009,""),"Display",_xlfn.XLOOKUP($K139&amp;"",DISPLAY!$B$3:$B$1000&amp;"",DISPLAY!$H$3:$H$1000,""),"Network Device",_xlfn.XLOOKUP($K139&amp;"",'NETWORK-DEVICES'!$B$3:$B$987&amp;"",'NETWORK-DEVICES'!$H$3:$H$987,""),"Peripheral",_xlfn.XLOOKUP($K139&amp;"",PERIPHERAL!$B$3:$B$954&amp;"",PERIPHERAL!$H$3:$H$954,""),"Utilities",_xlfn.XLOOKUP($K139&amp;"",UTILITIES!$B$3:$B$953&amp;"",UTILITIES!$G$3:$G$953,""),"IOT",_xlfn.XLOOKUP($K139&amp;"",IOT!$B$3:$B$1012&amp;"",IOT!$H$3:$H$1012,""),"Server",_xlfn.XLOOKUP($K139&amp;"",SERVER!$B$3:$B$1009&amp;"",SERVER!$H$3:$H$1009,""),""),IF(TRIM(_xlpm.srcCat)&lt;&gt;TRIM($J139),"",_xlfn.SWITCH($I139,"Computer",_xlfn.XLOOKUP($K139&amp;"",COMPUTER!$B$3:$B$1009&amp;"",COMPUTER!$E$3:$E$1009,""),"Display",_xlfn.XLOOKUP($K139&amp;"",DISPLAY!$B$3:$B$1000&amp;"",DISPLAY!$E$3:$E$1000,""),"Network Device",_xlfn.XLOOKUP($K139&amp;"",'NETWORK-DEVICES'!$B$3:$B$987&amp;"",'NETWORK-DEVICES'!$E$3:$E$987,""),"Peripheral",_xlfn.XLOOKUP($K139&amp;"",PERIPHERAL!$B$3:$B$954&amp;"",PERIPHERAL!$E$3:$E$954,""),"Utilities",_xlfn.XLOOKUP($K139&amp;"",UTILITIES!$B$3:$B$953&amp;"",UTILITIES!$E$3:$E$953,""),"IOT",_xlfn.XLOOKUP($K139&amp;"",IOT!$B$3:$B$1012&amp;"",IOT!$E$3:$E$1012,""),"Server",_xlfn.XLOOKUP($K139&amp;"",SERVER!$B$3:$B$1009&amp;"",SERVER!$E$3:$E$1009,""),""))))</f>
        <v/>
      </c>
      <c r="Q139" s="1" t="str" cm="1">
        <f t="array" ref="Q139">IF(OR($K139="",$I139="",$J139=""),"",_xlfn.LET(_xlpm.srcCat,_xlfn.SWITCH($I139,"Computer",_xlfn.XLOOKUP($K139&amp;"",COMPUTER!$B$3:$B$1009&amp;"",COMPUTER!$H$3:$H$1009,""),"Display",_xlfn.XLOOKUP($K139&amp;"",DISPLAY!$B$3:$B$1000&amp;"",DISPLAY!$H$3:$H$1000,""),"Network Device",_xlfn.XLOOKUP($K139&amp;"",'NETWORK-DEVICES'!$B$3:$B$987&amp;"",'NETWORK-DEVICES'!$H$3:$H$987,""),"Peripheral",_xlfn.XLOOKUP($K139&amp;"",PERIPHERAL!$B$3:$B$954&amp;"",PERIPHERAL!$H$3:$H$954,""),"Utilities",_xlfn.XLOOKUP($K139&amp;"",UTILITIES!$B$3:$B$953&amp;"",UTILITIES!$G$3:$G$953,""),"IOT",_xlfn.XLOOKUP($K139&amp;"",IOT!$B$3:$B$1012&amp;"",IOT!$H$3:$H$1012,""),"Server",_xlfn.XLOOKUP($K139&amp;"",SERVER!$B$3:$B$1009&amp;"",SERVER!$H$3:$H$1009,""),""),IF(TRIM(_xlpm.srcCat)&lt;&gt;TRIM($J139),"",_xlfn.SWITCH($I139,"Computer",_xlfn.XLOOKUP($K139&amp;"",COMPUTER!$B$3:$B$1009&amp;"",COMPUTER!$AM$3:$AM$1009,""),"Display",_xlfn.XLOOKUP($K139&amp;"",DISPLAY!$B$3:$B$1000&amp;"",DISPLAY!$V$3:$V$1000,""),"Network Device",_xlfn.XLOOKUP($K139&amp;"",'NETWORK-DEVICES'!$B$3:$B$987&amp;"",'NETWORK-DEVICES'!$AF$3:$AF$987,""),"Peripheral",_xlfn.XLOOKUP($K139&amp;"",PERIPHERAL!$B$3:$B$954&amp;"",PERIPHERAL!$Y$3:$Y$954,""),"Utilities",_xlfn.XLOOKUP($K139&amp;"",UTILITIES!$B$3:$B$953&amp;"",UTILITIES!$O$3:$O$953,""),"IOT",_xlfn.XLOOKUP($K139&amp;"",IOT!$B$3:$B$1012&amp;"",IOT!$AB$3:$AB$1012,""),"Server",_xlfn.XLOOKUP($K139&amp;"",SERVER!$B$3:$B$1009&amp;"",SERVER!$AB$3:$AB$1009,""),""))))</f>
        <v/>
      </c>
      <c r="R139" s="43" t="str">
        <f>IF(tbl_handover[[#This Row],[Asset Code]]="","",COUNTIF(tbl_handover[Asset Code],tbl_handover[[#This Row],[Asset Code]]))</f>
        <v/>
      </c>
    </row>
    <row r="140" spans="1:18" x14ac:dyDescent="0.25">
      <c r="A140" s="43" t="str">
        <f>IF(B140&lt;&gt;"",SUBTOTAL(3,$B$1:B139),"")</f>
        <v/>
      </c>
      <c r="C140" s="74"/>
      <c r="D140" s="74"/>
      <c r="G140" s="1"/>
      <c r="K140" s="42"/>
      <c r="L140" t="str" cm="1">
        <f t="array" ref="L140">IF($K140="","",_xlfn.SWITCH($I140,"Computer",_xlfn.XLOOKUP($K140&amp;"",COMPUTER!$B$3:$B$1009&amp;"",COMPUTER!$I$3:$I$1009,""),"Display",_xlfn.XLOOKUP($K140&amp;"",DISPLAY!$B$3:$B$1000&amp;"",DISPLAY!$J$3:$J$1000,""),"Network Device",_xlfn.XLOOKUP($K140&amp;"",'NETWORK-DEVICES'!$B$3:$B$987&amp;"",'NETWORK-DEVICES'!$I$3:$I$987,""),"Peripheral",_xlfn.XLOOKUP($K140&amp;"",PERIPHERAL!$B$3:$B$954&amp;"",PERIPHERAL!$I$3:$I$954,""),"Utilities",_xlfn.XLOOKUP($K140&amp;"",UTILITIES!$B$3:$B$953&amp;"",UTILITIES!$H$3:$H$953,""),"IOT",_xlfn.XLOOKUP($K140&amp;"",IOT!$B$3:$B$1012&amp;"",IOT!$I$3:$I$1012,""),"SERVER",_xlfn.XLOOKUP($K140&amp;"",SERVER!$B$3:$B$1009&amp;"",SERVER!$I$3:$I$1009,""),""))</f>
        <v/>
      </c>
      <c r="M140" t="str" cm="1">
        <f t="array" ref="M140">IF($K140="","",_xlfn.SWITCH($I140,"Computer",_xlfn.XLOOKUP($K140&amp;"",COMPUTER!$B$3:$B$1009&amp;"",COMPUTER!$J$3:$J$1009,""),"Display",_xlfn.XLOOKUP($K140&amp;"",DISPLAY!$B$3:$B$1000&amp;"",DISPLAY!$K$3:$K$1000,""),"Network Device",_xlfn.XLOOKUP($K140&amp;"",'NETWORK-DEVICES'!$B$3:$B$987&amp;"",'NETWORK-DEVICES'!$I$3:$I$987,""),"Peripheral",_xlfn.XLOOKUP($K140&amp;"",PERIPHERAL!$B$3:$B$954&amp;"",PERIPHERAL!$J$3:$J$954,""),"Utilities",_xlfn.XLOOKUP($K140&amp;"",UTILITIES!$B$3:$B$953&amp;"",UTILITIES!$I$3:$I$953,""),"IOT",_xlfn.XLOOKUP($K140&amp;"",IOT!$B$3:$B$1012&amp;"",IOT!$J$3:$J$1012,""),"Server",_xlfn.XLOOKUP($K140&amp;"",SERVER!$B$3:$B$1009&amp;"",SERVER!$J$3:$J$1009,""),""))</f>
        <v/>
      </c>
      <c r="N140" s="1" t="str" cm="1">
        <f t="array" ref="N140">IF(OR($K140="",$I140="",$J140=""),"",_xlfn.LET(_xlpm.srcCat,_xlfn.SWITCH($I140,"Computer",_xlfn.XLOOKUP($K140&amp;"",COMPUTER!$B$3:$B$1009&amp;"",COMPUTER!$H$3:$H$1009,""),"Display",_xlfn.XLOOKUP($K140&amp;"",DISPLAY!$B$3:$B$1000&amp;"",DISPLAY!$H$3:$H$1000,""),"Network Device",_xlfn.XLOOKUP($K140&amp;"",'NETWORK-DEVICES'!$B$3:$B$987&amp;"",'NETWORK-DEVICES'!$H$3:$H$987,""),"Peripheral",_xlfn.XLOOKUP($K140&amp;"",PERIPHERAL!$B$3:$B$954&amp;"",PERIPHERAL!$H$3:$H$954,""),"Utilities",_xlfn.XLOOKUP($K140&amp;"",UTILITIES!$B$3:$B$953&amp;"",UTILITIES!$G$3:$G$953,""),"IOT",_xlfn.XLOOKUP($K140&amp;"",IOT!$B$3:$B$1012&amp;"",IOT!$H$3:$H$1012,""),"Server",_xlfn.XLOOKUP($K140&amp;"",SERVER!$B$3:$B$1009&amp;"",SERVER!$H$3:$H$1009,""),""),IF(TRIM(_xlpm.srcCat)&lt;&gt;TRIM($J140),"",_xlfn.SWITCH($I140,"Computer",_xlfn.XLOOKUP($K140&amp;"",COMPUTER!$B$3:$B$1009&amp;"",COMPUTER!$K$3:$K$1009,""),"Display",_xlfn.XLOOKUP($K140&amp;"",DISPLAY!$B$3:$B$1000&amp;"",DISPLAY!$L$3:$L$1000,""),"Network Device",_xlfn.XLOOKUP($K140&amp;"",'NETWORK-DEVICES'!$B$3:$B$987&amp;"",'NETWORK-DEVICES'!$K$3:$K$987,""),"Peripheral",_xlfn.XLOOKUP($K140&amp;"",PERIPHERAL!$B$3:$B$954&amp;"",PERIPHERAL!$K$3:$K$954,""),"Utilities",_xlfn.XLOOKUP($K140&amp;"",UTILITIES!$B$3:$B$953&amp;"",UTILITIES!$J$3:$J$953,""),"IOT",_xlfn.XLOOKUP($K140&amp;"",IOT!$B$3:$B$1012&amp;"",IOT!$K$4:$K$1012,""),"Server",_xlfn.XLOOKUP($K140&amp;"",SERVER!$B$3:$B$1009&amp;"",SERVER!$K$3:$K$1009,""),""))))</f>
        <v/>
      </c>
      <c r="O140" s="1" t="str" cm="1">
        <f t="array" ref="O140">IF(OR($K140="",$I140="",$J140=""),"",_xlfn.LET(_xlpm.srcCat,_xlfn.SWITCH($I140,"Computer",_xlfn.XLOOKUP($K140&amp;"",COMPUTER!$B$3:$B$1009&amp;"",COMPUTER!$H$3:$H$1009,""),"Display",_xlfn.XLOOKUP($K140&amp;"",DISPLAY!$B$3:$B$1000&amp;"",DISPLAY!$H$3:$H$1000,""),"Network Device",_xlfn.XLOOKUP($K140&amp;"",'NETWORK-DEVICES'!$B$3:$B$987&amp;"",'NETWORK-DEVICES'!$H$3:$H$987,""),"Peripheral",_xlfn.XLOOKUP($K140&amp;"",PERIPHERAL!$B$3:$B$954&amp;"",PERIPHERAL!$H$3:$H$954,""),"Utilities",_xlfn.XLOOKUP($K140&amp;"",UTILITIES!$B$3:$B$953&amp;"",UTILITIES!$G$3:$G$953,""),"IOT",_xlfn.XLOOKUP($K140&amp;"",IOT!$B$3:$B$1012&amp;"",IOT!$H$3:$H$1012,""),"Server",_xlfn.XLOOKUP($K140&amp;"",SERVER!$B$3:$B$1009&amp;"",SERVER!$H$3:$H$1009,""),""),IF(TRIM(_xlpm.srcCat)&lt;&gt;TRIM($J140),"",_xlfn.SWITCH($I140,"Computer",_xlfn.XLOOKUP($K140&amp;"",COMPUTER!$B$3:$B$1009&amp;"",COMPUTER!$E$3:$E$1009,""),"Display",_xlfn.XLOOKUP($K140&amp;"",DISPLAY!$B$3:$B$1000&amp;"",DISPLAY!$E$3:$E$1000,""),"Network Device",_xlfn.XLOOKUP($K140&amp;"",'NETWORK-DEVICES'!$B$3:$B$987&amp;"",'NETWORK-DEVICES'!$E$3:$E$987,""),"Peripheral",_xlfn.XLOOKUP($K140&amp;"",PERIPHERAL!$B$3:$B$954&amp;"",PERIPHERAL!$E$3:$E$954,""),"Utilities",_xlfn.XLOOKUP($K140&amp;"",UTILITIES!$B$3:$B$953&amp;"",UTILITIES!$E$3:$E$953,""),"IOT",_xlfn.XLOOKUP($K140&amp;"",IOT!$B$3:$B$1012&amp;"",IOT!$E$3:$E$1012,""),"Server",_xlfn.XLOOKUP($K140&amp;"",SERVER!$B$3:$B$1009&amp;"",SERVER!$E$3:$E$1009,""),""))))</f>
        <v/>
      </c>
      <c r="Q140" s="1" t="str" cm="1">
        <f t="array" ref="Q140">IF(OR($K140="",$I140="",$J140=""),"",_xlfn.LET(_xlpm.srcCat,_xlfn.SWITCH($I140,"Computer",_xlfn.XLOOKUP($K140&amp;"",COMPUTER!$B$3:$B$1009&amp;"",COMPUTER!$H$3:$H$1009,""),"Display",_xlfn.XLOOKUP($K140&amp;"",DISPLAY!$B$3:$B$1000&amp;"",DISPLAY!$H$3:$H$1000,""),"Network Device",_xlfn.XLOOKUP($K140&amp;"",'NETWORK-DEVICES'!$B$3:$B$987&amp;"",'NETWORK-DEVICES'!$H$3:$H$987,""),"Peripheral",_xlfn.XLOOKUP($K140&amp;"",PERIPHERAL!$B$3:$B$954&amp;"",PERIPHERAL!$H$3:$H$954,""),"Utilities",_xlfn.XLOOKUP($K140&amp;"",UTILITIES!$B$3:$B$953&amp;"",UTILITIES!$G$3:$G$953,""),"IOT",_xlfn.XLOOKUP($K140&amp;"",IOT!$B$3:$B$1012&amp;"",IOT!$H$3:$H$1012,""),"Server",_xlfn.XLOOKUP($K140&amp;"",SERVER!$B$3:$B$1009&amp;"",SERVER!$H$3:$H$1009,""),""),IF(TRIM(_xlpm.srcCat)&lt;&gt;TRIM($J140),"",_xlfn.SWITCH($I140,"Computer",_xlfn.XLOOKUP($K140&amp;"",COMPUTER!$B$3:$B$1009&amp;"",COMPUTER!$AM$3:$AM$1009,""),"Display",_xlfn.XLOOKUP($K140&amp;"",DISPLAY!$B$3:$B$1000&amp;"",DISPLAY!$V$3:$V$1000,""),"Network Device",_xlfn.XLOOKUP($K140&amp;"",'NETWORK-DEVICES'!$B$3:$B$987&amp;"",'NETWORK-DEVICES'!$AF$3:$AF$987,""),"Peripheral",_xlfn.XLOOKUP($K140&amp;"",PERIPHERAL!$B$3:$B$954&amp;"",PERIPHERAL!$Y$3:$Y$954,""),"Utilities",_xlfn.XLOOKUP($K140&amp;"",UTILITIES!$B$3:$B$953&amp;"",UTILITIES!$O$3:$O$953,""),"IOT",_xlfn.XLOOKUP($K140&amp;"",IOT!$B$3:$B$1012&amp;"",IOT!$AB$3:$AB$1012,""),"Server",_xlfn.XLOOKUP($K140&amp;"",SERVER!$B$3:$B$1009&amp;"",SERVER!$AB$3:$AB$1009,""),""))))</f>
        <v/>
      </c>
      <c r="R140" s="43" t="str">
        <f>IF(tbl_handover[[#This Row],[Asset Code]]="","",COUNTIF(tbl_handover[Asset Code],tbl_handover[[#This Row],[Asset Code]]))</f>
        <v/>
      </c>
    </row>
    <row r="141" spans="1:18" x14ac:dyDescent="0.25">
      <c r="A141" s="43" t="str">
        <f>IF(B141&lt;&gt;"",SUBTOTAL(3,$B$1:B140),"")</f>
        <v/>
      </c>
      <c r="C141" s="74"/>
      <c r="D141" s="74"/>
      <c r="G141" s="1"/>
      <c r="K141" s="42"/>
      <c r="L141" t="str" cm="1">
        <f t="array" ref="L141">IF($K141="","",_xlfn.SWITCH($I141,"Computer",_xlfn.XLOOKUP($K141&amp;"",COMPUTER!$B$3:$B$1009&amp;"",COMPUTER!$I$3:$I$1009,""),"Display",_xlfn.XLOOKUP($K141&amp;"",DISPLAY!$B$3:$B$1000&amp;"",DISPLAY!$J$3:$J$1000,""),"Network Device",_xlfn.XLOOKUP($K141&amp;"",'NETWORK-DEVICES'!$B$3:$B$987&amp;"",'NETWORK-DEVICES'!$I$3:$I$987,""),"Peripheral",_xlfn.XLOOKUP($K141&amp;"",PERIPHERAL!$B$3:$B$954&amp;"",PERIPHERAL!$I$3:$I$954,""),"Utilities",_xlfn.XLOOKUP($K141&amp;"",UTILITIES!$B$3:$B$953&amp;"",UTILITIES!$H$3:$H$953,""),"IOT",_xlfn.XLOOKUP($K141&amp;"",IOT!$B$3:$B$1012&amp;"",IOT!$I$3:$I$1012,""),"SERVER",_xlfn.XLOOKUP($K141&amp;"",SERVER!$B$3:$B$1009&amp;"",SERVER!$I$3:$I$1009,""),""))</f>
        <v/>
      </c>
      <c r="M141" t="str" cm="1">
        <f t="array" ref="M141">IF($K141="","",_xlfn.SWITCH($I141,"Computer",_xlfn.XLOOKUP($K141&amp;"",COMPUTER!$B$3:$B$1009&amp;"",COMPUTER!$J$3:$J$1009,""),"Display",_xlfn.XLOOKUP($K141&amp;"",DISPLAY!$B$3:$B$1000&amp;"",DISPLAY!$K$3:$K$1000,""),"Network Device",_xlfn.XLOOKUP($K141&amp;"",'NETWORK-DEVICES'!$B$3:$B$987&amp;"",'NETWORK-DEVICES'!$I$3:$I$987,""),"Peripheral",_xlfn.XLOOKUP($K141&amp;"",PERIPHERAL!$B$3:$B$954&amp;"",PERIPHERAL!$J$3:$J$954,""),"Utilities",_xlfn.XLOOKUP($K141&amp;"",UTILITIES!$B$3:$B$953&amp;"",UTILITIES!$I$3:$I$953,""),"IOT",_xlfn.XLOOKUP($K141&amp;"",IOT!$B$3:$B$1012&amp;"",IOT!$J$3:$J$1012,""),"Server",_xlfn.XLOOKUP($K141&amp;"",SERVER!$B$3:$B$1009&amp;"",SERVER!$J$3:$J$1009,""),""))</f>
        <v/>
      </c>
      <c r="N141" s="1" t="str" cm="1">
        <f t="array" ref="N141">IF(OR($K141="",$I141="",$J141=""),"",_xlfn.LET(_xlpm.srcCat,_xlfn.SWITCH($I141,"Computer",_xlfn.XLOOKUP($K141&amp;"",COMPUTER!$B$3:$B$1009&amp;"",COMPUTER!$H$3:$H$1009,""),"Display",_xlfn.XLOOKUP($K141&amp;"",DISPLAY!$B$3:$B$1000&amp;"",DISPLAY!$H$3:$H$1000,""),"Network Device",_xlfn.XLOOKUP($K141&amp;"",'NETWORK-DEVICES'!$B$3:$B$987&amp;"",'NETWORK-DEVICES'!$H$3:$H$987,""),"Peripheral",_xlfn.XLOOKUP($K141&amp;"",PERIPHERAL!$B$3:$B$954&amp;"",PERIPHERAL!$H$3:$H$954,""),"Utilities",_xlfn.XLOOKUP($K141&amp;"",UTILITIES!$B$3:$B$953&amp;"",UTILITIES!$G$3:$G$953,""),"IOT",_xlfn.XLOOKUP($K141&amp;"",IOT!$B$3:$B$1012&amp;"",IOT!$H$3:$H$1012,""),"Server",_xlfn.XLOOKUP($K141&amp;"",SERVER!$B$3:$B$1009&amp;"",SERVER!$H$3:$H$1009,""),""),IF(TRIM(_xlpm.srcCat)&lt;&gt;TRIM($J141),"",_xlfn.SWITCH($I141,"Computer",_xlfn.XLOOKUP($K141&amp;"",COMPUTER!$B$3:$B$1009&amp;"",COMPUTER!$K$3:$K$1009,""),"Display",_xlfn.XLOOKUP($K141&amp;"",DISPLAY!$B$3:$B$1000&amp;"",DISPLAY!$L$3:$L$1000,""),"Network Device",_xlfn.XLOOKUP($K141&amp;"",'NETWORK-DEVICES'!$B$3:$B$987&amp;"",'NETWORK-DEVICES'!$K$3:$K$987,""),"Peripheral",_xlfn.XLOOKUP($K141&amp;"",PERIPHERAL!$B$3:$B$954&amp;"",PERIPHERAL!$K$3:$K$954,""),"Utilities",_xlfn.XLOOKUP($K141&amp;"",UTILITIES!$B$3:$B$953&amp;"",UTILITIES!$J$3:$J$953,""),"IOT",_xlfn.XLOOKUP($K141&amp;"",IOT!$B$3:$B$1012&amp;"",IOT!$K$4:$K$1012,""),"Server",_xlfn.XLOOKUP($K141&amp;"",SERVER!$B$3:$B$1009&amp;"",SERVER!$K$3:$K$1009,""),""))))</f>
        <v/>
      </c>
      <c r="O141" s="1" t="str" cm="1">
        <f t="array" ref="O141">IF(OR($K141="",$I141="",$J141=""),"",_xlfn.LET(_xlpm.srcCat,_xlfn.SWITCH($I141,"Computer",_xlfn.XLOOKUP($K141&amp;"",COMPUTER!$B$3:$B$1009&amp;"",COMPUTER!$H$3:$H$1009,""),"Display",_xlfn.XLOOKUP($K141&amp;"",DISPLAY!$B$3:$B$1000&amp;"",DISPLAY!$H$3:$H$1000,""),"Network Device",_xlfn.XLOOKUP($K141&amp;"",'NETWORK-DEVICES'!$B$3:$B$987&amp;"",'NETWORK-DEVICES'!$H$3:$H$987,""),"Peripheral",_xlfn.XLOOKUP($K141&amp;"",PERIPHERAL!$B$3:$B$954&amp;"",PERIPHERAL!$H$3:$H$954,""),"Utilities",_xlfn.XLOOKUP($K141&amp;"",UTILITIES!$B$3:$B$953&amp;"",UTILITIES!$G$3:$G$953,""),"IOT",_xlfn.XLOOKUP($K141&amp;"",IOT!$B$3:$B$1012&amp;"",IOT!$H$3:$H$1012,""),"Server",_xlfn.XLOOKUP($K141&amp;"",SERVER!$B$3:$B$1009&amp;"",SERVER!$H$3:$H$1009,""),""),IF(TRIM(_xlpm.srcCat)&lt;&gt;TRIM($J141),"",_xlfn.SWITCH($I141,"Computer",_xlfn.XLOOKUP($K141&amp;"",COMPUTER!$B$3:$B$1009&amp;"",COMPUTER!$E$3:$E$1009,""),"Display",_xlfn.XLOOKUP($K141&amp;"",DISPLAY!$B$3:$B$1000&amp;"",DISPLAY!$E$3:$E$1000,""),"Network Device",_xlfn.XLOOKUP($K141&amp;"",'NETWORK-DEVICES'!$B$3:$B$987&amp;"",'NETWORK-DEVICES'!$E$3:$E$987,""),"Peripheral",_xlfn.XLOOKUP($K141&amp;"",PERIPHERAL!$B$3:$B$954&amp;"",PERIPHERAL!$E$3:$E$954,""),"Utilities",_xlfn.XLOOKUP($K141&amp;"",UTILITIES!$B$3:$B$953&amp;"",UTILITIES!$E$3:$E$953,""),"IOT",_xlfn.XLOOKUP($K141&amp;"",IOT!$B$3:$B$1012&amp;"",IOT!$E$3:$E$1012,""),"Server",_xlfn.XLOOKUP($K141&amp;"",SERVER!$B$3:$B$1009&amp;"",SERVER!$E$3:$E$1009,""),""))))</f>
        <v/>
      </c>
      <c r="Q141" s="1" t="str" cm="1">
        <f t="array" ref="Q141">IF(OR($K141="",$I141="",$J141=""),"",_xlfn.LET(_xlpm.srcCat,_xlfn.SWITCH($I141,"Computer",_xlfn.XLOOKUP($K141&amp;"",COMPUTER!$B$3:$B$1009&amp;"",COMPUTER!$H$3:$H$1009,""),"Display",_xlfn.XLOOKUP($K141&amp;"",DISPLAY!$B$3:$B$1000&amp;"",DISPLAY!$H$3:$H$1000,""),"Network Device",_xlfn.XLOOKUP($K141&amp;"",'NETWORK-DEVICES'!$B$3:$B$987&amp;"",'NETWORK-DEVICES'!$H$3:$H$987,""),"Peripheral",_xlfn.XLOOKUP($K141&amp;"",PERIPHERAL!$B$3:$B$954&amp;"",PERIPHERAL!$H$3:$H$954,""),"Utilities",_xlfn.XLOOKUP($K141&amp;"",UTILITIES!$B$3:$B$953&amp;"",UTILITIES!$G$3:$G$953,""),"IOT",_xlfn.XLOOKUP($K141&amp;"",IOT!$B$3:$B$1012&amp;"",IOT!$H$3:$H$1012,""),"Server",_xlfn.XLOOKUP($K141&amp;"",SERVER!$B$3:$B$1009&amp;"",SERVER!$H$3:$H$1009,""),""),IF(TRIM(_xlpm.srcCat)&lt;&gt;TRIM($J141),"",_xlfn.SWITCH($I141,"Computer",_xlfn.XLOOKUP($K141&amp;"",COMPUTER!$B$3:$B$1009&amp;"",COMPUTER!$AM$3:$AM$1009,""),"Display",_xlfn.XLOOKUP($K141&amp;"",DISPLAY!$B$3:$B$1000&amp;"",DISPLAY!$V$3:$V$1000,""),"Network Device",_xlfn.XLOOKUP($K141&amp;"",'NETWORK-DEVICES'!$B$3:$B$987&amp;"",'NETWORK-DEVICES'!$AF$3:$AF$987,""),"Peripheral",_xlfn.XLOOKUP($K141&amp;"",PERIPHERAL!$B$3:$B$954&amp;"",PERIPHERAL!$Y$3:$Y$954,""),"Utilities",_xlfn.XLOOKUP($K141&amp;"",UTILITIES!$B$3:$B$953&amp;"",UTILITIES!$O$3:$O$953,""),"IOT",_xlfn.XLOOKUP($K141&amp;"",IOT!$B$3:$B$1012&amp;"",IOT!$AB$3:$AB$1012,""),"Server",_xlfn.XLOOKUP($K141&amp;"",SERVER!$B$3:$B$1009&amp;"",SERVER!$AB$3:$AB$1009,""),""))))</f>
        <v/>
      </c>
      <c r="R141" s="43" t="str">
        <f>IF(tbl_handover[[#This Row],[Asset Code]]="","",COUNTIF(tbl_handover[Asset Code],tbl_handover[[#This Row],[Asset Code]]))</f>
        <v/>
      </c>
    </row>
    <row r="142" spans="1:18" x14ac:dyDescent="0.25">
      <c r="A142" s="43" t="str">
        <f>IF(B142&lt;&gt;"",SUBTOTAL(3,$B$1:B141),"")</f>
        <v/>
      </c>
      <c r="C142" s="74"/>
      <c r="D142" s="74"/>
      <c r="G142" s="1"/>
      <c r="K142" s="42"/>
      <c r="L142" t="str" cm="1">
        <f t="array" ref="L142">IF($K142="","",_xlfn.SWITCH($I142,"Computer",_xlfn.XLOOKUP($K142&amp;"",COMPUTER!$B$3:$B$1009&amp;"",COMPUTER!$I$3:$I$1009,""),"Display",_xlfn.XLOOKUP($K142&amp;"",DISPLAY!$B$3:$B$1000&amp;"",DISPLAY!$J$3:$J$1000,""),"Network Device",_xlfn.XLOOKUP($K142&amp;"",'NETWORK-DEVICES'!$B$3:$B$987&amp;"",'NETWORK-DEVICES'!$I$3:$I$987,""),"Peripheral",_xlfn.XLOOKUP($K142&amp;"",PERIPHERAL!$B$3:$B$954&amp;"",PERIPHERAL!$I$3:$I$954,""),"Utilities",_xlfn.XLOOKUP($K142&amp;"",UTILITIES!$B$3:$B$953&amp;"",UTILITIES!$H$3:$H$953,""),"IOT",_xlfn.XLOOKUP($K142&amp;"",IOT!$B$3:$B$1012&amp;"",IOT!$I$3:$I$1012,""),"SERVER",_xlfn.XLOOKUP($K142&amp;"",SERVER!$B$3:$B$1009&amp;"",SERVER!$I$3:$I$1009,""),""))</f>
        <v/>
      </c>
      <c r="M142" t="str" cm="1">
        <f t="array" ref="M142">IF($K142="","",_xlfn.SWITCH($I142,"Computer",_xlfn.XLOOKUP($K142&amp;"",COMPUTER!$B$3:$B$1009&amp;"",COMPUTER!$J$3:$J$1009,""),"Display",_xlfn.XLOOKUP($K142&amp;"",DISPLAY!$B$3:$B$1000&amp;"",DISPLAY!$K$3:$K$1000,""),"Network Device",_xlfn.XLOOKUP($K142&amp;"",'NETWORK-DEVICES'!$B$3:$B$987&amp;"",'NETWORK-DEVICES'!$I$3:$I$987,""),"Peripheral",_xlfn.XLOOKUP($K142&amp;"",PERIPHERAL!$B$3:$B$954&amp;"",PERIPHERAL!$J$3:$J$954,""),"Utilities",_xlfn.XLOOKUP($K142&amp;"",UTILITIES!$B$3:$B$953&amp;"",UTILITIES!$I$3:$I$953,""),"IOT",_xlfn.XLOOKUP($K142&amp;"",IOT!$B$3:$B$1012&amp;"",IOT!$J$3:$J$1012,""),"Server",_xlfn.XLOOKUP($K142&amp;"",SERVER!$B$3:$B$1009&amp;"",SERVER!$J$3:$J$1009,""),""))</f>
        <v/>
      </c>
      <c r="N142" s="1" t="str" cm="1">
        <f t="array" ref="N142">IF(OR($K142="",$I142="",$J142=""),"",_xlfn.LET(_xlpm.srcCat,_xlfn.SWITCH($I142,"Computer",_xlfn.XLOOKUP($K142&amp;"",COMPUTER!$B$3:$B$1009&amp;"",COMPUTER!$H$3:$H$1009,""),"Display",_xlfn.XLOOKUP($K142&amp;"",DISPLAY!$B$3:$B$1000&amp;"",DISPLAY!$H$3:$H$1000,""),"Network Device",_xlfn.XLOOKUP($K142&amp;"",'NETWORK-DEVICES'!$B$3:$B$987&amp;"",'NETWORK-DEVICES'!$H$3:$H$987,""),"Peripheral",_xlfn.XLOOKUP($K142&amp;"",PERIPHERAL!$B$3:$B$954&amp;"",PERIPHERAL!$H$3:$H$954,""),"Utilities",_xlfn.XLOOKUP($K142&amp;"",UTILITIES!$B$3:$B$953&amp;"",UTILITIES!$G$3:$G$953,""),"IOT",_xlfn.XLOOKUP($K142&amp;"",IOT!$B$3:$B$1012&amp;"",IOT!$H$3:$H$1012,""),"Server",_xlfn.XLOOKUP($K142&amp;"",SERVER!$B$3:$B$1009&amp;"",SERVER!$H$3:$H$1009,""),""),IF(TRIM(_xlpm.srcCat)&lt;&gt;TRIM($J142),"",_xlfn.SWITCH($I142,"Computer",_xlfn.XLOOKUP($K142&amp;"",COMPUTER!$B$3:$B$1009&amp;"",COMPUTER!$K$3:$K$1009,""),"Display",_xlfn.XLOOKUP($K142&amp;"",DISPLAY!$B$3:$B$1000&amp;"",DISPLAY!$L$3:$L$1000,""),"Network Device",_xlfn.XLOOKUP($K142&amp;"",'NETWORK-DEVICES'!$B$3:$B$987&amp;"",'NETWORK-DEVICES'!$K$3:$K$987,""),"Peripheral",_xlfn.XLOOKUP($K142&amp;"",PERIPHERAL!$B$3:$B$954&amp;"",PERIPHERAL!$K$3:$K$954,""),"Utilities",_xlfn.XLOOKUP($K142&amp;"",UTILITIES!$B$3:$B$953&amp;"",UTILITIES!$J$3:$J$953,""),"IOT",_xlfn.XLOOKUP($K142&amp;"",IOT!$B$3:$B$1012&amp;"",IOT!$K$4:$K$1012,""),"Server",_xlfn.XLOOKUP($K142&amp;"",SERVER!$B$3:$B$1009&amp;"",SERVER!$K$3:$K$1009,""),""))))</f>
        <v/>
      </c>
      <c r="O142" s="1" t="str" cm="1">
        <f t="array" ref="O142">IF(OR($K142="",$I142="",$J142=""),"",_xlfn.LET(_xlpm.srcCat,_xlfn.SWITCH($I142,"Computer",_xlfn.XLOOKUP($K142&amp;"",COMPUTER!$B$3:$B$1009&amp;"",COMPUTER!$H$3:$H$1009,""),"Display",_xlfn.XLOOKUP($K142&amp;"",DISPLAY!$B$3:$B$1000&amp;"",DISPLAY!$H$3:$H$1000,""),"Network Device",_xlfn.XLOOKUP($K142&amp;"",'NETWORK-DEVICES'!$B$3:$B$987&amp;"",'NETWORK-DEVICES'!$H$3:$H$987,""),"Peripheral",_xlfn.XLOOKUP($K142&amp;"",PERIPHERAL!$B$3:$B$954&amp;"",PERIPHERAL!$H$3:$H$954,""),"Utilities",_xlfn.XLOOKUP($K142&amp;"",UTILITIES!$B$3:$B$953&amp;"",UTILITIES!$G$3:$G$953,""),"IOT",_xlfn.XLOOKUP($K142&amp;"",IOT!$B$3:$B$1012&amp;"",IOT!$H$3:$H$1012,""),"Server",_xlfn.XLOOKUP($K142&amp;"",SERVER!$B$3:$B$1009&amp;"",SERVER!$H$3:$H$1009,""),""),IF(TRIM(_xlpm.srcCat)&lt;&gt;TRIM($J142),"",_xlfn.SWITCH($I142,"Computer",_xlfn.XLOOKUP($K142&amp;"",COMPUTER!$B$3:$B$1009&amp;"",COMPUTER!$E$3:$E$1009,""),"Display",_xlfn.XLOOKUP($K142&amp;"",DISPLAY!$B$3:$B$1000&amp;"",DISPLAY!$E$3:$E$1000,""),"Network Device",_xlfn.XLOOKUP($K142&amp;"",'NETWORK-DEVICES'!$B$3:$B$987&amp;"",'NETWORK-DEVICES'!$E$3:$E$987,""),"Peripheral",_xlfn.XLOOKUP($K142&amp;"",PERIPHERAL!$B$3:$B$954&amp;"",PERIPHERAL!$E$3:$E$954,""),"Utilities",_xlfn.XLOOKUP($K142&amp;"",UTILITIES!$B$3:$B$953&amp;"",UTILITIES!$E$3:$E$953,""),"IOT",_xlfn.XLOOKUP($K142&amp;"",IOT!$B$3:$B$1012&amp;"",IOT!$E$3:$E$1012,""),"Server",_xlfn.XLOOKUP($K142&amp;"",SERVER!$B$3:$B$1009&amp;"",SERVER!$E$3:$E$1009,""),""))))</f>
        <v/>
      </c>
      <c r="Q142" s="1" t="str" cm="1">
        <f t="array" ref="Q142">IF(OR($K142="",$I142="",$J142=""),"",_xlfn.LET(_xlpm.srcCat,_xlfn.SWITCH($I142,"Computer",_xlfn.XLOOKUP($K142&amp;"",COMPUTER!$B$3:$B$1009&amp;"",COMPUTER!$H$3:$H$1009,""),"Display",_xlfn.XLOOKUP($K142&amp;"",DISPLAY!$B$3:$B$1000&amp;"",DISPLAY!$H$3:$H$1000,""),"Network Device",_xlfn.XLOOKUP($K142&amp;"",'NETWORK-DEVICES'!$B$3:$B$987&amp;"",'NETWORK-DEVICES'!$H$3:$H$987,""),"Peripheral",_xlfn.XLOOKUP($K142&amp;"",PERIPHERAL!$B$3:$B$954&amp;"",PERIPHERAL!$H$3:$H$954,""),"Utilities",_xlfn.XLOOKUP($K142&amp;"",UTILITIES!$B$3:$B$953&amp;"",UTILITIES!$G$3:$G$953,""),"IOT",_xlfn.XLOOKUP($K142&amp;"",IOT!$B$3:$B$1012&amp;"",IOT!$H$3:$H$1012,""),"Server",_xlfn.XLOOKUP($K142&amp;"",SERVER!$B$3:$B$1009&amp;"",SERVER!$H$3:$H$1009,""),""),IF(TRIM(_xlpm.srcCat)&lt;&gt;TRIM($J142),"",_xlfn.SWITCH($I142,"Computer",_xlfn.XLOOKUP($K142&amp;"",COMPUTER!$B$3:$B$1009&amp;"",COMPUTER!$AM$3:$AM$1009,""),"Display",_xlfn.XLOOKUP($K142&amp;"",DISPLAY!$B$3:$B$1000&amp;"",DISPLAY!$V$3:$V$1000,""),"Network Device",_xlfn.XLOOKUP($K142&amp;"",'NETWORK-DEVICES'!$B$3:$B$987&amp;"",'NETWORK-DEVICES'!$AF$3:$AF$987,""),"Peripheral",_xlfn.XLOOKUP($K142&amp;"",PERIPHERAL!$B$3:$B$954&amp;"",PERIPHERAL!$Y$3:$Y$954,""),"Utilities",_xlfn.XLOOKUP($K142&amp;"",UTILITIES!$B$3:$B$953&amp;"",UTILITIES!$O$3:$O$953,""),"IOT",_xlfn.XLOOKUP($K142&amp;"",IOT!$B$3:$B$1012&amp;"",IOT!$AB$3:$AB$1012,""),"Server",_xlfn.XLOOKUP($K142&amp;"",SERVER!$B$3:$B$1009&amp;"",SERVER!$AB$3:$AB$1009,""),""))))</f>
        <v/>
      </c>
      <c r="R142" s="43" t="str">
        <f>IF(tbl_handover[[#This Row],[Asset Code]]="","",COUNTIF(tbl_handover[Asset Code],tbl_handover[[#This Row],[Asset Code]]))</f>
        <v/>
      </c>
    </row>
    <row r="143" spans="1:18" x14ac:dyDescent="0.25">
      <c r="A143" s="43" t="str">
        <f>IF(B143&lt;&gt;"",SUBTOTAL(3,$B$1:B142),"")</f>
        <v/>
      </c>
      <c r="C143" s="74"/>
      <c r="D143" s="74"/>
      <c r="G143" s="1"/>
      <c r="K143" s="42"/>
      <c r="L143" t="str" cm="1">
        <f t="array" ref="L143">IF($K143="","",_xlfn.SWITCH($I143,"Computer",_xlfn.XLOOKUP($K143&amp;"",COMPUTER!$B$3:$B$1009&amp;"",COMPUTER!$I$3:$I$1009,""),"Display",_xlfn.XLOOKUP($K143&amp;"",DISPLAY!$B$3:$B$1000&amp;"",DISPLAY!$J$3:$J$1000,""),"Network Device",_xlfn.XLOOKUP($K143&amp;"",'NETWORK-DEVICES'!$B$3:$B$987&amp;"",'NETWORK-DEVICES'!$I$3:$I$987,""),"Peripheral",_xlfn.XLOOKUP($K143&amp;"",PERIPHERAL!$B$3:$B$954&amp;"",PERIPHERAL!$I$3:$I$954,""),"Utilities",_xlfn.XLOOKUP($K143&amp;"",UTILITIES!$B$3:$B$953&amp;"",UTILITIES!$H$3:$H$953,""),"IOT",_xlfn.XLOOKUP($K143&amp;"",IOT!$B$3:$B$1012&amp;"",IOT!$I$3:$I$1012,""),"SERVER",_xlfn.XLOOKUP($K143&amp;"",SERVER!$B$3:$B$1009&amp;"",SERVER!$I$3:$I$1009,""),""))</f>
        <v/>
      </c>
      <c r="M143" t="str" cm="1">
        <f t="array" ref="M143">IF($K143="","",_xlfn.SWITCH($I143,"Computer",_xlfn.XLOOKUP($K143&amp;"",COMPUTER!$B$3:$B$1009&amp;"",COMPUTER!$J$3:$J$1009,""),"Display",_xlfn.XLOOKUP($K143&amp;"",DISPLAY!$B$3:$B$1000&amp;"",DISPLAY!$K$3:$K$1000,""),"Network Device",_xlfn.XLOOKUP($K143&amp;"",'NETWORK-DEVICES'!$B$3:$B$987&amp;"",'NETWORK-DEVICES'!$I$3:$I$987,""),"Peripheral",_xlfn.XLOOKUP($K143&amp;"",PERIPHERAL!$B$3:$B$954&amp;"",PERIPHERAL!$J$3:$J$954,""),"Utilities",_xlfn.XLOOKUP($K143&amp;"",UTILITIES!$B$3:$B$953&amp;"",UTILITIES!$I$3:$I$953,""),"IOT",_xlfn.XLOOKUP($K143&amp;"",IOT!$B$3:$B$1012&amp;"",IOT!$J$3:$J$1012,""),"Server",_xlfn.XLOOKUP($K143&amp;"",SERVER!$B$3:$B$1009&amp;"",SERVER!$J$3:$J$1009,""),""))</f>
        <v/>
      </c>
      <c r="N143" s="1" t="str" cm="1">
        <f t="array" ref="N143">IF(OR($K143="",$I143="",$J143=""),"",_xlfn.LET(_xlpm.srcCat,_xlfn.SWITCH($I143,"Computer",_xlfn.XLOOKUP($K143&amp;"",COMPUTER!$B$3:$B$1009&amp;"",COMPUTER!$H$3:$H$1009,""),"Display",_xlfn.XLOOKUP($K143&amp;"",DISPLAY!$B$3:$B$1000&amp;"",DISPLAY!$H$3:$H$1000,""),"Network Device",_xlfn.XLOOKUP($K143&amp;"",'NETWORK-DEVICES'!$B$3:$B$987&amp;"",'NETWORK-DEVICES'!$H$3:$H$987,""),"Peripheral",_xlfn.XLOOKUP($K143&amp;"",PERIPHERAL!$B$3:$B$954&amp;"",PERIPHERAL!$H$3:$H$954,""),"Utilities",_xlfn.XLOOKUP($K143&amp;"",UTILITIES!$B$3:$B$953&amp;"",UTILITIES!$G$3:$G$953,""),"IOT",_xlfn.XLOOKUP($K143&amp;"",IOT!$B$3:$B$1012&amp;"",IOT!$H$3:$H$1012,""),"Server",_xlfn.XLOOKUP($K143&amp;"",SERVER!$B$3:$B$1009&amp;"",SERVER!$H$3:$H$1009,""),""),IF(TRIM(_xlpm.srcCat)&lt;&gt;TRIM($J143),"",_xlfn.SWITCH($I143,"Computer",_xlfn.XLOOKUP($K143&amp;"",COMPUTER!$B$3:$B$1009&amp;"",COMPUTER!$K$3:$K$1009,""),"Display",_xlfn.XLOOKUP($K143&amp;"",DISPLAY!$B$3:$B$1000&amp;"",DISPLAY!$L$3:$L$1000,""),"Network Device",_xlfn.XLOOKUP($K143&amp;"",'NETWORK-DEVICES'!$B$3:$B$987&amp;"",'NETWORK-DEVICES'!$K$3:$K$987,""),"Peripheral",_xlfn.XLOOKUP($K143&amp;"",PERIPHERAL!$B$3:$B$954&amp;"",PERIPHERAL!$K$3:$K$954,""),"Utilities",_xlfn.XLOOKUP($K143&amp;"",UTILITIES!$B$3:$B$953&amp;"",UTILITIES!$J$3:$J$953,""),"IOT",_xlfn.XLOOKUP($K143&amp;"",IOT!$B$3:$B$1012&amp;"",IOT!$K$4:$K$1012,""),"Server",_xlfn.XLOOKUP($K143&amp;"",SERVER!$B$3:$B$1009&amp;"",SERVER!$K$3:$K$1009,""),""))))</f>
        <v/>
      </c>
      <c r="O143" s="1" t="str" cm="1">
        <f t="array" ref="O143">IF(OR($K143="",$I143="",$J143=""),"",_xlfn.LET(_xlpm.srcCat,_xlfn.SWITCH($I143,"Computer",_xlfn.XLOOKUP($K143&amp;"",COMPUTER!$B$3:$B$1009&amp;"",COMPUTER!$H$3:$H$1009,""),"Display",_xlfn.XLOOKUP($K143&amp;"",DISPLAY!$B$3:$B$1000&amp;"",DISPLAY!$H$3:$H$1000,""),"Network Device",_xlfn.XLOOKUP($K143&amp;"",'NETWORK-DEVICES'!$B$3:$B$987&amp;"",'NETWORK-DEVICES'!$H$3:$H$987,""),"Peripheral",_xlfn.XLOOKUP($K143&amp;"",PERIPHERAL!$B$3:$B$954&amp;"",PERIPHERAL!$H$3:$H$954,""),"Utilities",_xlfn.XLOOKUP($K143&amp;"",UTILITIES!$B$3:$B$953&amp;"",UTILITIES!$G$3:$G$953,""),"IOT",_xlfn.XLOOKUP($K143&amp;"",IOT!$B$3:$B$1012&amp;"",IOT!$H$3:$H$1012,""),"Server",_xlfn.XLOOKUP($K143&amp;"",SERVER!$B$3:$B$1009&amp;"",SERVER!$H$3:$H$1009,""),""),IF(TRIM(_xlpm.srcCat)&lt;&gt;TRIM($J143),"",_xlfn.SWITCH($I143,"Computer",_xlfn.XLOOKUP($K143&amp;"",COMPUTER!$B$3:$B$1009&amp;"",COMPUTER!$E$3:$E$1009,""),"Display",_xlfn.XLOOKUP($K143&amp;"",DISPLAY!$B$3:$B$1000&amp;"",DISPLAY!$E$3:$E$1000,""),"Network Device",_xlfn.XLOOKUP($K143&amp;"",'NETWORK-DEVICES'!$B$3:$B$987&amp;"",'NETWORK-DEVICES'!$E$3:$E$987,""),"Peripheral",_xlfn.XLOOKUP($K143&amp;"",PERIPHERAL!$B$3:$B$954&amp;"",PERIPHERAL!$E$3:$E$954,""),"Utilities",_xlfn.XLOOKUP($K143&amp;"",UTILITIES!$B$3:$B$953&amp;"",UTILITIES!$E$3:$E$953,""),"IOT",_xlfn.XLOOKUP($K143&amp;"",IOT!$B$3:$B$1012&amp;"",IOT!$E$3:$E$1012,""),"Server",_xlfn.XLOOKUP($K143&amp;"",SERVER!$B$3:$B$1009&amp;"",SERVER!$E$3:$E$1009,""),""))))</f>
        <v/>
      </c>
      <c r="Q143" s="1" t="str" cm="1">
        <f t="array" ref="Q143">IF(OR($K143="",$I143="",$J143=""),"",_xlfn.LET(_xlpm.srcCat,_xlfn.SWITCH($I143,"Computer",_xlfn.XLOOKUP($K143&amp;"",COMPUTER!$B$3:$B$1009&amp;"",COMPUTER!$H$3:$H$1009,""),"Display",_xlfn.XLOOKUP($K143&amp;"",DISPLAY!$B$3:$B$1000&amp;"",DISPLAY!$H$3:$H$1000,""),"Network Device",_xlfn.XLOOKUP($K143&amp;"",'NETWORK-DEVICES'!$B$3:$B$987&amp;"",'NETWORK-DEVICES'!$H$3:$H$987,""),"Peripheral",_xlfn.XLOOKUP($K143&amp;"",PERIPHERAL!$B$3:$B$954&amp;"",PERIPHERAL!$H$3:$H$954,""),"Utilities",_xlfn.XLOOKUP($K143&amp;"",UTILITIES!$B$3:$B$953&amp;"",UTILITIES!$G$3:$G$953,""),"IOT",_xlfn.XLOOKUP($K143&amp;"",IOT!$B$3:$B$1012&amp;"",IOT!$H$3:$H$1012,""),"Server",_xlfn.XLOOKUP($K143&amp;"",SERVER!$B$3:$B$1009&amp;"",SERVER!$H$3:$H$1009,""),""),IF(TRIM(_xlpm.srcCat)&lt;&gt;TRIM($J143),"",_xlfn.SWITCH($I143,"Computer",_xlfn.XLOOKUP($K143&amp;"",COMPUTER!$B$3:$B$1009&amp;"",COMPUTER!$AM$3:$AM$1009,""),"Display",_xlfn.XLOOKUP($K143&amp;"",DISPLAY!$B$3:$B$1000&amp;"",DISPLAY!$V$3:$V$1000,""),"Network Device",_xlfn.XLOOKUP($K143&amp;"",'NETWORK-DEVICES'!$B$3:$B$987&amp;"",'NETWORK-DEVICES'!$AF$3:$AF$987,""),"Peripheral",_xlfn.XLOOKUP($K143&amp;"",PERIPHERAL!$B$3:$B$954&amp;"",PERIPHERAL!$Y$3:$Y$954,""),"Utilities",_xlfn.XLOOKUP($K143&amp;"",UTILITIES!$B$3:$B$953&amp;"",UTILITIES!$O$3:$O$953,""),"IOT",_xlfn.XLOOKUP($K143&amp;"",IOT!$B$3:$B$1012&amp;"",IOT!$AB$3:$AB$1012,""),"Server",_xlfn.XLOOKUP($K143&amp;"",SERVER!$B$3:$B$1009&amp;"",SERVER!$AB$3:$AB$1009,""),""))))</f>
        <v/>
      </c>
      <c r="R143" s="43" t="str">
        <f>IF(tbl_handover[[#This Row],[Asset Code]]="","",COUNTIF(tbl_handover[Asset Code],tbl_handover[[#This Row],[Asset Code]]))</f>
        <v/>
      </c>
    </row>
    <row r="144" spans="1:18" x14ac:dyDescent="0.25">
      <c r="A144" s="43" t="str">
        <f>IF(B144&lt;&gt;"",SUBTOTAL(3,$B$1:B143),"")</f>
        <v/>
      </c>
      <c r="C144" s="74"/>
      <c r="D144" s="74"/>
      <c r="G144" s="1"/>
      <c r="K144" s="42"/>
      <c r="L144" t="str" cm="1">
        <f t="array" ref="L144">IF($K144="","",_xlfn.SWITCH($I144,"Computer",_xlfn.XLOOKUP($K144&amp;"",COMPUTER!$B$3:$B$1009&amp;"",COMPUTER!$I$3:$I$1009,""),"Display",_xlfn.XLOOKUP($K144&amp;"",DISPLAY!$B$3:$B$1000&amp;"",DISPLAY!$J$3:$J$1000,""),"Network Device",_xlfn.XLOOKUP($K144&amp;"",'NETWORK-DEVICES'!$B$3:$B$987&amp;"",'NETWORK-DEVICES'!$I$3:$I$987,""),"Peripheral",_xlfn.XLOOKUP($K144&amp;"",PERIPHERAL!$B$3:$B$954&amp;"",PERIPHERAL!$I$3:$I$954,""),"Utilities",_xlfn.XLOOKUP($K144&amp;"",UTILITIES!$B$3:$B$953&amp;"",UTILITIES!$H$3:$H$953,""),"IOT",_xlfn.XLOOKUP($K144&amp;"",IOT!$B$3:$B$1012&amp;"",IOT!$I$3:$I$1012,""),"SERVER",_xlfn.XLOOKUP($K144&amp;"",SERVER!$B$3:$B$1009&amp;"",SERVER!$I$3:$I$1009,""),""))</f>
        <v/>
      </c>
      <c r="M144" t="str" cm="1">
        <f t="array" ref="M144">IF($K144="","",_xlfn.SWITCH($I144,"Computer",_xlfn.XLOOKUP($K144&amp;"",COMPUTER!$B$3:$B$1009&amp;"",COMPUTER!$J$3:$J$1009,""),"Display",_xlfn.XLOOKUP($K144&amp;"",DISPLAY!$B$3:$B$1000&amp;"",DISPLAY!$K$3:$K$1000,""),"Network Device",_xlfn.XLOOKUP($K144&amp;"",'NETWORK-DEVICES'!$B$3:$B$987&amp;"",'NETWORK-DEVICES'!$I$3:$I$987,""),"Peripheral",_xlfn.XLOOKUP($K144&amp;"",PERIPHERAL!$B$3:$B$954&amp;"",PERIPHERAL!$J$3:$J$954,""),"Utilities",_xlfn.XLOOKUP($K144&amp;"",UTILITIES!$B$3:$B$953&amp;"",UTILITIES!$I$3:$I$953,""),"IOT",_xlfn.XLOOKUP($K144&amp;"",IOT!$B$3:$B$1012&amp;"",IOT!$J$3:$J$1012,""),"Server",_xlfn.XLOOKUP($K144&amp;"",SERVER!$B$3:$B$1009&amp;"",SERVER!$J$3:$J$1009,""),""))</f>
        <v/>
      </c>
      <c r="N144" s="1" t="str" cm="1">
        <f t="array" ref="N144">IF(OR($K144="",$I144="",$J144=""),"",_xlfn.LET(_xlpm.srcCat,_xlfn.SWITCH($I144,"Computer",_xlfn.XLOOKUP($K144&amp;"",COMPUTER!$B$3:$B$1009&amp;"",COMPUTER!$H$3:$H$1009,""),"Display",_xlfn.XLOOKUP($K144&amp;"",DISPLAY!$B$3:$B$1000&amp;"",DISPLAY!$H$3:$H$1000,""),"Network Device",_xlfn.XLOOKUP($K144&amp;"",'NETWORK-DEVICES'!$B$3:$B$987&amp;"",'NETWORK-DEVICES'!$H$3:$H$987,""),"Peripheral",_xlfn.XLOOKUP($K144&amp;"",PERIPHERAL!$B$3:$B$954&amp;"",PERIPHERAL!$H$3:$H$954,""),"Utilities",_xlfn.XLOOKUP($K144&amp;"",UTILITIES!$B$3:$B$953&amp;"",UTILITIES!$G$3:$G$953,""),"IOT",_xlfn.XLOOKUP($K144&amp;"",IOT!$B$3:$B$1012&amp;"",IOT!$H$3:$H$1012,""),"Server",_xlfn.XLOOKUP($K144&amp;"",SERVER!$B$3:$B$1009&amp;"",SERVER!$H$3:$H$1009,""),""),IF(TRIM(_xlpm.srcCat)&lt;&gt;TRIM($J144),"",_xlfn.SWITCH($I144,"Computer",_xlfn.XLOOKUP($K144&amp;"",COMPUTER!$B$3:$B$1009&amp;"",COMPUTER!$K$3:$K$1009,""),"Display",_xlfn.XLOOKUP($K144&amp;"",DISPLAY!$B$3:$B$1000&amp;"",DISPLAY!$L$3:$L$1000,""),"Network Device",_xlfn.XLOOKUP($K144&amp;"",'NETWORK-DEVICES'!$B$3:$B$987&amp;"",'NETWORK-DEVICES'!$K$3:$K$987,""),"Peripheral",_xlfn.XLOOKUP($K144&amp;"",PERIPHERAL!$B$3:$B$954&amp;"",PERIPHERAL!$K$3:$K$954,""),"Utilities",_xlfn.XLOOKUP($K144&amp;"",UTILITIES!$B$3:$B$953&amp;"",UTILITIES!$J$3:$J$953,""),"IOT",_xlfn.XLOOKUP($K144&amp;"",IOT!$B$3:$B$1012&amp;"",IOT!$K$4:$K$1012,""),"Server",_xlfn.XLOOKUP($K144&amp;"",SERVER!$B$3:$B$1009&amp;"",SERVER!$K$3:$K$1009,""),""))))</f>
        <v/>
      </c>
      <c r="O144" s="1" t="str" cm="1">
        <f t="array" ref="O144">IF(OR($K144="",$I144="",$J144=""),"",_xlfn.LET(_xlpm.srcCat,_xlfn.SWITCH($I144,"Computer",_xlfn.XLOOKUP($K144&amp;"",COMPUTER!$B$3:$B$1009&amp;"",COMPUTER!$H$3:$H$1009,""),"Display",_xlfn.XLOOKUP($K144&amp;"",DISPLAY!$B$3:$B$1000&amp;"",DISPLAY!$H$3:$H$1000,""),"Network Device",_xlfn.XLOOKUP($K144&amp;"",'NETWORK-DEVICES'!$B$3:$B$987&amp;"",'NETWORK-DEVICES'!$H$3:$H$987,""),"Peripheral",_xlfn.XLOOKUP($K144&amp;"",PERIPHERAL!$B$3:$B$954&amp;"",PERIPHERAL!$H$3:$H$954,""),"Utilities",_xlfn.XLOOKUP($K144&amp;"",UTILITIES!$B$3:$B$953&amp;"",UTILITIES!$G$3:$G$953,""),"IOT",_xlfn.XLOOKUP($K144&amp;"",IOT!$B$3:$B$1012&amp;"",IOT!$H$3:$H$1012,""),"Server",_xlfn.XLOOKUP($K144&amp;"",SERVER!$B$3:$B$1009&amp;"",SERVER!$H$3:$H$1009,""),""),IF(TRIM(_xlpm.srcCat)&lt;&gt;TRIM($J144),"",_xlfn.SWITCH($I144,"Computer",_xlfn.XLOOKUP($K144&amp;"",COMPUTER!$B$3:$B$1009&amp;"",COMPUTER!$E$3:$E$1009,""),"Display",_xlfn.XLOOKUP($K144&amp;"",DISPLAY!$B$3:$B$1000&amp;"",DISPLAY!$E$3:$E$1000,""),"Network Device",_xlfn.XLOOKUP($K144&amp;"",'NETWORK-DEVICES'!$B$3:$B$987&amp;"",'NETWORK-DEVICES'!$E$3:$E$987,""),"Peripheral",_xlfn.XLOOKUP($K144&amp;"",PERIPHERAL!$B$3:$B$954&amp;"",PERIPHERAL!$E$3:$E$954,""),"Utilities",_xlfn.XLOOKUP($K144&amp;"",UTILITIES!$B$3:$B$953&amp;"",UTILITIES!$E$3:$E$953,""),"IOT",_xlfn.XLOOKUP($K144&amp;"",IOT!$B$3:$B$1012&amp;"",IOT!$E$3:$E$1012,""),"Server",_xlfn.XLOOKUP($K144&amp;"",SERVER!$B$3:$B$1009&amp;"",SERVER!$E$3:$E$1009,""),""))))</f>
        <v/>
      </c>
      <c r="Q144" s="1" t="str" cm="1">
        <f t="array" ref="Q144">IF(OR($K144="",$I144="",$J144=""),"",_xlfn.LET(_xlpm.srcCat,_xlfn.SWITCH($I144,"Computer",_xlfn.XLOOKUP($K144&amp;"",COMPUTER!$B$3:$B$1009&amp;"",COMPUTER!$H$3:$H$1009,""),"Display",_xlfn.XLOOKUP($K144&amp;"",DISPLAY!$B$3:$B$1000&amp;"",DISPLAY!$H$3:$H$1000,""),"Network Device",_xlfn.XLOOKUP($K144&amp;"",'NETWORK-DEVICES'!$B$3:$B$987&amp;"",'NETWORK-DEVICES'!$H$3:$H$987,""),"Peripheral",_xlfn.XLOOKUP($K144&amp;"",PERIPHERAL!$B$3:$B$954&amp;"",PERIPHERAL!$H$3:$H$954,""),"Utilities",_xlfn.XLOOKUP($K144&amp;"",UTILITIES!$B$3:$B$953&amp;"",UTILITIES!$G$3:$G$953,""),"IOT",_xlfn.XLOOKUP($K144&amp;"",IOT!$B$3:$B$1012&amp;"",IOT!$H$3:$H$1012,""),"Server",_xlfn.XLOOKUP($K144&amp;"",SERVER!$B$3:$B$1009&amp;"",SERVER!$H$3:$H$1009,""),""),IF(TRIM(_xlpm.srcCat)&lt;&gt;TRIM($J144),"",_xlfn.SWITCH($I144,"Computer",_xlfn.XLOOKUP($K144&amp;"",COMPUTER!$B$3:$B$1009&amp;"",COMPUTER!$AM$3:$AM$1009,""),"Display",_xlfn.XLOOKUP($K144&amp;"",DISPLAY!$B$3:$B$1000&amp;"",DISPLAY!$V$3:$V$1000,""),"Network Device",_xlfn.XLOOKUP($K144&amp;"",'NETWORK-DEVICES'!$B$3:$B$987&amp;"",'NETWORK-DEVICES'!$AF$3:$AF$987,""),"Peripheral",_xlfn.XLOOKUP($K144&amp;"",PERIPHERAL!$B$3:$B$954&amp;"",PERIPHERAL!$Y$3:$Y$954,""),"Utilities",_xlfn.XLOOKUP($K144&amp;"",UTILITIES!$B$3:$B$953&amp;"",UTILITIES!$O$3:$O$953,""),"IOT",_xlfn.XLOOKUP($K144&amp;"",IOT!$B$3:$B$1012&amp;"",IOT!$AB$3:$AB$1012,""),"Server",_xlfn.XLOOKUP($K144&amp;"",SERVER!$B$3:$B$1009&amp;"",SERVER!$AB$3:$AB$1009,""),""))))</f>
        <v/>
      </c>
      <c r="R144" s="43" t="str">
        <f>IF(tbl_handover[[#This Row],[Asset Code]]="","",COUNTIF(tbl_handover[Asset Code],tbl_handover[[#This Row],[Asset Code]]))</f>
        <v/>
      </c>
    </row>
    <row r="145" spans="1:18" x14ac:dyDescent="0.25">
      <c r="A145" s="43" t="str">
        <f>IF(B145&lt;&gt;"",SUBTOTAL(3,$B$1:B144),"")</f>
        <v/>
      </c>
      <c r="C145" s="74"/>
      <c r="D145" s="74"/>
      <c r="G145" s="1"/>
      <c r="K145" s="42"/>
      <c r="L145" t="str" cm="1">
        <f t="array" ref="L145">IF($K145="","",_xlfn.SWITCH($I145,"Computer",_xlfn.XLOOKUP($K145&amp;"",COMPUTER!$B$3:$B$1009&amp;"",COMPUTER!$I$3:$I$1009,""),"Display",_xlfn.XLOOKUP($K145&amp;"",DISPLAY!$B$3:$B$1000&amp;"",DISPLAY!$J$3:$J$1000,""),"Network Device",_xlfn.XLOOKUP($K145&amp;"",'NETWORK-DEVICES'!$B$3:$B$987&amp;"",'NETWORK-DEVICES'!$I$3:$I$987,""),"Peripheral",_xlfn.XLOOKUP($K145&amp;"",PERIPHERAL!$B$3:$B$954&amp;"",PERIPHERAL!$I$3:$I$954,""),"Utilities",_xlfn.XLOOKUP($K145&amp;"",UTILITIES!$B$3:$B$953&amp;"",UTILITIES!$H$3:$H$953,""),"IOT",_xlfn.XLOOKUP($K145&amp;"",IOT!$B$3:$B$1012&amp;"",IOT!$I$3:$I$1012,""),"SERVER",_xlfn.XLOOKUP($K145&amp;"",SERVER!$B$3:$B$1009&amp;"",SERVER!$I$3:$I$1009,""),""))</f>
        <v/>
      </c>
      <c r="M145" t="str" cm="1">
        <f t="array" ref="M145">IF($K145="","",_xlfn.SWITCH($I145,"Computer",_xlfn.XLOOKUP($K145&amp;"",COMPUTER!$B$3:$B$1009&amp;"",COMPUTER!$J$3:$J$1009,""),"Display",_xlfn.XLOOKUP($K145&amp;"",DISPLAY!$B$3:$B$1000&amp;"",DISPLAY!$K$3:$K$1000,""),"Network Device",_xlfn.XLOOKUP($K145&amp;"",'NETWORK-DEVICES'!$B$3:$B$987&amp;"",'NETWORK-DEVICES'!$I$3:$I$987,""),"Peripheral",_xlfn.XLOOKUP($K145&amp;"",PERIPHERAL!$B$3:$B$954&amp;"",PERIPHERAL!$J$3:$J$954,""),"Utilities",_xlfn.XLOOKUP($K145&amp;"",UTILITIES!$B$3:$B$953&amp;"",UTILITIES!$I$3:$I$953,""),"IOT",_xlfn.XLOOKUP($K145&amp;"",IOT!$B$3:$B$1012&amp;"",IOT!$J$3:$J$1012,""),"Server",_xlfn.XLOOKUP($K145&amp;"",SERVER!$B$3:$B$1009&amp;"",SERVER!$J$3:$J$1009,""),""))</f>
        <v/>
      </c>
      <c r="N145" s="1" t="str" cm="1">
        <f t="array" ref="N145">IF(OR($K145="",$I145="",$J145=""),"",_xlfn.LET(_xlpm.srcCat,_xlfn.SWITCH($I145,"Computer",_xlfn.XLOOKUP($K145&amp;"",COMPUTER!$B$3:$B$1009&amp;"",COMPUTER!$H$3:$H$1009,""),"Display",_xlfn.XLOOKUP($K145&amp;"",DISPLAY!$B$3:$B$1000&amp;"",DISPLAY!$H$3:$H$1000,""),"Network Device",_xlfn.XLOOKUP($K145&amp;"",'NETWORK-DEVICES'!$B$3:$B$987&amp;"",'NETWORK-DEVICES'!$H$3:$H$987,""),"Peripheral",_xlfn.XLOOKUP($K145&amp;"",PERIPHERAL!$B$3:$B$954&amp;"",PERIPHERAL!$H$3:$H$954,""),"Utilities",_xlfn.XLOOKUP($K145&amp;"",UTILITIES!$B$3:$B$953&amp;"",UTILITIES!$G$3:$G$953,""),"IOT",_xlfn.XLOOKUP($K145&amp;"",IOT!$B$3:$B$1012&amp;"",IOT!$H$3:$H$1012,""),"Server",_xlfn.XLOOKUP($K145&amp;"",SERVER!$B$3:$B$1009&amp;"",SERVER!$H$3:$H$1009,""),""),IF(TRIM(_xlpm.srcCat)&lt;&gt;TRIM($J145),"",_xlfn.SWITCH($I145,"Computer",_xlfn.XLOOKUP($K145&amp;"",COMPUTER!$B$3:$B$1009&amp;"",COMPUTER!$K$3:$K$1009,""),"Display",_xlfn.XLOOKUP($K145&amp;"",DISPLAY!$B$3:$B$1000&amp;"",DISPLAY!$L$3:$L$1000,""),"Network Device",_xlfn.XLOOKUP($K145&amp;"",'NETWORK-DEVICES'!$B$3:$B$987&amp;"",'NETWORK-DEVICES'!$K$3:$K$987,""),"Peripheral",_xlfn.XLOOKUP($K145&amp;"",PERIPHERAL!$B$3:$B$954&amp;"",PERIPHERAL!$K$3:$K$954,""),"Utilities",_xlfn.XLOOKUP($K145&amp;"",UTILITIES!$B$3:$B$953&amp;"",UTILITIES!$J$3:$J$953,""),"IOT",_xlfn.XLOOKUP($K145&amp;"",IOT!$B$3:$B$1012&amp;"",IOT!$K$4:$K$1012,""),"Server",_xlfn.XLOOKUP($K145&amp;"",SERVER!$B$3:$B$1009&amp;"",SERVER!$K$3:$K$1009,""),""))))</f>
        <v/>
      </c>
      <c r="O145" s="1" t="str" cm="1">
        <f t="array" ref="O145">IF(OR($K145="",$I145="",$J145=""),"",_xlfn.LET(_xlpm.srcCat,_xlfn.SWITCH($I145,"Computer",_xlfn.XLOOKUP($K145&amp;"",COMPUTER!$B$3:$B$1009&amp;"",COMPUTER!$H$3:$H$1009,""),"Display",_xlfn.XLOOKUP($K145&amp;"",DISPLAY!$B$3:$B$1000&amp;"",DISPLAY!$H$3:$H$1000,""),"Network Device",_xlfn.XLOOKUP($K145&amp;"",'NETWORK-DEVICES'!$B$3:$B$987&amp;"",'NETWORK-DEVICES'!$H$3:$H$987,""),"Peripheral",_xlfn.XLOOKUP($K145&amp;"",PERIPHERAL!$B$3:$B$954&amp;"",PERIPHERAL!$H$3:$H$954,""),"Utilities",_xlfn.XLOOKUP($K145&amp;"",UTILITIES!$B$3:$B$953&amp;"",UTILITIES!$G$3:$G$953,""),"IOT",_xlfn.XLOOKUP($K145&amp;"",IOT!$B$3:$B$1012&amp;"",IOT!$H$3:$H$1012,""),"Server",_xlfn.XLOOKUP($K145&amp;"",SERVER!$B$3:$B$1009&amp;"",SERVER!$H$3:$H$1009,""),""),IF(TRIM(_xlpm.srcCat)&lt;&gt;TRIM($J145),"",_xlfn.SWITCH($I145,"Computer",_xlfn.XLOOKUP($K145&amp;"",COMPUTER!$B$3:$B$1009&amp;"",COMPUTER!$E$3:$E$1009,""),"Display",_xlfn.XLOOKUP($K145&amp;"",DISPLAY!$B$3:$B$1000&amp;"",DISPLAY!$E$3:$E$1000,""),"Network Device",_xlfn.XLOOKUP($K145&amp;"",'NETWORK-DEVICES'!$B$3:$B$987&amp;"",'NETWORK-DEVICES'!$E$3:$E$987,""),"Peripheral",_xlfn.XLOOKUP($K145&amp;"",PERIPHERAL!$B$3:$B$954&amp;"",PERIPHERAL!$E$3:$E$954,""),"Utilities",_xlfn.XLOOKUP($K145&amp;"",UTILITIES!$B$3:$B$953&amp;"",UTILITIES!$E$3:$E$953,""),"IOT",_xlfn.XLOOKUP($K145&amp;"",IOT!$B$3:$B$1012&amp;"",IOT!$E$3:$E$1012,""),"Server",_xlfn.XLOOKUP($K145&amp;"",SERVER!$B$3:$B$1009&amp;"",SERVER!$E$3:$E$1009,""),""))))</f>
        <v/>
      </c>
      <c r="Q145" s="1" t="str" cm="1">
        <f t="array" ref="Q145">IF(OR($K145="",$I145="",$J145=""),"",_xlfn.LET(_xlpm.srcCat,_xlfn.SWITCH($I145,"Computer",_xlfn.XLOOKUP($K145&amp;"",COMPUTER!$B$3:$B$1009&amp;"",COMPUTER!$H$3:$H$1009,""),"Display",_xlfn.XLOOKUP($K145&amp;"",DISPLAY!$B$3:$B$1000&amp;"",DISPLAY!$H$3:$H$1000,""),"Network Device",_xlfn.XLOOKUP($K145&amp;"",'NETWORK-DEVICES'!$B$3:$B$987&amp;"",'NETWORK-DEVICES'!$H$3:$H$987,""),"Peripheral",_xlfn.XLOOKUP($K145&amp;"",PERIPHERAL!$B$3:$B$954&amp;"",PERIPHERAL!$H$3:$H$954,""),"Utilities",_xlfn.XLOOKUP($K145&amp;"",UTILITIES!$B$3:$B$953&amp;"",UTILITIES!$G$3:$G$953,""),"IOT",_xlfn.XLOOKUP($K145&amp;"",IOT!$B$3:$B$1012&amp;"",IOT!$H$3:$H$1012,""),"Server",_xlfn.XLOOKUP($K145&amp;"",SERVER!$B$3:$B$1009&amp;"",SERVER!$H$3:$H$1009,""),""),IF(TRIM(_xlpm.srcCat)&lt;&gt;TRIM($J145),"",_xlfn.SWITCH($I145,"Computer",_xlfn.XLOOKUP($K145&amp;"",COMPUTER!$B$3:$B$1009&amp;"",COMPUTER!$AM$3:$AM$1009,""),"Display",_xlfn.XLOOKUP($K145&amp;"",DISPLAY!$B$3:$B$1000&amp;"",DISPLAY!$V$3:$V$1000,""),"Network Device",_xlfn.XLOOKUP($K145&amp;"",'NETWORK-DEVICES'!$B$3:$B$987&amp;"",'NETWORK-DEVICES'!$AF$3:$AF$987,""),"Peripheral",_xlfn.XLOOKUP($K145&amp;"",PERIPHERAL!$B$3:$B$954&amp;"",PERIPHERAL!$Y$3:$Y$954,""),"Utilities",_xlfn.XLOOKUP($K145&amp;"",UTILITIES!$B$3:$B$953&amp;"",UTILITIES!$O$3:$O$953,""),"IOT",_xlfn.XLOOKUP($K145&amp;"",IOT!$B$3:$B$1012&amp;"",IOT!$AB$3:$AB$1012,""),"Server",_xlfn.XLOOKUP($K145&amp;"",SERVER!$B$3:$B$1009&amp;"",SERVER!$AB$3:$AB$1009,""),""))))</f>
        <v/>
      </c>
      <c r="R145" s="43" t="str">
        <f>IF(tbl_handover[[#This Row],[Asset Code]]="","",COUNTIF(tbl_handover[Asset Code],tbl_handover[[#This Row],[Asset Code]]))</f>
        <v/>
      </c>
    </row>
    <row r="146" spans="1:18" x14ac:dyDescent="0.25">
      <c r="A146" s="43" t="str">
        <f>IF(B146&lt;&gt;"",SUBTOTAL(3,$B$1:B145),"")</f>
        <v/>
      </c>
      <c r="C146" s="74"/>
      <c r="D146" s="74"/>
      <c r="G146" s="1"/>
      <c r="K146" s="42"/>
      <c r="L146" t="str" cm="1">
        <f t="array" ref="L146">IF($K146="","",_xlfn.SWITCH($I146,"Computer",_xlfn.XLOOKUP($K146&amp;"",COMPUTER!$B$3:$B$1009&amp;"",COMPUTER!$I$3:$I$1009,""),"Display",_xlfn.XLOOKUP($K146&amp;"",DISPLAY!$B$3:$B$1000&amp;"",DISPLAY!$J$3:$J$1000,""),"Network Device",_xlfn.XLOOKUP($K146&amp;"",'NETWORK-DEVICES'!$B$3:$B$987&amp;"",'NETWORK-DEVICES'!$I$3:$I$987,""),"Peripheral",_xlfn.XLOOKUP($K146&amp;"",PERIPHERAL!$B$3:$B$954&amp;"",PERIPHERAL!$I$3:$I$954,""),"Utilities",_xlfn.XLOOKUP($K146&amp;"",UTILITIES!$B$3:$B$953&amp;"",UTILITIES!$H$3:$H$953,""),"IOT",_xlfn.XLOOKUP($K146&amp;"",IOT!$B$3:$B$1012&amp;"",IOT!$I$3:$I$1012,""),"SERVER",_xlfn.XLOOKUP($K146&amp;"",SERVER!$B$3:$B$1009&amp;"",SERVER!$I$3:$I$1009,""),""))</f>
        <v/>
      </c>
      <c r="M146" t="str" cm="1">
        <f t="array" ref="M146">IF($K146="","",_xlfn.SWITCH($I146,"Computer",_xlfn.XLOOKUP($K146&amp;"",COMPUTER!$B$3:$B$1009&amp;"",COMPUTER!$J$3:$J$1009,""),"Display",_xlfn.XLOOKUP($K146&amp;"",DISPLAY!$B$3:$B$1000&amp;"",DISPLAY!$K$3:$K$1000,""),"Network Device",_xlfn.XLOOKUP($K146&amp;"",'NETWORK-DEVICES'!$B$3:$B$987&amp;"",'NETWORK-DEVICES'!$I$3:$I$987,""),"Peripheral",_xlfn.XLOOKUP($K146&amp;"",PERIPHERAL!$B$3:$B$954&amp;"",PERIPHERAL!$J$3:$J$954,""),"Utilities",_xlfn.XLOOKUP($K146&amp;"",UTILITIES!$B$3:$B$953&amp;"",UTILITIES!$I$3:$I$953,""),"IOT",_xlfn.XLOOKUP($K146&amp;"",IOT!$B$3:$B$1012&amp;"",IOT!$J$3:$J$1012,""),"Server",_xlfn.XLOOKUP($K146&amp;"",SERVER!$B$3:$B$1009&amp;"",SERVER!$J$3:$J$1009,""),""))</f>
        <v/>
      </c>
      <c r="N146" s="1" t="str" cm="1">
        <f t="array" ref="N146">IF(OR($K146="",$I146="",$J146=""),"",_xlfn.LET(_xlpm.srcCat,_xlfn.SWITCH($I146,"Computer",_xlfn.XLOOKUP($K146&amp;"",COMPUTER!$B$3:$B$1009&amp;"",COMPUTER!$H$3:$H$1009,""),"Display",_xlfn.XLOOKUP($K146&amp;"",DISPLAY!$B$3:$B$1000&amp;"",DISPLAY!$H$3:$H$1000,""),"Network Device",_xlfn.XLOOKUP($K146&amp;"",'NETWORK-DEVICES'!$B$3:$B$987&amp;"",'NETWORK-DEVICES'!$H$3:$H$987,""),"Peripheral",_xlfn.XLOOKUP($K146&amp;"",PERIPHERAL!$B$3:$B$954&amp;"",PERIPHERAL!$H$3:$H$954,""),"Utilities",_xlfn.XLOOKUP($K146&amp;"",UTILITIES!$B$3:$B$953&amp;"",UTILITIES!$G$3:$G$953,""),"IOT",_xlfn.XLOOKUP($K146&amp;"",IOT!$B$3:$B$1012&amp;"",IOT!$H$3:$H$1012,""),"Server",_xlfn.XLOOKUP($K146&amp;"",SERVER!$B$3:$B$1009&amp;"",SERVER!$H$3:$H$1009,""),""),IF(TRIM(_xlpm.srcCat)&lt;&gt;TRIM($J146),"",_xlfn.SWITCH($I146,"Computer",_xlfn.XLOOKUP($K146&amp;"",COMPUTER!$B$3:$B$1009&amp;"",COMPUTER!$K$3:$K$1009,""),"Display",_xlfn.XLOOKUP($K146&amp;"",DISPLAY!$B$3:$B$1000&amp;"",DISPLAY!$L$3:$L$1000,""),"Network Device",_xlfn.XLOOKUP($K146&amp;"",'NETWORK-DEVICES'!$B$3:$B$987&amp;"",'NETWORK-DEVICES'!$K$3:$K$987,""),"Peripheral",_xlfn.XLOOKUP($K146&amp;"",PERIPHERAL!$B$3:$B$954&amp;"",PERIPHERAL!$K$3:$K$954,""),"Utilities",_xlfn.XLOOKUP($K146&amp;"",UTILITIES!$B$3:$B$953&amp;"",UTILITIES!$J$3:$J$953,""),"IOT",_xlfn.XLOOKUP($K146&amp;"",IOT!$B$3:$B$1012&amp;"",IOT!$K$4:$K$1012,""),"Server",_xlfn.XLOOKUP($K146&amp;"",SERVER!$B$3:$B$1009&amp;"",SERVER!$K$3:$K$1009,""),""))))</f>
        <v/>
      </c>
      <c r="O146" s="1" t="str" cm="1">
        <f t="array" ref="O146">IF(OR($K146="",$I146="",$J146=""),"",_xlfn.LET(_xlpm.srcCat,_xlfn.SWITCH($I146,"Computer",_xlfn.XLOOKUP($K146&amp;"",COMPUTER!$B$3:$B$1009&amp;"",COMPUTER!$H$3:$H$1009,""),"Display",_xlfn.XLOOKUP($K146&amp;"",DISPLAY!$B$3:$B$1000&amp;"",DISPLAY!$H$3:$H$1000,""),"Network Device",_xlfn.XLOOKUP($K146&amp;"",'NETWORK-DEVICES'!$B$3:$B$987&amp;"",'NETWORK-DEVICES'!$H$3:$H$987,""),"Peripheral",_xlfn.XLOOKUP($K146&amp;"",PERIPHERAL!$B$3:$B$954&amp;"",PERIPHERAL!$H$3:$H$954,""),"Utilities",_xlfn.XLOOKUP($K146&amp;"",UTILITIES!$B$3:$B$953&amp;"",UTILITIES!$G$3:$G$953,""),"IOT",_xlfn.XLOOKUP($K146&amp;"",IOT!$B$3:$B$1012&amp;"",IOT!$H$3:$H$1012,""),"Server",_xlfn.XLOOKUP($K146&amp;"",SERVER!$B$3:$B$1009&amp;"",SERVER!$H$3:$H$1009,""),""),IF(TRIM(_xlpm.srcCat)&lt;&gt;TRIM($J146),"",_xlfn.SWITCH($I146,"Computer",_xlfn.XLOOKUP($K146&amp;"",COMPUTER!$B$3:$B$1009&amp;"",COMPUTER!$E$3:$E$1009,""),"Display",_xlfn.XLOOKUP($K146&amp;"",DISPLAY!$B$3:$B$1000&amp;"",DISPLAY!$E$3:$E$1000,""),"Network Device",_xlfn.XLOOKUP($K146&amp;"",'NETWORK-DEVICES'!$B$3:$B$987&amp;"",'NETWORK-DEVICES'!$E$3:$E$987,""),"Peripheral",_xlfn.XLOOKUP($K146&amp;"",PERIPHERAL!$B$3:$B$954&amp;"",PERIPHERAL!$E$3:$E$954,""),"Utilities",_xlfn.XLOOKUP($K146&amp;"",UTILITIES!$B$3:$B$953&amp;"",UTILITIES!$E$3:$E$953,""),"IOT",_xlfn.XLOOKUP($K146&amp;"",IOT!$B$3:$B$1012&amp;"",IOT!$E$3:$E$1012,""),"Server",_xlfn.XLOOKUP($K146&amp;"",SERVER!$B$3:$B$1009&amp;"",SERVER!$E$3:$E$1009,""),""))))</f>
        <v/>
      </c>
      <c r="Q146" s="1" t="str" cm="1">
        <f t="array" ref="Q146">IF(OR($K146="",$I146="",$J146=""),"",_xlfn.LET(_xlpm.srcCat,_xlfn.SWITCH($I146,"Computer",_xlfn.XLOOKUP($K146&amp;"",COMPUTER!$B$3:$B$1009&amp;"",COMPUTER!$H$3:$H$1009,""),"Display",_xlfn.XLOOKUP($K146&amp;"",DISPLAY!$B$3:$B$1000&amp;"",DISPLAY!$H$3:$H$1000,""),"Network Device",_xlfn.XLOOKUP($K146&amp;"",'NETWORK-DEVICES'!$B$3:$B$987&amp;"",'NETWORK-DEVICES'!$H$3:$H$987,""),"Peripheral",_xlfn.XLOOKUP($K146&amp;"",PERIPHERAL!$B$3:$B$954&amp;"",PERIPHERAL!$H$3:$H$954,""),"Utilities",_xlfn.XLOOKUP($K146&amp;"",UTILITIES!$B$3:$B$953&amp;"",UTILITIES!$G$3:$G$953,""),"IOT",_xlfn.XLOOKUP($K146&amp;"",IOT!$B$3:$B$1012&amp;"",IOT!$H$3:$H$1012,""),"Server",_xlfn.XLOOKUP($K146&amp;"",SERVER!$B$3:$B$1009&amp;"",SERVER!$H$3:$H$1009,""),""),IF(TRIM(_xlpm.srcCat)&lt;&gt;TRIM($J146),"",_xlfn.SWITCH($I146,"Computer",_xlfn.XLOOKUP($K146&amp;"",COMPUTER!$B$3:$B$1009&amp;"",COMPUTER!$AM$3:$AM$1009,""),"Display",_xlfn.XLOOKUP($K146&amp;"",DISPLAY!$B$3:$B$1000&amp;"",DISPLAY!$V$3:$V$1000,""),"Network Device",_xlfn.XLOOKUP($K146&amp;"",'NETWORK-DEVICES'!$B$3:$B$987&amp;"",'NETWORK-DEVICES'!$AF$3:$AF$987,""),"Peripheral",_xlfn.XLOOKUP($K146&amp;"",PERIPHERAL!$B$3:$B$954&amp;"",PERIPHERAL!$Y$3:$Y$954,""),"Utilities",_xlfn.XLOOKUP($K146&amp;"",UTILITIES!$B$3:$B$953&amp;"",UTILITIES!$O$3:$O$953,""),"IOT",_xlfn.XLOOKUP($K146&amp;"",IOT!$B$3:$B$1012&amp;"",IOT!$AB$3:$AB$1012,""),"Server",_xlfn.XLOOKUP($K146&amp;"",SERVER!$B$3:$B$1009&amp;"",SERVER!$AB$3:$AB$1009,""),""))))</f>
        <v/>
      </c>
      <c r="R146" s="43" t="str">
        <f>IF(tbl_handover[[#This Row],[Asset Code]]="","",COUNTIF(tbl_handover[Asset Code],tbl_handover[[#This Row],[Asset Code]]))</f>
        <v/>
      </c>
    </row>
    <row r="147" spans="1:18" x14ac:dyDescent="0.25">
      <c r="A147" s="43" t="str">
        <f>IF(B147&lt;&gt;"",SUBTOTAL(3,$B$1:B146),"")</f>
        <v/>
      </c>
      <c r="C147" s="74"/>
      <c r="D147" s="74"/>
      <c r="G147" s="1"/>
      <c r="K147" s="42"/>
      <c r="L147" t="str" cm="1">
        <f t="array" ref="L147">IF($K147="","",_xlfn.SWITCH($I147,"Computer",_xlfn.XLOOKUP($K147&amp;"",COMPUTER!$B$3:$B$1009&amp;"",COMPUTER!$I$3:$I$1009,""),"Display",_xlfn.XLOOKUP($K147&amp;"",DISPLAY!$B$3:$B$1000&amp;"",DISPLAY!$J$3:$J$1000,""),"Network Device",_xlfn.XLOOKUP($K147&amp;"",'NETWORK-DEVICES'!$B$3:$B$987&amp;"",'NETWORK-DEVICES'!$I$3:$I$987,""),"Peripheral",_xlfn.XLOOKUP($K147&amp;"",PERIPHERAL!$B$3:$B$954&amp;"",PERIPHERAL!$I$3:$I$954,""),"Utilities",_xlfn.XLOOKUP($K147&amp;"",UTILITIES!$B$3:$B$953&amp;"",UTILITIES!$H$3:$H$953,""),"IOT",_xlfn.XLOOKUP($K147&amp;"",IOT!$B$3:$B$1012&amp;"",IOT!$I$3:$I$1012,""),"SERVER",_xlfn.XLOOKUP($K147&amp;"",SERVER!$B$3:$B$1009&amp;"",SERVER!$I$3:$I$1009,""),""))</f>
        <v/>
      </c>
      <c r="M147" t="str" cm="1">
        <f t="array" ref="M147">IF($K147="","",_xlfn.SWITCH($I147,"Computer",_xlfn.XLOOKUP($K147&amp;"",COMPUTER!$B$3:$B$1009&amp;"",COMPUTER!$J$3:$J$1009,""),"Display",_xlfn.XLOOKUP($K147&amp;"",DISPLAY!$B$3:$B$1000&amp;"",DISPLAY!$K$3:$K$1000,""),"Network Device",_xlfn.XLOOKUP($K147&amp;"",'NETWORK-DEVICES'!$B$3:$B$987&amp;"",'NETWORK-DEVICES'!$I$3:$I$987,""),"Peripheral",_xlfn.XLOOKUP($K147&amp;"",PERIPHERAL!$B$3:$B$954&amp;"",PERIPHERAL!$J$3:$J$954,""),"Utilities",_xlfn.XLOOKUP($K147&amp;"",UTILITIES!$B$3:$B$953&amp;"",UTILITIES!$I$3:$I$953,""),"IOT",_xlfn.XLOOKUP($K147&amp;"",IOT!$B$3:$B$1012&amp;"",IOT!$J$3:$J$1012,""),"Server",_xlfn.XLOOKUP($K147&amp;"",SERVER!$B$3:$B$1009&amp;"",SERVER!$J$3:$J$1009,""),""))</f>
        <v/>
      </c>
      <c r="N147" s="1" t="str" cm="1">
        <f t="array" ref="N147">IF(OR($K147="",$I147="",$J147=""),"",_xlfn.LET(_xlpm.srcCat,_xlfn.SWITCH($I147,"Computer",_xlfn.XLOOKUP($K147&amp;"",COMPUTER!$B$3:$B$1009&amp;"",COMPUTER!$H$3:$H$1009,""),"Display",_xlfn.XLOOKUP($K147&amp;"",DISPLAY!$B$3:$B$1000&amp;"",DISPLAY!$H$3:$H$1000,""),"Network Device",_xlfn.XLOOKUP($K147&amp;"",'NETWORK-DEVICES'!$B$3:$B$987&amp;"",'NETWORK-DEVICES'!$H$3:$H$987,""),"Peripheral",_xlfn.XLOOKUP($K147&amp;"",PERIPHERAL!$B$3:$B$954&amp;"",PERIPHERAL!$H$3:$H$954,""),"Utilities",_xlfn.XLOOKUP($K147&amp;"",UTILITIES!$B$3:$B$953&amp;"",UTILITIES!$G$3:$G$953,""),"IOT",_xlfn.XLOOKUP($K147&amp;"",IOT!$B$3:$B$1012&amp;"",IOT!$H$3:$H$1012,""),"Server",_xlfn.XLOOKUP($K147&amp;"",SERVER!$B$3:$B$1009&amp;"",SERVER!$H$3:$H$1009,""),""),IF(TRIM(_xlpm.srcCat)&lt;&gt;TRIM($J147),"",_xlfn.SWITCH($I147,"Computer",_xlfn.XLOOKUP($K147&amp;"",COMPUTER!$B$3:$B$1009&amp;"",COMPUTER!$K$3:$K$1009,""),"Display",_xlfn.XLOOKUP($K147&amp;"",DISPLAY!$B$3:$B$1000&amp;"",DISPLAY!$L$3:$L$1000,""),"Network Device",_xlfn.XLOOKUP($K147&amp;"",'NETWORK-DEVICES'!$B$3:$B$987&amp;"",'NETWORK-DEVICES'!$K$3:$K$987,""),"Peripheral",_xlfn.XLOOKUP($K147&amp;"",PERIPHERAL!$B$3:$B$954&amp;"",PERIPHERAL!$K$3:$K$954,""),"Utilities",_xlfn.XLOOKUP($K147&amp;"",UTILITIES!$B$3:$B$953&amp;"",UTILITIES!$J$3:$J$953,""),"IOT",_xlfn.XLOOKUP($K147&amp;"",IOT!$B$3:$B$1012&amp;"",IOT!$K$4:$K$1012,""),"Server",_xlfn.XLOOKUP($K147&amp;"",SERVER!$B$3:$B$1009&amp;"",SERVER!$K$3:$K$1009,""),""))))</f>
        <v/>
      </c>
      <c r="O147" s="1" t="str" cm="1">
        <f t="array" ref="O147">IF(OR($K147="",$I147="",$J147=""),"",_xlfn.LET(_xlpm.srcCat,_xlfn.SWITCH($I147,"Computer",_xlfn.XLOOKUP($K147&amp;"",COMPUTER!$B$3:$B$1009&amp;"",COMPUTER!$H$3:$H$1009,""),"Display",_xlfn.XLOOKUP($K147&amp;"",DISPLAY!$B$3:$B$1000&amp;"",DISPLAY!$H$3:$H$1000,""),"Network Device",_xlfn.XLOOKUP($K147&amp;"",'NETWORK-DEVICES'!$B$3:$B$987&amp;"",'NETWORK-DEVICES'!$H$3:$H$987,""),"Peripheral",_xlfn.XLOOKUP($K147&amp;"",PERIPHERAL!$B$3:$B$954&amp;"",PERIPHERAL!$H$3:$H$954,""),"Utilities",_xlfn.XLOOKUP($K147&amp;"",UTILITIES!$B$3:$B$953&amp;"",UTILITIES!$G$3:$G$953,""),"IOT",_xlfn.XLOOKUP($K147&amp;"",IOT!$B$3:$B$1012&amp;"",IOT!$H$3:$H$1012,""),"Server",_xlfn.XLOOKUP($K147&amp;"",SERVER!$B$3:$B$1009&amp;"",SERVER!$H$3:$H$1009,""),""),IF(TRIM(_xlpm.srcCat)&lt;&gt;TRIM($J147),"",_xlfn.SWITCH($I147,"Computer",_xlfn.XLOOKUP($K147&amp;"",COMPUTER!$B$3:$B$1009&amp;"",COMPUTER!$E$3:$E$1009,""),"Display",_xlfn.XLOOKUP($K147&amp;"",DISPLAY!$B$3:$B$1000&amp;"",DISPLAY!$E$3:$E$1000,""),"Network Device",_xlfn.XLOOKUP($K147&amp;"",'NETWORK-DEVICES'!$B$3:$B$987&amp;"",'NETWORK-DEVICES'!$E$3:$E$987,""),"Peripheral",_xlfn.XLOOKUP($K147&amp;"",PERIPHERAL!$B$3:$B$954&amp;"",PERIPHERAL!$E$3:$E$954,""),"Utilities",_xlfn.XLOOKUP($K147&amp;"",UTILITIES!$B$3:$B$953&amp;"",UTILITIES!$E$3:$E$953,""),"IOT",_xlfn.XLOOKUP($K147&amp;"",IOT!$B$3:$B$1012&amp;"",IOT!$E$3:$E$1012,""),"Server",_xlfn.XLOOKUP($K147&amp;"",SERVER!$B$3:$B$1009&amp;"",SERVER!$E$3:$E$1009,""),""))))</f>
        <v/>
      </c>
      <c r="Q147" s="1" t="str" cm="1">
        <f t="array" ref="Q147">IF(OR($K147="",$I147="",$J147=""),"",_xlfn.LET(_xlpm.srcCat,_xlfn.SWITCH($I147,"Computer",_xlfn.XLOOKUP($K147&amp;"",COMPUTER!$B$3:$B$1009&amp;"",COMPUTER!$H$3:$H$1009,""),"Display",_xlfn.XLOOKUP($K147&amp;"",DISPLAY!$B$3:$B$1000&amp;"",DISPLAY!$H$3:$H$1000,""),"Network Device",_xlfn.XLOOKUP($K147&amp;"",'NETWORK-DEVICES'!$B$3:$B$987&amp;"",'NETWORK-DEVICES'!$H$3:$H$987,""),"Peripheral",_xlfn.XLOOKUP($K147&amp;"",PERIPHERAL!$B$3:$B$954&amp;"",PERIPHERAL!$H$3:$H$954,""),"Utilities",_xlfn.XLOOKUP($K147&amp;"",UTILITIES!$B$3:$B$953&amp;"",UTILITIES!$G$3:$G$953,""),"IOT",_xlfn.XLOOKUP($K147&amp;"",IOT!$B$3:$B$1012&amp;"",IOT!$H$3:$H$1012,""),"Server",_xlfn.XLOOKUP($K147&amp;"",SERVER!$B$3:$B$1009&amp;"",SERVER!$H$3:$H$1009,""),""),IF(TRIM(_xlpm.srcCat)&lt;&gt;TRIM($J147),"",_xlfn.SWITCH($I147,"Computer",_xlfn.XLOOKUP($K147&amp;"",COMPUTER!$B$3:$B$1009&amp;"",COMPUTER!$AM$3:$AM$1009,""),"Display",_xlfn.XLOOKUP($K147&amp;"",DISPLAY!$B$3:$B$1000&amp;"",DISPLAY!$V$3:$V$1000,""),"Network Device",_xlfn.XLOOKUP($K147&amp;"",'NETWORK-DEVICES'!$B$3:$B$987&amp;"",'NETWORK-DEVICES'!$AF$3:$AF$987,""),"Peripheral",_xlfn.XLOOKUP($K147&amp;"",PERIPHERAL!$B$3:$B$954&amp;"",PERIPHERAL!$Y$3:$Y$954,""),"Utilities",_xlfn.XLOOKUP($K147&amp;"",UTILITIES!$B$3:$B$953&amp;"",UTILITIES!$O$3:$O$953,""),"IOT",_xlfn.XLOOKUP($K147&amp;"",IOT!$B$3:$B$1012&amp;"",IOT!$AB$3:$AB$1012,""),"Server",_xlfn.XLOOKUP($K147&amp;"",SERVER!$B$3:$B$1009&amp;"",SERVER!$AB$3:$AB$1009,""),""))))</f>
        <v/>
      </c>
      <c r="R147" s="43" t="str">
        <f>IF(tbl_handover[[#This Row],[Asset Code]]="","",COUNTIF(tbl_handover[Asset Code],tbl_handover[[#This Row],[Asset Code]]))</f>
        <v/>
      </c>
    </row>
    <row r="148" spans="1:18" x14ac:dyDescent="0.25">
      <c r="A148" s="43" t="str">
        <f>IF(B148&lt;&gt;"",SUBTOTAL(3,$B$1:B147),"")</f>
        <v/>
      </c>
      <c r="C148" s="74"/>
      <c r="D148" s="74"/>
      <c r="G148" s="1"/>
      <c r="K148" s="42"/>
      <c r="L148" t="str" cm="1">
        <f t="array" ref="L148">IF($K148="","",_xlfn.SWITCH($I148,"Computer",_xlfn.XLOOKUP($K148&amp;"",COMPUTER!$B$3:$B$1009&amp;"",COMPUTER!$I$3:$I$1009,""),"Display",_xlfn.XLOOKUP($K148&amp;"",DISPLAY!$B$3:$B$1000&amp;"",DISPLAY!$J$3:$J$1000,""),"Network Device",_xlfn.XLOOKUP($K148&amp;"",'NETWORK-DEVICES'!$B$3:$B$987&amp;"",'NETWORK-DEVICES'!$I$3:$I$987,""),"Peripheral",_xlfn.XLOOKUP($K148&amp;"",PERIPHERAL!$B$3:$B$954&amp;"",PERIPHERAL!$I$3:$I$954,""),"Utilities",_xlfn.XLOOKUP($K148&amp;"",UTILITIES!$B$3:$B$953&amp;"",UTILITIES!$H$3:$H$953,""),"IOT",_xlfn.XLOOKUP($K148&amp;"",IOT!$B$3:$B$1012&amp;"",IOT!$I$3:$I$1012,""),"SERVER",_xlfn.XLOOKUP($K148&amp;"",SERVER!$B$3:$B$1009&amp;"",SERVER!$I$3:$I$1009,""),""))</f>
        <v/>
      </c>
      <c r="M148" t="str" cm="1">
        <f t="array" ref="M148">IF($K148="","",_xlfn.SWITCH($I148,"Computer",_xlfn.XLOOKUP($K148&amp;"",COMPUTER!$B$3:$B$1009&amp;"",COMPUTER!$J$3:$J$1009,""),"Display",_xlfn.XLOOKUP($K148&amp;"",DISPLAY!$B$3:$B$1000&amp;"",DISPLAY!$K$3:$K$1000,""),"Network Device",_xlfn.XLOOKUP($K148&amp;"",'NETWORK-DEVICES'!$B$3:$B$987&amp;"",'NETWORK-DEVICES'!$I$3:$I$987,""),"Peripheral",_xlfn.XLOOKUP($K148&amp;"",PERIPHERAL!$B$3:$B$954&amp;"",PERIPHERAL!$J$3:$J$954,""),"Utilities",_xlfn.XLOOKUP($K148&amp;"",UTILITIES!$B$3:$B$953&amp;"",UTILITIES!$I$3:$I$953,""),"IOT",_xlfn.XLOOKUP($K148&amp;"",IOT!$B$3:$B$1012&amp;"",IOT!$J$3:$J$1012,""),"Server",_xlfn.XLOOKUP($K148&amp;"",SERVER!$B$3:$B$1009&amp;"",SERVER!$J$3:$J$1009,""),""))</f>
        <v/>
      </c>
      <c r="N148" s="1" t="str" cm="1">
        <f t="array" ref="N148">IF(OR($K148="",$I148="",$J148=""),"",_xlfn.LET(_xlpm.srcCat,_xlfn.SWITCH($I148,"Computer",_xlfn.XLOOKUP($K148&amp;"",COMPUTER!$B$3:$B$1009&amp;"",COMPUTER!$H$3:$H$1009,""),"Display",_xlfn.XLOOKUP($K148&amp;"",DISPLAY!$B$3:$B$1000&amp;"",DISPLAY!$H$3:$H$1000,""),"Network Device",_xlfn.XLOOKUP($K148&amp;"",'NETWORK-DEVICES'!$B$3:$B$987&amp;"",'NETWORK-DEVICES'!$H$3:$H$987,""),"Peripheral",_xlfn.XLOOKUP($K148&amp;"",PERIPHERAL!$B$3:$B$954&amp;"",PERIPHERAL!$H$3:$H$954,""),"Utilities",_xlfn.XLOOKUP($K148&amp;"",UTILITIES!$B$3:$B$953&amp;"",UTILITIES!$G$3:$G$953,""),"IOT",_xlfn.XLOOKUP($K148&amp;"",IOT!$B$3:$B$1012&amp;"",IOT!$H$3:$H$1012,""),"Server",_xlfn.XLOOKUP($K148&amp;"",SERVER!$B$3:$B$1009&amp;"",SERVER!$H$3:$H$1009,""),""),IF(TRIM(_xlpm.srcCat)&lt;&gt;TRIM($J148),"",_xlfn.SWITCH($I148,"Computer",_xlfn.XLOOKUP($K148&amp;"",COMPUTER!$B$3:$B$1009&amp;"",COMPUTER!$K$3:$K$1009,""),"Display",_xlfn.XLOOKUP($K148&amp;"",DISPLAY!$B$3:$B$1000&amp;"",DISPLAY!$L$3:$L$1000,""),"Network Device",_xlfn.XLOOKUP($K148&amp;"",'NETWORK-DEVICES'!$B$3:$B$987&amp;"",'NETWORK-DEVICES'!$K$3:$K$987,""),"Peripheral",_xlfn.XLOOKUP($K148&amp;"",PERIPHERAL!$B$3:$B$954&amp;"",PERIPHERAL!$K$3:$K$954,""),"Utilities",_xlfn.XLOOKUP($K148&amp;"",UTILITIES!$B$3:$B$953&amp;"",UTILITIES!$J$3:$J$953,""),"IOT",_xlfn.XLOOKUP($K148&amp;"",IOT!$B$3:$B$1012&amp;"",IOT!$K$4:$K$1012,""),"Server",_xlfn.XLOOKUP($K148&amp;"",SERVER!$B$3:$B$1009&amp;"",SERVER!$K$3:$K$1009,""),""))))</f>
        <v/>
      </c>
      <c r="O148" s="1" t="str" cm="1">
        <f t="array" ref="O148">IF(OR($K148="",$I148="",$J148=""),"",_xlfn.LET(_xlpm.srcCat,_xlfn.SWITCH($I148,"Computer",_xlfn.XLOOKUP($K148&amp;"",COMPUTER!$B$3:$B$1009&amp;"",COMPUTER!$H$3:$H$1009,""),"Display",_xlfn.XLOOKUP($K148&amp;"",DISPLAY!$B$3:$B$1000&amp;"",DISPLAY!$H$3:$H$1000,""),"Network Device",_xlfn.XLOOKUP($K148&amp;"",'NETWORK-DEVICES'!$B$3:$B$987&amp;"",'NETWORK-DEVICES'!$H$3:$H$987,""),"Peripheral",_xlfn.XLOOKUP($K148&amp;"",PERIPHERAL!$B$3:$B$954&amp;"",PERIPHERAL!$H$3:$H$954,""),"Utilities",_xlfn.XLOOKUP($K148&amp;"",UTILITIES!$B$3:$B$953&amp;"",UTILITIES!$G$3:$G$953,""),"IOT",_xlfn.XLOOKUP($K148&amp;"",IOT!$B$3:$B$1012&amp;"",IOT!$H$3:$H$1012,""),"Server",_xlfn.XLOOKUP($K148&amp;"",SERVER!$B$3:$B$1009&amp;"",SERVER!$H$3:$H$1009,""),""),IF(TRIM(_xlpm.srcCat)&lt;&gt;TRIM($J148),"",_xlfn.SWITCH($I148,"Computer",_xlfn.XLOOKUP($K148&amp;"",COMPUTER!$B$3:$B$1009&amp;"",COMPUTER!$E$3:$E$1009,""),"Display",_xlfn.XLOOKUP($K148&amp;"",DISPLAY!$B$3:$B$1000&amp;"",DISPLAY!$E$3:$E$1000,""),"Network Device",_xlfn.XLOOKUP($K148&amp;"",'NETWORK-DEVICES'!$B$3:$B$987&amp;"",'NETWORK-DEVICES'!$E$3:$E$987,""),"Peripheral",_xlfn.XLOOKUP($K148&amp;"",PERIPHERAL!$B$3:$B$954&amp;"",PERIPHERAL!$E$3:$E$954,""),"Utilities",_xlfn.XLOOKUP($K148&amp;"",UTILITIES!$B$3:$B$953&amp;"",UTILITIES!$E$3:$E$953,""),"IOT",_xlfn.XLOOKUP($K148&amp;"",IOT!$B$3:$B$1012&amp;"",IOT!$E$3:$E$1012,""),"Server",_xlfn.XLOOKUP($K148&amp;"",SERVER!$B$3:$B$1009&amp;"",SERVER!$E$3:$E$1009,""),""))))</f>
        <v/>
      </c>
      <c r="Q148" s="1" t="str" cm="1">
        <f t="array" ref="Q148">IF(OR($K148="",$I148="",$J148=""),"",_xlfn.LET(_xlpm.srcCat,_xlfn.SWITCH($I148,"Computer",_xlfn.XLOOKUP($K148&amp;"",COMPUTER!$B$3:$B$1009&amp;"",COMPUTER!$H$3:$H$1009,""),"Display",_xlfn.XLOOKUP($K148&amp;"",DISPLAY!$B$3:$B$1000&amp;"",DISPLAY!$H$3:$H$1000,""),"Network Device",_xlfn.XLOOKUP($K148&amp;"",'NETWORK-DEVICES'!$B$3:$B$987&amp;"",'NETWORK-DEVICES'!$H$3:$H$987,""),"Peripheral",_xlfn.XLOOKUP($K148&amp;"",PERIPHERAL!$B$3:$B$954&amp;"",PERIPHERAL!$H$3:$H$954,""),"Utilities",_xlfn.XLOOKUP($K148&amp;"",UTILITIES!$B$3:$B$953&amp;"",UTILITIES!$G$3:$G$953,""),"IOT",_xlfn.XLOOKUP($K148&amp;"",IOT!$B$3:$B$1012&amp;"",IOT!$H$3:$H$1012,""),"Server",_xlfn.XLOOKUP($K148&amp;"",SERVER!$B$3:$B$1009&amp;"",SERVER!$H$3:$H$1009,""),""),IF(TRIM(_xlpm.srcCat)&lt;&gt;TRIM($J148),"",_xlfn.SWITCH($I148,"Computer",_xlfn.XLOOKUP($K148&amp;"",COMPUTER!$B$3:$B$1009&amp;"",COMPUTER!$AM$3:$AM$1009,""),"Display",_xlfn.XLOOKUP($K148&amp;"",DISPLAY!$B$3:$B$1000&amp;"",DISPLAY!$V$3:$V$1000,""),"Network Device",_xlfn.XLOOKUP($K148&amp;"",'NETWORK-DEVICES'!$B$3:$B$987&amp;"",'NETWORK-DEVICES'!$AF$3:$AF$987,""),"Peripheral",_xlfn.XLOOKUP($K148&amp;"",PERIPHERAL!$B$3:$B$954&amp;"",PERIPHERAL!$Y$3:$Y$954,""),"Utilities",_xlfn.XLOOKUP($K148&amp;"",UTILITIES!$B$3:$B$953&amp;"",UTILITIES!$O$3:$O$953,""),"IOT",_xlfn.XLOOKUP($K148&amp;"",IOT!$B$3:$B$1012&amp;"",IOT!$AB$3:$AB$1012,""),"Server",_xlfn.XLOOKUP($K148&amp;"",SERVER!$B$3:$B$1009&amp;"",SERVER!$AB$3:$AB$1009,""),""))))</f>
        <v/>
      </c>
      <c r="R148" s="43" t="str">
        <f>IF(tbl_handover[[#This Row],[Asset Code]]="","",COUNTIF(tbl_handover[Asset Code],tbl_handover[[#This Row],[Asset Code]]))</f>
        <v/>
      </c>
    </row>
    <row r="149" spans="1:18" x14ac:dyDescent="0.25">
      <c r="A149" s="43" t="str">
        <f>IF(B149&lt;&gt;"",SUBTOTAL(3,$B$1:B148),"")</f>
        <v/>
      </c>
      <c r="C149" s="74"/>
      <c r="D149" s="74"/>
      <c r="G149" s="1"/>
      <c r="K149" s="42"/>
      <c r="L149" t="str" cm="1">
        <f t="array" ref="L149">IF($K149="","",_xlfn.SWITCH($I149,"Computer",_xlfn.XLOOKUP($K149&amp;"",COMPUTER!$B$3:$B$1009&amp;"",COMPUTER!$I$3:$I$1009,""),"Display",_xlfn.XLOOKUP($K149&amp;"",DISPLAY!$B$3:$B$1000&amp;"",DISPLAY!$J$3:$J$1000,""),"Network Device",_xlfn.XLOOKUP($K149&amp;"",'NETWORK-DEVICES'!$B$3:$B$987&amp;"",'NETWORK-DEVICES'!$I$3:$I$987,""),"Peripheral",_xlfn.XLOOKUP($K149&amp;"",PERIPHERAL!$B$3:$B$954&amp;"",PERIPHERAL!$I$3:$I$954,""),"Utilities",_xlfn.XLOOKUP($K149&amp;"",UTILITIES!$B$3:$B$953&amp;"",UTILITIES!$H$3:$H$953,""),"IOT",_xlfn.XLOOKUP($K149&amp;"",IOT!$B$3:$B$1012&amp;"",IOT!$I$3:$I$1012,""),"SERVER",_xlfn.XLOOKUP($K149&amp;"",SERVER!$B$3:$B$1009&amp;"",SERVER!$I$3:$I$1009,""),""))</f>
        <v/>
      </c>
      <c r="M149" t="str" cm="1">
        <f t="array" ref="M149">IF($K149="","",_xlfn.SWITCH($I149,"Computer",_xlfn.XLOOKUP($K149&amp;"",COMPUTER!$B$3:$B$1009&amp;"",COMPUTER!$J$3:$J$1009,""),"Display",_xlfn.XLOOKUP($K149&amp;"",DISPLAY!$B$3:$B$1000&amp;"",DISPLAY!$K$3:$K$1000,""),"Network Device",_xlfn.XLOOKUP($K149&amp;"",'NETWORK-DEVICES'!$B$3:$B$987&amp;"",'NETWORK-DEVICES'!$I$3:$I$987,""),"Peripheral",_xlfn.XLOOKUP($K149&amp;"",PERIPHERAL!$B$3:$B$954&amp;"",PERIPHERAL!$J$3:$J$954,""),"Utilities",_xlfn.XLOOKUP($K149&amp;"",UTILITIES!$B$3:$B$953&amp;"",UTILITIES!$I$3:$I$953,""),"IOT",_xlfn.XLOOKUP($K149&amp;"",IOT!$B$3:$B$1012&amp;"",IOT!$J$3:$J$1012,""),"Server",_xlfn.XLOOKUP($K149&amp;"",SERVER!$B$3:$B$1009&amp;"",SERVER!$J$3:$J$1009,""),""))</f>
        <v/>
      </c>
      <c r="N149" s="1" t="str" cm="1">
        <f t="array" ref="N149">IF(OR($K149="",$I149="",$J149=""),"",_xlfn.LET(_xlpm.srcCat,_xlfn.SWITCH($I149,"Computer",_xlfn.XLOOKUP($K149&amp;"",COMPUTER!$B$3:$B$1009&amp;"",COMPUTER!$H$3:$H$1009,""),"Display",_xlfn.XLOOKUP($K149&amp;"",DISPLAY!$B$3:$B$1000&amp;"",DISPLAY!$H$3:$H$1000,""),"Network Device",_xlfn.XLOOKUP($K149&amp;"",'NETWORK-DEVICES'!$B$3:$B$987&amp;"",'NETWORK-DEVICES'!$H$3:$H$987,""),"Peripheral",_xlfn.XLOOKUP($K149&amp;"",PERIPHERAL!$B$3:$B$954&amp;"",PERIPHERAL!$H$3:$H$954,""),"Utilities",_xlfn.XLOOKUP($K149&amp;"",UTILITIES!$B$3:$B$953&amp;"",UTILITIES!$G$3:$G$953,""),"IOT",_xlfn.XLOOKUP($K149&amp;"",IOT!$B$3:$B$1012&amp;"",IOT!$H$3:$H$1012,""),"Server",_xlfn.XLOOKUP($K149&amp;"",SERVER!$B$3:$B$1009&amp;"",SERVER!$H$3:$H$1009,""),""),IF(TRIM(_xlpm.srcCat)&lt;&gt;TRIM($J149),"",_xlfn.SWITCH($I149,"Computer",_xlfn.XLOOKUP($K149&amp;"",COMPUTER!$B$3:$B$1009&amp;"",COMPUTER!$K$3:$K$1009,""),"Display",_xlfn.XLOOKUP($K149&amp;"",DISPLAY!$B$3:$B$1000&amp;"",DISPLAY!$L$3:$L$1000,""),"Network Device",_xlfn.XLOOKUP($K149&amp;"",'NETWORK-DEVICES'!$B$3:$B$987&amp;"",'NETWORK-DEVICES'!$K$3:$K$987,""),"Peripheral",_xlfn.XLOOKUP($K149&amp;"",PERIPHERAL!$B$3:$B$954&amp;"",PERIPHERAL!$K$3:$K$954,""),"Utilities",_xlfn.XLOOKUP($K149&amp;"",UTILITIES!$B$3:$B$953&amp;"",UTILITIES!$J$3:$J$953,""),"IOT",_xlfn.XLOOKUP($K149&amp;"",IOT!$B$3:$B$1012&amp;"",IOT!$K$4:$K$1012,""),"Server",_xlfn.XLOOKUP($K149&amp;"",SERVER!$B$3:$B$1009&amp;"",SERVER!$K$3:$K$1009,""),""))))</f>
        <v/>
      </c>
      <c r="O149" s="1" t="str" cm="1">
        <f t="array" ref="O149">IF(OR($K149="",$I149="",$J149=""),"",_xlfn.LET(_xlpm.srcCat,_xlfn.SWITCH($I149,"Computer",_xlfn.XLOOKUP($K149&amp;"",COMPUTER!$B$3:$B$1009&amp;"",COMPUTER!$H$3:$H$1009,""),"Display",_xlfn.XLOOKUP($K149&amp;"",DISPLAY!$B$3:$B$1000&amp;"",DISPLAY!$H$3:$H$1000,""),"Network Device",_xlfn.XLOOKUP($K149&amp;"",'NETWORK-DEVICES'!$B$3:$B$987&amp;"",'NETWORK-DEVICES'!$H$3:$H$987,""),"Peripheral",_xlfn.XLOOKUP($K149&amp;"",PERIPHERAL!$B$3:$B$954&amp;"",PERIPHERAL!$H$3:$H$954,""),"Utilities",_xlfn.XLOOKUP($K149&amp;"",UTILITIES!$B$3:$B$953&amp;"",UTILITIES!$G$3:$G$953,""),"IOT",_xlfn.XLOOKUP($K149&amp;"",IOT!$B$3:$B$1012&amp;"",IOT!$H$3:$H$1012,""),"Server",_xlfn.XLOOKUP($K149&amp;"",SERVER!$B$3:$B$1009&amp;"",SERVER!$H$3:$H$1009,""),""),IF(TRIM(_xlpm.srcCat)&lt;&gt;TRIM($J149),"",_xlfn.SWITCH($I149,"Computer",_xlfn.XLOOKUP($K149&amp;"",COMPUTER!$B$3:$B$1009&amp;"",COMPUTER!$E$3:$E$1009,""),"Display",_xlfn.XLOOKUP($K149&amp;"",DISPLAY!$B$3:$B$1000&amp;"",DISPLAY!$E$3:$E$1000,""),"Network Device",_xlfn.XLOOKUP($K149&amp;"",'NETWORK-DEVICES'!$B$3:$B$987&amp;"",'NETWORK-DEVICES'!$E$3:$E$987,""),"Peripheral",_xlfn.XLOOKUP($K149&amp;"",PERIPHERAL!$B$3:$B$954&amp;"",PERIPHERAL!$E$3:$E$954,""),"Utilities",_xlfn.XLOOKUP($K149&amp;"",UTILITIES!$B$3:$B$953&amp;"",UTILITIES!$E$3:$E$953,""),"IOT",_xlfn.XLOOKUP($K149&amp;"",IOT!$B$3:$B$1012&amp;"",IOT!$E$3:$E$1012,""),"Server",_xlfn.XLOOKUP($K149&amp;"",SERVER!$B$3:$B$1009&amp;"",SERVER!$E$3:$E$1009,""),""))))</f>
        <v/>
      </c>
      <c r="Q149" s="1" t="str" cm="1">
        <f t="array" ref="Q149">IF(OR($K149="",$I149="",$J149=""),"",_xlfn.LET(_xlpm.srcCat,_xlfn.SWITCH($I149,"Computer",_xlfn.XLOOKUP($K149&amp;"",COMPUTER!$B$3:$B$1009&amp;"",COMPUTER!$H$3:$H$1009,""),"Display",_xlfn.XLOOKUP($K149&amp;"",DISPLAY!$B$3:$B$1000&amp;"",DISPLAY!$H$3:$H$1000,""),"Network Device",_xlfn.XLOOKUP($K149&amp;"",'NETWORK-DEVICES'!$B$3:$B$987&amp;"",'NETWORK-DEVICES'!$H$3:$H$987,""),"Peripheral",_xlfn.XLOOKUP($K149&amp;"",PERIPHERAL!$B$3:$B$954&amp;"",PERIPHERAL!$H$3:$H$954,""),"Utilities",_xlfn.XLOOKUP($K149&amp;"",UTILITIES!$B$3:$B$953&amp;"",UTILITIES!$G$3:$G$953,""),"IOT",_xlfn.XLOOKUP($K149&amp;"",IOT!$B$3:$B$1012&amp;"",IOT!$H$3:$H$1012,""),"Server",_xlfn.XLOOKUP($K149&amp;"",SERVER!$B$3:$B$1009&amp;"",SERVER!$H$3:$H$1009,""),""),IF(TRIM(_xlpm.srcCat)&lt;&gt;TRIM($J149),"",_xlfn.SWITCH($I149,"Computer",_xlfn.XLOOKUP($K149&amp;"",COMPUTER!$B$3:$B$1009&amp;"",COMPUTER!$AM$3:$AM$1009,""),"Display",_xlfn.XLOOKUP($K149&amp;"",DISPLAY!$B$3:$B$1000&amp;"",DISPLAY!$V$3:$V$1000,""),"Network Device",_xlfn.XLOOKUP($K149&amp;"",'NETWORK-DEVICES'!$B$3:$B$987&amp;"",'NETWORK-DEVICES'!$AF$3:$AF$987,""),"Peripheral",_xlfn.XLOOKUP($K149&amp;"",PERIPHERAL!$B$3:$B$954&amp;"",PERIPHERAL!$Y$3:$Y$954,""),"Utilities",_xlfn.XLOOKUP($K149&amp;"",UTILITIES!$B$3:$B$953&amp;"",UTILITIES!$O$3:$O$953,""),"IOT",_xlfn.XLOOKUP($K149&amp;"",IOT!$B$3:$B$1012&amp;"",IOT!$AB$3:$AB$1012,""),"Server",_xlfn.XLOOKUP($K149&amp;"",SERVER!$B$3:$B$1009&amp;"",SERVER!$AB$3:$AB$1009,""),""))))</f>
        <v/>
      </c>
      <c r="R149" s="43" t="str">
        <f>IF(tbl_handover[[#This Row],[Asset Code]]="","",COUNTIF(tbl_handover[Asset Code],tbl_handover[[#This Row],[Asset Code]]))</f>
        <v/>
      </c>
    </row>
    <row r="150" spans="1:18" x14ac:dyDescent="0.25">
      <c r="A150" s="43" t="str">
        <f>IF(B150&lt;&gt;"",SUBTOTAL(3,$B$1:B149),"")</f>
        <v/>
      </c>
      <c r="C150" s="74"/>
      <c r="D150" s="74"/>
      <c r="G150" s="1"/>
      <c r="K150" s="42"/>
      <c r="L150" t="str" cm="1">
        <f t="array" ref="L150">IF($K150="","",_xlfn.SWITCH($I150,"Computer",_xlfn.XLOOKUP($K150&amp;"",COMPUTER!$B$3:$B$1009&amp;"",COMPUTER!$I$3:$I$1009,""),"Display",_xlfn.XLOOKUP($K150&amp;"",DISPLAY!$B$3:$B$1000&amp;"",DISPLAY!$J$3:$J$1000,""),"Network Device",_xlfn.XLOOKUP($K150&amp;"",'NETWORK-DEVICES'!$B$3:$B$987&amp;"",'NETWORK-DEVICES'!$I$3:$I$987,""),"Peripheral",_xlfn.XLOOKUP($K150&amp;"",PERIPHERAL!$B$3:$B$954&amp;"",PERIPHERAL!$I$3:$I$954,""),"Utilities",_xlfn.XLOOKUP($K150&amp;"",UTILITIES!$B$3:$B$953&amp;"",UTILITIES!$H$3:$H$953,""),"IOT",_xlfn.XLOOKUP($K150&amp;"",IOT!$B$3:$B$1012&amp;"",IOT!$I$3:$I$1012,""),"SERVER",_xlfn.XLOOKUP($K150&amp;"",SERVER!$B$3:$B$1009&amp;"",SERVER!$I$3:$I$1009,""),""))</f>
        <v/>
      </c>
      <c r="M150" t="str" cm="1">
        <f t="array" ref="M150">IF($K150="","",_xlfn.SWITCH($I150,"Computer",_xlfn.XLOOKUP($K150&amp;"",COMPUTER!$B$3:$B$1009&amp;"",COMPUTER!$J$3:$J$1009,""),"Display",_xlfn.XLOOKUP($K150&amp;"",DISPLAY!$B$3:$B$1000&amp;"",DISPLAY!$K$3:$K$1000,""),"Network Device",_xlfn.XLOOKUP($K150&amp;"",'NETWORK-DEVICES'!$B$3:$B$987&amp;"",'NETWORK-DEVICES'!$I$3:$I$987,""),"Peripheral",_xlfn.XLOOKUP($K150&amp;"",PERIPHERAL!$B$3:$B$954&amp;"",PERIPHERAL!$J$3:$J$954,""),"Utilities",_xlfn.XLOOKUP($K150&amp;"",UTILITIES!$B$3:$B$953&amp;"",UTILITIES!$I$3:$I$953,""),"IOT",_xlfn.XLOOKUP($K150&amp;"",IOT!$B$3:$B$1012&amp;"",IOT!$J$3:$J$1012,""),"Server",_xlfn.XLOOKUP($K150&amp;"",SERVER!$B$3:$B$1009&amp;"",SERVER!$J$3:$J$1009,""),""))</f>
        <v/>
      </c>
      <c r="N150" s="1" t="str" cm="1">
        <f t="array" ref="N150">IF(OR($K150="",$I150="",$J150=""),"",_xlfn.LET(_xlpm.srcCat,_xlfn.SWITCH($I150,"Computer",_xlfn.XLOOKUP($K150&amp;"",COMPUTER!$B$3:$B$1009&amp;"",COMPUTER!$H$3:$H$1009,""),"Display",_xlfn.XLOOKUP($K150&amp;"",DISPLAY!$B$3:$B$1000&amp;"",DISPLAY!$H$3:$H$1000,""),"Network Device",_xlfn.XLOOKUP($K150&amp;"",'NETWORK-DEVICES'!$B$3:$B$987&amp;"",'NETWORK-DEVICES'!$H$3:$H$987,""),"Peripheral",_xlfn.XLOOKUP($K150&amp;"",PERIPHERAL!$B$3:$B$954&amp;"",PERIPHERAL!$H$3:$H$954,""),"Utilities",_xlfn.XLOOKUP($K150&amp;"",UTILITIES!$B$3:$B$953&amp;"",UTILITIES!$G$3:$G$953,""),"IOT",_xlfn.XLOOKUP($K150&amp;"",IOT!$B$3:$B$1012&amp;"",IOT!$H$3:$H$1012,""),"Server",_xlfn.XLOOKUP($K150&amp;"",SERVER!$B$3:$B$1009&amp;"",SERVER!$H$3:$H$1009,""),""),IF(TRIM(_xlpm.srcCat)&lt;&gt;TRIM($J150),"",_xlfn.SWITCH($I150,"Computer",_xlfn.XLOOKUP($K150&amp;"",COMPUTER!$B$3:$B$1009&amp;"",COMPUTER!$K$3:$K$1009,""),"Display",_xlfn.XLOOKUP($K150&amp;"",DISPLAY!$B$3:$B$1000&amp;"",DISPLAY!$L$3:$L$1000,""),"Network Device",_xlfn.XLOOKUP($K150&amp;"",'NETWORK-DEVICES'!$B$3:$B$987&amp;"",'NETWORK-DEVICES'!$K$3:$K$987,""),"Peripheral",_xlfn.XLOOKUP($K150&amp;"",PERIPHERAL!$B$3:$B$954&amp;"",PERIPHERAL!$K$3:$K$954,""),"Utilities",_xlfn.XLOOKUP($K150&amp;"",UTILITIES!$B$3:$B$953&amp;"",UTILITIES!$J$3:$J$953,""),"IOT",_xlfn.XLOOKUP($K150&amp;"",IOT!$B$3:$B$1012&amp;"",IOT!$K$4:$K$1012,""),"Server",_xlfn.XLOOKUP($K150&amp;"",SERVER!$B$3:$B$1009&amp;"",SERVER!$K$3:$K$1009,""),""))))</f>
        <v/>
      </c>
      <c r="O150" s="1" t="str" cm="1">
        <f t="array" ref="O150">IF(OR($K150="",$I150="",$J150=""),"",_xlfn.LET(_xlpm.srcCat,_xlfn.SWITCH($I150,"Computer",_xlfn.XLOOKUP($K150&amp;"",COMPUTER!$B$3:$B$1009&amp;"",COMPUTER!$H$3:$H$1009,""),"Display",_xlfn.XLOOKUP($K150&amp;"",DISPLAY!$B$3:$B$1000&amp;"",DISPLAY!$H$3:$H$1000,""),"Network Device",_xlfn.XLOOKUP($K150&amp;"",'NETWORK-DEVICES'!$B$3:$B$987&amp;"",'NETWORK-DEVICES'!$H$3:$H$987,""),"Peripheral",_xlfn.XLOOKUP($K150&amp;"",PERIPHERAL!$B$3:$B$954&amp;"",PERIPHERAL!$H$3:$H$954,""),"Utilities",_xlfn.XLOOKUP($K150&amp;"",UTILITIES!$B$3:$B$953&amp;"",UTILITIES!$G$3:$G$953,""),"IOT",_xlfn.XLOOKUP($K150&amp;"",IOT!$B$3:$B$1012&amp;"",IOT!$H$3:$H$1012,""),"Server",_xlfn.XLOOKUP($K150&amp;"",SERVER!$B$3:$B$1009&amp;"",SERVER!$H$3:$H$1009,""),""),IF(TRIM(_xlpm.srcCat)&lt;&gt;TRIM($J150),"",_xlfn.SWITCH($I150,"Computer",_xlfn.XLOOKUP($K150&amp;"",COMPUTER!$B$3:$B$1009&amp;"",COMPUTER!$E$3:$E$1009,""),"Display",_xlfn.XLOOKUP($K150&amp;"",DISPLAY!$B$3:$B$1000&amp;"",DISPLAY!$E$3:$E$1000,""),"Network Device",_xlfn.XLOOKUP($K150&amp;"",'NETWORK-DEVICES'!$B$3:$B$987&amp;"",'NETWORK-DEVICES'!$E$3:$E$987,""),"Peripheral",_xlfn.XLOOKUP($K150&amp;"",PERIPHERAL!$B$3:$B$954&amp;"",PERIPHERAL!$E$3:$E$954,""),"Utilities",_xlfn.XLOOKUP($K150&amp;"",UTILITIES!$B$3:$B$953&amp;"",UTILITIES!$E$3:$E$953,""),"IOT",_xlfn.XLOOKUP($K150&amp;"",IOT!$B$3:$B$1012&amp;"",IOT!$E$3:$E$1012,""),"Server",_xlfn.XLOOKUP($K150&amp;"",SERVER!$B$3:$B$1009&amp;"",SERVER!$E$3:$E$1009,""),""))))</f>
        <v/>
      </c>
      <c r="Q150" s="1" t="str" cm="1">
        <f t="array" ref="Q150">IF(OR($K150="",$I150="",$J150=""),"",_xlfn.LET(_xlpm.srcCat,_xlfn.SWITCH($I150,"Computer",_xlfn.XLOOKUP($K150&amp;"",COMPUTER!$B$3:$B$1009&amp;"",COMPUTER!$H$3:$H$1009,""),"Display",_xlfn.XLOOKUP($K150&amp;"",DISPLAY!$B$3:$B$1000&amp;"",DISPLAY!$H$3:$H$1000,""),"Network Device",_xlfn.XLOOKUP($K150&amp;"",'NETWORK-DEVICES'!$B$3:$B$987&amp;"",'NETWORK-DEVICES'!$H$3:$H$987,""),"Peripheral",_xlfn.XLOOKUP($K150&amp;"",PERIPHERAL!$B$3:$B$954&amp;"",PERIPHERAL!$H$3:$H$954,""),"Utilities",_xlfn.XLOOKUP($K150&amp;"",UTILITIES!$B$3:$B$953&amp;"",UTILITIES!$G$3:$G$953,""),"IOT",_xlfn.XLOOKUP($K150&amp;"",IOT!$B$3:$B$1012&amp;"",IOT!$H$3:$H$1012,""),"Server",_xlfn.XLOOKUP($K150&amp;"",SERVER!$B$3:$B$1009&amp;"",SERVER!$H$3:$H$1009,""),""),IF(TRIM(_xlpm.srcCat)&lt;&gt;TRIM($J150),"",_xlfn.SWITCH($I150,"Computer",_xlfn.XLOOKUP($K150&amp;"",COMPUTER!$B$3:$B$1009&amp;"",COMPUTER!$AM$3:$AM$1009,""),"Display",_xlfn.XLOOKUP($K150&amp;"",DISPLAY!$B$3:$B$1000&amp;"",DISPLAY!$V$3:$V$1000,""),"Network Device",_xlfn.XLOOKUP($K150&amp;"",'NETWORK-DEVICES'!$B$3:$B$987&amp;"",'NETWORK-DEVICES'!$AF$3:$AF$987,""),"Peripheral",_xlfn.XLOOKUP($K150&amp;"",PERIPHERAL!$B$3:$B$954&amp;"",PERIPHERAL!$Y$3:$Y$954,""),"Utilities",_xlfn.XLOOKUP($K150&amp;"",UTILITIES!$B$3:$B$953&amp;"",UTILITIES!$O$3:$O$953,""),"IOT",_xlfn.XLOOKUP($K150&amp;"",IOT!$B$3:$B$1012&amp;"",IOT!$AB$3:$AB$1012,""),"Server",_xlfn.XLOOKUP($K150&amp;"",SERVER!$B$3:$B$1009&amp;"",SERVER!$AB$3:$AB$1009,""),""))))</f>
        <v/>
      </c>
      <c r="R150" s="43" t="str">
        <f>IF(tbl_handover[[#This Row],[Asset Code]]="","",COUNTIF(tbl_handover[Asset Code],tbl_handover[[#This Row],[Asset Code]]))</f>
        <v/>
      </c>
    </row>
    <row r="151" spans="1:18" x14ac:dyDescent="0.25">
      <c r="A151" s="43" t="str">
        <f>IF(B151&lt;&gt;"",SUBTOTAL(3,$B$1:B150),"")</f>
        <v/>
      </c>
      <c r="C151" s="74"/>
      <c r="D151" s="74"/>
      <c r="G151" s="1"/>
      <c r="K151" s="42"/>
      <c r="L151" t="str" cm="1">
        <f t="array" ref="L151">IF($K151="","",_xlfn.SWITCH($I151,"Computer",_xlfn.XLOOKUP($K151&amp;"",COMPUTER!$B$3:$B$1009&amp;"",COMPUTER!$I$3:$I$1009,""),"Display",_xlfn.XLOOKUP($K151&amp;"",DISPLAY!$B$3:$B$1000&amp;"",DISPLAY!$J$3:$J$1000,""),"Network Device",_xlfn.XLOOKUP($K151&amp;"",'NETWORK-DEVICES'!$B$3:$B$987&amp;"",'NETWORK-DEVICES'!$I$3:$I$987,""),"Peripheral",_xlfn.XLOOKUP($K151&amp;"",PERIPHERAL!$B$3:$B$954&amp;"",PERIPHERAL!$I$3:$I$954,""),"Utilities",_xlfn.XLOOKUP($K151&amp;"",UTILITIES!$B$3:$B$953&amp;"",UTILITIES!$H$3:$H$953,""),"IOT",_xlfn.XLOOKUP($K151&amp;"",IOT!$B$3:$B$1012&amp;"",IOT!$I$3:$I$1012,""),"SERVER",_xlfn.XLOOKUP($K151&amp;"",SERVER!$B$3:$B$1009&amp;"",SERVER!$I$3:$I$1009,""),""))</f>
        <v/>
      </c>
      <c r="M151" t="str" cm="1">
        <f t="array" ref="M151">IF($K151="","",_xlfn.SWITCH($I151,"Computer",_xlfn.XLOOKUP($K151&amp;"",COMPUTER!$B$3:$B$1009&amp;"",COMPUTER!$J$3:$J$1009,""),"Display",_xlfn.XLOOKUP($K151&amp;"",DISPLAY!$B$3:$B$1000&amp;"",DISPLAY!$K$3:$K$1000,""),"Network Device",_xlfn.XLOOKUP($K151&amp;"",'NETWORK-DEVICES'!$B$3:$B$987&amp;"",'NETWORK-DEVICES'!$I$3:$I$987,""),"Peripheral",_xlfn.XLOOKUP($K151&amp;"",PERIPHERAL!$B$3:$B$954&amp;"",PERIPHERAL!$J$3:$J$954,""),"Utilities",_xlfn.XLOOKUP($K151&amp;"",UTILITIES!$B$3:$B$953&amp;"",UTILITIES!$I$3:$I$953,""),"IOT",_xlfn.XLOOKUP($K151&amp;"",IOT!$B$3:$B$1012&amp;"",IOT!$J$3:$J$1012,""),"Server",_xlfn.XLOOKUP($K151&amp;"",SERVER!$B$3:$B$1009&amp;"",SERVER!$J$3:$J$1009,""),""))</f>
        <v/>
      </c>
      <c r="N151" s="1" t="str" cm="1">
        <f t="array" ref="N151">IF(OR($K151="",$I151="",$J151=""),"",_xlfn.LET(_xlpm.srcCat,_xlfn.SWITCH($I151,"Computer",_xlfn.XLOOKUP($K151&amp;"",COMPUTER!$B$3:$B$1009&amp;"",COMPUTER!$H$3:$H$1009,""),"Display",_xlfn.XLOOKUP($K151&amp;"",DISPLAY!$B$3:$B$1000&amp;"",DISPLAY!$H$3:$H$1000,""),"Network Device",_xlfn.XLOOKUP($K151&amp;"",'NETWORK-DEVICES'!$B$3:$B$987&amp;"",'NETWORK-DEVICES'!$H$3:$H$987,""),"Peripheral",_xlfn.XLOOKUP($K151&amp;"",PERIPHERAL!$B$3:$B$954&amp;"",PERIPHERAL!$H$3:$H$954,""),"Utilities",_xlfn.XLOOKUP($K151&amp;"",UTILITIES!$B$3:$B$953&amp;"",UTILITIES!$G$3:$G$953,""),"IOT",_xlfn.XLOOKUP($K151&amp;"",IOT!$B$3:$B$1012&amp;"",IOT!$H$3:$H$1012,""),"Server",_xlfn.XLOOKUP($K151&amp;"",SERVER!$B$3:$B$1009&amp;"",SERVER!$H$3:$H$1009,""),""),IF(TRIM(_xlpm.srcCat)&lt;&gt;TRIM($J151),"",_xlfn.SWITCH($I151,"Computer",_xlfn.XLOOKUP($K151&amp;"",COMPUTER!$B$3:$B$1009&amp;"",COMPUTER!$K$3:$K$1009,""),"Display",_xlfn.XLOOKUP($K151&amp;"",DISPLAY!$B$3:$B$1000&amp;"",DISPLAY!$L$3:$L$1000,""),"Network Device",_xlfn.XLOOKUP($K151&amp;"",'NETWORK-DEVICES'!$B$3:$B$987&amp;"",'NETWORK-DEVICES'!$K$3:$K$987,""),"Peripheral",_xlfn.XLOOKUP($K151&amp;"",PERIPHERAL!$B$3:$B$954&amp;"",PERIPHERAL!$K$3:$K$954,""),"Utilities",_xlfn.XLOOKUP($K151&amp;"",UTILITIES!$B$3:$B$953&amp;"",UTILITIES!$J$3:$J$953,""),"IOT",_xlfn.XLOOKUP($K151&amp;"",IOT!$B$3:$B$1012&amp;"",IOT!$K$4:$K$1012,""),"Server",_xlfn.XLOOKUP($K151&amp;"",SERVER!$B$3:$B$1009&amp;"",SERVER!$K$3:$K$1009,""),""))))</f>
        <v/>
      </c>
      <c r="O151" s="1" t="str" cm="1">
        <f t="array" ref="O151">IF(OR($K151="",$I151="",$J151=""),"",_xlfn.LET(_xlpm.srcCat,_xlfn.SWITCH($I151,"Computer",_xlfn.XLOOKUP($K151&amp;"",COMPUTER!$B$3:$B$1009&amp;"",COMPUTER!$H$3:$H$1009,""),"Display",_xlfn.XLOOKUP($K151&amp;"",DISPLAY!$B$3:$B$1000&amp;"",DISPLAY!$H$3:$H$1000,""),"Network Device",_xlfn.XLOOKUP($K151&amp;"",'NETWORK-DEVICES'!$B$3:$B$987&amp;"",'NETWORK-DEVICES'!$H$3:$H$987,""),"Peripheral",_xlfn.XLOOKUP($K151&amp;"",PERIPHERAL!$B$3:$B$954&amp;"",PERIPHERAL!$H$3:$H$954,""),"Utilities",_xlfn.XLOOKUP($K151&amp;"",UTILITIES!$B$3:$B$953&amp;"",UTILITIES!$G$3:$G$953,""),"IOT",_xlfn.XLOOKUP($K151&amp;"",IOT!$B$3:$B$1012&amp;"",IOT!$H$3:$H$1012,""),"Server",_xlfn.XLOOKUP($K151&amp;"",SERVER!$B$3:$B$1009&amp;"",SERVER!$H$3:$H$1009,""),""),IF(TRIM(_xlpm.srcCat)&lt;&gt;TRIM($J151),"",_xlfn.SWITCH($I151,"Computer",_xlfn.XLOOKUP($K151&amp;"",COMPUTER!$B$3:$B$1009&amp;"",COMPUTER!$E$3:$E$1009,""),"Display",_xlfn.XLOOKUP($K151&amp;"",DISPLAY!$B$3:$B$1000&amp;"",DISPLAY!$E$3:$E$1000,""),"Network Device",_xlfn.XLOOKUP($K151&amp;"",'NETWORK-DEVICES'!$B$3:$B$987&amp;"",'NETWORK-DEVICES'!$E$3:$E$987,""),"Peripheral",_xlfn.XLOOKUP($K151&amp;"",PERIPHERAL!$B$3:$B$954&amp;"",PERIPHERAL!$E$3:$E$954,""),"Utilities",_xlfn.XLOOKUP($K151&amp;"",UTILITIES!$B$3:$B$953&amp;"",UTILITIES!$E$3:$E$953,""),"IOT",_xlfn.XLOOKUP($K151&amp;"",IOT!$B$3:$B$1012&amp;"",IOT!$E$3:$E$1012,""),"Server",_xlfn.XLOOKUP($K151&amp;"",SERVER!$B$3:$B$1009&amp;"",SERVER!$E$3:$E$1009,""),""))))</f>
        <v/>
      </c>
      <c r="Q151" s="1" t="str" cm="1">
        <f t="array" ref="Q151">IF(OR($K151="",$I151="",$J151=""),"",_xlfn.LET(_xlpm.srcCat,_xlfn.SWITCH($I151,"Computer",_xlfn.XLOOKUP($K151&amp;"",COMPUTER!$B$3:$B$1009&amp;"",COMPUTER!$H$3:$H$1009,""),"Display",_xlfn.XLOOKUP($K151&amp;"",DISPLAY!$B$3:$B$1000&amp;"",DISPLAY!$H$3:$H$1000,""),"Network Device",_xlfn.XLOOKUP($K151&amp;"",'NETWORK-DEVICES'!$B$3:$B$987&amp;"",'NETWORK-DEVICES'!$H$3:$H$987,""),"Peripheral",_xlfn.XLOOKUP($K151&amp;"",PERIPHERAL!$B$3:$B$954&amp;"",PERIPHERAL!$H$3:$H$954,""),"Utilities",_xlfn.XLOOKUP($K151&amp;"",UTILITIES!$B$3:$B$953&amp;"",UTILITIES!$G$3:$G$953,""),"IOT",_xlfn.XLOOKUP($K151&amp;"",IOT!$B$3:$B$1012&amp;"",IOT!$H$3:$H$1012,""),"Server",_xlfn.XLOOKUP($K151&amp;"",SERVER!$B$3:$B$1009&amp;"",SERVER!$H$3:$H$1009,""),""),IF(TRIM(_xlpm.srcCat)&lt;&gt;TRIM($J151),"",_xlfn.SWITCH($I151,"Computer",_xlfn.XLOOKUP($K151&amp;"",COMPUTER!$B$3:$B$1009&amp;"",COMPUTER!$AM$3:$AM$1009,""),"Display",_xlfn.XLOOKUP($K151&amp;"",DISPLAY!$B$3:$B$1000&amp;"",DISPLAY!$V$3:$V$1000,""),"Network Device",_xlfn.XLOOKUP($K151&amp;"",'NETWORK-DEVICES'!$B$3:$B$987&amp;"",'NETWORK-DEVICES'!$AF$3:$AF$987,""),"Peripheral",_xlfn.XLOOKUP($K151&amp;"",PERIPHERAL!$B$3:$B$954&amp;"",PERIPHERAL!$Y$3:$Y$954,""),"Utilities",_xlfn.XLOOKUP($K151&amp;"",UTILITIES!$B$3:$B$953&amp;"",UTILITIES!$O$3:$O$953,""),"IOT",_xlfn.XLOOKUP($K151&amp;"",IOT!$B$3:$B$1012&amp;"",IOT!$AB$3:$AB$1012,""),"Server",_xlfn.XLOOKUP($K151&amp;"",SERVER!$B$3:$B$1009&amp;"",SERVER!$AB$3:$AB$1009,""),""))))</f>
        <v/>
      </c>
      <c r="R151" s="43" t="str">
        <f>IF(tbl_handover[[#This Row],[Asset Code]]="","",COUNTIF(tbl_handover[Asset Code],tbl_handover[[#This Row],[Asset Code]]))</f>
        <v/>
      </c>
    </row>
    <row r="152" spans="1:18" x14ac:dyDescent="0.25">
      <c r="A152" s="43" t="str">
        <f>IF(B152&lt;&gt;"",SUBTOTAL(3,$B$1:B151),"")</f>
        <v/>
      </c>
      <c r="C152" s="74"/>
      <c r="D152" s="74"/>
      <c r="G152" s="1"/>
      <c r="K152" s="42"/>
      <c r="L152" t="str" cm="1">
        <f t="array" ref="L152">IF($K152="","",_xlfn.SWITCH($I152,"Computer",_xlfn.XLOOKUP($K152&amp;"",COMPUTER!$B$3:$B$1009&amp;"",COMPUTER!$I$3:$I$1009,""),"Display",_xlfn.XLOOKUP($K152&amp;"",DISPLAY!$B$3:$B$1000&amp;"",DISPLAY!$J$3:$J$1000,""),"Network Device",_xlfn.XLOOKUP($K152&amp;"",'NETWORK-DEVICES'!$B$3:$B$987&amp;"",'NETWORK-DEVICES'!$I$3:$I$987,""),"Peripheral",_xlfn.XLOOKUP($K152&amp;"",PERIPHERAL!$B$3:$B$954&amp;"",PERIPHERAL!$I$3:$I$954,""),"Utilities",_xlfn.XLOOKUP($K152&amp;"",UTILITIES!$B$3:$B$953&amp;"",UTILITIES!$H$3:$H$953,""),"IOT",_xlfn.XLOOKUP($K152&amp;"",IOT!$B$3:$B$1012&amp;"",IOT!$I$3:$I$1012,""),"SERVER",_xlfn.XLOOKUP($K152&amp;"",SERVER!$B$3:$B$1009&amp;"",SERVER!$I$3:$I$1009,""),""))</f>
        <v/>
      </c>
      <c r="M152" t="str" cm="1">
        <f t="array" ref="M152">IF($K152="","",_xlfn.SWITCH($I152,"Computer",_xlfn.XLOOKUP($K152&amp;"",COMPUTER!$B$3:$B$1009&amp;"",COMPUTER!$J$3:$J$1009,""),"Display",_xlfn.XLOOKUP($K152&amp;"",DISPLAY!$B$3:$B$1000&amp;"",DISPLAY!$K$3:$K$1000,""),"Network Device",_xlfn.XLOOKUP($K152&amp;"",'NETWORK-DEVICES'!$B$3:$B$987&amp;"",'NETWORK-DEVICES'!$I$3:$I$987,""),"Peripheral",_xlfn.XLOOKUP($K152&amp;"",PERIPHERAL!$B$3:$B$954&amp;"",PERIPHERAL!$J$3:$J$954,""),"Utilities",_xlfn.XLOOKUP($K152&amp;"",UTILITIES!$B$3:$B$953&amp;"",UTILITIES!$I$3:$I$953,""),"IOT",_xlfn.XLOOKUP($K152&amp;"",IOT!$B$3:$B$1012&amp;"",IOT!$J$3:$J$1012,""),"Server",_xlfn.XLOOKUP($K152&amp;"",SERVER!$B$3:$B$1009&amp;"",SERVER!$J$3:$J$1009,""),""))</f>
        <v/>
      </c>
      <c r="N152" s="1" t="str" cm="1">
        <f t="array" ref="N152">IF(OR($K152="",$I152="",$J152=""),"",_xlfn.LET(_xlpm.srcCat,_xlfn.SWITCH($I152,"Computer",_xlfn.XLOOKUP($K152&amp;"",COMPUTER!$B$3:$B$1009&amp;"",COMPUTER!$H$3:$H$1009,""),"Display",_xlfn.XLOOKUP($K152&amp;"",DISPLAY!$B$3:$B$1000&amp;"",DISPLAY!$H$3:$H$1000,""),"Network Device",_xlfn.XLOOKUP($K152&amp;"",'NETWORK-DEVICES'!$B$3:$B$987&amp;"",'NETWORK-DEVICES'!$H$3:$H$987,""),"Peripheral",_xlfn.XLOOKUP($K152&amp;"",PERIPHERAL!$B$3:$B$954&amp;"",PERIPHERAL!$H$3:$H$954,""),"Utilities",_xlfn.XLOOKUP($K152&amp;"",UTILITIES!$B$3:$B$953&amp;"",UTILITIES!$G$3:$G$953,""),"IOT",_xlfn.XLOOKUP($K152&amp;"",IOT!$B$3:$B$1012&amp;"",IOT!$H$3:$H$1012,""),"Server",_xlfn.XLOOKUP($K152&amp;"",SERVER!$B$3:$B$1009&amp;"",SERVER!$H$3:$H$1009,""),""),IF(TRIM(_xlpm.srcCat)&lt;&gt;TRIM($J152),"",_xlfn.SWITCH($I152,"Computer",_xlfn.XLOOKUP($K152&amp;"",COMPUTER!$B$3:$B$1009&amp;"",COMPUTER!$K$3:$K$1009,""),"Display",_xlfn.XLOOKUP($K152&amp;"",DISPLAY!$B$3:$B$1000&amp;"",DISPLAY!$L$3:$L$1000,""),"Network Device",_xlfn.XLOOKUP($K152&amp;"",'NETWORK-DEVICES'!$B$3:$B$987&amp;"",'NETWORK-DEVICES'!$K$3:$K$987,""),"Peripheral",_xlfn.XLOOKUP($K152&amp;"",PERIPHERAL!$B$3:$B$954&amp;"",PERIPHERAL!$K$3:$K$954,""),"Utilities",_xlfn.XLOOKUP($K152&amp;"",UTILITIES!$B$3:$B$953&amp;"",UTILITIES!$J$3:$J$953,""),"IOT",_xlfn.XLOOKUP($K152&amp;"",IOT!$B$3:$B$1012&amp;"",IOT!$K$4:$K$1012,""),"Server",_xlfn.XLOOKUP($K152&amp;"",SERVER!$B$3:$B$1009&amp;"",SERVER!$K$3:$K$1009,""),""))))</f>
        <v/>
      </c>
      <c r="O152" s="1" t="str" cm="1">
        <f t="array" ref="O152">IF(OR($K152="",$I152="",$J152=""),"",_xlfn.LET(_xlpm.srcCat,_xlfn.SWITCH($I152,"Computer",_xlfn.XLOOKUP($K152&amp;"",COMPUTER!$B$3:$B$1009&amp;"",COMPUTER!$H$3:$H$1009,""),"Display",_xlfn.XLOOKUP($K152&amp;"",DISPLAY!$B$3:$B$1000&amp;"",DISPLAY!$H$3:$H$1000,""),"Network Device",_xlfn.XLOOKUP($K152&amp;"",'NETWORK-DEVICES'!$B$3:$B$987&amp;"",'NETWORK-DEVICES'!$H$3:$H$987,""),"Peripheral",_xlfn.XLOOKUP($K152&amp;"",PERIPHERAL!$B$3:$B$954&amp;"",PERIPHERAL!$H$3:$H$954,""),"Utilities",_xlfn.XLOOKUP($K152&amp;"",UTILITIES!$B$3:$B$953&amp;"",UTILITIES!$G$3:$G$953,""),"IOT",_xlfn.XLOOKUP($K152&amp;"",IOT!$B$3:$B$1012&amp;"",IOT!$H$3:$H$1012,""),"Server",_xlfn.XLOOKUP($K152&amp;"",SERVER!$B$3:$B$1009&amp;"",SERVER!$H$3:$H$1009,""),""),IF(TRIM(_xlpm.srcCat)&lt;&gt;TRIM($J152),"",_xlfn.SWITCH($I152,"Computer",_xlfn.XLOOKUP($K152&amp;"",COMPUTER!$B$3:$B$1009&amp;"",COMPUTER!$E$3:$E$1009,""),"Display",_xlfn.XLOOKUP($K152&amp;"",DISPLAY!$B$3:$B$1000&amp;"",DISPLAY!$E$3:$E$1000,""),"Network Device",_xlfn.XLOOKUP($K152&amp;"",'NETWORK-DEVICES'!$B$3:$B$987&amp;"",'NETWORK-DEVICES'!$E$3:$E$987,""),"Peripheral",_xlfn.XLOOKUP($K152&amp;"",PERIPHERAL!$B$3:$B$954&amp;"",PERIPHERAL!$E$3:$E$954,""),"Utilities",_xlfn.XLOOKUP($K152&amp;"",UTILITIES!$B$3:$B$953&amp;"",UTILITIES!$E$3:$E$953,""),"IOT",_xlfn.XLOOKUP($K152&amp;"",IOT!$B$3:$B$1012&amp;"",IOT!$E$3:$E$1012,""),"Server",_xlfn.XLOOKUP($K152&amp;"",SERVER!$B$3:$B$1009&amp;"",SERVER!$E$3:$E$1009,""),""))))</f>
        <v/>
      </c>
      <c r="Q152" s="1" t="str" cm="1">
        <f t="array" ref="Q152">IF(OR($K152="",$I152="",$J152=""),"",_xlfn.LET(_xlpm.srcCat,_xlfn.SWITCH($I152,"Computer",_xlfn.XLOOKUP($K152&amp;"",COMPUTER!$B$3:$B$1009&amp;"",COMPUTER!$H$3:$H$1009,""),"Display",_xlfn.XLOOKUP($K152&amp;"",DISPLAY!$B$3:$B$1000&amp;"",DISPLAY!$H$3:$H$1000,""),"Network Device",_xlfn.XLOOKUP($K152&amp;"",'NETWORK-DEVICES'!$B$3:$B$987&amp;"",'NETWORK-DEVICES'!$H$3:$H$987,""),"Peripheral",_xlfn.XLOOKUP($K152&amp;"",PERIPHERAL!$B$3:$B$954&amp;"",PERIPHERAL!$H$3:$H$954,""),"Utilities",_xlfn.XLOOKUP($K152&amp;"",UTILITIES!$B$3:$B$953&amp;"",UTILITIES!$G$3:$G$953,""),"IOT",_xlfn.XLOOKUP($K152&amp;"",IOT!$B$3:$B$1012&amp;"",IOT!$H$3:$H$1012,""),"Server",_xlfn.XLOOKUP($K152&amp;"",SERVER!$B$3:$B$1009&amp;"",SERVER!$H$3:$H$1009,""),""),IF(TRIM(_xlpm.srcCat)&lt;&gt;TRIM($J152),"",_xlfn.SWITCH($I152,"Computer",_xlfn.XLOOKUP($K152&amp;"",COMPUTER!$B$3:$B$1009&amp;"",COMPUTER!$AM$3:$AM$1009,""),"Display",_xlfn.XLOOKUP($K152&amp;"",DISPLAY!$B$3:$B$1000&amp;"",DISPLAY!$V$3:$V$1000,""),"Network Device",_xlfn.XLOOKUP($K152&amp;"",'NETWORK-DEVICES'!$B$3:$B$987&amp;"",'NETWORK-DEVICES'!$AF$3:$AF$987,""),"Peripheral",_xlfn.XLOOKUP($K152&amp;"",PERIPHERAL!$B$3:$B$954&amp;"",PERIPHERAL!$Y$3:$Y$954,""),"Utilities",_xlfn.XLOOKUP($K152&amp;"",UTILITIES!$B$3:$B$953&amp;"",UTILITIES!$O$3:$O$953,""),"IOT",_xlfn.XLOOKUP($K152&amp;"",IOT!$B$3:$B$1012&amp;"",IOT!$AB$3:$AB$1012,""),"Server",_xlfn.XLOOKUP($K152&amp;"",SERVER!$B$3:$B$1009&amp;"",SERVER!$AB$3:$AB$1009,""),""))))</f>
        <v/>
      </c>
      <c r="R152" s="43" t="str">
        <f>IF(tbl_handover[[#This Row],[Asset Code]]="","",COUNTIF(tbl_handover[Asset Code],tbl_handover[[#This Row],[Asset Code]]))</f>
        <v/>
      </c>
    </row>
    <row r="153" spans="1:18" x14ac:dyDescent="0.25">
      <c r="A153" s="43" t="str">
        <f>IF(B153&lt;&gt;"",SUBTOTAL(3,$B$1:B152),"")</f>
        <v/>
      </c>
      <c r="C153" s="74"/>
      <c r="D153" s="74"/>
      <c r="G153" s="1"/>
      <c r="K153" s="42"/>
      <c r="L153" t="str" cm="1">
        <f t="array" ref="L153">IF($K153="","",_xlfn.SWITCH($I153,"Computer",_xlfn.XLOOKUP($K153&amp;"",COMPUTER!$B$3:$B$1009&amp;"",COMPUTER!$I$3:$I$1009,""),"Display",_xlfn.XLOOKUP($K153&amp;"",DISPLAY!$B$3:$B$1000&amp;"",DISPLAY!$J$3:$J$1000,""),"Network Device",_xlfn.XLOOKUP($K153&amp;"",'NETWORK-DEVICES'!$B$3:$B$987&amp;"",'NETWORK-DEVICES'!$I$3:$I$987,""),"Peripheral",_xlfn.XLOOKUP($K153&amp;"",PERIPHERAL!$B$3:$B$954&amp;"",PERIPHERAL!$I$3:$I$954,""),"Utilities",_xlfn.XLOOKUP($K153&amp;"",UTILITIES!$B$3:$B$953&amp;"",UTILITIES!$H$3:$H$953,""),"IOT",_xlfn.XLOOKUP($K153&amp;"",IOT!$B$3:$B$1012&amp;"",IOT!$I$3:$I$1012,""),"SERVER",_xlfn.XLOOKUP($K153&amp;"",SERVER!$B$3:$B$1009&amp;"",SERVER!$I$3:$I$1009,""),""))</f>
        <v/>
      </c>
      <c r="M153" t="str" cm="1">
        <f t="array" ref="M153">IF($K153="","",_xlfn.SWITCH($I153,"Computer",_xlfn.XLOOKUP($K153&amp;"",COMPUTER!$B$3:$B$1009&amp;"",COMPUTER!$J$3:$J$1009,""),"Display",_xlfn.XLOOKUP($K153&amp;"",DISPLAY!$B$3:$B$1000&amp;"",DISPLAY!$K$3:$K$1000,""),"Network Device",_xlfn.XLOOKUP($K153&amp;"",'NETWORK-DEVICES'!$B$3:$B$987&amp;"",'NETWORK-DEVICES'!$I$3:$I$987,""),"Peripheral",_xlfn.XLOOKUP($K153&amp;"",PERIPHERAL!$B$3:$B$954&amp;"",PERIPHERAL!$J$3:$J$954,""),"Utilities",_xlfn.XLOOKUP($K153&amp;"",UTILITIES!$B$3:$B$953&amp;"",UTILITIES!$I$3:$I$953,""),"IOT",_xlfn.XLOOKUP($K153&amp;"",IOT!$B$3:$B$1012&amp;"",IOT!$J$3:$J$1012,""),"Server",_xlfn.XLOOKUP($K153&amp;"",SERVER!$B$3:$B$1009&amp;"",SERVER!$J$3:$J$1009,""),""))</f>
        <v/>
      </c>
      <c r="N153" s="1" t="str" cm="1">
        <f t="array" ref="N153">IF(OR($K153="",$I153="",$J153=""),"",_xlfn.LET(_xlpm.srcCat,_xlfn.SWITCH($I153,"Computer",_xlfn.XLOOKUP($K153&amp;"",COMPUTER!$B$3:$B$1009&amp;"",COMPUTER!$H$3:$H$1009,""),"Display",_xlfn.XLOOKUP($K153&amp;"",DISPLAY!$B$3:$B$1000&amp;"",DISPLAY!$H$3:$H$1000,""),"Network Device",_xlfn.XLOOKUP($K153&amp;"",'NETWORK-DEVICES'!$B$3:$B$987&amp;"",'NETWORK-DEVICES'!$H$3:$H$987,""),"Peripheral",_xlfn.XLOOKUP($K153&amp;"",PERIPHERAL!$B$3:$B$954&amp;"",PERIPHERAL!$H$3:$H$954,""),"Utilities",_xlfn.XLOOKUP($K153&amp;"",UTILITIES!$B$3:$B$953&amp;"",UTILITIES!$G$3:$G$953,""),"IOT",_xlfn.XLOOKUP($K153&amp;"",IOT!$B$3:$B$1012&amp;"",IOT!$H$3:$H$1012,""),"Server",_xlfn.XLOOKUP($K153&amp;"",SERVER!$B$3:$B$1009&amp;"",SERVER!$H$3:$H$1009,""),""),IF(TRIM(_xlpm.srcCat)&lt;&gt;TRIM($J153),"",_xlfn.SWITCH($I153,"Computer",_xlfn.XLOOKUP($K153&amp;"",COMPUTER!$B$3:$B$1009&amp;"",COMPUTER!$K$3:$K$1009,""),"Display",_xlfn.XLOOKUP($K153&amp;"",DISPLAY!$B$3:$B$1000&amp;"",DISPLAY!$L$3:$L$1000,""),"Network Device",_xlfn.XLOOKUP($K153&amp;"",'NETWORK-DEVICES'!$B$3:$B$987&amp;"",'NETWORK-DEVICES'!$K$3:$K$987,""),"Peripheral",_xlfn.XLOOKUP($K153&amp;"",PERIPHERAL!$B$3:$B$954&amp;"",PERIPHERAL!$K$3:$K$954,""),"Utilities",_xlfn.XLOOKUP($K153&amp;"",UTILITIES!$B$3:$B$953&amp;"",UTILITIES!$J$3:$J$953,""),"IOT",_xlfn.XLOOKUP($K153&amp;"",IOT!$B$3:$B$1012&amp;"",IOT!$K$4:$K$1012,""),"Server",_xlfn.XLOOKUP($K153&amp;"",SERVER!$B$3:$B$1009&amp;"",SERVER!$K$3:$K$1009,""),""))))</f>
        <v/>
      </c>
      <c r="O153" s="1" t="str" cm="1">
        <f t="array" ref="O153">IF(OR($K153="",$I153="",$J153=""),"",_xlfn.LET(_xlpm.srcCat,_xlfn.SWITCH($I153,"Computer",_xlfn.XLOOKUP($K153&amp;"",COMPUTER!$B$3:$B$1009&amp;"",COMPUTER!$H$3:$H$1009,""),"Display",_xlfn.XLOOKUP($K153&amp;"",DISPLAY!$B$3:$B$1000&amp;"",DISPLAY!$H$3:$H$1000,""),"Network Device",_xlfn.XLOOKUP($K153&amp;"",'NETWORK-DEVICES'!$B$3:$B$987&amp;"",'NETWORK-DEVICES'!$H$3:$H$987,""),"Peripheral",_xlfn.XLOOKUP($K153&amp;"",PERIPHERAL!$B$3:$B$954&amp;"",PERIPHERAL!$H$3:$H$954,""),"Utilities",_xlfn.XLOOKUP($K153&amp;"",UTILITIES!$B$3:$B$953&amp;"",UTILITIES!$G$3:$G$953,""),"IOT",_xlfn.XLOOKUP($K153&amp;"",IOT!$B$3:$B$1012&amp;"",IOT!$H$3:$H$1012,""),"Server",_xlfn.XLOOKUP($K153&amp;"",SERVER!$B$3:$B$1009&amp;"",SERVER!$H$3:$H$1009,""),""),IF(TRIM(_xlpm.srcCat)&lt;&gt;TRIM($J153),"",_xlfn.SWITCH($I153,"Computer",_xlfn.XLOOKUP($K153&amp;"",COMPUTER!$B$3:$B$1009&amp;"",COMPUTER!$E$3:$E$1009,""),"Display",_xlfn.XLOOKUP($K153&amp;"",DISPLAY!$B$3:$B$1000&amp;"",DISPLAY!$E$3:$E$1000,""),"Network Device",_xlfn.XLOOKUP($K153&amp;"",'NETWORK-DEVICES'!$B$3:$B$987&amp;"",'NETWORK-DEVICES'!$E$3:$E$987,""),"Peripheral",_xlfn.XLOOKUP($K153&amp;"",PERIPHERAL!$B$3:$B$954&amp;"",PERIPHERAL!$E$3:$E$954,""),"Utilities",_xlfn.XLOOKUP($K153&amp;"",UTILITIES!$B$3:$B$953&amp;"",UTILITIES!$E$3:$E$953,""),"IOT",_xlfn.XLOOKUP($K153&amp;"",IOT!$B$3:$B$1012&amp;"",IOT!$E$3:$E$1012,""),"Server",_xlfn.XLOOKUP($K153&amp;"",SERVER!$B$3:$B$1009&amp;"",SERVER!$E$3:$E$1009,""),""))))</f>
        <v/>
      </c>
      <c r="Q153" s="1" t="str" cm="1">
        <f t="array" ref="Q153">IF(OR($K153="",$I153="",$J153=""),"",_xlfn.LET(_xlpm.srcCat,_xlfn.SWITCH($I153,"Computer",_xlfn.XLOOKUP($K153&amp;"",COMPUTER!$B$3:$B$1009&amp;"",COMPUTER!$H$3:$H$1009,""),"Display",_xlfn.XLOOKUP($K153&amp;"",DISPLAY!$B$3:$B$1000&amp;"",DISPLAY!$H$3:$H$1000,""),"Network Device",_xlfn.XLOOKUP($K153&amp;"",'NETWORK-DEVICES'!$B$3:$B$987&amp;"",'NETWORK-DEVICES'!$H$3:$H$987,""),"Peripheral",_xlfn.XLOOKUP($K153&amp;"",PERIPHERAL!$B$3:$B$954&amp;"",PERIPHERAL!$H$3:$H$954,""),"Utilities",_xlfn.XLOOKUP($K153&amp;"",UTILITIES!$B$3:$B$953&amp;"",UTILITIES!$G$3:$G$953,""),"IOT",_xlfn.XLOOKUP($K153&amp;"",IOT!$B$3:$B$1012&amp;"",IOT!$H$3:$H$1012,""),"Server",_xlfn.XLOOKUP($K153&amp;"",SERVER!$B$3:$B$1009&amp;"",SERVER!$H$3:$H$1009,""),""),IF(TRIM(_xlpm.srcCat)&lt;&gt;TRIM($J153),"",_xlfn.SWITCH($I153,"Computer",_xlfn.XLOOKUP($K153&amp;"",COMPUTER!$B$3:$B$1009&amp;"",COMPUTER!$AM$3:$AM$1009,""),"Display",_xlfn.XLOOKUP($K153&amp;"",DISPLAY!$B$3:$B$1000&amp;"",DISPLAY!$V$3:$V$1000,""),"Network Device",_xlfn.XLOOKUP($K153&amp;"",'NETWORK-DEVICES'!$B$3:$B$987&amp;"",'NETWORK-DEVICES'!$AF$3:$AF$987,""),"Peripheral",_xlfn.XLOOKUP($K153&amp;"",PERIPHERAL!$B$3:$B$954&amp;"",PERIPHERAL!$Y$3:$Y$954,""),"Utilities",_xlfn.XLOOKUP($K153&amp;"",UTILITIES!$B$3:$B$953&amp;"",UTILITIES!$O$3:$O$953,""),"IOT",_xlfn.XLOOKUP($K153&amp;"",IOT!$B$3:$B$1012&amp;"",IOT!$AB$3:$AB$1012,""),"Server",_xlfn.XLOOKUP($K153&amp;"",SERVER!$B$3:$B$1009&amp;"",SERVER!$AB$3:$AB$1009,""),""))))</f>
        <v/>
      </c>
      <c r="R153" s="43" t="str">
        <f>IF(tbl_handover[[#This Row],[Asset Code]]="","",COUNTIF(tbl_handover[Asset Code],tbl_handover[[#This Row],[Asset Code]]))</f>
        <v/>
      </c>
    </row>
    <row r="154" spans="1:18" x14ac:dyDescent="0.25">
      <c r="A154" s="43" t="str">
        <f>IF(B154&lt;&gt;"",SUBTOTAL(3,$B$1:B153),"")</f>
        <v/>
      </c>
      <c r="C154" s="74"/>
      <c r="D154" s="74"/>
      <c r="G154" s="1"/>
      <c r="K154" s="42"/>
      <c r="L154" t="str" cm="1">
        <f t="array" ref="L154">IF($K154="","",_xlfn.SWITCH($I154,"Computer",_xlfn.XLOOKUP($K154&amp;"",COMPUTER!$B$3:$B$1009&amp;"",COMPUTER!$I$3:$I$1009,""),"Display",_xlfn.XLOOKUP($K154&amp;"",DISPLAY!$B$3:$B$1000&amp;"",DISPLAY!$J$3:$J$1000,""),"Network Device",_xlfn.XLOOKUP($K154&amp;"",'NETWORK-DEVICES'!$B$3:$B$987&amp;"",'NETWORK-DEVICES'!$I$3:$I$987,""),"Peripheral",_xlfn.XLOOKUP($K154&amp;"",PERIPHERAL!$B$3:$B$954&amp;"",PERIPHERAL!$I$3:$I$954,""),"Utilities",_xlfn.XLOOKUP($K154&amp;"",UTILITIES!$B$3:$B$953&amp;"",UTILITIES!$H$3:$H$953,""),"IOT",_xlfn.XLOOKUP($K154&amp;"",IOT!$B$3:$B$1012&amp;"",IOT!$I$3:$I$1012,""),"SERVER",_xlfn.XLOOKUP($K154&amp;"",SERVER!$B$3:$B$1009&amp;"",SERVER!$I$3:$I$1009,""),""))</f>
        <v/>
      </c>
      <c r="M154" t="str" cm="1">
        <f t="array" ref="M154">IF($K154="","",_xlfn.SWITCH($I154,"Computer",_xlfn.XLOOKUP($K154&amp;"",COMPUTER!$B$3:$B$1009&amp;"",COMPUTER!$J$3:$J$1009,""),"Display",_xlfn.XLOOKUP($K154&amp;"",DISPLAY!$B$3:$B$1000&amp;"",DISPLAY!$K$3:$K$1000,""),"Network Device",_xlfn.XLOOKUP($K154&amp;"",'NETWORK-DEVICES'!$B$3:$B$987&amp;"",'NETWORK-DEVICES'!$I$3:$I$987,""),"Peripheral",_xlfn.XLOOKUP($K154&amp;"",PERIPHERAL!$B$3:$B$954&amp;"",PERIPHERAL!$J$3:$J$954,""),"Utilities",_xlfn.XLOOKUP($K154&amp;"",UTILITIES!$B$3:$B$953&amp;"",UTILITIES!$I$3:$I$953,""),"IOT",_xlfn.XLOOKUP($K154&amp;"",IOT!$B$3:$B$1012&amp;"",IOT!$J$3:$J$1012,""),"Server",_xlfn.XLOOKUP($K154&amp;"",SERVER!$B$3:$B$1009&amp;"",SERVER!$J$3:$J$1009,""),""))</f>
        <v/>
      </c>
      <c r="N154" s="1" t="str" cm="1">
        <f t="array" ref="N154">IF(OR($K154="",$I154="",$J154=""),"",_xlfn.LET(_xlpm.srcCat,_xlfn.SWITCH($I154,"Computer",_xlfn.XLOOKUP($K154&amp;"",COMPUTER!$B$3:$B$1009&amp;"",COMPUTER!$H$3:$H$1009,""),"Display",_xlfn.XLOOKUP($K154&amp;"",DISPLAY!$B$3:$B$1000&amp;"",DISPLAY!$H$3:$H$1000,""),"Network Device",_xlfn.XLOOKUP($K154&amp;"",'NETWORK-DEVICES'!$B$3:$B$987&amp;"",'NETWORK-DEVICES'!$H$3:$H$987,""),"Peripheral",_xlfn.XLOOKUP($K154&amp;"",PERIPHERAL!$B$3:$B$954&amp;"",PERIPHERAL!$H$3:$H$954,""),"Utilities",_xlfn.XLOOKUP($K154&amp;"",UTILITIES!$B$3:$B$953&amp;"",UTILITIES!$G$3:$G$953,""),"IOT",_xlfn.XLOOKUP($K154&amp;"",IOT!$B$3:$B$1012&amp;"",IOT!$H$3:$H$1012,""),"Server",_xlfn.XLOOKUP($K154&amp;"",SERVER!$B$3:$B$1009&amp;"",SERVER!$H$3:$H$1009,""),""),IF(TRIM(_xlpm.srcCat)&lt;&gt;TRIM($J154),"",_xlfn.SWITCH($I154,"Computer",_xlfn.XLOOKUP($K154&amp;"",COMPUTER!$B$3:$B$1009&amp;"",COMPUTER!$K$3:$K$1009,""),"Display",_xlfn.XLOOKUP($K154&amp;"",DISPLAY!$B$3:$B$1000&amp;"",DISPLAY!$L$3:$L$1000,""),"Network Device",_xlfn.XLOOKUP($K154&amp;"",'NETWORK-DEVICES'!$B$3:$B$987&amp;"",'NETWORK-DEVICES'!$K$3:$K$987,""),"Peripheral",_xlfn.XLOOKUP($K154&amp;"",PERIPHERAL!$B$3:$B$954&amp;"",PERIPHERAL!$K$3:$K$954,""),"Utilities",_xlfn.XLOOKUP($K154&amp;"",UTILITIES!$B$3:$B$953&amp;"",UTILITIES!$J$3:$J$953,""),"IOT",_xlfn.XLOOKUP($K154&amp;"",IOT!$B$3:$B$1012&amp;"",IOT!$K$4:$K$1012,""),"Server",_xlfn.XLOOKUP($K154&amp;"",SERVER!$B$3:$B$1009&amp;"",SERVER!$K$3:$K$1009,""),""))))</f>
        <v/>
      </c>
      <c r="O154" s="1" t="str" cm="1">
        <f t="array" ref="O154">IF(OR($K154="",$I154="",$J154=""),"",_xlfn.LET(_xlpm.srcCat,_xlfn.SWITCH($I154,"Computer",_xlfn.XLOOKUP($K154&amp;"",COMPUTER!$B$3:$B$1009&amp;"",COMPUTER!$H$3:$H$1009,""),"Display",_xlfn.XLOOKUP($K154&amp;"",DISPLAY!$B$3:$B$1000&amp;"",DISPLAY!$H$3:$H$1000,""),"Network Device",_xlfn.XLOOKUP($K154&amp;"",'NETWORK-DEVICES'!$B$3:$B$987&amp;"",'NETWORK-DEVICES'!$H$3:$H$987,""),"Peripheral",_xlfn.XLOOKUP($K154&amp;"",PERIPHERAL!$B$3:$B$954&amp;"",PERIPHERAL!$H$3:$H$954,""),"Utilities",_xlfn.XLOOKUP($K154&amp;"",UTILITIES!$B$3:$B$953&amp;"",UTILITIES!$G$3:$G$953,""),"IOT",_xlfn.XLOOKUP($K154&amp;"",IOT!$B$3:$B$1012&amp;"",IOT!$H$3:$H$1012,""),"Server",_xlfn.XLOOKUP($K154&amp;"",SERVER!$B$3:$B$1009&amp;"",SERVER!$H$3:$H$1009,""),""),IF(TRIM(_xlpm.srcCat)&lt;&gt;TRIM($J154),"",_xlfn.SWITCH($I154,"Computer",_xlfn.XLOOKUP($K154&amp;"",COMPUTER!$B$3:$B$1009&amp;"",COMPUTER!$E$3:$E$1009,""),"Display",_xlfn.XLOOKUP($K154&amp;"",DISPLAY!$B$3:$B$1000&amp;"",DISPLAY!$E$3:$E$1000,""),"Network Device",_xlfn.XLOOKUP($K154&amp;"",'NETWORK-DEVICES'!$B$3:$B$987&amp;"",'NETWORK-DEVICES'!$E$3:$E$987,""),"Peripheral",_xlfn.XLOOKUP($K154&amp;"",PERIPHERAL!$B$3:$B$954&amp;"",PERIPHERAL!$E$3:$E$954,""),"Utilities",_xlfn.XLOOKUP($K154&amp;"",UTILITIES!$B$3:$B$953&amp;"",UTILITIES!$E$3:$E$953,""),"IOT",_xlfn.XLOOKUP($K154&amp;"",IOT!$B$3:$B$1012&amp;"",IOT!$E$3:$E$1012,""),"Server",_xlfn.XLOOKUP($K154&amp;"",SERVER!$B$3:$B$1009&amp;"",SERVER!$E$3:$E$1009,""),""))))</f>
        <v/>
      </c>
      <c r="Q154" s="1" t="str" cm="1">
        <f t="array" ref="Q154">IF(OR($K154="",$I154="",$J154=""),"",_xlfn.LET(_xlpm.srcCat,_xlfn.SWITCH($I154,"Computer",_xlfn.XLOOKUP($K154&amp;"",COMPUTER!$B$3:$B$1009&amp;"",COMPUTER!$H$3:$H$1009,""),"Display",_xlfn.XLOOKUP($K154&amp;"",DISPLAY!$B$3:$B$1000&amp;"",DISPLAY!$H$3:$H$1000,""),"Network Device",_xlfn.XLOOKUP($K154&amp;"",'NETWORK-DEVICES'!$B$3:$B$987&amp;"",'NETWORK-DEVICES'!$H$3:$H$987,""),"Peripheral",_xlfn.XLOOKUP($K154&amp;"",PERIPHERAL!$B$3:$B$954&amp;"",PERIPHERAL!$H$3:$H$954,""),"Utilities",_xlfn.XLOOKUP($K154&amp;"",UTILITIES!$B$3:$B$953&amp;"",UTILITIES!$G$3:$G$953,""),"IOT",_xlfn.XLOOKUP($K154&amp;"",IOT!$B$3:$B$1012&amp;"",IOT!$H$3:$H$1012,""),"Server",_xlfn.XLOOKUP($K154&amp;"",SERVER!$B$3:$B$1009&amp;"",SERVER!$H$3:$H$1009,""),""),IF(TRIM(_xlpm.srcCat)&lt;&gt;TRIM($J154),"",_xlfn.SWITCH($I154,"Computer",_xlfn.XLOOKUP($K154&amp;"",COMPUTER!$B$3:$B$1009&amp;"",COMPUTER!$AM$3:$AM$1009,""),"Display",_xlfn.XLOOKUP($K154&amp;"",DISPLAY!$B$3:$B$1000&amp;"",DISPLAY!$V$3:$V$1000,""),"Network Device",_xlfn.XLOOKUP($K154&amp;"",'NETWORK-DEVICES'!$B$3:$B$987&amp;"",'NETWORK-DEVICES'!$AF$3:$AF$987,""),"Peripheral",_xlfn.XLOOKUP($K154&amp;"",PERIPHERAL!$B$3:$B$954&amp;"",PERIPHERAL!$Y$3:$Y$954,""),"Utilities",_xlfn.XLOOKUP($K154&amp;"",UTILITIES!$B$3:$B$953&amp;"",UTILITIES!$O$3:$O$953,""),"IOT",_xlfn.XLOOKUP($K154&amp;"",IOT!$B$3:$B$1012&amp;"",IOT!$AB$3:$AB$1012,""),"Server",_xlfn.XLOOKUP($K154&amp;"",SERVER!$B$3:$B$1009&amp;"",SERVER!$AB$3:$AB$1009,""),""))))</f>
        <v/>
      </c>
      <c r="R154" s="43" t="str">
        <f>IF(tbl_handover[[#This Row],[Asset Code]]="","",COUNTIF(tbl_handover[Asset Code],tbl_handover[[#This Row],[Asset Code]]))</f>
        <v/>
      </c>
    </row>
    <row r="155" spans="1:18" x14ac:dyDescent="0.25">
      <c r="A155" s="43" t="str">
        <f>IF(B155&lt;&gt;"",SUBTOTAL(3,$B$1:B154),"")</f>
        <v/>
      </c>
      <c r="C155" s="74"/>
      <c r="D155" s="74"/>
      <c r="G155" s="1"/>
      <c r="K155" s="42"/>
      <c r="L155" t="str" cm="1">
        <f t="array" ref="L155">IF($K155="","",_xlfn.SWITCH($I155,"Computer",_xlfn.XLOOKUP($K155&amp;"",COMPUTER!$B$3:$B$1009&amp;"",COMPUTER!$I$3:$I$1009,""),"Display",_xlfn.XLOOKUP($K155&amp;"",DISPLAY!$B$3:$B$1000&amp;"",DISPLAY!$J$3:$J$1000,""),"Network Device",_xlfn.XLOOKUP($K155&amp;"",'NETWORK-DEVICES'!$B$3:$B$987&amp;"",'NETWORK-DEVICES'!$I$3:$I$987,""),"Peripheral",_xlfn.XLOOKUP($K155&amp;"",PERIPHERAL!$B$3:$B$954&amp;"",PERIPHERAL!$I$3:$I$954,""),"Utilities",_xlfn.XLOOKUP($K155&amp;"",UTILITIES!$B$3:$B$953&amp;"",UTILITIES!$H$3:$H$953,""),"IOT",_xlfn.XLOOKUP($K155&amp;"",IOT!$B$3:$B$1012&amp;"",IOT!$I$3:$I$1012,""),"SERVER",_xlfn.XLOOKUP($K155&amp;"",SERVER!$B$3:$B$1009&amp;"",SERVER!$I$3:$I$1009,""),""))</f>
        <v/>
      </c>
      <c r="M155" t="str" cm="1">
        <f t="array" ref="M155">IF($K155="","",_xlfn.SWITCH($I155,"Computer",_xlfn.XLOOKUP($K155&amp;"",COMPUTER!$B$3:$B$1009&amp;"",COMPUTER!$J$3:$J$1009,""),"Display",_xlfn.XLOOKUP($K155&amp;"",DISPLAY!$B$3:$B$1000&amp;"",DISPLAY!$K$3:$K$1000,""),"Network Device",_xlfn.XLOOKUP($K155&amp;"",'NETWORK-DEVICES'!$B$3:$B$987&amp;"",'NETWORK-DEVICES'!$I$3:$I$987,""),"Peripheral",_xlfn.XLOOKUP($K155&amp;"",PERIPHERAL!$B$3:$B$954&amp;"",PERIPHERAL!$J$3:$J$954,""),"Utilities",_xlfn.XLOOKUP($K155&amp;"",UTILITIES!$B$3:$B$953&amp;"",UTILITIES!$I$3:$I$953,""),"IOT",_xlfn.XLOOKUP($K155&amp;"",IOT!$B$3:$B$1012&amp;"",IOT!$J$3:$J$1012,""),"Server",_xlfn.XLOOKUP($K155&amp;"",SERVER!$B$3:$B$1009&amp;"",SERVER!$J$3:$J$1009,""),""))</f>
        <v/>
      </c>
      <c r="N155" s="1" t="str" cm="1">
        <f t="array" ref="N155">IF(OR($K155="",$I155="",$J155=""),"",_xlfn.LET(_xlpm.srcCat,_xlfn.SWITCH($I155,"Computer",_xlfn.XLOOKUP($K155&amp;"",COMPUTER!$B$3:$B$1009&amp;"",COMPUTER!$H$3:$H$1009,""),"Display",_xlfn.XLOOKUP($K155&amp;"",DISPLAY!$B$3:$B$1000&amp;"",DISPLAY!$H$3:$H$1000,""),"Network Device",_xlfn.XLOOKUP($K155&amp;"",'NETWORK-DEVICES'!$B$3:$B$987&amp;"",'NETWORK-DEVICES'!$H$3:$H$987,""),"Peripheral",_xlfn.XLOOKUP($K155&amp;"",PERIPHERAL!$B$3:$B$954&amp;"",PERIPHERAL!$H$3:$H$954,""),"Utilities",_xlfn.XLOOKUP($K155&amp;"",UTILITIES!$B$3:$B$953&amp;"",UTILITIES!$G$3:$G$953,""),"IOT",_xlfn.XLOOKUP($K155&amp;"",IOT!$B$3:$B$1012&amp;"",IOT!$H$3:$H$1012,""),"Server",_xlfn.XLOOKUP($K155&amp;"",SERVER!$B$3:$B$1009&amp;"",SERVER!$H$3:$H$1009,""),""),IF(TRIM(_xlpm.srcCat)&lt;&gt;TRIM($J155),"",_xlfn.SWITCH($I155,"Computer",_xlfn.XLOOKUP($K155&amp;"",COMPUTER!$B$3:$B$1009&amp;"",COMPUTER!$K$3:$K$1009,""),"Display",_xlfn.XLOOKUP($K155&amp;"",DISPLAY!$B$3:$B$1000&amp;"",DISPLAY!$L$3:$L$1000,""),"Network Device",_xlfn.XLOOKUP($K155&amp;"",'NETWORK-DEVICES'!$B$3:$B$987&amp;"",'NETWORK-DEVICES'!$K$3:$K$987,""),"Peripheral",_xlfn.XLOOKUP($K155&amp;"",PERIPHERAL!$B$3:$B$954&amp;"",PERIPHERAL!$K$3:$K$954,""),"Utilities",_xlfn.XLOOKUP($K155&amp;"",UTILITIES!$B$3:$B$953&amp;"",UTILITIES!$J$3:$J$953,""),"IOT",_xlfn.XLOOKUP($K155&amp;"",IOT!$B$3:$B$1012&amp;"",IOT!$K$4:$K$1012,""),"Server",_xlfn.XLOOKUP($K155&amp;"",SERVER!$B$3:$B$1009&amp;"",SERVER!$K$3:$K$1009,""),""))))</f>
        <v/>
      </c>
      <c r="O155" s="1" t="str" cm="1">
        <f t="array" ref="O155">IF(OR($K155="",$I155="",$J155=""),"",_xlfn.LET(_xlpm.srcCat,_xlfn.SWITCH($I155,"Computer",_xlfn.XLOOKUP($K155&amp;"",COMPUTER!$B$3:$B$1009&amp;"",COMPUTER!$H$3:$H$1009,""),"Display",_xlfn.XLOOKUP($K155&amp;"",DISPLAY!$B$3:$B$1000&amp;"",DISPLAY!$H$3:$H$1000,""),"Network Device",_xlfn.XLOOKUP($K155&amp;"",'NETWORK-DEVICES'!$B$3:$B$987&amp;"",'NETWORK-DEVICES'!$H$3:$H$987,""),"Peripheral",_xlfn.XLOOKUP($K155&amp;"",PERIPHERAL!$B$3:$B$954&amp;"",PERIPHERAL!$H$3:$H$954,""),"Utilities",_xlfn.XLOOKUP($K155&amp;"",UTILITIES!$B$3:$B$953&amp;"",UTILITIES!$G$3:$G$953,""),"IOT",_xlfn.XLOOKUP($K155&amp;"",IOT!$B$3:$B$1012&amp;"",IOT!$H$3:$H$1012,""),"Server",_xlfn.XLOOKUP($K155&amp;"",SERVER!$B$3:$B$1009&amp;"",SERVER!$H$3:$H$1009,""),""),IF(TRIM(_xlpm.srcCat)&lt;&gt;TRIM($J155),"",_xlfn.SWITCH($I155,"Computer",_xlfn.XLOOKUP($K155&amp;"",COMPUTER!$B$3:$B$1009&amp;"",COMPUTER!$E$3:$E$1009,""),"Display",_xlfn.XLOOKUP($K155&amp;"",DISPLAY!$B$3:$B$1000&amp;"",DISPLAY!$E$3:$E$1000,""),"Network Device",_xlfn.XLOOKUP($K155&amp;"",'NETWORK-DEVICES'!$B$3:$B$987&amp;"",'NETWORK-DEVICES'!$E$3:$E$987,""),"Peripheral",_xlfn.XLOOKUP($K155&amp;"",PERIPHERAL!$B$3:$B$954&amp;"",PERIPHERAL!$E$3:$E$954,""),"Utilities",_xlfn.XLOOKUP($K155&amp;"",UTILITIES!$B$3:$B$953&amp;"",UTILITIES!$E$3:$E$953,""),"IOT",_xlfn.XLOOKUP($K155&amp;"",IOT!$B$3:$B$1012&amp;"",IOT!$E$3:$E$1012,""),"Server",_xlfn.XLOOKUP($K155&amp;"",SERVER!$B$3:$B$1009&amp;"",SERVER!$E$3:$E$1009,""),""))))</f>
        <v/>
      </c>
      <c r="Q155" s="1" t="str" cm="1">
        <f t="array" ref="Q155">IF(OR($K155="",$I155="",$J155=""),"",_xlfn.LET(_xlpm.srcCat,_xlfn.SWITCH($I155,"Computer",_xlfn.XLOOKUP($K155&amp;"",COMPUTER!$B$3:$B$1009&amp;"",COMPUTER!$H$3:$H$1009,""),"Display",_xlfn.XLOOKUP($K155&amp;"",DISPLAY!$B$3:$B$1000&amp;"",DISPLAY!$H$3:$H$1000,""),"Network Device",_xlfn.XLOOKUP($K155&amp;"",'NETWORK-DEVICES'!$B$3:$B$987&amp;"",'NETWORK-DEVICES'!$H$3:$H$987,""),"Peripheral",_xlfn.XLOOKUP($K155&amp;"",PERIPHERAL!$B$3:$B$954&amp;"",PERIPHERAL!$H$3:$H$954,""),"Utilities",_xlfn.XLOOKUP($K155&amp;"",UTILITIES!$B$3:$B$953&amp;"",UTILITIES!$G$3:$G$953,""),"IOT",_xlfn.XLOOKUP($K155&amp;"",IOT!$B$3:$B$1012&amp;"",IOT!$H$3:$H$1012,""),"Server",_xlfn.XLOOKUP($K155&amp;"",SERVER!$B$3:$B$1009&amp;"",SERVER!$H$3:$H$1009,""),""),IF(TRIM(_xlpm.srcCat)&lt;&gt;TRIM($J155),"",_xlfn.SWITCH($I155,"Computer",_xlfn.XLOOKUP($K155&amp;"",COMPUTER!$B$3:$B$1009&amp;"",COMPUTER!$AM$3:$AM$1009,""),"Display",_xlfn.XLOOKUP($K155&amp;"",DISPLAY!$B$3:$B$1000&amp;"",DISPLAY!$V$3:$V$1000,""),"Network Device",_xlfn.XLOOKUP($K155&amp;"",'NETWORK-DEVICES'!$B$3:$B$987&amp;"",'NETWORK-DEVICES'!$AF$3:$AF$987,""),"Peripheral",_xlfn.XLOOKUP($K155&amp;"",PERIPHERAL!$B$3:$B$954&amp;"",PERIPHERAL!$Y$3:$Y$954,""),"Utilities",_xlfn.XLOOKUP($K155&amp;"",UTILITIES!$B$3:$B$953&amp;"",UTILITIES!$O$3:$O$953,""),"IOT",_xlfn.XLOOKUP($K155&amp;"",IOT!$B$3:$B$1012&amp;"",IOT!$AB$3:$AB$1012,""),"Server",_xlfn.XLOOKUP($K155&amp;"",SERVER!$B$3:$B$1009&amp;"",SERVER!$AB$3:$AB$1009,""),""))))</f>
        <v/>
      </c>
      <c r="R155" s="43" t="str">
        <f>IF(tbl_handover[[#This Row],[Asset Code]]="","",COUNTIF(tbl_handover[Asset Code],tbl_handover[[#This Row],[Asset Code]]))</f>
        <v/>
      </c>
    </row>
    <row r="156" spans="1:18" x14ac:dyDescent="0.25">
      <c r="A156" s="43" t="str">
        <f>IF(B156&lt;&gt;"",SUBTOTAL(3,$B$1:B155),"")</f>
        <v/>
      </c>
      <c r="C156" s="74"/>
      <c r="D156" s="74"/>
      <c r="G156" s="1"/>
      <c r="K156" s="42"/>
      <c r="L156" t="str" cm="1">
        <f t="array" ref="L156">IF($K156="","",_xlfn.SWITCH($I156,"Computer",_xlfn.XLOOKUP($K156&amp;"",COMPUTER!$B$3:$B$1009&amp;"",COMPUTER!$I$3:$I$1009,""),"Display",_xlfn.XLOOKUP($K156&amp;"",DISPLAY!$B$3:$B$1000&amp;"",DISPLAY!$J$3:$J$1000,""),"Network Device",_xlfn.XLOOKUP($K156&amp;"",'NETWORK-DEVICES'!$B$3:$B$987&amp;"",'NETWORK-DEVICES'!$I$3:$I$987,""),"Peripheral",_xlfn.XLOOKUP($K156&amp;"",PERIPHERAL!$B$3:$B$954&amp;"",PERIPHERAL!$I$3:$I$954,""),"Utilities",_xlfn.XLOOKUP($K156&amp;"",UTILITIES!$B$3:$B$953&amp;"",UTILITIES!$H$3:$H$953,""),"IOT",_xlfn.XLOOKUP($K156&amp;"",IOT!$B$3:$B$1012&amp;"",IOT!$I$3:$I$1012,""),"SERVER",_xlfn.XLOOKUP($K156&amp;"",SERVER!$B$3:$B$1009&amp;"",SERVER!$I$3:$I$1009,""),""))</f>
        <v/>
      </c>
      <c r="M156" t="str" cm="1">
        <f t="array" ref="M156">IF($K156="","",_xlfn.SWITCH($I156,"Computer",_xlfn.XLOOKUP($K156&amp;"",COMPUTER!$B$3:$B$1009&amp;"",COMPUTER!$J$3:$J$1009,""),"Display",_xlfn.XLOOKUP($K156&amp;"",DISPLAY!$B$3:$B$1000&amp;"",DISPLAY!$K$3:$K$1000,""),"Network Device",_xlfn.XLOOKUP($K156&amp;"",'NETWORK-DEVICES'!$B$3:$B$987&amp;"",'NETWORK-DEVICES'!$I$3:$I$987,""),"Peripheral",_xlfn.XLOOKUP($K156&amp;"",PERIPHERAL!$B$3:$B$954&amp;"",PERIPHERAL!$J$3:$J$954,""),"Utilities",_xlfn.XLOOKUP($K156&amp;"",UTILITIES!$B$3:$B$953&amp;"",UTILITIES!$I$3:$I$953,""),"IOT",_xlfn.XLOOKUP($K156&amp;"",IOT!$B$3:$B$1012&amp;"",IOT!$J$3:$J$1012,""),"Server",_xlfn.XLOOKUP($K156&amp;"",SERVER!$B$3:$B$1009&amp;"",SERVER!$J$3:$J$1009,""),""))</f>
        <v/>
      </c>
      <c r="N156" s="1" t="str" cm="1">
        <f t="array" ref="N156">IF(OR($K156="",$I156="",$J156=""),"",_xlfn.LET(_xlpm.srcCat,_xlfn.SWITCH($I156,"Computer",_xlfn.XLOOKUP($K156&amp;"",COMPUTER!$B$3:$B$1009&amp;"",COMPUTER!$H$3:$H$1009,""),"Display",_xlfn.XLOOKUP($K156&amp;"",DISPLAY!$B$3:$B$1000&amp;"",DISPLAY!$H$3:$H$1000,""),"Network Device",_xlfn.XLOOKUP($K156&amp;"",'NETWORK-DEVICES'!$B$3:$B$987&amp;"",'NETWORK-DEVICES'!$H$3:$H$987,""),"Peripheral",_xlfn.XLOOKUP($K156&amp;"",PERIPHERAL!$B$3:$B$954&amp;"",PERIPHERAL!$H$3:$H$954,""),"Utilities",_xlfn.XLOOKUP($K156&amp;"",UTILITIES!$B$3:$B$953&amp;"",UTILITIES!$G$3:$G$953,""),"IOT",_xlfn.XLOOKUP($K156&amp;"",IOT!$B$3:$B$1012&amp;"",IOT!$H$3:$H$1012,""),"Server",_xlfn.XLOOKUP($K156&amp;"",SERVER!$B$3:$B$1009&amp;"",SERVER!$H$3:$H$1009,""),""),IF(TRIM(_xlpm.srcCat)&lt;&gt;TRIM($J156),"",_xlfn.SWITCH($I156,"Computer",_xlfn.XLOOKUP($K156&amp;"",COMPUTER!$B$3:$B$1009&amp;"",COMPUTER!$K$3:$K$1009,""),"Display",_xlfn.XLOOKUP($K156&amp;"",DISPLAY!$B$3:$B$1000&amp;"",DISPLAY!$L$3:$L$1000,""),"Network Device",_xlfn.XLOOKUP($K156&amp;"",'NETWORK-DEVICES'!$B$3:$B$987&amp;"",'NETWORK-DEVICES'!$K$3:$K$987,""),"Peripheral",_xlfn.XLOOKUP($K156&amp;"",PERIPHERAL!$B$3:$B$954&amp;"",PERIPHERAL!$K$3:$K$954,""),"Utilities",_xlfn.XLOOKUP($K156&amp;"",UTILITIES!$B$3:$B$953&amp;"",UTILITIES!$J$3:$J$953,""),"IOT",_xlfn.XLOOKUP($K156&amp;"",IOT!$B$3:$B$1012&amp;"",IOT!$K$4:$K$1012,""),"Server",_xlfn.XLOOKUP($K156&amp;"",SERVER!$B$3:$B$1009&amp;"",SERVER!$K$3:$K$1009,""),""))))</f>
        <v/>
      </c>
      <c r="O156" s="1" t="str" cm="1">
        <f t="array" ref="O156">IF(OR($K156="",$I156="",$J156=""),"",_xlfn.LET(_xlpm.srcCat,_xlfn.SWITCH($I156,"Computer",_xlfn.XLOOKUP($K156&amp;"",COMPUTER!$B$3:$B$1009&amp;"",COMPUTER!$H$3:$H$1009,""),"Display",_xlfn.XLOOKUP($K156&amp;"",DISPLAY!$B$3:$B$1000&amp;"",DISPLAY!$H$3:$H$1000,""),"Network Device",_xlfn.XLOOKUP($K156&amp;"",'NETWORK-DEVICES'!$B$3:$B$987&amp;"",'NETWORK-DEVICES'!$H$3:$H$987,""),"Peripheral",_xlfn.XLOOKUP($K156&amp;"",PERIPHERAL!$B$3:$B$954&amp;"",PERIPHERAL!$H$3:$H$954,""),"Utilities",_xlfn.XLOOKUP($K156&amp;"",UTILITIES!$B$3:$B$953&amp;"",UTILITIES!$G$3:$G$953,""),"IOT",_xlfn.XLOOKUP($K156&amp;"",IOT!$B$3:$B$1012&amp;"",IOT!$H$3:$H$1012,""),"Server",_xlfn.XLOOKUP($K156&amp;"",SERVER!$B$3:$B$1009&amp;"",SERVER!$H$3:$H$1009,""),""),IF(TRIM(_xlpm.srcCat)&lt;&gt;TRIM($J156),"",_xlfn.SWITCH($I156,"Computer",_xlfn.XLOOKUP($K156&amp;"",COMPUTER!$B$3:$B$1009&amp;"",COMPUTER!$E$3:$E$1009,""),"Display",_xlfn.XLOOKUP($K156&amp;"",DISPLAY!$B$3:$B$1000&amp;"",DISPLAY!$E$3:$E$1000,""),"Network Device",_xlfn.XLOOKUP($K156&amp;"",'NETWORK-DEVICES'!$B$3:$B$987&amp;"",'NETWORK-DEVICES'!$E$3:$E$987,""),"Peripheral",_xlfn.XLOOKUP($K156&amp;"",PERIPHERAL!$B$3:$B$954&amp;"",PERIPHERAL!$E$3:$E$954,""),"Utilities",_xlfn.XLOOKUP($K156&amp;"",UTILITIES!$B$3:$B$953&amp;"",UTILITIES!$E$3:$E$953,""),"IOT",_xlfn.XLOOKUP($K156&amp;"",IOT!$B$3:$B$1012&amp;"",IOT!$E$3:$E$1012,""),"Server",_xlfn.XLOOKUP($K156&amp;"",SERVER!$B$3:$B$1009&amp;"",SERVER!$E$3:$E$1009,""),""))))</f>
        <v/>
      </c>
      <c r="Q156" s="1" t="str" cm="1">
        <f t="array" ref="Q156">IF(OR($K156="",$I156="",$J156=""),"",_xlfn.LET(_xlpm.srcCat,_xlfn.SWITCH($I156,"Computer",_xlfn.XLOOKUP($K156&amp;"",COMPUTER!$B$3:$B$1009&amp;"",COMPUTER!$H$3:$H$1009,""),"Display",_xlfn.XLOOKUP($K156&amp;"",DISPLAY!$B$3:$B$1000&amp;"",DISPLAY!$H$3:$H$1000,""),"Network Device",_xlfn.XLOOKUP($K156&amp;"",'NETWORK-DEVICES'!$B$3:$B$987&amp;"",'NETWORK-DEVICES'!$H$3:$H$987,""),"Peripheral",_xlfn.XLOOKUP($K156&amp;"",PERIPHERAL!$B$3:$B$954&amp;"",PERIPHERAL!$H$3:$H$954,""),"Utilities",_xlfn.XLOOKUP($K156&amp;"",UTILITIES!$B$3:$B$953&amp;"",UTILITIES!$G$3:$G$953,""),"IOT",_xlfn.XLOOKUP($K156&amp;"",IOT!$B$3:$B$1012&amp;"",IOT!$H$3:$H$1012,""),"Server",_xlfn.XLOOKUP($K156&amp;"",SERVER!$B$3:$B$1009&amp;"",SERVER!$H$3:$H$1009,""),""),IF(TRIM(_xlpm.srcCat)&lt;&gt;TRIM($J156),"",_xlfn.SWITCH($I156,"Computer",_xlfn.XLOOKUP($K156&amp;"",COMPUTER!$B$3:$B$1009&amp;"",COMPUTER!$AM$3:$AM$1009,""),"Display",_xlfn.XLOOKUP($K156&amp;"",DISPLAY!$B$3:$B$1000&amp;"",DISPLAY!$V$3:$V$1000,""),"Network Device",_xlfn.XLOOKUP($K156&amp;"",'NETWORK-DEVICES'!$B$3:$B$987&amp;"",'NETWORK-DEVICES'!$AF$3:$AF$987,""),"Peripheral",_xlfn.XLOOKUP($K156&amp;"",PERIPHERAL!$B$3:$B$954&amp;"",PERIPHERAL!$Y$3:$Y$954,""),"Utilities",_xlfn.XLOOKUP($K156&amp;"",UTILITIES!$B$3:$B$953&amp;"",UTILITIES!$O$3:$O$953,""),"IOT",_xlfn.XLOOKUP($K156&amp;"",IOT!$B$3:$B$1012&amp;"",IOT!$AB$3:$AB$1012,""),"Server",_xlfn.XLOOKUP($K156&amp;"",SERVER!$B$3:$B$1009&amp;"",SERVER!$AB$3:$AB$1009,""),""))))</f>
        <v/>
      </c>
      <c r="R156" s="43" t="str">
        <f>IF(tbl_handover[[#This Row],[Asset Code]]="","",COUNTIF(tbl_handover[Asset Code],tbl_handover[[#This Row],[Asset Code]]))</f>
        <v/>
      </c>
    </row>
    <row r="157" spans="1:18" x14ac:dyDescent="0.25">
      <c r="A157" s="43" t="str">
        <f>IF(B157&lt;&gt;"",SUBTOTAL(3,$B$1:B156),"")</f>
        <v/>
      </c>
      <c r="C157" s="74"/>
      <c r="D157" s="74"/>
      <c r="G157" s="1"/>
      <c r="K157" s="42"/>
      <c r="L157" t="str" cm="1">
        <f t="array" ref="L157">IF($K157="","",_xlfn.SWITCH($I157,"Computer",_xlfn.XLOOKUP($K157&amp;"",COMPUTER!$B$3:$B$1009&amp;"",COMPUTER!$I$3:$I$1009,""),"Display",_xlfn.XLOOKUP($K157&amp;"",DISPLAY!$B$3:$B$1000&amp;"",DISPLAY!$J$3:$J$1000,""),"Network Device",_xlfn.XLOOKUP($K157&amp;"",'NETWORK-DEVICES'!$B$3:$B$987&amp;"",'NETWORK-DEVICES'!$I$3:$I$987,""),"Peripheral",_xlfn.XLOOKUP($K157&amp;"",PERIPHERAL!$B$3:$B$954&amp;"",PERIPHERAL!$I$3:$I$954,""),"Utilities",_xlfn.XLOOKUP($K157&amp;"",UTILITIES!$B$3:$B$953&amp;"",UTILITIES!$H$3:$H$953,""),"IOT",_xlfn.XLOOKUP($K157&amp;"",IOT!$B$3:$B$1012&amp;"",IOT!$I$3:$I$1012,""),"SERVER",_xlfn.XLOOKUP($K157&amp;"",SERVER!$B$3:$B$1009&amp;"",SERVER!$I$3:$I$1009,""),""))</f>
        <v/>
      </c>
      <c r="M157" t="str" cm="1">
        <f t="array" ref="M157">IF($K157="","",_xlfn.SWITCH($I157,"Computer",_xlfn.XLOOKUP($K157&amp;"",COMPUTER!$B$3:$B$1009&amp;"",COMPUTER!$J$3:$J$1009,""),"Display",_xlfn.XLOOKUP($K157&amp;"",DISPLAY!$B$3:$B$1000&amp;"",DISPLAY!$K$3:$K$1000,""),"Network Device",_xlfn.XLOOKUP($K157&amp;"",'NETWORK-DEVICES'!$B$3:$B$987&amp;"",'NETWORK-DEVICES'!$I$3:$I$987,""),"Peripheral",_xlfn.XLOOKUP($K157&amp;"",PERIPHERAL!$B$3:$B$954&amp;"",PERIPHERAL!$J$3:$J$954,""),"Utilities",_xlfn.XLOOKUP($K157&amp;"",UTILITIES!$B$3:$B$953&amp;"",UTILITIES!$I$3:$I$953,""),"IOT",_xlfn.XLOOKUP($K157&amp;"",IOT!$B$3:$B$1012&amp;"",IOT!$J$3:$J$1012,""),"Server",_xlfn.XLOOKUP($K157&amp;"",SERVER!$B$3:$B$1009&amp;"",SERVER!$J$3:$J$1009,""),""))</f>
        <v/>
      </c>
      <c r="N157" s="1" t="str" cm="1">
        <f t="array" ref="N157">IF(OR($K157="",$I157="",$J157=""),"",_xlfn.LET(_xlpm.srcCat,_xlfn.SWITCH($I157,"Computer",_xlfn.XLOOKUP($K157&amp;"",COMPUTER!$B$3:$B$1009&amp;"",COMPUTER!$H$3:$H$1009,""),"Display",_xlfn.XLOOKUP($K157&amp;"",DISPLAY!$B$3:$B$1000&amp;"",DISPLAY!$H$3:$H$1000,""),"Network Device",_xlfn.XLOOKUP($K157&amp;"",'NETWORK-DEVICES'!$B$3:$B$987&amp;"",'NETWORK-DEVICES'!$H$3:$H$987,""),"Peripheral",_xlfn.XLOOKUP($K157&amp;"",PERIPHERAL!$B$3:$B$954&amp;"",PERIPHERAL!$H$3:$H$954,""),"Utilities",_xlfn.XLOOKUP($K157&amp;"",UTILITIES!$B$3:$B$953&amp;"",UTILITIES!$G$3:$G$953,""),"IOT",_xlfn.XLOOKUP($K157&amp;"",IOT!$B$3:$B$1012&amp;"",IOT!$H$3:$H$1012,""),"Server",_xlfn.XLOOKUP($K157&amp;"",SERVER!$B$3:$B$1009&amp;"",SERVER!$H$3:$H$1009,""),""),IF(TRIM(_xlpm.srcCat)&lt;&gt;TRIM($J157),"",_xlfn.SWITCH($I157,"Computer",_xlfn.XLOOKUP($K157&amp;"",COMPUTER!$B$3:$B$1009&amp;"",COMPUTER!$K$3:$K$1009,""),"Display",_xlfn.XLOOKUP($K157&amp;"",DISPLAY!$B$3:$B$1000&amp;"",DISPLAY!$L$3:$L$1000,""),"Network Device",_xlfn.XLOOKUP($K157&amp;"",'NETWORK-DEVICES'!$B$3:$B$987&amp;"",'NETWORK-DEVICES'!$K$3:$K$987,""),"Peripheral",_xlfn.XLOOKUP($K157&amp;"",PERIPHERAL!$B$3:$B$954&amp;"",PERIPHERAL!$K$3:$K$954,""),"Utilities",_xlfn.XLOOKUP($K157&amp;"",UTILITIES!$B$3:$B$953&amp;"",UTILITIES!$J$3:$J$953,""),"IOT",_xlfn.XLOOKUP($K157&amp;"",IOT!$B$3:$B$1012&amp;"",IOT!$K$4:$K$1012,""),"Server",_xlfn.XLOOKUP($K157&amp;"",SERVER!$B$3:$B$1009&amp;"",SERVER!$K$3:$K$1009,""),""))))</f>
        <v/>
      </c>
      <c r="O157" s="1" t="str" cm="1">
        <f t="array" ref="O157">IF(OR($K157="",$I157="",$J157=""),"",_xlfn.LET(_xlpm.srcCat,_xlfn.SWITCH($I157,"Computer",_xlfn.XLOOKUP($K157&amp;"",COMPUTER!$B$3:$B$1009&amp;"",COMPUTER!$H$3:$H$1009,""),"Display",_xlfn.XLOOKUP($K157&amp;"",DISPLAY!$B$3:$B$1000&amp;"",DISPLAY!$H$3:$H$1000,""),"Network Device",_xlfn.XLOOKUP($K157&amp;"",'NETWORK-DEVICES'!$B$3:$B$987&amp;"",'NETWORK-DEVICES'!$H$3:$H$987,""),"Peripheral",_xlfn.XLOOKUP($K157&amp;"",PERIPHERAL!$B$3:$B$954&amp;"",PERIPHERAL!$H$3:$H$954,""),"Utilities",_xlfn.XLOOKUP($K157&amp;"",UTILITIES!$B$3:$B$953&amp;"",UTILITIES!$G$3:$G$953,""),"IOT",_xlfn.XLOOKUP($K157&amp;"",IOT!$B$3:$B$1012&amp;"",IOT!$H$3:$H$1012,""),"Server",_xlfn.XLOOKUP($K157&amp;"",SERVER!$B$3:$B$1009&amp;"",SERVER!$H$3:$H$1009,""),""),IF(TRIM(_xlpm.srcCat)&lt;&gt;TRIM($J157),"",_xlfn.SWITCH($I157,"Computer",_xlfn.XLOOKUP($K157&amp;"",COMPUTER!$B$3:$B$1009&amp;"",COMPUTER!$E$3:$E$1009,""),"Display",_xlfn.XLOOKUP($K157&amp;"",DISPLAY!$B$3:$B$1000&amp;"",DISPLAY!$E$3:$E$1000,""),"Network Device",_xlfn.XLOOKUP($K157&amp;"",'NETWORK-DEVICES'!$B$3:$B$987&amp;"",'NETWORK-DEVICES'!$E$3:$E$987,""),"Peripheral",_xlfn.XLOOKUP($K157&amp;"",PERIPHERAL!$B$3:$B$954&amp;"",PERIPHERAL!$E$3:$E$954,""),"Utilities",_xlfn.XLOOKUP($K157&amp;"",UTILITIES!$B$3:$B$953&amp;"",UTILITIES!$E$3:$E$953,""),"IOT",_xlfn.XLOOKUP($K157&amp;"",IOT!$B$3:$B$1012&amp;"",IOT!$E$3:$E$1012,""),"Server",_xlfn.XLOOKUP($K157&amp;"",SERVER!$B$3:$B$1009&amp;"",SERVER!$E$3:$E$1009,""),""))))</f>
        <v/>
      </c>
      <c r="Q157" s="1" t="str" cm="1">
        <f t="array" ref="Q157">IF(OR($K157="",$I157="",$J157=""),"",_xlfn.LET(_xlpm.srcCat,_xlfn.SWITCH($I157,"Computer",_xlfn.XLOOKUP($K157&amp;"",COMPUTER!$B$3:$B$1009&amp;"",COMPUTER!$H$3:$H$1009,""),"Display",_xlfn.XLOOKUP($K157&amp;"",DISPLAY!$B$3:$B$1000&amp;"",DISPLAY!$H$3:$H$1000,""),"Network Device",_xlfn.XLOOKUP($K157&amp;"",'NETWORK-DEVICES'!$B$3:$B$987&amp;"",'NETWORK-DEVICES'!$H$3:$H$987,""),"Peripheral",_xlfn.XLOOKUP($K157&amp;"",PERIPHERAL!$B$3:$B$954&amp;"",PERIPHERAL!$H$3:$H$954,""),"Utilities",_xlfn.XLOOKUP($K157&amp;"",UTILITIES!$B$3:$B$953&amp;"",UTILITIES!$G$3:$G$953,""),"IOT",_xlfn.XLOOKUP($K157&amp;"",IOT!$B$3:$B$1012&amp;"",IOT!$H$3:$H$1012,""),"Server",_xlfn.XLOOKUP($K157&amp;"",SERVER!$B$3:$B$1009&amp;"",SERVER!$H$3:$H$1009,""),""),IF(TRIM(_xlpm.srcCat)&lt;&gt;TRIM($J157),"",_xlfn.SWITCH($I157,"Computer",_xlfn.XLOOKUP($K157&amp;"",COMPUTER!$B$3:$B$1009&amp;"",COMPUTER!$AM$3:$AM$1009,""),"Display",_xlfn.XLOOKUP($K157&amp;"",DISPLAY!$B$3:$B$1000&amp;"",DISPLAY!$V$3:$V$1000,""),"Network Device",_xlfn.XLOOKUP($K157&amp;"",'NETWORK-DEVICES'!$B$3:$B$987&amp;"",'NETWORK-DEVICES'!$AF$3:$AF$987,""),"Peripheral",_xlfn.XLOOKUP($K157&amp;"",PERIPHERAL!$B$3:$B$954&amp;"",PERIPHERAL!$Y$3:$Y$954,""),"Utilities",_xlfn.XLOOKUP($K157&amp;"",UTILITIES!$B$3:$B$953&amp;"",UTILITIES!$O$3:$O$953,""),"IOT",_xlfn.XLOOKUP($K157&amp;"",IOT!$B$3:$B$1012&amp;"",IOT!$AB$3:$AB$1012,""),"Server",_xlfn.XLOOKUP($K157&amp;"",SERVER!$B$3:$B$1009&amp;"",SERVER!$AB$3:$AB$1009,""),""))))</f>
        <v/>
      </c>
      <c r="R157" s="43" t="str">
        <f>IF(tbl_handover[[#This Row],[Asset Code]]="","",COUNTIF(tbl_handover[Asset Code],tbl_handover[[#This Row],[Asset Code]]))</f>
        <v/>
      </c>
    </row>
    <row r="158" spans="1:18" x14ac:dyDescent="0.25">
      <c r="A158" s="43" t="str">
        <f>IF(B158&lt;&gt;"",SUBTOTAL(3,$B$1:B157),"")</f>
        <v/>
      </c>
      <c r="C158" s="74"/>
      <c r="D158" s="74"/>
      <c r="G158" s="1"/>
      <c r="K158" s="42"/>
      <c r="L158" t="str" cm="1">
        <f t="array" ref="L158">IF($K158="","",_xlfn.SWITCH($I158,"Computer",_xlfn.XLOOKUP($K158&amp;"",COMPUTER!$B$3:$B$1009&amp;"",COMPUTER!$I$3:$I$1009,""),"Display",_xlfn.XLOOKUP($K158&amp;"",DISPLAY!$B$3:$B$1000&amp;"",DISPLAY!$J$3:$J$1000,""),"Network Device",_xlfn.XLOOKUP($K158&amp;"",'NETWORK-DEVICES'!$B$3:$B$987&amp;"",'NETWORK-DEVICES'!$I$3:$I$987,""),"Peripheral",_xlfn.XLOOKUP($K158&amp;"",PERIPHERAL!$B$3:$B$954&amp;"",PERIPHERAL!$I$3:$I$954,""),"Utilities",_xlfn.XLOOKUP($K158&amp;"",UTILITIES!$B$3:$B$953&amp;"",UTILITIES!$H$3:$H$953,""),"IOT",_xlfn.XLOOKUP($K158&amp;"",IOT!$B$3:$B$1012&amp;"",IOT!$I$3:$I$1012,""),"SERVER",_xlfn.XLOOKUP($K158&amp;"",SERVER!$B$3:$B$1009&amp;"",SERVER!$I$3:$I$1009,""),""))</f>
        <v/>
      </c>
      <c r="M158" t="str" cm="1">
        <f t="array" ref="M158">IF($K158="","",_xlfn.SWITCH($I158,"Computer",_xlfn.XLOOKUP($K158&amp;"",COMPUTER!$B$3:$B$1009&amp;"",COMPUTER!$J$3:$J$1009,""),"Display",_xlfn.XLOOKUP($K158&amp;"",DISPLAY!$B$3:$B$1000&amp;"",DISPLAY!$K$3:$K$1000,""),"Network Device",_xlfn.XLOOKUP($K158&amp;"",'NETWORK-DEVICES'!$B$3:$B$987&amp;"",'NETWORK-DEVICES'!$I$3:$I$987,""),"Peripheral",_xlfn.XLOOKUP($K158&amp;"",PERIPHERAL!$B$3:$B$954&amp;"",PERIPHERAL!$J$3:$J$954,""),"Utilities",_xlfn.XLOOKUP($K158&amp;"",UTILITIES!$B$3:$B$953&amp;"",UTILITIES!$I$3:$I$953,""),"IOT",_xlfn.XLOOKUP($K158&amp;"",IOT!$B$3:$B$1012&amp;"",IOT!$J$3:$J$1012,""),"Server",_xlfn.XLOOKUP($K158&amp;"",SERVER!$B$3:$B$1009&amp;"",SERVER!$J$3:$J$1009,""),""))</f>
        <v/>
      </c>
      <c r="N158" s="1" t="str" cm="1">
        <f t="array" ref="N158">IF(OR($K158="",$I158="",$J158=""),"",_xlfn.LET(_xlpm.srcCat,_xlfn.SWITCH($I158,"Computer",_xlfn.XLOOKUP($K158&amp;"",COMPUTER!$B$3:$B$1009&amp;"",COMPUTER!$H$3:$H$1009,""),"Display",_xlfn.XLOOKUP($K158&amp;"",DISPLAY!$B$3:$B$1000&amp;"",DISPLAY!$H$3:$H$1000,""),"Network Device",_xlfn.XLOOKUP($K158&amp;"",'NETWORK-DEVICES'!$B$3:$B$987&amp;"",'NETWORK-DEVICES'!$H$3:$H$987,""),"Peripheral",_xlfn.XLOOKUP($K158&amp;"",PERIPHERAL!$B$3:$B$954&amp;"",PERIPHERAL!$H$3:$H$954,""),"Utilities",_xlfn.XLOOKUP($K158&amp;"",UTILITIES!$B$3:$B$953&amp;"",UTILITIES!$G$3:$G$953,""),"IOT",_xlfn.XLOOKUP($K158&amp;"",IOT!$B$3:$B$1012&amp;"",IOT!$H$3:$H$1012,""),"Server",_xlfn.XLOOKUP($K158&amp;"",SERVER!$B$3:$B$1009&amp;"",SERVER!$H$3:$H$1009,""),""),IF(TRIM(_xlpm.srcCat)&lt;&gt;TRIM($J158),"",_xlfn.SWITCH($I158,"Computer",_xlfn.XLOOKUP($K158&amp;"",COMPUTER!$B$3:$B$1009&amp;"",COMPUTER!$K$3:$K$1009,""),"Display",_xlfn.XLOOKUP($K158&amp;"",DISPLAY!$B$3:$B$1000&amp;"",DISPLAY!$L$3:$L$1000,""),"Network Device",_xlfn.XLOOKUP($K158&amp;"",'NETWORK-DEVICES'!$B$3:$B$987&amp;"",'NETWORK-DEVICES'!$K$3:$K$987,""),"Peripheral",_xlfn.XLOOKUP($K158&amp;"",PERIPHERAL!$B$3:$B$954&amp;"",PERIPHERAL!$K$3:$K$954,""),"Utilities",_xlfn.XLOOKUP($K158&amp;"",UTILITIES!$B$3:$B$953&amp;"",UTILITIES!$J$3:$J$953,""),"IOT",_xlfn.XLOOKUP($K158&amp;"",IOT!$B$3:$B$1012&amp;"",IOT!$K$4:$K$1012,""),"Server",_xlfn.XLOOKUP($K158&amp;"",SERVER!$B$3:$B$1009&amp;"",SERVER!$K$3:$K$1009,""),""))))</f>
        <v/>
      </c>
      <c r="O158" s="1" t="str" cm="1">
        <f t="array" ref="O158">IF(OR($K158="",$I158="",$J158=""),"",_xlfn.LET(_xlpm.srcCat,_xlfn.SWITCH($I158,"Computer",_xlfn.XLOOKUP($K158&amp;"",COMPUTER!$B$3:$B$1009&amp;"",COMPUTER!$H$3:$H$1009,""),"Display",_xlfn.XLOOKUP($K158&amp;"",DISPLAY!$B$3:$B$1000&amp;"",DISPLAY!$H$3:$H$1000,""),"Network Device",_xlfn.XLOOKUP($K158&amp;"",'NETWORK-DEVICES'!$B$3:$B$987&amp;"",'NETWORK-DEVICES'!$H$3:$H$987,""),"Peripheral",_xlfn.XLOOKUP($K158&amp;"",PERIPHERAL!$B$3:$B$954&amp;"",PERIPHERAL!$H$3:$H$954,""),"Utilities",_xlfn.XLOOKUP($K158&amp;"",UTILITIES!$B$3:$B$953&amp;"",UTILITIES!$G$3:$G$953,""),"IOT",_xlfn.XLOOKUP($K158&amp;"",IOT!$B$3:$B$1012&amp;"",IOT!$H$3:$H$1012,""),"Server",_xlfn.XLOOKUP($K158&amp;"",SERVER!$B$3:$B$1009&amp;"",SERVER!$H$3:$H$1009,""),""),IF(TRIM(_xlpm.srcCat)&lt;&gt;TRIM($J158),"",_xlfn.SWITCH($I158,"Computer",_xlfn.XLOOKUP($K158&amp;"",COMPUTER!$B$3:$B$1009&amp;"",COMPUTER!$E$3:$E$1009,""),"Display",_xlfn.XLOOKUP($K158&amp;"",DISPLAY!$B$3:$B$1000&amp;"",DISPLAY!$E$3:$E$1000,""),"Network Device",_xlfn.XLOOKUP($K158&amp;"",'NETWORK-DEVICES'!$B$3:$B$987&amp;"",'NETWORK-DEVICES'!$E$3:$E$987,""),"Peripheral",_xlfn.XLOOKUP($K158&amp;"",PERIPHERAL!$B$3:$B$954&amp;"",PERIPHERAL!$E$3:$E$954,""),"Utilities",_xlfn.XLOOKUP($K158&amp;"",UTILITIES!$B$3:$B$953&amp;"",UTILITIES!$E$3:$E$953,""),"IOT",_xlfn.XLOOKUP($K158&amp;"",IOT!$B$3:$B$1012&amp;"",IOT!$E$3:$E$1012,""),"Server",_xlfn.XLOOKUP($K158&amp;"",SERVER!$B$3:$B$1009&amp;"",SERVER!$E$3:$E$1009,""),""))))</f>
        <v/>
      </c>
      <c r="Q158" s="1" t="str" cm="1">
        <f t="array" ref="Q158">IF(OR($K158="",$I158="",$J158=""),"",_xlfn.LET(_xlpm.srcCat,_xlfn.SWITCH($I158,"Computer",_xlfn.XLOOKUP($K158&amp;"",COMPUTER!$B$3:$B$1009&amp;"",COMPUTER!$H$3:$H$1009,""),"Display",_xlfn.XLOOKUP($K158&amp;"",DISPLAY!$B$3:$B$1000&amp;"",DISPLAY!$H$3:$H$1000,""),"Network Device",_xlfn.XLOOKUP($K158&amp;"",'NETWORK-DEVICES'!$B$3:$B$987&amp;"",'NETWORK-DEVICES'!$H$3:$H$987,""),"Peripheral",_xlfn.XLOOKUP($K158&amp;"",PERIPHERAL!$B$3:$B$954&amp;"",PERIPHERAL!$H$3:$H$954,""),"Utilities",_xlfn.XLOOKUP($K158&amp;"",UTILITIES!$B$3:$B$953&amp;"",UTILITIES!$G$3:$G$953,""),"IOT",_xlfn.XLOOKUP($K158&amp;"",IOT!$B$3:$B$1012&amp;"",IOT!$H$3:$H$1012,""),"Server",_xlfn.XLOOKUP($K158&amp;"",SERVER!$B$3:$B$1009&amp;"",SERVER!$H$3:$H$1009,""),""),IF(TRIM(_xlpm.srcCat)&lt;&gt;TRIM($J158),"",_xlfn.SWITCH($I158,"Computer",_xlfn.XLOOKUP($K158&amp;"",COMPUTER!$B$3:$B$1009&amp;"",COMPUTER!$AM$3:$AM$1009,""),"Display",_xlfn.XLOOKUP($K158&amp;"",DISPLAY!$B$3:$B$1000&amp;"",DISPLAY!$V$3:$V$1000,""),"Network Device",_xlfn.XLOOKUP($K158&amp;"",'NETWORK-DEVICES'!$B$3:$B$987&amp;"",'NETWORK-DEVICES'!$AF$3:$AF$987,""),"Peripheral",_xlfn.XLOOKUP($K158&amp;"",PERIPHERAL!$B$3:$B$954&amp;"",PERIPHERAL!$Y$3:$Y$954,""),"Utilities",_xlfn.XLOOKUP($K158&amp;"",UTILITIES!$B$3:$B$953&amp;"",UTILITIES!$O$3:$O$953,""),"IOT",_xlfn.XLOOKUP($K158&amp;"",IOT!$B$3:$B$1012&amp;"",IOT!$AB$3:$AB$1012,""),"Server",_xlfn.XLOOKUP($K158&amp;"",SERVER!$B$3:$B$1009&amp;"",SERVER!$AB$3:$AB$1009,""),""))))</f>
        <v/>
      </c>
      <c r="R158" s="43" t="str">
        <f>IF(tbl_handover[[#This Row],[Asset Code]]="","",COUNTIF(tbl_handover[Asset Code],tbl_handover[[#This Row],[Asset Code]]))</f>
        <v/>
      </c>
    </row>
    <row r="159" spans="1:18" x14ac:dyDescent="0.25">
      <c r="A159" s="43" t="str">
        <f>IF(B159&lt;&gt;"",SUBTOTAL(3,$B$1:B158),"")</f>
        <v/>
      </c>
      <c r="C159" s="74"/>
      <c r="D159" s="74"/>
      <c r="G159" s="1"/>
      <c r="K159" s="42"/>
      <c r="L159" t="str" cm="1">
        <f t="array" ref="L159">IF($K159="","",_xlfn.SWITCH($I159,"Computer",_xlfn.XLOOKUP($K159&amp;"",COMPUTER!$B$3:$B$1009&amp;"",COMPUTER!$I$3:$I$1009,""),"Display",_xlfn.XLOOKUP($K159&amp;"",DISPLAY!$B$3:$B$1000&amp;"",DISPLAY!$J$3:$J$1000,""),"Network Device",_xlfn.XLOOKUP($K159&amp;"",'NETWORK-DEVICES'!$B$3:$B$987&amp;"",'NETWORK-DEVICES'!$I$3:$I$987,""),"Peripheral",_xlfn.XLOOKUP($K159&amp;"",PERIPHERAL!$B$3:$B$954&amp;"",PERIPHERAL!$I$3:$I$954,""),"Utilities",_xlfn.XLOOKUP($K159&amp;"",UTILITIES!$B$3:$B$953&amp;"",UTILITIES!$H$3:$H$953,""),"IOT",_xlfn.XLOOKUP($K159&amp;"",IOT!$B$3:$B$1012&amp;"",IOT!$I$3:$I$1012,""),"SERVER",_xlfn.XLOOKUP($K159&amp;"",SERVER!$B$3:$B$1009&amp;"",SERVER!$I$3:$I$1009,""),""))</f>
        <v/>
      </c>
      <c r="M159" t="str" cm="1">
        <f t="array" ref="M159">IF($K159="","",_xlfn.SWITCH($I159,"Computer",_xlfn.XLOOKUP($K159&amp;"",COMPUTER!$B$3:$B$1009&amp;"",COMPUTER!$J$3:$J$1009,""),"Display",_xlfn.XLOOKUP($K159&amp;"",DISPLAY!$B$3:$B$1000&amp;"",DISPLAY!$K$3:$K$1000,""),"Network Device",_xlfn.XLOOKUP($K159&amp;"",'NETWORK-DEVICES'!$B$3:$B$987&amp;"",'NETWORK-DEVICES'!$I$3:$I$987,""),"Peripheral",_xlfn.XLOOKUP($K159&amp;"",PERIPHERAL!$B$3:$B$954&amp;"",PERIPHERAL!$J$3:$J$954,""),"Utilities",_xlfn.XLOOKUP($K159&amp;"",UTILITIES!$B$3:$B$953&amp;"",UTILITIES!$I$3:$I$953,""),"IOT",_xlfn.XLOOKUP($K159&amp;"",IOT!$B$3:$B$1012&amp;"",IOT!$J$3:$J$1012,""),"Server",_xlfn.XLOOKUP($K159&amp;"",SERVER!$B$3:$B$1009&amp;"",SERVER!$J$3:$J$1009,""),""))</f>
        <v/>
      </c>
      <c r="N159" s="1" t="str" cm="1">
        <f t="array" ref="N159">IF(OR($K159="",$I159="",$J159=""),"",_xlfn.LET(_xlpm.srcCat,_xlfn.SWITCH($I159,"Computer",_xlfn.XLOOKUP($K159&amp;"",COMPUTER!$B$3:$B$1009&amp;"",COMPUTER!$H$3:$H$1009,""),"Display",_xlfn.XLOOKUP($K159&amp;"",DISPLAY!$B$3:$B$1000&amp;"",DISPLAY!$H$3:$H$1000,""),"Network Device",_xlfn.XLOOKUP($K159&amp;"",'NETWORK-DEVICES'!$B$3:$B$987&amp;"",'NETWORK-DEVICES'!$H$3:$H$987,""),"Peripheral",_xlfn.XLOOKUP($K159&amp;"",PERIPHERAL!$B$3:$B$954&amp;"",PERIPHERAL!$H$3:$H$954,""),"Utilities",_xlfn.XLOOKUP($K159&amp;"",UTILITIES!$B$3:$B$953&amp;"",UTILITIES!$G$3:$G$953,""),"IOT",_xlfn.XLOOKUP($K159&amp;"",IOT!$B$3:$B$1012&amp;"",IOT!$H$3:$H$1012,""),"Server",_xlfn.XLOOKUP($K159&amp;"",SERVER!$B$3:$B$1009&amp;"",SERVER!$H$3:$H$1009,""),""),IF(TRIM(_xlpm.srcCat)&lt;&gt;TRIM($J159),"",_xlfn.SWITCH($I159,"Computer",_xlfn.XLOOKUP($K159&amp;"",COMPUTER!$B$3:$B$1009&amp;"",COMPUTER!$K$3:$K$1009,""),"Display",_xlfn.XLOOKUP($K159&amp;"",DISPLAY!$B$3:$B$1000&amp;"",DISPLAY!$L$3:$L$1000,""),"Network Device",_xlfn.XLOOKUP($K159&amp;"",'NETWORK-DEVICES'!$B$3:$B$987&amp;"",'NETWORK-DEVICES'!$K$3:$K$987,""),"Peripheral",_xlfn.XLOOKUP($K159&amp;"",PERIPHERAL!$B$3:$B$954&amp;"",PERIPHERAL!$K$3:$K$954,""),"Utilities",_xlfn.XLOOKUP($K159&amp;"",UTILITIES!$B$3:$B$953&amp;"",UTILITIES!$J$3:$J$953,""),"IOT",_xlfn.XLOOKUP($K159&amp;"",IOT!$B$3:$B$1012&amp;"",IOT!$K$4:$K$1012,""),"Server",_xlfn.XLOOKUP($K159&amp;"",SERVER!$B$3:$B$1009&amp;"",SERVER!$K$3:$K$1009,""),""))))</f>
        <v/>
      </c>
      <c r="O159" s="1" t="str" cm="1">
        <f t="array" ref="O159">IF(OR($K159="",$I159="",$J159=""),"",_xlfn.LET(_xlpm.srcCat,_xlfn.SWITCH($I159,"Computer",_xlfn.XLOOKUP($K159&amp;"",COMPUTER!$B$3:$B$1009&amp;"",COMPUTER!$H$3:$H$1009,""),"Display",_xlfn.XLOOKUP($K159&amp;"",DISPLAY!$B$3:$B$1000&amp;"",DISPLAY!$H$3:$H$1000,""),"Network Device",_xlfn.XLOOKUP($K159&amp;"",'NETWORK-DEVICES'!$B$3:$B$987&amp;"",'NETWORK-DEVICES'!$H$3:$H$987,""),"Peripheral",_xlfn.XLOOKUP($K159&amp;"",PERIPHERAL!$B$3:$B$954&amp;"",PERIPHERAL!$H$3:$H$954,""),"Utilities",_xlfn.XLOOKUP($K159&amp;"",UTILITIES!$B$3:$B$953&amp;"",UTILITIES!$G$3:$G$953,""),"IOT",_xlfn.XLOOKUP($K159&amp;"",IOT!$B$3:$B$1012&amp;"",IOT!$H$3:$H$1012,""),"Server",_xlfn.XLOOKUP($K159&amp;"",SERVER!$B$3:$B$1009&amp;"",SERVER!$H$3:$H$1009,""),""),IF(TRIM(_xlpm.srcCat)&lt;&gt;TRIM($J159),"",_xlfn.SWITCH($I159,"Computer",_xlfn.XLOOKUP($K159&amp;"",COMPUTER!$B$3:$B$1009&amp;"",COMPUTER!$E$3:$E$1009,""),"Display",_xlfn.XLOOKUP($K159&amp;"",DISPLAY!$B$3:$B$1000&amp;"",DISPLAY!$E$3:$E$1000,""),"Network Device",_xlfn.XLOOKUP($K159&amp;"",'NETWORK-DEVICES'!$B$3:$B$987&amp;"",'NETWORK-DEVICES'!$E$3:$E$987,""),"Peripheral",_xlfn.XLOOKUP($K159&amp;"",PERIPHERAL!$B$3:$B$954&amp;"",PERIPHERAL!$E$3:$E$954,""),"Utilities",_xlfn.XLOOKUP($K159&amp;"",UTILITIES!$B$3:$B$953&amp;"",UTILITIES!$E$3:$E$953,""),"IOT",_xlfn.XLOOKUP($K159&amp;"",IOT!$B$3:$B$1012&amp;"",IOT!$E$3:$E$1012,""),"Server",_xlfn.XLOOKUP($K159&amp;"",SERVER!$B$3:$B$1009&amp;"",SERVER!$E$3:$E$1009,""),""))))</f>
        <v/>
      </c>
      <c r="Q159" s="1" t="str" cm="1">
        <f t="array" ref="Q159">IF(OR($K159="",$I159="",$J159=""),"",_xlfn.LET(_xlpm.srcCat,_xlfn.SWITCH($I159,"Computer",_xlfn.XLOOKUP($K159&amp;"",COMPUTER!$B$3:$B$1009&amp;"",COMPUTER!$H$3:$H$1009,""),"Display",_xlfn.XLOOKUP($K159&amp;"",DISPLAY!$B$3:$B$1000&amp;"",DISPLAY!$H$3:$H$1000,""),"Network Device",_xlfn.XLOOKUP($K159&amp;"",'NETWORK-DEVICES'!$B$3:$B$987&amp;"",'NETWORK-DEVICES'!$H$3:$H$987,""),"Peripheral",_xlfn.XLOOKUP($K159&amp;"",PERIPHERAL!$B$3:$B$954&amp;"",PERIPHERAL!$H$3:$H$954,""),"Utilities",_xlfn.XLOOKUP($K159&amp;"",UTILITIES!$B$3:$B$953&amp;"",UTILITIES!$G$3:$G$953,""),"IOT",_xlfn.XLOOKUP($K159&amp;"",IOT!$B$3:$B$1012&amp;"",IOT!$H$3:$H$1012,""),"Server",_xlfn.XLOOKUP($K159&amp;"",SERVER!$B$3:$B$1009&amp;"",SERVER!$H$3:$H$1009,""),""),IF(TRIM(_xlpm.srcCat)&lt;&gt;TRIM($J159),"",_xlfn.SWITCH($I159,"Computer",_xlfn.XLOOKUP($K159&amp;"",COMPUTER!$B$3:$B$1009&amp;"",COMPUTER!$AM$3:$AM$1009,""),"Display",_xlfn.XLOOKUP($K159&amp;"",DISPLAY!$B$3:$B$1000&amp;"",DISPLAY!$V$3:$V$1000,""),"Network Device",_xlfn.XLOOKUP($K159&amp;"",'NETWORK-DEVICES'!$B$3:$B$987&amp;"",'NETWORK-DEVICES'!$AF$3:$AF$987,""),"Peripheral",_xlfn.XLOOKUP($K159&amp;"",PERIPHERAL!$B$3:$B$954&amp;"",PERIPHERAL!$Y$3:$Y$954,""),"Utilities",_xlfn.XLOOKUP($K159&amp;"",UTILITIES!$B$3:$B$953&amp;"",UTILITIES!$O$3:$O$953,""),"IOT",_xlfn.XLOOKUP($K159&amp;"",IOT!$B$3:$B$1012&amp;"",IOT!$AB$3:$AB$1012,""),"Server",_xlfn.XLOOKUP($K159&amp;"",SERVER!$B$3:$B$1009&amp;"",SERVER!$AB$3:$AB$1009,""),""))))</f>
        <v/>
      </c>
      <c r="R159" s="43" t="str">
        <f>IF(tbl_handover[[#This Row],[Asset Code]]="","",COUNTIF(tbl_handover[Asset Code],tbl_handover[[#This Row],[Asset Code]]))</f>
        <v/>
      </c>
    </row>
    <row r="160" spans="1:18" x14ac:dyDescent="0.25">
      <c r="A160" s="43" t="str">
        <f>IF(B160&lt;&gt;"",SUBTOTAL(3,$B$1:B159),"")</f>
        <v/>
      </c>
      <c r="C160" s="74"/>
      <c r="D160" s="74"/>
      <c r="G160" s="1"/>
      <c r="K160" s="42"/>
      <c r="L160" t="str" cm="1">
        <f t="array" ref="L160">IF($K160="","",_xlfn.SWITCH($I160,"Computer",_xlfn.XLOOKUP($K160&amp;"",COMPUTER!$B$3:$B$1009&amp;"",COMPUTER!$I$3:$I$1009,""),"Display",_xlfn.XLOOKUP($K160&amp;"",DISPLAY!$B$3:$B$1000&amp;"",DISPLAY!$J$3:$J$1000,""),"Network Device",_xlfn.XLOOKUP($K160&amp;"",'NETWORK-DEVICES'!$B$3:$B$987&amp;"",'NETWORK-DEVICES'!$I$3:$I$987,""),"Peripheral",_xlfn.XLOOKUP($K160&amp;"",PERIPHERAL!$B$3:$B$954&amp;"",PERIPHERAL!$I$3:$I$954,""),"Utilities",_xlfn.XLOOKUP($K160&amp;"",UTILITIES!$B$3:$B$953&amp;"",UTILITIES!$H$3:$H$953,""),"IOT",_xlfn.XLOOKUP($K160&amp;"",IOT!$B$3:$B$1012&amp;"",IOT!$I$3:$I$1012,""),"SERVER",_xlfn.XLOOKUP($K160&amp;"",SERVER!$B$3:$B$1009&amp;"",SERVER!$I$3:$I$1009,""),""))</f>
        <v/>
      </c>
      <c r="M160" t="str" cm="1">
        <f t="array" ref="M160">IF($K160="","",_xlfn.SWITCH($I160,"Computer",_xlfn.XLOOKUP($K160&amp;"",COMPUTER!$B$3:$B$1009&amp;"",COMPUTER!$J$3:$J$1009,""),"Display",_xlfn.XLOOKUP($K160&amp;"",DISPLAY!$B$3:$B$1000&amp;"",DISPLAY!$K$3:$K$1000,""),"Network Device",_xlfn.XLOOKUP($K160&amp;"",'NETWORK-DEVICES'!$B$3:$B$987&amp;"",'NETWORK-DEVICES'!$I$3:$I$987,""),"Peripheral",_xlfn.XLOOKUP($K160&amp;"",PERIPHERAL!$B$3:$B$954&amp;"",PERIPHERAL!$J$3:$J$954,""),"Utilities",_xlfn.XLOOKUP($K160&amp;"",UTILITIES!$B$3:$B$953&amp;"",UTILITIES!$I$3:$I$953,""),"IOT",_xlfn.XLOOKUP($K160&amp;"",IOT!$B$3:$B$1012&amp;"",IOT!$J$3:$J$1012,""),"Server",_xlfn.XLOOKUP($K160&amp;"",SERVER!$B$3:$B$1009&amp;"",SERVER!$J$3:$J$1009,""),""))</f>
        <v/>
      </c>
      <c r="N160" s="1" t="str" cm="1">
        <f t="array" ref="N160">IF(OR($K160="",$I160="",$J160=""),"",_xlfn.LET(_xlpm.srcCat,_xlfn.SWITCH($I160,"Computer",_xlfn.XLOOKUP($K160&amp;"",COMPUTER!$B$3:$B$1009&amp;"",COMPUTER!$H$3:$H$1009,""),"Display",_xlfn.XLOOKUP($K160&amp;"",DISPLAY!$B$3:$B$1000&amp;"",DISPLAY!$H$3:$H$1000,""),"Network Device",_xlfn.XLOOKUP($K160&amp;"",'NETWORK-DEVICES'!$B$3:$B$987&amp;"",'NETWORK-DEVICES'!$H$3:$H$987,""),"Peripheral",_xlfn.XLOOKUP($K160&amp;"",PERIPHERAL!$B$3:$B$954&amp;"",PERIPHERAL!$H$3:$H$954,""),"Utilities",_xlfn.XLOOKUP($K160&amp;"",UTILITIES!$B$3:$B$953&amp;"",UTILITIES!$G$3:$G$953,""),"IOT",_xlfn.XLOOKUP($K160&amp;"",IOT!$B$3:$B$1012&amp;"",IOT!$H$3:$H$1012,""),"Server",_xlfn.XLOOKUP($K160&amp;"",SERVER!$B$3:$B$1009&amp;"",SERVER!$H$3:$H$1009,""),""),IF(TRIM(_xlpm.srcCat)&lt;&gt;TRIM($J160),"",_xlfn.SWITCH($I160,"Computer",_xlfn.XLOOKUP($K160&amp;"",COMPUTER!$B$3:$B$1009&amp;"",COMPUTER!$K$3:$K$1009,""),"Display",_xlfn.XLOOKUP($K160&amp;"",DISPLAY!$B$3:$B$1000&amp;"",DISPLAY!$L$3:$L$1000,""),"Network Device",_xlfn.XLOOKUP($K160&amp;"",'NETWORK-DEVICES'!$B$3:$B$987&amp;"",'NETWORK-DEVICES'!$K$3:$K$987,""),"Peripheral",_xlfn.XLOOKUP($K160&amp;"",PERIPHERAL!$B$3:$B$954&amp;"",PERIPHERAL!$K$3:$K$954,""),"Utilities",_xlfn.XLOOKUP($K160&amp;"",UTILITIES!$B$3:$B$953&amp;"",UTILITIES!$J$3:$J$953,""),"IOT",_xlfn.XLOOKUP($K160&amp;"",IOT!$B$3:$B$1012&amp;"",IOT!$K$4:$K$1012,""),"Server",_xlfn.XLOOKUP($K160&amp;"",SERVER!$B$3:$B$1009&amp;"",SERVER!$K$3:$K$1009,""),""))))</f>
        <v/>
      </c>
      <c r="O160" s="1" t="str" cm="1">
        <f t="array" ref="O160">IF(OR($K160="",$I160="",$J160=""),"",_xlfn.LET(_xlpm.srcCat,_xlfn.SWITCH($I160,"Computer",_xlfn.XLOOKUP($K160&amp;"",COMPUTER!$B$3:$B$1009&amp;"",COMPUTER!$H$3:$H$1009,""),"Display",_xlfn.XLOOKUP($K160&amp;"",DISPLAY!$B$3:$B$1000&amp;"",DISPLAY!$H$3:$H$1000,""),"Network Device",_xlfn.XLOOKUP($K160&amp;"",'NETWORK-DEVICES'!$B$3:$B$987&amp;"",'NETWORK-DEVICES'!$H$3:$H$987,""),"Peripheral",_xlfn.XLOOKUP($K160&amp;"",PERIPHERAL!$B$3:$B$954&amp;"",PERIPHERAL!$H$3:$H$954,""),"Utilities",_xlfn.XLOOKUP($K160&amp;"",UTILITIES!$B$3:$B$953&amp;"",UTILITIES!$G$3:$G$953,""),"IOT",_xlfn.XLOOKUP($K160&amp;"",IOT!$B$3:$B$1012&amp;"",IOT!$H$3:$H$1012,""),"Server",_xlfn.XLOOKUP($K160&amp;"",SERVER!$B$3:$B$1009&amp;"",SERVER!$H$3:$H$1009,""),""),IF(TRIM(_xlpm.srcCat)&lt;&gt;TRIM($J160),"",_xlfn.SWITCH($I160,"Computer",_xlfn.XLOOKUP($K160&amp;"",COMPUTER!$B$3:$B$1009&amp;"",COMPUTER!$E$3:$E$1009,""),"Display",_xlfn.XLOOKUP($K160&amp;"",DISPLAY!$B$3:$B$1000&amp;"",DISPLAY!$E$3:$E$1000,""),"Network Device",_xlfn.XLOOKUP($K160&amp;"",'NETWORK-DEVICES'!$B$3:$B$987&amp;"",'NETWORK-DEVICES'!$E$3:$E$987,""),"Peripheral",_xlfn.XLOOKUP($K160&amp;"",PERIPHERAL!$B$3:$B$954&amp;"",PERIPHERAL!$E$3:$E$954,""),"Utilities",_xlfn.XLOOKUP($K160&amp;"",UTILITIES!$B$3:$B$953&amp;"",UTILITIES!$E$3:$E$953,""),"IOT",_xlfn.XLOOKUP($K160&amp;"",IOT!$B$3:$B$1012&amp;"",IOT!$E$3:$E$1012,""),"Server",_xlfn.XLOOKUP($K160&amp;"",SERVER!$B$3:$B$1009&amp;"",SERVER!$E$3:$E$1009,""),""))))</f>
        <v/>
      </c>
      <c r="Q160" s="1" t="str" cm="1">
        <f t="array" ref="Q160">IF(OR($K160="",$I160="",$J160=""),"",_xlfn.LET(_xlpm.srcCat,_xlfn.SWITCH($I160,"Computer",_xlfn.XLOOKUP($K160&amp;"",COMPUTER!$B$3:$B$1009&amp;"",COMPUTER!$H$3:$H$1009,""),"Display",_xlfn.XLOOKUP($K160&amp;"",DISPLAY!$B$3:$B$1000&amp;"",DISPLAY!$H$3:$H$1000,""),"Network Device",_xlfn.XLOOKUP($K160&amp;"",'NETWORK-DEVICES'!$B$3:$B$987&amp;"",'NETWORK-DEVICES'!$H$3:$H$987,""),"Peripheral",_xlfn.XLOOKUP($K160&amp;"",PERIPHERAL!$B$3:$B$954&amp;"",PERIPHERAL!$H$3:$H$954,""),"Utilities",_xlfn.XLOOKUP($K160&amp;"",UTILITIES!$B$3:$B$953&amp;"",UTILITIES!$G$3:$G$953,""),"IOT",_xlfn.XLOOKUP($K160&amp;"",IOT!$B$3:$B$1012&amp;"",IOT!$H$3:$H$1012,""),"Server",_xlfn.XLOOKUP($K160&amp;"",SERVER!$B$3:$B$1009&amp;"",SERVER!$H$3:$H$1009,""),""),IF(TRIM(_xlpm.srcCat)&lt;&gt;TRIM($J160),"",_xlfn.SWITCH($I160,"Computer",_xlfn.XLOOKUP($K160&amp;"",COMPUTER!$B$3:$B$1009&amp;"",COMPUTER!$AM$3:$AM$1009,""),"Display",_xlfn.XLOOKUP($K160&amp;"",DISPLAY!$B$3:$B$1000&amp;"",DISPLAY!$V$3:$V$1000,""),"Network Device",_xlfn.XLOOKUP($K160&amp;"",'NETWORK-DEVICES'!$B$3:$B$987&amp;"",'NETWORK-DEVICES'!$AF$3:$AF$987,""),"Peripheral",_xlfn.XLOOKUP($K160&amp;"",PERIPHERAL!$B$3:$B$954&amp;"",PERIPHERAL!$Y$3:$Y$954,""),"Utilities",_xlfn.XLOOKUP($K160&amp;"",UTILITIES!$B$3:$B$953&amp;"",UTILITIES!$O$3:$O$953,""),"IOT",_xlfn.XLOOKUP($K160&amp;"",IOT!$B$3:$B$1012&amp;"",IOT!$AB$3:$AB$1012,""),"Server",_xlfn.XLOOKUP($K160&amp;"",SERVER!$B$3:$B$1009&amp;"",SERVER!$AB$3:$AB$1009,""),""))))</f>
        <v/>
      </c>
      <c r="R160" s="43" t="str">
        <f>IF(tbl_handover[[#This Row],[Asset Code]]="","",COUNTIF(tbl_handover[Asset Code],tbl_handover[[#This Row],[Asset Code]]))</f>
        <v/>
      </c>
    </row>
    <row r="161" spans="1:18" x14ac:dyDescent="0.25">
      <c r="A161" s="43" t="str">
        <f>IF(B161&lt;&gt;"",SUBTOTAL(3,$B$1:B160),"")</f>
        <v/>
      </c>
      <c r="C161" s="74"/>
      <c r="D161" s="74"/>
      <c r="G161" s="1"/>
      <c r="K161" s="42"/>
      <c r="L161" t="str" cm="1">
        <f t="array" ref="L161">IF($K161="","",_xlfn.SWITCH($I161,"Computer",_xlfn.XLOOKUP($K161&amp;"",COMPUTER!$B$3:$B$1009&amp;"",COMPUTER!$I$3:$I$1009,""),"Display",_xlfn.XLOOKUP($K161&amp;"",DISPLAY!$B$3:$B$1000&amp;"",DISPLAY!$J$3:$J$1000,""),"Network Device",_xlfn.XLOOKUP($K161&amp;"",'NETWORK-DEVICES'!$B$3:$B$987&amp;"",'NETWORK-DEVICES'!$I$3:$I$987,""),"Peripheral",_xlfn.XLOOKUP($K161&amp;"",PERIPHERAL!$B$3:$B$954&amp;"",PERIPHERAL!$I$3:$I$954,""),"Utilities",_xlfn.XLOOKUP($K161&amp;"",UTILITIES!$B$3:$B$953&amp;"",UTILITIES!$H$3:$H$953,""),"IOT",_xlfn.XLOOKUP($K161&amp;"",IOT!$B$3:$B$1012&amp;"",IOT!$I$3:$I$1012,""),"SERVER",_xlfn.XLOOKUP($K161&amp;"",SERVER!$B$3:$B$1009&amp;"",SERVER!$I$3:$I$1009,""),""))</f>
        <v/>
      </c>
      <c r="M161" t="str" cm="1">
        <f t="array" ref="M161">IF($K161="","",_xlfn.SWITCH($I161,"Computer",_xlfn.XLOOKUP($K161&amp;"",COMPUTER!$B$3:$B$1009&amp;"",COMPUTER!$J$3:$J$1009,""),"Display",_xlfn.XLOOKUP($K161&amp;"",DISPLAY!$B$3:$B$1000&amp;"",DISPLAY!$K$3:$K$1000,""),"Network Device",_xlfn.XLOOKUP($K161&amp;"",'NETWORK-DEVICES'!$B$3:$B$987&amp;"",'NETWORK-DEVICES'!$I$3:$I$987,""),"Peripheral",_xlfn.XLOOKUP($K161&amp;"",PERIPHERAL!$B$3:$B$954&amp;"",PERIPHERAL!$J$3:$J$954,""),"Utilities",_xlfn.XLOOKUP($K161&amp;"",UTILITIES!$B$3:$B$953&amp;"",UTILITIES!$I$3:$I$953,""),"IOT",_xlfn.XLOOKUP($K161&amp;"",IOT!$B$3:$B$1012&amp;"",IOT!$J$3:$J$1012,""),"Server",_xlfn.XLOOKUP($K161&amp;"",SERVER!$B$3:$B$1009&amp;"",SERVER!$J$3:$J$1009,""),""))</f>
        <v/>
      </c>
      <c r="N161" s="1" t="str" cm="1">
        <f t="array" ref="N161">IF(OR($K161="",$I161="",$J161=""),"",_xlfn.LET(_xlpm.srcCat,_xlfn.SWITCH($I161,"Computer",_xlfn.XLOOKUP($K161&amp;"",COMPUTER!$B$3:$B$1009&amp;"",COMPUTER!$H$3:$H$1009,""),"Display",_xlfn.XLOOKUP($K161&amp;"",DISPLAY!$B$3:$B$1000&amp;"",DISPLAY!$H$3:$H$1000,""),"Network Device",_xlfn.XLOOKUP($K161&amp;"",'NETWORK-DEVICES'!$B$3:$B$987&amp;"",'NETWORK-DEVICES'!$H$3:$H$987,""),"Peripheral",_xlfn.XLOOKUP($K161&amp;"",PERIPHERAL!$B$3:$B$954&amp;"",PERIPHERAL!$H$3:$H$954,""),"Utilities",_xlfn.XLOOKUP($K161&amp;"",UTILITIES!$B$3:$B$953&amp;"",UTILITIES!$G$3:$G$953,""),"IOT",_xlfn.XLOOKUP($K161&amp;"",IOT!$B$3:$B$1012&amp;"",IOT!$H$3:$H$1012,""),"Server",_xlfn.XLOOKUP($K161&amp;"",SERVER!$B$3:$B$1009&amp;"",SERVER!$H$3:$H$1009,""),""),IF(TRIM(_xlpm.srcCat)&lt;&gt;TRIM($J161),"",_xlfn.SWITCH($I161,"Computer",_xlfn.XLOOKUP($K161&amp;"",COMPUTER!$B$3:$B$1009&amp;"",COMPUTER!$K$3:$K$1009,""),"Display",_xlfn.XLOOKUP($K161&amp;"",DISPLAY!$B$3:$B$1000&amp;"",DISPLAY!$L$3:$L$1000,""),"Network Device",_xlfn.XLOOKUP($K161&amp;"",'NETWORK-DEVICES'!$B$3:$B$987&amp;"",'NETWORK-DEVICES'!$K$3:$K$987,""),"Peripheral",_xlfn.XLOOKUP($K161&amp;"",PERIPHERAL!$B$3:$B$954&amp;"",PERIPHERAL!$K$3:$K$954,""),"Utilities",_xlfn.XLOOKUP($K161&amp;"",UTILITIES!$B$3:$B$953&amp;"",UTILITIES!$J$3:$J$953,""),"IOT",_xlfn.XLOOKUP($K161&amp;"",IOT!$B$3:$B$1012&amp;"",IOT!$K$4:$K$1012,""),"Server",_xlfn.XLOOKUP($K161&amp;"",SERVER!$B$3:$B$1009&amp;"",SERVER!$K$3:$K$1009,""),""))))</f>
        <v/>
      </c>
      <c r="O161" s="1" t="str" cm="1">
        <f t="array" ref="O161">IF(OR($K161="",$I161="",$J161=""),"",_xlfn.LET(_xlpm.srcCat,_xlfn.SWITCH($I161,"Computer",_xlfn.XLOOKUP($K161&amp;"",COMPUTER!$B$3:$B$1009&amp;"",COMPUTER!$H$3:$H$1009,""),"Display",_xlfn.XLOOKUP($K161&amp;"",DISPLAY!$B$3:$B$1000&amp;"",DISPLAY!$H$3:$H$1000,""),"Network Device",_xlfn.XLOOKUP($K161&amp;"",'NETWORK-DEVICES'!$B$3:$B$987&amp;"",'NETWORK-DEVICES'!$H$3:$H$987,""),"Peripheral",_xlfn.XLOOKUP($K161&amp;"",PERIPHERAL!$B$3:$B$954&amp;"",PERIPHERAL!$H$3:$H$954,""),"Utilities",_xlfn.XLOOKUP($K161&amp;"",UTILITIES!$B$3:$B$953&amp;"",UTILITIES!$G$3:$G$953,""),"IOT",_xlfn.XLOOKUP($K161&amp;"",IOT!$B$3:$B$1012&amp;"",IOT!$H$3:$H$1012,""),"Server",_xlfn.XLOOKUP($K161&amp;"",SERVER!$B$3:$B$1009&amp;"",SERVER!$H$3:$H$1009,""),""),IF(TRIM(_xlpm.srcCat)&lt;&gt;TRIM($J161),"",_xlfn.SWITCH($I161,"Computer",_xlfn.XLOOKUP($K161&amp;"",COMPUTER!$B$3:$B$1009&amp;"",COMPUTER!$E$3:$E$1009,""),"Display",_xlfn.XLOOKUP($K161&amp;"",DISPLAY!$B$3:$B$1000&amp;"",DISPLAY!$E$3:$E$1000,""),"Network Device",_xlfn.XLOOKUP($K161&amp;"",'NETWORK-DEVICES'!$B$3:$B$987&amp;"",'NETWORK-DEVICES'!$E$3:$E$987,""),"Peripheral",_xlfn.XLOOKUP($K161&amp;"",PERIPHERAL!$B$3:$B$954&amp;"",PERIPHERAL!$E$3:$E$954,""),"Utilities",_xlfn.XLOOKUP($K161&amp;"",UTILITIES!$B$3:$B$953&amp;"",UTILITIES!$E$3:$E$953,""),"IOT",_xlfn.XLOOKUP($K161&amp;"",IOT!$B$3:$B$1012&amp;"",IOT!$E$3:$E$1012,""),"Server",_xlfn.XLOOKUP($K161&amp;"",SERVER!$B$3:$B$1009&amp;"",SERVER!$E$3:$E$1009,""),""))))</f>
        <v/>
      </c>
      <c r="Q161" s="1" t="str" cm="1">
        <f t="array" ref="Q161">IF(OR($K161="",$I161="",$J161=""),"",_xlfn.LET(_xlpm.srcCat,_xlfn.SWITCH($I161,"Computer",_xlfn.XLOOKUP($K161&amp;"",COMPUTER!$B$3:$B$1009&amp;"",COMPUTER!$H$3:$H$1009,""),"Display",_xlfn.XLOOKUP($K161&amp;"",DISPLAY!$B$3:$B$1000&amp;"",DISPLAY!$H$3:$H$1000,""),"Network Device",_xlfn.XLOOKUP($K161&amp;"",'NETWORK-DEVICES'!$B$3:$B$987&amp;"",'NETWORK-DEVICES'!$H$3:$H$987,""),"Peripheral",_xlfn.XLOOKUP($K161&amp;"",PERIPHERAL!$B$3:$B$954&amp;"",PERIPHERAL!$H$3:$H$954,""),"Utilities",_xlfn.XLOOKUP($K161&amp;"",UTILITIES!$B$3:$B$953&amp;"",UTILITIES!$G$3:$G$953,""),"IOT",_xlfn.XLOOKUP($K161&amp;"",IOT!$B$3:$B$1012&amp;"",IOT!$H$3:$H$1012,""),"Server",_xlfn.XLOOKUP($K161&amp;"",SERVER!$B$3:$B$1009&amp;"",SERVER!$H$3:$H$1009,""),""),IF(TRIM(_xlpm.srcCat)&lt;&gt;TRIM($J161),"",_xlfn.SWITCH($I161,"Computer",_xlfn.XLOOKUP($K161&amp;"",COMPUTER!$B$3:$B$1009&amp;"",COMPUTER!$AM$3:$AM$1009,""),"Display",_xlfn.XLOOKUP($K161&amp;"",DISPLAY!$B$3:$B$1000&amp;"",DISPLAY!$V$3:$V$1000,""),"Network Device",_xlfn.XLOOKUP($K161&amp;"",'NETWORK-DEVICES'!$B$3:$B$987&amp;"",'NETWORK-DEVICES'!$AF$3:$AF$987,""),"Peripheral",_xlfn.XLOOKUP($K161&amp;"",PERIPHERAL!$B$3:$B$954&amp;"",PERIPHERAL!$Y$3:$Y$954,""),"Utilities",_xlfn.XLOOKUP($K161&amp;"",UTILITIES!$B$3:$B$953&amp;"",UTILITIES!$O$3:$O$953,""),"IOT",_xlfn.XLOOKUP($K161&amp;"",IOT!$B$3:$B$1012&amp;"",IOT!$AB$3:$AB$1012,""),"Server",_xlfn.XLOOKUP($K161&amp;"",SERVER!$B$3:$B$1009&amp;"",SERVER!$AB$3:$AB$1009,""),""))))</f>
        <v/>
      </c>
      <c r="R161" s="43" t="str">
        <f>IF(tbl_handover[[#This Row],[Asset Code]]="","",COUNTIF(tbl_handover[Asset Code],tbl_handover[[#This Row],[Asset Code]]))</f>
        <v/>
      </c>
    </row>
    <row r="162" spans="1:18" x14ac:dyDescent="0.25">
      <c r="A162" s="43" t="str">
        <f>IF(B162&lt;&gt;"",SUBTOTAL(3,$B$1:B161),"")</f>
        <v/>
      </c>
      <c r="C162" s="74"/>
      <c r="D162" s="74"/>
      <c r="G162" s="1"/>
      <c r="K162" s="42"/>
      <c r="L162" t="str" cm="1">
        <f t="array" ref="L162">IF($K162="","",_xlfn.SWITCH($I162,"Computer",_xlfn.XLOOKUP($K162&amp;"",COMPUTER!$B$3:$B$1009&amp;"",COMPUTER!$I$3:$I$1009,""),"Display",_xlfn.XLOOKUP($K162&amp;"",DISPLAY!$B$3:$B$1000&amp;"",DISPLAY!$J$3:$J$1000,""),"Network Device",_xlfn.XLOOKUP($K162&amp;"",'NETWORK-DEVICES'!$B$3:$B$987&amp;"",'NETWORK-DEVICES'!$I$3:$I$987,""),"Peripheral",_xlfn.XLOOKUP($K162&amp;"",PERIPHERAL!$B$3:$B$954&amp;"",PERIPHERAL!$I$3:$I$954,""),"Utilities",_xlfn.XLOOKUP($K162&amp;"",UTILITIES!$B$3:$B$953&amp;"",UTILITIES!$H$3:$H$953,""),"IOT",_xlfn.XLOOKUP($K162&amp;"",IOT!$B$3:$B$1012&amp;"",IOT!$I$3:$I$1012,""),"SERVER",_xlfn.XLOOKUP($K162&amp;"",SERVER!$B$3:$B$1009&amp;"",SERVER!$I$3:$I$1009,""),""))</f>
        <v/>
      </c>
      <c r="M162" t="str" cm="1">
        <f t="array" ref="M162">IF($K162="","",_xlfn.SWITCH($I162,"Computer",_xlfn.XLOOKUP($K162&amp;"",COMPUTER!$B$3:$B$1009&amp;"",COMPUTER!$J$3:$J$1009,""),"Display",_xlfn.XLOOKUP($K162&amp;"",DISPLAY!$B$3:$B$1000&amp;"",DISPLAY!$K$3:$K$1000,""),"Network Device",_xlfn.XLOOKUP($K162&amp;"",'NETWORK-DEVICES'!$B$3:$B$987&amp;"",'NETWORK-DEVICES'!$I$3:$I$987,""),"Peripheral",_xlfn.XLOOKUP($K162&amp;"",PERIPHERAL!$B$3:$B$954&amp;"",PERIPHERAL!$J$3:$J$954,""),"Utilities",_xlfn.XLOOKUP($K162&amp;"",UTILITIES!$B$3:$B$953&amp;"",UTILITIES!$I$3:$I$953,""),"IOT",_xlfn.XLOOKUP($K162&amp;"",IOT!$B$3:$B$1012&amp;"",IOT!$J$3:$J$1012,""),"Server",_xlfn.XLOOKUP($K162&amp;"",SERVER!$B$3:$B$1009&amp;"",SERVER!$J$3:$J$1009,""),""))</f>
        <v/>
      </c>
      <c r="N162" s="1" t="str" cm="1">
        <f t="array" ref="N162">IF(OR($K162="",$I162="",$J162=""),"",_xlfn.LET(_xlpm.srcCat,_xlfn.SWITCH($I162,"Computer",_xlfn.XLOOKUP($K162&amp;"",COMPUTER!$B$3:$B$1009&amp;"",COMPUTER!$H$3:$H$1009,""),"Display",_xlfn.XLOOKUP($K162&amp;"",DISPLAY!$B$3:$B$1000&amp;"",DISPLAY!$H$3:$H$1000,""),"Network Device",_xlfn.XLOOKUP($K162&amp;"",'NETWORK-DEVICES'!$B$3:$B$987&amp;"",'NETWORK-DEVICES'!$H$3:$H$987,""),"Peripheral",_xlfn.XLOOKUP($K162&amp;"",PERIPHERAL!$B$3:$B$954&amp;"",PERIPHERAL!$H$3:$H$954,""),"Utilities",_xlfn.XLOOKUP($K162&amp;"",UTILITIES!$B$3:$B$953&amp;"",UTILITIES!$G$3:$G$953,""),"IOT",_xlfn.XLOOKUP($K162&amp;"",IOT!$B$3:$B$1012&amp;"",IOT!$H$3:$H$1012,""),"Server",_xlfn.XLOOKUP($K162&amp;"",SERVER!$B$3:$B$1009&amp;"",SERVER!$H$3:$H$1009,""),""),IF(TRIM(_xlpm.srcCat)&lt;&gt;TRIM($J162),"",_xlfn.SWITCH($I162,"Computer",_xlfn.XLOOKUP($K162&amp;"",COMPUTER!$B$3:$B$1009&amp;"",COMPUTER!$K$3:$K$1009,""),"Display",_xlfn.XLOOKUP($K162&amp;"",DISPLAY!$B$3:$B$1000&amp;"",DISPLAY!$L$3:$L$1000,""),"Network Device",_xlfn.XLOOKUP($K162&amp;"",'NETWORK-DEVICES'!$B$3:$B$987&amp;"",'NETWORK-DEVICES'!$K$3:$K$987,""),"Peripheral",_xlfn.XLOOKUP($K162&amp;"",PERIPHERAL!$B$3:$B$954&amp;"",PERIPHERAL!$K$3:$K$954,""),"Utilities",_xlfn.XLOOKUP($K162&amp;"",UTILITIES!$B$3:$B$953&amp;"",UTILITIES!$J$3:$J$953,""),"IOT",_xlfn.XLOOKUP($K162&amp;"",IOT!$B$3:$B$1012&amp;"",IOT!$K$4:$K$1012,""),"Server",_xlfn.XLOOKUP($K162&amp;"",SERVER!$B$3:$B$1009&amp;"",SERVER!$K$3:$K$1009,""),""))))</f>
        <v/>
      </c>
      <c r="O162" s="1" t="str" cm="1">
        <f t="array" ref="O162">IF(OR($K162="",$I162="",$J162=""),"",_xlfn.LET(_xlpm.srcCat,_xlfn.SWITCH($I162,"Computer",_xlfn.XLOOKUP($K162&amp;"",COMPUTER!$B$3:$B$1009&amp;"",COMPUTER!$H$3:$H$1009,""),"Display",_xlfn.XLOOKUP($K162&amp;"",DISPLAY!$B$3:$B$1000&amp;"",DISPLAY!$H$3:$H$1000,""),"Network Device",_xlfn.XLOOKUP($K162&amp;"",'NETWORK-DEVICES'!$B$3:$B$987&amp;"",'NETWORK-DEVICES'!$H$3:$H$987,""),"Peripheral",_xlfn.XLOOKUP($K162&amp;"",PERIPHERAL!$B$3:$B$954&amp;"",PERIPHERAL!$H$3:$H$954,""),"Utilities",_xlfn.XLOOKUP($K162&amp;"",UTILITIES!$B$3:$B$953&amp;"",UTILITIES!$G$3:$G$953,""),"IOT",_xlfn.XLOOKUP($K162&amp;"",IOT!$B$3:$B$1012&amp;"",IOT!$H$3:$H$1012,""),"Server",_xlfn.XLOOKUP($K162&amp;"",SERVER!$B$3:$B$1009&amp;"",SERVER!$H$3:$H$1009,""),""),IF(TRIM(_xlpm.srcCat)&lt;&gt;TRIM($J162),"",_xlfn.SWITCH($I162,"Computer",_xlfn.XLOOKUP($K162&amp;"",COMPUTER!$B$3:$B$1009&amp;"",COMPUTER!$E$3:$E$1009,""),"Display",_xlfn.XLOOKUP($K162&amp;"",DISPLAY!$B$3:$B$1000&amp;"",DISPLAY!$E$3:$E$1000,""),"Network Device",_xlfn.XLOOKUP($K162&amp;"",'NETWORK-DEVICES'!$B$3:$B$987&amp;"",'NETWORK-DEVICES'!$E$3:$E$987,""),"Peripheral",_xlfn.XLOOKUP($K162&amp;"",PERIPHERAL!$B$3:$B$954&amp;"",PERIPHERAL!$E$3:$E$954,""),"Utilities",_xlfn.XLOOKUP($K162&amp;"",UTILITIES!$B$3:$B$953&amp;"",UTILITIES!$E$3:$E$953,""),"IOT",_xlfn.XLOOKUP($K162&amp;"",IOT!$B$3:$B$1012&amp;"",IOT!$E$3:$E$1012,""),"Server",_xlfn.XLOOKUP($K162&amp;"",SERVER!$B$3:$B$1009&amp;"",SERVER!$E$3:$E$1009,""),""))))</f>
        <v/>
      </c>
      <c r="Q162" s="1" t="str" cm="1">
        <f t="array" ref="Q162">IF(OR($K162="",$I162="",$J162=""),"",_xlfn.LET(_xlpm.srcCat,_xlfn.SWITCH($I162,"Computer",_xlfn.XLOOKUP($K162&amp;"",COMPUTER!$B$3:$B$1009&amp;"",COMPUTER!$H$3:$H$1009,""),"Display",_xlfn.XLOOKUP($K162&amp;"",DISPLAY!$B$3:$B$1000&amp;"",DISPLAY!$H$3:$H$1000,""),"Network Device",_xlfn.XLOOKUP($K162&amp;"",'NETWORK-DEVICES'!$B$3:$B$987&amp;"",'NETWORK-DEVICES'!$H$3:$H$987,""),"Peripheral",_xlfn.XLOOKUP($K162&amp;"",PERIPHERAL!$B$3:$B$954&amp;"",PERIPHERAL!$H$3:$H$954,""),"Utilities",_xlfn.XLOOKUP($K162&amp;"",UTILITIES!$B$3:$B$953&amp;"",UTILITIES!$G$3:$G$953,""),"IOT",_xlfn.XLOOKUP($K162&amp;"",IOT!$B$3:$B$1012&amp;"",IOT!$H$3:$H$1012,""),"Server",_xlfn.XLOOKUP($K162&amp;"",SERVER!$B$3:$B$1009&amp;"",SERVER!$H$3:$H$1009,""),""),IF(TRIM(_xlpm.srcCat)&lt;&gt;TRIM($J162),"",_xlfn.SWITCH($I162,"Computer",_xlfn.XLOOKUP($K162&amp;"",COMPUTER!$B$3:$B$1009&amp;"",COMPUTER!$AM$3:$AM$1009,""),"Display",_xlfn.XLOOKUP($K162&amp;"",DISPLAY!$B$3:$B$1000&amp;"",DISPLAY!$V$3:$V$1000,""),"Network Device",_xlfn.XLOOKUP($K162&amp;"",'NETWORK-DEVICES'!$B$3:$B$987&amp;"",'NETWORK-DEVICES'!$AF$3:$AF$987,""),"Peripheral",_xlfn.XLOOKUP($K162&amp;"",PERIPHERAL!$B$3:$B$954&amp;"",PERIPHERAL!$Y$3:$Y$954,""),"Utilities",_xlfn.XLOOKUP($K162&amp;"",UTILITIES!$B$3:$B$953&amp;"",UTILITIES!$O$3:$O$953,""),"IOT",_xlfn.XLOOKUP($K162&amp;"",IOT!$B$3:$B$1012&amp;"",IOT!$AB$3:$AB$1012,""),"Server",_xlfn.XLOOKUP($K162&amp;"",SERVER!$B$3:$B$1009&amp;"",SERVER!$AB$3:$AB$1009,""),""))))</f>
        <v/>
      </c>
      <c r="R162" s="43" t="str">
        <f>IF(tbl_handover[[#This Row],[Asset Code]]="","",COUNTIF(tbl_handover[Asset Code],tbl_handover[[#This Row],[Asset Code]]))</f>
        <v/>
      </c>
    </row>
    <row r="163" spans="1:18" x14ac:dyDescent="0.25">
      <c r="A163" s="43" t="str">
        <f>IF(B163&lt;&gt;"",SUBTOTAL(3,$B$1:B162),"")</f>
        <v/>
      </c>
      <c r="C163" s="74"/>
      <c r="D163" s="74"/>
      <c r="G163" s="1"/>
      <c r="K163" s="42"/>
      <c r="L163" t="str" cm="1">
        <f t="array" ref="L163">IF($K163="","",_xlfn.SWITCH($I163,"Computer",_xlfn.XLOOKUP($K163&amp;"",COMPUTER!$B$3:$B$1009&amp;"",COMPUTER!$I$3:$I$1009,""),"Display",_xlfn.XLOOKUP($K163&amp;"",DISPLAY!$B$3:$B$1000&amp;"",DISPLAY!$J$3:$J$1000,""),"Network Device",_xlfn.XLOOKUP($K163&amp;"",'NETWORK-DEVICES'!$B$3:$B$987&amp;"",'NETWORK-DEVICES'!$I$3:$I$987,""),"Peripheral",_xlfn.XLOOKUP($K163&amp;"",PERIPHERAL!$B$3:$B$954&amp;"",PERIPHERAL!$I$3:$I$954,""),"Utilities",_xlfn.XLOOKUP($K163&amp;"",UTILITIES!$B$3:$B$953&amp;"",UTILITIES!$H$3:$H$953,""),"IOT",_xlfn.XLOOKUP($K163&amp;"",IOT!$B$3:$B$1012&amp;"",IOT!$I$3:$I$1012,""),"SERVER",_xlfn.XLOOKUP($K163&amp;"",SERVER!$B$3:$B$1009&amp;"",SERVER!$I$3:$I$1009,""),""))</f>
        <v/>
      </c>
      <c r="M163" t="str" cm="1">
        <f t="array" ref="M163">IF($K163="","",_xlfn.SWITCH($I163,"Computer",_xlfn.XLOOKUP($K163&amp;"",COMPUTER!$B$3:$B$1009&amp;"",COMPUTER!$J$3:$J$1009,""),"Display",_xlfn.XLOOKUP($K163&amp;"",DISPLAY!$B$3:$B$1000&amp;"",DISPLAY!$K$3:$K$1000,""),"Network Device",_xlfn.XLOOKUP($K163&amp;"",'NETWORK-DEVICES'!$B$3:$B$987&amp;"",'NETWORK-DEVICES'!$I$3:$I$987,""),"Peripheral",_xlfn.XLOOKUP($K163&amp;"",PERIPHERAL!$B$3:$B$954&amp;"",PERIPHERAL!$J$3:$J$954,""),"Utilities",_xlfn.XLOOKUP($K163&amp;"",UTILITIES!$B$3:$B$953&amp;"",UTILITIES!$I$3:$I$953,""),"IOT",_xlfn.XLOOKUP($K163&amp;"",IOT!$B$3:$B$1012&amp;"",IOT!$J$3:$J$1012,""),"Server",_xlfn.XLOOKUP($K163&amp;"",SERVER!$B$3:$B$1009&amp;"",SERVER!$J$3:$J$1009,""),""))</f>
        <v/>
      </c>
      <c r="N163" s="1" t="str" cm="1">
        <f t="array" ref="N163">IF(OR($K163="",$I163="",$J163=""),"",_xlfn.LET(_xlpm.srcCat,_xlfn.SWITCH($I163,"Computer",_xlfn.XLOOKUP($K163&amp;"",COMPUTER!$B$3:$B$1009&amp;"",COMPUTER!$H$3:$H$1009,""),"Display",_xlfn.XLOOKUP($K163&amp;"",DISPLAY!$B$3:$B$1000&amp;"",DISPLAY!$H$3:$H$1000,""),"Network Device",_xlfn.XLOOKUP($K163&amp;"",'NETWORK-DEVICES'!$B$3:$B$987&amp;"",'NETWORK-DEVICES'!$H$3:$H$987,""),"Peripheral",_xlfn.XLOOKUP($K163&amp;"",PERIPHERAL!$B$3:$B$954&amp;"",PERIPHERAL!$H$3:$H$954,""),"Utilities",_xlfn.XLOOKUP($K163&amp;"",UTILITIES!$B$3:$B$953&amp;"",UTILITIES!$G$3:$G$953,""),"IOT",_xlfn.XLOOKUP($K163&amp;"",IOT!$B$3:$B$1012&amp;"",IOT!$H$3:$H$1012,""),"Server",_xlfn.XLOOKUP($K163&amp;"",SERVER!$B$3:$B$1009&amp;"",SERVER!$H$3:$H$1009,""),""),IF(TRIM(_xlpm.srcCat)&lt;&gt;TRIM($J163),"",_xlfn.SWITCH($I163,"Computer",_xlfn.XLOOKUP($K163&amp;"",COMPUTER!$B$3:$B$1009&amp;"",COMPUTER!$K$3:$K$1009,""),"Display",_xlfn.XLOOKUP($K163&amp;"",DISPLAY!$B$3:$B$1000&amp;"",DISPLAY!$L$3:$L$1000,""),"Network Device",_xlfn.XLOOKUP($K163&amp;"",'NETWORK-DEVICES'!$B$3:$B$987&amp;"",'NETWORK-DEVICES'!$K$3:$K$987,""),"Peripheral",_xlfn.XLOOKUP($K163&amp;"",PERIPHERAL!$B$3:$B$954&amp;"",PERIPHERAL!$K$3:$K$954,""),"Utilities",_xlfn.XLOOKUP($K163&amp;"",UTILITIES!$B$3:$B$953&amp;"",UTILITIES!$J$3:$J$953,""),"IOT",_xlfn.XLOOKUP($K163&amp;"",IOT!$B$3:$B$1012&amp;"",IOT!$K$4:$K$1012,""),"Server",_xlfn.XLOOKUP($K163&amp;"",SERVER!$B$3:$B$1009&amp;"",SERVER!$K$3:$K$1009,""),""))))</f>
        <v/>
      </c>
      <c r="O163" s="1" t="str" cm="1">
        <f t="array" ref="O163">IF(OR($K163="",$I163="",$J163=""),"",_xlfn.LET(_xlpm.srcCat,_xlfn.SWITCH($I163,"Computer",_xlfn.XLOOKUP($K163&amp;"",COMPUTER!$B$3:$B$1009&amp;"",COMPUTER!$H$3:$H$1009,""),"Display",_xlfn.XLOOKUP($K163&amp;"",DISPLAY!$B$3:$B$1000&amp;"",DISPLAY!$H$3:$H$1000,""),"Network Device",_xlfn.XLOOKUP($K163&amp;"",'NETWORK-DEVICES'!$B$3:$B$987&amp;"",'NETWORK-DEVICES'!$H$3:$H$987,""),"Peripheral",_xlfn.XLOOKUP($K163&amp;"",PERIPHERAL!$B$3:$B$954&amp;"",PERIPHERAL!$H$3:$H$954,""),"Utilities",_xlfn.XLOOKUP($K163&amp;"",UTILITIES!$B$3:$B$953&amp;"",UTILITIES!$G$3:$G$953,""),"IOT",_xlfn.XLOOKUP($K163&amp;"",IOT!$B$3:$B$1012&amp;"",IOT!$H$3:$H$1012,""),"Server",_xlfn.XLOOKUP($K163&amp;"",SERVER!$B$3:$B$1009&amp;"",SERVER!$H$3:$H$1009,""),""),IF(TRIM(_xlpm.srcCat)&lt;&gt;TRIM($J163),"",_xlfn.SWITCH($I163,"Computer",_xlfn.XLOOKUP($K163&amp;"",COMPUTER!$B$3:$B$1009&amp;"",COMPUTER!$E$3:$E$1009,""),"Display",_xlfn.XLOOKUP($K163&amp;"",DISPLAY!$B$3:$B$1000&amp;"",DISPLAY!$E$3:$E$1000,""),"Network Device",_xlfn.XLOOKUP($K163&amp;"",'NETWORK-DEVICES'!$B$3:$B$987&amp;"",'NETWORK-DEVICES'!$E$3:$E$987,""),"Peripheral",_xlfn.XLOOKUP($K163&amp;"",PERIPHERAL!$B$3:$B$954&amp;"",PERIPHERAL!$E$3:$E$954,""),"Utilities",_xlfn.XLOOKUP($K163&amp;"",UTILITIES!$B$3:$B$953&amp;"",UTILITIES!$E$3:$E$953,""),"IOT",_xlfn.XLOOKUP($K163&amp;"",IOT!$B$3:$B$1012&amp;"",IOT!$E$3:$E$1012,""),"Server",_xlfn.XLOOKUP($K163&amp;"",SERVER!$B$3:$B$1009&amp;"",SERVER!$E$3:$E$1009,""),""))))</f>
        <v/>
      </c>
      <c r="Q163" s="1" t="str" cm="1">
        <f t="array" ref="Q163">IF(OR($K163="",$I163="",$J163=""),"",_xlfn.LET(_xlpm.srcCat,_xlfn.SWITCH($I163,"Computer",_xlfn.XLOOKUP($K163&amp;"",COMPUTER!$B$3:$B$1009&amp;"",COMPUTER!$H$3:$H$1009,""),"Display",_xlfn.XLOOKUP($K163&amp;"",DISPLAY!$B$3:$B$1000&amp;"",DISPLAY!$H$3:$H$1000,""),"Network Device",_xlfn.XLOOKUP($K163&amp;"",'NETWORK-DEVICES'!$B$3:$B$987&amp;"",'NETWORK-DEVICES'!$H$3:$H$987,""),"Peripheral",_xlfn.XLOOKUP($K163&amp;"",PERIPHERAL!$B$3:$B$954&amp;"",PERIPHERAL!$H$3:$H$954,""),"Utilities",_xlfn.XLOOKUP($K163&amp;"",UTILITIES!$B$3:$B$953&amp;"",UTILITIES!$G$3:$G$953,""),"IOT",_xlfn.XLOOKUP($K163&amp;"",IOT!$B$3:$B$1012&amp;"",IOT!$H$3:$H$1012,""),"Server",_xlfn.XLOOKUP($K163&amp;"",SERVER!$B$3:$B$1009&amp;"",SERVER!$H$3:$H$1009,""),""),IF(TRIM(_xlpm.srcCat)&lt;&gt;TRIM($J163),"",_xlfn.SWITCH($I163,"Computer",_xlfn.XLOOKUP($K163&amp;"",COMPUTER!$B$3:$B$1009&amp;"",COMPUTER!$AM$3:$AM$1009,""),"Display",_xlfn.XLOOKUP($K163&amp;"",DISPLAY!$B$3:$B$1000&amp;"",DISPLAY!$V$3:$V$1000,""),"Network Device",_xlfn.XLOOKUP($K163&amp;"",'NETWORK-DEVICES'!$B$3:$B$987&amp;"",'NETWORK-DEVICES'!$AF$3:$AF$987,""),"Peripheral",_xlfn.XLOOKUP($K163&amp;"",PERIPHERAL!$B$3:$B$954&amp;"",PERIPHERAL!$Y$3:$Y$954,""),"Utilities",_xlfn.XLOOKUP($K163&amp;"",UTILITIES!$B$3:$B$953&amp;"",UTILITIES!$O$3:$O$953,""),"IOT",_xlfn.XLOOKUP($K163&amp;"",IOT!$B$3:$B$1012&amp;"",IOT!$AB$3:$AB$1012,""),"Server",_xlfn.XLOOKUP($K163&amp;"",SERVER!$B$3:$B$1009&amp;"",SERVER!$AB$3:$AB$1009,""),""))))</f>
        <v/>
      </c>
      <c r="R163" s="43" t="str">
        <f>IF(tbl_handover[[#This Row],[Asset Code]]="","",COUNTIF(tbl_handover[Asset Code],tbl_handover[[#This Row],[Asset Code]]))</f>
        <v/>
      </c>
    </row>
    <row r="164" spans="1:18" x14ac:dyDescent="0.25">
      <c r="A164" s="43" t="str">
        <f>IF(B164&lt;&gt;"",SUBTOTAL(3,$B$1:B163),"")</f>
        <v/>
      </c>
      <c r="C164" s="74"/>
      <c r="D164" s="74"/>
      <c r="G164" s="1"/>
      <c r="K164" s="42"/>
      <c r="L164" t="str" cm="1">
        <f t="array" ref="L164">IF($K164="","",_xlfn.SWITCH($I164,"Computer",_xlfn.XLOOKUP($K164&amp;"",COMPUTER!$B$3:$B$1009&amp;"",COMPUTER!$I$3:$I$1009,""),"Display",_xlfn.XLOOKUP($K164&amp;"",DISPLAY!$B$3:$B$1000&amp;"",DISPLAY!$J$3:$J$1000,""),"Network Device",_xlfn.XLOOKUP($K164&amp;"",'NETWORK-DEVICES'!$B$3:$B$987&amp;"",'NETWORK-DEVICES'!$I$3:$I$987,""),"Peripheral",_xlfn.XLOOKUP($K164&amp;"",PERIPHERAL!$B$3:$B$954&amp;"",PERIPHERAL!$I$3:$I$954,""),"Utilities",_xlfn.XLOOKUP($K164&amp;"",UTILITIES!$B$3:$B$953&amp;"",UTILITIES!$H$3:$H$953,""),"IOT",_xlfn.XLOOKUP($K164&amp;"",IOT!$B$3:$B$1012&amp;"",IOT!$I$3:$I$1012,""),"SERVER",_xlfn.XLOOKUP($K164&amp;"",SERVER!$B$3:$B$1009&amp;"",SERVER!$I$3:$I$1009,""),""))</f>
        <v/>
      </c>
      <c r="M164" t="str" cm="1">
        <f t="array" ref="M164">IF($K164="","",_xlfn.SWITCH($I164,"Computer",_xlfn.XLOOKUP($K164&amp;"",COMPUTER!$B$3:$B$1009&amp;"",COMPUTER!$J$3:$J$1009,""),"Display",_xlfn.XLOOKUP($K164&amp;"",DISPLAY!$B$3:$B$1000&amp;"",DISPLAY!$K$3:$K$1000,""),"Network Device",_xlfn.XLOOKUP($K164&amp;"",'NETWORK-DEVICES'!$B$3:$B$987&amp;"",'NETWORK-DEVICES'!$I$3:$I$987,""),"Peripheral",_xlfn.XLOOKUP($K164&amp;"",PERIPHERAL!$B$3:$B$954&amp;"",PERIPHERAL!$J$3:$J$954,""),"Utilities",_xlfn.XLOOKUP($K164&amp;"",UTILITIES!$B$3:$B$953&amp;"",UTILITIES!$I$3:$I$953,""),"IOT",_xlfn.XLOOKUP($K164&amp;"",IOT!$B$3:$B$1012&amp;"",IOT!$J$3:$J$1012,""),"Server",_xlfn.XLOOKUP($K164&amp;"",SERVER!$B$3:$B$1009&amp;"",SERVER!$J$3:$J$1009,""),""))</f>
        <v/>
      </c>
      <c r="N164" s="1" t="str" cm="1">
        <f t="array" ref="N164">IF(OR($K164="",$I164="",$J164=""),"",_xlfn.LET(_xlpm.srcCat,_xlfn.SWITCH($I164,"Computer",_xlfn.XLOOKUP($K164&amp;"",COMPUTER!$B$3:$B$1009&amp;"",COMPUTER!$H$3:$H$1009,""),"Display",_xlfn.XLOOKUP($K164&amp;"",DISPLAY!$B$3:$B$1000&amp;"",DISPLAY!$H$3:$H$1000,""),"Network Device",_xlfn.XLOOKUP($K164&amp;"",'NETWORK-DEVICES'!$B$3:$B$987&amp;"",'NETWORK-DEVICES'!$H$3:$H$987,""),"Peripheral",_xlfn.XLOOKUP($K164&amp;"",PERIPHERAL!$B$3:$B$954&amp;"",PERIPHERAL!$H$3:$H$954,""),"Utilities",_xlfn.XLOOKUP($K164&amp;"",UTILITIES!$B$3:$B$953&amp;"",UTILITIES!$G$3:$G$953,""),"IOT",_xlfn.XLOOKUP($K164&amp;"",IOT!$B$3:$B$1012&amp;"",IOT!$H$3:$H$1012,""),"Server",_xlfn.XLOOKUP($K164&amp;"",SERVER!$B$3:$B$1009&amp;"",SERVER!$H$3:$H$1009,""),""),IF(TRIM(_xlpm.srcCat)&lt;&gt;TRIM($J164),"",_xlfn.SWITCH($I164,"Computer",_xlfn.XLOOKUP($K164&amp;"",COMPUTER!$B$3:$B$1009&amp;"",COMPUTER!$K$3:$K$1009,""),"Display",_xlfn.XLOOKUP($K164&amp;"",DISPLAY!$B$3:$B$1000&amp;"",DISPLAY!$L$3:$L$1000,""),"Network Device",_xlfn.XLOOKUP($K164&amp;"",'NETWORK-DEVICES'!$B$3:$B$987&amp;"",'NETWORK-DEVICES'!$K$3:$K$987,""),"Peripheral",_xlfn.XLOOKUP($K164&amp;"",PERIPHERAL!$B$3:$B$954&amp;"",PERIPHERAL!$K$3:$K$954,""),"Utilities",_xlfn.XLOOKUP($K164&amp;"",UTILITIES!$B$3:$B$953&amp;"",UTILITIES!$J$3:$J$953,""),"IOT",_xlfn.XLOOKUP($K164&amp;"",IOT!$B$3:$B$1012&amp;"",IOT!$K$4:$K$1012,""),"Server",_xlfn.XLOOKUP($K164&amp;"",SERVER!$B$3:$B$1009&amp;"",SERVER!$K$3:$K$1009,""),""))))</f>
        <v/>
      </c>
      <c r="O164" s="1" t="str" cm="1">
        <f t="array" ref="O164">IF(OR($K164="",$I164="",$J164=""),"",_xlfn.LET(_xlpm.srcCat,_xlfn.SWITCH($I164,"Computer",_xlfn.XLOOKUP($K164&amp;"",COMPUTER!$B$3:$B$1009&amp;"",COMPUTER!$H$3:$H$1009,""),"Display",_xlfn.XLOOKUP($K164&amp;"",DISPLAY!$B$3:$B$1000&amp;"",DISPLAY!$H$3:$H$1000,""),"Network Device",_xlfn.XLOOKUP($K164&amp;"",'NETWORK-DEVICES'!$B$3:$B$987&amp;"",'NETWORK-DEVICES'!$H$3:$H$987,""),"Peripheral",_xlfn.XLOOKUP($K164&amp;"",PERIPHERAL!$B$3:$B$954&amp;"",PERIPHERAL!$H$3:$H$954,""),"Utilities",_xlfn.XLOOKUP($K164&amp;"",UTILITIES!$B$3:$B$953&amp;"",UTILITIES!$G$3:$G$953,""),"IOT",_xlfn.XLOOKUP($K164&amp;"",IOT!$B$3:$B$1012&amp;"",IOT!$H$3:$H$1012,""),"Server",_xlfn.XLOOKUP($K164&amp;"",SERVER!$B$3:$B$1009&amp;"",SERVER!$H$3:$H$1009,""),""),IF(TRIM(_xlpm.srcCat)&lt;&gt;TRIM($J164),"",_xlfn.SWITCH($I164,"Computer",_xlfn.XLOOKUP($K164&amp;"",COMPUTER!$B$3:$B$1009&amp;"",COMPUTER!$E$3:$E$1009,""),"Display",_xlfn.XLOOKUP($K164&amp;"",DISPLAY!$B$3:$B$1000&amp;"",DISPLAY!$E$3:$E$1000,""),"Network Device",_xlfn.XLOOKUP($K164&amp;"",'NETWORK-DEVICES'!$B$3:$B$987&amp;"",'NETWORK-DEVICES'!$E$3:$E$987,""),"Peripheral",_xlfn.XLOOKUP($K164&amp;"",PERIPHERAL!$B$3:$B$954&amp;"",PERIPHERAL!$E$3:$E$954,""),"Utilities",_xlfn.XLOOKUP($K164&amp;"",UTILITIES!$B$3:$B$953&amp;"",UTILITIES!$E$3:$E$953,""),"IOT",_xlfn.XLOOKUP($K164&amp;"",IOT!$B$3:$B$1012&amp;"",IOT!$E$3:$E$1012,""),"Server",_xlfn.XLOOKUP($K164&amp;"",SERVER!$B$3:$B$1009&amp;"",SERVER!$E$3:$E$1009,""),""))))</f>
        <v/>
      </c>
      <c r="Q164" s="1" t="str" cm="1">
        <f t="array" ref="Q164">IF(OR($K164="",$I164="",$J164=""),"",_xlfn.LET(_xlpm.srcCat,_xlfn.SWITCH($I164,"Computer",_xlfn.XLOOKUP($K164&amp;"",COMPUTER!$B$3:$B$1009&amp;"",COMPUTER!$H$3:$H$1009,""),"Display",_xlfn.XLOOKUP($K164&amp;"",DISPLAY!$B$3:$B$1000&amp;"",DISPLAY!$H$3:$H$1000,""),"Network Device",_xlfn.XLOOKUP($K164&amp;"",'NETWORK-DEVICES'!$B$3:$B$987&amp;"",'NETWORK-DEVICES'!$H$3:$H$987,""),"Peripheral",_xlfn.XLOOKUP($K164&amp;"",PERIPHERAL!$B$3:$B$954&amp;"",PERIPHERAL!$H$3:$H$954,""),"Utilities",_xlfn.XLOOKUP($K164&amp;"",UTILITIES!$B$3:$B$953&amp;"",UTILITIES!$G$3:$G$953,""),"IOT",_xlfn.XLOOKUP($K164&amp;"",IOT!$B$3:$B$1012&amp;"",IOT!$H$3:$H$1012,""),"Server",_xlfn.XLOOKUP($K164&amp;"",SERVER!$B$3:$B$1009&amp;"",SERVER!$H$3:$H$1009,""),""),IF(TRIM(_xlpm.srcCat)&lt;&gt;TRIM($J164),"",_xlfn.SWITCH($I164,"Computer",_xlfn.XLOOKUP($K164&amp;"",COMPUTER!$B$3:$B$1009&amp;"",COMPUTER!$AM$3:$AM$1009,""),"Display",_xlfn.XLOOKUP($K164&amp;"",DISPLAY!$B$3:$B$1000&amp;"",DISPLAY!$V$3:$V$1000,""),"Network Device",_xlfn.XLOOKUP($K164&amp;"",'NETWORK-DEVICES'!$B$3:$B$987&amp;"",'NETWORK-DEVICES'!$AF$3:$AF$987,""),"Peripheral",_xlfn.XLOOKUP($K164&amp;"",PERIPHERAL!$B$3:$B$954&amp;"",PERIPHERAL!$Y$3:$Y$954,""),"Utilities",_xlfn.XLOOKUP($K164&amp;"",UTILITIES!$B$3:$B$953&amp;"",UTILITIES!$O$3:$O$953,""),"IOT",_xlfn.XLOOKUP($K164&amp;"",IOT!$B$3:$B$1012&amp;"",IOT!$AB$3:$AB$1012,""),"Server",_xlfn.XLOOKUP($K164&amp;"",SERVER!$B$3:$B$1009&amp;"",SERVER!$AB$3:$AB$1009,""),""))))</f>
        <v/>
      </c>
      <c r="R164" s="43" t="str">
        <f>IF(tbl_handover[[#This Row],[Asset Code]]="","",COUNTIF(tbl_handover[Asset Code],tbl_handover[[#This Row],[Asset Code]]))</f>
        <v/>
      </c>
    </row>
    <row r="165" spans="1:18" x14ac:dyDescent="0.25">
      <c r="A165" s="43" t="str">
        <f>IF(B165&lt;&gt;"",SUBTOTAL(3,$B$1:B164),"")</f>
        <v/>
      </c>
      <c r="C165" s="74"/>
      <c r="D165" s="74"/>
      <c r="G165" s="1"/>
      <c r="K165" s="42"/>
      <c r="L165" t="str" cm="1">
        <f t="array" ref="L165">IF($K165="","",_xlfn.SWITCH($I165,"Computer",_xlfn.XLOOKUP($K165&amp;"",COMPUTER!$B$3:$B$1009&amp;"",COMPUTER!$I$3:$I$1009,""),"Display",_xlfn.XLOOKUP($K165&amp;"",DISPLAY!$B$3:$B$1000&amp;"",DISPLAY!$J$3:$J$1000,""),"Network Device",_xlfn.XLOOKUP($K165&amp;"",'NETWORK-DEVICES'!$B$3:$B$987&amp;"",'NETWORK-DEVICES'!$I$3:$I$987,""),"Peripheral",_xlfn.XLOOKUP($K165&amp;"",PERIPHERAL!$B$3:$B$954&amp;"",PERIPHERAL!$I$3:$I$954,""),"Utilities",_xlfn.XLOOKUP($K165&amp;"",UTILITIES!$B$3:$B$953&amp;"",UTILITIES!$H$3:$H$953,""),"IOT",_xlfn.XLOOKUP($K165&amp;"",IOT!$B$3:$B$1012&amp;"",IOT!$I$3:$I$1012,""),"SERVER",_xlfn.XLOOKUP($K165&amp;"",SERVER!$B$3:$B$1009&amp;"",SERVER!$I$3:$I$1009,""),""))</f>
        <v/>
      </c>
      <c r="M165" t="str" cm="1">
        <f t="array" ref="M165">IF($K165="","",_xlfn.SWITCH($I165,"Computer",_xlfn.XLOOKUP($K165&amp;"",COMPUTER!$B$3:$B$1009&amp;"",COMPUTER!$J$3:$J$1009,""),"Display",_xlfn.XLOOKUP($K165&amp;"",DISPLAY!$B$3:$B$1000&amp;"",DISPLAY!$K$3:$K$1000,""),"Network Device",_xlfn.XLOOKUP($K165&amp;"",'NETWORK-DEVICES'!$B$3:$B$987&amp;"",'NETWORK-DEVICES'!$I$3:$I$987,""),"Peripheral",_xlfn.XLOOKUP($K165&amp;"",PERIPHERAL!$B$3:$B$954&amp;"",PERIPHERAL!$J$3:$J$954,""),"Utilities",_xlfn.XLOOKUP($K165&amp;"",UTILITIES!$B$3:$B$953&amp;"",UTILITIES!$I$3:$I$953,""),"IOT",_xlfn.XLOOKUP($K165&amp;"",IOT!$B$3:$B$1012&amp;"",IOT!$J$3:$J$1012,""),"Server",_xlfn.XLOOKUP($K165&amp;"",SERVER!$B$3:$B$1009&amp;"",SERVER!$J$3:$J$1009,""),""))</f>
        <v/>
      </c>
      <c r="N165" s="1" t="str" cm="1">
        <f t="array" ref="N165">IF(OR($K165="",$I165="",$J165=""),"",_xlfn.LET(_xlpm.srcCat,_xlfn.SWITCH($I165,"Computer",_xlfn.XLOOKUP($K165&amp;"",COMPUTER!$B$3:$B$1009&amp;"",COMPUTER!$H$3:$H$1009,""),"Display",_xlfn.XLOOKUP($K165&amp;"",DISPLAY!$B$3:$B$1000&amp;"",DISPLAY!$H$3:$H$1000,""),"Network Device",_xlfn.XLOOKUP($K165&amp;"",'NETWORK-DEVICES'!$B$3:$B$987&amp;"",'NETWORK-DEVICES'!$H$3:$H$987,""),"Peripheral",_xlfn.XLOOKUP($K165&amp;"",PERIPHERAL!$B$3:$B$954&amp;"",PERIPHERAL!$H$3:$H$954,""),"Utilities",_xlfn.XLOOKUP($K165&amp;"",UTILITIES!$B$3:$B$953&amp;"",UTILITIES!$G$3:$G$953,""),"IOT",_xlfn.XLOOKUP($K165&amp;"",IOT!$B$3:$B$1012&amp;"",IOT!$H$3:$H$1012,""),"Server",_xlfn.XLOOKUP($K165&amp;"",SERVER!$B$3:$B$1009&amp;"",SERVER!$H$3:$H$1009,""),""),IF(TRIM(_xlpm.srcCat)&lt;&gt;TRIM($J165),"",_xlfn.SWITCH($I165,"Computer",_xlfn.XLOOKUP($K165&amp;"",COMPUTER!$B$3:$B$1009&amp;"",COMPUTER!$K$3:$K$1009,""),"Display",_xlfn.XLOOKUP($K165&amp;"",DISPLAY!$B$3:$B$1000&amp;"",DISPLAY!$L$3:$L$1000,""),"Network Device",_xlfn.XLOOKUP($K165&amp;"",'NETWORK-DEVICES'!$B$3:$B$987&amp;"",'NETWORK-DEVICES'!$K$3:$K$987,""),"Peripheral",_xlfn.XLOOKUP($K165&amp;"",PERIPHERAL!$B$3:$B$954&amp;"",PERIPHERAL!$K$3:$K$954,""),"Utilities",_xlfn.XLOOKUP($K165&amp;"",UTILITIES!$B$3:$B$953&amp;"",UTILITIES!$J$3:$J$953,""),"IOT",_xlfn.XLOOKUP($K165&amp;"",IOT!$B$3:$B$1012&amp;"",IOT!$K$4:$K$1012,""),"Server",_xlfn.XLOOKUP($K165&amp;"",SERVER!$B$3:$B$1009&amp;"",SERVER!$K$3:$K$1009,""),""))))</f>
        <v/>
      </c>
      <c r="O165" s="1" t="str" cm="1">
        <f t="array" ref="O165">IF(OR($K165="",$I165="",$J165=""),"",_xlfn.LET(_xlpm.srcCat,_xlfn.SWITCH($I165,"Computer",_xlfn.XLOOKUP($K165&amp;"",COMPUTER!$B$3:$B$1009&amp;"",COMPUTER!$H$3:$H$1009,""),"Display",_xlfn.XLOOKUP($K165&amp;"",DISPLAY!$B$3:$B$1000&amp;"",DISPLAY!$H$3:$H$1000,""),"Network Device",_xlfn.XLOOKUP($K165&amp;"",'NETWORK-DEVICES'!$B$3:$B$987&amp;"",'NETWORK-DEVICES'!$H$3:$H$987,""),"Peripheral",_xlfn.XLOOKUP($K165&amp;"",PERIPHERAL!$B$3:$B$954&amp;"",PERIPHERAL!$H$3:$H$954,""),"Utilities",_xlfn.XLOOKUP($K165&amp;"",UTILITIES!$B$3:$B$953&amp;"",UTILITIES!$G$3:$G$953,""),"IOT",_xlfn.XLOOKUP($K165&amp;"",IOT!$B$3:$B$1012&amp;"",IOT!$H$3:$H$1012,""),"Server",_xlfn.XLOOKUP($K165&amp;"",SERVER!$B$3:$B$1009&amp;"",SERVER!$H$3:$H$1009,""),""),IF(TRIM(_xlpm.srcCat)&lt;&gt;TRIM($J165),"",_xlfn.SWITCH($I165,"Computer",_xlfn.XLOOKUP($K165&amp;"",COMPUTER!$B$3:$B$1009&amp;"",COMPUTER!$E$3:$E$1009,""),"Display",_xlfn.XLOOKUP($K165&amp;"",DISPLAY!$B$3:$B$1000&amp;"",DISPLAY!$E$3:$E$1000,""),"Network Device",_xlfn.XLOOKUP($K165&amp;"",'NETWORK-DEVICES'!$B$3:$B$987&amp;"",'NETWORK-DEVICES'!$E$3:$E$987,""),"Peripheral",_xlfn.XLOOKUP($K165&amp;"",PERIPHERAL!$B$3:$B$954&amp;"",PERIPHERAL!$E$3:$E$954,""),"Utilities",_xlfn.XLOOKUP($K165&amp;"",UTILITIES!$B$3:$B$953&amp;"",UTILITIES!$E$3:$E$953,""),"IOT",_xlfn.XLOOKUP($K165&amp;"",IOT!$B$3:$B$1012&amp;"",IOT!$E$3:$E$1012,""),"Server",_xlfn.XLOOKUP($K165&amp;"",SERVER!$B$3:$B$1009&amp;"",SERVER!$E$3:$E$1009,""),""))))</f>
        <v/>
      </c>
      <c r="Q165" s="1" t="str" cm="1">
        <f t="array" ref="Q165">IF(OR($K165="",$I165="",$J165=""),"",_xlfn.LET(_xlpm.srcCat,_xlfn.SWITCH($I165,"Computer",_xlfn.XLOOKUP($K165&amp;"",COMPUTER!$B$3:$B$1009&amp;"",COMPUTER!$H$3:$H$1009,""),"Display",_xlfn.XLOOKUP($K165&amp;"",DISPLAY!$B$3:$B$1000&amp;"",DISPLAY!$H$3:$H$1000,""),"Network Device",_xlfn.XLOOKUP($K165&amp;"",'NETWORK-DEVICES'!$B$3:$B$987&amp;"",'NETWORK-DEVICES'!$H$3:$H$987,""),"Peripheral",_xlfn.XLOOKUP($K165&amp;"",PERIPHERAL!$B$3:$B$954&amp;"",PERIPHERAL!$H$3:$H$954,""),"Utilities",_xlfn.XLOOKUP($K165&amp;"",UTILITIES!$B$3:$B$953&amp;"",UTILITIES!$G$3:$G$953,""),"IOT",_xlfn.XLOOKUP($K165&amp;"",IOT!$B$3:$B$1012&amp;"",IOT!$H$3:$H$1012,""),"Server",_xlfn.XLOOKUP($K165&amp;"",SERVER!$B$3:$B$1009&amp;"",SERVER!$H$3:$H$1009,""),""),IF(TRIM(_xlpm.srcCat)&lt;&gt;TRIM($J165),"",_xlfn.SWITCH($I165,"Computer",_xlfn.XLOOKUP($K165&amp;"",COMPUTER!$B$3:$B$1009&amp;"",COMPUTER!$AM$3:$AM$1009,""),"Display",_xlfn.XLOOKUP($K165&amp;"",DISPLAY!$B$3:$B$1000&amp;"",DISPLAY!$V$3:$V$1000,""),"Network Device",_xlfn.XLOOKUP($K165&amp;"",'NETWORK-DEVICES'!$B$3:$B$987&amp;"",'NETWORK-DEVICES'!$AF$3:$AF$987,""),"Peripheral",_xlfn.XLOOKUP($K165&amp;"",PERIPHERAL!$B$3:$B$954&amp;"",PERIPHERAL!$Y$3:$Y$954,""),"Utilities",_xlfn.XLOOKUP($K165&amp;"",UTILITIES!$B$3:$B$953&amp;"",UTILITIES!$O$3:$O$953,""),"IOT",_xlfn.XLOOKUP($K165&amp;"",IOT!$B$3:$B$1012&amp;"",IOT!$AB$3:$AB$1012,""),"Server",_xlfn.XLOOKUP($K165&amp;"",SERVER!$B$3:$B$1009&amp;"",SERVER!$AB$3:$AB$1009,""),""))))</f>
        <v/>
      </c>
      <c r="R165" s="43" t="str">
        <f>IF(tbl_handover[[#This Row],[Asset Code]]="","",COUNTIF(tbl_handover[Asset Code],tbl_handover[[#This Row],[Asset Code]]))</f>
        <v/>
      </c>
    </row>
    <row r="166" spans="1:18" x14ac:dyDescent="0.25">
      <c r="A166" s="43" t="str">
        <f>IF(B166&lt;&gt;"",SUBTOTAL(3,$B$1:B165),"")</f>
        <v/>
      </c>
      <c r="C166" s="74"/>
      <c r="D166" s="74"/>
      <c r="G166" s="1"/>
      <c r="K166" s="42"/>
      <c r="L166" t="str" cm="1">
        <f t="array" ref="L166">IF($K166="","",_xlfn.SWITCH($I166,"Computer",_xlfn.XLOOKUP($K166&amp;"",COMPUTER!$B$3:$B$1009&amp;"",COMPUTER!$I$3:$I$1009,""),"Display",_xlfn.XLOOKUP($K166&amp;"",DISPLAY!$B$3:$B$1000&amp;"",DISPLAY!$J$3:$J$1000,""),"Network Device",_xlfn.XLOOKUP($K166&amp;"",'NETWORK-DEVICES'!$B$3:$B$987&amp;"",'NETWORK-DEVICES'!$I$3:$I$987,""),"Peripheral",_xlfn.XLOOKUP($K166&amp;"",PERIPHERAL!$B$3:$B$954&amp;"",PERIPHERAL!$I$3:$I$954,""),"Utilities",_xlfn.XLOOKUP($K166&amp;"",UTILITIES!$B$3:$B$953&amp;"",UTILITIES!$H$3:$H$953,""),"IOT",_xlfn.XLOOKUP($K166&amp;"",IOT!$B$3:$B$1012&amp;"",IOT!$I$3:$I$1012,""),"SERVER",_xlfn.XLOOKUP($K166&amp;"",SERVER!$B$3:$B$1009&amp;"",SERVER!$I$3:$I$1009,""),""))</f>
        <v/>
      </c>
      <c r="M166" t="str" cm="1">
        <f t="array" ref="M166">IF($K166="","",_xlfn.SWITCH($I166,"Computer",_xlfn.XLOOKUP($K166&amp;"",COMPUTER!$B$3:$B$1009&amp;"",COMPUTER!$J$3:$J$1009,""),"Display",_xlfn.XLOOKUP($K166&amp;"",DISPLAY!$B$3:$B$1000&amp;"",DISPLAY!$K$3:$K$1000,""),"Network Device",_xlfn.XLOOKUP($K166&amp;"",'NETWORK-DEVICES'!$B$3:$B$987&amp;"",'NETWORK-DEVICES'!$I$3:$I$987,""),"Peripheral",_xlfn.XLOOKUP($K166&amp;"",PERIPHERAL!$B$3:$B$954&amp;"",PERIPHERAL!$J$3:$J$954,""),"Utilities",_xlfn.XLOOKUP($K166&amp;"",UTILITIES!$B$3:$B$953&amp;"",UTILITIES!$I$3:$I$953,""),"IOT",_xlfn.XLOOKUP($K166&amp;"",IOT!$B$3:$B$1012&amp;"",IOT!$J$3:$J$1012,""),"Server",_xlfn.XLOOKUP($K166&amp;"",SERVER!$B$3:$B$1009&amp;"",SERVER!$J$3:$J$1009,""),""))</f>
        <v/>
      </c>
      <c r="N166" s="1" t="str" cm="1">
        <f t="array" ref="N166">IF(OR($K166="",$I166="",$J166=""),"",_xlfn.LET(_xlpm.srcCat,_xlfn.SWITCH($I166,"Computer",_xlfn.XLOOKUP($K166&amp;"",COMPUTER!$B$3:$B$1009&amp;"",COMPUTER!$H$3:$H$1009,""),"Display",_xlfn.XLOOKUP($K166&amp;"",DISPLAY!$B$3:$B$1000&amp;"",DISPLAY!$H$3:$H$1000,""),"Network Device",_xlfn.XLOOKUP($K166&amp;"",'NETWORK-DEVICES'!$B$3:$B$987&amp;"",'NETWORK-DEVICES'!$H$3:$H$987,""),"Peripheral",_xlfn.XLOOKUP($K166&amp;"",PERIPHERAL!$B$3:$B$954&amp;"",PERIPHERAL!$H$3:$H$954,""),"Utilities",_xlfn.XLOOKUP($K166&amp;"",UTILITIES!$B$3:$B$953&amp;"",UTILITIES!$G$3:$G$953,""),"IOT",_xlfn.XLOOKUP($K166&amp;"",IOT!$B$3:$B$1012&amp;"",IOT!$H$3:$H$1012,""),"Server",_xlfn.XLOOKUP($K166&amp;"",SERVER!$B$3:$B$1009&amp;"",SERVER!$H$3:$H$1009,""),""),IF(TRIM(_xlpm.srcCat)&lt;&gt;TRIM($J166),"",_xlfn.SWITCH($I166,"Computer",_xlfn.XLOOKUP($K166&amp;"",COMPUTER!$B$3:$B$1009&amp;"",COMPUTER!$K$3:$K$1009,""),"Display",_xlfn.XLOOKUP($K166&amp;"",DISPLAY!$B$3:$B$1000&amp;"",DISPLAY!$L$3:$L$1000,""),"Network Device",_xlfn.XLOOKUP($K166&amp;"",'NETWORK-DEVICES'!$B$3:$B$987&amp;"",'NETWORK-DEVICES'!$K$3:$K$987,""),"Peripheral",_xlfn.XLOOKUP($K166&amp;"",PERIPHERAL!$B$3:$B$954&amp;"",PERIPHERAL!$K$3:$K$954,""),"Utilities",_xlfn.XLOOKUP($K166&amp;"",UTILITIES!$B$3:$B$953&amp;"",UTILITIES!$J$3:$J$953,""),"IOT",_xlfn.XLOOKUP($K166&amp;"",IOT!$B$3:$B$1012&amp;"",IOT!$K$4:$K$1012,""),"Server",_xlfn.XLOOKUP($K166&amp;"",SERVER!$B$3:$B$1009&amp;"",SERVER!$K$3:$K$1009,""),""))))</f>
        <v/>
      </c>
      <c r="O166" s="1" t="str" cm="1">
        <f t="array" ref="O166">IF(OR($K166="",$I166="",$J166=""),"",_xlfn.LET(_xlpm.srcCat,_xlfn.SWITCH($I166,"Computer",_xlfn.XLOOKUP($K166&amp;"",COMPUTER!$B$3:$B$1009&amp;"",COMPUTER!$H$3:$H$1009,""),"Display",_xlfn.XLOOKUP($K166&amp;"",DISPLAY!$B$3:$B$1000&amp;"",DISPLAY!$H$3:$H$1000,""),"Network Device",_xlfn.XLOOKUP($K166&amp;"",'NETWORK-DEVICES'!$B$3:$B$987&amp;"",'NETWORK-DEVICES'!$H$3:$H$987,""),"Peripheral",_xlfn.XLOOKUP($K166&amp;"",PERIPHERAL!$B$3:$B$954&amp;"",PERIPHERAL!$H$3:$H$954,""),"Utilities",_xlfn.XLOOKUP($K166&amp;"",UTILITIES!$B$3:$B$953&amp;"",UTILITIES!$G$3:$G$953,""),"IOT",_xlfn.XLOOKUP($K166&amp;"",IOT!$B$3:$B$1012&amp;"",IOT!$H$3:$H$1012,""),"Server",_xlfn.XLOOKUP($K166&amp;"",SERVER!$B$3:$B$1009&amp;"",SERVER!$H$3:$H$1009,""),""),IF(TRIM(_xlpm.srcCat)&lt;&gt;TRIM($J166),"",_xlfn.SWITCH($I166,"Computer",_xlfn.XLOOKUP($K166&amp;"",COMPUTER!$B$3:$B$1009&amp;"",COMPUTER!$E$3:$E$1009,""),"Display",_xlfn.XLOOKUP($K166&amp;"",DISPLAY!$B$3:$B$1000&amp;"",DISPLAY!$E$3:$E$1000,""),"Network Device",_xlfn.XLOOKUP($K166&amp;"",'NETWORK-DEVICES'!$B$3:$B$987&amp;"",'NETWORK-DEVICES'!$E$3:$E$987,""),"Peripheral",_xlfn.XLOOKUP($K166&amp;"",PERIPHERAL!$B$3:$B$954&amp;"",PERIPHERAL!$E$3:$E$954,""),"Utilities",_xlfn.XLOOKUP($K166&amp;"",UTILITIES!$B$3:$B$953&amp;"",UTILITIES!$E$3:$E$953,""),"IOT",_xlfn.XLOOKUP($K166&amp;"",IOT!$B$3:$B$1012&amp;"",IOT!$E$3:$E$1012,""),"Server",_xlfn.XLOOKUP($K166&amp;"",SERVER!$B$3:$B$1009&amp;"",SERVER!$E$3:$E$1009,""),""))))</f>
        <v/>
      </c>
      <c r="Q166" s="1" t="str" cm="1">
        <f t="array" ref="Q166">IF(OR($K166="",$I166="",$J166=""),"",_xlfn.LET(_xlpm.srcCat,_xlfn.SWITCH($I166,"Computer",_xlfn.XLOOKUP($K166&amp;"",COMPUTER!$B$3:$B$1009&amp;"",COMPUTER!$H$3:$H$1009,""),"Display",_xlfn.XLOOKUP($K166&amp;"",DISPLAY!$B$3:$B$1000&amp;"",DISPLAY!$H$3:$H$1000,""),"Network Device",_xlfn.XLOOKUP($K166&amp;"",'NETWORK-DEVICES'!$B$3:$B$987&amp;"",'NETWORK-DEVICES'!$H$3:$H$987,""),"Peripheral",_xlfn.XLOOKUP($K166&amp;"",PERIPHERAL!$B$3:$B$954&amp;"",PERIPHERAL!$H$3:$H$954,""),"Utilities",_xlfn.XLOOKUP($K166&amp;"",UTILITIES!$B$3:$B$953&amp;"",UTILITIES!$G$3:$G$953,""),"IOT",_xlfn.XLOOKUP($K166&amp;"",IOT!$B$3:$B$1012&amp;"",IOT!$H$3:$H$1012,""),"Server",_xlfn.XLOOKUP($K166&amp;"",SERVER!$B$3:$B$1009&amp;"",SERVER!$H$3:$H$1009,""),""),IF(TRIM(_xlpm.srcCat)&lt;&gt;TRIM($J166),"",_xlfn.SWITCH($I166,"Computer",_xlfn.XLOOKUP($K166&amp;"",COMPUTER!$B$3:$B$1009&amp;"",COMPUTER!$AM$3:$AM$1009,""),"Display",_xlfn.XLOOKUP($K166&amp;"",DISPLAY!$B$3:$B$1000&amp;"",DISPLAY!$V$3:$V$1000,""),"Network Device",_xlfn.XLOOKUP($K166&amp;"",'NETWORK-DEVICES'!$B$3:$B$987&amp;"",'NETWORK-DEVICES'!$AF$3:$AF$987,""),"Peripheral",_xlfn.XLOOKUP($K166&amp;"",PERIPHERAL!$B$3:$B$954&amp;"",PERIPHERAL!$Y$3:$Y$954,""),"Utilities",_xlfn.XLOOKUP($K166&amp;"",UTILITIES!$B$3:$B$953&amp;"",UTILITIES!$O$3:$O$953,""),"IOT",_xlfn.XLOOKUP($K166&amp;"",IOT!$B$3:$B$1012&amp;"",IOT!$AB$3:$AB$1012,""),"Server",_xlfn.XLOOKUP($K166&amp;"",SERVER!$B$3:$B$1009&amp;"",SERVER!$AB$3:$AB$1009,""),""))))</f>
        <v/>
      </c>
      <c r="R166" s="43" t="str">
        <f>IF(tbl_handover[[#This Row],[Asset Code]]="","",COUNTIF(tbl_handover[Asset Code],tbl_handover[[#This Row],[Asset Code]]))</f>
        <v/>
      </c>
    </row>
    <row r="167" spans="1:18" x14ac:dyDescent="0.25">
      <c r="A167" s="43" t="str">
        <f>IF(B167&lt;&gt;"",SUBTOTAL(3,$B$1:B166),"")</f>
        <v/>
      </c>
      <c r="C167" s="74"/>
      <c r="D167" s="74"/>
      <c r="G167" s="1"/>
      <c r="K167" s="42"/>
      <c r="L167" t="str" cm="1">
        <f t="array" ref="L167">IF($K167="","",_xlfn.SWITCH($I167,"Computer",_xlfn.XLOOKUP($K167&amp;"",COMPUTER!$B$3:$B$1009&amp;"",COMPUTER!$I$3:$I$1009,""),"Display",_xlfn.XLOOKUP($K167&amp;"",DISPLAY!$B$3:$B$1000&amp;"",DISPLAY!$J$3:$J$1000,""),"Network Device",_xlfn.XLOOKUP($K167&amp;"",'NETWORK-DEVICES'!$B$3:$B$987&amp;"",'NETWORK-DEVICES'!$I$3:$I$987,""),"Peripheral",_xlfn.XLOOKUP($K167&amp;"",PERIPHERAL!$B$3:$B$954&amp;"",PERIPHERAL!$I$3:$I$954,""),"Utilities",_xlfn.XLOOKUP($K167&amp;"",UTILITIES!$B$3:$B$953&amp;"",UTILITIES!$H$3:$H$953,""),"IOT",_xlfn.XLOOKUP($K167&amp;"",IOT!$B$3:$B$1012&amp;"",IOT!$I$3:$I$1012,""),"SERVER",_xlfn.XLOOKUP($K167&amp;"",SERVER!$B$3:$B$1009&amp;"",SERVER!$I$3:$I$1009,""),""))</f>
        <v/>
      </c>
      <c r="M167" t="str" cm="1">
        <f t="array" ref="M167">IF($K167="","",_xlfn.SWITCH($I167,"Computer",_xlfn.XLOOKUP($K167&amp;"",COMPUTER!$B$3:$B$1009&amp;"",COMPUTER!$J$3:$J$1009,""),"Display",_xlfn.XLOOKUP($K167&amp;"",DISPLAY!$B$3:$B$1000&amp;"",DISPLAY!$K$3:$K$1000,""),"Network Device",_xlfn.XLOOKUP($K167&amp;"",'NETWORK-DEVICES'!$B$3:$B$987&amp;"",'NETWORK-DEVICES'!$I$3:$I$987,""),"Peripheral",_xlfn.XLOOKUP($K167&amp;"",PERIPHERAL!$B$3:$B$954&amp;"",PERIPHERAL!$J$3:$J$954,""),"Utilities",_xlfn.XLOOKUP($K167&amp;"",UTILITIES!$B$3:$B$953&amp;"",UTILITIES!$I$3:$I$953,""),"IOT",_xlfn.XLOOKUP($K167&amp;"",IOT!$B$3:$B$1012&amp;"",IOT!$J$3:$J$1012,""),"Server",_xlfn.XLOOKUP($K167&amp;"",SERVER!$B$3:$B$1009&amp;"",SERVER!$J$3:$J$1009,""),""))</f>
        <v/>
      </c>
      <c r="N167" s="1" t="str" cm="1">
        <f t="array" ref="N167">IF(OR($K167="",$I167="",$J167=""),"",_xlfn.LET(_xlpm.srcCat,_xlfn.SWITCH($I167,"Computer",_xlfn.XLOOKUP($K167&amp;"",COMPUTER!$B$3:$B$1009&amp;"",COMPUTER!$H$3:$H$1009,""),"Display",_xlfn.XLOOKUP($K167&amp;"",DISPLAY!$B$3:$B$1000&amp;"",DISPLAY!$H$3:$H$1000,""),"Network Device",_xlfn.XLOOKUP($K167&amp;"",'NETWORK-DEVICES'!$B$3:$B$987&amp;"",'NETWORK-DEVICES'!$H$3:$H$987,""),"Peripheral",_xlfn.XLOOKUP($K167&amp;"",PERIPHERAL!$B$3:$B$954&amp;"",PERIPHERAL!$H$3:$H$954,""),"Utilities",_xlfn.XLOOKUP($K167&amp;"",UTILITIES!$B$3:$B$953&amp;"",UTILITIES!$G$3:$G$953,""),"IOT",_xlfn.XLOOKUP($K167&amp;"",IOT!$B$3:$B$1012&amp;"",IOT!$H$3:$H$1012,""),"Server",_xlfn.XLOOKUP($K167&amp;"",SERVER!$B$3:$B$1009&amp;"",SERVER!$H$3:$H$1009,""),""),IF(TRIM(_xlpm.srcCat)&lt;&gt;TRIM($J167),"",_xlfn.SWITCH($I167,"Computer",_xlfn.XLOOKUP($K167&amp;"",COMPUTER!$B$3:$B$1009&amp;"",COMPUTER!$K$3:$K$1009,""),"Display",_xlfn.XLOOKUP($K167&amp;"",DISPLAY!$B$3:$B$1000&amp;"",DISPLAY!$L$3:$L$1000,""),"Network Device",_xlfn.XLOOKUP($K167&amp;"",'NETWORK-DEVICES'!$B$3:$B$987&amp;"",'NETWORK-DEVICES'!$K$3:$K$987,""),"Peripheral",_xlfn.XLOOKUP($K167&amp;"",PERIPHERAL!$B$3:$B$954&amp;"",PERIPHERAL!$K$3:$K$954,""),"Utilities",_xlfn.XLOOKUP($K167&amp;"",UTILITIES!$B$3:$B$953&amp;"",UTILITIES!$J$3:$J$953,""),"IOT",_xlfn.XLOOKUP($K167&amp;"",IOT!$B$3:$B$1012&amp;"",IOT!$K$4:$K$1012,""),"Server",_xlfn.XLOOKUP($K167&amp;"",SERVER!$B$3:$B$1009&amp;"",SERVER!$K$3:$K$1009,""),""))))</f>
        <v/>
      </c>
      <c r="O167" s="1" t="str" cm="1">
        <f t="array" ref="O167">IF(OR($K167="",$I167="",$J167=""),"",_xlfn.LET(_xlpm.srcCat,_xlfn.SWITCH($I167,"Computer",_xlfn.XLOOKUP($K167&amp;"",COMPUTER!$B$3:$B$1009&amp;"",COMPUTER!$H$3:$H$1009,""),"Display",_xlfn.XLOOKUP($K167&amp;"",DISPLAY!$B$3:$B$1000&amp;"",DISPLAY!$H$3:$H$1000,""),"Network Device",_xlfn.XLOOKUP($K167&amp;"",'NETWORK-DEVICES'!$B$3:$B$987&amp;"",'NETWORK-DEVICES'!$H$3:$H$987,""),"Peripheral",_xlfn.XLOOKUP($K167&amp;"",PERIPHERAL!$B$3:$B$954&amp;"",PERIPHERAL!$H$3:$H$954,""),"Utilities",_xlfn.XLOOKUP($K167&amp;"",UTILITIES!$B$3:$B$953&amp;"",UTILITIES!$G$3:$G$953,""),"IOT",_xlfn.XLOOKUP($K167&amp;"",IOT!$B$3:$B$1012&amp;"",IOT!$H$3:$H$1012,""),"Server",_xlfn.XLOOKUP($K167&amp;"",SERVER!$B$3:$B$1009&amp;"",SERVER!$H$3:$H$1009,""),""),IF(TRIM(_xlpm.srcCat)&lt;&gt;TRIM($J167),"",_xlfn.SWITCH($I167,"Computer",_xlfn.XLOOKUP($K167&amp;"",COMPUTER!$B$3:$B$1009&amp;"",COMPUTER!$E$3:$E$1009,""),"Display",_xlfn.XLOOKUP($K167&amp;"",DISPLAY!$B$3:$B$1000&amp;"",DISPLAY!$E$3:$E$1000,""),"Network Device",_xlfn.XLOOKUP($K167&amp;"",'NETWORK-DEVICES'!$B$3:$B$987&amp;"",'NETWORK-DEVICES'!$E$3:$E$987,""),"Peripheral",_xlfn.XLOOKUP($K167&amp;"",PERIPHERAL!$B$3:$B$954&amp;"",PERIPHERAL!$E$3:$E$954,""),"Utilities",_xlfn.XLOOKUP($K167&amp;"",UTILITIES!$B$3:$B$953&amp;"",UTILITIES!$E$3:$E$953,""),"IOT",_xlfn.XLOOKUP($K167&amp;"",IOT!$B$3:$B$1012&amp;"",IOT!$E$3:$E$1012,""),"Server",_xlfn.XLOOKUP($K167&amp;"",SERVER!$B$3:$B$1009&amp;"",SERVER!$E$3:$E$1009,""),""))))</f>
        <v/>
      </c>
      <c r="Q167" s="1" t="str" cm="1">
        <f t="array" ref="Q167">IF(OR($K167="",$I167="",$J167=""),"",_xlfn.LET(_xlpm.srcCat,_xlfn.SWITCH($I167,"Computer",_xlfn.XLOOKUP($K167&amp;"",COMPUTER!$B$3:$B$1009&amp;"",COMPUTER!$H$3:$H$1009,""),"Display",_xlfn.XLOOKUP($K167&amp;"",DISPLAY!$B$3:$B$1000&amp;"",DISPLAY!$H$3:$H$1000,""),"Network Device",_xlfn.XLOOKUP($K167&amp;"",'NETWORK-DEVICES'!$B$3:$B$987&amp;"",'NETWORK-DEVICES'!$H$3:$H$987,""),"Peripheral",_xlfn.XLOOKUP($K167&amp;"",PERIPHERAL!$B$3:$B$954&amp;"",PERIPHERAL!$H$3:$H$954,""),"Utilities",_xlfn.XLOOKUP($K167&amp;"",UTILITIES!$B$3:$B$953&amp;"",UTILITIES!$G$3:$G$953,""),"IOT",_xlfn.XLOOKUP($K167&amp;"",IOT!$B$3:$B$1012&amp;"",IOT!$H$3:$H$1012,""),"Server",_xlfn.XLOOKUP($K167&amp;"",SERVER!$B$3:$B$1009&amp;"",SERVER!$H$3:$H$1009,""),""),IF(TRIM(_xlpm.srcCat)&lt;&gt;TRIM($J167),"",_xlfn.SWITCH($I167,"Computer",_xlfn.XLOOKUP($K167&amp;"",COMPUTER!$B$3:$B$1009&amp;"",COMPUTER!$AM$3:$AM$1009,""),"Display",_xlfn.XLOOKUP($K167&amp;"",DISPLAY!$B$3:$B$1000&amp;"",DISPLAY!$V$3:$V$1000,""),"Network Device",_xlfn.XLOOKUP($K167&amp;"",'NETWORK-DEVICES'!$B$3:$B$987&amp;"",'NETWORK-DEVICES'!$AF$3:$AF$987,""),"Peripheral",_xlfn.XLOOKUP($K167&amp;"",PERIPHERAL!$B$3:$B$954&amp;"",PERIPHERAL!$Y$3:$Y$954,""),"Utilities",_xlfn.XLOOKUP($K167&amp;"",UTILITIES!$B$3:$B$953&amp;"",UTILITIES!$O$3:$O$953,""),"IOT",_xlfn.XLOOKUP($K167&amp;"",IOT!$B$3:$B$1012&amp;"",IOT!$AB$3:$AB$1012,""),"Server",_xlfn.XLOOKUP($K167&amp;"",SERVER!$B$3:$B$1009&amp;"",SERVER!$AB$3:$AB$1009,""),""))))</f>
        <v/>
      </c>
      <c r="R167" s="43" t="str">
        <f>IF(tbl_handover[[#This Row],[Asset Code]]="","",COUNTIF(tbl_handover[Asset Code],tbl_handover[[#This Row],[Asset Code]]))</f>
        <v/>
      </c>
    </row>
    <row r="168" spans="1:18" x14ac:dyDescent="0.25">
      <c r="A168" s="43" t="str">
        <f>IF(B168&lt;&gt;"",SUBTOTAL(3,$B$1:B167),"")</f>
        <v/>
      </c>
      <c r="C168" s="74"/>
      <c r="D168" s="74"/>
      <c r="G168" s="1"/>
      <c r="K168" s="42"/>
      <c r="L168" t="str" cm="1">
        <f t="array" ref="L168">IF($K168="","",_xlfn.SWITCH($I168,"Computer",_xlfn.XLOOKUP($K168&amp;"",COMPUTER!$B$3:$B$1009&amp;"",COMPUTER!$I$3:$I$1009,""),"Display",_xlfn.XLOOKUP($K168&amp;"",DISPLAY!$B$3:$B$1000&amp;"",DISPLAY!$J$3:$J$1000,""),"Network Device",_xlfn.XLOOKUP($K168&amp;"",'NETWORK-DEVICES'!$B$3:$B$987&amp;"",'NETWORK-DEVICES'!$I$3:$I$987,""),"Peripheral",_xlfn.XLOOKUP($K168&amp;"",PERIPHERAL!$B$3:$B$954&amp;"",PERIPHERAL!$I$3:$I$954,""),"Utilities",_xlfn.XLOOKUP($K168&amp;"",UTILITIES!$B$3:$B$953&amp;"",UTILITIES!$H$3:$H$953,""),"IOT",_xlfn.XLOOKUP($K168&amp;"",IOT!$B$3:$B$1012&amp;"",IOT!$I$3:$I$1012,""),"SERVER",_xlfn.XLOOKUP($K168&amp;"",SERVER!$B$3:$B$1009&amp;"",SERVER!$I$3:$I$1009,""),""))</f>
        <v/>
      </c>
      <c r="M168" t="str" cm="1">
        <f t="array" ref="M168">IF($K168="","",_xlfn.SWITCH($I168,"Computer",_xlfn.XLOOKUP($K168&amp;"",COMPUTER!$B$3:$B$1009&amp;"",COMPUTER!$J$3:$J$1009,""),"Display",_xlfn.XLOOKUP($K168&amp;"",DISPLAY!$B$3:$B$1000&amp;"",DISPLAY!$K$3:$K$1000,""),"Network Device",_xlfn.XLOOKUP($K168&amp;"",'NETWORK-DEVICES'!$B$3:$B$987&amp;"",'NETWORK-DEVICES'!$I$3:$I$987,""),"Peripheral",_xlfn.XLOOKUP($K168&amp;"",PERIPHERAL!$B$3:$B$954&amp;"",PERIPHERAL!$J$3:$J$954,""),"Utilities",_xlfn.XLOOKUP($K168&amp;"",UTILITIES!$B$3:$B$953&amp;"",UTILITIES!$I$3:$I$953,""),"IOT",_xlfn.XLOOKUP($K168&amp;"",IOT!$B$3:$B$1012&amp;"",IOT!$J$3:$J$1012,""),"Server",_xlfn.XLOOKUP($K168&amp;"",SERVER!$B$3:$B$1009&amp;"",SERVER!$J$3:$J$1009,""),""))</f>
        <v/>
      </c>
      <c r="N168" s="1" t="str" cm="1">
        <f t="array" ref="N168">IF(OR($K168="",$I168="",$J168=""),"",_xlfn.LET(_xlpm.srcCat,_xlfn.SWITCH($I168,"Computer",_xlfn.XLOOKUP($K168&amp;"",COMPUTER!$B$3:$B$1009&amp;"",COMPUTER!$H$3:$H$1009,""),"Display",_xlfn.XLOOKUP($K168&amp;"",DISPLAY!$B$3:$B$1000&amp;"",DISPLAY!$H$3:$H$1000,""),"Network Device",_xlfn.XLOOKUP($K168&amp;"",'NETWORK-DEVICES'!$B$3:$B$987&amp;"",'NETWORK-DEVICES'!$H$3:$H$987,""),"Peripheral",_xlfn.XLOOKUP($K168&amp;"",PERIPHERAL!$B$3:$B$954&amp;"",PERIPHERAL!$H$3:$H$954,""),"Utilities",_xlfn.XLOOKUP($K168&amp;"",UTILITIES!$B$3:$B$953&amp;"",UTILITIES!$G$3:$G$953,""),"IOT",_xlfn.XLOOKUP($K168&amp;"",IOT!$B$3:$B$1012&amp;"",IOT!$H$3:$H$1012,""),"Server",_xlfn.XLOOKUP($K168&amp;"",SERVER!$B$3:$B$1009&amp;"",SERVER!$H$3:$H$1009,""),""),IF(TRIM(_xlpm.srcCat)&lt;&gt;TRIM($J168),"",_xlfn.SWITCH($I168,"Computer",_xlfn.XLOOKUP($K168&amp;"",COMPUTER!$B$3:$B$1009&amp;"",COMPUTER!$K$3:$K$1009,""),"Display",_xlfn.XLOOKUP($K168&amp;"",DISPLAY!$B$3:$B$1000&amp;"",DISPLAY!$L$3:$L$1000,""),"Network Device",_xlfn.XLOOKUP($K168&amp;"",'NETWORK-DEVICES'!$B$3:$B$987&amp;"",'NETWORK-DEVICES'!$K$3:$K$987,""),"Peripheral",_xlfn.XLOOKUP($K168&amp;"",PERIPHERAL!$B$3:$B$954&amp;"",PERIPHERAL!$K$3:$K$954,""),"Utilities",_xlfn.XLOOKUP($K168&amp;"",UTILITIES!$B$3:$B$953&amp;"",UTILITIES!$J$3:$J$953,""),"IOT",_xlfn.XLOOKUP($K168&amp;"",IOT!$B$3:$B$1012&amp;"",IOT!$K$4:$K$1012,""),"Server",_xlfn.XLOOKUP($K168&amp;"",SERVER!$B$3:$B$1009&amp;"",SERVER!$K$3:$K$1009,""),""))))</f>
        <v/>
      </c>
      <c r="O168" s="1" t="str" cm="1">
        <f t="array" ref="O168">IF(OR($K168="",$I168="",$J168=""),"",_xlfn.LET(_xlpm.srcCat,_xlfn.SWITCH($I168,"Computer",_xlfn.XLOOKUP($K168&amp;"",COMPUTER!$B$3:$B$1009&amp;"",COMPUTER!$H$3:$H$1009,""),"Display",_xlfn.XLOOKUP($K168&amp;"",DISPLAY!$B$3:$B$1000&amp;"",DISPLAY!$H$3:$H$1000,""),"Network Device",_xlfn.XLOOKUP($K168&amp;"",'NETWORK-DEVICES'!$B$3:$B$987&amp;"",'NETWORK-DEVICES'!$H$3:$H$987,""),"Peripheral",_xlfn.XLOOKUP($K168&amp;"",PERIPHERAL!$B$3:$B$954&amp;"",PERIPHERAL!$H$3:$H$954,""),"Utilities",_xlfn.XLOOKUP($K168&amp;"",UTILITIES!$B$3:$B$953&amp;"",UTILITIES!$G$3:$G$953,""),"IOT",_xlfn.XLOOKUP($K168&amp;"",IOT!$B$3:$B$1012&amp;"",IOT!$H$3:$H$1012,""),"Server",_xlfn.XLOOKUP($K168&amp;"",SERVER!$B$3:$B$1009&amp;"",SERVER!$H$3:$H$1009,""),""),IF(TRIM(_xlpm.srcCat)&lt;&gt;TRIM($J168),"",_xlfn.SWITCH($I168,"Computer",_xlfn.XLOOKUP($K168&amp;"",COMPUTER!$B$3:$B$1009&amp;"",COMPUTER!$E$3:$E$1009,""),"Display",_xlfn.XLOOKUP($K168&amp;"",DISPLAY!$B$3:$B$1000&amp;"",DISPLAY!$E$3:$E$1000,""),"Network Device",_xlfn.XLOOKUP($K168&amp;"",'NETWORK-DEVICES'!$B$3:$B$987&amp;"",'NETWORK-DEVICES'!$E$3:$E$987,""),"Peripheral",_xlfn.XLOOKUP($K168&amp;"",PERIPHERAL!$B$3:$B$954&amp;"",PERIPHERAL!$E$3:$E$954,""),"Utilities",_xlfn.XLOOKUP($K168&amp;"",UTILITIES!$B$3:$B$953&amp;"",UTILITIES!$E$3:$E$953,""),"IOT",_xlfn.XLOOKUP($K168&amp;"",IOT!$B$3:$B$1012&amp;"",IOT!$E$3:$E$1012,""),"Server",_xlfn.XLOOKUP($K168&amp;"",SERVER!$B$3:$B$1009&amp;"",SERVER!$E$3:$E$1009,""),""))))</f>
        <v/>
      </c>
      <c r="Q168" s="1" t="str" cm="1">
        <f t="array" ref="Q168">IF(OR($K168="",$I168="",$J168=""),"",_xlfn.LET(_xlpm.srcCat,_xlfn.SWITCH($I168,"Computer",_xlfn.XLOOKUP($K168&amp;"",COMPUTER!$B$3:$B$1009&amp;"",COMPUTER!$H$3:$H$1009,""),"Display",_xlfn.XLOOKUP($K168&amp;"",DISPLAY!$B$3:$B$1000&amp;"",DISPLAY!$H$3:$H$1000,""),"Network Device",_xlfn.XLOOKUP($K168&amp;"",'NETWORK-DEVICES'!$B$3:$B$987&amp;"",'NETWORK-DEVICES'!$H$3:$H$987,""),"Peripheral",_xlfn.XLOOKUP($K168&amp;"",PERIPHERAL!$B$3:$B$954&amp;"",PERIPHERAL!$H$3:$H$954,""),"Utilities",_xlfn.XLOOKUP($K168&amp;"",UTILITIES!$B$3:$B$953&amp;"",UTILITIES!$G$3:$G$953,""),"IOT",_xlfn.XLOOKUP($K168&amp;"",IOT!$B$3:$B$1012&amp;"",IOT!$H$3:$H$1012,""),"Server",_xlfn.XLOOKUP($K168&amp;"",SERVER!$B$3:$B$1009&amp;"",SERVER!$H$3:$H$1009,""),""),IF(TRIM(_xlpm.srcCat)&lt;&gt;TRIM($J168),"",_xlfn.SWITCH($I168,"Computer",_xlfn.XLOOKUP($K168&amp;"",COMPUTER!$B$3:$B$1009&amp;"",COMPUTER!$AM$3:$AM$1009,""),"Display",_xlfn.XLOOKUP($K168&amp;"",DISPLAY!$B$3:$B$1000&amp;"",DISPLAY!$V$3:$V$1000,""),"Network Device",_xlfn.XLOOKUP($K168&amp;"",'NETWORK-DEVICES'!$B$3:$B$987&amp;"",'NETWORK-DEVICES'!$AF$3:$AF$987,""),"Peripheral",_xlfn.XLOOKUP($K168&amp;"",PERIPHERAL!$B$3:$B$954&amp;"",PERIPHERAL!$Y$3:$Y$954,""),"Utilities",_xlfn.XLOOKUP($K168&amp;"",UTILITIES!$B$3:$B$953&amp;"",UTILITIES!$O$3:$O$953,""),"IOT",_xlfn.XLOOKUP($K168&amp;"",IOT!$B$3:$B$1012&amp;"",IOT!$AB$3:$AB$1012,""),"Server",_xlfn.XLOOKUP($K168&amp;"",SERVER!$B$3:$B$1009&amp;"",SERVER!$AB$3:$AB$1009,""),""))))</f>
        <v/>
      </c>
      <c r="R168" s="43" t="str">
        <f>IF(tbl_handover[[#This Row],[Asset Code]]="","",COUNTIF(tbl_handover[Asset Code],tbl_handover[[#This Row],[Asset Code]]))</f>
        <v/>
      </c>
    </row>
    <row r="169" spans="1:18" x14ac:dyDescent="0.25">
      <c r="A169" s="43" t="str">
        <f>IF(B169&lt;&gt;"",SUBTOTAL(3,$B$1:B168),"")</f>
        <v/>
      </c>
      <c r="C169" s="74"/>
      <c r="D169" s="74"/>
      <c r="G169" s="1"/>
      <c r="K169" s="42"/>
      <c r="L169" t="str" cm="1">
        <f t="array" ref="L169">IF($K169="","",_xlfn.SWITCH($I169,"Computer",_xlfn.XLOOKUP($K169&amp;"",COMPUTER!$B$3:$B$1009&amp;"",COMPUTER!$I$3:$I$1009,""),"Display",_xlfn.XLOOKUP($K169&amp;"",DISPLAY!$B$3:$B$1000&amp;"",DISPLAY!$J$3:$J$1000,""),"Network Device",_xlfn.XLOOKUP($K169&amp;"",'NETWORK-DEVICES'!$B$3:$B$987&amp;"",'NETWORK-DEVICES'!$I$3:$I$987,""),"Peripheral",_xlfn.XLOOKUP($K169&amp;"",PERIPHERAL!$B$3:$B$954&amp;"",PERIPHERAL!$I$3:$I$954,""),"Utilities",_xlfn.XLOOKUP($K169&amp;"",UTILITIES!$B$3:$B$953&amp;"",UTILITIES!$H$3:$H$953,""),"IOT",_xlfn.XLOOKUP($K169&amp;"",IOT!$B$3:$B$1012&amp;"",IOT!$I$3:$I$1012,""),"SERVER",_xlfn.XLOOKUP($K169&amp;"",SERVER!$B$3:$B$1009&amp;"",SERVER!$I$3:$I$1009,""),""))</f>
        <v/>
      </c>
      <c r="M169" t="str" cm="1">
        <f t="array" ref="M169">IF($K169="","",_xlfn.SWITCH($I169,"Computer",_xlfn.XLOOKUP($K169&amp;"",COMPUTER!$B$3:$B$1009&amp;"",COMPUTER!$J$3:$J$1009,""),"Display",_xlfn.XLOOKUP($K169&amp;"",DISPLAY!$B$3:$B$1000&amp;"",DISPLAY!$K$3:$K$1000,""),"Network Device",_xlfn.XLOOKUP($K169&amp;"",'NETWORK-DEVICES'!$B$3:$B$987&amp;"",'NETWORK-DEVICES'!$I$3:$I$987,""),"Peripheral",_xlfn.XLOOKUP($K169&amp;"",PERIPHERAL!$B$3:$B$954&amp;"",PERIPHERAL!$J$3:$J$954,""),"Utilities",_xlfn.XLOOKUP($K169&amp;"",UTILITIES!$B$3:$B$953&amp;"",UTILITIES!$I$3:$I$953,""),"IOT",_xlfn.XLOOKUP($K169&amp;"",IOT!$B$3:$B$1012&amp;"",IOT!$J$3:$J$1012,""),"Server",_xlfn.XLOOKUP($K169&amp;"",SERVER!$B$3:$B$1009&amp;"",SERVER!$J$3:$J$1009,""),""))</f>
        <v/>
      </c>
      <c r="N169" s="1" t="str" cm="1">
        <f t="array" ref="N169">IF(OR($K169="",$I169="",$J169=""),"",_xlfn.LET(_xlpm.srcCat,_xlfn.SWITCH($I169,"Computer",_xlfn.XLOOKUP($K169&amp;"",COMPUTER!$B$3:$B$1009&amp;"",COMPUTER!$H$3:$H$1009,""),"Display",_xlfn.XLOOKUP($K169&amp;"",DISPLAY!$B$3:$B$1000&amp;"",DISPLAY!$H$3:$H$1000,""),"Network Device",_xlfn.XLOOKUP($K169&amp;"",'NETWORK-DEVICES'!$B$3:$B$987&amp;"",'NETWORK-DEVICES'!$H$3:$H$987,""),"Peripheral",_xlfn.XLOOKUP($K169&amp;"",PERIPHERAL!$B$3:$B$954&amp;"",PERIPHERAL!$H$3:$H$954,""),"Utilities",_xlfn.XLOOKUP($K169&amp;"",UTILITIES!$B$3:$B$953&amp;"",UTILITIES!$G$3:$G$953,""),"IOT",_xlfn.XLOOKUP($K169&amp;"",IOT!$B$3:$B$1012&amp;"",IOT!$H$3:$H$1012,""),"Server",_xlfn.XLOOKUP($K169&amp;"",SERVER!$B$3:$B$1009&amp;"",SERVER!$H$3:$H$1009,""),""),IF(TRIM(_xlpm.srcCat)&lt;&gt;TRIM($J169),"",_xlfn.SWITCH($I169,"Computer",_xlfn.XLOOKUP($K169&amp;"",COMPUTER!$B$3:$B$1009&amp;"",COMPUTER!$K$3:$K$1009,""),"Display",_xlfn.XLOOKUP($K169&amp;"",DISPLAY!$B$3:$B$1000&amp;"",DISPLAY!$L$3:$L$1000,""),"Network Device",_xlfn.XLOOKUP($K169&amp;"",'NETWORK-DEVICES'!$B$3:$B$987&amp;"",'NETWORK-DEVICES'!$K$3:$K$987,""),"Peripheral",_xlfn.XLOOKUP($K169&amp;"",PERIPHERAL!$B$3:$B$954&amp;"",PERIPHERAL!$K$3:$K$954,""),"Utilities",_xlfn.XLOOKUP($K169&amp;"",UTILITIES!$B$3:$B$953&amp;"",UTILITIES!$J$3:$J$953,""),"IOT",_xlfn.XLOOKUP($K169&amp;"",IOT!$B$3:$B$1012&amp;"",IOT!$K$4:$K$1012,""),"Server",_xlfn.XLOOKUP($K169&amp;"",SERVER!$B$3:$B$1009&amp;"",SERVER!$K$3:$K$1009,""),""))))</f>
        <v/>
      </c>
      <c r="O169" s="1" t="str" cm="1">
        <f t="array" ref="O169">IF(OR($K169="",$I169="",$J169=""),"",_xlfn.LET(_xlpm.srcCat,_xlfn.SWITCH($I169,"Computer",_xlfn.XLOOKUP($K169&amp;"",COMPUTER!$B$3:$B$1009&amp;"",COMPUTER!$H$3:$H$1009,""),"Display",_xlfn.XLOOKUP($K169&amp;"",DISPLAY!$B$3:$B$1000&amp;"",DISPLAY!$H$3:$H$1000,""),"Network Device",_xlfn.XLOOKUP($K169&amp;"",'NETWORK-DEVICES'!$B$3:$B$987&amp;"",'NETWORK-DEVICES'!$H$3:$H$987,""),"Peripheral",_xlfn.XLOOKUP($K169&amp;"",PERIPHERAL!$B$3:$B$954&amp;"",PERIPHERAL!$H$3:$H$954,""),"Utilities",_xlfn.XLOOKUP($K169&amp;"",UTILITIES!$B$3:$B$953&amp;"",UTILITIES!$G$3:$G$953,""),"IOT",_xlfn.XLOOKUP($K169&amp;"",IOT!$B$3:$B$1012&amp;"",IOT!$H$3:$H$1012,""),"Server",_xlfn.XLOOKUP($K169&amp;"",SERVER!$B$3:$B$1009&amp;"",SERVER!$H$3:$H$1009,""),""),IF(TRIM(_xlpm.srcCat)&lt;&gt;TRIM($J169),"",_xlfn.SWITCH($I169,"Computer",_xlfn.XLOOKUP($K169&amp;"",COMPUTER!$B$3:$B$1009&amp;"",COMPUTER!$E$3:$E$1009,""),"Display",_xlfn.XLOOKUP($K169&amp;"",DISPLAY!$B$3:$B$1000&amp;"",DISPLAY!$E$3:$E$1000,""),"Network Device",_xlfn.XLOOKUP($K169&amp;"",'NETWORK-DEVICES'!$B$3:$B$987&amp;"",'NETWORK-DEVICES'!$E$3:$E$987,""),"Peripheral",_xlfn.XLOOKUP($K169&amp;"",PERIPHERAL!$B$3:$B$954&amp;"",PERIPHERAL!$E$3:$E$954,""),"Utilities",_xlfn.XLOOKUP($K169&amp;"",UTILITIES!$B$3:$B$953&amp;"",UTILITIES!$E$3:$E$953,""),"IOT",_xlfn.XLOOKUP($K169&amp;"",IOT!$B$3:$B$1012&amp;"",IOT!$E$3:$E$1012,""),"Server",_xlfn.XLOOKUP($K169&amp;"",SERVER!$B$3:$B$1009&amp;"",SERVER!$E$3:$E$1009,""),""))))</f>
        <v/>
      </c>
      <c r="Q169" s="1" t="str" cm="1">
        <f t="array" ref="Q169">IF(OR($K169="",$I169="",$J169=""),"",_xlfn.LET(_xlpm.srcCat,_xlfn.SWITCH($I169,"Computer",_xlfn.XLOOKUP($K169&amp;"",COMPUTER!$B$3:$B$1009&amp;"",COMPUTER!$H$3:$H$1009,""),"Display",_xlfn.XLOOKUP($K169&amp;"",DISPLAY!$B$3:$B$1000&amp;"",DISPLAY!$H$3:$H$1000,""),"Network Device",_xlfn.XLOOKUP($K169&amp;"",'NETWORK-DEVICES'!$B$3:$B$987&amp;"",'NETWORK-DEVICES'!$H$3:$H$987,""),"Peripheral",_xlfn.XLOOKUP($K169&amp;"",PERIPHERAL!$B$3:$B$954&amp;"",PERIPHERAL!$H$3:$H$954,""),"Utilities",_xlfn.XLOOKUP($K169&amp;"",UTILITIES!$B$3:$B$953&amp;"",UTILITIES!$G$3:$G$953,""),"IOT",_xlfn.XLOOKUP($K169&amp;"",IOT!$B$3:$B$1012&amp;"",IOT!$H$3:$H$1012,""),"Server",_xlfn.XLOOKUP($K169&amp;"",SERVER!$B$3:$B$1009&amp;"",SERVER!$H$3:$H$1009,""),""),IF(TRIM(_xlpm.srcCat)&lt;&gt;TRIM($J169),"",_xlfn.SWITCH($I169,"Computer",_xlfn.XLOOKUP($K169&amp;"",COMPUTER!$B$3:$B$1009&amp;"",COMPUTER!$AM$3:$AM$1009,""),"Display",_xlfn.XLOOKUP($K169&amp;"",DISPLAY!$B$3:$B$1000&amp;"",DISPLAY!$V$3:$V$1000,""),"Network Device",_xlfn.XLOOKUP($K169&amp;"",'NETWORK-DEVICES'!$B$3:$B$987&amp;"",'NETWORK-DEVICES'!$AF$3:$AF$987,""),"Peripheral",_xlfn.XLOOKUP($K169&amp;"",PERIPHERAL!$B$3:$B$954&amp;"",PERIPHERAL!$Y$3:$Y$954,""),"Utilities",_xlfn.XLOOKUP($K169&amp;"",UTILITIES!$B$3:$B$953&amp;"",UTILITIES!$O$3:$O$953,""),"IOT",_xlfn.XLOOKUP($K169&amp;"",IOT!$B$3:$B$1012&amp;"",IOT!$AB$3:$AB$1012,""),"Server",_xlfn.XLOOKUP($K169&amp;"",SERVER!$B$3:$B$1009&amp;"",SERVER!$AB$3:$AB$1009,""),""))))</f>
        <v/>
      </c>
      <c r="R169" s="43" t="str">
        <f>IF(tbl_handover[[#This Row],[Asset Code]]="","",COUNTIF(tbl_handover[Asset Code],tbl_handover[[#This Row],[Asset Code]]))</f>
        <v/>
      </c>
    </row>
    <row r="170" spans="1:18" x14ac:dyDescent="0.25">
      <c r="A170" s="43" t="str">
        <f>IF(B170&lt;&gt;"",SUBTOTAL(3,$B$1:B169),"")</f>
        <v/>
      </c>
      <c r="C170" s="74"/>
      <c r="D170" s="74"/>
      <c r="G170" s="1"/>
      <c r="K170" s="42"/>
      <c r="L170" t="str" cm="1">
        <f t="array" ref="L170">IF($K170="","",_xlfn.SWITCH($I170,"Computer",_xlfn.XLOOKUP($K170&amp;"",COMPUTER!$B$3:$B$1009&amp;"",COMPUTER!$I$3:$I$1009,""),"Display",_xlfn.XLOOKUP($K170&amp;"",DISPLAY!$B$3:$B$1000&amp;"",DISPLAY!$J$3:$J$1000,""),"Network Device",_xlfn.XLOOKUP($K170&amp;"",'NETWORK-DEVICES'!$B$3:$B$987&amp;"",'NETWORK-DEVICES'!$I$3:$I$987,""),"Peripheral",_xlfn.XLOOKUP($K170&amp;"",PERIPHERAL!$B$3:$B$954&amp;"",PERIPHERAL!$I$3:$I$954,""),"Utilities",_xlfn.XLOOKUP($K170&amp;"",UTILITIES!$B$3:$B$953&amp;"",UTILITIES!$H$3:$H$953,""),"IOT",_xlfn.XLOOKUP($K170&amp;"",IOT!$B$3:$B$1012&amp;"",IOT!$I$3:$I$1012,""),"SERVER",_xlfn.XLOOKUP($K170&amp;"",SERVER!$B$3:$B$1009&amp;"",SERVER!$I$3:$I$1009,""),""))</f>
        <v/>
      </c>
      <c r="M170" t="str" cm="1">
        <f t="array" ref="M170">IF($K170="","",_xlfn.SWITCH($I170,"Computer",_xlfn.XLOOKUP($K170&amp;"",COMPUTER!$B$3:$B$1009&amp;"",COMPUTER!$J$3:$J$1009,""),"Display",_xlfn.XLOOKUP($K170&amp;"",DISPLAY!$B$3:$B$1000&amp;"",DISPLAY!$K$3:$K$1000,""),"Network Device",_xlfn.XLOOKUP($K170&amp;"",'NETWORK-DEVICES'!$B$3:$B$987&amp;"",'NETWORK-DEVICES'!$I$3:$I$987,""),"Peripheral",_xlfn.XLOOKUP($K170&amp;"",PERIPHERAL!$B$3:$B$954&amp;"",PERIPHERAL!$J$3:$J$954,""),"Utilities",_xlfn.XLOOKUP($K170&amp;"",UTILITIES!$B$3:$B$953&amp;"",UTILITIES!$I$3:$I$953,""),"IOT",_xlfn.XLOOKUP($K170&amp;"",IOT!$B$3:$B$1012&amp;"",IOT!$J$3:$J$1012,""),"Server",_xlfn.XLOOKUP($K170&amp;"",SERVER!$B$3:$B$1009&amp;"",SERVER!$J$3:$J$1009,""),""))</f>
        <v/>
      </c>
      <c r="N170" s="1" t="str" cm="1">
        <f t="array" ref="N170">IF(OR($K170="",$I170="",$J170=""),"",_xlfn.LET(_xlpm.srcCat,_xlfn.SWITCH($I170,"Computer",_xlfn.XLOOKUP($K170&amp;"",COMPUTER!$B$3:$B$1009&amp;"",COMPUTER!$H$3:$H$1009,""),"Display",_xlfn.XLOOKUP($K170&amp;"",DISPLAY!$B$3:$B$1000&amp;"",DISPLAY!$H$3:$H$1000,""),"Network Device",_xlfn.XLOOKUP($K170&amp;"",'NETWORK-DEVICES'!$B$3:$B$987&amp;"",'NETWORK-DEVICES'!$H$3:$H$987,""),"Peripheral",_xlfn.XLOOKUP($K170&amp;"",PERIPHERAL!$B$3:$B$954&amp;"",PERIPHERAL!$H$3:$H$954,""),"Utilities",_xlfn.XLOOKUP($K170&amp;"",UTILITIES!$B$3:$B$953&amp;"",UTILITIES!$G$3:$G$953,""),"IOT",_xlfn.XLOOKUP($K170&amp;"",IOT!$B$3:$B$1012&amp;"",IOT!$H$3:$H$1012,""),"Server",_xlfn.XLOOKUP($K170&amp;"",SERVER!$B$3:$B$1009&amp;"",SERVER!$H$3:$H$1009,""),""),IF(TRIM(_xlpm.srcCat)&lt;&gt;TRIM($J170),"",_xlfn.SWITCH($I170,"Computer",_xlfn.XLOOKUP($K170&amp;"",COMPUTER!$B$3:$B$1009&amp;"",COMPUTER!$K$3:$K$1009,""),"Display",_xlfn.XLOOKUP($K170&amp;"",DISPLAY!$B$3:$B$1000&amp;"",DISPLAY!$L$3:$L$1000,""),"Network Device",_xlfn.XLOOKUP($K170&amp;"",'NETWORK-DEVICES'!$B$3:$B$987&amp;"",'NETWORK-DEVICES'!$K$3:$K$987,""),"Peripheral",_xlfn.XLOOKUP($K170&amp;"",PERIPHERAL!$B$3:$B$954&amp;"",PERIPHERAL!$K$3:$K$954,""),"Utilities",_xlfn.XLOOKUP($K170&amp;"",UTILITIES!$B$3:$B$953&amp;"",UTILITIES!$J$3:$J$953,""),"IOT",_xlfn.XLOOKUP($K170&amp;"",IOT!$B$3:$B$1012&amp;"",IOT!$K$4:$K$1012,""),"Server",_xlfn.XLOOKUP($K170&amp;"",SERVER!$B$3:$B$1009&amp;"",SERVER!$K$3:$K$1009,""),""))))</f>
        <v/>
      </c>
      <c r="O170" s="1" t="str" cm="1">
        <f t="array" ref="O170">IF(OR($K170="",$I170="",$J170=""),"",_xlfn.LET(_xlpm.srcCat,_xlfn.SWITCH($I170,"Computer",_xlfn.XLOOKUP($K170&amp;"",COMPUTER!$B$3:$B$1009&amp;"",COMPUTER!$H$3:$H$1009,""),"Display",_xlfn.XLOOKUP($K170&amp;"",DISPLAY!$B$3:$B$1000&amp;"",DISPLAY!$H$3:$H$1000,""),"Network Device",_xlfn.XLOOKUP($K170&amp;"",'NETWORK-DEVICES'!$B$3:$B$987&amp;"",'NETWORK-DEVICES'!$H$3:$H$987,""),"Peripheral",_xlfn.XLOOKUP($K170&amp;"",PERIPHERAL!$B$3:$B$954&amp;"",PERIPHERAL!$H$3:$H$954,""),"Utilities",_xlfn.XLOOKUP($K170&amp;"",UTILITIES!$B$3:$B$953&amp;"",UTILITIES!$G$3:$G$953,""),"IOT",_xlfn.XLOOKUP($K170&amp;"",IOT!$B$3:$B$1012&amp;"",IOT!$H$3:$H$1012,""),"Server",_xlfn.XLOOKUP($K170&amp;"",SERVER!$B$3:$B$1009&amp;"",SERVER!$H$3:$H$1009,""),""),IF(TRIM(_xlpm.srcCat)&lt;&gt;TRIM($J170),"",_xlfn.SWITCH($I170,"Computer",_xlfn.XLOOKUP($K170&amp;"",COMPUTER!$B$3:$B$1009&amp;"",COMPUTER!$E$3:$E$1009,""),"Display",_xlfn.XLOOKUP($K170&amp;"",DISPLAY!$B$3:$B$1000&amp;"",DISPLAY!$E$3:$E$1000,""),"Network Device",_xlfn.XLOOKUP($K170&amp;"",'NETWORK-DEVICES'!$B$3:$B$987&amp;"",'NETWORK-DEVICES'!$E$3:$E$987,""),"Peripheral",_xlfn.XLOOKUP($K170&amp;"",PERIPHERAL!$B$3:$B$954&amp;"",PERIPHERAL!$E$3:$E$954,""),"Utilities",_xlfn.XLOOKUP($K170&amp;"",UTILITIES!$B$3:$B$953&amp;"",UTILITIES!$E$3:$E$953,""),"IOT",_xlfn.XLOOKUP($K170&amp;"",IOT!$B$3:$B$1012&amp;"",IOT!$E$3:$E$1012,""),"Server",_xlfn.XLOOKUP($K170&amp;"",SERVER!$B$3:$B$1009&amp;"",SERVER!$E$3:$E$1009,""),""))))</f>
        <v/>
      </c>
      <c r="Q170" s="1" t="str" cm="1">
        <f t="array" ref="Q170">IF(OR($K170="",$I170="",$J170=""),"",_xlfn.LET(_xlpm.srcCat,_xlfn.SWITCH($I170,"Computer",_xlfn.XLOOKUP($K170&amp;"",COMPUTER!$B$3:$B$1009&amp;"",COMPUTER!$H$3:$H$1009,""),"Display",_xlfn.XLOOKUP($K170&amp;"",DISPLAY!$B$3:$B$1000&amp;"",DISPLAY!$H$3:$H$1000,""),"Network Device",_xlfn.XLOOKUP($K170&amp;"",'NETWORK-DEVICES'!$B$3:$B$987&amp;"",'NETWORK-DEVICES'!$H$3:$H$987,""),"Peripheral",_xlfn.XLOOKUP($K170&amp;"",PERIPHERAL!$B$3:$B$954&amp;"",PERIPHERAL!$H$3:$H$954,""),"Utilities",_xlfn.XLOOKUP($K170&amp;"",UTILITIES!$B$3:$B$953&amp;"",UTILITIES!$G$3:$G$953,""),"IOT",_xlfn.XLOOKUP($K170&amp;"",IOT!$B$3:$B$1012&amp;"",IOT!$H$3:$H$1012,""),"Server",_xlfn.XLOOKUP($K170&amp;"",SERVER!$B$3:$B$1009&amp;"",SERVER!$H$3:$H$1009,""),""),IF(TRIM(_xlpm.srcCat)&lt;&gt;TRIM($J170),"",_xlfn.SWITCH($I170,"Computer",_xlfn.XLOOKUP($K170&amp;"",COMPUTER!$B$3:$B$1009&amp;"",COMPUTER!$AM$3:$AM$1009,""),"Display",_xlfn.XLOOKUP($K170&amp;"",DISPLAY!$B$3:$B$1000&amp;"",DISPLAY!$V$3:$V$1000,""),"Network Device",_xlfn.XLOOKUP($K170&amp;"",'NETWORK-DEVICES'!$B$3:$B$987&amp;"",'NETWORK-DEVICES'!$AF$3:$AF$987,""),"Peripheral",_xlfn.XLOOKUP($K170&amp;"",PERIPHERAL!$B$3:$B$954&amp;"",PERIPHERAL!$Y$3:$Y$954,""),"Utilities",_xlfn.XLOOKUP($K170&amp;"",UTILITIES!$B$3:$B$953&amp;"",UTILITIES!$O$3:$O$953,""),"IOT",_xlfn.XLOOKUP($K170&amp;"",IOT!$B$3:$B$1012&amp;"",IOT!$AB$3:$AB$1012,""),"Server",_xlfn.XLOOKUP($K170&amp;"",SERVER!$B$3:$B$1009&amp;"",SERVER!$AB$3:$AB$1009,""),""))))</f>
        <v/>
      </c>
      <c r="R170" s="43" t="str">
        <f>IF(tbl_handover[[#This Row],[Asset Code]]="","",COUNTIF(tbl_handover[Asset Code],tbl_handover[[#This Row],[Asset Code]]))</f>
        <v/>
      </c>
    </row>
    <row r="171" spans="1:18" x14ac:dyDescent="0.25">
      <c r="A171" s="43" t="str">
        <f>IF(B171&lt;&gt;"",SUBTOTAL(3,$B$1:B170),"")</f>
        <v/>
      </c>
      <c r="C171" s="74"/>
      <c r="D171" s="74"/>
      <c r="G171" s="1"/>
      <c r="K171" s="42"/>
      <c r="L171" t="str" cm="1">
        <f t="array" ref="L171">IF($K171="","",_xlfn.SWITCH($I171,"Computer",_xlfn.XLOOKUP($K171&amp;"",COMPUTER!$B$3:$B$1009&amp;"",COMPUTER!$I$3:$I$1009,""),"Display",_xlfn.XLOOKUP($K171&amp;"",DISPLAY!$B$3:$B$1000&amp;"",DISPLAY!$J$3:$J$1000,""),"Network Device",_xlfn.XLOOKUP($K171&amp;"",'NETWORK-DEVICES'!$B$3:$B$987&amp;"",'NETWORK-DEVICES'!$I$3:$I$987,""),"Peripheral",_xlfn.XLOOKUP($K171&amp;"",PERIPHERAL!$B$3:$B$954&amp;"",PERIPHERAL!$I$3:$I$954,""),"Utilities",_xlfn.XLOOKUP($K171&amp;"",UTILITIES!$B$3:$B$953&amp;"",UTILITIES!$H$3:$H$953,""),"IOT",_xlfn.XLOOKUP($K171&amp;"",IOT!$B$3:$B$1012&amp;"",IOT!$I$3:$I$1012,""),"SERVER",_xlfn.XLOOKUP($K171&amp;"",SERVER!$B$3:$B$1009&amp;"",SERVER!$I$3:$I$1009,""),""))</f>
        <v/>
      </c>
      <c r="M171" t="str" cm="1">
        <f t="array" ref="M171">IF($K171="","",_xlfn.SWITCH($I171,"Computer",_xlfn.XLOOKUP($K171&amp;"",COMPUTER!$B$3:$B$1009&amp;"",COMPUTER!$J$3:$J$1009,""),"Display",_xlfn.XLOOKUP($K171&amp;"",DISPLAY!$B$3:$B$1000&amp;"",DISPLAY!$K$3:$K$1000,""),"Network Device",_xlfn.XLOOKUP($K171&amp;"",'NETWORK-DEVICES'!$B$3:$B$987&amp;"",'NETWORK-DEVICES'!$I$3:$I$987,""),"Peripheral",_xlfn.XLOOKUP($K171&amp;"",PERIPHERAL!$B$3:$B$954&amp;"",PERIPHERAL!$J$3:$J$954,""),"Utilities",_xlfn.XLOOKUP($K171&amp;"",UTILITIES!$B$3:$B$953&amp;"",UTILITIES!$I$3:$I$953,""),"IOT",_xlfn.XLOOKUP($K171&amp;"",IOT!$B$3:$B$1012&amp;"",IOT!$J$3:$J$1012,""),"Server",_xlfn.XLOOKUP($K171&amp;"",SERVER!$B$3:$B$1009&amp;"",SERVER!$J$3:$J$1009,""),""))</f>
        <v/>
      </c>
      <c r="N171" s="1" t="str" cm="1">
        <f t="array" ref="N171">IF(OR($K171="",$I171="",$J171=""),"",_xlfn.LET(_xlpm.srcCat,_xlfn.SWITCH($I171,"Computer",_xlfn.XLOOKUP($K171&amp;"",COMPUTER!$B$3:$B$1009&amp;"",COMPUTER!$H$3:$H$1009,""),"Display",_xlfn.XLOOKUP($K171&amp;"",DISPLAY!$B$3:$B$1000&amp;"",DISPLAY!$H$3:$H$1000,""),"Network Device",_xlfn.XLOOKUP($K171&amp;"",'NETWORK-DEVICES'!$B$3:$B$987&amp;"",'NETWORK-DEVICES'!$H$3:$H$987,""),"Peripheral",_xlfn.XLOOKUP($K171&amp;"",PERIPHERAL!$B$3:$B$954&amp;"",PERIPHERAL!$H$3:$H$954,""),"Utilities",_xlfn.XLOOKUP($K171&amp;"",UTILITIES!$B$3:$B$953&amp;"",UTILITIES!$G$3:$G$953,""),"IOT",_xlfn.XLOOKUP($K171&amp;"",IOT!$B$3:$B$1012&amp;"",IOT!$H$3:$H$1012,""),"Server",_xlfn.XLOOKUP($K171&amp;"",SERVER!$B$3:$B$1009&amp;"",SERVER!$H$3:$H$1009,""),""),IF(TRIM(_xlpm.srcCat)&lt;&gt;TRIM($J171),"",_xlfn.SWITCH($I171,"Computer",_xlfn.XLOOKUP($K171&amp;"",COMPUTER!$B$3:$B$1009&amp;"",COMPUTER!$K$3:$K$1009,""),"Display",_xlfn.XLOOKUP($K171&amp;"",DISPLAY!$B$3:$B$1000&amp;"",DISPLAY!$L$3:$L$1000,""),"Network Device",_xlfn.XLOOKUP($K171&amp;"",'NETWORK-DEVICES'!$B$3:$B$987&amp;"",'NETWORK-DEVICES'!$K$3:$K$987,""),"Peripheral",_xlfn.XLOOKUP($K171&amp;"",PERIPHERAL!$B$3:$B$954&amp;"",PERIPHERAL!$K$3:$K$954,""),"Utilities",_xlfn.XLOOKUP($K171&amp;"",UTILITIES!$B$3:$B$953&amp;"",UTILITIES!$J$3:$J$953,""),"IOT",_xlfn.XLOOKUP($K171&amp;"",IOT!$B$3:$B$1012&amp;"",IOT!$K$4:$K$1012,""),"Server",_xlfn.XLOOKUP($K171&amp;"",SERVER!$B$3:$B$1009&amp;"",SERVER!$K$3:$K$1009,""),""))))</f>
        <v/>
      </c>
      <c r="O171" s="1" t="str" cm="1">
        <f t="array" ref="O171">IF(OR($K171="",$I171="",$J171=""),"",_xlfn.LET(_xlpm.srcCat,_xlfn.SWITCH($I171,"Computer",_xlfn.XLOOKUP($K171&amp;"",COMPUTER!$B$3:$B$1009&amp;"",COMPUTER!$H$3:$H$1009,""),"Display",_xlfn.XLOOKUP($K171&amp;"",DISPLAY!$B$3:$B$1000&amp;"",DISPLAY!$H$3:$H$1000,""),"Network Device",_xlfn.XLOOKUP($K171&amp;"",'NETWORK-DEVICES'!$B$3:$B$987&amp;"",'NETWORK-DEVICES'!$H$3:$H$987,""),"Peripheral",_xlfn.XLOOKUP($K171&amp;"",PERIPHERAL!$B$3:$B$954&amp;"",PERIPHERAL!$H$3:$H$954,""),"Utilities",_xlfn.XLOOKUP($K171&amp;"",UTILITIES!$B$3:$B$953&amp;"",UTILITIES!$G$3:$G$953,""),"IOT",_xlfn.XLOOKUP($K171&amp;"",IOT!$B$3:$B$1012&amp;"",IOT!$H$3:$H$1012,""),"Server",_xlfn.XLOOKUP($K171&amp;"",SERVER!$B$3:$B$1009&amp;"",SERVER!$H$3:$H$1009,""),""),IF(TRIM(_xlpm.srcCat)&lt;&gt;TRIM($J171),"",_xlfn.SWITCH($I171,"Computer",_xlfn.XLOOKUP($K171&amp;"",COMPUTER!$B$3:$B$1009&amp;"",COMPUTER!$E$3:$E$1009,""),"Display",_xlfn.XLOOKUP($K171&amp;"",DISPLAY!$B$3:$B$1000&amp;"",DISPLAY!$E$3:$E$1000,""),"Network Device",_xlfn.XLOOKUP($K171&amp;"",'NETWORK-DEVICES'!$B$3:$B$987&amp;"",'NETWORK-DEVICES'!$E$3:$E$987,""),"Peripheral",_xlfn.XLOOKUP($K171&amp;"",PERIPHERAL!$B$3:$B$954&amp;"",PERIPHERAL!$E$3:$E$954,""),"Utilities",_xlfn.XLOOKUP($K171&amp;"",UTILITIES!$B$3:$B$953&amp;"",UTILITIES!$E$3:$E$953,""),"IOT",_xlfn.XLOOKUP($K171&amp;"",IOT!$B$3:$B$1012&amp;"",IOT!$E$3:$E$1012,""),"Server",_xlfn.XLOOKUP($K171&amp;"",SERVER!$B$3:$B$1009&amp;"",SERVER!$E$3:$E$1009,""),""))))</f>
        <v/>
      </c>
      <c r="Q171" s="1" t="str" cm="1">
        <f t="array" ref="Q171">IF(OR($K171="",$I171="",$J171=""),"",_xlfn.LET(_xlpm.srcCat,_xlfn.SWITCH($I171,"Computer",_xlfn.XLOOKUP($K171&amp;"",COMPUTER!$B$3:$B$1009&amp;"",COMPUTER!$H$3:$H$1009,""),"Display",_xlfn.XLOOKUP($K171&amp;"",DISPLAY!$B$3:$B$1000&amp;"",DISPLAY!$H$3:$H$1000,""),"Network Device",_xlfn.XLOOKUP($K171&amp;"",'NETWORK-DEVICES'!$B$3:$B$987&amp;"",'NETWORK-DEVICES'!$H$3:$H$987,""),"Peripheral",_xlfn.XLOOKUP($K171&amp;"",PERIPHERAL!$B$3:$B$954&amp;"",PERIPHERAL!$H$3:$H$954,""),"Utilities",_xlfn.XLOOKUP($K171&amp;"",UTILITIES!$B$3:$B$953&amp;"",UTILITIES!$G$3:$G$953,""),"IOT",_xlfn.XLOOKUP($K171&amp;"",IOT!$B$3:$B$1012&amp;"",IOT!$H$3:$H$1012,""),"Server",_xlfn.XLOOKUP($K171&amp;"",SERVER!$B$3:$B$1009&amp;"",SERVER!$H$3:$H$1009,""),""),IF(TRIM(_xlpm.srcCat)&lt;&gt;TRIM($J171),"",_xlfn.SWITCH($I171,"Computer",_xlfn.XLOOKUP($K171&amp;"",COMPUTER!$B$3:$B$1009&amp;"",COMPUTER!$AM$3:$AM$1009,""),"Display",_xlfn.XLOOKUP($K171&amp;"",DISPLAY!$B$3:$B$1000&amp;"",DISPLAY!$V$3:$V$1000,""),"Network Device",_xlfn.XLOOKUP($K171&amp;"",'NETWORK-DEVICES'!$B$3:$B$987&amp;"",'NETWORK-DEVICES'!$AF$3:$AF$987,""),"Peripheral",_xlfn.XLOOKUP($K171&amp;"",PERIPHERAL!$B$3:$B$954&amp;"",PERIPHERAL!$Y$3:$Y$954,""),"Utilities",_xlfn.XLOOKUP($K171&amp;"",UTILITIES!$B$3:$B$953&amp;"",UTILITIES!$O$3:$O$953,""),"IOT",_xlfn.XLOOKUP($K171&amp;"",IOT!$B$3:$B$1012&amp;"",IOT!$AB$3:$AB$1012,""),"Server",_xlfn.XLOOKUP($K171&amp;"",SERVER!$B$3:$B$1009&amp;"",SERVER!$AB$3:$AB$1009,""),""))))</f>
        <v/>
      </c>
      <c r="R171" s="43" t="str">
        <f>IF(tbl_handover[[#This Row],[Asset Code]]="","",COUNTIF(tbl_handover[Asset Code],tbl_handover[[#This Row],[Asset Code]]))</f>
        <v/>
      </c>
    </row>
    <row r="172" spans="1:18" x14ac:dyDescent="0.25">
      <c r="A172" s="43" t="str">
        <f>IF(B172&lt;&gt;"",SUBTOTAL(3,$B$1:B171),"")</f>
        <v/>
      </c>
      <c r="C172" s="74"/>
      <c r="D172" s="74"/>
      <c r="G172" s="1"/>
      <c r="K172" s="42"/>
      <c r="L172" t="str" cm="1">
        <f t="array" ref="L172">IF($K172="","",_xlfn.SWITCH($I172,"Computer",_xlfn.XLOOKUP($K172&amp;"",COMPUTER!$B$3:$B$1009&amp;"",COMPUTER!$I$3:$I$1009,""),"Display",_xlfn.XLOOKUP($K172&amp;"",DISPLAY!$B$3:$B$1000&amp;"",DISPLAY!$J$3:$J$1000,""),"Network Device",_xlfn.XLOOKUP($K172&amp;"",'NETWORK-DEVICES'!$B$3:$B$987&amp;"",'NETWORK-DEVICES'!$I$3:$I$987,""),"Peripheral",_xlfn.XLOOKUP($K172&amp;"",PERIPHERAL!$B$3:$B$954&amp;"",PERIPHERAL!$I$3:$I$954,""),"Utilities",_xlfn.XLOOKUP($K172&amp;"",UTILITIES!$B$3:$B$953&amp;"",UTILITIES!$H$3:$H$953,""),"IOT",_xlfn.XLOOKUP($K172&amp;"",IOT!$B$3:$B$1012&amp;"",IOT!$I$3:$I$1012,""),"SERVER",_xlfn.XLOOKUP($K172&amp;"",SERVER!$B$3:$B$1009&amp;"",SERVER!$I$3:$I$1009,""),""))</f>
        <v/>
      </c>
      <c r="M172" t="str" cm="1">
        <f t="array" ref="M172">IF($K172="","",_xlfn.SWITCH($I172,"Computer",_xlfn.XLOOKUP($K172&amp;"",COMPUTER!$B$3:$B$1009&amp;"",COMPUTER!$J$3:$J$1009,""),"Display",_xlfn.XLOOKUP($K172&amp;"",DISPLAY!$B$3:$B$1000&amp;"",DISPLAY!$K$3:$K$1000,""),"Network Device",_xlfn.XLOOKUP($K172&amp;"",'NETWORK-DEVICES'!$B$3:$B$987&amp;"",'NETWORK-DEVICES'!$I$3:$I$987,""),"Peripheral",_xlfn.XLOOKUP($K172&amp;"",PERIPHERAL!$B$3:$B$954&amp;"",PERIPHERAL!$J$3:$J$954,""),"Utilities",_xlfn.XLOOKUP($K172&amp;"",UTILITIES!$B$3:$B$953&amp;"",UTILITIES!$I$3:$I$953,""),"IOT",_xlfn.XLOOKUP($K172&amp;"",IOT!$B$3:$B$1012&amp;"",IOT!$J$3:$J$1012,""),"Server",_xlfn.XLOOKUP($K172&amp;"",SERVER!$B$3:$B$1009&amp;"",SERVER!$J$3:$J$1009,""),""))</f>
        <v/>
      </c>
      <c r="N172" s="1" t="str" cm="1">
        <f t="array" ref="N172">IF(OR($K172="",$I172="",$J172=""),"",_xlfn.LET(_xlpm.srcCat,_xlfn.SWITCH($I172,"Computer",_xlfn.XLOOKUP($K172&amp;"",COMPUTER!$B$3:$B$1009&amp;"",COMPUTER!$H$3:$H$1009,""),"Display",_xlfn.XLOOKUP($K172&amp;"",DISPLAY!$B$3:$B$1000&amp;"",DISPLAY!$H$3:$H$1000,""),"Network Device",_xlfn.XLOOKUP($K172&amp;"",'NETWORK-DEVICES'!$B$3:$B$987&amp;"",'NETWORK-DEVICES'!$H$3:$H$987,""),"Peripheral",_xlfn.XLOOKUP($K172&amp;"",PERIPHERAL!$B$3:$B$954&amp;"",PERIPHERAL!$H$3:$H$954,""),"Utilities",_xlfn.XLOOKUP($K172&amp;"",UTILITIES!$B$3:$B$953&amp;"",UTILITIES!$G$3:$G$953,""),"IOT",_xlfn.XLOOKUP($K172&amp;"",IOT!$B$3:$B$1012&amp;"",IOT!$H$3:$H$1012,""),"Server",_xlfn.XLOOKUP($K172&amp;"",SERVER!$B$3:$B$1009&amp;"",SERVER!$H$3:$H$1009,""),""),IF(TRIM(_xlpm.srcCat)&lt;&gt;TRIM($J172),"",_xlfn.SWITCH($I172,"Computer",_xlfn.XLOOKUP($K172&amp;"",COMPUTER!$B$3:$B$1009&amp;"",COMPUTER!$K$3:$K$1009,""),"Display",_xlfn.XLOOKUP($K172&amp;"",DISPLAY!$B$3:$B$1000&amp;"",DISPLAY!$L$3:$L$1000,""),"Network Device",_xlfn.XLOOKUP($K172&amp;"",'NETWORK-DEVICES'!$B$3:$B$987&amp;"",'NETWORK-DEVICES'!$K$3:$K$987,""),"Peripheral",_xlfn.XLOOKUP($K172&amp;"",PERIPHERAL!$B$3:$B$954&amp;"",PERIPHERAL!$K$3:$K$954,""),"Utilities",_xlfn.XLOOKUP($K172&amp;"",UTILITIES!$B$3:$B$953&amp;"",UTILITIES!$J$3:$J$953,""),"IOT",_xlfn.XLOOKUP($K172&amp;"",IOT!$B$3:$B$1012&amp;"",IOT!$K$4:$K$1012,""),"Server",_xlfn.XLOOKUP($K172&amp;"",SERVER!$B$3:$B$1009&amp;"",SERVER!$K$3:$K$1009,""),""))))</f>
        <v/>
      </c>
      <c r="O172" s="1" t="str" cm="1">
        <f t="array" ref="O172">IF(OR($K172="",$I172="",$J172=""),"",_xlfn.LET(_xlpm.srcCat,_xlfn.SWITCH($I172,"Computer",_xlfn.XLOOKUP($K172&amp;"",COMPUTER!$B$3:$B$1009&amp;"",COMPUTER!$H$3:$H$1009,""),"Display",_xlfn.XLOOKUP($K172&amp;"",DISPLAY!$B$3:$B$1000&amp;"",DISPLAY!$H$3:$H$1000,""),"Network Device",_xlfn.XLOOKUP($K172&amp;"",'NETWORK-DEVICES'!$B$3:$B$987&amp;"",'NETWORK-DEVICES'!$H$3:$H$987,""),"Peripheral",_xlfn.XLOOKUP($K172&amp;"",PERIPHERAL!$B$3:$B$954&amp;"",PERIPHERAL!$H$3:$H$954,""),"Utilities",_xlfn.XLOOKUP($K172&amp;"",UTILITIES!$B$3:$B$953&amp;"",UTILITIES!$G$3:$G$953,""),"IOT",_xlfn.XLOOKUP($K172&amp;"",IOT!$B$3:$B$1012&amp;"",IOT!$H$3:$H$1012,""),"Server",_xlfn.XLOOKUP($K172&amp;"",SERVER!$B$3:$B$1009&amp;"",SERVER!$H$3:$H$1009,""),""),IF(TRIM(_xlpm.srcCat)&lt;&gt;TRIM($J172),"",_xlfn.SWITCH($I172,"Computer",_xlfn.XLOOKUP($K172&amp;"",COMPUTER!$B$3:$B$1009&amp;"",COMPUTER!$E$3:$E$1009,""),"Display",_xlfn.XLOOKUP($K172&amp;"",DISPLAY!$B$3:$B$1000&amp;"",DISPLAY!$E$3:$E$1000,""),"Network Device",_xlfn.XLOOKUP($K172&amp;"",'NETWORK-DEVICES'!$B$3:$B$987&amp;"",'NETWORK-DEVICES'!$E$3:$E$987,""),"Peripheral",_xlfn.XLOOKUP($K172&amp;"",PERIPHERAL!$B$3:$B$954&amp;"",PERIPHERAL!$E$3:$E$954,""),"Utilities",_xlfn.XLOOKUP($K172&amp;"",UTILITIES!$B$3:$B$953&amp;"",UTILITIES!$E$3:$E$953,""),"IOT",_xlfn.XLOOKUP($K172&amp;"",IOT!$B$3:$B$1012&amp;"",IOT!$E$3:$E$1012,""),"Server",_xlfn.XLOOKUP($K172&amp;"",SERVER!$B$3:$B$1009&amp;"",SERVER!$E$3:$E$1009,""),""))))</f>
        <v/>
      </c>
      <c r="Q172" s="1" t="str" cm="1">
        <f t="array" ref="Q172">IF(OR($K172="",$I172="",$J172=""),"",_xlfn.LET(_xlpm.srcCat,_xlfn.SWITCH($I172,"Computer",_xlfn.XLOOKUP($K172&amp;"",COMPUTER!$B$3:$B$1009&amp;"",COMPUTER!$H$3:$H$1009,""),"Display",_xlfn.XLOOKUP($K172&amp;"",DISPLAY!$B$3:$B$1000&amp;"",DISPLAY!$H$3:$H$1000,""),"Network Device",_xlfn.XLOOKUP($K172&amp;"",'NETWORK-DEVICES'!$B$3:$B$987&amp;"",'NETWORK-DEVICES'!$H$3:$H$987,""),"Peripheral",_xlfn.XLOOKUP($K172&amp;"",PERIPHERAL!$B$3:$B$954&amp;"",PERIPHERAL!$H$3:$H$954,""),"Utilities",_xlfn.XLOOKUP($K172&amp;"",UTILITIES!$B$3:$B$953&amp;"",UTILITIES!$G$3:$G$953,""),"IOT",_xlfn.XLOOKUP($K172&amp;"",IOT!$B$3:$B$1012&amp;"",IOT!$H$3:$H$1012,""),"Server",_xlfn.XLOOKUP($K172&amp;"",SERVER!$B$3:$B$1009&amp;"",SERVER!$H$3:$H$1009,""),""),IF(TRIM(_xlpm.srcCat)&lt;&gt;TRIM($J172),"",_xlfn.SWITCH($I172,"Computer",_xlfn.XLOOKUP($K172&amp;"",COMPUTER!$B$3:$B$1009&amp;"",COMPUTER!$AM$3:$AM$1009,""),"Display",_xlfn.XLOOKUP($K172&amp;"",DISPLAY!$B$3:$B$1000&amp;"",DISPLAY!$V$3:$V$1000,""),"Network Device",_xlfn.XLOOKUP($K172&amp;"",'NETWORK-DEVICES'!$B$3:$B$987&amp;"",'NETWORK-DEVICES'!$AF$3:$AF$987,""),"Peripheral",_xlfn.XLOOKUP($K172&amp;"",PERIPHERAL!$B$3:$B$954&amp;"",PERIPHERAL!$Y$3:$Y$954,""),"Utilities",_xlfn.XLOOKUP($K172&amp;"",UTILITIES!$B$3:$B$953&amp;"",UTILITIES!$O$3:$O$953,""),"IOT",_xlfn.XLOOKUP($K172&amp;"",IOT!$B$3:$B$1012&amp;"",IOT!$AB$3:$AB$1012,""),"Server",_xlfn.XLOOKUP($K172&amp;"",SERVER!$B$3:$B$1009&amp;"",SERVER!$AB$3:$AB$1009,""),""))))</f>
        <v/>
      </c>
      <c r="R172" s="43" t="str">
        <f>IF(tbl_handover[[#This Row],[Asset Code]]="","",COUNTIF(tbl_handover[Asset Code],tbl_handover[[#This Row],[Asset Code]]))</f>
        <v/>
      </c>
    </row>
    <row r="173" spans="1:18" x14ac:dyDescent="0.25">
      <c r="A173" s="43" t="str">
        <f>IF(B173&lt;&gt;"",SUBTOTAL(3,$B$1:B172),"")</f>
        <v/>
      </c>
      <c r="C173" s="74"/>
      <c r="D173" s="74"/>
      <c r="G173" s="1"/>
      <c r="K173" s="42"/>
      <c r="L173" t="str" cm="1">
        <f t="array" ref="L173">IF($K173="","",_xlfn.SWITCH($I173,"Computer",_xlfn.XLOOKUP($K173&amp;"",COMPUTER!$B$3:$B$1009&amp;"",COMPUTER!$I$3:$I$1009,""),"Display",_xlfn.XLOOKUP($K173&amp;"",DISPLAY!$B$3:$B$1000&amp;"",DISPLAY!$J$3:$J$1000,""),"Network Device",_xlfn.XLOOKUP($K173&amp;"",'NETWORK-DEVICES'!$B$3:$B$987&amp;"",'NETWORK-DEVICES'!$I$3:$I$987,""),"Peripheral",_xlfn.XLOOKUP($K173&amp;"",PERIPHERAL!$B$3:$B$954&amp;"",PERIPHERAL!$I$3:$I$954,""),"Utilities",_xlfn.XLOOKUP($K173&amp;"",UTILITIES!$B$3:$B$953&amp;"",UTILITIES!$H$3:$H$953,""),"IOT",_xlfn.XLOOKUP($K173&amp;"",IOT!$B$3:$B$1012&amp;"",IOT!$I$3:$I$1012,""),"SERVER",_xlfn.XLOOKUP($K173&amp;"",SERVER!$B$3:$B$1009&amp;"",SERVER!$I$3:$I$1009,""),""))</f>
        <v/>
      </c>
      <c r="M173" t="str" cm="1">
        <f t="array" ref="M173">IF($K173="","",_xlfn.SWITCH($I173,"Computer",_xlfn.XLOOKUP($K173&amp;"",COMPUTER!$B$3:$B$1009&amp;"",COMPUTER!$J$3:$J$1009,""),"Display",_xlfn.XLOOKUP($K173&amp;"",DISPLAY!$B$3:$B$1000&amp;"",DISPLAY!$K$3:$K$1000,""),"Network Device",_xlfn.XLOOKUP($K173&amp;"",'NETWORK-DEVICES'!$B$3:$B$987&amp;"",'NETWORK-DEVICES'!$I$3:$I$987,""),"Peripheral",_xlfn.XLOOKUP($K173&amp;"",PERIPHERAL!$B$3:$B$954&amp;"",PERIPHERAL!$J$3:$J$954,""),"Utilities",_xlfn.XLOOKUP($K173&amp;"",UTILITIES!$B$3:$B$953&amp;"",UTILITIES!$I$3:$I$953,""),"IOT",_xlfn.XLOOKUP($K173&amp;"",IOT!$B$3:$B$1012&amp;"",IOT!$J$3:$J$1012,""),"Server",_xlfn.XLOOKUP($K173&amp;"",SERVER!$B$3:$B$1009&amp;"",SERVER!$J$3:$J$1009,""),""))</f>
        <v/>
      </c>
      <c r="N173" s="1" t="str" cm="1">
        <f t="array" ref="N173">IF(OR($K173="",$I173="",$J173=""),"",_xlfn.LET(_xlpm.srcCat,_xlfn.SWITCH($I173,"Computer",_xlfn.XLOOKUP($K173&amp;"",COMPUTER!$B$3:$B$1009&amp;"",COMPUTER!$H$3:$H$1009,""),"Display",_xlfn.XLOOKUP($K173&amp;"",DISPLAY!$B$3:$B$1000&amp;"",DISPLAY!$H$3:$H$1000,""),"Network Device",_xlfn.XLOOKUP($K173&amp;"",'NETWORK-DEVICES'!$B$3:$B$987&amp;"",'NETWORK-DEVICES'!$H$3:$H$987,""),"Peripheral",_xlfn.XLOOKUP($K173&amp;"",PERIPHERAL!$B$3:$B$954&amp;"",PERIPHERAL!$H$3:$H$954,""),"Utilities",_xlfn.XLOOKUP($K173&amp;"",UTILITIES!$B$3:$B$953&amp;"",UTILITIES!$G$3:$G$953,""),"IOT",_xlfn.XLOOKUP($K173&amp;"",IOT!$B$3:$B$1012&amp;"",IOT!$H$3:$H$1012,""),"Server",_xlfn.XLOOKUP($K173&amp;"",SERVER!$B$3:$B$1009&amp;"",SERVER!$H$3:$H$1009,""),""),IF(TRIM(_xlpm.srcCat)&lt;&gt;TRIM($J173),"",_xlfn.SWITCH($I173,"Computer",_xlfn.XLOOKUP($K173&amp;"",COMPUTER!$B$3:$B$1009&amp;"",COMPUTER!$K$3:$K$1009,""),"Display",_xlfn.XLOOKUP($K173&amp;"",DISPLAY!$B$3:$B$1000&amp;"",DISPLAY!$L$3:$L$1000,""),"Network Device",_xlfn.XLOOKUP($K173&amp;"",'NETWORK-DEVICES'!$B$3:$B$987&amp;"",'NETWORK-DEVICES'!$K$3:$K$987,""),"Peripheral",_xlfn.XLOOKUP($K173&amp;"",PERIPHERAL!$B$3:$B$954&amp;"",PERIPHERAL!$K$3:$K$954,""),"Utilities",_xlfn.XLOOKUP($K173&amp;"",UTILITIES!$B$3:$B$953&amp;"",UTILITIES!$J$3:$J$953,""),"IOT",_xlfn.XLOOKUP($K173&amp;"",IOT!$B$3:$B$1012&amp;"",IOT!$K$4:$K$1012,""),"Server",_xlfn.XLOOKUP($K173&amp;"",SERVER!$B$3:$B$1009&amp;"",SERVER!$K$3:$K$1009,""),""))))</f>
        <v/>
      </c>
      <c r="O173" s="1" t="str" cm="1">
        <f t="array" ref="O173">IF(OR($K173="",$I173="",$J173=""),"",_xlfn.LET(_xlpm.srcCat,_xlfn.SWITCH($I173,"Computer",_xlfn.XLOOKUP($K173&amp;"",COMPUTER!$B$3:$B$1009&amp;"",COMPUTER!$H$3:$H$1009,""),"Display",_xlfn.XLOOKUP($K173&amp;"",DISPLAY!$B$3:$B$1000&amp;"",DISPLAY!$H$3:$H$1000,""),"Network Device",_xlfn.XLOOKUP($K173&amp;"",'NETWORK-DEVICES'!$B$3:$B$987&amp;"",'NETWORK-DEVICES'!$H$3:$H$987,""),"Peripheral",_xlfn.XLOOKUP($K173&amp;"",PERIPHERAL!$B$3:$B$954&amp;"",PERIPHERAL!$H$3:$H$954,""),"Utilities",_xlfn.XLOOKUP($K173&amp;"",UTILITIES!$B$3:$B$953&amp;"",UTILITIES!$G$3:$G$953,""),"IOT",_xlfn.XLOOKUP($K173&amp;"",IOT!$B$3:$B$1012&amp;"",IOT!$H$3:$H$1012,""),"Server",_xlfn.XLOOKUP($K173&amp;"",SERVER!$B$3:$B$1009&amp;"",SERVER!$H$3:$H$1009,""),""),IF(TRIM(_xlpm.srcCat)&lt;&gt;TRIM($J173),"",_xlfn.SWITCH($I173,"Computer",_xlfn.XLOOKUP($K173&amp;"",COMPUTER!$B$3:$B$1009&amp;"",COMPUTER!$E$3:$E$1009,""),"Display",_xlfn.XLOOKUP($K173&amp;"",DISPLAY!$B$3:$B$1000&amp;"",DISPLAY!$E$3:$E$1000,""),"Network Device",_xlfn.XLOOKUP($K173&amp;"",'NETWORK-DEVICES'!$B$3:$B$987&amp;"",'NETWORK-DEVICES'!$E$3:$E$987,""),"Peripheral",_xlfn.XLOOKUP($K173&amp;"",PERIPHERAL!$B$3:$B$954&amp;"",PERIPHERAL!$E$3:$E$954,""),"Utilities",_xlfn.XLOOKUP($K173&amp;"",UTILITIES!$B$3:$B$953&amp;"",UTILITIES!$E$3:$E$953,""),"IOT",_xlfn.XLOOKUP($K173&amp;"",IOT!$B$3:$B$1012&amp;"",IOT!$E$3:$E$1012,""),"Server",_xlfn.XLOOKUP($K173&amp;"",SERVER!$B$3:$B$1009&amp;"",SERVER!$E$3:$E$1009,""),""))))</f>
        <v/>
      </c>
      <c r="Q173" s="1" t="str" cm="1">
        <f t="array" ref="Q173">IF(OR($K173="",$I173="",$J173=""),"",_xlfn.LET(_xlpm.srcCat,_xlfn.SWITCH($I173,"Computer",_xlfn.XLOOKUP($K173&amp;"",COMPUTER!$B$3:$B$1009&amp;"",COMPUTER!$H$3:$H$1009,""),"Display",_xlfn.XLOOKUP($K173&amp;"",DISPLAY!$B$3:$B$1000&amp;"",DISPLAY!$H$3:$H$1000,""),"Network Device",_xlfn.XLOOKUP($K173&amp;"",'NETWORK-DEVICES'!$B$3:$B$987&amp;"",'NETWORK-DEVICES'!$H$3:$H$987,""),"Peripheral",_xlfn.XLOOKUP($K173&amp;"",PERIPHERAL!$B$3:$B$954&amp;"",PERIPHERAL!$H$3:$H$954,""),"Utilities",_xlfn.XLOOKUP($K173&amp;"",UTILITIES!$B$3:$B$953&amp;"",UTILITIES!$G$3:$G$953,""),"IOT",_xlfn.XLOOKUP($K173&amp;"",IOT!$B$3:$B$1012&amp;"",IOT!$H$3:$H$1012,""),"Server",_xlfn.XLOOKUP($K173&amp;"",SERVER!$B$3:$B$1009&amp;"",SERVER!$H$3:$H$1009,""),""),IF(TRIM(_xlpm.srcCat)&lt;&gt;TRIM($J173),"",_xlfn.SWITCH($I173,"Computer",_xlfn.XLOOKUP($K173&amp;"",COMPUTER!$B$3:$B$1009&amp;"",COMPUTER!$AM$3:$AM$1009,""),"Display",_xlfn.XLOOKUP($K173&amp;"",DISPLAY!$B$3:$B$1000&amp;"",DISPLAY!$V$3:$V$1000,""),"Network Device",_xlfn.XLOOKUP($K173&amp;"",'NETWORK-DEVICES'!$B$3:$B$987&amp;"",'NETWORK-DEVICES'!$AF$3:$AF$987,""),"Peripheral",_xlfn.XLOOKUP($K173&amp;"",PERIPHERAL!$B$3:$B$954&amp;"",PERIPHERAL!$Y$3:$Y$954,""),"Utilities",_xlfn.XLOOKUP($K173&amp;"",UTILITIES!$B$3:$B$953&amp;"",UTILITIES!$O$3:$O$953,""),"IOT",_xlfn.XLOOKUP($K173&amp;"",IOT!$B$3:$B$1012&amp;"",IOT!$AB$3:$AB$1012,""),"Server",_xlfn.XLOOKUP($K173&amp;"",SERVER!$B$3:$B$1009&amp;"",SERVER!$AB$3:$AB$1009,""),""))))</f>
        <v/>
      </c>
      <c r="R173" s="43" t="str">
        <f>IF(tbl_handover[[#This Row],[Asset Code]]="","",COUNTIF(tbl_handover[Asset Code],tbl_handover[[#This Row],[Asset Code]]))</f>
        <v/>
      </c>
    </row>
    <row r="174" spans="1:18" x14ac:dyDescent="0.25">
      <c r="A174" s="43" t="str">
        <f>IF(B174&lt;&gt;"",SUBTOTAL(3,$B$1:B173),"")</f>
        <v/>
      </c>
      <c r="C174" s="74"/>
      <c r="D174" s="74"/>
      <c r="G174" s="1"/>
      <c r="K174" s="42"/>
      <c r="L174" t="str" cm="1">
        <f t="array" ref="L174">IF($K174="","",_xlfn.SWITCH($I174,"Computer",_xlfn.XLOOKUP($K174&amp;"",COMPUTER!$B$3:$B$1009&amp;"",COMPUTER!$I$3:$I$1009,""),"Display",_xlfn.XLOOKUP($K174&amp;"",DISPLAY!$B$3:$B$1000&amp;"",DISPLAY!$J$3:$J$1000,""),"Network Device",_xlfn.XLOOKUP($K174&amp;"",'NETWORK-DEVICES'!$B$3:$B$987&amp;"",'NETWORK-DEVICES'!$I$3:$I$987,""),"Peripheral",_xlfn.XLOOKUP($K174&amp;"",PERIPHERAL!$B$3:$B$954&amp;"",PERIPHERAL!$I$3:$I$954,""),"Utilities",_xlfn.XLOOKUP($K174&amp;"",UTILITIES!$B$3:$B$953&amp;"",UTILITIES!$H$3:$H$953,""),"IOT",_xlfn.XLOOKUP($K174&amp;"",IOT!$B$3:$B$1012&amp;"",IOT!$I$3:$I$1012,""),"SERVER",_xlfn.XLOOKUP($K174&amp;"",SERVER!$B$3:$B$1009&amp;"",SERVER!$I$3:$I$1009,""),""))</f>
        <v/>
      </c>
      <c r="M174" t="str" cm="1">
        <f t="array" ref="M174">IF($K174="","",_xlfn.SWITCH($I174,"Computer",_xlfn.XLOOKUP($K174&amp;"",COMPUTER!$B$3:$B$1009&amp;"",COMPUTER!$J$3:$J$1009,""),"Display",_xlfn.XLOOKUP($K174&amp;"",DISPLAY!$B$3:$B$1000&amp;"",DISPLAY!$K$3:$K$1000,""),"Network Device",_xlfn.XLOOKUP($K174&amp;"",'NETWORK-DEVICES'!$B$3:$B$987&amp;"",'NETWORK-DEVICES'!$I$3:$I$987,""),"Peripheral",_xlfn.XLOOKUP($K174&amp;"",PERIPHERAL!$B$3:$B$954&amp;"",PERIPHERAL!$J$3:$J$954,""),"Utilities",_xlfn.XLOOKUP($K174&amp;"",UTILITIES!$B$3:$B$953&amp;"",UTILITIES!$I$3:$I$953,""),"IOT",_xlfn.XLOOKUP($K174&amp;"",IOT!$B$3:$B$1012&amp;"",IOT!$J$3:$J$1012,""),"Server",_xlfn.XLOOKUP($K174&amp;"",SERVER!$B$3:$B$1009&amp;"",SERVER!$J$3:$J$1009,""),""))</f>
        <v/>
      </c>
      <c r="N174" s="1" t="str" cm="1">
        <f t="array" ref="N174">IF(OR($K174="",$I174="",$J174=""),"",_xlfn.LET(_xlpm.srcCat,_xlfn.SWITCH($I174,"Computer",_xlfn.XLOOKUP($K174&amp;"",COMPUTER!$B$3:$B$1009&amp;"",COMPUTER!$H$3:$H$1009,""),"Display",_xlfn.XLOOKUP($K174&amp;"",DISPLAY!$B$3:$B$1000&amp;"",DISPLAY!$H$3:$H$1000,""),"Network Device",_xlfn.XLOOKUP($K174&amp;"",'NETWORK-DEVICES'!$B$3:$B$987&amp;"",'NETWORK-DEVICES'!$H$3:$H$987,""),"Peripheral",_xlfn.XLOOKUP($K174&amp;"",PERIPHERAL!$B$3:$B$954&amp;"",PERIPHERAL!$H$3:$H$954,""),"Utilities",_xlfn.XLOOKUP($K174&amp;"",UTILITIES!$B$3:$B$953&amp;"",UTILITIES!$G$3:$G$953,""),"IOT",_xlfn.XLOOKUP($K174&amp;"",IOT!$B$3:$B$1012&amp;"",IOT!$H$3:$H$1012,""),"Server",_xlfn.XLOOKUP($K174&amp;"",SERVER!$B$3:$B$1009&amp;"",SERVER!$H$3:$H$1009,""),""),IF(TRIM(_xlpm.srcCat)&lt;&gt;TRIM($J174),"",_xlfn.SWITCH($I174,"Computer",_xlfn.XLOOKUP($K174&amp;"",COMPUTER!$B$3:$B$1009&amp;"",COMPUTER!$K$3:$K$1009,""),"Display",_xlfn.XLOOKUP($K174&amp;"",DISPLAY!$B$3:$B$1000&amp;"",DISPLAY!$L$3:$L$1000,""),"Network Device",_xlfn.XLOOKUP($K174&amp;"",'NETWORK-DEVICES'!$B$3:$B$987&amp;"",'NETWORK-DEVICES'!$K$3:$K$987,""),"Peripheral",_xlfn.XLOOKUP($K174&amp;"",PERIPHERAL!$B$3:$B$954&amp;"",PERIPHERAL!$K$3:$K$954,""),"Utilities",_xlfn.XLOOKUP($K174&amp;"",UTILITIES!$B$3:$B$953&amp;"",UTILITIES!$J$3:$J$953,""),"IOT",_xlfn.XLOOKUP($K174&amp;"",IOT!$B$3:$B$1012&amp;"",IOT!$K$4:$K$1012,""),"Server",_xlfn.XLOOKUP($K174&amp;"",SERVER!$B$3:$B$1009&amp;"",SERVER!$K$3:$K$1009,""),""))))</f>
        <v/>
      </c>
      <c r="O174" s="1" t="str" cm="1">
        <f t="array" ref="O174">IF(OR($K174="",$I174="",$J174=""),"",_xlfn.LET(_xlpm.srcCat,_xlfn.SWITCH($I174,"Computer",_xlfn.XLOOKUP($K174&amp;"",COMPUTER!$B$3:$B$1009&amp;"",COMPUTER!$H$3:$H$1009,""),"Display",_xlfn.XLOOKUP($K174&amp;"",DISPLAY!$B$3:$B$1000&amp;"",DISPLAY!$H$3:$H$1000,""),"Network Device",_xlfn.XLOOKUP($K174&amp;"",'NETWORK-DEVICES'!$B$3:$B$987&amp;"",'NETWORK-DEVICES'!$H$3:$H$987,""),"Peripheral",_xlfn.XLOOKUP($K174&amp;"",PERIPHERAL!$B$3:$B$954&amp;"",PERIPHERAL!$H$3:$H$954,""),"Utilities",_xlfn.XLOOKUP($K174&amp;"",UTILITIES!$B$3:$B$953&amp;"",UTILITIES!$G$3:$G$953,""),"IOT",_xlfn.XLOOKUP($K174&amp;"",IOT!$B$3:$B$1012&amp;"",IOT!$H$3:$H$1012,""),"Server",_xlfn.XLOOKUP($K174&amp;"",SERVER!$B$3:$B$1009&amp;"",SERVER!$H$3:$H$1009,""),""),IF(TRIM(_xlpm.srcCat)&lt;&gt;TRIM($J174),"",_xlfn.SWITCH($I174,"Computer",_xlfn.XLOOKUP($K174&amp;"",COMPUTER!$B$3:$B$1009&amp;"",COMPUTER!$E$3:$E$1009,""),"Display",_xlfn.XLOOKUP($K174&amp;"",DISPLAY!$B$3:$B$1000&amp;"",DISPLAY!$E$3:$E$1000,""),"Network Device",_xlfn.XLOOKUP($K174&amp;"",'NETWORK-DEVICES'!$B$3:$B$987&amp;"",'NETWORK-DEVICES'!$E$3:$E$987,""),"Peripheral",_xlfn.XLOOKUP($K174&amp;"",PERIPHERAL!$B$3:$B$954&amp;"",PERIPHERAL!$E$3:$E$954,""),"Utilities",_xlfn.XLOOKUP($K174&amp;"",UTILITIES!$B$3:$B$953&amp;"",UTILITIES!$E$3:$E$953,""),"IOT",_xlfn.XLOOKUP($K174&amp;"",IOT!$B$3:$B$1012&amp;"",IOT!$E$3:$E$1012,""),"Server",_xlfn.XLOOKUP($K174&amp;"",SERVER!$B$3:$B$1009&amp;"",SERVER!$E$3:$E$1009,""),""))))</f>
        <v/>
      </c>
      <c r="Q174" s="1" t="str" cm="1">
        <f t="array" ref="Q174">IF(OR($K174="",$I174="",$J174=""),"",_xlfn.LET(_xlpm.srcCat,_xlfn.SWITCH($I174,"Computer",_xlfn.XLOOKUP($K174&amp;"",COMPUTER!$B$3:$B$1009&amp;"",COMPUTER!$H$3:$H$1009,""),"Display",_xlfn.XLOOKUP($K174&amp;"",DISPLAY!$B$3:$B$1000&amp;"",DISPLAY!$H$3:$H$1000,""),"Network Device",_xlfn.XLOOKUP($K174&amp;"",'NETWORK-DEVICES'!$B$3:$B$987&amp;"",'NETWORK-DEVICES'!$H$3:$H$987,""),"Peripheral",_xlfn.XLOOKUP($K174&amp;"",PERIPHERAL!$B$3:$B$954&amp;"",PERIPHERAL!$H$3:$H$954,""),"Utilities",_xlfn.XLOOKUP($K174&amp;"",UTILITIES!$B$3:$B$953&amp;"",UTILITIES!$G$3:$G$953,""),"IOT",_xlfn.XLOOKUP($K174&amp;"",IOT!$B$3:$B$1012&amp;"",IOT!$H$3:$H$1012,""),"Server",_xlfn.XLOOKUP($K174&amp;"",SERVER!$B$3:$B$1009&amp;"",SERVER!$H$3:$H$1009,""),""),IF(TRIM(_xlpm.srcCat)&lt;&gt;TRIM($J174),"",_xlfn.SWITCH($I174,"Computer",_xlfn.XLOOKUP($K174&amp;"",COMPUTER!$B$3:$B$1009&amp;"",COMPUTER!$AM$3:$AM$1009,""),"Display",_xlfn.XLOOKUP($K174&amp;"",DISPLAY!$B$3:$B$1000&amp;"",DISPLAY!$V$3:$V$1000,""),"Network Device",_xlfn.XLOOKUP($K174&amp;"",'NETWORK-DEVICES'!$B$3:$B$987&amp;"",'NETWORK-DEVICES'!$AF$3:$AF$987,""),"Peripheral",_xlfn.XLOOKUP($K174&amp;"",PERIPHERAL!$B$3:$B$954&amp;"",PERIPHERAL!$Y$3:$Y$954,""),"Utilities",_xlfn.XLOOKUP($K174&amp;"",UTILITIES!$B$3:$B$953&amp;"",UTILITIES!$O$3:$O$953,""),"IOT",_xlfn.XLOOKUP($K174&amp;"",IOT!$B$3:$B$1012&amp;"",IOT!$AB$3:$AB$1012,""),"Server",_xlfn.XLOOKUP($K174&amp;"",SERVER!$B$3:$B$1009&amp;"",SERVER!$AB$3:$AB$1009,""),""))))</f>
        <v/>
      </c>
      <c r="R174" s="43" t="str">
        <f>IF(tbl_handover[[#This Row],[Asset Code]]="","",COUNTIF(tbl_handover[Asset Code],tbl_handover[[#This Row],[Asset Code]]))</f>
        <v/>
      </c>
    </row>
    <row r="175" spans="1:18" x14ac:dyDescent="0.25">
      <c r="A175" s="43" t="str">
        <f>IF(B175&lt;&gt;"",SUBTOTAL(3,$B$1:B174),"")</f>
        <v/>
      </c>
      <c r="C175" s="74"/>
      <c r="D175" s="74"/>
      <c r="G175" s="1"/>
      <c r="K175" s="42"/>
      <c r="L175" t="str" cm="1">
        <f t="array" ref="L175">IF($K175="","",_xlfn.SWITCH($I175,"Computer",_xlfn.XLOOKUP($K175&amp;"",COMPUTER!$B$3:$B$1009&amp;"",COMPUTER!$I$3:$I$1009,""),"Display",_xlfn.XLOOKUP($K175&amp;"",DISPLAY!$B$3:$B$1000&amp;"",DISPLAY!$J$3:$J$1000,""),"Network Device",_xlfn.XLOOKUP($K175&amp;"",'NETWORK-DEVICES'!$B$3:$B$987&amp;"",'NETWORK-DEVICES'!$I$3:$I$987,""),"Peripheral",_xlfn.XLOOKUP($K175&amp;"",PERIPHERAL!$B$3:$B$954&amp;"",PERIPHERAL!$I$3:$I$954,""),"Utilities",_xlfn.XLOOKUP($K175&amp;"",UTILITIES!$B$3:$B$953&amp;"",UTILITIES!$H$3:$H$953,""),"IOT",_xlfn.XLOOKUP($K175&amp;"",IOT!$B$3:$B$1012&amp;"",IOT!$I$3:$I$1012,""),"SERVER",_xlfn.XLOOKUP($K175&amp;"",SERVER!$B$3:$B$1009&amp;"",SERVER!$I$3:$I$1009,""),""))</f>
        <v/>
      </c>
      <c r="M175" t="str" cm="1">
        <f t="array" ref="M175">IF($K175="","",_xlfn.SWITCH($I175,"Computer",_xlfn.XLOOKUP($K175&amp;"",COMPUTER!$B$3:$B$1009&amp;"",COMPUTER!$J$3:$J$1009,""),"Display",_xlfn.XLOOKUP($K175&amp;"",DISPLAY!$B$3:$B$1000&amp;"",DISPLAY!$K$3:$K$1000,""),"Network Device",_xlfn.XLOOKUP($K175&amp;"",'NETWORK-DEVICES'!$B$3:$B$987&amp;"",'NETWORK-DEVICES'!$I$3:$I$987,""),"Peripheral",_xlfn.XLOOKUP($K175&amp;"",PERIPHERAL!$B$3:$B$954&amp;"",PERIPHERAL!$J$3:$J$954,""),"Utilities",_xlfn.XLOOKUP($K175&amp;"",UTILITIES!$B$3:$B$953&amp;"",UTILITIES!$I$3:$I$953,""),"IOT",_xlfn.XLOOKUP($K175&amp;"",IOT!$B$3:$B$1012&amp;"",IOT!$J$3:$J$1012,""),"Server",_xlfn.XLOOKUP($K175&amp;"",SERVER!$B$3:$B$1009&amp;"",SERVER!$J$3:$J$1009,""),""))</f>
        <v/>
      </c>
      <c r="N175" s="1" t="str" cm="1">
        <f t="array" ref="N175">IF(OR($K175="",$I175="",$J175=""),"",_xlfn.LET(_xlpm.srcCat,_xlfn.SWITCH($I175,"Computer",_xlfn.XLOOKUP($K175&amp;"",COMPUTER!$B$3:$B$1009&amp;"",COMPUTER!$H$3:$H$1009,""),"Display",_xlfn.XLOOKUP($K175&amp;"",DISPLAY!$B$3:$B$1000&amp;"",DISPLAY!$H$3:$H$1000,""),"Network Device",_xlfn.XLOOKUP($K175&amp;"",'NETWORK-DEVICES'!$B$3:$B$987&amp;"",'NETWORK-DEVICES'!$H$3:$H$987,""),"Peripheral",_xlfn.XLOOKUP($K175&amp;"",PERIPHERAL!$B$3:$B$954&amp;"",PERIPHERAL!$H$3:$H$954,""),"Utilities",_xlfn.XLOOKUP($K175&amp;"",UTILITIES!$B$3:$B$953&amp;"",UTILITIES!$G$3:$G$953,""),"IOT",_xlfn.XLOOKUP($K175&amp;"",IOT!$B$3:$B$1012&amp;"",IOT!$H$3:$H$1012,""),"Server",_xlfn.XLOOKUP($K175&amp;"",SERVER!$B$3:$B$1009&amp;"",SERVER!$H$3:$H$1009,""),""),IF(TRIM(_xlpm.srcCat)&lt;&gt;TRIM($J175),"",_xlfn.SWITCH($I175,"Computer",_xlfn.XLOOKUP($K175&amp;"",COMPUTER!$B$3:$B$1009&amp;"",COMPUTER!$K$3:$K$1009,""),"Display",_xlfn.XLOOKUP($K175&amp;"",DISPLAY!$B$3:$B$1000&amp;"",DISPLAY!$L$3:$L$1000,""),"Network Device",_xlfn.XLOOKUP($K175&amp;"",'NETWORK-DEVICES'!$B$3:$B$987&amp;"",'NETWORK-DEVICES'!$K$3:$K$987,""),"Peripheral",_xlfn.XLOOKUP($K175&amp;"",PERIPHERAL!$B$3:$B$954&amp;"",PERIPHERAL!$K$3:$K$954,""),"Utilities",_xlfn.XLOOKUP($K175&amp;"",UTILITIES!$B$3:$B$953&amp;"",UTILITIES!$J$3:$J$953,""),"IOT",_xlfn.XLOOKUP($K175&amp;"",IOT!$B$3:$B$1012&amp;"",IOT!$K$4:$K$1012,""),"Server",_xlfn.XLOOKUP($K175&amp;"",SERVER!$B$3:$B$1009&amp;"",SERVER!$K$3:$K$1009,""),""))))</f>
        <v/>
      </c>
      <c r="O175" s="1" t="str" cm="1">
        <f t="array" ref="O175">IF(OR($K175="",$I175="",$J175=""),"",_xlfn.LET(_xlpm.srcCat,_xlfn.SWITCH($I175,"Computer",_xlfn.XLOOKUP($K175&amp;"",COMPUTER!$B$3:$B$1009&amp;"",COMPUTER!$H$3:$H$1009,""),"Display",_xlfn.XLOOKUP($K175&amp;"",DISPLAY!$B$3:$B$1000&amp;"",DISPLAY!$H$3:$H$1000,""),"Network Device",_xlfn.XLOOKUP($K175&amp;"",'NETWORK-DEVICES'!$B$3:$B$987&amp;"",'NETWORK-DEVICES'!$H$3:$H$987,""),"Peripheral",_xlfn.XLOOKUP($K175&amp;"",PERIPHERAL!$B$3:$B$954&amp;"",PERIPHERAL!$H$3:$H$954,""),"Utilities",_xlfn.XLOOKUP($K175&amp;"",UTILITIES!$B$3:$B$953&amp;"",UTILITIES!$G$3:$G$953,""),"IOT",_xlfn.XLOOKUP($K175&amp;"",IOT!$B$3:$B$1012&amp;"",IOT!$H$3:$H$1012,""),"Server",_xlfn.XLOOKUP($K175&amp;"",SERVER!$B$3:$B$1009&amp;"",SERVER!$H$3:$H$1009,""),""),IF(TRIM(_xlpm.srcCat)&lt;&gt;TRIM($J175),"",_xlfn.SWITCH($I175,"Computer",_xlfn.XLOOKUP($K175&amp;"",COMPUTER!$B$3:$B$1009&amp;"",COMPUTER!$E$3:$E$1009,""),"Display",_xlfn.XLOOKUP($K175&amp;"",DISPLAY!$B$3:$B$1000&amp;"",DISPLAY!$E$3:$E$1000,""),"Network Device",_xlfn.XLOOKUP($K175&amp;"",'NETWORK-DEVICES'!$B$3:$B$987&amp;"",'NETWORK-DEVICES'!$E$3:$E$987,""),"Peripheral",_xlfn.XLOOKUP($K175&amp;"",PERIPHERAL!$B$3:$B$954&amp;"",PERIPHERAL!$E$3:$E$954,""),"Utilities",_xlfn.XLOOKUP($K175&amp;"",UTILITIES!$B$3:$B$953&amp;"",UTILITIES!$E$3:$E$953,""),"IOT",_xlfn.XLOOKUP($K175&amp;"",IOT!$B$3:$B$1012&amp;"",IOT!$E$3:$E$1012,""),"Server",_xlfn.XLOOKUP($K175&amp;"",SERVER!$B$3:$B$1009&amp;"",SERVER!$E$3:$E$1009,""),""))))</f>
        <v/>
      </c>
      <c r="Q175" s="1" t="str" cm="1">
        <f t="array" ref="Q175">IF(OR($K175="",$I175="",$J175=""),"",_xlfn.LET(_xlpm.srcCat,_xlfn.SWITCH($I175,"Computer",_xlfn.XLOOKUP($K175&amp;"",COMPUTER!$B$3:$B$1009&amp;"",COMPUTER!$H$3:$H$1009,""),"Display",_xlfn.XLOOKUP($K175&amp;"",DISPLAY!$B$3:$B$1000&amp;"",DISPLAY!$H$3:$H$1000,""),"Network Device",_xlfn.XLOOKUP($K175&amp;"",'NETWORK-DEVICES'!$B$3:$B$987&amp;"",'NETWORK-DEVICES'!$H$3:$H$987,""),"Peripheral",_xlfn.XLOOKUP($K175&amp;"",PERIPHERAL!$B$3:$B$954&amp;"",PERIPHERAL!$H$3:$H$954,""),"Utilities",_xlfn.XLOOKUP($K175&amp;"",UTILITIES!$B$3:$B$953&amp;"",UTILITIES!$G$3:$G$953,""),"IOT",_xlfn.XLOOKUP($K175&amp;"",IOT!$B$3:$B$1012&amp;"",IOT!$H$3:$H$1012,""),"Server",_xlfn.XLOOKUP($K175&amp;"",SERVER!$B$3:$B$1009&amp;"",SERVER!$H$3:$H$1009,""),""),IF(TRIM(_xlpm.srcCat)&lt;&gt;TRIM($J175),"",_xlfn.SWITCH($I175,"Computer",_xlfn.XLOOKUP($K175&amp;"",COMPUTER!$B$3:$B$1009&amp;"",COMPUTER!$AM$3:$AM$1009,""),"Display",_xlfn.XLOOKUP($K175&amp;"",DISPLAY!$B$3:$B$1000&amp;"",DISPLAY!$V$3:$V$1000,""),"Network Device",_xlfn.XLOOKUP($K175&amp;"",'NETWORK-DEVICES'!$B$3:$B$987&amp;"",'NETWORK-DEVICES'!$AF$3:$AF$987,""),"Peripheral",_xlfn.XLOOKUP($K175&amp;"",PERIPHERAL!$B$3:$B$954&amp;"",PERIPHERAL!$Y$3:$Y$954,""),"Utilities",_xlfn.XLOOKUP($K175&amp;"",UTILITIES!$B$3:$B$953&amp;"",UTILITIES!$O$3:$O$953,""),"IOT",_xlfn.XLOOKUP($K175&amp;"",IOT!$B$3:$B$1012&amp;"",IOT!$AB$3:$AB$1012,""),"Server",_xlfn.XLOOKUP($K175&amp;"",SERVER!$B$3:$B$1009&amp;"",SERVER!$AB$3:$AB$1009,""),""))))</f>
        <v/>
      </c>
      <c r="R175" s="43" t="str">
        <f>IF(tbl_handover[[#This Row],[Asset Code]]="","",COUNTIF(tbl_handover[Asset Code],tbl_handover[[#This Row],[Asset Code]]))</f>
        <v/>
      </c>
    </row>
    <row r="176" spans="1:18" x14ac:dyDescent="0.25">
      <c r="A176" s="43" t="str">
        <f>IF(B176&lt;&gt;"",SUBTOTAL(3,$B$1:B175),"")</f>
        <v/>
      </c>
      <c r="C176" s="74"/>
      <c r="D176" s="74"/>
      <c r="G176" s="1"/>
      <c r="K176" s="42"/>
      <c r="L176" t="str" cm="1">
        <f t="array" ref="L176">IF($K176="","",_xlfn.SWITCH($I176,"Computer",_xlfn.XLOOKUP($K176&amp;"",COMPUTER!$B$3:$B$1009&amp;"",COMPUTER!$I$3:$I$1009,""),"Display",_xlfn.XLOOKUP($K176&amp;"",DISPLAY!$B$3:$B$1000&amp;"",DISPLAY!$J$3:$J$1000,""),"Network Device",_xlfn.XLOOKUP($K176&amp;"",'NETWORK-DEVICES'!$B$3:$B$987&amp;"",'NETWORK-DEVICES'!$I$3:$I$987,""),"Peripheral",_xlfn.XLOOKUP($K176&amp;"",PERIPHERAL!$B$3:$B$954&amp;"",PERIPHERAL!$I$3:$I$954,""),"Utilities",_xlfn.XLOOKUP($K176&amp;"",UTILITIES!$B$3:$B$953&amp;"",UTILITIES!$H$3:$H$953,""),"IOT",_xlfn.XLOOKUP($K176&amp;"",IOT!$B$3:$B$1012&amp;"",IOT!$I$3:$I$1012,""),"SERVER",_xlfn.XLOOKUP($K176&amp;"",SERVER!$B$3:$B$1009&amp;"",SERVER!$I$3:$I$1009,""),""))</f>
        <v/>
      </c>
      <c r="M176" t="str" cm="1">
        <f t="array" ref="M176">IF($K176="","",_xlfn.SWITCH($I176,"Computer",_xlfn.XLOOKUP($K176&amp;"",COMPUTER!$B$3:$B$1009&amp;"",COMPUTER!$J$3:$J$1009,""),"Display",_xlfn.XLOOKUP($K176&amp;"",DISPLAY!$B$3:$B$1000&amp;"",DISPLAY!$K$3:$K$1000,""),"Network Device",_xlfn.XLOOKUP($K176&amp;"",'NETWORK-DEVICES'!$B$3:$B$987&amp;"",'NETWORK-DEVICES'!$I$3:$I$987,""),"Peripheral",_xlfn.XLOOKUP($K176&amp;"",PERIPHERAL!$B$3:$B$954&amp;"",PERIPHERAL!$J$3:$J$954,""),"Utilities",_xlfn.XLOOKUP($K176&amp;"",UTILITIES!$B$3:$B$953&amp;"",UTILITIES!$I$3:$I$953,""),"IOT",_xlfn.XLOOKUP($K176&amp;"",IOT!$B$3:$B$1012&amp;"",IOT!$J$3:$J$1012,""),"Server",_xlfn.XLOOKUP($K176&amp;"",SERVER!$B$3:$B$1009&amp;"",SERVER!$J$3:$J$1009,""),""))</f>
        <v/>
      </c>
      <c r="N176" s="1" t="str" cm="1">
        <f t="array" ref="N176">IF(OR($K176="",$I176="",$J176=""),"",_xlfn.LET(_xlpm.srcCat,_xlfn.SWITCH($I176,"Computer",_xlfn.XLOOKUP($K176&amp;"",COMPUTER!$B$3:$B$1009&amp;"",COMPUTER!$H$3:$H$1009,""),"Display",_xlfn.XLOOKUP($K176&amp;"",DISPLAY!$B$3:$B$1000&amp;"",DISPLAY!$H$3:$H$1000,""),"Network Device",_xlfn.XLOOKUP($K176&amp;"",'NETWORK-DEVICES'!$B$3:$B$987&amp;"",'NETWORK-DEVICES'!$H$3:$H$987,""),"Peripheral",_xlfn.XLOOKUP($K176&amp;"",PERIPHERAL!$B$3:$B$954&amp;"",PERIPHERAL!$H$3:$H$954,""),"Utilities",_xlfn.XLOOKUP($K176&amp;"",UTILITIES!$B$3:$B$953&amp;"",UTILITIES!$G$3:$G$953,""),"IOT",_xlfn.XLOOKUP($K176&amp;"",IOT!$B$3:$B$1012&amp;"",IOT!$H$3:$H$1012,""),"Server",_xlfn.XLOOKUP($K176&amp;"",SERVER!$B$3:$B$1009&amp;"",SERVER!$H$3:$H$1009,""),""),IF(TRIM(_xlpm.srcCat)&lt;&gt;TRIM($J176),"",_xlfn.SWITCH($I176,"Computer",_xlfn.XLOOKUP($K176&amp;"",COMPUTER!$B$3:$B$1009&amp;"",COMPUTER!$K$3:$K$1009,""),"Display",_xlfn.XLOOKUP($K176&amp;"",DISPLAY!$B$3:$B$1000&amp;"",DISPLAY!$L$3:$L$1000,""),"Network Device",_xlfn.XLOOKUP($K176&amp;"",'NETWORK-DEVICES'!$B$3:$B$987&amp;"",'NETWORK-DEVICES'!$K$3:$K$987,""),"Peripheral",_xlfn.XLOOKUP($K176&amp;"",PERIPHERAL!$B$3:$B$954&amp;"",PERIPHERAL!$K$3:$K$954,""),"Utilities",_xlfn.XLOOKUP($K176&amp;"",UTILITIES!$B$3:$B$953&amp;"",UTILITIES!$J$3:$J$953,""),"IOT",_xlfn.XLOOKUP($K176&amp;"",IOT!$B$3:$B$1012&amp;"",IOT!$K$4:$K$1012,""),"Server",_xlfn.XLOOKUP($K176&amp;"",SERVER!$B$3:$B$1009&amp;"",SERVER!$K$3:$K$1009,""),""))))</f>
        <v/>
      </c>
      <c r="O176" s="1" t="str" cm="1">
        <f t="array" ref="O176">IF(OR($K176="",$I176="",$J176=""),"",_xlfn.LET(_xlpm.srcCat,_xlfn.SWITCH($I176,"Computer",_xlfn.XLOOKUP($K176&amp;"",COMPUTER!$B$3:$B$1009&amp;"",COMPUTER!$H$3:$H$1009,""),"Display",_xlfn.XLOOKUP($K176&amp;"",DISPLAY!$B$3:$B$1000&amp;"",DISPLAY!$H$3:$H$1000,""),"Network Device",_xlfn.XLOOKUP($K176&amp;"",'NETWORK-DEVICES'!$B$3:$B$987&amp;"",'NETWORK-DEVICES'!$H$3:$H$987,""),"Peripheral",_xlfn.XLOOKUP($K176&amp;"",PERIPHERAL!$B$3:$B$954&amp;"",PERIPHERAL!$H$3:$H$954,""),"Utilities",_xlfn.XLOOKUP($K176&amp;"",UTILITIES!$B$3:$B$953&amp;"",UTILITIES!$G$3:$G$953,""),"IOT",_xlfn.XLOOKUP($K176&amp;"",IOT!$B$3:$B$1012&amp;"",IOT!$H$3:$H$1012,""),"Server",_xlfn.XLOOKUP($K176&amp;"",SERVER!$B$3:$B$1009&amp;"",SERVER!$H$3:$H$1009,""),""),IF(TRIM(_xlpm.srcCat)&lt;&gt;TRIM($J176),"",_xlfn.SWITCH($I176,"Computer",_xlfn.XLOOKUP($K176&amp;"",COMPUTER!$B$3:$B$1009&amp;"",COMPUTER!$E$3:$E$1009,""),"Display",_xlfn.XLOOKUP($K176&amp;"",DISPLAY!$B$3:$B$1000&amp;"",DISPLAY!$E$3:$E$1000,""),"Network Device",_xlfn.XLOOKUP($K176&amp;"",'NETWORK-DEVICES'!$B$3:$B$987&amp;"",'NETWORK-DEVICES'!$E$3:$E$987,""),"Peripheral",_xlfn.XLOOKUP($K176&amp;"",PERIPHERAL!$B$3:$B$954&amp;"",PERIPHERAL!$E$3:$E$954,""),"Utilities",_xlfn.XLOOKUP($K176&amp;"",UTILITIES!$B$3:$B$953&amp;"",UTILITIES!$E$3:$E$953,""),"IOT",_xlfn.XLOOKUP($K176&amp;"",IOT!$B$3:$B$1012&amp;"",IOT!$E$3:$E$1012,""),"Server",_xlfn.XLOOKUP($K176&amp;"",SERVER!$B$3:$B$1009&amp;"",SERVER!$E$3:$E$1009,""),""))))</f>
        <v/>
      </c>
      <c r="Q176" s="1" t="str" cm="1">
        <f t="array" ref="Q176">IF(OR($K176="",$I176="",$J176=""),"",_xlfn.LET(_xlpm.srcCat,_xlfn.SWITCH($I176,"Computer",_xlfn.XLOOKUP($K176&amp;"",COMPUTER!$B$3:$B$1009&amp;"",COMPUTER!$H$3:$H$1009,""),"Display",_xlfn.XLOOKUP($K176&amp;"",DISPLAY!$B$3:$B$1000&amp;"",DISPLAY!$H$3:$H$1000,""),"Network Device",_xlfn.XLOOKUP($K176&amp;"",'NETWORK-DEVICES'!$B$3:$B$987&amp;"",'NETWORK-DEVICES'!$H$3:$H$987,""),"Peripheral",_xlfn.XLOOKUP($K176&amp;"",PERIPHERAL!$B$3:$B$954&amp;"",PERIPHERAL!$H$3:$H$954,""),"Utilities",_xlfn.XLOOKUP($K176&amp;"",UTILITIES!$B$3:$B$953&amp;"",UTILITIES!$G$3:$G$953,""),"IOT",_xlfn.XLOOKUP($K176&amp;"",IOT!$B$3:$B$1012&amp;"",IOT!$H$3:$H$1012,""),"Server",_xlfn.XLOOKUP($K176&amp;"",SERVER!$B$3:$B$1009&amp;"",SERVER!$H$3:$H$1009,""),""),IF(TRIM(_xlpm.srcCat)&lt;&gt;TRIM($J176),"",_xlfn.SWITCH($I176,"Computer",_xlfn.XLOOKUP($K176&amp;"",COMPUTER!$B$3:$B$1009&amp;"",COMPUTER!$AM$3:$AM$1009,""),"Display",_xlfn.XLOOKUP($K176&amp;"",DISPLAY!$B$3:$B$1000&amp;"",DISPLAY!$V$3:$V$1000,""),"Network Device",_xlfn.XLOOKUP($K176&amp;"",'NETWORK-DEVICES'!$B$3:$B$987&amp;"",'NETWORK-DEVICES'!$AF$3:$AF$987,""),"Peripheral",_xlfn.XLOOKUP($K176&amp;"",PERIPHERAL!$B$3:$B$954&amp;"",PERIPHERAL!$Y$3:$Y$954,""),"Utilities",_xlfn.XLOOKUP($K176&amp;"",UTILITIES!$B$3:$B$953&amp;"",UTILITIES!$O$3:$O$953,""),"IOT",_xlfn.XLOOKUP($K176&amp;"",IOT!$B$3:$B$1012&amp;"",IOT!$AB$3:$AB$1012,""),"Server",_xlfn.XLOOKUP($K176&amp;"",SERVER!$B$3:$B$1009&amp;"",SERVER!$AB$3:$AB$1009,""),""))))</f>
        <v/>
      </c>
      <c r="R176" s="43" t="str">
        <f>IF(tbl_handover[[#This Row],[Asset Code]]="","",COUNTIF(tbl_handover[Asset Code],tbl_handover[[#This Row],[Asset Code]]))</f>
        <v/>
      </c>
    </row>
    <row r="177" spans="1:18" x14ac:dyDescent="0.25">
      <c r="A177" s="43" t="str">
        <f>IF(B177&lt;&gt;"",SUBTOTAL(3,$B$1:B176),"")</f>
        <v/>
      </c>
      <c r="C177" s="74"/>
      <c r="D177" s="74"/>
      <c r="G177" s="1"/>
      <c r="K177" s="42"/>
      <c r="L177" t="str" cm="1">
        <f t="array" ref="L177">IF($K177="","",_xlfn.SWITCH($I177,"Computer",_xlfn.XLOOKUP($K177&amp;"",COMPUTER!$B$3:$B$1009&amp;"",COMPUTER!$I$3:$I$1009,""),"Display",_xlfn.XLOOKUP($K177&amp;"",DISPLAY!$B$3:$B$1000&amp;"",DISPLAY!$J$3:$J$1000,""),"Network Device",_xlfn.XLOOKUP($K177&amp;"",'NETWORK-DEVICES'!$B$3:$B$987&amp;"",'NETWORK-DEVICES'!$I$3:$I$987,""),"Peripheral",_xlfn.XLOOKUP($K177&amp;"",PERIPHERAL!$B$3:$B$954&amp;"",PERIPHERAL!$I$3:$I$954,""),"Utilities",_xlfn.XLOOKUP($K177&amp;"",UTILITIES!$B$3:$B$953&amp;"",UTILITIES!$H$3:$H$953,""),"IOT",_xlfn.XLOOKUP($K177&amp;"",IOT!$B$3:$B$1012&amp;"",IOT!$I$3:$I$1012,""),"SERVER",_xlfn.XLOOKUP($K177&amp;"",SERVER!$B$3:$B$1009&amp;"",SERVER!$I$3:$I$1009,""),""))</f>
        <v/>
      </c>
      <c r="M177" t="str" cm="1">
        <f t="array" ref="M177">IF($K177="","",_xlfn.SWITCH($I177,"Computer",_xlfn.XLOOKUP($K177&amp;"",COMPUTER!$B$3:$B$1009&amp;"",COMPUTER!$J$3:$J$1009,""),"Display",_xlfn.XLOOKUP($K177&amp;"",DISPLAY!$B$3:$B$1000&amp;"",DISPLAY!$K$3:$K$1000,""),"Network Device",_xlfn.XLOOKUP($K177&amp;"",'NETWORK-DEVICES'!$B$3:$B$987&amp;"",'NETWORK-DEVICES'!$I$3:$I$987,""),"Peripheral",_xlfn.XLOOKUP($K177&amp;"",PERIPHERAL!$B$3:$B$954&amp;"",PERIPHERAL!$J$3:$J$954,""),"Utilities",_xlfn.XLOOKUP($K177&amp;"",UTILITIES!$B$3:$B$953&amp;"",UTILITIES!$I$3:$I$953,""),"IOT",_xlfn.XLOOKUP($K177&amp;"",IOT!$B$3:$B$1012&amp;"",IOT!$J$3:$J$1012,""),"Server",_xlfn.XLOOKUP($K177&amp;"",SERVER!$B$3:$B$1009&amp;"",SERVER!$J$3:$J$1009,""),""))</f>
        <v/>
      </c>
      <c r="N177" s="1" t="str" cm="1">
        <f t="array" ref="N177">IF(OR($K177="",$I177="",$J177=""),"",_xlfn.LET(_xlpm.srcCat,_xlfn.SWITCH($I177,"Computer",_xlfn.XLOOKUP($K177&amp;"",COMPUTER!$B$3:$B$1009&amp;"",COMPUTER!$H$3:$H$1009,""),"Display",_xlfn.XLOOKUP($K177&amp;"",DISPLAY!$B$3:$B$1000&amp;"",DISPLAY!$H$3:$H$1000,""),"Network Device",_xlfn.XLOOKUP($K177&amp;"",'NETWORK-DEVICES'!$B$3:$B$987&amp;"",'NETWORK-DEVICES'!$H$3:$H$987,""),"Peripheral",_xlfn.XLOOKUP($K177&amp;"",PERIPHERAL!$B$3:$B$954&amp;"",PERIPHERAL!$H$3:$H$954,""),"Utilities",_xlfn.XLOOKUP($K177&amp;"",UTILITIES!$B$3:$B$953&amp;"",UTILITIES!$G$3:$G$953,""),"IOT",_xlfn.XLOOKUP($K177&amp;"",IOT!$B$3:$B$1012&amp;"",IOT!$H$3:$H$1012,""),"Server",_xlfn.XLOOKUP($K177&amp;"",SERVER!$B$3:$B$1009&amp;"",SERVER!$H$3:$H$1009,""),""),IF(TRIM(_xlpm.srcCat)&lt;&gt;TRIM($J177),"",_xlfn.SWITCH($I177,"Computer",_xlfn.XLOOKUP($K177&amp;"",COMPUTER!$B$3:$B$1009&amp;"",COMPUTER!$K$3:$K$1009,""),"Display",_xlfn.XLOOKUP($K177&amp;"",DISPLAY!$B$3:$B$1000&amp;"",DISPLAY!$L$3:$L$1000,""),"Network Device",_xlfn.XLOOKUP($K177&amp;"",'NETWORK-DEVICES'!$B$3:$B$987&amp;"",'NETWORK-DEVICES'!$K$3:$K$987,""),"Peripheral",_xlfn.XLOOKUP($K177&amp;"",PERIPHERAL!$B$3:$B$954&amp;"",PERIPHERAL!$K$3:$K$954,""),"Utilities",_xlfn.XLOOKUP($K177&amp;"",UTILITIES!$B$3:$B$953&amp;"",UTILITIES!$J$3:$J$953,""),"IOT",_xlfn.XLOOKUP($K177&amp;"",IOT!$B$3:$B$1012&amp;"",IOT!$K$4:$K$1012,""),"Server",_xlfn.XLOOKUP($K177&amp;"",SERVER!$B$3:$B$1009&amp;"",SERVER!$K$3:$K$1009,""),""))))</f>
        <v/>
      </c>
      <c r="O177" s="1" t="str" cm="1">
        <f t="array" ref="O177">IF(OR($K177="",$I177="",$J177=""),"",_xlfn.LET(_xlpm.srcCat,_xlfn.SWITCH($I177,"Computer",_xlfn.XLOOKUP($K177&amp;"",COMPUTER!$B$3:$B$1009&amp;"",COMPUTER!$H$3:$H$1009,""),"Display",_xlfn.XLOOKUP($K177&amp;"",DISPLAY!$B$3:$B$1000&amp;"",DISPLAY!$H$3:$H$1000,""),"Network Device",_xlfn.XLOOKUP($K177&amp;"",'NETWORK-DEVICES'!$B$3:$B$987&amp;"",'NETWORK-DEVICES'!$H$3:$H$987,""),"Peripheral",_xlfn.XLOOKUP($K177&amp;"",PERIPHERAL!$B$3:$B$954&amp;"",PERIPHERAL!$H$3:$H$954,""),"Utilities",_xlfn.XLOOKUP($K177&amp;"",UTILITIES!$B$3:$B$953&amp;"",UTILITIES!$G$3:$G$953,""),"IOT",_xlfn.XLOOKUP($K177&amp;"",IOT!$B$3:$B$1012&amp;"",IOT!$H$3:$H$1012,""),"Server",_xlfn.XLOOKUP($K177&amp;"",SERVER!$B$3:$B$1009&amp;"",SERVER!$H$3:$H$1009,""),""),IF(TRIM(_xlpm.srcCat)&lt;&gt;TRIM($J177),"",_xlfn.SWITCH($I177,"Computer",_xlfn.XLOOKUP($K177&amp;"",COMPUTER!$B$3:$B$1009&amp;"",COMPUTER!$E$3:$E$1009,""),"Display",_xlfn.XLOOKUP($K177&amp;"",DISPLAY!$B$3:$B$1000&amp;"",DISPLAY!$E$3:$E$1000,""),"Network Device",_xlfn.XLOOKUP($K177&amp;"",'NETWORK-DEVICES'!$B$3:$B$987&amp;"",'NETWORK-DEVICES'!$E$3:$E$987,""),"Peripheral",_xlfn.XLOOKUP($K177&amp;"",PERIPHERAL!$B$3:$B$954&amp;"",PERIPHERAL!$E$3:$E$954,""),"Utilities",_xlfn.XLOOKUP($K177&amp;"",UTILITIES!$B$3:$B$953&amp;"",UTILITIES!$E$3:$E$953,""),"IOT",_xlfn.XLOOKUP($K177&amp;"",IOT!$B$3:$B$1012&amp;"",IOT!$E$3:$E$1012,""),"Server",_xlfn.XLOOKUP($K177&amp;"",SERVER!$B$3:$B$1009&amp;"",SERVER!$E$3:$E$1009,""),""))))</f>
        <v/>
      </c>
      <c r="Q177" s="1" t="str" cm="1">
        <f t="array" ref="Q177">IF(OR($K177="",$I177="",$J177=""),"",_xlfn.LET(_xlpm.srcCat,_xlfn.SWITCH($I177,"Computer",_xlfn.XLOOKUP($K177&amp;"",COMPUTER!$B$3:$B$1009&amp;"",COMPUTER!$H$3:$H$1009,""),"Display",_xlfn.XLOOKUP($K177&amp;"",DISPLAY!$B$3:$B$1000&amp;"",DISPLAY!$H$3:$H$1000,""),"Network Device",_xlfn.XLOOKUP($K177&amp;"",'NETWORK-DEVICES'!$B$3:$B$987&amp;"",'NETWORK-DEVICES'!$H$3:$H$987,""),"Peripheral",_xlfn.XLOOKUP($K177&amp;"",PERIPHERAL!$B$3:$B$954&amp;"",PERIPHERAL!$H$3:$H$954,""),"Utilities",_xlfn.XLOOKUP($K177&amp;"",UTILITIES!$B$3:$B$953&amp;"",UTILITIES!$G$3:$G$953,""),"IOT",_xlfn.XLOOKUP($K177&amp;"",IOT!$B$3:$B$1012&amp;"",IOT!$H$3:$H$1012,""),"Server",_xlfn.XLOOKUP($K177&amp;"",SERVER!$B$3:$B$1009&amp;"",SERVER!$H$3:$H$1009,""),""),IF(TRIM(_xlpm.srcCat)&lt;&gt;TRIM($J177),"",_xlfn.SWITCH($I177,"Computer",_xlfn.XLOOKUP($K177&amp;"",COMPUTER!$B$3:$B$1009&amp;"",COMPUTER!$AM$3:$AM$1009,""),"Display",_xlfn.XLOOKUP($K177&amp;"",DISPLAY!$B$3:$B$1000&amp;"",DISPLAY!$V$3:$V$1000,""),"Network Device",_xlfn.XLOOKUP($K177&amp;"",'NETWORK-DEVICES'!$B$3:$B$987&amp;"",'NETWORK-DEVICES'!$AF$3:$AF$987,""),"Peripheral",_xlfn.XLOOKUP($K177&amp;"",PERIPHERAL!$B$3:$B$954&amp;"",PERIPHERAL!$Y$3:$Y$954,""),"Utilities",_xlfn.XLOOKUP($K177&amp;"",UTILITIES!$B$3:$B$953&amp;"",UTILITIES!$O$3:$O$953,""),"IOT",_xlfn.XLOOKUP($K177&amp;"",IOT!$B$3:$B$1012&amp;"",IOT!$AB$3:$AB$1012,""),"Server",_xlfn.XLOOKUP($K177&amp;"",SERVER!$B$3:$B$1009&amp;"",SERVER!$AB$3:$AB$1009,""),""))))</f>
        <v/>
      </c>
      <c r="R177" s="43" t="str">
        <f>IF(tbl_handover[[#This Row],[Asset Code]]="","",COUNTIF(tbl_handover[Asset Code],tbl_handover[[#This Row],[Asset Code]]))</f>
        <v/>
      </c>
    </row>
    <row r="178" spans="1:18" x14ac:dyDescent="0.25">
      <c r="A178" s="43" t="str">
        <f>IF(B178&lt;&gt;"",SUBTOTAL(3,$B$1:B177),"")</f>
        <v/>
      </c>
      <c r="C178" s="74"/>
      <c r="D178" s="74"/>
      <c r="G178" s="1"/>
      <c r="K178" s="42"/>
      <c r="L178" t="str" cm="1">
        <f t="array" ref="L178">IF($K178="","",_xlfn.SWITCH($I178,"Computer",_xlfn.XLOOKUP($K178&amp;"",COMPUTER!$B$3:$B$1009&amp;"",COMPUTER!$I$3:$I$1009,""),"Display",_xlfn.XLOOKUP($K178&amp;"",DISPLAY!$B$3:$B$1000&amp;"",DISPLAY!$J$3:$J$1000,""),"Network Device",_xlfn.XLOOKUP($K178&amp;"",'NETWORK-DEVICES'!$B$3:$B$987&amp;"",'NETWORK-DEVICES'!$I$3:$I$987,""),"Peripheral",_xlfn.XLOOKUP($K178&amp;"",PERIPHERAL!$B$3:$B$954&amp;"",PERIPHERAL!$I$3:$I$954,""),"Utilities",_xlfn.XLOOKUP($K178&amp;"",UTILITIES!$B$3:$B$953&amp;"",UTILITIES!$H$3:$H$953,""),"IOT",_xlfn.XLOOKUP($K178&amp;"",IOT!$B$3:$B$1012&amp;"",IOT!$I$3:$I$1012,""),"SERVER",_xlfn.XLOOKUP($K178&amp;"",SERVER!$B$3:$B$1009&amp;"",SERVER!$I$3:$I$1009,""),""))</f>
        <v/>
      </c>
      <c r="M178" t="str" cm="1">
        <f t="array" ref="M178">IF($K178="","",_xlfn.SWITCH($I178,"Computer",_xlfn.XLOOKUP($K178&amp;"",COMPUTER!$B$3:$B$1009&amp;"",COMPUTER!$J$3:$J$1009,""),"Display",_xlfn.XLOOKUP($K178&amp;"",DISPLAY!$B$3:$B$1000&amp;"",DISPLAY!$K$3:$K$1000,""),"Network Device",_xlfn.XLOOKUP($K178&amp;"",'NETWORK-DEVICES'!$B$3:$B$987&amp;"",'NETWORK-DEVICES'!$I$3:$I$987,""),"Peripheral",_xlfn.XLOOKUP($K178&amp;"",PERIPHERAL!$B$3:$B$954&amp;"",PERIPHERAL!$J$3:$J$954,""),"Utilities",_xlfn.XLOOKUP($K178&amp;"",UTILITIES!$B$3:$B$953&amp;"",UTILITIES!$I$3:$I$953,""),"IOT",_xlfn.XLOOKUP($K178&amp;"",IOT!$B$3:$B$1012&amp;"",IOT!$J$3:$J$1012,""),"Server",_xlfn.XLOOKUP($K178&amp;"",SERVER!$B$3:$B$1009&amp;"",SERVER!$J$3:$J$1009,""),""))</f>
        <v/>
      </c>
      <c r="N178" s="1" t="str" cm="1">
        <f t="array" ref="N178">IF(OR($K178="",$I178="",$J178=""),"",_xlfn.LET(_xlpm.srcCat,_xlfn.SWITCH($I178,"Computer",_xlfn.XLOOKUP($K178&amp;"",COMPUTER!$B$3:$B$1009&amp;"",COMPUTER!$H$3:$H$1009,""),"Display",_xlfn.XLOOKUP($K178&amp;"",DISPLAY!$B$3:$B$1000&amp;"",DISPLAY!$H$3:$H$1000,""),"Network Device",_xlfn.XLOOKUP($K178&amp;"",'NETWORK-DEVICES'!$B$3:$B$987&amp;"",'NETWORK-DEVICES'!$H$3:$H$987,""),"Peripheral",_xlfn.XLOOKUP($K178&amp;"",PERIPHERAL!$B$3:$B$954&amp;"",PERIPHERAL!$H$3:$H$954,""),"Utilities",_xlfn.XLOOKUP($K178&amp;"",UTILITIES!$B$3:$B$953&amp;"",UTILITIES!$G$3:$G$953,""),"IOT",_xlfn.XLOOKUP($K178&amp;"",IOT!$B$3:$B$1012&amp;"",IOT!$H$3:$H$1012,""),"Server",_xlfn.XLOOKUP($K178&amp;"",SERVER!$B$3:$B$1009&amp;"",SERVER!$H$3:$H$1009,""),""),IF(TRIM(_xlpm.srcCat)&lt;&gt;TRIM($J178),"",_xlfn.SWITCH($I178,"Computer",_xlfn.XLOOKUP($K178&amp;"",COMPUTER!$B$3:$B$1009&amp;"",COMPUTER!$K$3:$K$1009,""),"Display",_xlfn.XLOOKUP($K178&amp;"",DISPLAY!$B$3:$B$1000&amp;"",DISPLAY!$L$3:$L$1000,""),"Network Device",_xlfn.XLOOKUP($K178&amp;"",'NETWORK-DEVICES'!$B$3:$B$987&amp;"",'NETWORK-DEVICES'!$K$3:$K$987,""),"Peripheral",_xlfn.XLOOKUP($K178&amp;"",PERIPHERAL!$B$3:$B$954&amp;"",PERIPHERAL!$K$3:$K$954,""),"Utilities",_xlfn.XLOOKUP($K178&amp;"",UTILITIES!$B$3:$B$953&amp;"",UTILITIES!$J$3:$J$953,""),"IOT",_xlfn.XLOOKUP($K178&amp;"",IOT!$B$3:$B$1012&amp;"",IOT!$K$4:$K$1012,""),"Server",_xlfn.XLOOKUP($K178&amp;"",SERVER!$B$3:$B$1009&amp;"",SERVER!$K$3:$K$1009,""),""))))</f>
        <v/>
      </c>
      <c r="O178" s="1" t="str" cm="1">
        <f t="array" ref="O178">IF(OR($K178="",$I178="",$J178=""),"",_xlfn.LET(_xlpm.srcCat,_xlfn.SWITCH($I178,"Computer",_xlfn.XLOOKUP($K178&amp;"",COMPUTER!$B$3:$B$1009&amp;"",COMPUTER!$H$3:$H$1009,""),"Display",_xlfn.XLOOKUP($K178&amp;"",DISPLAY!$B$3:$B$1000&amp;"",DISPLAY!$H$3:$H$1000,""),"Network Device",_xlfn.XLOOKUP($K178&amp;"",'NETWORK-DEVICES'!$B$3:$B$987&amp;"",'NETWORK-DEVICES'!$H$3:$H$987,""),"Peripheral",_xlfn.XLOOKUP($K178&amp;"",PERIPHERAL!$B$3:$B$954&amp;"",PERIPHERAL!$H$3:$H$954,""),"Utilities",_xlfn.XLOOKUP($K178&amp;"",UTILITIES!$B$3:$B$953&amp;"",UTILITIES!$G$3:$G$953,""),"IOT",_xlfn.XLOOKUP($K178&amp;"",IOT!$B$3:$B$1012&amp;"",IOT!$H$3:$H$1012,""),"Server",_xlfn.XLOOKUP($K178&amp;"",SERVER!$B$3:$B$1009&amp;"",SERVER!$H$3:$H$1009,""),""),IF(TRIM(_xlpm.srcCat)&lt;&gt;TRIM($J178),"",_xlfn.SWITCH($I178,"Computer",_xlfn.XLOOKUP($K178&amp;"",COMPUTER!$B$3:$B$1009&amp;"",COMPUTER!$E$3:$E$1009,""),"Display",_xlfn.XLOOKUP($K178&amp;"",DISPLAY!$B$3:$B$1000&amp;"",DISPLAY!$E$3:$E$1000,""),"Network Device",_xlfn.XLOOKUP($K178&amp;"",'NETWORK-DEVICES'!$B$3:$B$987&amp;"",'NETWORK-DEVICES'!$E$3:$E$987,""),"Peripheral",_xlfn.XLOOKUP($K178&amp;"",PERIPHERAL!$B$3:$B$954&amp;"",PERIPHERAL!$E$3:$E$954,""),"Utilities",_xlfn.XLOOKUP($K178&amp;"",UTILITIES!$B$3:$B$953&amp;"",UTILITIES!$E$3:$E$953,""),"IOT",_xlfn.XLOOKUP($K178&amp;"",IOT!$B$3:$B$1012&amp;"",IOT!$E$3:$E$1012,""),"Server",_xlfn.XLOOKUP($K178&amp;"",SERVER!$B$3:$B$1009&amp;"",SERVER!$E$3:$E$1009,""),""))))</f>
        <v/>
      </c>
      <c r="Q178" s="1" t="str" cm="1">
        <f t="array" ref="Q178">IF(OR($K178="",$I178="",$J178=""),"",_xlfn.LET(_xlpm.srcCat,_xlfn.SWITCH($I178,"Computer",_xlfn.XLOOKUP($K178&amp;"",COMPUTER!$B$3:$B$1009&amp;"",COMPUTER!$H$3:$H$1009,""),"Display",_xlfn.XLOOKUP($K178&amp;"",DISPLAY!$B$3:$B$1000&amp;"",DISPLAY!$H$3:$H$1000,""),"Network Device",_xlfn.XLOOKUP($K178&amp;"",'NETWORK-DEVICES'!$B$3:$B$987&amp;"",'NETWORK-DEVICES'!$H$3:$H$987,""),"Peripheral",_xlfn.XLOOKUP($K178&amp;"",PERIPHERAL!$B$3:$B$954&amp;"",PERIPHERAL!$H$3:$H$954,""),"Utilities",_xlfn.XLOOKUP($K178&amp;"",UTILITIES!$B$3:$B$953&amp;"",UTILITIES!$G$3:$G$953,""),"IOT",_xlfn.XLOOKUP($K178&amp;"",IOT!$B$3:$B$1012&amp;"",IOT!$H$3:$H$1012,""),"Server",_xlfn.XLOOKUP($K178&amp;"",SERVER!$B$3:$B$1009&amp;"",SERVER!$H$3:$H$1009,""),""),IF(TRIM(_xlpm.srcCat)&lt;&gt;TRIM($J178),"",_xlfn.SWITCH($I178,"Computer",_xlfn.XLOOKUP($K178&amp;"",COMPUTER!$B$3:$B$1009&amp;"",COMPUTER!$AM$3:$AM$1009,""),"Display",_xlfn.XLOOKUP($K178&amp;"",DISPLAY!$B$3:$B$1000&amp;"",DISPLAY!$V$3:$V$1000,""),"Network Device",_xlfn.XLOOKUP($K178&amp;"",'NETWORK-DEVICES'!$B$3:$B$987&amp;"",'NETWORK-DEVICES'!$AF$3:$AF$987,""),"Peripheral",_xlfn.XLOOKUP($K178&amp;"",PERIPHERAL!$B$3:$B$954&amp;"",PERIPHERAL!$Y$3:$Y$954,""),"Utilities",_xlfn.XLOOKUP($K178&amp;"",UTILITIES!$B$3:$B$953&amp;"",UTILITIES!$O$3:$O$953,""),"IOT",_xlfn.XLOOKUP($K178&amp;"",IOT!$B$3:$B$1012&amp;"",IOT!$AB$3:$AB$1012,""),"Server",_xlfn.XLOOKUP($K178&amp;"",SERVER!$B$3:$B$1009&amp;"",SERVER!$AB$3:$AB$1009,""),""))))</f>
        <v/>
      </c>
      <c r="R178" s="43" t="str">
        <f>IF(tbl_handover[[#This Row],[Asset Code]]="","",COUNTIF(tbl_handover[Asset Code],tbl_handover[[#This Row],[Asset Code]]))</f>
        <v/>
      </c>
    </row>
    <row r="179" spans="1:18" x14ac:dyDescent="0.25">
      <c r="A179" s="43" t="str">
        <f>IF(B179&lt;&gt;"",SUBTOTAL(3,$B$1:B178),"")</f>
        <v/>
      </c>
      <c r="C179" s="74"/>
      <c r="D179" s="74"/>
      <c r="G179" s="1"/>
      <c r="K179" s="42"/>
      <c r="L179" t="str" cm="1">
        <f t="array" ref="L179">IF($K179="","",_xlfn.SWITCH($I179,"Computer",_xlfn.XLOOKUP($K179&amp;"",COMPUTER!$B$3:$B$1009&amp;"",COMPUTER!$I$3:$I$1009,""),"Display",_xlfn.XLOOKUP($K179&amp;"",DISPLAY!$B$3:$B$1000&amp;"",DISPLAY!$J$3:$J$1000,""),"Network Device",_xlfn.XLOOKUP($K179&amp;"",'NETWORK-DEVICES'!$B$3:$B$987&amp;"",'NETWORK-DEVICES'!$I$3:$I$987,""),"Peripheral",_xlfn.XLOOKUP($K179&amp;"",PERIPHERAL!$B$3:$B$954&amp;"",PERIPHERAL!$I$3:$I$954,""),"Utilities",_xlfn.XLOOKUP($K179&amp;"",UTILITIES!$B$3:$B$953&amp;"",UTILITIES!$H$3:$H$953,""),"IOT",_xlfn.XLOOKUP($K179&amp;"",IOT!$B$3:$B$1012&amp;"",IOT!$I$3:$I$1012,""),"SERVER",_xlfn.XLOOKUP($K179&amp;"",SERVER!$B$3:$B$1009&amp;"",SERVER!$I$3:$I$1009,""),""))</f>
        <v/>
      </c>
      <c r="M179" t="str" cm="1">
        <f t="array" ref="M179">IF($K179="","",_xlfn.SWITCH($I179,"Computer",_xlfn.XLOOKUP($K179&amp;"",COMPUTER!$B$3:$B$1009&amp;"",COMPUTER!$J$3:$J$1009,""),"Display",_xlfn.XLOOKUP($K179&amp;"",DISPLAY!$B$3:$B$1000&amp;"",DISPLAY!$K$3:$K$1000,""),"Network Device",_xlfn.XLOOKUP($K179&amp;"",'NETWORK-DEVICES'!$B$3:$B$987&amp;"",'NETWORK-DEVICES'!$I$3:$I$987,""),"Peripheral",_xlfn.XLOOKUP($K179&amp;"",PERIPHERAL!$B$3:$B$954&amp;"",PERIPHERAL!$J$3:$J$954,""),"Utilities",_xlfn.XLOOKUP($K179&amp;"",UTILITIES!$B$3:$B$953&amp;"",UTILITIES!$I$3:$I$953,""),"IOT",_xlfn.XLOOKUP($K179&amp;"",IOT!$B$3:$B$1012&amp;"",IOT!$J$3:$J$1012,""),"Server",_xlfn.XLOOKUP($K179&amp;"",SERVER!$B$3:$B$1009&amp;"",SERVER!$J$3:$J$1009,""),""))</f>
        <v/>
      </c>
      <c r="N179" s="1" t="str" cm="1">
        <f t="array" ref="N179">IF(OR($K179="",$I179="",$J179=""),"",_xlfn.LET(_xlpm.srcCat,_xlfn.SWITCH($I179,"Computer",_xlfn.XLOOKUP($K179&amp;"",COMPUTER!$B$3:$B$1009&amp;"",COMPUTER!$H$3:$H$1009,""),"Display",_xlfn.XLOOKUP($K179&amp;"",DISPLAY!$B$3:$B$1000&amp;"",DISPLAY!$H$3:$H$1000,""),"Network Device",_xlfn.XLOOKUP($K179&amp;"",'NETWORK-DEVICES'!$B$3:$B$987&amp;"",'NETWORK-DEVICES'!$H$3:$H$987,""),"Peripheral",_xlfn.XLOOKUP($K179&amp;"",PERIPHERAL!$B$3:$B$954&amp;"",PERIPHERAL!$H$3:$H$954,""),"Utilities",_xlfn.XLOOKUP($K179&amp;"",UTILITIES!$B$3:$B$953&amp;"",UTILITIES!$G$3:$G$953,""),"IOT",_xlfn.XLOOKUP($K179&amp;"",IOT!$B$3:$B$1012&amp;"",IOT!$H$3:$H$1012,""),"Server",_xlfn.XLOOKUP($K179&amp;"",SERVER!$B$3:$B$1009&amp;"",SERVER!$H$3:$H$1009,""),""),IF(TRIM(_xlpm.srcCat)&lt;&gt;TRIM($J179),"",_xlfn.SWITCH($I179,"Computer",_xlfn.XLOOKUP($K179&amp;"",COMPUTER!$B$3:$B$1009&amp;"",COMPUTER!$K$3:$K$1009,""),"Display",_xlfn.XLOOKUP($K179&amp;"",DISPLAY!$B$3:$B$1000&amp;"",DISPLAY!$L$3:$L$1000,""),"Network Device",_xlfn.XLOOKUP($K179&amp;"",'NETWORK-DEVICES'!$B$3:$B$987&amp;"",'NETWORK-DEVICES'!$K$3:$K$987,""),"Peripheral",_xlfn.XLOOKUP($K179&amp;"",PERIPHERAL!$B$3:$B$954&amp;"",PERIPHERAL!$K$3:$K$954,""),"Utilities",_xlfn.XLOOKUP($K179&amp;"",UTILITIES!$B$3:$B$953&amp;"",UTILITIES!$J$3:$J$953,""),"IOT",_xlfn.XLOOKUP($K179&amp;"",IOT!$B$3:$B$1012&amp;"",IOT!$K$4:$K$1012,""),"Server",_xlfn.XLOOKUP($K179&amp;"",SERVER!$B$3:$B$1009&amp;"",SERVER!$K$3:$K$1009,""),""))))</f>
        <v/>
      </c>
      <c r="O179" s="1" t="str" cm="1">
        <f t="array" ref="O179">IF(OR($K179="",$I179="",$J179=""),"",_xlfn.LET(_xlpm.srcCat,_xlfn.SWITCH($I179,"Computer",_xlfn.XLOOKUP($K179&amp;"",COMPUTER!$B$3:$B$1009&amp;"",COMPUTER!$H$3:$H$1009,""),"Display",_xlfn.XLOOKUP($K179&amp;"",DISPLAY!$B$3:$B$1000&amp;"",DISPLAY!$H$3:$H$1000,""),"Network Device",_xlfn.XLOOKUP($K179&amp;"",'NETWORK-DEVICES'!$B$3:$B$987&amp;"",'NETWORK-DEVICES'!$H$3:$H$987,""),"Peripheral",_xlfn.XLOOKUP($K179&amp;"",PERIPHERAL!$B$3:$B$954&amp;"",PERIPHERAL!$H$3:$H$954,""),"Utilities",_xlfn.XLOOKUP($K179&amp;"",UTILITIES!$B$3:$B$953&amp;"",UTILITIES!$G$3:$G$953,""),"IOT",_xlfn.XLOOKUP($K179&amp;"",IOT!$B$3:$B$1012&amp;"",IOT!$H$3:$H$1012,""),"Server",_xlfn.XLOOKUP($K179&amp;"",SERVER!$B$3:$B$1009&amp;"",SERVER!$H$3:$H$1009,""),""),IF(TRIM(_xlpm.srcCat)&lt;&gt;TRIM($J179),"",_xlfn.SWITCH($I179,"Computer",_xlfn.XLOOKUP($K179&amp;"",COMPUTER!$B$3:$B$1009&amp;"",COMPUTER!$E$3:$E$1009,""),"Display",_xlfn.XLOOKUP($K179&amp;"",DISPLAY!$B$3:$B$1000&amp;"",DISPLAY!$E$3:$E$1000,""),"Network Device",_xlfn.XLOOKUP($K179&amp;"",'NETWORK-DEVICES'!$B$3:$B$987&amp;"",'NETWORK-DEVICES'!$E$3:$E$987,""),"Peripheral",_xlfn.XLOOKUP($K179&amp;"",PERIPHERAL!$B$3:$B$954&amp;"",PERIPHERAL!$E$3:$E$954,""),"Utilities",_xlfn.XLOOKUP($K179&amp;"",UTILITIES!$B$3:$B$953&amp;"",UTILITIES!$E$3:$E$953,""),"IOT",_xlfn.XLOOKUP($K179&amp;"",IOT!$B$3:$B$1012&amp;"",IOT!$E$3:$E$1012,""),"Server",_xlfn.XLOOKUP($K179&amp;"",SERVER!$B$3:$B$1009&amp;"",SERVER!$E$3:$E$1009,""),""))))</f>
        <v/>
      </c>
      <c r="Q179" s="1" t="str" cm="1">
        <f t="array" ref="Q179">IF(OR($K179="",$I179="",$J179=""),"",_xlfn.LET(_xlpm.srcCat,_xlfn.SWITCH($I179,"Computer",_xlfn.XLOOKUP($K179&amp;"",COMPUTER!$B$3:$B$1009&amp;"",COMPUTER!$H$3:$H$1009,""),"Display",_xlfn.XLOOKUP($K179&amp;"",DISPLAY!$B$3:$B$1000&amp;"",DISPLAY!$H$3:$H$1000,""),"Network Device",_xlfn.XLOOKUP($K179&amp;"",'NETWORK-DEVICES'!$B$3:$B$987&amp;"",'NETWORK-DEVICES'!$H$3:$H$987,""),"Peripheral",_xlfn.XLOOKUP($K179&amp;"",PERIPHERAL!$B$3:$B$954&amp;"",PERIPHERAL!$H$3:$H$954,""),"Utilities",_xlfn.XLOOKUP($K179&amp;"",UTILITIES!$B$3:$B$953&amp;"",UTILITIES!$G$3:$G$953,""),"IOT",_xlfn.XLOOKUP($K179&amp;"",IOT!$B$3:$B$1012&amp;"",IOT!$H$3:$H$1012,""),"Server",_xlfn.XLOOKUP($K179&amp;"",SERVER!$B$3:$B$1009&amp;"",SERVER!$H$3:$H$1009,""),""),IF(TRIM(_xlpm.srcCat)&lt;&gt;TRIM($J179),"",_xlfn.SWITCH($I179,"Computer",_xlfn.XLOOKUP($K179&amp;"",COMPUTER!$B$3:$B$1009&amp;"",COMPUTER!$AM$3:$AM$1009,""),"Display",_xlfn.XLOOKUP($K179&amp;"",DISPLAY!$B$3:$B$1000&amp;"",DISPLAY!$V$3:$V$1000,""),"Network Device",_xlfn.XLOOKUP($K179&amp;"",'NETWORK-DEVICES'!$B$3:$B$987&amp;"",'NETWORK-DEVICES'!$AF$3:$AF$987,""),"Peripheral",_xlfn.XLOOKUP($K179&amp;"",PERIPHERAL!$B$3:$B$954&amp;"",PERIPHERAL!$Y$3:$Y$954,""),"Utilities",_xlfn.XLOOKUP($K179&amp;"",UTILITIES!$B$3:$B$953&amp;"",UTILITIES!$O$3:$O$953,""),"IOT",_xlfn.XLOOKUP($K179&amp;"",IOT!$B$3:$B$1012&amp;"",IOT!$AB$3:$AB$1012,""),"Server",_xlfn.XLOOKUP($K179&amp;"",SERVER!$B$3:$B$1009&amp;"",SERVER!$AB$3:$AB$1009,""),""))))</f>
        <v/>
      </c>
      <c r="R179" s="43" t="str">
        <f>IF(tbl_handover[[#This Row],[Asset Code]]="","",COUNTIF(tbl_handover[Asset Code],tbl_handover[[#This Row],[Asset Code]]))</f>
        <v/>
      </c>
    </row>
    <row r="180" spans="1:18" x14ac:dyDescent="0.25">
      <c r="A180" s="43" t="str">
        <f>IF(B180&lt;&gt;"",SUBTOTAL(3,$B$1:B179),"")</f>
        <v/>
      </c>
      <c r="C180" s="74"/>
      <c r="D180" s="74"/>
      <c r="G180" s="1"/>
      <c r="K180" s="42"/>
      <c r="L180" t="str" cm="1">
        <f t="array" ref="L180">IF($K180="","",_xlfn.SWITCH($I180,"Computer",_xlfn.XLOOKUP($K180&amp;"",COMPUTER!$B$3:$B$1009&amp;"",COMPUTER!$I$3:$I$1009,""),"Display",_xlfn.XLOOKUP($K180&amp;"",DISPLAY!$B$3:$B$1000&amp;"",DISPLAY!$J$3:$J$1000,""),"Network Device",_xlfn.XLOOKUP($K180&amp;"",'NETWORK-DEVICES'!$B$3:$B$987&amp;"",'NETWORK-DEVICES'!$I$3:$I$987,""),"Peripheral",_xlfn.XLOOKUP($K180&amp;"",PERIPHERAL!$B$3:$B$954&amp;"",PERIPHERAL!$I$3:$I$954,""),"Utilities",_xlfn.XLOOKUP($K180&amp;"",UTILITIES!$B$3:$B$953&amp;"",UTILITIES!$H$3:$H$953,""),"IOT",_xlfn.XLOOKUP($K180&amp;"",IOT!$B$3:$B$1012&amp;"",IOT!$I$3:$I$1012,""),"SERVER",_xlfn.XLOOKUP($K180&amp;"",SERVER!$B$3:$B$1009&amp;"",SERVER!$I$3:$I$1009,""),""))</f>
        <v/>
      </c>
      <c r="M180" t="str" cm="1">
        <f t="array" ref="M180">IF($K180="","",_xlfn.SWITCH($I180,"Computer",_xlfn.XLOOKUP($K180&amp;"",COMPUTER!$B$3:$B$1009&amp;"",COMPUTER!$J$3:$J$1009,""),"Display",_xlfn.XLOOKUP($K180&amp;"",DISPLAY!$B$3:$B$1000&amp;"",DISPLAY!$K$3:$K$1000,""),"Network Device",_xlfn.XLOOKUP($K180&amp;"",'NETWORK-DEVICES'!$B$3:$B$987&amp;"",'NETWORK-DEVICES'!$I$3:$I$987,""),"Peripheral",_xlfn.XLOOKUP($K180&amp;"",PERIPHERAL!$B$3:$B$954&amp;"",PERIPHERAL!$J$3:$J$954,""),"Utilities",_xlfn.XLOOKUP($K180&amp;"",UTILITIES!$B$3:$B$953&amp;"",UTILITIES!$I$3:$I$953,""),"IOT",_xlfn.XLOOKUP($K180&amp;"",IOT!$B$3:$B$1012&amp;"",IOT!$J$3:$J$1012,""),"Server",_xlfn.XLOOKUP($K180&amp;"",SERVER!$B$3:$B$1009&amp;"",SERVER!$J$3:$J$1009,""),""))</f>
        <v/>
      </c>
      <c r="N180" s="1" t="str" cm="1">
        <f t="array" ref="N180">IF(OR($K180="",$I180="",$J180=""),"",_xlfn.LET(_xlpm.srcCat,_xlfn.SWITCH($I180,"Computer",_xlfn.XLOOKUP($K180&amp;"",COMPUTER!$B$3:$B$1009&amp;"",COMPUTER!$H$3:$H$1009,""),"Display",_xlfn.XLOOKUP($K180&amp;"",DISPLAY!$B$3:$B$1000&amp;"",DISPLAY!$H$3:$H$1000,""),"Network Device",_xlfn.XLOOKUP($K180&amp;"",'NETWORK-DEVICES'!$B$3:$B$987&amp;"",'NETWORK-DEVICES'!$H$3:$H$987,""),"Peripheral",_xlfn.XLOOKUP($K180&amp;"",PERIPHERAL!$B$3:$B$954&amp;"",PERIPHERAL!$H$3:$H$954,""),"Utilities",_xlfn.XLOOKUP($K180&amp;"",UTILITIES!$B$3:$B$953&amp;"",UTILITIES!$G$3:$G$953,""),"IOT",_xlfn.XLOOKUP($K180&amp;"",IOT!$B$3:$B$1012&amp;"",IOT!$H$3:$H$1012,""),"Server",_xlfn.XLOOKUP($K180&amp;"",SERVER!$B$3:$B$1009&amp;"",SERVER!$H$3:$H$1009,""),""),IF(TRIM(_xlpm.srcCat)&lt;&gt;TRIM($J180),"",_xlfn.SWITCH($I180,"Computer",_xlfn.XLOOKUP($K180&amp;"",COMPUTER!$B$3:$B$1009&amp;"",COMPUTER!$K$3:$K$1009,""),"Display",_xlfn.XLOOKUP($K180&amp;"",DISPLAY!$B$3:$B$1000&amp;"",DISPLAY!$L$3:$L$1000,""),"Network Device",_xlfn.XLOOKUP($K180&amp;"",'NETWORK-DEVICES'!$B$3:$B$987&amp;"",'NETWORK-DEVICES'!$K$3:$K$987,""),"Peripheral",_xlfn.XLOOKUP($K180&amp;"",PERIPHERAL!$B$3:$B$954&amp;"",PERIPHERAL!$K$3:$K$954,""),"Utilities",_xlfn.XLOOKUP($K180&amp;"",UTILITIES!$B$3:$B$953&amp;"",UTILITIES!$J$3:$J$953,""),"IOT",_xlfn.XLOOKUP($K180&amp;"",IOT!$B$3:$B$1012&amp;"",IOT!$K$4:$K$1012,""),"Server",_xlfn.XLOOKUP($K180&amp;"",SERVER!$B$3:$B$1009&amp;"",SERVER!$K$3:$K$1009,""),""))))</f>
        <v/>
      </c>
      <c r="O180" s="1" t="str" cm="1">
        <f t="array" ref="O180">IF(OR($K180="",$I180="",$J180=""),"",_xlfn.LET(_xlpm.srcCat,_xlfn.SWITCH($I180,"Computer",_xlfn.XLOOKUP($K180&amp;"",COMPUTER!$B$3:$B$1009&amp;"",COMPUTER!$H$3:$H$1009,""),"Display",_xlfn.XLOOKUP($K180&amp;"",DISPLAY!$B$3:$B$1000&amp;"",DISPLAY!$H$3:$H$1000,""),"Network Device",_xlfn.XLOOKUP($K180&amp;"",'NETWORK-DEVICES'!$B$3:$B$987&amp;"",'NETWORK-DEVICES'!$H$3:$H$987,""),"Peripheral",_xlfn.XLOOKUP($K180&amp;"",PERIPHERAL!$B$3:$B$954&amp;"",PERIPHERAL!$H$3:$H$954,""),"Utilities",_xlfn.XLOOKUP($K180&amp;"",UTILITIES!$B$3:$B$953&amp;"",UTILITIES!$G$3:$G$953,""),"IOT",_xlfn.XLOOKUP($K180&amp;"",IOT!$B$3:$B$1012&amp;"",IOT!$H$3:$H$1012,""),"Server",_xlfn.XLOOKUP($K180&amp;"",SERVER!$B$3:$B$1009&amp;"",SERVER!$H$3:$H$1009,""),""),IF(TRIM(_xlpm.srcCat)&lt;&gt;TRIM($J180),"",_xlfn.SWITCH($I180,"Computer",_xlfn.XLOOKUP($K180&amp;"",COMPUTER!$B$3:$B$1009&amp;"",COMPUTER!$E$3:$E$1009,""),"Display",_xlfn.XLOOKUP($K180&amp;"",DISPLAY!$B$3:$B$1000&amp;"",DISPLAY!$E$3:$E$1000,""),"Network Device",_xlfn.XLOOKUP($K180&amp;"",'NETWORK-DEVICES'!$B$3:$B$987&amp;"",'NETWORK-DEVICES'!$E$3:$E$987,""),"Peripheral",_xlfn.XLOOKUP($K180&amp;"",PERIPHERAL!$B$3:$B$954&amp;"",PERIPHERAL!$E$3:$E$954,""),"Utilities",_xlfn.XLOOKUP($K180&amp;"",UTILITIES!$B$3:$B$953&amp;"",UTILITIES!$E$3:$E$953,""),"IOT",_xlfn.XLOOKUP($K180&amp;"",IOT!$B$3:$B$1012&amp;"",IOT!$E$3:$E$1012,""),"Server",_xlfn.XLOOKUP($K180&amp;"",SERVER!$B$3:$B$1009&amp;"",SERVER!$E$3:$E$1009,""),""))))</f>
        <v/>
      </c>
      <c r="Q180" s="1" t="str" cm="1">
        <f t="array" ref="Q180">IF(OR($K180="",$I180="",$J180=""),"",_xlfn.LET(_xlpm.srcCat,_xlfn.SWITCH($I180,"Computer",_xlfn.XLOOKUP($K180&amp;"",COMPUTER!$B$3:$B$1009&amp;"",COMPUTER!$H$3:$H$1009,""),"Display",_xlfn.XLOOKUP($K180&amp;"",DISPLAY!$B$3:$B$1000&amp;"",DISPLAY!$H$3:$H$1000,""),"Network Device",_xlfn.XLOOKUP($K180&amp;"",'NETWORK-DEVICES'!$B$3:$B$987&amp;"",'NETWORK-DEVICES'!$H$3:$H$987,""),"Peripheral",_xlfn.XLOOKUP($K180&amp;"",PERIPHERAL!$B$3:$B$954&amp;"",PERIPHERAL!$H$3:$H$954,""),"Utilities",_xlfn.XLOOKUP($K180&amp;"",UTILITIES!$B$3:$B$953&amp;"",UTILITIES!$G$3:$G$953,""),"IOT",_xlfn.XLOOKUP($K180&amp;"",IOT!$B$3:$B$1012&amp;"",IOT!$H$3:$H$1012,""),"Server",_xlfn.XLOOKUP($K180&amp;"",SERVER!$B$3:$B$1009&amp;"",SERVER!$H$3:$H$1009,""),""),IF(TRIM(_xlpm.srcCat)&lt;&gt;TRIM($J180),"",_xlfn.SWITCH($I180,"Computer",_xlfn.XLOOKUP($K180&amp;"",COMPUTER!$B$3:$B$1009&amp;"",COMPUTER!$AM$3:$AM$1009,""),"Display",_xlfn.XLOOKUP($K180&amp;"",DISPLAY!$B$3:$B$1000&amp;"",DISPLAY!$V$3:$V$1000,""),"Network Device",_xlfn.XLOOKUP($K180&amp;"",'NETWORK-DEVICES'!$B$3:$B$987&amp;"",'NETWORK-DEVICES'!$AF$3:$AF$987,""),"Peripheral",_xlfn.XLOOKUP($K180&amp;"",PERIPHERAL!$B$3:$B$954&amp;"",PERIPHERAL!$Y$3:$Y$954,""),"Utilities",_xlfn.XLOOKUP($K180&amp;"",UTILITIES!$B$3:$B$953&amp;"",UTILITIES!$O$3:$O$953,""),"IOT",_xlfn.XLOOKUP($K180&amp;"",IOT!$B$3:$B$1012&amp;"",IOT!$AB$3:$AB$1012,""),"Server",_xlfn.XLOOKUP($K180&amp;"",SERVER!$B$3:$B$1009&amp;"",SERVER!$AB$3:$AB$1009,""),""))))</f>
        <v/>
      </c>
      <c r="R180" s="43" t="str">
        <f>IF(tbl_handover[[#This Row],[Asset Code]]="","",COUNTIF(tbl_handover[Asset Code],tbl_handover[[#This Row],[Asset Code]]))</f>
        <v/>
      </c>
    </row>
    <row r="181" spans="1:18" x14ac:dyDescent="0.25">
      <c r="A181" s="43" t="str">
        <f>IF(B181&lt;&gt;"",SUBTOTAL(3,$B$1:B180),"")</f>
        <v/>
      </c>
      <c r="C181" s="74"/>
      <c r="D181" s="74"/>
      <c r="G181" s="1"/>
      <c r="K181" s="42"/>
      <c r="L181" t="str" cm="1">
        <f t="array" ref="L181">IF($K181="","",_xlfn.SWITCH($I181,"Computer",_xlfn.XLOOKUP($K181&amp;"",COMPUTER!$B$3:$B$1009&amp;"",COMPUTER!$I$3:$I$1009,""),"Display",_xlfn.XLOOKUP($K181&amp;"",DISPLAY!$B$3:$B$1000&amp;"",DISPLAY!$J$3:$J$1000,""),"Network Device",_xlfn.XLOOKUP($K181&amp;"",'NETWORK-DEVICES'!$B$3:$B$987&amp;"",'NETWORK-DEVICES'!$I$3:$I$987,""),"Peripheral",_xlfn.XLOOKUP($K181&amp;"",PERIPHERAL!$B$3:$B$954&amp;"",PERIPHERAL!$I$3:$I$954,""),"Utilities",_xlfn.XLOOKUP($K181&amp;"",UTILITIES!$B$3:$B$953&amp;"",UTILITIES!$H$3:$H$953,""),"IOT",_xlfn.XLOOKUP($K181&amp;"",IOT!$B$3:$B$1012&amp;"",IOT!$I$3:$I$1012,""),"SERVER",_xlfn.XLOOKUP($K181&amp;"",SERVER!$B$3:$B$1009&amp;"",SERVER!$I$3:$I$1009,""),""))</f>
        <v/>
      </c>
      <c r="M181" t="str" cm="1">
        <f t="array" ref="M181">IF($K181="","",_xlfn.SWITCH($I181,"Computer",_xlfn.XLOOKUP($K181&amp;"",COMPUTER!$B$3:$B$1009&amp;"",COMPUTER!$J$3:$J$1009,""),"Display",_xlfn.XLOOKUP($K181&amp;"",DISPLAY!$B$3:$B$1000&amp;"",DISPLAY!$K$3:$K$1000,""),"Network Device",_xlfn.XLOOKUP($K181&amp;"",'NETWORK-DEVICES'!$B$3:$B$987&amp;"",'NETWORK-DEVICES'!$I$3:$I$987,""),"Peripheral",_xlfn.XLOOKUP($K181&amp;"",PERIPHERAL!$B$3:$B$954&amp;"",PERIPHERAL!$J$3:$J$954,""),"Utilities",_xlfn.XLOOKUP($K181&amp;"",UTILITIES!$B$3:$B$953&amp;"",UTILITIES!$I$3:$I$953,""),"IOT",_xlfn.XLOOKUP($K181&amp;"",IOT!$B$3:$B$1012&amp;"",IOT!$J$3:$J$1012,""),"Server",_xlfn.XLOOKUP($K181&amp;"",SERVER!$B$3:$B$1009&amp;"",SERVER!$J$3:$J$1009,""),""))</f>
        <v/>
      </c>
      <c r="N181" s="1" t="str" cm="1">
        <f t="array" ref="N181">IF(OR($K181="",$I181="",$J181=""),"",_xlfn.LET(_xlpm.srcCat,_xlfn.SWITCH($I181,"Computer",_xlfn.XLOOKUP($K181&amp;"",COMPUTER!$B$3:$B$1009&amp;"",COMPUTER!$H$3:$H$1009,""),"Display",_xlfn.XLOOKUP($K181&amp;"",DISPLAY!$B$3:$B$1000&amp;"",DISPLAY!$H$3:$H$1000,""),"Network Device",_xlfn.XLOOKUP($K181&amp;"",'NETWORK-DEVICES'!$B$3:$B$987&amp;"",'NETWORK-DEVICES'!$H$3:$H$987,""),"Peripheral",_xlfn.XLOOKUP($K181&amp;"",PERIPHERAL!$B$3:$B$954&amp;"",PERIPHERAL!$H$3:$H$954,""),"Utilities",_xlfn.XLOOKUP($K181&amp;"",UTILITIES!$B$3:$B$953&amp;"",UTILITIES!$G$3:$G$953,""),"IOT",_xlfn.XLOOKUP($K181&amp;"",IOT!$B$3:$B$1012&amp;"",IOT!$H$3:$H$1012,""),"Server",_xlfn.XLOOKUP($K181&amp;"",SERVER!$B$3:$B$1009&amp;"",SERVER!$H$3:$H$1009,""),""),IF(TRIM(_xlpm.srcCat)&lt;&gt;TRIM($J181),"",_xlfn.SWITCH($I181,"Computer",_xlfn.XLOOKUP($K181&amp;"",COMPUTER!$B$3:$B$1009&amp;"",COMPUTER!$K$3:$K$1009,""),"Display",_xlfn.XLOOKUP($K181&amp;"",DISPLAY!$B$3:$B$1000&amp;"",DISPLAY!$L$3:$L$1000,""),"Network Device",_xlfn.XLOOKUP($K181&amp;"",'NETWORK-DEVICES'!$B$3:$B$987&amp;"",'NETWORK-DEVICES'!$K$3:$K$987,""),"Peripheral",_xlfn.XLOOKUP($K181&amp;"",PERIPHERAL!$B$3:$B$954&amp;"",PERIPHERAL!$K$3:$K$954,""),"Utilities",_xlfn.XLOOKUP($K181&amp;"",UTILITIES!$B$3:$B$953&amp;"",UTILITIES!$J$3:$J$953,""),"IOT",_xlfn.XLOOKUP($K181&amp;"",IOT!$B$3:$B$1012&amp;"",IOT!$K$4:$K$1012,""),"Server",_xlfn.XLOOKUP($K181&amp;"",SERVER!$B$3:$B$1009&amp;"",SERVER!$K$3:$K$1009,""),""))))</f>
        <v/>
      </c>
      <c r="O181" s="1" t="str" cm="1">
        <f t="array" ref="O181">IF(OR($K181="",$I181="",$J181=""),"",_xlfn.LET(_xlpm.srcCat,_xlfn.SWITCH($I181,"Computer",_xlfn.XLOOKUP($K181&amp;"",COMPUTER!$B$3:$B$1009&amp;"",COMPUTER!$H$3:$H$1009,""),"Display",_xlfn.XLOOKUP($K181&amp;"",DISPLAY!$B$3:$B$1000&amp;"",DISPLAY!$H$3:$H$1000,""),"Network Device",_xlfn.XLOOKUP($K181&amp;"",'NETWORK-DEVICES'!$B$3:$B$987&amp;"",'NETWORK-DEVICES'!$H$3:$H$987,""),"Peripheral",_xlfn.XLOOKUP($K181&amp;"",PERIPHERAL!$B$3:$B$954&amp;"",PERIPHERAL!$H$3:$H$954,""),"Utilities",_xlfn.XLOOKUP($K181&amp;"",UTILITIES!$B$3:$B$953&amp;"",UTILITIES!$G$3:$G$953,""),"IOT",_xlfn.XLOOKUP($K181&amp;"",IOT!$B$3:$B$1012&amp;"",IOT!$H$3:$H$1012,""),"Server",_xlfn.XLOOKUP($K181&amp;"",SERVER!$B$3:$B$1009&amp;"",SERVER!$H$3:$H$1009,""),""),IF(TRIM(_xlpm.srcCat)&lt;&gt;TRIM($J181),"",_xlfn.SWITCH($I181,"Computer",_xlfn.XLOOKUP($K181&amp;"",COMPUTER!$B$3:$B$1009&amp;"",COMPUTER!$E$3:$E$1009,""),"Display",_xlfn.XLOOKUP($K181&amp;"",DISPLAY!$B$3:$B$1000&amp;"",DISPLAY!$E$3:$E$1000,""),"Network Device",_xlfn.XLOOKUP($K181&amp;"",'NETWORK-DEVICES'!$B$3:$B$987&amp;"",'NETWORK-DEVICES'!$E$3:$E$987,""),"Peripheral",_xlfn.XLOOKUP($K181&amp;"",PERIPHERAL!$B$3:$B$954&amp;"",PERIPHERAL!$E$3:$E$954,""),"Utilities",_xlfn.XLOOKUP($K181&amp;"",UTILITIES!$B$3:$B$953&amp;"",UTILITIES!$E$3:$E$953,""),"IOT",_xlfn.XLOOKUP($K181&amp;"",IOT!$B$3:$B$1012&amp;"",IOT!$E$3:$E$1012,""),"Server",_xlfn.XLOOKUP($K181&amp;"",SERVER!$B$3:$B$1009&amp;"",SERVER!$E$3:$E$1009,""),""))))</f>
        <v/>
      </c>
      <c r="Q181" s="1" t="str" cm="1">
        <f t="array" ref="Q181">IF(OR($K181="",$I181="",$J181=""),"",_xlfn.LET(_xlpm.srcCat,_xlfn.SWITCH($I181,"Computer",_xlfn.XLOOKUP($K181&amp;"",COMPUTER!$B$3:$B$1009&amp;"",COMPUTER!$H$3:$H$1009,""),"Display",_xlfn.XLOOKUP($K181&amp;"",DISPLAY!$B$3:$B$1000&amp;"",DISPLAY!$H$3:$H$1000,""),"Network Device",_xlfn.XLOOKUP($K181&amp;"",'NETWORK-DEVICES'!$B$3:$B$987&amp;"",'NETWORK-DEVICES'!$H$3:$H$987,""),"Peripheral",_xlfn.XLOOKUP($K181&amp;"",PERIPHERAL!$B$3:$B$954&amp;"",PERIPHERAL!$H$3:$H$954,""),"Utilities",_xlfn.XLOOKUP($K181&amp;"",UTILITIES!$B$3:$B$953&amp;"",UTILITIES!$G$3:$G$953,""),"IOT",_xlfn.XLOOKUP($K181&amp;"",IOT!$B$3:$B$1012&amp;"",IOT!$H$3:$H$1012,""),"Server",_xlfn.XLOOKUP($K181&amp;"",SERVER!$B$3:$B$1009&amp;"",SERVER!$H$3:$H$1009,""),""),IF(TRIM(_xlpm.srcCat)&lt;&gt;TRIM($J181),"",_xlfn.SWITCH($I181,"Computer",_xlfn.XLOOKUP($K181&amp;"",COMPUTER!$B$3:$B$1009&amp;"",COMPUTER!$AM$3:$AM$1009,""),"Display",_xlfn.XLOOKUP($K181&amp;"",DISPLAY!$B$3:$B$1000&amp;"",DISPLAY!$V$3:$V$1000,""),"Network Device",_xlfn.XLOOKUP($K181&amp;"",'NETWORK-DEVICES'!$B$3:$B$987&amp;"",'NETWORK-DEVICES'!$AF$3:$AF$987,""),"Peripheral",_xlfn.XLOOKUP($K181&amp;"",PERIPHERAL!$B$3:$B$954&amp;"",PERIPHERAL!$Y$3:$Y$954,""),"Utilities",_xlfn.XLOOKUP($K181&amp;"",UTILITIES!$B$3:$B$953&amp;"",UTILITIES!$O$3:$O$953,""),"IOT",_xlfn.XLOOKUP($K181&amp;"",IOT!$B$3:$B$1012&amp;"",IOT!$AB$3:$AB$1012,""),"Server",_xlfn.XLOOKUP($K181&amp;"",SERVER!$B$3:$B$1009&amp;"",SERVER!$AB$3:$AB$1009,""),""))))</f>
        <v/>
      </c>
      <c r="R181" s="43" t="str">
        <f>IF(tbl_handover[[#This Row],[Asset Code]]="","",COUNTIF(tbl_handover[Asset Code],tbl_handover[[#This Row],[Asset Code]]))</f>
        <v/>
      </c>
    </row>
    <row r="182" spans="1:18" x14ac:dyDescent="0.25">
      <c r="A182" s="43" t="str">
        <f>IF(B182&lt;&gt;"",SUBTOTAL(3,$B$1:B181),"")</f>
        <v/>
      </c>
      <c r="C182" s="74"/>
      <c r="D182" s="74"/>
      <c r="G182" s="1"/>
      <c r="K182" s="42"/>
      <c r="L182" t="str" cm="1">
        <f t="array" ref="L182">IF($K182="","",_xlfn.SWITCH($I182,"Computer",_xlfn.XLOOKUP($K182&amp;"",COMPUTER!$B$3:$B$1009&amp;"",COMPUTER!$I$3:$I$1009,""),"Display",_xlfn.XLOOKUP($K182&amp;"",DISPLAY!$B$3:$B$1000&amp;"",DISPLAY!$J$3:$J$1000,""),"Network Device",_xlfn.XLOOKUP($K182&amp;"",'NETWORK-DEVICES'!$B$3:$B$987&amp;"",'NETWORK-DEVICES'!$I$3:$I$987,""),"Peripheral",_xlfn.XLOOKUP($K182&amp;"",PERIPHERAL!$B$3:$B$954&amp;"",PERIPHERAL!$I$3:$I$954,""),"Utilities",_xlfn.XLOOKUP($K182&amp;"",UTILITIES!$B$3:$B$953&amp;"",UTILITIES!$H$3:$H$953,""),"IOT",_xlfn.XLOOKUP($K182&amp;"",IOT!$B$3:$B$1012&amp;"",IOT!$I$3:$I$1012,""),"SERVER",_xlfn.XLOOKUP($K182&amp;"",SERVER!$B$3:$B$1009&amp;"",SERVER!$I$3:$I$1009,""),""))</f>
        <v/>
      </c>
      <c r="M182" t="str" cm="1">
        <f t="array" ref="M182">IF($K182="","",_xlfn.SWITCH($I182,"Computer",_xlfn.XLOOKUP($K182&amp;"",COMPUTER!$B$3:$B$1009&amp;"",COMPUTER!$J$3:$J$1009,""),"Display",_xlfn.XLOOKUP($K182&amp;"",DISPLAY!$B$3:$B$1000&amp;"",DISPLAY!$K$3:$K$1000,""),"Network Device",_xlfn.XLOOKUP($K182&amp;"",'NETWORK-DEVICES'!$B$3:$B$987&amp;"",'NETWORK-DEVICES'!$I$3:$I$987,""),"Peripheral",_xlfn.XLOOKUP($K182&amp;"",PERIPHERAL!$B$3:$B$954&amp;"",PERIPHERAL!$J$3:$J$954,""),"Utilities",_xlfn.XLOOKUP($K182&amp;"",UTILITIES!$B$3:$B$953&amp;"",UTILITIES!$I$3:$I$953,""),"IOT",_xlfn.XLOOKUP($K182&amp;"",IOT!$B$3:$B$1012&amp;"",IOT!$J$3:$J$1012,""),"Server",_xlfn.XLOOKUP($K182&amp;"",SERVER!$B$3:$B$1009&amp;"",SERVER!$J$3:$J$1009,""),""))</f>
        <v/>
      </c>
      <c r="N182" s="1" t="str" cm="1">
        <f t="array" ref="N182">IF(OR($K182="",$I182="",$J182=""),"",_xlfn.LET(_xlpm.srcCat,_xlfn.SWITCH($I182,"Computer",_xlfn.XLOOKUP($K182&amp;"",COMPUTER!$B$3:$B$1009&amp;"",COMPUTER!$H$3:$H$1009,""),"Display",_xlfn.XLOOKUP($K182&amp;"",DISPLAY!$B$3:$B$1000&amp;"",DISPLAY!$H$3:$H$1000,""),"Network Device",_xlfn.XLOOKUP($K182&amp;"",'NETWORK-DEVICES'!$B$3:$B$987&amp;"",'NETWORK-DEVICES'!$H$3:$H$987,""),"Peripheral",_xlfn.XLOOKUP($K182&amp;"",PERIPHERAL!$B$3:$B$954&amp;"",PERIPHERAL!$H$3:$H$954,""),"Utilities",_xlfn.XLOOKUP($K182&amp;"",UTILITIES!$B$3:$B$953&amp;"",UTILITIES!$G$3:$G$953,""),"IOT",_xlfn.XLOOKUP($K182&amp;"",IOT!$B$3:$B$1012&amp;"",IOT!$H$3:$H$1012,""),"Server",_xlfn.XLOOKUP($K182&amp;"",SERVER!$B$3:$B$1009&amp;"",SERVER!$H$3:$H$1009,""),""),IF(TRIM(_xlpm.srcCat)&lt;&gt;TRIM($J182),"",_xlfn.SWITCH($I182,"Computer",_xlfn.XLOOKUP($K182&amp;"",COMPUTER!$B$3:$B$1009&amp;"",COMPUTER!$K$3:$K$1009,""),"Display",_xlfn.XLOOKUP($K182&amp;"",DISPLAY!$B$3:$B$1000&amp;"",DISPLAY!$L$3:$L$1000,""),"Network Device",_xlfn.XLOOKUP($K182&amp;"",'NETWORK-DEVICES'!$B$3:$B$987&amp;"",'NETWORK-DEVICES'!$K$3:$K$987,""),"Peripheral",_xlfn.XLOOKUP($K182&amp;"",PERIPHERAL!$B$3:$B$954&amp;"",PERIPHERAL!$K$3:$K$954,""),"Utilities",_xlfn.XLOOKUP($K182&amp;"",UTILITIES!$B$3:$B$953&amp;"",UTILITIES!$J$3:$J$953,""),"IOT",_xlfn.XLOOKUP($K182&amp;"",IOT!$B$3:$B$1012&amp;"",IOT!$K$4:$K$1012,""),"Server",_xlfn.XLOOKUP($K182&amp;"",SERVER!$B$3:$B$1009&amp;"",SERVER!$K$3:$K$1009,""),""))))</f>
        <v/>
      </c>
      <c r="O182" s="1" t="str" cm="1">
        <f t="array" ref="O182">IF(OR($K182="",$I182="",$J182=""),"",_xlfn.LET(_xlpm.srcCat,_xlfn.SWITCH($I182,"Computer",_xlfn.XLOOKUP($K182&amp;"",COMPUTER!$B$3:$B$1009&amp;"",COMPUTER!$H$3:$H$1009,""),"Display",_xlfn.XLOOKUP($K182&amp;"",DISPLAY!$B$3:$B$1000&amp;"",DISPLAY!$H$3:$H$1000,""),"Network Device",_xlfn.XLOOKUP($K182&amp;"",'NETWORK-DEVICES'!$B$3:$B$987&amp;"",'NETWORK-DEVICES'!$H$3:$H$987,""),"Peripheral",_xlfn.XLOOKUP($K182&amp;"",PERIPHERAL!$B$3:$B$954&amp;"",PERIPHERAL!$H$3:$H$954,""),"Utilities",_xlfn.XLOOKUP($K182&amp;"",UTILITIES!$B$3:$B$953&amp;"",UTILITIES!$G$3:$G$953,""),"IOT",_xlfn.XLOOKUP($K182&amp;"",IOT!$B$3:$B$1012&amp;"",IOT!$H$3:$H$1012,""),"Server",_xlfn.XLOOKUP($K182&amp;"",SERVER!$B$3:$B$1009&amp;"",SERVER!$H$3:$H$1009,""),""),IF(TRIM(_xlpm.srcCat)&lt;&gt;TRIM($J182),"",_xlfn.SWITCH($I182,"Computer",_xlfn.XLOOKUP($K182&amp;"",COMPUTER!$B$3:$B$1009&amp;"",COMPUTER!$E$3:$E$1009,""),"Display",_xlfn.XLOOKUP($K182&amp;"",DISPLAY!$B$3:$B$1000&amp;"",DISPLAY!$E$3:$E$1000,""),"Network Device",_xlfn.XLOOKUP($K182&amp;"",'NETWORK-DEVICES'!$B$3:$B$987&amp;"",'NETWORK-DEVICES'!$E$3:$E$987,""),"Peripheral",_xlfn.XLOOKUP($K182&amp;"",PERIPHERAL!$B$3:$B$954&amp;"",PERIPHERAL!$E$3:$E$954,""),"Utilities",_xlfn.XLOOKUP($K182&amp;"",UTILITIES!$B$3:$B$953&amp;"",UTILITIES!$E$3:$E$953,""),"IOT",_xlfn.XLOOKUP($K182&amp;"",IOT!$B$3:$B$1012&amp;"",IOT!$E$3:$E$1012,""),"Server",_xlfn.XLOOKUP($K182&amp;"",SERVER!$B$3:$B$1009&amp;"",SERVER!$E$3:$E$1009,""),""))))</f>
        <v/>
      </c>
      <c r="Q182" s="1" t="str" cm="1">
        <f t="array" ref="Q182">IF(OR($K182="",$I182="",$J182=""),"",_xlfn.LET(_xlpm.srcCat,_xlfn.SWITCH($I182,"Computer",_xlfn.XLOOKUP($K182&amp;"",COMPUTER!$B$3:$B$1009&amp;"",COMPUTER!$H$3:$H$1009,""),"Display",_xlfn.XLOOKUP($K182&amp;"",DISPLAY!$B$3:$B$1000&amp;"",DISPLAY!$H$3:$H$1000,""),"Network Device",_xlfn.XLOOKUP($K182&amp;"",'NETWORK-DEVICES'!$B$3:$B$987&amp;"",'NETWORK-DEVICES'!$H$3:$H$987,""),"Peripheral",_xlfn.XLOOKUP($K182&amp;"",PERIPHERAL!$B$3:$B$954&amp;"",PERIPHERAL!$H$3:$H$954,""),"Utilities",_xlfn.XLOOKUP($K182&amp;"",UTILITIES!$B$3:$B$953&amp;"",UTILITIES!$G$3:$G$953,""),"IOT",_xlfn.XLOOKUP($K182&amp;"",IOT!$B$3:$B$1012&amp;"",IOT!$H$3:$H$1012,""),"Server",_xlfn.XLOOKUP($K182&amp;"",SERVER!$B$3:$B$1009&amp;"",SERVER!$H$3:$H$1009,""),""),IF(TRIM(_xlpm.srcCat)&lt;&gt;TRIM($J182),"",_xlfn.SWITCH($I182,"Computer",_xlfn.XLOOKUP($K182&amp;"",COMPUTER!$B$3:$B$1009&amp;"",COMPUTER!$AM$3:$AM$1009,""),"Display",_xlfn.XLOOKUP($K182&amp;"",DISPLAY!$B$3:$B$1000&amp;"",DISPLAY!$V$3:$V$1000,""),"Network Device",_xlfn.XLOOKUP($K182&amp;"",'NETWORK-DEVICES'!$B$3:$B$987&amp;"",'NETWORK-DEVICES'!$AF$3:$AF$987,""),"Peripheral",_xlfn.XLOOKUP($K182&amp;"",PERIPHERAL!$B$3:$B$954&amp;"",PERIPHERAL!$Y$3:$Y$954,""),"Utilities",_xlfn.XLOOKUP($K182&amp;"",UTILITIES!$B$3:$B$953&amp;"",UTILITIES!$O$3:$O$953,""),"IOT",_xlfn.XLOOKUP($K182&amp;"",IOT!$B$3:$B$1012&amp;"",IOT!$AB$3:$AB$1012,""),"Server",_xlfn.XLOOKUP($K182&amp;"",SERVER!$B$3:$B$1009&amp;"",SERVER!$AB$3:$AB$1009,""),""))))</f>
        <v/>
      </c>
      <c r="R182" s="43" t="str">
        <f>IF(tbl_handover[[#This Row],[Asset Code]]="","",COUNTIF(tbl_handover[Asset Code],tbl_handover[[#This Row],[Asset Code]]))</f>
        <v/>
      </c>
    </row>
    <row r="183" spans="1:18" x14ac:dyDescent="0.25">
      <c r="A183" s="43" t="str">
        <f>IF(B183&lt;&gt;"",SUBTOTAL(3,$B$1:B182),"")</f>
        <v/>
      </c>
      <c r="C183" s="74"/>
      <c r="D183" s="74"/>
      <c r="G183" s="1"/>
      <c r="K183" s="42"/>
      <c r="L183" t="str" cm="1">
        <f t="array" ref="L183">IF($K183="","",_xlfn.SWITCH($I183,"Computer",_xlfn.XLOOKUP($K183&amp;"",COMPUTER!$B$3:$B$1009&amp;"",COMPUTER!$I$3:$I$1009,""),"Display",_xlfn.XLOOKUP($K183&amp;"",DISPLAY!$B$3:$B$1000&amp;"",DISPLAY!$J$3:$J$1000,""),"Network Device",_xlfn.XLOOKUP($K183&amp;"",'NETWORK-DEVICES'!$B$3:$B$987&amp;"",'NETWORK-DEVICES'!$I$3:$I$987,""),"Peripheral",_xlfn.XLOOKUP($K183&amp;"",PERIPHERAL!$B$3:$B$954&amp;"",PERIPHERAL!$I$3:$I$954,""),"Utilities",_xlfn.XLOOKUP($K183&amp;"",UTILITIES!$B$3:$B$953&amp;"",UTILITIES!$H$3:$H$953,""),"IOT",_xlfn.XLOOKUP($K183&amp;"",IOT!$B$3:$B$1012&amp;"",IOT!$I$3:$I$1012,""),"SERVER",_xlfn.XLOOKUP($K183&amp;"",SERVER!$B$3:$B$1009&amp;"",SERVER!$I$3:$I$1009,""),""))</f>
        <v/>
      </c>
      <c r="M183" t="str" cm="1">
        <f t="array" ref="M183">IF($K183="","",_xlfn.SWITCH($I183,"Computer",_xlfn.XLOOKUP($K183&amp;"",COMPUTER!$B$3:$B$1009&amp;"",COMPUTER!$J$3:$J$1009,""),"Display",_xlfn.XLOOKUP($K183&amp;"",DISPLAY!$B$3:$B$1000&amp;"",DISPLAY!$K$3:$K$1000,""),"Network Device",_xlfn.XLOOKUP($K183&amp;"",'NETWORK-DEVICES'!$B$3:$B$987&amp;"",'NETWORK-DEVICES'!$I$3:$I$987,""),"Peripheral",_xlfn.XLOOKUP($K183&amp;"",PERIPHERAL!$B$3:$B$954&amp;"",PERIPHERAL!$J$3:$J$954,""),"Utilities",_xlfn.XLOOKUP($K183&amp;"",UTILITIES!$B$3:$B$953&amp;"",UTILITIES!$I$3:$I$953,""),"IOT",_xlfn.XLOOKUP($K183&amp;"",IOT!$B$3:$B$1012&amp;"",IOT!$J$3:$J$1012,""),"Server",_xlfn.XLOOKUP($K183&amp;"",SERVER!$B$3:$B$1009&amp;"",SERVER!$J$3:$J$1009,""),""))</f>
        <v/>
      </c>
      <c r="N183" s="1" t="str" cm="1">
        <f t="array" ref="N183">IF(OR($K183="",$I183="",$J183=""),"",_xlfn.LET(_xlpm.srcCat,_xlfn.SWITCH($I183,"Computer",_xlfn.XLOOKUP($K183&amp;"",COMPUTER!$B$3:$B$1009&amp;"",COMPUTER!$H$3:$H$1009,""),"Display",_xlfn.XLOOKUP($K183&amp;"",DISPLAY!$B$3:$B$1000&amp;"",DISPLAY!$H$3:$H$1000,""),"Network Device",_xlfn.XLOOKUP($K183&amp;"",'NETWORK-DEVICES'!$B$3:$B$987&amp;"",'NETWORK-DEVICES'!$H$3:$H$987,""),"Peripheral",_xlfn.XLOOKUP($K183&amp;"",PERIPHERAL!$B$3:$B$954&amp;"",PERIPHERAL!$H$3:$H$954,""),"Utilities",_xlfn.XLOOKUP($K183&amp;"",UTILITIES!$B$3:$B$953&amp;"",UTILITIES!$G$3:$G$953,""),"IOT",_xlfn.XLOOKUP($K183&amp;"",IOT!$B$3:$B$1012&amp;"",IOT!$H$3:$H$1012,""),"Server",_xlfn.XLOOKUP($K183&amp;"",SERVER!$B$3:$B$1009&amp;"",SERVER!$H$3:$H$1009,""),""),IF(TRIM(_xlpm.srcCat)&lt;&gt;TRIM($J183),"",_xlfn.SWITCH($I183,"Computer",_xlfn.XLOOKUP($K183&amp;"",COMPUTER!$B$3:$B$1009&amp;"",COMPUTER!$K$3:$K$1009,""),"Display",_xlfn.XLOOKUP($K183&amp;"",DISPLAY!$B$3:$B$1000&amp;"",DISPLAY!$L$3:$L$1000,""),"Network Device",_xlfn.XLOOKUP($K183&amp;"",'NETWORK-DEVICES'!$B$3:$B$987&amp;"",'NETWORK-DEVICES'!$K$3:$K$987,""),"Peripheral",_xlfn.XLOOKUP($K183&amp;"",PERIPHERAL!$B$3:$B$954&amp;"",PERIPHERAL!$K$3:$K$954,""),"Utilities",_xlfn.XLOOKUP($K183&amp;"",UTILITIES!$B$3:$B$953&amp;"",UTILITIES!$J$3:$J$953,""),"IOT",_xlfn.XLOOKUP($K183&amp;"",IOT!$B$3:$B$1012&amp;"",IOT!$K$4:$K$1012,""),"Server",_xlfn.XLOOKUP($K183&amp;"",SERVER!$B$3:$B$1009&amp;"",SERVER!$K$3:$K$1009,""),""))))</f>
        <v/>
      </c>
      <c r="O183" s="1" t="str" cm="1">
        <f t="array" ref="O183">IF(OR($K183="",$I183="",$J183=""),"",_xlfn.LET(_xlpm.srcCat,_xlfn.SWITCH($I183,"Computer",_xlfn.XLOOKUP($K183&amp;"",COMPUTER!$B$3:$B$1009&amp;"",COMPUTER!$H$3:$H$1009,""),"Display",_xlfn.XLOOKUP($K183&amp;"",DISPLAY!$B$3:$B$1000&amp;"",DISPLAY!$H$3:$H$1000,""),"Network Device",_xlfn.XLOOKUP($K183&amp;"",'NETWORK-DEVICES'!$B$3:$B$987&amp;"",'NETWORK-DEVICES'!$H$3:$H$987,""),"Peripheral",_xlfn.XLOOKUP($K183&amp;"",PERIPHERAL!$B$3:$B$954&amp;"",PERIPHERAL!$H$3:$H$954,""),"Utilities",_xlfn.XLOOKUP($K183&amp;"",UTILITIES!$B$3:$B$953&amp;"",UTILITIES!$G$3:$G$953,""),"IOT",_xlfn.XLOOKUP($K183&amp;"",IOT!$B$3:$B$1012&amp;"",IOT!$H$3:$H$1012,""),"Server",_xlfn.XLOOKUP($K183&amp;"",SERVER!$B$3:$B$1009&amp;"",SERVER!$H$3:$H$1009,""),""),IF(TRIM(_xlpm.srcCat)&lt;&gt;TRIM($J183),"",_xlfn.SWITCH($I183,"Computer",_xlfn.XLOOKUP($K183&amp;"",COMPUTER!$B$3:$B$1009&amp;"",COMPUTER!$E$3:$E$1009,""),"Display",_xlfn.XLOOKUP($K183&amp;"",DISPLAY!$B$3:$B$1000&amp;"",DISPLAY!$E$3:$E$1000,""),"Network Device",_xlfn.XLOOKUP($K183&amp;"",'NETWORK-DEVICES'!$B$3:$B$987&amp;"",'NETWORK-DEVICES'!$E$3:$E$987,""),"Peripheral",_xlfn.XLOOKUP($K183&amp;"",PERIPHERAL!$B$3:$B$954&amp;"",PERIPHERAL!$E$3:$E$954,""),"Utilities",_xlfn.XLOOKUP($K183&amp;"",UTILITIES!$B$3:$B$953&amp;"",UTILITIES!$E$3:$E$953,""),"IOT",_xlfn.XLOOKUP($K183&amp;"",IOT!$B$3:$B$1012&amp;"",IOT!$E$3:$E$1012,""),"Server",_xlfn.XLOOKUP($K183&amp;"",SERVER!$B$3:$B$1009&amp;"",SERVER!$E$3:$E$1009,""),""))))</f>
        <v/>
      </c>
      <c r="Q183" s="1" t="str" cm="1">
        <f t="array" ref="Q183">IF(OR($K183="",$I183="",$J183=""),"",_xlfn.LET(_xlpm.srcCat,_xlfn.SWITCH($I183,"Computer",_xlfn.XLOOKUP($K183&amp;"",COMPUTER!$B$3:$B$1009&amp;"",COMPUTER!$H$3:$H$1009,""),"Display",_xlfn.XLOOKUP($K183&amp;"",DISPLAY!$B$3:$B$1000&amp;"",DISPLAY!$H$3:$H$1000,""),"Network Device",_xlfn.XLOOKUP($K183&amp;"",'NETWORK-DEVICES'!$B$3:$B$987&amp;"",'NETWORK-DEVICES'!$H$3:$H$987,""),"Peripheral",_xlfn.XLOOKUP($K183&amp;"",PERIPHERAL!$B$3:$B$954&amp;"",PERIPHERAL!$H$3:$H$954,""),"Utilities",_xlfn.XLOOKUP($K183&amp;"",UTILITIES!$B$3:$B$953&amp;"",UTILITIES!$G$3:$G$953,""),"IOT",_xlfn.XLOOKUP($K183&amp;"",IOT!$B$3:$B$1012&amp;"",IOT!$H$3:$H$1012,""),"Server",_xlfn.XLOOKUP($K183&amp;"",SERVER!$B$3:$B$1009&amp;"",SERVER!$H$3:$H$1009,""),""),IF(TRIM(_xlpm.srcCat)&lt;&gt;TRIM($J183),"",_xlfn.SWITCH($I183,"Computer",_xlfn.XLOOKUP($K183&amp;"",COMPUTER!$B$3:$B$1009&amp;"",COMPUTER!$AM$3:$AM$1009,""),"Display",_xlfn.XLOOKUP($K183&amp;"",DISPLAY!$B$3:$B$1000&amp;"",DISPLAY!$V$3:$V$1000,""),"Network Device",_xlfn.XLOOKUP($K183&amp;"",'NETWORK-DEVICES'!$B$3:$B$987&amp;"",'NETWORK-DEVICES'!$AF$3:$AF$987,""),"Peripheral",_xlfn.XLOOKUP($K183&amp;"",PERIPHERAL!$B$3:$B$954&amp;"",PERIPHERAL!$Y$3:$Y$954,""),"Utilities",_xlfn.XLOOKUP($K183&amp;"",UTILITIES!$B$3:$B$953&amp;"",UTILITIES!$O$3:$O$953,""),"IOT",_xlfn.XLOOKUP($K183&amp;"",IOT!$B$3:$B$1012&amp;"",IOT!$AB$3:$AB$1012,""),"Server",_xlfn.XLOOKUP($K183&amp;"",SERVER!$B$3:$B$1009&amp;"",SERVER!$AB$3:$AB$1009,""),""))))</f>
        <v/>
      </c>
      <c r="R183" s="43" t="str">
        <f>IF(tbl_handover[[#This Row],[Asset Code]]="","",COUNTIF(tbl_handover[Asset Code],tbl_handover[[#This Row],[Asset Code]]))</f>
        <v/>
      </c>
    </row>
    <row r="184" spans="1:18" x14ac:dyDescent="0.25">
      <c r="A184" s="43" t="str">
        <f>IF(B184&lt;&gt;"",SUBTOTAL(3,$B$1:B183),"")</f>
        <v/>
      </c>
      <c r="C184" s="74"/>
      <c r="D184" s="74"/>
      <c r="G184" s="1"/>
      <c r="K184" s="42"/>
      <c r="L184" t="str" cm="1">
        <f t="array" ref="L184">IF($K184="","",_xlfn.SWITCH($I184,"Computer",_xlfn.XLOOKUP($K184&amp;"",COMPUTER!$B$3:$B$1009&amp;"",COMPUTER!$I$3:$I$1009,""),"Display",_xlfn.XLOOKUP($K184&amp;"",DISPLAY!$B$3:$B$1000&amp;"",DISPLAY!$J$3:$J$1000,""),"Network Device",_xlfn.XLOOKUP($K184&amp;"",'NETWORK-DEVICES'!$B$3:$B$987&amp;"",'NETWORK-DEVICES'!$I$3:$I$987,""),"Peripheral",_xlfn.XLOOKUP($K184&amp;"",PERIPHERAL!$B$3:$B$954&amp;"",PERIPHERAL!$I$3:$I$954,""),"Utilities",_xlfn.XLOOKUP($K184&amp;"",UTILITIES!$B$3:$B$953&amp;"",UTILITIES!$H$3:$H$953,""),"IOT",_xlfn.XLOOKUP($K184&amp;"",IOT!$B$3:$B$1012&amp;"",IOT!$I$3:$I$1012,""),"SERVER",_xlfn.XLOOKUP($K184&amp;"",SERVER!$B$3:$B$1009&amp;"",SERVER!$I$3:$I$1009,""),""))</f>
        <v/>
      </c>
      <c r="M184" t="str" cm="1">
        <f t="array" ref="M184">IF($K184="","",_xlfn.SWITCH($I184,"Computer",_xlfn.XLOOKUP($K184&amp;"",COMPUTER!$B$3:$B$1009&amp;"",COMPUTER!$J$3:$J$1009,""),"Display",_xlfn.XLOOKUP($K184&amp;"",DISPLAY!$B$3:$B$1000&amp;"",DISPLAY!$K$3:$K$1000,""),"Network Device",_xlfn.XLOOKUP($K184&amp;"",'NETWORK-DEVICES'!$B$3:$B$987&amp;"",'NETWORK-DEVICES'!$I$3:$I$987,""),"Peripheral",_xlfn.XLOOKUP($K184&amp;"",PERIPHERAL!$B$3:$B$954&amp;"",PERIPHERAL!$J$3:$J$954,""),"Utilities",_xlfn.XLOOKUP($K184&amp;"",UTILITIES!$B$3:$B$953&amp;"",UTILITIES!$I$3:$I$953,""),"IOT",_xlfn.XLOOKUP($K184&amp;"",IOT!$B$3:$B$1012&amp;"",IOT!$J$3:$J$1012,""),"Server",_xlfn.XLOOKUP($K184&amp;"",SERVER!$B$3:$B$1009&amp;"",SERVER!$J$3:$J$1009,""),""))</f>
        <v/>
      </c>
      <c r="N184" s="1" t="str" cm="1">
        <f t="array" ref="N184">IF(OR($K184="",$I184="",$J184=""),"",_xlfn.LET(_xlpm.srcCat,_xlfn.SWITCH($I184,"Computer",_xlfn.XLOOKUP($K184&amp;"",COMPUTER!$B$3:$B$1009&amp;"",COMPUTER!$H$3:$H$1009,""),"Display",_xlfn.XLOOKUP($K184&amp;"",DISPLAY!$B$3:$B$1000&amp;"",DISPLAY!$H$3:$H$1000,""),"Network Device",_xlfn.XLOOKUP($K184&amp;"",'NETWORK-DEVICES'!$B$3:$B$987&amp;"",'NETWORK-DEVICES'!$H$3:$H$987,""),"Peripheral",_xlfn.XLOOKUP($K184&amp;"",PERIPHERAL!$B$3:$B$954&amp;"",PERIPHERAL!$H$3:$H$954,""),"Utilities",_xlfn.XLOOKUP($K184&amp;"",UTILITIES!$B$3:$B$953&amp;"",UTILITIES!$G$3:$G$953,""),"IOT",_xlfn.XLOOKUP($K184&amp;"",IOT!$B$3:$B$1012&amp;"",IOT!$H$3:$H$1012,""),"Server",_xlfn.XLOOKUP($K184&amp;"",SERVER!$B$3:$B$1009&amp;"",SERVER!$H$3:$H$1009,""),""),IF(TRIM(_xlpm.srcCat)&lt;&gt;TRIM($J184),"",_xlfn.SWITCH($I184,"Computer",_xlfn.XLOOKUP($K184&amp;"",COMPUTER!$B$3:$B$1009&amp;"",COMPUTER!$K$3:$K$1009,""),"Display",_xlfn.XLOOKUP($K184&amp;"",DISPLAY!$B$3:$B$1000&amp;"",DISPLAY!$L$3:$L$1000,""),"Network Device",_xlfn.XLOOKUP($K184&amp;"",'NETWORK-DEVICES'!$B$3:$B$987&amp;"",'NETWORK-DEVICES'!$K$3:$K$987,""),"Peripheral",_xlfn.XLOOKUP($K184&amp;"",PERIPHERAL!$B$3:$B$954&amp;"",PERIPHERAL!$K$3:$K$954,""),"Utilities",_xlfn.XLOOKUP($K184&amp;"",UTILITIES!$B$3:$B$953&amp;"",UTILITIES!$J$3:$J$953,""),"IOT",_xlfn.XLOOKUP($K184&amp;"",IOT!$B$3:$B$1012&amp;"",IOT!$K$4:$K$1012,""),"Server",_xlfn.XLOOKUP($K184&amp;"",SERVER!$B$3:$B$1009&amp;"",SERVER!$K$3:$K$1009,""),""))))</f>
        <v/>
      </c>
      <c r="O184" s="1" t="str" cm="1">
        <f t="array" ref="O184">IF(OR($K184="",$I184="",$J184=""),"",_xlfn.LET(_xlpm.srcCat,_xlfn.SWITCH($I184,"Computer",_xlfn.XLOOKUP($K184&amp;"",COMPUTER!$B$3:$B$1009&amp;"",COMPUTER!$H$3:$H$1009,""),"Display",_xlfn.XLOOKUP($K184&amp;"",DISPLAY!$B$3:$B$1000&amp;"",DISPLAY!$H$3:$H$1000,""),"Network Device",_xlfn.XLOOKUP($K184&amp;"",'NETWORK-DEVICES'!$B$3:$B$987&amp;"",'NETWORK-DEVICES'!$H$3:$H$987,""),"Peripheral",_xlfn.XLOOKUP($K184&amp;"",PERIPHERAL!$B$3:$B$954&amp;"",PERIPHERAL!$H$3:$H$954,""),"Utilities",_xlfn.XLOOKUP($K184&amp;"",UTILITIES!$B$3:$B$953&amp;"",UTILITIES!$G$3:$G$953,""),"IOT",_xlfn.XLOOKUP($K184&amp;"",IOT!$B$3:$B$1012&amp;"",IOT!$H$3:$H$1012,""),"Server",_xlfn.XLOOKUP($K184&amp;"",SERVER!$B$3:$B$1009&amp;"",SERVER!$H$3:$H$1009,""),""),IF(TRIM(_xlpm.srcCat)&lt;&gt;TRIM($J184),"",_xlfn.SWITCH($I184,"Computer",_xlfn.XLOOKUP($K184&amp;"",COMPUTER!$B$3:$B$1009&amp;"",COMPUTER!$E$3:$E$1009,""),"Display",_xlfn.XLOOKUP($K184&amp;"",DISPLAY!$B$3:$B$1000&amp;"",DISPLAY!$E$3:$E$1000,""),"Network Device",_xlfn.XLOOKUP($K184&amp;"",'NETWORK-DEVICES'!$B$3:$B$987&amp;"",'NETWORK-DEVICES'!$E$3:$E$987,""),"Peripheral",_xlfn.XLOOKUP($K184&amp;"",PERIPHERAL!$B$3:$B$954&amp;"",PERIPHERAL!$E$3:$E$954,""),"Utilities",_xlfn.XLOOKUP($K184&amp;"",UTILITIES!$B$3:$B$953&amp;"",UTILITIES!$E$3:$E$953,""),"IOT",_xlfn.XLOOKUP($K184&amp;"",IOT!$B$3:$B$1012&amp;"",IOT!$E$3:$E$1012,""),"Server",_xlfn.XLOOKUP($K184&amp;"",SERVER!$B$3:$B$1009&amp;"",SERVER!$E$3:$E$1009,""),""))))</f>
        <v/>
      </c>
      <c r="Q184" s="1" t="str" cm="1">
        <f t="array" ref="Q184">IF(OR($K184="",$I184="",$J184=""),"",_xlfn.LET(_xlpm.srcCat,_xlfn.SWITCH($I184,"Computer",_xlfn.XLOOKUP($K184&amp;"",COMPUTER!$B$3:$B$1009&amp;"",COMPUTER!$H$3:$H$1009,""),"Display",_xlfn.XLOOKUP($K184&amp;"",DISPLAY!$B$3:$B$1000&amp;"",DISPLAY!$H$3:$H$1000,""),"Network Device",_xlfn.XLOOKUP($K184&amp;"",'NETWORK-DEVICES'!$B$3:$B$987&amp;"",'NETWORK-DEVICES'!$H$3:$H$987,""),"Peripheral",_xlfn.XLOOKUP($K184&amp;"",PERIPHERAL!$B$3:$B$954&amp;"",PERIPHERAL!$H$3:$H$954,""),"Utilities",_xlfn.XLOOKUP($K184&amp;"",UTILITIES!$B$3:$B$953&amp;"",UTILITIES!$G$3:$G$953,""),"IOT",_xlfn.XLOOKUP($K184&amp;"",IOT!$B$3:$B$1012&amp;"",IOT!$H$3:$H$1012,""),"Server",_xlfn.XLOOKUP($K184&amp;"",SERVER!$B$3:$B$1009&amp;"",SERVER!$H$3:$H$1009,""),""),IF(TRIM(_xlpm.srcCat)&lt;&gt;TRIM($J184),"",_xlfn.SWITCH($I184,"Computer",_xlfn.XLOOKUP($K184&amp;"",COMPUTER!$B$3:$B$1009&amp;"",COMPUTER!$AM$3:$AM$1009,""),"Display",_xlfn.XLOOKUP($K184&amp;"",DISPLAY!$B$3:$B$1000&amp;"",DISPLAY!$V$3:$V$1000,""),"Network Device",_xlfn.XLOOKUP($K184&amp;"",'NETWORK-DEVICES'!$B$3:$B$987&amp;"",'NETWORK-DEVICES'!$AF$3:$AF$987,""),"Peripheral",_xlfn.XLOOKUP($K184&amp;"",PERIPHERAL!$B$3:$B$954&amp;"",PERIPHERAL!$Y$3:$Y$954,""),"Utilities",_xlfn.XLOOKUP($K184&amp;"",UTILITIES!$B$3:$B$953&amp;"",UTILITIES!$O$3:$O$953,""),"IOT",_xlfn.XLOOKUP($K184&amp;"",IOT!$B$3:$B$1012&amp;"",IOT!$AB$3:$AB$1012,""),"Server",_xlfn.XLOOKUP($K184&amp;"",SERVER!$B$3:$B$1009&amp;"",SERVER!$AB$3:$AB$1009,""),""))))</f>
        <v/>
      </c>
      <c r="R184" s="43" t="str">
        <f>IF(tbl_handover[[#This Row],[Asset Code]]="","",COUNTIF(tbl_handover[Asset Code],tbl_handover[[#This Row],[Asset Code]]))</f>
        <v/>
      </c>
    </row>
    <row r="185" spans="1:18" x14ac:dyDescent="0.25">
      <c r="A185" s="43" t="str">
        <f>IF(B185&lt;&gt;"",SUBTOTAL(3,$B$1:B184),"")</f>
        <v/>
      </c>
      <c r="C185" s="74"/>
      <c r="D185" s="74"/>
      <c r="G185" s="1"/>
      <c r="K185" s="42"/>
      <c r="L185" t="str" cm="1">
        <f t="array" ref="L185">IF($K185="","",_xlfn.SWITCH($I185,"Computer",_xlfn.XLOOKUP($K185&amp;"",COMPUTER!$B$3:$B$1009&amp;"",COMPUTER!$I$3:$I$1009,""),"Display",_xlfn.XLOOKUP($K185&amp;"",DISPLAY!$B$3:$B$1000&amp;"",DISPLAY!$J$3:$J$1000,""),"Network Device",_xlfn.XLOOKUP($K185&amp;"",'NETWORK-DEVICES'!$B$3:$B$987&amp;"",'NETWORK-DEVICES'!$I$3:$I$987,""),"Peripheral",_xlfn.XLOOKUP($K185&amp;"",PERIPHERAL!$B$3:$B$954&amp;"",PERIPHERAL!$I$3:$I$954,""),"Utilities",_xlfn.XLOOKUP($K185&amp;"",UTILITIES!$B$3:$B$953&amp;"",UTILITIES!$H$3:$H$953,""),"IOT",_xlfn.XLOOKUP($K185&amp;"",IOT!$B$3:$B$1012&amp;"",IOT!$I$3:$I$1012,""),"SERVER",_xlfn.XLOOKUP($K185&amp;"",SERVER!$B$3:$B$1009&amp;"",SERVER!$I$3:$I$1009,""),""))</f>
        <v/>
      </c>
      <c r="M185" t="str" cm="1">
        <f t="array" ref="M185">IF($K185="","",_xlfn.SWITCH($I185,"Computer",_xlfn.XLOOKUP($K185&amp;"",COMPUTER!$B$3:$B$1009&amp;"",COMPUTER!$J$3:$J$1009,""),"Display",_xlfn.XLOOKUP($K185&amp;"",DISPLAY!$B$3:$B$1000&amp;"",DISPLAY!$K$3:$K$1000,""),"Network Device",_xlfn.XLOOKUP($K185&amp;"",'NETWORK-DEVICES'!$B$3:$B$987&amp;"",'NETWORK-DEVICES'!$I$3:$I$987,""),"Peripheral",_xlfn.XLOOKUP($K185&amp;"",PERIPHERAL!$B$3:$B$954&amp;"",PERIPHERAL!$J$3:$J$954,""),"Utilities",_xlfn.XLOOKUP($K185&amp;"",UTILITIES!$B$3:$B$953&amp;"",UTILITIES!$I$3:$I$953,""),"IOT",_xlfn.XLOOKUP($K185&amp;"",IOT!$B$3:$B$1012&amp;"",IOT!$J$3:$J$1012,""),"Server",_xlfn.XLOOKUP($K185&amp;"",SERVER!$B$3:$B$1009&amp;"",SERVER!$J$3:$J$1009,""),""))</f>
        <v/>
      </c>
      <c r="N185" s="1" t="str" cm="1">
        <f t="array" ref="N185">IF(OR($K185="",$I185="",$J185=""),"",_xlfn.LET(_xlpm.srcCat,_xlfn.SWITCH($I185,"Computer",_xlfn.XLOOKUP($K185&amp;"",COMPUTER!$B$3:$B$1009&amp;"",COMPUTER!$H$3:$H$1009,""),"Display",_xlfn.XLOOKUP($K185&amp;"",DISPLAY!$B$3:$B$1000&amp;"",DISPLAY!$H$3:$H$1000,""),"Network Device",_xlfn.XLOOKUP($K185&amp;"",'NETWORK-DEVICES'!$B$3:$B$987&amp;"",'NETWORK-DEVICES'!$H$3:$H$987,""),"Peripheral",_xlfn.XLOOKUP($K185&amp;"",PERIPHERAL!$B$3:$B$954&amp;"",PERIPHERAL!$H$3:$H$954,""),"Utilities",_xlfn.XLOOKUP($K185&amp;"",UTILITIES!$B$3:$B$953&amp;"",UTILITIES!$G$3:$G$953,""),"IOT",_xlfn.XLOOKUP($K185&amp;"",IOT!$B$3:$B$1012&amp;"",IOT!$H$3:$H$1012,""),"Server",_xlfn.XLOOKUP($K185&amp;"",SERVER!$B$3:$B$1009&amp;"",SERVER!$H$3:$H$1009,""),""),IF(TRIM(_xlpm.srcCat)&lt;&gt;TRIM($J185),"",_xlfn.SWITCH($I185,"Computer",_xlfn.XLOOKUP($K185&amp;"",COMPUTER!$B$3:$B$1009&amp;"",COMPUTER!$K$3:$K$1009,""),"Display",_xlfn.XLOOKUP($K185&amp;"",DISPLAY!$B$3:$B$1000&amp;"",DISPLAY!$L$3:$L$1000,""),"Network Device",_xlfn.XLOOKUP($K185&amp;"",'NETWORK-DEVICES'!$B$3:$B$987&amp;"",'NETWORK-DEVICES'!$K$3:$K$987,""),"Peripheral",_xlfn.XLOOKUP($K185&amp;"",PERIPHERAL!$B$3:$B$954&amp;"",PERIPHERAL!$K$3:$K$954,""),"Utilities",_xlfn.XLOOKUP($K185&amp;"",UTILITIES!$B$3:$B$953&amp;"",UTILITIES!$J$3:$J$953,""),"IOT",_xlfn.XLOOKUP($K185&amp;"",IOT!$B$3:$B$1012&amp;"",IOT!$K$4:$K$1012,""),"Server",_xlfn.XLOOKUP($K185&amp;"",SERVER!$B$3:$B$1009&amp;"",SERVER!$K$3:$K$1009,""),""))))</f>
        <v/>
      </c>
      <c r="O185" s="1" t="str" cm="1">
        <f t="array" ref="O185">IF(OR($K185="",$I185="",$J185=""),"",_xlfn.LET(_xlpm.srcCat,_xlfn.SWITCH($I185,"Computer",_xlfn.XLOOKUP($K185&amp;"",COMPUTER!$B$3:$B$1009&amp;"",COMPUTER!$H$3:$H$1009,""),"Display",_xlfn.XLOOKUP($K185&amp;"",DISPLAY!$B$3:$B$1000&amp;"",DISPLAY!$H$3:$H$1000,""),"Network Device",_xlfn.XLOOKUP($K185&amp;"",'NETWORK-DEVICES'!$B$3:$B$987&amp;"",'NETWORK-DEVICES'!$H$3:$H$987,""),"Peripheral",_xlfn.XLOOKUP($K185&amp;"",PERIPHERAL!$B$3:$B$954&amp;"",PERIPHERAL!$H$3:$H$954,""),"Utilities",_xlfn.XLOOKUP($K185&amp;"",UTILITIES!$B$3:$B$953&amp;"",UTILITIES!$G$3:$G$953,""),"IOT",_xlfn.XLOOKUP($K185&amp;"",IOT!$B$3:$B$1012&amp;"",IOT!$H$3:$H$1012,""),"Server",_xlfn.XLOOKUP($K185&amp;"",SERVER!$B$3:$B$1009&amp;"",SERVER!$H$3:$H$1009,""),""),IF(TRIM(_xlpm.srcCat)&lt;&gt;TRIM($J185),"",_xlfn.SWITCH($I185,"Computer",_xlfn.XLOOKUP($K185&amp;"",COMPUTER!$B$3:$B$1009&amp;"",COMPUTER!$E$3:$E$1009,""),"Display",_xlfn.XLOOKUP($K185&amp;"",DISPLAY!$B$3:$B$1000&amp;"",DISPLAY!$E$3:$E$1000,""),"Network Device",_xlfn.XLOOKUP($K185&amp;"",'NETWORK-DEVICES'!$B$3:$B$987&amp;"",'NETWORK-DEVICES'!$E$3:$E$987,""),"Peripheral",_xlfn.XLOOKUP($K185&amp;"",PERIPHERAL!$B$3:$B$954&amp;"",PERIPHERAL!$E$3:$E$954,""),"Utilities",_xlfn.XLOOKUP($K185&amp;"",UTILITIES!$B$3:$B$953&amp;"",UTILITIES!$E$3:$E$953,""),"IOT",_xlfn.XLOOKUP($K185&amp;"",IOT!$B$3:$B$1012&amp;"",IOT!$E$3:$E$1012,""),"Server",_xlfn.XLOOKUP($K185&amp;"",SERVER!$B$3:$B$1009&amp;"",SERVER!$E$3:$E$1009,""),""))))</f>
        <v/>
      </c>
      <c r="Q185" s="1" t="str" cm="1">
        <f t="array" ref="Q185">IF(OR($K185="",$I185="",$J185=""),"",_xlfn.LET(_xlpm.srcCat,_xlfn.SWITCH($I185,"Computer",_xlfn.XLOOKUP($K185&amp;"",COMPUTER!$B$3:$B$1009&amp;"",COMPUTER!$H$3:$H$1009,""),"Display",_xlfn.XLOOKUP($K185&amp;"",DISPLAY!$B$3:$B$1000&amp;"",DISPLAY!$H$3:$H$1000,""),"Network Device",_xlfn.XLOOKUP($K185&amp;"",'NETWORK-DEVICES'!$B$3:$B$987&amp;"",'NETWORK-DEVICES'!$H$3:$H$987,""),"Peripheral",_xlfn.XLOOKUP($K185&amp;"",PERIPHERAL!$B$3:$B$954&amp;"",PERIPHERAL!$H$3:$H$954,""),"Utilities",_xlfn.XLOOKUP($K185&amp;"",UTILITIES!$B$3:$B$953&amp;"",UTILITIES!$G$3:$G$953,""),"IOT",_xlfn.XLOOKUP($K185&amp;"",IOT!$B$3:$B$1012&amp;"",IOT!$H$3:$H$1012,""),"Server",_xlfn.XLOOKUP($K185&amp;"",SERVER!$B$3:$B$1009&amp;"",SERVER!$H$3:$H$1009,""),""),IF(TRIM(_xlpm.srcCat)&lt;&gt;TRIM($J185),"",_xlfn.SWITCH($I185,"Computer",_xlfn.XLOOKUP($K185&amp;"",COMPUTER!$B$3:$B$1009&amp;"",COMPUTER!$AM$3:$AM$1009,""),"Display",_xlfn.XLOOKUP($K185&amp;"",DISPLAY!$B$3:$B$1000&amp;"",DISPLAY!$V$3:$V$1000,""),"Network Device",_xlfn.XLOOKUP($K185&amp;"",'NETWORK-DEVICES'!$B$3:$B$987&amp;"",'NETWORK-DEVICES'!$AF$3:$AF$987,""),"Peripheral",_xlfn.XLOOKUP($K185&amp;"",PERIPHERAL!$B$3:$B$954&amp;"",PERIPHERAL!$Y$3:$Y$954,""),"Utilities",_xlfn.XLOOKUP($K185&amp;"",UTILITIES!$B$3:$B$953&amp;"",UTILITIES!$O$3:$O$953,""),"IOT",_xlfn.XLOOKUP($K185&amp;"",IOT!$B$3:$B$1012&amp;"",IOT!$AB$3:$AB$1012,""),"Server",_xlfn.XLOOKUP($K185&amp;"",SERVER!$B$3:$B$1009&amp;"",SERVER!$AB$3:$AB$1009,""),""))))</f>
        <v/>
      </c>
      <c r="R185" s="43" t="str">
        <f>IF(tbl_handover[[#This Row],[Asset Code]]="","",COUNTIF(tbl_handover[Asset Code],tbl_handover[[#This Row],[Asset Code]]))</f>
        <v/>
      </c>
    </row>
    <row r="186" spans="1:18" x14ac:dyDescent="0.25">
      <c r="A186" s="43" t="str">
        <f>IF(B186&lt;&gt;"",SUBTOTAL(3,$B$1:B185),"")</f>
        <v/>
      </c>
      <c r="C186" s="74"/>
      <c r="D186" s="74"/>
      <c r="G186" s="1"/>
      <c r="K186" s="42"/>
      <c r="L186" t="str" cm="1">
        <f t="array" ref="L186">IF($K186="","",_xlfn.SWITCH($I186,"Computer",_xlfn.XLOOKUP($K186&amp;"",COMPUTER!$B$3:$B$1009&amp;"",COMPUTER!$I$3:$I$1009,""),"Display",_xlfn.XLOOKUP($K186&amp;"",DISPLAY!$B$3:$B$1000&amp;"",DISPLAY!$J$3:$J$1000,""),"Network Device",_xlfn.XLOOKUP($K186&amp;"",'NETWORK-DEVICES'!$B$3:$B$987&amp;"",'NETWORK-DEVICES'!$I$3:$I$987,""),"Peripheral",_xlfn.XLOOKUP($K186&amp;"",PERIPHERAL!$B$3:$B$954&amp;"",PERIPHERAL!$I$3:$I$954,""),"Utilities",_xlfn.XLOOKUP($K186&amp;"",UTILITIES!$B$3:$B$953&amp;"",UTILITIES!$H$3:$H$953,""),"IOT",_xlfn.XLOOKUP($K186&amp;"",IOT!$B$3:$B$1012&amp;"",IOT!$I$3:$I$1012,""),"SERVER",_xlfn.XLOOKUP($K186&amp;"",SERVER!$B$3:$B$1009&amp;"",SERVER!$I$3:$I$1009,""),""))</f>
        <v/>
      </c>
      <c r="M186" t="str" cm="1">
        <f t="array" ref="M186">IF($K186="","",_xlfn.SWITCH($I186,"Computer",_xlfn.XLOOKUP($K186&amp;"",COMPUTER!$B$3:$B$1009&amp;"",COMPUTER!$J$3:$J$1009,""),"Display",_xlfn.XLOOKUP($K186&amp;"",DISPLAY!$B$3:$B$1000&amp;"",DISPLAY!$K$3:$K$1000,""),"Network Device",_xlfn.XLOOKUP($K186&amp;"",'NETWORK-DEVICES'!$B$3:$B$987&amp;"",'NETWORK-DEVICES'!$I$3:$I$987,""),"Peripheral",_xlfn.XLOOKUP($K186&amp;"",PERIPHERAL!$B$3:$B$954&amp;"",PERIPHERAL!$J$3:$J$954,""),"Utilities",_xlfn.XLOOKUP($K186&amp;"",UTILITIES!$B$3:$B$953&amp;"",UTILITIES!$I$3:$I$953,""),"IOT",_xlfn.XLOOKUP($K186&amp;"",IOT!$B$3:$B$1012&amp;"",IOT!$J$3:$J$1012,""),"Server",_xlfn.XLOOKUP($K186&amp;"",SERVER!$B$3:$B$1009&amp;"",SERVER!$J$3:$J$1009,""),""))</f>
        <v/>
      </c>
      <c r="N186" s="1" t="str" cm="1">
        <f t="array" ref="N186">IF(OR($K186="",$I186="",$J186=""),"",_xlfn.LET(_xlpm.srcCat,_xlfn.SWITCH($I186,"Computer",_xlfn.XLOOKUP($K186&amp;"",COMPUTER!$B$3:$B$1009&amp;"",COMPUTER!$H$3:$H$1009,""),"Display",_xlfn.XLOOKUP($K186&amp;"",DISPLAY!$B$3:$B$1000&amp;"",DISPLAY!$H$3:$H$1000,""),"Network Device",_xlfn.XLOOKUP($K186&amp;"",'NETWORK-DEVICES'!$B$3:$B$987&amp;"",'NETWORK-DEVICES'!$H$3:$H$987,""),"Peripheral",_xlfn.XLOOKUP($K186&amp;"",PERIPHERAL!$B$3:$B$954&amp;"",PERIPHERAL!$H$3:$H$954,""),"Utilities",_xlfn.XLOOKUP($K186&amp;"",UTILITIES!$B$3:$B$953&amp;"",UTILITIES!$G$3:$G$953,""),"IOT",_xlfn.XLOOKUP($K186&amp;"",IOT!$B$3:$B$1012&amp;"",IOT!$H$3:$H$1012,""),"Server",_xlfn.XLOOKUP($K186&amp;"",SERVER!$B$3:$B$1009&amp;"",SERVER!$H$3:$H$1009,""),""),IF(TRIM(_xlpm.srcCat)&lt;&gt;TRIM($J186),"",_xlfn.SWITCH($I186,"Computer",_xlfn.XLOOKUP($K186&amp;"",COMPUTER!$B$3:$B$1009&amp;"",COMPUTER!$K$3:$K$1009,""),"Display",_xlfn.XLOOKUP($K186&amp;"",DISPLAY!$B$3:$B$1000&amp;"",DISPLAY!$L$3:$L$1000,""),"Network Device",_xlfn.XLOOKUP($K186&amp;"",'NETWORK-DEVICES'!$B$3:$B$987&amp;"",'NETWORK-DEVICES'!$K$3:$K$987,""),"Peripheral",_xlfn.XLOOKUP($K186&amp;"",PERIPHERAL!$B$3:$B$954&amp;"",PERIPHERAL!$K$3:$K$954,""),"Utilities",_xlfn.XLOOKUP($K186&amp;"",UTILITIES!$B$3:$B$953&amp;"",UTILITIES!$J$3:$J$953,""),"IOT",_xlfn.XLOOKUP($K186&amp;"",IOT!$B$3:$B$1012&amp;"",IOT!$K$4:$K$1012,""),"Server",_xlfn.XLOOKUP($K186&amp;"",SERVER!$B$3:$B$1009&amp;"",SERVER!$K$3:$K$1009,""),""))))</f>
        <v/>
      </c>
      <c r="O186" s="1" t="str" cm="1">
        <f t="array" ref="O186">IF(OR($K186="",$I186="",$J186=""),"",_xlfn.LET(_xlpm.srcCat,_xlfn.SWITCH($I186,"Computer",_xlfn.XLOOKUP($K186&amp;"",COMPUTER!$B$3:$B$1009&amp;"",COMPUTER!$H$3:$H$1009,""),"Display",_xlfn.XLOOKUP($K186&amp;"",DISPLAY!$B$3:$B$1000&amp;"",DISPLAY!$H$3:$H$1000,""),"Network Device",_xlfn.XLOOKUP($K186&amp;"",'NETWORK-DEVICES'!$B$3:$B$987&amp;"",'NETWORK-DEVICES'!$H$3:$H$987,""),"Peripheral",_xlfn.XLOOKUP($K186&amp;"",PERIPHERAL!$B$3:$B$954&amp;"",PERIPHERAL!$H$3:$H$954,""),"Utilities",_xlfn.XLOOKUP($K186&amp;"",UTILITIES!$B$3:$B$953&amp;"",UTILITIES!$G$3:$G$953,""),"IOT",_xlfn.XLOOKUP($K186&amp;"",IOT!$B$3:$B$1012&amp;"",IOT!$H$3:$H$1012,""),"Server",_xlfn.XLOOKUP($K186&amp;"",SERVER!$B$3:$B$1009&amp;"",SERVER!$H$3:$H$1009,""),""),IF(TRIM(_xlpm.srcCat)&lt;&gt;TRIM($J186),"",_xlfn.SWITCH($I186,"Computer",_xlfn.XLOOKUP($K186&amp;"",COMPUTER!$B$3:$B$1009&amp;"",COMPUTER!$E$3:$E$1009,""),"Display",_xlfn.XLOOKUP($K186&amp;"",DISPLAY!$B$3:$B$1000&amp;"",DISPLAY!$E$3:$E$1000,""),"Network Device",_xlfn.XLOOKUP($K186&amp;"",'NETWORK-DEVICES'!$B$3:$B$987&amp;"",'NETWORK-DEVICES'!$E$3:$E$987,""),"Peripheral",_xlfn.XLOOKUP($K186&amp;"",PERIPHERAL!$B$3:$B$954&amp;"",PERIPHERAL!$E$3:$E$954,""),"Utilities",_xlfn.XLOOKUP($K186&amp;"",UTILITIES!$B$3:$B$953&amp;"",UTILITIES!$E$3:$E$953,""),"IOT",_xlfn.XLOOKUP($K186&amp;"",IOT!$B$3:$B$1012&amp;"",IOT!$E$3:$E$1012,""),"Server",_xlfn.XLOOKUP($K186&amp;"",SERVER!$B$3:$B$1009&amp;"",SERVER!$E$3:$E$1009,""),""))))</f>
        <v/>
      </c>
      <c r="Q186" s="1" t="str" cm="1">
        <f t="array" ref="Q186">IF(OR($K186="",$I186="",$J186=""),"",_xlfn.LET(_xlpm.srcCat,_xlfn.SWITCH($I186,"Computer",_xlfn.XLOOKUP($K186&amp;"",COMPUTER!$B$3:$B$1009&amp;"",COMPUTER!$H$3:$H$1009,""),"Display",_xlfn.XLOOKUP($K186&amp;"",DISPLAY!$B$3:$B$1000&amp;"",DISPLAY!$H$3:$H$1000,""),"Network Device",_xlfn.XLOOKUP($K186&amp;"",'NETWORK-DEVICES'!$B$3:$B$987&amp;"",'NETWORK-DEVICES'!$H$3:$H$987,""),"Peripheral",_xlfn.XLOOKUP($K186&amp;"",PERIPHERAL!$B$3:$B$954&amp;"",PERIPHERAL!$H$3:$H$954,""),"Utilities",_xlfn.XLOOKUP($K186&amp;"",UTILITIES!$B$3:$B$953&amp;"",UTILITIES!$G$3:$G$953,""),"IOT",_xlfn.XLOOKUP($K186&amp;"",IOT!$B$3:$B$1012&amp;"",IOT!$H$3:$H$1012,""),"Server",_xlfn.XLOOKUP($K186&amp;"",SERVER!$B$3:$B$1009&amp;"",SERVER!$H$3:$H$1009,""),""),IF(TRIM(_xlpm.srcCat)&lt;&gt;TRIM($J186),"",_xlfn.SWITCH($I186,"Computer",_xlfn.XLOOKUP($K186&amp;"",COMPUTER!$B$3:$B$1009&amp;"",COMPUTER!$AM$3:$AM$1009,""),"Display",_xlfn.XLOOKUP($K186&amp;"",DISPLAY!$B$3:$B$1000&amp;"",DISPLAY!$V$3:$V$1000,""),"Network Device",_xlfn.XLOOKUP($K186&amp;"",'NETWORK-DEVICES'!$B$3:$B$987&amp;"",'NETWORK-DEVICES'!$AF$3:$AF$987,""),"Peripheral",_xlfn.XLOOKUP($K186&amp;"",PERIPHERAL!$B$3:$B$954&amp;"",PERIPHERAL!$Y$3:$Y$954,""),"Utilities",_xlfn.XLOOKUP($K186&amp;"",UTILITIES!$B$3:$B$953&amp;"",UTILITIES!$O$3:$O$953,""),"IOT",_xlfn.XLOOKUP($K186&amp;"",IOT!$B$3:$B$1012&amp;"",IOT!$AB$3:$AB$1012,""),"Server",_xlfn.XLOOKUP($K186&amp;"",SERVER!$B$3:$B$1009&amp;"",SERVER!$AB$3:$AB$1009,""),""))))</f>
        <v/>
      </c>
      <c r="R186" s="43" t="str">
        <f>IF(tbl_handover[[#This Row],[Asset Code]]="","",COUNTIF(tbl_handover[Asset Code],tbl_handover[[#This Row],[Asset Code]]))</f>
        <v/>
      </c>
    </row>
    <row r="187" spans="1:18" x14ac:dyDescent="0.25">
      <c r="A187" s="43" t="str">
        <f>IF(B187&lt;&gt;"",SUBTOTAL(3,$B$1:B186),"")</f>
        <v/>
      </c>
      <c r="C187" s="74"/>
      <c r="D187" s="74"/>
      <c r="G187" s="1"/>
      <c r="K187" s="42"/>
      <c r="L187" t="str" cm="1">
        <f t="array" ref="L187">IF($K187="","",_xlfn.SWITCH($I187,"Computer",_xlfn.XLOOKUP($K187&amp;"",COMPUTER!$B$3:$B$1009&amp;"",COMPUTER!$I$3:$I$1009,""),"Display",_xlfn.XLOOKUP($K187&amp;"",DISPLAY!$B$3:$B$1000&amp;"",DISPLAY!$J$3:$J$1000,""),"Network Device",_xlfn.XLOOKUP($K187&amp;"",'NETWORK-DEVICES'!$B$3:$B$987&amp;"",'NETWORK-DEVICES'!$I$3:$I$987,""),"Peripheral",_xlfn.XLOOKUP($K187&amp;"",PERIPHERAL!$B$3:$B$954&amp;"",PERIPHERAL!$I$3:$I$954,""),"Utilities",_xlfn.XLOOKUP($K187&amp;"",UTILITIES!$B$3:$B$953&amp;"",UTILITIES!$H$3:$H$953,""),"IOT",_xlfn.XLOOKUP($K187&amp;"",IOT!$B$3:$B$1012&amp;"",IOT!$I$3:$I$1012,""),"SERVER",_xlfn.XLOOKUP($K187&amp;"",SERVER!$B$3:$B$1009&amp;"",SERVER!$I$3:$I$1009,""),""))</f>
        <v/>
      </c>
      <c r="M187" t="str" cm="1">
        <f t="array" ref="M187">IF($K187="","",_xlfn.SWITCH($I187,"Computer",_xlfn.XLOOKUP($K187&amp;"",COMPUTER!$B$3:$B$1009&amp;"",COMPUTER!$J$3:$J$1009,""),"Display",_xlfn.XLOOKUP($K187&amp;"",DISPLAY!$B$3:$B$1000&amp;"",DISPLAY!$K$3:$K$1000,""),"Network Device",_xlfn.XLOOKUP($K187&amp;"",'NETWORK-DEVICES'!$B$3:$B$987&amp;"",'NETWORK-DEVICES'!$I$3:$I$987,""),"Peripheral",_xlfn.XLOOKUP($K187&amp;"",PERIPHERAL!$B$3:$B$954&amp;"",PERIPHERAL!$J$3:$J$954,""),"Utilities",_xlfn.XLOOKUP($K187&amp;"",UTILITIES!$B$3:$B$953&amp;"",UTILITIES!$I$3:$I$953,""),"IOT",_xlfn.XLOOKUP($K187&amp;"",IOT!$B$3:$B$1012&amp;"",IOT!$J$3:$J$1012,""),"Server",_xlfn.XLOOKUP($K187&amp;"",SERVER!$B$3:$B$1009&amp;"",SERVER!$J$3:$J$1009,""),""))</f>
        <v/>
      </c>
      <c r="N187" s="1" t="str" cm="1">
        <f t="array" ref="N187">IF(OR($K187="",$I187="",$J187=""),"",_xlfn.LET(_xlpm.srcCat,_xlfn.SWITCH($I187,"Computer",_xlfn.XLOOKUP($K187&amp;"",COMPUTER!$B$3:$B$1009&amp;"",COMPUTER!$H$3:$H$1009,""),"Display",_xlfn.XLOOKUP($K187&amp;"",DISPLAY!$B$3:$B$1000&amp;"",DISPLAY!$H$3:$H$1000,""),"Network Device",_xlfn.XLOOKUP($K187&amp;"",'NETWORK-DEVICES'!$B$3:$B$987&amp;"",'NETWORK-DEVICES'!$H$3:$H$987,""),"Peripheral",_xlfn.XLOOKUP($K187&amp;"",PERIPHERAL!$B$3:$B$954&amp;"",PERIPHERAL!$H$3:$H$954,""),"Utilities",_xlfn.XLOOKUP($K187&amp;"",UTILITIES!$B$3:$B$953&amp;"",UTILITIES!$G$3:$G$953,""),"IOT",_xlfn.XLOOKUP($K187&amp;"",IOT!$B$3:$B$1012&amp;"",IOT!$H$3:$H$1012,""),"Server",_xlfn.XLOOKUP($K187&amp;"",SERVER!$B$3:$B$1009&amp;"",SERVER!$H$3:$H$1009,""),""),IF(TRIM(_xlpm.srcCat)&lt;&gt;TRIM($J187),"",_xlfn.SWITCH($I187,"Computer",_xlfn.XLOOKUP($K187&amp;"",COMPUTER!$B$3:$B$1009&amp;"",COMPUTER!$K$3:$K$1009,""),"Display",_xlfn.XLOOKUP($K187&amp;"",DISPLAY!$B$3:$B$1000&amp;"",DISPLAY!$L$3:$L$1000,""),"Network Device",_xlfn.XLOOKUP($K187&amp;"",'NETWORK-DEVICES'!$B$3:$B$987&amp;"",'NETWORK-DEVICES'!$K$3:$K$987,""),"Peripheral",_xlfn.XLOOKUP($K187&amp;"",PERIPHERAL!$B$3:$B$954&amp;"",PERIPHERAL!$K$3:$K$954,""),"Utilities",_xlfn.XLOOKUP($K187&amp;"",UTILITIES!$B$3:$B$953&amp;"",UTILITIES!$J$3:$J$953,""),"IOT",_xlfn.XLOOKUP($K187&amp;"",IOT!$B$3:$B$1012&amp;"",IOT!$K$4:$K$1012,""),"Server",_xlfn.XLOOKUP($K187&amp;"",SERVER!$B$3:$B$1009&amp;"",SERVER!$K$3:$K$1009,""),""))))</f>
        <v/>
      </c>
      <c r="O187" s="1" t="str" cm="1">
        <f t="array" ref="O187">IF(OR($K187="",$I187="",$J187=""),"",_xlfn.LET(_xlpm.srcCat,_xlfn.SWITCH($I187,"Computer",_xlfn.XLOOKUP($K187&amp;"",COMPUTER!$B$3:$B$1009&amp;"",COMPUTER!$H$3:$H$1009,""),"Display",_xlfn.XLOOKUP($K187&amp;"",DISPLAY!$B$3:$B$1000&amp;"",DISPLAY!$H$3:$H$1000,""),"Network Device",_xlfn.XLOOKUP($K187&amp;"",'NETWORK-DEVICES'!$B$3:$B$987&amp;"",'NETWORK-DEVICES'!$H$3:$H$987,""),"Peripheral",_xlfn.XLOOKUP($K187&amp;"",PERIPHERAL!$B$3:$B$954&amp;"",PERIPHERAL!$H$3:$H$954,""),"Utilities",_xlfn.XLOOKUP($K187&amp;"",UTILITIES!$B$3:$B$953&amp;"",UTILITIES!$G$3:$G$953,""),"IOT",_xlfn.XLOOKUP($K187&amp;"",IOT!$B$3:$B$1012&amp;"",IOT!$H$3:$H$1012,""),"Server",_xlfn.XLOOKUP($K187&amp;"",SERVER!$B$3:$B$1009&amp;"",SERVER!$H$3:$H$1009,""),""),IF(TRIM(_xlpm.srcCat)&lt;&gt;TRIM($J187),"",_xlfn.SWITCH($I187,"Computer",_xlfn.XLOOKUP($K187&amp;"",COMPUTER!$B$3:$B$1009&amp;"",COMPUTER!$E$3:$E$1009,""),"Display",_xlfn.XLOOKUP($K187&amp;"",DISPLAY!$B$3:$B$1000&amp;"",DISPLAY!$E$3:$E$1000,""),"Network Device",_xlfn.XLOOKUP($K187&amp;"",'NETWORK-DEVICES'!$B$3:$B$987&amp;"",'NETWORK-DEVICES'!$E$3:$E$987,""),"Peripheral",_xlfn.XLOOKUP($K187&amp;"",PERIPHERAL!$B$3:$B$954&amp;"",PERIPHERAL!$E$3:$E$954,""),"Utilities",_xlfn.XLOOKUP($K187&amp;"",UTILITIES!$B$3:$B$953&amp;"",UTILITIES!$E$3:$E$953,""),"IOT",_xlfn.XLOOKUP($K187&amp;"",IOT!$B$3:$B$1012&amp;"",IOT!$E$3:$E$1012,""),"Server",_xlfn.XLOOKUP($K187&amp;"",SERVER!$B$3:$B$1009&amp;"",SERVER!$E$3:$E$1009,""),""))))</f>
        <v/>
      </c>
      <c r="Q187" s="1" t="str" cm="1">
        <f t="array" ref="Q187">IF(OR($K187="",$I187="",$J187=""),"",_xlfn.LET(_xlpm.srcCat,_xlfn.SWITCH($I187,"Computer",_xlfn.XLOOKUP($K187&amp;"",COMPUTER!$B$3:$B$1009&amp;"",COMPUTER!$H$3:$H$1009,""),"Display",_xlfn.XLOOKUP($K187&amp;"",DISPLAY!$B$3:$B$1000&amp;"",DISPLAY!$H$3:$H$1000,""),"Network Device",_xlfn.XLOOKUP($K187&amp;"",'NETWORK-DEVICES'!$B$3:$B$987&amp;"",'NETWORK-DEVICES'!$H$3:$H$987,""),"Peripheral",_xlfn.XLOOKUP($K187&amp;"",PERIPHERAL!$B$3:$B$954&amp;"",PERIPHERAL!$H$3:$H$954,""),"Utilities",_xlfn.XLOOKUP($K187&amp;"",UTILITIES!$B$3:$B$953&amp;"",UTILITIES!$G$3:$G$953,""),"IOT",_xlfn.XLOOKUP($K187&amp;"",IOT!$B$3:$B$1012&amp;"",IOT!$H$3:$H$1012,""),"Server",_xlfn.XLOOKUP($K187&amp;"",SERVER!$B$3:$B$1009&amp;"",SERVER!$H$3:$H$1009,""),""),IF(TRIM(_xlpm.srcCat)&lt;&gt;TRIM($J187),"",_xlfn.SWITCH($I187,"Computer",_xlfn.XLOOKUP($K187&amp;"",COMPUTER!$B$3:$B$1009&amp;"",COMPUTER!$AM$3:$AM$1009,""),"Display",_xlfn.XLOOKUP($K187&amp;"",DISPLAY!$B$3:$B$1000&amp;"",DISPLAY!$V$3:$V$1000,""),"Network Device",_xlfn.XLOOKUP($K187&amp;"",'NETWORK-DEVICES'!$B$3:$B$987&amp;"",'NETWORK-DEVICES'!$AF$3:$AF$987,""),"Peripheral",_xlfn.XLOOKUP($K187&amp;"",PERIPHERAL!$B$3:$B$954&amp;"",PERIPHERAL!$Y$3:$Y$954,""),"Utilities",_xlfn.XLOOKUP($K187&amp;"",UTILITIES!$B$3:$B$953&amp;"",UTILITIES!$O$3:$O$953,""),"IOT",_xlfn.XLOOKUP($K187&amp;"",IOT!$B$3:$B$1012&amp;"",IOT!$AB$3:$AB$1012,""),"Server",_xlfn.XLOOKUP($K187&amp;"",SERVER!$B$3:$B$1009&amp;"",SERVER!$AB$3:$AB$1009,""),""))))</f>
        <v/>
      </c>
      <c r="R187" s="43" t="str">
        <f>IF(tbl_handover[[#This Row],[Asset Code]]="","",COUNTIF(tbl_handover[Asset Code],tbl_handover[[#This Row],[Asset Code]]))</f>
        <v/>
      </c>
    </row>
    <row r="188" spans="1:18" x14ac:dyDescent="0.25">
      <c r="A188" s="43" t="str">
        <f>IF(B188&lt;&gt;"",SUBTOTAL(3,$B$1:B187),"")</f>
        <v/>
      </c>
      <c r="C188" s="74"/>
      <c r="D188" s="74"/>
      <c r="G188" s="1"/>
      <c r="K188" s="42"/>
      <c r="L188" t="str" cm="1">
        <f t="array" ref="L188">IF($K188="","",_xlfn.SWITCH($I188,"Computer",_xlfn.XLOOKUP($K188&amp;"",COMPUTER!$B$3:$B$1009&amp;"",COMPUTER!$I$3:$I$1009,""),"Display",_xlfn.XLOOKUP($K188&amp;"",DISPLAY!$B$3:$B$1000&amp;"",DISPLAY!$J$3:$J$1000,""),"Network Device",_xlfn.XLOOKUP($K188&amp;"",'NETWORK-DEVICES'!$B$3:$B$987&amp;"",'NETWORK-DEVICES'!$I$3:$I$987,""),"Peripheral",_xlfn.XLOOKUP($K188&amp;"",PERIPHERAL!$B$3:$B$954&amp;"",PERIPHERAL!$I$3:$I$954,""),"Utilities",_xlfn.XLOOKUP($K188&amp;"",UTILITIES!$B$3:$B$953&amp;"",UTILITIES!$H$3:$H$953,""),"IOT",_xlfn.XLOOKUP($K188&amp;"",IOT!$B$3:$B$1012&amp;"",IOT!$I$3:$I$1012,""),"SERVER",_xlfn.XLOOKUP($K188&amp;"",SERVER!$B$3:$B$1009&amp;"",SERVER!$I$3:$I$1009,""),""))</f>
        <v/>
      </c>
      <c r="M188" t="str" cm="1">
        <f t="array" ref="M188">IF($K188="","",_xlfn.SWITCH($I188,"Computer",_xlfn.XLOOKUP($K188&amp;"",COMPUTER!$B$3:$B$1009&amp;"",COMPUTER!$J$3:$J$1009,""),"Display",_xlfn.XLOOKUP($K188&amp;"",DISPLAY!$B$3:$B$1000&amp;"",DISPLAY!$K$3:$K$1000,""),"Network Device",_xlfn.XLOOKUP($K188&amp;"",'NETWORK-DEVICES'!$B$3:$B$987&amp;"",'NETWORK-DEVICES'!$I$3:$I$987,""),"Peripheral",_xlfn.XLOOKUP($K188&amp;"",PERIPHERAL!$B$3:$B$954&amp;"",PERIPHERAL!$J$3:$J$954,""),"Utilities",_xlfn.XLOOKUP($K188&amp;"",UTILITIES!$B$3:$B$953&amp;"",UTILITIES!$I$3:$I$953,""),"IOT",_xlfn.XLOOKUP($K188&amp;"",IOT!$B$3:$B$1012&amp;"",IOT!$J$3:$J$1012,""),"Server",_xlfn.XLOOKUP($K188&amp;"",SERVER!$B$3:$B$1009&amp;"",SERVER!$J$3:$J$1009,""),""))</f>
        <v/>
      </c>
      <c r="N188" s="1" t="str" cm="1">
        <f t="array" ref="N188">IF(OR($K188="",$I188="",$J188=""),"",_xlfn.LET(_xlpm.srcCat,_xlfn.SWITCH($I188,"Computer",_xlfn.XLOOKUP($K188&amp;"",COMPUTER!$B$3:$B$1009&amp;"",COMPUTER!$H$3:$H$1009,""),"Display",_xlfn.XLOOKUP($K188&amp;"",DISPLAY!$B$3:$B$1000&amp;"",DISPLAY!$H$3:$H$1000,""),"Network Device",_xlfn.XLOOKUP($K188&amp;"",'NETWORK-DEVICES'!$B$3:$B$987&amp;"",'NETWORK-DEVICES'!$H$3:$H$987,""),"Peripheral",_xlfn.XLOOKUP($K188&amp;"",PERIPHERAL!$B$3:$B$954&amp;"",PERIPHERAL!$H$3:$H$954,""),"Utilities",_xlfn.XLOOKUP($K188&amp;"",UTILITIES!$B$3:$B$953&amp;"",UTILITIES!$G$3:$G$953,""),"IOT",_xlfn.XLOOKUP($K188&amp;"",IOT!$B$3:$B$1012&amp;"",IOT!$H$3:$H$1012,""),"Server",_xlfn.XLOOKUP($K188&amp;"",SERVER!$B$3:$B$1009&amp;"",SERVER!$H$3:$H$1009,""),""),IF(TRIM(_xlpm.srcCat)&lt;&gt;TRIM($J188),"",_xlfn.SWITCH($I188,"Computer",_xlfn.XLOOKUP($K188&amp;"",COMPUTER!$B$3:$B$1009&amp;"",COMPUTER!$K$3:$K$1009,""),"Display",_xlfn.XLOOKUP($K188&amp;"",DISPLAY!$B$3:$B$1000&amp;"",DISPLAY!$L$3:$L$1000,""),"Network Device",_xlfn.XLOOKUP($K188&amp;"",'NETWORK-DEVICES'!$B$3:$B$987&amp;"",'NETWORK-DEVICES'!$K$3:$K$987,""),"Peripheral",_xlfn.XLOOKUP($K188&amp;"",PERIPHERAL!$B$3:$B$954&amp;"",PERIPHERAL!$K$3:$K$954,""),"Utilities",_xlfn.XLOOKUP($K188&amp;"",UTILITIES!$B$3:$B$953&amp;"",UTILITIES!$J$3:$J$953,""),"IOT",_xlfn.XLOOKUP($K188&amp;"",IOT!$B$3:$B$1012&amp;"",IOT!$K$4:$K$1012,""),"Server",_xlfn.XLOOKUP($K188&amp;"",SERVER!$B$3:$B$1009&amp;"",SERVER!$K$3:$K$1009,""),""))))</f>
        <v/>
      </c>
      <c r="O188" s="1" t="str" cm="1">
        <f t="array" ref="O188">IF(OR($K188="",$I188="",$J188=""),"",_xlfn.LET(_xlpm.srcCat,_xlfn.SWITCH($I188,"Computer",_xlfn.XLOOKUP($K188&amp;"",COMPUTER!$B$3:$B$1009&amp;"",COMPUTER!$H$3:$H$1009,""),"Display",_xlfn.XLOOKUP($K188&amp;"",DISPLAY!$B$3:$B$1000&amp;"",DISPLAY!$H$3:$H$1000,""),"Network Device",_xlfn.XLOOKUP($K188&amp;"",'NETWORK-DEVICES'!$B$3:$B$987&amp;"",'NETWORK-DEVICES'!$H$3:$H$987,""),"Peripheral",_xlfn.XLOOKUP($K188&amp;"",PERIPHERAL!$B$3:$B$954&amp;"",PERIPHERAL!$H$3:$H$954,""),"Utilities",_xlfn.XLOOKUP($K188&amp;"",UTILITIES!$B$3:$B$953&amp;"",UTILITIES!$G$3:$G$953,""),"IOT",_xlfn.XLOOKUP($K188&amp;"",IOT!$B$3:$B$1012&amp;"",IOT!$H$3:$H$1012,""),"Server",_xlfn.XLOOKUP($K188&amp;"",SERVER!$B$3:$B$1009&amp;"",SERVER!$H$3:$H$1009,""),""),IF(TRIM(_xlpm.srcCat)&lt;&gt;TRIM($J188),"",_xlfn.SWITCH($I188,"Computer",_xlfn.XLOOKUP($K188&amp;"",COMPUTER!$B$3:$B$1009&amp;"",COMPUTER!$E$3:$E$1009,""),"Display",_xlfn.XLOOKUP($K188&amp;"",DISPLAY!$B$3:$B$1000&amp;"",DISPLAY!$E$3:$E$1000,""),"Network Device",_xlfn.XLOOKUP($K188&amp;"",'NETWORK-DEVICES'!$B$3:$B$987&amp;"",'NETWORK-DEVICES'!$E$3:$E$987,""),"Peripheral",_xlfn.XLOOKUP($K188&amp;"",PERIPHERAL!$B$3:$B$954&amp;"",PERIPHERAL!$E$3:$E$954,""),"Utilities",_xlfn.XLOOKUP($K188&amp;"",UTILITIES!$B$3:$B$953&amp;"",UTILITIES!$E$3:$E$953,""),"IOT",_xlfn.XLOOKUP($K188&amp;"",IOT!$B$3:$B$1012&amp;"",IOT!$E$3:$E$1012,""),"Server",_xlfn.XLOOKUP($K188&amp;"",SERVER!$B$3:$B$1009&amp;"",SERVER!$E$3:$E$1009,""),""))))</f>
        <v/>
      </c>
      <c r="Q188" s="1" t="str" cm="1">
        <f t="array" ref="Q188">IF(OR($K188="",$I188="",$J188=""),"",_xlfn.LET(_xlpm.srcCat,_xlfn.SWITCH($I188,"Computer",_xlfn.XLOOKUP($K188&amp;"",COMPUTER!$B$3:$B$1009&amp;"",COMPUTER!$H$3:$H$1009,""),"Display",_xlfn.XLOOKUP($K188&amp;"",DISPLAY!$B$3:$B$1000&amp;"",DISPLAY!$H$3:$H$1000,""),"Network Device",_xlfn.XLOOKUP($K188&amp;"",'NETWORK-DEVICES'!$B$3:$B$987&amp;"",'NETWORK-DEVICES'!$H$3:$H$987,""),"Peripheral",_xlfn.XLOOKUP($K188&amp;"",PERIPHERAL!$B$3:$B$954&amp;"",PERIPHERAL!$H$3:$H$954,""),"Utilities",_xlfn.XLOOKUP($K188&amp;"",UTILITIES!$B$3:$B$953&amp;"",UTILITIES!$G$3:$G$953,""),"IOT",_xlfn.XLOOKUP($K188&amp;"",IOT!$B$3:$B$1012&amp;"",IOT!$H$3:$H$1012,""),"Server",_xlfn.XLOOKUP($K188&amp;"",SERVER!$B$3:$B$1009&amp;"",SERVER!$H$3:$H$1009,""),""),IF(TRIM(_xlpm.srcCat)&lt;&gt;TRIM($J188),"",_xlfn.SWITCH($I188,"Computer",_xlfn.XLOOKUP($K188&amp;"",COMPUTER!$B$3:$B$1009&amp;"",COMPUTER!$AM$3:$AM$1009,""),"Display",_xlfn.XLOOKUP($K188&amp;"",DISPLAY!$B$3:$B$1000&amp;"",DISPLAY!$V$3:$V$1000,""),"Network Device",_xlfn.XLOOKUP($K188&amp;"",'NETWORK-DEVICES'!$B$3:$B$987&amp;"",'NETWORK-DEVICES'!$AF$3:$AF$987,""),"Peripheral",_xlfn.XLOOKUP($K188&amp;"",PERIPHERAL!$B$3:$B$954&amp;"",PERIPHERAL!$Y$3:$Y$954,""),"Utilities",_xlfn.XLOOKUP($K188&amp;"",UTILITIES!$B$3:$B$953&amp;"",UTILITIES!$O$3:$O$953,""),"IOT",_xlfn.XLOOKUP($K188&amp;"",IOT!$B$3:$B$1012&amp;"",IOT!$AB$3:$AB$1012,""),"Server",_xlfn.XLOOKUP($K188&amp;"",SERVER!$B$3:$B$1009&amp;"",SERVER!$AB$3:$AB$1009,""),""))))</f>
        <v/>
      </c>
      <c r="R188" s="43" t="str">
        <f>IF(tbl_handover[[#This Row],[Asset Code]]="","",COUNTIF(tbl_handover[Asset Code],tbl_handover[[#This Row],[Asset Code]]))</f>
        <v/>
      </c>
    </row>
    <row r="189" spans="1:18" x14ac:dyDescent="0.25">
      <c r="A189" s="43" t="str">
        <f>IF(B189&lt;&gt;"",SUBTOTAL(3,$B$1:B188),"")</f>
        <v/>
      </c>
      <c r="C189" s="74"/>
      <c r="D189" s="74"/>
      <c r="G189" s="1"/>
      <c r="K189" s="42"/>
      <c r="L189" t="str" cm="1">
        <f t="array" ref="L189">IF($K189="","",_xlfn.SWITCH($I189,"Computer",_xlfn.XLOOKUP($K189&amp;"",COMPUTER!$B$3:$B$1009&amp;"",COMPUTER!$I$3:$I$1009,""),"Display",_xlfn.XLOOKUP($K189&amp;"",DISPLAY!$B$3:$B$1000&amp;"",DISPLAY!$J$3:$J$1000,""),"Network Device",_xlfn.XLOOKUP($K189&amp;"",'NETWORK-DEVICES'!$B$3:$B$987&amp;"",'NETWORK-DEVICES'!$I$3:$I$987,""),"Peripheral",_xlfn.XLOOKUP($K189&amp;"",PERIPHERAL!$B$3:$B$954&amp;"",PERIPHERAL!$I$3:$I$954,""),"Utilities",_xlfn.XLOOKUP($K189&amp;"",UTILITIES!$B$3:$B$953&amp;"",UTILITIES!$H$3:$H$953,""),"IOT",_xlfn.XLOOKUP($K189&amp;"",IOT!$B$3:$B$1012&amp;"",IOT!$I$3:$I$1012,""),"SERVER",_xlfn.XLOOKUP($K189&amp;"",SERVER!$B$3:$B$1009&amp;"",SERVER!$I$3:$I$1009,""),""))</f>
        <v/>
      </c>
      <c r="M189" t="str" cm="1">
        <f t="array" ref="M189">IF($K189="","",_xlfn.SWITCH($I189,"Computer",_xlfn.XLOOKUP($K189&amp;"",COMPUTER!$B$3:$B$1009&amp;"",COMPUTER!$J$3:$J$1009,""),"Display",_xlfn.XLOOKUP($K189&amp;"",DISPLAY!$B$3:$B$1000&amp;"",DISPLAY!$K$3:$K$1000,""),"Network Device",_xlfn.XLOOKUP($K189&amp;"",'NETWORK-DEVICES'!$B$3:$B$987&amp;"",'NETWORK-DEVICES'!$I$3:$I$987,""),"Peripheral",_xlfn.XLOOKUP($K189&amp;"",PERIPHERAL!$B$3:$B$954&amp;"",PERIPHERAL!$J$3:$J$954,""),"Utilities",_xlfn.XLOOKUP($K189&amp;"",UTILITIES!$B$3:$B$953&amp;"",UTILITIES!$I$3:$I$953,""),"IOT",_xlfn.XLOOKUP($K189&amp;"",IOT!$B$3:$B$1012&amp;"",IOT!$J$3:$J$1012,""),"Server",_xlfn.XLOOKUP($K189&amp;"",SERVER!$B$3:$B$1009&amp;"",SERVER!$J$3:$J$1009,""),""))</f>
        <v/>
      </c>
      <c r="N189" s="1" t="str" cm="1">
        <f t="array" ref="N189">IF(OR($K189="",$I189="",$J189=""),"",_xlfn.LET(_xlpm.srcCat,_xlfn.SWITCH($I189,"Computer",_xlfn.XLOOKUP($K189&amp;"",COMPUTER!$B$3:$B$1009&amp;"",COMPUTER!$H$3:$H$1009,""),"Display",_xlfn.XLOOKUP($K189&amp;"",DISPLAY!$B$3:$B$1000&amp;"",DISPLAY!$H$3:$H$1000,""),"Network Device",_xlfn.XLOOKUP($K189&amp;"",'NETWORK-DEVICES'!$B$3:$B$987&amp;"",'NETWORK-DEVICES'!$H$3:$H$987,""),"Peripheral",_xlfn.XLOOKUP($K189&amp;"",PERIPHERAL!$B$3:$B$954&amp;"",PERIPHERAL!$H$3:$H$954,""),"Utilities",_xlfn.XLOOKUP($K189&amp;"",UTILITIES!$B$3:$B$953&amp;"",UTILITIES!$G$3:$G$953,""),"IOT",_xlfn.XLOOKUP($K189&amp;"",IOT!$B$3:$B$1012&amp;"",IOT!$H$3:$H$1012,""),"Server",_xlfn.XLOOKUP($K189&amp;"",SERVER!$B$3:$B$1009&amp;"",SERVER!$H$3:$H$1009,""),""),IF(TRIM(_xlpm.srcCat)&lt;&gt;TRIM($J189),"",_xlfn.SWITCH($I189,"Computer",_xlfn.XLOOKUP($K189&amp;"",COMPUTER!$B$3:$B$1009&amp;"",COMPUTER!$K$3:$K$1009,""),"Display",_xlfn.XLOOKUP($K189&amp;"",DISPLAY!$B$3:$B$1000&amp;"",DISPLAY!$L$3:$L$1000,""),"Network Device",_xlfn.XLOOKUP($K189&amp;"",'NETWORK-DEVICES'!$B$3:$B$987&amp;"",'NETWORK-DEVICES'!$K$3:$K$987,""),"Peripheral",_xlfn.XLOOKUP($K189&amp;"",PERIPHERAL!$B$3:$B$954&amp;"",PERIPHERAL!$K$3:$K$954,""),"Utilities",_xlfn.XLOOKUP($K189&amp;"",UTILITIES!$B$3:$B$953&amp;"",UTILITIES!$J$3:$J$953,""),"IOT",_xlfn.XLOOKUP($K189&amp;"",IOT!$B$3:$B$1012&amp;"",IOT!$K$4:$K$1012,""),"Server",_xlfn.XLOOKUP($K189&amp;"",SERVER!$B$3:$B$1009&amp;"",SERVER!$K$3:$K$1009,""),""))))</f>
        <v/>
      </c>
      <c r="O189" s="1" t="str" cm="1">
        <f t="array" ref="O189">IF(OR($K189="",$I189="",$J189=""),"",_xlfn.LET(_xlpm.srcCat,_xlfn.SWITCH($I189,"Computer",_xlfn.XLOOKUP($K189&amp;"",COMPUTER!$B$3:$B$1009&amp;"",COMPUTER!$H$3:$H$1009,""),"Display",_xlfn.XLOOKUP($K189&amp;"",DISPLAY!$B$3:$B$1000&amp;"",DISPLAY!$H$3:$H$1000,""),"Network Device",_xlfn.XLOOKUP($K189&amp;"",'NETWORK-DEVICES'!$B$3:$B$987&amp;"",'NETWORK-DEVICES'!$H$3:$H$987,""),"Peripheral",_xlfn.XLOOKUP($K189&amp;"",PERIPHERAL!$B$3:$B$954&amp;"",PERIPHERAL!$H$3:$H$954,""),"Utilities",_xlfn.XLOOKUP($K189&amp;"",UTILITIES!$B$3:$B$953&amp;"",UTILITIES!$G$3:$G$953,""),"IOT",_xlfn.XLOOKUP($K189&amp;"",IOT!$B$3:$B$1012&amp;"",IOT!$H$3:$H$1012,""),"Server",_xlfn.XLOOKUP($K189&amp;"",SERVER!$B$3:$B$1009&amp;"",SERVER!$H$3:$H$1009,""),""),IF(TRIM(_xlpm.srcCat)&lt;&gt;TRIM($J189),"",_xlfn.SWITCH($I189,"Computer",_xlfn.XLOOKUP($K189&amp;"",COMPUTER!$B$3:$B$1009&amp;"",COMPUTER!$E$3:$E$1009,""),"Display",_xlfn.XLOOKUP($K189&amp;"",DISPLAY!$B$3:$B$1000&amp;"",DISPLAY!$E$3:$E$1000,""),"Network Device",_xlfn.XLOOKUP($K189&amp;"",'NETWORK-DEVICES'!$B$3:$B$987&amp;"",'NETWORK-DEVICES'!$E$3:$E$987,""),"Peripheral",_xlfn.XLOOKUP($K189&amp;"",PERIPHERAL!$B$3:$B$954&amp;"",PERIPHERAL!$E$3:$E$954,""),"Utilities",_xlfn.XLOOKUP($K189&amp;"",UTILITIES!$B$3:$B$953&amp;"",UTILITIES!$E$3:$E$953,""),"IOT",_xlfn.XLOOKUP($K189&amp;"",IOT!$B$3:$B$1012&amp;"",IOT!$E$3:$E$1012,""),"Server",_xlfn.XLOOKUP($K189&amp;"",SERVER!$B$3:$B$1009&amp;"",SERVER!$E$3:$E$1009,""),""))))</f>
        <v/>
      </c>
      <c r="Q189" s="1" t="str" cm="1">
        <f t="array" ref="Q189">IF(OR($K189="",$I189="",$J189=""),"",_xlfn.LET(_xlpm.srcCat,_xlfn.SWITCH($I189,"Computer",_xlfn.XLOOKUP($K189&amp;"",COMPUTER!$B$3:$B$1009&amp;"",COMPUTER!$H$3:$H$1009,""),"Display",_xlfn.XLOOKUP($K189&amp;"",DISPLAY!$B$3:$B$1000&amp;"",DISPLAY!$H$3:$H$1000,""),"Network Device",_xlfn.XLOOKUP($K189&amp;"",'NETWORK-DEVICES'!$B$3:$B$987&amp;"",'NETWORK-DEVICES'!$H$3:$H$987,""),"Peripheral",_xlfn.XLOOKUP($K189&amp;"",PERIPHERAL!$B$3:$B$954&amp;"",PERIPHERAL!$H$3:$H$954,""),"Utilities",_xlfn.XLOOKUP($K189&amp;"",UTILITIES!$B$3:$B$953&amp;"",UTILITIES!$G$3:$G$953,""),"IOT",_xlfn.XLOOKUP($K189&amp;"",IOT!$B$3:$B$1012&amp;"",IOT!$H$3:$H$1012,""),"Server",_xlfn.XLOOKUP($K189&amp;"",SERVER!$B$3:$B$1009&amp;"",SERVER!$H$3:$H$1009,""),""),IF(TRIM(_xlpm.srcCat)&lt;&gt;TRIM($J189),"",_xlfn.SWITCH($I189,"Computer",_xlfn.XLOOKUP($K189&amp;"",COMPUTER!$B$3:$B$1009&amp;"",COMPUTER!$AM$3:$AM$1009,""),"Display",_xlfn.XLOOKUP($K189&amp;"",DISPLAY!$B$3:$B$1000&amp;"",DISPLAY!$V$3:$V$1000,""),"Network Device",_xlfn.XLOOKUP($K189&amp;"",'NETWORK-DEVICES'!$B$3:$B$987&amp;"",'NETWORK-DEVICES'!$AF$3:$AF$987,""),"Peripheral",_xlfn.XLOOKUP($K189&amp;"",PERIPHERAL!$B$3:$B$954&amp;"",PERIPHERAL!$Y$3:$Y$954,""),"Utilities",_xlfn.XLOOKUP($K189&amp;"",UTILITIES!$B$3:$B$953&amp;"",UTILITIES!$O$3:$O$953,""),"IOT",_xlfn.XLOOKUP($K189&amp;"",IOT!$B$3:$B$1012&amp;"",IOT!$AB$3:$AB$1012,""),"Server",_xlfn.XLOOKUP($K189&amp;"",SERVER!$B$3:$B$1009&amp;"",SERVER!$AB$3:$AB$1009,""),""))))</f>
        <v/>
      </c>
      <c r="R189" s="43" t="str">
        <f>IF(tbl_handover[[#This Row],[Asset Code]]="","",COUNTIF(tbl_handover[Asset Code],tbl_handover[[#This Row],[Asset Code]]))</f>
        <v/>
      </c>
    </row>
    <row r="190" spans="1:18" x14ac:dyDescent="0.25">
      <c r="A190" s="43" t="str">
        <f>IF(B190&lt;&gt;"",SUBTOTAL(3,$B$1:B189),"")</f>
        <v/>
      </c>
      <c r="C190" s="74"/>
      <c r="D190" s="74"/>
      <c r="G190" s="1"/>
      <c r="K190" s="42"/>
      <c r="L190" t="str" cm="1">
        <f t="array" ref="L190">IF($K190="","",_xlfn.SWITCH($I190,"Computer",_xlfn.XLOOKUP($K190&amp;"",COMPUTER!$B$3:$B$1009&amp;"",COMPUTER!$I$3:$I$1009,""),"Display",_xlfn.XLOOKUP($K190&amp;"",DISPLAY!$B$3:$B$1000&amp;"",DISPLAY!$J$3:$J$1000,""),"Network Device",_xlfn.XLOOKUP($K190&amp;"",'NETWORK-DEVICES'!$B$3:$B$987&amp;"",'NETWORK-DEVICES'!$I$3:$I$987,""),"Peripheral",_xlfn.XLOOKUP($K190&amp;"",PERIPHERAL!$B$3:$B$954&amp;"",PERIPHERAL!$I$3:$I$954,""),"Utilities",_xlfn.XLOOKUP($K190&amp;"",UTILITIES!$B$3:$B$953&amp;"",UTILITIES!$H$3:$H$953,""),"IOT",_xlfn.XLOOKUP($K190&amp;"",IOT!$B$3:$B$1012&amp;"",IOT!$I$3:$I$1012,""),"SERVER",_xlfn.XLOOKUP($K190&amp;"",SERVER!$B$3:$B$1009&amp;"",SERVER!$I$3:$I$1009,""),""))</f>
        <v/>
      </c>
      <c r="M190" t="str" cm="1">
        <f t="array" ref="M190">IF($K190="","",_xlfn.SWITCH($I190,"Computer",_xlfn.XLOOKUP($K190&amp;"",COMPUTER!$B$3:$B$1009&amp;"",COMPUTER!$J$3:$J$1009,""),"Display",_xlfn.XLOOKUP($K190&amp;"",DISPLAY!$B$3:$B$1000&amp;"",DISPLAY!$K$3:$K$1000,""),"Network Device",_xlfn.XLOOKUP($K190&amp;"",'NETWORK-DEVICES'!$B$3:$B$987&amp;"",'NETWORK-DEVICES'!$I$3:$I$987,""),"Peripheral",_xlfn.XLOOKUP($K190&amp;"",PERIPHERAL!$B$3:$B$954&amp;"",PERIPHERAL!$J$3:$J$954,""),"Utilities",_xlfn.XLOOKUP($K190&amp;"",UTILITIES!$B$3:$B$953&amp;"",UTILITIES!$I$3:$I$953,""),"IOT",_xlfn.XLOOKUP($K190&amp;"",IOT!$B$3:$B$1012&amp;"",IOT!$J$3:$J$1012,""),"Server",_xlfn.XLOOKUP($K190&amp;"",SERVER!$B$3:$B$1009&amp;"",SERVER!$J$3:$J$1009,""),""))</f>
        <v/>
      </c>
      <c r="N190" s="1" t="str" cm="1">
        <f t="array" ref="N190">IF(OR($K190="",$I190="",$J190=""),"",_xlfn.LET(_xlpm.srcCat,_xlfn.SWITCH($I190,"Computer",_xlfn.XLOOKUP($K190&amp;"",COMPUTER!$B$3:$B$1009&amp;"",COMPUTER!$H$3:$H$1009,""),"Display",_xlfn.XLOOKUP($K190&amp;"",DISPLAY!$B$3:$B$1000&amp;"",DISPLAY!$H$3:$H$1000,""),"Network Device",_xlfn.XLOOKUP($K190&amp;"",'NETWORK-DEVICES'!$B$3:$B$987&amp;"",'NETWORK-DEVICES'!$H$3:$H$987,""),"Peripheral",_xlfn.XLOOKUP($K190&amp;"",PERIPHERAL!$B$3:$B$954&amp;"",PERIPHERAL!$H$3:$H$954,""),"Utilities",_xlfn.XLOOKUP($K190&amp;"",UTILITIES!$B$3:$B$953&amp;"",UTILITIES!$G$3:$G$953,""),"IOT",_xlfn.XLOOKUP($K190&amp;"",IOT!$B$3:$B$1012&amp;"",IOT!$H$3:$H$1012,""),"Server",_xlfn.XLOOKUP($K190&amp;"",SERVER!$B$3:$B$1009&amp;"",SERVER!$H$3:$H$1009,""),""),IF(TRIM(_xlpm.srcCat)&lt;&gt;TRIM($J190),"",_xlfn.SWITCH($I190,"Computer",_xlfn.XLOOKUP($K190&amp;"",COMPUTER!$B$3:$B$1009&amp;"",COMPUTER!$K$3:$K$1009,""),"Display",_xlfn.XLOOKUP($K190&amp;"",DISPLAY!$B$3:$B$1000&amp;"",DISPLAY!$L$3:$L$1000,""),"Network Device",_xlfn.XLOOKUP($K190&amp;"",'NETWORK-DEVICES'!$B$3:$B$987&amp;"",'NETWORK-DEVICES'!$K$3:$K$987,""),"Peripheral",_xlfn.XLOOKUP($K190&amp;"",PERIPHERAL!$B$3:$B$954&amp;"",PERIPHERAL!$K$3:$K$954,""),"Utilities",_xlfn.XLOOKUP($K190&amp;"",UTILITIES!$B$3:$B$953&amp;"",UTILITIES!$J$3:$J$953,""),"IOT",_xlfn.XLOOKUP($K190&amp;"",IOT!$B$3:$B$1012&amp;"",IOT!$K$4:$K$1012,""),"Server",_xlfn.XLOOKUP($K190&amp;"",SERVER!$B$3:$B$1009&amp;"",SERVER!$K$3:$K$1009,""),""))))</f>
        <v/>
      </c>
      <c r="O190" s="1" t="str" cm="1">
        <f t="array" ref="O190">IF(OR($K190="",$I190="",$J190=""),"",_xlfn.LET(_xlpm.srcCat,_xlfn.SWITCH($I190,"Computer",_xlfn.XLOOKUP($K190&amp;"",COMPUTER!$B$3:$B$1009&amp;"",COMPUTER!$H$3:$H$1009,""),"Display",_xlfn.XLOOKUP($K190&amp;"",DISPLAY!$B$3:$B$1000&amp;"",DISPLAY!$H$3:$H$1000,""),"Network Device",_xlfn.XLOOKUP($K190&amp;"",'NETWORK-DEVICES'!$B$3:$B$987&amp;"",'NETWORK-DEVICES'!$H$3:$H$987,""),"Peripheral",_xlfn.XLOOKUP($K190&amp;"",PERIPHERAL!$B$3:$B$954&amp;"",PERIPHERAL!$H$3:$H$954,""),"Utilities",_xlfn.XLOOKUP($K190&amp;"",UTILITIES!$B$3:$B$953&amp;"",UTILITIES!$G$3:$G$953,""),"IOT",_xlfn.XLOOKUP($K190&amp;"",IOT!$B$3:$B$1012&amp;"",IOT!$H$3:$H$1012,""),"Server",_xlfn.XLOOKUP($K190&amp;"",SERVER!$B$3:$B$1009&amp;"",SERVER!$H$3:$H$1009,""),""),IF(TRIM(_xlpm.srcCat)&lt;&gt;TRIM($J190),"",_xlfn.SWITCH($I190,"Computer",_xlfn.XLOOKUP($K190&amp;"",COMPUTER!$B$3:$B$1009&amp;"",COMPUTER!$E$3:$E$1009,""),"Display",_xlfn.XLOOKUP($K190&amp;"",DISPLAY!$B$3:$B$1000&amp;"",DISPLAY!$E$3:$E$1000,""),"Network Device",_xlfn.XLOOKUP($K190&amp;"",'NETWORK-DEVICES'!$B$3:$B$987&amp;"",'NETWORK-DEVICES'!$E$3:$E$987,""),"Peripheral",_xlfn.XLOOKUP($K190&amp;"",PERIPHERAL!$B$3:$B$954&amp;"",PERIPHERAL!$E$3:$E$954,""),"Utilities",_xlfn.XLOOKUP($K190&amp;"",UTILITIES!$B$3:$B$953&amp;"",UTILITIES!$E$3:$E$953,""),"IOT",_xlfn.XLOOKUP($K190&amp;"",IOT!$B$3:$B$1012&amp;"",IOT!$E$3:$E$1012,""),"Server",_xlfn.XLOOKUP($K190&amp;"",SERVER!$B$3:$B$1009&amp;"",SERVER!$E$3:$E$1009,""),""))))</f>
        <v/>
      </c>
      <c r="Q190" s="1" t="str" cm="1">
        <f t="array" ref="Q190">IF(OR($K190="",$I190="",$J190=""),"",_xlfn.LET(_xlpm.srcCat,_xlfn.SWITCH($I190,"Computer",_xlfn.XLOOKUP($K190&amp;"",COMPUTER!$B$3:$B$1009&amp;"",COMPUTER!$H$3:$H$1009,""),"Display",_xlfn.XLOOKUP($K190&amp;"",DISPLAY!$B$3:$B$1000&amp;"",DISPLAY!$H$3:$H$1000,""),"Network Device",_xlfn.XLOOKUP($K190&amp;"",'NETWORK-DEVICES'!$B$3:$B$987&amp;"",'NETWORK-DEVICES'!$H$3:$H$987,""),"Peripheral",_xlfn.XLOOKUP($K190&amp;"",PERIPHERAL!$B$3:$B$954&amp;"",PERIPHERAL!$H$3:$H$954,""),"Utilities",_xlfn.XLOOKUP($K190&amp;"",UTILITIES!$B$3:$B$953&amp;"",UTILITIES!$G$3:$G$953,""),"IOT",_xlfn.XLOOKUP($K190&amp;"",IOT!$B$3:$B$1012&amp;"",IOT!$H$3:$H$1012,""),"Server",_xlfn.XLOOKUP($K190&amp;"",SERVER!$B$3:$B$1009&amp;"",SERVER!$H$3:$H$1009,""),""),IF(TRIM(_xlpm.srcCat)&lt;&gt;TRIM($J190),"",_xlfn.SWITCH($I190,"Computer",_xlfn.XLOOKUP($K190&amp;"",COMPUTER!$B$3:$B$1009&amp;"",COMPUTER!$AM$3:$AM$1009,""),"Display",_xlfn.XLOOKUP($K190&amp;"",DISPLAY!$B$3:$B$1000&amp;"",DISPLAY!$V$3:$V$1000,""),"Network Device",_xlfn.XLOOKUP($K190&amp;"",'NETWORK-DEVICES'!$B$3:$B$987&amp;"",'NETWORK-DEVICES'!$AF$3:$AF$987,""),"Peripheral",_xlfn.XLOOKUP($K190&amp;"",PERIPHERAL!$B$3:$B$954&amp;"",PERIPHERAL!$Y$3:$Y$954,""),"Utilities",_xlfn.XLOOKUP($K190&amp;"",UTILITIES!$B$3:$B$953&amp;"",UTILITIES!$O$3:$O$953,""),"IOT",_xlfn.XLOOKUP($K190&amp;"",IOT!$B$3:$B$1012&amp;"",IOT!$AB$3:$AB$1012,""),"Server",_xlfn.XLOOKUP($K190&amp;"",SERVER!$B$3:$B$1009&amp;"",SERVER!$AB$3:$AB$1009,""),""))))</f>
        <v/>
      </c>
      <c r="R190" s="43" t="str">
        <f>IF(tbl_handover[[#This Row],[Asset Code]]="","",COUNTIF(tbl_handover[Asset Code],tbl_handover[[#This Row],[Asset Code]]))</f>
        <v/>
      </c>
    </row>
    <row r="191" spans="1:18" x14ac:dyDescent="0.25">
      <c r="A191" s="43" t="str">
        <f>IF(B191&lt;&gt;"",SUBTOTAL(3,$B$1:B190),"")</f>
        <v/>
      </c>
      <c r="C191" s="74"/>
      <c r="D191" s="74"/>
      <c r="G191" s="1"/>
      <c r="K191" s="42"/>
      <c r="L191" t="str" cm="1">
        <f t="array" ref="L191">IF($K191="","",_xlfn.SWITCH($I191,"Computer",_xlfn.XLOOKUP($K191&amp;"",COMPUTER!$B$3:$B$1009&amp;"",COMPUTER!$I$3:$I$1009,""),"Display",_xlfn.XLOOKUP($K191&amp;"",DISPLAY!$B$3:$B$1000&amp;"",DISPLAY!$J$3:$J$1000,""),"Network Device",_xlfn.XLOOKUP($K191&amp;"",'NETWORK-DEVICES'!$B$3:$B$987&amp;"",'NETWORK-DEVICES'!$I$3:$I$987,""),"Peripheral",_xlfn.XLOOKUP($K191&amp;"",PERIPHERAL!$B$3:$B$954&amp;"",PERIPHERAL!$I$3:$I$954,""),"Utilities",_xlfn.XLOOKUP($K191&amp;"",UTILITIES!$B$3:$B$953&amp;"",UTILITIES!$H$3:$H$953,""),"IOT",_xlfn.XLOOKUP($K191&amp;"",IOT!$B$3:$B$1012&amp;"",IOT!$I$3:$I$1012,""),"SERVER",_xlfn.XLOOKUP($K191&amp;"",SERVER!$B$3:$B$1009&amp;"",SERVER!$I$3:$I$1009,""),""))</f>
        <v/>
      </c>
      <c r="M191" t="str" cm="1">
        <f t="array" ref="M191">IF($K191="","",_xlfn.SWITCH($I191,"Computer",_xlfn.XLOOKUP($K191&amp;"",COMPUTER!$B$3:$B$1009&amp;"",COMPUTER!$J$3:$J$1009,""),"Display",_xlfn.XLOOKUP($K191&amp;"",DISPLAY!$B$3:$B$1000&amp;"",DISPLAY!$K$3:$K$1000,""),"Network Device",_xlfn.XLOOKUP($K191&amp;"",'NETWORK-DEVICES'!$B$3:$B$987&amp;"",'NETWORK-DEVICES'!$I$3:$I$987,""),"Peripheral",_xlfn.XLOOKUP($K191&amp;"",PERIPHERAL!$B$3:$B$954&amp;"",PERIPHERAL!$J$3:$J$954,""),"Utilities",_xlfn.XLOOKUP($K191&amp;"",UTILITIES!$B$3:$B$953&amp;"",UTILITIES!$I$3:$I$953,""),"IOT",_xlfn.XLOOKUP($K191&amp;"",IOT!$B$3:$B$1012&amp;"",IOT!$J$3:$J$1012,""),"Server",_xlfn.XLOOKUP($K191&amp;"",SERVER!$B$3:$B$1009&amp;"",SERVER!$J$3:$J$1009,""),""))</f>
        <v/>
      </c>
      <c r="N191" s="1" t="str" cm="1">
        <f t="array" ref="N191">IF(OR($K191="",$I191="",$J191=""),"",_xlfn.LET(_xlpm.srcCat,_xlfn.SWITCH($I191,"Computer",_xlfn.XLOOKUP($K191&amp;"",COMPUTER!$B$3:$B$1009&amp;"",COMPUTER!$H$3:$H$1009,""),"Display",_xlfn.XLOOKUP($K191&amp;"",DISPLAY!$B$3:$B$1000&amp;"",DISPLAY!$H$3:$H$1000,""),"Network Device",_xlfn.XLOOKUP($K191&amp;"",'NETWORK-DEVICES'!$B$3:$B$987&amp;"",'NETWORK-DEVICES'!$H$3:$H$987,""),"Peripheral",_xlfn.XLOOKUP($K191&amp;"",PERIPHERAL!$B$3:$B$954&amp;"",PERIPHERAL!$H$3:$H$954,""),"Utilities",_xlfn.XLOOKUP($K191&amp;"",UTILITIES!$B$3:$B$953&amp;"",UTILITIES!$G$3:$G$953,""),"IOT",_xlfn.XLOOKUP($K191&amp;"",IOT!$B$3:$B$1012&amp;"",IOT!$H$3:$H$1012,""),"Server",_xlfn.XLOOKUP($K191&amp;"",SERVER!$B$3:$B$1009&amp;"",SERVER!$H$3:$H$1009,""),""),IF(TRIM(_xlpm.srcCat)&lt;&gt;TRIM($J191),"",_xlfn.SWITCH($I191,"Computer",_xlfn.XLOOKUP($K191&amp;"",COMPUTER!$B$3:$B$1009&amp;"",COMPUTER!$K$3:$K$1009,""),"Display",_xlfn.XLOOKUP($K191&amp;"",DISPLAY!$B$3:$B$1000&amp;"",DISPLAY!$L$3:$L$1000,""),"Network Device",_xlfn.XLOOKUP($K191&amp;"",'NETWORK-DEVICES'!$B$3:$B$987&amp;"",'NETWORK-DEVICES'!$K$3:$K$987,""),"Peripheral",_xlfn.XLOOKUP($K191&amp;"",PERIPHERAL!$B$3:$B$954&amp;"",PERIPHERAL!$K$3:$K$954,""),"Utilities",_xlfn.XLOOKUP($K191&amp;"",UTILITIES!$B$3:$B$953&amp;"",UTILITIES!$J$3:$J$953,""),"IOT",_xlfn.XLOOKUP($K191&amp;"",IOT!$B$3:$B$1012&amp;"",IOT!$K$4:$K$1012,""),"Server",_xlfn.XLOOKUP($K191&amp;"",SERVER!$B$3:$B$1009&amp;"",SERVER!$K$3:$K$1009,""),""))))</f>
        <v/>
      </c>
      <c r="O191" s="1" t="str" cm="1">
        <f t="array" ref="O191">IF(OR($K191="",$I191="",$J191=""),"",_xlfn.LET(_xlpm.srcCat,_xlfn.SWITCH($I191,"Computer",_xlfn.XLOOKUP($K191&amp;"",COMPUTER!$B$3:$B$1009&amp;"",COMPUTER!$H$3:$H$1009,""),"Display",_xlfn.XLOOKUP($K191&amp;"",DISPLAY!$B$3:$B$1000&amp;"",DISPLAY!$H$3:$H$1000,""),"Network Device",_xlfn.XLOOKUP($K191&amp;"",'NETWORK-DEVICES'!$B$3:$B$987&amp;"",'NETWORK-DEVICES'!$H$3:$H$987,""),"Peripheral",_xlfn.XLOOKUP($K191&amp;"",PERIPHERAL!$B$3:$B$954&amp;"",PERIPHERAL!$H$3:$H$954,""),"Utilities",_xlfn.XLOOKUP($K191&amp;"",UTILITIES!$B$3:$B$953&amp;"",UTILITIES!$G$3:$G$953,""),"IOT",_xlfn.XLOOKUP($K191&amp;"",IOT!$B$3:$B$1012&amp;"",IOT!$H$3:$H$1012,""),"Server",_xlfn.XLOOKUP($K191&amp;"",SERVER!$B$3:$B$1009&amp;"",SERVER!$H$3:$H$1009,""),""),IF(TRIM(_xlpm.srcCat)&lt;&gt;TRIM($J191),"",_xlfn.SWITCH($I191,"Computer",_xlfn.XLOOKUP($K191&amp;"",COMPUTER!$B$3:$B$1009&amp;"",COMPUTER!$E$3:$E$1009,""),"Display",_xlfn.XLOOKUP($K191&amp;"",DISPLAY!$B$3:$B$1000&amp;"",DISPLAY!$E$3:$E$1000,""),"Network Device",_xlfn.XLOOKUP($K191&amp;"",'NETWORK-DEVICES'!$B$3:$B$987&amp;"",'NETWORK-DEVICES'!$E$3:$E$987,""),"Peripheral",_xlfn.XLOOKUP($K191&amp;"",PERIPHERAL!$B$3:$B$954&amp;"",PERIPHERAL!$E$3:$E$954,""),"Utilities",_xlfn.XLOOKUP($K191&amp;"",UTILITIES!$B$3:$B$953&amp;"",UTILITIES!$E$3:$E$953,""),"IOT",_xlfn.XLOOKUP($K191&amp;"",IOT!$B$3:$B$1012&amp;"",IOT!$E$3:$E$1012,""),"Server",_xlfn.XLOOKUP($K191&amp;"",SERVER!$B$3:$B$1009&amp;"",SERVER!$E$3:$E$1009,""),""))))</f>
        <v/>
      </c>
      <c r="Q191" s="1" t="str" cm="1">
        <f t="array" ref="Q191">IF(OR($K191="",$I191="",$J191=""),"",_xlfn.LET(_xlpm.srcCat,_xlfn.SWITCH($I191,"Computer",_xlfn.XLOOKUP($K191&amp;"",COMPUTER!$B$3:$B$1009&amp;"",COMPUTER!$H$3:$H$1009,""),"Display",_xlfn.XLOOKUP($K191&amp;"",DISPLAY!$B$3:$B$1000&amp;"",DISPLAY!$H$3:$H$1000,""),"Network Device",_xlfn.XLOOKUP($K191&amp;"",'NETWORK-DEVICES'!$B$3:$B$987&amp;"",'NETWORK-DEVICES'!$H$3:$H$987,""),"Peripheral",_xlfn.XLOOKUP($K191&amp;"",PERIPHERAL!$B$3:$B$954&amp;"",PERIPHERAL!$H$3:$H$954,""),"Utilities",_xlfn.XLOOKUP($K191&amp;"",UTILITIES!$B$3:$B$953&amp;"",UTILITIES!$G$3:$G$953,""),"IOT",_xlfn.XLOOKUP($K191&amp;"",IOT!$B$3:$B$1012&amp;"",IOT!$H$3:$H$1012,""),"Server",_xlfn.XLOOKUP($K191&amp;"",SERVER!$B$3:$B$1009&amp;"",SERVER!$H$3:$H$1009,""),""),IF(TRIM(_xlpm.srcCat)&lt;&gt;TRIM($J191),"",_xlfn.SWITCH($I191,"Computer",_xlfn.XLOOKUP($K191&amp;"",COMPUTER!$B$3:$B$1009&amp;"",COMPUTER!$AM$3:$AM$1009,""),"Display",_xlfn.XLOOKUP($K191&amp;"",DISPLAY!$B$3:$B$1000&amp;"",DISPLAY!$V$3:$V$1000,""),"Network Device",_xlfn.XLOOKUP($K191&amp;"",'NETWORK-DEVICES'!$B$3:$B$987&amp;"",'NETWORK-DEVICES'!$AF$3:$AF$987,""),"Peripheral",_xlfn.XLOOKUP($K191&amp;"",PERIPHERAL!$B$3:$B$954&amp;"",PERIPHERAL!$Y$3:$Y$954,""),"Utilities",_xlfn.XLOOKUP($K191&amp;"",UTILITIES!$B$3:$B$953&amp;"",UTILITIES!$O$3:$O$953,""),"IOT",_xlfn.XLOOKUP($K191&amp;"",IOT!$B$3:$B$1012&amp;"",IOT!$AB$3:$AB$1012,""),"Server",_xlfn.XLOOKUP($K191&amp;"",SERVER!$B$3:$B$1009&amp;"",SERVER!$AB$3:$AB$1009,""),""))))</f>
        <v/>
      </c>
      <c r="R191" s="43" t="str">
        <f>IF(tbl_handover[[#This Row],[Asset Code]]="","",COUNTIF(tbl_handover[Asset Code],tbl_handover[[#This Row],[Asset Code]]))</f>
        <v/>
      </c>
    </row>
    <row r="192" spans="1:18" x14ac:dyDescent="0.25">
      <c r="A192" s="43" t="str">
        <f>IF(B192&lt;&gt;"",SUBTOTAL(3,$B$1:B191),"")</f>
        <v/>
      </c>
      <c r="C192" s="74"/>
      <c r="D192" s="74"/>
      <c r="G192" s="1"/>
      <c r="K192" s="42"/>
      <c r="L192" t="str" cm="1">
        <f t="array" ref="L192">IF($K192="","",_xlfn.SWITCH($I192,"Computer",_xlfn.XLOOKUP($K192&amp;"",COMPUTER!$B$3:$B$1009&amp;"",COMPUTER!$I$3:$I$1009,""),"Display",_xlfn.XLOOKUP($K192&amp;"",DISPLAY!$B$3:$B$1000&amp;"",DISPLAY!$J$3:$J$1000,""),"Network Device",_xlfn.XLOOKUP($K192&amp;"",'NETWORK-DEVICES'!$B$3:$B$987&amp;"",'NETWORK-DEVICES'!$I$3:$I$987,""),"Peripheral",_xlfn.XLOOKUP($K192&amp;"",PERIPHERAL!$B$3:$B$954&amp;"",PERIPHERAL!$I$3:$I$954,""),"Utilities",_xlfn.XLOOKUP($K192&amp;"",UTILITIES!$B$3:$B$953&amp;"",UTILITIES!$H$3:$H$953,""),"IOT",_xlfn.XLOOKUP($K192&amp;"",IOT!$B$3:$B$1012&amp;"",IOT!$I$3:$I$1012,""),"SERVER",_xlfn.XLOOKUP($K192&amp;"",SERVER!$B$3:$B$1009&amp;"",SERVER!$I$3:$I$1009,""),""))</f>
        <v/>
      </c>
      <c r="M192" t="str" cm="1">
        <f t="array" ref="M192">IF($K192="","",_xlfn.SWITCH($I192,"Computer",_xlfn.XLOOKUP($K192&amp;"",COMPUTER!$B$3:$B$1009&amp;"",COMPUTER!$J$3:$J$1009,""),"Display",_xlfn.XLOOKUP($K192&amp;"",DISPLAY!$B$3:$B$1000&amp;"",DISPLAY!$K$3:$K$1000,""),"Network Device",_xlfn.XLOOKUP($K192&amp;"",'NETWORK-DEVICES'!$B$3:$B$987&amp;"",'NETWORK-DEVICES'!$I$3:$I$987,""),"Peripheral",_xlfn.XLOOKUP($K192&amp;"",PERIPHERAL!$B$3:$B$954&amp;"",PERIPHERAL!$J$3:$J$954,""),"Utilities",_xlfn.XLOOKUP($K192&amp;"",UTILITIES!$B$3:$B$953&amp;"",UTILITIES!$I$3:$I$953,""),"IOT",_xlfn.XLOOKUP($K192&amp;"",IOT!$B$3:$B$1012&amp;"",IOT!$J$3:$J$1012,""),"Server",_xlfn.XLOOKUP($K192&amp;"",SERVER!$B$3:$B$1009&amp;"",SERVER!$J$3:$J$1009,""),""))</f>
        <v/>
      </c>
      <c r="N192" s="1" t="str" cm="1">
        <f t="array" ref="N192">IF(OR($K192="",$I192="",$J192=""),"",_xlfn.LET(_xlpm.srcCat,_xlfn.SWITCH($I192,"Computer",_xlfn.XLOOKUP($K192&amp;"",COMPUTER!$B$3:$B$1009&amp;"",COMPUTER!$H$3:$H$1009,""),"Display",_xlfn.XLOOKUP($K192&amp;"",DISPLAY!$B$3:$B$1000&amp;"",DISPLAY!$H$3:$H$1000,""),"Network Device",_xlfn.XLOOKUP($K192&amp;"",'NETWORK-DEVICES'!$B$3:$B$987&amp;"",'NETWORK-DEVICES'!$H$3:$H$987,""),"Peripheral",_xlfn.XLOOKUP($K192&amp;"",PERIPHERAL!$B$3:$B$954&amp;"",PERIPHERAL!$H$3:$H$954,""),"Utilities",_xlfn.XLOOKUP($K192&amp;"",UTILITIES!$B$3:$B$953&amp;"",UTILITIES!$G$3:$G$953,""),"IOT",_xlfn.XLOOKUP($K192&amp;"",IOT!$B$3:$B$1012&amp;"",IOT!$H$3:$H$1012,""),"Server",_xlfn.XLOOKUP($K192&amp;"",SERVER!$B$3:$B$1009&amp;"",SERVER!$H$3:$H$1009,""),""),IF(TRIM(_xlpm.srcCat)&lt;&gt;TRIM($J192),"",_xlfn.SWITCH($I192,"Computer",_xlfn.XLOOKUP($K192&amp;"",COMPUTER!$B$3:$B$1009&amp;"",COMPUTER!$K$3:$K$1009,""),"Display",_xlfn.XLOOKUP($K192&amp;"",DISPLAY!$B$3:$B$1000&amp;"",DISPLAY!$L$3:$L$1000,""),"Network Device",_xlfn.XLOOKUP($K192&amp;"",'NETWORK-DEVICES'!$B$3:$B$987&amp;"",'NETWORK-DEVICES'!$K$3:$K$987,""),"Peripheral",_xlfn.XLOOKUP($K192&amp;"",PERIPHERAL!$B$3:$B$954&amp;"",PERIPHERAL!$K$3:$K$954,""),"Utilities",_xlfn.XLOOKUP($K192&amp;"",UTILITIES!$B$3:$B$953&amp;"",UTILITIES!$J$3:$J$953,""),"IOT",_xlfn.XLOOKUP($K192&amp;"",IOT!$B$3:$B$1012&amp;"",IOT!$K$4:$K$1012,""),"Server",_xlfn.XLOOKUP($K192&amp;"",SERVER!$B$3:$B$1009&amp;"",SERVER!$K$3:$K$1009,""),""))))</f>
        <v/>
      </c>
      <c r="O192" s="1" t="str" cm="1">
        <f t="array" ref="O192">IF(OR($K192="",$I192="",$J192=""),"",_xlfn.LET(_xlpm.srcCat,_xlfn.SWITCH($I192,"Computer",_xlfn.XLOOKUP($K192&amp;"",COMPUTER!$B$3:$B$1009&amp;"",COMPUTER!$H$3:$H$1009,""),"Display",_xlfn.XLOOKUP($K192&amp;"",DISPLAY!$B$3:$B$1000&amp;"",DISPLAY!$H$3:$H$1000,""),"Network Device",_xlfn.XLOOKUP($K192&amp;"",'NETWORK-DEVICES'!$B$3:$B$987&amp;"",'NETWORK-DEVICES'!$H$3:$H$987,""),"Peripheral",_xlfn.XLOOKUP($K192&amp;"",PERIPHERAL!$B$3:$B$954&amp;"",PERIPHERAL!$H$3:$H$954,""),"Utilities",_xlfn.XLOOKUP($K192&amp;"",UTILITIES!$B$3:$B$953&amp;"",UTILITIES!$G$3:$G$953,""),"IOT",_xlfn.XLOOKUP($K192&amp;"",IOT!$B$3:$B$1012&amp;"",IOT!$H$3:$H$1012,""),"Server",_xlfn.XLOOKUP($K192&amp;"",SERVER!$B$3:$B$1009&amp;"",SERVER!$H$3:$H$1009,""),""),IF(TRIM(_xlpm.srcCat)&lt;&gt;TRIM($J192),"",_xlfn.SWITCH($I192,"Computer",_xlfn.XLOOKUP($K192&amp;"",COMPUTER!$B$3:$B$1009&amp;"",COMPUTER!$E$3:$E$1009,""),"Display",_xlfn.XLOOKUP($K192&amp;"",DISPLAY!$B$3:$B$1000&amp;"",DISPLAY!$E$3:$E$1000,""),"Network Device",_xlfn.XLOOKUP($K192&amp;"",'NETWORK-DEVICES'!$B$3:$B$987&amp;"",'NETWORK-DEVICES'!$E$3:$E$987,""),"Peripheral",_xlfn.XLOOKUP($K192&amp;"",PERIPHERAL!$B$3:$B$954&amp;"",PERIPHERAL!$E$3:$E$954,""),"Utilities",_xlfn.XLOOKUP($K192&amp;"",UTILITIES!$B$3:$B$953&amp;"",UTILITIES!$E$3:$E$953,""),"IOT",_xlfn.XLOOKUP($K192&amp;"",IOT!$B$3:$B$1012&amp;"",IOT!$E$3:$E$1012,""),"Server",_xlfn.XLOOKUP($K192&amp;"",SERVER!$B$3:$B$1009&amp;"",SERVER!$E$3:$E$1009,""),""))))</f>
        <v/>
      </c>
      <c r="Q192" s="1" t="str" cm="1">
        <f t="array" ref="Q192">IF(OR($K192="",$I192="",$J192=""),"",_xlfn.LET(_xlpm.srcCat,_xlfn.SWITCH($I192,"Computer",_xlfn.XLOOKUP($K192&amp;"",COMPUTER!$B$3:$B$1009&amp;"",COMPUTER!$H$3:$H$1009,""),"Display",_xlfn.XLOOKUP($K192&amp;"",DISPLAY!$B$3:$B$1000&amp;"",DISPLAY!$H$3:$H$1000,""),"Network Device",_xlfn.XLOOKUP($K192&amp;"",'NETWORK-DEVICES'!$B$3:$B$987&amp;"",'NETWORK-DEVICES'!$H$3:$H$987,""),"Peripheral",_xlfn.XLOOKUP($K192&amp;"",PERIPHERAL!$B$3:$B$954&amp;"",PERIPHERAL!$H$3:$H$954,""),"Utilities",_xlfn.XLOOKUP($K192&amp;"",UTILITIES!$B$3:$B$953&amp;"",UTILITIES!$G$3:$G$953,""),"IOT",_xlfn.XLOOKUP($K192&amp;"",IOT!$B$3:$B$1012&amp;"",IOT!$H$3:$H$1012,""),"Server",_xlfn.XLOOKUP($K192&amp;"",SERVER!$B$3:$B$1009&amp;"",SERVER!$H$3:$H$1009,""),""),IF(TRIM(_xlpm.srcCat)&lt;&gt;TRIM($J192),"",_xlfn.SWITCH($I192,"Computer",_xlfn.XLOOKUP($K192&amp;"",COMPUTER!$B$3:$B$1009&amp;"",COMPUTER!$AM$3:$AM$1009,""),"Display",_xlfn.XLOOKUP($K192&amp;"",DISPLAY!$B$3:$B$1000&amp;"",DISPLAY!$V$3:$V$1000,""),"Network Device",_xlfn.XLOOKUP($K192&amp;"",'NETWORK-DEVICES'!$B$3:$B$987&amp;"",'NETWORK-DEVICES'!$AF$3:$AF$987,""),"Peripheral",_xlfn.XLOOKUP($K192&amp;"",PERIPHERAL!$B$3:$B$954&amp;"",PERIPHERAL!$Y$3:$Y$954,""),"Utilities",_xlfn.XLOOKUP($K192&amp;"",UTILITIES!$B$3:$B$953&amp;"",UTILITIES!$O$3:$O$953,""),"IOT",_xlfn.XLOOKUP($K192&amp;"",IOT!$B$3:$B$1012&amp;"",IOT!$AB$3:$AB$1012,""),"Server",_xlfn.XLOOKUP($K192&amp;"",SERVER!$B$3:$B$1009&amp;"",SERVER!$AB$3:$AB$1009,""),""))))</f>
        <v/>
      </c>
      <c r="R192" s="43" t="str">
        <f>IF(tbl_handover[[#This Row],[Asset Code]]="","",COUNTIF(tbl_handover[Asset Code],tbl_handover[[#This Row],[Asset Code]]))</f>
        <v/>
      </c>
    </row>
    <row r="193" spans="1:18" x14ac:dyDescent="0.25">
      <c r="A193" s="43" t="str">
        <f>IF(B193&lt;&gt;"",SUBTOTAL(3,$B$1:B192),"")</f>
        <v/>
      </c>
      <c r="C193" s="74"/>
      <c r="D193" s="74"/>
      <c r="G193" s="1"/>
      <c r="K193" s="42"/>
      <c r="L193" t="str" cm="1">
        <f t="array" ref="L193">IF($K193="","",_xlfn.SWITCH($I193,"Computer",_xlfn.XLOOKUP($K193&amp;"",COMPUTER!$B$3:$B$1009&amp;"",COMPUTER!$I$3:$I$1009,""),"Display",_xlfn.XLOOKUP($K193&amp;"",DISPLAY!$B$3:$B$1000&amp;"",DISPLAY!$J$3:$J$1000,""),"Network Device",_xlfn.XLOOKUP($K193&amp;"",'NETWORK-DEVICES'!$B$3:$B$987&amp;"",'NETWORK-DEVICES'!$I$3:$I$987,""),"Peripheral",_xlfn.XLOOKUP($K193&amp;"",PERIPHERAL!$B$3:$B$954&amp;"",PERIPHERAL!$I$3:$I$954,""),"Utilities",_xlfn.XLOOKUP($K193&amp;"",UTILITIES!$B$3:$B$953&amp;"",UTILITIES!$H$3:$H$953,""),"IOT",_xlfn.XLOOKUP($K193&amp;"",IOT!$B$3:$B$1012&amp;"",IOT!$I$3:$I$1012,""),"SERVER",_xlfn.XLOOKUP($K193&amp;"",SERVER!$B$3:$B$1009&amp;"",SERVER!$I$3:$I$1009,""),""))</f>
        <v/>
      </c>
      <c r="M193" t="str" cm="1">
        <f t="array" ref="M193">IF($K193="","",_xlfn.SWITCH($I193,"Computer",_xlfn.XLOOKUP($K193&amp;"",COMPUTER!$B$3:$B$1009&amp;"",COMPUTER!$J$3:$J$1009,""),"Display",_xlfn.XLOOKUP($K193&amp;"",DISPLAY!$B$3:$B$1000&amp;"",DISPLAY!$K$3:$K$1000,""),"Network Device",_xlfn.XLOOKUP($K193&amp;"",'NETWORK-DEVICES'!$B$3:$B$987&amp;"",'NETWORK-DEVICES'!$I$3:$I$987,""),"Peripheral",_xlfn.XLOOKUP($K193&amp;"",PERIPHERAL!$B$3:$B$954&amp;"",PERIPHERAL!$J$3:$J$954,""),"Utilities",_xlfn.XLOOKUP($K193&amp;"",UTILITIES!$B$3:$B$953&amp;"",UTILITIES!$I$3:$I$953,""),"IOT",_xlfn.XLOOKUP($K193&amp;"",IOT!$B$3:$B$1012&amp;"",IOT!$J$3:$J$1012,""),"Server",_xlfn.XLOOKUP($K193&amp;"",SERVER!$B$3:$B$1009&amp;"",SERVER!$J$3:$J$1009,""),""))</f>
        <v/>
      </c>
      <c r="N193" s="1" t="str" cm="1">
        <f t="array" ref="N193">IF(OR($K193="",$I193="",$J193=""),"",_xlfn.LET(_xlpm.srcCat,_xlfn.SWITCH($I193,"Computer",_xlfn.XLOOKUP($K193&amp;"",COMPUTER!$B$3:$B$1009&amp;"",COMPUTER!$H$3:$H$1009,""),"Display",_xlfn.XLOOKUP($K193&amp;"",DISPLAY!$B$3:$B$1000&amp;"",DISPLAY!$H$3:$H$1000,""),"Network Device",_xlfn.XLOOKUP($K193&amp;"",'NETWORK-DEVICES'!$B$3:$B$987&amp;"",'NETWORK-DEVICES'!$H$3:$H$987,""),"Peripheral",_xlfn.XLOOKUP($K193&amp;"",PERIPHERAL!$B$3:$B$954&amp;"",PERIPHERAL!$H$3:$H$954,""),"Utilities",_xlfn.XLOOKUP($K193&amp;"",UTILITIES!$B$3:$B$953&amp;"",UTILITIES!$G$3:$G$953,""),"IOT",_xlfn.XLOOKUP($K193&amp;"",IOT!$B$3:$B$1012&amp;"",IOT!$H$3:$H$1012,""),"Server",_xlfn.XLOOKUP($K193&amp;"",SERVER!$B$3:$B$1009&amp;"",SERVER!$H$3:$H$1009,""),""),IF(TRIM(_xlpm.srcCat)&lt;&gt;TRIM($J193),"",_xlfn.SWITCH($I193,"Computer",_xlfn.XLOOKUP($K193&amp;"",COMPUTER!$B$3:$B$1009&amp;"",COMPUTER!$K$3:$K$1009,""),"Display",_xlfn.XLOOKUP($K193&amp;"",DISPLAY!$B$3:$B$1000&amp;"",DISPLAY!$L$3:$L$1000,""),"Network Device",_xlfn.XLOOKUP($K193&amp;"",'NETWORK-DEVICES'!$B$3:$B$987&amp;"",'NETWORK-DEVICES'!$K$3:$K$987,""),"Peripheral",_xlfn.XLOOKUP($K193&amp;"",PERIPHERAL!$B$3:$B$954&amp;"",PERIPHERAL!$K$3:$K$954,""),"Utilities",_xlfn.XLOOKUP($K193&amp;"",UTILITIES!$B$3:$B$953&amp;"",UTILITIES!$J$3:$J$953,""),"IOT",_xlfn.XLOOKUP($K193&amp;"",IOT!$B$3:$B$1012&amp;"",IOT!$K$4:$K$1012,""),"Server",_xlfn.XLOOKUP($K193&amp;"",SERVER!$B$3:$B$1009&amp;"",SERVER!$K$3:$K$1009,""),""))))</f>
        <v/>
      </c>
      <c r="O193" s="1" t="str" cm="1">
        <f t="array" ref="O193">IF(OR($K193="",$I193="",$J193=""),"",_xlfn.LET(_xlpm.srcCat,_xlfn.SWITCH($I193,"Computer",_xlfn.XLOOKUP($K193&amp;"",COMPUTER!$B$3:$B$1009&amp;"",COMPUTER!$H$3:$H$1009,""),"Display",_xlfn.XLOOKUP($K193&amp;"",DISPLAY!$B$3:$B$1000&amp;"",DISPLAY!$H$3:$H$1000,""),"Network Device",_xlfn.XLOOKUP($K193&amp;"",'NETWORK-DEVICES'!$B$3:$B$987&amp;"",'NETWORK-DEVICES'!$H$3:$H$987,""),"Peripheral",_xlfn.XLOOKUP($K193&amp;"",PERIPHERAL!$B$3:$B$954&amp;"",PERIPHERAL!$H$3:$H$954,""),"Utilities",_xlfn.XLOOKUP($K193&amp;"",UTILITIES!$B$3:$B$953&amp;"",UTILITIES!$G$3:$G$953,""),"IOT",_xlfn.XLOOKUP($K193&amp;"",IOT!$B$3:$B$1012&amp;"",IOT!$H$3:$H$1012,""),"Server",_xlfn.XLOOKUP($K193&amp;"",SERVER!$B$3:$B$1009&amp;"",SERVER!$H$3:$H$1009,""),""),IF(TRIM(_xlpm.srcCat)&lt;&gt;TRIM($J193),"",_xlfn.SWITCH($I193,"Computer",_xlfn.XLOOKUP($K193&amp;"",COMPUTER!$B$3:$B$1009&amp;"",COMPUTER!$E$3:$E$1009,""),"Display",_xlfn.XLOOKUP($K193&amp;"",DISPLAY!$B$3:$B$1000&amp;"",DISPLAY!$E$3:$E$1000,""),"Network Device",_xlfn.XLOOKUP($K193&amp;"",'NETWORK-DEVICES'!$B$3:$B$987&amp;"",'NETWORK-DEVICES'!$E$3:$E$987,""),"Peripheral",_xlfn.XLOOKUP($K193&amp;"",PERIPHERAL!$B$3:$B$954&amp;"",PERIPHERAL!$E$3:$E$954,""),"Utilities",_xlfn.XLOOKUP($K193&amp;"",UTILITIES!$B$3:$B$953&amp;"",UTILITIES!$E$3:$E$953,""),"IOT",_xlfn.XLOOKUP($K193&amp;"",IOT!$B$3:$B$1012&amp;"",IOT!$E$3:$E$1012,""),"Server",_xlfn.XLOOKUP($K193&amp;"",SERVER!$B$3:$B$1009&amp;"",SERVER!$E$3:$E$1009,""),""))))</f>
        <v/>
      </c>
      <c r="Q193" s="1" t="str" cm="1">
        <f t="array" ref="Q193">IF(OR($K193="",$I193="",$J193=""),"",_xlfn.LET(_xlpm.srcCat,_xlfn.SWITCH($I193,"Computer",_xlfn.XLOOKUP($K193&amp;"",COMPUTER!$B$3:$B$1009&amp;"",COMPUTER!$H$3:$H$1009,""),"Display",_xlfn.XLOOKUP($K193&amp;"",DISPLAY!$B$3:$B$1000&amp;"",DISPLAY!$H$3:$H$1000,""),"Network Device",_xlfn.XLOOKUP($K193&amp;"",'NETWORK-DEVICES'!$B$3:$B$987&amp;"",'NETWORK-DEVICES'!$H$3:$H$987,""),"Peripheral",_xlfn.XLOOKUP($K193&amp;"",PERIPHERAL!$B$3:$B$954&amp;"",PERIPHERAL!$H$3:$H$954,""),"Utilities",_xlfn.XLOOKUP($K193&amp;"",UTILITIES!$B$3:$B$953&amp;"",UTILITIES!$G$3:$G$953,""),"IOT",_xlfn.XLOOKUP($K193&amp;"",IOT!$B$3:$B$1012&amp;"",IOT!$H$3:$H$1012,""),"Server",_xlfn.XLOOKUP($K193&amp;"",SERVER!$B$3:$B$1009&amp;"",SERVER!$H$3:$H$1009,""),""),IF(TRIM(_xlpm.srcCat)&lt;&gt;TRIM($J193),"",_xlfn.SWITCH($I193,"Computer",_xlfn.XLOOKUP($K193&amp;"",COMPUTER!$B$3:$B$1009&amp;"",COMPUTER!$AM$3:$AM$1009,""),"Display",_xlfn.XLOOKUP($K193&amp;"",DISPLAY!$B$3:$B$1000&amp;"",DISPLAY!$V$3:$V$1000,""),"Network Device",_xlfn.XLOOKUP($K193&amp;"",'NETWORK-DEVICES'!$B$3:$B$987&amp;"",'NETWORK-DEVICES'!$AF$3:$AF$987,""),"Peripheral",_xlfn.XLOOKUP($K193&amp;"",PERIPHERAL!$B$3:$B$954&amp;"",PERIPHERAL!$Y$3:$Y$954,""),"Utilities",_xlfn.XLOOKUP($K193&amp;"",UTILITIES!$B$3:$B$953&amp;"",UTILITIES!$O$3:$O$953,""),"IOT",_xlfn.XLOOKUP($K193&amp;"",IOT!$B$3:$B$1012&amp;"",IOT!$AB$3:$AB$1012,""),"Server",_xlfn.XLOOKUP($K193&amp;"",SERVER!$B$3:$B$1009&amp;"",SERVER!$AB$3:$AB$1009,""),""))))</f>
        <v/>
      </c>
      <c r="R193" s="43" t="str">
        <f>IF(tbl_handover[[#This Row],[Asset Code]]="","",COUNTIF(tbl_handover[Asset Code],tbl_handover[[#This Row],[Asset Code]]))</f>
        <v/>
      </c>
    </row>
    <row r="194" spans="1:18" x14ac:dyDescent="0.25">
      <c r="A194" s="43" t="str">
        <f>IF(B194&lt;&gt;"",SUBTOTAL(3,$B$1:B193),"")</f>
        <v/>
      </c>
      <c r="C194" s="74"/>
      <c r="D194" s="74"/>
      <c r="G194" s="1"/>
      <c r="K194" s="42"/>
      <c r="L194" t="str" cm="1">
        <f t="array" ref="L194">IF($K194="","",_xlfn.SWITCH($I194,"Computer",_xlfn.XLOOKUP($K194&amp;"",COMPUTER!$B$3:$B$1009&amp;"",COMPUTER!$I$3:$I$1009,""),"Display",_xlfn.XLOOKUP($K194&amp;"",DISPLAY!$B$3:$B$1000&amp;"",DISPLAY!$J$3:$J$1000,""),"Network Device",_xlfn.XLOOKUP($K194&amp;"",'NETWORK-DEVICES'!$B$3:$B$987&amp;"",'NETWORK-DEVICES'!$I$3:$I$987,""),"Peripheral",_xlfn.XLOOKUP($K194&amp;"",PERIPHERAL!$B$3:$B$954&amp;"",PERIPHERAL!$I$3:$I$954,""),"Utilities",_xlfn.XLOOKUP($K194&amp;"",UTILITIES!$B$3:$B$953&amp;"",UTILITIES!$H$3:$H$953,""),"IOT",_xlfn.XLOOKUP($K194&amp;"",IOT!$B$3:$B$1012&amp;"",IOT!$I$3:$I$1012,""),"SERVER",_xlfn.XLOOKUP($K194&amp;"",SERVER!$B$3:$B$1009&amp;"",SERVER!$I$3:$I$1009,""),""))</f>
        <v/>
      </c>
      <c r="M194" t="str" cm="1">
        <f t="array" ref="M194">IF($K194="","",_xlfn.SWITCH($I194,"Computer",_xlfn.XLOOKUP($K194&amp;"",COMPUTER!$B$3:$B$1009&amp;"",COMPUTER!$J$3:$J$1009,""),"Display",_xlfn.XLOOKUP($K194&amp;"",DISPLAY!$B$3:$B$1000&amp;"",DISPLAY!$K$3:$K$1000,""),"Network Device",_xlfn.XLOOKUP($K194&amp;"",'NETWORK-DEVICES'!$B$3:$B$987&amp;"",'NETWORK-DEVICES'!$I$3:$I$987,""),"Peripheral",_xlfn.XLOOKUP($K194&amp;"",PERIPHERAL!$B$3:$B$954&amp;"",PERIPHERAL!$J$3:$J$954,""),"Utilities",_xlfn.XLOOKUP($K194&amp;"",UTILITIES!$B$3:$B$953&amp;"",UTILITIES!$I$3:$I$953,""),"IOT",_xlfn.XLOOKUP($K194&amp;"",IOT!$B$3:$B$1012&amp;"",IOT!$J$3:$J$1012,""),"Server",_xlfn.XLOOKUP($K194&amp;"",SERVER!$B$3:$B$1009&amp;"",SERVER!$J$3:$J$1009,""),""))</f>
        <v/>
      </c>
      <c r="N194" s="1" t="str" cm="1">
        <f t="array" ref="N194">IF(OR($K194="",$I194="",$J194=""),"",_xlfn.LET(_xlpm.srcCat,_xlfn.SWITCH($I194,"Computer",_xlfn.XLOOKUP($K194&amp;"",COMPUTER!$B$3:$B$1009&amp;"",COMPUTER!$H$3:$H$1009,""),"Display",_xlfn.XLOOKUP($K194&amp;"",DISPLAY!$B$3:$B$1000&amp;"",DISPLAY!$H$3:$H$1000,""),"Network Device",_xlfn.XLOOKUP($K194&amp;"",'NETWORK-DEVICES'!$B$3:$B$987&amp;"",'NETWORK-DEVICES'!$H$3:$H$987,""),"Peripheral",_xlfn.XLOOKUP($K194&amp;"",PERIPHERAL!$B$3:$B$954&amp;"",PERIPHERAL!$H$3:$H$954,""),"Utilities",_xlfn.XLOOKUP($K194&amp;"",UTILITIES!$B$3:$B$953&amp;"",UTILITIES!$G$3:$G$953,""),"IOT",_xlfn.XLOOKUP($K194&amp;"",IOT!$B$3:$B$1012&amp;"",IOT!$H$3:$H$1012,""),"Server",_xlfn.XLOOKUP($K194&amp;"",SERVER!$B$3:$B$1009&amp;"",SERVER!$H$3:$H$1009,""),""),IF(TRIM(_xlpm.srcCat)&lt;&gt;TRIM($J194),"",_xlfn.SWITCH($I194,"Computer",_xlfn.XLOOKUP($K194&amp;"",COMPUTER!$B$3:$B$1009&amp;"",COMPUTER!$K$3:$K$1009,""),"Display",_xlfn.XLOOKUP($K194&amp;"",DISPLAY!$B$3:$B$1000&amp;"",DISPLAY!$L$3:$L$1000,""),"Network Device",_xlfn.XLOOKUP($K194&amp;"",'NETWORK-DEVICES'!$B$3:$B$987&amp;"",'NETWORK-DEVICES'!$K$3:$K$987,""),"Peripheral",_xlfn.XLOOKUP($K194&amp;"",PERIPHERAL!$B$3:$B$954&amp;"",PERIPHERAL!$K$3:$K$954,""),"Utilities",_xlfn.XLOOKUP($K194&amp;"",UTILITIES!$B$3:$B$953&amp;"",UTILITIES!$J$3:$J$953,""),"IOT",_xlfn.XLOOKUP($K194&amp;"",IOT!$B$3:$B$1012&amp;"",IOT!$K$4:$K$1012,""),"Server",_xlfn.XLOOKUP($K194&amp;"",SERVER!$B$3:$B$1009&amp;"",SERVER!$K$3:$K$1009,""),""))))</f>
        <v/>
      </c>
      <c r="O194" s="1" t="str" cm="1">
        <f t="array" ref="O194">IF(OR($K194="",$I194="",$J194=""),"",_xlfn.LET(_xlpm.srcCat,_xlfn.SWITCH($I194,"Computer",_xlfn.XLOOKUP($K194&amp;"",COMPUTER!$B$3:$B$1009&amp;"",COMPUTER!$H$3:$H$1009,""),"Display",_xlfn.XLOOKUP($K194&amp;"",DISPLAY!$B$3:$B$1000&amp;"",DISPLAY!$H$3:$H$1000,""),"Network Device",_xlfn.XLOOKUP($K194&amp;"",'NETWORK-DEVICES'!$B$3:$B$987&amp;"",'NETWORK-DEVICES'!$H$3:$H$987,""),"Peripheral",_xlfn.XLOOKUP($K194&amp;"",PERIPHERAL!$B$3:$B$954&amp;"",PERIPHERAL!$H$3:$H$954,""),"Utilities",_xlfn.XLOOKUP($K194&amp;"",UTILITIES!$B$3:$B$953&amp;"",UTILITIES!$G$3:$G$953,""),"IOT",_xlfn.XLOOKUP($K194&amp;"",IOT!$B$3:$B$1012&amp;"",IOT!$H$3:$H$1012,""),"Server",_xlfn.XLOOKUP($K194&amp;"",SERVER!$B$3:$B$1009&amp;"",SERVER!$H$3:$H$1009,""),""),IF(TRIM(_xlpm.srcCat)&lt;&gt;TRIM($J194),"",_xlfn.SWITCH($I194,"Computer",_xlfn.XLOOKUP($K194&amp;"",COMPUTER!$B$3:$B$1009&amp;"",COMPUTER!$E$3:$E$1009,""),"Display",_xlfn.XLOOKUP($K194&amp;"",DISPLAY!$B$3:$B$1000&amp;"",DISPLAY!$E$3:$E$1000,""),"Network Device",_xlfn.XLOOKUP($K194&amp;"",'NETWORK-DEVICES'!$B$3:$B$987&amp;"",'NETWORK-DEVICES'!$E$3:$E$987,""),"Peripheral",_xlfn.XLOOKUP($K194&amp;"",PERIPHERAL!$B$3:$B$954&amp;"",PERIPHERAL!$E$3:$E$954,""),"Utilities",_xlfn.XLOOKUP($K194&amp;"",UTILITIES!$B$3:$B$953&amp;"",UTILITIES!$E$3:$E$953,""),"IOT",_xlfn.XLOOKUP($K194&amp;"",IOT!$B$3:$B$1012&amp;"",IOT!$E$3:$E$1012,""),"Server",_xlfn.XLOOKUP($K194&amp;"",SERVER!$B$3:$B$1009&amp;"",SERVER!$E$3:$E$1009,""),""))))</f>
        <v/>
      </c>
      <c r="Q194" s="1" t="str" cm="1">
        <f t="array" ref="Q194">IF(OR($K194="",$I194="",$J194=""),"",_xlfn.LET(_xlpm.srcCat,_xlfn.SWITCH($I194,"Computer",_xlfn.XLOOKUP($K194&amp;"",COMPUTER!$B$3:$B$1009&amp;"",COMPUTER!$H$3:$H$1009,""),"Display",_xlfn.XLOOKUP($K194&amp;"",DISPLAY!$B$3:$B$1000&amp;"",DISPLAY!$H$3:$H$1000,""),"Network Device",_xlfn.XLOOKUP($K194&amp;"",'NETWORK-DEVICES'!$B$3:$B$987&amp;"",'NETWORK-DEVICES'!$H$3:$H$987,""),"Peripheral",_xlfn.XLOOKUP($K194&amp;"",PERIPHERAL!$B$3:$B$954&amp;"",PERIPHERAL!$H$3:$H$954,""),"Utilities",_xlfn.XLOOKUP($K194&amp;"",UTILITIES!$B$3:$B$953&amp;"",UTILITIES!$G$3:$G$953,""),"IOT",_xlfn.XLOOKUP($K194&amp;"",IOT!$B$3:$B$1012&amp;"",IOT!$H$3:$H$1012,""),"Server",_xlfn.XLOOKUP($K194&amp;"",SERVER!$B$3:$B$1009&amp;"",SERVER!$H$3:$H$1009,""),""),IF(TRIM(_xlpm.srcCat)&lt;&gt;TRIM($J194),"",_xlfn.SWITCH($I194,"Computer",_xlfn.XLOOKUP($K194&amp;"",COMPUTER!$B$3:$B$1009&amp;"",COMPUTER!$AM$3:$AM$1009,""),"Display",_xlfn.XLOOKUP($K194&amp;"",DISPLAY!$B$3:$B$1000&amp;"",DISPLAY!$V$3:$V$1000,""),"Network Device",_xlfn.XLOOKUP($K194&amp;"",'NETWORK-DEVICES'!$B$3:$B$987&amp;"",'NETWORK-DEVICES'!$AF$3:$AF$987,""),"Peripheral",_xlfn.XLOOKUP($K194&amp;"",PERIPHERAL!$B$3:$B$954&amp;"",PERIPHERAL!$Y$3:$Y$954,""),"Utilities",_xlfn.XLOOKUP($K194&amp;"",UTILITIES!$B$3:$B$953&amp;"",UTILITIES!$O$3:$O$953,""),"IOT",_xlfn.XLOOKUP($K194&amp;"",IOT!$B$3:$B$1012&amp;"",IOT!$AB$3:$AB$1012,""),"Server",_xlfn.XLOOKUP($K194&amp;"",SERVER!$B$3:$B$1009&amp;"",SERVER!$AB$3:$AB$1009,""),""))))</f>
        <v/>
      </c>
      <c r="R194" s="43" t="str">
        <f>IF(tbl_handover[[#This Row],[Asset Code]]="","",COUNTIF(tbl_handover[Asset Code],tbl_handover[[#This Row],[Asset Code]]))</f>
        <v/>
      </c>
    </row>
    <row r="195" spans="1:18" x14ac:dyDescent="0.25">
      <c r="A195" s="43" t="str">
        <f>IF(B195&lt;&gt;"",SUBTOTAL(3,$B$1:B194),"")</f>
        <v/>
      </c>
      <c r="C195" s="74"/>
      <c r="D195" s="74"/>
      <c r="G195" s="1"/>
      <c r="K195" s="42"/>
      <c r="L195" t="str" cm="1">
        <f t="array" ref="L195">IF($K195="","",_xlfn.SWITCH($I195,"Computer",_xlfn.XLOOKUP($K195&amp;"",COMPUTER!$B$3:$B$1009&amp;"",COMPUTER!$I$3:$I$1009,""),"Display",_xlfn.XLOOKUP($K195&amp;"",DISPLAY!$B$3:$B$1000&amp;"",DISPLAY!$J$3:$J$1000,""),"Network Device",_xlfn.XLOOKUP($K195&amp;"",'NETWORK-DEVICES'!$B$3:$B$987&amp;"",'NETWORK-DEVICES'!$I$3:$I$987,""),"Peripheral",_xlfn.XLOOKUP($K195&amp;"",PERIPHERAL!$B$3:$B$954&amp;"",PERIPHERAL!$I$3:$I$954,""),"Utilities",_xlfn.XLOOKUP($K195&amp;"",UTILITIES!$B$3:$B$953&amp;"",UTILITIES!$H$3:$H$953,""),"IOT",_xlfn.XLOOKUP($K195&amp;"",IOT!$B$3:$B$1012&amp;"",IOT!$I$3:$I$1012,""),"SERVER",_xlfn.XLOOKUP($K195&amp;"",SERVER!$B$3:$B$1009&amp;"",SERVER!$I$3:$I$1009,""),""))</f>
        <v/>
      </c>
      <c r="M195" t="str" cm="1">
        <f t="array" ref="M195">IF($K195="","",_xlfn.SWITCH($I195,"Computer",_xlfn.XLOOKUP($K195&amp;"",COMPUTER!$B$3:$B$1009&amp;"",COMPUTER!$J$3:$J$1009,""),"Display",_xlfn.XLOOKUP($K195&amp;"",DISPLAY!$B$3:$B$1000&amp;"",DISPLAY!$K$3:$K$1000,""),"Network Device",_xlfn.XLOOKUP($K195&amp;"",'NETWORK-DEVICES'!$B$3:$B$987&amp;"",'NETWORK-DEVICES'!$I$3:$I$987,""),"Peripheral",_xlfn.XLOOKUP($K195&amp;"",PERIPHERAL!$B$3:$B$954&amp;"",PERIPHERAL!$J$3:$J$954,""),"Utilities",_xlfn.XLOOKUP($K195&amp;"",UTILITIES!$B$3:$B$953&amp;"",UTILITIES!$I$3:$I$953,""),"IOT",_xlfn.XLOOKUP($K195&amp;"",IOT!$B$3:$B$1012&amp;"",IOT!$J$3:$J$1012,""),"Server",_xlfn.XLOOKUP($K195&amp;"",SERVER!$B$3:$B$1009&amp;"",SERVER!$J$3:$J$1009,""),""))</f>
        <v/>
      </c>
      <c r="N195" s="1" t="str" cm="1">
        <f t="array" ref="N195">IF(OR($K195="",$I195="",$J195=""),"",_xlfn.LET(_xlpm.srcCat,_xlfn.SWITCH($I195,"Computer",_xlfn.XLOOKUP($K195&amp;"",COMPUTER!$B$3:$B$1009&amp;"",COMPUTER!$H$3:$H$1009,""),"Display",_xlfn.XLOOKUP($K195&amp;"",DISPLAY!$B$3:$B$1000&amp;"",DISPLAY!$H$3:$H$1000,""),"Network Device",_xlfn.XLOOKUP($K195&amp;"",'NETWORK-DEVICES'!$B$3:$B$987&amp;"",'NETWORK-DEVICES'!$H$3:$H$987,""),"Peripheral",_xlfn.XLOOKUP($K195&amp;"",PERIPHERAL!$B$3:$B$954&amp;"",PERIPHERAL!$H$3:$H$954,""),"Utilities",_xlfn.XLOOKUP($K195&amp;"",UTILITIES!$B$3:$B$953&amp;"",UTILITIES!$G$3:$G$953,""),"IOT",_xlfn.XLOOKUP($K195&amp;"",IOT!$B$3:$B$1012&amp;"",IOT!$H$3:$H$1012,""),"Server",_xlfn.XLOOKUP($K195&amp;"",SERVER!$B$3:$B$1009&amp;"",SERVER!$H$3:$H$1009,""),""),IF(TRIM(_xlpm.srcCat)&lt;&gt;TRIM($J195),"",_xlfn.SWITCH($I195,"Computer",_xlfn.XLOOKUP($K195&amp;"",COMPUTER!$B$3:$B$1009&amp;"",COMPUTER!$K$3:$K$1009,""),"Display",_xlfn.XLOOKUP($K195&amp;"",DISPLAY!$B$3:$B$1000&amp;"",DISPLAY!$L$3:$L$1000,""),"Network Device",_xlfn.XLOOKUP($K195&amp;"",'NETWORK-DEVICES'!$B$3:$B$987&amp;"",'NETWORK-DEVICES'!$K$3:$K$987,""),"Peripheral",_xlfn.XLOOKUP($K195&amp;"",PERIPHERAL!$B$3:$B$954&amp;"",PERIPHERAL!$K$3:$K$954,""),"Utilities",_xlfn.XLOOKUP($K195&amp;"",UTILITIES!$B$3:$B$953&amp;"",UTILITIES!$J$3:$J$953,""),"IOT",_xlfn.XLOOKUP($K195&amp;"",IOT!$B$3:$B$1012&amp;"",IOT!$K$4:$K$1012,""),"Server",_xlfn.XLOOKUP($K195&amp;"",SERVER!$B$3:$B$1009&amp;"",SERVER!$K$3:$K$1009,""),""))))</f>
        <v/>
      </c>
      <c r="O195" s="1" t="str" cm="1">
        <f t="array" ref="O195">IF(OR($K195="",$I195="",$J195=""),"",_xlfn.LET(_xlpm.srcCat,_xlfn.SWITCH($I195,"Computer",_xlfn.XLOOKUP($K195&amp;"",COMPUTER!$B$3:$B$1009&amp;"",COMPUTER!$H$3:$H$1009,""),"Display",_xlfn.XLOOKUP($K195&amp;"",DISPLAY!$B$3:$B$1000&amp;"",DISPLAY!$H$3:$H$1000,""),"Network Device",_xlfn.XLOOKUP($K195&amp;"",'NETWORK-DEVICES'!$B$3:$B$987&amp;"",'NETWORK-DEVICES'!$H$3:$H$987,""),"Peripheral",_xlfn.XLOOKUP($K195&amp;"",PERIPHERAL!$B$3:$B$954&amp;"",PERIPHERAL!$H$3:$H$954,""),"Utilities",_xlfn.XLOOKUP($K195&amp;"",UTILITIES!$B$3:$B$953&amp;"",UTILITIES!$G$3:$G$953,""),"IOT",_xlfn.XLOOKUP($K195&amp;"",IOT!$B$3:$B$1012&amp;"",IOT!$H$3:$H$1012,""),"Server",_xlfn.XLOOKUP($K195&amp;"",SERVER!$B$3:$B$1009&amp;"",SERVER!$H$3:$H$1009,""),""),IF(TRIM(_xlpm.srcCat)&lt;&gt;TRIM($J195),"",_xlfn.SWITCH($I195,"Computer",_xlfn.XLOOKUP($K195&amp;"",COMPUTER!$B$3:$B$1009&amp;"",COMPUTER!$E$3:$E$1009,""),"Display",_xlfn.XLOOKUP($K195&amp;"",DISPLAY!$B$3:$B$1000&amp;"",DISPLAY!$E$3:$E$1000,""),"Network Device",_xlfn.XLOOKUP($K195&amp;"",'NETWORK-DEVICES'!$B$3:$B$987&amp;"",'NETWORK-DEVICES'!$E$3:$E$987,""),"Peripheral",_xlfn.XLOOKUP($K195&amp;"",PERIPHERAL!$B$3:$B$954&amp;"",PERIPHERAL!$E$3:$E$954,""),"Utilities",_xlfn.XLOOKUP($K195&amp;"",UTILITIES!$B$3:$B$953&amp;"",UTILITIES!$E$3:$E$953,""),"IOT",_xlfn.XLOOKUP($K195&amp;"",IOT!$B$3:$B$1012&amp;"",IOT!$E$3:$E$1012,""),"Server",_xlfn.XLOOKUP($K195&amp;"",SERVER!$B$3:$B$1009&amp;"",SERVER!$E$3:$E$1009,""),""))))</f>
        <v/>
      </c>
      <c r="Q195" s="1" t="str" cm="1">
        <f t="array" ref="Q195">IF(OR($K195="",$I195="",$J195=""),"",_xlfn.LET(_xlpm.srcCat,_xlfn.SWITCH($I195,"Computer",_xlfn.XLOOKUP($K195&amp;"",COMPUTER!$B$3:$B$1009&amp;"",COMPUTER!$H$3:$H$1009,""),"Display",_xlfn.XLOOKUP($K195&amp;"",DISPLAY!$B$3:$B$1000&amp;"",DISPLAY!$H$3:$H$1000,""),"Network Device",_xlfn.XLOOKUP($K195&amp;"",'NETWORK-DEVICES'!$B$3:$B$987&amp;"",'NETWORK-DEVICES'!$H$3:$H$987,""),"Peripheral",_xlfn.XLOOKUP($K195&amp;"",PERIPHERAL!$B$3:$B$954&amp;"",PERIPHERAL!$H$3:$H$954,""),"Utilities",_xlfn.XLOOKUP($K195&amp;"",UTILITIES!$B$3:$B$953&amp;"",UTILITIES!$G$3:$G$953,""),"IOT",_xlfn.XLOOKUP($K195&amp;"",IOT!$B$3:$B$1012&amp;"",IOT!$H$3:$H$1012,""),"Server",_xlfn.XLOOKUP($K195&amp;"",SERVER!$B$3:$B$1009&amp;"",SERVER!$H$3:$H$1009,""),""),IF(TRIM(_xlpm.srcCat)&lt;&gt;TRIM($J195),"",_xlfn.SWITCH($I195,"Computer",_xlfn.XLOOKUP($K195&amp;"",COMPUTER!$B$3:$B$1009&amp;"",COMPUTER!$AM$3:$AM$1009,""),"Display",_xlfn.XLOOKUP($K195&amp;"",DISPLAY!$B$3:$B$1000&amp;"",DISPLAY!$V$3:$V$1000,""),"Network Device",_xlfn.XLOOKUP($K195&amp;"",'NETWORK-DEVICES'!$B$3:$B$987&amp;"",'NETWORK-DEVICES'!$AF$3:$AF$987,""),"Peripheral",_xlfn.XLOOKUP($K195&amp;"",PERIPHERAL!$B$3:$B$954&amp;"",PERIPHERAL!$Y$3:$Y$954,""),"Utilities",_xlfn.XLOOKUP($K195&amp;"",UTILITIES!$B$3:$B$953&amp;"",UTILITIES!$O$3:$O$953,""),"IOT",_xlfn.XLOOKUP($K195&amp;"",IOT!$B$3:$B$1012&amp;"",IOT!$AB$3:$AB$1012,""),"Server",_xlfn.XLOOKUP($K195&amp;"",SERVER!$B$3:$B$1009&amp;"",SERVER!$AB$3:$AB$1009,""),""))))</f>
        <v/>
      </c>
      <c r="R195" s="43" t="str">
        <f>IF(tbl_handover[[#This Row],[Asset Code]]="","",COUNTIF(tbl_handover[Asset Code],tbl_handover[[#This Row],[Asset Code]]))</f>
        <v/>
      </c>
    </row>
    <row r="196" spans="1:18" x14ac:dyDescent="0.25">
      <c r="A196" s="43" t="str">
        <f>IF(B196&lt;&gt;"",SUBTOTAL(3,$B$1:B195),"")</f>
        <v/>
      </c>
      <c r="C196" s="74"/>
      <c r="D196" s="74"/>
      <c r="G196" s="1"/>
      <c r="K196" s="42"/>
      <c r="L196" t="str" cm="1">
        <f t="array" ref="L196">IF($K196="","",_xlfn.SWITCH($I196,"Computer",_xlfn.XLOOKUP($K196&amp;"",COMPUTER!$B$3:$B$1009&amp;"",COMPUTER!$I$3:$I$1009,""),"Display",_xlfn.XLOOKUP($K196&amp;"",DISPLAY!$B$3:$B$1000&amp;"",DISPLAY!$J$3:$J$1000,""),"Network Device",_xlfn.XLOOKUP($K196&amp;"",'NETWORK-DEVICES'!$B$3:$B$987&amp;"",'NETWORK-DEVICES'!$I$3:$I$987,""),"Peripheral",_xlfn.XLOOKUP($K196&amp;"",PERIPHERAL!$B$3:$B$954&amp;"",PERIPHERAL!$I$3:$I$954,""),"Utilities",_xlfn.XLOOKUP($K196&amp;"",UTILITIES!$B$3:$B$953&amp;"",UTILITIES!$H$3:$H$953,""),"IOT",_xlfn.XLOOKUP($K196&amp;"",IOT!$B$3:$B$1012&amp;"",IOT!$I$3:$I$1012,""),"SERVER",_xlfn.XLOOKUP($K196&amp;"",SERVER!$B$3:$B$1009&amp;"",SERVER!$I$3:$I$1009,""),""))</f>
        <v/>
      </c>
      <c r="M196" t="str" cm="1">
        <f t="array" ref="M196">IF($K196="","",_xlfn.SWITCH($I196,"Computer",_xlfn.XLOOKUP($K196&amp;"",COMPUTER!$B$3:$B$1009&amp;"",COMPUTER!$J$3:$J$1009,""),"Display",_xlfn.XLOOKUP($K196&amp;"",DISPLAY!$B$3:$B$1000&amp;"",DISPLAY!$K$3:$K$1000,""),"Network Device",_xlfn.XLOOKUP($K196&amp;"",'NETWORK-DEVICES'!$B$3:$B$987&amp;"",'NETWORK-DEVICES'!$I$3:$I$987,""),"Peripheral",_xlfn.XLOOKUP($K196&amp;"",PERIPHERAL!$B$3:$B$954&amp;"",PERIPHERAL!$J$3:$J$954,""),"Utilities",_xlfn.XLOOKUP($K196&amp;"",UTILITIES!$B$3:$B$953&amp;"",UTILITIES!$I$3:$I$953,""),"IOT",_xlfn.XLOOKUP($K196&amp;"",IOT!$B$3:$B$1012&amp;"",IOT!$J$3:$J$1012,""),"Server",_xlfn.XLOOKUP($K196&amp;"",SERVER!$B$3:$B$1009&amp;"",SERVER!$J$3:$J$1009,""),""))</f>
        <v/>
      </c>
      <c r="N196" s="1" t="str" cm="1">
        <f t="array" ref="N196">IF(OR($K196="",$I196="",$J196=""),"",_xlfn.LET(_xlpm.srcCat,_xlfn.SWITCH($I196,"Computer",_xlfn.XLOOKUP($K196&amp;"",COMPUTER!$B$3:$B$1009&amp;"",COMPUTER!$H$3:$H$1009,""),"Display",_xlfn.XLOOKUP($K196&amp;"",DISPLAY!$B$3:$B$1000&amp;"",DISPLAY!$H$3:$H$1000,""),"Network Device",_xlfn.XLOOKUP($K196&amp;"",'NETWORK-DEVICES'!$B$3:$B$987&amp;"",'NETWORK-DEVICES'!$H$3:$H$987,""),"Peripheral",_xlfn.XLOOKUP($K196&amp;"",PERIPHERAL!$B$3:$B$954&amp;"",PERIPHERAL!$H$3:$H$954,""),"Utilities",_xlfn.XLOOKUP($K196&amp;"",UTILITIES!$B$3:$B$953&amp;"",UTILITIES!$G$3:$G$953,""),"IOT",_xlfn.XLOOKUP($K196&amp;"",IOT!$B$3:$B$1012&amp;"",IOT!$H$3:$H$1012,""),"Server",_xlfn.XLOOKUP($K196&amp;"",SERVER!$B$3:$B$1009&amp;"",SERVER!$H$3:$H$1009,""),""),IF(TRIM(_xlpm.srcCat)&lt;&gt;TRIM($J196),"",_xlfn.SWITCH($I196,"Computer",_xlfn.XLOOKUP($K196&amp;"",COMPUTER!$B$3:$B$1009&amp;"",COMPUTER!$K$3:$K$1009,""),"Display",_xlfn.XLOOKUP($K196&amp;"",DISPLAY!$B$3:$B$1000&amp;"",DISPLAY!$L$3:$L$1000,""),"Network Device",_xlfn.XLOOKUP($K196&amp;"",'NETWORK-DEVICES'!$B$3:$B$987&amp;"",'NETWORK-DEVICES'!$K$3:$K$987,""),"Peripheral",_xlfn.XLOOKUP($K196&amp;"",PERIPHERAL!$B$3:$B$954&amp;"",PERIPHERAL!$K$3:$K$954,""),"Utilities",_xlfn.XLOOKUP($K196&amp;"",UTILITIES!$B$3:$B$953&amp;"",UTILITIES!$J$3:$J$953,""),"IOT",_xlfn.XLOOKUP($K196&amp;"",IOT!$B$3:$B$1012&amp;"",IOT!$K$4:$K$1012,""),"Server",_xlfn.XLOOKUP($K196&amp;"",SERVER!$B$3:$B$1009&amp;"",SERVER!$K$3:$K$1009,""),""))))</f>
        <v/>
      </c>
      <c r="O196" s="1" t="str" cm="1">
        <f t="array" ref="O196">IF(OR($K196="",$I196="",$J196=""),"",_xlfn.LET(_xlpm.srcCat,_xlfn.SWITCH($I196,"Computer",_xlfn.XLOOKUP($K196&amp;"",COMPUTER!$B$3:$B$1009&amp;"",COMPUTER!$H$3:$H$1009,""),"Display",_xlfn.XLOOKUP($K196&amp;"",DISPLAY!$B$3:$B$1000&amp;"",DISPLAY!$H$3:$H$1000,""),"Network Device",_xlfn.XLOOKUP($K196&amp;"",'NETWORK-DEVICES'!$B$3:$B$987&amp;"",'NETWORK-DEVICES'!$H$3:$H$987,""),"Peripheral",_xlfn.XLOOKUP($K196&amp;"",PERIPHERAL!$B$3:$B$954&amp;"",PERIPHERAL!$H$3:$H$954,""),"Utilities",_xlfn.XLOOKUP($K196&amp;"",UTILITIES!$B$3:$B$953&amp;"",UTILITIES!$G$3:$G$953,""),"IOT",_xlfn.XLOOKUP($K196&amp;"",IOT!$B$3:$B$1012&amp;"",IOT!$H$3:$H$1012,""),"Server",_xlfn.XLOOKUP($K196&amp;"",SERVER!$B$3:$B$1009&amp;"",SERVER!$H$3:$H$1009,""),""),IF(TRIM(_xlpm.srcCat)&lt;&gt;TRIM($J196),"",_xlfn.SWITCH($I196,"Computer",_xlfn.XLOOKUP($K196&amp;"",COMPUTER!$B$3:$B$1009&amp;"",COMPUTER!$E$3:$E$1009,""),"Display",_xlfn.XLOOKUP($K196&amp;"",DISPLAY!$B$3:$B$1000&amp;"",DISPLAY!$E$3:$E$1000,""),"Network Device",_xlfn.XLOOKUP($K196&amp;"",'NETWORK-DEVICES'!$B$3:$B$987&amp;"",'NETWORK-DEVICES'!$E$3:$E$987,""),"Peripheral",_xlfn.XLOOKUP($K196&amp;"",PERIPHERAL!$B$3:$B$954&amp;"",PERIPHERAL!$E$3:$E$954,""),"Utilities",_xlfn.XLOOKUP($K196&amp;"",UTILITIES!$B$3:$B$953&amp;"",UTILITIES!$E$3:$E$953,""),"IOT",_xlfn.XLOOKUP($K196&amp;"",IOT!$B$3:$B$1012&amp;"",IOT!$E$3:$E$1012,""),"Server",_xlfn.XLOOKUP($K196&amp;"",SERVER!$B$3:$B$1009&amp;"",SERVER!$E$3:$E$1009,""),""))))</f>
        <v/>
      </c>
      <c r="Q196" s="1" t="str" cm="1">
        <f t="array" ref="Q196">IF(OR($K196="",$I196="",$J196=""),"",_xlfn.LET(_xlpm.srcCat,_xlfn.SWITCH($I196,"Computer",_xlfn.XLOOKUP($K196&amp;"",COMPUTER!$B$3:$B$1009&amp;"",COMPUTER!$H$3:$H$1009,""),"Display",_xlfn.XLOOKUP($K196&amp;"",DISPLAY!$B$3:$B$1000&amp;"",DISPLAY!$H$3:$H$1000,""),"Network Device",_xlfn.XLOOKUP($K196&amp;"",'NETWORK-DEVICES'!$B$3:$B$987&amp;"",'NETWORK-DEVICES'!$H$3:$H$987,""),"Peripheral",_xlfn.XLOOKUP($K196&amp;"",PERIPHERAL!$B$3:$B$954&amp;"",PERIPHERAL!$H$3:$H$954,""),"Utilities",_xlfn.XLOOKUP($K196&amp;"",UTILITIES!$B$3:$B$953&amp;"",UTILITIES!$G$3:$G$953,""),"IOT",_xlfn.XLOOKUP($K196&amp;"",IOT!$B$3:$B$1012&amp;"",IOT!$H$3:$H$1012,""),"Server",_xlfn.XLOOKUP($K196&amp;"",SERVER!$B$3:$B$1009&amp;"",SERVER!$H$3:$H$1009,""),""),IF(TRIM(_xlpm.srcCat)&lt;&gt;TRIM($J196),"",_xlfn.SWITCH($I196,"Computer",_xlfn.XLOOKUP($K196&amp;"",COMPUTER!$B$3:$B$1009&amp;"",COMPUTER!$AM$3:$AM$1009,""),"Display",_xlfn.XLOOKUP($K196&amp;"",DISPLAY!$B$3:$B$1000&amp;"",DISPLAY!$V$3:$V$1000,""),"Network Device",_xlfn.XLOOKUP($K196&amp;"",'NETWORK-DEVICES'!$B$3:$B$987&amp;"",'NETWORK-DEVICES'!$AF$3:$AF$987,""),"Peripheral",_xlfn.XLOOKUP($K196&amp;"",PERIPHERAL!$B$3:$B$954&amp;"",PERIPHERAL!$Y$3:$Y$954,""),"Utilities",_xlfn.XLOOKUP($K196&amp;"",UTILITIES!$B$3:$B$953&amp;"",UTILITIES!$O$3:$O$953,""),"IOT",_xlfn.XLOOKUP($K196&amp;"",IOT!$B$3:$B$1012&amp;"",IOT!$AB$3:$AB$1012,""),"Server",_xlfn.XLOOKUP($K196&amp;"",SERVER!$B$3:$B$1009&amp;"",SERVER!$AB$3:$AB$1009,""),""))))</f>
        <v/>
      </c>
      <c r="R196" s="43" t="str">
        <f>IF(tbl_handover[[#This Row],[Asset Code]]="","",COUNTIF(tbl_handover[Asset Code],tbl_handover[[#This Row],[Asset Code]]))</f>
        <v/>
      </c>
    </row>
    <row r="197" spans="1:18" x14ac:dyDescent="0.25">
      <c r="A197" s="43" t="str">
        <f>IF(B197&lt;&gt;"",SUBTOTAL(3,$B$1:B196),"")</f>
        <v/>
      </c>
      <c r="C197" s="74"/>
      <c r="D197" s="74"/>
      <c r="G197" s="1"/>
      <c r="K197" s="42"/>
      <c r="L197" t="str" cm="1">
        <f t="array" ref="L197">IF($K197="","",_xlfn.SWITCH($I197,"Computer",_xlfn.XLOOKUP($K197&amp;"",COMPUTER!$B$3:$B$1009&amp;"",COMPUTER!$I$3:$I$1009,""),"Display",_xlfn.XLOOKUP($K197&amp;"",DISPLAY!$B$3:$B$1000&amp;"",DISPLAY!$J$3:$J$1000,""),"Network Device",_xlfn.XLOOKUP($K197&amp;"",'NETWORK-DEVICES'!$B$3:$B$987&amp;"",'NETWORK-DEVICES'!$I$3:$I$987,""),"Peripheral",_xlfn.XLOOKUP($K197&amp;"",PERIPHERAL!$B$3:$B$954&amp;"",PERIPHERAL!$I$3:$I$954,""),"Utilities",_xlfn.XLOOKUP($K197&amp;"",UTILITIES!$B$3:$B$953&amp;"",UTILITIES!$H$3:$H$953,""),"IOT",_xlfn.XLOOKUP($K197&amp;"",IOT!$B$3:$B$1012&amp;"",IOT!$I$3:$I$1012,""),"SERVER",_xlfn.XLOOKUP($K197&amp;"",SERVER!$B$3:$B$1009&amp;"",SERVER!$I$3:$I$1009,""),""))</f>
        <v/>
      </c>
      <c r="M197" t="str" cm="1">
        <f t="array" ref="M197">IF($K197="","",_xlfn.SWITCH($I197,"Computer",_xlfn.XLOOKUP($K197&amp;"",COMPUTER!$B$3:$B$1009&amp;"",COMPUTER!$J$3:$J$1009,""),"Display",_xlfn.XLOOKUP($K197&amp;"",DISPLAY!$B$3:$B$1000&amp;"",DISPLAY!$K$3:$K$1000,""),"Network Device",_xlfn.XLOOKUP($K197&amp;"",'NETWORK-DEVICES'!$B$3:$B$987&amp;"",'NETWORK-DEVICES'!$I$3:$I$987,""),"Peripheral",_xlfn.XLOOKUP($K197&amp;"",PERIPHERAL!$B$3:$B$954&amp;"",PERIPHERAL!$J$3:$J$954,""),"Utilities",_xlfn.XLOOKUP($K197&amp;"",UTILITIES!$B$3:$B$953&amp;"",UTILITIES!$I$3:$I$953,""),"IOT",_xlfn.XLOOKUP($K197&amp;"",IOT!$B$3:$B$1012&amp;"",IOT!$J$3:$J$1012,""),"Server",_xlfn.XLOOKUP($K197&amp;"",SERVER!$B$3:$B$1009&amp;"",SERVER!$J$3:$J$1009,""),""))</f>
        <v/>
      </c>
      <c r="N197" s="1" t="str" cm="1">
        <f t="array" ref="N197">IF(OR($K197="",$I197="",$J197=""),"",_xlfn.LET(_xlpm.srcCat,_xlfn.SWITCH($I197,"Computer",_xlfn.XLOOKUP($K197&amp;"",COMPUTER!$B$3:$B$1009&amp;"",COMPUTER!$H$3:$H$1009,""),"Display",_xlfn.XLOOKUP($K197&amp;"",DISPLAY!$B$3:$B$1000&amp;"",DISPLAY!$H$3:$H$1000,""),"Network Device",_xlfn.XLOOKUP($K197&amp;"",'NETWORK-DEVICES'!$B$3:$B$987&amp;"",'NETWORK-DEVICES'!$H$3:$H$987,""),"Peripheral",_xlfn.XLOOKUP($K197&amp;"",PERIPHERAL!$B$3:$B$954&amp;"",PERIPHERAL!$H$3:$H$954,""),"Utilities",_xlfn.XLOOKUP($K197&amp;"",UTILITIES!$B$3:$B$953&amp;"",UTILITIES!$G$3:$G$953,""),"IOT",_xlfn.XLOOKUP($K197&amp;"",IOT!$B$3:$B$1012&amp;"",IOT!$H$3:$H$1012,""),"Server",_xlfn.XLOOKUP($K197&amp;"",SERVER!$B$3:$B$1009&amp;"",SERVER!$H$3:$H$1009,""),""),IF(TRIM(_xlpm.srcCat)&lt;&gt;TRIM($J197),"",_xlfn.SWITCH($I197,"Computer",_xlfn.XLOOKUP($K197&amp;"",COMPUTER!$B$3:$B$1009&amp;"",COMPUTER!$K$3:$K$1009,""),"Display",_xlfn.XLOOKUP($K197&amp;"",DISPLAY!$B$3:$B$1000&amp;"",DISPLAY!$L$3:$L$1000,""),"Network Device",_xlfn.XLOOKUP($K197&amp;"",'NETWORK-DEVICES'!$B$3:$B$987&amp;"",'NETWORK-DEVICES'!$K$3:$K$987,""),"Peripheral",_xlfn.XLOOKUP($K197&amp;"",PERIPHERAL!$B$3:$B$954&amp;"",PERIPHERAL!$K$3:$K$954,""),"Utilities",_xlfn.XLOOKUP($K197&amp;"",UTILITIES!$B$3:$B$953&amp;"",UTILITIES!$J$3:$J$953,""),"IOT",_xlfn.XLOOKUP($K197&amp;"",IOT!$B$3:$B$1012&amp;"",IOT!$K$4:$K$1012,""),"Server",_xlfn.XLOOKUP($K197&amp;"",SERVER!$B$3:$B$1009&amp;"",SERVER!$K$3:$K$1009,""),""))))</f>
        <v/>
      </c>
      <c r="O197" s="1" t="str" cm="1">
        <f t="array" ref="O197">IF(OR($K197="",$I197="",$J197=""),"",_xlfn.LET(_xlpm.srcCat,_xlfn.SWITCH($I197,"Computer",_xlfn.XLOOKUP($K197&amp;"",COMPUTER!$B$3:$B$1009&amp;"",COMPUTER!$H$3:$H$1009,""),"Display",_xlfn.XLOOKUP($K197&amp;"",DISPLAY!$B$3:$B$1000&amp;"",DISPLAY!$H$3:$H$1000,""),"Network Device",_xlfn.XLOOKUP($K197&amp;"",'NETWORK-DEVICES'!$B$3:$B$987&amp;"",'NETWORK-DEVICES'!$H$3:$H$987,""),"Peripheral",_xlfn.XLOOKUP($K197&amp;"",PERIPHERAL!$B$3:$B$954&amp;"",PERIPHERAL!$H$3:$H$954,""),"Utilities",_xlfn.XLOOKUP($K197&amp;"",UTILITIES!$B$3:$B$953&amp;"",UTILITIES!$G$3:$G$953,""),"IOT",_xlfn.XLOOKUP($K197&amp;"",IOT!$B$3:$B$1012&amp;"",IOT!$H$3:$H$1012,""),"Server",_xlfn.XLOOKUP($K197&amp;"",SERVER!$B$3:$B$1009&amp;"",SERVER!$H$3:$H$1009,""),""),IF(TRIM(_xlpm.srcCat)&lt;&gt;TRIM($J197),"",_xlfn.SWITCH($I197,"Computer",_xlfn.XLOOKUP($K197&amp;"",COMPUTER!$B$3:$B$1009&amp;"",COMPUTER!$E$3:$E$1009,""),"Display",_xlfn.XLOOKUP($K197&amp;"",DISPLAY!$B$3:$B$1000&amp;"",DISPLAY!$E$3:$E$1000,""),"Network Device",_xlfn.XLOOKUP($K197&amp;"",'NETWORK-DEVICES'!$B$3:$B$987&amp;"",'NETWORK-DEVICES'!$E$3:$E$987,""),"Peripheral",_xlfn.XLOOKUP($K197&amp;"",PERIPHERAL!$B$3:$B$954&amp;"",PERIPHERAL!$E$3:$E$954,""),"Utilities",_xlfn.XLOOKUP($K197&amp;"",UTILITIES!$B$3:$B$953&amp;"",UTILITIES!$E$3:$E$953,""),"IOT",_xlfn.XLOOKUP($K197&amp;"",IOT!$B$3:$B$1012&amp;"",IOT!$E$3:$E$1012,""),"Server",_xlfn.XLOOKUP($K197&amp;"",SERVER!$B$3:$B$1009&amp;"",SERVER!$E$3:$E$1009,""),""))))</f>
        <v/>
      </c>
      <c r="Q197" s="1" t="str" cm="1">
        <f t="array" ref="Q197">IF(OR($K197="",$I197="",$J197=""),"",_xlfn.LET(_xlpm.srcCat,_xlfn.SWITCH($I197,"Computer",_xlfn.XLOOKUP($K197&amp;"",COMPUTER!$B$3:$B$1009&amp;"",COMPUTER!$H$3:$H$1009,""),"Display",_xlfn.XLOOKUP($K197&amp;"",DISPLAY!$B$3:$B$1000&amp;"",DISPLAY!$H$3:$H$1000,""),"Network Device",_xlfn.XLOOKUP($K197&amp;"",'NETWORK-DEVICES'!$B$3:$B$987&amp;"",'NETWORK-DEVICES'!$H$3:$H$987,""),"Peripheral",_xlfn.XLOOKUP($K197&amp;"",PERIPHERAL!$B$3:$B$954&amp;"",PERIPHERAL!$H$3:$H$954,""),"Utilities",_xlfn.XLOOKUP($K197&amp;"",UTILITIES!$B$3:$B$953&amp;"",UTILITIES!$G$3:$G$953,""),"IOT",_xlfn.XLOOKUP($K197&amp;"",IOT!$B$3:$B$1012&amp;"",IOT!$H$3:$H$1012,""),"Server",_xlfn.XLOOKUP($K197&amp;"",SERVER!$B$3:$B$1009&amp;"",SERVER!$H$3:$H$1009,""),""),IF(TRIM(_xlpm.srcCat)&lt;&gt;TRIM($J197),"",_xlfn.SWITCH($I197,"Computer",_xlfn.XLOOKUP($K197&amp;"",COMPUTER!$B$3:$B$1009&amp;"",COMPUTER!$AM$3:$AM$1009,""),"Display",_xlfn.XLOOKUP($K197&amp;"",DISPLAY!$B$3:$B$1000&amp;"",DISPLAY!$V$3:$V$1000,""),"Network Device",_xlfn.XLOOKUP($K197&amp;"",'NETWORK-DEVICES'!$B$3:$B$987&amp;"",'NETWORK-DEVICES'!$AF$3:$AF$987,""),"Peripheral",_xlfn.XLOOKUP($K197&amp;"",PERIPHERAL!$B$3:$B$954&amp;"",PERIPHERAL!$Y$3:$Y$954,""),"Utilities",_xlfn.XLOOKUP($K197&amp;"",UTILITIES!$B$3:$B$953&amp;"",UTILITIES!$O$3:$O$953,""),"IOT",_xlfn.XLOOKUP($K197&amp;"",IOT!$B$3:$B$1012&amp;"",IOT!$AB$3:$AB$1012,""),"Server",_xlfn.XLOOKUP($K197&amp;"",SERVER!$B$3:$B$1009&amp;"",SERVER!$AB$3:$AB$1009,""),""))))</f>
        <v/>
      </c>
      <c r="R197" s="43" t="str">
        <f>IF(tbl_handover[[#This Row],[Asset Code]]="","",COUNTIF(tbl_handover[Asset Code],tbl_handover[[#This Row],[Asset Code]]))</f>
        <v/>
      </c>
    </row>
    <row r="198" spans="1:18" x14ac:dyDescent="0.25">
      <c r="A198" s="43" t="str">
        <f>IF(B198&lt;&gt;"",SUBTOTAL(3,$B$1:B197),"")</f>
        <v/>
      </c>
      <c r="C198" s="74"/>
      <c r="D198" s="74"/>
      <c r="G198" s="1"/>
      <c r="K198" s="42"/>
      <c r="L198" t="str" cm="1">
        <f t="array" ref="L198">IF($K198="","",_xlfn.SWITCH($I198,"Computer",_xlfn.XLOOKUP($K198&amp;"",COMPUTER!$B$3:$B$1009&amp;"",COMPUTER!$I$3:$I$1009,""),"Display",_xlfn.XLOOKUP($K198&amp;"",DISPLAY!$B$3:$B$1000&amp;"",DISPLAY!$J$3:$J$1000,""),"Network Device",_xlfn.XLOOKUP($K198&amp;"",'NETWORK-DEVICES'!$B$3:$B$987&amp;"",'NETWORK-DEVICES'!$I$3:$I$987,""),"Peripheral",_xlfn.XLOOKUP($K198&amp;"",PERIPHERAL!$B$3:$B$954&amp;"",PERIPHERAL!$I$3:$I$954,""),"Utilities",_xlfn.XLOOKUP($K198&amp;"",UTILITIES!$B$3:$B$953&amp;"",UTILITIES!$H$3:$H$953,""),"IOT",_xlfn.XLOOKUP($K198&amp;"",IOT!$B$3:$B$1012&amp;"",IOT!$I$3:$I$1012,""),"SERVER",_xlfn.XLOOKUP($K198&amp;"",SERVER!$B$3:$B$1009&amp;"",SERVER!$I$3:$I$1009,""),""))</f>
        <v/>
      </c>
      <c r="M198" t="str" cm="1">
        <f t="array" ref="M198">IF($K198="","",_xlfn.SWITCH($I198,"Computer",_xlfn.XLOOKUP($K198&amp;"",COMPUTER!$B$3:$B$1009&amp;"",COMPUTER!$J$3:$J$1009,""),"Display",_xlfn.XLOOKUP($K198&amp;"",DISPLAY!$B$3:$B$1000&amp;"",DISPLAY!$K$3:$K$1000,""),"Network Device",_xlfn.XLOOKUP($K198&amp;"",'NETWORK-DEVICES'!$B$3:$B$987&amp;"",'NETWORK-DEVICES'!$I$3:$I$987,""),"Peripheral",_xlfn.XLOOKUP($K198&amp;"",PERIPHERAL!$B$3:$B$954&amp;"",PERIPHERAL!$J$3:$J$954,""),"Utilities",_xlfn.XLOOKUP($K198&amp;"",UTILITIES!$B$3:$B$953&amp;"",UTILITIES!$I$3:$I$953,""),"IOT",_xlfn.XLOOKUP($K198&amp;"",IOT!$B$3:$B$1012&amp;"",IOT!$J$3:$J$1012,""),"Server",_xlfn.XLOOKUP($K198&amp;"",SERVER!$B$3:$B$1009&amp;"",SERVER!$J$3:$J$1009,""),""))</f>
        <v/>
      </c>
      <c r="N198" s="1" t="str" cm="1">
        <f t="array" ref="N198">IF(OR($K198="",$I198="",$J198=""),"",_xlfn.LET(_xlpm.srcCat,_xlfn.SWITCH($I198,"Computer",_xlfn.XLOOKUP($K198&amp;"",COMPUTER!$B$3:$B$1009&amp;"",COMPUTER!$H$3:$H$1009,""),"Display",_xlfn.XLOOKUP($K198&amp;"",DISPLAY!$B$3:$B$1000&amp;"",DISPLAY!$H$3:$H$1000,""),"Network Device",_xlfn.XLOOKUP($K198&amp;"",'NETWORK-DEVICES'!$B$3:$B$987&amp;"",'NETWORK-DEVICES'!$H$3:$H$987,""),"Peripheral",_xlfn.XLOOKUP($K198&amp;"",PERIPHERAL!$B$3:$B$954&amp;"",PERIPHERAL!$H$3:$H$954,""),"Utilities",_xlfn.XLOOKUP($K198&amp;"",UTILITIES!$B$3:$B$953&amp;"",UTILITIES!$G$3:$G$953,""),"IOT",_xlfn.XLOOKUP($K198&amp;"",IOT!$B$3:$B$1012&amp;"",IOT!$H$3:$H$1012,""),"Server",_xlfn.XLOOKUP($K198&amp;"",SERVER!$B$3:$B$1009&amp;"",SERVER!$H$3:$H$1009,""),""),IF(TRIM(_xlpm.srcCat)&lt;&gt;TRIM($J198),"",_xlfn.SWITCH($I198,"Computer",_xlfn.XLOOKUP($K198&amp;"",COMPUTER!$B$3:$B$1009&amp;"",COMPUTER!$K$3:$K$1009,""),"Display",_xlfn.XLOOKUP($K198&amp;"",DISPLAY!$B$3:$B$1000&amp;"",DISPLAY!$L$3:$L$1000,""),"Network Device",_xlfn.XLOOKUP($K198&amp;"",'NETWORK-DEVICES'!$B$3:$B$987&amp;"",'NETWORK-DEVICES'!$K$3:$K$987,""),"Peripheral",_xlfn.XLOOKUP($K198&amp;"",PERIPHERAL!$B$3:$B$954&amp;"",PERIPHERAL!$K$3:$K$954,""),"Utilities",_xlfn.XLOOKUP($K198&amp;"",UTILITIES!$B$3:$B$953&amp;"",UTILITIES!$J$3:$J$953,""),"IOT",_xlfn.XLOOKUP($K198&amp;"",IOT!$B$3:$B$1012&amp;"",IOT!$K$4:$K$1012,""),"Server",_xlfn.XLOOKUP($K198&amp;"",SERVER!$B$3:$B$1009&amp;"",SERVER!$K$3:$K$1009,""),""))))</f>
        <v/>
      </c>
      <c r="O198" s="1" t="str" cm="1">
        <f t="array" ref="O198">IF(OR($K198="",$I198="",$J198=""),"",_xlfn.LET(_xlpm.srcCat,_xlfn.SWITCH($I198,"Computer",_xlfn.XLOOKUP($K198&amp;"",COMPUTER!$B$3:$B$1009&amp;"",COMPUTER!$H$3:$H$1009,""),"Display",_xlfn.XLOOKUP($K198&amp;"",DISPLAY!$B$3:$B$1000&amp;"",DISPLAY!$H$3:$H$1000,""),"Network Device",_xlfn.XLOOKUP($K198&amp;"",'NETWORK-DEVICES'!$B$3:$B$987&amp;"",'NETWORK-DEVICES'!$H$3:$H$987,""),"Peripheral",_xlfn.XLOOKUP($K198&amp;"",PERIPHERAL!$B$3:$B$954&amp;"",PERIPHERAL!$H$3:$H$954,""),"Utilities",_xlfn.XLOOKUP($K198&amp;"",UTILITIES!$B$3:$B$953&amp;"",UTILITIES!$G$3:$G$953,""),"IOT",_xlfn.XLOOKUP($K198&amp;"",IOT!$B$3:$B$1012&amp;"",IOT!$H$3:$H$1012,""),"Server",_xlfn.XLOOKUP($K198&amp;"",SERVER!$B$3:$B$1009&amp;"",SERVER!$H$3:$H$1009,""),""),IF(TRIM(_xlpm.srcCat)&lt;&gt;TRIM($J198),"",_xlfn.SWITCH($I198,"Computer",_xlfn.XLOOKUP($K198&amp;"",COMPUTER!$B$3:$B$1009&amp;"",COMPUTER!$E$3:$E$1009,""),"Display",_xlfn.XLOOKUP($K198&amp;"",DISPLAY!$B$3:$B$1000&amp;"",DISPLAY!$E$3:$E$1000,""),"Network Device",_xlfn.XLOOKUP($K198&amp;"",'NETWORK-DEVICES'!$B$3:$B$987&amp;"",'NETWORK-DEVICES'!$E$3:$E$987,""),"Peripheral",_xlfn.XLOOKUP($K198&amp;"",PERIPHERAL!$B$3:$B$954&amp;"",PERIPHERAL!$E$3:$E$954,""),"Utilities",_xlfn.XLOOKUP($K198&amp;"",UTILITIES!$B$3:$B$953&amp;"",UTILITIES!$E$3:$E$953,""),"IOT",_xlfn.XLOOKUP($K198&amp;"",IOT!$B$3:$B$1012&amp;"",IOT!$E$3:$E$1012,""),"Server",_xlfn.XLOOKUP($K198&amp;"",SERVER!$B$3:$B$1009&amp;"",SERVER!$E$3:$E$1009,""),""))))</f>
        <v/>
      </c>
      <c r="Q198" s="1" t="str" cm="1">
        <f t="array" ref="Q198">IF(OR($K198="",$I198="",$J198=""),"",_xlfn.LET(_xlpm.srcCat,_xlfn.SWITCH($I198,"Computer",_xlfn.XLOOKUP($K198&amp;"",COMPUTER!$B$3:$B$1009&amp;"",COMPUTER!$H$3:$H$1009,""),"Display",_xlfn.XLOOKUP($K198&amp;"",DISPLAY!$B$3:$B$1000&amp;"",DISPLAY!$H$3:$H$1000,""),"Network Device",_xlfn.XLOOKUP($K198&amp;"",'NETWORK-DEVICES'!$B$3:$B$987&amp;"",'NETWORK-DEVICES'!$H$3:$H$987,""),"Peripheral",_xlfn.XLOOKUP($K198&amp;"",PERIPHERAL!$B$3:$B$954&amp;"",PERIPHERAL!$H$3:$H$954,""),"Utilities",_xlfn.XLOOKUP($K198&amp;"",UTILITIES!$B$3:$B$953&amp;"",UTILITIES!$G$3:$G$953,""),"IOT",_xlfn.XLOOKUP($K198&amp;"",IOT!$B$3:$B$1012&amp;"",IOT!$H$3:$H$1012,""),"Server",_xlfn.XLOOKUP($K198&amp;"",SERVER!$B$3:$B$1009&amp;"",SERVER!$H$3:$H$1009,""),""),IF(TRIM(_xlpm.srcCat)&lt;&gt;TRIM($J198),"",_xlfn.SWITCH($I198,"Computer",_xlfn.XLOOKUP($K198&amp;"",COMPUTER!$B$3:$B$1009&amp;"",COMPUTER!$AM$3:$AM$1009,""),"Display",_xlfn.XLOOKUP($K198&amp;"",DISPLAY!$B$3:$B$1000&amp;"",DISPLAY!$V$3:$V$1000,""),"Network Device",_xlfn.XLOOKUP($K198&amp;"",'NETWORK-DEVICES'!$B$3:$B$987&amp;"",'NETWORK-DEVICES'!$AF$3:$AF$987,""),"Peripheral",_xlfn.XLOOKUP($K198&amp;"",PERIPHERAL!$B$3:$B$954&amp;"",PERIPHERAL!$Y$3:$Y$954,""),"Utilities",_xlfn.XLOOKUP($K198&amp;"",UTILITIES!$B$3:$B$953&amp;"",UTILITIES!$O$3:$O$953,""),"IOT",_xlfn.XLOOKUP($K198&amp;"",IOT!$B$3:$B$1012&amp;"",IOT!$AB$3:$AB$1012,""),"Server",_xlfn.XLOOKUP($K198&amp;"",SERVER!$B$3:$B$1009&amp;"",SERVER!$AB$3:$AB$1009,""),""))))</f>
        <v/>
      </c>
      <c r="R198" s="43" t="str">
        <f>IF(tbl_handover[[#This Row],[Asset Code]]="","",COUNTIF(tbl_handover[Asset Code],tbl_handover[[#This Row],[Asset Code]]))</f>
        <v/>
      </c>
    </row>
    <row r="199" spans="1:18" x14ac:dyDescent="0.25">
      <c r="A199" s="43" t="str">
        <f>IF(B199&lt;&gt;"",SUBTOTAL(3,$B$1:B198),"")</f>
        <v/>
      </c>
      <c r="C199" s="74"/>
      <c r="D199" s="74"/>
      <c r="G199" s="1"/>
      <c r="K199" s="42"/>
      <c r="L199" t="str" cm="1">
        <f t="array" ref="L199">IF($K199="","",_xlfn.SWITCH($I199,"Computer",_xlfn.XLOOKUP($K199&amp;"",COMPUTER!$B$3:$B$1009&amp;"",COMPUTER!$I$3:$I$1009,""),"Display",_xlfn.XLOOKUP($K199&amp;"",DISPLAY!$B$3:$B$1000&amp;"",DISPLAY!$J$3:$J$1000,""),"Network Device",_xlfn.XLOOKUP($K199&amp;"",'NETWORK-DEVICES'!$B$3:$B$987&amp;"",'NETWORK-DEVICES'!$I$3:$I$987,""),"Peripheral",_xlfn.XLOOKUP($K199&amp;"",PERIPHERAL!$B$3:$B$954&amp;"",PERIPHERAL!$I$3:$I$954,""),"Utilities",_xlfn.XLOOKUP($K199&amp;"",UTILITIES!$B$3:$B$953&amp;"",UTILITIES!$H$3:$H$953,""),"IOT",_xlfn.XLOOKUP($K199&amp;"",IOT!$B$3:$B$1012&amp;"",IOT!$I$3:$I$1012,""),"SERVER",_xlfn.XLOOKUP($K199&amp;"",SERVER!$B$3:$B$1009&amp;"",SERVER!$I$3:$I$1009,""),""))</f>
        <v/>
      </c>
      <c r="M199" t="str" cm="1">
        <f t="array" ref="M199">IF($K199="","",_xlfn.SWITCH($I199,"Computer",_xlfn.XLOOKUP($K199&amp;"",COMPUTER!$B$3:$B$1009&amp;"",COMPUTER!$J$3:$J$1009,""),"Display",_xlfn.XLOOKUP($K199&amp;"",DISPLAY!$B$3:$B$1000&amp;"",DISPLAY!$K$3:$K$1000,""),"Network Device",_xlfn.XLOOKUP($K199&amp;"",'NETWORK-DEVICES'!$B$3:$B$987&amp;"",'NETWORK-DEVICES'!$I$3:$I$987,""),"Peripheral",_xlfn.XLOOKUP($K199&amp;"",PERIPHERAL!$B$3:$B$954&amp;"",PERIPHERAL!$J$3:$J$954,""),"Utilities",_xlfn.XLOOKUP($K199&amp;"",UTILITIES!$B$3:$B$953&amp;"",UTILITIES!$I$3:$I$953,""),"IOT",_xlfn.XLOOKUP($K199&amp;"",IOT!$B$3:$B$1012&amp;"",IOT!$J$3:$J$1012,""),"Server",_xlfn.XLOOKUP($K199&amp;"",SERVER!$B$3:$B$1009&amp;"",SERVER!$J$3:$J$1009,""),""))</f>
        <v/>
      </c>
      <c r="N199" s="1" t="str" cm="1">
        <f t="array" ref="N199">IF(OR($K199="",$I199="",$J199=""),"",_xlfn.LET(_xlpm.srcCat,_xlfn.SWITCH($I199,"Computer",_xlfn.XLOOKUP($K199&amp;"",COMPUTER!$B$3:$B$1009&amp;"",COMPUTER!$H$3:$H$1009,""),"Display",_xlfn.XLOOKUP($K199&amp;"",DISPLAY!$B$3:$B$1000&amp;"",DISPLAY!$H$3:$H$1000,""),"Network Device",_xlfn.XLOOKUP($K199&amp;"",'NETWORK-DEVICES'!$B$3:$B$987&amp;"",'NETWORK-DEVICES'!$H$3:$H$987,""),"Peripheral",_xlfn.XLOOKUP($K199&amp;"",PERIPHERAL!$B$3:$B$954&amp;"",PERIPHERAL!$H$3:$H$954,""),"Utilities",_xlfn.XLOOKUP($K199&amp;"",UTILITIES!$B$3:$B$953&amp;"",UTILITIES!$G$3:$G$953,""),"IOT",_xlfn.XLOOKUP($K199&amp;"",IOT!$B$3:$B$1012&amp;"",IOT!$H$3:$H$1012,""),"Server",_xlfn.XLOOKUP($K199&amp;"",SERVER!$B$3:$B$1009&amp;"",SERVER!$H$3:$H$1009,""),""),IF(TRIM(_xlpm.srcCat)&lt;&gt;TRIM($J199),"",_xlfn.SWITCH($I199,"Computer",_xlfn.XLOOKUP($K199&amp;"",COMPUTER!$B$3:$B$1009&amp;"",COMPUTER!$K$3:$K$1009,""),"Display",_xlfn.XLOOKUP($K199&amp;"",DISPLAY!$B$3:$B$1000&amp;"",DISPLAY!$L$3:$L$1000,""),"Network Device",_xlfn.XLOOKUP($K199&amp;"",'NETWORK-DEVICES'!$B$3:$B$987&amp;"",'NETWORK-DEVICES'!$K$3:$K$987,""),"Peripheral",_xlfn.XLOOKUP($K199&amp;"",PERIPHERAL!$B$3:$B$954&amp;"",PERIPHERAL!$K$3:$K$954,""),"Utilities",_xlfn.XLOOKUP($K199&amp;"",UTILITIES!$B$3:$B$953&amp;"",UTILITIES!$J$3:$J$953,""),"IOT",_xlfn.XLOOKUP($K199&amp;"",IOT!$B$3:$B$1012&amp;"",IOT!$K$4:$K$1012,""),"Server",_xlfn.XLOOKUP($K199&amp;"",SERVER!$B$3:$B$1009&amp;"",SERVER!$K$3:$K$1009,""),""))))</f>
        <v/>
      </c>
      <c r="O199" s="1" t="str" cm="1">
        <f t="array" ref="O199">IF(OR($K199="",$I199="",$J199=""),"",_xlfn.LET(_xlpm.srcCat,_xlfn.SWITCH($I199,"Computer",_xlfn.XLOOKUP($K199&amp;"",COMPUTER!$B$3:$B$1009&amp;"",COMPUTER!$H$3:$H$1009,""),"Display",_xlfn.XLOOKUP($K199&amp;"",DISPLAY!$B$3:$B$1000&amp;"",DISPLAY!$H$3:$H$1000,""),"Network Device",_xlfn.XLOOKUP($K199&amp;"",'NETWORK-DEVICES'!$B$3:$B$987&amp;"",'NETWORK-DEVICES'!$H$3:$H$987,""),"Peripheral",_xlfn.XLOOKUP($K199&amp;"",PERIPHERAL!$B$3:$B$954&amp;"",PERIPHERAL!$H$3:$H$954,""),"Utilities",_xlfn.XLOOKUP($K199&amp;"",UTILITIES!$B$3:$B$953&amp;"",UTILITIES!$G$3:$G$953,""),"IOT",_xlfn.XLOOKUP($K199&amp;"",IOT!$B$3:$B$1012&amp;"",IOT!$H$3:$H$1012,""),"Server",_xlfn.XLOOKUP($K199&amp;"",SERVER!$B$3:$B$1009&amp;"",SERVER!$H$3:$H$1009,""),""),IF(TRIM(_xlpm.srcCat)&lt;&gt;TRIM($J199),"",_xlfn.SWITCH($I199,"Computer",_xlfn.XLOOKUP($K199&amp;"",COMPUTER!$B$3:$B$1009&amp;"",COMPUTER!$E$3:$E$1009,""),"Display",_xlfn.XLOOKUP($K199&amp;"",DISPLAY!$B$3:$B$1000&amp;"",DISPLAY!$E$3:$E$1000,""),"Network Device",_xlfn.XLOOKUP($K199&amp;"",'NETWORK-DEVICES'!$B$3:$B$987&amp;"",'NETWORK-DEVICES'!$E$3:$E$987,""),"Peripheral",_xlfn.XLOOKUP($K199&amp;"",PERIPHERAL!$B$3:$B$954&amp;"",PERIPHERAL!$E$3:$E$954,""),"Utilities",_xlfn.XLOOKUP($K199&amp;"",UTILITIES!$B$3:$B$953&amp;"",UTILITIES!$E$3:$E$953,""),"IOT",_xlfn.XLOOKUP($K199&amp;"",IOT!$B$3:$B$1012&amp;"",IOT!$E$3:$E$1012,""),"Server",_xlfn.XLOOKUP($K199&amp;"",SERVER!$B$3:$B$1009&amp;"",SERVER!$E$3:$E$1009,""),""))))</f>
        <v/>
      </c>
      <c r="Q199" s="1" t="str" cm="1">
        <f t="array" ref="Q199">IF(OR($K199="",$I199="",$J199=""),"",_xlfn.LET(_xlpm.srcCat,_xlfn.SWITCH($I199,"Computer",_xlfn.XLOOKUP($K199&amp;"",COMPUTER!$B$3:$B$1009&amp;"",COMPUTER!$H$3:$H$1009,""),"Display",_xlfn.XLOOKUP($K199&amp;"",DISPLAY!$B$3:$B$1000&amp;"",DISPLAY!$H$3:$H$1000,""),"Network Device",_xlfn.XLOOKUP($K199&amp;"",'NETWORK-DEVICES'!$B$3:$B$987&amp;"",'NETWORK-DEVICES'!$H$3:$H$987,""),"Peripheral",_xlfn.XLOOKUP($K199&amp;"",PERIPHERAL!$B$3:$B$954&amp;"",PERIPHERAL!$H$3:$H$954,""),"Utilities",_xlfn.XLOOKUP($K199&amp;"",UTILITIES!$B$3:$B$953&amp;"",UTILITIES!$G$3:$G$953,""),"IOT",_xlfn.XLOOKUP($K199&amp;"",IOT!$B$3:$B$1012&amp;"",IOT!$H$3:$H$1012,""),"Server",_xlfn.XLOOKUP($K199&amp;"",SERVER!$B$3:$B$1009&amp;"",SERVER!$H$3:$H$1009,""),""),IF(TRIM(_xlpm.srcCat)&lt;&gt;TRIM($J199),"",_xlfn.SWITCH($I199,"Computer",_xlfn.XLOOKUP($K199&amp;"",COMPUTER!$B$3:$B$1009&amp;"",COMPUTER!$AM$3:$AM$1009,""),"Display",_xlfn.XLOOKUP($K199&amp;"",DISPLAY!$B$3:$B$1000&amp;"",DISPLAY!$V$3:$V$1000,""),"Network Device",_xlfn.XLOOKUP($K199&amp;"",'NETWORK-DEVICES'!$B$3:$B$987&amp;"",'NETWORK-DEVICES'!$AF$3:$AF$987,""),"Peripheral",_xlfn.XLOOKUP($K199&amp;"",PERIPHERAL!$B$3:$B$954&amp;"",PERIPHERAL!$Y$3:$Y$954,""),"Utilities",_xlfn.XLOOKUP($K199&amp;"",UTILITIES!$B$3:$B$953&amp;"",UTILITIES!$O$3:$O$953,""),"IOT",_xlfn.XLOOKUP($K199&amp;"",IOT!$B$3:$B$1012&amp;"",IOT!$AB$3:$AB$1012,""),"Server",_xlfn.XLOOKUP($K199&amp;"",SERVER!$B$3:$B$1009&amp;"",SERVER!$AB$3:$AB$1009,""),""))))</f>
        <v/>
      </c>
      <c r="R199" s="43" t="str">
        <f>IF(tbl_handover[[#This Row],[Asset Code]]="","",COUNTIF(tbl_handover[Asset Code],tbl_handover[[#This Row],[Asset Code]]))</f>
        <v/>
      </c>
    </row>
    <row r="200" spans="1:18" x14ac:dyDescent="0.25">
      <c r="A200" s="43" t="str">
        <f>IF(B200&lt;&gt;"",SUBTOTAL(3,$B$1:B199),"")</f>
        <v/>
      </c>
      <c r="C200" s="74"/>
      <c r="D200" s="74"/>
      <c r="G200" s="1"/>
      <c r="K200" s="42"/>
      <c r="L200" t="str" cm="1">
        <f t="array" ref="L200">IF($K200="","",_xlfn.SWITCH($I200,"Computer",_xlfn.XLOOKUP($K200&amp;"",COMPUTER!$B$3:$B$1009&amp;"",COMPUTER!$I$3:$I$1009,""),"Display",_xlfn.XLOOKUP($K200&amp;"",DISPLAY!$B$3:$B$1000&amp;"",DISPLAY!$J$3:$J$1000,""),"Network Device",_xlfn.XLOOKUP($K200&amp;"",'NETWORK-DEVICES'!$B$3:$B$987&amp;"",'NETWORK-DEVICES'!$I$3:$I$987,""),"Peripheral",_xlfn.XLOOKUP($K200&amp;"",PERIPHERAL!$B$3:$B$954&amp;"",PERIPHERAL!$I$3:$I$954,""),"Utilities",_xlfn.XLOOKUP($K200&amp;"",UTILITIES!$B$3:$B$953&amp;"",UTILITIES!$H$3:$H$953,""),"IOT",_xlfn.XLOOKUP($K200&amp;"",IOT!$B$3:$B$1012&amp;"",IOT!$I$3:$I$1012,""),"SERVER",_xlfn.XLOOKUP($K200&amp;"",SERVER!$B$3:$B$1009&amp;"",SERVER!$I$3:$I$1009,""),""))</f>
        <v/>
      </c>
      <c r="M200" t="str" cm="1">
        <f t="array" ref="M200">IF($K200="","",_xlfn.SWITCH($I200,"Computer",_xlfn.XLOOKUP($K200&amp;"",COMPUTER!$B$3:$B$1009&amp;"",COMPUTER!$J$3:$J$1009,""),"Display",_xlfn.XLOOKUP($K200&amp;"",DISPLAY!$B$3:$B$1000&amp;"",DISPLAY!$K$3:$K$1000,""),"Network Device",_xlfn.XLOOKUP($K200&amp;"",'NETWORK-DEVICES'!$B$3:$B$987&amp;"",'NETWORK-DEVICES'!$I$3:$I$987,""),"Peripheral",_xlfn.XLOOKUP($K200&amp;"",PERIPHERAL!$B$3:$B$954&amp;"",PERIPHERAL!$J$3:$J$954,""),"Utilities",_xlfn.XLOOKUP($K200&amp;"",UTILITIES!$B$3:$B$953&amp;"",UTILITIES!$I$3:$I$953,""),"IOT",_xlfn.XLOOKUP($K200&amp;"",IOT!$B$3:$B$1012&amp;"",IOT!$J$3:$J$1012,""),"Server",_xlfn.XLOOKUP($K200&amp;"",SERVER!$B$3:$B$1009&amp;"",SERVER!$J$3:$J$1009,""),""))</f>
        <v/>
      </c>
      <c r="N200" s="1" t="str" cm="1">
        <f t="array" ref="N200">IF(OR($K200="",$I200="",$J200=""),"",_xlfn.LET(_xlpm.srcCat,_xlfn.SWITCH($I200,"Computer",_xlfn.XLOOKUP($K200&amp;"",COMPUTER!$B$3:$B$1009&amp;"",COMPUTER!$H$3:$H$1009,""),"Display",_xlfn.XLOOKUP($K200&amp;"",DISPLAY!$B$3:$B$1000&amp;"",DISPLAY!$H$3:$H$1000,""),"Network Device",_xlfn.XLOOKUP($K200&amp;"",'NETWORK-DEVICES'!$B$3:$B$987&amp;"",'NETWORK-DEVICES'!$H$3:$H$987,""),"Peripheral",_xlfn.XLOOKUP($K200&amp;"",PERIPHERAL!$B$3:$B$954&amp;"",PERIPHERAL!$H$3:$H$954,""),"Utilities",_xlfn.XLOOKUP($K200&amp;"",UTILITIES!$B$3:$B$953&amp;"",UTILITIES!$G$3:$G$953,""),"IOT",_xlfn.XLOOKUP($K200&amp;"",IOT!$B$3:$B$1012&amp;"",IOT!$H$3:$H$1012,""),"Server",_xlfn.XLOOKUP($K200&amp;"",SERVER!$B$3:$B$1009&amp;"",SERVER!$H$3:$H$1009,""),""),IF(TRIM(_xlpm.srcCat)&lt;&gt;TRIM($J200),"",_xlfn.SWITCH($I200,"Computer",_xlfn.XLOOKUP($K200&amp;"",COMPUTER!$B$3:$B$1009&amp;"",COMPUTER!$K$3:$K$1009,""),"Display",_xlfn.XLOOKUP($K200&amp;"",DISPLAY!$B$3:$B$1000&amp;"",DISPLAY!$L$3:$L$1000,""),"Network Device",_xlfn.XLOOKUP($K200&amp;"",'NETWORK-DEVICES'!$B$3:$B$987&amp;"",'NETWORK-DEVICES'!$K$3:$K$987,""),"Peripheral",_xlfn.XLOOKUP($K200&amp;"",PERIPHERAL!$B$3:$B$954&amp;"",PERIPHERAL!$K$3:$K$954,""),"Utilities",_xlfn.XLOOKUP($K200&amp;"",UTILITIES!$B$3:$B$953&amp;"",UTILITIES!$J$3:$J$953,""),"IOT",_xlfn.XLOOKUP($K200&amp;"",IOT!$B$3:$B$1012&amp;"",IOT!$K$4:$K$1012,""),"Server",_xlfn.XLOOKUP($K200&amp;"",SERVER!$B$3:$B$1009&amp;"",SERVER!$K$3:$K$1009,""),""))))</f>
        <v/>
      </c>
      <c r="O200" s="1" t="str" cm="1">
        <f t="array" ref="O200">IF(OR($K200="",$I200="",$J200=""),"",_xlfn.LET(_xlpm.srcCat,_xlfn.SWITCH($I200,"Computer",_xlfn.XLOOKUP($K200&amp;"",COMPUTER!$B$3:$B$1009&amp;"",COMPUTER!$H$3:$H$1009,""),"Display",_xlfn.XLOOKUP($K200&amp;"",DISPLAY!$B$3:$B$1000&amp;"",DISPLAY!$H$3:$H$1000,""),"Network Device",_xlfn.XLOOKUP($K200&amp;"",'NETWORK-DEVICES'!$B$3:$B$987&amp;"",'NETWORK-DEVICES'!$H$3:$H$987,""),"Peripheral",_xlfn.XLOOKUP($K200&amp;"",PERIPHERAL!$B$3:$B$954&amp;"",PERIPHERAL!$H$3:$H$954,""),"Utilities",_xlfn.XLOOKUP($K200&amp;"",UTILITIES!$B$3:$B$953&amp;"",UTILITIES!$G$3:$G$953,""),"IOT",_xlfn.XLOOKUP($K200&amp;"",IOT!$B$3:$B$1012&amp;"",IOT!$H$3:$H$1012,""),"Server",_xlfn.XLOOKUP($K200&amp;"",SERVER!$B$3:$B$1009&amp;"",SERVER!$H$3:$H$1009,""),""),IF(TRIM(_xlpm.srcCat)&lt;&gt;TRIM($J200),"",_xlfn.SWITCH($I200,"Computer",_xlfn.XLOOKUP($K200&amp;"",COMPUTER!$B$3:$B$1009&amp;"",COMPUTER!$E$3:$E$1009,""),"Display",_xlfn.XLOOKUP($K200&amp;"",DISPLAY!$B$3:$B$1000&amp;"",DISPLAY!$E$3:$E$1000,""),"Network Device",_xlfn.XLOOKUP($K200&amp;"",'NETWORK-DEVICES'!$B$3:$B$987&amp;"",'NETWORK-DEVICES'!$E$3:$E$987,""),"Peripheral",_xlfn.XLOOKUP($K200&amp;"",PERIPHERAL!$B$3:$B$954&amp;"",PERIPHERAL!$E$3:$E$954,""),"Utilities",_xlfn.XLOOKUP($K200&amp;"",UTILITIES!$B$3:$B$953&amp;"",UTILITIES!$E$3:$E$953,""),"IOT",_xlfn.XLOOKUP($K200&amp;"",IOT!$B$3:$B$1012&amp;"",IOT!$E$3:$E$1012,""),"Server",_xlfn.XLOOKUP($K200&amp;"",SERVER!$B$3:$B$1009&amp;"",SERVER!$E$3:$E$1009,""),""))))</f>
        <v/>
      </c>
      <c r="Q200" s="1" t="str" cm="1">
        <f t="array" ref="Q200">IF(OR($K200="",$I200="",$J200=""),"",_xlfn.LET(_xlpm.srcCat,_xlfn.SWITCH($I200,"Computer",_xlfn.XLOOKUP($K200&amp;"",COMPUTER!$B$3:$B$1009&amp;"",COMPUTER!$H$3:$H$1009,""),"Display",_xlfn.XLOOKUP($K200&amp;"",DISPLAY!$B$3:$B$1000&amp;"",DISPLAY!$H$3:$H$1000,""),"Network Device",_xlfn.XLOOKUP($K200&amp;"",'NETWORK-DEVICES'!$B$3:$B$987&amp;"",'NETWORK-DEVICES'!$H$3:$H$987,""),"Peripheral",_xlfn.XLOOKUP($K200&amp;"",PERIPHERAL!$B$3:$B$954&amp;"",PERIPHERAL!$H$3:$H$954,""),"Utilities",_xlfn.XLOOKUP($K200&amp;"",UTILITIES!$B$3:$B$953&amp;"",UTILITIES!$G$3:$G$953,""),"IOT",_xlfn.XLOOKUP($K200&amp;"",IOT!$B$3:$B$1012&amp;"",IOT!$H$3:$H$1012,""),"Server",_xlfn.XLOOKUP($K200&amp;"",SERVER!$B$3:$B$1009&amp;"",SERVER!$H$3:$H$1009,""),""),IF(TRIM(_xlpm.srcCat)&lt;&gt;TRIM($J200),"",_xlfn.SWITCH($I200,"Computer",_xlfn.XLOOKUP($K200&amp;"",COMPUTER!$B$3:$B$1009&amp;"",COMPUTER!$AM$3:$AM$1009,""),"Display",_xlfn.XLOOKUP($K200&amp;"",DISPLAY!$B$3:$B$1000&amp;"",DISPLAY!$V$3:$V$1000,""),"Network Device",_xlfn.XLOOKUP($K200&amp;"",'NETWORK-DEVICES'!$B$3:$B$987&amp;"",'NETWORK-DEVICES'!$AF$3:$AF$987,""),"Peripheral",_xlfn.XLOOKUP($K200&amp;"",PERIPHERAL!$B$3:$B$954&amp;"",PERIPHERAL!$Y$3:$Y$954,""),"Utilities",_xlfn.XLOOKUP($K200&amp;"",UTILITIES!$B$3:$B$953&amp;"",UTILITIES!$O$3:$O$953,""),"IOT",_xlfn.XLOOKUP($K200&amp;"",IOT!$B$3:$B$1012&amp;"",IOT!$AB$3:$AB$1012,""),"Server",_xlfn.XLOOKUP($K200&amp;"",SERVER!$B$3:$B$1009&amp;"",SERVER!$AB$3:$AB$1009,""),""))))</f>
        <v/>
      </c>
      <c r="R200" s="43" t="str">
        <f>IF(tbl_handover[[#This Row],[Asset Code]]="","",COUNTIF(tbl_handover[Asset Code],tbl_handover[[#This Row],[Asset Code]]))</f>
        <v/>
      </c>
    </row>
    <row r="201" spans="1:18" x14ac:dyDescent="0.25">
      <c r="A201" s="43" t="str">
        <f>IF(B201&lt;&gt;"",SUBTOTAL(3,$B$1:B200),"")</f>
        <v/>
      </c>
      <c r="C201" s="74"/>
      <c r="D201" s="74"/>
      <c r="G201" s="1"/>
      <c r="K201" s="42"/>
      <c r="L201" t="str" cm="1">
        <f t="array" ref="L201">IF($K201="","",_xlfn.SWITCH($I201,"Computer",_xlfn.XLOOKUP($K201&amp;"",COMPUTER!$B$3:$B$1009&amp;"",COMPUTER!$I$3:$I$1009,""),"Display",_xlfn.XLOOKUP($K201&amp;"",DISPLAY!$B$3:$B$1000&amp;"",DISPLAY!$J$3:$J$1000,""),"Network Device",_xlfn.XLOOKUP($K201&amp;"",'NETWORK-DEVICES'!$B$3:$B$987&amp;"",'NETWORK-DEVICES'!$I$3:$I$987,""),"Peripheral",_xlfn.XLOOKUP($K201&amp;"",PERIPHERAL!$B$3:$B$954&amp;"",PERIPHERAL!$I$3:$I$954,""),"Utilities",_xlfn.XLOOKUP($K201&amp;"",UTILITIES!$B$3:$B$953&amp;"",UTILITIES!$H$3:$H$953,""),"IOT",_xlfn.XLOOKUP($K201&amp;"",IOT!$B$3:$B$1012&amp;"",IOT!$I$3:$I$1012,""),"SERVER",_xlfn.XLOOKUP($K201&amp;"",SERVER!$B$3:$B$1009&amp;"",SERVER!$I$3:$I$1009,""),""))</f>
        <v/>
      </c>
      <c r="M201" t="str" cm="1">
        <f t="array" ref="M201">IF($K201="","",_xlfn.SWITCH($I201,"Computer",_xlfn.XLOOKUP($K201&amp;"",COMPUTER!$B$3:$B$1009&amp;"",COMPUTER!$J$3:$J$1009,""),"Display",_xlfn.XLOOKUP($K201&amp;"",DISPLAY!$B$3:$B$1000&amp;"",DISPLAY!$K$3:$K$1000,""),"Network Device",_xlfn.XLOOKUP($K201&amp;"",'NETWORK-DEVICES'!$B$3:$B$987&amp;"",'NETWORK-DEVICES'!$I$3:$I$987,""),"Peripheral",_xlfn.XLOOKUP($K201&amp;"",PERIPHERAL!$B$3:$B$954&amp;"",PERIPHERAL!$J$3:$J$954,""),"Utilities",_xlfn.XLOOKUP($K201&amp;"",UTILITIES!$B$3:$B$953&amp;"",UTILITIES!$I$3:$I$953,""),"IOT",_xlfn.XLOOKUP($K201&amp;"",IOT!$B$3:$B$1012&amp;"",IOT!$J$3:$J$1012,""),"Server",_xlfn.XLOOKUP($K201&amp;"",SERVER!$B$3:$B$1009&amp;"",SERVER!$J$3:$J$1009,""),""))</f>
        <v/>
      </c>
      <c r="N201" s="1" t="str" cm="1">
        <f t="array" ref="N201">IF(OR($K201="",$I201="",$J201=""),"",_xlfn.LET(_xlpm.srcCat,_xlfn.SWITCH($I201,"Computer",_xlfn.XLOOKUP($K201&amp;"",COMPUTER!$B$3:$B$1009&amp;"",COMPUTER!$H$3:$H$1009,""),"Display",_xlfn.XLOOKUP($K201&amp;"",DISPLAY!$B$3:$B$1000&amp;"",DISPLAY!$H$3:$H$1000,""),"Network Device",_xlfn.XLOOKUP($K201&amp;"",'NETWORK-DEVICES'!$B$3:$B$987&amp;"",'NETWORK-DEVICES'!$H$3:$H$987,""),"Peripheral",_xlfn.XLOOKUP($K201&amp;"",PERIPHERAL!$B$3:$B$954&amp;"",PERIPHERAL!$H$3:$H$954,""),"Utilities",_xlfn.XLOOKUP($K201&amp;"",UTILITIES!$B$3:$B$953&amp;"",UTILITIES!$G$3:$G$953,""),"IOT",_xlfn.XLOOKUP($K201&amp;"",IOT!$B$3:$B$1012&amp;"",IOT!$H$3:$H$1012,""),"Server",_xlfn.XLOOKUP($K201&amp;"",SERVER!$B$3:$B$1009&amp;"",SERVER!$H$3:$H$1009,""),""),IF(TRIM(_xlpm.srcCat)&lt;&gt;TRIM($J201),"",_xlfn.SWITCH($I201,"Computer",_xlfn.XLOOKUP($K201&amp;"",COMPUTER!$B$3:$B$1009&amp;"",COMPUTER!$K$3:$K$1009,""),"Display",_xlfn.XLOOKUP($K201&amp;"",DISPLAY!$B$3:$B$1000&amp;"",DISPLAY!$L$3:$L$1000,""),"Network Device",_xlfn.XLOOKUP($K201&amp;"",'NETWORK-DEVICES'!$B$3:$B$987&amp;"",'NETWORK-DEVICES'!$K$3:$K$987,""),"Peripheral",_xlfn.XLOOKUP($K201&amp;"",PERIPHERAL!$B$3:$B$954&amp;"",PERIPHERAL!$K$3:$K$954,""),"Utilities",_xlfn.XLOOKUP($K201&amp;"",UTILITIES!$B$3:$B$953&amp;"",UTILITIES!$J$3:$J$953,""),"IOT",_xlfn.XLOOKUP($K201&amp;"",IOT!$B$3:$B$1012&amp;"",IOT!$K$4:$K$1012,""),"Server",_xlfn.XLOOKUP($K201&amp;"",SERVER!$B$3:$B$1009&amp;"",SERVER!$K$3:$K$1009,""),""))))</f>
        <v/>
      </c>
      <c r="O201" s="1" t="str" cm="1">
        <f t="array" ref="O201">IF(OR($K201="",$I201="",$J201=""),"",_xlfn.LET(_xlpm.srcCat,_xlfn.SWITCH($I201,"Computer",_xlfn.XLOOKUP($K201&amp;"",COMPUTER!$B$3:$B$1009&amp;"",COMPUTER!$H$3:$H$1009,""),"Display",_xlfn.XLOOKUP($K201&amp;"",DISPLAY!$B$3:$B$1000&amp;"",DISPLAY!$H$3:$H$1000,""),"Network Device",_xlfn.XLOOKUP($K201&amp;"",'NETWORK-DEVICES'!$B$3:$B$987&amp;"",'NETWORK-DEVICES'!$H$3:$H$987,""),"Peripheral",_xlfn.XLOOKUP($K201&amp;"",PERIPHERAL!$B$3:$B$954&amp;"",PERIPHERAL!$H$3:$H$954,""),"Utilities",_xlfn.XLOOKUP($K201&amp;"",UTILITIES!$B$3:$B$953&amp;"",UTILITIES!$G$3:$G$953,""),"IOT",_xlfn.XLOOKUP($K201&amp;"",IOT!$B$3:$B$1012&amp;"",IOT!$H$3:$H$1012,""),"Server",_xlfn.XLOOKUP($K201&amp;"",SERVER!$B$3:$B$1009&amp;"",SERVER!$H$3:$H$1009,""),""),IF(TRIM(_xlpm.srcCat)&lt;&gt;TRIM($J201),"",_xlfn.SWITCH($I201,"Computer",_xlfn.XLOOKUP($K201&amp;"",COMPUTER!$B$3:$B$1009&amp;"",COMPUTER!$E$3:$E$1009,""),"Display",_xlfn.XLOOKUP($K201&amp;"",DISPLAY!$B$3:$B$1000&amp;"",DISPLAY!$E$3:$E$1000,""),"Network Device",_xlfn.XLOOKUP($K201&amp;"",'NETWORK-DEVICES'!$B$3:$B$987&amp;"",'NETWORK-DEVICES'!$E$3:$E$987,""),"Peripheral",_xlfn.XLOOKUP($K201&amp;"",PERIPHERAL!$B$3:$B$954&amp;"",PERIPHERAL!$E$3:$E$954,""),"Utilities",_xlfn.XLOOKUP($K201&amp;"",UTILITIES!$B$3:$B$953&amp;"",UTILITIES!$E$3:$E$953,""),"IOT",_xlfn.XLOOKUP($K201&amp;"",IOT!$B$3:$B$1012&amp;"",IOT!$E$3:$E$1012,""),"Server",_xlfn.XLOOKUP($K201&amp;"",SERVER!$B$3:$B$1009&amp;"",SERVER!$E$3:$E$1009,""),""))))</f>
        <v/>
      </c>
      <c r="Q201" s="1" t="str" cm="1">
        <f t="array" ref="Q201">IF(OR($K201="",$I201="",$J201=""),"",_xlfn.LET(_xlpm.srcCat,_xlfn.SWITCH($I201,"Computer",_xlfn.XLOOKUP($K201&amp;"",COMPUTER!$B$3:$B$1009&amp;"",COMPUTER!$H$3:$H$1009,""),"Display",_xlfn.XLOOKUP($K201&amp;"",DISPLAY!$B$3:$B$1000&amp;"",DISPLAY!$H$3:$H$1000,""),"Network Device",_xlfn.XLOOKUP($K201&amp;"",'NETWORK-DEVICES'!$B$3:$B$987&amp;"",'NETWORK-DEVICES'!$H$3:$H$987,""),"Peripheral",_xlfn.XLOOKUP($K201&amp;"",PERIPHERAL!$B$3:$B$954&amp;"",PERIPHERAL!$H$3:$H$954,""),"Utilities",_xlfn.XLOOKUP($K201&amp;"",UTILITIES!$B$3:$B$953&amp;"",UTILITIES!$G$3:$G$953,""),"IOT",_xlfn.XLOOKUP($K201&amp;"",IOT!$B$3:$B$1012&amp;"",IOT!$H$3:$H$1012,""),"Server",_xlfn.XLOOKUP($K201&amp;"",SERVER!$B$3:$B$1009&amp;"",SERVER!$H$3:$H$1009,""),""),IF(TRIM(_xlpm.srcCat)&lt;&gt;TRIM($J201),"",_xlfn.SWITCH($I201,"Computer",_xlfn.XLOOKUP($K201&amp;"",COMPUTER!$B$3:$B$1009&amp;"",COMPUTER!$AM$3:$AM$1009,""),"Display",_xlfn.XLOOKUP($K201&amp;"",DISPLAY!$B$3:$B$1000&amp;"",DISPLAY!$V$3:$V$1000,""),"Network Device",_xlfn.XLOOKUP($K201&amp;"",'NETWORK-DEVICES'!$B$3:$B$987&amp;"",'NETWORK-DEVICES'!$AF$3:$AF$987,""),"Peripheral",_xlfn.XLOOKUP($K201&amp;"",PERIPHERAL!$B$3:$B$954&amp;"",PERIPHERAL!$Y$3:$Y$954,""),"Utilities",_xlfn.XLOOKUP($K201&amp;"",UTILITIES!$B$3:$B$953&amp;"",UTILITIES!$O$3:$O$953,""),"IOT",_xlfn.XLOOKUP($K201&amp;"",IOT!$B$3:$B$1012&amp;"",IOT!$AB$3:$AB$1012,""),"Server",_xlfn.XLOOKUP($K201&amp;"",SERVER!$B$3:$B$1009&amp;"",SERVER!$AB$3:$AB$1009,""),""))))</f>
        <v/>
      </c>
      <c r="R201" s="43" t="str">
        <f>IF(tbl_handover[[#This Row],[Asset Code]]="","",COUNTIF(tbl_handover[Asset Code],tbl_handover[[#This Row],[Asset Code]]))</f>
        <v/>
      </c>
    </row>
    <row r="202" spans="1:18" x14ac:dyDescent="0.25">
      <c r="A202" s="43" t="str">
        <f>IF(B202&lt;&gt;"",SUBTOTAL(3,$B$1:B201),"")</f>
        <v/>
      </c>
      <c r="C202" s="74"/>
      <c r="D202" s="74"/>
      <c r="G202" s="1"/>
      <c r="K202" s="42"/>
      <c r="L202" t="str" cm="1">
        <f t="array" ref="L202">IF($K202="","",_xlfn.SWITCH($I202,"Computer",_xlfn.XLOOKUP($K202&amp;"",COMPUTER!$B$3:$B$1009&amp;"",COMPUTER!$I$3:$I$1009,""),"Display",_xlfn.XLOOKUP($K202&amp;"",DISPLAY!$B$3:$B$1000&amp;"",DISPLAY!$J$3:$J$1000,""),"Network Device",_xlfn.XLOOKUP($K202&amp;"",'NETWORK-DEVICES'!$B$3:$B$987&amp;"",'NETWORK-DEVICES'!$I$3:$I$987,""),"Peripheral",_xlfn.XLOOKUP($K202&amp;"",PERIPHERAL!$B$3:$B$954&amp;"",PERIPHERAL!$I$3:$I$954,""),"Utilities",_xlfn.XLOOKUP($K202&amp;"",UTILITIES!$B$3:$B$953&amp;"",UTILITIES!$H$3:$H$953,""),"IOT",_xlfn.XLOOKUP($K202&amp;"",IOT!$B$3:$B$1012&amp;"",IOT!$I$3:$I$1012,""),"SERVER",_xlfn.XLOOKUP($K202&amp;"",SERVER!$B$3:$B$1009&amp;"",SERVER!$I$3:$I$1009,""),""))</f>
        <v/>
      </c>
      <c r="M202" t="str" cm="1">
        <f t="array" ref="M202">IF($K202="","",_xlfn.SWITCH($I202,"Computer",_xlfn.XLOOKUP($K202&amp;"",COMPUTER!$B$3:$B$1009&amp;"",COMPUTER!$J$3:$J$1009,""),"Display",_xlfn.XLOOKUP($K202&amp;"",DISPLAY!$B$3:$B$1000&amp;"",DISPLAY!$K$3:$K$1000,""),"Network Device",_xlfn.XLOOKUP($K202&amp;"",'NETWORK-DEVICES'!$B$3:$B$987&amp;"",'NETWORK-DEVICES'!$I$3:$I$987,""),"Peripheral",_xlfn.XLOOKUP($K202&amp;"",PERIPHERAL!$B$3:$B$954&amp;"",PERIPHERAL!$J$3:$J$954,""),"Utilities",_xlfn.XLOOKUP($K202&amp;"",UTILITIES!$B$3:$B$953&amp;"",UTILITIES!$I$3:$I$953,""),"IOT",_xlfn.XLOOKUP($K202&amp;"",IOT!$B$3:$B$1012&amp;"",IOT!$J$3:$J$1012,""),"Server",_xlfn.XLOOKUP($K202&amp;"",SERVER!$B$3:$B$1009&amp;"",SERVER!$J$3:$J$1009,""),""))</f>
        <v/>
      </c>
      <c r="N202" s="1" t="str" cm="1">
        <f t="array" ref="N202">IF(OR($K202="",$I202="",$J202=""),"",_xlfn.LET(_xlpm.srcCat,_xlfn.SWITCH($I202,"Computer",_xlfn.XLOOKUP($K202&amp;"",COMPUTER!$B$3:$B$1009&amp;"",COMPUTER!$H$3:$H$1009,""),"Display",_xlfn.XLOOKUP($K202&amp;"",DISPLAY!$B$3:$B$1000&amp;"",DISPLAY!$H$3:$H$1000,""),"Network Device",_xlfn.XLOOKUP($K202&amp;"",'NETWORK-DEVICES'!$B$3:$B$987&amp;"",'NETWORK-DEVICES'!$H$3:$H$987,""),"Peripheral",_xlfn.XLOOKUP($K202&amp;"",PERIPHERAL!$B$3:$B$954&amp;"",PERIPHERAL!$H$3:$H$954,""),"Utilities",_xlfn.XLOOKUP($K202&amp;"",UTILITIES!$B$3:$B$953&amp;"",UTILITIES!$G$3:$G$953,""),"IOT",_xlfn.XLOOKUP($K202&amp;"",IOT!$B$3:$B$1012&amp;"",IOT!$H$3:$H$1012,""),"Server",_xlfn.XLOOKUP($K202&amp;"",SERVER!$B$3:$B$1009&amp;"",SERVER!$H$3:$H$1009,""),""),IF(TRIM(_xlpm.srcCat)&lt;&gt;TRIM($J202),"",_xlfn.SWITCH($I202,"Computer",_xlfn.XLOOKUP($K202&amp;"",COMPUTER!$B$3:$B$1009&amp;"",COMPUTER!$K$3:$K$1009,""),"Display",_xlfn.XLOOKUP($K202&amp;"",DISPLAY!$B$3:$B$1000&amp;"",DISPLAY!$L$3:$L$1000,""),"Network Device",_xlfn.XLOOKUP($K202&amp;"",'NETWORK-DEVICES'!$B$3:$B$987&amp;"",'NETWORK-DEVICES'!$K$3:$K$987,""),"Peripheral",_xlfn.XLOOKUP($K202&amp;"",PERIPHERAL!$B$3:$B$954&amp;"",PERIPHERAL!$K$3:$K$954,""),"Utilities",_xlfn.XLOOKUP($K202&amp;"",UTILITIES!$B$3:$B$953&amp;"",UTILITIES!$J$3:$J$953,""),"IOT",_xlfn.XLOOKUP($K202&amp;"",IOT!$B$3:$B$1012&amp;"",IOT!$K$4:$K$1012,""),"Server",_xlfn.XLOOKUP($K202&amp;"",SERVER!$B$3:$B$1009&amp;"",SERVER!$K$3:$K$1009,""),""))))</f>
        <v/>
      </c>
      <c r="O202" s="1" t="str" cm="1">
        <f t="array" ref="O202">IF(OR($K202="",$I202="",$J202=""),"",_xlfn.LET(_xlpm.srcCat,_xlfn.SWITCH($I202,"Computer",_xlfn.XLOOKUP($K202&amp;"",COMPUTER!$B$3:$B$1009&amp;"",COMPUTER!$H$3:$H$1009,""),"Display",_xlfn.XLOOKUP($K202&amp;"",DISPLAY!$B$3:$B$1000&amp;"",DISPLAY!$H$3:$H$1000,""),"Network Device",_xlfn.XLOOKUP($K202&amp;"",'NETWORK-DEVICES'!$B$3:$B$987&amp;"",'NETWORK-DEVICES'!$H$3:$H$987,""),"Peripheral",_xlfn.XLOOKUP($K202&amp;"",PERIPHERAL!$B$3:$B$954&amp;"",PERIPHERAL!$H$3:$H$954,""),"Utilities",_xlfn.XLOOKUP($K202&amp;"",UTILITIES!$B$3:$B$953&amp;"",UTILITIES!$G$3:$G$953,""),"IOT",_xlfn.XLOOKUP($K202&amp;"",IOT!$B$3:$B$1012&amp;"",IOT!$H$3:$H$1012,""),"Server",_xlfn.XLOOKUP($K202&amp;"",SERVER!$B$3:$B$1009&amp;"",SERVER!$H$3:$H$1009,""),""),IF(TRIM(_xlpm.srcCat)&lt;&gt;TRIM($J202),"",_xlfn.SWITCH($I202,"Computer",_xlfn.XLOOKUP($K202&amp;"",COMPUTER!$B$3:$B$1009&amp;"",COMPUTER!$E$3:$E$1009,""),"Display",_xlfn.XLOOKUP($K202&amp;"",DISPLAY!$B$3:$B$1000&amp;"",DISPLAY!$E$3:$E$1000,""),"Network Device",_xlfn.XLOOKUP($K202&amp;"",'NETWORK-DEVICES'!$B$3:$B$987&amp;"",'NETWORK-DEVICES'!$E$3:$E$987,""),"Peripheral",_xlfn.XLOOKUP($K202&amp;"",PERIPHERAL!$B$3:$B$954&amp;"",PERIPHERAL!$E$3:$E$954,""),"Utilities",_xlfn.XLOOKUP($K202&amp;"",UTILITIES!$B$3:$B$953&amp;"",UTILITIES!$E$3:$E$953,""),"IOT",_xlfn.XLOOKUP($K202&amp;"",IOT!$B$3:$B$1012&amp;"",IOT!$E$3:$E$1012,""),"Server",_xlfn.XLOOKUP($K202&amp;"",SERVER!$B$3:$B$1009&amp;"",SERVER!$E$3:$E$1009,""),""))))</f>
        <v/>
      </c>
      <c r="Q202" s="1" t="str" cm="1">
        <f t="array" ref="Q202">IF(OR($K202="",$I202="",$J202=""),"",_xlfn.LET(_xlpm.srcCat,_xlfn.SWITCH($I202,"Computer",_xlfn.XLOOKUP($K202&amp;"",COMPUTER!$B$3:$B$1009&amp;"",COMPUTER!$H$3:$H$1009,""),"Display",_xlfn.XLOOKUP($K202&amp;"",DISPLAY!$B$3:$B$1000&amp;"",DISPLAY!$H$3:$H$1000,""),"Network Device",_xlfn.XLOOKUP($K202&amp;"",'NETWORK-DEVICES'!$B$3:$B$987&amp;"",'NETWORK-DEVICES'!$H$3:$H$987,""),"Peripheral",_xlfn.XLOOKUP($K202&amp;"",PERIPHERAL!$B$3:$B$954&amp;"",PERIPHERAL!$H$3:$H$954,""),"Utilities",_xlfn.XLOOKUP($K202&amp;"",UTILITIES!$B$3:$B$953&amp;"",UTILITIES!$G$3:$G$953,""),"IOT",_xlfn.XLOOKUP($K202&amp;"",IOT!$B$3:$B$1012&amp;"",IOT!$H$3:$H$1012,""),"Server",_xlfn.XLOOKUP($K202&amp;"",SERVER!$B$3:$B$1009&amp;"",SERVER!$H$3:$H$1009,""),""),IF(TRIM(_xlpm.srcCat)&lt;&gt;TRIM($J202),"",_xlfn.SWITCH($I202,"Computer",_xlfn.XLOOKUP($K202&amp;"",COMPUTER!$B$3:$B$1009&amp;"",COMPUTER!$AM$3:$AM$1009,""),"Display",_xlfn.XLOOKUP($K202&amp;"",DISPLAY!$B$3:$B$1000&amp;"",DISPLAY!$V$3:$V$1000,""),"Network Device",_xlfn.XLOOKUP($K202&amp;"",'NETWORK-DEVICES'!$B$3:$B$987&amp;"",'NETWORK-DEVICES'!$AF$3:$AF$987,""),"Peripheral",_xlfn.XLOOKUP($K202&amp;"",PERIPHERAL!$B$3:$B$954&amp;"",PERIPHERAL!$Y$3:$Y$954,""),"Utilities",_xlfn.XLOOKUP($K202&amp;"",UTILITIES!$B$3:$B$953&amp;"",UTILITIES!$O$3:$O$953,""),"IOT",_xlfn.XLOOKUP($K202&amp;"",IOT!$B$3:$B$1012&amp;"",IOT!$AB$3:$AB$1012,""),"Server",_xlfn.XLOOKUP($K202&amp;"",SERVER!$B$3:$B$1009&amp;"",SERVER!$AB$3:$AB$1009,""),""))))</f>
        <v/>
      </c>
      <c r="R202" s="43" t="str">
        <f>IF(tbl_handover[[#This Row],[Asset Code]]="","",COUNTIF(tbl_handover[Asset Code],tbl_handover[[#This Row],[Asset Code]]))</f>
        <v/>
      </c>
    </row>
    <row r="203" spans="1:18" x14ac:dyDescent="0.25">
      <c r="A203" s="43" t="str">
        <f>IF(B203&lt;&gt;"",SUBTOTAL(3,$B$1:B202),"")</f>
        <v/>
      </c>
      <c r="C203" s="74"/>
      <c r="D203" s="74"/>
      <c r="G203" s="1"/>
      <c r="K203" s="42"/>
      <c r="L203" t="str" cm="1">
        <f t="array" ref="L203">IF($K203="","",_xlfn.SWITCH($I203,"Computer",_xlfn.XLOOKUP($K203&amp;"",COMPUTER!$B$3:$B$1009&amp;"",COMPUTER!$I$3:$I$1009,""),"Display",_xlfn.XLOOKUP($K203&amp;"",DISPLAY!$B$3:$B$1000&amp;"",DISPLAY!$J$3:$J$1000,""),"Network Device",_xlfn.XLOOKUP($K203&amp;"",'NETWORK-DEVICES'!$B$3:$B$987&amp;"",'NETWORK-DEVICES'!$I$3:$I$987,""),"Peripheral",_xlfn.XLOOKUP($K203&amp;"",PERIPHERAL!$B$3:$B$954&amp;"",PERIPHERAL!$I$3:$I$954,""),"Utilities",_xlfn.XLOOKUP($K203&amp;"",UTILITIES!$B$3:$B$953&amp;"",UTILITIES!$H$3:$H$953,""),"IOT",_xlfn.XLOOKUP($K203&amp;"",IOT!$B$3:$B$1012&amp;"",IOT!$I$3:$I$1012,""),"SERVER",_xlfn.XLOOKUP($K203&amp;"",SERVER!$B$3:$B$1009&amp;"",SERVER!$I$3:$I$1009,""),""))</f>
        <v/>
      </c>
      <c r="M203" t="str" cm="1">
        <f t="array" ref="M203">IF($K203="","",_xlfn.SWITCH($I203,"Computer",_xlfn.XLOOKUP($K203&amp;"",COMPUTER!$B$3:$B$1009&amp;"",COMPUTER!$J$3:$J$1009,""),"Display",_xlfn.XLOOKUP($K203&amp;"",DISPLAY!$B$3:$B$1000&amp;"",DISPLAY!$K$3:$K$1000,""),"Network Device",_xlfn.XLOOKUP($K203&amp;"",'NETWORK-DEVICES'!$B$3:$B$987&amp;"",'NETWORK-DEVICES'!$I$3:$I$987,""),"Peripheral",_xlfn.XLOOKUP($K203&amp;"",PERIPHERAL!$B$3:$B$954&amp;"",PERIPHERAL!$J$3:$J$954,""),"Utilities",_xlfn.XLOOKUP($K203&amp;"",UTILITIES!$B$3:$B$953&amp;"",UTILITIES!$I$3:$I$953,""),"IOT",_xlfn.XLOOKUP($K203&amp;"",IOT!$B$3:$B$1012&amp;"",IOT!$J$3:$J$1012,""),"Server",_xlfn.XLOOKUP($K203&amp;"",SERVER!$B$3:$B$1009&amp;"",SERVER!$J$3:$J$1009,""),""))</f>
        <v/>
      </c>
      <c r="N203" s="1" t="str" cm="1">
        <f t="array" ref="N203">IF(OR($K203="",$I203="",$J203=""),"",_xlfn.LET(_xlpm.srcCat,_xlfn.SWITCH($I203,"Computer",_xlfn.XLOOKUP($K203&amp;"",COMPUTER!$B$3:$B$1009&amp;"",COMPUTER!$H$3:$H$1009,""),"Display",_xlfn.XLOOKUP($K203&amp;"",DISPLAY!$B$3:$B$1000&amp;"",DISPLAY!$H$3:$H$1000,""),"Network Device",_xlfn.XLOOKUP($K203&amp;"",'NETWORK-DEVICES'!$B$3:$B$987&amp;"",'NETWORK-DEVICES'!$H$3:$H$987,""),"Peripheral",_xlfn.XLOOKUP($K203&amp;"",PERIPHERAL!$B$3:$B$954&amp;"",PERIPHERAL!$H$3:$H$954,""),"Utilities",_xlfn.XLOOKUP($K203&amp;"",UTILITIES!$B$3:$B$953&amp;"",UTILITIES!$G$3:$G$953,""),"IOT",_xlfn.XLOOKUP($K203&amp;"",IOT!$B$3:$B$1012&amp;"",IOT!$H$3:$H$1012,""),"Server",_xlfn.XLOOKUP($K203&amp;"",SERVER!$B$3:$B$1009&amp;"",SERVER!$H$3:$H$1009,""),""),IF(TRIM(_xlpm.srcCat)&lt;&gt;TRIM($J203),"",_xlfn.SWITCH($I203,"Computer",_xlfn.XLOOKUP($K203&amp;"",COMPUTER!$B$3:$B$1009&amp;"",COMPUTER!$K$3:$K$1009,""),"Display",_xlfn.XLOOKUP($K203&amp;"",DISPLAY!$B$3:$B$1000&amp;"",DISPLAY!$L$3:$L$1000,""),"Network Device",_xlfn.XLOOKUP($K203&amp;"",'NETWORK-DEVICES'!$B$3:$B$987&amp;"",'NETWORK-DEVICES'!$K$3:$K$987,""),"Peripheral",_xlfn.XLOOKUP($K203&amp;"",PERIPHERAL!$B$3:$B$954&amp;"",PERIPHERAL!$K$3:$K$954,""),"Utilities",_xlfn.XLOOKUP($K203&amp;"",UTILITIES!$B$3:$B$953&amp;"",UTILITIES!$J$3:$J$953,""),"IOT",_xlfn.XLOOKUP($K203&amp;"",IOT!$B$3:$B$1012&amp;"",IOT!$K$4:$K$1012,""),"Server",_xlfn.XLOOKUP($K203&amp;"",SERVER!$B$3:$B$1009&amp;"",SERVER!$K$3:$K$1009,""),""))))</f>
        <v/>
      </c>
      <c r="O203" s="1" t="str" cm="1">
        <f t="array" ref="O203">IF(OR($K203="",$I203="",$J203=""),"",_xlfn.LET(_xlpm.srcCat,_xlfn.SWITCH($I203,"Computer",_xlfn.XLOOKUP($K203&amp;"",COMPUTER!$B$3:$B$1009&amp;"",COMPUTER!$H$3:$H$1009,""),"Display",_xlfn.XLOOKUP($K203&amp;"",DISPLAY!$B$3:$B$1000&amp;"",DISPLAY!$H$3:$H$1000,""),"Network Device",_xlfn.XLOOKUP($K203&amp;"",'NETWORK-DEVICES'!$B$3:$B$987&amp;"",'NETWORK-DEVICES'!$H$3:$H$987,""),"Peripheral",_xlfn.XLOOKUP($K203&amp;"",PERIPHERAL!$B$3:$B$954&amp;"",PERIPHERAL!$H$3:$H$954,""),"Utilities",_xlfn.XLOOKUP($K203&amp;"",UTILITIES!$B$3:$B$953&amp;"",UTILITIES!$G$3:$G$953,""),"IOT",_xlfn.XLOOKUP($K203&amp;"",IOT!$B$3:$B$1012&amp;"",IOT!$H$3:$H$1012,""),"Server",_xlfn.XLOOKUP($K203&amp;"",SERVER!$B$3:$B$1009&amp;"",SERVER!$H$3:$H$1009,""),""),IF(TRIM(_xlpm.srcCat)&lt;&gt;TRIM($J203),"",_xlfn.SWITCH($I203,"Computer",_xlfn.XLOOKUP($K203&amp;"",COMPUTER!$B$3:$B$1009&amp;"",COMPUTER!$E$3:$E$1009,""),"Display",_xlfn.XLOOKUP($K203&amp;"",DISPLAY!$B$3:$B$1000&amp;"",DISPLAY!$E$3:$E$1000,""),"Network Device",_xlfn.XLOOKUP($K203&amp;"",'NETWORK-DEVICES'!$B$3:$B$987&amp;"",'NETWORK-DEVICES'!$E$3:$E$987,""),"Peripheral",_xlfn.XLOOKUP($K203&amp;"",PERIPHERAL!$B$3:$B$954&amp;"",PERIPHERAL!$E$3:$E$954,""),"Utilities",_xlfn.XLOOKUP($K203&amp;"",UTILITIES!$B$3:$B$953&amp;"",UTILITIES!$E$3:$E$953,""),"IOT",_xlfn.XLOOKUP($K203&amp;"",IOT!$B$3:$B$1012&amp;"",IOT!$E$3:$E$1012,""),"Server",_xlfn.XLOOKUP($K203&amp;"",SERVER!$B$3:$B$1009&amp;"",SERVER!$E$3:$E$1009,""),""))))</f>
        <v/>
      </c>
      <c r="Q203" s="1" t="str" cm="1">
        <f t="array" ref="Q203">IF(OR($K203="",$I203="",$J203=""),"",_xlfn.LET(_xlpm.srcCat,_xlfn.SWITCH($I203,"Computer",_xlfn.XLOOKUP($K203&amp;"",COMPUTER!$B$3:$B$1009&amp;"",COMPUTER!$H$3:$H$1009,""),"Display",_xlfn.XLOOKUP($K203&amp;"",DISPLAY!$B$3:$B$1000&amp;"",DISPLAY!$H$3:$H$1000,""),"Network Device",_xlfn.XLOOKUP($K203&amp;"",'NETWORK-DEVICES'!$B$3:$B$987&amp;"",'NETWORK-DEVICES'!$H$3:$H$987,""),"Peripheral",_xlfn.XLOOKUP($K203&amp;"",PERIPHERAL!$B$3:$B$954&amp;"",PERIPHERAL!$H$3:$H$954,""),"Utilities",_xlfn.XLOOKUP($K203&amp;"",UTILITIES!$B$3:$B$953&amp;"",UTILITIES!$G$3:$G$953,""),"IOT",_xlfn.XLOOKUP($K203&amp;"",IOT!$B$3:$B$1012&amp;"",IOT!$H$3:$H$1012,""),"Server",_xlfn.XLOOKUP($K203&amp;"",SERVER!$B$3:$B$1009&amp;"",SERVER!$H$3:$H$1009,""),""),IF(TRIM(_xlpm.srcCat)&lt;&gt;TRIM($J203),"",_xlfn.SWITCH($I203,"Computer",_xlfn.XLOOKUP($K203&amp;"",COMPUTER!$B$3:$B$1009&amp;"",COMPUTER!$AM$3:$AM$1009,""),"Display",_xlfn.XLOOKUP($K203&amp;"",DISPLAY!$B$3:$B$1000&amp;"",DISPLAY!$V$3:$V$1000,""),"Network Device",_xlfn.XLOOKUP($K203&amp;"",'NETWORK-DEVICES'!$B$3:$B$987&amp;"",'NETWORK-DEVICES'!$AF$3:$AF$987,""),"Peripheral",_xlfn.XLOOKUP($K203&amp;"",PERIPHERAL!$B$3:$B$954&amp;"",PERIPHERAL!$Y$3:$Y$954,""),"Utilities",_xlfn.XLOOKUP($K203&amp;"",UTILITIES!$B$3:$B$953&amp;"",UTILITIES!$O$3:$O$953,""),"IOT",_xlfn.XLOOKUP($K203&amp;"",IOT!$B$3:$B$1012&amp;"",IOT!$AB$3:$AB$1012,""),"Server",_xlfn.XLOOKUP($K203&amp;"",SERVER!$B$3:$B$1009&amp;"",SERVER!$AB$3:$AB$1009,""),""))))</f>
        <v/>
      </c>
      <c r="R203" s="43" t="str">
        <f>IF(tbl_handover[[#This Row],[Asset Code]]="","",COUNTIF(tbl_handover[Asset Code],tbl_handover[[#This Row],[Asset Code]]))</f>
        <v/>
      </c>
    </row>
    <row r="204" spans="1:18" x14ac:dyDescent="0.25">
      <c r="A204" s="43" t="str">
        <f>IF(B204&lt;&gt;"",SUBTOTAL(3,$B$1:B203),"")</f>
        <v/>
      </c>
      <c r="C204" s="74"/>
      <c r="D204" s="74"/>
      <c r="G204" s="1"/>
      <c r="K204" s="42"/>
      <c r="L204" t="str" cm="1">
        <f t="array" ref="L204">IF($K204="","",_xlfn.SWITCH($I204,"Computer",_xlfn.XLOOKUP($K204&amp;"",COMPUTER!$B$3:$B$1009&amp;"",COMPUTER!$I$3:$I$1009,""),"Display",_xlfn.XLOOKUP($K204&amp;"",DISPLAY!$B$3:$B$1000&amp;"",DISPLAY!$J$3:$J$1000,""),"Network Device",_xlfn.XLOOKUP($K204&amp;"",'NETWORK-DEVICES'!$B$3:$B$987&amp;"",'NETWORK-DEVICES'!$I$3:$I$987,""),"Peripheral",_xlfn.XLOOKUP($K204&amp;"",PERIPHERAL!$B$3:$B$954&amp;"",PERIPHERAL!$I$3:$I$954,""),"Utilities",_xlfn.XLOOKUP($K204&amp;"",UTILITIES!$B$3:$B$953&amp;"",UTILITIES!$H$3:$H$953,""),"IOT",_xlfn.XLOOKUP($K204&amp;"",IOT!$B$3:$B$1012&amp;"",IOT!$I$3:$I$1012,""),"SERVER",_xlfn.XLOOKUP($K204&amp;"",SERVER!$B$3:$B$1009&amp;"",SERVER!$I$3:$I$1009,""),""))</f>
        <v/>
      </c>
      <c r="M204" t="str" cm="1">
        <f t="array" ref="M204">IF($K204="","",_xlfn.SWITCH($I204,"Computer",_xlfn.XLOOKUP($K204&amp;"",COMPUTER!$B$3:$B$1009&amp;"",COMPUTER!$J$3:$J$1009,""),"Display",_xlfn.XLOOKUP($K204&amp;"",DISPLAY!$B$3:$B$1000&amp;"",DISPLAY!$K$3:$K$1000,""),"Network Device",_xlfn.XLOOKUP($K204&amp;"",'NETWORK-DEVICES'!$B$3:$B$987&amp;"",'NETWORK-DEVICES'!$I$3:$I$987,""),"Peripheral",_xlfn.XLOOKUP($K204&amp;"",PERIPHERAL!$B$3:$B$954&amp;"",PERIPHERAL!$J$3:$J$954,""),"Utilities",_xlfn.XLOOKUP($K204&amp;"",UTILITIES!$B$3:$B$953&amp;"",UTILITIES!$I$3:$I$953,""),"IOT",_xlfn.XLOOKUP($K204&amp;"",IOT!$B$3:$B$1012&amp;"",IOT!$J$3:$J$1012,""),"Server",_xlfn.XLOOKUP($K204&amp;"",SERVER!$B$3:$B$1009&amp;"",SERVER!$J$3:$J$1009,""),""))</f>
        <v/>
      </c>
      <c r="N204" s="1" t="str" cm="1">
        <f t="array" ref="N204">IF(OR($K204="",$I204="",$J204=""),"",_xlfn.LET(_xlpm.srcCat,_xlfn.SWITCH($I204,"Computer",_xlfn.XLOOKUP($K204&amp;"",COMPUTER!$B$3:$B$1009&amp;"",COMPUTER!$H$3:$H$1009,""),"Display",_xlfn.XLOOKUP($K204&amp;"",DISPLAY!$B$3:$B$1000&amp;"",DISPLAY!$H$3:$H$1000,""),"Network Device",_xlfn.XLOOKUP($K204&amp;"",'NETWORK-DEVICES'!$B$3:$B$987&amp;"",'NETWORK-DEVICES'!$H$3:$H$987,""),"Peripheral",_xlfn.XLOOKUP($K204&amp;"",PERIPHERAL!$B$3:$B$954&amp;"",PERIPHERAL!$H$3:$H$954,""),"Utilities",_xlfn.XLOOKUP($K204&amp;"",UTILITIES!$B$3:$B$953&amp;"",UTILITIES!$G$3:$G$953,""),"IOT",_xlfn.XLOOKUP($K204&amp;"",IOT!$B$3:$B$1012&amp;"",IOT!$H$3:$H$1012,""),"Server",_xlfn.XLOOKUP($K204&amp;"",SERVER!$B$3:$B$1009&amp;"",SERVER!$H$3:$H$1009,""),""),IF(TRIM(_xlpm.srcCat)&lt;&gt;TRIM($J204),"",_xlfn.SWITCH($I204,"Computer",_xlfn.XLOOKUP($K204&amp;"",COMPUTER!$B$3:$B$1009&amp;"",COMPUTER!$K$3:$K$1009,""),"Display",_xlfn.XLOOKUP($K204&amp;"",DISPLAY!$B$3:$B$1000&amp;"",DISPLAY!$L$3:$L$1000,""),"Network Device",_xlfn.XLOOKUP($K204&amp;"",'NETWORK-DEVICES'!$B$3:$B$987&amp;"",'NETWORK-DEVICES'!$K$3:$K$987,""),"Peripheral",_xlfn.XLOOKUP($K204&amp;"",PERIPHERAL!$B$3:$B$954&amp;"",PERIPHERAL!$K$3:$K$954,""),"Utilities",_xlfn.XLOOKUP($K204&amp;"",UTILITIES!$B$3:$B$953&amp;"",UTILITIES!$J$3:$J$953,""),"IOT",_xlfn.XLOOKUP($K204&amp;"",IOT!$B$3:$B$1012&amp;"",IOT!$K$4:$K$1012,""),"Server",_xlfn.XLOOKUP($K204&amp;"",SERVER!$B$3:$B$1009&amp;"",SERVER!$K$3:$K$1009,""),""))))</f>
        <v/>
      </c>
      <c r="O204" s="1" t="str" cm="1">
        <f t="array" ref="O204">IF(OR($K204="",$I204="",$J204=""),"",_xlfn.LET(_xlpm.srcCat,_xlfn.SWITCH($I204,"Computer",_xlfn.XLOOKUP($K204&amp;"",COMPUTER!$B$3:$B$1009&amp;"",COMPUTER!$H$3:$H$1009,""),"Display",_xlfn.XLOOKUP($K204&amp;"",DISPLAY!$B$3:$B$1000&amp;"",DISPLAY!$H$3:$H$1000,""),"Network Device",_xlfn.XLOOKUP($K204&amp;"",'NETWORK-DEVICES'!$B$3:$B$987&amp;"",'NETWORK-DEVICES'!$H$3:$H$987,""),"Peripheral",_xlfn.XLOOKUP($K204&amp;"",PERIPHERAL!$B$3:$B$954&amp;"",PERIPHERAL!$H$3:$H$954,""),"Utilities",_xlfn.XLOOKUP($K204&amp;"",UTILITIES!$B$3:$B$953&amp;"",UTILITIES!$G$3:$G$953,""),"IOT",_xlfn.XLOOKUP($K204&amp;"",IOT!$B$3:$B$1012&amp;"",IOT!$H$3:$H$1012,""),"Server",_xlfn.XLOOKUP($K204&amp;"",SERVER!$B$3:$B$1009&amp;"",SERVER!$H$3:$H$1009,""),""),IF(TRIM(_xlpm.srcCat)&lt;&gt;TRIM($J204),"",_xlfn.SWITCH($I204,"Computer",_xlfn.XLOOKUP($K204&amp;"",COMPUTER!$B$3:$B$1009&amp;"",COMPUTER!$E$3:$E$1009,""),"Display",_xlfn.XLOOKUP($K204&amp;"",DISPLAY!$B$3:$B$1000&amp;"",DISPLAY!$E$3:$E$1000,""),"Network Device",_xlfn.XLOOKUP($K204&amp;"",'NETWORK-DEVICES'!$B$3:$B$987&amp;"",'NETWORK-DEVICES'!$E$3:$E$987,""),"Peripheral",_xlfn.XLOOKUP($K204&amp;"",PERIPHERAL!$B$3:$B$954&amp;"",PERIPHERAL!$E$3:$E$954,""),"Utilities",_xlfn.XLOOKUP($K204&amp;"",UTILITIES!$B$3:$B$953&amp;"",UTILITIES!$E$3:$E$953,""),"IOT",_xlfn.XLOOKUP($K204&amp;"",IOT!$B$3:$B$1012&amp;"",IOT!$E$3:$E$1012,""),"Server",_xlfn.XLOOKUP($K204&amp;"",SERVER!$B$3:$B$1009&amp;"",SERVER!$E$3:$E$1009,""),""))))</f>
        <v/>
      </c>
      <c r="Q204" s="1" t="str" cm="1">
        <f t="array" ref="Q204">IF(OR($K204="",$I204="",$J204=""),"",_xlfn.LET(_xlpm.srcCat,_xlfn.SWITCH($I204,"Computer",_xlfn.XLOOKUP($K204&amp;"",COMPUTER!$B$3:$B$1009&amp;"",COMPUTER!$H$3:$H$1009,""),"Display",_xlfn.XLOOKUP($K204&amp;"",DISPLAY!$B$3:$B$1000&amp;"",DISPLAY!$H$3:$H$1000,""),"Network Device",_xlfn.XLOOKUP($K204&amp;"",'NETWORK-DEVICES'!$B$3:$B$987&amp;"",'NETWORK-DEVICES'!$H$3:$H$987,""),"Peripheral",_xlfn.XLOOKUP($K204&amp;"",PERIPHERAL!$B$3:$B$954&amp;"",PERIPHERAL!$H$3:$H$954,""),"Utilities",_xlfn.XLOOKUP($K204&amp;"",UTILITIES!$B$3:$B$953&amp;"",UTILITIES!$G$3:$G$953,""),"IOT",_xlfn.XLOOKUP($K204&amp;"",IOT!$B$3:$B$1012&amp;"",IOT!$H$3:$H$1012,""),"Server",_xlfn.XLOOKUP($K204&amp;"",SERVER!$B$3:$B$1009&amp;"",SERVER!$H$3:$H$1009,""),""),IF(TRIM(_xlpm.srcCat)&lt;&gt;TRIM($J204),"",_xlfn.SWITCH($I204,"Computer",_xlfn.XLOOKUP($K204&amp;"",COMPUTER!$B$3:$B$1009&amp;"",COMPUTER!$AM$3:$AM$1009,""),"Display",_xlfn.XLOOKUP($K204&amp;"",DISPLAY!$B$3:$B$1000&amp;"",DISPLAY!$V$3:$V$1000,""),"Network Device",_xlfn.XLOOKUP($K204&amp;"",'NETWORK-DEVICES'!$B$3:$B$987&amp;"",'NETWORK-DEVICES'!$AF$3:$AF$987,""),"Peripheral",_xlfn.XLOOKUP($K204&amp;"",PERIPHERAL!$B$3:$B$954&amp;"",PERIPHERAL!$Y$3:$Y$954,""),"Utilities",_xlfn.XLOOKUP($K204&amp;"",UTILITIES!$B$3:$B$953&amp;"",UTILITIES!$O$3:$O$953,""),"IOT",_xlfn.XLOOKUP($K204&amp;"",IOT!$B$3:$B$1012&amp;"",IOT!$AB$3:$AB$1012,""),"Server",_xlfn.XLOOKUP($K204&amp;"",SERVER!$B$3:$B$1009&amp;"",SERVER!$AB$3:$AB$1009,""),""))))</f>
        <v/>
      </c>
      <c r="R204" s="43" t="str">
        <f>IF(tbl_handover[[#This Row],[Asset Code]]="","",COUNTIF(tbl_handover[Asset Code],tbl_handover[[#This Row],[Asset Code]]))</f>
        <v/>
      </c>
    </row>
    <row r="205" spans="1:18" x14ac:dyDescent="0.25">
      <c r="A205" s="43" t="str">
        <f>IF(B205&lt;&gt;"",SUBTOTAL(3,$B$1:B204),"")</f>
        <v/>
      </c>
      <c r="C205" s="74"/>
      <c r="D205" s="74"/>
      <c r="G205" s="1"/>
      <c r="K205" s="42"/>
      <c r="L205" t="str" cm="1">
        <f t="array" ref="L205">IF($K205="","",_xlfn.SWITCH($I205,"Computer",_xlfn.XLOOKUP($K205&amp;"",COMPUTER!$B$3:$B$1009&amp;"",COMPUTER!$I$3:$I$1009,""),"Display",_xlfn.XLOOKUP($K205&amp;"",DISPLAY!$B$3:$B$1000&amp;"",DISPLAY!$J$3:$J$1000,""),"Network Device",_xlfn.XLOOKUP($K205&amp;"",'NETWORK-DEVICES'!$B$3:$B$987&amp;"",'NETWORK-DEVICES'!$I$3:$I$987,""),"Peripheral",_xlfn.XLOOKUP($K205&amp;"",PERIPHERAL!$B$3:$B$954&amp;"",PERIPHERAL!$I$3:$I$954,""),"Utilities",_xlfn.XLOOKUP($K205&amp;"",UTILITIES!$B$3:$B$953&amp;"",UTILITIES!$H$3:$H$953,""),"IOT",_xlfn.XLOOKUP($K205&amp;"",IOT!$B$3:$B$1012&amp;"",IOT!$I$3:$I$1012,""),"SERVER",_xlfn.XLOOKUP($K205&amp;"",SERVER!$B$3:$B$1009&amp;"",SERVER!$I$3:$I$1009,""),""))</f>
        <v/>
      </c>
      <c r="M205" t="str" cm="1">
        <f t="array" ref="M205">IF($K205="","",_xlfn.SWITCH($I205,"Computer",_xlfn.XLOOKUP($K205&amp;"",COMPUTER!$B$3:$B$1009&amp;"",COMPUTER!$J$3:$J$1009,""),"Display",_xlfn.XLOOKUP($K205&amp;"",DISPLAY!$B$3:$B$1000&amp;"",DISPLAY!$K$3:$K$1000,""),"Network Device",_xlfn.XLOOKUP($K205&amp;"",'NETWORK-DEVICES'!$B$3:$B$987&amp;"",'NETWORK-DEVICES'!$I$3:$I$987,""),"Peripheral",_xlfn.XLOOKUP($K205&amp;"",PERIPHERAL!$B$3:$B$954&amp;"",PERIPHERAL!$J$3:$J$954,""),"Utilities",_xlfn.XLOOKUP($K205&amp;"",UTILITIES!$B$3:$B$953&amp;"",UTILITIES!$I$3:$I$953,""),"IOT",_xlfn.XLOOKUP($K205&amp;"",IOT!$B$3:$B$1012&amp;"",IOT!$J$3:$J$1012,""),"Server",_xlfn.XLOOKUP($K205&amp;"",SERVER!$B$3:$B$1009&amp;"",SERVER!$J$3:$J$1009,""),""))</f>
        <v/>
      </c>
      <c r="N205" s="1" t="str" cm="1">
        <f t="array" ref="N205">IF(OR($K205="",$I205="",$J205=""),"",_xlfn.LET(_xlpm.srcCat,_xlfn.SWITCH($I205,"Computer",_xlfn.XLOOKUP($K205&amp;"",COMPUTER!$B$3:$B$1009&amp;"",COMPUTER!$H$3:$H$1009,""),"Display",_xlfn.XLOOKUP($K205&amp;"",DISPLAY!$B$3:$B$1000&amp;"",DISPLAY!$H$3:$H$1000,""),"Network Device",_xlfn.XLOOKUP($K205&amp;"",'NETWORK-DEVICES'!$B$3:$B$987&amp;"",'NETWORK-DEVICES'!$H$3:$H$987,""),"Peripheral",_xlfn.XLOOKUP($K205&amp;"",PERIPHERAL!$B$3:$B$954&amp;"",PERIPHERAL!$H$3:$H$954,""),"Utilities",_xlfn.XLOOKUP($K205&amp;"",UTILITIES!$B$3:$B$953&amp;"",UTILITIES!$G$3:$G$953,""),"IOT",_xlfn.XLOOKUP($K205&amp;"",IOT!$B$3:$B$1012&amp;"",IOT!$H$3:$H$1012,""),"Server",_xlfn.XLOOKUP($K205&amp;"",SERVER!$B$3:$B$1009&amp;"",SERVER!$H$3:$H$1009,""),""),IF(TRIM(_xlpm.srcCat)&lt;&gt;TRIM($J205),"",_xlfn.SWITCH($I205,"Computer",_xlfn.XLOOKUP($K205&amp;"",COMPUTER!$B$3:$B$1009&amp;"",COMPUTER!$K$3:$K$1009,""),"Display",_xlfn.XLOOKUP($K205&amp;"",DISPLAY!$B$3:$B$1000&amp;"",DISPLAY!$L$3:$L$1000,""),"Network Device",_xlfn.XLOOKUP($K205&amp;"",'NETWORK-DEVICES'!$B$3:$B$987&amp;"",'NETWORK-DEVICES'!$K$3:$K$987,""),"Peripheral",_xlfn.XLOOKUP($K205&amp;"",PERIPHERAL!$B$3:$B$954&amp;"",PERIPHERAL!$K$3:$K$954,""),"Utilities",_xlfn.XLOOKUP($K205&amp;"",UTILITIES!$B$3:$B$953&amp;"",UTILITIES!$J$3:$J$953,""),"IOT",_xlfn.XLOOKUP($K205&amp;"",IOT!$B$3:$B$1012&amp;"",IOT!$K$4:$K$1012,""),"Server",_xlfn.XLOOKUP($K205&amp;"",SERVER!$B$3:$B$1009&amp;"",SERVER!$K$3:$K$1009,""),""))))</f>
        <v/>
      </c>
      <c r="O205" s="1" t="str" cm="1">
        <f t="array" ref="O205">IF(OR($K205="",$I205="",$J205=""),"",_xlfn.LET(_xlpm.srcCat,_xlfn.SWITCH($I205,"Computer",_xlfn.XLOOKUP($K205&amp;"",COMPUTER!$B$3:$B$1009&amp;"",COMPUTER!$H$3:$H$1009,""),"Display",_xlfn.XLOOKUP($K205&amp;"",DISPLAY!$B$3:$B$1000&amp;"",DISPLAY!$H$3:$H$1000,""),"Network Device",_xlfn.XLOOKUP($K205&amp;"",'NETWORK-DEVICES'!$B$3:$B$987&amp;"",'NETWORK-DEVICES'!$H$3:$H$987,""),"Peripheral",_xlfn.XLOOKUP($K205&amp;"",PERIPHERAL!$B$3:$B$954&amp;"",PERIPHERAL!$H$3:$H$954,""),"Utilities",_xlfn.XLOOKUP($K205&amp;"",UTILITIES!$B$3:$B$953&amp;"",UTILITIES!$G$3:$G$953,""),"IOT",_xlfn.XLOOKUP($K205&amp;"",IOT!$B$3:$B$1012&amp;"",IOT!$H$3:$H$1012,""),"Server",_xlfn.XLOOKUP($K205&amp;"",SERVER!$B$3:$B$1009&amp;"",SERVER!$H$3:$H$1009,""),""),IF(TRIM(_xlpm.srcCat)&lt;&gt;TRIM($J205),"",_xlfn.SWITCH($I205,"Computer",_xlfn.XLOOKUP($K205&amp;"",COMPUTER!$B$3:$B$1009&amp;"",COMPUTER!$E$3:$E$1009,""),"Display",_xlfn.XLOOKUP($K205&amp;"",DISPLAY!$B$3:$B$1000&amp;"",DISPLAY!$E$3:$E$1000,""),"Network Device",_xlfn.XLOOKUP($K205&amp;"",'NETWORK-DEVICES'!$B$3:$B$987&amp;"",'NETWORK-DEVICES'!$E$3:$E$987,""),"Peripheral",_xlfn.XLOOKUP($K205&amp;"",PERIPHERAL!$B$3:$B$954&amp;"",PERIPHERAL!$E$3:$E$954,""),"Utilities",_xlfn.XLOOKUP($K205&amp;"",UTILITIES!$B$3:$B$953&amp;"",UTILITIES!$E$3:$E$953,""),"IOT",_xlfn.XLOOKUP($K205&amp;"",IOT!$B$3:$B$1012&amp;"",IOT!$E$3:$E$1012,""),"Server",_xlfn.XLOOKUP($K205&amp;"",SERVER!$B$3:$B$1009&amp;"",SERVER!$E$3:$E$1009,""),""))))</f>
        <v/>
      </c>
      <c r="Q205" s="1" t="str" cm="1">
        <f t="array" ref="Q205">IF(OR($K205="",$I205="",$J205=""),"",_xlfn.LET(_xlpm.srcCat,_xlfn.SWITCH($I205,"Computer",_xlfn.XLOOKUP($K205&amp;"",COMPUTER!$B$3:$B$1009&amp;"",COMPUTER!$H$3:$H$1009,""),"Display",_xlfn.XLOOKUP($K205&amp;"",DISPLAY!$B$3:$B$1000&amp;"",DISPLAY!$H$3:$H$1000,""),"Network Device",_xlfn.XLOOKUP($K205&amp;"",'NETWORK-DEVICES'!$B$3:$B$987&amp;"",'NETWORK-DEVICES'!$H$3:$H$987,""),"Peripheral",_xlfn.XLOOKUP($K205&amp;"",PERIPHERAL!$B$3:$B$954&amp;"",PERIPHERAL!$H$3:$H$954,""),"Utilities",_xlfn.XLOOKUP($K205&amp;"",UTILITIES!$B$3:$B$953&amp;"",UTILITIES!$G$3:$G$953,""),"IOT",_xlfn.XLOOKUP($K205&amp;"",IOT!$B$3:$B$1012&amp;"",IOT!$H$3:$H$1012,""),"Server",_xlfn.XLOOKUP($K205&amp;"",SERVER!$B$3:$B$1009&amp;"",SERVER!$H$3:$H$1009,""),""),IF(TRIM(_xlpm.srcCat)&lt;&gt;TRIM($J205),"",_xlfn.SWITCH($I205,"Computer",_xlfn.XLOOKUP($K205&amp;"",COMPUTER!$B$3:$B$1009&amp;"",COMPUTER!$AM$3:$AM$1009,""),"Display",_xlfn.XLOOKUP($K205&amp;"",DISPLAY!$B$3:$B$1000&amp;"",DISPLAY!$V$3:$V$1000,""),"Network Device",_xlfn.XLOOKUP($K205&amp;"",'NETWORK-DEVICES'!$B$3:$B$987&amp;"",'NETWORK-DEVICES'!$AF$3:$AF$987,""),"Peripheral",_xlfn.XLOOKUP($K205&amp;"",PERIPHERAL!$B$3:$B$954&amp;"",PERIPHERAL!$Y$3:$Y$954,""),"Utilities",_xlfn.XLOOKUP($K205&amp;"",UTILITIES!$B$3:$B$953&amp;"",UTILITIES!$O$3:$O$953,""),"IOT",_xlfn.XLOOKUP($K205&amp;"",IOT!$B$3:$B$1012&amp;"",IOT!$AB$3:$AB$1012,""),"Server",_xlfn.XLOOKUP($K205&amp;"",SERVER!$B$3:$B$1009&amp;"",SERVER!$AB$3:$AB$1009,""),""))))</f>
        <v/>
      </c>
      <c r="R205" s="43" t="str">
        <f>IF(tbl_handover[[#This Row],[Asset Code]]="","",COUNTIF(tbl_handover[Asset Code],tbl_handover[[#This Row],[Asset Code]]))</f>
        <v/>
      </c>
    </row>
    <row r="206" spans="1:18" x14ac:dyDescent="0.25">
      <c r="A206" s="43" t="str">
        <f>IF(B206&lt;&gt;"",SUBTOTAL(3,$B$1:B205),"")</f>
        <v/>
      </c>
      <c r="C206" s="74"/>
      <c r="D206" s="74"/>
      <c r="G206" s="1"/>
      <c r="K206" s="42"/>
      <c r="L206" t="str" cm="1">
        <f t="array" ref="L206">IF($K206="","",_xlfn.SWITCH($I206,"Computer",_xlfn.XLOOKUP($K206&amp;"",COMPUTER!$B$3:$B$1009&amp;"",COMPUTER!$I$3:$I$1009,""),"Display",_xlfn.XLOOKUP($K206&amp;"",DISPLAY!$B$3:$B$1000&amp;"",DISPLAY!$J$3:$J$1000,""),"Network Device",_xlfn.XLOOKUP($K206&amp;"",'NETWORK-DEVICES'!$B$3:$B$987&amp;"",'NETWORK-DEVICES'!$I$3:$I$987,""),"Peripheral",_xlfn.XLOOKUP($K206&amp;"",PERIPHERAL!$B$3:$B$954&amp;"",PERIPHERAL!$I$3:$I$954,""),"Utilities",_xlfn.XLOOKUP($K206&amp;"",UTILITIES!$B$3:$B$953&amp;"",UTILITIES!$H$3:$H$953,""),"IOT",_xlfn.XLOOKUP($K206&amp;"",IOT!$B$3:$B$1012&amp;"",IOT!$I$3:$I$1012,""),"SERVER",_xlfn.XLOOKUP($K206&amp;"",SERVER!$B$3:$B$1009&amp;"",SERVER!$I$3:$I$1009,""),""))</f>
        <v/>
      </c>
      <c r="M206" t="str" cm="1">
        <f t="array" ref="M206">IF($K206="","",_xlfn.SWITCH($I206,"Computer",_xlfn.XLOOKUP($K206&amp;"",COMPUTER!$B$3:$B$1009&amp;"",COMPUTER!$J$3:$J$1009,""),"Display",_xlfn.XLOOKUP($K206&amp;"",DISPLAY!$B$3:$B$1000&amp;"",DISPLAY!$K$3:$K$1000,""),"Network Device",_xlfn.XLOOKUP($K206&amp;"",'NETWORK-DEVICES'!$B$3:$B$987&amp;"",'NETWORK-DEVICES'!$I$3:$I$987,""),"Peripheral",_xlfn.XLOOKUP($K206&amp;"",PERIPHERAL!$B$3:$B$954&amp;"",PERIPHERAL!$J$3:$J$954,""),"Utilities",_xlfn.XLOOKUP($K206&amp;"",UTILITIES!$B$3:$B$953&amp;"",UTILITIES!$I$3:$I$953,""),"IOT",_xlfn.XLOOKUP($K206&amp;"",IOT!$B$3:$B$1012&amp;"",IOT!$J$3:$J$1012,""),"Server",_xlfn.XLOOKUP($K206&amp;"",SERVER!$B$3:$B$1009&amp;"",SERVER!$J$3:$J$1009,""),""))</f>
        <v/>
      </c>
      <c r="N206" s="1" t="str" cm="1">
        <f t="array" ref="N206">IF(OR($K206="",$I206="",$J206=""),"",_xlfn.LET(_xlpm.srcCat,_xlfn.SWITCH($I206,"Computer",_xlfn.XLOOKUP($K206&amp;"",COMPUTER!$B$3:$B$1009&amp;"",COMPUTER!$H$3:$H$1009,""),"Display",_xlfn.XLOOKUP($K206&amp;"",DISPLAY!$B$3:$B$1000&amp;"",DISPLAY!$H$3:$H$1000,""),"Network Device",_xlfn.XLOOKUP($K206&amp;"",'NETWORK-DEVICES'!$B$3:$B$987&amp;"",'NETWORK-DEVICES'!$H$3:$H$987,""),"Peripheral",_xlfn.XLOOKUP($K206&amp;"",PERIPHERAL!$B$3:$B$954&amp;"",PERIPHERAL!$H$3:$H$954,""),"Utilities",_xlfn.XLOOKUP($K206&amp;"",UTILITIES!$B$3:$B$953&amp;"",UTILITIES!$G$3:$G$953,""),"IOT",_xlfn.XLOOKUP($K206&amp;"",IOT!$B$3:$B$1012&amp;"",IOT!$H$3:$H$1012,""),"Server",_xlfn.XLOOKUP($K206&amp;"",SERVER!$B$3:$B$1009&amp;"",SERVER!$H$3:$H$1009,""),""),IF(TRIM(_xlpm.srcCat)&lt;&gt;TRIM($J206),"",_xlfn.SWITCH($I206,"Computer",_xlfn.XLOOKUP($K206&amp;"",COMPUTER!$B$3:$B$1009&amp;"",COMPUTER!$K$3:$K$1009,""),"Display",_xlfn.XLOOKUP($K206&amp;"",DISPLAY!$B$3:$B$1000&amp;"",DISPLAY!$L$3:$L$1000,""),"Network Device",_xlfn.XLOOKUP($K206&amp;"",'NETWORK-DEVICES'!$B$3:$B$987&amp;"",'NETWORK-DEVICES'!$K$3:$K$987,""),"Peripheral",_xlfn.XLOOKUP($K206&amp;"",PERIPHERAL!$B$3:$B$954&amp;"",PERIPHERAL!$K$3:$K$954,""),"Utilities",_xlfn.XLOOKUP($K206&amp;"",UTILITIES!$B$3:$B$953&amp;"",UTILITIES!$J$3:$J$953,""),"IOT",_xlfn.XLOOKUP($K206&amp;"",IOT!$B$3:$B$1012&amp;"",IOT!$K$4:$K$1012,""),"Server",_xlfn.XLOOKUP($K206&amp;"",SERVER!$B$3:$B$1009&amp;"",SERVER!$K$3:$K$1009,""),""))))</f>
        <v/>
      </c>
      <c r="O206" s="1" t="str" cm="1">
        <f t="array" ref="O206">IF(OR($K206="",$I206="",$J206=""),"",_xlfn.LET(_xlpm.srcCat,_xlfn.SWITCH($I206,"Computer",_xlfn.XLOOKUP($K206&amp;"",COMPUTER!$B$3:$B$1009&amp;"",COMPUTER!$H$3:$H$1009,""),"Display",_xlfn.XLOOKUP($K206&amp;"",DISPLAY!$B$3:$B$1000&amp;"",DISPLAY!$H$3:$H$1000,""),"Network Device",_xlfn.XLOOKUP($K206&amp;"",'NETWORK-DEVICES'!$B$3:$B$987&amp;"",'NETWORK-DEVICES'!$H$3:$H$987,""),"Peripheral",_xlfn.XLOOKUP($K206&amp;"",PERIPHERAL!$B$3:$B$954&amp;"",PERIPHERAL!$H$3:$H$954,""),"Utilities",_xlfn.XLOOKUP($K206&amp;"",UTILITIES!$B$3:$B$953&amp;"",UTILITIES!$G$3:$G$953,""),"IOT",_xlfn.XLOOKUP($K206&amp;"",IOT!$B$3:$B$1012&amp;"",IOT!$H$3:$H$1012,""),"Server",_xlfn.XLOOKUP($K206&amp;"",SERVER!$B$3:$B$1009&amp;"",SERVER!$H$3:$H$1009,""),""),IF(TRIM(_xlpm.srcCat)&lt;&gt;TRIM($J206),"",_xlfn.SWITCH($I206,"Computer",_xlfn.XLOOKUP($K206&amp;"",COMPUTER!$B$3:$B$1009&amp;"",COMPUTER!$E$3:$E$1009,""),"Display",_xlfn.XLOOKUP($K206&amp;"",DISPLAY!$B$3:$B$1000&amp;"",DISPLAY!$E$3:$E$1000,""),"Network Device",_xlfn.XLOOKUP($K206&amp;"",'NETWORK-DEVICES'!$B$3:$B$987&amp;"",'NETWORK-DEVICES'!$E$3:$E$987,""),"Peripheral",_xlfn.XLOOKUP($K206&amp;"",PERIPHERAL!$B$3:$B$954&amp;"",PERIPHERAL!$E$3:$E$954,""),"Utilities",_xlfn.XLOOKUP($K206&amp;"",UTILITIES!$B$3:$B$953&amp;"",UTILITIES!$E$3:$E$953,""),"IOT",_xlfn.XLOOKUP($K206&amp;"",IOT!$B$3:$B$1012&amp;"",IOT!$E$3:$E$1012,""),"Server",_xlfn.XLOOKUP($K206&amp;"",SERVER!$B$3:$B$1009&amp;"",SERVER!$E$3:$E$1009,""),""))))</f>
        <v/>
      </c>
      <c r="Q206" s="1" t="str" cm="1">
        <f t="array" ref="Q206">IF(OR($K206="",$I206="",$J206=""),"",_xlfn.LET(_xlpm.srcCat,_xlfn.SWITCH($I206,"Computer",_xlfn.XLOOKUP($K206&amp;"",COMPUTER!$B$3:$B$1009&amp;"",COMPUTER!$H$3:$H$1009,""),"Display",_xlfn.XLOOKUP($K206&amp;"",DISPLAY!$B$3:$B$1000&amp;"",DISPLAY!$H$3:$H$1000,""),"Network Device",_xlfn.XLOOKUP($K206&amp;"",'NETWORK-DEVICES'!$B$3:$B$987&amp;"",'NETWORK-DEVICES'!$H$3:$H$987,""),"Peripheral",_xlfn.XLOOKUP($K206&amp;"",PERIPHERAL!$B$3:$B$954&amp;"",PERIPHERAL!$H$3:$H$954,""),"Utilities",_xlfn.XLOOKUP($K206&amp;"",UTILITIES!$B$3:$B$953&amp;"",UTILITIES!$G$3:$G$953,""),"IOT",_xlfn.XLOOKUP($K206&amp;"",IOT!$B$3:$B$1012&amp;"",IOT!$H$3:$H$1012,""),"Server",_xlfn.XLOOKUP($K206&amp;"",SERVER!$B$3:$B$1009&amp;"",SERVER!$H$3:$H$1009,""),""),IF(TRIM(_xlpm.srcCat)&lt;&gt;TRIM($J206),"",_xlfn.SWITCH($I206,"Computer",_xlfn.XLOOKUP($K206&amp;"",COMPUTER!$B$3:$B$1009&amp;"",COMPUTER!$AM$3:$AM$1009,""),"Display",_xlfn.XLOOKUP($K206&amp;"",DISPLAY!$B$3:$B$1000&amp;"",DISPLAY!$V$3:$V$1000,""),"Network Device",_xlfn.XLOOKUP($K206&amp;"",'NETWORK-DEVICES'!$B$3:$B$987&amp;"",'NETWORK-DEVICES'!$AF$3:$AF$987,""),"Peripheral",_xlfn.XLOOKUP($K206&amp;"",PERIPHERAL!$B$3:$B$954&amp;"",PERIPHERAL!$Y$3:$Y$954,""),"Utilities",_xlfn.XLOOKUP($K206&amp;"",UTILITIES!$B$3:$B$953&amp;"",UTILITIES!$O$3:$O$953,""),"IOT",_xlfn.XLOOKUP($K206&amp;"",IOT!$B$3:$B$1012&amp;"",IOT!$AB$3:$AB$1012,""),"Server",_xlfn.XLOOKUP($K206&amp;"",SERVER!$B$3:$B$1009&amp;"",SERVER!$AB$3:$AB$1009,""),""))))</f>
        <v/>
      </c>
      <c r="R206" s="43" t="str">
        <f>IF(tbl_handover[[#This Row],[Asset Code]]="","",COUNTIF(tbl_handover[Asset Code],tbl_handover[[#This Row],[Asset Code]]))</f>
        <v/>
      </c>
    </row>
    <row r="207" spans="1:18" x14ac:dyDescent="0.25">
      <c r="A207" s="43" t="str">
        <f>IF(B207&lt;&gt;"",SUBTOTAL(3,$B$1:B206),"")</f>
        <v/>
      </c>
      <c r="C207" s="74"/>
      <c r="D207" s="74"/>
      <c r="G207" s="1"/>
      <c r="K207" s="42"/>
      <c r="L207" t="str" cm="1">
        <f t="array" ref="L207">IF($K207="","",_xlfn.SWITCH($I207,"Computer",_xlfn.XLOOKUP($K207&amp;"",COMPUTER!$B$3:$B$1009&amp;"",COMPUTER!$I$3:$I$1009,""),"Display",_xlfn.XLOOKUP($K207&amp;"",DISPLAY!$B$3:$B$1000&amp;"",DISPLAY!$J$3:$J$1000,""),"Network Device",_xlfn.XLOOKUP($K207&amp;"",'NETWORK-DEVICES'!$B$3:$B$987&amp;"",'NETWORK-DEVICES'!$I$3:$I$987,""),"Peripheral",_xlfn.XLOOKUP($K207&amp;"",PERIPHERAL!$B$3:$B$954&amp;"",PERIPHERAL!$I$3:$I$954,""),"Utilities",_xlfn.XLOOKUP($K207&amp;"",UTILITIES!$B$3:$B$953&amp;"",UTILITIES!$H$3:$H$953,""),"IOT",_xlfn.XLOOKUP($K207&amp;"",IOT!$B$3:$B$1012&amp;"",IOT!$I$3:$I$1012,""),"SERVER",_xlfn.XLOOKUP($K207&amp;"",SERVER!$B$3:$B$1009&amp;"",SERVER!$I$3:$I$1009,""),""))</f>
        <v/>
      </c>
      <c r="M207" t="str" cm="1">
        <f t="array" ref="M207">IF($K207="","",_xlfn.SWITCH($I207,"Computer",_xlfn.XLOOKUP($K207&amp;"",COMPUTER!$B$3:$B$1009&amp;"",COMPUTER!$J$3:$J$1009,""),"Display",_xlfn.XLOOKUP($K207&amp;"",DISPLAY!$B$3:$B$1000&amp;"",DISPLAY!$K$3:$K$1000,""),"Network Device",_xlfn.XLOOKUP($K207&amp;"",'NETWORK-DEVICES'!$B$3:$B$987&amp;"",'NETWORK-DEVICES'!$I$3:$I$987,""),"Peripheral",_xlfn.XLOOKUP($K207&amp;"",PERIPHERAL!$B$3:$B$954&amp;"",PERIPHERAL!$J$3:$J$954,""),"Utilities",_xlfn.XLOOKUP($K207&amp;"",UTILITIES!$B$3:$B$953&amp;"",UTILITIES!$I$3:$I$953,""),"IOT",_xlfn.XLOOKUP($K207&amp;"",IOT!$B$3:$B$1012&amp;"",IOT!$J$3:$J$1012,""),"Server",_xlfn.XLOOKUP($K207&amp;"",SERVER!$B$3:$B$1009&amp;"",SERVER!$J$3:$J$1009,""),""))</f>
        <v/>
      </c>
      <c r="N207" s="1" t="str" cm="1">
        <f t="array" ref="N207">IF(OR($K207="",$I207="",$J207=""),"",_xlfn.LET(_xlpm.srcCat,_xlfn.SWITCH($I207,"Computer",_xlfn.XLOOKUP($K207&amp;"",COMPUTER!$B$3:$B$1009&amp;"",COMPUTER!$H$3:$H$1009,""),"Display",_xlfn.XLOOKUP($K207&amp;"",DISPLAY!$B$3:$B$1000&amp;"",DISPLAY!$H$3:$H$1000,""),"Network Device",_xlfn.XLOOKUP($K207&amp;"",'NETWORK-DEVICES'!$B$3:$B$987&amp;"",'NETWORK-DEVICES'!$H$3:$H$987,""),"Peripheral",_xlfn.XLOOKUP($K207&amp;"",PERIPHERAL!$B$3:$B$954&amp;"",PERIPHERAL!$H$3:$H$954,""),"Utilities",_xlfn.XLOOKUP($K207&amp;"",UTILITIES!$B$3:$B$953&amp;"",UTILITIES!$G$3:$G$953,""),"IOT",_xlfn.XLOOKUP($K207&amp;"",IOT!$B$3:$B$1012&amp;"",IOT!$H$3:$H$1012,""),"Server",_xlfn.XLOOKUP($K207&amp;"",SERVER!$B$3:$B$1009&amp;"",SERVER!$H$3:$H$1009,""),""),IF(TRIM(_xlpm.srcCat)&lt;&gt;TRIM($J207),"",_xlfn.SWITCH($I207,"Computer",_xlfn.XLOOKUP($K207&amp;"",COMPUTER!$B$3:$B$1009&amp;"",COMPUTER!$K$3:$K$1009,""),"Display",_xlfn.XLOOKUP($K207&amp;"",DISPLAY!$B$3:$B$1000&amp;"",DISPLAY!$L$3:$L$1000,""),"Network Device",_xlfn.XLOOKUP($K207&amp;"",'NETWORK-DEVICES'!$B$3:$B$987&amp;"",'NETWORK-DEVICES'!$K$3:$K$987,""),"Peripheral",_xlfn.XLOOKUP($K207&amp;"",PERIPHERAL!$B$3:$B$954&amp;"",PERIPHERAL!$K$3:$K$954,""),"Utilities",_xlfn.XLOOKUP($K207&amp;"",UTILITIES!$B$3:$B$953&amp;"",UTILITIES!$J$3:$J$953,""),"IOT",_xlfn.XLOOKUP($K207&amp;"",IOT!$B$3:$B$1012&amp;"",IOT!$K$4:$K$1012,""),"Server",_xlfn.XLOOKUP($K207&amp;"",SERVER!$B$3:$B$1009&amp;"",SERVER!$K$3:$K$1009,""),""))))</f>
        <v/>
      </c>
      <c r="O207" s="1" t="str" cm="1">
        <f t="array" ref="O207">IF(OR($K207="",$I207="",$J207=""),"",_xlfn.LET(_xlpm.srcCat,_xlfn.SWITCH($I207,"Computer",_xlfn.XLOOKUP($K207&amp;"",COMPUTER!$B$3:$B$1009&amp;"",COMPUTER!$H$3:$H$1009,""),"Display",_xlfn.XLOOKUP($K207&amp;"",DISPLAY!$B$3:$B$1000&amp;"",DISPLAY!$H$3:$H$1000,""),"Network Device",_xlfn.XLOOKUP($K207&amp;"",'NETWORK-DEVICES'!$B$3:$B$987&amp;"",'NETWORK-DEVICES'!$H$3:$H$987,""),"Peripheral",_xlfn.XLOOKUP($K207&amp;"",PERIPHERAL!$B$3:$B$954&amp;"",PERIPHERAL!$H$3:$H$954,""),"Utilities",_xlfn.XLOOKUP($K207&amp;"",UTILITIES!$B$3:$B$953&amp;"",UTILITIES!$G$3:$G$953,""),"IOT",_xlfn.XLOOKUP($K207&amp;"",IOT!$B$3:$B$1012&amp;"",IOT!$H$3:$H$1012,""),"Server",_xlfn.XLOOKUP($K207&amp;"",SERVER!$B$3:$B$1009&amp;"",SERVER!$H$3:$H$1009,""),""),IF(TRIM(_xlpm.srcCat)&lt;&gt;TRIM($J207),"",_xlfn.SWITCH($I207,"Computer",_xlfn.XLOOKUP($K207&amp;"",COMPUTER!$B$3:$B$1009&amp;"",COMPUTER!$E$3:$E$1009,""),"Display",_xlfn.XLOOKUP($K207&amp;"",DISPLAY!$B$3:$B$1000&amp;"",DISPLAY!$E$3:$E$1000,""),"Network Device",_xlfn.XLOOKUP($K207&amp;"",'NETWORK-DEVICES'!$B$3:$B$987&amp;"",'NETWORK-DEVICES'!$E$3:$E$987,""),"Peripheral",_xlfn.XLOOKUP($K207&amp;"",PERIPHERAL!$B$3:$B$954&amp;"",PERIPHERAL!$E$3:$E$954,""),"Utilities",_xlfn.XLOOKUP($K207&amp;"",UTILITIES!$B$3:$B$953&amp;"",UTILITIES!$E$3:$E$953,""),"IOT",_xlfn.XLOOKUP($K207&amp;"",IOT!$B$3:$B$1012&amp;"",IOT!$E$3:$E$1012,""),"Server",_xlfn.XLOOKUP($K207&amp;"",SERVER!$B$3:$B$1009&amp;"",SERVER!$E$3:$E$1009,""),""))))</f>
        <v/>
      </c>
      <c r="Q207" s="1" t="str" cm="1">
        <f t="array" ref="Q207">IF(OR($K207="",$I207="",$J207=""),"",_xlfn.LET(_xlpm.srcCat,_xlfn.SWITCH($I207,"Computer",_xlfn.XLOOKUP($K207&amp;"",COMPUTER!$B$3:$B$1009&amp;"",COMPUTER!$H$3:$H$1009,""),"Display",_xlfn.XLOOKUP($K207&amp;"",DISPLAY!$B$3:$B$1000&amp;"",DISPLAY!$H$3:$H$1000,""),"Network Device",_xlfn.XLOOKUP($K207&amp;"",'NETWORK-DEVICES'!$B$3:$B$987&amp;"",'NETWORK-DEVICES'!$H$3:$H$987,""),"Peripheral",_xlfn.XLOOKUP($K207&amp;"",PERIPHERAL!$B$3:$B$954&amp;"",PERIPHERAL!$H$3:$H$954,""),"Utilities",_xlfn.XLOOKUP($K207&amp;"",UTILITIES!$B$3:$B$953&amp;"",UTILITIES!$G$3:$G$953,""),"IOT",_xlfn.XLOOKUP($K207&amp;"",IOT!$B$3:$B$1012&amp;"",IOT!$H$3:$H$1012,""),"Server",_xlfn.XLOOKUP($K207&amp;"",SERVER!$B$3:$B$1009&amp;"",SERVER!$H$3:$H$1009,""),""),IF(TRIM(_xlpm.srcCat)&lt;&gt;TRIM($J207),"",_xlfn.SWITCH($I207,"Computer",_xlfn.XLOOKUP($K207&amp;"",COMPUTER!$B$3:$B$1009&amp;"",COMPUTER!$AM$3:$AM$1009,""),"Display",_xlfn.XLOOKUP($K207&amp;"",DISPLAY!$B$3:$B$1000&amp;"",DISPLAY!$V$3:$V$1000,""),"Network Device",_xlfn.XLOOKUP($K207&amp;"",'NETWORK-DEVICES'!$B$3:$B$987&amp;"",'NETWORK-DEVICES'!$AF$3:$AF$987,""),"Peripheral",_xlfn.XLOOKUP($K207&amp;"",PERIPHERAL!$B$3:$B$954&amp;"",PERIPHERAL!$Y$3:$Y$954,""),"Utilities",_xlfn.XLOOKUP($K207&amp;"",UTILITIES!$B$3:$B$953&amp;"",UTILITIES!$O$3:$O$953,""),"IOT",_xlfn.XLOOKUP($K207&amp;"",IOT!$B$3:$B$1012&amp;"",IOT!$AB$3:$AB$1012,""),"Server",_xlfn.XLOOKUP($K207&amp;"",SERVER!$B$3:$B$1009&amp;"",SERVER!$AB$3:$AB$1009,""),""))))</f>
        <v/>
      </c>
      <c r="R207" s="43" t="str">
        <f>IF(tbl_handover[[#This Row],[Asset Code]]="","",COUNTIF(tbl_handover[Asset Code],tbl_handover[[#This Row],[Asset Code]]))</f>
        <v/>
      </c>
    </row>
    <row r="208" spans="1:18" x14ac:dyDescent="0.25">
      <c r="A208" s="43" t="str">
        <f>IF(B208&lt;&gt;"",SUBTOTAL(3,$B$1:B207),"")</f>
        <v/>
      </c>
      <c r="C208" s="74"/>
      <c r="D208" s="74"/>
      <c r="G208" s="1"/>
      <c r="K208" s="42"/>
      <c r="L208" t="str" cm="1">
        <f t="array" ref="L208">IF($K208="","",_xlfn.SWITCH($I208,"Computer",_xlfn.XLOOKUP($K208&amp;"",COMPUTER!$B$3:$B$1009&amp;"",COMPUTER!$I$3:$I$1009,""),"Display",_xlfn.XLOOKUP($K208&amp;"",DISPLAY!$B$3:$B$1000&amp;"",DISPLAY!$J$3:$J$1000,""),"Network Device",_xlfn.XLOOKUP($K208&amp;"",'NETWORK-DEVICES'!$B$3:$B$987&amp;"",'NETWORK-DEVICES'!$I$3:$I$987,""),"Peripheral",_xlfn.XLOOKUP($K208&amp;"",PERIPHERAL!$B$3:$B$954&amp;"",PERIPHERAL!$I$3:$I$954,""),"Utilities",_xlfn.XLOOKUP($K208&amp;"",UTILITIES!$B$3:$B$953&amp;"",UTILITIES!$H$3:$H$953,""),"IOT",_xlfn.XLOOKUP($K208&amp;"",IOT!$B$3:$B$1012&amp;"",IOT!$I$3:$I$1012,""),"SERVER",_xlfn.XLOOKUP($K208&amp;"",SERVER!$B$3:$B$1009&amp;"",SERVER!$I$3:$I$1009,""),""))</f>
        <v/>
      </c>
      <c r="M208" t="str" cm="1">
        <f t="array" ref="M208">IF($K208="","",_xlfn.SWITCH($I208,"Computer",_xlfn.XLOOKUP($K208&amp;"",COMPUTER!$B$3:$B$1009&amp;"",COMPUTER!$J$3:$J$1009,""),"Display",_xlfn.XLOOKUP($K208&amp;"",DISPLAY!$B$3:$B$1000&amp;"",DISPLAY!$K$3:$K$1000,""),"Network Device",_xlfn.XLOOKUP($K208&amp;"",'NETWORK-DEVICES'!$B$3:$B$987&amp;"",'NETWORK-DEVICES'!$I$3:$I$987,""),"Peripheral",_xlfn.XLOOKUP($K208&amp;"",PERIPHERAL!$B$3:$B$954&amp;"",PERIPHERAL!$J$3:$J$954,""),"Utilities",_xlfn.XLOOKUP($K208&amp;"",UTILITIES!$B$3:$B$953&amp;"",UTILITIES!$I$3:$I$953,""),"IOT",_xlfn.XLOOKUP($K208&amp;"",IOT!$B$3:$B$1012&amp;"",IOT!$J$3:$J$1012,""),"Server",_xlfn.XLOOKUP($K208&amp;"",SERVER!$B$3:$B$1009&amp;"",SERVER!$J$3:$J$1009,""),""))</f>
        <v/>
      </c>
      <c r="N208" s="1" t="str" cm="1">
        <f t="array" ref="N208">IF(OR($K208="",$I208="",$J208=""),"",_xlfn.LET(_xlpm.srcCat,_xlfn.SWITCH($I208,"Computer",_xlfn.XLOOKUP($K208&amp;"",COMPUTER!$B$3:$B$1009&amp;"",COMPUTER!$H$3:$H$1009,""),"Display",_xlfn.XLOOKUP($K208&amp;"",DISPLAY!$B$3:$B$1000&amp;"",DISPLAY!$H$3:$H$1000,""),"Network Device",_xlfn.XLOOKUP($K208&amp;"",'NETWORK-DEVICES'!$B$3:$B$987&amp;"",'NETWORK-DEVICES'!$H$3:$H$987,""),"Peripheral",_xlfn.XLOOKUP($K208&amp;"",PERIPHERAL!$B$3:$B$954&amp;"",PERIPHERAL!$H$3:$H$954,""),"Utilities",_xlfn.XLOOKUP($K208&amp;"",UTILITIES!$B$3:$B$953&amp;"",UTILITIES!$G$3:$G$953,""),"IOT",_xlfn.XLOOKUP($K208&amp;"",IOT!$B$3:$B$1012&amp;"",IOT!$H$3:$H$1012,""),"Server",_xlfn.XLOOKUP($K208&amp;"",SERVER!$B$3:$B$1009&amp;"",SERVER!$H$3:$H$1009,""),""),IF(TRIM(_xlpm.srcCat)&lt;&gt;TRIM($J208),"",_xlfn.SWITCH($I208,"Computer",_xlfn.XLOOKUP($K208&amp;"",COMPUTER!$B$3:$B$1009&amp;"",COMPUTER!$K$3:$K$1009,""),"Display",_xlfn.XLOOKUP($K208&amp;"",DISPLAY!$B$3:$B$1000&amp;"",DISPLAY!$L$3:$L$1000,""),"Network Device",_xlfn.XLOOKUP($K208&amp;"",'NETWORK-DEVICES'!$B$3:$B$987&amp;"",'NETWORK-DEVICES'!$K$3:$K$987,""),"Peripheral",_xlfn.XLOOKUP($K208&amp;"",PERIPHERAL!$B$3:$B$954&amp;"",PERIPHERAL!$K$3:$K$954,""),"Utilities",_xlfn.XLOOKUP($K208&amp;"",UTILITIES!$B$3:$B$953&amp;"",UTILITIES!$J$3:$J$953,""),"IOT",_xlfn.XLOOKUP($K208&amp;"",IOT!$B$3:$B$1012&amp;"",IOT!$K$4:$K$1012,""),"Server",_xlfn.XLOOKUP($K208&amp;"",SERVER!$B$3:$B$1009&amp;"",SERVER!$K$3:$K$1009,""),""))))</f>
        <v/>
      </c>
      <c r="O208" s="1" t="str" cm="1">
        <f t="array" ref="O208">IF(OR($K208="",$I208="",$J208=""),"",_xlfn.LET(_xlpm.srcCat,_xlfn.SWITCH($I208,"Computer",_xlfn.XLOOKUP($K208&amp;"",COMPUTER!$B$3:$B$1009&amp;"",COMPUTER!$H$3:$H$1009,""),"Display",_xlfn.XLOOKUP($K208&amp;"",DISPLAY!$B$3:$B$1000&amp;"",DISPLAY!$H$3:$H$1000,""),"Network Device",_xlfn.XLOOKUP($K208&amp;"",'NETWORK-DEVICES'!$B$3:$B$987&amp;"",'NETWORK-DEVICES'!$H$3:$H$987,""),"Peripheral",_xlfn.XLOOKUP($K208&amp;"",PERIPHERAL!$B$3:$B$954&amp;"",PERIPHERAL!$H$3:$H$954,""),"Utilities",_xlfn.XLOOKUP($K208&amp;"",UTILITIES!$B$3:$B$953&amp;"",UTILITIES!$G$3:$G$953,""),"IOT",_xlfn.XLOOKUP($K208&amp;"",IOT!$B$3:$B$1012&amp;"",IOT!$H$3:$H$1012,""),"Server",_xlfn.XLOOKUP($K208&amp;"",SERVER!$B$3:$B$1009&amp;"",SERVER!$H$3:$H$1009,""),""),IF(TRIM(_xlpm.srcCat)&lt;&gt;TRIM($J208),"",_xlfn.SWITCH($I208,"Computer",_xlfn.XLOOKUP($K208&amp;"",COMPUTER!$B$3:$B$1009&amp;"",COMPUTER!$E$3:$E$1009,""),"Display",_xlfn.XLOOKUP($K208&amp;"",DISPLAY!$B$3:$B$1000&amp;"",DISPLAY!$E$3:$E$1000,""),"Network Device",_xlfn.XLOOKUP($K208&amp;"",'NETWORK-DEVICES'!$B$3:$B$987&amp;"",'NETWORK-DEVICES'!$E$3:$E$987,""),"Peripheral",_xlfn.XLOOKUP($K208&amp;"",PERIPHERAL!$B$3:$B$954&amp;"",PERIPHERAL!$E$3:$E$954,""),"Utilities",_xlfn.XLOOKUP($K208&amp;"",UTILITIES!$B$3:$B$953&amp;"",UTILITIES!$E$3:$E$953,""),"IOT",_xlfn.XLOOKUP($K208&amp;"",IOT!$B$3:$B$1012&amp;"",IOT!$E$3:$E$1012,""),"Server",_xlfn.XLOOKUP($K208&amp;"",SERVER!$B$3:$B$1009&amp;"",SERVER!$E$3:$E$1009,""),""))))</f>
        <v/>
      </c>
      <c r="Q208" s="1" t="str" cm="1">
        <f t="array" ref="Q208">IF(OR($K208="",$I208="",$J208=""),"",_xlfn.LET(_xlpm.srcCat,_xlfn.SWITCH($I208,"Computer",_xlfn.XLOOKUP($K208&amp;"",COMPUTER!$B$3:$B$1009&amp;"",COMPUTER!$H$3:$H$1009,""),"Display",_xlfn.XLOOKUP($K208&amp;"",DISPLAY!$B$3:$B$1000&amp;"",DISPLAY!$H$3:$H$1000,""),"Network Device",_xlfn.XLOOKUP($K208&amp;"",'NETWORK-DEVICES'!$B$3:$B$987&amp;"",'NETWORK-DEVICES'!$H$3:$H$987,""),"Peripheral",_xlfn.XLOOKUP($K208&amp;"",PERIPHERAL!$B$3:$B$954&amp;"",PERIPHERAL!$H$3:$H$954,""),"Utilities",_xlfn.XLOOKUP($K208&amp;"",UTILITIES!$B$3:$B$953&amp;"",UTILITIES!$G$3:$G$953,""),"IOT",_xlfn.XLOOKUP($K208&amp;"",IOT!$B$3:$B$1012&amp;"",IOT!$H$3:$H$1012,""),"Server",_xlfn.XLOOKUP($K208&amp;"",SERVER!$B$3:$B$1009&amp;"",SERVER!$H$3:$H$1009,""),""),IF(TRIM(_xlpm.srcCat)&lt;&gt;TRIM($J208),"",_xlfn.SWITCH($I208,"Computer",_xlfn.XLOOKUP($K208&amp;"",COMPUTER!$B$3:$B$1009&amp;"",COMPUTER!$AM$3:$AM$1009,""),"Display",_xlfn.XLOOKUP($K208&amp;"",DISPLAY!$B$3:$B$1000&amp;"",DISPLAY!$V$3:$V$1000,""),"Network Device",_xlfn.XLOOKUP($K208&amp;"",'NETWORK-DEVICES'!$B$3:$B$987&amp;"",'NETWORK-DEVICES'!$AF$3:$AF$987,""),"Peripheral",_xlfn.XLOOKUP($K208&amp;"",PERIPHERAL!$B$3:$B$954&amp;"",PERIPHERAL!$Y$3:$Y$954,""),"Utilities",_xlfn.XLOOKUP($K208&amp;"",UTILITIES!$B$3:$B$953&amp;"",UTILITIES!$O$3:$O$953,""),"IOT",_xlfn.XLOOKUP($K208&amp;"",IOT!$B$3:$B$1012&amp;"",IOT!$AB$3:$AB$1012,""),"Server",_xlfn.XLOOKUP($K208&amp;"",SERVER!$B$3:$B$1009&amp;"",SERVER!$AB$3:$AB$1009,""),""))))</f>
        <v/>
      </c>
      <c r="R208" s="43" t="str">
        <f>IF(tbl_handover[[#This Row],[Asset Code]]="","",COUNTIF(tbl_handover[Asset Code],tbl_handover[[#This Row],[Asset Code]]))</f>
        <v/>
      </c>
    </row>
    <row r="209" spans="1:18" x14ac:dyDescent="0.25">
      <c r="A209" s="43" t="str">
        <f>IF(B209&lt;&gt;"",SUBTOTAL(3,$B$1:B208),"")</f>
        <v/>
      </c>
      <c r="C209" s="74"/>
      <c r="D209" s="74"/>
      <c r="G209" s="1"/>
      <c r="K209" s="42"/>
      <c r="L209" t="str" cm="1">
        <f t="array" ref="L209">IF($K209="","",_xlfn.SWITCH($I209,"Computer",_xlfn.XLOOKUP($K209&amp;"",COMPUTER!$B$3:$B$1009&amp;"",COMPUTER!$I$3:$I$1009,""),"Display",_xlfn.XLOOKUP($K209&amp;"",DISPLAY!$B$3:$B$1000&amp;"",DISPLAY!$J$3:$J$1000,""),"Network Device",_xlfn.XLOOKUP($K209&amp;"",'NETWORK-DEVICES'!$B$3:$B$987&amp;"",'NETWORK-DEVICES'!$I$3:$I$987,""),"Peripheral",_xlfn.XLOOKUP($K209&amp;"",PERIPHERAL!$B$3:$B$954&amp;"",PERIPHERAL!$I$3:$I$954,""),"Utilities",_xlfn.XLOOKUP($K209&amp;"",UTILITIES!$B$3:$B$953&amp;"",UTILITIES!$H$3:$H$953,""),"IOT",_xlfn.XLOOKUP($K209&amp;"",IOT!$B$3:$B$1012&amp;"",IOT!$I$3:$I$1012,""),"SERVER",_xlfn.XLOOKUP($K209&amp;"",SERVER!$B$3:$B$1009&amp;"",SERVER!$I$3:$I$1009,""),""))</f>
        <v/>
      </c>
      <c r="M209" t="str" cm="1">
        <f t="array" ref="M209">IF($K209="","",_xlfn.SWITCH($I209,"Computer",_xlfn.XLOOKUP($K209&amp;"",COMPUTER!$B$3:$B$1009&amp;"",COMPUTER!$J$3:$J$1009,""),"Display",_xlfn.XLOOKUP($K209&amp;"",DISPLAY!$B$3:$B$1000&amp;"",DISPLAY!$K$3:$K$1000,""),"Network Device",_xlfn.XLOOKUP($K209&amp;"",'NETWORK-DEVICES'!$B$3:$B$987&amp;"",'NETWORK-DEVICES'!$I$3:$I$987,""),"Peripheral",_xlfn.XLOOKUP($K209&amp;"",PERIPHERAL!$B$3:$B$954&amp;"",PERIPHERAL!$J$3:$J$954,""),"Utilities",_xlfn.XLOOKUP($K209&amp;"",UTILITIES!$B$3:$B$953&amp;"",UTILITIES!$I$3:$I$953,""),"IOT",_xlfn.XLOOKUP($K209&amp;"",IOT!$B$3:$B$1012&amp;"",IOT!$J$3:$J$1012,""),"Server",_xlfn.XLOOKUP($K209&amp;"",SERVER!$B$3:$B$1009&amp;"",SERVER!$J$3:$J$1009,""),""))</f>
        <v/>
      </c>
      <c r="N209" s="1" t="str" cm="1">
        <f t="array" ref="N209">IF(OR($K209="",$I209="",$J209=""),"",_xlfn.LET(_xlpm.srcCat,_xlfn.SWITCH($I209,"Computer",_xlfn.XLOOKUP($K209&amp;"",COMPUTER!$B$3:$B$1009&amp;"",COMPUTER!$H$3:$H$1009,""),"Display",_xlfn.XLOOKUP($K209&amp;"",DISPLAY!$B$3:$B$1000&amp;"",DISPLAY!$H$3:$H$1000,""),"Network Device",_xlfn.XLOOKUP($K209&amp;"",'NETWORK-DEVICES'!$B$3:$B$987&amp;"",'NETWORK-DEVICES'!$H$3:$H$987,""),"Peripheral",_xlfn.XLOOKUP($K209&amp;"",PERIPHERAL!$B$3:$B$954&amp;"",PERIPHERAL!$H$3:$H$954,""),"Utilities",_xlfn.XLOOKUP($K209&amp;"",UTILITIES!$B$3:$B$953&amp;"",UTILITIES!$G$3:$G$953,""),"IOT",_xlfn.XLOOKUP($K209&amp;"",IOT!$B$3:$B$1012&amp;"",IOT!$H$3:$H$1012,""),"Server",_xlfn.XLOOKUP($K209&amp;"",SERVER!$B$3:$B$1009&amp;"",SERVER!$H$3:$H$1009,""),""),IF(TRIM(_xlpm.srcCat)&lt;&gt;TRIM($J209),"",_xlfn.SWITCH($I209,"Computer",_xlfn.XLOOKUP($K209&amp;"",COMPUTER!$B$3:$B$1009&amp;"",COMPUTER!$K$3:$K$1009,""),"Display",_xlfn.XLOOKUP($K209&amp;"",DISPLAY!$B$3:$B$1000&amp;"",DISPLAY!$L$3:$L$1000,""),"Network Device",_xlfn.XLOOKUP($K209&amp;"",'NETWORK-DEVICES'!$B$3:$B$987&amp;"",'NETWORK-DEVICES'!$K$3:$K$987,""),"Peripheral",_xlfn.XLOOKUP($K209&amp;"",PERIPHERAL!$B$3:$B$954&amp;"",PERIPHERAL!$K$3:$K$954,""),"Utilities",_xlfn.XLOOKUP($K209&amp;"",UTILITIES!$B$3:$B$953&amp;"",UTILITIES!$J$3:$J$953,""),"IOT",_xlfn.XLOOKUP($K209&amp;"",IOT!$B$3:$B$1012&amp;"",IOT!$K$4:$K$1012,""),"Server",_xlfn.XLOOKUP($K209&amp;"",SERVER!$B$3:$B$1009&amp;"",SERVER!$K$3:$K$1009,""),""))))</f>
        <v/>
      </c>
      <c r="O209" s="1" t="str" cm="1">
        <f t="array" ref="O209">IF(OR($K209="",$I209="",$J209=""),"",_xlfn.LET(_xlpm.srcCat,_xlfn.SWITCH($I209,"Computer",_xlfn.XLOOKUP($K209&amp;"",COMPUTER!$B$3:$B$1009&amp;"",COMPUTER!$H$3:$H$1009,""),"Display",_xlfn.XLOOKUP($K209&amp;"",DISPLAY!$B$3:$B$1000&amp;"",DISPLAY!$H$3:$H$1000,""),"Network Device",_xlfn.XLOOKUP($K209&amp;"",'NETWORK-DEVICES'!$B$3:$B$987&amp;"",'NETWORK-DEVICES'!$H$3:$H$987,""),"Peripheral",_xlfn.XLOOKUP($K209&amp;"",PERIPHERAL!$B$3:$B$954&amp;"",PERIPHERAL!$H$3:$H$954,""),"Utilities",_xlfn.XLOOKUP($K209&amp;"",UTILITIES!$B$3:$B$953&amp;"",UTILITIES!$G$3:$G$953,""),"IOT",_xlfn.XLOOKUP($K209&amp;"",IOT!$B$3:$B$1012&amp;"",IOT!$H$3:$H$1012,""),"Server",_xlfn.XLOOKUP($K209&amp;"",SERVER!$B$3:$B$1009&amp;"",SERVER!$H$3:$H$1009,""),""),IF(TRIM(_xlpm.srcCat)&lt;&gt;TRIM($J209),"",_xlfn.SWITCH($I209,"Computer",_xlfn.XLOOKUP($K209&amp;"",COMPUTER!$B$3:$B$1009&amp;"",COMPUTER!$E$3:$E$1009,""),"Display",_xlfn.XLOOKUP($K209&amp;"",DISPLAY!$B$3:$B$1000&amp;"",DISPLAY!$E$3:$E$1000,""),"Network Device",_xlfn.XLOOKUP($K209&amp;"",'NETWORK-DEVICES'!$B$3:$B$987&amp;"",'NETWORK-DEVICES'!$E$3:$E$987,""),"Peripheral",_xlfn.XLOOKUP($K209&amp;"",PERIPHERAL!$B$3:$B$954&amp;"",PERIPHERAL!$E$3:$E$954,""),"Utilities",_xlfn.XLOOKUP($K209&amp;"",UTILITIES!$B$3:$B$953&amp;"",UTILITIES!$E$3:$E$953,""),"IOT",_xlfn.XLOOKUP($K209&amp;"",IOT!$B$3:$B$1012&amp;"",IOT!$E$3:$E$1012,""),"Server",_xlfn.XLOOKUP($K209&amp;"",SERVER!$B$3:$B$1009&amp;"",SERVER!$E$3:$E$1009,""),""))))</f>
        <v/>
      </c>
      <c r="Q209" s="1" t="str" cm="1">
        <f t="array" ref="Q209">IF(OR($K209="",$I209="",$J209=""),"",_xlfn.LET(_xlpm.srcCat,_xlfn.SWITCH($I209,"Computer",_xlfn.XLOOKUP($K209&amp;"",COMPUTER!$B$3:$B$1009&amp;"",COMPUTER!$H$3:$H$1009,""),"Display",_xlfn.XLOOKUP($K209&amp;"",DISPLAY!$B$3:$B$1000&amp;"",DISPLAY!$H$3:$H$1000,""),"Network Device",_xlfn.XLOOKUP($K209&amp;"",'NETWORK-DEVICES'!$B$3:$B$987&amp;"",'NETWORK-DEVICES'!$H$3:$H$987,""),"Peripheral",_xlfn.XLOOKUP($K209&amp;"",PERIPHERAL!$B$3:$B$954&amp;"",PERIPHERAL!$H$3:$H$954,""),"Utilities",_xlfn.XLOOKUP($K209&amp;"",UTILITIES!$B$3:$B$953&amp;"",UTILITIES!$G$3:$G$953,""),"IOT",_xlfn.XLOOKUP($K209&amp;"",IOT!$B$3:$B$1012&amp;"",IOT!$H$3:$H$1012,""),"Server",_xlfn.XLOOKUP($K209&amp;"",SERVER!$B$3:$B$1009&amp;"",SERVER!$H$3:$H$1009,""),""),IF(TRIM(_xlpm.srcCat)&lt;&gt;TRIM($J209),"",_xlfn.SWITCH($I209,"Computer",_xlfn.XLOOKUP($K209&amp;"",COMPUTER!$B$3:$B$1009&amp;"",COMPUTER!$AM$3:$AM$1009,""),"Display",_xlfn.XLOOKUP($K209&amp;"",DISPLAY!$B$3:$B$1000&amp;"",DISPLAY!$V$3:$V$1000,""),"Network Device",_xlfn.XLOOKUP($K209&amp;"",'NETWORK-DEVICES'!$B$3:$B$987&amp;"",'NETWORK-DEVICES'!$AF$3:$AF$987,""),"Peripheral",_xlfn.XLOOKUP($K209&amp;"",PERIPHERAL!$B$3:$B$954&amp;"",PERIPHERAL!$Y$3:$Y$954,""),"Utilities",_xlfn.XLOOKUP($K209&amp;"",UTILITIES!$B$3:$B$953&amp;"",UTILITIES!$O$3:$O$953,""),"IOT",_xlfn.XLOOKUP($K209&amp;"",IOT!$B$3:$B$1012&amp;"",IOT!$AB$3:$AB$1012,""),"Server",_xlfn.XLOOKUP($K209&amp;"",SERVER!$B$3:$B$1009&amp;"",SERVER!$AB$3:$AB$1009,""),""))))</f>
        <v/>
      </c>
      <c r="R209" s="43" t="str">
        <f>IF(tbl_handover[[#This Row],[Asset Code]]="","",COUNTIF(tbl_handover[Asset Code],tbl_handover[[#This Row],[Asset Code]]))</f>
        <v/>
      </c>
    </row>
    <row r="210" spans="1:18" x14ac:dyDescent="0.25">
      <c r="A210" s="43" t="str">
        <f>IF(B210&lt;&gt;"",SUBTOTAL(3,$B$1:B209),"")</f>
        <v/>
      </c>
      <c r="C210" s="74"/>
      <c r="D210" s="74"/>
      <c r="G210" s="1"/>
      <c r="K210" s="42"/>
      <c r="L210" t="str" cm="1">
        <f t="array" ref="L210">IF($K210="","",_xlfn.SWITCH($I210,"Computer",_xlfn.XLOOKUP($K210&amp;"",COMPUTER!$B$3:$B$1009&amp;"",COMPUTER!$I$3:$I$1009,""),"Display",_xlfn.XLOOKUP($K210&amp;"",DISPLAY!$B$3:$B$1000&amp;"",DISPLAY!$J$3:$J$1000,""),"Network Device",_xlfn.XLOOKUP($K210&amp;"",'NETWORK-DEVICES'!$B$3:$B$987&amp;"",'NETWORK-DEVICES'!$I$3:$I$987,""),"Peripheral",_xlfn.XLOOKUP($K210&amp;"",PERIPHERAL!$B$3:$B$954&amp;"",PERIPHERAL!$I$3:$I$954,""),"Utilities",_xlfn.XLOOKUP($K210&amp;"",UTILITIES!$B$3:$B$953&amp;"",UTILITIES!$H$3:$H$953,""),"IOT",_xlfn.XLOOKUP($K210&amp;"",IOT!$B$3:$B$1012&amp;"",IOT!$I$3:$I$1012,""),"SERVER",_xlfn.XLOOKUP($K210&amp;"",SERVER!$B$3:$B$1009&amp;"",SERVER!$I$3:$I$1009,""),""))</f>
        <v/>
      </c>
      <c r="M210" t="str" cm="1">
        <f t="array" ref="M210">IF($K210="","",_xlfn.SWITCH($I210,"Computer",_xlfn.XLOOKUP($K210&amp;"",COMPUTER!$B$3:$B$1009&amp;"",COMPUTER!$J$3:$J$1009,""),"Display",_xlfn.XLOOKUP($K210&amp;"",DISPLAY!$B$3:$B$1000&amp;"",DISPLAY!$K$3:$K$1000,""),"Network Device",_xlfn.XLOOKUP($K210&amp;"",'NETWORK-DEVICES'!$B$3:$B$987&amp;"",'NETWORK-DEVICES'!$I$3:$I$987,""),"Peripheral",_xlfn.XLOOKUP($K210&amp;"",PERIPHERAL!$B$3:$B$954&amp;"",PERIPHERAL!$J$3:$J$954,""),"Utilities",_xlfn.XLOOKUP($K210&amp;"",UTILITIES!$B$3:$B$953&amp;"",UTILITIES!$I$3:$I$953,""),"IOT",_xlfn.XLOOKUP($K210&amp;"",IOT!$B$3:$B$1012&amp;"",IOT!$J$3:$J$1012,""),"Server",_xlfn.XLOOKUP($K210&amp;"",SERVER!$B$3:$B$1009&amp;"",SERVER!$J$3:$J$1009,""),""))</f>
        <v/>
      </c>
      <c r="N210" s="1" t="str" cm="1">
        <f t="array" ref="N210">IF(OR($K210="",$I210="",$J210=""),"",_xlfn.LET(_xlpm.srcCat,_xlfn.SWITCH($I210,"Computer",_xlfn.XLOOKUP($K210&amp;"",COMPUTER!$B$3:$B$1009&amp;"",COMPUTER!$H$3:$H$1009,""),"Display",_xlfn.XLOOKUP($K210&amp;"",DISPLAY!$B$3:$B$1000&amp;"",DISPLAY!$H$3:$H$1000,""),"Network Device",_xlfn.XLOOKUP($K210&amp;"",'NETWORK-DEVICES'!$B$3:$B$987&amp;"",'NETWORK-DEVICES'!$H$3:$H$987,""),"Peripheral",_xlfn.XLOOKUP($K210&amp;"",PERIPHERAL!$B$3:$B$954&amp;"",PERIPHERAL!$H$3:$H$954,""),"Utilities",_xlfn.XLOOKUP($K210&amp;"",UTILITIES!$B$3:$B$953&amp;"",UTILITIES!$G$3:$G$953,""),"IOT",_xlfn.XLOOKUP($K210&amp;"",IOT!$B$3:$B$1012&amp;"",IOT!$H$3:$H$1012,""),"Server",_xlfn.XLOOKUP($K210&amp;"",SERVER!$B$3:$B$1009&amp;"",SERVER!$H$3:$H$1009,""),""),IF(TRIM(_xlpm.srcCat)&lt;&gt;TRIM($J210),"",_xlfn.SWITCH($I210,"Computer",_xlfn.XLOOKUP($K210&amp;"",COMPUTER!$B$3:$B$1009&amp;"",COMPUTER!$K$3:$K$1009,""),"Display",_xlfn.XLOOKUP($K210&amp;"",DISPLAY!$B$3:$B$1000&amp;"",DISPLAY!$L$3:$L$1000,""),"Network Device",_xlfn.XLOOKUP($K210&amp;"",'NETWORK-DEVICES'!$B$3:$B$987&amp;"",'NETWORK-DEVICES'!$K$3:$K$987,""),"Peripheral",_xlfn.XLOOKUP($K210&amp;"",PERIPHERAL!$B$3:$B$954&amp;"",PERIPHERAL!$K$3:$K$954,""),"Utilities",_xlfn.XLOOKUP($K210&amp;"",UTILITIES!$B$3:$B$953&amp;"",UTILITIES!$J$3:$J$953,""),"IOT",_xlfn.XLOOKUP($K210&amp;"",IOT!$B$3:$B$1012&amp;"",IOT!$K$4:$K$1012,""),"Server",_xlfn.XLOOKUP($K210&amp;"",SERVER!$B$3:$B$1009&amp;"",SERVER!$K$3:$K$1009,""),""))))</f>
        <v/>
      </c>
      <c r="O210" s="1" t="str" cm="1">
        <f t="array" ref="O210">IF(OR($K210="",$I210="",$J210=""),"",_xlfn.LET(_xlpm.srcCat,_xlfn.SWITCH($I210,"Computer",_xlfn.XLOOKUP($K210&amp;"",COMPUTER!$B$3:$B$1009&amp;"",COMPUTER!$H$3:$H$1009,""),"Display",_xlfn.XLOOKUP($K210&amp;"",DISPLAY!$B$3:$B$1000&amp;"",DISPLAY!$H$3:$H$1000,""),"Network Device",_xlfn.XLOOKUP($K210&amp;"",'NETWORK-DEVICES'!$B$3:$B$987&amp;"",'NETWORK-DEVICES'!$H$3:$H$987,""),"Peripheral",_xlfn.XLOOKUP($K210&amp;"",PERIPHERAL!$B$3:$B$954&amp;"",PERIPHERAL!$H$3:$H$954,""),"Utilities",_xlfn.XLOOKUP($K210&amp;"",UTILITIES!$B$3:$B$953&amp;"",UTILITIES!$G$3:$G$953,""),"IOT",_xlfn.XLOOKUP($K210&amp;"",IOT!$B$3:$B$1012&amp;"",IOT!$H$3:$H$1012,""),"Server",_xlfn.XLOOKUP($K210&amp;"",SERVER!$B$3:$B$1009&amp;"",SERVER!$H$3:$H$1009,""),""),IF(TRIM(_xlpm.srcCat)&lt;&gt;TRIM($J210),"",_xlfn.SWITCH($I210,"Computer",_xlfn.XLOOKUP($K210&amp;"",COMPUTER!$B$3:$B$1009&amp;"",COMPUTER!$E$3:$E$1009,""),"Display",_xlfn.XLOOKUP($K210&amp;"",DISPLAY!$B$3:$B$1000&amp;"",DISPLAY!$E$3:$E$1000,""),"Network Device",_xlfn.XLOOKUP($K210&amp;"",'NETWORK-DEVICES'!$B$3:$B$987&amp;"",'NETWORK-DEVICES'!$E$3:$E$987,""),"Peripheral",_xlfn.XLOOKUP($K210&amp;"",PERIPHERAL!$B$3:$B$954&amp;"",PERIPHERAL!$E$3:$E$954,""),"Utilities",_xlfn.XLOOKUP($K210&amp;"",UTILITIES!$B$3:$B$953&amp;"",UTILITIES!$E$3:$E$953,""),"IOT",_xlfn.XLOOKUP($K210&amp;"",IOT!$B$3:$B$1012&amp;"",IOT!$E$3:$E$1012,""),"Server",_xlfn.XLOOKUP($K210&amp;"",SERVER!$B$3:$B$1009&amp;"",SERVER!$E$3:$E$1009,""),""))))</f>
        <v/>
      </c>
      <c r="Q210" s="1" t="str" cm="1">
        <f t="array" ref="Q210">IF(OR($K210="",$I210="",$J210=""),"",_xlfn.LET(_xlpm.srcCat,_xlfn.SWITCH($I210,"Computer",_xlfn.XLOOKUP($K210&amp;"",COMPUTER!$B$3:$B$1009&amp;"",COMPUTER!$H$3:$H$1009,""),"Display",_xlfn.XLOOKUP($K210&amp;"",DISPLAY!$B$3:$B$1000&amp;"",DISPLAY!$H$3:$H$1000,""),"Network Device",_xlfn.XLOOKUP($K210&amp;"",'NETWORK-DEVICES'!$B$3:$B$987&amp;"",'NETWORK-DEVICES'!$H$3:$H$987,""),"Peripheral",_xlfn.XLOOKUP($K210&amp;"",PERIPHERAL!$B$3:$B$954&amp;"",PERIPHERAL!$H$3:$H$954,""),"Utilities",_xlfn.XLOOKUP($K210&amp;"",UTILITIES!$B$3:$B$953&amp;"",UTILITIES!$G$3:$G$953,""),"IOT",_xlfn.XLOOKUP($K210&amp;"",IOT!$B$3:$B$1012&amp;"",IOT!$H$3:$H$1012,""),"Server",_xlfn.XLOOKUP($K210&amp;"",SERVER!$B$3:$B$1009&amp;"",SERVER!$H$3:$H$1009,""),""),IF(TRIM(_xlpm.srcCat)&lt;&gt;TRIM($J210),"",_xlfn.SWITCH($I210,"Computer",_xlfn.XLOOKUP($K210&amp;"",COMPUTER!$B$3:$B$1009&amp;"",COMPUTER!$AM$3:$AM$1009,""),"Display",_xlfn.XLOOKUP($K210&amp;"",DISPLAY!$B$3:$B$1000&amp;"",DISPLAY!$V$3:$V$1000,""),"Network Device",_xlfn.XLOOKUP($K210&amp;"",'NETWORK-DEVICES'!$B$3:$B$987&amp;"",'NETWORK-DEVICES'!$AF$3:$AF$987,""),"Peripheral",_xlfn.XLOOKUP($K210&amp;"",PERIPHERAL!$B$3:$B$954&amp;"",PERIPHERAL!$Y$3:$Y$954,""),"Utilities",_xlfn.XLOOKUP($K210&amp;"",UTILITIES!$B$3:$B$953&amp;"",UTILITIES!$O$3:$O$953,""),"IOT",_xlfn.XLOOKUP($K210&amp;"",IOT!$B$3:$B$1012&amp;"",IOT!$AB$3:$AB$1012,""),"Server",_xlfn.XLOOKUP($K210&amp;"",SERVER!$B$3:$B$1009&amp;"",SERVER!$AB$3:$AB$1009,""),""))))</f>
        <v/>
      </c>
      <c r="R210" s="43" t="str">
        <f>IF(tbl_handover[[#This Row],[Asset Code]]="","",COUNTIF(tbl_handover[Asset Code],tbl_handover[[#This Row],[Asset Code]]))</f>
        <v/>
      </c>
    </row>
    <row r="211" spans="1:18" x14ac:dyDescent="0.25">
      <c r="A211" s="43" t="str">
        <f>IF(B211&lt;&gt;"",SUBTOTAL(3,$B$1:B210),"")</f>
        <v/>
      </c>
      <c r="C211" s="74"/>
      <c r="D211" s="74"/>
      <c r="G211" s="1"/>
      <c r="K211" s="42"/>
      <c r="L211" t="str" cm="1">
        <f t="array" ref="L211">IF($K211="","",_xlfn.SWITCH($I211,"Computer",_xlfn.XLOOKUP($K211&amp;"",COMPUTER!$B$3:$B$1009&amp;"",COMPUTER!$I$3:$I$1009,""),"Display",_xlfn.XLOOKUP($K211&amp;"",DISPLAY!$B$3:$B$1000&amp;"",DISPLAY!$J$3:$J$1000,""),"Network Device",_xlfn.XLOOKUP($K211&amp;"",'NETWORK-DEVICES'!$B$3:$B$987&amp;"",'NETWORK-DEVICES'!$I$3:$I$987,""),"Peripheral",_xlfn.XLOOKUP($K211&amp;"",PERIPHERAL!$B$3:$B$954&amp;"",PERIPHERAL!$I$3:$I$954,""),"Utilities",_xlfn.XLOOKUP($K211&amp;"",UTILITIES!$B$3:$B$953&amp;"",UTILITIES!$H$3:$H$953,""),"IOT",_xlfn.XLOOKUP($K211&amp;"",IOT!$B$3:$B$1012&amp;"",IOT!$I$3:$I$1012,""),"SERVER",_xlfn.XLOOKUP($K211&amp;"",SERVER!$B$3:$B$1009&amp;"",SERVER!$I$3:$I$1009,""),""))</f>
        <v/>
      </c>
      <c r="M211" t="str" cm="1">
        <f t="array" ref="M211">IF($K211="","",_xlfn.SWITCH($I211,"Computer",_xlfn.XLOOKUP($K211&amp;"",COMPUTER!$B$3:$B$1009&amp;"",COMPUTER!$J$3:$J$1009,""),"Display",_xlfn.XLOOKUP($K211&amp;"",DISPLAY!$B$3:$B$1000&amp;"",DISPLAY!$K$3:$K$1000,""),"Network Device",_xlfn.XLOOKUP($K211&amp;"",'NETWORK-DEVICES'!$B$3:$B$987&amp;"",'NETWORK-DEVICES'!$I$3:$I$987,""),"Peripheral",_xlfn.XLOOKUP($K211&amp;"",PERIPHERAL!$B$3:$B$954&amp;"",PERIPHERAL!$J$3:$J$954,""),"Utilities",_xlfn.XLOOKUP($K211&amp;"",UTILITIES!$B$3:$B$953&amp;"",UTILITIES!$I$3:$I$953,""),"IOT",_xlfn.XLOOKUP($K211&amp;"",IOT!$B$3:$B$1012&amp;"",IOT!$J$3:$J$1012,""),"Server",_xlfn.XLOOKUP($K211&amp;"",SERVER!$B$3:$B$1009&amp;"",SERVER!$J$3:$J$1009,""),""))</f>
        <v/>
      </c>
      <c r="N211" s="1" t="str" cm="1">
        <f t="array" ref="N211">IF(OR($K211="",$I211="",$J211=""),"",_xlfn.LET(_xlpm.srcCat,_xlfn.SWITCH($I211,"Computer",_xlfn.XLOOKUP($K211&amp;"",COMPUTER!$B$3:$B$1009&amp;"",COMPUTER!$H$3:$H$1009,""),"Display",_xlfn.XLOOKUP($K211&amp;"",DISPLAY!$B$3:$B$1000&amp;"",DISPLAY!$H$3:$H$1000,""),"Network Device",_xlfn.XLOOKUP($K211&amp;"",'NETWORK-DEVICES'!$B$3:$B$987&amp;"",'NETWORK-DEVICES'!$H$3:$H$987,""),"Peripheral",_xlfn.XLOOKUP($K211&amp;"",PERIPHERAL!$B$3:$B$954&amp;"",PERIPHERAL!$H$3:$H$954,""),"Utilities",_xlfn.XLOOKUP($K211&amp;"",UTILITIES!$B$3:$B$953&amp;"",UTILITIES!$G$3:$G$953,""),"IOT",_xlfn.XLOOKUP($K211&amp;"",IOT!$B$3:$B$1012&amp;"",IOT!$H$3:$H$1012,""),"Server",_xlfn.XLOOKUP($K211&amp;"",SERVER!$B$3:$B$1009&amp;"",SERVER!$H$3:$H$1009,""),""),IF(TRIM(_xlpm.srcCat)&lt;&gt;TRIM($J211),"",_xlfn.SWITCH($I211,"Computer",_xlfn.XLOOKUP($K211&amp;"",COMPUTER!$B$3:$B$1009&amp;"",COMPUTER!$K$3:$K$1009,""),"Display",_xlfn.XLOOKUP($K211&amp;"",DISPLAY!$B$3:$B$1000&amp;"",DISPLAY!$L$3:$L$1000,""),"Network Device",_xlfn.XLOOKUP($K211&amp;"",'NETWORK-DEVICES'!$B$3:$B$987&amp;"",'NETWORK-DEVICES'!$K$3:$K$987,""),"Peripheral",_xlfn.XLOOKUP($K211&amp;"",PERIPHERAL!$B$3:$B$954&amp;"",PERIPHERAL!$K$3:$K$954,""),"Utilities",_xlfn.XLOOKUP($K211&amp;"",UTILITIES!$B$3:$B$953&amp;"",UTILITIES!$J$3:$J$953,""),"IOT",_xlfn.XLOOKUP($K211&amp;"",IOT!$B$3:$B$1012&amp;"",IOT!$K$4:$K$1012,""),"Server",_xlfn.XLOOKUP($K211&amp;"",SERVER!$B$3:$B$1009&amp;"",SERVER!$K$3:$K$1009,""),""))))</f>
        <v/>
      </c>
      <c r="O211" s="1" t="str" cm="1">
        <f t="array" ref="O211">IF(OR($K211="",$I211="",$J211=""),"",_xlfn.LET(_xlpm.srcCat,_xlfn.SWITCH($I211,"Computer",_xlfn.XLOOKUP($K211&amp;"",COMPUTER!$B$3:$B$1009&amp;"",COMPUTER!$H$3:$H$1009,""),"Display",_xlfn.XLOOKUP($K211&amp;"",DISPLAY!$B$3:$B$1000&amp;"",DISPLAY!$H$3:$H$1000,""),"Network Device",_xlfn.XLOOKUP($K211&amp;"",'NETWORK-DEVICES'!$B$3:$B$987&amp;"",'NETWORK-DEVICES'!$H$3:$H$987,""),"Peripheral",_xlfn.XLOOKUP($K211&amp;"",PERIPHERAL!$B$3:$B$954&amp;"",PERIPHERAL!$H$3:$H$954,""),"Utilities",_xlfn.XLOOKUP($K211&amp;"",UTILITIES!$B$3:$B$953&amp;"",UTILITIES!$G$3:$G$953,""),"IOT",_xlfn.XLOOKUP($K211&amp;"",IOT!$B$3:$B$1012&amp;"",IOT!$H$3:$H$1012,""),"Server",_xlfn.XLOOKUP($K211&amp;"",SERVER!$B$3:$B$1009&amp;"",SERVER!$H$3:$H$1009,""),""),IF(TRIM(_xlpm.srcCat)&lt;&gt;TRIM($J211),"",_xlfn.SWITCH($I211,"Computer",_xlfn.XLOOKUP($K211&amp;"",COMPUTER!$B$3:$B$1009&amp;"",COMPUTER!$E$3:$E$1009,""),"Display",_xlfn.XLOOKUP($K211&amp;"",DISPLAY!$B$3:$B$1000&amp;"",DISPLAY!$E$3:$E$1000,""),"Network Device",_xlfn.XLOOKUP($K211&amp;"",'NETWORK-DEVICES'!$B$3:$B$987&amp;"",'NETWORK-DEVICES'!$E$3:$E$987,""),"Peripheral",_xlfn.XLOOKUP($K211&amp;"",PERIPHERAL!$B$3:$B$954&amp;"",PERIPHERAL!$E$3:$E$954,""),"Utilities",_xlfn.XLOOKUP($K211&amp;"",UTILITIES!$B$3:$B$953&amp;"",UTILITIES!$E$3:$E$953,""),"IOT",_xlfn.XLOOKUP($K211&amp;"",IOT!$B$3:$B$1012&amp;"",IOT!$E$3:$E$1012,""),"Server",_xlfn.XLOOKUP($K211&amp;"",SERVER!$B$3:$B$1009&amp;"",SERVER!$E$3:$E$1009,""),""))))</f>
        <v/>
      </c>
      <c r="Q211" s="1" t="str" cm="1">
        <f t="array" ref="Q211">IF(OR($K211="",$I211="",$J211=""),"",_xlfn.LET(_xlpm.srcCat,_xlfn.SWITCH($I211,"Computer",_xlfn.XLOOKUP($K211&amp;"",COMPUTER!$B$3:$B$1009&amp;"",COMPUTER!$H$3:$H$1009,""),"Display",_xlfn.XLOOKUP($K211&amp;"",DISPLAY!$B$3:$B$1000&amp;"",DISPLAY!$H$3:$H$1000,""),"Network Device",_xlfn.XLOOKUP($K211&amp;"",'NETWORK-DEVICES'!$B$3:$B$987&amp;"",'NETWORK-DEVICES'!$H$3:$H$987,""),"Peripheral",_xlfn.XLOOKUP($K211&amp;"",PERIPHERAL!$B$3:$B$954&amp;"",PERIPHERAL!$H$3:$H$954,""),"Utilities",_xlfn.XLOOKUP($K211&amp;"",UTILITIES!$B$3:$B$953&amp;"",UTILITIES!$G$3:$G$953,""),"IOT",_xlfn.XLOOKUP($K211&amp;"",IOT!$B$3:$B$1012&amp;"",IOT!$H$3:$H$1012,""),"Server",_xlfn.XLOOKUP($K211&amp;"",SERVER!$B$3:$B$1009&amp;"",SERVER!$H$3:$H$1009,""),""),IF(TRIM(_xlpm.srcCat)&lt;&gt;TRIM($J211),"",_xlfn.SWITCH($I211,"Computer",_xlfn.XLOOKUP($K211&amp;"",COMPUTER!$B$3:$B$1009&amp;"",COMPUTER!$AM$3:$AM$1009,""),"Display",_xlfn.XLOOKUP($K211&amp;"",DISPLAY!$B$3:$B$1000&amp;"",DISPLAY!$V$3:$V$1000,""),"Network Device",_xlfn.XLOOKUP($K211&amp;"",'NETWORK-DEVICES'!$B$3:$B$987&amp;"",'NETWORK-DEVICES'!$AF$3:$AF$987,""),"Peripheral",_xlfn.XLOOKUP($K211&amp;"",PERIPHERAL!$B$3:$B$954&amp;"",PERIPHERAL!$Y$3:$Y$954,""),"Utilities",_xlfn.XLOOKUP($K211&amp;"",UTILITIES!$B$3:$B$953&amp;"",UTILITIES!$O$3:$O$953,""),"IOT",_xlfn.XLOOKUP($K211&amp;"",IOT!$B$3:$B$1012&amp;"",IOT!$AB$3:$AB$1012,""),"Server",_xlfn.XLOOKUP($K211&amp;"",SERVER!$B$3:$B$1009&amp;"",SERVER!$AB$3:$AB$1009,""),""))))</f>
        <v/>
      </c>
      <c r="R211" s="43" t="str">
        <f>IF(tbl_handover[[#This Row],[Asset Code]]="","",COUNTIF(tbl_handover[Asset Code],tbl_handover[[#This Row],[Asset Code]]))</f>
        <v/>
      </c>
    </row>
    <row r="212" spans="1:18" x14ac:dyDescent="0.25">
      <c r="A212" s="43" t="str">
        <f>IF(B212&lt;&gt;"",SUBTOTAL(3,$B$1:B211),"")</f>
        <v/>
      </c>
      <c r="C212" s="74"/>
      <c r="D212" s="74"/>
      <c r="G212" s="1"/>
      <c r="K212" s="42"/>
      <c r="L212" t="str" cm="1">
        <f t="array" ref="L212">IF($K212="","",_xlfn.SWITCH($I212,"Computer",_xlfn.XLOOKUP($K212&amp;"",COMPUTER!$B$3:$B$1009&amp;"",COMPUTER!$I$3:$I$1009,""),"Display",_xlfn.XLOOKUP($K212&amp;"",DISPLAY!$B$3:$B$1000&amp;"",DISPLAY!$J$3:$J$1000,""),"Network Device",_xlfn.XLOOKUP($K212&amp;"",'NETWORK-DEVICES'!$B$3:$B$987&amp;"",'NETWORK-DEVICES'!$I$3:$I$987,""),"Peripheral",_xlfn.XLOOKUP($K212&amp;"",PERIPHERAL!$B$3:$B$954&amp;"",PERIPHERAL!$I$3:$I$954,""),"Utilities",_xlfn.XLOOKUP($K212&amp;"",UTILITIES!$B$3:$B$953&amp;"",UTILITIES!$H$3:$H$953,""),"IOT",_xlfn.XLOOKUP($K212&amp;"",IOT!$B$3:$B$1012&amp;"",IOT!$I$3:$I$1012,""),"SERVER",_xlfn.XLOOKUP($K212&amp;"",SERVER!$B$3:$B$1009&amp;"",SERVER!$I$3:$I$1009,""),""))</f>
        <v/>
      </c>
      <c r="M212" t="str" cm="1">
        <f t="array" ref="M212">IF($K212="","",_xlfn.SWITCH($I212,"Computer",_xlfn.XLOOKUP($K212&amp;"",COMPUTER!$B$3:$B$1009&amp;"",COMPUTER!$J$3:$J$1009,""),"Display",_xlfn.XLOOKUP($K212&amp;"",DISPLAY!$B$3:$B$1000&amp;"",DISPLAY!$K$3:$K$1000,""),"Network Device",_xlfn.XLOOKUP($K212&amp;"",'NETWORK-DEVICES'!$B$3:$B$987&amp;"",'NETWORK-DEVICES'!$I$3:$I$987,""),"Peripheral",_xlfn.XLOOKUP($K212&amp;"",PERIPHERAL!$B$3:$B$954&amp;"",PERIPHERAL!$J$3:$J$954,""),"Utilities",_xlfn.XLOOKUP($K212&amp;"",UTILITIES!$B$3:$B$953&amp;"",UTILITIES!$I$3:$I$953,""),"IOT",_xlfn.XLOOKUP($K212&amp;"",IOT!$B$3:$B$1012&amp;"",IOT!$J$3:$J$1012,""),"Server",_xlfn.XLOOKUP($K212&amp;"",SERVER!$B$3:$B$1009&amp;"",SERVER!$J$3:$J$1009,""),""))</f>
        <v/>
      </c>
      <c r="N212" s="1" t="str" cm="1">
        <f t="array" ref="N212">IF(OR($K212="",$I212="",$J212=""),"",_xlfn.LET(_xlpm.srcCat,_xlfn.SWITCH($I212,"Computer",_xlfn.XLOOKUP($K212&amp;"",COMPUTER!$B$3:$B$1009&amp;"",COMPUTER!$H$3:$H$1009,""),"Display",_xlfn.XLOOKUP($K212&amp;"",DISPLAY!$B$3:$B$1000&amp;"",DISPLAY!$H$3:$H$1000,""),"Network Device",_xlfn.XLOOKUP($K212&amp;"",'NETWORK-DEVICES'!$B$3:$B$987&amp;"",'NETWORK-DEVICES'!$H$3:$H$987,""),"Peripheral",_xlfn.XLOOKUP($K212&amp;"",PERIPHERAL!$B$3:$B$954&amp;"",PERIPHERAL!$H$3:$H$954,""),"Utilities",_xlfn.XLOOKUP($K212&amp;"",UTILITIES!$B$3:$B$953&amp;"",UTILITIES!$G$3:$G$953,""),"IOT",_xlfn.XLOOKUP($K212&amp;"",IOT!$B$3:$B$1012&amp;"",IOT!$H$3:$H$1012,""),"Server",_xlfn.XLOOKUP($K212&amp;"",SERVER!$B$3:$B$1009&amp;"",SERVER!$H$3:$H$1009,""),""),IF(TRIM(_xlpm.srcCat)&lt;&gt;TRIM($J212),"",_xlfn.SWITCH($I212,"Computer",_xlfn.XLOOKUP($K212&amp;"",COMPUTER!$B$3:$B$1009&amp;"",COMPUTER!$K$3:$K$1009,""),"Display",_xlfn.XLOOKUP($K212&amp;"",DISPLAY!$B$3:$B$1000&amp;"",DISPLAY!$L$3:$L$1000,""),"Network Device",_xlfn.XLOOKUP($K212&amp;"",'NETWORK-DEVICES'!$B$3:$B$987&amp;"",'NETWORK-DEVICES'!$K$3:$K$987,""),"Peripheral",_xlfn.XLOOKUP($K212&amp;"",PERIPHERAL!$B$3:$B$954&amp;"",PERIPHERAL!$K$3:$K$954,""),"Utilities",_xlfn.XLOOKUP($K212&amp;"",UTILITIES!$B$3:$B$953&amp;"",UTILITIES!$J$3:$J$953,""),"IOT",_xlfn.XLOOKUP($K212&amp;"",IOT!$B$3:$B$1012&amp;"",IOT!$K$4:$K$1012,""),"Server",_xlfn.XLOOKUP($K212&amp;"",SERVER!$B$3:$B$1009&amp;"",SERVER!$K$3:$K$1009,""),""))))</f>
        <v/>
      </c>
      <c r="O212" s="1" t="str" cm="1">
        <f t="array" ref="O212">IF(OR($K212="",$I212="",$J212=""),"",_xlfn.LET(_xlpm.srcCat,_xlfn.SWITCH($I212,"Computer",_xlfn.XLOOKUP($K212&amp;"",COMPUTER!$B$3:$B$1009&amp;"",COMPUTER!$H$3:$H$1009,""),"Display",_xlfn.XLOOKUP($K212&amp;"",DISPLAY!$B$3:$B$1000&amp;"",DISPLAY!$H$3:$H$1000,""),"Network Device",_xlfn.XLOOKUP($K212&amp;"",'NETWORK-DEVICES'!$B$3:$B$987&amp;"",'NETWORK-DEVICES'!$H$3:$H$987,""),"Peripheral",_xlfn.XLOOKUP($K212&amp;"",PERIPHERAL!$B$3:$B$954&amp;"",PERIPHERAL!$H$3:$H$954,""),"Utilities",_xlfn.XLOOKUP($K212&amp;"",UTILITIES!$B$3:$B$953&amp;"",UTILITIES!$G$3:$G$953,""),"IOT",_xlfn.XLOOKUP($K212&amp;"",IOT!$B$3:$B$1012&amp;"",IOT!$H$3:$H$1012,""),"Server",_xlfn.XLOOKUP($K212&amp;"",SERVER!$B$3:$B$1009&amp;"",SERVER!$H$3:$H$1009,""),""),IF(TRIM(_xlpm.srcCat)&lt;&gt;TRIM($J212),"",_xlfn.SWITCH($I212,"Computer",_xlfn.XLOOKUP($K212&amp;"",COMPUTER!$B$3:$B$1009&amp;"",COMPUTER!$E$3:$E$1009,""),"Display",_xlfn.XLOOKUP($K212&amp;"",DISPLAY!$B$3:$B$1000&amp;"",DISPLAY!$E$3:$E$1000,""),"Network Device",_xlfn.XLOOKUP($K212&amp;"",'NETWORK-DEVICES'!$B$3:$B$987&amp;"",'NETWORK-DEVICES'!$E$3:$E$987,""),"Peripheral",_xlfn.XLOOKUP($K212&amp;"",PERIPHERAL!$B$3:$B$954&amp;"",PERIPHERAL!$E$3:$E$954,""),"Utilities",_xlfn.XLOOKUP($K212&amp;"",UTILITIES!$B$3:$B$953&amp;"",UTILITIES!$E$3:$E$953,""),"IOT",_xlfn.XLOOKUP($K212&amp;"",IOT!$B$3:$B$1012&amp;"",IOT!$E$3:$E$1012,""),"Server",_xlfn.XLOOKUP($K212&amp;"",SERVER!$B$3:$B$1009&amp;"",SERVER!$E$3:$E$1009,""),""))))</f>
        <v/>
      </c>
      <c r="Q212" s="1" t="str" cm="1">
        <f t="array" ref="Q212">IF(OR($K212="",$I212="",$J212=""),"",_xlfn.LET(_xlpm.srcCat,_xlfn.SWITCH($I212,"Computer",_xlfn.XLOOKUP($K212&amp;"",COMPUTER!$B$3:$B$1009&amp;"",COMPUTER!$H$3:$H$1009,""),"Display",_xlfn.XLOOKUP($K212&amp;"",DISPLAY!$B$3:$B$1000&amp;"",DISPLAY!$H$3:$H$1000,""),"Network Device",_xlfn.XLOOKUP($K212&amp;"",'NETWORK-DEVICES'!$B$3:$B$987&amp;"",'NETWORK-DEVICES'!$H$3:$H$987,""),"Peripheral",_xlfn.XLOOKUP($K212&amp;"",PERIPHERAL!$B$3:$B$954&amp;"",PERIPHERAL!$H$3:$H$954,""),"Utilities",_xlfn.XLOOKUP($K212&amp;"",UTILITIES!$B$3:$B$953&amp;"",UTILITIES!$G$3:$G$953,""),"IOT",_xlfn.XLOOKUP($K212&amp;"",IOT!$B$3:$B$1012&amp;"",IOT!$H$3:$H$1012,""),"Server",_xlfn.XLOOKUP($K212&amp;"",SERVER!$B$3:$B$1009&amp;"",SERVER!$H$3:$H$1009,""),""),IF(TRIM(_xlpm.srcCat)&lt;&gt;TRIM($J212),"",_xlfn.SWITCH($I212,"Computer",_xlfn.XLOOKUP($K212&amp;"",COMPUTER!$B$3:$B$1009&amp;"",COMPUTER!$AM$3:$AM$1009,""),"Display",_xlfn.XLOOKUP($K212&amp;"",DISPLAY!$B$3:$B$1000&amp;"",DISPLAY!$V$3:$V$1000,""),"Network Device",_xlfn.XLOOKUP($K212&amp;"",'NETWORK-DEVICES'!$B$3:$B$987&amp;"",'NETWORK-DEVICES'!$AF$3:$AF$987,""),"Peripheral",_xlfn.XLOOKUP($K212&amp;"",PERIPHERAL!$B$3:$B$954&amp;"",PERIPHERAL!$Y$3:$Y$954,""),"Utilities",_xlfn.XLOOKUP($K212&amp;"",UTILITIES!$B$3:$B$953&amp;"",UTILITIES!$O$3:$O$953,""),"IOT",_xlfn.XLOOKUP($K212&amp;"",IOT!$B$3:$B$1012&amp;"",IOT!$AB$3:$AB$1012,""),"Server",_xlfn.XLOOKUP($K212&amp;"",SERVER!$B$3:$B$1009&amp;"",SERVER!$AB$3:$AB$1009,""),""))))</f>
        <v/>
      </c>
      <c r="R212" s="43" t="str">
        <f>IF(tbl_handover[[#This Row],[Asset Code]]="","",COUNTIF(tbl_handover[Asset Code],tbl_handover[[#This Row],[Asset Code]]))</f>
        <v/>
      </c>
    </row>
    <row r="213" spans="1:18" x14ac:dyDescent="0.25">
      <c r="A213" s="43" t="str">
        <f>IF(B213&lt;&gt;"",SUBTOTAL(3,$B$1:B212),"")</f>
        <v/>
      </c>
      <c r="C213" s="74"/>
      <c r="D213" s="74"/>
      <c r="G213" s="1"/>
      <c r="K213" s="42"/>
      <c r="L213" t="str" cm="1">
        <f t="array" ref="L213">IF($K213="","",_xlfn.SWITCH($I213,"Computer",_xlfn.XLOOKUP($K213&amp;"",COMPUTER!$B$3:$B$1009&amp;"",COMPUTER!$I$3:$I$1009,""),"Display",_xlfn.XLOOKUP($K213&amp;"",DISPLAY!$B$3:$B$1000&amp;"",DISPLAY!$J$3:$J$1000,""),"Network Device",_xlfn.XLOOKUP($K213&amp;"",'NETWORK-DEVICES'!$B$3:$B$987&amp;"",'NETWORK-DEVICES'!$I$3:$I$987,""),"Peripheral",_xlfn.XLOOKUP($K213&amp;"",PERIPHERAL!$B$3:$B$954&amp;"",PERIPHERAL!$I$3:$I$954,""),"Utilities",_xlfn.XLOOKUP($K213&amp;"",UTILITIES!$B$3:$B$953&amp;"",UTILITIES!$H$3:$H$953,""),"IOT",_xlfn.XLOOKUP($K213&amp;"",IOT!$B$3:$B$1012&amp;"",IOT!$I$3:$I$1012,""),"SERVER",_xlfn.XLOOKUP($K213&amp;"",SERVER!$B$3:$B$1009&amp;"",SERVER!$I$3:$I$1009,""),""))</f>
        <v/>
      </c>
      <c r="M213" t="str" cm="1">
        <f t="array" ref="M213">IF($K213="","",_xlfn.SWITCH($I213,"Computer",_xlfn.XLOOKUP($K213&amp;"",COMPUTER!$B$3:$B$1009&amp;"",COMPUTER!$J$3:$J$1009,""),"Display",_xlfn.XLOOKUP($K213&amp;"",DISPLAY!$B$3:$B$1000&amp;"",DISPLAY!$K$3:$K$1000,""),"Network Device",_xlfn.XLOOKUP($K213&amp;"",'NETWORK-DEVICES'!$B$3:$B$987&amp;"",'NETWORK-DEVICES'!$I$3:$I$987,""),"Peripheral",_xlfn.XLOOKUP($K213&amp;"",PERIPHERAL!$B$3:$B$954&amp;"",PERIPHERAL!$J$3:$J$954,""),"Utilities",_xlfn.XLOOKUP($K213&amp;"",UTILITIES!$B$3:$B$953&amp;"",UTILITIES!$I$3:$I$953,""),"IOT",_xlfn.XLOOKUP($K213&amp;"",IOT!$B$3:$B$1012&amp;"",IOT!$J$3:$J$1012,""),"Server",_xlfn.XLOOKUP($K213&amp;"",SERVER!$B$3:$B$1009&amp;"",SERVER!$J$3:$J$1009,""),""))</f>
        <v/>
      </c>
      <c r="N213" s="1" t="str" cm="1">
        <f t="array" ref="N213">IF(OR($K213="",$I213="",$J213=""),"",_xlfn.LET(_xlpm.srcCat,_xlfn.SWITCH($I213,"Computer",_xlfn.XLOOKUP($K213&amp;"",COMPUTER!$B$3:$B$1009&amp;"",COMPUTER!$H$3:$H$1009,""),"Display",_xlfn.XLOOKUP($K213&amp;"",DISPLAY!$B$3:$B$1000&amp;"",DISPLAY!$H$3:$H$1000,""),"Network Device",_xlfn.XLOOKUP($K213&amp;"",'NETWORK-DEVICES'!$B$3:$B$987&amp;"",'NETWORK-DEVICES'!$H$3:$H$987,""),"Peripheral",_xlfn.XLOOKUP($K213&amp;"",PERIPHERAL!$B$3:$B$954&amp;"",PERIPHERAL!$H$3:$H$954,""),"Utilities",_xlfn.XLOOKUP($K213&amp;"",UTILITIES!$B$3:$B$953&amp;"",UTILITIES!$G$3:$G$953,""),"IOT",_xlfn.XLOOKUP($K213&amp;"",IOT!$B$3:$B$1012&amp;"",IOT!$H$3:$H$1012,""),"Server",_xlfn.XLOOKUP($K213&amp;"",SERVER!$B$3:$B$1009&amp;"",SERVER!$H$3:$H$1009,""),""),IF(TRIM(_xlpm.srcCat)&lt;&gt;TRIM($J213),"",_xlfn.SWITCH($I213,"Computer",_xlfn.XLOOKUP($K213&amp;"",COMPUTER!$B$3:$B$1009&amp;"",COMPUTER!$K$3:$K$1009,""),"Display",_xlfn.XLOOKUP($K213&amp;"",DISPLAY!$B$3:$B$1000&amp;"",DISPLAY!$L$3:$L$1000,""),"Network Device",_xlfn.XLOOKUP($K213&amp;"",'NETWORK-DEVICES'!$B$3:$B$987&amp;"",'NETWORK-DEVICES'!$K$3:$K$987,""),"Peripheral",_xlfn.XLOOKUP($K213&amp;"",PERIPHERAL!$B$3:$B$954&amp;"",PERIPHERAL!$K$3:$K$954,""),"Utilities",_xlfn.XLOOKUP($K213&amp;"",UTILITIES!$B$3:$B$953&amp;"",UTILITIES!$J$3:$J$953,""),"IOT",_xlfn.XLOOKUP($K213&amp;"",IOT!$B$3:$B$1012&amp;"",IOT!$K$4:$K$1012,""),"Server",_xlfn.XLOOKUP($K213&amp;"",SERVER!$B$3:$B$1009&amp;"",SERVER!$K$3:$K$1009,""),""))))</f>
        <v/>
      </c>
      <c r="O213" s="1" t="str" cm="1">
        <f t="array" ref="O213">IF(OR($K213="",$I213="",$J213=""),"",_xlfn.LET(_xlpm.srcCat,_xlfn.SWITCH($I213,"Computer",_xlfn.XLOOKUP($K213&amp;"",COMPUTER!$B$3:$B$1009&amp;"",COMPUTER!$H$3:$H$1009,""),"Display",_xlfn.XLOOKUP($K213&amp;"",DISPLAY!$B$3:$B$1000&amp;"",DISPLAY!$H$3:$H$1000,""),"Network Device",_xlfn.XLOOKUP($K213&amp;"",'NETWORK-DEVICES'!$B$3:$B$987&amp;"",'NETWORK-DEVICES'!$H$3:$H$987,""),"Peripheral",_xlfn.XLOOKUP($K213&amp;"",PERIPHERAL!$B$3:$B$954&amp;"",PERIPHERAL!$H$3:$H$954,""),"Utilities",_xlfn.XLOOKUP($K213&amp;"",UTILITIES!$B$3:$B$953&amp;"",UTILITIES!$G$3:$G$953,""),"IOT",_xlfn.XLOOKUP($K213&amp;"",IOT!$B$3:$B$1012&amp;"",IOT!$H$3:$H$1012,""),"Server",_xlfn.XLOOKUP($K213&amp;"",SERVER!$B$3:$B$1009&amp;"",SERVER!$H$3:$H$1009,""),""),IF(TRIM(_xlpm.srcCat)&lt;&gt;TRIM($J213),"",_xlfn.SWITCH($I213,"Computer",_xlfn.XLOOKUP($K213&amp;"",COMPUTER!$B$3:$B$1009&amp;"",COMPUTER!$E$3:$E$1009,""),"Display",_xlfn.XLOOKUP($K213&amp;"",DISPLAY!$B$3:$B$1000&amp;"",DISPLAY!$E$3:$E$1000,""),"Network Device",_xlfn.XLOOKUP($K213&amp;"",'NETWORK-DEVICES'!$B$3:$B$987&amp;"",'NETWORK-DEVICES'!$E$3:$E$987,""),"Peripheral",_xlfn.XLOOKUP($K213&amp;"",PERIPHERAL!$B$3:$B$954&amp;"",PERIPHERAL!$E$3:$E$954,""),"Utilities",_xlfn.XLOOKUP($K213&amp;"",UTILITIES!$B$3:$B$953&amp;"",UTILITIES!$E$3:$E$953,""),"IOT",_xlfn.XLOOKUP($K213&amp;"",IOT!$B$3:$B$1012&amp;"",IOT!$E$3:$E$1012,""),"Server",_xlfn.XLOOKUP($K213&amp;"",SERVER!$B$3:$B$1009&amp;"",SERVER!$E$3:$E$1009,""),""))))</f>
        <v/>
      </c>
      <c r="Q213" s="1" t="str" cm="1">
        <f t="array" ref="Q213">IF(OR($K213="",$I213="",$J213=""),"",_xlfn.LET(_xlpm.srcCat,_xlfn.SWITCH($I213,"Computer",_xlfn.XLOOKUP($K213&amp;"",COMPUTER!$B$3:$B$1009&amp;"",COMPUTER!$H$3:$H$1009,""),"Display",_xlfn.XLOOKUP($K213&amp;"",DISPLAY!$B$3:$B$1000&amp;"",DISPLAY!$H$3:$H$1000,""),"Network Device",_xlfn.XLOOKUP($K213&amp;"",'NETWORK-DEVICES'!$B$3:$B$987&amp;"",'NETWORK-DEVICES'!$H$3:$H$987,""),"Peripheral",_xlfn.XLOOKUP($K213&amp;"",PERIPHERAL!$B$3:$B$954&amp;"",PERIPHERAL!$H$3:$H$954,""),"Utilities",_xlfn.XLOOKUP($K213&amp;"",UTILITIES!$B$3:$B$953&amp;"",UTILITIES!$G$3:$G$953,""),"IOT",_xlfn.XLOOKUP($K213&amp;"",IOT!$B$3:$B$1012&amp;"",IOT!$H$3:$H$1012,""),"Server",_xlfn.XLOOKUP($K213&amp;"",SERVER!$B$3:$B$1009&amp;"",SERVER!$H$3:$H$1009,""),""),IF(TRIM(_xlpm.srcCat)&lt;&gt;TRIM($J213),"",_xlfn.SWITCH($I213,"Computer",_xlfn.XLOOKUP($K213&amp;"",COMPUTER!$B$3:$B$1009&amp;"",COMPUTER!$AM$3:$AM$1009,""),"Display",_xlfn.XLOOKUP($K213&amp;"",DISPLAY!$B$3:$B$1000&amp;"",DISPLAY!$V$3:$V$1000,""),"Network Device",_xlfn.XLOOKUP($K213&amp;"",'NETWORK-DEVICES'!$B$3:$B$987&amp;"",'NETWORK-DEVICES'!$AF$3:$AF$987,""),"Peripheral",_xlfn.XLOOKUP($K213&amp;"",PERIPHERAL!$B$3:$B$954&amp;"",PERIPHERAL!$Y$3:$Y$954,""),"Utilities",_xlfn.XLOOKUP($K213&amp;"",UTILITIES!$B$3:$B$953&amp;"",UTILITIES!$O$3:$O$953,""),"IOT",_xlfn.XLOOKUP($K213&amp;"",IOT!$B$3:$B$1012&amp;"",IOT!$AB$3:$AB$1012,""),"Server",_xlfn.XLOOKUP($K213&amp;"",SERVER!$B$3:$B$1009&amp;"",SERVER!$AB$3:$AB$1009,""),""))))</f>
        <v/>
      </c>
      <c r="R213" s="43" t="str">
        <f>IF(tbl_handover[[#This Row],[Asset Code]]="","",COUNTIF(tbl_handover[Asset Code],tbl_handover[[#This Row],[Asset Code]]))</f>
        <v/>
      </c>
    </row>
    <row r="214" spans="1:18" x14ac:dyDescent="0.25">
      <c r="A214" s="43" t="str">
        <f>IF(B214&lt;&gt;"",SUBTOTAL(3,$B$1:B213),"")</f>
        <v/>
      </c>
      <c r="C214" s="74"/>
      <c r="D214" s="74"/>
      <c r="G214" s="1"/>
      <c r="K214" s="42"/>
      <c r="L214" t="str" cm="1">
        <f t="array" ref="L214">IF($K214="","",_xlfn.SWITCH($I214,"Computer",_xlfn.XLOOKUP($K214&amp;"",COMPUTER!$B$3:$B$1009&amp;"",COMPUTER!$I$3:$I$1009,""),"Display",_xlfn.XLOOKUP($K214&amp;"",DISPLAY!$B$3:$B$1000&amp;"",DISPLAY!$J$3:$J$1000,""),"Network Device",_xlfn.XLOOKUP($K214&amp;"",'NETWORK-DEVICES'!$B$3:$B$987&amp;"",'NETWORK-DEVICES'!$I$3:$I$987,""),"Peripheral",_xlfn.XLOOKUP($K214&amp;"",PERIPHERAL!$B$3:$B$954&amp;"",PERIPHERAL!$I$3:$I$954,""),"Utilities",_xlfn.XLOOKUP($K214&amp;"",UTILITIES!$B$3:$B$953&amp;"",UTILITIES!$H$3:$H$953,""),"IOT",_xlfn.XLOOKUP($K214&amp;"",IOT!$B$3:$B$1012&amp;"",IOT!$I$3:$I$1012,""),"SERVER",_xlfn.XLOOKUP($K214&amp;"",SERVER!$B$3:$B$1009&amp;"",SERVER!$I$3:$I$1009,""),""))</f>
        <v/>
      </c>
      <c r="M214" t="str" cm="1">
        <f t="array" ref="M214">IF($K214="","",_xlfn.SWITCH($I214,"Computer",_xlfn.XLOOKUP($K214&amp;"",COMPUTER!$B$3:$B$1009&amp;"",COMPUTER!$J$3:$J$1009,""),"Display",_xlfn.XLOOKUP($K214&amp;"",DISPLAY!$B$3:$B$1000&amp;"",DISPLAY!$K$3:$K$1000,""),"Network Device",_xlfn.XLOOKUP($K214&amp;"",'NETWORK-DEVICES'!$B$3:$B$987&amp;"",'NETWORK-DEVICES'!$I$3:$I$987,""),"Peripheral",_xlfn.XLOOKUP($K214&amp;"",PERIPHERAL!$B$3:$B$954&amp;"",PERIPHERAL!$J$3:$J$954,""),"Utilities",_xlfn.XLOOKUP($K214&amp;"",UTILITIES!$B$3:$B$953&amp;"",UTILITIES!$I$3:$I$953,""),"IOT",_xlfn.XLOOKUP($K214&amp;"",IOT!$B$3:$B$1012&amp;"",IOT!$J$3:$J$1012,""),"Server",_xlfn.XLOOKUP($K214&amp;"",SERVER!$B$3:$B$1009&amp;"",SERVER!$J$3:$J$1009,""),""))</f>
        <v/>
      </c>
      <c r="N214" s="1" t="str" cm="1">
        <f t="array" ref="N214">IF(OR($K214="",$I214="",$J214=""),"",_xlfn.LET(_xlpm.srcCat,_xlfn.SWITCH($I214,"Computer",_xlfn.XLOOKUP($K214&amp;"",COMPUTER!$B$3:$B$1009&amp;"",COMPUTER!$H$3:$H$1009,""),"Display",_xlfn.XLOOKUP($K214&amp;"",DISPLAY!$B$3:$B$1000&amp;"",DISPLAY!$H$3:$H$1000,""),"Network Device",_xlfn.XLOOKUP($K214&amp;"",'NETWORK-DEVICES'!$B$3:$B$987&amp;"",'NETWORK-DEVICES'!$H$3:$H$987,""),"Peripheral",_xlfn.XLOOKUP($K214&amp;"",PERIPHERAL!$B$3:$B$954&amp;"",PERIPHERAL!$H$3:$H$954,""),"Utilities",_xlfn.XLOOKUP($K214&amp;"",UTILITIES!$B$3:$B$953&amp;"",UTILITIES!$G$3:$G$953,""),"IOT",_xlfn.XLOOKUP($K214&amp;"",IOT!$B$3:$B$1012&amp;"",IOT!$H$3:$H$1012,""),"Server",_xlfn.XLOOKUP($K214&amp;"",SERVER!$B$3:$B$1009&amp;"",SERVER!$H$3:$H$1009,""),""),IF(TRIM(_xlpm.srcCat)&lt;&gt;TRIM($J214),"",_xlfn.SWITCH($I214,"Computer",_xlfn.XLOOKUP($K214&amp;"",COMPUTER!$B$3:$B$1009&amp;"",COMPUTER!$K$3:$K$1009,""),"Display",_xlfn.XLOOKUP($K214&amp;"",DISPLAY!$B$3:$B$1000&amp;"",DISPLAY!$L$3:$L$1000,""),"Network Device",_xlfn.XLOOKUP($K214&amp;"",'NETWORK-DEVICES'!$B$3:$B$987&amp;"",'NETWORK-DEVICES'!$K$3:$K$987,""),"Peripheral",_xlfn.XLOOKUP($K214&amp;"",PERIPHERAL!$B$3:$B$954&amp;"",PERIPHERAL!$K$3:$K$954,""),"Utilities",_xlfn.XLOOKUP($K214&amp;"",UTILITIES!$B$3:$B$953&amp;"",UTILITIES!$J$3:$J$953,""),"IOT",_xlfn.XLOOKUP($K214&amp;"",IOT!$B$3:$B$1012&amp;"",IOT!$K$4:$K$1012,""),"Server",_xlfn.XLOOKUP($K214&amp;"",SERVER!$B$3:$B$1009&amp;"",SERVER!$K$3:$K$1009,""),""))))</f>
        <v/>
      </c>
      <c r="O214" s="1" t="str" cm="1">
        <f t="array" ref="O214">IF(OR($K214="",$I214="",$J214=""),"",_xlfn.LET(_xlpm.srcCat,_xlfn.SWITCH($I214,"Computer",_xlfn.XLOOKUP($K214&amp;"",COMPUTER!$B$3:$B$1009&amp;"",COMPUTER!$H$3:$H$1009,""),"Display",_xlfn.XLOOKUP($K214&amp;"",DISPLAY!$B$3:$B$1000&amp;"",DISPLAY!$H$3:$H$1000,""),"Network Device",_xlfn.XLOOKUP($K214&amp;"",'NETWORK-DEVICES'!$B$3:$B$987&amp;"",'NETWORK-DEVICES'!$H$3:$H$987,""),"Peripheral",_xlfn.XLOOKUP($K214&amp;"",PERIPHERAL!$B$3:$B$954&amp;"",PERIPHERAL!$H$3:$H$954,""),"Utilities",_xlfn.XLOOKUP($K214&amp;"",UTILITIES!$B$3:$B$953&amp;"",UTILITIES!$G$3:$G$953,""),"IOT",_xlfn.XLOOKUP($K214&amp;"",IOT!$B$3:$B$1012&amp;"",IOT!$H$3:$H$1012,""),"Server",_xlfn.XLOOKUP($K214&amp;"",SERVER!$B$3:$B$1009&amp;"",SERVER!$H$3:$H$1009,""),""),IF(TRIM(_xlpm.srcCat)&lt;&gt;TRIM($J214),"",_xlfn.SWITCH($I214,"Computer",_xlfn.XLOOKUP($K214&amp;"",COMPUTER!$B$3:$B$1009&amp;"",COMPUTER!$E$3:$E$1009,""),"Display",_xlfn.XLOOKUP($K214&amp;"",DISPLAY!$B$3:$B$1000&amp;"",DISPLAY!$E$3:$E$1000,""),"Network Device",_xlfn.XLOOKUP($K214&amp;"",'NETWORK-DEVICES'!$B$3:$B$987&amp;"",'NETWORK-DEVICES'!$E$3:$E$987,""),"Peripheral",_xlfn.XLOOKUP($K214&amp;"",PERIPHERAL!$B$3:$B$954&amp;"",PERIPHERAL!$E$3:$E$954,""),"Utilities",_xlfn.XLOOKUP($K214&amp;"",UTILITIES!$B$3:$B$953&amp;"",UTILITIES!$E$3:$E$953,""),"IOT",_xlfn.XLOOKUP($K214&amp;"",IOT!$B$3:$B$1012&amp;"",IOT!$E$3:$E$1012,""),"Server",_xlfn.XLOOKUP($K214&amp;"",SERVER!$B$3:$B$1009&amp;"",SERVER!$E$3:$E$1009,""),""))))</f>
        <v/>
      </c>
      <c r="Q214" s="1" t="str" cm="1">
        <f t="array" ref="Q214">IF(OR($K214="",$I214="",$J214=""),"",_xlfn.LET(_xlpm.srcCat,_xlfn.SWITCH($I214,"Computer",_xlfn.XLOOKUP($K214&amp;"",COMPUTER!$B$3:$B$1009&amp;"",COMPUTER!$H$3:$H$1009,""),"Display",_xlfn.XLOOKUP($K214&amp;"",DISPLAY!$B$3:$B$1000&amp;"",DISPLAY!$H$3:$H$1000,""),"Network Device",_xlfn.XLOOKUP($K214&amp;"",'NETWORK-DEVICES'!$B$3:$B$987&amp;"",'NETWORK-DEVICES'!$H$3:$H$987,""),"Peripheral",_xlfn.XLOOKUP($K214&amp;"",PERIPHERAL!$B$3:$B$954&amp;"",PERIPHERAL!$H$3:$H$954,""),"Utilities",_xlfn.XLOOKUP($K214&amp;"",UTILITIES!$B$3:$B$953&amp;"",UTILITIES!$G$3:$G$953,""),"IOT",_xlfn.XLOOKUP($K214&amp;"",IOT!$B$3:$B$1012&amp;"",IOT!$H$3:$H$1012,""),"Server",_xlfn.XLOOKUP($K214&amp;"",SERVER!$B$3:$B$1009&amp;"",SERVER!$H$3:$H$1009,""),""),IF(TRIM(_xlpm.srcCat)&lt;&gt;TRIM($J214),"",_xlfn.SWITCH($I214,"Computer",_xlfn.XLOOKUP($K214&amp;"",COMPUTER!$B$3:$B$1009&amp;"",COMPUTER!$AM$3:$AM$1009,""),"Display",_xlfn.XLOOKUP($K214&amp;"",DISPLAY!$B$3:$B$1000&amp;"",DISPLAY!$V$3:$V$1000,""),"Network Device",_xlfn.XLOOKUP($K214&amp;"",'NETWORK-DEVICES'!$B$3:$B$987&amp;"",'NETWORK-DEVICES'!$AF$3:$AF$987,""),"Peripheral",_xlfn.XLOOKUP($K214&amp;"",PERIPHERAL!$B$3:$B$954&amp;"",PERIPHERAL!$Y$3:$Y$954,""),"Utilities",_xlfn.XLOOKUP($K214&amp;"",UTILITIES!$B$3:$B$953&amp;"",UTILITIES!$O$3:$O$953,""),"IOT",_xlfn.XLOOKUP($K214&amp;"",IOT!$B$3:$B$1012&amp;"",IOT!$AB$3:$AB$1012,""),"Server",_xlfn.XLOOKUP($K214&amp;"",SERVER!$B$3:$B$1009&amp;"",SERVER!$AB$3:$AB$1009,""),""))))</f>
        <v/>
      </c>
      <c r="R214" s="43" t="str">
        <f>IF(tbl_handover[[#This Row],[Asset Code]]="","",COUNTIF(tbl_handover[Asset Code],tbl_handover[[#This Row],[Asset Code]]))</f>
        <v/>
      </c>
    </row>
    <row r="215" spans="1:18" x14ac:dyDescent="0.25">
      <c r="A215" s="43" t="str">
        <f>IF(B215&lt;&gt;"",SUBTOTAL(3,$B$1:B214),"")</f>
        <v/>
      </c>
      <c r="C215" s="74"/>
      <c r="D215" s="74"/>
      <c r="G215" s="1"/>
      <c r="K215" s="42"/>
      <c r="L215" t="str" cm="1">
        <f t="array" ref="L215">IF($K215="","",_xlfn.SWITCH($I215,"Computer",_xlfn.XLOOKUP($K215&amp;"",COMPUTER!$B$3:$B$1009&amp;"",COMPUTER!$I$3:$I$1009,""),"Display",_xlfn.XLOOKUP($K215&amp;"",DISPLAY!$B$3:$B$1000&amp;"",DISPLAY!$J$3:$J$1000,""),"Network Device",_xlfn.XLOOKUP($K215&amp;"",'NETWORK-DEVICES'!$B$3:$B$987&amp;"",'NETWORK-DEVICES'!$I$3:$I$987,""),"Peripheral",_xlfn.XLOOKUP($K215&amp;"",PERIPHERAL!$B$3:$B$954&amp;"",PERIPHERAL!$I$3:$I$954,""),"Utilities",_xlfn.XLOOKUP($K215&amp;"",UTILITIES!$B$3:$B$953&amp;"",UTILITIES!$H$3:$H$953,""),"IOT",_xlfn.XLOOKUP($K215&amp;"",IOT!$B$3:$B$1012&amp;"",IOT!$I$3:$I$1012,""),"SERVER",_xlfn.XLOOKUP($K215&amp;"",SERVER!$B$3:$B$1009&amp;"",SERVER!$I$3:$I$1009,""),""))</f>
        <v/>
      </c>
      <c r="M215" t="str" cm="1">
        <f t="array" ref="M215">IF($K215="","",_xlfn.SWITCH($I215,"Computer",_xlfn.XLOOKUP($K215&amp;"",COMPUTER!$B$3:$B$1009&amp;"",COMPUTER!$J$3:$J$1009,""),"Display",_xlfn.XLOOKUP($K215&amp;"",DISPLAY!$B$3:$B$1000&amp;"",DISPLAY!$K$3:$K$1000,""),"Network Device",_xlfn.XLOOKUP($K215&amp;"",'NETWORK-DEVICES'!$B$3:$B$987&amp;"",'NETWORK-DEVICES'!$I$3:$I$987,""),"Peripheral",_xlfn.XLOOKUP($K215&amp;"",PERIPHERAL!$B$3:$B$954&amp;"",PERIPHERAL!$J$3:$J$954,""),"Utilities",_xlfn.XLOOKUP($K215&amp;"",UTILITIES!$B$3:$B$953&amp;"",UTILITIES!$I$3:$I$953,""),"IOT",_xlfn.XLOOKUP($K215&amp;"",IOT!$B$3:$B$1012&amp;"",IOT!$J$3:$J$1012,""),"Server",_xlfn.XLOOKUP($K215&amp;"",SERVER!$B$3:$B$1009&amp;"",SERVER!$J$3:$J$1009,""),""))</f>
        <v/>
      </c>
      <c r="N215" s="1" t="str" cm="1">
        <f t="array" ref="N215">IF(OR($K215="",$I215="",$J215=""),"",_xlfn.LET(_xlpm.srcCat,_xlfn.SWITCH($I215,"Computer",_xlfn.XLOOKUP($K215&amp;"",COMPUTER!$B$3:$B$1009&amp;"",COMPUTER!$H$3:$H$1009,""),"Display",_xlfn.XLOOKUP($K215&amp;"",DISPLAY!$B$3:$B$1000&amp;"",DISPLAY!$H$3:$H$1000,""),"Network Device",_xlfn.XLOOKUP($K215&amp;"",'NETWORK-DEVICES'!$B$3:$B$987&amp;"",'NETWORK-DEVICES'!$H$3:$H$987,""),"Peripheral",_xlfn.XLOOKUP($K215&amp;"",PERIPHERAL!$B$3:$B$954&amp;"",PERIPHERAL!$H$3:$H$954,""),"Utilities",_xlfn.XLOOKUP($K215&amp;"",UTILITIES!$B$3:$B$953&amp;"",UTILITIES!$G$3:$G$953,""),"IOT",_xlfn.XLOOKUP($K215&amp;"",IOT!$B$3:$B$1012&amp;"",IOT!$H$3:$H$1012,""),"Server",_xlfn.XLOOKUP($K215&amp;"",SERVER!$B$3:$B$1009&amp;"",SERVER!$H$3:$H$1009,""),""),IF(TRIM(_xlpm.srcCat)&lt;&gt;TRIM($J215),"",_xlfn.SWITCH($I215,"Computer",_xlfn.XLOOKUP($K215&amp;"",COMPUTER!$B$3:$B$1009&amp;"",COMPUTER!$K$3:$K$1009,""),"Display",_xlfn.XLOOKUP($K215&amp;"",DISPLAY!$B$3:$B$1000&amp;"",DISPLAY!$L$3:$L$1000,""),"Network Device",_xlfn.XLOOKUP($K215&amp;"",'NETWORK-DEVICES'!$B$3:$B$987&amp;"",'NETWORK-DEVICES'!$K$3:$K$987,""),"Peripheral",_xlfn.XLOOKUP($K215&amp;"",PERIPHERAL!$B$3:$B$954&amp;"",PERIPHERAL!$K$3:$K$954,""),"Utilities",_xlfn.XLOOKUP($K215&amp;"",UTILITIES!$B$3:$B$953&amp;"",UTILITIES!$J$3:$J$953,""),"IOT",_xlfn.XLOOKUP($K215&amp;"",IOT!$B$3:$B$1012&amp;"",IOT!$K$4:$K$1012,""),"Server",_xlfn.XLOOKUP($K215&amp;"",SERVER!$B$3:$B$1009&amp;"",SERVER!$K$3:$K$1009,""),""))))</f>
        <v/>
      </c>
      <c r="O215" s="1" t="str" cm="1">
        <f t="array" ref="O215">IF(OR($K215="",$I215="",$J215=""),"",_xlfn.LET(_xlpm.srcCat,_xlfn.SWITCH($I215,"Computer",_xlfn.XLOOKUP($K215&amp;"",COMPUTER!$B$3:$B$1009&amp;"",COMPUTER!$H$3:$H$1009,""),"Display",_xlfn.XLOOKUP($K215&amp;"",DISPLAY!$B$3:$B$1000&amp;"",DISPLAY!$H$3:$H$1000,""),"Network Device",_xlfn.XLOOKUP($K215&amp;"",'NETWORK-DEVICES'!$B$3:$B$987&amp;"",'NETWORK-DEVICES'!$H$3:$H$987,""),"Peripheral",_xlfn.XLOOKUP($K215&amp;"",PERIPHERAL!$B$3:$B$954&amp;"",PERIPHERAL!$H$3:$H$954,""),"Utilities",_xlfn.XLOOKUP($K215&amp;"",UTILITIES!$B$3:$B$953&amp;"",UTILITIES!$G$3:$G$953,""),"IOT",_xlfn.XLOOKUP($K215&amp;"",IOT!$B$3:$B$1012&amp;"",IOT!$H$3:$H$1012,""),"Server",_xlfn.XLOOKUP($K215&amp;"",SERVER!$B$3:$B$1009&amp;"",SERVER!$H$3:$H$1009,""),""),IF(TRIM(_xlpm.srcCat)&lt;&gt;TRIM($J215),"",_xlfn.SWITCH($I215,"Computer",_xlfn.XLOOKUP($K215&amp;"",COMPUTER!$B$3:$B$1009&amp;"",COMPUTER!$E$3:$E$1009,""),"Display",_xlfn.XLOOKUP($K215&amp;"",DISPLAY!$B$3:$B$1000&amp;"",DISPLAY!$E$3:$E$1000,""),"Network Device",_xlfn.XLOOKUP($K215&amp;"",'NETWORK-DEVICES'!$B$3:$B$987&amp;"",'NETWORK-DEVICES'!$E$3:$E$987,""),"Peripheral",_xlfn.XLOOKUP($K215&amp;"",PERIPHERAL!$B$3:$B$954&amp;"",PERIPHERAL!$E$3:$E$954,""),"Utilities",_xlfn.XLOOKUP($K215&amp;"",UTILITIES!$B$3:$B$953&amp;"",UTILITIES!$E$3:$E$953,""),"IOT",_xlfn.XLOOKUP($K215&amp;"",IOT!$B$3:$B$1012&amp;"",IOT!$E$3:$E$1012,""),"Server",_xlfn.XLOOKUP($K215&amp;"",SERVER!$B$3:$B$1009&amp;"",SERVER!$E$3:$E$1009,""),""))))</f>
        <v/>
      </c>
      <c r="Q215" s="1" t="str" cm="1">
        <f t="array" ref="Q215">IF(OR($K215="",$I215="",$J215=""),"",_xlfn.LET(_xlpm.srcCat,_xlfn.SWITCH($I215,"Computer",_xlfn.XLOOKUP($K215&amp;"",COMPUTER!$B$3:$B$1009&amp;"",COMPUTER!$H$3:$H$1009,""),"Display",_xlfn.XLOOKUP($K215&amp;"",DISPLAY!$B$3:$B$1000&amp;"",DISPLAY!$H$3:$H$1000,""),"Network Device",_xlfn.XLOOKUP($K215&amp;"",'NETWORK-DEVICES'!$B$3:$B$987&amp;"",'NETWORK-DEVICES'!$H$3:$H$987,""),"Peripheral",_xlfn.XLOOKUP($K215&amp;"",PERIPHERAL!$B$3:$B$954&amp;"",PERIPHERAL!$H$3:$H$954,""),"Utilities",_xlfn.XLOOKUP($K215&amp;"",UTILITIES!$B$3:$B$953&amp;"",UTILITIES!$G$3:$G$953,""),"IOT",_xlfn.XLOOKUP($K215&amp;"",IOT!$B$3:$B$1012&amp;"",IOT!$H$3:$H$1012,""),"Server",_xlfn.XLOOKUP($K215&amp;"",SERVER!$B$3:$B$1009&amp;"",SERVER!$H$3:$H$1009,""),""),IF(TRIM(_xlpm.srcCat)&lt;&gt;TRIM($J215),"",_xlfn.SWITCH($I215,"Computer",_xlfn.XLOOKUP($K215&amp;"",COMPUTER!$B$3:$B$1009&amp;"",COMPUTER!$AM$3:$AM$1009,""),"Display",_xlfn.XLOOKUP($K215&amp;"",DISPLAY!$B$3:$B$1000&amp;"",DISPLAY!$V$3:$V$1000,""),"Network Device",_xlfn.XLOOKUP($K215&amp;"",'NETWORK-DEVICES'!$B$3:$B$987&amp;"",'NETWORK-DEVICES'!$AF$3:$AF$987,""),"Peripheral",_xlfn.XLOOKUP($K215&amp;"",PERIPHERAL!$B$3:$B$954&amp;"",PERIPHERAL!$Y$3:$Y$954,""),"Utilities",_xlfn.XLOOKUP($K215&amp;"",UTILITIES!$B$3:$B$953&amp;"",UTILITIES!$O$3:$O$953,""),"IOT",_xlfn.XLOOKUP($K215&amp;"",IOT!$B$3:$B$1012&amp;"",IOT!$AB$3:$AB$1012,""),"Server",_xlfn.XLOOKUP($K215&amp;"",SERVER!$B$3:$B$1009&amp;"",SERVER!$AB$3:$AB$1009,""),""))))</f>
        <v/>
      </c>
      <c r="R215" s="43" t="str">
        <f>IF(tbl_handover[[#This Row],[Asset Code]]="","",COUNTIF(tbl_handover[Asset Code],tbl_handover[[#This Row],[Asset Code]]))</f>
        <v/>
      </c>
    </row>
    <row r="216" spans="1:18" x14ac:dyDescent="0.25">
      <c r="A216" s="43" t="str">
        <f>IF(B216&lt;&gt;"",SUBTOTAL(3,$B$1:B215),"")</f>
        <v/>
      </c>
      <c r="C216" s="74"/>
      <c r="D216" s="74"/>
      <c r="G216" s="1"/>
      <c r="K216" s="42"/>
      <c r="L216" t="str" cm="1">
        <f t="array" ref="L216">IF($K216="","",_xlfn.SWITCH($I216,"Computer",_xlfn.XLOOKUP($K216&amp;"",COMPUTER!$B$3:$B$1009&amp;"",COMPUTER!$I$3:$I$1009,""),"Display",_xlfn.XLOOKUP($K216&amp;"",DISPLAY!$B$3:$B$1000&amp;"",DISPLAY!$J$3:$J$1000,""),"Network Device",_xlfn.XLOOKUP($K216&amp;"",'NETWORK-DEVICES'!$B$3:$B$987&amp;"",'NETWORK-DEVICES'!$I$3:$I$987,""),"Peripheral",_xlfn.XLOOKUP($K216&amp;"",PERIPHERAL!$B$3:$B$954&amp;"",PERIPHERAL!$I$3:$I$954,""),"Utilities",_xlfn.XLOOKUP($K216&amp;"",UTILITIES!$B$3:$B$953&amp;"",UTILITIES!$H$3:$H$953,""),"IOT",_xlfn.XLOOKUP($K216&amp;"",IOT!$B$3:$B$1012&amp;"",IOT!$I$3:$I$1012,""),"SERVER",_xlfn.XLOOKUP($K216&amp;"",SERVER!$B$3:$B$1009&amp;"",SERVER!$I$3:$I$1009,""),""))</f>
        <v/>
      </c>
      <c r="M216" t="str" cm="1">
        <f t="array" ref="M216">IF($K216="","",_xlfn.SWITCH($I216,"Computer",_xlfn.XLOOKUP($K216&amp;"",COMPUTER!$B$3:$B$1009&amp;"",COMPUTER!$J$3:$J$1009,""),"Display",_xlfn.XLOOKUP($K216&amp;"",DISPLAY!$B$3:$B$1000&amp;"",DISPLAY!$K$3:$K$1000,""),"Network Device",_xlfn.XLOOKUP($K216&amp;"",'NETWORK-DEVICES'!$B$3:$B$987&amp;"",'NETWORK-DEVICES'!$I$3:$I$987,""),"Peripheral",_xlfn.XLOOKUP($K216&amp;"",PERIPHERAL!$B$3:$B$954&amp;"",PERIPHERAL!$J$3:$J$954,""),"Utilities",_xlfn.XLOOKUP($K216&amp;"",UTILITIES!$B$3:$B$953&amp;"",UTILITIES!$I$3:$I$953,""),"IOT",_xlfn.XLOOKUP($K216&amp;"",IOT!$B$3:$B$1012&amp;"",IOT!$J$3:$J$1012,""),"Server",_xlfn.XLOOKUP($K216&amp;"",SERVER!$B$3:$B$1009&amp;"",SERVER!$J$3:$J$1009,""),""))</f>
        <v/>
      </c>
      <c r="N216" s="1" t="str" cm="1">
        <f t="array" ref="N216">IF(OR($K216="",$I216="",$J216=""),"",_xlfn.LET(_xlpm.srcCat,_xlfn.SWITCH($I216,"Computer",_xlfn.XLOOKUP($K216&amp;"",COMPUTER!$B$3:$B$1009&amp;"",COMPUTER!$H$3:$H$1009,""),"Display",_xlfn.XLOOKUP($K216&amp;"",DISPLAY!$B$3:$B$1000&amp;"",DISPLAY!$H$3:$H$1000,""),"Network Device",_xlfn.XLOOKUP($K216&amp;"",'NETWORK-DEVICES'!$B$3:$B$987&amp;"",'NETWORK-DEVICES'!$H$3:$H$987,""),"Peripheral",_xlfn.XLOOKUP($K216&amp;"",PERIPHERAL!$B$3:$B$954&amp;"",PERIPHERAL!$H$3:$H$954,""),"Utilities",_xlfn.XLOOKUP($K216&amp;"",UTILITIES!$B$3:$B$953&amp;"",UTILITIES!$G$3:$G$953,""),"IOT",_xlfn.XLOOKUP($K216&amp;"",IOT!$B$3:$B$1012&amp;"",IOT!$H$3:$H$1012,""),"Server",_xlfn.XLOOKUP($K216&amp;"",SERVER!$B$3:$B$1009&amp;"",SERVER!$H$3:$H$1009,""),""),IF(TRIM(_xlpm.srcCat)&lt;&gt;TRIM($J216),"",_xlfn.SWITCH($I216,"Computer",_xlfn.XLOOKUP($K216&amp;"",COMPUTER!$B$3:$B$1009&amp;"",COMPUTER!$K$3:$K$1009,""),"Display",_xlfn.XLOOKUP($K216&amp;"",DISPLAY!$B$3:$B$1000&amp;"",DISPLAY!$L$3:$L$1000,""),"Network Device",_xlfn.XLOOKUP($K216&amp;"",'NETWORK-DEVICES'!$B$3:$B$987&amp;"",'NETWORK-DEVICES'!$K$3:$K$987,""),"Peripheral",_xlfn.XLOOKUP($K216&amp;"",PERIPHERAL!$B$3:$B$954&amp;"",PERIPHERAL!$K$3:$K$954,""),"Utilities",_xlfn.XLOOKUP($K216&amp;"",UTILITIES!$B$3:$B$953&amp;"",UTILITIES!$J$3:$J$953,""),"IOT",_xlfn.XLOOKUP($K216&amp;"",IOT!$B$3:$B$1012&amp;"",IOT!$K$4:$K$1012,""),"Server",_xlfn.XLOOKUP($K216&amp;"",SERVER!$B$3:$B$1009&amp;"",SERVER!$K$3:$K$1009,""),""))))</f>
        <v/>
      </c>
      <c r="O216" s="1" t="str" cm="1">
        <f t="array" ref="O216">IF(OR($K216="",$I216="",$J216=""),"",_xlfn.LET(_xlpm.srcCat,_xlfn.SWITCH($I216,"Computer",_xlfn.XLOOKUP($K216&amp;"",COMPUTER!$B$3:$B$1009&amp;"",COMPUTER!$H$3:$H$1009,""),"Display",_xlfn.XLOOKUP($K216&amp;"",DISPLAY!$B$3:$B$1000&amp;"",DISPLAY!$H$3:$H$1000,""),"Network Device",_xlfn.XLOOKUP($K216&amp;"",'NETWORK-DEVICES'!$B$3:$B$987&amp;"",'NETWORK-DEVICES'!$H$3:$H$987,""),"Peripheral",_xlfn.XLOOKUP($K216&amp;"",PERIPHERAL!$B$3:$B$954&amp;"",PERIPHERAL!$H$3:$H$954,""),"Utilities",_xlfn.XLOOKUP($K216&amp;"",UTILITIES!$B$3:$B$953&amp;"",UTILITIES!$G$3:$G$953,""),"IOT",_xlfn.XLOOKUP($K216&amp;"",IOT!$B$3:$B$1012&amp;"",IOT!$H$3:$H$1012,""),"Server",_xlfn.XLOOKUP($K216&amp;"",SERVER!$B$3:$B$1009&amp;"",SERVER!$H$3:$H$1009,""),""),IF(TRIM(_xlpm.srcCat)&lt;&gt;TRIM($J216),"",_xlfn.SWITCH($I216,"Computer",_xlfn.XLOOKUP($K216&amp;"",COMPUTER!$B$3:$B$1009&amp;"",COMPUTER!$E$3:$E$1009,""),"Display",_xlfn.XLOOKUP($K216&amp;"",DISPLAY!$B$3:$B$1000&amp;"",DISPLAY!$E$3:$E$1000,""),"Network Device",_xlfn.XLOOKUP($K216&amp;"",'NETWORK-DEVICES'!$B$3:$B$987&amp;"",'NETWORK-DEVICES'!$E$3:$E$987,""),"Peripheral",_xlfn.XLOOKUP($K216&amp;"",PERIPHERAL!$B$3:$B$954&amp;"",PERIPHERAL!$E$3:$E$954,""),"Utilities",_xlfn.XLOOKUP($K216&amp;"",UTILITIES!$B$3:$B$953&amp;"",UTILITIES!$E$3:$E$953,""),"IOT",_xlfn.XLOOKUP($K216&amp;"",IOT!$B$3:$B$1012&amp;"",IOT!$E$3:$E$1012,""),"Server",_xlfn.XLOOKUP($K216&amp;"",SERVER!$B$3:$B$1009&amp;"",SERVER!$E$3:$E$1009,""),""))))</f>
        <v/>
      </c>
      <c r="Q216" s="1" t="str" cm="1">
        <f t="array" ref="Q216">IF(OR($K216="",$I216="",$J216=""),"",_xlfn.LET(_xlpm.srcCat,_xlfn.SWITCH($I216,"Computer",_xlfn.XLOOKUP($K216&amp;"",COMPUTER!$B$3:$B$1009&amp;"",COMPUTER!$H$3:$H$1009,""),"Display",_xlfn.XLOOKUP($K216&amp;"",DISPLAY!$B$3:$B$1000&amp;"",DISPLAY!$H$3:$H$1000,""),"Network Device",_xlfn.XLOOKUP($K216&amp;"",'NETWORK-DEVICES'!$B$3:$B$987&amp;"",'NETWORK-DEVICES'!$H$3:$H$987,""),"Peripheral",_xlfn.XLOOKUP($K216&amp;"",PERIPHERAL!$B$3:$B$954&amp;"",PERIPHERAL!$H$3:$H$954,""),"Utilities",_xlfn.XLOOKUP($K216&amp;"",UTILITIES!$B$3:$B$953&amp;"",UTILITIES!$G$3:$G$953,""),"IOT",_xlfn.XLOOKUP($K216&amp;"",IOT!$B$3:$B$1012&amp;"",IOT!$H$3:$H$1012,""),"Server",_xlfn.XLOOKUP($K216&amp;"",SERVER!$B$3:$B$1009&amp;"",SERVER!$H$3:$H$1009,""),""),IF(TRIM(_xlpm.srcCat)&lt;&gt;TRIM($J216),"",_xlfn.SWITCH($I216,"Computer",_xlfn.XLOOKUP($K216&amp;"",COMPUTER!$B$3:$B$1009&amp;"",COMPUTER!$AM$3:$AM$1009,""),"Display",_xlfn.XLOOKUP($K216&amp;"",DISPLAY!$B$3:$B$1000&amp;"",DISPLAY!$V$3:$V$1000,""),"Network Device",_xlfn.XLOOKUP($K216&amp;"",'NETWORK-DEVICES'!$B$3:$B$987&amp;"",'NETWORK-DEVICES'!$AF$3:$AF$987,""),"Peripheral",_xlfn.XLOOKUP($K216&amp;"",PERIPHERAL!$B$3:$B$954&amp;"",PERIPHERAL!$Y$3:$Y$954,""),"Utilities",_xlfn.XLOOKUP($K216&amp;"",UTILITIES!$B$3:$B$953&amp;"",UTILITIES!$O$3:$O$953,""),"IOT",_xlfn.XLOOKUP($K216&amp;"",IOT!$B$3:$B$1012&amp;"",IOT!$AB$3:$AB$1012,""),"Server",_xlfn.XLOOKUP($K216&amp;"",SERVER!$B$3:$B$1009&amp;"",SERVER!$AB$3:$AB$1009,""),""))))</f>
        <v/>
      </c>
      <c r="R216" s="43" t="str">
        <f>IF(tbl_handover[[#This Row],[Asset Code]]="","",COUNTIF(tbl_handover[Asset Code],tbl_handover[[#This Row],[Asset Code]]))</f>
        <v/>
      </c>
    </row>
    <row r="217" spans="1:18" x14ac:dyDescent="0.25">
      <c r="A217" s="43" t="str">
        <f>IF(B217&lt;&gt;"",SUBTOTAL(3,$B$1:B216),"")</f>
        <v/>
      </c>
      <c r="C217" s="74"/>
      <c r="D217" s="74"/>
      <c r="G217" s="1"/>
      <c r="K217" s="42"/>
      <c r="L217" t="str" cm="1">
        <f t="array" ref="L217">IF($K217="","",_xlfn.SWITCH($I217,"Computer",_xlfn.XLOOKUP($K217&amp;"",COMPUTER!$B$3:$B$1009&amp;"",COMPUTER!$I$3:$I$1009,""),"Display",_xlfn.XLOOKUP($K217&amp;"",DISPLAY!$B$3:$B$1000&amp;"",DISPLAY!$J$3:$J$1000,""),"Network Device",_xlfn.XLOOKUP($K217&amp;"",'NETWORK-DEVICES'!$B$3:$B$987&amp;"",'NETWORK-DEVICES'!$I$3:$I$987,""),"Peripheral",_xlfn.XLOOKUP($K217&amp;"",PERIPHERAL!$B$3:$B$954&amp;"",PERIPHERAL!$I$3:$I$954,""),"Utilities",_xlfn.XLOOKUP($K217&amp;"",UTILITIES!$B$3:$B$953&amp;"",UTILITIES!$H$3:$H$953,""),"IOT",_xlfn.XLOOKUP($K217&amp;"",IOT!$B$3:$B$1012&amp;"",IOT!$I$3:$I$1012,""),"SERVER",_xlfn.XLOOKUP($K217&amp;"",SERVER!$B$3:$B$1009&amp;"",SERVER!$I$3:$I$1009,""),""))</f>
        <v/>
      </c>
      <c r="M217" t="str" cm="1">
        <f t="array" ref="M217">IF($K217="","",_xlfn.SWITCH($I217,"Computer",_xlfn.XLOOKUP($K217&amp;"",COMPUTER!$B$3:$B$1009&amp;"",COMPUTER!$J$3:$J$1009,""),"Display",_xlfn.XLOOKUP($K217&amp;"",DISPLAY!$B$3:$B$1000&amp;"",DISPLAY!$K$3:$K$1000,""),"Network Device",_xlfn.XLOOKUP($K217&amp;"",'NETWORK-DEVICES'!$B$3:$B$987&amp;"",'NETWORK-DEVICES'!$I$3:$I$987,""),"Peripheral",_xlfn.XLOOKUP($K217&amp;"",PERIPHERAL!$B$3:$B$954&amp;"",PERIPHERAL!$J$3:$J$954,""),"Utilities",_xlfn.XLOOKUP($K217&amp;"",UTILITIES!$B$3:$B$953&amp;"",UTILITIES!$I$3:$I$953,""),"IOT",_xlfn.XLOOKUP($K217&amp;"",IOT!$B$3:$B$1012&amp;"",IOT!$J$3:$J$1012,""),"Server",_xlfn.XLOOKUP($K217&amp;"",SERVER!$B$3:$B$1009&amp;"",SERVER!$J$3:$J$1009,""),""))</f>
        <v/>
      </c>
      <c r="N217" s="1" t="str" cm="1">
        <f t="array" ref="N217">IF(OR($K217="",$I217="",$J217=""),"",_xlfn.LET(_xlpm.srcCat,_xlfn.SWITCH($I217,"Computer",_xlfn.XLOOKUP($K217&amp;"",COMPUTER!$B$3:$B$1009&amp;"",COMPUTER!$H$3:$H$1009,""),"Display",_xlfn.XLOOKUP($K217&amp;"",DISPLAY!$B$3:$B$1000&amp;"",DISPLAY!$H$3:$H$1000,""),"Network Device",_xlfn.XLOOKUP($K217&amp;"",'NETWORK-DEVICES'!$B$3:$B$987&amp;"",'NETWORK-DEVICES'!$H$3:$H$987,""),"Peripheral",_xlfn.XLOOKUP($K217&amp;"",PERIPHERAL!$B$3:$B$954&amp;"",PERIPHERAL!$H$3:$H$954,""),"Utilities",_xlfn.XLOOKUP($K217&amp;"",UTILITIES!$B$3:$B$953&amp;"",UTILITIES!$G$3:$G$953,""),"IOT",_xlfn.XLOOKUP($K217&amp;"",IOT!$B$3:$B$1012&amp;"",IOT!$H$3:$H$1012,""),"Server",_xlfn.XLOOKUP($K217&amp;"",SERVER!$B$3:$B$1009&amp;"",SERVER!$H$3:$H$1009,""),""),IF(TRIM(_xlpm.srcCat)&lt;&gt;TRIM($J217),"",_xlfn.SWITCH($I217,"Computer",_xlfn.XLOOKUP($K217&amp;"",COMPUTER!$B$3:$B$1009&amp;"",COMPUTER!$K$3:$K$1009,""),"Display",_xlfn.XLOOKUP($K217&amp;"",DISPLAY!$B$3:$B$1000&amp;"",DISPLAY!$L$3:$L$1000,""),"Network Device",_xlfn.XLOOKUP($K217&amp;"",'NETWORK-DEVICES'!$B$3:$B$987&amp;"",'NETWORK-DEVICES'!$K$3:$K$987,""),"Peripheral",_xlfn.XLOOKUP($K217&amp;"",PERIPHERAL!$B$3:$B$954&amp;"",PERIPHERAL!$K$3:$K$954,""),"Utilities",_xlfn.XLOOKUP($K217&amp;"",UTILITIES!$B$3:$B$953&amp;"",UTILITIES!$J$3:$J$953,""),"IOT",_xlfn.XLOOKUP($K217&amp;"",IOT!$B$3:$B$1012&amp;"",IOT!$K$4:$K$1012,""),"Server",_xlfn.XLOOKUP($K217&amp;"",SERVER!$B$3:$B$1009&amp;"",SERVER!$K$3:$K$1009,""),""))))</f>
        <v/>
      </c>
      <c r="O217" s="1" t="str" cm="1">
        <f t="array" ref="O217">IF(OR($K217="",$I217="",$J217=""),"",_xlfn.LET(_xlpm.srcCat,_xlfn.SWITCH($I217,"Computer",_xlfn.XLOOKUP($K217&amp;"",COMPUTER!$B$3:$B$1009&amp;"",COMPUTER!$H$3:$H$1009,""),"Display",_xlfn.XLOOKUP($K217&amp;"",DISPLAY!$B$3:$B$1000&amp;"",DISPLAY!$H$3:$H$1000,""),"Network Device",_xlfn.XLOOKUP($K217&amp;"",'NETWORK-DEVICES'!$B$3:$B$987&amp;"",'NETWORK-DEVICES'!$H$3:$H$987,""),"Peripheral",_xlfn.XLOOKUP($K217&amp;"",PERIPHERAL!$B$3:$B$954&amp;"",PERIPHERAL!$H$3:$H$954,""),"Utilities",_xlfn.XLOOKUP($K217&amp;"",UTILITIES!$B$3:$B$953&amp;"",UTILITIES!$G$3:$G$953,""),"IOT",_xlfn.XLOOKUP($K217&amp;"",IOT!$B$3:$B$1012&amp;"",IOT!$H$3:$H$1012,""),"Server",_xlfn.XLOOKUP($K217&amp;"",SERVER!$B$3:$B$1009&amp;"",SERVER!$H$3:$H$1009,""),""),IF(TRIM(_xlpm.srcCat)&lt;&gt;TRIM($J217),"",_xlfn.SWITCH($I217,"Computer",_xlfn.XLOOKUP($K217&amp;"",COMPUTER!$B$3:$B$1009&amp;"",COMPUTER!$E$3:$E$1009,""),"Display",_xlfn.XLOOKUP($K217&amp;"",DISPLAY!$B$3:$B$1000&amp;"",DISPLAY!$E$3:$E$1000,""),"Network Device",_xlfn.XLOOKUP($K217&amp;"",'NETWORK-DEVICES'!$B$3:$B$987&amp;"",'NETWORK-DEVICES'!$E$3:$E$987,""),"Peripheral",_xlfn.XLOOKUP($K217&amp;"",PERIPHERAL!$B$3:$B$954&amp;"",PERIPHERAL!$E$3:$E$954,""),"Utilities",_xlfn.XLOOKUP($K217&amp;"",UTILITIES!$B$3:$B$953&amp;"",UTILITIES!$E$3:$E$953,""),"IOT",_xlfn.XLOOKUP($K217&amp;"",IOT!$B$3:$B$1012&amp;"",IOT!$E$3:$E$1012,""),"Server",_xlfn.XLOOKUP($K217&amp;"",SERVER!$B$3:$B$1009&amp;"",SERVER!$E$3:$E$1009,""),""))))</f>
        <v/>
      </c>
      <c r="Q217" s="1" t="str" cm="1">
        <f t="array" ref="Q217">IF(OR($K217="",$I217="",$J217=""),"",_xlfn.LET(_xlpm.srcCat,_xlfn.SWITCH($I217,"Computer",_xlfn.XLOOKUP($K217&amp;"",COMPUTER!$B$3:$B$1009&amp;"",COMPUTER!$H$3:$H$1009,""),"Display",_xlfn.XLOOKUP($K217&amp;"",DISPLAY!$B$3:$B$1000&amp;"",DISPLAY!$H$3:$H$1000,""),"Network Device",_xlfn.XLOOKUP($K217&amp;"",'NETWORK-DEVICES'!$B$3:$B$987&amp;"",'NETWORK-DEVICES'!$H$3:$H$987,""),"Peripheral",_xlfn.XLOOKUP($K217&amp;"",PERIPHERAL!$B$3:$B$954&amp;"",PERIPHERAL!$H$3:$H$954,""),"Utilities",_xlfn.XLOOKUP($K217&amp;"",UTILITIES!$B$3:$B$953&amp;"",UTILITIES!$G$3:$G$953,""),"IOT",_xlfn.XLOOKUP($K217&amp;"",IOT!$B$3:$B$1012&amp;"",IOT!$H$3:$H$1012,""),"Server",_xlfn.XLOOKUP($K217&amp;"",SERVER!$B$3:$B$1009&amp;"",SERVER!$H$3:$H$1009,""),""),IF(TRIM(_xlpm.srcCat)&lt;&gt;TRIM($J217),"",_xlfn.SWITCH($I217,"Computer",_xlfn.XLOOKUP($K217&amp;"",COMPUTER!$B$3:$B$1009&amp;"",COMPUTER!$AM$3:$AM$1009,""),"Display",_xlfn.XLOOKUP($K217&amp;"",DISPLAY!$B$3:$B$1000&amp;"",DISPLAY!$V$3:$V$1000,""),"Network Device",_xlfn.XLOOKUP($K217&amp;"",'NETWORK-DEVICES'!$B$3:$B$987&amp;"",'NETWORK-DEVICES'!$AF$3:$AF$987,""),"Peripheral",_xlfn.XLOOKUP($K217&amp;"",PERIPHERAL!$B$3:$B$954&amp;"",PERIPHERAL!$Y$3:$Y$954,""),"Utilities",_xlfn.XLOOKUP($K217&amp;"",UTILITIES!$B$3:$B$953&amp;"",UTILITIES!$O$3:$O$953,""),"IOT",_xlfn.XLOOKUP($K217&amp;"",IOT!$B$3:$B$1012&amp;"",IOT!$AB$3:$AB$1012,""),"Server",_xlfn.XLOOKUP($K217&amp;"",SERVER!$B$3:$B$1009&amp;"",SERVER!$AB$3:$AB$1009,""),""))))</f>
        <v/>
      </c>
      <c r="R217" s="43" t="str">
        <f>IF(tbl_handover[[#This Row],[Asset Code]]="","",COUNTIF(tbl_handover[Asset Code],tbl_handover[[#This Row],[Asset Code]]))</f>
        <v/>
      </c>
    </row>
    <row r="218" spans="1:18" x14ac:dyDescent="0.25">
      <c r="A218" s="43" t="str">
        <f>IF(B218&lt;&gt;"",SUBTOTAL(3,$B$1:B217),"")</f>
        <v/>
      </c>
      <c r="C218" s="74"/>
      <c r="D218" s="74"/>
      <c r="G218" s="1"/>
      <c r="K218" s="42"/>
      <c r="L218" t="str" cm="1">
        <f t="array" ref="L218">IF($K218="","",_xlfn.SWITCH($I218,"Computer",_xlfn.XLOOKUP($K218&amp;"",COMPUTER!$B$3:$B$1009&amp;"",COMPUTER!$I$3:$I$1009,""),"Display",_xlfn.XLOOKUP($K218&amp;"",DISPLAY!$B$3:$B$1000&amp;"",DISPLAY!$J$3:$J$1000,""),"Network Device",_xlfn.XLOOKUP($K218&amp;"",'NETWORK-DEVICES'!$B$3:$B$987&amp;"",'NETWORK-DEVICES'!$I$3:$I$987,""),"Peripheral",_xlfn.XLOOKUP($K218&amp;"",PERIPHERAL!$B$3:$B$954&amp;"",PERIPHERAL!$I$3:$I$954,""),"Utilities",_xlfn.XLOOKUP($K218&amp;"",UTILITIES!$B$3:$B$953&amp;"",UTILITIES!$H$3:$H$953,""),"IOT",_xlfn.XLOOKUP($K218&amp;"",IOT!$B$3:$B$1012&amp;"",IOT!$I$3:$I$1012,""),"SERVER",_xlfn.XLOOKUP($K218&amp;"",SERVER!$B$3:$B$1009&amp;"",SERVER!$I$3:$I$1009,""),""))</f>
        <v/>
      </c>
      <c r="M218" t="str" cm="1">
        <f t="array" ref="M218">IF($K218="","",_xlfn.SWITCH($I218,"Computer",_xlfn.XLOOKUP($K218&amp;"",COMPUTER!$B$3:$B$1009&amp;"",COMPUTER!$J$3:$J$1009,""),"Display",_xlfn.XLOOKUP($K218&amp;"",DISPLAY!$B$3:$B$1000&amp;"",DISPLAY!$K$3:$K$1000,""),"Network Device",_xlfn.XLOOKUP($K218&amp;"",'NETWORK-DEVICES'!$B$3:$B$987&amp;"",'NETWORK-DEVICES'!$I$3:$I$987,""),"Peripheral",_xlfn.XLOOKUP($K218&amp;"",PERIPHERAL!$B$3:$B$954&amp;"",PERIPHERAL!$J$3:$J$954,""),"Utilities",_xlfn.XLOOKUP($K218&amp;"",UTILITIES!$B$3:$B$953&amp;"",UTILITIES!$I$3:$I$953,""),"IOT",_xlfn.XLOOKUP($K218&amp;"",IOT!$B$3:$B$1012&amp;"",IOT!$J$3:$J$1012,""),"Server",_xlfn.XLOOKUP($K218&amp;"",SERVER!$B$3:$B$1009&amp;"",SERVER!$J$3:$J$1009,""),""))</f>
        <v/>
      </c>
      <c r="N218" s="1" t="str" cm="1">
        <f t="array" ref="N218">IF(OR($K218="",$I218="",$J218=""),"",_xlfn.LET(_xlpm.srcCat,_xlfn.SWITCH($I218,"Computer",_xlfn.XLOOKUP($K218&amp;"",COMPUTER!$B$3:$B$1009&amp;"",COMPUTER!$H$3:$H$1009,""),"Display",_xlfn.XLOOKUP($K218&amp;"",DISPLAY!$B$3:$B$1000&amp;"",DISPLAY!$H$3:$H$1000,""),"Network Device",_xlfn.XLOOKUP($K218&amp;"",'NETWORK-DEVICES'!$B$3:$B$987&amp;"",'NETWORK-DEVICES'!$H$3:$H$987,""),"Peripheral",_xlfn.XLOOKUP($K218&amp;"",PERIPHERAL!$B$3:$B$954&amp;"",PERIPHERAL!$H$3:$H$954,""),"Utilities",_xlfn.XLOOKUP($K218&amp;"",UTILITIES!$B$3:$B$953&amp;"",UTILITIES!$G$3:$G$953,""),"IOT",_xlfn.XLOOKUP($K218&amp;"",IOT!$B$3:$B$1012&amp;"",IOT!$H$3:$H$1012,""),"Server",_xlfn.XLOOKUP($K218&amp;"",SERVER!$B$3:$B$1009&amp;"",SERVER!$H$3:$H$1009,""),""),IF(TRIM(_xlpm.srcCat)&lt;&gt;TRIM($J218),"",_xlfn.SWITCH($I218,"Computer",_xlfn.XLOOKUP($K218&amp;"",COMPUTER!$B$3:$B$1009&amp;"",COMPUTER!$K$3:$K$1009,""),"Display",_xlfn.XLOOKUP($K218&amp;"",DISPLAY!$B$3:$B$1000&amp;"",DISPLAY!$L$3:$L$1000,""),"Network Device",_xlfn.XLOOKUP($K218&amp;"",'NETWORK-DEVICES'!$B$3:$B$987&amp;"",'NETWORK-DEVICES'!$K$3:$K$987,""),"Peripheral",_xlfn.XLOOKUP($K218&amp;"",PERIPHERAL!$B$3:$B$954&amp;"",PERIPHERAL!$K$3:$K$954,""),"Utilities",_xlfn.XLOOKUP($K218&amp;"",UTILITIES!$B$3:$B$953&amp;"",UTILITIES!$J$3:$J$953,""),"IOT",_xlfn.XLOOKUP($K218&amp;"",IOT!$B$3:$B$1012&amp;"",IOT!$K$4:$K$1012,""),"Server",_xlfn.XLOOKUP($K218&amp;"",SERVER!$B$3:$B$1009&amp;"",SERVER!$K$3:$K$1009,""),""))))</f>
        <v/>
      </c>
      <c r="O218" s="1" t="str" cm="1">
        <f t="array" ref="O218">IF(OR($K218="",$I218="",$J218=""),"",_xlfn.LET(_xlpm.srcCat,_xlfn.SWITCH($I218,"Computer",_xlfn.XLOOKUP($K218&amp;"",COMPUTER!$B$3:$B$1009&amp;"",COMPUTER!$H$3:$H$1009,""),"Display",_xlfn.XLOOKUP($K218&amp;"",DISPLAY!$B$3:$B$1000&amp;"",DISPLAY!$H$3:$H$1000,""),"Network Device",_xlfn.XLOOKUP($K218&amp;"",'NETWORK-DEVICES'!$B$3:$B$987&amp;"",'NETWORK-DEVICES'!$H$3:$H$987,""),"Peripheral",_xlfn.XLOOKUP($K218&amp;"",PERIPHERAL!$B$3:$B$954&amp;"",PERIPHERAL!$H$3:$H$954,""),"Utilities",_xlfn.XLOOKUP($K218&amp;"",UTILITIES!$B$3:$B$953&amp;"",UTILITIES!$G$3:$G$953,""),"IOT",_xlfn.XLOOKUP($K218&amp;"",IOT!$B$3:$B$1012&amp;"",IOT!$H$3:$H$1012,""),"Server",_xlfn.XLOOKUP($K218&amp;"",SERVER!$B$3:$B$1009&amp;"",SERVER!$H$3:$H$1009,""),""),IF(TRIM(_xlpm.srcCat)&lt;&gt;TRIM($J218),"",_xlfn.SWITCH($I218,"Computer",_xlfn.XLOOKUP($K218&amp;"",COMPUTER!$B$3:$B$1009&amp;"",COMPUTER!$E$3:$E$1009,""),"Display",_xlfn.XLOOKUP($K218&amp;"",DISPLAY!$B$3:$B$1000&amp;"",DISPLAY!$E$3:$E$1000,""),"Network Device",_xlfn.XLOOKUP($K218&amp;"",'NETWORK-DEVICES'!$B$3:$B$987&amp;"",'NETWORK-DEVICES'!$E$3:$E$987,""),"Peripheral",_xlfn.XLOOKUP($K218&amp;"",PERIPHERAL!$B$3:$B$954&amp;"",PERIPHERAL!$E$3:$E$954,""),"Utilities",_xlfn.XLOOKUP($K218&amp;"",UTILITIES!$B$3:$B$953&amp;"",UTILITIES!$E$3:$E$953,""),"IOT",_xlfn.XLOOKUP($K218&amp;"",IOT!$B$3:$B$1012&amp;"",IOT!$E$3:$E$1012,""),"Server",_xlfn.XLOOKUP($K218&amp;"",SERVER!$B$3:$B$1009&amp;"",SERVER!$E$3:$E$1009,""),""))))</f>
        <v/>
      </c>
      <c r="Q218" s="1" t="str" cm="1">
        <f t="array" ref="Q218">IF(OR($K218="",$I218="",$J218=""),"",_xlfn.LET(_xlpm.srcCat,_xlfn.SWITCH($I218,"Computer",_xlfn.XLOOKUP($K218&amp;"",COMPUTER!$B$3:$B$1009&amp;"",COMPUTER!$H$3:$H$1009,""),"Display",_xlfn.XLOOKUP($K218&amp;"",DISPLAY!$B$3:$B$1000&amp;"",DISPLAY!$H$3:$H$1000,""),"Network Device",_xlfn.XLOOKUP($K218&amp;"",'NETWORK-DEVICES'!$B$3:$B$987&amp;"",'NETWORK-DEVICES'!$H$3:$H$987,""),"Peripheral",_xlfn.XLOOKUP($K218&amp;"",PERIPHERAL!$B$3:$B$954&amp;"",PERIPHERAL!$H$3:$H$954,""),"Utilities",_xlfn.XLOOKUP($K218&amp;"",UTILITIES!$B$3:$B$953&amp;"",UTILITIES!$G$3:$G$953,""),"IOT",_xlfn.XLOOKUP($K218&amp;"",IOT!$B$3:$B$1012&amp;"",IOT!$H$3:$H$1012,""),"Server",_xlfn.XLOOKUP($K218&amp;"",SERVER!$B$3:$B$1009&amp;"",SERVER!$H$3:$H$1009,""),""),IF(TRIM(_xlpm.srcCat)&lt;&gt;TRIM($J218),"",_xlfn.SWITCH($I218,"Computer",_xlfn.XLOOKUP($K218&amp;"",COMPUTER!$B$3:$B$1009&amp;"",COMPUTER!$AM$3:$AM$1009,""),"Display",_xlfn.XLOOKUP($K218&amp;"",DISPLAY!$B$3:$B$1000&amp;"",DISPLAY!$V$3:$V$1000,""),"Network Device",_xlfn.XLOOKUP($K218&amp;"",'NETWORK-DEVICES'!$B$3:$B$987&amp;"",'NETWORK-DEVICES'!$AF$3:$AF$987,""),"Peripheral",_xlfn.XLOOKUP($K218&amp;"",PERIPHERAL!$B$3:$B$954&amp;"",PERIPHERAL!$Y$3:$Y$954,""),"Utilities",_xlfn.XLOOKUP($K218&amp;"",UTILITIES!$B$3:$B$953&amp;"",UTILITIES!$O$3:$O$953,""),"IOT",_xlfn.XLOOKUP($K218&amp;"",IOT!$B$3:$B$1012&amp;"",IOT!$AB$3:$AB$1012,""),"Server",_xlfn.XLOOKUP($K218&amp;"",SERVER!$B$3:$B$1009&amp;"",SERVER!$AB$3:$AB$1009,""),""))))</f>
        <v/>
      </c>
      <c r="R218" s="43" t="str">
        <f>IF(tbl_handover[[#This Row],[Asset Code]]="","",COUNTIF(tbl_handover[Asset Code],tbl_handover[[#This Row],[Asset Code]]))</f>
        <v/>
      </c>
    </row>
    <row r="219" spans="1:18" x14ac:dyDescent="0.25">
      <c r="A219" s="43" t="str">
        <f>IF(B219&lt;&gt;"",SUBTOTAL(3,$B$1:B218),"")</f>
        <v/>
      </c>
      <c r="C219" s="74"/>
      <c r="D219" s="74"/>
      <c r="G219" s="1"/>
      <c r="K219" s="42"/>
      <c r="L219" t="str" cm="1">
        <f t="array" ref="L219">IF($K219="","",_xlfn.SWITCH($I219,"Computer",_xlfn.XLOOKUP($K219&amp;"",COMPUTER!$B$3:$B$1009&amp;"",COMPUTER!$I$3:$I$1009,""),"Display",_xlfn.XLOOKUP($K219&amp;"",DISPLAY!$B$3:$B$1000&amp;"",DISPLAY!$J$3:$J$1000,""),"Network Device",_xlfn.XLOOKUP($K219&amp;"",'NETWORK-DEVICES'!$B$3:$B$987&amp;"",'NETWORK-DEVICES'!$I$3:$I$987,""),"Peripheral",_xlfn.XLOOKUP($K219&amp;"",PERIPHERAL!$B$3:$B$954&amp;"",PERIPHERAL!$I$3:$I$954,""),"Utilities",_xlfn.XLOOKUP($K219&amp;"",UTILITIES!$B$3:$B$953&amp;"",UTILITIES!$H$3:$H$953,""),"IOT",_xlfn.XLOOKUP($K219&amp;"",IOT!$B$3:$B$1012&amp;"",IOT!$I$3:$I$1012,""),"SERVER",_xlfn.XLOOKUP($K219&amp;"",SERVER!$B$3:$B$1009&amp;"",SERVER!$I$3:$I$1009,""),""))</f>
        <v/>
      </c>
      <c r="M219" t="str" cm="1">
        <f t="array" ref="M219">IF($K219="","",_xlfn.SWITCH($I219,"Computer",_xlfn.XLOOKUP($K219&amp;"",COMPUTER!$B$3:$B$1009&amp;"",COMPUTER!$J$3:$J$1009,""),"Display",_xlfn.XLOOKUP($K219&amp;"",DISPLAY!$B$3:$B$1000&amp;"",DISPLAY!$K$3:$K$1000,""),"Network Device",_xlfn.XLOOKUP($K219&amp;"",'NETWORK-DEVICES'!$B$3:$B$987&amp;"",'NETWORK-DEVICES'!$I$3:$I$987,""),"Peripheral",_xlfn.XLOOKUP($K219&amp;"",PERIPHERAL!$B$3:$B$954&amp;"",PERIPHERAL!$J$3:$J$954,""),"Utilities",_xlfn.XLOOKUP($K219&amp;"",UTILITIES!$B$3:$B$953&amp;"",UTILITIES!$I$3:$I$953,""),"IOT",_xlfn.XLOOKUP($K219&amp;"",IOT!$B$3:$B$1012&amp;"",IOT!$J$3:$J$1012,""),"Server",_xlfn.XLOOKUP($K219&amp;"",SERVER!$B$3:$B$1009&amp;"",SERVER!$J$3:$J$1009,""),""))</f>
        <v/>
      </c>
      <c r="N219" s="1" t="str" cm="1">
        <f t="array" ref="N219">IF(OR($K219="",$I219="",$J219=""),"",_xlfn.LET(_xlpm.srcCat,_xlfn.SWITCH($I219,"Computer",_xlfn.XLOOKUP($K219&amp;"",COMPUTER!$B$3:$B$1009&amp;"",COMPUTER!$H$3:$H$1009,""),"Display",_xlfn.XLOOKUP($K219&amp;"",DISPLAY!$B$3:$B$1000&amp;"",DISPLAY!$H$3:$H$1000,""),"Network Device",_xlfn.XLOOKUP($K219&amp;"",'NETWORK-DEVICES'!$B$3:$B$987&amp;"",'NETWORK-DEVICES'!$H$3:$H$987,""),"Peripheral",_xlfn.XLOOKUP($K219&amp;"",PERIPHERAL!$B$3:$B$954&amp;"",PERIPHERAL!$H$3:$H$954,""),"Utilities",_xlfn.XLOOKUP($K219&amp;"",UTILITIES!$B$3:$B$953&amp;"",UTILITIES!$G$3:$G$953,""),"IOT",_xlfn.XLOOKUP($K219&amp;"",IOT!$B$3:$B$1012&amp;"",IOT!$H$3:$H$1012,""),"Server",_xlfn.XLOOKUP($K219&amp;"",SERVER!$B$3:$B$1009&amp;"",SERVER!$H$3:$H$1009,""),""),IF(TRIM(_xlpm.srcCat)&lt;&gt;TRIM($J219),"",_xlfn.SWITCH($I219,"Computer",_xlfn.XLOOKUP($K219&amp;"",COMPUTER!$B$3:$B$1009&amp;"",COMPUTER!$K$3:$K$1009,""),"Display",_xlfn.XLOOKUP($K219&amp;"",DISPLAY!$B$3:$B$1000&amp;"",DISPLAY!$L$3:$L$1000,""),"Network Device",_xlfn.XLOOKUP($K219&amp;"",'NETWORK-DEVICES'!$B$3:$B$987&amp;"",'NETWORK-DEVICES'!$K$3:$K$987,""),"Peripheral",_xlfn.XLOOKUP($K219&amp;"",PERIPHERAL!$B$3:$B$954&amp;"",PERIPHERAL!$K$3:$K$954,""),"Utilities",_xlfn.XLOOKUP($K219&amp;"",UTILITIES!$B$3:$B$953&amp;"",UTILITIES!$J$3:$J$953,""),"IOT",_xlfn.XLOOKUP($K219&amp;"",IOT!$B$3:$B$1012&amp;"",IOT!$K$4:$K$1012,""),"Server",_xlfn.XLOOKUP($K219&amp;"",SERVER!$B$3:$B$1009&amp;"",SERVER!$K$3:$K$1009,""),""))))</f>
        <v/>
      </c>
      <c r="O219" s="1" t="str" cm="1">
        <f t="array" ref="O219">IF(OR($K219="",$I219="",$J219=""),"",_xlfn.LET(_xlpm.srcCat,_xlfn.SWITCH($I219,"Computer",_xlfn.XLOOKUP($K219&amp;"",COMPUTER!$B$3:$B$1009&amp;"",COMPUTER!$H$3:$H$1009,""),"Display",_xlfn.XLOOKUP($K219&amp;"",DISPLAY!$B$3:$B$1000&amp;"",DISPLAY!$H$3:$H$1000,""),"Network Device",_xlfn.XLOOKUP($K219&amp;"",'NETWORK-DEVICES'!$B$3:$B$987&amp;"",'NETWORK-DEVICES'!$H$3:$H$987,""),"Peripheral",_xlfn.XLOOKUP($K219&amp;"",PERIPHERAL!$B$3:$B$954&amp;"",PERIPHERAL!$H$3:$H$954,""),"Utilities",_xlfn.XLOOKUP($K219&amp;"",UTILITIES!$B$3:$B$953&amp;"",UTILITIES!$G$3:$G$953,""),"IOT",_xlfn.XLOOKUP($K219&amp;"",IOT!$B$3:$B$1012&amp;"",IOT!$H$3:$H$1012,""),"Server",_xlfn.XLOOKUP($K219&amp;"",SERVER!$B$3:$B$1009&amp;"",SERVER!$H$3:$H$1009,""),""),IF(TRIM(_xlpm.srcCat)&lt;&gt;TRIM($J219),"",_xlfn.SWITCH($I219,"Computer",_xlfn.XLOOKUP($K219&amp;"",COMPUTER!$B$3:$B$1009&amp;"",COMPUTER!$E$3:$E$1009,""),"Display",_xlfn.XLOOKUP($K219&amp;"",DISPLAY!$B$3:$B$1000&amp;"",DISPLAY!$E$3:$E$1000,""),"Network Device",_xlfn.XLOOKUP($K219&amp;"",'NETWORK-DEVICES'!$B$3:$B$987&amp;"",'NETWORK-DEVICES'!$E$3:$E$987,""),"Peripheral",_xlfn.XLOOKUP($K219&amp;"",PERIPHERAL!$B$3:$B$954&amp;"",PERIPHERAL!$E$3:$E$954,""),"Utilities",_xlfn.XLOOKUP($K219&amp;"",UTILITIES!$B$3:$B$953&amp;"",UTILITIES!$E$3:$E$953,""),"IOT",_xlfn.XLOOKUP($K219&amp;"",IOT!$B$3:$B$1012&amp;"",IOT!$E$3:$E$1012,""),"Server",_xlfn.XLOOKUP($K219&amp;"",SERVER!$B$3:$B$1009&amp;"",SERVER!$E$3:$E$1009,""),""))))</f>
        <v/>
      </c>
      <c r="Q219" s="1" t="str" cm="1">
        <f t="array" ref="Q219">IF(OR($K219="",$I219="",$J219=""),"",_xlfn.LET(_xlpm.srcCat,_xlfn.SWITCH($I219,"Computer",_xlfn.XLOOKUP($K219&amp;"",COMPUTER!$B$3:$B$1009&amp;"",COMPUTER!$H$3:$H$1009,""),"Display",_xlfn.XLOOKUP($K219&amp;"",DISPLAY!$B$3:$B$1000&amp;"",DISPLAY!$H$3:$H$1000,""),"Network Device",_xlfn.XLOOKUP($K219&amp;"",'NETWORK-DEVICES'!$B$3:$B$987&amp;"",'NETWORK-DEVICES'!$H$3:$H$987,""),"Peripheral",_xlfn.XLOOKUP($K219&amp;"",PERIPHERAL!$B$3:$B$954&amp;"",PERIPHERAL!$H$3:$H$954,""),"Utilities",_xlfn.XLOOKUP($K219&amp;"",UTILITIES!$B$3:$B$953&amp;"",UTILITIES!$G$3:$G$953,""),"IOT",_xlfn.XLOOKUP($K219&amp;"",IOT!$B$3:$B$1012&amp;"",IOT!$H$3:$H$1012,""),"Server",_xlfn.XLOOKUP($K219&amp;"",SERVER!$B$3:$B$1009&amp;"",SERVER!$H$3:$H$1009,""),""),IF(TRIM(_xlpm.srcCat)&lt;&gt;TRIM($J219),"",_xlfn.SWITCH($I219,"Computer",_xlfn.XLOOKUP($K219&amp;"",COMPUTER!$B$3:$B$1009&amp;"",COMPUTER!$AM$3:$AM$1009,""),"Display",_xlfn.XLOOKUP($K219&amp;"",DISPLAY!$B$3:$B$1000&amp;"",DISPLAY!$V$3:$V$1000,""),"Network Device",_xlfn.XLOOKUP($K219&amp;"",'NETWORK-DEVICES'!$B$3:$B$987&amp;"",'NETWORK-DEVICES'!$AF$3:$AF$987,""),"Peripheral",_xlfn.XLOOKUP($K219&amp;"",PERIPHERAL!$B$3:$B$954&amp;"",PERIPHERAL!$Y$3:$Y$954,""),"Utilities",_xlfn.XLOOKUP($K219&amp;"",UTILITIES!$B$3:$B$953&amp;"",UTILITIES!$O$3:$O$953,""),"IOT",_xlfn.XLOOKUP($K219&amp;"",IOT!$B$3:$B$1012&amp;"",IOT!$AB$3:$AB$1012,""),"Server",_xlfn.XLOOKUP($K219&amp;"",SERVER!$B$3:$B$1009&amp;"",SERVER!$AB$3:$AB$1009,""),""))))</f>
        <v/>
      </c>
      <c r="R219" s="43" t="str">
        <f>IF(tbl_handover[[#This Row],[Asset Code]]="","",COUNTIF(tbl_handover[Asset Code],tbl_handover[[#This Row],[Asset Code]]))</f>
        <v/>
      </c>
    </row>
    <row r="220" spans="1:18" x14ac:dyDescent="0.25">
      <c r="A220" s="43" t="str">
        <f>IF(B220&lt;&gt;"",SUBTOTAL(3,$B$1:B219),"")</f>
        <v/>
      </c>
      <c r="C220" s="74"/>
      <c r="D220" s="74"/>
      <c r="G220" s="1"/>
      <c r="K220" s="42"/>
      <c r="L220" t="str" cm="1">
        <f t="array" ref="L220">IF($K220="","",_xlfn.SWITCH($I220,"Computer",_xlfn.XLOOKUP($K220&amp;"",COMPUTER!$B$3:$B$1009&amp;"",COMPUTER!$I$3:$I$1009,""),"Display",_xlfn.XLOOKUP($K220&amp;"",DISPLAY!$B$3:$B$1000&amp;"",DISPLAY!$J$3:$J$1000,""),"Network Device",_xlfn.XLOOKUP($K220&amp;"",'NETWORK-DEVICES'!$B$3:$B$987&amp;"",'NETWORK-DEVICES'!$I$3:$I$987,""),"Peripheral",_xlfn.XLOOKUP($K220&amp;"",PERIPHERAL!$B$3:$B$954&amp;"",PERIPHERAL!$I$3:$I$954,""),"Utilities",_xlfn.XLOOKUP($K220&amp;"",UTILITIES!$B$3:$B$953&amp;"",UTILITIES!$H$3:$H$953,""),"IOT",_xlfn.XLOOKUP($K220&amp;"",IOT!$B$3:$B$1012&amp;"",IOT!$I$3:$I$1012,""),"SERVER",_xlfn.XLOOKUP($K220&amp;"",SERVER!$B$3:$B$1009&amp;"",SERVER!$I$3:$I$1009,""),""))</f>
        <v/>
      </c>
      <c r="M220" t="str" cm="1">
        <f t="array" ref="M220">IF($K220="","",_xlfn.SWITCH($I220,"Computer",_xlfn.XLOOKUP($K220&amp;"",COMPUTER!$B$3:$B$1009&amp;"",COMPUTER!$J$3:$J$1009,""),"Display",_xlfn.XLOOKUP($K220&amp;"",DISPLAY!$B$3:$B$1000&amp;"",DISPLAY!$K$3:$K$1000,""),"Network Device",_xlfn.XLOOKUP($K220&amp;"",'NETWORK-DEVICES'!$B$3:$B$987&amp;"",'NETWORK-DEVICES'!$I$3:$I$987,""),"Peripheral",_xlfn.XLOOKUP($K220&amp;"",PERIPHERAL!$B$3:$B$954&amp;"",PERIPHERAL!$J$3:$J$954,""),"Utilities",_xlfn.XLOOKUP($K220&amp;"",UTILITIES!$B$3:$B$953&amp;"",UTILITIES!$I$3:$I$953,""),"IOT",_xlfn.XLOOKUP($K220&amp;"",IOT!$B$3:$B$1012&amp;"",IOT!$J$3:$J$1012,""),"Server",_xlfn.XLOOKUP($K220&amp;"",SERVER!$B$3:$B$1009&amp;"",SERVER!$J$3:$J$1009,""),""))</f>
        <v/>
      </c>
      <c r="N220" s="1" t="str" cm="1">
        <f t="array" ref="N220">IF(OR($K220="",$I220="",$J220=""),"",_xlfn.LET(_xlpm.srcCat,_xlfn.SWITCH($I220,"Computer",_xlfn.XLOOKUP($K220&amp;"",COMPUTER!$B$3:$B$1009&amp;"",COMPUTER!$H$3:$H$1009,""),"Display",_xlfn.XLOOKUP($K220&amp;"",DISPLAY!$B$3:$B$1000&amp;"",DISPLAY!$H$3:$H$1000,""),"Network Device",_xlfn.XLOOKUP($K220&amp;"",'NETWORK-DEVICES'!$B$3:$B$987&amp;"",'NETWORK-DEVICES'!$H$3:$H$987,""),"Peripheral",_xlfn.XLOOKUP($K220&amp;"",PERIPHERAL!$B$3:$B$954&amp;"",PERIPHERAL!$H$3:$H$954,""),"Utilities",_xlfn.XLOOKUP($K220&amp;"",UTILITIES!$B$3:$B$953&amp;"",UTILITIES!$G$3:$G$953,""),"IOT",_xlfn.XLOOKUP($K220&amp;"",IOT!$B$3:$B$1012&amp;"",IOT!$H$3:$H$1012,""),"Server",_xlfn.XLOOKUP($K220&amp;"",SERVER!$B$3:$B$1009&amp;"",SERVER!$H$3:$H$1009,""),""),IF(TRIM(_xlpm.srcCat)&lt;&gt;TRIM($J220),"",_xlfn.SWITCH($I220,"Computer",_xlfn.XLOOKUP($K220&amp;"",COMPUTER!$B$3:$B$1009&amp;"",COMPUTER!$K$3:$K$1009,""),"Display",_xlfn.XLOOKUP($K220&amp;"",DISPLAY!$B$3:$B$1000&amp;"",DISPLAY!$L$3:$L$1000,""),"Network Device",_xlfn.XLOOKUP($K220&amp;"",'NETWORK-DEVICES'!$B$3:$B$987&amp;"",'NETWORK-DEVICES'!$K$3:$K$987,""),"Peripheral",_xlfn.XLOOKUP($K220&amp;"",PERIPHERAL!$B$3:$B$954&amp;"",PERIPHERAL!$K$3:$K$954,""),"Utilities",_xlfn.XLOOKUP($K220&amp;"",UTILITIES!$B$3:$B$953&amp;"",UTILITIES!$J$3:$J$953,""),"IOT",_xlfn.XLOOKUP($K220&amp;"",IOT!$B$3:$B$1012&amp;"",IOT!$K$4:$K$1012,""),"Server",_xlfn.XLOOKUP($K220&amp;"",SERVER!$B$3:$B$1009&amp;"",SERVER!$K$3:$K$1009,""),""))))</f>
        <v/>
      </c>
      <c r="O220" s="1" t="str" cm="1">
        <f t="array" ref="O220">IF(OR($K220="",$I220="",$J220=""),"",_xlfn.LET(_xlpm.srcCat,_xlfn.SWITCH($I220,"Computer",_xlfn.XLOOKUP($K220&amp;"",COMPUTER!$B$3:$B$1009&amp;"",COMPUTER!$H$3:$H$1009,""),"Display",_xlfn.XLOOKUP($K220&amp;"",DISPLAY!$B$3:$B$1000&amp;"",DISPLAY!$H$3:$H$1000,""),"Network Device",_xlfn.XLOOKUP($K220&amp;"",'NETWORK-DEVICES'!$B$3:$B$987&amp;"",'NETWORK-DEVICES'!$H$3:$H$987,""),"Peripheral",_xlfn.XLOOKUP($K220&amp;"",PERIPHERAL!$B$3:$B$954&amp;"",PERIPHERAL!$H$3:$H$954,""),"Utilities",_xlfn.XLOOKUP($K220&amp;"",UTILITIES!$B$3:$B$953&amp;"",UTILITIES!$G$3:$G$953,""),"IOT",_xlfn.XLOOKUP($K220&amp;"",IOT!$B$3:$B$1012&amp;"",IOT!$H$3:$H$1012,""),"Server",_xlfn.XLOOKUP($K220&amp;"",SERVER!$B$3:$B$1009&amp;"",SERVER!$H$3:$H$1009,""),""),IF(TRIM(_xlpm.srcCat)&lt;&gt;TRIM($J220),"",_xlfn.SWITCH($I220,"Computer",_xlfn.XLOOKUP($K220&amp;"",COMPUTER!$B$3:$B$1009&amp;"",COMPUTER!$E$3:$E$1009,""),"Display",_xlfn.XLOOKUP($K220&amp;"",DISPLAY!$B$3:$B$1000&amp;"",DISPLAY!$E$3:$E$1000,""),"Network Device",_xlfn.XLOOKUP($K220&amp;"",'NETWORK-DEVICES'!$B$3:$B$987&amp;"",'NETWORK-DEVICES'!$E$3:$E$987,""),"Peripheral",_xlfn.XLOOKUP($K220&amp;"",PERIPHERAL!$B$3:$B$954&amp;"",PERIPHERAL!$E$3:$E$954,""),"Utilities",_xlfn.XLOOKUP($K220&amp;"",UTILITIES!$B$3:$B$953&amp;"",UTILITIES!$E$3:$E$953,""),"IOT",_xlfn.XLOOKUP($K220&amp;"",IOT!$B$3:$B$1012&amp;"",IOT!$E$3:$E$1012,""),"Server",_xlfn.XLOOKUP($K220&amp;"",SERVER!$B$3:$B$1009&amp;"",SERVER!$E$3:$E$1009,""),""))))</f>
        <v/>
      </c>
      <c r="Q220" s="1" t="str" cm="1">
        <f t="array" ref="Q220">IF(OR($K220="",$I220="",$J220=""),"",_xlfn.LET(_xlpm.srcCat,_xlfn.SWITCH($I220,"Computer",_xlfn.XLOOKUP($K220&amp;"",COMPUTER!$B$3:$B$1009&amp;"",COMPUTER!$H$3:$H$1009,""),"Display",_xlfn.XLOOKUP($K220&amp;"",DISPLAY!$B$3:$B$1000&amp;"",DISPLAY!$H$3:$H$1000,""),"Network Device",_xlfn.XLOOKUP($K220&amp;"",'NETWORK-DEVICES'!$B$3:$B$987&amp;"",'NETWORK-DEVICES'!$H$3:$H$987,""),"Peripheral",_xlfn.XLOOKUP($K220&amp;"",PERIPHERAL!$B$3:$B$954&amp;"",PERIPHERAL!$H$3:$H$954,""),"Utilities",_xlfn.XLOOKUP($K220&amp;"",UTILITIES!$B$3:$B$953&amp;"",UTILITIES!$G$3:$G$953,""),"IOT",_xlfn.XLOOKUP($K220&amp;"",IOT!$B$3:$B$1012&amp;"",IOT!$H$3:$H$1012,""),"Server",_xlfn.XLOOKUP($K220&amp;"",SERVER!$B$3:$B$1009&amp;"",SERVER!$H$3:$H$1009,""),""),IF(TRIM(_xlpm.srcCat)&lt;&gt;TRIM($J220),"",_xlfn.SWITCH($I220,"Computer",_xlfn.XLOOKUP($K220&amp;"",COMPUTER!$B$3:$B$1009&amp;"",COMPUTER!$AM$3:$AM$1009,""),"Display",_xlfn.XLOOKUP($K220&amp;"",DISPLAY!$B$3:$B$1000&amp;"",DISPLAY!$V$3:$V$1000,""),"Network Device",_xlfn.XLOOKUP($K220&amp;"",'NETWORK-DEVICES'!$B$3:$B$987&amp;"",'NETWORK-DEVICES'!$AF$3:$AF$987,""),"Peripheral",_xlfn.XLOOKUP($K220&amp;"",PERIPHERAL!$B$3:$B$954&amp;"",PERIPHERAL!$Y$3:$Y$954,""),"Utilities",_xlfn.XLOOKUP($K220&amp;"",UTILITIES!$B$3:$B$953&amp;"",UTILITIES!$O$3:$O$953,""),"IOT",_xlfn.XLOOKUP($K220&amp;"",IOT!$B$3:$B$1012&amp;"",IOT!$AB$3:$AB$1012,""),"Server",_xlfn.XLOOKUP($K220&amp;"",SERVER!$B$3:$B$1009&amp;"",SERVER!$AB$3:$AB$1009,""),""))))</f>
        <v/>
      </c>
      <c r="R220" s="43" t="str">
        <f>IF(tbl_handover[[#This Row],[Asset Code]]="","",COUNTIF(tbl_handover[Asset Code],tbl_handover[[#This Row],[Asset Code]]))</f>
        <v/>
      </c>
    </row>
    <row r="221" spans="1:18" x14ac:dyDescent="0.25">
      <c r="A221" s="43" t="str">
        <f>IF(B221&lt;&gt;"",SUBTOTAL(3,$B$1:B220),"")</f>
        <v/>
      </c>
      <c r="C221" s="74"/>
      <c r="D221" s="74"/>
      <c r="G221" s="1"/>
      <c r="K221" s="42"/>
      <c r="L221" t="str" cm="1">
        <f t="array" ref="L221">IF($K221="","",_xlfn.SWITCH($I221,"Computer",_xlfn.XLOOKUP($K221&amp;"",COMPUTER!$B$3:$B$1009&amp;"",COMPUTER!$I$3:$I$1009,""),"Display",_xlfn.XLOOKUP($K221&amp;"",DISPLAY!$B$3:$B$1000&amp;"",DISPLAY!$J$3:$J$1000,""),"Network Device",_xlfn.XLOOKUP($K221&amp;"",'NETWORK-DEVICES'!$B$3:$B$987&amp;"",'NETWORK-DEVICES'!$I$3:$I$987,""),"Peripheral",_xlfn.XLOOKUP($K221&amp;"",PERIPHERAL!$B$3:$B$954&amp;"",PERIPHERAL!$I$3:$I$954,""),"Utilities",_xlfn.XLOOKUP($K221&amp;"",UTILITIES!$B$3:$B$953&amp;"",UTILITIES!$H$3:$H$953,""),"IOT",_xlfn.XLOOKUP($K221&amp;"",IOT!$B$3:$B$1012&amp;"",IOT!$I$3:$I$1012,""),"SERVER",_xlfn.XLOOKUP($K221&amp;"",SERVER!$B$3:$B$1009&amp;"",SERVER!$I$3:$I$1009,""),""))</f>
        <v/>
      </c>
      <c r="M221" t="str" cm="1">
        <f t="array" ref="M221">IF($K221="","",_xlfn.SWITCH($I221,"Computer",_xlfn.XLOOKUP($K221&amp;"",COMPUTER!$B$3:$B$1009&amp;"",COMPUTER!$J$3:$J$1009,""),"Display",_xlfn.XLOOKUP($K221&amp;"",DISPLAY!$B$3:$B$1000&amp;"",DISPLAY!$K$3:$K$1000,""),"Network Device",_xlfn.XLOOKUP($K221&amp;"",'NETWORK-DEVICES'!$B$3:$B$987&amp;"",'NETWORK-DEVICES'!$I$3:$I$987,""),"Peripheral",_xlfn.XLOOKUP($K221&amp;"",PERIPHERAL!$B$3:$B$954&amp;"",PERIPHERAL!$J$3:$J$954,""),"Utilities",_xlfn.XLOOKUP($K221&amp;"",UTILITIES!$B$3:$B$953&amp;"",UTILITIES!$I$3:$I$953,""),"IOT",_xlfn.XLOOKUP($K221&amp;"",IOT!$B$3:$B$1012&amp;"",IOT!$J$3:$J$1012,""),"Server",_xlfn.XLOOKUP($K221&amp;"",SERVER!$B$3:$B$1009&amp;"",SERVER!$J$3:$J$1009,""),""))</f>
        <v/>
      </c>
      <c r="N221" s="1" t="str" cm="1">
        <f t="array" ref="N221">IF(OR($K221="",$I221="",$J221=""),"",_xlfn.LET(_xlpm.srcCat,_xlfn.SWITCH($I221,"Computer",_xlfn.XLOOKUP($K221&amp;"",COMPUTER!$B$3:$B$1009&amp;"",COMPUTER!$H$3:$H$1009,""),"Display",_xlfn.XLOOKUP($K221&amp;"",DISPLAY!$B$3:$B$1000&amp;"",DISPLAY!$H$3:$H$1000,""),"Network Device",_xlfn.XLOOKUP($K221&amp;"",'NETWORK-DEVICES'!$B$3:$B$987&amp;"",'NETWORK-DEVICES'!$H$3:$H$987,""),"Peripheral",_xlfn.XLOOKUP($K221&amp;"",PERIPHERAL!$B$3:$B$954&amp;"",PERIPHERAL!$H$3:$H$954,""),"Utilities",_xlfn.XLOOKUP($K221&amp;"",UTILITIES!$B$3:$B$953&amp;"",UTILITIES!$G$3:$G$953,""),"IOT",_xlfn.XLOOKUP($K221&amp;"",IOT!$B$3:$B$1012&amp;"",IOT!$H$3:$H$1012,""),"Server",_xlfn.XLOOKUP($K221&amp;"",SERVER!$B$3:$B$1009&amp;"",SERVER!$H$3:$H$1009,""),""),IF(TRIM(_xlpm.srcCat)&lt;&gt;TRIM($J221),"",_xlfn.SWITCH($I221,"Computer",_xlfn.XLOOKUP($K221&amp;"",COMPUTER!$B$3:$B$1009&amp;"",COMPUTER!$K$3:$K$1009,""),"Display",_xlfn.XLOOKUP($K221&amp;"",DISPLAY!$B$3:$B$1000&amp;"",DISPLAY!$L$3:$L$1000,""),"Network Device",_xlfn.XLOOKUP($K221&amp;"",'NETWORK-DEVICES'!$B$3:$B$987&amp;"",'NETWORK-DEVICES'!$K$3:$K$987,""),"Peripheral",_xlfn.XLOOKUP($K221&amp;"",PERIPHERAL!$B$3:$B$954&amp;"",PERIPHERAL!$K$3:$K$954,""),"Utilities",_xlfn.XLOOKUP($K221&amp;"",UTILITIES!$B$3:$B$953&amp;"",UTILITIES!$J$3:$J$953,""),"IOT",_xlfn.XLOOKUP($K221&amp;"",IOT!$B$3:$B$1012&amp;"",IOT!$K$4:$K$1012,""),"Server",_xlfn.XLOOKUP($K221&amp;"",SERVER!$B$3:$B$1009&amp;"",SERVER!$K$3:$K$1009,""),""))))</f>
        <v/>
      </c>
      <c r="O221" s="1" t="str" cm="1">
        <f t="array" ref="O221">IF(OR($K221="",$I221="",$J221=""),"",_xlfn.LET(_xlpm.srcCat,_xlfn.SWITCH($I221,"Computer",_xlfn.XLOOKUP($K221&amp;"",COMPUTER!$B$3:$B$1009&amp;"",COMPUTER!$H$3:$H$1009,""),"Display",_xlfn.XLOOKUP($K221&amp;"",DISPLAY!$B$3:$B$1000&amp;"",DISPLAY!$H$3:$H$1000,""),"Network Device",_xlfn.XLOOKUP($K221&amp;"",'NETWORK-DEVICES'!$B$3:$B$987&amp;"",'NETWORK-DEVICES'!$H$3:$H$987,""),"Peripheral",_xlfn.XLOOKUP($K221&amp;"",PERIPHERAL!$B$3:$B$954&amp;"",PERIPHERAL!$H$3:$H$954,""),"Utilities",_xlfn.XLOOKUP($K221&amp;"",UTILITIES!$B$3:$B$953&amp;"",UTILITIES!$G$3:$G$953,""),"IOT",_xlfn.XLOOKUP($K221&amp;"",IOT!$B$3:$B$1012&amp;"",IOT!$H$3:$H$1012,""),"Server",_xlfn.XLOOKUP($K221&amp;"",SERVER!$B$3:$B$1009&amp;"",SERVER!$H$3:$H$1009,""),""),IF(TRIM(_xlpm.srcCat)&lt;&gt;TRIM($J221),"",_xlfn.SWITCH($I221,"Computer",_xlfn.XLOOKUP($K221&amp;"",COMPUTER!$B$3:$B$1009&amp;"",COMPUTER!$E$3:$E$1009,""),"Display",_xlfn.XLOOKUP($K221&amp;"",DISPLAY!$B$3:$B$1000&amp;"",DISPLAY!$E$3:$E$1000,""),"Network Device",_xlfn.XLOOKUP($K221&amp;"",'NETWORK-DEVICES'!$B$3:$B$987&amp;"",'NETWORK-DEVICES'!$E$3:$E$987,""),"Peripheral",_xlfn.XLOOKUP($K221&amp;"",PERIPHERAL!$B$3:$B$954&amp;"",PERIPHERAL!$E$3:$E$954,""),"Utilities",_xlfn.XLOOKUP($K221&amp;"",UTILITIES!$B$3:$B$953&amp;"",UTILITIES!$E$3:$E$953,""),"IOT",_xlfn.XLOOKUP($K221&amp;"",IOT!$B$3:$B$1012&amp;"",IOT!$E$3:$E$1012,""),"Server",_xlfn.XLOOKUP($K221&amp;"",SERVER!$B$3:$B$1009&amp;"",SERVER!$E$3:$E$1009,""),""))))</f>
        <v/>
      </c>
      <c r="Q221" s="1" t="str" cm="1">
        <f t="array" ref="Q221">IF(OR($K221="",$I221="",$J221=""),"",_xlfn.LET(_xlpm.srcCat,_xlfn.SWITCH($I221,"Computer",_xlfn.XLOOKUP($K221&amp;"",COMPUTER!$B$3:$B$1009&amp;"",COMPUTER!$H$3:$H$1009,""),"Display",_xlfn.XLOOKUP($K221&amp;"",DISPLAY!$B$3:$B$1000&amp;"",DISPLAY!$H$3:$H$1000,""),"Network Device",_xlfn.XLOOKUP($K221&amp;"",'NETWORK-DEVICES'!$B$3:$B$987&amp;"",'NETWORK-DEVICES'!$H$3:$H$987,""),"Peripheral",_xlfn.XLOOKUP($K221&amp;"",PERIPHERAL!$B$3:$B$954&amp;"",PERIPHERAL!$H$3:$H$954,""),"Utilities",_xlfn.XLOOKUP($K221&amp;"",UTILITIES!$B$3:$B$953&amp;"",UTILITIES!$G$3:$G$953,""),"IOT",_xlfn.XLOOKUP($K221&amp;"",IOT!$B$3:$B$1012&amp;"",IOT!$H$3:$H$1012,""),"Server",_xlfn.XLOOKUP($K221&amp;"",SERVER!$B$3:$B$1009&amp;"",SERVER!$H$3:$H$1009,""),""),IF(TRIM(_xlpm.srcCat)&lt;&gt;TRIM($J221),"",_xlfn.SWITCH($I221,"Computer",_xlfn.XLOOKUP($K221&amp;"",COMPUTER!$B$3:$B$1009&amp;"",COMPUTER!$AM$3:$AM$1009,""),"Display",_xlfn.XLOOKUP($K221&amp;"",DISPLAY!$B$3:$B$1000&amp;"",DISPLAY!$V$3:$V$1000,""),"Network Device",_xlfn.XLOOKUP($K221&amp;"",'NETWORK-DEVICES'!$B$3:$B$987&amp;"",'NETWORK-DEVICES'!$AF$3:$AF$987,""),"Peripheral",_xlfn.XLOOKUP($K221&amp;"",PERIPHERAL!$B$3:$B$954&amp;"",PERIPHERAL!$Y$3:$Y$954,""),"Utilities",_xlfn.XLOOKUP($K221&amp;"",UTILITIES!$B$3:$B$953&amp;"",UTILITIES!$O$3:$O$953,""),"IOT",_xlfn.XLOOKUP($K221&amp;"",IOT!$B$3:$B$1012&amp;"",IOT!$AB$3:$AB$1012,""),"Server",_xlfn.XLOOKUP($K221&amp;"",SERVER!$B$3:$B$1009&amp;"",SERVER!$AB$3:$AB$1009,""),""))))</f>
        <v/>
      </c>
      <c r="R221" s="43" t="str">
        <f>IF(tbl_handover[[#This Row],[Asset Code]]="","",COUNTIF(tbl_handover[Asset Code],tbl_handover[[#This Row],[Asset Code]]))</f>
        <v/>
      </c>
    </row>
    <row r="222" spans="1:18" x14ac:dyDescent="0.25">
      <c r="A222" s="43" t="str">
        <f>IF(B222&lt;&gt;"",SUBTOTAL(3,$B$1:B221),"")</f>
        <v/>
      </c>
      <c r="C222" s="74"/>
      <c r="D222" s="74"/>
      <c r="G222" s="1"/>
      <c r="K222" s="42"/>
      <c r="L222" t="str" cm="1">
        <f t="array" ref="L222">IF($K222="","",_xlfn.SWITCH($I222,"Computer",_xlfn.XLOOKUP($K222&amp;"",COMPUTER!$B$3:$B$1009&amp;"",COMPUTER!$I$3:$I$1009,""),"Display",_xlfn.XLOOKUP($K222&amp;"",DISPLAY!$B$3:$B$1000&amp;"",DISPLAY!$J$3:$J$1000,""),"Network Device",_xlfn.XLOOKUP($K222&amp;"",'NETWORK-DEVICES'!$B$3:$B$987&amp;"",'NETWORK-DEVICES'!$I$3:$I$987,""),"Peripheral",_xlfn.XLOOKUP($K222&amp;"",PERIPHERAL!$B$3:$B$954&amp;"",PERIPHERAL!$I$3:$I$954,""),"Utilities",_xlfn.XLOOKUP($K222&amp;"",UTILITIES!$B$3:$B$953&amp;"",UTILITIES!$H$3:$H$953,""),"IOT",_xlfn.XLOOKUP($K222&amp;"",IOT!$B$3:$B$1012&amp;"",IOT!$I$3:$I$1012,""),"SERVER",_xlfn.XLOOKUP($K222&amp;"",SERVER!$B$3:$B$1009&amp;"",SERVER!$I$3:$I$1009,""),""))</f>
        <v/>
      </c>
      <c r="M222" t="str" cm="1">
        <f t="array" ref="M222">IF($K222="","",_xlfn.SWITCH($I222,"Computer",_xlfn.XLOOKUP($K222&amp;"",COMPUTER!$B$3:$B$1009&amp;"",COMPUTER!$J$3:$J$1009,""),"Display",_xlfn.XLOOKUP($K222&amp;"",DISPLAY!$B$3:$B$1000&amp;"",DISPLAY!$K$3:$K$1000,""),"Network Device",_xlfn.XLOOKUP($K222&amp;"",'NETWORK-DEVICES'!$B$3:$B$987&amp;"",'NETWORK-DEVICES'!$I$3:$I$987,""),"Peripheral",_xlfn.XLOOKUP($K222&amp;"",PERIPHERAL!$B$3:$B$954&amp;"",PERIPHERAL!$J$3:$J$954,""),"Utilities",_xlfn.XLOOKUP($K222&amp;"",UTILITIES!$B$3:$B$953&amp;"",UTILITIES!$I$3:$I$953,""),"IOT",_xlfn.XLOOKUP($K222&amp;"",IOT!$B$3:$B$1012&amp;"",IOT!$J$3:$J$1012,""),"Server",_xlfn.XLOOKUP($K222&amp;"",SERVER!$B$3:$B$1009&amp;"",SERVER!$J$3:$J$1009,""),""))</f>
        <v/>
      </c>
      <c r="N222" s="1" t="str" cm="1">
        <f t="array" ref="N222">IF(OR($K222="",$I222="",$J222=""),"",_xlfn.LET(_xlpm.srcCat,_xlfn.SWITCH($I222,"Computer",_xlfn.XLOOKUP($K222&amp;"",COMPUTER!$B$3:$B$1009&amp;"",COMPUTER!$H$3:$H$1009,""),"Display",_xlfn.XLOOKUP($K222&amp;"",DISPLAY!$B$3:$B$1000&amp;"",DISPLAY!$H$3:$H$1000,""),"Network Device",_xlfn.XLOOKUP($K222&amp;"",'NETWORK-DEVICES'!$B$3:$B$987&amp;"",'NETWORK-DEVICES'!$H$3:$H$987,""),"Peripheral",_xlfn.XLOOKUP($K222&amp;"",PERIPHERAL!$B$3:$B$954&amp;"",PERIPHERAL!$H$3:$H$954,""),"Utilities",_xlfn.XLOOKUP($K222&amp;"",UTILITIES!$B$3:$B$953&amp;"",UTILITIES!$G$3:$G$953,""),"IOT",_xlfn.XLOOKUP($K222&amp;"",IOT!$B$3:$B$1012&amp;"",IOT!$H$3:$H$1012,""),"Server",_xlfn.XLOOKUP($K222&amp;"",SERVER!$B$3:$B$1009&amp;"",SERVER!$H$3:$H$1009,""),""),IF(TRIM(_xlpm.srcCat)&lt;&gt;TRIM($J222),"",_xlfn.SWITCH($I222,"Computer",_xlfn.XLOOKUP($K222&amp;"",COMPUTER!$B$3:$B$1009&amp;"",COMPUTER!$K$3:$K$1009,""),"Display",_xlfn.XLOOKUP($K222&amp;"",DISPLAY!$B$3:$B$1000&amp;"",DISPLAY!$L$3:$L$1000,""),"Network Device",_xlfn.XLOOKUP($K222&amp;"",'NETWORK-DEVICES'!$B$3:$B$987&amp;"",'NETWORK-DEVICES'!$K$3:$K$987,""),"Peripheral",_xlfn.XLOOKUP($K222&amp;"",PERIPHERAL!$B$3:$B$954&amp;"",PERIPHERAL!$K$3:$K$954,""),"Utilities",_xlfn.XLOOKUP($K222&amp;"",UTILITIES!$B$3:$B$953&amp;"",UTILITIES!$J$3:$J$953,""),"IOT",_xlfn.XLOOKUP($K222&amp;"",IOT!$B$3:$B$1012&amp;"",IOT!$K$4:$K$1012,""),"Server",_xlfn.XLOOKUP($K222&amp;"",SERVER!$B$3:$B$1009&amp;"",SERVER!$K$3:$K$1009,""),""))))</f>
        <v/>
      </c>
      <c r="O222" s="1" t="str" cm="1">
        <f t="array" ref="O222">IF(OR($K222="",$I222="",$J222=""),"",_xlfn.LET(_xlpm.srcCat,_xlfn.SWITCH($I222,"Computer",_xlfn.XLOOKUP($K222&amp;"",COMPUTER!$B$3:$B$1009&amp;"",COMPUTER!$H$3:$H$1009,""),"Display",_xlfn.XLOOKUP($K222&amp;"",DISPLAY!$B$3:$B$1000&amp;"",DISPLAY!$H$3:$H$1000,""),"Network Device",_xlfn.XLOOKUP($K222&amp;"",'NETWORK-DEVICES'!$B$3:$B$987&amp;"",'NETWORK-DEVICES'!$H$3:$H$987,""),"Peripheral",_xlfn.XLOOKUP($K222&amp;"",PERIPHERAL!$B$3:$B$954&amp;"",PERIPHERAL!$H$3:$H$954,""),"Utilities",_xlfn.XLOOKUP($K222&amp;"",UTILITIES!$B$3:$B$953&amp;"",UTILITIES!$G$3:$G$953,""),"IOT",_xlfn.XLOOKUP($K222&amp;"",IOT!$B$3:$B$1012&amp;"",IOT!$H$3:$H$1012,""),"Server",_xlfn.XLOOKUP($K222&amp;"",SERVER!$B$3:$B$1009&amp;"",SERVER!$H$3:$H$1009,""),""),IF(TRIM(_xlpm.srcCat)&lt;&gt;TRIM($J222),"",_xlfn.SWITCH($I222,"Computer",_xlfn.XLOOKUP($K222&amp;"",COMPUTER!$B$3:$B$1009&amp;"",COMPUTER!$E$3:$E$1009,""),"Display",_xlfn.XLOOKUP($K222&amp;"",DISPLAY!$B$3:$B$1000&amp;"",DISPLAY!$E$3:$E$1000,""),"Network Device",_xlfn.XLOOKUP($K222&amp;"",'NETWORK-DEVICES'!$B$3:$B$987&amp;"",'NETWORK-DEVICES'!$E$3:$E$987,""),"Peripheral",_xlfn.XLOOKUP($K222&amp;"",PERIPHERAL!$B$3:$B$954&amp;"",PERIPHERAL!$E$3:$E$954,""),"Utilities",_xlfn.XLOOKUP($K222&amp;"",UTILITIES!$B$3:$B$953&amp;"",UTILITIES!$E$3:$E$953,""),"IOT",_xlfn.XLOOKUP($K222&amp;"",IOT!$B$3:$B$1012&amp;"",IOT!$E$3:$E$1012,""),"Server",_xlfn.XLOOKUP($K222&amp;"",SERVER!$B$3:$B$1009&amp;"",SERVER!$E$3:$E$1009,""),""))))</f>
        <v/>
      </c>
      <c r="Q222" s="1" t="str" cm="1">
        <f t="array" ref="Q222">IF(OR($K222="",$I222="",$J222=""),"",_xlfn.LET(_xlpm.srcCat,_xlfn.SWITCH($I222,"Computer",_xlfn.XLOOKUP($K222&amp;"",COMPUTER!$B$3:$B$1009&amp;"",COMPUTER!$H$3:$H$1009,""),"Display",_xlfn.XLOOKUP($K222&amp;"",DISPLAY!$B$3:$B$1000&amp;"",DISPLAY!$H$3:$H$1000,""),"Network Device",_xlfn.XLOOKUP($K222&amp;"",'NETWORK-DEVICES'!$B$3:$B$987&amp;"",'NETWORK-DEVICES'!$H$3:$H$987,""),"Peripheral",_xlfn.XLOOKUP($K222&amp;"",PERIPHERAL!$B$3:$B$954&amp;"",PERIPHERAL!$H$3:$H$954,""),"Utilities",_xlfn.XLOOKUP($K222&amp;"",UTILITIES!$B$3:$B$953&amp;"",UTILITIES!$G$3:$G$953,""),"IOT",_xlfn.XLOOKUP($K222&amp;"",IOT!$B$3:$B$1012&amp;"",IOT!$H$3:$H$1012,""),"Server",_xlfn.XLOOKUP($K222&amp;"",SERVER!$B$3:$B$1009&amp;"",SERVER!$H$3:$H$1009,""),""),IF(TRIM(_xlpm.srcCat)&lt;&gt;TRIM($J222),"",_xlfn.SWITCH($I222,"Computer",_xlfn.XLOOKUP($K222&amp;"",COMPUTER!$B$3:$B$1009&amp;"",COMPUTER!$AM$3:$AM$1009,""),"Display",_xlfn.XLOOKUP($K222&amp;"",DISPLAY!$B$3:$B$1000&amp;"",DISPLAY!$V$3:$V$1000,""),"Network Device",_xlfn.XLOOKUP($K222&amp;"",'NETWORK-DEVICES'!$B$3:$B$987&amp;"",'NETWORK-DEVICES'!$AF$3:$AF$987,""),"Peripheral",_xlfn.XLOOKUP($K222&amp;"",PERIPHERAL!$B$3:$B$954&amp;"",PERIPHERAL!$Y$3:$Y$954,""),"Utilities",_xlfn.XLOOKUP($K222&amp;"",UTILITIES!$B$3:$B$953&amp;"",UTILITIES!$O$3:$O$953,""),"IOT",_xlfn.XLOOKUP($K222&amp;"",IOT!$B$3:$B$1012&amp;"",IOT!$AB$3:$AB$1012,""),"Server",_xlfn.XLOOKUP($K222&amp;"",SERVER!$B$3:$B$1009&amp;"",SERVER!$AB$3:$AB$1009,""),""))))</f>
        <v/>
      </c>
      <c r="R222" s="43" t="str">
        <f>IF(tbl_handover[[#This Row],[Asset Code]]="","",COUNTIF(tbl_handover[Asset Code],tbl_handover[[#This Row],[Asset Code]]))</f>
        <v/>
      </c>
    </row>
    <row r="223" spans="1:18" x14ac:dyDescent="0.25">
      <c r="A223" s="43" t="str">
        <f>IF(B223&lt;&gt;"",SUBTOTAL(3,$B$1:B222),"")</f>
        <v/>
      </c>
      <c r="C223" s="74"/>
      <c r="D223" s="74"/>
      <c r="G223" s="1"/>
      <c r="K223" s="42"/>
      <c r="L223" t="str" cm="1">
        <f t="array" ref="L223">IF($K223="","",_xlfn.SWITCH($I223,"Computer",_xlfn.XLOOKUP($K223&amp;"",COMPUTER!$B$3:$B$1009&amp;"",COMPUTER!$I$3:$I$1009,""),"Display",_xlfn.XLOOKUP($K223&amp;"",DISPLAY!$B$3:$B$1000&amp;"",DISPLAY!$J$3:$J$1000,""),"Network Device",_xlfn.XLOOKUP($K223&amp;"",'NETWORK-DEVICES'!$B$3:$B$987&amp;"",'NETWORK-DEVICES'!$I$3:$I$987,""),"Peripheral",_xlfn.XLOOKUP($K223&amp;"",PERIPHERAL!$B$3:$B$954&amp;"",PERIPHERAL!$I$3:$I$954,""),"Utilities",_xlfn.XLOOKUP($K223&amp;"",UTILITIES!$B$3:$B$953&amp;"",UTILITIES!$H$3:$H$953,""),"IOT",_xlfn.XLOOKUP($K223&amp;"",IOT!$B$3:$B$1012&amp;"",IOT!$I$3:$I$1012,""),"SERVER",_xlfn.XLOOKUP($K223&amp;"",SERVER!$B$3:$B$1009&amp;"",SERVER!$I$3:$I$1009,""),""))</f>
        <v/>
      </c>
      <c r="M223" t="str" cm="1">
        <f t="array" ref="M223">IF($K223="","",_xlfn.SWITCH($I223,"Computer",_xlfn.XLOOKUP($K223&amp;"",COMPUTER!$B$3:$B$1009&amp;"",COMPUTER!$J$3:$J$1009,""),"Display",_xlfn.XLOOKUP($K223&amp;"",DISPLAY!$B$3:$B$1000&amp;"",DISPLAY!$K$3:$K$1000,""),"Network Device",_xlfn.XLOOKUP($K223&amp;"",'NETWORK-DEVICES'!$B$3:$B$987&amp;"",'NETWORK-DEVICES'!$I$3:$I$987,""),"Peripheral",_xlfn.XLOOKUP($K223&amp;"",PERIPHERAL!$B$3:$B$954&amp;"",PERIPHERAL!$J$3:$J$954,""),"Utilities",_xlfn.XLOOKUP($K223&amp;"",UTILITIES!$B$3:$B$953&amp;"",UTILITIES!$I$3:$I$953,""),"IOT",_xlfn.XLOOKUP($K223&amp;"",IOT!$B$3:$B$1012&amp;"",IOT!$J$3:$J$1012,""),"Server",_xlfn.XLOOKUP($K223&amp;"",SERVER!$B$3:$B$1009&amp;"",SERVER!$J$3:$J$1009,""),""))</f>
        <v/>
      </c>
      <c r="N223" s="1" t="str" cm="1">
        <f t="array" ref="N223">IF(OR($K223="",$I223="",$J223=""),"",_xlfn.LET(_xlpm.srcCat,_xlfn.SWITCH($I223,"Computer",_xlfn.XLOOKUP($K223&amp;"",COMPUTER!$B$3:$B$1009&amp;"",COMPUTER!$H$3:$H$1009,""),"Display",_xlfn.XLOOKUP($K223&amp;"",DISPLAY!$B$3:$B$1000&amp;"",DISPLAY!$H$3:$H$1000,""),"Network Device",_xlfn.XLOOKUP($K223&amp;"",'NETWORK-DEVICES'!$B$3:$B$987&amp;"",'NETWORK-DEVICES'!$H$3:$H$987,""),"Peripheral",_xlfn.XLOOKUP($K223&amp;"",PERIPHERAL!$B$3:$B$954&amp;"",PERIPHERAL!$H$3:$H$954,""),"Utilities",_xlfn.XLOOKUP($K223&amp;"",UTILITIES!$B$3:$B$953&amp;"",UTILITIES!$G$3:$G$953,""),"IOT",_xlfn.XLOOKUP($K223&amp;"",IOT!$B$3:$B$1012&amp;"",IOT!$H$3:$H$1012,""),"Server",_xlfn.XLOOKUP($K223&amp;"",SERVER!$B$3:$B$1009&amp;"",SERVER!$H$3:$H$1009,""),""),IF(TRIM(_xlpm.srcCat)&lt;&gt;TRIM($J223),"",_xlfn.SWITCH($I223,"Computer",_xlfn.XLOOKUP($K223&amp;"",COMPUTER!$B$3:$B$1009&amp;"",COMPUTER!$K$3:$K$1009,""),"Display",_xlfn.XLOOKUP($K223&amp;"",DISPLAY!$B$3:$B$1000&amp;"",DISPLAY!$L$3:$L$1000,""),"Network Device",_xlfn.XLOOKUP($K223&amp;"",'NETWORK-DEVICES'!$B$3:$B$987&amp;"",'NETWORK-DEVICES'!$K$3:$K$987,""),"Peripheral",_xlfn.XLOOKUP($K223&amp;"",PERIPHERAL!$B$3:$B$954&amp;"",PERIPHERAL!$K$3:$K$954,""),"Utilities",_xlfn.XLOOKUP($K223&amp;"",UTILITIES!$B$3:$B$953&amp;"",UTILITIES!$J$3:$J$953,""),"IOT",_xlfn.XLOOKUP($K223&amp;"",IOT!$B$3:$B$1012&amp;"",IOT!$K$4:$K$1012,""),"Server",_xlfn.XLOOKUP($K223&amp;"",SERVER!$B$3:$B$1009&amp;"",SERVER!$K$3:$K$1009,""),""))))</f>
        <v/>
      </c>
      <c r="O223" s="1" t="str" cm="1">
        <f t="array" ref="O223">IF(OR($K223="",$I223="",$J223=""),"",_xlfn.LET(_xlpm.srcCat,_xlfn.SWITCH($I223,"Computer",_xlfn.XLOOKUP($K223&amp;"",COMPUTER!$B$3:$B$1009&amp;"",COMPUTER!$H$3:$H$1009,""),"Display",_xlfn.XLOOKUP($K223&amp;"",DISPLAY!$B$3:$B$1000&amp;"",DISPLAY!$H$3:$H$1000,""),"Network Device",_xlfn.XLOOKUP($K223&amp;"",'NETWORK-DEVICES'!$B$3:$B$987&amp;"",'NETWORK-DEVICES'!$H$3:$H$987,""),"Peripheral",_xlfn.XLOOKUP($K223&amp;"",PERIPHERAL!$B$3:$B$954&amp;"",PERIPHERAL!$H$3:$H$954,""),"Utilities",_xlfn.XLOOKUP($K223&amp;"",UTILITIES!$B$3:$B$953&amp;"",UTILITIES!$G$3:$G$953,""),"IOT",_xlfn.XLOOKUP($K223&amp;"",IOT!$B$3:$B$1012&amp;"",IOT!$H$3:$H$1012,""),"Server",_xlfn.XLOOKUP($K223&amp;"",SERVER!$B$3:$B$1009&amp;"",SERVER!$H$3:$H$1009,""),""),IF(TRIM(_xlpm.srcCat)&lt;&gt;TRIM($J223),"",_xlfn.SWITCH($I223,"Computer",_xlfn.XLOOKUP($K223&amp;"",COMPUTER!$B$3:$B$1009&amp;"",COMPUTER!$E$3:$E$1009,""),"Display",_xlfn.XLOOKUP($K223&amp;"",DISPLAY!$B$3:$B$1000&amp;"",DISPLAY!$E$3:$E$1000,""),"Network Device",_xlfn.XLOOKUP($K223&amp;"",'NETWORK-DEVICES'!$B$3:$B$987&amp;"",'NETWORK-DEVICES'!$E$3:$E$987,""),"Peripheral",_xlfn.XLOOKUP($K223&amp;"",PERIPHERAL!$B$3:$B$954&amp;"",PERIPHERAL!$E$3:$E$954,""),"Utilities",_xlfn.XLOOKUP($K223&amp;"",UTILITIES!$B$3:$B$953&amp;"",UTILITIES!$E$3:$E$953,""),"IOT",_xlfn.XLOOKUP($K223&amp;"",IOT!$B$3:$B$1012&amp;"",IOT!$E$3:$E$1012,""),"Server",_xlfn.XLOOKUP($K223&amp;"",SERVER!$B$3:$B$1009&amp;"",SERVER!$E$3:$E$1009,""),""))))</f>
        <v/>
      </c>
      <c r="Q223" s="1" t="str" cm="1">
        <f t="array" ref="Q223">IF(OR($K223="",$I223="",$J223=""),"",_xlfn.LET(_xlpm.srcCat,_xlfn.SWITCH($I223,"Computer",_xlfn.XLOOKUP($K223&amp;"",COMPUTER!$B$3:$B$1009&amp;"",COMPUTER!$H$3:$H$1009,""),"Display",_xlfn.XLOOKUP($K223&amp;"",DISPLAY!$B$3:$B$1000&amp;"",DISPLAY!$H$3:$H$1000,""),"Network Device",_xlfn.XLOOKUP($K223&amp;"",'NETWORK-DEVICES'!$B$3:$B$987&amp;"",'NETWORK-DEVICES'!$H$3:$H$987,""),"Peripheral",_xlfn.XLOOKUP($K223&amp;"",PERIPHERAL!$B$3:$B$954&amp;"",PERIPHERAL!$H$3:$H$954,""),"Utilities",_xlfn.XLOOKUP($K223&amp;"",UTILITIES!$B$3:$B$953&amp;"",UTILITIES!$G$3:$G$953,""),"IOT",_xlfn.XLOOKUP($K223&amp;"",IOT!$B$3:$B$1012&amp;"",IOT!$H$3:$H$1012,""),"Server",_xlfn.XLOOKUP($K223&amp;"",SERVER!$B$3:$B$1009&amp;"",SERVER!$H$3:$H$1009,""),""),IF(TRIM(_xlpm.srcCat)&lt;&gt;TRIM($J223),"",_xlfn.SWITCH($I223,"Computer",_xlfn.XLOOKUP($K223&amp;"",COMPUTER!$B$3:$B$1009&amp;"",COMPUTER!$AM$3:$AM$1009,""),"Display",_xlfn.XLOOKUP($K223&amp;"",DISPLAY!$B$3:$B$1000&amp;"",DISPLAY!$V$3:$V$1000,""),"Network Device",_xlfn.XLOOKUP($K223&amp;"",'NETWORK-DEVICES'!$B$3:$B$987&amp;"",'NETWORK-DEVICES'!$AF$3:$AF$987,""),"Peripheral",_xlfn.XLOOKUP($K223&amp;"",PERIPHERAL!$B$3:$B$954&amp;"",PERIPHERAL!$Y$3:$Y$954,""),"Utilities",_xlfn.XLOOKUP($K223&amp;"",UTILITIES!$B$3:$B$953&amp;"",UTILITIES!$O$3:$O$953,""),"IOT",_xlfn.XLOOKUP($K223&amp;"",IOT!$B$3:$B$1012&amp;"",IOT!$AB$3:$AB$1012,""),"Server",_xlfn.XLOOKUP($K223&amp;"",SERVER!$B$3:$B$1009&amp;"",SERVER!$AB$3:$AB$1009,""),""))))</f>
        <v/>
      </c>
      <c r="R223" s="43" t="str">
        <f>IF(tbl_handover[[#This Row],[Asset Code]]="","",COUNTIF(tbl_handover[Asset Code],tbl_handover[[#This Row],[Asset Code]]))</f>
        <v/>
      </c>
    </row>
    <row r="224" spans="1:18" x14ac:dyDescent="0.25">
      <c r="A224" s="43" t="str">
        <f>IF(B224&lt;&gt;"",SUBTOTAL(3,$B$1:B223),"")</f>
        <v/>
      </c>
      <c r="C224" s="74"/>
      <c r="D224" s="74"/>
      <c r="G224" s="1"/>
      <c r="K224" s="42"/>
      <c r="L224" t="str" cm="1">
        <f t="array" ref="L224">IF($K224="","",_xlfn.SWITCH($I224,"Computer",_xlfn.XLOOKUP($K224&amp;"",COMPUTER!$B$3:$B$1009&amp;"",COMPUTER!$I$3:$I$1009,""),"Display",_xlfn.XLOOKUP($K224&amp;"",DISPLAY!$B$3:$B$1000&amp;"",DISPLAY!$J$3:$J$1000,""),"Network Device",_xlfn.XLOOKUP($K224&amp;"",'NETWORK-DEVICES'!$B$3:$B$987&amp;"",'NETWORK-DEVICES'!$I$3:$I$987,""),"Peripheral",_xlfn.XLOOKUP($K224&amp;"",PERIPHERAL!$B$3:$B$954&amp;"",PERIPHERAL!$I$3:$I$954,""),"Utilities",_xlfn.XLOOKUP($K224&amp;"",UTILITIES!$B$3:$B$953&amp;"",UTILITIES!$H$3:$H$953,""),"IOT",_xlfn.XLOOKUP($K224&amp;"",IOT!$B$3:$B$1012&amp;"",IOT!$I$3:$I$1012,""),"SERVER",_xlfn.XLOOKUP($K224&amp;"",SERVER!$B$3:$B$1009&amp;"",SERVER!$I$3:$I$1009,""),""))</f>
        <v/>
      </c>
      <c r="M224" t="str" cm="1">
        <f t="array" ref="M224">IF($K224="","",_xlfn.SWITCH($I224,"Computer",_xlfn.XLOOKUP($K224&amp;"",COMPUTER!$B$3:$B$1009&amp;"",COMPUTER!$J$3:$J$1009,""),"Display",_xlfn.XLOOKUP($K224&amp;"",DISPLAY!$B$3:$B$1000&amp;"",DISPLAY!$K$3:$K$1000,""),"Network Device",_xlfn.XLOOKUP($K224&amp;"",'NETWORK-DEVICES'!$B$3:$B$987&amp;"",'NETWORK-DEVICES'!$I$3:$I$987,""),"Peripheral",_xlfn.XLOOKUP($K224&amp;"",PERIPHERAL!$B$3:$B$954&amp;"",PERIPHERAL!$J$3:$J$954,""),"Utilities",_xlfn.XLOOKUP($K224&amp;"",UTILITIES!$B$3:$B$953&amp;"",UTILITIES!$I$3:$I$953,""),"IOT",_xlfn.XLOOKUP($K224&amp;"",IOT!$B$3:$B$1012&amp;"",IOT!$J$3:$J$1012,""),"Server",_xlfn.XLOOKUP($K224&amp;"",SERVER!$B$3:$B$1009&amp;"",SERVER!$J$3:$J$1009,""),""))</f>
        <v/>
      </c>
      <c r="N224" s="1" t="str" cm="1">
        <f t="array" ref="N224">IF(OR($K224="",$I224="",$J224=""),"",_xlfn.LET(_xlpm.srcCat,_xlfn.SWITCH($I224,"Computer",_xlfn.XLOOKUP($K224&amp;"",COMPUTER!$B$3:$B$1009&amp;"",COMPUTER!$H$3:$H$1009,""),"Display",_xlfn.XLOOKUP($K224&amp;"",DISPLAY!$B$3:$B$1000&amp;"",DISPLAY!$H$3:$H$1000,""),"Network Device",_xlfn.XLOOKUP($K224&amp;"",'NETWORK-DEVICES'!$B$3:$B$987&amp;"",'NETWORK-DEVICES'!$H$3:$H$987,""),"Peripheral",_xlfn.XLOOKUP($K224&amp;"",PERIPHERAL!$B$3:$B$954&amp;"",PERIPHERAL!$H$3:$H$954,""),"Utilities",_xlfn.XLOOKUP($K224&amp;"",UTILITIES!$B$3:$B$953&amp;"",UTILITIES!$G$3:$G$953,""),"IOT",_xlfn.XLOOKUP($K224&amp;"",IOT!$B$3:$B$1012&amp;"",IOT!$H$3:$H$1012,""),"Server",_xlfn.XLOOKUP($K224&amp;"",SERVER!$B$3:$B$1009&amp;"",SERVER!$H$3:$H$1009,""),""),IF(TRIM(_xlpm.srcCat)&lt;&gt;TRIM($J224),"",_xlfn.SWITCH($I224,"Computer",_xlfn.XLOOKUP($K224&amp;"",COMPUTER!$B$3:$B$1009&amp;"",COMPUTER!$K$3:$K$1009,""),"Display",_xlfn.XLOOKUP($K224&amp;"",DISPLAY!$B$3:$B$1000&amp;"",DISPLAY!$L$3:$L$1000,""),"Network Device",_xlfn.XLOOKUP($K224&amp;"",'NETWORK-DEVICES'!$B$3:$B$987&amp;"",'NETWORK-DEVICES'!$K$3:$K$987,""),"Peripheral",_xlfn.XLOOKUP($K224&amp;"",PERIPHERAL!$B$3:$B$954&amp;"",PERIPHERAL!$K$3:$K$954,""),"Utilities",_xlfn.XLOOKUP($K224&amp;"",UTILITIES!$B$3:$B$953&amp;"",UTILITIES!$J$3:$J$953,""),"IOT",_xlfn.XLOOKUP($K224&amp;"",IOT!$B$3:$B$1012&amp;"",IOT!$K$4:$K$1012,""),"Server",_xlfn.XLOOKUP($K224&amp;"",SERVER!$B$3:$B$1009&amp;"",SERVER!$K$3:$K$1009,""),""))))</f>
        <v/>
      </c>
      <c r="O224" s="1" t="str" cm="1">
        <f t="array" ref="O224">IF(OR($K224="",$I224="",$J224=""),"",_xlfn.LET(_xlpm.srcCat,_xlfn.SWITCH($I224,"Computer",_xlfn.XLOOKUP($K224&amp;"",COMPUTER!$B$3:$B$1009&amp;"",COMPUTER!$H$3:$H$1009,""),"Display",_xlfn.XLOOKUP($K224&amp;"",DISPLAY!$B$3:$B$1000&amp;"",DISPLAY!$H$3:$H$1000,""),"Network Device",_xlfn.XLOOKUP($K224&amp;"",'NETWORK-DEVICES'!$B$3:$B$987&amp;"",'NETWORK-DEVICES'!$H$3:$H$987,""),"Peripheral",_xlfn.XLOOKUP($K224&amp;"",PERIPHERAL!$B$3:$B$954&amp;"",PERIPHERAL!$H$3:$H$954,""),"Utilities",_xlfn.XLOOKUP($K224&amp;"",UTILITIES!$B$3:$B$953&amp;"",UTILITIES!$G$3:$G$953,""),"IOT",_xlfn.XLOOKUP($K224&amp;"",IOT!$B$3:$B$1012&amp;"",IOT!$H$3:$H$1012,""),"Server",_xlfn.XLOOKUP($K224&amp;"",SERVER!$B$3:$B$1009&amp;"",SERVER!$H$3:$H$1009,""),""),IF(TRIM(_xlpm.srcCat)&lt;&gt;TRIM($J224),"",_xlfn.SWITCH($I224,"Computer",_xlfn.XLOOKUP($K224&amp;"",COMPUTER!$B$3:$B$1009&amp;"",COMPUTER!$E$3:$E$1009,""),"Display",_xlfn.XLOOKUP($K224&amp;"",DISPLAY!$B$3:$B$1000&amp;"",DISPLAY!$E$3:$E$1000,""),"Network Device",_xlfn.XLOOKUP($K224&amp;"",'NETWORK-DEVICES'!$B$3:$B$987&amp;"",'NETWORK-DEVICES'!$E$3:$E$987,""),"Peripheral",_xlfn.XLOOKUP($K224&amp;"",PERIPHERAL!$B$3:$B$954&amp;"",PERIPHERAL!$E$3:$E$954,""),"Utilities",_xlfn.XLOOKUP($K224&amp;"",UTILITIES!$B$3:$B$953&amp;"",UTILITIES!$E$3:$E$953,""),"IOT",_xlfn.XLOOKUP($K224&amp;"",IOT!$B$3:$B$1012&amp;"",IOT!$E$3:$E$1012,""),"Server",_xlfn.XLOOKUP($K224&amp;"",SERVER!$B$3:$B$1009&amp;"",SERVER!$E$3:$E$1009,""),""))))</f>
        <v/>
      </c>
      <c r="Q224" s="1" t="str" cm="1">
        <f t="array" ref="Q224">IF(OR($K224="",$I224="",$J224=""),"",_xlfn.LET(_xlpm.srcCat,_xlfn.SWITCH($I224,"Computer",_xlfn.XLOOKUP($K224&amp;"",COMPUTER!$B$3:$B$1009&amp;"",COMPUTER!$H$3:$H$1009,""),"Display",_xlfn.XLOOKUP($K224&amp;"",DISPLAY!$B$3:$B$1000&amp;"",DISPLAY!$H$3:$H$1000,""),"Network Device",_xlfn.XLOOKUP($K224&amp;"",'NETWORK-DEVICES'!$B$3:$B$987&amp;"",'NETWORK-DEVICES'!$H$3:$H$987,""),"Peripheral",_xlfn.XLOOKUP($K224&amp;"",PERIPHERAL!$B$3:$B$954&amp;"",PERIPHERAL!$H$3:$H$954,""),"Utilities",_xlfn.XLOOKUP($K224&amp;"",UTILITIES!$B$3:$B$953&amp;"",UTILITIES!$G$3:$G$953,""),"IOT",_xlfn.XLOOKUP($K224&amp;"",IOT!$B$3:$B$1012&amp;"",IOT!$H$3:$H$1012,""),"Server",_xlfn.XLOOKUP($K224&amp;"",SERVER!$B$3:$B$1009&amp;"",SERVER!$H$3:$H$1009,""),""),IF(TRIM(_xlpm.srcCat)&lt;&gt;TRIM($J224),"",_xlfn.SWITCH($I224,"Computer",_xlfn.XLOOKUP($K224&amp;"",COMPUTER!$B$3:$B$1009&amp;"",COMPUTER!$AM$3:$AM$1009,""),"Display",_xlfn.XLOOKUP($K224&amp;"",DISPLAY!$B$3:$B$1000&amp;"",DISPLAY!$V$3:$V$1000,""),"Network Device",_xlfn.XLOOKUP($K224&amp;"",'NETWORK-DEVICES'!$B$3:$B$987&amp;"",'NETWORK-DEVICES'!$AF$3:$AF$987,""),"Peripheral",_xlfn.XLOOKUP($K224&amp;"",PERIPHERAL!$B$3:$B$954&amp;"",PERIPHERAL!$Y$3:$Y$954,""),"Utilities",_xlfn.XLOOKUP($K224&amp;"",UTILITIES!$B$3:$B$953&amp;"",UTILITIES!$O$3:$O$953,""),"IOT",_xlfn.XLOOKUP($K224&amp;"",IOT!$B$3:$B$1012&amp;"",IOT!$AB$3:$AB$1012,""),"Server",_xlfn.XLOOKUP($K224&amp;"",SERVER!$B$3:$B$1009&amp;"",SERVER!$AB$3:$AB$1009,""),""))))</f>
        <v/>
      </c>
      <c r="R224" s="43" t="str">
        <f>IF(tbl_handover[[#This Row],[Asset Code]]="","",COUNTIF(tbl_handover[Asset Code],tbl_handover[[#This Row],[Asset Code]]))</f>
        <v/>
      </c>
    </row>
    <row r="225" spans="1:18" x14ac:dyDescent="0.25">
      <c r="A225" s="43" t="str">
        <f>IF(B225&lt;&gt;"",SUBTOTAL(3,$B$1:B224),"")</f>
        <v/>
      </c>
      <c r="C225" s="74"/>
      <c r="D225" s="74"/>
      <c r="G225" s="1"/>
      <c r="K225" s="42"/>
      <c r="L225" t="str" cm="1">
        <f t="array" ref="L225">IF($K225="","",_xlfn.SWITCH($I225,"Computer",_xlfn.XLOOKUP($K225&amp;"",COMPUTER!$B$3:$B$1009&amp;"",COMPUTER!$I$3:$I$1009,""),"Display",_xlfn.XLOOKUP($K225&amp;"",DISPLAY!$B$3:$B$1000&amp;"",DISPLAY!$J$3:$J$1000,""),"Network Device",_xlfn.XLOOKUP($K225&amp;"",'NETWORK-DEVICES'!$B$3:$B$987&amp;"",'NETWORK-DEVICES'!$I$3:$I$987,""),"Peripheral",_xlfn.XLOOKUP($K225&amp;"",PERIPHERAL!$B$3:$B$954&amp;"",PERIPHERAL!$I$3:$I$954,""),"Utilities",_xlfn.XLOOKUP($K225&amp;"",UTILITIES!$B$3:$B$953&amp;"",UTILITIES!$H$3:$H$953,""),"IOT",_xlfn.XLOOKUP($K225&amp;"",IOT!$B$3:$B$1012&amp;"",IOT!$I$3:$I$1012,""),"SERVER",_xlfn.XLOOKUP($K225&amp;"",SERVER!$B$3:$B$1009&amp;"",SERVER!$I$3:$I$1009,""),""))</f>
        <v/>
      </c>
      <c r="M225" t="str" cm="1">
        <f t="array" ref="M225">IF($K225="","",_xlfn.SWITCH($I225,"Computer",_xlfn.XLOOKUP($K225&amp;"",COMPUTER!$B$3:$B$1009&amp;"",COMPUTER!$J$3:$J$1009,""),"Display",_xlfn.XLOOKUP($K225&amp;"",DISPLAY!$B$3:$B$1000&amp;"",DISPLAY!$K$3:$K$1000,""),"Network Device",_xlfn.XLOOKUP($K225&amp;"",'NETWORK-DEVICES'!$B$3:$B$987&amp;"",'NETWORK-DEVICES'!$I$3:$I$987,""),"Peripheral",_xlfn.XLOOKUP($K225&amp;"",PERIPHERAL!$B$3:$B$954&amp;"",PERIPHERAL!$J$3:$J$954,""),"Utilities",_xlfn.XLOOKUP($K225&amp;"",UTILITIES!$B$3:$B$953&amp;"",UTILITIES!$I$3:$I$953,""),"IOT",_xlfn.XLOOKUP($K225&amp;"",IOT!$B$3:$B$1012&amp;"",IOT!$J$3:$J$1012,""),"Server",_xlfn.XLOOKUP($K225&amp;"",SERVER!$B$3:$B$1009&amp;"",SERVER!$J$3:$J$1009,""),""))</f>
        <v/>
      </c>
      <c r="N225" s="1" t="str" cm="1">
        <f t="array" ref="N225">IF(OR($K225="",$I225="",$J225=""),"",_xlfn.LET(_xlpm.srcCat,_xlfn.SWITCH($I225,"Computer",_xlfn.XLOOKUP($K225&amp;"",COMPUTER!$B$3:$B$1009&amp;"",COMPUTER!$H$3:$H$1009,""),"Display",_xlfn.XLOOKUP($K225&amp;"",DISPLAY!$B$3:$B$1000&amp;"",DISPLAY!$H$3:$H$1000,""),"Network Device",_xlfn.XLOOKUP($K225&amp;"",'NETWORK-DEVICES'!$B$3:$B$987&amp;"",'NETWORK-DEVICES'!$H$3:$H$987,""),"Peripheral",_xlfn.XLOOKUP($K225&amp;"",PERIPHERAL!$B$3:$B$954&amp;"",PERIPHERAL!$H$3:$H$954,""),"Utilities",_xlfn.XLOOKUP($K225&amp;"",UTILITIES!$B$3:$B$953&amp;"",UTILITIES!$G$3:$G$953,""),"IOT",_xlfn.XLOOKUP($K225&amp;"",IOT!$B$3:$B$1012&amp;"",IOT!$H$3:$H$1012,""),"Server",_xlfn.XLOOKUP($K225&amp;"",SERVER!$B$3:$B$1009&amp;"",SERVER!$H$3:$H$1009,""),""),IF(TRIM(_xlpm.srcCat)&lt;&gt;TRIM($J225),"",_xlfn.SWITCH($I225,"Computer",_xlfn.XLOOKUP($K225&amp;"",COMPUTER!$B$3:$B$1009&amp;"",COMPUTER!$K$3:$K$1009,""),"Display",_xlfn.XLOOKUP($K225&amp;"",DISPLAY!$B$3:$B$1000&amp;"",DISPLAY!$L$3:$L$1000,""),"Network Device",_xlfn.XLOOKUP($K225&amp;"",'NETWORK-DEVICES'!$B$3:$B$987&amp;"",'NETWORK-DEVICES'!$K$3:$K$987,""),"Peripheral",_xlfn.XLOOKUP($K225&amp;"",PERIPHERAL!$B$3:$B$954&amp;"",PERIPHERAL!$K$3:$K$954,""),"Utilities",_xlfn.XLOOKUP($K225&amp;"",UTILITIES!$B$3:$B$953&amp;"",UTILITIES!$J$3:$J$953,""),"IOT",_xlfn.XLOOKUP($K225&amp;"",IOT!$B$3:$B$1012&amp;"",IOT!$K$4:$K$1012,""),"Server",_xlfn.XLOOKUP($K225&amp;"",SERVER!$B$3:$B$1009&amp;"",SERVER!$K$3:$K$1009,""),""))))</f>
        <v/>
      </c>
      <c r="O225" s="1" t="str" cm="1">
        <f t="array" ref="O225">IF(OR($K225="",$I225="",$J225=""),"",_xlfn.LET(_xlpm.srcCat,_xlfn.SWITCH($I225,"Computer",_xlfn.XLOOKUP($K225&amp;"",COMPUTER!$B$3:$B$1009&amp;"",COMPUTER!$H$3:$H$1009,""),"Display",_xlfn.XLOOKUP($K225&amp;"",DISPLAY!$B$3:$B$1000&amp;"",DISPLAY!$H$3:$H$1000,""),"Network Device",_xlfn.XLOOKUP($K225&amp;"",'NETWORK-DEVICES'!$B$3:$B$987&amp;"",'NETWORK-DEVICES'!$H$3:$H$987,""),"Peripheral",_xlfn.XLOOKUP($K225&amp;"",PERIPHERAL!$B$3:$B$954&amp;"",PERIPHERAL!$H$3:$H$954,""),"Utilities",_xlfn.XLOOKUP($K225&amp;"",UTILITIES!$B$3:$B$953&amp;"",UTILITIES!$G$3:$G$953,""),"IOT",_xlfn.XLOOKUP($K225&amp;"",IOT!$B$3:$B$1012&amp;"",IOT!$H$3:$H$1012,""),"Server",_xlfn.XLOOKUP($K225&amp;"",SERVER!$B$3:$B$1009&amp;"",SERVER!$H$3:$H$1009,""),""),IF(TRIM(_xlpm.srcCat)&lt;&gt;TRIM($J225),"",_xlfn.SWITCH($I225,"Computer",_xlfn.XLOOKUP($K225&amp;"",COMPUTER!$B$3:$B$1009&amp;"",COMPUTER!$E$3:$E$1009,""),"Display",_xlfn.XLOOKUP($K225&amp;"",DISPLAY!$B$3:$B$1000&amp;"",DISPLAY!$E$3:$E$1000,""),"Network Device",_xlfn.XLOOKUP($K225&amp;"",'NETWORK-DEVICES'!$B$3:$B$987&amp;"",'NETWORK-DEVICES'!$E$3:$E$987,""),"Peripheral",_xlfn.XLOOKUP($K225&amp;"",PERIPHERAL!$B$3:$B$954&amp;"",PERIPHERAL!$E$3:$E$954,""),"Utilities",_xlfn.XLOOKUP($K225&amp;"",UTILITIES!$B$3:$B$953&amp;"",UTILITIES!$E$3:$E$953,""),"IOT",_xlfn.XLOOKUP($K225&amp;"",IOT!$B$3:$B$1012&amp;"",IOT!$E$3:$E$1012,""),"Server",_xlfn.XLOOKUP($K225&amp;"",SERVER!$B$3:$B$1009&amp;"",SERVER!$E$3:$E$1009,""),""))))</f>
        <v/>
      </c>
      <c r="Q225" s="1" t="str" cm="1">
        <f t="array" ref="Q225">IF(OR($K225="",$I225="",$J225=""),"",_xlfn.LET(_xlpm.srcCat,_xlfn.SWITCH($I225,"Computer",_xlfn.XLOOKUP($K225&amp;"",COMPUTER!$B$3:$B$1009&amp;"",COMPUTER!$H$3:$H$1009,""),"Display",_xlfn.XLOOKUP($K225&amp;"",DISPLAY!$B$3:$B$1000&amp;"",DISPLAY!$H$3:$H$1000,""),"Network Device",_xlfn.XLOOKUP($K225&amp;"",'NETWORK-DEVICES'!$B$3:$B$987&amp;"",'NETWORK-DEVICES'!$H$3:$H$987,""),"Peripheral",_xlfn.XLOOKUP($K225&amp;"",PERIPHERAL!$B$3:$B$954&amp;"",PERIPHERAL!$H$3:$H$954,""),"Utilities",_xlfn.XLOOKUP($K225&amp;"",UTILITIES!$B$3:$B$953&amp;"",UTILITIES!$G$3:$G$953,""),"IOT",_xlfn.XLOOKUP($K225&amp;"",IOT!$B$3:$B$1012&amp;"",IOT!$H$3:$H$1012,""),"Server",_xlfn.XLOOKUP($K225&amp;"",SERVER!$B$3:$B$1009&amp;"",SERVER!$H$3:$H$1009,""),""),IF(TRIM(_xlpm.srcCat)&lt;&gt;TRIM($J225),"",_xlfn.SWITCH($I225,"Computer",_xlfn.XLOOKUP($K225&amp;"",COMPUTER!$B$3:$B$1009&amp;"",COMPUTER!$AM$3:$AM$1009,""),"Display",_xlfn.XLOOKUP($K225&amp;"",DISPLAY!$B$3:$B$1000&amp;"",DISPLAY!$V$3:$V$1000,""),"Network Device",_xlfn.XLOOKUP($K225&amp;"",'NETWORK-DEVICES'!$B$3:$B$987&amp;"",'NETWORK-DEVICES'!$AF$3:$AF$987,""),"Peripheral",_xlfn.XLOOKUP($K225&amp;"",PERIPHERAL!$B$3:$B$954&amp;"",PERIPHERAL!$Y$3:$Y$954,""),"Utilities",_xlfn.XLOOKUP($K225&amp;"",UTILITIES!$B$3:$B$953&amp;"",UTILITIES!$O$3:$O$953,""),"IOT",_xlfn.XLOOKUP($K225&amp;"",IOT!$B$3:$B$1012&amp;"",IOT!$AB$3:$AB$1012,""),"Server",_xlfn.XLOOKUP($K225&amp;"",SERVER!$B$3:$B$1009&amp;"",SERVER!$AB$3:$AB$1009,""),""))))</f>
        <v/>
      </c>
      <c r="R225" s="43" t="str">
        <f>IF(tbl_handover[[#This Row],[Asset Code]]="","",COUNTIF(tbl_handover[Asset Code],tbl_handover[[#This Row],[Asset Code]]))</f>
        <v/>
      </c>
    </row>
    <row r="226" spans="1:18" x14ac:dyDescent="0.25">
      <c r="A226" s="43" t="str">
        <f>IF(B226&lt;&gt;"",SUBTOTAL(3,$B$1:B225),"")</f>
        <v/>
      </c>
      <c r="C226" s="74"/>
      <c r="D226" s="74"/>
      <c r="G226" s="1"/>
      <c r="K226" s="42"/>
      <c r="L226" t="str" cm="1">
        <f t="array" ref="L226">IF($K226="","",_xlfn.SWITCH($I226,"Computer",_xlfn.XLOOKUP($K226&amp;"",COMPUTER!$B$3:$B$1009&amp;"",COMPUTER!$I$3:$I$1009,""),"Display",_xlfn.XLOOKUP($K226&amp;"",DISPLAY!$B$3:$B$1000&amp;"",DISPLAY!$J$3:$J$1000,""),"Network Device",_xlfn.XLOOKUP($K226&amp;"",'NETWORK-DEVICES'!$B$3:$B$987&amp;"",'NETWORK-DEVICES'!$I$3:$I$987,""),"Peripheral",_xlfn.XLOOKUP($K226&amp;"",PERIPHERAL!$B$3:$B$954&amp;"",PERIPHERAL!$I$3:$I$954,""),"Utilities",_xlfn.XLOOKUP($K226&amp;"",UTILITIES!$B$3:$B$953&amp;"",UTILITIES!$H$3:$H$953,""),"IOT",_xlfn.XLOOKUP($K226&amp;"",IOT!$B$3:$B$1012&amp;"",IOT!$I$3:$I$1012,""),"SERVER",_xlfn.XLOOKUP($K226&amp;"",SERVER!$B$3:$B$1009&amp;"",SERVER!$I$3:$I$1009,""),""))</f>
        <v/>
      </c>
      <c r="M226" t="str" cm="1">
        <f t="array" ref="M226">IF($K226="","",_xlfn.SWITCH($I226,"Computer",_xlfn.XLOOKUP($K226&amp;"",COMPUTER!$B$3:$B$1009&amp;"",COMPUTER!$J$3:$J$1009,""),"Display",_xlfn.XLOOKUP($K226&amp;"",DISPLAY!$B$3:$B$1000&amp;"",DISPLAY!$K$3:$K$1000,""),"Network Device",_xlfn.XLOOKUP($K226&amp;"",'NETWORK-DEVICES'!$B$3:$B$987&amp;"",'NETWORK-DEVICES'!$I$3:$I$987,""),"Peripheral",_xlfn.XLOOKUP($K226&amp;"",PERIPHERAL!$B$3:$B$954&amp;"",PERIPHERAL!$J$3:$J$954,""),"Utilities",_xlfn.XLOOKUP($K226&amp;"",UTILITIES!$B$3:$B$953&amp;"",UTILITIES!$I$3:$I$953,""),"IOT",_xlfn.XLOOKUP($K226&amp;"",IOT!$B$3:$B$1012&amp;"",IOT!$J$3:$J$1012,""),"Server",_xlfn.XLOOKUP($K226&amp;"",SERVER!$B$3:$B$1009&amp;"",SERVER!$J$3:$J$1009,""),""))</f>
        <v/>
      </c>
      <c r="N226" s="1" t="str" cm="1">
        <f t="array" ref="N226">IF(OR($K226="",$I226="",$J226=""),"",_xlfn.LET(_xlpm.srcCat,_xlfn.SWITCH($I226,"Computer",_xlfn.XLOOKUP($K226&amp;"",COMPUTER!$B$3:$B$1009&amp;"",COMPUTER!$H$3:$H$1009,""),"Display",_xlfn.XLOOKUP($K226&amp;"",DISPLAY!$B$3:$B$1000&amp;"",DISPLAY!$H$3:$H$1000,""),"Network Device",_xlfn.XLOOKUP($K226&amp;"",'NETWORK-DEVICES'!$B$3:$B$987&amp;"",'NETWORK-DEVICES'!$H$3:$H$987,""),"Peripheral",_xlfn.XLOOKUP($K226&amp;"",PERIPHERAL!$B$3:$B$954&amp;"",PERIPHERAL!$H$3:$H$954,""),"Utilities",_xlfn.XLOOKUP($K226&amp;"",UTILITIES!$B$3:$B$953&amp;"",UTILITIES!$G$3:$G$953,""),"IOT",_xlfn.XLOOKUP($K226&amp;"",IOT!$B$3:$B$1012&amp;"",IOT!$H$3:$H$1012,""),"Server",_xlfn.XLOOKUP($K226&amp;"",SERVER!$B$3:$B$1009&amp;"",SERVER!$H$3:$H$1009,""),""),IF(TRIM(_xlpm.srcCat)&lt;&gt;TRIM($J226),"",_xlfn.SWITCH($I226,"Computer",_xlfn.XLOOKUP($K226&amp;"",COMPUTER!$B$3:$B$1009&amp;"",COMPUTER!$K$3:$K$1009,""),"Display",_xlfn.XLOOKUP($K226&amp;"",DISPLAY!$B$3:$B$1000&amp;"",DISPLAY!$L$3:$L$1000,""),"Network Device",_xlfn.XLOOKUP($K226&amp;"",'NETWORK-DEVICES'!$B$3:$B$987&amp;"",'NETWORK-DEVICES'!$K$3:$K$987,""),"Peripheral",_xlfn.XLOOKUP($K226&amp;"",PERIPHERAL!$B$3:$B$954&amp;"",PERIPHERAL!$K$3:$K$954,""),"Utilities",_xlfn.XLOOKUP($K226&amp;"",UTILITIES!$B$3:$B$953&amp;"",UTILITIES!$J$3:$J$953,""),"IOT",_xlfn.XLOOKUP($K226&amp;"",IOT!$B$3:$B$1012&amp;"",IOT!$K$4:$K$1012,""),"Server",_xlfn.XLOOKUP($K226&amp;"",SERVER!$B$3:$B$1009&amp;"",SERVER!$K$3:$K$1009,""),""))))</f>
        <v/>
      </c>
      <c r="O226" s="1" t="str" cm="1">
        <f t="array" ref="O226">IF(OR($K226="",$I226="",$J226=""),"",_xlfn.LET(_xlpm.srcCat,_xlfn.SWITCH($I226,"Computer",_xlfn.XLOOKUP($K226&amp;"",COMPUTER!$B$3:$B$1009&amp;"",COMPUTER!$H$3:$H$1009,""),"Display",_xlfn.XLOOKUP($K226&amp;"",DISPLAY!$B$3:$B$1000&amp;"",DISPLAY!$H$3:$H$1000,""),"Network Device",_xlfn.XLOOKUP($K226&amp;"",'NETWORK-DEVICES'!$B$3:$B$987&amp;"",'NETWORK-DEVICES'!$H$3:$H$987,""),"Peripheral",_xlfn.XLOOKUP($K226&amp;"",PERIPHERAL!$B$3:$B$954&amp;"",PERIPHERAL!$H$3:$H$954,""),"Utilities",_xlfn.XLOOKUP($K226&amp;"",UTILITIES!$B$3:$B$953&amp;"",UTILITIES!$G$3:$G$953,""),"IOT",_xlfn.XLOOKUP($K226&amp;"",IOT!$B$3:$B$1012&amp;"",IOT!$H$3:$H$1012,""),"Server",_xlfn.XLOOKUP($K226&amp;"",SERVER!$B$3:$B$1009&amp;"",SERVER!$H$3:$H$1009,""),""),IF(TRIM(_xlpm.srcCat)&lt;&gt;TRIM($J226),"",_xlfn.SWITCH($I226,"Computer",_xlfn.XLOOKUP($K226&amp;"",COMPUTER!$B$3:$B$1009&amp;"",COMPUTER!$E$3:$E$1009,""),"Display",_xlfn.XLOOKUP($K226&amp;"",DISPLAY!$B$3:$B$1000&amp;"",DISPLAY!$E$3:$E$1000,""),"Network Device",_xlfn.XLOOKUP($K226&amp;"",'NETWORK-DEVICES'!$B$3:$B$987&amp;"",'NETWORK-DEVICES'!$E$3:$E$987,""),"Peripheral",_xlfn.XLOOKUP($K226&amp;"",PERIPHERAL!$B$3:$B$954&amp;"",PERIPHERAL!$E$3:$E$954,""),"Utilities",_xlfn.XLOOKUP($K226&amp;"",UTILITIES!$B$3:$B$953&amp;"",UTILITIES!$E$3:$E$953,""),"IOT",_xlfn.XLOOKUP($K226&amp;"",IOT!$B$3:$B$1012&amp;"",IOT!$E$3:$E$1012,""),"Server",_xlfn.XLOOKUP($K226&amp;"",SERVER!$B$3:$B$1009&amp;"",SERVER!$E$3:$E$1009,""),""))))</f>
        <v/>
      </c>
      <c r="Q226" s="1" t="str" cm="1">
        <f t="array" ref="Q226">IF(OR($K226="",$I226="",$J226=""),"",_xlfn.LET(_xlpm.srcCat,_xlfn.SWITCH($I226,"Computer",_xlfn.XLOOKUP($K226&amp;"",COMPUTER!$B$3:$B$1009&amp;"",COMPUTER!$H$3:$H$1009,""),"Display",_xlfn.XLOOKUP($K226&amp;"",DISPLAY!$B$3:$B$1000&amp;"",DISPLAY!$H$3:$H$1000,""),"Network Device",_xlfn.XLOOKUP($K226&amp;"",'NETWORK-DEVICES'!$B$3:$B$987&amp;"",'NETWORK-DEVICES'!$H$3:$H$987,""),"Peripheral",_xlfn.XLOOKUP($K226&amp;"",PERIPHERAL!$B$3:$B$954&amp;"",PERIPHERAL!$H$3:$H$954,""),"Utilities",_xlfn.XLOOKUP($K226&amp;"",UTILITIES!$B$3:$B$953&amp;"",UTILITIES!$G$3:$G$953,""),"IOT",_xlfn.XLOOKUP($K226&amp;"",IOT!$B$3:$B$1012&amp;"",IOT!$H$3:$H$1012,""),"Server",_xlfn.XLOOKUP($K226&amp;"",SERVER!$B$3:$B$1009&amp;"",SERVER!$H$3:$H$1009,""),""),IF(TRIM(_xlpm.srcCat)&lt;&gt;TRIM($J226),"",_xlfn.SWITCH($I226,"Computer",_xlfn.XLOOKUP($K226&amp;"",COMPUTER!$B$3:$B$1009&amp;"",COMPUTER!$AM$3:$AM$1009,""),"Display",_xlfn.XLOOKUP($K226&amp;"",DISPLAY!$B$3:$B$1000&amp;"",DISPLAY!$V$3:$V$1000,""),"Network Device",_xlfn.XLOOKUP($K226&amp;"",'NETWORK-DEVICES'!$B$3:$B$987&amp;"",'NETWORK-DEVICES'!$AF$3:$AF$987,""),"Peripheral",_xlfn.XLOOKUP($K226&amp;"",PERIPHERAL!$B$3:$B$954&amp;"",PERIPHERAL!$Y$3:$Y$954,""),"Utilities",_xlfn.XLOOKUP($K226&amp;"",UTILITIES!$B$3:$B$953&amp;"",UTILITIES!$O$3:$O$953,""),"IOT",_xlfn.XLOOKUP($K226&amp;"",IOT!$B$3:$B$1012&amp;"",IOT!$AB$3:$AB$1012,""),"Server",_xlfn.XLOOKUP($K226&amp;"",SERVER!$B$3:$B$1009&amp;"",SERVER!$AB$3:$AB$1009,""),""))))</f>
        <v/>
      </c>
      <c r="R226" s="43" t="str">
        <f>IF(tbl_handover[[#This Row],[Asset Code]]="","",COUNTIF(tbl_handover[Asset Code],tbl_handover[[#This Row],[Asset Code]]))</f>
        <v/>
      </c>
    </row>
    <row r="227" spans="1:18" x14ac:dyDescent="0.25">
      <c r="A227" s="43" t="str">
        <f>IF(B227&lt;&gt;"",SUBTOTAL(3,$B$1:B226),"")</f>
        <v/>
      </c>
      <c r="C227" s="74"/>
      <c r="D227" s="74"/>
      <c r="G227" s="1"/>
      <c r="K227" s="42"/>
      <c r="L227" t="str" cm="1">
        <f t="array" ref="L227">IF($K227="","",_xlfn.SWITCH($I227,"Computer",_xlfn.XLOOKUP($K227&amp;"",COMPUTER!$B$3:$B$1009&amp;"",COMPUTER!$I$3:$I$1009,""),"Display",_xlfn.XLOOKUP($K227&amp;"",DISPLAY!$B$3:$B$1000&amp;"",DISPLAY!$J$3:$J$1000,""),"Network Device",_xlfn.XLOOKUP($K227&amp;"",'NETWORK-DEVICES'!$B$3:$B$987&amp;"",'NETWORK-DEVICES'!$I$3:$I$987,""),"Peripheral",_xlfn.XLOOKUP($K227&amp;"",PERIPHERAL!$B$3:$B$954&amp;"",PERIPHERAL!$I$3:$I$954,""),"Utilities",_xlfn.XLOOKUP($K227&amp;"",UTILITIES!$B$3:$B$953&amp;"",UTILITIES!$H$3:$H$953,""),"IOT",_xlfn.XLOOKUP($K227&amp;"",IOT!$B$3:$B$1012&amp;"",IOT!$I$3:$I$1012,""),"SERVER",_xlfn.XLOOKUP($K227&amp;"",SERVER!$B$3:$B$1009&amp;"",SERVER!$I$3:$I$1009,""),""))</f>
        <v/>
      </c>
      <c r="M227" t="str" cm="1">
        <f t="array" ref="M227">IF($K227="","",_xlfn.SWITCH($I227,"Computer",_xlfn.XLOOKUP($K227&amp;"",COMPUTER!$B$3:$B$1009&amp;"",COMPUTER!$J$3:$J$1009,""),"Display",_xlfn.XLOOKUP($K227&amp;"",DISPLAY!$B$3:$B$1000&amp;"",DISPLAY!$K$3:$K$1000,""),"Network Device",_xlfn.XLOOKUP($K227&amp;"",'NETWORK-DEVICES'!$B$3:$B$987&amp;"",'NETWORK-DEVICES'!$I$3:$I$987,""),"Peripheral",_xlfn.XLOOKUP($K227&amp;"",PERIPHERAL!$B$3:$B$954&amp;"",PERIPHERAL!$J$3:$J$954,""),"Utilities",_xlfn.XLOOKUP($K227&amp;"",UTILITIES!$B$3:$B$953&amp;"",UTILITIES!$I$3:$I$953,""),"IOT",_xlfn.XLOOKUP($K227&amp;"",IOT!$B$3:$B$1012&amp;"",IOT!$J$3:$J$1012,""),"Server",_xlfn.XLOOKUP($K227&amp;"",SERVER!$B$3:$B$1009&amp;"",SERVER!$J$3:$J$1009,""),""))</f>
        <v/>
      </c>
      <c r="N227" s="1" t="str" cm="1">
        <f t="array" ref="N227">IF(OR($K227="",$I227="",$J227=""),"",_xlfn.LET(_xlpm.srcCat,_xlfn.SWITCH($I227,"Computer",_xlfn.XLOOKUP($K227&amp;"",COMPUTER!$B$3:$B$1009&amp;"",COMPUTER!$H$3:$H$1009,""),"Display",_xlfn.XLOOKUP($K227&amp;"",DISPLAY!$B$3:$B$1000&amp;"",DISPLAY!$H$3:$H$1000,""),"Network Device",_xlfn.XLOOKUP($K227&amp;"",'NETWORK-DEVICES'!$B$3:$B$987&amp;"",'NETWORK-DEVICES'!$H$3:$H$987,""),"Peripheral",_xlfn.XLOOKUP($K227&amp;"",PERIPHERAL!$B$3:$B$954&amp;"",PERIPHERAL!$H$3:$H$954,""),"Utilities",_xlfn.XLOOKUP($K227&amp;"",UTILITIES!$B$3:$B$953&amp;"",UTILITIES!$G$3:$G$953,""),"IOT",_xlfn.XLOOKUP($K227&amp;"",IOT!$B$3:$B$1012&amp;"",IOT!$H$3:$H$1012,""),"Server",_xlfn.XLOOKUP($K227&amp;"",SERVER!$B$3:$B$1009&amp;"",SERVER!$H$3:$H$1009,""),""),IF(TRIM(_xlpm.srcCat)&lt;&gt;TRIM($J227),"",_xlfn.SWITCH($I227,"Computer",_xlfn.XLOOKUP($K227&amp;"",COMPUTER!$B$3:$B$1009&amp;"",COMPUTER!$K$3:$K$1009,""),"Display",_xlfn.XLOOKUP($K227&amp;"",DISPLAY!$B$3:$B$1000&amp;"",DISPLAY!$L$3:$L$1000,""),"Network Device",_xlfn.XLOOKUP($K227&amp;"",'NETWORK-DEVICES'!$B$3:$B$987&amp;"",'NETWORK-DEVICES'!$K$3:$K$987,""),"Peripheral",_xlfn.XLOOKUP($K227&amp;"",PERIPHERAL!$B$3:$B$954&amp;"",PERIPHERAL!$K$3:$K$954,""),"Utilities",_xlfn.XLOOKUP($K227&amp;"",UTILITIES!$B$3:$B$953&amp;"",UTILITIES!$J$3:$J$953,""),"IOT",_xlfn.XLOOKUP($K227&amp;"",IOT!$B$3:$B$1012&amp;"",IOT!$K$4:$K$1012,""),"Server",_xlfn.XLOOKUP($K227&amp;"",SERVER!$B$3:$B$1009&amp;"",SERVER!$K$3:$K$1009,""),""))))</f>
        <v/>
      </c>
      <c r="O227" s="1" t="str" cm="1">
        <f t="array" ref="O227">IF(OR($K227="",$I227="",$J227=""),"",_xlfn.LET(_xlpm.srcCat,_xlfn.SWITCH($I227,"Computer",_xlfn.XLOOKUP($K227&amp;"",COMPUTER!$B$3:$B$1009&amp;"",COMPUTER!$H$3:$H$1009,""),"Display",_xlfn.XLOOKUP($K227&amp;"",DISPLAY!$B$3:$B$1000&amp;"",DISPLAY!$H$3:$H$1000,""),"Network Device",_xlfn.XLOOKUP($K227&amp;"",'NETWORK-DEVICES'!$B$3:$B$987&amp;"",'NETWORK-DEVICES'!$H$3:$H$987,""),"Peripheral",_xlfn.XLOOKUP($K227&amp;"",PERIPHERAL!$B$3:$B$954&amp;"",PERIPHERAL!$H$3:$H$954,""),"Utilities",_xlfn.XLOOKUP($K227&amp;"",UTILITIES!$B$3:$B$953&amp;"",UTILITIES!$G$3:$G$953,""),"IOT",_xlfn.XLOOKUP($K227&amp;"",IOT!$B$3:$B$1012&amp;"",IOT!$H$3:$H$1012,""),"Server",_xlfn.XLOOKUP($K227&amp;"",SERVER!$B$3:$B$1009&amp;"",SERVER!$H$3:$H$1009,""),""),IF(TRIM(_xlpm.srcCat)&lt;&gt;TRIM($J227),"",_xlfn.SWITCH($I227,"Computer",_xlfn.XLOOKUP($K227&amp;"",COMPUTER!$B$3:$B$1009&amp;"",COMPUTER!$E$3:$E$1009,""),"Display",_xlfn.XLOOKUP($K227&amp;"",DISPLAY!$B$3:$B$1000&amp;"",DISPLAY!$E$3:$E$1000,""),"Network Device",_xlfn.XLOOKUP($K227&amp;"",'NETWORK-DEVICES'!$B$3:$B$987&amp;"",'NETWORK-DEVICES'!$E$3:$E$987,""),"Peripheral",_xlfn.XLOOKUP($K227&amp;"",PERIPHERAL!$B$3:$B$954&amp;"",PERIPHERAL!$E$3:$E$954,""),"Utilities",_xlfn.XLOOKUP($K227&amp;"",UTILITIES!$B$3:$B$953&amp;"",UTILITIES!$E$3:$E$953,""),"IOT",_xlfn.XLOOKUP($K227&amp;"",IOT!$B$3:$B$1012&amp;"",IOT!$E$3:$E$1012,""),"Server",_xlfn.XLOOKUP($K227&amp;"",SERVER!$B$3:$B$1009&amp;"",SERVER!$E$3:$E$1009,""),""))))</f>
        <v/>
      </c>
      <c r="Q227" s="1" t="str" cm="1">
        <f t="array" ref="Q227">IF(OR($K227="",$I227="",$J227=""),"",_xlfn.LET(_xlpm.srcCat,_xlfn.SWITCH($I227,"Computer",_xlfn.XLOOKUP($K227&amp;"",COMPUTER!$B$3:$B$1009&amp;"",COMPUTER!$H$3:$H$1009,""),"Display",_xlfn.XLOOKUP($K227&amp;"",DISPLAY!$B$3:$B$1000&amp;"",DISPLAY!$H$3:$H$1000,""),"Network Device",_xlfn.XLOOKUP($K227&amp;"",'NETWORK-DEVICES'!$B$3:$B$987&amp;"",'NETWORK-DEVICES'!$H$3:$H$987,""),"Peripheral",_xlfn.XLOOKUP($K227&amp;"",PERIPHERAL!$B$3:$B$954&amp;"",PERIPHERAL!$H$3:$H$954,""),"Utilities",_xlfn.XLOOKUP($K227&amp;"",UTILITIES!$B$3:$B$953&amp;"",UTILITIES!$G$3:$G$953,""),"IOT",_xlfn.XLOOKUP($K227&amp;"",IOT!$B$3:$B$1012&amp;"",IOT!$H$3:$H$1012,""),"Server",_xlfn.XLOOKUP($K227&amp;"",SERVER!$B$3:$B$1009&amp;"",SERVER!$H$3:$H$1009,""),""),IF(TRIM(_xlpm.srcCat)&lt;&gt;TRIM($J227),"",_xlfn.SWITCH($I227,"Computer",_xlfn.XLOOKUP($K227&amp;"",COMPUTER!$B$3:$B$1009&amp;"",COMPUTER!$AM$3:$AM$1009,""),"Display",_xlfn.XLOOKUP($K227&amp;"",DISPLAY!$B$3:$B$1000&amp;"",DISPLAY!$V$3:$V$1000,""),"Network Device",_xlfn.XLOOKUP($K227&amp;"",'NETWORK-DEVICES'!$B$3:$B$987&amp;"",'NETWORK-DEVICES'!$AF$3:$AF$987,""),"Peripheral",_xlfn.XLOOKUP($K227&amp;"",PERIPHERAL!$B$3:$B$954&amp;"",PERIPHERAL!$Y$3:$Y$954,""),"Utilities",_xlfn.XLOOKUP($K227&amp;"",UTILITIES!$B$3:$B$953&amp;"",UTILITIES!$O$3:$O$953,""),"IOT",_xlfn.XLOOKUP($K227&amp;"",IOT!$B$3:$B$1012&amp;"",IOT!$AB$3:$AB$1012,""),"Server",_xlfn.XLOOKUP($K227&amp;"",SERVER!$B$3:$B$1009&amp;"",SERVER!$AB$3:$AB$1009,""),""))))</f>
        <v/>
      </c>
      <c r="R227" s="43" t="str">
        <f>IF(tbl_handover[[#This Row],[Asset Code]]="","",COUNTIF(tbl_handover[Asset Code],tbl_handover[[#This Row],[Asset Code]]))</f>
        <v/>
      </c>
    </row>
    <row r="228" spans="1:18" x14ac:dyDescent="0.25">
      <c r="A228" s="43" t="str">
        <f>IF(B228&lt;&gt;"",SUBTOTAL(3,$B$1:B227),"")</f>
        <v/>
      </c>
      <c r="C228" s="74"/>
      <c r="D228" s="74"/>
      <c r="G228" s="1"/>
      <c r="K228" s="42"/>
      <c r="L228" t="str" cm="1">
        <f t="array" ref="L228">IF($K228="","",_xlfn.SWITCH($I228,"Computer",_xlfn.XLOOKUP($K228&amp;"",COMPUTER!$B$3:$B$1009&amp;"",COMPUTER!$I$3:$I$1009,""),"Display",_xlfn.XLOOKUP($K228&amp;"",DISPLAY!$B$3:$B$1000&amp;"",DISPLAY!$J$3:$J$1000,""),"Network Device",_xlfn.XLOOKUP($K228&amp;"",'NETWORK-DEVICES'!$B$3:$B$987&amp;"",'NETWORK-DEVICES'!$I$3:$I$987,""),"Peripheral",_xlfn.XLOOKUP($K228&amp;"",PERIPHERAL!$B$3:$B$954&amp;"",PERIPHERAL!$I$3:$I$954,""),"Utilities",_xlfn.XLOOKUP($K228&amp;"",UTILITIES!$B$3:$B$953&amp;"",UTILITIES!$H$3:$H$953,""),"IOT",_xlfn.XLOOKUP($K228&amp;"",IOT!$B$3:$B$1012&amp;"",IOT!$I$3:$I$1012,""),"SERVER",_xlfn.XLOOKUP($K228&amp;"",SERVER!$B$3:$B$1009&amp;"",SERVER!$I$3:$I$1009,""),""))</f>
        <v/>
      </c>
      <c r="M228" t="str" cm="1">
        <f t="array" ref="M228">IF($K228="","",_xlfn.SWITCH($I228,"Computer",_xlfn.XLOOKUP($K228&amp;"",COMPUTER!$B$3:$B$1009&amp;"",COMPUTER!$J$3:$J$1009,""),"Display",_xlfn.XLOOKUP($K228&amp;"",DISPLAY!$B$3:$B$1000&amp;"",DISPLAY!$K$3:$K$1000,""),"Network Device",_xlfn.XLOOKUP($K228&amp;"",'NETWORK-DEVICES'!$B$3:$B$987&amp;"",'NETWORK-DEVICES'!$I$3:$I$987,""),"Peripheral",_xlfn.XLOOKUP($K228&amp;"",PERIPHERAL!$B$3:$B$954&amp;"",PERIPHERAL!$J$3:$J$954,""),"Utilities",_xlfn.XLOOKUP($K228&amp;"",UTILITIES!$B$3:$B$953&amp;"",UTILITIES!$I$3:$I$953,""),"IOT",_xlfn.XLOOKUP($K228&amp;"",IOT!$B$3:$B$1012&amp;"",IOT!$J$3:$J$1012,""),"Server",_xlfn.XLOOKUP($K228&amp;"",SERVER!$B$3:$B$1009&amp;"",SERVER!$J$3:$J$1009,""),""))</f>
        <v/>
      </c>
      <c r="N228" s="1" t="str" cm="1">
        <f t="array" ref="N228">IF(OR($K228="",$I228="",$J228=""),"",_xlfn.LET(_xlpm.srcCat,_xlfn.SWITCH($I228,"Computer",_xlfn.XLOOKUP($K228&amp;"",COMPUTER!$B$3:$B$1009&amp;"",COMPUTER!$H$3:$H$1009,""),"Display",_xlfn.XLOOKUP($K228&amp;"",DISPLAY!$B$3:$B$1000&amp;"",DISPLAY!$H$3:$H$1000,""),"Network Device",_xlfn.XLOOKUP($K228&amp;"",'NETWORK-DEVICES'!$B$3:$B$987&amp;"",'NETWORK-DEVICES'!$H$3:$H$987,""),"Peripheral",_xlfn.XLOOKUP($K228&amp;"",PERIPHERAL!$B$3:$B$954&amp;"",PERIPHERAL!$H$3:$H$954,""),"Utilities",_xlfn.XLOOKUP($K228&amp;"",UTILITIES!$B$3:$B$953&amp;"",UTILITIES!$G$3:$G$953,""),"IOT",_xlfn.XLOOKUP($K228&amp;"",IOT!$B$3:$B$1012&amp;"",IOT!$H$3:$H$1012,""),"Server",_xlfn.XLOOKUP($K228&amp;"",SERVER!$B$3:$B$1009&amp;"",SERVER!$H$3:$H$1009,""),""),IF(TRIM(_xlpm.srcCat)&lt;&gt;TRIM($J228),"",_xlfn.SWITCH($I228,"Computer",_xlfn.XLOOKUP($K228&amp;"",COMPUTER!$B$3:$B$1009&amp;"",COMPUTER!$K$3:$K$1009,""),"Display",_xlfn.XLOOKUP($K228&amp;"",DISPLAY!$B$3:$B$1000&amp;"",DISPLAY!$L$3:$L$1000,""),"Network Device",_xlfn.XLOOKUP($K228&amp;"",'NETWORK-DEVICES'!$B$3:$B$987&amp;"",'NETWORK-DEVICES'!$K$3:$K$987,""),"Peripheral",_xlfn.XLOOKUP($K228&amp;"",PERIPHERAL!$B$3:$B$954&amp;"",PERIPHERAL!$K$3:$K$954,""),"Utilities",_xlfn.XLOOKUP($K228&amp;"",UTILITIES!$B$3:$B$953&amp;"",UTILITIES!$J$3:$J$953,""),"IOT",_xlfn.XLOOKUP($K228&amp;"",IOT!$B$3:$B$1012&amp;"",IOT!$K$4:$K$1012,""),"Server",_xlfn.XLOOKUP($K228&amp;"",SERVER!$B$3:$B$1009&amp;"",SERVER!$K$3:$K$1009,""),""))))</f>
        <v/>
      </c>
      <c r="O228" s="1" t="str" cm="1">
        <f t="array" ref="O228">IF(OR($K228="",$I228="",$J228=""),"",_xlfn.LET(_xlpm.srcCat,_xlfn.SWITCH($I228,"Computer",_xlfn.XLOOKUP($K228&amp;"",COMPUTER!$B$3:$B$1009&amp;"",COMPUTER!$H$3:$H$1009,""),"Display",_xlfn.XLOOKUP($K228&amp;"",DISPLAY!$B$3:$B$1000&amp;"",DISPLAY!$H$3:$H$1000,""),"Network Device",_xlfn.XLOOKUP($K228&amp;"",'NETWORK-DEVICES'!$B$3:$B$987&amp;"",'NETWORK-DEVICES'!$H$3:$H$987,""),"Peripheral",_xlfn.XLOOKUP($K228&amp;"",PERIPHERAL!$B$3:$B$954&amp;"",PERIPHERAL!$H$3:$H$954,""),"Utilities",_xlfn.XLOOKUP($K228&amp;"",UTILITIES!$B$3:$B$953&amp;"",UTILITIES!$G$3:$G$953,""),"IOT",_xlfn.XLOOKUP($K228&amp;"",IOT!$B$3:$B$1012&amp;"",IOT!$H$3:$H$1012,""),"Server",_xlfn.XLOOKUP($K228&amp;"",SERVER!$B$3:$B$1009&amp;"",SERVER!$H$3:$H$1009,""),""),IF(TRIM(_xlpm.srcCat)&lt;&gt;TRIM($J228),"",_xlfn.SWITCH($I228,"Computer",_xlfn.XLOOKUP($K228&amp;"",COMPUTER!$B$3:$B$1009&amp;"",COMPUTER!$E$3:$E$1009,""),"Display",_xlfn.XLOOKUP($K228&amp;"",DISPLAY!$B$3:$B$1000&amp;"",DISPLAY!$E$3:$E$1000,""),"Network Device",_xlfn.XLOOKUP($K228&amp;"",'NETWORK-DEVICES'!$B$3:$B$987&amp;"",'NETWORK-DEVICES'!$E$3:$E$987,""),"Peripheral",_xlfn.XLOOKUP($K228&amp;"",PERIPHERAL!$B$3:$B$954&amp;"",PERIPHERAL!$E$3:$E$954,""),"Utilities",_xlfn.XLOOKUP($K228&amp;"",UTILITIES!$B$3:$B$953&amp;"",UTILITIES!$E$3:$E$953,""),"IOT",_xlfn.XLOOKUP($K228&amp;"",IOT!$B$3:$B$1012&amp;"",IOT!$E$3:$E$1012,""),"Server",_xlfn.XLOOKUP($K228&amp;"",SERVER!$B$3:$B$1009&amp;"",SERVER!$E$3:$E$1009,""),""))))</f>
        <v/>
      </c>
      <c r="Q228" s="1" t="str" cm="1">
        <f t="array" ref="Q228">IF(OR($K228="",$I228="",$J228=""),"",_xlfn.LET(_xlpm.srcCat,_xlfn.SWITCH($I228,"Computer",_xlfn.XLOOKUP($K228&amp;"",COMPUTER!$B$3:$B$1009&amp;"",COMPUTER!$H$3:$H$1009,""),"Display",_xlfn.XLOOKUP($K228&amp;"",DISPLAY!$B$3:$B$1000&amp;"",DISPLAY!$H$3:$H$1000,""),"Network Device",_xlfn.XLOOKUP($K228&amp;"",'NETWORK-DEVICES'!$B$3:$B$987&amp;"",'NETWORK-DEVICES'!$H$3:$H$987,""),"Peripheral",_xlfn.XLOOKUP($K228&amp;"",PERIPHERAL!$B$3:$B$954&amp;"",PERIPHERAL!$H$3:$H$954,""),"Utilities",_xlfn.XLOOKUP($K228&amp;"",UTILITIES!$B$3:$B$953&amp;"",UTILITIES!$G$3:$G$953,""),"IOT",_xlfn.XLOOKUP($K228&amp;"",IOT!$B$3:$B$1012&amp;"",IOT!$H$3:$H$1012,""),"Server",_xlfn.XLOOKUP($K228&amp;"",SERVER!$B$3:$B$1009&amp;"",SERVER!$H$3:$H$1009,""),""),IF(TRIM(_xlpm.srcCat)&lt;&gt;TRIM($J228),"",_xlfn.SWITCH($I228,"Computer",_xlfn.XLOOKUP($K228&amp;"",COMPUTER!$B$3:$B$1009&amp;"",COMPUTER!$AM$3:$AM$1009,""),"Display",_xlfn.XLOOKUP($K228&amp;"",DISPLAY!$B$3:$B$1000&amp;"",DISPLAY!$V$3:$V$1000,""),"Network Device",_xlfn.XLOOKUP($K228&amp;"",'NETWORK-DEVICES'!$B$3:$B$987&amp;"",'NETWORK-DEVICES'!$AF$3:$AF$987,""),"Peripheral",_xlfn.XLOOKUP($K228&amp;"",PERIPHERAL!$B$3:$B$954&amp;"",PERIPHERAL!$Y$3:$Y$954,""),"Utilities",_xlfn.XLOOKUP($K228&amp;"",UTILITIES!$B$3:$B$953&amp;"",UTILITIES!$O$3:$O$953,""),"IOT",_xlfn.XLOOKUP($K228&amp;"",IOT!$B$3:$B$1012&amp;"",IOT!$AB$3:$AB$1012,""),"Server",_xlfn.XLOOKUP($K228&amp;"",SERVER!$B$3:$B$1009&amp;"",SERVER!$AB$3:$AB$1009,""),""))))</f>
        <v/>
      </c>
      <c r="R228" s="43" t="str">
        <f>IF(tbl_handover[[#This Row],[Asset Code]]="","",COUNTIF(tbl_handover[Asset Code],tbl_handover[[#This Row],[Asset Code]]))</f>
        <v/>
      </c>
    </row>
    <row r="229" spans="1:18" x14ac:dyDescent="0.25">
      <c r="A229" s="43" t="str">
        <f>IF(B229&lt;&gt;"",SUBTOTAL(3,$B$1:B228),"")</f>
        <v/>
      </c>
      <c r="C229" s="74"/>
      <c r="D229" s="74"/>
      <c r="G229" s="1"/>
      <c r="K229" s="42"/>
      <c r="L229" t="str" cm="1">
        <f t="array" ref="L229">IF($K229="","",_xlfn.SWITCH($I229,"Computer",_xlfn.XLOOKUP($K229&amp;"",COMPUTER!$B$3:$B$1009&amp;"",COMPUTER!$I$3:$I$1009,""),"Display",_xlfn.XLOOKUP($K229&amp;"",DISPLAY!$B$3:$B$1000&amp;"",DISPLAY!$J$3:$J$1000,""),"Network Device",_xlfn.XLOOKUP($K229&amp;"",'NETWORK-DEVICES'!$B$3:$B$987&amp;"",'NETWORK-DEVICES'!$I$3:$I$987,""),"Peripheral",_xlfn.XLOOKUP($K229&amp;"",PERIPHERAL!$B$3:$B$954&amp;"",PERIPHERAL!$I$3:$I$954,""),"Utilities",_xlfn.XLOOKUP($K229&amp;"",UTILITIES!$B$3:$B$953&amp;"",UTILITIES!$H$3:$H$953,""),"IOT",_xlfn.XLOOKUP($K229&amp;"",IOT!$B$3:$B$1012&amp;"",IOT!$I$3:$I$1012,""),"SERVER",_xlfn.XLOOKUP($K229&amp;"",SERVER!$B$3:$B$1009&amp;"",SERVER!$I$3:$I$1009,""),""))</f>
        <v/>
      </c>
      <c r="M229" t="str" cm="1">
        <f t="array" ref="M229">IF($K229="","",_xlfn.SWITCH($I229,"Computer",_xlfn.XLOOKUP($K229&amp;"",COMPUTER!$B$3:$B$1009&amp;"",COMPUTER!$J$3:$J$1009,""),"Display",_xlfn.XLOOKUP($K229&amp;"",DISPLAY!$B$3:$B$1000&amp;"",DISPLAY!$K$3:$K$1000,""),"Network Device",_xlfn.XLOOKUP($K229&amp;"",'NETWORK-DEVICES'!$B$3:$B$987&amp;"",'NETWORK-DEVICES'!$I$3:$I$987,""),"Peripheral",_xlfn.XLOOKUP($K229&amp;"",PERIPHERAL!$B$3:$B$954&amp;"",PERIPHERAL!$J$3:$J$954,""),"Utilities",_xlfn.XLOOKUP($K229&amp;"",UTILITIES!$B$3:$B$953&amp;"",UTILITIES!$I$3:$I$953,""),"IOT",_xlfn.XLOOKUP($K229&amp;"",IOT!$B$3:$B$1012&amp;"",IOT!$J$3:$J$1012,""),"Server",_xlfn.XLOOKUP($K229&amp;"",SERVER!$B$3:$B$1009&amp;"",SERVER!$J$3:$J$1009,""),""))</f>
        <v/>
      </c>
      <c r="N229" s="1" t="str" cm="1">
        <f t="array" ref="N229">IF(OR($K229="",$I229="",$J229=""),"",_xlfn.LET(_xlpm.srcCat,_xlfn.SWITCH($I229,"Computer",_xlfn.XLOOKUP($K229&amp;"",COMPUTER!$B$3:$B$1009&amp;"",COMPUTER!$H$3:$H$1009,""),"Display",_xlfn.XLOOKUP($K229&amp;"",DISPLAY!$B$3:$B$1000&amp;"",DISPLAY!$H$3:$H$1000,""),"Network Device",_xlfn.XLOOKUP($K229&amp;"",'NETWORK-DEVICES'!$B$3:$B$987&amp;"",'NETWORK-DEVICES'!$H$3:$H$987,""),"Peripheral",_xlfn.XLOOKUP($K229&amp;"",PERIPHERAL!$B$3:$B$954&amp;"",PERIPHERAL!$H$3:$H$954,""),"Utilities",_xlfn.XLOOKUP($K229&amp;"",UTILITIES!$B$3:$B$953&amp;"",UTILITIES!$G$3:$G$953,""),"IOT",_xlfn.XLOOKUP($K229&amp;"",IOT!$B$3:$B$1012&amp;"",IOT!$H$3:$H$1012,""),"Server",_xlfn.XLOOKUP($K229&amp;"",SERVER!$B$3:$B$1009&amp;"",SERVER!$H$3:$H$1009,""),""),IF(TRIM(_xlpm.srcCat)&lt;&gt;TRIM($J229),"",_xlfn.SWITCH($I229,"Computer",_xlfn.XLOOKUP($K229&amp;"",COMPUTER!$B$3:$B$1009&amp;"",COMPUTER!$K$3:$K$1009,""),"Display",_xlfn.XLOOKUP($K229&amp;"",DISPLAY!$B$3:$B$1000&amp;"",DISPLAY!$L$3:$L$1000,""),"Network Device",_xlfn.XLOOKUP($K229&amp;"",'NETWORK-DEVICES'!$B$3:$B$987&amp;"",'NETWORK-DEVICES'!$K$3:$K$987,""),"Peripheral",_xlfn.XLOOKUP($K229&amp;"",PERIPHERAL!$B$3:$B$954&amp;"",PERIPHERAL!$K$3:$K$954,""),"Utilities",_xlfn.XLOOKUP($K229&amp;"",UTILITIES!$B$3:$B$953&amp;"",UTILITIES!$J$3:$J$953,""),"IOT",_xlfn.XLOOKUP($K229&amp;"",IOT!$B$3:$B$1012&amp;"",IOT!$K$4:$K$1012,""),"Server",_xlfn.XLOOKUP($K229&amp;"",SERVER!$B$3:$B$1009&amp;"",SERVER!$K$3:$K$1009,""),""))))</f>
        <v/>
      </c>
      <c r="O229" s="1" t="str" cm="1">
        <f t="array" ref="O229">IF(OR($K229="",$I229="",$J229=""),"",_xlfn.LET(_xlpm.srcCat,_xlfn.SWITCH($I229,"Computer",_xlfn.XLOOKUP($K229&amp;"",COMPUTER!$B$3:$B$1009&amp;"",COMPUTER!$H$3:$H$1009,""),"Display",_xlfn.XLOOKUP($K229&amp;"",DISPLAY!$B$3:$B$1000&amp;"",DISPLAY!$H$3:$H$1000,""),"Network Device",_xlfn.XLOOKUP($K229&amp;"",'NETWORK-DEVICES'!$B$3:$B$987&amp;"",'NETWORK-DEVICES'!$H$3:$H$987,""),"Peripheral",_xlfn.XLOOKUP($K229&amp;"",PERIPHERAL!$B$3:$B$954&amp;"",PERIPHERAL!$H$3:$H$954,""),"Utilities",_xlfn.XLOOKUP($K229&amp;"",UTILITIES!$B$3:$B$953&amp;"",UTILITIES!$G$3:$G$953,""),"IOT",_xlfn.XLOOKUP($K229&amp;"",IOT!$B$3:$B$1012&amp;"",IOT!$H$3:$H$1012,""),"Server",_xlfn.XLOOKUP($K229&amp;"",SERVER!$B$3:$B$1009&amp;"",SERVER!$H$3:$H$1009,""),""),IF(TRIM(_xlpm.srcCat)&lt;&gt;TRIM($J229),"",_xlfn.SWITCH($I229,"Computer",_xlfn.XLOOKUP($K229&amp;"",COMPUTER!$B$3:$B$1009&amp;"",COMPUTER!$E$3:$E$1009,""),"Display",_xlfn.XLOOKUP($K229&amp;"",DISPLAY!$B$3:$B$1000&amp;"",DISPLAY!$E$3:$E$1000,""),"Network Device",_xlfn.XLOOKUP($K229&amp;"",'NETWORK-DEVICES'!$B$3:$B$987&amp;"",'NETWORK-DEVICES'!$E$3:$E$987,""),"Peripheral",_xlfn.XLOOKUP($K229&amp;"",PERIPHERAL!$B$3:$B$954&amp;"",PERIPHERAL!$E$3:$E$954,""),"Utilities",_xlfn.XLOOKUP($K229&amp;"",UTILITIES!$B$3:$B$953&amp;"",UTILITIES!$E$3:$E$953,""),"IOT",_xlfn.XLOOKUP($K229&amp;"",IOT!$B$3:$B$1012&amp;"",IOT!$E$3:$E$1012,""),"Server",_xlfn.XLOOKUP($K229&amp;"",SERVER!$B$3:$B$1009&amp;"",SERVER!$E$3:$E$1009,""),""))))</f>
        <v/>
      </c>
      <c r="Q229" s="1" t="str" cm="1">
        <f t="array" ref="Q229">IF(OR($K229="",$I229="",$J229=""),"",_xlfn.LET(_xlpm.srcCat,_xlfn.SWITCH($I229,"Computer",_xlfn.XLOOKUP($K229&amp;"",COMPUTER!$B$3:$B$1009&amp;"",COMPUTER!$H$3:$H$1009,""),"Display",_xlfn.XLOOKUP($K229&amp;"",DISPLAY!$B$3:$B$1000&amp;"",DISPLAY!$H$3:$H$1000,""),"Network Device",_xlfn.XLOOKUP($K229&amp;"",'NETWORK-DEVICES'!$B$3:$B$987&amp;"",'NETWORK-DEVICES'!$H$3:$H$987,""),"Peripheral",_xlfn.XLOOKUP($K229&amp;"",PERIPHERAL!$B$3:$B$954&amp;"",PERIPHERAL!$H$3:$H$954,""),"Utilities",_xlfn.XLOOKUP($K229&amp;"",UTILITIES!$B$3:$B$953&amp;"",UTILITIES!$G$3:$G$953,""),"IOT",_xlfn.XLOOKUP($K229&amp;"",IOT!$B$3:$B$1012&amp;"",IOT!$H$3:$H$1012,""),"Server",_xlfn.XLOOKUP($K229&amp;"",SERVER!$B$3:$B$1009&amp;"",SERVER!$H$3:$H$1009,""),""),IF(TRIM(_xlpm.srcCat)&lt;&gt;TRIM($J229),"",_xlfn.SWITCH($I229,"Computer",_xlfn.XLOOKUP($K229&amp;"",COMPUTER!$B$3:$B$1009&amp;"",COMPUTER!$AM$3:$AM$1009,""),"Display",_xlfn.XLOOKUP($K229&amp;"",DISPLAY!$B$3:$B$1000&amp;"",DISPLAY!$V$3:$V$1000,""),"Network Device",_xlfn.XLOOKUP($K229&amp;"",'NETWORK-DEVICES'!$B$3:$B$987&amp;"",'NETWORK-DEVICES'!$AF$3:$AF$987,""),"Peripheral",_xlfn.XLOOKUP($K229&amp;"",PERIPHERAL!$B$3:$B$954&amp;"",PERIPHERAL!$Y$3:$Y$954,""),"Utilities",_xlfn.XLOOKUP($K229&amp;"",UTILITIES!$B$3:$B$953&amp;"",UTILITIES!$O$3:$O$953,""),"IOT",_xlfn.XLOOKUP($K229&amp;"",IOT!$B$3:$B$1012&amp;"",IOT!$AB$3:$AB$1012,""),"Server",_xlfn.XLOOKUP($K229&amp;"",SERVER!$B$3:$B$1009&amp;"",SERVER!$AB$3:$AB$1009,""),""))))</f>
        <v/>
      </c>
      <c r="R229" s="43" t="str">
        <f>IF(tbl_handover[[#This Row],[Asset Code]]="","",COUNTIF(tbl_handover[Asset Code],tbl_handover[[#This Row],[Asset Code]]))</f>
        <v/>
      </c>
    </row>
    <row r="230" spans="1:18" x14ac:dyDescent="0.25">
      <c r="A230" s="43" t="str">
        <f>IF(B230&lt;&gt;"",SUBTOTAL(3,$B$1:B229),"")</f>
        <v/>
      </c>
      <c r="C230" s="74"/>
      <c r="D230" s="74"/>
      <c r="G230" s="1"/>
      <c r="K230" s="42"/>
      <c r="L230" t="str" cm="1">
        <f t="array" ref="L230">IF($K230="","",_xlfn.SWITCH($I230,"Computer",_xlfn.XLOOKUP($K230&amp;"",COMPUTER!$B$3:$B$1009&amp;"",COMPUTER!$I$3:$I$1009,""),"Display",_xlfn.XLOOKUP($K230&amp;"",DISPLAY!$B$3:$B$1000&amp;"",DISPLAY!$J$3:$J$1000,""),"Network Device",_xlfn.XLOOKUP($K230&amp;"",'NETWORK-DEVICES'!$B$3:$B$987&amp;"",'NETWORK-DEVICES'!$I$3:$I$987,""),"Peripheral",_xlfn.XLOOKUP($K230&amp;"",PERIPHERAL!$B$3:$B$954&amp;"",PERIPHERAL!$I$3:$I$954,""),"Utilities",_xlfn.XLOOKUP($K230&amp;"",UTILITIES!$B$3:$B$953&amp;"",UTILITIES!$H$3:$H$953,""),"IOT",_xlfn.XLOOKUP($K230&amp;"",IOT!$B$3:$B$1012&amp;"",IOT!$I$3:$I$1012,""),"SERVER",_xlfn.XLOOKUP($K230&amp;"",SERVER!$B$3:$B$1009&amp;"",SERVER!$I$3:$I$1009,""),""))</f>
        <v/>
      </c>
      <c r="M230" t="str" cm="1">
        <f t="array" ref="M230">IF($K230="","",_xlfn.SWITCH($I230,"Computer",_xlfn.XLOOKUP($K230&amp;"",COMPUTER!$B$3:$B$1009&amp;"",COMPUTER!$J$3:$J$1009,""),"Display",_xlfn.XLOOKUP($K230&amp;"",DISPLAY!$B$3:$B$1000&amp;"",DISPLAY!$K$3:$K$1000,""),"Network Device",_xlfn.XLOOKUP($K230&amp;"",'NETWORK-DEVICES'!$B$3:$B$987&amp;"",'NETWORK-DEVICES'!$I$3:$I$987,""),"Peripheral",_xlfn.XLOOKUP($K230&amp;"",PERIPHERAL!$B$3:$B$954&amp;"",PERIPHERAL!$J$3:$J$954,""),"Utilities",_xlfn.XLOOKUP($K230&amp;"",UTILITIES!$B$3:$B$953&amp;"",UTILITIES!$I$3:$I$953,""),"IOT",_xlfn.XLOOKUP($K230&amp;"",IOT!$B$3:$B$1012&amp;"",IOT!$J$3:$J$1012,""),"Server",_xlfn.XLOOKUP($K230&amp;"",SERVER!$B$3:$B$1009&amp;"",SERVER!$J$3:$J$1009,""),""))</f>
        <v/>
      </c>
      <c r="N230" s="1" t="str" cm="1">
        <f t="array" ref="N230">IF(OR($K230="",$I230="",$J230=""),"",_xlfn.LET(_xlpm.srcCat,_xlfn.SWITCH($I230,"Computer",_xlfn.XLOOKUP($K230&amp;"",COMPUTER!$B$3:$B$1009&amp;"",COMPUTER!$H$3:$H$1009,""),"Display",_xlfn.XLOOKUP($K230&amp;"",DISPLAY!$B$3:$B$1000&amp;"",DISPLAY!$H$3:$H$1000,""),"Network Device",_xlfn.XLOOKUP($K230&amp;"",'NETWORK-DEVICES'!$B$3:$B$987&amp;"",'NETWORK-DEVICES'!$H$3:$H$987,""),"Peripheral",_xlfn.XLOOKUP($K230&amp;"",PERIPHERAL!$B$3:$B$954&amp;"",PERIPHERAL!$H$3:$H$954,""),"Utilities",_xlfn.XLOOKUP($K230&amp;"",UTILITIES!$B$3:$B$953&amp;"",UTILITIES!$G$3:$G$953,""),"IOT",_xlfn.XLOOKUP($K230&amp;"",IOT!$B$3:$B$1012&amp;"",IOT!$H$3:$H$1012,""),"Server",_xlfn.XLOOKUP($K230&amp;"",SERVER!$B$3:$B$1009&amp;"",SERVER!$H$3:$H$1009,""),""),IF(TRIM(_xlpm.srcCat)&lt;&gt;TRIM($J230),"",_xlfn.SWITCH($I230,"Computer",_xlfn.XLOOKUP($K230&amp;"",COMPUTER!$B$3:$B$1009&amp;"",COMPUTER!$K$3:$K$1009,""),"Display",_xlfn.XLOOKUP($K230&amp;"",DISPLAY!$B$3:$B$1000&amp;"",DISPLAY!$L$3:$L$1000,""),"Network Device",_xlfn.XLOOKUP($K230&amp;"",'NETWORK-DEVICES'!$B$3:$B$987&amp;"",'NETWORK-DEVICES'!$K$3:$K$987,""),"Peripheral",_xlfn.XLOOKUP($K230&amp;"",PERIPHERAL!$B$3:$B$954&amp;"",PERIPHERAL!$K$3:$K$954,""),"Utilities",_xlfn.XLOOKUP($K230&amp;"",UTILITIES!$B$3:$B$953&amp;"",UTILITIES!$J$3:$J$953,""),"IOT",_xlfn.XLOOKUP($K230&amp;"",IOT!$B$3:$B$1012&amp;"",IOT!$K$4:$K$1012,""),"Server",_xlfn.XLOOKUP($K230&amp;"",SERVER!$B$3:$B$1009&amp;"",SERVER!$K$3:$K$1009,""),""))))</f>
        <v/>
      </c>
      <c r="O230" s="1" t="str" cm="1">
        <f t="array" ref="O230">IF(OR($K230="",$I230="",$J230=""),"",_xlfn.LET(_xlpm.srcCat,_xlfn.SWITCH($I230,"Computer",_xlfn.XLOOKUP($K230&amp;"",COMPUTER!$B$3:$B$1009&amp;"",COMPUTER!$H$3:$H$1009,""),"Display",_xlfn.XLOOKUP($K230&amp;"",DISPLAY!$B$3:$B$1000&amp;"",DISPLAY!$H$3:$H$1000,""),"Network Device",_xlfn.XLOOKUP($K230&amp;"",'NETWORK-DEVICES'!$B$3:$B$987&amp;"",'NETWORK-DEVICES'!$H$3:$H$987,""),"Peripheral",_xlfn.XLOOKUP($K230&amp;"",PERIPHERAL!$B$3:$B$954&amp;"",PERIPHERAL!$H$3:$H$954,""),"Utilities",_xlfn.XLOOKUP($K230&amp;"",UTILITIES!$B$3:$B$953&amp;"",UTILITIES!$G$3:$G$953,""),"IOT",_xlfn.XLOOKUP($K230&amp;"",IOT!$B$3:$B$1012&amp;"",IOT!$H$3:$H$1012,""),"Server",_xlfn.XLOOKUP($K230&amp;"",SERVER!$B$3:$B$1009&amp;"",SERVER!$H$3:$H$1009,""),""),IF(TRIM(_xlpm.srcCat)&lt;&gt;TRIM($J230),"",_xlfn.SWITCH($I230,"Computer",_xlfn.XLOOKUP($K230&amp;"",COMPUTER!$B$3:$B$1009&amp;"",COMPUTER!$E$3:$E$1009,""),"Display",_xlfn.XLOOKUP($K230&amp;"",DISPLAY!$B$3:$B$1000&amp;"",DISPLAY!$E$3:$E$1000,""),"Network Device",_xlfn.XLOOKUP($K230&amp;"",'NETWORK-DEVICES'!$B$3:$B$987&amp;"",'NETWORK-DEVICES'!$E$3:$E$987,""),"Peripheral",_xlfn.XLOOKUP($K230&amp;"",PERIPHERAL!$B$3:$B$954&amp;"",PERIPHERAL!$E$3:$E$954,""),"Utilities",_xlfn.XLOOKUP($K230&amp;"",UTILITIES!$B$3:$B$953&amp;"",UTILITIES!$E$3:$E$953,""),"IOT",_xlfn.XLOOKUP($K230&amp;"",IOT!$B$3:$B$1012&amp;"",IOT!$E$3:$E$1012,""),"Server",_xlfn.XLOOKUP($K230&amp;"",SERVER!$B$3:$B$1009&amp;"",SERVER!$E$3:$E$1009,""),""))))</f>
        <v/>
      </c>
      <c r="Q230" s="1" t="str" cm="1">
        <f t="array" ref="Q230">IF(OR($K230="",$I230="",$J230=""),"",_xlfn.LET(_xlpm.srcCat,_xlfn.SWITCH($I230,"Computer",_xlfn.XLOOKUP($K230&amp;"",COMPUTER!$B$3:$B$1009&amp;"",COMPUTER!$H$3:$H$1009,""),"Display",_xlfn.XLOOKUP($K230&amp;"",DISPLAY!$B$3:$B$1000&amp;"",DISPLAY!$H$3:$H$1000,""),"Network Device",_xlfn.XLOOKUP($K230&amp;"",'NETWORK-DEVICES'!$B$3:$B$987&amp;"",'NETWORK-DEVICES'!$H$3:$H$987,""),"Peripheral",_xlfn.XLOOKUP($K230&amp;"",PERIPHERAL!$B$3:$B$954&amp;"",PERIPHERAL!$H$3:$H$954,""),"Utilities",_xlfn.XLOOKUP($K230&amp;"",UTILITIES!$B$3:$B$953&amp;"",UTILITIES!$G$3:$G$953,""),"IOT",_xlfn.XLOOKUP($K230&amp;"",IOT!$B$3:$B$1012&amp;"",IOT!$H$3:$H$1012,""),"Server",_xlfn.XLOOKUP($K230&amp;"",SERVER!$B$3:$B$1009&amp;"",SERVER!$H$3:$H$1009,""),""),IF(TRIM(_xlpm.srcCat)&lt;&gt;TRIM($J230),"",_xlfn.SWITCH($I230,"Computer",_xlfn.XLOOKUP($K230&amp;"",COMPUTER!$B$3:$B$1009&amp;"",COMPUTER!$AM$3:$AM$1009,""),"Display",_xlfn.XLOOKUP($K230&amp;"",DISPLAY!$B$3:$B$1000&amp;"",DISPLAY!$V$3:$V$1000,""),"Network Device",_xlfn.XLOOKUP($K230&amp;"",'NETWORK-DEVICES'!$B$3:$B$987&amp;"",'NETWORK-DEVICES'!$AF$3:$AF$987,""),"Peripheral",_xlfn.XLOOKUP($K230&amp;"",PERIPHERAL!$B$3:$B$954&amp;"",PERIPHERAL!$Y$3:$Y$954,""),"Utilities",_xlfn.XLOOKUP($K230&amp;"",UTILITIES!$B$3:$B$953&amp;"",UTILITIES!$O$3:$O$953,""),"IOT",_xlfn.XLOOKUP($K230&amp;"",IOT!$B$3:$B$1012&amp;"",IOT!$AB$3:$AB$1012,""),"Server",_xlfn.XLOOKUP($K230&amp;"",SERVER!$B$3:$B$1009&amp;"",SERVER!$AB$3:$AB$1009,""),""))))</f>
        <v/>
      </c>
      <c r="R230" s="43" t="str">
        <f>IF(tbl_handover[[#This Row],[Asset Code]]="","",COUNTIF(tbl_handover[Asset Code],tbl_handover[[#This Row],[Asset Code]]))</f>
        <v/>
      </c>
    </row>
    <row r="231" spans="1:18" x14ac:dyDescent="0.25">
      <c r="A231" s="43" t="str">
        <f>IF(B231&lt;&gt;"",SUBTOTAL(3,$B$1:B230),"")</f>
        <v/>
      </c>
      <c r="C231" s="74"/>
      <c r="D231" s="74"/>
      <c r="G231" s="1"/>
      <c r="K231" s="42"/>
      <c r="L231" t="str" cm="1">
        <f t="array" ref="L231">IF($K231="","",_xlfn.SWITCH($I231,"Computer",_xlfn.XLOOKUP($K231&amp;"",COMPUTER!$B$3:$B$1009&amp;"",COMPUTER!$I$3:$I$1009,""),"Display",_xlfn.XLOOKUP($K231&amp;"",DISPLAY!$B$3:$B$1000&amp;"",DISPLAY!$J$3:$J$1000,""),"Network Device",_xlfn.XLOOKUP($K231&amp;"",'NETWORK-DEVICES'!$B$3:$B$987&amp;"",'NETWORK-DEVICES'!$I$3:$I$987,""),"Peripheral",_xlfn.XLOOKUP($K231&amp;"",PERIPHERAL!$B$3:$B$954&amp;"",PERIPHERAL!$I$3:$I$954,""),"Utilities",_xlfn.XLOOKUP($K231&amp;"",UTILITIES!$B$3:$B$953&amp;"",UTILITIES!$H$3:$H$953,""),"IOT",_xlfn.XLOOKUP($K231&amp;"",IOT!$B$3:$B$1012&amp;"",IOT!$I$3:$I$1012,""),"SERVER",_xlfn.XLOOKUP($K231&amp;"",SERVER!$B$3:$B$1009&amp;"",SERVER!$I$3:$I$1009,""),""))</f>
        <v/>
      </c>
      <c r="M231" t="str" cm="1">
        <f t="array" ref="M231">IF($K231="","",_xlfn.SWITCH($I231,"Computer",_xlfn.XLOOKUP($K231&amp;"",COMPUTER!$B$3:$B$1009&amp;"",COMPUTER!$J$3:$J$1009,""),"Display",_xlfn.XLOOKUP($K231&amp;"",DISPLAY!$B$3:$B$1000&amp;"",DISPLAY!$K$3:$K$1000,""),"Network Device",_xlfn.XLOOKUP($K231&amp;"",'NETWORK-DEVICES'!$B$3:$B$987&amp;"",'NETWORK-DEVICES'!$I$3:$I$987,""),"Peripheral",_xlfn.XLOOKUP($K231&amp;"",PERIPHERAL!$B$3:$B$954&amp;"",PERIPHERAL!$J$3:$J$954,""),"Utilities",_xlfn.XLOOKUP($K231&amp;"",UTILITIES!$B$3:$B$953&amp;"",UTILITIES!$I$3:$I$953,""),"IOT",_xlfn.XLOOKUP($K231&amp;"",IOT!$B$3:$B$1012&amp;"",IOT!$J$3:$J$1012,""),"Server",_xlfn.XLOOKUP($K231&amp;"",SERVER!$B$3:$B$1009&amp;"",SERVER!$J$3:$J$1009,""),""))</f>
        <v/>
      </c>
      <c r="N231" s="1" t="str" cm="1">
        <f t="array" ref="N231">IF(OR($K231="",$I231="",$J231=""),"",_xlfn.LET(_xlpm.srcCat,_xlfn.SWITCH($I231,"Computer",_xlfn.XLOOKUP($K231&amp;"",COMPUTER!$B$3:$B$1009&amp;"",COMPUTER!$H$3:$H$1009,""),"Display",_xlfn.XLOOKUP($K231&amp;"",DISPLAY!$B$3:$B$1000&amp;"",DISPLAY!$H$3:$H$1000,""),"Network Device",_xlfn.XLOOKUP($K231&amp;"",'NETWORK-DEVICES'!$B$3:$B$987&amp;"",'NETWORK-DEVICES'!$H$3:$H$987,""),"Peripheral",_xlfn.XLOOKUP($K231&amp;"",PERIPHERAL!$B$3:$B$954&amp;"",PERIPHERAL!$H$3:$H$954,""),"Utilities",_xlfn.XLOOKUP($K231&amp;"",UTILITIES!$B$3:$B$953&amp;"",UTILITIES!$G$3:$G$953,""),"IOT",_xlfn.XLOOKUP($K231&amp;"",IOT!$B$3:$B$1012&amp;"",IOT!$H$3:$H$1012,""),"Server",_xlfn.XLOOKUP($K231&amp;"",SERVER!$B$3:$B$1009&amp;"",SERVER!$H$3:$H$1009,""),""),IF(TRIM(_xlpm.srcCat)&lt;&gt;TRIM($J231),"",_xlfn.SWITCH($I231,"Computer",_xlfn.XLOOKUP($K231&amp;"",COMPUTER!$B$3:$B$1009&amp;"",COMPUTER!$K$3:$K$1009,""),"Display",_xlfn.XLOOKUP($K231&amp;"",DISPLAY!$B$3:$B$1000&amp;"",DISPLAY!$L$3:$L$1000,""),"Network Device",_xlfn.XLOOKUP($K231&amp;"",'NETWORK-DEVICES'!$B$3:$B$987&amp;"",'NETWORK-DEVICES'!$K$3:$K$987,""),"Peripheral",_xlfn.XLOOKUP($K231&amp;"",PERIPHERAL!$B$3:$B$954&amp;"",PERIPHERAL!$K$3:$K$954,""),"Utilities",_xlfn.XLOOKUP($K231&amp;"",UTILITIES!$B$3:$B$953&amp;"",UTILITIES!$J$3:$J$953,""),"IOT",_xlfn.XLOOKUP($K231&amp;"",IOT!$B$3:$B$1012&amp;"",IOT!$K$4:$K$1012,""),"Server",_xlfn.XLOOKUP($K231&amp;"",SERVER!$B$3:$B$1009&amp;"",SERVER!$K$3:$K$1009,""),""))))</f>
        <v/>
      </c>
      <c r="O231" s="1" t="str" cm="1">
        <f t="array" ref="O231">IF(OR($K231="",$I231="",$J231=""),"",_xlfn.LET(_xlpm.srcCat,_xlfn.SWITCH($I231,"Computer",_xlfn.XLOOKUP($K231&amp;"",COMPUTER!$B$3:$B$1009&amp;"",COMPUTER!$H$3:$H$1009,""),"Display",_xlfn.XLOOKUP($K231&amp;"",DISPLAY!$B$3:$B$1000&amp;"",DISPLAY!$H$3:$H$1000,""),"Network Device",_xlfn.XLOOKUP($K231&amp;"",'NETWORK-DEVICES'!$B$3:$B$987&amp;"",'NETWORK-DEVICES'!$H$3:$H$987,""),"Peripheral",_xlfn.XLOOKUP($K231&amp;"",PERIPHERAL!$B$3:$B$954&amp;"",PERIPHERAL!$H$3:$H$954,""),"Utilities",_xlfn.XLOOKUP($K231&amp;"",UTILITIES!$B$3:$B$953&amp;"",UTILITIES!$G$3:$G$953,""),"IOT",_xlfn.XLOOKUP($K231&amp;"",IOT!$B$3:$B$1012&amp;"",IOT!$H$3:$H$1012,""),"Server",_xlfn.XLOOKUP($K231&amp;"",SERVER!$B$3:$B$1009&amp;"",SERVER!$H$3:$H$1009,""),""),IF(TRIM(_xlpm.srcCat)&lt;&gt;TRIM($J231),"",_xlfn.SWITCH($I231,"Computer",_xlfn.XLOOKUP($K231&amp;"",COMPUTER!$B$3:$B$1009&amp;"",COMPUTER!$E$3:$E$1009,""),"Display",_xlfn.XLOOKUP($K231&amp;"",DISPLAY!$B$3:$B$1000&amp;"",DISPLAY!$E$3:$E$1000,""),"Network Device",_xlfn.XLOOKUP($K231&amp;"",'NETWORK-DEVICES'!$B$3:$B$987&amp;"",'NETWORK-DEVICES'!$E$3:$E$987,""),"Peripheral",_xlfn.XLOOKUP($K231&amp;"",PERIPHERAL!$B$3:$B$954&amp;"",PERIPHERAL!$E$3:$E$954,""),"Utilities",_xlfn.XLOOKUP($K231&amp;"",UTILITIES!$B$3:$B$953&amp;"",UTILITIES!$E$3:$E$953,""),"IOT",_xlfn.XLOOKUP($K231&amp;"",IOT!$B$3:$B$1012&amp;"",IOT!$E$3:$E$1012,""),"Server",_xlfn.XLOOKUP($K231&amp;"",SERVER!$B$3:$B$1009&amp;"",SERVER!$E$3:$E$1009,""),""))))</f>
        <v/>
      </c>
      <c r="Q231" s="1" t="str" cm="1">
        <f t="array" ref="Q231">IF(OR($K231="",$I231="",$J231=""),"",_xlfn.LET(_xlpm.srcCat,_xlfn.SWITCH($I231,"Computer",_xlfn.XLOOKUP($K231&amp;"",COMPUTER!$B$3:$B$1009&amp;"",COMPUTER!$H$3:$H$1009,""),"Display",_xlfn.XLOOKUP($K231&amp;"",DISPLAY!$B$3:$B$1000&amp;"",DISPLAY!$H$3:$H$1000,""),"Network Device",_xlfn.XLOOKUP($K231&amp;"",'NETWORK-DEVICES'!$B$3:$B$987&amp;"",'NETWORK-DEVICES'!$H$3:$H$987,""),"Peripheral",_xlfn.XLOOKUP($K231&amp;"",PERIPHERAL!$B$3:$B$954&amp;"",PERIPHERAL!$H$3:$H$954,""),"Utilities",_xlfn.XLOOKUP($K231&amp;"",UTILITIES!$B$3:$B$953&amp;"",UTILITIES!$G$3:$G$953,""),"IOT",_xlfn.XLOOKUP($K231&amp;"",IOT!$B$3:$B$1012&amp;"",IOT!$H$3:$H$1012,""),"Server",_xlfn.XLOOKUP($K231&amp;"",SERVER!$B$3:$B$1009&amp;"",SERVER!$H$3:$H$1009,""),""),IF(TRIM(_xlpm.srcCat)&lt;&gt;TRIM($J231),"",_xlfn.SWITCH($I231,"Computer",_xlfn.XLOOKUP($K231&amp;"",COMPUTER!$B$3:$B$1009&amp;"",COMPUTER!$AM$3:$AM$1009,""),"Display",_xlfn.XLOOKUP($K231&amp;"",DISPLAY!$B$3:$B$1000&amp;"",DISPLAY!$V$3:$V$1000,""),"Network Device",_xlfn.XLOOKUP($K231&amp;"",'NETWORK-DEVICES'!$B$3:$B$987&amp;"",'NETWORK-DEVICES'!$AF$3:$AF$987,""),"Peripheral",_xlfn.XLOOKUP($K231&amp;"",PERIPHERAL!$B$3:$B$954&amp;"",PERIPHERAL!$Y$3:$Y$954,""),"Utilities",_xlfn.XLOOKUP($K231&amp;"",UTILITIES!$B$3:$B$953&amp;"",UTILITIES!$O$3:$O$953,""),"IOT",_xlfn.XLOOKUP($K231&amp;"",IOT!$B$3:$B$1012&amp;"",IOT!$AB$3:$AB$1012,""),"Server",_xlfn.XLOOKUP($K231&amp;"",SERVER!$B$3:$B$1009&amp;"",SERVER!$AB$3:$AB$1009,""),""))))</f>
        <v/>
      </c>
      <c r="R231" s="43" t="str">
        <f>IF(tbl_handover[[#This Row],[Asset Code]]="","",COUNTIF(tbl_handover[Asset Code],tbl_handover[[#This Row],[Asset Code]]))</f>
        <v/>
      </c>
    </row>
    <row r="232" spans="1:18" x14ac:dyDescent="0.25">
      <c r="A232" s="43" t="str">
        <f>IF(B232&lt;&gt;"",SUBTOTAL(3,$B$1:B231),"")</f>
        <v/>
      </c>
      <c r="C232" s="74"/>
      <c r="D232" s="74"/>
      <c r="G232" s="1"/>
      <c r="K232" s="42"/>
      <c r="L232" t="str" cm="1">
        <f t="array" ref="L232">IF($K232="","",_xlfn.SWITCH($I232,"Computer",_xlfn.XLOOKUP($K232&amp;"",COMPUTER!$B$3:$B$1009&amp;"",COMPUTER!$I$3:$I$1009,""),"Display",_xlfn.XLOOKUP($K232&amp;"",DISPLAY!$B$3:$B$1000&amp;"",DISPLAY!$J$3:$J$1000,""),"Network Device",_xlfn.XLOOKUP($K232&amp;"",'NETWORK-DEVICES'!$B$3:$B$987&amp;"",'NETWORK-DEVICES'!$I$3:$I$987,""),"Peripheral",_xlfn.XLOOKUP($K232&amp;"",PERIPHERAL!$B$3:$B$954&amp;"",PERIPHERAL!$I$3:$I$954,""),"Utilities",_xlfn.XLOOKUP($K232&amp;"",UTILITIES!$B$3:$B$953&amp;"",UTILITIES!$H$3:$H$953,""),"IOT",_xlfn.XLOOKUP($K232&amp;"",IOT!$B$3:$B$1012&amp;"",IOT!$I$3:$I$1012,""),"SERVER",_xlfn.XLOOKUP($K232&amp;"",SERVER!$B$3:$B$1009&amp;"",SERVER!$I$3:$I$1009,""),""))</f>
        <v/>
      </c>
      <c r="M232" t="str" cm="1">
        <f t="array" ref="M232">IF($K232="","",_xlfn.SWITCH($I232,"Computer",_xlfn.XLOOKUP($K232&amp;"",COMPUTER!$B$3:$B$1009&amp;"",COMPUTER!$J$3:$J$1009,""),"Display",_xlfn.XLOOKUP($K232&amp;"",DISPLAY!$B$3:$B$1000&amp;"",DISPLAY!$K$3:$K$1000,""),"Network Device",_xlfn.XLOOKUP($K232&amp;"",'NETWORK-DEVICES'!$B$3:$B$987&amp;"",'NETWORK-DEVICES'!$I$3:$I$987,""),"Peripheral",_xlfn.XLOOKUP($K232&amp;"",PERIPHERAL!$B$3:$B$954&amp;"",PERIPHERAL!$J$3:$J$954,""),"Utilities",_xlfn.XLOOKUP($K232&amp;"",UTILITIES!$B$3:$B$953&amp;"",UTILITIES!$I$3:$I$953,""),"IOT",_xlfn.XLOOKUP($K232&amp;"",IOT!$B$3:$B$1012&amp;"",IOT!$J$3:$J$1012,""),"Server",_xlfn.XLOOKUP($K232&amp;"",SERVER!$B$3:$B$1009&amp;"",SERVER!$J$3:$J$1009,""),""))</f>
        <v/>
      </c>
      <c r="N232" s="1" t="str" cm="1">
        <f t="array" ref="N232">IF(OR($K232="",$I232="",$J232=""),"",_xlfn.LET(_xlpm.srcCat,_xlfn.SWITCH($I232,"Computer",_xlfn.XLOOKUP($K232&amp;"",COMPUTER!$B$3:$B$1009&amp;"",COMPUTER!$H$3:$H$1009,""),"Display",_xlfn.XLOOKUP($K232&amp;"",DISPLAY!$B$3:$B$1000&amp;"",DISPLAY!$H$3:$H$1000,""),"Network Device",_xlfn.XLOOKUP($K232&amp;"",'NETWORK-DEVICES'!$B$3:$B$987&amp;"",'NETWORK-DEVICES'!$H$3:$H$987,""),"Peripheral",_xlfn.XLOOKUP($K232&amp;"",PERIPHERAL!$B$3:$B$954&amp;"",PERIPHERAL!$H$3:$H$954,""),"Utilities",_xlfn.XLOOKUP($K232&amp;"",UTILITIES!$B$3:$B$953&amp;"",UTILITIES!$G$3:$G$953,""),"IOT",_xlfn.XLOOKUP($K232&amp;"",IOT!$B$3:$B$1012&amp;"",IOT!$H$3:$H$1012,""),"Server",_xlfn.XLOOKUP($K232&amp;"",SERVER!$B$3:$B$1009&amp;"",SERVER!$H$3:$H$1009,""),""),IF(TRIM(_xlpm.srcCat)&lt;&gt;TRIM($J232),"",_xlfn.SWITCH($I232,"Computer",_xlfn.XLOOKUP($K232&amp;"",COMPUTER!$B$3:$B$1009&amp;"",COMPUTER!$K$3:$K$1009,""),"Display",_xlfn.XLOOKUP($K232&amp;"",DISPLAY!$B$3:$B$1000&amp;"",DISPLAY!$L$3:$L$1000,""),"Network Device",_xlfn.XLOOKUP($K232&amp;"",'NETWORK-DEVICES'!$B$3:$B$987&amp;"",'NETWORK-DEVICES'!$K$3:$K$987,""),"Peripheral",_xlfn.XLOOKUP($K232&amp;"",PERIPHERAL!$B$3:$B$954&amp;"",PERIPHERAL!$K$3:$K$954,""),"Utilities",_xlfn.XLOOKUP($K232&amp;"",UTILITIES!$B$3:$B$953&amp;"",UTILITIES!$J$3:$J$953,""),"IOT",_xlfn.XLOOKUP($K232&amp;"",IOT!$B$3:$B$1012&amp;"",IOT!$K$4:$K$1012,""),"Server",_xlfn.XLOOKUP($K232&amp;"",SERVER!$B$3:$B$1009&amp;"",SERVER!$K$3:$K$1009,""),""))))</f>
        <v/>
      </c>
      <c r="O232" s="1" t="str" cm="1">
        <f t="array" ref="O232">IF(OR($K232="",$I232="",$J232=""),"",_xlfn.LET(_xlpm.srcCat,_xlfn.SWITCH($I232,"Computer",_xlfn.XLOOKUP($K232&amp;"",COMPUTER!$B$3:$B$1009&amp;"",COMPUTER!$H$3:$H$1009,""),"Display",_xlfn.XLOOKUP($K232&amp;"",DISPLAY!$B$3:$B$1000&amp;"",DISPLAY!$H$3:$H$1000,""),"Network Device",_xlfn.XLOOKUP($K232&amp;"",'NETWORK-DEVICES'!$B$3:$B$987&amp;"",'NETWORK-DEVICES'!$H$3:$H$987,""),"Peripheral",_xlfn.XLOOKUP($K232&amp;"",PERIPHERAL!$B$3:$B$954&amp;"",PERIPHERAL!$H$3:$H$954,""),"Utilities",_xlfn.XLOOKUP($K232&amp;"",UTILITIES!$B$3:$B$953&amp;"",UTILITIES!$G$3:$G$953,""),"IOT",_xlfn.XLOOKUP($K232&amp;"",IOT!$B$3:$B$1012&amp;"",IOT!$H$3:$H$1012,""),"Server",_xlfn.XLOOKUP($K232&amp;"",SERVER!$B$3:$B$1009&amp;"",SERVER!$H$3:$H$1009,""),""),IF(TRIM(_xlpm.srcCat)&lt;&gt;TRIM($J232),"",_xlfn.SWITCH($I232,"Computer",_xlfn.XLOOKUP($K232&amp;"",COMPUTER!$B$3:$B$1009&amp;"",COMPUTER!$E$3:$E$1009,""),"Display",_xlfn.XLOOKUP($K232&amp;"",DISPLAY!$B$3:$B$1000&amp;"",DISPLAY!$E$3:$E$1000,""),"Network Device",_xlfn.XLOOKUP($K232&amp;"",'NETWORK-DEVICES'!$B$3:$B$987&amp;"",'NETWORK-DEVICES'!$E$3:$E$987,""),"Peripheral",_xlfn.XLOOKUP($K232&amp;"",PERIPHERAL!$B$3:$B$954&amp;"",PERIPHERAL!$E$3:$E$954,""),"Utilities",_xlfn.XLOOKUP($K232&amp;"",UTILITIES!$B$3:$B$953&amp;"",UTILITIES!$E$3:$E$953,""),"IOT",_xlfn.XLOOKUP($K232&amp;"",IOT!$B$3:$B$1012&amp;"",IOT!$E$3:$E$1012,""),"Server",_xlfn.XLOOKUP($K232&amp;"",SERVER!$B$3:$B$1009&amp;"",SERVER!$E$3:$E$1009,""),""))))</f>
        <v/>
      </c>
      <c r="Q232" s="1" t="str" cm="1">
        <f t="array" ref="Q232">IF(OR($K232="",$I232="",$J232=""),"",_xlfn.LET(_xlpm.srcCat,_xlfn.SWITCH($I232,"Computer",_xlfn.XLOOKUP($K232&amp;"",COMPUTER!$B$3:$B$1009&amp;"",COMPUTER!$H$3:$H$1009,""),"Display",_xlfn.XLOOKUP($K232&amp;"",DISPLAY!$B$3:$B$1000&amp;"",DISPLAY!$H$3:$H$1000,""),"Network Device",_xlfn.XLOOKUP($K232&amp;"",'NETWORK-DEVICES'!$B$3:$B$987&amp;"",'NETWORK-DEVICES'!$H$3:$H$987,""),"Peripheral",_xlfn.XLOOKUP($K232&amp;"",PERIPHERAL!$B$3:$B$954&amp;"",PERIPHERAL!$H$3:$H$954,""),"Utilities",_xlfn.XLOOKUP($K232&amp;"",UTILITIES!$B$3:$B$953&amp;"",UTILITIES!$G$3:$G$953,""),"IOT",_xlfn.XLOOKUP($K232&amp;"",IOT!$B$3:$B$1012&amp;"",IOT!$H$3:$H$1012,""),"Server",_xlfn.XLOOKUP($K232&amp;"",SERVER!$B$3:$B$1009&amp;"",SERVER!$H$3:$H$1009,""),""),IF(TRIM(_xlpm.srcCat)&lt;&gt;TRIM($J232),"",_xlfn.SWITCH($I232,"Computer",_xlfn.XLOOKUP($K232&amp;"",COMPUTER!$B$3:$B$1009&amp;"",COMPUTER!$AM$3:$AM$1009,""),"Display",_xlfn.XLOOKUP($K232&amp;"",DISPLAY!$B$3:$B$1000&amp;"",DISPLAY!$V$3:$V$1000,""),"Network Device",_xlfn.XLOOKUP($K232&amp;"",'NETWORK-DEVICES'!$B$3:$B$987&amp;"",'NETWORK-DEVICES'!$AF$3:$AF$987,""),"Peripheral",_xlfn.XLOOKUP($K232&amp;"",PERIPHERAL!$B$3:$B$954&amp;"",PERIPHERAL!$Y$3:$Y$954,""),"Utilities",_xlfn.XLOOKUP($K232&amp;"",UTILITIES!$B$3:$B$953&amp;"",UTILITIES!$O$3:$O$953,""),"IOT",_xlfn.XLOOKUP($K232&amp;"",IOT!$B$3:$B$1012&amp;"",IOT!$AB$3:$AB$1012,""),"Server",_xlfn.XLOOKUP($K232&amp;"",SERVER!$B$3:$B$1009&amp;"",SERVER!$AB$3:$AB$1009,""),""))))</f>
        <v/>
      </c>
      <c r="R232" s="43" t="str">
        <f>IF(tbl_handover[[#This Row],[Asset Code]]="","",COUNTIF(tbl_handover[Asset Code],tbl_handover[[#This Row],[Asset Code]]))</f>
        <v/>
      </c>
    </row>
    <row r="233" spans="1:18" x14ac:dyDescent="0.25">
      <c r="A233" s="43" t="str">
        <f>IF(B233&lt;&gt;"",SUBTOTAL(3,$B$1:B232),"")</f>
        <v/>
      </c>
      <c r="C233" s="74"/>
      <c r="D233" s="74"/>
      <c r="G233" s="1"/>
      <c r="K233" s="42"/>
      <c r="L233" t="str" cm="1">
        <f t="array" ref="L233">IF($K233="","",_xlfn.SWITCH($I233,"Computer",_xlfn.XLOOKUP($K233&amp;"",COMPUTER!$B$3:$B$1009&amp;"",COMPUTER!$I$3:$I$1009,""),"Display",_xlfn.XLOOKUP($K233&amp;"",DISPLAY!$B$3:$B$1000&amp;"",DISPLAY!$J$3:$J$1000,""),"Network Device",_xlfn.XLOOKUP($K233&amp;"",'NETWORK-DEVICES'!$B$3:$B$987&amp;"",'NETWORK-DEVICES'!$I$3:$I$987,""),"Peripheral",_xlfn.XLOOKUP($K233&amp;"",PERIPHERAL!$B$3:$B$954&amp;"",PERIPHERAL!$I$3:$I$954,""),"Utilities",_xlfn.XLOOKUP($K233&amp;"",UTILITIES!$B$3:$B$953&amp;"",UTILITIES!$H$3:$H$953,""),"IOT",_xlfn.XLOOKUP($K233&amp;"",IOT!$B$3:$B$1012&amp;"",IOT!$I$3:$I$1012,""),"SERVER",_xlfn.XLOOKUP($K233&amp;"",SERVER!$B$3:$B$1009&amp;"",SERVER!$I$3:$I$1009,""),""))</f>
        <v/>
      </c>
      <c r="M233" t="str" cm="1">
        <f t="array" ref="M233">IF($K233="","",_xlfn.SWITCH($I233,"Computer",_xlfn.XLOOKUP($K233&amp;"",COMPUTER!$B$3:$B$1009&amp;"",COMPUTER!$J$3:$J$1009,""),"Display",_xlfn.XLOOKUP($K233&amp;"",DISPLAY!$B$3:$B$1000&amp;"",DISPLAY!$K$3:$K$1000,""),"Network Device",_xlfn.XLOOKUP($K233&amp;"",'NETWORK-DEVICES'!$B$3:$B$987&amp;"",'NETWORK-DEVICES'!$I$3:$I$987,""),"Peripheral",_xlfn.XLOOKUP($K233&amp;"",PERIPHERAL!$B$3:$B$954&amp;"",PERIPHERAL!$J$3:$J$954,""),"Utilities",_xlfn.XLOOKUP($K233&amp;"",UTILITIES!$B$3:$B$953&amp;"",UTILITIES!$I$3:$I$953,""),"IOT",_xlfn.XLOOKUP($K233&amp;"",IOT!$B$3:$B$1012&amp;"",IOT!$J$3:$J$1012,""),"Server",_xlfn.XLOOKUP($K233&amp;"",SERVER!$B$3:$B$1009&amp;"",SERVER!$J$3:$J$1009,""),""))</f>
        <v/>
      </c>
      <c r="N233" s="1" t="str" cm="1">
        <f t="array" ref="N233">IF(OR($K233="",$I233="",$J233=""),"",_xlfn.LET(_xlpm.srcCat,_xlfn.SWITCH($I233,"Computer",_xlfn.XLOOKUP($K233&amp;"",COMPUTER!$B$3:$B$1009&amp;"",COMPUTER!$H$3:$H$1009,""),"Display",_xlfn.XLOOKUP($K233&amp;"",DISPLAY!$B$3:$B$1000&amp;"",DISPLAY!$H$3:$H$1000,""),"Network Device",_xlfn.XLOOKUP($K233&amp;"",'NETWORK-DEVICES'!$B$3:$B$987&amp;"",'NETWORK-DEVICES'!$H$3:$H$987,""),"Peripheral",_xlfn.XLOOKUP($K233&amp;"",PERIPHERAL!$B$3:$B$954&amp;"",PERIPHERAL!$H$3:$H$954,""),"Utilities",_xlfn.XLOOKUP($K233&amp;"",UTILITIES!$B$3:$B$953&amp;"",UTILITIES!$G$3:$G$953,""),"IOT",_xlfn.XLOOKUP($K233&amp;"",IOT!$B$3:$B$1012&amp;"",IOT!$H$3:$H$1012,""),"Server",_xlfn.XLOOKUP($K233&amp;"",SERVER!$B$3:$B$1009&amp;"",SERVER!$H$3:$H$1009,""),""),IF(TRIM(_xlpm.srcCat)&lt;&gt;TRIM($J233),"",_xlfn.SWITCH($I233,"Computer",_xlfn.XLOOKUP($K233&amp;"",COMPUTER!$B$3:$B$1009&amp;"",COMPUTER!$K$3:$K$1009,""),"Display",_xlfn.XLOOKUP($K233&amp;"",DISPLAY!$B$3:$B$1000&amp;"",DISPLAY!$L$3:$L$1000,""),"Network Device",_xlfn.XLOOKUP($K233&amp;"",'NETWORK-DEVICES'!$B$3:$B$987&amp;"",'NETWORK-DEVICES'!$K$3:$K$987,""),"Peripheral",_xlfn.XLOOKUP($K233&amp;"",PERIPHERAL!$B$3:$B$954&amp;"",PERIPHERAL!$K$3:$K$954,""),"Utilities",_xlfn.XLOOKUP($K233&amp;"",UTILITIES!$B$3:$B$953&amp;"",UTILITIES!$J$3:$J$953,""),"IOT",_xlfn.XLOOKUP($K233&amp;"",IOT!$B$3:$B$1012&amp;"",IOT!$K$4:$K$1012,""),"Server",_xlfn.XLOOKUP($K233&amp;"",SERVER!$B$3:$B$1009&amp;"",SERVER!$K$3:$K$1009,""),""))))</f>
        <v/>
      </c>
      <c r="O233" s="1" t="str" cm="1">
        <f t="array" ref="O233">IF(OR($K233="",$I233="",$J233=""),"",_xlfn.LET(_xlpm.srcCat,_xlfn.SWITCH($I233,"Computer",_xlfn.XLOOKUP($K233&amp;"",COMPUTER!$B$3:$B$1009&amp;"",COMPUTER!$H$3:$H$1009,""),"Display",_xlfn.XLOOKUP($K233&amp;"",DISPLAY!$B$3:$B$1000&amp;"",DISPLAY!$H$3:$H$1000,""),"Network Device",_xlfn.XLOOKUP($K233&amp;"",'NETWORK-DEVICES'!$B$3:$B$987&amp;"",'NETWORK-DEVICES'!$H$3:$H$987,""),"Peripheral",_xlfn.XLOOKUP($K233&amp;"",PERIPHERAL!$B$3:$B$954&amp;"",PERIPHERAL!$H$3:$H$954,""),"Utilities",_xlfn.XLOOKUP($K233&amp;"",UTILITIES!$B$3:$B$953&amp;"",UTILITIES!$G$3:$G$953,""),"IOT",_xlfn.XLOOKUP($K233&amp;"",IOT!$B$3:$B$1012&amp;"",IOT!$H$3:$H$1012,""),"Server",_xlfn.XLOOKUP($K233&amp;"",SERVER!$B$3:$B$1009&amp;"",SERVER!$H$3:$H$1009,""),""),IF(TRIM(_xlpm.srcCat)&lt;&gt;TRIM($J233),"",_xlfn.SWITCH($I233,"Computer",_xlfn.XLOOKUP($K233&amp;"",COMPUTER!$B$3:$B$1009&amp;"",COMPUTER!$E$3:$E$1009,""),"Display",_xlfn.XLOOKUP($K233&amp;"",DISPLAY!$B$3:$B$1000&amp;"",DISPLAY!$E$3:$E$1000,""),"Network Device",_xlfn.XLOOKUP($K233&amp;"",'NETWORK-DEVICES'!$B$3:$B$987&amp;"",'NETWORK-DEVICES'!$E$3:$E$987,""),"Peripheral",_xlfn.XLOOKUP($K233&amp;"",PERIPHERAL!$B$3:$B$954&amp;"",PERIPHERAL!$E$3:$E$954,""),"Utilities",_xlfn.XLOOKUP($K233&amp;"",UTILITIES!$B$3:$B$953&amp;"",UTILITIES!$E$3:$E$953,""),"IOT",_xlfn.XLOOKUP($K233&amp;"",IOT!$B$3:$B$1012&amp;"",IOT!$E$3:$E$1012,""),"Server",_xlfn.XLOOKUP($K233&amp;"",SERVER!$B$3:$B$1009&amp;"",SERVER!$E$3:$E$1009,""),""))))</f>
        <v/>
      </c>
      <c r="Q233" s="1" t="str" cm="1">
        <f t="array" ref="Q233">IF(OR($K233="",$I233="",$J233=""),"",_xlfn.LET(_xlpm.srcCat,_xlfn.SWITCH($I233,"Computer",_xlfn.XLOOKUP($K233&amp;"",COMPUTER!$B$3:$B$1009&amp;"",COMPUTER!$H$3:$H$1009,""),"Display",_xlfn.XLOOKUP($K233&amp;"",DISPLAY!$B$3:$B$1000&amp;"",DISPLAY!$H$3:$H$1000,""),"Network Device",_xlfn.XLOOKUP($K233&amp;"",'NETWORK-DEVICES'!$B$3:$B$987&amp;"",'NETWORK-DEVICES'!$H$3:$H$987,""),"Peripheral",_xlfn.XLOOKUP($K233&amp;"",PERIPHERAL!$B$3:$B$954&amp;"",PERIPHERAL!$H$3:$H$954,""),"Utilities",_xlfn.XLOOKUP($K233&amp;"",UTILITIES!$B$3:$B$953&amp;"",UTILITIES!$G$3:$G$953,""),"IOT",_xlfn.XLOOKUP($K233&amp;"",IOT!$B$3:$B$1012&amp;"",IOT!$H$3:$H$1012,""),"Server",_xlfn.XLOOKUP($K233&amp;"",SERVER!$B$3:$B$1009&amp;"",SERVER!$H$3:$H$1009,""),""),IF(TRIM(_xlpm.srcCat)&lt;&gt;TRIM($J233),"",_xlfn.SWITCH($I233,"Computer",_xlfn.XLOOKUP($K233&amp;"",COMPUTER!$B$3:$B$1009&amp;"",COMPUTER!$AM$3:$AM$1009,""),"Display",_xlfn.XLOOKUP($K233&amp;"",DISPLAY!$B$3:$B$1000&amp;"",DISPLAY!$V$3:$V$1000,""),"Network Device",_xlfn.XLOOKUP($K233&amp;"",'NETWORK-DEVICES'!$B$3:$B$987&amp;"",'NETWORK-DEVICES'!$AF$3:$AF$987,""),"Peripheral",_xlfn.XLOOKUP($K233&amp;"",PERIPHERAL!$B$3:$B$954&amp;"",PERIPHERAL!$Y$3:$Y$954,""),"Utilities",_xlfn.XLOOKUP($K233&amp;"",UTILITIES!$B$3:$B$953&amp;"",UTILITIES!$O$3:$O$953,""),"IOT",_xlfn.XLOOKUP($K233&amp;"",IOT!$B$3:$B$1012&amp;"",IOT!$AB$3:$AB$1012,""),"Server",_xlfn.XLOOKUP($K233&amp;"",SERVER!$B$3:$B$1009&amp;"",SERVER!$AB$3:$AB$1009,""),""))))</f>
        <v/>
      </c>
      <c r="R233" s="43" t="str">
        <f>IF(tbl_handover[[#This Row],[Asset Code]]="","",COUNTIF(tbl_handover[Asset Code],tbl_handover[[#This Row],[Asset Code]]))</f>
        <v/>
      </c>
    </row>
    <row r="234" spans="1:18" x14ac:dyDescent="0.25">
      <c r="A234" s="43" t="str">
        <f>IF(B234&lt;&gt;"",SUBTOTAL(3,$B$1:B233),"")</f>
        <v/>
      </c>
      <c r="C234" s="74"/>
      <c r="D234" s="74"/>
      <c r="G234" s="1"/>
      <c r="K234" s="42"/>
      <c r="L234" t="str" cm="1">
        <f t="array" ref="L234">IF($K234="","",_xlfn.SWITCH($I234,"Computer",_xlfn.XLOOKUP($K234&amp;"",COMPUTER!$B$3:$B$1009&amp;"",COMPUTER!$I$3:$I$1009,""),"Display",_xlfn.XLOOKUP($K234&amp;"",DISPLAY!$B$3:$B$1000&amp;"",DISPLAY!$J$3:$J$1000,""),"Network Device",_xlfn.XLOOKUP($K234&amp;"",'NETWORK-DEVICES'!$B$3:$B$987&amp;"",'NETWORK-DEVICES'!$I$3:$I$987,""),"Peripheral",_xlfn.XLOOKUP($K234&amp;"",PERIPHERAL!$B$3:$B$954&amp;"",PERIPHERAL!$I$3:$I$954,""),"Utilities",_xlfn.XLOOKUP($K234&amp;"",UTILITIES!$B$3:$B$953&amp;"",UTILITIES!$H$3:$H$953,""),"IOT",_xlfn.XLOOKUP($K234&amp;"",IOT!$B$3:$B$1012&amp;"",IOT!$I$3:$I$1012,""),"SERVER",_xlfn.XLOOKUP($K234&amp;"",SERVER!$B$3:$B$1009&amp;"",SERVER!$I$3:$I$1009,""),""))</f>
        <v/>
      </c>
      <c r="M234" t="str" cm="1">
        <f t="array" ref="M234">IF($K234="","",_xlfn.SWITCH($I234,"Computer",_xlfn.XLOOKUP($K234&amp;"",COMPUTER!$B$3:$B$1009&amp;"",COMPUTER!$J$3:$J$1009,""),"Display",_xlfn.XLOOKUP($K234&amp;"",DISPLAY!$B$3:$B$1000&amp;"",DISPLAY!$K$3:$K$1000,""),"Network Device",_xlfn.XLOOKUP($K234&amp;"",'NETWORK-DEVICES'!$B$3:$B$987&amp;"",'NETWORK-DEVICES'!$I$3:$I$987,""),"Peripheral",_xlfn.XLOOKUP($K234&amp;"",PERIPHERAL!$B$3:$B$954&amp;"",PERIPHERAL!$J$3:$J$954,""),"Utilities",_xlfn.XLOOKUP($K234&amp;"",UTILITIES!$B$3:$B$953&amp;"",UTILITIES!$I$3:$I$953,""),"IOT",_xlfn.XLOOKUP($K234&amp;"",IOT!$B$3:$B$1012&amp;"",IOT!$J$3:$J$1012,""),"Server",_xlfn.XLOOKUP($K234&amp;"",SERVER!$B$3:$B$1009&amp;"",SERVER!$J$3:$J$1009,""),""))</f>
        <v/>
      </c>
      <c r="N234" s="1" t="str" cm="1">
        <f t="array" ref="N234">IF(OR($K234="",$I234="",$J234=""),"",_xlfn.LET(_xlpm.srcCat,_xlfn.SWITCH($I234,"Computer",_xlfn.XLOOKUP($K234&amp;"",COMPUTER!$B$3:$B$1009&amp;"",COMPUTER!$H$3:$H$1009,""),"Display",_xlfn.XLOOKUP($K234&amp;"",DISPLAY!$B$3:$B$1000&amp;"",DISPLAY!$H$3:$H$1000,""),"Network Device",_xlfn.XLOOKUP($K234&amp;"",'NETWORK-DEVICES'!$B$3:$B$987&amp;"",'NETWORK-DEVICES'!$H$3:$H$987,""),"Peripheral",_xlfn.XLOOKUP($K234&amp;"",PERIPHERAL!$B$3:$B$954&amp;"",PERIPHERAL!$H$3:$H$954,""),"Utilities",_xlfn.XLOOKUP($K234&amp;"",UTILITIES!$B$3:$B$953&amp;"",UTILITIES!$G$3:$G$953,""),"IOT",_xlfn.XLOOKUP($K234&amp;"",IOT!$B$3:$B$1012&amp;"",IOT!$H$3:$H$1012,""),"Server",_xlfn.XLOOKUP($K234&amp;"",SERVER!$B$3:$B$1009&amp;"",SERVER!$H$3:$H$1009,""),""),IF(TRIM(_xlpm.srcCat)&lt;&gt;TRIM($J234),"",_xlfn.SWITCH($I234,"Computer",_xlfn.XLOOKUP($K234&amp;"",COMPUTER!$B$3:$B$1009&amp;"",COMPUTER!$K$3:$K$1009,""),"Display",_xlfn.XLOOKUP($K234&amp;"",DISPLAY!$B$3:$B$1000&amp;"",DISPLAY!$L$3:$L$1000,""),"Network Device",_xlfn.XLOOKUP($K234&amp;"",'NETWORK-DEVICES'!$B$3:$B$987&amp;"",'NETWORK-DEVICES'!$K$3:$K$987,""),"Peripheral",_xlfn.XLOOKUP($K234&amp;"",PERIPHERAL!$B$3:$B$954&amp;"",PERIPHERAL!$K$3:$K$954,""),"Utilities",_xlfn.XLOOKUP($K234&amp;"",UTILITIES!$B$3:$B$953&amp;"",UTILITIES!$J$3:$J$953,""),"IOT",_xlfn.XLOOKUP($K234&amp;"",IOT!$B$3:$B$1012&amp;"",IOT!$K$4:$K$1012,""),"Server",_xlfn.XLOOKUP($K234&amp;"",SERVER!$B$3:$B$1009&amp;"",SERVER!$K$3:$K$1009,""),""))))</f>
        <v/>
      </c>
      <c r="O234" s="1" t="str" cm="1">
        <f t="array" ref="O234">IF(OR($K234="",$I234="",$J234=""),"",_xlfn.LET(_xlpm.srcCat,_xlfn.SWITCH($I234,"Computer",_xlfn.XLOOKUP($K234&amp;"",COMPUTER!$B$3:$B$1009&amp;"",COMPUTER!$H$3:$H$1009,""),"Display",_xlfn.XLOOKUP($K234&amp;"",DISPLAY!$B$3:$B$1000&amp;"",DISPLAY!$H$3:$H$1000,""),"Network Device",_xlfn.XLOOKUP($K234&amp;"",'NETWORK-DEVICES'!$B$3:$B$987&amp;"",'NETWORK-DEVICES'!$H$3:$H$987,""),"Peripheral",_xlfn.XLOOKUP($K234&amp;"",PERIPHERAL!$B$3:$B$954&amp;"",PERIPHERAL!$H$3:$H$954,""),"Utilities",_xlfn.XLOOKUP($K234&amp;"",UTILITIES!$B$3:$B$953&amp;"",UTILITIES!$G$3:$G$953,""),"IOT",_xlfn.XLOOKUP($K234&amp;"",IOT!$B$3:$B$1012&amp;"",IOT!$H$3:$H$1012,""),"Server",_xlfn.XLOOKUP($K234&amp;"",SERVER!$B$3:$B$1009&amp;"",SERVER!$H$3:$H$1009,""),""),IF(TRIM(_xlpm.srcCat)&lt;&gt;TRIM($J234),"",_xlfn.SWITCH($I234,"Computer",_xlfn.XLOOKUP($K234&amp;"",COMPUTER!$B$3:$B$1009&amp;"",COMPUTER!$E$3:$E$1009,""),"Display",_xlfn.XLOOKUP($K234&amp;"",DISPLAY!$B$3:$B$1000&amp;"",DISPLAY!$E$3:$E$1000,""),"Network Device",_xlfn.XLOOKUP($K234&amp;"",'NETWORK-DEVICES'!$B$3:$B$987&amp;"",'NETWORK-DEVICES'!$E$3:$E$987,""),"Peripheral",_xlfn.XLOOKUP($K234&amp;"",PERIPHERAL!$B$3:$B$954&amp;"",PERIPHERAL!$E$3:$E$954,""),"Utilities",_xlfn.XLOOKUP($K234&amp;"",UTILITIES!$B$3:$B$953&amp;"",UTILITIES!$E$3:$E$953,""),"IOT",_xlfn.XLOOKUP($K234&amp;"",IOT!$B$3:$B$1012&amp;"",IOT!$E$3:$E$1012,""),"Server",_xlfn.XLOOKUP($K234&amp;"",SERVER!$B$3:$B$1009&amp;"",SERVER!$E$3:$E$1009,""),""))))</f>
        <v/>
      </c>
      <c r="Q234" s="1" t="str" cm="1">
        <f t="array" ref="Q234">IF(OR($K234="",$I234="",$J234=""),"",_xlfn.LET(_xlpm.srcCat,_xlfn.SWITCH($I234,"Computer",_xlfn.XLOOKUP($K234&amp;"",COMPUTER!$B$3:$B$1009&amp;"",COMPUTER!$H$3:$H$1009,""),"Display",_xlfn.XLOOKUP($K234&amp;"",DISPLAY!$B$3:$B$1000&amp;"",DISPLAY!$H$3:$H$1000,""),"Network Device",_xlfn.XLOOKUP($K234&amp;"",'NETWORK-DEVICES'!$B$3:$B$987&amp;"",'NETWORK-DEVICES'!$H$3:$H$987,""),"Peripheral",_xlfn.XLOOKUP($K234&amp;"",PERIPHERAL!$B$3:$B$954&amp;"",PERIPHERAL!$H$3:$H$954,""),"Utilities",_xlfn.XLOOKUP($K234&amp;"",UTILITIES!$B$3:$B$953&amp;"",UTILITIES!$G$3:$G$953,""),"IOT",_xlfn.XLOOKUP($K234&amp;"",IOT!$B$3:$B$1012&amp;"",IOT!$H$3:$H$1012,""),"Server",_xlfn.XLOOKUP($K234&amp;"",SERVER!$B$3:$B$1009&amp;"",SERVER!$H$3:$H$1009,""),""),IF(TRIM(_xlpm.srcCat)&lt;&gt;TRIM($J234),"",_xlfn.SWITCH($I234,"Computer",_xlfn.XLOOKUP($K234&amp;"",COMPUTER!$B$3:$B$1009&amp;"",COMPUTER!$AM$3:$AM$1009,""),"Display",_xlfn.XLOOKUP($K234&amp;"",DISPLAY!$B$3:$B$1000&amp;"",DISPLAY!$V$3:$V$1000,""),"Network Device",_xlfn.XLOOKUP($K234&amp;"",'NETWORK-DEVICES'!$B$3:$B$987&amp;"",'NETWORK-DEVICES'!$AF$3:$AF$987,""),"Peripheral",_xlfn.XLOOKUP($K234&amp;"",PERIPHERAL!$B$3:$B$954&amp;"",PERIPHERAL!$Y$3:$Y$954,""),"Utilities",_xlfn.XLOOKUP($K234&amp;"",UTILITIES!$B$3:$B$953&amp;"",UTILITIES!$O$3:$O$953,""),"IOT",_xlfn.XLOOKUP($K234&amp;"",IOT!$B$3:$B$1012&amp;"",IOT!$AB$3:$AB$1012,""),"Server",_xlfn.XLOOKUP($K234&amp;"",SERVER!$B$3:$B$1009&amp;"",SERVER!$AB$3:$AB$1009,""),""))))</f>
        <v/>
      </c>
      <c r="R234" s="43" t="str">
        <f>IF(tbl_handover[[#This Row],[Asset Code]]="","",COUNTIF(tbl_handover[Asset Code],tbl_handover[[#This Row],[Asset Code]]))</f>
        <v/>
      </c>
    </row>
    <row r="235" spans="1:18" x14ac:dyDescent="0.25">
      <c r="A235" s="43" t="str">
        <f>IF(B235&lt;&gt;"",SUBTOTAL(3,$B$1:B234),"")</f>
        <v/>
      </c>
      <c r="C235" s="74"/>
      <c r="D235" s="74"/>
      <c r="G235" s="1"/>
      <c r="K235" s="42"/>
      <c r="L235" t="str" cm="1">
        <f t="array" ref="L235">IF($K235="","",_xlfn.SWITCH($I235,"Computer",_xlfn.XLOOKUP($K235&amp;"",COMPUTER!$B$3:$B$1009&amp;"",COMPUTER!$I$3:$I$1009,""),"Display",_xlfn.XLOOKUP($K235&amp;"",DISPLAY!$B$3:$B$1000&amp;"",DISPLAY!$J$3:$J$1000,""),"Network Device",_xlfn.XLOOKUP($K235&amp;"",'NETWORK-DEVICES'!$B$3:$B$987&amp;"",'NETWORK-DEVICES'!$I$3:$I$987,""),"Peripheral",_xlfn.XLOOKUP($K235&amp;"",PERIPHERAL!$B$3:$B$954&amp;"",PERIPHERAL!$I$3:$I$954,""),"Utilities",_xlfn.XLOOKUP($K235&amp;"",UTILITIES!$B$3:$B$953&amp;"",UTILITIES!$H$3:$H$953,""),"IOT",_xlfn.XLOOKUP($K235&amp;"",IOT!$B$3:$B$1012&amp;"",IOT!$I$3:$I$1012,""),"SERVER",_xlfn.XLOOKUP($K235&amp;"",SERVER!$B$3:$B$1009&amp;"",SERVER!$I$3:$I$1009,""),""))</f>
        <v/>
      </c>
      <c r="M235" t="str" cm="1">
        <f t="array" ref="M235">IF($K235="","",_xlfn.SWITCH($I235,"Computer",_xlfn.XLOOKUP($K235&amp;"",COMPUTER!$B$3:$B$1009&amp;"",COMPUTER!$J$3:$J$1009,""),"Display",_xlfn.XLOOKUP($K235&amp;"",DISPLAY!$B$3:$B$1000&amp;"",DISPLAY!$K$3:$K$1000,""),"Network Device",_xlfn.XLOOKUP($K235&amp;"",'NETWORK-DEVICES'!$B$3:$B$987&amp;"",'NETWORK-DEVICES'!$I$3:$I$987,""),"Peripheral",_xlfn.XLOOKUP($K235&amp;"",PERIPHERAL!$B$3:$B$954&amp;"",PERIPHERAL!$J$3:$J$954,""),"Utilities",_xlfn.XLOOKUP($K235&amp;"",UTILITIES!$B$3:$B$953&amp;"",UTILITIES!$I$3:$I$953,""),"IOT",_xlfn.XLOOKUP($K235&amp;"",IOT!$B$3:$B$1012&amp;"",IOT!$J$3:$J$1012,""),"Server",_xlfn.XLOOKUP($K235&amp;"",SERVER!$B$3:$B$1009&amp;"",SERVER!$J$3:$J$1009,""),""))</f>
        <v/>
      </c>
      <c r="N235" s="1" t="str" cm="1">
        <f t="array" ref="N235">IF(OR($K235="",$I235="",$J235=""),"",_xlfn.LET(_xlpm.srcCat,_xlfn.SWITCH($I235,"Computer",_xlfn.XLOOKUP($K235&amp;"",COMPUTER!$B$3:$B$1009&amp;"",COMPUTER!$H$3:$H$1009,""),"Display",_xlfn.XLOOKUP($K235&amp;"",DISPLAY!$B$3:$B$1000&amp;"",DISPLAY!$H$3:$H$1000,""),"Network Device",_xlfn.XLOOKUP($K235&amp;"",'NETWORK-DEVICES'!$B$3:$B$987&amp;"",'NETWORK-DEVICES'!$H$3:$H$987,""),"Peripheral",_xlfn.XLOOKUP($K235&amp;"",PERIPHERAL!$B$3:$B$954&amp;"",PERIPHERAL!$H$3:$H$954,""),"Utilities",_xlfn.XLOOKUP($K235&amp;"",UTILITIES!$B$3:$B$953&amp;"",UTILITIES!$G$3:$G$953,""),"IOT",_xlfn.XLOOKUP($K235&amp;"",IOT!$B$3:$B$1012&amp;"",IOT!$H$3:$H$1012,""),"Server",_xlfn.XLOOKUP($K235&amp;"",SERVER!$B$3:$B$1009&amp;"",SERVER!$H$3:$H$1009,""),""),IF(TRIM(_xlpm.srcCat)&lt;&gt;TRIM($J235),"",_xlfn.SWITCH($I235,"Computer",_xlfn.XLOOKUP($K235&amp;"",COMPUTER!$B$3:$B$1009&amp;"",COMPUTER!$K$3:$K$1009,""),"Display",_xlfn.XLOOKUP($K235&amp;"",DISPLAY!$B$3:$B$1000&amp;"",DISPLAY!$L$3:$L$1000,""),"Network Device",_xlfn.XLOOKUP($K235&amp;"",'NETWORK-DEVICES'!$B$3:$B$987&amp;"",'NETWORK-DEVICES'!$K$3:$K$987,""),"Peripheral",_xlfn.XLOOKUP($K235&amp;"",PERIPHERAL!$B$3:$B$954&amp;"",PERIPHERAL!$K$3:$K$954,""),"Utilities",_xlfn.XLOOKUP($K235&amp;"",UTILITIES!$B$3:$B$953&amp;"",UTILITIES!$J$3:$J$953,""),"IOT",_xlfn.XLOOKUP($K235&amp;"",IOT!$B$3:$B$1012&amp;"",IOT!$K$4:$K$1012,""),"Server",_xlfn.XLOOKUP($K235&amp;"",SERVER!$B$3:$B$1009&amp;"",SERVER!$K$3:$K$1009,""),""))))</f>
        <v/>
      </c>
      <c r="O235" s="1" t="str" cm="1">
        <f t="array" ref="O235">IF(OR($K235="",$I235="",$J235=""),"",_xlfn.LET(_xlpm.srcCat,_xlfn.SWITCH($I235,"Computer",_xlfn.XLOOKUP($K235&amp;"",COMPUTER!$B$3:$B$1009&amp;"",COMPUTER!$H$3:$H$1009,""),"Display",_xlfn.XLOOKUP($K235&amp;"",DISPLAY!$B$3:$B$1000&amp;"",DISPLAY!$H$3:$H$1000,""),"Network Device",_xlfn.XLOOKUP($K235&amp;"",'NETWORK-DEVICES'!$B$3:$B$987&amp;"",'NETWORK-DEVICES'!$H$3:$H$987,""),"Peripheral",_xlfn.XLOOKUP($K235&amp;"",PERIPHERAL!$B$3:$B$954&amp;"",PERIPHERAL!$H$3:$H$954,""),"Utilities",_xlfn.XLOOKUP($K235&amp;"",UTILITIES!$B$3:$B$953&amp;"",UTILITIES!$G$3:$G$953,""),"IOT",_xlfn.XLOOKUP($K235&amp;"",IOT!$B$3:$B$1012&amp;"",IOT!$H$3:$H$1012,""),"Server",_xlfn.XLOOKUP($K235&amp;"",SERVER!$B$3:$B$1009&amp;"",SERVER!$H$3:$H$1009,""),""),IF(TRIM(_xlpm.srcCat)&lt;&gt;TRIM($J235),"",_xlfn.SWITCH($I235,"Computer",_xlfn.XLOOKUP($K235&amp;"",COMPUTER!$B$3:$B$1009&amp;"",COMPUTER!$E$3:$E$1009,""),"Display",_xlfn.XLOOKUP($K235&amp;"",DISPLAY!$B$3:$B$1000&amp;"",DISPLAY!$E$3:$E$1000,""),"Network Device",_xlfn.XLOOKUP($K235&amp;"",'NETWORK-DEVICES'!$B$3:$B$987&amp;"",'NETWORK-DEVICES'!$E$3:$E$987,""),"Peripheral",_xlfn.XLOOKUP($K235&amp;"",PERIPHERAL!$B$3:$B$954&amp;"",PERIPHERAL!$E$3:$E$954,""),"Utilities",_xlfn.XLOOKUP($K235&amp;"",UTILITIES!$B$3:$B$953&amp;"",UTILITIES!$E$3:$E$953,""),"IOT",_xlfn.XLOOKUP($K235&amp;"",IOT!$B$3:$B$1012&amp;"",IOT!$E$3:$E$1012,""),"Server",_xlfn.XLOOKUP($K235&amp;"",SERVER!$B$3:$B$1009&amp;"",SERVER!$E$3:$E$1009,""),""))))</f>
        <v/>
      </c>
      <c r="Q235" s="1" t="str" cm="1">
        <f t="array" ref="Q235">IF(OR($K235="",$I235="",$J235=""),"",_xlfn.LET(_xlpm.srcCat,_xlfn.SWITCH($I235,"Computer",_xlfn.XLOOKUP($K235&amp;"",COMPUTER!$B$3:$B$1009&amp;"",COMPUTER!$H$3:$H$1009,""),"Display",_xlfn.XLOOKUP($K235&amp;"",DISPLAY!$B$3:$B$1000&amp;"",DISPLAY!$H$3:$H$1000,""),"Network Device",_xlfn.XLOOKUP($K235&amp;"",'NETWORK-DEVICES'!$B$3:$B$987&amp;"",'NETWORK-DEVICES'!$H$3:$H$987,""),"Peripheral",_xlfn.XLOOKUP($K235&amp;"",PERIPHERAL!$B$3:$B$954&amp;"",PERIPHERAL!$H$3:$H$954,""),"Utilities",_xlfn.XLOOKUP($K235&amp;"",UTILITIES!$B$3:$B$953&amp;"",UTILITIES!$G$3:$G$953,""),"IOT",_xlfn.XLOOKUP($K235&amp;"",IOT!$B$3:$B$1012&amp;"",IOT!$H$3:$H$1012,""),"Server",_xlfn.XLOOKUP($K235&amp;"",SERVER!$B$3:$B$1009&amp;"",SERVER!$H$3:$H$1009,""),""),IF(TRIM(_xlpm.srcCat)&lt;&gt;TRIM($J235),"",_xlfn.SWITCH($I235,"Computer",_xlfn.XLOOKUP($K235&amp;"",COMPUTER!$B$3:$B$1009&amp;"",COMPUTER!$AM$3:$AM$1009,""),"Display",_xlfn.XLOOKUP($K235&amp;"",DISPLAY!$B$3:$B$1000&amp;"",DISPLAY!$V$3:$V$1000,""),"Network Device",_xlfn.XLOOKUP($K235&amp;"",'NETWORK-DEVICES'!$B$3:$B$987&amp;"",'NETWORK-DEVICES'!$AF$3:$AF$987,""),"Peripheral",_xlfn.XLOOKUP($K235&amp;"",PERIPHERAL!$B$3:$B$954&amp;"",PERIPHERAL!$Y$3:$Y$954,""),"Utilities",_xlfn.XLOOKUP($K235&amp;"",UTILITIES!$B$3:$B$953&amp;"",UTILITIES!$O$3:$O$953,""),"IOT",_xlfn.XLOOKUP($K235&amp;"",IOT!$B$3:$B$1012&amp;"",IOT!$AB$3:$AB$1012,""),"Server",_xlfn.XLOOKUP($K235&amp;"",SERVER!$B$3:$B$1009&amp;"",SERVER!$AB$3:$AB$1009,""),""))))</f>
        <v/>
      </c>
      <c r="R235" s="43" t="str">
        <f>IF(tbl_handover[[#This Row],[Asset Code]]="","",COUNTIF(tbl_handover[Asset Code],tbl_handover[[#This Row],[Asset Code]]))</f>
        <v/>
      </c>
    </row>
    <row r="236" spans="1:18" x14ac:dyDescent="0.25">
      <c r="A236" s="43" t="str">
        <f>IF(B236&lt;&gt;"",SUBTOTAL(3,$B$1:B235),"")</f>
        <v/>
      </c>
      <c r="C236" s="74"/>
      <c r="D236" s="74"/>
      <c r="G236" s="1"/>
      <c r="K236" s="42"/>
      <c r="L236" t="str" cm="1">
        <f t="array" ref="L236">IF($K236="","",_xlfn.SWITCH($I236,"Computer",_xlfn.XLOOKUP($K236&amp;"",COMPUTER!$B$3:$B$1009&amp;"",COMPUTER!$I$3:$I$1009,""),"Display",_xlfn.XLOOKUP($K236&amp;"",DISPLAY!$B$3:$B$1000&amp;"",DISPLAY!$J$3:$J$1000,""),"Network Device",_xlfn.XLOOKUP($K236&amp;"",'NETWORK-DEVICES'!$B$3:$B$987&amp;"",'NETWORK-DEVICES'!$I$3:$I$987,""),"Peripheral",_xlfn.XLOOKUP($K236&amp;"",PERIPHERAL!$B$3:$B$954&amp;"",PERIPHERAL!$I$3:$I$954,""),"Utilities",_xlfn.XLOOKUP($K236&amp;"",UTILITIES!$B$3:$B$953&amp;"",UTILITIES!$H$3:$H$953,""),"IOT",_xlfn.XLOOKUP($K236&amp;"",IOT!$B$3:$B$1012&amp;"",IOT!$I$3:$I$1012,""),"SERVER",_xlfn.XLOOKUP($K236&amp;"",SERVER!$B$3:$B$1009&amp;"",SERVER!$I$3:$I$1009,""),""))</f>
        <v/>
      </c>
      <c r="M236" t="str" cm="1">
        <f t="array" ref="M236">IF($K236="","",_xlfn.SWITCH($I236,"Computer",_xlfn.XLOOKUP($K236&amp;"",COMPUTER!$B$3:$B$1009&amp;"",COMPUTER!$J$3:$J$1009,""),"Display",_xlfn.XLOOKUP($K236&amp;"",DISPLAY!$B$3:$B$1000&amp;"",DISPLAY!$K$3:$K$1000,""),"Network Device",_xlfn.XLOOKUP($K236&amp;"",'NETWORK-DEVICES'!$B$3:$B$987&amp;"",'NETWORK-DEVICES'!$I$3:$I$987,""),"Peripheral",_xlfn.XLOOKUP($K236&amp;"",PERIPHERAL!$B$3:$B$954&amp;"",PERIPHERAL!$J$3:$J$954,""),"Utilities",_xlfn.XLOOKUP($K236&amp;"",UTILITIES!$B$3:$B$953&amp;"",UTILITIES!$I$3:$I$953,""),"IOT",_xlfn.XLOOKUP($K236&amp;"",IOT!$B$3:$B$1012&amp;"",IOT!$J$3:$J$1012,""),"Server",_xlfn.XLOOKUP($K236&amp;"",SERVER!$B$3:$B$1009&amp;"",SERVER!$J$3:$J$1009,""),""))</f>
        <v/>
      </c>
      <c r="N236" s="1" t="str" cm="1">
        <f t="array" ref="N236">IF(OR($K236="",$I236="",$J236=""),"",_xlfn.LET(_xlpm.srcCat,_xlfn.SWITCH($I236,"Computer",_xlfn.XLOOKUP($K236&amp;"",COMPUTER!$B$3:$B$1009&amp;"",COMPUTER!$H$3:$H$1009,""),"Display",_xlfn.XLOOKUP($K236&amp;"",DISPLAY!$B$3:$B$1000&amp;"",DISPLAY!$H$3:$H$1000,""),"Network Device",_xlfn.XLOOKUP($K236&amp;"",'NETWORK-DEVICES'!$B$3:$B$987&amp;"",'NETWORK-DEVICES'!$H$3:$H$987,""),"Peripheral",_xlfn.XLOOKUP($K236&amp;"",PERIPHERAL!$B$3:$B$954&amp;"",PERIPHERAL!$H$3:$H$954,""),"Utilities",_xlfn.XLOOKUP($K236&amp;"",UTILITIES!$B$3:$B$953&amp;"",UTILITIES!$G$3:$G$953,""),"IOT",_xlfn.XLOOKUP($K236&amp;"",IOT!$B$3:$B$1012&amp;"",IOT!$H$3:$H$1012,""),"Server",_xlfn.XLOOKUP($K236&amp;"",SERVER!$B$3:$B$1009&amp;"",SERVER!$H$3:$H$1009,""),""),IF(TRIM(_xlpm.srcCat)&lt;&gt;TRIM($J236),"",_xlfn.SWITCH($I236,"Computer",_xlfn.XLOOKUP($K236&amp;"",COMPUTER!$B$3:$B$1009&amp;"",COMPUTER!$K$3:$K$1009,""),"Display",_xlfn.XLOOKUP($K236&amp;"",DISPLAY!$B$3:$B$1000&amp;"",DISPLAY!$L$3:$L$1000,""),"Network Device",_xlfn.XLOOKUP($K236&amp;"",'NETWORK-DEVICES'!$B$3:$B$987&amp;"",'NETWORK-DEVICES'!$K$3:$K$987,""),"Peripheral",_xlfn.XLOOKUP($K236&amp;"",PERIPHERAL!$B$3:$B$954&amp;"",PERIPHERAL!$K$3:$K$954,""),"Utilities",_xlfn.XLOOKUP($K236&amp;"",UTILITIES!$B$3:$B$953&amp;"",UTILITIES!$J$3:$J$953,""),"IOT",_xlfn.XLOOKUP($K236&amp;"",IOT!$B$3:$B$1012&amp;"",IOT!$K$4:$K$1012,""),"Server",_xlfn.XLOOKUP($K236&amp;"",SERVER!$B$3:$B$1009&amp;"",SERVER!$K$3:$K$1009,""),""))))</f>
        <v/>
      </c>
      <c r="O236" s="1" t="str" cm="1">
        <f t="array" ref="O236">IF(OR($K236="",$I236="",$J236=""),"",_xlfn.LET(_xlpm.srcCat,_xlfn.SWITCH($I236,"Computer",_xlfn.XLOOKUP($K236&amp;"",COMPUTER!$B$3:$B$1009&amp;"",COMPUTER!$H$3:$H$1009,""),"Display",_xlfn.XLOOKUP($K236&amp;"",DISPLAY!$B$3:$B$1000&amp;"",DISPLAY!$H$3:$H$1000,""),"Network Device",_xlfn.XLOOKUP($K236&amp;"",'NETWORK-DEVICES'!$B$3:$B$987&amp;"",'NETWORK-DEVICES'!$H$3:$H$987,""),"Peripheral",_xlfn.XLOOKUP($K236&amp;"",PERIPHERAL!$B$3:$B$954&amp;"",PERIPHERAL!$H$3:$H$954,""),"Utilities",_xlfn.XLOOKUP($K236&amp;"",UTILITIES!$B$3:$B$953&amp;"",UTILITIES!$G$3:$G$953,""),"IOT",_xlfn.XLOOKUP($K236&amp;"",IOT!$B$3:$B$1012&amp;"",IOT!$H$3:$H$1012,""),"Server",_xlfn.XLOOKUP($K236&amp;"",SERVER!$B$3:$B$1009&amp;"",SERVER!$H$3:$H$1009,""),""),IF(TRIM(_xlpm.srcCat)&lt;&gt;TRIM($J236),"",_xlfn.SWITCH($I236,"Computer",_xlfn.XLOOKUP($K236&amp;"",COMPUTER!$B$3:$B$1009&amp;"",COMPUTER!$E$3:$E$1009,""),"Display",_xlfn.XLOOKUP($K236&amp;"",DISPLAY!$B$3:$B$1000&amp;"",DISPLAY!$E$3:$E$1000,""),"Network Device",_xlfn.XLOOKUP($K236&amp;"",'NETWORK-DEVICES'!$B$3:$B$987&amp;"",'NETWORK-DEVICES'!$E$3:$E$987,""),"Peripheral",_xlfn.XLOOKUP($K236&amp;"",PERIPHERAL!$B$3:$B$954&amp;"",PERIPHERAL!$E$3:$E$954,""),"Utilities",_xlfn.XLOOKUP($K236&amp;"",UTILITIES!$B$3:$B$953&amp;"",UTILITIES!$E$3:$E$953,""),"IOT",_xlfn.XLOOKUP($K236&amp;"",IOT!$B$3:$B$1012&amp;"",IOT!$E$3:$E$1012,""),"Server",_xlfn.XLOOKUP($K236&amp;"",SERVER!$B$3:$B$1009&amp;"",SERVER!$E$3:$E$1009,""),""))))</f>
        <v/>
      </c>
      <c r="Q236" s="1" t="str" cm="1">
        <f t="array" ref="Q236">IF(OR($K236="",$I236="",$J236=""),"",_xlfn.LET(_xlpm.srcCat,_xlfn.SWITCH($I236,"Computer",_xlfn.XLOOKUP($K236&amp;"",COMPUTER!$B$3:$B$1009&amp;"",COMPUTER!$H$3:$H$1009,""),"Display",_xlfn.XLOOKUP($K236&amp;"",DISPLAY!$B$3:$B$1000&amp;"",DISPLAY!$H$3:$H$1000,""),"Network Device",_xlfn.XLOOKUP($K236&amp;"",'NETWORK-DEVICES'!$B$3:$B$987&amp;"",'NETWORK-DEVICES'!$H$3:$H$987,""),"Peripheral",_xlfn.XLOOKUP($K236&amp;"",PERIPHERAL!$B$3:$B$954&amp;"",PERIPHERAL!$H$3:$H$954,""),"Utilities",_xlfn.XLOOKUP($K236&amp;"",UTILITIES!$B$3:$B$953&amp;"",UTILITIES!$G$3:$G$953,""),"IOT",_xlfn.XLOOKUP($K236&amp;"",IOT!$B$3:$B$1012&amp;"",IOT!$H$3:$H$1012,""),"Server",_xlfn.XLOOKUP($K236&amp;"",SERVER!$B$3:$B$1009&amp;"",SERVER!$H$3:$H$1009,""),""),IF(TRIM(_xlpm.srcCat)&lt;&gt;TRIM($J236),"",_xlfn.SWITCH($I236,"Computer",_xlfn.XLOOKUP($K236&amp;"",COMPUTER!$B$3:$B$1009&amp;"",COMPUTER!$AM$3:$AM$1009,""),"Display",_xlfn.XLOOKUP($K236&amp;"",DISPLAY!$B$3:$B$1000&amp;"",DISPLAY!$V$3:$V$1000,""),"Network Device",_xlfn.XLOOKUP($K236&amp;"",'NETWORK-DEVICES'!$B$3:$B$987&amp;"",'NETWORK-DEVICES'!$AF$3:$AF$987,""),"Peripheral",_xlfn.XLOOKUP($K236&amp;"",PERIPHERAL!$B$3:$B$954&amp;"",PERIPHERAL!$Y$3:$Y$954,""),"Utilities",_xlfn.XLOOKUP($K236&amp;"",UTILITIES!$B$3:$B$953&amp;"",UTILITIES!$O$3:$O$953,""),"IOT",_xlfn.XLOOKUP($K236&amp;"",IOT!$B$3:$B$1012&amp;"",IOT!$AB$3:$AB$1012,""),"Server",_xlfn.XLOOKUP($K236&amp;"",SERVER!$B$3:$B$1009&amp;"",SERVER!$AB$3:$AB$1009,""),""))))</f>
        <v/>
      </c>
      <c r="R236" s="43" t="str">
        <f>IF(tbl_handover[[#This Row],[Asset Code]]="","",COUNTIF(tbl_handover[Asset Code],tbl_handover[[#This Row],[Asset Code]]))</f>
        <v/>
      </c>
    </row>
    <row r="237" spans="1:18" x14ac:dyDescent="0.25">
      <c r="A237" s="43" t="str">
        <f>IF(B237&lt;&gt;"",SUBTOTAL(3,$B$1:B236),"")</f>
        <v/>
      </c>
      <c r="C237" s="74"/>
      <c r="D237" s="74"/>
      <c r="G237" s="1"/>
      <c r="K237" s="42"/>
      <c r="L237" t="str" cm="1">
        <f t="array" ref="L237">IF($K237="","",_xlfn.SWITCH($I237,"Computer",_xlfn.XLOOKUP($K237&amp;"",COMPUTER!$B$3:$B$1009&amp;"",COMPUTER!$I$3:$I$1009,""),"Display",_xlfn.XLOOKUP($K237&amp;"",DISPLAY!$B$3:$B$1000&amp;"",DISPLAY!$J$3:$J$1000,""),"Network Device",_xlfn.XLOOKUP($K237&amp;"",'NETWORK-DEVICES'!$B$3:$B$987&amp;"",'NETWORK-DEVICES'!$I$3:$I$987,""),"Peripheral",_xlfn.XLOOKUP($K237&amp;"",PERIPHERAL!$B$3:$B$954&amp;"",PERIPHERAL!$I$3:$I$954,""),"Utilities",_xlfn.XLOOKUP($K237&amp;"",UTILITIES!$B$3:$B$953&amp;"",UTILITIES!$H$3:$H$953,""),"IOT",_xlfn.XLOOKUP($K237&amp;"",IOT!$B$3:$B$1012&amp;"",IOT!$I$3:$I$1012,""),"SERVER",_xlfn.XLOOKUP($K237&amp;"",SERVER!$B$3:$B$1009&amp;"",SERVER!$I$3:$I$1009,""),""))</f>
        <v/>
      </c>
      <c r="M237" t="str" cm="1">
        <f t="array" ref="M237">IF($K237="","",_xlfn.SWITCH($I237,"Computer",_xlfn.XLOOKUP($K237&amp;"",COMPUTER!$B$3:$B$1009&amp;"",COMPUTER!$J$3:$J$1009,""),"Display",_xlfn.XLOOKUP($K237&amp;"",DISPLAY!$B$3:$B$1000&amp;"",DISPLAY!$K$3:$K$1000,""),"Network Device",_xlfn.XLOOKUP($K237&amp;"",'NETWORK-DEVICES'!$B$3:$B$987&amp;"",'NETWORK-DEVICES'!$I$3:$I$987,""),"Peripheral",_xlfn.XLOOKUP($K237&amp;"",PERIPHERAL!$B$3:$B$954&amp;"",PERIPHERAL!$J$3:$J$954,""),"Utilities",_xlfn.XLOOKUP($K237&amp;"",UTILITIES!$B$3:$B$953&amp;"",UTILITIES!$I$3:$I$953,""),"IOT",_xlfn.XLOOKUP($K237&amp;"",IOT!$B$3:$B$1012&amp;"",IOT!$J$3:$J$1012,""),"Server",_xlfn.XLOOKUP($K237&amp;"",SERVER!$B$3:$B$1009&amp;"",SERVER!$J$3:$J$1009,""),""))</f>
        <v/>
      </c>
      <c r="N237" s="1" t="str" cm="1">
        <f t="array" ref="N237">IF(OR($K237="",$I237="",$J237=""),"",_xlfn.LET(_xlpm.srcCat,_xlfn.SWITCH($I237,"Computer",_xlfn.XLOOKUP($K237&amp;"",COMPUTER!$B$3:$B$1009&amp;"",COMPUTER!$H$3:$H$1009,""),"Display",_xlfn.XLOOKUP($K237&amp;"",DISPLAY!$B$3:$B$1000&amp;"",DISPLAY!$H$3:$H$1000,""),"Network Device",_xlfn.XLOOKUP($K237&amp;"",'NETWORK-DEVICES'!$B$3:$B$987&amp;"",'NETWORK-DEVICES'!$H$3:$H$987,""),"Peripheral",_xlfn.XLOOKUP($K237&amp;"",PERIPHERAL!$B$3:$B$954&amp;"",PERIPHERAL!$H$3:$H$954,""),"Utilities",_xlfn.XLOOKUP($K237&amp;"",UTILITIES!$B$3:$B$953&amp;"",UTILITIES!$G$3:$G$953,""),"IOT",_xlfn.XLOOKUP($K237&amp;"",IOT!$B$3:$B$1012&amp;"",IOT!$H$3:$H$1012,""),"Server",_xlfn.XLOOKUP($K237&amp;"",SERVER!$B$3:$B$1009&amp;"",SERVER!$H$3:$H$1009,""),""),IF(TRIM(_xlpm.srcCat)&lt;&gt;TRIM($J237),"",_xlfn.SWITCH($I237,"Computer",_xlfn.XLOOKUP($K237&amp;"",COMPUTER!$B$3:$B$1009&amp;"",COMPUTER!$K$3:$K$1009,""),"Display",_xlfn.XLOOKUP($K237&amp;"",DISPLAY!$B$3:$B$1000&amp;"",DISPLAY!$L$3:$L$1000,""),"Network Device",_xlfn.XLOOKUP($K237&amp;"",'NETWORK-DEVICES'!$B$3:$B$987&amp;"",'NETWORK-DEVICES'!$K$3:$K$987,""),"Peripheral",_xlfn.XLOOKUP($K237&amp;"",PERIPHERAL!$B$3:$B$954&amp;"",PERIPHERAL!$K$3:$K$954,""),"Utilities",_xlfn.XLOOKUP($K237&amp;"",UTILITIES!$B$3:$B$953&amp;"",UTILITIES!$J$3:$J$953,""),"IOT",_xlfn.XLOOKUP($K237&amp;"",IOT!$B$3:$B$1012&amp;"",IOT!$K$4:$K$1012,""),"Server",_xlfn.XLOOKUP($K237&amp;"",SERVER!$B$3:$B$1009&amp;"",SERVER!$K$3:$K$1009,""),""))))</f>
        <v/>
      </c>
      <c r="O237" s="1" t="str" cm="1">
        <f t="array" ref="O237">IF(OR($K237="",$I237="",$J237=""),"",_xlfn.LET(_xlpm.srcCat,_xlfn.SWITCH($I237,"Computer",_xlfn.XLOOKUP($K237&amp;"",COMPUTER!$B$3:$B$1009&amp;"",COMPUTER!$H$3:$H$1009,""),"Display",_xlfn.XLOOKUP($K237&amp;"",DISPLAY!$B$3:$B$1000&amp;"",DISPLAY!$H$3:$H$1000,""),"Network Device",_xlfn.XLOOKUP($K237&amp;"",'NETWORK-DEVICES'!$B$3:$B$987&amp;"",'NETWORK-DEVICES'!$H$3:$H$987,""),"Peripheral",_xlfn.XLOOKUP($K237&amp;"",PERIPHERAL!$B$3:$B$954&amp;"",PERIPHERAL!$H$3:$H$954,""),"Utilities",_xlfn.XLOOKUP($K237&amp;"",UTILITIES!$B$3:$B$953&amp;"",UTILITIES!$G$3:$G$953,""),"IOT",_xlfn.XLOOKUP($K237&amp;"",IOT!$B$3:$B$1012&amp;"",IOT!$H$3:$H$1012,""),"Server",_xlfn.XLOOKUP($K237&amp;"",SERVER!$B$3:$B$1009&amp;"",SERVER!$H$3:$H$1009,""),""),IF(TRIM(_xlpm.srcCat)&lt;&gt;TRIM($J237),"",_xlfn.SWITCH($I237,"Computer",_xlfn.XLOOKUP($K237&amp;"",COMPUTER!$B$3:$B$1009&amp;"",COMPUTER!$E$3:$E$1009,""),"Display",_xlfn.XLOOKUP($K237&amp;"",DISPLAY!$B$3:$B$1000&amp;"",DISPLAY!$E$3:$E$1000,""),"Network Device",_xlfn.XLOOKUP($K237&amp;"",'NETWORK-DEVICES'!$B$3:$B$987&amp;"",'NETWORK-DEVICES'!$E$3:$E$987,""),"Peripheral",_xlfn.XLOOKUP($K237&amp;"",PERIPHERAL!$B$3:$B$954&amp;"",PERIPHERAL!$E$3:$E$954,""),"Utilities",_xlfn.XLOOKUP($K237&amp;"",UTILITIES!$B$3:$B$953&amp;"",UTILITIES!$E$3:$E$953,""),"IOT",_xlfn.XLOOKUP($K237&amp;"",IOT!$B$3:$B$1012&amp;"",IOT!$E$3:$E$1012,""),"Server",_xlfn.XLOOKUP($K237&amp;"",SERVER!$B$3:$B$1009&amp;"",SERVER!$E$3:$E$1009,""),""))))</f>
        <v/>
      </c>
      <c r="Q237" s="1" t="str" cm="1">
        <f t="array" ref="Q237">IF(OR($K237="",$I237="",$J237=""),"",_xlfn.LET(_xlpm.srcCat,_xlfn.SWITCH($I237,"Computer",_xlfn.XLOOKUP($K237&amp;"",COMPUTER!$B$3:$B$1009&amp;"",COMPUTER!$H$3:$H$1009,""),"Display",_xlfn.XLOOKUP($K237&amp;"",DISPLAY!$B$3:$B$1000&amp;"",DISPLAY!$H$3:$H$1000,""),"Network Device",_xlfn.XLOOKUP($K237&amp;"",'NETWORK-DEVICES'!$B$3:$B$987&amp;"",'NETWORK-DEVICES'!$H$3:$H$987,""),"Peripheral",_xlfn.XLOOKUP($K237&amp;"",PERIPHERAL!$B$3:$B$954&amp;"",PERIPHERAL!$H$3:$H$954,""),"Utilities",_xlfn.XLOOKUP($K237&amp;"",UTILITIES!$B$3:$B$953&amp;"",UTILITIES!$G$3:$G$953,""),"IOT",_xlfn.XLOOKUP($K237&amp;"",IOT!$B$3:$B$1012&amp;"",IOT!$H$3:$H$1012,""),"Server",_xlfn.XLOOKUP($K237&amp;"",SERVER!$B$3:$B$1009&amp;"",SERVER!$H$3:$H$1009,""),""),IF(TRIM(_xlpm.srcCat)&lt;&gt;TRIM($J237),"",_xlfn.SWITCH($I237,"Computer",_xlfn.XLOOKUP($K237&amp;"",COMPUTER!$B$3:$B$1009&amp;"",COMPUTER!$AM$3:$AM$1009,""),"Display",_xlfn.XLOOKUP($K237&amp;"",DISPLAY!$B$3:$B$1000&amp;"",DISPLAY!$V$3:$V$1000,""),"Network Device",_xlfn.XLOOKUP($K237&amp;"",'NETWORK-DEVICES'!$B$3:$B$987&amp;"",'NETWORK-DEVICES'!$AF$3:$AF$987,""),"Peripheral",_xlfn.XLOOKUP($K237&amp;"",PERIPHERAL!$B$3:$B$954&amp;"",PERIPHERAL!$Y$3:$Y$954,""),"Utilities",_xlfn.XLOOKUP($K237&amp;"",UTILITIES!$B$3:$B$953&amp;"",UTILITIES!$O$3:$O$953,""),"IOT",_xlfn.XLOOKUP($K237&amp;"",IOT!$B$3:$B$1012&amp;"",IOT!$AB$3:$AB$1012,""),"Server",_xlfn.XLOOKUP($K237&amp;"",SERVER!$B$3:$B$1009&amp;"",SERVER!$AB$3:$AB$1009,""),""))))</f>
        <v/>
      </c>
      <c r="R237" s="43" t="str">
        <f>IF(tbl_handover[[#This Row],[Asset Code]]="","",COUNTIF(tbl_handover[Asset Code],tbl_handover[[#This Row],[Asset Code]]))</f>
        <v/>
      </c>
    </row>
    <row r="238" spans="1:18" x14ac:dyDescent="0.25">
      <c r="A238" s="43" t="str">
        <f>IF(B238&lt;&gt;"",SUBTOTAL(3,$B$1:B237),"")</f>
        <v/>
      </c>
      <c r="C238" s="74"/>
      <c r="D238" s="74"/>
      <c r="G238" s="1"/>
      <c r="K238" s="42"/>
      <c r="L238" t="str" cm="1">
        <f t="array" ref="L238">IF($K238="","",_xlfn.SWITCH($I238,"Computer",_xlfn.XLOOKUP($K238&amp;"",COMPUTER!$B$3:$B$1009&amp;"",COMPUTER!$I$3:$I$1009,""),"Display",_xlfn.XLOOKUP($K238&amp;"",DISPLAY!$B$3:$B$1000&amp;"",DISPLAY!$J$3:$J$1000,""),"Network Device",_xlfn.XLOOKUP($K238&amp;"",'NETWORK-DEVICES'!$B$3:$B$987&amp;"",'NETWORK-DEVICES'!$I$3:$I$987,""),"Peripheral",_xlfn.XLOOKUP($K238&amp;"",PERIPHERAL!$B$3:$B$954&amp;"",PERIPHERAL!$I$3:$I$954,""),"Utilities",_xlfn.XLOOKUP($K238&amp;"",UTILITIES!$B$3:$B$953&amp;"",UTILITIES!$H$3:$H$953,""),"IOT",_xlfn.XLOOKUP($K238&amp;"",IOT!$B$3:$B$1012&amp;"",IOT!$I$3:$I$1012,""),"SERVER",_xlfn.XLOOKUP($K238&amp;"",SERVER!$B$3:$B$1009&amp;"",SERVER!$I$3:$I$1009,""),""))</f>
        <v/>
      </c>
      <c r="M238" t="str" cm="1">
        <f t="array" ref="M238">IF($K238="","",_xlfn.SWITCH($I238,"Computer",_xlfn.XLOOKUP($K238&amp;"",COMPUTER!$B$3:$B$1009&amp;"",COMPUTER!$J$3:$J$1009,""),"Display",_xlfn.XLOOKUP($K238&amp;"",DISPLAY!$B$3:$B$1000&amp;"",DISPLAY!$K$3:$K$1000,""),"Network Device",_xlfn.XLOOKUP($K238&amp;"",'NETWORK-DEVICES'!$B$3:$B$987&amp;"",'NETWORK-DEVICES'!$I$3:$I$987,""),"Peripheral",_xlfn.XLOOKUP($K238&amp;"",PERIPHERAL!$B$3:$B$954&amp;"",PERIPHERAL!$J$3:$J$954,""),"Utilities",_xlfn.XLOOKUP($K238&amp;"",UTILITIES!$B$3:$B$953&amp;"",UTILITIES!$I$3:$I$953,""),"IOT",_xlfn.XLOOKUP($K238&amp;"",IOT!$B$3:$B$1012&amp;"",IOT!$J$3:$J$1012,""),"Server",_xlfn.XLOOKUP($K238&amp;"",SERVER!$B$3:$B$1009&amp;"",SERVER!$J$3:$J$1009,""),""))</f>
        <v/>
      </c>
      <c r="N238" s="1" t="str" cm="1">
        <f t="array" ref="N238">IF(OR($K238="",$I238="",$J238=""),"",_xlfn.LET(_xlpm.srcCat,_xlfn.SWITCH($I238,"Computer",_xlfn.XLOOKUP($K238&amp;"",COMPUTER!$B$3:$B$1009&amp;"",COMPUTER!$H$3:$H$1009,""),"Display",_xlfn.XLOOKUP($K238&amp;"",DISPLAY!$B$3:$B$1000&amp;"",DISPLAY!$H$3:$H$1000,""),"Network Device",_xlfn.XLOOKUP($K238&amp;"",'NETWORK-DEVICES'!$B$3:$B$987&amp;"",'NETWORK-DEVICES'!$H$3:$H$987,""),"Peripheral",_xlfn.XLOOKUP($K238&amp;"",PERIPHERAL!$B$3:$B$954&amp;"",PERIPHERAL!$H$3:$H$954,""),"Utilities",_xlfn.XLOOKUP($K238&amp;"",UTILITIES!$B$3:$B$953&amp;"",UTILITIES!$G$3:$G$953,""),"IOT",_xlfn.XLOOKUP($K238&amp;"",IOT!$B$3:$B$1012&amp;"",IOT!$H$3:$H$1012,""),"Server",_xlfn.XLOOKUP($K238&amp;"",SERVER!$B$3:$B$1009&amp;"",SERVER!$H$3:$H$1009,""),""),IF(TRIM(_xlpm.srcCat)&lt;&gt;TRIM($J238),"",_xlfn.SWITCH($I238,"Computer",_xlfn.XLOOKUP($K238&amp;"",COMPUTER!$B$3:$B$1009&amp;"",COMPUTER!$K$3:$K$1009,""),"Display",_xlfn.XLOOKUP($K238&amp;"",DISPLAY!$B$3:$B$1000&amp;"",DISPLAY!$L$3:$L$1000,""),"Network Device",_xlfn.XLOOKUP($K238&amp;"",'NETWORK-DEVICES'!$B$3:$B$987&amp;"",'NETWORK-DEVICES'!$K$3:$K$987,""),"Peripheral",_xlfn.XLOOKUP($K238&amp;"",PERIPHERAL!$B$3:$B$954&amp;"",PERIPHERAL!$K$3:$K$954,""),"Utilities",_xlfn.XLOOKUP($K238&amp;"",UTILITIES!$B$3:$B$953&amp;"",UTILITIES!$J$3:$J$953,""),"IOT",_xlfn.XLOOKUP($K238&amp;"",IOT!$B$3:$B$1012&amp;"",IOT!$K$4:$K$1012,""),"Server",_xlfn.XLOOKUP($K238&amp;"",SERVER!$B$3:$B$1009&amp;"",SERVER!$K$3:$K$1009,""),""))))</f>
        <v/>
      </c>
      <c r="O238" s="1" t="str" cm="1">
        <f t="array" ref="O238">IF(OR($K238="",$I238="",$J238=""),"",_xlfn.LET(_xlpm.srcCat,_xlfn.SWITCH($I238,"Computer",_xlfn.XLOOKUP($K238&amp;"",COMPUTER!$B$3:$B$1009&amp;"",COMPUTER!$H$3:$H$1009,""),"Display",_xlfn.XLOOKUP($K238&amp;"",DISPLAY!$B$3:$B$1000&amp;"",DISPLAY!$H$3:$H$1000,""),"Network Device",_xlfn.XLOOKUP($K238&amp;"",'NETWORK-DEVICES'!$B$3:$B$987&amp;"",'NETWORK-DEVICES'!$H$3:$H$987,""),"Peripheral",_xlfn.XLOOKUP($K238&amp;"",PERIPHERAL!$B$3:$B$954&amp;"",PERIPHERAL!$H$3:$H$954,""),"Utilities",_xlfn.XLOOKUP($K238&amp;"",UTILITIES!$B$3:$B$953&amp;"",UTILITIES!$G$3:$G$953,""),"IOT",_xlfn.XLOOKUP($K238&amp;"",IOT!$B$3:$B$1012&amp;"",IOT!$H$3:$H$1012,""),"Server",_xlfn.XLOOKUP($K238&amp;"",SERVER!$B$3:$B$1009&amp;"",SERVER!$H$3:$H$1009,""),""),IF(TRIM(_xlpm.srcCat)&lt;&gt;TRIM($J238),"",_xlfn.SWITCH($I238,"Computer",_xlfn.XLOOKUP($K238&amp;"",COMPUTER!$B$3:$B$1009&amp;"",COMPUTER!$E$3:$E$1009,""),"Display",_xlfn.XLOOKUP($K238&amp;"",DISPLAY!$B$3:$B$1000&amp;"",DISPLAY!$E$3:$E$1000,""),"Network Device",_xlfn.XLOOKUP($K238&amp;"",'NETWORK-DEVICES'!$B$3:$B$987&amp;"",'NETWORK-DEVICES'!$E$3:$E$987,""),"Peripheral",_xlfn.XLOOKUP($K238&amp;"",PERIPHERAL!$B$3:$B$954&amp;"",PERIPHERAL!$E$3:$E$954,""),"Utilities",_xlfn.XLOOKUP($K238&amp;"",UTILITIES!$B$3:$B$953&amp;"",UTILITIES!$E$3:$E$953,""),"IOT",_xlfn.XLOOKUP($K238&amp;"",IOT!$B$3:$B$1012&amp;"",IOT!$E$3:$E$1012,""),"Server",_xlfn.XLOOKUP($K238&amp;"",SERVER!$B$3:$B$1009&amp;"",SERVER!$E$3:$E$1009,""),""))))</f>
        <v/>
      </c>
      <c r="Q238" s="1" t="str" cm="1">
        <f t="array" ref="Q238">IF(OR($K238="",$I238="",$J238=""),"",_xlfn.LET(_xlpm.srcCat,_xlfn.SWITCH($I238,"Computer",_xlfn.XLOOKUP($K238&amp;"",COMPUTER!$B$3:$B$1009&amp;"",COMPUTER!$H$3:$H$1009,""),"Display",_xlfn.XLOOKUP($K238&amp;"",DISPLAY!$B$3:$B$1000&amp;"",DISPLAY!$H$3:$H$1000,""),"Network Device",_xlfn.XLOOKUP($K238&amp;"",'NETWORK-DEVICES'!$B$3:$B$987&amp;"",'NETWORK-DEVICES'!$H$3:$H$987,""),"Peripheral",_xlfn.XLOOKUP($K238&amp;"",PERIPHERAL!$B$3:$B$954&amp;"",PERIPHERAL!$H$3:$H$954,""),"Utilities",_xlfn.XLOOKUP($K238&amp;"",UTILITIES!$B$3:$B$953&amp;"",UTILITIES!$G$3:$G$953,""),"IOT",_xlfn.XLOOKUP($K238&amp;"",IOT!$B$3:$B$1012&amp;"",IOT!$H$3:$H$1012,""),"Server",_xlfn.XLOOKUP($K238&amp;"",SERVER!$B$3:$B$1009&amp;"",SERVER!$H$3:$H$1009,""),""),IF(TRIM(_xlpm.srcCat)&lt;&gt;TRIM($J238),"",_xlfn.SWITCH($I238,"Computer",_xlfn.XLOOKUP($K238&amp;"",COMPUTER!$B$3:$B$1009&amp;"",COMPUTER!$AM$3:$AM$1009,""),"Display",_xlfn.XLOOKUP($K238&amp;"",DISPLAY!$B$3:$B$1000&amp;"",DISPLAY!$V$3:$V$1000,""),"Network Device",_xlfn.XLOOKUP($K238&amp;"",'NETWORK-DEVICES'!$B$3:$B$987&amp;"",'NETWORK-DEVICES'!$AF$3:$AF$987,""),"Peripheral",_xlfn.XLOOKUP($K238&amp;"",PERIPHERAL!$B$3:$B$954&amp;"",PERIPHERAL!$Y$3:$Y$954,""),"Utilities",_xlfn.XLOOKUP($K238&amp;"",UTILITIES!$B$3:$B$953&amp;"",UTILITIES!$O$3:$O$953,""),"IOT",_xlfn.XLOOKUP($K238&amp;"",IOT!$B$3:$B$1012&amp;"",IOT!$AB$3:$AB$1012,""),"Server",_xlfn.XLOOKUP($K238&amp;"",SERVER!$B$3:$B$1009&amp;"",SERVER!$AB$3:$AB$1009,""),""))))</f>
        <v/>
      </c>
      <c r="R238" s="43" t="str">
        <f>IF(tbl_handover[[#This Row],[Asset Code]]="","",COUNTIF(tbl_handover[Asset Code],tbl_handover[[#This Row],[Asset Code]]))</f>
        <v/>
      </c>
    </row>
    <row r="239" spans="1:18" x14ac:dyDescent="0.25">
      <c r="A239" s="43" t="str">
        <f>IF(B239&lt;&gt;"",SUBTOTAL(3,$B$1:B238),"")</f>
        <v/>
      </c>
      <c r="C239" s="74"/>
      <c r="D239" s="74"/>
      <c r="G239" s="1"/>
      <c r="K239" s="42"/>
      <c r="L239" t="str" cm="1">
        <f t="array" ref="L239">IF($K239="","",_xlfn.SWITCH($I239,"Computer",_xlfn.XLOOKUP($K239&amp;"",COMPUTER!$B$3:$B$1009&amp;"",COMPUTER!$I$3:$I$1009,""),"Display",_xlfn.XLOOKUP($K239&amp;"",DISPLAY!$B$3:$B$1000&amp;"",DISPLAY!$J$3:$J$1000,""),"Network Device",_xlfn.XLOOKUP($K239&amp;"",'NETWORK-DEVICES'!$B$3:$B$987&amp;"",'NETWORK-DEVICES'!$I$3:$I$987,""),"Peripheral",_xlfn.XLOOKUP($K239&amp;"",PERIPHERAL!$B$3:$B$954&amp;"",PERIPHERAL!$I$3:$I$954,""),"Utilities",_xlfn.XLOOKUP($K239&amp;"",UTILITIES!$B$3:$B$953&amp;"",UTILITIES!$H$3:$H$953,""),"IOT",_xlfn.XLOOKUP($K239&amp;"",IOT!$B$3:$B$1012&amp;"",IOT!$I$3:$I$1012,""),"SERVER",_xlfn.XLOOKUP($K239&amp;"",SERVER!$B$3:$B$1009&amp;"",SERVER!$I$3:$I$1009,""),""))</f>
        <v/>
      </c>
      <c r="M239" t="str" cm="1">
        <f t="array" ref="M239">IF($K239="","",_xlfn.SWITCH($I239,"Computer",_xlfn.XLOOKUP($K239&amp;"",COMPUTER!$B$3:$B$1009&amp;"",COMPUTER!$J$3:$J$1009,""),"Display",_xlfn.XLOOKUP($K239&amp;"",DISPLAY!$B$3:$B$1000&amp;"",DISPLAY!$K$3:$K$1000,""),"Network Device",_xlfn.XLOOKUP($K239&amp;"",'NETWORK-DEVICES'!$B$3:$B$987&amp;"",'NETWORK-DEVICES'!$I$3:$I$987,""),"Peripheral",_xlfn.XLOOKUP($K239&amp;"",PERIPHERAL!$B$3:$B$954&amp;"",PERIPHERAL!$J$3:$J$954,""),"Utilities",_xlfn.XLOOKUP($K239&amp;"",UTILITIES!$B$3:$B$953&amp;"",UTILITIES!$I$3:$I$953,""),"IOT",_xlfn.XLOOKUP($K239&amp;"",IOT!$B$3:$B$1012&amp;"",IOT!$J$3:$J$1012,""),"Server",_xlfn.XLOOKUP($K239&amp;"",SERVER!$B$3:$B$1009&amp;"",SERVER!$J$3:$J$1009,""),""))</f>
        <v/>
      </c>
      <c r="N239" s="1" t="str" cm="1">
        <f t="array" ref="N239">IF(OR($K239="",$I239="",$J239=""),"",_xlfn.LET(_xlpm.srcCat,_xlfn.SWITCH($I239,"Computer",_xlfn.XLOOKUP($K239&amp;"",COMPUTER!$B$3:$B$1009&amp;"",COMPUTER!$H$3:$H$1009,""),"Display",_xlfn.XLOOKUP($K239&amp;"",DISPLAY!$B$3:$B$1000&amp;"",DISPLAY!$H$3:$H$1000,""),"Network Device",_xlfn.XLOOKUP($K239&amp;"",'NETWORK-DEVICES'!$B$3:$B$987&amp;"",'NETWORK-DEVICES'!$H$3:$H$987,""),"Peripheral",_xlfn.XLOOKUP($K239&amp;"",PERIPHERAL!$B$3:$B$954&amp;"",PERIPHERAL!$H$3:$H$954,""),"Utilities",_xlfn.XLOOKUP($K239&amp;"",UTILITIES!$B$3:$B$953&amp;"",UTILITIES!$G$3:$G$953,""),"IOT",_xlfn.XLOOKUP($K239&amp;"",IOT!$B$3:$B$1012&amp;"",IOT!$H$3:$H$1012,""),"Server",_xlfn.XLOOKUP($K239&amp;"",SERVER!$B$3:$B$1009&amp;"",SERVER!$H$3:$H$1009,""),""),IF(TRIM(_xlpm.srcCat)&lt;&gt;TRIM($J239),"",_xlfn.SWITCH($I239,"Computer",_xlfn.XLOOKUP($K239&amp;"",COMPUTER!$B$3:$B$1009&amp;"",COMPUTER!$K$3:$K$1009,""),"Display",_xlfn.XLOOKUP($K239&amp;"",DISPLAY!$B$3:$B$1000&amp;"",DISPLAY!$L$3:$L$1000,""),"Network Device",_xlfn.XLOOKUP($K239&amp;"",'NETWORK-DEVICES'!$B$3:$B$987&amp;"",'NETWORK-DEVICES'!$K$3:$K$987,""),"Peripheral",_xlfn.XLOOKUP($K239&amp;"",PERIPHERAL!$B$3:$B$954&amp;"",PERIPHERAL!$K$3:$K$954,""),"Utilities",_xlfn.XLOOKUP($K239&amp;"",UTILITIES!$B$3:$B$953&amp;"",UTILITIES!$J$3:$J$953,""),"IOT",_xlfn.XLOOKUP($K239&amp;"",IOT!$B$3:$B$1012&amp;"",IOT!$K$4:$K$1012,""),"Server",_xlfn.XLOOKUP($K239&amp;"",SERVER!$B$3:$B$1009&amp;"",SERVER!$K$3:$K$1009,""),""))))</f>
        <v/>
      </c>
      <c r="O239" s="1" t="str" cm="1">
        <f t="array" ref="O239">IF(OR($K239="",$I239="",$J239=""),"",_xlfn.LET(_xlpm.srcCat,_xlfn.SWITCH($I239,"Computer",_xlfn.XLOOKUP($K239&amp;"",COMPUTER!$B$3:$B$1009&amp;"",COMPUTER!$H$3:$H$1009,""),"Display",_xlfn.XLOOKUP($K239&amp;"",DISPLAY!$B$3:$B$1000&amp;"",DISPLAY!$H$3:$H$1000,""),"Network Device",_xlfn.XLOOKUP($K239&amp;"",'NETWORK-DEVICES'!$B$3:$B$987&amp;"",'NETWORK-DEVICES'!$H$3:$H$987,""),"Peripheral",_xlfn.XLOOKUP($K239&amp;"",PERIPHERAL!$B$3:$B$954&amp;"",PERIPHERAL!$H$3:$H$954,""),"Utilities",_xlfn.XLOOKUP($K239&amp;"",UTILITIES!$B$3:$B$953&amp;"",UTILITIES!$G$3:$G$953,""),"IOT",_xlfn.XLOOKUP($K239&amp;"",IOT!$B$3:$B$1012&amp;"",IOT!$H$3:$H$1012,""),"Server",_xlfn.XLOOKUP($K239&amp;"",SERVER!$B$3:$B$1009&amp;"",SERVER!$H$3:$H$1009,""),""),IF(TRIM(_xlpm.srcCat)&lt;&gt;TRIM($J239),"",_xlfn.SWITCH($I239,"Computer",_xlfn.XLOOKUP($K239&amp;"",COMPUTER!$B$3:$B$1009&amp;"",COMPUTER!$E$3:$E$1009,""),"Display",_xlfn.XLOOKUP($K239&amp;"",DISPLAY!$B$3:$B$1000&amp;"",DISPLAY!$E$3:$E$1000,""),"Network Device",_xlfn.XLOOKUP($K239&amp;"",'NETWORK-DEVICES'!$B$3:$B$987&amp;"",'NETWORK-DEVICES'!$E$3:$E$987,""),"Peripheral",_xlfn.XLOOKUP($K239&amp;"",PERIPHERAL!$B$3:$B$954&amp;"",PERIPHERAL!$E$3:$E$954,""),"Utilities",_xlfn.XLOOKUP($K239&amp;"",UTILITIES!$B$3:$B$953&amp;"",UTILITIES!$E$3:$E$953,""),"IOT",_xlfn.XLOOKUP($K239&amp;"",IOT!$B$3:$B$1012&amp;"",IOT!$E$3:$E$1012,""),"Server",_xlfn.XLOOKUP($K239&amp;"",SERVER!$B$3:$B$1009&amp;"",SERVER!$E$3:$E$1009,""),""))))</f>
        <v/>
      </c>
      <c r="Q239" s="1" t="str" cm="1">
        <f t="array" ref="Q239">IF(OR($K239="",$I239="",$J239=""),"",_xlfn.LET(_xlpm.srcCat,_xlfn.SWITCH($I239,"Computer",_xlfn.XLOOKUP($K239&amp;"",COMPUTER!$B$3:$B$1009&amp;"",COMPUTER!$H$3:$H$1009,""),"Display",_xlfn.XLOOKUP($K239&amp;"",DISPLAY!$B$3:$B$1000&amp;"",DISPLAY!$H$3:$H$1000,""),"Network Device",_xlfn.XLOOKUP($K239&amp;"",'NETWORK-DEVICES'!$B$3:$B$987&amp;"",'NETWORK-DEVICES'!$H$3:$H$987,""),"Peripheral",_xlfn.XLOOKUP($K239&amp;"",PERIPHERAL!$B$3:$B$954&amp;"",PERIPHERAL!$H$3:$H$954,""),"Utilities",_xlfn.XLOOKUP($K239&amp;"",UTILITIES!$B$3:$B$953&amp;"",UTILITIES!$G$3:$G$953,""),"IOT",_xlfn.XLOOKUP($K239&amp;"",IOT!$B$3:$B$1012&amp;"",IOT!$H$3:$H$1012,""),"Server",_xlfn.XLOOKUP($K239&amp;"",SERVER!$B$3:$B$1009&amp;"",SERVER!$H$3:$H$1009,""),""),IF(TRIM(_xlpm.srcCat)&lt;&gt;TRIM($J239),"",_xlfn.SWITCH($I239,"Computer",_xlfn.XLOOKUP($K239&amp;"",COMPUTER!$B$3:$B$1009&amp;"",COMPUTER!$AM$3:$AM$1009,""),"Display",_xlfn.XLOOKUP($K239&amp;"",DISPLAY!$B$3:$B$1000&amp;"",DISPLAY!$V$3:$V$1000,""),"Network Device",_xlfn.XLOOKUP($K239&amp;"",'NETWORK-DEVICES'!$B$3:$B$987&amp;"",'NETWORK-DEVICES'!$AF$3:$AF$987,""),"Peripheral",_xlfn.XLOOKUP($K239&amp;"",PERIPHERAL!$B$3:$B$954&amp;"",PERIPHERAL!$Y$3:$Y$954,""),"Utilities",_xlfn.XLOOKUP($K239&amp;"",UTILITIES!$B$3:$B$953&amp;"",UTILITIES!$O$3:$O$953,""),"IOT",_xlfn.XLOOKUP($K239&amp;"",IOT!$B$3:$B$1012&amp;"",IOT!$AB$3:$AB$1012,""),"Server",_xlfn.XLOOKUP($K239&amp;"",SERVER!$B$3:$B$1009&amp;"",SERVER!$AB$3:$AB$1009,""),""))))</f>
        <v/>
      </c>
      <c r="R239" s="43" t="str">
        <f>IF(tbl_handover[[#This Row],[Asset Code]]="","",COUNTIF(tbl_handover[Asset Code],tbl_handover[[#This Row],[Asset Code]]))</f>
        <v/>
      </c>
    </row>
    <row r="240" spans="1:18" x14ac:dyDescent="0.25">
      <c r="A240" s="43" t="str">
        <f>IF(B240&lt;&gt;"",SUBTOTAL(3,$B$1:B239),"")</f>
        <v/>
      </c>
      <c r="C240" s="74"/>
      <c r="D240" s="74"/>
      <c r="G240" s="1"/>
      <c r="K240" s="42"/>
      <c r="L240" t="str" cm="1">
        <f t="array" ref="L240">IF($K240="","",_xlfn.SWITCH($I240,"Computer",_xlfn.XLOOKUP($K240&amp;"",COMPUTER!$B$3:$B$1009&amp;"",COMPUTER!$I$3:$I$1009,""),"Display",_xlfn.XLOOKUP($K240&amp;"",DISPLAY!$B$3:$B$1000&amp;"",DISPLAY!$J$3:$J$1000,""),"Network Device",_xlfn.XLOOKUP($K240&amp;"",'NETWORK-DEVICES'!$B$3:$B$987&amp;"",'NETWORK-DEVICES'!$I$3:$I$987,""),"Peripheral",_xlfn.XLOOKUP($K240&amp;"",PERIPHERAL!$B$3:$B$954&amp;"",PERIPHERAL!$I$3:$I$954,""),"Utilities",_xlfn.XLOOKUP($K240&amp;"",UTILITIES!$B$3:$B$953&amp;"",UTILITIES!$H$3:$H$953,""),"IOT",_xlfn.XLOOKUP($K240&amp;"",IOT!$B$3:$B$1012&amp;"",IOT!$I$3:$I$1012,""),"SERVER",_xlfn.XLOOKUP($K240&amp;"",SERVER!$B$3:$B$1009&amp;"",SERVER!$I$3:$I$1009,""),""))</f>
        <v/>
      </c>
      <c r="M240" t="str" cm="1">
        <f t="array" ref="M240">IF($K240="","",_xlfn.SWITCH($I240,"Computer",_xlfn.XLOOKUP($K240&amp;"",COMPUTER!$B$3:$B$1009&amp;"",COMPUTER!$J$3:$J$1009,""),"Display",_xlfn.XLOOKUP($K240&amp;"",DISPLAY!$B$3:$B$1000&amp;"",DISPLAY!$K$3:$K$1000,""),"Network Device",_xlfn.XLOOKUP($K240&amp;"",'NETWORK-DEVICES'!$B$3:$B$987&amp;"",'NETWORK-DEVICES'!$I$3:$I$987,""),"Peripheral",_xlfn.XLOOKUP($K240&amp;"",PERIPHERAL!$B$3:$B$954&amp;"",PERIPHERAL!$J$3:$J$954,""),"Utilities",_xlfn.XLOOKUP($K240&amp;"",UTILITIES!$B$3:$B$953&amp;"",UTILITIES!$I$3:$I$953,""),"IOT",_xlfn.XLOOKUP($K240&amp;"",IOT!$B$3:$B$1012&amp;"",IOT!$J$3:$J$1012,""),"Server",_xlfn.XLOOKUP($K240&amp;"",SERVER!$B$3:$B$1009&amp;"",SERVER!$J$3:$J$1009,""),""))</f>
        <v/>
      </c>
      <c r="N240" s="1" t="str" cm="1">
        <f t="array" ref="N240">IF(OR($K240="",$I240="",$J240=""),"",_xlfn.LET(_xlpm.srcCat,_xlfn.SWITCH($I240,"Computer",_xlfn.XLOOKUP($K240&amp;"",COMPUTER!$B$3:$B$1009&amp;"",COMPUTER!$H$3:$H$1009,""),"Display",_xlfn.XLOOKUP($K240&amp;"",DISPLAY!$B$3:$B$1000&amp;"",DISPLAY!$H$3:$H$1000,""),"Network Device",_xlfn.XLOOKUP($K240&amp;"",'NETWORK-DEVICES'!$B$3:$B$987&amp;"",'NETWORK-DEVICES'!$H$3:$H$987,""),"Peripheral",_xlfn.XLOOKUP($K240&amp;"",PERIPHERAL!$B$3:$B$954&amp;"",PERIPHERAL!$H$3:$H$954,""),"Utilities",_xlfn.XLOOKUP($K240&amp;"",UTILITIES!$B$3:$B$953&amp;"",UTILITIES!$G$3:$G$953,""),"IOT",_xlfn.XLOOKUP($K240&amp;"",IOT!$B$3:$B$1012&amp;"",IOT!$H$3:$H$1012,""),"Server",_xlfn.XLOOKUP($K240&amp;"",SERVER!$B$3:$B$1009&amp;"",SERVER!$H$3:$H$1009,""),""),IF(TRIM(_xlpm.srcCat)&lt;&gt;TRIM($J240),"",_xlfn.SWITCH($I240,"Computer",_xlfn.XLOOKUP($K240&amp;"",COMPUTER!$B$3:$B$1009&amp;"",COMPUTER!$K$3:$K$1009,""),"Display",_xlfn.XLOOKUP($K240&amp;"",DISPLAY!$B$3:$B$1000&amp;"",DISPLAY!$L$3:$L$1000,""),"Network Device",_xlfn.XLOOKUP($K240&amp;"",'NETWORK-DEVICES'!$B$3:$B$987&amp;"",'NETWORK-DEVICES'!$K$3:$K$987,""),"Peripheral",_xlfn.XLOOKUP($K240&amp;"",PERIPHERAL!$B$3:$B$954&amp;"",PERIPHERAL!$K$3:$K$954,""),"Utilities",_xlfn.XLOOKUP($K240&amp;"",UTILITIES!$B$3:$B$953&amp;"",UTILITIES!$J$3:$J$953,""),"IOT",_xlfn.XLOOKUP($K240&amp;"",IOT!$B$3:$B$1012&amp;"",IOT!$K$4:$K$1012,""),"Server",_xlfn.XLOOKUP($K240&amp;"",SERVER!$B$3:$B$1009&amp;"",SERVER!$K$3:$K$1009,""),""))))</f>
        <v/>
      </c>
      <c r="O240" s="1" t="str" cm="1">
        <f t="array" ref="O240">IF(OR($K240="",$I240="",$J240=""),"",_xlfn.LET(_xlpm.srcCat,_xlfn.SWITCH($I240,"Computer",_xlfn.XLOOKUP($K240&amp;"",COMPUTER!$B$3:$B$1009&amp;"",COMPUTER!$H$3:$H$1009,""),"Display",_xlfn.XLOOKUP($K240&amp;"",DISPLAY!$B$3:$B$1000&amp;"",DISPLAY!$H$3:$H$1000,""),"Network Device",_xlfn.XLOOKUP($K240&amp;"",'NETWORK-DEVICES'!$B$3:$B$987&amp;"",'NETWORK-DEVICES'!$H$3:$H$987,""),"Peripheral",_xlfn.XLOOKUP($K240&amp;"",PERIPHERAL!$B$3:$B$954&amp;"",PERIPHERAL!$H$3:$H$954,""),"Utilities",_xlfn.XLOOKUP($K240&amp;"",UTILITIES!$B$3:$B$953&amp;"",UTILITIES!$G$3:$G$953,""),"IOT",_xlfn.XLOOKUP($K240&amp;"",IOT!$B$3:$B$1012&amp;"",IOT!$H$3:$H$1012,""),"Server",_xlfn.XLOOKUP($K240&amp;"",SERVER!$B$3:$B$1009&amp;"",SERVER!$H$3:$H$1009,""),""),IF(TRIM(_xlpm.srcCat)&lt;&gt;TRIM($J240),"",_xlfn.SWITCH($I240,"Computer",_xlfn.XLOOKUP($K240&amp;"",COMPUTER!$B$3:$B$1009&amp;"",COMPUTER!$E$3:$E$1009,""),"Display",_xlfn.XLOOKUP($K240&amp;"",DISPLAY!$B$3:$B$1000&amp;"",DISPLAY!$E$3:$E$1000,""),"Network Device",_xlfn.XLOOKUP($K240&amp;"",'NETWORK-DEVICES'!$B$3:$B$987&amp;"",'NETWORK-DEVICES'!$E$3:$E$987,""),"Peripheral",_xlfn.XLOOKUP($K240&amp;"",PERIPHERAL!$B$3:$B$954&amp;"",PERIPHERAL!$E$3:$E$954,""),"Utilities",_xlfn.XLOOKUP($K240&amp;"",UTILITIES!$B$3:$B$953&amp;"",UTILITIES!$E$3:$E$953,""),"IOT",_xlfn.XLOOKUP($K240&amp;"",IOT!$B$3:$B$1012&amp;"",IOT!$E$3:$E$1012,""),"Server",_xlfn.XLOOKUP($K240&amp;"",SERVER!$B$3:$B$1009&amp;"",SERVER!$E$3:$E$1009,""),""))))</f>
        <v/>
      </c>
      <c r="Q240" s="1" t="str" cm="1">
        <f t="array" ref="Q240">IF(OR($K240="",$I240="",$J240=""),"",_xlfn.LET(_xlpm.srcCat,_xlfn.SWITCH($I240,"Computer",_xlfn.XLOOKUP($K240&amp;"",COMPUTER!$B$3:$B$1009&amp;"",COMPUTER!$H$3:$H$1009,""),"Display",_xlfn.XLOOKUP($K240&amp;"",DISPLAY!$B$3:$B$1000&amp;"",DISPLAY!$H$3:$H$1000,""),"Network Device",_xlfn.XLOOKUP($K240&amp;"",'NETWORK-DEVICES'!$B$3:$B$987&amp;"",'NETWORK-DEVICES'!$H$3:$H$987,""),"Peripheral",_xlfn.XLOOKUP($K240&amp;"",PERIPHERAL!$B$3:$B$954&amp;"",PERIPHERAL!$H$3:$H$954,""),"Utilities",_xlfn.XLOOKUP($K240&amp;"",UTILITIES!$B$3:$B$953&amp;"",UTILITIES!$G$3:$G$953,""),"IOT",_xlfn.XLOOKUP($K240&amp;"",IOT!$B$3:$B$1012&amp;"",IOT!$H$3:$H$1012,""),"Server",_xlfn.XLOOKUP($K240&amp;"",SERVER!$B$3:$B$1009&amp;"",SERVER!$H$3:$H$1009,""),""),IF(TRIM(_xlpm.srcCat)&lt;&gt;TRIM($J240),"",_xlfn.SWITCH($I240,"Computer",_xlfn.XLOOKUP($K240&amp;"",COMPUTER!$B$3:$B$1009&amp;"",COMPUTER!$AM$3:$AM$1009,""),"Display",_xlfn.XLOOKUP($K240&amp;"",DISPLAY!$B$3:$B$1000&amp;"",DISPLAY!$V$3:$V$1000,""),"Network Device",_xlfn.XLOOKUP($K240&amp;"",'NETWORK-DEVICES'!$B$3:$B$987&amp;"",'NETWORK-DEVICES'!$AF$3:$AF$987,""),"Peripheral",_xlfn.XLOOKUP($K240&amp;"",PERIPHERAL!$B$3:$B$954&amp;"",PERIPHERAL!$Y$3:$Y$954,""),"Utilities",_xlfn.XLOOKUP($K240&amp;"",UTILITIES!$B$3:$B$953&amp;"",UTILITIES!$O$3:$O$953,""),"IOT",_xlfn.XLOOKUP($K240&amp;"",IOT!$B$3:$B$1012&amp;"",IOT!$AB$3:$AB$1012,""),"Server",_xlfn.XLOOKUP($K240&amp;"",SERVER!$B$3:$B$1009&amp;"",SERVER!$AB$3:$AB$1009,""),""))))</f>
        <v/>
      </c>
      <c r="R240" s="43" t="str">
        <f>IF(tbl_handover[[#This Row],[Asset Code]]="","",COUNTIF(tbl_handover[Asset Code],tbl_handover[[#This Row],[Asset Code]]))</f>
        <v/>
      </c>
    </row>
    <row r="241" spans="1:18" x14ac:dyDescent="0.25">
      <c r="A241" s="43" t="str">
        <f>IF(B241&lt;&gt;"",SUBTOTAL(3,$B$1:B240),"")</f>
        <v/>
      </c>
      <c r="C241" s="74"/>
      <c r="D241" s="74"/>
      <c r="G241" s="1"/>
      <c r="K241" s="42"/>
      <c r="L241" t="str" cm="1">
        <f t="array" ref="L241">IF($K241="","",_xlfn.SWITCH($I241,"Computer",_xlfn.XLOOKUP($K241&amp;"",COMPUTER!$B$3:$B$1009&amp;"",COMPUTER!$I$3:$I$1009,""),"Display",_xlfn.XLOOKUP($K241&amp;"",DISPLAY!$B$3:$B$1000&amp;"",DISPLAY!$J$3:$J$1000,""),"Network Device",_xlfn.XLOOKUP($K241&amp;"",'NETWORK-DEVICES'!$B$3:$B$987&amp;"",'NETWORK-DEVICES'!$I$3:$I$987,""),"Peripheral",_xlfn.XLOOKUP($K241&amp;"",PERIPHERAL!$B$3:$B$954&amp;"",PERIPHERAL!$I$3:$I$954,""),"Utilities",_xlfn.XLOOKUP($K241&amp;"",UTILITIES!$B$3:$B$953&amp;"",UTILITIES!$H$3:$H$953,""),"IOT",_xlfn.XLOOKUP($K241&amp;"",IOT!$B$3:$B$1012&amp;"",IOT!$I$3:$I$1012,""),"SERVER",_xlfn.XLOOKUP($K241&amp;"",SERVER!$B$3:$B$1009&amp;"",SERVER!$I$3:$I$1009,""),""))</f>
        <v/>
      </c>
      <c r="M241" t="str" cm="1">
        <f t="array" ref="M241">IF($K241="","",_xlfn.SWITCH($I241,"Computer",_xlfn.XLOOKUP($K241&amp;"",COMPUTER!$B$3:$B$1009&amp;"",COMPUTER!$J$3:$J$1009,""),"Display",_xlfn.XLOOKUP($K241&amp;"",DISPLAY!$B$3:$B$1000&amp;"",DISPLAY!$K$3:$K$1000,""),"Network Device",_xlfn.XLOOKUP($K241&amp;"",'NETWORK-DEVICES'!$B$3:$B$987&amp;"",'NETWORK-DEVICES'!$I$3:$I$987,""),"Peripheral",_xlfn.XLOOKUP($K241&amp;"",PERIPHERAL!$B$3:$B$954&amp;"",PERIPHERAL!$J$3:$J$954,""),"Utilities",_xlfn.XLOOKUP($K241&amp;"",UTILITIES!$B$3:$B$953&amp;"",UTILITIES!$I$3:$I$953,""),"IOT",_xlfn.XLOOKUP($K241&amp;"",IOT!$B$3:$B$1012&amp;"",IOT!$J$3:$J$1012,""),"Server",_xlfn.XLOOKUP($K241&amp;"",SERVER!$B$3:$B$1009&amp;"",SERVER!$J$3:$J$1009,""),""))</f>
        <v/>
      </c>
      <c r="N241" s="1" t="str" cm="1">
        <f t="array" ref="N241">IF(OR($K241="",$I241="",$J241=""),"",_xlfn.LET(_xlpm.srcCat,_xlfn.SWITCH($I241,"Computer",_xlfn.XLOOKUP($K241&amp;"",COMPUTER!$B$3:$B$1009&amp;"",COMPUTER!$H$3:$H$1009,""),"Display",_xlfn.XLOOKUP($K241&amp;"",DISPLAY!$B$3:$B$1000&amp;"",DISPLAY!$H$3:$H$1000,""),"Network Device",_xlfn.XLOOKUP($K241&amp;"",'NETWORK-DEVICES'!$B$3:$B$987&amp;"",'NETWORK-DEVICES'!$H$3:$H$987,""),"Peripheral",_xlfn.XLOOKUP($K241&amp;"",PERIPHERAL!$B$3:$B$954&amp;"",PERIPHERAL!$H$3:$H$954,""),"Utilities",_xlfn.XLOOKUP($K241&amp;"",UTILITIES!$B$3:$B$953&amp;"",UTILITIES!$G$3:$G$953,""),"IOT",_xlfn.XLOOKUP($K241&amp;"",IOT!$B$3:$B$1012&amp;"",IOT!$H$3:$H$1012,""),"Server",_xlfn.XLOOKUP($K241&amp;"",SERVER!$B$3:$B$1009&amp;"",SERVER!$H$3:$H$1009,""),""),IF(TRIM(_xlpm.srcCat)&lt;&gt;TRIM($J241),"",_xlfn.SWITCH($I241,"Computer",_xlfn.XLOOKUP($K241&amp;"",COMPUTER!$B$3:$B$1009&amp;"",COMPUTER!$K$3:$K$1009,""),"Display",_xlfn.XLOOKUP($K241&amp;"",DISPLAY!$B$3:$B$1000&amp;"",DISPLAY!$L$3:$L$1000,""),"Network Device",_xlfn.XLOOKUP($K241&amp;"",'NETWORK-DEVICES'!$B$3:$B$987&amp;"",'NETWORK-DEVICES'!$K$3:$K$987,""),"Peripheral",_xlfn.XLOOKUP($K241&amp;"",PERIPHERAL!$B$3:$B$954&amp;"",PERIPHERAL!$K$3:$K$954,""),"Utilities",_xlfn.XLOOKUP($K241&amp;"",UTILITIES!$B$3:$B$953&amp;"",UTILITIES!$J$3:$J$953,""),"IOT",_xlfn.XLOOKUP($K241&amp;"",IOT!$B$3:$B$1012&amp;"",IOT!$K$4:$K$1012,""),"Server",_xlfn.XLOOKUP($K241&amp;"",SERVER!$B$3:$B$1009&amp;"",SERVER!$K$3:$K$1009,""),""))))</f>
        <v/>
      </c>
      <c r="O241" s="1" t="str" cm="1">
        <f t="array" ref="O241">IF(OR($K241="",$I241="",$J241=""),"",_xlfn.LET(_xlpm.srcCat,_xlfn.SWITCH($I241,"Computer",_xlfn.XLOOKUP($K241&amp;"",COMPUTER!$B$3:$B$1009&amp;"",COMPUTER!$H$3:$H$1009,""),"Display",_xlfn.XLOOKUP($K241&amp;"",DISPLAY!$B$3:$B$1000&amp;"",DISPLAY!$H$3:$H$1000,""),"Network Device",_xlfn.XLOOKUP($K241&amp;"",'NETWORK-DEVICES'!$B$3:$B$987&amp;"",'NETWORK-DEVICES'!$H$3:$H$987,""),"Peripheral",_xlfn.XLOOKUP($K241&amp;"",PERIPHERAL!$B$3:$B$954&amp;"",PERIPHERAL!$H$3:$H$954,""),"Utilities",_xlfn.XLOOKUP($K241&amp;"",UTILITIES!$B$3:$B$953&amp;"",UTILITIES!$G$3:$G$953,""),"IOT",_xlfn.XLOOKUP($K241&amp;"",IOT!$B$3:$B$1012&amp;"",IOT!$H$3:$H$1012,""),"Server",_xlfn.XLOOKUP($K241&amp;"",SERVER!$B$3:$B$1009&amp;"",SERVER!$H$3:$H$1009,""),""),IF(TRIM(_xlpm.srcCat)&lt;&gt;TRIM($J241),"",_xlfn.SWITCH($I241,"Computer",_xlfn.XLOOKUP($K241&amp;"",COMPUTER!$B$3:$B$1009&amp;"",COMPUTER!$E$3:$E$1009,""),"Display",_xlfn.XLOOKUP($K241&amp;"",DISPLAY!$B$3:$B$1000&amp;"",DISPLAY!$E$3:$E$1000,""),"Network Device",_xlfn.XLOOKUP($K241&amp;"",'NETWORK-DEVICES'!$B$3:$B$987&amp;"",'NETWORK-DEVICES'!$E$3:$E$987,""),"Peripheral",_xlfn.XLOOKUP($K241&amp;"",PERIPHERAL!$B$3:$B$954&amp;"",PERIPHERAL!$E$3:$E$954,""),"Utilities",_xlfn.XLOOKUP($K241&amp;"",UTILITIES!$B$3:$B$953&amp;"",UTILITIES!$E$3:$E$953,""),"IOT",_xlfn.XLOOKUP($K241&amp;"",IOT!$B$3:$B$1012&amp;"",IOT!$E$3:$E$1012,""),"Server",_xlfn.XLOOKUP($K241&amp;"",SERVER!$B$3:$B$1009&amp;"",SERVER!$E$3:$E$1009,""),""))))</f>
        <v/>
      </c>
      <c r="Q241" s="1" t="str" cm="1">
        <f t="array" ref="Q241">IF(OR($K241="",$I241="",$J241=""),"",_xlfn.LET(_xlpm.srcCat,_xlfn.SWITCH($I241,"Computer",_xlfn.XLOOKUP($K241&amp;"",COMPUTER!$B$3:$B$1009&amp;"",COMPUTER!$H$3:$H$1009,""),"Display",_xlfn.XLOOKUP($K241&amp;"",DISPLAY!$B$3:$B$1000&amp;"",DISPLAY!$H$3:$H$1000,""),"Network Device",_xlfn.XLOOKUP($K241&amp;"",'NETWORK-DEVICES'!$B$3:$B$987&amp;"",'NETWORK-DEVICES'!$H$3:$H$987,""),"Peripheral",_xlfn.XLOOKUP($K241&amp;"",PERIPHERAL!$B$3:$B$954&amp;"",PERIPHERAL!$H$3:$H$954,""),"Utilities",_xlfn.XLOOKUP($K241&amp;"",UTILITIES!$B$3:$B$953&amp;"",UTILITIES!$G$3:$G$953,""),"IOT",_xlfn.XLOOKUP($K241&amp;"",IOT!$B$3:$B$1012&amp;"",IOT!$H$3:$H$1012,""),"Server",_xlfn.XLOOKUP($K241&amp;"",SERVER!$B$3:$B$1009&amp;"",SERVER!$H$3:$H$1009,""),""),IF(TRIM(_xlpm.srcCat)&lt;&gt;TRIM($J241),"",_xlfn.SWITCH($I241,"Computer",_xlfn.XLOOKUP($K241&amp;"",COMPUTER!$B$3:$B$1009&amp;"",COMPUTER!$AM$3:$AM$1009,""),"Display",_xlfn.XLOOKUP($K241&amp;"",DISPLAY!$B$3:$B$1000&amp;"",DISPLAY!$V$3:$V$1000,""),"Network Device",_xlfn.XLOOKUP($K241&amp;"",'NETWORK-DEVICES'!$B$3:$B$987&amp;"",'NETWORK-DEVICES'!$AF$3:$AF$987,""),"Peripheral",_xlfn.XLOOKUP($K241&amp;"",PERIPHERAL!$B$3:$B$954&amp;"",PERIPHERAL!$Y$3:$Y$954,""),"Utilities",_xlfn.XLOOKUP($K241&amp;"",UTILITIES!$B$3:$B$953&amp;"",UTILITIES!$O$3:$O$953,""),"IOT",_xlfn.XLOOKUP($K241&amp;"",IOT!$B$3:$B$1012&amp;"",IOT!$AB$3:$AB$1012,""),"Server",_xlfn.XLOOKUP($K241&amp;"",SERVER!$B$3:$B$1009&amp;"",SERVER!$AB$3:$AB$1009,""),""))))</f>
        <v/>
      </c>
      <c r="R241" s="43" t="str">
        <f>IF(tbl_handover[[#This Row],[Asset Code]]="","",COUNTIF(tbl_handover[Asset Code],tbl_handover[[#This Row],[Asset Code]]))</f>
        <v/>
      </c>
    </row>
    <row r="242" spans="1:18" x14ac:dyDescent="0.25">
      <c r="A242" s="43" t="str">
        <f>IF(B242&lt;&gt;"",SUBTOTAL(3,$B$1:B241),"")</f>
        <v/>
      </c>
      <c r="C242" s="74"/>
      <c r="D242" s="74"/>
      <c r="G242" s="1"/>
      <c r="K242" s="42"/>
      <c r="L242" t="str" cm="1">
        <f t="array" ref="L242">IF($K242="","",_xlfn.SWITCH($I242,"Computer",_xlfn.XLOOKUP($K242&amp;"",COMPUTER!$B$3:$B$1009&amp;"",COMPUTER!$I$3:$I$1009,""),"Display",_xlfn.XLOOKUP($K242&amp;"",DISPLAY!$B$3:$B$1000&amp;"",DISPLAY!$J$3:$J$1000,""),"Network Device",_xlfn.XLOOKUP($K242&amp;"",'NETWORK-DEVICES'!$B$3:$B$987&amp;"",'NETWORK-DEVICES'!$I$3:$I$987,""),"Peripheral",_xlfn.XLOOKUP($K242&amp;"",PERIPHERAL!$B$3:$B$954&amp;"",PERIPHERAL!$I$3:$I$954,""),"Utilities",_xlfn.XLOOKUP($K242&amp;"",UTILITIES!$B$3:$B$953&amp;"",UTILITIES!$H$3:$H$953,""),"IOT",_xlfn.XLOOKUP($K242&amp;"",IOT!$B$3:$B$1012&amp;"",IOT!$I$3:$I$1012,""),"SERVER",_xlfn.XLOOKUP($K242&amp;"",SERVER!$B$3:$B$1009&amp;"",SERVER!$I$3:$I$1009,""),""))</f>
        <v/>
      </c>
      <c r="M242" t="str" cm="1">
        <f t="array" ref="M242">IF($K242="","",_xlfn.SWITCH($I242,"Computer",_xlfn.XLOOKUP($K242&amp;"",COMPUTER!$B$3:$B$1009&amp;"",COMPUTER!$J$3:$J$1009,""),"Display",_xlfn.XLOOKUP($K242&amp;"",DISPLAY!$B$3:$B$1000&amp;"",DISPLAY!$K$3:$K$1000,""),"Network Device",_xlfn.XLOOKUP($K242&amp;"",'NETWORK-DEVICES'!$B$3:$B$987&amp;"",'NETWORK-DEVICES'!$I$3:$I$987,""),"Peripheral",_xlfn.XLOOKUP($K242&amp;"",PERIPHERAL!$B$3:$B$954&amp;"",PERIPHERAL!$J$3:$J$954,""),"Utilities",_xlfn.XLOOKUP($K242&amp;"",UTILITIES!$B$3:$B$953&amp;"",UTILITIES!$I$3:$I$953,""),"IOT",_xlfn.XLOOKUP($K242&amp;"",IOT!$B$3:$B$1012&amp;"",IOT!$J$3:$J$1012,""),"Server",_xlfn.XLOOKUP($K242&amp;"",SERVER!$B$3:$B$1009&amp;"",SERVER!$J$3:$J$1009,""),""))</f>
        <v/>
      </c>
      <c r="N242" s="1" t="str" cm="1">
        <f t="array" ref="N242">IF(OR($K242="",$I242="",$J242=""),"",_xlfn.LET(_xlpm.srcCat,_xlfn.SWITCH($I242,"Computer",_xlfn.XLOOKUP($K242&amp;"",COMPUTER!$B$3:$B$1009&amp;"",COMPUTER!$H$3:$H$1009,""),"Display",_xlfn.XLOOKUP($K242&amp;"",DISPLAY!$B$3:$B$1000&amp;"",DISPLAY!$H$3:$H$1000,""),"Network Device",_xlfn.XLOOKUP($K242&amp;"",'NETWORK-DEVICES'!$B$3:$B$987&amp;"",'NETWORK-DEVICES'!$H$3:$H$987,""),"Peripheral",_xlfn.XLOOKUP($K242&amp;"",PERIPHERAL!$B$3:$B$954&amp;"",PERIPHERAL!$H$3:$H$954,""),"Utilities",_xlfn.XLOOKUP($K242&amp;"",UTILITIES!$B$3:$B$953&amp;"",UTILITIES!$G$3:$G$953,""),"IOT",_xlfn.XLOOKUP($K242&amp;"",IOT!$B$3:$B$1012&amp;"",IOT!$H$3:$H$1012,""),"Server",_xlfn.XLOOKUP($K242&amp;"",SERVER!$B$3:$B$1009&amp;"",SERVER!$H$3:$H$1009,""),""),IF(TRIM(_xlpm.srcCat)&lt;&gt;TRIM($J242),"",_xlfn.SWITCH($I242,"Computer",_xlfn.XLOOKUP($K242&amp;"",COMPUTER!$B$3:$B$1009&amp;"",COMPUTER!$K$3:$K$1009,""),"Display",_xlfn.XLOOKUP($K242&amp;"",DISPLAY!$B$3:$B$1000&amp;"",DISPLAY!$L$3:$L$1000,""),"Network Device",_xlfn.XLOOKUP($K242&amp;"",'NETWORK-DEVICES'!$B$3:$B$987&amp;"",'NETWORK-DEVICES'!$K$3:$K$987,""),"Peripheral",_xlfn.XLOOKUP($K242&amp;"",PERIPHERAL!$B$3:$B$954&amp;"",PERIPHERAL!$K$3:$K$954,""),"Utilities",_xlfn.XLOOKUP($K242&amp;"",UTILITIES!$B$3:$B$953&amp;"",UTILITIES!$J$3:$J$953,""),"IOT",_xlfn.XLOOKUP($K242&amp;"",IOT!$B$3:$B$1012&amp;"",IOT!$K$4:$K$1012,""),"Server",_xlfn.XLOOKUP($K242&amp;"",SERVER!$B$3:$B$1009&amp;"",SERVER!$K$3:$K$1009,""),""))))</f>
        <v/>
      </c>
      <c r="O242" s="1" t="str" cm="1">
        <f t="array" ref="O242">IF(OR($K242="",$I242="",$J242=""),"",_xlfn.LET(_xlpm.srcCat,_xlfn.SWITCH($I242,"Computer",_xlfn.XLOOKUP($K242&amp;"",COMPUTER!$B$3:$B$1009&amp;"",COMPUTER!$H$3:$H$1009,""),"Display",_xlfn.XLOOKUP($K242&amp;"",DISPLAY!$B$3:$B$1000&amp;"",DISPLAY!$H$3:$H$1000,""),"Network Device",_xlfn.XLOOKUP($K242&amp;"",'NETWORK-DEVICES'!$B$3:$B$987&amp;"",'NETWORK-DEVICES'!$H$3:$H$987,""),"Peripheral",_xlfn.XLOOKUP($K242&amp;"",PERIPHERAL!$B$3:$B$954&amp;"",PERIPHERAL!$H$3:$H$954,""),"Utilities",_xlfn.XLOOKUP($K242&amp;"",UTILITIES!$B$3:$B$953&amp;"",UTILITIES!$G$3:$G$953,""),"IOT",_xlfn.XLOOKUP($K242&amp;"",IOT!$B$3:$B$1012&amp;"",IOT!$H$3:$H$1012,""),"Server",_xlfn.XLOOKUP($K242&amp;"",SERVER!$B$3:$B$1009&amp;"",SERVER!$H$3:$H$1009,""),""),IF(TRIM(_xlpm.srcCat)&lt;&gt;TRIM($J242),"",_xlfn.SWITCH($I242,"Computer",_xlfn.XLOOKUP($K242&amp;"",COMPUTER!$B$3:$B$1009&amp;"",COMPUTER!$E$3:$E$1009,""),"Display",_xlfn.XLOOKUP($K242&amp;"",DISPLAY!$B$3:$B$1000&amp;"",DISPLAY!$E$3:$E$1000,""),"Network Device",_xlfn.XLOOKUP($K242&amp;"",'NETWORK-DEVICES'!$B$3:$B$987&amp;"",'NETWORK-DEVICES'!$E$3:$E$987,""),"Peripheral",_xlfn.XLOOKUP($K242&amp;"",PERIPHERAL!$B$3:$B$954&amp;"",PERIPHERAL!$E$3:$E$954,""),"Utilities",_xlfn.XLOOKUP($K242&amp;"",UTILITIES!$B$3:$B$953&amp;"",UTILITIES!$E$3:$E$953,""),"IOT",_xlfn.XLOOKUP($K242&amp;"",IOT!$B$3:$B$1012&amp;"",IOT!$E$3:$E$1012,""),"Server",_xlfn.XLOOKUP($K242&amp;"",SERVER!$B$3:$B$1009&amp;"",SERVER!$E$3:$E$1009,""),""))))</f>
        <v/>
      </c>
      <c r="Q242" s="1" t="str" cm="1">
        <f t="array" ref="Q242">IF(OR($K242="",$I242="",$J242=""),"",_xlfn.LET(_xlpm.srcCat,_xlfn.SWITCH($I242,"Computer",_xlfn.XLOOKUP($K242&amp;"",COMPUTER!$B$3:$B$1009&amp;"",COMPUTER!$H$3:$H$1009,""),"Display",_xlfn.XLOOKUP($K242&amp;"",DISPLAY!$B$3:$B$1000&amp;"",DISPLAY!$H$3:$H$1000,""),"Network Device",_xlfn.XLOOKUP($K242&amp;"",'NETWORK-DEVICES'!$B$3:$B$987&amp;"",'NETWORK-DEVICES'!$H$3:$H$987,""),"Peripheral",_xlfn.XLOOKUP($K242&amp;"",PERIPHERAL!$B$3:$B$954&amp;"",PERIPHERAL!$H$3:$H$954,""),"Utilities",_xlfn.XLOOKUP($K242&amp;"",UTILITIES!$B$3:$B$953&amp;"",UTILITIES!$G$3:$G$953,""),"IOT",_xlfn.XLOOKUP($K242&amp;"",IOT!$B$3:$B$1012&amp;"",IOT!$H$3:$H$1012,""),"Server",_xlfn.XLOOKUP($K242&amp;"",SERVER!$B$3:$B$1009&amp;"",SERVER!$H$3:$H$1009,""),""),IF(TRIM(_xlpm.srcCat)&lt;&gt;TRIM($J242),"",_xlfn.SWITCH($I242,"Computer",_xlfn.XLOOKUP($K242&amp;"",COMPUTER!$B$3:$B$1009&amp;"",COMPUTER!$AM$3:$AM$1009,""),"Display",_xlfn.XLOOKUP($K242&amp;"",DISPLAY!$B$3:$B$1000&amp;"",DISPLAY!$V$3:$V$1000,""),"Network Device",_xlfn.XLOOKUP($K242&amp;"",'NETWORK-DEVICES'!$B$3:$B$987&amp;"",'NETWORK-DEVICES'!$AF$3:$AF$987,""),"Peripheral",_xlfn.XLOOKUP($K242&amp;"",PERIPHERAL!$B$3:$B$954&amp;"",PERIPHERAL!$Y$3:$Y$954,""),"Utilities",_xlfn.XLOOKUP($K242&amp;"",UTILITIES!$B$3:$B$953&amp;"",UTILITIES!$O$3:$O$953,""),"IOT",_xlfn.XLOOKUP($K242&amp;"",IOT!$B$3:$B$1012&amp;"",IOT!$AB$3:$AB$1012,""),"Server",_xlfn.XLOOKUP($K242&amp;"",SERVER!$B$3:$B$1009&amp;"",SERVER!$AB$3:$AB$1009,""),""))))</f>
        <v/>
      </c>
      <c r="R242" s="43" t="str">
        <f>IF(tbl_handover[[#This Row],[Asset Code]]="","",COUNTIF(tbl_handover[Asset Code],tbl_handover[[#This Row],[Asset Code]]))</f>
        <v/>
      </c>
    </row>
    <row r="243" spans="1:18" x14ac:dyDescent="0.25">
      <c r="A243" s="43" t="str">
        <f>IF(B243&lt;&gt;"",SUBTOTAL(3,$B$1:B242),"")</f>
        <v/>
      </c>
      <c r="C243" s="74"/>
      <c r="D243" s="74"/>
      <c r="G243" s="1"/>
      <c r="K243" s="42"/>
      <c r="L243" t="str" cm="1">
        <f t="array" ref="L243">IF($K243="","",_xlfn.SWITCH($I243,"Computer",_xlfn.XLOOKUP($K243&amp;"",COMPUTER!$B$3:$B$1009&amp;"",COMPUTER!$I$3:$I$1009,""),"Display",_xlfn.XLOOKUP($K243&amp;"",DISPLAY!$B$3:$B$1000&amp;"",DISPLAY!$J$3:$J$1000,""),"Network Device",_xlfn.XLOOKUP($K243&amp;"",'NETWORK-DEVICES'!$B$3:$B$987&amp;"",'NETWORK-DEVICES'!$I$3:$I$987,""),"Peripheral",_xlfn.XLOOKUP($K243&amp;"",PERIPHERAL!$B$3:$B$954&amp;"",PERIPHERAL!$I$3:$I$954,""),"Utilities",_xlfn.XLOOKUP($K243&amp;"",UTILITIES!$B$3:$B$953&amp;"",UTILITIES!$H$3:$H$953,""),"IOT",_xlfn.XLOOKUP($K243&amp;"",IOT!$B$3:$B$1012&amp;"",IOT!$I$3:$I$1012,""),"SERVER",_xlfn.XLOOKUP($K243&amp;"",SERVER!$B$3:$B$1009&amp;"",SERVER!$I$3:$I$1009,""),""))</f>
        <v/>
      </c>
      <c r="M243" t="str" cm="1">
        <f t="array" ref="M243">IF($K243="","",_xlfn.SWITCH($I243,"Computer",_xlfn.XLOOKUP($K243&amp;"",COMPUTER!$B$3:$B$1009&amp;"",COMPUTER!$J$3:$J$1009,""),"Display",_xlfn.XLOOKUP($K243&amp;"",DISPLAY!$B$3:$B$1000&amp;"",DISPLAY!$K$3:$K$1000,""),"Network Device",_xlfn.XLOOKUP($K243&amp;"",'NETWORK-DEVICES'!$B$3:$B$987&amp;"",'NETWORK-DEVICES'!$I$3:$I$987,""),"Peripheral",_xlfn.XLOOKUP($K243&amp;"",PERIPHERAL!$B$3:$B$954&amp;"",PERIPHERAL!$J$3:$J$954,""),"Utilities",_xlfn.XLOOKUP($K243&amp;"",UTILITIES!$B$3:$B$953&amp;"",UTILITIES!$I$3:$I$953,""),"IOT",_xlfn.XLOOKUP($K243&amp;"",IOT!$B$3:$B$1012&amp;"",IOT!$J$3:$J$1012,""),"Server",_xlfn.XLOOKUP($K243&amp;"",SERVER!$B$3:$B$1009&amp;"",SERVER!$J$3:$J$1009,""),""))</f>
        <v/>
      </c>
      <c r="N243" s="1" t="str" cm="1">
        <f t="array" ref="N243">IF(OR($K243="",$I243="",$J243=""),"",_xlfn.LET(_xlpm.srcCat,_xlfn.SWITCH($I243,"Computer",_xlfn.XLOOKUP($K243&amp;"",COMPUTER!$B$3:$B$1009&amp;"",COMPUTER!$H$3:$H$1009,""),"Display",_xlfn.XLOOKUP($K243&amp;"",DISPLAY!$B$3:$B$1000&amp;"",DISPLAY!$H$3:$H$1000,""),"Network Device",_xlfn.XLOOKUP($K243&amp;"",'NETWORK-DEVICES'!$B$3:$B$987&amp;"",'NETWORK-DEVICES'!$H$3:$H$987,""),"Peripheral",_xlfn.XLOOKUP($K243&amp;"",PERIPHERAL!$B$3:$B$954&amp;"",PERIPHERAL!$H$3:$H$954,""),"Utilities",_xlfn.XLOOKUP($K243&amp;"",UTILITIES!$B$3:$B$953&amp;"",UTILITIES!$G$3:$G$953,""),"IOT",_xlfn.XLOOKUP($K243&amp;"",IOT!$B$3:$B$1012&amp;"",IOT!$H$3:$H$1012,""),"Server",_xlfn.XLOOKUP($K243&amp;"",SERVER!$B$3:$B$1009&amp;"",SERVER!$H$3:$H$1009,""),""),IF(TRIM(_xlpm.srcCat)&lt;&gt;TRIM($J243),"",_xlfn.SWITCH($I243,"Computer",_xlfn.XLOOKUP($K243&amp;"",COMPUTER!$B$3:$B$1009&amp;"",COMPUTER!$K$3:$K$1009,""),"Display",_xlfn.XLOOKUP($K243&amp;"",DISPLAY!$B$3:$B$1000&amp;"",DISPLAY!$L$3:$L$1000,""),"Network Device",_xlfn.XLOOKUP($K243&amp;"",'NETWORK-DEVICES'!$B$3:$B$987&amp;"",'NETWORK-DEVICES'!$K$3:$K$987,""),"Peripheral",_xlfn.XLOOKUP($K243&amp;"",PERIPHERAL!$B$3:$B$954&amp;"",PERIPHERAL!$K$3:$K$954,""),"Utilities",_xlfn.XLOOKUP($K243&amp;"",UTILITIES!$B$3:$B$953&amp;"",UTILITIES!$J$3:$J$953,""),"IOT",_xlfn.XLOOKUP($K243&amp;"",IOT!$B$3:$B$1012&amp;"",IOT!$K$4:$K$1012,""),"Server",_xlfn.XLOOKUP($K243&amp;"",SERVER!$B$3:$B$1009&amp;"",SERVER!$K$3:$K$1009,""),""))))</f>
        <v/>
      </c>
      <c r="O243" s="1" t="str" cm="1">
        <f t="array" ref="O243">IF(OR($K243="",$I243="",$J243=""),"",_xlfn.LET(_xlpm.srcCat,_xlfn.SWITCH($I243,"Computer",_xlfn.XLOOKUP($K243&amp;"",COMPUTER!$B$3:$B$1009&amp;"",COMPUTER!$H$3:$H$1009,""),"Display",_xlfn.XLOOKUP($K243&amp;"",DISPLAY!$B$3:$B$1000&amp;"",DISPLAY!$H$3:$H$1000,""),"Network Device",_xlfn.XLOOKUP($K243&amp;"",'NETWORK-DEVICES'!$B$3:$B$987&amp;"",'NETWORK-DEVICES'!$H$3:$H$987,""),"Peripheral",_xlfn.XLOOKUP($K243&amp;"",PERIPHERAL!$B$3:$B$954&amp;"",PERIPHERAL!$H$3:$H$954,""),"Utilities",_xlfn.XLOOKUP($K243&amp;"",UTILITIES!$B$3:$B$953&amp;"",UTILITIES!$G$3:$G$953,""),"IOT",_xlfn.XLOOKUP($K243&amp;"",IOT!$B$3:$B$1012&amp;"",IOT!$H$3:$H$1012,""),"Server",_xlfn.XLOOKUP($K243&amp;"",SERVER!$B$3:$B$1009&amp;"",SERVER!$H$3:$H$1009,""),""),IF(TRIM(_xlpm.srcCat)&lt;&gt;TRIM($J243),"",_xlfn.SWITCH($I243,"Computer",_xlfn.XLOOKUP($K243&amp;"",COMPUTER!$B$3:$B$1009&amp;"",COMPUTER!$E$3:$E$1009,""),"Display",_xlfn.XLOOKUP($K243&amp;"",DISPLAY!$B$3:$B$1000&amp;"",DISPLAY!$E$3:$E$1000,""),"Network Device",_xlfn.XLOOKUP($K243&amp;"",'NETWORK-DEVICES'!$B$3:$B$987&amp;"",'NETWORK-DEVICES'!$E$3:$E$987,""),"Peripheral",_xlfn.XLOOKUP($K243&amp;"",PERIPHERAL!$B$3:$B$954&amp;"",PERIPHERAL!$E$3:$E$954,""),"Utilities",_xlfn.XLOOKUP($K243&amp;"",UTILITIES!$B$3:$B$953&amp;"",UTILITIES!$E$3:$E$953,""),"IOT",_xlfn.XLOOKUP($K243&amp;"",IOT!$B$3:$B$1012&amp;"",IOT!$E$3:$E$1012,""),"Server",_xlfn.XLOOKUP($K243&amp;"",SERVER!$B$3:$B$1009&amp;"",SERVER!$E$3:$E$1009,""),""))))</f>
        <v/>
      </c>
      <c r="Q243" s="1" t="str" cm="1">
        <f t="array" ref="Q243">IF(OR($K243="",$I243="",$J243=""),"",_xlfn.LET(_xlpm.srcCat,_xlfn.SWITCH($I243,"Computer",_xlfn.XLOOKUP($K243&amp;"",COMPUTER!$B$3:$B$1009&amp;"",COMPUTER!$H$3:$H$1009,""),"Display",_xlfn.XLOOKUP($K243&amp;"",DISPLAY!$B$3:$B$1000&amp;"",DISPLAY!$H$3:$H$1000,""),"Network Device",_xlfn.XLOOKUP($K243&amp;"",'NETWORK-DEVICES'!$B$3:$B$987&amp;"",'NETWORK-DEVICES'!$H$3:$H$987,""),"Peripheral",_xlfn.XLOOKUP($K243&amp;"",PERIPHERAL!$B$3:$B$954&amp;"",PERIPHERAL!$H$3:$H$954,""),"Utilities",_xlfn.XLOOKUP($K243&amp;"",UTILITIES!$B$3:$B$953&amp;"",UTILITIES!$G$3:$G$953,""),"IOT",_xlfn.XLOOKUP($K243&amp;"",IOT!$B$3:$B$1012&amp;"",IOT!$H$3:$H$1012,""),"Server",_xlfn.XLOOKUP($K243&amp;"",SERVER!$B$3:$B$1009&amp;"",SERVER!$H$3:$H$1009,""),""),IF(TRIM(_xlpm.srcCat)&lt;&gt;TRIM($J243),"",_xlfn.SWITCH($I243,"Computer",_xlfn.XLOOKUP($K243&amp;"",COMPUTER!$B$3:$B$1009&amp;"",COMPUTER!$AM$3:$AM$1009,""),"Display",_xlfn.XLOOKUP($K243&amp;"",DISPLAY!$B$3:$B$1000&amp;"",DISPLAY!$V$3:$V$1000,""),"Network Device",_xlfn.XLOOKUP($K243&amp;"",'NETWORK-DEVICES'!$B$3:$B$987&amp;"",'NETWORK-DEVICES'!$AF$3:$AF$987,""),"Peripheral",_xlfn.XLOOKUP($K243&amp;"",PERIPHERAL!$B$3:$B$954&amp;"",PERIPHERAL!$Y$3:$Y$954,""),"Utilities",_xlfn.XLOOKUP($K243&amp;"",UTILITIES!$B$3:$B$953&amp;"",UTILITIES!$O$3:$O$953,""),"IOT",_xlfn.XLOOKUP($K243&amp;"",IOT!$B$3:$B$1012&amp;"",IOT!$AB$3:$AB$1012,""),"Server",_xlfn.XLOOKUP($K243&amp;"",SERVER!$B$3:$B$1009&amp;"",SERVER!$AB$3:$AB$1009,""),""))))</f>
        <v/>
      </c>
      <c r="R243" s="43" t="str">
        <f>IF(tbl_handover[[#This Row],[Asset Code]]="","",COUNTIF(tbl_handover[Asset Code],tbl_handover[[#This Row],[Asset Code]]))</f>
        <v/>
      </c>
    </row>
    <row r="244" spans="1:18" x14ac:dyDescent="0.25">
      <c r="A244" s="43" t="str">
        <f>IF(B244&lt;&gt;"",SUBTOTAL(3,$B$1:B243),"")</f>
        <v/>
      </c>
      <c r="C244" s="74"/>
      <c r="D244" s="74"/>
      <c r="G244" s="1"/>
      <c r="K244" s="42"/>
      <c r="L244" t="str" cm="1">
        <f t="array" ref="L244">IF($K244="","",_xlfn.SWITCH($I244,"Computer",_xlfn.XLOOKUP($K244&amp;"",COMPUTER!$B$3:$B$1009&amp;"",COMPUTER!$I$3:$I$1009,""),"Display",_xlfn.XLOOKUP($K244&amp;"",DISPLAY!$B$3:$B$1000&amp;"",DISPLAY!$J$3:$J$1000,""),"Network Device",_xlfn.XLOOKUP($K244&amp;"",'NETWORK-DEVICES'!$B$3:$B$987&amp;"",'NETWORK-DEVICES'!$I$3:$I$987,""),"Peripheral",_xlfn.XLOOKUP($K244&amp;"",PERIPHERAL!$B$3:$B$954&amp;"",PERIPHERAL!$I$3:$I$954,""),"Utilities",_xlfn.XLOOKUP($K244&amp;"",UTILITIES!$B$3:$B$953&amp;"",UTILITIES!$H$3:$H$953,""),"IOT",_xlfn.XLOOKUP($K244&amp;"",IOT!$B$3:$B$1012&amp;"",IOT!$I$3:$I$1012,""),"SERVER",_xlfn.XLOOKUP($K244&amp;"",SERVER!$B$3:$B$1009&amp;"",SERVER!$I$3:$I$1009,""),""))</f>
        <v/>
      </c>
      <c r="M244" t="str" cm="1">
        <f t="array" ref="M244">IF($K244="","",_xlfn.SWITCH($I244,"Computer",_xlfn.XLOOKUP($K244&amp;"",COMPUTER!$B$3:$B$1009&amp;"",COMPUTER!$J$3:$J$1009,""),"Display",_xlfn.XLOOKUP($K244&amp;"",DISPLAY!$B$3:$B$1000&amp;"",DISPLAY!$K$3:$K$1000,""),"Network Device",_xlfn.XLOOKUP($K244&amp;"",'NETWORK-DEVICES'!$B$3:$B$987&amp;"",'NETWORK-DEVICES'!$I$3:$I$987,""),"Peripheral",_xlfn.XLOOKUP($K244&amp;"",PERIPHERAL!$B$3:$B$954&amp;"",PERIPHERAL!$J$3:$J$954,""),"Utilities",_xlfn.XLOOKUP($K244&amp;"",UTILITIES!$B$3:$B$953&amp;"",UTILITIES!$I$3:$I$953,""),"IOT",_xlfn.XLOOKUP($K244&amp;"",IOT!$B$3:$B$1012&amp;"",IOT!$J$3:$J$1012,""),"Server",_xlfn.XLOOKUP($K244&amp;"",SERVER!$B$3:$B$1009&amp;"",SERVER!$J$3:$J$1009,""),""))</f>
        <v/>
      </c>
      <c r="N244" s="1" t="str" cm="1">
        <f t="array" ref="N244">IF(OR($K244="",$I244="",$J244=""),"",_xlfn.LET(_xlpm.srcCat,_xlfn.SWITCH($I244,"Computer",_xlfn.XLOOKUP($K244&amp;"",COMPUTER!$B$3:$B$1009&amp;"",COMPUTER!$H$3:$H$1009,""),"Display",_xlfn.XLOOKUP($K244&amp;"",DISPLAY!$B$3:$B$1000&amp;"",DISPLAY!$H$3:$H$1000,""),"Network Device",_xlfn.XLOOKUP($K244&amp;"",'NETWORK-DEVICES'!$B$3:$B$987&amp;"",'NETWORK-DEVICES'!$H$3:$H$987,""),"Peripheral",_xlfn.XLOOKUP($K244&amp;"",PERIPHERAL!$B$3:$B$954&amp;"",PERIPHERAL!$H$3:$H$954,""),"Utilities",_xlfn.XLOOKUP($K244&amp;"",UTILITIES!$B$3:$B$953&amp;"",UTILITIES!$G$3:$G$953,""),"IOT",_xlfn.XLOOKUP($K244&amp;"",IOT!$B$3:$B$1012&amp;"",IOT!$H$3:$H$1012,""),"Server",_xlfn.XLOOKUP($K244&amp;"",SERVER!$B$3:$B$1009&amp;"",SERVER!$H$3:$H$1009,""),""),IF(TRIM(_xlpm.srcCat)&lt;&gt;TRIM($J244),"",_xlfn.SWITCH($I244,"Computer",_xlfn.XLOOKUP($K244&amp;"",COMPUTER!$B$3:$B$1009&amp;"",COMPUTER!$K$3:$K$1009,""),"Display",_xlfn.XLOOKUP($K244&amp;"",DISPLAY!$B$3:$B$1000&amp;"",DISPLAY!$L$3:$L$1000,""),"Network Device",_xlfn.XLOOKUP($K244&amp;"",'NETWORK-DEVICES'!$B$3:$B$987&amp;"",'NETWORK-DEVICES'!$K$3:$K$987,""),"Peripheral",_xlfn.XLOOKUP($K244&amp;"",PERIPHERAL!$B$3:$B$954&amp;"",PERIPHERAL!$K$3:$K$954,""),"Utilities",_xlfn.XLOOKUP($K244&amp;"",UTILITIES!$B$3:$B$953&amp;"",UTILITIES!$J$3:$J$953,""),"IOT",_xlfn.XLOOKUP($K244&amp;"",IOT!$B$3:$B$1012&amp;"",IOT!$K$4:$K$1012,""),"Server",_xlfn.XLOOKUP($K244&amp;"",SERVER!$B$3:$B$1009&amp;"",SERVER!$K$3:$K$1009,""),""))))</f>
        <v/>
      </c>
      <c r="O244" s="1" t="str" cm="1">
        <f t="array" ref="O244">IF(OR($K244="",$I244="",$J244=""),"",_xlfn.LET(_xlpm.srcCat,_xlfn.SWITCH($I244,"Computer",_xlfn.XLOOKUP($K244&amp;"",COMPUTER!$B$3:$B$1009&amp;"",COMPUTER!$H$3:$H$1009,""),"Display",_xlfn.XLOOKUP($K244&amp;"",DISPLAY!$B$3:$B$1000&amp;"",DISPLAY!$H$3:$H$1000,""),"Network Device",_xlfn.XLOOKUP($K244&amp;"",'NETWORK-DEVICES'!$B$3:$B$987&amp;"",'NETWORK-DEVICES'!$H$3:$H$987,""),"Peripheral",_xlfn.XLOOKUP($K244&amp;"",PERIPHERAL!$B$3:$B$954&amp;"",PERIPHERAL!$H$3:$H$954,""),"Utilities",_xlfn.XLOOKUP($K244&amp;"",UTILITIES!$B$3:$B$953&amp;"",UTILITIES!$G$3:$G$953,""),"IOT",_xlfn.XLOOKUP($K244&amp;"",IOT!$B$3:$B$1012&amp;"",IOT!$H$3:$H$1012,""),"Server",_xlfn.XLOOKUP($K244&amp;"",SERVER!$B$3:$B$1009&amp;"",SERVER!$H$3:$H$1009,""),""),IF(TRIM(_xlpm.srcCat)&lt;&gt;TRIM($J244),"",_xlfn.SWITCH($I244,"Computer",_xlfn.XLOOKUP($K244&amp;"",COMPUTER!$B$3:$B$1009&amp;"",COMPUTER!$E$3:$E$1009,""),"Display",_xlfn.XLOOKUP($K244&amp;"",DISPLAY!$B$3:$B$1000&amp;"",DISPLAY!$E$3:$E$1000,""),"Network Device",_xlfn.XLOOKUP($K244&amp;"",'NETWORK-DEVICES'!$B$3:$B$987&amp;"",'NETWORK-DEVICES'!$E$3:$E$987,""),"Peripheral",_xlfn.XLOOKUP($K244&amp;"",PERIPHERAL!$B$3:$B$954&amp;"",PERIPHERAL!$E$3:$E$954,""),"Utilities",_xlfn.XLOOKUP($K244&amp;"",UTILITIES!$B$3:$B$953&amp;"",UTILITIES!$E$3:$E$953,""),"IOT",_xlfn.XLOOKUP($K244&amp;"",IOT!$B$3:$B$1012&amp;"",IOT!$E$3:$E$1012,""),"Server",_xlfn.XLOOKUP($K244&amp;"",SERVER!$B$3:$B$1009&amp;"",SERVER!$E$3:$E$1009,""),""))))</f>
        <v/>
      </c>
      <c r="Q244" s="1" t="str" cm="1">
        <f t="array" ref="Q244">IF(OR($K244="",$I244="",$J244=""),"",_xlfn.LET(_xlpm.srcCat,_xlfn.SWITCH($I244,"Computer",_xlfn.XLOOKUP($K244&amp;"",COMPUTER!$B$3:$B$1009&amp;"",COMPUTER!$H$3:$H$1009,""),"Display",_xlfn.XLOOKUP($K244&amp;"",DISPLAY!$B$3:$B$1000&amp;"",DISPLAY!$H$3:$H$1000,""),"Network Device",_xlfn.XLOOKUP($K244&amp;"",'NETWORK-DEVICES'!$B$3:$B$987&amp;"",'NETWORK-DEVICES'!$H$3:$H$987,""),"Peripheral",_xlfn.XLOOKUP($K244&amp;"",PERIPHERAL!$B$3:$B$954&amp;"",PERIPHERAL!$H$3:$H$954,""),"Utilities",_xlfn.XLOOKUP($K244&amp;"",UTILITIES!$B$3:$B$953&amp;"",UTILITIES!$G$3:$G$953,""),"IOT",_xlfn.XLOOKUP($K244&amp;"",IOT!$B$3:$B$1012&amp;"",IOT!$H$3:$H$1012,""),"Server",_xlfn.XLOOKUP($K244&amp;"",SERVER!$B$3:$B$1009&amp;"",SERVER!$H$3:$H$1009,""),""),IF(TRIM(_xlpm.srcCat)&lt;&gt;TRIM($J244),"",_xlfn.SWITCH($I244,"Computer",_xlfn.XLOOKUP($K244&amp;"",COMPUTER!$B$3:$B$1009&amp;"",COMPUTER!$AM$3:$AM$1009,""),"Display",_xlfn.XLOOKUP($K244&amp;"",DISPLAY!$B$3:$B$1000&amp;"",DISPLAY!$V$3:$V$1000,""),"Network Device",_xlfn.XLOOKUP($K244&amp;"",'NETWORK-DEVICES'!$B$3:$B$987&amp;"",'NETWORK-DEVICES'!$AF$3:$AF$987,""),"Peripheral",_xlfn.XLOOKUP($K244&amp;"",PERIPHERAL!$B$3:$B$954&amp;"",PERIPHERAL!$Y$3:$Y$954,""),"Utilities",_xlfn.XLOOKUP($K244&amp;"",UTILITIES!$B$3:$B$953&amp;"",UTILITIES!$O$3:$O$953,""),"IOT",_xlfn.XLOOKUP($K244&amp;"",IOT!$B$3:$B$1012&amp;"",IOT!$AB$3:$AB$1012,""),"Server",_xlfn.XLOOKUP($K244&amp;"",SERVER!$B$3:$B$1009&amp;"",SERVER!$AB$3:$AB$1009,""),""))))</f>
        <v/>
      </c>
      <c r="R244" s="43" t="str">
        <f>IF(tbl_handover[[#This Row],[Asset Code]]="","",COUNTIF(tbl_handover[Asset Code],tbl_handover[[#This Row],[Asset Code]]))</f>
        <v/>
      </c>
    </row>
    <row r="245" spans="1:18" x14ac:dyDescent="0.25">
      <c r="A245" s="43" t="str">
        <f>IF(B245&lt;&gt;"",SUBTOTAL(3,$B$1:B244),"")</f>
        <v/>
      </c>
      <c r="C245" s="74"/>
      <c r="D245" s="74"/>
      <c r="G245" s="1"/>
      <c r="K245" s="42"/>
      <c r="L245" t="str" cm="1">
        <f t="array" ref="L245">IF($K245="","",_xlfn.SWITCH($I245,"Computer",_xlfn.XLOOKUP($K245&amp;"",COMPUTER!$B$3:$B$1009&amp;"",COMPUTER!$I$3:$I$1009,""),"Display",_xlfn.XLOOKUP($K245&amp;"",DISPLAY!$B$3:$B$1000&amp;"",DISPLAY!$J$3:$J$1000,""),"Network Device",_xlfn.XLOOKUP($K245&amp;"",'NETWORK-DEVICES'!$B$3:$B$987&amp;"",'NETWORK-DEVICES'!$I$3:$I$987,""),"Peripheral",_xlfn.XLOOKUP($K245&amp;"",PERIPHERAL!$B$3:$B$954&amp;"",PERIPHERAL!$I$3:$I$954,""),"Utilities",_xlfn.XLOOKUP($K245&amp;"",UTILITIES!$B$3:$B$953&amp;"",UTILITIES!$H$3:$H$953,""),"IOT",_xlfn.XLOOKUP($K245&amp;"",IOT!$B$3:$B$1012&amp;"",IOT!$I$3:$I$1012,""),"SERVER",_xlfn.XLOOKUP($K245&amp;"",SERVER!$B$3:$B$1009&amp;"",SERVER!$I$3:$I$1009,""),""))</f>
        <v/>
      </c>
      <c r="M245" t="str" cm="1">
        <f t="array" ref="M245">IF($K245="","",_xlfn.SWITCH($I245,"Computer",_xlfn.XLOOKUP($K245&amp;"",COMPUTER!$B$3:$B$1009&amp;"",COMPUTER!$J$3:$J$1009,""),"Display",_xlfn.XLOOKUP($K245&amp;"",DISPLAY!$B$3:$B$1000&amp;"",DISPLAY!$K$3:$K$1000,""),"Network Device",_xlfn.XLOOKUP($K245&amp;"",'NETWORK-DEVICES'!$B$3:$B$987&amp;"",'NETWORK-DEVICES'!$I$3:$I$987,""),"Peripheral",_xlfn.XLOOKUP($K245&amp;"",PERIPHERAL!$B$3:$B$954&amp;"",PERIPHERAL!$J$3:$J$954,""),"Utilities",_xlfn.XLOOKUP($K245&amp;"",UTILITIES!$B$3:$B$953&amp;"",UTILITIES!$I$3:$I$953,""),"IOT",_xlfn.XLOOKUP($K245&amp;"",IOT!$B$3:$B$1012&amp;"",IOT!$J$3:$J$1012,""),"Server",_xlfn.XLOOKUP($K245&amp;"",SERVER!$B$3:$B$1009&amp;"",SERVER!$J$3:$J$1009,""),""))</f>
        <v/>
      </c>
      <c r="N245" s="1" t="str" cm="1">
        <f t="array" ref="N245">IF(OR($K245="",$I245="",$J245=""),"",_xlfn.LET(_xlpm.srcCat,_xlfn.SWITCH($I245,"Computer",_xlfn.XLOOKUP($K245&amp;"",COMPUTER!$B$3:$B$1009&amp;"",COMPUTER!$H$3:$H$1009,""),"Display",_xlfn.XLOOKUP($K245&amp;"",DISPLAY!$B$3:$B$1000&amp;"",DISPLAY!$H$3:$H$1000,""),"Network Device",_xlfn.XLOOKUP($K245&amp;"",'NETWORK-DEVICES'!$B$3:$B$987&amp;"",'NETWORK-DEVICES'!$H$3:$H$987,""),"Peripheral",_xlfn.XLOOKUP($K245&amp;"",PERIPHERAL!$B$3:$B$954&amp;"",PERIPHERAL!$H$3:$H$954,""),"Utilities",_xlfn.XLOOKUP($K245&amp;"",UTILITIES!$B$3:$B$953&amp;"",UTILITIES!$G$3:$G$953,""),"IOT",_xlfn.XLOOKUP($K245&amp;"",IOT!$B$3:$B$1012&amp;"",IOT!$H$3:$H$1012,""),"Server",_xlfn.XLOOKUP($K245&amp;"",SERVER!$B$3:$B$1009&amp;"",SERVER!$H$3:$H$1009,""),""),IF(TRIM(_xlpm.srcCat)&lt;&gt;TRIM($J245),"",_xlfn.SWITCH($I245,"Computer",_xlfn.XLOOKUP($K245&amp;"",COMPUTER!$B$3:$B$1009&amp;"",COMPUTER!$K$3:$K$1009,""),"Display",_xlfn.XLOOKUP($K245&amp;"",DISPLAY!$B$3:$B$1000&amp;"",DISPLAY!$L$3:$L$1000,""),"Network Device",_xlfn.XLOOKUP($K245&amp;"",'NETWORK-DEVICES'!$B$3:$B$987&amp;"",'NETWORK-DEVICES'!$K$3:$K$987,""),"Peripheral",_xlfn.XLOOKUP($K245&amp;"",PERIPHERAL!$B$3:$B$954&amp;"",PERIPHERAL!$K$3:$K$954,""),"Utilities",_xlfn.XLOOKUP($K245&amp;"",UTILITIES!$B$3:$B$953&amp;"",UTILITIES!$J$3:$J$953,""),"IOT",_xlfn.XLOOKUP($K245&amp;"",IOT!$B$3:$B$1012&amp;"",IOT!$K$4:$K$1012,""),"Server",_xlfn.XLOOKUP($K245&amp;"",SERVER!$B$3:$B$1009&amp;"",SERVER!$K$3:$K$1009,""),""))))</f>
        <v/>
      </c>
      <c r="O245" s="1" t="str" cm="1">
        <f t="array" ref="O245">IF(OR($K245="",$I245="",$J245=""),"",_xlfn.LET(_xlpm.srcCat,_xlfn.SWITCH($I245,"Computer",_xlfn.XLOOKUP($K245&amp;"",COMPUTER!$B$3:$B$1009&amp;"",COMPUTER!$H$3:$H$1009,""),"Display",_xlfn.XLOOKUP($K245&amp;"",DISPLAY!$B$3:$B$1000&amp;"",DISPLAY!$H$3:$H$1000,""),"Network Device",_xlfn.XLOOKUP($K245&amp;"",'NETWORK-DEVICES'!$B$3:$B$987&amp;"",'NETWORK-DEVICES'!$H$3:$H$987,""),"Peripheral",_xlfn.XLOOKUP($K245&amp;"",PERIPHERAL!$B$3:$B$954&amp;"",PERIPHERAL!$H$3:$H$954,""),"Utilities",_xlfn.XLOOKUP($K245&amp;"",UTILITIES!$B$3:$B$953&amp;"",UTILITIES!$G$3:$G$953,""),"IOT",_xlfn.XLOOKUP($K245&amp;"",IOT!$B$3:$B$1012&amp;"",IOT!$H$3:$H$1012,""),"Server",_xlfn.XLOOKUP($K245&amp;"",SERVER!$B$3:$B$1009&amp;"",SERVER!$H$3:$H$1009,""),""),IF(TRIM(_xlpm.srcCat)&lt;&gt;TRIM($J245),"",_xlfn.SWITCH($I245,"Computer",_xlfn.XLOOKUP($K245&amp;"",COMPUTER!$B$3:$B$1009&amp;"",COMPUTER!$E$3:$E$1009,""),"Display",_xlfn.XLOOKUP($K245&amp;"",DISPLAY!$B$3:$B$1000&amp;"",DISPLAY!$E$3:$E$1000,""),"Network Device",_xlfn.XLOOKUP($K245&amp;"",'NETWORK-DEVICES'!$B$3:$B$987&amp;"",'NETWORK-DEVICES'!$E$3:$E$987,""),"Peripheral",_xlfn.XLOOKUP($K245&amp;"",PERIPHERAL!$B$3:$B$954&amp;"",PERIPHERAL!$E$3:$E$954,""),"Utilities",_xlfn.XLOOKUP($K245&amp;"",UTILITIES!$B$3:$B$953&amp;"",UTILITIES!$E$3:$E$953,""),"IOT",_xlfn.XLOOKUP($K245&amp;"",IOT!$B$3:$B$1012&amp;"",IOT!$E$3:$E$1012,""),"Server",_xlfn.XLOOKUP($K245&amp;"",SERVER!$B$3:$B$1009&amp;"",SERVER!$E$3:$E$1009,""),""))))</f>
        <v/>
      </c>
      <c r="Q245" s="1" t="str" cm="1">
        <f t="array" ref="Q245">IF(OR($K245="",$I245="",$J245=""),"",_xlfn.LET(_xlpm.srcCat,_xlfn.SWITCH($I245,"Computer",_xlfn.XLOOKUP($K245&amp;"",COMPUTER!$B$3:$B$1009&amp;"",COMPUTER!$H$3:$H$1009,""),"Display",_xlfn.XLOOKUP($K245&amp;"",DISPLAY!$B$3:$B$1000&amp;"",DISPLAY!$H$3:$H$1000,""),"Network Device",_xlfn.XLOOKUP($K245&amp;"",'NETWORK-DEVICES'!$B$3:$B$987&amp;"",'NETWORK-DEVICES'!$H$3:$H$987,""),"Peripheral",_xlfn.XLOOKUP($K245&amp;"",PERIPHERAL!$B$3:$B$954&amp;"",PERIPHERAL!$H$3:$H$954,""),"Utilities",_xlfn.XLOOKUP($K245&amp;"",UTILITIES!$B$3:$B$953&amp;"",UTILITIES!$G$3:$G$953,""),"IOT",_xlfn.XLOOKUP($K245&amp;"",IOT!$B$3:$B$1012&amp;"",IOT!$H$3:$H$1012,""),"Server",_xlfn.XLOOKUP($K245&amp;"",SERVER!$B$3:$B$1009&amp;"",SERVER!$H$3:$H$1009,""),""),IF(TRIM(_xlpm.srcCat)&lt;&gt;TRIM($J245),"",_xlfn.SWITCH($I245,"Computer",_xlfn.XLOOKUP($K245&amp;"",COMPUTER!$B$3:$B$1009&amp;"",COMPUTER!$AM$3:$AM$1009,""),"Display",_xlfn.XLOOKUP($K245&amp;"",DISPLAY!$B$3:$B$1000&amp;"",DISPLAY!$V$3:$V$1000,""),"Network Device",_xlfn.XLOOKUP($K245&amp;"",'NETWORK-DEVICES'!$B$3:$B$987&amp;"",'NETWORK-DEVICES'!$AF$3:$AF$987,""),"Peripheral",_xlfn.XLOOKUP($K245&amp;"",PERIPHERAL!$B$3:$B$954&amp;"",PERIPHERAL!$Y$3:$Y$954,""),"Utilities",_xlfn.XLOOKUP($K245&amp;"",UTILITIES!$B$3:$B$953&amp;"",UTILITIES!$O$3:$O$953,""),"IOT",_xlfn.XLOOKUP($K245&amp;"",IOT!$B$3:$B$1012&amp;"",IOT!$AB$3:$AB$1012,""),"Server",_xlfn.XLOOKUP($K245&amp;"",SERVER!$B$3:$B$1009&amp;"",SERVER!$AB$3:$AB$1009,""),""))))</f>
        <v/>
      </c>
      <c r="R245" s="43" t="str">
        <f>IF(tbl_handover[[#This Row],[Asset Code]]="","",COUNTIF(tbl_handover[Asset Code],tbl_handover[[#This Row],[Asset Code]]))</f>
        <v/>
      </c>
    </row>
    <row r="246" spans="1:18" x14ac:dyDescent="0.25">
      <c r="A246" s="43" t="str">
        <f>IF(B246&lt;&gt;"",SUBTOTAL(3,$B$1:B245),"")</f>
        <v/>
      </c>
      <c r="C246" s="74"/>
      <c r="D246" s="74"/>
      <c r="G246" s="1"/>
      <c r="K246" s="42"/>
      <c r="L246" t="str" cm="1">
        <f t="array" ref="L246">IF($K246="","",_xlfn.SWITCH($I246,"Computer",_xlfn.XLOOKUP($K246&amp;"",COMPUTER!$B$3:$B$1009&amp;"",COMPUTER!$I$3:$I$1009,""),"Display",_xlfn.XLOOKUP($K246&amp;"",DISPLAY!$B$3:$B$1000&amp;"",DISPLAY!$J$3:$J$1000,""),"Network Device",_xlfn.XLOOKUP($K246&amp;"",'NETWORK-DEVICES'!$B$3:$B$987&amp;"",'NETWORK-DEVICES'!$I$3:$I$987,""),"Peripheral",_xlfn.XLOOKUP($K246&amp;"",PERIPHERAL!$B$3:$B$954&amp;"",PERIPHERAL!$I$3:$I$954,""),"Utilities",_xlfn.XLOOKUP($K246&amp;"",UTILITIES!$B$3:$B$953&amp;"",UTILITIES!$H$3:$H$953,""),"IOT",_xlfn.XLOOKUP($K246&amp;"",IOT!$B$3:$B$1012&amp;"",IOT!$I$3:$I$1012,""),"SERVER",_xlfn.XLOOKUP($K246&amp;"",SERVER!$B$3:$B$1009&amp;"",SERVER!$I$3:$I$1009,""),""))</f>
        <v/>
      </c>
      <c r="M246" t="str" cm="1">
        <f t="array" ref="M246">IF($K246="","",_xlfn.SWITCH($I246,"Computer",_xlfn.XLOOKUP($K246&amp;"",COMPUTER!$B$3:$B$1009&amp;"",COMPUTER!$J$3:$J$1009,""),"Display",_xlfn.XLOOKUP($K246&amp;"",DISPLAY!$B$3:$B$1000&amp;"",DISPLAY!$K$3:$K$1000,""),"Network Device",_xlfn.XLOOKUP($K246&amp;"",'NETWORK-DEVICES'!$B$3:$B$987&amp;"",'NETWORK-DEVICES'!$I$3:$I$987,""),"Peripheral",_xlfn.XLOOKUP($K246&amp;"",PERIPHERAL!$B$3:$B$954&amp;"",PERIPHERAL!$J$3:$J$954,""),"Utilities",_xlfn.XLOOKUP($K246&amp;"",UTILITIES!$B$3:$B$953&amp;"",UTILITIES!$I$3:$I$953,""),"IOT",_xlfn.XLOOKUP($K246&amp;"",IOT!$B$3:$B$1012&amp;"",IOT!$J$3:$J$1012,""),"Server",_xlfn.XLOOKUP($K246&amp;"",SERVER!$B$3:$B$1009&amp;"",SERVER!$J$3:$J$1009,""),""))</f>
        <v/>
      </c>
      <c r="N246" s="1" t="str" cm="1">
        <f t="array" ref="N246">IF(OR($K246="",$I246="",$J246=""),"",_xlfn.LET(_xlpm.srcCat,_xlfn.SWITCH($I246,"Computer",_xlfn.XLOOKUP($K246&amp;"",COMPUTER!$B$3:$B$1009&amp;"",COMPUTER!$H$3:$H$1009,""),"Display",_xlfn.XLOOKUP($K246&amp;"",DISPLAY!$B$3:$B$1000&amp;"",DISPLAY!$H$3:$H$1000,""),"Network Device",_xlfn.XLOOKUP($K246&amp;"",'NETWORK-DEVICES'!$B$3:$B$987&amp;"",'NETWORK-DEVICES'!$H$3:$H$987,""),"Peripheral",_xlfn.XLOOKUP($K246&amp;"",PERIPHERAL!$B$3:$B$954&amp;"",PERIPHERAL!$H$3:$H$954,""),"Utilities",_xlfn.XLOOKUP($K246&amp;"",UTILITIES!$B$3:$B$953&amp;"",UTILITIES!$G$3:$G$953,""),"IOT",_xlfn.XLOOKUP($K246&amp;"",IOT!$B$3:$B$1012&amp;"",IOT!$H$3:$H$1012,""),"Server",_xlfn.XLOOKUP($K246&amp;"",SERVER!$B$3:$B$1009&amp;"",SERVER!$H$3:$H$1009,""),""),IF(TRIM(_xlpm.srcCat)&lt;&gt;TRIM($J246),"",_xlfn.SWITCH($I246,"Computer",_xlfn.XLOOKUP($K246&amp;"",COMPUTER!$B$3:$B$1009&amp;"",COMPUTER!$K$3:$K$1009,""),"Display",_xlfn.XLOOKUP($K246&amp;"",DISPLAY!$B$3:$B$1000&amp;"",DISPLAY!$L$3:$L$1000,""),"Network Device",_xlfn.XLOOKUP($K246&amp;"",'NETWORK-DEVICES'!$B$3:$B$987&amp;"",'NETWORK-DEVICES'!$K$3:$K$987,""),"Peripheral",_xlfn.XLOOKUP($K246&amp;"",PERIPHERAL!$B$3:$B$954&amp;"",PERIPHERAL!$K$3:$K$954,""),"Utilities",_xlfn.XLOOKUP($K246&amp;"",UTILITIES!$B$3:$B$953&amp;"",UTILITIES!$J$3:$J$953,""),"IOT",_xlfn.XLOOKUP($K246&amp;"",IOT!$B$3:$B$1012&amp;"",IOT!$K$4:$K$1012,""),"Server",_xlfn.XLOOKUP($K246&amp;"",SERVER!$B$3:$B$1009&amp;"",SERVER!$K$3:$K$1009,""),""))))</f>
        <v/>
      </c>
      <c r="O246" s="1" t="str" cm="1">
        <f t="array" ref="O246">IF(OR($K246="",$I246="",$J246=""),"",_xlfn.LET(_xlpm.srcCat,_xlfn.SWITCH($I246,"Computer",_xlfn.XLOOKUP($K246&amp;"",COMPUTER!$B$3:$B$1009&amp;"",COMPUTER!$H$3:$H$1009,""),"Display",_xlfn.XLOOKUP($K246&amp;"",DISPLAY!$B$3:$B$1000&amp;"",DISPLAY!$H$3:$H$1000,""),"Network Device",_xlfn.XLOOKUP($K246&amp;"",'NETWORK-DEVICES'!$B$3:$B$987&amp;"",'NETWORK-DEVICES'!$H$3:$H$987,""),"Peripheral",_xlfn.XLOOKUP($K246&amp;"",PERIPHERAL!$B$3:$B$954&amp;"",PERIPHERAL!$H$3:$H$954,""),"Utilities",_xlfn.XLOOKUP($K246&amp;"",UTILITIES!$B$3:$B$953&amp;"",UTILITIES!$G$3:$G$953,""),"IOT",_xlfn.XLOOKUP($K246&amp;"",IOT!$B$3:$B$1012&amp;"",IOT!$H$3:$H$1012,""),"Server",_xlfn.XLOOKUP($K246&amp;"",SERVER!$B$3:$B$1009&amp;"",SERVER!$H$3:$H$1009,""),""),IF(TRIM(_xlpm.srcCat)&lt;&gt;TRIM($J246),"",_xlfn.SWITCH($I246,"Computer",_xlfn.XLOOKUP($K246&amp;"",COMPUTER!$B$3:$B$1009&amp;"",COMPUTER!$E$3:$E$1009,""),"Display",_xlfn.XLOOKUP($K246&amp;"",DISPLAY!$B$3:$B$1000&amp;"",DISPLAY!$E$3:$E$1000,""),"Network Device",_xlfn.XLOOKUP($K246&amp;"",'NETWORK-DEVICES'!$B$3:$B$987&amp;"",'NETWORK-DEVICES'!$E$3:$E$987,""),"Peripheral",_xlfn.XLOOKUP($K246&amp;"",PERIPHERAL!$B$3:$B$954&amp;"",PERIPHERAL!$E$3:$E$954,""),"Utilities",_xlfn.XLOOKUP($K246&amp;"",UTILITIES!$B$3:$B$953&amp;"",UTILITIES!$E$3:$E$953,""),"IOT",_xlfn.XLOOKUP($K246&amp;"",IOT!$B$3:$B$1012&amp;"",IOT!$E$3:$E$1012,""),"Server",_xlfn.XLOOKUP($K246&amp;"",SERVER!$B$3:$B$1009&amp;"",SERVER!$E$3:$E$1009,""),""))))</f>
        <v/>
      </c>
      <c r="Q246" s="1" t="str" cm="1">
        <f t="array" ref="Q246">IF(OR($K246="",$I246="",$J246=""),"",_xlfn.LET(_xlpm.srcCat,_xlfn.SWITCH($I246,"Computer",_xlfn.XLOOKUP($K246&amp;"",COMPUTER!$B$3:$B$1009&amp;"",COMPUTER!$H$3:$H$1009,""),"Display",_xlfn.XLOOKUP($K246&amp;"",DISPLAY!$B$3:$B$1000&amp;"",DISPLAY!$H$3:$H$1000,""),"Network Device",_xlfn.XLOOKUP($K246&amp;"",'NETWORK-DEVICES'!$B$3:$B$987&amp;"",'NETWORK-DEVICES'!$H$3:$H$987,""),"Peripheral",_xlfn.XLOOKUP($K246&amp;"",PERIPHERAL!$B$3:$B$954&amp;"",PERIPHERAL!$H$3:$H$954,""),"Utilities",_xlfn.XLOOKUP($K246&amp;"",UTILITIES!$B$3:$B$953&amp;"",UTILITIES!$G$3:$G$953,""),"IOT",_xlfn.XLOOKUP($K246&amp;"",IOT!$B$3:$B$1012&amp;"",IOT!$H$3:$H$1012,""),"Server",_xlfn.XLOOKUP($K246&amp;"",SERVER!$B$3:$B$1009&amp;"",SERVER!$H$3:$H$1009,""),""),IF(TRIM(_xlpm.srcCat)&lt;&gt;TRIM($J246),"",_xlfn.SWITCH($I246,"Computer",_xlfn.XLOOKUP($K246&amp;"",COMPUTER!$B$3:$B$1009&amp;"",COMPUTER!$AM$3:$AM$1009,""),"Display",_xlfn.XLOOKUP($K246&amp;"",DISPLAY!$B$3:$B$1000&amp;"",DISPLAY!$V$3:$V$1000,""),"Network Device",_xlfn.XLOOKUP($K246&amp;"",'NETWORK-DEVICES'!$B$3:$B$987&amp;"",'NETWORK-DEVICES'!$AF$3:$AF$987,""),"Peripheral",_xlfn.XLOOKUP($K246&amp;"",PERIPHERAL!$B$3:$B$954&amp;"",PERIPHERAL!$Y$3:$Y$954,""),"Utilities",_xlfn.XLOOKUP($K246&amp;"",UTILITIES!$B$3:$B$953&amp;"",UTILITIES!$O$3:$O$953,""),"IOT",_xlfn.XLOOKUP($K246&amp;"",IOT!$B$3:$B$1012&amp;"",IOT!$AB$3:$AB$1012,""),"Server",_xlfn.XLOOKUP($K246&amp;"",SERVER!$B$3:$B$1009&amp;"",SERVER!$AB$3:$AB$1009,""),""))))</f>
        <v/>
      </c>
      <c r="R246" s="43" t="str">
        <f>IF(tbl_handover[[#This Row],[Asset Code]]="","",COUNTIF(tbl_handover[Asset Code],tbl_handover[[#This Row],[Asset Code]]))</f>
        <v/>
      </c>
    </row>
    <row r="247" spans="1:18" x14ac:dyDescent="0.25">
      <c r="A247" s="43" t="str">
        <f>IF(B247&lt;&gt;"",SUBTOTAL(3,$B$1:B246),"")</f>
        <v/>
      </c>
      <c r="C247" s="74"/>
      <c r="D247" s="74"/>
      <c r="G247" s="1"/>
      <c r="K247" s="42"/>
      <c r="L247" t="str" cm="1">
        <f t="array" ref="L247">IF($K247="","",_xlfn.SWITCH($I247,"Computer",_xlfn.XLOOKUP($K247&amp;"",COMPUTER!$B$3:$B$1009&amp;"",COMPUTER!$I$3:$I$1009,""),"Display",_xlfn.XLOOKUP($K247&amp;"",DISPLAY!$B$3:$B$1000&amp;"",DISPLAY!$J$3:$J$1000,""),"Network Device",_xlfn.XLOOKUP($K247&amp;"",'NETWORK-DEVICES'!$B$3:$B$987&amp;"",'NETWORK-DEVICES'!$I$3:$I$987,""),"Peripheral",_xlfn.XLOOKUP($K247&amp;"",PERIPHERAL!$B$3:$B$954&amp;"",PERIPHERAL!$I$3:$I$954,""),"Utilities",_xlfn.XLOOKUP($K247&amp;"",UTILITIES!$B$3:$B$953&amp;"",UTILITIES!$H$3:$H$953,""),"IOT",_xlfn.XLOOKUP($K247&amp;"",IOT!$B$3:$B$1012&amp;"",IOT!$I$3:$I$1012,""),"SERVER",_xlfn.XLOOKUP($K247&amp;"",SERVER!$B$3:$B$1009&amp;"",SERVER!$I$3:$I$1009,""),""))</f>
        <v/>
      </c>
      <c r="M247" t="str" cm="1">
        <f t="array" ref="M247">IF($K247="","",_xlfn.SWITCH($I247,"Computer",_xlfn.XLOOKUP($K247&amp;"",COMPUTER!$B$3:$B$1009&amp;"",COMPUTER!$J$3:$J$1009,""),"Display",_xlfn.XLOOKUP($K247&amp;"",DISPLAY!$B$3:$B$1000&amp;"",DISPLAY!$K$3:$K$1000,""),"Network Device",_xlfn.XLOOKUP($K247&amp;"",'NETWORK-DEVICES'!$B$3:$B$987&amp;"",'NETWORK-DEVICES'!$I$3:$I$987,""),"Peripheral",_xlfn.XLOOKUP($K247&amp;"",PERIPHERAL!$B$3:$B$954&amp;"",PERIPHERAL!$J$3:$J$954,""),"Utilities",_xlfn.XLOOKUP($K247&amp;"",UTILITIES!$B$3:$B$953&amp;"",UTILITIES!$I$3:$I$953,""),"IOT",_xlfn.XLOOKUP($K247&amp;"",IOT!$B$3:$B$1012&amp;"",IOT!$J$3:$J$1012,""),"Server",_xlfn.XLOOKUP($K247&amp;"",SERVER!$B$3:$B$1009&amp;"",SERVER!$J$3:$J$1009,""),""))</f>
        <v/>
      </c>
      <c r="N247" s="1" t="str" cm="1">
        <f t="array" ref="N247">IF(OR($K247="",$I247="",$J247=""),"",_xlfn.LET(_xlpm.srcCat,_xlfn.SWITCH($I247,"Computer",_xlfn.XLOOKUP($K247&amp;"",COMPUTER!$B$3:$B$1009&amp;"",COMPUTER!$H$3:$H$1009,""),"Display",_xlfn.XLOOKUP($K247&amp;"",DISPLAY!$B$3:$B$1000&amp;"",DISPLAY!$H$3:$H$1000,""),"Network Device",_xlfn.XLOOKUP($K247&amp;"",'NETWORK-DEVICES'!$B$3:$B$987&amp;"",'NETWORK-DEVICES'!$H$3:$H$987,""),"Peripheral",_xlfn.XLOOKUP($K247&amp;"",PERIPHERAL!$B$3:$B$954&amp;"",PERIPHERAL!$H$3:$H$954,""),"Utilities",_xlfn.XLOOKUP($K247&amp;"",UTILITIES!$B$3:$B$953&amp;"",UTILITIES!$G$3:$G$953,""),"IOT",_xlfn.XLOOKUP($K247&amp;"",IOT!$B$3:$B$1012&amp;"",IOT!$H$3:$H$1012,""),"Server",_xlfn.XLOOKUP($K247&amp;"",SERVER!$B$3:$B$1009&amp;"",SERVER!$H$3:$H$1009,""),""),IF(TRIM(_xlpm.srcCat)&lt;&gt;TRIM($J247),"",_xlfn.SWITCH($I247,"Computer",_xlfn.XLOOKUP($K247&amp;"",COMPUTER!$B$3:$B$1009&amp;"",COMPUTER!$K$3:$K$1009,""),"Display",_xlfn.XLOOKUP($K247&amp;"",DISPLAY!$B$3:$B$1000&amp;"",DISPLAY!$L$3:$L$1000,""),"Network Device",_xlfn.XLOOKUP($K247&amp;"",'NETWORK-DEVICES'!$B$3:$B$987&amp;"",'NETWORK-DEVICES'!$K$3:$K$987,""),"Peripheral",_xlfn.XLOOKUP($K247&amp;"",PERIPHERAL!$B$3:$B$954&amp;"",PERIPHERAL!$K$3:$K$954,""),"Utilities",_xlfn.XLOOKUP($K247&amp;"",UTILITIES!$B$3:$B$953&amp;"",UTILITIES!$J$3:$J$953,""),"IOT",_xlfn.XLOOKUP($K247&amp;"",IOT!$B$3:$B$1012&amp;"",IOT!$K$4:$K$1012,""),"Server",_xlfn.XLOOKUP($K247&amp;"",SERVER!$B$3:$B$1009&amp;"",SERVER!$K$3:$K$1009,""),""))))</f>
        <v/>
      </c>
      <c r="O247" s="1" t="str" cm="1">
        <f t="array" ref="O247">IF(OR($K247="",$I247="",$J247=""),"",_xlfn.LET(_xlpm.srcCat,_xlfn.SWITCH($I247,"Computer",_xlfn.XLOOKUP($K247&amp;"",COMPUTER!$B$3:$B$1009&amp;"",COMPUTER!$H$3:$H$1009,""),"Display",_xlfn.XLOOKUP($K247&amp;"",DISPLAY!$B$3:$B$1000&amp;"",DISPLAY!$H$3:$H$1000,""),"Network Device",_xlfn.XLOOKUP($K247&amp;"",'NETWORK-DEVICES'!$B$3:$B$987&amp;"",'NETWORK-DEVICES'!$H$3:$H$987,""),"Peripheral",_xlfn.XLOOKUP($K247&amp;"",PERIPHERAL!$B$3:$B$954&amp;"",PERIPHERAL!$H$3:$H$954,""),"Utilities",_xlfn.XLOOKUP($K247&amp;"",UTILITIES!$B$3:$B$953&amp;"",UTILITIES!$G$3:$G$953,""),"IOT",_xlfn.XLOOKUP($K247&amp;"",IOT!$B$3:$B$1012&amp;"",IOT!$H$3:$H$1012,""),"Server",_xlfn.XLOOKUP($K247&amp;"",SERVER!$B$3:$B$1009&amp;"",SERVER!$H$3:$H$1009,""),""),IF(TRIM(_xlpm.srcCat)&lt;&gt;TRIM($J247),"",_xlfn.SWITCH($I247,"Computer",_xlfn.XLOOKUP($K247&amp;"",COMPUTER!$B$3:$B$1009&amp;"",COMPUTER!$E$3:$E$1009,""),"Display",_xlfn.XLOOKUP($K247&amp;"",DISPLAY!$B$3:$B$1000&amp;"",DISPLAY!$E$3:$E$1000,""),"Network Device",_xlfn.XLOOKUP($K247&amp;"",'NETWORK-DEVICES'!$B$3:$B$987&amp;"",'NETWORK-DEVICES'!$E$3:$E$987,""),"Peripheral",_xlfn.XLOOKUP($K247&amp;"",PERIPHERAL!$B$3:$B$954&amp;"",PERIPHERAL!$E$3:$E$954,""),"Utilities",_xlfn.XLOOKUP($K247&amp;"",UTILITIES!$B$3:$B$953&amp;"",UTILITIES!$E$3:$E$953,""),"IOT",_xlfn.XLOOKUP($K247&amp;"",IOT!$B$3:$B$1012&amp;"",IOT!$E$3:$E$1012,""),"Server",_xlfn.XLOOKUP($K247&amp;"",SERVER!$B$3:$B$1009&amp;"",SERVER!$E$3:$E$1009,""),""))))</f>
        <v/>
      </c>
      <c r="Q247" s="1" t="str" cm="1">
        <f t="array" ref="Q247">IF(OR($K247="",$I247="",$J247=""),"",_xlfn.LET(_xlpm.srcCat,_xlfn.SWITCH($I247,"Computer",_xlfn.XLOOKUP($K247&amp;"",COMPUTER!$B$3:$B$1009&amp;"",COMPUTER!$H$3:$H$1009,""),"Display",_xlfn.XLOOKUP($K247&amp;"",DISPLAY!$B$3:$B$1000&amp;"",DISPLAY!$H$3:$H$1000,""),"Network Device",_xlfn.XLOOKUP($K247&amp;"",'NETWORK-DEVICES'!$B$3:$B$987&amp;"",'NETWORK-DEVICES'!$H$3:$H$987,""),"Peripheral",_xlfn.XLOOKUP($K247&amp;"",PERIPHERAL!$B$3:$B$954&amp;"",PERIPHERAL!$H$3:$H$954,""),"Utilities",_xlfn.XLOOKUP($K247&amp;"",UTILITIES!$B$3:$B$953&amp;"",UTILITIES!$G$3:$G$953,""),"IOT",_xlfn.XLOOKUP($K247&amp;"",IOT!$B$3:$B$1012&amp;"",IOT!$H$3:$H$1012,""),"Server",_xlfn.XLOOKUP($K247&amp;"",SERVER!$B$3:$B$1009&amp;"",SERVER!$H$3:$H$1009,""),""),IF(TRIM(_xlpm.srcCat)&lt;&gt;TRIM($J247),"",_xlfn.SWITCH($I247,"Computer",_xlfn.XLOOKUP($K247&amp;"",COMPUTER!$B$3:$B$1009&amp;"",COMPUTER!$AM$3:$AM$1009,""),"Display",_xlfn.XLOOKUP($K247&amp;"",DISPLAY!$B$3:$B$1000&amp;"",DISPLAY!$V$3:$V$1000,""),"Network Device",_xlfn.XLOOKUP($K247&amp;"",'NETWORK-DEVICES'!$B$3:$B$987&amp;"",'NETWORK-DEVICES'!$AF$3:$AF$987,""),"Peripheral",_xlfn.XLOOKUP($K247&amp;"",PERIPHERAL!$B$3:$B$954&amp;"",PERIPHERAL!$Y$3:$Y$954,""),"Utilities",_xlfn.XLOOKUP($K247&amp;"",UTILITIES!$B$3:$B$953&amp;"",UTILITIES!$O$3:$O$953,""),"IOT",_xlfn.XLOOKUP($K247&amp;"",IOT!$B$3:$B$1012&amp;"",IOT!$AB$3:$AB$1012,""),"Server",_xlfn.XLOOKUP($K247&amp;"",SERVER!$B$3:$B$1009&amp;"",SERVER!$AB$3:$AB$1009,""),""))))</f>
        <v/>
      </c>
      <c r="R247" s="43" t="str">
        <f>IF(tbl_handover[[#This Row],[Asset Code]]="","",COUNTIF(tbl_handover[Asset Code],tbl_handover[[#This Row],[Asset Code]]))</f>
        <v/>
      </c>
    </row>
    <row r="248" spans="1:18" x14ac:dyDescent="0.25">
      <c r="A248" s="43" t="str">
        <f>IF(B248&lt;&gt;"",SUBTOTAL(3,$B$1:B247),"")</f>
        <v/>
      </c>
      <c r="C248" s="74"/>
      <c r="D248" s="74"/>
      <c r="G248" s="1"/>
      <c r="K248" s="42"/>
      <c r="L248" t="str" cm="1">
        <f t="array" ref="L248">IF($K248="","",_xlfn.SWITCH($I248,"Computer",_xlfn.XLOOKUP($K248&amp;"",COMPUTER!$B$3:$B$1009&amp;"",COMPUTER!$I$3:$I$1009,""),"Display",_xlfn.XLOOKUP($K248&amp;"",DISPLAY!$B$3:$B$1000&amp;"",DISPLAY!$J$3:$J$1000,""),"Network Device",_xlfn.XLOOKUP($K248&amp;"",'NETWORK-DEVICES'!$B$3:$B$987&amp;"",'NETWORK-DEVICES'!$I$3:$I$987,""),"Peripheral",_xlfn.XLOOKUP($K248&amp;"",PERIPHERAL!$B$3:$B$954&amp;"",PERIPHERAL!$I$3:$I$954,""),"Utilities",_xlfn.XLOOKUP($K248&amp;"",UTILITIES!$B$3:$B$953&amp;"",UTILITIES!$H$3:$H$953,""),"IOT",_xlfn.XLOOKUP($K248&amp;"",IOT!$B$3:$B$1012&amp;"",IOT!$I$3:$I$1012,""),"SERVER",_xlfn.XLOOKUP($K248&amp;"",SERVER!$B$3:$B$1009&amp;"",SERVER!$I$3:$I$1009,""),""))</f>
        <v/>
      </c>
      <c r="M248" t="str" cm="1">
        <f t="array" ref="M248">IF($K248="","",_xlfn.SWITCH($I248,"Computer",_xlfn.XLOOKUP($K248&amp;"",COMPUTER!$B$3:$B$1009&amp;"",COMPUTER!$J$3:$J$1009,""),"Display",_xlfn.XLOOKUP($K248&amp;"",DISPLAY!$B$3:$B$1000&amp;"",DISPLAY!$K$3:$K$1000,""),"Network Device",_xlfn.XLOOKUP($K248&amp;"",'NETWORK-DEVICES'!$B$3:$B$987&amp;"",'NETWORK-DEVICES'!$I$3:$I$987,""),"Peripheral",_xlfn.XLOOKUP($K248&amp;"",PERIPHERAL!$B$3:$B$954&amp;"",PERIPHERAL!$J$3:$J$954,""),"Utilities",_xlfn.XLOOKUP($K248&amp;"",UTILITIES!$B$3:$B$953&amp;"",UTILITIES!$I$3:$I$953,""),"IOT",_xlfn.XLOOKUP($K248&amp;"",IOT!$B$3:$B$1012&amp;"",IOT!$J$3:$J$1012,""),"Server",_xlfn.XLOOKUP($K248&amp;"",SERVER!$B$3:$B$1009&amp;"",SERVER!$J$3:$J$1009,""),""))</f>
        <v/>
      </c>
      <c r="N248" s="1" t="str" cm="1">
        <f t="array" ref="N248">IF(OR($K248="",$I248="",$J248=""),"",_xlfn.LET(_xlpm.srcCat,_xlfn.SWITCH($I248,"Computer",_xlfn.XLOOKUP($K248&amp;"",COMPUTER!$B$3:$B$1009&amp;"",COMPUTER!$H$3:$H$1009,""),"Display",_xlfn.XLOOKUP($K248&amp;"",DISPLAY!$B$3:$B$1000&amp;"",DISPLAY!$H$3:$H$1000,""),"Network Device",_xlfn.XLOOKUP($K248&amp;"",'NETWORK-DEVICES'!$B$3:$B$987&amp;"",'NETWORK-DEVICES'!$H$3:$H$987,""),"Peripheral",_xlfn.XLOOKUP($K248&amp;"",PERIPHERAL!$B$3:$B$954&amp;"",PERIPHERAL!$H$3:$H$954,""),"Utilities",_xlfn.XLOOKUP($K248&amp;"",UTILITIES!$B$3:$B$953&amp;"",UTILITIES!$G$3:$G$953,""),"IOT",_xlfn.XLOOKUP($K248&amp;"",IOT!$B$3:$B$1012&amp;"",IOT!$H$3:$H$1012,""),"Server",_xlfn.XLOOKUP($K248&amp;"",SERVER!$B$3:$B$1009&amp;"",SERVER!$H$3:$H$1009,""),""),IF(TRIM(_xlpm.srcCat)&lt;&gt;TRIM($J248),"",_xlfn.SWITCH($I248,"Computer",_xlfn.XLOOKUP($K248&amp;"",COMPUTER!$B$3:$B$1009&amp;"",COMPUTER!$K$3:$K$1009,""),"Display",_xlfn.XLOOKUP($K248&amp;"",DISPLAY!$B$3:$B$1000&amp;"",DISPLAY!$L$3:$L$1000,""),"Network Device",_xlfn.XLOOKUP($K248&amp;"",'NETWORK-DEVICES'!$B$3:$B$987&amp;"",'NETWORK-DEVICES'!$K$3:$K$987,""),"Peripheral",_xlfn.XLOOKUP($K248&amp;"",PERIPHERAL!$B$3:$B$954&amp;"",PERIPHERAL!$K$3:$K$954,""),"Utilities",_xlfn.XLOOKUP($K248&amp;"",UTILITIES!$B$3:$B$953&amp;"",UTILITIES!$J$3:$J$953,""),"IOT",_xlfn.XLOOKUP($K248&amp;"",IOT!$B$3:$B$1012&amp;"",IOT!$K$4:$K$1012,""),"Server",_xlfn.XLOOKUP($K248&amp;"",SERVER!$B$3:$B$1009&amp;"",SERVER!$K$3:$K$1009,""),""))))</f>
        <v/>
      </c>
      <c r="O248" s="1" t="str" cm="1">
        <f t="array" ref="O248">IF(OR($K248="",$I248="",$J248=""),"",_xlfn.LET(_xlpm.srcCat,_xlfn.SWITCH($I248,"Computer",_xlfn.XLOOKUP($K248&amp;"",COMPUTER!$B$3:$B$1009&amp;"",COMPUTER!$H$3:$H$1009,""),"Display",_xlfn.XLOOKUP($K248&amp;"",DISPLAY!$B$3:$B$1000&amp;"",DISPLAY!$H$3:$H$1000,""),"Network Device",_xlfn.XLOOKUP($K248&amp;"",'NETWORK-DEVICES'!$B$3:$B$987&amp;"",'NETWORK-DEVICES'!$H$3:$H$987,""),"Peripheral",_xlfn.XLOOKUP($K248&amp;"",PERIPHERAL!$B$3:$B$954&amp;"",PERIPHERAL!$H$3:$H$954,""),"Utilities",_xlfn.XLOOKUP($K248&amp;"",UTILITIES!$B$3:$B$953&amp;"",UTILITIES!$G$3:$G$953,""),"IOT",_xlfn.XLOOKUP($K248&amp;"",IOT!$B$3:$B$1012&amp;"",IOT!$H$3:$H$1012,""),"Server",_xlfn.XLOOKUP($K248&amp;"",SERVER!$B$3:$B$1009&amp;"",SERVER!$H$3:$H$1009,""),""),IF(TRIM(_xlpm.srcCat)&lt;&gt;TRIM($J248),"",_xlfn.SWITCH($I248,"Computer",_xlfn.XLOOKUP($K248&amp;"",COMPUTER!$B$3:$B$1009&amp;"",COMPUTER!$E$3:$E$1009,""),"Display",_xlfn.XLOOKUP($K248&amp;"",DISPLAY!$B$3:$B$1000&amp;"",DISPLAY!$E$3:$E$1000,""),"Network Device",_xlfn.XLOOKUP($K248&amp;"",'NETWORK-DEVICES'!$B$3:$B$987&amp;"",'NETWORK-DEVICES'!$E$3:$E$987,""),"Peripheral",_xlfn.XLOOKUP($K248&amp;"",PERIPHERAL!$B$3:$B$954&amp;"",PERIPHERAL!$E$3:$E$954,""),"Utilities",_xlfn.XLOOKUP($K248&amp;"",UTILITIES!$B$3:$B$953&amp;"",UTILITIES!$E$3:$E$953,""),"IOT",_xlfn.XLOOKUP($K248&amp;"",IOT!$B$3:$B$1012&amp;"",IOT!$E$3:$E$1012,""),"Server",_xlfn.XLOOKUP($K248&amp;"",SERVER!$B$3:$B$1009&amp;"",SERVER!$E$3:$E$1009,""),""))))</f>
        <v/>
      </c>
      <c r="Q248" s="1" t="str" cm="1">
        <f t="array" ref="Q248">IF(OR($K248="",$I248="",$J248=""),"",_xlfn.LET(_xlpm.srcCat,_xlfn.SWITCH($I248,"Computer",_xlfn.XLOOKUP($K248&amp;"",COMPUTER!$B$3:$B$1009&amp;"",COMPUTER!$H$3:$H$1009,""),"Display",_xlfn.XLOOKUP($K248&amp;"",DISPLAY!$B$3:$B$1000&amp;"",DISPLAY!$H$3:$H$1000,""),"Network Device",_xlfn.XLOOKUP($K248&amp;"",'NETWORK-DEVICES'!$B$3:$B$987&amp;"",'NETWORK-DEVICES'!$H$3:$H$987,""),"Peripheral",_xlfn.XLOOKUP($K248&amp;"",PERIPHERAL!$B$3:$B$954&amp;"",PERIPHERAL!$H$3:$H$954,""),"Utilities",_xlfn.XLOOKUP($K248&amp;"",UTILITIES!$B$3:$B$953&amp;"",UTILITIES!$G$3:$G$953,""),"IOT",_xlfn.XLOOKUP($K248&amp;"",IOT!$B$3:$B$1012&amp;"",IOT!$H$3:$H$1012,""),"Server",_xlfn.XLOOKUP($K248&amp;"",SERVER!$B$3:$B$1009&amp;"",SERVER!$H$3:$H$1009,""),""),IF(TRIM(_xlpm.srcCat)&lt;&gt;TRIM($J248),"",_xlfn.SWITCH($I248,"Computer",_xlfn.XLOOKUP($K248&amp;"",COMPUTER!$B$3:$B$1009&amp;"",COMPUTER!$AM$3:$AM$1009,""),"Display",_xlfn.XLOOKUP($K248&amp;"",DISPLAY!$B$3:$B$1000&amp;"",DISPLAY!$V$3:$V$1000,""),"Network Device",_xlfn.XLOOKUP($K248&amp;"",'NETWORK-DEVICES'!$B$3:$B$987&amp;"",'NETWORK-DEVICES'!$AF$3:$AF$987,""),"Peripheral",_xlfn.XLOOKUP($K248&amp;"",PERIPHERAL!$B$3:$B$954&amp;"",PERIPHERAL!$Y$3:$Y$954,""),"Utilities",_xlfn.XLOOKUP($K248&amp;"",UTILITIES!$B$3:$B$953&amp;"",UTILITIES!$O$3:$O$953,""),"IOT",_xlfn.XLOOKUP($K248&amp;"",IOT!$B$3:$B$1012&amp;"",IOT!$AB$3:$AB$1012,""),"Server",_xlfn.XLOOKUP($K248&amp;"",SERVER!$B$3:$B$1009&amp;"",SERVER!$AB$3:$AB$1009,""),""))))</f>
        <v/>
      </c>
      <c r="R248" s="43" t="str">
        <f>IF(tbl_handover[[#This Row],[Asset Code]]="","",COUNTIF(tbl_handover[Asset Code],tbl_handover[[#This Row],[Asset Code]]))</f>
        <v/>
      </c>
    </row>
    <row r="249" spans="1:18" x14ac:dyDescent="0.25">
      <c r="A249" s="43" t="str">
        <f>IF(B249&lt;&gt;"",SUBTOTAL(3,$B$1:B248),"")</f>
        <v/>
      </c>
      <c r="C249" s="74"/>
      <c r="D249" s="74"/>
      <c r="G249" s="1"/>
      <c r="K249" s="42"/>
      <c r="L249" t="str" cm="1">
        <f t="array" ref="L249">IF($K249="","",_xlfn.SWITCH($I249,"Computer",_xlfn.XLOOKUP($K249&amp;"",COMPUTER!$B$3:$B$1009&amp;"",COMPUTER!$I$3:$I$1009,""),"Display",_xlfn.XLOOKUP($K249&amp;"",DISPLAY!$B$3:$B$1000&amp;"",DISPLAY!$J$3:$J$1000,""),"Network Device",_xlfn.XLOOKUP($K249&amp;"",'NETWORK-DEVICES'!$B$3:$B$987&amp;"",'NETWORK-DEVICES'!$I$3:$I$987,""),"Peripheral",_xlfn.XLOOKUP($K249&amp;"",PERIPHERAL!$B$3:$B$954&amp;"",PERIPHERAL!$I$3:$I$954,""),"Utilities",_xlfn.XLOOKUP($K249&amp;"",UTILITIES!$B$3:$B$953&amp;"",UTILITIES!$H$3:$H$953,""),"IOT",_xlfn.XLOOKUP($K249&amp;"",IOT!$B$3:$B$1012&amp;"",IOT!$I$3:$I$1012,""),"SERVER",_xlfn.XLOOKUP($K249&amp;"",SERVER!$B$3:$B$1009&amp;"",SERVER!$I$3:$I$1009,""),""))</f>
        <v/>
      </c>
      <c r="M249" t="str" cm="1">
        <f t="array" ref="M249">IF($K249="","",_xlfn.SWITCH($I249,"Computer",_xlfn.XLOOKUP($K249&amp;"",COMPUTER!$B$3:$B$1009&amp;"",COMPUTER!$J$3:$J$1009,""),"Display",_xlfn.XLOOKUP($K249&amp;"",DISPLAY!$B$3:$B$1000&amp;"",DISPLAY!$K$3:$K$1000,""),"Network Device",_xlfn.XLOOKUP($K249&amp;"",'NETWORK-DEVICES'!$B$3:$B$987&amp;"",'NETWORK-DEVICES'!$I$3:$I$987,""),"Peripheral",_xlfn.XLOOKUP($K249&amp;"",PERIPHERAL!$B$3:$B$954&amp;"",PERIPHERAL!$J$3:$J$954,""),"Utilities",_xlfn.XLOOKUP($K249&amp;"",UTILITIES!$B$3:$B$953&amp;"",UTILITIES!$I$3:$I$953,""),"IOT",_xlfn.XLOOKUP($K249&amp;"",IOT!$B$3:$B$1012&amp;"",IOT!$J$3:$J$1012,""),"Server",_xlfn.XLOOKUP($K249&amp;"",SERVER!$B$3:$B$1009&amp;"",SERVER!$J$3:$J$1009,""),""))</f>
        <v/>
      </c>
      <c r="N249" s="1" t="str" cm="1">
        <f t="array" ref="N249">IF(OR($K249="",$I249="",$J249=""),"",_xlfn.LET(_xlpm.srcCat,_xlfn.SWITCH($I249,"Computer",_xlfn.XLOOKUP($K249&amp;"",COMPUTER!$B$3:$B$1009&amp;"",COMPUTER!$H$3:$H$1009,""),"Display",_xlfn.XLOOKUP($K249&amp;"",DISPLAY!$B$3:$B$1000&amp;"",DISPLAY!$H$3:$H$1000,""),"Network Device",_xlfn.XLOOKUP($K249&amp;"",'NETWORK-DEVICES'!$B$3:$B$987&amp;"",'NETWORK-DEVICES'!$H$3:$H$987,""),"Peripheral",_xlfn.XLOOKUP($K249&amp;"",PERIPHERAL!$B$3:$B$954&amp;"",PERIPHERAL!$H$3:$H$954,""),"Utilities",_xlfn.XLOOKUP($K249&amp;"",UTILITIES!$B$3:$B$953&amp;"",UTILITIES!$G$3:$G$953,""),"IOT",_xlfn.XLOOKUP($K249&amp;"",IOT!$B$3:$B$1012&amp;"",IOT!$H$3:$H$1012,""),"Server",_xlfn.XLOOKUP($K249&amp;"",SERVER!$B$3:$B$1009&amp;"",SERVER!$H$3:$H$1009,""),""),IF(TRIM(_xlpm.srcCat)&lt;&gt;TRIM($J249),"",_xlfn.SWITCH($I249,"Computer",_xlfn.XLOOKUP($K249&amp;"",COMPUTER!$B$3:$B$1009&amp;"",COMPUTER!$K$3:$K$1009,""),"Display",_xlfn.XLOOKUP($K249&amp;"",DISPLAY!$B$3:$B$1000&amp;"",DISPLAY!$L$3:$L$1000,""),"Network Device",_xlfn.XLOOKUP($K249&amp;"",'NETWORK-DEVICES'!$B$3:$B$987&amp;"",'NETWORK-DEVICES'!$K$3:$K$987,""),"Peripheral",_xlfn.XLOOKUP($K249&amp;"",PERIPHERAL!$B$3:$B$954&amp;"",PERIPHERAL!$K$3:$K$954,""),"Utilities",_xlfn.XLOOKUP($K249&amp;"",UTILITIES!$B$3:$B$953&amp;"",UTILITIES!$J$3:$J$953,""),"IOT",_xlfn.XLOOKUP($K249&amp;"",IOT!$B$3:$B$1012&amp;"",IOT!$K$4:$K$1012,""),"Server",_xlfn.XLOOKUP($K249&amp;"",SERVER!$B$3:$B$1009&amp;"",SERVER!$K$3:$K$1009,""),""))))</f>
        <v/>
      </c>
      <c r="O249" s="1" t="str" cm="1">
        <f t="array" ref="O249">IF(OR($K249="",$I249="",$J249=""),"",_xlfn.LET(_xlpm.srcCat,_xlfn.SWITCH($I249,"Computer",_xlfn.XLOOKUP($K249&amp;"",COMPUTER!$B$3:$B$1009&amp;"",COMPUTER!$H$3:$H$1009,""),"Display",_xlfn.XLOOKUP($K249&amp;"",DISPLAY!$B$3:$B$1000&amp;"",DISPLAY!$H$3:$H$1000,""),"Network Device",_xlfn.XLOOKUP($K249&amp;"",'NETWORK-DEVICES'!$B$3:$B$987&amp;"",'NETWORK-DEVICES'!$H$3:$H$987,""),"Peripheral",_xlfn.XLOOKUP($K249&amp;"",PERIPHERAL!$B$3:$B$954&amp;"",PERIPHERAL!$H$3:$H$954,""),"Utilities",_xlfn.XLOOKUP($K249&amp;"",UTILITIES!$B$3:$B$953&amp;"",UTILITIES!$G$3:$G$953,""),"IOT",_xlfn.XLOOKUP($K249&amp;"",IOT!$B$3:$B$1012&amp;"",IOT!$H$3:$H$1012,""),"Server",_xlfn.XLOOKUP($K249&amp;"",SERVER!$B$3:$B$1009&amp;"",SERVER!$H$3:$H$1009,""),""),IF(TRIM(_xlpm.srcCat)&lt;&gt;TRIM($J249),"",_xlfn.SWITCH($I249,"Computer",_xlfn.XLOOKUP($K249&amp;"",COMPUTER!$B$3:$B$1009&amp;"",COMPUTER!$E$3:$E$1009,""),"Display",_xlfn.XLOOKUP($K249&amp;"",DISPLAY!$B$3:$B$1000&amp;"",DISPLAY!$E$3:$E$1000,""),"Network Device",_xlfn.XLOOKUP($K249&amp;"",'NETWORK-DEVICES'!$B$3:$B$987&amp;"",'NETWORK-DEVICES'!$E$3:$E$987,""),"Peripheral",_xlfn.XLOOKUP($K249&amp;"",PERIPHERAL!$B$3:$B$954&amp;"",PERIPHERAL!$E$3:$E$954,""),"Utilities",_xlfn.XLOOKUP($K249&amp;"",UTILITIES!$B$3:$B$953&amp;"",UTILITIES!$E$3:$E$953,""),"IOT",_xlfn.XLOOKUP($K249&amp;"",IOT!$B$3:$B$1012&amp;"",IOT!$E$3:$E$1012,""),"Server",_xlfn.XLOOKUP($K249&amp;"",SERVER!$B$3:$B$1009&amp;"",SERVER!$E$3:$E$1009,""),""))))</f>
        <v/>
      </c>
      <c r="Q249" s="1" t="str" cm="1">
        <f t="array" ref="Q249">IF(OR($K249="",$I249="",$J249=""),"",_xlfn.LET(_xlpm.srcCat,_xlfn.SWITCH($I249,"Computer",_xlfn.XLOOKUP($K249&amp;"",COMPUTER!$B$3:$B$1009&amp;"",COMPUTER!$H$3:$H$1009,""),"Display",_xlfn.XLOOKUP($K249&amp;"",DISPLAY!$B$3:$B$1000&amp;"",DISPLAY!$H$3:$H$1000,""),"Network Device",_xlfn.XLOOKUP($K249&amp;"",'NETWORK-DEVICES'!$B$3:$B$987&amp;"",'NETWORK-DEVICES'!$H$3:$H$987,""),"Peripheral",_xlfn.XLOOKUP($K249&amp;"",PERIPHERAL!$B$3:$B$954&amp;"",PERIPHERAL!$H$3:$H$954,""),"Utilities",_xlfn.XLOOKUP($K249&amp;"",UTILITIES!$B$3:$B$953&amp;"",UTILITIES!$G$3:$G$953,""),"IOT",_xlfn.XLOOKUP($K249&amp;"",IOT!$B$3:$B$1012&amp;"",IOT!$H$3:$H$1012,""),"Server",_xlfn.XLOOKUP($K249&amp;"",SERVER!$B$3:$B$1009&amp;"",SERVER!$H$3:$H$1009,""),""),IF(TRIM(_xlpm.srcCat)&lt;&gt;TRIM($J249),"",_xlfn.SWITCH($I249,"Computer",_xlfn.XLOOKUP($K249&amp;"",COMPUTER!$B$3:$B$1009&amp;"",COMPUTER!$AM$3:$AM$1009,""),"Display",_xlfn.XLOOKUP($K249&amp;"",DISPLAY!$B$3:$B$1000&amp;"",DISPLAY!$V$3:$V$1000,""),"Network Device",_xlfn.XLOOKUP($K249&amp;"",'NETWORK-DEVICES'!$B$3:$B$987&amp;"",'NETWORK-DEVICES'!$AF$3:$AF$987,""),"Peripheral",_xlfn.XLOOKUP($K249&amp;"",PERIPHERAL!$B$3:$B$954&amp;"",PERIPHERAL!$Y$3:$Y$954,""),"Utilities",_xlfn.XLOOKUP($K249&amp;"",UTILITIES!$B$3:$B$953&amp;"",UTILITIES!$O$3:$O$953,""),"IOT",_xlfn.XLOOKUP($K249&amp;"",IOT!$B$3:$B$1012&amp;"",IOT!$AB$3:$AB$1012,""),"Server",_xlfn.XLOOKUP($K249&amp;"",SERVER!$B$3:$B$1009&amp;"",SERVER!$AB$3:$AB$1009,""),""))))</f>
        <v/>
      </c>
      <c r="R249" s="43" t="str">
        <f>IF(tbl_handover[[#This Row],[Asset Code]]="","",COUNTIF(tbl_handover[Asset Code],tbl_handover[[#This Row],[Asset Code]]))</f>
        <v/>
      </c>
    </row>
    <row r="250" spans="1:18" x14ac:dyDescent="0.25">
      <c r="A250" s="43" t="str">
        <f>IF(B250&lt;&gt;"",SUBTOTAL(3,$B$1:B249),"")</f>
        <v/>
      </c>
      <c r="C250" s="74"/>
      <c r="D250" s="74"/>
      <c r="G250" s="1"/>
      <c r="K250" s="42"/>
      <c r="L250" t="str" cm="1">
        <f t="array" ref="L250">IF($K250="","",_xlfn.SWITCH($I250,"Computer",_xlfn.XLOOKUP($K250&amp;"",COMPUTER!$B$3:$B$1009&amp;"",COMPUTER!$I$3:$I$1009,""),"Display",_xlfn.XLOOKUP($K250&amp;"",DISPLAY!$B$3:$B$1000&amp;"",DISPLAY!$J$3:$J$1000,""),"Network Device",_xlfn.XLOOKUP($K250&amp;"",'NETWORK-DEVICES'!$B$3:$B$987&amp;"",'NETWORK-DEVICES'!$I$3:$I$987,""),"Peripheral",_xlfn.XLOOKUP($K250&amp;"",PERIPHERAL!$B$3:$B$954&amp;"",PERIPHERAL!$I$3:$I$954,""),"Utilities",_xlfn.XLOOKUP($K250&amp;"",UTILITIES!$B$3:$B$953&amp;"",UTILITIES!$H$3:$H$953,""),"IOT",_xlfn.XLOOKUP($K250&amp;"",IOT!$B$3:$B$1012&amp;"",IOT!$I$3:$I$1012,""),"SERVER",_xlfn.XLOOKUP($K250&amp;"",SERVER!$B$3:$B$1009&amp;"",SERVER!$I$3:$I$1009,""),""))</f>
        <v/>
      </c>
      <c r="M250" t="str" cm="1">
        <f t="array" ref="M250">IF($K250="","",_xlfn.SWITCH($I250,"Computer",_xlfn.XLOOKUP($K250&amp;"",COMPUTER!$B$3:$B$1009&amp;"",COMPUTER!$J$3:$J$1009,""),"Display",_xlfn.XLOOKUP($K250&amp;"",DISPLAY!$B$3:$B$1000&amp;"",DISPLAY!$K$3:$K$1000,""),"Network Device",_xlfn.XLOOKUP($K250&amp;"",'NETWORK-DEVICES'!$B$3:$B$987&amp;"",'NETWORK-DEVICES'!$I$3:$I$987,""),"Peripheral",_xlfn.XLOOKUP($K250&amp;"",PERIPHERAL!$B$3:$B$954&amp;"",PERIPHERAL!$J$3:$J$954,""),"Utilities",_xlfn.XLOOKUP($K250&amp;"",UTILITIES!$B$3:$B$953&amp;"",UTILITIES!$I$3:$I$953,""),"IOT",_xlfn.XLOOKUP($K250&amp;"",IOT!$B$3:$B$1012&amp;"",IOT!$J$3:$J$1012,""),"Server",_xlfn.XLOOKUP($K250&amp;"",SERVER!$B$3:$B$1009&amp;"",SERVER!$J$3:$J$1009,""),""))</f>
        <v/>
      </c>
      <c r="N250" s="1" t="str" cm="1">
        <f t="array" ref="N250">IF(OR($K250="",$I250="",$J250=""),"",_xlfn.LET(_xlpm.srcCat,_xlfn.SWITCH($I250,"Computer",_xlfn.XLOOKUP($K250&amp;"",COMPUTER!$B$3:$B$1009&amp;"",COMPUTER!$H$3:$H$1009,""),"Display",_xlfn.XLOOKUP($K250&amp;"",DISPLAY!$B$3:$B$1000&amp;"",DISPLAY!$H$3:$H$1000,""),"Network Device",_xlfn.XLOOKUP($K250&amp;"",'NETWORK-DEVICES'!$B$3:$B$987&amp;"",'NETWORK-DEVICES'!$H$3:$H$987,""),"Peripheral",_xlfn.XLOOKUP($K250&amp;"",PERIPHERAL!$B$3:$B$954&amp;"",PERIPHERAL!$H$3:$H$954,""),"Utilities",_xlfn.XLOOKUP($K250&amp;"",UTILITIES!$B$3:$B$953&amp;"",UTILITIES!$G$3:$G$953,""),"IOT",_xlfn.XLOOKUP($K250&amp;"",IOT!$B$3:$B$1012&amp;"",IOT!$H$3:$H$1012,""),"Server",_xlfn.XLOOKUP($K250&amp;"",SERVER!$B$3:$B$1009&amp;"",SERVER!$H$3:$H$1009,""),""),IF(TRIM(_xlpm.srcCat)&lt;&gt;TRIM($J250),"",_xlfn.SWITCH($I250,"Computer",_xlfn.XLOOKUP($K250&amp;"",COMPUTER!$B$3:$B$1009&amp;"",COMPUTER!$K$3:$K$1009,""),"Display",_xlfn.XLOOKUP($K250&amp;"",DISPLAY!$B$3:$B$1000&amp;"",DISPLAY!$L$3:$L$1000,""),"Network Device",_xlfn.XLOOKUP($K250&amp;"",'NETWORK-DEVICES'!$B$3:$B$987&amp;"",'NETWORK-DEVICES'!$K$3:$K$987,""),"Peripheral",_xlfn.XLOOKUP($K250&amp;"",PERIPHERAL!$B$3:$B$954&amp;"",PERIPHERAL!$K$3:$K$954,""),"Utilities",_xlfn.XLOOKUP($K250&amp;"",UTILITIES!$B$3:$B$953&amp;"",UTILITIES!$J$3:$J$953,""),"IOT",_xlfn.XLOOKUP($K250&amp;"",IOT!$B$3:$B$1012&amp;"",IOT!$K$4:$K$1012,""),"Server",_xlfn.XLOOKUP($K250&amp;"",SERVER!$B$3:$B$1009&amp;"",SERVER!$K$3:$K$1009,""),""))))</f>
        <v/>
      </c>
      <c r="O250" s="1" t="str" cm="1">
        <f t="array" ref="O250">IF(OR($K250="",$I250="",$J250=""),"",_xlfn.LET(_xlpm.srcCat,_xlfn.SWITCH($I250,"Computer",_xlfn.XLOOKUP($K250&amp;"",COMPUTER!$B$3:$B$1009&amp;"",COMPUTER!$H$3:$H$1009,""),"Display",_xlfn.XLOOKUP($K250&amp;"",DISPLAY!$B$3:$B$1000&amp;"",DISPLAY!$H$3:$H$1000,""),"Network Device",_xlfn.XLOOKUP($K250&amp;"",'NETWORK-DEVICES'!$B$3:$B$987&amp;"",'NETWORK-DEVICES'!$H$3:$H$987,""),"Peripheral",_xlfn.XLOOKUP($K250&amp;"",PERIPHERAL!$B$3:$B$954&amp;"",PERIPHERAL!$H$3:$H$954,""),"Utilities",_xlfn.XLOOKUP($K250&amp;"",UTILITIES!$B$3:$B$953&amp;"",UTILITIES!$G$3:$G$953,""),"IOT",_xlfn.XLOOKUP($K250&amp;"",IOT!$B$3:$B$1012&amp;"",IOT!$H$3:$H$1012,""),"Server",_xlfn.XLOOKUP($K250&amp;"",SERVER!$B$3:$B$1009&amp;"",SERVER!$H$3:$H$1009,""),""),IF(TRIM(_xlpm.srcCat)&lt;&gt;TRIM($J250),"",_xlfn.SWITCH($I250,"Computer",_xlfn.XLOOKUP($K250&amp;"",COMPUTER!$B$3:$B$1009&amp;"",COMPUTER!$E$3:$E$1009,""),"Display",_xlfn.XLOOKUP($K250&amp;"",DISPLAY!$B$3:$B$1000&amp;"",DISPLAY!$E$3:$E$1000,""),"Network Device",_xlfn.XLOOKUP($K250&amp;"",'NETWORK-DEVICES'!$B$3:$B$987&amp;"",'NETWORK-DEVICES'!$E$3:$E$987,""),"Peripheral",_xlfn.XLOOKUP($K250&amp;"",PERIPHERAL!$B$3:$B$954&amp;"",PERIPHERAL!$E$3:$E$954,""),"Utilities",_xlfn.XLOOKUP($K250&amp;"",UTILITIES!$B$3:$B$953&amp;"",UTILITIES!$E$3:$E$953,""),"IOT",_xlfn.XLOOKUP($K250&amp;"",IOT!$B$3:$B$1012&amp;"",IOT!$E$3:$E$1012,""),"Server",_xlfn.XLOOKUP($K250&amp;"",SERVER!$B$3:$B$1009&amp;"",SERVER!$E$3:$E$1009,""),""))))</f>
        <v/>
      </c>
      <c r="Q250" s="1" t="str" cm="1">
        <f t="array" ref="Q250">IF(OR($K250="",$I250="",$J250=""),"",_xlfn.LET(_xlpm.srcCat,_xlfn.SWITCH($I250,"Computer",_xlfn.XLOOKUP($K250&amp;"",COMPUTER!$B$3:$B$1009&amp;"",COMPUTER!$H$3:$H$1009,""),"Display",_xlfn.XLOOKUP($K250&amp;"",DISPLAY!$B$3:$B$1000&amp;"",DISPLAY!$H$3:$H$1000,""),"Network Device",_xlfn.XLOOKUP($K250&amp;"",'NETWORK-DEVICES'!$B$3:$B$987&amp;"",'NETWORK-DEVICES'!$H$3:$H$987,""),"Peripheral",_xlfn.XLOOKUP($K250&amp;"",PERIPHERAL!$B$3:$B$954&amp;"",PERIPHERAL!$H$3:$H$954,""),"Utilities",_xlfn.XLOOKUP($K250&amp;"",UTILITIES!$B$3:$B$953&amp;"",UTILITIES!$G$3:$G$953,""),"IOT",_xlfn.XLOOKUP($K250&amp;"",IOT!$B$3:$B$1012&amp;"",IOT!$H$3:$H$1012,""),"Server",_xlfn.XLOOKUP($K250&amp;"",SERVER!$B$3:$B$1009&amp;"",SERVER!$H$3:$H$1009,""),""),IF(TRIM(_xlpm.srcCat)&lt;&gt;TRIM($J250),"",_xlfn.SWITCH($I250,"Computer",_xlfn.XLOOKUP($K250&amp;"",COMPUTER!$B$3:$B$1009&amp;"",COMPUTER!$AM$3:$AM$1009,""),"Display",_xlfn.XLOOKUP($K250&amp;"",DISPLAY!$B$3:$B$1000&amp;"",DISPLAY!$V$3:$V$1000,""),"Network Device",_xlfn.XLOOKUP($K250&amp;"",'NETWORK-DEVICES'!$B$3:$B$987&amp;"",'NETWORK-DEVICES'!$AF$3:$AF$987,""),"Peripheral",_xlfn.XLOOKUP($K250&amp;"",PERIPHERAL!$B$3:$B$954&amp;"",PERIPHERAL!$Y$3:$Y$954,""),"Utilities",_xlfn.XLOOKUP($K250&amp;"",UTILITIES!$B$3:$B$953&amp;"",UTILITIES!$O$3:$O$953,""),"IOT",_xlfn.XLOOKUP($K250&amp;"",IOT!$B$3:$B$1012&amp;"",IOT!$AB$3:$AB$1012,""),"Server",_xlfn.XLOOKUP($K250&amp;"",SERVER!$B$3:$B$1009&amp;"",SERVER!$AB$3:$AB$1009,""),""))))</f>
        <v/>
      </c>
      <c r="R250" s="43" t="str">
        <f>IF(tbl_handover[[#This Row],[Asset Code]]="","",COUNTIF(tbl_handover[Asset Code],tbl_handover[[#This Row],[Asset Code]]))</f>
        <v/>
      </c>
    </row>
    <row r="251" spans="1:18" x14ac:dyDescent="0.25">
      <c r="A251" s="43" t="str">
        <f>IF(B251&lt;&gt;"",SUBTOTAL(3,$B$1:B250),"")</f>
        <v/>
      </c>
      <c r="C251" s="74"/>
      <c r="D251" s="74"/>
      <c r="G251" s="1"/>
      <c r="K251" s="42"/>
      <c r="L251" t="str" cm="1">
        <f t="array" ref="L251">IF($K251="","",_xlfn.SWITCH($I251,"Computer",_xlfn.XLOOKUP($K251&amp;"",COMPUTER!$B$3:$B$1009&amp;"",COMPUTER!$I$3:$I$1009,""),"Display",_xlfn.XLOOKUP($K251&amp;"",DISPLAY!$B$3:$B$1000&amp;"",DISPLAY!$J$3:$J$1000,""),"Network Device",_xlfn.XLOOKUP($K251&amp;"",'NETWORK-DEVICES'!$B$3:$B$987&amp;"",'NETWORK-DEVICES'!$I$3:$I$987,""),"Peripheral",_xlfn.XLOOKUP($K251&amp;"",PERIPHERAL!$B$3:$B$954&amp;"",PERIPHERAL!$I$3:$I$954,""),"Utilities",_xlfn.XLOOKUP($K251&amp;"",UTILITIES!$B$3:$B$953&amp;"",UTILITIES!$H$3:$H$953,""),"IOT",_xlfn.XLOOKUP($K251&amp;"",IOT!$B$3:$B$1012&amp;"",IOT!$I$3:$I$1012,""),"SERVER",_xlfn.XLOOKUP($K251&amp;"",SERVER!$B$3:$B$1009&amp;"",SERVER!$I$3:$I$1009,""),""))</f>
        <v/>
      </c>
      <c r="M251" t="str" cm="1">
        <f t="array" ref="M251">IF($K251="","",_xlfn.SWITCH($I251,"Computer",_xlfn.XLOOKUP($K251&amp;"",COMPUTER!$B$3:$B$1009&amp;"",COMPUTER!$J$3:$J$1009,""),"Display",_xlfn.XLOOKUP($K251&amp;"",DISPLAY!$B$3:$B$1000&amp;"",DISPLAY!$K$3:$K$1000,""),"Network Device",_xlfn.XLOOKUP($K251&amp;"",'NETWORK-DEVICES'!$B$3:$B$987&amp;"",'NETWORK-DEVICES'!$I$3:$I$987,""),"Peripheral",_xlfn.XLOOKUP($K251&amp;"",PERIPHERAL!$B$3:$B$954&amp;"",PERIPHERAL!$J$3:$J$954,""),"Utilities",_xlfn.XLOOKUP($K251&amp;"",UTILITIES!$B$3:$B$953&amp;"",UTILITIES!$I$3:$I$953,""),"IOT",_xlfn.XLOOKUP($K251&amp;"",IOT!$B$3:$B$1012&amp;"",IOT!$J$3:$J$1012,""),"Server",_xlfn.XLOOKUP($K251&amp;"",SERVER!$B$3:$B$1009&amp;"",SERVER!$J$3:$J$1009,""),""))</f>
        <v/>
      </c>
      <c r="N251" s="1" t="str" cm="1">
        <f t="array" ref="N251">IF(OR($K251="",$I251="",$J251=""),"",_xlfn.LET(_xlpm.srcCat,_xlfn.SWITCH($I251,"Computer",_xlfn.XLOOKUP($K251&amp;"",COMPUTER!$B$3:$B$1009&amp;"",COMPUTER!$H$3:$H$1009,""),"Display",_xlfn.XLOOKUP($K251&amp;"",DISPLAY!$B$3:$B$1000&amp;"",DISPLAY!$H$3:$H$1000,""),"Network Device",_xlfn.XLOOKUP($K251&amp;"",'NETWORK-DEVICES'!$B$3:$B$987&amp;"",'NETWORK-DEVICES'!$H$3:$H$987,""),"Peripheral",_xlfn.XLOOKUP($K251&amp;"",PERIPHERAL!$B$3:$B$954&amp;"",PERIPHERAL!$H$3:$H$954,""),"Utilities",_xlfn.XLOOKUP($K251&amp;"",UTILITIES!$B$3:$B$953&amp;"",UTILITIES!$G$3:$G$953,""),"IOT",_xlfn.XLOOKUP($K251&amp;"",IOT!$B$3:$B$1012&amp;"",IOT!$H$3:$H$1012,""),"Server",_xlfn.XLOOKUP($K251&amp;"",SERVER!$B$3:$B$1009&amp;"",SERVER!$H$3:$H$1009,""),""),IF(TRIM(_xlpm.srcCat)&lt;&gt;TRIM($J251),"",_xlfn.SWITCH($I251,"Computer",_xlfn.XLOOKUP($K251&amp;"",COMPUTER!$B$3:$B$1009&amp;"",COMPUTER!$K$3:$K$1009,""),"Display",_xlfn.XLOOKUP($K251&amp;"",DISPLAY!$B$3:$B$1000&amp;"",DISPLAY!$L$3:$L$1000,""),"Network Device",_xlfn.XLOOKUP($K251&amp;"",'NETWORK-DEVICES'!$B$3:$B$987&amp;"",'NETWORK-DEVICES'!$K$3:$K$987,""),"Peripheral",_xlfn.XLOOKUP($K251&amp;"",PERIPHERAL!$B$3:$B$954&amp;"",PERIPHERAL!$K$3:$K$954,""),"Utilities",_xlfn.XLOOKUP($K251&amp;"",UTILITIES!$B$3:$B$953&amp;"",UTILITIES!$J$3:$J$953,""),"IOT",_xlfn.XLOOKUP($K251&amp;"",IOT!$B$3:$B$1012&amp;"",IOT!$K$4:$K$1012,""),"Server",_xlfn.XLOOKUP($K251&amp;"",SERVER!$B$3:$B$1009&amp;"",SERVER!$K$3:$K$1009,""),""))))</f>
        <v/>
      </c>
      <c r="O251" s="1" t="str" cm="1">
        <f t="array" ref="O251">IF(OR($K251="",$I251="",$J251=""),"",_xlfn.LET(_xlpm.srcCat,_xlfn.SWITCH($I251,"Computer",_xlfn.XLOOKUP($K251&amp;"",COMPUTER!$B$3:$B$1009&amp;"",COMPUTER!$H$3:$H$1009,""),"Display",_xlfn.XLOOKUP($K251&amp;"",DISPLAY!$B$3:$B$1000&amp;"",DISPLAY!$H$3:$H$1000,""),"Network Device",_xlfn.XLOOKUP($K251&amp;"",'NETWORK-DEVICES'!$B$3:$B$987&amp;"",'NETWORK-DEVICES'!$H$3:$H$987,""),"Peripheral",_xlfn.XLOOKUP($K251&amp;"",PERIPHERAL!$B$3:$B$954&amp;"",PERIPHERAL!$H$3:$H$954,""),"Utilities",_xlfn.XLOOKUP($K251&amp;"",UTILITIES!$B$3:$B$953&amp;"",UTILITIES!$G$3:$G$953,""),"IOT",_xlfn.XLOOKUP($K251&amp;"",IOT!$B$3:$B$1012&amp;"",IOT!$H$3:$H$1012,""),"Server",_xlfn.XLOOKUP($K251&amp;"",SERVER!$B$3:$B$1009&amp;"",SERVER!$H$3:$H$1009,""),""),IF(TRIM(_xlpm.srcCat)&lt;&gt;TRIM($J251),"",_xlfn.SWITCH($I251,"Computer",_xlfn.XLOOKUP($K251&amp;"",COMPUTER!$B$3:$B$1009&amp;"",COMPUTER!$E$3:$E$1009,""),"Display",_xlfn.XLOOKUP($K251&amp;"",DISPLAY!$B$3:$B$1000&amp;"",DISPLAY!$E$3:$E$1000,""),"Network Device",_xlfn.XLOOKUP($K251&amp;"",'NETWORK-DEVICES'!$B$3:$B$987&amp;"",'NETWORK-DEVICES'!$E$3:$E$987,""),"Peripheral",_xlfn.XLOOKUP($K251&amp;"",PERIPHERAL!$B$3:$B$954&amp;"",PERIPHERAL!$E$3:$E$954,""),"Utilities",_xlfn.XLOOKUP($K251&amp;"",UTILITIES!$B$3:$B$953&amp;"",UTILITIES!$E$3:$E$953,""),"IOT",_xlfn.XLOOKUP($K251&amp;"",IOT!$B$3:$B$1012&amp;"",IOT!$E$3:$E$1012,""),"Server",_xlfn.XLOOKUP($K251&amp;"",SERVER!$B$3:$B$1009&amp;"",SERVER!$E$3:$E$1009,""),""))))</f>
        <v/>
      </c>
      <c r="Q251" s="1" t="str" cm="1">
        <f t="array" ref="Q251">IF(OR($K251="",$I251="",$J251=""),"",_xlfn.LET(_xlpm.srcCat,_xlfn.SWITCH($I251,"Computer",_xlfn.XLOOKUP($K251&amp;"",COMPUTER!$B$3:$B$1009&amp;"",COMPUTER!$H$3:$H$1009,""),"Display",_xlfn.XLOOKUP($K251&amp;"",DISPLAY!$B$3:$B$1000&amp;"",DISPLAY!$H$3:$H$1000,""),"Network Device",_xlfn.XLOOKUP($K251&amp;"",'NETWORK-DEVICES'!$B$3:$B$987&amp;"",'NETWORK-DEVICES'!$H$3:$H$987,""),"Peripheral",_xlfn.XLOOKUP($K251&amp;"",PERIPHERAL!$B$3:$B$954&amp;"",PERIPHERAL!$H$3:$H$954,""),"Utilities",_xlfn.XLOOKUP($K251&amp;"",UTILITIES!$B$3:$B$953&amp;"",UTILITIES!$G$3:$G$953,""),"IOT",_xlfn.XLOOKUP($K251&amp;"",IOT!$B$3:$B$1012&amp;"",IOT!$H$3:$H$1012,""),"Server",_xlfn.XLOOKUP($K251&amp;"",SERVER!$B$3:$B$1009&amp;"",SERVER!$H$3:$H$1009,""),""),IF(TRIM(_xlpm.srcCat)&lt;&gt;TRIM($J251),"",_xlfn.SWITCH($I251,"Computer",_xlfn.XLOOKUP($K251&amp;"",COMPUTER!$B$3:$B$1009&amp;"",COMPUTER!$AM$3:$AM$1009,""),"Display",_xlfn.XLOOKUP($K251&amp;"",DISPLAY!$B$3:$B$1000&amp;"",DISPLAY!$V$3:$V$1000,""),"Network Device",_xlfn.XLOOKUP($K251&amp;"",'NETWORK-DEVICES'!$B$3:$B$987&amp;"",'NETWORK-DEVICES'!$AF$3:$AF$987,""),"Peripheral",_xlfn.XLOOKUP($K251&amp;"",PERIPHERAL!$B$3:$B$954&amp;"",PERIPHERAL!$Y$3:$Y$954,""),"Utilities",_xlfn.XLOOKUP($K251&amp;"",UTILITIES!$B$3:$B$953&amp;"",UTILITIES!$O$3:$O$953,""),"IOT",_xlfn.XLOOKUP($K251&amp;"",IOT!$B$3:$B$1012&amp;"",IOT!$AB$3:$AB$1012,""),"Server",_xlfn.XLOOKUP($K251&amp;"",SERVER!$B$3:$B$1009&amp;"",SERVER!$AB$3:$AB$1009,""),""))))</f>
        <v/>
      </c>
      <c r="R251" s="43" t="str">
        <f>IF(tbl_handover[[#This Row],[Asset Code]]="","",COUNTIF(tbl_handover[Asset Code],tbl_handover[[#This Row],[Asset Code]]))</f>
        <v/>
      </c>
    </row>
    <row r="252" spans="1:18" x14ac:dyDescent="0.25">
      <c r="A252" s="43" t="str">
        <f>IF(B252&lt;&gt;"",SUBTOTAL(3,$B$1:B251),"")</f>
        <v/>
      </c>
      <c r="C252" s="74"/>
      <c r="D252" s="74"/>
      <c r="G252" s="1"/>
      <c r="K252" s="42"/>
      <c r="L252" t="str" cm="1">
        <f t="array" ref="L252">IF($K252="","",_xlfn.SWITCH($I252,"Computer",_xlfn.XLOOKUP($K252&amp;"",COMPUTER!$B$3:$B$1009&amp;"",COMPUTER!$I$3:$I$1009,""),"Display",_xlfn.XLOOKUP($K252&amp;"",DISPLAY!$B$3:$B$1000&amp;"",DISPLAY!$J$3:$J$1000,""),"Network Device",_xlfn.XLOOKUP($K252&amp;"",'NETWORK-DEVICES'!$B$3:$B$987&amp;"",'NETWORK-DEVICES'!$I$3:$I$987,""),"Peripheral",_xlfn.XLOOKUP($K252&amp;"",PERIPHERAL!$B$3:$B$954&amp;"",PERIPHERAL!$I$3:$I$954,""),"Utilities",_xlfn.XLOOKUP($K252&amp;"",UTILITIES!$B$3:$B$953&amp;"",UTILITIES!$H$3:$H$953,""),"IOT",_xlfn.XLOOKUP($K252&amp;"",IOT!$B$3:$B$1012&amp;"",IOT!$I$3:$I$1012,""),"SERVER",_xlfn.XLOOKUP($K252&amp;"",SERVER!$B$3:$B$1009&amp;"",SERVER!$I$3:$I$1009,""),""))</f>
        <v/>
      </c>
      <c r="M252" t="str" cm="1">
        <f t="array" ref="M252">IF($K252="","",_xlfn.SWITCH($I252,"Computer",_xlfn.XLOOKUP($K252&amp;"",COMPUTER!$B$3:$B$1009&amp;"",COMPUTER!$J$3:$J$1009,""),"Display",_xlfn.XLOOKUP($K252&amp;"",DISPLAY!$B$3:$B$1000&amp;"",DISPLAY!$K$3:$K$1000,""),"Network Device",_xlfn.XLOOKUP($K252&amp;"",'NETWORK-DEVICES'!$B$3:$B$987&amp;"",'NETWORK-DEVICES'!$I$3:$I$987,""),"Peripheral",_xlfn.XLOOKUP($K252&amp;"",PERIPHERAL!$B$3:$B$954&amp;"",PERIPHERAL!$J$3:$J$954,""),"Utilities",_xlfn.XLOOKUP($K252&amp;"",UTILITIES!$B$3:$B$953&amp;"",UTILITIES!$I$3:$I$953,""),"IOT",_xlfn.XLOOKUP($K252&amp;"",IOT!$B$3:$B$1012&amp;"",IOT!$J$3:$J$1012,""),"Server",_xlfn.XLOOKUP($K252&amp;"",SERVER!$B$3:$B$1009&amp;"",SERVER!$J$3:$J$1009,""),""))</f>
        <v/>
      </c>
      <c r="N252" s="1" t="str" cm="1">
        <f t="array" ref="N252">IF(OR($K252="",$I252="",$J252=""),"",_xlfn.LET(_xlpm.srcCat,_xlfn.SWITCH($I252,"Computer",_xlfn.XLOOKUP($K252&amp;"",COMPUTER!$B$3:$B$1009&amp;"",COMPUTER!$H$3:$H$1009,""),"Display",_xlfn.XLOOKUP($K252&amp;"",DISPLAY!$B$3:$B$1000&amp;"",DISPLAY!$H$3:$H$1000,""),"Network Device",_xlfn.XLOOKUP($K252&amp;"",'NETWORK-DEVICES'!$B$3:$B$987&amp;"",'NETWORK-DEVICES'!$H$3:$H$987,""),"Peripheral",_xlfn.XLOOKUP($K252&amp;"",PERIPHERAL!$B$3:$B$954&amp;"",PERIPHERAL!$H$3:$H$954,""),"Utilities",_xlfn.XLOOKUP($K252&amp;"",UTILITIES!$B$3:$B$953&amp;"",UTILITIES!$G$3:$G$953,""),"IOT",_xlfn.XLOOKUP($K252&amp;"",IOT!$B$3:$B$1012&amp;"",IOT!$H$3:$H$1012,""),"Server",_xlfn.XLOOKUP($K252&amp;"",SERVER!$B$3:$B$1009&amp;"",SERVER!$H$3:$H$1009,""),""),IF(TRIM(_xlpm.srcCat)&lt;&gt;TRIM($J252),"",_xlfn.SWITCH($I252,"Computer",_xlfn.XLOOKUP($K252&amp;"",COMPUTER!$B$3:$B$1009&amp;"",COMPUTER!$K$3:$K$1009,""),"Display",_xlfn.XLOOKUP($K252&amp;"",DISPLAY!$B$3:$B$1000&amp;"",DISPLAY!$L$3:$L$1000,""),"Network Device",_xlfn.XLOOKUP($K252&amp;"",'NETWORK-DEVICES'!$B$3:$B$987&amp;"",'NETWORK-DEVICES'!$K$3:$K$987,""),"Peripheral",_xlfn.XLOOKUP($K252&amp;"",PERIPHERAL!$B$3:$B$954&amp;"",PERIPHERAL!$K$3:$K$954,""),"Utilities",_xlfn.XLOOKUP($K252&amp;"",UTILITIES!$B$3:$B$953&amp;"",UTILITIES!$J$3:$J$953,""),"IOT",_xlfn.XLOOKUP($K252&amp;"",IOT!$B$3:$B$1012&amp;"",IOT!$K$4:$K$1012,""),"Server",_xlfn.XLOOKUP($K252&amp;"",SERVER!$B$3:$B$1009&amp;"",SERVER!$K$3:$K$1009,""),""))))</f>
        <v/>
      </c>
      <c r="O252" s="1" t="str" cm="1">
        <f t="array" ref="O252">IF(OR($K252="",$I252="",$J252=""),"",_xlfn.LET(_xlpm.srcCat,_xlfn.SWITCH($I252,"Computer",_xlfn.XLOOKUP($K252&amp;"",COMPUTER!$B$3:$B$1009&amp;"",COMPUTER!$H$3:$H$1009,""),"Display",_xlfn.XLOOKUP($K252&amp;"",DISPLAY!$B$3:$B$1000&amp;"",DISPLAY!$H$3:$H$1000,""),"Network Device",_xlfn.XLOOKUP($K252&amp;"",'NETWORK-DEVICES'!$B$3:$B$987&amp;"",'NETWORK-DEVICES'!$H$3:$H$987,""),"Peripheral",_xlfn.XLOOKUP($K252&amp;"",PERIPHERAL!$B$3:$B$954&amp;"",PERIPHERAL!$H$3:$H$954,""),"Utilities",_xlfn.XLOOKUP($K252&amp;"",UTILITIES!$B$3:$B$953&amp;"",UTILITIES!$G$3:$G$953,""),"IOT",_xlfn.XLOOKUP($K252&amp;"",IOT!$B$3:$B$1012&amp;"",IOT!$H$3:$H$1012,""),"Server",_xlfn.XLOOKUP($K252&amp;"",SERVER!$B$3:$B$1009&amp;"",SERVER!$H$3:$H$1009,""),""),IF(TRIM(_xlpm.srcCat)&lt;&gt;TRIM($J252),"",_xlfn.SWITCH($I252,"Computer",_xlfn.XLOOKUP($K252&amp;"",COMPUTER!$B$3:$B$1009&amp;"",COMPUTER!$E$3:$E$1009,""),"Display",_xlfn.XLOOKUP($K252&amp;"",DISPLAY!$B$3:$B$1000&amp;"",DISPLAY!$E$3:$E$1000,""),"Network Device",_xlfn.XLOOKUP($K252&amp;"",'NETWORK-DEVICES'!$B$3:$B$987&amp;"",'NETWORK-DEVICES'!$E$3:$E$987,""),"Peripheral",_xlfn.XLOOKUP($K252&amp;"",PERIPHERAL!$B$3:$B$954&amp;"",PERIPHERAL!$E$3:$E$954,""),"Utilities",_xlfn.XLOOKUP($K252&amp;"",UTILITIES!$B$3:$B$953&amp;"",UTILITIES!$E$3:$E$953,""),"IOT",_xlfn.XLOOKUP($K252&amp;"",IOT!$B$3:$B$1012&amp;"",IOT!$E$3:$E$1012,""),"Server",_xlfn.XLOOKUP($K252&amp;"",SERVER!$B$3:$B$1009&amp;"",SERVER!$E$3:$E$1009,""),""))))</f>
        <v/>
      </c>
      <c r="Q252" s="1" t="str" cm="1">
        <f t="array" ref="Q252">IF(OR($K252="",$I252="",$J252=""),"",_xlfn.LET(_xlpm.srcCat,_xlfn.SWITCH($I252,"Computer",_xlfn.XLOOKUP($K252&amp;"",COMPUTER!$B$3:$B$1009&amp;"",COMPUTER!$H$3:$H$1009,""),"Display",_xlfn.XLOOKUP($K252&amp;"",DISPLAY!$B$3:$B$1000&amp;"",DISPLAY!$H$3:$H$1000,""),"Network Device",_xlfn.XLOOKUP($K252&amp;"",'NETWORK-DEVICES'!$B$3:$B$987&amp;"",'NETWORK-DEVICES'!$H$3:$H$987,""),"Peripheral",_xlfn.XLOOKUP($K252&amp;"",PERIPHERAL!$B$3:$B$954&amp;"",PERIPHERAL!$H$3:$H$954,""),"Utilities",_xlfn.XLOOKUP($K252&amp;"",UTILITIES!$B$3:$B$953&amp;"",UTILITIES!$G$3:$G$953,""),"IOT",_xlfn.XLOOKUP($K252&amp;"",IOT!$B$3:$B$1012&amp;"",IOT!$H$3:$H$1012,""),"Server",_xlfn.XLOOKUP($K252&amp;"",SERVER!$B$3:$B$1009&amp;"",SERVER!$H$3:$H$1009,""),""),IF(TRIM(_xlpm.srcCat)&lt;&gt;TRIM($J252),"",_xlfn.SWITCH($I252,"Computer",_xlfn.XLOOKUP($K252&amp;"",COMPUTER!$B$3:$B$1009&amp;"",COMPUTER!$AM$3:$AM$1009,""),"Display",_xlfn.XLOOKUP($K252&amp;"",DISPLAY!$B$3:$B$1000&amp;"",DISPLAY!$V$3:$V$1000,""),"Network Device",_xlfn.XLOOKUP($K252&amp;"",'NETWORK-DEVICES'!$B$3:$B$987&amp;"",'NETWORK-DEVICES'!$AF$3:$AF$987,""),"Peripheral",_xlfn.XLOOKUP($K252&amp;"",PERIPHERAL!$B$3:$B$954&amp;"",PERIPHERAL!$Y$3:$Y$954,""),"Utilities",_xlfn.XLOOKUP($K252&amp;"",UTILITIES!$B$3:$B$953&amp;"",UTILITIES!$O$3:$O$953,""),"IOT",_xlfn.XLOOKUP($K252&amp;"",IOT!$B$3:$B$1012&amp;"",IOT!$AB$3:$AB$1012,""),"Server",_xlfn.XLOOKUP($K252&amp;"",SERVER!$B$3:$B$1009&amp;"",SERVER!$AB$3:$AB$1009,""),""))))</f>
        <v/>
      </c>
      <c r="R252" s="43" t="str">
        <f>IF(tbl_handover[[#This Row],[Asset Code]]="","",COUNTIF(tbl_handover[Asset Code],tbl_handover[[#This Row],[Asset Code]]))</f>
        <v/>
      </c>
    </row>
    <row r="253" spans="1:18" x14ac:dyDescent="0.25">
      <c r="A253" s="43" t="str">
        <f>IF(B253&lt;&gt;"",SUBTOTAL(3,$B$1:B252),"")</f>
        <v/>
      </c>
      <c r="C253" s="74"/>
      <c r="D253" s="74"/>
      <c r="G253" s="1"/>
      <c r="K253" s="42"/>
      <c r="L253" t="str" cm="1">
        <f t="array" ref="L253">IF($K253="","",_xlfn.SWITCH($I253,"Computer",_xlfn.XLOOKUP($K253&amp;"",COMPUTER!$B$3:$B$1009&amp;"",COMPUTER!$I$3:$I$1009,""),"Display",_xlfn.XLOOKUP($K253&amp;"",DISPLAY!$B$3:$B$1000&amp;"",DISPLAY!$J$3:$J$1000,""),"Network Device",_xlfn.XLOOKUP($K253&amp;"",'NETWORK-DEVICES'!$B$3:$B$987&amp;"",'NETWORK-DEVICES'!$I$3:$I$987,""),"Peripheral",_xlfn.XLOOKUP($K253&amp;"",PERIPHERAL!$B$3:$B$954&amp;"",PERIPHERAL!$I$3:$I$954,""),"Utilities",_xlfn.XLOOKUP($K253&amp;"",UTILITIES!$B$3:$B$953&amp;"",UTILITIES!$H$3:$H$953,""),"IOT",_xlfn.XLOOKUP($K253&amp;"",IOT!$B$3:$B$1012&amp;"",IOT!$I$3:$I$1012,""),"SERVER",_xlfn.XLOOKUP($K253&amp;"",SERVER!$B$3:$B$1009&amp;"",SERVER!$I$3:$I$1009,""),""))</f>
        <v/>
      </c>
      <c r="M253" t="str" cm="1">
        <f t="array" ref="M253">IF($K253="","",_xlfn.SWITCH($I253,"Computer",_xlfn.XLOOKUP($K253&amp;"",COMPUTER!$B$3:$B$1009&amp;"",COMPUTER!$J$3:$J$1009,""),"Display",_xlfn.XLOOKUP($K253&amp;"",DISPLAY!$B$3:$B$1000&amp;"",DISPLAY!$K$3:$K$1000,""),"Network Device",_xlfn.XLOOKUP($K253&amp;"",'NETWORK-DEVICES'!$B$3:$B$987&amp;"",'NETWORK-DEVICES'!$I$3:$I$987,""),"Peripheral",_xlfn.XLOOKUP($K253&amp;"",PERIPHERAL!$B$3:$B$954&amp;"",PERIPHERAL!$J$3:$J$954,""),"Utilities",_xlfn.XLOOKUP($K253&amp;"",UTILITIES!$B$3:$B$953&amp;"",UTILITIES!$I$3:$I$953,""),"IOT",_xlfn.XLOOKUP($K253&amp;"",IOT!$B$3:$B$1012&amp;"",IOT!$J$3:$J$1012,""),"Server",_xlfn.XLOOKUP($K253&amp;"",SERVER!$B$3:$B$1009&amp;"",SERVER!$J$3:$J$1009,""),""))</f>
        <v/>
      </c>
      <c r="N253" s="1" t="str" cm="1">
        <f t="array" ref="N253">IF(OR($K253="",$I253="",$J253=""),"",_xlfn.LET(_xlpm.srcCat,_xlfn.SWITCH($I253,"Computer",_xlfn.XLOOKUP($K253&amp;"",COMPUTER!$B$3:$B$1009&amp;"",COMPUTER!$H$3:$H$1009,""),"Display",_xlfn.XLOOKUP($K253&amp;"",DISPLAY!$B$3:$B$1000&amp;"",DISPLAY!$H$3:$H$1000,""),"Network Device",_xlfn.XLOOKUP($K253&amp;"",'NETWORK-DEVICES'!$B$3:$B$987&amp;"",'NETWORK-DEVICES'!$H$3:$H$987,""),"Peripheral",_xlfn.XLOOKUP($K253&amp;"",PERIPHERAL!$B$3:$B$954&amp;"",PERIPHERAL!$H$3:$H$954,""),"Utilities",_xlfn.XLOOKUP($K253&amp;"",UTILITIES!$B$3:$B$953&amp;"",UTILITIES!$G$3:$G$953,""),"IOT",_xlfn.XLOOKUP($K253&amp;"",IOT!$B$3:$B$1012&amp;"",IOT!$H$3:$H$1012,""),"Server",_xlfn.XLOOKUP($K253&amp;"",SERVER!$B$3:$B$1009&amp;"",SERVER!$H$3:$H$1009,""),""),IF(TRIM(_xlpm.srcCat)&lt;&gt;TRIM($J253),"",_xlfn.SWITCH($I253,"Computer",_xlfn.XLOOKUP($K253&amp;"",COMPUTER!$B$3:$B$1009&amp;"",COMPUTER!$K$3:$K$1009,""),"Display",_xlfn.XLOOKUP($K253&amp;"",DISPLAY!$B$3:$B$1000&amp;"",DISPLAY!$L$3:$L$1000,""),"Network Device",_xlfn.XLOOKUP($K253&amp;"",'NETWORK-DEVICES'!$B$3:$B$987&amp;"",'NETWORK-DEVICES'!$K$3:$K$987,""),"Peripheral",_xlfn.XLOOKUP($K253&amp;"",PERIPHERAL!$B$3:$B$954&amp;"",PERIPHERAL!$K$3:$K$954,""),"Utilities",_xlfn.XLOOKUP($K253&amp;"",UTILITIES!$B$3:$B$953&amp;"",UTILITIES!$J$3:$J$953,""),"IOT",_xlfn.XLOOKUP($K253&amp;"",IOT!$B$3:$B$1012&amp;"",IOT!$K$4:$K$1012,""),"Server",_xlfn.XLOOKUP($K253&amp;"",SERVER!$B$3:$B$1009&amp;"",SERVER!$K$3:$K$1009,""),""))))</f>
        <v/>
      </c>
      <c r="O253" s="1" t="str" cm="1">
        <f t="array" ref="O253">IF(OR($K253="",$I253="",$J253=""),"",_xlfn.LET(_xlpm.srcCat,_xlfn.SWITCH($I253,"Computer",_xlfn.XLOOKUP($K253&amp;"",COMPUTER!$B$3:$B$1009&amp;"",COMPUTER!$H$3:$H$1009,""),"Display",_xlfn.XLOOKUP($K253&amp;"",DISPLAY!$B$3:$B$1000&amp;"",DISPLAY!$H$3:$H$1000,""),"Network Device",_xlfn.XLOOKUP($K253&amp;"",'NETWORK-DEVICES'!$B$3:$B$987&amp;"",'NETWORK-DEVICES'!$H$3:$H$987,""),"Peripheral",_xlfn.XLOOKUP($K253&amp;"",PERIPHERAL!$B$3:$B$954&amp;"",PERIPHERAL!$H$3:$H$954,""),"Utilities",_xlfn.XLOOKUP($K253&amp;"",UTILITIES!$B$3:$B$953&amp;"",UTILITIES!$G$3:$G$953,""),"IOT",_xlfn.XLOOKUP($K253&amp;"",IOT!$B$3:$B$1012&amp;"",IOT!$H$3:$H$1012,""),"Server",_xlfn.XLOOKUP($K253&amp;"",SERVER!$B$3:$B$1009&amp;"",SERVER!$H$3:$H$1009,""),""),IF(TRIM(_xlpm.srcCat)&lt;&gt;TRIM($J253),"",_xlfn.SWITCH($I253,"Computer",_xlfn.XLOOKUP($K253&amp;"",COMPUTER!$B$3:$B$1009&amp;"",COMPUTER!$E$3:$E$1009,""),"Display",_xlfn.XLOOKUP($K253&amp;"",DISPLAY!$B$3:$B$1000&amp;"",DISPLAY!$E$3:$E$1000,""),"Network Device",_xlfn.XLOOKUP($K253&amp;"",'NETWORK-DEVICES'!$B$3:$B$987&amp;"",'NETWORK-DEVICES'!$E$3:$E$987,""),"Peripheral",_xlfn.XLOOKUP($K253&amp;"",PERIPHERAL!$B$3:$B$954&amp;"",PERIPHERAL!$E$3:$E$954,""),"Utilities",_xlfn.XLOOKUP($K253&amp;"",UTILITIES!$B$3:$B$953&amp;"",UTILITIES!$E$3:$E$953,""),"IOT",_xlfn.XLOOKUP($K253&amp;"",IOT!$B$3:$B$1012&amp;"",IOT!$E$3:$E$1012,""),"Server",_xlfn.XLOOKUP($K253&amp;"",SERVER!$B$3:$B$1009&amp;"",SERVER!$E$3:$E$1009,""),""))))</f>
        <v/>
      </c>
      <c r="Q253" s="1" t="str" cm="1">
        <f t="array" ref="Q253">IF(OR($K253="",$I253="",$J253=""),"",_xlfn.LET(_xlpm.srcCat,_xlfn.SWITCH($I253,"Computer",_xlfn.XLOOKUP($K253&amp;"",COMPUTER!$B$3:$B$1009&amp;"",COMPUTER!$H$3:$H$1009,""),"Display",_xlfn.XLOOKUP($K253&amp;"",DISPLAY!$B$3:$B$1000&amp;"",DISPLAY!$H$3:$H$1000,""),"Network Device",_xlfn.XLOOKUP($K253&amp;"",'NETWORK-DEVICES'!$B$3:$B$987&amp;"",'NETWORK-DEVICES'!$H$3:$H$987,""),"Peripheral",_xlfn.XLOOKUP($K253&amp;"",PERIPHERAL!$B$3:$B$954&amp;"",PERIPHERAL!$H$3:$H$954,""),"Utilities",_xlfn.XLOOKUP($K253&amp;"",UTILITIES!$B$3:$B$953&amp;"",UTILITIES!$G$3:$G$953,""),"IOT",_xlfn.XLOOKUP($K253&amp;"",IOT!$B$3:$B$1012&amp;"",IOT!$H$3:$H$1012,""),"Server",_xlfn.XLOOKUP($K253&amp;"",SERVER!$B$3:$B$1009&amp;"",SERVER!$H$3:$H$1009,""),""),IF(TRIM(_xlpm.srcCat)&lt;&gt;TRIM($J253),"",_xlfn.SWITCH($I253,"Computer",_xlfn.XLOOKUP($K253&amp;"",COMPUTER!$B$3:$B$1009&amp;"",COMPUTER!$AM$3:$AM$1009,""),"Display",_xlfn.XLOOKUP($K253&amp;"",DISPLAY!$B$3:$B$1000&amp;"",DISPLAY!$V$3:$V$1000,""),"Network Device",_xlfn.XLOOKUP($K253&amp;"",'NETWORK-DEVICES'!$B$3:$B$987&amp;"",'NETWORK-DEVICES'!$AF$3:$AF$987,""),"Peripheral",_xlfn.XLOOKUP($K253&amp;"",PERIPHERAL!$B$3:$B$954&amp;"",PERIPHERAL!$Y$3:$Y$954,""),"Utilities",_xlfn.XLOOKUP($K253&amp;"",UTILITIES!$B$3:$B$953&amp;"",UTILITIES!$O$3:$O$953,""),"IOT",_xlfn.XLOOKUP($K253&amp;"",IOT!$B$3:$B$1012&amp;"",IOT!$AB$3:$AB$1012,""),"Server",_xlfn.XLOOKUP($K253&amp;"",SERVER!$B$3:$B$1009&amp;"",SERVER!$AB$3:$AB$1009,""),""))))</f>
        <v/>
      </c>
      <c r="R253" s="43" t="str">
        <f>IF(tbl_handover[[#This Row],[Asset Code]]="","",COUNTIF(tbl_handover[Asset Code],tbl_handover[[#This Row],[Asset Code]]))</f>
        <v/>
      </c>
    </row>
    <row r="254" spans="1:18" x14ac:dyDescent="0.25">
      <c r="A254" s="43" t="str">
        <f>IF(B254&lt;&gt;"",SUBTOTAL(3,$B$1:B253),"")</f>
        <v/>
      </c>
      <c r="C254" s="74"/>
      <c r="D254" s="74"/>
      <c r="G254" s="1"/>
      <c r="K254" s="42"/>
      <c r="L254" t="str" cm="1">
        <f t="array" ref="L254">IF($K254="","",_xlfn.SWITCH($I254,"Computer",_xlfn.XLOOKUP($K254&amp;"",COMPUTER!$B$3:$B$1009&amp;"",COMPUTER!$I$3:$I$1009,""),"Display",_xlfn.XLOOKUP($K254&amp;"",DISPLAY!$B$3:$B$1000&amp;"",DISPLAY!$J$3:$J$1000,""),"Network Device",_xlfn.XLOOKUP($K254&amp;"",'NETWORK-DEVICES'!$B$3:$B$987&amp;"",'NETWORK-DEVICES'!$I$3:$I$987,""),"Peripheral",_xlfn.XLOOKUP($K254&amp;"",PERIPHERAL!$B$3:$B$954&amp;"",PERIPHERAL!$I$3:$I$954,""),"Utilities",_xlfn.XLOOKUP($K254&amp;"",UTILITIES!$B$3:$B$953&amp;"",UTILITIES!$H$3:$H$953,""),"IOT",_xlfn.XLOOKUP($K254&amp;"",IOT!$B$3:$B$1012&amp;"",IOT!$I$3:$I$1012,""),"SERVER",_xlfn.XLOOKUP($K254&amp;"",SERVER!$B$3:$B$1009&amp;"",SERVER!$I$3:$I$1009,""),""))</f>
        <v/>
      </c>
      <c r="M254" t="str" cm="1">
        <f t="array" ref="M254">IF($K254="","",_xlfn.SWITCH($I254,"Computer",_xlfn.XLOOKUP($K254&amp;"",COMPUTER!$B$3:$B$1009&amp;"",COMPUTER!$J$3:$J$1009,""),"Display",_xlfn.XLOOKUP($K254&amp;"",DISPLAY!$B$3:$B$1000&amp;"",DISPLAY!$K$3:$K$1000,""),"Network Device",_xlfn.XLOOKUP($K254&amp;"",'NETWORK-DEVICES'!$B$3:$B$987&amp;"",'NETWORK-DEVICES'!$I$3:$I$987,""),"Peripheral",_xlfn.XLOOKUP($K254&amp;"",PERIPHERAL!$B$3:$B$954&amp;"",PERIPHERAL!$J$3:$J$954,""),"Utilities",_xlfn.XLOOKUP($K254&amp;"",UTILITIES!$B$3:$B$953&amp;"",UTILITIES!$I$3:$I$953,""),"IOT",_xlfn.XLOOKUP($K254&amp;"",IOT!$B$3:$B$1012&amp;"",IOT!$J$3:$J$1012,""),"Server",_xlfn.XLOOKUP($K254&amp;"",SERVER!$B$3:$B$1009&amp;"",SERVER!$J$3:$J$1009,""),""))</f>
        <v/>
      </c>
      <c r="N254" s="1" t="str" cm="1">
        <f t="array" ref="N254">IF(OR($K254="",$I254="",$J254=""),"",_xlfn.LET(_xlpm.srcCat,_xlfn.SWITCH($I254,"Computer",_xlfn.XLOOKUP($K254&amp;"",COMPUTER!$B$3:$B$1009&amp;"",COMPUTER!$H$3:$H$1009,""),"Display",_xlfn.XLOOKUP($K254&amp;"",DISPLAY!$B$3:$B$1000&amp;"",DISPLAY!$H$3:$H$1000,""),"Network Device",_xlfn.XLOOKUP($K254&amp;"",'NETWORK-DEVICES'!$B$3:$B$987&amp;"",'NETWORK-DEVICES'!$H$3:$H$987,""),"Peripheral",_xlfn.XLOOKUP($K254&amp;"",PERIPHERAL!$B$3:$B$954&amp;"",PERIPHERAL!$H$3:$H$954,""),"Utilities",_xlfn.XLOOKUP($K254&amp;"",UTILITIES!$B$3:$B$953&amp;"",UTILITIES!$G$3:$G$953,""),"IOT",_xlfn.XLOOKUP($K254&amp;"",IOT!$B$3:$B$1012&amp;"",IOT!$H$3:$H$1012,""),"Server",_xlfn.XLOOKUP($K254&amp;"",SERVER!$B$3:$B$1009&amp;"",SERVER!$H$3:$H$1009,""),""),IF(TRIM(_xlpm.srcCat)&lt;&gt;TRIM($J254),"",_xlfn.SWITCH($I254,"Computer",_xlfn.XLOOKUP($K254&amp;"",COMPUTER!$B$3:$B$1009&amp;"",COMPUTER!$K$3:$K$1009,""),"Display",_xlfn.XLOOKUP($K254&amp;"",DISPLAY!$B$3:$B$1000&amp;"",DISPLAY!$L$3:$L$1000,""),"Network Device",_xlfn.XLOOKUP($K254&amp;"",'NETWORK-DEVICES'!$B$3:$B$987&amp;"",'NETWORK-DEVICES'!$K$3:$K$987,""),"Peripheral",_xlfn.XLOOKUP($K254&amp;"",PERIPHERAL!$B$3:$B$954&amp;"",PERIPHERAL!$K$3:$K$954,""),"Utilities",_xlfn.XLOOKUP($K254&amp;"",UTILITIES!$B$3:$B$953&amp;"",UTILITIES!$J$3:$J$953,""),"IOT",_xlfn.XLOOKUP($K254&amp;"",IOT!$B$3:$B$1012&amp;"",IOT!$K$4:$K$1012,""),"Server",_xlfn.XLOOKUP($K254&amp;"",SERVER!$B$3:$B$1009&amp;"",SERVER!$K$3:$K$1009,""),""))))</f>
        <v/>
      </c>
      <c r="O254" s="1" t="str" cm="1">
        <f t="array" ref="O254">IF(OR($K254="",$I254="",$J254=""),"",_xlfn.LET(_xlpm.srcCat,_xlfn.SWITCH($I254,"Computer",_xlfn.XLOOKUP($K254&amp;"",COMPUTER!$B$3:$B$1009&amp;"",COMPUTER!$H$3:$H$1009,""),"Display",_xlfn.XLOOKUP($K254&amp;"",DISPLAY!$B$3:$B$1000&amp;"",DISPLAY!$H$3:$H$1000,""),"Network Device",_xlfn.XLOOKUP($K254&amp;"",'NETWORK-DEVICES'!$B$3:$B$987&amp;"",'NETWORK-DEVICES'!$H$3:$H$987,""),"Peripheral",_xlfn.XLOOKUP($K254&amp;"",PERIPHERAL!$B$3:$B$954&amp;"",PERIPHERAL!$H$3:$H$954,""),"Utilities",_xlfn.XLOOKUP($K254&amp;"",UTILITIES!$B$3:$B$953&amp;"",UTILITIES!$G$3:$G$953,""),"IOT",_xlfn.XLOOKUP($K254&amp;"",IOT!$B$3:$B$1012&amp;"",IOT!$H$3:$H$1012,""),"Server",_xlfn.XLOOKUP($K254&amp;"",SERVER!$B$3:$B$1009&amp;"",SERVER!$H$3:$H$1009,""),""),IF(TRIM(_xlpm.srcCat)&lt;&gt;TRIM($J254),"",_xlfn.SWITCH($I254,"Computer",_xlfn.XLOOKUP($K254&amp;"",COMPUTER!$B$3:$B$1009&amp;"",COMPUTER!$E$3:$E$1009,""),"Display",_xlfn.XLOOKUP($K254&amp;"",DISPLAY!$B$3:$B$1000&amp;"",DISPLAY!$E$3:$E$1000,""),"Network Device",_xlfn.XLOOKUP($K254&amp;"",'NETWORK-DEVICES'!$B$3:$B$987&amp;"",'NETWORK-DEVICES'!$E$3:$E$987,""),"Peripheral",_xlfn.XLOOKUP($K254&amp;"",PERIPHERAL!$B$3:$B$954&amp;"",PERIPHERAL!$E$3:$E$954,""),"Utilities",_xlfn.XLOOKUP($K254&amp;"",UTILITIES!$B$3:$B$953&amp;"",UTILITIES!$E$3:$E$953,""),"IOT",_xlfn.XLOOKUP($K254&amp;"",IOT!$B$3:$B$1012&amp;"",IOT!$E$3:$E$1012,""),"Server",_xlfn.XLOOKUP($K254&amp;"",SERVER!$B$3:$B$1009&amp;"",SERVER!$E$3:$E$1009,""),""))))</f>
        <v/>
      </c>
      <c r="Q254" s="1" t="str" cm="1">
        <f t="array" ref="Q254">IF(OR($K254="",$I254="",$J254=""),"",_xlfn.LET(_xlpm.srcCat,_xlfn.SWITCH($I254,"Computer",_xlfn.XLOOKUP($K254&amp;"",COMPUTER!$B$3:$B$1009&amp;"",COMPUTER!$H$3:$H$1009,""),"Display",_xlfn.XLOOKUP($K254&amp;"",DISPLAY!$B$3:$B$1000&amp;"",DISPLAY!$H$3:$H$1000,""),"Network Device",_xlfn.XLOOKUP($K254&amp;"",'NETWORK-DEVICES'!$B$3:$B$987&amp;"",'NETWORK-DEVICES'!$H$3:$H$987,""),"Peripheral",_xlfn.XLOOKUP($K254&amp;"",PERIPHERAL!$B$3:$B$954&amp;"",PERIPHERAL!$H$3:$H$954,""),"Utilities",_xlfn.XLOOKUP($K254&amp;"",UTILITIES!$B$3:$B$953&amp;"",UTILITIES!$G$3:$G$953,""),"IOT",_xlfn.XLOOKUP($K254&amp;"",IOT!$B$3:$B$1012&amp;"",IOT!$H$3:$H$1012,""),"Server",_xlfn.XLOOKUP($K254&amp;"",SERVER!$B$3:$B$1009&amp;"",SERVER!$H$3:$H$1009,""),""),IF(TRIM(_xlpm.srcCat)&lt;&gt;TRIM($J254),"",_xlfn.SWITCH($I254,"Computer",_xlfn.XLOOKUP($K254&amp;"",COMPUTER!$B$3:$B$1009&amp;"",COMPUTER!$AM$3:$AM$1009,""),"Display",_xlfn.XLOOKUP($K254&amp;"",DISPLAY!$B$3:$B$1000&amp;"",DISPLAY!$V$3:$V$1000,""),"Network Device",_xlfn.XLOOKUP($K254&amp;"",'NETWORK-DEVICES'!$B$3:$B$987&amp;"",'NETWORK-DEVICES'!$AF$3:$AF$987,""),"Peripheral",_xlfn.XLOOKUP($K254&amp;"",PERIPHERAL!$B$3:$B$954&amp;"",PERIPHERAL!$Y$3:$Y$954,""),"Utilities",_xlfn.XLOOKUP($K254&amp;"",UTILITIES!$B$3:$B$953&amp;"",UTILITIES!$O$3:$O$953,""),"IOT",_xlfn.XLOOKUP($K254&amp;"",IOT!$B$3:$B$1012&amp;"",IOT!$AB$3:$AB$1012,""),"Server",_xlfn.XLOOKUP($K254&amp;"",SERVER!$B$3:$B$1009&amp;"",SERVER!$AB$3:$AB$1009,""),""))))</f>
        <v/>
      </c>
      <c r="R254" s="43" t="str">
        <f>IF(tbl_handover[[#This Row],[Asset Code]]="","",COUNTIF(tbl_handover[Asset Code],tbl_handover[[#This Row],[Asset Code]]))</f>
        <v/>
      </c>
    </row>
    <row r="255" spans="1:18" x14ac:dyDescent="0.25">
      <c r="A255" s="43" t="str">
        <f>IF(B255&lt;&gt;"",SUBTOTAL(3,$B$1:B254),"")</f>
        <v/>
      </c>
      <c r="C255" s="74"/>
      <c r="D255" s="74"/>
      <c r="G255" s="1"/>
      <c r="K255" s="42"/>
      <c r="L255" t="str" cm="1">
        <f t="array" ref="L255">IF($K255="","",_xlfn.SWITCH($I255,"Computer",_xlfn.XLOOKUP($K255&amp;"",COMPUTER!$B$3:$B$1009&amp;"",COMPUTER!$I$3:$I$1009,""),"Display",_xlfn.XLOOKUP($K255&amp;"",DISPLAY!$B$3:$B$1000&amp;"",DISPLAY!$J$3:$J$1000,""),"Network Device",_xlfn.XLOOKUP($K255&amp;"",'NETWORK-DEVICES'!$B$3:$B$987&amp;"",'NETWORK-DEVICES'!$I$3:$I$987,""),"Peripheral",_xlfn.XLOOKUP($K255&amp;"",PERIPHERAL!$B$3:$B$954&amp;"",PERIPHERAL!$I$3:$I$954,""),"Utilities",_xlfn.XLOOKUP($K255&amp;"",UTILITIES!$B$3:$B$953&amp;"",UTILITIES!$H$3:$H$953,""),"IOT",_xlfn.XLOOKUP($K255&amp;"",IOT!$B$3:$B$1012&amp;"",IOT!$I$3:$I$1012,""),"SERVER",_xlfn.XLOOKUP($K255&amp;"",SERVER!$B$3:$B$1009&amp;"",SERVER!$I$3:$I$1009,""),""))</f>
        <v/>
      </c>
      <c r="M255" t="str" cm="1">
        <f t="array" ref="M255">IF($K255="","",_xlfn.SWITCH($I255,"Computer",_xlfn.XLOOKUP($K255&amp;"",COMPUTER!$B$3:$B$1009&amp;"",COMPUTER!$J$3:$J$1009,""),"Display",_xlfn.XLOOKUP($K255&amp;"",DISPLAY!$B$3:$B$1000&amp;"",DISPLAY!$K$3:$K$1000,""),"Network Device",_xlfn.XLOOKUP($K255&amp;"",'NETWORK-DEVICES'!$B$3:$B$987&amp;"",'NETWORK-DEVICES'!$I$3:$I$987,""),"Peripheral",_xlfn.XLOOKUP($K255&amp;"",PERIPHERAL!$B$3:$B$954&amp;"",PERIPHERAL!$J$3:$J$954,""),"Utilities",_xlfn.XLOOKUP($K255&amp;"",UTILITIES!$B$3:$B$953&amp;"",UTILITIES!$I$3:$I$953,""),"IOT",_xlfn.XLOOKUP($K255&amp;"",IOT!$B$3:$B$1012&amp;"",IOT!$J$3:$J$1012,""),"Server",_xlfn.XLOOKUP($K255&amp;"",SERVER!$B$3:$B$1009&amp;"",SERVER!$J$3:$J$1009,""),""))</f>
        <v/>
      </c>
      <c r="N255" s="1" t="str" cm="1">
        <f t="array" ref="N255">IF(OR($K255="",$I255="",$J255=""),"",_xlfn.LET(_xlpm.srcCat,_xlfn.SWITCH($I255,"Computer",_xlfn.XLOOKUP($K255&amp;"",COMPUTER!$B$3:$B$1009&amp;"",COMPUTER!$H$3:$H$1009,""),"Display",_xlfn.XLOOKUP($K255&amp;"",DISPLAY!$B$3:$B$1000&amp;"",DISPLAY!$H$3:$H$1000,""),"Network Device",_xlfn.XLOOKUP($K255&amp;"",'NETWORK-DEVICES'!$B$3:$B$987&amp;"",'NETWORK-DEVICES'!$H$3:$H$987,""),"Peripheral",_xlfn.XLOOKUP($K255&amp;"",PERIPHERAL!$B$3:$B$954&amp;"",PERIPHERAL!$H$3:$H$954,""),"Utilities",_xlfn.XLOOKUP($K255&amp;"",UTILITIES!$B$3:$B$953&amp;"",UTILITIES!$G$3:$G$953,""),"IOT",_xlfn.XLOOKUP($K255&amp;"",IOT!$B$3:$B$1012&amp;"",IOT!$H$3:$H$1012,""),"Server",_xlfn.XLOOKUP($K255&amp;"",SERVER!$B$3:$B$1009&amp;"",SERVER!$H$3:$H$1009,""),""),IF(TRIM(_xlpm.srcCat)&lt;&gt;TRIM($J255),"",_xlfn.SWITCH($I255,"Computer",_xlfn.XLOOKUP($K255&amp;"",COMPUTER!$B$3:$B$1009&amp;"",COMPUTER!$K$3:$K$1009,""),"Display",_xlfn.XLOOKUP($K255&amp;"",DISPLAY!$B$3:$B$1000&amp;"",DISPLAY!$L$3:$L$1000,""),"Network Device",_xlfn.XLOOKUP($K255&amp;"",'NETWORK-DEVICES'!$B$3:$B$987&amp;"",'NETWORK-DEVICES'!$K$3:$K$987,""),"Peripheral",_xlfn.XLOOKUP($K255&amp;"",PERIPHERAL!$B$3:$B$954&amp;"",PERIPHERAL!$K$3:$K$954,""),"Utilities",_xlfn.XLOOKUP($K255&amp;"",UTILITIES!$B$3:$B$953&amp;"",UTILITIES!$J$3:$J$953,""),"IOT",_xlfn.XLOOKUP($K255&amp;"",IOT!$B$3:$B$1012&amp;"",IOT!$K$4:$K$1012,""),"Server",_xlfn.XLOOKUP($K255&amp;"",SERVER!$B$3:$B$1009&amp;"",SERVER!$K$3:$K$1009,""),""))))</f>
        <v/>
      </c>
      <c r="O255" s="1" t="str" cm="1">
        <f t="array" ref="O255">IF(OR($K255="",$I255="",$J255=""),"",_xlfn.LET(_xlpm.srcCat,_xlfn.SWITCH($I255,"Computer",_xlfn.XLOOKUP($K255&amp;"",COMPUTER!$B$3:$B$1009&amp;"",COMPUTER!$H$3:$H$1009,""),"Display",_xlfn.XLOOKUP($K255&amp;"",DISPLAY!$B$3:$B$1000&amp;"",DISPLAY!$H$3:$H$1000,""),"Network Device",_xlfn.XLOOKUP($K255&amp;"",'NETWORK-DEVICES'!$B$3:$B$987&amp;"",'NETWORK-DEVICES'!$H$3:$H$987,""),"Peripheral",_xlfn.XLOOKUP($K255&amp;"",PERIPHERAL!$B$3:$B$954&amp;"",PERIPHERAL!$H$3:$H$954,""),"Utilities",_xlfn.XLOOKUP($K255&amp;"",UTILITIES!$B$3:$B$953&amp;"",UTILITIES!$G$3:$G$953,""),"IOT",_xlfn.XLOOKUP($K255&amp;"",IOT!$B$3:$B$1012&amp;"",IOT!$H$3:$H$1012,""),"Server",_xlfn.XLOOKUP($K255&amp;"",SERVER!$B$3:$B$1009&amp;"",SERVER!$H$3:$H$1009,""),""),IF(TRIM(_xlpm.srcCat)&lt;&gt;TRIM($J255),"",_xlfn.SWITCH($I255,"Computer",_xlfn.XLOOKUP($K255&amp;"",COMPUTER!$B$3:$B$1009&amp;"",COMPUTER!$E$3:$E$1009,""),"Display",_xlfn.XLOOKUP($K255&amp;"",DISPLAY!$B$3:$B$1000&amp;"",DISPLAY!$E$3:$E$1000,""),"Network Device",_xlfn.XLOOKUP($K255&amp;"",'NETWORK-DEVICES'!$B$3:$B$987&amp;"",'NETWORK-DEVICES'!$E$3:$E$987,""),"Peripheral",_xlfn.XLOOKUP($K255&amp;"",PERIPHERAL!$B$3:$B$954&amp;"",PERIPHERAL!$E$3:$E$954,""),"Utilities",_xlfn.XLOOKUP($K255&amp;"",UTILITIES!$B$3:$B$953&amp;"",UTILITIES!$E$3:$E$953,""),"IOT",_xlfn.XLOOKUP($K255&amp;"",IOT!$B$3:$B$1012&amp;"",IOT!$E$3:$E$1012,""),"Server",_xlfn.XLOOKUP($K255&amp;"",SERVER!$B$3:$B$1009&amp;"",SERVER!$E$3:$E$1009,""),""))))</f>
        <v/>
      </c>
      <c r="Q255" s="1" t="str" cm="1">
        <f t="array" ref="Q255">IF(OR($K255="",$I255="",$J255=""),"",_xlfn.LET(_xlpm.srcCat,_xlfn.SWITCH($I255,"Computer",_xlfn.XLOOKUP($K255&amp;"",COMPUTER!$B$3:$B$1009&amp;"",COMPUTER!$H$3:$H$1009,""),"Display",_xlfn.XLOOKUP($K255&amp;"",DISPLAY!$B$3:$B$1000&amp;"",DISPLAY!$H$3:$H$1000,""),"Network Device",_xlfn.XLOOKUP($K255&amp;"",'NETWORK-DEVICES'!$B$3:$B$987&amp;"",'NETWORK-DEVICES'!$H$3:$H$987,""),"Peripheral",_xlfn.XLOOKUP($K255&amp;"",PERIPHERAL!$B$3:$B$954&amp;"",PERIPHERAL!$H$3:$H$954,""),"Utilities",_xlfn.XLOOKUP($K255&amp;"",UTILITIES!$B$3:$B$953&amp;"",UTILITIES!$G$3:$G$953,""),"IOT",_xlfn.XLOOKUP($K255&amp;"",IOT!$B$3:$B$1012&amp;"",IOT!$H$3:$H$1012,""),"Server",_xlfn.XLOOKUP($K255&amp;"",SERVER!$B$3:$B$1009&amp;"",SERVER!$H$3:$H$1009,""),""),IF(TRIM(_xlpm.srcCat)&lt;&gt;TRIM($J255),"",_xlfn.SWITCH($I255,"Computer",_xlfn.XLOOKUP($K255&amp;"",COMPUTER!$B$3:$B$1009&amp;"",COMPUTER!$AM$3:$AM$1009,""),"Display",_xlfn.XLOOKUP($K255&amp;"",DISPLAY!$B$3:$B$1000&amp;"",DISPLAY!$V$3:$V$1000,""),"Network Device",_xlfn.XLOOKUP($K255&amp;"",'NETWORK-DEVICES'!$B$3:$B$987&amp;"",'NETWORK-DEVICES'!$AF$3:$AF$987,""),"Peripheral",_xlfn.XLOOKUP($K255&amp;"",PERIPHERAL!$B$3:$B$954&amp;"",PERIPHERAL!$Y$3:$Y$954,""),"Utilities",_xlfn.XLOOKUP($K255&amp;"",UTILITIES!$B$3:$B$953&amp;"",UTILITIES!$O$3:$O$953,""),"IOT",_xlfn.XLOOKUP($K255&amp;"",IOT!$B$3:$B$1012&amp;"",IOT!$AB$3:$AB$1012,""),"Server",_xlfn.XLOOKUP($K255&amp;"",SERVER!$B$3:$B$1009&amp;"",SERVER!$AB$3:$AB$1009,""),""))))</f>
        <v/>
      </c>
      <c r="R255" s="43" t="str">
        <f>IF(tbl_handover[[#This Row],[Asset Code]]="","",COUNTIF(tbl_handover[Asset Code],tbl_handover[[#This Row],[Asset Code]]))</f>
        <v/>
      </c>
    </row>
    <row r="256" spans="1:18" x14ac:dyDescent="0.25">
      <c r="A256" s="43" t="str">
        <f>IF(B256&lt;&gt;"",SUBTOTAL(3,$B$1:B255),"")</f>
        <v/>
      </c>
      <c r="C256" s="74"/>
      <c r="D256" s="74"/>
      <c r="G256" s="1"/>
      <c r="K256" s="42"/>
      <c r="L256" t="str" cm="1">
        <f t="array" ref="L256">IF($K256="","",_xlfn.SWITCH($I256,"Computer",_xlfn.XLOOKUP($K256&amp;"",COMPUTER!$B$3:$B$1009&amp;"",COMPUTER!$I$3:$I$1009,""),"Display",_xlfn.XLOOKUP($K256&amp;"",DISPLAY!$B$3:$B$1000&amp;"",DISPLAY!$J$3:$J$1000,""),"Network Device",_xlfn.XLOOKUP($K256&amp;"",'NETWORK-DEVICES'!$B$3:$B$987&amp;"",'NETWORK-DEVICES'!$I$3:$I$987,""),"Peripheral",_xlfn.XLOOKUP($K256&amp;"",PERIPHERAL!$B$3:$B$954&amp;"",PERIPHERAL!$I$3:$I$954,""),"Utilities",_xlfn.XLOOKUP($K256&amp;"",UTILITIES!$B$3:$B$953&amp;"",UTILITIES!$H$3:$H$953,""),"IOT",_xlfn.XLOOKUP($K256&amp;"",IOT!$B$3:$B$1012&amp;"",IOT!$I$3:$I$1012,""),"SERVER",_xlfn.XLOOKUP($K256&amp;"",SERVER!$B$3:$B$1009&amp;"",SERVER!$I$3:$I$1009,""),""))</f>
        <v/>
      </c>
      <c r="M256" t="str" cm="1">
        <f t="array" ref="M256">IF($K256="","",_xlfn.SWITCH($I256,"Computer",_xlfn.XLOOKUP($K256&amp;"",COMPUTER!$B$3:$B$1009&amp;"",COMPUTER!$J$3:$J$1009,""),"Display",_xlfn.XLOOKUP($K256&amp;"",DISPLAY!$B$3:$B$1000&amp;"",DISPLAY!$K$3:$K$1000,""),"Network Device",_xlfn.XLOOKUP($K256&amp;"",'NETWORK-DEVICES'!$B$3:$B$987&amp;"",'NETWORK-DEVICES'!$I$3:$I$987,""),"Peripheral",_xlfn.XLOOKUP($K256&amp;"",PERIPHERAL!$B$3:$B$954&amp;"",PERIPHERAL!$J$3:$J$954,""),"Utilities",_xlfn.XLOOKUP($K256&amp;"",UTILITIES!$B$3:$B$953&amp;"",UTILITIES!$I$3:$I$953,""),"IOT",_xlfn.XLOOKUP($K256&amp;"",IOT!$B$3:$B$1012&amp;"",IOT!$J$3:$J$1012,""),"Server",_xlfn.XLOOKUP($K256&amp;"",SERVER!$B$3:$B$1009&amp;"",SERVER!$J$3:$J$1009,""),""))</f>
        <v/>
      </c>
      <c r="N256" s="1" t="str" cm="1">
        <f t="array" ref="N256">IF(OR($K256="",$I256="",$J256=""),"",_xlfn.LET(_xlpm.srcCat,_xlfn.SWITCH($I256,"Computer",_xlfn.XLOOKUP($K256&amp;"",COMPUTER!$B$3:$B$1009&amp;"",COMPUTER!$H$3:$H$1009,""),"Display",_xlfn.XLOOKUP($K256&amp;"",DISPLAY!$B$3:$B$1000&amp;"",DISPLAY!$H$3:$H$1000,""),"Network Device",_xlfn.XLOOKUP($K256&amp;"",'NETWORK-DEVICES'!$B$3:$B$987&amp;"",'NETWORK-DEVICES'!$H$3:$H$987,""),"Peripheral",_xlfn.XLOOKUP($K256&amp;"",PERIPHERAL!$B$3:$B$954&amp;"",PERIPHERAL!$H$3:$H$954,""),"Utilities",_xlfn.XLOOKUP($K256&amp;"",UTILITIES!$B$3:$B$953&amp;"",UTILITIES!$G$3:$G$953,""),"IOT",_xlfn.XLOOKUP($K256&amp;"",IOT!$B$3:$B$1012&amp;"",IOT!$H$3:$H$1012,""),"Server",_xlfn.XLOOKUP($K256&amp;"",SERVER!$B$3:$B$1009&amp;"",SERVER!$H$3:$H$1009,""),""),IF(TRIM(_xlpm.srcCat)&lt;&gt;TRIM($J256),"",_xlfn.SWITCH($I256,"Computer",_xlfn.XLOOKUP($K256&amp;"",COMPUTER!$B$3:$B$1009&amp;"",COMPUTER!$K$3:$K$1009,""),"Display",_xlfn.XLOOKUP($K256&amp;"",DISPLAY!$B$3:$B$1000&amp;"",DISPLAY!$L$3:$L$1000,""),"Network Device",_xlfn.XLOOKUP($K256&amp;"",'NETWORK-DEVICES'!$B$3:$B$987&amp;"",'NETWORK-DEVICES'!$K$3:$K$987,""),"Peripheral",_xlfn.XLOOKUP($K256&amp;"",PERIPHERAL!$B$3:$B$954&amp;"",PERIPHERAL!$K$3:$K$954,""),"Utilities",_xlfn.XLOOKUP($K256&amp;"",UTILITIES!$B$3:$B$953&amp;"",UTILITIES!$J$3:$J$953,""),"IOT",_xlfn.XLOOKUP($K256&amp;"",IOT!$B$3:$B$1012&amp;"",IOT!$K$4:$K$1012,""),"Server",_xlfn.XLOOKUP($K256&amp;"",SERVER!$B$3:$B$1009&amp;"",SERVER!$K$3:$K$1009,""),""))))</f>
        <v/>
      </c>
      <c r="O256" s="1" t="str" cm="1">
        <f t="array" ref="O256">IF(OR($K256="",$I256="",$J256=""),"",_xlfn.LET(_xlpm.srcCat,_xlfn.SWITCH($I256,"Computer",_xlfn.XLOOKUP($K256&amp;"",COMPUTER!$B$3:$B$1009&amp;"",COMPUTER!$H$3:$H$1009,""),"Display",_xlfn.XLOOKUP($K256&amp;"",DISPLAY!$B$3:$B$1000&amp;"",DISPLAY!$H$3:$H$1000,""),"Network Device",_xlfn.XLOOKUP($K256&amp;"",'NETWORK-DEVICES'!$B$3:$B$987&amp;"",'NETWORK-DEVICES'!$H$3:$H$987,""),"Peripheral",_xlfn.XLOOKUP($K256&amp;"",PERIPHERAL!$B$3:$B$954&amp;"",PERIPHERAL!$H$3:$H$954,""),"Utilities",_xlfn.XLOOKUP($K256&amp;"",UTILITIES!$B$3:$B$953&amp;"",UTILITIES!$G$3:$G$953,""),"IOT",_xlfn.XLOOKUP($K256&amp;"",IOT!$B$3:$B$1012&amp;"",IOT!$H$3:$H$1012,""),"Server",_xlfn.XLOOKUP($K256&amp;"",SERVER!$B$3:$B$1009&amp;"",SERVER!$H$3:$H$1009,""),""),IF(TRIM(_xlpm.srcCat)&lt;&gt;TRIM($J256),"",_xlfn.SWITCH($I256,"Computer",_xlfn.XLOOKUP($K256&amp;"",COMPUTER!$B$3:$B$1009&amp;"",COMPUTER!$E$3:$E$1009,""),"Display",_xlfn.XLOOKUP($K256&amp;"",DISPLAY!$B$3:$B$1000&amp;"",DISPLAY!$E$3:$E$1000,""),"Network Device",_xlfn.XLOOKUP($K256&amp;"",'NETWORK-DEVICES'!$B$3:$B$987&amp;"",'NETWORK-DEVICES'!$E$3:$E$987,""),"Peripheral",_xlfn.XLOOKUP($K256&amp;"",PERIPHERAL!$B$3:$B$954&amp;"",PERIPHERAL!$E$3:$E$954,""),"Utilities",_xlfn.XLOOKUP($K256&amp;"",UTILITIES!$B$3:$B$953&amp;"",UTILITIES!$E$3:$E$953,""),"IOT",_xlfn.XLOOKUP($K256&amp;"",IOT!$B$3:$B$1012&amp;"",IOT!$E$3:$E$1012,""),"Server",_xlfn.XLOOKUP($K256&amp;"",SERVER!$B$3:$B$1009&amp;"",SERVER!$E$3:$E$1009,""),""))))</f>
        <v/>
      </c>
      <c r="Q256" s="1" t="str" cm="1">
        <f t="array" ref="Q256">IF(OR($K256="",$I256="",$J256=""),"",_xlfn.LET(_xlpm.srcCat,_xlfn.SWITCH($I256,"Computer",_xlfn.XLOOKUP($K256&amp;"",COMPUTER!$B$3:$B$1009&amp;"",COMPUTER!$H$3:$H$1009,""),"Display",_xlfn.XLOOKUP($K256&amp;"",DISPLAY!$B$3:$B$1000&amp;"",DISPLAY!$H$3:$H$1000,""),"Network Device",_xlfn.XLOOKUP($K256&amp;"",'NETWORK-DEVICES'!$B$3:$B$987&amp;"",'NETWORK-DEVICES'!$H$3:$H$987,""),"Peripheral",_xlfn.XLOOKUP($K256&amp;"",PERIPHERAL!$B$3:$B$954&amp;"",PERIPHERAL!$H$3:$H$954,""),"Utilities",_xlfn.XLOOKUP($K256&amp;"",UTILITIES!$B$3:$B$953&amp;"",UTILITIES!$G$3:$G$953,""),"IOT",_xlfn.XLOOKUP($K256&amp;"",IOT!$B$3:$B$1012&amp;"",IOT!$H$3:$H$1012,""),"Server",_xlfn.XLOOKUP($K256&amp;"",SERVER!$B$3:$B$1009&amp;"",SERVER!$H$3:$H$1009,""),""),IF(TRIM(_xlpm.srcCat)&lt;&gt;TRIM($J256),"",_xlfn.SWITCH($I256,"Computer",_xlfn.XLOOKUP($K256&amp;"",COMPUTER!$B$3:$B$1009&amp;"",COMPUTER!$AM$3:$AM$1009,""),"Display",_xlfn.XLOOKUP($K256&amp;"",DISPLAY!$B$3:$B$1000&amp;"",DISPLAY!$V$3:$V$1000,""),"Network Device",_xlfn.XLOOKUP($K256&amp;"",'NETWORK-DEVICES'!$B$3:$B$987&amp;"",'NETWORK-DEVICES'!$AF$3:$AF$987,""),"Peripheral",_xlfn.XLOOKUP($K256&amp;"",PERIPHERAL!$B$3:$B$954&amp;"",PERIPHERAL!$Y$3:$Y$954,""),"Utilities",_xlfn.XLOOKUP($K256&amp;"",UTILITIES!$B$3:$B$953&amp;"",UTILITIES!$O$3:$O$953,""),"IOT",_xlfn.XLOOKUP($K256&amp;"",IOT!$B$3:$B$1012&amp;"",IOT!$AB$3:$AB$1012,""),"Server",_xlfn.XLOOKUP($K256&amp;"",SERVER!$B$3:$B$1009&amp;"",SERVER!$AB$3:$AB$1009,""),""))))</f>
        <v/>
      </c>
      <c r="R256" s="43" t="str">
        <f>IF(tbl_handover[[#This Row],[Asset Code]]="","",COUNTIF(tbl_handover[Asset Code],tbl_handover[[#This Row],[Asset Code]]))</f>
        <v/>
      </c>
    </row>
    <row r="257" spans="1:18" x14ac:dyDescent="0.25">
      <c r="A257" s="43" t="str">
        <f>IF(B257&lt;&gt;"",SUBTOTAL(3,$B$1:B256),"")</f>
        <v/>
      </c>
      <c r="C257" s="74"/>
      <c r="D257" s="74"/>
      <c r="G257" s="1"/>
      <c r="K257" s="42"/>
      <c r="L257" t="str" cm="1">
        <f t="array" ref="L257">IF($K257="","",_xlfn.SWITCH($I257,"Computer",_xlfn.XLOOKUP($K257&amp;"",COMPUTER!$B$3:$B$1009&amp;"",COMPUTER!$I$3:$I$1009,""),"Display",_xlfn.XLOOKUP($K257&amp;"",DISPLAY!$B$3:$B$1000&amp;"",DISPLAY!$J$3:$J$1000,""),"Network Device",_xlfn.XLOOKUP($K257&amp;"",'NETWORK-DEVICES'!$B$3:$B$987&amp;"",'NETWORK-DEVICES'!$I$3:$I$987,""),"Peripheral",_xlfn.XLOOKUP($K257&amp;"",PERIPHERAL!$B$3:$B$954&amp;"",PERIPHERAL!$I$3:$I$954,""),"Utilities",_xlfn.XLOOKUP($K257&amp;"",UTILITIES!$B$3:$B$953&amp;"",UTILITIES!$H$3:$H$953,""),"IOT",_xlfn.XLOOKUP($K257&amp;"",IOT!$B$3:$B$1012&amp;"",IOT!$I$3:$I$1012,""),"SERVER",_xlfn.XLOOKUP($K257&amp;"",SERVER!$B$3:$B$1009&amp;"",SERVER!$I$3:$I$1009,""),""))</f>
        <v/>
      </c>
      <c r="M257" t="str" cm="1">
        <f t="array" ref="M257">IF($K257="","",_xlfn.SWITCH($I257,"Computer",_xlfn.XLOOKUP($K257&amp;"",COMPUTER!$B$3:$B$1009&amp;"",COMPUTER!$J$3:$J$1009,""),"Display",_xlfn.XLOOKUP($K257&amp;"",DISPLAY!$B$3:$B$1000&amp;"",DISPLAY!$K$3:$K$1000,""),"Network Device",_xlfn.XLOOKUP($K257&amp;"",'NETWORK-DEVICES'!$B$3:$B$987&amp;"",'NETWORK-DEVICES'!$I$3:$I$987,""),"Peripheral",_xlfn.XLOOKUP($K257&amp;"",PERIPHERAL!$B$3:$B$954&amp;"",PERIPHERAL!$J$3:$J$954,""),"Utilities",_xlfn.XLOOKUP($K257&amp;"",UTILITIES!$B$3:$B$953&amp;"",UTILITIES!$I$3:$I$953,""),"IOT",_xlfn.XLOOKUP($K257&amp;"",IOT!$B$3:$B$1012&amp;"",IOT!$J$3:$J$1012,""),"Server",_xlfn.XLOOKUP($K257&amp;"",SERVER!$B$3:$B$1009&amp;"",SERVER!$J$3:$J$1009,""),""))</f>
        <v/>
      </c>
      <c r="N257" s="1" t="str" cm="1">
        <f t="array" ref="N257">IF(OR($K257="",$I257="",$J257=""),"",_xlfn.LET(_xlpm.srcCat,_xlfn.SWITCH($I257,"Computer",_xlfn.XLOOKUP($K257&amp;"",COMPUTER!$B$3:$B$1009&amp;"",COMPUTER!$H$3:$H$1009,""),"Display",_xlfn.XLOOKUP($K257&amp;"",DISPLAY!$B$3:$B$1000&amp;"",DISPLAY!$H$3:$H$1000,""),"Network Device",_xlfn.XLOOKUP($K257&amp;"",'NETWORK-DEVICES'!$B$3:$B$987&amp;"",'NETWORK-DEVICES'!$H$3:$H$987,""),"Peripheral",_xlfn.XLOOKUP($K257&amp;"",PERIPHERAL!$B$3:$B$954&amp;"",PERIPHERAL!$H$3:$H$954,""),"Utilities",_xlfn.XLOOKUP($K257&amp;"",UTILITIES!$B$3:$B$953&amp;"",UTILITIES!$G$3:$G$953,""),"IOT",_xlfn.XLOOKUP($K257&amp;"",IOT!$B$3:$B$1012&amp;"",IOT!$H$3:$H$1012,""),"Server",_xlfn.XLOOKUP($K257&amp;"",SERVER!$B$3:$B$1009&amp;"",SERVER!$H$3:$H$1009,""),""),IF(TRIM(_xlpm.srcCat)&lt;&gt;TRIM($J257),"",_xlfn.SWITCH($I257,"Computer",_xlfn.XLOOKUP($K257&amp;"",COMPUTER!$B$3:$B$1009&amp;"",COMPUTER!$K$3:$K$1009,""),"Display",_xlfn.XLOOKUP($K257&amp;"",DISPLAY!$B$3:$B$1000&amp;"",DISPLAY!$L$3:$L$1000,""),"Network Device",_xlfn.XLOOKUP($K257&amp;"",'NETWORK-DEVICES'!$B$3:$B$987&amp;"",'NETWORK-DEVICES'!$K$3:$K$987,""),"Peripheral",_xlfn.XLOOKUP($K257&amp;"",PERIPHERAL!$B$3:$B$954&amp;"",PERIPHERAL!$K$3:$K$954,""),"Utilities",_xlfn.XLOOKUP($K257&amp;"",UTILITIES!$B$3:$B$953&amp;"",UTILITIES!$J$3:$J$953,""),"IOT",_xlfn.XLOOKUP($K257&amp;"",IOT!$B$3:$B$1012&amp;"",IOT!$K$4:$K$1012,""),"Server",_xlfn.XLOOKUP($K257&amp;"",SERVER!$B$3:$B$1009&amp;"",SERVER!$K$3:$K$1009,""),""))))</f>
        <v/>
      </c>
      <c r="O257" s="1" t="str" cm="1">
        <f t="array" ref="O257">IF(OR($K257="",$I257="",$J257=""),"",_xlfn.LET(_xlpm.srcCat,_xlfn.SWITCH($I257,"Computer",_xlfn.XLOOKUP($K257&amp;"",COMPUTER!$B$3:$B$1009&amp;"",COMPUTER!$H$3:$H$1009,""),"Display",_xlfn.XLOOKUP($K257&amp;"",DISPLAY!$B$3:$B$1000&amp;"",DISPLAY!$H$3:$H$1000,""),"Network Device",_xlfn.XLOOKUP($K257&amp;"",'NETWORK-DEVICES'!$B$3:$B$987&amp;"",'NETWORK-DEVICES'!$H$3:$H$987,""),"Peripheral",_xlfn.XLOOKUP($K257&amp;"",PERIPHERAL!$B$3:$B$954&amp;"",PERIPHERAL!$H$3:$H$954,""),"Utilities",_xlfn.XLOOKUP($K257&amp;"",UTILITIES!$B$3:$B$953&amp;"",UTILITIES!$G$3:$G$953,""),"IOT",_xlfn.XLOOKUP($K257&amp;"",IOT!$B$3:$B$1012&amp;"",IOT!$H$3:$H$1012,""),"Server",_xlfn.XLOOKUP($K257&amp;"",SERVER!$B$3:$B$1009&amp;"",SERVER!$H$3:$H$1009,""),""),IF(TRIM(_xlpm.srcCat)&lt;&gt;TRIM($J257),"",_xlfn.SWITCH($I257,"Computer",_xlfn.XLOOKUP($K257&amp;"",COMPUTER!$B$3:$B$1009&amp;"",COMPUTER!$E$3:$E$1009,""),"Display",_xlfn.XLOOKUP($K257&amp;"",DISPLAY!$B$3:$B$1000&amp;"",DISPLAY!$E$3:$E$1000,""),"Network Device",_xlfn.XLOOKUP($K257&amp;"",'NETWORK-DEVICES'!$B$3:$B$987&amp;"",'NETWORK-DEVICES'!$E$3:$E$987,""),"Peripheral",_xlfn.XLOOKUP($K257&amp;"",PERIPHERAL!$B$3:$B$954&amp;"",PERIPHERAL!$E$3:$E$954,""),"Utilities",_xlfn.XLOOKUP($K257&amp;"",UTILITIES!$B$3:$B$953&amp;"",UTILITIES!$E$3:$E$953,""),"IOT",_xlfn.XLOOKUP($K257&amp;"",IOT!$B$3:$B$1012&amp;"",IOT!$E$3:$E$1012,""),"Server",_xlfn.XLOOKUP($K257&amp;"",SERVER!$B$3:$B$1009&amp;"",SERVER!$E$3:$E$1009,""),""))))</f>
        <v/>
      </c>
      <c r="Q257" s="1" t="str" cm="1">
        <f t="array" ref="Q257">IF(OR($K257="",$I257="",$J257=""),"",_xlfn.LET(_xlpm.srcCat,_xlfn.SWITCH($I257,"Computer",_xlfn.XLOOKUP($K257&amp;"",COMPUTER!$B$3:$B$1009&amp;"",COMPUTER!$H$3:$H$1009,""),"Display",_xlfn.XLOOKUP($K257&amp;"",DISPLAY!$B$3:$B$1000&amp;"",DISPLAY!$H$3:$H$1000,""),"Network Device",_xlfn.XLOOKUP($K257&amp;"",'NETWORK-DEVICES'!$B$3:$B$987&amp;"",'NETWORK-DEVICES'!$H$3:$H$987,""),"Peripheral",_xlfn.XLOOKUP($K257&amp;"",PERIPHERAL!$B$3:$B$954&amp;"",PERIPHERAL!$H$3:$H$954,""),"Utilities",_xlfn.XLOOKUP($K257&amp;"",UTILITIES!$B$3:$B$953&amp;"",UTILITIES!$G$3:$G$953,""),"IOT",_xlfn.XLOOKUP($K257&amp;"",IOT!$B$3:$B$1012&amp;"",IOT!$H$3:$H$1012,""),"Server",_xlfn.XLOOKUP($K257&amp;"",SERVER!$B$3:$B$1009&amp;"",SERVER!$H$3:$H$1009,""),""),IF(TRIM(_xlpm.srcCat)&lt;&gt;TRIM($J257),"",_xlfn.SWITCH($I257,"Computer",_xlfn.XLOOKUP($K257&amp;"",COMPUTER!$B$3:$B$1009&amp;"",COMPUTER!$AM$3:$AM$1009,""),"Display",_xlfn.XLOOKUP($K257&amp;"",DISPLAY!$B$3:$B$1000&amp;"",DISPLAY!$V$3:$V$1000,""),"Network Device",_xlfn.XLOOKUP($K257&amp;"",'NETWORK-DEVICES'!$B$3:$B$987&amp;"",'NETWORK-DEVICES'!$AF$3:$AF$987,""),"Peripheral",_xlfn.XLOOKUP($K257&amp;"",PERIPHERAL!$B$3:$B$954&amp;"",PERIPHERAL!$Y$3:$Y$954,""),"Utilities",_xlfn.XLOOKUP($K257&amp;"",UTILITIES!$B$3:$B$953&amp;"",UTILITIES!$O$3:$O$953,""),"IOT",_xlfn.XLOOKUP($K257&amp;"",IOT!$B$3:$B$1012&amp;"",IOT!$AB$3:$AB$1012,""),"Server",_xlfn.XLOOKUP($K257&amp;"",SERVER!$B$3:$B$1009&amp;"",SERVER!$AB$3:$AB$1009,""),""))))</f>
        <v/>
      </c>
      <c r="R257" s="43" t="str">
        <f>IF(tbl_handover[[#This Row],[Asset Code]]="","",COUNTIF(tbl_handover[Asset Code],tbl_handover[[#This Row],[Asset Code]]))</f>
        <v/>
      </c>
    </row>
    <row r="258" spans="1:18" x14ac:dyDescent="0.25">
      <c r="A258" s="43" t="str">
        <f>IF(B258&lt;&gt;"",SUBTOTAL(3,$B$1:B257),"")</f>
        <v/>
      </c>
      <c r="C258" s="74"/>
      <c r="D258" s="74"/>
      <c r="G258" s="1"/>
      <c r="K258" s="42"/>
      <c r="L258" t="str" cm="1">
        <f t="array" ref="L258">IF($K258="","",_xlfn.SWITCH($I258,"Computer",_xlfn.XLOOKUP($K258&amp;"",COMPUTER!$B$3:$B$1009&amp;"",COMPUTER!$I$3:$I$1009,""),"Display",_xlfn.XLOOKUP($K258&amp;"",DISPLAY!$B$3:$B$1000&amp;"",DISPLAY!$J$3:$J$1000,""),"Network Device",_xlfn.XLOOKUP($K258&amp;"",'NETWORK-DEVICES'!$B$3:$B$987&amp;"",'NETWORK-DEVICES'!$I$3:$I$987,""),"Peripheral",_xlfn.XLOOKUP($K258&amp;"",PERIPHERAL!$B$3:$B$954&amp;"",PERIPHERAL!$I$3:$I$954,""),"Utilities",_xlfn.XLOOKUP($K258&amp;"",UTILITIES!$B$3:$B$953&amp;"",UTILITIES!$H$3:$H$953,""),"IOT",_xlfn.XLOOKUP($K258&amp;"",IOT!$B$3:$B$1012&amp;"",IOT!$I$3:$I$1012,""),"SERVER",_xlfn.XLOOKUP($K258&amp;"",SERVER!$B$3:$B$1009&amp;"",SERVER!$I$3:$I$1009,""),""))</f>
        <v/>
      </c>
      <c r="M258" t="str" cm="1">
        <f t="array" ref="M258">IF($K258="","",_xlfn.SWITCH($I258,"Computer",_xlfn.XLOOKUP($K258&amp;"",COMPUTER!$B$3:$B$1009&amp;"",COMPUTER!$J$3:$J$1009,""),"Display",_xlfn.XLOOKUP($K258&amp;"",DISPLAY!$B$3:$B$1000&amp;"",DISPLAY!$K$3:$K$1000,""),"Network Device",_xlfn.XLOOKUP($K258&amp;"",'NETWORK-DEVICES'!$B$3:$B$987&amp;"",'NETWORK-DEVICES'!$I$3:$I$987,""),"Peripheral",_xlfn.XLOOKUP($K258&amp;"",PERIPHERAL!$B$3:$B$954&amp;"",PERIPHERAL!$J$3:$J$954,""),"Utilities",_xlfn.XLOOKUP($K258&amp;"",UTILITIES!$B$3:$B$953&amp;"",UTILITIES!$I$3:$I$953,""),"IOT",_xlfn.XLOOKUP($K258&amp;"",IOT!$B$3:$B$1012&amp;"",IOT!$J$3:$J$1012,""),"Server",_xlfn.XLOOKUP($K258&amp;"",SERVER!$B$3:$B$1009&amp;"",SERVER!$J$3:$J$1009,""),""))</f>
        <v/>
      </c>
      <c r="N258" s="1" t="str" cm="1">
        <f t="array" ref="N258">IF(OR($K258="",$I258="",$J258=""),"",_xlfn.LET(_xlpm.srcCat,_xlfn.SWITCH($I258,"Computer",_xlfn.XLOOKUP($K258&amp;"",COMPUTER!$B$3:$B$1009&amp;"",COMPUTER!$H$3:$H$1009,""),"Display",_xlfn.XLOOKUP($K258&amp;"",DISPLAY!$B$3:$B$1000&amp;"",DISPLAY!$H$3:$H$1000,""),"Network Device",_xlfn.XLOOKUP($K258&amp;"",'NETWORK-DEVICES'!$B$3:$B$987&amp;"",'NETWORK-DEVICES'!$H$3:$H$987,""),"Peripheral",_xlfn.XLOOKUP($K258&amp;"",PERIPHERAL!$B$3:$B$954&amp;"",PERIPHERAL!$H$3:$H$954,""),"Utilities",_xlfn.XLOOKUP($K258&amp;"",UTILITIES!$B$3:$B$953&amp;"",UTILITIES!$G$3:$G$953,""),"IOT",_xlfn.XLOOKUP($K258&amp;"",IOT!$B$3:$B$1012&amp;"",IOT!$H$3:$H$1012,""),"Server",_xlfn.XLOOKUP($K258&amp;"",SERVER!$B$3:$B$1009&amp;"",SERVER!$H$3:$H$1009,""),""),IF(TRIM(_xlpm.srcCat)&lt;&gt;TRIM($J258),"",_xlfn.SWITCH($I258,"Computer",_xlfn.XLOOKUP($K258&amp;"",COMPUTER!$B$3:$B$1009&amp;"",COMPUTER!$K$3:$K$1009,""),"Display",_xlfn.XLOOKUP($K258&amp;"",DISPLAY!$B$3:$B$1000&amp;"",DISPLAY!$L$3:$L$1000,""),"Network Device",_xlfn.XLOOKUP($K258&amp;"",'NETWORK-DEVICES'!$B$3:$B$987&amp;"",'NETWORK-DEVICES'!$K$3:$K$987,""),"Peripheral",_xlfn.XLOOKUP($K258&amp;"",PERIPHERAL!$B$3:$B$954&amp;"",PERIPHERAL!$K$3:$K$954,""),"Utilities",_xlfn.XLOOKUP($K258&amp;"",UTILITIES!$B$3:$B$953&amp;"",UTILITIES!$J$3:$J$953,""),"IOT",_xlfn.XLOOKUP($K258&amp;"",IOT!$B$3:$B$1012&amp;"",IOT!$K$4:$K$1012,""),"Server",_xlfn.XLOOKUP($K258&amp;"",SERVER!$B$3:$B$1009&amp;"",SERVER!$K$3:$K$1009,""),""))))</f>
        <v/>
      </c>
      <c r="O258" s="1" t="str" cm="1">
        <f t="array" ref="O258">IF(OR($K258="",$I258="",$J258=""),"",_xlfn.LET(_xlpm.srcCat,_xlfn.SWITCH($I258,"Computer",_xlfn.XLOOKUP($K258&amp;"",COMPUTER!$B$3:$B$1009&amp;"",COMPUTER!$H$3:$H$1009,""),"Display",_xlfn.XLOOKUP($K258&amp;"",DISPLAY!$B$3:$B$1000&amp;"",DISPLAY!$H$3:$H$1000,""),"Network Device",_xlfn.XLOOKUP($K258&amp;"",'NETWORK-DEVICES'!$B$3:$B$987&amp;"",'NETWORK-DEVICES'!$H$3:$H$987,""),"Peripheral",_xlfn.XLOOKUP($K258&amp;"",PERIPHERAL!$B$3:$B$954&amp;"",PERIPHERAL!$H$3:$H$954,""),"Utilities",_xlfn.XLOOKUP($K258&amp;"",UTILITIES!$B$3:$B$953&amp;"",UTILITIES!$G$3:$G$953,""),"IOT",_xlfn.XLOOKUP($K258&amp;"",IOT!$B$3:$B$1012&amp;"",IOT!$H$3:$H$1012,""),"Server",_xlfn.XLOOKUP($K258&amp;"",SERVER!$B$3:$B$1009&amp;"",SERVER!$H$3:$H$1009,""),""),IF(TRIM(_xlpm.srcCat)&lt;&gt;TRIM($J258),"",_xlfn.SWITCH($I258,"Computer",_xlfn.XLOOKUP($K258&amp;"",COMPUTER!$B$3:$B$1009&amp;"",COMPUTER!$E$3:$E$1009,""),"Display",_xlfn.XLOOKUP($K258&amp;"",DISPLAY!$B$3:$B$1000&amp;"",DISPLAY!$E$3:$E$1000,""),"Network Device",_xlfn.XLOOKUP($K258&amp;"",'NETWORK-DEVICES'!$B$3:$B$987&amp;"",'NETWORK-DEVICES'!$E$3:$E$987,""),"Peripheral",_xlfn.XLOOKUP($K258&amp;"",PERIPHERAL!$B$3:$B$954&amp;"",PERIPHERAL!$E$3:$E$954,""),"Utilities",_xlfn.XLOOKUP($K258&amp;"",UTILITIES!$B$3:$B$953&amp;"",UTILITIES!$E$3:$E$953,""),"IOT",_xlfn.XLOOKUP($K258&amp;"",IOT!$B$3:$B$1012&amp;"",IOT!$E$3:$E$1012,""),"Server",_xlfn.XLOOKUP($K258&amp;"",SERVER!$B$3:$B$1009&amp;"",SERVER!$E$3:$E$1009,""),""))))</f>
        <v/>
      </c>
      <c r="Q258" s="1" t="str" cm="1">
        <f t="array" ref="Q258">IF(OR($K258="",$I258="",$J258=""),"",_xlfn.LET(_xlpm.srcCat,_xlfn.SWITCH($I258,"Computer",_xlfn.XLOOKUP($K258&amp;"",COMPUTER!$B$3:$B$1009&amp;"",COMPUTER!$H$3:$H$1009,""),"Display",_xlfn.XLOOKUP($K258&amp;"",DISPLAY!$B$3:$B$1000&amp;"",DISPLAY!$H$3:$H$1000,""),"Network Device",_xlfn.XLOOKUP($K258&amp;"",'NETWORK-DEVICES'!$B$3:$B$987&amp;"",'NETWORK-DEVICES'!$H$3:$H$987,""),"Peripheral",_xlfn.XLOOKUP($K258&amp;"",PERIPHERAL!$B$3:$B$954&amp;"",PERIPHERAL!$H$3:$H$954,""),"Utilities",_xlfn.XLOOKUP($K258&amp;"",UTILITIES!$B$3:$B$953&amp;"",UTILITIES!$G$3:$G$953,""),"IOT",_xlfn.XLOOKUP($K258&amp;"",IOT!$B$3:$B$1012&amp;"",IOT!$H$3:$H$1012,""),"Server",_xlfn.XLOOKUP($K258&amp;"",SERVER!$B$3:$B$1009&amp;"",SERVER!$H$3:$H$1009,""),""),IF(TRIM(_xlpm.srcCat)&lt;&gt;TRIM($J258),"",_xlfn.SWITCH($I258,"Computer",_xlfn.XLOOKUP($K258&amp;"",COMPUTER!$B$3:$B$1009&amp;"",COMPUTER!$AM$3:$AM$1009,""),"Display",_xlfn.XLOOKUP($K258&amp;"",DISPLAY!$B$3:$B$1000&amp;"",DISPLAY!$V$3:$V$1000,""),"Network Device",_xlfn.XLOOKUP($K258&amp;"",'NETWORK-DEVICES'!$B$3:$B$987&amp;"",'NETWORK-DEVICES'!$AF$3:$AF$987,""),"Peripheral",_xlfn.XLOOKUP($K258&amp;"",PERIPHERAL!$B$3:$B$954&amp;"",PERIPHERAL!$Y$3:$Y$954,""),"Utilities",_xlfn.XLOOKUP($K258&amp;"",UTILITIES!$B$3:$B$953&amp;"",UTILITIES!$O$3:$O$953,""),"IOT",_xlfn.XLOOKUP($K258&amp;"",IOT!$B$3:$B$1012&amp;"",IOT!$AB$3:$AB$1012,""),"Server",_xlfn.XLOOKUP($K258&amp;"",SERVER!$B$3:$B$1009&amp;"",SERVER!$AB$3:$AB$1009,""),""))))</f>
        <v/>
      </c>
      <c r="R258" s="43" t="str">
        <f>IF(tbl_handover[[#This Row],[Asset Code]]="","",COUNTIF(tbl_handover[Asset Code],tbl_handover[[#This Row],[Asset Code]]))</f>
        <v/>
      </c>
    </row>
    <row r="259" spans="1:18" x14ac:dyDescent="0.25">
      <c r="A259" s="43" t="str">
        <f>IF(B259&lt;&gt;"",SUBTOTAL(3,$B$1:B258),"")</f>
        <v/>
      </c>
      <c r="C259" s="74"/>
      <c r="D259" s="74"/>
      <c r="G259" s="1"/>
      <c r="K259" s="42"/>
      <c r="L259" t="str" cm="1">
        <f t="array" ref="L259">IF($K259="","",_xlfn.SWITCH($I259,"Computer",_xlfn.XLOOKUP($K259&amp;"",COMPUTER!$B$3:$B$1009&amp;"",COMPUTER!$I$3:$I$1009,""),"Display",_xlfn.XLOOKUP($K259&amp;"",DISPLAY!$B$3:$B$1000&amp;"",DISPLAY!$J$3:$J$1000,""),"Network Device",_xlfn.XLOOKUP($K259&amp;"",'NETWORK-DEVICES'!$B$3:$B$987&amp;"",'NETWORK-DEVICES'!$I$3:$I$987,""),"Peripheral",_xlfn.XLOOKUP($K259&amp;"",PERIPHERAL!$B$3:$B$954&amp;"",PERIPHERAL!$I$3:$I$954,""),"Utilities",_xlfn.XLOOKUP($K259&amp;"",UTILITIES!$B$3:$B$953&amp;"",UTILITIES!$H$3:$H$953,""),"IOT",_xlfn.XLOOKUP($K259&amp;"",IOT!$B$3:$B$1012&amp;"",IOT!$I$3:$I$1012,""),"SERVER",_xlfn.XLOOKUP($K259&amp;"",SERVER!$B$3:$B$1009&amp;"",SERVER!$I$3:$I$1009,""),""))</f>
        <v/>
      </c>
      <c r="M259" t="str" cm="1">
        <f t="array" ref="M259">IF($K259="","",_xlfn.SWITCH($I259,"Computer",_xlfn.XLOOKUP($K259&amp;"",COMPUTER!$B$3:$B$1009&amp;"",COMPUTER!$J$3:$J$1009,""),"Display",_xlfn.XLOOKUP($K259&amp;"",DISPLAY!$B$3:$B$1000&amp;"",DISPLAY!$K$3:$K$1000,""),"Network Device",_xlfn.XLOOKUP($K259&amp;"",'NETWORK-DEVICES'!$B$3:$B$987&amp;"",'NETWORK-DEVICES'!$I$3:$I$987,""),"Peripheral",_xlfn.XLOOKUP($K259&amp;"",PERIPHERAL!$B$3:$B$954&amp;"",PERIPHERAL!$J$3:$J$954,""),"Utilities",_xlfn.XLOOKUP($K259&amp;"",UTILITIES!$B$3:$B$953&amp;"",UTILITIES!$I$3:$I$953,""),"IOT",_xlfn.XLOOKUP($K259&amp;"",IOT!$B$3:$B$1012&amp;"",IOT!$J$3:$J$1012,""),"Server",_xlfn.XLOOKUP($K259&amp;"",SERVER!$B$3:$B$1009&amp;"",SERVER!$J$3:$J$1009,""),""))</f>
        <v/>
      </c>
      <c r="N259" s="1" t="str" cm="1">
        <f t="array" ref="N259">IF(OR($K259="",$I259="",$J259=""),"",_xlfn.LET(_xlpm.srcCat,_xlfn.SWITCH($I259,"Computer",_xlfn.XLOOKUP($K259&amp;"",COMPUTER!$B$3:$B$1009&amp;"",COMPUTER!$H$3:$H$1009,""),"Display",_xlfn.XLOOKUP($K259&amp;"",DISPLAY!$B$3:$B$1000&amp;"",DISPLAY!$H$3:$H$1000,""),"Network Device",_xlfn.XLOOKUP($K259&amp;"",'NETWORK-DEVICES'!$B$3:$B$987&amp;"",'NETWORK-DEVICES'!$H$3:$H$987,""),"Peripheral",_xlfn.XLOOKUP($K259&amp;"",PERIPHERAL!$B$3:$B$954&amp;"",PERIPHERAL!$H$3:$H$954,""),"Utilities",_xlfn.XLOOKUP($K259&amp;"",UTILITIES!$B$3:$B$953&amp;"",UTILITIES!$G$3:$G$953,""),"IOT",_xlfn.XLOOKUP($K259&amp;"",IOT!$B$3:$B$1012&amp;"",IOT!$H$3:$H$1012,""),"Server",_xlfn.XLOOKUP($K259&amp;"",SERVER!$B$3:$B$1009&amp;"",SERVER!$H$3:$H$1009,""),""),IF(TRIM(_xlpm.srcCat)&lt;&gt;TRIM($J259),"",_xlfn.SWITCH($I259,"Computer",_xlfn.XLOOKUP($K259&amp;"",COMPUTER!$B$3:$B$1009&amp;"",COMPUTER!$K$3:$K$1009,""),"Display",_xlfn.XLOOKUP($K259&amp;"",DISPLAY!$B$3:$B$1000&amp;"",DISPLAY!$L$3:$L$1000,""),"Network Device",_xlfn.XLOOKUP($K259&amp;"",'NETWORK-DEVICES'!$B$3:$B$987&amp;"",'NETWORK-DEVICES'!$K$3:$K$987,""),"Peripheral",_xlfn.XLOOKUP($K259&amp;"",PERIPHERAL!$B$3:$B$954&amp;"",PERIPHERAL!$K$3:$K$954,""),"Utilities",_xlfn.XLOOKUP($K259&amp;"",UTILITIES!$B$3:$B$953&amp;"",UTILITIES!$J$3:$J$953,""),"IOT",_xlfn.XLOOKUP($K259&amp;"",IOT!$B$3:$B$1012&amp;"",IOT!$K$4:$K$1012,""),"Server",_xlfn.XLOOKUP($K259&amp;"",SERVER!$B$3:$B$1009&amp;"",SERVER!$K$3:$K$1009,""),""))))</f>
        <v/>
      </c>
      <c r="O259" s="1" t="str" cm="1">
        <f t="array" ref="O259">IF(OR($K259="",$I259="",$J259=""),"",_xlfn.LET(_xlpm.srcCat,_xlfn.SWITCH($I259,"Computer",_xlfn.XLOOKUP($K259&amp;"",COMPUTER!$B$3:$B$1009&amp;"",COMPUTER!$H$3:$H$1009,""),"Display",_xlfn.XLOOKUP($K259&amp;"",DISPLAY!$B$3:$B$1000&amp;"",DISPLAY!$H$3:$H$1000,""),"Network Device",_xlfn.XLOOKUP($K259&amp;"",'NETWORK-DEVICES'!$B$3:$B$987&amp;"",'NETWORK-DEVICES'!$H$3:$H$987,""),"Peripheral",_xlfn.XLOOKUP($K259&amp;"",PERIPHERAL!$B$3:$B$954&amp;"",PERIPHERAL!$H$3:$H$954,""),"Utilities",_xlfn.XLOOKUP($K259&amp;"",UTILITIES!$B$3:$B$953&amp;"",UTILITIES!$G$3:$G$953,""),"IOT",_xlfn.XLOOKUP($K259&amp;"",IOT!$B$3:$B$1012&amp;"",IOT!$H$3:$H$1012,""),"Server",_xlfn.XLOOKUP($K259&amp;"",SERVER!$B$3:$B$1009&amp;"",SERVER!$H$3:$H$1009,""),""),IF(TRIM(_xlpm.srcCat)&lt;&gt;TRIM($J259),"",_xlfn.SWITCH($I259,"Computer",_xlfn.XLOOKUP($K259&amp;"",COMPUTER!$B$3:$B$1009&amp;"",COMPUTER!$E$3:$E$1009,""),"Display",_xlfn.XLOOKUP($K259&amp;"",DISPLAY!$B$3:$B$1000&amp;"",DISPLAY!$E$3:$E$1000,""),"Network Device",_xlfn.XLOOKUP($K259&amp;"",'NETWORK-DEVICES'!$B$3:$B$987&amp;"",'NETWORK-DEVICES'!$E$3:$E$987,""),"Peripheral",_xlfn.XLOOKUP($K259&amp;"",PERIPHERAL!$B$3:$B$954&amp;"",PERIPHERAL!$E$3:$E$954,""),"Utilities",_xlfn.XLOOKUP($K259&amp;"",UTILITIES!$B$3:$B$953&amp;"",UTILITIES!$E$3:$E$953,""),"IOT",_xlfn.XLOOKUP($K259&amp;"",IOT!$B$3:$B$1012&amp;"",IOT!$E$3:$E$1012,""),"Server",_xlfn.XLOOKUP($K259&amp;"",SERVER!$B$3:$B$1009&amp;"",SERVER!$E$3:$E$1009,""),""))))</f>
        <v/>
      </c>
      <c r="Q259" s="1" t="str" cm="1">
        <f t="array" ref="Q259">IF(OR($K259="",$I259="",$J259=""),"",_xlfn.LET(_xlpm.srcCat,_xlfn.SWITCH($I259,"Computer",_xlfn.XLOOKUP($K259&amp;"",COMPUTER!$B$3:$B$1009&amp;"",COMPUTER!$H$3:$H$1009,""),"Display",_xlfn.XLOOKUP($K259&amp;"",DISPLAY!$B$3:$B$1000&amp;"",DISPLAY!$H$3:$H$1000,""),"Network Device",_xlfn.XLOOKUP($K259&amp;"",'NETWORK-DEVICES'!$B$3:$B$987&amp;"",'NETWORK-DEVICES'!$H$3:$H$987,""),"Peripheral",_xlfn.XLOOKUP($K259&amp;"",PERIPHERAL!$B$3:$B$954&amp;"",PERIPHERAL!$H$3:$H$954,""),"Utilities",_xlfn.XLOOKUP($K259&amp;"",UTILITIES!$B$3:$B$953&amp;"",UTILITIES!$G$3:$G$953,""),"IOT",_xlfn.XLOOKUP($K259&amp;"",IOT!$B$3:$B$1012&amp;"",IOT!$H$3:$H$1012,""),"Server",_xlfn.XLOOKUP($K259&amp;"",SERVER!$B$3:$B$1009&amp;"",SERVER!$H$3:$H$1009,""),""),IF(TRIM(_xlpm.srcCat)&lt;&gt;TRIM($J259),"",_xlfn.SWITCH($I259,"Computer",_xlfn.XLOOKUP($K259&amp;"",COMPUTER!$B$3:$B$1009&amp;"",COMPUTER!$AM$3:$AM$1009,""),"Display",_xlfn.XLOOKUP($K259&amp;"",DISPLAY!$B$3:$B$1000&amp;"",DISPLAY!$V$3:$V$1000,""),"Network Device",_xlfn.XLOOKUP($K259&amp;"",'NETWORK-DEVICES'!$B$3:$B$987&amp;"",'NETWORK-DEVICES'!$AF$3:$AF$987,""),"Peripheral",_xlfn.XLOOKUP($K259&amp;"",PERIPHERAL!$B$3:$B$954&amp;"",PERIPHERAL!$Y$3:$Y$954,""),"Utilities",_xlfn.XLOOKUP($K259&amp;"",UTILITIES!$B$3:$B$953&amp;"",UTILITIES!$O$3:$O$953,""),"IOT",_xlfn.XLOOKUP($K259&amp;"",IOT!$B$3:$B$1012&amp;"",IOT!$AB$3:$AB$1012,""),"Server",_xlfn.XLOOKUP($K259&amp;"",SERVER!$B$3:$B$1009&amp;"",SERVER!$AB$3:$AB$1009,""),""))))</f>
        <v/>
      </c>
      <c r="R259" s="43" t="str">
        <f>IF(tbl_handover[[#This Row],[Asset Code]]="","",COUNTIF(tbl_handover[Asset Code],tbl_handover[[#This Row],[Asset Code]]))</f>
        <v/>
      </c>
    </row>
    <row r="260" spans="1:18" x14ac:dyDescent="0.25">
      <c r="A260" s="43" t="str">
        <f>IF(B260&lt;&gt;"",SUBTOTAL(3,$B$1:B259),"")</f>
        <v/>
      </c>
      <c r="C260" s="74"/>
      <c r="D260" s="74"/>
      <c r="G260" s="1"/>
      <c r="K260" s="42"/>
      <c r="L260" t="str" cm="1">
        <f t="array" ref="L260">IF($K260="","",_xlfn.SWITCH($I260,"Computer",_xlfn.XLOOKUP($K260&amp;"",COMPUTER!$B$3:$B$1009&amp;"",COMPUTER!$I$3:$I$1009,""),"Display",_xlfn.XLOOKUP($K260&amp;"",DISPLAY!$B$3:$B$1000&amp;"",DISPLAY!$J$3:$J$1000,""),"Network Device",_xlfn.XLOOKUP($K260&amp;"",'NETWORK-DEVICES'!$B$3:$B$987&amp;"",'NETWORK-DEVICES'!$I$3:$I$987,""),"Peripheral",_xlfn.XLOOKUP($K260&amp;"",PERIPHERAL!$B$3:$B$954&amp;"",PERIPHERAL!$I$3:$I$954,""),"Utilities",_xlfn.XLOOKUP($K260&amp;"",UTILITIES!$B$3:$B$953&amp;"",UTILITIES!$H$3:$H$953,""),"IOT",_xlfn.XLOOKUP($K260&amp;"",IOT!$B$3:$B$1012&amp;"",IOT!$I$3:$I$1012,""),"SERVER",_xlfn.XLOOKUP($K260&amp;"",SERVER!$B$3:$B$1009&amp;"",SERVER!$I$3:$I$1009,""),""))</f>
        <v/>
      </c>
      <c r="M260" t="str" cm="1">
        <f t="array" ref="M260">IF($K260="","",_xlfn.SWITCH($I260,"Computer",_xlfn.XLOOKUP($K260&amp;"",COMPUTER!$B$3:$B$1009&amp;"",COMPUTER!$J$3:$J$1009,""),"Display",_xlfn.XLOOKUP($K260&amp;"",DISPLAY!$B$3:$B$1000&amp;"",DISPLAY!$K$3:$K$1000,""),"Network Device",_xlfn.XLOOKUP($K260&amp;"",'NETWORK-DEVICES'!$B$3:$B$987&amp;"",'NETWORK-DEVICES'!$I$3:$I$987,""),"Peripheral",_xlfn.XLOOKUP($K260&amp;"",PERIPHERAL!$B$3:$B$954&amp;"",PERIPHERAL!$J$3:$J$954,""),"Utilities",_xlfn.XLOOKUP($K260&amp;"",UTILITIES!$B$3:$B$953&amp;"",UTILITIES!$I$3:$I$953,""),"IOT",_xlfn.XLOOKUP($K260&amp;"",IOT!$B$3:$B$1012&amp;"",IOT!$J$3:$J$1012,""),"Server",_xlfn.XLOOKUP($K260&amp;"",SERVER!$B$3:$B$1009&amp;"",SERVER!$J$3:$J$1009,""),""))</f>
        <v/>
      </c>
      <c r="N260" s="1" t="str" cm="1">
        <f t="array" ref="N260">IF(OR($K260="",$I260="",$J260=""),"",_xlfn.LET(_xlpm.srcCat,_xlfn.SWITCH($I260,"Computer",_xlfn.XLOOKUP($K260&amp;"",COMPUTER!$B$3:$B$1009&amp;"",COMPUTER!$H$3:$H$1009,""),"Display",_xlfn.XLOOKUP($K260&amp;"",DISPLAY!$B$3:$B$1000&amp;"",DISPLAY!$H$3:$H$1000,""),"Network Device",_xlfn.XLOOKUP($K260&amp;"",'NETWORK-DEVICES'!$B$3:$B$987&amp;"",'NETWORK-DEVICES'!$H$3:$H$987,""),"Peripheral",_xlfn.XLOOKUP($K260&amp;"",PERIPHERAL!$B$3:$B$954&amp;"",PERIPHERAL!$H$3:$H$954,""),"Utilities",_xlfn.XLOOKUP($K260&amp;"",UTILITIES!$B$3:$B$953&amp;"",UTILITIES!$G$3:$G$953,""),"IOT",_xlfn.XLOOKUP($K260&amp;"",IOT!$B$3:$B$1012&amp;"",IOT!$H$3:$H$1012,""),"Server",_xlfn.XLOOKUP($K260&amp;"",SERVER!$B$3:$B$1009&amp;"",SERVER!$H$3:$H$1009,""),""),IF(TRIM(_xlpm.srcCat)&lt;&gt;TRIM($J260),"",_xlfn.SWITCH($I260,"Computer",_xlfn.XLOOKUP($K260&amp;"",COMPUTER!$B$3:$B$1009&amp;"",COMPUTER!$K$3:$K$1009,""),"Display",_xlfn.XLOOKUP($K260&amp;"",DISPLAY!$B$3:$B$1000&amp;"",DISPLAY!$L$3:$L$1000,""),"Network Device",_xlfn.XLOOKUP($K260&amp;"",'NETWORK-DEVICES'!$B$3:$B$987&amp;"",'NETWORK-DEVICES'!$K$3:$K$987,""),"Peripheral",_xlfn.XLOOKUP($K260&amp;"",PERIPHERAL!$B$3:$B$954&amp;"",PERIPHERAL!$K$3:$K$954,""),"Utilities",_xlfn.XLOOKUP($K260&amp;"",UTILITIES!$B$3:$B$953&amp;"",UTILITIES!$J$3:$J$953,""),"IOT",_xlfn.XLOOKUP($K260&amp;"",IOT!$B$3:$B$1012&amp;"",IOT!$K$4:$K$1012,""),"Server",_xlfn.XLOOKUP($K260&amp;"",SERVER!$B$3:$B$1009&amp;"",SERVER!$K$3:$K$1009,""),""))))</f>
        <v/>
      </c>
      <c r="O260" s="1" t="str" cm="1">
        <f t="array" ref="O260">IF(OR($K260="",$I260="",$J260=""),"",_xlfn.LET(_xlpm.srcCat,_xlfn.SWITCH($I260,"Computer",_xlfn.XLOOKUP($K260&amp;"",COMPUTER!$B$3:$B$1009&amp;"",COMPUTER!$H$3:$H$1009,""),"Display",_xlfn.XLOOKUP($K260&amp;"",DISPLAY!$B$3:$B$1000&amp;"",DISPLAY!$H$3:$H$1000,""),"Network Device",_xlfn.XLOOKUP($K260&amp;"",'NETWORK-DEVICES'!$B$3:$B$987&amp;"",'NETWORK-DEVICES'!$H$3:$H$987,""),"Peripheral",_xlfn.XLOOKUP($K260&amp;"",PERIPHERAL!$B$3:$B$954&amp;"",PERIPHERAL!$H$3:$H$954,""),"Utilities",_xlfn.XLOOKUP($K260&amp;"",UTILITIES!$B$3:$B$953&amp;"",UTILITIES!$G$3:$G$953,""),"IOT",_xlfn.XLOOKUP($K260&amp;"",IOT!$B$3:$B$1012&amp;"",IOT!$H$3:$H$1012,""),"Server",_xlfn.XLOOKUP($K260&amp;"",SERVER!$B$3:$B$1009&amp;"",SERVER!$H$3:$H$1009,""),""),IF(TRIM(_xlpm.srcCat)&lt;&gt;TRIM($J260),"",_xlfn.SWITCH($I260,"Computer",_xlfn.XLOOKUP($K260&amp;"",COMPUTER!$B$3:$B$1009&amp;"",COMPUTER!$E$3:$E$1009,""),"Display",_xlfn.XLOOKUP($K260&amp;"",DISPLAY!$B$3:$B$1000&amp;"",DISPLAY!$E$3:$E$1000,""),"Network Device",_xlfn.XLOOKUP($K260&amp;"",'NETWORK-DEVICES'!$B$3:$B$987&amp;"",'NETWORK-DEVICES'!$E$3:$E$987,""),"Peripheral",_xlfn.XLOOKUP($K260&amp;"",PERIPHERAL!$B$3:$B$954&amp;"",PERIPHERAL!$E$3:$E$954,""),"Utilities",_xlfn.XLOOKUP($K260&amp;"",UTILITIES!$B$3:$B$953&amp;"",UTILITIES!$E$3:$E$953,""),"IOT",_xlfn.XLOOKUP($K260&amp;"",IOT!$B$3:$B$1012&amp;"",IOT!$E$3:$E$1012,""),"Server",_xlfn.XLOOKUP($K260&amp;"",SERVER!$B$3:$B$1009&amp;"",SERVER!$E$3:$E$1009,""),""))))</f>
        <v/>
      </c>
      <c r="Q260" s="1" t="str" cm="1">
        <f t="array" ref="Q260">IF(OR($K260="",$I260="",$J260=""),"",_xlfn.LET(_xlpm.srcCat,_xlfn.SWITCH($I260,"Computer",_xlfn.XLOOKUP($K260&amp;"",COMPUTER!$B$3:$B$1009&amp;"",COMPUTER!$H$3:$H$1009,""),"Display",_xlfn.XLOOKUP($K260&amp;"",DISPLAY!$B$3:$B$1000&amp;"",DISPLAY!$H$3:$H$1000,""),"Network Device",_xlfn.XLOOKUP($K260&amp;"",'NETWORK-DEVICES'!$B$3:$B$987&amp;"",'NETWORK-DEVICES'!$H$3:$H$987,""),"Peripheral",_xlfn.XLOOKUP($K260&amp;"",PERIPHERAL!$B$3:$B$954&amp;"",PERIPHERAL!$H$3:$H$954,""),"Utilities",_xlfn.XLOOKUP($K260&amp;"",UTILITIES!$B$3:$B$953&amp;"",UTILITIES!$G$3:$G$953,""),"IOT",_xlfn.XLOOKUP($K260&amp;"",IOT!$B$3:$B$1012&amp;"",IOT!$H$3:$H$1012,""),"Server",_xlfn.XLOOKUP($K260&amp;"",SERVER!$B$3:$B$1009&amp;"",SERVER!$H$3:$H$1009,""),""),IF(TRIM(_xlpm.srcCat)&lt;&gt;TRIM($J260),"",_xlfn.SWITCH($I260,"Computer",_xlfn.XLOOKUP($K260&amp;"",COMPUTER!$B$3:$B$1009&amp;"",COMPUTER!$AM$3:$AM$1009,""),"Display",_xlfn.XLOOKUP($K260&amp;"",DISPLAY!$B$3:$B$1000&amp;"",DISPLAY!$V$3:$V$1000,""),"Network Device",_xlfn.XLOOKUP($K260&amp;"",'NETWORK-DEVICES'!$B$3:$B$987&amp;"",'NETWORK-DEVICES'!$AF$3:$AF$987,""),"Peripheral",_xlfn.XLOOKUP($K260&amp;"",PERIPHERAL!$B$3:$B$954&amp;"",PERIPHERAL!$Y$3:$Y$954,""),"Utilities",_xlfn.XLOOKUP($K260&amp;"",UTILITIES!$B$3:$B$953&amp;"",UTILITIES!$O$3:$O$953,""),"IOT",_xlfn.XLOOKUP($K260&amp;"",IOT!$B$3:$B$1012&amp;"",IOT!$AB$3:$AB$1012,""),"Server",_xlfn.XLOOKUP($K260&amp;"",SERVER!$B$3:$B$1009&amp;"",SERVER!$AB$3:$AB$1009,""),""))))</f>
        <v/>
      </c>
      <c r="R260" s="43" t="str">
        <f>IF(tbl_handover[[#This Row],[Asset Code]]="","",COUNTIF(tbl_handover[Asset Code],tbl_handover[[#This Row],[Asset Code]]))</f>
        <v/>
      </c>
    </row>
    <row r="261" spans="1:18" x14ac:dyDescent="0.25">
      <c r="A261" s="43" t="str">
        <f>IF(B261&lt;&gt;"",SUBTOTAL(3,$B$1:B260),"")</f>
        <v/>
      </c>
      <c r="C261" s="74"/>
      <c r="D261" s="74"/>
      <c r="G261" s="1"/>
      <c r="K261" s="42"/>
      <c r="L261" t="str" cm="1">
        <f t="array" ref="L261">IF($K261="","",_xlfn.SWITCH($I261,"Computer",_xlfn.XLOOKUP($K261&amp;"",COMPUTER!$B$3:$B$1009&amp;"",COMPUTER!$I$3:$I$1009,""),"Display",_xlfn.XLOOKUP($K261&amp;"",DISPLAY!$B$3:$B$1000&amp;"",DISPLAY!$J$3:$J$1000,""),"Network Device",_xlfn.XLOOKUP($K261&amp;"",'NETWORK-DEVICES'!$B$3:$B$987&amp;"",'NETWORK-DEVICES'!$I$3:$I$987,""),"Peripheral",_xlfn.XLOOKUP($K261&amp;"",PERIPHERAL!$B$3:$B$954&amp;"",PERIPHERAL!$I$3:$I$954,""),"Utilities",_xlfn.XLOOKUP($K261&amp;"",UTILITIES!$B$3:$B$953&amp;"",UTILITIES!$H$3:$H$953,""),"IOT",_xlfn.XLOOKUP($K261&amp;"",IOT!$B$3:$B$1012&amp;"",IOT!$I$3:$I$1012,""),"SERVER",_xlfn.XLOOKUP($K261&amp;"",SERVER!$B$3:$B$1009&amp;"",SERVER!$I$3:$I$1009,""),""))</f>
        <v/>
      </c>
      <c r="M261" t="str" cm="1">
        <f t="array" ref="M261">IF($K261="","",_xlfn.SWITCH($I261,"Computer",_xlfn.XLOOKUP($K261&amp;"",COMPUTER!$B$3:$B$1009&amp;"",COMPUTER!$J$3:$J$1009,""),"Display",_xlfn.XLOOKUP($K261&amp;"",DISPLAY!$B$3:$B$1000&amp;"",DISPLAY!$K$3:$K$1000,""),"Network Device",_xlfn.XLOOKUP($K261&amp;"",'NETWORK-DEVICES'!$B$3:$B$987&amp;"",'NETWORK-DEVICES'!$I$3:$I$987,""),"Peripheral",_xlfn.XLOOKUP($K261&amp;"",PERIPHERAL!$B$3:$B$954&amp;"",PERIPHERAL!$J$3:$J$954,""),"Utilities",_xlfn.XLOOKUP($K261&amp;"",UTILITIES!$B$3:$B$953&amp;"",UTILITIES!$I$3:$I$953,""),"IOT",_xlfn.XLOOKUP($K261&amp;"",IOT!$B$3:$B$1012&amp;"",IOT!$J$3:$J$1012,""),"Server",_xlfn.XLOOKUP($K261&amp;"",SERVER!$B$3:$B$1009&amp;"",SERVER!$J$3:$J$1009,""),""))</f>
        <v/>
      </c>
      <c r="N261" s="1" t="str" cm="1">
        <f t="array" ref="N261">IF(OR($K261="",$I261="",$J261=""),"",_xlfn.LET(_xlpm.srcCat,_xlfn.SWITCH($I261,"Computer",_xlfn.XLOOKUP($K261&amp;"",COMPUTER!$B$3:$B$1009&amp;"",COMPUTER!$H$3:$H$1009,""),"Display",_xlfn.XLOOKUP($K261&amp;"",DISPLAY!$B$3:$B$1000&amp;"",DISPLAY!$H$3:$H$1000,""),"Network Device",_xlfn.XLOOKUP($K261&amp;"",'NETWORK-DEVICES'!$B$3:$B$987&amp;"",'NETWORK-DEVICES'!$H$3:$H$987,""),"Peripheral",_xlfn.XLOOKUP($K261&amp;"",PERIPHERAL!$B$3:$B$954&amp;"",PERIPHERAL!$H$3:$H$954,""),"Utilities",_xlfn.XLOOKUP($K261&amp;"",UTILITIES!$B$3:$B$953&amp;"",UTILITIES!$G$3:$G$953,""),"IOT",_xlfn.XLOOKUP($K261&amp;"",IOT!$B$3:$B$1012&amp;"",IOT!$H$3:$H$1012,""),"Server",_xlfn.XLOOKUP($K261&amp;"",SERVER!$B$3:$B$1009&amp;"",SERVER!$H$3:$H$1009,""),""),IF(TRIM(_xlpm.srcCat)&lt;&gt;TRIM($J261),"",_xlfn.SWITCH($I261,"Computer",_xlfn.XLOOKUP($K261&amp;"",COMPUTER!$B$3:$B$1009&amp;"",COMPUTER!$K$3:$K$1009,""),"Display",_xlfn.XLOOKUP($K261&amp;"",DISPLAY!$B$3:$B$1000&amp;"",DISPLAY!$L$3:$L$1000,""),"Network Device",_xlfn.XLOOKUP($K261&amp;"",'NETWORK-DEVICES'!$B$3:$B$987&amp;"",'NETWORK-DEVICES'!$K$3:$K$987,""),"Peripheral",_xlfn.XLOOKUP($K261&amp;"",PERIPHERAL!$B$3:$B$954&amp;"",PERIPHERAL!$K$3:$K$954,""),"Utilities",_xlfn.XLOOKUP($K261&amp;"",UTILITIES!$B$3:$B$953&amp;"",UTILITIES!$J$3:$J$953,""),"IOT",_xlfn.XLOOKUP($K261&amp;"",IOT!$B$3:$B$1012&amp;"",IOT!$K$4:$K$1012,""),"Server",_xlfn.XLOOKUP($K261&amp;"",SERVER!$B$3:$B$1009&amp;"",SERVER!$K$3:$K$1009,""),""))))</f>
        <v/>
      </c>
      <c r="O261" s="1" t="str" cm="1">
        <f t="array" ref="O261">IF(OR($K261="",$I261="",$J261=""),"",_xlfn.LET(_xlpm.srcCat,_xlfn.SWITCH($I261,"Computer",_xlfn.XLOOKUP($K261&amp;"",COMPUTER!$B$3:$B$1009&amp;"",COMPUTER!$H$3:$H$1009,""),"Display",_xlfn.XLOOKUP($K261&amp;"",DISPLAY!$B$3:$B$1000&amp;"",DISPLAY!$H$3:$H$1000,""),"Network Device",_xlfn.XLOOKUP($K261&amp;"",'NETWORK-DEVICES'!$B$3:$B$987&amp;"",'NETWORK-DEVICES'!$H$3:$H$987,""),"Peripheral",_xlfn.XLOOKUP($K261&amp;"",PERIPHERAL!$B$3:$B$954&amp;"",PERIPHERAL!$H$3:$H$954,""),"Utilities",_xlfn.XLOOKUP($K261&amp;"",UTILITIES!$B$3:$B$953&amp;"",UTILITIES!$G$3:$G$953,""),"IOT",_xlfn.XLOOKUP($K261&amp;"",IOT!$B$3:$B$1012&amp;"",IOT!$H$3:$H$1012,""),"Server",_xlfn.XLOOKUP($K261&amp;"",SERVER!$B$3:$B$1009&amp;"",SERVER!$H$3:$H$1009,""),""),IF(TRIM(_xlpm.srcCat)&lt;&gt;TRIM($J261),"",_xlfn.SWITCH($I261,"Computer",_xlfn.XLOOKUP($K261&amp;"",COMPUTER!$B$3:$B$1009&amp;"",COMPUTER!$E$3:$E$1009,""),"Display",_xlfn.XLOOKUP($K261&amp;"",DISPLAY!$B$3:$B$1000&amp;"",DISPLAY!$E$3:$E$1000,""),"Network Device",_xlfn.XLOOKUP($K261&amp;"",'NETWORK-DEVICES'!$B$3:$B$987&amp;"",'NETWORK-DEVICES'!$E$3:$E$987,""),"Peripheral",_xlfn.XLOOKUP($K261&amp;"",PERIPHERAL!$B$3:$B$954&amp;"",PERIPHERAL!$E$3:$E$954,""),"Utilities",_xlfn.XLOOKUP($K261&amp;"",UTILITIES!$B$3:$B$953&amp;"",UTILITIES!$E$3:$E$953,""),"IOT",_xlfn.XLOOKUP($K261&amp;"",IOT!$B$3:$B$1012&amp;"",IOT!$E$3:$E$1012,""),"Server",_xlfn.XLOOKUP($K261&amp;"",SERVER!$B$3:$B$1009&amp;"",SERVER!$E$3:$E$1009,""),""))))</f>
        <v/>
      </c>
      <c r="Q261" s="1" t="str" cm="1">
        <f t="array" ref="Q261">IF(OR($K261="",$I261="",$J261=""),"",_xlfn.LET(_xlpm.srcCat,_xlfn.SWITCH($I261,"Computer",_xlfn.XLOOKUP($K261&amp;"",COMPUTER!$B$3:$B$1009&amp;"",COMPUTER!$H$3:$H$1009,""),"Display",_xlfn.XLOOKUP($K261&amp;"",DISPLAY!$B$3:$B$1000&amp;"",DISPLAY!$H$3:$H$1000,""),"Network Device",_xlfn.XLOOKUP($K261&amp;"",'NETWORK-DEVICES'!$B$3:$B$987&amp;"",'NETWORK-DEVICES'!$H$3:$H$987,""),"Peripheral",_xlfn.XLOOKUP($K261&amp;"",PERIPHERAL!$B$3:$B$954&amp;"",PERIPHERAL!$H$3:$H$954,""),"Utilities",_xlfn.XLOOKUP($K261&amp;"",UTILITIES!$B$3:$B$953&amp;"",UTILITIES!$G$3:$G$953,""),"IOT",_xlfn.XLOOKUP($K261&amp;"",IOT!$B$3:$B$1012&amp;"",IOT!$H$3:$H$1012,""),"Server",_xlfn.XLOOKUP($K261&amp;"",SERVER!$B$3:$B$1009&amp;"",SERVER!$H$3:$H$1009,""),""),IF(TRIM(_xlpm.srcCat)&lt;&gt;TRIM($J261),"",_xlfn.SWITCH($I261,"Computer",_xlfn.XLOOKUP($K261&amp;"",COMPUTER!$B$3:$B$1009&amp;"",COMPUTER!$AM$3:$AM$1009,""),"Display",_xlfn.XLOOKUP($K261&amp;"",DISPLAY!$B$3:$B$1000&amp;"",DISPLAY!$V$3:$V$1000,""),"Network Device",_xlfn.XLOOKUP($K261&amp;"",'NETWORK-DEVICES'!$B$3:$B$987&amp;"",'NETWORK-DEVICES'!$AF$3:$AF$987,""),"Peripheral",_xlfn.XLOOKUP($K261&amp;"",PERIPHERAL!$B$3:$B$954&amp;"",PERIPHERAL!$Y$3:$Y$954,""),"Utilities",_xlfn.XLOOKUP($K261&amp;"",UTILITIES!$B$3:$B$953&amp;"",UTILITIES!$O$3:$O$953,""),"IOT",_xlfn.XLOOKUP($K261&amp;"",IOT!$B$3:$B$1012&amp;"",IOT!$AB$3:$AB$1012,""),"Server",_xlfn.XLOOKUP($K261&amp;"",SERVER!$B$3:$B$1009&amp;"",SERVER!$AB$3:$AB$1009,""),""))))</f>
        <v/>
      </c>
      <c r="R261" s="43" t="str">
        <f>IF(tbl_handover[[#This Row],[Asset Code]]="","",COUNTIF(tbl_handover[Asset Code],tbl_handover[[#This Row],[Asset Code]]))</f>
        <v/>
      </c>
    </row>
    <row r="262" spans="1:18" x14ac:dyDescent="0.25">
      <c r="A262" s="43" t="str">
        <f>IF(B262&lt;&gt;"",SUBTOTAL(3,$B$1:B261),"")</f>
        <v/>
      </c>
      <c r="C262" s="74"/>
      <c r="D262" s="74"/>
      <c r="G262" s="1"/>
      <c r="K262" s="42"/>
      <c r="L262" t="str" cm="1">
        <f t="array" ref="L262">IF($K262="","",_xlfn.SWITCH($I262,"Computer",_xlfn.XLOOKUP($K262&amp;"",COMPUTER!$B$3:$B$1009&amp;"",COMPUTER!$I$3:$I$1009,""),"Display",_xlfn.XLOOKUP($K262&amp;"",DISPLAY!$B$3:$B$1000&amp;"",DISPLAY!$J$3:$J$1000,""),"Network Device",_xlfn.XLOOKUP($K262&amp;"",'NETWORK-DEVICES'!$B$3:$B$987&amp;"",'NETWORK-DEVICES'!$I$3:$I$987,""),"Peripheral",_xlfn.XLOOKUP($K262&amp;"",PERIPHERAL!$B$3:$B$954&amp;"",PERIPHERAL!$I$3:$I$954,""),"Utilities",_xlfn.XLOOKUP($K262&amp;"",UTILITIES!$B$3:$B$953&amp;"",UTILITIES!$H$3:$H$953,""),"IOT",_xlfn.XLOOKUP($K262&amp;"",IOT!$B$3:$B$1012&amp;"",IOT!$I$3:$I$1012,""),"SERVER",_xlfn.XLOOKUP($K262&amp;"",SERVER!$B$3:$B$1009&amp;"",SERVER!$I$3:$I$1009,""),""))</f>
        <v/>
      </c>
      <c r="M262" t="str" cm="1">
        <f t="array" ref="M262">IF($K262="","",_xlfn.SWITCH($I262,"Computer",_xlfn.XLOOKUP($K262&amp;"",COMPUTER!$B$3:$B$1009&amp;"",COMPUTER!$J$3:$J$1009,""),"Display",_xlfn.XLOOKUP($K262&amp;"",DISPLAY!$B$3:$B$1000&amp;"",DISPLAY!$K$3:$K$1000,""),"Network Device",_xlfn.XLOOKUP($K262&amp;"",'NETWORK-DEVICES'!$B$3:$B$987&amp;"",'NETWORK-DEVICES'!$I$3:$I$987,""),"Peripheral",_xlfn.XLOOKUP($K262&amp;"",PERIPHERAL!$B$3:$B$954&amp;"",PERIPHERAL!$J$3:$J$954,""),"Utilities",_xlfn.XLOOKUP($K262&amp;"",UTILITIES!$B$3:$B$953&amp;"",UTILITIES!$I$3:$I$953,""),"IOT",_xlfn.XLOOKUP($K262&amp;"",IOT!$B$3:$B$1012&amp;"",IOT!$J$3:$J$1012,""),"Server",_xlfn.XLOOKUP($K262&amp;"",SERVER!$B$3:$B$1009&amp;"",SERVER!$J$3:$J$1009,""),""))</f>
        <v/>
      </c>
      <c r="N262" s="1" t="str" cm="1">
        <f t="array" ref="N262">IF(OR($K262="",$I262="",$J262=""),"",_xlfn.LET(_xlpm.srcCat,_xlfn.SWITCH($I262,"Computer",_xlfn.XLOOKUP($K262&amp;"",COMPUTER!$B$3:$B$1009&amp;"",COMPUTER!$H$3:$H$1009,""),"Display",_xlfn.XLOOKUP($K262&amp;"",DISPLAY!$B$3:$B$1000&amp;"",DISPLAY!$H$3:$H$1000,""),"Network Device",_xlfn.XLOOKUP($K262&amp;"",'NETWORK-DEVICES'!$B$3:$B$987&amp;"",'NETWORK-DEVICES'!$H$3:$H$987,""),"Peripheral",_xlfn.XLOOKUP($K262&amp;"",PERIPHERAL!$B$3:$B$954&amp;"",PERIPHERAL!$H$3:$H$954,""),"Utilities",_xlfn.XLOOKUP($K262&amp;"",UTILITIES!$B$3:$B$953&amp;"",UTILITIES!$G$3:$G$953,""),"IOT",_xlfn.XLOOKUP($K262&amp;"",IOT!$B$3:$B$1012&amp;"",IOT!$H$3:$H$1012,""),"Server",_xlfn.XLOOKUP($K262&amp;"",SERVER!$B$3:$B$1009&amp;"",SERVER!$H$3:$H$1009,""),""),IF(TRIM(_xlpm.srcCat)&lt;&gt;TRIM($J262),"",_xlfn.SWITCH($I262,"Computer",_xlfn.XLOOKUP($K262&amp;"",COMPUTER!$B$3:$B$1009&amp;"",COMPUTER!$K$3:$K$1009,""),"Display",_xlfn.XLOOKUP($K262&amp;"",DISPLAY!$B$3:$B$1000&amp;"",DISPLAY!$L$3:$L$1000,""),"Network Device",_xlfn.XLOOKUP($K262&amp;"",'NETWORK-DEVICES'!$B$3:$B$987&amp;"",'NETWORK-DEVICES'!$K$3:$K$987,""),"Peripheral",_xlfn.XLOOKUP($K262&amp;"",PERIPHERAL!$B$3:$B$954&amp;"",PERIPHERAL!$K$3:$K$954,""),"Utilities",_xlfn.XLOOKUP($K262&amp;"",UTILITIES!$B$3:$B$953&amp;"",UTILITIES!$J$3:$J$953,""),"IOT",_xlfn.XLOOKUP($K262&amp;"",IOT!$B$3:$B$1012&amp;"",IOT!$K$4:$K$1012,""),"Server",_xlfn.XLOOKUP($K262&amp;"",SERVER!$B$3:$B$1009&amp;"",SERVER!$K$3:$K$1009,""),""))))</f>
        <v/>
      </c>
      <c r="O262" s="1" t="str" cm="1">
        <f t="array" ref="O262">IF(OR($K262="",$I262="",$J262=""),"",_xlfn.LET(_xlpm.srcCat,_xlfn.SWITCH($I262,"Computer",_xlfn.XLOOKUP($K262&amp;"",COMPUTER!$B$3:$B$1009&amp;"",COMPUTER!$H$3:$H$1009,""),"Display",_xlfn.XLOOKUP($K262&amp;"",DISPLAY!$B$3:$B$1000&amp;"",DISPLAY!$H$3:$H$1000,""),"Network Device",_xlfn.XLOOKUP($K262&amp;"",'NETWORK-DEVICES'!$B$3:$B$987&amp;"",'NETWORK-DEVICES'!$H$3:$H$987,""),"Peripheral",_xlfn.XLOOKUP($K262&amp;"",PERIPHERAL!$B$3:$B$954&amp;"",PERIPHERAL!$H$3:$H$954,""),"Utilities",_xlfn.XLOOKUP($K262&amp;"",UTILITIES!$B$3:$B$953&amp;"",UTILITIES!$G$3:$G$953,""),"IOT",_xlfn.XLOOKUP($K262&amp;"",IOT!$B$3:$B$1012&amp;"",IOT!$H$3:$H$1012,""),"Server",_xlfn.XLOOKUP($K262&amp;"",SERVER!$B$3:$B$1009&amp;"",SERVER!$H$3:$H$1009,""),""),IF(TRIM(_xlpm.srcCat)&lt;&gt;TRIM($J262),"",_xlfn.SWITCH($I262,"Computer",_xlfn.XLOOKUP($K262&amp;"",COMPUTER!$B$3:$B$1009&amp;"",COMPUTER!$E$3:$E$1009,""),"Display",_xlfn.XLOOKUP($K262&amp;"",DISPLAY!$B$3:$B$1000&amp;"",DISPLAY!$E$3:$E$1000,""),"Network Device",_xlfn.XLOOKUP($K262&amp;"",'NETWORK-DEVICES'!$B$3:$B$987&amp;"",'NETWORK-DEVICES'!$E$3:$E$987,""),"Peripheral",_xlfn.XLOOKUP($K262&amp;"",PERIPHERAL!$B$3:$B$954&amp;"",PERIPHERAL!$E$3:$E$954,""),"Utilities",_xlfn.XLOOKUP($K262&amp;"",UTILITIES!$B$3:$B$953&amp;"",UTILITIES!$E$3:$E$953,""),"IOT",_xlfn.XLOOKUP($K262&amp;"",IOT!$B$3:$B$1012&amp;"",IOT!$E$3:$E$1012,""),"Server",_xlfn.XLOOKUP($K262&amp;"",SERVER!$B$3:$B$1009&amp;"",SERVER!$E$3:$E$1009,""),""))))</f>
        <v/>
      </c>
      <c r="Q262" s="1" t="str" cm="1">
        <f t="array" ref="Q262">IF(OR($K262="",$I262="",$J262=""),"",_xlfn.LET(_xlpm.srcCat,_xlfn.SWITCH($I262,"Computer",_xlfn.XLOOKUP($K262&amp;"",COMPUTER!$B$3:$B$1009&amp;"",COMPUTER!$H$3:$H$1009,""),"Display",_xlfn.XLOOKUP($K262&amp;"",DISPLAY!$B$3:$B$1000&amp;"",DISPLAY!$H$3:$H$1000,""),"Network Device",_xlfn.XLOOKUP($K262&amp;"",'NETWORK-DEVICES'!$B$3:$B$987&amp;"",'NETWORK-DEVICES'!$H$3:$H$987,""),"Peripheral",_xlfn.XLOOKUP($K262&amp;"",PERIPHERAL!$B$3:$B$954&amp;"",PERIPHERAL!$H$3:$H$954,""),"Utilities",_xlfn.XLOOKUP($K262&amp;"",UTILITIES!$B$3:$B$953&amp;"",UTILITIES!$G$3:$G$953,""),"IOT",_xlfn.XLOOKUP($K262&amp;"",IOT!$B$3:$B$1012&amp;"",IOT!$H$3:$H$1012,""),"Server",_xlfn.XLOOKUP($K262&amp;"",SERVER!$B$3:$B$1009&amp;"",SERVER!$H$3:$H$1009,""),""),IF(TRIM(_xlpm.srcCat)&lt;&gt;TRIM($J262),"",_xlfn.SWITCH($I262,"Computer",_xlfn.XLOOKUP($K262&amp;"",COMPUTER!$B$3:$B$1009&amp;"",COMPUTER!$AM$3:$AM$1009,""),"Display",_xlfn.XLOOKUP($K262&amp;"",DISPLAY!$B$3:$B$1000&amp;"",DISPLAY!$V$3:$V$1000,""),"Network Device",_xlfn.XLOOKUP($K262&amp;"",'NETWORK-DEVICES'!$B$3:$B$987&amp;"",'NETWORK-DEVICES'!$AF$3:$AF$987,""),"Peripheral",_xlfn.XLOOKUP($K262&amp;"",PERIPHERAL!$B$3:$B$954&amp;"",PERIPHERAL!$Y$3:$Y$954,""),"Utilities",_xlfn.XLOOKUP($K262&amp;"",UTILITIES!$B$3:$B$953&amp;"",UTILITIES!$O$3:$O$953,""),"IOT",_xlfn.XLOOKUP($K262&amp;"",IOT!$B$3:$B$1012&amp;"",IOT!$AB$3:$AB$1012,""),"Server",_xlfn.XLOOKUP($K262&amp;"",SERVER!$B$3:$B$1009&amp;"",SERVER!$AB$3:$AB$1009,""),""))))</f>
        <v/>
      </c>
      <c r="R262" s="43" t="str">
        <f>IF(tbl_handover[[#This Row],[Asset Code]]="","",COUNTIF(tbl_handover[Asset Code],tbl_handover[[#This Row],[Asset Code]]))</f>
        <v/>
      </c>
    </row>
    <row r="263" spans="1:18" x14ac:dyDescent="0.25">
      <c r="A263" s="43" t="str">
        <f>IF(B263&lt;&gt;"",SUBTOTAL(3,$B$1:B262),"")</f>
        <v/>
      </c>
      <c r="C263" s="74"/>
      <c r="D263" s="74"/>
      <c r="G263" s="1"/>
      <c r="K263" s="42"/>
      <c r="L263" t="str" cm="1">
        <f t="array" ref="L263">IF($K263="","",_xlfn.SWITCH($I263,"Computer",_xlfn.XLOOKUP($K263&amp;"",COMPUTER!$B$3:$B$1009&amp;"",COMPUTER!$I$3:$I$1009,""),"Display",_xlfn.XLOOKUP($K263&amp;"",DISPLAY!$B$3:$B$1000&amp;"",DISPLAY!$J$3:$J$1000,""),"Network Device",_xlfn.XLOOKUP($K263&amp;"",'NETWORK-DEVICES'!$B$3:$B$987&amp;"",'NETWORK-DEVICES'!$I$3:$I$987,""),"Peripheral",_xlfn.XLOOKUP($K263&amp;"",PERIPHERAL!$B$3:$B$954&amp;"",PERIPHERAL!$I$3:$I$954,""),"Utilities",_xlfn.XLOOKUP($K263&amp;"",UTILITIES!$B$3:$B$953&amp;"",UTILITIES!$H$3:$H$953,""),"IOT",_xlfn.XLOOKUP($K263&amp;"",IOT!$B$3:$B$1012&amp;"",IOT!$I$3:$I$1012,""),"SERVER",_xlfn.XLOOKUP($K263&amp;"",SERVER!$B$3:$B$1009&amp;"",SERVER!$I$3:$I$1009,""),""))</f>
        <v/>
      </c>
      <c r="M263" t="str" cm="1">
        <f t="array" ref="M263">IF($K263="","",_xlfn.SWITCH($I263,"Computer",_xlfn.XLOOKUP($K263&amp;"",COMPUTER!$B$3:$B$1009&amp;"",COMPUTER!$J$3:$J$1009,""),"Display",_xlfn.XLOOKUP($K263&amp;"",DISPLAY!$B$3:$B$1000&amp;"",DISPLAY!$K$3:$K$1000,""),"Network Device",_xlfn.XLOOKUP($K263&amp;"",'NETWORK-DEVICES'!$B$3:$B$987&amp;"",'NETWORK-DEVICES'!$I$3:$I$987,""),"Peripheral",_xlfn.XLOOKUP($K263&amp;"",PERIPHERAL!$B$3:$B$954&amp;"",PERIPHERAL!$J$3:$J$954,""),"Utilities",_xlfn.XLOOKUP($K263&amp;"",UTILITIES!$B$3:$B$953&amp;"",UTILITIES!$I$3:$I$953,""),"IOT",_xlfn.XLOOKUP($K263&amp;"",IOT!$B$3:$B$1012&amp;"",IOT!$J$3:$J$1012,""),"Server",_xlfn.XLOOKUP($K263&amp;"",SERVER!$B$3:$B$1009&amp;"",SERVER!$J$3:$J$1009,""),""))</f>
        <v/>
      </c>
      <c r="N263" s="1" t="str" cm="1">
        <f t="array" ref="N263">IF(OR($K263="",$I263="",$J263=""),"",_xlfn.LET(_xlpm.srcCat,_xlfn.SWITCH($I263,"Computer",_xlfn.XLOOKUP($K263&amp;"",COMPUTER!$B$3:$B$1009&amp;"",COMPUTER!$H$3:$H$1009,""),"Display",_xlfn.XLOOKUP($K263&amp;"",DISPLAY!$B$3:$B$1000&amp;"",DISPLAY!$H$3:$H$1000,""),"Network Device",_xlfn.XLOOKUP($K263&amp;"",'NETWORK-DEVICES'!$B$3:$B$987&amp;"",'NETWORK-DEVICES'!$H$3:$H$987,""),"Peripheral",_xlfn.XLOOKUP($K263&amp;"",PERIPHERAL!$B$3:$B$954&amp;"",PERIPHERAL!$H$3:$H$954,""),"Utilities",_xlfn.XLOOKUP($K263&amp;"",UTILITIES!$B$3:$B$953&amp;"",UTILITIES!$G$3:$G$953,""),"IOT",_xlfn.XLOOKUP($K263&amp;"",IOT!$B$3:$B$1012&amp;"",IOT!$H$3:$H$1012,""),"Server",_xlfn.XLOOKUP($K263&amp;"",SERVER!$B$3:$B$1009&amp;"",SERVER!$H$3:$H$1009,""),""),IF(TRIM(_xlpm.srcCat)&lt;&gt;TRIM($J263),"",_xlfn.SWITCH($I263,"Computer",_xlfn.XLOOKUP($K263&amp;"",COMPUTER!$B$3:$B$1009&amp;"",COMPUTER!$K$3:$K$1009,""),"Display",_xlfn.XLOOKUP($K263&amp;"",DISPLAY!$B$3:$B$1000&amp;"",DISPLAY!$L$3:$L$1000,""),"Network Device",_xlfn.XLOOKUP($K263&amp;"",'NETWORK-DEVICES'!$B$3:$B$987&amp;"",'NETWORK-DEVICES'!$K$3:$K$987,""),"Peripheral",_xlfn.XLOOKUP($K263&amp;"",PERIPHERAL!$B$3:$B$954&amp;"",PERIPHERAL!$K$3:$K$954,""),"Utilities",_xlfn.XLOOKUP($K263&amp;"",UTILITIES!$B$3:$B$953&amp;"",UTILITIES!$J$3:$J$953,""),"IOT",_xlfn.XLOOKUP($K263&amp;"",IOT!$B$3:$B$1012&amp;"",IOT!$K$4:$K$1012,""),"Server",_xlfn.XLOOKUP($K263&amp;"",SERVER!$B$3:$B$1009&amp;"",SERVER!$K$3:$K$1009,""),""))))</f>
        <v/>
      </c>
      <c r="O263" s="1" t="str" cm="1">
        <f t="array" ref="O263">IF(OR($K263="",$I263="",$J263=""),"",_xlfn.LET(_xlpm.srcCat,_xlfn.SWITCH($I263,"Computer",_xlfn.XLOOKUP($K263&amp;"",COMPUTER!$B$3:$B$1009&amp;"",COMPUTER!$H$3:$H$1009,""),"Display",_xlfn.XLOOKUP($K263&amp;"",DISPLAY!$B$3:$B$1000&amp;"",DISPLAY!$H$3:$H$1000,""),"Network Device",_xlfn.XLOOKUP($K263&amp;"",'NETWORK-DEVICES'!$B$3:$B$987&amp;"",'NETWORK-DEVICES'!$H$3:$H$987,""),"Peripheral",_xlfn.XLOOKUP($K263&amp;"",PERIPHERAL!$B$3:$B$954&amp;"",PERIPHERAL!$H$3:$H$954,""),"Utilities",_xlfn.XLOOKUP($K263&amp;"",UTILITIES!$B$3:$B$953&amp;"",UTILITIES!$G$3:$G$953,""),"IOT",_xlfn.XLOOKUP($K263&amp;"",IOT!$B$3:$B$1012&amp;"",IOT!$H$3:$H$1012,""),"Server",_xlfn.XLOOKUP($K263&amp;"",SERVER!$B$3:$B$1009&amp;"",SERVER!$H$3:$H$1009,""),""),IF(TRIM(_xlpm.srcCat)&lt;&gt;TRIM($J263),"",_xlfn.SWITCH($I263,"Computer",_xlfn.XLOOKUP($K263&amp;"",COMPUTER!$B$3:$B$1009&amp;"",COMPUTER!$E$3:$E$1009,""),"Display",_xlfn.XLOOKUP($K263&amp;"",DISPLAY!$B$3:$B$1000&amp;"",DISPLAY!$E$3:$E$1000,""),"Network Device",_xlfn.XLOOKUP($K263&amp;"",'NETWORK-DEVICES'!$B$3:$B$987&amp;"",'NETWORK-DEVICES'!$E$3:$E$987,""),"Peripheral",_xlfn.XLOOKUP($K263&amp;"",PERIPHERAL!$B$3:$B$954&amp;"",PERIPHERAL!$E$3:$E$954,""),"Utilities",_xlfn.XLOOKUP($K263&amp;"",UTILITIES!$B$3:$B$953&amp;"",UTILITIES!$E$3:$E$953,""),"IOT",_xlfn.XLOOKUP($K263&amp;"",IOT!$B$3:$B$1012&amp;"",IOT!$E$3:$E$1012,""),"Server",_xlfn.XLOOKUP($K263&amp;"",SERVER!$B$3:$B$1009&amp;"",SERVER!$E$3:$E$1009,""),""))))</f>
        <v/>
      </c>
      <c r="Q263" s="1" t="str" cm="1">
        <f t="array" ref="Q263">IF(OR($K263="",$I263="",$J263=""),"",_xlfn.LET(_xlpm.srcCat,_xlfn.SWITCH($I263,"Computer",_xlfn.XLOOKUP($K263&amp;"",COMPUTER!$B$3:$B$1009&amp;"",COMPUTER!$H$3:$H$1009,""),"Display",_xlfn.XLOOKUP($K263&amp;"",DISPLAY!$B$3:$B$1000&amp;"",DISPLAY!$H$3:$H$1000,""),"Network Device",_xlfn.XLOOKUP($K263&amp;"",'NETWORK-DEVICES'!$B$3:$B$987&amp;"",'NETWORK-DEVICES'!$H$3:$H$987,""),"Peripheral",_xlfn.XLOOKUP($K263&amp;"",PERIPHERAL!$B$3:$B$954&amp;"",PERIPHERAL!$H$3:$H$954,""),"Utilities",_xlfn.XLOOKUP($K263&amp;"",UTILITIES!$B$3:$B$953&amp;"",UTILITIES!$G$3:$G$953,""),"IOT",_xlfn.XLOOKUP($K263&amp;"",IOT!$B$3:$B$1012&amp;"",IOT!$H$3:$H$1012,""),"Server",_xlfn.XLOOKUP($K263&amp;"",SERVER!$B$3:$B$1009&amp;"",SERVER!$H$3:$H$1009,""),""),IF(TRIM(_xlpm.srcCat)&lt;&gt;TRIM($J263),"",_xlfn.SWITCH($I263,"Computer",_xlfn.XLOOKUP($K263&amp;"",COMPUTER!$B$3:$B$1009&amp;"",COMPUTER!$AM$3:$AM$1009,""),"Display",_xlfn.XLOOKUP($K263&amp;"",DISPLAY!$B$3:$B$1000&amp;"",DISPLAY!$V$3:$V$1000,""),"Network Device",_xlfn.XLOOKUP($K263&amp;"",'NETWORK-DEVICES'!$B$3:$B$987&amp;"",'NETWORK-DEVICES'!$AF$3:$AF$987,""),"Peripheral",_xlfn.XLOOKUP($K263&amp;"",PERIPHERAL!$B$3:$B$954&amp;"",PERIPHERAL!$Y$3:$Y$954,""),"Utilities",_xlfn.XLOOKUP($K263&amp;"",UTILITIES!$B$3:$B$953&amp;"",UTILITIES!$O$3:$O$953,""),"IOT",_xlfn.XLOOKUP($K263&amp;"",IOT!$B$3:$B$1012&amp;"",IOT!$AB$3:$AB$1012,""),"Server",_xlfn.XLOOKUP($K263&amp;"",SERVER!$B$3:$B$1009&amp;"",SERVER!$AB$3:$AB$1009,""),""))))</f>
        <v/>
      </c>
      <c r="R263" s="43" t="str">
        <f>IF(tbl_handover[[#This Row],[Asset Code]]="","",COUNTIF(tbl_handover[Asset Code],tbl_handover[[#This Row],[Asset Code]]))</f>
        <v/>
      </c>
    </row>
    <row r="264" spans="1:18" x14ac:dyDescent="0.25">
      <c r="A264" s="43" t="str">
        <f>IF(B264&lt;&gt;"",SUBTOTAL(3,$B$1:B263),"")</f>
        <v/>
      </c>
      <c r="C264" s="74"/>
      <c r="D264" s="74"/>
      <c r="G264" s="1"/>
      <c r="K264" s="42"/>
      <c r="L264" t="str" cm="1">
        <f t="array" ref="L264">IF($K264="","",_xlfn.SWITCH($I264,"Computer",_xlfn.XLOOKUP($K264&amp;"",COMPUTER!$B$3:$B$1009&amp;"",COMPUTER!$I$3:$I$1009,""),"Display",_xlfn.XLOOKUP($K264&amp;"",DISPLAY!$B$3:$B$1000&amp;"",DISPLAY!$J$3:$J$1000,""),"Network Device",_xlfn.XLOOKUP($K264&amp;"",'NETWORK-DEVICES'!$B$3:$B$987&amp;"",'NETWORK-DEVICES'!$I$3:$I$987,""),"Peripheral",_xlfn.XLOOKUP($K264&amp;"",PERIPHERAL!$B$3:$B$954&amp;"",PERIPHERAL!$I$3:$I$954,""),"Utilities",_xlfn.XLOOKUP($K264&amp;"",UTILITIES!$B$3:$B$953&amp;"",UTILITIES!$H$3:$H$953,""),"IOT",_xlfn.XLOOKUP($K264&amp;"",IOT!$B$3:$B$1012&amp;"",IOT!$I$3:$I$1012,""),"SERVER",_xlfn.XLOOKUP($K264&amp;"",SERVER!$B$3:$B$1009&amp;"",SERVER!$I$3:$I$1009,""),""))</f>
        <v/>
      </c>
      <c r="M264" t="str" cm="1">
        <f t="array" ref="M264">IF($K264="","",_xlfn.SWITCH($I264,"Computer",_xlfn.XLOOKUP($K264&amp;"",COMPUTER!$B$3:$B$1009&amp;"",COMPUTER!$J$3:$J$1009,""),"Display",_xlfn.XLOOKUP($K264&amp;"",DISPLAY!$B$3:$B$1000&amp;"",DISPLAY!$K$3:$K$1000,""),"Network Device",_xlfn.XLOOKUP($K264&amp;"",'NETWORK-DEVICES'!$B$3:$B$987&amp;"",'NETWORK-DEVICES'!$I$3:$I$987,""),"Peripheral",_xlfn.XLOOKUP($K264&amp;"",PERIPHERAL!$B$3:$B$954&amp;"",PERIPHERAL!$J$3:$J$954,""),"Utilities",_xlfn.XLOOKUP($K264&amp;"",UTILITIES!$B$3:$B$953&amp;"",UTILITIES!$I$3:$I$953,""),"IOT",_xlfn.XLOOKUP($K264&amp;"",IOT!$B$3:$B$1012&amp;"",IOT!$J$3:$J$1012,""),"Server",_xlfn.XLOOKUP($K264&amp;"",SERVER!$B$3:$B$1009&amp;"",SERVER!$J$3:$J$1009,""),""))</f>
        <v/>
      </c>
      <c r="N264" s="1" t="str" cm="1">
        <f t="array" ref="N264">IF(OR($K264="",$I264="",$J264=""),"",_xlfn.LET(_xlpm.srcCat,_xlfn.SWITCH($I264,"Computer",_xlfn.XLOOKUP($K264&amp;"",COMPUTER!$B$3:$B$1009&amp;"",COMPUTER!$H$3:$H$1009,""),"Display",_xlfn.XLOOKUP($K264&amp;"",DISPLAY!$B$3:$B$1000&amp;"",DISPLAY!$H$3:$H$1000,""),"Network Device",_xlfn.XLOOKUP($K264&amp;"",'NETWORK-DEVICES'!$B$3:$B$987&amp;"",'NETWORK-DEVICES'!$H$3:$H$987,""),"Peripheral",_xlfn.XLOOKUP($K264&amp;"",PERIPHERAL!$B$3:$B$954&amp;"",PERIPHERAL!$H$3:$H$954,""),"Utilities",_xlfn.XLOOKUP($K264&amp;"",UTILITIES!$B$3:$B$953&amp;"",UTILITIES!$G$3:$G$953,""),"IOT",_xlfn.XLOOKUP($K264&amp;"",IOT!$B$3:$B$1012&amp;"",IOT!$H$3:$H$1012,""),"Server",_xlfn.XLOOKUP($K264&amp;"",SERVER!$B$3:$B$1009&amp;"",SERVER!$H$3:$H$1009,""),""),IF(TRIM(_xlpm.srcCat)&lt;&gt;TRIM($J264),"",_xlfn.SWITCH($I264,"Computer",_xlfn.XLOOKUP($K264&amp;"",COMPUTER!$B$3:$B$1009&amp;"",COMPUTER!$K$3:$K$1009,""),"Display",_xlfn.XLOOKUP($K264&amp;"",DISPLAY!$B$3:$B$1000&amp;"",DISPLAY!$L$3:$L$1000,""),"Network Device",_xlfn.XLOOKUP($K264&amp;"",'NETWORK-DEVICES'!$B$3:$B$987&amp;"",'NETWORK-DEVICES'!$K$3:$K$987,""),"Peripheral",_xlfn.XLOOKUP($K264&amp;"",PERIPHERAL!$B$3:$B$954&amp;"",PERIPHERAL!$K$3:$K$954,""),"Utilities",_xlfn.XLOOKUP($K264&amp;"",UTILITIES!$B$3:$B$953&amp;"",UTILITIES!$J$3:$J$953,""),"IOT",_xlfn.XLOOKUP($K264&amp;"",IOT!$B$3:$B$1012&amp;"",IOT!$K$4:$K$1012,""),"Server",_xlfn.XLOOKUP($K264&amp;"",SERVER!$B$3:$B$1009&amp;"",SERVER!$K$3:$K$1009,""),""))))</f>
        <v/>
      </c>
      <c r="O264" s="1" t="str" cm="1">
        <f t="array" ref="O264">IF(OR($K264="",$I264="",$J264=""),"",_xlfn.LET(_xlpm.srcCat,_xlfn.SWITCH($I264,"Computer",_xlfn.XLOOKUP($K264&amp;"",COMPUTER!$B$3:$B$1009&amp;"",COMPUTER!$H$3:$H$1009,""),"Display",_xlfn.XLOOKUP($K264&amp;"",DISPLAY!$B$3:$B$1000&amp;"",DISPLAY!$H$3:$H$1000,""),"Network Device",_xlfn.XLOOKUP($K264&amp;"",'NETWORK-DEVICES'!$B$3:$B$987&amp;"",'NETWORK-DEVICES'!$H$3:$H$987,""),"Peripheral",_xlfn.XLOOKUP($K264&amp;"",PERIPHERAL!$B$3:$B$954&amp;"",PERIPHERAL!$H$3:$H$954,""),"Utilities",_xlfn.XLOOKUP($K264&amp;"",UTILITIES!$B$3:$B$953&amp;"",UTILITIES!$G$3:$G$953,""),"IOT",_xlfn.XLOOKUP($K264&amp;"",IOT!$B$3:$B$1012&amp;"",IOT!$H$3:$H$1012,""),"Server",_xlfn.XLOOKUP($K264&amp;"",SERVER!$B$3:$B$1009&amp;"",SERVER!$H$3:$H$1009,""),""),IF(TRIM(_xlpm.srcCat)&lt;&gt;TRIM($J264),"",_xlfn.SWITCH($I264,"Computer",_xlfn.XLOOKUP($K264&amp;"",COMPUTER!$B$3:$B$1009&amp;"",COMPUTER!$E$3:$E$1009,""),"Display",_xlfn.XLOOKUP($K264&amp;"",DISPLAY!$B$3:$B$1000&amp;"",DISPLAY!$E$3:$E$1000,""),"Network Device",_xlfn.XLOOKUP($K264&amp;"",'NETWORK-DEVICES'!$B$3:$B$987&amp;"",'NETWORK-DEVICES'!$E$3:$E$987,""),"Peripheral",_xlfn.XLOOKUP($K264&amp;"",PERIPHERAL!$B$3:$B$954&amp;"",PERIPHERAL!$E$3:$E$954,""),"Utilities",_xlfn.XLOOKUP($K264&amp;"",UTILITIES!$B$3:$B$953&amp;"",UTILITIES!$E$3:$E$953,""),"IOT",_xlfn.XLOOKUP($K264&amp;"",IOT!$B$3:$B$1012&amp;"",IOT!$E$3:$E$1012,""),"Server",_xlfn.XLOOKUP($K264&amp;"",SERVER!$B$3:$B$1009&amp;"",SERVER!$E$3:$E$1009,""),""))))</f>
        <v/>
      </c>
      <c r="Q264" s="1" t="str" cm="1">
        <f t="array" ref="Q264">IF(OR($K264="",$I264="",$J264=""),"",_xlfn.LET(_xlpm.srcCat,_xlfn.SWITCH($I264,"Computer",_xlfn.XLOOKUP($K264&amp;"",COMPUTER!$B$3:$B$1009&amp;"",COMPUTER!$H$3:$H$1009,""),"Display",_xlfn.XLOOKUP($K264&amp;"",DISPLAY!$B$3:$B$1000&amp;"",DISPLAY!$H$3:$H$1000,""),"Network Device",_xlfn.XLOOKUP($K264&amp;"",'NETWORK-DEVICES'!$B$3:$B$987&amp;"",'NETWORK-DEVICES'!$H$3:$H$987,""),"Peripheral",_xlfn.XLOOKUP($K264&amp;"",PERIPHERAL!$B$3:$B$954&amp;"",PERIPHERAL!$H$3:$H$954,""),"Utilities",_xlfn.XLOOKUP($K264&amp;"",UTILITIES!$B$3:$B$953&amp;"",UTILITIES!$G$3:$G$953,""),"IOT",_xlfn.XLOOKUP($K264&amp;"",IOT!$B$3:$B$1012&amp;"",IOT!$H$3:$H$1012,""),"Server",_xlfn.XLOOKUP($K264&amp;"",SERVER!$B$3:$B$1009&amp;"",SERVER!$H$3:$H$1009,""),""),IF(TRIM(_xlpm.srcCat)&lt;&gt;TRIM($J264),"",_xlfn.SWITCH($I264,"Computer",_xlfn.XLOOKUP($K264&amp;"",COMPUTER!$B$3:$B$1009&amp;"",COMPUTER!$AM$3:$AM$1009,""),"Display",_xlfn.XLOOKUP($K264&amp;"",DISPLAY!$B$3:$B$1000&amp;"",DISPLAY!$V$3:$V$1000,""),"Network Device",_xlfn.XLOOKUP($K264&amp;"",'NETWORK-DEVICES'!$B$3:$B$987&amp;"",'NETWORK-DEVICES'!$AF$3:$AF$987,""),"Peripheral",_xlfn.XLOOKUP($K264&amp;"",PERIPHERAL!$B$3:$B$954&amp;"",PERIPHERAL!$Y$3:$Y$954,""),"Utilities",_xlfn.XLOOKUP($K264&amp;"",UTILITIES!$B$3:$B$953&amp;"",UTILITIES!$O$3:$O$953,""),"IOT",_xlfn.XLOOKUP($K264&amp;"",IOT!$B$3:$B$1012&amp;"",IOT!$AB$3:$AB$1012,""),"Server",_xlfn.XLOOKUP($K264&amp;"",SERVER!$B$3:$B$1009&amp;"",SERVER!$AB$3:$AB$1009,""),""))))</f>
        <v/>
      </c>
      <c r="R264" s="43" t="str">
        <f>IF(tbl_handover[[#This Row],[Asset Code]]="","",COUNTIF(tbl_handover[Asset Code],tbl_handover[[#This Row],[Asset Code]]))</f>
        <v/>
      </c>
    </row>
    <row r="265" spans="1:18" x14ac:dyDescent="0.25">
      <c r="A265" s="43" t="str">
        <f>IF(B265&lt;&gt;"",SUBTOTAL(3,$B$1:B264),"")</f>
        <v/>
      </c>
      <c r="C265" s="74"/>
      <c r="D265" s="74"/>
      <c r="G265" s="1"/>
      <c r="K265" s="42"/>
      <c r="L265" t="str" cm="1">
        <f t="array" ref="L265">IF($K265="","",_xlfn.SWITCH($I265,"Computer",_xlfn.XLOOKUP($K265&amp;"",COMPUTER!$B$3:$B$1009&amp;"",COMPUTER!$I$3:$I$1009,""),"Display",_xlfn.XLOOKUP($K265&amp;"",DISPLAY!$B$3:$B$1000&amp;"",DISPLAY!$J$3:$J$1000,""),"Network Device",_xlfn.XLOOKUP($K265&amp;"",'NETWORK-DEVICES'!$B$3:$B$987&amp;"",'NETWORK-DEVICES'!$I$3:$I$987,""),"Peripheral",_xlfn.XLOOKUP($K265&amp;"",PERIPHERAL!$B$3:$B$954&amp;"",PERIPHERAL!$I$3:$I$954,""),"Utilities",_xlfn.XLOOKUP($K265&amp;"",UTILITIES!$B$3:$B$953&amp;"",UTILITIES!$H$3:$H$953,""),"IOT",_xlfn.XLOOKUP($K265&amp;"",IOT!$B$3:$B$1012&amp;"",IOT!$I$3:$I$1012,""),"SERVER",_xlfn.XLOOKUP($K265&amp;"",SERVER!$B$3:$B$1009&amp;"",SERVER!$I$3:$I$1009,""),""))</f>
        <v/>
      </c>
      <c r="M265" t="str" cm="1">
        <f t="array" ref="M265">IF($K265="","",_xlfn.SWITCH($I265,"Computer",_xlfn.XLOOKUP($K265&amp;"",COMPUTER!$B$3:$B$1009&amp;"",COMPUTER!$J$3:$J$1009,""),"Display",_xlfn.XLOOKUP($K265&amp;"",DISPLAY!$B$3:$B$1000&amp;"",DISPLAY!$K$3:$K$1000,""),"Network Device",_xlfn.XLOOKUP($K265&amp;"",'NETWORK-DEVICES'!$B$3:$B$987&amp;"",'NETWORK-DEVICES'!$I$3:$I$987,""),"Peripheral",_xlfn.XLOOKUP($K265&amp;"",PERIPHERAL!$B$3:$B$954&amp;"",PERIPHERAL!$J$3:$J$954,""),"Utilities",_xlfn.XLOOKUP($K265&amp;"",UTILITIES!$B$3:$B$953&amp;"",UTILITIES!$I$3:$I$953,""),"IOT",_xlfn.XLOOKUP($K265&amp;"",IOT!$B$3:$B$1012&amp;"",IOT!$J$3:$J$1012,""),"Server",_xlfn.XLOOKUP($K265&amp;"",SERVER!$B$3:$B$1009&amp;"",SERVER!$J$3:$J$1009,""),""))</f>
        <v/>
      </c>
      <c r="N265" s="1" t="str" cm="1">
        <f t="array" ref="N265">IF(OR($K265="",$I265="",$J265=""),"",_xlfn.LET(_xlpm.srcCat,_xlfn.SWITCH($I265,"Computer",_xlfn.XLOOKUP($K265&amp;"",COMPUTER!$B$3:$B$1009&amp;"",COMPUTER!$H$3:$H$1009,""),"Display",_xlfn.XLOOKUP($K265&amp;"",DISPLAY!$B$3:$B$1000&amp;"",DISPLAY!$H$3:$H$1000,""),"Network Device",_xlfn.XLOOKUP($K265&amp;"",'NETWORK-DEVICES'!$B$3:$B$987&amp;"",'NETWORK-DEVICES'!$H$3:$H$987,""),"Peripheral",_xlfn.XLOOKUP($K265&amp;"",PERIPHERAL!$B$3:$B$954&amp;"",PERIPHERAL!$H$3:$H$954,""),"Utilities",_xlfn.XLOOKUP($K265&amp;"",UTILITIES!$B$3:$B$953&amp;"",UTILITIES!$G$3:$G$953,""),"IOT",_xlfn.XLOOKUP($K265&amp;"",IOT!$B$3:$B$1012&amp;"",IOT!$H$3:$H$1012,""),"Server",_xlfn.XLOOKUP($K265&amp;"",SERVER!$B$3:$B$1009&amp;"",SERVER!$H$3:$H$1009,""),""),IF(TRIM(_xlpm.srcCat)&lt;&gt;TRIM($J265),"",_xlfn.SWITCH($I265,"Computer",_xlfn.XLOOKUP($K265&amp;"",COMPUTER!$B$3:$B$1009&amp;"",COMPUTER!$K$3:$K$1009,""),"Display",_xlfn.XLOOKUP($K265&amp;"",DISPLAY!$B$3:$B$1000&amp;"",DISPLAY!$L$3:$L$1000,""),"Network Device",_xlfn.XLOOKUP($K265&amp;"",'NETWORK-DEVICES'!$B$3:$B$987&amp;"",'NETWORK-DEVICES'!$K$3:$K$987,""),"Peripheral",_xlfn.XLOOKUP($K265&amp;"",PERIPHERAL!$B$3:$B$954&amp;"",PERIPHERAL!$K$3:$K$954,""),"Utilities",_xlfn.XLOOKUP($K265&amp;"",UTILITIES!$B$3:$B$953&amp;"",UTILITIES!$J$3:$J$953,""),"IOT",_xlfn.XLOOKUP($K265&amp;"",IOT!$B$3:$B$1012&amp;"",IOT!$K$4:$K$1012,""),"Server",_xlfn.XLOOKUP($K265&amp;"",SERVER!$B$3:$B$1009&amp;"",SERVER!$K$3:$K$1009,""),""))))</f>
        <v/>
      </c>
      <c r="O265" s="1" t="str" cm="1">
        <f t="array" ref="O265">IF(OR($K265="",$I265="",$J265=""),"",_xlfn.LET(_xlpm.srcCat,_xlfn.SWITCH($I265,"Computer",_xlfn.XLOOKUP($K265&amp;"",COMPUTER!$B$3:$B$1009&amp;"",COMPUTER!$H$3:$H$1009,""),"Display",_xlfn.XLOOKUP($K265&amp;"",DISPLAY!$B$3:$B$1000&amp;"",DISPLAY!$H$3:$H$1000,""),"Network Device",_xlfn.XLOOKUP($K265&amp;"",'NETWORK-DEVICES'!$B$3:$B$987&amp;"",'NETWORK-DEVICES'!$H$3:$H$987,""),"Peripheral",_xlfn.XLOOKUP($K265&amp;"",PERIPHERAL!$B$3:$B$954&amp;"",PERIPHERAL!$H$3:$H$954,""),"Utilities",_xlfn.XLOOKUP($K265&amp;"",UTILITIES!$B$3:$B$953&amp;"",UTILITIES!$G$3:$G$953,""),"IOT",_xlfn.XLOOKUP($K265&amp;"",IOT!$B$3:$B$1012&amp;"",IOT!$H$3:$H$1012,""),"Server",_xlfn.XLOOKUP($K265&amp;"",SERVER!$B$3:$B$1009&amp;"",SERVER!$H$3:$H$1009,""),""),IF(TRIM(_xlpm.srcCat)&lt;&gt;TRIM($J265),"",_xlfn.SWITCH($I265,"Computer",_xlfn.XLOOKUP($K265&amp;"",COMPUTER!$B$3:$B$1009&amp;"",COMPUTER!$E$3:$E$1009,""),"Display",_xlfn.XLOOKUP($K265&amp;"",DISPLAY!$B$3:$B$1000&amp;"",DISPLAY!$E$3:$E$1000,""),"Network Device",_xlfn.XLOOKUP($K265&amp;"",'NETWORK-DEVICES'!$B$3:$B$987&amp;"",'NETWORK-DEVICES'!$E$3:$E$987,""),"Peripheral",_xlfn.XLOOKUP($K265&amp;"",PERIPHERAL!$B$3:$B$954&amp;"",PERIPHERAL!$E$3:$E$954,""),"Utilities",_xlfn.XLOOKUP($K265&amp;"",UTILITIES!$B$3:$B$953&amp;"",UTILITIES!$E$3:$E$953,""),"IOT",_xlfn.XLOOKUP($K265&amp;"",IOT!$B$3:$B$1012&amp;"",IOT!$E$3:$E$1012,""),"Server",_xlfn.XLOOKUP($K265&amp;"",SERVER!$B$3:$B$1009&amp;"",SERVER!$E$3:$E$1009,""),""))))</f>
        <v/>
      </c>
      <c r="Q265" s="1" t="str" cm="1">
        <f t="array" ref="Q265">IF(OR($K265="",$I265="",$J265=""),"",_xlfn.LET(_xlpm.srcCat,_xlfn.SWITCH($I265,"Computer",_xlfn.XLOOKUP($K265&amp;"",COMPUTER!$B$3:$B$1009&amp;"",COMPUTER!$H$3:$H$1009,""),"Display",_xlfn.XLOOKUP($K265&amp;"",DISPLAY!$B$3:$B$1000&amp;"",DISPLAY!$H$3:$H$1000,""),"Network Device",_xlfn.XLOOKUP($K265&amp;"",'NETWORK-DEVICES'!$B$3:$B$987&amp;"",'NETWORK-DEVICES'!$H$3:$H$987,""),"Peripheral",_xlfn.XLOOKUP($K265&amp;"",PERIPHERAL!$B$3:$B$954&amp;"",PERIPHERAL!$H$3:$H$954,""),"Utilities",_xlfn.XLOOKUP($K265&amp;"",UTILITIES!$B$3:$B$953&amp;"",UTILITIES!$G$3:$G$953,""),"IOT",_xlfn.XLOOKUP($K265&amp;"",IOT!$B$3:$B$1012&amp;"",IOT!$H$3:$H$1012,""),"Server",_xlfn.XLOOKUP($K265&amp;"",SERVER!$B$3:$B$1009&amp;"",SERVER!$H$3:$H$1009,""),""),IF(TRIM(_xlpm.srcCat)&lt;&gt;TRIM($J265),"",_xlfn.SWITCH($I265,"Computer",_xlfn.XLOOKUP($K265&amp;"",COMPUTER!$B$3:$B$1009&amp;"",COMPUTER!$AM$3:$AM$1009,""),"Display",_xlfn.XLOOKUP($K265&amp;"",DISPLAY!$B$3:$B$1000&amp;"",DISPLAY!$V$3:$V$1000,""),"Network Device",_xlfn.XLOOKUP($K265&amp;"",'NETWORK-DEVICES'!$B$3:$B$987&amp;"",'NETWORK-DEVICES'!$AF$3:$AF$987,""),"Peripheral",_xlfn.XLOOKUP($K265&amp;"",PERIPHERAL!$B$3:$B$954&amp;"",PERIPHERAL!$Y$3:$Y$954,""),"Utilities",_xlfn.XLOOKUP($K265&amp;"",UTILITIES!$B$3:$B$953&amp;"",UTILITIES!$O$3:$O$953,""),"IOT",_xlfn.XLOOKUP($K265&amp;"",IOT!$B$3:$B$1012&amp;"",IOT!$AB$3:$AB$1012,""),"Server",_xlfn.XLOOKUP($K265&amp;"",SERVER!$B$3:$B$1009&amp;"",SERVER!$AB$3:$AB$1009,""),""))))</f>
        <v/>
      </c>
      <c r="R265" s="43" t="str">
        <f>IF(tbl_handover[[#This Row],[Asset Code]]="","",COUNTIF(tbl_handover[Asset Code],tbl_handover[[#This Row],[Asset Code]]))</f>
        <v/>
      </c>
    </row>
    <row r="266" spans="1:18" x14ac:dyDescent="0.25">
      <c r="A266" s="43" t="str">
        <f>IF(B266&lt;&gt;"",SUBTOTAL(3,$B$1:B265),"")</f>
        <v/>
      </c>
      <c r="C266" s="74"/>
      <c r="D266" s="74"/>
      <c r="G266" s="1"/>
      <c r="K266" s="42"/>
      <c r="L266" t="str" cm="1">
        <f t="array" ref="L266">IF($K266="","",_xlfn.SWITCH($I266,"Computer",_xlfn.XLOOKUP($K266&amp;"",COMPUTER!$B$3:$B$1009&amp;"",COMPUTER!$I$3:$I$1009,""),"Display",_xlfn.XLOOKUP($K266&amp;"",DISPLAY!$B$3:$B$1000&amp;"",DISPLAY!$J$3:$J$1000,""),"Network Device",_xlfn.XLOOKUP($K266&amp;"",'NETWORK-DEVICES'!$B$3:$B$987&amp;"",'NETWORK-DEVICES'!$I$3:$I$987,""),"Peripheral",_xlfn.XLOOKUP($K266&amp;"",PERIPHERAL!$B$3:$B$954&amp;"",PERIPHERAL!$I$3:$I$954,""),"Utilities",_xlfn.XLOOKUP($K266&amp;"",UTILITIES!$B$3:$B$953&amp;"",UTILITIES!$H$3:$H$953,""),"IOT",_xlfn.XLOOKUP($K266&amp;"",IOT!$B$3:$B$1012&amp;"",IOT!$I$3:$I$1012,""),"SERVER",_xlfn.XLOOKUP($K266&amp;"",SERVER!$B$3:$B$1009&amp;"",SERVER!$I$3:$I$1009,""),""))</f>
        <v/>
      </c>
      <c r="M266" t="str" cm="1">
        <f t="array" ref="M266">IF($K266="","",_xlfn.SWITCH($I266,"Computer",_xlfn.XLOOKUP($K266&amp;"",COMPUTER!$B$3:$B$1009&amp;"",COMPUTER!$J$3:$J$1009,""),"Display",_xlfn.XLOOKUP($K266&amp;"",DISPLAY!$B$3:$B$1000&amp;"",DISPLAY!$K$3:$K$1000,""),"Network Device",_xlfn.XLOOKUP($K266&amp;"",'NETWORK-DEVICES'!$B$3:$B$987&amp;"",'NETWORK-DEVICES'!$I$3:$I$987,""),"Peripheral",_xlfn.XLOOKUP($K266&amp;"",PERIPHERAL!$B$3:$B$954&amp;"",PERIPHERAL!$J$3:$J$954,""),"Utilities",_xlfn.XLOOKUP($K266&amp;"",UTILITIES!$B$3:$B$953&amp;"",UTILITIES!$I$3:$I$953,""),"IOT",_xlfn.XLOOKUP($K266&amp;"",IOT!$B$3:$B$1012&amp;"",IOT!$J$3:$J$1012,""),"Server",_xlfn.XLOOKUP($K266&amp;"",SERVER!$B$3:$B$1009&amp;"",SERVER!$J$3:$J$1009,""),""))</f>
        <v/>
      </c>
      <c r="N266" s="1" t="str" cm="1">
        <f t="array" ref="N266">IF(OR($K266="",$I266="",$J266=""),"",_xlfn.LET(_xlpm.srcCat,_xlfn.SWITCH($I266,"Computer",_xlfn.XLOOKUP($K266&amp;"",COMPUTER!$B$3:$B$1009&amp;"",COMPUTER!$H$3:$H$1009,""),"Display",_xlfn.XLOOKUP($K266&amp;"",DISPLAY!$B$3:$B$1000&amp;"",DISPLAY!$H$3:$H$1000,""),"Network Device",_xlfn.XLOOKUP($K266&amp;"",'NETWORK-DEVICES'!$B$3:$B$987&amp;"",'NETWORK-DEVICES'!$H$3:$H$987,""),"Peripheral",_xlfn.XLOOKUP($K266&amp;"",PERIPHERAL!$B$3:$B$954&amp;"",PERIPHERAL!$H$3:$H$954,""),"Utilities",_xlfn.XLOOKUP($K266&amp;"",UTILITIES!$B$3:$B$953&amp;"",UTILITIES!$G$3:$G$953,""),"IOT",_xlfn.XLOOKUP($K266&amp;"",IOT!$B$3:$B$1012&amp;"",IOT!$H$3:$H$1012,""),"Server",_xlfn.XLOOKUP($K266&amp;"",SERVER!$B$3:$B$1009&amp;"",SERVER!$H$3:$H$1009,""),""),IF(TRIM(_xlpm.srcCat)&lt;&gt;TRIM($J266),"",_xlfn.SWITCH($I266,"Computer",_xlfn.XLOOKUP($K266&amp;"",COMPUTER!$B$3:$B$1009&amp;"",COMPUTER!$K$3:$K$1009,""),"Display",_xlfn.XLOOKUP($K266&amp;"",DISPLAY!$B$3:$B$1000&amp;"",DISPLAY!$L$3:$L$1000,""),"Network Device",_xlfn.XLOOKUP($K266&amp;"",'NETWORK-DEVICES'!$B$3:$B$987&amp;"",'NETWORK-DEVICES'!$K$3:$K$987,""),"Peripheral",_xlfn.XLOOKUP($K266&amp;"",PERIPHERAL!$B$3:$B$954&amp;"",PERIPHERAL!$K$3:$K$954,""),"Utilities",_xlfn.XLOOKUP($K266&amp;"",UTILITIES!$B$3:$B$953&amp;"",UTILITIES!$J$3:$J$953,""),"IOT",_xlfn.XLOOKUP($K266&amp;"",IOT!$B$3:$B$1012&amp;"",IOT!$K$4:$K$1012,""),"Server",_xlfn.XLOOKUP($K266&amp;"",SERVER!$B$3:$B$1009&amp;"",SERVER!$K$3:$K$1009,""),""))))</f>
        <v/>
      </c>
      <c r="O266" s="1" t="str" cm="1">
        <f t="array" ref="O266">IF(OR($K266="",$I266="",$J266=""),"",_xlfn.LET(_xlpm.srcCat,_xlfn.SWITCH($I266,"Computer",_xlfn.XLOOKUP($K266&amp;"",COMPUTER!$B$3:$B$1009&amp;"",COMPUTER!$H$3:$H$1009,""),"Display",_xlfn.XLOOKUP($K266&amp;"",DISPLAY!$B$3:$B$1000&amp;"",DISPLAY!$H$3:$H$1000,""),"Network Device",_xlfn.XLOOKUP($K266&amp;"",'NETWORK-DEVICES'!$B$3:$B$987&amp;"",'NETWORK-DEVICES'!$H$3:$H$987,""),"Peripheral",_xlfn.XLOOKUP($K266&amp;"",PERIPHERAL!$B$3:$B$954&amp;"",PERIPHERAL!$H$3:$H$954,""),"Utilities",_xlfn.XLOOKUP($K266&amp;"",UTILITIES!$B$3:$B$953&amp;"",UTILITIES!$G$3:$G$953,""),"IOT",_xlfn.XLOOKUP($K266&amp;"",IOT!$B$3:$B$1012&amp;"",IOT!$H$3:$H$1012,""),"Server",_xlfn.XLOOKUP($K266&amp;"",SERVER!$B$3:$B$1009&amp;"",SERVER!$H$3:$H$1009,""),""),IF(TRIM(_xlpm.srcCat)&lt;&gt;TRIM($J266),"",_xlfn.SWITCH($I266,"Computer",_xlfn.XLOOKUP($K266&amp;"",COMPUTER!$B$3:$B$1009&amp;"",COMPUTER!$E$3:$E$1009,""),"Display",_xlfn.XLOOKUP($K266&amp;"",DISPLAY!$B$3:$B$1000&amp;"",DISPLAY!$E$3:$E$1000,""),"Network Device",_xlfn.XLOOKUP($K266&amp;"",'NETWORK-DEVICES'!$B$3:$B$987&amp;"",'NETWORK-DEVICES'!$E$3:$E$987,""),"Peripheral",_xlfn.XLOOKUP($K266&amp;"",PERIPHERAL!$B$3:$B$954&amp;"",PERIPHERAL!$E$3:$E$954,""),"Utilities",_xlfn.XLOOKUP($K266&amp;"",UTILITIES!$B$3:$B$953&amp;"",UTILITIES!$E$3:$E$953,""),"IOT",_xlfn.XLOOKUP($K266&amp;"",IOT!$B$3:$B$1012&amp;"",IOT!$E$3:$E$1012,""),"Server",_xlfn.XLOOKUP($K266&amp;"",SERVER!$B$3:$B$1009&amp;"",SERVER!$E$3:$E$1009,""),""))))</f>
        <v/>
      </c>
      <c r="Q266" s="1" t="str" cm="1">
        <f t="array" ref="Q266">IF(OR($K266="",$I266="",$J266=""),"",_xlfn.LET(_xlpm.srcCat,_xlfn.SWITCH($I266,"Computer",_xlfn.XLOOKUP($K266&amp;"",COMPUTER!$B$3:$B$1009&amp;"",COMPUTER!$H$3:$H$1009,""),"Display",_xlfn.XLOOKUP($K266&amp;"",DISPLAY!$B$3:$B$1000&amp;"",DISPLAY!$H$3:$H$1000,""),"Network Device",_xlfn.XLOOKUP($K266&amp;"",'NETWORK-DEVICES'!$B$3:$B$987&amp;"",'NETWORK-DEVICES'!$H$3:$H$987,""),"Peripheral",_xlfn.XLOOKUP($K266&amp;"",PERIPHERAL!$B$3:$B$954&amp;"",PERIPHERAL!$H$3:$H$954,""),"Utilities",_xlfn.XLOOKUP($K266&amp;"",UTILITIES!$B$3:$B$953&amp;"",UTILITIES!$G$3:$G$953,""),"IOT",_xlfn.XLOOKUP($K266&amp;"",IOT!$B$3:$B$1012&amp;"",IOT!$H$3:$H$1012,""),"Server",_xlfn.XLOOKUP($K266&amp;"",SERVER!$B$3:$B$1009&amp;"",SERVER!$H$3:$H$1009,""),""),IF(TRIM(_xlpm.srcCat)&lt;&gt;TRIM($J266),"",_xlfn.SWITCH($I266,"Computer",_xlfn.XLOOKUP($K266&amp;"",COMPUTER!$B$3:$B$1009&amp;"",COMPUTER!$AM$3:$AM$1009,""),"Display",_xlfn.XLOOKUP($K266&amp;"",DISPLAY!$B$3:$B$1000&amp;"",DISPLAY!$V$3:$V$1000,""),"Network Device",_xlfn.XLOOKUP($K266&amp;"",'NETWORK-DEVICES'!$B$3:$B$987&amp;"",'NETWORK-DEVICES'!$AF$3:$AF$987,""),"Peripheral",_xlfn.XLOOKUP($K266&amp;"",PERIPHERAL!$B$3:$B$954&amp;"",PERIPHERAL!$Y$3:$Y$954,""),"Utilities",_xlfn.XLOOKUP($K266&amp;"",UTILITIES!$B$3:$B$953&amp;"",UTILITIES!$O$3:$O$953,""),"IOT",_xlfn.XLOOKUP($K266&amp;"",IOT!$B$3:$B$1012&amp;"",IOT!$AB$3:$AB$1012,""),"Server",_xlfn.XLOOKUP($K266&amp;"",SERVER!$B$3:$B$1009&amp;"",SERVER!$AB$3:$AB$1009,""),""))))</f>
        <v/>
      </c>
      <c r="R266" s="43" t="str">
        <f>IF(tbl_handover[[#This Row],[Asset Code]]="","",COUNTIF(tbl_handover[Asset Code],tbl_handover[[#This Row],[Asset Code]]))</f>
        <v/>
      </c>
    </row>
    <row r="267" spans="1:18" x14ac:dyDescent="0.25">
      <c r="A267" s="43" t="str">
        <f>IF(B267&lt;&gt;"",SUBTOTAL(3,$B$1:B266),"")</f>
        <v/>
      </c>
      <c r="C267" s="74"/>
      <c r="D267" s="74"/>
      <c r="G267" s="1"/>
      <c r="K267" s="42"/>
      <c r="L267" t="str" cm="1">
        <f t="array" ref="L267">IF($K267="","",_xlfn.SWITCH($I267,"Computer",_xlfn.XLOOKUP($K267&amp;"",COMPUTER!$B$3:$B$1009&amp;"",COMPUTER!$I$3:$I$1009,""),"Display",_xlfn.XLOOKUP($K267&amp;"",DISPLAY!$B$3:$B$1000&amp;"",DISPLAY!$J$3:$J$1000,""),"Network Device",_xlfn.XLOOKUP($K267&amp;"",'NETWORK-DEVICES'!$B$3:$B$987&amp;"",'NETWORK-DEVICES'!$I$3:$I$987,""),"Peripheral",_xlfn.XLOOKUP($K267&amp;"",PERIPHERAL!$B$3:$B$954&amp;"",PERIPHERAL!$I$3:$I$954,""),"Utilities",_xlfn.XLOOKUP($K267&amp;"",UTILITIES!$B$3:$B$953&amp;"",UTILITIES!$H$3:$H$953,""),"IOT",_xlfn.XLOOKUP($K267&amp;"",IOT!$B$3:$B$1012&amp;"",IOT!$I$3:$I$1012,""),"SERVER",_xlfn.XLOOKUP($K267&amp;"",SERVER!$B$3:$B$1009&amp;"",SERVER!$I$3:$I$1009,""),""))</f>
        <v/>
      </c>
      <c r="M267" t="str" cm="1">
        <f t="array" ref="M267">IF($K267="","",_xlfn.SWITCH($I267,"Computer",_xlfn.XLOOKUP($K267&amp;"",COMPUTER!$B$3:$B$1009&amp;"",COMPUTER!$J$3:$J$1009,""),"Display",_xlfn.XLOOKUP($K267&amp;"",DISPLAY!$B$3:$B$1000&amp;"",DISPLAY!$K$3:$K$1000,""),"Network Device",_xlfn.XLOOKUP($K267&amp;"",'NETWORK-DEVICES'!$B$3:$B$987&amp;"",'NETWORK-DEVICES'!$I$3:$I$987,""),"Peripheral",_xlfn.XLOOKUP($K267&amp;"",PERIPHERAL!$B$3:$B$954&amp;"",PERIPHERAL!$J$3:$J$954,""),"Utilities",_xlfn.XLOOKUP($K267&amp;"",UTILITIES!$B$3:$B$953&amp;"",UTILITIES!$I$3:$I$953,""),"IOT",_xlfn.XLOOKUP($K267&amp;"",IOT!$B$3:$B$1012&amp;"",IOT!$J$3:$J$1012,""),"Server",_xlfn.XLOOKUP($K267&amp;"",SERVER!$B$3:$B$1009&amp;"",SERVER!$J$3:$J$1009,""),""))</f>
        <v/>
      </c>
      <c r="N267" s="1" t="str" cm="1">
        <f t="array" ref="N267">IF(OR($K267="",$I267="",$J267=""),"",_xlfn.LET(_xlpm.srcCat,_xlfn.SWITCH($I267,"Computer",_xlfn.XLOOKUP($K267&amp;"",COMPUTER!$B$3:$B$1009&amp;"",COMPUTER!$H$3:$H$1009,""),"Display",_xlfn.XLOOKUP($K267&amp;"",DISPLAY!$B$3:$B$1000&amp;"",DISPLAY!$H$3:$H$1000,""),"Network Device",_xlfn.XLOOKUP($K267&amp;"",'NETWORK-DEVICES'!$B$3:$B$987&amp;"",'NETWORK-DEVICES'!$H$3:$H$987,""),"Peripheral",_xlfn.XLOOKUP($K267&amp;"",PERIPHERAL!$B$3:$B$954&amp;"",PERIPHERAL!$H$3:$H$954,""),"Utilities",_xlfn.XLOOKUP($K267&amp;"",UTILITIES!$B$3:$B$953&amp;"",UTILITIES!$G$3:$G$953,""),"IOT",_xlfn.XLOOKUP($K267&amp;"",IOT!$B$3:$B$1012&amp;"",IOT!$H$3:$H$1012,""),"Server",_xlfn.XLOOKUP($K267&amp;"",SERVER!$B$3:$B$1009&amp;"",SERVER!$H$3:$H$1009,""),""),IF(TRIM(_xlpm.srcCat)&lt;&gt;TRIM($J267),"",_xlfn.SWITCH($I267,"Computer",_xlfn.XLOOKUP($K267&amp;"",COMPUTER!$B$3:$B$1009&amp;"",COMPUTER!$K$3:$K$1009,""),"Display",_xlfn.XLOOKUP($K267&amp;"",DISPLAY!$B$3:$B$1000&amp;"",DISPLAY!$L$3:$L$1000,""),"Network Device",_xlfn.XLOOKUP($K267&amp;"",'NETWORK-DEVICES'!$B$3:$B$987&amp;"",'NETWORK-DEVICES'!$K$3:$K$987,""),"Peripheral",_xlfn.XLOOKUP($K267&amp;"",PERIPHERAL!$B$3:$B$954&amp;"",PERIPHERAL!$K$3:$K$954,""),"Utilities",_xlfn.XLOOKUP($K267&amp;"",UTILITIES!$B$3:$B$953&amp;"",UTILITIES!$J$3:$J$953,""),"IOT",_xlfn.XLOOKUP($K267&amp;"",IOT!$B$3:$B$1012&amp;"",IOT!$K$4:$K$1012,""),"Server",_xlfn.XLOOKUP($K267&amp;"",SERVER!$B$3:$B$1009&amp;"",SERVER!$K$3:$K$1009,""),""))))</f>
        <v/>
      </c>
      <c r="O267" s="1" t="str" cm="1">
        <f t="array" ref="O267">IF(OR($K267="",$I267="",$J267=""),"",_xlfn.LET(_xlpm.srcCat,_xlfn.SWITCH($I267,"Computer",_xlfn.XLOOKUP($K267&amp;"",COMPUTER!$B$3:$B$1009&amp;"",COMPUTER!$H$3:$H$1009,""),"Display",_xlfn.XLOOKUP($K267&amp;"",DISPLAY!$B$3:$B$1000&amp;"",DISPLAY!$H$3:$H$1000,""),"Network Device",_xlfn.XLOOKUP($K267&amp;"",'NETWORK-DEVICES'!$B$3:$B$987&amp;"",'NETWORK-DEVICES'!$H$3:$H$987,""),"Peripheral",_xlfn.XLOOKUP($K267&amp;"",PERIPHERAL!$B$3:$B$954&amp;"",PERIPHERAL!$H$3:$H$954,""),"Utilities",_xlfn.XLOOKUP($K267&amp;"",UTILITIES!$B$3:$B$953&amp;"",UTILITIES!$G$3:$G$953,""),"IOT",_xlfn.XLOOKUP($K267&amp;"",IOT!$B$3:$B$1012&amp;"",IOT!$H$3:$H$1012,""),"Server",_xlfn.XLOOKUP($K267&amp;"",SERVER!$B$3:$B$1009&amp;"",SERVER!$H$3:$H$1009,""),""),IF(TRIM(_xlpm.srcCat)&lt;&gt;TRIM($J267),"",_xlfn.SWITCH($I267,"Computer",_xlfn.XLOOKUP($K267&amp;"",COMPUTER!$B$3:$B$1009&amp;"",COMPUTER!$E$3:$E$1009,""),"Display",_xlfn.XLOOKUP($K267&amp;"",DISPLAY!$B$3:$B$1000&amp;"",DISPLAY!$E$3:$E$1000,""),"Network Device",_xlfn.XLOOKUP($K267&amp;"",'NETWORK-DEVICES'!$B$3:$B$987&amp;"",'NETWORK-DEVICES'!$E$3:$E$987,""),"Peripheral",_xlfn.XLOOKUP($K267&amp;"",PERIPHERAL!$B$3:$B$954&amp;"",PERIPHERAL!$E$3:$E$954,""),"Utilities",_xlfn.XLOOKUP($K267&amp;"",UTILITIES!$B$3:$B$953&amp;"",UTILITIES!$E$3:$E$953,""),"IOT",_xlfn.XLOOKUP($K267&amp;"",IOT!$B$3:$B$1012&amp;"",IOT!$E$3:$E$1012,""),"Server",_xlfn.XLOOKUP($K267&amp;"",SERVER!$B$3:$B$1009&amp;"",SERVER!$E$3:$E$1009,""),""))))</f>
        <v/>
      </c>
      <c r="Q267" s="1" t="str" cm="1">
        <f t="array" ref="Q267">IF(OR($K267="",$I267="",$J267=""),"",_xlfn.LET(_xlpm.srcCat,_xlfn.SWITCH($I267,"Computer",_xlfn.XLOOKUP($K267&amp;"",COMPUTER!$B$3:$B$1009&amp;"",COMPUTER!$H$3:$H$1009,""),"Display",_xlfn.XLOOKUP($K267&amp;"",DISPLAY!$B$3:$B$1000&amp;"",DISPLAY!$H$3:$H$1000,""),"Network Device",_xlfn.XLOOKUP($K267&amp;"",'NETWORK-DEVICES'!$B$3:$B$987&amp;"",'NETWORK-DEVICES'!$H$3:$H$987,""),"Peripheral",_xlfn.XLOOKUP($K267&amp;"",PERIPHERAL!$B$3:$B$954&amp;"",PERIPHERAL!$H$3:$H$954,""),"Utilities",_xlfn.XLOOKUP($K267&amp;"",UTILITIES!$B$3:$B$953&amp;"",UTILITIES!$G$3:$G$953,""),"IOT",_xlfn.XLOOKUP($K267&amp;"",IOT!$B$3:$B$1012&amp;"",IOT!$H$3:$H$1012,""),"Server",_xlfn.XLOOKUP($K267&amp;"",SERVER!$B$3:$B$1009&amp;"",SERVER!$H$3:$H$1009,""),""),IF(TRIM(_xlpm.srcCat)&lt;&gt;TRIM($J267),"",_xlfn.SWITCH($I267,"Computer",_xlfn.XLOOKUP($K267&amp;"",COMPUTER!$B$3:$B$1009&amp;"",COMPUTER!$AM$3:$AM$1009,""),"Display",_xlfn.XLOOKUP($K267&amp;"",DISPLAY!$B$3:$B$1000&amp;"",DISPLAY!$V$3:$V$1000,""),"Network Device",_xlfn.XLOOKUP($K267&amp;"",'NETWORK-DEVICES'!$B$3:$B$987&amp;"",'NETWORK-DEVICES'!$AF$3:$AF$987,""),"Peripheral",_xlfn.XLOOKUP($K267&amp;"",PERIPHERAL!$B$3:$B$954&amp;"",PERIPHERAL!$Y$3:$Y$954,""),"Utilities",_xlfn.XLOOKUP($K267&amp;"",UTILITIES!$B$3:$B$953&amp;"",UTILITIES!$O$3:$O$953,""),"IOT",_xlfn.XLOOKUP($K267&amp;"",IOT!$B$3:$B$1012&amp;"",IOT!$AB$3:$AB$1012,""),"Server",_xlfn.XLOOKUP($K267&amp;"",SERVER!$B$3:$B$1009&amp;"",SERVER!$AB$3:$AB$1009,""),""))))</f>
        <v/>
      </c>
      <c r="R267" s="43" t="str">
        <f>IF(tbl_handover[[#This Row],[Asset Code]]="","",COUNTIF(tbl_handover[Asset Code],tbl_handover[[#This Row],[Asset Code]]))</f>
        <v/>
      </c>
    </row>
    <row r="268" spans="1:18" x14ac:dyDescent="0.25">
      <c r="A268" s="43" t="str">
        <f>IF(B268&lt;&gt;"",SUBTOTAL(3,$B$1:B267),"")</f>
        <v/>
      </c>
      <c r="C268" s="74"/>
      <c r="D268" s="74"/>
      <c r="G268" s="1"/>
      <c r="K268" s="42"/>
      <c r="L268" t="str" cm="1">
        <f t="array" ref="L268">IF($K268="","",_xlfn.SWITCH($I268,"Computer",_xlfn.XLOOKUP($K268&amp;"",COMPUTER!$B$3:$B$1009&amp;"",COMPUTER!$I$3:$I$1009,""),"Display",_xlfn.XLOOKUP($K268&amp;"",DISPLAY!$B$3:$B$1000&amp;"",DISPLAY!$J$3:$J$1000,""),"Network Device",_xlfn.XLOOKUP($K268&amp;"",'NETWORK-DEVICES'!$B$3:$B$987&amp;"",'NETWORK-DEVICES'!$I$3:$I$987,""),"Peripheral",_xlfn.XLOOKUP($K268&amp;"",PERIPHERAL!$B$3:$B$954&amp;"",PERIPHERAL!$I$3:$I$954,""),"Utilities",_xlfn.XLOOKUP($K268&amp;"",UTILITIES!$B$3:$B$953&amp;"",UTILITIES!$H$3:$H$953,""),"IOT",_xlfn.XLOOKUP($K268&amp;"",IOT!$B$3:$B$1012&amp;"",IOT!$I$3:$I$1012,""),"SERVER",_xlfn.XLOOKUP($K268&amp;"",SERVER!$B$3:$B$1009&amp;"",SERVER!$I$3:$I$1009,""),""))</f>
        <v/>
      </c>
      <c r="M268" t="str" cm="1">
        <f t="array" ref="M268">IF($K268="","",_xlfn.SWITCH($I268,"Computer",_xlfn.XLOOKUP($K268&amp;"",COMPUTER!$B$3:$B$1009&amp;"",COMPUTER!$J$3:$J$1009,""),"Display",_xlfn.XLOOKUP($K268&amp;"",DISPLAY!$B$3:$B$1000&amp;"",DISPLAY!$K$3:$K$1000,""),"Network Device",_xlfn.XLOOKUP($K268&amp;"",'NETWORK-DEVICES'!$B$3:$B$987&amp;"",'NETWORK-DEVICES'!$I$3:$I$987,""),"Peripheral",_xlfn.XLOOKUP($K268&amp;"",PERIPHERAL!$B$3:$B$954&amp;"",PERIPHERAL!$J$3:$J$954,""),"Utilities",_xlfn.XLOOKUP($K268&amp;"",UTILITIES!$B$3:$B$953&amp;"",UTILITIES!$I$3:$I$953,""),"IOT",_xlfn.XLOOKUP($K268&amp;"",IOT!$B$3:$B$1012&amp;"",IOT!$J$3:$J$1012,""),"Server",_xlfn.XLOOKUP($K268&amp;"",SERVER!$B$3:$B$1009&amp;"",SERVER!$J$3:$J$1009,""),""))</f>
        <v/>
      </c>
      <c r="N268" s="1" t="str" cm="1">
        <f t="array" ref="N268">IF(OR($K268="",$I268="",$J268=""),"",_xlfn.LET(_xlpm.srcCat,_xlfn.SWITCH($I268,"Computer",_xlfn.XLOOKUP($K268&amp;"",COMPUTER!$B$3:$B$1009&amp;"",COMPUTER!$H$3:$H$1009,""),"Display",_xlfn.XLOOKUP($K268&amp;"",DISPLAY!$B$3:$B$1000&amp;"",DISPLAY!$H$3:$H$1000,""),"Network Device",_xlfn.XLOOKUP($K268&amp;"",'NETWORK-DEVICES'!$B$3:$B$987&amp;"",'NETWORK-DEVICES'!$H$3:$H$987,""),"Peripheral",_xlfn.XLOOKUP($K268&amp;"",PERIPHERAL!$B$3:$B$954&amp;"",PERIPHERAL!$H$3:$H$954,""),"Utilities",_xlfn.XLOOKUP($K268&amp;"",UTILITIES!$B$3:$B$953&amp;"",UTILITIES!$G$3:$G$953,""),"IOT",_xlfn.XLOOKUP($K268&amp;"",IOT!$B$3:$B$1012&amp;"",IOT!$H$3:$H$1012,""),"Server",_xlfn.XLOOKUP($K268&amp;"",SERVER!$B$3:$B$1009&amp;"",SERVER!$H$3:$H$1009,""),""),IF(TRIM(_xlpm.srcCat)&lt;&gt;TRIM($J268),"",_xlfn.SWITCH($I268,"Computer",_xlfn.XLOOKUP($K268&amp;"",COMPUTER!$B$3:$B$1009&amp;"",COMPUTER!$K$3:$K$1009,""),"Display",_xlfn.XLOOKUP($K268&amp;"",DISPLAY!$B$3:$B$1000&amp;"",DISPLAY!$L$3:$L$1000,""),"Network Device",_xlfn.XLOOKUP($K268&amp;"",'NETWORK-DEVICES'!$B$3:$B$987&amp;"",'NETWORK-DEVICES'!$K$3:$K$987,""),"Peripheral",_xlfn.XLOOKUP($K268&amp;"",PERIPHERAL!$B$3:$B$954&amp;"",PERIPHERAL!$K$3:$K$954,""),"Utilities",_xlfn.XLOOKUP($K268&amp;"",UTILITIES!$B$3:$B$953&amp;"",UTILITIES!$J$3:$J$953,""),"IOT",_xlfn.XLOOKUP($K268&amp;"",IOT!$B$3:$B$1012&amp;"",IOT!$K$4:$K$1012,""),"Server",_xlfn.XLOOKUP($K268&amp;"",SERVER!$B$3:$B$1009&amp;"",SERVER!$K$3:$K$1009,""),""))))</f>
        <v/>
      </c>
      <c r="O268" s="1" t="str" cm="1">
        <f t="array" ref="O268">IF(OR($K268="",$I268="",$J268=""),"",_xlfn.LET(_xlpm.srcCat,_xlfn.SWITCH($I268,"Computer",_xlfn.XLOOKUP($K268&amp;"",COMPUTER!$B$3:$B$1009&amp;"",COMPUTER!$H$3:$H$1009,""),"Display",_xlfn.XLOOKUP($K268&amp;"",DISPLAY!$B$3:$B$1000&amp;"",DISPLAY!$H$3:$H$1000,""),"Network Device",_xlfn.XLOOKUP($K268&amp;"",'NETWORK-DEVICES'!$B$3:$B$987&amp;"",'NETWORK-DEVICES'!$H$3:$H$987,""),"Peripheral",_xlfn.XLOOKUP($K268&amp;"",PERIPHERAL!$B$3:$B$954&amp;"",PERIPHERAL!$H$3:$H$954,""),"Utilities",_xlfn.XLOOKUP($K268&amp;"",UTILITIES!$B$3:$B$953&amp;"",UTILITIES!$G$3:$G$953,""),"IOT",_xlfn.XLOOKUP($K268&amp;"",IOT!$B$3:$B$1012&amp;"",IOT!$H$3:$H$1012,""),"Server",_xlfn.XLOOKUP($K268&amp;"",SERVER!$B$3:$B$1009&amp;"",SERVER!$H$3:$H$1009,""),""),IF(TRIM(_xlpm.srcCat)&lt;&gt;TRIM($J268),"",_xlfn.SWITCH($I268,"Computer",_xlfn.XLOOKUP($K268&amp;"",COMPUTER!$B$3:$B$1009&amp;"",COMPUTER!$E$3:$E$1009,""),"Display",_xlfn.XLOOKUP($K268&amp;"",DISPLAY!$B$3:$B$1000&amp;"",DISPLAY!$E$3:$E$1000,""),"Network Device",_xlfn.XLOOKUP($K268&amp;"",'NETWORK-DEVICES'!$B$3:$B$987&amp;"",'NETWORK-DEVICES'!$E$3:$E$987,""),"Peripheral",_xlfn.XLOOKUP($K268&amp;"",PERIPHERAL!$B$3:$B$954&amp;"",PERIPHERAL!$E$3:$E$954,""),"Utilities",_xlfn.XLOOKUP($K268&amp;"",UTILITIES!$B$3:$B$953&amp;"",UTILITIES!$E$3:$E$953,""),"IOT",_xlfn.XLOOKUP($K268&amp;"",IOT!$B$3:$B$1012&amp;"",IOT!$E$3:$E$1012,""),"Server",_xlfn.XLOOKUP($K268&amp;"",SERVER!$B$3:$B$1009&amp;"",SERVER!$E$3:$E$1009,""),""))))</f>
        <v/>
      </c>
      <c r="Q268" s="1" t="str" cm="1">
        <f t="array" ref="Q268">IF(OR($K268="",$I268="",$J268=""),"",_xlfn.LET(_xlpm.srcCat,_xlfn.SWITCH($I268,"Computer",_xlfn.XLOOKUP($K268&amp;"",COMPUTER!$B$3:$B$1009&amp;"",COMPUTER!$H$3:$H$1009,""),"Display",_xlfn.XLOOKUP($K268&amp;"",DISPLAY!$B$3:$B$1000&amp;"",DISPLAY!$H$3:$H$1000,""),"Network Device",_xlfn.XLOOKUP($K268&amp;"",'NETWORK-DEVICES'!$B$3:$B$987&amp;"",'NETWORK-DEVICES'!$H$3:$H$987,""),"Peripheral",_xlfn.XLOOKUP($K268&amp;"",PERIPHERAL!$B$3:$B$954&amp;"",PERIPHERAL!$H$3:$H$954,""),"Utilities",_xlfn.XLOOKUP($K268&amp;"",UTILITIES!$B$3:$B$953&amp;"",UTILITIES!$G$3:$G$953,""),"IOT",_xlfn.XLOOKUP($K268&amp;"",IOT!$B$3:$B$1012&amp;"",IOT!$H$3:$H$1012,""),"Server",_xlfn.XLOOKUP($K268&amp;"",SERVER!$B$3:$B$1009&amp;"",SERVER!$H$3:$H$1009,""),""),IF(TRIM(_xlpm.srcCat)&lt;&gt;TRIM($J268),"",_xlfn.SWITCH($I268,"Computer",_xlfn.XLOOKUP($K268&amp;"",COMPUTER!$B$3:$B$1009&amp;"",COMPUTER!$AM$3:$AM$1009,""),"Display",_xlfn.XLOOKUP($K268&amp;"",DISPLAY!$B$3:$B$1000&amp;"",DISPLAY!$V$3:$V$1000,""),"Network Device",_xlfn.XLOOKUP($K268&amp;"",'NETWORK-DEVICES'!$B$3:$B$987&amp;"",'NETWORK-DEVICES'!$AF$3:$AF$987,""),"Peripheral",_xlfn.XLOOKUP($K268&amp;"",PERIPHERAL!$B$3:$B$954&amp;"",PERIPHERAL!$Y$3:$Y$954,""),"Utilities",_xlfn.XLOOKUP($K268&amp;"",UTILITIES!$B$3:$B$953&amp;"",UTILITIES!$O$3:$O$953,""),"IOT",_xlfn.XLOOKUP($K268&amp;"",IOT!$B$3:$B$1012&amp;"",IOT!$AB$3:$AB$1012,""),"Server",_xlfn.XLOOKUP($K268&amp;"",SERVER!$B$3:$B$1009&amp;"",SERVER!$AB$3:$AB$1009,""),""))))</f>
        <v/>
      </c>
      <c r="R268" s="43" t="str">
        <f>IF(tbl_handover[[#This Row],[Asset Code]]="","",COUNTIF(tbl_handover[Asset Code],tbl_handover[[#This Row],[Asset Code]]))</f>
        <v/>
      </c>
    </row>
    <row r="269" spans="1:18" x14ac:dyDescent="0.25">
      <c r="A269" s="43" t="str">
        <f>IF(B269&lt;&gt;"",SUBTOTAL(3,$B$1:B268),"")</f>
        <v/>
      </c>
      <c r="C269" s="74"/>
      <c r="D269" s="74"/>
      <c r="G269" s="1"/>
      <c r="K269" s="42"/>
      <c r="L269" t="str" cm="1">
        <f t="array" ref="L269">IF($K269="","",_xlfn.SWITCH($I269,"Computer",_xlfn.XLOOKUP($K269&amp;"",COMPUTER!$B$3:$B$1009&amp;"",COMPUTER!$I$3:$I$1009,""),"Display",_xlfn.XLOOKUP($K269&amp;"",DISPLAY!$B$3:$B$1000&amp;"",DISPLAY!$J$3:$J$1000,""),"Network Device",_xlfn.XLOOKUP($K269&amp;"",'NETWORK-DEVICES'!$B$3:$B$987&amp;"",'NETWORK-DEVICES'!$I$3:$I$987,""),"Peripheral",_xlfn.XLOOKUP($K269&amp;"",PERIPHERAL!$B$3:$B$954&amp;"",PERIPHERAL!$I$3:$I$954,""),"Utilities",_xlfn.XLOOKUP($K269&amp;"",UTILITIES!$B$3:$B$953&amp;"",UTILITIES!$H$3:$H$953,""),"IOT",_xlfn.XLOOKUP($K269&amp;"",IOT!$B$3:$B$1012&amp;"",IOT!$I$3:$I$1012,""),"SERVER",_xlfn.XLOOKUP($K269&amp;"",SERVER!$B$3:$B$1009&amp;"",SERVER!$I$3:$I$1009,""),""))</f>
        <v/>
      </c>
      <c r="M269" t="str" cm="1">
        <f t="array" ref="M269">IF($K269="","",_xlfn.SWITCH($I269,"Computer",_xlfn.XLOOKUP($K269&amp;"",COMPUTER!$B$3:$B$1009&amp;"",COMPUTER!$J$3:$J$1009,""),"Display",_xlfn.XLOOKUP($K269&amp;"",DISPLAY!$B$3:$B$1000&amp;"",DISPLAY!$K$3:$K$1000,""),"Network Device",_xlfn.XLOOKUP($K269&amp;"",'NETWORK-DEVICES'!$B$3:$B$987&amp;"",'NETWORK-DEVICES'!$I$3:$I$987,""),"Peripheral",_xlfn.XLOOKUP($K269&amp;"",PERIPHERAL!$B$3:$B$954&amp;"",PERIPHERAL!$J$3:$J$954,""),"Utilities",_xlfn.XLOOKUP($K269&amp;"",UTILITIES!$B$3:$B$953&amp;"",UTILITIES!$I$3:$I$953,""),"IOT",_xlfn.XLOOKUP($K269&amp;"",IOT!$B$3:$B$1012&amp;"",IOT!$J$3:$J$1012,""),"Server",_xlfn.XLOOKUP($K269&amp;"",SERVER!$B$3:$B$1009&amp;"",SERVER!$J$3:$J$1009,""),""))</f>
        <v/>
      </c>
      <c r="N269" s="1" t="str" cm="1">
        <f t="array" ref="N269">IF(OR($K269="",$I269="",$J269=""),"",_xlfn.LET(_xlpm.srcCat,_xlfn.SWITCH($I269,"Computer",_xlfn.XLOOKUP($K269&amp;"",COMPUTER!$B$3:$B$1009&amp;"",COMPUTER!$H$3:$H$1009,""),"Display",_xlfn.XLOOKUP($K269&amp;"",DISPLAY!$B$3:$B$1000&amp;"",DISPLAY!$H$3:$H$1000,""),"Network Device",_xlfn.XLOOKUP($K269&amp;"",'NETWORK-DEVICES'!$B$3:$B$987&amp;"",'NETWORK-DEVICES'!$H$3:$H$987,""),"Peripheral",_xlfn.XLOOKUP($K269&amp;"",PERIPHERAL!$B$3:$B$954&amp;"",PERIPHERAL!$H$3:$H$954,""),"Utilities",_xlfn.XLOOKUP($K269&amp;"",UTILITIES!$B$3:$B$953&amp;"",UTILITIES!$G$3:$G$953,""),"IOT",_xlfn.XLOOKUP($K269&amp;"",IOT!$B$3:$B$1012&amp;"",IOT!$H$3:$H$1012,""),"Server",_xlfn.XLOOKUP($K269&amp;"",SERVER!$B$3:$B$1009&amp;"",SERVER!$H$3:$H$1009,""),""),IF(TRIM(_xlpm.srcCat)&lt;&gt;TRIM($J269),"",_xlfn.SWITCH($I269,"Computer",_xlfn.XLOOKUP($K269&amp;"",COMPUTER!$B$3:$B$1009&amp;"",COMPUTER!$K$3:$K$1009,""),"Display",_xlfn.XLOOKUP($K269&amp;"",DISPLAY!$B$3:$B$1000&amp;"",DISPLAY!$L$3:$L$1000,""),"Network Device",_xlfn.XLOOKUP($K269&amp;"",'NETWORK-DEVICES'!$B$3:$B$987&amp;"",'NETWORK-DEVICES'!$K$3:$K$987,""),"Peripheral",_xlfn.XLOOKUP($K269&amp;"",PERIPHERAL!$B$3:$B$954&amp;"",PERIPHERAL!$K$3:$K$954,""),"Utilities",_xlfn.XLOOKUP($K269&amp;"",UTILITIES!$B$3:$B$953&amp;"",UTILITIES!$J$3:$J$953,""),"IOT",_xlfn.XLOOKUP($K269&amp;"",IOT!$B$3:$B$1012&amp;"",IOT!$K$4:$K$1012,""),"Server",_xlfn.XLOOKUP($K269&amp;"",SERVER!$B$3:$B$1009&amp;"",SERVER!$K$3:$K$1009,""),""))))</f>
        <v/>
      </c>
      <c r="O269" s="1" t="str" cm="1">
        <f t="array" ref="O269">IF(OR($K269="",$I269="",$J269=""),"",_xlfn.LET(_xlpm.srcCat,_xlfn.SWITCH($I269,"Computer",_xlfn.XLOOKUP($K269&amp;"",COMPUTER!$B$3:$B$1009&amp;"",COMPUTER!$H$3:$H$1009,""),"Display",_xlfn.XLOOKUP($K269&amp;"",DISPLAY!$B$3:$B$1000&amp;"",DISPLAY!$H$3:$H$1000,""),"Network Device",_xlfn.XLOOKUP($K269&amp;"",'NETWORK-DEVICES'!$B$3:$B$987&amp;"",'NETWORK-DEVICES'!$H$3:$H$987,""),"Peripheral",_xlfn.XLOOKUP($K269&amp;"",PERIPHERAL!$B$3:$B$954&amp;"",PERIPHERAL!$H$3:$H$954,""),"Utilities",_xlfn.XLOOKUP($K269&amp;"",UTILITIES!$B$3:$B$953&amp;"",UTILITIES!$G$3:$G$953,""),"IOT",_xlfn.XLOOKUP($K269&amp;"",IOT!$B$3:$B$1012&amp;"",IOT!$H$3:$H$1012,""),"Server",_xlfn.XLOOKUP($K269&amp;"",SERVER!$B$3:$B$1009&amp;"",SERVER!$H$3:$H$1009,""),""),IF(TRIM(_xlpm.srcCat)&lt;&gt;TRIM($J269),"",_xlfn.SWITCH($I269,"Computer",_xlfn.XLOOKUP($K269&amp;"",COMPUTER!$B$3:$B$1009&amp;"",COMPUTER!$E$3:$E$1009,""),"Display",_xlfn.XLOOKUP($K269&amp;"",DISPLAY!$B$3:$B$1000&amp;"",DISPLAY!$E$3:$E$1000,""),"Network Device",_xlfn.XLOOKUP($K269&amp;"",'NETWORK-DEVICES'!$B$3:$B$987&amp;"",'NETWORK-DEVICES'!$E$3:$E$987,""),"Peripheral",_xlfn.XLOOKUP($K269&amp;"",PERIPHERAL!$B$3:$B$954&amp;"",PERIPHERAL!$E$3:$E$954,""),"Utilities",_xlfn.XLOOKUP($K269&amp;"",UTILITIES!$B$3:$B$953&amp;"",UTILITIES!$E$3:$E$953,""),"IOT",_xlfn.XLOOKUP($K269&amp;"",IOT!$B$3:$B$1012&amp;"",IOT!$E$3:$E$1012,""),"Server",_xlfn.XLOOKUP($K269&amp;"",SERVER!$B$3:$B$1009&amp;"",SERVER!$E$3:$E$1009,""),""))))</f>
        <v/>
      </c>
      <c r="Q269" s="1" t="str" cm="1">
        <f t="array" ref="Q269">IF(OR($K269="",$I269="",$J269=""),"",_xlfn.LET(_xlpm.srcCat,_xlfn.SWITCH($I269,"Computer",_xlfn.XLOOKUP($K269&amp;"",COMPUTER!$B$3:$B$1009&amp;"",COMPUTER!$H$3:$H$1009,""),"Display",_xlfn.XLOOKUP($K269&amp;"",DISPLAY!$B$3:$B$1000&amp;"",DISPLAY!$H$3:$H$1000,""),"Network Device",_xlfn.XLOOKUP($K269&amp;"",'NETWORK-DEVICES'!$B$3:$B$987&amp;"",'NETWORK-DEVICES'!$H$3:$H$987,""),"Peripheral",_xlfn.XLOOKUP($K269&amp;"",PERIPHERAL!$B$3:$B$954&amp;"",PERIPHERAL!$H$3:$H$954,""),"Utilities",_xlfn.XLOOKUP($K269&amp;"",UTILITIES!$B$3:$B$953&amp;"",UTILITIES!$G$3:$G$953,""),"IOT",_xlfn.XLOOKUP($K269&amp;"",IOT!$B$3:$B$1012&amp;"",IOT!$H$3:$H$1012,""),"Server",_xlfn.XLOOKUP($K269&amp;"",SERVER!$B$3:$B$1009&amp;"",SERVER!$H$3:$H$1009,""),""),IF(TRIM(_xlpm.srcCat)&lt;&gt;TRIM($J269),"",_xlfn.SWITCH($I269,"Computer",_xlfn.XLOOKUP($K269&amp;"",COMPUTER!$B$3:$B$1009&amp;"",COMPUTER!$AM$3:$AM$1009,""),"Display",_xlfn.XLOOKUP($K269&amp;"",DISPLAY!$B$3:$B$1000&amp;"",DISPLAY!$V$3:$V$1000,""),"Network Device",_xlfn.XLOOKUP($K269&amp;"",'NETWORK-DEVICES'!$B$3:$B$987&amp;"",'NETWORK-DEVICES'!$AF$3:$AF$987,""),"Peripheral",_xlfn.XLOOKUP($K269&amp;"",PERIPHERAL!$B$3:$B$954&amp;"",PERIPHERAL!$Y$3:$Y$954,""),"Utilities",_xlfn.XLOOKUP($K269&amp;"",UTILITIES!$B$3:$B$953&amp;"",UTILITIES!$O$3:$O$953,""),"IOT",_xlfn.XLOOKUP($K269&amp;"",IOT!$B$3:$B$1012&amp;"",IOT!$AB$3:$AB$1012,""),"Server",_xlfn.XLOOKUP($K269&amp;"",SERVER!$B$3:$B$1009&amp;"",SERVER!$AB$3:$AB$1009,""),""))))</f>
        <v/>
      </c>
      <c r="R269" s="43" t="str">
        <f>IF(tbl_handover[[#This Row],[Asset Code]]="","",COUNTIF(tbl_handover[Asset Code],tbl_handover[[#This Row],[Asset Code]]))</f>
        <v/>
      </c>
    </row>
    <row r="270" spans="1:18" x14ac:dyDescent="0.25">
      <c r="A270" s="43" t="str">
        <f>IF(B270&lt;&gt;"",SUBTOTAL(3,$B$1:B269),"")</f>
        <v/>
      </c>
      <c r="C270" s="74"/>
      <c r="D270" s="74"/>
      <c r="G270" s="1"/>
      <c r="K270" s="42"/>
      <c r="L270" t="str" cm="1">
        <f t="array" ref="L270">IF($K270="","",_xlfn.SWITCH($I270,"Computer",_xlfn.XLOOKUP($K270&amp;"",COMPUTER!$B$3:$B$1009&amp;"",COMPUTER!$I$3:$I$1009,""),"Display",_xlfn.XLOOKUP($K270&amp;"",DISPLAY!$B$3:$B$1000&amp;"",DISPLAY!$J$3:$J$1000,""),"Network Device",_xlfn.XLOOKUP($K270&amp;"",'NETWORK-DEVICES'!$B$3:$B$987&amp;"",'NETWORK-DEVICES'!$I$3:$I$987,""),"Peripheral",_xlfn.XLOOKUP($K270&amp;"",PERIPHERAL!$B$3:$B$954&amp;"",PERIPHERAL!$I$3:$I$954,""),"Utilities",_xlfn.XLOOKUP($K270&amp;"",UTILITIES!$B$3:$B$953&amp;"",UTILITIES!$H$3:$H$953,""),"IOT",_xlfn.XLOOKUP($K270&amp;"",IOT!$B$3:$B$1012&amp;"",IOT!$I$3:$I$1012,""),"SERVER",_xlfn.XLOOKUP($K270&amp;"",SERVER!$B$3:$B$1009&amp;"",SERVER!$I$3:$I$1009,""),""))</f>
        <v/>
      </c>
      <c r="M270" t="str" cm="1">
        <f t="array" ref="M270">IF($K270="","",_xlfn.SWITCH($I270,"Computer",_xlfn.XLOOKUP($K270&amp;"",COMPUTER!$B$3:$B$1009&amp;"",COMPUTER!$J$3:$J$1009,""),"Display",_xlfn.XLOOKUP($K270&amp;"",DISPLAY!$B$3:$B$1000&amp;"",DISPLAY!$K$3:$K$1000,""),"Network Device",_xlfn.XLOOKUP($K270&amp;"",'NETWORK-DEVICES'!$B$3:$B$987&amp;"",'NETWORK-DEVICES'!$I$3:$I$987,""),"Peripheral",_xlfn.XLOOKUP($K270&amp;"",PERIPHERAL!$B$3:$B$954&amp;"",PERIPHERAL!$J$3:$J$954,""),"Utilities",_xlfn.XLOOKUP($K270&amp;"",UTILITIES!$B$3:$B$953&amp;"",UTILITIES!$I$3:$I$953,""),"IOT",_xlfn.XLOOKUP($K270&amp;"",IOT!$B$3:$B$1012&amp;"",IOT!$J$3:$J$1012,""),"Server",_xlfn.XLOOKUP($K270&amp;"",SERVER!$B$3:$B$1009&amp;"",SERVER!$J$3:$J$1009,""),""))</f>
        <v/>
      </c>
      <c r="N270" s="1" t="str" cm="1">
        <f t="array" ref="N270">IF(OR($K270="",$I270="",$J270=""),"",_xlfn.LET(_xlpm.srcCat,_xlfn.SWITCH($I270,"Computer",_xlfn.XLOOKUP($K270&amp;"",COMPUTER!$B$3:$B$1009&amp;"",COMPUTER!$H$3:$H$1009,""),"Display",_xlfn.XLOOKUP($K270&amp;"",DISPLAY!$B$3:$B$1000&amp;"",DISPLAY!$H$3:$H$1000,""),"Network Device",_xlfn.XLOOKUP($K270&amp;"",'NETWORK-DEVICES'!$B$3:$B$987&amp;"",'NETWORK-DEVICES'!$H$3:$H$987,""),"Peripheral",_xlfn.XLOOKUP($K270&amp;"",PERIPHERAL!$B$3:$B$954&amp;"",PERIPHERAL!$H$3:$H$954,""),"Utilities",_xlfn.XLOOKUP($K270&amp;"",UTILITIES!$B$3:$B$953&amp;"",UTILITIES!$G$3:$G$953,""),"IOT",_xlfn.XLOOKUP($K270&amp;"",IOT!$B$3:$B$1012&amp;"",IOT!$H$3:$H$1012,""),"Server",_xlfn.XLOOKUP($K270&amp;"",SERVER!$B$3:$B$1009&amp;"",SERVER!$H$3:$H$1009,""),""),IF(TRIM(_xlpm.srcCat)&lt;&gt;TRIM($J270),"",_xlfn.SWITCH($I270,"Computer",_xlfn.XLOOKUP($K270&amp;"",COMPUTER!$B$3:$B$1009&amp;"",COMPUTER!$K$3:$K$1009,""),"Display",_xlfn.XLOOKUP($K270&amp;"",DISPLAY!$B$3:$B$1000&amp;"",DISPLAY!$L$3:$L$1000,""),"Network Device",_xlfn.XLOOKUP($K270&amp;"",'NETWORK-DEVICES'!$B$3:$B$987&amp;"",'NETWORK-DEVICES'!$K$3:$K$987,""),"Peripheral",_xlfn.XLOOKUP($K270&amp;"",PERIPHERAL!$B$3:$B$954&amp;"",PERIPHERAL!$K$3:$K$954,""),"Utilities",_xlfn.XLOOKUP($K270&amp;"",UTILITIES!$B$3:$B$953&amp;"",UTILITIES!$J$3:$J$953,""),"IOT",_xlfn.XLOOKUP($K270&amp;"",IOT!$B$3:$B$1012&amp;"",IOT!$K$4:$K$1012,""),"Server",_xlfn.XLOOKUP($K270&amp;"",SERVER!$B$3:$B$1009&amp;"",SERVER!$K$3:$K$1009,""),""))))</f>
        <v/>
      </c>
      <c r="O270" s="1" t="str" cm="1">
        <f t="array" ref="O270">IF(OR($K270="",$I270="",$J270=""),"",_xlfn.LET(_xlpm.srcCat,_xlfn.SWITCH($I270,"Computer",_xlfn.XLOOKUP($K270&amp;"",COMPUTER!$B$3:$B$1009&amp;"",COMPUTER!$H$3:$H$1009,""),"Display",_xlfn.XLOOKUP($K270&amp;"",DISPLAY!$B$3:$B$1000&amp;"",DISPLAY!$H$3:$H$1000,""),"Network Device",_xlfn.XLOOKUP($K270&amp;"",'NETWORK-DEVICES'!$B$3:$B$987&amp;"",'NETWORK-DEVICES'!$H$3:$H$987,""),"Peripheral",_xlfn.XLOOKUP($K270&amp;"",PERIPHERAL!$B$3:$B$954&amp;"",PERIPHERAL!$H$3:$H$954,""),"Utilities",_xlfn.XLOOKUP($K270&amp;"",UTILITIES!$B$3:$B$953&amp;"",UTILITIES!$G$3:$G$953,""),"IOT",_xlfn.XLOOKUP($K270&amp;"",IOT!$B$3:$B$1012&amp;"",IOT!$H$3:$H$1012,""),"Server",_xlfn.XLOOKUP($K270&amp;"",SERVER!$B$3:$B$1009&amp;"",SERVER!$H$3:$H$1009,""),""),IF(TRIM(_xlpm.srcCat)&lt;&gt;TRIM($J270),"",_xlfn.SWITCH($I270,"Computer",_xlfn.XLOOKUP($K270&amp;"",COMPUTER!$B$3:$B$1009&amp;"",COMPUTER!$E$3:$E$1009,""),"Display",_xlfn.XLOOKUP($K270&amp;"",DISPLAY!$B$3:$B$1000&amp;"",DISPLAY!$E$3:$E$1000,""),"Network Device",_xlfn.XLOOKUP($K270&amp;"",'NETWORK-DEVICES'!$B$3:$B$987&amp;"",'NETWORK-DEVICES'!$E$3:$E$987,""),"Peripheral",_xlfn.XLOOKUP($K270&amp;"",PERIPHERAL!$B$3:$B$954&amp;"",PERIPHERAL!$E$3:$E$954,""),"Utilities",_xlfn.XLOOKUP($K270&amp;"",UTILITIES!$B$3:$B$953&amp;"",UTILITIES!$E$3:$E$953,""),"IOT",_xlfn.XLOOKUP($K270&amp;"",IOT!$B$3:$B$1012&amp;"",IOT!$E$3:$E$1012,""),"Server",_xlfn.XLOOKUP($K270&amp;"",SERVER!$B$3:$B$1009&amp;"",SERVER!$E$3:$E$1009,""),""))))</f>
        <v/>
      </c>
      <c r="Q270" s="1" t="str" cm="1">
        <f t="array" ref="Q270">IF(OR($K270="",$I270="",$J270=""),"",_xlfn.LET(_xlpm.srcCat,_xlfn.SWITCH($I270,"Computer",_xlfn.XLOOKUP($K270&amp;"",COMPUTER!$B$3:$B$1009&amp;"",COMPUTER!$H$3:$H$1009,""),"Display",_xlfn.XLOOKUP($K270&amp;"",DISPLAY!$B$3:$B$1000&amp;"",DISPLAY!$H$3:$H$1000,""),"Network Device",_xlfn.XLOOKUP($K270&amp;"",'NETWORK-DEVICES'!$B$3:$B$987&amp;"",'NETWORK-DEVICES'!$H$3:$H$987,""),"Peripheral",_xlfn.XLOOKUP($K270&amp;"",PERIPHERAL!$B$3:$B$954&amp;"",PERIPHERAL!$H$3:$H$954,""),"Utilities",_xlfn.XLOOKUP($K270&amp;"",UTILITIES!$B$3:$B$953&amp;"",UTILITIES!$G$3:$G$953,""),"IOT",_xlfn.XLOOKUP($K270&amp;"",IOT!$B$3:$B$1012&amp;"",IOT!$H$3:$H$1012,""),"Server",_xlfn.XLOOKUP($K270&amp;"",SERVER!$B$3:$B$1009&amp;"",SERVER!$H$3:$H$1009,""),""),IF(TRIM(_xlpm.srcCat)&lt;&gt;TRIM($J270),"",_xlfn.SWITCH($I270,"Computer",_xlfn.XLOOKUP($K270&amp;"",COMPUTER!$B$3:$B$1009&amp;"",COMPUTER!$AM$3:$AM$1009,""),"Display",_xlfn.XLOOKUP($K270&amp;"",DISPLAY!$B$3:$B$1000&amp;"",DISPLAY!$V$3:$V$1000,""),"Network Device",_xlfn.XLOOKUP($K270&amp;"",'NETWORK-DEVICES'!$B$3:$B$987&amp;"",'NETWORK-DEVICES'!$AF$3:$AF$987,""),"Peripheral",_xlfn.XLOOKUP($K270&amp;"",PERIPHERAL!$B$3:$B$954&amp;"",PERIPHERAL!$Y$3:$Y$954,""),"Utilities",_xlfn.XLOOKUP($K270&amp;"",UTILITIES!$B$3:$B$953&amp;"",UTILITIES!$O$3:$O$953,""),"IOT",_xlfn.XLOOKUP($K270&amp;"",IOT!$B$3:$B$1012&amp;"",IOT!$AB$3:$AB$1012,""),"Server",_xlfn.XLOOKUP($K270&amp;"",SERVER!$B$3:$B$1009&amp;"",SERVER!$AB$3:$AB$1009,""),""))))</f>
        <v/>
      </c>
      <c r="R270" s="43" t="str">
        <f>IF(tbl_handover[[#This Row],[Asset Code]]="","",COUNTIF(tbl_handover[Asset Code],tbl_handover[[#This Row],[Asset Code]]))</f>
        <v/>
      </c>
    </row>
    <row r="271" spans="1:18" x14ac:dyDescent="0.25">
      <c r="A271" s="43" t="str">
        <f>IF(B271&lt;&gt;"",SUBTOTAL(3,$B$1:B270),"")</f>
        <v/>
      </c>
      <c r="C271" s="74"/>
      <c r="D271" s="74"/>
      <c r="G271" s="1"/>
      <c r="K271" s="42"/>
      <c r="L271" t="str" cm="1">
        <f t="array" ref="L271">IF($K271="","",_xlfn.SWITCH($I271,"Computer",_xlfn.XLOOKUP($K271&amp;"",COMPUTER!$B$3:$B$1009&amp;"",COMPUTER!$I$3:$I$1009,""),"Display",_xlfn.XLOOKUP($K271&amp;"",DISPLAY!$B$3:$B$1000&amp;"",DISPLAY!$J$3:$J$1000,""),"Network Device",_xlfn.XLOOKUP($K271&amp;"",'NETWORK-DEVICES'!$B$3:$B$987&amp;"",'NETWORK-DEVICES'!$I$3:$I$987,""),"Peripheral",_xlfn.XLOOKUP($K271&amp;"",PERIPHERAL!$B$3:$B$954&amp;"",PERIPHERAL!$I$3:$I$954,""),"Utilities",_xlfn.XLOOKUP($K271&amp;"",UTILITIES!$B$3:$B$953&amp;"",UTILITIES!$H$3:$H$953,""),"IOT",_xlfn.XLOOKUP($K271&amp;"",IOT!$B$3:$B$1012&amp;"",IOT!$I$3:$I$1012,""),"SERVER",_xlfn.XLOOKUP($K271&amp;"",SERVER!$B$3:$B$1009&amp;"",SERVER!$I$3:$I$1009,""),""))</f>
        <v/>
      </c>
      <c r="M271" t="str" cm="1">
        <f t="array" ref="M271">IF($K271="","",_xlfn.SWITCH($I271,"Computer",_xlfn.XLOOKUP($K271&amp;"",COMPUTER!$B$3:$B$1009&amp;"",COMPUTER!$J$3:$J$1009,""),"Display",_xlfn.XLOOKUP($K271&amp;"",DISPLAY!$B$3:$B$1000&amp;"",DISPLAY!$K$3:$K$1000,""),"Network Device",_xlfn.XLOOKUP($K271&amp;"",'NETWORK-DEVICES'!$B$3:$B$987&amp;"",'NETWORK-DEVICES'!$I$3:$I$987,""),"Peripheral",_xlfn.XLOOKUP($K271&amp;"",PERIPHERAL!$B$3:$B$954&amp;"",PERIPHERAL!$J$3:$J$954,""),"Utilities",_xlfn.XLOOKUP($K271&amp;"",UTILITIES!$B$3:$B$953&amp;"",UTILITIES!$I$3:$I$953,""),"IOT",_xlfn.XLOOKUP($K271&amp;"",IOT!$B$3:$B$1012&amp;"",IOT!$J$3:$J$1012,""),"Server",_xlfn.XLOOKUP($K271&amp;"",SERVER!$B$3:$B$1009&amp;"",SERVER!$J$3:$J$1009,""),""))</f>
        <v/>
      </c>
      <c r="N271" s="1" t="str" cm="1">
        <f t="array" ref="N271">IF(OR($K271="",$I271="",$J271=""),"",_xlfn.LET(_xlpm.srcCat,_xlfn.SWITCH($I271,"Computer",_xlfn.XLOOKUP($K271&amp;"",COMPUTER!$B$3:$B$1009&amp;"",COMPUTER!$H$3:$H$1009,""),"Display",_xlfn.XLOOKUP($K271&amp;"",DISPLAY!$B$3:$B$1000&amp;"",DISPLAY!$H$3:$H$1000,""),"Network Device",_xlfn.XLOOKUP($K271&amp;"",'NETWORK-DEVICES'!$B$3:$B$987&amp;"",'NETWORK-DEVICES'!$H$3:$H$987,""),"Peripheral",_xlfn.XLOOKUP($K271&amp;"",PERIPHERAL!$B$3:$B$954&amp;"",PERIPHERAL!$H$3:$H$954,""),"Utilities",_xlfn.XLOOKUP($K271&amp;"",UTILITIES!$B$3:$B$953&amp;"",UTILITIES!$G$3:$G$953,""),"IOT",_xlfn.XLOOKUP($K271&amp;"",IOT!$B$3:$B$1012&amp;"",IOT!$H$3:$H$1012,""),"Server",_xlfn.XLOOKUP($K271&amp;"",SERVER!$B$3:$B$1009&amp;"",SERVER!$H$3:$H$1009,""),""),IF(TRIM(_xlpm.srcCat)&lt;&gt;TRIM($J271),"",_xlfn.SWITCH($I271,"Computer",_xlfn.XLOOKUP($K271&amp;"",COMPUTER!$B$3:$B$1009&amp;"",COMPUTER!$K$3:$K$1009,""),"Display",_xlfn.XLOOKUP($K271&amp;"",DISPLAY!$B$3:$B$1000&amp;"",DISPLAY!$L$3:$L$1000,""),"Network Device",_xlfn.XLOOKUP($K271&amp;"",'NETWORK-DEVICES'!$B$3:$B$987&amp;"",'NETWORK-DEVICES'!$K$3:$K$987,""),"Peripheral",_xlfn.XLOOKUP($K271&amp;"",PERIPHERAL!$B$3:$B$954&amp;"",PERIPHERAL!$K$3:$K$954,""),"Utilities",_xlfn.XLOOKUP($K271&amp;"",UTILITIES!$B$3:$B$953&amp;"",UTILITIES!$J$3:$J$953,""),"IOT",_xlfn.XLOOKUP($K271&amp;"",IOT!$B$3:$B$1012&amp;"",IOT!$K$4:$K$1012,""),"Server",_xlfn.XLOOKUP($K271&amp;"",SERVER!$B$3:$B$1009&amp;"",SERVER!$K$3:$K$1009,""),""))))</f>
        <v/>
      </c>
      <c r="O271" s="1" t="str" cm="1">
        <f t="array" ref="O271">IF(OR($K271="",$I271="",$J271=""),"",_xlfn.LET(_xlpm.srcCat,_xlfn.SWITCH($I271,"Computer",_xlfn.XLOOKUP($K271&amp;"",COMPUTER!$B$3:$B$1009&amp;"",COMPUTER!$H$3:$H$1009,""),"Display",_xlfn.XLOOKUP($K271&amp;"",DISPLAY!$B$3:$B$1000&amp;"",DISPLAY!$H$3:$H$1000,""),"Network Device",_xlfn.XLOOKUP($K271&amp;"",'NETWORK-DEVICES'!$B$3:$B$987&amp;"",'NETWORK-DEVICES'!$H$3:$H$987,""),"Peripheral",_xlfn.XLOOKUP($K271&amp;"",PERIPHERAL!$B$3:$B$954&amp;"",PERIPHERAL!$H$3:$H$954,""),"Utilities",_xlfn.XLOOKUP($K271&amp;"",UTILITIES!$B$3:$B$953&amp;"",UTILITIES!$G$3:$G$953,""),"IOT",_xlfn.XLOOKUP($K271&amp;"",IOT!$B$3:$B$1012&amp;"",IOT!$H$3:$H$1012,""),"Server",_xlfn.XLOOKUP($K271&amp;"",SERVER!$B$3:$B$1009&amp;"",SERVER!$H$3:$H$1009,""),""),IF(TRIM(_xlpm.srcCat)&lt;&gt;TRIM($J271),"",_xlfn.SWITCH($I271,"Computer",_xlfn.XLOOKUP($K271&amp;"",COMPUTER!$B$3:$B$1009&amp;"",COMPUTER!$E$3:$E$1009,""),"Display",_xlfn.XLOOKUP($K271&amp;"",DISPLAY!$B$3:$B$1000&amp;"",DISPLAY!$E$3:$E$1000,""),"Network Device",_xlfn.XLOOKUP($K271&amp;"",'NETWORK-DEVICES'!$B$3:$B$987&amp;"",'NETWORK-DEVICES'!$E$3:$E$987,""),"Peripheral",_xlfn.XLOOKUP($K271&amp;"",PERIPHERAL!$B$3:$B$954&amp;"",PERIPHERAL!$E$3:$E$954,""),"Utilities",_xlfn.XLOOKUP($K271&amp;"",UTILITIES!$B$3:$B$953&amp;"",UTILITIES!$E$3:$E$953,""),"IOT",_xlfn.XLOOKUP($K271&amp;"",IOT!$B$3:$B$1012&amp;"",IOT!$E$3:$E$1012,""),"Server",_xlfn.XLOOKUP($K271&amp;"",SERVER!$B$3:$B$1009&amp;"",SERVER!$E$3:$E$1009,""),""))))</f>
        <v/>
      </c>
      <c r="Q271" s="1" t="str" cm="1">
        <f t="array" ref="Q271">IF(OR($K271="",$I271="",$J271=""),"",_xlfn.LET(_xlpm.srcCat,_xlfn.SWITCH($I271,"Computer",_xlfn.XLOOKUP($K271&amp;"",COMPUTER!$B$3:$B$1009&amp;"",COMPUTER!$H$3:$H$1009,""),"Display",_xlfn.XLOOKUP($K271&amp;"",DISPLAY!$B$3:$B$1000&amp;"",DISPLAY!$H$3:$H$1000,""),"Network Device",_xlfn.XLOOKUP($K271&amp;"",'NETWORK-DEVICES'!$B$3:$B$987&amp;"",'NETWORK-DEVICES'!$H$3:$H$987,""),"Peripheral",_xlfn.XLOOKUP($K271&amp;"",PERIPHERAL!$B$3:$B$954&amp;"",PERIPHERAL!$H$3:$H$954,""),"Utilities",_xlfn.XLOOKUP($K271&amp;"",UTILITIES!$B$3:$B$953&amp;"",UTILITIES!$G$3:$G$953,""),"IOT",_xlfn.XLOOKUP($K271&amp;"",IOT!$B$3:$B$1012&amp;"",IOT!$H$3:$H$1012,""),"Server",_xlfn.XLOOKUP($K271&amp;"",SERVER!$B$3:$B$1009&amp;"",SERVER!$H$3:$H$1009,""),""),IF(TRIM(_xlpm.srcCat)&lt;&gt;TRIM($J271),"",_xlfn.SWITCH($I271,"Computer",_xlfn.XLOOKUP($K271&amp;"",COMPUTER!$B$3:$B$1009&amp;"",COMPUTER!$AM$3:$AM$1009,""),"Display",_xlfn.XLOOKUP($K271&amp;"",DISPLAY!$B$3:$B$1000&amp;"",DISPLAY!$V$3:$V$1000,""),"Network Device",_xlfn.XLOOKUP($K271&amp;"",'NETWORK-DEVICES'!$B$3:$B$987&amp;"",'NETWORK-DEVICES'!$AF$3:$AF$987,""),"Peripheral",_xlfn.XLOOKUP($K271&amp;"",PERIPHERAL!$B$3:$B$954&amp;"",PERIPHERAL!$Y$3:$Y$954,""),"Utilities",_xlfn.XLOOKUP($K271&amp;"",UTILITIES!$B$3:$B$953&amp;"",UTILITIES!$O$3:$O$953,""),"IOT",_xlfn.XLOOKUP($K271&amp;"",IOT!$B$3:$B$1012&amp;"",IOT!$AB$3:$AB$1012,""),"Server",_xlfn.XLOOKUP($K271&amp;"",SERVER!$B$3:$B$1009&amp;"",SERVER!$AB$3:$AB$1009,""),""))))</f>
        <v/>
      </c>
      <c r="R271" s="43" t="str">
        <f>IF(tbl_handover[[#This Row],[Asset Code]]="","",COUNTIF(tbl_handover[Asset Code],tbl_handover[[#This Row],[Asset Code]]))</f>
        <v/>
      </c>
    </row>
    <row r="272" spans="1:18" x14ac:dyDescent="0.25">
      <c r="A272" s="43" t="str">
        <f>IF(B272&lt;&gt;"",SUBTOTAL(3,$B$1:B271),"")</f>
        <v/>
      </c>
      <c r="C272" s="74"/>
      <c r="D272" s="74"/>
      <c r="G272" s="1"/>
      <c r="K272" s="42"/>
      <c r="L272" t="str" cm="1">
        <f t="array" ref="L272">IF($K272="","",_xlfn.SWITCH($I272,"Computer",_xlfn.XLOOKUP($K272&amp;"",COMPUTER!$B$3:$B$1009&amp;"",COMPUTER!$I$3:$I$1009,""),"Display",_xlfn.XLOOKUP($K272&amp;"",DISPLAY!$B$3:$B$1000&amp;"",DISPLAY!$J$3:$J$1000,""),"Network Device",_xlfn.XLOOKUP($K272&amp;"",'NETWORK-DEVICES'!$B$3:$B$987&amp;"",'NETWORK-DEVICES'!$I$3:$I$987,""),"Peripheral",_xlfn.XLOOKUP($K272&amp;"",PERIPHERAL!$B$3:$B$954&amp;"",PERIPHERAL!$I$3:$I$954,""),"Utilities",_xlfn.XLOOKUP($K272&amp;"",UTILITIES!$B$3:$B$953&amp;"",UTILITIES!$H$3:$H$953,""),"IOT",_xlfn.XLOOKUP($K272&amp;"",IOT!$B$3:$B$1012&amp;"",IOT!$I$3:$I$1012,""),"SERVER",_xlfn.XLOOKUP($K272&amp;"",SERVER!$B$3:$B$1009&amp;"",SERVER!$I$3:$I$1009,""),""))</f>
        <v/>
      </c>
      <c r="M272" t="str" cm="1">
        <f t="array" ref="M272">IF($K272="","",_xlfn.SWITCH($I272,"Computer",_xlfn.XLOOKUP($K272&amp;"",COMPUTER!$B$3:$B$1009&amp;"",COMPUTER!$J$3:$J$1009,""),"Display",_xlfn.XLOOKUP($K272&amp;"",DISPLAY!$B$3:$B$1000&amp;"",DISPLAY!$K$3:$K$1000,""),"Network Device",_xlfn.XLOOKUP($K272&amp;"",'NETWORK-DEVICES'!$B$3:$B$987&amp;"",'NETWORK-DEVICES'!$I$3:$I$987,""),"Peripheral",_xlfn.XLOOKUP($K272&amp;"",PERIPHERAL!$B$3:$B$954&amp;"",PERIPHERAL!$J$3:$J$954,""),"Utilities",_xlfn.XLOOKUP($K272&amp;"",UTILITIES!$B$3:$B$953&amp;"",UTILITIES!$I$3:$I$953,""),"IOT",_xlfn.XLOOKUP($K272&amp;"",IOT!$B$3:$B$1012&amp;"",IOT!$J$3:$J$1012,""),"Server",_xlfn.XLOOKUP($K272&amp;"",SERVER!$B$3:$B$1009&amp;"",SERVER!$J$3:$J$1009,""),""))</f>
        <v/>
      </c>
      <c r="N272" s="1" t="str" cm="1">
        <f t="array" ref="N272">IF(OR($K272="",$I272="",$J272=""),"",_xlfn.LET(_xlpm.srcCat,_xlfn.SWITCH($I272,"Computer",_xlfn.XLOOKUP($K272&amp;"",COMPUTER!$B$3:$B$1009&amp;"",COMPUTER!$H$3:$H$1009,""),"Display",_xlfn.XLOOKUP($K272&amp;"",DISPLAY!$B$3:$B$1000&amp;"",DISPLAY!$H$3:$H$1000,""),"Network Device",_xlfn.XLOOKUP($K272&amp;"",'NETWORK-DEVICES'!$B$3:$B$987&amp;"",'NETWORK-DEVICES'!$H$3:$H$987,""),"Peripheral",_xlfn.XLOOKUP($K272&amp;"",PERIPHERAL!$B$3:$B$954&amp;"",PERIPHERAL!$H$3:$H$954,""),"Utilities",_xlfn.XLOOKUP($K272&amp;"",UTILITIES!$B$3:$B$953&amp;"",UTILITIES!$G$3:$G$953,""),"IOT",_xlfn.XLOOKUP($K272&amp;"",IOT!$B$3:$B$1012&amp;"",IOT!$H$3:$H$1012,""),"Server",_xlfn.XLOOKUP($K272&amp;"",SERVER!$B$3:$B$1009&amp;"",SERVER!$H$3:$H$1009,""),""),IF(TRIM(_xlpm.srcCat)&lt;&gt;TRIM($J272),"",_xlfn.SWITCH($I272,"Computer",_xlfn.XLOOKUP($K272&amp;"",COMPUTER!$B$3:$B$1009&amp;"",COMPUTER!$K$3:$K$1009,""),"Display",_xlfn.XLOOKUP($K272&amp;"",DISPLAY!$B$3:$B$1000&amp;"",DISPLAY!$L$3:$L$1000,""),"Network Device",_xlfn.XLOOKUP($K272&amp;"",'NETWORK-DEVICES'!$B$3:$B$987&amp;"",'NETWORK-DEVICES'!$K$3:$K$987,""),"Peripheral",_xlfn.XLOOKUP($K272&amp;"",PERIPHERAL!$B$3:$B$954&amp;"",PERIPHERAL!$K$3:$K$954,""),"Utilities",_xlfn.XLOOKUP($K272&amp;"",UTILITIES!$B$3:$B$953&amp;"",UTILITIES!$J$3:$J$953,""),"IOT",_xlfn.XLOOKUP($K272&amp;"",IOT!$B$3:$B$1012&amp;"",IOT!$K$4:$K$1012,""),"Server",_xlfn.XLOOKUP($K272&amp;"",SERVER!$B$3:$B$1009&amp;"",SERVER!$K$3:$K$1009,""),""))))</f>
        <v/>
      </c>
      <c r="O272" s="1" t="str" cm="1">
        <f t="array" ref="O272">IF(OR($K272="",$I272="",$J272=""),"",_xlfn.LET(_xlpm.srcCat,_xlfn.SWITCH($I272,"Computer",_xlfn.XLOOKUP($K272&amp;"",COMPUTER!$B$3:$B$1009&amp;"",COMPUTER!$H$3:$H$1009,""),"Display",_xlfn.XLOOKUP($K272&amp;"",DISPLAY!$B$3:$B$1000&amp;"",DISPLAY!$H$3:$H$1000,""),"Network Device",_xlfn.XLOOKUP($K272&amp;"",'NETWORK-DEVICES'!$B$3:$B$987&amp;"",'NETWORK-DEVICES'!$H$3:$H$987,""),"Peripheral",_xlfn.XLOOKUP($K272&amp;"",PERIPHERAL!$B$3:$B$954&amp;"",PERIPHERAL!$H$3:$H$954,""),"Utilities",_xlfn.XLOOKUP($K272&amp;"",UTILITIES!$B$3:$B$953&amp;"",UTILITIES!$G$3:$G$953,""),"IOT",_xlfn.XLOOKUP($K272&amp;"",IOT!$B$3:$B$1012&amp;"",IOT!$H$3:$H$1012,""),"Server",_xlfn.XLOOKUP($K272&amp;"",SERVER!$B$3:$B$1009&amp;"",SERVER!$H$3:$H$1009,""),""),IF(TRIM(_xlpm.srcCat)&lt;&gt;TRIM($J272),"",_xlfn.SWITCH($I272,"Computer",_xlfn.XLOOKUP($K272&amp;"",COMPUTER!$B$3:$B$1009&amp;"",COMPUTER!$E$3:$E$1009,""),"Display",_xlfn.XLOOKUP($K272&amp;"",DISPLAY!$B$3:$B$1000&amp;"",DISPLAY!$E$3:$E$1000,""),"Network Device",_xlfn.XLOOKUP($K272&amp;"",'NETWORK-DEVICES'!$B$3:$B$987&amp;"",'NETWORK-DEVICES'!$E$3:$E$987,""),"Peripheral",_xlfn.XLOOKUP($K272&amp;"",PERIPHERAL!$B$3:$B$954&amp;"",PERIPHERAL!$E$3:$E$954,""),"Utilities",_xlfn.XLOOKUP($K272&amp;"",UTILITIES!$B$3:$B$953&amp;"",UTILITIES!$E$3:$E$953,""),"IOT",_xlfn.XLOOKUP($K272&amp;"",IOT!$B$3:$B$1012&amp;"",IOT!$E$3:$E$1012,""),"Server",_xlfn.XLOOKUP($K272&amp;"",SERVER!$B$3:$B$1009&amp;"",SERVER!$E$3:$E$1009,""),""))))</f>
        <v/>
      </c>
      <c r="Q272" s="1" t="str" cm="1">
        <f t="array" ref="Q272">IF(OR($K272="",$I272="",$J272=""),"",_xlfn.LET(_xlpm.srcCat,_xlfn.SWITCH($I272,"Computer",_xlfn.XLOOKUP($K272&amp;"",COMPUTER!$B$3:$B$1009&amp;"",COMPUTER!$H$3:$H$1009,""),"Display",_xlfn.XLOOKUP($K272&amp;"",DISPLAY!$B$3:$B$1000&amp;"",DISPLAY!$H$3:$H$1000,""),"Network Device",_xlfn.XLOOKUP($K272&amp;"",'NETWORK-DEVICES'!$B$3:$B$987&amp;"",'NETWORK-DEVICES'!$H$3:$H$987,""),"Peripheral",_xlfn.XLOOKUP($K272&amp;"",PERIPHERAL!$B$3:$B$954&amp;"",PERIPHERAL!$H$3:$H$954,""),"Utilities",_xlfn.XLOOKUP($K272&amp;"",UTILITIES!$B$3:$B$953&amp;"",UTILITIES!$G$3:$G$953,""),"IOT",_xlfn.XLOOKUP($K272&amp;"",IOT!$B$3:$B$1012&amp;"",IOT!$H$3:$H$1012,""),"Server",_xlfn.XLOOKUP($K272&amp;"",SERVER!$B$3:$B$1009&amp;"",SERVER!$H$3:$H$1009,""),""),IF(TRIM(_xlpm.srcCat)&lt;&gt;TRIM($J272),"",_xlfn.SWITCH($I272,"Computer",_xlfn.XLOOKUP($K272&amp;"",COMPUTER!$B$3:$B$1009&amp;"",COMPUTER!$AM$3:$AM$1009,""),"Display",_xlfn.XLOOKUP($K272&amp;"",DISPLAY!$B$3:$B$1000&amp;"",DISPLAY!$V$3:$V$1000,""),"Network Device",_xlfn.XLOOKUP($K272&amp;"",'NETWORK-DEVICES'!$B$3:$B$987&amp;"",'NETWORK-DEVICES'!$AF$3:$AF$987,""),"Peripheral",_xlfn.XLOOKUP($K272&amp;"",PERIPHERAL!$B$3:$B$954&amp;"",PERIPHERAL!$Y$3:$Y$954,""),"Utilities",_xlfn.XLOOKUP($K272&amp;"",UTILITIES!$B$3:$B$953&amp;"",UTILITIES!$O$3:$O$953,""),"IOT",_xlfn.XLOOKUP($K272&amp;"",IOT!$B$3:$B$1012&amp;"",IOT!$AB$3:$AB$1012,""),"Server",_xlfn.XLOOKUP($K272&amp;"",SERVER!$B$3:$B$1009&amp;"",SERVER!$AB$3:$AB$1009,""),""))))</f>
        <v/>
      </c>
      <c r="R272" s="43" t="str">
        <f>IF(tbl_handover[[#This Row],[Asset Code]]="","",COUNTIF(tbl_handover[Asset Code],tbl_handover[[#This Row],[Asset Code]]))</f>
        <v/>
      </c>
    </row>
    <row r="273" spans="1:18" x14ac:dyDescent="0.25">
      <c r="A273" s="43" t="str">
        <f>IF(B273&lt;&gt;"",SUBTOTAL(3,$B$1:B272),"")</f>
        <v/>
      </c>
      <c r="C273" s="74"/>
      <c r="D273" s="74"/>
      <c r="G273" s="1"/>
      <c r="K273" s="42"/>
      <c r="L273" t="str" cm="1">
        <f t="array" ref="L273">IF($K273="","",_xlfn.SWITCH($I273,"Computer",_xlfn.XLOOKUP($K273&amp;"",COMPUTER!$B$3:$B$1009&amp;"",COMPUTER!$I$3:$I$1009,""),"Display",_xlfn.XLOOKUP($K273&amp;"",DISPLAY!$B$3:$B$1000&amp;"",DISPLAY!$J$3:$J$1000,""),"Network Device",_xlfn.XLOOKUP($K273&amp;"",'NETWORK-DEVICES'!$B$3:$B$987&amp;"",'NETWORK-DEVICES'!$I$3:$I$987,""),"Peripheral",_xlfn.XLOOKUP($K273&amp;"",PERIPHERAL!$B$3:$B$954&amp;"",PERIPHERAL!$I$3:$I$954,""),"Utilities",_xlfn.XLOOKUP($K273&amp;"",UTILITIES!$B$3:$B$953&amp;"",UTILITIES!$H$3:$H$953,""),"IOT",_xlfn.XLOOKUP($K273&amp;"",IOT!$B$3:$B$1012&amp;"",IOT!$I$3:$I$1012,""),"SERVER",_xlfn.XLOOKUP($K273&amp;"",SERVER!$B$3:$B$1009&amp;"",SERVER!$I$3:$I$1009,""),""))</f>
        <v/>
      </c>
      <c r="M273" t="str" cm="1">
        <f t="array" ref="M273">IF($K273="","",_xlfn.SWITCH($I273,"Computer",_xlfn.XLOOKUP($K273&amp;"",COMPUTER!$B$3:$B$1009&amp;"",COMPUTER!$J$3:$J$1009,""),"Display",_xlfn.XLOOKUP($K273&amp;"",DISPLAY!$B$3:$B$1000&amp;"",DISPLAY!$K$3:$K$1000,""),"Network Device",_xlfn.XLOOKUP($K273&amp;"",'NETWORK-DEVICES'!$B$3:$B$987&amp;"",'NETWORK-DEVICES'!$I$3:$I$987,""),"Peripheral",_xlfn.XLOOKUP($K273&amp;"",PERIPHERAL!$B$3:$B$954&amp;"",PERIPHERAL!$J$3:$J$954,""),"Utilities",_xlfn.XLOOKUP($K273&amp;"",UTILITIES!$B$3:$B$953&amp;"",UTILITIES!$I$3:$I$953,""),"IOT",_xlfn.XLOOKUP($K273&amp;"",IOT!$B$3:$B$1012&amp;"",IOT!$J$3:$J$1012,""),"Server",_xlfn.XLOOKUP($K273&amp;"",SERVER!$B$3:$B$1009&amp;"",SERVER!$J$3:$J$1009,""),""))</f>
        <v/>
      </c>
      <c r="N273" s="1" t="str" cm="1">
        <f t="array" ref="N273">IF(OR($K273="",$I273="",$J273=""),"",_xlfn.LET(_xlpm.srcCat,_xlfn.SWITCH($I273,"Computer",_xlfn.XLOOKUP($K273&amp;"",COMPUTER!$B$3:$B$1009&amp;"",COMPUTER!$H$3:$H$1009,""),"Display",_xlfn.XLOOKUP($K273&amp;"",DISPLAY!$B$3:$B$1000&amp;"",DISPLAY!$H$3:$H$1000,""),"Network Device",_xlfn.XLOOKUP($K273&amp;"",'NETWORK-DEVICES'!$B$3:$B$987&amp;"",'NETWORK-DEVICES'!$H$3:$H$987,""),"Peripheral",_xlfn.XLOOKUP($K273&amp;"",PERIPHERAL!$B$3:$B$954&amp;"",PERIPHERAL!$H$3:$H$954,""),"Utilities",_xlfn.XLOOKUP($K273&amp;"",UTILITIES!$B$3:$B$953&amp;"",UTILITIES!$G$3:$G$953,""),"IOT",_xlfn.XLOOKUP($K273&amp;"",IOT!$B$3:$B$1012&amp;"",IOT!$H$3:$H$1012,""),"Server",_xlfn.XLOOKUP($K273&amp;"",SERVER!$B$3:$B$1009&amp;"",SERVER!$H$3:$H$1009,""),""),IF(TRIM(_xlpm.srcCat)&lt;&gt;TRIM($J273),"",_xlfn.SWITCH($I273,"Computer",_xlfn.XLOOKUP($K273&amp;"",COMPUTER!$B$3:$B$1009&amp;"",COMPUTER!$K$3:$K$1009,""),"Display",_xlfn.XLOOKUP($K273&amp;"",DISPLAY!$B$3:$B$1000&amp;"",DISPLAY!$L$3:$L$1000,""),"Network Device",_xlfn.XLOOKUP($K273&amp;"",'NETWORK-DEVICES'!$B$3:$B$987&amp;"",'NETWORK-DEVICES'!$K$3:$K$987,""),"Peripheral",_xlfn.XLOOKUP($K273&amp;"",PERIPHERAL!$B$3:$B$954&amp;"",PERIPHERAL!$K$3:$K$954,""),"Utilities",_xlfn.XLOOKUP($K273&amp;"",UTILITIES!$B$3:$B$953&amp;"",UTILITIES!$J$3:$J$953,""),"IOT",_xlfn.XLOOKUP($K273&amp;"",IOT!$B$3:$B$1012&amp;"",IOT!$K$4:$K$1012,""),"Server",_xlfn.XLOOKUP($K273&amp;"",SERVER!$B$3:$B$1009&amp;"",SERVER!$K$3:$K$1009,""),""))))</f>
        <v/>
      </c>
      <c r="O273" s="1" t="str" cm="1">
        <f t="array" ref="O273">IF(OR($K273="",$I273="",$J273=""),"",_xlfn.LET(_xlpm.srcCat,_xlfn.SWITCH($I273,"Computer",_xlfn.XLOOKUP($K273&amp;"",COMPUTER!$B$3:$B$1009&amp;"",COMPUTER!$H$3:$H$1009,""),"Display",_xlfn.XLOOKUP($K273&amp;"",DISPLAY!$B$3:$B$1000&amp;"",DISPLAY!$H$3:$H$1000,""),"Network Device",_xlfn.XLOOKUP($K273&amp;"",'NETWORK-DEVICES'!$B$3:$B$987&amp;"",'NETWORK-DEVICES'!$H$3:$H$987,""),"Peripheral",_xlfn.XLOOKUP($K273&amp;"",PERIPHERAL!$B$3:$B$954&amp;"",PERIPHERAL!$H$3:$H$954,""),"Utilities",_xlfn.XLOOKUP($K273&amp;"",UTILITIES!$B$3:$B$953&amp;"",UTILITIES!$G$3:$G$953,""),"IOT",_xlfn.XLOOKUP($K273&amp;"",IOT!$B$3:$B$1012&amp;"",IOT!$H$3:$H$1012,""),"Server",_xlfn.XLOOKUP($K273&amp;"",SERVER!$B$3:$B$1009&amp;"",SERVER!$H$3:$H$1009,""),""),IF(TRIM(_xlpm.srcCat)&lt;&gt;TRIM($J273),"",_xlfn.SWITCH($I273,"Computer",_xlfn.XLOOKUP($K273&amp;"",COMPUTER!$B$3:$B$1009&amp;"",COMPUTER!$E$3:$E$1009,""),"Display",_xlfn.XLOOKUP($K273&amp;"",DISPLAY!$B$3:$B$1000&amp;"",DISPLAY!$E$3:$E$1000,""),"Network Device",_xlfn.XLOOKUP($K273&amp;"",'NETWORK-DEVICES'!$B$3:$B$987&amp;"",'NETWORK-DEVICES'!$E$3:$E$987,""),"Peripheral",_xlfn.XLOOKUP($K273&amp;"",PERIPHERAL!$B$3:$B$954&amp;"",PERIPHERAL!$E$3:$E$954,""),"Utilities",_xlfn.XLOOKUP($K273&amp;"",UTILITIES!$B$3:$B$953&amp;"",UTILITIES!$E$3:$E$953,""),"IOT",_xlfn.XLOOKUP($K273&amp;"",IOT!$B$3:$B$1012&amp;"",IOT!$E$3:$E$1012,""),"Server",_xlfn.XLOOKUP($K273&amp;"",SERVER!$B$3:$B$1009&amp;"",SERVER!$E$3:$E$1009,""),""))))</f>
        <v/>
      </c>
      <c r="Q273" s="1" t="str" cm="1">
        <f t="array" ref="Q273">IF(OR($K273="",$I273="",$J273=""),"",_xlfn.LET(_xlpm.srcCat,_xlfn.SWITCH($I273,"Computer",_xlfn.XLOOKUP($K273&amp;"",COMPUTER!$B$3:$B$1009&amp;"",COMPUTER!$H$3:$H$1009,""),"Display",_xlfn.XLOOKUP($K273&amp;"",DISPLAY!$B$3:$B$1000&amp;"",DISPLAY!$H$3:$H$1000,""),"Network Device",_xlfn.XLOOKUP($K273&amp;"",'NETWORK-DEVICES'!$B$3:$B$987&amp;"",'NETWORK-DEVICES'!$H$3:$H$987,""),"Peripheral",_xlfn.XLOOKUP($K273&amp;"",PERIPHERAL!$B$3:$B$954&amp;"",PERIPHERAL!$H$3:$H$954,""),"Utilities",_xlfn.XLOOKUP($K273&amp;"",UTILITIES!$B$3:$B$953&amp;"",UTILITIES!$G$3:$G$953,""),"IOT",_xlfn.XLOOKUP($K273&amp;"",IOT!$B$3:$B$1012&amp;"",IOT!$H$3:$H$1012,""),"Server",_xlfn.XLOOKUP($K273&amp;"",SERVER!$B$3:$B$1009&amp;"",SERVER!$H$3:$H$1009,""),""),IF(TRIM(_xlpm.srcCat)&lt;&gt;TRIM($J273),"",_xlfn.SWITCH($I273,"Computer",_xlfn.XLOOKUP($K273&amp;"",COMPUTER!$B$3:$B$1009&amp;"",COMPUTER!$AM$3:$AM$1009,""),"Display",_xlfn.XLOOKUP($K273&amp;"",DISPLAY!$B$3:$B$1000&amp;"",DISPLAY!$V$3:$V$1000,""),"Network Device",_xlfn.XLOOKUP($K273&amp;"",'NETWORK-DEVICES'!$B$3:$B$987&amp;"",'NETWORK-DEVICES'!$AF$3:$AF$987,""),"Peripheral",_xlfn.XLOOKUP($K273&amp;"",PERIPHERAL!$B$3:$B$954&amp;"",PERIPHERAL!$Y$3:$Y$954,""),"Utilities",_xlfn.XLOOKUP($K273&amp;"",UTILITIES!$B$3:$B$953&amp;"",UTILITIES!$O$3:$O$953,""),"IOT",_xlfn.XLOOKUP($K273&amp;"",IOT!$B$3:$B$1012&amp;"",IOT!$AB$3:$AB$1012,""),"Server",_xlfn.XLOOKUP($K273&amp;"",SERVER!$B$3:$B$1009&amp;"",SERVER!$AB$3:$AB$1009,""),""))))</f>
        <v/>
      </c>
      <c r="R273" s="43" t="str">
        <f>IF(tbl_handover[[#This Row],[Asset Code]]="","",COUNTIF(tbl_handover[Asset Code],tbl_handover[[#This Row],[Asset Code]]))</f>
        <v/>
      </c>
    </row>
    <row r="274" spans="1:18" x14ac:dyDescent="0.25">
      <c r="A274" s="43" t="str">
        <f>IF(B274&lt;&gt;"",SUBTOTAL(3,$B$1:B273),"")</f>
        <v/>
      </c>
      <c r="C274" s="74"/>
      <c r="D274" s="74"/>
      <c r="G274" s="1"/>
      <c r="K274" s="42"/>
      <c r="L274" t="str" cm="1">
        <f t="array" ref="L274">IF($K274="","",_xlfn.SWITCH($I274,"Computer",_xlfn.XLOOKUP($K274&amp;"",COMPUTER!$B$3:$B$1009&amp;"",COMPUTER!$I$3:$I$1009,""),"Display",_xlfn.XLOOKUP($K274&amp;"",DISPLAY!$B$3:$B$1000&amp;"",DISPLAY!$J$3:$J$1000,""),"Network Device",_xlfn.XLOOKUP($K274&amp;"",'NETWORK-DEVICES'!$B$3:$B$987&amp;"",'NETWORK-DEVICES'!$I$3:$I$987,""),"Peripheral",_xlfn.XLOOKUP($K274&amp;"",PERIPHERAL!$B$3:$B$954&amp;"",PERIPHERAL!$I$3:$I$954,""),"Utilities",_xlfn.XLOOKUP($K274&amp;"",UTILITIES!$B$3:$B$953&amp;"",UTILITIES!$H$3:$H$953,""),"IOT",_xlfn.XLOOKUP($K274&amp;"",IOT!$B$3:$B$1012&amp;"",IOT!$I$3:$I$1012,""),"SERVER",_xlfn.XLOOKUP($K274&amp;"",SERVER!$B$3:$B$1009&amp;"",SERVER!$I$3:$I$1009,""),""))</f>
        <v/>
      </c>
      <c r="M274" t="str" cm="1">
        <f t="array" ref="M274">IF($K274="","",_xlfn.SWITCH($I274,"Computer",_xlfn.XLOOKUP($K274&amp;"",COMPUTER!$B$3:$B$1009&amp;"",COMPUTER!$J$3:$J$1009,""),"Display",_xlfn.XLOOKUP($K274&amp;"",DISPLAY!$B$3:$B$1000&amp;"",DISPLAY!$K$3:$K$1000,""),"Network Device",_xlfn.XLOOKUP($K274&amp;"",'NETWORK-DEVICES'!$B$3:$B$987&amp;"",'NETWORK-DEVICES'!$I$3:$I$987,""),"Peripheral",_xlfn.XLOOKUP($K274&amp;"",PERIPHERAL!$B$3:$B$954&amp;"",PERIPHERAL!$J$3:$J$954,""),"Utilities",_xlfn.XLOOKUP($K274&amp;"",UTILITIES!$B$3:$B$953&amp;"",UTILITIES!$I$3:$I$953,""),"IOT",_xlfn.XLOOKUP($K274&amp;"",IOT!$B$3:$B$1012&amp;"",IOT!$J$3:$J$1012,""),"Server",_xlfn.XLOOKUP($K274&amp;"",SERVER!$B$3:$B$1009&amp;"",SERVER!$J$3:$J$1009,""),""))</f>
        <v/>
      </c>
      <c r="N274" s="1" t="str" cm="1">
        <f t="array" ref="N274">IF(OR($K274="",$I274="",$J274=""),"",_xlfn.LET(_xlpm.srcCat,_xlfn.SWITCH($I274,"Computer",_xlfn.XLOOKUP($K274&amp;"",COMPUTER!$B$3:$B$1009&amp;"",COMPUTER!$H$3:$H$1009,""),"Display",_xlfn.XLOOKUP($K274&amp;"",DISPLAY!$B$3:$B$1000&amp;"",DISPLAY!$H$3:$H$1000,""),"Network Device",_xlfn.XLOOKUP($K274&amp;"",'NETWORK-DEVICES'!$B$3:$B$987&amp;"",'NETWORK-DEVICES'!$H$3:$H$987,""),"Peripheral",_xlfn.XLOOKUP($K274&amp;"",PERIPHERAL!$B$3:$B$954&amp;"",PERIPHERAL!$H$3:$H$954,""),"Utilities",_xlfn.XLOOKUP($K274&amp;"",UTILITIES!$B$3:$B$953&amp;"",UTILITIES!$G$3:$G$953,""),"IOT",_xlfn.XLOOKUP($K274&amp;"",IOT!$B$3:$B$1012&amp;"",IOT!$H$3:$H$1012,""),"Server",_xlfn.XLOOKUP($K274&amp;"",SERVER!$B$3:$B$1009&amp;"",SERVER!$H$3:$H$1009,""),""),IF(TRIM(_xlpm.srcCat)&lt;&gt;TRIM($J274),"",_xlfn.SWITCH($I274,"Computer",_xlfn.XLOOKUP($K274&amp;"",COMPUTER!$B$3:$B$1009&amp;"",COMPUTER!$K$3:$K$1009,""),"Display",_xlfn.XLOOKUP($K274&amp;"",DISPLAY!$B$3:$B$1000&amp;"",DISPLAY!$L$3:$L$1000,""),"Network Device",_xlfn.XLOOKUP($K274&amp;"",'NETWORK-DEVICES'!$B$3:$B$987&amp;"",'NETWORK-DEVICES'!$K$3:$K$987,""),"Peripheral",_xlfn.XLOOKUP($K274&amp;"",PERIPHERAL!$B$3:$B$954&amp;"",PERIPHERAL!$K$3:$K$954,""),"Utilities",_xlfn.XLOOKUP($K274&amp;"",UTILITIES!$B$3:$B$953&amp;"",UTILITIES!$J$3:$J$953,""),"IOT",_xlfn.XLOOKUP($K274&amp;"",IOT!$B$3:$B$1012&amp;"",IOT!$K$4:$K$1012,""),"Server",_xlfn.XLOOKUP($K274&amp;"",SERVER!$B$3:$B$1009&amp;"",SERVER!$K$3:$K$1009,""),""))))</f>
        <v/>
      </c>
      <c r="O274" s="1" t="str" cm="1">
        <f t="array" ref="O274">IF(OR($K274="",$I274="",$J274=""),"",_xlfn.LET(_xlpm.srcCat,_xlfn.SWITCH($I274,"Computer",_xlfn.XLOOKUP($K274&amp;"",COMPUTER!$B$3:$B$1009&amp;"",COMPUTER!$H$3:$H$1009,""),"Display",_xlfn.XLOOKUP($K274&amp;"",DISPLAY!$B$3:$B$1000&amp;"",DISPLAY!$H$3:$H$1000,""),"Network Device",_xlfn.XLOOKUP($K274&amp;"",'NETWORK-DEVICES'!$B$3:$B$987&amp;"",'NETWORK-DEVICES'!$H$3:$H$987,""),"Peripheral",_xlfn.XLOOKUP($K274&amp;"",PERIPHERAL!$B$3:$B$954&amp;"",PERIPHERAL!$H$3:$H$954,""),"Utilities",_xlfn.XLOOKUP($K274&amp;"",UTILITIES!$B$3:$B$953&amp;"",UTILITIES!$G$3:$G$953,""),"IOT",_xlfn.XLOOKUP($K274&amp;"",IOT!$B$3:$B$1012&amp;"",IOT!$H$3:$H$1012,""),"Server",_xlfn.XLOOKUP($K274&amp;"",SERVER!$B$3:$B$1009&amp;"",SERVER!$H$3:$H$1009,""),""),IF(TRIM(_xlpm.srcCat)&lt;&gt;TRIM($J274),"",_xlfn.SWITCH($I274,"Computer",_xlfn.XLOOKUP($K274&amp;"",COMPUTER!$B$3:$B$1009&amp;"",COMPUTER!$E$3:$E$1009,""),"Display",_xlfn.XLOOKUP($K274&amp;"",DISPLAY!$B$3:$B$1000&amp;"",DISPLAY!$E$3:$E$1000,""),"Network Device",_xlfn.XLOOKUP($K274&amp;"",'NETWORK-DEVICES'!$B$3:$B$987&amp;"",'NETWORK-DEVICES'!$E$3:$E$987,""),"Peripheral",_xlfn.XLOOKUP($K274&amp;"",PERIPHERAL!$B$3:$B$954&amp;"",PERIPHERAL!$E$3:$E$954,""),"Utilities",_xlfn.XLOOKUP($K274&amp;"",UTILITIES!$B$3:$B$953&amp;"",UTILITIES!$E$3:$E$953,""),"IOT",_xlfn.XLOOKUP($K274&amp;"",IOT!$B$3:$B$1012&amp;"",IOT!$E$3:$E$1012,""),"Server",_xlfn.XLOOKUP($K274&amp;"",SERVER!$B$3:$B$1009&amp;"",SERVER!$E$3:$E$1009,""),""))))</f>
        <v/>
      </c>
      <c r="Q274" s="1" t="str" cm="1">
        <f t="array" ref="Q274">IF(OR($K274="",$I274="",$J274=""),"",_xlfn.LET(_xlpm.srcCat,_xlfn.SWITCH($I274,"Computer",_xlfn.XLOOKUP($K274&amp;"",COMPUTER!$B$3:$B$1009&amp;"",COMPUTER!$H$3:$H$1009,""),"Display",_xlfn.XLOOKUP($K274&amp;"",DISPLAY!$B$3:$B$1000&amp;"",DISPLAY!$H$3:$H$1000,""),"Network Device",_xlfn.XLOOKUP($K274&amp;"",'NETWORK-DEVICES'!$B$3:$B$987&amp;"",'NETWORK-DEVICES'!$H$3:$H$987,""),"Peripheral",_xlfn.XLOOKUP($K274&amp;"",PERIPHERAL!$B$3:$B$954&amp;"",PERIPHERAL!$H$3:$H$954,""),"Utilities",_xlfn.XLOOKUP($K274&amp;"",UTILITIES!$B$3:$B$953&amp;"",UTILITIES!$G$3:$G$953,""),"IOT",_xlfn.XLOOKUP($K274&amp;"",IOT!$B$3:$B$1012&amp;"",IOT!$H$3:$H$1012,""),"Server",_xlfn.XLOOKUP($K274&amp;"",SERVER!$B$3:$B$1009&amp;"",SERVER!$H$3:$H$1009,""),""),IF(TRIM(_xlpm.srcCat)&lt;&gt;TRIM($J274),"",_xlfn.SWITCH($I274,"Computer",_xlfn.XLOOKUP($K274&amp;"",COMPUTER!$B$3:$B$1009&amp;"",COMPUTER!$AM$3:$AM$1009,""),"Display",_xlfn.XLOOKUP($K274&amp;"",DISPLAY!$B$3:$B$1000&amp;"",DISPLAY!$V$3:$V$1000,""),"Network Device",_xlfn.XLOOKUP($K274&amp;"",'NETWORK-DEVICES'!$B$3:$B$987&amp;"",'NETWORK-DEVICES'!$AF$3:$AF$987,""),"Peripheral",_xlfn.XLOOKUP($K274&amp;"",PERIPHERAL!$B$3:$B$954&amp;"",PERIPHERAL!$Y$3:$Y$954,""),"Utilities",_xlfn.XLOOKUP($K274&amp;"",UTILITIES!$B$3:$B$953&amp;"",UTILITIES!$O$3:$O$953,""),"IOT",_xlfn.XLOOKUP($K274&amp;"",IOT!$B$3:$B$1012&amp;"",IOT!$AB$3:$AB$1012,""),"Server",_xlfn.XLOOKUP($K274&amp;"",SERVER!$B$3:$B$1009&amp;"",SERVER!$AB$3:$AB$1009,""),""))))</f>
        <v/>
      </c>
      <c r="R274" s="43" t="str">
        <f>IF(tbl_handover[[#This Row],[Asset Code]]="","",COUNTIF(tbl_handover[Asset Code],tbl_handover[[#This Row],[Asset Code]]))</f>
        <v/>
      </c>
    </row>
    <row r="275" spans="1:18" x14ac:dyDescent="0.25">
      <c r="A275" s="43" t="str">
        <f>IF(B275&lt;&gt;"",SUBTOTAL(3,$B$1:B274),"")</f>
        <v/>
      </c>
      <c r="C275" s="74"/>
      <c r="D275" s="74"/>
      <c r="G275" s="1"/>
      <c r="K275" s="42"/>
      <c r="L275" t="str" cm="1">
        <f t="array" ref="L275">IF($K275="","",_xlfn.SWITCH($I275,"Computer",_xlfn.XLOOKUP($K275&amp;"",COMPUTER!$B$3:$B$1009&amp;"",COMPUTER!$I$3:$I$1009,""),"Display",_xlfn.XLOOKUP($K275&amp;"",DISPLAY!$B$3:$B$1000&amp;"",DISPLAY!$J$3:$J$1000,""),"Network Device",_xlfn.XLOOKUP($K275&amp;"",'NETWORK-DEVICES'!$B$3:$B$987&amp;"",'NETWORK-DEVICES'!$I$3:$I$987,""),"Peripheral",_xlfn.XLOOKUP($K275&amp;"",PERIPHERAL!$B$3:$B$954&amp;"",PERIPHERAL!$I$3:$I$954,""),"Utilities",_xlfn.XLOOKUP($K275&amp;"",UTILITIES!$B$3:$B$953&amp;"",UTILITIES!$H$3:$H$953,""),"IOT",_xlfn.XLOOKUP($K275&amp;"",IOT!$B$3:$B$1012&amp;"",IOT!$I$3:$I$1012,""),"SERVER",_xlfn.XLOOKUP($K275&amp;"",SERVER!$B$3:$B$1009&amp;"",SERVER!$I$3:$I$1009,""),""))</f>
        <v/>
      </c>
      <c r="M275" t="str" cm="1">
        <f t="array" ref="M275">IF($K275="","",_xlfn.SWITCH($I275,"Computer",_xlfn.XLOOKUP($K275&amp;"",COMPUTER!$B$3:$B$1009&amp;"",COMPUTER!$J$3:$J$1009,""),"Display",_xlfn.XLOOKUP($K275&amp;"",DISPLAY!$B$3:$B$1000&amp;"",DISPLAY!$K$3:$K$1000,""),"Network Device",_xlfn.XLOOKUP($K275&amp;"",'NETWORK-DEVICES'!$B$3:$B$987&amp;"",'NETWORK-DEVICES'!$I$3:$I$987,""),"Peripheral",_xlfn.XLOOKUP($K275&amp;"",PERIPHERAL!$B$3:$B$954&amp;"",PERIPHERAL!$J$3:$J$954,""),"Utilities",_xlfn.XLOOKUP($K275&amp;"",UTILITIES!$B$3:$B$953&amp;"",UTILITIES!$I$3:$I$953,""),"IOT",_xlfn.XLOOKUP($K275&amp;"",IOT!$B$3:$B$1012&amp;"",IOT!$J$3:$J$1012,""),"Server",_xlfn.XLOOKUP($K275&amp;"",SERVER!$B$3:$B$1009&amp;"",SERVER!$J$3:$J$1009,""),""))</f>
        <v/>
      </c>
      <c r="N275" s="1" t="str" cm="1">
        <f t="array" ref="N275">IF(OR($K275="",$I275="",$J275=""),"",_xlfn.LET(_xlpm.srcCat,_xlfn.SWITCH($I275,"Computer",_xlfn.XLOOKUP($K275&amp;"",COMPUTER!$B$3:$B$1009&amp;"",COMPUTER!$H$3:$H$1009,""),"Display",_xlfn.XLOOKUP($K275&amp;"",DISPLAY!$B$3:$B$1000&amp;"",DISPLAY!$H$3:$H$1000,""),"Network Device",_xlfn.XLOOKUP($K275&amp;"",'NETWORK-DEVICES'!$B$3:$B$987&amp;"",'NETWORK-DEVICES'!$H$3:$H$987,""),"Peripheral",_xlfn.XLOOKUP($K275&amp;"",PERIPHERAL!$B$3:$B$954&amp;"",PERIPHERAL!$H$3:$H$954,""),"Utilities",_xlfn.XLOOKUP($K275&amp;"",UTILITIES!$B$3:$B$953&amp;"",UTILITIES!$G$3:$G$953,""),"IOT",_xlfn.XLOOKUP($K275&amp;"",IOT!$B$3:$B$1012&amp;"",IOT!$H$3:$H$1012,""),"Server",_xlfn.XLOOKUP($K275&amp;"",SERVER!$B$3:$B$1009&amp;"",SERVER!$H$3:$H$1009,""),""),IF(TRIM(_xlpm.srcCat)&lt;&gt;TRIM($J275),"",_xlfn.SWITCH($I275,"Computer",_xlfn.XLOOKUP($K275&amp;"",COMPUTER!$B$3:$B$1009&amp;"",COMPUTER!$K$3:$K$1009,""),"Display",_xlfn.XLOOKUP($K275&amp;"",DISPLAY!$B$3:$B$1000&amp;"",DISPLAY!$L$3:$L$1000,""),"Network Device",_xlfn.XLOOKUP($K275&amp;"",'NETWORK-DEVICES'!$B$3:$B$987&amp;"",'NETWORK-DEVICES'!$K$3:$K$987,""),"Peripheral",_xlfn.XLOOKUP($K275&amp;"",PERIPHERAL!$B$3:$B$954&amp;"",PERIPHERAL!$K$3:$K$954,""),"Utilities",_xlfn.XLOOKUP($K275&amp;"",UTILITIES!$B$3:$B$953&amp;"",UTILITIES!$J$3:$J$953,""),"IOT",_xlfn.XLOOKUP($K275&amp;"",IOT!$B$3:$B$1012&amp;"",IOT!$K$4:$K$1012,""),"Server",_xlfn.XLOOKUP($K275&amp;"",SERVER!$B$3:$B$1009&amp;"",SERVER!$K$3:$K$1009,""),""))))</f>
        <v/>
      </c>
      <c r="O275" s="1" t="str" cm="1">
        <f t="array" ref="O275">IF(OR($K275="",$I275="",$J275=""),"",_xlfn.LET(_xlpm.srcCat,_xlfn.SWITCH($I275,"Computer",_xlfn.XLOOKUP($K275&amp;"",COMPUTER!$B$3:$B$1009&amp;"",COMPUTER!$H$3:$H$1009,""),"Display",_xlfn.XLOOKUP($K275&amp;"",DISPLAY!$B$3:$B$1000&amp;"",DISPLAY!$H$3:$H$1000,""),"Network Device",_xlfn.XLOOKUP($K275&amp;"",'NETWORK-DEVICES'!$B$3:$B$987&amp;"",'NETWORK-DEVICES'!$H$3:$H$987,""),"Peripheral",_xlfn.XLOOKUP($K275&amp;"",PERIPHERAL!$B$3:$B$954&amp;"",PERIPHERAL!$H$3:$H$954,""),"Utilities",_xlfn.XLOOKUP($K275&amp;"",UTILITIES!$B$3:$B$953&amp;"",UTILITIES!$G$3:$G$953,""),"IOT",_xlfn.XLOOKUP($K275&amp;"",IOT!$B$3:$B$1012&amp;"",IOT!$H$3:$H$1012,""),"Server",_xlfn.XLOOKUP($K275&amp;"",SERVER!$B$3:$B$1009&amp;"",SERVER!$H$3:$H$1009,""),""),IF(TRIM(_xlpm.srcCat)&lt;&gt;TRIM($J275),"",_xlfn.SWITCH($I275,"Computer",_xlfn.XLOOKUP($K275&amp;"",COMPUTER!$B$3:$B$1009&amp;"",COMPUTER!$E$3:$E$1009,""),"Display",_xlfn.XLOOKUP($K275&amp;"",DISPLAY!$B$3:$B$1000&amp;"",DISPLAY!$E$3:$E$1000,""),"Network Device",_xlfn.XLOOKUP($K275&amp;"",'NETWORK-DEVICES'!$B$3:$B$987&amp;"",'NETWORK-DEVICES'!$E$3:$E$987,""),"Peripheral",_xlfn.XLOOKUP($K275&amp;"",PERIPHERAL!$B$3:$B$954&amp;"",PERIPHERAL!$E$3:$E$954,""),"Utilities",_xlfn.XLOOKUP($K275&amp;"",UTILITIES!$B$3:$B$953&amp;"",UTILITIES!$E$3:$E$953,""),"IOT",_xlfn.XLOOKUP($K275&amp;"",IOT!$B$3:$B$1012&amp;"",IOT!$E$3:$E$1012,""),"Server",_xlfn.XLOOKUP($K275&amp;"",SERVER!$B$3:$B$1009&amp;"",SERVER!$E$3:$E$1009,""),""))))</f>
        <v/>
      </c>
      <c r="Q275" s="1" t="str" cm="1">
        <f t="array" ref="Q275">IF(OR($K275="",$I275="",$J275=""),"",_xlfn.LET(_xlpm.srcCat,_xlfn.SWITCH($I275,"Computer",_xlfn.XLOOKUP($K275&amp;"",COMPUTER!$B$3:$B$1009&amp;"",COMPUTER!$H$3:$H$1009,""),"Display",_xlfn.XLOOKUP($K275&amp;"",DISPLAY!$B$3:$B$1000&amp;"",DISPLAY!$H$3:$H$1000,""),"Network Device",_xlfn.XLOOKUP($K275&amp;"",'NETWORK-DEVICES'!$B$3:$B$987&amp;"",'NETWORK-DEVICES'!$H$3:$H$987,""),"Peripheral",_xlfn.XLOOKUP($K275&amp;"",PERIPHERAL!$B$3:$B$954&amp;"",PERIPHERAL!$H$3:$H$954,""),"Utilities",_xlfn.XLOOKUP($K275&amp;"",UTILITIES!$B$3:$B$953&amp;"",UTILITIES!$G$3:$G$953,""),"IOT",_xlfn.XLOOKUP($K275&amp;"",IOT!$B$3:$B$1012&amp;"",IOT!$H$3:$H$1012,""),"Server",_xlfn.XLOOKUP($K275&amp;"",SERVER!$B$3:$B$1009&amp;"",SERVER!$H$3:$H$1009,""),""),IF(TRIM(_xlpm.srcCat)&lt;&gt;TRIM($J275),"",_xlfn.SWITCH($I275,"Computer",_xlfn.XLOOKUP($K275&amp;"",COMPUTER!$B$3:$B$1009&amp;"",COMPUTER!$AM$3:$AM$1009,""),"Display",_xlfn.XLOOKUP($K275&amp;"",DISPLAY!$B$3:$B$1000&amp;"",DISPLAY!$V$3:$V$1000,""),"Network Device",_xlfn.XLOOKUP($K275&amp;"",'NETWORK-DEVICES'!$B$3:$B$987&amp;"",'NETWORK-DEVICES'!$AF$3:$AF$987,""),"Peripheral",_xlfn.XLOOKUP($K275&amp;"",PERIPHERAL!$B$3:$B$954&amp;"",PERIPHERAL!$Y$3:$Y$954,""),"Utilities",_xlfn.XLOOKUP($K275&amp;"",UTILITIES!$B$3:$B$953&amp;"",UTILITIES!$O$3:$O$953,""),"IOT",_xlfn.XLOOKUP($K275&amp;"",IOT!$B$3:$B$1012&amp;"",IOT!$AB$3:$AB$1012,""),"Server",_xlfn.XLOOKUP($K275&amp;"",SERVER!$B$3:$B$1009&amp;"",SERVER!$AB$3:$AB$1009,""),""))))</f>
        <v/>
      </c>
      <c r="R275" s="43" t="str">
        <f>IF(tbl_handover[[#This Row],[Asset Code]]="","",COUNTIF(tbl_handover[Asset Code],tbl_handover[[#This Row],[Asset Code]]))</f>
        <v/>
      </c>
    </row>
    <row r="276" spans="1:18" x14ac:dyDescent="0.25">
      <c r="A276" s="43" t="str">
        <f>IF(B276&lt;&gt;"",SUBTOTAL(3,$B$1:B275),"")</f>
        <v/>
      </c>
      <c r="C276" s="74"/>
      <c r="D276" s="74"/>
      <c r="G276" s="1"/>
      <c r="K276" s="42"/>
      <c r="L276" t="str" cm="1">
        <f t="array" ref="L276">IF($K276="","",_xlfn.SWITCH($I276,"Computer",_xlfn.XLOOKUP($K276&amp;"",COMPUTER!$B$3:$B$1009&amp;"",COMPUTER!$I$3:$I$1009,""),"Display",_xlfn.XLOOKUP($K276&amp;"",DISPLAY!$B$3:$B$1000&amp;"",DISPLAY!$J$3:$J$1000,""),"Network Device",_xlfn.XLOOKUP($K276&amp;"",'NETWORK-DEVICES'!$B$3:$B$987&amp;"",'NETWORK-DEVICES'!$I$3:$I$987,""),"Peripheral",_xlfn.XLOOKUP($K276&amp;"",PERIPHERAL!$B$3:$B$954&amp;"",PERIPHERAL!$I$3:$I$954,""),"Utilities",_xlfn.XLOOKUP($K276&amp;"",UTILITIES!$B$3:$B$953&amp;"",UTILITIES!$H$3:$H$953,""),"IOT",_xlfn.XLOOKUP($K276&amp;"",IOT!$B$3:$B$1012&amp;"",IOT!$I$3:$I$1012,""),"SERVER",_xlfn.XLOOKUP($K276&amp;"",SERVER!$B$3:$B$1009&amp;"",SERVER!$I$3:$I$1009,""),""))</f>
        <v/>
      </c>
      <c r="M276" t="str" cm="1">
        <f t="array" ref="M276">IF($K276="","",_xlfn.SWITCH($I276,"Computer",_xlfn.XLOOKUP($K276&amp;"",COMPUTER!$B$3:$B$1009&amp;"",COMPUTER!$J$3:$J$1009,""),"Display",_xlfn.XLOOKUP($K276&amp;"",DISPLAY!$B$3:$B$1000&amp;"",DISPLAY!$K$3:$K$1000,""),"Network Device",_xlfn.XLOOKUP($K276&amp;"",'NETWORK-DEVICES'!$B$3:$B$987&amp;"",'NETWORK-DEVICES'!$I$3:$I$987,""),"Peripheral",_xlfn.XLOOKUP($K276&amp;"",PERIPHERAL!$B$3:$B$954&amp;"",PERIPHERAL!$J$3:$J$954,""),"Utilities",_xlfn.XLOOKUP($K276&amp;"",UTILITIES!$B$3:$B$953&amp;"",UTILITIES!$I$3:$I$953,""),"IOT",_xlfn.XLOOKUP($K276&amp;"",IOT!$B$3:$B$1012&amp;"",IOT!$J$3:$J$1012,""),"Server",_xlfn.XLOOKUP($K276&amp;"",SERVER!$B$3:$B$1009&amp;"",SERVER!$J$3:$J$1009,""),""))</f>
        <v/>
      </c>
      <c r="N276" s="1" t="str" cm="1">
        <f t="array" ref="N276">IF(OR($K276="",$I276="",$J276=""),"",_xlfn.LET(_xlpm.srcCat,_xlfn.SWITCH($I276,"Computer",_xlfn.XLOOKUP($K276&amp;"",COMPUTER!$B$3:$B$1009&amp;"",COMPUTER!$H$3:$H$1009,""),"Display",_xlfn.XLOOKUP($K276&amp;"",DISPLAY!$B$3:$B$1000&amp;"",DISPLAY!$H$3:$H$1000,""),"Network Device",_xlfn.XLOOKUP($K276&amp;"",'NETWORK-DEVICES'!$B$3:$B$987&amp;"",'NETWORK-DEVICES'!$H$3:$H$987,""),"Peripheral",_xlfn.XLOOKUP($K276&amp;"",PERIPHERAL!$B$3:$B$954&amp;"",PERIPHERAL!$H$3:$H$954,""),"Utilities",_xlfn.XLOOKUP($K276&amp;"",UTILITIES!$B$3:$B$953&amp;"",UTILITIES!$G$3:$G$953,""),"IOT",_xlfn.XLOOKUP($K276&amp;"",IOT!$B$3:$B$1012&amp;"",IOT!$H$3:$H$1012,""),"Server",_xlfn.XLOOKUP($K276&amp;"",SERVER!$B$3:$B$1009&amp;"",SERVER!$H$3:$H$1009,""),""),IF(TRIM(_xlpm.srcCat)&lt;&gt;TRIM($J276),"",_xlfn.SWITCH($I276,"Computer",_xlfn.XLOOKUP($K276&amp;"",COMPUTER!$B$3:$B$1009&amp;"",COMPUTER!$K$3:$K$1009,""),"Display",_xlfn.XLOOKUP($K276&amp;"",DISPLAY!$B$3:$B$1000&amp;"",DISPLAY!$L$3:$L$1000,""),"Network Device",_xlfn.XLOOKUP($K276&amp;"",'NETWORK-DEVICES'!$B$3:$B$987&amp;"",'NETWORK-DEVICES'!$K$3:$K$987,""),"Peripheral",_xlfn.XLOOKUP($K276&amp;"",PERIPHERAL!$B$3:$B$954&amp;"",PERIPHERAL!$K$3:$K$954,""),"Utilities",_xlfn.XLOOKUP($K276&amp;"",UTILITIES!$B$3:$B$953&amp;"",UTILITIES!$J$3:$J$953,""),"IOT",_xlfn.XLOOKUP($K276&amp;"",IOT!$B$3:$B$1012&amp;"",IOT!$K$4:$K$1012,""),"Server",_xlfn.XLOOKUP($K276&amp;"",SERVER!$B$3:$B$1009&amp;"",SERVER!$K$3:$K$1009,""),""))))</f>
        <v/>
      </c>
      <c r="O276" s="1" t="str" cm="1">
        <f t="array" ref="O276">IF(OR($K276="",$I276="",$J276=""),"",_xlfn.LET(_xlpm.srcCat,_xlfn.SWITCH($I276,"Computer",_xlfn.XLOOKUP($K276&amp;"",COMPUTER!$B$3:$B$1009&amp;"",COMPUTER!$H$3:$H$1009,""),"Display",_xlfn.XLOOKUP($K276&amp;"",DISPLAY!$B$3:$B$1000&amp;"",DISPLAY!$H$3:$H$1000,""),"Network Device",_xlfn.XLOOKUP($K276&amp;"",'NETWORK-DEVICES'!$B$3:$B$987&amp;"",'NETWORK-DEVICES'!$H$3:$H$987,""),"Peripheral",_xlfn.XLOOKUP($K276&amp;"",PERIPHERAL!$B$3:$B$954&amp;"",PERIPHERAL!$H$3:$H$954,""),"Utilities",_xlfn.XLOOKUP($K276&amp;"",UTILITIES!$B$3:$B$953&amp;"",UTILITIES!$G$3:$G$953,""),"IOT",_xlfn.XLOOKUP($K276&amp;"",IOT!$B$3:$B$1012&amp;"",IOT!$H$3:$H$1012,""),"Server",_xlfn.XLOOKUP($K276&amp;"",SERVER!$B$3:$B$1009&amp;"",SERVER!$H$3:$H$1009,""),""),IF(TRIM(_xlpm.srcCat)&lt;&gt;TRIM($J276),"",_xlfn.SWITCH($I276,"Computer",_xlfn.XLOOKUP($K276&amp;"",COMPUTER!$B$3:$B$1009&amp;"",COMPUTER!$E$3:$E$1009,""),"Display",_xlfn.XLOOKUP($K276&amp;"",DISPLAY!$B$3:$B$1000&amp;"",DISPLAY!$E$3:$E$1000,""),"Network Device",_xlfn.XLOOKUP($K276&amp;"",'NETWORK-DEVICES'!$B$3:$B$987&amp;"",'NETWORK-DEVICES'!$E$3:$E$987,""),"Peripheral",_xlfn.XLOOKUP($K276&amp;"",PERIPHERAL!$B$3:$B$954&amp;"",PERIPHERAL!$E$3:$E$954,""),"Utilities",_xlfn.XLOOKUP($K276&amp;"",UTILITIES!$B$3:$B$953&amp;"",UTILITIES!$E$3:$E$953,""),"IOT",_xlfn.XLOOKUP($K276&amp;"",IOT!$B$3:$B$1012&amp;"",IOT!$E$3:$E$1012,""),"Server",_xlfn.XLOOKUP($K276&amp;"",SERVER!$B$3:$B$1009&amp;"",SERVER!$E$3:$E$1009,""),""))))</f>
        <v/>
      </c>
      <c r="Q276" s="1" t="str" cm="1">
        <f t="array" ref="Q276">IF(OR($K276="",$I276="",$J276=""),"",_xlfn.LET(_xlpm.srcCat,_xlfn.SWITCH($I276,"Computer",_xlfn.XLOOKUP($K276&amp;"",COMPUTER!$B$3:$B$1009&amp;"",COMPUTER!$H$3:$H$1009,""),"Display",_xlfn.XLOOKUP($K276&amp;"",DISPLAY!$B$3:$B$1000&amp;"",DISPLAY!$H$3:$H$1000,""),"Network Device",_xlfn.XLOOKUP($K276&amp;"",'NETWORK-DEVICES'!$B$3:$B$987&amp;"",'NETWORK-DEVICES'!$H$3:$H$987,""),"Peripheral",_xlfn.XLOOKUP($K276&amp;"",PERIPHERAL!$B$3:$B$954&amp;"",PERIPHERAL!$H$3:$H$954,""),"Utilities",_xlfn.XLOOKUP($K276&amp;"",UTILITIES!$B$3:$B$953&amp;"",UTILITIES!$G$3:$G$953,""),"IOT",_xlfn.XLOOKUP($K276&amp;"",IOT!$B$3:$B$1012&amp;"",IOT!$H$3:$H$1012,""),"Server",_xlfn.XLOOKUP($K276&amp;"",SERVER!$B$3:$B$1009&amp;"",SERVER!$H$3:$H$1009,""),""),IF(TRIM(_xlpm.srcCat)&lt;&gt;TRIM($J276),"",_xlfn.SWITCH($I276,"Computer",_xlfn.XLOOKUP($K276&amp;"",COMPUTER!$B$3:$B$1009&amp;"",COMPUTER!$AM$3:$AM$1009,""),"Display",_xlfn.XLOOKUP($K276&amp;"",DISPLAY!$B$3:$B$1000&amp;"",DISPLAY!$V$3:$V$1000,""),"Network Device",_xlfn.XLOOKUP($K276&amp;"",'NETWORK-DEVICES'!$B$3:$B$987&amp;"",'NETWORK-DEVICES'!$AF$3:$AF$987,""),"Peripheral",_xlfn.XLOOKUP($K276&amp;"",PERIPHERAL!$B$3:$B$954&amp;"",PERIPHERAL!$Y$3:$Y$954,""),"Utilities",_xlfn.XLOOKUP($K276&amp;"",UTILITIES!$B$3:$B$953&amp;"",UTILITIES!$O$3:$O$953,""),"IOT",_xlfn.XLOOKUP($K276&amp;"",IOT!$B$3:$B$1012&amp;"",IOT!$AB$3:$AB$1012,""),"Server",_xlfn.XLOOKUP($K276&amp;"",SERVER!$B$3:$B$1009&amp;"",SERVER!$AB$3:$AB$1009,""),""))))</f>
        <v/>
      </c>
      <c r="R276" s="43" t="str">
        <f>IF(tbl_handover[[#This Row],[Asset Code]]="","",COUNTIF(tbl_handover[Asset Code],tbl_handover[[#This Row],[Asset Code]]))</f>
        <v/>
      </c>
    </row>
    <row r="277" spans="1:18" x14ac:dyDescent="0.25">
      <c r="A277" s="43" t="str">
        <f>IF(B277&lt;&gt;"",SUBTOTAL(3,$B$1:B276),"")</f>
        <v/>
      </c>
      <c r="C277" s="74"/>
      <c r="D277" s="74"/>
      <c r="G277" s="1"/>
      <c r="K277" s="42"/>
      <c r="L277" t="str" cm="1">
        <f t="array" ref="L277">IF($K277="","",_xlfn.SWITCH($I277,"Computer",_xlfn.XLOOKUP($K277&amp;"",COMPUTER!$B$3:$B$1009&amp;"",COMPUTER!$I$3:$I$1009,""),"Display",_xlfn.XLOOKUP($K277&amp;"",DISPLAY!$B$3:$B$1000&amp;"",DISPLAY!$J$3:$J$1000,""),"Network Device",_xlfn.XLOOKUP($K277&amp;"",'NETWORK-DEVICES'!$B$3:$B$987&amp;"",'NETWORK-DEVICES'!$I$3:$I$987,""),"Peripheral",_xlfn.XLOOKUP($K277&amp;"",PERIPHERAL!$B$3:$B$954&amp;"",PERIPHERAL!$I$3:$I$954,""),"Utilities",_xlfn.XLOOKUP($K277&amp;"",UTILITIES!$B$3:$B$953&amp;"",UTILITIES!$H$3:$H$953,""),"IOT",_xlfn.XLOOKUP($K277&amp;"",IOT!$B$3:$B$1012&amp;"",IOT!$I$3:$I$1012,""),"SERVER",_xlfn.XLOOKUP($K277&amp;"",SERVER!$B$3:$B$1009&amp;"",SERVER!$I$3:$I$1009,""),""))</f>
        <v/>
      </c>
      <c r="M277" t="str" cm="1">
        <f t="array" ref="M277">IF($K277="","",_xlfn.SWITCH($I277,"Computer",_xlfn.XLOOKUP($K277&amp;"",COMPUTER!$B$3:$B$1009&amp;"",COMPUTER!$J$3:$J$1009,""),"Display",_xlfn.XLOOKUP($K277&amp;"",DISPLAY!$B$3:$B$1000&amp;"",DISPLAY!$K$3:$K$1000,""),"Network Device",_xlfn.XLOOKUP($K277&amp;"",'NETWORK-DEVICES'!$B$3:$B$987&amp;"",'NETWORK-DEVICES'!$I$3:$I$987,""),"Peripheral",_xlfn.XLOOKUP($K277&amp;"",PERIPHERAL!$B$3:$B$954&amp;"",PERIPHERAL!$J$3:$J$954,""),"Utilities",_xlfn.XLOOKUP($K277&amp;"",UTILITIES!$B$3:$B$953&amp;"",UTILITIES!$I$3:$I$953,""),"IOT",_xlfn.XLOOKUP($K277&amp;"",IOT!$B$3:$B$1012&amp;"",IOT!$J$3:$J$1012,""),"Server",_xlfn.XLOOKUP($K277&amp;"",SERVER!$B$3:$B$1009&amp;"",SERVER!$J$3:$J$1009,""),""))</f>
        <v/>
      </c>
      <c r="N277" s="1" t="str" cm="1">
        <f t="array" ref="N277">IF(OR($K277="",$I277="",$J277=""),"",_xlfn.LET(_xlpm.srcCat,_xlfn.SWITCH($I277,"Computer",_xlfn.XLOOKUP($K277&amp;"",COMPUTER!$B$3:$B$1009&amp;"",COMPUTER!$H$3:$H$1009,""),"Display",_xlfn.XLOOKUP($K277&amp;"",DISPLAY!$B$3:$B$1000&amp;"",DISPLAY!$H$3:$H$1000,""),"Network Device",_xlfn.XLOOKUP($K277&amp;"",'NETWORK-DEVICES'!$B$3:$B$987&amp;"",'NETWORK-DEVICES'!$H$3:$H$987,""),"Peripheral",_xlfn.XLOOKUP($K277&amp;"",PERIPHERAL!$B$3:$B$954&amp;"",PERIPHERAL!$H$3:$H$954,""),"Utilities",_xlfn.XLOOKUP($K277&amp;"",UTILITIES!$B$3:$B$953&amp;"",UTILITIES!$G$3:$G$953,""),"IOT",_xlfn.XLOOKUP($K277&amp;"",IOT!$B$3:$B$1012&amp;"",IOT!$H$3:$H$1012,""),"Server",_xlfn.XLOOKUP($K277&amp;"",SERVER!$B$3:$B$1009&amp;"",SERVER!$H$3:$H$1009,""),""),IF(TRIM(_xlpm.srcCat)&lt;&gt;TRIM($J277),"",_xlfn.SWITCH($I277,"Computer",_xlfn.XLOOKUP($K277&amp;"",COMPUTER!$B$3:$B$1009&amp;"",COMPUTER!$K$3:$K$1009,""),"Display",_xlfn.XLOOKUP($K277&amp;"",DISPLAY!$B$3:$B$1000&amp;"",DISPLAY!$L$3:$L$1000,""),"Network Device",_xlfn.XLOOKUP($K277&amp;"",'NETWORK-DEVICES'!$B$3:$B$987&amp;"",'NETWORK-DEVICES'!$K$3:$K$987,""),"Peripheral",_xlfn.XLOOKUP($K277&amp;"",PERIPHERAL!$B$3:$B$954&amp;"",PERIPHERAL!$K$3:$K$954,""),"Utilities",_xlfn.XLOOKUP($K277&amp;"",UTILITIES!$B$3:$B$953&amp;"",UTILITIES!$J$3:$J$953,""),"IOT",_xlfn.XLOOKUP($K277&amp;"",IOT!$B$3:$B$1012&amp;"",IOT!$K$4:$K$1012,""),"Server",_xlfn.XLOOKUP($K277&amp;"",SERVER!$B$3:$B$1009&amp;"",SERVER!$K$3:$K$1009,""),""))))</f>
        <v/>
      </c>
      <c r="O277" s="1" t="str" cm="1">
        <f t="array" ref="O277">IF(OR($K277="",$I277="",$J277=""),"",_xlfn.LET(_xlpm.srcCat,_xlfn.SWITCH($I277,"Computer",_xlfn.XLOOKUP($K277&amp;"",COMPUTER!$B$3:$B$1009&amp;"",COMPUTER!$H$3:$H$1009,""),"Display",_xlfn.XLOOKUP($K277&amp;"",DISPLAY!$B$3:$B$1000&amp;"",DISPLAY!$H$3:$H$1000,""),"Network Device",_xlfn.XLOOKUP($K277&amp;"",'NETWORK-DEVICES'!$B$3:$B$987&amp;"",'NETWORK-DEVICES'!$H$3:$H$987,""),"Peripheral",_xlfn.XLOOKUP($K277&amp;"",PERIPHERAL!$B$3:$B$954&amp;"",PERIPHERAL!$H$3:$H$954,""),"Utilities",_xlfn.XLOOKUP($K277&amp;"",UTILITIES!$B$3:$B$953&amp;"",UTILITIES!$G$3:$G$953,""),"IOT",_xlfn.XLOOKUP($K277&amp;"",IOT!$B$3:$B$1012&amp;"",IOT!$H$3:$H$1012,""),"Server",_xlfn.XLOOKUP($K277&amp;"",SERVER!$B$3:$B$1009&amp;"",SERVER!$H$3:$H$1009,""),""),IF(TRIM(_xlpm.srcCat)&lt;&gt;TRIM($J277),"",_xlfn.SWITCH($I277,"Computer",_xlfn.XLOOKUP($K277&amp;"",COMPUTER!$B$3:$B$1009&amp;"",COMPUTER!$E$3:$E$1009,""),"Display",_xlfn.XLOOKUP($K277&amp;"",DISPLAY!$B$3:$B$1000&amp;"",DISPLAY!$E$3:$E$1000,""),"Network Device",_xlfn.XLOOKUP($K277&amp;"",'NETWORK-DEVICES'!$B$3:$B$987&amp;"",'NETWORK-DEVICES'!$E$3:$E$987,""),"Peripheral",_xlfn.XLOOKUP($K277&amp;"",PERIPHERAL!$B$3:$B$954&amp;"",PERIPHERAL!$E$3:$E$954,""),"Utilities",_xlfn.XLOOKUP($K277&amp;"",UTILITIES!$B$3:$B$953&amp;"",UTILITIES!$E$3:$E$953,""),"IOT",_xlfn.XLOOKUP($K277&amp;"",IOT!$B$3:$B$1012&amp;"",IOT!$E$3:$E$1012,""),"Server",_xlfn.XLOOKUP($K277&amp;"",SERVER!$B$3:$B$1009&amp;"",SERVER!$E$3:$E$1009,""),""))))</f>
        <v/>
      </c>
      <c r="Q277" s="1" t="str" cm="1">
        <f t="array" ref="Q277">IF(OR($K277="",$I277="",$J277=""),"",_xlfn.LET(_xlpm.srcCat,_xlfn.SWITCH($I277,"Computer",_xlfn.XLOOKUP($K277&amp;"",COMPUTER!$B$3:$B$1009&amp;"",COMPUTER!$H$3:$H$1009,""),"Display",_xlfn.XLOOKUP($K277&amp;"",DISPLAY!$B$3:$B$1000&amp;"",DISPLAY!$H$3:$H$1000,""),"Network Device",_xlfn.XLOOKUP($K277&amp;"",'NETWORK-DEVICES'!$B$3:$B$987&amp;"",'NETWORK-DEVICES'!$H$3:$H$987,""),"Peripheral",_xlfn.XLOOKUP($K277&amp;"",PERIPHERAL!$B$3:$B$954&amp;"",PERIPHERAL!$H$3:$H$954,""),"Utilities",_xlfn.XLOOKUP($K277&amp;"",UTILITIES!$B$3:$B$953&amp;"",UTILITIES!$G$3:$G$953,""),"IOT",_xlfn.XLOOKUP($K277&amp;"",IOT!$B$3:$B$1012&amp;"",IOT!$H$3:$H$1012,""),"Server",_xlfn.XLOOKUP($K277&amp;"",SERVER!$B$3:$B$1009&amp;"",SERVER!$H$3:$H$1009,""),""),IF(TRIM(_xlpm.srcCat)&lt;&gt;TRIM($J277),"",_xlfn.SWITCH($I277,"Computer",_xlfn.XLOOKUP($K277&amp;"",COMPUTER!$B$3:$B$1009&amp;"",COMPUTER!$AM$3:$AM$1009,""),"Display",_xlfn.XLOOKUP($K277&amp;"",DISPLAY!$B$3:$B$1000&amp;"",DISPLAY!$V$3:$V$1000,""),"Network Device",_xlfn.XLOOKUP($K277&amp;"",'NETWORK-DEVICES'!$B$3:$B$987&amp;"",'NETWORK-DEVICES'!$AF$3:$AF$987,""),"Peripheral",_xlfn.XLOOKUP($K277&amp;"",PERIPHERAL!$B$3:$B$954&amp;"",PERIPHERAL!$Y$3:$Y$954,""),"Utilities",_xlfn.XLOOKUP($K277&amp;"",UTILITIES!$B$3:$B$953&amp;"",UTILITIES!$O$3:$O$953,""),"IOT",_xlfn.XLOOKUP($K277&amp;"",IOT!$B$3:$B$1012&amp;"",IOT!$AB$3:$AB$1012,""),"Server",_xlfn.XLOOKUP($K277&amp;"",SERVER!$B$3:$B$1009&amp;"",SERVER!$AB$3:$AB$1009,""),""))))</f>
        <v/>
      </c>
      <c r="R277" s="43" t="str">
        <f>IF(tbl_handover[[#This Row],[Asset Code]]="","",COUNTIF(tbl_handover[Asset Code],tbl_handover[[#This Row],[Asset Code]]))</f>
        <v/>
      </c>
    </row>
    <row r="278" spans="1:18" x14ac:dyDescent="0.25">
      <c r="A278" s="43" t="str">
        <f>IF(B278&lt;&gt;"",SUBTOTAL(3,$B$1:B277),"")</f>
        <v/>
      </c>
      <c r="C278" s="74"/>
      <c r="D278" s="74"/>
      <c r="G278" s="1"/>
      <c r="K278" s="42"/>
      <c r="L278" t="str" cm="1">
        <f t="array" ref="L278">IF($K278="","",_xlfn.SWITCH($I278,"Computer",_xlfn.XLOOKUP($K278&amp;"",COMPUTER!$B$3:$B$1009&amp;"",COMPUTER!$I$3:$I$1009,""),"Display",_xlfn.XLOOKUP($K278&amp;"",DISPLAY!$B$3:$B$1000&amp;"",DISPLAY!$J$3:$J$1000,""),"Network Device",_xlfn.XLOOKUP($K278&amp;"",'NETWORK-DEVICES'!$B$3:$B$987&amp;"",'NETWORK-DEVICES'!$I$3:$I$987,""),"Peripheral",_xlfn.XLOOKUP($K278&amp;"",PERIPHERAL!$B$3:$B$954&amp;"",PERIPHERAL!$I$3:$I$954,""),"Utilities",_xlfn.XLOOKUP($K278&amp;"",UTILITIES!$B$3:$B$953&amp;"",UTILITIES!$H$3:$H$953,""),"IOT",_xlfn.XLOOKUP($K278&amp;"",IOT!$B$3:$B$1012&amp;"",IOT!$I$3:$I$1012,""),"SERVER",_xlfn.XLOOKUP($K278&amp;"",SERVER!$B$3:$B$1009&amp;"",SERVER!$I$3:$I$1009,""),""))</f>
        <v/>
      </c>
      <c r="M278" t="str" cm="1">
        <f t="array" ref="M278">IF($K278="","",_xlfn.SWITCH($I278,"Computer",_xlfn.XLOOKUP($K278&amp;"",COMPUTER!$B$3:$B$1009&amp;"",COMPUTER!$J$3:$J$1009,""),"Display",_xlfn.XLOOKUP($K278&amp;"",DISPLAY!$B$3:$B$1000&amp;"",DISPLAY!$K$3:$K$1000,""),"Network Device",_xlfn.XLOOKUP($K278&amp;"",'NETWORK-DEVICES'!$B$3:$B$987&amp;"",'NETWORK-DEVICES'!$I$3:$I$987,""),"Peripheral",_xlfn.XLOOKUP($K278&amp;"",PERIPHERAL!$B$3:$B$954&amp;"",PERIPHERAL!$J$3:$J$954,""),"Utilities",_xlfn.XLOOKUP($K278&amp;"",UTILITIES!$B$3:$B$953&amp;"",UTILITIES!$I$3:$I$953,""),"IOT",_xlfn.XLOOKUP($K278&amp;"",IOT!$B$3:$B$1012&amp;"",IOT!$J$3:$J$1012,""),"Server",_xlfn.XLOOKUP($K278&amp;"",SERVER!$B$3:$B$1009&amp;"",SERVER!$J$3:$J$1009,""),""))</f>
        <v/>
      </c>
      <c r="N278" s="1" t="str" cm="1">
        <f t="array" ref="N278">IF(OR($K278="",$I278="",$J278=""),"",_xlfn.LET(_xlpm.srcCat,_xlfn.SWITCH($I278,"Computer",_xlfn.XLOOKUP($K278&amp;"",COMPUTER!$B$3:$B$1009&amp;"",COMPUTER!$H$3:$H$1009,""),"Display",_xlfn.XLOOKUP($K278&amp;"",DISPLAY!$B$3:$B$1000&amp;"",DISPLAY!$H$3:$H$1000,""),"Network Device",_xlfn.XLOOKUP($K278&amp;"",'NETWORK-DEVICES'!$B$3:$B$987&amp;"",'NETWORK-DEVICES'!$H$3:$H$987,""),"Peripheral",_xlfn.XLOOKUP($K278&amp;"",PERIPHERAL!$B$3:$B$954&amp;"",PERIPHERAL!$H$3:$H$954,""),"Utilities",_xlfn.XLOOKUP($K278&amp;"",UTILITIES!$B$3:$B$953&amp;"",UTILITIES!$G$3:$G$953,""),"IOT",_xlfn.XLOOKUP($K278&amp;"",IOT!$B$3:$B$1012&amp;"",IOT!$H$3:$H$1012,""),"Server",_xlfn.XLOOKUP($K278&amp;"",SERVER!$B$3:$B$1009&amp;"",SERVER!$H$3:$H$1009,""),""),IF(TRIM(_xlpm.srcCat)&lt;&gt;TRIM($J278),"",_xlfn.SWITCH($I278,"Computer",_xlfn.XLOOKUP($K278&amp;"",COMPUTER!$B$3:$B$1009&amp;"",COMPUTER!$K$3:$K$1009,""),"Display",_xlfn.XLOOKUP($K278&amp;"",DISPLAY!$B$3:$B$1000&amp;"",DISPLAY!$L$3:$L$1000,""),"Network Device",_xlfn.XLOOKUP($K278&amp;"",'NETWORK-DEVICES'!$B$3:$B$987&amp;"",'NETWORK-DEVICES'!$K$3:$K$987,""),"Peripheral",_xlfn.XLOOKUP($K278&amp;"",PERIPHERAL!$B$3:$B$954&amp;"",PERIPHERAL!$K$3:$K$954,""),"Utilities",_xlfn.XLOOKUP($K278&amp;"",UTILITIES!$B$3:$B$953&amp;"",UTILITIES!$J$3:$J$953,""),"IOT",_xlfn.XLOOKUP($K278&amp;"",IOT!$B$3:$B$1012&amp;"",IOT!$K$4:$K$1012,""),"Server",_xlfn.XLOOKUP($K278&amp;"",SERVER!$B$3:$B$1009&amp;"",SERVER!$K$3:$K$1009,""),""))))</f>
        <v/>
      </c>
      <c r="O278" s="1" t="str" cm="1">
        <f t="array" ref="O278">IF(OR($K278="",$I278="",$J278=""),"",_xlfn.LET(_xlpm.srcCat,_xlfn.SWITCH($I278,"Computer",_xlfn.XLOOKUP($K278&amp;"",COMPUTER!$B$3:$B$1009&amp;"",COMPUTER!$H$3:$H$1009,""),"Display",_xlfn.XLOOKUP($K278&amp;"",DISPLAY!$B$3:$B$1000&amp;"",DISPLAY!$H$3:$H$1000,""),"Network Device",_xlfn.XLOOKUP($K278&amp;"",'NETWORK-DEVICES'!$B$3:$B$987&amp;"",'NETWORK-DEVICES'!$H$3:$H$987,""),"Peripheral",_xlfn.XLOOKUP($K278&amp;"",PERIPHERAL!$B$3:$B$954&amp;"",PERIPHERAL!$H$3:$H$954,""),"Utilities",_xlfn.XLOOKUP($K278&amp;"",UTILITIES!$B$3:$B$953&amp;"",UTILITIES!$G$3:$G$953,""),"IOT",_xlfn.XLOOKUP($K278&amp;"",IOT!$B$3:$B$1012&amp;"",IOT!$H$3:$H$1012,""),"Server",_xlfn.XLOOKUP($K278&amp;"",SERVER!$B$3:$B$1009&amp;"",SERVER!$H$3:$H$1009,""),""),IF(TRIM(_xlpm.srcCat)&lt;&gt;TRIM($J278),"",_xlfn.SWITCH($I278,"Computer",_xlfn.XLOOKUP($K278&amp;"",COMPUTER!$B$3:$B$1009&amp;"",COMPUTER!$E$3:$E$1009,""),"Display",_xlfn.XLOOKUP($K278&amp;"",DISPLAY!$B$3:$B$1000&amp;"",DISPLAY!$E$3:$E$1000,""),"Network Device",_xlfn.XLOOKUP($K278&amp;"",'NETWORK-DEVICES'!$B$3:$B$987&amp;"",'NETWORK-DEVICES'!$E$3:$E$987,""),"Peripheral",_xlfn.XLOOKUP($K278&amp;"",PERIPHERAL!$B$3:$B$954&amp;"",PERIPHERAL!$E$3:$E$954,""),"Utilities",_xlfn.XLOOKUP($K278&amp;"",UTILITIES!$B$3:$B$953&amp;"",UTILITIES!$E$3:$E$953,""),"IOT",_xlfn.XLOOKUP($K278&amp;"",IOT!$B$3:$B$1012&amp;"",IOT!$E$3:$E$1012,""),"Server",_xlfn.XLOOKUP($K278&amp;"",SERVER!$B$3:$B$1009&amp;"",SERVER!$E$3:$E$1009,""),""))))</f>
        <v/>
      </c>
      <c r="Q278" s="1" t="str" cm="1">
        <f t="array" ref="Q278">IF(OR($K278="",$I278="",$J278=""),"",_xlfn.LET(_xlpm.srcCat,_xlfn.SWITCH($I278,"Computer",_xlfn.XLOOKUP($K278&amp;"",COMPUTER!$B$3:$B$1009&amp;"",COMPUTER!$H$3:$H$1009,""),"Display",_xlfn.XLOOKUP($K278&amp;"",DISPLAY!$B$3:$B$1000&amp;"",DISPLAY!$H$3:$H$1000,""),"Network Device",_xlfn.XLOOKUP($K278&amp;"",'NETWORK-DEVICES'!$B$3:$B$987&amp;"",'NETWORK-DEVICES'!$H$3:$H$987,""),"Peripheral",_xlfn.XLOOKUP($K278&amp;"",PERIPHERAL!$B$3:$B$954&amp;"",PERIPHERAL!$H$3:$H$954,""),"Utilities",_xlfn.XLOOKUP($K278&amp;"",UTILITIES!$B$3:$B$953&amp;"",UTILITIES!$G$3:$G$953,""),"IOT",_xlfn.XLOOKUP($K278&amp;"",IOT!$B$3:$B$1012&amp;"",IOT!$H$3:$H$1012,""),"Server",_xlfn.XLOOKUP($K278&amp;"",SERVER!$B$3:$B$1009&amp;"",SERVER!$H$3:$H$1009,""),""),IF(TRIM(_xlpm.srcCat)&lt;&gt;TRIM($J278),"",_xlfn.SWITCH($I278,"Computer",_xlfn.XLOOKUP($K278&amp;"",COMPUTER!$B$3:$B$1009&amp;"",COMPUTER!$AM$3:$AM$1009,""),"Display",_xlfn.XLOOKUP($K278&amp;"",DISPLAY!$B$3:$B$1000&amp;"",DISPLAY!$V$3:$V$1000,""),"Network Device",_xlfn.XLOOKUP($K278&amp;"",'NETWORK-DEVICES'!$B$3:$B$987&amp;"",'NETWORK-DEVICES'!$AF$3:$AF$987,""),"Peripheral",_xlfn.XLOOKUP($K278&amp;"",PERIPHERAL!$B$3:$B$954&amp;"",PERIPHERAL!$Y$3:$Y$954,""),"Utilities",_xlfn.XLOOKUP($K278&amp;"",UTILITIES!$B$3:$B$953&amp;"",UTILITIES!$O$3:$O$953,""),"IOT",_xlfn.XLOOKUP($K278&amp;"",IOT!$B$3:$B$1012&amp;"",IOT!$AB$3:$AB$1012,""),"Server",_xlfn.XLOOKUP($K278&amp;"",SERVER!$B$3:$B$1009&amp;"",SERVER!$AB$3:$AB$1009,""),""))))</f>
        <v/>
      </c>
      <c r="R278" s="43" t="str">
        <f>IF(tbl_handover[[#This Row],[Asset Code]]="","",COUNTIF(tbl_handover[Asset Code],tbl_handover[[#This Row],[Asset Code]]))</f>
        <v/>
      </c>
    </row>
    <row r="279" spans="1:18" x14ac:dyDescent="0.25">
      <c r="A279" s="43" t="str">
        <f>IF(B279&lt;&gt;"",SUBTOTAL(3,$B$1:B278),"")</f>
        <v/>
      </c>
      <c r="C279" s="74"/>
      <c r="D279" s="74"/>
      <c r="G279" s="1"/>
      <c r="K279" s="42"/>
      <c r="L279" t="str" cm="1">
        <f t="array" ref="L279">IF($K279="","",_xlfn.SWITCH($I279,"Computer",_xlfn.XLOOKUP($K279&amp;"",COMPUTER!$B$3:$B$1009&amp;"",COMPUTER!$I$3:$I$1009,""),"Display",_xlfn.XLOOKUP($K279&amp;"",DISPLAY!$B$3:$B$1000&amp;"",DISPLAY!$J$3:$J$1000,""),"Network Device",_xlfn.XLOOKUP($K279&amp;"",'NETWORK-DEVICES'!$B$3:$B$987&amp;"",'NETWORK-DEVICES'!$I$3:$I$987,""),"Peripheral",_xlfn.XLOOKUP($K279&amp;"",PERIPHERAL!$B$3:$B$954&amp;"",PERIPHERAL!$I$3:$I$954,""),"Utilities",_xlfn.XLOOKUP($K279&amp;"",UTILITIES!$B$3:$B$953&amp;"",UTILITIES!$H$3:$H$953,""),"IOT",_xlfn.XLOOKUP($K279&amp;"",IOT!$B$3:$B$1012&amp;"",IOT!$I$3:$I$1012,""),"SERVER",_xlfn.XLOOKUP($K279&amp;"",SERVER!$B$3:$B$1009&amp;"",SERVER!$I$3:$I$1009,""),""))</f>
        <v/>
      </c>
      <c r="M279" t="str" cm="1">
        <f t="array" ref="M279">IF($K279="","",_xlfn.SWITCH($I279,"Computer",_xlfn.XLOOKUP($K279&amp;"",COMPUTER!$B$3:$B$1009&amp;"",COMPUTER!$J$3:$J$1009,""),"Display",_xlfn.XLOOKUP($K279&amp;"",DISPLAY!$B$3:$B$1000&amp;"",DISPLAY!$K$3:$K$1000,""),"Network Device",_xlfn.XLOOKUP($K279&amp;"",'NETWORK-DEVICES'!$B$3:$B$987&amp;"",'NETWORK-DEVICES'!$I$3:$I$987,""),"Peripheral",_xlfn.XLOOKUP($K279&amp;"",PERIPHERAL!$B$3:$B$954&amp;"",PERIPHERAL!$J$3:$J$954,""),"Utilities",_xlfn.XLOOKUP($K279&amp;"",UTILITIES!$B$3:$B$953&amp;"",UTILITIES!$I$3:$I$953,""),"IOT",_xlfn.XLOOKUP($K279&amp;"",IOT!$B$3:$B$1012&amp;"",IOT!$J$3:$J$1012,""),"Server",_xlfn.XLOOKUP($K279&amp;"",SERVER!$B$3:$B$1009&amp;"",SERVER!$J$3:$J$1009,""),""))</f>
        <v/>
      </c>
      <c r="N279" s="1" t="str" cm="1">
        <f t="array" ref="N279">IF(OR($K279="",$I279="",$J279=""),"",_xlfn.LET(_xlpm.srcCat,_xlfn.SWITCH($I279,"Computer",_xlfn.XLOOKUP($K279&amp;"",COMPUTER!$B$3:$B$1009&amp;"",COMPUTER!$H$3:$H$1009,""),"Display",_xlfn.XLOOKUP($K279&amp;"",DISPLAY!$B$3:$B$1000&amp;"",DISPLAY!$H$3:$H$1000,""),"Network Device",_xlfn.XLOOKUP($K279&amp;"",'NETWORK-DEVICES'!$B$3:$B$987&amp;"",'NETWORK-DEVICES'!$H$3:$H$987,""),"Peripheral",_xlfn.XLOOKUP($K279&amp;"",PERIPHERAL!$B$3:$B$954&amp;"",PERIPHERAL!$H$3:$H$954,""),"Utilities",_xlfn.XLOOKUP($K279&amp;"",UTILITIES!$B$3:$B$953&amp;"",UTILITIES!$G$3:$G$953,""),"IOT",_xlfn.XLOOKUP($K279&amp;"",IOT!$B$3:$B$1012&amp;"",IOT!$H$3:$H$1012,""),"Server",_xlfn.XLOOKUP($K279&amp;"",SERVER!$B$3:$B$1009&amp;"",SERVER!$H$3:$H$1009,""),""),IF(TRIM(_xlpm.srcCat)&lt;&gt;TRIM($J279),"",_xlfn.SWITCH($I279,"Computer",_xlfn.XLOOKUP($K279&amp;"",COMPUTER!$B$3:$B$1009&amp;"",COMPUTER!$K$3:$K$1009,""),"Display",_xlfn.XLOOKUP($K279&amp;"",DISPLAY!$B$3:$B$1000&amp;"",DISPLAY!$L$3:$L$1000,""),"Network Device",_xlfn.XLOOKUP($K279&amp;"",'NETWORK-DEVICES'!$B$3:$B$987&amp;"",'NETWORK-DEVICES'!$K$3:$K$987,""),"Peripheral",_xlfn.XLOOKUP($K279&amp;"",PERIPHERAL!$B$3:$B$954&amp;"",PERIPHERAL!$K$3:$K$954,""),"Utilities",_xlfn.XLOOKUP($K279&amp;"",UTILITIES!$B$3:$B$953&amp;"",UTILITIES!$J$3:$J$953,""),"IOT",_xlfn.XLOOKUP($K279&amp;"",IOT!$B$3:$B$1012&amp;"",IOT!$K$4:$K$1012,""),"Server",_xlfn.XLOOKUP($K279&amp;"",SERVER!$B$3:$B$1009&amp;"",SERVER!$K$3:$K$1009,""),""))))</f>
        <v/>
      </c>
      <c r="O279" s="1" t="str" cm="1">
        <f t="array" ref="O279">IF(OR($K279="",$I279="",$J279=""),"",_xlfn.LET(_xlpm.srcCat,_xlfn.SWITCH($I279,"Computer",_xlfn.XLOOKUP($K279&amp;"",COMPUTER!$B$3:$B$1009&amp;"",COMPUTER!$H$3:$H$1009,""),"Display",_xlfn.XLOOKUP($K279&amp;"",DISPLAY!$B$3:$B$1000&amp;"",DISPLAY!$H$3:$H$1000,""),"Network Device",_xlfn.XLOOKUP($K279&amp;"",'NETWORK-DEVICES'!$B$3:$B$987&amp;"",'NETWORK-DEVICES'!$H$3:$H$987,""),"Peripheral",_xlfn.XLOOKUP($K279&amp;"",PERIPHERAL!$B$3:$B$954&amp;"",PERIPHERAL!$H$3:$H$954,""),"Utilities",_xlfn.XLOOKUP($K279&amp;"",UTILITIES!$B$3:$B$953&amp;"",UTILITIES!$G$3:$G$953,""),"IOT",_xlfn.XLOOKUP($K279&amp;"",IOT!$B$3:$B$1012&amp;"",IOT!$H$3:$H$1012,""),"Server",_xlfn.XLOOKUP($K279&amp;"",SERVER!$B$3:$B$1009&amp;"",SERVER!$H$3:$H$1009,""),""),IF(TRIM(_xlpm.srcCat)&lt;&gt;TRIM($J279),"",_xlfn.SWITCH($I279,"Computer",_xlfn.XLOOKUP($K279&amp;"",COMPUTER!$B$3:$B$1009&amp;"",COMPUTER!$E$3:$E$1009,""),"Display",_xlfn.XLOOKUP($K279&amp;"",DISPLAY!$B$3:$B$1000&amp;"",DISPLAY!$E$3:$E$1000,""),"Network Device",_xlfn.XLOOKUP($K279&amp;"",'NETWORK-DEVICES'!$B$3:$B$987&amp;"",'NETWORK-DEVICES'!$E$3:$E$987,""),"Peripheral",_xlfn.XLOOKUP($K279&amp;"",PERIPHERAL!$B$3:$B$954&amp;"",PERIPHERAL!$E$3:$E$954,""),"Utilities",_xlfn.XLOOKUP($K279&amp;"",UTILITIES!$B$3:$B$953&amp;"",UTILITIES!$E$3:$E$953,""),"IOT",_xlfn.XLOOKUP($K279&amp;"",IOT!$B$3:$B$1012&amp;"",IOT!$E$3:$E$1012,""),"Server",_xlfn.XLOOKUP($K279&amp;"",SERVER!$B$3:$B$1009&amp;"",SERVER!$E$3:$E$1009,""),""))))</f>
        <v/>
      </c>
      <c r="Q279" s="1" t="str" cm="1">
        <f t="array" ref="Q279">IF(OR($K279="",$I279="",$J279=""),"",_xlfn.LET(_xlpm.srcCat,_xlfn.SWITCH($I279,"Computer",_xlfn.XLOOKUP($K279&amp;"",COMPUTER!$B$3:$B$1009&amp;"",COMPUTER!$H$3:$H$1009,""),"Display",_xlfn.XLOOKUP($K279&amp;"",DISPLAY!$B$3:$B$1000&amp;"",DISPLAY!$H$3:$H$1000,""),"Network Device",_xlfn.XLOOKUP($K279&amp;"",'NETWORK-DEVICES'!$B$3:$B$987&amp;"",'NETWORK-DEVICES'!$H$3:$H$987,""),"Peripheral",_xlfn.XLOOKUP($K279&amp;"",PERIPHERAL!$B$3:$B$954&amp;"",PERIPHERAL!$H$3:$H$954,""),"Utilities",_xlfn.XLOOKUP($K279&amp;"",UTILITIES!$B$3:$B$953&amp;"",UTILITIES!$G$3:$G$953,""),"IOT",_xlfn.XLOOKUP($K279&amp;"",IOT!$B$3:$B$1012&amp;"",IOT!$H$3:$H$1012,""),"Server",_xlfn.XLOOKUP($K279&amp;"",SERVER!$B$3:$B$1009&amp;"",SERVER!$H$3:$H$1009,""),""),IF(TRIM(_xlpm.srcCat)&lt;&gt;TRIM($J279),"",_xlfn.SWITCH($I279,"Computer",_xlfn.XLOOKUP($K279&amp;"",COMPUTER!$B$3:$B$1009&amp;"",COMPUTER!$AM$3:$AM$1009,""),"Display",_xlfn.XLOOKUP($K279&amp;"",DISPLAY!$B$3:$B$1000&amp;"",DISPLAY!$V$3:$V$1000,""),"Network Device",_xlfn.XLOOKUP($K279&amp;"",'NETWORK-DEVICES'!$B$3:$B$987&amp;"",'NETWORK-DEVICES'!$AF$3:$AF$987,""),"Peripheral",_xlfn.XLOOKUP($K279&amp;"",PERIPHERAL!$B$3:$B$954&amp;"",PERIPHERAL!$Y$3:$Y$954,""),"Utilities",_xlfn.XLOOKUP($K279&amp;"",UTILITIES!$B$3:$B$953&amp;"",UTILITIES!$O$3:$O$953,""),"IOT",_xlfn.XLOOKUP($K279&amp;"",IOT!$B$3:$B$1012&amp;"",IOT!$AB$3:$AB$1012,""),"Server",_xlfn.XLOOKUP($K279&amp;"",SERVER!$B$3:$B$1009&amp;"",SERVER!$AB$3:$AB$1009,""),""))))</f>
        <v/>
      </c>
      <c r="R279" s="43" t="str">
        <f>IF(tbl_handover[[#This Row],[Asset Code]]="","",COUNTIF(tbl_handover[Asset Code],tbl_handover[[#This Row],[Asset Code]]))</f>
        <v/>
      </c>
    </row>
    <row r="280" spans="1:18" x14ac:dyDescent="0.25">
      <c r="A280" s="43" t="str">
        <f>IF(B280&lt;&gt;"",SUBTOTAL(3,$B$1:B279),"")</f>
        <v/>
      </c>
      <c r="C280" s="74"/>
      <c r="D280" s="74"/>
      <c r="G280" s="1"/>
      <c r="K280" s="42"/>
      <c r="L280" t="str" cm="1">
        <f t="array" ref="L280">IF($K280="","",_xlfn.SWITCH($I280,"Computer",_xlfn.XLOOKUP($K280&amp;"",COMPUTER!$B$3:$B$1009&amp;"",COMPUTER!$I$3:$I$1009,""),"Display",_xlfn.XLOOKUP($K280&amp;"",DISPLAY!$B$3:$B$1000&amp;"",DISPLAY!$J$3:$J$1000,""),"Network Device",_xlfn.XLOOKUP($K280&amp;"",'NETWORK-DEVICES'!$B$3:$B$987&amp;"",'NETWORK-DEVICES'!$I$3:$I$987,""),"Peripheral",_xlfn.XLOOKUP($K280&amp;"",PERIPHERAL!$B$3:$B$954&amp;"",PERIPHERAL!$I$3:$I$954,""),"Utilities",_xlfn.XLOOKUP($K280&amp;"",UTILITIES!$B$3:$B$953&amp;"",UTILITIES!$H$3:$H$953,""),"IOT",_xlfn.XLOOKUP($K280&amp;"",IOT!$B$3:$B$1012&amp;"",IOT!$I$3:$I$1012,""),"SERVER",_xlfn.XLOOKUP($K280&amp;"",SERVER!$B$3:$B$1009&amp;"",SERVER!$I$3:$I$1009,""),""))</f>
        <v/>
      </c>
      <c r="M280" t="str" cm="1">
        <f t="array" ref="M280">IF($K280="","",_xlfn.SWITCH($I280,"Computer",_xlfn.XLOOKUP($K280&amp;"",COMPUTER!$B$3:$B$1009&amp;"",COMPUTER!$J$3:$J$1009,""),"Display",_xlfn.XLOOKUP($K280&amp;"",DISPLAY!$B$3:$B$1000&amp;"",DISPLAY!$K$3:$K$1000,""),"Network Device",_xlfn.XLOOKUP($K280&amp;"",'NETWORK-DEVICES'!$B$3:$B$987&amp;"",'NETWORK-DEVICES'!$I$3:$I$987,""),"Peripheral",_xlfn.XLOOKUP($K280&amp;"",PERIPHERAL!$B$3:$B$954&amp;"",PERIPHERAL!$J$3:$J$954,""),"Utilities",_xlfn.XLOOKUP($K280&amp;"",UTILITIES!$B$3:$B$953&amp;"",UTILITIES!$I$3:$I$953,""),"IOT",_xlfn.XLOOKUP($K280&amp;"",IOT!$B$3:$B$1012&amp;"",IOT!$J$3:$J$1012,""),"Server",_xlfn.XLOOKUP($K280&amp;"",SERVER!$B$3:$B$1009&amp;"",SERVER!$J$3:$J$1009,""),""))</f>
        <v/>
      </c>
      <c r="N280" s="1" t="str" cm="1">
        <f t="array" ref="N280">IF(OR($K280="",$I280="",$J280=""),"",_xlfn.LET(_xlpm.srcCat,_xlfn.SWITCH($I280,"Computer",_xlfn.XLOOKUP($K280&amp;"",COMPUTER!$B$3:$B$1009&amp;"",COMPUTER!$H$3:$H$1009,""),"Display",_xlfn.XLOOKUP($K280&amp;"",DISPLAY!$B$3:$B$1000&amp;"",DISPLAY!$H$3:$H$1000,""),"Network Device",_xlfn.XLOOKUP($K280&amp;"",'NETWORK-DEVICES'!$B$3:$B$987&amp;"",'NETWORK-DEVICES'!$H$3:$H$987,""),"Peripheral",_xlfn.XLOOKUP($K280&amp;"",PERIPHERAL!$B$3:$B$954&amp;"",PERIPHERAL!$H$3:$H$954,""),"Utilities",_xlfn.XLOOKUP($K280&amp;"",UTILITIES!$B$3:$B$953&amp;"",UTILITIES!$G$3:$G$953,""),"IOT",_xlfn.XLOOKUP($K280&amp;"",IOT!$B$3:$B$1012&amp;"",IOT!$H$3:$H$1012,""),"Server",_xlfn.XLOOKUP($K280&amp;"",SERVER!$B$3:$B$1009&amp;"",SERVER!$H$3:$H$1009,""),""),IF(TRIM(_xlpm.srcCat)&lt;&gt;TRIM($J280),"",_xlfn.SWITCH($I280,"Computer",_xlfn.XLOOKUP($K280&amp;"",COMPUTER!$B$3:$B$1009&amp;"",COMPUTER!$K$3:$K$1009,""),"Display",_xlfn.XLOOKUP($K280&amp;"",DISPLAY!$B$3:$B$1000&amp;"",DISPLAY!$L$3:$L$1000,""),"Network Device",_xlfn.XLOOKUP($K280&amp;"",'NETWORK-DEVICES'!$B$3:$B$987&amp;"",'NETWORK-DEVICES'!$K$3:$K$987,""),"Peripheral",_xlfn.XLOOKUP($K280&amp;"",PERIPHERAL!$B$3:$B$954&amp;"",PERIPHERAL!$K$3:$K$954,""),"Utilities",_xlfn.XLOOKUP($K280&amp;"",UTILITIES!$B$3:$B$953&amp;"",UTILITIES!$J$3:$J$953,""),"IOT",_xlfn.XLOOKUP($K280&amp;"",IOT!$B$3:$B$1012&amp;"",IOT!$K$4:$K$1012,""),"Server",_xlfn.XLOOKUP($K280&amp;"",SERVER!$B$3:$B$1009&amp;"",SERVER!$K$3:$K$1009,""),""))))</f>
        <v/>
      </c>
      <c r="O280" s="1" t="str" cm="1">
        <f t="array" ref="O280">IF(OR($K280="",$I280="",$J280=""),"",_xlfn.LET(_xlpm.srcCat,_xlfn.SWITCH($I280,"Computer",_xlfn.XLOOKUP($K280&amp;"",COMPUTER!$B$3:$B$1009&amp;"",COMPUTER!$H$3:$H$1009,""),"Display",_xlfn.XLOOKUP($K280&amp;"",DISPLAY!$B$3:$B$1000&amp;"",DISPLAY!$H$3:$H$1000,""),"Network Device",_xlfn.XLOOKUP($K280&amp;"",'NETWORK-DEVICES'!$B$3:$B$987&amp;"",'NETWORK-DEVICES'!$H$3:$H$987,""),"Peripheral",_xlfn.XLOOKUP($K280&amp;"",PERIPHERAL!$B$3:$B$954&amp;"",PERIPHERAL!$H$3:$H$954,""),"Utilities",_xlfn.XLOOKUP($K280&amp;"",UTILITIES!$B$3:$B$953&amp;"",UTILITIES!$G$3:$G$953,""),"IOT",_xlfn.XLOOKUP($K280&amp;"",IOT!$B$3:$B$1012&amp;"",IOT!$H$3:$H$1012,""),"Server",_xlfn.XLOOKUP($K280&amp;"",SERVER!$B$3:$B$1009&amp;"",SERVER!$H$3:$H$1009,""),""),IF(TRIM(_xlpm.srcCat)&lt;&gt;TRIM($J280),"",_xlfn.SWITCH($I280,"Computer",_xlfn.XLOOKUP($K280&amp;"",COMPUTER!$B$3:$B$1009&amp;"",COMPUTER!$E$3:$E$1009,""),"Display",_xlfn.XLOOKUP($K280&amp;"",DISPLAY!$B$3:$B$1000&amp;"",DISPLAY!$E$3:$E$1000,""),"Network Device",_xlfn.XLOOKUP($K280&amp;"",'NETWORK-DEVICES'!$B$3:$B$987&amp;"",'NETWORK-DEVICES'!$E$3:$E$987,""),"Peripheral",_xlfn.XLOOKUP($K280&amp;"",PERIPHERAL!$B$3:$B$954&amp;"",PERIPHERAL!$E$3:$E$954,""),"Utilities",_xlfn.XLOOKUP($K280&amp;"",UTILITIES!$B$3:$B$953&amp;"",UTILITIES!$E$3:$E$953,""),"IOT",_xlfn.XLOOKUP($K280&amp;"",IOT!$B$3:$B$1012&amp;"",IOT!$E$3:$E$1012,""),"Server",_xlfn.XLOOKUP($K280&amp;"",SERVER!$B$3:$B$1009&amp;"",SERVER!$E$3:$E$1009,""),""))))</f>
        <v/>
      </c>
      <c r="Q280" s="1" t="str" cm="1">
        <f t="array" ref="Q280">IF(OR($K280="",$I280="",$J280=""),"",_xlfn.LET(_xlpm.srcCat,_xlfn.SWITCH($I280,"Computer",_xlfn.XLOOKUP($K280&amp;"",COMPUTER!$B$3:$B$1009&amp;"",COMPUTER!$H$3:$H$1009,""),"Display",_xlfn.XLOOKUP($K280&amp;"",DISPLAY!$B$3:$B$1000&amp;"",DISPLAY!$H$3:$H$1000,""),"Network Device",_xlfn.XLOOKUP($K280&amp;"",'NETWORK-DEVICES'!$B$3:$B$987&amp;"",'NETWORK-DEVICES'!$H$3:$H$987,""),"Peripheral",_xlfn.XLOOKUP($K280&amp;"",PERIPHERAL!$B$3:$B$954&amp;"",PERIPHERAL!$H$3:$H$954,""),"Utilities",_xlfn.XLOOKUP($K280&amp;"",UTILITIES!$B$3:$B$953&amp;"",UTILITIES!$G$3:$G$953,""),"IOT",_xlfn.XLOOKUP($K280&amp;"",IOT!$B$3:$B$1012&amp;"",IOT!$H$3:$H$1012,""),"Server",_xlfn.XLOOKUP($K280&amp;"",SERVER!$B$3:$B$1009&amp;"",SERVER!$H$3:$H$1009,""),""),IF(TRIM(_xlpm.srcCat)&lt;&gt;TRIM($J280),"",_xlfn.SWITCH($I280,"Computer",_xlfn.XLOOKUP($K280&amp;"",COMPUTER!$B$3:$B$1009&amp;"",COMPUTER!$AM$3:$AM$1009,""),"Display",_xlfn.XLOOKUP($K280&amp;"",DISPLAY!$B$3:$B$1000&amp;"",DISPLAY!$V$3:$V$1000,""),"Network Device",_xlfn.XLOOKUP($K280&amp;"",'NETWORK-DEVICES'!$B$3:$B$987&amp;"",'NETWORK-DEVICES'!$AF$3:$AF$987,""),"Peripheral",_xlfn.XLOOKUP($K280&amp;"",PERIPHERAL!$B$3:$B$954&amp;"",PERIPHERAL!$Y$3:$Y$954,""),"Utilities",_xlfn.XLOOKUP($K280&amp;"",UTILITIES!$B$3:$B$953&amp;"",UTILITIES!$O$3:$O$953,""),"IOT",_xlfn.XLOOKUP($K280&amp;"",IOT!$B$3:$B$1012&amp;"",IOT!$AB$3:$AB$1012,""),"Server",_xlfn.XLOOKUP($K280&amp;"",SERVER!$B$3:$B$1009&amp;"",SERVER!$AB$3:$AB$1009,""),""))))</f>
        <v/>
      </c>
      <c r="R280" s="43" t="str">
        <f>IF(tbl_handover[[#This Row],[Asset Code]]="","",COUNTIF(tbl_handover[Asset Code],tbl_handover[[#This Row],[Asset Code]]))</f>
        <v/>
      </c>
    </row>
    <row r="281" spans="1:18" x14ac:dyDescent="0.25">
      <c r="A281" s="43" t="str">
        <f>IF(B281&lt;&gt;"",SUBTOTAL(3,$B$1:B280),"")</f>
        <v/>
      </c>
      <c r="C281" s="74"/>
      <c r="D281" s="74"/>
      <c r="G281" s="1"/>
      <c r="K281" s="42"/>
      <c r="L281" t="str" cm="1">
        <f t="array" ref="L281">IF($K281="","",_xlfn.SWITCH($I281,"Computer",_xlfn.XLOOKUP($K281&amp;"",COMPUTER!$B$3:$B$1009&amp;"",COMPUTER!$I$3:$I$1009,""),"Display",_xlfn.XLOOKUP($K281&amp;"",DISPLAY!$B$3:$B$1000&amp;"",DISPLAY!$J$3:$J$1000,""),"Network Device",_xlfn.XLOOKUP($K281&amp;"",'NETWORK-DEVICES'!$B$3:$B$987&amp;"",'NETWORK-DEVICES'!$I$3:$I$987,""),"Peripheral",_xlfn.XLOOKUP($K281&amp;"",PERIPHERAL!$B$3:$B$954&amp;"",PERIPHERAL!$I$3:$I$954,""),"Utilities",_xlfn.XLOOKUP($K281&amp;"",UTILITIES!$B$3:$B$953&amp;"",UTILITIES!$H$3:$H$953,""),"IOT",_xlfn.XLOOKUP($K281&amp;"",IOT!$B$3:$B$1012&amp;"",IOT!$I$3:$I$1012,""),"SERVER",_xlfn.XLOOKUP($K281&amp;"",SERVER!$B$3:$B$1009&amp;"",SERVER!$I$3:$I$1009,""),""))</f>
        <v/>
      </c>
      <c r="M281" t="str" cm="1">
        <f t="array" ref="M281">IF($K281="","",_xlfn.SWITCH($I281,"Computer",_xlfn.XLOOKUP($K281&amp;"",COMPUTER!$B$3:$B$1009&amp;"",COMPUTER!$J$3:$J$1009,""),"Display",_xlfn.XLOOKUP($K281&amp;"",DISPLAY!$B$3:$B$1000&amp;"",DISPLAY!$K$3:$K$1000,""),"Network Device",_xlfn.XLOOKUP($K281&amp;"",'NETWORK-DEVICES'!$B$3:$B$987&amp;"",'NETWORK-DEVICES'!$I$3:$I$987,""),"Peripheral",_xlfn.XLOOKUP($K281&amp;"",PERIPHERAL!$B$3:$B$954&amp;"",PERIPHERAL!$J$3:$J$954,""),"Utilities",_xlfn.XLOOKUP($K281&amp;"",UTILITIES!$B$3:$B$953&amp;"",UTILITIES!$I$3:$I$953,""),"IOT",_xlfn.XLOOKUP($K281&amp;"",IOT!$B$3:$B$1012&amp;"",IOT!$J$3:$J$1012,""),"Server",_xlfn.XLOOKUP($K281&amp;"",SERVER!$B$3:$B$1009&amp;"",SERVER!$J$3:$J$1009,""),""))</f>
        <v/>
      </c>
      <c r="N281" s="1" t="str" cm="1">
        <f t="array" ref="N281">IF(OR($K281="",$I281="",$J281=""),"",_xlfn.LET(_xlpm.srcCat,_xlfn.SWITCH($I281,"Computer",_xlfn.XLOOKUP($K281&amp;"",COMPUTER!$B$3:$B$1009&amp;"",COMPUTER!$H$3:$H$1009,""),"Display",_xlfn.XLOOKUP($K281&amp;"",DISPLAY!$B$3:$B$1000&amp;"",DISPLAY!$H$3:$H$1000,""),"Network Device",_xlfn.XLOOKUP($K281&amp;"",'NETWORK-DEVICES'!$B$3:$B$987&amp;"",'NETWORK-DEVICES'!$H$3:$H$987,""),"Peripheral",_xlfn.XLOOKUP($K281&amp;"",PERIPHERAL!$B$3:$B$954&amp;"",PERIPHERAL!$H$3:$H$954,""),"Utilities",_xlfn.XLOOKUP($K281&amp;"",UTILITIES!$B$3:$B$953&amp;"",UTILITIES!$G$3:$G$953,""),"IOT",_xlfn.XLOOKUP($K281&amp;"",IOT!$B$3:$B$1012&amp;"",IOT!$H$3:$H$1012,""),"Server",_xlfn.XLOOKUP($K281&amp;"",SERVER!$B$3:$B$1009&amp;"",SERVER!$H$3:$H$1009,""),""),IF(TRIM(_xlpm.srcCat)&lt;&gt;TRIM($J281),"",_xlfn.SWITCH($I281,"Computer",_xlfn.XLOOKUP($K281&amp;"",COMPUTER!$B$3:$B$1009&amp;"",COMPUTER!$K$3:$K$1009,""),"Display",_xlfn.XLOOKUP($K281&amp;"",DISPLAY!$B$3:$B$1000&amp;"",DISPLAY!$L$3:$L$1000,""),"Network Device",_xlfn.XLOOKUP($K281&amp;"",'NETWORK-DEVICES'!$B$3:$B$987&amp;"",'NETWORK-DEVICES'!$K$3:$K$987,""),"Peripheral",_xlfn.XLOOKUP($K281&amp;"",PERIPHERAL!$B$3:$B$954&amp;"",PERIPHERAL!$K$3:$K$954,""),"Utilities",_xlfn.XLOOKUP($K281&amp;"",UTILITIES!$B$3:$B$953&amp;"",UTILITIES!$J$3:$J$953,""),"IOT",_xlfn.XLOOKUP($K281&amp;"",IOT!$B$3:$B$1012&amp;"",IOT!$K$4:$K$1012,""),"Server",_xlfn.XLOOKUP($K281&amp;"",SERVER!$B$3:$B$1009&amp;"",SERVER!$K$3:$K$1009,""),""))))</f>
        <v/>
      </c>
      <c r="O281" s="1" t="str" cm="1">
        <f t="array" ref="O281">IF(OR($K281="",$I281="",$J281=""),"",_xlfn.LET(_xlpm.srcCat,_xlfn.SWITCH($I281,"Computer",_xlfn.XLOOKUP($K281&amp;"",COMPUTER!$B$3:$B$1009&amp;"",COMPUTER!$H$3:$H$1009,""),"Display",_xlfn.XLOOKUP($K281&amp;"",DISPLAY!$B$3:$B$1000&amp;"",DISPLAY!$H$3:$H$1000,""),"Network Device",_xlfn.XLOOKUP($K281&amp;"",'NETWORK-DEVICES'!$B$3:$B$987&amp;"",'NETWORK-DEVICES'!$H$3:$H$987,""),"Peripheral",_xlfn.XLOOKUP($K281&amp;"",PERIPHERAL!$B$3:$B$954&amp;"",PERIPHERAL!$H$3:$H$954,""),"Utilities",_xlfn.XLOOKUP($K281&amp;"",UTILITIES!$B$3:$B$953&amp;"",UTILITIES!$G$3:$G$953,""),"IOT",_xlfn.XLOOKUP($K281&amp;"",IOT!$B$3:$B$1012&amp;"",IOT!$H$3:$H$1012,""),"Server",_xlfn.XLOOKUP($K281&amp;"",SERVER!$B$3:$B$1009&amp;"",SERVER!$H$3:$H$1009,""),""),IF(TRIM(_xlpm.srcCat)&lt;&gt;TRIM($J281),"",_xlfn.SWITCH($I281,"Computer",_xlfn.XLOOKUP($K281&amp;"",COMPUTER!$B$3:$B$1009&amp;"",COMPUTER!$E$3:$E$1009,""),"Display",_xlfn.XLOOKUP($K281&amp;"",DISPLAY!$B$3:$B$1000&amp;"",DISPLAY!$E$3:$E$1000,""),"Network Device",_xlfn.XLOOKUP($K281&amp;"",'NETWORK-DEVICES'!$B$3:$B$987&amp;"",'NETWORK-DEVICES'!$E$3:$E$987,""),"Peripheral",_xlfn.XLOOKUP($K281&amp;"",PERIPHERAL!$B$3:$B$954&amp;"",PERIPHERAL!$E$3:$E$954,""),"Utilities",_xlfn.XLOOKUP($K281&amp;"",UTILITIES!$B$3:$B$953&amp;"",UTILITIES!$E$3:$E$953,""),"IOT",_xlfn.XLOOKUP($K281&amp;"",IOT!$B$3:$B$1012&amp;"",IOT!$E$3:$E$1012,""),"Server",_xlfn.XLOOKUP($K281&amp;"",SERVER!$B$3:$B$1009&amp;"",SERVER!$E$3:$E$1009,""),""))))</f>
        <v/>
      </c>
      <c r="Q281" s="1" t="str" cm="1">
        <f t="array" ref="Q281">IF(OR($K281="",$I281="",$J281=""),"",_xlfn.LET(_xlpm.srcCat,_xlfn.SWITCH($I281,"Computer",_xlfn.XLOOKUP($K281&amp;"",COMPUTER!$B$3:$B$1009&amp;"",COMPUTER!$H$3:$H$1009,""),"Display",_xlfn.XLOOKUP($K281&amp;"",DISPLAY!$B$3:$B$1000&amp;"",DISPLAY!$H$3:$H$1000,""),"Network Device",_xlfn.XLOOKUP($K281&amp;"",'NETWORK-DEVICES'!$B$3:$B$987&amp;"",'NETWORK-DEVICES'!$H$3:$H$987,""),"Peripheral",_xlfn.XLOOKUP($K281&amp;"",PERIPHERAL!$B$3:$B$954&amp;"",PERIPHERAL!$H$3:$H$954,""),"Utilities",_xlfn.XLOOKUP($K281&amp;"",UTILITIES!$B$3:$B$953&amp;"",UTILITIES!$G$3:$G$953,""),"IOT",_xlfn.XLOOKUP($K281&amp;"",IOT!$B$3:$B$1012&amp;"",IOT!$H$3:$H$1012,""),"Server",_xlfn.XLOOKUP($K281&amp;"",SERVER!$B$3:$B$1009&amp;"",SERVER!$H$3:$H$1009,""),""),IF(TRIM(_xlpm.srcCat)&lt;&gt;TRIM($J281),"",_xlfn.SWITCH($I281,"Computer",_xlfn.XLOOKUP($K281&amp;"",COMPUTER!$B$3:$B$1009&amp;"",COMPUTER!$AM$3:$AM$1009,""),"Display",_xlfn.XLOOKUP($K281&amp;"",DISPLAY!$B$3:$B$1000&amp;"",DISPLAY!$V$3:$V$1000,""),"Network Device",_xlfn.XLOOKUP($K281&amp;"",'NETWORK-DEVICES'!$B$3:$B$987&amp;"",'NETWORK-DEVICES'!$AF$3:$AF$987,""),"Peripheral",_xlfn.XLOOKUP($K281&amp;"",PERIPHERAL!$B$3:$B$954&amp;"",PERIPHERAL!$Y$3:$Y$954,""),"Utilities",_xlfn.XLOOKUP($K281&amp;"",UTILITIES!$B$3:$B$953&amp;"",UTILITIES!$O$3:$O$953,""),"IOT",_xlfn.XLOOKUP($K281&amp;"",IOT!$B$3:$B$1012&amp;"",IOT!$AB$3:$AB$1012,""),"Server",_xlfn.XLOOKUP($K281&amp;"",SERVER!$B$3:$B$1009&amp;"",SERVER!$AB$3:$AB$1009,""),""))))</f>
        <v/>
      </c>
      <c r="R281" s="43" t="str">
        <f>IF(tbl_handover[[#This Row],[Asset Code]]="","",COUNTIF(tbl_handover[Asset Code],tbl_handover[[#This Row],[Asset Code]]))</f>
        <v/>
      </c>
    </row>
    <row r="282" spans="1:18" x14ac:dyDescent="0.25">
      <c r="A282" s="43" t="str">
        <f>IF(B282&lt;&gt;"",SUBTOTAL(3,$B$1:B281),"")</f>
        <v/>
      </c>
      <c r="C282" s="74"/>
      <c r="D282" s="74"/>
      <c r="G282" s="1"/>
      <c r="K282" s="42"/>
      <c r="L282" t="str" cm="1">
        <f t="array" ref="L282">IF($K282="","",_xlfn.SWITCH($I282,"Computer",_xlfn.XLOOKUP($K282&amp;"",COMPUTER!$B$3:$B$1009&amp;"",COMPUTER!$I$3:$I$1009,""),"Display",_xlfn.XLOOKUP($K282&amp;"",DISPLAY!$B$3:$B$1000&amp;"",DISPLAY!$J$3:$J$1000,""),"Network Device",_xlfn.XLOOKUP($K282&amp;"",'NETWORK-DEVICES'!$B$3:$B$987&amp;"",'NETWORK-DEVICES'!$I$3:$I$987,""),"Peripheral",_xlfn.XLOOKUP($K282&amp;"",PERIPHERAL!$B$3:$B$954&amp;"",PERIPHERAL!$I$3:$I$954,""),"Utilities",_xlfn.XLOOKUP($K282&amp;"",UTILITIES!$B$3:$B$953&amp;"",UTILITIES!$H$3:$H$953,""),"IOT",_xlfn.XLOOKUP($K282&amp;"",IOT!$B$3:$B$1012&amp;"",IOT!$I$3:$I$1012,""),"SERVER",_xlfn.XLOOKUP($K282&amp;"",SERVER!$B$3:$B$1009&amp;"",SERVER!$I$3:$I$1009,""),""))</f>
        <v/>
      </c>
      <c r="M282" t="str" cm="1">
        <f t="array" ref="M282">IF($K282="","",_xlfn.SWITCH($I282,"Computer",_xlfn.XLOOKUP($K282&amp;"",COMPUTER!$B$3:$B$1009&amp;"",COMPUTER!$J$3:$J$1009,""),"Display",_xlfn.XLOOKUP($K282&amp;"",DISPLAY!$B$3:$B$1000&amp;"",DISPLAY!$K$3:$K$1000,""),"Network Device",_xlfn.XLOOKUP($K282&amp;"",'NETWORK-DEVICES'!$B$3:$B$987&amp;"",'NETWORK-DEVICES'!$I$3:$I$987,""),"Peripheral",_xlfn.XLOOKUP($K282&amp;"",PERIPHERAL!$B$3:$B$954&amp;"",PERIPHERAL!$J$3:$J$954,""),"Utilities",_xlfn.XLOOKUP($K282&amp;"",UTILITIES!$B$3:$B$953&amp;"",UTILITIES!$I$3:$I$953,""),"IOT",_xlfn.XLOOKUP($K282&amp;"",IOT!$B$3:$B$1012&amp;"",IOT!$J$3:$J$1012,""),"Server",_xlfn.XLOOKUP($K282&amp;"",SERVER!$B$3:$B$1009&amp;"",SERVER!$J$3:$J$1009,""),""))</f>
        <v/>
      </c>
      <c r="N282" s="1" t="str" cm="1">
        <f t="array" ref="N282">IF(OR($K282="",$I282="",$J282=""),"",_xlfn.LET(_xlpm.srcCat,_xlfn.SWITCH($I282,"Computer",_xlfn.XLOOKUP($K282&amp;"",COMPUTER!$B$3:$B$1009&amp;"",COMPUTER!$H$3:$H$1009,""),"Display",_xlfn.XLOOKUP($K282&amp;"",DISPLAY!$B$3:$B$1000&amp;"",DISPLAY!$H$3:$H$1000,""),"Network Device",_xlfn.XLOOKUP($K282&amp;"",'NETWORK-DEVICES'!$B$3:$B$987&amp;"",'NETWORK-DEVICES'!$H$3:$H$987,""),"Peripheral",_xlfn.XLOOKUP($K282&amp;"",PERIPHERAL!$B$3:$B$954&amp;"",PERIPHERAL!$H$3:$H$954,""),"Utilities",_xlfn.XLOOKUP($K282&amp;"",UTILITIES!$B$3:$B$953&amp;"",UTILITIES!$G$3:$G$953,""),"IOT",_xlfn.XLOOKUP($K282&amp;"",IOT!$B$3:$B$1012&amp;"",IOT!$H$3:$H$1012,""),"Server",_xlfn.XLOOKUP($K282&amp;"",SERVER!$B$3:$B$1009&amp;"",SERVER!$H$3:$H$1009,""),""),IF(TRIM(_xlpm.srcCat)&lt;&gt;TRIM($J282),"",_xlfn.SWITCH($I282,"Computer",_xlfn.XLOOKUP($K282&amp;"",COMPUTER!$B$3:$B$1009&amp;"",COMPUTER!$K$3:$K$1009,""),"Display",_xlfn.XLOOKUP($K282&amp;"",DISPLAY!$B$3:$B$1000&amp;"",DISPLAY!$L$3:$L$1000,""),"Network Device",_xlfn.XLOOKUP($K282&amp;"",'NETWORK-DEVICES'!$B$3:$B$987&amp;"",'NETWORK-DEVICES'!$K$3:$K$987,""),"Peripheral",_xlfn.XLOOKUP($K282&amp;"",PERIPHERAL!$B$3:$B$954&amp;"",PERIPHERAL!$K$3:$K$954,""),"Utilities",_xlfn.XLOOKUP($K282&amp;"",UTILITIES!$B$3:$B$953&amp;"",UTILITIES!$J$3:$J$953,""),"IOT",_xlfn.XLOOKUP($K282&amp;"",IOT!$B$3:$B$1012&amp;"",IOT!$K$4:$K$1012,""),"Server",_xlfn.XLOOKUP($K282&amp;"",SERVER!$B$3:$B$1009&amp;"",SERVER!$K$3:$K$1009,""),""))))</f>
        <v/>
      </c>
      <c r="O282" s="1" t="str" cm="1">
        <f t="array" ref="O282">IF(OR($K282="",$I282="",$J282=""),"",_xlfn.LET(_xlpm.srcCat,_xlfn.SWITCH($I282,"Computer",_xlfn.XLOOKUP($K282&amp;"",COMPUTER!$B$3:$B$1009&amp;"",COMPUTER!$H$3:$H$1009,""),"Display",_xlfn.XLOOKUP($K282&amp;"",DISPLAY!$B$3:$B$1000&amp;"",DISPLAY!$H$3:$H$1000,""),"Network Device",_xlfn.XLOOKUP($K282&amp;"",'NETWORK-DEVICES'!$B$3:$B$987&amp;"",'NETWORK-DEVICES'!$H$3:$H$987,""),"Peripheral",_xlfn.XLOOKUP($K282&amp;"",PERIPHERAL!$B$3:$B$954&amp;"",PERIPHERAL!$H$3:$H$954,""),"Utilities",_xlfn.XLOOKUP($K282&amp;"",UTILITIES!$B$3:$B$953&amp;"",UTILITIES!$G$3:$G$953,""),"IOT",_xlfn.XLOOKUP($K282&amp;"",IOT!$B$3:$B$1012&amp;"",IOT!$H$3:$H$1012,""),"Server",_xlfn.XLOOKUP($K282&amp;"",SERVER!$B$3:$B$1009&amp;"",SERVER!$H$3:$H$1009,""),""),IF(TRIM(_xlpm.srcCat)&lt;&gt;TRIM($J282),"",_xlfn.SWITCH($I282,"Computer",_xlfn.XLOOKUP($K282&amp;"",COMPUTER!$B$3:$B$1009&amp;"",COMPUTER!$E$3:$E$1009,""),"Display",_xlfn.XLOOKUP($K282&amp;"",DISPLAY!$B$3:$B$1000&amp;"",DISPLAY!$E$3:$E$1000,""),"Network Device",_xlfn.XLOOKUP($K282&amp;"",'NETWORK-DEVICES'!$B$3:$B$987&amp;"",'NETWORK-DEVICES'!$E$3:$E$987,""),"Peripheral",_xlfn.XLOOKUP($K282&amp;"",PERIPHERAL!$B$3:$B$954&amp;"",PERIPHERAL!$E$3:$E$954,""),"Utilities",_xlfn.XLOOKUP($K282&amp;"",UTILITIES!$B$3:$B$953&amp;"",UTILITIES!$E$3:$E$953,""),"IOT",_xlfn.XLOOKUP($K282&amp;"",IOT!$B$3:$B$1012&amp;"",IOT!$E$3:$E$1012,""),"Server",_xlfn.XLOOKUP($K282&amp;"",SERVER!$B$3:$B$1009&amp;"",SERVER!$E$3:$E$1009,""),""))))</f>
        <v/>
      </c>
      <c r="Q282" s="1" t="str" cm="1">
        <f t="array" ref="Q282">IF(OR($K282="",$I282="",$J282=""),"",_xlfn.LET(_xlpm.srcCat,_xlfn.SWITCH($I282,"Computer",_xlfn.XLOOKUP($K282&amp;"",COMPUTER!$B$3:$B$1009&amp;"",COMPUTER!$H$3:$H$1009,""),"Display",_xlfn.XLOOKUP($K282&amp;"",DISPLAY!$B$3:$B$1000&amp;"",DISPLAY!$H$3:$H$1000,""),"Network Device",_xlfn.XLOOKUP($K282&amp;"",'NETWORK-DEVICES'!$B$3:$B$987&amp;"",'NETWORK-DEVICES'!$H$3:$H$987,""),"Peripheral",_xlfn.XLOOKUP($K282&amp;"",PERIPHERAL!$B$3:$B$954&amp;"",PERIPHERAL!$H$3:$H$954,""),"Utilities",_xlfn.XLOOKUP($K282&amp;"",UTILITIES!$B$3:$B$953&amp;"",UTILITIES!$G$3:$G$953,""),"IOT",_xlfn.XLOOKUP($K282&amp;"",IOT!$B$3:$B$1012&amp;"",IOT!$H$3:$H$1012,""),"Server",_xlfn.XLOOKUP($K282&amp;"",SERVER!$B$3:$B$1009&amp;"",SERVER!$H$3:$H$1009,""),""),IF(TRIM(_xlpm.srcCat)&lt;&gt;TRIM($J282),"",_xlfn.SWITCH($I282,"Computer",_xlfn.XLOOKUP($K282&amp;"",COMPUTER!$B$3:$B$1009&amp;"",COMPUTER!$AM$3:$AM$1009,""),"Display",_xlfn.XLOOKUP($K282&amp;"",DISPLAY!$B$3:$B$1000&amp;"",DISPLAY!$V$3:$V$1000,""),"Network Device",_xlfn.XLOOKUP($K282&amp;"",'NETWORK-DEVICES'!$B$3:$B$987&amp;"",'NETWORK-DEVICES'!$AF$3:$AF$987,""),"Peripheral",_xlfn.XLOOKUP($K282&amp;"",PERIPHERAL!$B$3:$B$954&amp;"",PERIPHERAL!$Y$3:$Y$954,""),"Utilities",_xlfn.XLOOKUP($K282&amp;"",UTILITIES!$B$3:$B$953&amp;"",UTILITIES!$O$3:$O$953,""),"IOT",_xlfn.XLOOKUP($K282&amp;"",IOT!$B$3:$B$1012&amp;"",IOT!$AB$3:$AB$1012,""),"Server",_xlfn.XLOOKUP($K282&amp;"",SERVER!$B$3:$B$1009&amp;"",SERVER!$AB$3:$AB$1009,""),""))))</f>
        <v/>
      </c>
      <c r="R282" s="43" t="str">
        <f>IF(tbl_handover[[#This Row],[Asset Code]]="","",COUNTIF(tbl_handover[Asset Code],tbl_handover[[#This Row],[Asset Code]]))</f>
        <v/>
      </c>
    </row>
    <row r="283" spans="1:18" x14ac:dyDescent="0.25">
      <c r="A283" s="43" t="str">
        <f>IF(B283&lt;&gt;"",SUBTOTAL(3,$B$1:B282),"")</f>
        <v/>
      </c>
      <c r="C283" s="74"/>
      <c r="D283" s="74"/>
      <c r="G283" s="1"/>
      <c r="K283" s="42"/>
      <c r="L283" t="str" cm="1">
        <f t="array" ref="L283">IF($K283="","",_xlfn.SWITCH($I283,"Computer",_xlfn.XLOOKUP($K283&amp;"",COMPUTER!$B$3:$B$1009&amp;"",COMPUTER!$I$3:$I$1009,""),"Display",_xlfn.XLOOKUP($K283&amp;"",DISPLAY!$B$3:$B$1000&amp;"",DISPLAY!$J$3:$J$1000,""),"Network Device",_xlfn.XLOOKUP($K283&amp;"",'NETWORK-DEVICES'!$B$3:$B$987&amp;"",'NETWORK-DEVICES'!$I$3:$I$987,""),"Peripheral",_xlfn.XLOOKUP($K283&amp;"",PERIPHERAL!$B$3:$B$954&amp;"",PERIPHERAL!$I$3:$I$954,""),"Utilities",_xlfn.XLOOKUP($K283&amp;"",UTILITIES!$B$3:$B$953&amp;"",UTILITIES!$H$3:$H$953,""),"IOT",_xlfn.XLOOKUP($K283&amp;"",IOT!$B$3:$B$1012&amp;"",IOT!$I$3:$I$1012,""),"SERVER",_xlfn.XLOOKUP($K283&amp;"",SERVER!$B$3:$B$1009&amp;"",SERVER!$I$3:$I$1009,""),""))</f>
        <v/>
      </c>
      <c r="M283" t="str" cm="1">
        <f t="array" ref="M283">IF($K283="","",_xlfn.SWITCH($I283,"Computer",_xlfn.XLOOKUP($K283&amp;"",COMPUTER!$B$3:$B$1009&amp;"",COMPUTER!$J$3:$J$1009,""),"Display",_xlfn.XLOOKUP($K283&amp;"",DISPLAY!$B$3:$B$1000&amp;"",DISPLAY!$K$3:$K$1000,""),"Network Device",_xlfn.XLOOKUP($K283&amp;"",'NETWORK-DEVICES'!$B$3:$B$987&amp;"",'NETWORK-DEVICES'!$I$3:$I$987,""),"Peripheral",_xlfn.XLOOKUP($K283&amp;"",PERIPHERAL!$B$3:$B$954&amp;"",PERIPHERAL!$J$3:$J$954,""),"Utilities",_xlfn.XLOOKUP($K283&amp;"",UTILITIES!$B$3:$B$953&amp;"",UTILITIES!$I$3:$I$953,""),"IOT",_xlfn.XLOOKUP($K283&amp;"",IOT!$B$3:$B$1012&amp;"",IOT!$J$3:$J$1012,""),"Server",_xlfn.XLOOKUP($K283&amp;"",SERVER!$B$3:$B$1009&amp;"",SERVER!$J$3:$J$1009,""),""))</f>
        <v/>
      </c>
      <c r="N283" s="1" t="str" cm="1">
        <f t="array" ref="N283">IF(OR($K283="",$I283="",$J283=""),"",_xlfn.LET(_xlpm.srcCat,_xlfn.SWITCH($I283,"Computer",_xlfn.XLOOKUP($K283&amp;"",COMPUTER!$B$3:$B$1009&amp;"",COMPUTER!$H$3:$H$1009,""),"Display",_xlfn.XLOOKUP($K283&amp;"",DISPLAY!$B$3:$B$1000&amp;"",DISPLAY!$H$3:$H$1000,""),"Network Device",_xlfn.XLOOKUP($K283&amp;"",'NETWORK-DEVICES'!$B$3:$B$987&amp;"",'NETWORK-DEVICES'!$H$3:$H$987,""),"Peripheral",_xlfn.XLOOKUP($K283&amp;"",PERIPHERAL!$B$3:$B$954&amp;"",PERIPHERAL!$H$3:$H$954,""),"Utilities",_xlfn.XLOOKUP($K283&amp;"",UTILITIES!$B$3:$B$953&amp;"",UTILITIES!$G$3:$G$953,""),"IOT",_xlfn.XLOOKUP($K283&amp;"",IOT!$B$3:$B$1012&amp;"",IOT!$H$3:$H$1012,""),"Server",_xlfn.XLOOKUP($K283&amp;"",SERVER!$B$3:$B$1009&amp;"",SERVER!$H$3:$H$1009,""),""),IF(TRIM(_xlpm.srcCat)&lt;&gt;TRIM($J283),"",_xlfn.SWITCH($I283,"Computer",_xlfn.XLOOKUP($K283&amp;"",COMPUTER!$B$3:$B$1009&amp;"",COMPUTER!$K$3:$K$1009,""),"Display",_xlfn.XLOOKUP($K283&amp;"",DISPLAY!$B$3:$B$1000&amp;"",DISPLAY!$L$3:$L$1000,""),"Network Device",_xlfn.XLOOKUP($K283&amp;"",'NETWORK-DEVICES'!$B$3:$B$987&amp;"",'NETWORK-DEVICES'!$K$3:$K$987,""),"Peripheral",_xlfn.XLOOKUP($K283&amp;"",PERIPHERAL!$B$3:$B$954&amp;"",PERIPHERAL!$K$3:$K$954,""),"Utilities",_xlfn.XLOOKUP($K283&amp;"",UTILITIES!$B$3:$B$953&amp;"",UTILITIES!$J$3:$J$953,""),"IOT",_xlfn.XLOOKUP($K283&amp;"",IOT!$B$3:$B$1012&amp;"",IOT!$K$4:$K$1012,""),"Server",_xlfn.XLOOKUP($K283&amp;"",SERVER!$B$3:$B$1009&amp;"",SERVER!$K$3:$K$1009,""),""))))</f>
        <v/>
      </c>
      <c r="O283" s="1" t="str" cm="1">
        <f t="array" ref="O283">IF(OR($K283="",$I283="",$J283=""),"",_xlfn.LET(_xlpm.srcCat,_xlfn.SWITCH($I283,"Computer",_xlfn.XLOOKUP($K283&amp;"",COMPUTER!$B$3:$B$1009&amp;"",COMPUTER!$H$3:$H$1009,""),"Display",_xlfn.XLOOKUP($K283&amp;"",DISPLAY!$B$3:$B$1000&amp;"",DISPLAY!$H$3:$H$1000,""),"Network Device",_xlfn.XLOOKUP($K283&amp;"",'NETWORK-DEVICES'!$B$3:$B$987&amp;"",'NETWORK-DEVICES'!$H$3:$H$987,""),"Peripheral",_xlfn.XLOOKUP($K283&amp;"",PERIPHERAL!$B$3:$B$954&amp;"",PERIPHERAL!$H$3:$H$954,""),"Utilities",_xlfn.XLOOKUP($K283&amp;"",UTILITIES!$B$3:$B$953&amp;"",UTILITIES!$G$3:$G$953,""),"IOT",_xlfn.XLOOKUP($K283&amp;"",IOT!$B$3:$B$1012&amp;"",IOT!$H$3:$H$1012,""),"Server",_xlfn.XLOOKUP($K283&amp;"",SERVER!$B$3:$B$1009&amp;"",SERVER!$H$3:$H$1009,""),""),IF(TRIM(_xlpm.srcCat)&lt;&gt;TRIM($J283),"",_xlfn.SWITCH($I283,"Computer",_xlfn.XLOOKUP($K283&amp;"",COMPUTER!$B$3:$B$1009&amp;"",COMPUTER!$E$3:$E$1009,""),"Display",_xlfn.XLOOKUP($K283&amp;"",DISPLAY!$B$3:$B$1000&amp;"",DISPLAY!$E$3:$E$1000,""),"Network Device",_xlfn.XLOOKUP($K283&amp;"",'NETWORK-DEVICES'!$B$3:$B$987&amp;"",'NETWORK-DEVICES'!$E$3:$E$987,""),"Peripheral",_xlfn.XLOOKUP($K283&amp;"",PERIPHERAL!$B$3:$B$954&amp;"",PERIPHERAL!$E$3:$E$954,""),"Utilities",_xlfn.XLOOKUP($K283&amp;"",UTILITIES!$B$3:$B$953&amp;"",UTILITIES!$E$3:$E$953,""),"IOT",_xlfn.XLOOKUP($K283&amp;"",IOT!$B$3:$B$1012&amp;"",IOT!$E$3:$E$1012,""),"Server",_xlfn.XLOOKUP($K283&amp;"",SERVER!$B$3:$B$1009&amp;"",SERVER!$E$3:$E$1009,""),""))))</f>
        <v/>
      </c>
      <c r="Q283" s="1" t="str" cm="1">
        <f t="array" ref="Q283">IF(OR($K283="",$I283="",$J283=""),"",_xlfn.LET(_xlpm.srcCat,_xlfn.SWITCH($I283,"Computer",_xlfn.XLOOKUP($K283&amp;"",COMPUTER!$B$3:$B$1009&amp;"",COMPUTER!$H$3:$H$1009,""),"Display",_xlfn.XLOOKUP($K283&amp;"",DISPLAY!$B$3:$B$1000&amp;"",DISPLAY!$H$3:$H$1000,""),"Network Device",_xlfn.XLOOKUP($K283&amp;"",'NETWORK-DEVICES'!$B$3:$B$987&amp;"",'NETWORK-DEVICES'!$H$3:$H$987,""),"Peripheral",_xlfn.XLOOKUP($K283&amp;"",PERIPHERAL!$B$3:$B$954&amp;"",PERIPHERAL!$H$3:$H$954,""),"Utilities",_xlfn.XLOOKUP($K283&amp;"",UTILITIES!$B$3:$B$953&amp;"",UTILITIES!$G$3:$G$953,""),"IOT",_xlfn.XLOOKUP($K283&amp;"",IOT!$B$3:$B$1012&amp;"",IOT!$H$3:$H$1012,""),"Server",_xlfn.XLOOKUP($K283&amp;"",SERVER!$B$3:$B$1009&amp;"",SERVER!$H$3:$H$1009,""),""),IF(TRIM(_xlpm.srcCat)&lt;&gt;TRIM($J283),"",_xlfn.SWITCH($I283,"Computer",_xlfn.XLOOKUP($K283&amp;"",COMPUTER!$B$3:$B$1009&amp;"",COMPUTER!$AM$3:$AM$1009,""),"Display",_xlfn.XLOOKUP($K283&amp;"",DISPLAY!$B$3:$B$1000&amp;"",DISPLAY!$V$3:$V$1000,""),"Network Device",_xlfn.XLOOKUP($K283&amp;"",'NETWORK-DEVICES'!$B$3:$B$987&amp;"",'NETWORK-DEVICES'!$AF$3:$AF$987,""),"Peripheral",_xlfn.XLOOKUP($K283&amp;"",PERIPHERAL!$B$3:$B$954&amp;"",PERIPHERAL!$Y$3:$Y$954,""),"Utilities",_xlfn.XLOOKUP($K283&amp;"",UTILITIES!$B$3:$B$953&amp;"",UTILITIES!$O$3:$O$953,""),"IOT",_xlfn.XLOOKUP($K283&amp;"",IOT!$B$3:$B$1012&amp;"",IOT!$AB$3:$AB$1012,""),"Server",_xlfn.XLOOKUP($K283&amp;"",SERVER!$B$3:$B$1009&amp;"",SERVER!$AB$3:$AB$1009,""),""))))</f>
        <v/>
      </c>
      <c r="R283" s="43" t="str">
        <f>IF(tbl_handover[[#This Row],[Asset Code]]="","",COUNTIF(tbl_handover[Asset Code],tbl_handover[[#This Row],[Asset Code]]))</f>
        <v/>
      </c>
    </row>
    <row r="284" spans="1:18" x14ac:dyDescent="0.25">
      <c r="A284" s="43" t="str">
        <f>IF(B284&lt;&gt;"",SUBTOTAL(3,$B$1:B283),"")</f>
        <v/>
      </c>
      <c r="C284" s="74"/>
      <c r="D284" s="74"/>
      <c r="G284" s="1"/>
      <c r="K284" s="42"/>
      <c r="L284" t="str" cm="1">
        <f t="array" ref="L284">IF($K284="","",_xlfn.SWITCH($I284,"Computer",_xlfn.XLOOKUP($K284&amp;"",COMPUTER!$B$3:$B$1009&amp;"",COMPUTER!$I$3:$I$1009,""),"Display",_xlfn.XLOOKUP($K284&amp;"",DISPLAY!$B$3:$B$1000&amp;"",DISPLAY!$J$3:$J$1000,""),"Network Device",_xlfn.XLOOKUP($K284&amp;"",'NETWORK-DEVICES'!$B$3:$B$987&amp;"",'NETWORK-DEVICES'!$I$3:$I$987,""),"Peripheral",_xlfn.XLOOKUP($K284&amp;"",PERIPHERAL!$B$3:$B$954&amp;"",PERIPHERAL!$I$3:$I$954,""),"Utilities",_xlfn.XLOOKUP($K284&amp;"",UTILITIES!$B$3:$B$953&amp;"",UTILITIES!$H$3:$H$953,""),"IOT",_xlfn.XLOOKUP($K284&amp;"",IOT!$B$3:$B$1012&amp;"",IOT!$I$3:$I$1012,""),"SERVER",_xlfn.XLOOKUP($K284&amp;"",SERVER!$B$3:$B$1009&amp;"",SERVER!$I$3:$I$1009,""),""))</f>
        <v/>
      </c>
      <c r="M284" t="str" cm="1">
        <f t="array" ref="M284">IF($K284="","",_xlfn.SWITCH($I284,"Computer",_xlfn.XLOOKUP($K284&amp;"",COMPUTER!$B$3:$B$1009&amp;"",COMPUTER!$J$3:$J$1009,""),"Display",_xlfn.XLOOKUP($K284&amp;"",DISPLAY!$B$3:$B$1000&amp;"",DISPLAY!$K$3:$K$1000,""),"Network Device",_xlfn.XLOOKUP($K284&amp;"",'NETWORK-DEVICES'!$B$3:$B$987&amp;"",'NETWORK-DEVICES'!$I$3:$I$987,""),"Peripheral",_xlfn.XLOOKUP($K284&amp;"",PERIPHERAL!$B$3:$B$954&amp;"",PERIPHERAL!$J$3:$J$954,""),"Utilities",_xlfn.XLOOKUP($K284&amp;"",UTILITIES!$B$3:$B$953&amp;"",UTILITIES!$I$3:$I$953,""),"IOT",_xlfn.XLOOKUP($K284&amp;"",IOT!$B$3:$B$1012&amp;"",IOT!$J$3:$J$1012,""),"Server",_xlfn.XLOOKUP($K284&amp;"",SERVER!$B$3:$B$1009&amp;"",SERVER!$J$3:$J$1009,""),""))</f>
        <v/>
      </c>
      <c r="N284" s="1" t="str" cm="1">
        <f t="array" ref="N284">IF(OR($K284="",$I284="",$J284=""),"",_xlfn.LET(_xlpm.srcCat,_xlfn.SWITCH($I284,"Computer",_xlfn.XLOOKUP($K284&amp;"",COMPUTER!$B$3:$B$1009&amp;"",COMPUTER!$H$3:$H$1009,""),"Display",_xlfn.XLOOKUP($K284&amp;"",DISPLAY!$B$3:$B$1000&amp;"",DISPLAY!$H$3:$H$1000,""),"Network Device",_xlfn.XLOOKUP($K284&amp;"",'NETWORK-DEVICES'!$B$3:$B$987&amp;"",'NETWORK-DEVICES'!$H$3:$H$987,""),"Peripheral",_xlfn.XLOOKUP($K284&amp;"",PERIPHERAL!$B$3:$B$954&amp;"",PERIPHERAL!$H$3:$H$954,""),"Utilities",_xlfn.XLOOKUP($K284&amp;"",UTILITIES!$B$3:$B$953&amp;"",UTILITIES!$G$3:$G$953,""),"IOT",_xlfn.XLOOKUP($K284&amp;"",IOT!$B$3:$B$1012&amp;"",IOT!$H$3:$H$1012,""),"Server",_xlfn.XLOOKUP($K284&amp;"",SERVER!$B$3:$B$1009&amp;"",SERVER!$H$3:$H$1009,""),""),IF(TRIM(_xlpm.srcCat)&lt;&gt;TRIM($J284),"",_xlfn.SWITCH($I284,"Computer",_xlfn.XLOOKUP($K284&amp;"",COMPUTER!$B$3:$B$1009&amp;"",COMPUTER!$K$3:$K$1009,""),"Display",_xlfn.XLOOKUP($K284&amp;"",DISPLAY!$B$3:$B$1000&amp;"",DISPLAY!$L$3:$L$1000,""),"Network Device",_xlfn.XLOOKUP($K284&amp;"",'NETWORK-DEVICES'!$B$3:$B$987&amp;"",'NETWORK-DEVICES'!$K$3:$K$987,""),"Peripheral",_xlfn.XLOOKUP($K284&amp;"",PERIPHERAL!$B$3:$B$954&amp;"",PERIPHERAL!$K$3:$K$954,""),"Utilities",_xlfn.XLOOKUP($K284&amp;"",UTILITIES!$B$3:$B$953&amp;"",UTILITIES!$J$3:$J$953,""),"IOT",_xlfn.XLOOKUP($K284&amp;"",IOT!$B$3:$B$1012&amp;"",IOT!$K$4:$K$1012,""),"Server",_xlfn.XLOOKUP($K284&amp;"",SERVER!$B$3:$B$1009&amp;"",SERVER!$K$3:$K$1009,""),""))))</f>
        <v/>
      </c>
      <c r="O284" s="1" t="str" cm="1">
        <f t="array" ref="O284">IF(OR($K284="",$I284="",$J284=""),"",_xlfn.LET(_xlpm.srcCat,_xlfn.SWITCH($I284,"Computer",_xlfn.XLOOKUP($K284&amp;"",COMPUTER!$B$3:$B$1009&amp;"",COMPUTER!$H$3:$H$1009,""),"Display",_xlfn.XLOOKUP($K284&amp;"",DISPLAY!$B$3:$B$1000&amp;"",DISPLAY!$H$3:$H$1000,""),"Network Device",_xlfn.XLOOKUP($K284&amp;"",'NETWORK-DEVICES'!$B$3:$B$987&amp;"",'NETWORK-DEVICES'!$H$3:$H$987,""),"Peripheral",_xlfn.XLOOKUP($K284&amp;"",PERIPHERAL!$B$3:$B$954&amp;"",PERIPHERAL!$H$3:$H$954,""),"Utilities",_xlfn.XLOOKUP($K284&amp;"",UTILITIES!$B$3:$B$953&amp;"",UTILITIES!$G$3:$G$953,""),"IOT",_xlfn.XLOOKUP($K284&amp;"",IOT!$B$3:$B$1012&amp;"",IOT!$H$3:$H$1012,""),"Server",_xlfn.XLOOKUP($K284&amp;"",SERVER!$B$3:$B$1009&amp;"",SERVER!$H$3:$H$1009,""),""),IF(TRIM(_xlpm.srcCat)&lt;&gt;TRIM($J284),"",_xlfn.SWITCH($I284,"Computer",_xlfn.XLOOKUP($K284&amp;"",COMPUTER!$B$3:$B$1009&amp;"",COMPUTER!$E$3:$E$1009,""),"Display",_xlfn.XLOOKUP($K284&amp;"",DISPLAY!$B$3:$B$1000&amp;"",DISPLAY!$E$3:$E$1000,""),"Network Device",_xlfn.XLOOKUP($K284&amp;"",'NETWORK-DEVICES'!$B$3:$B$987&amp;"",'NETWORK-DEVICES'!$E$3:$E$987,""),"Peripheral",_xlfn.XLOOKUP($K284&amp;"",PERIPHERAL!$B$3:$B$954&amp;"",PERIPHERAL!$E$3:$E$954,""),"Utilities",_xlfn.XLOOKUP($K284&amp;"",UTILITIES!$B$3:$B$953&amp;"",UTILITIES!$E$3:$E$953,""),"IOT",_xlfn.XLOOKUP($K284&amp;"",IOT!$B$3:$B$1012&amp;"",IOT!$E$3:$E$1012,""),"Server",_xlfn.XLOOKUP($K284&amp;"",SERVER!$B$3:$B$1009&amp;"",SERVER!$E$3:$E$1009,""),""))))</f>
        <v/>
      </c>
      <c r="Q284" s="1" t="str" cm="1">
        <f t="array" ref="Q284">IF(OR($K284="",$I284="",$J284=""),"",_xlfn.LET(_xlpm.srcCat,_xlfn.SWITCH($I284,"Computer",_xlfn.XLOOKUP($K284&amp;"",COMPUTER!$B$3:$B$1009&amp;"",COMPUTER!$H$3:$H$1009,""),"Display",_xlfn.XLOOKUP($K284&amp;"",DISPLAY!$B$3:$B$1000&amp;"",DISPLAY!$H$3:$H$1000,""),"Network Device",_xlfn.XLOOKUP($K284&amp;"",'NETWORK-DEVICES'!$B$3:$B$987&amp;"",'NETWORK-DEVICES'!$H$3:$H$987,""),"Peripheral",_xlfn.XLOOKUP($K284&amp;"",PERIPHERAL!$B$3:$B$954&amp;"",PERIPHERAL!$H$3:$H$954,""),"Utilities",_xlfn.XLOOKUP($K284&amp;"",UTILITIES!$B$3:$B$953&amp;"",UTILITIES!$G$3:$G$953,""),"IOT",_xlfn.XLOOKUP($K284&amp;"",IOT!$B$3:$B$1012&amp;"",IOT!$H$3:$H$1012,""),"Server",_xlfn.XLOOKUP($K284&amp;"",SERVER!$B$3:$B$1009&amp;"",SERVER!$H$3:$H$1009,""),""),IF(TRIM(_xlpm.srcCat)&lt;&gt;TRIM($J284),"",_xlfn.SWITCH($I284,"Computer",_xlfn.XLOOKUP($K284&amp;"",COMPUTER!$B$3:$B$1009&amp;"",COMPUTER!$AM$3:$AM$1009,""),"Display",_xlfn.XLOOKUP($K284&amp;"",DISPLAY!$B$3:$B$1000&amp;"",DISPLAY!$V$3:$V$1000,""),"Network Device",_xlfn.XLOOKUP($K284&amp;"",'NETWORK-DEVICES'!$B$3:$B$987&amp;"",'NETWORK-DEVICES'!$AF$3:$AF$987,""),"Peripheral",_xlfn.XLOOKUP($K284&amp;"",PERIPHERAL!$B$3:$B$954&amp;"",PERIPHERAL!$Y$3:$Y$954,""),"Utilities",_xlfn.XLOOKUP($K284&amp;"",UTILITIES!$B$3:$B$953&amp;"",UTILITIES!$O$3:$O$953,""),"IOT",_xlfn.XLOOKUP($K284&amp;"",IOT!$B$3:$B$1012&amp;"",IOT!$AB$3:$AB$1012,""),"Server",_xlfn.XLOOKUP($K284&amp;"",SERVER!$B$3:$B$1009&amp;"",SERVER!$AB$3:$AB$1009,""),""))))</f>
        <v/>
      </c>
      <c r="R284" s="43" t="str">
        <f>IF(tbl_handover[[#This Row],[Asset Code]]="","",COUNTIF(tbl_handover[Asset Code],tbl_handover[[#This Row],[Asset Code]]))</f>
        <v/>
      </c>
    </row>
    <row r="285" spans="1:18" x14ac:dyDescent="0.25">
      <c r="A285" s="43" t="str">
        <f>IF(B285&lt;&gt;"",SUBTOTAL(3,$B$1:B284),"")</f>
        <v/>
      </c>
      <c r="C285" s="74"/>
      <c r="D285" s="74"/>
      <c r="G285" s="1"/>
      <c r="K285" s="42"/>
      <c r="L285" t="str" cm="1">
        <f t="array" ref="L285">IF($K285="","",_xlfn.SWITCH($I285,"Computer",_xlfn.XLOOKUP($K285&amp;"",COMPUTER!$B$3:$B$1009&amp;"",COMPUTER!$I$3:$I$1009,""),"Display",_xlfn.XLOOKUP($K285&amp;"",DISPLAY!$B$3:$B$1000&amp;"",DISPLAY!$J$3:$J$1000,""),"Network Device",_xlfn.XLOOKUP($K285&amp;"",'NETWORK-DEVICES'!$B$3:$B$987&amp;"",'NETWORK-DEVICES'!$I$3:$I$987,""),"Peripheral",_xlfn.XLOOKUP($K285&amp;"",PERIPHERAL!$B$3:$B$954&amp;"",PERIPHERAL!$I$3:$I$954,""),"Utilities",_xlfn.XLOOKUP($K285&amp;"",UTILITIES!$B$3:$B$953&amp;"",UTILITIES!$H$3:$H$953,""),"IOT",_xlfn.XLOOKUP($K285&amp;"",IOT!$B$3:$B$1012&amp;"",IOT!$I$3:$I$1012,""),"SERVER",_xlfn.XLOOKUP($K285&amp;"",SERVER!$B$3:$B$1009&amp;"",SERVER!$I$3:$I$1009,""),""))</f>
        <v/>
      </c>
      <c r="M285" t="str" cm="1">
        <f t="array" ref="M285">IF($K285="","",_xlfn.SWITCH($I285,"Computer",_xlfn.XLOOKUP($K285&amp;"",COMPUTER!$B$3:$B$1009&amp;"",COMPUTER!$J$3:$J$1009,""),"Display",_xlfn.XLOOKUP($K285&amp;"",DISPLAY!$B$3:$B$1000&amp;"",DISPLAY!$K$3:$K$1000,""),"Network Device",_xlfn.XLOOKUP($K285&amp;"",'NETWORK-DEVICES'!$B$3:$B$987&amp;"",'NETWORK-DEVICES'!$I$3:$I$987,""),"Peripheral",_xlfn.XLOOKUP($K285&amp;"",PERIPHERAL!$B$3:$B$954&amp;"",PERIPHERAL!$J$3:$J$954,""),"Utilities",_xlfn.XLOOKUP($K285&amp;"",UTILITIES!$B$3:$B$953&amp;"",UTILITIES!$I$3:$I$953,""),"IOT",_xlfn.XLOOKUP($K285&amp;"",IOT!$B$3:$B$1012&amp;"",IOT!$J$3:$J$1012,""),"Server",_xlfn.XLOOKUP($K285&amp;"",SERVER!$B$3:$B$1009&amp;"",SERVER!$J$3:$J$1009,""),""))</f>
        <v/>
      </c>
      <c r="N285" s="1" t="str" cm="1">
        <f t="array" ref="N285">IF(OR($K285="",$I285="",$J285=""),"",_xlfn.LET(_xlpm.srcCat,_xlfn.SWITCH($I285,"Computer",_xlfn.XLOOKUP($K285&amp;"",COMPUTER!$B$3:$B$1009&amp;"",COMPUTER!$H$3:$H$1009,""),"Display",_xlfn.XLOOKUP($K285&amp;"",DISPLAY!$B$3:$B$1000&amp;"",DISPLAY!$H$3:$H$1000,""),"Network Device",_xlfn.XLOOKUP($K285&amp;"",'NETWORK-DEVICES'!$B$3:$B$987&amp;"",'NETWORK-DEVICES'!$H$3:$H$987,""),"Peripheral",_xlfn.XLOOKUP($K285&amp;"",PERIPHERAL!$B$3:$B$954&amp;"",PERIPHERAL!$H$3:$H$954,""),"Utilities",_xlfn.XLOOKUP($K285&amp;"",UTILITIES!$B$3:$B$953&amp;"",UTILITIES!$G$3:$G$953,""),"IOT",_xlfn.XLOOKUP($K285&amp;"",IOT!$B$3:$B$1012&amp;"",IOT!$H$3:$H$1012,""),"Server",_xlfn.XLOOKUP($K285&amp;"",SERVER!$B$3:$B$1009&amp;"",SERVER!$H$3:$H$1009,""),""),IF(TRIM(_xlpm.srcCat)&lt;&gt;TRIM($J285),"",_xlfn.SWITCH($I285,"Computer",_xlfn.XLOOKUP($K285&amp;"",COMPUTER!$B$3:$B$1009&amp;"",COMPUTER!$K$3:$K$1009,""),"Display",_xlfn.XLOOKUP($K285&amp;"",DISPLAY!$B$3:$B$1000&amp;"",DISPLAY!$L$3:$L$1000,""),"Network Device",_xlfn.XLOOKUP($K285&amp;"",'NETWORK-DEVICES'!$B$3:$B$987&amp;"",'NETWORK-DEVICES'!$K$3:$K$987,""),"Peripheral",_xlfn.XLOOKUP($K285&amp;"",PERIPHERAL!$B$3:$B$954&amp;"",PERIPHERAL!$K$3:$K$954,""),"Utilities",_xlfn.XLOOKUP($K285&amp;"",UTILITIES!$B$3:$B$953&amp;"",UTILITIES!$J$3:$J$953,""),"IOT",_xlfn.XLOOKUP($K285&amp;"",IOT!$B$3:$B$1012&amp;"",IOT!$K$4:$K$1012,""),"Server",_xlfn.XLOOKUP($K285&amp;"",SERVER!$B$3:$B$1009&amp;"",SERVER!$K$3:$K$1009,""),""))))</f>
        <v/>
      </c>
      <c r="O285" s="1" t="str" cm="1">
        <f t="array" ref="O285">IF(OR($K285="",$I285="",$J285=""),"",_xlfn.LET(_xlpm.srcCat,_xlfn.SWITCH($I285,"Computer",_xlfn.XLOOKUP($K285&amp;"",COMPUTER!$B$3:$B$1009&amp;"",COMPUTER!$H$3:$H$1009,""),"Display",_xlfn.XLOOKUP($K285&amp;"",DISPLAY!$B$3:$B$1000&amp;"",DISPLAY!$H$3:$H$1000,""),"Network Device",_xlfn.XLOOKUP($K285&amp;"",'NETWORK-DEVICES'!$B$3:$B$987&amp;"",'NETWORK-DEVICES'!$H$3:$H$987,""),"Peripheral",_xlfn.XLOOKUP($K285&amp;"",PERIPHERAL!$B$3:$B$954&amp;"",PERIPHERAL!$H$3:$H$954,""),"Utilities",_xlfn.XLOOKUP($K285&amp;"",UTILITIES!$B$3:$B$953&amp;"",UTILITIES!$G$3:$G$953,""),"IOT",_xlfn.XLOOKUP($K285&amp;"",IOT!$B$3:$B$1012&amp;"",IOT!$H$3:$H$1012,""),"Server",_xlfn.XLOOKUP($K285&amp;"",SERVER!$B$3:$B$1009&amp;"",SERVER!$H$3:$H$1009,""),""),IF(TRIM(_xlpm.srcCat)&lt;&gt;TRIM($J285),"",_xlfn.SWITCH($I285,"Computer",_xlfn.XLOOKUP($K285&amp;"",COMPUTER!$B$3:$B$1009&amp;"",COMPUTER!$E$3:$E$1009,""),"Display",_xlfn.XLOOKUP($K285&amp;"",DISPLAY!$B$3:$B$1000&amp;"",DISPLAY!$E$3:$E$1000,""),"Network Device",_xlfn.XLOOKUP($K285&amp;"",'NETWORK-DEVICES'!$B$3:$B$987&amp;"",'NETWORK-DEVICES'!$E$3:$E$987,""),"Peripheral",_xlfn.XLOOKUP($K285&amp;"",PERIPHERAL!$B$3:$B$954&amp;"",PERIPHERAL!$E$3:$E$954,""),"Utilities",_xlfn.XLOOKUP($K285&amp;"",UTILITIES!$B$3:$B$953&amp;"",UTILITIES!$E$3:$E$953,""),"IOT",_xlfn.XLOOKUP($K285&amp;"",IOT!$B$3:$B$1012&amp;"",IOT!$E$3:$E$1012,""),"Server",_xlfn.XLOOKUP($K285&amp;"",SERVER!$B$3:$B$1009&amp;"",SERVER!$E$3:$E$1009,""),""))))</f>
        <v/>
      </c>
      <c r="Q285" s="1" t="str" cm="1">
        <f t="array" ref="Q285">IF(OR($K285="",$I285="",$J285=""),"",_xlfn.LET(_xlpm.srcCat,_xlfn.SWITCH($I285,"Computer",_xlfn.XLOOKUP($K285&amp;"",COMPUTER!$B$3:$B$1009&amp;"",COMPUTER!$H$3:$H$1009,""),"Display",_xlfn.XLOOKUP($K285&amp;"",DISPLAY!$B$3:$B$1000&amp;"",DISPLAY!$H$3:$H$1000,""),"Network Device",_xlfn.XLOOKUP($K285&amp;"",'NETWORK-DEVICES'!$B$3:$B$987&amp;"",'NETWORK-DEVICES'!$H$3:$H$987,""),"Peripheral",_xlfn.XLOOKUP($K285&amp;"",PERIPHERAL!$B$3:$B$954&amp;"",PERIPHERAL!$H$3:$H$954,""),"Utilities",_xlfn.XLOOKUP($K285&amp;"",UTILITIES!$B$3:$B$953&amp;"",UTILITIES!$G$3:$G$953,""),"IOT",_xlfn.XLOOKUP($K285&amp;"",IOT!$B$3:$B$1012&amp;"",IOT!$H$3:$H$1012,""),"Server",_xlfn.XLOOKUP($K285&amp;"",SERVER!$B$3:$B$1009&amp;"",SERVER!$H$3:$H$1009,""),""),IF(TRIM(_xlpm.srcCat)&lt;&gt;TRIM($J285),"",_xlfn.SWITCH($I285,"Computer",_xlfn.XLOOKUP($K285&amp;"",COMPUTER!$B$3:$B$1009&amp;"",COMPUTER!$AM$3:$AM$1009,""),"Display",_xlfn.XLOOKUP($K285&amp;"",DISPLAY!$B$3:$B$1000&amp;"",DISPLAY!$V$3:$V$1000,""),"Network Device",_xlfn.XLOOKUP($K285&amp;"",'NETWORK-DEVICES'!$B$3:$B$987&amp;"",'NETWORK-DEVICES'!$AF$3:$AF$987,""),"Peripheral",_xlfn.XLOOKUP($K285&amp;"",PERIPHERAL!$B$3:$B$954&amp;"",PERIPHERAL!$Y$3:$Y$954,""),"Utilities",_xlfn.XLOOKUP($K285&amp;"",UTILITIES!$B$3:$B$953&amp;"",UTILITIES!$O$3:$O$953,""),"IOT",_xlfn.XLOOKUP($K285&amp;"",IOT!$B$3:$B$1012&amp;"",IOT!$AB$3:$AB$1012,""),"Server",_xlfn.XLOOKUP($K285&amp;"",SERVER!$B$3:$B$1009&amp;"",SERVER!$AB$3:$AB$1009,""),""))))</f>
        <v/>
      </c>
      <c r="R285" s="43" t="str">
        <f>IF(tbl_handover[[#This Row],[Asset Code]]="","",COUNTIF(tbl_handover[Asset Code],tbl_handover[[#This Row],[Asset Code]]))</f>
        <v/>
      </c>
    </row>
    <row r="286" spans="1:18" x14ac:dyDescent="0.25">
      <c r="A286" s="43" t="str">
        <f>IF(B286&lt;&gt;"",SUBTOTAL(3,$B$1:B285),"")</f>
        <v/>
      </c>
      <c r="C286" s="74"/>
      <c r="D286" s="74"/>
      <c r="G286" s="1"/>
      <c r="K286" s="42"/>
      <c r="L286" t="str" cm="1">
        <f t="array" ref="L286">IF($K286="","",_xlfn.SWITCH($I286,"Computer",_xlfn.XLOOKUP($K286&amp;"",COMPUTER!$B$3:$B$1009&amp;"",COMPUTER!$I$3:$I$1009,""),"Display",_xlfn.XLOOKUP($K286&amp;"",DISPLAY!$B$3:$B$1000&amp;"",DISPLAY!$J$3:$J$1000,""),"Network Device",_xlfn.XLOOKUP($K286&amp;"",'NETWORK-DEVICES'!$B$3:$B$987&amp;"",'NETWORK-DEVICES'!$I$3:$I$987,""),"Peripheral",_xlfn.XLOOKUP($K286&amp;"",PERIPHERAL!$B$3:$B$954&amp;"",PERIPHERAL!$I$3:$I$954,""),"Utilities",_xlfn.XLOOKUP($K286&amp;"",UTILITIES!$B$3:$B$953&amp;"",UTILITIES!$H$3:$H$953,""),"IOT",_xlfn.XLOOKUP($K286&amp;"",IOT!$B$3:$B$1012&amp;"",IOT!$I$3:$I$1012,""),"SERVER",_xlfn.XLOOKUP($K286&amp;"",SERVER!$B$3:$B$1009&amp;"",SERVER!$I$3:$I$1009,""),""))</f>
        <v/>
      </c>
      <c r="M286" t="str" cm="1">
        <f t="array" ref="M286">IF($K286="","",_xlfn.SWITCH($I286,"Computer",_xlfn.XLOOKUP($K286&amp;"",COMPUTER!$B$3:$B$1009&amp;"",COMPUTER!$J$3:$J$1009,""),"Display",_xlfn.XLOOKUP($K286&amp;"",DISPLAY!$B$3:$B$1000&amp;"",DISPLAY!$K$3:$K$1000,""),"Network Device",_xlfn.XLOOKUP($K286&amp;"",'NETWORK-DEVICES'!$B$3:$B$987&amp;"",'NETWORK-DEVICES'!$I$3:$I$987,""),"Peripheral",_xlfn.XLOOKUP($K286&amp;"",PERIPHERAL!$B$3:$B$954&amp;"",PERIPHERAL!$J$3:$J$954,""),"Utilities",_xlfn.XLOOKUP($K286&amp;"",UTILITIES!$B$3:$B$953&amp;"",UTILITIES!$I$3:$I$953,""),"IOT",_xlfn.XLOOKUP($K286&amp;"",IOT!$B$3:$B$1012&amp;"",IOT!$J$3:$J$1012,""),"Server",_xlfn.XLOOKUP($K286&amp;"",SERVER!$B$3:$B$1009&amp;"",SERVER!$J$3:$J$1009,""),""))</f>
        <v/>
      </c>
      <c r="N286" s="1" t="str" cm="1">
        <f t="array" ref="N286">IF(OR($K286="",$I286="",$J286=""),"",_xlfn.LET(_xlpm.srcCat,_xlfn.SWITCH($I286,"Computer",_xlfn.XLOOKUP($K286&amp;"",COMPUTER!$B$3:$B$1009&amp;"",COMPUTER!$H$3:$H$1009,""),"Display",_xlfn.XLOOKUP($K286&amp;"",DISPLAY!$B$3:$B$1000&amp;"",DISPLAY!$H$3:$H$1000,""),"Network Device",_xlfn.XLOOKUP($K286&amp;"",'NETWORK-DEVICES'!$B$3:$B$987&amp;"",'NETWORK-DEVICES'!$H$3:$H$987,""),"Peripheral",_xlfn.XLOOKUP($K286&amp;"",PERIPHERAL!$B$3:$B$954&amp;"",PERIPHERAL!$H$3:$H$954,""),"Utilities",_xlfn.XLOOKUP($K286&amp;"",UTILITIES!$B$3:$B$953&amp;"",UTILITIES!$G$3:$G$953,""),"IOT",_xlfn.XLOOKUP($K286&amp;"",IOT!$B$3:$B$1012&amp;"",IOT!$H$3:$H$1012,""),"Server",_xlfn.XLOOKUP($K286&amp;"",SERVER!$B$3:$B$1009&amp;"",SERVER!$H$3:$H$1009,""),""),IF(TRIM(_xlpm.srcCat)&lt;&gt;TRIM($J286),"",_xlfn.SWITCH($I286,"Computer",_xlfn.XLOOKUP($K286&amp;"",COMPUTER!$B$3:$B$1009&amp;"",COMPUTER!$K$3:$K$1009,""),"Display",_xlfn.XLOOKUP($K286&amp;"",DISPLAY!$B$3:$B$1000&amp;"",DISPLAY!$L$3:$L$1000,""),"Network Device",_xlfn.XLOOKUP($K286&amp;"",'NETWORK-DEVICES'!$B$3:$B$987&amp;"",'NETWORK-DEVICES'!$K$3:$K$987,""),"Peripheral",_xlfn.XLOOKUP($K286&amp;"",PERIPHERAL!$B$3:$B$954&amp;"",PERIPHERAL!$K$3:$K$954,""),"Utilities",_xlfn.XLOOKUP($K286&amp;"",UTILITIES!$B$3:$B$953&amp;"",UTILITIES!$J$3:$J$953,""),"IOT",_xlfn.XLOOKUP($K286&amp;"",IOT!$B$3:$B$1012&amp;"",IOT!$K$4:$K$1012,""),"Server",_xlfn.XLOOKUP($K286&amp;"",SERVER!$B$3:$B$1009&amp;"",SERVER!$K$3:$K$1009,""),""))))</f>
        <v/>
      </c>
      <c r="O286" s="1" t="str" cm="1">
        <f t="array" ref="O286">IF(OR($K286="",$I286="",$J286=""),"",_xlfn.LET(_xlpm.srcCat,_xlfn.SWITCH($I286,"Computer",_xlfn.XLOOKUP($K286&amp;"",COMPUTER!$B$3:$B$1009&amp;"",COMPUTER!$H$3:$H$1009,""),"Display",_xlfn.XLOOKUP($K286&amp;"",DISPLAY!$B$3:$B$1000&amp;"",DISPLAY!$H$3:$H$1000,""),"Network Device",_xlfn.XLOOKUP($K286&amp;"",'NETWORK-DEVICES'!$B$3:$B$987&amp;"",'NETWORK-DEVICES'!$H$3:$H$987,""),"Peripheral",_xlfn.XLOOKUP($K286&amp;"",PERIPHERAL!$B$3:$B$954&amp;"",PERIPHERAL!$H$3:$H$954,""),"Utilities",_xlfn.XLOOKUP($K286&amp;"",UTILITIES!$B$3:$B$953&amp;"",UTILITIES!$G$3:$G$953,""),"IOT",_xlfn.XLOOKUP($K286&amp;"",IOT!$B$3:$B$1012&amp;"",IOT!$H$3:$H$1012,""),"Server",_xlfn.XLOOKUP($K286&amp;"",SERVER!$B$3:$B$1009&amp;"",SERVER!$H$3:$H$1009,""),""),IF(TRIM(_xlpm.srcCat)&lt;&gt;TRIM($J286),"",_xlfn.SWITCH($I286,"Computer",_xlfn.XLOOKUP($K286&amp;"",COMPUTER!$B$3:$B$1009&amp;"",COMPUTER!$E$3:$E$1009,""),"Display",_xlfn.XLOOKUP($K286&amp;"",DISPLAY!$B$3:$B$1000&amp;"",DISPLAY!$E$3:$E$1000,""),"Network Device",_xlfn.XLOOKUP($K286&amp;"",'NETWORK-DEVICES'!$B$3:$B$987&amp;"",'NETWORK-DEVICES'!$E$3:$E$987,""),"Peripheral",_xlfn.XLOOKUP($K286&amp;"",PERIPHERAL!$B$3:$B$954&amp;"",PERIPHERAL!$E$3:$E$954,""),"Utilities",_xlfn.XLOOKUP($K286&amp;"",UTILITIES!$B$3:$B$953&amp;"",UTILITIES!$E$3:$E$953,""),"IOT",_xlfn.XLOOKUP($K286&amp;"",IOT!$B$3:$B$1012&amp;"",IOT!$E$3:$E$1012,""),"Server",_xlfn.XLOOKUP($K286&amp;"",SERVER!$B$3:$B$1009&amp;"",SERVER!$E$3:$E$1009,""),""))))</f>
        <v/>
      </c>
      <c r="Q286" s="1" t="str" cm="1">
        <f t="array" ref="Q286">IF(OR($K286="",$I286="",$J286=""),"",_xlfn.LET(_xlpm.srcCat,_xlfn.SWITCH($I286,"Computer",_xlfn.XLOOKUP($K286&amp;"",COMPUTER!$B$3:$B$1009&amp;"",COMPUTER!$H$3:$H$1009,""),"Display",_xlfn.XLOOKUP($K286&amp;"",DISPLAY!$B$3:$B$1000&amp;"",DISPLAY!$H$3:$H$1000,""),"Network Device",_xlfn.XLOOKUP($K286&amp;"",'NETWORK-DEVICES'!$B$3:$B$987&amp;"",'NETWORK-DEVICES'!$H$3:$H$987,""),"Peripheral",_xlfn.XLOOKUP($K286&amp;"",PERIPHERAL!$B$3:$B$954&amp;"",PERIPHERAL!$H$3:$H$954,""),"Utilities",_xlfn.XLOOKUP($K286&amp;"",UTILITIES!$B$3:$B$953&amp;"",UTILITIES!$G$3:$G$953,""),"IOT",_xlfn.XLOOKUP($K286&amp;"",IOT!$B$3:$B$1012&amp;"",IOT!$H$3:$H$1012,""),"Server",_xlfn.XLOOKUP($K286&amp;"",SERVER!$B$3:$B$1009&amp;"",SERVER!$H$3:$H$1009,""),""),IF(TRIM(_xlpm.srcCat)&lt;&gt;TRIM($J286),"",_xlfn.SWITCH($I286,"Computer",_xlfn.XLOOKUP($K286&amp;"",COMPUTER!$B$3:$B$1009&amp;"",COMPUTER!$AM$3:$AM$1009,""),"Display",_xlfn.XLOOKUP($K286&amp;"",DISPLAY!$B$3:$B$1000&amp;"",DISPLAY!$V$3:$V$1000,""),"Network Device",_xlfn.XLOOKUP($K286&amp;"",'NETWORK-DEVICES'!$B$3:$B$987&amp;"",'NETWORK-DEVICES'!$AF$3:$AF$987,""),"Peripheral",_xlfn.XLOOKUP($K286&amp;"",PERIPHERAL!$B$3:$B$954&amp;"",PERIPHERAL!$Y$3:$Y$954,""),"Utilities",_xlfn.XLOOKUP($K286&amp;"",UTILITIES!$B$3:$B$953&amp;"",UTILITIES!$O$3:$O$953,""),"IOT",_xlfn.XLOOKUP($K286&amp;"",IOT!$B$3:$B$1012&amp;"",IOT!$AB$3:$AB$1012,""),"Server",_xlfn.XLOOKUP($K286&amp;"",SERVER!$B$3:$B$1009&amp;"",SERVER!$AB$3:$AB$1009,""),""))))</f>
        <v/>
      </c>
      <c r="R286" s="43" t="str">
        <f>IF(tbl_handover[[#This Row],[Asset Code]]="","",COUNTIF(tbl_handover[Asset Code],tbl_handover[[#This Row],[Asset Code]]))</f>
        <v/>
      </c>
    </row>
    <row r="287" spans="1:18" x14ac:dyDescent="0.25">
      <c r="A287" s="43" t="str">
        <f>IF(B287&lt;&gt;"",SUBTOTAL(3,$B$1:B286),"")</f>
        <v/>
      </c>
      <c r="C287" s="74"/>
      <c r="D287" s="74"/>
      <c r="G287" s="1"/>
      <c r="K287" s="42"/>
      <c r="L287" t="str" cm="1">
        <f t="array" ref="L287">IF($K287="","",_xlfn.SWITCH($I287,"Computer",_xlfn.XLOOKUP($K287&amp;"",COMPUTER!$B$3:$B$1009&amp;"",COMPUTER!$I$3:$I$1009,""),"Display",_xlfn.XLOOKUP($K287&amp;"",DISPLAY!$B$3:$B$1000&amp;"",DISPLAY!$J$3:$J$1000,""),"Network Device",_xlfn.XLOOKUP($K287&amp;"",'NETWORK-DEVICES'!$B$3:$B$987&amp;"",'NETWORK-DEVICES'!$I$3:$I$987,""),"Peripheral",_xlfn.XLOOKUP($K287&amp;"",PERIPHERAL!$B$3:$B$954&amp;"",PERIPHERAL!$I$3:$I$954,""),"Utilities",_xlfn.XLOOKUP($K287&amp;"",UTILITIES!$B$3:$B$953&amp;"",UTILITIES!$H$3:$H$953,""),"IOT",_xlfn.XLOOKUP($K287&amp;"",IOT!$B$3:$B$1012&amp;"",IOT!$I$3:$I$1012,""),"SERVER",_xlfn.XLOOKUP($K287&amp;"",SERVER!$B$3:$B$1009&amp;"",SERVER!$I$3:$I$1009,""),""))</f>
        <v/>
      </c>
      <c r="M287" t="str" cm="1">
        <f t="array" ref="M287">IF($K287="","",_xlfn.SWITCH($I287,"Computer",_xlfn.XLOOKUP($K287&amp;"",COMPUTER!$B$3:$B$1009&amp;"",COMPUTER!$J$3:$J$1009,""),"Display",_xlfn.XLOOKUP($K287&amp;"",DISPLAY!$B$3:$B$1000&amp;"",DISPLAY!$K$3:$K$1000,""),"Network Device",_xlfn.XLOOKUP($K287&amp;"",'NETWORK-DEVICES'!$B$3:$B$987&amp;"",'NETWORK-DEVICES'!$I$3:$I$987,""),"Peripheral",_xlfn.XLOOKUP($K287&amp;"",PERIPHERAL!$B$3:$B$954&amp;"",PERIPHERAL!$J$3:$J$954,""),"Utilities",_xlfn.XLOOKUP($K287&amp;"",UTILITIES!$B$3:$B$953&amp;"",UTILITIES!$I$3:$I$953,""),"IOT",_xlfn.XLOOKUP($K287&amp;"",IOT!$B$3:$B$1012&amp;"",IOT!$J$3:$J$1012,""),"Server",_xlfn.XLOOKUP($K287&amp;"",SERVER!$B$3:$B$1009&amp;"",SERVER!$J$3:$J$1009,""),""))</f>
        <v/>
      </c>
      <c r="N287" s="1" t="str" cm="1">
        <f t="array" ref="N287">IF(OR($K287="",$I287="",$J287=""),"",_xlfn.LET(_xlpm.srcCat,_xlfn.SWITCH($I287,"Computer",_xlfn.XLOOKUP($K287&amp;"",COMPUTER!$B$3:$B$1009&amp;"",COMPUTER!$H$3:$H$1009,""),"Display",_xlfn.XLOOKUP($K287&amp;"",DISPLAY!$B$3:$B$1000&amp;"",DISPLAY!$H$3:$H$1000,""),"Network Device",_xlfn.XLOOKUP($K287&amp;"",'NETWORK-DEVICES'!$B$3:$B$987&amp;"",'NETWORK-DEVICES'!$H$3:$H$987,""),"Peripheral",_xlfn.XLOOKUP($K287&amp;"",PERIPHERAL!$B$3:$B$954&amp;"",PERIPHERAL!$H$3:$H$954,""),"Utilities",_xlfn.XLOOKUP($K287&amp;"",UTILITIES!$B$3:$B$953&amp;"",UTILITIES!$G$3:$G$953,""),"IOT",_xlfn.XLOOKUP($K287&amp;"",IOT!$B$3:$B$1012&amp;"",IOT!$H$3:$H$1012,""),"Server",_xlfn.XLOOKUP($K287&amp;"",SERVER!$B$3:$B$1009&amp;"",SERVER!$H$3:$H$1009,""),""),IF(TRIM(_xlpm.srcCat)&lt;&gt;TRIM($J287),"",_xlfn.SWITCH($I287,"Computer",_xlfn.XLOOKUP($K287&amp;"",COMPUTER!$B$3:$B$1009&amp;"",COMPUTER!$K$3:$K$1009,""),"Display",_xlfn.XLOOKUP($K287&amp;"",DISPLAY!$B$3:$B$1000&amp;"",DISPLAY!$L$3:$L$1000,""),"Network Device",_xlfn.XLOOKUP($K287&amp;"",'NETWORK-DEVICES'!$B$3:$B$987&amp;"",'NETWORK-DEVICES'!$K$3:$K$987,""),"Peripheral",_xlfn.XLOOKUP($K287&amp;"",PERIPHERAL!$B$3:$B$954&amp;"",PERIPHERAL!$K$3:$K$954,""),"Utilities",_xlfn.XLOOKUP($K287&amp;"",UTILITIES!$B$3:$B$953&amp;"",UTILITIES!$J$3:$J$953,""),"IOT",_xlfn.XLOOKUP($K287&amp;"",IOT!$B$3:$B$1012&amp;"",IOT!$K$4:$K$1012,""),"Server",_xlfn.XLOOKUP($K287&amp;"",SERVER!$B$3:$B$1009&amp;"",SERVER!$K$3:$K$1009,""),""))))</f>
        <v/>
      </c>
      <c r="O287" s="1" t="str" cm="1">
        <f t="array" ref="O287">IF(OR($K287="",$I287="",$J287=""),"",_xlfn.LET(_xlpm.srcCat,_xlfn.SWITCH($I287,"Computer",_xlfn.XLOOKUP($K287&amp;"",COMPUTER!$B$3:$B$1009&amp;"",COMPUTER!$H$3:$H$1009,""),"Display",_xlfn.XLOOKUP($K287&amp;"",DISPLAY!$B$3:$B$1000&amp;"",DISPLAY!$H$3:$H$1000,""),"Network Device",_xlfn.XLOOKUP($K287&amp;"",'NETWORK-DEVICES'!$B$3:$B$987&amp;"",'NETWORK-DEVICES'!$H$3:$H$987,""),"Peripheral",_xlfn.XLOOKUP($K287&amp;"",PERIPHERAL!$B$3:$B$954&amp;"",PERIPHERAL!$H$3:$H$954,""),"Utilities",_xlfn.XLOOKUP($K287&amp;"",UTILITIES!$B$3:$B$953&amp;"",UTILITIES!$G$3:$G$953,""),"IOT",_xlfn.XLOOKUP($K287&amp;"",IOT!$B$3:$B$1012&amp;"",IOT!$H$3:$H$1012,""),"Server",_xlfn.XLOOKUP($K287&amp;"",SERVER!$B$3:$B$1009&amp;"",SERVER!$H$3:$H$1009,""),""),IF(TRIM(_xlpm.srcCat)&lt;&gt;TRIM($J287),"",_xlfn.SWITCH($I287,"Computer",_xlfn.XLOOKUP($K287&amp;"",COMPUTER!$B$3:$B$1009&amp;"",COMPUTER!$E$3:$E$1009,""),"Display",_xlfn.XLOOKUP($K287&amp;"",DISPLAY!$B$3:$B$1000&amp;"",DISPLAY!$E$3:$E$1000,""),"Network Device",_xlfn.XLOOKUP($K287&amp;"",'NETWORK-DEVICES'!$B$3:$B$987&amp;"",'NETWORK-DEVICES'!$E$3:$E$987,""),"Peripheral",_xlfn.XLOOKUP($K287&amp;"",PERIPHERAL!$B$3:$B$954&amp;"",PERIPHERAL!$E$3:$E$954,""),"Utilities",_xlfn.XLOOKUP($K287&amp;"",UTILITIES!$B$3:$B$953&amp;"",UTILITIES!$E$3:$E$953,""),"IOT",_xlfn.XLOOKUP($K287&amp;"",IOT!$B$3:$B$1012&amp;"",IOT!$E$3:$E$1012,""),"Server",_xlfn.XLOOKUP($K287&amp;"",SERVER!$B$3:$B$1009&amp;"",SERVER!$E$3:$E$1009,""),""))))</f>
        <v/>
      </c>
      <c r="Q287" s="1" t="str" cm="1">
        <f t="array" ref="Q287">IF(OR($K287="",$I287="",$J287=""),"",_xlfn.LET(_xlpm.srcCat,_xlfn.SWITCH($I287,"Computer",_xlfn.XLOOKUP($K287&amp;"",COMPUTER!$B$3:$B$1009&amp;"",COMPUTER!$H$3:$H$1009,""),"Display",_xlfn.XLOOKUP($K287&amp;"",DISPLAY!$B$3:$B$1000&amp;"",DISPLAY!$H$3:$H$1000,""),"Network Device",_xlfn.XLOOKUP($K287&amp;"",'NETWORK-DEVICES'!$B$3:$B$987&amp;"",'NETWORK-DEVICES'!$H$3:$H$987,""),"Peripheral",_xlfn.XLOOKUP($K287&amp;"",PERIPHERAL!$B$3:$B$954&amp;"",PERIPHERAL!$H$3:$H$954,""),"Utilities",_xlfn.XLOOKUP($K287&amp;"",UTILITIES!$B$3:$B$953&amp;"",UTILITIES!$G$3:$G$953,""),"IOT",_xlfn.XLOOKUP($K287&amp;"",IOT!$B$3:$B$1012&amp;"",IOT!$H$3:$H$1012,""),"Server",_xlfn.XLOOKUP($K287&amp;"",SERVER!$B$3:$B$1009&amp;"",SERVER!$H$3:$H$1009,""),""),IF(TRIM(_xlpm.srcCat)&lt;&gt;TRIM($J287),"",_xlfn.SWITCH($I287,"Computer",_xlfn.XLOOKUP($K287&amp;"",COMPUTER!$B$3:$B$1009&amp;"",COMPUTER!$AM$3:$AM$1009,""),"Display",_xlfn.XLOOKUP($K287&amp;"",DISPLAY!$B$3:$B$1000&amp;"",DISPLAY!$V$3:$V$1000,""),"Network Device",_xlfn.XLOOKUP($K287&amp;"",'NETWORK-DEVICES'!$B$3:$B$987&amp;"",'NETWORK-DEVICES'!$AF$3:$AF$987,""),"Peripheral",_xlfn.XLOOKUP($K287&amp;"",PERIPHERAL!$B$3:$B$954&amp;"",PERIPHERAL!$Y$3:$Y$954,""),"Utilities",_xlfn.XLOOKUP($K287&amp;"",UTILITIES!$B$3:$B$953&amp;"",UTILITIES!$O$3:$O$953,""),"IOT",_xlfn.XLOOKUP($K287&amp;"",IOT!$B$3:$B$1012&amp;"",IOT!$AB$3:$AB$1012,""),"Server",_xlfn.XLOOKUP($K287&amp;"",SERVER!$B$3:$B$1009&amp;"",SERVER!$AB$3:$AB$1009,""),""))))</f>
        <v/>
      </c>
      <c r="R287" s="43" t="str">
        <f>IF(tbl_handover[[#This Row],[Asset Code]]="","",COUNTIF(tbl_handover[Asset Code],tbl_handover[[#This Row],[Asset Code]]))</f>
        <v/>
      </c>
    </row>
    <row r="288" spans="1:18" x14ac:dyDescent="0.25">
      <c r="A288" s="43" t="str">
        <f>IF(B288&lt;&gt;"",SUBTOTAL(3,$B$1:B287),"")</f>
        <v/>
      </c>
      <c r="C288" s="74"/>
      <c r="D288" s="74"/>
      <c r="G288" s="1"/>
      <c r="K288" s="42"/>
      <c r="L288" t="str" cm="1">
        <f t="array" ref="L288">IF($K288="","",_xlfn.SWITCH($I288,"Computer",_xlfn.XLOOKUP($K288&amp;"",COMPUTER!$B$3:$B$1009&amp;"",COMPUTER!$I$3:$I$1009,""),"Display",_xlfn.XLOOKUP($K288&amp;"",DISPLAY!$B$3:$B$1000&amp;"",DISPLAY!$J$3:$J$1000,""),"Network Device",_xlfn.XLOOKUP($K288&amp;"",'NETWORK-DEVICES'!$B$3:$B$987&amp;"",'NETWORK-DEVICES'!$I$3:$I$987,""),"Peripheral",_xlfn.XLOOKUP($K288&amp;"",PERIPHERAL!$B$3:$B$954&amp;"",PERIPHERAL!$I$3:$I$954,""),"Utilities",_xlfn.XLOOKUP($K288&amp;"",UTILITIES!$B$3:$B$953&amp;"",UTILITIES!$H$3:$H$953,""),"IOT",_xlfn.XLOOKUP($K288&amp;"",IOT!$B$3:$B$1012&amp;"",IOT!$I$3:$I$1012,""),"SERVER",_xlfn.XLOOKUP($K288&amp;"",SERVER!$B$3:$B$1009&amp;"",SERVER!$I$3:$I$1009,""),""))</f>
        <v/>
      </c>
      <c r="M288" t="str" cm="1">
        <f t="array" ref="M288">IF($K288="","",_xlfn.SWITCH($I288,"Computer",_xlfn.XLOOKUP($K288&amp;"",COMPUTER!$B$3:$B$1009&amp;"",COMPUTER!$J$3:$J$1009,""),"Display",_xlfn.XLOOKUP($K288&amp;"",DISPLAY!$B$3:$B$1000&amp;"",DISPLAY!$K$3:$K$1000,""),"Network Device",_xlfn.XLOOKUP($K288&amp;"",'NETWORK-DEVICES'!$B$3:$B$987&amp;"",'NETWORK-DEVICES'!$I$3:$I$987,""),"Peripheral",_xlfn.XLOOKUP($K288&amp;"",PERIPHERAL!$B$3:$B$954&amp;"",PERIPHERAL!$J$3:$J$954,""),"Utilities",_xlfn.XLOOKUP($K288&amp;"",UTILITIES!$B$3:$B$953&amp;"",UTILITIES!$I$3:$I$953,""),"IOT",_xlfn.XLOOKUP($K288&amp;"",IOT!$B$3:$B$1012&amp;"",IOT!$J$3:$J$1012,""),"Server",_xlfn.XLOOKUP($K288&amp;"",SERVER!$B$3:$B$1009&amp;"",SERVER!$J$3:$J$1009,""),""))</f>
        <v/>
      </c>
      <c r="N288" s="1" t="str" cm="1">
        <f t="array" ref="N288">IF(OR($K288="",$I288="",$J288=""),"",_xlfn.LET(_xlpm.srcCat,_xlfn.SWITCH($I288,"Computer",_xlfn.XLOOKUP($K288&amp;"",COMPUTER!$B$3:$B$1009&amp;"",COMPUTER!$H$3:$H$1009,""),"Display",_xlfn.XLOOKUP($K288&amp;"",DISPLAY!$B$3:$B$1000&amp;"",DISPLAY!$H$3:$H$1000,""),"Network Device",_xlfn.XLOOKUP($K288&amp;"",'NETWORK-DEVICES'!$B$3:$B$987&amp;"",'NETWORK-DEVICES'!$H$3:$H$987,""),"Peripheral",_xlfn.XLOOKUP($K288&amp;"",PERIPHERAL!$B$3:$B$954&amp;"",PERIPHERAL!$H$3:$H$954,""),"Utilities",_xlfn.XLOOKUP($K288&amp;"",UTILITIES!$B$3:$B$953&amp;"",UTILITIES!$G$3:$G$953,""),"IOT",_xlfn.XLOOKUP($K288&amp;"",IOT!$B$3:$B$1012&amp;"",IOT!$H$3:$H$1012,""),"Server",_xlfn.XLOOKUP($K288&amp;"",SERVER!$B$3:$B$1009&amp;"",SERVER!$H$3:$H$1009,""),""),IF(TRIM(_xlpm.srcCat)&lt;&gt;TRIM($J288),"",_xlfn.SWITCH($I288,"Computer",_xlfn.XLOOKUP($K288&amp;"",COMPUTER!$B$3:$B$1009&amp;"",COMPUTER!$K$3:$K$1009,""),"Display",_xlfn.XLOOKUP($K288&amp;"",DISPLAY!$B$3:$B$1000&amp;"",DISPLAY!$L$3:$L$1000,""),"Network Device",_xlfn.XLOOKUP($K288&amp;"",'NETWORK-DEVICES'!$B$3:$B$987&amp;"",'NETWORK-DEVICES'!$K$3:$K$987,""),"Peripheral",_xlfn.XLOOKUP($K288&amp;"",PERIPHERAL!$B$3:$B$954&amp;"",PERIPHERAL!$K$3:$K$954,""),"Utilities",_xlfn.XLOOKUP($K288&amp;"",UTILITIES!$B$3:$B$953&amp;"",UTILITIES!$J$3:$J$953,""),"IOT",_xlfn.XLOOKUP($K288&amp;"",IOT!$B$3:$B$1012&amp;"",IOT!$K$4:$K$1012,""),"Server",_xlfn.XLOOKUP($K288&amp;"",SERVER!$B$3:$B$1009&amp;"",SERVER!$K$3:$K$1009,""),""))))</f>
        <v/>
      </c>
      <c r="O288" s="1" t="str" cm="1">
        <f t="array" ref="O288">IF(OR($K288="",$I288="",$J288=""),"",_xlfn.LET(_xlpm.srcCat,_xlfn.SWITCH($I288,"Computer",_xlfn.XLOOKUP($K288&amp;"",COMPUTER!$B$3:$B$1009&amp;"",COMPUTER!$H$3:$H$1009,""),"Display",_xlfn.XLOOKUP($K288&amp;"",DISPLAY!$B$3:$B$1000&amp;"",DISPLAY!$H$3:$H$1000,""),"Network Device",_xlfn.XLOOKUP($K288&amp;"",'NETWORK-DEVICES'!$B$3:$B$987&amp;"",'NETWORK-DEVICES'!$H$3:$H$987,""),"Peripheral",_xlfn.XLOOKUP($K288&amp;"",PERIPHERAL!$B$3:$B$954&amp;"",PERIPHERAL!$H$3:$H$954,""),"Utilities",_xlfn.XLOOKUP($K288&amp;"",UTILITIES!$B$3:$B$953&amp;"",UTILITIES!$G$3:$G$953,""),"IOT",_xlfn.XLOOKUP($K288&amp;"",IOT!$B$3:$B$1012&amp;"",IOT!$H$3:$H$1012,""),"Server",_xlfn.XLOOKUP($K288&amp;"",SERVER!$B$3:$B$1009&amp;"",SERVER!$H$3:$H$1009,""),""),IF(TRIM(_xlpm.srcCat)&lt;&gt;TRIM($J288),"",_xlfn.SWITCH($I288,"Computer",_xlfn.XLOOKUP($K288&amp;"",COMPUTER!$B$3:$B$1009&amp;"",COMPUTER!$E$3:$E$1009,""),"Display",_xlfn.XLOOKUP($K288&amp;"",DISPLAY!$B$3:$B$1000&amp;"",DISPLAY!$E$3:$E$1000,""),"Network Device",_xlfn.XLOOKUP($K288&amp;"",'NETWORK-DEVICES'!$B$3:$B$987&amp;"",'NETWORK-DEVICES'!$E$3:$E$987,""),"Peripheral",_xlfn.XLOOKUP($K288&amp;"",PERIPHERAL!$B$3:$B$954&amp;"",PERIPHERAL!$E$3:$E$954,""),"Utilities",_xlfn.XLOOKUP($K288&amp;"",UTILITIES!$B$3:$B$953&amp;"",UTILITIES!$E$3:$E$953,""),"IOT",_xlfn.XLOOKUP($K288&amp;"",IOT!$B$3:$B$1012&amp;"",IOT!$E$3:$E$1012,""),"Server",_xlfn.XLOOKUP($K288&amp;"",SERVER!$B$3:$B$1009&amp;"",SERVER!$E$3:$E$1009,""),""))))</f>
        <v/>
      </c>
      <c r="Q288" s="1" t="str" cm="1">
        <f t="array" ref="Q288">IF(OR($K288="",$I288="",$J288=""),"",_xlfn.LET(_xlpm.srcCat,_xlfn.SWITCH($I288,"Computer",_xlfn.XLOOKUP($K288&amp;"",COMPUTER!$B$3:$B$1009&amp;"",COMPUTER!$H$3:$H$1009,""),"Display",_xlfn.XLOOKUP($K288&amp;"",DISPLAY!$B$3:$B$1000&amp;"",DISPLAY!$H$3:$H$1000,""),"Network Device",_xlfn.XLOOKUP($K288&amp;"",'NETWORK-DEVICES'!$B$3:$B$987&amp;"",'NETWORK-DEVICES'!$H$3:$H$987,""),"Peripheral",_xlfn.XLOOKUP($K288&amp;"",PERIPHERAL!$B$3:$B$954&amp;"",PERIPHERAL!$H$3:$H$954,""),"Utilities",_xlfn.XLOOKUP($K288&amp;"",UTILITIES!$B$3:$B$953&amp;"",UTILITIES!$G$3:$G$953,""),"IOT",_xlfn.XLOOKUP($K288&amp;"",IOT!$B$3:$B$1012&amp;"",IOT!$H$3:$H$1012,""),"Server",_xlfn.XLOOKUP($K288&amp;"",SERVER!$B$3:$B$1009&amp;"",SERVER!$H$3:$H$1009,""),""),IF(TRIM(_xlpm.srcCat)&lt;&gt;TRIM($J288),"",_xlfn.SWITCH($I288,"Computer",_xlfn.XLOOKUP($K288&amp;"",COMPUTER!$B$3:$B$1009&amp;"",COMPUTER!$AM$3:$AM$1009,""),"Display",_xlfn.XLOOKUP($K288&amp;"",DISPLAY!$B$3:$B$1000&amp;"",DISPLAY!$V$3:$V$1000,""),"Network Device",_xlfn.XLOOKUP($K288&amp;"",'NETWORK-DEVICES'!$B$3:$B$987&amp;"",'NETWORK-DEVICES'!$AF$3:$AF$987,""),"Peripheral",_xlfn.XLOOKUP($K288&amp;"",PERIPHERAL!$B$3:$B$954&amp;"",PERIPHERAL!$Y$3:$Y$954,""),"Utilities",_xlfn.XLOOKUP($K288&amp;"",UTILITIES!$B$3:$B$953&amp;"",UTILITIES!$O$3:$O$953,""),"IOT",_xlfn.XLOOKUP($K288&amp;"",IOT!$B$3:$B$1012&amp;"",IOT!$AB$3:$AB$1012,""),"Server",_xlfn.XLOOKUP($K288&amp;"",SERVER!$B$3:$B$1009&amp;"",SERVER!$AB$3:$AB$1009,""),""))))</f>
        <v/>
      </c>
      <c r="R288" s="43" t="str">
        <f>IF(tbl_handover[[#This Row],[Asset Code]]="","",COUNTIF(tbl_handover[Asset Code],tbl_handover[[#This Row],[Asset Code]]))</f>
        <v/>
      </c>
    </row>
    <row r="289" spans="1:18" x14ac:dyDescent="0.25">
      <c r="A289" s="43" t="str">
        <f>IF(B289&lt;&gt;"",SUBTOTAL(3,$B$1:B288),"")</f>
        <v/>
      </c>
      <c r="C289" s="74"/>
      <c r="D289" s="74"/>
      <c r="G289" s="1"/>
      <c r="K289" s="42"/>
      <c r="L289" t="str" cm="1">
        <f t="array" ref="L289">IF($K289="","",_xlfn.SWITCH($I289,"Computer",_xlfn.XLOOKUP($K289&amp;"",COMPUTER!$B$3:$B$1009&amp;"",COMPUTER!$I$3:$I$1009,""),"Display",_xlfn.XLOOKUP($K289&amp;"",DISPLAY!$B$3:$B$1000&amp;"",DISPLAY!$J$3:$J$1000,""),"Network Device",_xlfn.XLOOKUP($K289&amp;"",'NETWORK-DEVICES'!$B$3:$B$987&amp;"",'NETWORK-DEVICES'!$I$3:$I$987,""),"Peripheral",_xlfn.XLOOKUP($K289&amp;"",PERIPHERAL!$B$3:$B$954&amp;"",PERIPHERAL!$I$3:$I$954,""),"Utilities",_xlfn.XLOOKUP($K289&amp;"",UTILITIES!$B$3:$B$953&amp;"",UTILITIES!$H$3:$H$953,""),"IOT",_xlfn.XLOOKUP($K289&amp;"",IOT!$B$3:$B$1012&amp;"",IOT!$I$3:$I$1012,""),"SERVER",_xlfn.XLOOKUP($K289&amp;"",SERVER!$B$3:$B$1009&amp;"",SERVER!$I$3:$I$1009,""),""))</f>
        <v/>
      </c>
      <c r="M289" t="str" cm="1">
        <f t="array" ref="M289">IF($K289="","",_xlfn.SWITCH($I289,"Computer",_xlfn.XLOOKUP($K289&amp;"",COMPUTER!$B$3:$B$1009&amp;"",COMPUTER!$J$3:$J$1009,""),"Display",_xlfn.XLOOKUP($K289&amp;"",DISPLAY!$B$3:$B$1000&amp;"",DISPLAY!$K$3:$K$1000,""),"Network Device",_xlfn.XLOOKUP($K289&amp;"",'NETWORK-DEVICES'!$B$3:$B$987&amp;"",'NETWORK-DEVICES'!$I$3:$I$987,""),"Peripheral",_xlfn.XLOOKUP($K289&amp;"",PERIPHERAL!$B$3:$B$954&amp;"",PERIPHERAL!$J$3:$J$954,""),"Utilities",_xlfn.XLOOKUP($K289&amp;"",UTILITIES!$B$3:$B$953&amp;"",UTILITIES!$I$3:$I$953,""),"IOT",_xlfn.XLOOKUP($K289&amp;"",IOT!$B$3:$B$1012&amp;"",IOT!$J$3:$J$1012,""),"Server",_xlfn.XLOOKUP($K289&amp;"",SERVER!$B$3:$B$1009&amp;"",SERVER!$J$3:$J$1009,""),""))</f>
        <v/>
      </c>
      <c r="N289" s="1" t="str" cm="1">
        <f t="array" ref="N289">IF(OR($K289="",$I289="",$J289=""),"",_xlfn.LET(_xlpm.srcCat,_xlfn.SWITCH($I289,"Computer",_xlfn.XLOOKUP($K289&amp;"",COMPUTER!$B$3:$B$1009&amp;"",COMPUTER!$H$3:$H$1009,""),"Display",_xlfn.XLOOKUP($K289&amp;"",DISPLAY!$B$3:$B$1000&amp;"",DISPLAY!$H$3:$H$1000,""),"Network Device",_xlfn.XLOOKUP($K289&amp;"",'NETWORK-DEVICES'!$B$3:$B$987&amp;"",'NETWORK-DEVICES'!$H$3:$H$987,""),"Peripheral",_xlfn.XLOOKUP($K289&amp;"",PERIPHERAL!$B$3:$B$954&amp;"",PERIPHERAL!$H$3:$H$954,""),"Utilities",_xlfn.XLOOKUP($K289&amp;"",UTILITIES!$B$3:$B$953&amp;"",UTILITIES!$G$3:$G$953,""),"IOT",_xlfn.XLOOKUP($K289&amp;"",IOT!$B$3:$B$1012&amp;"",IOT!$H$3:$H$1012,""),"Server",_xlfn.XLOOKUP($K289&amp;"",SERVER!$B$3:$B$1009&amp;"",SERVER!$H$3:$H$1009,""),""),IF(TRIM(_xlpm.srcCat)&lt;&gt;TRIM($J289),"",_xlfn.SWITCH($I289,"Computer",_xlfn.XLOOKUP($K289&amp;"",COMPUTER!$B$3:$B$1009&amp;"",COMPUTER!$K$3:$K$1009,""),"Display",_xlfn.XLOOKUP($K289&amp;"",DISPLAY!$B$3:$B$1000&amp;"",DISPLAY!$L$3:$L$1000,""),"Network Device",_xlfn.XLOOKUP($K289&amp;"",'NETWORK-DEVICES'!$B$3:$B$987&amp;"",'NETWORK-DEVICES'!$K$3:$K$987,""),"Peripheral",_xlfn.XLOOKUP($K289&amp;"",PERIPHERAL!$B$3:$B$954&amp;"",PERIPHERAL!$K$3:$K$954,""),"Utilities",_xlfn.XLOOKUP($K289&amp;"",UTILITIES!$B$3:$B$953&amp;"",UTILITIES!$J$3:$J$953,""),"IOT",_xlfn.XLOOKUP($K289&amp;"",IOT!$B$3:$B$1012&amp;"",IOT!$K$4:$K$1012,""),"Server",_xlfn.XLOOKUP($K289&amp;"",SERVER!$B$3:$B$1009&amp;"",SERVER!$K$3:$K$1009,""),""))))</f>
        <v/>
      </c>
      <c r="O289" s="1" t="str" cm="1">
        <f t="array" ref="O289">IF(OR($K289="",$I289="",$J289=""),"",_xlfn.LET(_xlpm.srcCat,_xlfn.SWITCH($I289,"Computer",_xlfn.XLOOKUP($K289&amp;"",COMPUTER!$B$3:$B$1009&amp;"",COMPUTER!$H$3:$H$1009,""),"Display",_xlfn.XLOOKUP($K289&amp;"",DISPLAY!$B$3:$B$1000&amp;"",DISPLAY!$H$3:$H$1000,""),"Network Device",_xlfn.XLOOKUP($K289&amp;"",'NETWORK-DEVICES'!$B$3:$B$987&amp;"",'NETWORK-DEVICES'!$H$3:$H$987,""),"Peripheral",_xlfn.XLOOKUP($K289&amp;"",PERIPHERAL!$B$3:$B$954&amp;"",PERIPHERAL!$H$3:$H$954,""),"Utilities",_xlfn.XLOOKUP($K289&amp;"",UTILITIES!$B$3:$B$953&amp;"",UTILITIES!$G$3:$G$953,""),"IOT",_xlfn.XLOOKUP($K289&amp;"",IOT!$B$3:$B$1012&amp;"",IOT!$H$3:$H$1012,""),"Server",_xlfn.XLOOKUP($K289&amp;"",SERVER!$B$3:$B$1009&amp;"",SERVER!$H$3:$H$1009,""),""),IF(TRIM(_xlpm.srcCat)&lt;&gt;TRIM($J289),"",_xlfn.SWITCH($I289,"Computer",_xlfn.XLOOKUP($K289&amp;"",COMPUTER!$B$3:$B$1009&amp;"",COMPUTER!$E$3:$E$1009,""),"Display",_xlfn.XLOOKUP($K289&amp;"",DISPLAY!$B$3:$B$1000&amp;"",DISPLAY!$E$3:$E$1000,""),"Network Device",_xlfn.XLOOKUP($K289&amp;"",'NETWORK-DEVICES'!$B$3:$B$987&amp;"",'NETWORK-DEVICES'!$E$3:$E$987,""),"Peripheral",_xlfn.XLOOKUP($K289&amp;"",PERIPHERAL!$B$3:$B$954&amp;"",PERIPHERAL!$E$3:$E$954,""),"Utilities",_xlfn.XLOOKUP($K289&amp;"",UTILITIES!$B$3:$B$953&amp;"",UTILITIES!$E$3:$E$953,""),"IOT",_xlfn.XLOOKUP($K289&amp;"",IOT!$B$3:$B$1012&amp;"",IOT!$E$3:$E$1012,""),"Server",_xlfn.XLOOKUP($K289&amp;"",SERVER!$B$3:$B$1009&amp;"",SERVER!$E$3:$E$1009,""),""))))</f>
        <v/>
      </c>
      <c r="Q289" s="1" t="str" cm="1">
        <f t="array" ref="Q289">IF(OR($K289="",$I289="",$J289=""),"",_xlfn.LET(_xlpm.srcCat,_xlfn.SWITCH($I289,"Computer",_xlfn.XLOOKUP($K289&amp;"",COMPUTER!$B$3:$B$1009&amp;"",COMPUTER!$H$3:$H$1009,""),"Display",_xlfn.XLOOKUP($K289&amp;"",DISPLAY!$B$3:$B$1000&amp;"",DISPLAY!$H$3:$H$1000,""),"Network Device",_xlfn.XLOOKUP($K289&amp;"",'NETWORK-DEVICES'!$B$3:$B$987&amp;"",'NETWORK-DEVICES'!$H$3:$H$987,""),"Peripheral",_xlfn.XLOOKUP($K289&amp;"",PERIPHERAL!$B$3:$B$954&amp;"",PERIPHERAL!$H$3:$H$954,""),"Utilities",_xlfn.XLOOKUP($K289&amp;"",UTILITIES!$B$3:$B$953&amp;"",UTILITIES!$G$3:$G$953,""),"IOT",_xlfn.XLOOKUP($K289&amp;"",IOT!$B$3:$B$1012&amp;"",IOT!$H$3:$H$1012,""),"Server",_xlfn.XLOOKUP($K289&amp;"",SERVER!$B$3:$B$1009&amp;"",SERVER!$H$3:$H$1009,""),""),IF(TRIM(_xlpm.srcCat)&lt;&gt;TRIM($J289),"",_xlfn.SWITCH($I289,"Computer",_xlfn.XLOOKUP($K289&amp;"",COMPUTER!$B$3:$B$1009&amp;"",COMPUTER!$AM$3:$AM$1009,""),"Display",_xlfn.XLOOKUP($K289&amp;"",DISPLAY!$B$3:$B$1000&amp;"",DISPLAY!$V$3:$V$1000,""),"Network Device",_xlfn.XLOOKUP($K289&amp;"",'NETWORK-DEVICES'!$B$3:$B$987&amp;"",'NETWORK-DEVICES'!$AF$3:$AF$987,""),"Peripheral",_xlfn.XLOOKUP($K289&amp;"",PERIPHERAL!$B$3:$B$954&amp;"",PERIPHERAL!$Y$3:$Y$954,""),"Utilities",_xlfn.XLOOKUP($K289&amp;"",UTILITIES!$B$3:$B$953&amp;"",UTILITIES!$O$3:$O$953,""),"IOT",_xlfn.XLOOKUP($K289&amp;"",IOT!$B$3:$B$1012&amp;"",IOT!$AB$3:$AB$1012,""),"Server",_xlfn.XLOOKUP($K289&amp;"",SERVER!$B$3:$B$1009&amp;"",SERVER!$AB$3:$AB$1009,""),""))))</f>
        <v/>
      </c>
      <c r="R289" s="43" t="str">
        <f>IF(tbl_handover[[#This Row],[Asset Code]]="","",COUNTIF(tbl_handover[Asset Code],tbl_handover[[#This Row],[Asset Code]]))</f>
        <v/>
      </c>
    </row>
    <row r="290" spans="1:18" x14ac:dyDescent="0.25">
      <c r="A290" s="43" t="str">
        <f>IF(B290&lt;&gt;"",SUBTOTAL(3,$B$1:B289),"")</f>
        <v/>
      </c>
      <c r="C290" s="74"/>
      <c r="D290" s="74"/>
      <c r="G290" s="1"/>
      <c r="K290" s="42"/>
      <c r="L290" t="str" cm="1">
        <f t="array" ref="L290">IF($K290="","",_xlfn.SWITCH($I290,"Computer",_xlfn.XLOOKUP($K290&amp;"",COMPUTER!$B$3:$B$1009&amp;"",COMPUTER!$I$3:$I$1009,""),"Display",_xlfn.XLOOKUP($K290&amp;"",DISPLAY!$B$3:$B$1000&amp;"",DISPLAY!$J$3:$J$1000,""),"Network Device",_xlfn.XLOOKUP($K290&amp;"",'NETWORK-DEVICES'!$B$3:$B$987&amp;"",'NETWORK-DEVICES'!$I$3:$I$987,""),"Peripheral",_xlfn.XLOOKUP($K290&amp;"",PERIPHERAL!$B$3:$B$954&amp;"",PERIPHERAL!$I$3:$I$954,""),"Utilities",_xlfn.XLOOKUP($K290&amp;"",UTILITIES!$B$3:$B$953&amp;"",UTILITIES!$H$3:$H$953,""),"IOT",_xlfn.XLOOKUP($K290&amp;"",IOT!$B$3:$B$1012&amp;"",IOT!$I$3:$I$1012,""),"SERVER",_xlfn.XLOOKUP($K290&amp;"",SERVER!$B$3:$B$1009&amp;"",SERVER!$I$3:$I$1009,""),""))</f>
        <v/>
      </c>
      <c r="M290" t="str" cm="1">
        <f t="array" ref="M290">IF($K290="","",_xlfn.SWITCH($I290,"Computer",_xlfn.XLOOKUP($K290&amp;"",COMPUTER!$B$3:$B$1009&amp;"",COMPUTER!$J$3:$J$1009,""),"Display",_xlfn.XLOOKUP($K290&amp;"",DISPLAY!$B$3:$B$1000&amp;"",DISPLAY!$K$3:$K$1000,""),"Network Device",_xlfn.XLOOKUP($K290&amp;"",'NETWORK-DEVICES'!$B$3:$B$987&amp;"",'NETWORK-DEVICES'!$I$3:$I$987,""),"Peripheral",_xlfn.XLOOKUP($K290&amp;"",PERIPHERAL!$B$3:$B$954&amp;"",PERIPHERAL!$J$3:$J$954,""),"Utilities",_xlfn.XLOOKUP($K290&amp;"",UTILITIES!$B$3:$B$953&amp;"",UTILITIES!$I$3:$I$953,""),"IOT",_xlfn.XLOOKUP($K290&amp;"",IOT!$B$3:$B$1012&amp;"",IOT!$J$3:$J$1012,""),"Server",_xlfn.XLOOKUP($K290&amp;"",SERVER!$B$3:$B$1009&amp;"",SERVER!$J$3:$J$1009,""),""))</f>
        <v/>
      </c>
      <c r="N290" s="1" t="str" cm="1">
        <f t="array" ref="N290">IF(OR($K290="",$I290="",$J290=""),"",_xlfn.LET(_xlpm.srcCat,_xlfn.SWITCH($I290,"Computer",_xlfn.XLOOKUP($K290&amp;"",COMPUTER!$B$3:$B$1009&amp;"",COMPUTER!$H$3:$H$1009,""),"Display",_xlfn.XLOOKUP($K290&amp;"",DISPLAY!$B$3:$B$1000&amp;"",DISPLAY!$H$3:$H$1000,""),"Network Device",_xlfn.XLOOKUP($K290&amp;"",'NETWORK-DEVICES'!$B$3:$B$987&amp;"",'NETWORK-DEVICES'!$H$3:$H$987,""),"Peripheral",_xlfn.XLOOKUP($K290&amp;"",PERIPHERAL!$B$3:$B$954&amp;"",PERIPHERAL!$H$3:$H$954,""),"Utilities",_xlfn.XLOOKUP($K290&amp;"",UTILITIES!$B$3:$B$953&amp;"",UTILITIES!$G$3:$G$953,""),"IOT",_xlfn.XLOOKUP($K290&amp;"",IOT!$B$3:$B$1012&amp;"",IOT!$H$3:$H$1012,""),"Server",_xlfn.XLOOKUP($K290&amp;"",SERVER!$B$3:$B$1009&amp;"",SERVER!$H$3:$H$1009,""),""),IF(TRIM(_xlpm.srcCat)&lt;&gt;TRIM($J290),"",_xlfn.SWITCH($I290,"Computer",_xlfn.XLOOKUP($K290&amp;"",COMPUTER!$B$3:$B$1009&amp;"",COMPUTER!$K$3:$K$1009,""),"Display",_xlfn.XLOOKUP($K290&amp;"",DISPLAY!$B$3:$B$1000&amp;"",DISPLAY!$L$3:$L$1000,""),"Network Device",_xlfn.XLOOKUP($K290&amp;"",'NETWORK-DEVICES'!$B$3:$B$987&amp;"",'NETWORK-DEVICES'!$K$3:$K$987,""),"Peripheral",_xlfn.XLOOKUP($K290&amp;"",PERIPHERAL!$B$3:$B$954&amp;"",PERIPHERAL!$K$3:$K$954,""),"Utilities",_xlfn.XLOOKUP($K290&amp;"",UTILITIES!$B$3:$B$953&amp;"",UTILITIES!$J$3:$J$953,""),"IOT",_xlfn.XLOOKUP($K290&amp;"",IOT!$B$3:$B$1012&amp;"",IOT!$K$4:$K$1012,""),"Server",_xlfn.XLOOKUP($K290&amp;"",SERVER!$B$3:$B$1009&amp;"",SERVER!$K$3:$K$1009,""),""))))</f>
        <v/>
      </c>
      <c r="O290" s="1" t="str" cm="1">
        <f t="array" ref="O290">IF(OR($K290="",$I290="",$J290=""),"",_xlfn.LET(_xlpm.srcCat,_xlfn.SWITCH($I290,"Computer",_xlfn.XLOOKUP($K290&amp;"",COMPUTER!$B$3:$B$1009&amp;"",COMPUTER!$H$3:$H$1009,""),"Display",_xlfn.XLOOKUP($K290&amp;"",DISPLAY!$B$3:$B$1000&amp;"",DISPLAY!$H$3:$H$1000,""),"Network Device",_xlfn.XLOOKUP($K290&amp;"",'NETWORK-DEVICES'!$B$3:$B$987&amp;"",'NETWORK-DEVICES'!$H$3:$H$987,""),"Peripheral",_xlfn.XLOOKUP($K290&amp;"",PERIPHERAL!$B$3:$B$954&amp;"",PERIPHERAL!$H$3:$H$954,""),"Utilities",_xlfn.XLOOKUP($K290&amp;"",UTILITIES!$B$3:$B$953&amp;"",UTILITIES!$G$3:$G$953,""),"IOT",_xlfn.XLOOKUP($K290&amp;"",IOT!$B$3:$B$1012&amp;"",IOT!$H$3:$H$1012,""),"Server",_xlfn.XLOOKUP($K290&amp;"",SERVER!$B$3:$B$1009&amp;"",SERVER!$H$3:$H$1009,""),""),IF(TRIM(_xlpm.srcCat)&lt;&gt;TRIM($J290),"",_xlfn.SWITCH($I290,"Computer",_xlfn.XLOOKUP($K290&amp;"",COMPUTER!$B$3:$B$1009&amp;"",COMPUTER!$E$3:$E$1009,""),"Display",_xlfn.XLOOKUP($K290&amp;"",DISPLAY!$B$3:$B$1000&amp;"",DISPLAY!$E$3:$E$1000,""),"Network Device",_xlfn.XLOOKUP($K290&amp;"",'NETWORK-DEVICES'!$B$3:$B$987&amp;"",'NETWORK-DEVICES'!$E$3:$E$987,""),"Peripheral",_xlfn.XLOOKUP($K290&amp;"",PERIPHERAL!$B$3:$B$954&amp;"",PERIPHERAL!$E$3:$E$954,""),"Utilities",_xlfn.XLOOKUP($K290&amp;"",UTILITIES!$B$3:$B$953&amp;"",UTILITIES!$E$3:$E$953,""),"IOT",_xlfn.XLOOKUP($K290&amp;"",IOT!$B$3:$B$1012&amp;"",IOT!$E$3:$E$1012,""),"Server",_xlfn.XLOOKUP($K290&amp;"",SERVER!$B$3:$B$1009&amp;"",SERVER!$E$3:$E$1009,""),""))))</f>
        <v/>
      </c>
      <c r="Q290" s="1" t="str" cm="1">
        <f t="array" ref="Q290">IF(OR($K290="",$I290="",$J290=""),"",_xlfn.LET(_xlpm.srcCat,_xlfn.SWITCH($I290,"Computer",_xlfn.XLOOKUP($K290&amp;"",COMPUTER!$B$3:$B$1009&amp;"",COMPUTER!$H$3:$H$1009,""),"Display",_xlfn.XLOOKUP($K290&amp;"",DISPLAY!$B$3:$B$1000&amp;"",DISPLAY!$H$3:$H$1000,""),"Network Device",_xlfn.XLOOKUP($K290&amp;"",'NETWORK-DEVICES'!$B$3:$B$987&amp;"",'NETWORK-DEVICES'!$H$3:$H$987,""),"Peripheral",_xlfn.XLOOKUP($K290&amp;"",PERIPHERAL!$B$3:$B$954&amp;"",PERIPHERAL!$H$3:$H$954,""),"Utilities",_xlfn.XLOOKUP($K290&amp;"",UTILITIES!$B$3:$B$953&amp;"",UTILITIES!$G$3:$G$953,""),"IOT",_xlfn.XLOOKUP($K290&amp;"",IOT!$B$3:$B$1012&amp;"",IOT!$H$3:$H$1012,""),"Server",_xlfn.XLOOKUP($K290&amp;"",SERVER!$B$3:$B$1009&amp;"",SERVER!$H$3:$H$1009,""),""),IF(TRIM(_xlpm.srcCat)&lt;&gt;TRIM($J290),"",_xlfn.SWITCH($I290,"Computer",_xlfn.XLOOKUP($K290&amp;"",COMPUTER!$B$3:$B$1009&amp;"",COMPUTER!$AM$3:$AM$1009,""),"Display",_xlfn.XLOOKUP($K290&amp;"",DISPLAY!$B$3:$B$1000&amp;"",DISPLAY!$V$3:$V$1000,""),"Network Device",_xlfn.XLOOKUP($K290&amp;"",'NETWORK-DEVICES'!$B$3:$B$987&amp;"",'NETWORK-DEVICES'!$AF$3:$AF$987,""),"Peripheral",_xlfn.XLOOKUP($K290&amp;"",PERIPHERAL!$B$3:$B$954&amp;"",PERIPHERAL!$Y$3:$Y$954,""),"Utilities",_xlfn.XLOOKUP($K290&amp;"",UTILITIES!$B$3:$B$953&amp;"",UTILITIES!$O$3:$O$953,""),"IOT",_xlfn.XLOOKUP($K290&amp;"",IOT!$B$3:$B$1012&amp;"",IOT!$AB$3:$AB$1012,""),"Server",_xlfn.XLOOKUP($K290&amp;"",SERVER!$B$3:$B$1009&amp;"",SERVER!$AB$3:$AB$1009,""),""))))</f>
        <v/>
      </c>
      <c r="R290" s="43" t="str">
        <f>IF(tbl_handover[[#This Row],[Asset Code]]="","",COUNTIF(tbl_handover[Asset Code],tbl_handover[[#This Row],[Asset Code]]))</f>
        <v/>
      </c>
    </row>
    <row r="291" spans="1:18" x14ac:dyDescent="0.25">
      <c r="A291" s="43" t="str">
        <f>IF(B291&lt;&gt;"",SUBTOTAL(3,$B$1:B290),"")</f>
        <v/>
      </c>
      <c r="C291" s="74"/>
      <c r="D291" s="74"/>
      <c r="G291" s="1"/>
      <c r="K291" s="42"/>
      <c r="L291" t="str" cm="1">
        <f t="array" ref="L291">IF($K291="","",_xlfn.SWITCH($I291,"Computer",_xlfn.XLOOKUP($K291&amp;"",COMPUTER!$B$3:$B$1009&amp;"",COMPUTER!$I$3:$I$1009,""),"Display",_xlfn.XLOOKUP($K291&amp;"",DISPLAY!$B$3:$B$1000&amp;"",DISPLAY!$J$3:$J$1000,""),"Network Device",_xlfn.XLOOKUP($K291&amp;"",'NETWORK-DEVICES'!$B$3:$B$987&amp;"",'NETWORK-DEVICES'!$I$3:$I$987,""),"Peripheral",_xlfn.XLOOKUP($K291&amp;"",PERIPHERAL!$B$3:$B$954&amp;"",PERIPHERAL!$I$3:$I$954,""),"Utilities",_xlfn.XLOOKUP($K291&amp;"",UTILITIES!$B$3:$B$953&amp;"",UTILITIES!$H$3:$H$953,""),"IOT",_xlfn.XLOOKUP($K291&amp;"",IOT!$B$3:$B$1012&amp;"",IOT!$I$3:$I$1012,""),"SERVER",_xlfn.XLOOKUP($K291&amp;"",SERVER!$B$3:$B$1009&amp;"",SERVER!$I$3:$I$1009,""),""))</f>
        <v/>
      </c>
      <c r="M291" t="str" cm="1">
        <f t="array" ref="M291">IF($K291="","",_xlfn.SWITCH($I291,"Computer",_xlfn.XLOOKUP($K291&amp;"",COMPUTER!$B$3:$B$1009&amp;"",COMPUTER!$J$3:$J$1009,""),"Display",_xlfn.XLOOKUP($K291&amp;"",DISPLAY!$B$3:$B$1000&amp;"",DISPLAY!$K$3:$K$1000,""),"Network Device",_xlfn.XLOOKUP($K291&amp;"",'NETWORK-DEVICES'!$B$3:$B$987&amp;"",'NETWORK-DEVICES'!$I$3:$I$987,""),"Peripheral",_xlfn.XLOOKUP($K291&amp;"",PERIPHERAL!$B$3:$B$954&amp;"",PERIPHERAL!$J$3:$J$954,""),"Utilities",_xlfn.XLOOKUP($K291&amp;"",UTILITIES!$B$3:$B$953&amp;"",UTILITIES!$I$3:$I$953,""),"IOT",_xlfn.XLOOKUP($K291&amp;"",IOT!$B$3:$B$1012&amp;"",IOT!$J$3:$J$1012,""),"Server",_xlfn.XLOOKUP($K291&amp;"",SERVER!$B$3:$B$1009&amp;"",SERVER!$J$3:$J$1009,""),""))</f>
        <v/>
      </c>
      <c r="N291" s="1" t="str" cm="1">
        <f t="array" ref="N291">IF(OR($K291="",$I291="",$J291=""),"",_xlfn.LET(_xlpm.srcCat,_xlfn.SWITCH($I291,"Computer",_xlfn.XLOOKUP($K291&amp;"",COMPUTER!$B$3:$B$1009&amp;"",COMPUTER!$H$3:$H$1009,""),"Display",_xlfn.XLOOKUP($K291&amp;"",DISPLAY!$B$3:$B$1000&amp;"",DISPLAY!$H$3:$H$1000,""),"Network Device",_xlfn.XLOOKUP($K291&amp;"",'NETWORK-DEVICES'!$B$3:$B$987&amp;"",'NETWORK-DEVICES'!$H$3:$H$987,""),"Peripheral",_xlfn.XLOOKUP($K291&amp;"",PERIPHERAL!$B$3:$B$954&amp;"",PERIPHERAL!$H$3:$H$954,""),"Utilities",_xlfn.XLOOKUP($K291&amp;"",UTILITIES!$B$3:$B$953&amp;"",UTILITIES!$G$3:$G$953,""),"IOT",_xlfn.XLOOKUP($K291&amp;"",IOT!$B$3:$B$1012&amp;"",IOT!$H$3:$H$1012,""),"Server",_xlfn.XLOOKUP($K291&amp;"",SERVER!$B$3:$B$1009&amp;"",SERVER!$H$3:$H$1009,""),""),IF(TRIM(_xlpm.srcCat)&lt;&gt;TRIM($J291),"",_xlfn.SWITCH($I291,"Computer",_xlfn.XLOOKUP($K291&amp;"",COMPUTER!$B$3:$B$1009&amp;"",COMPUTER!$K$3:$K$1009,""),"Display",_xlfn.XLOOKUP($K291&amp;"",DISPLAY!$B$3:$B$1000&amp;"",DISPLAY!$L$3:$L$1000,""),"Network Device",_xlfn.XLOOKUP($K291&amp;"",'NETWORK-DEVICES'!$B$3:$B$987&amp;"",'NETWORK-DEVICES'!$K$3:$K$987,""),"Peripheral",_xlfn.XLOOKUP($K291&amp;"",PERIPHERAL!$B$3:$B$954&amp;"",PERIPHERAL!$K$3:$K$954,""),"Utilities",_xlfn.XLOOKUP($K291&amp;"",UTILITIES!$B$3:$B$953&amp;"",UTILITIES!$J$3:$J$953,""),"IOT",_xlfn.XLOOKUP($K291&amp;"",IOT!$B$3:$B$1012&amp;"",IOT!$K$4:$K$1012,""),"Server",_xlfn.XLOOKUP($K291&amp;"",SERVER!$B$3:$B$1009&amp;"",SERVER!$K$3:$K$1009,""),""))))</f>
        <v/>
      </c>
      <c r="O291" s="1" t="str" cm="1">
        <f t="array" ref="O291">IF(OR($K291="",$I291="",$J291=""),"",_xlfn.LET(_xlpm.srcCat,_xlfn.SWITCH($I291,"Computer",_xlfn.XLOOKUP($K291&amp;"",COMPUTER!$B$3:$B$1009&amp;"",COMPUTER!$H$3:$H$1009,""),"Display",_xlfn.XLOOKUP($K291&amp;"",DISPLAY!$B$3:$B$1000&amp;"",DISPLAY!$H$3:$H$1000,""),"Network Device",_xlfn.XLOOKUP($K291&amp;"",'NETWORK-DEVICES'!$B$3:$B$987&amp;"",'NETWORK-DEVICES'!$H$3:$H$987,""),"Peripheral",_xlfn.XLOOKUP($K291&amp;"",PERIPHERAL!$B$3:$B$954&amp;"",PERIPHERAL!$H$3:$H$954,""),"Utilities",_xlfn.XLOOKUP($K291&amp;"",UTILITIES!$B$3:$B$953&amp;"",UTILITIES!$G$3:$G$953,""),"IOT",_xlfn.XLOOKUP($K291&amp;"",IOT!$B$3:$B$1012&amp;"",IOT!$H$3:$H$1012,""),"Server",_xlfn.XLOOKUP($K291&amp;"",SERVER!$B$3:$B$1009&amp;"",SERVER!$H$3:$H$1009,""),""),IF(TRIM(_xlpm.srcCat)&lt;&gt;TRIM($J291),"",_xlfn.SWITCH($I291,"Computer",_xlfn.XLOOKUP($K291&amp;"",COMPUTER!$B$3:$B$1009&amp;"",COMPUTER!$E$3:$E$1009,""),"Display",_xlfn.XLOOKUP($K291&amp;"",DISPLAY!$B$3:$B$1000&amp;"",DISPLAY!$E$3:$E$1000,""),"Network Device",_xlfn.XLOOKUP($K291&amp;"",'NETWORK-DEVICES'!$B$3:$B$987&amp;"",'NETWORK-DEVICES'!$E$3:$E$987,""),"Peripheral",_xlfn.XLOOKUP($K291&amp;"",PERIPHERAL!$B$3:$B$954&amp;"",PERIPHERAL!$E$3:$E$954,""),"Utilities",_xlfn.XLOOKUP($K291&amp;"",UTILITIES!$B$3:$B$953&amp;"",UTILITIES!$E$3:$E$953,""),"IOT",_xlfn.XLOOKUP($K291&amp;"",IOT!$B$3:$B$1012&amp;"",IOT!$E$3:$E$1012,""),"Server",_xlfn.XLOOKUP($K291&amp;"",SERVER!$B$3:$B$1009&amp;"",SERVER!$E$3:$E$1009,""),""))))</f>
        <v/>
      </c>
      <c r="Q291" s="1" t="str" cm="1">
        <f t="array" ref="Q291">IF(OR($K291="",$I291="",$J291=""),"",_xlfn.LET(_xlpm.srcCat,_xlfn.SWITCH($I291,"Computer",_xlfn.XLOOKUP($K291&amp;"",COMPUTER!$B$3:$B$1009&amp;"",COMPUTER!$H$3:$H$1009,""),"Display",_xlfn.XLOOKUP($K291&amp;"",DISPLAY!$B$3:$B$1000&amp;"",DISPLAY!$H$3:$H$1000,""),"Network Device",_xlfn.XLOOKUP($K291&amp;"",'NETWORK-DEVICES'!$B$3:$B$987&amp;"",'NETWORK-DEVICES'!$H$3:$H$987,""),"Peripheral",_xlfn.XLOOKUP($K291&amp;"",PERIPHERAL!$B$3:$B$954&amp;"",PERIPHERAL!$H$3:$H$954,""),"Utilities",_xlfn.XLOOKUP($K291&amp;"",UTILITIES!$B$3:$B$953&amp;"",UTILITIES!$G$3:$G$953,""),"IOT",_xlfn.XLOOKUP($K291&amp;"",IOT!$B$3:$B$1012&amp;"",IOT!$H$3:$H$1012,""),"Server",_xlfn.XLOOKUP($K291&amp;"",SERVER!$B$3:$B$1009&amp;"",SERVER!$H$3:$H$1009,""),""),IF(TRIM(_xlpm.srcCat)&lt;&gt;TRIM($J291),"",_xlfn.SWITCH($I291,"Computer",_xlfn.XLOOKUP($K291&amp;"",COMPUTER!$B$3:$B$1009&amp;"",COMPUTER!$AM$3:$AM$1009,""),"Display",_xlfn.XLOOKUP($K291&amp;"",DISPLAY!$B$3:$B$1000&amp;"",DISPLAY!$V$3:$V$1000,""),"Network Device",_xlfn.XLOOKUP($K291&amp;"",'NETWORK-DEVICES'!$B$3:$B$987&amp;"",'NETWORK-DEVICES'!$AF$3:$AF$987,""),"Peripheral",_xlfn.XLOOKUP($K291&amp;"",PERIPHERAL!$B$3:$B$954&amp;"",PERIPHERAL!$Y$3:$Y$954,""),"Utilities",_xlfn.XLOOKUP($K291&amp;"",UTILITIES!$B$3:$B$953&amp;"",UTILITIES!$O$3:$O$953,""),"IOT",_xlfn.XLOOKUP($K291&amp;"",IOT!$B$3:$B$1012&amp;"",IOT!$AB$3:$AB$1012,""),"Server",_xlfn.XLOOKUP($K291&amp;"",SERVER!$B$3:$B$1009&amp;"",SERVER!$AB$3:$AB$1009,""),""))))</f>
        <v/>
      </c>
      <c r="R291" s="43" t="str">
        <f>IF(tbl_handover[[#This Row],[Asset Code]]="","",COUNTIF(tbl_handover[Asset Code],tbl_handover[[#This Row],[Asset Code]]))</f>
        <v/>
      </c>
    </row>
    <row r="292" spans="1:18" x14ac:dyDescent="0.25">
      <c r="A292" s="43" t="str">
        <f>IF(B292&lt;&gt;"",SUBTOTAL(3,$B$1:B291),"")</f>
        <v/>
      </c>
      <c r="C292" s="74"/>
      <c r="D292" s="74"/>
      <c r="G292" s="1"/>
      <c r="K292" s="42"/>
      <c r="L292" t="str" cm="1">
        <f t="array" ref="L292">IF($K292="","",_xlfn.SWITCH($I292,"Computer",_xlfn.XLOOKUP($K292&amp;"",COMPUTER!$B$3:$B$1009&amp;"",COMPUTER!$I$3:$I$1009,""),"Display",_xlfn.XLOOKUP($K292&amp;"",DISPLAY!$B$3:$B$1000&amp;"",DISPLAY!$J$3:$J$1000,""),"Network Device",_xlfn.XLOOKUP($K292&amp;"",'NETWORK-DEVICES'!$B$3:$B$987&amp;"",'NETWORK-DEVICES'!$I$3:$I$987,""),"Peripheral",_xlfn.XLOOKUP($K292&amp;"",PERIPHERAL!$B$3:$B$954&amp;"",PERIPHERAL!$I$3:$I$954,""),"Utilities",_xlfn.XLOOKUP($K292&amp;"",UTILITIES!$B$3:$B$953&amp;"",UTILITIES!$H$3:$H$953,""),"IOT",_xlfn.XLOOKUP($K292&amp;"",IOT!$B$3:$B$1012&amp;"",IOT!$I$3:$I$1012,""),"SERVER",_xlfn.XLOOKUP($K292&amp;"",SERVER!$B$3:$B$1009&amp;"",SERVER!$I$3:$I$1009,""),""))</f>
        <v/>
      </c>
      <c r="M292" t="str" cm="1">
        <f t="array" ref="M292">IF($K292="","",_xlfn.SWITCH($I292,"Computer",_xlfn.XLOOKUP($K292&amp;"",COMPUTER!$B$3:$B$1009&amp;"",COMPUTER!$J$3:$J$1009,""),"Display",_xlfn.XLOOKUP($K292&amp;"",DISPLAY!$B$3:$B$1000&amp;"",DISPLAY!$K$3:$K$1000,""),"Network Device",_xlfn.XLOOKUP($K292&amp;"",'NETWORK-DEVICES'!$B$3:$B$987&amp;"",'NETWORK-DEVICES'!$I$3:$I$987,""),"Peripheral",_xlfn.XLOOKUP($K292&amp;"",PERIPHERAL!$B$3:$B$954&amp;"",PERIPHERAL!$J$3:$J$954,""),"Utilities",_xlfn.XLOOKUP($K292&amp;"",UTILITIES!$B$3:$B$953&amp;"",UTILITIES!$I$3:$I$953,""),"IOT",_xlfn.XLOOKUP($K292&amp;"",IOT!$B$3:$B$1012&amp;"",IOT!$J$3:$J$1012,""),"Server",_xlfn.XLOOKUP($K292&amp;"",SERVER!$B$3:$B$1009&amp;"",SERVER!$J$3:$J$1009,""),""))</f>
        <v/>
      </c>
      <c r="N292" s="1" t="str" cm="1">
        <f t="array" ref="N292">IF(OR($K292="",$I292="",$J292=""),"",_xlfn.LET(_xlpm.srcCat,_xlfn.SWITCH($I292,"Computer",_xlfn.XLOOKUP($K292&amp;"",COMPUTER!$B$3:$B$1009&amp;"",COMPUTER!$H$3:$H$1009,""),"Display",_xlfn.XLOOKUP($K292&amp;"",DISPLAY!$B$3:$B$1000&amp;"",DISPLAY!$H$3:$H$1000,""),"Network Device",_xlfn.XLOOKUP($K292&amp;"",'NETWORK-DEVICES'!$B$3:$B$987&amp;"",'NETWORK-DEVICES'!$H$3:$H$987,""),"Peripheral",_xlfn.XLOOKUP($K292&amp;"",PERIPHERAL!$B$3:$B$954&amp;"",PERIPHERAL!$H$3:$H$954,""),"Utilities",_xlfn.XLOOKUP($K292&amp;"",UTILITIES!$B$3:$B$953&amp;"",UTILITIES!$G$3:$G$953,""),"IOT",_xlfn.XLOOKUP($K292&amp;"",IOT!$B$3:$B$1012&amp;"",IOT!$H$3:$H$1012,""),"Server",_xlfn.XLOOKUP($K292&amp;"",SERVER!$B$3:$B$1009&amp;"",SERVER!$H$3:$H$1009,""),""),IF(TRIM(_xlpm.srcCat)&lt;&gt;TRIM($J292),"",_xlfn.SWITCH($I292,"Computer",_xlfn.XLOOKUP($K292&amp;"",COMPUTER!$B$3:$B$1009&amp;"",COMPUTER!$K$3:$K$1009,""),"Display",_xlfn.XLOOKUP($K292&amp;"",DISPLAY!$B$3:$B$1000&amp;"",DISPLAY!$L$3:$L$1000,""),"Network Device",_xlfn.XLOOKUP($K292&amp;"",'NETWORK-DEVICES'!$B$3:$B$987&amp;"",'NETWORK-DEVICES'!$K$3:$K$987,""),"Peripheral",_xlfn.XLOOKUP($K292&amp;"",PERIPHERAL!$B$3:$B$954&amp;"",PERIPHERAL!$K$3:$K$954,""),"Utilities",_xlfn.XLOOKUP($K292&amp;"",UTILITIES!$B$3:$B$953&amp;"",UTILITIES!$J$3:$J$953,""),"IOT",_xlfn.XLOOKUP($K292&amp;"",IOT!$B$3:$B$1012&amp;"",IOT!$K$4:$K$1012,""),"Server",_xlfn.XLOOKUP($K292&amp;"",SERVER!$B$3:$B$1009&amp;"",SERVER!$K$3:$K$1009,""),""))))</f>
        <v/>
      </c>
      <c r="O292" s="1" t="str" cm="1">
        <f t="array" ref="O292">IF(OR($K292="",$I292="",$J292=""),"",_xlfn.LET(_xlpm.srcCat,_xlfn.SWITCH($I292,"Computer",_xlfn.XLOOKUP($K292&amp;"",COMPUTER!$B$3:$B$1009&amp;"",COMPUTER!$H$3:$H$1009,""),"Display",_xlfn.XLOOKUP($K292&amp;"",DISPLAY!$B$3:$B$1000&amp;"",DISPLAY!$H$3:$H$1000,""),"Network Device",_xlfn.XLOOKUP($K292&amp;"",'NETWORK-DEVICES'!$B$3:$B$987&amp;"",'NETWORK-DEVICES'!$H$3:$H$987,""),"Peripheral",_xlfn.XLOOKUP($K292&amp;"",PERIPHERAL!$B$3:$B$954&amp;"",PERIPHERAL!$H$3:$H$954,""),"Utilities",_xlfn.XLOOKUP($K292&amp;"",UTILITIES!$B$3:$B$953&amp;"",UTILITIES!$G$3:$G$953,""),"IOT",_xlfn.XLOOKUP($K292&amp;"",IOT!$B$3:$B$1012&amp;"",IOT!$H$3:$H$1012,""),"Server",_xlfn.XLOOKUP($K292&amp;"",SERVER!$B$3:$B$1009&amp;"",SERVER!$H$3:$H$1009,""),""),IF(TRIM(_xlpm.srcCat)&lt;&gt;TRIM($J292),"",_xlfn.SWITCH($I292,"Computer",_xlfn.XLOOKUP($K292&amp;"",COMPUTER!$B$3:$B$1009&amp;"",COMPUTER!$E$3:$E$1009,""),"Display",_xlfn.XLOOKUP($K292&amp;"",DISPLAY!$B$3:$B$1000&amp;"",DISPLAY!$E$3:$E$1000,""),"Network Device",_xlfn.XLOOKUP($K292&amp;"",'NETWORK-DEVICES'!$B$3:$B$987&amp;"",'NETWORK-DEVICES'!$E$3:$E$987,""),"Peripheral",_xlfn.XLOOKUP($K292&amp;"",PERIPHERAL!$B$3:$B$954&amp;"",PERIPHERAL!$E$3:$E$954,""),"Utilities",_xlfn.XLOOKUP($K292&amp;"",UTILITIES!$B$3:$B$953&amp;"",UTILITIES!$E$3:$E$953,""),"IOT",_xlfn.XLOOKUP($K292&amp;"",IOT!$B$3:$B$1012&amp;"",IOT!$E$3:$E$1012,""),"Server",_xlfn.XLOOKUP($K292&amp;"",SERVER!$B$3:$B$1009&amp;"",SERVER!$E$3:$E$1009,""),""))))</f>
        <v/>
      </c>
      <c r="Q292" s="1" t="str" cm="1">
        <f t="array" ref="Q292">IF(OR($K292="",$I292="",$J292=""),"",_xlfn.LET(_xlpm.srcCat,_xlfn.SWITCH($I292,"Computer",_xlfn.XLOOKUP($K292&amp;"",COMPUTER!$B$3:$B$1009&amp;"",COMPUTER!$H$3:$H$1009,""),"Display",_xlfn.XLOOKUP($K292&amp;"",DISPLAY!$B$3:$B$1000&amp;"",DISPLAY!$H$3:$H$1000,""),"Network Device",_xlfn.XLOOKUP($K292&amp;"",'NETWORK-DEVICES'!$B$3:$B$987&amp;"",'NETWORK-DEVICES'!$H$3:$H$987,""),"Peripheral",_xlfn.XLOOKUP($K292&amp;"",PERIPHERAL!$B$3:$B$954&amp;"",PERIPHERAL!$H$3:$H$954,""),"Utilities",_xlfn.XLOOKUP($K292&amp;"",UTILITIES!$B$3:$B$953&amp;"",UTILITIES!$G$3:$G$953,""),"IOT",_xlfn.XLOOKUP($K292&amp;"",IOT!$B$3:$B$1012&amp;"",IOT!$H$3:$H$1012,""),"Server",_xlfn.XLOOKUP($K292&amp;"",SERVER!$B$3:$B$1009&amp;"",SERVER!$H$3:$H$1009,""),""),IF(TRIM(_xlpm.srcCat)&lt;&gt;TRIM($J292),"",_xlfn.SWITCH($I292,"Computer",_xlfn.XLOOKUP($K292&amp;"",COMPUTER!$B$3:$B$1009&amp;"",COMPUTER!$AM$3:$AM$1009,""),"Display",_xlfn.XLOOKUP($K292&amp;"",DISPLAY!$B$3:$B$1000&amp;"",DISPLAY!$V$3:$V$1000,""),"Network Device",_xlfn.XLOOKUP($K292&amp;"",'NETWORK-DEVICES'!$B$3:$B$987&amp;"",'NETWORK-DEVICES'!$AF$3:$AF$987,""),"Peripheral",_xlfn.XLOOKUP($K292&amp;"",PERIPHERAL!$B$3:$B$954&amp;"",PERIPHERAL!$Y$3:$Y$954,""),"Utilities",_xlfn.XLOOKUP($K292&amp;"",UTILITIES!$B$3:$B$953&amp;"",UTILITIES!$O$3:$O$953,""),"IOT",_xlfn.XLOOKUP($K292&amp;"",IOT!$B$3:$B$1012&amp;"",IOT!$AB$3:$AB$1012,""),"Server",_xlfn.XLOOKUP($K292&amp;"",SERVER!$B$3:$B$1009&amp;"",SERVER!$AB$3:$AB$1009,""),""))))</f>
        <v/>
      </c>
      <c r="R292" s="43" t="str">
        <f>IF(tbl_handover[[#This Row],[Asset Code]]="","",COUNTIF(tbl_handover[Asset Code],tbl_handover[[#This Row],[Asset Code]]))</f>
        <v/>
      </c>
    </row>
    <row r="293" spans="1:18" x14ac:dyDescent="0.25">
      <c r="A293" s="43" t="str">
        <f>IF(B293&lt;&gt;"",SUBTOTAL(3,$B$1:B292),"")</f>
        <v/>
      </c>
      <c r="C293" s="74"/>
      <c r="D293" s="74"/>
      <c r="G293" s="1"/>
      <c r="K293" s="42"/>
      <c r="L293" t="str" cm="1">
        <f t="array" ref="L293">IF($K293="","",_xlfn.SWITCH($I293,"Computer",_xlfn.XLOOKUP($K293&amp;"",COMPUTER!$B$3:$B$1009&amp;"",COMPUTER!$I$3:$I$1009,""),"Display",_xlfn.XLOOKUP($K293&amp;"",DISPLAY!$B$3:$B$1000&amp;"",DISPLAY!$J$3:$J$1000,""),"Network Device",_xlfn.XLOOKUP($K293&amp;"",'NETWORK-DEVICES'!$B$3:$B$987&amp;"",'NETWORK-DEVICES'!$I$3:$I$987,""),"Peripheral",_xlfn.XLOOKUP($K293&amp;"",PERIPHERAL!$B$3:$B$954&amp;"",PERIPHERAL!$I$3:$I$954,""),"Utilities",_xlfn.XLOOKUP($K293&amp;"",UTILITIES!$B$3:$B$953&amp;"",UTILITIES!$H$3:$H$953,""),"IOT",_xlfn.XLOOKUP($K293&amp;"",IOT!$B$3:$B$1012&amp;"",IOT!$I$3:$I$1012,""),"SERVER",_xlfn.XLOOKUP($K293&amp;"",SERVER!$B$3:$B$1009&amp;"",SERVER!$I$3:$I$1009,""),""))</f>
        <v/>
      </c>
      <c r="M293" t="str" cm="1">
        <f t="array" ref="M293">IF($K293="","",_xlfn.SWITCH($I293,"Computer",_xlfn.XLOOKUP($K293&amp;"",COMPUTER!$B$3:$B$1009&amp;"",COMPUTER!$J$3:$J$1009,""),"Display",_xlfn.XLOOKUP($K293&amp;"",DISPLAY!$B$3:$B$1000&amp;"",DISPLAY!$K$3:$K$1000,""),"Network Device",_xlfn.XLOOKUP($K293&amp;"",'NETWORK-DEVICES'!$B$3:$B$987&amp;"",'NETWORK-DEVICES'!$I$3:$I$987,""),"Peripheral",_xlfn.XLOOKUP($K293&amp;"",PERIPHERAL!$B$3:$B$954&amp;"",PERIPHERAL!$J$3:$J$954,""),"Utilities",_xlfn.XLOOKUP($K293&amp;"",UTILITIES!$B$3:$B$953&amp;"",UTILITIES!$I$3:$I$953,""),"IOT",_xlfn.XLOOKUP($K293&amp;"",IOT!$B$3:$B$1012&amp;"",IOT!$J$3:$J$1012,""),"Server",_xlfn.XLOOKUP($K293&amp;"",SERVER!$B$3:$B$1009&amp;"",SERVER!$J$3:$J$1009,""),""))</f>
        <v/>
      </c>
      <c r="N293" s="1" t="str" cm="1">
        <f t="array" ref="N293">IF(OR($K293="",$I293="",$J293=""),"",_xlfn.LET(_xlpm.srcCat,_xlfn.SWITCH($I293,"Computer",_xlfn.XLOOKUP($K293&amp;"",COMPUTER!$B$3:$B$1009&amp;"",COMPUTER!$H$3:$H$1009,""),"Display",_xlfn.XLOOKUP($K293&amp;"",DISPLAY!$B$3:$B$1000&amp;"",DISPLAY!$H$3:$H$1000,""),"Network Device",_xlfn.XLOOKUP($K293&amp;"",'NETWORK-DEVICES'!$B$3:$B$987&amp;"",'NETWORK-DEVICES'!$H$3:$H$987,""),"Peripheral",_xlfn.XLOOKUP($K293&amp;"",PERIPHERAL!$B$3:$B$954&amp;"",PERIPHERAL!$H$3:$H$954,""),"Utilities",_xlfn.XLOOKUP($K293&amp;"",UTILITIES!$B$3:$B$953&amp;"",UTILITIES!$G$3:$G$953,""),"IOT",_xlfn.XLOOKUP($K293&amp;"",IOT!$B$3:$B$1012&amp;"",IOT!$H$3:$H$1012,""),"Server",_xlfn.XLOOKUP($K293&amp;"",SERVER!$B$3:$B$1009&amp;"",SERVER!$H$3:$H$1009,""),""),IF(TRIM(_xlpm.srcCat)&lt;&gt;TRIM($J293),"",_xlfn.SWITCH($I293,"Computer",_xlfn.XLOOKUP($K293&amp;"",COMPUTER!$B$3:$B$1009&amp;"",COMPUTER!$K$3:$K$1009,""),"Display",_xlfn.XLOOKUP($K293&amp;"",DISPLAY!$B$3:$B$1000&amp;"",DISPLAY!$L$3:$L$1000,""),"Network Device",_xlfn.XLOOKUP($K293&amp;"",'NETWORK-DEVICES'!$B$3:$B$987&amp;"",'NETWORK-DEVICES'!$K$3:$K$987,""),"Peripheral",_xlfn.XLOOKUP($K293&amp;"",PERIPHERAL!$B$3:$B$954&amp;"",PERIPHERAL!$K$3:$K$954,""),"Utilities",_xlfn.XLOOKUP($K293&amp;"",UTILITIES!$B$3:$B$953&amp;"",UTILITIES!$J$3:$J$953,""),"IOT",_xlfn.XLOOKUP($K293&amp;"",IOT!$B$3:$B$1012&amp;"",IOT!$K$4:$K$1012,""),"Server",_xlfn.XLOOKUP($K293&amp;"",SERVER!$B$3:$B$1009&amp;"",SERVER!$K$3:$K$1009,""),""))))</f>
        <v/>
      </c>
      <c r="O293" s="1" t="str" cm="1">
        <f t="array" ref="O293">IF(OR($K293="",$I293="",$J293=""),"",_xlfn.LET(_xlpm.srcCat,_xlfn.SWITCH($I293,"Computer",_xlfn.XLOOKUP($K293&amp;"",COMPUTER!$B$3:$B$1009&amp;"",COMPUTER!$H$3:$H$1009,""),"Display",_xlfn.XLOOKUP($K293&amp;"",DISPLAY!$B$3:$B$1000&amp;"",DISPLAY!$H$3:$H$1000,""),"Network Device",_xlfn.XLOOKUP($K293&amp;"",'NETWORK-DEVICES'!$B$3:$B$987&amp;"",'NETWORK-DEVICES'!$H$3:$H$987,""),"Peripheral",_xlfn.XLOOKUP($K293&amp;"",PERIPHERAL!$B$3:$B$954&amp;"",PERIPHERAL!$H$3:$H$954,""),"Utilities",_xlfn.XLOOKUP($K293&amp;"",UTILITIES!$B$3:$B$953&amp;"",UTILITIES!$G$3:$G$953,""),"IOT",_xlfn.XLOOKUP($K293&amp;"",IOT!$B$3:$B$1012&amp;"",IOT!$H$3:$H$1012,""),"Server",_xlfn.XLOOKUP($K293&amp;"",SERVER!$B$3:$B$1009&amp;"",SERVER!$H$3:$H$1009,""),""),IF(TRIM(_xlpm.srcCat)&lt;&gt;TRIM($J293),"",_xlfn.SWITCH($I293,"Computer",_xlfn.XLOOKUP($K293&amp;"",COMPUTER!$B$3:$B$1009&amp;"",COMPUTER!$E$3:$E$1009,""),"Display",_xlfn.XLOOKUP($K293&amp;"",DISPLAY!$B$3:$B$1000&amp;"",DISPLAY!$E$3:$E$1000,""),"Network Device",_xlfn.XLOOKUP($K293&amp;"",'NETWORK-DEVICES'!$B$3:$B$987&amp;"",'NETWORK-DEVICES'!$E$3:$E$987,""),"Peripheral",_xlfn.XLOOKUP($K293&amp;"",PERIPHERAL!$B$3:$B$954&amp;"",PERIPHERAL!$E$3:$E$954,""),"Utilities",_xlfn.XLOOKUP($K293&amp;"",UTILITIES!$B$3:$B$953&amp;"",UTILITIES!$E$3:$E$953,""),"IOT",_xlfn.XLOOKUP($K293&amp;"",IOT!$B$3:$B$1012&amp;"",IOT!$E$3:$E$1012,""),"Server",_xlfn.XLOOKUP($K293&amp;"",SERVER!$B$3:$B$1009&amp;"",SERVER!$E$3:$E$1009,""),""))))</f>
        <v/>
      </c>
      <c r="Q293" s="1" t="str" cm="1">
        <f t="array" ref="Q293">IF(OR($K293="",$I293="",$J293=""),"",_xlfn.LET(_xlpm.srcCat,_xlfn.SWITCH($I293,"Computer",_xlfn.XLOOKUP($K293&amp;"",COMPUTER!$B$3:$B$1009&amp;"",COMPUTER!$H$3:$H$1009,""),"Display",_xlfn.XLOOKUP($K293&amp;"",DISPLAY!$B$3:$B$1000&amp;"",DISPLAY!$H$3:$H$1000,""),"Network Device",_xlfn.XLOOKUP($K293&amp;"",'NETWORK-DEVICES'!$B$3:$B$987&amp;"",'NETWORK-DEVICES'!$H$3:$H$987,""),"Peripheral",_xlfn.XLOOKUP($K293&amp;"",PERIPHERAL!$B$3:$B$954&amp;"",PERIPHERAL!$H$3:$H$954,""),"Utilities",_xlfn.XLOOKUP($K293&amp;"",UTILITIES!$B$3:$B$953&amp;"",UTILITIES!$G$3:$G$953,""),"IOT",_xlfn.XLOOKUP($K293&amp;"",IOT!$B$3:$B$1012&amp;"",IOT!$H$3:$H$1012,""),"Server",_xlfn.XLOOKUP($K293&amp;"",SERVER!$B$3:$B$1009&amp;"",SERVER!$H$3:$H$1009,""),""),IF(TRIM(_xlpm.srcCat)&lt;&gt;TRIM($J293),"",_xlfn.SWITCH($I293,"Computer",_xlfn.XLOOKUP($K293&amp;"",COMPUTER!$B$3:$B$1009&amp;"",COMPUTER!$AM$3:$AM$1009,""),"Display",_xlfn.XLOOKUP($K293&amp;"",DISPLAY!$B$3:$B$1000&amp;"",DISPLAY!$V$3:$V$1000,""),"Network Device",_xlfn.XLOOKUP($K293&amp;"",'NETWORK-DEVICES'!$B$3:$B$987&amp;"",'NETWORK-DEVICES'!$AF$3:$AF$987,""),"Peripheral",_xlfn.XLOOKUP($K293&amp;"",PERIPHERAL!$B$3:$B$954&amp;"",PERIPHERAL!$Y$3:$Y$954,""),"Utilities",_xlfn.XLOOKUP($K293&amp;"",UTILITIES!$B$3:$B$953&amp;"",UTILITIES!$O$3:$O$953,""),"IOT",_xlfn.XLOOKUP($K293&amp;"",IOT!$B$3:$B$1012&amp;"",IOT!$AB$3:$AB$1012,""),"Server",_xlfn.XLOOKUP($K293&amp;"",SERVER!$B$3:$B$1009&amp;"",SERVER!$AB$3:$AB$1009,""),""))))</f>
        <v/>
      </c>
      <c r="R293" s="43" t="str">
        <f>IF(tbl_handover[[#This Row],[Asset Code]]="","",COUNTIF(tbl_handover[Asset Code],tbl_handover[[#This Row],[Asset Code]]))</f>
        <v/>
      </c>
    </row>
    <row r="294" spans="1:18" x14ac:dyDescent="0.25">
      <c r="A294" s="43" t="str">
        <f>IF(B294&lt;&gt;"",SUBTOTAL(3,$B$1:B293),"")</f>
        <v/>
      </c>
      <c r="C294" s="74"/>
      <c r="D294" s="74"/>
      <c r="G294" s="1"/>
      <c r="K294" s="42"/>
      <c r="L294" t="str" cm="1">
        <f t="array" ref="L294">IF($K294="","",_xlfn.SWITCH($I294,"Computer",_xlfn.XLOOKUP($K294&amp;"",COMPUTER!$B$3:$B$1009&amp;"",COMPUTER!$I$3:$I$1009,""),"Display",_xlfn.XLOOKUP($K294&amp;"",DISPLAY!$B$3:$B$1000&amp;"",DISPLAY!$J$3:$J$1000,""),"Network Device",_xlfn.XLOOKUP($K294&amp;"",'NETWORK-DEVICES'!$B$3:$B$987&amp;"",'NETWORK-DEVICES'!$I$3:$I$987,""),"Peripheral",_xlfn.XLOOKUP($K294&amp;"",PERIPHERAL!$B$3:$B$954&amp;"",PERIPHERAL!$I$3:$I$954,""),"Utilities",_xlfn.XLOOKUP($K294&amp;"",UTILITIES!$B$3:$B$953&amp;"",UTILITIES!$H$3:$H$953,""),"IOT",_xlfn.XLOOKUP($K294&amp;"",IOT!$B$3:$B$1012&amp;"",IOT!$I$3:$I$1012,""),"SERVER",_xlfn.XLOOKUP($K294&amp;"",SERVER!$B$3:$B$1009&amp;"",SERVER!$I$3:$I$1009,""),""))</f>
        <v/>
      </c>
      <c r="M294" t="str" cm="1">
        <f t="array" ref="M294">IF($K294="","",_xlfn.SWITCH($I294,"Computer",_xlfn.XLOOKUP($K294&amp;"",COMPUTER!$B$3:$B$1009&amp;"",COMPUTER!$J$3:$J$1009,""),"Display",_xlfn.XLOOKUP($K294&amp;"",DISPLAY!$B$3:$B$1000&amp;"",DISPLAY!$K$3:$K$1000,""),"Network Device",_xlfn.XLOOKUP($K294&amp;"",'NETWORK-DEVICES'!$B$3:$B$987&amp;"",'NETWORK-DEVICES'!$I$3:$I$987,""),"Peripheral",_xlfn.XLOOKUP($K294&amp;"",PERIPHERAL!$B$3:$B$954&amp;"",PERIPHERAL!$J$3:$J$954,""),"Utilities",_xlfn.XLOOKUP($K294&amp;"",UTILITIES!$B$3:$B$953&amp;"",UTILITIES!$I$3:$I$953,""),"IOT",_xlfn.XLOOKUP($K294&amp;"",IOT!$B$3:$B$1012&amp;"",IOT!$J$3:$J$1012,""),"Server",_xlfn.XLOOKUP($K294&amp;"",SERVER!$B$3:$B$1009&amp;"",SERVER!$J$3:$J$1009,""),""))</f>
        <v/>
      </c>
      <c r="N294" s="1" t="str" cm="1">
        <f t="array" ref="N294">IF(OR($K294="",$I294="",$J294=""),"",_xlfn.LET(_xlpm.srcCat,_xlfn.SWITCH($I294,"Computer",_xlfn.XLOOKUP($K294&amp;"",COMPUTER!$B$3:$B$1009&amp;"",COMPUTER!$H$3:$H$1009,""),"Display",_xlfn.XLOOKUP($K294&amp;"",DISPLAY!$B$3:$B$1000&amp;"",DISPLAY!$H$3:$H$1000,""),"Network Device",_xlfn.XLOOKUP($K294&amp;"",'NETWORK-DEVICES'!$B$3:$B$987&amp;"",'NETWORK-DEVICES'!$H$3:$H$987,""),"Peripheral",_xlfn.XLOOKUP($K294&amp;"",PERIPHERAL!$B$3:$B$954&amp;"",PERIPHERAL!$H$3:$H$954,""),"Utilities",_xlfn.XLOOKUP($K294&amp;"",UTILITIES!$B$3:$B$953&amp;"",UTILITIES!$G$3:$G$953,""),"IOT",_xlfn.XLOOKUP($K294&amp;"",IOT!$B$3:$B$1012&amp;"",IOT!$H$3:$H$1012,""),"Server",_xlfn.XLOOKUP($K294&amp;"",SERVER!$B$3:$B$1009&amp;"",SERVER!$H$3:$H$1009,""),""),IF(TRIM(_xlpm.srcCat)&lt;&gt;TRIM($J294),"",_xlfn.SWITCH($I294,"Computer",_xlfn.XLOOKUP($K294&amp;"",COMPUTER!$B$3:$B$1009&amp;"",COMPUTER!$K$3:$K$1009,""),"Display",_xlfn.XLOOKUP($K294&amp;"",DISPLAY!$B$3:$B$1000&amp;"",DISPLAY!$L$3:$L$1000,""),"Network Device",_xlfn.XLOOKUP($K294&amp;"",'NETWORK-DEVICES'!$B$3:$B$987&amp;"",'NETWORK-DEVICES'!$K$3:$K$987,""),"Peripheral",_xlfn.XLOOKUP($K294&amp;"",PERIPHERAL!$B$3:$B$954&amp;"",PERIPHERAL!$K$3:$K$954,""),"Utilities",_xlfn.XLOOKUP($K294&amp;"",UTILITIES!$B$3:$B$953&amp;"",UTILITIES!$J$3:$J$953,""),"IOT",_xlfn.XLOOKUP($K294&amp;"",IOT!$B$3:$B$1012&amp;"",IOT!$K$4:$K$1012,""),"Server",_xlfn.XLOOKUP($K294&amp;"",SERVER!$B$3:$B$1009&amp;"",SERVER!$K$3:$K$1009,""),""))))</f>
        <v/>
      </c>
      <c r="O294" s="1" t="str" cm="1">
        <f t="array" ref="O294">IF(OR($K294="",$I294="",$J294=""),"",_xlfn.LET(_xlpm.srcCat,_xlfn.SWITCH($I294,"Computer",_xlfn.XLOOKUP($K294&amp;"",COMPUTER!$B$3:$B$1009&amp;"",COMPUTER!$H$3:$H$1009,""),"Display",_xlfn.XLOOKUP($K294&amp;"",DISPLAY!$B$3:$B$1000&amp;"",DISPLAY!$H$3:$H$1000,""),"Network Device",_xlfn.XLOOKUP($K294&amp;"",'NETWORK-DEVICES'!$B$3:$B$987&amp;"",'NETWORK-DEVICES'!$H$3:$H$987,""),"Peripheral",_xlfn.XLOOKUP($K294&amp;"",PERIPHERAL!$B$3:$B$954&amp;"",PERIPHERAL!$H$3:$H$954,""),"Utilities",_xlfn.XLOOKUP($K294&amp;"",UTILITIES!$B$3:$B$953&amp;"",UTILITIES!$G$3:$G$953,""),"IOT",_xlfn.XLOOKUP($K294&amp;"",IOT!$B$3:$B$1012&amp;"",IOT!$H$3:$H$1012,""),"Server",_xlfn.XLOOKUP($K294&amp;"",SERVER!$B$3:$B$1009&amp;"",SERVER!$H$3:$H$1009,""),""),IF(TRIM(_xlpm.srcCat)&lt;&gt;TRIM($J294),"",_xlfn.SWITCH($I294,"Computer",_xlfn.XLOOKUP($K294&amp;"",COMPUTER!$B$3:$B$1009&amp;"",COMPUTER!$E$3:$E$1009,""),"Display",_xlfn.XLOOKUP($K294&amp;"",DISPLAY!$B$3:$B$1000&amp;"",DISPLAY!$E$3:$E$1000,""),"Network Device",_xlfn.XLOOKUP($K294&amp;"",'NETWORK-DEVICES'!$B$3:$B$987&amp;"",'NETWORK-DEVICES'!$E$3:$E$987,""),"Peripheral",_xlfn.XLOOKUP($K294&amp;"",PERIPHERAL!$B$3:$B$954&amp;"",PERIPHERAL!$E$3:$E$954,""),"Utilities",_xlfn.XLOOKUP($K294&amp;"",UTILITIES!$B$3:$B$953&amp;"",UTILITIES!$E$3:$E$953,""),"IOT",_xlfn.XLOOKUP($K294&amp;"",IOT!$B$3:$B$1012&amp;"",IOT!$E$3:$E$1012,""),"Server",_xlfn.XLOOKUP($K294&amp;"",SERVER!$B$3:$B$1009&amp;"",SERVER!$E$3:$E$1009,""),""))))</f>
        <v/>
      </c>
      <c r="Q294" s="1" t="str" cm="1">
        <f t="array" ref="Q294">IF(OR($K294="",$I294="",$J294=""),"",_xlfn.LET(_xlpm.srcCat,_xlfn.SWITCH($I294,"Computer",_xlfn.XLOOKUP($K294&amp;"",COMPUTER!$B$3:$B$1009&amp;"",COMPUTER!$H$3:$H$1009,""),"Display",_xlfn.XLOOKUP($K294&amp;"",DISPLAY!$B$3:$B$1000&amp;"",DISPLAY!$H$3:$H$1000,""),"Network Device",_xlfn.XLOOKUP($K294&amp;"",'NETWORK-DEVICES'!$B$3:$B$987&amp;"",'NETWORK-DEVICES'!$H$3:$H$987,""),"Peripheral",_xlfn.XLOOKUP($K294&amp;"",PERIPHERAL!$B$3:$B$954&amp;"",PERIPHERAL!$H$3:$H$954,""),"Utilities",_xlfn.XLOOKUP($K294&amp;"",UTILITIES!$B$3:$B$953&amp;"",UTILITIES!$G$3:$G$953,""),"IOT",_xlfn.XLOOKUP($K294&amp;"",IOT!$B$3:$B$1012&amp;"",IOT!$H$3:$H$1012,""),"Server",_xlfn.XLOOKUP($K294&amp;"",SERVER!$B$3:$B$1009&amp;"",SERVER!$H$3:$H$1009,""),""),IF(TRIM(_xlpm.srcCat)&lt;&gt;TRIM($J294),"",_xlfn.SWITCH($I294,"Computer",_xlfn.XLOOKUP($K294&amp;"",COMPUTER!$B$3:$B$1009&amp;"",COMPUTER!$AM$3:$AM$1009,""),"Display",_xlfn.XLOOKUP($K294&amp;"",DISPLAY!$B$3:$B$1000&amp;"",DISPLAY!$V$3:$V$1000,""),"Network Device",_xlfn.XLOOKUP($K294&amp;"",'NETWORK-DEVICES'!$B$3:$B$987&amp;"",'NETWORK-DEVICES'!$AF$3:$AF$987,""),"Peripheral",_xlfn.XLOOKUP($K294&amp;"",PERIPHERAL!$B$3:$B$954&amp;"",PERIPHERAL!$Y$3:$Y$954,""),"Utilities",_xlfn.XLOOKUP($K294&amp;"",UTILITIES!$B$3:$B$953&amp;"",UTILITIES!$O$3:$O$953,""),"IOT",_xlfn.XLOOKUP($K294&amp;"",IOT!$B$3:$B$1012&amp;"",IOT!$AB$3:$AB$1012,""),"Server",_xlfn.XLOOKUP($K294&amp;"",SERVER!$B$3:$B$1009&amp;"",SERVER!$AB$3:$AB$1009,""),""))))</f>
        <v/>
      </c>
      <c r="R294" s="43" t="str">
        <f>IF(tbl_handover[[#This Row],[Asset Code]]="","",COUNTIF(tbl_handover[Asset Code],tbl_handover[[#This Row],[Asset Code]]))</f>
        <v/>
      </c>
    </row>
    <row r="295" spans="1:18" x14ac:dyDescent="0.25">
      <c r="A295" s="43" t="str">
        <f>IF(B295&lt;&gt;"",SUBTOTAL(3,$B$1:B294),"")</f>
        <v/>
      </c>
      <c r="C295" s="74"/>
      <c r="D295" s="74"/>
      <c r="G295" s="1"/>
      <c r="K295" s="42"/>
      <c r="L295" t="str" cm="1">
        <f t="array" ref="L295">IF($K295="","",_xlfn.SWITCH($I295,"Computer",_xlfn.XLOOKUP($K295&amp;"",COMPUTER!$B$3:$B$1009&amp;"",COMPUTER!$I$3:$I$1009,""),"Display",_xlfn.XLOOKUP($K295&amp;"",DISPLAY!$B$3:$B$1000&amp;"",DISPLAY!$J$3:$J$1000,""),"Network Device",_xlfn.XLOOKUP($K295&amp;"",'NETWORK-DEVICES'!$B$3:$B$987&amp;"",'NETWORK-DEVICES'!$I$3:$I$987,""),"Peripheral",_xlfn.XLOOKUP($K295&amp;"",PERIPHERAL!$B$3:$B$954&amp;"",PERIPHERAL!$I$3:$I$954,""),"Utilities",_xlfn.XLOOKUP($K295&amp;"",UTILITIES!$B$3:$B$953&amp;"",UTILITIES!$H$3:$H$953,""),"IOT",_xlfn.XLOOKUP($K295&amp;"",IOT!$B$3:$B$1012&amp;"",IOT!$I$3:$I$1012,""),"SERVER",_xlfn.XLOOKUP($K295&amp;"",SERVER!$B$3:$B$1009&amp;"",SERVER!$I$3:$I$1009,""),""))</f>
        <v/>
      </c>
      <c r="M295" t="str" cm="1">
        <f t="array" ref="M295">IF($K295="","",_xlfn.SWITCH($I295,"Computer",_xlfn.XLOOKUP($K295&amp;"",COMPUTER!$B$3:$B$1009&amp;"",COMPUTER!$J$3:$J$1009,""),"Display",_xlfn.XLOOKUP($K295&amp;"",DISPLAY!$B$3:$B$1000&amp;"",DISPLAY!$K$3:$K$1000,""),"Network Device",_xlfn.XLOOKUP($K295&amp;"",'NETWORK-DEVICES'!$B$3:$B$987&amp;"",'NETWORK-DEVICES'!$I$3:$I$987,""),"Peripheral",_xlfn.XLOOKUP($K295&amp;"",PERIPHERAL!$B$3:$B$954&amp;"",PERIPHERAL!$J$3:$J$954,""),"Utilities",_xlfn.XLOOKUP($K295&amp;"",UTILITIES!$B$3:$B$953&amp;"",UTILITIES!$I$3:$I$953,""),"IOT",_xlfn.XLOOKUP($K295&amp;"",IOT!$B$3:$B$1012&amp;"",IOT!$J$3:$J$1012,""),"Server",_xlfn.XLOOKUP($K295&amp;"",SERVER!$B$3:$B$1009&amp;"",SERVER!$J$3:$J$1009,""),""))</f>
        <v/>
      </c>
      <c r="N295" s="1" t="str" cm="1">
        <f t="array" ref="N295">IF(OR($K295="",$I295="",$J295=""),"",_xlfn.LET(_xlpm.srcCat,_xlfn.SWITCH($I295,"Computer",_xlfn.XLOOKUP($K295&amp;"",COMPUTER!$B$3:$B$1009&amp;"",COMPUTER!$H$3:$H$1009,""),"Display",_xlfn.XLOOKUP($K295&amp;"",DISPLAY!$B$3:$B$1000&amp;"",DISPLAY!$H$3:$H$1000,""),"Network Device",_xlfn.XLOOKUP($K295&amp;"",'NETWORK-DEVICES'!$B$3:$B$987&amp;"",'NETWORK-DEVICES'!$H$3:$H$987,""),"Peripheral",_xlfn.XLOOKUP($K295&amp;"",PERIPHERAL!$B$3:$B$954&amp;"",PERIPHERAL!$H$3:$H$954,""),"Utilities",_xlfn.XLOOKUP($K295&amp;"",UTILITIES!$B$3:$B$953&amp;"",UTILITIES!$G$3:$G$953,""),"IOT",_xlfn.XLOOKUP($K295&amp;"",IOT!$B$3:$B$1012&amp;"",IOT!$H$3:$H$1012,""),"Server",_xlfn.XLOOKUP($K295&amp;"",SERVER!$B$3:$B$1009&amp;"",SERVER!$H$3:$H$1009,""),""),IF(TRIM(_xlpm.srcCat)&lt;&gt;TRIM($J295),"",_xlfn.SWITCH($I295,"Computer",_xlfn.XLOOKUP($K295&amp;"",COMPUTER!$B$3:$B$1009&amp;"",COMPUTER!$K$3:$K$1009,""),"Display",_xlfn.XLOOKUP($K295&amp;"",DISPLAY!$B$3:$B$1000&amp;"",DISPLAY!$L$3:$L$1000,""),"Network Device",_xlfn.XLOOKUP($K295&amp;"",'NETWORK-DEVICES'!$B$3:$B$987&amp;"",'NETWORK-DEVICES'!$K$3:$K$987,""),"Peripheral",_xlfn.XLOOKUP($K295&amp;"",PERIPHERAL!$B$3:$B$954&amp;"",PERIPHERAL!$K$3:$K$954,""),"Utilities",_xlfn.XLOOKUP($K295&amp;"",UTILITIES!$B$3:$B$953&amp;"",UTILITIES!$J$3:$J$953,""),"IOT",_xlfn.XLOOKUP($K295&amp;"",IOT!$B$3:$B$1012&amp;"",IOT!$K$4:$K$1012,""),"Server",_xlfn.XLOOKUP($K295&amp;"",SERVER!$B$3:$B$1009&amp;"",SERVER!$K$3:$K$1009,""),""))))</f>
        <v/>
      </c>
      <c r="O295" s="1" t="str" cm="1">
        <f t="array" ref="O295">IF(OR($K295="",$I295="",$J295=""),"",_xlfn.LET(_xlpm.srcCat,_xlfn.SWITCH($I295,"Computer",_xlfn.XLOOKUP($K295&amp;"",COMPUTER!$B$3:$B$1009&amp;"",COMPUTER!$H$3:$H$1009,""),"Display",_xlfn.XLOOKUP($K295&amp;"",DISPLAY!$B$3:$B$1000&amp;"",DISPLAY!$H$3:$H$1000,""),"Network Device",_xlfn.XLOOKUP($K295&amp;"",'NETWORK-DEVICES'!$B$3:$B$987&amp;"",'NETWORK-DEVICES'!$H$3:$H$987,""),"Peripheral",_xlfn.XLOOKUP($K295&amp;"",PERIPHERAL!$B$3:$B$954&amp;"",PERIPHERAL!$H$3:$H$954,""),"Utilities",_xlfn.XLOOKUP($K295&amp;"",UTILITIES!$B$3:$B$953&amp;"",UTILITIES!$G$3:$G$953,""),"IOT",_xlfn.XLOOKUP($K295&amp;"",IOT!$B$3:$B$1012&amp;"",IOT!$H$3:$H$1012,""),"Server",_xlfn.XLOOKUP($K295&amp;"",SERVER!$B$3:$B$1009&amp;"",SERVER!$H$3:$H$1009,""),""),IF(TRIM(_xlpm.srcCat)&lt;&gt;TRIM($J295),"",_xlfn.SWITCH($I295,"Computer",_xlfn.XLOOKUP($K295&amp;"",COMPUTER!$B$3:$B$1009&amp;"",COMPUTER!$E$3:$E$1009,""),"Display",_xlfn.XLOOKUP($K295&amp;"",DISPLAY!$B$3:$B$1000&amp;"",DISPLAY!$E$3:$E$1000,""),"Network Device",_xlfn.XLOOKUP($K295&amp;"",'NETWORK-DEVICES'!$B$3:$B$987&amp;"",'NETWORK-DEVICES'!$E$3:$E$987,""),"Peripheral",_xlfn.XLOOKUP($K295&amp;"",PERIPHERAL!$B$3:$B$954&amp;"",PERIPHERAL!$E$3:$E$954,""),"Utilities",_xlfn.XLOOKUP($K295&amp;"",UTILITIES!$B$3:$B$953&amp;"",UTILITIES!$E$3:$E$953,""),"IOT",_xlfn.XLOOKUP($K295&amp;"",IOT!$B$3:$B$1012&amp;"",IOT!$E$3:$E$1012,""),"Server",_xlfn.XLOOKUP($K295&amp;"",SERVER!$B$3:$B$1009&amp;"",SERVER!$E$3:$E$1009,""),""))))</f>
        <v/>
      </c>
      <c r="Q295" s="1" t="str" cm="1">
        <f t="array" ref="Q295">IF(OR($K295="",$I295="",$J295=""),"",_xlfn.LET(_xlpm.srcCat,_xlfn.SWITCH($I295,"Computer",_xlfn.XLOOKUP($K295&amp;"",COMPUTER!$B$3:$B$1009&amp;"",COMPUTER!$H$3:$H$1009,""),"Display",_xlfn.XLOOKUP($K295&amp;"",DISPLAY!$B$3:$B$1000&amp;"",DISPLAY!$H$3:$H$1000,""),"Network Device",_xlfn.XLOOKUP($K295&amp;"",'NETWORK-DEVICES'!$B$3:$B$987&amp;"",'NETWORK-DEVICES'!$H$3:$H$987,""),"Peripheral",_xlfn.XLOOKUP($K295&amp;"",PERIPHERAL!$B$3:$B$954&amp;"",PERIPHERAL!$H$3:$H$954,""),"Utilities",_xlfn.XLOOKUP($K295&amp;"",UTILITIES!$B$3:$B$953&amp;"",UTILITIES!$G$3:$G$953,""),"IOT",_xlfn.XLOOKUP($K295&amp;"",IOT!$B$3:$B$1012&amp;"",IOT!$H$3:$H$1012,""),"Server",_xlfn.XLOOKUP($K295&amp;"",SERVER!$B$3:$B$1009&amp;"",SERVER!$H$3:$H$1009,""),""),IF(TRIM(_xlpm.srcCat)&lt;&gt;TRIM($J295),"",_xlfn.SWITCH($I295,"Computer",_xlfn.XLOOKUP($K295&amp;"",COMPUTER!$B$3:$B$1009&amp;"",COMPUTER!$AM$3:$AM$1009,""),"Display",_xlfn.XLOOKUP($K295&amp;"",DISPLAY!$B$3:$B$1000&amp;"",DISPLAY!$V$3:$V$1000,""),"Network Device",_xlfn.XLOOKUP($K295&amp;"",'NETWORK-DEVICES'!$B$3:$B$987&amp;"",'NETWORK-DEVICES'!$AF$3:$AF$987,""),"Peripheral",_xlfn.XLOOKUP($K295&amp;"",PERIPHERAL!$B$3:$B$954&amp;"",PERIPHERAL!$Y$3:$Y$954,""),"Utilities",_xlfn.XLOOKUP($K295&amp;"",UTILITIES!$B$3:$B$953&amp;"",UTILITIES!$O$3:$O$953,""),"IOT",_xlfn.XLOOKUP($K295&amp;"",IOT!$B$3:$B$1012&amp;"",IOT!$AB$3:$AB$1012,""),"Server",_xlfn.XLOOKUP($K295&amp;"",SERVER!$B$3:$B$1009&amp;"",SERVER!$AB$3:$AB$1009,""),""))))</f>
        <v/>
      </c>
      <c r="R295" s="43" t="str">
        <f>IF(tbl_handover[[#This Row],[Asset Code]]="","",COUNTIF(tbl_handover[Asset Code],tbl_handover[[#This Row],[Asset Code]]))</f>
        <v/>
      </c>
    </row>
    <row r="296" spans="1:18" x14ac:dyDescent="0.25">
      <c r="A296" s="43" t="str">
        <f>IF(B296&lt;&gt;"",SUBTOTAL(3,$B$1:B295),"")</f>
        <v/>
      </c>
      <c r="C296" s="74"/>
      <c r="D296" s="74"/>
      <c r="G296" s="1"/>
      <c r="K296" s="42"/>
      <c r="L296" t="str" cm="1">
        <f t="array" ref="L296">IF($K296="","",_xlfn.SWITCH($I296,"Computer",_xlfn.XLOOKUP($K296&amp;"",COMPUTER!$B$3:$B$1009&amp;"",COMPUTER!$I$3:$I$1009,""),"Display",_xlfn.XLOOKUP($K296&amp;"",DISPLAY!$B$3:$B$1000&amp;"",DISPLAY!$J$3:$J$1000,""),"Network Device",_xlfn.XLOOKUP($K296&amp;"",'NETWORK-DEVICES'!$B$3:$B$987&amp;"",'NETWORK-DEVICES'!$I$3:$I$987,""),"Peripheral",_xlfn.XLOOKUP($K296&amp;"",PERIPHERAL!$B$3:$B$954&amp;"",PERIPHERAL!$I$3:$I$954,""),"Utilities",_xlfn.XLOOKUP($K296&amp;"",UTILITIES!$B$3:$B$953&amp;"",UTILITIES!$H$3:$H$953,""),"IOT",_xlfn.XLOOKUP($K296&amp;"",IOT!$B$3:$B$1012&amp;"",IOT!$I$3:$I$1012,""),"SERVER",_xlfn.XLOOKUP($K296&amp;"",SERVER!$B$3:$B$1009&amp;"",SERVER!$I$3:$I$1009,""),""))</f>
        <v/>
      </c>
      <c r="M296" t="str" cm="1">
        <f t="array" ref="M296">IF($K296="","",_xlfn.SWITCH($I296,"Computer",_xlfn.XLOOKUP($K296&amp;"",COMPUTER!$B$3:$B$1009&amp;"",COMPUTER!$J$3:$J$1009,""),"Display",_xlfn.XLOOKUP($K296&amp;"",DISPLAY!$B$3:$B$1000&amp;"",DISPLAY!$K$3:$K$1000,""),"Network Device",_xlfn.XLOOKUP($K296&amp;"",'NETWORK-DEVICES'!$B$3:$B$987&amp;"",'NETWORK-DEVICES'!$I$3:$I$987,""),"Peripheral",_xlfn.XLOOKUP($K296&amp;"",PERIPHERAL!$B$3:$B$954&amp;"",PERIPHERAL!$J$3:$J$954,""),"Utilities",_xlfn.XLOOKUP($K296&amp;"",UTILITIES!$B$3:$B$953&amp;"",UTILITIES!$I$3:$I$953,""),"IOT",_xlfn.XLOOKUP($K296&amp;"",IOT!$B$3:$B$1012&amp;"",IOT!$J$3:$J$1012,""),"Server",_xlfn.XLOOKUP($K296&amp;"",SERVER!$B$3:$B$1009&amp;"",SERVER!$J$3:$J$1009,""),""))</f>
        <v/>
      </c>
      <c r="N296" s="1" t="str" cm="1">
        <f t="array" ref="N296">IF(OR($K296="",$I296="",$J296=""),"",_xlfn.LET(_xlpm.srcCat,_xlfn.SWITCH($I296,"Computer",_xlfn.XLOOKUP($K296&amp;"",COMPUTER!$B$3:$B$1009&amp;"",COMPUTER!$H$3:$H$1009,""),"Display",_xlfn.XLOOKUP($K296&amp;"",DISPLAY!$B$3:$B$1000&amp;"",DISPLAY!$H$3:$H$1000,""),"Network Device",_xlfn.XLOOKUP($K296&amp;"",'NETWORK-DEVICES'!$B$3:$B$987&amp;"",'NETWORK-DEVICES'!$H$3:$H$987,""),"Peripheral",_xlfn.XLOOKUP($K296&amp;"",PERIPHERAL!$B$3:$B$954&amp;"",PERIPHERAL!$H$3:$H$954,""),"Utilities",_xlfn.XLOOKUP($K296&amp;"",UTILITIES!$B$3:$B$953&amp;"",UTILITIES!$G$3:$G$953,""),"IOT",_xlfn.XLOOKUP($K296&amp;"",IOT!$B$3:$B$1012&amp;"",IOT!$H$3:$H$1012,""),"Server",_xlfn.XLOOKUP($K296&amp;"",SERVER!$B$3:$B$1009&amp;"",SERVER!$H$3:$H$1009,""),""),IF(TRIM(_xlpm.srcCat)&lt;&gt;TRIM($J296),"",_xlfn.SWITCH($I296,"Computer",_xlfn.XLOOKUP($K296&amp;"",COMPUTER!$B$3:$B$1009&amp;"",COMPUTER!$K$3:$K$1009,""),"Display",_xlfn.XLOOKUP($K296&amp;"",DISPLAY!$B$3:$B$1000&amp;"",DISPLAY!$L$3:$L$1000,""),"Network Device",_xlfn.XLOOKUP($K296&amp;"",'NETWORK-DEVICES'!$B$3:$B$987&amp;"",'NETWORK-DEVICES'!$K$3:$K$987,""),"Peripheral",_xlfn.XLOOKUP($K296&amp;"",PERIPHERAL!$B$3:$B$954&amp;"",PERIPHERAL!$K$3:$K$954,""),"Utilities",_xlfn.XLOOKUP($K296&amp;"",UTILITIES!$B$3:$B$953&amp;"",UTILITIES!$J$3:$J$953,""),"IOT",_xlfn.XLOOKUP($K296&amp;"",IOT!$B$3:$B$1012&amp;"",IOT!$K$4:$K$1012,""),"Server",_xlfn.XLOOKUP($K296&amp;"",SERVER!$B$3:$B$1009&amp;"",SERVER!$K$3:$K$1009,""),""))))</f>
        <v/>
      </c>
      <c r="O296" s="1" t="str" cm="1">
        <f t="array" ref="O296">IF(OR($K296="",$I296="",$J296=""),"",_xlfn.LET(_xlpm.srcCat,_xlfn.SWITCH($I296,"Computer",_xlfn.XLOOKUP($K296&amp;"",COMPUTER!$B$3:$B$1009&amp;"",COMPUTER!$H$3:$H$1009,""),"Display",_xlfn.XLOOKUP($K296&amp;"",DISPLAY!$B$3:$B$1000&amp;"",DISPLAY!$H$3:$H$1000,""),"Network Device",_xlfn.XLOOKUP($K296&amp;"",'NETWORK-DEVICES'!$B$3:$B$987&amp;"",'NETWORK-DEVICES'!$H$3:$H$987,""),"Peripheral",_xlfn.XLOOKUP($K296&amp;"",PERIPHERAL!$B$3:$B$954&amp;"",PERIPHERAL!$H$3:$H$954,""),"Utilities",_xlfn.XLOOKUP($K296&amp;"",UTILITIES!$B$3:$B$953&amp;"",UTILITIES!$G$3:$G$953,""),"IOT",_xlfn.XLOOKUP($K296&amp;"",IOT!$B$3:$B$1012&amp;"",IOT!$H$3:$H$1012,""),"Server",_xlfn.XLOOKUP($K296&amp;"",SERVER!$B$3:$B$1009&amp;"",SERVER!$H$3:$H$1009,""),""),IF(TRIM(_xlpm.srcCat)&lt;&gt;TRIM($J296),"",_xlfn.SWITCH($I296,"Computer",_xlfn.XLOOKUP($K296&amp;"",COMPUTER!$B$3:$B$1009&amp;"",COMPUTER!$E$3:$E$1009,""),"Display",_xlfn.XLOOKUP($K296&amp;"",DISPLAY!$B$3:$B$1000&amp;"",DISPLAY!$E$3:$E$1000,""),"Network Device",_xlfn.XLOOKUP($K296&amp;"",'NETWORK-DEVICES'!$B$3:$B$987&amp;"",'NETWORK-DEVICES'!$E$3:$E$987,""),"Peripheral",_xlfn.XLOOKUP($K296&amp;"",PERIPHERAL!$B$3:$B$954&amp;"",PERIPHERAL!$E$3:$E$954,""),"Utilities",_xlfn.XLOOKUP($K296&amp;"",UTILITIES!$B$3:$B$953&amp;"",UTILITIES!$E$3:$E$953,""),"IOT",_xlfn.XLOOKUP($K296&amp;"",IOT!$B$3:$B$1012&amp;"",IOT!$E$3:$E$1012,""),"Server",_xlfn.XLOOKUP($K296&amp;"",SERVER!$B$3:$B$1009&amp;"",SERVER!$E$3:$E$1009,""),""))))</f>
        <v/>
      </c>
      <c r="Q296" s="1" t="str" cm="1">
        <f t="array" ref="Q296">IF(OR($K296="",$I296="",$J296=""),"",_xlfn.LET(_xlpm.srcCat,_xlfn.SWITCH($I296,"Computer",_xlfn.XLOOKUP($K296&amp;"",COMPUTER!$B$3:$B$1009&amp;"",COMPUTER!$H$3:$H$1009,""),"Display",_xlfn.XLOOKUP($K296&amp;"",DISPLAY!$B$3:$B$1000&amp;"",DISPLAY!$H$3:$H$1000,""),"Network Device",_xlfn.XLOOKUP($K296&amp;"",'NETWORK-DEVICES'!$B$3:$B$987&amp;"",'NETWORK-DEVICES'!$H$3:$H$987,""),"Peripheral",_xlfn.XLOOKUP($K296&amp;"",PERIPHERAL!$B$3:$B$954&amp;"",PERIPHERAL!$H$3:$H$954,""),"Utilities",_xlfn.XLOOKUP($K296&amp;"",UTILITIES!$B$3:$B$953&amp;"",UTILITIES!$G$3:$G$953,""),"IOT",_xlfn.XLOOKUP($K296&amp;"",IOT!$B$3:$B$1012&amp;"",IOT!$H$3:$H$1012,""),"Server",_xlfn.XLOOKUP($K296&amp;"",SERVER!$B$3:$B$1009&amp;"",SERVER!$H$3:$H$1009,""),""),IF(TRIM(_xlpm.srcCat)&lt;&gt;TRIM($J296),"",_xlfn.SWITCH($I296,"Computer",_xlfn.XLOOKUP($K296&amp;"",COMPUTER!$B$3:$B$1009&amp;"",COMPUTER!$AM$3:$AM$1009,""),"Display",_xlfn.XLOOKUP($K296&amp;"",DISPLAY!$B$3:$B$1000&amp;"",DISPLAY!$V$3:$V$1000,""),"Network Device",_xlfn.XLOOKUP($K296&amp;"",'NETWORK-DEVICES'!$B$3:$B$987&amp;"",'NETWORK-DEVICES'!$AF$3:$AF$987,""),"Peripheral",_xlfn.XLOOKUP($K296&amp;"",PERIPHERAL!$B$3:$B$954&amp;"",PERIPHERAL!$Y$3:$Y$954,""),"Utilities",_xlfn.XLOOKUP($K296&amp;"",UTILITIES!$B$3:$B$953&amp;"",UTILITIES!$O$3:$O$953,""),"IOT",_xlfn.XLOOKUP($K296&amp;"",IOT!$B$3:$B$1012&amp;"",IOT!$AB$3:$AB$1012,""),"Server",_xlfn.XLOOKUP($K296&amp;"",SERVER!$B$3:$B$1009&amp;"",SERVER!$AB$3:$AB$1009,""),""))))</f>
        <v/>
      </c>
      <c r="R296" s="43" t="str">
        <f>IF(tbl_handover[[#This Row],[Asset Code]]="","",COUNTIF(tbl_handover[Asset Code],tbl_handover[[#This Row],[Asset Code]]))</f>
        <v/>
      </c>
    </row>
    <row r="297" spans="1:18" x14ac:dyDescent="0.25">
      <c r="A297" s="43" t="str">
        <f>IF(B297&lt;&gt;"",SUBTOTAL(3,$B$1:B296),"")</f>
        <v/>
      </c>
      <c r="C297" s="74"/>
      <c r="D297" s="74"/>
      <c r="G297" s="1"/>
      <c r="K297" s="42"/>
      <c r="L297" t="str" cm="1">
        <f t="array" ref="L297">IF($K297="","",_xlfn.SWITCH($I297,"Computer",_xlfn.XLOOKUP($K297&amp;"",COMPUTER!$B$3:$B$1009&amp;"",COMPUTER!$I$3:$I$1009,""),"Display",_xlfn.XLOOKUP($K297&amp;"",DISPLAY!$B$3:$B$1000&amp;"",DISPLAY!$J$3:$J$1000,""),"Network Device",_xlfn.XLOOKUP($K297&amp;"",'NETWORK-DEVICES'!$B$3:$B$987&amp;"",'NETWORK-DEVICES'!$I$3:$I$987,""),"Peripheral",_xlfn.XLOOKUP($K297&amp;"",PERIPHERAL!$B$3:$B$954&amp;"",PERIPHERAL!$I$3:$I$954,""),"Utilities",_xlfn.XLOOKUP($K297&amp;"",UTILITIES!$B$3:$B$953&amp;"",UTILITIES!$H$3:$H$953,""),"IOT",_xlfn.XLOOKUP($K297&amp;"",IOT!$B$3:$B$1012&amp;"",IOT!$I$3:$I$1012,""),"SERVER",_xlfn.XLOOKUP($K297&amp;"",SERVER!$B$3:$B$1009&amp;"",SERVER!$I$3:$I$1009,""),""))</f>
        <v/>
      </c>
      <c r="M297" t="str" cm="1">
        <f t="array" ref="M297">IF($K297="","",_xlfn.SWITCH($I297,"Computer",_xlfn.XLOOKUP($K297&amp;"",COMPUTER!$B$3:$B$1009&amp;"",COMPUTER!$J$3:$J$1009,""),"Display",_xlfn.XLOOKUP($K297&amp;"",DISPLAY!$B$3:$B$1000&amp;"",DISPLAY!$K$3:$K$1000,""),"Network Device",_xlfn.XLOOKUP($K297&amp;"",'NETWORK-DEVICES'!$B$3:$B$987&amp;"",'NETWORK-DEVICES'!$I$3:$I$987,""),"Peripheral",_xlfn.XLOOKUP($K297&amp;"",PERIPHERAL!$B$3:$B$954&amp;"",PERIPHERAL!$J$3:$J$954,""),"Utilities",_xlfn.XLOOKUP($K297&amp;"",UTILITIES!$B$3:$B$953&amp;"",UTILITIES!$I$3:$I$953,""),"IOT",_xlfn.XLOOKUP($K297&amp;"",IOT!$B$3:$B$1012&amp;"",IOT!$J$3:$J$1012,""),"Server",_xlfn.XLOOKUP($K297&amp;"",SERVER!$B$3:$B$1009&amp;"",SERVER!$J$3:$J$1009,""),""))</f>
        <v/>
      </c>
      <c r="N297" s="1" t="str" cm="1">
        <f t="array" ref="N297">IF(OR($K297="",$I297="",$J297=""),"",_xlfn.LET(_xlpm.srcCat,_xlfn.SWITCH($I297,"Computer",_xlfn.XLOOKUP($K297&amp;"",COMPUTER!$B$3:$B$1009&amp;"",COMPUTER!$H$3:$H$1009,""),"Display",_xlfn.XLOOKUP($K297&amp;"",DISPLAY!$B$3:$B$1000&amp;"",DISPLAY!$H$3:$H$1000,""),"Network Device",_xlfn.XLOOKUP($K297&amp;"",'NETWORK-DEVICES'!$B$3:$B$987&amp;"",'NETWORK-DEVICES'!$H$3:$H$987,""),"Peripheral",_xlfn.XLOOKUP($K297&amp;"",PERIPHERAL!$B$3:$B$954&amp;"",PERIPHERAL!$H$3:$H$954,""),"Utilities",_xlfn.XLOOKUP($K297&amp;"",UTILITIES!$B$3:$B$953&amp;"",UTILITIES!$G$3:$G$953,""),"IOT",_xlfn.XLOOKUP($K297&amp;"",IOT!$B$3:$B$1012&amp;"",IOT!$H$3:$H$1012,""),"Server",_xlfn.XLOOKUP($K297&amp;"",SERVER!$B$3:$B$1009&amp;"",SERVER!$H$3:$H$1009,""),""),IF(TRIM(_xlpm.srcCat)&lt;&gt;TRIM($J297),"",_xlfn.SWITCH($I297,"Computer",_xlfn.XLOOKUP($K297&amp;"",COMPUTER!$B$3:$B$1009&amp;"",COMPUTER!$K$3:$K$1009,""),"Display",_xlfn.XLOOKUP($K297&amp;"",DISPLAY!$B$3:$B$1000&amp;"",DISPLAY!$L$3:$L$1000,""),"Network Device",_xlfn.XLOOKUP($K297&amp;"",'NETWORK-DEVICES'!$B$3:$B$987&amp;"",'NETWORK-DEVICES'!$K$3:$K$987,""),"Peripheral",_xlfn.XLOOKUP($K297&amp;"",PERIPHERAL!$B$3:$B$954&amp;"",PERIPHERAL!$K$3:$K$954,""),"Utilities",_xlfn.XLOOKUP($K297&amp;"",UTILITIES!$B$3:$B$953&amp;"",UTILITIES!$J$3:$J$953,""),"IOT",_xlfn.XLOOKUP($K297&amp;"",IOT!$B$3:$B$1012&amp;"",IOT!$K$4:$K$1012,""),"Server",_xlfn.XLOOKUP($K297&amp;"",SERVER!$B$3:$B$1009&amp;"",SERVER!$K$3:$K$1009,""),""))))</f>
        <v/>
      </c>
      <c r="O297" s="1" t="str" cm="1">
        <f t="array" ref="O297">IF(OR($K297="",$I297="",$J297=""),"",_xlfn.LET(_xlpm.srcCat,_xlfn.SWITCH($I297,"Computer",_xlfn.XLOOKUP($K297&amp;"",COMPUTER!$B$3:$B$1009&amp;"",COMPUTER!$H$3:$H$1009,""),"Display",_xlfn.XLOOKUP($K297&amp;"",DISPLAY!$B$3:$B$1000&amp;"",DISPLAY!$H$3:$H$1000,""),"Network Device",_xlfn.XLOOKUP($K297&amp;"",'NETWORK-DEVICES'!$B$3:$B$987&amp;"",'NETWORK-DEVICES'!$H$3:$H$987,""),"Peripheral",_xlfn.XLOOKUP($K297&amp;"",PERIPHERAL!$B$3:$B$954&amp;"",PERIPHERAL!$H$3:$H$954,""),"Utilities",_xlfn.XLOOKUP($K297&amp;"",UTILITIES!$B$3:$B$953&amp;"",UTILITIES!$G$3:$G$953,""),"IOT",_xlfn.XLOOKUP($K297&amp;"",IOT!$B$3:$B$1012&amp;"",IOT!$H$3:$H$1012,""),"Server",_xlfn.XLOOKUP($K297&amp;"",SERVER!$B$3:$B$1009&amp;"",SERVER!$H$3:$H$1009,""),""),IF(TRIM(_xlpm.srcCat)&lt;&gt;TRIM($J297),"",_xlfn.SWITCH($I297,"Computer",_xlfn.XLOOKUP($K297&amp;"",COMPUTER!$B$3:$B$1009&amp;"",COMPUTER!$E$3:$E$1009,""),"Display",_xlfn.XLOOKUP($K297&amp;"",DISPLAY!$B$3:$B$1000&amp;"",DISPLAY!$E$3:$E$1000,""),"Network Device",_xlfn.XLOOKUP($K297&amp;"",'NETWORK-DEVICES'!$B$3:$B$987&amp;"",'NETWORK-DEVICES'!$E$3:$E$987,""),"Peripheral",_xlfn.XLOOKUP($K297&amp;"",PERIPHERAL!$B$3:$B$954&amp;"",PERIPHERAL!$E$3:$E$954,""),"Utilities",_xlfn.XLOOKUP($K297&amp;"",UTILITIES!$B$3:$B$953&amp;"",UTILITIES!$E$3:$E$953,""),"IOT",_xlfn.XLOOKUP($K297&amp;"",IOT!$B$3:$B$1012&amp;"",IOT!$E$3:$E$1012,""),"Server",_xlfn.XLOOKUP($K297&amp;"",SERVER!$B$3:$B$1009&amp;"",SERVER!$E$3:$E$1009,""),""))))</f>
        <v/>
      </c>
      <c r="Q297" s="1" t="str" cm="1">
        <f t="array" ref="Q297">IF(OR($K297="",$I297="",$J297=""),"",_xlfn.LET(_xlpm.srcCat,_xlfn.SWITCH($I297,"Computer",_xlfn.XLOOKUP($K297&amp;"",COMPUTER!$B$3:$B$1009&amp;"",COMPUTER!$H$3:$H$1009,""),"Display",_xlfn.XLOOKUP($K297&amp;"",DISPLAY!$B$3:$B$1000&amp;"",DISPLAY!$H$3:$H$1000,""),"Network Device",_xlfn.XLOOKUP($K297&amp;"",'NETWORK-DEVICES'!$B$3:$B$987&amp;"",'NETWORK-DEVICES'!$H$3:$H$987,""),"Peripheral",_xlfn.XLOOKUP($K297&amp;"",PERIPHERAL!$B$3:$B$954&amp;"",PERIPHERAL!$H$3:$H$954,""),"Utilities",_xlfn.XLOOKUP($K297&amp;"",UTILITIES!$B$3:$B$953&amp;"",UTILITIES!$G$3:$G$953,""),"IOT",_xlfn.XLOOKUP($K297&amp;"",IOT!$B$3:$B$1012&amp;"",IOT!$H$3:$H$1012,""),"Server",_xlfn.XLOOKUP($K297&amp;"",SERVER!$B$3:$B$1009&amp;"",SERVER!$H$3:$H$1009,""),""),IF(TRIM(_xlpm.srcCat)&lt;&gt;TRIM($J297),"",_xlfn.SWITCH($I297,"Computer",_xlfn.XLOOKUP($K297&amp;"",COMPUTER!$B$3:$B$1009&amp;"",COMPUTER!$AM$3:$AM$1009,""),"Display",_xlfn.XLOOKUP($K297&amp;"",DISPLAY!$B$3:$B$1000&amp;"",DISPLAY!$V$3:$V$1000,""),"Network Device",_xlfn.XLOOKUP($K297&amp;"",'NETWORK-DEVICES'!$B$3:$B$987&amp;"",'NETWORK-DEVICES'!$AF$3:$AF$987,""),"Peripheral",_xlfn.XLOOKUP($K297&amp;"",PERIPHERAL!$B$3:$B$954&amp;"",PERIPHERAL!$Y$3:$Y$954,""),"Utilities",_xlfn.XLOOKUP($K297&amp;"",UTILITIES!$B$3:$B$953&amp;"",UTILITIES!$O$3:$O$953,""),"IOT",_xlfn.XLOOKUP($K297&amp;"",IOT!$B$3:$B$1012&amp;"",IOT!$AB$3:$AB$1012,""),"Server",_xlfn.XLOOKUP($K297&amp;"",SERVER!$B$3:$B$1009&amp;"",SERVER!$AB$3:$AB$1009,""),""))))</f>
        <v/>
      </c>
      <c r="R297" s="43" t="str">
        <f>IF(tbl_handover[[#This Row],[Asset Code]]="","",COUNTIF(tbl_handover[Asset Code],tbl_handover[[#This Row],[Asset Code]]))</f>
        <v/>
      </c>
    </row>
    <row r="298" spans="1:18" x14ac:dyDescent="0.25">
      <c r="A298" s="43" t="str">
        <f>IF(B298&lt;&gt;"",SUBTOTAL(3,$B$1:B297),"")</f>
        <v/>
      </c>
      <c r="C298" s="74"/>
      <c r="D298" s="74"/>
      <c r="G298" s="1"/>
      <c r="K298" s="42"/>
      <c r="L298" t="str" cm="1">
        <f t="array" ref="L298">IF($K298="","",_xlfn.SWITCH($I298,"Computer",_xlfn.XLOOKUP($K298&amp;"",COMPUTER!$B$3:$B$1009&amp;"",COMPUTER!$I$3:$I$1009,""),"Display",_xlfn.XLOOKUP($K298&amp;"",DISPLAY!$B$3:$B$1000&amp;"",DISPLAY!$J$3:$J$1000,""),"Network Device",_xlfn.XLOOKUP($K298&amp;"",'NETWORK-DEVICES'!$B$3:$B$987&amp;"",'NETWORK-DEVICES'!$I$3:$I$987,""),"Peripheral",_xlfn.XLOOKUP($K298&amp;"",PERIPHERAL!$B$3:$B$954&amp;"",PERIPHERAL!$I$3:$I$954,""),"Utilities",_xlfn.XLOOKUP($K298&amp;"",UTILITIES!$B$3:$B$953&amp;"",UTILITIES!$H$3:$H$953,""),"IOT",_xlfn.XLOOKUP($K298&amp;"",IOT!$B$3:$B$1012&amp;"",IOT!$I$3:$I$1012,""),"SERVER",_xlfn.XLOOKUP($K298&amp;"",SERVER!$B$3:$B$1009&amp;"",SERVER!$I$3:$I$1009,""),""))</f>
        <v/>
      </c>
      <c r="M298" t="str" cm="1">
        <f t="array" ref="M298">IF($K298="","",_xlfn.SWITCH($I298,"Computer",_xlfn.XLOOKUP($K298&amp;"",COMPUTER!$B$3:$B$1009&amp;"",COMPUTER!$J$3:$J$1009,""),"Display",_xlfn.XLOOKUP($K298&amp;"",DISPLAY!$B$3:$B$1000&amp;"",DISPLAY!$K$3:$K$1000,""),"Network Device",_xlfn.XLOOKUP($K298&amp;"",'NETWORK-DEVICES'!$B$3:$B$987&amp;"",'NETWORK-DEVICES'!$I$3:$I$987,""),"Peripheral",_xlfn.XLOOKUP($K298&amp;"",PERIPHERAL!$B$3:$B$954&amp;"",PERIPHERAL!$J$3:$J$954,""),"Utilities",_xlfn.XLOOKUP($K298&amp;"",UTILITIES!$B$3:$B$953&amp;"",UTILITIES!$I$3:$I$953,""),"IOT",_xlfn.XLOOKUP($K298&amp;"",IOT!$B$3:$B$1012&amp;"",IOT!$J$3:$J$1012,""),"Server",_xlfn.XLOOKUP($K298&amp;"",SERVER!$B$3:$B$1009&amp;"",SERVER!$J$3:$J$1009,""),""))</f>
        <v/>
      </c>
      <c r="N298" s="1" t="str" cm="1">
        <f t="array" ref="N298">IF(OR($K298="",$I298="",$J298=""),"",_xlfn.LET(_xlpm.srcCat,_xlfn.SWITCH($I298,"Computer",_xlfn.XLOOKUP($K298&amp;"",COMPUTER!$B$3:$B$1009&amp;"",COMPUTER!$H$3:$H$1009,""),"Display",_xlfn.XLOOKUP($K298&amp;"",DISPLAY!$B$3:$B$1000&amp;"",DISPLAY!$H$3:$H$1000,""),"Network Device",_xlfn.XLOOKUP($K298&amp;"",'NETWORK-DEVICES'!$B$3:$B$987&amp;"",'NETWORK-DEVICES'!$H$3:$H$987,""),"Peripheral",_xlfn.XLOOKUP($K298&amp;"",PERIPHERAL!$B$3:$B$954&amp;"",PERIPHERAL!$H$3:$H$954,""),"Utilities",_xlfn.XLOOKUP($K298&amp;"",UTILITIES!$B$3:$B$953&amp;"",UTILITIES!$G$3:$G$953,""),"IOT",_xlfn.XLOOKUP($K298&amp;"",IOT!$B$3:$B$1012&amp;"",IOT!$H$3:$H$1012,""),"Server",_xlfn.XLOOKUP($K298&amp;"",SERVER!$B$3:$B$1009&amp;"",SERVER!$H$3:$H$1009,""),""),IF(TRIM(_xlpm.srcCat)&lt;&gt;TRIM($J298),"",_xlfn.SWITCH($I298,"Computer",_xlfn.XLOOKUP($K298&amp;"",COMPUTER!$B$3:$B$1009&amp;"",COMPUTER!$K$3:$K$1009,""),"Display",_xlfn.XLOOKUP($K298&amp;"",DISPLAY!$B$3:$B$1000&amp;"",DISPLAY!$L$3:$L$1000,""),"Network Device",_xlfn.XLOOKUP($K298&amp;"",'NETWORK-DEVICES'!$B$3:$B$987&amp;"",'NETWORK-DEVICES'!$K$3:$K$987,""),"Peripheral",_xlfn.XLOOKUP($K298&amp;"",PERIPHERAL!$B$3:$B$954&amp;"",PERIPHERAL!$K$3:$K$954,""),"Utilities",_xlfn.XLOOKUP($K298&amp;"",UTILITIES!$B$3:$B$953&amp;"",UTILITIES!$J$3:$J$953,""),"IOT",_xlfn.XLOOKUP($K298&amp;"",IOT!$B$3:$B$1012&amp;"",IOT!$K$4:$K$1012,""),"Server",_xlfn.XLOOKUP($K298&amp;"",SERVER!$B$3:$B$1009&amp;"",SERVER!$K$3:$K$1009,""),""))))</f>
        <v/>
      </c>
      <c r="O298" s="1" t="str" cm="1">
        <f t="array" ref="O298">IF(OR($K298="",$I298="",$J298=""),"",_xlfn.LET(_xlpm.srcCat,_xlfn.SWITCH($I298,"Computer",_xlfn.XLOOKUP($K298&amp;"",COMPUTER!$B$3:$B$1009&amp;"",COMPUTER!$H$3:$H$1009,""),"Display",_xlfn.XLOOKUP($K298&amp;"",DISPLAY!$B$3:$B$1000&amp;"",DISPLAY!$H$3:$H$1000,""),"Network Device",_xlfn.XLOOKUP($K298&amp;"",'NETWORK-DEVICES'!$B$3:$B$987&amp;"",'NETWORK-DEVICES'!$H$3:$H$987,""),"Peripheral",_xlfn.XLOOKUP($K298&amp;"",PERIPHERAL!$B$3:$B$954&amp;"",PERIPHERAL!$H$3:$H$954,""),"Utilities",_xlfn.XLOOKUP($K298&amp;"",UTILITIES!$B$3:$B$953&amp;"",UTILITIES!$G$3:$G$953,""),"IOT",_xlfn.XLOOKUP($K298&amp;"",IOT!$B$3:$B$1012&amp;"",IOT!$H$3:$H$1012,""),"Server",_xlfn.XLOOKUP($K298&amp;"",SERVER!$B$3:$B$1009&amp;"",SERVER!$H$3:$H$1009,""),""),IF(TRIM(_xlpm.srcCat)&lt;&gt;TRIM($J298),"",_xlfn.SWITCH($I298,"Computer",_xlfn.XLOOKUP($K298&amp;"",COMPUTER!$B$3:$B$1009&amp;"",COMPUTER!$E$3:$E$1009,""),"Display",_xlfn.XLOOKUP($K298&amp;"",DISPLAY!$B$3:$B$1000&amp;"",DISPLAY!$E$3:$E$1000,""),"Network Device",_xlfn.XLOOKUP($K298&amp;"",'NETWORK-DEVICES'!$B$3:$B$987&amp;"",'NETWORK-DEVICES'!$E$3:$E$987,""),"Peripheral",_xlfn.XLOOKUP($K298&amp;"",PERIPHERAL!$B$3:$B$954&amp;"",PERIPHERAL!$E$3:$E$954,""),"Utilities",_xlfn.XLOOKUP($K298&amp;"",UTILITIES!$B$3:$B$953&amp;"",UTILITIES!$E$3:$E$953,""),"IOT",_xlfn.XLOOKUP($K298&amp;"",IOT!$B$3:$B$1012&amp;"",IOT!$E$3:$E$1012,""),"Server",_xlfn.XLOOKUP($K298&amp;"",SERVER!$B$3:$B$1009&amp;"",SERVER!$E$3:$E$1009,""),""))))</f>
        <v/>
      </c>
      <c r="Q298" s="1" t="str" cm="1">
        <f t="array" ref="Q298">IF(OR($K298="",$I298="",$J298=""),"",_xlfn.LET(_xlpm.srcCat,_xlfn.SWITCH($I298,"Computer",_xlfn.XLOOKUP($K298&amp;"",COMPUTER!$B$3:$B$1009&amp;"",COMPUTER!$H$3:$H$1009,""),"Display",_xlfn.XLOOKUP($K298&amp;"",DISPLAY!$B$3:$B$1000&amp;"",DISPLAY!$H$3:$H$1000,""),"Network Device",_xlfn.XLOOKUP($K298&amp;"",'NETWORK-DEVICES'!$B$3:$B$987&amp;"",'NETWORK-DEVICES'!$H$3:$H$987,""),"Peripheral",_xlfn.XLOOKUP($K298&amp;"",PERIPHERAL!$B$3:$B$954&amp;"",PERIPHERAL!$H$3:$H$954,""),"Utilities",_xlfn.XLOOKUP($K298&amp;"",UTILITIES!$B$3:$B$953&amp;"",UTILITIES!$G$3:$G$953,""),"IOT",_xlfn.XLOOKUP($K298&amp;"",IOT!$B$3:$B$1012&amp;"",IOT!$H$3:$H$1012,""),"Server",_xlfn.XLOOKUP($K298&amp;"",SERVER!$B$3:$B$1009&amp;"",SERVER!$H$3:$H$1009,""),""),IF(TRIM(_xlpm.srcCat)&lt;&gt;TRIM($J298),"",_xlfn.SWITCH($I298,"Computer",_xlfn.XLOOKUP($K298&amp;"",COMPUTER!$B$3:$B$1009&amp;"",COMPUTER!$AM$3:$AM$1009,""),"Display",_xlfn.XLOOKUP($K298&amp;"",DISPLAY!$B$3:$B$1000&amp;"",DISPLAY!$V$3:$V$1000,""),"Network Device",_xlfn.XLOOKUP($K298&amp;"",'NETWORK-DEVICES'!$B$3:$B$987&amp;"",'NETWORK-DEVICES'!$AF$3:$AF$987,""),"Peripheral",_xlfn.XLOOKUP($K298&amp;"",PERIPHERAL!$B$3:$B$954&amp;"",PERIPHERAL!$Y$3:$Y$954,""),"Utilities",_xlfn.XLOOKUP($K298&amp;"",UTILITIES!$B$3:$B$953&amp;"",UTILITIES!$O$3:$O$953,""),"IOT",_xlfn.XLOOKUP($K298&amp;"",IOT!$B$3:$B$1012&amp;"",IOT!$AB$3:$AB$1012,""),"Server",_xlfn.XLOOKUP($K298&amp;"",SERVER!$B$3:$B$1009&amp;"",SERVER!$AB$3:$AB$1009,""),""))))</f>
        <v/>
      </c>
      <c r="R298" s="43" t="str">
        <f>IF(tbl_handover[[#This Row],[Asset Code]]="","",COUNTIF(tbl_handover[Asset Code],tbl_handover[[#This Row],[Asset Code]]))</f>
        <v/>
      </c>
    </row>
    <row r="299" spans="1:18" x14ac:dyDescent="0.25">
      <c r="A299" s="43" t="str">
        <f>IF(B299&lt;&gt;"",SUBTOTAL(3,$B$1:B298),"")</f>
        <v/>
      </c>
      <c r="C299" s="74"/>
      <c r="D299" s="74"/>
      <c r="G299" s="1"/>
      <c r="K299" s="42"/>
      <c r="L299" t="str" cm="1">
        <f t="array" ref="L299">IF($K299="","",_xlfn.SWITCH($I299,"Computer",_xlfn.XLOOKUP($K299&amp;"",COMPUTER!$B$3:$B$1009&amp;"",COMPUTER!$I$3:$I$1009,""),"Display",_xlfn.XLOOKUP($K299&amp;"",DISPLAY!$B$3:$B$1000&amp;"",DISPLAY!$J$3:$J$1000,""),"Network Device",_xlfn.XLOOKUP($K299&amp;"",'NETWORK-DEVICES'!$B$3:$B$987&amp;"",'NETWORK-DEVICES'!$I$3:$I$987,""),"Peripheral",_xlfn.XLOOKUP($K299&amp;"",PERIPHERAL!$B$3:$B$954&amp;"",PERIPHERAL!$I$3:$I$954,""),"Utilities",_xlfn.XLOOKUP($K299&amp;"",UTILITIES!$B$3:$B$953&amp;"",UTILITIES!$H$3:$H$953,""),"IOT",_xlfn.XLOOKUP($K299&amp;"",IOT!$B$3:$B$1012&amp;"",IOT!$I$3:$I$1012,""),"SERVER",_xlfn.XLOOKUP($K299&amp;"",SERVER!$B$3:$B$1009&amp;"",SERVER!$I$3:$I$1009,""),""))</f>
        <v/>
      </c>
      <c r="M299" t="str" cm="1">
        <f t="array" ref="M299">IF($K299="","",_xlfn.SWITCH($I299,"Computer",_xlfn.XLOOKUP($K299&amp;"",COMPUTER!$B$3:$B$1009&amp;"",COMPUTER!$J$3:$J$1009,""),"Display",_xlfn.XLOOKUP($K299&amp;"",DISPLAY!$B$3:$B$1000&amp;"",DISPLAY!$K$3:$K$1000,""),"Network Device",_xlfn.XLOOKUP($K299&amp;"",'NETWORK-DEVICES'!$B$3:$B$987&amp;"",'NETWORK-DEVICES'!$I$3:$I$987,""),"Peripheral",_xlfn.XLOOKUP($K299&amp;"",PERIPHERAL!$B$3:$B$954&amp;"",PERIPHERAL!$J$3:$J$954,""),"Utilities",_xlfn.XLOOKUP($K299&amp;"",UTILITIES!$B$3:$B$953&amp;"",UTILITIES!$I$3:$I$953,""),"IOT",_xlfn.XLOOKUP($K299&amp;"",IOT!$B$3:$B$1012&amp;"",IOT!$J$3:$J$1012,""),"Server",_xlfn.XLOOKUP($K299&amp;"",SERVER!$B$3:$B$1009&amp;"",SERVER!$J$3:$J$1009,""),""))</f>
        <v/>
      </c>
      <c r="N299" s="1" t="str" cm="1">
        <f t="array" ref="N299">IF(OR($K299="",$I299="",$J299=""),"",_xlfn.LET(_xlpm.srcCat,_xlfn.SWITCH($I299,"Computer",_xlfn.XLOOKUP($K299&amp;"",COMPUTER!$B$3:$B$1009&amp;"",COMPUTER!$H$3:$H$1009,""),"Display",_xlfn.XLOOKUP($K299&amp;"",DISPLAY!$B$3:$B$1000&amp;"",DISPLAY!$H$3:$H$1000,""),"Network Device",_xlfn.XLOOKUP($K299&amp;"",'NETWORK-DEVICES'!$B$3:$B$987&amp;"",'NETWORK-DEVICES'!$H$3:$H$987,""),"Peripheral",_xlfn.XLOOKUP($K299&amp;"",PERIPHERAL!$B$3:$B$954&amp;"",PERIPHERAL!$H$3:$H$954,""),"Utilities",_xlfn.XLOOKUP($K299&amp;"",UTILITIES!$B$3:$B$953&amp;"",UTILITIES!$G$3:$G$953,""),"IOT",_xlfn.XLOOKUP($K299&amp;"",IOT!$B$3:$B$1012&amp;"",IOT!$H$3:$H$1012,""),"Server",_xlfn.XLOOKUP($K299&amp;"",SERVER!$B$3:$B$1009&amp;"",SERVER!$H$3:$H$1009,""),""),IF(TRIM(_xlpm.srcCat)&lt;&gt;TRIM($J299),"",_xlfn.SWITCH($I299,"Computer",_xlfn.XLOOKUP($K299&amp;"",COMPUTER!$B$3:$B$1009&amp;"",COMPUTER!$K$3:$K$1009,""),"Display",_xlfn.XLOOKUP($K299&amp;"",DISPLAY!$B$3:$B$1000&amp;"",DISPLAY!$L$3:$L$1000,""),"Network Device",_xlfn.XLOOKUP($K299&amp;"",'NETWORK-DEVICES'!$B$3:$B$987&amp;"",'NETWORK-DEVICES'!$K$3:$K$987,""),"Peripheral",_xlfn.XLOOKUP($K299&amp;"",PERIPHERAL!$B$3:$B$954&amp;"",PERIPHERAL!$K$3:$K$954,""),"Utilities",_xlfn.XLOOKUP($K299&amp;"",UTILITIES!$B$3:$B$953&amp;"",UTILITIES!$J$3:$J$953,""),"IOT",_xlfn.XLOOKUP($K299&amp;"",IOT!$B$3:$B$1012&amp;"",IOT!$K$4:$K$1012,""),"Server",_xlfn.XLOOKUP($K299&amp;"",SERVER!$B$3:$B$1009&amp;"",SERVER!$K$3:$K$1009,""),""))))</f>
        <v/>
      </c>
      <c r="O299" s="1" t="str" cm="1">
        <f t="array" ref="O299">IF(OR($K299="",$I299="",$J299=""),"",_xlfn.LET(_xlpm.srcCat,_xlfn.SWITCH($I299,"Computer",_xlfn.XLOOKUP($K299&amp;"",COMPUTER!$B$3:$B$1009&amp;"",COMPUTER!$H$3:$H$1009,""),"Display",_xlfn.XLOOKUP($K299&amp;"",DISPLAY!$B$3:$B$1000&amp;"",DISPLAY!$H$3:$H$1000,""),"Network Device",_xlfn.XLOOKUP($K299&amp;"",'NETWORK-DEVICES'!$B$3:$B$987&amp;"",'NETWORK-DEVICES'!$H$3:$H$987,""),"Peripheral",_xlfn.XLOOKUP($K299&amp;"",PERIPHERAL!$B$3:$B$954&amp;"",PERIPHERAL!$H$3:$H$954,""),"Utilities",_xlfn.XLOOKUP($K299&amp;"",UTILITIES!$B$3:$B$953&amp;"",UTILITIES!$G$3:$G$953,""),"IOT",_xlfn.XLOOKUP($K299&amp;"",IOT!$B$3:$B$1012&amp;"",IOT!$H$3:$H$1012,""),"Server",_xlfn.XLOOKUP($K299&amp;"",SERVER!$B$3:$B$1009&amp;"",SERVER!$H$3:$H$1009,""),""),IF(TRIM(_xlpm.srcCat)&lt;&gt;TRIM($J299),"",_xlfn.SWITCH($I299,"Computer",_xlfn.XLOOKUP($K299&amp;"",COMPUTER!$B$3:$B$1009&amp;"",COMPUTER!$E$3:$E$1009,""),"Display",_xlfn.XLOOKUP($K299&amp;"",DISPLAY!$B$3:$B$1000&amp;"",DISPLAY!$E$3:$E$1000,""),"Network Device",_xlfn.XLOOKUP($K299&amp;"",'NETWORK-DEVICES'!$B$3:$B$987&amp;"",'NETWORK-DEVICES'!$E$3:$E$987,""),"Peripheral",_xlfn.XLOOKUP($K299&amp;"",PERIPHERAL!$B$3:$B$954&amp;"",PERIPHERAL!$E$3:$E$954,""),"Utilities",_xlfn.XLOOKUP($K299&amp;"",UTILITIES!$B$3:$B$953&amp;"",UTILITIES!$E$3:$E$953,""),"IOT",_xlfn.XLOOKUP($K299&amp;"",IOT!$B$3:$B$1012&amp;"",IOT!$E$3:$E$1012,""),"Server",_xlfn.XLOOKUP($K299&amp;"",SERVER!$B$3:$B$1009&amp;"",SERVER!$E$3:$E$1009,""),""))))</f>
        <v/>
      </c>
      <c r="Q299" s="1" t="str" cm="1">
        <f t="array" ref="Q299">IF(OR($K299="",$I299="",$J299=""),"",_xlfn.LET(_xlpm.srcCat,_xlfn.SWITCH($I299,"Computer",_xlfn.XLOOKUP($K299&amp;"",COMPUTER!$B$3:$B$1009&amp;"",COMPUTER!$H$3:$H$1009,""),"Display",_xlfn.XLOOKUP($K299&amp;"",DISPLAY!$B$3:$B$1000&amp;"",DISPLAY!$H$3:$H$1000,""),"Network Device",_xlfn.XLOOKUP($K299&amp;"",'NETWORK-DEVICES'!$B$3:$B$987&amp;"",'NETWORK-DEVICES'!$H$3:$H$987,""),"Peripheral",_xlfn.XLOOKUP($K299&amp;"",PERIPHERAL!$B$3:$B$954&amp;"",PERIPHERAL!$H$3:$H$954,""),"Utilities",_xlfn.XLOOKUP($K299&amp;"",UTILITIES!$B$3:$B$953&amp;"",UTILITIES!$G$3:$G$953,""),"IOT",_xlfn.XLOOKUP($K299&amp;"",IOT!$B$3:$B$1012&amp;"",IOT!$H$3:$H$1012,""),"Server",_xlfn.XLOOKUP($K299&amp;"",SERVER!$B$3:$B$1009&amp;"",SERVER!$H$3:$H$1009,""),""),IF(TRIM(_xlpm.srcCat)&lt;&gt;TRIM($J299),"",_xlfn.SWITCH($I299,"Computer",_xlfn.XLOOKUP($K299&amp;"",COMPUTER!$B$3:$B$1009&amp;"",COMPUTER!$AM$3:$AM$1009,""),"Display",_xlfn.XLOOKUP($K299&amp;"",DISPLAY!$B$3:$B$1000&amp;"",DISPLAY!$V$3:$V$1000,""),"Network Device",_xlfn.XLOOKUP($K299&amp;"",'NETWORK-DEVICES'!$B$3:$B$987&amp;"",'NETWORK-DEVICES'!$AF$3:$AF$987,""),"Peripheral",_xlfn.XLOOKUP($K299&amp;"",PERIPHERAL!$B$3:$B$954&amp;"",PERIPHERAL!$Y$3:$Y$954,""),"Utilities",_xlfn.XLOOKUP($K299&amp;"",UTILITIES!$B$3:$B$953&amp;"",UTILITIES!$O$3:$O$953,""),"IOT",_xlfn.XLOOKUP($K299&amp;"",IOT!$B$3:$B$1012&amp;"",IOT!$AB$3:$AB$1012,""),"Server",_xlfn.XLOOKUP($K299&amp;"",SERVER!$B$3:$B$1009&amp;"",SERVER!$AB$3:$AB$1009,""),""))))</f>
        <v/>
      </c>
      <c r="R299" s="43" t="str">
        <f>IF(tbl_handover[[#This Row],[Asset Code]]="","",COUNTIF(tbl_handover[Asset Code],tbl_handover[[#This Row],[Asset Code]]))</f>
        <v/>
      </c>
    </row>
    <row r="300" spans="1:18" x14ac:dyDescent="0.25">
      <c r="A300" s="43" t="str">
        <f>IF(B300&lt;&gt;"",SUBTOTAL(3,$B$1:B299),"")</f>
        <v/>
      </c>
      <c r="C300" s="74"/>
      <c r="D300" s="74"/>
      <c r="G300" s="1"/>
      <c r="K300" s="42"/>
      <c r="L300" t="str" cm="1">
        <f t="array" ref="L300">IF($K300="","",_xlfn.SWITCH($I300,"Computer",_xlfn.XLOOKUP($K300&amp;"",COMPUTER!$B$3:$B$1009&amp;"",COMPUTER!$I$3:$I$1009,""),"Display",_xlfn.XLOOKUP($K300&amp;"",DISPLAY!$B$3:$B$1000&amp;"",DISPLAY!$J$3:$J$1000,""),"Network Device",_xlfn.XLOOKUP($K300&amp;"",'NETWORK-DEVICES'!$B$3:$B$987&amp;"",'NETWORK-DEVICES'!$I$3:$I$987,""),"Peripheral",_xlfn.XLOOKUP($K300&amp;"",PERIPHERAL!$B$3:$B$954&amp;"",PERIPHERAL!$I$3:$I$954,""),"Utilities",_xlfn.XLOOKUP($K300&amp;"",UTILITIES!$B$3:$B$953&amp;"",UTILITIES!$H$3:$H$953,""),"IOT",_xlfn.XLOOKUP($K300&amp;"",IOT!$B$3:$B$1012&amp;"",IOT!$I$3:$I$1012,""),"SERVER",_xlfn.XLOOKUP($K300&amp;"",SERVER!$B$3:$B$1009&amp;"",SERVER!$I$3:$I$1009,""),""))</f>
        <v/>
      </c>
      <c r="M300" t="str" cm="1">
        <f t="array" ref="M300">IF($K300="","",_xlfn.SWITCH($I300,"Computer",_xlfn.XLOOKUP($K300&amp;"",COMPUTER!$B$3:$B$1009&amp;"",COMPUTER!$J$3:$J$1009,""),"Display",_xlfn.XLOOKUP($K300&amp;"",DISPLAY!$B$3:$B$1000&amp;"",DISPLAY!$K$3:$K$1000,""),"Network Device",_xlfn.XLOOKUP($K300&amp;"",'NETWORK-DEVICES'!$B$3:$B$987&amp;"",'NETWORK-DEVICES'!$I$3:$I$987,""),"Peripheral",_xlfn.XLOOKUP($K300&amp;"",PERIPHERAL!$B$3:$B$954&amp;"",PERIPHERAL!$J$3:$J$954,""),"Utilities",_xlfn.XLOOKUP($K300&amp;"",UTILITIES!$B$3:$B$953&amp;"",UTILITIES!$I$3:$I$953,""),"IOT",_xlfn.XLOOKUP($K300&amp;"",IOT!$B$3:$B$1012&amp;"",IOT!$J$3:$J$1012,""),"Server",_xlfn.XLOOKUP($K300&amp;"",SERVER!$B$3:$B$1009&amp;"",SERVER!$J$3:$J$1009,""),""))</f>
        <v/>
      </c>
      <c r="N300" s="1" t="str" cm="1">
        <f t="array" ref="N300">IF(OR($K300="",$I300="",$J300=""),"",_xlfn.LET(_xlpm.srcCat,_xlfn.SWITCH($I300,"Computer",_xlfn.XLOOKUP($K300&amp;"",COMPUTER!$B$3:$B$1009&amp;"",COMPUTER!$H$3:$H$1009,""),"Display",_xlfn.XLOOKUP($K300&amp;"",DISPLAY!$B$3:$B$1000&amp;"",DISPLAY!$H$3:$H$1000,""),"Network Device",_xlfn.XLOOKUP($K300&amp;"",'NETWORK-DEVICES'!$B$3:$B$987&amp;"",'NETWORK-DEVICES'!$H$3:$H$987,""),"Peripheral",_xlfn.XLOOKUP($K300&amp;"",PERIPHERAL!$B$3:$B$954&amp;"",PERIPHERAL!$H$3:$H$954,""),"Utilities",_xlfn.XLOOKUP($K300&amp;"",UTILITIES!$B$3:$B$953&amp;"",UTILITIES!$G$3:$G$953,""),"IOT",_xlfn.XLOOKUP($K300&amp;"",IOT!$B$3:$B$1012&amp;"",IOT!$H$3:$H$1012,""),"Server",_xlfn.XLOOKUP($K300&amp;"",SERVER!$B$3:$B$1009&amp;"",SERVER!$H$3:$H$1009,""),""),IF(TRIM(_xlpm.srcCat)&lt;&gt;TRIM($J300),"",_xlfn.SWITCH($I300,"Computer",_xlfn.XLOOKUP($K300&amp;"",COMPUTER!$B$3:$B$1009&amp;"",COMPUTER!$K$3:$K$1009,""),"Display",_xlfn.XLOOKUP($K300&amp;"",DISPLAY!$B$3:$B$1000&amp;"",DISPLAY!$L$3:$L$1000,""),"Network Device",_xlfn.XLOOKUP($K300&amp;"",'NETWORK-DEVICES'!$B$3:$B$987&amp;"",'NETWORK-DEVICES'!$K$3:$K$987,""),"Peripheral",_xlfn.XLOOKUP($K300&amp;"",PERIPHERAL!$B$3:$B$954&amp;"",PERIPHERAL!$K$3:$K$954,""),"Utilities",_xlfn.XLOOKUP($K300&amp;"",UTILITIES!$B$3:$B$953&amp;"",UTILITIES!$J$3:$J$953,""),"IOT",_xlfn.XLOOKUP($K300&amp;"",IOT!$B$3:$B$1012&amp;"",IOT!$K$4:$K$1012,""),"Server",_xlfn.XLOOKUP($K300&amp;"",SERVER!$B$3:$B$1009&amp;"",SERVER!$K$3:$K$1009,""),""))))</f>
        <v/>
      </c>
      <c r="O300" s="1" t="str" cm="1">
        <f t="array" ref="O300">IF(OR($K300="",$I300="",$J300=""),"",_xlfn.LET(_xlpm.srcCat,_xlfn.SWITCH($I300,"Computer",_xlfn.XLOOKUP($K300&amp;"",COMPUTER!$B$3:$B$1009&amp;"",COMPUTER!$H$3:$H$1009,""),"Display",_xlfn.XLOOKUP($K300&amp;"",DISPLAY!$B$3:$B$1000&amp;"",DISPLAY!$H$3:$H$1000,""),"Network Device",_xlfn.XLOOKUP($K300&amp;"",'NETWORK-DEVICES'!$B$3:$B$987&amp;"",'NETWORK-DEVICES'!$H$3:$H$987,""),"Peripheral",_xlfn.XLOOKUP($K300&amp;"",PERIPHERAL!$B$3:$B$954&amp;"",PERIPHERAL!$H$3:$H$954,""),"Utilities",_xlfn.XLOOKUP($K300&amp;"",UTILITIES!$B$3:$B$953&amp;"",UTILITIES!$G$3:$G$953,""),"IOT",_xlfn.XLOOKUP($K300&amp;"",IOT!$B$3:$B$1012&amp;"",IOT!$H$3:$H$1012,""),"Server",_xlfn.XLOOKUP($K300&amp;"",SERVER!$B$3:$B$1009&amp;"",SERVER!$H$3:$H$1009,""),""),IF(TRIM(_xlpm.srcCat)&lt;&gt;TRIM($J300),"",_xlfn.SWITCH($I300,"Computer",_xlfn.XLOOKUP($K300&amp;"",COMPUTER!$B$3:$B$1009&amp;"",COMPUTER!$E$3:$E$1009,""),"Display",_xlfn.XLOOKUP($K300&amp;"",DISPLAY!$B$3:$B$1000&amp;"",DISPLAY!$E$3:$E$1000,""),"Network Device",_xlfn.XLOOKUP($K300&amp;"",'NETWORK-DEVICES'!$B$3:$B$987&amp;"",'NETWORK-DEVICES'!$E$3:$E$987,""),"Peripheral",_xlfn.XLOOKUP($K300&amp;"",PERIPHERAL!$B$3:$B$954&amp;"",PERIPHERAL!$E$3:$E$954,""),"Utilities",_xlfn.XLOOKUP($K300&amp;"",UTILITIES!$B$3:$B$953&amp;"",UTILITIES!$E$3:$E$953,""),"IOT",_xlfn.XLOOKUP($K300&amp;"",IOT!$B$3:$B$1012&amp;"",IOT!$E$3:$E$1012,""),"Server",_xlfn.XLOOKUP($K300&amp;"",SERVER!$B$3:$B$1009&amp;"",SERVER!$E$3:$E$1009,""),""))))</f>
        <v/>
      </c>
      <c r="Q300" s="1" t="str" cm="1">
        <f t="array" ref="Q300">IF(OR($K300="",$I300="",$J300=""),"",_xlfn.LET(_xlpm.srcCat,_xlfn.SWITCH($I300,"Computer",_xlfn.XLOOKUP($K300&amp;"",COMPUTER!$B$3:$B$1009&amp;"",COMPUTER!$H$3:$H$1009,""),"Display",_xlfn.XLOOKUP($K300&amp;"",DISPLAY!$B$3:$B$1000&amp;"",DISPLAY!$H$3:$H$1000,""),"Network Device",_xlfn.XLOOKUP($K300&amp;"",'NETWORK-DEVICES'!$B$3:$B$987&amp;"",'NETWORK-DEVICES'!$H$3:$H$987,""),"Peripheral",_xlfn.XLOOKUP($K300&amp;"",PERIPHERAL!$B$3:$B$954&amp;"",PERIPHERAL!$H$3:$H$954,""),"Utilities",_xlfn.XLOOKUP($K300&amp;"",UTILITIES!$B$3:$B$953&amp;"",UTILITIES!$G$3:$G$953,""),"IOT",_xlfn.XLOOKUP($K300&amp;"",IOT!$B$3:$B$1012&amp;"",IOT!$H$3:$H$1012,""),"Server",_xlfn.XLOOKUP($K300&amp;"",SERVER!$B$3:$B$1009&amp;"",SERVER!$H$3:$H$1009,""),""),IF(TRIM(_xlpm.srcCat)&lt;&gt;TRIM($J300),"",_xlfn.SWITCH($I300,"Computer",_xlfn.XLOOKUP($K300&amp;"",COMPUTER!$B$3:$B$1009&amp;"",COMPUTER!$AM$3:$AM$1009,""),"Display",_xlfn.XLOOKUP($K300&amp;"",DISPLAY!$B$3:$B$1000&amp;"",DISPLAY!$V$3:$V$1000,""),"Network Device",_xlfn.XLOOKUP($K300&amp;"",'NETWORK-DEVICES'!$B$3:$B$987&amp;"",'NETWORK-DEVICES'!$AF$3:$AF$987,""),"Peripheral",_xlfn.XLOOKUP($K300&amp;"",PERIPHERAL!$B$3:$B$954&amp;"",PERIPHERAL!$Y$3:$Y$954,""),"Utilities",_xlfn.XLOOKUP($K300&amp;"",UTILITIES!$B$3:$B$953&amp;"",UTILITIES!$O$3:$O$953,""),"IOT",_xlfn.XLOOKUP($K300&amp;"",IOT!$B$3:$B$1012&amp;"",IOT!$AB$3:$AB$1012,""),"Server",_xlfn.XLOOKUP($K300&amp;"",SERVER!$B$3:$B$1009&amp;"",SERVER!$AB$3:$AB$1009,""),""))))</f>
        <v/>
      </c>
      <c r="R300" s="43" t="str">
        <f>IF(tbl_handover[[#This Row],[Asset Code]]="","",COUNTIF(tbl_handover[Asset Code],tbl_handover[[#This Row],[Asset Code]]))</f>
        <v/>
      </c>
    </row>
    <row r="301" spans="1:18" x14ac:dyDescent="0.25">
      <c r="A301" s="43" t="str">
        <f>IF(B301&lt;&gt;"",SUBTOTAL(3,$B$1:B300),"")</f>
        <v/>
      </c>
      <c r="C301" s="74"/>
      <c r="D301" s="74"/>
      <c r="G301" s="1"/>
      <c r="K301" s="42"/>
      <c r="L301" t="str" cm="1">
        <f t="array" ref="L301">IF($K301="","",_xlfn.SWITCH($I301,"Computer",_xlfn.XLOOKUP($K301&amp;"",COMPUTER!$B$3:$B$1009&amp;"",COMPUTER!$I$3:$I$1009,""),"Display",_xlfn.XLOOKUP($K301&amp;"",DISPLAY!$B$3:$B$1000&amp;"",DISPLAY!$J$3:$J$1000,""),"Network Device",_xlfn.XLOOKUP($K301&amp;"",'NETWORK-DEVICES'!$B$3:$B$987&amp;"",'NETWORK-DEVICES'!$I$3:$I$987,""),"Peripheral",_xlfn.XLOOKUP($K301&amp;"",PERIPHERAL!$B$3:$B$954&amp;"",PERIPHERAL!$I$3:$I$954,""),"Utilities",_xlfn.XLOOKUP($K301&amp;"",UTILITIES!$B$3:$B$953&amp;"",UTILITIES!$H$3:$H$953,""),"IOT",_xlfn.XLOOKUP($K301&amp;"",IOT!$B$3:$B$1012&amp;"",IOT!$I$3:$I$1012,""),"SERVER",_xlfn.XLOOKUP($K301&amp;"",SERVER!$B$3:$B$1009&amp;"",SERVER!$I$3:$I$1009,""),""))</f>
        <v/>
      </c>
      <c r="M301" t="str" cm="1">
        <f t="array" ref="M301">IF($K301="","",_xlfn.SWITCH($I301,"Computer",_xlfn.XLOOKUP($K301&amp;"",COMPUTER!$B$3:$B$1009&amp;"",COMPUTER!$J$3:$J$1009,""),"Display",_xlfn.XLOOKUP($K301&amp;"",DISPLAY!$B$3:$B$1000&amp;"",DISPLAY!$K$3:$K$1000,""),"Network Device",_xlfn.XLOOKUP($K301&amp;"",'NETWORK-DEVICES'!$B$3:$B$987&amp;"",'NETWORK-DEVICES'!$I$3:$I$987,""),"Peripheral",_xlfn.XLOOKUP($K301&amp;"",PERIPHERAL!$B$3:$B$954&amp;"",PERIPHERAL!$J$3:$J$954,""),"Utilities",_xlfn.XLOOKUP($K301&amp;"",UTILITIES!$B$3:$B$953&amp;"",UTILITIES!$I$3:$I$953,""),"IOT",_xlfn.XLOOKUP($K301&amp;"",IOT!$B$3:$B$1012&amp;"",IOT!$J$3:$J$1012,""),"Server",_xlfn.XLOOKUP($K301&amp;"",SERVER!$B$3:$B$1009&amp;"",SERVER!$J$3:$J$1009,""),""))</f>
        <v/>
      </c>
      <c r="N301" s="1" t="str" cm="1">
        <f t="array" ref="N301">IF(OR($K301="",$I301="",$J301=""),"",_xlfn.LET(_xlpm.srcCat,_xlfn.SWITCH($I301,"Computer",_xlfn.XLOOKUP($K301&amp;"",COMPUTER!$B$3:$B$1009&amp;"",COMPUTER!$H$3:$H$1009,""),"Display",_xlfn.XLOOKUP($K301&amp;"",DISPLAY!$B$3:$B$1000&amp;"",DISPLAY!$H$3:$H$1000,""),"Network Device",_xlfn.XLOOKUP($K301&amp;"",'NETWORK-DEVICES'!$B$3:$B$987&amp;"",'NETWORK-DEVICES'!$H$3:$H$987,""),"Peripheral",_xlfn.XLOOKUP($K301&amp;"",PERIPHERAL!$B$3:$B$954&amp;"",PERIPHERAL!$H$3:$H$954,""),"Utilities",_xlfn.XLOOKUP($K301&amp;"",UTILITIES!$B$3:$B$953&amp;"",UTILITIES!$G$3:$G$953,""),"IOT",_xlfn.XLOOKUP($K301&amp;"",IOT!$B$3:$B$1012&amp;"",IOT!$H$3:$H$1012,""),"Server",_xlfn.XLOOKUP($K301&amp;"",SERVER!$B$3:$B$1009&amp;"",SERVER!$H$3:$H$1009,""),""),IF(TRIM(_xlpm.srcCat)&lt;&gt;TRIM($J301),"",_xlfn.SWITCH($I301,"Computer",_xlfn.XLOOKUP($K301&amp;"",COMPUTER!$B$3:$B$1009&amp;"",COMPUTER!$K$3:$K$1009,""),"Display",_xlfn.XLOOKUP($K301&amp;"",DISPLAY!$B$3:$B$1000&amp;"",DISPLAY!$L$3:$L$1000,""),"Network Device",_xlfn.XLOOKUP($K301&amp;"",'NETWORK-DEVICES'!$B$3:$B$987&amp;"",'NETWORK-DEVICES'!$K$3:$K$987,""),"Peripheral",_xlfn.XLOOKUP($K301&amp;"",PERIPHERAL!$B$3:$B$954&amp;"",PERIPHERAL!$K$3:$K$954,""),"Utilities",_xlfn.XLOOKUP($K301&amp;"",UTILITIES!$B$3:$B$953&amp;"",UTILITIES!$J$3:$J$953,""),"IOT",_xlfn.XLOOKUP($K301&amp;"",IOT!$B$3:$B$1012&amp;"",IOT!$K$4:$K$1012,""),"Server",_xlfn.XLOOKUP($K301&amp;"",SERVER!$B$3:$B$1009&amp;"",SERVER!$K$3:$K$1009,""),""))))</f>
        <v/>
      </c>
      <c r="O301" s="1" t="str" cm="1">
        <f t="array" ref="O301">IF(OR($K301="",$I301="",$J301=""),"",_xlfn.LET(_xlpm.srcCat,_xlfn.SWITCH($I301,"Computer",_xlfn.XLOOKUP($K301&amp;"",COMPUTER!$B$3:$B$1009&amp;"",COMPUTER!$H$3:$H$1009,""),"Display",_xlfn.XLOOKUP($K301&amp;"",DISPLAY!$B$3:$B$1000&amp;"",DISPLAY!$H$3:$H$1000,""),"Network Device",_xlfn.XLOOKUP($K301&amp;"",'NETWORK-DEVICES'!$B$3:$B$987&amp;"",'NETWORK-DEVICES'!$H$3:$H$987,""),"Peripheral",_xlfn.XLOOKUP($K301&amp;"",PERIPHERAL!$B$3:$B$954&amp;"",PERIPHERAL!$H$3:$H$954,""),"Utilities",_xlfn.XLOOKUP($K301&amp;"",UTILITIES!$B$3:$B$953&amp;"",UTILITIES!$G$3:$G$953,""),"IOT",_xlfn.XLOOKUP($K301&amp;"",IOT!$B$3:$B$1012&amp;"",IOT!$H$3:$H$1012,""),"Server",_xlfn.XLOOKUP($K301&amp;"",SERVER!$B$3:$B$1009&amp;"",SERVER!$H$3:$H$1009,""),""),IF(TRIM(_xlpm.srcCat)&lt;&gt;TRIM($J301),"",_xlfn.SWITCH($I301,"Computer",_xlfn.XLOOKUP($K301&amp;"",COMPUTER!$B$3:$B$1009&amp;"",COMPUTER!$E$3:$E$1009,""),"Display",_xlfn.XLOOKUP($K301&amp;"",DISPLAY!$B$3:$B$1000&amp;"",DISPLAY!$E$3:$E$1000,""),"Network Device",_xlfn.XLOOKUP($K301&amp;"",'NETWORK-DEVICES'!$B$3:$B$987&amp;"",'NETWORK-DEVICES'!$E$3:$E$987,""),"Peripheral",_xlfn.XLOOKUP($K301&amp;"",PERIPHERAL!$B$3:$B$954&amp;"",PERIPHERAL!$E$3:$E$954,""),"Utilities",_xlfn.XLOOKUP($K301&amp;"",UTILITIES!$B$3:$B$953&amp;"",UTILITIES!$E$3:$E$953,""),"IOT",_xlfn.XLOOKUP($K301&amp;"",IOT!$B$3:$B$1012&amp;"",IOT!$E$3:$E$1012,""),"Server",_xlfn.XLOOKUP($K301&amp;"",SERVER!$B$3:$B$1009&amp;"",SERVER!$E$3:$E$1009,""),""))))</f>
        <v/>
      </c>
      <c r="Q301" s="1" t="str" cm="1">
        <f t="array" ref="Q301">IF(OR($K301="",$I301="",$J301=""),"",_xlfn.LET(_xlpm.srcCat,_xlfn.SWITCH($I301,"Computer",_xlfn.XLOOKUP($K301&amp;"",COMPUTER!$B$3:$B$1009&amp;"",COMPUTER!$H$3:$H$1009,""),"Display",_xlfn.XLOOKUP($K301&amp;"",DISPLAY!$B$3:$B$1000&amp;"",DISPLAY!$H$3:$H$1000,""),"Network Device",_xlfn.XLOOKUP($K301&amp;"",'NETWORK-DEVICES'!$B$3:$B$987&amp;"",'NETWORK-DEVICES'!$H$3:$H$987,""),"Peripheral",_xlfn.XLOOKUP($K301&amp;"",PERIPHERAL!$B$3:$B$954&amp;"",PERIPHERAL!$H$3:$H$954,""),"Utilities",_xlfn.XLOOKUP($K301&amp;"",UTILITIES!$B$3:$B$953&amp;"",UTILITIES!$G$3:$G$953,""),"IOT",_xlfn.XLOOKUP($K301&amp;"",IOT!$B$3:$B$1012&amp;"",IOT!$H$3:$H$1012,""),"Server",_xlfn.XLOOKUP($K301&amp;"",SERVER!$B$3:$B$1009&amp;"",SERVER!$H$3:$H$1009,""),""),IF(TRIM(_xlpm.srcCat)&lt;&gt;TRIM($J301),"",_xlfn.SWITCH($I301,"Computer",_xlfn.XLOOKUP($K301&amp;"",COMPUTER!$B$3:$B$1009&amp;"",COMPUTER!$AM$3:$AM$1009,""),"Display",_xlfn.XLOOKUP($K301&amp;"",DISPLAY!$B$3:$B$1000&amp;"",DISPLAY!$V$3:$V$1000,""),"Network Device",_xlfn.XLOOKUP($K301&amp;"",'NETWORK-DEVICES'!$B$3:$B$987&amp;"",'NETWORK-DEVICES'!$AF$3:$AF$987,""),"Peripheral",_xlfn.XLOOKUP($K301&amp;"",PERIPHERAL!$B$3:$B$954&amp;"",PERIPHERAL!$Y$3:$Y$954,""),"Utilities",_xlfn.XLOOKUP($K301&amp;"",UTILITIES!$B$3:$B$953&amp;"",UTILITIES!$O$3:$O$953,""),"IOT",_xlfn.XLOOKUP($K301&amp;"",IOT!$B$3:$B$1012&amp;"",IOT!$AB$3:$AB$1012,""),"Server",_xlfn.XLOOKUP($K301&amp;"",SERVER!$B$3:$B$1009&amp;"",SERVER!$AB$3:$AB$1009,""),""))))</f>
        <v/>
      </c>
      <c r="R301" s="43" t="str">
        <f>IF(tbl_handover[[#This Row],[Asset Code]]="","",COUNTIF(tbl_handover[Asset Code],tbl_handover[[#This Row],[Asset Code]]))</f>
        <v/>
      </c>
    </row>
    <row r="302" spans="1:18" x14ac:dyDescent="0.25">
      <c r="A302" s="43" t="str">
        <f>IF(B302&lt;&gt;"",SUBTOTAL(3,$B$1:B301),"")</f>
        <v/>
      </c>
      <c r="C302" s="74"/>
      <c r="D302" s="74"/>
      <c r="G302" s="1"/>
      <c r="K302" s="42"/>
      <c r="L302" t="str" cm="1">
        <f t="array" ref="L302">IF($K302="","",_xlfn.SWITCH($I302,"Computer",_xlfn.XLOOKUP($K302&amp;"",COMPUTER!$B$3:$B$1009&amp;"",COMPUTER!$I$3:$I$1009,""),"Display",_xlfn.XLOOKUP($K302&amp;"",DISPLAY!$B$3:$B$1000&amp;"",DISPLAY!$J$3:$J$1000,""),"Network Device",_xlfn.XLOOKUP($K302&amp;"",'NETWORK-DEVICES'!$B$3:$B$987&amp;"",'NETWORK-DEVICES'!$I$3:$I$987,""),"Peripheral",_xlfn.XLOOKUP($K302&amp;"",PERIPHERAL!$B$3:$B$954&amp;"",PERIPHERAL!$I$3:$I$954,""),"Utilities",_xlfn.XLOOKUP($K302&amp;"",UTILITIES!$B$3:$B$953&amp;"",UTILITIES!$H$3:$H$953,""),"IOT",_xlfn.XLOOKUP($K302&amp;"",IOT!$B$3:$B$1012&amp;"",IOT!$I$3:$I$1012,""),"SERVER",_xlfn.XLOOKUP($K302&amp;"",SERVER!$B$3:$B$1009&amp;"",SERVER!$I$3:$I$1009,""),""))</f>
        <v/>
      </c>
      <c r="M302" t="str" cm="1">
        <f t="array" ref="M302">IF($K302="","",_xlfn.SWITCH($I302,"Computer",_xlfn.XLOOKUP($K302&amp;"",COMPUTER!$B$3:$B$1009&amp;"",COMPUTER!$J$3:$J$1009,""),"Display",_xlfn.XLOOKUP($K302&amp;"",DISPLAY!$B$3:$B$1000&amp;"",DISPLAY!$K$3:$K$1000,""),"Network Device",_xlfn.XLOOKUP($K302&amp;"",'NETWORK-DEVICES'!$B$3:$B$987&amp;"",'NETWORK-DEVICES'!$I$3:$I$987,""),"Peripheral",_xlfn.XLOOKUP($K302&amp;"",PERIPHERAL!$B$3:$B$954&amp;"",PERIPHERAL!$J$3:$J$954,""),"Utilities",_xlfn.XLOOKUP($K302&amp;"",UTILITIES!$B$3:$B$953&amp;"",UTILITIES!$I$3:$I$953,""),"IOT",_xlfn.XLOOKUP($K302&amp;"",IOT!$B$3:$B$1012&amp;"",IOT!$J$3:$J$1012,""),"Server",_xlfn.XLOOKUP($K302&amp;"",SERVER!$B$3:$B$1009&amp;"",SERVER!$J$3:$J$1009,""),""))</f>
        <v/>
      </c>
      <c r="N302" s="1" t="str" cm="1">
        <f t="array" ref="N302">IF(OR($K302="",$I302="",$J302=""),"",_xlfn.LET(_xlpm.srcCat,_xlfn.SWITCH($I302,"Computer",_xlfn.XLOOKUP($K302&amp;"",COMPUTER!$B$3:$B$1009&amp;"",COMPUTER!$H$3:$H$1009,""),"Display",_xlfn.XLOOKUP($K302&amp;"",DISPLAY!$B$3:$B$1000&amp;"",DISPLAY!$H$3:$H$1000,""),"Network Device",_xlfn.XLOOKUP($K302&amp;"",'NETWORK-DEVICES'!$B$3:$B$987&amp;"",'NETWORK-DEVICES'!$H$3:$H$987,""),"Peripheral",_xlfn.XLOOKUP($K302&amp;"",PERIPHERAL!$B$3:$B$954&amp;"",PERIPHERAL!$H$3:$H$954,""),"Utilities",_xlfn.XLOOKUP($K302&amp;"",UTILITIES!$B$3:$B$953&amp;"",UTILITIES!$G$3:$G$953,""),"IOT",_xlfn.XLOOKUP($K302&amp;"",IOT!$B$3:$B$1012&amp;"",IOT!$H$3:$H$1012,""),"Server",_xlfn.XLOOKUP($K302&amp;"",SERVER!$B$3:$B$1009&amp;"",SERVER!$H$3:$H$1009,""),""),IF(TRIM(_xlpm.srcCat)&lt;&gt;TRIM($J302),"",_xlfn.SWITCH($I302,"Computer",_xlfn.XLOOKUP($K302&amp;"",COMPUTER!$B$3:$B$1009&amp;"",COMPUTER!$K$3:$K$1009,""),"Display",_xlfn.XLOOKUP($K302&amp;"",DISPLAY!$B$3:$B$1000&amp;"",DISPLAY!$L$3:$L$1000,""),"Network Device",_xlfn.XLOOKUP($K302&amp;"",'NETWORK-DEVICES'!$B$3:$B$987&amp;"",'NETWORK-DEVICES'!$K$3:$K$987,""),"Peripheral",_xlfn.XLOOKUP($K302&amp;"",PERIPHERAL!$B$3:$B$954&amp;"",PERIPHERAL!$K$3:$K$954,""),"Utilities",_xlfn.XLOOKUP($K302&amp;"",UTILITIES!$B$3:$B$953&amp;"",UTILITIES!$J$3:$J$953,""),"IOT",_xlfn.XLOOKUP($K302&amp;"",IOT!$B$3:$B$1012&amp;"",IOT!$K$4:$K$1012,""),"Server",_xlfn.XLOOKUP($K302&amp;"",SERVER!$B$3:$B$1009&amp;"",SERVER!$K$3:$K$1009,""),""))))</f>
        <v/>
      </c>
      <c r="O302" s="1" t="str" cm="1">
        <f t="array" ref="O302">IF(OR($K302="",$I302="",$J302=""),"",_xlfn.LET(_xlpm.srcCat,_xlfn.SWITCH($I302,"Computer",_xlfn.XLOOKUP($K302&amp;"",COMPUTER!$B$3:$B$1009&amp;"",COMPUTER!$H$3:$H$1009,""),"Display",_xlfn.XLOOKUP($K302&amp;"",DISPLAY!$B$3:$B$1000&amp;"",DISPLAY!$H$3:$H$1000,""),"Network Device",_xlfn.XLOOKUP($K302&amp;"",'NETWORK-DEVICES'!$B$3:$B$987&amp;"",'NETWORK-DEVICES'!$H$3:$H$987,""),"Peripheral",_xlfn.XLOOKUP($K302&amp;"",PERIPHERAL!$B$3:$B$954&amp;"",PERIPHERAL!$H$3:$H$954,""),"Utilities",_xlfn.XLOOKUP($K302&amp;"",UTILITIES!$B$3:$B$953&amp;"",UTILITIES!$G$3:$G$953,""),"IOT",_xlfn.XLOOKUP($K302&amp;"",IOT!$B$3:$B$1012&amp;"",IOT!$H$3:$H$1012,""),"Server",_xlfn.XLOOKUP($K302&amp;"",SERVER!$B$3:$B$1009&amp;"",SERVER!$H$3:$H$1009,""),""),IF(TRIM(_xlpm.srcCat)&lt;&gt;TRIM($J302),"",_xlfn.SWITCH($I302,"Computer",_xlfn.XLOOKUP($K302&amp;"",COMPUTER!$B$3:$B$1009&amp;"",COMPUTER!$E$3:$E$1009,""),"Display",_xlfn.XLOOKUP($K302&amp;"",DISPLAY!$B$3:$B$1000&amp;"",DISPLAY!$E$3:$E$1000,""),"Network Device",_xlfn.XLOOKUP($K302&amp;"",'NETWORK-DEVICES'!$B$3:$B$987&amp;"",'NETWORK-DEVICES'!$E$3:$E$987,""),"Peripheral",_xlfn.XLOOKUP($K302&amp;"",PERIPHERAL!$B$3:$B$954&amp;"",PERIPHERAL!$E$3:$E$954,""),"Utilities",_xlfn.XLOOKUP($K302&amp;"",UTILITIES!$B$3:$B$953&amp;"",UTILITIES!$E$3:$E$953,""),"IOT",_xlfn.XLOOKUP($K302&amp;"",IOT!$B$3:$B$1012&amp;"",IOT!$E$3:$E$1012,""),"Server",_xlfn.XLOOKUP($K302&amp;"",SERVER!$B$3:$B$1009&amp;"",SERVER!$E$3:$E$1009,""),""))))</f>
        <v/>
      </c>
      <c r="Q302" s="1" t="str" cm="1">
        <f t="array" ref="Q302">IF(OR($K302="",$I302="",$J302=""),"",_xlfn.LET(_xlpm.srcCat,_xlfn.SWITCH($I302,"Computer",_xlfn.XLOOKUP($K302&amp;"",COMPUTER!$B$3:$B$1009&amp;"",COMPUTER!$H$3:$H$1009,""),"Display",_xlfn.XLOOKUP($K302&amp;"",DISPLAY!$B$3:$B$1000&amp;"",DISPLAY!$H$3:$H$1000,""),"Network Device",_xlfn.XLOOKUP($K302&amp;"",'NETWORK-DEVICES'!$B$3:$B$987&amp;"",'NETWORK-DEVICES'!$H$3:$H$987,""),"Peripheral",_xlfn.XLOOKUP($K302&amp;"",PERIPHERAL!$B$3:$B$954&amp;"",PERIPHERAL!$H$3:$H$954,""),"Utilities",_xlfn.XLOOKUP($K302&amp;"",UTILITIES!$B$3:$B$953&amp;"",UTILITIES!$G$3:$G$953,""),"IOT",_xlfn.XLOOKUP($K302&amp;"",IOT!$B$3:$B$1012&amp;"",IOT!$H$3:$H$1012,""),"Server",_xlfn.XLOOKUP($K302&amp;"",SERVER!$B$3:$B$1009&amp;"",SERVER!$H$3:$H$1009,""),""),IF(TRIM(_xlpm.srcCat)&lt;&gt;TRIM($J302),"",_xlfn.SWITCH($I302,"Computer",_xlfn.XLOOKUP($K302&amp;"",COMPUTER!$B$3:$B$1009&amp;"",COMPUTER!$AM$3:$AM$1009,""),"Display",_xlfn.XLOOKUP($K302&amp;"",DISPLAY!$B$3:$B$1000&amp;"",DISPLAY!$V$3:$V$1000,""),"Network Device",_xlfn.XLOOKUP($K302&amp;"",'NETWORK-DEVICES'!$B$3:$B$987&amp;"",'NETWORK-DEVICES'!$AF$3:$AF$987,""),"Peripheral",_xlfn.XLOOKUP($K302&amp;"",PERIPHERAL!$B$3:$B$954&amp;"",PERIPHERAL!$Y$3:$Y$954,""),"Utilities",_xlfn.XLOOKUP($K302&amp;"",UTILITIES!$B$3:$B$953&amp;"",UTILITIES!$O$3:$O$953,""),"IOT",_xlfn.XLOOKUP($K302&amp;"",IOT!$B$3:$B$1012&amp;"",IOT!$AB$3:$AB$1012,""),"Server",_xlfn.XLOOKUP($K302&amp;"",SERVER!$B$3:$B$1009&amp;"",SERVER!$AB$3:$AB$1009,""),""))))</f>
        <v/>
      </c>
      <c r="R302" s="43" t="str">
        <f>IF(tbl_handover[[#This Row],[Asset Code]]="","",COUNTIF(tbl_handover[Asset Code],tbl_handover[[#This Row],[Asset Code]]))</f>
        <v/>
      </c>
    </row>
    <row r="303" spans="1:18" x14ac:dyDescent="0.25">
      <c r="A303" s="43" t="str">
        <f>IF(B303&lt;&gt;"",SUBTOTAL(3,$B$1:B302),"")</f>
        <v/>
      </c>
      <c r="C303" s="74"/>
      <c r="D303" s="74"/>
      <c r="G303" s="1"/>
      <c r="K303" s="42"/>
      <c r="L303" t="str" cm="1">
        <f t="array" ref="L303">IF($K303="","",_xlfn.SWITCH($I303,"Computer",_xlfn.XLOOKUP($K303&amp;"",COMPUTER!$B$3:$B$1009&amp;"",COMPUTER!$I$3:$I$1009,""),"Display",_xlfn.XLOOKUP($K303&amp;"",DISPLAY!$B$3:$B$1000&amp;"",DISPLAY!$J$3:$J$1000,""),"Network Device",_xlfn.XLOOKUP($K303&amp;"",'NETWORK-DEVICES'!$B$3:$B$987&amp;"",'NETWORK-DEVICES'!$I$3:$I$987,""),"Peripheral",_xlfn.XLOOKUP($K303&amp;"",PERIPHERAL!$B$3:$B$954&amp;"",PERIPHERAL!$I$3:$I$954,""),"Utilities",_xlfn.XLOOKUP($K303&amp;"",UTILITIES!$B$3:$B$953&amp;"",UTILITIES!$H$3:$H$953,""),"IOT",_xlfn.XLOOKUP($K303&amp;"",IOT!$B$3:$B$1012&amp;"",IOT!$I$3:$I$1012,""),"SERVER",_xlfn.XLOOKUP($K303&amp;"",SERVER!$B$3:$B$1009&amp;"",SERVER!$I$3:$I$1009,""),""))</f>
        <v/>
      </c>
      <c r="M303" t="str" cm="1">
        <f t="array" ref="M303">IF($K303="","",_xlfn.SWITCH($I303,"Computer",_xlfn.XLOOKUP($K303&amp;"",COMPUTER!$B$3:$B$1009&amp;"",COMPUTER!$J$3:$J$1009,""),"Display",_xlfn.XLOOKUP($K303&amp;"",DISPLAY!$B$3:$B$1000&amp;"",DISPLAY!$K$3:$K$1000,""),"Network Device",_xlfn.XLOOKUP($K303&amp;"",'NETWORK-DEVICES'!$B$3:$B$987&amp;"",'NETWORK-DEVICES'!$I$3:$I$987,""),"Peripheral",_xlfn.XLOOKUP($K303&amp;"",PERIPHERAL!$B$3:$B$954&amp;"",PERIPHERAL!$J$3:$J$954,""),"Utilities",_xlfn.XLOOKUP($K303&amp;"",UTILITIES!$B$3:$B$953&amp;"",UTILITIES!$I$3:$I$953,""),"IOT",_xlfn.XLOOKUP($K303&amp;"",IOT!$B$3:$B$1012&amp;"",IOT!$J$3:$J$1012,""),"Server",_xlfn.XLOOKUP($K303&amp;"",SERVER!$B$3:$B$1009&amp;"",SERVER!$J$3:$J$1009,""),""))</f>
        <v/>
      </c>
      <c r="N303" s="1" t="str" cm="1">
        <f t="array" ref="N303">IF(OR($K303="",$I303="",$J303=""),"",_xlfn.LET(_xlpm.srcCat,_xlfn.SWITCH($I303,"Computer",_xlfn.XLOOKUP($K303&amp;"",COMPUTER!$B$3:$B$1009&amp;"",COMPUTER!$H$3:$H$1009,""),"Display",_xlfn.XLOOKUP($K303&amp;"",DISPLAY!$B$3:$B$1000&amp;"",DISPLAY!$H$3:$H$1000,""),"Network Device",_xlfn.XLOOKUP($K303&amp;"",'NETWORK-DEVICES'!$B$3:$B$987&amp;"",'NETWORK-DEVICES'!$H$3:$H$987,""),"Peripheral",_xlfn.XLOOKUP($K303&amp;"",PERIPHERAL!$B$3:$B$954&amp;"",PERIPHERAL!$H$3:$H$954,""),"Utilities",_xlfn.XLOOKUP($K303&amp;"",UTILITIES!$B$3:$B$953&amp;"",UTILITIES!$G$3:$G$953,""),"IOT",_xlfn.XLOOKUP($K303&amp;"",IOT!$B$3:$B$1012&amp;"",IOT!$H$3:$H$1012,""),"Server",_xlfn.XLOOKUP($K303&amp;"",SERVER!$B$3:$B$1009&amp;"",SERVER!$H$3:$H$1009,""),""),IF(TRIM(_xlpm.srcCat)&lt;&gt;TRIM($J303),"",_xlfn.SWITCH($I303,"Computer",_xlfn.XLOOKUP($K303&amp;"",COMPUTER!$B$3:$B$1009&amp;"",COMPUTER!$K$3:$K$1009,""),"Display",_xlfn.XLOOKUP($K303&amp;"",DISPLAY!$B$3:$B$1000&amp;"",DISPLAY!$L$3:$L$1000,""),"Network Device",_xlfn.XLOOKUP($K303&amp;"",'NETWORK-DEVICES'!$B$3:$B$987&amp;"",'NETWORK-DEVICES'!$K$3:$K$987,""),"Peripheral",_xlfn.XLOOKUP($K303&amp;"",PERIPHERAL!$B$3:$B$954&amp;"",PERIPHERAL!$K$3:$K$954,""),"Utilities",_xlfn.XLOOKUP($K303&amp;"",UTILITIES!$B$3:$B$953&amp;"",UTILITIES!$J$3:$J$953,""),"IOT",_xlfn.XLOOKUP($K303&amp;"",IOT!$B$3:$B$1012&amp;"",IOT!$K$4:$K$1012,""),"Server",_xlfn.XLOOKUP($K303&amp;"",SERVER!$B$3:$B$1009&amp;"",SERVER!$K$3:$K$1009,""),""))))</f>
        <v/>
      </c>
      <c r="O303" s="1" t="str" cm="1">
        <f t="array" ref="O303">IF(OR($K303="",$I303="",$J303=""),"",_xlfn.LET(_xlpm.srcCat,_xlfn.SWITCH($I303,"Computer",_xlfn.XLOOKUP($K303&amp;"",COMPUTER!$B$3:$B$1009&amp;"",COMPUTER!$H$3:$H$1009,""),"Display",_xlfn.XLOOKUP($K303&amp;"",DISPLAY!$B$3:$B$1000&amp;"",DISPLAY!$H$3:$H$1000,""),"Network Device",_xlfn.XLOOKUP($K303&amp;"",'NETWORK-DEVICES'!$B$3:$B$987&amp;"",'NETWORK-DEVICES'!$H$3:$H$987,""),"Peripheral",_xlfn.XLOOKUP($K303&amp;"",PERIPHERAL!$B$3:$B$954&amp;"",PERIPHERAL!$H$3:$H$954,""),"Utilities",_xlfn.XLOOKUP($K303&amp;"",UTILITIES!$B$3:$B$953&amp;"",UTILITIES!$G$3:$G$953,""),"IOT",_xlfn.XLOOKUP($K303&amp;"",IOT!$B$3:$B$1012&amp;"",IOT!$H$3:$H$1012,""),"Server",_xlfn.XLOOKUP($K303&amp;"",SERVER!$B$3:$B$1009&amp;"",SERVER!$H$3:$H$1009,""),""),IF(TRIM(_xlpm.srcCat)&lt;&gt;TRIM($J303),"",_xlfn.SWITCH($I303,"Computer",_xlfn.XLOOKUP($K303&amp;"",COMPUTER!$B$3:$B$1009&amp;"",COMPUTER!$E$3:$E$1009,""),"Display",_xlfn.XLOOKUP($K303&amp;"",DISPLAY!$B$3:$B$1000&amp;"",DISPLAY!$E$3:$E$1000,""),"Network Device",_xlfn.XLOOKUP($K303&amp;"",'NETWORK-DEVICES'!$B$3:$B$987&amp;"",'NETWORK-DEVICES'!$E$3:$E$987,""),"Peripheral",_xlfn.XLOOKUP($K303&amp;"",PERIPHERAL!$B$3:$B$954&amp;"",PERIPHERAL!$E$3:$E$954,""),"Utilities",_xlfn.XLOOKUP($K303&amp;"",UTILITIES!$B$3:$B$953&amp;"",UTILITIES!$E$3:$E$953,""),"IOT",_xlfn.XLOOKUP($K303&amp;"",IOT!$B$3:$B$1012&amp;"",IOT!$E$3:$E$1012,""),"Server",_xlfn.XLOOKUP($K303&amp;"",SERVER!$B$3:$B$1009&amp;"",SERVER!$E$3:$E$1009,""),""))))</f>
        <v/>
      </c>
      <c r="Q303" s="1" t="str" cm="1">
        <f t="array" ref="Q303">IF(OR($K303="",$I303="",$J303=""),"",_xlfn.LET(_xlpm.srcCat,_xlfn.SWITCH($I303,"Computer",_xlfn.XLOOKUP($K303&amp;"",COMPUTER!$B$3:$B$1009&amp;"",COMPUTER!$H$3:$H$1009,""),"Display",_xlfn.XLOOKUP($K303&amp;"",DISPLAY!$B$3:$B$1000&amp;"",DISPLAY!$H$3:$H$1000,""),"Network Device",_xlfn.XLOOKUP($K303&amp;"",'NETWORK-DEVICES'!$B$3:$B$987&amp;"",'NETWORK-DEVICES'!$H$3:$H$987,""),"Peripheral",_xlfn.XLOOKUP($K303&amp;"",PERIPHERAL!$B$3:$B$954&amp;"",PERIPHERAL!$H$3:$H$954,""),"Utilities",_xlfn.XLOOKUP($K303&amp;"",UTILITIES!$B$3:$B$953&amp;"",UTILITIES!$G$3:$G$953,""),"IOT",_xlfn.XLOOKUP($K303&amp;"",IOT!$B$3:$B$1012&amp;"",IOT!$H$3:$H$1012,""),"Server",_xlfn.XLOOKUP($K303&amp;"",SERVER!$B$3:$B$1009&amp;"",SERVER!$H$3:$H$1009,""),""),IF(TRIM(_xlpm.srcCat)&lt;&gt;TRIM($J303),"",_xlfn.SWITCH($I303,"Computer",_xlfn.XLOOKUP($K303&amp;"",COMPUTER!$B$3:$B$1009&amp;"",COMPUTER!$AM$3:$AM$1009,""),"Display",_xlfn.XLOOKUP($K303&amp;"",DISPLAY!$B$3:$B$1000&amp;"",DISPLAY!$V$3:$V$1000,""),"Network Device",_xlfn.XLOOKUP($K303&amp;"",'NETWORK-DEVICES'!$B$3:$B$987&amp;"",'NETWORK-DEVICES'!$AF$3:$AF$987,""),"Peripheral",_xlfn.XLOOKUP($K303&amp;"",PERIPHERAL!$B$3:$B$954&amp;"",PERIPHERAL!$Y$3:$Y$954,""),"Utilities",_xlfn.XLOOKUP($K303&amp;"",UTILITIES!$B$3:$B$953&amp;"",UTILITIES!$O$3:$O$953,""),"IOT",_xlfn.XLOOKUP($K303&amp;"",IOT!$B$3:$B$1012&amp;"",IOT!$AB$3:$AB$1012,""),"Server",_xlfn.XLOOKUP($K303&amp;"",SERVER!$B$3:$B$1009&amp;"",SERVER!$AB$3:$AB$1009,""),""))))</f>
        <v/>
      </c>
      <c r="R303" s="43" t="str">
        <f>IF(tbl_handover[[#This Row],[Asset Code]]="","",COUNTIF(tbl_handover[Asset Code],tbl_handover[[#This Row],[Asset Code]]))</f>
        <v/>
      </c>
    </row>
    <row r="304" spans="1:18" x14ac:dyDescent="0.25">
      <c r="A304" s="43" t="str">
        <f>IF(B304&lt;&gt;"",SUBTOTAL(3,$B$1:B303),"")</f>
        <v/>
      </c>
      <c r="C304" s="74"/>
      <c r="D304" s="74"/>
      <c r="G304" s="1"/>
      <c r="K304" s="42"/>
      <c r="L304" t="str" cm="1">
        <f t="array" ref="L304">IF($K304="","",_xlfn.SWITCH($I304,"Computer",_xlfn.XLOOKUP($K304&amp;"",COMPUTER!$B$3:$B$1009&amp;"",COMPUTER!$I$3:$I$1009,""),"Display",_xlfn.XLOOKUP($K304&amp;"",DISPLAY!$B$3:$B$1000&amp;"",DISPLAY!$J$3:$J$1000,""),"Network Device",_xlfn.XLOOKUP($K304&amp;"",'NETWORK-DEVICES'!$B$3:$B$987&amp;"",'NETWORK-DEVICES'!$I$3:$I$987,""),"Peripheral",_xlfn.XLOOKUP($K304&amp;"",PERIPHERAL!$B$3:$B$954&amp;"",PERIPHERAL!$I$3:$I$954,""),"Utilities",_xlfn.XLOOKUP($K304&amp;"",UTILITIES!$B$3:$B$953&amp;"",UTILITIES!$H$3:$H$953,""),"IOT",_xlfn.XLOOKUP($K304&amp;"",IOT!$B$3:$B$1012&amp;"",IOT!$I$3:$I$1012,""),"SERVER",_xlfn.XLOOKUP($K304&amp;"",SERVER!$B$3:$B$1009&amp;"",SERVER!$I$3:$I$1009,""),""))</f>
        <v/>
      </c>
      <c r="M304" t="str" cm="1">
        <f t="array" ref="M304">IF($K304="","",_xlfn.SWITCH($I304,"Computer",_xlfn.XLOOKUP($K304&amp;"",COMPUTER!$B$3:$B$1009&amp;"",COMPUTER!$J$3:$J$1009,""),"Display",_xlfn.XLOOKUP($K304&amp;"",DISPLAY!$B$3:$B$1000&amp;"",DISPLAY!$K$3:$K$1000,""),"Network Device",_xlfn.XLOOKUP($K304&amp;"",'NETWORK-DEVICES'!$B$3:$B$987&amp;"",'NETWORK-DEVICES'!$I$3:$I$987,""),"Peripheral",_xlfn.XLOOKUP($K304&amp;"",PERIPHERAL!$B$3:$B$954&amp;"",PERIPHERAL!$J$3:$J$954,""),"Utilities",_xlfn.XLOOKUP($K304&amp;"",UTILITIES!$B$3:$B$953&amp;"",UTILITIES!$I$3:$I$953,""),"IOT",_xlfn.XLOOKUP($K304&amp;"",IOT!$B$3:$B$1012&amp;"",IOT!$J$3:$J$1012,""),"Server",_xlfn.XLOOKUP($K304&amp;"",SERVER!$B$3:$B$1009&amp;"",SERVER!$J$3:$J$1009,""),""))</f>
        <v/>
      </c>
      <c r="N304" s="1" t="str" cm="1">
        <f t="array" ref="N304">IF(OR($K304="",$I304="",$J304=""),"",_xlfn.LET(_xlpm.srcCat,_xlfn.SWITCH($I304,"Computer",_xlfn.XLOOKUP($K304&amp;"",COMPUTER!$B$3:$B$1009&amp;"",COMPUTER!$H$3:$H$1009,""),"Display",_xlfn.XLOOKUP($K304&amp;"",DISPLAY!$B$3:$B$1000&amp;"",DISPLAY!$H$3:$H$1000,""),"Network Device",_xlfn.XLOOKUP($K304&amp;"",'NETWORK-DEVICES'!$B$3:$B$987&amp;"",'NETWORK-DEVICES'!$H$3:$H$987,""),"Peripheral",_xlfn.XLOOKUP($K304&amp;"",PERIPHERAL!$B$3:$B$954&amp;"",PERIPHERAL!$H$3:$H$954,""),"Utilities",_xlfn.XLOOKUP($K304&amp;"",UTILITIES!$B$3:$B$953&amp;"",UTILITIES!$G$3:$G$953,""),"IOT",_xlfn.XLOOKUP($K304&amp;"",IOT!$B$3:$B$1012&amp;"",IOT!$H$3:$H$1012,""),"Server",_xlfn.XLOOKUP($K304&amp;"",SERVER!$B$3:$B$1009&amp;"",SERVER!$H$3:$H$1009,""),""),IF(TRIM(_xlpm.srcCat)&lt;&gt;TRIM($J304),"",_xlfn.SWITCH($I304,"Computer",_xlfn.XLOOKUP($K304&amp;"",COMPUTER!$B$3:$B$1009&amp;"",COMPUTER!$K$3:$K$1009,""),"Display",_xlfn.XLOOKUP($K304&amp;"",DISPLAY!$B$3:$B$1000&amp;"",DISPLAY!$L$3:$L$1000,""),"Network Device",_xlfn.XLOOKUP($K304&amp;"",'NETWORK-DEVICES'!$B$3:$B$987&amp;"",'NETWORK-DEVICES'!$K$3:$K$987,""),"Peripheral",_xlfn.XLOOKUP($K304&amp;"",PERIPHERAL!$B$3:$B$954&amp;"",PERIPHERAL!$K$3:$K$954,""),"Utilities",_xlfn.XLOOKUP($K304&amp;"",UTILITIES!$B$3:$B$953&amp;"",UTILITIES!$J$3:$J$953,""),"IOT",_xlfn.XLOOKUP($K304&amp;"",IOT!$B$3:$B$1012&amp;"",IOT!$K$4:$K$1012,""),"Server",_xlfn.XLOOKUP($K304&amp;"",SERVER!$B$3:$B$1009&amp;"",SERVER!$K$3:$K$1009,""),""))))</f>
        <v/>
      </c>
      <c r="O304" s="1" t="str" cm="1">
        <f t="array" ref="O304">IF(OR($K304="",$I304="",$J304=""),"",_xlfn.LET(_xlpm.srcCat,_xlfn.SWITCH($I304,"Computer",_xlfn.XLOOKUP($K304&amp;"",COMPUTER!$B$3:$B$1009&amp;"",COMPUTER!$H$3:$H$1009,""),"Display",_xlfn.XLOOKUP($K304&amp;"",DISPLAY!$B$3:$B$1000&amp;"",DISPLAY!$H$3:$H$1000,""),"Network Device",_xlfn.XLOOKUP($K304&amp;"",'NETWORK-DEVICES'!$B$3:$B$987&amp;"",'NETWORK-DEVICES'!$H$3:$H$987,""),"Peripheral",_xlfn.XLOOKUP($K304&amp;"",PERIPHERAL!$B$3:$B$954&amp;"",PERIPHERAL!$H$3:$H$954,""),"Utilities",_xlfn.XLOOKUP($K304&amp;"",UTILITIES!$B$3:$B$953&amp;"",UTILITIES!$G$3:$G$953,""),"IOT",_xlfn.XLOOKUP($K304&amp;"",IOT!$B$3:$B$1012&amp;"",IOT!$H$3:$H$1012,""),"Server",_xlfn.XLOOKUP($K304&amp;"",SERVER!$B$3:$B$1009&amp;"",SERVER!$H$3:$H$1009,""),""),IF(TRIM(_xlpm.srcCat)&lt;&gt;TRIM($J304),"",_xlfn.SWITCH($I304,"Computer",_xlfn.XLOOKUP($K304&amp;"",COMPUTER!$B$3:$B$1009&amp;"",COMPUTER!$E$3:$E$1009,""),"Display",_xlfn.XLOOKUP($K304&amp;"",DISPLAY!$B$3:$B$1000&amp;"",DISPLAY!$E$3:$E$1000,""),"Network Device",_xlfn.XLOOKUP($K304&amp;"",'NETWORK-DEVICES'!$B$3:$B$987&amp;"",'NETWORK-DEVICES'!$E$3:$E$987,""),"Peripheral",_xlfn.XLOOKUP($K304&amp;"",PERIPHERAL!$B$3:$B$954&amp;"",PERIPHERAL!$E$3:$E$954,""),"Utilities",_xlfn.XLOOKUP($K304&amp;"",UTILITIES!$B$3:$B$953&amp;"",UTILITIES!$E$3:$E$953,""),"IOT",_xlfn.XLOOKUP($K304&amp;"",IOT!$B$3:$B$1012&amp;"",IOT!$E$3:$E$1012,""),"Server",_xlfn.XLOOKUP($K304&amp;"",SERVER!$B$3:$B$1009&amp;"",SERVER!$E$3:$E$1009,""),""))))</f>
        <v/>
      </c>
      <c r="Q304" s="1" t="str" cm="1">
        <f t="array" ref="Q304">IF(OR($K304="",$I304="",$J304=""),"",_xlfn.LET(_xlpm.srcCat,_xlfn.SWITCH($I304,"Computer",_xlfn.XLOOKUP($K304&amp;"",COMPUTER!$B$3:$B$1009&amp;"",COMPUTER!$H$3:$H$1009,""),"Display",_xlfn.XLOOKUP($K304&amp;"",DISPLAY!$B$3:$B$1000&amp;"",DISPLAY!$H$3:$H$1000,""),"Network Device",_xlfn.XLOOKUP($K304&amp;"",'NETWORK-DEVICES'!$B$3:$B$987&amp;"",'NETWORK-DEVICES'!$H$3:$H$987,""),"Peripheral",_xlfn.XLOOKUP($K304&amp;"",PERIPHERAL!$B$3:$B$954&amp;"",PERIPHERAL!$H$3:$H$954,""),"Utilities",_xlfn.XLOOKUP($K304&amp;"",UTILITIES!$B$3:$B$953&amp;"",UTILITIES!$G$3:$G$953,""),"IOT",_xlfn.XLOOKUP($K304&amp;"",IOT!$B$3:$B$1012&amp;"",IOT!$H$3:$H$1012,""),"Server",_xlfn.XLOOKUP($K304&amp;"",SERVER!$B$3:$B$1009&amp;"",SERVER!$H$3:$H$1009,""),""),IF(TRIM(_xlpm.srcCat)&lt;&gt;TRIM($J304),"",_xlfn.SWITCH($I304,"Computer",_xlfn.XLOOKUP($K304&amp;"",COMPUTER!$B$3:$B$1009&amp;"",COMPUTER!$AM$3:$AM$1009,""),"Display",_xlfn.XLOOKUP($K304&amp;"",DISPLAY!$B$3:$B$1000&amp;"",DISPLAY!$V$3:$V$1000,""),"Network Device",_xlfn.XLOOKUP($K304&amp;"",'NETWORK-DEVICES'!$B$3:$B$987&amp;"",'NETWORK-DEVICES'!$AF$3:$AF$987,""),"Peripheral",_xlfn.XLOOKUP($K304&amp;"",PERIPHERAL!$B$3:$B$954&amp;"",PERIPHERAL!$Y$3:$Y$954,""),"Utilities",_xlfn.XLOOKUP($K304&amp;"",UTILITIES!$B$3:$B$953&amp;"",UTILITIES!$O$3:$O$953,""),"IOT",_xlfn.XLOOKUP($K304&amp;"",IOT!$B$3:$B$1012&amp;"",IOT!$AB$3:$AB$1012,""),"Server",_xlfn.XLOOKUP($K304&amp;"",SERVER!$B$3:$B$1009&amp;"",SERVER!$AB$3:$AB$1009,""),""))))</f>
        <v/>
      </c>
      <c r="R304" s="43" t="str">
        <f>IF(tbl_handover[[#This Row],[Asset Code]]="","",COUNTIF(tbl_handover[Asset Code],tbl_handover[[#This Row],[Asset Code]]))</f>
        <v/>
      </c>
    </row>
    <row r="305" spans="1:18" x14ac:dyDescent="0.25">
      <c r="A305" s="43" t="str">
        <f>IF(B305&lt;&gt;"",SUBTOTAL(3,$B$1:B304),"")</f>
        <v/>
      </c>
      <c r="C305" s="74"/>
      <c r="D305" s="74"/>
      <c r="G305" s="1"/>
      <c r="K305" s="42"/>
      <c r="L305" t="str" cm="1">
        <f t="array" ref="L305">IF($K305="","",_xlfn.SWITCH($I305,"Computer",_xlfn.XLOOKUP($K305&amp;"",COMPUTER!$B$3:$B$1009&amp;"",COMPUTER!$I$3:$I$1009,""),"Display",_xlfn.XLOOKUP($K305&amp;"",DISPLAY!$B$3:$B$1000&amp;"",DISPLAY!$J$3:$J$1000,""),"Network Device",_xlfn.XLOOKUP($K305&amp;"",'NETWORK-DEVICES'!$B$3:$B$987&amp;"",'NETWORK-DEVICES'!$I$3:$I$987,""),"Peripheral",_xlfn.XLOOKUP($K305&amp;"",PERIPHERAL!$B$3:$B$954&amp;"",PERIPHERAL!$I$3:$I$954,""),"Utilities",_xlfn.XLOOKUP($K305&amp;"",UTILITIES!$B$3:$B$953&amp;"",UTILITIES!$H$3:$H$953,""),"IOT",_xlfn.XLOOKUP($K305&amp;"",IOT!$B$3:$B$1012&amp;"",IOT!$I$3:$I$1012,""),"SERVER",_xlfn.XLOOKUP($K305&amp;"",SERVER!$B$3:$B$1009&amp;"",SERVER!$I$3:$I$1009,""),""))</f>
        <v/>
      </c>
      <c r="M305" t="str" cm="1">
        <f t="array" ref="M305">IF($K305="","",_xlfn.SWITCH($I305,"Computer",_xlfn.XLOOKUP($K305&amp;"",COMPUTER!$B$3:$B$1009&amp;"",COMPUTER!$J$3:$J$1009,""),"Display",_xlfn.XLOOKUP($K305&amp;"",DISPLAY!$B$3:$B$1000&amp;"",DISPLAY!$K$3:$K$1000,""),"Network Device",_xlfn.XLOOKUP($K305&amp;"",'NETWORK-DEVICES'!$B$3:$B$987&amp;"",'NETWORK-DEVICES'!$I$3:$I$987,""),"Peripheral",_xlfn.XLOOKUP($K305&amp;"",PERIPHERAL!$B$3:$B$954&amp;"",PERIPHERAL!$J$3:$J$954,""),"Utilities",_xlfn.XLOOKUP($K305&amp;"",UTILITIES!$B$3:$B$953&amp;"",UTILITIES!$I$3:$I$953,""),"IOT",_xlfn.XLOOKUP($K305&amp;"",IOT!$B$3:$B$1012&amp;"",IOT!$J$3:$J$1012,""),"Server",_xlfn.XLOOKUP($K305&amp;"",SERVER!$B$3:$B$1009&amp;"",SERVER!$J$3:$J$1009,""),""))</f>
        <v/>
      </c>
      <c r="N305" s="1" t="str" cm="1">
        <f t="array" ref="N305">IF(OR($K305="",$I305="",$J305=""),"",_xlfn.LET(_xlpm.srcCat,_xlfn.SWITCH($I305,"Computer",_xlfn.XLOOKUP($K305&amp;"",COMPUTER!$B$3:$B$1009&amp;"",COMPUTER!$H$3:$H$1009,""),"Display",_xlfn.XLOOKUP($K305&amp;"",DISPLAY!$B$3:$B$1000&amp;"",DISPLAY!$H$3:$H$1000,""),"Network Device",_xlfn.XLOOKUP($K305&amp;"",'NETWORK-DEVICES'!$B$3:$B$987&amp;"",'NETWORK-DEVICES'!$H$3:$H$987,""),"Peripheral",_xlfn.XLOOKUP($K305&amp;"",PERIPHERAL!$B$3:$B$954&amp;"",PERIPHERAL!$H$3:$H$954,""),"Utilities",_xlfn.XLOOKUP($K305&amp;"",UTILITIES!$B$3:$B$953&amp;"",UTILITIES!$G$3:$G$953,""),"IOT",_xlfn.XLOOKUP($K305&amp;"",IOT!$B$3:$B$1012&amp;"",IOT!$H$3:$H$1012,""),"Server",_xlfn.XLOOKUP($K305&amp;"",SERVER!$B$3:$B$1009&amp;"",SERVER!$H$3:$H$1009,""),""),IF(TRIM(_xlpm.srcCat)&lt;&gt;TRIM($J305),"",_xlfn.SWITCH($I305,"Computer",_xlfn.XLOOKUP($K305&amp;"",COMPUTER!$B$3:$B$1009&amp;"",COMPUTER!$K$3:$K$1009,""),"Display",_xlfn.XLOOKUP($K305&amp;"",DISPLAY!$B$3:$B$1000&amp;"",DISPLAY!$L$3:$L$1000,""),"Network Device",_xlfn.XLOOKUP($K305&amp;"",'NETWORK-DEVICES'!$B$3:$B$987&amp;"",'NETWORK-DEVICES'!$K$3:$K$987,""),"Peripheral",_xlfn.XLOOKUP($K305&amp;"",PERIPHERAL!$B$3:$B$954&amp;"",PERIPHERAL!$K$3:$K$954,""),"Utilities",_xlfn.XLOOKUP($K305&amp;"",UTILITIES!$B$3:$B$953&amp;"",UTILITIES!$J$3:$J$953,""),"IOT",_xlfn.XLOOKUP($K305&amp;"",IOT!$B$3:$B$1012&amp;"",IOT!$K$4:$K$1012,""),"Server",_xlfn.XLOOKUP($K305&amp;"",SERVER!$B$3:$B$1009&amp;"",SERVER!$K$3:$K$1009,""),""))))</f>
        <v/>
      </c>
      <c r="O305" s="1" t="str" cm="1">
        <f t="array" ref="O305">IF(OR($K305="",$I305="",$J305=""),"",_xlfn.LET(_xlpm.srcCat,_xlfn.SWITCH($I305,"Computer",_xlfn.XLOOKUP($K305&amp;"",COMPUTER!$B$3:$B$1009&amp;"",COMPUTER!$H$3:$H$1009,""),"Display",_xlfn.XLOOKUP($K305&amp;"",DISPLAY!$B$3:$B$1000&amp;"",DISPLAY!$H$3:$H$1000,""),"Network Device",_xlfn.XLOOKUP($K305&amp;"",'NETWORK-DEVICES'!$B$3:$B$987&amp;"",'NETWORK-DEVICES'!$H$3:$H$987,""),"Peripheral",_xlfn.XLOOKUP($K305&amp;"",PERIPHERAL!$B$3:$B$954&amp;"",PERIPHERAL!$H$3:$H$954,""),"Utilities",_xlfn.XLOOKUP($K305&amp;"",UTILITIES!$B$3:$B$953&amp;"",UTILITIES!$G$3:$G$953,""),"IOT",_xlfn.XLOOKUP($K305&amp;"",IOT!$B$3:$B$1012&amp;"",IOT!$H$3:$H$1012,""),"Server",_xlfn.XLOOKUP($K305&amp;"",SERVER!$B$3:$B$1009&amp;"",SERVER!$H$3:$H$1009,""),""),IF(TRIM(_xlpm.srcCat)&lt;&gt;TRIM($J305),"",_xlfn.SWITCH($I305,"Computer",_xlfn.XLOOKUP($K305&amp;"",COMPUTER!$B$3:$B$1009&amp;"",COMPUTER!$E$3:$E$1009,""),"Display",_xlfn.XLOOKUP($K305&amp;"",DISPLAY!$B$3:$B$1000&amp;"",DISPLAY!$E$3:$E$1000,""),"Network Device",_xlfn.XLOOKUP($K305&amp;"",'NETWORK-DEVICES'!$B$3:$B$987&amp;"",'NETWORK-DEVICES'!$E$3:$E$987,""),"Peripheral",_xlfn.XLOOKUP($K305&amp;"",PERIPHERAL!$B$3:$B$954&amp;"",PERIPHERAL!$E$3:$E$954,""),"Utilities",_xlfn.XLOOKUP($K305&amp;"",UTILITIES!$B$3:$B$953&amp;"",UTILITIES!$E$3:$E$953,""),"IOT",_xlfn.XLOOKUP($K305&amp;"",IOT!$B$3:$B$1012&amp;"",IOT!$E$3:$E$1012,""),"Server",_xlfn.XLOOKUP($K305&amp;"",SERVER!$B$3:$B$1009&amp;"",SERVER!$E$3:$E$1009,""),""))))</f>
        <v/>
      </c>
      <c r="Q305" s="1" t="str" cm="1">
        <f t="array" ref="Q305">IF(OR($K305="",$I305="",$J305=""),"",_xlfn.LET(_xlpm.srcCat,_xlfn.SWITCH($I305,"Computer",_xlfn.XLOOKUP($K305&amp;"",COMPUTER!$B$3:$B$1009&amp;"",COMPUTER!$H$3:$H$1009,""),"Display",_xlfn.XLOOKUP($K305&amp;"",DISPLAY!$B$3:$B$1000&amp;"",DISPLAY!$H$3:$H$1000,""),"Network Device",_xlfn.XLOOKUP($K305&amp;"",'NETWORK-DEVICES'!$B$3:$B$987&amp;"",'NETWORK-DEVICES'!$H$3:$H$987,""),"Peripheral",_xlfn.XLOOKUP($K305&amp;"",PERIPHERAL!$B$3:$B$954&amp;"",PERIPHERAL!$H$3:$H$954,""),"Utilities",_xlfn.XLOOKUP($K305&amp;"",UTILITIES!$B$3:$B$953&amp;"",UTILITIES!$G$3:$G$953,""),"IOT",_xlfn.XLOOKUP($K305&amp;"",IOT!$B$3:$B$1012&amp;"",IOT!$H$3:$H$1012,""),"Server",_xlfn.XLOOKUP($K305&amp;"",SERVER!$B$3:$B$1009&amp;"",SERVER!$H$3:$H$1009,""),""),IF(TRIM(_xlpm.srcCat)&lt;&gt;TRIM($J305),"",_xlfn.SWITCH($I305,"Computer",_xlfn.XLOOKUP($K305&amp;"",COMPUTER!$B$3:$B$1009&amp;"",COMPUTER!$AM$3:$AM$1009,""),"Display",_xlfn.XLOOKUP($K305&amp;"",DISPLAY!$B$3:$B$1000&amp;"",DISPLAY!$V$3:$V$1000,""),"Network Device",_xlfn.XLOOKUP($K305&amp;"",'NETWORK-DEVICES'!$B$3:$B$987&amp;"",'NETWORK-DEVICES'!$AF$3:$AF$987,""),"Peripheral",_xlfn.XLOOKUP($K305&amp;"",PERIPHERAL!$B$3:$B$954&amp;"",PERIPHERAL!$Y$3:$Y$954,""),"Utilities",_xlfn.XLOOKUP($K305&amp;"",UTILITIES!$B$3:$B$953&amp;"",UTILITIES!$O$3:$O$953,""),"IOT",_xlfn.XLOOKUP($K305&amp;"",IOT!$B$3:$B$1012&amp;"",IOT!$AB$3:$AB$1012,""),"Server",_xlfn.XLOOKUP($K305&amp;"",SERVER!$B$3:$B$1009&amp;"",SERVER!$AB$3:$AB$1009,""),""))))</f>
        <v/>
      </c>
      <c r="R305" s="43" t="str">
        <f>IF(tbl_handover[[#This Row],[Asset Code]]="","",COUNTIF(tbl_handover[Asset Code],tbl_handover[[#This Row],[Asset Code]]))</f>
        <v/>
      </c>
    </row>
    <row r="306" spans="1:18" x14ac:dyDescent="0.25">
      <c r="A306" s="43" t="str">
        <f>IF(B306&lt;&gt;"",SUBTOTAL(3,$B$1:B305),"")</f>
        <v/>
      </c>
      <c r="C306" s="74"/>
      <c r="D306" s="74"/>
      <c r="G306" s="1"/>
      <c r="K306" s="42"/>
      <c r="L306" t="str" cm="1">
        <f t="array" ref="L306">IF($K306="","",_xlfn.SWITCH($I306,"Computer",_xlfn.XLOOKUP($K306&amp;"",COMPUTER!$B$3:$B$1009&amp;"",COMPUTER!$I$3:$I$1009,""),"Display",_xlfn.XLOOKUP($K306&amp;"",DISPLAY!$B$3:$B$1000&amp;"",DISPLAY!$J$3:$J$1000,""),"Network Device",_xlfn.XLOOKUP($K306&amp;"",'NETWORK-DEVICES'!$B$3:$B$987&amp;"",'NETWORK-DEVICES'!$I$3:$I$987,""),"Peripheral",_xlfn.XLOOKUP($K306&amp;"",PERIPHERAL!$B$3:$B$954&amp;"",PERIPHERAL!$I$3:$I$954,""),"Utilities",_xlfn.XLOOKUP($K306&amp;"",UTILITIES!$B$3:$B$953&amp;"",UTILITIES!$H$3:$H$953,""),"IOT",_xlfn.XLOOKUP($K306&amp;"",IOT!$B$3:$B$1012&amp;"",IOT!$I$3:$I$1012,""),"SERVER",_xlfn.XLOOKUP($K306&amp;"",SERVER!$B$3:$B$1009&amp;"",SERVER!$I$3:$I$1009,""),""))</f>
        <v/>
      </c>
      <c r="M306" t="str" cm="1">
        <f t="array" ref="M306">IF($K306="","",_xlfn.SWITCH($I306,"Computer",_xlfn.XLOOKUP($K306&amp;"",COMPUTER!$B$3:$B$1009&amp;"",COMPUTER!$J$3:$J$1009,""),"Display",_xlfn.XLOOKUP($K306&amp;"",DISPLAY!$B$3:$B$1000&amp;"",DISPLAY!$K$3:$K$1000,""),"Network Device",_xlfn.XLOOKUP($K306&amp;"",'NETWORK-DEVICES'!$B$3:$B$987&amp;"",'NETWORK-DEVICES'!$I$3:$I$987,""),"Peripheral",_xlfn.XLOOKUP($K306&amp;"",PERIPHERAL!$B$3:$B$954&amp;"",PERIPHERAL!$J$3:$J$954,""),"Utilities",_xlfn.XLOOKUP($K306&amp;"",UTILITIES!$B$3:$B$953&amp;"",UTILITIES!$I$3:$I$953,""),"IOT",_xlfn.XLOOKUP($K306&amp;"",IOT!$B$3:$B$1012&amp;"",IOT!$J$3:$J$1012,""),"Server",_xlfn.XLOOKUP($K306&amp;"",SERVER!$B$3:$B$1009&amp;"",SERVER!$J$3:$J$1009,""),""))</f>
        <v/>
      </c>
      <c r="N306" s="1" t="str" cm="1">
        <f t="array" ref="N306">IF(OR($K306="",$I306="",$J306=""),"",_xlfn.LET(_xlpm.srcCat,_xlfn.SWITCH($I306,"Computer",_xlfn.XLOOKUP($K306&amp;"",COMPUTER!$B$3:$B$1009&amp;"",COMPUTER!$H$3:$H$1009,""),"Display",_xlfn.XLOOKUP($K306&amp;"",DISPLAY!$B$3:$B$1000&amp;"",DISPLAY!$H$3:$H$1000,""),"Network Device",_xlfn.XLOOKUP($K306&amp;"",'NETWORK-DEVICES'!$B$3:$B$987&amp;"",'NETWORK-DEVICES'!$H$3:$H$987,""),"Peripheral",_xlfn.XLOOKUP($K306&amp;"",PERIPHERAL!$B$3:$B$954&amp;"",PERIPHERAL!$H$3:$H$954,""),"Utilities",_xlfn.XLOOKUP($K306&amp;"",UTILITIES!$B$3:$B$953&amp;"",UTILITIES!$G$3:$G$953,""),"IOT",_xlfn.XLOOKUP($K306&amp;"",IOT!$B$3:$B$1012&amp;"",IOT!$H$3:$H$1012,""),"Server",_xlfn.XLOOKUP($K306&amp;"",SERVER!$B$3:$B$1009&amp;"",SERVER!$H$3:$H$1009,""),""),IF(TRIM(_xlpm.srcCat)&lt;&gt;TRIM($J306),"",_xlfn.SWITCH($I306,"Computer",_xlfn.XLOOKUP($K306&amp;"",COMPUTER!$B$3:$B$1009&amp;"",COMPUTER!$K$3:$K$1009,""),"Display",_xlfn.XLOOKUP($K306&amp;"",DISPLAY!$B$3:$B$1000&amp;"",DISPLAY!$L$3:$L$1000,""),"Network Device",_xlfn.XLOOKUP($K306&amp;"",'NETWORK-DEVICES'!$B$3:$B$987&amp;"",'NETWORK-DEVICES'!$K$3:$K$987,""),"Peripheral",_xlfn.XLOOKUP($K306&amp;"",PERIPHERAL!$B$3:$B$954&amp;"",PERIPHERAL!$K$3:$K$954,""),"Utilities",_xlfn.XLOOKUP($K306&amp;"",UTILITIES!$B$3:$B$953&amp;"",UTILITIES!$J$3:$J$953,""),"IOT",_xlfn.XLOOKUP($K306&amp;"",IOT!$B$3:$B$1012&amp;"",IOT!$K$4:$K$1012,""),"Server",_xlfn.XLOOKUP($K306&amp;"",SERVER!$B$3:$B$1009&amp;"",SERVER!$K$3:$K$1009,""),""))))</f>
        <v/>
      </c>
      <c r="O306" s="1" t="str" cm="1">
        <f t="array" ref="O306">IF(OR($K306="",$I306="",$J306=""),"",_xlfn.LET(_xlpm.srcCat,_xlfn.SWITCH($I306,"Computer",_xlfn.XLOOKUP($K306&amp;"",COMPUTER!$B$3:$B$1009&amp;"",COMPUTER!$H$3:$H$1009,""),"Display",_xlfn.XLOOKUP($K306&amp;"",DISPLAY!$B$3:$B$1000&amp;"",DISPLAY!$H$3:$H$1000,""),"Network Device",_xlfn.XLOOKUP($K306&amp;"",'NETWORK-DEVICES'!$B$3:$B$987&amp;"",'NETWORK-DEVICES'!$H$3:$H$987,""),"Peripheral",_xlfn.XLOOKUP($K306&amp;"",PERIPHERAL!$B$3:$B$954&amp;"",PERIPHERAL!$H$3:$H$954,""),"Utilities",_xlfn.XLOOKUP($K306&amp;"",UTILITIES!$B$3:$B$953&amp;"",UTILITIES!$G$3:$G$953,""),"IOT",_xlfn.XLOOKUP($K306&amp;"",IOT!$B$3:$B$1012&amp;"",IOT!$H$3:$H$1012,""),"Server",_xlfn.XLOOKUP($K306&amp;"",SERVER!$B$3:$B$1009&amp;"",SERVER!$H$3:$H$1009,""),""),IF(TRIM(_xlpm.srcCat)&lt;&gt;TRIM($J306),"",_xlfn.SWITCH($I306,"Computer",_xlfn.XLOOKUP($K306&amp;"",COMPUTER!$B$3:$B$1009&amp;"",COMPUTER!$E$3:$E$1009,""),"Display",_xlfn.XLOOKUP($K306&amp;"",DISPLAY!$B$3:$B$1000&amp;"",DISPLAY!$E$3:$E$1000,""),"Network Device",_xlfn.XLOOKUP($K306&amp;"",'NETWORK-DEVICES'!$B$3:$B$987&amp;"",'NETWORK-DEVICES'!$E$3:$E$987,""),"Peripheral",_xlfn.XLOOKUP($K306&amp;"",PERIPHERAL!$B$3:$B$954&amp;"",PERIPHERAL!$E$3:$E$954,""),"Utilities",_xlfn.XLOOKUP($K306&amp;"",UTILITIES!$B$3:$B$953&amp;"",UTILITIES!$E$3:$E$953,""),"IOT",_xlfn.XLOOKUP($K306&amp;"",IOT!$B$3:$B$1012&amp;"",IOT!$E$3:$E$1012,""),"Server",_xlfn.XLOOKUP($K306&amp;"",SERVER!$B$3:$B$1009&amp;"",SERVER!$E$3:$E$1009,""),""))))</f>
        <v/>
      </c>
      <c r="Q306" s="1" t="str" cm="1">
        <f t="array" ref="Q306">IF(OR($K306="",$I306="",$J306=""),"",_xlfn.LET(_xlpm.srcCat,_xlfn.SWITCH($I306,"Computer",_xlfn.XLOOKUP($K306&amp;"",COMPUTER!$B$3:$B$1009&amp;"",COMPUTER!$H$3:$H$1009,""),"Display",_xlfn.XLOOKUP($K306&amp;"",DISPLAY!$B$3:$B$1000&amp;"",DISPLAY!$H$3:$H$1000,""),"Network Device",_xlfn.XLOOKUP($K306&amp;"",'NETWORK-DEVICES'!$B$3:$B$987&amp;"",'NETWORK-DEVICES'!$H$3:$H$987,""),"Peripheral",_xlfn.XLOOKUP($K306&amp;"",PERIPHERAL!$B$3:$B$954&amp;"",PERIPHERAL!$H$3:$H$954,""),"Utilities",_xlfn.XLOOKUP($K306&amp;"",UTILITIES!$B$3:$B$953&amp;"",UTILITIES!$G$3:$G$953,""),"IOT",_xlfn.XLOOKUP($K306&amp;"",IOT!$B$3:$B$1012&amp;"",IOT!$H$3:$H$1012,""),"Server",_xlfn.XLOOKUP($K306&amp;"",SERVER!$B$3:$B$1009&amp;"",SERVER!$H$3:$H$1009,""),""),IF(TRIM(_xlpm.srcCat)&lt;&gt;TRIM($J306),"",_xlfn.SWITCH($I306,"Computer",_xlfn.XLOOKUP($K306&amp;"",COMPUTER!$B$3:$B$1009&amp;"",COMPUTER!$AM$3:$AM$1009,""),"Display",_xlfn.XLOOKUP($K306&amp;"",DISPLAY!$B$3:$B$1000&amp;"",DISPLAY!$V$3:$V$1000,""),"Network Device",_xlfn.XLOOKUP($K306&amp;"",'NETWORK-DEVICES'!$B$3:$B$987&amp;"",'NETWORK-DEVICES'!$AF$3:$AF$987,""),"Peripheral",_xlfn.XLOOKUP($K306&amp;"",PERIPHERAL!$B$3:$B$954&amp;"",PERIPHERAL!$Y$3:$Y$954,""),"Utilities",_xlfn.XLOOKUP($K306&amp;"",UTILITIES!$B$3:$B$953&amp;"",UTILITIES!$O$3:$O$953,""),"IOT",_xlfn.XLOOKUP($K306&amp;"",IOT!$B$3:$B$1012&amp;"",IOT!$AB$3:$AB$1012,""),"Server",_xlfn.XLOOKUP($K306&amp;"",SERVER!$B$3:$B$1009&amp;"",SERVER!$AB$3:$AB$1009,""),""))))</f>
        <v/>
      </c>
      <c r="R306" s="43" t="str">
        <f>IF(tbl_handover[[#This Row],[Asset Code]]="","",COUNTIF(tbl_handover[Asset Code],tbl_handover[[#This Row],[Asset Code]]))</f>
        <v/>
      </c>
    </row>
    <row r="307" spans="1:18" x14ac:dyDescent="0.25">
      <c r="A307" s="43" t="str">
        <f>IF(B307&lt;&gt;"",SUBTOTAL(3,$B$1:B306),"")</f>
        <v/>
      </c>
      <c r="C307" s="74"/>
      <c r="D307" s="74"/>
      <c r="G307" s="1"/>
      <c r="K307" s="42"/>
      <c r="L307" t="str" cm="1">
        <f t="array" ref="L307">IF($K307="","",_xlfn.SWITCH($I307,"Computer",_xlfn.XLOOKUP($K307&amp;"",COMPUTER!$B$3:$B$1009&amp;"",COMPUTER!$I$3:$I$1009,""),"Display",_xlfn.XLOOKUP($K307&amp;"",DISPLAY!$B$3:$B$1000&amp;"",DISPLAY!$J$3:$J$1000,""),"Network Device",_xlfn.XLOOKUP($K307&amp;"",'NETWORK-DEVICES'!$B$3:$B$987&amp;"",'NETWORK-DEVICES'!$I$3:$I$987,""),"Peripheral",_xlfn.XLOOKUP($K307&amp;"",PERIPHERAL!$B$3:$B$954&amp;"",PERIPHERAL!$I$3:$I$954,""),"Utilities",_xlfn.XLOOKUP($K307&amp;"",UTILITIES!$B$3:$B$953&amp;"",UTILITIES!$H$3:$H$953,""),"IOT",_xlfn.XLOOKUP($K307&amp;"",IOT!$B$3:$B$1012&amp;"",IOT!$I$3:$I$1012,""),"SERVER",_xlfn.XLOOKUP($K307&amp;"",SERVER!$B$3:$B$1009&amp;"",SERVER!$I$3:$I$1009,""),""))</f>
        <v/>
      </c>
      <c r="M307" t="str" cm="1">
        <f t="array" ref="M307">IF($K307="","",_xlfn.SWITCH($I307,"Computer",_xlfn.XLOOKUP($K307&amp;"",COMPUTER!$B$3:$B$1009&amp;"",COMPUTER!$J$3:$J$1009,""),"Display",_xlfn.XLOOKUP($K307&amp;"",DISPLAY!$B$3:$B$1000&amp;"",DISPLAY!$K$3:$K$1000,""),"Network Device",_xlfn.XLOOKUP($K307&amp;"",'NETWORK-DEVICES'!$B$3:$B$987&amp;"",'NETWORK-DEVICES'!$I$3:$I$987,""),"Peripheral",_xlfn.XLOOKUP($K307&amp;"",PERIPHERAL!$B$3:$B$954&amp;"",PERIPHERAL!$J$3:$J$954,""),"Utilities",_xlfn.XLOOKUP($K307&amp;"",UTILITIES!$B$3:$B$953&amp;"",UTILITIES!$I$3:$I$953,""),"IOT",_xlfn.XLOOKUP($K307&amp;"",IOT!$B$3:$B$1012&amp;"",IOT!$J$3:$J$1012,""),"Server",_xlfn.XLOOKUP($K307&amp;"",SERVER!$B$3:$B$1009&amp;"",SERVER!$J$3:$J$1009,""),""))</f>
        <v/>
      </c>
      <c r="N307" s="1" t="str" cm="1">
        <f t="array" ref="N307">IF(OR($K307="",$I307="",$J307=""),"",_xlfn.LET(_xlpm.srcCat,_xlfn.SWITCH($I307,"Computer",_xlfn.XLOOKUP($K307&amp;"",COMPUTER!$B$3:$B$1009&amp;"",COMPUTER!$H$3:$H$1009,""),"Display",_xlfn.XLOOKUP($K307&amp;"",DISPLAY!$B$3:$B$1000&amp;"",DISPLAY!$H$3:$H$1000,""),"Network Device",_xlfn.XLOOKUP($K307&amp;"",'NETWORK-DEVICES'!$B$3:$B$987&amp;"",'NETWORK-DEVICES'!$H$3:$H$987,""),"Peripheral",_xlfn.XLOOKUP($K307&amp;"",PERIPHERAL!$B$3:$B$954&amp;"",PERIPHERAL!$H$3:$H$954,""),"Utilities",_xlfn.XLOOKUP($K307&amp;"",UTILITIES!$B$3:$B$953&amp;"",UTILITIES!$G$3:$G$953,""),"IOT",_xlfn.XLOOKUP($K307&amp;"",IOT!$B$3:$B$1012&amp;"",IOT!$H$3:$H$1012,""),"Server",_xlfn.XLOOKUP($K307&amp;"",SERVER!$B$3:$B$1009&amp;"",SERVER!$H$3:$H$1009,""),""),IF(TRIM(_xlpm.srcCat)&lt;&gt;TRIM($J307),"",_xlfn.SWITCH($I307,"Computer",_xlfn.XLOOKUP($K307&amp;"",COMPUTER!$B$3:$B$1009&amp;"",COMPUTER!$K$3:$K$1009,""),"Display",_xlfn.XLOOKUP($K307&amp;"",DISPLAY!$B$3:$B$1000&amp;"",DISPLAY!$L$3:$L$1000,""),"Network Device",_xlfn.XLOOKUP($K307&amp;"",'NETWORK-DEVICES'!$B$3:$B$987&amp;"",'NETWORK-DEVICES'!$K$3:$K$987,""),"Peripheral",_xlfn.XLOOKUP($K307&amp;"",PERIPHERAL!$B$3:$B$954&amp;"",PERIPHERAL!$K$3:$K$954,""),"Utilities",_xlfn.XLOOKUP($K307&amp;"",UTILITIES!$B$3:$B$953&amp;"",UTILITIES!$J$3:$J$953,""),"IOT",_xlfn.XLOOKUP($K307&amp;"",IOT!$B$3:$B$1012&amp;"",IOT!$K$4:$K$1012,""),"Server",_xlfn.XLOOKUP($K307&amp;"",SERVER!$B$3:$B$1009&amp;"",SERVER!$K$3:$K$1009,""),""))))</f>
        <v/>
      </c>
      <c r="O307" s="1" t="str" cm="1">
        <f t="array" ref="O307">IF(OR($K307="",$I307="",$J307=""),"",_xlfn.LET(_xlpm.srcCat,_xlfn.SWITCH($I307,"Computer",_xlfn.XLOOKUP($K307&amp;"",COMPUTER!$B$3:$B$1009&amp;"",COMPUTER!$H$3:$H$1009,""),"Display",_xlfn.XLOOKUP($K307&amp;"",DISPLAY!$B$3:$B$1000&amp;"",DISPLAY!$H$3:$H$1000,""),"Network Device",_xlfn.XLOOKUP($K307&amp;"",'NETWORK-DEVICES'!$B$3:$B$987&amp;"",'NETWORK-DEVICES'!$H$3:$H$987,""),"Peripheral",_xlfn.XLOOKUP($K307&amp;"",PERIPHERAL!$B$3:$B$954&amp;"",PERIPHERAL!$H$3:$H$954,""),"Utilities",_xlfn.XLOOKUP($K307&amp;"",UTILITIES!$B$3:$B$953&amp;"",UTILITIES!$G$3:$G$953,""),"IOT",_xlfn.XLOOKUP($K307&amp;"",IOT!$B$3:$B$1012&amp;"",IOT!$H$3:$H$1012,""),"Server",_xlfn.XLOOKUP($K307&amp;"",SERVER!$B$3:$B$1009&amp;"",SERVER!$H$3:$H$1009,""),""),IF(TRIM(_xlpm.srcCat)&lt;&gt;TRIM($J307),"",_xlfn.SWITCH($I307,"Computer",_xlfn.XLOOKUP($K307&amp;"",COMPUTER!$B$3:$B$1009&amp;"",COMPUTER!$E$3:$E$1009,""),"Display",_xlfn.XLOOKUP($K307&amp;"",DISPLAY!$B$3:$B$1000&amp;"",DISPLAY!$E$3:$E$1000,""),"Network Device",_xlfn.XLOOKUP($K307&amp;"",'NETWORK-DEVICES'!$B$3:$B$987&amp;"",'NETWORK-DEVICES'!$E$3:$E$987,""),"Peripheral",_xlfn.XLOOKUP($K307&amp;"",PERIPHERAL!$B$3:$B$954&amp;"",PERIPHERAL!$E$3:$E$954,""),"Utilities",_xlfn.XLOOKUP($K307&amp;"",UTILITIES!$B$3:$B$953&amp;"",UTILITIES!$E$3:$E$953,""),"IOT",_xlfn.XLOOKUP($K307&amp;"",IOT!$B$3:$B$1012&amp;"",IOT!$E$3:$E$1012,""),"Server",_xlfn.XLOOKUP($K307&amp;"",SERVER!$B$3:$B$1009&amp;"",SERVER!$E$3:$E$1009,""),""))))</f>
        <v/>
      </c>
      <c r="Q307" s="1" t="str" cm="1">
        <f t="array" ref="Q307">IF(OR($K307="",$I307="",$J307=""),"",_xlfn.LET(_xlpm.srcCat,_xlfn.SWITCH($I307,"Computer",_xlfn.XLOOKUP($K307&amp;"",COMPUTER!$B$3:$B$1009&amp;"",COMPUTER!$H$3:$H$1009,""),"Display",_xlfn.XLOOKUP($K307&amp;"",DISPLAY!$B$3:$B$1000&amp;"",DISPLAY!$H$3:$H$1000,""),"Network Device",_xlfn.XLOOKUP($K307&amp;"",'NETWORK-DEVICES'!$B$3:$B$987&amp;"",'NETWORK-DEVICES'!$H$3:$H$987,""),"Peripheral",_xlfn.XLOOKUP($K307&amp;"",PERIPHERAL!$B$3:$B$954&amp;"",PERIPHERAL!$H$3:$H$954,""),"Utilities",_xlfn.XLOOKUP($K307&amp;"",UTILITIES!$B$3:$B$953&amp;"",UTILITIES!$G$3:$G$953,""),"IOT",_xlfn.XLOOKUP($K307&amp;"",IOT!$B$3:$B$1012&amp;"",IOT!$H$3:$H$1012,""),"Server",_xlfn.XLOOKUP($K307&amp;"",SERVER!$B$3:$B$1009&amp;"",SERVER!$H$3:$H$1009,""),""),IF(TRIM(_xlpm.srcCat)&lt;&gt;TRIM($J307),"",_xlfn.SWITCH($I307,"Computer",_xlfn.XLOOKUP($K307&amp;"",COMPUTER!$B$3:$B$1009&amp;"",COMPUTER!$AM$3:$AM$1009,""),"Display",_xlfn.XLOOKUP($K307&amp;"",DISPLAY!$B$3:$B$1000&amp;"",DISPLAY!$V$3:$V$1000,""),"Network Device",_xlfn.XLOOKUP($K307&amp;"",'NETWORK-DEVICES'!$B$3:$B$987&amp;"",'NETWORK-DEVICES'!$AF$3:$AF$987,""),"Peripheral",_xlfn.XLOOKUP($K307&amp;"",PERIPHERAL!$B$3:$B$954&amp;"",PERIPHERAL!$Y$3:$Y$954,""),"Utilities",_xlfn.XLOOKUP($K307&amp;"",UTILITIES!$B$3:$B$953&amp;"",UTILITIES!$O$3:$O$953,""),"IOT",_xlfn.XLOOKUP($K307&amp;"",IOT!$B$3:$B$1012&amp;"",IOT!$AB$3:$AB$1012,""),"Server",_xlfn.XLOOKUP($K307&amp;"",SERVER!$B$3:$B$1009&amp;"",SERVER!$AB$3:$AB$1009,""),""))))</f>
        <v/>
      </c>
      <c r="R307" s="43" t="str">
        <f>IF(tbl_handover[[#This Row],[Asset Code]]="","",COUNTIF(tbl_handover[Asset Code],tbl_handover[[#This Row],[Asset Code]]))</f>
        <v/>
      </c>
    </row>
    <row r="308" spans="1:18" x14ac:dyDescent="0.25">
      <c r="A308" s="43" t="str">
        <f>IF(B308&lt;&gt;"",SUBTOTAL(3,$B$1:B307),"")</f>
        <v/>
      </c>
      <c r="C308" s="74"/>
      <c r="D308" s="74"/>
      <c r="G308" s="1"/>
      <c r="K308" s="42"/>
      <c r="L308" t="str" cm="1">
        <f t="array" ref="L308">IF($K308="","",_xlfn.SWITCH($I308,"Computer",_xlfn.XLOOKUP($K308&amp;"",COMPUTER!$B$3:$B$1009&amp;"",COMPUTER!$I$3:$I$1009,""),"Display",_xlfn.XLOOKUP($K308&amp;"",DISPLAY!$B$3:$B$1000&amp;"",DISPLAY!$J$3:$J$1000,""),"Network Device",_xlfn.XLOOKUP($K308&amp;"",'NETWORK-DEVICES'!$B$3:$B$987&amp;"",'NETWORK-DEVICES'!$I$3:$I$987,""),"Peripheral",_xlfn.XLOOKUP($K308&amp;"",PERIPHERAL!$B$3:$B$954&amp;"",PERIPHERAL!$I$3:$I$954,""),"Utilities",_xlfn.XLOOKUP($K308&amp;"",UTILITIES!$B$3:$B$953&amp;"",UTILITIES!$H$3:$H$953,""),"IOT",_xlfn.XLOOKUP($K308&amp;"",IOT!$B$3:$B$1012&amp;"",IOT!$I$3:$I$1012,""),"SERVER",_xlfn.XLOOKUP($K308&amp;"",SERVER!$B$3:$B$1009&amp;"",SERVER!$I$3:$I$1009,""),""))</f>
        <v/>
      </c>
      <c r="M308" t="str" cm="1">
        <f t="array" ref="M308">IF($K308="","",_xlfn.SWITCH($I308,"Computer",_xlfn.XLOOKUP($K308&amp;"",COMPUTER!$B$3:$B$1009&amp;"",COMPUTER!$J$3:$J$1009,""),"Display",_xlfn.XLOOKUP($K308&amp;"",DISPLAY!$B$3:$B$1000&amp;"",DISPLAY!$K$3:$K$1000,""),"Network Device",_xlfn.XLOOKUP($K308&amp;"",'NETWORK-DEVICES'!$B$3:$B$987&amp;"",'NETWORK-DEVICES'!$I$3:$I$987,""),"Peripheral",_xlfn.XLOOKUP($K308&amp;"",PERIPHERAL!$B$3:$B$954&amp;"",PERIPHERAL!$J$3:$J$954,""),"Utilities",_xlfn.XLOOKUP($K308&amp;"",UTILITIES!$B$3:$B$953&amp;"",UTILITIES!$I$3:$I$953,""),"IOT",_xlfn.XLOOKUP($K308&amp;"",IOT!$B$3:$B$1012&amp;"",IOT!$J$3:$J$1012,""),"Server",_xlfn.XLOOKUP($K308&amp;"",SERVER!$B$3:$B$1009&amp;"",SERVER!$J$3:$J$1009,""),""))</f>
        <v/>
      </c>
      <c r="N308" s="1" t="str" cm="1">
        <f t="array" ref="N308">IF(OR($K308="",$I308="",$J308=""),"",_xlfn.LET(_xlpm.srcCat,_xlfn.SWITCH($I308,"Computer",_xlfn.XLOOKUP($K308&amp;"",COMPUTER!$B$3:$B$1009&amp;"",COMPUTER!$H$3:$H$1009,""),"Display",_xlfn.XLOOKUP($K308&amp;"",DISPLAY!$B$3:$B$1000&amp;"",DISPLAY!$H$3:$H$1000,""),"Network Device",_xlfn.XLOOKUP($K308&amp;"",'NETWORK-DEVICES'!$B$3:$B$987&amp;"",'NETWORK-DEVICES'!$H$3:$H$987,""),"Peripheral",_xlfn.XLOOKUP($K308&amp;"",PERIPHERAL!$B$3:$B$954&amp;"",PERIPHERAL!$H$3:$H$954,""),"Utilities",_xlfn.XLOOKUP($K308&amp;"",UTILITIES!$B$3:$B$953&amp;"",UTILITIES!$G$3:$G$953,""),"IOT",_xlfn.XLOOKUP($K308&amp;"",IOT!$B$3:$B$1012&amp;"",IOT!$H$3:$H$1012,""),"Server",_xlfn.XLOOKUP($K308&amp;"",SERVER!$B$3:$B$1009&amp;"",SERVER!$H$3:$H$1009,""),""),IF(TRIM(_xlpm.srcCat)&lt;&gt;TRIM($J308),"",_xlfn.SWITCH($I308,"Computer",_xlfn.XLOOKUP($K308&amp;"",COMPUTER!$B$3:$B$1009&amp;"",COMPUTER!$K$3:$K$1009,""),"Display",_xlfn.XLOOKUP($K308&amp;"",DISPLAY!$B$3:$B$1000&amp;"",DISPLAY!$L$3:$L$1000,""),"Network Device",_xlfn.XLOOKUP($K308&amp;"",'NETWORK-DEVICES'!$B$3:$B$987&amp;"",'NETWORK-DEVICES'!$K$3:$K$987,""),"Peripheral",_xlfn.XLOOKUP($K308&amp;"",PERIPHERAL!$B$3:$B$954&amp;"",PERIPHERAL!$K$3:$K$954,""),"Utilities",_xlfn.XLOOKUP($K308&amp;"",UTILITIES!$B$3:$B$953&amp;"",UTILITIES!$J$3:$J$953,""),"IOT",_xlfn.XLOOKUP($K308&amp;"",IOT!$B$3:$B$1012&amp;"",IOT!$K$4:$K$1012,""),"Server",_xlfn.XLOOKUP($K308&amp;"",SERVER!$B$3:$B$1009&amp;"",SERVER!$K$3:$K$1009,""),""))))</f>
        <v/>
      </c>
      <c r="O308" s="1" t="str" cm="1">
        <f t="array" ref="O308">IF(OR($K308="",$I308="",$J308=""),"",_xlfn.LET(_xlpm.srcCat,_xlfn.SWITCH($I308,"Computer",_xlfn.XLOOKUP($K308&amp;"",COMPUTER!$B$3:$B$1009&amp;"",COMPUTER!$H$3:$H$1009,""),"Display",_xlfn.XLOOKUP($K308&amp;"",DISPLAY!$B$3:$B$1000&amp;"",DISPLAY!$H$3:$H$1000,""),"Network Device",_xlfn.XLOOKUP($K308&amp;"",'NETWORK-DEVICES'!$B$3:$B$987&amp;"",'NETWORK-DEVICES'!$H$3:$H$987,""),"Peripheral",_xlfn.XLOOKUP($K308&amp;"",PERIPHERAL!$B$3:$B$954&amp;"",PERIPHERAL!$H$3:$H$954,""),"Utilities",_xlfn.XLOOKUP($K308&amp;"",UTILITIES!$B$3:$B$953&amp;"",UTILITIES!$G$3:$G$953,""),"IOT",_xlfn.XLOOKUP($K308&amp;"",IOT!$B$3:$B$1012&amp;"",IOT!$H$3:$H$1012,""),"Server",_xlfn.XLOOKUP($K308&amp;"",SERVER!$B$3:$B$1009&amp;"",SERVER!$H$3:$H$1009,""),""),IF(TRIM(_xlpm.srcCat)&lt;&gt;TRIM($J308),"",_xlfn.SWITCH($I308,"Computer",_xlfn.XLOOKUP($K308&amp;"",COMPUTER!$B$3:$B$1009&amp;"",COMPUTER!$E$3:$E$1009,""),"Display",_xlfn.XLOOKUP($K308&amp;"",DISPLAY!$B$3:$B$1000&amp;"",DISPLAY!$E$3:$E$1000,""),"Network Device",_xlfn.XLOOKUP($K308&amp;"",'NETWORK-DEVICES'!$B$3:$B$987&amp;"",'NETWORK-DEVICES'!$E$3:$E$987,""),"Peripheral",_xlfn.XLOOKUP($K308&amp;"",PERIPHERAL!$B$3:$B$954&amp;"",PERIPHERAL!$E$3:$E$954,""),"Utilities",_xlfn.XLOOKUP($K308&amp;"",UTILITIES!$B$3:$B$953&amp;"",UTILITIES!$E$3:$E$953,""),"IOT",_xlfn.XLOOKUP($K308&amp;"",IOT!$B$3:$B$1012&amp;"",IOT!$E$3:$E$1012,""),"Server",_xlfn.XLOOKUP($K308&amp;"",SERVER!$B$3:$B$1009&amp;"",SERVER!$E$3:$E$1009,""),""))))</f>
        <v/>
      </c>
      <c r="Q308" s="1" t="str" cm="1">
        <f t="array" ref="Q308">IF(OR($K308="",$I308="",$J308=""),"",_xlfn.LET(_xlpm.srcCat,_xlfn.SWITCH($I308,"Computer",_xlfn.XLOOKUP($K308&amp;"",COMPUTER!$B$3:$B$1009&amp;"",COMPUTER!$H$3:$H$1009,""),"Display",_xlfn.XLOOKUP($K308&amp;"",DISPLAY!$B$3:$B$1000&amp;"",DISPLAY!$H$3:$H$1000,""),"Network Device",_xlfn.XLOOKUP($K308&amp;"",'NETWORK-DEVICES'!$B$3:$B$987&amp;"",'NETWORK-DEVICES'!$H$3:$H$987,""),"Peripheral",_xlfn.XLOOKUP($K308&amp;"",PERIPHERAL!$B$3:$B$954&amp;"",PERIPHERAL!$H$3:$H$954,""),"Utilities",_xlfn.XLOOKUP($K308&amp;"",UTILITIES!$B$3:$B$953&amp;"",UTILITIES!$G$3:$G$953,""),"IOT",_xlfn.XLOOKUP($K308&amp;"",IOT!$B$3:$B$1012&amp;"",IOT!$H$3:$H$1012,""),"Server",_xlfn.XLOOKUP($K308&amp;"",SERVER!$B$3:$B$1009&amp;"",SERVER!$H$3:$H$1009,""),""),IF(TRIM(_xlpm.srcCat)&lt;&gt;TRIM($J308),"",_xlfn.SWITCH($I308,"Computer",_xlfn.XLOOKUP($K308&amp;"",COMPUTER!$B$3:$B$1009&amp;"",COMPUTER!$AM$3:$AM$1009,""),"Display",_xlfn.XLOOKUP($K308&amp;"",DISPLAY!$B$3:$B$1000&amp;"",DISPLAY!$V$3:$V$1000,""),"Network Device",_xlfn.XLOOKUP($K308&amp;"",'NETWORK-DEVICES'!$B$3:$B$987&amp;"",'NETWORK-DEVICES'!$AF$3:$AF$987,""),"Peripheral",_xlfn.XLOOKUP($K308&amp;"",PERIPHERAL!$B$3:$B$954&amp;"",PERIPHERAL!$Y$3:$Y$954,""),"Utilities",_xlfn.XLOOKUP($K308&amp;"",UTILITIES!$B$3:$B$953&amp;"",UTILITIES!$O$3:$O$953,""),"IOT",_xlfn.XLOOKUP($K308&amp;"",IOT!$B$3:$B$1012&amp;"",IOT!$AB$3:$AB$1012,""),"Server",_xlfn.XLOOKUP($K308&amp;"",SERVER!$B$3:$B$1009&amp;"",SERVER!$AB$3:$AB$1009,""),""))))</f>
        <v/>
      </c>
      <c r="R308" s="43" t="str">
        <f>IF(tbl_handover[[#This Row],[Asset Code]]="","",COUNTIF(tbl_handover[Asset Code],tbl_handover[[#This Row],[Asset Code]]))</f>
        <v/>
      </c>
    </row>
    <row r="309" spans="1:18" x14ac:dyDescent="0.25">
      <c r="A309" s="43" t="str">
        <f>IF(B309&lt;&gt;"",SUBTOTAL(3,$B$1:B308),"")</f>
        <v/>
      </c>
      <c r="C309" s="74"/>
      <c r="D309" s="74"/>
      <c r="G309" s="1"/>
      <c r="K309" s="42"/>
      <c r="L309" t="str" cm="1">
        <f t="array" ref="L309">IF($K309="","",_xlfn.SWITCH($I309,"Computer",_xlfn.XLOOKUP($K309&amp;"",COMPUTER!$B$3:$B$1009&amp;"",COMPUTER!$I$3:$I$1009,""),"Display",_xlfn.XLOOKUP($K309&amp;"",DISPLAY!$B$3:$B$1000&amp;"",DISPLAY!$J$3:$J$1000,""),"Network Device",_xlfn.XLOOKUP($K309&amp;"",'NETWORK-DEVICES'!$B$3:$B$987&amp;"",'NETWORK-DEVICES'!$I$3:$I$987,""),"Peripheral",_xlfn.XLOOKUP($K309&amp;"",PERIPHERAL!$B$3:$B$954&amp;"",PERIPHERAL!$I$3:$I$954,""),"Utilities",_xlfn.XLOOKUP($K309&amp;"",UTILITIES!$B$3:$B$953&amp;"",UTILITIES!$H$3:$H$953,""),"IOT",_xlfn.XLOOKUP($K309&amp;"",IOT!$B$3:$B$1012&amp;"",IOT!$I$3:$I$1012,""),"SERVER",_xlfn.XLOOKUP($K309&amp;"",SERVER!$B$3:$B$1009&amp;"",SERVER!$I$3:$I$1009,""),""))</f>
        <v/>
      </c>
      <c r="M309" t="str" cm="1">
        <f t="array" ref="M309">IF($K309="","",_xlfn.SWITCH($I309,"Computer",_xlfn.XLOOKUP($K309&amp;"",COMPUTER!$B$3:$B$1009&amp;"",COMPUTER!$J$3:$J$1009,""),"Display",_xlfn.XLOOKUP($K309&amp;"",DISPLAY!$B$3:$B$1000&amp;"",DISPLAY!$K$3:$K$1000,""),"Network Device",_xlfn.XLOOKUP($K309&amp;"",'NETWORK-DEVICES'!$B$3:$B$987&amp;"",'NETWORK-DEVICES'!$I$3:$I$987,""),"Peripheral",_xlfn.XLOOKUP($K309&amp;"",PERIPHERAL!$B$3:$B$954&amp;"",PERIPHERAL!$J$3:$J$954,""),"Utilities",_xlfn.XLOOKUP($K309&amp;"",UTILITIES!$B$3:$B$953&amp;"",UTILITIES!$I$3:$I$953,""),"IOT",_xlfn.XLOOKUP($K309&amp;"",IOT!$B$3:$B$1012&amp;"",IOT!$J$3:$J$1012,""),"Server",_xlfn.XLOOKUP($K309&amp;"",SERVER!$B$3:$B$1009&amp;"",SERVER!$J$3:$J$1009,""),""))</f>
        <v/>
      </c>
      <c r="N309" s="1" t="str" cm="1">
        <f t="array" ref="N309">IF(OR($K309="",$I309="",$J309=""),"",_xlfn.LET(_xlpm.srcCat,_xlfn.SWITCH($I309,"Computer",_xlfn.XLOOKUP($K309&amp;"",COMPUTER!$B$3:$B$1009&amp;"",COMPUTER!$H$3:$H$1009,""),"Display",_xlfn.XLOOKUP($K309&amp;"",DISPLAY!$B$3:$B$1000&amp;"",DISPLAY!$H$3:$H$1000,""),"Network Device",_xlfn.XLOOKUP($K309&amp;"",'NETWORK-DEVICES'!$B$3:$B$987&amp;"",'NETWORK-DEVICES'!$H$3:$H$987,""),"Peripheral",_xlfn.XLOOKUP($K309&amp;"",PERIPHERAL!$B$3:$B$954&amp;"",PERIPHERAL!$H$3:$H$954,""),"Utilities",_xlfn.XLOOKUP($K309&amp;"",UTILITIES!$B$3:$B$953&amp;"",UTILITIES!$G$3:$G$953,""),"IOT",_xlfn.XLOOKUP($K309&amp;"",IOT!$B$3:$B$1012&amp;"",IOT!$H$3:$H$1012,""),"Server",_xlfn.XLOOKUP($K309&amp;"",SERVER!$B$3:$B$1009&amp;"",SERVER!$H$3:$H$1009,""),""),IF(TRIM(_xlpm.srcCat)&lt;&gt;TRIM($J309),"",_xlfn.SWITCH($I309,"Computer",_xlfn.XLOOKUP($K309&amp;"",COMPUTER!$B$3:$B$1009&amp;"",COMPUTER!$K$3:$K$1009,""),"Display",_xlfn.XLOOKUP($K309&amp;"",DISPLAY!$B$3:$B$1000&amp;"",DISPLAY!$L$3:$L$1000,""),"Network Device",_xlfn.XLOOKUP($K309&amp;"",'NETWORK-DEVICES'!$B$3:$B$987&amp;"",'NETWORK-DEVICES'!$K$3:$K$987,""),"Peripheral",_xlfn.XLOOKUP($K309&amp;"",PERIPHERAL!$B$3:$B$954&amp;"",PERIPHERAL!$K$3:$K$954,""),"Utilities",_xlfn.XLOOKUP($K309&amp;"",UTILITIES!$B$3:$B$953&amp;"",UTILITIES!$J$3:$J$953,""),"IOT",_xlfn.XLOOKUP($K309&amp;"",IOT!$B$3:$B$1012&amp;"",IOT!$K$4:$K$1012,""),"Server",_xlfn.XLOOKUP($K309&amp;"",SERVER!$B$3:$B$1009&amp;"",SERVER!$K$3:$K$1009,""),""))))</f>
        <v/>
      </c>
      <c r="O309" s="1" t="str" cm="1">
        <f t="array" ref="O309">IF(OR($K309="",$I309="",$J309=""),"",_xlfn.LET(_xlpm.srcCat,_xlfn.SWITCH($I309,"Computer",_xlfn.XLOOKUP($K309&amp;"",COMPUTER!$B$3:$B$1009&amp;"",COMPUTER!$H$3:$H$1009,""),"Display",_xlfn.XLOOKUP($K309&amp;"",DISPLAY!$B$3:$B$1000&amp;"",DISPLAY!$H$3:$H$1000,""),"Network Device",_xlfn.XLOOKUP($K309&amp;"",'NETWORK-DEVICES'!$B$3:$B$987&amp;"",'NETWORK-DEVICES'!$H$3:$H$987,""),"Peripheral",_xlfn.XLOOKUP($K309&amp;"",PERIPHERAL!$B$3:$B$954&amp;"",PERIPHERAL!$H$3:$H$954,""),"Utilities",_xlfn.XLOOKUP($K309&amp;"",UTILITIES!$B$3:$B$953&amp;"",UTILITIES!$G$3:$G$953,""),"IOT",_xlfn.XLOOKUP($K309&amp;"",IOT!$B$3:$B$1012&amp;"",IOT!$H$3:$H$1012,""),"Server",_xlfn.XLOOKUP($K309&amp;"",SERVER!$B$3:$B$1009&amp;"",SERVER!$H$3:$H$1009,""),""),IF(TRIM(_xlpm.srcCat)&lt;&gt;TRIM($J309),"",_xlfn.SWITCH($I309,"Computer",_xlfn.XLOOKUP($K309&amp;"",COMPUTER!$B$3:$B$1009&amp;"",COMPUTER!$E$3:$E$1009,""),"Display",_xlfn.XLOOKUP($K309&amp;"",DISPLAY!$B$3:$B$1000&amp;"",DISPLAY!$E$3:$E$1000,""),"Network Device",_xlfn.XLOOKUP($K309&amp;"",'NETWORK-DEVICES'!$B$3:$B$987&amp;"",'NETWORK-DEVICES'!$E$3:$E$987,""),"Peripheral",_xlfn.XLOOKUP($K309&amp;"",PERIPHERAL!$B$3:$B$954&amp;"",PERIPHERAL!$E$3:$E$954,""),"Utilities",_xlfn.XLOOKUP($K309&amp;"",UTILITIES!$B$3:$B$953&amp;"",UTILITIES!$E$3:$E$953,""),"IOT",_xlfn.XLOOKUP($K309&amp;"",IOT!$B$3:$B$1012&amp;"",IOT!$E$3:$E$1012,""),"Server",_xlfn.XLOOKUP($K309&amp;"",SERVER!$B$3:$B$1009&amp;"",SERVER!$E$3:$E$1009,""),""))))</f>
        <v/>
      </c>
      <c r="Q309" s="1" t="str" cm="1">
        <f t="array" ref="Q309">IF(OR($K309="",$I309="",$J309=""),"",_xlfn.LET(_xlpm.srcCat,_xlfn.SWITCH($I309,"Computer",_xlfn.XLOOKUP($K309&amp;"",COMPUTER!$B$3:$B$1009&amp;"",COMPUTER!$H$3:$H$1009,""),"Display",_xlfn.XLOOKUP($K309&amp;"",DISPLAY!$B$3:$B$1000&amp;"",DISPLAY!$H$3:$H$1000,""),"Network Device",_xlfn.XLOOKUP($K309&amp;"",'NETWORK-DEVICES'!$B$3:$B$987&amp;"",'NETWORK-DEVICES'!$H$3:$H$987,""),"Peripheral",_xlfn.XLOOKUP($K309&amp;"",PERIPHERAL!$B$3:$B$954&amp;"",PERIPHERAL!$H$3:$H$954,""),"Utilities",_xlfn.XLOOKUP($K309&amp;"",UTILITIES!$B$3:$B$953&amp;"",UTILITIES!$G$3:$G$953,""),"IOT",_xlfn.XLOOKUP($K309&amp;"",IOT!$B$3:$B$1012&amp;"",IOT!$H$3:$H$1012,""),"Server",_xlfn.XLOOKUP($K309&amp;"",SERVER!$B$3:$B$1009&amp;"",SERVER!$H$3:$H$1009,""),""),IF(TRIM(_xlpm.srcCat)&lt;&gt;TRIM($J309),"",_xlfn.SWITCH($I309,"Computer",_xlfn.XLOOKUP($K309&amp;"",COMPUTER!$B$3:$B$1009&amp;"",COMPUTER!$AM$3:$AM$1009,""),"Display",_xlfn.XLOOKUP($K309&amp;"",DISPLAY!$B$3:$B$1000&amp;"",DISPLAY!$V$3:$V$1000,""),"Network Device",_xlfn.XLOOKUP($K309&amp;"",'NETWORK-DEVICES'!$B$3:$B$987&amp;"",'NETWORK-DEVICES'!$AF$3:$AF$987,""),"Peripheral",_xlfn.XLOOKUP($K309&amp;"",PERIPHERAL!$B$3:$B$954&amp;"",PERIPHERAL!$Y$3:$Y$954,""),"Utilities",_xlfn.XLOOKUP($K309&amp;"",UTILITIES!$B$3:$B$953&amp;"",UTILITIES!$O$3:$O$953,""),"IOT",_xlfn.XLOOKUP($K309&amp;"",IOT!$B$3:$B$1012&amp;"",IOT!$AB$3:$AB$1012,""),"Server",_xlfn.XLOOKUP($K309&amp;"",SERVER!$B$3:$B$1009&amp;"",SERVER!$AB$3:$AB$1009,""),""))))</f>
        <v/>
      </c>
      <c r="R309" s="43" t="str">
        <f>IF(tbl_handover[[#This Row],[Asset Code]]="","",COUNTIF(tbl_handover[Asset Code],tbl_handover[[#This Row],[Asset Code]]))</f>
        <v/>
      </c>
    </row>
    <row r="310" spans="1:18" x14ac:dyDescent="0.25">
      <c r="A310" s="43" t="str">
        <f>IF(B310&lt;&gt;"",SUBTOTAL(3,$B$1:B309),"")</f>
        <v/>
      </c>
      <c r="C310" s="74"/>
      <c r="D310" s="74"/>
      <c r="G310" s="1"/>
      <c r="K310" s="42"/>
      <c r="L310" t="str" cm="1">
        <f t="array" ref="L310">IF($K310="","",_xlfn.SWITCH($I310,"Computer",_xlfn.XLOOKUP($K310&amp;"",COMPUTER!$B$3:$B$1009&amp;"",COMPUTER!$I$3:$I$1009,""),"Display",_xlfn.XLOOKUP($K310&amp;"",DISPLAY!$B$3:$B$1000&amp;"",DISPLAY!$J$3:$J$1000,""),"Network Device",_xlfn.XLOOKUP($K310&amp;"",'NETWORK-DEVICES'!$B$3:$B$987&amp;"",'NETWORK-DEVICES'!$I$3:$I$987,""),"Peripheral",_xlfn.XLOOKUP($K310&amp;"",PERIPHERAL!$B$3:$B$954&amp;"",PERIPHERAL!$I$3:$I$954,""),"Utilities",_xlfn.XLOOKUP($K310&amp;"",UTILITIES!$B$3:$B$953&amp;"",UTILITIES!$H$3:$H$953,""),"IOT",_xlfn.XLOOKUP($K310&amp;"",IOT!$B$3:$B$1012&amp;"",IOT!$I$3:$I$1012,""),"SERVER",_xlfn.XLOOKUP($K310&amp;"",SERVER!$B$3:$B$1009&amp;"",SERVER!$I$3:$I$1009,""),""))</f>
        <v/>
      </c>
      <c r="M310" t="str" cm="1">
        <f t="array" ref="M310">IF($K310="","",_xlfn.SWITCH($I310,"Computer",_xlfn.XLOOKUP($K310&amp;"",COMPUTER!$B$3:$B$1009&amp;"",COMPUTER!$J$3:$J$1009,""),"Display",_xlfn.XLOOKUP($K310&amp;"",DISPLAY!$B$3:$B$1000&amp;"",DISPLAY!$K$3:$K$1000,""),"Network Device",_xlfn.XLOOKUP($K310&amp;"",'NETWORK-DEVICES'!$B$3:$B$987&amp;"",'NETWORK-DEVICES'!$I$3:$I$987,""),"Peripheral",_xlfn.XLOOKUP($K310&amp;"",PERIPHERAL!$B$3:$B$954&amp;"",PERIPHERAL!$J$3:$J$954,""),"Utilities",_xlfn.XLOOKUP($K310&amp;"",UTILITIES!$B$3:$B$953&amp;"",UTILITIES!$I$3:$I$953,""),"IOT",_xlfn.XLOOKUP($K310&amp;"",IOT!$B$3:$B$1012&amp;"",IOT!$J$3:$J$1012,""),"Server",_xlfn.XLOOKUP($K310&amp;"",SERVER!$B$3:$B$1009&amp;"",SERVER!$J$3:$J$1009,""),""))</f>
        <v/>
      </c>
      <c r="N310" s="1" t="str" cm="1">
        <f t="array" ref="N310">IF(OR($K310="",$I310="",$J310=""),"",_xlfn.LET(_xlpm.srcCat,_xlfn.SWITCH($I310,"Computer",_xlfn.XLOOKUP($K310&amp;"",COMPUTER!$B$3:$B$1009&amp;"",COMPUTER!$H$3:$H$1009,""),"Display",_xlfn.XLOOKUP($K310&amp;"",DISPLAY!$B$3:$B$1000&amp;"",DISPLAY!$H$3:$H$1000,""),"Network Device",_xlfn.XLOOKUP($K310&amp;"",'NETWORK-DEVICES'!$B$3:$B$987&amp;"",'NETWORK-DEVICES'!$H$3:$H$987,""),"Peripheral",_xlfn.XLOOKUP($K310&amp;"",PERIPHERAL!$B$3:$B$954&amp;"",PERIPHERAL!$H$3:$H$954,""),"Utilities",_xlfn.XLOOKUP($K310&amp;"",UTILITIES!$B$3:$B$953&amp;"",UTILITIES!$G$3:$G$953,""),"IOT",_xlfn.XLOOKUP($K310&amp;"",IOT!$B$3:$B$1012&amp;"",IOT!$H$3:$H$1012,""),"Server",_xlfn.XLOOKUP($K310&amp;"",SERVER!$B$3:$B$1009&amp;"",SERVER!$H$3:$H$1009,""),""),IF(TRIM(_xlpm.srcCat)&lt;&gt;TRIM($J310),"",_xlfn.SWITCH($I310,"Computer",_xlfn.XLOOKUP($K310&amp;"",COMPUTER!$B$3:$B$1009&amp;"",COMPUTER!$K$3:$K$1009,""),"Display",_xlfn.XLOOKUP($K310&amp;"",DISPLAY!$B$3:$B$1000&amp;"",DISPLAY!$L$3:$L$1000,""),"Network Device",_xlfn.XLOOKUP($K310&amp;"",'NETWORK-DEVICES'!$B$3:$B$987&amp;"",'NETWORK-DEVICES'!$K$3:$K$987,""),"Peripheral",_xlfn.XLOOKUP($K310&amp;"",PERIPHERAL!$B$3:$B$954&amp;"",PERIPHERAL!$K$3:$K$954,""),"Utilities",_xlfn.XLOOKUP($K310&amp;"",UTILITIES!$B$3:$B$953&amp;"",UTILITIES!$J$3:$J$953,""),"IOT",_xlfn.XLOOKUP($K310&amp;"",IOT!$B$3:$B$1012&amp;"",IOT!$K$4:$K$1012,""),"Server",_xlfn.XLOOKUP($K310&amp;"",SERVER!$B$3:$B$1009&amp;"",SERVER!$K$3:$K$1009,""),""))))</f>
        <v/>
      </c>
      <c r="O310" s="1" t="str" cm="1">
        <f t="array" ref="O310">IF(OR($K310="",$I310="",$J310=""),"",_xlfn.LET(_xlpm.srcCat,_xlfn.SWITCH($I310,"Computer",_xlfn.XLOOKUP($K310&amp;"",COMPUTER!$B$3:$B$1009&amp;"",COMPUTER!$H$3:$H$1009,""),"Display",_xlfn.XLOOKUP($K310&amp;"",DISPLAY!$B$3:$B$1000&amp;"",DISPLAY!$H$3:$H$1000,""),"Network Device",_xlfn.XLOOKUP($K310&amp;"",'NETWORK-DEVICES'!$B$3:$B$987&amp;"",'NETWORK-DEVICES'!$H$3:$H$987,""),"Peripheral",_xlfn.XLOOKUP($K310&amp;"",PERIPHERAL!$B$3:$B$954&amp;"",PERIPHERAL!$H$3:$H$954,""),"Utilities",_xlfn.XLOOKUP($K310&amp;"",UTILITIES!$B$3:$B$953&amp;"",UTILITIES!$G$3:$G$953,""),"IOT",_xlfn.XLOOKUP($K310&amp;"",IOT!$B$3:$B$1012&amp;"",IOT!$H$3:$H$1012,""),"Server",_xlfn.XLOOKUP($K310&amp;"",SERVER!$B$3:$B$1009&amp;"",SERVER!$H$3:$H$1009,""),""),IF(TRIM(_xlpm.srcCat)&lt;&gt;TRIM($J310),"",_xlfn.SWITCH($I310,"Computer",_xlfn.XLOOKUP($K310&amp;"",COMPUTER!$B$3:$B$1009&amp;"",COMPUTER!$E$3:$E$1009,""),"Display",_xlfn.XLOOKUP($K310&amp;"",DISPLAY!$B$3:$B$1000&amp;"",DISPLAY!$E$3:$E$1000,""),"Network Device",_xlfn.XLOOKUP($K310&amp;"",'NETWORK-DEVICES'!$B$3:$B$987&amp;"",'NETWORK-DEVICES'!$E$3:$E$987,""),"Peripheral",_xlfn.XLOOKUP($K310&amp;"",PERIPHERAL!$B$3:$B$954&amp;"",PERIPHERAL!$E$3:$E$954,""),"Utilities",_xlfn.XLOOKUP($K310&amp;"",UTILITIES!$B$3:$B$953&amp;"",UTILITIES!$E$3:$E$953,""),"IOT",_xlfn.XLOOKUP($K310&amp;"",IOT!$B$3:$B$1012&amp;"",IOT!$E$3:$E$1012,""),"Server",_xlfn.XLOOKUP($K310&amp;"",SERVER!$B$3:$B$1009&amp;"",SERVER!$E$3:$E$1009,""),""))))</f>
        <v/>
      </c>
      <c r="Q310" s="1" t="str" cm="1">
        <f t="array" ref="Q310">IF(OR($K310="",$I310="",$J310=""),"",_xlfn.LET(_xlpm.srcCat,_xlfn.SWITCH($I310,"Computer",_xlfn.XLOOKUP($K310&amp;"",COMPUTER!$B$3:$B$1009&amp;"",COMPUTER!$H$3:$H$1009,""),"Display",_xlfn.XLOOKUP($K310&amp;"",DISPLAY!$B$3:$B$1000&amp;"",DISPLAY!$H$3:$H$1000,""),"Network Device",_xlfn.XLOOKUP($K310&amp;"",'NETWORK-DEVICES'!$B$3:$B$987&amp;"",'NETWORK-DEVICES'!$H$3:$H$987,""),"Peripheral",_xlfn.XLOOKUP($K310&amp;"",PERIPHERAL!$B$3:$B$954&amp;"",PERIPHERAL!$H$3:$H$954,""),"Utilities",_xlfn.XLOOKUP($K310&amp;"",UTILITIES!$B$3:$B$953&amp;"",UTILITIES!$G$3:$G$953,""),"IOT",_xlfn.XLOOKUP($K310&amp;"",IOT!$B$3:$B$1012&amp;"",IOT!$H$3:$H$1012,""),"Server",_xlfn.XLOOKUP($K310&amp;"",SERVER!$B$3:$B$1009&amp;"",SERVER!$H$3:$H$1009,""),""),IF(TRIM(_xlpm.srcCat)&lt;&gt;TRIM($J310),"",_xlfn.SWITCH($I310,"Computer",_xlfn.XLOOKUP($K310&amp;"",COMPUTER!$B$3:$B$1009&amp;"",COMPUTER!$AM$3:$AM$1009,""),"Display",_xlfn.XLOOKUP($K310&amp;"",DISPLAY!$B$3:$B$1000&amp;"",DISPLAY!$V$3:$V$1000,""),"Network Device",_xlfn.XLOOKUP($K310&amp;"",'NETWORK-DEVICES'!$B$3:$B$987&amp;"",'NETWORK-DEVICES'!$AF$3:$AF$987,""),"Peripheral",_xlfn.XLOOKUP($K310&amp;"",PERIPHERAL!$B$3:$B$954&amp;"",PERIPHERAL!$Y$3:$Y$954,""),"Utilities",_xlfn.XLOOKUP($K310&amp;"",UTILITIES!$B$3:$B$953&amp;"",UTILITIES!$O$3:$O$953,""),"IOT",_xlfn.XLOOKUP($K310&amp;"",IOT!$B$3:$B$1012&amp;"",IOT!$AB$3:$AB$1012,""),"Server",_xlfn.XLOOKUP($K310&amp;"",SERVER!$B$3:$B$1009&amp;"",SERVER!$AB$3:$AB$1009,""),""))))</f>
        <v/>
      </c>
      <c r="R310" s="43" t="str">
        <f>IF(tbl_handover[[#This Row],[Asset Code]]="","",COUNTIF(tbl_handover[Asset Code],tbl_handover[[#This Row],[Asset Code]]))</f>
        <v/>
      </c>
    </row>
    <row r="311" spans="1:18" x14ac:dyDescent="0.25">
      <c r="A311" s="43" t="str">
        <f>IF(B311&lt;&gt;"",SUBTOTAL(3,$B$1:B310),"")</f>
        <v/>
      </c>
      <c r="C311" s="74"/>
      <c r="D311" s="74"/>
      <c r="G311" s="1"/>
      <c r="K311" s="42"/>
      <c r="L311" t="str" cm="1">
        <f t="array" ref="L311">IF($K311="","",_xlfn.SWITCH($I311,"Computer",_xlfn.XLOOKUP($K311&amp;"",COMPUTER!$B$3:$B$1009&amp;"",COMPUTER!$I$3:$I$1009,""),"Display",_xlfn.XLOOKUP($K311&amp;"",DISPLAY!$B$3:$B$1000&amp;"",DISPLAY!$J$3:$J$1000,""),"Network Device",_xlfn.XLOOKUP($K311&amp;"",'NETWORK-DEVICES'!$B$3:$B$987&amp;"",'NETWORK-DEVICES'!$I$3:$I$987,""),"Peripheral",_xlfn.XLOOKUP($K311&amp;"",PERIPHERAL!$B$3:$B$954&amp;"",PERIPHERAL!$I$3:$I$954,""),"Utilities",_xlfn.XLOOKUP($K311&amp;"",UTILITIES!$B$3:$B$953&amp;"",UTILITIES!$H$3:$H$953,""),"IOT",_xlfn.XLOOKUP($K311&amp;"",IOT!$B$3:$B$1012&amp;"",IOT!$I$3:$I$1012,""),"SERVER",_xlfn.XLOOKUP($K311&amp;"",SERVER!$B$3:$B$1009&amp;"",SERVER!$I$3:$I$1009,""),""))</f>
        <v/>
      </c>
      <c r="M311" t="str" cm="1">
        <f t="array" ref="M311">IF($K311="","",_xlfn.SWITCH($I311,"Computer",_xlfn.XLOOKUP($K311&amp;"",COMPUTER!$B$3:$B$1009&amp;"",COMPUTER!$J$3:$J$1009,""),"Display",_xlfn.XLOOKUP($K311&amp;"",DISPLAY!$B$3:$B$1000&amp;"",DISPLAY!$K$3:$K$1000,""),"Network Device",_xlfn.XLOOKUP($K311&amp;"",'NETWORK-DEVICES'!$B$3:$B$987&amp;"",'NETWORK-DEVICES'!$I$3:$I$987,""),"Peripheral",_xlfn.XLOOKUP($K311&amp;"",PERIPHERAL!$B$3:$B$954&amp;"",PERIPHERAL!$J$3:$J$954,""),"Utilities",_xlfn.XLOOKUP($K311&amp;"",UTILITIES!$B$3:$B$953&amp;"",UTILITIES!$I$3:$I$953,""),"IOT",_xlfn.XLOOKUP($K311&amp;"",IOT!$B$3:$B$1012&amp;"",IOT!$J$3:$J$1012,""),"Server",_xlfn.XLOOKUP($K311&amp;"",SERVER!$B$3:$B$1009&amp;"",SERVER!$J$3:$J$1009,""),""))</f>
        <v/>
      </c>
      <c r="N311" s="1" t="str" cm="1">
        <f t="array" ref="N311">IF(OR($K311="",$I311="",$J311=""),"",_xlfn.LET(_xlpm.srcCat,_xlfn.SWITCH($I311,"Computer",_xlfn.XLOOKUP($K311&amp;"",COMPUTER!$B$3:$B$1009&amp;"",COMPUTER!$H$3:$H$1009,""),"Display",_xlfn.XLOOKUP($K311&amp;"",DISPLAY!$B$3:$B$1000&amp;"",DISPLAY!$H$3:$H$1000,""),"Network Device",_xlfn.XLOOKUP($K311&amp;"",'NETWORK-DEVICES'!$B$3:$B$987&amp;"",'NETWORK-DEVICES'!$H$3:$H$987,""),"Peripheral",_xlfn.XLOOKUP($K311&amp;"",PERIPHERAL!$B$3:$B$954&amp;"",PERIPHERAL!$H$3:$H$954,""),"Utilities",_xlfn.XLOOKUP($K311&amp;"",UTILITIES!$B$3:$B$953&amp;"",UTILITIES!$G$3:$G$953,""),"IOT",_xlfn.XLOOKUP($K311&amp;"",IOT!$B$3:$B$1012&amp;"",IOT!$H$3:$H$1012,""),"Server",_xlfn.XLOOKUP($K311&amp;"",SERVER!$B$3:$B$1009&amp;"",SERVER!$H$3:$H$1009,""),""),IF(TRIM(_xlpm.srcCat)&lt;&gt;TRIM($J311),"",_xlfn.SWITCH($I311,"Computer",_xlfn.XLOOKUP($K311&amp;"",COMPUTER!$B$3:$B$1009&amp;"",COMPUTER!$K$3:$K$1009,""),"Display",_xlfn.XLOOKUP($K311&amp;"",DISPLAY!$B$3:$B$1000&amp;"",DISPLAY!$L$3:$L$1000,""),"Network Device",_xlfn.XLOOKUP($K311&amp;"",'NETWORK-DEVICES'!$B$3:$B$987&amp;"",'NETWORK-DEVICES'!$K$3:$K$987,""),"Peripheral",_xlfn.XLOOKUP($K311&amp;"",PERIPHERAL!$B$3:$B$954&amp;"",PERIPHERAL!$K$3:$K$954,""),"Utilities",_xlfn.XLOOKUP($K311&amp;"",UTILITIES!$B$3:$B$953&amp;"",UTILITIES!$J$3:$J$953,""),"IOT",_xlfn.XLOOKUP($K311&amp;"",IOT!$B$3:$B$1012&amp;"",IOT!$K$4:$K$1012,""),"Server",_xlfn.XLOOKUP($K311&amp;"",SERVER!$B$3:$B$1009&amp;"",SERVER!$K$3:$K$1009,""),""))))</f>
        <v/>
      </c>
      <c r="O311" s="1" t="str" cm="1">
        <f t="array" ref="O311">IF(OR($K311="",$I311="",$J311=""),"",_xlfn.LET(_xlpm.srcCat,_xlfn.SWITCH($I311,"Computer",_xlfn.XLOOKUP($K311&amp;"",COMPUTER!$B$3:$B$1009&amp;"",COMPUTER!$H$3:$H$1009,""),"Display",_xlfn.XLOOKUP($K311&amp;"",DISPLAY!$B$3:$B$1000&amp;"",DISPLAY!$H$3:$H$1000,""),"Network Device",_xlfn.XLOOKUP($K311&amp;"",'NETWORK-DEVICES'!$B$3:$B$987&amp;"",'NETWORK-DEVICES'!$H$3:$H$987,""),"Peripheral",_xlfn.XLOOKUP($K311&amp;"",PERIPHERAL!$B$3:$B$954&amp;"",PERIPHERAL!$H$3:$H$954,""),"Utilities",_xlfn.XLOOKUP($K311&amp;"",UTILITIES!$B$3:$B$953&amp;"",UTILITIES!$G$3:$G$953,""),"IOT",_xlfn.XLOOKUP($K311&amp;"",IOT!$B$3:$B$1012&amp;"",IOT!$H$3:$H$1012,""),"Server",_xlfn.XLOOKUP($K311&amp;"",SERVER!$B$3:$B$1009&amp;"",SERVER!$H$3:$H$1009,""),""),IF(TRIM(_xlpm.srcCat)&lt;&gt;TRIM($J311),"",_xlfn.SWITCH($I311,"Computer",_xlfn.XLOOKUP($K311&amp;"",COMPUTER!$B$3:$B$1009&amp;"",COMPUTER!$E$3:$E$1009,""),"Display",_xlfn.XLOOKUP($K311&amp;"",DISPLAY!$B$3:$B$1000&amp;"",DISPLAY!$E$3:$E$1000,""),"Network Device",_xlfn.XLOOKUP($K311&amp;"",'NETWORK-DEVICES'!$B$3:$B$987&amp;"",'NETWORK-DEVICES'!$E$3:$E$987,""),"Peripheral",_xlfn.XLOOKUP($K311&amp;"",PERIPHERAL!$B$3:$B$954&amp;"",PERIPHERAL!$E$3:$E$954,""),"Utilities",_xlfn.XLOOKUP($K311&amp;"",UTILITIES!$B$3:$B$953&amp;"",UTILITIES!$E$3:$E$953,""),"IOT",_xlfn.XLOOKUP($K311&amp;"",IOT!$B$3:$B$1012&amp;"",IOT!$E$3:$E$1012,""),"Server",_xlfn.XLOOKUP($K311&amp;"",SERVER!$B$3:$B$1009&amp;"",SERVER!$E$3:$E$1009,""),""))))</f>
        <v/>
      </c>
      <c r="Q311" s="1" t="str" cm="1">
        <f t="array" ref="Q311">IF(OR($K311="",$I311="",$J311=""),"",_xlfn.LET(_xlpm.srcCat,_xlfn.SWITCH($I311,"Computer",_xlfn.XLOOKUP($K311&amp;"",COMPUTER!$B$3:$B$1009&amp;"",COMPUTER!$H$3:$H$1009,""),"Display",_xlfn.XLOOKUP($K311&amp;"",DISPLAY!$B$3:$B$1000&amp;"",DISPLAY!$H$3:$H$1000,""),"Network Device",_xlfn.XLOOKUP($K311&amp;"",'NETWORK-DEVICES'!$B$3:$B$987&amp;"",'NETWORK-DEVICES'!$H$3:$H$987,""),"Peripheral",_xlfn.XLOOKUP($K311&amp;"",PERIPHERAL!$B$3:$B$954&amp;"",PERIPHERAL!$H$3:$H$954,""),"Utilities",_xlfn.XLOOKUP($K311&amp;"",UTILITIES!$B$3:$B$953&amp;"",UTILITIES!$G$3:$G$953,""),"IOT",_xlfn.XLOOKUP($K311&amp;"",IOT!$B$3:$B$1012&amp;"",IOT!$H$3:$H$1012,""),"Server",_xlfn.XLOOKUP($K311&amp;"",SERVER!$B$3:$B$1009&amp;"",SERVER!$H$3:$H$1009,""),""),IF(TRIM(_xlpm.srcCat)&lt;&gt;TRIM($J311),"",_xlfn.SWITCH($I311,"Computer",_xlfn.XLOOKUP($K311&amp;"",COMPUTER!$B$3:$B$1009&amp;"",COMPUTER!$AM$3:$AM$1009,""),"Display",_xlfn.XLOOKUP($K311&amp;"",DISPLAY!$B$3:$B$1000&amp;"",DISPLAY!$V$3:$V$1000,""),"Network Device",_xlfn.XLOOKUP($K311&amp;"",'NETWORK-DEVICES'!$B$3:$B$987&amp;"",'NETWORK-DEVICES'!$AF$3:$AF$987,""),"Peripheral",_xlfn.XLOOKUP($K311&amp;"",PERIPHERAL!$B$3:$B$954&amp;"",PERIPHERAL!$Y$3:$Y$954,""),"Utilities",_xlfn.XLOOKUP($K311&amp;"",UTILITIES!$B$3:$B$953&amp;"",UTILITIES!$O$3:$O$953,""),"IOT",_xlfn.XLOOKUP($K311&amp;"",IOT!$B$3:$B$1012&amp;"",IOT!$AB$3:$AB$1012,""),"Server",_xlfn.XLOOKUP($K311&amp;"",SERVER!$B$3:$B$1009&amp;"",SERVER!$AB$3:$AB$1009,""),""))))</f>
        <v/>
      </c>
      <c r="R311" s="43" t="str">
        <f>IF(tbl_handover[[#This Row],[Asset Code]]="","",COUNTIF(tbl_handover[Asset Code],tbl_handover[[#This Row],[Asset Code]]))</f>
        <v/>
      </c>
    </row>
    <row r="312" spans="1:18" x14ac:dyDescent="0.25">
      <c r="A312" s="43" t="str">
        <f>IF(B312&lt;&gt;"",SUBTOTAL(3,$B$1:B311),"")</f>
        <v/>
      </c>
      <c r="C312" s="74"/>
      <c r="D312" s="74"/>
      <c r="G312" s="1"/>
      <c r="K312" s="42"/>
      <c r="L312" t="str" cm="1">
        <f t="array" ref="L312">IF($K312="","",_xlfn.SWITCH($I312,"Computer",_xlfn.XLOOKUP($K312&amp;"",COMPUTER!$B$3:$B$1009&amp;"",COMPUTER!$I$3:$I$1009,""),"Display",_xlfn.XLOOKUP($K312&amp;"",DISPLAY!$B$3:$B$1000&amp;"",DISPLAY!$J$3:$J$1000,""),"Network Device",_xlfn.XLOOKUP($K312&amp;"",'NETWORK-DEVICES'!$B$3:$B$987&amp;"",'NETWORK-DEVICES'!$I$3:$I$987,""),"Peripheral",_xlfn.XLOOKUP($K312&amp;"",PERIPHERAL!$B$3:$B$954&amp;"",PERIPHERAL!$I$3:$I$954,""),"Utilities",_xlfn.XLOOKUP($K312&amp;"",UTILITIES!$B$3:$B$953&amp;"",UTILITIES!$H$3:$H$953,""),"IOT",_xlfn.XLOOKUP($K312&amp;"",IOT!$B$3:$B$1012&amp;"",IOT!$I$3:$I$1012,""),"SERVER",_xlfn.XLOOKUP($K312&amp;"",SERVER!$B$3:$B$1009&amp;"",SERVER!$I$3:$I$1009,""),""))</f>
        <v/>
      </c>
      <c r="M312" t="str" cm="1">
        <f t="array" ref="M312">IF($K312="","",_xlfn.SWITCH($I312,"Computer",_xlfn.XLOOKUP($K312&amp;"",COMPUTER!$B$3:$B$1009&amp;"",COMPUTER!$J$3:$J$1009,""),"Display",_xlfn.XLOOKUP($K312&amp;"",DISPLAY!$B$3:$B$1000&amp;"",DISPLAY!$K$3:$K$1000,""),"Network Device",_xlfn.XLOOKUP($K312&amp;"",'NETWORK-DEVICES'!$B$3:$B$987&amp;"",'NETWORK-DEVICES'!$I$3:$I$987,""),"Peripheral",_xlfn.XLOOKUP($K312&amp;"",PERIPHERAL!$B$3:$B$954&amp;"",PERIPHERAL!$J$3:$J$954,""),"Utilities",_xlfn.XLOOKUP($K312&amp;"",UTILITIES!$B$3:$B$953&amp;"",UTILITIES!$I$3:$I$953,""),"IOT",_xlfn.XLOOKUP($K312&amp;"",IOT!$B$3:$B$1012&amp;"",IOT!$J$3:$J$1012,""),"Server",_xlfn.XLOOKUP($K312&amp;"",SERVER!$B$3:$B$1009&amp;"",SERVER!$J$3:$J$1009,""),""))</f>
        <v/>
      </c>
      <c r="N312" s="1" t="str" cm="1">
        <f t="array" ref="N312">IF(OR($K312="",$I312="",$J312=""),"",_xlfn.LET(_xlpm.srcCat,_xlfn.SWITCH($I312,"Computer",_xlfn.XLOOKUP($K312&amp;"",COMPUTER!$B$3:$B$1009&amp;"",COMPUTER!$H$3:$H$1009,""),"Display",_xlfn.XLOOKUP($K312&amp;"",DISPLAY!$B$3:$B$1000&amp;"",DISPLAY!$H$3:$H$1000,""),"Network Device",_xlfn.XLOOKUP($K312&amp;"",'NETWORK-DEVICES'!$B$3:$B$987&amp;"",'NETWORK-DEVICES'!$H$3:$H$987,""),"Peripheral",_xlfn.XLOOKUP($K312&amp;"",PERIPHERAL!$B$3:$B$954&amp;"",PERIPHERAL!$H$3:$H$954,""),"Utilities",_xlfn.XLOOKUP($K312&amp;"",UTILITIES!$B$3:$B$953&amp;"",UTILITIES!$G$3:$G$953,""),"IOT",_xlfn.XLOOKUP($K312&amp;"",IOT!$B$3:$B$1012&amp;"",IOT!$H$3:$H$1012,""),"Server",_xlfn.XLOOKUP($K312&amp;"",SERVER!$B$3:$B$1009&amp;"",SERVER!$H$3:$H$1009,""),""),IF(TRIM(_xlpm.srcCat)&lt;&gt;TRIM($J312),"",_xlfn.SWITCH($I312,"Computer",_xlfn.XLOOKUP($K312&amp;"",COMPUTER!$B$3:$B$1009&amp;"",COMPUTER!$K$3:$K$1009,""),"Display",_xlfn.XLOOKUP($K312&amp;"",DISPLAY!$B$3:$B$1000&amp;"",DISPLAY!$L$3:$L$1000,""),"Network Device",_xlfn.XLOOKUP($K312&amp;"",'NETWORK-DEVICES'!$B$3:$B$987&amp;"",'NETWORK-DEVICES'!$K$3:$K$987,""),"Peripheral",_xlfn.XLOOKUP($K312&amp;"",PERIPHERAL!$B$3:$B$954&amp;"",PERIPHERAL!$K$3:$K$954,""),"Utilities",_xlfn.XLOOKUP($K312&amp;"",UTILITIES!$B$3:$B$953&amp;"",UTILITIES!$J$3:$J$953,""),"IOT",_xlfn.XLOOKUP($K312&amp;"",IOT!$B$3:$B$1012&amp;"",IOT!$K$4:$K$1012,""),"Server",_xlfn.XLOOKUP($K312&amp;"",SERVER!$B$3:$B$1009&amp;"",SERVER!$K$3:$K$1009,""),""))))</f>
        <v/>
      </c>
      <c r="O312" s="1" t="str" cm="1">
        <f t="array" ref="O312">IF(OR($K312="",$I312="",$J312=""),"",_xlfn.LET(_xlpm.srcCat,_xlfn.SWITCH($I312,"Computer",_xlfn.XLOOKUP($K312&amp;"",COMPUTER!$B$3:$B$1009&amp;"",COMPUTER!$H$3:$H$1009,""),"Display",_xlfn.XLOOKUP($K312&amp;"",DISPLAY!$B$3:$B$1000&amp;"",DISPLAY!$H$3:$H$1000,""),"Network Device",_xlfn.XLOOKUP($K312&amp;"",'NETWORK-DEVICES'!$B$3:$B$987&amp;"",'NETWORK-DEVICES'!$H$3:$H$987,""),"Peripheral",_xlfn.XLOOKUP($K312&amp;"",PERIPHERAL!$B$3:$B$954&amp;"",PERIPHERAL!$H$3:$H$954,""),"Utilities",_xlfn.XLOOKUP($K312&amp;"",UTILITIES!$B$3:$B$953&amp;"",UTILITIES!$G$3:$G$953,""),"IOT",_xlfn.XLOOKUP($K312&amp;"",IOT!$B$3:$B$1012&amp;"",IOT!$H$3:$H$1012,""),"Server",_xlfn.XLOOKUP($K312&amp;"",SERVER!$B$3:$B$1009&amp;"",SERVER!$H$3:$H$1009,""),""),IF(TRIM(_xlpm.srcCat)&lt;&gt;TRIM($J312),"",_xlfn.SWITCH($I312,"Computer",_xlfn.XLOOKUP($K312&amp;"",COMPUTER!$B$3:$B$1009&amp;"",COMPUTER!$E$3:$E$1009,""),"Display",_xlfn.XLOOKUP($K312&amp;"",DISPLAY!$B$3:$B$1000&amp;"",DISPLAY!$E$3:$E$1000,""),"Network Device",_xlfn.XLOOKUP($K312&amp;"",'NETWORK-DEVICES'!$B$3:$B$987&amp;"",'NETWORK-DEVICES'!$E$3:$E$987,""),"Peripheral",_xlfn.XLOOKUP($K312&amp;"",PERIPHERAL!$B$3:$B$954&amp;"",PERIPHERAL!$E$3:$E$954,""),"Utilities",_xlfn.XLOOKUP($K312&amp;"",UTILITIES!$B$3:$B$953&amp;"",UTILITIES!$E$3:$E$953,""),"IOT",_xlfn.XLOOKUP($K312&amp;"",IOT!$B$3:$B$1012&amp;"",IOT!$E$3:$E$1012,""),"Server",_xlfn.XLOOKUP($K312&amp;"",SERVER!$B$3:$B$1009&amp;"",SERVER!$E$3:$E$1009,""),""))))</f>
        <v/>
      </c>
      <c r="Q312" s="1" t="str" cm="1">
        <f t="array" ref="Q312">IF(OR($K312="",$I312="",$J312=""),"",_xlfn.LET(_xlpm.srcCat,_xlfn.SWITCH($I312,"Computer",_xlfn.XLOOKUP($K312&amp;"",COMPUTER!$B$3:$B$1009&amp;"",COMPUTER!$H$3:$H$1009,""),"Display",_xlfn.XLOOKUP($K312&amp;"",DISPLAY!$B$3:$B$1000&amp;"",DISPLAY!$H$3:$H$1000,""),"Network Device",_xlfn.XLOOKUP($K312&amp;"",'NETWORK-DEVICES'!$B$3:$B$987&amp;"",'NETWORK-DEVICES'!$H$3:$H$987,""),"Peripheral",_xlfn.XLOOKUP($K312&amp;"",PERIPHERAL!$B$3:$B$954&amp;"",PERIPHERAL!$H$3:$H$954,""),"Utilities",_xlfn.XLOOKUP($K312&amp;"",UTILITIES!$B$3:$B$953&amp;"",UTILITIES!$G$3:$G$953,""),"IOT",_xlfn.XLOOKUP($K312&amp;"",IOT!$B$3:$B$1012&amp;"",IOT!$H$3:$H$1012,""),"Server",_xlfn.XLOOKUP($K312&amp;"",SERVER!$B$3:$B$1009&amp;"",SERVER!$H$3:$H$1009,""),""),IF(TRIM(_xlpm.srcCat)&lt;&gt;TRIM($J312),"",_xlfn.SWITCH($I312,"Computer",_xlfn.XLOOKUP($K312&amp;"",COMPUTER!$B$3:$B$1009&amp;"",COMPUTER!$AM$3:$AM$1009,""),"Display",_xlfn.XLOOKUP($K312&amp;"",DISPLAY!$B$3:$B$1000&amp;"",DISPLAY!$V$3:$V$1000,""),"Network Device",_xlfn.XLOOKUP($K312&amp;"",'NETWORK-DEVICES'!$B$3:$B$987&amp;"",'NETWORK-DEVICES'!$AF$3:$AF$987,""),"Peripheral",_xlfn.XLOOKUP($K312&amp;"",PERIPHERAL!$B$3:$B$954&amp;"",PERIPHERAL!$Y$3:$Y$954,""),"Utilities",_xlfn.XLOOKUP($K312&amp;"",UTILITIES!$B$3:$B$953&amp;"",UTILITIES!$O$3:$O$953,""),"IOT",_xlfn.XLOOKUP($K312&amp;"",IOT!$B$3:$B$1012&amp;"",IOT!$AB$3:$AB$1012,""),"Server",_xlfn.XLOOKUP($K312&amp;"",SERVER!$B$3:$B$1009&amp;"",SERVER!$AB$3:$AB$1009,""),""))))</f>
        <v/>
      </c>
      <c r="R312" s="43" t="str">
        <f>IF(tbl_handover[[#This Row],[Asset Code]]="","",COUNTIF(tbl_handover[Asset Code],tbl_handover[[#This Row],[Asset Code]]))</f>
        <v/>
      </c>
    </row>
    <row r="313" spans="1:18" x14ac:dyDescent="0.25">
      <c r="A313" s="43" t="str">
        <f>IF(B313&lt;&gt;"",SUBTOTAL(3,$B$1:B312),"")</f>
        <v/>
      </c>
      <c r="C313" s="74"/>
      <c r="D313" s="74"/>
      <c r="G313" s="1"/>
      <c r="K313" s="42"/>
      <c r="L313" t="str" cm="1">
        <f t="array" ref="L313">IF($K313="","",_xlfn.SWITCH($I313,"Computer",_xlfn.XLOOKUP($K313&amp;"",COMPUTER!$B$3:$B$1009&amp;"",COMPUTER!$I$3:$I$1009,""),"Display",_xlfn.XLOOKUP($K313&amp;"",DISPLAY!$B$3:$B$1000&amp;"",DISPLAY!$J$3:$J$1000,""),"Network Device",_xlfn.XLOOKUP($K313&amp;"",'NETWORK-DEVICES'!$B$3:$B$987&amp;"",'NETWORK-DEVICES'!$I$3:$I$987,""),"Peripheral",_xlfn.XLOOKUP($K313&amp;"",PERIPHERAL!$B$3:$B$954&amp;"",PERIPHERAL!$I$3:$I$954,""),"Utilities",_xlfn.XLOOKUP($K313&amp;"",UTILITIES!$B$3:$B$953&amp;"",UTILITIES!$H$3:$H$953,""),"IOT",_xlfn.XLOOKUP($K313&amp;"",IOT!$B$3:$B$1012&amp;"",IOT!$I$3:$I$1012,""),"SERVER",_xlfn.XLOOKUP($K313&amp;"",SERVER!$B$3:$B$1009&amp;"",SERVER!$I$3:$I$1009,""),""))</f>
        <v/>
      </c>
      <c r="M313" t="str" cm="1">
        <f t="array" ref="M313">IF($K313="","",_xlfn.SWITCH($I313,"Computer",_xlfn.XLOOKUP($K313&amp;"",COMPUTER!$B$3:$B$1009&amp;"",COMPUTER!$J$3:$J$1009,""),"Display",_xlfn.XLOOKUP($K313&amp;"",DISPLAY!$B$3:$B$1000&amp;"",DISPLAY!$K$3:$K$1000,""),"Network Device",_xlfn.XLOOKUP($K313&amp;"",'NETWORK-DEVICES'!$B$3:$B$987&amp;"",'NETWORK-DEVICES'!$I$3:$I$987,""),"Peripheral",_xlfn.XLOOKUP($K313&amp;"",PERIPHERAL!$B$3:$B$954&amp;"",PERIPHERAL!$J$3:$J$954,""),"Utilities",_xlfn.XLOOKUP($K313&amp;"",UTILITIES!$B$3:$B$953&amp;"",UTILITIES!$I$3:$I$953,""),"IOT",_xlfn.XLOOKUP($K313&amp;"",IOT!$B$3:$B$1012&amp;"",IOT!$J$3:$J$1012,""),"Server",_xlfn.XLOOKUP($K313&amp;"",SERVER!$B$3:$B$1009&amp;"",SERVER!$J$3:$J$1009,""),""))</f>
        <v/>
      </c>
      <c r="N313" s="1" t="str" cm="1">
        <f t="array" ref="N313">IF(OR($K313="",$I313="",$J313=""),"",_xlfn.LET(_xlpm.srcCat,_xlfn.SWITCH($I313,"Computer",_xlfn.XLOOKUP($K313&amp;"",COMPUTER!$B$3:$B$1009&amp;"",COMPUTER!$H$3:$H$1009,""),"Display",_xlfn.XLOOKUP($K313&amp;"",DISPLAY!$B$3:$B$1000&amp;"",DISPLAY!$H$3:$H$1000,""),"Network Device",_xlfn.XLOOKUP($K313&amp;"",'NETWORK-DEVICES'!$B$3:$B$987&amp;"",'NETWORK-DEVICES'!$H$3:$H$987,""),"Peripheral",_xlfn.XLOOKUP($K313&amp;"",PERIPHERAL!$B$3:$B$954&amp;"",PERIPHERAL!$H$3:$H$954,""),"Utilities",_xlfn.XLOOKUP($K313&amp;"",UTILITIES!$B$3:$B$953&amp;"",UTILITIES!$G$3:$G$953,""),"IOT",_xlfn.XLOOKUP($K313&amp;"",IOT!$B$3:$B$1012&amp;"",IOT!$H$3:$H$1012,""),"Server",_xlfn.XLOOKUP($K313&amp;"",SERVER!$B$3:$B$1009&amp;"",SERVER!$H$3:$H$1009,""),""),IF(TRIM(_xlpm.srcCat)&lt;&gt;TRIM($J313),"",_xlfn.SWITCH($I313,"Computer",_xlfn.XLOOKUP($K313&amp;"",COMPUTER!$B$3:$B$1009&amp;"",COMPUTER!$K$3:$K$1009,""),"Display",_xlfn.XLOOKUP($K313&amp;"",DISPLAY!$B$3:$B$1000&amp;"",DISPLAY!$L$3:$L$1000,""),"Network Device",_xlfn.XLOOKUP($K313&amp;"",'NETWORK-DEVICES'!$B$3:$B$987&amp;"",'NETWORK-DEVICES'!$K$3:$K$987,""),"Peripheral",_xlfn.XLOOKUP($K313&amp;"",PERIPHERAL!$B$3:$B$954&amp;"",PERIPHERAL!$K$3:$K$954,""),"Utilities",_xlfn.XLOOKUP($K313&amp;"",UTILITIES!$B$3:$B$953&amp;"",UTILITIES!$J$3:$J$953,""),"IOT",_xlfn.XLOOKUP($K313&amp;"",IOT!$B$3:$B$1012&amp;"",IOT!$K$4:$K$1012,""),"Server",_xlfn.XLOOKUP($K313&amp;"",SERVER!$B$3:$B$1009&amp;"",SERVER!$K$3:$K$1009,""),""))))</f>
        <v/>
      </c>
      <c r="O313" s="1" t="str" cm="1">
        <f t="array" ref="O313">IF(OR($K313="",$I313="",$J313=""),"",_xlfn.LET(_xlpm.srcCat,_xlfn.SWITCH($I313,"Computer",_xlfn.XLOOKUP($K313&amp;"",COMPUTER!$B$3:$B$1009&amp;"",COMPUTER!$H$3:$H$1009,""),"Display",_xlfn.XLOOKUP($K313&amp;"",DISPLAY!$B$3:$B$1000&amp;"",DISPLAY!$H$3:$H$1000,""),"Network Device",_xlfn.XLOOKUP($K313&amp;"",'NETWORK-DEVICES'!$B$3:$B$987&amp;"",'NETWORK-DEVICES'!$H$3:$H$987,""),"Peripheral",_xlfn.XLOOKUP($K313&amp;"",PERIPHERAL!$B$3:$B$954&amp;"",PERIPHERAL!$H$3:$H$954,""),"Utilities",_xlfn.XLOOKUP($K313&amp;"",UTILITIES!$B$3:$B$953&amp;"",UTILITIES!$G$3:$G$953,""),"IOT",_xlfn.XLOOKUP($K313&amp;"",IOT!$B$3:$B$1012&amp;"",IOT!$H$3:$H$1012,""),"Server",_xlfn.XLOOKUP($K313&amp;"",SERVER!$B$3:$B$1009&amp;"",SERVER!$H$3:$H$1009,""),""),IF(TRIM(_xlpm.srcCat)&lt;&gt;TRIM($J313),"",_xlfn.SWITCH($I313,"Computer",_xlfn.XLOOKUP($K313&amp;"",COMPUTER!$B$3:$B$1009&amp;"",COMPUTER!$E$3:$E$1009,""),"Display",_xlfn.XLOOKUP($K313&amp;"",DISPLAY!$B$3:$B$1000&amp;"",DISPLAY!$E$3:$E$1000,""),"Network Device",_xlfn.XLOOKUP($K313&amp;"",'NETWORK-DEVICES'!$B$3:$B$987&amp;"",'NETWORK-DEVICES'!$E$3:$E$987,""),"Peripheral",_xlfn.XLOOKUP($K313&amp;"",PERIPHERAL!$B$3:$B$954&amp;"",PERIPHERAL!$E$3:$E$954,""),"Utilities",_xlfn.XLOOKUP($K313&amp;"",UTILITIES!$B$3:$B$953&amp;"",UTILITIES!$E$3:$E$953,""),"IOT",_xlfn.XLOOKUP($K313&amp;"",IOT!$B$3:$B$1012&amp;"",IOT!$E$3:$E$1012,""),"Server",_xlfn.XLOOKUP($K313&amp;"",SERVER!$B$3:$B$1009&amp;"",SERVER!$E$3:$E$1009,""),""))))</f>
        <v/>
      </c>
      <c r="Q313" s="1" t="str" cm="1">
        <f t="array" ref="Q313">IF(OR($K313="",$I313="",$J313=""),"",_xlfn.LET(_xlpm.srcCat,_xlfn.SWITCH($I313,"Computer",_xlfn.XLOOKUP($K313&amp;"",COMPUTER!$B$3:$B$1009&amp;"",COMPUTER!$H$3:$H$1009,""),"Display",_xlfn.XLOOKUP($K313&amp;"",DISPLAY!$B$3:$B$1000&amp;"",DISPLAY!$H$3:$H$1000,""),"Network Device",_xlfn.XLOOKUP($K313&amp;"",'NETWORK-DEVICES'!$B$3:$B$987&amp;"",'NETWORK-DEVICES'!$H$3:$H$987,""),"Peripheral",_xlfn.XLOOKUP($K313&amp;"",PERIPHERAL!$B$3:$B$954&amp;"",PERIPHERAL!$H$3:$H$954,""),"Utilities",_xlfn.XLOOKUP($K313&amp;"",UTILITIES!$B$3:$B$953&amp;"",UTILITIES!$G$3:$G$953,""),"IOT",_xlfn.XLOOKUP($K313&amp;"",IOT!$B$3:$B$1012&amp;"",IOT!$H$3:$H$1012,""),"Server",_xlfn.XLOOKUP($K313&amp;"",SERVER!$B$3:$B$1009&amp;"",SERVER!$H$3:$H$1009,""),""),IF(TRIM(_xlpm.srcCat)&lt;&gt;TRIM($J313),"",_xlfn.SWITCH($I313,"Computer",_xlfn.XLOOKUP($K313&amp;"",COMPUTER!$B$3:$B$1009&amp;"",COMPUTER!$AM$3:$AM$1009,""),"Display",_xlfn.XLOOKUP($K313&amp;"",DISPLAY!$B$3:$B$1000&amp;"",DISPLAY!$V$3:$V$1000,""),"Network Device",_xlfn.XLOOKUP($K313&amp;"",'NETWORK-DEVICES'!$B$3:$B$987&amp;"",'NETWORK-DEVICES'!$AF$3:$AF$987,""),"Peripheral",_xlfn.XLOOKUP($K313&amp;"",PERIPHERAL!$B$3:$B$954&amp;"",PERIPHERAL!$Y$3:$Y$954,""),"Utilities",_xlfn.XLOOKUP($K313&amp;"",UTILITIES!$B$3:$B$953&amp;"",UTILITIES!$O$3:$O$953,""),"IOT",_xlfn.XLOOKUP($K313&amp;"",IOT!$B$3:$B$1012&amp;"",IOT!$AB$3:$AB$1012,""),"Server",_xlfn.XLOOKUP($K313&amp;"",SERVER!$B$3:$B$1009&amp;"",SERVER!$AB$3:$AB$1009,""),""))))</f>
        <v/>
      </c>
      <c r="R313" s="43" t="str">
        <f>IF(tbl_handover[[#This Row],[Asset Code]]="","",COUNTIF(tbl_handover[Asset Code],tbl_handover[[#This Row],[Asset Code]]))</f>
        <v/>
      </c>
    </row>
    <row r="314" spans="1:18" x14ac:dyDescent="0.25">
      <c r="A314" s="43" t="str">
        <f>IF(B314&lt;&gt;"",SUBTOTAL(3,$B$1:B313),"")</f>
        <v/>
      </c>
      <c r="C314" s="74"/>
      <c r="D314" s="74"/>
      <c r="G314" s="1"/>
      <c r="K314" s="42"/>
      <c r="L314" t="str" cm="1">
        <f t="array" ref="L314">IF($K314="","",_xlfn.SWITCH($I314,"Computer",_xlfn.XLOOKUP($K314&amp;"",COMPUTER!$B$3:$B$1009&amp;"",COMPUTER!$I$3:$I$1009,""),"Display",_xlfn.XLOOKUP($K314&amp;"",DISPLAY!$B$3:$B$1000&amp;"",DISPLAY!$J$3:$J$1000,""),"Network Device",_xlfn.XLOOKUP($K314&amp;"",'NETWORK-DEVICES'!$B$3:$B$987&amp;"",'NETWORK-DEVICES'!$I$3:$I$987,""),"Peripheral",_xlfn.XLOOKUP($K314&amp;"",PERIPHERAL!$B$3:$B$954&amp;"",PERIPHERAL!$I$3:$I$954,""),"Utilities",_xlfn.XLOOKUP($K314&amp;"",UTILITIES!$B$3:$B$953&amp;"",UTILITIES!$H$3:$H$953,""),"IOT",_xlfn.XLOOKUP($K314&amp;"",IOT!$B$3:$B$1012&amp;"",IOT!$I$3:$I$1012,""),"SERVER",_xlfn.XLOOKUP($K314&amp;"",SERVER!$B$3:$B$1009&amp;"",SERVER!$I$3:$I$1009,""),""))</f>
        <v/>
      </c>
      <c r="M314" t="str" cm="1">
        <f t="array" ref="M314">IF($K314="","",_xlfn.SWITCH($I314,"Computer",_xlfn.XLOOKUP($K314&amp;"",COMPUTER!$B$3:$B$1009&amp;"",COMPUTER!$J$3:$J$1009,""),"Display",_xlfn.XLOOKUP($K314&amp;"",DISPLAY!$B$3:$B$1000&amp;"",DISPLAY!$K$3:$K$1000,""),"Network Device",_xlfn.XLOOKUP($K314&amp;"",'NETWORK-DEVICES'!$B$3:$B$987&amp;"",'NETWORK-DEVICES'!$I$3:$I$987,""),"Peripheral",_xlfn.XLOOKUP($K314&amp;"",PERIPHERAL!$B$3:$B$954&amp;"",PERIPHERAL!$J$3:$J$954,""),"Utilities",_xlfn.XLOOKUP($K314&amp;"",UTILITIES!$B$3:$B$953&amp;"",UTILITIES!$I$3:$I$953,""),"IOT",_xlfn.XLOOKUP($K314&amp;"",IOT!$B$3:$B$1012&amp;"",IOT!$J$3:$J$1012,""),"Server",_xlfn.XLOOKUP($K314&amp;"",SERVER!$B$3:$B$1009&amp;"",SERVER!$J$3:$J$1009,""),""))</f>
        <v/>
      </c>
      <c r="N314" s="1" t="str" cm="1">
        <f t="array" ref="N314">IF(OR($K314="",$I314="",$J314=""),"",_xlfn.LET(_xlpm.srcCat,_xlfn.SWITCH($I314,"Computer",_xlfn.XLOOKUP($K314&amp;"",COMPUTER!$B$3:$B$1009&amp;"",COMPUTER!$H$3:$H$1009,""),"Display",_xlfn.XLOOKUP($K314&amp;"",DISPLAY!$B$3:$B$1000&amp;"",DISPLAY!$H$3:$H$1000,""),"Network Device",_xlfn.XLOOKUP($K314&amp;"",'NETWORK-DEVICES'!$B$3:$B$987&amp;"",'NETWORK-DEVICES'!$H$3:$H$987,""),"Peripheral",_xlfn.XLOOKUP($K314&amp;"",PERIPHERAL!$B$3:$B$954&amp;"",PERIPHERAL!$H$3:$H$954,""),"Utilities",_xlfn.XLOOKUP($K314&amp;"",UTILITIES!$B$3:$B$953&amp;"",UTILITIES!$G$3:$G$953,""),"IOT",_xlfn.XLOOKUP($K314&amp;"",IOT!$B$3:$B$1012&amp;"",IOT!$H$3:$H$1012,""),"Server",_xlfn.XLOOKUP($K314&amp;"",SERVER!$B$3:$B$1009&amp;"",SERVER!$H$3:$H$1009,""),""),IF(TRIM(_xlpm.srcCat)&lt;&gt;TRIM($J314),"",_xlfn.SWITCH($I314,"Computer",_xlfn.XLOOKUP($K314&amp;"",COMPUTER!$B$3:$B$1009&amp;"",COMPUTER!$K$3:$K$1009,""),"Display",_xlfn.XLOOKUP($K314&amp;"",DISPLAY!$B$3:$B$1000&amp;"",DISPLAY!$L$3:$L$1000,""),"Network Device",_xlfn.XLOOKUP($K314&amp;"",'NETWORK-DEVICES'!$B$3:$B$987&amp;"",'NETWORK-DEVICES'!$K$3:$K$987,""),"Peripheral",_xlfn.XLOOKUP($K314&amp;"",PERIPHERAL!$B$3:$B$954&amp;"",PERIPHERAL!$K$3:$K$954,""),"Utilities",_xlfn.XLOOKUP($K314&amp;"",UTILITIES!$B$3:$B$953&amp;"",UTILITIES!$J$3:$J$953,""),"IOT",_xlfn.XLOOKUP($K314&amp;"",IOT!$B$3:$B$1012&amp;"",IOT!$K$4:$K$1012,""),"Server",_xlfn.XLOOKUP($K314&amp;"",SERVER!$B$3:$B$1009&amp;"",SERVER!$K$3:$K$1009,""),""))))</f>
        <v/>
      </c>
      <c r="O314" s="1" t="str" cm="1">
        <f t="array" ref="O314">IF(OR($K314="",$I314="",$J314=""),"",_xlfn.LET(_xlpm.srcCat,_xlfn.SWITCH($I314,"Computer",_xlfn.XLOOKUP($K314&amp;"",COMPUTER!$B$3:$B$1009&amp;"",COMPUTER!$H$3:$H$1009,""),"Display",_xlfn.XLOOKUP($K314&amp;"",DISPLAY!$B$3:$B$1000&amp;"",DISPLAY!$H$3:$H$1000,""),"Network Device",_xlfn.XLOOKUP($K314&amp;"",'NETWORK-DEVICES'!$B$3:$B$987&amp;"",'NETWORK-DEVICES'!$H$3:$H$987,""),"Peripheral",_xlfn.XLOOKUP($K314&amp;"",PERIPHERAL!$B$3:$B$954&amp;"",PERIPHERAL!$H$3:$H$954,""),"Utilities",_xlfn.XLOOKUP($K314&amp;"",UTILITIES!$B$3:$B$953&amp;"",UTILITIES!$G$3:$G$953,""),"IOT",_xlfn.XLOOKUP($K314&amp;"",IOT!$B$3:$B$1012&amp;"",IOT!$H$3:$H$1012,""),"Server",_xlfn.XLOOKUP($K314&amp;"",SERVER!$B$3:$B$1009&amp;"",SERVER!$H$3:$H$1009,""),""),IF(TRIM(_xlpm.srcCat)&lt;&gt;TRIM($J314),"",_xlfn.SWITCH($I314,"Computer",_xlfn.XLOOKUP($K314&amp;"",COMPUTER!$B$3:$B$1009&amp;"",COMPUTER!$E$3:$E$1009,""),"Display",_xlfn.XLOOKUP($K314&amp;"",DISPLAY!$B$3:$B$1000&amp;"",DISPLAY!$E$3:$E$1000,""),"Network Device",_xlfn.XLOOKUP($K314&amp;"",'NETWORK-DEVICES'!$B$3:$B$987&amp;"",'NETWORK-DEVICES'!$E$3:$E$987,""),"Peripheral",_xlfn.XLOOKUP($K314&amp;"",PERIPHERAL!$B$3:$B$954&amp;"",PERIPHERAL!$E$3:$E$954,""),"Utilities",_xlfn.XLOOKUP($K314&amp;"",UTILITIES!$B$3:$B$953&amp;"",UTILITIES!$E$3:$E$953,""),"IOT",_xlfn.XLOOKUP($K314&amp;"",IOT!$B$3:$B$1012&amp;"",IOT!$E$3:$E$1012,""),"Server",_xlfn.XLOOKUP($K314&amp;"",SERVER!$B$3:$B$1009&amp;"",SERVER!$E$3:$E$1009,""),""))))</f>
        <v/>
      </c>
      <c r="Q314" s="1" t="str" cm="1">
        <f t="array" ref="Q314">IF(OR($K314="",$I314="",$J314=""),"",_xlfn.LET(_xlpm.srcCat,_xlfn.SWITCH($I314,"Computer",_xlfn.XLOOKUP($K314&amp;"",COMPUTER!$B$3:$B$1009&amp;"",COMPUTER!$H$3:$H$1009,""),"Display",_xlfn.XLOOKUP($K314&amp;"",DISPLAY!$B$3:$B$1000&amp;"",DISPLAY!$H$3:$H$1000,""),"Network Device",_xlfn.XLOOKUP($K314&amp;"",'NETWORK-DEVICES'!$B$3:$B$987&amp;"",'NETWORK-DEVICES'!$H$3:$H$987,""),"Peripheral",_xlfn.XLOOKUP($K314&amp;"",PERIPHERAL!$B$3:$B$954&amp;"",PERIPHERAL!$H$3:$H$954,""),"Utilities",_xlfn.XLOOKUP($K314&amp;"",UTILITIES!$B$3:$B$953&amp;"",UTILITIES!$G$3:$G$953,""),"IOT",_xlfn.XLOOKUP($K314&amp;"",IOT!$B$3:$B$1012&amp;"",IOT!$H$3:$H$1012,""),"Server",_xlfn.XLOOKUP($K314&amp;"",SERVER!$B$3:$B$1009&amp;"",SERVER!$H$3:$H$1009,""),""),IF(TRIM(_xlpm.srcCat)&lt;&gt;TRIM($J314),"",_xlfn.SWITCH($I314,"Computer",_xlfn.XLOOKUP($K314&amp;"",COMPUTER!$B$3:$B$1009&amp;"",COMPUTER!$AM$3:$AM$1009,""),"Display",_xlfn.XLOOKUP($K314&amp;"",DISPLAY!$B$3:$B$1000&amp;"",DISPLAY!$V$3:$V$1000,""),"Network Device",_xlfn.XLOOKUP($K314&amp;"",'NETWORK-DEVICES'!$B$3:$B$987&amp;"",'NETWORK-DEVICES'!$AF$3:$AF$987,""),"Peripheral",_xlfn.XLOOKUP($K314&amp;"",PERIPHERAL!$B$3:$B$954&amp;"",PERIPHERAL!$Y$3:$Y$954,""),"Utilities",_xlfn.XLOOKUP($K314&amp;"",UTILITIES!$B$3:$B$953&amp;"",UTILITIES!$O$3:$O$953,""),"IOT",_xlfn.XLOOKUP($K314&amp;"",IOT!$B$3:$B$1012&amp;"",IOT!$AB$3:$AB$1012,""),"Server",_xlfn.XLOOKUP($K314&amp;"",SERVER!$B$3:$B$1009&amp;"",SERVER!$AB$3:$AB$1009,""),""))))</f>
        <v/>
      </c>
      <c r="R314" s="43" t="str">
        <f>IF(tbl_handover[[#This Row],[Asset Code]]="","",COUNTIF(tbl_handover[Asset Code],tbl_handover[[#This Row],[Asset Code]]))</f>
        <v/>
      </c>
    </row>
    <row r="315" spans="1:18" x14ac:dyDescent="0.25">
      <c r="A315" s="43" t="str">
        <f>IF(B315&lt;&gt;"",SUBTOTAL(3,$B$1:B314),"")</f>
        <v/>
      </c>
      <c r="C315" s="74"/>
      <c r="D315" s="74"/>
      <c r="G315" s="1"/>
      <c r="K315" s="42"/>
      <c r="L315" t="str" cm="1">
        <f t="array" ref="L315">IF($K315="","",_xlfn.SWITCH($I315,"Computer",_xlfn.XLOOKUP($K315&amp;"",COMPUTER!$B$3:$B$1009&amp;"",COMPUTER!$I$3:$I$1009,""),"Display",_xlfn.XLOOKUP($K315&amp;"",DISPLAY!$B$3:$B$1000&amp;"",DISPLAY!$J$3:$J$1000,""),"Network Device",_xlfn.XLOOKUP($K315&amp;"",'NETWORK-DEVICES'!$B$3:$B$987&amp;"",'NETWORK-DEVICES'!$I$3:$I$987,""),"Peripheral",_xlfn.XLOOKUP($K315&amp;"",PERIPHERAL!$B$3:$B$954&amp;"",PERIPHERAL!$I$3:$I$954,""),"Utilities",_xlfn.XLOOKUP($K315&amp;"",UTILITIES!$B$3:$B$953&amp;"",UTILITIES!$H$3:$H$953,""),"IOT",_xlfn.XLOOKUP($K315&amp;"",IOT!$B$3:$B$1012&amp;"",IOT!$I$3:$I$1012,""),"SERVER",_xlfn.XLOOKUP($K315&amp;"",SERVER!$B$3:$B$1009&amp;"",SERVER!$I$3:$I$1009,""),""))</f>
        <v/>
      </c>
      <c r="M315" t="str" cm="1">
        <f t="array" ref="M315">IF($K315="","",_xlfn.SWITCH($I315,"Computer",_xlfn.XLOOKUP($K315&amp;"",COMPUTER!$B$3:$B$1009&amp;"",COMPUTER!$J$3:$J$1009,""),"Display",_xlfn.XLOOKUP($K315&amp;"",DISPLAY!$B$3:$B$1000&amp;"",DISPLAY!$K$3:$K$1000,""),"Network Device",_xlfn.XLOOKUP($K315&amp;"",'NETWORK-DEVICES'!$B$3:$B$987&amp;"",'NETWORK-DEVICES'!$I$3:$I$987,""),"Peripheral",_xlfn.XLOOKUP($K315&amp;"",PERIPHERAL!$B$3:$B$954&amp;"",PERIPHERAL!$J$3:$J$954,""),"Utilities",_xlfn.XLOOKUP($K315&amp;"",UTILITIES!$B$3:$B$953&amp;"",UTILITIES!$I$3:$I$953,""),"IOT",_xlfn.XLOOKUP($K315&amp;"",IOT!$B$3:$B$1012&amp;"",IOT!$J$3:$J$1012,""),"Server",_xlfn.XLOOKUP($K315&amp;"",SERVER!$B$3:$B$1009&amp;"",SERVER!$J$3:$J$1009,""),""))</f>
        <v/>
      </c>
      <c r="N315" s="1" t="str" cm="1">
        <f t="array" ref="N315">IF(OR($K315="",$I315="",$J315=""),"",_xlfn.LET(_xlpm.srcCat,_xlfn.SWITCH($I315,"Computer",_xlfn.XLOOKUP($K315&amp;"",COMPUTER!$B$3:$B$1009&amp;"",COMPUTER!$H$3:$H$1009,""),"Display",_xlfn.XLOOKUP($K315&amp;"",DISPLAY!$B$3:$B$1000&amp;"",DISPLAY!$H$3:$H$1000,""),"Network Device",_xlfn.XLOOKUP($K315&amp;"",'NETWORK-DEVICES'!$B$3:$B$987&amp;"",'NETWORK-DEVICES'!$H$3:$H$987,""),"Peripheral",_xlfn.XLOOKUP($K315&amp;"",PERIPHERAL!$B$3:$B$954&amp;"",PERIPHERAL!$H$3:$H$954,""),"Utilities",_xlfn.XLOOKUP($K315&amp;"",UTILITIES!$B$3:$B$953&amp;"",UTILITIES!$G$3:$G$953,""),"IOT",_xlfn.XLOOKUP($K315&amp;"",IOT!$B$3:$B$1012&amp;"",IOT!$H$3:$H$1012,""),"Server",_xlfn.XLOOKUP($K315&amp;"",SERVER!$B$3:$B$1009&amp;"",SERVER!$H$3:$H$1009,""),""),IF(TRIM(_xlpm.srcCat)&lt;&gt;TRIM($J315),"",_xlfn.SWITCH($I315,"Computer",_xlfn.XLOOKUP($K315&amp;"",COMPUTER!$B$3:$B$1009&amp;"",COMPUTER!$K$3:$K$1009,""),"Display",_xlfn.XLOOKUP($K315&amp;"",DISPLAY!$B$3:$B$1000&amp;"",DISPLAY!$L$3:$L$1000,""),"Network Device",_xlfn.XLOOKUP($K315&amp;"",'NETWORK-DEVICES'!$B$3:$B$987&amp;"",'NETWORK-DEVICES'!$K$3:$K$987,""),"Peripheral",_xlfn.XLOOKUP($K315&amp;"",PERIPHERAL!$B$3:$B$954&amp;"",PERIPHERAL!$K$3:$K$954,""),"Utilities",_xlfn.XLOOKUP($K315&amp;"",UTILITIES!$B$3:$B$953&amp;"",UTILITIES!$J$3:$J$953,""),"IOT",_xlfn.XLOOKUP($K315&amp;"",IOT!$B$3:$B$1012&amp;"",IOT!$K$4:$K$1012,""),"Server",_xlfn.XLOOKUP($K315&amp;"",SERVER!$B$3:$B$1009&amp;"",SERVER!$K$3:$K$1009,""),""))))</f>
        <v/>
      </c>
      <c r="O315" s="1" t="str" cm="1">
        <f t="array" ref="O315">IF(OR($K315="",$I315="",$J315=""),"",_xlfn.LET(_xlpm.srcCat,_xlfn.SWITCH($I315,"Computer",_xlfn.XLOOKUP($K315&amp;"",COMPUTER!$B$3:$B$1009&amp;"",COMPUTER!$H$3:$H$1009,""),"Display",_xlfn.XLOOKUP($K315&amp;"",DISPLAY!$B$3:$B$1000&amp;"",DISPLAY!$H$3:$H$1000,""),"Network Device",_xlfn.XLOOKUP($K315&amp;"",'NETWORK-DEVICES'!$B$3:$B$987&amp;"",'NETWORK-DEVICES'!$H$3:$H$987,""),"Peripheral",_xlfn.XLOOKUP($K315&amp;"",PERIPHERAL!$B$3:$B$954&amp;"",PERIPHERAL!$H$3:$H$954,""),"Utilities",_xlfn.XLOOKUP($K315&amp;"",UTILITIES!$B$3:$B$953&amp;"",UTILITIES!$G$3:$G$953,""),"IOT",_xlfn.XLOOKUP($K315&amp;"",IOT!$B$3:$B$1012&amp;"",IOT!$H$3:$H$1012,""),"Server",_xlfn.XLOOKUP($K315&amp;"",SERVER!$B$3:$B$1009&amp;"",SERVER!$H$3:$H$1009,""),""),IF(TRIM(_xlpm.srcCat)&lt;&gt;TRIM($J315),"",_xlfn.SWITCH($I315,"Computer",_xlfn.XLOOKUP($K315&amp;"",COMPUTER!$B$3:$B$1009&amp;"",COMPUTER!$E$3:$E$1009,""),"Display",_xlfn.XLOOKUP($K315&amp;"",DISPLAY!$B$3:$B$1000&amp;"",DISPLAY!$E$3:$E$1000,""),"Network Device",_xlfn.XLOOKUP($K315&amp;"",'NETWORK-DEVICES'!$B$3:$B$987&amp;"",'NETWORK-DEVICES'!$E$3:$E$987,""),"Peripheral",_xlfn.XLOOKUP($K315&amp;"",PERIPHERAL!$B$3:$B$954&amp;"",PERIPHERAL!$E$3:$E$954,""),"Utilities",_xlfn.XLOOKUP($K315&amp;"",UTILITIES!$B$3:$B$953&amp;"",UTILITIES!$E$3:$E$953,""),"IOT",_xlfn.XLOOKUP($K315&amp;"",IOT!$B$3:$B$1012&amp;"",IOT!$E$3:$E$1012,""),"Server",_xlfn.XLOOKUP($K315&amp;"",SERVER!$B$3:$B$1009&amp;"",SERVER!$E$3:$E$1009,""),""))))</f>
        <v/>
      </c>
      <c r="Q315" s="1" t="str" cm="1">
        <f t="array" ref="Q315">IF(OR($K315="",$I315="",$J315=""),"",_xlfn.LET(_xlpm.srcCat,_xlfn.SWITCH($I315,"Computer",_xlfn.XLOOKUP($K315&amp;"",COMPUTER!$B$3:$B$1009&amp;"",COMPUTER!$H$3:$H$1009,""),"Display",_xlfn.XLOOKUP($K315&amp;"",DISPLAY!$B$3:$B$1000&amp;"",DISPLAY!$H$3:$H$1000,""),"Network Device",_xlfn.XLOOKUP($K315&amp;"",'NETWORK-DEVICES'!$B$3:$B$987&amp;"",'NETWORK-DEVICES'!$H$3:$H$987,""),"Peripheral",_xlfn.XLOOKUP($K315&amp;"",PERIPHERAL!$B$3:$B$954&amp;"",PERIPHERAL!$H$3:$H$954,""),"Utilities",_xlfn.XLOOKUP($K315&amp;"",UTILITIES!$B$3:$B$953&amp;"",UTILITIES!$G$3:$G$953,""),"IOT",_xlfn.XLOOKUP($K315&amp;"",IOT!$B$3:$B$1012&amp;"",IOT!$H$3:$H$1012,""),"Server",_xlfn.XLOOKUP($K315&amp;"",SERVER!$B$3:$B$1009&amp;"",SERVER!$H$3:$H$1009,""),""),IF(TRIM(_xlpm.srcCat)&lt;&gt;TRIM($J315),"",_xlfn.SWITCH($I315,"Computer",_xlfn.XLOOKUP($K315&amp;"",COMPUTER!$B$3:$B$1009&amp;"",COMPUTER!$AM$3:$AM$1009,""),"Display",_xlfn.XLOOKUP($K315&amp;"",DISPLAY!$B$3:$B$1000&amp;"",DISPLAY!$V$3:$V$1000,""),"Network Device",_xlfn.XLOOKUP($K315&amp;"",'NETWORK-DEVICES'!$B$3:$B$987&amp;"",'NETWORK-DEVICES'!$AF$3:$AF$987,""),"Peripheral",_xlfn.XLOOKUP($K315&amp;"",PERIPHERAL!$B$3:$B$954&amp;"",PERIPHERAL!$Y$3:$Y$954,""),"Utilities",_xlfn.XLOOKUP($K315&amp;"",UTILITIES!$B$3:$B$953&amp;"",UTILITIES!$O$3:$O$953,""),"IOT",_xlfn.XLOOKUP($K315&amp;"",IOT!$B$3:$B$1012&amp;"",IOT!$AB$3:$AB$1012,""),"Server",_xlfn.XLOOKUP($K315&amp;"",SERVER!$B$3:$B$1009&amp;"",SERVER!$AB$3:$AB$1009,""),""))))</f>
        <v/>
      </c>
      <c r="R315" s="43" t="str">
        <f>IF(tbl_handover[[#This Row],[Asset Code]]="","",COUNTIF(tbl_handover[Asset Code],tbl_handover[[#This Row],[Asset Code]]))</f>
        <v/>
      </c>
    </row>
    <row r="316" spans="1:18" x14ac:dyDescent="0.25">
      <c r="A316" s="43" t="str">
        <f>IF(B316&lt;&gt;"",SUBTOTAL(3,$B$1:B315),"")</f>
        <v/>
      </c>
      <c r="C316" s="74"/>
      <c r="D316" s="74"/>
      <c r="G316" s="1"/>
      <c r="K316" s="42"/>
      <c r="L316" t="str" cm="1">
        <f t="array" ref="L316">IF($K316="","",_xlfn.SWITCH($I316,"Computer",_xlfn.XLOOKUP($K316&amp;"",COMPUTER!$B$3:$B$1009&amp;"",COMPUTER!$I$3:$I$1009,""),"Display",_xlfn.XLOOKUP($K316&amp;"",DISPLAY!$B$3:$B$1000&amp;"",DISPLAY!$J$3:$J$1000,""),"Network Device",_xlfn.XLOOKUP($K316&amp;"",'NETWORK-DEVICES'!$B$3:$B$987&amp;"",'NETWORK-DEVICES'!$I$3:$I$987,""),"Peripheral",_xlfn.XLOOKUP($K316&amp;"",PERIPHERAL!$B$3:$B$954&amp;"",PERIPHERAL!$I$3:$I$954,""),"Utilities",_xlfn.XLOOKUP($K316&amp;"",UTILITIES!$B$3:$B$953&amp;"",UTILITIES!$H$3:$H$953,""),"IOT",_xlfn.XLOOKUP($K316&amp;"",IOT!$B$3:$B$1012&amp;"",IOT!$I$3:$I$1012,""),"SERVER",_xlfn.XLOOKUP($K316&amp;"",SERVER!$B$3:$B$1009&amp;"",SERVER!$I$3:$I$1009,""),""))</f>
        <v/>
      </c>
      <c r="M316" t="str" cm="1">
        <f t="array" ref="M316">IF($K316="","",_xlfn.SWITCH($I316,"Computer",_xlfn.XLOOKUP($K316&amp;"",COMPUTER!$B$3:$B$1009&amp;"",COMPUTER!$J$3:$J$1009,""),"Display",_xlfn.XLOOKUP($K316&amp;"",DISPLAY!$B$3:$B$1000&amp;"",DISPLAY!$K$3:$K$1000,""),"Network Device",_xlfn.XLOOKUP($K316&amp;"",'NETWORK-DEVICES'!$B$3:$B$987&amp;"",'NETWORK-DEVICES'!$I$3:$I$987,""),"Peripheral",_xlfn.XLOOKUP($K316&amp;"",PERIPHERAL!$B$3:$B$954&amp;"",PERIPHERAL!$J$3:$J$954,""),"Utilities",_xlfn.XLOOKUP($K316&amp;"",UTILITIES!$B$3:$B$953&amp;"",UTILITIES!$I$3:$I$953,""),"IOT",_xlfn.XLOOKUP($K316&amp;"",IOT!$B$3:$B$1012&amp;"",IOT!$J$3:$J$1012,""),"Server",_xlfn.XLOOKUP($K316&amp;"",SERVER!$B$3:$B$1009&amp;"",SERVER!$J$3:$J$1009,""),""))</f>
        <v/>
      </c>
      <c r="N316" s="1" t="str" cm="1">
        <f t="array" ref="N316">IF(OR($K316="",$I316="",$J316=""),"",_xlfn.LET(_xlpm.srcCat,_xlfn.SWITCH($I316,"Computer",_xlfn.XLOOKUP($K316&amp;"",COMPUTER!$B$3:$B$1009&amp;"",COMPUTER!$H$3:$H$1009,""),"Display",_xlfn.XLOOKUP($K316&amp;"",DISPLAY!$B$3:$B$1000&amp;"",DISPLAY!$H$3:$H$1000,""),"Network Device",_xlfn.XLOOKUP($K316&amp;"",'NETWORK-DEVICES'!$B$3:$B$987&amp;"",'NETWORK-DEVICES'!$H$3:$H$987,""),"Peripheral",_xlfn.XLOOKUP($K316&amp;"",PERIPHERAL!$B$3:$B$954&amp;"",PERIPHERAL!$H$3:$H$954,""),"Utilities",_xlfn.XLOOKUP($K316&amp;"",UTILITIES!$B$3:$B$953&amp;"",UTILITIES!$G$3:$G$953,""),"IOT",_xlfn.XLOOKUP($K316&amp;"",IOT!$B$3:$B$1012&amp;"",IOT!$H$3:$H$1012,""),"Server",_xlfn.XLOOKUP($K316&amp;"",SERVER!$B$3:$B$1009&amp;"",SERVER!$H$3:$H$1009,""),""),IF(TRIM(_xlpm.srcCat)&lt;&gt;TRIM($J316),"",_xlfn.SWITCH($I316,"Computer",_xlfn.XLOOKUP($K316&amp;"",COMPUTER!$B$3:$B$1009&amp;"",COMPUTER!$K$3:$K$1009,""),"Display",_xlfn.XLOOKUP($K316&amp;"",DISPLAY!$B$3:$B$1000&amp;"",DISPLAY!$L$3:$L$1000,""),"Network Device",_xlfn.XLOOKUP($K316&amp;"",'NETWORK-DEVICES'!$B$3:$B$987&amp;"",'NETWORK-DEVICES'!$K$3:$K$987,""),"Peripheral",_xlfn.XLOOKUP($K316&amp;"",PERIPHERAL!$B$3:$B$954&amp;"",PERIPHERAL!$K$3:$K$954,""),"Utilities",_xlfn.XLOOKUP($K316&amp;"",UTILITIES!$B$3:$B$953&amp;"",UTILITIES!$J$3:$J$953,""),"IOT",_xlfn.XLOOKUP($K316&amp;"",IOT!$B$3:$B$1012&amp;"",IOT!$K$4:$K$1012,""),"Server",_xlfn.XLOOKUP($K316&amp;"",SERVER!$B$3:$B$1009&amp;"",SERVER!$K$3:$K$1009,""),""))))</f>
        <v/>
      </c>
      <c r="O316" s="1" t="str" cm="1">
        <f t="array" ref="O316">IF(OR($K316="",$I316="",$J316=""),"",_xlfn.LET(_xlpm.srcCat,_xlfn.SWITCH($I316,"Computer",_xlfn.XLOOKUP($K316&amp;"",COMPUTER!$B$3:$B$1009&amp;"",COMPUTER!$H$3:$H$1009,""),"Display",_xlfn.XLOOKUP($K316&amp;"",DISPLAY!$B$3:$B$1000&amp;"",DISPLAY!$H$3:$H$1000,""),"Network Device",_xlfn.XLOOKUP($K316&amp;"",'NETWORK-DEVICES'!$B$3:$B$987&amp;"",'NETWORK-DEVICES'!$H$3:$H$987,""),"Peripheral",_xlfn.XLOOKUP($K316&amp;"",PERIPHERAL!$B$3:$B$954&amp;"",PERIPHERAL!$H$3:$H$954,""),"Utilities",_xlfn.XLOOKUP($K316&amp;"",UTILITIES!$B$3:$B$953&amp;"",UTILITIES!$G$3:$G$953,""),"IOT",_xlfn.XLOOKUP($K316&amp;"",IOT!$B$3:$B$1012&amp;"",IOT!$H$3:$H$1012,""),"Server",_xlfn.XLOOKUP($K316&amp;"",SERVER!$B$3:$B$1009&amp;"",SERVER!$H$3:$H$1009,""),""),IF(TRIM(_xlpm.srcCat)&lt;&gt;TRIM($J316),"",_xlfn.SWITCH($I316,"Computer",_xlfn.XLOOKUP($K316&amp;"",COMPUTER!$B$3:$B$1009&amp;"",COMPUTER!$E$3:$E$1009,""),"Display",_xlfn.XLOOKUP($K316&amp;"",DISPLAY!$B$3:$B$1000&amp;"",DISPLAY!$E$3:$E$1000,""),"Network Device",_xlfn.XLOOKUP($K316&amp;"",'NETWORK-DEVICES'!$B$3:$B$987&amp;"",'NETWORK-DEVICES'!$E$3:$E$987,""),"Peripheral",_xlfn.XLOOKUP($K316&amp;"",PERIPHERAL!$B$3:$B$954&amp;"",PERIPHERAL!$E$3:$E$954,""),"Utilities",_xlfn.XLOOKUP($K316&amp;"",UTILITIES!$B$3:$B$953&amp;"",UTILITIES!$E$3:$E$953,""),"IOT",_xlfn.XLOOKUP($K316&amp;"",IOT!$B$3:$B$1012&amp;"",IOT!$E$3:$E$1012,""),"Server",_xlfn.XLOOKUP($K316&amp;"",SERVER!$B$3:$B$1009&amp;"",SERVER!$E$3:$E$1009,""),""))))</f>
        <v/>
      </c>
      <c r="Q316" s="1" t="str" cm="1">
        <f t="array" ref="Q316">IF(OR($K316="",$I316="",$J316=""),"",_xlfn.LET(_xlpm.srcCat,_xlfn.SWITCH($I316,"Computer",_xlfn.XLOOKUP($K316&amp;"",COMPUTER!$B$3:$B$1009&amp;"",COMPUTER!$H$3:$H$1009,""),"Display",_xlfn.XLOOKUP($K316&amp;"",DISPLAY!$B$3:$B$1000&amp;"",DISPLAY!$H$3:$H$1000,""),"Network Device",_xlfn.XLOOKUP($K316&amp;"",'NETWORK-DEVICES'!$B$3:$B$987&amp;"",'NETWORK-DEVICES'!$H$3:$H$987,""),"Peripheral",_xlfn.XLOOKUP($K316&amp;"",PERIPHERAL!$B$3:$B$954&amp;"",PERIPHERAL!$H$3:$H$954,""),"Utilities",_xlfn.XLOOKUP($K316&amp;"",UTILITIES!$B$3:$B$953&amp;"",UTILITIES!$G$3:$G$953,""),"IOT",_xlfn.XLOOKUP($K316&amp;"",IOT!$B$3:$B$1012&amp;"",IOT!$H$3:$H$1012,""),"Server",_xlfn.XLOOKUP($K316&amp;"",SERVER!$B$3:$B$1009&amp;"",SERVER!$H$3:$H$1009,""),""),IF(TRIM(_xlpm.srcCat)&lt;&gt;TRIM($J316),"",_xlfn.SWITCH($I316,"Computer",_xlfn.XLOOKUP($K316&amp;"",COMPUTER!$B$3:$B$1009&amp;"",COMPUTER!$AM$3:$AM$1009,""),"Display",_xlfn.XLOOKUP($K316&amp;"",DISPLAY!$B$3:$B$1000&amp;"",DISPLAY!$V$3:$V$1000,""),"Network Device",_xlfn.XLOOKUP($K316&amp;"",'NETWORK-DEVICES'!$B$3:$B$987&amp;"",'NETWORK-DEVICES'!$AF$3:$AF$987,""),"Peripheral",_xlfn.XLOOKUP($K316&amp;"",PERIPHERAL!$B$3:$B$954&amp;"",PERIPHERAL!$Y$3:$Y$954,""),"Utilities",_xlfn.XLOOKUP($K316&amp;"",UTILITIES!$B$3:$B$953&amp;"",UTILITIES!$O$3:$O$953,""),"IOT",_xlfn.XLOOKUP($K316&amp;"",IOT!$B$3:$B$1012&amp;"",IOT!$AB$3:$AB$1012,""),"Server",_xlfn.XLOOKUP($K316&amp;"",SERVER!$B$3:$B$1009&amp;"",SERVER!$AB$3:$AB$1009,""),""))))</f>
        <v/>
      </c>
      <c r="R316" s="43" t="str">
        <f>IF(tbl_handover[[#This Row],[Asset Code]]="","",COUNTIF(tbl_handover[Asset Code],tbl_handover[[#This Row],[Asset Code]]))</f>
        <v/>
      </c>
    </row>
    <row r="317" spans="1:18" x14ac:dyDescent="0.25">
      <c r="A317" s="43" t="str">
        <f>IF(B317&lt;&gt;"",SUBTOTAL(3,$B$1:B316),"")</f>
        <v/>
      </c>
      <c r="C317" s="74"/>
      <c r="D317" s="74"/>
      <c r="G317" s="1"/>
      <c r="K317" s="42"/>
      <c r="L317" t="str" cm="1">
        <f t="array" ref="L317">IF($K317="","",_xlfn.SWITCH($I317,"Computer",_xlfn.XLOOKUP($K317&amp;"",COMPUTER!$B$3:$B$1009&amp;"",COMPUTER!$I$3:$I$1009,""),"Display",_xlfn.XLOOKUP($K317&amp;"",DISPLAY!$B$3:$B$1000&amp;"",DISPLAY!$J$3:$J$1000,""),"Network Device",_xlfn.XLOOKUP($K317&amp;"",'NETWORK-DEVICES'!$B$3:$B$987&amp;"",'NETWORK-DEVICES'!$I$3:$I$987,""),"Peripheral",_xlfn.XLOOKUP($K317&amp;"",PERIPHERAL!$B$3:$B$954&amp;"",PERIPHERAL!$I$3:$I$954,""),"Utilities",_xlfn.XLOOKUP($K317&amp;"",UTILITIES!$B$3:$B$953&amp;"",UTILITIES!$H$3:$H$953,""),"IOT",_xlfn.XLOOKUP($K317&amp;"",IOT!$B$3:$B$1012&amp;"",IOT!$I$3:$I$1012,""),"SERVER",_xlfn.XLOOKUP($K317&amp;"",SERVER!$B$3:$B$1009&amp;"",SERVER!$I$3:$I$1009,""),""))</f>
        <v/>
      </c>
      <c r="M317" t="str" cm="1">
        <f t="array" ref="M317">IF($K317="","",_xlfn.SWITCH($I317,"Computer",_xlfn.XLOOKUP($K317&amp;"",COMPUTER!$B$3:$B$1009&amp;"",COMPUTER!$J$3:$J$1009,""),"Display",_xlfn.XLOOKUP($K317&amp;"",DISPLAY!$B$3:$B$1000&amp;"",DISPLAY!$K$3:$K$1000,""),"Network Device",_xlfn.XLOOKUP($K317&amp;"",'NETWORK-DEVICES'!$B$3:$B$987&amp;"",'NETWORK-DEVICES'!$I$3:$I$987,""),"Peripheral",_xlfn.XLOOKUP($K317&amp;"",PERIPHERAL!$B$3:$B$954&amp;"",PERIPHERAL!$J$3:$J$954,""),"Utilities",_xlfn.XLOOKUP($K317&amp;"",UTILITIES!$B$3:$B$953&amp;"",UTILITIES!$I$3:$I$953,""),"IOT",_xlfn.XLOOKUP($K317&amp;"",IOT!$B$3:$B$1012&amp;"",IOT!$J$3:$J$1012,""),"Server",_xlfn.XLOOKUP($K317&amp;"",SERVER!$B$3:$B$1009&amp;"",SERVER!$J$3:$J$1009,""),""))</f>
        <v/>
      </c>
      <c r="N317" s="1" t="str" cm="1">
        <f t="array" ref="N317">IF(OR($K317="",$I317="",$J317=""),"",_xlfn.LET(_xlpm.srcCat,_xlfn.SWITCH($I317,"Computer",_xlfn.XLOOKUP($K317&amp;"",COMPUTER!$B$3:$B$1009&amp;"",COMPUTER!$H$3:$H$1009,""),"Display",_xlfn.XLOOKUP($K317&amp;"",DISPLAY!$B$3:$B$1000&amp;"",DISPLAY!$H$3:$H$1000,""),"Network Device",_xlfn.XLOOKUP($K317&amp;"",'NETWORK-DEVICES'!$B$3:$B$987&amp;"",'NETWORK-DEVICES'!$H$3:$H$987,""),"Peripheral",_xlfn.XLOOKUP($K317&amp;"",PERIPHERAL!$B$3:$B$954&amp;"",PERIPHERAL!$H$3:$H$954,""),"Utilities",_xlfn.XLOOKUP($K317&amp;"",UTILITIES!$B$3:$B$953&amp;"",UTILITIES!$G$3:$G$953,""),"IOT",_xlfn.XLOOKUP($K317&amp;"",IOT!$B$3:$B$1012&amp;"",IOT!$H$3:$H$1012,""),"Server",_xlfn.XLOOKUP($K317&amp;"",SERVER!$B$3:$B$1009&amp;"",SERVER!$H$3:$H$1009,""),""),IF(TRIM(_xlpm.srcCat)&lt;&gt;TRIM($J317),"",_xlfn.SWITCH($I317,"Computer",_xlfn.XLOOKUP($K317&amp;"",COMPUTER!$B$3:$B$1009&amp;"",COMPUTER!$K$3:$K$1009,""),"Display",_xlfn.XLOOKUP($K317&amp;"",DISPLAY!$B$3:$B$1000&amp;"",DISPLAY!$L$3:$L$1000,""),"Network Device",_xlfn.XLOOKUP($K317&amp;"",'NETWORK-DEVICES'!$B$3:$B$987&amp;"",'NETWORK-DEVICES'!$K$3:$K$987,""),"Peripheral",_xlfn.XLOOKUP($K317&amp;"",PERIPHERAL!$B$3:$B$954&amp;"",PERIPHERAL!$K$3:$K$954,""),"Utilities",_xlfn.XLOOKUP($K317&amp;"",UTILITIES!$B$3:$B$953&amp;"",UTILITIES!$J$3:$J$953,""),"IOT",_xlfn.XLOOKUP($K317&amp;"",IOT!$B$3:$B$1012&amp;"",IOT!$K$4:$K$1012,""),"Server",_xlfn.XLOOKUP($K317&amp;"",SERVER!$B$3:$B$1009&amp;"",SERVER!$K$3:$K$1009,""),""))))</f>
        <v/>
      </c>
      <c r="O317" s="1" t="str" cm="1">
        <f t="array" ref="O317">IF(OR($K317="",$I317="",$J317=""),"",_xlfn.LET(_xlpm.srcCat,_xlfn.SWITCH($I317,"Computer",_xlfn.XLOOKUP($K317&amp;"",COMPUTER!$B$3:$B$1009&amp;"",COMPUTER!$H$3:$H$1009,""),"Display",_xlfn.XLOOKUP($K317&amp;"",DISPLAY!$B$3:$B$1000&amp;"",DISPLAY!$H$3:$H$1000,""),"Network Device",_xlfn.XLOOKUP($K317&amp;"",'NETWORK-DEVICES'!$B$3:$B$987&amp;"",'NETWORK-DEVICES'!$H$3:$H$987,""),"Peripheral",_xlfn.XLOOKUP($K317&amp;"",PERIPHERAL!$B$3:$B$954&amp;"",PERIPHERAL!$H$3:$H$954,""),"Utilities",_xlfn.XLOOKUP($K317&amp;"",UTILITIES!$B$3:$B$953&amp;"",UTILITIES!$G$3:$G$953,""),"IOT",_xlfn.XLOOKUP($K317&amp;"",IOT!$B$3:$B$1012&amp;"",IOT!$H$3:$H$1012,""),"Server",_xlfn.XLOOKUP($K317&amp;"",SERVER!$B$3:$B$1009&amp;"",SERVER!$H$3:$H$1009,""),""),IF(TRIM(_xlpm.srcCat)&lt;&gt;TRIM($J317),"",_xlfn.SWITCH($I317,"Computer",_xlfn.XLOOKUP($K317&amp;"",COMPUTER!$B$3:$B$1009&amp;"",COMPUTER!$E$3:$E$1009,""),"Display",_xlfn.XLOOKUP($K317&amp;"",DISPLAY!$B$3:$B$1000&amp;"",DISPLAY!$E$3:$E$1000,""),"Network Device",_xlfn.XLOOKUP($K317&amp;"",'NETWORK-DEVICES'!$B$3:$B$987&amp;"",'NETWORK-DEVICES'!$E$3:$E$987,""),"Peripheral",_xlfn.XLOOKUP($K317&amp;"",PERIPHERAL!$B$3:$B$954&amp;"",PERIPHERAL!$E$3:$E$954,""),"Utilities",_xlfn.XLOOKUP($K317&amp;"",UTILITIES!$B$3:$B$953&amp;"",UTILITIES!$E$3:$E$953,""),"IOT",_xlfn.XLOOKUP($K317&amp;"",IOT!$B$3:$B$1012&amp;"",IOT!$E$3:$E$1012,""),"Server",_xlfn.XLOOKUP($K317&amp;"",SERVER!$B$3:$B$1009&amp;"",SERVER!$E$3:$E$1009,""),""))))</f>
        <v/>
      </c>
      <c r="Q317" s="1" t="str" cm="1">
        <f t="array" ref="Q317">IF(OR($K317="",$I317="",$J317=""),"",_xlfn.LET(_xlpm.srcCat,_xlfn.SWITCH($I317,"Computer",_xlfn.XLOOKUP($K317&amp;"",COMPUTER!$B$3:$B$1009&amp;"",COMPUTER!$H$3:$H$1009,""),"Display",_xlfn.XLOOKUP($K317&amp;"",DISPLAY!$B$3:$B$1000&amp;"",DISPLAY!$H$3:$H$1000,""),"Network Device",_xlfn.XLOOKUP($K317&amp;"",'NETWORK-DEVICES'!$B$3:$B$987&amp;"",'NETWORK-DEVICES'!$H$3:$H$987,""),"Peripheral",_xlfn.XLOOKUP($K317&amp;"",PERIPHERAL!$B$3:$B$954&amp;"",PERIPHERAL!$H$3:$H$954,""),"Utilities",_xlfn.XLOOKUP($K317&amp;"",UTILITIES!$B$3:$B$953&amp;"",UTILITIES!$G$3:$G$953,""),"IOT",_xlfn.XLOOKUP($K317&amp;"",IOT!$B$3:$B$1012&amp;"",IOT!$H$3:$H$1012,""),"Server",_xlfn.XLOOKUP($K317&amp;"",SERVER!$B$3:$B$1009&amp;"",SERVER!$H$3:$H$1009,""),""),IF(TRIM(_xlpm.srcCat)&lt;&gt;TRIM($J317),"",_xlfn.SWITCH($I317,"Computer",_xlfn.XLOOKUP($K317&amp;"",COMPUTER!$B$3:$B$1009&amp;"",COMPUTER!$AM$3:$AM$1009,""),"Display",_xlfn.XLOOKUP($K317&amp;"",DISPLAY!$B$3:$B$1000&amp;"",DISPLAY!$V$3:$V$1000,""),"Network Device",_xlfn.XLOOKUP($K317&amp;"",'NETWORK-DEVICES'!$B$3:$B$987&amp;"",'NETWORK-DEVICES'!$AF$3:$AF$987,""),"Peripheral",_xlfn.XLOOKUP($K317&amp;"",PERIPHERAL!$B$3:$B$954&amp;"",PERIPHERAL!$Y$3:$Y$954,""),"Utilities",_xlfn.XLOOKUP($K317&amp;"",UTILITIES!$B$3:$B$953&amp;"",UTILITIES!$O$3:$O$953,""),"IOT",_xlfn.XLOOKUP($K317&amp;"",IOT!$B$3:$B$1012&amp;"",IOT!$AB$3:$AB$1012,""),"Server",_xlfn.XLOOKUP($K317&amp;"",SERVER!$B$3:$B$1009&amp;"",SERVER!$AB$3:$AB$1009,""),""))))</f>
        <v/>
      </c>
      <c r="R317" s="43" t="str">
        <f>IF(tbl_handover[[#This Row],[Asset Code]]="","",COUNTIF(tbl_handover[Asset Code],tbl_handover[[#This Row],[Asset Code]]))</f>
        <v/>
      </c>
    </row>
    <row r="318" spans="1:18" x14ac:dyDescent="0.25">
      <c r="A318" s="43" t="str">
        <f>IF(B318&lt;&gt;"",SUBTOTAL(3,$B$1:B317),"")</f>
        <v/>
      </c>
      <c r="C318" s="74"/>
      <c r="D318" s="74"/>
      <c r="G318" s="1"/>
      <c r="K318" s="42"/>
      <c r="L318" t="str" cm="1">
        <f t="array" ref="L318">IF($K318="","",_xlfn.SWITCH($I318,"Computer",_xlfn.XLOOKUP($K318&amp;"",COMPUTER!$B$3:$B$1009&amp;"",COMPUTER!$I$3:$I$1009,""),"Display",_xlfn.XLOOKUP($K318&amp;"",DISPLAY!$B$3:$B$1000&amp;"",DISPLAY!$J$3:$J$1000,""),"Network Device",_xlfn.XLOOKUP($K318&amp;"",'NETWORK-DEVICES'!$B$3:$B$987&amp;"",'NETWORK-DEVICES'!$I$3:$I$987,""),"Peripheral",_xlfn.XLOOKUP($K318&amp;"",PERIPHERAL!$B$3:$B$954&amp;"",PERIPHERAL!$I$3:$I$954,""),"Utilities",_xlfn.XLOOKUP($K318&amp;"",UTILITIES!$B$3:$B$953&amp;"",UTILITIES!$H$3:$H$953,""),"IOT",_xlfn.XLOOKUP($K318&amp;"",IOT!$B$3:$B$1012&amp;"",IOT!$I$3:$I$1012,""),"SERVER",_xlfn.XLOOKUP($K318&amp;"",SERVER!$B$3:$B$1009&amp;"",SERVER!$I$3:$I$1009,""),""))</f>
        <v/>
      </c>
      <c r="M318" t="str" cm="1">
        <f t="array" ref="M318">IF($K318="","",_xlfn.SWITCH($I318,"Computer",_xlfn.XLOOKUP($K318&amp;"",COMPUTER!$B$3:$B$1009&amp;"",COMPUTER!$J$3:$J$1009,""),"Display",_xlfn.XLOOKUP($K318&amp;"",DISPLAY!$B$3:$B$1000&amp;"",DISPLAY!$K$3:$K$1000,""),"Network Device",_xlfn.XLOOKUP($K318&amp;"",'NETWORK-DEVICES'!$B$3:$B$987&amp;"",'NETWORK-DEVICES'!$I$3:$I$987,""),"Peripheral",_xlfn.XLOOKUP($K318&amp;"",PERIPHERAL!$B$3:$B$954&amp;"",PERIPHERAL!$J$3:$J$954,""),"Utilities",_xlfn.XLOOKUP($K318&amp;"",UTILITIES!$B$3:$B$953&amp;"",UTILITIES!$I$3:$I$953,""),"IOT",_xlfn.XLOOKUP($K318&amp;"",IOT!$B$3:$B$1012&amp;"",IOT!$J$3:$J$1012,""),"Server",_xlfn.XLOOKUP($K318&amp;"",SERVER!$B$3:$B$1009&amp;"",SERVER!$J$3:$J$1009,""),""))</f>
        <v/>
      </c>
      <c r="N318" s="1" t="str" cm="1">
        <f t="array" ref="N318">IF(OR($K318="",$I318="",$J318=""),"",_xlfn.LET(_xlpm.srcCat,_xlfn.SWITCH($I318,"Computer",_xlfn.XLOOKUP($K318&amp;"",COMPUTER!$B$3:$B$1009&amp;"",COMPUTER!$H$3:$H$1009,""),"Display",_xlfn.XLOOKUP($K318&amp;"",DISPLAY!$B$3:$B$1000&amp;"",DISPLAY!$H$3:$H$1000,""),"Network Device",_xlfn.XLOOKUP($K318&amp;"",'NETWORK-DEVICES'!$B$3:$B$987&amp;"",'NETWORK-DEVICES'!$H$3:$H$987,""),"Peripheral",_xlfn.XLOOKUP($K318&amp;"",PERIPHERAL!$B$3:$B$954&amp;"",PERIPHERAL!$H$3:$H$954,""),"Utilities",_xlfn.XLOOKUP($K318&amp;"",UTILITIES!$B$3:$B$953&amp;"",UTILITIES!$G$3:$G$953,""),"IOT",_xlfn.XLOOKUP($K318&amp;"",IOT!$B$3:$B$1012&amp;"",IOT!$H$3:$H$1012,""),"Server",_xlfn.XLOOKUP($K318&amp;"",SERVER!$B$3:$B$1009&amp;"",SERVER!$H$3:$H$1009,""),""),IF(TRIM(_xlpm.srcCat)&lt;&gt;TRIM($J318),"",_xlfn.SWITCH($I318,"Computer",_xlfn.XLOOKUP($K318&amp;"",COMPUTER!$B$3:$B$1009&amp;"",COMPUTER!$K$3:$K$1009,""),"Display",_xlfn.XLOOKUP($K318&amp;"",DISPLAY!$B$3:$B$1000&amp;"",DISPLAY!$L$3:$L$1000,""),"Network Device",_xlfn.XLOOKUP($K318&amp;"",'NETWORK-DEVICES'!$B$3:$B$987&amp;"",'NETWORK-DEVICES'!$K$3:$K$987,""),"Peripheral",_xlfn.XLOOKUP($K318&amp;"",PERIPHERAL!$B$3:$B$954&amp;"",PERIPHERAL!$K$3:$K$954,""),"Utilities",_xlfn.XLOOKUP($K318&amp;"",UTILITIES!$B$3:$B$953&amp;"",UTILITIES!$J$3:$J$953,""),"IOT",_xlfn.XLOOKUP($K318&amp;"",IOT!$B$3:$B$1012&amp;"",IOT!$K$4:$K$1012,""),"Server",_xlfn.XLOOKUP($K318&amp;"",SERVER!$B$3:$B$1009&amp;"",SERVER!$K$3:$K$1009,""),""))))</f>
        <v/>
      </c>
      <c r="O318" s="1" t="str" cm="1">
        <f t="array" ref="O318">IF(OR($K318="",$I318="",$J318=""),"",_xlfn.LET(_xlpm.srcCat,_xlfn.SWITCH($I318,"Computer",_xlfn.XLOOKUP($K318&amp;"",COMPUTER!$B$3:$B$1009&amp;"",COMPUTER!$H$3:$H$1009,""),"Display",_xlfn.XLOOKUP($K318&amp;"",DISPLAY!$B$3:$B$1000&amp;"",DISPLAY!$H$3:$H$1000,""),"Network Device",_xlfn.XLOOKUP($K318&amp;"",'NETWORK-DEVICES'!$B$3:$B$987&amp;"",'NETWORK-DEVICES'!$H$3:$H$987,""),"Peripheral",_xlfn.XLOOKUP($K318&amp;"",PERIPHERAL!$B$3:$B$954&amp;"",PERIPHERAL!$H$3:$H$954,""),"Utilities",_xlfn.XLOOKUP($K318&amp;"",UTILITIES!$B$3:$B$953&amp;"",UTILITIES!$G$3:$G$953,""),"IOT",_xlfn.XLOOKUP($K318&amp;"",IOT!$B$3:$B$1012&amp;"",IOT!$H$3:$H$1012,""),"Server",_xlfn.XLOOKUP($K318&amp;"",SERVER!$B$3:$B$1009&amp;"",SERVER!$H$3:$H$1009,""),""),IF(TRIM(_xlpm.srcCat)&lt;&gt;TRIM($J318),"",_xlfn.SWITCH($I318,"Computer",_xlfn.XLOOKUP($K318&amp;"",COMPUTER!$B$3:$B$1009&amp;"",COMPUTER!$E$3:$E$1009,""),"Display",_xlfn.XLOOKUP($K318&amp;"",DISPLAY!$B$3:$B$1000&amp;"",DISPLAY!$E$3:$E$1000,""),"Network Device",_xlfn.XLOOKUP($K318&amp;"",'NETWORK-DEVICES'!$B$3:$B$987&amp;"",'NETWORK-DEVICES'!$E$3:$E$987,""),"Peripheral",_xlfn.XLOOKUP($K318&amp;"",PERIPHERAL!$B$3:$B$954&amp;"",PERIPHERAL!$E$3:$E$954,""),"Utilities",_xlfn.XLOOKUP($K318&amp;"",UTILITIES!$B$3:$B$953&amp;"",UTILITIES!$E$3:$E$953,""),"IOT",_xlfn.XLOOKUP($K318&amp;"",IOT!$B$3:$B$1012&amp;"",IOT!$E$3:$E$1012,""),"Server",_xlfn.XLOOKUP($K318&amp;"",SERVER!$B$3:$B$1009&amp;"",SERVER!$E$3:$E$1009,""),""))))</f>
        <v/>
      </c>
      <c r="Q318" s="1" t="str" cm="1">
        <f t="array" ref="Q318">IF(OR($K318="",$I318="",$J318=""),"",_xlfn.LET(_xlpm.srcCat,_xlfn.SWITCH($I318,"Computer",_xlfn.XLOOKUP($K318&amp;"",COMPUTER!$B$3:$B$1009&amp;"",COMPUTER!$H$3:$H$1009,""),"Display",_xlfn.XLOOKUP($K318&amp;"",DISPLAY!$B$3:$B$1000&amp;"",DISPLAY!$H$3:$H$1000,""),"Network Device",_xlfn.XLOOKUP($K318&amp;"",'NETWORK-DEVICES'!$B$3:$B$987&amp;"",'NETWORK-DEVICES'!$H$3:$H$987,""),"Peripheral",_xlfn.XLOOKUP($K318&amp;"",PERIPHERAL!$B$3:$B$954&amp;"",PERIPHERAL!$H$3:$H$954,""),"Utilities",_xlfn.XLOOKUP($K318&amp;"",UTILITIES!$B$3:$B$953&amp;"",UTILITIES!$G$3:$G$953,""),"IOT",_xlfn.XLOOKUP($K318&amp;"",IOT!$B$3:$B$1012&amp;"",IOT!$H$3:$H$1012,""),"Server",_xlfn.XLOOKUP($K318&amp;"",SERVER!$B$3:$B$1009&amp;"",SERVER!$H$3:$H$1009,""),""),IF(TRIM(_xlpm.srcCat)&lt;&gt;TRIM($J318),"",_xlfn.SWITCH($I318,"Computer",_xlfn.XLOOKUP($K318&amp;"",COMPUTER!$B$3:$B$1009&amp;"",COMPUTER!$AM$3:$AM$1009,""),"Display",_xlfn.XLOOKUP($K318&amp;"",DISPLAY!$B$3:$B$1000&amp;"",DISPLAY!$V$3:$V$1000,""),"Network Device",_xlfn.XLOOKUP($K318&amp;"",'NETWORK-DEVICES'!$B$3:$B$987&amp;"",'NETWORK-DEVICES'!$AF$3:$AF$987,""),"Peripheral",_xlfn.XLOOKUP($K318&amp;"",PERIPHERAL!$B$3:$B$954&amp;"",PERIPHERAL!$Y$3:$Y$954,""),"Utilities",_xlfn.XLOOKUP($K318&amp;"",UTILITIES!$B$3:$B$953&amp;"",UTILITIES!$O$3:$O$953,""),"IOT",_xlfn.XLOOKUP($K318&amp;"",IOT!$B$3:$B$1012&amp;"",IOT!$AB$3:$AB$1012,""),"Server",_xlfn.XLOOKUP($K318&amp;"",SERVER!$B$3:$B$1009&amp;"",SERVER!$AB$3:$AB$1009,""),""))))</f>
        <v/>
      </c>
      <c r="R318" s="43" t="str">
        <f>IF(tbl_handover[[#This Row],[Asset Code]]="","",COUNTIF(tbl_handover[Asset Code],tbl_handover[[#This Row],[Asset Code]]))</f>
        <v/>
      </c>
    </row>
    <row r="319" spans="1:18" x14ac:dyDescent="0.25">
      <c r="A319" s="43" t="str">
        <f>IF(B319&lt;&gt;"",SUBTOTAL(3,$B$1:B318),"")</f>
        <v/>
      </c>
      <c r="C319" s="74"/>
      <c r="D319" s="74"/>
      <c r="G319" s="1"/>
      <c r="K319" s="42"/>
      <c r="L319" t="str" cm="1">
        <f t="array" ref="L319">IF($K319="","",_xlfn.SWITCH($I319,"Computer",_xlfn.XLOOKUP($K319&amp;"",COMPUTER!$B$3:$B$1009&amp;"",COMPUTER!$I$3:$I$1009,""),"Display",_xlfn.XLOOKUP($K319&amp;"",DISPLAY!$B$3:$B$1000&amp;"",DISPLAY!$J$3:$J$1000,""),"Network Device",_xlfn.XLOOKUP($K319&amp;"",'NETWORK-DEVICES'!$B$3:$B$987&amp;"",'NETWORK-DEVICES'!$I$3:$I$987,""),"Peripheral",_xlfn.XLOOKUP($K319&amp;"",PERIPHERAL!$B$3:$B$954&amp;"",PERIPHERAL!$I$3:$I$954,""),"Utilities",_xlfn.XLOOKUP($K319&amp;"",UTILITIES!$B$3:$B$953&amp;"",UTILITIES!$H$3:$H$953,""),"IOT",_xlfn.XLOOKUP($K319&amp;"",IOT!$B$3:$B$1012&amp;"",IOT!$I$3:$I$1012,""),"SERVER",_xlfn.XLOOKUP($K319&amp;"",SERVER!$B$3:$B$1009&amp;"",SERVER!$I$3:$I$1009,""),""))</f>
        <v/>
      </c>
      <c r="M319" t="str" cm="1">
        <f t="array" ref="M319">IF($K319="","",_xlfn.SWITCH($I319,"Computer",_xlfn.XLOOKUP($K319&amp;"",COMPUTER!$B$3:$B$1009&amp;"",COMPUTER!$J$3:$J$1009,""),"Display",_xlfn.XLOOKUP($K319&amp;"",DISPLAY!$B$3:$B$1000&amp;"",DISPLAY!$K$3:$K$1000,""),"Network Device",_xlfn.XLOOKUP($K319&amp;"",'NETWORK-DEVICES'!$B$3:$B$987&amp;"",'NETWORK-DEVICES'!$I$3:$I$987,""),"Peripheral",_xlfn.XLOOKUP($K319&amp;"",PERIPHERAL!$B$3:$B$954&amp;"",PERIPHERAL!$J$3:$J$954,""),"Utilities",_xlfn.XLOOKUP($K319&amp;"",UTILITIES!$B$3:$B$953&amp;"",UTILITIES!$I$3:$I$953,""),"IOT",_xlfn.XLOOKUP($K319&amp;"",IOT!$B$3:$B$1012&amp;"",IOT!$J$3:$J$1012,""),"Server",_xlfn.XLOOKUP($K319&amp;"",SERVER!$B$3:$B$1009&amp;"",SERVER!$J$3:$J$1009,""),""))</f>
        <v/>
      </c>
      <c r="N319" s="1" t="str" cm="1">
        <f t="array" ref="N319">IF(OR($K319="",$I319="",$J319=""),"",_xlfn.LET(_xlpm.srcCat,_xlfn.SWITCH($I319,"Computer",_xlfn.XLOOKUP($K319&amp;"",COMPUTER!$B$3:$B$1009&amp;"",COMPUTER!$H$3:$H$1009,""),"Display",_xlfn.XLOOKUP($K319&amp;"",DISPLAY!$B$3:$B$1000&amp;"",DISPLAY!$H$3:$H$1000,""),"Network Device",_xlfn.XLOOKUP($K319&amp;"",'NETWORK-DEVICES'!$B$3:$B$987&amp;"",'NETWORK-DEVICES'!$H$3:$H$987,""),"Peripheral",_xlfn.XLOOKUP($K319&amp;"",PERIPHERAL!$B$3:$B$954&amp;"",PERIPHERAL!$H$3:$H$954,""),"Utilities",_xlfn.XLOOKUP($K319&amp;"",UTILITIES!$B$3:$B$953&amp;"",UTILITIES!$G$3:$G$953,""),"IOT",_xlfn.XLOOKUP($K319&amp;"",IOT!$B$3:$B$1012&amp;"",IOT!$H$3:$H$1012,""),"Server",_xlfn.XLOOKUP($K319&amp;"",SERVER!$B$3:$B$1009&amp;"",SERVER!$H$3:$H$1009,""),""),IF(TRIM(_xlpm.srcCat)&lt;&gt;TRIM($J319),"",_xlfn.SWITCH($I319,"Computer",_xlfn.XLOOKUP($K319&amp;"",COMPUTER!$B$3:$B$1009&amp;"",COMPUTER!$K$3:$K$1009,""),"Display",_xlfn.XLOOKUP($K319&amp;"",DISPLAY!$B$3:$B$1000&amp;"",DISPLAY!$L$3:$L$1000,""),"Network Device",_xlfn.XLOOKUP($K319&amp;"",'NETWORK-DEVICES'!$B$3:$B$987&amp;"",'NETWORK-DEVICES'!$K$3:$K$987,""),"Peripheral",_xlfn.XLOOKUP($K319&amp;"",PERIPHERAL!$B$3:$B$954&amp;"",PERIPHERAL!$K$3:$K$954,""),"Utilities",_xlfn.XLOOKUP($K319&amp;"",UTILITIES!$B$3:$B$953&amp;"",UTILITIES!$J$3:$J$953,""),"IOT",_xlfn.XLOOKUP($K319&amp;"",IOT!$B$3:$B$1012&amp;"",IOT!$K$4:$K$1012,""),"Server",_xlfn.XLOOKUP($K319&amp;"",SERVER!$B$3:$B$1009&amp;"",SERVER!$K$3:$K$1009,""),""))))</f>
        <v/>
      </c>
      <c r="O319" s="1" t="str" cm="1">
        <f t="array" ref="O319">IF(OR($K319="",$I319="",$J319=""),"",_xlfn.LET(_xlpm.srcCat,_xlfn.SWITCH($I319,"Computer",_xlfn.XLOOKUP($K319&amp;"",COMPUTER!$B$3:$B$1009&amp;"",COMPUTER!$H$3:$H$1009,""),"Display",_xlfn.XLOOKUP($K319&amp;"",DISPLAY!$B$3:$B$1000&amp;"",DISPLAY!$H$3:$H$1000,""),"Network Device",_xlfn.XLOOKUP($K319&amp;"",'NETWORK-DEVICES'!$B$3:$B$987&amp;"",'NETWORK-DEVICES'!$H$3:$H$987,""),"Peripheral",_xlfn.XLOOKUP($K319&amp;"",PERIPHERAL!$B$3:$B$954&amp;"",PERIPHERAL!$H$3:$H$954,""),"Utilities",_xlfn.XLOOKUP($K319&amp;"",UTILITIES!$B$3:$B$953&amp;"",UTILITIES!$G$3:$G$953,""),"IOT",_xlfn.XLOOKUP($K319&amp;"",IOT!$B$3:$B$1012&amp;"",IOT!$H$3:$H$1012,""),"Server",_xlfn.XLOOKUP($K319&amp;"",SERVER!$B$3:$B$1009&amp;"",SERVER!$H$3:$H$1009,""),""),IF(TRIM(_xlpm.srcCat)&lt;&gt;TRIM($J319),"",_xlfn.SWITCH($I319,"Computer",_xlfn.XLOOKUP($K319&amp;"",COMPUTER!$B$3:$B$1009&amp;"",COMPUTER!$E$3:$E$1009,""),"Display",_xlfn.XLOOKUP($K319&amp;"",DISPLAY!$B$3:$B$1000&amp;"",DISPLAY!$E$3:$E$1000,""),"Network Device",_xlfn.XLOOKUP($K319&amp;"",'NETWORK-DEVICES'!$B$3:$B$987&amp;"",'NETWORK-DEVICES'!$E$3:$E$987,""),"Peripheral",_xlfn.XLOOKUP($K319&amp;"",PERIPHERAL!$B$3:$B$954&amp;"",PERIPHERAL!$E$3:$E$954,""),"Utilities",_xlfn.XLOOKUP($K319&amp;"",UTILITIES!$B$3:$B$953&amp;"",UTILITIES!$E$3:$E$953,""),"IOT",_xlfn.XLOOKUP($K319&amp;"",IOT!$B$3:$B$1012&amp;"",IOT!$E$3:$E$1012,""),"Server",_xlfn.XLOOKUP($K319&amp;"",SERVER!$B$3:$B$1009&amp;"",SERVER!$E$3:$E$1009,""),""))))</f>
        <v/>
      </c>
      <c r="Q319" s="1" t="str" cm="1">
        <f t="array" ref="Q319">IF(OR($K319="",$I319="",$J319=""),"",_xlfn.LET(_xlpm.srcCat,_xlfn.SWITCH($I319,"Computer",_xlfn.XLOOKUP($K319&amp;"",COMPUTER!$B$3:$B$1009&amp;"",COMPUTER!$H$3:$H$1009,""),"Display",_xlfn.XLOOKUP($K319&amp;"",DISPLAY!$B$3:$B$1000&amp;"",DISPLAY!$H$3:$H$1000,""),"Network Device",_xlfn.XLOOKUP($K319&amp;"",'NETWORK-DEVICES'!$B$3:$B$987&amp;"",'NETWORK-DEVICES'!$H$3:$H$987,""),"Peripheral",_xlfn.XLOOKUP($K319&amp;"",PERIPHERAL!$B$3:$B$954&amp;"",PERIPHERAL!$H$3:$H$954,""),"Utilities",_xlfn.XLOOKUP($K319&amp;"",UTILITIES!$B$3:$B$953&amp;"",UTILITIES!$G$3:$G$953,""),"IOT",_xlfn.XLOOKUP($K319&amp;"",IOT!$B$3:$B$1012&amp;"",IOT!$H$3:$H$1012,""),"Server",_xlfn.XLOOKUP($K319&amp;"",SERVER!$B$3:$B$1009&amp;"",SERVER!$H$3:$H$1009,""),""),IF(TRIM(_xlpm.srcCat)&lt;&gt;TRIM($J319),"",_xlfn.SWITCH($I319,"Computer",_xlfn.XLOOKUP($K319&amp;"",COMPUTER!$B$3:$B$1009&amp;"",COMPUTER!$AM$3:$AM$1009,""),"Display",_xlfn.XLOOKUP($K319&amp;"",DISPLAY!$B$3:$B$1000&amp;"",DISPLAY!$V$3:$V$1000,""),"Network Device",_xlfn.XLOOKUP($K319&amp;"",'NETWORK-DEVICES'!$B$3:$B$987&amp;"",'NETWORK-DEVICES'!$AF$3:$AF$987,""),"Peripheral",_xlfn.XLOOKUP($K319&amp;"",PERIPHERAL!$B$3:$B$954&amp;"",PERIPHERAL!$Y$3:$Y$954,""),"Utilities",_xlfn.XLOOKUP($K319&amp;"",UTILITIES!$B$3:$B$953&amp;"",UTILITIES!$O$3:$O$953,""),"IOT",_xlfn.XLOOKUP($K319&amp;"",IOT!$B$3:$B$1012&amp;"",IOT!$AB$3:$AB$1012,""),"Server",_xlfn.XLOOKUP($K319&amp;"",SERVER!$B$3:$B$1009&amp;"",SERVER!$AB$3:$AB$1009,""),""))))</f>
        <v/>
      </c>
      <c r="R319" s="43" t="str">
        <f>IF(tbl_handover[[#This Row],[Asset Code]]="","",COUNTIF(tbl_handover[Asset Code],tbl_handover[[#This Row],[Asset Code]]))</f>
        <v/>
      </c>
    </row>
    <row r="320" spans="1:18" x14ac:dyDescent="0.25">
      <c r="A320" s="43" t="str">
        <f>IF(B320&lt;&gt;"",SUBTOTAL(3,$B$1:B319),"")</f>
        <v/>
      </c>
      <c r="C320" s="74"/>
      <c r="D320" s="74"/>
      <c r="G320" s="1"/>
      <c r="K320" s="42"/>
      <c r="L320" t="str" cm="1">
        <f t="array" ref="L320">IF($K320="","",_xlfn.SWITCH($I320,"Computer",_xlfn.XLOOKUP($K320&amp;"",COMPUTER!$B$3:$B$1009&amp;"",COMPUTER!$I$3:$I$1009,""),"Display",_xlfn.XLOOKUP($K320&amp;"",DISPLAY!$B$3:$B$1000&amp;"",DISPLAY!$J$3:$J$1000,""),"Network Device",_xlfn.XLOOKUP($K320&amp;"",'NETWORK-DEVICES'!$B$3:$B$987&amp;"",'NETWORK-DEVICES'!$I$3:$I$987,""),"Peripheral",_xlfn.XLOOKUP($K320&amp;"",PERIPHERAL!$B$3:$B$954&amp;"",PERIPHERAL!$I$3:$I$954,""),"Utilities",_xlfn.XLOOKUP($K320&amp;"",UTILITIES!$B$3:$B$953&amp;"",UTILITIES!$H$3:$H$953,""),"IOT",_xlfn.XLOOKUP($K320&amp;"",IOT!$B$3:$B$1012&amp;"",IOT!$I$3:$I$1012,""),"SERVER",_xlfn.XLOOKUP($K320&amp;"",SERVER!$B$3:$B$1009&amp;"",SERVER!$I$3:$I$1009,""),""))</f>
        <v/>
      </c>
      <c r="M320" t="str" cm="1">
        <f t="array" ref="M320">IF($K320="","",_xlfn.SWITCH($I320,"Computer",_xlfn.XLOOKUP($K320&amp;"",COMPUTER!$B$3:$B$1009&amp;"",COMPUTER!$J$3:$J$1009,""),"Display",_xlfn.XLOOKUP($K320&amp;"",DISPLAY!$B$3:$B$1000&amp;"",DISPLAY!$K$3:$K$1000,""),"Network Device",_xlfn.XLOOKUP($K320&amp;"",'NETWORK-DEVICES'!$B$3:$B$987&amp;"",'NETWORK-DEVICES'!$I$3:$I$987,""),"Peripheral",_xlfn.XLOOKUP($K320&amp;"",PERIPHERAL!$B$3:$B$954&amp;"",PERIPHERAL!$J$3:$J$954,""),"Utilities",_xlfn.XLOOKUP($K320&amp;"",UTILITIES!$B$3:$B$953&amp;"",UTILITIES!$I$3:$I$953,""),"IOT",_xlfn.XLOOKUP($K320&amp;"",IOT!$B$3:$B$1012&amp;"",IOT!$J$3:$J$1012,""),"Server",_xlfn.XLOOKUP($K320&amp;"",SERVER!$B$3:$B$1009&amp;"",SERVER!$J$3:$J$1009,""),""))</f>
        <v/>
      </c>
      <c r="N320" s="1" t="str" cm="1">
        <f t="array" ref="N320">IF(OR($K320="",$I320="",$J320=""),"",_xlfn.LET(_xlpm.srcCat,_xlfn.SWITCH($I320,"Computer",_xlfn.XLOOKUP($K320&amp;"",COMPUTER!$B$3:$B$1009&amp;"",COMPUTER!$H$3:$H$1009,""),"Display",_xlfn.XLOOKUP($K320&amp;"",DISPLAY!$B$3:$B$1000&amp;"",DISPLAY!$H$3:$H$1000,""),"Network Device",_xlfn.XLOOKUP($K320&amp;"",'NETWORK-DEVICES'!$B$3:$B$987&amp;"",'NETWORK-DEVICES'!$H$3:$H$987,""),"Peripheral",_xlfn.XLOOKUP($K320&amp;"",PERIPHERAL!$B$3:$B$954&amp;"",PERIPHERAL!$H$3:$H$954,""),"Utilities",_xlfn.XLOOKUP($K320&amp;"",UTILITIES!$B$3:$B$953&amp;"",UTILITIES!$G$3:$G$953,""),"IOT",_xlfn.XLOOKUP($K320&amp;"",IOT!$B$3:$B$1012&amp;"",IOT!$H$3:$H$1012,""),"Server",_xlfn.XLOOKUP($K320&amp;"",SERVER!$B$3:$B$1009&amp;"",SERVER!$H$3:$H$1009,""),""),IF(TRIM(_xlpm.srcCat)&lt;&gt;TRIM($J320),"",_xlfn.SWITCH($I320,"Computer",_xlfn.XLOOKUP($K320&amp;"",COMPUTER!$B$3:$B$1009&amp;"",COMPUTER!$K$3:$K$1009,""),"Display",_xlfn.XLOOKUP($K320&amp;"",DISPLAY!$B$3:$B$1000&amp;"",DISPLAY!$L$3:$L$1000,""),"Network Device",_xlfn.XLOOKUP($K320&amp;"",'NETWORK-DEVICES'!$B$3:$B$987&amp;"",'NETWORK-DEVICES'!$K$3:$K$987,""),"Peripheral",_xlfn.XLOOKUP($K320&amp;"",PERIPHERAL!$B$3:$B$954&amp;"",PERIPHERAL!$K$3:$K$954,""),"Utilities",_xlfn.XLOOKUP($K320&amp;"",UTILITIES!$B$3:$B$953&amp;"",UTILITIES!$J$3:$J$953,""),"IOT",_xlfn.XLOOKUP($K320&amp;"",IOT!$B$3:$B$1012&amp;"",IOT!$K$4:$K$1012,""),"Server",_xlfn.XLOOKUP($K320&amp;"",SERVER!$B$3:$B$1009&amp;"",SERVER!$K$3:$K$1009,""),""))))</f>
        <v/>
      </c>
      <c r="O320" s="1" t="str" cm="1">
        <f t="array" ref="O320">IF(OR($K320="",$I320="",$J320=""),"",_xlfn.LET(_xlpm.srcCat,_xlfn.SWITCH($I320,"Computer",_xlfn.XLOOKUP($K320&amp;"",COMPUTER!$B$3:$B$1009&amp;"",COMPUTER!$H$3:$H$1009,""),"Display",_xlfn.XLOOKUP($K320&amp;"",DISPLAY!$B$3:$B$1000&amp;"",DISPLAY!$H$3:$H$1000,""),"Network Device",_xlfn.XLOOKUP($K320&amp;"",'NETWORK-DEVICES'!$B$3:$B$987&amp;"",'NETWORK-DEVICES'!$H$3:$H$987,""),"Peripheral",_xlfn.XLOOKUP($K320&amp;"",PERIPHERAL!$B$3:$B$954&amp;"",PERIPHERAL!$H$3:$H$954,""),"Utilities",_xlfn.XLOOKUP($K320&amp;"",UTILITIES!$B$3:$B$953&amp;"",UTILITIES!$G$3:$G$953,""),"IOT",_xlfn.XLOOKUP($K320&amp;"",IOT!$B$3:$B$1012&amp;"",IOT!$H$3:$H$1012,""),"Server",_xlfn.XLOOKUP($K320&amp;"",SERVER!$B$3:$B$1009&amp;"",SERVER!$H$3:$H$1009,""),""),IF(TRIM(_xlpm.srcCat)&lt;&gt;TRIM($J320),"",_xlfn.SWITCH($I320,"Computer",_xlfn.XLOOKUP($K320&amp;"",COMPUTER!$B$3:$B$1009&amp;"",COMPUTER!$E$3:$E$1009,""),"Display",_xlfn.XLOOKUP($K320&amp;"",DISPLAY!$B$3:$B$1000&amp;"",DISPLAY!$E$3:$E$1000,""),"Network Device",_xlfn.XLOOKUP($K320&amp;"",'NETWORK-DEVICES'!$B$3:$B$987&amp;"",'NETWORK-DEVICES'!$E$3:$E$987,""),"Peripheral",_xlfn.XLOOKUP($K320&amp;"",PERIPHERAL!$B$3:$B$954&amp;"",PERIPHERAL!$E$3:$E$954,""),"Utilities",_xlfn.XLOOKUP($K320&amp;"",UTILITIES!$B$3:$B$953&amp;"",UTILITIES!$E$3:$E$953,""),"IOT",_xlfn.XLOOKUP($K320&amp;"",IOT!$B$3:$B$1012&amp;"",IOT!$E$3:$E$1012,""),"Server",_xlfn.XLOOKUP($K320&amp;"",SERVER!$B$3:$B$1009&amp;"",SERVER!$E$3:$E$1009,""),""))))</f>
        <v/>
      </c>
      <c r="Q320" s="1" t="str" cm="1">
        <f t="array" ref="Q320">IF(OR($K320="",$I320="",$J320=""),"",_xlfn.LET(_xlpm.srcCat,_xlfn.SWITCH($I320,"Computer",_xlfn.XLOOKUP($K320&amp;"",COMPUTER!$B$3:$B$1009&amp;"",COMPUTER!$H$3:$H$1009,""),"Display",_xlfn.XLOOKUP($K320&amp;"",DISPLAY!$B$3:$B$1000&amp;"",DISPLAY!$H$3:$H$1000,""),"Network Device",_xlfn.XLOOKUP($K320&amp;"",'NETWORK-DEVICES'!$B$3:$B$987&amp;"",'NETWORK-DEVICES'!$H$3:$H$987,""),"Peripheral",_xlfn.XLOOKUP($K320&amp;"",PERIPHERAL!$B$3:$B$954&amp;"",PERIPHERAL!$H$3:$H$954,""),"Utilities",_xlfn.XLOOKUP($K320&amp;"",UTILITIES!$B$3:$B$953&amp;"",UTILITIES!$G$3:$G$953,""),"IOT",_xlfn.XLOOKUP($K320&amp;"",IOT!$B$3:$B$1012&amp;"",IOT!$H$3:$H$1012,""),"Server",_xlfn.XLOOKUP($K320&amp;"",SERVER!$B$3:$B$1009&amp;"",SERVER!$H$3:$H$1009,""),""),IF(TRIM(_xlpm.srcCat)&lt;&gt;TRIM($J320),"",_xlfn.SWITCH($I320,"Computer",_xlfn.XLOOKUP($K320&amp;"",COMPUTER!$B$3:$B$1009&amp;"",COMPUTER!$AM$3:$AM$1009,""),"Display",_xlfn.XLOOKUP($K320&amp;"",DISPLAY!$B$3:$B$1000&amp;"",DISPLAY!$V$3:$V$1000,""),"Network Device",_xlfn.XLOOKUP($K320&amp;"",'NETWORK-DEVICES'!$B$3:$B$987&amp;"",'NETWORK-DEVICES'!$AF$3:$AF$987,""),"Peripheral",_xlfn.XLOOKUP($K320&amp;"",PERIPHERAL!$B$3:$B$954&amp;"",PERIPHERAL!$Y$3:$Y$954,""),"Utilities",_xlfn.XLOOKUP($K320&amp;"",UTILITIES!$B$3:$B$953&amp;"",UTILITIES!$O$3:$O$953,""),"IOT",_xlfn.XLOOKUP($K320&amp;"",IOT!$B$3:$B$1012&amp;"",IOT!$AB$3:$AB$1012,""),"Server",_xlfn.XLOOKUP($K320&amp;"",SERVER!$B$3:$B$1009&amp;"",SERVER!$AB$3:$AB$1009,""),""))))</f>
        <v/>
      </c>
      <c r="R320" s="43" t="str">
        <f>IF(tbl_handover[[#This Row],[Asset Code]]="","",COUNTIF(tbl_handover[Asset Code],tbl_handover[[#This Row],[Asset Code]]))</f>
        <v/>
      </c>
    </row>
    <row r="321" spans="1:18" x14ac:dyDescent="0.25">
      <c r="A321" s="43" t="str">
        <f>IF(B321&lt;&gt;"",SUBTOTAL(3,$B$1:B320),"")</f>
        <v/>
      </c>
      <c r="C321" s="74"/>
      <c r="D321" s="74"/>
      <c r="G321" s="1"/>
      <c r="K321" s="42"/>
      <c r="L321" t="str" cm="1">
        <f t="array" ref="L321">IF($K321="","",_xlfn.SWITCH($I321,"Computer",_xlfn.XLOOKUP($K321&amp;"",COMPUTER!$B$3:$B$1009&amp;"",COMPUTER!$I$3:$I$1009,""),"Display",_xlfn.XLOOKUP($K321&amp;"",DISPLAY!$B$3:$B$1000&amp;"",DISPLAY!$J$3:$J$1000,""),"Network Device",_xlfn.XLOOKUP($K321&amp;"",'NETWORK-DEVICES'!$B$3:$B$987&amp;"",'NETWORK-DEVICES'!$I$3:$I$987,""),"Peripheral",_xlfn.XLOOKUP($K321&amp;"",PERIPHERAL!$B$3:$B$954&amp;"",PERIPHERAL!$I$3:$I$954,""),"Utilities",_xlfn.XLOOKUP($K321&amp;"",UTILITIES!$B$3:$B$953&amp;"",UTILITIES!$H$3:$H$953,""),"IOT",_xlfn.XLOOKUP($K321&amp;"",IOT!$B$3:$B$1012&amp;"",IOT!$I$3:$I$1012,""),"SERVER",_xlfn.XLOOKUP($K321&amp;"",SERVER!$B$3:$B$1009&amp;"",SERVER!$I$3:$I$1009,""),""))</f>
        <v/>
      </c>
      <c r="M321" t="str" cm="1">
        <f t="array" ref="M321">IF($K321="","",_xlfn.SWITCH($I321,"Computer",_xlfn.XLOOKUP($K321&amp;"",COMPUTER!$B$3:$B$1009&amp;"",COMPUTER!$J$3:$J$1009,""),"Display",_xlfn.XLOOKUP($K321&amp;"",DISPLAY!$B$3:$B$1000&amp;"",DISPLAY!$K$3:$K$1000,""),"Network Device",_xlfn.XLOOKUP($K321&amp;"",'NETWORK-DEVICES'!$B$3:$B$987&amp;"",'NETWORK-DEVICES'!$I$3:$I$987,""),"Peripheral",_xlfn.XLOOKUP($K321&amp;"",PERIPHERAL!$B$3:$B$954&amp;"",PERIPHERAL!$J$3:$J$954,""),"Utilities",_xlfn.XLOOKUP($K321&amp;"",UTILITIES!$B$3:$B$953&amp;"",UTILITIES!$I$3:$I$953,""),"IOT",_xlfn.XLOOKUP($K321&amp;"",IOT!$B$3:$B$1012&amp;"",IOT!$J$3:$J$1012,""),"Server",_xlfn.XLOOKUP($K321&amp;"",SERVER!$B$3:$B$1009&amp;"",SERVER!$J$3:$J$1009,""),""))</f>
        <v/>
      </c>
      <c r="N321" s="1" t="str" cm="1">
        <f t="array" ref="N321">IF(OR($K321="",$I321="",$J321=""),"",_xlfn.LET(_xlpm.srcCat,_xlfn.SWITCH($I321,"Computer",_xlfn.XLOOKUP($K321&amp;"",COMPUTER!$B$3:$B$1009&amp;"",COMPUTER!$H$3:$H$1009,""),"Display",_xlfn.XLOOKUP($K321&amp;"",DISPLAY!$B$3:$B$1000&amp;"",DISPLAY!$H$3:$H$1000,""),"Network Device",_xlfn.XLOOKUP($K321&amp;"",'NETWORK-DEVICES'!$B$3:$B$987&amp;"",'NETWORK-DEVICES'!$H$3:$H$987,""),"Peripheral",_xlfn.XLOOKUP($K321&amp;"",PERIPHERAL!$B$3:$B$954&amp;"",PERIPHERAL!$H$3:$H$954,""),"Utilities",_xlfn.XLOOKUP($K321&amp;"",UTILITIES!$B$3:$B$953&amp;"",UTILITIES!$G$3:$G$953,""),"IOT",_xlfn.XLOOKUP($K321&amp;"",IOT!$B$3:$B$1012&amp;"",IOT!$H$3:$H$1012,""),"Server",_xlfn.XLOOKUP($K321&amp;"",SERVER!$B$3:$B$1009&amp;"",SERVER!$H$3:$H$1009,""),""),IF(TRIM(_xlpm.srcCat)&lt;&gt;TRIM($J321),"",_xlfn.SWITCH($I321,"Computer",_xlfn.XLOOKUP($K321&amp;"",COMPUTER!$B$3:$B$1009&amp;"",COMPUTER!$K$3:$K$1009,""),"Display",_xlfn.XLOOKUP($K321&amp;"",DISPLAY!$B$3:$B$1000&amp;"",DISPLAY!$L$3:$L$1000,""),"Network Device",_xlfn.XLOOKUP($K321&amp;"",'NETWORK-DEVICES'!$B$3:$B$987&amp;"",'NETWORK-DEVICES'!$K$3:$K$987,""),"Peripheral",_xlfn.XLOOKUP($K321&amp;"",PERIPHERAL!$B$3:$B$954&amp;"",PERIPHERAL!$K$3:$K$954,""),"Utilities",_xlfn.XLOOKUP($K321&amp;"",UTILITIES!$B$3:$B$953&amp;"",UTILITIES!$J$3:$J$953,""),"IOT",_xlfn.XLOOKUP($K321&amp;"",IOT!$B$3:$B$1012&amp;"",IOT!$K$4:$K$1012,""),"Server",_xlfn.XLOOKUP($K321&amp;"",SERVER!$B$3:$B$1009&amp;"",SERVER!$K$3:$K$1009,""),""))))</f>
        <v/>
      </c>
      <c r="O321" s="1" t="str" cm="1">
        <f t="array" ref="O321">IF(OR($K321="",$I321="",$J321=""),"",_xlfn.LET(_xlpm.srcCat,_xlfn.SWITCH($I321,"Computer",_xlfn.XLOOKUP($K321&amp;"",COMPUTER!$B$3:$B$1009&amp;"",COMPUTER!$H$3:$H$1009,""),"Display",_xlfn.XLOOKUP($K321&amp;"",DISPLAY!$B$3:$B$1000&amp;"",DISPLAY!$H$3:$H$1000,""),"Network Device",_xlfn.XLOOKUP($K321&amp;"",'NETWORK-DEVICES'!$B$3:$B$987&amp;"",'NETWORK-DEVICES'!$H$3:$H$987,""),"Peripheral",_xlfn.XLOOKUP($K321&amp;"",PERIPHERAL!$B$3:$B$954&amp;"",PERIPHERAL!$H$3:$H$954,""),"Utilities",_xlfn.XLOOKUP($K321&amp;"",UTILITIES!$B$3:$B$953&amp;"",UTILITIES!$G$3:$G$953,""),"IOT",_xlfn.XLOOKUP($K321&amp;"",IOT!$B$3:$B$1012&amp;"",IOT!$H$3:$H$1012,""),"Server",_xlfn.XLOOKUP($K321&amp;"",SERVER!$B$3:$B$1009&amp;"",SERVER!$H$3:$H$1009,""),""),IF(TRIM(_xlpm.srcCat)&lt;&gt;TRIM($J321),"",_xlfn.SWITCH($I321,"Computer",_xlfn.XLOOKUP($K321&amp;"",COMPUTER!$B$3:$B$1009&amp;"",COMPUTER!$E$3:$E$1009,""),"Display",_xlfn.XLOOKUP($K321&amp;"",DISPLAY!$B$3:$B$1000&amp;"",DISPLAY!$E$3:$E$1000,""),"Network Device",_xlfn.XLOOKUP($K321&amp;"",'NETWORK-DEVICES'!$B$3:$B$987&amp;"",'NETWORK-DEVICES'!$E$3:$E$987,""),"Peripheral",_xlfn.XLOOKUP($K321&amp;"",PERIPHERAL!$B$3:$B$954&amp;"",PERIPHERAL!$E$3:$E$954,""),"Utilities",_xlfn.XLOOKUP($K321&amp;"",UTILITIES!$B$3:$B$953&amp;"",UTILITIES!$E$3:$E$953,""),"IOT",_xlfn.XLOOKUP($K321&amp;"",IOT!$B$3:$B$1012&amp;"",IOT!$E$3:$E$1012,""),"Server",_xlfn.XLOOKUP($K321&amp;"",SERVER!$B$3:$B$1009&amp;"",SERVER!$E$3:$E$1009,""),""))))</f>
        <v/>
      </c>
      <c r="Q321" s="1" t="str" cm="1">
        <f t="array" ref="Q321">IF(OR($K321="",$I321="",$J321=""),"",_xlfn.LET(_xlpm.srcCat,_xlfn.SWITCH($I321,"Computer",_xlfn.XLOOKUP($K321&amp;"",COMPUTER!$B$3:$B$1009&amp;"",COMPUTER!$H$3:$H$1009,""),"Display",_xlfn.XLOOKUP($K321&amp;"",DISPLAY!$B$3:$B$1000&amp;"",DISPLAY!$H$3:$H$1000,""),"Network Device",_xlfn.XLOOKUP($K321&amp;"",'NETWORK-DEVICES'!$B$3:$B$987&amp;"",'NETWORK-DEVICES'!$H$3:$H$987,""),"Peripheral",_xlfn.XLOOKUP($K321&amp;"",PERIPHERAL!$B$3:$B$954&amp;"",PERIPHERAL!$H$3:$H$954,""),"Utilities",_xlfn.XLOOKUP($K321&amp;"",UTILITIES!$B$3:$B$953&amp;"",UTILITIES!$G$3:$G$953,""),"IOT",_xlfn.XLOOKUP($K321&amp;"",IOT!$B$3:$B$1012&amp;"",IOT!$H$3:$H$1012,""),"Server",_xlfn.XLOOKUP($K321&amp;"",SERVER!$B$3:$B$1009&amp;"",SERVER!$H$3:$H$1009,""),""),IF(TRIM(_xlpm.srcCat)&lt;&gt;TRIM($J321),"",_xlfn.SWITCH($I321,"Computer",_xlfn.XLOOKUP($K321&amp;"",COMPUTER!$B$3:$B$1009&amp;"",COMPUTER!$AM$3:$AM$1009,""),"Display",_xlfn.XLOOKUP($K321&amp;"",DISPLAY!$B$3:$B$1000&amp;"",DISPLAY!$V$3:$V$1000,""),"Network Device",_xlfn.XLOOKUP($K321&amp;"",'NETWORK-DEVICES'!$B$3:$B$987&amp;"",'NETWORK-DEVICES'!$AF$3:$AF$987,""),"Peripheral",_xlfn.XLOOKUP($K321&amp;"",PERIPHERAL!$B$3:$B$954&amp;"",PERIPHERAL!$Y$3:$Y$954,""),"Utilities",_xlfn.XLOOKUP($K321&amp;"",UTILITIES!$B$3:$B$953&amp;"",UTILITIES!$O$3:$O$953,""),"IOT",_xlfn.XLOOKUP($K321&amp;"",IOT!$B$3:$B$1012&amp;"",IOT!$AB$3:$AB$1012,""),"Server",_xlfn.XLOOKUP($K321&amp;"",SERVER!$B$3:$B$1009&amp;"",SERVER!$AB$3:$AB$1009,""),""))))</f>
        <v/>
      </c>
      <c r="R321" s="43" t="str">
        <f>IF(tbl_handover[[#This Row],[Asset Code]]="","",COUNTIF(tbl_handover[Asset Code],tbl_handover[[#This Row],[Asset Code]]))</f>
        <v/>
      </c>
    </row>
    <row r="322" spans="1:18" x14ac:dyDescent="0.25">
      <c r="A322" s="43" t="str">
        <f>IF(B322&lt;&gt;"",SUBTOTAL(3,$B$1:B321),"")</f>
        <v/>
      </c>
      <c r="C322" s="74"/>
      <c r="D322" s="74"/>
      <c r="G322" s="1"/>
      <c r="K322" s="42"/>
      <c r="L322" t="str" cm="1">
        <f t="array" ref="L322">IF($K322="","",_xlfn.SWITCH($I322,"Computer",_xlfn.XLOOKUP($K322&amp;"",COMPUTER!$B$3:$B$1009&amp;"",COMPUTER!$I$3:$I$1009,""),"Display",_xlfn.XLOOKUP($K322&amp;"",DISPLAY!$B$3:$B$1000&amp;"",DISPLAY!$J$3:$J$1000,""),"Network Device",_xlfn.XLOOKUP($K322&amp;"",'NETWORK-DEVICES'!$B$3:$B$987&amp;"",'NETWORK-DEVICES'!$I$3:$I$987,""),"Peripheral",_xlfn.XLOOKUP($K322&amp;"",PERIPHERAL!$B$3:$B$954&amp;"",PERIPHERAL!$I$3:$I$954,""),"Utilities",_xlfn.XLOOKUP($K322&amp;"",UTILITIES!$B$3:$B$953&amp;"",UTILITIES!$H$3:$H$953,""),"IOT",_xlfn.XLOOKUP($K322&amp;"",IOT!$B$3:$B$1012&amp;"",IOT!$I$3:$I$1012,""),"SERVER",_xlfn.XLOOKUP($K322&amp;"",SERVER!$B$3:$B$1009&amp;"",SERVER!$I$3:$I$1009,""),""))</f>
        <v/>
      </c>
      <c r="M322" t="str" cm="1">
        <f t="array" ref="M322">IF($K322="","",_xlfn.SWITCH($I322,"Computer",_xlfn.XLOOKUP($K322&amp;"",COMPUTER!$B$3:$B$1009&amp;"",COMPUTER!$J$3:$J$1009,""),"Display",_xlfn.XLOOKUP($K322&amp;"",DISPLAY!$B$3:$B$1000&amp;"",DISPLAY!$K$3:$K$1000,""),"Network Device",_xlfn.XLOOKUP($K322&amp;"",'NETWORK-DEVICES'!$B$3:$B$987&amp;"",'NETWORK-DEVICES'!$I$3:$I$987,""),"Peripheral",_xlfn.XLOOKUP($K322&amp;"",PERIPHERAL!$B$3:$B$954&amp;"",PERIPHERAL!$J$3:$J$954,""),"Utilities",_xlfn.XLOOKUP($K322&amp;"",UTILITIES!$B$3:$B$953&amp;"",UTILITIES!$I$3:$I$953,""),"IOT",_xlfn.XLOOKUP($K322&amp;"",IOT!$B$3:$B$1012&amp;"",IOT!$J$3:$J$1012,""),"Server",_xlfn.XLOOKUP($K322&amp;"",SERVER!$B$3:$B$1009&amp;"",SERVER!$J$3:$J$1009,""),""))</f>
        <v/>
      </c>
      <c r="N322" s="1" t="str" cm="1">
        <f t="array" ref="N322">IF(OR($K322="",$I322="",$J322=""),"",_xlfn.LET(_xlpm.srcCat,_xlfn.SWITCH($I322,"Computer",_xlfn.XLOOKUP($K322&amp;"",COMPUTER!$B$3:$B$1009&amp;"",COMPUTER!$H$3:$H$1009,""),"Display",_xlfn.XLOOKUP($K322&amp;"",DISPLAY!$B$3:$B$1000&amp;"",DISPLAY!$H$3:$H$1000,""),"Network Device",_xlfn.XLOOKUP($K322&amp;"",'NETWORK-DEVICES'!$B$3:$B$987&amp;"",'NETWORK-DEVICES'!$H$3:$H$987,""),"Peripheral",_xlfn.XLOOKUP($K322&amp;"",PERIPHERAL!$B$3:$B$954&amp;"",PERIPHERAL!$H$3:$H$954,""),"Utilities",_xlfn.XLOOKUP($K322&amp;"",UTILITIES!$B$3:$B$953&amp;"",UTILITIES!$G$3:$G$953,""),"IOT",_xlfn.XLOOKUP($K322&amp;"",IOT!$B$3:$B$1012&amp;"",IOT!$H$3:$H$1012,""),"Server",_xlfn.XLOOKUP($K322&amp;"",SERVER!$B$3:$B$1009&amp;"",SERVER!$H$3:$H$1009,""),""),IF(TRIM(_xlpm.srcCat)&lt;&gt;TRIM($J322),"",_xlfn.SWITCH($I322,"Computer",_xlfn.XLOOKUP($K322&amp;"",COMPUTER!$B$3:$B$1009&amp;"",COMPUTER!$K$3:$K$1009,""),"Display",_xlfn.XLOOKUP($K322&amp;"",DISPLAY!$B$3:$B$1000&amp;"",DISPLAY!$L$3:$L$1000,""),"Network Device",_xlfn.XLOOKUP($K322&amp;"",'NETWORK-DEVICES'!$B$3:$B$987&amp;"",'NETWORK-DEVICES'!$K$3:$K$987,""),"Peripheral",_xlfn.XLOOKUP($K322&amp;"",PERIPHERAL!$B$3:$B$954&amp;"",PERIPHERAL!$K$3:$K$954,""),"Utilities",_xlfn.XLOOKUP($K322&amp;"",UTILITIES!$B$3:$B$953&amp;"",UTILITIES!$J$3:$J$953,""),"IOT",_xlfn.XLOOKUP($K322&amp;"",IOT!$B$3:$B$1012&amp;"",IOT!$K$4:$K$1012,""),"Server",_xlfn.XLOOKUP($K322&amp;"",SERVER!$B$3:$B$1009&amp;"",SERVER!$K$3:$K$1009,""),""))))</f>
        <v/>
      </c>
      <c r="O322" s="1" t="str" cm="1">
        <f t="array" ref="O322">IF(OR($K322="",$I322="",$J322=""),"",_xlfn.LET(_xlpm.srcCat,_xlfn.SWITCH($I322,"Computer",_xlfn.XLOOKUP($K322&amp;"",COMPUTER!$B$3:$B$1009&amp;"",COMPUTER!$H$3:$H$1009,""),"Display",_xlfn.XLOOKUP($K322&amp;"",DISPLAY!$B$3:$B$1000&amp;"",DISPLAY!$H$3:$H$1000,""),"Network Device",_xlfn.XLOOKUP($K322&amp;"",'NETWORK-DEVICES'!$B$3:$B$987&amp;"",'NETWORK-DEVICES'!$H$3:$H$987,""),"Peripheral",_xlfn.XLOOKUP($K322&amp;"",PERIPHERAL!$B$3:$B$954&amp;"",PERIPHERAL!$H$3:$H$954,""),"Utilities",_xlfn.XLOOKUP($K322&amp;"",UTILITIES!$B$3:$B$953&amp;"",UTILITIES!$G$3:$G$953,""),"IOT",_xlfn.XLOOKUP($K322&amp;"",IOT!$B$3:$B$1012&amp;"",IOT!$H$3:$H$1012,""),"Server",_xlfn.XLOOKUP($K322&amp;"",SERVER!$B$3:$B$1009&amp;"",SERVER!$H$3:$H$1009,""),""),IF(TRIM(_xlpm.srcCat)&lt;&gt;TRIM($J322),"",_xlfn.SWITCH($I322,"Computer",_xlfn.XLOOKUP($K322&amp;"",COMPUTER!$B$3:$B$1009&amp;"",COMPUTER!$E$3:$E$1009,""),"Display",_xlfn.XLOOKUP($K322&amp;"",DISPLAY!$B$3:$B$1000&amp;"",DISPLAY!$E$3:$E$1000,""),"Network Device",_xlfn.XLOOKUP($K322&amp;"",'NETWORK-DEVICES'!$B$3:$B$987&amp;"",'NETWORK-DEVICES'!$E$3:$E$987,""),"Peripheral",_xlfn.XLOOKUP($K322&amp;"",PERIPHERAL!$B$3:$B$954&amp;"",PERIPHERAL!$E$3:$E$954,""),"Utilities",_xlfn.XLOOKUP($K322&amp;"",UTILITIES!$B$3:$B$953&amp;"",UTILITIES!$E$3:$E$953,""),"IOT",_xlfn.XLOOKUP($K322&amp;"",IOT!$B$3:$B$1012&amp;"",IOT!$E$3:$E$1012,""),"Server",_xlfn.XLOOKUP($K322&amp;"",SERVER!$B$3:$B$1009&amp;"",SERVER!$E$3:$E$1009,""),""))))</f>
        <v/>
      </c>
      <c r="Q322" s="1" t="str" cm="1">
        <f t="array" ref="Q322">IF(OR($K322="",$I322="",$J322=""),"",_xlfn.LET(_xlpm.srcCat,_xlfn.SWITCH($I322,"Computer",_xlfn.XLOOKUP($K322&amp;"",COMPUTER!$B$3:$B$1009&amp;"",COMPUTER!$H$3:$H$1009,""),"Display",_xlfn.XLOOKUP($K322&amp;"",DISPLAY!$B$3:$B$1000&amp;"",DISPLAY!$H$3:$H$1000,""),"Network Device",_xlfn.XLOOKUP($K322&amp;"",'NETWORK-DEVICES'!$B$3:$B$987&amp;"",'NETWORK-DEVICES'!$H$3:$H$987,""),"Peripheral",_xlfn.XLOOKUP($K322&amp;"",PERIPHERAL!$B$3:$B$954&amp;"",PERIPHERAL!$H$3:$H$954,""),"Utilities",_xlfn.XLOOKUP($K322&amp;"",UTILITIES!$B$3:$B$953&amp;"",UTILITIES!$G$3:$G$953,""),"IOT",_xlfn.XLOOKUP($K322&amp;"",IOT!$B$3:$B$1012&amp;"",IOT!$H$3:$H$1012,""),"Server",_xlfn.XLOOKUP($K322&amp;"",SERVER!$B$3:$B$1009&amp;"",SERVER!$H$3:$H$1009,""),""),IF(TRIM(_xlpm.srcCat)&lt;&gt;TRIM($J322),"",_xlfn.SWITCH($I322,"Computer",_xlfn.XLOOKUP($K322&amp;"",COMPUTER!$B$3:$B$1009&amp;"",COMPUTER!$AM$3:$AM$1009,""),"Display",_xlfn.XLOOKUP($K322&amp;"",DISPLAY!$B$3:$B$1000&amp;"",DISPLAY!$V$3:$V$1000,""),"Network Device",_xlfn.XLOOKUP($K322&amp;"",'NETWORK-DEVICES'!$B$3:$B$987&amp;"",'NETWORK-DEVICES'!$AF$3:$AF$987,""),"Peripheral",_xlfn.XLOOKUP($K322&amp;"",PERIPHERAL!$B$3:$B$954&amp;"",PERIPHERAL!$Y$3:$Y$954,""),"Utilities",_xlfn.XLOOKUP($K322&amp;"",UTILITIES!$B$3:$B$953&amp;"",UTILITIES!$O$3:$O$953,""),"IOT",_xlfn.XLOOKUP($K322&amp;"",IOT!$B$3:$B$1012&amp;"",IOT!$AB$3:$AB$1012,""),"Server",_xlfn.XLOOKUP($K322&amp;"",SERVER!$B$3:$B$1009&amp;"",SERVER!$AB$3:$AB$1009,""),""))))</f>
        <v/>
      </c>
      <c r="R322" s="43" t="str">
        <f>IF(tbl_handover[[#This Row],[Asset Code]]="","",COUNTIF(tbl_handover[Asset Code],tbl_handover[[#This Row],[Asset Code]]))</f>
        <v/>
      </c>
    </row>
    <row r="323" spans="1:18" x14ac:dyDescent="0.25">
      <c r="A323" s="43" t="str">
        <f>IF(B323&lt;&gt;"",SUBTOTAL(3,$B$1:B322),"")</f>
        <v/>
      </c>
      <c r="C323" s="74"/>
      <c r="D323" s="74"/>
      <c r="G323" s="1"/>
      <c r="K323" s="42"/>
      <c r="L323" t="str" cm="1">
        <f t="array" ref="L323">IF($K323="","",_xlfn.SWITCH($I323,"Computer",_xlfn.XLOOKUP($K323&amp;"",COMPUTER!$B$3:$B$1009&amp;"",COMPUTER!$I$3:$I$1009,""),"Display",_xlfn.XLOOKUP($K323&amp;"",DISPLAY!$B$3:$B$1000&amp;"",DISPLAY!$J$3:$J$1000,""),"Network Device",_xlfn.XLOOKUP($K323&amp;"",'NETWORK-DEVICES'!$B$3:$B$987&amp;"",'NETWORK-DEVICES'!$I$3:$I$987,""),"Peripheral",_xlfn.XLOOKUP($K323&amp;"",PERIPHERAL!$B$3:$B$954&amp;"",PERIPHERAL!$I$3:$I$954,""),"Utilities",_xlfn.XLOOKUP($K323&amp;"",UTILITIES!$B$3:$B$953&amp;"",UTILITIES!$H$3:$H$953,""),"IOT",_xlfn.XLOOKUP($K323&amp;"",IOT!$B$3:$B$1012&amp;"",IOT!$I$3:$I$1012,""),"SERVER",_xlfn.XLOOKUP($K323&amp;"",SERVER!$B$3:$B$1009&amp;"",SERVER!$I$3:$I$1009,""),""))</f>
        <v/>
      </c>
      <c r="M323" t="str" cm="1">
        <f t="array" ref="M323">IF($K323="","",_xlfn.SWITCH($I323,"Computer",_xlfn.XLOOKUP($K323&amp;"",COMPUTER!$B$3:$B$1009&amp;"",COMPUTER!$J$3:$J$1009,""),"Display",_xlfn.XLOOKUP($K323&amp;"",DISPLAY!$B$3:$B$1000&amp;"",DISPLAY!$K$3:$K$1000,""),"Network Device",_xlfn.XLOOKUP($K323&amp;"",'NETWORK-DEVICES'!$B$3:$B$987&amp;"",'NETWORK-DEVICES'!$I$3:$I$987,""),"Peripheral",_xlfn.XLOOKUP($K323&amp;"",PERIPHERAL!$B$3:$B$954&amp;"",PERIPHERAL!$J$3:$J$954,""),"Utilities",_xlfn.XLOOKUP($K323&amp;"",UTILITIES!$B$3:$B$953&amp;"",UTILITIES!$I$3:$I$953,""),"IOT",_xlfn.XLOOKUP($K323&amp;"",IOT!$B$3:$B$1012&amp;"",IOT!$J$3:$J$1012,""),"Server",_xlfn.XLOOKUP($K323&amp;"",SERVER!$B$3:$B$1009&amp;"",SERVER!$J$3:$J$1009,""),""))</f>
        <v/>
      </c>
      <c r="N323" s="1" t="str" cm="1">
        <f t="array" ref="N323">IF(OR($K323="",$I323="",$J323=""),"",_xlfn.LET(_xlpm.srcCat,_xlfn.SWITCH($I323,"Computer",_xlfn.XLOOKUP($K323&amp;"",COMPUTER!$B$3:$B$1009&amp;"",COMPUTER!$H$3:$H$1009,""),"Display",_xlfn.XLOOKUP($K323&amp;"",DISPLAY!$B$3:$B$1000&amp;"",DISPLAY!$H$3:$H$1000,""),"Network Device",_xlfn.XLOOKUP($K323&amp;"",'NETWORK-DEVICES'!$B$3:$B$987&amp;"",'NETWORK-DEVICES'!$H$3:$H$987,""),"Peripheral",_xlfn.XLOOKUP($K323&amp;"",PERIPHERAL!$B$3:$B$954&amp;"",PERIPHERAL!$H$3:$H$954,""),"Utilities",_xlfn.XLOOKUP($K323&amp;"",UTILITIES!$B$3:$B$953&amp;"",UTILITIES!$G$3:$G$953,""),"IOT",_xlfn.XLOOKUP($K323&amp;"",IOT!$B$3:$B$1012&amp;"",IOT!$H$3:$H$1012,""),"Server",_xlfn.XLOOKUP($K323&amp;"",SERVER!$B$3:$B$1009&amp;"",SERVER!$H$3:$H$1009,""),""),IF(TRIM(_xlpm.srcCat)&lt;&gt;TRIM($J323),"",_xlfn.SWITCH($I323,"Computer",_xlfn.XLOOKUP($K323&amp;"",COMPUTER!$B$3:$B$1009&amp;"",COMPUTER!$K$3:$K$1009,""),"Display",_xlfn.XLOOKUP($K323&amp;"",DISPLAY!$B$3:$B$1000&amp;"",DISPLAY!$L$3:$L$1000,""),"Network Device",_xlfn.XLOOKUP($K323&amp;"",'NETWORK-DEVICES'!$B$3:$B$987&amp;"",'NETWORK-DEVICES'!$K$3:$K$987,""),"Peripheral",_xlfn.XLOOKUP($K323&amp;"",PERIPHERAL!$B$3:$B$954&amp;"",PERIPHERAL!$K$3:$K$954,""),"Utilities",_xlfn.XLOOKUP($K323&amp;"",UTILITIES!$B$3:$B$953&amp;"",UTILITIES!$J$3:$J$953,""),"IOT",_xlfn.XLOOKUP($K323&amp;"",IOT!$B$3:$B$1012&amp;"",IOT!$K$4:$K$1012,""),"Server",_xlfn.XLOOKUP($K323&amp;"",SERVER!$B$3:$B$1009&amp;"",SERVER!$K$3:$K$1009,""),""))))</f>
        <v/>
      </c>
      <c r="O323" s="1" t="str" cm="1">
        <f t="array" ref="O323">IF(OR($K323="",$I323="",$J323=""),"",_xlfn.LET(_xlpm.srcCat,_xlfn.SWITCH($I323,"Computer",_xlfn.XLOOKUP($K323&amp;"",COMPUTER!$B$3:$B$1009&amp;"",COMPUTER!$H$3:$H$1009,""),"Display",_xlfn.XLOOKUP($K323&amp;"",DISPLAY!$B$3:$B$1000&amp;"",DISPLAY!$H$3:$H$1000,""),"Network Device",_xlfn.XLOOKUP($K323&amp;"",'NETWORK-DEVICES'!$B$3:$B$987&amp;"",'NETWORK-DEVICES'!$H$3:$H$987,""),"Peripheral",_xlfn.XLOOKUP($K323&amp;"",PERIPHERAL!$B$3:$B$954&amp;"",PERIPHERAL!$H$3:$H$954,""),"Utilities",_xlfn.XLOOKUP($K323&amp;"",UTILITIES!$B$3:$B$953&amp;"",UTILITIES!$G$3:$G$953,""),"IOT",_xlfn.XLOOKUP($K323&amp;"",IOT!$B$3:$B$1012&amp;"",IOT!$H$3:$H$1012,""),"Server",_xlfn.XLOOKUP($K323&amp;"",SERVER!$B$3:$B$1009&amp;"",SERVER!$H$3:$H$1009,""),""),IF(TRIM(_xlpm.srcCat)&lt;&gt;TRIM($J323),"",_xlfn.SWITCH($I323,"Computer",_xlfn.XLOOKUP($K323&amp;"",COMPUTER!$B$3:$B$1009&amp;"",COMPUTER!$E$3:$E$1009,""),"Display",_xlfn.XLOOKUP($K323&amp;"",DISPLAY!$B$3:$B$1000&amp;"",DISPLAY!$E$3:$E$1000,""),"Network Device",_xlfn.XLOOKUP($K323&amp;"",'NETWORK-DEVICES'!$B$3:$B$987&amp;"",'NETWORK-DEVICES'!$E$3:$E$987,""),"Peripheral",_xlfn.XLOOKUP($K323&amp;"",PERIPHERAL!$B$3:$B$954&amp;"",PERIPHERAL!$E$3:$E$954,""),"Utilities",_xlfn.XLOOKUP($K323&amp;"",UTILITIES!$B$3:$B$953&amp;"",UTILITIES!$E$3:$E$953,""),"IOT",_xlfn.XLOOKUP($K323&amp;"",IOT!$B$3:$B$1012&amp;"",IOT!$E$3:$E$1012,""),"Server",_xlfn.XLOOKUP($K323&amp;"",SERVER!$B$3:$B$1009&amp;"",SERVER!$E$3:$E$1009,""),""))))</f>
        <v/>
      </c>
      <c r="Q323" s="1" t="str" cm="1">
        <f t="array" ref="Q323">IF(OR($K323="",$I323="",$J323=""),"",_xlfn.LET(_xlpm.srcCat,_xlfn.SWITCH($I323,"Computer",_xlfn.XLOOKUP($K323&amp;"",COMPUTER!$B$3:$B$1009&amp;"",COMPUTER!$H$3:$H$1009,""),"Display",_xlfn.XLOOKUP($K323&amp;"",DISPLAY!$B$3:$B$1000&amp;"",DISPLAY!$H$3:$H$1000,""),"Network Device",_xlfn.XLOOKUP($K323&amp;"",'NETWORK-DEVICES'!$B$3:$B$987&amp;"",'NETWORK-DEVICES'!$H$3:$H$987,""),"Peripheral",_xlfn.XLOOKUP($K323&amp;"",PERIPHERAL!$B$3:$B$954&amp;"",PERIPHERAL!$H$3:$H$954,""),"Utilities",_xlfn.XLOOKUP($K323&amp;"",UTILITIES!$B$3:$B$953&amp;"",UTILITIES!$G$3:$G$953,""),"IOT",_xlfn.XLOOKUP($K323&amp;"",IOT!$B$3:$B$1012&amp;"",IOT!$H$3:$H$1012,""),"Server",_xlfn.XLOOKUP($K323&amp;"",SERVER!$B$3:$B$1009&amp;"",SERVER!$H$3:$H$1009,""),""),IF(TRIM(_xlpm.srcCat)&lt;&gt;TRIM($J323),"",_xlfn.SWITCH($I323,"Computer",_xlfn.XLOOKUP($K323&amp;"",COMPUTER!$B$3:$B$1009&amp;"",COMPUTER!$AM$3:$AM$1009,""),"Display",_xlfn.XLOOKUP($K323&amp;"",DISPLAY!$B$3:$B$1000&amp;"",DISPLAY!$V$3:$V$1000,""),"Network Device",_xlfn.XLOOKUP($K323&amp;"",'NETWORK-DEVICES'!$B$3:$B$987&amp;"",'NETWORK-DEVICES'!$AF$3:$AF$987,""),"Peripheral",_xlfn.XLOOKUP($K323&amp;"",PERIPHERAL!$B$3:$B$954&amp;"",PERIPHERAL!$Y$3:$Y$954,""),"Utilities",_xlfn.XLOOKUP($K323&amp;"",UTILITIES!$B$3:$B$953&amp;"",UTILITIES!$O$3:$O$953,""),"IOT",_xlfn.XLOOKUP($K323&amp;"",IOT!$B$3:$B$1012&amp;"",IOT!$AB$3:$AB$1012,""),"Server",_xlfn.XLOOKUP($K323&amp;"",SERVER!$B$3:$B$1009&amp;"",SERVER!$AB$3:$AB$1009,""),""))))</f>
        <v/>
      </c>
      <c r="R323" s="43" t="str">
        <f>IF(tbl_handover[[#This Row],[Asset Code]]="","",COUNTIF(tbl_handover[Asset Code],tbl_handover[[#This Row],[Asset Code]]))</f>
        <v/>
      </c>
    </row>
    <row r="324" spans="1:18" x14ac:dyDescent="0.25">
      <c r="A324" s="43" t="str">
        <f>IF(B324&lt;&gt;"",SUBTOTAL(3,$B$1:B323),"")</f>
        <v/>
      </c>
      <c r="C324" s="74"/>
      <c r="D324" s="74"/>
      <c r="G324" s="1"/>
      <c r="K324" s="42"/>
      <c r="L324" t="str" cm="1">
        <f t="array" ref="L324">IF($K324="","",_xlfn.SWITCH($I324,"Computer",_xlfn.XLOOKUP($K324&amp;"",COMPUTER!$B$3:$B$1009&amp;"",COMPUTER!$I$3:$I$1009,""),"Display",_xlfn.XLOOKUP($K324&amp;"",DISPLAY!$B$3:$B$1000&amp;"",DISPLAY!$J$3:$J$1000,""),"Network Device",_xlfn.XLOOKUP($K324&amp;"",'NETWORK-DEVICES'!$B$3:$B$987&amp;"",'NETWORK-DEVICES'!$I$3:$I$987,""),"Peripheral",_xlfn.XLOOKUP($K324&amp;"",PERIPHERAL!$B$3:$B$954&amp;"",PERIPHERAL!$I$3:$I$954,""),"Utilities",_xlfn.XLOOKUP($K324&amp;"",UTILITIES!$B$3:$B$953&amp;"",UTILITIES!$H$3:$H$953,""),"IOT",_xlfn.XLOOKUP($K324&amp;"",IOT!$B$3:$B$1012&amp;"",IOT!$I$3:$I$1012,""),"SERVER",_xlfn.XLOOKUP($K324&amp;"",SERVER!$B$3:$B$1009&amp;"",SERVER!$I$3:$I$1009,""),""))</f>
        <v/>
      </c>
      <c r="M324" t="str" cm="1">
        <f t="array" ref="M324">IF($K324="","",_xlfn.SWITCH($I324,"Computer",_xlfn.XLOOKUP($K324&amp;"",COMPUTER!$B$3:$B$1009&amp;"",COMPUTER!$J$3:$J$1009,""),"Display",_xlfn.XLOOKUP($K324&amp;"",DISPLAY!$B$3:$B$1000&amp;"",DISPLAY!$K$3:$K$1000,""),"Network Device",_xlfn.XLOOKUP($K324&amp;"",'NETWORK-DEVICES'!$B$3:$B$987&amp;"",'NETWORK-DEVICES'!$I$3:$I$987,""),"Peripheral",_xlfn.XLOOKUP($K324&amp;"",PERIPHERAL!$B$3:$B$954&amp;"",PERIPHERAL!$J$3:$J$954,""),"Utilities",_xlfn.XLOOKUP($K324&amp;"",UTILITIES!$B$3:$B$953&amp;"",UTILITIES!$I$3:$I$953,""),"IOT",_xlfn.XLOOKUP($K324&amp;"",IOT!$B$3:$B$1012&amp;"",IOT!$J$3:$J$1012,""),"Server",_xlfn.XLOOKUP($K324&amp;"",SERVER!$B$3:$B$1009&amp;"",SERVER!$J$3:$J$1009,""),""))</f>
        <v/>
      </c>
      <c r="N324" s="1" t="str" cm="1">
        <f t="array" ref="N324">IF(OR($K324="",$I324="",$J324=""),"",_xlfn.LET(_xlpm.srcCat,_xlfn.SWITCH($I324,"Computer",_xlfn.XLOOKUP($K324&amp;"",COMPUTER!$B$3:$B$1009&amp;"",COMPUTER!$H$3:$H$1009,""),"Display",_xlfn.XLOOKUP($K324&amp;"",DISPLAY!$B$3:$B$1000&amp;"",DISPLAY!$H$3:$H$1000,""),"Network Device",_xlfn.XLOOKUP($K324&amp;"",'NETWORK-DEVICES'!$B$3:$B$987&amp;"",'NETWORK-DEVICES'!$H$3:$H$987,""),"Peripheral",_xlfn.XLOOKUP($K324&amp;"",PERIPHERAL!$B$3:$B$954&amp;"",PERIPHERAL!$H$3:$H$954,""),"Utilities",_xlfn.XLOOKUP($K324&amp;"",UTILITIES!$B$3:$B$953&amp;"",UTILITIES!$G$3:$G$953,""),"IOT",_xlfn.XLOOKUP($K324&amp;"",IOT!$B$3:$B$1012&amp;"",IOT!$H$3:$H$1012,""),"Server",_xlfn.XLOOKUP($K324&amp;"",SERVER!$B$3:$B$1009&amp;"",SERVER!$H$3:$H$1009,""),""),IF(TRIM(_xlpm.srcCat)&lt;&gt;TRIM($J324),"",_xlfn.SWITCH($I324,"Computer",_xlfn.XLOOKUP($K324&amp;"",COMPUTER!$B$3:$B$1009&amp;"",COMPUTER!$K$3:$K$1009,""),"Display",_xlfn.XLOOKUP($K324&amp;"",DISPLAY!$B$3:$B$1000&amp;"",DISPLAY!$L$3:$L$1000,""),"Network Device",_xlfn.XLOOKUP($K324&amp;"",'NETWORK-DEVICES'!$B$3:$B$987&amp;"",'NETWORK-DEVICES'!$K$3:$K$987,""),"Peripheral",_xlfn.XLOOKUP($K324&amp;"",PERIPHERAL!$B$3:$B$954&amp;"",PERIPHERAL!$K$3:$K$954,""),"Utilities",_xlfn.XLOOKUP($K324&amp;"",UTILITIES!$B$3:$B$953&amp;"",UTILITIES!$J$3:$J$953,""),"IOT",_xlfn.XLOOKUP($K324&amp;"",IOT!$B$3:$B$1012&amp;"",IOT!$K$4:$K$1012,""),"Server",_xlfn.XLOOKUP($K324&amp;"",SERVER!$B$3:$B$1009&amp;"",SERVER!$K$3:$K$1009,""),""))))</f>
        <v/>
      </c>
      <c r="O324" s="1" t="str" cm="1">
        <f t="array" ref="O324">IF(OR($K324="",$I324="",$J324=""),"",_xlfn.LET(_xlpm.srcCat,_xlfn.SWITCH($I324,"Computer",_xlfn.XLOOKUP($K324&amp;"",COMPUTER!$B$3:$B$1009&amp;"",COMPUTER!$H$3:$H$1009,""),"Display",_xlfn.XLOOKUP($K324&amp;"",DISPLAY!$B$3:$B$1000&amp;"",DISPLAY!$H$3:$H$1000,""),"Network Device",_xlfn.XLOOKUP($K324&amp;"",'NETWORK-DEVICES'!$B$3:$B$987&amp;"",'NETWORK-DEVICES'!$H$3:$H$987,""),"Peripheral",_xlfn.XLOOKUP($K324&amp;"",PERIPHERAL!$B$3:$B$954&amp;"",PERIPHERAL!$H$3:$H$954,""),"Utilities",_xlfn.XLOOKUP($K324&amp;"",UTILITIES!$B$3:$B$953&amp;"",UTILITIES!$G$3:$G$953,""),"IOT",_xlfn.XLOOKUP($K324&amp;"",IOT!$B$3:$B$1012&amp;"",IOT!$H$3:$H$1012,""),"Server",_xlfn.XLOOKUP($K324&amp;"",SERVER!$B$3:$B$1009&amp;"",SERVER!$H$3:$H$1009,""),""),IF(TRIM(_xlpm.srcCat)&lt;&gt;TRIM($J324),"",_xlfn.SWITCH($I324,"Computer",_xlfn.XLOOKUP($K324&amp;"",COMPUTER!$B$3:$B$1009&amp;"",COMPUTER!$E$3:$E$1009,""),"Display",_xlfn.XLOOKUP($K324&amp;"",DISPLAY!$B$3:$B$1000&amp;"",DISPLAY!$E$3:$E$1000,""),"Network Device",_xlfn.XLOOKUP($K324&amp;"",'NETWORK-DEVICES'!$B$3:$B$987&amp;"",'NETWORK-DEVICES'!$E$3:$E$987,""),"Peripheral",_xlfn.XLOOKUP($K324&amp;"",PERIPHERAL!$B$3:$B$954&amp;"",PERIPHERAL!$E$3:$E$954,""),"Utilities",_xlfn.XLOOKUP($K324&amp;"",UTILITIES!$B$3:$B$953&amp;"",UTILITIES!$E$3:$E$953,""),"IOT",_xlfn.XLOOKUP($K324&amp;"",IOT!$B$3:$B$1012&amp;"",IOT!$E$3:$E$1012,""),"Server",_xlfn.XLOOKUP($K324&amp;"",SERVER!$B$3:$B$1009&amp;"",SERVER!$E$3:$E$1009,""),""))))</f>
        <v/>
      </c>
      <c r="Q324" s="1" t="str" cm="1">
        <f t="array" ref="Q324">IF(OR($K324="",$I324="",$J324=""),"",_xlfn.LET(_xlpm.srcCat,_xlfn.SWITCH($I324,"Computer",_xlfn.XLOOKUP($K324&amp;"",COMPUTER!$B$3:$B$1009&amp;"",COMPUTER!$H$3:$H$1009,""),"Display",_xlfn.XLOOKUP($K324&amp;"",DISPLAY!$B$3:$B$1000&amp;"",DISPLAY!$H$3:$H$1000,""),"Network Device",_xlfn.XLOOKUP($K324&amp;"",'NETWORK-DEVICES'!$B$3:$B$987&amp;"",'NETWORK-DEVICES'!$H$3:$H$987,""),"Peripheral",_xlfn.XLOOKUP($K324&amp;"",PERIPHERAL!$B$3:$B$954&amp;"",PERIPHERAL!$H$3:$H$954,""),"Utilities",_xlfn.XLOOKUP($K324&amp;"",UTILITIES!$B$3:$B$953&amp;"",UTILITIES!$G$3:$G$953,""),"IOT",_xlfn.XLOOKUP($K324&amp;"",IOT!$B$3:$B$1012&amp;"",IOT!$H$3:$H$1012,""),"Server",_xlfn.XLOOKUP($K324&amp;"",SERVER!$B$3:$B$1009&amp;"",SERVER!$H$3:$H$1009,""),""),IF(TRIM(_xlpm.srcCat)&lt;&gt;TRIM($J324),"",_xlfn.SWITCH($I324,"Computer",_xlfn.XLOOKUP($K324&amp;"",COMPUTER!$B$3:$B$1009&amp;"",COMPUTER!$AM$3:$AM$1009,""),"Display",_xlfn.XLOOKUP($K324&amp;"",DISPLAY!$B$3:$B$1000&amp;"",DISPLAY!$V$3:$V$1000,""),"Network Device",_xlfn.XLOOKUP($K324&amp;"",'NETWORK-DEVICES'!$B$3:$B$987&amp;"",'NETWORK-DEVICES'!$AF$3:$AF$987,""),"Peripheral",_xlfn.XLOOKUP($K324&amp;"",PERIPHERAL!$B$3:$B$954&amp;"",PERIPHERAL!$Y$3:$Y$954,""),"Utilities",_xlfn.XLOOKUP($K324&amp;"",UTILITIES!$B$3:$B$953&amp;"",UTILITIES!$O$3:$O$953,""),"IOT",_xlfn.XLOOKUP($K324&amp;"",IOT!$B$3:$B$1012&amp;"",IOT!$AB$3:$AB$1012,""),"Server",_xlfn.XLOOKUP($K324&amp;"",SERVER!$B$3:$B$1009&amp;"",SERVER!$AB$3:$AB$1009,""),""))))</f>
        <v/>
      </c>
      <c r="R324" s="43" t="str">
        <f>IF(tbl_handover[[#This Row],[Asset Code]]="","",COUNTIF(tbl_handover[Asset Code],tbl_handover[[#This Row],[Asset Code]]))</f>
        <v/>
      </c>
    </row>
    <row r="325" spans="1:18" x14ac:dyDescent="0.25">
      <c r="A325" s="43" t="str">
        <f>IF(B325&lt;&gt;"",SUBTOTAL(3,$B$1:B324),"")</f>
        <v/>
      </c>
      <c r="C325" s="74"/>
      <c r="D325" s="74"/>
      <c r="G325" s="1"/>
      <c r="K325" s="42"/>
      <c r="L325" t="str" cm="1">
        <f t="array" ref="L325">IF($K325="","",_xlfn.SWITCH($I325,"Computer",_xlfn.XLOOKUP($K325&amp;"",COMPUTER!$B$3:$B$1009&amp;"",COMPUTER!$I$3:$I$1009,""),"Display",_xlfn.XLOOKUP($K325&amp;"",DISPLAY!$B$3:$B$1000&amp;"",DISPLAY!$J$3:$J$1000,""),"Network Device",_xlfn.XLOOKUP($K325&amp;"",'NETWORK-DEVICES'!$B$3:$B$987&amp;"",'NETWORK-DEVICES'!$I$3:$I$987,""),"Peripheral",_xlfn.XLOOKUP($K325&amp;"",PERIPHERAL!$B$3:$B$954&amp;"",PERIPHERAL!$I$3:$I$954,""),"Utilities",_xlfn.XLOOKUP($K325&amp;"",UTILITIES!$B$3:$B$953&amp;"",UTILITIES!$H$3:$H$953,""),"IOT",_xlfn.XLOOKUP($K325&amp;"",IOT!$B$3:$B$1012&amp;"",IOT!$I$3:$I$1012,""),"SERVER",_xlfn.XLOOKUP($K325&amp;"",SERVER!$B$3:$B$1009&amp;"",SERVER!$I$3:$I$1009,""),""))</f>
        <v/>
      </c>
      <c r="M325" t="str" cm="1">
        <f t="array" ref="M325">IF($K325="","",_xlfn.SWITCH($I325,"Computer",_xlfn.XLOOKUP($K325&amp;"",COMPUTER!$B$3:$B$1009&amp;"",COMPUTER!$J$3:$J$1009,""),"Display",_xlfn.XLOOKUP($K325&amp;"",DISPLAY!$B$3:$B$1000&amp;"",DISPLAY!$K$3:$K$1000,""),"Network Device",_xlfn.XLOOKUP($K325&amp;"",'NETWORK-DEVICES'!$B$3:$B$987&amp;"",'NETWORK-DEVICES'!$I$3:$I$987,""),"Peripheral",_xlfn.XLOOKUP($K325&amp;"",PERIPHERAL!$B$3:$B$954&amp;"",PERIPHERAL!$J$3:$J$954,""),"Utilities",_xlfn.XLOOKUP($K325&amp;"",UTILITIES!$B$3:$B$953&amp;"",UTILITIES!$I$3:$I$953,""),"IOT",_xlfn.XLOOKUP($K325&amp;"",IOT!$B$3:$B$1012&amp;"",IOT!$J$3:$J$1012,""),"Server",_xlfn.XLOOKUP($K325&amp;"",SERVER!$B$3:$B$1009&amp;"",SERVER!$J$3:$J$1009,""),""))</f>
        <v/>
      </c>
      <c r="N325" s="1" t="str" cm="1">
        <f t="array" ref="N325">IF(OR($K325="",$I325="",$J325=""),"",_xlfn.LET(_xlpm.srcCat,_xlfn.SWITCH($I325,"Computer",_xlfn.XLOOKUP($K325&amp;"",COMPUTER!$B$3:$B$1009&amp;"",COMPUTER!$H$3:$H$1009,""),"Display",_xlfn.XLOOKUP($K325&amp;"",DISPLAY!$B$3:$B$1000&amp;"",DISPLAY!$H$3:$H$1000,""),"Network Device",_xlfn.XLOOKUP($K325&amp;"",'NETWORK-DEVICES'!$B$3:$B$987&amp;"",'NETWORK-DEVICES'!$H$3:$H$987,""),"Peripheral",_xlfn.XLOOKUP($K325&amp;"",PERIPHERAL!$B$3:$B$954&amp;"",PERIPHERAL!$H$3:$H$954,""),"Utilities",_xlfn.XLOOKUP($K325&amp;"",UTILITIES!$B$3:$B$953&amp;"",UTILITIES!$G$3:$G$953,""),"IOT",_xlfn.XLOOKUP($K325&amp;"",IOT!$B$3:$B$1012&amp;"",IOT!$H$3:$H$1012,""),"Server",_xlfn.XLOOKUP($K325&amp;"",SERVER!$B$3:$B$1009&amp;"",SERVER!$H$3:$H$1009,""),""),IF(TRIM(_xlpm.srcCat)&lt;&gt;TRIM($J325),"",_xlfn.SWITCH($I325,"Computer",_xlfn.XLOOKUP($K325&amp;"",COMPUTER!$B$3:$B$1009&amp;"",COMPUTER!$K$3:$K$1009,""),"Display",_xlfn.XLOOKUP($K325&amp;"",DISPLAY!$B$3:$B$1000&amp;"",DISPLAY!$L$3:$L$1000,""),"Network Device",_xlfn.XLOOKUP($K325&amp;"",'NETWORK-DEVICES'!$B$3:$B$987&amp;"",'NETWORK-DEVICES'!$K$3:$K$987,""),"Peripheral",_xlfn.XLOOKUP($K325&amp;"",PERIPHERAL!$B$3:$B$954&amp;"",PERIPHERAL!$K$3:$K$954,""),"Utilities",_xlfn.XLOOKUP($K325&amp;"",UTILITIES!$B$3:$B$953&amp;"",UTILITIES!$J$3:$J$953,""),"IOT",_xlfn.XLOOKUP($K325&amp;"",IOT!$B$3:$B$1012&amp;"",IOT!$K$4:$K$1012,""),"Server",_xlfn.XLOOKUP($K325&amp;"",SERVER!$B$3:$B$1009&amp;"",SERVER!$K$3:$K$1009,""),""))))</f>
        <v/>
      </c>
      <c r="O325" s="1" t="str" cm="1">
        <f t="array" ref="O325">IF(OR($K325="",$I325="",$J325=""),"",_xlfn.LET(_xlpm.srcCat,_xlfn.SWITCH($I325,"Computer",_xlfn.XLOOKUP($K325&amp;"",COMPUTER!$B$3:$B$1009&amp;"",COMPUTER!$H$3:$H$1009,""),"Display",_xlfn.XLOOKUP($K325&amp;"",DISPLAY!$B$3:$B$1000&amp;"",DISPLAY!$H$3:$H$1000,""),"Network Device",_xlfn.XLOOKUP($K325&amp;"",'NETWORK-DEVICES'!$B$3:$B$987&amp;"",'NETWORK-DEVICES'!$H$3:$H$987,""),"Peripheral",_xlfn.XLOOKUP($K325&amp;"",PERIPHERAL!$B$3:$B$954&amp;"",PERIPHERAL!$H$3:$H$954,""),"Utilities",_xlfn.XLOOKUP($K325&amp;"",UTILITIES!$B$3:$B$953&amp;"",UTILITIES!$G$3:$G$953,""),"IOT",_xlfn.XLOOKUP($K325&amp;"",IOT!$B$3:$B$1012&amp;"",IOT!$H$3:$H$1012,""),"Server",_xlfn.XLOOKUP($K325&amp;"",SERVER!$B$3:$B$1009&amp;"",SERVER!$H$3:$H$1009,""),""),IF(TRIM(_xlpm.srcCat)&lt;&gt;TRIM($J325),"",_xlfn.SWITCH($I325,"Computer",_xlfn.XLOOKUP($K325&amp;"",COMPUTER!$B$3:$B$1009&amp;"",COMPUTER!$E$3:$E$1009,""),"Display",_xlfn.XLOOKUP($K325&amp;"",DISPLAY!$B$3:$B$1000&amp;"",DISPLAY!$E$3:$E$1000,""),"Network Device",_xlfn.XLOOKUP($K325&amp;"",'NETWORK-DEVICES'!$B$3:$B$987&amp;"",'NETWORK-DEVICES'!$E$3:$E$987,""),"Peripheral",_xlfn.XLOOKUP($K325&amp;"",PERIPHERAL!$B$3:$B$954&amp;"",PERIPHERAL!$E$3:$E$954,""),"Utilities",_xlfn.XLOOKUP($K325&amp;"",UTILITIES!$B$3:$B$953&amp;"",UTILITIES!$E$3:$E$953,""),"IOT",_xlfn.XLOOKUP($K325&amp;"",IOT!$B$3:$B$1012&amp;"",IOT!$E$3:$E$1012,""),"Server",_xlfn.XLOOKUP($K325&amp;"",SERVER!$B$3:$B$1009&amp;"",SERVER!$E$3:$E$1009,""),""))))</f>
        <v/>
      </c>
      <c r="Q325" s="1" t="str" cm="1">
        <f t="array" ref="Q325">IF(OR($K325="",$I325="",$J325=""),"",_xlfn.LET(_xlpm.srcCat,_xlfn.SWITCH($I325,"Computer",_xlfn.XLOOKUP($K325&amp;"",COMPUTER!$B$3:$B$1009&amp;"",COMPUTER!$H$3:$H$1009,""),"Display",_xlfn.XLOOKUP($K325&amp;"",DISPLAY!$B$3:$B$1000&amp;"",DISPLAY!$H$3:$H$1000,""),"Network Device",_xlfn.XLOOKUP($K325&amp;"",'NETWORK-DEVICES'!$B$3:$B$987&amp;"",'NETWORK-DEVICES'!$H$3:$H$987,""),"Peripheral",_xlfn.XLOOKUP($K325&amp;"",PERIPHERAL!$B$3:$B$954&amp;"",PERIPHERAL!$H$3:$H$954,""),"Utilities",_xlfn.XLOOKUP($K325&amp;"",UTILITIES!$B$3:$B$953&amp;"",UTILITIES!$G$3:$G$953,""),"IOT",_xlfn.XLOOKUP($K325&amp;"",IOT!$B$3:$B$1012&amp;"",IOT!$H$3:$H$1012,""),"Server",_xlfn.XLOOKUP($K325&amp;"",SERVER!$B$3:$B$1009&amp;"",SERVER!$H$3:$H$1009,""),""),IF(TRIM(_xlpm.srcCat)&lt;&gt;TRIM($J325),"",_xlfn.SWITCH($I325,"Computer",_xlfn.XLOOKUP($K325&amp;"",COMPUTER!$B$3:$B$1009&amp;"",COMPUTER!$AM$3:$AM$1009,""),"Display",_xlfn.XLOOKUP($K325&amp;"",DISPLAY!$B$3:$B$1000&amp;"",DISPLAY!$V$3:$V$1000,""),"Network Device",_xlfn.XLOOKUP($K325&amp;"",'NETWORK-DEVICES'!$B$3:$B$987&amp;"",'NETWORK-DEVICES'!$AF$3:$AF$987,""),"Peripheral",_xlfn.XLOOKUP($K325&amp;"",PERIPHERAL!$B$3:$B$954&amp;"",PERIPHERAL!$Y$3:$Y$954,""),"Utilities",_xlfn.XLOOKUP($K325&amp;"",UTILITIES!$B$3:$B$953&amp;"",UTILITIES!$O$3:$O$953,""),"IOT",_xlfn.XLOOKUP($K325&amp;"",IOT!$B$3:$B$1012&amp;"",IOT!$AB$3:$AB$1012,""),"Server",_xlfn.XLOOKUP($K325&amp;"",SERVER!$B$3:$B$1009&amp;"",SERVER!$AB$3:$AB$1009,""),""))))</f>
        <v/>
      </c>
      <c r="R325" s="43" t="str">
        <f>IF(tbl_handover[[#This Row],[Asset Code]]="","",COUNTIF(tbl_handover[Asset Code],tbl_handover[[#This Row],[Asset Code]]))</f>
        <v/>
      </c>
    </row>
    <row r="326" spans="1:18" x14ac:dyDescent="0.25">
      <c r="A326" s="43" t="str">
        <f>IF(B326&lt;&gt;"",SUBTOTAL(3,$B$1:B325),"")</f>
        <v/>
      </c>
      <c r="C326" s="74"/>
      <c r="D326" s="74"/>
      <c r="G326" s="1"/>
      <c r="K326" s="42"/>
      <c r="L326" t="str" cm="1">
        <f t="array" ref="L326">IF($K326="","",_xlfn.SWITCH($I326,"Computer",_xlfn.XLOOKUP($K326&amp;"",COMPUTER!$B$3:$B$1009&amp;"",COMPUTER!$I$3:$I$1009,""),"Display",_xlfn.XLOOKUP($K326&amp;"",DISPLAY!$B$3:$B$1000&amp;"",DISPLAY!$J$3:$J$1000,""),"Network Device",_xlfn.XLOOKUP($K326&amp;"",'NETWORK-DEVICES'!$B$3:$B$987&amp;"",'NETWORK-DEVICES'!$I$3:$I$987,""),"Peripheral",_xlfn.XLOOKUP($K326&amp;"",PERIPHERAL!$B$3:$B$954&amp;"",PERIPHERAL!$I$3:$I$954,""),"Utilities",_xlfn.XLOOKUP($K326&amp;"",UTILITIES!$B$3:$B$953&amp;"",UTILITIES!$H$3:$H$953,""),"IOT",_xlfn.XLOOKUP($K326&amp;"",IOT!$B$3:$B$1012&amp;"",IOT!$I$3:$I$1012,""),"SERVER",_xlfn.XLOOKUP($K326&amp;"",SERVER!$B$3:$B$1009&amp;"",SERVER!$I$3:$I$1009,""),""))</f>
        <v/>
      </c>
      <c r="M326" t="str" cm="1">
        <f t="array" ref="M326">IF($K326="","",_xlfn.SWITCH($I326,"Computer",_xlfn.XLOOKUP($K326&amp;"",COMPUTER!$B$3:$B$1009&amp;"",COMPUTER!$J$3:$J$1009,""),"Display",_xlfn.XLOOKUP($K326&amp;"",DISPLAY!$B$3:$B$1000&amp;"",DISPLAY!$K$3:$K$1000,""),"Network Device",_xlfn.XLOOKUP($K326&amp;"",'NETWORK-DEVICES'!$B$3:$B$987&amp;"",'NETWORK-DEVICES'!$I$3:$I$987,""),"Peripheral",_xlfn.XLOOKUP($K326&amp;"",PERIPHERAL!$B$3:$B$954&amp;"",PERIPHERAL!$J$3:$J$954,""),"Utilities",_xlfn.XLOOKUP($K326&amp;"",UTILITIES!$B$3:$B$953&amp;"",UTILITIES!$I$3:$I$953,""),"IOT",_xlfn.XLOOKUP($K326&amp;"",IOT!$B$3:$B$1012&amp;"",IOT!$J$3:$J$1012,""),"Server",_xlfn.XLOOKUP($K326&amp;"",SERVER!$B$3:$B$1009&amp;"",SERVER!$J$3:$J$1009,""),""))</f>
        <v/>
      </c>
      <c r="N326" s="1" t="str" cm="1">
        <f t="array" ref="N326">IF(OR($K326="",$I326="",$J326=""),"",_xlfn.LET(_xlpm.srcCat,_xlfn.SWITCH($I326,"Computer",_xlfn.XLOOKUP($K326&amp;"",COMPUTER!$B$3:$B$1009&amp;"",COMPUTER!$H$3:$H$1009,""),"Display",_xlfn.XLOOKUP($K326&amp;"",DISPLAY!$B$3:$B$1000&amp;"",DISPLAY!$H$3:$H$1000,""),"Network Device",_xlfn.XLOOKUP($K326&amp;"",'NETWORK-DEVICES'!$B$3:$B$987&amp;"",'NETWORK-DEVICES'!$H$3:$H$987,""),"Peripheral",_xlfn.XLOOKUP($K326&amp;"",PERIPHERAL!$B$3:$B$954&amp;"",PERIPHERAL!$H$3:$H$954,""),"Utilities",_xlfn.XLOOKUP($K326&amp;"",UTILITIES!$B$3:$B$953&amp;"",UTILITIES!$G$3:$G$953,""),"IOT",_xlfn.XLOOKUP($K326&amp;"",IOT!$B$3:$B$1012&amp;"",IOT!$H$3:$H$1012,""),"Server",_xlfn.XLOOKUP($K326&amp;"",SERVER!$B$3:$B$1009&amp;"",SERVER!$H$3:$H$1009,""),""),IF(TRIM(_xlpm.srcCat)&lt;&gt;TRIM($J326),"",_xlfn.SWITCH($I326,"Computer",_xlfn.XLOOKUP($K326&amp;"",COMPUTER!$B$3:$B$1009&amp;"",COMPUTER!$K$3:$K$1009,""),"Display",_xlfn.XLOOKUP($K326&amp;"",DISPLAY!$B$3:$B$1000&amp;"",DISPLAY!$L$3:$L$1000,""),"Network Device",_xlfn.XLOOKUP($K326&amp;"",'NETWORK-DEVICES'!$B$3:$B$987&amp;"",'NETWORK-DEVICES'!$K$3:$K$987,""),"Peripheral",_xlfn.XLOOKUP($K326&amp;"",PERIPHERAL!$B$3:$B$954&amp;"",PERIPHERAL!$K$3:$K$954,""),"Utilities",_xlfn.XLOOKUP($K326&amp;"",UTILITIES!$B$3:$B$953&amp;"",UTILITIES!$J$3:$J$953,""),"IOT",_xlfn.XLOOKUP($K326&amp;"",IOT!$B$3:$B$1012&amp;"",IOT!$K$4:$K$1012,""),"Server",_xlfn.XLOOKUP($K326&amp;"",SERVER!$B$3:$B$1009&amp;"",SERVER!$K$3:$K$1009,""),""))))</f>
        <v/>
      </c>
      <c r="O326" s="1" t="str" cm="1">
        <f t="array" ref="O326">IF(OR($K326="",$I326="",$J326=""),"",_xlfn.LET(_xlpm.srcCat,_xlfn.SWITCH($I326,"Computer",_xlfn.XLOOKUP($K326&amp;"",COMPUTER!$B$3:$B$1009&amp;"",COMPUTER!$H$3:$H$1009,""),"Display",_xlfn.XLOOKUP($K326&amp;"",DISPLAY!$B$3:$B$1000&amp;"",DISPLAY!$H$3:$H$1000,""),"Network Device",_xlfn.XLOOKUP($K326&amp;"",'NETWORK-DEVICES'!$B$3:$B$987&amp;"",'NETWORK-DEVICES'!$H$3:$H$987,""),"Peripheral",_xlfn.XLOOKUP($K326&amp;"",PERIPHERAL!$B$3:$B$954&amp;"",PERIPHERAL!$H$3:$H$954,""),"Utilities",_xlfn.XLOOKUP($K326&amp;"",UTILITIES!$B$3:$B$953&amp;"",UTILITIES!$G$3:$G$953,""),"IOT",_xlfn.XLOOKUP($K326&amp;"",IOT!$B$3:$B$1012&amp;"",IOT!$H$3:$H$1012,""),"Server",_xlfn.XLOOKUP($K326&amp;"",SERVER!$B$3:$B$1009&amp;"",SERVER!$H$3:$H$1009,""),""),IF(TRIM(_xlpm.srcCat)&lt;&gt;TRIM($J326),"",_xlfn.SWITCH($I326,"Computer",_xlfn.XLOOKUP($K326&amp;"",COMPUTER!$B$3:$B$1009&amp;"",COMPUTER!$E$3:$E$1009,""),"Display",_xlfn.XLOOKUP($K326&amp;"",DISPLAY!$B$3:$B$1000&amp;"",DISPLAY!$E$3:$E$1000,""),"Network Device",_xlfn.XLOOKUP($K326&amp;"",'NETWORK-DEVICES'!$B$3:$B$987&amp;"",'NETWORK-DEVICES'!$E$3:$E$987,""),"Peripheral",_xlfn.XLOOKUP($K326&amp;"",PERIPHERAL!$B$3:$B$954&amp;"",PERIPHERAL!$E$3:$E$954,""),"Utilities",_xlfn.XLOOKUP($K326&amp;"",UTILITIES!$B$3:$B$953&amp;"",UTILITIES!$E$3:$E$953,""),"IOT",_xlfn.XLOOKUP($K326&amp;"",IOT!$B$3:$B$1012&amp;"",IOT!$E$3:$E$1012,""),"Server",_xlfn.XLOOKUP($K326&amp;"",SERVER!$B$3:$B$1009&amp;"",SERVER!$E$3:$E$1009,""),""))))</f>
        <v/>
      </c>
      <c r="Q326" s="1" t="str" cm="1">
        <f t="array" ref="Q326">IF(OR($K326="",$I326="",$J326=""),"",_xlfn.LET(_xlpm.srcCat,_xlfn.SWITCH($I326,"Computer",_xlfn.XLOOKUP($K326&amp;"",COMPUTER!$B$3:$B$1009&amp;"",COMPUTER!$H$3:$H$1009,""),"Display",_xlfn.XLOOKUP($K326&amp;"",DISPLAY!$B$3:$B$1000&amp;"",DISPLAY!$H$3:$H$1000,""),"Network Device",_xlfn.XLOOKUP($K326&amp;"",'NETWORK-DEVICES'!$B$3:$B$987&amp;"",'NETWORK-DEVICES'!$H$3:$H$987,""),"Peripheral",_xlfn.XLOOKUP($K326&amp;"",PERIPHERAL!$B$3:$B$954&amp;"",PERIPHERAL!$H$3:$H$954,""),"Utilities",_xlfn.XLOOKUP($K326&amp;"",UTILITIES!$B$3:$B$953&amp;"",UTILITIES!$G$3:$G$953,""),"IOT",_xlfn.XLOOKUP($K326&amp;"",IOT!$B$3:$B$1012&amp;"",IOT!$H$3:$H$1012,""),"Server",_xlfn.XLOOKUP($K326&amp;"",SERVER!$B$3:$B$1009&amp;"",SERVER!$H$3:$H$1009,""),""),IF(TRIM(_xlpm.srcCat)&lt;&gt;TRIM($J326),"",_xlfn.SWITCH($I326,"Computer",_xlfn.XLOOKUP($K326&amp;"",COMPUTER!$B$3:$B$1009&amp;"",COMPUTER!$AM$3:$AM$1009,""),"Display",_xlfn.XLOOKUP($K326&amp;"",DISPLAY!$B$3:$B$1000&amp;"",DISPLAY!$V$3:$V$1000,""),"Network Device",_xlfn.XLOOKUP($K326&amp;"",'NETWORK-DEVICES'!$B$3:$B$987&amp;"",'NETWORK-DEVICES'!$AF$3:$AF$987,""),"Peripheral",_xlfn.XLOOKUP($K326&amp;"",PERIPHERAL!$B$3:$B$954&amp;"",PERIPHERAL!$Y$3:$Y$954,""),"Utilities",_xlfn.XLOOKUP($K326&amp;"",UTILITIES!$B$3:$B$953&amp;"",UTILITIES!$O$3:$O$953,""),"IOT",_xlfn.XLOOKUP($K326&amp;"",IOT!$B$3:$B$1012&amp;"",IOT!$AB$3:$AB$1012,""),"Server",_xlfn.XLOOKUP($K326&amp;"",SERVER!$B$3:$B$1009&amp;"",SERVER!$AB$3:$AB$1009,""),""))))</f>
        <v/>
      </c>
      <c r="R326" s="43" t="str">
        <f>IF(tbl_handover[[#This Row],[Asset Code]]="","",COUNTIF(tbl_handover[Asset Code],tbl_handover[[#This Row],[Asset Code]]))</f>
        <v/>
      </c>
    </row>
    <row r="327" spans="1:18" x14ac:dyDescent="0.25">
      <c r="A327" s="43" t="str">
        <f>IF(B327&lt;&gt;"",SUBTOTAL(3,$B$1:B326),"")</f>
        <v/>
      </c>
      <c r="C327" s="74"/>
      <c r="D327" s="74"/>
      <c r="G327" s="1"/>
      <c r="K327" s="42"/>
      <c r="L327" t="str" cm="1">
        <f t="array" ref="L327">IF($K327="","",_xlfn.SWITCH($I327,"Computer",_xlfn.XLOOKUP($K327&amp;"",COMPUTER!$B$3:$B$1009&amp;"",COMPUTER!$I$3:$I$1009,""),"Display",_xlfn.XLOOKUP($K327&amp;"",DISPLAY!$B$3:$B$1000&amp;"",DISPLAY!$J$3:$J$1000,""),"Network Device",_xlfn.XLOOKUP($K327&amp;"",'NETWORK-DEVICES'!$B$3:$B$987&amp;"",'NETWORK-DEVICES'!$I$3:$I$987,""),"Peripheral",_xlfn.XLOOKUP($K327&amp;"",PERIPHERAL!$B$3:$B$954&amp;"",PERIPHERAL!$I$3:$I$954,""),"Utilities",_xlfn.XLOOKUP($K327&amp;"",UTILITIES!$B$3:$B$953&amp;"",UTILITIES!$H$3:$H$953,""),"IOT",_xlfn.XLOOKUP($K327&amp;"",IOT!$B$3:$B$1012&amp;"",IOT!$I$3:$I$1012,""),"SERVER",_xlfn.XLOOKUP($K327&amp;"",SERVER!$B$3:$B$1009&amp;"",SERVER!$I$3:$I$1009,""),""))</f>
        <v/>
      </c>
      <c r="M327" t="str" cm="1">
        <f t="array" ref="M327">IF($K327="","",_xlfn.SWITCH($I327,"Computer",_xlfn.XLOOKUP($K327&amp;"",COMPUTER!$B$3:$B$1009&amp;"",COMPUTER!$J$3:$J$1009,""),"Display",_xlfn.XLOOKUP($K327&amp;"",DISPLAY!$B$3:$B$1000&amp;"",DISPLAY!$K$3:$K$1000,""),"Network Device",_xlfn.XLOOKUP($K327&amp;"",'NETWORK-DEVICES'!$B$3:$B$987&amp;"",'NETWORK-DEVICES'!$I$3:$I$987,""),"Peripheral",_xlfn.XLOOKUP($K327&amp;"",PERIPHERAL!$B$3:$B$954&amp;"",PERIPHERAL!$J$3:$J$954,""),"Utilities",_xlfn.XLOOKUP($K327&amp;"",UTILITIES!$B$3:$B$953&amp;"",UTILITIES!$I$3:$I$953,""),"IOT",_xlfn.XLOOKUP($K327&amp;"",IOT!$B$3:$B$1012&amp;"",IOT!$J$3:$J$1012,""),"Server",_xlfn.XLOOKUP($K327&amp;"",SERVER!$B$3:$B$1009&amp;"",SERVER!$J$3:$J$1009,""),""))</f>
        <v/>
      </c>
      <c r="N327" s="1" t="str" cm="1">
        <f t="array" ref="N327">IF(OR($K327="",$I327="",$J327=""),"",_xlfn.LET(_xlpm.srcCat,_xlfn.SWITCH($I327,"Computer",_xlfn.XLOOKUP($K327&amp;"",COMPUTER!$B$3:$B$1009&amp;"",COMPUTER!$H$3:$H$1009,""),"Display",_xlfn.XLOOKUP($K327&amp;"",DISPLAY!$B$3:$B$1000&amp;"",DISPLAY!$H$3:$H$1000,""),"Network Device",_xlfn.XLOOKUP($K327&amp;"",'NETWORK-DEVICES'!$B$3:$B$987&amp;"",'NETWORK-DEVICES'!$H$3:$H$987,""),"Peripheral",_xlfn.XLOOKUP($K327&amp;"",PERIPHERAL!$B$3:$B$954&amp;"",PERIPHERAL!$H$3:$H$954,""),"Utilities",_xlfn.XLOOKUP($K327&amp;"",UTILITIES!$B$3:$B$953&amp;"",UTILITIES!$G$3:$G$953,""),"IOT",_xlfn.XLOOKUP($K327&amp;"",IOT!$B$3:$B$1012&amp;"",IOT!$H$3:$H$1012,""),"Server",_xlfn.XLOOKUP($K327&amp;"",SERVER!$B$3:$B$1009&amp;"",SERVER!$H$3:$H$1009,""),""),IF(TRIM(_xlpm.srcCat)&lt;&gt;TRIM($J327),"",_xlfn.SWITCH($I327,"Computer",_xlfn.XLOOKUP($K327&amp;"",COMPUTER!$B$3:$B$1009&amp;"",COMPUTER!$K$3:$K$1009,""),"Display",_xlfn.XLOOKUP($K327&amp;"",DISPLAY!$B$3:$B$1000&amp;"",DISPLAY!$L$3:$L$1000,""),"Network Device",_xlfn.XLOOKUP($K327&amp;"",'NETWORK-DEVICES'!$B$3:$B$987&amp;"",'NETWORK-DEVICES'!$K$3:$K$987,""),"Peripheral",_xlfn.XLOOKUP($K327&amp;"",PERIPHERAL!$B$3:$B$954&amp;"",PERIPHERAL!$K$3:$K$954,""),"Utilities",_xlfn.XLOOKUP($K327&amp;"",UTILITIES!$B$3:$B$953&amp;"",UTILITIES!$J$3:$J$953,""),"IOT",_xlfn.XLOOKUP($K327&amp;"",IOT!$B$3:$B$1012&amp;"",IOT!$K$4:$K$1012,""),"Server",_xlfn.XLOOKUP($K327&amp;"",SERVER!$B$3:$B$1009&amp;"",SERVER!$K$3:$K$1009,""),""))))</f>
        <v/>
      </c>
      <c r="O327" s="1" t="str" cm="1">
        <f t="array" ref="O327">IF(OR($K327="",$I327="",$J327=""),"",_xlfn.LET(_xlpm.srcCat,_xlfn.SWITCH($I327,"Computer",_xlfn.XLOOKUP($K327&amp;"",COMPUTER!$B$3:$B$1009&amp;"",COMPUTER!$H$3:$H$1009,""),"Display",_xlfn.XLOOKUP($K327&amp;"",DISPLAY!$B$3:$B$1000&amp;"",DISPLAY!$H$3:$H$1000,""),"Network Device",_xlfn.XLOOKUP($K327&amp;"",'NETWORK-DEVICES'!$B$3:$B$987&amp;"",'NETWORK-DEVICES'!$H$3:$H$987,""),"Peripheral",_xlfn.XLOOKUP($K327&amp;"",PERIPHERAL!$B$3:$B$954&amp;"",PERIPHERAL!$H$3:$H$954,""),"Utilities",_xlfn.XLOOKUP($K327&amp;"",UTILITIES!$B$3:$B$953&amp;"",UTILITIES!$G$3:$G$953,""),"IOT",_xlfn.XLOOKUP($K327&amp;"",IOT!$B$3:$B$1012&amp;"",IOT!$H$3:$H$1012,""),"Server",_xlfn.XLOOKUP($K327&amp;"",SERVER!$B$3:$B$1009&amp;"",SERVER!$H$3:$H$1009,""),""),IF(TRIM(_xlpm.srcCat)&lt;&gt;TRIM($J327),"",_xlfn.SWITCH($I327,"Computer",_xlfn.XLOOKUP($K327&amp;"",COMPUTER!$B$3:$B$1009&amp;"",COMPUTER!$E$3:$E$1009,""),"Display",_xlfn.XLOOKUP($K327&amp;"",DISPLAY!$B$3:$B$1000&amp;"",DISPLAY!$E$3:$E$1000,""),"Network Device",_xlfn.XLOOKUP($K327&amp;"",'NETWORK-DEVICES'!$B$3:$B$987&amp;"",'NETWORK-DEVICES'!$E$3:$E$987,""),"Peripheral",_xlfn.XLOOKUP($K327&amp;"",PERIPHERAL!$B$3:$B$954&amp;"",PERIPHERAL!$E$3:$E$954,""),"Utilities",_xlfn.XLOOKUP($K327&amp;"",UTILITIES!$B$3:$B$953&amp;"",UTILITIES!$E$3:$E$953,""),"IOT",_xlfn.XLOOKUP($K327&amp;"",IOT!$B$3:$B$1012&amp;"",IOT!$E$3:$E$1012,""),"Server",_xlfn.XLOOKUP($K327&amp;"",SERVER!$B$3:$B$1009&amp;"",SERVER!$E$3:$E$1009,""),""))))</f>
        <v/>
      </c>
      <c r="Q327" s="1" t="str" cm="1">
        <f t="array" ref="Q327">IF(OR($K327="",$I327="",$J327=""),"",_xlfn.LET(_xlpm.srcCat,_xlfn.SWITCH($I327,"Computer",_xlfn.XLOOKUP($K327&amp;"",COMPUTER!$B$3:$B$1009&amp;"",COMPUTER!$H$3:$H$1009,""),"Display",_xlfn.XLOOKUP($K327&amp;"",DISPLAY!$B$3:$B$1000&amp;"",DISPLAY!$H$3:$H$1000,""),"Network Device",_xlfn.XLOOKUP($K327&amp;"",'NETWORK-DEVICES'!$B$3:$B$987&amp;"",'NETWORK-DEVICES'!$H$3:$H$987,""),"Peripheral",_xlfn.XLOOKUP($K327&amp;"",PERIPHERAL!$B$3:$B$954&amp;"",PERIPHERAL!$H$3:$H$954,""),"Utilities",_xlfn.XLOOKUP($K327&amp;"",UTILITIES!$B$3:$B$953&amp;"",UTILITIES!$G$3:$G$953,""),"IOT",_xlfn.XLOOKUP($K327&amp;"",IOT!$B$3:$B$1012&amp;"",IOT!$H$3:$H$1012,""),"Server",_xlfn.XLOOKUP($K327&amp;"",SERVER!$B$3:$B$1009&amp;"",SERVER!$H$3:$H$1009,""),""),IF(TRIM(_xlpm.srcCat)&lt;&gt;TRIM($J327),"",_xlfn.SWITCH($I327,"Computer",_xlfn.XLOOKUP($K327&amp;"",COMPUTER!$B$3:$B$1009&amp;"",COMPUTER!$AM$3:$AM$1009,""),"Display",_xlfn.XLOOKUP($K327&amp;"",DISPLAY!$B$3:$B$1000&amp;"",DISPLAY!$V$3:$V$1000,""),"Network Device",_xlfn.XLOOKUP($K327&amp;"",'NETWORK-DEVICES'!$B$3:$B$987&amp;"",'NETWORK-DEVICES'!$AF$3:$AF$987,""),"Peripheral",_xlfn.XLOOKUP($K327&amp;"",PERIPHERAL!$B$3:$B$954&amp;"",PERIPHERAL!$Y$3:$Y$954,""),"Utilities",_xlfn.XLOOKUP($K327&amp;"",UTILITIES!$B$3:$B$953&amp;"",UTILITIES!$O$3:$O$953,""),"IOT",_xlfn.XLOOKUP($K327&amp;"",IOT!$B$3:$B$1012&amp;"",IOT!$AB$3:$AB$1012,""),"Server",_xlfn.XLOOKUP($K327&amp;"",SERVER!$B$3:$B$1009&amp;"",SERVER!$AB$3:$AB$1009,""),""))))</f>
        <v/>
      </c>
      <c r="R327" s="43" t="str">
        <f>IF(tbl_handover[[#This Row],[Asset Code]]="","",COUNTIF(tbl_handover[Asset Code],tbl_handover[[#This Row],[Asset Code]]))</f>
        <v/>
      </c>
    </row>
    <row r="328" spans="1:18" x14ac:dyDescent="0.25">
      <c r="A328" s="43" t="str">
        <f>IF(B328&lt;&gt;"",SUBTOTAL(3,$B$1:B327),"")</f>
        <v/>
      </c>
      <c r="C328" s="74"/>
      <c r="D328" s="74"/>
      <c r="G328" s="1"/>
      <c r="K328" s="42"/>
      <c r="L328" t="str" cm="1">
        <f t="array" ref="L328">IF($K328="","",_xlfn.SWITCH($I328,"Computer",_xlfn.XLOOKUP($K328&amp;"",COMPUTER!$B$3:$B$1009&amp;"",COMPUTER!$I$3:$I$1009,""),"Display",_xlfn.XLOOKUP($K328&amp;"",DISPLAY!$B$3:$B$1000&amp;"",DISPLAY!$J$3:$J$1000,""),"Network Device",_xlfn.XLOOKUP($K328&amp;"",'NETWORK-DEVICES'!$B$3:$B$987&amp;"",'NETWORK-DEVICES'!$I$3:$I$987,""),"Peripheral",_xlfn.XLOOKUP($K328&amp;"",PERIPHERAL!$B$3:$B$954&amp;"",PERIPHERAL!$I$3:$I$954,""),"Utilities",_xlfn.XLOOKUP($K328&amp;"",UTILITIES!$B$3:$B$953&amp;"",UTILITIES!$H$3:$H$953,""),"IOT",_xlfn.XLOOKUP($K328&amp;"",IOT!$B$3:$B$1012&amp;"",IOT!$I$3:$I$1012,""),"SERVER",_xlfn.XLOOKUP($K328&amp;"",SERVER!$B$3:$B$1009&amp;"",SERVER!$I$3:$I$1009,""),""))</f>
        <v/>
      </c>
      <c r="M328" t="str" cm="1">
        <f t="array" ref="M328">IF($K328="","",_xlfn.SWITCH($I328,"Computer",_xlfn.XLOOKUP($K328&amp;"",COMPUTER!$B$3:$B$1009&amp;"",COMPUTER!$J$3:$J$1009,""),"Display",_xlfn.XLOOKUP($K328&amp;"",DISPLAY!$B$3:$B$1000&amp;"",DISPLAY!$K$3:$K$1000,""),"Network Device",_xlfn.XLOOKUP($K328&amp;"",'NETWORK-DEVICES'!$B$3:$B$987&amp;"",'NETWORK-DEVICES'!$I$3:$I$987,""),"Peripheral",_xlfn.XLOOKUP($K328&amp;"",PERIPHERAL!$B$3:$B$954&amp;"",PERIPHERAL!$J$3:$J$954,""),"Utilities",_xlfn.XLOOKUP($K328&amp;"",UTILITIES!$B$3:$B$953&amp;"",UTILITIES!$I$3:$I$953,""),"IOT",_xlfn.XLOOKUP($K328&amp;"",IOT!$B$3:$B$1012&amp;"",IOT!$J$3:$J$1012,""),"Server",_xlfn.XLOOKUP($K328&amp;"",SERVER!$B$3:$B$1009&amp;"",SERVER!$J$3:$J$1009,""),""))</f>
        <v/>
      </c>
      <c r="N328" s="1" t="str" cm="1">
        <f t="array" ref="N328">IF(OR($K328="",$I328="",$J328=""),"",_xlfn.LET(_xlpm.srcCat,_xlfn.SWITCH($I328,"Computer",_xlfn.XLOOKUP($K328&amp;"",COMPUTER!$B$3:$B$1009&amp;"",COMPUTER!$H$3:$H$1009,""),"Display",_xlfn.XLOOKUP($K328&amp;"",DISPLAY!$B$3:$B$1000&amp;"",DISPLAY!$H$3:$H$1000,""),"Network Device",_xlfn.XLOOKUP($K328&amp;"",'NETWORK-DEVICES'!$B$3:$B$987&amp;"",'NETWORK-DEVICES'!$H$3:$H$987,""),"Peripheral",_xlfn.XLOOKUP($K328&amp;"",PERIPHERAL!$B$3:$B$954&amp;"",PERIPHERAL!$H$3:$H$954,""),"Utilities",_xlfn.XLOOKUP($K328&amp;"",UTILITIES!$B$3:$B$953&amp;"",UTILITIES!$G$3:$G$953,""),"IOT",_xlfn.XLOOKUP($K328&amp;"",IOT!$B$3:$B$1012&amp;"",IOT!$H$3:$H$1012,""),"Server",_xlfn.XLOOKUP($K328&amp;"",SERVER!$B$3:$B$1009&amp;"",SERVER!$H$3:$H$1009,""),""),IF(TRIM(_xlpm.srcCat)&lt;&gt;TRIM($J328),"",_xlfn.SWITCH($I328,"Computer",_xlfn.XLOOKUP($K328&amp;"",COMPUTER!$B$3:$B$1009&amp;"",COMPUTER!$K$3:$K$1009,""),"Display",_xlfn.XLOOKUP($K328&amp;"",DISPLAY!$B$3:$B$1000&amp;"",DISPLAY!$L$3:$L$1000,""),"Network Device",_xlfn.XLOOKUP($K328&amp;"",'NETWORK-DEVICES'!$B$3:$B$987&amp;"",'NETWORK-DEVICES'!$K$3:$K$987,""),"Peripheral",_xlfn.XLOOKUP($K328&amp;"",PERIPHERAL!$B$3:$B$954&amp;"",PERIPHERAL!$K$3:$K$954,""),"Utilities",_xlfn.XLOOKUP($K328&amp;"",UTILITIES!$B$3:$B$953&amp;"",UTILITIES!$J$3:$J$953,""),"IOT",_xlfn.XLOOKUP($K328&amp;"",IOT!$B$3:$B$1012&amp;"",IOT!$K$4:$K$1012,""),"Server",_xlfn.XLOOKUP($K328&amp;"",SERVER!$B$3:$B$1009&amp;"",SERVER!$K$3:$K$1009,""),""))))</f>
        <v/>
      </c>
      <c r="O328" s="1" t="str" cm="1">
        <f t="array" ref="O328">IF(OR($K328="",$I328="",$J328=""),"",_xlfn.LET(_xlpm.srcCat,_xlfn.SWITCH($I328,"Computer",_xlfn.XLOOKUP($K328&amp;"",COMPUTER!$B$3:$B$1009&amp;"",COMPUTER!$H$3:$H$1009,""),"Display",_xlfn.XLOOKUP($K328&amp;"",DISPLAY!$B$3:$B$1000&amp;"",DISPLAY!$H$3:$H$1000,""),"Network Device",_xlfn.XLOOKUP($K328&amp;"",'NETWORK-DEVICES'!$B$3:$B$987&amp;"",'NETWORK-DEVICES'!$H$3:$H$987,""),"Peripheral",_xlfn.XLOOKUP($K328&amp;"",PERIPHERAL!$B$3:$B$954&amp;"",PERIPHERAL!$H$3:$H$954,""),"Utilities",_xlfn.XLOOKUP($K328&amp;"",UTILITIES!$B$3:$B$953&amp;"",UTILITIES!$G$3:$G$953,""),"IOT",_xlfn.XLOOKUP($K328&amp;"",IOT!$B$3:$B$1012&amp;"",IOT!$H$3:$H$1012,""),"Server",_xlfn.XLOOKUP($K328&amp;"",SERVER!$B$3:$B$1009&amp;"",SERVER!$H$3:$H$1009,""),""),IF(TRIM(_xlpm.srcCat)&lt;&gt;TRIM($J328),"",_xlfn.SWITCH($I328,"Computer",_xlfn.XLOOKUP($K328&amp;"",COMPUTER!$B$3:$B$1009&amp;"",COMPUTER!$E$3:$E$1009,""),"Display",_xlfn.XLOOKUP($K328&amp;"",DISPLAY!$B$3:$B$1000&amp;"",DISPLAY!$E$3:$E$1000,""),"Network Device",_xlfn.XLOOKUP($K328&amp;"",'NETWORK-DEVICES'!$B$3:$B$987&amp;"",'NETWORK-DEVICES'!$E$3:$E$987,""),"Peripheral",_xlfn.XLOOKUP($K328&amp;"",PERIPHERAL!$B$3:$B$954&amp;"",PERIPHERAL!$E$3:$E$954,""),"Utilities",_xlfn.XLOOKUP($K328&amp;"",UTILITIES!$B$3:$B$953&amp;"",UTILITIES!$E$3:$E$953,""),"IOT",_xlfn.XLOOKUP($K328&amp;"",IOT!$B$3:$B$1012&amp;"",IOT!$E$3:$E$1012,""),"Server",_xlfn.XLOOKUP($K328&amp;"",SERVER!$B$3:$B$1009&amp;"",SERVER!$E$3:$E$1009,""),""))))</f>
        <v/>
      </c>
      <c r="Q328" s="1" t="str" cm="1">
        <f t="array" ref="Q328">IF(OR($K328="",$I328="",$J328=""),"",_xlfn.LET(_xlpm.srcCat,_xlfn.SWITCH($I328,"Computer",_xlfn.XLOOKUP($K328&amp;"",COMPUTER!$B$3:$B$1009&amp;"",COMPUTER!$H$3:$H$1009,""),"Display",_xlfn.XLOOKUP($K328&amp;"",DISPLAY!$B$3:$B$1000&amp;"",DISPLAY!$H$3:$H$1000,""),"Network Device",_xlfn.XLOOKUP($K328&amp;"",'NETWORK-DEVICES'!$B$3:$B$987&amp;"",'NETWORK-DEVICES'!$H$3:$H$987,""),"Peripheral",_xlfn.XLOOKUP($K328&amp;"",PERIPHERAL!$B$3:$B$954&amp;"",PERIPHERAL!$H$3:$H$954,""),"Utilities",_xlfn.XLOOKUP($K328&amp;"",UTILITIES!$B$3:$B$953&amp;"",UTILITIES!$G$3:$G$953,""),"IOT",_xlfn.XLOOKUP($K328&amp;"",IOT!$B$3:$B$1012&amp;"",IOT!$H$3:$H$1012,""),"Server",_xlfn.XLOOKUP($K328&amp;"",SERVER!$B$3:$B$1009&amp;"",SERVER!$H$3:$H$1009,""),""),IF(TRIM(_xlpm.srcCat)&lt;&gt;TRIM($J328),"",_xlfn.SWITCH($I328,"Computer",_xlfn.XLOOKUP($K328&amp;"",COMPUTER!$B$3:$B$1009&amp;"",COMPUTER!$AM$3:$AM$1009,""),"Display",_xlfn.XLOOKUP($K328&amp;"",DISPLAY!$B$3:$B$1000&amp;"",DISPLAY!$V$3:$V$1000,""),"Network Device",_xlfn.XLOOKUP($K328&amp;"",'NETWORK-DEVICES'!$B$3:$B$987&amp;"",'NETWORK-DEVICES'!$AF$3:$AF$987,""),"Peripheral",_xlfn.XLOOKUP($K328&amp;"",PERIPHERAL!$B$3:$B$954&amp;"",PERIPHERAL!$Y$3:$Y$954,""),"Utilities",_xlfn.XLOOKUP($K328&amp;"",UTILITIES!$B$3:$B$953&amp;"",UTILITIES!$O$3:$O$953,""),"IOT",_xlfn.XLOOKUP($K328&amp;"",IOT!$B$3:$B$1012&amp;"",IOT!$AB$3:$AB$1012,""),"Server",_xlfn.XLOOKUP($K328&amp;"",SERVER!$B$3:$B$1009&amp;"",SERVER!$AB$3:$AB$1009,""),""))))</f>
        <v/>
      </c>
      <c r="R328" s="43" t="str">
        <f>IF(tbl_handover[[#This Row],[Asset Code]]="","",COUNTIF(tbl_handover[Asset Code],tbl_handover[[#This Row],[Asset Code]]))</f>
        <v/>
      </c>
    </row>
    <row r="329" spans="1:18" x14ac:dyDescent="0.25">
      <c r="A329" s="43" t="str">
        <f>IF(B329&lt;&gt;"",SUBTOTAL(3,$B$1:B328),"")</f>
        <v/>
      </c>
      <c r="C329" s="74"/>
      <c r="D329" s="74"/>
      <c r="G329" s="1"/>
      <c r="K329" s="42"/>
      <c r="L329" t="str" cm="1">
        <f t="array" ref="L329">IF($K329="","",_xlfn.SWITCH($I329,"Computer",_xlfn.XLOOKUP($K329&amp;"",COMPUTER!$B$3:$B$1009&amp;"",COMPUTER!$I$3:$I$1009,""),"Display",_xlfn.XLOOKUP($K329&amp;"",DISPLAY!$B$3:$B$1000&amp;"",DISPLAY!$J$3:$J$1000,""),"Network Device",_xlfn.XLOOKUP($K329&amp;"",'NETWORK-DEVICES'!$B$3:$B$987&amp;"",'NETWORK-DEVICES'!$I$3:$I$987,""),"Peripheral",_xlfn.XLOOKUP($K329&amp;"",PERIPHERAL!$B$3:$B$954&amp;"",PERIPHERAL!$I$3:$I$954,""),"Utilities",_xlfn.XLOOKUP($K329&amp;"",UTILITIES!$B$3:$B$953&amp;"",UTILITIES!$H$3:$H$953,""),"IOT",_xlfn.XLOOKUP($K329&amp;"",IOT!$B$3:$B$1012&amp;"",IOT!$I$3:$I$1012,""),"SERVER",_xlfn.XLOOKUP($K329&amp;"",SERVER!$B$3:$B$1009&amp;"",SERVER!$I$3:$I$1009,""),""))</f>
        <v/>
      </c>
      <c r="M329" t="str" cm="1">
        <f t="array" ref="M329">IF($K329="","",_xlfn.SWITCH($I329,"Computer",_xlfn.XLOOKUP($K329&amp;"",COMPUTER!$B$3:$B$1009&amp;"",COMPUTER!$J$3:$J$1009,""),"Display",_xlfn.XLOOKUP($K329&amp;"",DISPLAY!$B$3:$B$1000&amp;"",DISPLAY!$K$3:$K$1000,""),"Network Device",_xlfn.XLOOKUP($K329&amp;"",'NETWORK-DEVICES'!$B$3:$B$987&amp;"",'NETWORK-DEVICES'!$I$3:$I$987,""),"Peripheral",_xlfn.XLOOKUP($K329&amp;"",PERIPHERAL!$B$3:$B$954&amp;"",PERIPHERAL!$J$3:$J$954,""),"Utilities",_xlfn.XLOOKUP($K329&amp;"",UTILITIES!$B$3:$B$953&amp;"",UTILITIES!$I$3:$I$953,""),"IOT",_xlfn.XLOOKUP($K329&amp;"",IOT!$B$3:$B$1012&amp;"",IOT!$J$3:$J$1012,""),"Server",_xlfn.XLOOKUP($K329&amp;"",SERVER!$B$3:$B$1009&amp;"",SERVER!$J$3:$J$1009,""),""))</f>
        <v/>
      </c>
      <c r="N329" s="1" t="str" cm="1">
        <f t="array" ref="N329">IF(OR($K329="",$I329="",$J329=""),"",_xlfn.LET(_xlpm.srcCat,_xlfn.SWITCH($I329,"Computer",_xlfn.XLOOKUP($K329&amp;"",COMPUTER!$B$3:$B$1009&amp;"",COMPUTER!$H$3:$H$1009,""),"Display",_xlfn.XLOOKUP($K329&amp;"",DISPLAY!$B$3:$B$1000&amp;"",DISPLAY!$H$3:$H$1000,""),"Network Device",_xlfn.XLOOKUP($K329&amp;"",'NETWORK-DEVICES'!$B$3:$B$987&amp;"",'NETWORK-DEVICES'!$H$3:$H$987,""),"Peripheral",_xlfn.XLOOKUP($K329&amp;"",PERIPHERAL!$B$3:$B$954&amp;"",PERIPHERAL!$H$3:$H$954,""),"Utilities",_xlfn.XLOOKUP($K329&amp;"",UTILITIES!$B$3:$B$953&amp;"",UTILITIES!$G$3:$G$953,""),"IOT",_xlfn.XLOOKUP($K329&amp;"",IOT!$B$3:$B$1012&amp;"",IOT!$H$3:$H$1012,""),"Server",_xlfn.XLOOKUP($K329&amp;"",SERVER!$B$3:$B$1009&amp;"",SERVER!$H$3:$H$1009,""),""),IF(TRIM(_xlpm.srcCat)&lt;&gt;TRIM($J329),"",_xlfn.SWITCH($I329,"Computer",_xlfn.XLOOKUP($K329&amp;"",COMPUTER!$B$3:$B$1009&amp;"",COMPUTER!$K$3:$K$1009,""),"Display",_xlfn.XLOOKUP($K329&amp;"",DISPLAY!$B$3:$B$1000&amp;"",DISPLAY!$L$3:$L$1000,""),"Network Device",_xlfn.XLOOKUP($K329&amp;"",'NETWORK-DEVICES'!$B$3:$B$987&amp;"",'NETWORK-DEVICES'!$K$3:$K$987,""),"Peripheral",_xlfn.XLOOKUP($K329&amp;"",PERIPHERAL!$B$3:$B$954&amp;"",PERIPHERAL!$K$3:$K$954,""),"Utilities",_xlfn.XLOOKUP($K329&amp;"",UTILITIES!$B$3:$B$953&amp;"",UTILITIES!$J$3:$J$953,""),"IOT",_xlfn.XLOOKUP($K329&amp;"",IOT!$B$3:$B$1012&amp;"",IOT!$K$4:$K$1012,""),"Server",_xlfn.XLOOKUP($K329&amp;"",SERVER!$B$3:$B$1009&amp;"",SERVER!$K$3:$K$1009,""),""))))</f>
        <v/>
      </c>
      <c r="O329" s="1" t="str" cm="1">
        <f t="array" ref="O329">IF(OR($K329="",$I329="",$J329=""),"",_xlfn.LET(_xlpm.srcCat,_xlfn.SWITCH($I329,"Computer",_xlfn.XLOOKUP($K329&amp;"",COMPUTER!$B$3:$B$1009&amp;"",COMPUTER!$H$3:$H$1009,""),"Display",_xlfn.XLOOKUP($K329&amp;"",DISPLAY!$B$3:$B$1000&amp;"",DISPLAY!$H$3:$H$1000,""),"Network Device",_xlfn.XLOOKUP($K329&amp;"",'NETWORK-DEVICES'!$B$3:$B$987&amp;"",'NETWORK-DEVICES'!$H$3:$H$987,""),"Peripheral",_xlfn.XLOOKUP($K329&amp;"",PERIPHERAL!$B$3:$B$954&amp;"",PERIPHERAL!$H$3:$H$954,""),"Utilities",_xlfn.XLOOKUP($K329&amp;"",UTILITIES!$B$3:$B$953&amp;"",UTILITIES!$G$3:$G$953,""),"IOT",_xlfn.XLOOKUP($K329&amp;"",IOT!$B$3:$B$1012&amp;"",IOT!$H$3:$H$1012,""),"Server",_xlfn.XLOOKUP($K329&amp;"",SERVER!$B$3:$B$1009&amp;"",SERVER!$H$3:$H$1009,""),""),IF(TRIM(_xlpm.srcCat)&lt;&gt;TRIM($J329),"",_xlfn.SWITCH($I329,"Computer",_xlfn.XLOOKUP($K329&amp;"",COMPUTER!$B$3:$B$1009&amp;"",COMPUTER!$E$3:$E$1009,""),"Display",_xlfn.XLOOKUP($K329&amp;"",DISPLAY!$B$3:$B$1000&amp;"",DISPLAY!$E$3:$E$1000,""),"Network Device",_xlfn.XLOOKUP($K329&amp;"",'NETWORK-DEVICES'!$B$3:$B$987&amp;"",'NETWORK-DEVICES'!$E$3:$E$987,""),"Peripheral",_xlfn.XLOOKUP($K329&amp;"",PERIPHERAL!$B$3:$B$954&amp;"",PERIPHERAL!$E$3:$E$954,""),"Utilities",_xlfn.XLOOKUP($K329&amp;"",UTILITIES!$B$3:$B$953&amp;"",UTILITIES!$E$3:$E$953,""),"IOT",_xlfn.XLOOKUP($K329&amp;"",IOT!$B$3:$B$1012&amp;"",IOT!$E$3:$E$1012,""),"Server",_xlfn.XLOOKUP($K329&amp;"",SERVER!$B$3:$B$1009&amp;"",SERVER!$E$3:$E$1009,""),""))))</f>
        <v/>
      </c>
      <c r="Q329" s="1" t="str" cm="1">
        <f t="array" ref="Q329">IF(OR($K329="",$I329="",$J329=""),"",_xlfn.LET(_xlpm.srcCat,_xlfn.SWITCH($I329,"Computer",_xlfn.XLOOKUP($K329&amp;"",COMPUTER!$B$3:$B$1009&amp;"",COMPUTER!$H$3:$H$1009,""),"Display",_xlfn.XLOOKUP($K329&amp;"",DISPLAY!$B$3:$B$1000&amp;"",DISPLAY!$H$3:$H$1000,""),"Network Device",_xlfn.XLOOKUP($K329&amp;"",'NETWORK-DEVICES'!$B$3:$B$987&amp;"",'NETWORK-DEVICES'!$H$3:$H$987,""),"Peripheral",_xlfn.XLOOKUP($K329&amp;"",PERIPHERAL!$B$3:$B$954&amp;"",PERIPHERAL!$H$3:$H$954,""),"Utilities",_xlfn.XLOOKUP($K329&amp;"",UTILITIES!$B$3:$B$953&amp;"",UTILITIES!$G$3:$G$953,""),"IOT",_xlfn.XLOOKUP($K329&amp;"",IOT!$B$3:$B$1012&amp;"",IOT!$H$3:$H$1012,""),"Server",_xlfn.XLOOKUP($K329&amp;"",SERVER!$B$3:$B$1009&amp;"",SERVER!$H$3:$H$1009,""),""),IF(TRIM(_xlpm.srcCat)&lt;&gt;TRIM($J329),"",_xlfn.SWITCH($I329,"Computer",_xlfn.XLOOKUP($K329&amp;"",COMPUTER!$B$3:$B$1009&amp;"",COMPUTER!$AM$3:$AM$1009,""),"Display",_xlfn.XLOOKUP($K329&amp;"",DISPLAY!$B$3:$B$1000&amp;"",DISPLAY!$V$3:$V$1000,""),"Network Device",_xlfn.XLOOKUP($K329&amp;"",'NETWORK-DEVICES'!$B$3:$B$987&amp;"",'NETWORK-DEVICES'!$AF$3:$AF$987,""),"Peripheral",_xlfn.XLOOKUP($K329&amp;"",PERIPHERAL!$B$3:$B$954&amp;"",PERIPHERAL!$Y$3:$Y$954,""),"Utilities",_xlfn.XLOOKUP($K329&amp;"",UTILITIES!$B$3:$B$953&amp;"",UTILITIES!$O$3:$O$953,""),"IOT",_xlfn.XLOOKUP($K329&amp;"",IOT!$B$3:$B$1012&amp;"",IOT!$AB$3:$AB$1012,""),"Server",_xlfn.XLOOKUP($K329&amp;"",SERVER!$B$3:$B$1009&amp;"",SERVER!$AB$3:$AB$1009,""),""))))</f>
        <v/>
      </c>
      <c r="R329" s="43" t="str">
        <f>IF(tbl_handover[[#This Row],[Asset Code]]="","",COUNTIF(tbl_handover[Asset Code],tbl_handover[[#This Row],[Asset Code]]))</f>
        <v/>
      </c>
    </row>
    <row r="330" spans="1:18" x14ac:dyDescent="0.25">
      <c r="A330" s="43" t="str">
        <f>IF(B330&lt;&gt;"",SUBTOTAL(3,$B$1:B329),"")</f>
        <v/>
      </c>
      <c r="C330" s="74"/>
      <c r="D330" s="74"/>
      <c r="G330" s="1"/>
      <c r="K330" s="42"/>
      <c r="L330" t="str" cm="1">
        <f t="array" ref="L330">IF($K330="","",_xlfn.SWITCH($I330,"Computer",_xlfn.XLOOKUP($K330&amp;"",COMPUTER!$B$3:$B$1009&amp;"",COMPUTER!$I$3:$I$1009,""),"Display",_xlfn.XLOOKUP($K330&amp;"",DISPLAY!$B$3:$B$1000&amp;"",DISPLAY!$J$3:$J$1000,""),"Network Device",_xlfn.XLOOKUP($K330&amp;"",'NETWORK-DEVICES'!$B$3:$B$987&amp;"",'NETWORK-DEVICES'!$I$3:$I$987,""),"Peripheral",_xlfn.XLOOKUP($K330&amp;"",PERIPHERAL!$B$3:$B$954&amp;"",PERIPHERAL!$I$3:$I$954,""),"Utilities",_xlfn.XLOOKUP($K330&amp;"",UTILITIES!$B$3:$B$953&amp;"",UTILITIES!$H$3:$H$953,""),"IOT",_xlfn.XLOOKUP($K330&amp;"",IOT!$B$3:$B$1012&amp;"",IOT!$I$3:$I$1012,""),"SERVER",_xlfn.XLOOKUP($K330&amp;"",SERVER!$B$3:$B$1009&amp;"",SERVER!$I$3:$I$1009,""),""))</f>
        <v/>
      </c>
      <c r="M330" t="str" cm="1">
        <f t="array" ref="M330">IF($K330="","",_xlfn.SWITCH($I330,"Computer",_xlfn.XLOOKUP($K330&amp;"",COMPUTER!$B$3:$B$1009&amp;"",COMPUTER!$J$3:$J$1009,""),"Display",_xlfn.XLOOKUP($K330&amp;"",DISPLAY!$B$3:$B$1000&amp;"",DISPLAY!$K$3:$K$1000,""),"Network Device",_xlfn.XLOOKUP($K330&amp;"",'NETWORK-DEVICES'!$B$3:$B$987&amp;"",'NETWORK-DEVICES'!$I$3:$I$987,""),"Peripheral",_xlfn.XLOOKUP($K330&amp;"",PERIPHERAL!$B$3:$B$954&amp;"",PERIPHERAL!$J$3:$J$954,""),"Utilities",_xlfn.XLOOKUP($K330&amp;"",UTILITIES!$B$3:$B$953&amp;"",UTILITIES!$I$3:$I$953,""),"IOT",_xlfn.XLOOKUP($K330&amp;"",IOT!$B$3:$B$1012&amp;"",IOT!$J$3:$J$1012,""),"Server",_xlfn.XLOOKUP($K330&amp;"",SERVER!$B$3:$B$1009&amp;"",SERVER!$J$3:$J$1009,""),""))</f>
        <v/>
      </c>
      <c r="N330" s="1" t="str" cm="1">
        <f t="array" ref="N330">IF(OR($K330="",$I330="",$J330=""),"",_xlfn.LET(_xlpm.srcCat,_xlfn.SWITCH($I330,"Computer",_xlfn.XLOOKUP($K330&amp;"",COMPUTER!$B$3:$B$1009&amp;"",COMPUTER!$H$3:$H$1009,""),"Display",_xlfn.XLOOKUP($K330&amp;"",DISPLAY!$B$3:$B$1000&amp;"",DISPLAY!$H$3:$H$1000,""),"Network Device",_xlfn.XLOOKUP($K330&amp;"",'NETWORK-DEVICES'!$B$3:$B$987&amp;"",'NETWORK-DEVICES'!$H$3:$H$987,""),"Peripheral",_xlfn.XLOOKUP($K330&amp;"",PERIPHERAL!$B$3:$B$954&amp;"",PERIPHERAL!$H$3:$H$954,""),"Utilities",_xlfn.XLOOKUP($K330&amp;"",UTILITIES!$B$3:$B$953&amp;"",UTILITIES!$G$3:$G$953,""),"IOT",_xlfn.XLOOKUP($K330&amp;"",IOT!$B$3:$B$1012&amp;"",IOT!$H$3:$H$1012,""),"Server",_xlfn.XLOOKUP($K330&amp;"",SERVER!$B$3:$B$1009&amp;"",SERVER!$H$3:$H$1009,""),""),IF(TRIM(_xlpm.srcCat)&lt;&gt;TRIM($J330),"",_xlfn.SWITCH($I330,"Computer",_xlfn.XLOOKUP($K330&amp;"",COMPUTER!$B$3:$B$1009&amp;"",COMPUTER!$K$3:$K$1009,""),"Display",_xlfn.XLOOKUP($K330&amp;"",DISPLAY!$B$3:$B$1000&amp;"",DISPLAY!$L$3:$L$1000,""),"Network Device",_xlfn.XLOOKUP($K330&amp;"",'NETWORK-DEVICES'!$B$3:$B$987&amp;"",'NETWORK-DEVICES'!$K$3:$K$987,""),"Peripheral",_xlfn.XLOOKUP($K330&amp;"",PERIPHERAL!$B$3:$B$954&amp;"",PERIPHERAL!$K$3:$K$954,""),"Utilities",_xlfn.XLOOKUP($K330&amp;"",UTILITIES!$B$3:$B$953&amp;"",UTILITIES!$J$3:$J$953,""),"IOT",_xlfn.XLOOKUP($K330&amp;"",IOT!$B$3:$B$1012&amp;"",IOT!$K$4:$K$1012,""),"Server",_xlfn.XLOOKUP($K330&amp;"",SERVER!$B$3:$B$1009&amp;"",SERVER!$K$3:$K$1009,""),""))))</f>
        <v/>
      </c>
      <c r="O330" s="1" t="str" cm="1">
        <f t="array" ref="O330">IF(OR($K330="",$I330="",$J330=""),"",_xlfn.LET(_xlpm.srcCat,_xlfn.SWITCH($I330,"Computer",_xlfn.XLOOKUP($K330&amp;"",COMPUTER!$B$3:$B$1009&amp;"",COMPUTER!$H$3:$H$1009,""),"Display",_xlfn.XLOOKUP($K330&amp;"",DISPLAY!$B$3:$B$1000&amp;"",DISPLAY!$H$3:$H$1000,""),"Network Device",_xlfn.XLOOKUP($K330&amp;"",'NETWORK-DEVICES'!$B$3:$B$987&amp;"",'NETWORK-DEVICES'!$H$3:$H$987,""),"Peripheral",_xlfn.XLOOKUP($K330&amp;"",PERIPHERAL!$B$3:$B$954&amp;"",PERIPHERAL!$H$3:$H$954,""),"Utilities",_xlfn.XLOOKUP($K330&amp;"",UTILITIES!$B$3:$B$953&amp;"",UTILITIES!$G$3:$G$953,""),"IOT",_xlfn.XLOOKUP($K330&amp;"",IOT!$B$3:$B$1012&amp;"",IOT!$H$3:$H$1012,""),"Server",_xlfn.XLOOKUP($K330&amp;"",SERVER!$B$3:$B$1009&amp;"",SERVER!$H$3:$H$1009,""),""),IF(TRIM(_xlpm.srcCat)&lt;&gt;TRIM($J330),"",_xlfn.SWITCH($I330,"Computer",_xlfn.XLOOKUP($K330&amp;"",COMPUTER!$B$3:$B$1009&amp;"",COMPUTER!$E$3:$E$1009,""),"Display",_xlfn.XLOOKUP($K330&amp;"",DISPLAY!$B$3:$B$1000&amp;"",DISPLAY!$E$3:$E$1000,""),"Network Device",_xlfn.XLOOKUP($K330&amp;"",'NETWORK-DEVICES'!$B$3:$B$987&amp;"",'NETWORK-DEVICES'!$E$3:$E$987,""),"Peripheral",_xlfn.XLOOKUP($K330&amp;"",PERIPHERAL!$B$3:$B$954&amp;"",PERIPHERAL!$E$3:$E$954,""),"Utilities",_xlfn.XLOOKUP($K330&amp;"",UTILITIES!$B$3:$B$953&amp;"",UTILITIES!$E$3:$E$953,""),"IOT",_xlfn.XLOOKUP($K330&amp;"",IOT!$B$3:$B$1012&amp;"",IOT!$E$3:$E$1012,""),"Server",_xlfn.XLOOKUP($K330&amp;"",SERVER!$B$3:$B$1009&amp;"",SERVER!$E$3:$E$1009,""),""))))</f>
        <v/>
      </c>
      <c r="Q330" s="1" t="str" cm="1">
        <f t="array" ref="Q330">IF(OR($K330="",$I330="",$J330=""),"",_xlfn.LET(_xlpm.srcCat,_xlfn.SWITCH($I330,"Computer",_xlfn.XLOOKUP($K330&amp;"",COMPUTER!$B$3:$B$1009&amp;"",COMPUTER!$H$3:$H$1009,""),"Display",_xlfn.XLOOKUP($K330&amp;"",DISPLAY!$B$3:$B$1000&amp;"",DISPLAY!$H$3:$H$1000,""),"Network Device",_xlfn.XLOOKUP($K330&amp;"",'NETWORK-DEVICES'!$B$3:$B$987&amp;"",'NETWORK-DEVICES'!$H$3:$H$987,""),"Peripheral",_xlfn.XLOOKUP($K330&amp;"",PERIPHERAL!$B$3:$B$954&amp;"",PERIPHERAL!$H$3:$H$954,""),"Utilities",_xlfn.XLOOKUP($K330&amp;"",UTILITIES!$B$3:$B$953&amp;"",UTILITIES!$G$3:$G$953,""),"IOT",_xlfn.XLOOKUP($K330&amp;"",IOT!$B$3:$B$1012&amp;"",IOT!$H$3:$H$1012,""),"Server",_xlfn.XLOOKUP($K330&amp;"",SERVER!$B$3:$B$1009&amp;"",SERVER!$H$3:$H$1009,""),""),IF(TRIM(_xlpm.srcCat)&lt;&gt;TRIM($J330),"",_xlfn.SWITCH($I330,"Computer",_xlfn.XLOOKUP($K330&amp;"",COMPUTER!$B$3:$B$1009&amp;"",COMPUTER!$AM$3:$AM$1009,""),"Display",_xlfn.XLOOKUP($K330&amp;"",DISPLAY!$B$3:$B$1000&amp;"",DISPLAY!$V$3:$V$1000,""),"Network Device",_xlfn.XLOOKUP($K330&amp;"",'NETWORK-DEVICES'!$B$3:$B$987&amp;"",'NETWORK-DEVICES'!$AF$3:$AF$987,""),"Peripheral",_xlfn.XLOOKUP($K330&amp;"",PERIPHERAL!$B$3:$B$954&amp;"",PERIPHERAL!$Y$3:$Y$954,""),"Utilities",_xlfn.XLOOKUP($K330&amp;"",UTILITIES!$B$3:$B$953&amp;"",UTILITIES!$O$3:$O$953,""),"IOT",_xlfn.XLOOKUP($K330&amp;"",IOT!$B$3:$B$1012&amp;"",IOT!$AB$3:$AB$1012,""),"Server",_xlfn.XLOOKUP($K330&amp;"",SERVER!$B$3:$B$1009&amp;"",SERVER!$AB$3:$AB$1009,""),""))))</f>
        <v/>
      </c>
      <c r="R330" s="43" t="str">
        <f>IF(tbl_handover[[#This Row],[Asset Code]]="","",COUNTIF(tbl_handover[Asset Code],tbl_handover[[#This Row],[Asset Code]]))</f>
        <v/>
      </c>
    </row>
    <row r="331" spans="1:18" x14ac:dyDescent="0.25">
      <c r="A331" s="43" t="str">
        <f>IF(B331&lt;&gt;"",SUBTOTAL(3,$B$1:B330),"")</f>
        <v/>
      </c>
      <c r="C331" s="74"/>
      <c r="D331" s="74"/>
      <c r="G331" s="1"/>
      <c r="K331" s="42"/>
      <c r="L331" t="str" cm="1">
        <f t="array" ref="L331">IF($K331="","",_xlfn.SWITCH($I331,"Computer",_xlfn.XLOOKUP($K331&amp;"",COMPUTER!$B$3:$B$1009&amp;"",COMPUTER!$I$3:$I$1009,""),"Display",_xlfn.XLOOKUP($K331&amp;"",DISPLAY!$B$3:$B$1000&amp;"",DISPLAY!$J$3:$J$1000,""),"Network Device",_xlfn.XLOOKUP($K331&amp;"",'NETWORK-DEVICES'!$B$3:$B$987&amp;"",'NETWORK-DEVICES'!$I$3:$I$987,""),"Peripheral",_xlfn.XLOOKUP($K331&amp;"",PERIPHERAL!$B$3:$B$954&amp;"",PERIPHERAL!$I$3:$I$954,""),"Utilities",_xlfn.XLOOKUP($K331&amp;"",UTILITIES!$B$3:$B$953&amp;"",UTILITIES!$H$3:$H$953,""),"IOT",_xlfn.XLOOKUP($K331&amp;"",IOT!$B$3:$B$1012&amp;"",IOT!$I$3:$I$1012,""),"SERVER",_xlfn.XLOOKUP($K331&amp;"",SERVER!$B$3:$B$1009&amp;"",SERVER!$I$3:$I$1009,""),""))</f>
        <v/>
      </c>
      <c r="M331" t="str" cm="1">
        <f t="array" ref="M331">IF($K331="","",_xlfn.SWITCH($I331,"Computer",_xlfn.XLOOKUP($K331&amp;"",COMPUTER!$B$3:$B$1009&amp;"",COMPUTER!$J$3:$J$1009,""),"Display",_xlfn.XLOOKUP($K331&amp;"",DISPLAY!$B$3:$B$1000&amp;"",DISPLAY!$K$3:$K$1000,""),"Network Device",_xlfn.XLOOKUP($K331&amp;"",'NETWORK-DEVICES'!$B$3:$B$987&amp;"",'NETWORK-DEVICES'!$I$3:$I$987,""),"Peripheral",_xlfn.XLOOKUP($K331&amp;"",PERIPHERAL!$B$3:$B$954&amp;"",PERIPHERAL!$J$3:$J$954,""),"Utilities",_xlfn.XLOOKUP($K331&amp;"",UTILITIES!$B$3:$B$953&amp;"",UTILITIES!$I$3:$I$953,""),"IOT",_xlfn.XLOOKUP($K331&amp;"",IOT!$B$3:$B$1012&amp;"",IOT!$J$3:$J$1012,""),"Server",_xlfn.XLOOKUP($K331&amp;"",SERVER!$B$3:$B$1009&amp;"",SERVER!$J$3:$J$1009,""),""))</f>
        <v/>
      </c>
      <c r="N331" s="1" t="str" cm="1">
        <f t="array" ref="N331">IF(OR($K331="",$I331="",$J331=""),"",_xlfn.LET(_xlpm.srcCat,_xlfn.SWITCH($I331,"Computer",_xlfn.XLOOKUP($K331&amp;"",COMPUTER!$B$3:$B$1009&amp;"",COMPUTER!$H$3:$H$1009,""),"Display",_xlfn.XLOOKUP($K331&amp;"",DISPLAY!$B$3:$B$1000&amp;"",DISPLAY!$H$3:$H$1000,""),"Network Device",_xlfn.XLOOKUP($K331&amp;"",'NETWORK-DEVICES'!$B$3:$B$987&amp;"",'NETWORK-DEVICES'!$H$3:$H$987,""),"Peripheral",_xlfn.XLOOKUP($K331&amp;"",PERIPHERAL!$B$3:$B$954&amp;"",PERIPHERAL!$H$3:$H$954,""),"Utilities",_xlfn.XLOOKUP($K331&amp;"",UTILITIES!$B$3:$B$953&amp;"",UTILITIES!$G$3:$G$953,""),"IOT",_xlfn.XLOOKUP($K331&amp;"",IOT!$B$3:$B$1012&amp;"",IOT!$H$3:$H$1012,""),"Server",_xlfn.XLOOKUP($K331&amp;"",SERVER!$B$3:$B$1009&amp;"",SERVER!$H$3:$H$1009,""),""),IF(TRIM(_xlpm.srcCat)&lt;&gt;TRIM($J331),"",_xlfn.SWITCH($I331,"Computer",_xlfn.XLOOKUP($K331&amp;"",COMPUTER!$B$3:$B$1009&amp;"",COMPUTER!$K$3:$K$1009,""),"Display",_xlfn.XLOOKUP($K331&amp;"",DISPLAY!$B$3:$B$1000&amp;"",DISPLAY!$L$3:$L$1000,""),"Network Device",_xlfn.XLOOKUP($K331&amp;"",'NETWORK-DEVICES'!$B$3:$B$987&amp;"",'NETWORK-DEVICES'!$K$3:$K$987,""),"Peripheral",_xlfn.XLOOKUP($K331&amp;"",PERIPHERAL!$B$3:$B$954&amp;"",PERIPHERAL!$K$3:$K$954,""),"Utilities",_xlfn.XLOOKUP($K331&amp;"",UTILITIES!$B$3:$B$953&amp;"",UTILITIES!$J$3:$J$953,""),"IOT",_xlfn.XLOOKUP($K331&amp;"",IOT!$B$3:$B$1012&amp;"",IOT!$K$4:$K$1012,""),"Server",_xlfn.XLOOKUP($K331&amp;"",SERVER!$B$3:$B$1009&amp;"",SERVER!$K$3:$K$1009,""),""))))</f>
        <v/>
      </c>
      <c r="O331" s="1" t="str" cm="1">
        <f t="array" ref="O331">IF(OR($K331="",$I331="",$J331=""),"",_xlfn.LET(_xlpm.srcCat,_xlfn.SWITCH($I331,"Computer",_xlfn.XLOOKUP($K331&amp;"",COMPUTER!$B$3:$B$1009&amp;"",COMPUTER!$H$3:$H$1009,""),"Display",_xlfn.XLOOKUP($K331&amp;"",DISPLAY!$B$3:$B$1000&amp;"",DISPLAY!$H$3:$H$1000,""),"Network Device",_xlfn.XLOOKUP($K331&amp;"",'NETWORK-DEVICES'!$B$3:$B$987&amp;"",'NETWORK-DEVICES'!$H$3:$H$987,""),"Peripheral",_xlfn.XLOOKUP($K331&amp;"",PERIPHERAL!$B$3:$B$954&amp;"",PERIPHERAL!$H$3:$H$954,""),"Utilities",_xlfn.XLOOKUP($K331&amp;"",UTILITIES!$B$3:$B$953&amp;"",UTILITIES!$G$3:$G$953,""),"IOT",_xlfn.XLOOKUP($K331&amp;"",IOT!$B$3:$B$1012&amp;"",IOT!$H$3:$H$1012,""),"Server",_xlfn.XLOOKUP($K331&amp;"",SERVER!$B$3:$B$1009&amp;"",SERVER!$H$3:$H$1009,""),""),IF(TRIM(_xlpm.srcCat)&lt;&gt;TRIM($J331),"",_xlfn.SWITCH($I331,"Computer",_xlfn.XLOOKUP($K331&amp;"",COMPUTER!$B$3:$B$1009&amp;"",COMPUTER!$E$3:$E$1009,""),"Display",_xlfn.XLOOKUP($K331&amp;"",DISPLAY!$B$3:$B$1000&amp;"",DISPLAY!$E$3:$E$1000,""),"Network Device",_xlfn.XLOOKUP($K331&amp;"",'NETWORK-DEVICES'!$B$3:$B$987&amp;"",'NETWORK-DEVICES'!$E$3:$E$987,""),"Peripheral",_xlfn.XLOOKUP($K331&amp;"",PERIPHERAL!$B$3:$B$954&amp;"",PERIPHERAL!$E$3:$E$954,""),"Utilities",_xlfn.XLOOKUP($K331&amp;"",UTILITIES!$B$3:$B$953&amp;"",UTILITIES!$E$3:$E$953,""),"IOT",_xlfn.XLOOKUP($K331&amp;"",IOT!$B$3:$B$1012&amp;"",IOT!$E$3:$E$1012,""),"Server",_xlfn.XLOOKUP($K331&amp;"",SERVER!$B$3:$B$1009&amp;"",SERVER!$E$3:$E$1009,""),""))))</f>
        <v/>
      </c>
      <c r="Q331" s="1" t="str" cm="1">
        <f t="array" ref="Q331">IF(OR($K331="",$I331="",$J331=""),"",_xlfn.LET(_xlpm.srcCat,_xlfn.SWITCH($I331,"Computer",_xlfn.XLOOKUP($K331&amp;"",COMPUTER!$B$3:$B$1009&amp;"",COMPUTER!$H$3:$H$1009,""),"Display",_xlfn.XLOOKUP($K331&amp;"",DISPLAY!$B$3:$B$1000&amp;"",DISPLAY!$H$3:$H$1000,""),"Network Device",_xlfn.XLOOKUP($K331&amp;"",'NETWORK-DEVICES'!$B$3:$B$987&amp;"",'NETWORK-DEVICES'!$H$3:$H$987,""),"Peripheral",_xlfn.XLOOKUP($K331&amp;"",PERIPHERAL!$B$3:$B$954&amp;"",PERIPHERAL!$H$3:$H$954,""),"Utilities",_xlfn.XLOOKUP($K331&amp;"",UTILITIES!$B$3:$B$953&amp;"",UTILITIES!$G$3:$G$953,""),"IOT",_xlfn.XLOOKUP($K331&amp;"",IOT!$B$3:$B$1012&amp;"",IOT!$H$3:$H$1012,""),"Server",_xlfn.XLOOKUP($K331&amp;"",SERVER!$B$3:$B$1009&amp;"",SERVER!$H$3:$H$1009,""),""),IF(TRIM(_xlpm.srcCat)&lt;&gt;TRIM($J331),"",_xlfn.SWITCH($I331,"Computer",_xlfn.XLOOKUP($K331&amp;"",COMPUTER!$B$3:$B$1009&amp;"",COMPUTER!$AM$3:$AM$1009,""),"Display",_xlfn.XLOOKUP($K331&amp;"",DISPLAY!$B$3:$B$1000&amp;"",DISPLAY!$V$3:$V$1000,""),"Network Device",_xlfn.XLOOKUP($K331&amp;"",'NETWORK-DEVICES'!$B$3:$B$987&amp;"",'NETWORK-DEVICES'!$AF$3:$AF$987,""),"Peripheral",_xlfn.XLOOKUP($K331&amp;"",PERIPHERAL!$B$3:$B$954&amp;"",PERIPHERAL!$Y$3:$Y$954,""),"Utilities",_xlfn.XLOOKUP($K331&amp;"",UTILITIES!$B$3:$B$953&amp;"",UTILITIES!$O$3:$O$953,""),"IOT",_xlfn.XLOOKUP($K331&amp;"",IOT!$B$3:$B$1012&amp;"",IOT!$AB$3:$AB$1012,""),"Server",_xlfn.XLOOKUP($K331&amp;"",SERVER!$B$3:$B$1009&amp;"",SERVER!$AB$3:$AB$1009,""),""))))</f>
        <v/>
      </c>
      <c r="R331" s="43" t="str">
        <f>IF(tbl_handover[[#This Row],[Asset Code]]="","",COUNTIF(tbl_handover[Asset Code],tbl_handover[[#This Row],[Asset Code]]))</f>
        <v/>
      </c>
    </row>
    <row r="332" spans="1:18" x14ac:dyDescent="0.25">
      <c r="A332" s="43" t="str">
        <f>IF(B332&lt;&gt;"",SUBTOTAL(3,$B$1:B331),"")</f>
        <v/>
      </c>
      <c r="C332" s="74"/>
      <c r="D332" s="74"/>
      <c r="G332" s="1"/>
      <c r="K332" s="42"/>
      <c r="L332" t="str" cm="1">
        <f t="array" ref="L332">IF($K332="","",_xlfn.SWITCH($I332,"Computer",_xlfn.XLOOKUP($K332&amp;"",COMPUTER!$B$3:$B$1009&amp;"",COMPUTER!$I$3:$I$1009,""),"Display",_xlfn.XLOOKUP($K332&amp;"",DISPLAY!$B$3:$B$1000&amp;"",DISPLAY!$J$3:$J$1000,""),"Network Device",_xlfn.XLOOKUP($K332&amp;"",'NETWORK-DEVICES'!$B$3:$B$987&amp;"",'NETWORK-DEVICES'!$I$3:$I$987,""),"Peripheral",_xlfn.XLOOKUP($K332&amp;"",PERIPHERAL!$B$3:$B$954&amp;"",PERIPHERAL!$I$3:$I$954,""),"Utilities",_xlfn.XLOOKUP($K332&amp;"",UTILITIES!$B$3:$B$953&amp;"",UTILITIES!$H$3:$H$953,""),"IOT",_xlfn.XLOOKUP($K332&amp;"",IOT!$B$3:$B$1012&amp;"",IOT!$I$3:$I$1012,""),"SERVER",_xlfn.XLOOKUP($K332&amp;"",SERVER!$B$3:$B$1009&amp;"",SERVER!$I$3:$I$1009,""),""))</f>
        <v/>
      </c>
      <c r="M332" t="str" cm="1">
        <f t="array" ref="M332">IF($K332="","",_xlfn.SWITCH($I332,"Computer",_xlfn.XLOOKUP($K332&amp;"",COMPUTER!$B$3:$B$1009&amp;"",COMPUTER!$J$3:$J$1009,""),"Display",_xlfn.XLOOKUP($K332&amp;"",DISPLAY!$B$3:$B$1000&amp;"",DISPLAY!$K$3:$K$1000,""),"Network Device",_xlfn.XLOOKUP($K332&amp;"",'NETWORK-DEVICES'!$B$3:$B$987&amp;"",'NETWORK-DEVICES'!$I$3:$I$987,""),"Peripheral",_xlfn.XLOOKUP($K332&amp;"",PERIPHERAL!$B$3:$B$954&amp;"",PERIPHERAL!$J$3:$J$954,""),"Utilities",_xlfn.XLOOKUP($K332&amp;"",UTILITIES!$B$3:$B$953&amp;"",UTILITIES!$I$3:$I$953,""),"IOT",_xlfn.XLOOKUP($K332&amp;"",IOT!$B$3:$B$1012&amp;"",IOT!$J$3:$J$1012,""),"Server",_xlfn.XLOOKUP($K332&amp;"",SERVER!$B$3:$B$1009&amp;"",SERVER!$J$3:$J$1009,""),""))</f>
        <v/>
      </c>
      <c r="N332" s="1" t="str" cm="1">
        <f t="array" ref="N332">IF(OR($K332="",$I332="",$J332=""),"",_xlfn.LET(_xlpm.srcCat,_xlfn.SWITCH($I332,"Computer",_xlfn.XLOOKUP($K332&amp;"",COMPUTER!$B$3:$B$1009&amp;"",COMPUTER!$H$3:$H$1009,""),"Display",_xlfn.XLOOKUP($K332&amp;"",DISPLAY!$B$3:$B$1000&amp;"",DISPLAY!$H$3:$H$1000,""),"Network Device",_xlfn.XLOOKUP($K332&amp;"",'NETWORK-DEVICES'!$B$3:$B$987&amp;"",'NETWORK-DEVICES'!$H$3:$H$987,""),"Peripheral",_xlfn.XLOOKUP($K332&amp;"",PERIPHERAL!$B$3:$B$954&amp;"",PERIPHERAL!$H$3:$H$954,""),"Utilities",_xlfn.XLOOKUP($K332&amp;"",UTILITIES!$B$3:$B$953&amp;"",UTILITIES!$G$3:$G$953,""),"IOT",_xlfn.XLOOKUP($K332&amp;"",IOT!$B$3:$B$1012&amp;"",IOT!$H$3:$H$1012,""),"Server",_xlfn.XLOOKUP($K332&amp;"",SERVER!$B$3:$B$1009&amp;"",SERVER!$H$3:$H$1009,""),""),IF(TRIM(_xlpm.srcCat)&lt;&gt;TRIM($J332),"",_xlfn.SWITCH($I332,"Computer",_xlfn.XLOOKUP($K332&amp;"",COMPUTER!$B$3:$B$1009&amp;"",COMPUTER!$K$3:$K$1009,""),"Display",_xlfn.XLOOKUP($K332&amp;"",DISPLAY!$B$3:$B$1000&amp;"",DISPLAY!$L$3:$L$1000,""),"Network Device",_xlfn.XLOOKUP($K332&amp;"",'NETWORK-DEVICES'!$B$3:$B$987&amp;"",'NETWORK-DEVICES'!$K$3:$K$987,""),"Peripheral",_xlfn.XLOOKUP($K332&amp;"",PERIPHERAL!$B$3:$B$954&amp;"",PERIPHERAL!$K$3:$K$954,""),"Utilities",_xlfn.XLOOKUP($K332&amp;"",UTILITIES!$B$3:$B$953&amp;"",UTILITIES!$J$3:$J$953,""),"IOT",_xlfn.XLOOKUP($K332&amp;"",IOT!$B$3:$B$1012&amp;"",IOT!$K$4:$K$1012,""),"Server",_xlfn.XLOOKUP($K332&amp;"",SERVER!$B$3:$B$1009&amp;"",SERVER!$K$3:$K$1009,""),""))))</f>
        <v/>
      </c>
      <c r="O332" s="1" t="str" cm="1">
        <f t="array" ref="O332">IF(OR($K332="",$I332="",$J332=""),"",_xlfn.LET(_xlpm.srcCat,_xlfn.SWITCH($I332,"Computer",_xlfn.XLOOKUP($K332&amp;"",COMPUTER!$B$3:$B$1009&amp;"",COMPUTER!$H$3:$H$1009,""),"Display",_xlfn.XLOOKUP($K332&amp;"",DISPLAY!$B$3:$B$1000&amp;"",DISPLAY!$H$3:$H$1000,""),"Network Device",_xlfn.XLOOKUP($K332&amp;"",'NETWORK-DEVICES'!$B$3:$B$987&amp;"",'NETWORK-DEVICES'!$H$3:$H$987,""),"Peripheral",_xlfn.XLOOKUP($K332&amp;"",PERIPHERAL!$B$3:$B$954&amp;"",PERIPHERAL!$H$3:$H$954,""),"Utilities",_xlfn.XLOOKUP($K332&amp;"",UTILITIES!$B$3:$B$953&amp;"",UTILITIES!$G$3:$G$953,""),"IOT",_xlfn.XLOOKUP($K332&amp;"",IOT!$B$3:$B$1012&amp;"",IOT!$H$3:$H$1012,""),"Server",_xlfn.XLOOKUP($K332&amp;"",SERVER!$B$3:$B$1009&amp;"",SERVER!$H$3:$H$1009,""),""),IF(TRIM(_xlpm.srcCat)&lt;&gt;TRIM($J332),"",_xlfn.SWITCH($I332,"Computer",_xlfn.XLOOKUP($K332&amp;"",COMPUTER!$B$3:$B$1009&amp;"",COMPUTER!$E$3:$E$1009,""),"Display",_xlfn.XLOOKUP($K332&amp;"",DISPLAY!$B$3:$B$1000&amp;"",DISPLAY!$E$3:$E$1000,""),"Network Device",_xlfn.XLOOKUP($K332&amp;"",'NETWORK-DEVICES'!$B$3:$B$987&amp;"",'NETWORK-DEVICES'!$E$3:$E$987,""),"Peripheral",_xlfn.XLOOKUP($K332&amp;"",PERIPHERAL!$B$3:$B$954&amp;"",PERIPHERAL!$E$3:$E$954,""),"Utilities",_xlfn.XLOOKUP($K332&amp;"",UTILITIES!$B$3:$B$953&amp;"",UTILITIES!$E$3:$E$953,""),"IOT",_xlfn.XLOOKUP($K332&amp;"",IOT!$B$3:$B$1012&amp;"",IOT!$E$3:$E$1012,""),"Server",_xlfn.XLOOKUP($K332&amp;"",SERVER!$B$3:$B$1009&amp;"",SERVER!$E$3:$E$1009,""),""))))</f>
        <v/>
      </c>
      <c r="Q332" s="1" t="str" cm="1">
        <f t="array" ref="Q332">IF(OR($K332="",$I332="",$J332=""),"",_xlfn.LET(_xlpm.srcCat,_xlfn.SWITCH($I332,"Computer",_xlfn.XLOOKUP($K332&amp;"",COMPUTER!$B$3:$B$1009&amp;"",COMPUTER!$H$3:$H$1009,""),"Display",_xlfn.XLOOKUP($K332&amp;"",DISPLAY!$B$3:$B$1000&amp;"",DISPLAY!$H$3:$H$1000,""),"Network Device",_xlfn.XLOOKUP($K332&amp;"",'NETWORK-DEVICES'!$B$3:$B$987&amp;"",'NETWORK-DEVICES'!$H$3:$H$987,""),"Peripheral",_xlfn.XLOOKUP($K332&amp;"",PERIPHERAL!$B$3:$B$954&amp;"",PERIPHERAL!$H$3:$H$954,""),"Utilities",_xlfn.XLOOKUP($K332&amp;"",UTILITIES!$B$3:$B$953&amp;"",UTILITIES!$G$3:$G$953,""),"IOT",_xlfn.XLOOKUP($K332&amp;"",IOT!$B$3:$B$1012&amp;"",IOT!$H$3:$H$1012,""),"Server",_xlfn.XLOOKUP($K332&amp;"",SERVER!$B$3:$B$1009&amp;"",SERVER!$H$3:$H$1009,""),""),IF(TRIM(_xlpm.srcCat)&lt;&gt;TRIM($J332),"",_xlfn.SWITCH($I332,"Computer",_xlfn.XLOOKUP($K332&amp;"",COMPUTER!$B$3:$B$1009&amp;"",COMPUTER!$AM$3:$AM$1009,""),"Display",_xlfn.XLOOKUP($K332&amp;"",DISPLAY!$B$3:$B$1000&amp;"",DISPLAY!$V$3:$V$1000,""),"Network Device",_xlfn.XLOOKUP($K332&amp;"",'NETWORK-DEVICES'!$B$3:$B$987&amp;"",'NETWORK-DEVICES'!$AF$3:$AF$987,""),"Peripheral",_xlfn.XLOOKUP($K332&amp;"",PERIPHERAL!$B$3:$B$954&amp;"",PERIPHERAL!$Y$3:$Y$954,""),"Utilities",_xlfn.XLOOKUP($K332&amp;"",UTILITIES!$B$3:$B$953&amp;"",UTILITIES!$O$3:$O$953,""),"IOT",_xlfn.XLOOKUP($K332&amp;"",IOT!$B$3:$B$1012&amp;"",IOT!$AB$3:$AB$1012,""),"Server",_xlfn.XLOOKUP($K332&amp;"",SERVER!$B$3:$B$1009&amp;"",SERVER!$AB$3:$AB$1009,""),""))))</f>
        <v/>
      </c>
      <c r="R332" s="43" t="str">
        <f>IF(tbl_handover[[#This Row],[Asset Code]]="","",COUNTIF(tbl_handover[Asset Code],tbl_handover[[#This Row],[Asset Code]]))</f>
        <v/>
      </c>
    </row>
    <row r="333" spans="1:18" x14ac:dyDescent="0.25">
      <c r="A333" s="43" t="str">
        <f>IF(B333&lt;&gt;"",SUBTOTAL(3,$B$1:B332),"")</f>
        <v/>
      </c>
      <c r="C333" s="74"/>
      <c r="D333" s="74"/>
      <c r="G333" s="1"/>
      <c r="K333" s="42"/>
      <c r="L333" t="str" cm="1">
        <f t="array" ref="L333">IF($K333="","",_xlfn.SWITCH($I333,"Computer",_xlfn.XLOOKUP($K333&amp;"",COMPUTER!$B$3:$B$1009&amp;"",COMPUTER!$I$3:$I$1009,""),"Display",_xlfn.XLOOKUP($K333&amp;"",DISPLAY!$B$3:$B$1000&amp;"",DISPLAY!$J$3:$J$1000,""),"Network Device",_xlfn.XLOOKUP($K333&amp;"",'NETWORK-DEVICES'!$B$3:$B$987&amp;"",'NETWORK-DEVICES'!$I$3:$I$987,""),"Peripheral",_xlfn.XLOOKUP($K333&amp;"",PERIPHERAL!$B$3:$B$954&amp;"",PERIPHERAL!$I$3:$I$954,""),"Utilities",_xlfn.XLOOKUP($K333&amp;"",UTILITIES!$B$3:$B$953&amp;"",UTILITIES!$H$3:$H$953,""),"IOT",_xlfn.XLOOKUP($K333&amp;"",IOT!$B$3:$B$1012&amp;"",IOT!$I$3:$I$1012,""),"SERVER",_xlfn.XLOOKUP($K333&amp;"",SERVER!$B$3:$B$1009&amp;"",SERVER!$I$3:$I$1009,""),""))</f>
        <v/>
      </c>
      <c r="M333" t="str" cm="1">
        <f t="array" ref="M333">IF($K333="","",_xlfn.SWITCH($I333,"Computer",_xlfn.XLOOKUP($K333&amp;"",COMPUTER!$B$3:$B$1009&amp;"",COMPUTER!$J$3:$J$1009,""),"Display",_xlfn.XLOOKUP($K333&amp;"",DISPLAY!$B$3:$B$1000&amp;"",DISPLAY!$K$3:$K$1000,""),"Network Device",_xlfn.XLOOKUP($K333&amp;"",'NETWORK-DEVICES'!$B$3:$B$987&amp;"",'NETWORK-DEVICES'!$I$3:$I$987,""),"Peripheral",_xlfn.XLOOKUP($K333&amp;"",PERIPHERAL!$B$3:$B$954&amp;"",PERIPHERAL!$J$3:$J$954,""),"Utilities",_xlfn.XLOOKUP($K333&amp;"",UTILITIES!$B$3:$B$953&amp;"",UTILITIES!$I$3:$I$953,""),"IOT",_xlfn.XLOOKUP($K333&amp;"",IOT!$B$3:$B$1012&amp;"",IOT!$J$3:$J$1012,""),"Server",_xlfn.XLOOKUP($K333&amp;"",SERVER!$B$3:$B$1009&amp;"",SERVER!$J$3:$J$1009,""),""))</f>
        <v/>
      </c>
      <c r="N333" s="1" t="str" cm="1">
        <f t="array" ref="N333">IF(OR($K333="",$I333="",$J333=""),"",_xlfn.LET(_xlpm.srcCat,_xlfn.SWITCH($I333,"Computer",_xlfn.XLOOKUP($K333&amp;"",COMPUTER!$B$3:$B$1009&amp;"",COMPUTER!$H$3:$H$1009,""),"Display",_xlfn.XLOOKUP($K333&amp;"",DISPLAY!$B$3:$B$1000&amp;"",DISPLAY!$H$3:$H$1000,""),"Network Device",_xlfn.XLOOKUP($K333&amp;"",'NETWORK-DEVICES'!$B$3:$B$987&amp;"",'NETWORK-DEVICES'!$H$3:$H$987,""),"Peripheral",_xlfn.XLOOKUP($K333&amp;"",PERIPHERAL!$B$3:$B$954&amp;"",PERIPHERAL!$H$3:$H$954,""),"Utilities",_xlfn.XLOOKUP($K333&amp;"",UTILITIES!$B$3:$B$953&amp;"",UTILITIES!$G$3:$G$953,""),"IOT",_xlfn.XLOOKUP($K333&amp;"",IOT!$B$3:$B$1012&amp;"",IOT!$H$3:$H$1012,""),"Server",_xlfn.XLOOKUP($K333&amp;"",SERVER!$B$3:$B$1009&amp;"",SERVER!$H$3:$H$1009,""),""),IF(TRIM(_xlpm.srcCat)&lt;&gt;TRIM($J333),"",_xlfn.SWITCH($I333,"Computer",_xlfn.XLOOKUP($K333&amp;"",COMPUTER!$B$3:$B$1009&amp;"",COMPUTER!$K$3:$K$1009,""),"Display",_xlfn.XLOOKUP($K333&amp;"",DISPLAY!$B$3:$B$1000&amp;"",DISPLAY!$L$3:$L$1000,""),"Network Device",_xlfn.XLOOKUP($K333&amp;"",'NETWORK-DEVICES'!$B$3:$B$987&amp;"",'NETWORK-DEVICES'!$K$3:$K$987,""),"Peripheral",_xlfn.XLOOKUP($K333&amp;"",PERIPHERAL!$B$3:$B$954&amp;"",PERIPHERAL!$K$3:$K$954,""),"Utilities",_xlfn.XLOOKUP($K333&amp;"",UTILITIES!$B$3:$B$953&amp;"",UTILITIES!$J$3:$J$953,""),"IOT",_xlfn.XLOOKUP($K333&amp;"",IOT!$B$3:$B$1012&amp;"",IOT!$K$4:$K$1012,""),"Server",_xlfn.XLOOKUP($K333&amp;"",SERVER!$B$3:$B$1009&amp;"",SERVER!$K$3:$K$1009,""),""))))</f>
        <v/>
      </c>
      <c r="O333" s="1" t="str" cm="1">
        <f t="array" ref="O333">IF(OR($K333="",$I333="",$J333=""),"",_xlfn.LET(_xlpm.srcCat,_xlfn.SWITCH($I333,"Computer",_xlfn.XLOOKUP($K333&amp;"",COMPUTER!$B$3:$B$1009&amp;"",COMPUTER!$H$3:$H$1009,""),"Display",_xlfn.XLOOKUP($K333&amp;"",DISPLAY!$B$3:$B$1000&amp;"",DISPLAY!$H$3:$H$1000,""),"Network Device",_xlfn.XLOOKUP($K333&amp;"",'NETWORK-DEVICES'!$B$3:$B$987&amp;"",'NETWORK-DEVICES'!$H$3:$H$987,""),"Peripheral",_xlfn.XLOOKUP($K333&amp;"",PERIPHERAL!$B$3:$B$954&amp;"",PERIPHERAL!$H$3:$H$954,""),"Utilities",_xlfn.XLOOKUP($K333&amp;"",UTILITIES!$B$3:$B$953&amp;"",UTILITIES!$G$3:$G$953,""),"IOT",_xlfn.XLOOKUP($K333&amp;"",IOT!$B$3:$B$1012&amp;"",IOT!$H$3:$H$1012,""),"Server",_xlfn.XLOOKUP($K333&amp;"",SERVER!$B$3:$B$1009&amp;"",SERVER!$H$3:$H$1009,""),""),IF(TRIM(_xlpm.srcCat)&lt;&gt;TRIM($J333),"",_xlfn.SWITCH($I333,"Computer",_xlfn.XLOOKUP($K333&amp;"",COMPUTER!$B$3:$B$1009&amp;"",COMPUTER!$E$3:$E$1009,""),"Display",_xlfn.XLOOKUP($K333&amp;"",DISPLAY!$B$3:$B$1000&amp;"",DISPLAY!$E$3:$E$1000,""),"Network Device",_xlfn.XLOOKUP($K333&amp;"",'NETWORK-DEVICES'!$B$3:$B$987&amp;"",'NETWORK-DEVICES'!$E$3:$E$987,""),"Peripheral",_xlfn.XLOOKUP($K333&amp;"",PERIPHERAL!$B$3:$B$954&amp;"",PERIPHERAL!$E$3:$E$954,""),"Utilities",_xlfn.XLOOKUP($K333&amp;"",UTILITIES!$B$3:$B$953&amp;"",UTILITIES!$E$3:$E$953,""),"IOT",_xlfn.XLOOKUP($K333&amp;"",IOT!$B$3:$B$1012&amp;"",IOT!$E$3:$E$1012,""),"Server",_xlfn.XLOOKUP($K333&amp;"",SERVER!$B$3:$B$1009&amp;"",SERVER!$E$3:$E$1009,""),""))))</f>
        <v/>
      </c>
      <c r="Q333" s="1" t="str" cm="1">
        <f t="array" ref="Q333">IF(OR($K333="",$I333="",$J333=""),"",_xlfn.LET(_xlpm.srcCat,_xlfn.SWITCH($I333,"Computer",_xlfn.XLOOKUP($K333&amp;"",COMPUTER!$B$3:$B$1009&amp;"",COMPUTER!$H$3:$H$1009,""),"Display",_xlfn.XLOOKUP($K333&amp;"",DISPLAY!$B$3:$B$1000&amp;"",DISPLAY!$H$3:$H$1000,""),"Network Device",_xlfn.XLOOKUP($K333&amp;"",'NETWORK-DEVICES'!$B$3:$B$987&amp;"",'NETWORK-DEVICES'!$H$3:$H$987,""),"Peripheral",_xlfn.XLOOKUP($K333&amp;"",PERIPHERAL!$B$3:$B$954&amp;"",PERIPHERAL!$H$3:$H$954,""),"Utilities",_xlfn.XLOOKUP($K333&amp;"",UTILITIES!$B$3:$B$953&amp;"",UTILITIES!$G$3:$G$953,""),"IOT",_xlfn.XLOOKUP($K333&amp;"",IOT!$B$3:$B$1012&amp;"",IOT!$H$3:$H$1012,""),"Server",_xlfn.XLOOKUP($K333&amp;"",SERVER!$B$3:$B$1009&amp;"",SERVER!$H$3:$H$1009,""),""),IF(TRIM(_xlpm.srcCat)&lt;&gt;TRIM($J333),"",_xlfn.SWITCH($I333,"Computer",_xlfn.XLOOKUP($K333&amp;"",COMPUTER!$B$3:$B$1009&amp;"",COMPUTER!$AM$3:$AM$1009,""),"Display",_xlfn.XLOOKUP($K333&amp;"",DISPLAY!$B$3:$B$1000&amp;"",DISPLAY!$V$3:$V$1000,""),"Network Device",_xlfn.XLOOKUP($K333&amp;"",'NETWORK-DEVICES'!$B$3:$B$987&amp;"",'NETWORK-DEVICES'!$AF$3:$AF$987,""),"Peripheral",_xlfn.XLOOKUP($K333&amp;"",PERIPHERAL!$B$3:$B$954&amp;"",PERIPHERAL!$Y$3:$Y$954,""),"Utilities",_xlfn.XLOOKUP($K333&amp;"",UTILITIES!$B$3:$B$953&amp;"",UTILITIES!$O$3:$O$953,""),"IOT",_xlfn.XLOOKUP($K333&amp;"",IOT!$B$3:$B$1012&amp;"",IOT!$AB$3:$AB$1012,""),"Server",_xlfn.XLOOKUP($K333&amp;"",SERVER!$B$3:$B$1009&amp;"",SERVER!$AB$3:$AB$1009,""),""))))</f>
        <v/>
      </c>
      <c r="R333" s="43" t="str">
        <f>IF(tbl_handover[[#This Row],[Asset Code]]="","",COUNTIF(tbl_handover[Asset Code],tbl_handover[[#This Row],[Asset Code]]))</f>
        <v/>
      </c>
    </row>
    <row r="334" spans="1:18" x14ac:dyDescent="0.25">
      <c r="A334" s="43" t="str">
        <f>IF(B334&lt;&gt;"",SUBTOTAL(3,$B$1:B333),"")</f>
        <v/>
      </c>
      <c r="C334" s="74"/>
      <c r="D334" s="74"/>
      <c r="G334" s="1"/>
      <c r="K334" s="42"/>
      <c r="L334" t="str" cm="1">
        <f t="array" ref="L334">IF($K334="","",_xlfn.SWITCH($I334,"Computer",_xlfn.XLOOKUP($K334&amp;"",COMPUTER!$B$3:$B$1009&amp;"",COMPUTER!$I$3:$I$1009,""),"Display",_xlfn.XLOOKUP($K334&amp;"",DISPLAY!$B$3:$B$1000&amp;"",DISPLAY!$J$3:$J$1000,""),"Network Device",_xlfn.XLOOKUP($K334&amp;"",'NETWORK-DEVICES'!$B$3:$B$987&amp;"",'NETWORK-DEVICES'!$I$3:$I$987,""),"Peripheral",_xlfn.XLOOKUP($K334&amp;"",PERIPHERAL!$B$3:$B$954&amp;"",PERIPHERAL!$I$3:$I$954,""),"Utilities",_xlfn.XLOOKUP($K334&amp;"",UTILITIES!$B$3:$B$953&amp;"",UTILITIES!$H$3:$H$953,""),"IOT",_xlfn.XLOOKUP($K334&amp;"",IOT!$B$3:$B$1012&amp;"",IOT!$I$3:$I$1012,""),"SERVER",_xlfn.XLOOKUP($K334&amp;"",SERVER!$B$3:$B$1009&amp;"",SERVER!$I$3:$I$1009,""),""))</f>
        <v/>
      </c>
      <c r="M334" t="str" cm="1">
        <f t="array" ref="M334">IF($K334="","",_xlfn.SWITCH($I334,"Computer",_xlfn.XLOOKUP($K334&amp;"",COMPUTER!$B$3:$B$1009&amp;"",COMPUTER!$J$3:$J$1009,""),"Display",_xlfn.XLOOKUP($K334&amp;"",DISPLAY!$B$3:$B$1000&amp;"",DISPLAY!$K$3:$K$1000,""),"Network Device",_xlfn.XLOOKUP($K334&amp;"",'NETWORK-DEVICES'!$B$3:$B$987&amp;"",'NETWORK-DEVICES'!$I$3:$I$987,""),"Peripheral",_xlfn.XLOOKUP($K334&amp;"",PERIPHERAL!$B$3:$B$954&amp;"",PERIPHERAL!$J$3:$J$954,""),"Utilities",_xlfn.XLOOKUP($K334&amp;"",UTILITIES!$B$3:$B$953&amp;"",UTILITIES!$I$3:$I$953,""),"IOT",_xlfn.XLOOKUP($K334&amp;"",IOT!$B$3:$B$1012&amp;"",IOT!$J$3:$J$1012,""),"Server",_xlfn.XLOOKUP($K334&amp;"",SERVER!$B$3:$B$1009&amp;"",SERVER!$J$3:$J$1009,""),""))</f>
        <v/>
      </c>
      <c r="N334" s="1" t="str" cm="1">
        <f t="array" ref="N334">IF(OR($K334="",$I334="",$J334=""),"",_xlfn.LET(_xlpm.srcCat,_xlfn.SWITCH($I334,"Computer",_xlfn.XLOOKUP($K334&amp;"",COMPUTER!$B$3:$B$1009&amp;"",COMPUTER!$H$3:$H$1009,""),"Display",_xlfn.XLOOKUP($K334&amp;"",DISPLAY!$B$3:$B$1000&amp;"",DISPLAY!$H$3:$H$1000,""),"Network Device",_xlfn.XLOOKUP($K334&amp;"",'NETWORK-DEVICES'!$B$3:$B$987&amp;"",'NETWORK-DEVICES'!$H$3:$H$987,""),"Peripheral",_xlfn.XLOOKUP($K334&amp;"",PERIPHERAL!$B$3:$B$954&amp;"",PERIPHERAL!$H$3:$H$954,""),"Utilities",_xlfn.XLOOKUP($K334&amp;"",UTILITIES!$B$3:$B$953&amp;"",UTILITIES!$G$3:$G$953,""),"IOT",_xlfn.XLOOKUP($K334&amp;"",IOT!$B$3:$B$1012&amp;"",IOT!$H$3:$H$1012,""),"Server",_xlfn.XLOOKUP($K334&amp;"",SERVER!$B$3:$B$1009&amp;"",SERVER!$H$3:$H$1009,""),""),IF(TRIM(_xlpm.srcCat)&lt;&gt;TRIM($J334),"",_xlfn.SWITCH($I334,"Computer",_xlfn.XLOOKUP($K334&amp;"",COMPUTER!$B$3:$B$1009&amp;"",COMPUTER!$K$3:$K$1009,""),"Display",_xlfn.XLOOKUP($K334&amp;"",DISPLAY!$B$3:$B$1000&amp;"",DISPLAY!$L$3:$L$1000,""),"Network Device",_xlfn.XLOOKUP($K334&amp;"",'NETWORK-DEVICES'!$B$3:$B$987&amp;"",'NETWORK-DEVICES'!$K$3:$K$987,""),"Peripheral",_xlfn.XLOOKUP($K334&amp;"",PERIPHERAL!$B$3:$B$954&amp;"",PERIPHERAL!$K$3:$K$954,""),"Utilities",_xlfn.XLOOKUP($K334&amp;"",UTILITIES!$B$3:$B$953&amp;"",UTILITIES!$J$3:$J$953,""),"IOT",_xlfn.XLOOKUP($K334&amp;"",IOT!$B$3:$B$1012&amp;"",IOT!$K$4:$K$1012,""),"Server",_xlfn.XLOOKUP($K334&amp;"",SERVER!$B$3:$B$1009&amp;"",SERVER!$K$3:$K$1009,""),""))))</f>
        <v/>
      </c>
      <c r="O334" s="1" t="str" cm="1">
        <f t="array" ref="O334">IF(OR($K334="",$I334="",$J334=""),"",_xlfn.LET(_xlpm.srcCat,_xlfn.SWITCH($I334,"Computer",_xlfn.XLOOKUP($K334&amp;"",COMPUTER!$B$3:$B$1009&amp;"",COMPUTER!$H$3:$H$1009,""),"Display",_xlfn.XLOOKUP($K334&amp;"",DISPLAY!$B$3:$B$1000&amp;"",DISPLAY!$H$3:$H$1000,""),"Network Device",_xlfn.XLOOKUP($K334&amp;"",'NETWORK-DEVICES'!$B$3:$B$987&amp;"",'NETWORK-DEVICES'!$H$3:$H$987,""),"Peripheral",_xlfn.XLOOKUP($K334&amp;"",PERIPHERAL!$B$3:$B$954&amp;"",PERIPHERAL!$H$3:$H$954,""),"Utilities",_xlfn.XLOOKUP($K334&amp;"",UTILITIES!$B$3:$B$953&amp;"",UTILITIES!$G$3:$G$953,""),"IOT",_xlfn.XLOOKUP($K334&amp;"",IOT!$B$3:$B$1012&amp;"",IOT!$H$3:$H$1012,""),"Server",_xlfn.XLOOKUP($K334&amp;"",SERVER!$B$3:$B$1009&amp;"",SERVER!$H$3:$H$1009,""),""),IF(TRIM(_xlpm.srcCat)&lt;&gt;TRIM($J334),"",_xlfn.SWITCH($I334,"Computer",_xlfn.XLOOKUP($K334&amp;"",COMPUTER!$B$3:$B$1009&amp;"",COMPUTER!$E$3:$E$1009,""),"Display",_xlfn.XLOOKUP($K334&amp;"",DISPLAY!$B$3:$B$1000&amp;"",DISPLAY!$E$3:$E$1000,""),"Network Device",_xlfn.XLOOKUP($K334&amp;"",'NETWORK-DEVICES'!$B$3:$B$987&amp;"",'NETWORK-DEVICES'!$E$3:$E$987,""),"Peripheral",_xlfn.XLOOKUP($K334&amp;"",PERIPHERAL!$B$3:$B$954&amp;"",PERIPHERAL!$E$3:$E$954,""),"Utilities",_xlfn.XLOOKUP($K334&amp;"",UTILITIES!$B$3:$B$953&amp;"",UTILITIES!$E$3:$E$953,""),"IOT",_xlfn.XLOOKUP($K334&amp;"",IOT!$B$3:$B$1012&amp;"",IOT!$E$3:$E$1012,""),"Server",_xlfn.XLOOKUP($K334&amp;"",SERVER!$B$3:$B$1009&amp;"",SERVER!$E$3:$E$1009,""),""))))</f>
        <v/>
      </c>
      <c r="Q334" s="1" t="str" cm="1">
        <f t="array" ref="Q334">IF(OR($K334="",$I334="",$J334=""),"",_xlfn.LET(_xlpm.srcCat,_xlfn.SWITCH($I334,"Computer",_xlfn.XLOOKUP($K334&amp;"",COMPUTER!$B$3:$B$1009&amp;"",COMPUTER!$H$3:$H$1009,""),"Display",_xlfn.XLOOKUP($K334&amp;"",DISPLAY!$B$3:$B$1000&amp;"",DISPLAY!$H$3:$H$1000,""),"Network Device",_xlfn.XLOOKUP($K334&amp;"",'NETWORK-DEVICES'!$B$3:$B$987&amp;"",'NETWORK-DEVICES'!$H$3:$H$987,""),"Peripheral",_xlfn.XLOOKUP($K334&amp;"",PERIPHERAL!$B$3:$B$954&amp;"",PERIPHERAL!$H$3:$H$954,""),"Utilities",_xlfn.XLOOKUP($K334&amp;"",UTILITIES!$B$3:$B$953&amp;"",UTILITIES!$G$3:$G$953,""),"IOT",_xlfn.XLOOKUP($K334&amp;"",IOT!$B$3:$B$1012&amp;"",IOT!$H$3:$H$1012,""),"Server",_xlfn.XLOOKUP($K334&amp;"",SERVER!$B$3:$B$1009&amp;"",SERVER!$H$3:$H$1009,""),""),IF(TRIM(_xlpm.srcCat)&lt;&gt;TRIM($J334),"",_xlfn.SWITCH($I334,"Computer",_xlfn.XLOOKUP($K334&amp;"",COMPUTER!$B$3:$B$1009&amp;"",COMPUTER!$AM$3:$AM$1009,""),"Display",_xlfn.XLOOKUP($K334&amp;"",DISPLAY!$B$3:$B$1000&amp;"",DISPLAY!$V$3:$V$1000,""),"Network Device",_xlfn.XLOOKUP($K334&amp;"",'NETWORK-DEVICES'!$B$3:$B$987&amp;"",'NETWORK-DEVICES'!$AF$3:$AF$987,""),"Peripheral",_xlfn.XLOOKUP($K334&amp;"",PERIPHERAL!$B$3:$B$954&amp;"",PERIPHERAL!$Y$3:$Y$954,""),"Utilities",_xlfn.XLOOKUP($K334&amp;"",UTILITIES!$B$3:$B$953&amp;"",UTILITIES!$O$3:$O$953,""),"IOT",_xlfn.XLOOKUP($K334&amp;"",IOT!$B$3:$B$1012&amp;"",IOT!$AB$3:$AB$1012,""),"Server",_xlfn.XLOOKUP($K334&amp;"",SERVER!$B$3:$B$1009&amp;"",SERVER!$AB$3:$AB$1009,""),""))))</f>
        <v/>
      </c>
      <c r="R334" s="43" t="str">
        <f>IF(tbl_handover[[#This Row],[Asset Code]]="","",COUNTIF(tbl_handover[Asset Code],tbl_handover[[#This Row],[Asset Code]]))</f>
        <v/>
      </c>
    </row>
    <row r="335" spans="1:18" x14ac:dyDescent="0.25">
      <c r="A335" s="43" t="str">
        <f>IF(B335&lt;&gt;"",SUBTOTAL(3,$B$1:B334),"")</f>
        <v/>
      </c>
      <c r="C335" s="74"/>
      <c r="D335" s="74"/>
      <c r="G335" s="1"/>
      <c r="K335" s="42"/>
      <c r="L335" t="str" cm="1">
        <f t="array" ref="L335">IF($K335="","",_xlfn.SWITCH($I335,"Computer",_xlfn.XLOOKUP($K335&amp;"",COMPUTER!$B$3:$B$1009&amp;"",COMPUTER!$I$3:$I$1009,""),"Display",_xlfn.XLOOKUP($K335&amp;"",DISPLAY!$B$3:$B$1000&amp;"",DISPLAY!$J$3:$J$1000,""),"Network Device",_xlfn.XLOOKUP($K335&amp;"",'NETWORK-DEVICES'!$B$3:$B$987&amp;"",'NETWORK-DEVICES'!$I$3:$I$987,""),"Peripheral",_xlfn.XLOOKUP($K335&amp;"",PERIPHERAL!$B$3:$B$954&amp;"",PERIPHERAL!$I$3:$I$954,""),"Utilities",_xlfn.XLOOKUP($K335&amp;"",UTILITIES!$B$3:$B$953&amp;"",UTILITIES!$H$3:$H$953,""),"IOT",_xlfn.XLOOKUP($K335&amp;"",IOT!$B$3:$B$1012&amp;"",IOT!$I$3:$I$1012,""),"SERVER",_xlfn.XLOOKUP($K335&amp;"",SERVER!$B$3:$B$1009&amp;"",SERVER!$I$3:$I$1009,""),""))</f>
        <v/>
      </c>
      <c r="M335" t="str" cm="1">
        <f t="array" ref="M335">IF($K335="","",_xlfn.SWITCH($I335,"Computer",_xlfn.XLOOKUP($K335&amp;"",COMPUTER!$B$3:$B$1009&amp;"",COMPUTER!$J$3:$J$1009,""),"Display",_xlfn.XLOOKUP($K335&amp;"",DISPLAY!$B$3:$B$1000&amp;"",DISPLAY!$K$3:$K$1000,""),"Network Device",_xlfn.XLOOKUP($K335&amp;"",'NETWORK-DEVICES'!$B$3:$B$987&amp;"",'NETWORK-DEVICES'!$I$3:$I$987,""),"Peripheral",_xlfn.XLOOKUP($K335&amp;"",PERIPHERAL!$B$3:$B$954&amp;"",PERIPHERAL!$J$3:$J$954,""),"Utilities",_xlfn.XLOOKUP($K335&amp;"",UTILITIES!$B$3:$B$953&amp;"",UTILITIES!$I$3:$I$953,""),"IOT",_xlfn.XLOOKUP($K335&amp;"",IOT!$B$3:$B$1012&amp;"",IOT!$J$3:$J$1012,""),"Server",_xlfn.XLOOKUP($K335&amp;"",SERVER!$B$3:$B$1009&amp;"",SERVER!$J$3:$J$1009,""),""))</f>
        <v/>
      </c>
      <c r="N335" s="1" t="str" cm="1">
        <f t="array" ref="N335">IF(OR($K335="",$I335="",$J335=""),"",_xlfn.LET(_xlpm.srcCat,_xlfn.SWITCH($I335,"Computer",_xlfn.XLOOKUP($K335&amp;"",COMPUTER!$B$3:$B$1009&amp;"",COMPUTER!$H$3:$H$1009,""),"Display",_xlfn.XLOOKUP($K335&amp;"",DISPLAY!$B$3:$B$1000&amp;"",DISPLAY!$H$3:$H$1000,""),"Network Device",_xlfn.XLOOKUP($K335&amp;"",'NETWORK-DEVICES'!$B$3:$B$987&amp;"",'NETWORK-DEVICES'!$H$3:$H$987,""),"Peripheral",_xlfn.XLOOKUP($K335&amp;"",PERIPHERAL!$B$3:$B$954&amp;"",PERIPHERAL!$H$3:$H$954,""),"Utilities",_xlfn.XLOOKUP($K335&amp;"",UTILITIES!$B$3:$B$953&amp;"",UTILITIES!$G$3:$G$953,""),"IOT",_xlfn.XLOOKUP($K335&amp;"",IOT!$B$3:$B$1012&amp;"",IOT!$H$3:$H$1012,""),"Server",_xlfn.XLOOKUP($K335&amp;"",SERVER!$B$3:$B$1009&amp;"",SERVER!$H$3:$H$1009,""),""),IF(TRIM(_xlpm.srcCat)&lt;&gt;TRIM($J335),"",_xlfn.SWITCH($I335,"Computer",_xlfn.XLOOKUP($K335&amp;"",COMPUTER!$B$3:$B$1009&amp;"",COMPUTER!$K$3:$K$1009,""),"Display",_xlfn.XLOOKUP($K335&amp;"",DISPLAY!$B$3:$B$1000&amp;"",DISPLAY!$L$3:$L$1000,""),"Network Device",_xlfn.XLOOKUP($K335&amp;"",'NETWORK-DEVICES'!$B$3:$B$987&amp;"",'NETWORK-DEVICES'!$K$3:$K$987,""),"Peripheral",_xlfn.XLOOKUP($K335&amp;"",PERIPHERAL!$B$3:$B$954&amp;"",PERIPHERAL!$K$3:$K$954,""),"Utilities",_xlfn.XLOOKUP($K335&amp;"",UTILITIES!$B$3:$B$953&amp;"",UTILITIES!$J$3:$J$953,""),"IOT",_xlfn.XLOOKUP($K335&amp;"",IOT!$B$3:$B$1012&amp;"",IOT!$K$4:$K$1012,""),"Server",_xlfn.XLOOKUP($K335&amp;"",SERVER!$B$3:$B$1009&amp;"",SERVER!$K$3:$K$1009,""),""))))</f>
        <v/>
      </c>
      <c r="O335" s="1" t="str" cm="1">
        <f t="array" ref="O335">IF(OR($K335="",$I335="",$J335=""),"",_xlfn.LET(_xlpm.srcCat,_xlfn.SWITCH($I335,"Computer",_xlfn.XLOOKUP($K335&amp;"",COMPUTER!$B$3:$B$1009&amp;"",COMPUTER!$H$3:$H$1009,""),"Display",_xlfn.XLOOKUP($K335&amp;"",DISPLAY!$B$3:$B$1000&amp;"",DISPLAY!$H$3:$H$1000,""),"Network Device",_xlfn.XLOOKUP($K335&amp;"",'NETWORK-DEVICES'!$B$3:$B$987&amp;"",'NETWORK-DEVICES'!$H$3:$H$987,""),"Peripheral",_xlfn.XLOOKUP($K335&amp;"",PERIPHERAL!$B$3:$B$954&amp;"",PERIPHERAL!$H$3:$H$954,""),"Utilities",_xlfn.XLOOKUP($K335&amp;"",UTILITIES!$B$3:$B$953&amp;"",UTILITIES!$G$3:$G$953,""),"IOT",_xlfn.XLOOKUP($K335&amp;"",IOT!$B$3:$B$1012&amp;"",IOT!$H$3:$H$1012,""),"Server",_xlfn.XLOOKUP($K335&amp;"",SERVER!$B$3:$B$1009&amp;"",SERVER!$H$3:$H$1009,""),""),IF(TRIM(_xlpm.srcCat)&lt;&gt;TRIM($J335),"",_xlfn.SWITCH($I335,"Computer",_xlfn.XLOOKUP($K335&amp;"",COMPUTER!$B$3:$B$1009&amp;"",COMPUTER!$E$3:$E$1009,""),"Display",_xlfn.XLOOKUP($K335&amp;"",DISPLAY!$B$3:$B$1000&amp;"",DISPLAY!$E$3:$E$1000,""),"Network Device",_xlfn.XLOOKUP($K335&amp;"",'NETWORK-DEVICES'!$B$3:$B$987&amp;"",'NETWORK-DEVICES'!$E$3:$E$987,""),"Peripheral",_xlfn.XLOOKUP($K335&amp;"",PERIPHERAL!$B$3:$B$954&amp;"",PERIPHERAL!$E$3:$E$954,""),"Utilities",_xlfn.XLOOKUP($K335&amp;"",UTILITIES!$B$3:$B$953&amp;"",UTILITIES!$E$3:$E$953,""),"IOT",_xlfn.XLOOKUP($K335&amp;"",IOT!$B$3:$B$1012&amp;"",IOT!$E$3:$E$1012,""),"Server",_xlfn.XLOOKUP($K335&amp;"",SERVER!$B$3:$B$1009&amp;"",SERVER!$E$3:$E$1009,""),""))))</f>
        <v/>
      </c>
      <c r="Q335" s="1" t="str" cm="1">
        <f t="array" ref="Q335">IF(OR($K335="",$I335="",$J335=""),"",_xlfn.LET(_xlpm.srcCat,_xlfn.SWITCH($I335,"Computer",_xlfn.XLOOKUP($K335&amp;"",COMPUTER!$B$3:$B$1009&amp;"",COMPUTER!$H$3:$H$1009,""),"Display",_xlfn.XLOOKUP($K335&amp;"",DISPLAY!$B$3:$B$1000&amp;"",DISPLAY!$H$3:$H$1000,""),"Network Device",_xlfn.XLOOKUP($K335&amp;"",'NETWORK-DEVICES'!$B$3:$B$987&amp;"",'NETWORK-DEVICES'!$H$3:$H$987,""),"Peripheral",_xlfn.XLOOKUP($K335&amp;"",PERIPHERAL!$B$3:$B$954&amp;"",PERIPHERAL!$H$3:$H$954,""),"Utilities",_xlfn.XLOOKUP($K335&amp;"",UTILITIES!$B$3:$B$953&amp;"",UTILITIES!$G$3:$G$953,""),"IOT",_xlfn.XLOOKUP($K335&amp;"",IOT!$B$3:$B$1012&amp;"",IOT!$H$3:$H$1012,""),"Server",_xlfn.XLOOKUP($K335&amp;"",SERVER!$B$3:$B$1009&amp;"",SERVER!$H$3:$H$1009,""),""),IF(TRIM(_xlpm.srcCat)&lt;&gt;TRIM($J335),"",_xlfn.SWITCH($I335,"Computer",_xlfn.XLOOKUP($K335&amp;"",COMPUTER!$B$3:$B$1009&amp;"",COMPUTER!$AM$3:$AM$1009,""),"Display",_xlfn.XLOOKUP($K335&amp;"",DISPLAY!$B$3:$B$1000&amp;"",DISPLAY!$V$3:$V$1000,""),"Network Device",_xlfn.XLOOKUP($K335&amp;"",'NETWORK-DEVICES'!$B$3:$B$987&amp;"",'NETWORK-DEVICES'!$AF$3:$AF$987,""),"Peripheral",_xlfn.XLOOKUP($K335&amp;"",PERIPHERAL!$B$3:$B$954&amp;"",PERIPHERAL!$Y$3:$Y$954,""),"Utilities",_xlfn.XLOOKUP($K335&amp;"",UTILITIES!$B$3:$B$953&amp;"",UTILITIES!$O$3:$O$953,""),"IOT",_xlfn.XLOOKUP($K335&amp;"",IOT!$B$3:$B$1012&amp;"",IOT!$AB$3:$AB$1012,""),"Server",_xlfn.XLOOKUP($K335&amp;"",SERVER!$B$3:$B$1009&amp;"",SERVER!$AB$3:$AB$1009,""),""))))</f>
        <v/>
      </c>
      <c r="R335" s="43" t="str">
        <f>IF(tbl_handover[[#This Row],[Asset Code]]="","",COUNTIF(tbl_handover[Asset Code],tbl_handover[[#This Row],[Asset Code]]))</f>
        <v/>
      </c>
    </row>
    <row r="336" spans="1:18" x14ac:dyDescent="0.25">
      <c r="A336" s="43" t="str">
        <f>IF(B336&lt;&gt;"",SUBTOTAL(3,$B$1:B335),"")</f>
        <v/>
      </c>
      <c r="C336" s="74"/>
      <c r="D336" s="74"/>
      <c r="G336" s="1"/>
      <c r="K336" s="42"/>
      <c r="L336" t="str" cm="1">
        <f t="array" ref="L336">IF($K336="","",_xlfn.SWITCH($I336,"Computer",_xlfn.XLOOKUP($K336&amp;"",COMPUTER!$B$3:$B$1009&amp;"",COMPUTER!$I$3:$I$1009,""),"Display",_xlfn.XLOOKUP($K336&amp;"",DISPLAY!$B$3:$B$1000&amp;"",DISPLAY!$J$3:$J$1000,""),"Network Device",_xlfn.XLOOKUP($K336&amp;"",'NETWORK-DEVICES'!$B$3:$B$987&amp;"",'NETWORK-DEVICES'!$I$3:$I$987,""),"Peripheral",_xlfn.XLOOKUP($K336&amp;"",PERIPHERAL!$B$3:$B$954&amp;"",PERIPHERAL!$I$3:$I$954,""),"Utilities",_xlfn.XLOOKUP($K336&amp;"",UTILITIES!$B$3:$B$953&amp;"",UTILITIES!$H$3:$H$953,""),"IOT",_xlfn.XLOOKUP($K336&amp;"",IOT!$B$3:$B$1012&amp;"",IOT!$I$3:$I$1012,""),"SERVER",_xlfn.XLOOKUP($K336&amp;"",SERVER!$B$3:$B$1009&amp;"",SERVER!$I$3:$I$1009,""),""))</f>
        <v/>
      </c>
      <c r="M336" t="str" cm="1">
        <f t="array" ref="M336">IF($K336="","",_xlfn.SWITCH($I336,"Computer",_xlfn.XLOOKUP($K336&amp;"",COMPUTER!$B$3:$B$1009&amp;"",COMPUTER!$J$3:$J$1009,""),"Display",_xlfn.XLOOKUP($K336&amp;"",DISPLAY!$B$3:$B$1000&amp;"",DISPLAY!$K$3:$K$1000,""),"Network Device",_xlfn.XLOOKUP($K336&amp;"",'NETWORK-DEVICES'!$B$3:$B$987&amp;"",'NETWORK-DEVICES'!$I$3:$I$987,""),"Peripheral",_xlfn.XLOOKUP($K336&amp;"",PERIPHERAL!$B$3:$B$954&amp;"",PERIPHERAL!$J$3:$J$954,""),"Utilities",_xlfn.XLOOKUP($K336&amp;"",UTILITIES!$B$3:$B$953&amp;"",UTILITIES!$I$3:$I$953,""),"IOT",_xlfn.XLOOKUP($K336&amp;"",IOT!$B$3:$B$1012&amp;"",IOT!$J$3:$J$1012,""),"Server",_xlfn.XLOOKUP($K336&amp;"",SERVER!$B$3:$B$1009&amp;"",SERVER!$J$3:$J$1009,""),""))</f>
        <v/>
      </c>
      <c r="N336" s="1" t="str" cm="1">
        <f t="array" ref="N336">IF(OR($K336="",$I336="",$J336=""),"",_xlfn.LET(_xlpm.srcCat,_xlfn.SWITCH($I336,"Computer",_xlfn.XLOOKUP($K336&amp;"",COMPUTER!$B$3:$B$1009&amp;"",COMPUTER!$H$3:$H$1009,""),"Display",_xlfn.XLOOKUP($K336&amp;"",DISPLAY!$B$3:$B$1000&amp;"",DISPLAY!$H$3:$H$1000,""),"Network Device",_xlfn.XLOOKUP($K336&amp;"",'NETWORK-DEVICES'!$B$3:$B$987&amp;"",'NETWORK-DEVICES'!$H$3:$H$987,""),"Peripheral",_xlfn.XLOOKUP($K336&amp;"",PERIPHERAL!$B$3:$B$954&amp;"",PERIPHERAL!$H$3:$H$954,""),"Utilities",_xlfn.XLOOKUP($K336&amp;"",UTILITIES!$B$3:$B$953&amp;"",UTILITIES!$G$3:$G$953,""),"IOT",_xlfn.XLOOKUP($K336&amp;"",IOT!$B$3:$B$1012&amp;"",IOT!$H$3:$H$1012,""),"Server",_xlfn.XLOOKUP($K336&amp;"",SERVER!$B$3:$B$1009&amp;"",SERVER!$H$3:$H$1009,""),""),IF(TRIM(_xlpm.srcCat)&lt;&gt;TRIM($J336),"",_xlfn.SWITCH($I336,"Computer",_xlfn.XLOOKUP($K336&amp;"",COMPUTER!$B$3:$B$1009&amp;"",COMPUTER!$K$3:$K$1009,""),"Display",_xlfn.XLOOKUP($K336&amp;"",DISPLAY!$B$3:$B$1000&amp;"",DISPLAY!$L$3:$L$1000,""),"Network Device",_xlfn.XLOOKUP($K336&amp;"",'NETWORK-DEVICES'!$B$3:$B$987&amp;"",'NETWORK-DEVICES'!$K$3:$K$987,""),"Peripheral",_xlfn.XLOOKUP($K336&amp;"",PERIPHERAL!$B$3:$B$954&amp;"",PERIPHERAL!$K$3:$K$954,""),"Utilities",_xlfn.XLOOKUP($K336&amp;"",UTILITIES!$B$3:$B$953&amp;"",UTILITIES!$J$3:$J$953,""),"IOT",_xlfn.XLOOKUP($K336&amp;"",IOT!$B$3:$B$1012&amp;"",IOT!$K$4:$K$1012,""),"Server",_xlfn.XLOOKUP($K336&amp;"",SERVER!$B$3:$B$1009&amp;"",SERVER!$K$3:$K$1009,""),""))))</f>
        <v/>
      </c>
      <c r="O336" s="1" t="str" cm="1">
        <f t="array" ref="O336">IF(OR($K336="",$I336="",$J336=""),"",_xlfn.LET(_xlpm.srcCat,_xlfn.SWITCH($I336,"Computer",_xlfn.XLOOKUP($K336&amp;"",COMPUTER!$B$3:$B$1009&amp;"",COMPUTER!$H$3:$H$1009,""),"Display",_xlfn.XLOOKUP($K336&amp;"",DISPLAY!$B$3:$B$1000&amp;"",DISPLAY!$H$3:$H$1000,""),"Network Device",_xlfn.XLOOKUP($K336&amp;"",'NETWORK-DEVICES'!$B$3:$B$987&amp;"",'NETWORK-DEVICES'!$H$3:$H$987,""),"Peripheral",_xlfn.XLOOKUP($K336&amp;"",PERIPHERAL!$B$3:$B$954&amp;"",PERIPHERAL!$H$3:$H$954,""),"Utilities",_xlfn.XLOOKUP($K336&amp;"",UTILITIES!$B$3:$B$953&amp;"",UTILITIES!$G$3:$G$953,""),"IOT",_xlfn.XLOOKUP($K336&amp;"",IOT!$B$3:$B$1012&amp;"",IOT!$H$3:$H$1012,""),"Server",_xlfn.XLOOKUP($K336&amp;"",SERVER!$B$3:$B$1009&amp;"",SERVER!$H$3:$H$1009,""),""),IF(TRIM(_xlpm.srcCat)&lt;&gt;TRIM($J336),"",_xlfn.SWITCH($I336,"Computer",_xlfn.XLOOKUP($K336&amp;"",COMPUTER!$B$3:$B$1009&amp;"",COMPUTER!$E$3:$E$1009,""),"Display",_xlfn.XLOOKUP($K336&amp;"",DISPLAY!$B$3:$B$1000&amp;"",DISPLAY!$E$3:$E$1000,""),"Network Device",_xlfn.XLOOKUP($K336&amp;"",'NETWORK-DEVICES'!$B$3:$B$987&amp;"",'NETWORK-DEVICES'!$E$3:$E$987,""),"Peripheral",_xlfn.XLOOKUP($K336&amp;"",PERIPHERAL!$B$3:$B$954&amp;"",PERIPHERAL!$E$3:$E$954,""),"Utilities",_xlfn.XLOOKUP($K336&amp;"",UTILITIES!$B$3:$B$953&amp;"",UTILITIES!$E$3:$E$953,""),"IOT",_xlfn.XLOOKUP($K336&amp;"",IOT!$B$3:$B$1012&amp;"",IOT!$E$3:$E$1012,""),"Server",_xlfn.XLOOKUP($K336&amp;"",SERVER!$B$3:$B$1009&amp;"",SERVER!$E$3:$E$1009,""),""))))</f>
        <v/>
      </c>
      <c r="Q336" s="1" t="str" cm="1">
        <f t="array" ref="Q336">IF(OR($K336="",$I336="",$J336=""),"",_xlfn.LET(_xlpm.srcCat,_xlfn.SWITCH($I336,"Computer",_xlfn.XLOOKUP($K336&amp;"",COMPUTER!$B$3:$B$1009&amp;"",COMPUTER!$H$3:$H$1009,""),"Display",_xlfn.XLOOKUP($K336&amp;"",DISPLAY!$B$3:$B$1000&amp;"",DISPLAY!$H$3:$H$1000,""),"Network Device",_xlfn.XLOOKUP($K336&amp;"",'NETWORK-DEVICES'!$B$3:$B$987&amp;"",'NETWORK-DEVICES'!$H$3:$H$987,""),"Peripheral",_xlfn.XLOOKUP($K336&amp;"",PERIPHERAL!$B$3:$B$954&amp;"",PERIPHERAL!$H$3:$H$954,""),"Utilities",_xlfn.XLOOKUP($K336&amp;"",UTILITIES!$B$3:$B$953&amp;"",UTILITIES!$G$3:$G$953,""),"IOT",_xlfn.XLOOKUP($K336&amp;"",IOT!$B$3:$B$1012&amp;"",IOT!$H$3:$H$1012,""),"Server",_xlfn.XLOOKUP($K336&amp;"",SERVER!$B$3:$B$1009&amp;"",SERVER!$H$3:$H$1009,""),""),IF(TRIM(_xlpm.srcCat)&lt;&gt;TRIM($J336),"",_xlfn.SWITCH($I336,"Computer",_xlfn.XLOOKUP($K336&amp;"",COMPUTER!$B$3:$B$1009&amp;"",COMPUTER!$AM$3:$AM$1009,""),"Display",_xlfn.XLOOKUP($K336&amp;"",DISPLAY!$B$3:$B$1000&amp;"",DISPLAY!$V$3:$V$1000,""),"Network Device",_xlfn.XLOOKUP($K336&amp;"",'NETWORK-DEVICES'!$B$3:$B$987&amp;"",'NETWORK-DEVICES'!$AF$3:$AF$987,""),"Peripheral",_xlfn.XLOOKUP($K336&amp;"",PERIPHERAL!$B$3:$B$954&amp;"",PERIPHERAL!$Y$3:$Y$954,""),"Utilities",_xlfn.XLOOKUP($K336&amp;"",UTILITIES!$B$3:$B$953&amp;"",UTILITIES!$O$3:$O$953,""),"IOT",_xlfn.XLOOKUP($K336&amp;"",IOT!$B$3:$B$1012&amp;"",IOT!$AB$3:$AB$1012,""),"Server",_xlfn.XLOOKUP($K336&amp;"",SERVER!$B$3:$B$1009&amp;"",SERVER!$AB$3:$AB$1009,""),""))))</f>
        <v/>
      </c>
      <c r="R336" s="43" t="str">
        <f>IF(tbl_handover[[#This Row],[Asset Code]]="","",COUNTIF(tbl_handover[Asset Code],tbl_handover[[#This Row],[Asset Code]]))</f>
        <v/>
      </c>
    </row>
    <row r="337" spans="1:18" x14ac:dyDescent="0.25">
      <c r="A337" s="43" t="str">
        <f>IF(B337&lt;&gt;"",SUBTOTAL(3,$B$1:B336),"")</f>
        <v/>
      </c>
      <c r="C337" s="74"/>
      <c r="D337" s="74"/>
      <c r="G337" s="1"/>
      <c r="K337" s="42"/>
      <c r="L337" t="str" cm="1">
        <f t="array" ref="L337">IF($K337="","",_xlfn.SWITCH($I337,"Computer",_xlfn.XLOOKUP($K337&amp;"",COMPUTER!$B$3:$B$1009&amp;"",COMPUTER!$I$3:$I$1009,""),"Display",_xlfn.XLOOKUP($K337&amp;"",DISPLAY!$B$3:$B$1000&amp;"",DISPLAY!$J$3:$J$1000,""),"Network Device",_xlfn.XLOOKUP($K337&amp;"",'NETWORK-DEVICES'!$B$3:$B$987&amp;"",'NETWORK-DEVICES'!$I$3:$I$987,""),"Peripheral",_xlfn.XLOOKUP($K337&amp;"",PERIPHERAL!$B$3:$B$954&amp;"",PERIPHERAL!$I$3:$I$954,""),"Utilities",_xlfn.XLOOKUP($K337&amp;"",UTILITIES!$B$3:$B$953&amp;"",UTILITIES!$H$3:$H$953,""),"IOT",_xlfn.XLOOKUP($K337&amp;"",IOT!$B$3:$B$1012&amp;"",IOT!$I$3:$I$1012,""),"SERVER",_xlfn.XLOOKUP($K337&amp;"",SERVER!$B$3:$B$1009&amp;"",SERVER!$I$3:$I$1009,""),""))</f>
        <v/>
      </c>
      <c r="M337" t="str" cm="1">
        <f t="array" ref="M337">IF($K337="","",_xlfn.SWITCH($I337,"Computer",_xlfn.XLOOKUP($K337&amp;"",COMPUTER!$B$3:$B$1009&amp;"",COMPUTER!$J$3:$J$1009,""),"Display",_xlfn.XLOOKUP($K337&amp;"",DISPLAY!$B$3:$B$1000&amp;"",DISPLAY!$K$3:$K$1000,""),"Network Device",_xlfn.XLOOKUP($K337&amp;"",'NETWORK-DEVICES'!$B$3:$B$987&amp;"",'NETWORK-DEVICES'!$I$3:$I$987,""),"Peripheral",_xlfn.XLOOKUP($K337&amp;"",PERIPHERAL!$B$3:$B$954&amp;"",PERIPHERAL!$J$3:$J$954,""),"Utilities",_xlfn.XLOOKUP($K337&amp;"",UTILITIES!$B$3:$B$953&amp;"",UTILITIES!$I$3:$I$953,""),"IOT",_xlfn.XLOOKUP($K337&amp;"",IOT!$B$3:$B$1012&amp;"",IOT!$J$3:$J$1012,""),"Server",_xlfn.XLOOKUP($K337&amp;"",SERVER!$B$3:$B$1009&amp;"",SERVER!$J$3:$J$1009,""),""))</f>
        <v/>
      </c>
      <c r="N337" s="1" t="str" cm="1">
        <f t="array" ref="N337">IF(OR($K337="",$I337="",$J337=""),"",_xlfn.LET(_xlpm.srcCat,_xlfn.SWITCH($I337,"Computer",_xlfn.XLOOKUP($K337&amp;"",COMPUTER!$B$3:$B$1009&amp;"",COMPUTER!$H$3:$H$1009,""),"Display",_xlfn.XLOOKUP($K337&amp;"",DISPLAY!$B$3:$B$1000&amp;"",DISPLAY!$H$3:$H$1000,""),"Network Device",_xlfn.XLOOKUP($K337&amp;"",'NETWORK-DEVICES'!$B$3:$B$987&amp;"",'NETWORK-DEVICES'!$H$3:$H$987,""),"Peripheral",_xlfn.XLOOKUP($K337&amp;"",PERIPHERAL!$B$3:$B$954&amp;"",PERIPHERAL!$H$3:$H$954,""),"Utilities",_xlfn.XLOOKUP($K337&amp;"",UTILITIES!$B$3:$B$953&amp;"",UTILITIES!$G$3:$G$953,""),"IOT",_xlfn.XLOOKUP($K337&amp;"",IOT!$B$3:$B$1012&amp;"",IOT!$H$3:$H$1012,""),"Server",_xlfn.XLOOKUP($K337&amp;"",SERVER!$B$3:$B$1009&amp;"",SERVER!$H$3:$H$1009,""),""),IF(TRIM(_xlpm.srcCat)&lt;&gt;TRIM($J337),"",_xlfn.SWITCH($I337,"Computer",_xlfn.XLOOKUP($K337&amp;"",COMPUTER!$B$3:$B$1009&amp;"",COMPUTER!$K$3:$K$1009,""),"Display",_xlfn.XLOOKUP($K337&amp;"",DISPLAY!$B$3:$B$1000&amp;"",DISPLAY!$L$3:$L$1000,""),"Network Device",_xlfn.XLOOKUP($K337&amp;"",'NETWORK-DEVICES'!$B$3:$B$987&amp;"",'NETWORK-DEVICES'!$K$3:$K$987,""),"Peripheral",_xlfn.XLOOKUP($K337&amp;"",PERIPHERAL!$B$3:$B$954&amp;"",PERIPHERAL!$K$3:$K$954,""),"Utilities",_xlfn.XLOOKUP($K337&amp;"",UTILITIES!$B$3:$B$953&amp;"",UTILITIES!$J$3:$J$953,""),"IOT",_xlfn.XLOOKUP($K337&amp;"",IOT!$B$3:$B$1012&amp;"",IOT!$K$4:$K$1012,""),"Server",_xlfn.XLOOKUP($K337&amp;"",SERVER!$B$3:$B$1009&amp;"",SERVER!$K$3:$K$1009,""),""))))</f>
        <v/>
      </c>
      <c r="O337" s="1" t="str" cm="1">
        <f t="array" ref="O337">IF(OR($K337="",$I337="",$J337=""),"",_xlfn.LET(_xlpm.srcCat,_xlfn.SWITCH($I337,"Computer",_xlfn.XLOOKUP($K337&amp;"",COMPUTER!$B$3:$B$1009&amp;"",COMPUTER!$H$3:$H$1009,""),"Display",_xlfn.XLOOKUP($K337&amp;"",DISPLAY!$B$3:$B$1000&amp;"",DISPLAY!$H$3:$H$1000,""),"Network Device",_xlfn.XLOOKUP($K337&amp;"",'NETWORK-DEVICES'!$B$3:$B$987&amp;"",'NETWORK-DEVICES'!$H$3:$H$987,""),"Peripheral",_xlfn.XLOOKUP($K337&amp;"",PERIPHERAL!$B$3:$B$954&amp;"",PERIPHERAL!$H$3:$H$954,""),"Utilities",_xlfn.XLOOKUP($K337&amp;"",UTILITIES!$B$3:$B$953&amp;"",UTILITIES!$G$3:$G$953,""),"IOT",_xlfn.XLOOKUP($K337&amp;"",IOT!$B$3:$B$1012&amp;"",IOT!$H$3:$H$1012,""),"Server",_xlfn.XLOOKUP($K337&amp;"",SERVER!$B$3:$B$1009&amp;"",SERVER!$H$3:$H$1009,""),""),IF(TRIM(_xlpm.srcCat)&lt;&gt;TRIM($J337),"",_xlfn.SWITCH($I337,"Computer",_xlfn.XLOOKUP($K337&amp;"",COMPUTER!$B$3:$B$1009&amp;"",COMPUTER!$E$3:$E$1009,""),"Display",_xlfn.XLOOKUP($K337&amp;"",DISPLAY!$B$3:$B$1000&amp;"",DISPLAY!$E$3:$E$1000,""),"Network Device",_xlfn.XLOOKUP($K337&amp;"",'NETWORK-DEVICES'!$B$3:$B$987&amp;"",'NETWORK-DEVICES'!$E$3:$E$987,""),"Peripheral",_xlfn.XLOOKUP($K337&amp;"",PERIPHERAL!$B$3:$B$954&amp;"",PERIPHERAL!$E$3:$E$954,""),"Utilities",_xlfn.XLOOKUP($K337&amp;"",UTILITIES!$B$3:$B$953&amp;"",UTILITIES!$E$3:$E$953,""),"IOT",_xlfn.XLOOKUP($K337&amp;"",IOT!$B$3:$B$1012&amp;"",IOT!$E$3:$E$1012,""),"Server",_xlfn.XLOOKUP($K337&amp;"",SERVER!$B$3:$B$1009&amp;"",SERVER!$E$3:$E$1009,""),""))))</f>
        <v/>
      </c>
      <c r="Q337" s="1" t="str" cm="1">
        <f t="array" ref="Q337">IF(OR($K337="",$I337="",$J337=""),"",_xlfn.LET(_xlpm.srcCat,_xlfn.SWITCH($I337,"Computer",_xlfn.XLOOKUP($K337&amp;"",COMPUTER!$B$3:$B$1009&amp;"",COMPUTER!$H$3:$H$1009,""),"Display",_xlfn.XLOOKUP($K337&amp;"",DISPLAY!$B$3:$B$1000&amp;"",DISPLAY!$H$3:$H$1000,""),"Network Device",_xlfn.XLOOKUP($K337&amp;"",'NETWORK-DEVICES'!$B$3:$B$987&amp;"",'NETWORK-DEVICES'!$H$3:$H$987,""),"Peripheral",_xlfn.XLOOKUP($K337&amp;"",PERIPHERAL!$B$3:$B$954&amp;"",PERIPHERAL!$H$3:$H$954,""),"Utilities",_xlfn.XLOOKUP($K337&amp;"",UTILITIES!$B$3:$B$953&amp;"",UTILITIES!$G$3:$G$953,""),"IOT",_xlfn.XLOOKUP($K337&amp;"",IOT!$B$3:$B$1012&amp;"",IOT!$H$3:$H$1012,""),"Server",_xlfn.XLOOKUP($K337&amp;"",SERVER!$B$3:$B$1009&amp;"",SERVER!$H$3:$H$1009,""),""),IF(TRIM(_xlpm.srcCat)&lt;&gt;TRIM($J337),"",_xlfn.SWITCH($I337,"Computer",_xlfn.XLOOKUP($K337&amp;"",COMPUTER!$B$3:$B$1009&amp;"",COMPUTER!$AM$3:$AM$1009,""),"Display",_xlfn.XLOOKUP($K337&amp;"",DISPLAY!$B$3:$B$1000&amp;"",DISPLAY!$V$3:$V$1000,""),"Network Device",_xlfn.XLOOKUP($K337&amp;"",'NETWORK-DEVICES'!$B$3:$B$987&amp;"",'NETWORK-DEVICES'!$AF$3:$AF$987,""),"Peripheral",_xlfn.XLOOKUP($K337&amp;"",PERIPHERAL!$B$3:$B$954&amp;"",PERIPHERAL!$Y$3:$Y$954,""),"Utilities",_xlfn.XLOOKUP($K337&amp;"",UTILITIES!$B$3:$B$953&amp;"",UTILITIES!$O$3:$O$953,""),"IOT",_xlfn.XLOOKUP($K337&amp;"",IOT!$B$3:$B$1012&amp;"",IOT!$AB$3:$AB$1012,""),"Server",_xlfn.XLOOKUP($K337&amp;"",SERVER!$B$3:$B$1009&amp;"",SERVER!$AB$3:$AB$1009,""),""))))</f>
        <v/>
      </c>
      <c r="R337" s="43" t="str">
        <f>IF(tbl_handover[[#This Row],[Asset Code]]="","",COUNTIF(tbl_handover[Asset Code],tbl_handover[[#This Row],[Asset Code]]))</f>
        <v/>
      </c>
    </row>
    <row r="338" spans="1:18" x14ac:dyDescent="0.25">
      <c r="A338" s="43" t="str">
        <f>IF(B338&lt;&gt;"",SUBTOTAL(3,$B$1:B337),"")</f>
        <v/>
      </c>
      <c r="C338" s="74"/>
      <c r="D338" s="74"/>
      <c r="G338" s="1"/>
      <c r="K338" s="42"/>
      <c r="L338" t="str" cm="1">
        <f t="array" ref="L338">IF($K338="","",_xlfn.SWITCH($I338,"Computer",_xlfn.XLOOKUP($K338&amp;"",COMPUTER!$B$3:$B$1009&amp;"",COMPUTER!$I$3:$I$1009,""),"Display",_xlfn.XLOOKUP($K338&amp;"",DISPLAY!$B$3:$B$1000&amp;"",DISPLAY!$J$3:$J$1000,""),"Network Device",_xlfn.XLOOKUP($K338&amp;"",'NETWORK-DEVICES'!$B$3:$B$987&amp;"",'NETWORK-DEVICES'!$I$3:$I$987,""),"Peripheral",_xlfn.XLOOKUP($K338&amp;"",PERIPHERAL!$B$3:$B$954&amp;"",PERIPHERAL!$I$3:$I$954,""),"Utilities",_xlfn.XLOOKUP($K338&amp;"",UTILITIES!$B$3:$B$953&amp;"",UTILITIES!$H$3:$H$953,""),"IOT",_xlfn.XLOOKUP($K338&amp;"",IOT!$B$3:$B$1012&amp;"",IOT!$I$3:$I$1012,""),"SERVER",_xlfn.XLOOKUP($K338&amp;"",SERVER!$B$3:$B$1009&amp;"",SERVER!$I$3:$I$1009,""),""))</f>
        <v/>
      </c>
      <c r="M338" t="str" cm="1">
        <f t="array" ref="M338">IF($K338="","",_xlfn.SWITCH($I338,"Computer",_xlfn.XLOOKUP($K338&amp;"",COMPUTER!$B$3:$B$1009&amp;"",COMPUTER!$J$3:$J$1009,""),"Display",_xlfn.XLOOKUP($K338&amp;"",DISPLAY!$B$3:$B$1000&amp;"",DISPLAY!$K$3:$K$1000,""),"Network Device",_xlfn.XLOOKUP($K338&amp;"",'NETWORK-DEVICES'!$B$3:$B$987&amp;"",'NETWORK-DEVICES'!$I$3:$I$987,""),"Peripheral",_xlfn.XLOOKUP($K338&amp;"",PERIPHERAL!$B$3:$B$954&amp;"",PERIPHERAL!$J$3:$J$954,""),"Utilities",_xlfn.XLOOKUP($K338&amp;"",UTILITIES!$B$3:$B$953&amp;"",UTILITIES!$I$3:$I$953,""),"IOT",_xlfn.XLOOKUP($K338&amp;"",IOT!$B$3:$B$1012&amp;"",IOT!$J$3:$J$1012,""),"Server",_xlfn.XLOOKUP($K338&amp;"",SERVER!$B$3:$B$1009&amp;"",SERVER!$J$3:$J$1009,""),""))</f>
        <v/>
      </c>
      <c r="N338" s="1" t="str" cm="1">
        <f t="array" ref="N338">IF(OR($K338="",$I338="",$J338=""),"",_xlfn.LET(_xlpm.srcCat,_xlfn.SWITCH($I338,"Computer",_xlfn.XLOOKUP($K338&amp;"",COMPUTER!$B$3:$B$1009&amp;"",COMPUTER!$H$3:$H$1009,""),"Display",_xlfn.XLOOKUP($K338&amp;"",DISPLAY!$B$3:$B$1000&amp;"",DISPLAY!$H$3:$H$1000,""),"Network Device",_xlfn.XLOOKUP($K338&amp;"",'NETWORK-DEVICES'!$B$3:$B$987&amp;"",'NETWORK-DEVICES'!$H$3:$H$987,""),"Peripheral",_xlfn.XLOOKUP($K338&amp;"",PERIPHERAL!$B$3:$B$954&amp;"",PERIPHERAL!$H$3:$H$954,""),"Utilities",_xlfn.XLOOKUP($K338&amp;"",UTILITIES!$B$3:$B$953&amp;"",UTILITIES!$G$3:$G$953,""),"IOT",_xlfn.XLOOKUP($K338&amp;"",IOT!$B$3:$B$1012&amp;"",IOT!$H$3:$H$1012,""),"Server",_xlfn.XLOOKUP($K338&amp;"",SERVER!$B$3:$B$1009&amp;"",SERVER!$H$3:$H$1009,""),""),IF(TRIM(_xlpm.srcCat)&lt;&gt;TRIM($J338),"",_xlfn.SWITCH($I338,"Computer",_xlfn.XLOOKUP($K338&amp;"",COMPUTER!$B$3:$B$1009&amp;"",COMPUTER!$K$3:$K$1009,""),"Display",_xlfn.XLOOKUP($K338&amp;"",DISPLAY!$B$3:$B$1000&amp;"",DISPLAY!$L$3:$L$1000,""),"Network Device",_xlfn.XLOOKUP($K338&amp;"",'NETWORK-DEVICES'!$B$3:$B$987&amp;"",'NETWORK-DEVICES'!$K$3:$K$987,""),"Peripheral",_xlfn.XLOOKUP($K338&amp;"",PERIPHERAL!$B$3:$B$954&amp;"",PERIPHERAL!$K$3:$K$954,""),"Utilities",_xlfn.XLOOKUP($K338&amp;"",UTILITIES!$B$3:$B$953&amp;"",UTILITIES!$J$3:$J$953,""),"IOT",_xlfn.XLOOKUP($K338&amp;"",IOT!$B$3:$B$1012&amp;"",IOT!$K$4:$K$1012,""),"Server",_xlfn.XLOOKUP($K338&amp;"",SERVER!$B$3:$B$1009&amp;"",SERVER!$K$3:$K$1009,""),""))))</f>
        <v/>
      </c>
      <c r="O338" s="1" t="str" cm="1">
        <f t="array" ref="O338">IF(OR($K338="",$I338="",$J338=""),"",_xlfn.LET(_xlpm.srcCat,_xlfn.SWITCH($I338,"Computer",_xlfn.XLOOKUP($K338&amp;"",COMPUTER!$B$3:$B$1009&amp;"",COMPUTER!$H$3:$H$1009,""),"Display",_xlfn.XLOOKUP($K338&amp;"",DISPLAY!$B$3:$B$1000&amp;"",DISPLAY!$H$3:$H$1000,""),"Network Device",_xlfn.XLOOKUP($K338&amp;"",'NETWORK-DEVICES'!$B$3:$B$987&amp;"",'NETWORK-DEVICES'!$H$3:$H$987,""),"Peripheral",_xlfn.XLOOKUP($K338&amp;"",PERIPHERAL!$B$3:$B$954&amp;"",PERIPHERAL!$H$3:$H$954,""),"Utilities",_xlfn.XLOOKUP($K338&amp;"",UTILITIES!$B$3:$B$953&amp;"",UTILITIES!$G$3:$G$953,""),"IOT",_xlfn.XLOOKUP($K338&amp;"",IOT!$B$3:$B$1012&amp;"",IOT!$H$3:$H$1012,""),"Server",_xlfn.XLOOKUP($K338&amp;"",SERVER!$B$3:$B$1009&amp;"",SERVER!$H$3:$H$1009,""),""),IF(TRIM(_xlpm.srcCat)&lt;&gt;TRIM($J338),"",_xlfn.SWITCH($I338,"Computer",_xlfn.XLOOKUP($K338&amp;"",COMPUTER!$B$3:$B$1009&amp;"",COMPUTER!$E$3:$E$1009,""),"Display",_xlfn.XLOOKUP($K338&amp;"",DISPLAY!$B$3:$B$1000&amp;"",DISPLAY!$E$3:$E$1000,""),"Network Device",_xlfn.XLOOKUP($K338&amp;"",'NETWORK-DEVICES'!$B$3:$B$987&amp;"",'NETWORK-DEVICES'!$E$3:$E$987,""),"Peripheral",_xlfn.XLOOKUP($K338&amp;"",PERIPHERAL!$B$3:$B$954&amp;"",PERIPHERAL!$E$3:$E$954,""),"Utilities",_xlfn.XLOOKUP($K338&amp;"",UTILITIES!$B$3:$B$953&amp;"",UTILITIES!$E$3:$E$953,""),"IOT",_xlfn.XLOOKUP($K338&amp;"",IOT!$B$3:$B$1012&amp;"",IOT!$E$3:$E$1012,""),"Server",_xlfn.XLOOKUP($K338&amp;"",SERVER!$B$3:$B$1009&amp;"",SERVER!$E$3:$E$1009,""),""))))</f>
        <v/>
      </c>
      <c r="Q338" s="1" t="str" cm="1">
        <f t="array" ref="Q338">IF(OR($K338="",$I338="",$J338=""),"",_xlfn.LET(_xlpm.srcCat,_xlfn.SWITCH($I338,"Computer",_xlfn.XLOOKUP($K338&amp;"",COMPUTER!$B$3:$B$1009&amp;"",COMPUTER!$H$3:$H$1009,""),"Display",_xlfn.XLOOKUP($K338&amp;"",DISPLAY!$B$3:$B$1000&amp;"",DISPLAY!$H$3:$H$1000,""),"Network Device",_xlfn.XLOOKUP($K338&amp;"",'NETWORK-DEVICES'!$B$3:$B$987&amp;"",'NETWORK-DEVICES'!$H$3:$H$987,""),"Peripheral",_xlfn.XLOOKUP($K338&amp;"",PERIPHERAL!$B$3:$B$954&amp;"",PERIPHERAL!$H$3:$H$954,""),"Utilities",_xlfn.XLOOKUP($K338&amp;"",UTILITIES!$B$3:$B$953&amp;"",UTILITIES!$G$3:$G$953,""),"IOT",_xlfn.XLOOKUP($K338&amp;"",IOT!$B$3:$B$1012&amp;"",IOT!$H$3:$H$1012,""),"Server",_xlfn.XLOOKUP($K338&amp;"",SERVER!$B$3:$B$1009&amp;"",SERVER!$H$3:$H$1009,""),""),IF(TRIM(_xlpm.srcCat)&lt;&gt;TRIM($J338),"",_xlfn.SWITCH($I338,"Computer",_xlfn.XLOOKUP($K338&amp;"",COMPUTER!$B$3:$B$1009&amp;"",COMPUTER!$AM$3:$AM$1009,""),"Display",_xlfn.XLOOKUP($K338&amp;"",DISPLAY!$B$3:$B$1000&amp;"",DISPLAY!$V$3:$V$1000,""),"Network Device",_xlfn.XLOOKUP($K338&amp;"",'NETWORK-DEVICES'!$B$3:$B$987&amp;"",'NETWORK-DEVICES'!$AF$3:$AF$987,""),"Peripheral",_xlfn.XLOOKUP($K338&amp;"",PERIPHERAL!$B$3:$B$954&amp;"",PERIPHERAL!$Y$3:$Y$954,""),"Utilities",_xlfn.XLOOKUP($K338&amp;"",UTILITIES!$B$3:$B$953&amp;"",UTILITIES!$O$3:$O$953,""),"IOT",_xlfn.XLOOKUP($K338&amp;"",IOT!$B$3:$B$1012&amp;"",IOT!$AB$3:$AB$1012,""),"Server",_xlfn.XLOOKUP($K338&amp;"",SERVER!$B$3:$B$1009&amp;"",SERVER!$AB$3:$AB$1009,""),""))))</f>
        <v/>
      </c>
      <c r="R338" s="43" t="str">
        <f>IF(tbl_handover[[#This Row],[Asset Code]]="","",COUNTIF(tbl_handover[Asset Code],tbl_handover[[#This Row],[Asset Code]]))</f>
        <v/>
      </c>
    </row>
    <row r="339" spans="1:18" x14ac:dyDescent="0.25">
      <c r="A339" s="43" t="str">
        <f>IF(B339&lt;&gt;"",SUBTOTAL(3,$B$1:B338),"")</f>
        <v/>
      </c>
      <c r="C339" s="74"/>
      <c r="D339" s="74"/>
      <c r="G339" s="1"/>
      <c r="K339" s="42"/>
      <c r="L339" t="str" cm="1">
        <f t="array" ref="L339">IF($K339="","",_xlfn.SWITCH($I339,"Computer",_xlfn.XLOOKUP($K339&amp;"",COMPUTER!$B$3:$B$1009&amp;"",COMPUTER!$I$3:$I$1009,""),"Display",_xlfn.XLOOKUP($K339&amp;"",DISPLAY!$B$3:$B$1000&amp;"",DISPLAY!$J$3:$J$1000,""),"Network Device",_xlfn.XLOOKUP($K339&amp;"",'NETWORK-DEVICES'!$B$3:$B$987&amp;"",'NETWORK-DEVICES'!$I$3:$I$987,""),"Peripheral",_xlfn.XLOOKUP($K339&amp;"",PERIPHERAL!$B$3:$B$954&amp;"",PERIPHERAL!$I$3:$I$954,""),"Utilities",_xlfn.XLOOKUP($K339&amp;"",UTILITIES!$B$3:$B$953&amp;"",UTILITIES!$H$3:$H$953,""),"IOT",_xlfn.XLOOKUP($K339&amp;"",IOT!$B$3:$B$1012&amp;"",IOT!$I$3:$I$1012,""),"SERVER",_xlfn.XLOOKUP($K339&amp;"",SERVER!$B$3:$B$1009&amp;"",SERVER!$I$3:$I$1009,""),""))</f>
        <v/>
      </c>
      <c r="M339" t="str" cm="1">
        <f t="array" ref="M339">IF($K339="","",_xlfn.SWITCH($I339,"Computer",_xlfn.XLOOKUP($K339&amp;"",COMPUTER!$B$3:$B$1009&amp;"",COMPUTER!$J$3:$J$1009,""),"Display",_xlfn.XLOOKUP($K339&amp;"",DISPLAY!$B$3:$B$1000&amp;"",DISPLAY!$K$3:$K$1000,""),"Network Device",_xlfn.XLOOKUP($K339&amp;"",'NETWORK-DEVICES'!$B$3:$B$987&amp;"",'NETWORK-DEVICES'!$I$3:$I$987,""),"Peripheral",_xlfn.XLOOKUP($K339&amp;"",PERIPHERAL!$B$3:$B$954&amp;"",PERIPHERAL!$J$3:$J$954,""),"Utilities",_xlfn.XLOOKUP($K339&amp;"",UTILITIES!$B$3:$B$953&amp;"",UTILITIES!$I$3:$I$953,""),"IOT",_xlfn.XLOOKUP($K339&amp;"",IOT!$B$3:$B$1012&amp;"",IOT!$J$3:$J$1012,""),"Server",_xlfn.XLOOKUP($K339&amp;"",SERVER!$B$3:$B$1009&amp;"",SERVER!$J$3:$J$1009,""),""))</f>
        <v/>
      </c>
      <c r="N339" s="1" t="str" cm="1">
        <f t="array" ref="N339">IF(OR($K339="",$I339="",$J339=""),"",_xlfn.LET(_xlpm.srcCat,_xlfn.SWITCH($I339,"Computer",_xlfn.XLOOKUP($K339&amp;"",COMPUTER!$B$3:$B$1009&amp;"",COMPUTER!$H$3:$H$1009,""),"Display",_xlfn.XLOOKUP($K339&amp;"",DISPLAY!$B$3:$B$1000&amp;"",DISPLAY!$H$3:$H$1000,""),"Network Device",_xlfn.XLOOKUP($K339&amp;"",'NETWORK-DEVICES'!$B$3:$B$987&amp;"",'NETWORK-DEVICES'!$H$3:$H$987,""),"Peripheral",_xlfn.XLOOKUP($K339&amp;"",PERIPHERAL!$B$3:$B$954&amp;"",PERIPHERAL!$H$3:$H$954,""),"Utilities",_xlfn.XLOOKUP($K339&amp;"",UTILITIES!$B$3:$B$953&amp;"",UTILITIES!$G$3:$G$953,""),"IOT",_xlfn.XLOOKUP($K339&amp;"",IOT!$B$3:$B$1012&amp;"",IOT!$H$3:$H$1012,""),"Server",_xlfn.XLOOKUP($K339&amp;"",SERVER!$B$3:$B$1009&amp;"",SERVER!$H$3:$H$1009,""),""),IF(TRIM(_xlpm.srcCat)&lt;&gt;TRIM($J339),"",_xlfn.SWITCH($I339,"Computer",_xlfn.XLOOKUP($K339&amp;"",COMPUTER!$B$3:$B$1009&amp;"",COMPUTER!$K$3:$K$1009,""),"Display",_xlfn.XLOOKUP($K339&amp;"",DISPLAY!$B$3:$B$1000&amp;"",DISPLAY!$L$3:$L$1000,""),"Network Device",_xlfn.XLOOKUP($K339&amp;"",'NETWORK-DEVICES'!$B$3:$B$987&amp;"",'NETWORK-DEVICES'!$K$3:$K$987,""),"Peripheral",_xlfn.XLOOKUP($K339&amp;"",PERIPHERAL!$B$3:$B$954&amp;"",PERIPHERAL!$K$3:$K$954,""),"Utilities",_xlfn.XLOOKUP($K339&amp;"",UTILITIES!$B$3:$B$953&amp;"",UTILITIES!$J$3:$J$953,""),"IOT",_xlfn.XLOOKUP($K339&amp;"",IOT!$B$3:$B$1012&amp;"",IOT!$K$4:$K$1012,""),"Server",_xlfn.XLOOKUP($K339&amp;"",SERVER!$B$3:$B$1009&amp;"",SERVER!$K$3:$K$1009,""),""))))</f>
        <v/>
      </c>
      <c r="O339" s="1" t="str" cm="1">
        <f t="array" ref="O339">IF(OR($K339="",$I339="",$J339=""),"",_xlfn.LET(_xlpm.srcCat,_xlfn.SWITCH($I339,"Computer",_xlfn.XLOOKUP($K339&amp;"",COMPUTER!$B$3:$B$1009&amp;"",COMPUTER!$H$3:$H$1009,""),"Display",_xlfn.XLOOKUP($K339&amp;"",DISPLAY!$B$3:$B$1000&amp;"",DISPLAY!$H$3:$H$1000,""),"Network Device",_xlfn.XLOOKUP($K339&amp;"",'NETWORK-DEVICES'!$B$3:$B$987&amp;"",'NETWORK-DEVICES'!$H$3:$H$987,""),"Peripheral",_xlfn.XLOOKUP($K339&amp;"",PERIPHERAL!$B$3:$B$954&amp;"",PERIPHERAL!$H$3:$H$954,""),"Utilities",_xlfn.XLOOKUP($K339&amp;"",UTILITIES!$B$3:$B$953&amp;"",UTILITIES!$G$3:$G$953,""),"IOT",_xlfn.XLOOKUP($K339&amp;"",IOT!$B$3:$B$1012&amp;"",IOT!$H$3:$H$1012,""),"Server",_xlfn.XLOOKUP($K339&amp;"",SERVER!$B$3:$B$1009&amp;"",SERVER!$H$3:$H$1009,""),""),IF(TRIM(_xlpm.srcCat)&lt;&gt;TRIM($J339),"",_xlfn.SWITCH($I339,"Computer",_xlfn.XLOOKUP($K339&amp;"",COMPUTER!$B$3:$B$1009&amp;"",COMPUTER!$E$3:$E$1009,""),"Display",_xlfn.XLOOKUP($K339&amp;"",DISPLAY!$B$3:$B$1000&amp;"",DISPLAY!$E$3:$E$1000,""),"Network Device",_xlfn.XLOOKUP($K339&amp;"",'NETWORK-DEVICES'!$B$3:$B$987&amp;"",'NETWORK-DEVICES'!$E$3:$E$987,""),"Peripheral",_xlfn.XLOOKUP($K339&amp;"",PERIPHERAL!$B$3:$B$954&amp;"",PERIPHERAL!$E$3:$E$954,""),"Utilities",_xlfn.XLOOKUP($K339&amp;"",UTILITIES!$B$3:$B$953&amp;"",UTILITIES!$E$3:$E$953,""),"IOT",_xlfn.XLOOKUP($K339&amp;"",IOT!$B$3:$B$1012&amp;"",IOT!$E$3:$E$1012,""),"Server",_xlfn.XLOOKUP($K339&amp;"",SERVER!$B$3:$B$1009&amp;"",SERVER!$E$3:$E$1009,""),""))))</f>
        <v/>
      </c>
      <c r="Q339" s="1" t="str" cm="1">
        <f t="array" ref="Q339">IF(OR($K339="",$I339="",$J339=""),"",_xlfn.LET(_xlpm.srcCat,_xlfn.SWITCH($I339,"Computer",_xlfn.XLOOKUP($K339&amp;"",COMPUTER!$B$3:$B$1009&amp;"",COMPUTER!$H$3:$H$1009,""),"Display",_xlfn.XLOOKUP($K339&amp;"",DISPLAY!$B$3:$B$1000&amp;"",DISPLAY!$H$3:$H$1000,""),"Network Device",_xlfn.XLOOKUP($K339&amp;"",'NETWORK-DEVICES'!$B$3:$B$987&amp;"",'NETWORK-DEVICES'!$H$3:$H$987,""),"Peripheral",_xlfn.XLOOKUP($K339&amp;"",PERIPHERAL!$B$3:$B$954&amp;"",PERIPHERAL!$H$3:$H$954,""),"Utilities",_xlfn.XLOOKUP($K339&amp;"",UTILITIES!$B$3:$B$953&amp;"",UTILITIES!$G$3:$G$953,""),"IOT",_xlfn.XLOOKUP($K339&amp;"",IOT!$B$3:$B$1012&amp;"",IOT!$H$3:$H$1012,""),"Server",_xlfn.XLOOKUP($K339&amp;"",SERVER!$B$3:$B$1009&amp;"",SERVER!$H$3:$H$1009,""),""),IF(TRIM(_xlpm.srcCat)&lt;&gt;TRIM($J339),"",_xlfn.SWITCH($I339,"Computer",_xlfn.XLOOKUP($K339&amp;"",COMPUTER!$B$3:$B$1009&amp;"",COMPUTER!$AM$3:$AM$1009,""),"Display",_xlfn.XLOOKUP($K339&amp;"",DISPLAY!$B$3:$B$1000&amp;"",DISPLAY!$V$3:$V$1000,""),"Network Device",_xlfn.XLOOKUP($K339&amp;"",'NETWORK-DEVICES'!$B$3:$B$987&amp;"",'NETWORK-DEVICES'!$AF$3:$AF$987,""),"Peripheral",_xlfn.XLOOKUP($K339&amp;"",PERIPHERAL!$B$3:$B$954&amp;"",PERIPHERAL!$Y$3:$Y$954,""),"Utilities",_xlfn.XLOOKUP($K339&amp;"",UTILITIES!$B$3:$B$953&amp;"",UTILITIES!$O$3:$O$953,""),"IOT",_xlfn.XLOOKUP($K339&amp;"",IOT!$B$3:$B$1012&amp;"",IOT!$AB$3:$AB$1012,""),"Server",_xlfn.XLOOKUP($K339&amp;"",SERVER!$B$3:$B$1009&amp;"",SERVER!$AB$3:$AB$1009,""),""))))</f>
        <v/>
      </c>
      <c r="R339" s="43" t="str">
        <f>IF(tbl_handover[[#This Row],[Asset Code]]="","",COUNTIF(tbl_handover[Asset Code],tbl_handover[[#This Row],[Asset Code]]))</f>
        <v/>
      </c>
    </row>
    <row r="340" spans="1:18" x14ac:dyDescent="0.25">
      <c r="A340" s="43" t="str">
        <f>IF(B340&lt;&gt;"",SUBTOTAL(3,$B$1:B339),"")</f>
        <v/>
      </c>
      <c r="C340" s="74"/>
      <c r="D340" s="74"/>
      <c r="G340" s="1"/>
      <c r="K340" s="42"/>
      <c r="L340" t="str" cm="1">
        <f t="array" ref="L340">IF($K340="","",_xlfn.SWITCH($I340,"Computer",_xlfn.XLOOKUP($K340&amp;"",COMPUTER!$B$3:$B$1009&amp;"",COMPUTER!$I$3:$I$1009,""),"Display",_xlfn.XLOOKUP($K340&amp;"",DISPLAY!$B$3:$B$1000&amp;"",DISPLAY!$J$3:$J$1000,""),"Network Device",_xlfn.XLOOKUP($K340&amp;"",'NETWORK-DEVICES'!$B$3:$B$987&amp;"",'NETWORK-DEVICES'!$I$3:$I$987,""),"Peripheral",_xlfn.XLOOKUP($K340&amp;"",PERIPHERAL!$B$3:$B$954&amp;"",PERIPHERAL!$I$3:$I$954,""),"Utilities",_xlfn.XLOOKUP($K340&amp;"",UTILITIES!$B$3:$B$953&amp;"",UTILITIES!$H$3:$H$953,""),"IOT",_xlfn.XLOOKUP($K340&amp;"",IOT!$B$3:$B$1012&amp;"",IOT!$I$3:$I$1012,""),"SERVER",_xlfn.XLOOKUP($K340&amp;"",SERVER!$B$3:$B$1009&amp;"",SERVER!$I$3:$I$1009,""),""))</f>
        <v/>
      </c>
      <c r="M340" t="str" cm="1">
        <f t="array" ref="M340">IF($K340="","",_xlfn.SWITCH($I340,"Computer",_xlfn.XLOOKUP($K340&amp;"",COMPUTER!$B$3:$B$1009&amp;"",COMPUTER!$J$3:$J$1009,""),"Display",_xlfn.XLOOKUP($K340&amp;"",DISPLAY!$B$3:$B$1000&amp;"",DISPLAY!$K$3:$K$1000,""),"Network Device",_xlfn.XLOOKUP($K340&amp;"",'NETWORK-DEVICES'!$B$3:$B$987&amp;"",'NETWORK-DEVICES'!$I$3:$I$987,""),"Peripheral",_xlfn.XLOOKUP($K340&amp;"",PERIPHERAL!$B$3:$B$954&amp;"",PERIPHERAL!$J$3:$J$954,""),"Utilities",_xlfn.XLOOKUP($K340&amp;"",UTILITIES!$B$3:$B$953&amp;"",UTILITIES!$I$3:$I$953,""),"IOT",_xlfn.XLOOKUP($K340&amp;"",IOT!$B$3:$B$1012&amp;"",IOT!$J$3:$J$1012,""),"Server",_xlfn.XLOOKUP($K340&amp;"",SERVER!$B$3:$B$1009&amp;"",SERVER!$J$3:$J$1009,""),""))</f>
        <v/>
      </c>
      <c r="N340" s="1" t="str" cm="1">
        <f t="array" ref="N340">IF(OR($K340="",$I340="",$J340=""),"",_xlfn.LET(_xlpm.srcCat,_xlfn.SWITCH($I340,"Computer",_xlfn.XLOOKUP($K340&amp;"",COMPUTER!$B$3:$B$1009&amp;"",COMPUTER!$H$3:$H$1009,""),"Display",_xlfn.XLOOKUP($K340&amp;"",DISPLAY!$B$3:$B$1000&amp;"",DISPLAY!$H$3:$H$1000,""),"Network Device",_xlfn.XLOOKUP($K340&amp;"",'NETWORK-DEVICES'!$B$3:$B$987&amp;"",'NETWORK-DEVICES'!$H$3:$H$987,""),"Peripheral",_xlfn.XLOOKUP($K340&amp;"",PERIPHERAL!$B$3:$B$954&amp;"",PERIPHERAL!$H$3:$H$954,""),"Utilities",_xlfn.XLOOKUP($K340&amp;"",UTILITIES!$B$3:$B$953&amp;"",UTILITIES!$G$3:$G$953,""),"IOT",_xlfn.XLOOKUP($K340&amp;"",IOT!$B$3:$B$1012&amp;"",IOT!$H$3:$H$1012,""),"Server",_xlfn.XLOOKUP($K340&amp;"",SERVER!$B$3:$B$1009&amp;"",SERVER!$H$3:$H$1009,""),""),IF(TRIM(_xlpm.srcCat)&lt;&gt;TRIM($J340),"",_xlfn.SWITCH($I340,"Computer",_xlfn.XLOOKUP($K340&amp;"",COMPUTER!$B$3:$B$1009&amp;"",COMPUTER!$K$3:$K$1009,""),"Display",_xlfn.XLOOKUP($K340&amp;"",DISPLAY!$B$3:$B$1000&amp;"",DISPLAY!$L$3:$L$1000,""),"Network Device",_xlfn.XLOOKUP($K340&amp;"",'NETWORK-DEVICES'!$B$3:$B$987&amp;"",'NETWORK-DEVICES'!$K$3:$K$987,""),"Peripheral",_xlfn.XLOOKUP($K340&amp;"",PERIPHERAL!$B$3:$B$954&amp;"",PERIPHERAL!$K$3:$K$954,""),"Utilities",_xlfn.XLOOKUP($K340&amp;"",UTILITIES!$B$3:$B$953&amp;"",UTILITIES!$J$3:$J$953,""),"IOT",_xlfn.XLOOKUP($K340&amp;"",IOT!$B$3:$B$1012&amp;"",IOT!$K$4:$K$1012,""),"Server",_xlfn.XLOOKUP($K340&amp;"",SERVER!$B$3:$B$1009&amp;"",SERVER!$K$3:$K$1009,""),""))))</f>
        <v/>
      </c>
      <c r="O340" s="1" t="str" cm="1">
        <f t="array" ref="O340">IF(OR($K340="",$I340="",$J340=""),"",_xlfn.LET(_xlpm.srcCat,_xlfn.SWITCH($I340,"Computer",_xlfn.XLOOKUP($K340&amp;"",COMPUTER!$B$3:$B$1009&amp;"",COMPUTER!$H$3:$H$1009,""),"Display",_xlfn.XLOOKUP($K340&amp;"",DISPLAY!$B$3:$B$1000&amp;"",DISPLAY!$H$3:$H$1000,""),"Network Device",_xlfn.XLOOKUP($K340&amp;"",'NETWORK-DEVICES'!$B$3:$B$987&amp;"",'NETWORK-DEVICES'!$H$3:$H$987,""),"Peripheral",_xlfn.XLOOKUP($K340&amp;"",PERIPHERAL!$B$3:$B$954&amp;"",PERIPHERAL!$H$3:$H$954,""),"Utilities",_xlfn.XLOOKUP($K340&amp;"",UTILITIES!$B$3:$B$953&amp;"",UTILITIES!$G$3:$G$953,""),"IOT",_xlfn.XLOOKUP($K340&amp;"",IOT!$B$3:$B$1012&amp;"",IOT!$H$3:$H$1012,""),"Server",_xlfn.XLOOKUP($K340&amp;"",SERVER!$B$3:$B$1009&amp;"",SERVER!$H$3:$H$1009,""),""),IF(TRIM(_xlpm.srcCat)&lt;&gt;TRIM($J340),"",_xlfn.SWITCH($I340,"Computer",_xlfn.XLOOKUP($K340&amp;"",COMPUTER!$B$3:$B$1009&amp;"",COMPUTER!$E$3:$E$1009,""),"Display",_xlfn.XLOOKUP($K340&amp;"",DISPLAY!$B$3:$B$1000&amp;"",DISPLAY!$E$3:$E$1000,""),"Network Device",_xlfn.XLOOKUP($K340&amp;"",'NETWORK-DEVICES'!$B$3:$B$987&amp;"",'NETWORK-DEVICES'!$E$3:$E$987,""),"Peripheral",_xlfn.XLOOKUP($K340&amp;"",PERIPHERAL!$B$3:$B$954&amp;"",PERIPHERAL!$E$3:$E$954,""),"Utilities",_xlfn.XLOOKUP($K340&amp;"",UTILITIES!$B$3:$B$953&amp;"",UTILITIES!$E$3:$E$953,""),"IOT",_xlfn.XLOOKUP($K340&amp;"",IOT!$B$3:$B$1012&amp;"",IOT!$E$3:$E$1012,""),"Server",_xlfn.XLOOKUP($K340&amp;"",SERVER!$B$3:$B$1009&amp;"",SERVER!$E$3:$E$1009,""),""))))</f>
        <v/>
      </c>
      <c r="Q340" s="1" t="str" cm="1">
        <f t="array" ref="Q340">IF(OR($K340="",$I340="",$J340=""),"",_xlfn.LET(_xlpm.srcCat,_xlfn.SWITCH($I340,"Computer",_xlfn.XLOOKUP($K340&amp;"",COMPUTER!$B$3:$B$1009&amp;"",COMPUTER!$H$3:$H$1009,""),"Display",_xlfn.XLOOKUP($K340&amp;"",DISPLAY!$B$3:$B$1000&amp;"",DISPLAY!$H$3:$H$1000,""),"Network Device",_xlfn.XLOOKUP($K340&amp;"",'NETWORK-DEVICES'!$B$3:$B$987&amp;"",'NETWORK-DEVICES'!$H$3:$H$987,""),"Peripheral",_xlfn.XLOOKUP($K340&amp;"",PERIPHERAL!$B$3:$B$954&amp;"",PERIPHERAL!$H$3:$H$954,""),"Utilities",_xlfn.XLOOKUP($K340&amp;"",UTILITIES!$B$3:$B$953&amp;"",UTILITIES!$G$3:$G$953,""),"IOT",_xlfn.XLOOKUP($K340&amp;"",IOT!$B$3:$B$1012&amp;"",IOT!$H$3:$H$1012,""),"Server",_xlfn.XLOOKUP($K340&amp;"",SERVER!$B$3:$B$1009&amp;"",SERVER!$H$3:$H$1009,""),""),IF(TRIM(_xlpm.srcCat)&lt;&gt;TRIM($J340),"",_xlfn.SWITCH($I340,"Computer",_xlfn.XLOOKUP($K340&amp;"",COMPUTER!$B$3:$B$1009&amp;"",COMPUTER!$AM$3:$AM$1009,""),"Display",_xlfn.XLOOKUP($K340&amp;"",DISPLAY!$B$3:$B$1000&amp;"",DISPLAY!$V$3:$V$1000,""),"Network Device",_xlfn.XLOOKUP($K340&amp;"",'NETWORK-DEVICES'!$B$3:$B$987&amp;"",'NETWORK-DEVICES'!$AF$3:$AF$987,""),"Peripheral",_xlfn.XLOOKUP($K340&amp;"",PERIPHERAL!$B$3:$B$954&amp;"",PERIPHERAL!$Y$3:$Y$954,""),"Utilities",_xlfn.XLOOKUP($K340&amp;"",UTILITIES!$B$3:$B$953&amp;"",UTILITIES!$O$3:$O$953,""),"IOT",_xlfn.XLOOKUP($K340&amp;"",IOT!$B$3:$B$1012&amp;"",IOT!$AB$3:$AB$1012,""),"Server",_xlfn.XLOOKUP($K340&amp;"",SERVER!$B$3:$B$1009&amp;"",SERVER!$AB$3:$AB$1009,""),""))))</f>
        <v/>
      </c>
      <c r="R340" s="43" t="str">
        <f>IF(tbl_handover[[#This Row],[Asset Code]]="","",COUNTIF(tbl_handover[Asset Code],tbl_handover[[#This Row],[Asset Code]]))</f>
        <v/>
      </c>
    </row>
    <row r="341" spans="1:18" x14ac:dyDescent="0.25">
      <c r="A341" s="43" t="str">
        <f>IF(B341&lt;&gt;"",SUBTOTAL(3,$B$1:B340),"")</f>
        <v/>
      </c>
      <c r="C341" s="74"/>
      <c r="D341" s="74"/>
      <c r="G341" s="1"/>
      <c r="K341" s="42"/>
      <c r="L341" t="str" cm="1">
        <f t="array" ref="L341">IF($K341="","",_xlfn.SWITCH($I341,"Computer",_xlfn.XLOOKUP($K341&amp;"",COMPUTER!$B$3:$B$1009&amp;"",COMPUTER!$I$3:$I$1009,""),"Display",_xlfn.XLOOKUP($K341&amp;"",DISPLAY!$B$3:$B$1000&amp;"",DISPLAY!$J$3:$J$1000,""),"Network Device",_xlfn.XLOOKUP($K341&amp;"",'NETWORK-DEVICES'!$B$3:$B$987&amp;"",'NETWORK-DEVICES'!$I$3:$I$987,""),"Peripheral",_xlfn.XLOOKUP($K341&amp;"",PERIPHERAL!$B$3:$B$954&amp;"",PERIPHERAL!$I$3:$I$954,""),"Utilities",_xlfn.XLOOKUP($K341&amp;"",UTILITIES!$B$3:$B$953&amp;"",UTILITIES!$H$3:$H$953,""),"IOT",_xlfn.XLOOKUP($K341&amp;"",IOT!$B$3:$B$1012&amp;"",IOT!$I$3:$I$1012,""),"SERVER",_xlfn.XLOOKUP($K341&amp;"",SERVER!$B$3:$B$1009&amp;"",SERVER!$I$3:$I$1009,""),""))</f>
        <v/>
      </c>
      <c r="M341" t="str" cm="1">
        <f t="array" ref="M341">IF($K341="","",_xlfn.SWITCH($I341,"Computer",_xlfn.XLOOKUP($K341&amp;"",COMPUTER!$B$3:$B$1009&amp;"",COMPUTER!$J$3:$J$1009,""),"Display",_xlfn.XLOOKUP($K341&amp;"",DISPLAY!$B$3:$B$1000&amp;"",DISPLAY!$K$3:$K$1000,""),"Network Device",_xlfn.XLOOKUP($K341&amp;"",'NETWORK-DEVICES'!$B$3:$B$987&amp;"",'NETWORK-DEVICES'!$I$3:$I$987,""),"Peripheral",_xlfn.XLOOKUP($K341&amp;"",PERIPHERAL!$B$3:$B$954&amp;"",PERIPHERAL!$J$3:$J$954,""),"Utilities",_xlfn.XLOOKUP($K341&amp;"",UTILITIES!$B$3:$B$953&amp;"",UTILITIES!$I$3:$I$953,""),"IOT",_xlfn.XLOOKUP($K341&amp;"",IOT!$B$3:$B$1012&amp;"",IOT!$J$3:$J$1012,""),"Server",_xlfn.XLOOKUP($K341&amp;"",SERVER!$B$3:$B$1009&amp;"",SERVER!$J$3:$J$1009,""),""))</f>
        <v/>
      </c>
      <c r="N341" s="1" t="str" cm="1">
        <f t="array" ref="N341">IF(OR($K341="",$I341="",$J341=""),"",_xlfn.LET(_xlpm.srcCat,_xlfn.SWITCH($I341,"Computer",_xlfn.XLOOKUP($K341&amp;"",COMPUTER!$B$3:$B$1009&amp;"",COMPUTER!$H$3:$H$1009,""),"Display",_xlfn.XLOOKUP($K341&amp;"",DISPLAY!$B$3:$B$1000&amp;"",DISPLAY!$H$3:$H$1000,""),"Network Device",_xlfn.XLOOKUP($K341&amp;"",'NETWORK-DEVICES'!$B$3:$B$987&amp;"",'NETWORK-DEVICES'!$H$3:$H$987,""),"Peripheral",_xlfn.XLOOKUP($K341&amp;"",PERIPHERAL!$B$3:$B$954&amp;"",PERIPHERAL!$H$3:$H$954,""),"Utilities",_xlfn.XLOOKUP($K341&amp;"",UTILITIES!$B$3:$B$953&amp;"",UTILITIES!$G$3:$G$953,""),"IOT",_xlfn.XLOOKUP($K341&amp;"",IOT!$B$3:$B$1012&amp;"",IOT!$H$3:$H$1012,""),"Server",_xlfn.XLOOKUP($K341&amp;"",SERVER!$B$3:$B$1009&amp;"",SERVER!$H$3:$H$1009,""),""),IF(TRIM(_xlpm.srcCat)&lt;&gt;TRIM($J341),"",_xlfn.SWITCH($I341,"Computer",_xlfn.XLOOKUP($K341&amp;"",COMPUTER!$B$3:$B$1009&amp;"",COMPUTER!$K$3:$K$1009,""),"Display",_xlfn.XLOOKUP($K341&amp;"",DISPLAY!$B$3:$B$1000&amp;"",DISPLAY!$L$3:$L$1000,""),"Network Device",_xlfn.XLOOKUP($K341&amp;"",'NETWORK-DEVICES'!$B$3:$B$987&amp;"",'NETWORK-DEVICES'!$K$3:$K$987,""),"Peripheral",_xlfn.XLOOKUP($K341&amp;"",PERIPHERAL!$B$3:$B$954&amp;"",PERIPHERAL!$K$3:$K$954,""),"Utilities",_xlfn.XLOOKUP($K341&amp;"",UTILITIES!$B$3:$B$953&amp;"",UTILITIES!$J$3:$J$953,""),"IOT",_xlfn.XLOOKUP($K341&amp;"",IOT!$B$3:$B$1012&amp;"",IOT!$K$4:$K$1012,""),"Server",_xlfn.XLOOKUP($K341&amp;"",SERVER!$B$3:$B$1009&amp;"",SERVER!$K$3:$K$1009,""),""))))</f>
        <v/>
      </c>
      <c r="O341" s="1" t="str" cm="1">
        <f t="array" ref="O341">IF(OR($K341="",$I341="",$J341=""),"",_xlfn.LET(_xlpm.srcCat,_xlfn.SWITCH($I341,"Computer",_xlfn.XLOOKUP($K341&amp;"",COMPUTER!$B$3:$B$1009&amp;"",COMPUTER!$H$3:$H$1009,""),"Display",_xlfn.XLOOKUP($K341&amp;"",DISPLAY!$B$3:$B$1000&amp;"",DISPLAY!$H$3:$H$1000,""),"Network Device",_xlfn.XLOOKUP($K341&amp;"",'NETWORK-DEVICES'!$B$3:$B$987&amp;"",'NETWORK-DEVICES'!$H$3:$H$987,""),"Peripheral",_xlfn.XLOOKUP($K341&amp;"",PERIPHERAL!$B$3:$B$954&amp;"",PERIPHERAL!$H$3:$H$954,""),"Utilities",_xlfn.XLOOKUP($K341&amp;"",UTILITIES!$B$3:$B$953&amp;"",UTILITIES!$G$3:$G$953,""),"IOT",_xlfn.XLOOKUP($K341&amp;"",IOT!$B$3:$B$1012&amp;"",IOT!$H$3:$H$1012,""),"Server",_xlfn.XLOOKUP($K341&amp;"",SERVER!$B$3:$B$1009&amp;"",SERVER!$H$3:$H$1009,""),""),IF(TRIM(_xlpm.srcCat)&lt;&gt;TRIM($J341),"",_xlfn.SWITCH($I341,"Computer",_xlfn.XLOOKUP($K341&amp;"",COMPUTER!$B$3:$B$1009&amp;"",COMPUTER!$E$3:$E$1009,""),"Display",_xlfn.XLOOKUP($K341&amp;"",DISPLAY!$B$3:$B$1000&amp;"",DISPLAY!$E$3:$E$1000,""),"Network Device",_xlfn.XLOOKUP($K341&amp;"",'NETWORK-DEVICES'!$B$3:$B$987&amp;"",'NETWORK-DEVICES'!$E$3:$E$987,""),"Peripheral",_xlfn.XLOOKUP($K341&amp;"",PERIPHERAL!$B$3:$B$954&amp;"",PERIPHERAL!$E$3:$E$954,""),"Utilities",_xlfn.XLOOKUP($K341&amp;"",UTILITIES!$B$3:$B$953&amp;"",UTILITIES!$E$3:$E$953,""),"IOT",_xlfn.XLOOKUP($K341&amp;"",IOT!$B$3:$B$1012&amp;"",IOT!$E$3:$E$1012,""),"Server",_xlfn.XLOOKUP($K341&amp;"",SERVER!$B$3:$B$1009&amp;"",SERVER!$E$3:$E$1009,""),""))))</f>
        <v/>
      </c>
      <c r="Q341" s="1" t="str" cm="1">
        <f t="array" ref="Q341">IF(OR($K341="",$I341="",$J341=""),"",_xlfn.LET(_xlpm.srcCat,_xlfn.SWITCH($I341,"Computer",_xlfn.XLOOKUP($K341&amp;"",COMPUTER!$B$3:$B$1009&amp;"",COMPUTER!$H$3:$H$1009,""),"Display",_xlfn.XLOOKUP($K341&amp;"",DISPLAY!$B$3:$B$1000&amp;"",DISPLAY!$H$3:$H$1000,""),"Network Device",_xlfn.XLOOKUP($K341&amp;"",'NETWORK-DEVICES'!$B$3:$B$987&amp;"",'NETWORK-DEVICES'!$H$3:$H$987,""),"Peripheral",_xlfn.XLOOKUP($K341&amp;"",PERIPHERAL!$B$3:$B$954&amp;"",PERIPHERAL!$H$3:$H$954,""),"Utilities",_xlfn.XLOOKUP($K341&amp;"",UTILITIES!$B$3:$B$953&amp;"",UTILITIES!$G$3:$G$953,""),"IOT",_xlfn.XLOOKUP($K341&amp;"",IOT!$B$3:$B$1012&amp;"",IOT!$H$3:$H$1012,""),"Server",_xlfn.XLOOKUP($K341&amp;"",SERVER!$B$3:$B$1009&amp;"",SERVER!$H$3:$H$1009,""),""),IF(TRIM(_xlpm.srcCat)&lt;&gt;TRIM($J341),"",_xlfn.SWITCH($I341,"Computer",_xlfn.XLOOKUP($K341&amp;"",COMPUTER!$B$3:$B$1009&amp;"",COMPUTER!$AM$3:$AM$1009,""),"Display",_xlfn.XLOOKUP($K341&amp;"",DISPLAY!$B$3:$B$1000&amp;"",DISPLAY!$V$3:$V$1000,""),"Network Device",_xlfn.XLOOKUP($K341&amp;"",'NETWORK-DEVICES'!$B$3:$B$987&amp;"",'NETWORK-DEVICES'!$AF$3:$AF$987,""),"Peripheral",_xlfn.XLOOKUP($K341&amp;"",PERIPHERAL!$B$3:$B$954&amp;"",PERIPHERAL!$Y$3:$Y$954,""),"Utilities",_xlfn.XLOOKUP($K341&amp;"",UTILITIES!$B$3:$B$953&amp;"",UTILITIES!$O$3:$O$953,""),"IOT",_xlfn.XLOOKUP($K341&amp;"",IOT!$B$3:$B$1012&amp;"",IOT!$AB$3:$AB$1012,""),"Server",_xlfn.XLOOKUP($K341&amp;"",SERVER!$B$3:$B$1009&amp;"",SERVER!$AB$3:$AB$1009,""),""))))</f>
        <v/>
      </c>
      <c r="R341" s="43" t="str">
        <f>IF(tbl_handover[[#This Row],[Asset Code]]="","",COUNTIF(tbl_handover[Asset Code],tbl_handover[[#This Row],[Asset Code]]))</f>
        <v/>
      </c>
    </row>
    <row r="342" spans="1:18" x14ac:dyDescent="0.25">
      <c r="A342" s="43" t="str">
        <f>IF(B342&lt;&gt;"",SUBTOTAL(3,$B$1:B341),"")</f>
        <v/>
      </c>
      <c r="C342" s="74"/>
      <c r="D342" s="74"/>
      <c r="G342" s="1"/>
      <c r="K342" s="42"/>
      <c r="L342" t="str" cm="1">
        <f t="array" ref="L342">IF($K342="","",_xlfn.SWITCH($I342,"Computer",_xlfn.XLOOKUP($K342&amp;"",COMPUTER!$B$3:$B$1009&amp;"",COMPUTER!$I$3:$I$1009,""),"Display",_xlfn.XLOOKUP($K342&amp;"",DISPLAY!$B$3:$B$1000&amp;"",DISPLAY!$J$3:$J$1000,""),"Network Device",_xlfn.XLOOKUP($K342&amp;"",'NETWORK-DEVICES'!$B$3:$B$987&amp;"",'NETWORK-DEVICES'!$I$3:$I$987,""),"Peripheral",_xlfn.XLOOKUP($K342&amp;"",PERIPHERAL!$B$3:$B$954&amp;"",PERIPHERAL!$I$3:$I$954,""),"Utilities",_xlfn.XLOOKUP($K342&amp;"",UTILITIES!$B$3:$B$953&amp;"",UTILITIES!$H$3:$H$953,""),"IOT",_xlfn.XLOOKUP($K342&amp;"",IOT!$B$3:$B$1012&amp;"",IOT!$I$3:$I$1012,""),"SERVER",_xlfn.XLOOKUP($K342&amp;"",SERVER!$B$3:$B$1009&amp;"",SERVER!$I$3:$I$1009,""),""))</f>
        <v/>
      </c>
      <c r="M342" t="str" cm="1">
        <f t="array" ref="M342">IF($K342="","",_xlfn.SWITCH($I342,"Computer",_xlfn.XLOOKUP($K342&amp;"",COMPUTER!$B$3:$B$1009&amp;"",COMPUTER!$J$3:$J$1009,""),"Display",_xlfn.XLOOKUP($K342&amp;"",DISPLAY!$B$3:$B$1000&amp;"",DISPLAY!$K$3:$K$1000,""),"Network Device",_xlfn.XLOOKUP($K342&amp;"",'NETWORK-DEVICES'!$B$3:$B$987&amp;"",'NETWORK-DEVICES'!$I$3:$I$987,""),"Peripheral",_xlfn.XLOOKUP($K342&amp;"",PERIPHERAL!$B$3:$B$954&amp;"",PERIPHERAL!$J$3:$J$954,""),"Utilities",_xlfn.XLOOKUP($K342&amp;"",UTILITIES!$B$3:$B$953&amp;"",UTILITIES!$I$3:$I$953,""),"IOT",_xlfn.XLOOKUP($K342&amp;"",IOT!$B$3:$B$1012&amp;"",IOT!$J$3:$J$1012,""),"Server",_xlfn.XLOOKUP($K342&amp;"",SERVER!$B$3:$B$1009&amp;"",SERVER!$J$3:$J$1009,""),""))</f>
        <v/>
      </c>
      <c r="N342" s="1" t="str" cm="1">
        <f t="array" ref="N342">IF(OR($K342="",$I342="",$J342=""),"",_xlfn.LET(_xlpm.srcCat,_xlfn.SWITCH($I342,"Computer",_xlfn.XLOOKUP($K342&amp;"",COMPUTER!$B$3:$B$1009&amp;"",COMPUTER!$H$3:$H$1009,""),"Display",_xlfn.XLOOKUP($K342&amp;"",DISPLAY!$B$3:$B$1000&amp;"",DISPLAY!$H$3:$H$1000,""),"Network Device",_xlfn.XLOOKUP($K342&amp;"",'NETWORK-DEVICES'!$B$3:$B$987&amp;"",'NETWORK-DEVICES'!$H$3:$H$987,""),"Peripheral",_xlfn.XLOOKUP($K342&amp;"",PERIPHERAL!$B$3:$B$954&amp;"",PERIPHERAL!$H$3:$H$954,""),"Utilities",_xlfn.XLOOKUP($K342&amp;"",UTILITIES!$B$3:$B$953&amp;"",UTILITIES!$G$3:$G$953,""),"IOT",_xlfn.XLOOKUP($K342&amp;"",IOT!$B$3:$B$1012&amp;"",IOT!$H$3:$H$1012,""),"Server",_xlfn.XLOOKUP($K342&amp;"",SERVER!$B$3:$B$1009&amp;"",SERVER!$H$3:$H$1009,""),""),IF(TRIM(_xlpm.srcCat)&lt;&gt;TRIM($J342),"",_xlfn.SWITCH($I342,"Computer",_xlfn.XLOOKUP($K342&amp;"",COMPUTER!$B$3:$B$1009&amp;"",COMPUTER!$K$3:$K$1009,""),"Display",_xlfn.XLOOKUP($K342&amp;"",DISPLAY!$B$3:$B$1000&amp;"",DISPLAY!$L$3:$L$1000,""),"Network Device",_xlfn.XLOOKUP($K342&amp;"",'NETWORK-DEVICES'!$B$3:$B$987&amp;"",'NETWORK-DEVICES'!$K$3:$K$987,""),"Peripheral",_xlfn.XLOOKUP($K342&amp;"",PERIPHERAL!$B$3:$B$954&amp;"",PERIPHERAL!$K$3:$K$954,""),"Utilities",_xlfn.XLOOKUP($K342&amp;"",UTILITIES!$B$3:$B$953&amp;"",UTILITIES!$J$3:$J$953,""),"IOT",_xlfn.XLOOKUP($K342&amp;"",IOT!$B$3:$B$1012&amp;"",IOT!$K$4:$K$1012,""),"Server",_xlfn.XLOOKUP($K342&amp;"",SERVER!$B$3:$B$1009&amp;"",SERVER!$K$3:$K$1009,""),""))))</f>
        <v/>
      </c>
      <c r="O342" s="1" t="str" cm="1">
        <f t="array" ref="O342">IF(OR($K342="",$I342="",$J342=""),"",_xlfn.LET(_xlpm.srcCat,_xlfn.SWITCH($I342,"Computer",_xlfn.XLOOKUP($K342&amp;"",COMPUTER!$B$3:$B$1009&amp;"",COMPUTER!$H$3:$H$1009,""),"Display",_xlfn.XLOOKUP($K342&amp;"",DISPLAY!$B$3:$B$1000&amp;"",DISPLAY!$H$3:$H$1000,""),"Network Device",_xlfn.XLOOKUP($K342&amp;"",'NETWORK-DEVICES'!$B$3:$B$987&amp;"",'NETWORK-DEVICES'!$H$3:$H$987,""),"Peripheral",_xlfn.XLOOKUP($K342&amp;"",PERIPHERAL!$B$3:$B$954&amp;"",PERIPHERAL!$H$3:$H$954,""),"Utilities",_xlfn.XLOOKUP($K342&amp;"",UTILITIES!$B$3:$B$953&amp;"",UTILITIES!$G$3:$G$953,""),"IOT",_xlfn.XLOOKUP($K342&amp;"",IOT!$B$3:$B$1012&amp;"",IOT!$H$3:$H$1012,""),"Server",_xlfn.XLOOKUP($K342&amp;"",SERVER!$B$3:$B$1009&amp;"",SERVER!$H$3:$H$1009,""),""),IF(TRIM(_xlpm.srcCat)&lt;&gt;TRIM($J342),"",_xlfn.SWITCH($I342,"Computer",_xlfn.XLOOKUP($K342&amp;"",COMPUTER!$B$3:$B$1009&amp;"",COMPUTER!$E$3:$E$1009,""),"Display",_xlfn.XLOOKUP($K342&amp;"",DISPLAY!$B$3:$B$1000&amp;"",DISPLAY!$E$3:$E$1000,""),"Network Device",_xlfn.XLOOKUP($K342&amp;"",'NETWORK-DEVICES'!$B$3:$B$987&amp;"",'NETWORK-DEVICES'!$E$3:$E$987,""),"Peripheral",_xlfn.XLOOKUP($K342&amp;"",PERIPHERAL!$B$3:$B$954&amp;"",PERIPHERAL!$E$3:$E$954,""),"Utilities",_xlfn.XLOOKUP($K342&amp;"",UTILITIES!$B$3:$B$953&amp;"",UTILITIES!$E$3:$E$953,""),"IOT",_xlfn.XLOOKUP($K342&amp;"",IOT!$B$3:$B$1012&amp;"",IOT!$E$3:$E$1012,""),"Server",_xlfn.XLOOKUP($K342&amp;"",SERVER!$B$3:$B$1009&amp;"",SERVER!$E$3:$E$1009,""),""))))</f>
        <v/>
      </c>
      <c r="Q342" s="1" t="str" cm="1">
        <f t="array" ref="Q342">IF(OR($K342="",$I342="",$J342=""),"",_xlfn.LET(_xlpm.srcCat,_xlfn.SWITCH($I342,"Computer",_xlfn.XLOOKUP($K342&amp;"",COMPUTER!$B$3:$B$1009&amp;"",COMPUTER!$H$3:$H$1009,""),"Display",_xlfn.XLOOKUP($K342&amp;"",DISPLAY!$B$3:$B$1000&amp;"",DISPLAY!$H$3:$H$1000,""),"Network Device",_xlfn.XLOOKUP($K342&amp;"",'NETWORK-DEVICES'!$B$3:$B$987&amp;"",'NETWORK-DEVICES'!$H$3:$H$987,""),"Peripheral",_xlfn.XLOOKUP($K342&amp;"",PERIPHERAL!$B$3:$B$954&amp;"",PERIPHERAL!$H$3:$H$954,""),"Utilities",_xlfn.XLOOKUP($K342&amp;"",UTILITIES!$B$3:$B$953&amp;"",UTILITIES!$G$3:$G$953,""),"IOT",_xlfn.XLOOKUP($K342&amp;"",IOT!$B$3:$B$1012&amp;"",IOT!$H$3:$H$1012,""),"Server",_xlfn.XLOOKUP($K342&amp;"",SERVER!$B$3:$B$1009&amp;"",SERVER!$H$3:$H$1009,""),""),IF(TRIM(_xlpm.srcCat)&lt;&gt;TRIM($J342),"",_xlfn.SWITCH($I342,"Computer",_xlfn.XLOOKUP($K342&amp;"",COMPUTER!$B$3:$B$1009&amp;"",COMPUTER!$AM$3:$AM$1009,""),"Display",_xlfn.XLOOKUP($K342&amp;"",DISPLAY!$B$3:$B$1000&amp;"",DISPLAY!$V$3:$V$1000,""),"Network Device",_xlfn.XLOOKUP($K342&amp;"",'NETWORK-DEVICES'!$B$3:$B$987&amp;"",'NETWORK-DEVICES'!$AF$3:$AF$987,""),"Peripheral",_xlfn.XLOOKUP($K342&amp;"",PERIPHERAL!$B$3:$B$954&amp;"",PERIPHERAL!$Y$3:$Y$954,""),"Utilities",_xlfn.XLOOKUP($K342&amp;"",UTILITIES!$B$3:$B$953&amp;"",UTILITIES!$O$3:$O$953,""),"IOT",_xlfn.XLOOKUP($K342&amp;"",IOT!$B$3:$B$1012&amp;"",IOT!$AB$3:$AB$1012,""),"Server",_xlfn.XLOOKUP($K342&amp;"",SERVER!$B$3:$B$1009&amp;"",SERVER!$AB$3:$AB$1009,""),""))))</f>
        <v/>
      </c>
      <c r="R342" s="43" t="str">
        <f>IF(tbl_handover[[#This Row],[Asset Code]]="","",COUNTIF(tbl_handover[Asset Code],tbl_handover[[#This Row],[Asset Code]]))</f>
        <v/>
      </c>
    </row>
    <row r="343" spans="1:18" x14ac:dyDescent="0.25">
      <c r="A343" s="43" t="str">
        <f>IF(B343&lt;&gt;"",SUBTOTAL(3,$B$1:B342),"")</f>
        <v/>
      </c>
      <c r="C343" s="74"/>
      <c r="D343" s="74"/>
      <c r="G343" s="1"/>
      <c r="K343" s="42"/>
      <c r="L343" t="str" cm="1">
        <f t="array" ref="L343">IF($K343="","",_xlfn.SWITCH($I343,"Computer",_xlfn.XLOOKUP($K343&amp;"",COMPUTER!$B$3:$B$1009&amp;"",COMPUTER!$I$3:$I$1009,""),"Display",_xlfn.XLOOKUP($K343&amp;"",DISPLAY!$B$3:$B$1000&amp;"",DISPLAY!$J$3:$J$1000,""),"Network Device",_xlfn.XLOOKUP($K343&amp;"",'NETWORK-DEVICES'!$B$3:$B$987&amp;"",'NETWORK-DEVICES'!$I$3:$I$987,""),"Peripheral",_xlfn.XLOOKUP($K343&amp;"",PERIPHERAL!$B$3:$B$954&amp;"",PERIPHERAL!$I$3:$I$954,""),"Utilities",_xlfn.XLOOKUP($K343&amp;"",UTILITIES!$B$3:$B$953&amp;"",UTILITIES!$H$3:$H$953,""),"IOT",_xlfn.XLOOKUP($K343&amp;"",IOT!$B$3:$B$1012&amp;"",IOT!$I$3:$I$1012,""),"SERVER",_xlfn.XLOOKUP($K343&amp;"",SERVER!$B$3:$B$1009&amp;"",SERVER!$I$3:$I$1009,""),""))</f>
        <v/>
      </c>
      <c r="M343" t="str" cm="1">
        <f t="array" ref="M343">IF($K343="","",_xlfn.SWITCH($I343,"Computer",_xlfn.XLOOKUP($K343&amp;"",COMPUTER!$B$3:$B$1009&amp;"",COMPUTER!$J$3:$J$1009,""),"Display",_xlfn.XLOOKUP($K343&amp;"",DISPLAY!$B$3:$B$1000&amp;"",DISPLAY!$K$3:$K$1000,""),"Network Device",_xlfn.XLOOKUP($K343&amp;"",'NETWORK-DEVICES'!$B$3:$B$987&amp;"",'NETWORK-DEVICES'!$I$3:$I$987,""),"Peripheral",_xlfn.XLOOKUP($K343&amp;"",PERIPHERAL!$B$3:$B$954&amp;"",PERIPHERAL!$J$3:$J$954,""),"Utilities",_xlfn.XLOOKUP($K343&amp;"",UTILITIES!$B$3:$B$953&amp;"",UTILITIES!$I$3:$I$953,""),"IOT",_xlfn.XLOOKUP($K343&amp;"",IOT!$B$3:$B$1012&amp;"",IOT!$J$3:$J$1012,""),"Server",_xlfn.XLOOKUP($K343&amp;"",SERVER!$B$3:$B$1009&amp;"",SERVER!$J$3:$J$1009,""),""))</f>
        <v/>
      </c>
      <c r="N343" s="1" t="str" cm="1">
        <f t="array" ref="N343">IF(OR($K343="",$I343="",$J343=""),"",_xlfn.LET(_xlpm.srcCat,_xlfn.SWITCH($I343,"Computer",_xlfn.XLOOKUP($K343&amp;"",COMPUTER!$B$3:$B$1009&amp;"",COMPUTER!$H$3:$H$1009,""),"Display",_xlfn.XLOOKUP($K343&amp;"",DISPLAY!$B$3:$B$1000&amp;"",DISPLAY!$H$3:$H$1000,""),"Network Device",_xlfn.XLOOKUP($K343&amp;"",'NETWORK-DEVICES'!$B$3:$B$987&amp;"",'NETWORK-DEVICES'!$H$3:$H$987,""),"Peripheral",_xlfn.XLOOKUP($K343&amp;"",PERIPHERAL!$B$3:$B$954&amp;"",PERIPHERAL!$H$3:$H$954,""),"Utilities",_xlfn.XLOOKUP($K343&amp;"",UTILITIES!$B$3:$B$953&amp;"",UTILITIES!$G$3:$G$953,""),"IOT",_xlfn.XLOOKUP($K343&amp;"",IOT!$B$3:$B$1012&amp;"",IOT!$H$3:$H$1012,""),"Server",_xlfn.XLOOKUP($K343&amp;"",SERVER!$B$3:$B$1009&amp;"",SERVER!$H$3:$H$1009,""),""),IF(TRIM(_xlpm.srcCat)&lt;&gt;TRIM($J343),"",_xlfn.SWITCH($I343,"Computer",_xlfn.XLOOKUP($K343&amp;"",COMPUTER!$B$3:$B$1009&amp;"",COMPUTER!$K$3:$K$1009,""),"Display",_xlfn.XLOOKUP($K343&amp;"",DISPLAY!$B$3:$B$1000&amp;"",DISPLAY!$L$3:$L$1000,""),"Network Device",_xlfn.XLOOKUP($K343&amp;"",'NETWORK-DEVICES'!$B$3:$B$987&amp;"",'NETWORK-DEVICES'!$K$3:$K$987,""),"Peripheral",_xlfn.XLOOKUP($K343&amp;"",PERIPHERAL!$B$3:$B$954&amp;"",PERIPHERAL!$K$3:$K$954,""),"Utilities",_xlfn.XLOOKUP($K343&amp;"",UTILITIES!$B$3:$B$953&amp;"",UTILITIES!$J$3:$J$953,""),"IOT",_xlfn.XLOOKUP($K343&amp;"",IOT!$B$3:$B$1012&amp;"",IOT!$K$4:$K$1012,""),"Server",_xlfn.XLOOKUP($K343&amp;"",SERVER!$B$3:$B$1009&amp;"",SERVER!$K$3:$K$1009,""),""))))</f>
        <v/>
      </c>
      <c r="O343" s="1" t="str" cm="1">
        <f t="array" ref="O343">IF(OR($K343="",$I343="",$J343=""),"",_xlfn.LET(_xlpm.srcCat,_xlfn.SWITCH($I343,"Computer",_xlfn.XLOOKUP($K343&amp;"",COMPUTER!$B$3:$B$1009&amp;"",COMPUTER!$H$3:$H$1009,""),"Display",_xlfn.XLOOKUP($K343&amp;"",DISPLAY!$B$3:$B$1000&amp;"",DISPLAY!$H$3:$H$1000,""),"Network Device",_xlfn.XLOOKUP($K343&amp;"",'NETWORK-DEVICES'!$B$3:$B$987&amp;"",'NETWORK-DEVICES'!$H$3:$H$987,""),"Peripheral",_xlfn.XLOOKUP($K343&amp;"",PERIPHERAL!$B$3:$B$954&amp;"",PERIPHERAL!$H$3:$H$954,""),"Utilities",_xlfn.XLOOKUP($K343&amp;"",UTILITIES!$B$3:$B$953&amp;"",UTILITIES!$G$3:$G$953,""),"IOT",_xlfn.XLOOKUP($K343&amp;"",IOT!$B$3:$B$1012&amp;"",IOT!$H$3:$H$1012,""),"Server",_xlfn.XLOOKUP($K343&amp;"",SERVER!$B$3:$B$1009&amp;"",SERVER!$H$3:$H$1009,""),""),IF(TRIM(_xlpm.srcCat)&lt;&gt;TRIM($J343),"",_xlfn.SWITCH($I343,"Computer",_xlfn.XLOOKUP($K343&amp;"",COMPUTER!$B$3:$B$1009&amp;"",COMPUTER!$E$3:$E$1009,""),"Display",_xlfn.XLOOKUP($K343&amp;"",DISPLAY!$B$3:$B$1000&amp;"",DISPLAY!$E$3:$E$1000,""),"Network Device",_xlfn.XLOOKUP($K343&amp;"",'NETWORK-DEVICES'!$B$3:$B$987&amp;"",'NETWORK-DEVICES'!$E$3:$E$987,""),"Peripheral",_xlfn.XLOOKUP($K343&amp;"",PERIPHERAL!$B$3:$B$954&amp;"",PERIPHERAL!$E$3:$E$954,""),"Utilities",_xlfn.XLOOKUP($K343&amp;"",UTILITIES!$B$3:$B$953&amp;"",UTILITIES!$E$3:$E$953,""),"IOT",_xlfn.XLOOKUP($K343&amp;"",IOT!$B$3:$B$1012&amp;"",IOT!$E$3:$E$1012,""),"Server",_xlfn.XLOOKUP($K343&amp;"",SERVER!$B$3:$B$1009&amp;"",SERVER!$E$3:$E$1009,""),""))))</f>
        <v/>
      </c>
      <c r="Q343" s="1" t="str" cm="1">
        <f t="array" ref="Q343">IF(OR($K343="",$I343="",$J343=""),"",_xlfn.LET(_xlpm.srcCat,_xlfn.SWITCH($I343,"Computer",_xlfn.XLOOKUP($K343&amp;"",COMPUTER!$B$3:$B$1009&amp;"",COMPUTER!$H$3:$H$1009,""),"Display",_xlfn.XLOOKUP($K343&amp;"",DISPLAY!$B$3:$B$1000&amp;"",DISPLAY!$H$3:$H$1000,""),"Network Device",_xlfn.XLOOKUP($K343&amp;"",'NETWORK-DEVICES'!$B$3:$B$987&amp;"",'NETWORK-DEVICES'!$H$3:$H$987,""),"Peripheral",_xlfn.XLOOKUP($K343&amp;"",PERIPHERAL!$B$3:$B$954&amp;"",PERIPHERAL!$H$3:$H$954,""),"Utilities",_xlfn.XLOOKUP($K343&amp;"",UTILITIES!$B$3:$B$953&amp;"",UTILITIES!$G$3:$G$953,""),"IOT",_xlfn.XLOOKUP($K343&amp;"",IOT!$B$3:$B$1012&amp;"",IOT!$H$3:$H$1012,""),"Server",_xlfn.XLOOKUP($K343&amp;"",SERVER!$B$3:$B$1009&amp;"",SERVER!$H$3:$H$1009,""),""),IF(TRIM(_xlpm.srcCat)&lt;&gt;TRIM($J343),"",_xlfn.SWITCH($I343,"Computer",_xlfn.XLOOKUP($K343&amp;"",COMPUTER!$B$3:$B$1009&amp;"",COMPUTER!$AM$3:$AM$1009,""),"Display",_xlfn.XLOOKUP($K343&amp;"",DISPLAY!$B$3:$B$1000&amp;"",DISPLAY!$V$3:$V$1000,""),"Network Device",_xlfn.XLOOKUP($K343&amp;"",'NETWORK-DEVICES'!$B$3:$B$987&amp;"",'NETWORK-DEVICES'!$AF$3:$AF$987,""),"Peripheral",_xlfn.XLOOKUP($K343&amp;"",PERIPHERAL!$B$3:$B$954&amp;"",PERIPHERAL!$Y$3:$Y$954,""),"Utilities",_xlfn.XLOOKUP($K343&amp;"",UTILITIES!$B$3:$B$953&amp;"",UTILITIES!$O$3:$O$953,""),"IOT",_xlfn.XLOOKUP($K343&amp;"",IOT!$B$3:$B$1012&amp;"",IOT!$AB$3:$AB$1012,""),"Server",_xlfn.XLOOKUP($K343&amp;"",SERVER!$B$3:$B$1009&amp;"",SERVER!$AB$3:$AB$1009,""),""))))</f>
        <v/>
      </c>
      <c r="R343" s="43" t="str">
        <f>IF(tbl_handover[[#This Row],[Asset Code]]="","",COUNTIF(tbl_handover[Asset Code],tbl_handover[[#This Row],[Asset Code]]))</f>
        <v/>
      </c>
    </row>
    <row r="344" spans="1:18" x14ac:dyDescent="0.25">
      <c r="A344" s="43" t="str">
        <f>IF(B344&lt;&gt;"",SUBTOTAL(3,$B$1:B343),"")</f>
        <v/>
      </c>
      <c r="C344" s="74"/>
      <c r="D344" s="74"/>
      <c r="G344" s="1"/>
      <c r="K344" s="42"/>
      <c r="L344" t="str" cm="1">
        <f t="array" ref="L344">IF($K344="","",_xlfn.SWITCH($I344,"Computer",_xlfn.XLOOKUP($K344&amp;"",COMPUTER!$B$3:$B$1009&amp;"",COMPUTER!$I$3:$I$1009,""),"Display",_xlfn.XLOOKUP($K344&amp;"",DISPLAY!$B$3:$B$1000&amp;"",DISPLAY!$J$3:$J$1000,""),"Network Device",_xlfn.XLOOKUP($K344&amp;"",'NETWORK-DEVICES'!$B$3:$B$987&amp;"",'NETWORK-DEVICES'!$I$3:$I$987,""),"Peripheral",_xlfn.XLOOKUP($K344&amp;"",PERIPHERAL!$B$3:$B$954&amp;"",PERIPHERAL!$I$3:$I$954,""),"Utilities",_xlfn.XLOOKUP($K344&amp;"",UTILITIES!$B$3:$B$953&amp;"",UTILITIES!$H$3:$H$953,""),"IOT",_xlfn.XLOOKUP($K344&amp;"",IOT!$B$3:$B$1012&amp;"",IOT!$I$3:$I$1012,""),"SERVER",_xlfn.XLOOKUP($K344&amp;"",SERVER!$B$3:$B$1009&amp;"",SERVER!$I$3:$I$1009,""),""))</f>
        <v/>
      </c>
      <c r="M344" t="str" cm="1">
        <f t="array" ref="M344">IF($K344="","",_xlfn.SWITCH($I344,"Computer",_xlfn.XLOOKUP($K344&amp;"",COMPUTER!$B$3:$B$1009&amp;"",COMPUTER!$J$3:$J$1009,""),"Display",_xlfn.XLOOKUP($K344&amp;"",DISPLAY!$B$3:$B$1000&amp;"",DISPLAY!$K$3:$K$1000,""),"Network Device",_xlfn.XLOOKUP($K344&amp;"",'NETWORK-DEVICES'!$B$3:$B$987&amp;"",'NETWORK-DEVICES'!$I$3:$I$987,""),"Peripheral",_xlfn.XLOOKUP($K344&amp;"",PERIPHERAL!$B$3:$B$954&amp;"",PERIPHERAL!$J$3:$J$954,""),"Utilities",_xlfn.XLOOKUP($K344&amp;"",UTILITIES!$B$3:$B$953&amp;"",UTILITIES!$I$3:$I$953,""),"IOT",_xlfn.XLOOKUP($K344&amp;"",IOT!$B$3:$B$1012&amp;"",IOT!$J$3:$J$1012,""),"Server",_xlfn.XLOOKUP($K344&amp;"",SERVER!$B$3:$B$1009&amp;"",SERVER!$J$3:$J$1009,""),""))</f>
        <v/>
      </c>
      <c r="N344" s="1" t="str" cm="1">
        <f t="array" ref="N344">IF(OR($K344="",$I344="",$J344=""),"",_xlfn.LET(_xlpm.srcCat,_xlfn.SWITCH($I344,"Computer",_xlfn.XLOOKUP($K344&amp;"",COMPUTER!$B$3:$B$1009&amp;"",COMPUTER!$H$3:$H$1009,""),"Display",_xlfn.XLOOKUP($K344&amp;"",DISPLAY!$B$3:$B$1000&amp;"",DISPLAY!$H$3:$H$1000,""),"Network Device",_xlfn.XLOOKUP($K344&amp;"",'NETWORK-DEVICES'!$B$3:$B$987&amp;"",'NETWORK-DEVICES'!$H$3:$H$987,""),"Peripheral",_xlfn.XLOOKUP($K344&amp;"",PERIPHERAL!$B$3:$B$954&amp;"",PERIPHERAL!$H$3:$H$954,""),"Utilities",_xlfn.XLOOKUP($K344&amp;"",UTILITIES!$B$3:$B$953&amp;"",UTILITIES!$G$3:$G$953,""),"IOT",_xlfn.XLOOKUP($K344&amp;"",IOT!$B$3:$B$1012&amp;"",IOT!$H$3:$H$1012,""),"Server",_xlfn.XLOOKUP($K344&amp;"",SERVER!$B$3:$B$1009&amp;"",SERVER!$H$3:$H$1009,""),""),IF(TRIM(_xlpm.srcCat)&lt;&gt;TRIM($J344),"",_xlfn.SWITCH($I344,"Computer",_xlfn.XLOOKUP($K344&amp;"",COMPUTER!$B$3:$B$1009&amp;"",COMPUTER!$K$3:$K$1009,""),"Display",_xlfn.XLOOKUP($K344&amp;"",DISPLAY!$B$3:$B$1000&amp;"",DISPLAY!$L$3:$L$1000,""),"Network Device",_xlfn.XLOOKUP($K344&amp;"",'NETWORK-DEVICES'!$B$3:$B$987&amp;"",'NETWORK-DEVICES'!$K$3:$K$987,""),"Peripheral",_xlfn.XLOOKUP($K344&amp;"",PERIPHERAL!$B$3:$B$954&amp;"",PERIPHERAL!$K$3:$K$954,""),"Utilities",_xlfn.XLOOKUP($K344&amp;"",UTILITIES!$B$3:$B$953&amp;"",UTILITIES!$J$3:$J$953,""),"IOT",_xlfn.XLOOKUP($K344&amp;"",IOT!$B$3:$B$1012&amp;"",IOT!$K$4:$K$1012,""),"Server",_xlfn.XLOOKUP($K344&amp;"",SERVER!$B$3:$B$1009&amp;"",SERVER!$K$3:$K$1009,""),""))))</f>
        <v/>
      </c>
      <c r="O344" s="1" t="str" cm="1">
        <f t="array" ref="O344">IF(OR($K344="",$I344="",$J344=""),"",_xlfn.LET(_xlpm.srcCat,_xlfn.SWITCH($I344,"Computer",_xlfn.XLOOKUP($K344&amp;"",COMPUTER!$B$3:$B$1009&amp;"",COMPUTER!$H$3:$H$1009,""),"Display",_xlfn.XLOOKUP($K344&amp;"",DISPLAY!$B$3:$B$1000&amp;"",DISPLAY!$H$3:$H$1000,""),"Network Device",_xlfn.XLOOKUP($K344&amp;"",'NETWORK-DEVICES'!$B$3:$B$987&amp;"",'NETWORK-DEVICES'!$H$3:$H$987,""),"Peripheral",_xlfn.XLOOKUP($K344&amp;"",PERIPHERAL!$B$3:$B$954&amp;"",PERIPHERAL!$H$3:$H$954,""),"Utilities",_xlfn.XLOOKUP($K344&amp;"",UTILITIES!$B$3:$B$953&amp;"",UTILITIES!$G$3:$G$953,""),"IOT",_xlfn.XLOOKUP($K344&amp;"",IOT!$B$3:$B$1012&amp;"",IOT!$H$3:$H$1012,""),"Server",_xlfn.XLOOKUP($K344&amp;"",SERVER!$B$3:$B$1009&amp;"",SERVER!$H$3:$H$1009,""),""),IF(TRIM(_xlpm.srcCat)&lt;&gt;TRIM($J344),"",_xlfn.SWITCH($I344,"Computer",_xlfn.XLOOKUP($K344&amp;"",COMPUTER!$B$3:$B$1009&amp;"",COMPUTER!$E$3:$E$1009,""),"Display",_xlfn.XLOOKUP($K344&amp;"",DISPLAY!$B$3:$B$1000&amp;"",DISPLAY!$E$3:$E$1000,""),"Network Device",_xlfn.XLOOKUP($K344&amp;"",'NETWORK-DEVICES'!$B$3:$B$987&amp;"",'NETWORK-DEVICES'!$E$3:$E$987,""),"Peripheral",_xlfn.XLOOKUP($K344&amp;"",PERIPHERAL!$B$3:$B$954&amp;"",PERIPHERAL!$E$3:$E$954,""),"Utilities",_xlfn.XLOOKUP($K344&amp;"",UTILITIES!$B$3:$B$953&amp;"",UTILITIES!$E$3:$E$953,""),"IOT",_xlfn.XLOOKUP($K344&amp;"",IOT!$B$3:$B$1012&amp;"",IOT!$E$3:$E$1012,""),"Server",_xlfn.XLOOKUP($K344&amp;"",SERVER!$B$3:$B$1009&amp;"",SERVER!$E$3:$E$1009,""),""))))</f>
        <v/>
      </c>
      <c r="Q344" s="1" t="str" cm="1">
        <f t="array" ref="Q344">IF(OR($K344="",$I344="",$J344=""),"",_xlfn.LET(_xlpm.srcCat,_xlfn.SWITCH($I344,"Computer",_xlfn.XLOOKUP($K344&amp;"",COMPUTER!$B$3:$B$1009&amp;"",COMPUTER!$H$3:$H$1009,""),"Display",_xlfn.XLOOKUP($K344&amp;"",DISPLAY!$B$3:$B$1000&amp;"",DISPLAY!$H$3:$H$1000,""),"Network Device",_xlfn.XLOOKUP($K344&amp;"",'NETWORK-DEVICES'!$B$3:$B$987&amp;"",'NETWORK-DEVICES'!$H$3:$H$987,""),"Peripheral",_xlfn.XLOOKUP($K344&amp;"",PERIPHERAL!$B$3:$B$954&amp;"",PERIPHERAL!$H$3:$H$954,""),"Utilities",_xlfn.XLOOKUP($K344&amp;"",UTILITIES!$B$3:$B$953&amp;"",UTILITIES!$G$3:$G$953,""),"IOT",_xlfn.XLOOKUP($K344&amp;"",IOT!$B$3:$B$1012&amp;"",IOT!$H$3:$H$1012,""),"Server",_xlfn.XLOOKUP($K344&amp;"",SERVER!$B$3:$B$1009&amp;"",SERVER!$H$3:$H$1009,""),""),IF(TRIM(_xlpm.srcCat)&lt;&gt;TRIM($J344),"",_xlfn.SWITCH($I344,"Computer",_xlfn.XLOOKUP($K344&amp;"",COMPUTER!$B$3:$B$1009&amp;"",COMPUTER!$AM$3:$AM$1009,""),"Display",_xlfn.XLOOKUP($K344&amp;"",DISPLAY!$B$3:$B$1000&amp;"",DISPLAY!$V$3:$V$1000,""),"Network Device",_xlfn.XLOOKUP($K344&amp;"",'NETWORK-DEVICES'!$B$3:$B$987&amp;"",'NETWORK-DEVICES'!$AF$3:$AF$987,""),"Peripheral",_xlfn.XLOOKUP($K344&amp;"",PERIPHERAL!$B$3:$B$954&amp;"",PERIPHERAL!$Y$3:$Y$954,""),"Utilities",_xlfn.XLOOKUP($K344&amp;"",UTILITIES!$B$3:$B$953&amp;"",UTILITIES!$O$3:$O$953,""),"IOT",_xlfn.XLOOKUP($K344&amp;"",IOT!$B$3:$B$1012&amp;"",IOT!$AB$3:$AB$1012,""),"Server",_xlfn.XLOOKUP($K344&amp;"",SERVER!$B$3:$B$1009&amp;"",SERVER!$AB$3:$AB$1009,""),""))))</f>
        <v/>
      </c>
      <c r="R344" s="43" t="str">
        <f>IF(tbl_handover[[#This Row],[Asset Code]]="","",COUNTIF(tbl_handover[Asset Code],tbl_handover[[#This Row],[Asset Code]]))</f>
        <v/>
      </c>
    </row>
    <row r="345" spans="1:18" x14ac:dyDescent="0.25">
      <c r="A345" s="43" t="str">
        <f>IF(B345&lt;&gt;"",SUBTOTAL(3,$B$1:B344),"")</f>
        <v/>
      </c>
      <c r="C345" s="74"/>
      <c r="D345" s="74"/>
      <c r="G345" s="1"/>
      <c r="K345" s="42"/>
      <c r="L345" t="str" cm="1">
        <f t="array" ref="L345">IF($K345="","",_xlfn.SWITCH($I345,"Computer",_xlfn.XLOOKUP($K345&amp;"",COMPUTER!$B$3:$B$1009&amp;"",COMPUTER!$I$3:$I$1009,""),"Display",_xlfn.XLOOKUP($K345&amp;"",DISPLAY!$B$3:$B$1000&amp;"",DISPLAY!$J$3:$J$1000,""),"Network Device",_xlfn.XLOOKUP($K345&amp;"",'NETWORK-DEVICES'!$B$3:$B$987&amp;"",'NETWORK-DEVICES'!$I$3:$I$987,""),"Peripheral",_xlfn.XLOOKUP($K345&amp;"",PERIPHERAL!$B$3:$B$954&amp;"",PERIPHERAL!$I$3:$I$954,""),"Utilities",_xlfn.XLOOKUP($K345&amp;"",UTILITIES!$B$3:$B$953&amp;"",UTILITIES!$H$3:$H$953,""),"IOT",_xlfn.XLOOKUP($K345&amp;"",IOT!$B$3:$B$1012&amp;"",IOT!$I$3:$I$1012,""),"SERVER",_xlfn.XLOOKUP($K345&amp;"",SERVER!$B$3:$B$1009&amp;"",SERVER!$I$3:$I$1009,""),""))</f>
        <v/>
      </c>
      <c r="M345" t="str" cm="1">
        <f t="array" ref="M345">IF($K345="","",_xlfn.SWITCH($I345,"Computer",_xlfn.XLOOKUP($K345&amp;"",COMPUTER!$B$3:$B$1009&amp;"",COMPUTER!$J$3:$J$1009,""),"Display",_xlfn.XLOOKUP($K345&amp;"",DISPLAY!$B$3:$B$1000&amp;"",DISPLAY!$K$3:$K$1000,""),"Network Device",_xlfn.XLOOKUP($K345&amp;"",'NETWORK-DEVICES'!$B$3:$B$987&amp;"",'NETWORK-DEVICES'!$I$3:$I$987,""),"Peripheral",_xlfn.XLOOKUP($K345&amp;"",PERIPHERAL!$B$3:$B$954&amp;"",PERIPHERAL!$J$3:$J$954,""),"Utilities",_xlfn.XLOOKUP($K345&amp;"",UTILITIES!$B$3:$B$953&amp;"",UTILITIES!$I$3:$I$953,""),"IOT",_xlfn.XLOOKUP($K345&amp;"",IOT!$B$3:$B$1012&amp;"",IOT!$J$3:$J$1012,""),"Server",_xlfn.XLOOKUP($K345&amp;"",SERVER!$B$3:$B$1009&amp;"",SERVER!$J$3:$J$1009,""),""))</f>
        <v/>
      </c>
      <c r="N345" s="1" t="str" cm="1">
        <f t="array" ref="N345">IF(OR($K345="",$I345="",$J345=""),"",_xlfn.LET(_xlpm.srcCat,_xlfn.SWITCH($I345,"Computer",_xlfn.XLOOKUP($K345&amp;"",COMPUTER!$B$3:$B$1009&amp;"",COMPUTER!$H$3:$H$1009,""),"Display",_xlfn.XLOOKUP($K345&amp;"",DISPLAY!$B$3:$B$1000&amp;"",DISPLAY!$H$3:$H$1000,""),"Network Device",_xlfn.XLOOKUP($K345&amp;"",'NETWORK-DEVICES'!$B$3:$B$987&amp;"",'NETWORK-DEVICES'!$H$3:$H$987,""),"Peripheral",_xlfn.XLOOKUP($K345&amp;"",PERIPHERAL!$B$3:$B$954&amp;"",PERIPHERAL!$H$3:$H$954,""),"Utilities",_xlfn.XLOOKUP($K345&amp;"",UTILITIES!$B$3:$B$953&amp;"",UTILITIES!$G$3:$G$953,""),"IOT",_xlfn.XLOOKUP($K345&amp;"",IOT!$B$3:$B$1012&amp;"",IOT!$H$3:$H$1012,""),"Server",_xlfn.XLOOKUP($K345&amp;"",SERVER!$B$3:$B$1009&amp;"",SERVER!$H$3:$H$1009,""),""),IF(TRIM(_xlpm.srcCat)&lt;&gt;TRIM($J345),"",_xlfn.SWITCH($I345,"Computer",_xlfn.XLOOKUP($K345&amp;"",COMPUTER!$B$3:$B$1009&amp;"",COMPUTER!$K$3:$K$1009,""),"Display",_xlfn.XLOOKUP($K345&amp;"",DISPLAY!$B$3:$B$1000&amp;"",DISPLAY!$L$3:$L$1000,""),"Network Device",_xlfn.XLOOKUP($K345&amp;"",'NETWORK-DEVICES'!$B$3:$B$987&amp;"",'NETWORK-DEVICES'!$K$3:$K$987,""),"Peripheral",_xlfn.XLOOKUP($K345&amp;"",PERIPHERAL!$B$3:$B$954&amp;"",PERIPHERAL!$K$3:$K$954,""),"Utilities",_xlfn.XLOOKUP($K345&amp;"",UTILITIES!$B$3:$B$953&amp;"",UTILITIES!$J$3:$J$953,""),"IOT",_xlfn.XLOOKUP($K345&amp;"",IOT!$B$3:$B$1012&amp;"",IOT!$K$4:$K$1012,""),"Server",_xlfn.XLOOKUP($K345&amp;"",SERVER!$B$3:$B$1009&amp;"",SERVER!$K$3:$K$1009,""),""))))</f>
        <v/>
      </c>
      <c r="O345" s="1" t="str" cm="1">
        <f t="array" ref="O345">IF(OR($K345="",$I345="",$J345=""),"",_xlfn.LET(_xlpm.srcCat,_xlfn.SWITCH($I345,"Computer",_xlfn.XLOOKUP($K345&amp;"",COMPUTER!$B$3:$B$1009&amp;"",COMPUTER!$H$3:$H$1009,""),"Display",_xlfn.XLOOKUP($K345&amp;"",DISPLAY!$B$3:$B$1000&amp;"",DISPLAY!$H$3:$H$1000,""),"Network Device",_xlfn.XLOOKUP($K345&amp;"",'NETWORK-DEVICES'!$B$3:$B$987&amp;"",'NETWORK-DEVICES'!$H$3:$H$987,""),"Peripheral",_xlfn.XLOOKUP($K345&amp;"",PERIPHERAL!$B$3:$B$954&amp;"",PERIPHERAL!$H$3:$H$954,""),"Utilities",_xlfn.XLOOKUP($K345&amp;"",UTILITIES!$B$3:$B$953&amp;"",UTILITIES!$G$3:$G$953,""),"IOT",_xlfn.XLOOKUP($K345&amp;"",IOT!$B$3:$B$1012&amp;"",IOT!$H$3:$H$1012,""),"Server",_xlfn.XLOOKUP($K345&amp;"",SERVER!$B$3:$B$1009&amp;"",SERVER!$H$3:$H$1009,""),""),IF(TRIM(_xlpm.srcCat)&lt;&gt;TRIM($J345),"",_xlfn.SWITCH($I345,"Computer",_xlfn.XLOOKUP($K345&amp;"",COMPUTER!$B$3:$B$1009&amp;"",COMPUTER!$E$3:$E$1009,""),"Display",_xlfn.XLOOKUP($K345&amp;"",DISPLAY!$B$3:$B$1000&amp;"",DISPLAY!$E$3:$E$1000,""),"Network Device",_xlfn.XLOOKUP($K345&amp;"",'NETWORK-DEVICES'!$B$3:$B$987&amp;"",'NETWORK-DEVICES'!$E$3:$E$987,""),"Peripheral",_xlfn.XLOOKUP($K345&amp;"",PERIPHERAL!$B$3:$B$954&amp;"",PERIPHERAL!$E$3:$E$954,""),"Utilities",_xlfn.XLOOKUP($K345&amp;"",UTILITIES!$B$3:$B$953&amp;"",UTILITIES!$E$3:$E$953,""),"IOT",_xlfn.XLOOKUP($K345&amp;"",IOT!$B$3:$B$1012&amp;"",IOT!$E$3:$E$1012,""),"Server",_xlfn.XLOOKUP($K345&amp;"",SERVER!$B$3:$B$1009&amp;"",SERVER!$E$3:$E$1009,""),""))))</f>
        <v/>
      </c>
      <c r="Q345" s="1" t="str" cm="1">
        <f t="array" ref="Q345">IF(OR($K345="",$I345="",$J345=""),"",_xlfn.LET(_xlpm.srcCat,_xlfn.SWITCH($I345,"Computer",_xlfn.XLOOKUP($K345&amp;"",COMPUTER!$B$3:$B$1009&amp;"",COMPUTER!$H$3:$H$1009,""),"Display",_xlfn.XLOOKUP($K345&amp;"",DISPLAY!$B$3:$B$1000&amp;"",DISPLAY!$H$3:$H$1000,""),"Network Device",_xlfn.XLOOKUP($K345&amp;"",'NETWORK-DEVICES'!$B$3:$B$987&amp;"",'NETWORK-DEVICES'!$H$3:$H$987,""),"Peripheral",_xlfn.XLOOKUP($K345&amp;"",PERIPHERAL!$B$3:$B$954&amp;"",PERIPHERAL!$H$3:$H$954,""),"Utilities",_xlfn.XLOOKUP($K345&amp;"",UTILITIES!$B$3:$B$953&amp;"",UTILITIES!$G$3:$G$953,""),"IOT",_xlfn.XLOOKUP($K345&amp;"",IOT!$B$3:$B$1012&amp;"",IOT!$H$3:$H$1012,""),"Server",_xlfn.XLOOKUP($K345&amp;"",SERVER!$B$3:$B$1009&amp;"",SERVER!$H$3:$H$1009,""),""),IF(TRIM(_xlpm.srcCat)&lt;&gt;TRIM($J345),"",_xlfn.SWITCH($I345,"Computer",_xlfn.XLOOKUP($K345&amp;"",COMPUTER!$B$3:$B$1009&amp;"",COMPUTER!$AM$3:$AM$1009,""),"Display",_xlfn.XLOOKUP($K345&amp;"",DISPLAY!$B$3:$B$1000&amp;"",DISPLAY!$V$3:$V$1000,""),"Network Device",_xlfn.XLOOKUP($K345&amp;"",'NETWORK-DEVICES'!$B$3:$B$987&amp;"",'NETWORK-DEVICES'!$AF$3:$AF$987,""),"Peripheral",_xlfn.XLOOKUP($K345&amp;"",PERIPHERAL!$B$3:$B$954&amp;"",PERIPHERAL!$Y$3:$Y$954,""),"Utilities",_xlfn.XLOOKUP($K345&amp;"",UTILITIES!$B$3:$B$953&amp;"",UTILITIES!$O$3:$O$953,""),"IOT",_xlfn.XLOOKUP($K345&amp;"",IOT!$B$3:$B$1012&amp;"",IOT!$AB$3:$AB$1012,""),"Server",_xlfn.XLOOKUP($K345&amp;"",SERVER!$B$3:$B$1009&amp;"",SERVER!$AB$3:$AB$1009,""),""))))</f>
        <v/>
      </c>
      <c r="R345" s="43" t="str">
        <f>IF(tbl_handover[[#This Row],[Asset Code]]="","",COUNTIF(tbl_handover[Asset Code],tbl_handover[[#This Row],[Asset Code]]))</f>
        <v/>
      </c>
    </row>
    <row r="346" spans="1:18" x14ac:dyDescent="0.25">
      <c r="A346" s="43" t="str">
        <f>IF(B346&lt;&gt;"",SUBTOTAL(3,$B$1:B345),"")</f>
        <v/>
      </c>
      <c r="C346" s="74"/>
      <c r="D346" s="74"/>
      <c r="G346" s="1"/>
      <c r="K346" s="42"/>
      <c r="L346" t="str" cm="1">
        <f t="array" ref="L346">IF($K346="","",_xlfn.SWITCH($I346,"Computer",_xlfn.XLOOKUP($K346&amp;"",COMPUTER!$B$3:$B$1009&amp;"",COMPUTER!$I$3:$I$1009,""),"Display",_xlfn.XLOOKUP($K346&amp;"",DISPLAY!$B$3:$B$1000&amp;"",DISPLAY!$J$3:$J$1000,""),"Network Device",_xlfn.XLOOKUP($K346&amp;"",'NETWORK-DEVICES'!$B$3:$B$987&amp;"",'NETWORK-DEVICES'!$I$3:$I$987,""),"Peripheral",_xlfn.XLOOKUP($K346&amp;"",PERIPHERAL!$B$3:$B$954&amp;"",PERIPHERAL!$I$3:$I$954,""),"Utilities",_xlfn.XLOOKUP($K346&amp;"",UTILITIES!$B$3:$B$953&amp;"",UTILITIES!$H$3:$H$953,""),"IOT",_xlfn.XLOOKUP($K346&amp;"",IOT!$B$3:$B$1012&amp;"",IOT!$I$3:$I$1012,""),"SERVER",_xlfn.XLOOKUP($K346&amp;"",SERVER!$B$3:$B$1009&amp;"",SERVER!$I$3:$I$1009,""),""))</f>
        <v/>
      </c>
      <c r="M346" t="str" cm="1">
        <f t="array" ref="M346">IF($K346="","",_xlfn.SWITCH($I346,"Computer",_xlfn.XLOOKUP($K346&amp;"",COMPUTER!$B$3:$B$1009&amp;"",COMPUTER!$J$3:$J$1009,""),"Display",_xlfn.XLOOKUP($K346&amp;"",DISPLAY!$B$3:$B$1000&amp;"",DISPLAY!$K$3:$K$1000,""),"Network Device",_xlfn.XLOOKUP($K346&amp;"",'NETWORK-DEVICES'!$B$3:$B$987&amp;"",'NETWORK-DEVICES'!$I$3:$I$987,""),"Peripheral",_xlfn.XLOOKUP($K346&amp;"",PERIPHERAL!$B$3:$B$954&amp;"",PERIPHERAL!$J$3:$J$954,""),"Utilities",_xlfn.XLOOKUP($K346&amp;"",UTILITIES!$B$3:$B$953&amp;"",UTILITIES!$I$3:$I$953,""),"IOT",_xlfn.XLOOKUP($K346&amp;"",IOT!$B$3:$B$1012&amp;"",IOT!$J$3:$J$1012,""),"Server",_xlfn.XLOOKUP($K346&amp;"",SERVER!$B$3:$B$1009&amp;"",SERVER!$J$3:$J$1009,""),""))</f>
        <v/>
      </c>
      <c r="N346" s="1" t="str" cm="1">
        <f t="array" ref="N346">IF(OR($K346="",$I346="",$J346=""),"",_xlfn.LET(_xlpm.srcCat,_xlfn.SWITCH($I346,"Computer",_xlfn.XLOOKUP($K346&amp;"",COMPUTER!$B$3:$B$1009&amp;"",COMPUTER!$H$3:$H$1009,""),"Display",_xlfn.XLOOKUP($K346&amp;"",DISPLAY!$B$3:$B$1000&amp;"",DISPLAY!$H$3:$H$1000,""),"Network Device",_xlfn.XLOOKUP($K346&amp;"",'NETWORK-DEVICES'!$B$3:$B$987&amp;"",'NETWORK-DEVICES'!$H$3:$H$987,""),"Peripheral",_xlfn.XLOOKUP($K346&amp;"",PERIPHERAL!$B$3:$B$954&amp;"",PERIPHERAL!$H$3:$H$954,""),"Utilities",_xlfn.XLOOKUP($K346&amp;"",UTILITIES!$B$3:$B$953&amp;"",UTILITIES!$G$3:$G$953,""),"IOT",_xlfn.XLOOKUP($K346&amp;"",IOT!$B$3:$B$1012&amp;"",IOT!$H$3:$H$1012,""),"Server",_xlfn.XLOOKUP($K346&amp;"",SERVER!$B$3:$B$1009&amp;"",SERVER!$H$3:$H$1009,""),""),IF(TRIM(_xlpm.srcCat)&lt;&gt;TRIM($J346),"",_xlfn.SWITCH($I346,"Computer",_xlfn.XLOOKUP($K346&amp;"",COMPUTER!$B$3:$B$1009&amp;"",COMPUTER!$K$3:$K$1009,""),"Display",_xlfn.XLOOKUP($K346&amp;"",DISPLAY!$B$3:$B$1000&amp;"",DISPLAY!$L$3:$L$1000,""),"Network Device",_xlfn.XLOOKUP($K346&amp;"",'NETWORK-DEVICES'!$B$3:$B$987&amp;"",'NETWORK-DEVICES'!$K$3:$K$987,""),"Peripheral",_xlfn.XLOOKUP($K346&amp;"",PERIPHERAL!$B$3:$B$954&amp;"",PERIPHERAL!$K$3:$K$954,""),"Utilities",_xlfn.XLOOKUP($K346&amp;"",UTILITIES!$B$3:$B$953&amp;"",UTILITIES!$J$3:$J$953,""),"IOT",_xlfn.XLOOKUP($K346&amp;"",IOT!$B$3:$B$1012&amp;"",IOT!$K$4:$K$1012,""),"Server",_xlfn.XLOOKUP($K346&amp;"",SERVER!$B$3:$B$1009&amp;"",SERVER!$K$3:$K$1009,""),""))))</f>
        <v/>
      </c>
      <c r="O346" s="1" t="str" cm="1">
        <f t="array" ref="O346">IF(OR($K346="",$I346="",$J346=""),"",_xlfn.LET(_xlpm.srcCat,_xlfn.SWITCH($I346,"Computer",_xlfn.XLOOKUP($K346&amp;"",COMPUTER!$B$3:$B$1009&amp;"",COMPUTER!$H$3:$H$1009,""),"Display",_xlfn.XLOOKUP($K346&amp;"",DISPLAY!$B$3:$B$1000&amp;"",DISPLAY!$H$3:$H$1000,""),"Network Device",_xlfn.XLOOKUP($K346&amp;"",'NETWORK-DEVICES'!$B$3:$B$987&amp;"",'NETWORK-DEVICES'!$H$3:$H$987,""),"Peripheral",_xlfn.XLOOKUP($K346&amp;"",PERIPHERAL!$B$3:$B$954&amp;"",PERIPHERAL!$H$3:$H$954,""),"Utilities",_xlfn.XLOOKUP($K346&amp;"",UTILITIES!$B$3:$B$953&amp;"",UTILITIES!$G$3:$G$953,""),"IOT",_xlfn.XLOOKUP($K346&amp;"",IOT!$B$3:$B$1012&amp;"",IOT!$H$3:$H$1012,""),"Server",_xlfn.XLOOKUP($K346&amp;"",SERVER!$B$3:$B$1009&amp;"",SERVER!$H$3:$H$1009,""),""),IF(TRIM(_xlpm.srcCat)&lt;&gt;TRIM($J346),"",_xlfn.SWITCH($I346,"Computer",_xlfn.XLOOKUP($K346&amp;"",COMPUTER!$B$3:$B$1009&amp;"",COMPUTER!$E$3:$E$1009,""),"Display",_xlfn.XLOOKUP($K346&amp;"",DISPLAY!$B$3:$B$1000&amp;"",DISPLAY!$E$3:$E$1000,""),"Network Device",_xlfn.XLOOKUP($K346&amp;"",'NETWORK-DEVICES'!$B$3:$B$987&amp;"",'NETWORK-DEVICES'!$E$3:$E$987,""),"Peripheral",_xlfn.XLOOKUP($K346&amp;"",PERIPHERAL!$B$3:$B$954&amp;"",PERIPHERAL!$E$3:$E$954,""),"Utilities",_xlfn.XLOOKUP($K346&amp;"",UTILITIES!$B$3:$B$953&amp;"",UTILITIES!$E$3:$E$953,""),"IOT",_xlfn.XLOOKUP($K346&amp;"",IOT!$B$3:$B$1012&amp;"",IOT!$E$3:$E$1012,""),"Server",_xlfn.XLOOKUP($K346&amp;"",SERVER!$B$3:$B$1009&amp;"",SERVER!$E$3:$E$1009,""),""))))</f>
        <v/>
      </c>
      <c r="Q346" s="1" t="str" cm="1">
        <f t="array" ref="Q346">IF(OR($K346="",$I346="",$J346=""),"",_xlfn.LET(_xlpm.srcCat,_xlfn.SWITCH($I346,"Computer",_xlfn.XLOOKUP($K346&amp;"",COMPUTER!$B$3:$B$1009&amp;"",COMPUTER!$H$3:$H$1009,""),"Display",_xlfn.XLOOKUP($K346&amp;"",DISPLAY!$B$3:$B$1000&amp;"",DISPLAY!$H$3:$H$1000,""),"Network Device",_xlfn.XLOOKUP($K346&amp;"",'NETWORK-DEVICES'!$B$3:$B$987&amp;"",'NETWORK-DEVICES'!$H$3:$H$987,""),"Peripheral",_xlfn.XLOOKUP($K346&amp;"",PERIPHERAL!$B$3:$B$954&amp;"",PERIPHERAL!$H$3:$H$954,""),"Utilities",_xlfn.XLOOKUP($K346&amp;"",UTILITIES!$B$3:$B$953&amp;"",UTILITIES!$G$3:$G$953,""),"IOT",_xlfn.XLOOKUP($K346&amp;"",IOT!$B$3:$B$1012&amp;"",IOT!$H$3:$H$1012,""),"Server",_xlfn.XLOOKUP($K346&amp;"",SERVER!$B$3:$B$1009&amp;"",SERVER!$H$3:$H$1009,""),""),IF(TRIM(_xlpm.srcCat)&lt;&gt;TRIM($J346),"",_xlfn.SWITCH($I346,"Computer",_xlfn.XLOOKUP($K346&amp;"",COMPUTER!$B$3:$B$1009&amp;"",COMPUTER!$AM$3:$AM$1009,""),"Display",_xlfn.XLOOKUP($K346&amp;"",DISPLAY!$B$3:$B$1000&amp;"",DISPLAY!$V$3:$V$1000,""),"Network Device",_xlfn.XLOOKUP($K346&amp;"",'NETWORK-DEVICES'!$B$3:$B$987&amp;"",'NETWORK-DEVICES'!$AF$3:$AF$987,""),"Peripheral",_xlfn.XLOOKUP($K346&amp;"",PERIPHERAL!$B$3:$B$954&amp;"",PERIPHERAL!$Y$3:$Y$954,""),"Utilities",_xlfn.XLOOKUP($K346&amp;"",UTILITIES!$B$3:$B$953&amp;"",UTILITIES!$O$3:$O$953,""),"IOT",_xlfn.XLOOKUP($K346&amp;"",IOT!$B$3:$B$1012&amp;"",IOT!$AB$3:$AB$1012,""),"Server",_xlfn.XLOOKUP($K346&amp;"",SERVER!$B$3:$B$1009&amp;"",SERVER!$AB$3:$AB$1009,""),""))))</f>
        <v/>
      </c>
      <c r="R346" s="43" t="str">
        <f>IF(tbl_handover[[#This Row],[Asset Code]]="","",COUNTIF(tbl_handover[Asset Code],tbl_handover[[#This Row],[Asset Code]]))</f>
        <v/>
      </c>
    </row>
    <row r="347" spans="1:18" x14ac:dyDescent="0.25">
      <c r="A347" s="43" t="str">
        <f>IF(B347&lt;&gt;"",SUBTOTAL(3,$B$1:B346),"")</f>
        <v/>
      </c>
      <c r="C347" s="74"/>
      <c r="D347" s="74"/>
      <c r="G347" s="1"/>
      <c r="K347" s="42"/>
      <c r="L347" t="str" cm="1">
        <f t="array" ref="L347">IF($K347="","",_xlfn.SWITCH($I347,"Computer",_xlfn.XLOOKUP($K347&amp;"",COMPUTER!$B$3:$B$1009&amp;"",COMPUTER!$I$3:$I$1009,""),"Display",_xlfn.XLOOKUP($K347&amp;"",DISPLAY!$B$3:$B$1000&amp;"",DISPLAY!$J$3:$J$1000,""),"Network Device",_xlfn.XLOOKUP($K347&amp;"",'NETWORK-DEVICES'!$B$3:$B$987&amp;"",'NETWORK-DEVICES'!$I$3:$I$987,""),"Peripheral",_xlfn.XLOOKUP($K347&amp;"",PERIPHERAL!$B$3:$B$954&amp;"",PERIPHERAL!$I$3:$I$954,""),"Utilities",_xlfn.XLOOKUP($K347&amp;"",UTILITIES!$B$3:$B$953&amp;"",UTILITIES!$H$3:$H$953,""),"IOT",_xlfn.XLOOKUP($K347&amp;"",IOT!$B$3:$B$1012&amp;"",IOT!$I$3:$I$1012,""),"SERVER",_xlfn.XLOOKUP($K347&amp;"",SERVER!$B$3:$B$1009&amp;"",SERVER!$I$3:$I$1009,""),""))</f>
        <v/>
      </c>
      <c r="M347" t="str" cm="1">
        <f t="array" ref="M347">IF($K347="","",_xlfn.SWITCH($I347,"Computer",_xlfn.XLOOKUP($K347&amp;"",COMPUTER!$B$3:$B$1009&amp;"",COMPUTER!$J$3:$J$1009,""),"Display",_xlfn.XLOOKUP($K347&amp;"",DISPLAY!$B$3:$B$1000&amp;"",DISPLAY!$K$3:$K$1000,""),"Network Device",_xlfn.XLOOKUP($K347&amp;"",'NETWORK-DEVICES'!$B$3:$B$987&amp;"",'NETWORK-DEVICES'!$I$3:$I$987,""),"Peripheral",_xlfn.XLOOKUP($K347&amp;"",PERIPHERAL!$B$3:$B$954&amp;"",PERIPHERAL!$J$3:$J$954,""),"Utilities",_xlfn.XLOOKUP($K347&amp;"",UTILITIES!$B$3:$B$953&amp;"",UTILITIES!$I$3:$I$953,""),"IOT",_xlfn.XLOOKUP($K347&amp;"",IOT!$B$3:$B$1012&amp;"",IOT!$J$3:$J$1012,""),"Server",_xlfn.XLOOKUP($K347&amp;"",SERVER!$B$3:$B$1009&amp;"",SERVER!$J$3:$J$1009,""),""))</f>
        <v/>
      </c>
      <c r="N347" s="1" t="str" cm="1">
        <f t="array" ref="N347">IF(OR($K347="",$I347="",$J347=""),"",_xlfn.LET(_xlpm.srcCat,_xlfn.SWITCH($I347,"Computer",_xlfn.XLOOKUP($K347&amp;"",COMPUTER!$B$3:$B$1009&amp;"",COMPUTER!$H$3:$H$1009,""),"Display",_xlfn.XLOOKUP($K347&amp;"",DISPLAY!$B$3:$B$1000&amp;"",DISPLAY!$H$3:$H$1000,""),"Network Device",_xlfn.XLOOKUP($K347&amp;"",'NETWORK-DEVICES'!$B$3:$B$987&amp;"",'NETWORK-DEVICES'!$H$3:$H$987,""),"Peripheral",_xlfn.XLOOKUP($K347&amp;"",PERIPHERAL!$B$3:$B$954&amp;"",PERIPHERAL!$H$3:$H$954,""),"Utilities",_xlfn.XLOOKUP($K347&amp;"",UTILITIES!$B$3:$B$953&amp;"",UTILITIES!$G$3:$G$953,""),"IOT",_xlfn.XLOOKUP($K347&amp;"",IOT!$B$3:$B$1012&amp;"",IOT!$H$3:$H$1012,""),"Server",_xlfn.XLOOKUP($K347&amp;"",SERVER!$B$3:$B$1009&amp;"",SERVER!$H$3:$H$1009,""),""),IF(TRIM(_xlpm.srcCat)&lt;&gt;TRIM($J347),"",_xlfn.SWITCH($I347,"Computer",_xlfn.XLOOKUP($K347&amp;"",COMPUTER!$B$3:$B$1009&amp;"",COMPUTER!$K$3:$K$1009,""),"Display",_xlfn.XLOOKUP($K347&amp;"",DISPLAY!$B$3:$B$1000&amp;"",DISPLAY!$L$3:$L$1000,""),"Network Device",_xlfn.XLOOKUP($K347&amp;"",'NETWORK-DEVICES'!$B$3:$B$987&amp;"",'NETWORK-DEVICES'!$K$3:$K$987,""),"Peripheral",_xlfn.XLOOKUP($K347&amp;"",PERIPHERAL!$B$3:$B$954&amp;"",PERIPHERAL!$K$3:$K$954,""),"Utilities",_xlfn.XLOOKUP($K347&amp;"",UTILITIES!$B$3:$B$953&amp;"",UTILITIES!$J$3:$J$953,""),"IOT",_xlfn.XLOOKUP($K347&amp;"",IOT!$B$3:$B$1012&amp;"",IOT!$K$4:$K$1012,""),"Server",_xlfn.XLOOKUP($K347&amp;"",SERVER!$B$3:$B$1009&amp;"",SERVER!$K$3:$K$1009,""),""))))</f>
        <v/>
      </c>
      <c r="O347" s="1" t="str" cm="1">
        <f t="array" ref="O347">IF(OR($K347="",$I347="",$J347=""),"",_xlfn.LET(_xlpm.srcCat,_xlfn.SWITCH($I347,"Computer",_xlfn.XLOOKUP($K347&amp;"",COMPUTER!$B$3:$B$1009&amp;"",COMPUTER!$H$3:$H$1009,""),"Display",_xlfn.XLOOKUP($K347&amp;"",DISPLAY!$B$3:$B$1000&amp;"",DISPLAY!$H$3:$H$1000,""),"Network Device",_xlfn.XLOOKUP($K347&amp;"",'NETWORK-DEVICES'!$B$3:$B$987&amp;"",'NETWORK-DEVICES'!$H$3:$H$987,""),"Peripheral",_xlfn.XLOOKUP($K347&amp;"",PERIPHERAL!$B$3:$B$954&amp;"",PERIPHERAL!$H$3:$H$954,""),"Utilities",_xlfn.XLOOKUP($K347&amp;"",UTILITIES!$B$3:$B$953&amp;"",UTILITIES!$G$3:$G$953,""),"IOT",_xlfn.XLOOKUP($K347&amp;"",IOT!$B$3:$B$1012&amp;"",IOT!$H$3:$H$1012,""),"Server",_xlfn.XLOOKUP($K347&amp;"",SERVER!$B$3:$B$1009&amp;"",SERVER!$H$3:$H$1009,""),""),IF(TRIM(_xlpm.srcCat)&lt;&gt;TRIM($J347),"",_xlfn.SWITCH($I347,"Computer",_xlfn.XLOOKUP($K347&amp;"",COMPUTER!$B$3:$B$1009&amp;"",COMPUTER!$E$3:$E$1009,""),"Display",_xlfn.XLOOKUP($K347&amp;"",DISPLAY!$B$3:$B$1000&amp;"",DISPLAY!$E$3:$E$1000,""),"Network Device",_xlfn.XLOOKUP($K347&amp;"",'NETWORK-DEVICES'!$B$3:$B$987&amp;"",'NETWORK-DEVICES'!$E$3:$E$987,""),"Peripheral",_xlfn.XLOOKUP($K347&amp;"",PERIPHERAL!$B$3:$B$954&amp;"",PERIPHERAL!$E$3:$E$954,""),"Utilities",_xlfn.XLOOKUP($K347&amp;"",UTILITIES!$B$3:$B$953&amp;"",UTILITIES!$E$3:$E$953,""),"IOT",_xlfn.XLOOKUP($K347&amp;"",IOT!$B$3:$B$1012&amp;"",IOT!$E$3:$E$1012,""),"Server",_xlfn.XLOOKUP($K347&amp;"",SERVER!$B$3:$B$1009&amp;"",SERVER!$E$3:$E$1009,""),""))))</f>
        <v/>
      </c>
      <c r="Q347" s="1" t="str" cm="1">
        <f t="array" ref="Q347">IF(OR($K347="",$I347="",$J347=""),"",_xlfn.LET(_xlpm.srcCat,_xlfn.SWITCH($I347,"Computer",_xlfn.XLOOKUP($K347&amp;"",COMPUTER!$B$3:$B$1009&amp;"",COMPUTER!$H$3:$H$1009,""),"Display",_xlfn.XLOOKUP($K347&amp;"",DISPLAY!$B$3:$B$1000&amp;"",DISPLAY!$H$3:$H$1000,""),"Network Device",_xlfn.XLOOKUP($K347&amp;"",'NETWORK-DEVICES'!$B$3:$B$987&amp;"",'NETWORK-DEVICES'!$H$3:$H$987,""),"Peripheral",_xlfn.XLOOKUP($K347&amp;"",PERIPHERAL!$B$3:$B$954&amp;"",PERIPHERAL!$H$3:$H$954,""),"Utilities",_xlfn.XLOOKUP($K347&amp;"",UTILITIES!$B$3:$B$953&amp;"",UTILITIES!$G$3:$G$953,""),"IOT",_xlfn.XLOOKUP($K347&amp;"",IOT!$B$3:$B$1012&amp;"",IOT!$H$3:$H$1012,""),"Server",_xlfn.XLOOKUP($K347&amp;"",SERVER!$B$3:$B$1009&amp;"",SERVER!$H$3:$H$1009,""),""),IF(TRIM(_xlpm.srcCat)&lt;&gt;TRIM($J347),"",_xlfn.SWITCH($I347,"Computer",_xlfn.XLOOKUP($K347&amp;"",COMPUTER!$B$3:$B$1009&amp;"",COMPUTER!$AM$3:$AM$1009,""),"Display",_xlfn.XLOOKUP($K347&amp;"",DISPLAY!$B$3:$B$1000&amp;"",DISPLAY!$V$3:$V$1000,""),"Network Device",_xlfn.XLOOKUP($K347&amp;"",'NETWORK-DEVICES'!$B$3:$B$987&amp;"",'NETWORK-DEVICES'!$AF$3:$AF$987,""),"Peripheral",_xlfn.XLOOKUP($K347&amp;"",PERIPHERAL!$B$3:$B$954&amp;"",PERIPHERAL!$Y$3:$Y$954,""),"Utilities",_xlfn.XLOOKUP($K347&amp;"",UTILITIES!$B$3:$B$953&amp;"",UTILITIES!$O$3:$O$953,""),"IOT",_xlfn.XLOOKUP($K347&amp;"",IOT!$B$3:$B$1012&amp;"",IOT!$AB$3:$AB$1012,""),"Server",_xlfn.XLOOKUP($K347&amp;"",SERVER!$B$3:$B$1009&amp;"",SERVER!$AB$3:$AB$1009,""),""))))</f>
        <v/>
      </c>
      <c r="R347" s="43" t="str">
        <f>IF(tbl_handover[[#This Row],[Asset Code]]="","",COUNTIF(tbl_handover[Asset Code],tbl_handover[[#This Row],[Asset Code]]))</f>
        <v/>
      </c>
    </row>
    <row r="348" spans="1:18" x14ac:dyDescent="0.25">
      <c r="A348" s="43" t="str">
        <f>IF(B348&lt;&gt;"",SUBTOTAL(3,$B$1:B347),"")</f>
        <v/>
      </c>
      <c r="C348" s="74"/>
      <c r="D348" s="74"/>
      <c r="G348" s="1"/>
      <c r="K348" s="42"/>
      <c r="L348" t="str" cm="1">
        <f t="array" ref="L348">IF($K348="","",_xlfn.SWITCH($I348,"Computer",_xlfn.XLOOKUP($K348&amp;"",COMPUTER!$B$3:$B$1009&amp;"",COMPUTER!$I$3:$I$1009,""),"Display",_xlfn.XLOOKUP($K348&amp;"",DISPLAY!$B$3:$B$1000&amp;"",DISPLAY!$J$3:$J$1000,""),"Network Device",_xlfn.XLOOKUP($K348&amp;"",'NETWORK-DEVICES'!$B$3:$B$987&amp;"",'NETWORK-DEVICES'!$I$3:$I$987,""),"Peripheral",_xlfn.XLOOKUP($K348&amp;"",PERIPHERAL!$B$3:$B$954&amp;"",PERIPHERAL!$I$3:$I$954,""),"Utilities",_xlfn.XLOOKUP($K348&amp;"",UTILITIES!$B$3:$B$953&amp;"",UTILITIES!$H$3:$H$953,""),"IOT",_xlfn.XLOOKUP($K348&amp;"",IOT!$B$3:$B$1012&amp;"",IOT!$I$3:$I$1012,""),"SERVER",_xlfn.XLOOKUP($K348&amp;"",SERVER!$B$3:$B$1009&amp;"",SERVER!$I$3:$I$1009,""),""))</f>
        <v/>
      </c>
      <c r="M348" t="str" cm="1">
        <f t="array" ref="M348">IF($K348="","",_xlfn.SWITCH($I348,"Computer",_xlfn.XLOOKUP($K348&amp;"",COMPUTER!$B$3:$B$1009&amp;"",COMPUTER!$J$3:$J$1009,""),"Display",_xlfn.XLOOKUP($K348&amp;"",DISPLAY!$B$3:$B$1000&amp;"",DISPLAY!$K$3:$K$1000,""),"Network Device",_xlfn.XLOOKUP($K348&amp;"",'NETWORK-DEVICES'!$B$3:$B$987&amp;"",'NETWORK-DEVICES'!$I$3:$I$987,""),"Peripheral",_xlfn.XLOOKUP($K348&amp;"",PERIPHERAL!$B$3:$B$954&amp;"",PERIPHERAL!$J$3:$J$954,""),"Utilities",_xlfn.XLOOKUP($K348&amp;"",UTILITIES!$B$3:$B$953&amp;"",UTILITIES!$I$3:$I$953,""),"IOT",_xlfn.XLOOKUP($K348&amp;"",IOT!$B$3:$B$1012&amp;"",IOT!$J$3:$J$1012,""),"Server",_xlfn.XLOOKUP($K348&amp;"",SERVER!$B$3:$B$1009&amp;"",SERVER!$J$3:$J$1009,""),""))</f>
        <v/>
      </c>
      <c r="N348" s="1" t="str" cm="1">
        <f t="array" ref="N348">IF(OR($K348="",$I348="",$J348=""),"",_xlfn.LET(_xlpm.srcCat,_xlfn.SWITCH($I348,"Computer",_xlfn.XLOOKUP($K348&amp;"",COMPUTER!$B$3:$B$1009&amp;"",COMPUTER!$H$3:$H$1009,""),"Display",_xlfn.XLOOKUP($K348&amp;"",DISPLAY!$B$3:$B$1000&amp;"",DISPLAY!$H$3:$H$1000,""),"Network Device",_xlfn.XLOOKUP($K348&amp;"",'NETWORK-DEVICES'!$B$3:$B$987&amp;"",'NETWORK-DEVICES'!$H$3:$H$987,""),"Peripheral",_xlfn.XLOOKUP($K348&amp;"",PERIPHERAL!$B$3:$B$954&amp;"",PERIPHERAL!$H$3:$H$954,""),"Utilities",_xlfn.XLOOKUP($K348&amp;"",UTILITIES!$B$3:$B$953&amp;"",UTILITIES!$G$3:$G$953,""),"IOT",_xlfn.XLOOKUP($K348&amp;"",IOT!$B$3:$B$1012&amp;"",IOT!$H$3:$H$1012,""),"Server",_xlfn.XLOOKUP($K348&amp;"",SERVER!$B$3:$B$1009&amp;"",SERVER!$H$3:$H$1009,""),""),IF(TRIM(_xlpm.srcCat)&lt;&gt;TRIM($J348),"",_xlfn.SWITCH($I348,"Computer",_xlfn.XLOOKUP($K348&amp;"",COMPUTER!$B$3:$B$1009&amp;"",COMPUTER!$K$3:$K$1009,""),"Display",_xlfn.XLOOKUP($K348&amp;"",DISPLAY!$B$3:$B$1000&amp;"",DISPLAY!$L$3:$L$1000,""),"Network Device",_xlfn.XLOOKUP($K348&amp;"",'NETWORK-DEVICES'!$B$3:$B$987&amp;"",'NETWORK-DEVICES'!$K$3:$K$987,""),"Peripheral",_xlfn.XLOOKUP($K348&amp;"",PERIPHERAL!$B$3:$B$954&amp;"",PERIPHERAL!$K$3:$K$954,""),"Utilities",_xlfn.XLOOKUP($K348&amp;"",UTILITIES!$B$3:$B$953&amp;"",UTILITIES!$J$3:$J$953,""),"IOT",_xlfn.XLOOKUP($K348&amp;"",IOT!$B$3:$B$1012&amp;"",IOT!$K$4:$K$1012,""),"Server",_xlfn.XLOOKUP($K348&amp;"",SERVER!$B$3:$B$1009&amp;"",SERVER!$K$3:$K$1009,""),""))))</f>
        <v/>
      </c>
      <c r="O348" s="1" t="str" cm="1">
        <f t="array" ref="O348">IF(OR($K348="",$I348="",$J348=""),"",_xlfn.LET(_xlpm.srcCat,_xlfn.SWITCH($I348,"Computer",_xlfn.XLOOKUP($K348&amp;"",COMPUTER!$B$3:$B$1009&amp;"",COMPUTER!$H$3:$H$1009,""),"Display",_xlfn.XLOOKUP($K348&amp;"",DISPLAY!$B$3:$B$1000&amp;"",DISPLAY!$H$3:$H$1000,""),"Network Device",_xlfn.XLOOKUP($K348&amp;"",'NETWORK-DEVICES'!$B$3:$B$987&amp;"",'NETWORK-DEVICES'!$H$3:$H$987,""),"Peripheral",_xlfn.XLOOKUP($K348&amp;"",PERIPHERAL!$B$3:$B$954&amp;"",PERIPHERAL!$H$3:$H$954,""),"Utilities",_xlfn.XLOOKUP($K348&amp;"",UTILITIES!$B$3:$B$953&amp;"",UTILITIES!$G$3:$G$953,""),"IOT",_xlfn.XLOOKUP($K348&amp;"",IOT!$B$3:$B$1012&amp;"",IOT!$H$3:$H$1012,""),"Server",_xlfn.XLOOKUP($K348&amp;"",SERVER!$B$3:$B$1009&amp;"",SERVER!$H$3:$H$1009,""),""),IF(TRIM(_xlpm.srcCat)&lt;&gt;TRIM($J348),"",_xlfn.SWITCH($I348,"Computer",_xlfn.XLOOKUP($K348&amp;"",COMPUTER!$B$3:$B$1009&amp;"",COMPUTER!$E$3:$E$1009,""),"Display",_xlfn.XLOOKUP($K348&amp;"",DISPLAY!$B$3:$B$1000&amp;"",DISPLAY!$E$3:$E$1000,""),"Network Device",_xlfn.XLOOKUP($K348&amp;"",'NETWORK-DEVICES'!$B$3:$B$987&amp;"",'NETWORK-DEVICES'!$E$3:$E$987,""),"Peripheral",_xlfn.XLOOKUP($K348&amp;"",PERIPHERAL!$B$3:$B$954&amp;"",PERIPHERAL!$E$3:$E$954,""),"Utilities",_xlfn.XLOOKUP($K348&amp;"",UTILITIES!$B$3:$B$953&amp;"",UTILITIES!$E$3:$E$953,""),"IOT",_xlfn.XLOOKUP($K348&amp;"",IOT!$B$3:$B$1012&amp;"",IOT!$E$3:$E$1012,""),"Server",_xlfn.XLOOKUP($K348&amp;"",SERVER!$B$3:$B$1009&amp;"",SERVER!$E$3:$E$1009,""),""))))</f>
        <v/>
      </c>
      <c r="Q348" s="1" t="str" cm="1">
        <f t="array" ref="Q348">IF(OR($K348="",$I348="",$J348=""),"",_xlfn.LET(_xlpm.srcCat,_xlfn.SWITCH($I348,"Computer",_xlfn.XLOOKUP($K348&amp;"",COMPUTER!$B$3:$B$1009&amp;"",COMPUTER!$H$3:$H$1009,""),"Display",_xlfn.XLOOKUP($K348&amp;"",DISPLAY!$B$3:$B$1000&amp;"",DISPLAY!$H$3:$H$1000,""),"Network Device",_xlfn.XLOOKUP($K348&amp;"",'NETWORK-DEVICES'!$B$3:$B$987&amp;"",'NETWORK-DEVICES'!$H$3:$H$987,""),"Peripheral",_xlfn.XLOOKUP($K348&amp;"",PERIPHERAL!$B$3:$B$954&amp;"",PERIPHERAL!$H$3:$H$954,""),"Utilities",_xlfn.XLOOKUP($K348&amp;"",UTILITIES!$B$3:$B$953&amp;"",UTILITIES!$G$3:$G$953,""),"IOT",_xlfn.XLOOKUP($K348&amp;"",IOT!$B$3:$B$1012&amp;"",IOT!$H$3:$H$1012,""),"Server",_xlfn.XLOOKUP($K348&amp;"",SERVER!$B$3:$B$1009&amp;"",SERVER!$H$3:$H$1009,""),""),IF(TRIM(_xlpm.srcCat)&lt;&gt;TRIM($J348),"",_xlfn.SWITCH($I348,"Computer",_xlfn.XLOOKUP($K348&amp;"",COMPUTER!$B$3:$B$1009&amp;"",COMPUTER!$AM$3:$AM$1009,""),"Display",_xlfn.XLOOKUP($K348&amp;"",DISPLAY!$B$3:$B$1000&amp;"",DISPLAY!$V$3:$V$1000,""),"Network Device",_xlfn.XLOOKUP($K348&amp;"",'NETWORK-DEVICES'!$B$3:$B$987&amp;"",'NETWORK-DEVICES'!$AF$3:$AF$987,""),"Peripheral",_xlfn.XLOOKUP($K348&amp;"",PERIPHERAL!$B$3:$B$954&amp;"",PERIPHERAL!$Y$3:$Y$954,""),"Utilities",_xlfn.XLOOKUP($K348&amp;"",UTILITIES!$B$3:$B$953&amp;"",UTILITIES!$O$3:$O$953,""),"IOT",_xlfn.XLOOKUP($K348&amp;"",IOT!$B$3:$B$1012&amp;"",IOT!$AB$3:$AB$1012,""),"Server",_xlfn.XLOOKUP($K348&amp;"",SERVER!$B$3:$B$1009&amp;"",SERVER!$AB$3:$AB$1009,""),""))))</f>
        <v/>
      </c>
      <c r="R348" s="43" t="str">
        <f>IF(tbl_handover[[#This Row],[Asset Code]]="","",COUNTIF(tbl_handover[Asset Code],tbl_handover[[#This Row],[Asset Code]]))</f>
        <v/>
      </c>
    </row>
    <row r="349" spans="1:18" x14ac:dyDescent="0.25">
      <c r="A349" s="43" t="str">
        <f>IF(B349&lt;&gt;"",SUBTOTAL(3,$B$1:B348),"")</f>
        <v/>
      </c>
      <c r="C349" s="74"/>
      <c r="D349" s="74"/>
      <c r="G349" s="1"/>
      <c r="K349" s="42"/>
      <c r="L349" t="str" cm="1">
        <f t="array" ref="L349">IF($K349="","",_xlfn.SWITCH($I349,"Computer",_xlfn.XLOOKUP($K349&amp;"",COMPUTER!$B$3:$B$1009&amp;"",COMPUTER!$I$3:$I$1009,""),"Display",_xlfn.XLOOKUP($K349&amp;"",DISPLAY!$B$3:$B$1000&amp;"",DISPLAY!$J$3:$J$1000,""),"Network Device",_xlfn.XLOOKUP($K349&amp;"",'NETWORK-DEVICES'!$B$3:$B$987&amp;"",'NETWORK-DEVICES'!$I$3:$I$987,""),"Peripheral",_xlfn.XLOOKUP($K349&amp;"",PERIPHERAL!$B$3:$B$954&amp;"",PERIPHERAL!$I$3:$I$954,""),"Utilities",_xlfn.XLOOKUP($K349&amp;"",UTILITIES!$B$3:$B$953&amp;"",UTILITIES!$H$3:$H$953,""),"IOT",_xlfn.XLOOKUP($K349&amp;"",IOT!$B$3:$B$1012&amp;"",IOT!$I$3:$I$1012,""),"SERVER",_xlfn.XLOOKUP($K349&amp;"",SERVER!$B$3:$B$1009&amp;"",SERVER!$I$3:$I$1009,""),""))</f>
        <v/>
      </c>
      <c r="M349" t="str" cm="1">
        <f t="array" ref="M349">IF($K349="","",_xlfn.SWITCH($I349,"Computer",_xlfn.XLOOKUP($K349&amp;"",COMPUTER!$B$3:$B$1009&amp;"",COMPUTER!$J$3:$J$1009,""),"Display",_xlfn.XLOOKUP($K349&amp;"",DISPLAY!$B$3:$B$1000&amp;"",DISPLAY!$K$3:$K$1000,""),"Network Device",_xlfn.XLOOKUP($K349&amp;"",'NETWORK-DEVICES'!$B$3:$B$987&amp;"",'NETWORK-DEVICES'!$I$3:$I$987,""),"Peripheral",_xlfn.XLOOKUP($K349&amp;"",PERIPHERAL!$B$3:$B$954&amp;"",PERIPHERAL!$J$3:$J$954,""),"Utilities",_xlfn.XLOOKUP($K349&amp;"",UTILITIES!$B$3:$B$953&amp;"",UTILITIES!$I$3:$I$953,""),"IOT",_xlfn.XLOOKUP($K349&amp;"",IOT!$B$3:$B$1012&amp;"",IOT!$J$3:$J$1012,""),"Server",_xlfn.XLOOKUP($K349&amp;"",SERVER!$B$3:$B$1009&amp;"",SERVER!$J$3:$J$1009,""),""))</f>
        <v/>
      </c>
      <c r="N349" s="1" t="str" cm="1">
        <f t="array" ref="N349">IF(OR($K349="",$I349="",$J349=""),"",_xlfn.LET(_xlpm.srcCat,_xlfn.SWITCH($I349,"Computer",_xlfn.XLOOKUP($K349&amp;"",COMPUTER!$B$3:$B$1009&amp;"",COMPUTER!$H$3:$H$1009,""),"Display",_xlfn.XLOOKUP($K349&amp;"",DISPLAY!$B$3:$B$1000&amp;"",DISPLAY!$H$3:$H$1000,""),"Network Device",_xlfn.XLOOKUP($K349&amp;"",'NETWORK-DEVICES'!$B$3:$B$987&amp;"",'NETWORK-DEVICES'!$H$3:$H$987,""),"Peripheral",_xlfn.XLOOKUP($K349&amp;"",PERIPHERAL!$B$3:$B$954&amp;"",PERIPHERAL!$H$3:$H$954,""),"Utilities",_xlfn.XLOOKUP($K349&amp;"",UTILITIES!$B$3:$B$953&amp;"",UTILITIES!$G$3:$G$953,""),"IOT",_xlfn.XLOOKUP($K349&amp;"",IOT!$B$3:$B$1012&amp;"",IOT!$H$3:$H$1012,""),"Server",_xlfn.XLOOKUP($K349&amp;"",SERVER!$B$3:$B$1009&amp;"",SERVER!$H$3:$H$1009,""),""),IF(TRIM(_xlpm.srcCat)&lt;&gt;TRIM($J349),"",_xlfn.SWITCH($I349,"Computer",_xlfn.XLOOKUP($K349&amp;"",COMPUTER!$B$3:$B$1009&amp;"",COMPUTER!$K$3:$K$1009,""),"Display",_xlfn.XLOOKUP($K349&amp;"",DISPLAY!$B$3:$B$1000&amp;"",DISPLAY!$L$3:$L$1000,""),"Network Device",_xlfn.XLOOKUP($K349&amp;"",'NETWORK-DEVICES'!$B$3:$B$987&amp;"",'NETWORK-DEVICES'!$K$3:$K$987,""),"Peripheral",_xlfn.XLOOKUP($K349&amp;"",PERIPHERAL!$B$3:$B$954&amp;"",PERIPHERAL!$K$3:$K$954,""),"Utilities",_xlfn.XLOOKUP($K349&amp;"",UTILITIES!$B$3:$B$953&amp;"",UTILITIES!$J$3:$J$953,""),"IOT",_xlfn.XLOOKUP($K349&amp;"",IOT!$B$3:$B$1012&amp;"",IOT!$K$4:$K$1012,""),"Server",_xlfn.XLOOKUP($K349&amp;"",SERVER!$B$3:$B$1009&amp;"",SERVER!$K$3:$K$1009,""),""))))</f>
        <v/>
      </c>
      <c r="O349" s="1" t="str" cm="1">
        <f t="array" ref="O349">IF(OR($K349="",$I349="",$J349=""),"",_xlfn.LET(_xlpm.srcCat,_xlfn.SWITCH($I349,"Computer",_xlfn.XLOOKUP($K349&amp;"",COMPUTER!$B$3:$B$1009&amp;"",COMPUTER!$H$3:$H$1009,""),"Display",_xlfn.XLOOKUP($K349&amp;"",DISPLAY!$B$3:$B$1000&amp;"",DISPLAY!$H$3:$H$1000,""),"Network Device",_xlfn.XLOOKUP($K349&amp;"",'NETWORK-DEVICES'!$B$3:$B$987&amp;"",'NETWORK-DEVICES'!$H$3:$H$987,""),"Peripheral",_xlfn.XLOOKUP($K349&amp;"",PERIPHERAL!$B$3:$B$954&amp;"",PERIPHERAL!$H$3:$H$954,""),"Utilities",_xlfn.XLOOKUP($K349&amp;"",UTILITIES!$B$3:$B$953&amp;"",UTILITIES!$G$3:$G$953,""),"IOT",_xlfn.XLOOKUP($K349&amp;"",IOT!$B$3:$B$1012&amp;"",IOT!$H$3:$H$1012,""),"Server",_xlfn.XLOOKUP($K349&amp;"",SERVER!$B$3:$B$1009&amp;"",SERVER!$H$3:$H$1009,""),""),IF(TRIM(_xlpm.srcCat)&lt;&gt;TRIM($J349),"",_xlfn.SWITCH($I349,"Computer",_xlfn.XLOOKUP($K349&amp;"",COMPUTER!$B$3:$B$1009&amp;"",COMPUTER!$E$3:$E$1009,""),"Display",_xlfn.XLOOKUP($K349&amp;"",DISPLAY!$B$3:$B$1000&amp;"",DISPLAY!$E$3:$E$1000,""),"Network Device",_xlfn.XLOOKUP($K349&amp;"",'NETWORK-DEVICES'!$B$3:$B$987&amp;"",'NETWORK-DEVICES'!$E$3:$E$987,""),"Peripheral",_xlfn.XLOOKUP($K349&amp;"",PERIPHERAL!$B$3:$B$954&amp;"",PERIPHERAL!$E$3:$E$954,""),"Utilities",_xlfn.XLOOKUP($K349&amp;"",UTILITIES!$B$3:$B$953&amp;"",UTILITIES!$E$3:$E$953,""),"IOT",_xlfn.XLOOKUP($K349&amp;"",IOT!$B$3:$B$1012&amp;"",IOT!$E$3:$E$1012,""),"Server",_xlfn.XLOOKUP($K349&amp;"",SERVER!$B$3:$B$1009&amp;"",SERVER!$E$3:$E$1009,""),""))))</f>
        <v/>
      </c>
      <c r="Q349" s="1" t="str" cm="1">
        <f t="array" ref="Q349">IF(OR($K349="",$I349="",$J349=""),"",_xlfn.LET(_xlpm.srcCat,_xlfn.SWITCH($I349,"Computer",_xlfn.XLOOKUP($K349&amp;"",COMPUTER!$B$3:$B$1009&amp;"",COMPUTER!$H$3:$H$1009,""),"Display",_xlfn.XLOOKUP($K349&amp;"",DISPLAY!$B$3:$B$1000&amp;"",DISPLAY!$H$3:$H$1000,""),"Network Device",_xlfn.XLOOKUP($K349&amp;"",'NETWORK-DEVICES'!$B$3:$B$987&amp;"",'NETWORK-DEVICES'!$H$3:$H$987,""),"Peripheral",_xlfn.XLOOKUP($K349&amp;"",PERIPHERAL!$B$3:$B$954&amp;"",PERIPHERAL!$H$3:$H$954,""),"Utilities",_xlfn.XLOOKUP($K349&amp;"",UTILITIES!$B$3:$B$953&amp;"",UTILITIES!$G$3:$G$953,""),"IOT",_xlfn.XLOOKUP($K349&amp;"",IOT!$B$3:$B$1012&amp;"",IOT!$H$3:$H$1012,""),"Server",_xlfn.XLOOKUP($K349&amp;"",SERVER!$B$3:$B$1009&amp;"",SERVER!$H$3:$H$1009,""),""),IF(TRIM(_xlpm.srcCat)&lt;&gt;TRIM($J349),"",_xlfn.SWITCH($I349,"Computer",_xlfn.XLOOKUP($K349&amp;"",COMPUTER!$B$3:$B$1009&amp;"",COMPUTER!$AM$3:$AM$1009,""),"Display",_xlfn.XLOOKUP($K349&amp;"",DISPLAY!$B$3:$B$1000&amp;"",DISPLAY!$V$3:$V$1000,""),"Network Device",_xlfn.XLOOKUP($K349&amp;"",'NETWORK-DEVICES'!$B$3:$B$987&amp;"",'NETWORK-DEVICES'!$AF$3:$AF$987,""),"Peripheral",_xlfn.XLOOKUP($K349&amp;"",PERIPHERAL!$B$3:$B$954&amp;"",PERIPHERAL!$Y$3:$Y$954,""),"Utilities",_xlfn.XLOOKUP($K349&amp;"",UTILITIES!$B$3:$B$953&amp;"",UTILITIES!$O$3:$O$953,""),"IOT",_xlfn.XLOOKUP($K349&amp;"",IOT!$B$3:$B$1012&amp;"",IOT!$AB$3:$AB$1012,""),"Server",_xlfn.XLOOKUP($K349&amp;"",SERVER!$B$3:$B$1009&amp;"",SERVER!$AB$3:$AB$1009,""),""))))</f>
        <v/>
      </c>
      <c r="R349" s="43" t="str">
        <f>IF(tbl_handover[[#This Row],[Asset Code]]="","",COUNTIF(tbl_handover[Asset Code],tbl_handover[[#This Row],[Asset Code]]))</f>
        <v/>
      </c>
    </row>
    <row r="350" spans="1:18" x14ac:dyDescent="0.25">
      <c r="A350" s="43" t="str">
        <f>IF(B350&lt;&gt;"",SUBTOTAL(3,$B$1:B349),"")</f>
        <v/>
      </c>
      <c r="C350" s="74"/>
      <c r="D350" s="74"/>
      <c r="G350" s="1"/>
      <c r="K350" s="42"/>
      <c r="L350" t="str" cm="1">
        <f t="array" ref="L350">IF($K350="","",_xlfn.SWITCH($I350,"Computer",_xlfn.XLOOKUP($K350&amp;"",COMPUTER!$B$3:$B$1009&amp;"",COMPUTER!$I$3:$I$1009,""),"Display",_xlfn.XLOOKUP($K350&amp;"",DISPLAY!$B$3:$B$1000&amp;"",DISPLAY!$J$3:$J$1000,""),"Network Device",_xlfn.XLOOKUP($K350&amp;"",'NETWORK-DEVICES'!$B$3:$B$987&amp;"",'NETWORK-DEVICES'!$I$3:$I$987,""),"Peripheral",_xlfn.XLOOKUP($K350&amp;"",PERIPHERAL!$B$3:$B$954&amp;"",PERIPHERAL!$I$3:$I$954,""),"Utilities",_xlfn.XLOOKUP($K350&amp;"",UTILITIES!$B$3:$B$953&amp;"",UTILITIES!$H$3:$H$953,""),"IOT",_xlfn.XLOOKUP($K350&amp;"",IOT!$B$3:$B$1012&amp;"",IOT!$I$3:$I$1012,""),"SERVER",_xlfn.XLOOKUP($K350&amp;"",SERVER!$B$3:$B$1009&amp;"",SERVER!$I$3:$I$1009,""),""))</f>
        <v/>
      </c>
      <c r="M350" t="str" cm="1">
        <f t="array" ref="M350">IF($K350="","",_xlfn.SWITCH($I350,"Computer",_xlfn.XLOOKUP($K350&amp;"",COMPUTER!$B$3:$B$1009&amp;"",COMPUTER!$J$3:$J$1009,""),"Display",_xlfn.XLOOKUP($K350&amp;"",DISPLAY!$B$3:$B$1000&amp;"",DISPLAY!$K$3:$K$1000,""),"Network Device",_xlfn.XLOOKUP($K350&amp;"",'NETWORK-DEVICES'!$B$3:$B$987&amp;"",'NETWORK-DEVICES'!$I$3:$I$987,""),"Peripheral",_xlfn.XLOOKUP($K350&amp;"",PERIPHERAL!$B$3:$B$954&amp;"",PERIPHERAL!$J$3:$J$954,""),"Utilities",_xlfn.XLOOKUP($K350&amp;"",UTILITIES!$B$3:$B$953&amp;"",UTILITIES!$I$3:$I$953,""),"IOT",_xlfn.XLOOKUP($K350&amp;"",IOT!$B$3:$B$1012&amp;"",IOT!$J$3:$J$1012,""),"Server",_xlfn.XLOOKUP($K350&amp;"",SERVER!$B$3:$B$1009&amp;"",SERVER!$J$3:$J$1009,""),""))</f>
        <v/>
      </c>
      <c r="N350" s="1" t="str" cm="1">
        <f t="array" ref="N350">IF(OR($K350="",$I350="",$J350=""),"",_xlfn.LET(_xlpm.srcCat,_xlfn.SWITCH($I350,"Computer",_xlfn.XLOOKUP($K350&amp;"",COMPUTER!$B$3:$B$1009&amp;"",COMPUTER!$H$3:$H$1009,""),"Display",_xlfn.XLOOKUP($K350&amp;"",DISPLAY!$B$3:$B$1000&amp;"",DISPLAY!$H$3:$H$1000,""),"Network Device",_xlfn.XLOOKUP($K350&amp;"",'NETWORK-DEVICES'!$B$3:$B$987&amp;"",'NETWORK-DEVICES'!$H$3:$H$987,""),"Peripheral",_xlfn.XLOOKUP($K350&amp;"",PERIPHERAL!$B$3:$B$954&amp;"",PERIPHERAL!$H$3:$H$954,""),"Utilities",_xlfn.XLOOKUP($K350&amp;"",UTILITIES!$B$3:$B$953&amp;"",UTILITIES!$G$3:$G$953,""),"IOT",_xlfn.XLOOKUP($K350&amp;"",IOT!$B$3:$B$1012&amp;"",IOT!$H$3:$H$1012,""),"Server",_xlfn.XLOOKUP($K350&amp;"",SERVER!$B$3:$B$1009&amp;"",SERVER!$H$3:$H$1009,""),""),IF(TRIM(_xlpm.srcCat)&lt;&gt;TRIM($J350),"",_xlfn.SWITCH($I350,"Computer",_xlfn.XLOOKUP($K350&amp;"",COMPUTER!$B$3:$B$1009&amp;"",COMPUTER!$K$3:$K$1009,""),"Display",_xlfn.XLOOKUP($K350&amp;"",DISPLAY!$B$3:$B$1000&amp;"",DISPLAY!$L$3:$L$1000,""),"Network Device",_xlfn.XLOOKUP($K350&amp;"",'NETWORK-DEVICES'!$B$3:$B$987&amp;"",'NETWORK-DEVICES'!$K$3:$K$987,""),"Peripheral",_xlfn.XLOOKUP($K350&amp;"",PERIPHERAL!$B$3:$B$954&amp;"",PERIPHERAL!$K$3:$K$954,""),"Utilities",_xlfn.XLOOKUP($K350&amp;"",UTILITIES!$B$3:$B$953&amp;"",UTILITIES!$J$3:$J$953,""),"IOT",_xlfn.XLOOKUP($K350&amp;"",IOT!$B$3:$B$1012&amp;"",IOT!$K$4:$K$1012,""),"Server",_xlfn.XLOOKUP($K350&amp;"",SERVER!$B$3:$B$1009&amp;"",SERVER!$K$3:$K$1009,""),""))))</f>
        <v/>
      </c>
      <c r="O350" s="1" t="str" cm="1">
        <f t="array" ref="O350">IF(OR($K350="",$I350="",$J350=""),"",_xlfn.LET(_xlpm.srcCat,_xlfn.SWITCH($I350,"Computer",_xlfn.XLOOKUP($K350&amp;"",COMPUTER!$B$3:$B$1009&amp;"",COMPUTER!$H$3:$H$1009,""),"Display",_xlfn.XLOOKUP($K350&amp;"",DISPLAY!$B$3:$B$1000&amp;"",DISPLAY!$H$3:$H$1000,""),"Network Device",_xlfn.XLOOKUP($K350&amp;"",'NETWORK-DEVICES'!$B$3:$B$987&amp;"",'NETWORK-DEVICES'!$H$3:$H$987,""),"Peripheral",_xlfn.XLOOKUP($K350&amp;"",PERIPHERAL!$B$3:$B$954&amp;"",PERIPHERAL!$H$3:$H$954,""),"Utilities",_xlfn.XLOOKUP($K350&amp;"",UTILITIES!$B$3:$B$953&amp;"",UTILITIES!$G$3:$G$953,""),"IOT",_xlfn.XLOOKUP($K350&amp;"",IOT!$B$3:$B$1012&amp;"",IOT!$H$3:$H$1012,""),"Server",_xlfn.XLOOKUP($K350&amp;"",SERVER!$B$3:$B$1009&amp;"",SERVER!$H$3:$H$1009,""),""),IF(TRIM(_xlpm.srcCat)&lt;&gt;TRIM($J350),"",_xlfn.SWITCH($I350,"Computer",_xlfn.XLOOKUP($K350&amp;"",COMPUTER!$B$3:$B$1009&amp;"",COMPUTER!$E$3:$E$1009,""),"Display",_xlfn.XLOOKUP($K350&amp;"",DISPLAY!$B$3:$B$1000&amp;"",DISPLAY!$E$3:$E$1000,""),"Network Device",_xlfn.XLOOKUP($K350&amp;"",'NETWORK-DEVICES'!$B$3:$B$987&amp;"",'NETWORK-DEVICES'!$E$3:$E$987,""),"Peripheral",_xlfn.XLOOKUP($K350&amp;"",PERIPHERAL!$B$3:$B$954&amp;"",PERIPHERAL!$E$3:$E$954,""),"Utilities",_xlfn.XLOOKUP($K350&amp;"",UTILITIES!$B$3:$B$953&amp;"",UTILITIES!$E$3:$E$953,""),"IOT",_xlfn.XLOOKUP($K350&amp;"",IOT!$B$3:$B$1012&amp;"",IOT!$E$3:$E$1012,""),"Server",_xlfn.XLOOKUP($K350&amp;"",SERVER!$B$3:$B$1009&amp;"",SERVER!$E$3:$E$1009,""),""))))</f>
        <v/>
      </c>
      <c r="Q350" s="1" t="str" cm="1">
        <f t="array" ref="Q350">IF(OR($K350="",$I350="",$J350=""),"",_xlfn.LET(_xlpm.srcCat,_xlfn.SWITCH($I350,"Computer",_xlfn.XLOOKUP($K350&amp;"",COMPUTER!$B$3:$B$1009&amp;"",COMPUTER!$H$3:$H$1009,""),"Display",_xlfn.XLOOKUP($K350&amp;"",DISPLAY!$B$3:$B$1000&amp;"",DISPLAY!$H$3:$H$1000,""),"Network Device",_xlfn.XLOOKUP($K350&amp;"",'NETWORK-DEVICES'!$B$3:$B$987&amp;"",'NETWORK-DEVICES'!$H$3:$H$987,""),"Peripheral",_xlfn.XLOOKUP($K350&amp;"",PERIPHERAL!$B$3:$B$954&amp;"",PERIPHERAL!$H$3:$H$954,""),"Utilities",_xlfn.XLOOKUP($K350&amp;"",UTILITIES!$B$3:$B$953&amp;"",UTILITIES!$G$3:$G$953,""),"IOT",_xlfn.XLOOKUP($K350&amp;"",IOT!$B$3:$B$1012&amp;"",IOT!$H$3:$H$1012,""),"Server",_xlfn.XLOOKUP($K350&amp;"",SERVER!$B$3:$B$1009&amp;"",SERVER!$H$3:$H$1009,""),""),IF(TRIM(_xlpm.srcCat)&lt;&gt;TRIM($J350),"",_xlfn.SWITCH($I350,"Computer",_xlfn.XLOOKUP($K350&amp;"",COMPUTER!$B$3:$B$1009&amp;"",COMPUTER!$AM$3:$AM$1009,""),"Display",_xlfn.XLOOKUP($K350&amp;"",DISPLAY!$B$3:$B$1000&amp;"",DISPLAY!$V$3:$V$1000,""),"Network Device",_xlfn.XLOOKUP($K350&amp;"",'NETWORK-DEVICES'!$B$3:$B$987&amp;"",'NETWORK-DEVICES'!$AF$3:$AF$987,""),"Peripheral",_xlfn.XLOOKUP($K350&amp;"",PERIPHERAL!$B$3:$B$954&amp;"",PERIPHERAL!$Y$3:$Y$954,""),"Utilities",_xlfn.XLOOKUP($K350&amp;"",UTILITIES!$B$3:$B$953&amp;"",UTILITIES!$O$3:$O$953,""),"IOT",_xlfn.XLOOKUP($K350&amp;"",IOT!$B$3:$B$1012&amp;"",IOT!$AB$3:$AB$1012,""),"Server",_xlfn.XLOOKUP($K350&amp;"",SERVER!$B$3:$B$1009&amp;"",SERVER!$AB$3:$AB$1009,""),""))))</f>
        <v/>
      </c>
      <c r="R350" s="43" t="str">
        <f>IF(tbl_handover[[#This Row],[Asset Code]]="","",COUNTIF(tbl_handover[Asset Code],tbl_handover[[#This Row],[Asset Code]]))</f>
        <v/>
      </c>
    </row>
    <row r="351" spans="1:18" x14ac:dyDescent="0.25">
      <c r="A351" s="43" t="str">
        <f>IF(B351&lt;&gt;"",SUBTOTAL(3,$B$1:B350),"")</f>
        <v/>
      </c>
      <c r="C351" s="74"/>
      <c r="D351" s="74"/>
      <c r="G351" s="1"/>
      <c r="K351" s="42"/>
      <c r="L351" t="str" cm="1">
        <f t="array" ref="L351">IF($K351="","",_xlfn.SWITCH($I351,"Computer",_xlfn.XLOOKUP($K351&amp;"",COMPUTER!$B$3:$B$1009&amp;"",COMPUTER!$I$3:$I$1009,""),"Display",_xlfn.XLOOKUP($K351&amp;"",DISPLAY!$B$3:$B$1000&amp;"",DISPLAY!$J$3:$J$1000,""),"Network Device",_xlfn.XLOOKUP($K351&amp;"",'NETWORK-DEVICES'!$B$3:$B$987&amp;"",'NETWORK-DEVICES'!$I$3:$I$987,""),"Peripheral",_xlfn.XLOOKUP($K351&amp;"",PERIPHERAL!$B$3:$B$954&amp;"",PERIPHERAL!$I$3:$I$954,""),"Utilities",_xlfn.XLOOKUP($K351&amp;"",UTILITIES!$B$3:$B$953&amp;"",UTILITIES!$H$3:$H$953,""),"IOT",_xlfn.XLOOKUP($K351&amp;"",IOT!$B$3:$B$1012&amp;"",IOT!$I$3:$I$1012,""),"SERVER",_xlfn.XLOOKUP($K351&amp;"",SERVER!$B$3:$B$1009&amp;"",SERVER!$I$3:$I$1009,""),""))</f>
        <v/>
      </c>
      <c r="M351" t="str" cm="1">
        <f t="array" ref="M351">IF($K351="","",_xlfn.SWITCH($I351,"Computer",_xlfn.XLOOKUP($K351&amp;"",COMPUTER!$B$3:$B$1009&amp;"",COMPUTER!$J$3:$J$1009,""),"Display",_xlfn.XLOOKUP($K351&amp;"",DISPLAY!$B$3:$B$1000&amp;"",DISPLAY!$K$3:$K$1000,""),"Network Device",_xlfn.XLOOKUP($K351&amp;"",'NETWORK-DEVICES'!$B$3:$B$987&amp;"",'NETWORK-DEVICES'!$I$3:$I$987,""),"Peripheral",_xlfn.XLOOKUP($K351&amp;"",PERIPHERAL!$B$3:$B$954&amp;"",PERIPHERAL!$J$3:$J$954,""),"Utilities",_xlfn.XLOOKUP($K351&amp;"",UTILITIES!$B$3:$B$953&amp;"",UTILITIES!$I$3:$I$953,""),"IOT",_xlfn.XLOOKUP($K351&amp;"",IOT!$B$3:$B$1012&amp;"",IOT!$J$3:$J$1012,""),"Server",_xlfn.XLOOKUP($K351&amp;"",SERVER!$B$3:$B$1009&amp;"",SERVER!$J$3:$J$1009,""),""))</f>
        <v/>
      </c>
      <c r="N351" s="1" t="str" cm="1">
        <f t="array" ref="N351">IF(OR($K351="",$I351="",$J351=""),"",_xlfn.LET(_xlpm.srcCat,_xlfn.SWITCH($I351,"Computer",_xlfn.XLOOKUP($K351&amp;"",COMPUTER!$B$3:$B$1009&amp;"",COMPUTER!$H$3:$H$1009,""),"Display",_xlfn.XLOOKUP($K351&amp;"",DISPLAY!$B$3:$B$1000&amp;"",DISPLAY!$H$3:$H$1000,""),"Network Device",_xlfn.XLOOKUP($K351&amp;"",'NETWORK-DEVICES'!$B$3:$B$987&amp;"",'NETWORK-DEVICES'!$H$3:$H$987,""),"Peripheral",_xlfn.XLOOKUP($K351&amp;"",PERIPHERAL!$B$3:$B$954&amp;"",PERIPHERAL!$H$3:$H$954,""),"Utilities",_xlfn.XLOOKUP($K351&amp;"",UTILITIES!$B$3:$B$953&amp;"",UTILITIES!$G$3:$G$953,""),"IOT",_xlfn.XLOOKUP($K351&amp;"",IOT!$B$3:$B$1012&amp;"",IOT!$H$3:$H$1012,""),"Server",_xlfn.XLOOKUP($K351&amp;"",SERVER!$B$3:$B$1009&amp;"",SERVER!$H$3:$H$1009,""),""),IF(TRIM(_xlpm.srcCat)&lt;&gt;TRIM($J351),"",_xlfn.SWITCH($I351,"Computer",_xlfn.XLOOKUP($K351&amp;"",COMPUTER!$B$3:$B$1009&amp;"",COMPUTER!$K$3:$K$1009,""),"Display",_xlfn.XLOOKUP($K351&amp;"",DISPLAY!$B$3:$B$1000&amp;"",DISPLAY!$L$3:$L$1000,""),"Network Device",_xlfn.XLOOKUP($K351&amp;"",'NETWORK-DEVICES'!$B$3:$B$987&amp;"",'NETWORK-DEVICES'!$K$3:$K$987,""),"Peripheral",_xlfn.XLOOKUP($K351&amp;"",PERIPHERAL!$B$3:$B$954&amp;"",PERIPHERAL!$K$3:$K$954,""),"Utilities",_xlfn.XLOOKUP($K351&amp;"",UTILITIES!$B$3:$B$953&amp;"",UTILITIES!$J$3:$J$953,""),"IOT",_xlfn.XLOOKUP($K351&amp;"",IOT!$B$3:$B$1012&amp;"",IOT!$K$4:$K$1012,""),"Server",_xlfn.XLOOKUP($K351&amp;"",SERVER!$B$3:$B$1009&amp;"",SERVER!$K$3:$K$1009,""),""))))</f>
        <v/>
      </c>
      <c r="O351" s="1" t="str" cm="1">
        <f t="array" ref="O351">IF(OR($K351="",$I351="",$J351=""),"",_xlfn.LET(_xlpm.srcCat,_xlfn.SWITCH($I351,"Computer",_xlfn.XLOOKUP($K351&amp;"",COMPUTER!$B$3:$B$1009&amp;"",COMPUTER!$H$3:$H$1009,""),"Display",_xlfn.XLOOKUP($K351&amp;"",DISPLAY!$B$3:$B$1000&amp;"",DISPLAY!$H$3:$H$1000,""),"Network Device",_xlfn.XLOOKUP($K351&amp;"",'NETWORK-DEVICES'!$B$3:$B$987&amp;"",'NETWORK-DEVICES'!$H$3:$H$987,""),"Peripheral",_xlfn.XLOOKUP($K351&amp;"",PERIPHERAL!$B$3:$B$954&amp;"",PERIPHERAL!$H$3:$H$954,""),"Utilities",_xlfn.XLOOKUP($K351&amp;"",UTILITIES!$B$3:$B$953&amp;"",UTILITIES!$G$3:$G$953,""),"IOT",_xlfn.XLOOKUP($K351&amp;"",IOT!$B$3:$B$1012&amp;"",IOT!$H$3:$H$1012,""),"Server",_xlfn.XLOOKUP($K351&amp;"",SERVER!$B$3:$B$1009&amp;"",SERVER!$H$3:$H$1009,""),""),IF(TRIM(_xlpm.srcCat)&lt;&gt;TRIM($J351),"",_xlfn.SWITCH($I351,"Computer",_xlfn.XLOOKUP($K351&amp;"",COMPUTER!$B$3:$B$1009&amp;"",COMPUTER!$E$3:$E$1009,""),"Display",_xlfn.XLOOKUP($K351&amp;"",DISPLAY!$B$3:$B$1000&amp;"",DISPLAY!$E$3:$E$1000,""),"Network Device",_xlfn.XLOOKUP($K351&amp;"",'NETWORK-DEVICES'!$B$3:$B$987&amp;"",'NETWORK-DEVICES'!$E$3:$E$987,""),"Peripheral",_xlfn.XLOOKUP($K351&amp;"",PERIPHERAL!$B$3:$B$954&amp;"",PERIPHERAL!$E$3:$E$954,""),"Utilities",_xlfn.XLOOKUP($K351&amp;"",UTILITIES!$B$3:$B$953&amp;"",UTILITIES!$E$3:$E$953,""),"IOT",_xlfn.XLOOKUP($K351&amp;"",IOT!$B$3:$B$1012&amp;"",IOT!$E$3:$E$1012,""),"Server",_xlfn.XLOOKUP($K351&amp;"",SERVER!$B$3:$B$1009&amp;"",SERVER!$E$3:$E$1009,""),""))))</f>
        <v/>
      </c>
      <c r="Q351" s="1" t="str" cm="1">
        <f t="array" ref="Q351">IF(OR($K351="",$I351="",$J351=""),"",_xlfn.LET(_xlpm.srcCat,_xlfn.SWITCH($I351,"Computer",_xlfn.XLOOKUP($K351&amp;"",COMPUTER!$B$3:$B$1009&amp;"",COMPUTER!$H$3:$H$1009,""),"Display",_xlfn.XLOOKUP($K351&amp;"",DISPLAY!$B$3:$B$1000&amp;"",DISPLAY!$H$3:$H$1000,""),"Network Device",_xlfn.XLOOKUP($K351&amp;"",'NETWORK-DEVICES'!$B$3:$B$987&amp;"",'NETWORK-DEVICES'!$H$3:$H$987,""),"Peripheral",_xlfn.XLOOKUP($K351&amp;"",PERIPHERAL!$B$3:$B$954&amp;"",PERIPHERAL!$H$3:$H$954,""),"Utilities",_xlfn.XLOOKUP($K351&amp;"",UTILITIES!$B$3:$B$953&amp;"",UTILITIES!$G$3:$G$953,""),"IOT",_xlfn.XLOOKUP($K351&amp;"",IOT!$B$3:$B$1012&amp;"",IOT!$H$3:$H$1012,""),"Server",_xlfn.XLOOKUP($K351&amp;"",SERVER!$B$3:$B$1009&amp;"",SERVER!$H$3:$H$1009,""),""),IF(TRIM(_xlpm.srcCat)&lt;&gt;TRIM($J351),"",_xlfn.SWITCH($I351,"Computer",_xlfn.XLOOKUP($K351&amp;"",COMPUTER!$B$3:$B$1009&amp;"",COMPUTER!$AM$3:$AM$1009,""),"Display",_xlfn.XLOOKUP($K351&amp;"",DISPLAY!$B$3:$B$1000&amp;"",DISPLAY!$V$3:$V$1000,""),"Network Device",_xlfn.XLOOKUP($K351&amp;"",'NETWORK-DEVICES'!$B$3:$B$987&amp;"",'NETWORK-DEVICES'!$AF$3:$AF$987,""),"Peripheral",_xlfn.XLOOKUP($K351&amp;"",PERIPHERAL!$B$3:$B$954&amp;"",PERIPHERAL!$Y$3:$Y$954,""),"Utilities",_xlfn.XLOOKUP($K351&amp;"",UTILITIES!$B$3:$B$953&amp;"",UTILITIES!$O$3:$O$953,""),"IOT",_xlfn.XLOOKUP($K351&amp;"",IOT!$B$3:$B$1012&amp;"",IOT!$AB$3:$AB$1012,""),"Server",_xlfn.XLOOKUP($K351&amp;"",SERVER!$B$3:$B$1009&amp;"",SERVER!$AB$3:$AB$1009,""),""))))</f>
        <v/>
      </c>
      <c r="R351" s="43" t="str">
        <f>IF(tbl_handover[[#This Row],[Asset Code]]="","",COUNTIF(tbl_handover[Asset Code],tbl_handover[[#This Row],[Asset Code]]))</f>
        <v/>
      </c>
    </row>
    <row r="352" spans="1:18" x14ac:dyDescent="0.25">
      <c r="A352" s="43" t="str">
        <f>IF(B352&lt;&gt;"",SUBTOTAL(3,$B$1:B351),"")</f>
        <v/>
      </c>
      <c r="C352" s="74"/>
      <c r="D352" s="74"/>
      <c r="G352" s="1"/>
      <c r="K352" s="42"/>
      <c r="L352" t="str" cm="1">
        <f t="array" ref="L352">IF($K352="","",_xlfn.SWITCH($I352,"Computer",_xlfn.XLOOKUP($K352&amp;"",COMPUTER!$B$3:$B$1009&amp;"",COMPUTER!$I$3:$I$1009,""),"Display",_xlfn.XLOOKUP($K352&amp;"",DISPLAY!$B$3:$B$1000&amp;"",DISPLAY!$J$3:$J$1000,""),"Network Device",_xlfn.XLOOKUP($K352&amp;"",'NETWORK-DEVICES'!$B$3:$B$987&amp;"",'NETWORK-DEVICES'!$I$3:$I$987,""),"Peripheral",_xlfn.XLOOKUP($K352&amp;"",PERIPHERAL!$B$3:$B$954&amp;"",PERIPHERAL!$I$3:$I$954,""),"Utilities",_xlfn.XLOOKUP($K352&amp;"",UTILITIES!$B$3:$B$953&amp;"",UTILITIES!$H$3:$H$953,""),"IOT",_xlfn.XLOOKUP($K352&amp;"",IOT!$B$3:$B$1012&amp;"",IOT!$I$3:$I$1012,""),"SERVER",_xlfn.XLOOKUP($K352&amp;"",SERVER!$B$3:$B$1009&amp;"",SERVER!$I$3:$I$1009,""),""))</f>
        <v/>
      </c>
      <c r="M352" t="str" cm="1">
        <f t="array" ref="M352">IF($K352="","",_xlfn.SWITCH($I352,"Computer",_xlfn.XLOOKUP($K352&amp;"",COMPUTER!$B$3:$B$1009&amp;"",COMPUTER!$J$3:$J$1009,""),"Display",_xlfn.XLOOKUP($K352&amp;"",DISPLAY!$B$3:$B$1000&amp;"",DISPLAY!$K$3:$K$1000,""),"Network Device",_xlfn.XLOOKUP($K352&amp;"",'NETWORK-DEVICES'!$B$3:$B$987&amp;"",'NETWORK-DEVICES'!$I$3:$I$987,""),"Peripheral",_xlfn.XLOOKUP($K352&amp;"",PERIPHERAL!$B$3:$B$954&amp;"",PERIPHERAL!$J$3:$J$954,""),"Utilities",_xlfn.XLOOKUP($K352&amp;"",UTILITIES!$B$3:$B$953&amp;"",UTILITIES!$I$3:$I$953,""),"IOT",_xlfn.XLOOKUP($K352&amp;"",IOT!$B$3:$B$1012&amp;"",IOT!$J$3:$J$1012,""),"Server",_xlfn.XLOOKUP($K352&amp;"",SERVER!$B$3:$B$1009&amp;"",SERVER!$J$3:$J$1009,""),""))</f>
        <v/>
      </c>
      <c r="N352" s="1" t="str" cm="1">
        <f t="array" ref="N352">IF(OR($K352="",$I352="",$J352=""),"",_xlfn.LET(_xlpm.srcCat,_xlfn.SWITCH($I352,"Computer",_xlfn.XLOOKUP($K352&amp;"",COMPUTER!$B$3:$B$1009&amp;"",COMPUTER!$H$3:$H$1009,""),"Display",_xlfn.XLOOKUP($K352&amp;"",DISPLAY!$B$3:$B$1000&amp;"",DISPLAY!$H$3:$H$1000,""),"Network Device",_xlfn.XLOOKUP($K352&amp;"",'NETWORK-DEVICES'!$B$3:$B$987&amp;"",'NETWORK-DEVICES'!$H$3:$H$987,""),"Peripheral",_xlfn.XLOOKUP($K352&amp;"",PERIPHERAL!$B$3:$B$954&amp;"",PERIPHERAL!$H$3:$H$954,""),"Utilities",_xlfn.XLOOKUP($K352&amp;"",UTILITIES!$B$3:$B$953&amp;"",UTILITIES!$G$3:$G$953,""),"IOT",_xlfn.XLOOKUP($K352&amp;"",IOT!$B$3:$B$1012&amp;"",IOT!$H$3:$H$1012,""),"Server",_xlfn.XLOOKUP($K352&amp;"",SERVER!$B$3:$B$1009&amp;"",SERVER!$H$3:$H$1009,""),""),IF(TRIM(_xlpm.srcCat)&lt;&gt;TRIM($J352),"",_xlfn.SWITCH($I352,"Computer",_xlfn.XLOOKUP($K352&amp;"",COMPUTER!$B$3:$B$1009&amp;"",COMPUTER!$K$3:$K$1009,""),"Display",_xlfn.XLOOKUP($K352&amp;"",DISPLAY!$B$3:$B$1000&amp;"",DISPLAY!$L$3:$L$1000,""),"Network Device",_xlfn.XLOOKUP($K352&amp;"",'NETWORK-DEVICES'!$B$3:$B$987&amp;"",'NETWORK-DEVICES'!$K$3:$K$987,""),"Peripheral",_xlfn.XLOOKUP($K352&amp;"",PERIPHERAL!$B$3:$B$954&amp;"",PERIPHERAL!$K$3:$K$954,""),"Utilities",_xlfn.XLOOKUP($K352&amp;"",UTILITIES!$B$3:$B$953&amp;"",UTILITIES!$J$3:$J$953,""),"IOT",_xlfn.XLOOKUP($K352&amp;"",IOT!$B$3:$B$1012&amp;"",IOT!$K$4:$K$1012,""),"Server",_xlfn.XLOOKUP($K352&amp;"",SERVER!$B$3:$B$1009&amp;"",SERVER!$K$3:$K$1009,""),""))))</f>
        <v/>
      </c>
      <c r="O352" s="1" t="str" cm="1">
        <f t="array" ref="O352">IF(OR($K352="",$I352="",$J352=""),"",_xlfn.LET(_xlpm.srcCat,_xlfn.SWITCH($I352,"Computer",_xlfn.XLOOKUP($K352&amp;"",COMPUTER!$B$3:$B$1009&amp;"",COMPUTER!$H$3:$H$1009,""),"Display",_xlfn.XLOOKUP($K352&amp;"",DISPLAY!$B$3:$B$1000&amp;"",DISPLAY!$H$3:$H$1000,""),"Network Device",_xlfn.XLOOKUP($K352&amp;"",'NETWORK-DEVICES'!$B$3:$B$987&amp;"",'NETWORK-DEVICES'!$H$3:$H$987,""),"Peripheral",_xlfn.XLOOKUP($K352&amp;"",PERIPHERAL!$B$3:$B$954&amp;"",PERIPHERAL!$H$3:$H$954,""),"Utilities",_xlfn.XLOOKUP($K352&amp;"",UTILITIES!$B$3:$B$953&amp;"",UTILITIES!$G$3:$G$953,""),"IOT",_xlfn.XLOOKUP($K352&amp;"",IOT!$B$3:$B$1012&amp;"",IOT!$H$3:$H$1012,""),"Server",_xlfn.XLOOKUP($K352&amp;"",SERVER!$B$3:$B$1009&amp;"",SERVER!$H$3:$H$1009,""),""),IF(TRIM(_xlpm.srcCat)&lt;&gt;TRIM($J352),"",_xlfn.SWITCH($I352,"Computer",_xlfn.XLOOKUP($K352&amp;"",COMPUTER!$B$3:$B$1009&amp;"",COMPUTER!$E$3:$E$1009,""),"Display",_xlfn.XLOOKUP($K352&amp;"",DISPLAY!$B$3:$B$1000&amp;"",DISPLAY!$E$3:$E$1000,""),"Network Device",_xlfn.XLOOKUP($K352&amp;"",'NETWORK-DEVICES'!$B$3:$B$987&amp;"",'NETWORK-DEVICES'!$E$3:$E$987,""),"Peripheral",_xlfn.XLOOKUP($K352&amp;"",PERIPHERAL!$B$3:$B$954&amp;"",PERIPHERAL!$E$3:$E$954,""),"Utilities",_xlfn.XLOOKUP($K352&amp;"",UTILITIES!$B$3:$B$953&amp;"",UTILITIES!$E$3:$E$953,""),"IOT",_xlfn.XLOOKUP($K352&amp;"",IOT!$B$3:$B$1012&amp;"",IOT!$E$3:$E$1012,""),"Server",_xlfn.XLOOKUP($K352&amp;"",SERVER!$B$3:$B$1009&amp;"",SERVER!$E$3:$E$1009,""),""))))</f>
        <v/>
      </c>
      <c r="Q352" s="1" t="str" cm="1">
        <f t="array" ref="Q352">IF(OR($K352="",$I352="",$J352=""),"",_xlfn.LET(_xlpm.srcCat,_xlfn.SWITCH($I352,"Computer",_xlfn.XLOOKUP($K352&amp;"",COMPUTER!$B$3:$B$1009&amp;"",COMPUTER!$H$3:$H$1009,""),"Display",_xlfn.XLOOKUP($K352&amp;"",DISPLAY!$B$3:$B$1000&amp;"",DISPLAY!$H$3:$H$1000,""),"Network Device",_xlfn.XLOOKUP($K352&amp;"",'NETWORK-DEVICES'!$B$3:$B$987&amp;"",'NETWORK-DEVICES'!$H$3:$H$987,""),"Peripheral",_xlfn.XLOOKUP($K352&amp;"",PERIPHERAL!$B$3:$B$954&amp;"",PERIPHERAL!$H$3:$H$954,""),"Utilities",_xlfn.XLOOKUP($K352&amp;"",UTILITIES!$B$3:$B$953&amp;"",UTILITIES!$G$3:$G$953,""),"IOT",_xlfn.XLOOKUP($K352&amp;"",IOT!$B$3:$B$1012&amp;"",IOT!$H$3:$H$1012,""),"Server",_xlfn.XLOOKUP($K352&amp;"",SERVER!$B$3:$B$1009&amp;"",SERVER!$H$3:$H$1009,""),""),IF(TRIM(_xlpm.srcCat)&lt;&gt;TRIM($J352),"",_xlfn.SWITCH($I352,"Computer",_xlfn.XLOOKUP($K352&amp;"",COMPUTER!$B$3:$B$1009&amp;"",COMPUTER!$AM$3:$AM$1009,""),"Display",_xlfn.XLOOKUP($K352&amp;"",DISPLAY!$B$3:$B$1000&amp;"",DISPLAY!$V$3:$V$1000,""),"Network Device",_xlfn.XLOOKUP($K352&amp;"",'NETWORK-DEVICES'!$B$3:$B$987&amp;"",'NETWORK-DEVICES'!$AF$3:$AF$987,""),"Peripheral",_xlfn.XLOOKUP($K352&amp;"",PERIPHERAL!$B$3:$B$954&amp;"",PERIPHERAL!$Y$3:$Y$954,""),"Utilities",_xlfn.XLOOKUP($K352&amp;"",UTILITIES!$B$3:$B$953&amp;"",UTILITIES!$O$3:$O$953,""),"IOT",_xlfn.XLOOKUP($K352&amp;"",IOT!$B$3:$B$1012&amp;"",IOT!$AB$3:$AB$1012,""),"Server",_xlfn.XLOOKUP($K352&amp;"",SERVER!$B$3:$B$1009&amp;"",SERVER!$AB$3:$AB$1009,""),""))))</f>
        <v/>
      </c>
      <c r="R352" s="43" t="str">
        <f>IF(tbl_handover[[#This Row],[Asset Code]]="","",COUNTIF(tbl_handover[Asset Code],tbl_handover[[#This Row],[Asset Code]]))</f>
        <v/>
      </c>
    </row>
    <row r="353" spans="1:18" x14ac:dyDescent="0.25">
      <c r="A353" s="43" t="str">
        <f>IF(B353&lt;&gt;"",SUBTOTAL(3,$B$1:B352),"")</f>
        <v/>
      </c>
      <c r="C353" s="74"/>
      <c r="D353" s="74"/>
      <c r="G353" s="1"/>
      <c r="K353" s="42"/>
      <c r="L353" t="str" cm="1">
        <f t="array" ref="L353">IF($K353="","",_xlfn.SWITCH($I353,"Computer",_xlfn.XLOOKUP($K353&amp;"",COMPUTER!$B$3:$B$1009&amp;"",COMPUTER!$I$3:$I$1009,""),"Display",_xlfn.XLOOKUP($K353&amp;"",DISPLAY!$B$3:$B$1000&amp;"",DISPLAY!$J$3:$J$1000,""),"Network Device",_xlfn.XLOOKUP($K353&amp;"",'NETWORK-DEVICES'!$B$3:$B$987&amp;"",'NETWORK-DEVICES'!$I$3:$I$987,""),"Peripheral",_xlfn.XLOOKUP($K353&amp;"",PERIPHERAL!$B$3:$B$954&amp;"",PERIPHERAL!$I$3:$I$954,""),"Utilities",_xlfn.XLOOKUP($K353&amp;"",UTILITIES!$B$3:$B$953&amp;"",UTILITIES!$H$3:$H$953,""),"IOT",_xlfn.XLOOKUP($K353&amp;"",IOT!$B$3:$B$1012&amp;"",IOT!$I$3:$I$1012,""),"SERVER",_xlfn.XLOOKUP($K353&amp;"",SERVER!$B$3:$B$1009&amp;"",SERVER!$I$3:$I$1009,""),""))</f>
        <v/>
      </c>
      <c r="M353" t="str" cm="1">
        <f t="array" ref="M353">IF($K353="","",_xlfn.SWITCH($I353,"Computer",_xlfn.XLOOKUP($K353&amp;"",COMPUTER!$B$3:$B$1009&amp;"",COMPUTER!$J$3:$J$1009,""),"Display",_xlfn.XLOOKUP($K353&amp;"",DISPLAY!$B$3:$B$1000&amp;"",DISPLAY!$K$3:$K$1000,""),"Network Device",_xlfn.XLOOKUP($K353&amp;"",'NETWORK-DEVICES'!$B$3:$B$987&amp;"",'NETWORK-DEVICES'!$I$3:$I$987,""),"Peripheral",_xlfn.XLOOKUP($K353&amp;"",PERIPHERAL!$B$3:$B$954&amp;"",PERIPHERAL!$J$3:$J$954,""),"Utilities",_xlfn.XLOOKUP($K353&amp;"",UTILITIES!$B$3:$B$953&amp;"",UTILITIES!$I$3:$I$953,""),"IOT",_xlfn.XLOOKUP($K353&amp;"",IOT!$B$3:$B$1012&amp;"",IOT!$J$3:$J$1012,""),"Server",_xlfn.XLOOKUP($K353&amp;"",SERVER!$B$3:$B$1009&amp;"",SERVER!$J$3:$J$1009,""),""))</f>
        <v/>
      </c>
      <c r="N353" s="1" t="str" cm="1">
        <f t="array" ref="N353">IF(OR($K353="",$I353="",$J353=""),"",_xlfn.LET(_xlpm.srcCat,_xlfn.SWITCH($I353,"Computer",_xlfn.XLOOKUP($K353&amp;"",COMPUTER!$B$3:$B$1009&amp;"",COMPUTER!$H$3:$H$1009,""),"Display",_xlfn.XLOOKUP($K353&amp;"",DISPLAY!$B$3:$B$1000&amp;"",DISPLAY!$H$3:$H$1000,""),"Network Device",_xlfn.XLOOKUP($K353&amp;"",'NETWORK-DEVICES'!$B$3:$B$987&amp;"",'NETWORK-DEVICES'!$H$3:$H$987,""),"Peripheral",_xlfn.XLOOKUP($K353&amp;"",PERIPHERAL!$B$3:$B$954&amp;"",PERIPHERAL!$H$3:$H$954,""),"Utilities",_xlfn.XLOOKUP($K353&amp;"",UTILITIES!$B$3:$B$953&amp;"",UTILITIES!$G$3:$G$953,""),"IOT",_xlfn.XLOOKUP($K353&amp;"",IOT!$B$3:$B$1012&amp;"",IOT!$H$3:$H$1012,""),"Server",_xlfn.XLOOKUP($K353&amp;"",SERVER!$B$3:$B$1009&amp;"",SERVER!$H$3:$H$1009,""),""),IF(TRIM(_xlpm.srcCat)&lt;&gt;TRIM($J353),"",_xlfn.SWITCH($I353,"Computer",_xlfn.XLOOKUP($K353&amp;"",COMPUTER!$B$3:$B$1009&amp;"",COMPUTER!$K$3:$K$1009,""),"Display",_xlfn.XLOOKUP($K353&amp;"",DISPLAY!$B$3:$B$1000&amp;"",DISPLAY!$L$3:$L$1000,""),"Network Device",_xlfn.XLOOKUP($K353&amp;"",'NETWORK-DEVICES'!$B$3:$B$987&amp;"",'NETWORK-DEVICES'!$K$3:$K$987,""),"Peripheral",_xlfn.XLOOKUP($K353&amp;"",PERIPHERAL!$B$3:$B$954&amp;"",PERIPHERAL!$K$3:$K$954,""),"Utilities",_xlfn.XLOOKUP($K353&amp;"",UTILITIES!$B$3:$B$953&amp;"",UTILITIES!$J$3:$J$953,""),"IOT",_xlfn.XLOOKUP($K353&amp;"",IOT!$B$3:$B$1012&amp;"",IOT!$K$4:$K$1012,""),"Server",_xlfn.XLOOKUP($K353&amp;"",SERVER!$B$3:$B$1009&amp;"",SERVER!$K$3:$K$1009,""),""))))</f>
        <v/>
      </c>
      <c r="O353" s="1" t="str" cm="1">
        <f t="array" ref="O353">IF(OR($K353="",$I353="",$J353=""),"",_xlfn.LET(_xlpm.srcCat,_xlfn.SWITCH($I353,"Computer",_xlfn.XLOOKUP($K353&amp;"",COMPUTER!$B$3:$B$1009&amp;"",COMPUTER!$H$3:$H$1009,""),"Display",_xlfn.XLOOKUP($K353&amp;"",DISPLAY!$B$3:$B$1000&amp;"",DISPLAY!$H$3:$H$1000,""),"Network Device",_xlfn.XLOOKUP($K353&amp;"",'NETWORK-DEVICES'!$B$3:$B$987&amp;"",'NETWORK-DEVICES'!$H$3:$H$987,""),"Peripheral",_xlfn.XLOOKUP($K353&amp;"",PERIPHERAL!$B$3:$B$954&amp;"",PERIPHERAL!$H$3:$H$954,""),"Utilities",_xlfn.XLOOKUP($K353&amp;"",UTILITIES!$B$3:$B$953&amp;"",UTILITIES!$G$3:$G$953,""),"IOT",_xlfn.XLOOKUP($K353&amp;"",IOT!$B$3:$B$1012&amp;"",IOT!$H$3:$H$1012,""),"Server",_xlfn.XLOOKUP($K353&amp;"",SERVER!$B$3:$B$1009&amp;"",SERVER!$H$3:$H$1009,""),""),IF(TRIM(_xlpm.srcCat)&lt;&gt;TRIM($J353),"",_xlfn.SWITCH($I353,"Computer",_xlfn.XLOOKUP($K353&amp;"",COMPUTER!$B$3:$B$1009&amp;"",COMPUTER!$E$3:$E$1009,""),"Display",_xlfn.XLOOKUP($K353&amp;"",DISPLAY!$B$3:$B$1000&amp;"",DISPLAY!$E$3:$E$1000,""),"Network Device",_xlfn.XLOOKUP($K353&amp;"",'NETWORK-DEVICES'!$B$3:$B$987&amp;"",'NETWORK-DEVICES'!$E$3:$E$987,""),"Peripheral",_xlfn.XLOOKUP($K353&amp;"",PERIPHERAL!$B$3:$B$954&amp;"",PERIPHERAL!$E$3:$E$954,""),"Utilities",_xlfn.XLOOKUP($K353&amp;"",UTILITIES!$B$3:$B$953&amp;"",UTILITIES!$E$3:$E$953,""),"IOT",_xlfn.XLOOKUP($K353&amp;"",IOT!$B$3:$B$1012&amp;"",IOT!$E$3:$E$1012,""),"Server",_xlfn.XLOOKUP($K353&amp;"",SERVER!$B$3:$B$1009&amp;"",SERVER!$E$3:$E$1009,""),""))))</f>
        <v/>
      </c>
      <c r="Q353" s="1" t="str" cm="1">
        <f t="array" ref="Q353">IF(OR($K353="",$I353="",$J353=""),"",_xlfn.LET(_xlpm.srcCat,_xlfn.SWITCH($I353,"Computer",_xlfn.XLOOKUP($K353&amp;"",COMPUTER!$B$3:$B$1009&amp;"",COMPUTER!$H$3:$H$1009,""),"Display",_xlfn.XLOOKUP($K353&amp;"",DISPLAY!$B$3:$B$1000&amp;"",DISPLAY!$H$3:$H$1000,""),"Network Device",_xlfn.XLOOKUP($K353&amp;"",'NETWORK-DEVICES'!$B$3:$B$987&amp;"",'NETWORK-DEVICES'!$H$3:$H$987,""),"Peripheral",_xlfn.XLOOKUP($K353&amp;"",PERIPHERAL!$B$3:$B$954&amp;"",PERIPHERAL!$H$3:$H$954,""),"Utilities",_xlfn.XLOOKUP($K353&amp;"",UTILITIES!$B$3:$B$953&amp;"",UTILITIES!$G$3:$G$953,""),"IOT",_xlfn.XLOOKUP($K353&amp;"",IOT!$B$3:$B$1012&amp;"",IOT!$H$3:$H$1012,""),"Server",_xlfn.XLOOKUP($K353&amp;"",SERVER!$B$3:$B$1009&amp;"",SERVER!$H$3:$H$1009,""),""),IF(TRIM(_xlpm.srcCat)&lt;&gt;TRIM($J353),"",_xlfn.SWITCH($I353,"Computer",_xlfn.XLOOKUP($K353&amp;"",COMPUTER!$B$3:$B$1009&amp;"",COMPUTER!$AM$3:$AM$1009,""),"Display",_xlfn.XLOOKUP($K353&amp;"",DISPLAY!$B$3:$B$1000&amp;"",DISPLAY!$V$3:$V$1000,""),"Network Device",_xlfn.XLOOKUP($K353&amp;"",'NETWORK-DEVICES'!$B$3:$B$987&amp;"",'NETWORK-DEVICES'!$AF$3:$AF$987,""),"Peripheral",_xlfn.XLOOKUP($K353&amp;"",PERIPHERAL!$B$3:$B$954&amp;"",PERIPHERAL!$Y$3:$Y$954,""),"Utilities",_xlfn.XLOOKUP($K353&amp;"",UTILITIES!$B$3:$B$953&amp;"",UTILITIES!$O$3:$O$953,""),"IOT",_xlfn.XLOOKUP($K353&amp;"",IOT!$B$3:$B$1012&amp;"",IOT!$AB$3:$AB$1012,""),"Server",_xlfn.XLOOKUP($K353&amp;"",SERVER!$B$3:$B$1009&amp;"",SERVER!$AB$3:$AB$1009,""),""))))</f>
        <v/>
      </c>
      <c r="R353" s="43" t="str">
        <f>IF(tbl_handover[[#This Row],[Asset Code]]="","",COUNTIF(tbl_handover[Asset Code],tbl_handover[[#This Row],[Asset Code]]))</f>
        <v/>
      </c>
    </row>
    <row r="354" spans="1:18" x14ac:dyDescent="0.25">
      <c r="A354" s="43" t="str">
        <f>IF(B354&lt;&gt;"",SUBTOTAL(3,$B$1:B353),"")</f>
        <v/>
      </c>
      <c r="C354" s="74"/>
      <c r="D354" s="74"/>
      <c r="G354" s="1"/>
      <c r="K354" s="42"/>
      <c r="L354" t="str" cm="1">
        <f t="array" ref="L354">IF($K354="","",_xlfn.SWITCH($I354,"Computer",_xlfn.XLOOKUP($K354&amp;"",COMPUTER!$B$3:$B$1009&amp;"",COMPUTER!$I$3:$I$1009,""),"Display",_xlfn.XLOOKUP($K354&amp;"",DISPLAY!$B$3:$B$1000&amp;"",DISPLAY!$J$3:$J$1000,""),"Network Device",_xlfn.XLOOKUP($K354&amp;"",'NETWORK-DEVICES'!$B$3:$B$987&amp;"",'NETWORK-DEVICES'!$I$3:$I$987,""),"Peripheral",_xlfn.XLOOKUP($K354&amp;"",PERIPHERAL!$B$3:$B$954&amp;"",PERIPHERAL!$I$3:$I$954,""),"Utilities",_xlfn.XLOOKUP($K354&amp;"",UTILITIES!$B$3:$B$953&amp;"",UTILITIES!$H$3:$H$953,""),"IOT",_xlfn.XLOOKUP($K354&amp;"",IOT!$B$3:$B$1012&amp;"",IOT!$I$3:$I$1012,""),"SERVER",_xlfn.XLOOKUP($K354&amp;"",SERVER!$B$3:$B$1009&amp;"",SERVER!$I$3:$I$1009,""),""))</f>
        <v/>
      </c>
      <c r="M354" t="str" cm="1">
        <f t="array" ref="M354">IF($K354="","",_xlfn.SWITCH($I354,"Computer",_xlfn.XLOOKUP($K354&amp;"",COMPUTER!$B$3:$B$1009&amp;"",COMPUTER!$J$3:$J$1009,""),"Display",_xlfn.XLOOKUP($K354&amp;"",DISPLAY!$B$3:$B$1000&amp;"",DISPLAY!$K$3:$K$1000,""),"Network Device",_xlfn.XLOOKUP($K354&amp;"",'NETWORK-DEVICES'!$B$3:$B$987&amp;"",'NETWORK-DEVICES'!$I$3:$I$987,""),"Peripheral",_xlfn.XLOOKUP($K354&amp;"",PERIPHERAL!$B$3:$B$954&amp;"",PERIPHERAL!$J$3:$J$954,""),"Utilities",_xlfn.XLOOKUP($K354&amp;"",UTILITIES!$B$3:$B$953&amp;"",UTILITIES!$I$3:$I$953,""),"IOT",_xlfn.XLOOKUP($K354&amp;"",IOT!$B$3:$B$1012&amp;"",IOT!$J$3:$J$1012,""),"Server",_xlfn.XLOOKUP($K354&amp;"",SERVER!$B$3:$B$1009&amp;"",SERVER!$J$3:$J$1009,""),""))</f>
        <v/>
      </c>
      <c r="N354" s="1" t="str" cm="1">
        <f t="array" ref="N354">IF(OR($K354="",$I354="",$J354=""),"",_xlfn.LET(_xlpm.srcCat,_xlfn.SWITCH($I354,"Computer",_xlfn.XLOOKUP($K354&amp;"",COMPUTER!$B$3:$B$1009&amp;"",COMPUTER!$H$3:$H$1009,""),"Display",_xlfn.XLOOKUP($K354&amp;"",DISPLAY!$B$3:$B$1000&amp;"",DISPLAY!$H$3:$H$1000,""),"Network Device",_xlfn.XLOOKUP($K354&amp;"",'NETWORK-DEVICES'!$B$3:$B$987&amp;"",'NETWORK-DEVICES'!$H$3:$H$987,""),"Peripheral",_xlfn.XLOOKUP($K354&amp;"",PERIPHERAL!$B$3:$B$954&amp;"",PERIPHERAL!$H$3:$H$954,""),"Utilities",_xlfn.XLOOKUP($K354&amp;"",UTILITIES!$B$3:$B$953&amp;"",UTILITIES!$G$3:$G$953,""),"IOT",_xlfn.XLOOKUP($K354&amp;"",IOT!$B$3:$B$1012&amp;"",IOT!$H$3:$H$1012,""),"Server",_xlfn.XLOOKUP($K354&amp;"",SERVER!$B$3:$B$1009&amp;"",SERVER!$H$3:$H$1009,""),""),IF(TRIM(_xlpm.srcCat)&lt;&gt;TRIM($J354),"",_xlfn.SWITCH($I354,"Computer",_xlfn.XLOOKUP($K354&amp;"",COMPUTER!$B$3:$B$1009&amp;"",COMPUTER!$K$3:$K$1009,""),"Display",_xlfn.XLOOKUP($K354&amp;"",DISPLAY!$B$3:$B$1000&amp;"",DISPLAY!$L$3:$L$1000,""),"Network Device",_xlfn.XLOOKUP($K354&amp;"",'NETWORK-DEVICES'!$B$3:$B$987&amp;"",'NETWORK-DEVICES'!$K$3:$K$987,""),"Peripheral",_xlfn.XLOOKUP($K354&amp;"",PERIPHERAL!$B$3:$B$954&amp;"",PERIPHERAL!$K$3:$K$954,""),"Utilities",_xlfn.XLOOKUP($K354&amp;"",UTILITIES!$B$3:$B$953&amp;"",UTILITIES!$J$3:$J$953,""),"IOT",_xlfn.XLOOKUP($K354&amp;"",IOT!$B$3:$B$1012&amp;"",IOT!$K$4:$K$1012,""),"Server",_xlfn.XLOOKUP($K354&amp;"",SERVER!$B$3:$B$1009&amp;"",SERVER!$K$3:$K$1009,""),""))))</f>
        <v/>
      </c>
      <c r="O354" s="1" t="str" cm="1">
        <f t="array" ref="O354">IF(OR($K354="",$I354="",$J354=""),"",_xlfn.LET(_xlpm.srcCat,_xlfn.SWITCH($I354,"Computer",_xlfn.XLOOKUP($K354&amp;"",COMPUTER!$B$3:$B$1009&amp;"",COMPUTER!$H$3:$H$1009,""),"Display",_xlfn.XLOOKUP($K354&amp;"",DISPLAY!$B$3:$B$1000&amp;"",DISPLAY!$H$3:$H$1000,""),"Network Device",_xlfn.XLOOKUP($K354&amp;"",'NETWORK-DEVICES'!$B$3:$B$987&amp;"",'NETWORK-DEVICES'!$H$3:$H$987,""),"Peripheral",_xlfn.XLOOKUP($K354&amp;"",PERIPHERAL!$B$3:$B$954&amp;"",PERIPHERAL!$H$3:$H$954,""),"Utilities",_xlfn.XLOOKUP($K354&amp;"",UTILITIES!$B$3:$B$953&amp;"",UTILITIES!$G$3:$G$953,""),"IOT",_xlfn.XLOOKUP($K354&amp;"",IOT!$B$3:$B$1012&amp;"",IOT!$H$3:$H$1012,""),"Server",_xlfn.XLOOKUP($K354&amp;"",SERVER!$B$3:$B$1009&amp;"",SERVER!$H$3:$H$1009,""),""),IF(TRIM(_xlpm.srcCat)&lt;&gt;TRIM($J354),"",_xlfn.SWITCH($I354,"Computer",_xlfn.XLOOKUP($K354&amp;"",COMPUTER!$B$3:$B$1009&amp;"",COMPUTER!$E$3:$E$1009,""),"Display",_xlfn.XLOOKUP($K354&amp;"",DISPLAY!$B$3:$B$1000&amp;"",DISPLAY!$E$3:$E$1000,""),"Network Device",_xlfn.XLOOKUP($K354&amp;"",'NETWORK-DEVICES'!$B$3:$B$987&amp;"",'NETWORK-DEVICES'!$E$3:$E$987,""),"Peripheral",_xlfn.XLOOKUP($K354&amp;"",PERIPHERAL!$B$3:$B$954&amp;"",PERIPHERAL!$E$3:$E$954,""),"Utilities",_xlfn.XLOOKUP($K354&amp;"",UTILITIES!$B$3:$B$953&amp;"",UTILITIES!$E$3:$E$953,""),"IOT",_xlfn.XLOOKUP($K354&amp;"",IOT!$B$3:$B$1012&amp;"",IOT!$E$3:$E$1012,""),"Server",_xlfn.XLOOKUP($K354&amp;"",SERVER!$B$3:$B$1009&amp;"",SERVER!$E$3:$E$1009,""),""))))</f>
        <v/>
      </c>
      <c r="Q354" s="1" t="str" cm="1">
        <f t="array" ref="Q354">IF(OR($K354="",$I354="",$J354=""),"",_xlfn.LET(_xlpm.srcCat,_xlfn.SWITCH($I354,"Computer",_xlfn.XLOOKUP($K354&amp;"",COMPUTER!$B$3:$B$1009&amp;"",COMPUTER!$H$3:$H$1009,""),"Display",_xlfn.XLOOKUP($K354&amp;"",DISPLAY!$B$3:$B$1000&amp;"",DISPLAY!$H$3:$H$1000,""),"Network Device",_xlfn.XLOOKUP($K354&amp;"",'NETWORK-DEVICES'!$B$3:$B$987&amp;"",'NETWORK-DEVICES'!$H$3:$H$987,""),"Peripheral",_xlfn.XLOOKUP($K354&amp;"",PERIPHERAL!$B$3:$B$954&amp;"",PERIPHERAL!$H$3:$H$954,""),"Utilities",_xlfn.XLOOKUP($K354&amp;"",UTILITIES!$B$3:$B$953&amp;"",UTILITIES!$G$3:$G$953,""),"IOT",_xlfn.XLOOKUP($K354&amp;"",IOT!$B$3:$B$1012&amp;"",IOT!$H$3:$H$1012,""),"Server",_xlfn.XLOOKUP($K354&amp;"",SERVER!$B$3:$B$1009&amp;"",SERVER!$H$3:$H$1009,""),""),IF(TRIM(_xlpm.srcCat)&lt;&gt;TRIM($J354),"",_xlfn.SWITCH($I354,"Computer",_xlfn.XLOOKUP($K354&amp;"",COMPUTER!$B$3:$B$1009&amp;"",COMPUTER!$AM$3:$AM$1009,""),"Display",_xlfn.XLOOKUP($K354&amp;"",DISPLAY!$B$3:$B$1000&amp;"",DISPLAY!$V$3:$V$1000,""),"Network Device",_xlfn.XLOOKUP($K354&amp;"",'NETWORK-DEVICES'!$B$3:$B$987&amp;"",'NETWORK-DEVICES'!$AF$3:$AF$987,""),"Peripheral",_xlfn.XLOOKUP($K354&amp;"",PERIPHERAL!$B$3:$B$954&amp;"",PERIPHERAL!$Y$3:$Y$954,""),"Utilities",_xlfn.XLOOKUP($K354&amp;"",UTILITIES!$B$3:$B$953&amp;"",UTILITIES!$O$3:$O$953,""),"IOT",_xlfn.XLOOKUP($K354&amp;"",IOT!$B$3:$B$1012&amp;"",IOT!$AB$3:$AB$1012,""),"Server",_xlfn.XLOOKUP($K354&amp;"",SERVER!$B$3:$B$1009&amp;"",SERVER!$AB$3:$AB$1009,""),""))))</f>
        <v/>
      </c>
      <c r="R354" s="43" t="str">
        <f>IF(tbl_handover[[#This Row],[Asset Code]]="","",COUNTIF(tbl_handover[Asset Code],tbl_handover[[#This Row],[Asset Code]]))</f>
        <v/>
      </c>
    </row>
    <row r="355" spans="1:18" x14ac:dyDescent="0.25">
      <c r="A355" s="43" t="str">
        <f>IF(B355&lt;&gt;"",SUBTOTAL(3,$B$1:B354),"")</f>
        <v/>
      </c>
      <c r="C355" s="74"/>
      <c r="D355" s="74"/>
      <c r="G355" s="1"/>
      <c r="K355" s="42"/>
      <c r="L355" t="str" cm="1">
        <f t="array" ref="L355">IF($K355="","",_xlfn.SWITCH($I355,"Computer",_xlfn.XLOOKUP($K355&amp;"",COMPUTER!$B$3:$B$1009&amp;"",COMPUTER!$I$3:$I$1009,""),"Display",_xlfn.XLOOKUP($K355&amp;"",DISPLAY!$B$3:$B$1000&amp;"",DISPLAY!$J$3:$J$1000,""),"Network Device",_xlfn.XLOOKUP($K355&amp;"",'NETWORK-DEVICES'!$B$3:$B$987&amp;"",'NETWORK-DEVICES'!$I$3:$I$987,""),"Peripheral",_xlfn.XLOOKUP($K355&amp;"",PERIPHERAL!$B$3:$B$954&amp;"",PERIPHERAL!$I$3:$I$954,""),"Utilities",_xlfn.XLOOKUP($K355&amp;"",UTILITIES!$B$3:$B$953&amp;"",UTILITIES!$H$3:$H$953,""),"IOT",_xlfn.XLOOKUP($K355&amp;"",IOT!$B$3:$B$1012&amp;"",IOT!$I$3:$I$1012,""),"SERVER",_xlfn.XLOOKUP($K355&amp;"",SERVER!$B$3:$B$1009&amp;"",SERVER!$I$3:$I$1009,""),""))</f>
        <v/>
      </c>
      <c r="M355" t="str" cm="1">
        <f t="array" ref="M355">IF($K355="","",_xlfn.SWITCH($I355,"Computer",_xlfn.XLOOKUP($K355&amp;"",COMPUTER!$B$3:$B$1009&amp;"",COMPUTER!$J$3:$J$1009,""),"Display",_xlfn.XLOOKUP($K355&amp;"",DISPLAY!$B$3:$B$1000&amp;"",DISPLAY!$K$3:$K$1000,""),"Network Device",_xlfn.XLOOKUP($K355&amp;"",'NETWORK-DEVICES'!$B$3:$B$987&amp;"",'NETWORK-DEVICES'!$I$3:$I$987,""),"Peripheral",_xlfn.XLOOKUP($K355&amp;"",PERIPHERAL!$B$3:$B$954&amp;"",PERIPHERAL!$J$3:$J$954,""),"Utilities",_xlfn.XLOOKUP($K355&amp;"",UTILITIES!$B$3:$B$953&amp;"",UTILITIES!$I$3:$I$953,""),"IOT",_xlfn.XLOOKUP($K355&amp;"",IOT!$B$3:$B$1012&amp;"",IOT!$J$3:$J$1012,""),"Server",_xlfn.XLOOKUP($K355&amp;"",SERVER!$B$3:$B$1009&amp;"",SERVER!$J$3:$J$1009,""),""))</f>
        <v/>
      </c>
      <c r="N355" s="1" t="str" cm="1">
        <f t="array" ref="N355">IF(OR($K355="",$I355="",$J355=""),"",_xlfn.LET(_xlpm.srcCat,_xlfn.SWITCH($I355,"Computer",_xlfn.XLOOKUP($K355&amp;"",COMPUTER!$B$3:$B$1009&amp;"",COMPUTER!$H$3:$H$1009,""),"Display",_xlfn.XLOOKUP($K355&amp;"",DISPLAY!$B$3:$B$1000&amp;"",DISPLAY!$H$3:$H$1000,""),"Network Device",_xlfn.XLOOKUP($K355&amp;"",'NETWORK-DEVICES'!$B$3:$B$987&amp;"",'NETWORK-DEVICES'!$H$3:$H$987,""),"Peripheral",_xlfn.XLOOKUP($K355&amp;"",PERIPHERAL!$B$3:$B$954&amp;"",PERIPHERAL!$H$3:$H$954,""),"Utilities",_xlfn.XLOOKUP($K355&amp;"",UTILITIES!$B$3:$B$953&amp;"",UTILITIES!$G$3:$G$953,""),"IOT",_xlfn.XLOOKUP($K355&amp;"",IOT!$B$3:$B$1012&amp;"",IOT!$H$3:$H$1012,""),"Server",_xlfn.XLOOKUP($K355&amp;"",SERVER!$B$3:$B$1009&amp;"",SERVER!$H$3:$H$1009,""),""),IF(TRIM(_xlpm.srcCat)&lt;&gt;TRIM($J355),"",_xlfn.SWITCH($I355,"Computer",_xlfn.XLOOKUP($K355&amp;"",COMPUTER!$B$3:$B$1009&amp;"",COMPUTER!$K$3:$K$1009,""),"Display",_xlfn.XLOOKUP($K355&amp;"",DISPLAY!$B$3:$B$1000&amp;"",DISPLAY!$L$3:$L$1000,""),"Network Device",_xlfn.XLOOKUP($K355&amp;"",'NETWORK-DEVICES'!$B$3:$B$987&amp;"",'NETWORK-DEVICES'!$K$3:$K$987,""),"Peripheral",_xlfn.XLOOKUP($K355&amp;"",PERIPHERAL!$B$3:$B$954&amp;"",PERIPHERAL!$K$3:$K$954,""),"Utilities",_xlfn.XLOOKUP($K355&amp;"",UTILITIES!$B$3:$B$953&amp;"",UTILITIES!$J$3:$J$953,""),"IOT",_xlfn.XLOOKUP($K355&amp;"",IOT!$B$3:$B$1012&amp;"",IOT!$K$4:$K$1012,""),"Server",_xlfn.XLOOKUP($K355&amp;"",SERVER!$B$3:$B$1009&amp;"",SERVER!$K$3:$K$1009,""),""))))</f>
        <v/>
      </c>
      <c r="O355" s="1" t="str" cm="1">
        <f t="array" ref="O355">IF(OR($K355="",$I355="",$J355=""),"",_xlfn.LET(_xlpm.srcCat,_xlfn.SWITCH($I355,"Computer",_xlfn.XLOOKUP($K355&amp;"",COMPUTER!$B$3:$B$1009&amp;"",COMPUTER!$H$3:$H$1009,""),"Display",_xlfn.XLOOKUP($K355&amp;"",DISPLAY!$B$3:$B$1000&amp;"",DISPLAY!$H$3:$H$1000,""),"Network Device",_xlfn.XLOOKUP($K355&amp;"",'NETWORK-DEVICES'!$B$3:$B$987&amp;"",'NETWORK-DEVICES'!$H$3:$H$987,""),"Peripheral",_xlfn.XLOOKUP($K355&amp;"",PERIPHERAL!$B$3:$B$954&amp;"",PERIPHERAL!$H$3:$H$954,""),"Utilities",_xlfn.XLOOKUP($K355&amp;"",UTILITIES!$B$3:$B$953&amp;"",UTILITIES!$G$3:$G$953,""),"IOT",_xlfn.XLOOKUP($K355&amp;"",IOT!$B$3:$B$1012&amp;"",IOT!$H$3:$H$1012,""),"Server",_xlfn.XLOOKUP($K355&amp;"",SERVER!$B$3:$B$1009&amp;"",SERVER!$H$3:$H$1009,""),""),IF(TRIM(_xlpm.srcCat)&lt;&gt;TRIM($J355),"",_xlfn.SWITCH($I355,"Computer",_xlfn.XLOOKUP($K355&amp;"",COMPUTER!$B$3:$B$1009&amp;"",COMPUTER!$E$3:$E$1009,""),"Display",_xlfn.XLOOKUP($K355&amp;"",DISPLAY!$B$3:$B$1000&amp;"",DISPLAY!$E$3:$E$1000,""),"Network Device",_xlfn.XLOOKUP($K355&amp;"",'NETWORK-DEVICES'!$B$3:$B$987&amp;"",'NETWORK-DEVICES'!$E$3:$E$987,""),"Peripheral",_xlfn.XLOOKUP($K355&amp;"",PERIPHERAL!$B$3:$B$954&amp;"",PERIPHERAL!$E$3:$E$954,""),"Utilities",_xlfn.XLOOKUP($K355&amp;"",UTILITIES!$B$3:$B$953&amp;"",UTILITIES!$E$3:$E$953,""),"IOT",_xlfn.XLOOKUP($K355&amp;"",IOT!$B$3:$B$1012&amp;"",IOT!$E$3:$E$1012,""),"Server",_xlfn.XLOOKUP($K355&amp;"",SERVER!$B$3:$B$1009&amp;"",SERVER!$E$3:$E$1009,""),""))))</f>
        <v/>
      </c>
      <c r="Q355" s="1" t="str" cm="1">
        <f t="array" ref="Q355">IF(OR($K355="",$I355="",$J355=""),"",_xlfn.LET(_xlpm.srcCat,_xlfn.SWITCH($I355,"Computer",_xlfn.XLOOKUP($K355&amp;"",COMPUTER!$B$3:$B$1009&amp;"",COMPUTER!$H$3:$H$1009,""),"Display",_xlfn.XLOOKUP($K355&amp;"",DISPLAY!$B$3:$B$1000&amp;"",DISPLAY!$H$3:$H$1000,""),"Network Device",_xlfn.XLOOKUP($K355&amp;"",'NETWORK-DEVICES'!$B$3:$B$987&amp;"",'NETWORK-DEVICES'!$H$3:$H$987,""),"Peripheral",_xlfn.XLOOKUP($K355&amp;"",PERIPHERAL!$B$3:$B$954&amp;"",PERIPHERAL!$H$3:$H$954,""),"Utilities",_xlfn.XLOOKUP($K355&amp;"",UTILITIES!$B$3:$B$953&amp;"",UTILITIES!$G$3:$G$953,""),"IOT",_xlfn.XLOOKUP($K355&amp;"",IOT!$B$3:$B$1012&amp;"",IOT!$H$3:$H$1012,""),"Server",_xlfn.XLOOKUP($K355&amp;"",SERVER!$B$3:$B$1009&amp;"",SERVER!$H$3:$H$1009,""),""),IF(TRIM(_xlpm.srcCat)&lt;&gt;TRIM($J355),"",_xlfn.SWITCH($I355,"Computer",_xlfn.XLOOKUP($K355&amp;"",COMPUTER!$B$3:$B$1009&amp;"",COMPUTER!$AM$3:$AM$1009,""),"Display",_xlfn.XLOOKUP($K355&amp;"",DISPLAY!$B$3:$B$1000&amp;"",DISPLAY!$V$3:$V$1000,""),"Network Device",_xlfn.XLOOKUP($K355&amp;"",'NETWORK-DEVICES'!$B$3:$B$987&amp;"",'NETWORK-DEVICES'!$AF$3:$AF$987,""),"Peripheral",_xlfn.XLOOKUP($K355&amp;"",PERIPHERAL!$B$3:$B$954&amp;"",PERIPHERAL!$Y$3:$Y$954,""),"Utilities",_xlfn.XLOOKUP($K355&amp;"",UTILITIES!$B$3:$B$953&amp;"",UTILITIES!$O$3:$O$953,""),"IOT",_xlfn.XLOOKUP($K355&amp;"",IOT!$B$3:$B$1012&amp;"",IOT!$AB$3:$AB$1012,""),"Server",_xlfn.XLOOKUP($K355&amp;"",SERVER!$B$3:$B$1009&amp;"",SERVER!$AB$3:$AB$1009,""),""))))</f>
        <v/>
      </c>
      <c r="R355" s="43" t="str">
        <f>IF(tbl_handover[[#This Row],[Asset Code]]="","",COUNTIF(tbl_handover[Asset Code],tbl_handover[[#This Row],[Asset Code]]))</f>
        <v/>
      </c>
    </row>
    <row r="356" spans="1:18" x14ac:dyDescent="0.25">
      <c r="A356" s="43" t="str">
        <f>IF(B356&lt;&gt;"",SUBTOTAL(3,$B$1:B355),"")</f>
        <v/>
      </c>
      <c r="C356" s="74"/>
      <c r="D356" s="74"/>
      <c r="G356" s="1"/>
      <c r="K356" s="42"/>
      <c r="L356" t="str" cm="1">
        <f t="array" ref="L356">IF($K356="","",_xlfn.SWITCH($I356,"Computer",_xlfn.XLOOKUP($K356&amp;"",COMPUTER!$B$3:$B$1009&amp;"",COMPUTER!$I$3:$I$1009,""),"Display",_xlfn.XLOOKUP($K356&amp;"",DISPLAY!$B$3:$B$1000&amp;"",DISPLAY!$J$3:$J$1000,""),"Network Device",_xlfn.XLOOKUP($K356&amp;"",'NETWORK-DEVICES'!$B$3:$B$987&amp;"",'NETWORK-DEVICES'!$I$3:$I$987,""),"Peripheral",_xlfn.XLOOKUP($K356&amp;"",PERIPHERAL!$B$3:$B$954&amp;"",PERIPHERAL!$I$3:$I$954,""),"Utilities",_xlfn.XLOOKUP($K356&amp;"",UTILITIES!$B$3:$B$953&amp;"",UTILITIES!$H$3:$H$953,""),"IOT",_xlfn.XLOOKUP($K356&amp;"",IOT!$B$3:$B$1012&amp;"",IOT!$I$3:$I$1012,""),"SERVER",_xlfn.XLOOKUP($K356&amp;"",SERVER!$B$3:$B$1009&amp;"",SERVER!$I$3:$I$1009,""),""))</f>
        <v/>
      </c>
      <c r="M356" t="str" cm="1">
        <f t="array" ref="M356">IF($K356="","",_xlfn.SWITCH($I356,"Computer",_xlfn.XLOOKUP($K356&amp;"",COMPUTER!$B$3:$B$1009&amp;"",COMPUTER!$J$3:$J$1009,""),"Display",_xlfn.XLOOKUP($K356&amp;"",DISPLAY!$B$3:$B$1000&amp;"",DISPLAY!$K$3:$K$1000,""),"Network Device",_xlfn.XLOOKUP($K356&amp;"",'NETWORK-DEVICES'!$B$3:$B$987&amp;"",'NETWORK-DEVICES'!$I$3:$I$987,""),"Peripheral",_xlfn.XLOOKUP($K356&amp;"",PERIPHERAL!$B$3:$B$954&amp;"",PERIPHERAL!$J$3:$J$954,""),"Utilities",_xlfn.XLOOKUP($K356&amp;"",UTILITIES!$B$3:$B$953&amp;"",UTILITIES!$I$3:$I$953,""),"IOT",_xlfn.XLOOKUP($K356&amp;"",IOT!$B$3:$B$1012&amp;"",IOT!$J$3:$J$1012,""),"Server",_xlfn.XLOOKUP($K356&amp;"",SERVER!$B$3:$B$1009&amp;"",SERVER!$J$3:$J$1009,""),""))</f>
        <v/>
      </c>
      <c r="N356" s="1" t="str" cm="1">
        <f t="array" ref="N356">IF(OR($K356="",$I356="",$J356=""),"",_xlfn.LET(_xlpm.srcCat,_xlfn.SWITCH($I356,"Computer",_xlfn.XLOOKUP($K356&amp;"",COMPUTER!$B$3:$B$1009&amp;"",COMPUTER!$H$3:$H$1009,""),"Display",_xlfn.XLOOKUP($K356&amp;"",DISPLAY!$B$3:$B$1000&amp;"",DISPLAY!$H$3:$H$1000,""),"Network Device",_xlfn.XLOOKUP($K356&amp;"",'NETWORK-DEVICES'!$B$3:$B$987&amp;"",'NETWORK-DEVICES'!$H$3:$H$987,""),"Peripheral",_xlfn.XLOOKUP($K356&amp;"",PERIPHERAL!$B$3:$B$954&amp;"",PERIPHERAL!$H$3:$H$954,""),"Utilities",_xlfn.XLOOKUP($K356&amp;"",UTILITIES!$B$3:$B$953&amp;"",UTILITIES!$G$3:$G$953,""),"IOT",_xlfn.XLOOKUP($K356&amp;"",IOT!$B$3:$B$1012&amp;"",IOT!$H$3:$H$1012,""),"Server",_xlfn.XLOOKUP($K356&amp;"",SERVER!$B$3:$B$1009&amp;"",SERVER!$H$3:$H$1009,""),""),IF(TRIM(_xlpm.srcCat)&lt;&gt;TRIM($J356),"",_xlfn.SWITCH($I356,"Computer",_xlfn.XLOOKUP($K356&amp;"",COMPUTER!$B$3:$B$1009&amp;"",COMPUTER!$K$3:$K$1009,""),"Display",_xlfn.XLOOKUP($K356&amp;"",DISPLAY!$B$3:$B$1000&amp;"",DISPLAY!$L$3:$L$1000,""),"Network Device",_xlfn.XLOOKUP($K356&amp;"",'NETWORK-DEVICES'!$B$3:$B$987&amp;"",'NETWORK-DEVICES'!$K$3:$K$987,""),"Peripheral",_xlfn.XLOOKUP($K356&amp;"",PERIPHERAL!$B$3:$B$954&amp;"",PERIPHERAL!$K$3:$K$954,""),"Utilities",_xlfn.XLOOKUP($K356&amp;"",UTILITIES!$B$3:$B$953&amp;"",UTILITIES!$J$3:$J$953,""),"IOT",_xlfn.XLOOKUP($K356&amp;"",IOT!$B$3:$B$1012&amp;"",IOT!$K$4:$K$1012,""),"Server",_xlfn.XLOOKUP($K356&amp;"",SERVER!$B$3:$B$1009&amp;"",SERVER!$K$3:$K$1009,""),""))))</f>
        <v/>
      </c>
      <c r="O356" s="1" t="str" cm="1">
        <f t="array" ref="O356">IF(OR($K356="",$I356="",$J356=""),"",_xlfn.LET(_xlpm.srcCat,_xlfn.SWITCH($I356,"Computer",_xlfn.XLOOKUP($K356&amp;"",COMPUTER!$B$3:$B$1009&amp;"",COMPUTER!$H$3:$H$1009,""),"Display",_xlfn.XLOOKUP($K356&amp;"",DISPLAY!$B$3:$B$1000&amp;"",DISPLAY!$H$3:$H$1000,""),"Network Device",_xlfn.XLOOKUP($K356&amp;"",'NETWORK-DEVICES'!$B$3:$B$987&amp;"",'NETWORK-DEVICES'!$H$3:$H$987,""),"Peripheral",_xlfn.XLOOKUP($K356&amp;"",PERIPHERAL!$B$3:$B$954&amp;"",PERIPHERAL!$H$3:$H$954,""),"Utilities",_xlfn.XLOOKUP($K356&amp;"",UTILITIES!$B$3:$B$953&amp;"",UTILITIES!$G$3:$G$953,""),"IOT",_xlfn.XLOOKUP($K356&amp;"",IOT!$B$3:$B$1012&amp;"",IOT!$H$3:$H$1012,""),"Server",_xlfn.XLOOKUP($K356&amp;"",SERVER!$B$3:$B$1009&amp;"",SERVER!$H$3:$H$1009,""),""),IF(TRIM(_xlpm.srcCat)&lt;&gt;TRIM($J356),"",_xlfn.SWITCH($I356,"Computer",_xlfn.XLOOKUP($K356&amp;"",COMPUTER!$B$3:$B$1009&amp;"",COMPUTER!$E$3:$E$1009,""),"Display",_xlfn.XLOOKUP($K356&amp;"",DISPLAY!$B$3:$B$1000&amp;"",DISPLAY!$E$3:$E$1000,""),"Network Device",_xlfn.XLOOKUP($K356&amp;"",'NETWORK-DEVICES'!$B$3:$B$987&amp;"",'NETWORK-DEVICES'!$E$3:$E$987,""),"Peripheral",_xlfn.XLOOKUP($K356&amp;"",PERIPHERAL!$B$3:$B$954&amp;"",PERIPHERAL!$E$3:$E$954,""),"Utilities",_xlfn.XLOOKUP($K356&amp;"",UTILITIES!$B$3:$B$953&amp;"",UTILITIES!$E$3:$E$953,""),"IOT",_xlfn.XLOOKUP($K356&amp;"",IOT!$B$3:$B$1012&amp;"",IOT!$E$3:$E$1012,""),"Server",_xlfn.XLOOKUP($K356&amp;"",SERVER!$B$3:$B$1009&amp;"",SERVER!$E$3:$E$1009,""),""))))</f>
        <v/>
      </c>
      <c r="Q356" s="1" t="str" cm="1">
        <f t="array" ref="Q356">IF(OR($K356="",$I356="",$J356=""),"",_xlfn.LET(_xlpm.srcCat,_xlfn.SWITCH($I356,"Computer",_xlfn.XLOOKUP($K356&amp;"",COMPUTER!$B$3:$B$1009&amp;"",COMPUTER!$H$3:$H$1009,""),"Display",_xlfn.XLOOKUP($K356&amp;"",DISPLAY!$B$3:$B$1000&amp;"",DISPLAY!$H$3:$H$1000,""),"Network Device",_xlfn.XLOOKUP($K356&amp;"",'NETWORK-DEVICES'!$B$3:$B$987&amp;"",'NETWORK-DEVICES'!$H$3:$H$987,""),"Peripheral",_xlfn.XLOOKUP($K356&amp;"",PERIPHERAL!$B$3:$B$954&amp;"",PERIPHERAL!$H$3:$H$954,""),"Utilities",_xlfn.XLOOKUP($K356&amp;"",UTILITIES!$B$3:$B$953&amp;"",UTILITIES!$G$3:$G$953,""),"IOT",_xlfn.XLOOKUP($K356&amp;"",IOT!$B$3:$B$1012&amp;"",IOT!$H$3:$H$1012,""),"Server",_xlfn.XLOOKUP($K356&amp;"",SERVER!$B$3:$B$1009&amp;"",SERVER!$H$3:$H$1009,""),""),IF(TRIM(_xlpm.srcCat)&lt;&gt;TRIM($J356),"",_xlfn.SWITCH($I356,"Computer",_xlfn.XLOOKUP($K356&amp;"",COMPUTER!$B$3:$B$1009&amp;"",COMPUTER!$AM$3:$AM$1009,""),"Display",_xlfn.XLOOKUP($K356&amp;"",DISPLAY!$B$3:$B$1000&amp;"",DISPLAY!$V$3:$V$1000,""),"Network Device",_xlfn.XLOOKUP($K356&amp;"",'NETWORK-DEVICES'!$B$3:$B$987&amp;"",'NETWORK-DEVICES'!$AF$3:$AF$987,""),"Peripheral",_xlfn.XLOOKUP($K356&amp;"",PERIPHERAL!$B$3:$B$954&amp;"",PERIPHERAL!$Y$3:$Y$954,""),"Utilities",_xlfn.XLOOKUP($K356&amp;"",UTILITIES!$B$3:$B$953&amp;"",UTILITIES!$O$3:$O$953,""),"IOT",_xlfn.XLOOKUP($K356&amp;"",IOT!$B$3:$B$1012&amp;"",IOT!$AB$3:$AB$1012,""),"Server",_xlfn.XLOOKUP($K356&amp;"",SERVER!$B$3:$B$1009&amp;"",SERVER!$AB$3:$AB$1009,""),""))))</f>
        <v/>
      </c>
      <c r="R356" s="43" t="str">
        <f>IF(tbl_handover[[#This Row],[Asset Code]]="","",COUNTIF(tbl_handover[Asset Code],tbl_handover[[#This Row],[Asset Code]]))</f>
        <v/>
      </c>
    </row>
    <row r="357" spans="1:18" x14ac:dyDescent="0.25">
      <c r="A357" s="43" t="str">
        <f>IF(B357&lt;&gt;"",SUBTOTAL(3,$B$1:B356),"")</f>
        <v/>
      </c>
      <c r="C357" s="74"/>
      <c r="D357" s="74"/>
      <c r="G357" s="1"/>
      <c r="K357" s="42"/>
      <c r="L357" t="str" cm="1">
        <f t="array" ref="L357">IF($K357="","",_xlfn.SWITCH($I357,"Computer",_xlfn.XLOOKUP($K357&amp;"",COMPUTER!$B$3:$B$1009&amp;"",COMPUTER!$I$3:$I$1009,""),"Display",_xlfn.XLOOKUP($K357&amp;"",DISPLAY!$B$3:$B$1000&amp;"",DISPLAY!$J$3:$J$1000,""),"Network Device",_xlfn.XLOOKUP($K357&amp;"",'NETWORK-DEVICES'!$B$3:$B$987&amp;"",'NETWORK-DEVICES'!$I$3:$I$987,""),"Peripheral",_xlfn.XLOOKUP($K357&amp;"",PERIPHERAL!$B$3:$B$954&amp;"",PERIPHERAL!$I$3:$I$954,""),"Utilities",_xlfn.XLOOKUP($K357&amp;"",UTILITIES!$B$3:$B$953&amp;"",UTILITIES!$H$3:$H$953,""),"IOT",_xlfn.XLOOKUP($K357&amp;"",IOT!$B$3:$B$1012&amp;"",IOT!$I$3:$I$1012,""),"SERVER",_xlfn.XLOOKUP($K357&amp;"",SERVER!$B$3:$B$1009&amp;"",SERVER!$I$3:$I$1009,""),""))</f>
        <v/>
      </c>
      <c r="M357" t="str" cm="1">
        <f t="array" ref="M357">IF($K357="","",_xlfn.SWITCH($I357,"Computer",_xlfn.XLOOKUP($K357&amp;"",COMPUTER!$B$3:$B$1009&amp;"",COMPUTER!$J$3:$J$1009,""),"Display",_xlfn.XLOOKUP($K357&amp;"",DISPLAY!$B$3:$B$1000&amp;"",DISPLAY!$K$3:$K$1000,""),"Network Device",_xlfn.XLOOKUP($K357&amp;"",'NETWORK-DEVICES'!$B$3:$B$987&amp;"",'NETWORK-DEVICES'!$I$3:$I$987,""),"Peripheral",_xlfn.XLOOKUP($K357&amp;"",PERIPHERAL!$B$3:$B$954&amp;"",PERIPHERAL!$J$3:$J$954,""),"Utilities",_xlfn.XLOOKUP($K357&amp;"",UTILITIES!$B$3:$B$953&amp;"",UTILITIES!$I$3:$I$953,""),"IOT",_xlfn.XLOOKUP($K357&amp;"",IOT!$B$3:$B$1012&amp;"",IOT!$J$3:$J$1012,""),"Server",_xlfn.XLOOKUP($K357&amp;"",SERVER!$B$3:$B$1009&amp;"",SERVER!$J$3:$J$1009,""),""))</f>
        <v/>
      </c>
      <c r="N357" s="1" t="str" cm="1">
        <f t="array" ref="N357">IF(OR($K357="",$I357="",$J357=""),"",_xlfn.LET(_xlpm.srcCat,_xlfn.SWITCH($I357,"Computer",_xlfn.XLOOKUP($K357&amp;"",COMPUTER!$B$3:$B$1009&amp;"",COMPUTER!$H$3:$H$1009,""),"Display",_xlfn.XLOOKUP($K357&amp;"",DISPLAY!$B$3:$B$1000&amp;"",DISPLAY!$H$3:$H$1000,""),"Network Device",_xlfn.XLOOKUP($K357&amp;"",'NETWORK-DEVICES'!$B$3:$B$987&amp;"",'NETWORK-DEVICES'!$H$3:$H$987,""),"Peripheral",_xlfn.XLOOKUP($K357&amp;"",PERIPHERAL!$B$3:$B$954&amp;"",PERIPHERAL!$H$3:$H$954,""),"Utilities",_xlfn.XLOOKUP($K357&amp;"",UTILITIES!$B$3:$B$953&amp;"",UTILITIES!$G$3:$G$953,""),"IOT",_xlfn.XLOOKUP($K357&amp;"",IOT!$B$3:$B$1012&amp;"",IOT!$H$3:$H$1012,""),"Server",_xlfn.XLOOKUP($K357&amp;"",SERVER!$B$3:$B$1009&amp;"",SERVER!$H$3:$H$1009,""),""),IF(TRIM(_xlpm.srcCat)&lt;&gt;TRIM($J357),"",_xlfn.SWITCH($I357,"Computer",_xlfn.XLOOKUP($K357&amp;"",COMPUTER!$B$3:$B$1009&amp;"",COMPUTER!$K$3:$K$1009,""),"Display",_xlfn.XLOOKUP($K357&amp;"",DISPLAY!$B$3:$B$1000&amp;"",DISPLAY!$L$3:$L$1000,""),"Network Device",_xlfn.XLOOKUP($K357&amp;"",'NETWORK-DEVICES'!$B$3:$B$987&amp;"",'NETWORK-DEVICES'!$K$3:$K$987,""),"Peripheral",_xlfn.XLOOKUP($K357&amp;"",PERIPHERAL!$B$3:$B$954&amp;"",PERIPHERAL!$K$3:$K$954,""),"Utilities",_xlfn.XLOOKUP($K357&amp;"",UTILITIES!$B$3:$B$953&amp;"",UTILITIES!$J$3:$J$953,""),"IOT",_xlfn.XLOOKUP($K357&amp;"",IOT!$B$3:$B$1012&amp;"",IOT!$K$4:$K$1012,""),"Server",_xlfn.XLOOKUP($K357&amp;"",SERVER!$B$3:$B$1009&amp;"",SERVER!$K$3:$K$1009,""),""))))</f>
        <v/>
      </c>
      <c r="O357" s="1" t="str" cm="1">
        <f t="array" ref="O357">IF(OR($K357="",$I357="",$J357=""),"",_xlfn.LET(_xlpm.srcCat,_xlfn.SWITCH($I357,"Computer",_xlfn.XLOOKUP($K357&amp;"",COMPUTER!$B$3:$B$1009&amp;"",COMPUTER!$H$3:$H$1009,""),"Display",_xlfn.XLOOKUP($K357&amp;"",DISPLAY!$B$3:$B$1000&amp;"",DISPLAY!$H$3:$H$1000,""),"Network Device",_xlfn.XLOOKUP($K357&amp;"",'NETWORK-DEVICES'!$B$3:$B$987&amp;"",'NETWORK-DEVICES'!$H$3:$H$987,""),"Peripheral",_xlfn.XLOOKUP($K357&amp;"",PERIPHERAL!$B$3:$B$954&amp;"",PERIPHERAL!$H$3:$H$954,""),"Utilities",_xlfn.XLOOKUP($K357&amp;"",UTILITIES!$B$3:$B$953&amp;"",UTILITIES!$G$3:$G$953,""),"IOT",_xlfn.XLOOKUP($K357&amp;"",IOT!$B$3:$B$1012&amp;"",IOT!$H$3:$H$1012,""),"Server",_xlfn.XLOOKUP($K357&amp;"",SERVER!$B$3:$B$1009&amp;"",SERVER!$H$3:$H$1009,""),""),IF(TRIM(_xlpm.srcCat)&lt;&gt;TRIM($J357),"",_xlfn.SWITCH($I357,"Computer",_xlfn.XLOOKUP($K357&amp;"",COMPUTER!$B$3:$B$1009&amp;"",COMPUTER!$E$3:$E$1009,""),"Display",_xlfn.XLOOKUP($K357&amp;"",DISPLAY!$B$3:$B$1000&amp;"",DISPLAY!$E$3:$E$1000,""),"Network Device",_xlfn.XLOOKUP($K357&amp;"",'NETWORK-DEVICES'!$B$3:$B$987&amp;"",'NETWORK-DEVICES'!$E$3:$E$987,""),"Peripheral",_xlfn.XLOOKUP($K357&amp;"",PERIPHERAL!$B$3:$B$954&amp;"",PERIPHERAL!$E$3:$E$954,""),"Utilities",_xlfn.XLOOKUP($K357&amp;"",UTILITIES!$B$3:$B$953&amp;"",UTILITIES!$E$3:$E$953,""),"IOT",_xlfn.XLOOKUP($K357&amp;"",IOT!$B$3:$B$1012&amp;"",IOT!$E$3:$E$1012,""),"Server",_xlfn.XLOOKUP($K357&amp;"",SERVER!$B$3:$B$1009&amp;"",SERVER!$E$3:$E$1009,""),""))))</f>
        <v/>
      </c>
      <c r="Q357" s="1" t="str" cm="1">
        <f t="array" ref="Q357">IF(OR($K357="",$I357="",$J357=""),"",_xlfn.LET(_xlpm.srcCat,_xlfn.SWITCH($I357,"Computer",_xlfn.XLOOKUP($K357&amp;"",COMPUTER!$B$3:$B$1009&amp;"",COMPUTER!$H$3:$H$1009,""),"Display",_xlfn.XLOOKUP($K357&amp;"",DISPLAY!$B$3:$B$1000&amp;"",DISPLAY!$H$3:$H$1000,""),"Network Device",_xlfn.XLOOKUP($K357&amp;"",'NETWORK-DEVICES'!$B$3:$B$987&amp;"",'NETWORK-DEVICES'!$H$3:$H$987,""),"Peripheral",_xlfn.XLOOKUP($K357&amp;"",PERIPHERAL!$B$3:$B$954&amp;"",PERIPHERAL!$H$3:$H$954,""),"Utilities",_xlfn.XLOOKUP($K357&amp;"",UTILITIES!$B$3:$B$953&amp;"",UTILITIES!$G$3:$G$953,""),"IOT",_xlfn.XLOOKUP($K357&amp;"",IOT!$B$3:$B$1012&amp;"",IOT!$H$3:$H$1012,""),"Server",_xlfn.XLOOKUP($K357&amp;"",SERVER!$B$3:$B$1009&amp;"",SERVER!$H$3:$H$1009,""),""),IF(TRIM(_xlpm.srcCat)&lt;&gt;TRIM($J357),"",_xlfn.SWITCH($I357,"Computer",_xlfn.XLOOKUP($K357&amp;"",COMPUTER!$B$3:$B$1009&amp;"",COMPUTER!$AM$3:$AM$1009,""),"Display",_xlfn.XLOOKUP($K357&amp;"",DISPLAY!$B$3:$B$1000&amp;"",DISPLAY!$V$3:$V$1000,""),"Network Device",_xlfn.XLOOKUP($K357&amp;"",'NETWORK-DEVICES'!$B$3:$B$987&amp;"",'NETWORK-DEVICES'!$AF$3:$AF$987,""),"Peripheral",_xlfn.XLOOKUP($K357&amp;"",PERIPHERAL!$B$3:$B$954&amp;"",PERIPHERAL!$Y$3:$Y$954,""),"Utilities",_xlfn.XLOOKUP($K357&amp;"",UTILITIES!$B$3:$B$953&amp;"",UTILITIES!$O$3:$O$953,""),"IOT",_xlfn.XLOOKUP($K357&amp;"",IOT!$B$3:$B$1012&amp;"",IOT!$AB$3:$AB$1012,""),"Server",_xlfn.XLOOKUP($K357&amp;"",SERVER!$B$3:$B$1009&amp;"",SERVER!$AB$3:$AB$1009,""),""))))</f>
        <v/>
      </c>
      <c r="R357" s="43" t="str">
        <f>IF(tbl_handover[[#This Row],[Asset Code]]="","",COUNTIF(tbl_handover[Asset Code],tbl_handover[[#This Row],[Asset Code]]))</f>
        <v/>
      </c>
    </row>
    <row r="358" spans="1:18" x14ac:dyDescent="0.25">
      <c r="A358" s="43" t="str">
        <f>IF(B358&lt;&gt;"",SUBTOTAL(3,$B$1:B357),"")</f>
        <v/>
      </c>
      <c r="C358" s="74"/>
      <c r="D358" s="74"/>
      <c r="G358" s="1"/>
      <c r="K358" s="42"/>
      <c r="L358" t="str" cm="1">
        <f t="array" ref="L358">IF($K358="","",_xlfn.SWITCH($I358,"Computer",_xlfn.XLOOKUP($K358&amp;"",COMPUTER!$B$3:$B$1009&amp;"",COMPUTER!$I$3:$I$1009,""),"Display",_xlfn.XLOOKUP($K358&amp;"",DISPLAY!$B$3:$B$1000&amp;"",DISPLAY!$J$3:$J$1000,""),"Network Device",_xlfn.XLOOKUP($K358&amp;"",'NETWORK-DEVICES'!$B$3:$B$987&amp;"",'NETWORK-DEVICES'!$I$3:$I$987,""),"Peripheral",_xlfn.XLOOKUP($K358&amp;"",PERIPHERAL!$B$3:$B$954&amp;"",PERIPHERAL!$I$3:$I$954,""),"Utilities",_xlfn.XLOOKUP($K358&amp;"",UTILITIES!$B$3:$B$953&amp;"",UTILITIES!$H$3:$H$953,""),"IOT",_xlfn.XLOOKUP($K358&amp;"",IOT!$B$3:$B$1012&amp;"",IOT!$I$3:$I$1012,""),"SERVER",_xlfn.XLOOKUP($K358&amp;"",SERVER!$B$3:$B$1009&amp;"",SERVER!$I$3:$I$1009,""),""))</f>
        <v/>
      </c>
      <c r="M358" t="str" cm="1">
        <f t="array" ref="M358">IF($K358="","",_xlfn.SWITCH($I358,"Computer",_xlfn.XLOOKUP($K358&amp;"",COMPUTER!$B$3:$B$1009&amp;"",COMPUTER!$J$3:$J$1009,""),"Display",_xlfn.XLOOKUP($K358&amp;"",DISPLAY!$B$3:$B$1000&amp;"",DISPLAY!$K$3:$K$1000,""),"Network Device",_xlfn.XLOOKUP($K358&amp;"",'NETWORK-DEVICES'!$B$3:$B$987&amp;"",'NETWORK-DEVICES'!$I$3:$I$987,""),"Peripheral",_xlfn.XLOOKUP($K358&amp;"",PERIPHERAL!$B$3:$B$954&amp;"",PERIPHERAL!$J$3:$J$954,""),"Utilities",_xlfn.XLOOKUP($K358&amp;"",UTILITIES!$B$3:$B$953&amp;"",UTILITIES!$I$3:$I$953,""),"IOT",_xlfn.XLOOKUP($K358&amp;"",IOT!$B$3:$B$1012&amp;"",IOT!$J$3:$J$1012,""),"Server",_xlfn.XLOOKUP($K358&amp;"",SERVER!$B$3:$B$1009&amp;"",SERVER!$J$3:$J$1009,""),""))</f>
        <v/>
      </c>
      <c r="N358" s="1" t="str" cm="1">
        <f t="array" ref="N358">IF(OR($K358="",$I358="",$J358=""),"",_xlfn.LET(_xlpm.srcCat,_xlfn.SWITCH($I358,"Computer",_xlfn.XLOOKUP($K358&amp;"",COMPUTER!$B$3:$B$1009&amp;"",COMPUTER!$H$3:$H$1009,""),"Display",_xlfn.XLOOKUP($K358&amp;"",DISPLAY!$B$3:$B$1000&amp;"",DISPLAY!$H$3:$H$1000,""),"Network Device",_xlfn.XLOOKUP($K358&amp;"",'NETWORK-DEVICES'!$B$3:$B$987&amp;"",'NETWORK-DEVICES'!$H$3:$H$987,""),"Peripheral",_xlfn.XLOOKUP($K358&amp;"",PERIPHERAL!$B$3:$B$954&amp;"",PERIPHERAL!$H$3:$H$954,""),"Utilities",_xlfn.XLOOKUP($K358&amp;"",UTILITIES!$B$3:$B$953&amp;"",UTILITIES!$G$3:$G$953,""),"IOT",_xlfn.XLOOKUP($K358&amp;"",IOT!$B$3:$B$1012&amp;"",IOT!$H$3:$H$1012,""),"Server",_xlfn.XLOOKUP($K358&amp;"",SERVER!$B$3:$B$1009&amp;"",SERVER!$H$3:$H$1009,""),""),IF(TRIM(_xlpm.srcCat)&lt;&gt;TRIM($J358),"",_xlfn.SWITCH($I358,"Computer",_xlfn.XLOOKUP($K358&amp;"",COMPUTER!$B$3:$B$1009&amp;"",COMPUTER!$K$3:$K$1009,""),"Display",_xlfn.XLOOKUP($K358&amp;"",DISPLAY!$B$3:$B$1000&amp;"",DISPLAY!$L$3:$L$1000,""),"Network Device",_xlfn.XLOOKUP($K358&amp;"",'NETWORK-DEVICES'!$B$3:$B$987&amp;"",'NETWORK-DEVICES'!$K$3:$K$987,""),"Peripheral",_xlfn.XLOOKUP($K358&amp;"",PERIPHERAL!$B$3:$B$954&amp;"",PERIPHERAL!$K$3:$K$954,""),"Utilities",_xlfn.XLOOKUP($K358&amp;"",UTILITIES!$B$3:$B$953&amp;"",UTILITIES!$J$3:$J$953,""),"IOT",_xlfn.XLOOKUP($K358&amp;"",IOT!$B$3:$B$1012&amp;"",IOT!$K$4:$K$1012,""),"Server",_xlfn.XLOOKUP($K358&amp;"",SERVER!$B$3:$B$1009&amp;"",SERVER!$K$3:$K$1009,""),""))))</f>
        <v/>
      </c>
      <c r="O358" s="1" t="str" cm="1">
        <f t="array" ref="O358">IF(OR($K358="",$I358="",$J358=""),"",_xlfn.LET(_xlpm.srcCat,_xlfn.SWITCH($I358,"Computer",_xlfn.XLOOKUP($K358&amp;"",COMPUTER!$B$3:$B$1009&amp;"",COMPUTER!$H$3:$H$1009,""),"Display",_xlfn.XLOOKUP($K358&amp;"",DISPLAY!$B$3:$B$1000&amp;"",DISPLAY!$H$3:$H$1000,""),"Network Device",_xlfn.XLOOKUP($K358&amp;"",'NETWORK-DEVICES'!$B$3:$B$987&amp;"",'NETWORK-DEVICES'!$H$3:$H$987,""),"Peripheral",_xlfn.XLOOKUP($K358&amp;"",PERIPHERAL!$B$3:$B$954&amp;"",PERIPHERAL!$H$3:$H$954,""),"Utilities",_xlfn.XLOOKUP($K358&amp;"",UTILITIES!$B$3:$B$953&amp;"",UTILITIES!$G$3:$G$953,""),"IOT",_xlfn.XLOOKUP($K358&amp;"",IOT!$B$3:$B$1012&amp;"",IOT!$H$3:$H$1012,""),"Server",_xlfn.XLOOKUP($K358&amp;"",SERVER!$B$3:$B$1009&amp;"",SERVER!$H$3:$H$1009,""),""),IF(TRIM(_xlpm.srcCat)&lt;&gt;TRIM($J358),"",_xlfn.SWITCH($I358,"Computer",_xlfn.XLOOKUP($K358&amp;"",COMPUTER!$B$3:$B$1009&amp;"",COMPUTER!$E$3:$E$1009,""),"Display",_xlfn.XLOOKUP($K358&amp;"",DISPLAY!$B$3:$B$1000&amp;"",DISPLAY!$E$3:$E$1000,""),"Network Device",_xlfn.XLOOKUP($K358&amp;"",'NETWORK-DEVICES'!$B$3:$B$987&amp;"",'NETWORK-DEVICES'!$E$3:$E$987,""),"Peripheral",_xlfn.XLOOKUP($K358&amp;"",PERIPHERAL!$B$3:$B$954&amp;"",PERIPHERAL!$E$3:$E$954,""),"Utilities",_xlfn.XLOOKUP($K358&amp;"",UTILITIES!$B$3:$B$953&amp;"",UTILITIES!$E$3:$E$953,""),"IOT",_xlfn.XLOOKUP($K358&amp;"",IOT!$B$3:$B$1012&amp;"",IOT!$E$3:$E$1012,""),"Server",_xlfn.XLOOKUP($K358&amp;"",SERVER!$B$3:$B$1009&amp;"",SERVER!$E$3:$E$1009,""),""))))</f>
        <v/>
      </c>
      <c r="Q358" s="1" t="str" cm="1">
        <f t="array" ref="Q358">IF(OR($K358="",$I358="",$J358=""),"",_xlfn.LET(_xlpm.srcCat,_xlfn.SWITCH($I358,"Computer",_xlfn.XLOOKUP($K358&amp;"",COMPUTER!$B$3:$B$1009&amp;"",COMPUTER!$H$3:$H$1009,""),"Display",_xlfn.XLOOKUP($K358&amp;"",DISPLAY!$B$3:$B$1000&amp;"",DISPLAY!$H$3:$H$1000,""),"Network Device",_xlfn.XLOOKUP($K358&amp;"",'NETWORK-DEVICES'!$B$3:$B$987&amp;"",'NETWORK-DEVICES'!$H$3:$H$987,""),"Peripheral",_xlfn.XLOOKUP($K358&amp;"",PERIPHERAL!$B$3:$B$954&amp;"",PERIPHERAL!$H$3:$H$954,""),"Utilities",_xlfn.XLOOKUP($K358&amp;"",UTILITIES!$B$3:$B$953&amp;"",UTILITIES!$G$3:$G$953,""),"IOT",_xlfn.XLOOKUP($K358&amp;"",IOT!$B$3:$B$1012&amp;"",IOT!$H$3:$H$1012,""),"Server",_xlfn.XLOOKUP($K358&amp;"",SERVER!$B$3:$B$1009&amp;"",SERVER!$H$3:$H$1009,""),""),IF(TRIM(_xlpm.srcCat)&lt;&gt;TRIM($J358),"",_xlfn.SWITCH($I358,"Computer",_xlfn.XLOOKUP($K358&amp;"",COMPUTER!$B$3:$B$1009&amp;"",COMPUTER!$AM$3:$AM$1009,""),"Display",_xlfn.XLOOKUP($K358&amp;"",DISPLAY!$B$3:$B$1000&amp;"",DISPLAY!$V$3:$V$1000,""),"Network Device",_xlfn.XLOOKUP($K358&amp;"",'NETWORK-DEVICES'!$B$3:$B$987&amp;"",'NETWORK-DEVICES'!$AF$3:$AF$987,""),"Peripheral",_xlfn.XLOOKUP($K358&amp;"",PERIPHERAL!$B$3:$B$954&amp;"",PERIPHERAL!$Y$3:$Y$954,""),"Utilities",_xlfn.XLOOKUP($K358&amp;"",UTILITIES!$B$3:$B$953&amp;"",UTILITIES!$O$3:$O$953,""),"IOT",_xlfn.XLOOKUP($K358&amp;"",IOT!$B$3:$B$1012&amp;"",IOT!$AB$3:$AB$1012,""),"Server",_xlfn.XLOOKUP($K358&amp;"",SERVER!$B$3:$B$1009&amp;"",SERVER!$AB$3:$AB$1009,""),""))))</f>
        <v/>
      </c>
      <c r="R358" s="43" t="str">
        <f>IF(tbl_handover[[#This Row],[Asset Code]]="","",COUNTIF(tbl_handover[Asset Code],tbl_handover[[#This Row],[Asset Code]]))</f>
        <v/>
      </c>
    </row>
    <row r="359" spans="1:18" x14ac:dyDescent="0.25">
      <c r="A359" s="43" t="str">
        <f>IF(B359&lt;&gt;"",SUBTOTAL(3,$B$1:B358),"")</f>
        <v/>
      </c>
      <c r="C359" s="74"/>
      <c r="D359" s="74"/>
      <c r="G359" s="1"/>
      <c r="K359" s="42"/>
      <c r="L359" t="str" cm="1">
        <f t="array" ref="L359">IF($K359="","",_xlfn.SWITCH($I359,"Computer",_xlfn.XLOOKUP($K359&amp;"",COMPUTER!$B$3:$B$1009&amp;"",COMPUTER!$I$3:$I$1009,""),"Display",_xlfn.XLOOKUP($K359&amp;"",DISPLAY!$B$3:$B$1000&amp;"",DISPLAY!$J$3:$J$1000,""),"Network Device",_xlfn.XLOOKUP($K359&amp;"",'NETWORK-DEVICES'!$B$3:$B$987&amp;"",'NETWORK-DEVICES'!$I$3:$I$987,""),"Peripheral",_xlfn.XLOOKUP($K359&amp;"",PERIPHERAL!$B$3:$B$954&amp;"",PERIPHERAL!$I$3:$I$954,""),"Utilities",_xlfn.XLOOKUP($K359&amp;"",UTILITIES!$B$3:$B$953&amp;"",UTILITIES!$H$3:$H$953,""),"IOT",_xlfn.XLOOKUP($K359&amp;"",IOT!$B$3:$B$1012&amp;"",IOT!$I$3:$I$1012,""),"SERVER",_xlfn.XLOOKUP($K359&amp;"",SERVER!$B$3:$B$1009&amp;"",SERVER!$I$3:$I$1009,""),""))</f>
        <v/>
      </c>
      <c r="M359" t="str" cm="1">
        <f t="array" ref="M359">IF($K359="","",_xlfn.SWITCH($I359,"Computer",_xlfn.XLOOKUP($K359&amp;"",COMPUTER!$B$3:$B$1009&amp;"",COMPUTER!$J$3:$J$1009,""),"Display",_xlfn.XLOOKUP($K359&amp;"",DISPLAY!$B$3:$B$1000&amp;"",DISPLAY!$K$3:$K$1000,""),"Network Device",_xlfn.XLOOKUP($K359&amp;"",'NETWORK-DEVICES'!$B$3:$B$987&amp;"",'NETWORK-DEVICES'!$I$3:$I$987,""),"Peripheral",_xlfn.XLOOKUP($K359&amp;"",PERIPHERAL!$B$3:$B$954&amp;"",PERIPHERAL!$J$3:$J$954,""),"Utilities",_xlfn.XLOOKUP($K359&amp;"",UTILITIES!$B$3:$B$953&amp;"",UTILITIES!$I$3:$I$953,""),"IOT",_xlfn.XLOOKUP($K359&amp;"",IOT!$B$3:$B$1012&amp;"",IOT!$J$3:$J$1012,""),"Server",_xlfn.XLOOKUP($K359&amp;"",SERVER!$B$3:$B$1009&amp;"",SERVER!$J$3:$J$1009,""),""))</f>
        <v/>
      </c>
      <c r="N359" s="1" t="str" cm="1">
        <f t="array" ref="N359">IF(OR($K359="",$I359="",$J359=""),"",_xlfn.LET(_xlpm.srcCat,_xlfn.SWITCH($I359,"Computer",_xlfn.XLOOKUP($K359&amp;"",COMPUTER!$B$3:$B$1009&amp;"",COMPUTER!$H$3:$H$1009,""),"Display",_xlfn.XLOOKUP($K359&amp;"",DISPLAY!$B$3:$B$1000&amp;"",DISPLAY!$H$3:$H$1000,""),"Network Device",_xlfn.XLOOKUP($K359&amp;"",'NETWORK-DEVICES'!$B$3:$B$987&amp;"",'NETWORK-DEVICES'!$H$3:$H$987,""),"Peripheral",_xlfn.XLOOKUP($K359&amp;"",PERIPHERAL!$B$3:$B$954&amp;"",PERIPHERAL!$H$3:$H$954,""),"Utilities",_xlfn.XLOOKUP($K359&amp;"",UTILITIES!$B$3:$B$953&amp;"",UTILITIES!$G$3:$G$953,""),"IOT",_xlfn.XLOOKUP($K359&amp;"",IOT!$B$3:$B$1012&amp;"",IOT!$H$3:$H$1012,""),"Server",_xlfn.XLOOKUP($K359&amp;"",SERVER!$B$3:$B$1009&amp;"",SERVER!$H$3:$H$1009,""),""),IF(TRIM(_xlpm.srcCat)&lt;&gt;TRIM($J359),"",_xlfn.SWITCH($I359,"Computer",_xlfn.XLOOKUP($K359&amp;"",COMPUTER!$B$3:$B$1009&amp;"",COMPUTER!$K$3:$K$1009,""),"Display",_xlfn.XLOOKUP($K359&amp;"",DISPLAY!$B$3:$B$1000&amp;"",DISPLAY!$L$3:$L$1000,""),"Network Device",_xlfn.XLOOKUP($K359&amp;"",'NETWORK-DEVICES'!$B$3:$B$987&amp;"",'NETWORK-DEVICES'!$K$3:$K$987,""),"Peripheral",_xlfn.XLOOKUP($K359&amp;"",PERIPHERAL!$B$3:$B$954&amp;"",PERIPHERAL!$K$3:$K$954,""),"Utilities",_xlfn.XLOOKUP($K359&amp;"",UTILITIES!$B$3:$B$953&amp;"",UTILITIES!$J$3:$J$953,""),"IOT",_xlfn.XLOOKUP($K359&amp;"",IOT!$B$3:$B$1012&amp;"",IOT!$K$4:$K$1012,""),"Server",_xlfn.XLOOKUP($K359&amp;"",SERVER!$B$3:$B$1009&amp;"",SERVER!$K$3:$K$1009,""),""))))</f>
        <v/>
      </c>
      <c r="O359" s="1" t="str" cm="1">
        <f t="array" ref="O359">IF(OR($K359="",$I359="",$J359=""),"",_xlfn.LET(_xlpm.srcCat,_xlfn.SWITCH($I359,"Computer",_xlfn.XLOOKUP($K359&amp;"",COMPUTER!$B$3:$B$1009&amp;"",COMPUTER!$H$3:$H$1009,""),"Display",_xlfn.XLOOKUP($K359&amp;"",DISPLAY!$B$3:$B$1000&amp;"",DISPLAY!$H$3:$H$1000,""),"Network Device",_xlfn.XLOOKUP($K359&amp;"",'NETWORK-DEVICES'!$B$3:$B$987&amp;"",'NETWORK-DEVICES'!$H$3:$H$987,""),"Peripheral",_xlfn.XLOOKUP($K359&amp;"",PERIPHERAL!$B$3:$B$954&amp;"",PERIPHERAL!$H$3:$H$954,""),"Utilities",_xlfn.XLOOKUP($K359&amp;"",UTILITIES!$B$3:$B$953&amp;"",UTILITIES!$G$3:$G$953,""),"IOT",_xlfn.XLOOKUP($K359&amp;"",IOT!$B$3:$B$1012&amp;"",IOT!$H$3:$H$1012,""),"Server",_xlfn.XLOOKUP($K359&amp;"",SERVER!$B$3:$B$1009&amp;"",SERVER!$H$3:$H$1009,""),""),IF(TRIM(_xlpm.srcCat)&lt;&gt;TRIM($J359),"",_xlfn.SWITCH($I359,"Computer",_xlfn.XLOOKUP($K359&amp;"",COMPUTER!$B$3:$B$1009&amp;"",COMPUTER!$E$3:$E$1009,""),"Display",_xlfn.XLOOKUP($K359&amp;"",DISPLAY!$B$3:$B$1000&amp;"",DISPLAY!$E$3:$E$1000,""),"Network Device",_xlfn.XLOOKUP($K359&amp;"",'NETWORK-DEVICES'!$B$3:$B$987&amp;"",'NETWORK-DEVICES'!$E$3:$E$987,""),"Peripheral",_xlfn.XLOOKUP($K359&amp;"",PERIPHERAL!$B$3:$B$954&amp;"",PERIPHERAL!$E$3:$E$954,""),"Utilities",_xlfn.XLOOKUP($K359&amp;"",UTILITIES!$B$3:$B$953&amp;"",UTILITIES!$E$3:$E$953,""),"IOT",_xlfn.XLOOKUP($K359&amp;"",IOT!$B$3:$B$1012&amp;"",IOT!$E$3:$E$1012,""),"Server",_xlfn.XLOOKUP($K359&amp;"",SERVER!$B$3:$B$1009&amp;"",SERVER!$E$3:$E$1009,""),""))))</f>
        <v/>
      </c>
      <c r="Q359" s="1" t="str" cm="1">
        <f t="array" ref="Q359">IF(OR($K359="",$I359="",$J359=""),"",_xlfn.LET(_xlpm.srcCat,_xlfn.SWITCH($I359,"Computer",_xlfn.XLOOKUP($K359&amp;"",COMPUTER!$B$3:$B$1009&amp;"",COMPUTER!$H$3:$H$1009,""),"Display",_xlfn.XLOOKUP($K359&amp;"",DISPLAY!$B$3:$B$1000&amp;"",DISPLAY!$H$3:$H$1000,""),"Network Device",_xlfn.XLOOKUP($K359&amp;"",'NETWORK-DEVICES'!$B$3:$B$987&amp;"",'NETWORK-DEVICES'!$H$3:$H$987,""),"Peripheral",_xlfn.XLOOKUP($K359&amp;"",PERIPHERAL!$B$3:$B$954&amp;"",PERIPHERAL!$H$3:$H$954,""),"Utilities",_xlfn.XLOOKUP($K359&amp;"",UTILITIES!$B$3:$B$953&amp;"",UTILITIES!$G$3:$G$953,""),"IOT",_xlfn.XLOOKUP($K359&amp;"",IOT!$B$3:$B$1012&amp;"",IOT!$H$3:$H$1012,""),"Server",_xlfn.XLOOKUP($K359&amp;"",SERVER!$B$3:$B$1009&amp;"",SERVER!$H$3:$H$1009,""),""),IF(TRIM(_xlpm.srcCat)&lt;&gt;TRIM($J359),"",_xlfn.SWITCH($I359,"Computer",_xlfn.XLOOKUP($K359&amp;"",COMPUTER!$B$3:$B$1009&amp;"",COMPUTER!$AM$3:$AM$1009,""),"Display",_xlfn.XLOOKUP($K359&amp;"",DISPLAY!$B$3:$B$1000&amp;"",DISPLAY!$V$3:$V$1000,""),"Network Device",_xlfn.XLOOKUP($K359&amp;"",'NETWORK-DEVICES'!$B$3:$B$987&amp;"",'NETWORK-DEVICES'!$AF$3:$AF$987,""),"Peripheral",_xlfn.XLOOKUP($K359&amp;"",PERIPHERAL!$B$3:$B$954&amp;"",PERIPHERAL!$Y$3:$Y$954,""),"Utilities",_xlfn.XLOOKUP($K359&amp;"",UTILITIES!$B$3:$B$953&amp;"",UTILITIES!$O$3:$O$953,""),"IOT",_xlfn.XLOOKUP($K359&amp;"",IOT!$B$3:$B$1012&amp;"",IOT!$AB$3:$AB$1012,""),"Server",_xlfn.XLOOKUP($K359&amp;"",SERVER!$B$3:$B$1009&amp;"",SERVER!$AB$3:$AB$1009,""),""))))</f>
        <v/>
      </c>
      <c r="R359" s="43" t="str">
        <f>IF(tbl_handover[[#This Row],[Asset Code]]="","",COUNTIF(tbl_handover[Asset Code],tbl_handover[[#This Row],[Asset Code]]))</f>
        <v/>
      </c>
    </row>
    <row r="360" spans="1:18" x14ac:dyDescent="0.25">
      <c r="A360" s="43" t="str">
        <f>IF(B360&lt;&gt;"",SUBTOTAL(3,$B$1:B359),"")</f>
        <v/>
      </c>
      <c r="C360" s="74"/>
      <c r="D360" s="74"/>
      <c r="G360" s="1"/>
      <c r="K360" s="42"/>
      <c r="L360" t="str" cm="1">
        <f t="array" ref="L360">IF($K360="","",_xlfn.SWITCH($I360,"Computer",_xlfn.XLOOKUP($K360&amp;"",COMPUTER!$B$3:$B$1009&amp;"",COMPUTER!$I$3:$I$1009,""),"Display",_xlfn.XLOOKUP($K360&amp;"",DISPLAY!$B$3:$B$1000&amp;"",DISPLAY!$J$3:$J$1000,""),"Network Device",_xlfn.XLOOKUP($K360&amp;"",'NETWORK-DEVICES'!$B$3:$B$987&amp;"",'NETWORK-DEVICES'!$I$3:$I$987,""),"Peripheral",_xlfn.XLOOKUP($K360&amp;"",PERIPHERAL!$B$3:$B$954&amp;"",PERIPHERAL!$I$3:$I$954,""),"Utilities",_xlfn.XLOOKUP($K360&amp;"",UTILITIES!$B$3:$B$953&amp;"",UTILITIES!$H$3:$H$953,""),"IOT",_xlfn.XLOOKUP($K360&amp;"",IOT!$B$3:$B$1012&amp;"",IOT!$I$3:$I$1012,""),"SERVER",_xlfn.XLOOKUP($K360&amp;"",SERVER!$B$3:$B$1009&amp;"",SERVER!$I$3:$I$1009,""),""))</f>
        <v/>
      </c>
      <c r="M360" t="str" cm="1">
        <f t="array" ref="M360">IF($K360="","",_xlfn.SWITCH($I360,"Computer",_xlfn.XLOOKUP($K360&amp;"",COMPUTER!$B$3:$B$1009&amp;"",COMPUTER!$J$3:$J$1009,""),"Display",_xlfn.XLOOKUP($K360&amp;"",DISPLAY!$B$3:$B$1000&amp;"",DISPLAY!$K$3:$K$1000,""),"Network Device",_xlfn.XLOOKUP($K360&amp;"",'NETWORK-DEVICES'!$B$3:$B$987&amp;"",'NETWORK-DEVICES'!$I$3:$I$987,""),"Peripheral",_xlfn.XLOOKUP($K360&amp;"",PERIPHERAL!$B$3:$B$954&amp;"",PERIPHERAL!$J$3:$J$954,""),"Utilities",_xlfn.XLOOKUP($K360&amp;"",UTILITIES!$B$3:$B$953&amp;"",UTILITIES!$I$3:$I$953,""),"IOT",_xlfn.XLOOKUP($K360&amp;"",IOT!$B$3:$B$1012&amp;"",IOT!$J$3:$J$1012,""),"Server",_xlfn.XLOOKUP($K360&amp;"",SERVER!$B$3:$B$1009&amp;"",SERVER!$J$3:$J$1009,""),""))</f>
        <v/>
      </c>
      <c r="N360" s="1" t="str" cm="1">
        <f t="array" ref="N360">IF(OR($K360="",$I360="",$J360=""),"",_xlfn.LET(_xlpm.srcCat,_xlfn.SWITCH($I360,"Computer",_xlfn.XLOOKUP($K360&amp;"",COMPUTER!$B$3:$B$1009&amp;"",COMPUTER!$H$3:$H$1009,""),"Display",_xlfn.XLOOKUP($K360&amp;"",DISPLAY!$B$3:$B$1000&amp;"",DISPLAY!$H$3:$H$1000,""),"Network Device",_xlfn.XLOOKUP($K360&amp;"",'NETWORK-DEVICES'!$B$3:$B$987&amp;"",'NETWORK-DEVICES'!$H$3:$H$987,""),"Peripheral",_xlfn.XLOOKUP($K360&amp;"",PERIPHERAL!$B$3:$B$954&amp;"",PERIPHERAL!$H$3:$H$954,""),"Utilities",_xlfn.XLOOKUP($K360&amp;"",UTILITIES!$B$3:$B$953&amp;"",UTILITIES!$G$3:$G$953,""),"IOT",_xlfn.XLOOKUP($K360&amp;"",IOT!$B$3:$B$1012&amp;"",IOT!$H$3:$H$1012,""),"Server",_xlfn.XLOOKUP($K360&amp;"",SERVER!$B$3:$B$1009&amp;"",SERVER!$H$3:$H$1009,""),""),IF(TRIM(_xlpm.srcCat)&lt;&gt;TRIM($J360),"",_xlfn.SWITCH($I360,"Computer",_xlfn.XLOOKUP($K360&amp;"",COMPUTER!$B$3:$B$1009&amp;"",COMPUTER!$K$3:$K$1009,""),"Display",_xlfn.XLOOKUP($K360&amp;"",DISPLAY!$B$3:$B$1000&amp;"",DISPLAY!$L$3:$L$1000,""),"Network Device",_xlfn.XLOOKUP($K360&amp;"",'NETWORK-DEVICES'!$B$3:$B$987&amp;"",'NETWORK-DEVICES'!$K$3:$K$987,""),"Peripheral",_xlfn.XLOOKUP($K360&amp;"",PERIPHERAL!$B$3:$B$954&amp;"",PERIPHERAL!$K$3:$K$954,""),"Utilities",_xlfn.XLOOKUP($K360&amp;"",UTILITIES!$B$3:$B$953&amp;"",UTILITIES!$J$3:$J$953,""),"IOT",_xlfn.XLOOKUP($K360&amp;"",IOT!$B$3:$B$1012&amp;"",IOT!$K$4:$K$1012,""),"Server",_xlfn.XLOOKUP($K360&amp;"",SERVER!$B$3:$B$1009&amp;"",SERVER!$K$3:$K$1009,""),""))))</f>
        <v/>
      </c>
      <c r="O360" s="1" t="str" cm="1">
        <f t="array" ref="O360">IF(OR($K360="",$I360="",$J360=""),"",_xlfn.LET(_xlpm.srcCat,_xlfn.SWITCH($I360,"Computer",_xlfn.XLOOKUP($K360&amp;"",COMPUTER!$B$3:$B$1009&amp;"",COMPUTER!$H$3:$H$1009,""),"Display",_xlfn.XLOOKUP($K360&amp;"",DISPLAY!$B$3:$B$1000&amp;"",DISPLAY!$H$3:$H$1000,""),"Network Device",_xlfn.XLOOKUP($K360&amp;"",'NETWORK-DEVICES'!$B$3:$B$987&amp;"",'NETWORK-DEVICES'!$H$3:$H$987,""),"Peripheral",_xlfn.XLOOKUP($K360&amp;"",PERIPHERAL!$B$3:$B$954&amp;"",PERIPHERAL!$H$3:$H$954,""),"Utilities",_xlfn.XLOOKUP($K360&amp;"",UTILITIES!$B$3:$B$953&amp;"",UTILITIES!$G$3:$G$953,""),"IOT",_xlfn.XLOOKUP($K360&amp;"",IOT!$B$3:$B$1012&amp;"",IOT!$H$3:$H$1012,""),"Server",_xlfn.XLOOKUP($K360&amp;"",SERVER!$B$3:$B$1009&amp;"",SERVER!$H$3:$H$1009,""),""),IF(TRIM(_xlpm.srcCat)&lt;&gt;TRIM($J360),"",_xlfn.SWITCH($I360,"Computer",_xlfn.XLOOKUP($K360&amp;"",COMPUTER!$B$3:$B$1009&amp;"",COMPUTER!$E$3:$E$1009,""),"Display",_xlfn.XLOOKUP($K360&amp;"",DISPLAY!$B$3:$B$1000&amp;"",DISPLAY!$E$3:$E$1000,""),"Network Device",_xlfn.XLOOKUP($K360&amp;"",'NETWORK-DEVICES'!$B$3:$B$987&amp;"",'NETWORK-DEVICES'!$E$3:$E$987,""),"Peripheral",_xlfn.XLOOKUP($K360&amp;"",PERIPHERAL!$B$3:$B$954&amp;"",PERIPHERAL!$E$3:$E$954,""),"Utilities",_xlfn.XLOOKUP($K360&amp;"",UTILITIES!$B$3:$B$953&amp;"",UTILITIES!$E$3:$E$953,""),"IOT",_xlfn.XLOOKUP($K360&amp;"",IOT!$B$3:$B$1012&amp;"",IOT!$E$3:$E$1012,""),"Server",_xlfn.XLOOKUP($K360&amp;"",SERVER!$B$3:$B$1009&amp;"",SERVER!$E$3:$E$1009,""),""))))</f>
        <v/>
      </c>
      <c r="Q360" s="1" t="str" cm="1">
        <f t="array" ref="Q360">IF(OR($K360="",$I360="",$J360=""),"",_xlfn.LET(_xlpm.srcCat,_xlfn.SWITCH($I360,"Computer",_xlfn.XLOOKUP($K360&amp;"",COMPUTER!$B$3:$B$1009&amp;"",COMPUTER!$H$3:$H$1009,""),"Display",_xlfn.XLOOKUP($K360&amp;"",DISPLAY!$B$3:$B$1000&amp;"",DISPLAY!$H$3:$H$1000,""),"Network Device",_xlfn.XLOOKUP($K360&amp;"",'NETWORK-DEVICES'!$B$3:$B$987&amp;"",'NETWORK-DEVICES'!$H$3:$H$987,""),"Peripheral",_xlfn.XLOOKUP($K360&amp;"",PERIPHERAL!$B$3:$B$954&amp;"",PERIPHERAL!$H$3:$H$954,""),"Utilities",_xlfn.XLOOKUP($K360&amp;"",UTILITIES!$B$3:$B$953&amp;"",UTILITIES!$G$3:$G$953,""),"IOT",_xlfn.XLOOKUP($K360&amp;"",IOT!$B$3:$B$1012&amp;"",IOT!$H$3:$H$1012,""),"Server",_xlfn.XLOOKUP($K360&amp;"",SERVER!$B$3:$B$1009&amp;"",SERVER!$H$3:$H$1009,""),""),IF(TRIM(_xlpm.srcCat)&lt;&gt;TRIM($J360),"",_xlfn.SWITCH($I360,"Computer",_xlfn.XLOOKUP($K360&amp;"",COMPUTER!$B$3:$B$1009&amp;"",COMPUTER!$AM$3:$AM$1009,""),"Display",_xlfn.XLOOKUP($K360&amp;"",DISPLAY!$B$3:$B$1000&amp;"",DISPLAY!$V$3:$V$1000,""),"Network Device",_xlfn.XLOOKUP($K360&amp;"",'NETWORK-DEVICES'!$B$3:$B$987&amp;"",'NETWORK-DEVICES'!$AF$3:$AF$987,""),"Peripheral",_xlfn.XLOOKUP($K360&amp;"",PERIPHERAL!$B$3:$B$954&amp;"",PERIPHERAL!$Y$3:$Y$954,""),"Utilities",_xlfn.XLOOKUP($K360&amp;"",UTILITIES!$B$3:$B$953&amp;"",UTILITIES!$O$3:$O$953,""),"IOT",_xlfn.XLOOKUP($K360&amp;"",IOT!$B$3:$B$1012&amp;"",IOT!$AB$3:$AB$1012,""),"Server",_xlfn.XLOOKUP($K360&amp;"",SERVER!$B$3:$B$1009&amp;"",SERVER!$AB$3:$AB$1009,""),""))))</f>
        <v/>
      </c>
      <c r="R360" s="43" t="str">
        <f>IF(tbl_handover[[#This Row],[Asset Code]]="","",COUNTIF(tbl_handover[Asset Code],tbl_handover[[#This Row],[Asset Code]]))</f>
        <v/>
      </c>
    </row>
    <row r="361" spans="1:18" x14ac:dyDescent="0.25">
      <c r="A361" s="43" t="str">
        <f>IF(B361&lt;&gt;"",SUBTOTAL(3,$B$1:B360),"")</f>
        <v/>
      </c>
      <c r="C361" s="74"/>
      <c r="D361" s="74"/>
      <c r="G361" s="1"/>
      <c r="K361" s="42"/>
      <c r="L361" t="str" cm="1">
        <f t="array" ref="L361">IF($K361="","",_xlfn.SWITCH($I361,"Computer",_xlfn.XLOOKUP($K361&amp;"",COMPUTER!$B$3:$B$1009&amp;"",COMPUTER!$I$3:$I$1009,""),"Display",_xlfn.XLOOKUP($K361&amp;"",DISPLAY!$B$3:$B$1000&amp;"",DISPLAY!$J$3:$J$1000,""),"Network Device",_xlfn.XLOOKUP($K361&amp;"",'NETWORK-DEVICES'!$B$3:$B$987&amp;"",'NETWORK-DEVICES'!$I$3:$I$987,""),"Peripheral",_xlfn.XLOOKUP($K361&amp;"",PERIPHERAL!$B$3:$B$954&amp;"",PERIPHERAL!$I$3:$I$954,""),"Utilities",_xlfn.XLOOKUP($K361&amp;"",UTILITIES!$B$3:$B$953&amp;"",UTILITIES!$H$3:$H$953,""),"IOT",_xlfn.XLOOKUP($K361&amp;"",IOT!$B$3:$B$1012&amp;"",IOT!$I$3:$I$1012,""),"SERVER",_xlfn.XLOOKUP($K361&amp;"",SERVER!$B$3:$B$1009&amp;"",SERVER!$I$3:$I$1009,""),""))</f>
        <v/>
      </c>
      <c r="M361" t="str" cm="1">
        <f t="array" ref="M361">IF($K361="","",_xlfn.SWITCH($I361,"Computer",_xlfn.XLOOKUP($K361&amp;"",COMPUTER!$B$3:$B$1009&amp;"",COMPUTER!$J$3:$J$1009,""),"Display",_xlfn.XLOOKUP($K361&amp;"",DISPLAY!$B$3:$B$1000&amp;"",DISPLAY!$K$3:$K$1000,""),"Network Device",_xlfn.XLOOKUP($K361&amp;"",'NETWORK-DEVICES'!$B$3:$B$987&amp;"",'NETWORK-DEVICES'!$I$3:$I$987,""),"Peripheral",_xlfn.XLOOKUP($K361&amp;"",PERIPHERAL!$B$3:$B$954&amp;"",PERIPHERAL!$J$3:$J$954,""),"Utilities",_xlfn.XLOOKUP($K361&amp;"",UTILITIES!$B$3:$B$953&amp;"",UTILITIES!$I$3:$I$953,""),"IOT",_xlfn.XLOOKUP($K361&amp;"",IOT!$B$3:$B$1012&amp;"",IOT!$J$3:$J$1012,""),"Server",_xlfn.XLOOKUP($K361&amp;"",SERVER!$B$3:$B$1009&amp;"",SERVER!$J$3:$J$1009,""),""))</f>
        <v/>
      </c>
      <c r="N361" s="1" t="str" cm="1">
        <f t="array" ref="N361">IF(OR($K361="",$I361="",$J361=""),"",_xlfn.LET(_xlpm.srcCat,_xlfn.SWITCH($I361,"Computer",_xlfn.XLOOKUP($K361&amp;"",COMPUTER!$B$3:$B$1009&amp;"",COMPUTER!$H$3:$H$1009,""),"Display",_xlfn.XLOOKUP($K361&amp;"",DISPLAY!$B$3:$B$1000&amp;"",DISPLAY!$H$3:$H$1000,""),"Network Device",_xlfn.XLOOKUP($K361&amp;"",'NETWORK-DEVICES'!$B$3:$B$987&amp;"",'NETWORK-DEVICES'!$H$3:$H$987,""),"Peripheral",_xlfn.XLOOKUP($K361&amp;"",PERIPHERAL!$B$3:$B$954&amp;"",PERIPHERAL!$H$3:$H$954,""),"Utilities",_xlfn.XLOOKUP($K361&amp;"",UTILITIES!$B$3:$B$953&amp;"",UTILITIES!$G$3:$G$953,""),"IOT",_xlfn.XLOOKUP($K361&amp;"",IOT!$B$3:$B$1012&amp;"",IOT!$H$3:$H$1012,""),"Server",_xlfn.XLOOKUP($K361&amp;"",SERVER!$B$3:$B$1009&amp;"",SERVER!$H$3:$H$1009,""),""),IF(TRIM(_xlpm.srcCat)&lt;&gt;TRIM($J361),"",_xlfn.SWITCH($I361,"Computer",_xlfn.XLOOKUP($K361&amp;"",COMPUTER!$B$3:$B$1009&amp;"",COMPUTER!$K$3:$K$1009,""),"Display",_xlfn.XLOOKUP($K361&amp;"",DISPLAY!$B$3:$B$1000&amp;"",DISPLAY!$L$3:$L$1000,""),"Network Device",_xlfn.XLOOKUP($K361&amp;"",'NETWORK-DEVICES'!$B$3:$B$987&amp;"",'NETWORK-DEVICES'!$K$3:$K$987,""),"Peripheral",_xlfn.XLOOKUP($K361&amp;"",PERIPHERAL!$B$3:$B$954&amp;"",PERIPHERAL!$K$3:$K$954,""),"Utilities",_xlfn.XLOOKUP($K361&amp;"",UTILITIES!$B$3:$B$953&amp;"",UTILITIES!$J$3:$J$953,""),"IOT",_xlfn.XLOOKUP($K361&amp;"",IOT!$B$3:$B$1012&amp;"",IOT!$K$4:$K$1012,""),"Server",_xlfn.XLOOKUP($K361&amp;"",SERVER!$B$3:$B$1009&amp;"",SERVER!$K$3:$K$1009,""),""))))</f>
        <v/>
      </c>
      <c r="O361" s="1" t="str" cm="1">
        <f t="array" ref="O361">IF(OR($K361="",$I361="",$J361=""),"",_xlfn.LET(_xlpm.srcCat,_xlfn.SWITCH($I361,"Computer",_xlfn.XLOOKUP($K361&amp;"",COMPUTER!$B$3:$B$1009&amp;"",COMPUTER!$H$3:$H$1009,""),"Display",_xlfn.XLOOKUP($K361&amp;"",DISPLAY!$B$3:$B$1000&amp;"",DISPLAY!$H$3:$H$1000,""),"Network Device",_xlfn.XLOOKUP($K361&amp;"",'NETWORK-DEVICES'!$B$3:$B$987&amp;"",'NETWORK-DEVICES'!$H$3:$H$987,""),"Peripheral",_xlfn.XLOOKUP($K361&amp;"",PERIPHERAL!$B$3:$B$954&amp;"",PERIPHERAL!$H$3:$H$954,""),"Utilities",_xlfn.XLOOKUP($K361&amp;"",UTILITIES!$B$3:$B$953&amp;"",UTILITIES!$G$3:$G$953,""),"IOT",_xlfn.XLOOKUP($K361&amp;"",IOT!$B$3:$B$1012&amp;"",IOT!$H$3:$H$1012,""),"Server",_xlfn.XLOOKUP($K361&amp;"",SERVER!$B$3:$B$1009&amp;"",SERVER!$H$3:$H$1009,""),""),IF(TRIM(_xlpm.srcCat)&lt;&gt;TRIM($J361),"",_xlfn.SWITCH($I361,"Computer",_xlfn.XLOOKUP($K361&amp;"",COMPUTER!$B$3:$B$1009&amp;"",COMPUTER!$E$3:$E$1009,""),"Display",_xlfn.XLOOKUP($K361&amp;"",DISPLAY!$B$3:$B$1000&amp;"",DISPLAY!$E$3:$E$1000,""),"Network Device",_xlfn.XLOOKUP($K361&amp;"",'NETWORK-DEVICES'!$B$3:$B$987&amp;"",'NETWORK-DEVICES'!$E$3:$E$987,""),"Peripheral",_xlfn.XLOOKUP($K361&amp;"",PERIPHERAL!$B$3:$B$954&amp;"",PERIPHERAL!$E$3:$E$954,""),"Utilities",_xlfn.XLOOKUP($K361&amp;"",UTILITIES!$B$3:$B$953&amp;"",UTILITIES!$E$3:$E$953,""),"IOT",_xlfn.XLOOKUP($K361&amp;"",IOT!$B$3:$B$1012&amp;"",IOT!$E$3:$E$1012,""),"Server",_xlfn.XLOOKUP($K361&amp;"",SERVER!$B$3:$B$1009&amp;"",SERVER!$E$3:$E$1009,""),""))))</f>
        <v/>
      </c>
      <c r="Q361" s="1" t="str" cm="1">
        <f t="array" ref="Q361">IF(OR($K361="",$I361="",$J361=""),"",_xlfn.LET(_xlpm.srcCat,_xlfn.SWITCH($I361,"Computer",_xlfn.XLOOKUP($K361&amp;"",COMPUTER!$B$3:$B$1009&amp;"",COMPUTER!$H$3:$H$1009,""),"Display",_xlfn.XLOOKUP($K361&amp;"",DISPLAY!$B$3:$B$1000&amp;"",DISPLAY!$H$3:$H$1000,""),"Network Device",_xlfn.XLOOKUP($K361&amp;"",'NETWORK-DEVICES'!$B$3:$B$987&amp;"",'NETWORK-DEVICES'!$H$3:$H$987,""),"Peripheral",_xlfn.XLOOKUP($K361&amp;"",PERIPHERAL!$B$3:$B$954&amp;"",PERIPHERAL!$H$3:$H$954,""),"Utilities",_xlfn.XLOOKUP($K361&amp;"",UTILITIES!$B$3:$B$953&amp;"",UTILITIES!$G$3:$G$953,""),"IOT",_xlfn.XLOOKUP($K361&amp;"",IOT!$B$3:$B$1012&amp;"",IOT!$H$3:$H$1012,""),"Server",_xlfn.XLOOKUP($K361&amp;"",SERVER!$B$3:$B$1009&amp;"",SERVER!$H$3:$H$1009,""),""),IF(TRIM(_xlpm.srcCat)&lt;&gt;TRIM($J361),"",_xlfn.SWITCH($I361,"Computer",_xlfn.XLOOKUP($K361&amp;"",COMPUTER!$B$3:$B$1009&amp;"",COMPUTER!$AM$3:$AM$1009,""),"Display",_xlfn.XLOOKUP($K361&amp;"",DISPLAY!$B$3:$B$1000&amp;"",DISPLAY!$V$3:$V$1000,""),"Network Device",_xlfn.XLOOKUP($K361&amp;"",'NETWORK-DEVICES'!$B$3:$B$987&amp;"",'NETWORK-DEVICES'!$AF$3:$AF$987,""),"Peripheral",_xlfn.XLOOKUP($K361&amp;"",PERIPHERAL!$B$3:$B$954&amp;"",PERIPHERAL!$Y$3:$Y$954,""),"Utilities",_xlfn.XLOOKUP($K361&amp;"",UTILITIES!$B$3:$B$953&amp;"",UTILITIES!$O$3:$O$953,""),"IOT",_xlfn.XLOOKUP($K361&amp;"",IOT!$B$3:$B$1012&amp;"",IOT!$AB$3:$AB$1012,""),"Server",_xlfn.XLOOKUP($K361&amp;"",SERVER!$B$3:$B$1009&amp;"",SERVER!$AB$3:$AB$1009,""),""))))</f>
        <v/>
      </c>
      <c r="R361" s="43" t="str">
        <f>IF(tbl_handover[[#This Row],[Asset Code]]="","",COUNTIF(tbl_handover[Asset Code],tbl_handover[[#This Row],[Asset Code]]))</f>
        <v/>
      </c>
    </row>
    <row r="362" spans="1:18" x14ac:dyDescent="0.25">
      <c r="A362" s="43" t="str">
        <f>IF(B362&lt;&gt;"",SUBTOTAL(3,$B$1:B361),"")</f>
        <v/>
      </c>
      <c r="C362" s="74"/>
      <c r="D362" s="74"/>
      <c r="G362" s="1"/>
      <c r="K362" s="42"/>
      <c r="L362" t="str" cm="1">
        <f t="array" ref="L362">IF($K362="","",_xlfn.SWITCH($I362,"Computer",_xlfn.XLOOKUP($K362&amp;"",COMPUTER!$B$3:$B$1009&amp;"",COMPUTER!$I$3:$I$1009,""),"Display",_xlfn.XLOOKUP($K362&amp;"",DISPLAY!$B$3:$B$1000&amp;"",DISPLAY!$J$3:$J$1000,""),"Network Device",_xlfn.XLOOKUP($K362&amp;"",'NETWORK-DEVICES'!$B$3:$B$987&amp;"",'NETWORK-DEVICES'!$I$3:$I$987,""),"Peripheral",_xlfn.XLOOKUP($K362&amp;"",PERIPHERAL!$B$3:$B$954&amp;"",PERIPHERAL!$I$3:$I$954,""),"Utilities",_xlfn.XLOOKUP($K362&amp;"",UTILITIES!$B$3:$B$953&amp;"",UTILITIES!$H$3:$H$953,""),"IOT",_xlfn.XLOOKUP($K362&amp;"",IOT!$B$3:$B$1012&amp;"",IOT!$I$3:$I$1012,""),"SERVER",_xlfn.XLOOKUP($K362&amp;"",SERVER!$B$3:$B$1009&amp;"",SERVER!$I$3:$I$1009,""),""))</f>
        <v/>
      </c>
      <c r="M362" t="str" cm="1">
        <f t="array" ref="M362">IF($K362="","",_xlfn.SWITCH($I362,"Computer",_xlfn.XLOOKUP($K362&amp;"",COMPUTER!$B$3:$B$1009&amp;"",COMPUTER!$J$3:$J$1009,""),"Display",_xlfn.XLOOKUP($K362&amp;"",DISPLAY!$B$3:$B$1000&amp;"",DISPLAY!$K$3:$K$1000,""),"Network Device",_xlfn.XLOOKUP($K362&amp;"",'NETWORK-DEVICES'!$B$3:$B$987&amp;"",'NETWORK-DEVICES'!$I$3:$I$987,""),"Peripheral",_xlfn.XLOOKUP($K362&amp;"",PERIPHERAL!$B$3:$B$954&amp;"",PERIPHERAL!$J$3:$J$954,""),"Utilities",_xlfn.XLOOKUP($K362&amp;"",UTILITIES!$B$3:$B$953&amp;"",UTILITIES!$I$3:$I$953,""),"IOT",_xlfn.XLOOKUP($K362&amp;"",IOT!$B$3:$B$1012&amp;"",IOT!$J$3:$J$1012,""),"Server",_xlfn.XLOOKUP($K362&amp;"",SERVER!$B$3:$B$1009&amp;"",SERVER!$J$3:$J$1009,""),""))</f>
        <v/>
      </c>
      <c r="N362" s="1" t="str" cm="1">
        <f t="array" ref="N362">IF(OR($K362="",$I362="",$J362=""),"",_xlfn.LET(_xlpm.srcCat,_xlfn.SWITCH($I362,"Computer",_xlfn.XLOOKUP($K362&amp;"",COMPUTER!$B$3:$B$1009&amp;"",COMPUTER!$H$3:$H$1009,""),"Display",_xlfn.XLOOKUP($K362&amp;"",DISPLAY!$B$3:$B$1000&amp;"",DISPLAY!$H$3:$H$1000,""),"Network Device",_xlfn.XLOOKUP($K362&amp;"",'NETWORK-DEVICES'!$B$3:$B$987&amp;"",'NETWORK-DEVICES'!$H$3:$H$987,""),"Peripheral",_xlfn.XLOOKUP($K362&amp;"",PERIPHERAL!$B$3:$B$954&amp;"",PERIPHERAL!$H$3:$H$954,""),"Utilities",_xlfn.XLOOKUP($K362&amp;"",UTILITIES!$B$3:$B$953&amp;"",UTILITIES!$G$3:$G$953,""),"IOT",_xlfn.XLOOKUP($K362&amp;"",IOT!$B$3:$B$1012&amp;"",IOT!$H$3:$H$1012,""),"Server",_xlfn.XLOOKUP($K362&amp;"",SERVER!$B$3:$B$1009&amp;"",SERVER!$H$3:$H$1009,""),""),IF(TRIM(_xlpm.srcCat)&lt;&gt;TRIM($J362),"",_xlfn.SWITCH($I362,"Computer",_xlfn.XLOOKUP($K362&amp;"",COMPUTER!$B$3:$B$1009&amp;"",COMPUTER!$K$3:$K$1009,""),"Display",_xlfn.XLOOKUP($K362&amp;"",DISPLAY!$B$3:$B$1000&amp;"",DISPLAY!$L$3:$L$1000,""),"Network Device",_xlfn.XLOOKUP($K362&amp;"",'NETWORK-DEVICES'!$B$3:$B$987&amp;"",'NETWORK-DEVICES'!$K$3:$K$987,""),"Peripheral",_xlfn.XLOOKUP($K362&amp;"",PERIPHERAL!$B$3:$B$954&amp;"",PERIPHERAL!$K$3:$K$954,""),"Utilities",_xlfn.XLOOKUP($K362&amp;"",UTILITIES!$B$3:$B$953&amp;"",UTILITIES!$J$3:$J$953,""),"IOT",_xlfn.XLOOKUP($K362&amp;"",IOT!$B$3:$B$1012&amp;"",IOT!$K$4:$K$1012,""),"Server",_xlfn.XLOOKUP($K362&amp;"",SERVER!$B$3:$B$1009&amp;"",SERVER!$K$3:$K$1009,""),""))))</f>
        <v/>
      </c>
      <c r="O362" s="1" t="str" cm="1">
        <f t="array" ref="O362">IF(OR($K362="",$I362="",$J362=""),"",_xlfn.LET(_xlpm.srcCat,_xlfn.SWITCH($I362,"Computer",_xlfn.XLOOKUP($K362&amp;"",COMPUTER!$B$3:$B$1009&amp;"",COMPUTER!$H$3:$H$1009,""),"Display",_xlfn.XLOOKUP($K362&amp;"",DISPLAY!$B$3:$B$1000&amp;"",DISPLAY!$H$3:$H$1000,""),"Network Device",_xlfn.XLOOKUP($K362&amp;"",'NETWORK-DEVICES'!$B$3:$B$987&amp;"",'NETWORK-DEVICES'!$H$3:$H$987,""),"Peripheral",_xlfn.XLOOKUP($K362&amp;"",PERIPHERAL!$B$3:$B$954&amp;"",PERIPHERAL!$H$3:$H$954,""),"Utilities",_xlfn.XLOOKUP($K362&amp;"",UTILITIES!$B$3:$B$953&amp;"",UTILITIES!$G$3:$G$953,""),"IOT",_xlfn.XLOOKUP($K362&amp;"",IOT!$B$3:$B$1012&amp;"",IOT!$H$3:$H$1012,""),"Server",_xlfn.XLOOKUP($K362&amp;"",SERVER!$B$3:$B$1009&amp;"",SERVER!$H$3:$H$1009,""),""),IF(TRIM(_xlpm.srcCat)&lt;&gt;TRIM($J362),"",_xlfn.SWITCH($I362,"Computer",_xlfn.XLOOKUP($K362&amp;"",COMPUTER!$B$3:$B$1009&amp;"",COMPUTER!$E$3:$E$1009,""),"Display",_xlfn.XLOOKUP($K362&amp;"",DISPLAY!$B$3:$B$1000&amp;"",DISPLAY!$E$3:$E$1000,""),"Network Device",_xlfn.XLOOKUP($K362&amp;"",'NETWORK-DEVICES'!$B$3:$B$987&amp;"",'NETWORK-DEVICES'!$E$3:$E$987,""),"Peripheral",_xlfn.XLOOKUP($K362&amp;"",PERIPHERAL!$B$3:$B$954&amp;"",PERIPHERAL!$E$3:$E$954,""),"Utilities",_xlfn.XLOOKUP($K362&amp;"",UTILITIES!$B$3:$B$953&amp;"",UTILITIES!$E$3:$E$953,""),"IOT",_xlfn.XLOOKUP($K362&amp;"",IOT!$B$3:$B$1012&amp;"",IOT!$E$3:$E$1012,""),"Server",_xlfn.XLOOKUP($K362&amp;"",SERVER!$B$3:$B$1009&amp;"",SERVER!$E$3:$E$1009,""),""))))</f>
        <v/>
      </c>
      <c r="Q362" s="1" t="str" cm="1">
        <f t="array" ref="Q362">IF(OR($K362="",$I362="",$J362=""),"",_xlfn.LET(_xlpm.srcCat,_xlfn.SWITCH($I362,"Computer",_xlfn.XLOOKUP($K362&amp;"",COMPUTER!$B$3:$B$1009&amp;"",COMPUTER!$H$3:$H$1009,""),"Display",_xlfn.XLOOKUP($K362&amp;"",DISPLAY!$B$3:$B$1000&amp;"",DISPLAY!$H$3:$H$1000,""),"Network Device",_xlfn.XLOOKUP($K362&amp;"",'NETWORK-DEVICES'!$B$3:$B$987&amp;"",'NETWORK-DEVICES'!$H$3:$H$987,""),"Peripheral",_xlfn.XLOOKUP($K362&amp;"",PERIPHERAL!$B$3:$B$954&amp;"",PERIPHERAL!$H$3:$H$954,""),"Utilities",_xlfn.XLOOKUP($K362&amp;"",UTILITIES!$B$3:$B$953&amp;"",UTILITIES!$G$3:$G$953,""),"IOT",_xlfn.XLOOKUP($K362&amp;"",IOT!$B$3:$B$1012&amp;"",IOT!$H$3:$H$1012,""),"Server",_xlfn.XLOOKUP($K362&amp;"",SERVER!$B$3:$B$1009&amp;"",SERVER!$H$3:$H$1009,""),""),IF(TRIM(_xlpm.srcCat)&lt;&gt;TRIM($J362),"",_xlfn.SWITCH($I362,"Computer",_xlfn.XLOOKUP($K362&amp;"",COMPUTER!$B$3:$B$1009&amp;"",COMPUTER!$AM$3:$AM$1009,""),"Display",_xlfn.XLOOKUP($K362&amp;"",DISPLAY!$B$3:$B$1000&amp;"",DISPLAY!$V$3:$V$1000,""),"Network Device",_xlfn.XLOOKUP($K362&amp;"",'NETWORK-DEVICES'!$B$3:$B$987&amp;"",'NETWORK-DEVICES'!$AF$3:$AF$987,""),"Peripheral",_xlfn.XLOOKUP($K362&amp;"",PERIPHERAL!$B$3:$B$954&amp;"",PERIPHERAL!$Y$3:$Y$954,""),"Utilities",_xlfn.XLOOKUP($K362&amp;"",UTILITIES!$B$3:$B$953&amp;"",UTILITIES!$O$3:$O$953,""),"IOT",_xlfn.XLOOKUP($K362&amp;"",IOT!$B$3:$B$1012&amp;"",IOT!$AB$3:$AB$1012,""),"Server",_xlfn.XLOOKUP($K362&amp;"",SERVER!$B$3:$B$1009&amp;"",SERVER!$AB$3:$AB$1009,""),""))))</f>
        <v/>
      </c>
      <c r="R362" s="43" t="str">
        <f>IF(tbl_handover[[#This Row],[Asset Code]]="","",COUNTIF(tbl_handover[Asset Code],tbl_handover[[#This Row],[Asset Code]]))</f>
        <v/>
      </c>
    </row>
    <row r="363" spans="1:18" x14ac:dyDescent="0.25">
      <c r="A363" s="43" t="str">
        <f>IF(B363&lt;&gt;"",SUBTOTAL(3,$B$1:B362),"")</f>
        <v/>
      </c>
      <c r="C363" s="74"/>
      <c r="D363" s="74"/>
      <c r="G363" s="1"/>
      <c r="K363" s="42"/>
      <c r="L363" t="str" cm="1">
        <f t="array" ref="L363">IF($K363="","",_xlfn.SWITCH($I363,"Computer",_xlfn.XLOOKUP($K363&amp;"",COMPUTER!$B$3:$B$1009&amp;"",COMPUTER!$I$3:$I$1009,""),"Display",_xlfn.XLOOKUP($K363&amp;"",DISPLAY!$B$3:$B$1000&amp;"",DISPLAY!$J$3:$J$1000,""),"Network Device",_xlfn.XLOOKUP($K363&amp;"",'NETWORK-DEVICES'!$B$3:$B$987&amp;"",'NETWORK-DEVICES'!$I$3:$I$987,""),"Peripheral",_xlfn.XLOOKUP($K363&amp;"",PERIPHERAL!$B$3:$B$954&amp;"",PERIPHERAL!$I$3:$I$954,""),"Utilities",_xlfn.XLOOKUP($K363&amp;"",UTILITIES!$B$3:$B$953&amp;"",UTILITIES!$H$3:$H$953,""),"IOT",_xlfn.XLOOKUP($K363&amp;"",IOT!$B$3:$B$1012&amp;"",IOT!$I$3:$I$1012,""),"SERVER",_xlfn.XLOOKUP($K363&amp;"",SERVER!$B$3:$B$1009&amp;"",SERVER!$I$3:$I$1009,""),""))</f>
        <v/>
      </c>
      <c r="M363" t="str" cm="1">
        <f t="array" ref="M363">IF($K363="","",_xlfn.SWITCH($I363,"Computer",_xlfn.XLOOKUP($K363&amp;"",COMPUTER!$B$3:$B$1009&amp;"",COMPUTER!$J$3:$J$1009,""),"Display",_xlfn.XLOOKUP($K363&amp;"",DISPLAY!$B$3:$B$1000&amp;"",DISPLAY!$K$3:$K$1000,""),"Network Device",_xlfn.XLOOKUP($K363&amp;"",'NETWORK-DEVICES'!$B$3:$B$987&amp;"",'NETWORK-DEVICES'!$I$3:$I$987,""),"Peripheral",_xlfn.XLOOKUP($K363&amp;"",PERIPHERAL!$B$3:$B$954&amp;"",PERIPHERAL!$J$3:$J$954,""),"Utilities",_xlfn.XLOOKUP($K363&amp;"",UTILITIES!$B$3:$B$953&amp;"",UTILITIES!$I$3:$I$953,""),"IOT",_xlfn.XLOOKUP($K363&amp;"",IOT!$B$3:$B$1012&amp;"",IOT!$J$3:$J$1012,""),"Server",_xlfn.XLOOKUP($K363&amp;"",SERVER!$B$3:$B$1009&amp;"",SERVER!$J$3:$J$1009,""),""))</f>
        <v/>
      </c>
      <c r="N363" s="1" t="str" cm="1">
        <f t="array" ref="N363">IF(OR($K363="",$I363="",$J363=""),"",_xlfn.LET(_xlpm.srcCat,_xlfn.SWITCH($I363,"Computer",_xlfn.XLOOKUP($K363&amp;"",COMPUTER!$B$3:$B$1009&amp;"",COMPUTER!$H$3:$H$1009,""),"Display",_xlfn.XLOOKUP($K363&amp;"",DISPLAY!$B$3:$B$1000&amp;"",DISPLAY!$H$3:$H$1000,""),"Network Device",_xlfn.XLOOKUP($K363&amp;"",'NETWORK-DEVICES'!$B$3:$B$987&amp;"",'NETWORK-DEVICES'!$H$3:$H$987,""),"Peripheral",_xlfn.XLOOKUP($K363&amp;"",PERIPHERAL!$B$3:$B$954&amp;"",PERIPHERAL!$H$3:$H$954,""),"Utilities",_xlfn.XLOOKUP($K363&amp;"",UTILITIES!$B$3:$B$953&amp;"",UTILITIES!$G$3:$G$953,""),"IOT",_xlfn.XLOOKUP($K363&amp;"",IOT!$B$3:$B$1012&amp;"",IOT!$H$3:$H$1012,""),"Server",_xlfn.XLOOKUP($K363&amp;"",SERVER!$B$3:$B$1009&amp;"",SERVER!$H$3:$H$1009,""),""),IF(TRIM(_xlpm.srcCat)&lt;&gt;TRIM($J363),"",_xlfn.SWITCH($I363,"Computer",_xlfn.XLOOKUP($K363&amp;"",COMPUTER!$B$3:$B$1009&amp;"",COMPUTER!$K$3:$K$1009,""),"Display",_xlfn.XLOOKUP($K363&amp;"",DISPLAY!$B$3:$B$1000&amp;"",DISPLAY!$L$3:$L$1000,""),"Network Device",_xlfn.XLOOKUP($K363&amp;"",'NETWORK-DEVICES'!$B$3:$B$987&amp;"",'NETWORK-DEVICES'!$K$3:$K$987,""),"Peripheral",_xlfn.XLOOKUP($K363&amp;"",PERIPHERAL!$B$3:$B$954&amp;"",PERIPHERAL!$K$3:$K$954,""),"Utilities",_xlfn.XLOOKUP($K363&amp;"",UTILITIES!$B$3:$B$953&amp;"",UTILITIES!$J$3:$J$953,""),"IOT",_xlfn.XLOOKUP($K363&amp;"",IOT!$B$3:$B$1012&amp;"",IOT!$K$4:$K$1012,""),"Server",_xlfn.XLOOKUP($K363&amp;"",SERVER!$B$3:$B$1009&amp;"",SERVER!$K$3:$K$1009,""),""))))</f>
        <v/>
      </c>
      <c r="O363" s="1" t="str" cm="1">
        <f t="array" ref="O363">IF(OR($K363="",$I363="",$J363=""),"",_xlfn.LET(_xlpm.srcCat,_xlfn.SWITCH($I363,"Computer",_xlfn.XLOOKUP($K363&amp;"",COMPUTER!$B$3:$B$1009&amp;"",COMPUTER!$H$3:$H$1009,""),"Display",_xlfn.XLOOKUP($K363&amp;"",DISPLAY!$B$3:$B$1000&amp;"",DISPLAY!$H$3:$H$1000,""),"Network Device",_xlfn.XLOOKUP($K363&amp;"",'NETWORK-DEVICES'!$B$3:$B$987&amp;"",'NETWORK-DEVICES'!$H$3:$H$987,""),"Peripheral",_xlfn.XLOOKUP($K363&amp;"",PERIPHERAL!$B$3:$B$954&amp;"",PERIPHERAL!$H$3:$H$954,""),"Utilities",_xlfn.XLOOKUP($K363&amp;"",UTILITIES!$B$3:$B$953&amp;"",UTILITIES!$G$3:$G$953,""),"IOT",_xlfn.XLOOKUP($K363&amp;"",IOT!$B$3:$B$1012&amp;"",IOT!$H$3:$H$1012,""),"Server",_xlfn.XLOOKUP($K363&amp;"",SERVER!$B$3:$B$1009&amp;"",SERVER!$H$3:$H$1009,""),""),IF(TRIM(_xlpm.srcCat)&lt;&gt;TRIM($J363),"",_xlfn.SWITCH($I363,"Computer",_xlfn.XLOOKUP($K363&amp;"",COMPUTER!$B$3:$B$1009&amp;"",COMPUTER!$E$3:$E$1009,""),"Display",_xlfn.XLOOKUP($K363&amp;"",DISPLAY!$B$3:$B$1000&amp;"",DISPLAY!$E$3:$E$1000,""),"Network Device",_xlfn.XLOOKUP($K363&amp;"",'NETWORK-DEVICES'!$B$3:$B$987&amp;"",'NETWORK-DEVICES'!$E$3:$E$987,""),"Peripheral",_xlfn.XLOOKUP($K363&amp;"",PERIPHERAL!$B$3:$B$954&amp;"",PERIPHERAL!$E$3:$E$954,""),"Utilities",_xlfn.XLOOKUP($K363&amp;"",UTILITIES!$B$3:$B$953&amp;"",UTILITIES!$E$3:$E$953,""),"IOT",_xlfn.XLOOKUP($K363&amp;"",IOT!$B$3:$B$1012&amp;"",IOT!$E$3:$E$1012,""),"Server",_xlfn.XLOOKUP($K363&amp;"",SERVER!$B$3:$B$1009&amp;"",SERVER!$E$3:$E$1009,""),""))))</f>
        <v/>
      </c>
      <c r="Q363" s="1" t="str" cm="1">
        <f t="array" ref="Q363">IF(OR($K363="",$I363="",$J363=""),"",_xlfn.LET(_xlpm.srcCat,_xlfn.SWITCH($I363,"Computer",_xlfn.XLOOKUP($K363&amp;"",COMPUTER!$B$3:$B$1009&amp;"",COMPUTER!$H$3:$H$1009,""),"Display",_xlfn.XLOOKUP($K363&amp;"",DISPLAY!$B$3:$B$1000&amp;"",DISPLAY!$H$3:$H$1000,""),"Network Device",_xlfn.XLOOKUP($K363&amp;"",'NETWORK-DEVICES'!$B$3:$B$987&amp;"",'NETWORK-DEVICES'!$H$3:$H$987,""),"Peripheral",_xlfn.XLOOKUP($K363&amp;"",PERIPHERAL!$B$3:$B$954&amp;"",PERIPHERAL!$H$3:$H$954,""),"Utilities",_xlfn.XLOOKUP($K363&amp;"",UTILITIES!$B$3:$B$953&amp;"",UTILITIES!$G$3:$G$953,""),"IOT",_xlfn.XLOOKUP($K363&amp;"",IOT!$B$3:$B$1012&amp;"",IOT!$H$3:$H$1012,""),"Server",_xlfn.XLOOKUP($K363&amp;"",SERVER!$B$3:$B$1009&amp;"",SERVER!$H$3:$H$1009,""),""),IF(TRIM(_xlpm.srcCat)&lt;&gt;TRIM($J363),"",_xlfn.SWITCH($I363,"Computer",_xlfn.XLOOKUP($K363&amp;"",COMPUTER!$B$3:$B$1009&amp;"",COMPUTER!$AM$3:$AM$1009,""),"Display",_xlfn.XLOOKUP($K363&amp;"",DISPLAY!$B$3:$B$1000&amp;"",DISPLAY!$V$3:$V$1000,""),"Network Device",_xlfn.XLOOKUP($K363&amp;"",'NETWORK-DEVICES'!$B$3:$B$987&amp;"",'NETWORK-DEVICES'!$AF$3:$AF$987,""),"Peripheral",_xlfn.XLOOKUP($K363&amp;"",PERIPHERAL!$B$3:$B$954&amp;"",PERIPHERAL!$Y$3:$Y$954,""),"Utilities",_xlfn.XLOOKUP($K363&amp;"",UTILITIES!$B$3:$B$953&amp;"",UTILITIES!$O$3:$O$953,""),"IOT",_xlfn.XLOOKUP($K363&amp;"",IOT!$B$3:$B$1012&amp;"",IOT!$AB$3:$AB$1012,""),"Server",_xlfn.XLOOKUP($K363&amp;"",SERVER!$B$3:$B$1009&amp;"",SERVER!$AB$3:$AB$1009,""),""))))</f>
        <v/>
      </c>
      <c r="R363" s="43" t="str">
        <f>IF(tbl_handover[[#This Row],[Asset Code]]="","",COUNTIF(tbl_handover[Asset Code],tbl_handover[[#This Row],[Asset Code]]))</f>
        <v/>
      </c>
    </row>
    <row r="364" spans="1:18" x14ac:dyDescent="0.25">
      <c r="A364" s="43" t="str">
        <f>IF(B364&lt;&gt;"",SUBTOTAL(3,$B$1:B363),"")</f>
        <v/>
      </c>
      <c r="C364" s="74"/>
      <c r="D364" s="74"/>
      <c r="G364" s="1"/>
      <c r="K364" s="42"/>
      <c r="L364" t="str" cm="1">
        <f t="array" ref="L364">IF($K364="","",_xlfn.SWITCH($I364,"Computer",_xlfn.XLOOKUP($K364&amp;"",COMPUTER!$B$3:$B$1009&amp;"",COMPUTER!$I$3:$I$1009,""),"Display",_xlfn.XLOOKUP($K364&amp;"",DISPLAY!$B$3:$B$1000&amp;"",DISPLAY!$J$3:$J$1000,""),"Network Device",_xlfn.XLOOKUP($K364&amp;"",'NETWORK-DEVICES'!$B$3:$B$987&amp;"",'NETWORK-DEVICES'!$I$3:$I$987,""),"Peripheral",_xlfn.XLOOKUP($K364&amp;"",PERIPHERAL!$B$3:$B$954&amp;"",PERIPHERAL!$I$3:$I$954,""),"Utilities",_xlfn.XLOOKUP($K364&amp;"",UTILITIES!$B$3:$B$953&amp;"",UTILITIES!$H$3:$H$953,""),"IOT",_xlfn.XLOOKUP($K364&amp;"",IOT!$B$3:$B$1012&amp;"",IOT!$I$3:$I$1012,""),"SERVER",_xlfn.XLOOKUP($K364&amp;"",SERVER!$B$3:$B$1009&amp;"",SERVER!$I$3:$I$1009,""),""))</f>
        <v/>
      </c>
      <c r="M364" t="str" cm="1">
        <f t="array" ref="M364">IF($K364="","",_xlfn.SWITCH($I364,"Computer",_xlfn.XLOOKUP($K364&amp;"",COMPUTER!$B$3:$B$1009&amp;"",COMPUTER!$J$3:$J$1009,""),"Display",_xlfn.XLOOKUP($K364&amp;"",DISPLAY!$B$3:$B$1000&amp;"",DISPLAY!$K$3:$K$1000,""),"Network Device",_xlfn.XLOOKUP($K364&amp;"",'NETWORK-DEVICES'!$B$3:$B$987&amp;"",'NETWORK-DEVICES'!$I$3:$I$987,""),"Peripheral",_xlfn.XLOOKUP($K364&amp;"",PERIPHERAL!$B$3:$B$954&amp;"",PERIPHERAL!$J$3:$J$954,""),"Utilities",_xlfn.XLOOKUP($K364&amp;"",UTILITIES!$B$3:$B$953&amp;"",UTILITIES!$I$3:$I$953,""),"IOT",_xlfn.XLOOKUP($K364&amp;"",IOT!$B$3:$B$1012&amp;"",IOT!$J$3:$J$1012,""),"Server",_xlfn.XLOOKUP($K364&amp;"",SERVER!$B$3:$B$1009&amp;"",SERVER!$J$3:$J$1009,""),""))</f>
        <v/>
      </c>
      <c r="N364" s="1" t="str" cm="1">
        <f t="array" ref="N364">IF(OR($K364="",$I364="",$J364=""),"",_xlfn.LET(_xlpm.srcCat,_xlfn.SWITCH($I364,"Computer",_xlfn.XLOOKUP($K364&amp;"",COMPUTER!$B$3:$B$1009&amp;"",COMPUTER!$H$3:$H$1009,""),"Display",_xlfn.XLOOKUP($K364&amp;"",DISPLAY!$B$3:$B$1000&amp;"",DISPLAY!$H$3:$H$1000,""),"Network Device",_xlfn.XLOOKUP($K364&amp;"",'NETWORK-DEVICES'!$B$3:$B$987&amp;"",'NETWORK-DEVICES'!$H$3:$H$987,""),"Peripheral",_xlfn.XLOOKUP($K364&amp;"",PERIPHERAL!$B$3:$B$954&amp;"",PERIPHERAL!$H$3:$H$954,""),"Utilities",_xlfn.XLOOKUP($K364&amp;"",UTILITIES!$B$3:$B$953&amp;"",UTILITIES!$G$3:$G$953,""),"IOT",_xlfn.XLOOKUP($K364&amp;"",IOT!$B$3:$B$1012&amp;"",IOT!$H$3:$H$1012,""),"Server",_xlfn.XLOOKUP($K364&amp;"",SERVER!$B$3:$B$1009&amp;"",SERVER!$H$3:$H$1009,""),""),IF(TRIM(_xlpm.srcCat)&lt;&gt;TRIM($J364),"",_xlfn.SWITCH($I364,"Computer",_xlfn.XLOOKUP($K364&amp;"",COMPUTER!$B$3:$B$1009&amp;"",COMPUTER!$K$3:$K$1009,""),"Display",_xlfn.XLOOKUP($K364&amp;"",DISPLAY!$B$3:$B$1000&amp;"",DISPLAY!$L$3:$L$1000,""),"Network Device",_xlfn.XLOOKUP($K364&amp;"",'NETWORK-DEVICES'!$B$3:$B$987&amp;"",'NETWORK-DEVICES'!$K$3:$K$987,""),"Peripheral",_xlfn.XLOOKUP($K364&amp;"",PERIPHERAL!$B$3:$B$954&amp;"",PERIPHERAL!$K$3:$K$954,""),"Utilities",_xlfn.XLOOKUP($K364&amp;"",UTILITIES!$B$3:$B$953&amp;"",UTILITIES!$J$3:$J$953,""),"IOT",_xlfn.XLOOKUP($K364&amp;"",IOT!$B$3:$B$1012&amp;"",IOT!$K$4:$K$1012,""),"Server",_xlfn.XLOOKUP($K364&amp;"",SERVER!$B$3:$B$1009&amp;"",SERVER!$K$3:$K$1009,""),""))))</f>
        <v/>
      </c>
      <c r="O364" s="1" t="str" cm="1">
        <f t="array" ref="O364">IF(OR($K364="",$I364="",$J364=""),"",_xlfn.LET(_xlpm.srcCat,_xlfn.SWITCH($I364,"Computer",_xlfn.XLOOKUP($K364&amp;"",COMPUTER!$B$3:$B$1009&amp;"",COMPUTER!$H$3:$H$1009,""),"Display",_xlfn.XLOOKUP($K364&amp;"",DISPLAY!$B$3:$B$1000&amp;"",DISPLAY!$H$3:$H$1000,""),"Network Device",_xlfn.XLOOKUP($K364&amp;"",'NETWORK-DEVICES'!$B$3:$B$987&amp;"",'NETWORK-DEVICES'!$H$3:$H$987,""),"Peripheral",_xlfn.XLOOKUP($K364&amp;"",PERIPHERAL!$B$3:$B$954&amp;"",PERIPHERAL!$H$3:$H$954,""),"Utilities",_xlfn.XLOOKUP($K364&amp;"",UTILITIES!$B$3:$B$953&amp;"",UTILITIES!$G$3:$G$953,""),"IOT",_xlfn.XLOOKUP($K364&amp;"",IOT!$B$3:$B$1012&amp;"",IOT!$H$3:$H$1012,""),"Server",_xlfn.XLOOKUP($K364&amp;"",SERVER!$B$3:$B$1009&amp;"",SERVER!$H$3:$H$1009,""),""),IF(TRIM(_xlpm.srcCat)&lt;&gt;TRIM($J364),"",_xlfn.SWITCH($I364,"Computer",_xlfn.XLOOKUP($K364&amp;"",COMPUTER!$B$3:$B$1009&amp;"",COMPUTER!$E$3:$E$1009,""),"Display",_xlfn.XLOOKUP($K364&amp;"",DISPLAY!$B$3:$B$1000&amp;"",DISPLAY!$E$3:$E$1000,""),"Network Device",_xlfn.XLOOKUP($K364&amp;"",'NETWORK-DEVICES'!$B$3:$B$987&amp;"",'NETWORK-DEVICES'!$E$3:$E$987,""),"Peripheral",_xlfn.XLOOKUP($K364&amp;"",PERIPHERAL!$B$3:$B$954&amp;"",PERIPHERAL!$E$3:$E$954,""),"Utilities",_xlfn.XLOOKUP($K364&amp;"",UTILITIES!$B$3:$B$953&amp;"",UTILITIES!$E$3:$E$953,""),"IOT",_xlfn.XLOOKUP($K364&amp;"",IOT!$B$3:$B$1012&amp;"",IOT!$E$3:$E$1012,""),"Server",_xlfn.XLOOKUP($K364&amp;"",SERVER!$B$3:$B$1009&amp;"",SERVER!$E$3:$E$1009,""),""))))</f>
        <v/>
      </c>
      <c r="Q364" s="1" t="str" cm="1">
        <f t="array" ref="Q364">IF(OR($K364="",$I364="",$J364=""),"",_xlfn.LET(_xlpm.srcCat,_xlfn.SWITCH($I364,"Computer",_xlfn.XLOOKUP($K364&amp;"",COMPUTER!$B$3:$B$1009&amp;"",COMPUTER!$H$3:$H$1009,""),"Display",_xlfn.XLOOKUP($K364&amp;"",DISPLAY!$B$3:$B$1000&amp;"",DISPLAY!$H$3:$H$1000,""),"Network Device",_xlfn.XLOOKUP($K364&amp;"",'NETWORK-DEVICES'!$B$3:$B$987&amp;"",'NETWORK-DEVICES'!$H$3:$H$987,""),"Peripheral",_xlfn.XLOOKUP($K364&amp;"",PERIPHERAL!$B$3:$B$954&amp;"",PERIPHERAL!$H$3:$H$954,""),"Utilities",_xlfn.XLOOKUP($K364&amp;"",UTILITIES!$B$3:$B$953&amp;"",UTILITIES!$G$3:$G$953,""),"IOT",_xlfn.XLOOKUP($K364&amp;"",IOT!$B$3:$B$1012&amp;"",IOT!$H$3:$H$1012,""),"Server",_xlfn.XLOOKUP($K364&amp;"",SERVER!$B$3:$B$1009&amp;"",SERVER!$H$3:$H$1009,""),""),IF(TRIM(_xlpm.srcCat)&lt;&gt;TRIM($J364),"",_xlfn.SWITCH($I364,"Computer",_xlfn.XLOOKUP($K364&amp;"",COMPUTER!$B$3:$B$1009&amp;"",COMPUTER!$AM$3:$AM$1009,""),"Display",_xlfn.XLOOKUP($K364&amp;"",DISPLAY!$B$3:$B$1000&amp;"",DISPLAY!$V$3:$V$1000,""),"Network Device",_xlfn.XLOOKUP($K364&amp;"",'NETWORK-DEVICES'!$B$3:$B$987&amp;"",'NETWORK-DEVICES'!$AF$3:$AF$987,""),"Peripheral",_xlfn.XLOOKUP($K364&amp;"",PERIPHERAL!$B$3:$B$954&amp;"",PERIPHERAL!$Y$3:$Y$954,""),"Utilities",_xlfn.XLOOKUP($K364&amp;"",UTILITIES!$B$3:$B$953&amp;"",UTILITIES!$O$3:$O$953,""),"IOT",_xlfn.XLOOKUP($K364&amp;"",IOT!$B$3:$B$1012&amp;"",IOT!$AB$3:$AB$1012,""),"Server",_xlfn.XLOOKUP($K364&amp;"",SERVER!$B$3:$B$1009&amp;"",SERVER!$AB$3:$AB$1009,""),""))))</f>
        <v/>
      </c>
      <c r="R364" s="43" t="str">
        <f>IF(tbl_handover[[#This Row],[Asset Code]]="","",COUNTIF(tbl_handover[Asset Code],tbl_handover[[#This Row],[Asset Code]]))</f>
        <v/>
      </c>
    </row>
    <row r="365" spans="1:18" x14ac:dyDescent="0.25">
      <c r="A365" s="43" t="str">
        <f>IF(B365&lt;&gt;"",SUBTOTAL(3,$B$1:B364),"")</f>
        <v/>
      </c>
      <c r="C365" s="74"/>
      <c r="D365" s="74"/>
      <c r="G365" s="1"/>
      <c r="K365" s="42"/>
      <c r="L365" t="str" cm="1">
        <f t="array" ref="L365">IF($K365="","",_xlfn.SWITCH($I365,"Computer",_xlfn.XLOOKUP($K365&amp;"",COMPUTER!$B$3:$B$1009&amp;"",COMPUTER!$I$3:$I$1009,""),"Display",_xlfn.XLOOKUP($K365&amp;"",DISPLAY!$B$3:$B$1000&amp;"",DISPLAY!$J$3:$J$1000,""),"Network Device",_xlfn.XLOOKUP($K365&amp;"",'NETWORK-DEVICES'!$B$3:$B$987&amp;"",'NETWORK-DEVICES'!$I$3:$I$987,""),"Peripheral",_xlfn.XLOOKUP($K365&amp;"",PERIPHERAL!$B$3:$B$954&amp;"",PERIPHERAL!$I$3:$I$954,""),"Utilities",_xlfn.XLOOKUP($K365&amp;"",UTILITIES!$B$3:$B$953&amp;"",UTILITIES!$H$3:$H$953,""),"IOT",_xlfn.XLOOKUP($K365&amp;"",IOT!$B$3:$B$1012&amp;"",IOT!$I$3:$I$1012,""),"SERVER",_xlfn.XLOOKUP($K365&amp;"",SERVER!$B$3:$B$1009&amp;"",SERVER!$I$3:$I$1009,""),""))</f>
        <v/>
      </c>
      <c r="M365" t="str" cm="1">
        <f t="array" ref="M365">IF($K365="","",_xlfn.SWITCH($I365,"Computer",_xlfn.XLOOKUP($K365&amp;"",COMPUTER!$B$3:$B$1009&amp;"",COMPUTER!$J$3:$J$1009,""),"Display",_xlfn.XLOOKUP($K365&amp;"",DISPLAY!$B$3:$B$1000&amp;"",DISPLAY!$K$3:$K$1000,""),"Network Device",_xlfn.XLOOKUP($K365&amp;"",'NETWORK-DEVICES'!$B$3:$B$987&amp;"",'NETWORK-DEVICES'!$I$3:$I$987,""),"Peripheral",_xlfn.XLOOKUP($K365&amp;"",PERIPHERAL!$B$3:$B$954&amp;"",PERIPHERAL!$J$3:$J$954,""),"Utilities",_xlfn.XLOOKUP($K365&amp;"",UTILITIES!$B$3:$B$953&amp;"",UTILITIES!$I$3:$I$953,""),"IOT",_xlfn.XLOOKUP($K365&amp;"",IOT!$B$3:$B$1012&amp;"",IOT!$J$3:$J$1012,""),"Server",_xlfn.XLOOKUP($K365&amp;"",SERVER!$B$3:$B$1009&amp;"",SERVER!$J$3:$J$1009,""),""))</f>
        <v/>
      </c>
      <c r="N365" s="1" t="str" cm="1">
        <f t="array" ref="N365">IF(OR($K365="",$I365="",$J365=""),"",_xlfn.LET(_xlpm.srcCat,_xlfn.SWITCH($I365,"Computer",_xlfn.XLOOKUP($K365&amp;"",COMPUTER!$B$3:$B$1009&amp;"",COMPUTER!$H$3:$H$1009,""),"Display",_xlfn.XLOOKUP($K365&amp;"",DISPLAY!$B$3:$B$1000&amp;"",DISPLAY!$H$3:$H$1000,""),"Network Device",_xlfn.XLOOKUP($K365&amp;"",'NETWORK-DEVICES'!$B$3:$B$987&amp;"",'NETWORK-DEVICES'!$H$3:$H$987,""),"Peripheral",_xlfn.XLOOKUP($K365&amp;"",PERIPHERAL!$B$3:$B$954&amp;"",PERIPHERAL!$H$3:$H$954,""),"Utilities",_xlfn.XLOOKUP($K365&amp;"",UTILITIES!$B$3:$B$953&amp;"",UTILITIES!$G$3:$G$953,""),"IOT",_xlfn.XLOOKUP($K365&amp;"",IOT!$B$3:$B$1012&amp;"",IOT!$H$3:$H$1012,""),"Server",_xlfn.XLOOKUP($K365&amp;"",SERVER!$B$3:$B$1009&amp;"",SERVER!$H$3:$H$1009,""),""),IF(TRIM(_xlpm.srcCat)&lt;&gt;TRIM($J365),"",_xlfn.SWITCH($I365,"Computer",_xlfn.XLOOKUP($K365&amp;"",COMPUTER!$B$3:$B$1009&amp;"",COMPUTER!$K$3:$K$1009,""),"Display",_xlfn.XLOOKUP($K365&amp;"",DISPLAY!$B$3:$B$1000&amp;"",DISPLAY!$L$3:$L$1000,""),"Network Device",_xlfn.XLOOKUP($K365&amp;"",'NETWORK-DEVICES'!$B$3:$B$987&amp;"",'NETWORK-DEVICES'!$K$3:$K$987,""),"Peripheral",_xlfn.XLOOKUP($K365&amp;"",PERIPHERAL!$B$3:$B$954&amp;"",PERIPHERAL!$K$3:$K$954,""),"Utilities",_xlfn.XLOOKUP($K365&amp;"",UTILITIES!$B$3:$B$953&amp;"",UTILITIES!$J$3:$J$953,""),"IOT",_xlfn.XLOOKUP($K365&amp;"",IOT!$B$3:$B$1012&amp;"",IOT!$K$4:$K$1012,""),"Server",_xlfn.XLOOKUP($K365&amp;"",SERVER!$B$3:$B$1009&amp;"",SERVER!$K$3:$K$1009,""),""))))</f>
        <v/>
      </c>
      <c r="O365" s="1" t="str" cm="1">
        <f t="array" ref="O365">IF(OR($K365="",$I365="",$J365=""),"",_xlfn.LET(_xlpm.srcCat,_xlfn.SWITCH($I365,"Computer",_xlfn.XLOOKUP($K365&amp;"",COMPUTER!$B$3:$B$1009&amp;"",COMPUTER!$H$3:$H$1009,""),"Display",_xlfn.XLOOKUP($K365&amp;"",DISPLAY!$B$3:$B$1000&amp;"",DISPLAY!$H$3:$H$1000,""),"Network Device",_xlfn.XLOOKUP($K365&amp;"",'NETWORK-DEVICES'!$B$3:$B$987&amp;"",'NETWORK-DEVICES'!$H$3:$H$987,""),"Peripheral",_xlfn.XLOOKUP($K365&amp;"",PERIPHERAL!$B$3:$B$954&amp;"",PERIPHERAL!$H$3:$H$954,""),"Utilities",_xlfn.XLOOKUP($K365&amp;"",UTILITIES!$B$3:$B$953&amp;"",UTILITIES!$G$3:$G$953,""),"IOT",_xlfn.XLOOKUP($K365&amp;"",IOT!$B$3:$B$1012&amp;"",IOT!$H$3:$H$1012,""),"Server",_xlfn.XLOOKUP($K365&amp;"",SERVER!$B$3:$B$1009&amp;"",SERVER!$H$3:$H$1009,""),""),IF(TRIM(_xlpm.srcCat)&lt;&gt;TRIM($J365),"",_xlfn.SWITCH($I365,"Computer",_xlfn.XLOOKUP($K365&amp;"",COMPUTER!$B$3:$B$1009&amp;"",COMPUTER!$E$3:$E$1009,""),"Display",_xlfn.XLOOKUP($K365&amp;"",DISPLAY!$B$3:$B$1000&amp;"",DISPLAY!$E$3:$E$1000,""),"Network Device",_xlfn.XLOOKUP($K365&amp;"",'NETWORK-DEVICES'!$B$3:$B$987&amp;"",'NETWORK-DEVICES'!$E$3:$E$987,""),"Peripheral",_xlfn.XLOOKUP($K365&amp;"",PERIPHERAL!$B$3:$B$954&amp;"",PERIPHERAL!$E$3:$E$954,""),"Utilities",_xlfn.XLOOKUP($K365&amp;"",UTILITIES!$B$3:$B$953&amp;"",UTILITIES!$E$3:$E$953,""),"IOT",_xlfn.XLOOKUP($K365&amp;"",IOT!$B$3:$B$1012&amp;"",IOT!$E$3:$E$1012,""),"Server",_xlfn.XLOOKUP($K365&amp;"",SERVER!$B$3:$B$1009&amp;"",SERVER!$E$3:$E$1009,""),""))))</f>
        <v/>
      </c>
      <c r="Q365" s="1" t="str" cm="1">
        <f t="array" ref="Q365">IF(OR($K365="",$I365="",$J365=""),"",_xlfn.LET(_xlpm.srcCat,_xlfn.SWITCH($I365,"Computer",_xlfn.XLOOKUP($K365&amp;"",COMPUTER!$B$3:$B$1009&amp;"",COMPUTER!$H$3:$H$1009,""),"Display",_xlfn.XLOOKUP($K365&amp;"",DISPLAY!$B$3:$B$1000&amp;"",DISPLAY!$H$3:$H$1000,""),"Network Device",_xlfn.XLOOKUP($K365&amp;"",'NETWORK-DEVICES'!$B$3:$B$987&amp;"",'NETWORK-DEVICES'!$H$3:$H$987,""),"Peripheral",_xlfn.XLOOKUP($K365&amp;"",PERIPHERAL!$B$3:$B$954&amp;"",PERIPHERAL!$H$3:$H$954,""),"Utilities",_xlfn.XLOOKUP($K365&amp;"",UTILITIES!$B$3:$B$953&amp;"",UTILITIES!$G$3:$G$953,""),"IOT",_xlfn.XLOOKUP($K365&amp;"",IOT!$B$3:$B$1012&amp;"",IOT!$H$3:$H$1012,""),"Server",_xlfn.XLOOKUP($K365&amp;"",SERVER!$B$3:$B$1009&amp;"",SERVER!$H$3:$H$1009,""),""),IF(TRIM(_xlpm.srcCat)&lt;&gt;TRIM($J365),"",_xlfn.SWITCH($I365,"Computer",_xlfn.XLOOKUP($K365&amp;"",COMPUTER!$B$3:$B$1009&amp;"",COMPUTER!$AM$3:$AM$1009,""),"Display",_xlfn.XLOOKUP($K365&amp;"",DISPLAY!$B$3:$B$1000&amp;"",DISPLAY!$V$3:$V$1000,""),"Network Device",_xlfn.XLOOKUP($K365&amp;"",'NETWORK-DEVICES'!$B$3:$B$987&amp;"",'NETWORK-DEVICES'!$AF$3:$AF$987,""),"Peripheral",_xlfn.XLOOKUP($K365&amp;"",PERIPHERAL!$B$3:$B$954&amp;"",PERIPHERAL!$Y$3:$Y$954,""),"Utilities",_xlfn.XLOOKUP($K365&amp;"",UTILITIES!$B$3:$B$953&amp;"",UTILITIES!$O$3:$O$953,""),"IOT",_xlfn.XLOOKUP($K365&amp;"",IOT!$B$3:$B$1012&amp;"",IOT!$AB$3:$AB$1012,""),"Server",_xlfn.XLOOKUP($K365&amp;"",SERVER!$B$3:$B$1009&amp;"",SERVER!$AB$3:$AB$1009,""),""))))</f>
        <v/>
      </c>
      <c r="R365" s="43" t="str">
        <f>IF(tbl_handover[[#This Row],[Asset Code]]="","",COUNTIF(tbl_handover[Asset Code],tbl_handover[[#This Row],[Asset Code]]))</f>
        <v/>
      </c>
    </row>
    <row r="366" spans="1:18" x14ac:dyDescent="0.25">
      <c r="A366" s="43" t="str">
        <f>IF(B366&lt;&gt;"",SUBTOTAL(3,$B$1:B365),"")</f>
        <v/>
      </c>
      <c r="C366" s="74"/>
      <c r="D366" s="74"/>
      <c r="G366" s="1"/>
      <c r="K366" s="42"/>
      <c r="L366" t="str" cm="1">
        <f t="array" ref="L366">IF($K366="","",_xlfn.SWITCH($I366,"Computer",_xlfn.XLOOKUP($K366&amp;"",COMPUTER!$B$3:$B$1009&amp;"",COMPUTER!$I$3:$I$1009,""),"Display",_xlfn.XLOOKUP($K366&amp;"",DISPLAY!$B$3:$B$1000&amp;"",DISPLAY!$J$3:$J$1000,""),"Network Device",_xlfn.XLOOKUP($K366&amp;"",'NETWORK-DEVICES'!$B$3:$B$987&amp;"",'NETWORK-DEVICES'!$I$3:$I$987,""),"Peripheral",_xlfn.XLOOKUP($K366&amp;"",PERIPHERAL!$B$3:$B$954&amp;"",PERIPHERAL!$I$3:$I$954,""),"Utilities",_xlfn.XLOOKUP($K366&amp;"",UTILITIES!$B$3:$B$953&amp;"",UTILITIES!$H$3:$H$953,""),"IOT",_xlfn.XLOOKUP($K366&amp;"",IOT!$B$3:$B$1012&amp;"",IOT!$I$3:$I$1012,""),"SERVER",_xlfn.XLOOKUP($K366&amp;"",SERVER!$B$3:$B$1009&amp;"",SERVER!$I$3:$I$1009,""),""))</f>
        <v/>
      </c>
      <c r="M366" t="str" cm="1">
        <f t="array" ref="M366">IF($K366="","",_xlfn.SWITCH($I366,"Computer",_xlfn.XLOOKUP($K366&amp;"",COMPUTER!$B$3:$B$1009&amp;"",COMPUTER!$J$3:$J$1009,""),"Display",_xlfn.XLOOKUP($K366&amp;"",DISPLAY!$B$3:$B$1000&amp;"",DISPLAY!$K$3:$K$1000,""),"Network Device",_xlfn.XLOOKUP($K366&amp;"",'NETWORK-DEVICES'!$B$3:$B$987&amp;"",'NETWORK-DEVICES'!$I$3:$I$987,""),"Peripheral",_xlfn.XLOOKUP($K366&amp;"",PERIPHERAL!$B$3:$B$954&amp;"",PERIPHERAL!$J$3:$J$954,""),"Utilities",_xlfn.XLOOKUP($K366&amp;"",UTILITIES!$B$3:$B$953&amp;"",UTILITIES!$I$3:$I$953,""),"IOT",_xlfn.XLOOKUP($K366&amp;"",IOT!$B$3:$B$1012&amp;"",IOT!$J$3:$J$1012,""),"Server",_xlfn.XLOOKUP($K366&amp;"",SERVER!$B$3:$B$1009&amp;"",SERVER!$J$3:$J$1009,""),""))</f>
        <v/>
      </c>
      <c r="N366" s="1" t="str" cm="1">
        <f t="array" ref="N366">IF(OR($K366="",$I366="",$J366=""),"",_xlfn.LET(_xlpm.srcCat,_xlfn.SWITCH($I366,"Computer",_xlfn.XLOOKUP($K366&amp;"",COMPUTER!$B$3:$B$1009&amp;"",COMPUTER!$H$3:$H$1009,""),"Display",_xlfn.XLOOKUP($K366&amp;"",DISPLAY!$B$3:$B$1000&amp;"",DISPLAY!$H$3:$H$1000,""),"Network Device",_xlfn.XLOOKUP($K366&amp;"",'NETWORK-DEVICES'!$B$3:$B$987&amp;"",'NETWORK-DEVICES'!$H$3:$H$987,""),"Peripheral",_xlfn.XLOOKUP($K366&amp;"",PERIPHERAL!$B$3:$B$954&amp;"",PERIPHERAL!$H$3:$H$954,""),"Utilities",_xlfn.XLOOKUP($K366&amp;"",UTILITIES!$B$3:$B$953&amp;"",UTILITIES!$G$3:$G$953,""),"IOT",_xlfn.XLOOKUP($K366&amp;"",IOT!$B$3:$B$1012&amp;"",IOT!$H$3:$H$1012,""),"Server",_xlfn.XLOOKUP($K366&amp;"",SERVER!$B$3:$B$1009&amp;"",SERVER!$H$3:$H$1009,""),""),IF(TRIM(_xlpm.srcCat)&lt;&gt;TRIM($J366),"",_xlfn.SWITCH($I366,"Computer",_xlfn.XLOOKUP($K366&amp;"",COMPUTER!$B$3:$B$1009&amp;"",COMPUTER!$K$3:$K$1009,""),"Display",_xlfn.XLOOKUP($K366&amp;"",DISPLAY!$B$3:$B$1000&amp;"",DISPLAY!$L$3:$L$1000,""),"Network Device",_xlfn.XLOOKUP($K366&amp;"",'NETWORK-DEVICES'!$B$3:$B$987&amp;"",'NETWORK-DEVICES'!$K$3:$K$987,""),"Peripheral",_xlfn.XLOOKUP($K366&amp;"",PERIPHERAL!$B$3:$B$954&amp;"",PERIPHERAL!$K$3:$K$954,""),"Utilities",_xlfn.XLOOKUP($K366&amp;"",UTILITIES!$B$3:$B$953&amp;"",UTILITIES!$J$3:$J$953,""),"IOT",_xlfn.XLOOKUP($K366&amp;"",IOT!$B$3:$B$1012&amp;"",IOT!$K$4:$K$1012,""),"Server",_xlfn.XLOOKUP($K366&amp;"",SERVER!$B$3:$B$1009&amp;"",SERVER!$K$3:$K$1009,""),""))))</f>
        <v/>
      </c>
      <c r="O366" s="1" t="str" cm="1">
        <f t="array" ref="O366">IF(OR($K366="",$I366="",$J366=""),"",_xlfn.LET(_xlpm.srcCat,_xlfn.SWITCH($I366,"Computer",_xlfn.XLOOKUP($K366&amp;"",COMPUTER!$B$3:$B$1009&amp;"",COMPUTER!$H$3:$H$1009,""),"Display",_xlfn.XLOOKUP($K366&amp;"",DISPLAY!$B$3:$B$1000&amp;"",DISPLAY!$H$3:$H$1000,""),"Network Device",_xlfn.XLOOKUP($K366&amp;"",'NETWORK-DEVICES'!$B$3:$B$987&amp;"",'NETWORK-DEVICES'!$H$3:$H$987,""),"Peripheral",_xlfn.XLOOKUP($K366&amp;"",PERIPHERAL!$B$3:$B$954&amp;"",PERIPHERAL!$H$3:$H$954,""),"Utilities",_xlfn.XLOOKUP($K366&amp;"",UTILITIES!$B$3:$B$953&amp;"",UTILITIES!$G$3:$G$953,""),"IOT",_xlfn.XLOOKUP($K366&amp;"",IOT!$B$3:$B$1012&amp;"",IOT!$H$3:$H$1012,""),"Server",_xlfn.XLOOKUP($K366&amp;"",SERVER!$B$3:$B$1009&amp;"",SERVER!$H$3:$H$1009,""),""),IF(TRIM(_xlpm.srcCat)&lt;&gt;TRIM($J366),"",_xlfn.SWITCH($I366,"Computer",_xlfn.XLOOKUP($K366&amp;"",COMPUTER!$B$3:$B$1009&amp;"",COMPUTER!$E$3:$E$1009,""),"Display",_xlfn.XLOOKUP($K366&amp;"",DISPLAY!$B$3:$B$1000&amp;"",DISPLAY!$E$3:$E$1000,""),"Network Device",_xlfn.XLOOKUP($K366&amp;"",'NETWORK-DEVICES'!$B$3:$B$987&amp;"",'NETWORK-DEVICES'!$E$3:$E$987,""),"Peripheral",_xlfn.XLOOKUP($K366&amp;"",PERIPHERAL!$B$3:$B$954&amp;"",PERIPHERAL!$E$3:$E$954,""),"Utilities",_xlfn.XLOOKUP($K366&amp;"",UTILITIES!$B$3:$B$953&amp;"",UTILITIES!$E$3:$E$953,""),"IOT",_xlfn.XLOOKUP($K366&amp;"",IOT!$B$3:$B$1012&amp;"",IOT!$E$3:$E$1012,""),"Server",_xlfn.XLOOKUP($K366&amp;"",SERVER!$B$3:$B$1009&amp;"",SERVER!$E$3:$E$1009,""),""))))</f>
        <v/>
      </c>
      <c r="Q366" s="1" t="str" cm="1">
        <f t="array" ref="Q366">IF(OR($K366="",$I366="",$J366=""),"",_xlfn.LET(_xlpm.srcCat,_xlfn.SWITCH($I366,"Computer",_xlfn.XLOOKUP($K366&amp;"",COMPUTER!$B$3:$B$1009&amp;"",COMPUTER!$H$3:$H$1009,""),"Display",_xlfn.XLOOKUP($K366&amp;"",DISPLAY!$B$3:$B$1000&amp;"",DISPLAY!$H$3:$H$1000,""),"Network Device",_xlfn.XLOOKUP($K366&amp;"",'NETWORK-DEVICES'!$B$3:$B$987&amp;"",'NETWORK-DEVICES'!$H$3:$H$987,""),"Peripheral",_xlfn.XLOOKUP($K366&amp;"",PERIPHERAL!$B$3:$B$954&amp;"",PERIPHERAL!$H$3:$H$954,""),"Utilities",_xlfn.XLOOKUP($K366&amp;"",UTILITIES!$B$3:$B$953&amp;"",UTILITIES!$G$3:$G$953,""),"IOT",_xlfn.XLOOKUP($K366&amp;"",IOT!$B$3:$B$1012&amp;"",IOT!$H$3:$H$1012,""),"Server",_xlfn.XLOOKUP($K366&amp;"",SERVER!$B$3:$B$1009&amp;"",SERVER!$H$3:$H$1009,""),""),IF(TRIM(_xlpm.srcCat)&lt;&gt;TRIM($J366),"",_xlfn.SWITCH($I366,"Computer",_xlfn.XLOOKUP($K366&amp;"",COMPUTER!$B$3:$B$1009&amp;"",COMPUTER!$AM$3:$AM$1009,""),"Display",_xlfn.XLOOKUP($K366&amp;"",DISPLAY!$B$3:$B$1000&amp;"",DISPLAY!$V$3:$V$1000,""),"Network Device",_xlfn.XLOOKUP($K366&amp;"",'NETWORK-DEVICES'!$B$3:$B$987&amp;"",'NETWORK-DEVICES'!$AF$3:$AF$987,""),"Peripheral",_xlfn.XLOOKUP($K366&amp;"",PERIPHERAL!$B$3:$B$954&amp;"",PERIPHERAL!$Y$3:$Y$954,""),"Utilities",_xlfn.XLOOKUP($K366&amp;"",UTILITIES!$B$3:$B$953&amp;"",UTILITIES!$O$3:$O$953,""),"IOT",_xlfn.XLOOKUP($K366&amp;"",IOT!$B$3:$B$1012&amp;"",IOT!$AB$3:$AB$1012,""),"Server",_xlfn.XLOOKUP($K366&amp;"",SERVER!$B$3:$B$1009&amp;"",SERVER!$AB$3:$AB$1009,""),""))))</f>
        <v/>
      </c>
      <c r="R366" s="43" t="str">
        <f>IF(tbl_handover[[#This Row],[Asset Code]]="","",COUNTIF(tbl_handover[Asset Code],tbl_handover[[#This Row],[Asset Code]]))</f>
        <v/>
      </c>
    </row>
    <row r="367" spans="1:18" x14ac:dyDescent="0.25">
      <c r="A367" s="43" t="str">
        <f>IF(B367&lt;&gt;"",SUBTOTAL(3,$B$1:B366),"")</f>
        <v/>
      </c>
      <c r="C367" s="74"/>
      <c r="D367" s="74"/>
      <c r="G367" s="1"/>
      <c r="K367" s="42"/>
      <c r="L367" t="str" cm="1">
        <f t="array" ref="L367">IF($K367="","",_xlfn.SWITCH($I367,"Computer",_xlfn.XLOOKUP($K367&amp;"",COMPUTER!$B$3:$B$1009&amp;"",COMPUTER!$I$3:$I$1009,""),"Display",_xlfn.XLOOKUP($K367&amp;"",DISPLAY!$B$3:$B$1000&amp;"",DISPLAY!$J$3:$J$1000,""),"Network Device",_xlfn.XLOOKUP($K367&amp;"",'NETWORK-DEVICES'!$B$3:$B$987&amp;"",'NETWORK-DEVICES'!$I$3:$I$987,""),"Peripheral",_xlfn.XLOOKUP($K367&amp;"",PERIPHERAL!$B$3:$B$954&amp;"",PERIPHERAL!$I$3:$I$954,""),"Utilities",_xlfn.XLOOKUP($K367&amp;"",UTILITIES!$B$3:$B$953&amp;"",UTILITIES!$H$3:$H$953,""),"IOT",_xlfn.XLOOKUP($K367&amp;"",IOT!$B$3:$B$1012&amp;"",IOT!$I$3:$I$1012,""),"SERVER",_xlfn.XLOOKUP($K367&amp;"",SERVER!$B$3:$B$1009&amp;"",SERVER!$I$3:$I$1009,""),""))</f>
        <v/>
      </c>
      <c r="M367" t="str" cm="1">
        <f t="array" ref="M367">IF($K367="","",_xlfn.SWITCH($I367,"Computer",_xlfn.XLOOKUP($K367&amp;"",COMPUTER!$B$3:$B$1009&amp;"",COMPUTER!$J$3:$J$1009,""),"Display",_xlfn.XLOOKUP($K367&amp;"",DISPLAY!$B$3:$B$1000&amp;"",DISPLAY!$K$3:$K$1000,""),"Network Device",_xlfn.XLOOKUP($K367&amp;"",'NETWORK-DEVICES'!$B$3:$B$987&amp;"",'NETWORK-DEVICES'!$I$3:$I$987,""),"Peripheral",_xlfn.XLOOKUP($K367&amp;"",PERIPHERAL!$B$3:$B$954&amp;"",PERIPHERAL!$J$3:$J$954,""),"Utilities",_xlfn.XLOOKUP($K367&amp;"",UTILITIES!$B$3:$B$953&amp;"",UTILITIES!$I$3:$I$953,""),"IOT",_xlfn.XLOOKUP($K367&amp;"",IOT!$B$3:$B$1012&amp;"",IOT!$J$3:$J$1012,""),"Server",_xlfn.XLOOKUP($K367&amp;"",SERVER!$B$3:$B$1009&amp;"",SERVER!$J$3:$J$1009,""),""))</f>
        <v/>
      </c>
      <c r="N367" s="1" t="str" cm="1">
        <f t="array" ref="N367">IF(OR($K367="",$I367="",$J367=""),"",_xlfn.LET(_xlpm.srcCat,_xlfn.SWITCH($I367,"Computer",_xlfn.XLOOKUP($K367&amp;"",COMPUTER!$B$3:$B$1009&amp;"",COMPUTER!$H$3:$H$1009,""),"Display",_xlfn.XLOOKUP($K367&amp;"",DISPLAY!$B$3:$B$1000&amp;"",DISPLAY!$H$3:$H$1000,""),"Network Device",_xlfn.XLOOKUP($K367&amp;"",'NETWORK-DEVICES'!$B$3:$B$987&amp;"",'NETWORK-DEVICES'!$H$3:$H$987,""),"Peripheral",_xlfn.XLOOKUP($K367&amp;"",PERIPHERAL!$B$3:$B$954&amp;"",PERIPHERAL!$H$3:$H$954,""),"Utilities",_xlfn.XLOOKUP($K367&amp;"",UTILITIES!$B$3:$B$953&amp;"",UTILITIES!$G$3:$G$953,""),"IOT",_xlfn.XLOOKUP($K367&amp;"",IOT!$B$3:$B$1012&amp;"",IOT!$H$3:$H$1012,""),"Server",_xlfn.XLOOKUP($K367&amp;"",SERVER!$B$3:$B$1009&amp;"",SERVER!$H$3:$H$1009,""),""),IF(TRIM(_xlpm.srcCat)&lt;&gt;TRIM($J367),"",_xlfn.SWITCH($I367,"Computer",_xlfn.XLOOKUP($K367&amp;"",COMPUTER!$B$3:$B$1009&amp;"",COMPUTER!$K$3:$K$1009,""),"Display",_xlfn.XLOOKUP($K367&amp;"",DISPLAY!$B$3:$B$1000&amp;"",DISPLAY!$L$3:$L$1000,""),"Network Device",_xlfn.XLOOKUP($K367&amp;"",'NETWORK-DEVICES'!$B$3:$B$987&amp;"",'NETWORK-DEVICES'!$K$3:$K$987,""),"Peripheral",_xlfn.XLOOKUP($K367&amp;"",PERIPHERAL!$B$3:$B$954&amp;"",PERIPHERAL!$K$3:$K$954,""),"Utilities",_xlfn.XLOOKUP($K367&amp;"",UTILITIES!$B$3:$B$953&amp;"",UTILITIES!$J$3:$J$953,""),"IOT",_xlfn.XLOOKUP($K367&amp;"",IOT!$B$3:$B$1012&amp;"",IOT!$K$4:$K$1012,""),"Server",_xlfn.XLOOKUP($K367&amp;"",SERVER!$B$3:$B$1009&amp;"",SERVER!$K$3:$K$1009,""),""))))</f>
        <v/>
      </c>
      <c r="O367" s="1" t="str" cm="1">
        <f t="array" ref="O367">IF(OR($K367="",$I367="",$J367=""),"",_xlfn.LET(_xlpm.srcCat,_xlfn.SWITCH($I367,"Computer",_xlfn.XLOOKUP($K367&amp;"",COMPUTER!$B$3:$B$1009&amp;"",COMPUTER!$H$3:$H$1009,""),"Display",_xlfn.XLOOKUP($K367&amp;"",DISPLAY!$B$3:$B$1000&amp;"",DISPLAY!$H$3:$H$1000,""),"Network Device",_xlfn.XLOOKUP($K367&amp;"",'NETWORK-DEVICES'!$B$3:$B$987&amp;"",'NETWORK-DEVICES'!$H$3:$H$987,""),"Peripheral",_xlfn.XLOOKUP($K367&amp;"",PERIPHERAL!$B$3:$B$954&amp;"",PERIPHERAL!$H$3:$H$954,""),"Utilities",_xlfn.XLOOKUP($K367&amp;"",UTILITIES!$B$3:$B$953&amp;"",UTILITIES!$G$3:$G$953,""),"IOT",_xlfn.XLOOKUP($K367&amp;"",IOT!$B$3:$B$1012&amp;"",IOT!$H$3:$H$1012,""),"Server",_xlfn.XLOOKUP($K367&amp;"",SERVER!$B$3:$B$1009&amp;"",SERVER!$H$3:$H$1009,""),""),IF(TRIM(_xlpm.srcCat)&lt;&gt;TRIM($J367),"",_xlfn.SWITCH($I367,"Computer",_xlfn.XLOOKUP($K367&amp;"",COMPUTER!$B$3:$B$1009&amp;"",COMPUTER!$E$3:$E$1009,""),"Display",_xlfn.XLOOKUP($K367&amp;"",DISPLAY!$B$3:$B$1000&amp;"",DISPLAY!$E$3:$E$1000,""),"Network Device",_xlfn.XLOOKUP($K367&amp;"",'NETWORK-DEVICES'!$B$3:$B$987&amp;"",'NETWORK-DEVICES'!$E$3:$E$987,""),"Peripheral",_xlfn.XLOOKUP($K367&amp;"",PERIPHERAL!$B$3:$B$954&amp;"",PERIPHERAL!$E$3:$E$954,""),"Utilities",_xlfn.XLOOKUP($K367&amp;"",UTILITIES!$B$3:$B$953&amp;"",UTILITIES!$E$3:$E$953,""),"IOT",_xlfn.XLOOKUP($K367&amp;"",IOT!$B$3:$B$1012&amp;"",IOT!$E$3:$E$1012,""),"Server",_xlfn.XLOOKUP($K367&amp;"",SERVER!$B$3:$B$1009&amp;"",SERVER!$E$3:$E$1009,""),""))))</f>
        <v/>
      </c>
      <c r="Q367" s="1" t="str" cm="1">
        <f t="array" ref="Q367">IF(OR($K367="",$I367="",$J367=""),"",_xlfn.LET(_xlpm.srcCat,_xlfn.SWITCH($I367,"Computer",_xlfn.XLOOKUP($K367&amp;"",COMPUTER!$B$3:$B$1009&amp;"",COMPUTER!$H$3:$H$1009,""),"Display",_xlfn.XLOOKUP($K367&amp;"",DISPLAY!$B$3:$B$1000&amp;"",DISPLAY!$H$3:$H$1000,""),"Network Device",_xlfn.XLOOKUP($K367&amp;"",'NETWORK-DEVICES'!$B$3:$B$987&amp;"",'NETWORK-DEVICES'!$H$3:$H$987,""),"Peripheral",_xlfn.XLOOKUP($K367&amp;"",PERIPHERAL!$B$3:$B$954&amp;"",PERIPHERAL!$H$3:$H$954,""),"Utilities",_xlfn.XLOOKUP($K367&amp;"",UTILITIES!$B$3:$B$953&amp;"",UTILITIES!$G$3:$G$953,""),"IOT",_xlfn.XLOOKUP($K367&amp;"",IOT!$B$3:$B$1012&amp;"",IOT!$H$3:$H$1012,""),"Server",_xlfn.XLOOKUP($K367&amp;"",SERVER!$B$3:$B$1009&amp;"",SERVER!$H$3:$H$1009,""),""),IF(TRIM(_xlpm.srcCat)&lt;&gt;TRIM($J367),"",_xlfn.SWITCH($I367,"Computer",_xlfn.XLOOKUP($K367&amp;"",COMPUTER!$B$3:$B$1009&amp;"",COMPUTER!$AM$3:$AM$1009,""),"Display",_xlfn.XLOOKUP($K367&amp;"",DISPLAY!$B$3:$B$1000&amp;"",DISPLAY!$V$3:$V$1000,""),"Network Device",_xlfn.XLOOKUP($K367&amp;"",'NETWORK-DEVICES'!$B$3:$B$987&amp;"",'NETWORK-DEVICES'!$AF$3:$AF$987,""),"Peripheral",_xlfn.XLOOKUP($K367&amp;"",PERIPHERAL!$B$3:$B$954&amp;"",PERIPHERAL!$Y$3:$Y$954,""),"Utilities",_xlfn.XLOOKUP($K367&amp;"",UTILITIES!$B$3:$B$953&amp;"",UTILITIES!$O$3:$O$953,""),"IOT",_xlfn.XLOOKUP($K367&amp;"",IOT!$B$3:$B$1012&amp;"",IOT!$AB$3:$AB$1012,""),"Server",_xlfn.XLOOKUP($K367&amp;"",SERVER!$B$3:$B$1009&amp;"",SERVER!$AB$3:$AB$1009,""),""))))</f>
        <v/>
      </c>
      <c r="R367" s="43" t="str">
        <f>IF(tbl_handover[[#This Row],[Asset Code]]="","",COUNTIF(tbl_handover[Asset Code],tbl_handover[[#This Row],[Asset Code]]))</f>
        <v/>
      </c>
    </row>
    <row r="368" spans="1:18" x14ac:dyDescent="0.25">
      <c r="A368" s="43" t="str">
        <f>IF(B368&lt;&gt;"",SUBTOTAL(3,$B$1:B367),"")</f>
        <v/>
      </c>
      <c r="C368" s="74"/>
      <c r="D368" s="74"/>
      <c r="G368" s="1"/>
      <c r="K368" s="42"/>
      <c r="L368" t="str" cm="1">
        <f t="array" ref="L368">IF($K368="","",_xlfn.SWITCH($I368,"Computer",_xlfn.XLOOKUP($K368&amp;"",COMPUTER!$B$3:$B$1009&amp;"",COMPUTER!$I$3:$I$1009,""),"Display",_xlfn.XLOOKUP($K368&amp;"",DISPLAY!$B$3:$B$1000&amp;"",DISPLAY!$J$3:$J$1000,""),"Network Device",_xlfn.XLOOKUP($K368&amp;"",'NETWORK-DEVICES'!$B$3:$B$987&amp;"",'NETWORK-DEVICES'!$I$3:$I$987,""),"Peripheral",_xlfn.XLOOKUP($K368&amp;"",PERIPHERAL!$B$3:$B$954&amp;"",PERIPHERAL!$I$3:$I$954,""),"Utilities",_xlfn.XLOOKUP($K368&amp;"",UTILITIES!$B$3:$B$953&amp;"",UTILITIES!$H$3:$H$953,""),"IOT",_xlfn.XLOOKUP($K368&amp;"",IOT!$B$3:$B$1012&amp;"",IOT!$I$3:$I$1012,""),"SERVER",_xlfn.XLOOKUP($K368&amp;"",SERVER!$B$3:$B$1009&amp;"",SERVER!$I$3:$I$1009,""),""))</f>
        <v/>
      </c>
      <c r="M368" t="str" cm="1">
        <f t="array" ref="M368">IF($K368="","",_xlfn.SWITCH($I368,"Computer",_xlfn.XLOOKUP($K368&amp;"",COMPUTER!$B$3:$B$1009&amp;"",COMPUTER!$J$3:$J$1009,""),"Display",_xlfn.XLOOKUP($K368&amp;"",DISPLAY!$B$3:$B$1000&amp;"",DISPLAY!$K$3:$K$1000,""),"Network Device",_xlfn.XLOOKUP($K368&amp;"",'NETWORK-DEVICES'!$B$3:$B$987&amp;"",'NETWORK-DEVICES'!$I$3:$I$987,""),"Peripheral",_xlfn.XLOOKUP($K368&amp;"",PERIPHERAL!$B$3:$B$954&amp;"",PERIPHERAL!$J$3:$J$954,""),"Utilities",_xlfn.XLOOKUP($K368&amp;"",UTILITIES!$B$3:$B$953&amp;"",UTILITIES!$I$3:$I$953,""),"IOT",_xlfn.XLOOKUP($K368&amp;"",IOT!$B$3:$B$1012&amp;"",IOT!$J$3:$J$1012,""),"Server",_xlfn.XLOOKUP($K368&amp;"",SERVER!$B$3:$B$1009&amp;"",SERVER!$J$3:$J$1009,""),""))</f>
        <v/>
      </c>
      <c r="N368" s="1" t="str" cm="1">
        <f t="array" ref="N368">IF(OR($K368="",$I368="",$J368=""),"",_xlfn.LET(_xlpm.srcCat,_xlfn.SWITCH($I368,"Computer",_xlfn.XLOOKUP($K368&amp;"",COMPUTER!$B$3:$B$1009&amp;"",COMPUTER!$H$3:$H$1009,""),"Display",_xlfn.XLOOKUP($K368&amp;"",DISPLAY!$B$3:$B$1000&amp;"",DISPLAY!$H$3:$H$1000,""),"Network Device",_xlfn.XLOOKUP($K368&amp;"",'NETWORK-DEVICES'!$B$3:$B$987&amp;"",'NETWORK-DEVICES'!$H$3:$H$987,""),"Peripheral",_xlfn.XLOOKUP($K368&amp;"",PERIPHERAL!$B$3:$B$954&amp;"",PERIPHERAL!$H$3:$H$954,""),"Utilities",_xlfn.XLOOKUP($K368&amp;"",UTILITIES!$B$3:$B$953&amp;"",UTILITIES!$G$3:$G$953,""),"IOT",_xlfn.XLOOKUP($K368&amp;"",IOT!$B$3:$B$1012&amp;"",IOT!$H$3:$H$1012,""),"Server",_xlfn.XLOOKUP($K368&amp;"",SERVER!$B$3:$B$1009&amp;"",SERVER!$H$3:$H$1009,""),""),IF(TRIM(_xlpm.srcCat)&lt;&gt;TRIM($J368),"",_xlfn.SWITCH($I368,"Computer",_xlfn.XLOOKUP($K368&amp;"",COMPUTER!$B$3:$B$1009&amp;"",COMPUTER!$K$3:$K$1009,""),"Display",_xlfn.XLOOKUP($K368&amp;"",DISPLAY!$B$3:$B$1000&amp;"",DISPLAY!$L$3:$L$1000,""),"Network Device",_xlfn.XLOOKUP($K368&amp;"",'NETWORK-DEVICES'!$B$3:$B$987&amp;"",'NETWORK-DEVICES'!$K$3:$K$987,""),"Peripheral",_xlfn.XLOOKUP($K368&amp;"",PERIPHERAL!$B$3:$B$954&amp;"",PERIPHERAL!$K$3:$K$954,""),"Utilities",_xlfn.XLOOKUP($K368&amp;"",UTILITIES!$B$3:$B$953&amp;"",UTILITIES!$J$3:$J$953,""),"IOT",_xlfn.XLOOKUP($K368&amp;"",IOT!$B$3:$B$1012&amp;"",IOT!$K$4:$K$1012,""),"Server",_xlfn.XLOOKUP($K368&amp;"",SERVER!$B$3:$B$1009&amp;"",SERVER!$K$3:$K$1009,""),""))))</f>
        <v/>
      </c>
      <c r="O368" s="1" t="str" cm="1">
        <f t="array" ref="O368">IF(OR($K368="",$I368="",$J368=""),"",_xlfn.LET(_xlpm.srcCat,_xlfn.SWITCH($I368,"Computer",_xlfn.XLOOKUP($K368&amp;"",COMPUTER!$B$3:$B$1009&amp;"",COMPUTER!$H$3:$H$1009,""),"Display",_xlfn.XLOOKUP($K368&amp;"",DISPLAY!$B$3:$B$1000&amp;"",DISPLAY!$H$3:$H$1000,""),"Network Device",_xlfn.XLOOKUP($K368&amp;"",'NETWORK-DEVICES'!$B$3:$B$987&amp;"",'NETWORK-DEVICES'!$H$3:$H$987,""),"Peripheral",_xlfn.XLOOKUP($K368&amp;"",PERIPHERAL!$B$3:$B$954&amp;"",PERIPHERAL!$H$3:$H$954,""),"Utilities",_xlfn.XLOOKUP($K368&amp;"",UTILITIES!$B$3:$B$953&amp;"",UTILITIES!$G$3:$G$953,""),"IOT",_xlfn.XLOOKUP($K368&amp;"",IOT!$B$3:$B$1012&amp;"",IOT!$H$3:$H$1012,""),"Server",_xlfn.XLOOKUP($K368&amp;"",SERVER!$B$3:$B$1009&amp;"",SERVER!$H$3:$H$1009,""),""),IF(TRIM(_xlpm.srcCat)&lt;&gt;TRIM($J368),"",_xlfn.SWITCH($I368,"Computer",_xlfn.XLOOKUP($K368&amp;"",COMPUTER!$B$3:$B$1009&amp;"",COMPUTER!$E$3:$E$1009,""),"Display",_xlfn.XLOOKUP($K368&amp;"",DISPLAY!$B$3:$B$1000&amp;"",DISPLAY!$E$3:$E$1000,""),"Network Device",_xlfn.XLOOKUP($K368&amp;"",'NETWORK-DEVICES'!$B$3:$B$987&amp;"",'NETWORK-DEVICES'!$E$3:$E$987,""),"Peripheral",_xlfn.XLOOKUP($K368&amp;"",PERIPHERAL!$B$3:$B$954&amp;"",PERIPHERAL!$E$3:$E$954,""),"Utilities",_xlfn.XLOOKUP($K368&amp;"",UTILITIES!$B$3:$B$953&amp;"",UTILITIES!$E$3:$E$953,""),"IOT",_xlfn.XLOOKUP($K368&amp;"",IOT!$B$3:$B$1012&amp;"",IOT!$E$3:$E$1012,""),"Server",_xlfn.XLOOKUP($K368&amp;"",SERVER!$B$3:$B$1009&amp;"",SERVER!$E$3:$E$1009,""),""))))</f>
        <v/>
      </c>
      <c r="Q368" s="1" t="str" cm="1">
        <f t="array" ref="Q368">IF(OR($K368="",$I368="",$J368=""),"",_xlfn.LET(_xlpm.srcCat,_xlfn.SWITCH($I368,"Computer",_xlfn.XLOOKUP($K368&amp;"",COMPUTER!$B$3:$B$1009&amp;"",COMPUTER!$H$3:$H$1009,""),"Display",_xlfn.XLOOKUP($K368&amp;"",DISPLAY!$B$3:$B$1000&amp;"",DISPLAY!$H$3:$H$1000,""),"Network Device",_xlfn.XLOOKUP($K368&amp;"",'NETWORK-DEVICES'!$B$3:$B$987&amp;"",'NETWORK-DEVICES'!$H$3:$H$987,""),"Peripheral",_xlfn.XLOOKUP($K368&amp;"",PERIPHERAL!$B$3:$B$954&amp;"",PERIPHERAL!$H$3:$H$954,""),"Utilities",_xlfn.XLOOKUP($K368&amp;"",UTILITIES!$B$3:$B$953&amp;"",UTILITIES!$G$3:$G$953,""),"IOT",_xlfn.XLOOKUP($K368&amp;"",IOT!$B$3:$B$1012&amp;"",IOT!$H$3:$H$1012,""),"Server",_xlfn.XLOOKUP($K368&amp;"",SERVER!$B$3:$B$1009&amp;"",SERVER!$H$3:$H$1009,""),""),IF(TRIM(_xlpm.srcCat)&lt;&gt;TRIM($J368),"",_xlfn.SWITCH($I368,"Computer",_xlfn.XLOOKUP($K368&amp;"",COMPUTER!$B$3:$B$1009&amp;"",COMPUTER!$AM$3:$AM$1009,""),"Display",_xlfn.XLOOKUP($K368&amp;"",DISPLAY!$B$3:$B$1000&amp;"",DISPLAY!$V$3:$V$1000,""),"Network Device",_xlfn.XLOOKUP($K368&amp;"",'NETWORK-DEVICES'!$B$3:$B$987&amp;"",'NETWORK-DEVICES'!$AF$3:$AF$987,""),"Peripheral",_xlfn.XLOOKUP($K368&amp;"",PERIPHERAL!$B$3:$B$954&amp;"",PERIPHERAL!$Y$3:$Y$954,""),"Utilities",_xlfn.XLOOKUP($K368&amp;"",UTILITIES!$B$3:$B$953&amp;"",UTILITIES!$O$3:$O$953,""),"IOT",_xlfn.XLOOKUP($K368&amp;"",IOT!$B$3:$B$1012&amp;"",IOT!$AB$3:$AB$1012,""),"Server",_xlfn.XLOOKUP($K368&amp;"",SERVER!$B$3:$B$1009&amp;"",SERVER!$AB$3:$AB$1009,""),""))))</f>
        <v/>
      </c>
      <c r="R368" s="43" t="str">
        <f>IF(tbl_handover[[#This Row],[Asset Code]]="","",COUNTIF(tbl_handover[Asset Code],tbl_handover[[#This Row],[Asset Code]]))</f>
        <v/>
      </c>
    </row>
    <row r="369" spans="1:18" x14ac:dyDescent="0.25">
      <c r="A369" s="43" t="str">
        <f>IF(B369&lt;&gt;"",SUBTOTAL(3,$B$1:B368),"")</f>
        <v/>
      </c>
      <c r="C369" s="74"/>
      <c r="D369" s="74"/>
      <c r="G369" s="1"/>
      <c r="K369" s="42"/>
      <c r="L369" t="str" cm="1">
        <f t="array" ref="L369">IF($K369="","",_xlfn.SWITCH($I369,"Computer",_xlfn.XLOOKUP($K369&amp;"",COMPUTER!$B$3:$B$1009&amp;"",COMPUTER!$I$3:$I$1009,""),"Display",_xlfn.XLOOKUP($K369&amp;"",DISPLAY!$B$3:$B$1000&amp;"",DISPLAY!$J$3:$J$1000,""),"Network Device",_xlfn.XLOOKUP($K369&amp;"",'NETWORK-DEVICES'!$B$3:$B$987&amp;"",'NETWORK-DEVICES'!$I$3:$I$987,""),"Peripheral",_xlfn.XLOOKUP($K369&amp;"",PERIPHERAL!$B$3:$B$954&amp;"",PERIPHERAL!$I$3:$I$954,""),"Utilities",_xlfn.XLOOKUP($K369&amp;"",UTILITIES!$B$3:$B$953&amp;"",UTILITIES!$H$3:$H$953,""),"IOT",_xlfn.XLOOKUP($K369&amp;"",IOT!$B$3:$B$1012&amp;"",IOT!$I$3:$I$1012,""),"SERVER",_xlfn.XLOOKUP($K369&amp;"",SERVER!$B$3:$B$1009&amp;"",SERVER!$I$3:$I$1009,""),""))</f>
        <v/>
      </c>
      <c r="M369" t="str" cm="1">
        <f t="array" ref="M369">IF($K369="","",_xlfn.SWITCH($I369,"Computer",_xlfn.XLOOKUP($K369&amp;"",COMPUTER!$B$3:$B$1009&amp;"",COMPUTER!$J$3:$J$1009,""),"Display",_xlfn.XLOOKUP($K369&amp;"",DISPLAY!$B$3:$B$1000&amp;"",DISPLAY!$K$3:$K$1000,""),"Network Device",_xlfn.XLOOKUP($K369&amp;"",'NETWORK-DEVICES'!$B$3:$B$987&amp;"",'NETWORK-DEVICES'!$I$3:$I$987,""),"Peripheral",_xlfn.XLOOKUP($K369&amp;"",PERIPHERAL!$B$3:$B$954&amp;"",PERIPHERAL!$J$3:$J$954,""),"Utilities",_xlfn.XLOOKUP($K369&amp;"",UTILITIES!$B$3:$B$953&amp;"",UTILITIES!$I$3:$I$953,""),"IOT",_xlfn.XLOOKUP($K369&amp;"",IOT!$B$3:$B$1012&amp;"",IOT!$J$3:$J$1012,""),"Server",_xlfn.XLOOKUP($K369&amp;"",SERVER!$B$3:$B$1009&amp;"",SERVER!$J$3:$J$1009,""),""))</f>
        <v/>
      </c>
      <c r="N369" s="1" t="str" cm="1">
        <f t="array" ref="N369">IF(OR($K369="",$I369="",$J369=""),"",_xlfn.LET(_xlpm.srcCat,_xlfn.SWITCH($I369,"Computer",_xlfn.XLOOKUP($K369&amp;"",COMPUTER!$B$3:$B$1009&amp;"",COMPUTER!$H$3:$H$1009,""),"Display",_xlfn.XLOOKUP($K369&amp;"",DISPLAY!$B$3:$B$1000&amp;"",DISPLAY!$H$3:$H$1000,""),"Network Device",_xlfn.XLOOKUP($K369&amp;"",'NETWORK-DEVICES'!$B$3:$B$987&amp;"",'NETWORK-DEVICES'!$H$3:$H$987,""),"Peripheral",_xlfn.XLOOKUP($K369&amp;"",PERIPHERAL!$B$3:$B$954&amp;"",PERIPHERAL!$H$3:$H$954,""),"Utilities",_xlfn.XLOOKUP($K369&amp;"",UTILITIES!$B$3:$B$953&amp;"",UTILITIES!$G$3:$G$953,""),"IOT",_xlfn.XLOOKUP($K369&amp;"",IOT!$B$3:$B$1012&amp;"",IOT!$H$3:$H$1012,""),"Server",_xlfn.XLOOKUP($K369&amp;"",SERVER!$B$3:$B$1009&amp;"",SERVER!$H$3:$H$1009,""),""),IF(TRIM(_xlpm.srcCat)&lt;&gt;TRIM($J369),"",_xlfn.SWITCH($I369,"Computer",_xlfn.XLOOKUP($K369&amp;"",COMPUTER!$B$3:$B$1009&amp;"",COMPUTER!$K$3:$K$1009,""),"Display",_xlfn.XLOOKUP($K369&amp;"",DISPLAY!$B$3:$B$1000&amp;"",DISPLAY!$L$3:$L$1000,""),"Network Device",_xlfn.XLOOKUP($K369&amp;"",'NETWORK-DEVICES'!$B$3:$B$987&amp;"",'NETWORK-DEVICES'!$K$3:$K$987,""),"Peripheral",_xlfn.XLOOKUP($K369&amp;"",PERIPHERAL!$B$3:$B$954&amp;"",PERIPHERAL!$K$3:$K$954,""),"Utilities",_xlfn.XLOOKUP($K369&amp;"",UTILITIES!$B$3:$B$953&amp;"",UTILITIES!$J$3:$J$953,""),"IOT",_xlfn.XLOOKUP($K369&amp;"",IOT!$B$3:$B$1012&amp;"",IOT!$K$4:$K$1012,""),"Server",_xlfn.XLOOKUP($K369&amp;"",SERVER!$B$3:$B$1009&amp;"",SERVER!$K$3:$K$1009,""),""))))</f>
        <v/>
      </c>
      <c r="O369" s="1" t="str" cm="1">
        <f t="array" ref="O369">IF(OR($K369="",$I369="",$J369=""),"",_xlfn.LET(_xlpm.srcCat,_xlfn.SWITCH($I369,"Computer",_xlfn.XLOOKUP($K369&amp;"",COMPUTER!$B$3:$B$1009&amp;"",COMPUTER!$H$3:$H$1009,""),"Display",_xlfn.XLOOKUP($K369&amp;"",DISPLAY!$B$3:$B$1000&amp;"",DISPLAY!$H$3:$H$1000,""),"Network Device",_xlfn.XLOOKUP($K369&amp;"",'NETWORK-DEVICES'!$B$3:$B$987&amp;"",'NETWORK-DEVICES'!$H$3:$H$987,""),"Peripheral",_xlfn.XLOOKUP($K369&amp;"",PERIPHERAL!$B$3:$B$954&amp;"",PERIPHERAL!$H$3:$H$954,""),"Utilities",_xlfn.XLOOKUP($K369&amp;"",UTILITIES!$B$3:$B$953&amp;"",UTILITIES!$G$3:$G$953,""),"IOT",_xlfn.XLOOKUP($K369&amp;"",IOT!$B$3:$B$1012&amp;"",IOT!$H$3:$H$1012,""),"Server",_xlfn.XLOOKUP($K369&amp;"",SERVER!$B$3:$B$1009&amp;"",SERVER!$H$3:$H$1009,""),""),IF(TRIM(_xlpm.srcCat)&lt;&gt;TRIM($J369),"",_xlfn.SWITCH($I369,"Computer",_xlfn.XLOOKUP($K369&amp;"",COMPUTER!$B$3:$B$1009&amp;"",COMPUTER!$E$3:$E$1009,""),"Display",_xlfn.XLOOKUP($K369&amp;"",DISPLAY!$B$3:$B$1000&amp;"",DISPLAY!$E$3:$E$1000,""),"Network Device",_xlfn.XLOOKUP($K369&amp;"",'NETWORK-DEVICES'!$B$3:$B$987&amp;"",'NETWORK-DEVICES'!$E$3:$E$987,""),"Peripheral",_xlfn.XLOOKUP($K369&amp;"",PERIPHERAL!$B$3:$B$954&amp;"",PERIPHERAL!$E$3:$E$954,""),"Utilities",_xlfn.XLOOKUP($K369&amp;"",UTILITIES!$B$3:$B$953&amp;"",UTILITIES!$E$3:$E$953,""),"IOT",_xlfn.XLOOKUP($K369&amp;"",IOT!$B$3:$B$1012&amp;"",IOT!$E$3:$E$1012,""),"Server",_xlfn.XLOOKUP($K369&amp;"",SERVER!$B$3:$B$1009&amp;"",SERVER!$E$3:$E$1009,""),""))))</f>
        <v/>
      </c>
      <c r="Q369" s="1" t="str" cm="1">
        <f t="array" ref="Q369">IF(OR($K369="",$I369="",$J369=""),"",_xlfn.LET(_xlpm.srcCat,_xlfn.SWITCH($I369,"Computer",_xlfn.XLOOKUP($K369&amp;"",COMPUTER!$B$3:$B$1009&amp;"",COMPUTER!$H$3:$H$1009,""),"Display",_xlfn.XLOOKUP($K369&amp;"",DISPLAY!$B$3:$B$1000&amp;"",DISPLAY!$H$3:$H$1000,""),"Network Device",_xlfn.XLOOKUP($K369&amp;"",'NETWORK-DEVICES'!$B$3:$B$987&amp;"",'NETWORK-DEVICES'!$H$3:$H$987,""),"Peripheral",_xlfn.XLOOKUP($K369&amp;"",PERIPHERAL!$B$3:$B$954&amp;"",PERIPHERAL!$H$3:$H$954,""),"Utilities",_xlfn.XLOOKUP($K369&amp;"",UTILITIES!$B$3:$B$953&amp;"",UTILITIES!$G$3:$G$953,""),"IOT",_xlfn.XLOOKUP($K369&amp;"",IOT!$B$3:$B$1012&amp;"",IOT!$H$3:$H$1012,""),"Server",_xlfn.XLOOKUP($K369&amp;"",SERVER!$B$3:$B$1009&amp;"",SERVER!$H$3:$H$1009,""),""),IF(TRIM(_xlpm.srcCat)&lt;&gt;TRIM($J369),"",_xlfn.SWITCH($I369,"Computer",_xlfn.XLOOKUP($K369&amp;"",COMPUTER!$B$3:$B$1009&amp;"",COMPUTER!$AM$3:$AM$1009,""),"Display",_xlfn.XLOOKUP($K369&amp;"",DISPLAY!$B$3:$B$1000&amp;"",DISPLAY!$V$3:$V$1000,""),"Network Device",_xlfn.XLOOKUP($K369&amp;"",'NETWORK-DEVICES'!$B$3:$B$987&amp;"",'NETWORK-DEVICES'!$AF$3:$AF$987,""),"Peripheral",_xlfn.XLOOKUP($K369&amp;"",PERIPHERAL!$B$3:$B$954&amp;"",PERIPHERAL!$Y$3:$Y$954,""),"Utilities",_xlfn.XLOOKUP($K369&amp;"",UTILITIES!$B$3:$B$953&amp;"",UTILITIES!$O$3:$O$953,""),"IOT",_xlfn.XLOOKUP($K369&amp;"",IOT!$B$3:$B$1012&amp;"",IOT!$AB$3:$AB$1012,""),"Server",_xlfn.XLOOKUP($K369&amp;"",SERVER!$B$3:$B$1009&amp;"",SERVER!$AB$3:$AB$1009,""),""))))</f>
        <v/>
      </c>
      <c r="R369" s="43" t="str">
        <f>IF(tbl_handover[[#This Row],[Asset Code]]="","",COUNTIF(tbl_handover[Asset Code],tbl_handover[[#This Row],[Asset Code]]))</f>
        <v/>
      </c>
    </row>
    <row r="370" spans="1:18" x14ac:dyDescent="0.25">
      <c r="A370" s="43" t="str">
        <f>IF(B370&lt;&gt;"",SUBTOTAL(3,$B$1:B369),"")</f>
        <v/>
      </c>
      <c r="C370" s="74"/>
      <c r="D370" s="74"/>
      <c r="G370" s="1"/>
      <c r="K370" s="42"/>
      <c r="L370" t="str" cm="1">
        <f t="array" ref="L370">IF($K370="","",_xlfn.SWITCH($I370,"Computer",_xlfn.XLOOKUP($K370&amp;"",COMPUTER!$B$3:$B$1009&amp;"",COMPUTER!$I$3:$I$1009,""),"Display",_xlfn.XLOOKUP($K370&amp;"",DISPLAY!$B$3:$B$1000&amp;"",DISPLAY!$J$3:$J$1000,""),"Network Device",_xlfn.XLOOKUP($K370&amp;"",'NETWORK-DEVICES'!$B$3:$B$987&amp;"",'NETWORK-DEVICES'!$I$3:$I$987,""),"Peripheral",_xlfn.XLOOKUP($K370&amp;"",PERIPHERAL!$B$3:$B$954&amp;"",PERIPHERAL!$I$3:$I$954,""),"Utilities",_xlfn.XLOOKUP($K370&amp;"",UTILITIES!$B$3:$B$953&amp;"",UTILITIES!$H$3:$H$953,""),"IOT",_xlfn.XLOOKUP($K370&amp;"",IOT!$B$3:$B$1012&amp;"",IOT!$I$3:$I$1012,""),"SERVER",_xlfn.XLOOKUP($K370&amp;"",SERVER!$B$3:$B$1009&amp;"",SERVER!$I$3:$I$1009,""),""))</f>
        <v/>
      </c>
      <c r="M370" t="str" cm="1">
        <f t="array" ref="M370">IF($K370="","",_xlfn.SWITCH($I370,"Computer",_xlfn.XLOOKUP($K370&amp;"",COMPUTER!$B$3:$B$1009&amp;"",COMPUTER!$J$3:$J$1009,""),"Display",_xlfn.XLOOKUP($K370&amp;"",DISPLAY!$B$3:$B$1000&amp;"",DISPLAY!$K$3:$K$1000,""),"Network Device",_xlfn.XLOOKUP($K370&amp;"",'NETWORK-DEVICES'!$B$3:$B$987&amp;"",'NETWORK-DEVICES'!$I$3:$I$987,""),"Peripheral",_xlfn.XLOOKUP($K370&amp;"",PERIPHERAL!$B$3:$B$954&amp;"",PERIPHERAL!$J$3:$J$954,""),"Utilities",_xlfn.XLOOKUP($K370&amp;"",UTILITIES!$B$3:$B$953&amp;"",UTILITIES!$I$3:$I$953,""),"IOT",_xlfn.XLOOKUP($K370&amp;"",IOT!$B$3:$B$1012&amp;"",IOT!$J$3:$J$1012,""),"Server",_xlfn.XLOOKUP($K370&amp;"",SERVER!$B$3:$B$1009&amp;"",SERVER!$J$3:$J$1009,""),""))</f>
        <v/>
      </c>
      <c r="N370" s="1" t="str" cm="1">
        <f t="array" ref="N370">IF(OR($K370="",$I370="",$J370=""),"",_xlfn.LET(_xlpm.srcCat,_xlfn.SWITCH($I370,"Computer",_xlfn.XLOOKUP($K370&amp;"",COMPUTER!$B$3:$B$1009&amp;"",COMPUTER!$H$3:$H$1009,""),"Display",_xlfn.XLOOKUP($K370&amp;"",DISPLAY!$B$3:$B$1000&amp;"",DISPLAY!$H$3:$H$1000,""),"Network Device",_xlfn.XLOOKUP($K370&amp;"",'NETWORK-DEVICES'!$B$3:$B$987&amp;"",'NETWORK-DEVICES'!$H$3:$H$987,""),"Peripheral",_xlfn.XLOOKUP($K370&amp;"",PERIPHERAL!$B$3:$B$954&amp;"",PERIPHERAL!$H$3:$H$954,""),"Utilities",_xlfn.XLOOKUP($K370&amp;"",UTILITIES!$B$3:$B$953&amp;"",UTILITIES!$G$3:$G$953,""),"IOT",_xlfn.XLOOKUP($K370&amp;"",IOT!$B$3:$B$1012&amp;"",IOT!$H$3:$H$1012,""),"Server",_xlfn.XLOOKUP($K370&amp;"",SERVER!$B$3:$B$1009&amp;"",SERVER!$H$3:$H$1009,""),""),IF(TRIM(_xlpm.srcCat)&lt;&gt;TRIM($J370),"",_xlfn.SWITCH($I370,"Computer",_xlfn.XLOOKUP($K370&amp;"",COMPUTER!$B$3:$B$1009&amp;"",COMPUTER!$K$3:$K$1009,""),"Display",_xlfn.XLOOKUP($K370&amp;"",DISPLAY!$B$3:$B$1000&amp;"",DISPLAY!$L$3:$L$1000,""),"Network Device",_xlfn.XLOOKUP($K370&amp;"",'NETWORK-DEVICES'!$B$3:$B$987&amp;"",'NETWORK-DEVICES'!$K$3:$K$987,""),"Peripheral",_xlfn.XLOOKUP($K370&amp;"",PERIPHERAL!$B$3:$B$954&amp;"",PERIPHERAL!$K$3:$K$954,""),"Utilities",_xlfn.XLOOKUP($K370&amp;"",UTILITIES!$B$3:$B$953&amp;"",UTILITIES!$J$3:$J$953,""),"IOT",_xlfn.XLOOKUP($K370&amp;"",IOT!$B$3:$B$1012&amp;"",IOT!$K$4:$K$1012,""),"Server",_xlfn.XLOOKUP($K370&amp;"",SERVER!$B$3:$B$1009&amp;"",SERVER!$K$3:$K$1009,""),""))))</f>
        <v/>
      </c>
      <c r="O370" s="1" t="str" cm="1">
        <f t="array" ref="O370">IF(OR($K370="",$I370="",$J370=""),"",_xlfn.LET(_xlpm.srcCat,_xlfn.SWITCH($I370,"Computer",_xlfn.XLOOKUP($K370&amp;"",COMPUTER!$B$3:$B$1009&amp;"",COMPUTER!$H$3:$H$1009,""),"Display",_xlfn.XLOOKUP($K370&amp;"",DISPLAY!$B$3:$B$1000&amp;"",DISPLAY!$H$3:$H$1000,""),"Network Device",_xlfn.XLOOKUP($K370&amp;"",'NETWORK-DEVICES'!$B$3:$B$987&amp;"",'NETWORK-DEVICES'!$H$3:$H$987,""),"Peripheral",_xlfn.XLOOKUP($K370&amp;"",PERIPHERAL!$B$3:$B$954&amp;"",PERIPHERAL!$H$3:$H$954,""),"Utilities",_xlfn.XLOOKUP($K370&amp;"",UTILITIES!$B$3:$B$953&amp;"",UTILITIES!$G$3:$G$953,""),"IOT",_xlfn.XLOOKUP($K370&amp;"",IOT!$B$3:$B$1012&amp;"",IOT!$H$3:$H$1012,""),"Server",_xlfn.XLOOKUP($K370&amp;"",SERVER!$B$3:$B$1009&amp;"",SERVER!$H$3:$H$1009,""),""),IF(TRIM(_xlpm.srcCat)&lt;&gt;TRIM($J370),"",_xlfn.SWITCH($I370,"Computer",_xlfn.XLOOKUP($K370&amp;"",COMPUTER!$B$3:$B$1009&amp;"",COMPUTER!$E$3:$E$1009,""),"Display",_xlfn.XLOOKUP($K370&amp;"",DISPLAY!$B$3:$B$1000&amp;"",DISPLAY!$E$3:$E$1000,""),"Network Device",_xlfn.XLOOKUP($K370&amp;"",'NETWORK-DEVICES'!$B$3:$B$987&amp;"",'NETWORK-DEVICES'!$E$3:$E$987,""),"Peripheral",_xlfn.XLOOKUP($K370&amp;"",PERIPHERAL!$B$3:$B$954&amp;"",PERIPHERAL!$E$3:$E$954,""),"Utilities",_xlfn.XLOOKUP($K370&amp;"",UTILITIES!$B$3:$B$953&amp;"",UTILITIES!$E$3:$E$953,""),"IOT",_xlfn.XLOOKUP($K370&amp;"",IOT!$B$3:$B$1012&amp;"",IOT!$E$3:$E$1012,""),"Server",_xlfn.XLOOKUP($K370&amp;"",SERVER!$B$3:$B$1009&amp;"",SERVER!$E$3:$E$1009,""),""))))</f>
        <v/>
      </c>
      <c r="Q370" s="1" t="str" cm="1">
        <f t="array" ref="Q370">IF(OR($K370="",$I370="",$J370=""),"",_xlfn.LET(_xlpm.srcCat,_xlfn.SWITCH($I370,"Computer",_xlfn.XLOOKUP($K370&amp;"",COMPUTER!$B$3:$B$1009&amp;"",COMPUTER!$H$3:$H$1009,""),"Display",_xlfn.XLOOKUP($K370&amp;"",DISPLAY!$B$3:$B$1000&amp;"",DISPLAY!$H$3:$H$1000,""),"Network Device",_xlfn.XLOOKUP($K370&amp;"",'NETWORK-DEVICES'!$B$3:$B$987&amp;"",'NETWORK-DEVICES'!$H$3:$H$987,""),"Peripheral",_xlfn.XLOOKUP($K370&amp;"",PERIPHERAL!$B$3:$B$954&amp;"",PERIPHERAL!$H$3:$H$954,""),"Utilities",_xlfn.XLOOKUP($K370&amp;"",UTILITIES!$B$3:$B$953&amp;"",UTILITIES!$G$3:$G$953,""),"IOT",_xlfn.XLOOKUP($K370&amp;"",IOT!$B$3:$B$1012&amp;"",IOT!$H$3:$H$1012,""),"Server",_xlfn.XLOOKUP($K370&amp;"",SERVER!$B$3:$B$1009&amp;"",SERVER!$H$3:$H$1009,""),""),IF(TRIM(_xlpm.srcCat)&lt;&gt;TRIM($J370),"",_xlfn.SWITCH($I370,"Computer",_xlfn.XLOOKUP($K370&amp;"",COMPUTER!$B$3:$B$1009&amp;"",COMPUTER!$AM$3:$AM$1009,""),"Display",_xlfn.XLOOKUP($K370&amp;"",DISPLAY!$B$3:$B$1000&amp;"",DISPLAY!$V$3:$V$1000,""),"Network Device",_xlfn.XLOOKUP($K370&amp;"",'NETWORK-DEVICES'!$B$3:$B$987&amp;"",'NETWORK-DEVICES'!$AF$3:$AF$987,""),"Peripheral",_xlfn.XLOOKUP($K370&amp;"",PERIPHERAL!$B$3:$B$954&amp;"",PERIPHERAL!$Y$3:$Y$954,""),"Utilities",_xlfn.XLOOKUP($K370&amp;"",UTILITIES!$B$3:$B$953&amp;"",UTILITIES!$O$3:$O$953,""),"IOT",_xlfn.XLOOKUP($K370&amp;"",IOT!$B$3:$B$1012&amp;"",IOT!$AB$3:$AB$1012,""),"Server",_xlfn.XLOOKUP($K370&amp;"",SERVER!$B$3:$B$1009&amp;"",SERVER!$AB$3:$AB$1009,""),""))))</f>
        <v/>
      </c>
      <c r="R370" s="43" t="str">
        <f>IF(tbl_handover[[#This Row],[Asset Code]]="","",COUNTIF(tbl_handover[Asset Code],tbl_handover[[#This Row],[Asset Code]]))</f>
        <v/>
      </c>
    </row>
    <row r="371" spans="1:18" x14ac:dyDescent="0.25">
      <c r="A371" s="43" t="str">
        <f>IF(B371&lt;&gt;"",SUBTOTAL(3,$B$1:B370),"")</f>
        <v/>
      </c>
      <c r="C371" s="74"/>
      <c r="D371" s="74"/>
      <c r="G371" s="1"/>
      <c r="K371" s="42"/>
      <c r="L371" t="str" cm="1">
        <f t="array" ref="L371">IF($K371="","",_xlfn.SWITCH($I371,"Computer",_xlfn.XLOOKUP($K371&amp;"",COMPUTER!$B$3:$B$1009&amp;"",COMPUTER!$I$3:$I$1009,""),"Display",_xlfn.XLOOKUP($K371&amp;"",DISPLAY!$B$3:$B$1000&amp;"",DISPLAY!$J$3:$J$1000,""),"Network Device",_xlfn.XLOOKUP($K371&amp;"",'NETWORK-DEVICES'!$B$3:$B$987&amp;"",'NETWORK-DEVICES'!$I$3:$I$987,""),"Peripheral",_xlfn.XLOOKUP($K371&amp;"",PERIPHERAL!$B$3:$B$954&amp;"",PERIPHERAL!$I$3:$I$954,""),"Utilities",_xlfn.XLOOKUP($K371&amp;"",UTILITIES!$B$3:$B$953&amp;"",UTILITIES!$H$3:$H$953,""),"IOT",_xlfn.XLOOKUP($K371&amp;"",IOT!$B$3:$B$1012&amp;"",IOT!$I$3:$I$1012,""),"SERVER",_xlfn.XLOOKUP($K371&amp;"",SERVER!$B$3:$B$1009&amp;"",SERVER!$I$3:$I$1009,""),""))</f>
        <v/>
      </c>
      <c r="M371" t="str" cm="1">
        <f t="array" ref="M371">IF($K371="","",_xlfn.SWITCH($I371,"Computer",_xlfn.XLOOKUP($K371&amp;"",COMPUTER!$B$3:$B$1009&amp;"",COMPUTER!$J$3:$J$1009,""),"Display",_xlfn.XLOOKUP($K371&amp;"",DISPLAY!$B$3:$B$1000&amp;"",DISPLAY!$K$3:$K$1000,""),"Network Device",_xlfn.XLOOKUP($K371&amp;"",'NETWORK-DEVICES'!$B$3:$B$987&amp;"",'NETWORK-DEVICES'!$I$3:$I$987,""),"Peripheral",_xlfn.XLOOKUP($K371&amp;"",PERIPHERAL!$B$3:$B$954&amp;"",PERIPHERAL!$J$3:$J$954,""),"Utilities",_xlfn.XLOOKUP($K371&amp;"",UTILITIES!$B$3:$B$953&amp;"",UTILITIES!$I$3:$I$953,""),"IOT",_xlfn.XLOOKUP($K371&amp;"",IOT!$B$3:$B$1012&amp;"",IOT!$J$3:$J$1012,""),"Server",_xlfn.XLOOKUP($K371&amp;"",SERVER!$B$3:$B$1009&amp;"",SERVER!$J$3:$J$1009,""),""))</f>
        <v/>
      </c>
      <c r="N371" s="1" t="str" cm="1">
        <f t="array" ref="N371">IF(OR($K371="",$I371="",$J371=""),"",_xlfn.LET(_xlpm.srcCat,_xlfn.SWITCH($I371,"Computer",_xlfn.XLOOKUP($K371&amp;"",COMPUTER!$B$3:$B$1009&amp;"",COMPUTER!$H$3:$H$1009,""),"Display",_xlfn.XLOOKUP($K371&amp;"",DISPLAY!$B$3:$B$1000&amp;"",DISPLAY!$H$3:$H$1000,""),"Network Device",_xlfn.XLOOKUP($K371&amp;"",'NETWORK-DEVICES'!$B$3:$B$987&amp;"",'NETWORK-DEVICES'!$H$3:$H$987,""),"Peripheral",_xlfn.XLOOKUP($K371&amp;"",PERIPHERAL!$B$3:$B$954&amp;"",PERIPHERAL!$H$3:$H$954,""),"Utilities",_xlfn.XLOOKUP($K371&amp;"",UTILITIES!$B$3:$B$953&amp;"",UTILITIES!$G$3:$G$953,""),"IOT",_xlfn.XLOOKUP($K371&amp;"",IOT!$B$3:$B$1012&amp;"",IOT!$H$3:$H$1012,""),"Server",_xlfn.XLOOKUP($K371&amp;"",SERVER!$B$3:$B$1009&amp;"",SERVER!$H$3:$H$1009,""),""),IF(TRIM(_xlpm.srcCat)&lt;&gt;TRIM($J371),"",_xlfn.SWITCH($I371,"Computer",_xlfn.XLOOKUP($K371&amp;"",COMPUTER!$B$3:$B$1009&amp;"",COMPUTER!$K$3:$K$1009,""),"Display",_xlfn.XLOOKUP($K371&amp;"",DISPLAY!$B$3:$B$1000&amp;"",DISPLAY!$L$3:$L$1000,""),"Network Device",_xlfn.XLOOKUP($K371&amp;"",'NETWORK-DEVICES'!$B$3:$B$987&amp;"",'NETWORK-DEVICES'!$K$3:$K$987,""),"Peripheral",_xlfn.XLOOKUP($K371&amp;"",PERIPHERAL!$B$3:$B$954&amp;"",PERIPHERAL!$K$3:$K$954,""),"Utilities",_xlfn.XLOOKUP($K371&amp;"",UTILITIES!$B$3:$B$953&amp;"",UTILITIES!$J$3:$J$953,""),"IOT",_xlfn.XLOOKUP($K371&amp;"",IOT!$B$3:$B$1012&amp;"",IOT!$K$4:$K$1012,""),"Server",_xlfn.XLOOKUP($K371&amp;"",SERVER!$B$3:$B$1009&amp;"",SERVER!$K$3:$K$1009,""),""))))</f>
        <v/>
      </c>
      <c r="O371" s="1" t="str" cm="1">
        <f t="array" ref="O371">IF(OR($K371="",$I371="",$J371=""),"",_xlfn.LET(_xlpm.srcCat,_xlfn.SWITCH($I371,"Computer",_xlfn.XLOOKUP($K371&amp;"",COMPUTER!$B$3:$B$1009&amp;"",COMPUTER!$H$3:$H$1009,""),"Display",_xlfn.XLOOKUP($K371&amp;"",DISPLAY!$B$3:$B$1000&amp;"",DISPLAY!$H$3:$H$1000,""),"Network Device",_xlfn.XLOOKUP($K371&amp;"",'NETWORK-DEVICES'!$B$3:$B$987&amp;"",'NETWORK-DEVICES'!$H$3:$H$987,""),"Peripheral",_xlfn.XLOOKUP($K371&amp;"",PERIPHERAL!$B$3:$B$954&amp;"",PERIPHERAL!$H$3:$H$954,""),"Utilities",_xlfn.XLOOKUP($K371&amp;"",UTILITIES!$B$3:$B$953&amp;"",UTILITIES!$G$3:$G$953,""),"IOT",_xlfn.XLOOKUP($K371&amp;"",IOT!$B$3:$B$1012&amp;"",IOT!$H$3:$H$1012,""),"Server",_xlfn.XLOOKUP($K371&amp;"",SERVER!$B$3:$B$1009&amp;"",SERVER!$H$3:$H$1009,""),""),IF(TRIM(_xlpm.srcCat)&lt;&gt;TRIM($J371),"",_xlfn.SWITCH($I371,"Computer",_xlfn.XLOOKUP($K371&amp;"",COMPUTER!$B$3:$B$1009&amp;"",COMPUTER!$E$3:$E$1009,""),"Display",_xlfn.XLOOKUP($K371&amp;"",DISPLAY!$B$3:$B$1000&amp;"",DISPLAY!$E$3:$E$1000,""),"Network Device",_xlfn.XLOOKUP($K371&amp;"",'NETWORK-DEVICES'!$B$3:$B$987&amp;"",'NETWORK-DEVICES'!$E$3:$E$987,""),"Peripheral",_xlfn.XLOOKUP($K371&amp;"",PERIPHERAL!$B$3:$B$954&amp;"",PERIPHERAL!$E$3:$E$954,""),"Utilities",_xlfn.XLOOKUP($K371&amp;"",UTILITIES!$B$3:$B$953&amp;"",UTILITIES!$E$3:$E$953,""),"IOT",_xlfn.XLOOKUP($K371&amp;"",IOT!$B$3:$B$1012&amp;"",IOT!$E$3:$E$1012,""),"Server",_xlfn.XLOOKUP($K371&amp;"",SERVER!$B$3:$B$1009&amp;"",SERVER!$E$3:$E$1009,""),""))))</f>
        <v/>
      </c>
      <c r="Q371" s="1" t="str" cm="1">
        <f t="array" ref="Q371">IF(OR($K371="",$I371="",$J371=""),"",_xlfn.LET(_xlpm.srcCat,_xlfn.SWITCH($I371,"Computer",_xlfn.XLOOKUP($K371&amp;"",COMPUTER!$B$3:$B$1009&amp;"",COMPUTER!$H$3:$H$1009,""),"Display",_xlfn.XLOOKUP($K371&amp;"",DISPLAY!$B$3:$B$1000&amp;"",DISPLAY!$H$3:$H$1000,""),"Network Device",_xlfn.XLOOKUP($K371&amp;"",'NETWORK-DEVICES'!$B$3:$B$987&amp;"",'NETWORK-DEVICES'!$H$3:$H$987,""),"Peripheral",_xlfn.XLOOKUP($K371&amp;"",PERIPHERAL!$B$3:$B$954&amp;"",PERIPHERAL!$H$3:$H$954,""),"Utilities",_xlfn.XLOOKUP($K371&amp;"",UTILITIES!$B$3:$B$953&amp;"",UTILITIES!$G$3:$G$953,""),"IOT",_xlfn.XLOOKUP($K371&amp;"",IOT!$B$3:$B$1012&amp;"",IOT!$H$3:$H$1012,""),"Server",_xlfn.XLOOKUP($K371&amp;"",SERVER!$B$3:$B$1009&amp;"",SERVER!$H$3:$H$1009,""),""),IF(TRIM(_xlpm.srcCat)&lt;&gt;TRIM($J371),"",_xlfn.SWITCH($I371,"Computer",_xlfn.XLOOKUP($K371&amp;"",COMPUTER!$B$3:$B$1009&amp;"",COMPUTER!$AM$3:$AM$1009,""),"Display",_xlfn.XLOOKUP($K371&amp;"",DISPLAY!$B$3:$B$1000&amp;"",DISPLAY!$V$3:$V$1000,""),"Network Device",_xlfn.XLOOKUP($K371&amp;"",'NETWORK-DEVICES'!$B$3:$B$987&amp;"",'NETWORK-DEVICES'!$AF$3:$AF$987,""),"Peripheral",_xlfn.XLOOKUP($K371&amp;"",PERIPHERAL!$B$3:$B$954&amp;"",PERIPHERAL!$Y$3:$Y$954,""),"Utilities",_xlfn.XLOOKUP($K371&amp;"",UTILITIES!$B$3:$B$953&amp;"",UTILITIES!$O$3:$O$953,""),"IOT",_xlfn.XLOOKUP($K371&amp;"",IOT!$B$3:$B$1012&amp;"",IOT!$AB$3:$AB$1012,""),"Server",_xlfn.XLOOKUP($K371&amp;"",SERVER!$B$3:$B$1009&amp;"",SERVER!$AB$3:$AB$1009,""),""))))</f>
        <v/>
      </c>
      <c r="R371" s="43" t="str">
        <f>IF(tbl_handover[[#This Row],[Asset Code]]="","",COUNTIF(tbl_handover[Asset Code],tbl_handover[[#This Row],[Asset Code]]))</f>
        <v/>
      </c>
    </row>
    <row r="372" spans="1:18" x14ac:dyDescent="0.25">
      <c r="A372" s="43" t="str">
        <f>IF(B372&lt;&gt;"",SUBTOTAL(3,$B$1:B371),"")</f>
        <v/>
      </c>
      <c r="C372" s="74"/>
      <c r="D372" s="74"/>
      <c r="G372" s="1"/>
      <c r="K372" s="42"/>
      <c r="L372" t="str" cm="1">
        <f t="array" ref="L372">IF($K372="","",_xlfn.SWITCH($I372,"Computer",_xlfn.XLOOKUP($K372&amp;"",COMPUTER!$B$3:$B$1009&amp;"",COMPUTER!$I$3:$I$1009,""),"Display",_xlfn.XLOOKUP($K372&amp;"",DISPLAY!$B$3:$B$1000&amp;"",DISPLAY!$J$3:$J$1000,""),"Network Device",_xlfn.XLOOKUP($K372&amp;"",'NETWORK-DEVICES'!$B$3:$B$987&amp;"",'NETWORK-DEVICES'!$I$3:$I$987,""),"Peripheral",_xlfn.XLOOKUP($K372&amp;"",PERIPHERAL!$B$3:$B$954&amp;"",PERIPHERAL!$I$3:$I$954,""),"Utilities",_xlfn.XLOOKUP($K372&amp;"",UTILITIES!$B$3:$B$953&amp;"",UTILITIES!$H$3:$H$953,""),"IOT",_xlfn.XLOOKUP($K372&amp;"",IOT!$B$3:$B$1012&amp;"",IOT!$I$3:$I$1012,""),"SERVER",_xlfn.XLOOKUP($K372&amp;"",SERVER!$B$3:$B$1009&amp;"",SERVER!$I$3:$I$1009,""),""))</f>
        <v/>
      </c>
      <c r="M372" t="str" cm="1">
        <f t="array" ref="M372">IF($K372="","",_xlfn.SWITCH($I372,"Computer",_xlfn.XLOOKUP($K372&amp;"",COMPUTER!$B$3:$B$1009&amp;"",COMPUTER!$J$3:$J$1009,""),"Display",_xlfn.XLOOKUP($K372&amp;"",DISPLAY!$B$3:$B$1000&amp;"",DISPLAY!$K$3:$K$1000,""),"Network Device",_xlfn.XLOOKUP($K372&amp;"",'NETWORK-DEVICES'!$B$3:$B$987&amp;"",'NETWORK-DEVICES'!$I$3:$I$987,""),"Peripheral",_xlfn.XLOOKUP($K372&amp;"",PERIPHERAL!$B$3:$B$954&amp;"",PERIPHERAL!$J$3:$J$954,""),"Utilities",_xlfn.XLOOKUP($K372&amp;"",UTILITIES!$B$3:$B$953&amp;"",UTILITIES!$I$3:$I$953,""),"IOT",_xlfn.XLOOKUP($K372&amp;"",IOT!$B$3:$B$1012&amp;"",IOT!$J$3:$J$1012,""),"Server",_xlfn.XLOOKUP($K372&amp;"",SERVER!$B$3:$B$1009&amp;"",SERVER!$J$3:$J$1009,""),""))</f>
        <v/>
      </c>
      <c r="N372" s="1" t="str" cm="1">
        <f t="array" ref="N372">IF(OR($K372="",$I372="",$J372=""),"",_xlfn.LET(_xlpm.srcCat,_xlfn.SWITCH($I372,"Computer",_xlfn.XLOOKUP($K372&amp;"",COMPUTER!$B$3:$B$1009&amp;"",COMPUTER!$H$3:$H$1009,""),"Display",_xlfn.XLOOKUP($K372&amp;"",DISPLAY!$B$3:$B$1000&amp;"",DISPLAY!$H$3:$H$1000,""),"Network Device",_xlfn.XLOOKUP($K372&amp;"",'NETWORK-DEVICES'!$B$3:$B$987&amp;"",'NETWORK-DEVICES'!$H$3:$H$987,""),"Peripheral",_xlfn.XLOOKUP($K372&amp;"",PERIPHERAL!$B$3:$B$954&amp;"",PERIPHERAL!$H$3:$H$954,""),"Utilities",_xlfn.XLOOKUP($K372&amp;"",UTILITIES!$B$3:$B$953&amp;"",UTILITIES!$G$3:$G$953,""),"IOT",_xlfn.XLOOKUP($K372&amp;"",IOT!$B$3:$B$1012&amp;"",IOT!$H$3:$H$1012,""),"Server",_xlfn.XLOOKUP($K372&amp;"",SERVER!$B$3:$B$1009&amp;"",SERVER!$H$3:$H$1009,""),""),IF(TRIM(_xlpm.srcCat)&lt;&gt;TRIM($J372),"",_xlfn.SWITCH($I372,"Computer",_xlfn.XLOOKUP($K372&amp;"",COMPUTER!$B$3:$B$1009&amp;"",COMPUTER!$K$3:$K$1009,""),"Display",_xlfn.XLOOKUP($K372&amp;"",DISPLAY!$B$3:$B$1000&amp;"",DISPLAY!$L$3:$L$1000,""),"Network Device",_xlfn.XLOOKUP($K372&amp;"",'NETWORK-DEVICES'!$B$3:$B$987&amp;"",'NETWORK-DEVICES'!$K$3:$K$987,""),"Peripheral",_xlfn.XLOOKUP($K372&amp;"",PERIPHERAL!$B$3:$B$954&amp;"",PERIPHERAL!$K$3:$K$954,""),"Utilities",_xlfn.XLOOKUP($K372&amp;"",UTILITIES!$B$3:$B$953&amp;"",UTILITIES!$J$3:$J$953,""),"IOT",_xlfn.XLOOKUP($K372&amp;"",IOT!$B$3:$B$1012&amp;"",IOT!$K$4:$K$1012,""),"Server",_xlfn.XLOOKUP($K372&amp;"",SERVER!$B$3:$B$1009&amp;"",SERVER!$K$3:$K$1009,""),""))))</f>
        <v/>
      </c>
      <c r="O372" s="1" t="str" cm="1">
        <f t="array" ref="O372">IF(OR($K372="",$I372="",$J372=""),"",_xlfn.LET(_xlpm.srcCat,_xlfn.SWITCH($I372,"Computer",_xlfn.XLOOKUP($K372&amp;"",COMPUTER!$B$3:$B$1009&amp;"",COMPUTER!$H$3:$H$1009,""),"Display",_xlfn.XLOOKUP($K372&amp;"",DISPLAY!$B$3:$B$1000&amp;"",DISPLAY!$H$3:$H$1000,""),"Network Device",_xlfn.XLOOKUP($K372&amp;"",'NETWORK-DEVICES'!$B$3:$B$987&amp;"",'NETWORK-DEVICES'!$H$3:$H$987,""),"Peripheral",_xlfn.XLOOKUP($K372&amp;"",PERIPHERAL!$B$3:$B$954&amp;"",PERIPHERAL!$H$3:$H$954,""),"Utilities",_xlfn.XLOOKUP($K372&amp;"",UTILITIES!$B$3:$B$953&amp;"",UTILITIES!$G$3:$G$953,""),"IOT",_xlfn.XLOOKUP($K372&amp;"",IOT!$B$3:$B$1012&amp;"",IOT!$H$3:$H$1012,""),"Server",_xlfn.XLOOKUP($K372&amp;"",SERVER!$B$3:$B$1009&amp;"",SERVER!$H$3:$H$1009,""),""),IF(TRIM(_xlpm.srcCat)&lt;&gt;TRIM($J372),"",_xlfn.SWITCH($I372,"Computer",_xlfn.XLOOKUP($K372&amp;"",COMPUTER!$B$3:$B$1009&amp;"",COMPUTER!$E$3:$E$1009,""),"Display",_xlfn.XLOOKUP($K372&amp;"",DISPLAY!$B$3:$B$1000&amp;"",DISPLAY!$E$3:$E$1000,""),"Network Device",_xlfn.XLOOKUP($K372&amp;"",'NETWORK-DEVICES'!$B$3:$B$987&amp;"",'NETWORK-DEVICES'!$E$3:$E$987,""),"Peripheral",_xlfn.XLOOKUP($K372&amp;"",PERIPHERAL!$B$3:$B$954&amp;"",PERIPHERAL!$E$3:$E$954,""),"Utilities",_xlfn.XLOOKUP($K372&amp;"",UTILITIES!$B$3:$B$953&amp;"",UTILITIES!$E$3:$E$953,""),"IOT",_xlfn.XLOOKUP($K372&amp;"",IOT!$B$3:$B$1012&amp;"",IOT!$E$3:$E$1012,""),"Server",_xlfn.XLOOKUP($K372&amp;"",SERVER!$B$3:$B$1009&amp;"",SERVER!$E$3:$E$1009,""),""))))</f>
        <v/>
      </c>
      <c r="Q372" s="1" t="str" cm="1">
        <f t="array" ref="Q372">IF(OR($K372="",$I372="",$J372=""),"",_xlfn.LET(_xlpm.srcCat,_xlfn.SWITCH($I372,"Computer",_xlfn.XLOOKUP($K372&amp;"",COMPUTER!$B$3:$B$1009&amp;"",COMPUTER!$H$3:$H$1009,""),"Display",_xlfn.XLOOKUP($K372&amp;"",DISPLAY!$B$3:$B$1000&amp;"",DISPLAY!$H$3:$H$1000,""),"Network Device",_xlfn.XLOOKUP($K372&amp;"",'NETWORK-DEVICES'!$B$3:$B$987&amp;"",'NETWORK-DEVICES'!$H$3:$H$987,""),"Peripheral",_xlfn.XLOOKUP($K372&amp;"",PERIPHERAL!$B$3:$B$954&amp;"",PERIPHERAL!$H$3:$H$954,""),"Utilities",_xlfn.XLOOKUP($K372&amp;"",UTILITIES!$B$3:$B$953&amp;"",UTILITIES!$G$3:$G$953,""),"IOT",_xlfn.XLOOKUP($K372&amp;"",IOT!$B$3:$B$1012&amp;"",IOT!$H$3:$H$1012,""),"Server",_xlfn.XLOOKUP($K372&amp;"",SERVER!$B$3:$B$1009&amp;"",SERVER!$H$3:$H$1009,""),""),IF(TRIM(_xlpm.srcCat)&lt;&gt;TRIM($J372),"",_xlfn.SWITCH($I372,"Computer",_xlfn.XLOOKUP($K372&amp;"",COMPUTER!$B$3:$B$1009&amp;"",COMPUTER!$AM$3:$AM$1009,""),"Display",_xlfn.XLOOKUP($K372&amp;"",DISPLAY!$B$3:$B$1000&amp;"",DISPLAY!$V$3:$V$1000,""),"Network Device",_xlfn.XLOOKUP($K372&amp;"",'NETWORK-DEVICES'!$B$3:$B$987&amp;"",'NETWORK-DEVICES'!$AF$3:$AF$987,""),"Peripheral",_xlfn.XLOOKUP($K372&amp;"",PERIPHERAL!$B$3:$B$954&amp;"",PERIPHERAL!$Y$3:$Y$954,""),"Utilities",_xlfn.XLOOKUP($K372&amp;"",UTILITIES!$B$3:$B$953&amp;"",UTILITIES!$O$3:$O$953,""),"IOT",_xlfn.XLOOKUP($K372&amp;"",IOT!$B$3:$B$1012&amp;"",IOT!$AB$3:$AB$1012,""),"Server",_xlfn.XLOOKUP($K372&amp;"",SERVER!$B$3:$B$1009&amp;"",SERVER!$AB$3:$AB$1009,""),""))))</f>
        <v/>
      </c>
      <c r="R372" s="43" t="str">
        <f>IF(tbl_handover[[#This Row],[Asset Code]]="","",COUNTIF(tbl_handover[Asset Code],tbl_handover[[#This Row],[Asset Code]]))</f>
        <v/>
      </c>
    </row>
    <row r="373" spans="1:18" x14ac:dyDescent="0.25">
      <c r="A373" s="43" t="str">
        <f>IF(B373&lt;&gt;"",SUBTOTAL(3,$B$1:B372),"")</f>
        <v/>
      </c>
      <c r="C373" s="74"/>
      <c r="D373" s="74"/>
      <c r="G373" s="1"/>
      <c r="K373" s="42"/>
      <c r="L373" t="str" cm="1">
        <f t="array" ref="L373">IF($K373="","",_xlfn.SWITCH($I373,"Computer",_xlfn.XLOOKUP($K373&amp;"",COMPUTER!$B$3:$B$1009&amp;"",COMPUTER!$I$3:$I$1009,""),"Display",_xlfn.XLOOKUP($K373&amp;"",DISPLAY!$B$3:$B$1000&amp;"",DISPLAY!$J$3:$J$1000,""),"Network Device",_xlfn.XLOOKUP($K373&amp;"",'NETWORK-DEVICES'!$B$3:$B$987&amp;"",'NETWORK-DEVICES'!$I$3:$I$987,""),"Peripheral",_xlfn.XLOOKUP($K373&amp;"",PERIPHERAL!$B$3:$B$954&amp;"",PERIPHERAL!$I$3:$I$954,""),"Utilities",_xlfn.XLOOKUP($K373&amp;"",UTILITIES!$B$3:$B$953&amp;"",UTILITIES!$H$3:$H$953,""),"IOT",_xlfn.XLOOKUP($K373&amp;"",IOT!$B$3:$B$1012&amp;"",IOT!$I$3:$I$1012,""),"SERVER",_xlfn.XLOOKUP($K373&amp;"",SERVER!$B$3:$B$1009&amp;"",SERVER!$I$3:$I$1009,""),""))</f>
        <v/>
      </c>
      <c r="M373" t="str" cm="1">
        <f t="array" ref="M373">IF($K373="","",_xlfn.SWITCH($I373,"Computer",_xlfn.XLOOKUP($K373&amp;"",COMPUTER!$B$3:$B$1009&amp;"",COMPUTER!$J$3:$J$1009,""),"Display",_xlfn.XLOOKUP($K373&amp;"",DISPLAY!$B$3:$B$1000&amp;"",DISPLAY!$K$3:$K$1000,""),"Network Device",_xlfn.XLOOKUP($K373&amp;"",'NETWORK-DEVICES'!$B$3:$B$987&amp;"",'NETWORK-DEVICES'!$I$3:$I$987,""),"Peripheral",_xlfn.XLOOKUP($K373&amp;"",PERIPHERAL!$B$3:$B$954&amp;"",PERIPHERAL!$J$3:$J$954,""),"Utilities",_xlfn.XLOOKUP($K373&amp;"",UTILITIES!$B$3:$B$953&amp;"",UTILITIES!$I$3:$I$953,""),"IOT",_xlfn.XLOOKUP($K373&amp;"",IOT!$B$3:$B$1012&amp;"",IOT!$J$3:$J$1012,""),"Server",_xlfn.XLOOKUP($K373&amp;"",SERVER!$B$3:$B$1009&amp;"",SERVER!$J$3:$J$1009,""),""))</f>
        <v/>
      </c>
      <c r="N373" s="1" t="str" cm="1">
        <f t="array" ref="N373">IF(OR($K373="",$I373="",$J373=""),"",_xlfn.LET(_xlpm.srcCat,_xlfn.SWITCH($I373,"Computer",_xlfn.XLOOKUP($K373&amp;"",COMPUTER!$B$3:$B$1009&amp;"",COMPUTER!$H$3:$H$1009,""),"Display",_xlfn.XLOOKUP($K373&amp;"",DISPLAY!$B$3:$B$1000&amp;"",DISPLAY!$H$3:$H$1000,""),"Network Device",_xlfn.XLOOKUP($K373&amp;"",'NETWORK-DEVICES'!$B$3:$B$987&amp;"",'NETWORK-DEVICES'!$H$3:$H$987,""),"Peripheral",_xlfn.XLOOKUP($K373&amp;"",PERIPHERAL!$B$3:$B$954&amp;"",PERIPHERAL!$H$3:$H$954,""),"Utilities",_xlfn.XLOOKUP($K373&amp;"",UTILITIES!$B$3:$B$953&amp;"",UTILITIES!$G$3:$G$953,""),"IOT",_xlfn.XLOOKUP($K373&amp;"",IOT!$B$3:$B$1012&amp;"",IOT!$H$3:$H$1012,""),"Server",_xlfn.XLOOKUP($K373&amp;"",SERVER!$B$3:$B$1009&amp;"",SERVER!$H$3:$H$1009,""),""),IF(TRIM(_xlpm.srcCat)&lt;&gt;TRIM($J373),"",_xlfn.SWITCH($I373,"Computer",_xlfn.XLOOKUP($K373&amp;"",COMPUTER!$B$3:$B$1009&amp;"",COMPUTER!$K$3:$K$1009,""),"Display",_xlfn.XLOOKUP($K373&amp;"",DISPLAY!$B$3:$B$1000&amp;"",DISPLAY!$L$3:$L$1000,""),"Network Device",_xlfn.XLOOKUP($K373&amp;"",'NETWORK-DEVICES'!$B$3:$B$987&amp;"",'NETWORK-DEVICES'!$K$3:$K$987,""),"Peripheral",_xlfn.XLOOKUP($K373&amp;"",PERIPHERAL!$B$3:$B$954&amp;"",PERIPHERAL!$K$3:$K$954,""),"Utilities",_xlfn.XLOOKUP($K373&amp;"",UTILITIES!$B$3:$B$953&amp;"",UTILITIES!$J$3:$J$953,""),"IOT",_xlfn.XLOOKUP($K373&amp;"",IOT!$B$3:$B$1012&amp;"",IOT!$K$4:$K$1012,""),"Server",_xlfn.XLOOKUP($K373&amp;"",SERVER!$B$3:$B$1009&amp;"",SERVER!$K$3:$K$1009,""),""))))</f>
        <v/>
      </c>
      <c r="O373" s="1" t="str" cm="1">
        <f t="array" ref="O373">IF(OR($K373="",$I373="",$J373=""),"",_xlfn.LET(_xlpm.srcCat,_xlfn.SWITCH($I373,"Computer",_xlfn.XLOOKUP($K373&amp;"",COMPUTER!$B$3:$B$1009&amp;"",COMPUTER!$H$3:$H$1009,""),"Display",_xlfn.XLOOKUP($K373&amp;"",DISPLAY!$B$3:$B$1000&amp;"",DISPLAY!$H$3:$H$1000,""),"Network Device",_xlfn.XLOOKUP($K373&amp;"",'NETWORK-DEVICES'!$B$3:$B$987&amp;"",'NETWORK-DEVICES'!$H$3:$H$987,""),"Peripheral",_xlfn.XLOOKUP($K373&amp;"",PERIPHERAL!$B$3:$B$954&amp;"",PERIPHERAL!$H$3:$H$954,""),"Utilities",_xlfn.XLOOKUP($K373&amp;"",UTILITIES!$B$3:$B$953&amp;"",UTILITIES!$G$3:$G$953,""),"IOT",_xlfn.XLOOKUP($K373&amp;"",IOT!$B$3:$B$1012&amp;"",IOT!$H$3:$H$1012,""),"Server",_xlfn.XLOOKUP($K373&amp;"",SERVER!$B$3:$B$1009&amp;"",SERVER!$H$3:$H$1009,""),""),IF(TRIM(_xlpm.srcCat)&lt;&gt;TRIM($J373),"",_xlfn.SWITCH($I373,"Computer",_xlfn.XLOOKUP($K373&amp;"",COMPUTER!$B$3:$B$1009&amp;"",COMPUTER!$E$3:$E$1009,""),"Display",_xlfn.XLOOKUP($K373&amp;"",DISPLAY!$B$3:$B$1000&amp;"",DISPLAY!$E$3:$E$1000,""),"Network Device",_xlfn.XLOOKUP($K373&amp;"",'NETWORK-DEVICES'!$B$3:$B$987&amp;"",'NETWORK-DEVICES'!$E$3:$E$987,""),"Peripheral",_xlfn.XLOOKUP($K373&amp;"",PERIPHERAL!$B$3:$B$954&amp;"",PERIPHERAL!$E$3:$E$954,""),"Utilities",_xlfn.XLOOKUP($K373&amp;"",UTILITIES!$B$3:$B$953&amp;"",UTILITIES!$E$3:$E$953,""),"IOT",_xlfn.XLOOKUP($K373&amp;"",IOT!$B$3:$B$1012&amp;"",IOT!$E$3:$E$1012,""),"Server",_xlfn.XLOOKUP($K373&amp;"",SERVER!$B$3:$B$1009&amp;"",SERVER!$E$3:$E$1009,""),""))))</f>
        <v/>
      </c>
      <c r="Q373" s="1" t="str" cm="1">
        <f t="array" ref="Q373">IF(OR($K373="",$I373="",$J373=""),"",_xlfn.LET(_xlpm.srcCat,_xlfn.SWITCH($I373,"Computer",_xlfn.XLOOKUP($K373&amp;"",COMPUTER!$B$3:$B$1009&amp;"",COMPUTER!$H$3:$H$1009,""),"Display",_xlfn.XLOOKUP($K373&amp;"",DISPLAY!$B$3:$B$1000&amp;"",DISPLAY!$H$3:$H$1000,""),"Network Device",_xlfn.XLOOKUP($K373&amp;"",'NETWORK-DEVICES'!$B$3:$B$987&amp;"",'NETWORK-DEVICES'!$H$3:$H$987,""),"Peripheral",_xlfn.XLOOKUP($K373&amp;"",PERIPHERAL!$B$3:$B$954&amp;"",PERIPHERAL!$H$3:$H$954,""),"Utilities",_xlfn.XLOOKUP($K373&amp;"",UTILITIES!$B$3:$B$953&amp;"",UTILITIES!$G$3:$G$953,""),"IOT",_xlfn.XLOOKUP($K373&amp;"",IOT!$B$3:$B$1012&amp;"",IOT!$H$3:$H$1012,""),"Server",_xlfn.XLOOKUP($K373&amp;"",SERVER!$B$3:$B$1009&amp;"",SERVER!$H$3:$H$1009,""),""),IF(TRIM(_xlpm.srcCat)&lt;&gt;TRIM($J373),"",_xlfn.SWITCH($I373,"Computer",_xlfn.XLOOKUP($K373&amp;"",COMPUTER!$B$3:$B$1009&amp;"",COMPUTER!$AM$3:$AM$1009,""),"Display",_xlfn.XLOOKUP($K373&amp;"",DISPLAY!$B$3:$B$1000&amp;"",DISPLAY!$V$3:$V$1000,""),"Network Device",_xlfn.XLOOKUP($K373&amp;"",'NETWORK-DEVICES'!$B$3:$B$987&amp;"",'NETWORK-DEVICES'!$AF$3:$AF$987,""),"Peripheral",_xlfn.XLOOKUP($K373&amp;"",PERIPHERAL!$B$3:$B$954&amp;"",PERIPHERAL!$Y$3:$Y$954,""),"Utilities",_xlfn.XLOOKUP($K373&amp;"",UTILITIES!$B$3:$B$953&amp;"",UTILITIES!$O$3:$O$953,""),"IOT",_xlfn.XLOOKUP($K373&amp;"",IOT!$B$3:$B$1012&amp;"",IOT!$AB$3:$AB$1012,""),"Server",_xlfn.XLOOKUP($K373&amp;"",SERVER!$B$3:$B$1009&amp;"",SERVER!$AB$3:$AB$1009,""),""))))</f>
        <v/>
      </c>
      <c r="R373" s="43" t="str">
        <f>IF(tbl_handover[[#This Row],[Asset Code]]="","",COUNTIF(tbl_handover[Asset Code],tbl_handover[[#This Row],[Asset Code]]))</f>
        <v/>
      </c>
    </row>
    <row r="374" spans="1:18" x14ac:dyDescent="0.25">
      <c r="A374" s="43" t="str">
        <f>IF(B374&lt;&gt;"",SUBTOTAL(3,$B$1:B373),"")</f>
        <v/>
      </c>
      <c r="C374" s="74"/>
      <c r="D374" s="74"/>
      <c r="G374" s="1"/>
      <c r="K374" s="42"/>
      <c r="L374" t="str" cm="1">
        <f t="array" ref="L374">IF($K374="","",_xlfn.SWITCH($I374,"Computer",_xlfn.XLOOKUP($K374&amp;"",COMPUTER!$B$3:$B$1009&amp;"",COMPUTER!$I$3:$I$1009,""),"Display",_xlfn.XLOOKUP($K374&amp;"",DISPLAY!$B$3:$B$1000&amp;"",DISPLAY!$J$3:$J$1000,""),"Network Device",_xlfn.XLOOKUP($K374&amp;"",'NETWORK-DEVICES'!$B$3:$B$987&amp;"",'NETWORK-DEVICES'!$I$3:$I$987,""),"Peripheral",_xlfn.XLOOKUP($K374&amp;"",PERIPHERAL!$B$3:$B$954&amp;"",PERIPHERAL!$I$3:$I$954,""),"Utilities",_xlfn.XLOOKUP($K374&amp;"",UTILITIES!$B$3:$B$953&amp;"",UTILITIES!$H$3:$H$953,""),"IOT",_xlfn.XLOOKUP($K374&amp;"",IOT!$B$3:$B$1012&amp;"",IOT!$I$3:$I$1012,""),"SERVER",_xlfn.XLOOKUP($K374&amp;"",SERVER!$B$3:$B$1009&amp;"",SERVER!$I$3:$I$1009,""),""))</f>
        <v/>
      </c>
      <c r="M374" t="str" cm="1">
        <f t="array" ref="M374">IF($K374="","",_xlfn.SWITCH($I374,"Computer",_xlfn.XLOOKUP($K374&amp;"",COMPUTER!$B$3:$B$1009&amp;"",COMPUTER!$J$3:$J$1009,""),"Display",_xlfn.XLOOKUP($K374&amp;"",DISPLAY!$B$3:$B$1000&amp;"",DISPLAY!$K$3:$K$1000,""),"Network Device",_xlfn.XLOOKUP($K374&amp;"",'NETWORK-DEVICES'!$B$3:$B$987&amp;"",'NETWORK-DEVICES'!$I$3:$I$987,""),"Peripheral",_xlfn.XLOOKUP($K374&amp;"",PERIPHERAL!$B$3:$B$954&amp;"",PERIPHERAL!$J$3:$J$954,""),"Utilities",_xlfn.XLOOKUP($K374&amp;"",UTILITIES!$B$3:$B$953&amp;"",UTILITIES!$I$3:$I$953,""),"IOT",_xlfn.XLOOKUP($K374&amp;"",IOT!$B$3:$B$1012&amp;"",IOT!$J$3:$J$1012,""),"Server",_xlfn.XLOOKUP($K374&amp;"",SERVER!$B$3:$B$1009&amp;"",SERVER!$J$3:$J$1009,""),""))</f>
        <v/>
      </c>
      <c r="N374" s="1" t="str" cm="1">
        <f t="array" ref="N374">IF(OR($K374="",$I374="",$J374=""),"",_xlfn.LET(_xlpm.srcCat,_xlfn.SWITCH($I374,"Computer",_xlfn.XLOOKUP($K374&amp;"",COMPUTER!$B$3:$B$1009&amp;"",COMPUTER!$H$3:$H$1009,""),"Display",_xlfn.XLOOKUP($K374&amp;"",DISPLAY!$B$3:$B$1000&amp;"",DISPLAY!$H$3:$H$1000,""),"Network Device",_xlfn.XLOOKUP($K374&amp;"",'NETWORK-DEVICES'!$B$3:$B$987&amp;"",'NETWORK-DEVICES'!$H$3:$H$987,""),"Peripheral",_xlfn.XLOOKUP($K374&amp;"",PERIPHERAL!$B$3:$B$954&amp;"",PERIPHERAL!$H$3:$H$954,""),"Utilities",_xlfn.XLOOKUP($K374&amp;"",UTILITIES!$B$3:$B$953&amp;"",UTILITIES!$G$3:$G$953,""),"IOT",_xlfn.XLOOKUP($K374&amp;"",IOT!$B$3:$B$1012&amp;"",IOT!$H$3:$H$1012,""),"Server",_xlfn.XLOOKUP($K374&amp;"",SERVER!$B$3:$B$1009&amp;"",SERVER!$H$3:$H$1009,""),""),IF(TRIM(_xlpm.srcCat)&lt;&gt;TRIM($J374),"",_xlfn.SWITCH($I374,"Computer",_xlfn.XLOOKUP($K374&amp;"",COMPUTER!$B$3:$B$1009&amp;"",COMPUTER!$K$3:$K$1009,""),"Display",_xlfn.XLOOKUP($K374&amp;"",DISPLAY!$B$3:$B$1000&amp;"",DISPLAY!$L$3:$L$1000,""),"Network Device",_xlfn.XLOOKUP($K374&amp;"",'NETWORK-DEVICES'!$B$3:$B$987&amp;"",'NETWORK-DEVICES'!$K$3:$K$987,""),"Peripheral",_xlfn.XLOOKUP($K374&amp;"",PERIPHERAL!$B$3:$B$954&amp;"",PERIPHERAL!$K$3:$K$954,""),"Utilities",_xlfn.XLOOKUP($K374&amp;"",UTILITIES!$B$3:$B$953&amp;"",UTILITIES!$J$3:$J$953,""),"IOT",_xlfn.XLOOKUP($K374&amp;"",IOT!$B$3:$B$1012&amp;"",IOT!$K$4:$K$1012,""),"Server",_xlfn.XLOOKUP($K374&amp;"",SERVER!$B$3:$B$1009&amp;"",SERVER!$K$3:$K$1009,""),""))))</f>
        <v/>
      </c>
      <c r="O374" s="1" t="str" cm="1">
        <f t="array" ref="O374">IF(OR($K374="",$I374="",$J374=""),"",_xlfn.LET(_xlpm.srcCat,_xlfn.SWITCH($I374,"Computer",_xlfn.XLOOKUP($K374&amp;"",COMPUTER!$B$3:$B$1009&amp;"",COMPUTER!$H$3:$H$1009,""),"Display",_xlfn.XLOOKUP($K374&amp;"",DISPLAY!$B$3:$B$1000&amp;"",DISPLAY!$H$3:$H$1000,""),"Network Device",_xlfn.XLOOKUP($K374&amp;"",'NETWORK-DEVICES'!$B$3:$B$987&amp;"",'NETWORK-DEVICES'!$H$3:$H$987,""),"Peripheral",_xlfn.XLOOKUP($K374&amp;"",PERIPHERAL!$B$3:$B$954&amp;"",PERIPHERAL!$H$3:$H$954,""),"Utilities",_xlfn.XLOOKUP($K374&amp;"",UTILITIES!$B$3:$B$953&amp;"",UTILITIES!$G$3:$G$953,""),"IOT",_xlfn.XLOOKUP($K374&amp;"",IOT!$B$3:$B$1012&amp;"",IOT!$H$3:$H$1012,""),"Server",_xlfn.XLOOKUP($K374&amp;"",SERVER!$B$3:$B$1009&amp;"",SERVER!$H$3:$H$1009,""),""),IF(TRIM(_xlpm.srcCat)&lt;&gt;TRIM($J374),"",_xlfn.SWITCH($I374,"Computer",_xlfn.XLOOKUP($K374&amp;"",COMPUTER!$B$3:$B$1009&amp;"",COMPUTER!$E$3:$E$1009,""),"Display",_xlfn.XLOOKUP($K374&amp;"",DISPLAY!$B$3:$B$1000&amp;"",DISPLAY!$E$3:$E$1000,""),"Network Device",_xlfn.XLOOKUP($K374&amp;"",'NETWORK-DEVICES'!$B$3:$B$987&amp;"",'NETWORK-DEVICES'!$E$3:$E$987,""),"Peripheral",_xlfn.XLOOKUP($K374&amp;"",PERIPHERAL!$B$3:$B$954&amp;"",PERIPHERAL!$E$3:$E$954,""),"Utilities",_xlfn.XLOOKUP($K374&amp;"",UTILITIES!$B$3:$B$953&amp;"",UTILITIES!$E$3:$E$953,""),"IOT",_xlfn.XLOOKUP($K374&amp;"",IOT!$B$3:$B$1012&amp;"",IOT!$E$3:$E$1012,""),"Server",_xlfn.XLOOKUP($K374&amp;"",SERVER!$B$3:$B$1009&amp;"",SERVER!$E$3:$E$1009,""),""))))</f>
        <v/>
      </c>
      <c r="Q374" s="1" t="str" cm="1">
        <f t="array" ref="Q374">IF(OR($K374="",$I374="",$J374=""),"",_xlfn.LET(_xlpm.srcCat,_xlfn.SWITCH($I374,"Computer",_xlfn.XLOOKUP($K374&amp;"",COMPUTER!$B$3:$B$1009&amp;"",COMPUTER!$H$3:$H$1009,""),"Display",_xlfn.XLOOKUP($K374&amp;"",DISPLAY!$B$3:$B$1000&amp;"",DISPLAY!$H$3:$H$1000,""),"Network Device",_xlfn.XLOOKUP($K374&amp;"",'NETWORK-DEVICES'!$B$3:$B$987&amp;"",'NETWORK-DEVICES'!$H$3:$H$987,""),"Peripheral",_xlfn.XLOOKUP($K374&amp;"",PERIPHERAL!$B$3:$B$954&amp;"",PERIPHERAL!$H$3:$H$954,""),"Utilities",_xlfn.XLOOKUP($K374&amp;"",UTILITIES!$B$3:$B$953&amp;"",UTILITIES!$G$3:$G$953,""),"IOT",_xlfn.XLOOKUP($K374&amp;"",IOT!$B$3:$B$1012&amp;"",IOT!$H$3:$H$1012,""),"Server",_xlfn.XLOOKUP($K374&amp;"",SERVER!$B$3:$B$1009&amp;"",SERVER!$H$3:$H$1009,""),""),IF(TRIM(_xlpm.srcCat)&lt;&gt;TRIM($J374),"",_xlfn.SWITCH($I374,"Computer",_xlfn.XLOOKUP($K374&amp;"",COMPUTER!$B$3:$B$1009&amp;"",COMPUTER!$AM$3:$AM$1009,""),"Display",_xlfn.XLOOKUP($K374&amp;"",DISPLAY!$B$3:$B$1000&amp;"",DISPLAY!$V$3:$V$1000,""),"Network Device",_xlfn.XLOOKUP($K374&amp;"",'NETWORK-DEVICES'!$B$3:$B$987&amp;"",'NETWORK-DEVICES'!$AF$3:$AF$987,""),"Peripheral",_xlfn.XLOOKUP($K374&amp;"",PERIPHERAL!$B$3:$B$954&amp;"",PERIPHERAL!$Y$3:$Y$954,""),"Utilities",_xlfn.XLOOKUP($K374&amp;"",UTILITIES!$B$3:$B$953&amp;"",UTILITIES!$O$3:$O$953,""),"IOT",_xlfn.XLOOKUP($K374&amp;"",IOT!$B$3:$B$1012&amp;"",IOT!$AB$3:$AB$1012,""),"Server",_xlfn.XLOOKUP($K374&amp;"",SERVER!$B$3:$B$1009&amp;"",SERVER!$AB$3:$AB$1009,""),""))))</f>
        <v/>
      </c>
      <c r="R374" s="43" t="str">
        <f>IF(tbl_handover[[#This Row],[Asset Code]]="","",COUNTIF(tbl_handover[Asset Code],tbl_handover[[#This Row],[Asset Code]]))</f>
        <v/>
      </c>
    </row>
    <row r="375" spans="1:18" x14ac:dyDescent="0.25">
      <c r="A375" s="43" t="str">
        <f>IF(B375&lt;&gt;"",SUBTOTAL(3,$B$1:B374),"")</f>
        <v/>
      </c>
      <c r="C375" s="74"/>
      <c r="D375" s="74"/>
      <c r="G375" s="1"/>
      <c r="K375" s="42"/>
      <c r="L375" t="str" cm="1">
        <f t="array" ref="L375">IF($K375="","",_xlfn.SWITCH($I375,"Computer",_xlfn.XLOOKUP($K375&amp;"",COMPUTER!$B$3:$B$1009&amp;"",COMPUTER!$I$3:$I$1009,""),"Display",_xlfn.XLOOKUP($K375&amp;"",DISPLAY!$B$3:$B$1000&amp;"",DISPLAY!$J$3:$J$1000,""),"Network Device",_xlfn.XLOOKUP($K375&amp;"",'NETWORK-DEVICES'!$B$3:$B$987&amp;"",'NETWORK-DEVICES'!$I$3:$I$987,""),"Peripheral",_xlfn.XLOOKUP($K375&amp;"",PERIPHERAL!$B$3:$B$954&amp;"",PERIPHERAL!$I$3:$I$954,""),"Utilities",_xlfn.XLOOKUP($K375&amp;"",UTILITIES!$B$3:$B$953&amp;"",UTILITIES!$H$3:$H$953,""),"IOT",_xlfn.XLOOKUP($K375&amp;"",IOT!$B$3:$B$1012&amp;"",IOT!$I$3:$I$1012,""),"SERVER",_xlfn.XLOOKUP($K375&amp;"",SERVER!$B$3:$B$1009&amp;"",SERVER!$I$3:$I$1009,""),""))</f>
        <v/>
      </c>
      <c r="M375" t="str" cm="1">
        <f t="array" ref="M375">IF($K375="","",_xlfn.SWITCH($I375,"Computer",_xlfn.XLOOKUP($K375&amp;"",COMPUTER!$B$3:$B$1009&amp;"",COMPUTER!$J$3:$J$1009,""),"Display",_xlfn.XLOOKUP($K375&amp;"",DISPLAY!$B$3:$B$1000&amp;"",DISPLAY!$K$3:$K$1000,""),"Network Device",_xlfn.XLOOKUP($K375&amp;"",'NETWORK-DEVICES'!$B$3:$B$987&amp;"",'NETWORK-DEVICES'!$I$3:$I$987,""),"Peripheral",_xlfn.XLOOKUP($K375&amp;"",PERIPHERAL!$B$3:$B$954&amp;"",PERIPHERAL!$J$3:$J$954,""),"Utilities",_xlfn.XLOOKUP($K375&amp;"",UTILITIES!$B$3:$B$953&amp;"",UTILITIES!$I$3:$I$953,""),"IOT",_xlfn.XLOOKUP($K375&amp;"",IOT!$B$3:$B$1012&amp;"",IOT!$J$3:$J$1012,""),"Server",_xlfn.XLOOKUP($K375&amp;"",SERVER!$B$3:$B$1009&amp;"",SERVER!$J$3:$J$1009,""),""))</f>
        <v/>
      </c>
      <c r="N375" s="1" t="str" cm="1">
        <f t="array" ref="N375">IF(OR($K375="",$I375="",$J375=""),"",_xlfn.LET(_xlpm.srcCat,_xlfn.SWITCH($I375,"Computer",_xlfn.XLOOKUP($K375&amp;"",COMPUTER!$B$3:$B$1009&amp;"",COMPUTER!$H$3:$H$1009,""),"Display",_xlfn.XLOOKUP($K375&amp;"",DISPLAY!$B$3:$B$1000&amp;"",DISPLAY!$H$3:$H$1000,""),"Network Device",_xlfn.XLOOKUP($K375&amp;"",'NETWORK-DEVICES'!$B$3:$B$987&amp;"",'NETWORK-DEVICES'!$H$3:$H$987,""),"Peripheral",_xlfn.XLOOKUP($K375&amp;"",PERIPHERAL!$B$3:$B$954&amp;"",PERIPHERAL!$H$3:$H$954,""),"Utilities",_xlfn.XLOOKUP($K375&amp;"",UTILITIES!$B$3:$B$953&amp;"",UTILITIES!$G$3:$G$953,""),"IOT",_xlfn.XLOOKUP($K375&amp;"",IOT!$B$3:$B$1012&amp;"",IOT!$H$3:$H$1012,""),"Server",_xlfn.XLOOKUP($K375&amp;"",SERVER!$B$3:$B$1009&amp;"",SERVER!$H$3:$H$1009,""),""),IF(TRIM(_xlpm.srcCat)&lt;&gt;TRIM($J375),"",_xlfn.SWITCH($I375,"Computer",_xlfn.XLOOKUP($K375&amp;"",COMPUTER!$B$3:$B$1009&amp;"",COMPUTER!$K$3:$K$1009,""),"Display",_xlfn.XLOOKUP($K375&amp;"",DISPLAY!$B$3:$B$1000&amp;"",DISPLAY!$L$3:$L$1000,""),"Network Device",_xlfn.XLOOKUP($K375&amp;"",'NETWORK-DEVICES'!$B$3:$B$987&amp;"",'NETWORK-DEVICES'!$K$3:$K$987,""),"Peripheral",_xlfn.XLOOKUP($K375&amp;"",PERIPHERAL!$B$3:$B$954&amp;"",PERIPHERAL!$K$3:$K$954,""),"Utilities",_xlfn.XLOOKUP($K375&amp;"",UTILITIES!$B$3:$B$953&amp;"",UTILITIES!$J$3:$J$953,""),"IOT",_xlfn.XLOOKUP($K375&amp;"",IOT!$B$3:$B$1012&amp;"",IOT!$K$4:$K$1012,""),"Server",_xlfn.XLOOKUP($K375&amp;"",SERVER!$B$3:$B$1009&amp;"",SERVER!$K$3:$K$1009,""),""))))</f>
        <v/>
      </c>
      <c r="O375" s="1" t="str" cm="1">
        <f t="array" ref="O375">IF(OR($K375="",$I375="",$J375=""),"",_xlfn.LET(_xlpm.srcCat,_xlfn.SWITCH($I375,"Computer",_xlfn.XLOOKUP($K375&amp;"",COMPUTER!$B$3:$B$1009&amp;"",COMPUTER!$H$3:$H$1009,""),"Display",_xlfn.XLOOKUP($K375&amp;"",DISPLAY!$B$3:$B$1000&amp;"",DISPLAY!$H$3:$H$1000,""),"Network Device",_xlfn.XLOOKUP($K375&amp;"",'NETWORK-DEVICES'!$B$3:$B$987&amp;"",'NETWORK-DEVICES'!$H$3:$H$987,""),"Peripheral",_xlfn.XLOOKUP($K375&amp;"",PERIPHERAL!$B$3:$B$954&amp;"",PERIPHERAL!$H$3:$H$954,""),"Utilities",_xlfn.XLOOKUP($K375&amp;"",UTILITIES!$B$3:$B$953&amp;"",UTILITIES!$G$3:$G$953,""),"IOT",_xlfn.XLOOKUP($K375&amp;"",IOT!$B$3:$B$1012&amp;"",IOT!$H$3:$H$1012,""),"Server",_xlfn.XLOOKUP($K375&amp;"",SERVER!$B$3:$B$1009&amp;"",SERVER!$H$3:$H$1009,""),""),IF(TRIM(_xlpm.srcCat)&lt;&gt;TRIM($J375),"",_xlfn.SWITCH($I375,"Computer",_xlfn.XLOOKUP($K375&amp;"",COMPUTER!$B$3:$B$1009&amp;"",COMPUTER!$E$3:$E$1009,""),"Display",_xlfn.XLOOKUP($K375&amp;"",DISPLAY!$B$3:$B$1000&amp;"",DISPLAY!$E$3:$E$1000,""),"Network Device",_xlfn.XLOOKUP($K375&amp;"",'NETWORK-DEVICES'!$B$3:$B$987&amp;"",'NETWORK-DEVICES'!$E$3:$E$987,""),"Peripheral",_xlfn.XLOOKUP($K375&amp;"",PERIPHERAL!$B$3:$B$954&amp;"",PERIPHERAL!$E$3:$E$954,""),"Utilities",_xlfn.XLOOKUP($K375&amp;"",UTILITIES!$B$3:$B$953&amp;"",UTILITIES!$E$3:$E$953,""),"IOT",_xlfn.XLOOKUP($K375&amp;"",IOT!$B$3:$B$1012&amp;"",IOT!$E$3:$E$1012,""),"Server",_xlfn.XLOOKUP($K375&amp;"",SERVER!$B$3:$B$1009&amp;"",SERVER!$E$3:$E$1009,""),""))))</f>
        <v/>
      </c>
      <c r="Q375" s="1" t="str" cm="1">
        <f t="array" ref="Q375">IF(OR($K375="",$I375="",$J375=""),"",_xlfn.LET(_xlpm.srcCat,_xlfn.SWITCH($I375,"Computer",_xlfn.XLOOKUP($K375&amp;"",COMPUTER!$B$3:$B$1009&amp;"",COMPUTER!$H$3:$H$1009,""),"Display",_xlfn.XLOOKUP($K375&amp;"",DISPLAY!$B$3:$B$1000&amp;"",DISPLAY!$H$3:$H$1000,""),"Network Device",_xlfn.XLOOKUP($K375&amp;"",'NETWORK-DEVICES'!$B$3:$B$987&amp;"",'NETWORK-DEVICES'!$H$3:$H$987,""),"Peripheral",_xlfn.XLOOKUP($K375&amp;"",PERIPHERAL!$B$3:$B$954&amp;"",PERIPHERAL!$H$3:$H$954,""),"Utilities",_xlfn.XLOOKUP($K375&amp;"",UTILITIES!$B$3:$B$953&amp;"",UTILITIES!$G$3:$G$953,""),"IOT",_xlfn.XLOOKUP($K375&amp;"",IOT!$B$3:$B$1012&amp;"",IOT!$H$3:$H$1012,""),"Server",_xlfn.XLOOKUP($K375&amp;"",SERVER!$B$3:$B$1009&amp;"",SERVER!$H$3:$H$1009,""),""),IF(TRIM(_xlpm.srcCat)&lt;&gt;TRIM($J375),"",_xlfn.SWITCH($I375,"Computer",_xlfn.XLOOKUP($K375&amp;"",COMPUTER!$B$3:$B$1009&amp;"",COMPUTER!$AM$3:$AM$1009,""),"Display",_xlfn.XLOOKUP($K375&amp;"",DISPLAY!$B$3:$B$1000&amp;"",DISPLAY!$V$3:$V$1000,""),"Network Device",_xlfn.XLOOKUP($K375&amp;"",'NETWORK-DEVICES'!$B$3:$B$987&amp;"",'NETWORK-DEVICES'!$AF$3:$AF$987,""),"Peripheral",_xlfn.XLOOKUP($K375&amp;"",PERIPHERAL!$B$3:$B$954&amp;"",PERIPHERAL!$Y$3:$Y$954,""),"Utilities",_xlfn.XLOOKUP($K375&amp;"",UTILITIES!$B$3:$B$953&amp;"",UTILITIES!$O$3:$O$953,""),"IOT",_xlfn.XLOOKUP($K375&amp;"",IOT!$B$3:$B$1012&amp;"",IOT!$AB$3:$AB$1012,""),"Server",_xlfn.XLOOKUP($K375&amp;"",SERVER!$B$3:$B$1009&amp;"",SERVER!$AB$3:$AB$1009,""),""))))</f>
        <v/>
      </c>
      <c r="R375" s="43" t="str">
        <f>IF(tbl_handover[[#This Row],[Asset Code]]="","",COUNTIF(tbl_handover[Asset Code],tbl_handover[[#This Row],[Asset Code]]))</f>
        <v/>
      </c>
    </row>
    <row r="376" spans="1:18" x14ac:dyDescent="0.25">
      <c r="A376" s="43" t="str">
        <f>IF(B376&lt;&gt;"",SUBTOTAL(3,$B$1:B375),"")</f>
        <v/>
      </c>
      <c r="C376" s="74"/>
      <c r="D376" s="74"/>
      <c r="G376" s="1"/>
      <c r="K376" s="42"/>
      <c r="L376" t="str" cm="1">
        <f t="array" ref="L376">IF($K376="","",_xlfn.SWITCH($I376,"Computer",_xlfn.XLOOKUP($K376&amp;"",COMPUTER!$B$3:$B$1009&amp;"",COMPUTER!$I$3:$I$1009,""),"Display",_xlfn.XLOOKUP($K376&amp;"",DISPLAY!$B$3:$B$1000&amp;"",DISPLAY!$J$3:$J$1000,""),"Network Device",_xlfn.XLOOKUP($K376&amp;"",'NETWORK-DEVICES'!$B$3:$B$987&amp;"",'NETWORK-DEVICES'!$I$3:$I$987,""),"Peripheral",_xlfn.XLOOKUP($K376&amp;"",PERIPHERAL!$B$3:$B$954&amp;"",PERIPHERAL!$I$3:$I$954,""),"Utilities",_xlfn.XLOOKUP($K376&amp;"",UTILITIES!$B$3:$B$953&amp;"",UTILITIES!$H$3:$H$953,""),"IOT",_xlfn.XLOOKUP($K376&amp;"",IOT!$B$3:$B$1012&amp;"",IOT!$I$3:$I$1012,""),"SERVER",_xlfn.XLOOKUP($K376&amp;"",SERVER!$B$3:$B$1009&amp;"",SERVER!$I$3:$I$1009,""),""))</f>
        <v/>
      </c>
      <c r="M376" t="str" cm="1">
        <f t="array" ref="M376">IF($K376="","",_xlfn.SWITCH($I376,"Computer",_xlfn.XLOOKUP($K376&amp;"",COMPUTER!$B$3:$B$1009&amp;"",COMPUTER!$J$3:$J$1009,""),"Display",_xlfn.XLOOKUP($K376&amp;"",DISPLAY!$B$3:$B$1000&amp;"",DISPLAY!$K$3:$K$1000,""),"Network Device",_xlfn.XLOOKUP($K376&amp;"",'NETWORK-DEVICES'!$B$3:$B$987&amp;"",'NETWORK-DEVICES'!$I$3:$I$987,""),"Peripheral",_xlfn.XLOOKUP($K376&amp;"",PERIPHERAL!$B$3:$B$954&amp;"",PERIPHERAL!$J$3:$J$954,""),"Utilities",_xlfn.XLOOKUP($K376&amp;"",UTILITIES!$B$3:$B$953&amp;"",UTILITIES!$I$3:$I$953,""),"IOT",_xlfn.XLOOKUP($K376&amp;"",IOT!$B$3:$B$1012&amp;"",IOT!$J$3:$J$1012,""),"Server",_xlfn.XLOOKUP($K376&amp;"",SERVER!$B$3:$B$1009&amp;"",SERVER!$J$3:$J$1009,""),""))</f>
        <v/>
      </c>
      <c r="N376" s="1" t="str" cm="1">
        <f t="array" ref="N376">IF(OR($K376="",$I376="",$J376=""),"",_xlfn.LET(_xlpm.srcCat,_xlfn.SWITCH($I376,"Computer",_xlfn.XLOOKUP($K376&amp;"",COMPUTER!$B$3:$B$1009&amp;"",COMPUTER!$H$3:$H$1009,""),"Display",_xlfn.XLOOKUP($K376&amp;"",DISPLAY!$B$3:$B$1000&amp;"",DISPLAY!$H$3:$H$1000,""),"Network Device",_xlfn.XLOOKUP($K376&amp;"",'NETWORK-DEVICES'!$B$3:$B$987&amp;"",'NETWORK-DEVICES'!$H$3:$H$987,""),"Peripheral",_xlfn.XLOOKUP($K376&amp;"",PERIPHERAL!$B$3:$B$954&amp;"",PERIPHERAL!$H$3:$H$954,""),"Utilities",_xlfn.XLOOKUP($K376&amp;"",UTILITIES!$B$3:$B$953&amp;"",UTILITIES!$G$3:$G$953,""),"IOT",_xlfn.XLOOKUP($K376&amp;"",IOT!$B$3:$B$1012&amp;"",IOT!$H$3:$H$1012,""),"Server",_xlfn.XLOOKUP($K376&amp;"",SERVER!$B$3:$B$1009&amp;"",SERVER!$H$3:$H$1009,""),""),IF(TRIM(_xlpm.srcCat)&lt;&gt;TRIM($J376),"",_xlfn.SWITCH($I376,"Computer",_xlfn.XLOOKUP($K376&amp;"",COMPUTER!$B$3:$B$1009&amp;"",COMPUTER!$K$3:$K$1009,""),"Display",_xlfn.XLOOKUP($K376&amp;"",DISPLAY!$B$3:$B$1000&amp;"",DISPLAY!$L$3:$L$1000,""),"Network Device",_xlfn.XLOOKUP($K376&amp;"",'NETWORK-DEVICES'!$B$3:$B$987&amp;"",'NETWORK-DEVICES'!$K$3:$K$987,""),"Peripheral",_xlfn.XLOOKUP($K376&amp;"",PERIPHERAL!$B$3:$B$954&amp;"",PERIPHERAL!$K$3:$K$954,""),"Utilities",_xlfn.XLOOKUP($K376&amp;"",UTILITIES!$B$3:$B$953&amp;"",UTILITIES!$J$3:$J$953,""),"IOT",_xlfn.XLOOKUP($K376&amp;"",IOT!$B$3:$B$1012&amp;"",IOT!$K$4:$K$1012,""),"Server",_xlfn.XLOOKUP($K376&amp;"",SERVER!$B$3:$B$1009&amp;"",SERVER!$K$3:$K$1009,""),""))))</f>
        <v/>
      </c>
      <c r="O376" s="1" t="str" cm="1">
        <f t="array" ref="O376">IF(OR($K376="",$I376="",$J376=""),"",_xlfn.LET(_xlpm.srcCat,_xlfn.SWITCH($I376,"Computer",_xlfn.XLOOKUP($K376&amp;"",COMPUTER!$B$3:$B$1009&amp;"",COMPUTER!$H$3:$H$1009,""),"Display",_xlfn.XLOOKUP($K376&amp;"",DISPLAY!$B$3:$B$1000&amp;"",DISPLAY!$H$3:$H$1000,""),"Network Device",_xlfn.XLOOKUP($K376&amp;"",'NETWORK-DEVICES'!$B$3:$B$987&amp;"",'NETWORK-DEVICES'!$H$3:$H$987,""),"Peripheral",_xlfn.XLOOKUP($K376&amp;"",PERIPHERAL!$B$3:$B$954&amp;"",PERIPHERAL!$H$3:$H$954,""),"Utilities",_xlfn.XLOOKUP($K376&amp;"",UTILITIES!$B$3:$B$953&amp;"",UTILITIES!$G$3:$G$953,""),"IOT",_xlfn.XLOOKUP($K376&amp;"",IOT!$B$3:$B$1012&amp;"",IOT!$H$3:$H$1012,""),"Server",_xlfn.XLOOKUP($K376&amp;"",SERVER!$B$3:$B$1009&amp;"",SERVER!$H$3:$H$1009,""),""),IF(TRIM(_xlpm.srcCat)&lt;&gt;TRIM($J376),"",_xlfn.SWITCH($I376,"Computer",_xlfn.XLOOKUP($K376&amp;"",COMPUTER!$B$3:$B$1009&amp;"",COMPUTER!$E$3:$E$1009,""),"Display",_xlfn.XLOOKUP($K376&amp;"",DISPLAY!$B$3:$B$1000&amp;"",DISPLAY!$E$3:$E$1000,""),"Network Device",_xlfn.XLOOKUP($K376&amp;"",'NETWORK-DEVICES'!$B$3:$B$987&amp;"",'NETWORK-DEVICES'!$E$3:$E$987,""),"Peripheral",_xlfn.XLOOKUP($K376&amp;"",PERIPHERAL!$B$3:$B$954&amp;"",PERIPHERAL!$E$3:$E$954,""),"Utilities",_xlfn.XLOOKUP($K376&amp;"",UTILITIES!$B$3:$B$953&amp;"",UTILITIES!$E$3:$E$953,""),"IOT",_xlfn.XLOOKUP($K376&amp;"",IOT!$B$3:$B$1012&amp;"",IOT!$E$3:$E$1012,""),"Server",_xlfn.XLOOKUP($K376&amp;"",SERVER!$B$3:$B$1009&amp;"",SERVER!$E$3:$E$1009,""),""))))</f>
        <v/>
      </c>
      <c r="Q376" s="1" t="str" cm="1">
        <f t="array" ref="Q376">IF(OR($K376="",$I376="",$J376=""),"",_xlfn.LET(_xlpm.srcCat,_xlfn.SWITCH($I376,"Computer",_xlfn.XLOOKUP($K376&amp;"",COMPUTER!$B$3:$B$1009&amp;"",COMPUTER!$H$3:$H$1009,""),"Display",_xlfn.XLOOKUP($K376&amp;"",DISPLAY!$B$3:$B$1000&amp;"",DISPLAY!$H$3:$H$1000,""),"Network Device",_xlfn.XLOOKUP($K376&amp;"",'NETWORK-DEVICES'!$B$3:$B$987&amp;"",'NETWORK-DEVICES'!$H$3:$H$987,""),"Peripheral",_xlfn.XLOOKUP($K376&amp;"",PERIPHERAL!$B$3:$B$954&amp;"",PERIPHERAL!$H$3:$H$954,""),"Utilities",_xlfn.XLOOKUP($K376&amp;"",UTILITIES!$B$3:$B$953&amp;"",UTILITIES!$G$3:$G$953,""),"IOT",_xlfn.XLOOKUP($K376&amp;"",IOT!$B$3:$B$1012&amp;"",IOT!$H$3:$H$1012,""),"Server",_xlfn.XLOOKUP($K376&amp;"",SERVER!$B$3:$B$1009&amp;"",SERVER!$H$3:$H$1009,""),""),IF(TRIM(_xlpm.srcCat)&lt;&gt;TRIM($J376),"",_xlfn.SWITCH($I376,"Computer",_xlfn.XLOOKUP($K376&amp;"",COMPUTER!$B$3:$B$1009&amp;"",COMPUTER!$AM$3:$AM$1009,""),"Display",_xlfn.XLOOKUP($K376&amp;"",DISPLAY!$B$3:$B$1000&amp;"",DISPLAY!$V$3:$V$1000,""),"Network Device",_xlfn.XLOOKUP($K376&amp;"",'NETWORK-DEVICES'!$B$3:$B$987&amp;"",'NETWORK-DEVICES'!$AF$3:$AF$987,""),"Peripheral",_xlfn.XLOOKUP($K376&amp;"",PERIPHERAL!$B$3:$B$954&amp;"",PERIPHERAL!$Y$3:$Y$954,""),"Utilities",_xlfn.XLOOKUP($K376&amp;"",UTILITIES!$B$3:$B$953&amp;"",UTILITIES!$O$3:$O$953,""),"IOT",_xlfn.XLOOKUP($K376&amp;"",IOT!$B$3:$B$1012&amp;"",IOT!$AB$3:$AB$1012,""),"Server",_xlfn.XLOOKUP($K376&amp;"",SERVER!$B$3:$B$1009&amp;"",SERVER!$AB$3:$AB$1009,""),""))))</f>
        <v/>
      </c>
      <c r="R376" s="43" t="str">
        <f>IF(tbl_handover[[#This Row],[Asset Code]]="","",COUNTIF(tbl_handover[Asset Code],tbl_handover[[#This Row],[Asset Code]]))</f>
        <v/>
      </c>
    </row>
    <row r="377" spans="1:18" x14ac:dyDescent="0.25">
      <c r="A377" s="43" t="str">
        <f>IF(B377&lt;&gt;"",SUBTOTAL(3,$B$1:B376),"")</f>
        <v/>
      </c>
      <c r="C377" s="74"/>
      <c r="D377" s="74"/>
      <c r="G377" s="1"/>
      <c r="K377" s="42"/>
      <c r="L377" t="str" cm="1">
        <f t="array" ref="L377">IF($K377="","",_xlfn.SWITCH($I377,"Computer",_xlfn.XLOOKUP($K377&amp;"",COMPUTER!$B$3:$B$1009&amp;"",COMPUTER!$I$3:$I$1009,""),"Display",_xlfn.XLOOKUP($K377&amp;"",DISPLAY!$B$3:$B$1000&amp;"",DISPLAY!$J$3:$J$1000,""),"Network Device",_xlfn.XLOOKUP($K377&amp;"",'NETWORK-DEVICES'!$B$3:$B$987&amp;"",'NETWORK-DEVICES'!$I$3:$I$987,""),"Peripheral",_xlfn.XLOOKUP($K377&amp;"",PERIPHERAL!$B$3:$B$954&amp;"",PERIPHERAL!$I$3:$I$954,""),"Utilities",_xlfn.XLOOKUP($K377&amp;"",UTILITIES!$B$3:$B$953&amp;"",UTILITIES!$H$3:$H$953,""),"IOT",_xlfn.XLOOKUP($K377&amp;"",IOT!$B$3:$B$1012&amp;"",IOT!$I$3:$I$1012,""),"SERVER",_xlfn.XLOOKUP($K377&amp;"",SERVER!$B$3:$B$1009&amp;"",SERVER!$I$3:$I$1009,""),""))</f>
        <v/>
      </c>
      <c r="M377" t="str" cm="1">
        <f t="array" ref="M377">IF($K377="","",_xlfn.SWITCH($I377,"Computer",_xlfn.XLOOKUP($K377&amp;"",COMPUTER!$B$3:$B$1009&amp;"",COMPUTER!$J$3:$J$1009,""),"Display",_xlfn.XLOOKUP($K377&amp;"",DISPLAY!$B$3:$B$1000&amp;"",DISPLAY!$K$3:$K$1000,""),"Network Device",_xlfn.XLOOKUP($K377&amp;"",'NETWORK-DEVICES'!$B$3:$B$987&amp;"",'NETWORK-DEVICES'!$I$3:$I$987,""),"Peripheral",_xlfn.XLOOKUP($K377&amp;"",PERIPHERAL!$B$3:$B$954&amp;"",PERIPHERAL!$J$3:$J$954,""),"Utilities",_xlfn.XLOOKUP($K377&amp;"",UTILITIES!$B$3:$B$953&amp;"",UTILITIES!$I$3:$I$953,""),"IOT",_xlfn.XLOOKUP($K377&amp;"",IOT!$B$3:$B$1012&amp;"",IOT!$J$3:$J$1012,""),"Server",_xlfn.XLOOKUP($K377&amp;"",SERVER!$B$3:$B$1009&amp;"",SERVER!$J$3:$J$1009,""),""))</f>
        <v/>
      </c>
      <c r="N377" s="1" t="str" cm="1">
        <f t="array" ref="N377">IF(OR($K377="",$I377="",$J377=""),"",_xlfn.LET(_xlpm.srcCat,_xlfn.SWITCH($I377,"Computer",_xlfn.XLOOKUP($K377&amp;"",COMPUTER!$B$3:$B$1009&amp;"",COMPUTER!$H$3:$H$1009,""),"Display",_xlfn.XLOOKUP($K377&amp;"",DISPLAY!$B$3:$B$1000&amp;"",DISPLAY!$H$3:$H$1000,""),"Network Device",_xlfn.XLOOKUP($K377&amp;"",'NETWORK-DEVICES'!$B$3:$B$987&amp;"",'NETWORK-DEVICES'!$H$3:$H$987,""),"Peripheral",_xlfn.XLOOKUP($K377&amp;"",PERIPHERAL!$B$3:$B$954&amp;"",PERIPHERAL!$H$3:$H$954,""),"Utilities",_xlfn.XLOOKUP($K377&amp;"",UTILITIES!$B$3:$B$953&amp;"",UTILITIES!$G$3:$G$953,""),"IOT",_xlfn.XLOOKUP($K377&amp;"",IOT!$B$3:$B$1012&amp;"",IOT!$H$3:$H$1012,""),"Server",_xlfn.XLOOKUP($K377&amp;"",SERVER!$B$3:$B$1009&amp;"",SERVER!$H$3:$H$1009,""),""),IF(TRIM(_xlpm.srcCat)&lt;&gt;TRIM($J377),"",_xlfn.SWITCH($I377,"Computer",_xlfn.XLOOKUP($K377&amp;"",COMPUTER!$B$3:$B$1009&amp;"",COMPUTER!$K$3:$K$1009,""),"Display",_xlfn.XLOOKUP($K377&amp;"",DISPLAY!$B$3:$B$1000&amp;"",DISPLAY!$L$3:$L$1000,""),"Network Device",_xlfn.XLOOKUP($K377&amp;"",'NETWORK-DEVICES'!$B$3:$B$987&amp;"",'NETWORK-DEVICES'!$K$3:$K$987,""),"Peripheral",_xlfn.XLOOKUP($K377&amp;"",PERIPHERAL!$B$3:$B$954&amp;"",PERIPHERAL!$K$3:$K$954,""),"Utilities",_xlfn.XLOOKUP($K377&amp;"",UTILITIES!$B$3:$B$953&amp;"",UTILITIES!$J$3:$J$953,""),"IOT",_xlfn.XLOOKUP($K377&amp;"",IOT!$B$3:$B$1012&amp;"",IOT!$K$4:$K$1012,""),"Server",_xlfn.XLOOKUP($K377&amp;"",SERVER!$B$3:$B$1009&amp;"",SERVER!$K$3:$K$1009,""),""))))</f>
        <v/>
      </c>
      <c r="O377" s="1" t="str" cm="1">
        <f t="array" ref="O377">IF(OR($K377="",$I377="",$J377=""),"",_xlfn.LET(_xlpm.srcCat,_xlfn.SWITCH($I377,"Computer",_xlfn.XLOOKUP($K377&amp;"",COMPUTER!$B$3:$B$1009&amp;"",COMPUTER!$H$3:$H$1009,""),"Display",_xlfn.XLOOKUP($K377&amp;"",DISPLAY!$B$3:$B$1000&amp;"",DISPLAY!$H$3:$H$1000,""),"Network Device",_xlfn.XLOOKUP($K377&amp;"",'NETWORK-DEVICES'!$B$3:$B$987&amp;"",'NETWORK-DEVICES'!$H$3:$H$987,""),"Peripheral",_xlfn.XLOOKUP($K377&amp;"",PERIPHERAL!$B$3:$B$954&amp;"",PERIPHERAL!$H$3:$H$954,""),"Utilities",_xlfn.XLOOKUP($K377&amp;"",UTILITIES!$B$3:$B$953&amp;"",UTILITIES!$G$3:$G$953,""),"IOT",_xlfn.XLOOKUP($K377&amp;"",IOT!$B$3:$B$1012&amp;"",IOT!$H$3:$H$1012,""),"Server",_xlfn.XLOOKUP($K377&amp;"",SERVER!$B$3:$B$1009&amp;"",SERVER!$H$3:$H$1009,""),""),IF(TRIM(_xlpm.srcCat)&lt;&gt;TRIM($J377),"",_xlfn.SWITCH($I377,"Computer",_xlfn.XLOOKUP($K377&amp;"",COMPUTER!$B$3:$B$1009&amp;"",COMPUTER!$E$3:$E$1009,""),"Display",_xlfn.XLOOKUP($K377&amp;"",DISPLAY!$B$3:$B$1000&amp;"",DISPLAY!$E$3:$E$1000,""),"Network Device",_xlfn.XLOOKUP($K377&amp;"",'NETWORK-DEVICES'!$B$3:$B$987&amp;"",'NETWORK-DEVICES'!$E$3:$E$987,""),"Peripheral",_xlfn.XLOOKUP($K377&amp;"",PERIPHERAL!$B$3:$B$954&amp;"",PERIPHERAL!$E$3:$E$954,""),"Utilities",_xlfn.XLOOKUP($K377&amp;"",UTILITIES!$B$3:$B$953&amp;"",UTILITIES!$E$3:$E$953,""),"IOT",_xlfn.XLOOKUP($K377&amp;"",IOT!$B$3:$B$1012&amp;"",IOT!$E$3:$E$1012,""),"Server",_xlfn.XLOOKUP($K377&amp;"",SERVER!$B$3:$B$1009&amp;"",SERVER!$E$3:$E$1009,""),""))))</f>
        <v/>
      </c>
      <c r="Q377" s="1" t="str" cm="1">
        <f t="array" ref="Q377">IF(OR($K377="",$I377="",$J377=""),"",_xlfn.LET(_xlpm.srcCat,_xlfn.SWITCH($I377,"Computer",_xlfn.XLOOKUP($K377&amp;"",COMPUTER!$B$3:$B$1009&amp;"",COMPUTER!$H$3:$H$1009,""),"Display",_xlfn.XLOOKUP($K377&amp;"",DISPLAY!$B$3:$B$1000&amp;"",DISPLAY!$H$3:$H$1000,""),"Network Device",_xlfn.XLOOKUP($K377&amp;"",'NETWORK-DEVICES'!$B$3:$B$987&amp;"",'NETWORK-DEVICES'!$H$3:$H$987,""),"Peripheral",_xlfn.XLOOKUP($K377&amp;"",PERIPHERAL!$B$3:$B$954&amp;"",PERIPHERAL!$H$3:$H$954,""),"Utilities",_xlfn.XLOOKUP($K377&amp;"",UTILITIES!$B$3:$B$953&amp;"",UTILITIES!$G$3:$G$953,""),"IOT",_xlfn.XLOOKUP($K377&amp;"",IOT!$B$3:$B$1012&amp;"",IOT!$H$3:$H$1012,""),"Server",_xlfn.XLOOKUP($K377&amp;"",SERVER!$B$3:$B$1009&amp;"",SERVER!$H$3:$H$1009,""),""),IF(TRIM(_xlpm.srcCat)&lt;&gt;TRIM($J377),"",_xlfn.SWITCH($I377,"Computer",_xlfn.XLOOKUP($K377&amp;"",COMPUTER!$B$3:$B$1009&amp;"",COMPUTER!$AM$3:$AM$1009,""),"Display",_xlfn.XLOOKUP($K377&amp;"",DISPLAY!$B$3:$B$1000&amp;"",DISPLAY!$V$3:$V$1000,""),"Network Device",_xlfn.XLOOKUP($K377&amp;"",'NETWORK-DEVICES'!$B$3:$B$987&amp;"",'NETWORK-DEVICES'!$AF$3:$AF$987,""),"Peripheral",_xlfn.XLOOKUP($K377&amp;"",PERIPHERAL!$B$3:$B$954&amp;"",PERIPHERAL!$Y$3:$Y$954,""),"Utilities",_xlfn.XLOOKUP($K377&amp;"",UTILITIES!$B$3:$B$953&amp;"",UTILITIES!$O$3:$O$953,""),"IOT",_xlfn.XLOOKUP($K377&amp;"",IOT!$B$3:$B$1012&amp;"",IOT!$AB$3:$AB$1012,""),"Server",_xlfn.XLOOKUP($K377&amp;"",SERVER!$B$3:$B$1009&amp;"",SERVER!$AB$3:$AB$1009,""),""))))</f>
        <v/>
      </c>
      <c r="R377" s="43" t="str">
        <f>IF(tbl_handover[[#This Row],[Asset Code]]="","",COUNTIF(tbl_handover[Asset Code],tbl_handover[[#This Row],[Asset Code]]))</f>
        <v/>
      </c>
    </row>
    <row r="378" spans="1:18" x14ac:dyDescent="0.25">
      <c r="A378" s="43" t="str">
        <f>IF(B378&lt;&gt;"",SUBTOTAL(3,$B$1:B377),"")</f>
        <v/>
      </c>
      <c r="C378" s="74"/>
      <c r="D378" s="74"/>
      <c r="G378" s="1"/>
      <c r="K378" s="42"/>
      <c r="L378" t="str" cm="1">
        <f t="array" ref="L378">IF($K378="","",_xlfn.SWITCH($I378,"Computer",_xlfn.XLOOKUP($K378&amp;"",COMPUTER!$B$3:$B$1009&amp;"",COMPUTER!$I$3:$I$1009,""),"Display",_xlfn.XLOOKUP($K378&amp;"",DISPLAY!$B$3:$B$1000&amp;"",DISPLAY!$J$3:$J$1000,""),"Network Device",_xlfn.XLOOKUP($K378&amp;"",'NETWORK-DEVICES'!$B$3:$B$987&amp;"",'NETWORK-DEVICES'!$I$3:$I$987,""),"Peripheral",_xlfn.XLOOKUP($K378&amp;"",PERIPHERAL!$B$3:$B$954&amp;"",PERIPHERAL!$I$3:$I$954,""),"Utilities",_xlfn.XLOOKUP($K378&amp;"",UTILITIES!$B$3:$B$953&amp;"",UTILITIES!$H$3:$H$953,""),"IOT",_xlfn.XLOOKUP($K378&amp;"",IOT!$B$3:$B$1012&amp;"",IOT!$I$3:$I$1012,""),"SERVER",_xlfn.XLOOKUP($K378&amp;"",SERVER!$B$3:$B$1009&amp;"",SERVER!$I$3:$I$1009,""),""))</f>
        <v/>
      </c>
      <c r="M378" t="str" cm="1">
        <f t="array" ref="M378">IF($K378="","",_xlfn.SWITCH($I378,"Computer",_xlfn.XLOOKUP($K378&amp;"",COMPUTER!$B$3:$B$1009&amp;"",COMPUTER!$J$3:$J$1009,""),"Display",_xlfn.XLOOKUP($K378&amp;"",DISPLAY!$B$3:$B$1000&amp;"",DISPLAY!$K$3:$K$1000,""),"Network Device",_xlfn.XLOOKUP($K378&amp;"",'NETWORK-DEVICES'!$B$3:$B$987&amp;"",'NETWORK-DEVICES'!$I$3:$I$987,""),"Peripheral",_xlfn.XLOOKUP($K378&amp;"",PERIPHERAL!$B$3:$B$954&amp;"",PERIPHERAL!$J$3:$J$954,""),"Utilities",_xlfn.XLOOKUP($K378&amp;"",UTILITIES!$B$3:$B$953&amp;"",UTILITIES!$I$3:$I$953,""),"IOT",_xlfn.XLOOKUP($K378&amp;"",IOT!$B$3:$B$1012&amp;"",IOT!$J$3:$J$1012,""),"Server",_xlfn.XLOOKUP($K378&amp;"",SERVER!$B$3:$B$1009&amp;"",SERVER!$J$3:$J$1009,""),""))</f>
        <v/>
      </c>
      <c r="N378" s="1" t="str" cm="1">
        <f t="array" ref="N378">IF(OR($K378="",$I378="",$J378=""),"",_xlfn.LET(_xlpm.srcCat,_xlfn.SWITCH($I378,"Computer",_xlfn.XLOOKUP($K378&amp;"",COMPUTER!$B$3:$B$1009&amp;"",COMPUTER!$H$3:$H$1009,""),"Display",_xlfn.XLOOKUP($K378&amp;"",DISPLAY!$B$3:$B$1000&amp;"",DISPLAY!$H$3:$H$1000,""),"Network Device",_xlfn.XLOOKUP($K378&amp;"",'NETWORK-DEVICES'!$B$3:$B$987&amp;"",'NETWORK-DEVICES'!$H$3:$H$987,""),"Peripheral",_xlfn.XLOOKUP($K378&amp;"",PERIPHERAL!$B$3:$B$954&amp;"",PERIPHERAL!$H$3:$H$954,""),"Utilities",_xlfn.XLOOKUP($K378&amp;"",UTILITIES!$B$3:$B$953&amp;"",UTILITIES!$G$3:$G$953,""),"IOT",_xlfn.XLOOKUP($K378&amp;"",IOT!$B$3:$B$1012&amp;"",IOT!$H$3:$H$1012,""),"Server",_xlfn.XLOOKUP($K378&amp;"",SERVER!$B$3:$B$1009&amp;"",SERVER!$H$3:$H$1009,""),""),IF(TRIM(_xlpm.srcCat)&lt;&gt;TRIM($J378),"",_xlfn.SWITCH($I378,"Computer",_xlfn.XLOOKUP($K378&amp;"",COMPUTER!$B$3:$B$1009&amp;"",COMPUTER!$K$3:$K$1009,""),"Display",_xlfn.XLOOKUP($K378&amp;"",DISPLAY!$B$3:$B$1000&amp;"",DISPLAY!$L$3:$L$1000,""),"Network Device",_xlfn.XLOOKUP($K378&amp;"",'NETWORK-DEVICES'!$B$3:$B$987&amp;"",'NETWORK-DEVICES'!$K$3:$K$987,""),"Peripheral",_xlfn.XLOOKUP($K378&amp;"",PERIPHERAL!$B$3:$B$954&amp;"",PERIPHERAL!$K$3:$K$954,""),"Utilities",_xlfn.XLOOKUP($K378&amp;"",UTILITIES!$B$3:$B$953&amp;"",UTILITIES!$J$3:$J$953,""),"IOT",_xlfn.XLOOKUP($K378&amp;"",IOT!$B$3:$B$1012&amp;"",IOT!$K$4:$K$1012,""),"Server",_xlfn.XLOOKUP($K378&amp;"",SERVER!$B$3:$B$1009&amp;"",SERVER!$K$3:$K$1009,""),""))))</f>
        <v/>
      </c>
      <c r="O378" s="1" t="str" cm="1">
        <f t="array" ref="O378">IF(OR($K378="",$I378="",$J378=""),"",_xlfn.LET(_xlpm.srcCat,_xlfn.SWITCH($I378,"Computer",_xlfn.XLOOKUP($K378&amp;"",COMPUTER!$B$3:$B$1009&amp;"",COMPUTER!$H$3:$H$1009,""),"Display",_xlfn.XLOOKUP($K378&amp;"",DISPLAY!$B$3:$B$1000&amp;"",DISPLAY!$H$3:$H$1000,""),"Network Device",_xlfn.XLOOKUP($K378&amp;"",'NETWORK-DEVICES'!$B$3:$B$987&amp;"",'NETWORK-DEVICES'!$H$3:$H$987,""),"Peripheral",_xlfn.XLOOKUP($K378&amp;"",PERIPHERAL!$B$3:$B$954&amp;"",PERIPHERAL!$H$3:$H$954,""),"Utilities",_xlfn.XLOOKUP($K378&amp;"",UTILITIES!$B$3:$B$953&amp;"",UTILITIES!$G$3:$G$953,""),"IOT",_xlfn.XLOOKUP($K378&amp;"",IOT!$B$3:$B$1012&amp;"",IOT!$H$3:$H$1012,""),"Server",_xlfn.XLOOKUP($K378&amp;"",SERVER!$B$3:$B$1009&amp;"",SERVER!$H$3:$H$1009,""),""),IF(TRIM(_xlpm.srcCat)&lt;&gt;TRIM($J378),"",_xlfn.SWITCH($I378,"Computer",_xlfn.XLOOKUP($K378&amp;"",COMPUTER!$B$3:$B$1009&amp;"",COMPUTER!$E$3:$E$1009,""),"Display",_xlfn.XLOOKUP($K378&amp;"",DISPLAY!$B$3:$B$1000&amp;"",DISPLAY!$E$3:$E$1000,""),"Network Device",_xlfn.XLOOKUP($K378&amp;"",'NETWORK-DEVICES'!$B$3:$B$987&amp;"",'NETWORK-DEVICES'!$E$3:$E$987,""),"Peripheral",_xlfn.XLOOKUP($K378&amp;"",PERIPHERAL!$B$3:$B$954&amp;"",PERIPHERAL!$E$3:$E$954,""),"Utilities",_xlfn.XLOOKUP($K378&amp;"",UTILITIES!$B$3:$B$953&amp;"",UTILITIES!$E$3:$E$953,""),"IOT",_xlfn.XLOOKUP($K378&amp;"",IOT!$B$3:$B$1012&amp;"",IOT!$E$3:$E$1012,""),"Server",_xlfn.XLOOKUP($K378&amp;"",SERVER!$B$3:$B$1009&amp;"",SERVER!$E$3:$E$1009,""),""))))</f>
        <v/>
      </c>
      <c r="Q378" s="1" t="str" cm="1">
        <f t="array" ref="Q378">IF(OR($K378="",$I378="",$J378=""),"",_xlfn.LET(_xlpm.srcCat,_xlfn.SWITCH($I378,"Computer",_xlfn.XLOOKUP($K378&amp;"",COMPUTER!$B$3:$B$1009&amp;"",COMPUTER!$H$3:$H$1009,""),"Display",_xlfn.XLOOKUP($K378&amp;"",DISPLAY!$B$3:$B$1000&amp;"",DISPLAY!$H$3:$H$1000,""),"Network Device",_xlfn.XLOOKUP($K378&amp;"",'NETWORK-DEVICES'!$B$3:$B$987&amp;"",'NETWORK-DEVICES'!$H$3:$H$987,""),"Peripheral",_xlfn.XLOOKUP($K378&amp;"",PERIPHERAL!$B$3:$B$954&amp;"",PERIPHERAL!$H$3:$H$954,""),"Utilities",_xlfn.XLOOKUP($K378&amp;"",UTILITIES!$B$3:$B$953&amp;"",UTILITIES!$G$3:$G$953,""),"IOT",_xlfn.XLOOKUP($K378&amp;"",IOT!$B$3:$B$1012&amp;"",IOT!$H$3:$H$1012,""),"Server",_xlfn.XLOOKUP($K378&amp;"",SERVER!$B$3:$B$1009&amp;"",SERVER!$H$3:$H$1009,""),""),IF(TRIM(_xlpm.srcCat)&lt;&gt;TRIM($J378),"",_xlfn.SWITCH($I378,"Computer",_xlfn.XLOOKUP($K378&amp;"",COMPUTER!$B$3:$B$1009&amp;"",COMPUTER!$AM$3:$AM$1009,""),"Display",_xlfn.XLOOKUP($K378&amp;"",DISPLAY!$B$3:$B$1000&amp;"",DISPLAY!$V$3:$V$1000,""),"Network Device",_xlfn.XLOOKUP($K378&amp;"",'NETWORK-DEVICES'!$B$3:$B$987&amp;"",'NETWORK-DEVICES'!$AF$3:$AF$987,""),"Peripheral",_xlfn.XLOOKUP($K378&amp;"",PERIPHERAL!$B$3:$B$954&amp;"",PERIPHERAL!$Y$3:$Y$954,""),"Utilities",_xlfn.XLOOKUP($K378&amp;"",UTILITIES!$B$3:$B$953&amp;"",UTILITIES!$O$3:$O$953,""),"IOT",_xlfn.XLOOKUP($K378&amp;"",IOT!$B$3:$B$1012&amp;"",IOT!$AB$3:$AB$1012,""),"Server",_xlfn.XLOOKUP($K378&amp;"",SERVER!$B$3:$B$1009&amp;"",SERVER!$AB$3:$AB$1009,""),""))))</f>
        <v/>
      </c>
      <c r="R378" s="43" t="str">
        <f>IF(tbl_handover[[#This Row],[Asset Code]]="","",COUNTIF(tbl_handover[Asset Code],tbl_handover[[#This Row],[Asset Code]]))</f>
        <v/>
      </c>
    </row>
    <row r="379" spans="1:18" x14ac:dyDescent="0.25">
      <c r="A379" s="43" t="str">
        <f>IF(B379&lt;&gt;"",SUBTOTAL(3,$B$1:B378),"")</f>
        <v/>
      </c>
      <c r="C379" s="74"/>
      <c r="D379" s="74"/>
      <c r="G379" s="1"/>
      <c r="K379" s="42"/>
      <c r="L379" t="str" cm="1">
        <f t="array" ref="L379">IF($K379="","",_xlfn.SWITCH($I379,"Computer",_xlfn.XLOOKUP($K379&amp;"",COMPUTER!$B$3:$B$1009&amp;"",COMPUTER!$I$3:$I$1009,""),"Display",_xlfn.XLOOKUP($K379&amp;"",DISPLAY!$B$3:$B$1000&amp;"",DISPLAY!$J$3:$J$1000,""),"Network Device",_xlfn.XLOOKUP($K379&amp;"",'NETWORK-DEVICES'!$B$3:$B$987&amp;"",'NETWORK-DEVICES'!$I$3:$I$987,""),"Peripheral",_xlfn.XLOOKUP($K379&amp;"",PERIPHERAL!$B$3:$B$954&amp;"",PERIPHERAL!$I$3:$I$954,""),"Utilities",_xlfn.XLOOKUP($K379&amp;"",UTILITIES!$B$3:$B$953&amp;"",UTILITIES!$H$3:$H$953,""),"IOT",_xlfn.XLOOKUP($K379&amp;"",IOT!$B$3:$B$1012&amp;"",IOT!$I$3:$I$1012,""),"SERVER",_xlfn.XLOOKUP($K379&amp;"",SERVER!$B$3:$B$1009&amp;"",SERVER!$I$3:$I$1009,""),""))</f>
        <v/>
      </c>
      <c r="M379" t="str" cm="1">
        <f t="array" ref="M379">IF($K379="","",_xlfn.SWITCH($I379,"Computer",_xlfn.XLOOKUP($K379&amp;"",COMPUTER!$B$3:$B$1009&amp;"",COMPUTER!$J$3:$J$1009,""),"Display",_xlfn.XLOOKUP($K379&amp;"",DISPLAY!$B$3:$B$1000&amp;"",DISPLAY!$K$3:$K$1000,""),"Network Device",_xlfn.XLOOKUP($K379&amp;"",'NETWORK-DEVICES'!$B$3:$B$987&amp;"",'NETWORK-DEVICES'!$I$3:$I$987,""),"Peripheral",_xlfn.XLOOKUP($K379&amp;"",PERIPHERAL!$B$3:$B$954&amp;"",PERIPHERAL!$J$3:$J$954,""),"Utilities",_xlfn.XLOOKUP($K379&amp;"",UTILITIES!$B$3:$B$953&amp;"",UTILITIES!$I$3:$I$953,""),"IOT",_xlfn.XLOOKUP($K379&amp;"",IOT!$B$3:$B$1012&amp;"",IOT!$J$3:$J$1012,""),"Server",_xlfn.XLOOKUP($K379&amp;"",SERVER!$B$3:$B$1009&amp;"",SERVER!$J$3:$J$1009,""),""))</f>
        <v/>
      </c>
      <c r="N379" s="1" t="str" cm="1">
        <f t="array" ref="N379">IF(OR($K379="",$I379="",$J379=""),"",_xlfn.LET(_xlpm.srcCat,_xlfn.SWITCH($I379,"Computer",_xlfn.XLOOKUP($K379&amp;"",COMPUTER!$B$3:$B$1009&amp;"",COMPUTER!$H$3:$H$1009,""),"Display",_xlfn.XLOOKUP($K379&amp;"",DISPLAY!$B$3:$B$1000&amp;"",DISPLAY!$H$3:$H$1000,""),"Network Device",_xlfn.XLOOKUP($K379&amp;"",'NETWORK-DEVICES'!$B$3:$B$987&amp;"",'NETWORK-DEVICES'!$H$3:$H$987,""),"Peripheral",_xlfn.XLOOKUP($K379&amp;"",PERIPHERAL!$B$3:$B$954&amp;"",PERIPHERAL!$H$3:$H$954,""),"Utilities",_xlfn.XLOOKUP($K379&amp;"",UTILITIES!$B$3:$B$953&amp;"",UTILITIES!$G$3:$G$953,""),"IOT",_xlfn.XLOOKUP($K379&amp;"",IOT!$B$3:$B$1012&amp;"",IOT!$H$3:$H$1012,""),"Server",_xlfn.XLOOKUP($K379&amp;"",SERVER!$B$3:$B$1009&amp;"",SERVER!$H$3:$H$1009,""),""),IF(TRIM(_xlpm.srcCat)&lt;&gt;TRIM($J379),"",_xlfn.SWITCH($I379,"Computer",_xlfn.XLOOKUP($K379&amp;"",COMPUTER!$B$3:$B$1009&amp;"",COMPUTER!$K$3:$K$1009,""),"Display",_xlfn.XLOOKUP($K379&amp;"",DISPLAY!$B$3:$B$1000&amp;"",DISPLAY!$L$3:$L$1000,""),"Network Device",_xlfn.XLOOKUP($K379&amp;"",'NETWORK-DEVICES'!$B$3:$B$987&amp;"",'NETWORK-DEVICES'!$K$3:$K$987,""),"Peripheral",_xlfn.XLOOKUP($K379&amp;"",PERIPHERAL!$B$3:$B$954&amp;"",PERIPHERAL!$K$3:$K$954,""),"Utilities",_xlfn.XLOOKUP($K379&amp;"",UTILITIES!$B$3:$B$953&amp;"",UTILITIES!$J$3:$J$953,""),"IOT",_xlfn.XLOOKUP($K379&amp;"",IOT!$B$3:$B$1012&amp;"",IOT!$K$4:$K$1012,""),"Server",_xlfn.XLOOKUP($K379&amp;"",SERVER!$B$3:$B$1009&amp;"",SERVER!$K$3:$K$1009,""),""))))</f>
        <v/>
      </c>
      <c r="O379" s="1" t="str" cm="1">
        <f t="array" ref="O379">IF(OR($K379="",$I379="",$J379=""),"",_xlfn.LET(_xlpm.srcCat,_xlfn.SWITCH($I379,"Computer",_xlfn.XLOOKUP($K379&amp;"",COMPUTER!$B$3:$B$1009&amp;"",COMPUTER!$H$3:$H$1009,""),"Display",_xlfn.XLOOKUP($K379&amp;"",DISPLAY!$B$3:$B$1000&amp;"",DISPLAY!$H$3:$H$1000,""),"Network Device",_xlfn.XLOOKUP($K379&amp;"",'NETWORK-DEVICES'!$B$3:$B$987&amp;"",'NETWORK-DEVICES'!$H$3:$H$987,""),"Peripheral",_xlfn.XLOOKUP($K379&amp;"",PERIPHERAL!$B$3:$B$954&amp;"",PERIPHERAL!$H$3:$H$954,""),"Utilities",_xlfn.XLOOKUP($K379&amp;"",UTILITIES!$B$3:$B$953&amp;"",UTILITIES!$G$3:$G$953,""),"IOT",_xlfn.XLOOKUP($K379&amp;"",IOT!$B$3:$B$1012&amp;"",IOT!$H$3:$H$1012,""),"Server",_xlfn.XLOOKUP($K379&amp;"",SERVER!$B$3:$B$1009&amp;"",SERVER!$H$3:$H$1009,""),""),IF(TRIM(_xlpm.srcCat)&lt;&gt;TRIM($J379),"",_xlfn.SWITCH($I379,"Computer",_xlfn.XLOOKUP($K379&amp;"",COMPUTER!$B$3:$B$1009&amp;"",COMPUTER!$E$3:$E$1009,""),"Display",_xlfn.XLOOKUP($K379&amp;"",DISPLAY!$B$3:$B$1000&amp;"",DISPLAY!$E$3:$E$1000,""),"Network Device",_xlfn.XLOOKUP($K379&amp;"",'NETWORK-DEVICES'!$B$3:$B$987&amp;"",'NETWORK-DEVICES'!$E$3:$E$987,""),"Peripheral",_xlfn.XLOOKUP($K379&amp;"",PERIPHERAL!$B$3:$B$954&amp;"",PERIPHERAL!$E$3:$E$954,""),"Utilities",_xlfn.XLOOKUP($K379&amp;"",UTILITIES!$B$3:$B$953&amp;"",UTILITIES!$E$3:$E$953,""),"IOT",_xlfn.XLOOKUP($K379&amp;"",IOT!$B$3:$B$1012&amp;"",IOT!$E$3:$E$1012,""),"Server",_xlfn.XLOOKUP($K379&amp;"",SERVER!$B$3:$B$1009&amp;"",SERVER!$E$3:$E$1009,""),""))))</f>
        <v/>
      </c>
      <c r="Q379" s="1" t="str" cm="1">
        <f t="array" ref="Q379">IF(OR($K379="",$I379="",$J379=""),"",_xlfn.LET(_xlpm.srcCat,_xlfn.SWITCH($I379,"Computer",_xlfn.XLOOKUP($K379&amp;"",COMPUTER!$B$3:$B$1009&amp;"",COMPUTER!$H$3:$H$1009,""),"Display",_xlfn.XLOOKUP($K379&amp;"",DISPLAY!$B$3:$B$1000&amp;"",DISPLAY!$H$3:$H$1000,""),"Network Device",_xlfn.XLOOKUP($K379&amp;"",'NETWORK-DEVICES'!$B$3:$B$987&amp;"",'NETWORK-DEVICES'!$H$3:$H$987,""),"Peripheral",_xlfn.XLOOKUP($K379&amp;"",PERIPHERAL!$B$3:$B$954&amp;"",PERIPHERAL!$H$3:$H$954,""),"Utilities",_xlfn.XLOOKUP($K379&amp;"",UTILITIES!$B$3:$B$953&amp;"",UTILITIES!$G$3:$G$953,""),"IOT",_xlfn.XLOOKUP($K379&amp;"",IOT!$B$3:$B$1012&amp;"",IOT!$H$3:$H$1012,""),"Server",_xlfn.XLOOKUP($K379&amp;"",SERVER!$B$3:$B$1009&amp;"",SERVER!$H$3:$H$1009,""),""),IF(TRIM(_xlpm.srcCat)&lt;&gt;TRIM($J379),"",_xlfn.SWITCH($I379,"Computer",_xlfn.XLOOKUP($K379&amp;"",COMPUTER!$B$3:$B$1009&amp;"",COMPUTER!$AM$3:$AM$1009,""),"Display",_xlfn.XLOOKUP($K379&amp;"",DISPLAY!$B$3:$B$1000&amp;"",DISPLAY!$V$3:$V$1000,""),"Network Device",_xlfn.XLOOKUP($K379&amp;"",'NETWORK-DEVICES'!$B$3:$B$987&amp;"",'NETWORK-DEVICES'!$AF$3:$AF$987,""),"Peripheral",_xlfn.XLOOKUP($K379&amp;"",PERIPHERAL!$B$3:$B$954&amp;"",PERIPHERAL!$Y$3:$Y$954,""),"Utilities",_xlfn.XLOOKUP($K379&amp;"",UTILITIES!$B$3:$B$953&amp;"",UTILITIES!$O$3:$O$953,""),"IOT",_xlfn.XLOOKUP($K379&amp;"",IOT!$B$3:$B$1012&amp;"",IOT!$AB$3:$AB$1012,""),"Server",_xlfn.XLOOKUP($K379&amp;"",SERVER!$B$3:$B$1009&amp;"",SERVER!$AB$3:$AB$1009,""),""))))</f>
        <v/>
      </c>
      <c r="R379" s="43" t="str">
        <f>IF(tbl_handover[[#This Row],[Asset Code]]="","",COUNTIF(tbl_handover[Asset Code],tbl_handover[[#This Row],[Asset Code]]))</f>
        <v/>
      </c>
    </row>
    <row r="380" spans="1:18" x14ac:dyDescent="0.25">
      <c r="A380" s="43" t="str">
        <f>IF(B380&lt;&gt;"",SUBTOTAL(3,$B$1:B379),"")</f>
        <v/>
      </c>
      <c r="C380" s="74"/>
      <c r="D380" s="74"/>
      <c r="G380" s="1"/>
      <c r="K380" s="42"/>
      <c r="L380" t="str" cm="1">
        <f t="array" ref="L380">IF($K380="","",_xlfn.SWITCH($I380,"Computer",_xlfn.XLOOKUP($K380&amp;"",COMPUTER!$B$3:$B$1009&amp;"",COMPUTER!$I$3:$I$1009,""),"Display",_xlfn.XLOOKUP($K380&amp;"",DISPLAY!$B$3:$B$1000&amp;"",DISPLAY!$J$3:$J$1000,""),"Network Device",_xlfn.XLOOKUP($K380&amp;"",'NETWORK-DEVICES'!$B$3:$B$987&amp;"",'NETWORK-DEVICES'!$I$3:$I$987,""),"Peripheral",_xlfn.XLOOKUP($K380&amp;"",PERIPHERAL!$B$3:$B$954&amp;"",PERIPHERAL!$I$3:$I$954,""),"Utilities",_xlfn.XLOOKUP($K380&amp;"",UTILITIES!$B$3:$B$953&amp;"",UTILITIES!$H$3:$H$953,""),"IOT",_xlfn.XLOOKUP($K380&amp;"",IOT!$B$3:$B$1012&amp;"",IOT!$I$3:$I$1012,""),"SERVER",_xlfn.XLOOKUP($K380&amp;"",SERVER!$B$3:$B$1009&amp;"",SERVER!$I$3:$I$1009,""),""))</f>
        <v/>
      </c>
      <c r="M380" t="str" cm="1">
        <f t="array" ref="M380">IF($K380="","",_xlfn.SWITCH($I380,"Computer",_xlfn.XLOOKUP($K380&amp;"",COMPUTER!$B$3:$B$1009&amp;"",COMPUTER!$J$3:$J$1009,""),"Display",_xlfn.XLOOKUP($K380&amp;"",DISPLAY!$B$3:$B$1000&amp;"",DISPLAY!$K$3:$K$1000,""),"Network Device",_xlfn.XLOOKUP($K380&amp;"",'NETWORK-DEVICES'!$B$3:$B$987&amp;"",'NETWORK-DEVICES'!$I$3:$I$987,""),"Peripheral",_xlfn.XLOOKUP($K380&amp;"",PERIPHERAL!$B$3:$B$954&amp;"",PERIPHERAL!$J$3:$J$954,""),"Utilities",_xlfn.XLOOKUP($K380&amp;"",UTILITIES!$B$3:$B$953&amp;"",UTILITIES!$I$3:$I$953,""),"IOT",_xlfn.XLOOKUP($K380&amp;"",IOT!$B$3:$B$1012&amp;"",IOT!$J$3:$J$1012,""),"Server",_xlfn.XLOOKUP($K380&amp;"",SERVER!$B$3:$B$1009&amp;"",SERVER!$J$3:$J$1009,""),""))</f>
        <v/>
      </c>
      <c r="N380" s="1" t="str" cm="1">
        <f t="array" ref="N380">IF(OR($K380="",$I380="",$J380=""),"",_xlfn.LET(_xlpm.srcCat,_xlfn.SWITCH($I380,"Computer",_xlfn.XLOOKUP($K380&amp;"",COMPUTER!$B$3:$B$1009&amp;"",COMPUTER!$H$3:$H$1009,""),"Display",_xlfn.XLOOKUP($K380&amp;"",DISPLAY!$B$3:$B$1000&amp;"",DISPLAY!$H$3:$H$1000,""),"Network Device",_xlfn.XLOOKUP($K380&amp;"",'NETWORK-DEVICES'!$B$3:$B$987&amp;"",'NETWORK-DEVICES'!$H$3:$H$987,""),"Peripheral",_xlfn.XLOOKUP($K380&amp;"",PERIPHERAL!$B$3:$B$954&amp;"",PERIPHERAL!$H$3:$H$954,""),"Utilities",_xlfn.XLOOKUP($K380&amp;"",UTILITIES!$B$3:$B$953&amp;"",UTILITIES!$G$3:$G$953,""),"IOT",_xlfn.XLOOKUP($K380&amp;"",IOT!$B$3:$B$1012&amp;"",IOT!$H$3:$H$1012,""),"Server",_xlfn.XLOOKUP($K380&amp;"",SERVER!$B$3:$B$1009&amp;"",SERVER!$H$3:$H$1009,""),""),IF(TRIM(_xlpm.srcCat)&lt;&gt;TRIM($J380),"",_xlfn.SWITCH($I380,"Computer",_xlfn.XLOOKUP($K380&amp;"",COMPUTER!$B$3:$B$1009&amp;"",COMPUTER!$K$3:$K$1009,""),"Display",_xlfn.XLOOKUP($K380&amp;"",DISPLAY!$B$3:$B$1000&amp;"",DISPLAY!$L$3:$L$1000,""),"Network Device",_xlfn.XLOOKUP($K380&amp;"",'NETWORK-DEVICES'!$B$3:$B$987&amp;"",'NETWORK-DEVICES'!$K$3:$K$987,""),"Peripheral",_xlfn.XLOOKUP($K380&amp;"",PERIPHERAL!$B$3:$B$954&amp;"",PERIPHERAL!$K$3:$K$954,""),"Utilities",_xlfn.XLOOKUP($K380&amp;"",UTILITIES!$B$3:$B$953&amp;"",UTILITIES!$J$3:$J$953,""),"IOT",_xlfn.XLOOKUP($K380&amp;"",IOT!$B$3:$B$1012&amp;"",IOT!$K$4:$K$1012,""),"Server",_xlfn.XLOOKUP($K380&amp;"",SERVER!$B$3:$B$1009&amp;"",SERVER!$K$3:$K$1009,""),""))))</f>
        <v/>
      </c>
      <c r="O380" s="1" t="str" cm="1">
        <f t="array" ref="O380">IF(OR($K380="",$I380="",$J380=""),"",_xlfn.LET(_xlpm.srcCat,_xlfn.SWITCH($I380,"Computer",_xlfn.XLOOKUP($K380&amp;"",COMPUTER!$B$3:$B$1009&amp;"",COMPUTER!$H$3:$H$1009,""),"Display",_xlfn.XLOOKUP($K380&amp;"",DISPLAY!$B$3:$B$1000&amp;"",DISPLAY!$H$3:$H$1000,""),"Network Device",_xlfn.XLOOKUP($K380&amp;"",'NETWORK-DEVICES'!$B$3:$B$987&amp;"",'NETWORK-DEVICES'!$H$3:$H$987,""),"Peripheral",_xlfn.XLOOKUP($K380&amp;"",PERIPHERAL!$B$3:$B$954&amp;"",PERIPHERAL!$H$3:$H$954,""),"Utilities",_xlfn.XLOOKUP($K380&amp;"",UTILITIES!$B$3:$B$953&amp;"",UTILITIES!$G$3:$G$953,""),"IOT",_xlfn.XLOOKUP($K380&amp;"",IOT!$B$3:$B$1012&amp;"",IOT!$H$3:$H$1012,""),"Server",_xlfn.XLOOKUP($K380&amp;"",SERVER!$B$3:$B$1009&amp;"",SERVER!$H$3:$H$1009,""),""),IF(TRIM(_xlpm.srcCat)&lt;&gt;TRIM($J380),"",_xlfn.SWITCH($I380,"Computer",_xlfn.XLOOKUP($K380&amp;"",COMPUTER!$B$3:$B$1009&amp;"",COMPUTER!$E$3:$E$1009,""),"Display",_xlfn.XLOOKUP($K380&amp;"",DISPLAY!$B$3:$B$1000&amp;"",DISPLAY!$E$3:$E$1000,""),"Network Device",_xlfn.XLOOKUP($K380&amp;"",'NETWORK-DEVICES'!$B$3:$B$987&amp;"",'NETWORK-DEVICES'!$E$3:$E$987,""),"Peripheral",_xlfn.XLOOKUP($K380&amp;"",PERIPHERAL!$B$3:$B$954&amp;"",PERIPHERAL!$E$3:$E$954,""),"Utilities",_xlfn.XLOOKUP($K380&amp;"",UTILITIES!$B$3:$B$953&amp;"",UTILITIES!$E$3:$E$953,""),"IOT",_xlfn.XLOOKUP($K380&amp;"",IOT!$B$3:$B$1012&amp;"",IOT!$E$3:$E$1012,""),"Server",_xlfn.XLOOKUP($K380&amp;"",SERVER!$B$3:$B$1009&amp;"",SERVER!$E$3:$E$1009,""),""))))</f>
        <v/>
      </c>
      <c r="Q380" s="1" t="str" cm="1">
        <f t="array" ref="Q380">IF(OR($K380="",$I380="",$J380=""),"",_xlfn.LET(_xlpm.srcCat,_xlfn.SWITCH($I380,"Computer",_xlfn.XLOOKUP($K380&amp;"",COMPUTER!$B$3:$B$1009&amp;"",COMPUTER!$H$3:$H$1009,""),"Display",_xlfn.XLOOKUP($K380&amp;"",DISPLAY!$B$3:$B$1000&amp;"",DISPLAY!$H$3:$H$1000,""),"Network Device",_xlfn.XLOOKUP($K380&amp;"",'NETWORK-DEVICES'!$B$3:$B$987&amp;"",'NETWORK-DEVICES'!$H$3:$H$987,""),"Peripheral",_xlfn.XLOOKUP($K380&amp;"",PERIPHERAL!$B$3:$B$954&amp;"",PERIPHERAL!$H$3:$H$954,""),"Utilities",_xlfn.XLOOKUP($K380&amp;"",UTILITIES!$B$3:$B$953&amp;"",UTILITIES!$G$3:$G$953,""),"IOT",_xlfn.XLOOKUP($K380&amp;"",IOT!$B$3:$B$1012&amp;"",IOT!$H$3:$H$1012,""),"Server",_xlfn.XLOOKUP($K380&amp;"",SERVER!$B$3:$B$1009&amp;"",SERVER!$H$3:$H$1009,""),""),IF(TRIM(_xlpm.srcCat)&lt;&gt;TRIM($J380),"",_xlfn.SWITCH($I380,"Computer",_xlfn.XLOOKUP($K380&amp;"",COMPUTER!$B$3:$B$1009&amp;"",COMPUTER!$AM$3:$AM$1009,""),"Display",_xlfn.XLOOKUP($K380&amp;"",DISPLAY!$B$3:$B$1000&amp;"",DISPLAY!$V$3:$V$1000,""),"Network Device",_xlfn.XLOOKUP($K380&amp;"",'NETWORK-DEVICES'!$B$3:$B$987&amp;"",'NETWORK-DEVICES'!$AF$3:$AF$987,""),"Peripheral",_xlfn.XLOOKUP($K380&amp;"",PERIPHERAL!$B$3:$B$954&amp;"",PERIPHERAL!$Y$3:$Y$954,""),"Utilities",_xlfn.XLOOKUP($K380&amp;"",UTILITIES!$B$3:$B$953&amp;"",UTILITIES!$O$3:$O$953,""),"IOT",_xlfn.XLOOKUP($K380&amp;"",IOT!$B$3:$B$1012&amp;"",IOT!$AB$3:$AB$1012,""),"Server",_xlfn.XLOOKUP($K380&amp;"",SERVER!$B$3:$B$1009&amp;"",SERVER!$AB$3:$AB$1009,""),""))))</f>
        <v/>
      </c>
      <c r="R380" s="43" t="str">
        <f>IF(tbl_handover[[#This Row],[Asset Code]]="","",COUNTIF(tbl_handover[Asset Code],tbl_handover[[#This Row],[Asset Code]]))</f>
        <v/>
      </c>
    </row>
    <row r="381" spans="1:18" x14ac:dyDescent="0.25">
      <c r="A381" s="43" t="str">
        <f>IF(B381&lt;&gt;"",SUBTOTAL(3,$B$1:B380),"")</f>
        <v/>
      </c>
      <c r="C381" s="74"/>
      <c r="D381" s="74"/>
      <c r="G381" s="1"/>
      <c r="K381" s="42"/>
      <c r="L381" t="str" cm="1">
        <f t="array" ref="L381">IF($K381="","",_xlfn.SWITCH($I381,"Computer",_xlfn.XLOOKUP($K381&amp;"",COMPUTER!$B$3:$B$1009&amp;"",COMPUTER!$I$3:$I$1009,""),"Display",_xlfn.XLOOKUP($K381&amp;"",DISPLAY!$B$3:$B$1000&amp;"",DISPLAY!$J$3:$J$1000,""),"Network Device",_xlfn.XLOOKUP($K381&amp;"",'NETWORK-DEVICES'!$B$3:$B$987&amp;"",'NETWORK-DEVICES'!$I$3:$I$987,""),"Peripheral",_xlfn.XLOOKUP($K381&amp;"",PERIPHERAL!$B$3:$B$954&amp;"",PERIPHERAL!$I$3:$I$954,""),"Utilities",_xlfn.XLOOKUP($K381&amp;"",UTILITIES!$B$3:$B$953&amp;"",UTILITIES!$H$3:$H$953,""),"IOT",_xlfn.XLOOKUP($K381&amp;"",IOT!$B$3:$B$1012&amp;"",IOT!$I$3:$I$1012,""),"SERVER",_xlfn.XLOOKUP($K381&amp;"",SERVER!$B$3:$B$1009&amp;"",SERVER!$I$3:$I$1009,""),""))</f>
        <v/>
      </c>
      <c r="M381" t="str" cm="1">
        <f t="array" ref="M381">IF($K381="","",_xlfn.SWITCH($I381,"Computer",_xlfn.XLOOKUP($K381&amp;"",COMPUTER!$B$3:$B$1009&amp;"",COMPUTER!$J$3:$J$1009,""),"Display",_xlfn.XLOOKUP($K381&amp;"",DISPLAY!$B$3:$B$1000&amp;"",DISPLAY!$K$3:$K$1000,""),"Network Device",_xlfn.XLOOKUP($K381&amp;"",'NETWORK-DEVICES'!$B$3:$B$987&amp;"",'NETWORK-DEVICES'!$I$3:$I$987,""),"Peripheral",_xlfn.XLOOKUP($K381&amp;"",PERIPHERAL!$B$3:$B$954&amp;"",PERIPHERAL!$J$3:$J$954,""),"Utilities",_xlfn.XLOOKUP($K381&amp;"",UTILITIES!$B$3:$B$953&amp;"",UTILITIES!$I$3:$I$953,""),"IOT",_xlfn.XLOOKUP($K381&amp;"",IOT!$B$3:$B$1012&amp;"",IOT!$J$3:$J$1012,""),"Server",_xlfn.XLOOKUP($K381&amp;"",SERVER!$B$3:$B$1009&amp;"",SERVER!$J$3:$J$1009,""),""))</f>
        <v/>
      </c>
      <c r="N381" s="1" t="str" cm="1">
        <f t="array" ref="N381">IF(OR($K381="",$I381="",$J381=""),"",_xlfn.LET(_xlpm.srcCat,_xlfn.SWITCH($I381,"Computer",_xlfn.XLOOKUP($K381&amp;"",COMPUTER!$B$3:$B$1009&amp;"",COMPUTER!$H$3:$H$1009,""),"Display",_xlfn.XLOOKUP($K381&amp;"",DISPLAY!$B$3:$B$1000&amp;"",DISPLAY!$H$3:$H$1000,""),"Network Device",_xlfn.XLOOKUP($K381&amp;"",'NETWORK-DEVICES'!$B$3:$B$987&amp;"",'NETWORK-DEVICES'!$H$3:$H$987,""),"Peripheral",_xlfn.XLOOKUP($K381&amp;"",PERIPHERAL!$B$3:$B$954&amp;"",PERIPHERAL!$H$3:$H$954,""),"Utilities",_xlfn.XLOOKUP($K381&amp;"",UTILITIES!$B$3:$B$953&amp;"",UTILITIES!$G$3:$G$953,""),"IOT",_xlfn.XLOOKUP($K381&amp;"",IOT!$B$3:$B$1012&amp;"",IOT!$H$3:$H$1012,""),"Server",_xlfn.XLOOKUP($K381&amp;"",SERVER!$B$3:$B$1009&amp;"",SERVER!$H$3:$H$1009,""),""),IF(TRIM(_xlpm.srcCat)&lt;&gt;TRIM($J381),"",_xlfn.SWITCH($I381,"Computer",_xlfn.XLOOKUP($K381&amp;"",COMPUTER!$B$3:$B$1009&amp;"",COMPUTER!$K$3:$K$1009,""),"Display",_xlfn.XLOOKUP($K381&amp;"",DISPLAY!$B$3:$B$1000&amp;"",DISPLAY!$L$3:$L$1000,""),"Network Device",_xlfn.XLOOKUP($K381&amp;"",'NETWORK-DEVICES'!$B$3:$B$987&amp;"",'NETWORK-DEVICES'!$K$3:$K$987,""),"Peripheral",_xlfn.XLOOKUP($K381&amp;"",PERIPHERAL!$B$3:$B$954&amp;"",PERIPHERAL!$K$3:$K$954,""),"Utilities",_xlfn.XLOOKUP($K381&amp;"",UTILITIES!$B$3:$B$953&amp;"",UTILITIES!$J$3:$J$953,""),"IOT",_xlfn.XLOOKUP($K381&amp;"",IOT!$B$3:$B$1012&amp;"",IOT!$K$4:$K$1012,""),"Server",_xlfn.XLOOKUP($K381&amp;"",SERVER!$B$3:$B$1009&amp;"",SERVER!$K$3:$K$1009,""),""))))</f>
        <v/>
      </c>
      <c r="O381" s="1" t="str" cm="1">
        <f t="array" ref="O381">IF(OR($K381="",$I381="",$J381=""),"",_xlfn.LET(_xlpm.srcCat,_xlfn.SWITCH($I381,"Computer",_xlfn.XLOOKUP($K381&amp;"",COMPUTER!$B$3:$B$1009&amp;"",COMPUTER!$H$3:$H$1009,""),"Display",_xlfn.XLOOKUP($K381&amp;"",DISPLAY!$B$3:$B$1000&amp;"",DISPLAY!$H$3:$H$1000,""),"Network Device",_xlfn.XLOOKUP($K381&amp;"",'NETWORK-DEVICES'!$B$3:$B$987&amp;"",'NETWORK-DEVICES'!$H$3:$H$987,""),"Peripheral",_xlfn.XLOOKUP($K381&amp;"",PERIPHERAL!$B$3:$B$954&amp;"",PERIPHERAL!$H$3:$H$954,""),"Utilities",_xlfn.XLOOKUP($K381&amp;"",UTILITIES!$B$3:$B$953&amp;"",UTILITIES!$G$3:$G$953,""),"IOT",_xlfn.XLOOKUP($K381&amp;"",IOT!$B$3:$B$1012&amp;"",IOT!$H$3:$H$1012,""),"Server",_xlfn.XLOOKUP($K381&amp;"",SERVER!$B$3:$B$1009&amp;"",SERVER!$H$3:$H$1009,""),""),IF(TRIM(_xlpm.srcCat)&lt;&gt;TRIM($J381),"",_xlfn.SWITCH($I381,"Computer",_xlfn.XLOOKUP($K381&amp;"",COMPUTER!$B$3:$B$1009&amp;"",COMPUTER!$E$3:$E$1009,""),"Display",_xlfn.XLOOKUP($K381&amp;"",DISPLAY!$B$3:$B$1000&amp;"",DISPLAY!$E$3:$E$1000,""),"Network Device",_xlfn.XLOOKUP($K381&amp;"",'NETWORK-DEVICES'!$B$3:$B$987&amp;"",'NETWORK-DEVICES'!$E$3:$E$987,""),"Peripheral",_xlfn.XLOOKUP($K381&amp;"",PERIPHERAL!$B$3:$B$954&amp;"",PERIPHERAL!$E$3:$E$954,""),"Utilities",_xlfn.XLOOKUP($K381&amp;"",UTILITIES!$B$3:$B$953&amp;"",UTILITIES!$E$3:$E$953,""),"IOT",_xlfn.XLOOKUP($K381&amp;"",IOT!$B$3:$B$1012&amp;"",IOT!$E$3:$E$1012,""),"Server",_xlfn.XLOOKUP($K381&amp;"",SERVER!$B$3:$B$1009&amp;"",SERVER!$E$3:$E$1009,""),""))))</f>
        <v/>
      </c>
      <c r="Q381" s="1" t="str" cm="1">
        <f t="array" ref="Q381">IF(OR($K381="",$I381="",$J381=""),"",_xlfn.LET(_xlpm.srcCat,_xlfn.SWITCH($I381,"Computer",_xlfn.XLOOKUP($K381&amp;"",COMPUTER!$B$3:$B$1009&amp;"",COMPUTER!$H$3:$H$1009,""),"Display",_xlfn.XLOOKUP($K381&amp;"",DISPLAY!$B$3:$B$1000&amp;"",DISPLAY!$H$3:$H$1000,""),"Network Device",_xlfn.XLOOKUP($K381&amp;"",'NETWORK-DEVICES'!$B$3:$B$987&amp;"",'NETWORK-DEVICES'!$H$3:$H$987,""),"Peripheral",_xlfn.XLOOKUP($K381&amp;"",PERIPHERAL!$B$3:$B$954&amp;"",PERIPHERAL!$H$3:$H$954,""),"Utilities",_xlfn.XLOOKUP($K381&amp;"",UTILITIES!$B$3:$B$953&amp;"",UTILITIES!$G$3:$G$953,""),"IOT",_xlfn.XLOOKUP($K381&amp;"",IOT!$B$3:$B$1012&amp;"",IOT!$H$3:$H$1012,""),"Server",_xlfn.XLOOKUP($K381&amp;"",SERVER!$B$3:$B$1009&amp;"",SERVER!$H$3:$H$1009,""),""),IF(TRIM(_xlpm.srcCat)&lt;&gt;TRIM($J381),"",_xlfn.SWITCH($I381,"Computer",_xlfn.XLOOKUP($K381&amp;"",COMPUTER!$B$3:$B$1009&amp;"",COMPUTER!$AM$3:$AM$1009,""),"Display",_xlfn.XLOOKUP($K381&amp;"",DISPLAY!$B$3:$B$1000&amp;"",DISPLAY!$V$3:$V$1000,""),"Network Device",_xlfn.XLOOKUP($K381&amp;"",'NETWORK-DEVICES'!$B$3:$B$987&amp;"",'NETWORK-DEVICES'!$AF$3:$AF$987,""),"Peripheral",_xlfn.XLOOKUP($K381&amp;"",PERIPHERAL!$B$3:$B$954&amp;"",PERIPHERAL!$Y$3:$Y$954,""),"Utilities",_xlfn.XLOOKUP($K381&amp;"",UTILITIES!$B$3:$B$953&amp;"",UTILITIES!$O$3:$O$953,""),"IOT",_xlfn.XLOOKUP($K381&amp;"",IOT!$B$3:$B$1012&amp;"",IOT!$AB$3:$AB$1012,""),"Server",_xlfn.XLOOKUP($K381&amp;"",SERVER!$B$3:$B$1009&amp;"",SERVER!$AB$3:$AB$1009,""),""))))</f>
        <v/>
      </c>
      <c r="R381" s="43" t="str">
        <f>IF(tbl_handover[[#This Row],[Asset Code]]="","",COUNTIF(tbl_handover[Asset Code],tbl_handover[[#This Row],[Asset Code]]))</f>
        <v/>
      </c>
    </row>
    <row r="382" spans="1:18" x14ac:dyDescent="0.25">
      <c r="A382" s="43" t="str">
        <f>IF(B382&lt;&gt;"",SUBTOTAL(3,$B$1:B381),"")</f>
        <v/>
      </c>
      <c r="C382" s="74"/>
      <c r="D382" s="74"/>
      <c r="G382" s="1"/>
      <c r="K382" s="42"/>
      <c r="L382" t="str" cm="1">
        <f t="array" ref="L382">IF($K382="","",_xlfn.SWITCH($I382,"Computer",_xlfn.XLOOKUP($K382&amp;"",COMPUTER!$B$3:$B$1009&amp;"",COMPUTER!$I$3:$I$1009,""),"Display",_xlfn.XLOOKUP($K382&amp;"",DISPLAY!$B$3:$B$1000&amp;"",DISPLAY!$J$3:$J$1000,""),"Network Device",_xlfn.XLOOKUP($K382&amp;"",'NETWORK-DEVICES'!$B$3:$B$987&amp;"",'NETWORK-DEVICES'!$I$3:$I$987,""),"Peripheral",_xlfn.XLOOKUP($K382&amp;"",PERIPHERAL!$B$3:$B$954&amp;"",PERIPHERAL!$I$3:$I$954,""),"Utilities",_xlfn.XLOOKUP($K382&amp;"",UTILITIES!$B$3:$B$953&amp;"",UTILITIES!$H$3:$H$953,""),"IOT",_xlfn.XLOOKUP($K382&amp;"",IOT!$B$3:$B$1012&amp;"",IOT!$I$3:$I$1012,""),"SERVER",_xlfn.XLOOKUP($K382&amp;"",SERVER!$B$3:$B$1009&amp;"",SERVER!$I$3:$I$1009,""),""))</f>
        <v/>
      </c>
      <c r="M382" t="str" cm="1">
        <f t="array" ref="M382">IF($K382="","",_xlfn.SWITCH($I382,"Computer",_xlfn.XLOOKUP($K382&amp;"",COMPUTER!$B$3:$B$1009&amp;"",COMPUTER!$J$3:$J$1009,""),"Display",_xlfn.XLOOKUP($K382&amp;"",DISPLAY!$B$3:$B$1000&amp;"",DISPLAY!$K$3:$K$1000,""),"Network Device",_xlfn.XLOOKUP($K382&amp;"",'NETWORK-DEVICES'!$B$3:$B$987&amp;"",'NETWORK-DEVICES'!$I$3:$I$987,""),"Peripheral",_xlfn.XLOOKUP($K382&amp;"",PERIPHERAL!$B$3:$B$954&amp;"",PERIPHERAL!$J$3:$J$954,""),"Utilities",_xlfn.XLOOKUP($K382&amp;"",UTILITIES!$B$3:$B$953&amp;"",UTILITIES!$I$3:$I$953,""),"IOT",_xlfn.XLOOKUP($K382&amp;"",IOT!$B$3:$B$1012&amp;"",IOT!$J$3:$J$1012,""),"Server",_xlfn.XLOOKUP($K382&amp;"",SERVER!$B$3:$B$1009&amp;"",SERVER!$J$3:$J$1009,""),""))</f>
        <v/>
      </c>
      <c r="N382" s="1" t="str" cm="1">
        <f t="array" ref="N382">IF(OR($K382="",$I382="",$J382=""),"",_xlfn.LET(_xlpm.srcCat,_xlfn.SWITCH($I382,"Computer",_xlfn.XLOOKUP($K382&amp;"",COMPUTER!$B$3:$B$1009&amp;"",COMPUTER!$H$3:$H$1009,""),"Display",_xlfn.XLOOKUP($K382&amp;"",DISPLAY!$B$3:$B$1000&amp;"",DISPLAY!$H$3:$H$1000,""),"Network Device",_xlfn.XLOOKUP($K382&amp;"",'NETWORK-DEVICES'!$B$3:$B$987&amp;"",'NETWORK-DEVICES'!$H$3:$H$987,""),"Peripheral",_xlfn.XLOOKUP($K382&amp;"",PERIPHERAL!$B$3:$B$954&amp;"",PERIPHERAL!$H$3:$H$954,""),"Utilities",_xlfn.XLOOKUP($K382&amp;"",UTILITIES!$B$3:$B$953&amp;"",UTILITIES!$G$3:$G$953,""),"IOT",_xlfn.XLOOKUP($K382&amp;"",IOT!$B$3:$B$1012&amp;"",IOT!$H$3:$H$1012,""),"Server",_xlfn.XLOOKUP($K382&amp;"",SERVER!$B$3:$B$1009&amp;"",SERVER!$H$3:$H$1009,""),""),IF(TRIM(_xlpm.srcCat)&lt;&gt;TRIM($J382),"",_xlfn.SWITCH($I382,"Computer",_xlfn.XLOOKUP($K382&amp;"",COMPUTER!$B$3:$B$1009&amp;"",COMPUTER!$K$3:$K$1009,""),"Display",_xlfn.XLOOKUP($K382&amp;"",DISPLAY!$B$3:$B$1000&amp;"",DISPLAY!$L$3:$L$1000,""),"Network Device",_xlfn.XLOOKUP($K382&amp;"",'NETWORK-DEVICES'!$B$3:$B$987&amp;"",'NETWORK-DEVICES'!$K$3:$K$987,""),"Peripheral",_xlfn.XLOOKUP($K382&amp;"",PERIPHERAL!$B$3:$B$954&amp;"",PERIPHERAL!$K$3:$K$954,""),"Utilities",_xlfn.XLOOKUP($K382&amp;"",UTILITIES!$B$3:$B$953&amp;"",UTILITIES!$J$3:$J$953,""),"IOT",_xlfn.XLOOKUP($K382&amp;"",IOT!$B$3:$B$1012&amp;"",IOT!$K$4:$K$1012,""),"Server",_xlfn.XLOOKUP($K382&amp;"",SERVER!$B$3:$B$1009&amp;"",SERVER!$K$3:$K$1009,""),""))))</f>
        <v/>
      </c>
      <c r="O382" s="1" t="str" cm="1">
        <f t="array" ref="O382">IF(OR($K382="",$I382="",$J382=""),"",_xlfn.LET(_xlpm.srcCat,_xlfn.SWITCH($I382,"Computer",_xlfn.XLOOKUP($K382&amp;"",COMPUTER!$B$3:$B$1009&amp;"",COMPUTER!$H$3:$H$1009,""),"Display",_xlfn.XLOOKUP($K382&amp;"",DISPLAY!$B$3:$B$1000&amp;"",DISPLAY!$H$3:$H$1000,""),"Network Device",_xlfn.XLOOKUP($K382&amp;"",'NETWORK-DEVICES'!$B$3:$B$987&amp;"",'NETWORK-DEVICES'!$H$3:$H$987,""),"Peripheral",_xlfn.XLOOKUP($K382&amp;"",PERIPHERAL!$B$3:$B$954&amp;"",PERIPHERAL!$H$3:$H$954,""),"Utilities",_xlfn.XLOOKUP($K382&amp;"",UTILITIES!$B$3:$B$953&amp;"",UTILITIES!$G$3:$G$953,""),"IOT",_xlfn.XLOOKUP($K382&amp;"",IOT!$B$3:$B$1012&amp;"",IOT!$H$3:$H$1012,""),"Server",_xlfn.XLOOKUP($K382&amp;"",SERVER!$B$3:$B$1009&amp;"",SERVER!$H$3:$H$1009,""),""),IF(TRIM(_xlpm.srcCat)&lt;&gt;TRIM($J382),"",_xlfn.SWITCH($I382,"Computer",_xlfn.XLOOKUP($K382&amp;"",COMPUTER!$B$3:$B$1009&amp;"",COMPUTER!$E$3:$E$1009,""),"Display",_xlfn.XLOOKUP($K382&amp;"",DISPLAY!$B$3:$B$1000&amp;"",DISPLAY!$E$3:$E$1000,""),"Network Device",_xlfn.XLOOKUP($K382&amp;"",'NETWORK-DEVICES'!$B$3:$B$987&amp;"",'NETWORK-DEVICES'!$E$3:$E$987,""),"Peripheral",_xlfn.XLOOKUP($K382&amp;"",PERIPHERAL!$B$3:$B$954&amp;"",PERIPHERAL!$E$3:$E$954,""),"Utilities",_xlfn.XLOOKUP($K382&amp;"",UTILITIES!$B$3:$B$953&amp;"",UTILITIES!$E$3:$E$953,""),"IOT",_xlfn.XLOOKUP($K382&amp;"",IOT!$B$3:$B$1012&amp;"",IOT!$E$3:$E$1012,""),"Server",_xlfn.XLOOKUP($K382&amp;"",SERVER!$B$3:$B$1009&amp;"",SERVER!$E$3:$E$1009,""),""))))</f>
        <v/>
      </c>
      <c r="Q382" s="1" t="str" cm="1">
        <f t="array" ref="Q382">IF(OR($K382="",$I382="",$J382=""),"",_xlfn.LET(_xlpm.srcCat,_xlfn.SWITCH($I382,"Computer",_xlfn.XLOOKUP($K382&amp;"",COMPUTER!$B$3:$B$1009&amp;"",COMPUTER!$H$3:$H$1009,""),"Display",_xlfn.XLOOKUP($K382&amp;"",DISPLAY!$B$3:$B$1000&amp;"",DISPLAY!$H$3:$H$1000,""),"Network Device",_xlfn.XLOOKUP($K382&amp;"",'NETWORK-DEVICES'!$B$3:$B$987&amp;"",'NETWORK-DEVICES'!$H$3:$H$987,""),"Peripheral",_xlfn.XLOOKUP($K382&amp;"",PERIPHERAL!$B$3:$B$954&amp;"",PERIPHERAL!$H$3:$H$954,""),"Utilities",_xlfn.XLOOKUP($K382&amp;"",UTILITIES!$B$3:$B$953&amp;"",UTILITIES!$G$3:$G$953,""),"IOT",_xlfn.XLOOKUP($K382&amp;"",IOT!$B$3:$B$1012&amp;"",IOT!$H$3:$H$1012,""),"Server",_xlfn.XLOOKUP($K382&amp;"",SERVER!$B$3:$B$1009&amp;"",SERVER!$H$3:$H$1009,""),""),IF(TRIM(_xlpm.srcCat)&lt;&gt;TRIM($J382),"",_xlfn.SWITCH($I382,"Computer",_xlfn.XLOOKUP($K382&amp;"",COMPUTER!$B$3:$B$1009&amp;"",COMPUTER!$AM$3:$AM$1009,""),"Display",_xlfn.XLOOKUP($K382&amp;"",DISPLAY!$B$3:$B$1000&amp;"",DISPLAY!$V$3:$V$1000,""),"Network Device",_xlfn.XLOOKUP($K382&amp;"",'NETWORK-DEVICES'!$B$3:$B$987&amp;"",'NETWORK-DEVICES'!$AF$3:$AF$987,""),"Peripheral",_xlfn.XLOOKUP($K382&amp;"",PERIPHERAL!$B$3:$B$954&amp;"",PERIPHERAL!$Y$3:$Y$954,""),"Utilities",_xlfn.XLOOKUP($K382&amp;"",UTILITIES!$B$3:$B$953&amp;"",UTILITIES!$O$3:$O$953,""),"IOT",_xlfn.XLOOKUP($K382&amp;"",IOT!$B$3:$B$1012&amp;"",IOT!$AB$3:$AB$1012,""),"Server",_xlfn.XLOOKUP($K382&amp;"",SERVER!$B$3:$B$1009&amp;"",SERVER!$AB$3:$AB$1009,""),""))))</f>
        <v/>
      </c>
      <c r="R382" s="43" t="str">
        <f>IF(tbl_handover[[#This Row],[Asset Code]]="","",COUNTIF(tbl_handover[Asset Code],tbl_handover[[#This Row],[Asset Code]]))</f>
        <v/>
      </c>
    </row>
    <row r="383" spans="1:18" x14ac:dyDescent="0.25">
      <c r="A383" s="43" t="str">
        <f>IF(B383&lt;&gt;"",SUBTOTAL(3,$B$1:B382),"")</f>
        <v/>
      </c>
      <c r="C383" s="74"/>
      <c r="D383" s="74"/>
      <c r="G383" s="1"/>
      <c r="K383" s="42"/>
      <c r="L383" t="str" cm="1">
        <f t="array" ref="L383">IF($K383="","",_xlfn.SWITCH($I383,"Computer",_xlfn.XLOOKUP($K383&amp;"",COMPUTER!$B$3:$B$1009&amp;"",COMPUTER!$I$3:$I$1009,""),"Display",_xlfn.XLOOKUP($K383&amp;"",DISPLAY!$B$3:$B$1000&amp;"",DISPLAY!$J$3:$J$1000,""),"Network Device",_xlfn.XLOOKUP($K383&amp;"",'NETWORK-DEVICES'!$B$3:$B$987&amp;"",'NETWORK-DEVICES'!$I$3:$I$987,""),"Peripheral",_xlfn.XLOOKUP($K383&amp;"",PERIPHERAL!$B$3:$B$954&amp;"",PERIPHERAL!$I$3:$I$954,""),"Utilities",_xlfn.XLOOKUP($K383&amp;"",UTILITIES!$B$3:$B$953&amp;"",UTILITIES!$H$3:$H$953,""),"IOT",_xlfn.XLOOKUP($K383&amp;"",IOT!$B$3:$B$1012&amp;"",IOT!$I$3:$I$1012,""),"SERVER",_xlfn.XLOOKUP($K383&amp;"",SERVER!$B$3:$B$1009&amp;"",SERVER!$I$3:$I$1009,""),""))</f>
        <v/>
      </c>
      <c r="M383" t="str" cm="1">
        <f t="array" ref="M383">IF($K383="","",_xlfn.SWITCH($I383,"Computer",_xlfn.XLOOKUP($K383&amp;"",COMPUTER!$B$3:$B$1009&amp;"",COMPUTER!$J$3:$J$1009,""),"Display",_xlfn.XLOOKUP($K383&amp;"",DISPLAY!$B$3:$B$1000&amp;"",DISPLAY!$K$3:$K$1000,""),"Network Device",_xlfn.XLOOKUP($K383&amp;"",'NETWORK-DEVICES'!$B$3:$B$987&amp;"",'NETWORK-DEVICES'!$I$3:$I$987,""),"Peripheral",_xlfn.XLOOKUP($K383&amp;"",PERIPHERAL!$B$3:$B$954&amp;"",PERIPHERAL!$J$3:$J$954,""),"Utilities",_xlfn.XLOOKUP($K383&amp;"",UTILITIES!$B$3:$B$953&amp;"",UTILITIES!$I$3:$I$953,""),"IOT",_xlfn.XLOOKUP($K383&amp;"",IOT!$B$3:$B$1012&amp;"",IOT!$J$3:$J$1012,""),"Server",_xlfn.XLOOKUP($K383&amp;"",SERVER!$B$3:$B$1009&amp;"",SERVER!$J$3:$J$1009,""),""))</f>
        <v/>
      </c>
      <c r="N383" s="1" t="str" cm="1">
        <f t="array" ref="N383">IF(OR($K383="",$I383="",$J383=""),"",_xlfn.LET(_xlpm.srcCat,_xlfn.SWITCH($I383,"Computer",_xlfn.XLOOKUP($K383&amp;"",COMPUTER!$B$3:$B$1009&amp;"",COMPUTER!$H$3:$H$1009,""),"Display",_xlfn.XLOOKUP($K383&amp;"",DISPLAY!$B$3:$B$1000&amp;"",DISPLAY!$H$3:$H$1000,""),"Network Device",_xlfn.XLOOKUP($K383&amp;"",'NETWORK-DEVICES'!$B$3:$B$987&amp;"",'NETWORK-DEVICES'!$H$3:$H$987,""),"Peripheral",_xlfn.XLOOKUP($K383&amp;"",PERIPHERAL!$B$3:$B$954&amp;"",PERIPHERAL!$H$3:$H$954,""),"Utilities",_xlfn.XLOOKUP($K383&amp;"",UTILITIES!$B$3:$B$953&amp;"",UTILITIES!$G$3:$G$953,""),"IOT",_xlfn.XLOOKUP($K383&amp;"",IOT!$B$3:$B$1012&amp;"",IOT!$H$3:$H$1012,""),"Server",_xlfn.XLOOKUP($K383&amp;"",SERVER!$B$3:$B$1009&amp;"",SERVER!$H$3:$H$1009,""),""),IF(TRIM(_xlpm.srcCat)&lt;&gt;TRIM($J383),"",_xlfn.SWITCH($I383,"Computer",_xlfn.XLOOKUP($K383&amp;"",COMPUTER!$B$3:$B$1009&amp;"",COMPUTER!$K$3:$K$1009,""),"Display",_xlfn.XLOOKUP($K383&amp;"",DISPLAY!$B$3:$B$1000&amp;"",DISPLAY!$L$3:$L$1000,""),"Network Device",_xlfn.XLOOKUP($K383&amp;"",'NETWORK-DEVICES'!$B$3:$B$987&amp;"",'NETWORK-DEVICES'!$K$3:$K$987,""),"Peripheral",_xlfn.XLOOKUP($K383&amp;"",PERIPHERAL!$B$3:$B$954&amp;"",PERIPHERAL!$K$3:$K$954,""),"Utilities",_xlfn.XLOOKUP($K383&amp;"",UTILITIES!$B$3:$B$953&amp;"",UTILITIES!$J$3:$J$953,""),"IOT",_xlfn.XLOOKUP($K383&amp;"",IOT!$B$3:$B$1012&amp;"",IOT!$K$4:$K$1012,""),"Server",_xlfn.XLOOKUP($K383&amp;"",SERVER!$B$3:$B$1009&amp;"",SERVER!$K$3:$K$1009,""),""))))</f>
        <v/>
      </c>
      <c r="O383" s="1" t="str" cm="1">
        <f t="array" ref="O383">IF(OR($K383="",$I383="",$J383=""),"",_xlfn.LET(_xlpm.srcCat,_xlfn.SWITCH($I383,"Computer",_xlfn.XLOOKUP($K383&amp;"",COMPUTER!$B$3:$B$1009&amp;"",COMPUTER!$H$3:$H$1009,""),"Display",_xlfn.XLOOKUP($K383&amp;"",DISPLAY!$B$3:$B$1000&amp;"",DISPLAY!$H$3:$H$1000,""),"Network Device",_xlfn.XLOOKUP($K383&amp;"",'NETWORK-DEVICES'!$B$3:$B$987&amp;"",'NETWORK-DEVICES'!$H$3:$H$987,""),"Peripheral",_xlfn.XLOOKUP($K383&amp;"",PERIPHERAL!$B$3:$B$954&amp;"",PERIPHERAL!$H$3:$H$954,""),"Utilities",_xlfn.XLOOKUP($K383&amp;"",UTILITIES!$B$3:$B$953&amp;"",UTILITIES!$G$3:$G$953,""),"IOT",_xlfn.XLOOKUP($K383&amp;"",IOT!$B$3:$B$1012&amp;"",IOT!$H$3:$H$1012,""),"Server",_xlfn.XLOOKUP($K383&amp;"",SERVER!$B$3:$B$1009&amp;"",SERVER!$H$3:$H$1009,""),""),IF(TRIM(_xlpm.srcCat)&lt;&gt;TRIM($J383),"",_xlfn.SWITCH($I383,"Computer",_xlfn.XLOOKUP($K383&amp;"",COMPUTER!$B$3:$B$1009&amp;"",COMPUTER!$E$3:$E$1009,""),"Display",_xlfn.XLOOKUP($K383&amp;"",DISPLAY!$B$3:$B$1000&amp;"",DISPLAY!$E$3:$E$1000,""),"Network Device",_xlfn.XLOOKUP($K383&amp;"",'NETWORK-DEVICES'!$B$3:$B$987&amp;"",'NETWORK-DEVICES'!$E$3:$E$987,""),"Peripheral",_xlfn.XLOOKUP($K383&amp;"",PERIPHERAL!$B$3:$B$954&amp;"",PERIPHERAL!$E$3:$E$954,""),"Utilities",_xlfn.XLOOKUP($K383&amp;"",UTILITIES!$B$3:$B$953&amp;"",UTILITIES!$E$3:$E$953,""),"IOT",_xlfn.XLOOKUP($K383&amp;"",IOT!$B$3:$B$1012&amp;"",IOT!$E$3:$E$1012,""),"Server",_xlfn.XLOOKUP($K383&amp;"",SERVER!$B$3:$B$1009&amp;"",SERVER!$E$3:$E$1009,""),""))))</f>
        <v/>
      </c>
      <c r="Q383" s="1" t="str" cm="1">
        <f t="array" ref="Q383">IF(OR($K383="",$I383="",$J383=""),"",_xlfn.LET(_xlpm.srcCat,_xlfn.SWITCH($I383,"Computer",_xlfn.XLOOKUP($K383&amp;"",COMPUTER!$B$3:$B$1009&amp;"",COMPUTER!$H$3:$H$1009,""),"Display",_xlfn.XLOOKUP($K383&amp;"",DISPLAY!$B$3:$B$1000&amp;"",DISPLAY!$H$3:$H$1000,""),"Network Device",_xlfn.XLOOKUP($K383&amp;"",'NETWORK-DEVICES'!$B$3:$B$987&amp;"",'NETWORK-DEVICES'!$H$3:$H$987,""),"Peripheral",_xlfn.XLOOKUP($K383&amp;"",PERIPHERAL!$B$3:$B$954&amp;"",PERIPHERAL!$H$3:$H$954,""),"Utilities",_xlfn.XLOOKUP($K383&amp;"",UTILITIES!$B$3:$B$953&amp;"",UTILITIES!$G$3:$G$953,""),"IOT",_xlfn.XLOOKUP($K383&amp;"",IOT!$B$3:$B$1012&amp;"",IOT!$H$3:$H$1012,""),"Server",_xlfn.XLOOKUP($K383&amp;"",SERVER!$B$3:$B$1009&amp;"",SERVER!$H$3:$H$1009,""),""),IF(TRIM(_xlpm.srcCat)&lt;&gt;TRIM($J383),"",_xlfn.SWITCH($I383,"Computer",_xlfn.XLOOKUP($K383&amp;"",COMPUTER!$B$3:$B$1009&amp;"",COMPUTER!$AM$3:$AM$1009,""),"Display",_xlfn.XLOOKUP($K383&amp;"",DISPLAY!$B$3:$B$1000&amp;"",DISPLAY!$V$3:$V$1000,""),"Network Device",_xlfn.XLOOKUP($K383&amp;"",'NETWORK-DEVICES'!$B$3:$B$987&amp;"",'NETWORK-DEVICES'!$AF$3:$AF$987,""),"Peripheral",_xlfn.XLOOKUP($K383&amp;"",PERIPHERAL!$B$3:$B$954&amp;"",PERIPHERAL!$Y$3:$Y$954,""),"Utilities",_xlfn.XLOOKUP($K383&amp;"",UTILITIES!$B$3:$B$953&amp;"",UTILITIES!$O$3:$O$953,""),"IOT",_xlfn.XLOOKUP($K383&amp;"",IOT!$B$3:$B$1012&amp;"",IOT!$AB$3:$AB$1012,""),"Server",_xlfn.XLOOKUP($K383&amp;"",SERVER!$B$3:$B$1009&amp;"",SERVER!$AB$3:$AB$1009,""),""))))</f>
        <v/>
      </c>
      <c r="R383" s="43" t="str">
        <f>IF(tbl_handover[[#This Row],[Asset Code]]="","",COUNTIF(tbl_handover[Asset Code],tbl_handover[[#This Row],[Asset Code]]))</f>
        <v/>
      </c>
    </row>
    <row r="384" spans="1:18" x14ac:dyDescent="0.25">
      <c r="A384" s="43" t="str">
        <f>IF(B384&lt;&gt;"",SUBTOTAL(3,$B$1:B383),"")</f>
        <v/>
      </c>
      <c r="C384" s="74"/>
      <c r="D384" s="74"/>
      <c r="G384" s="1"/>
      <c r="K384" s="42"/>
      <c r="L384" t="str" cm="1">
        <f t="array" ref="L384">IF($K384="","",_xlfn.SWITCH($I384,"Computer",_xlfn.XLOOKUP($K384&amp;"",COMPUTER!$B$3:$B$1009&amp;"",COMPUTER!$I$3:$I$1009,""),"Display",_xlfn.XLOOKUP($K384&amp;"",DISPLAY!$B$3:$B$1000&amp;"",DISPLAY!$J$3:$J$1000,""),"Network Device",_xlfn.XLOOKUP($K384&amp;"",'NETWORK-DEVICES'!$B$3:$B$987&amp;"",'NETWORK-DEVICES'!$I$3:$I$987,""),"Peripheral",_xlfn.XLOOKUP($K384&amp;"",PERIPHERAL!$B$3:$B$954&amp;"",PERIPHERAL!$I$3:$I$954,""),"Utilities",_xlfn.XLOOKUP($K384&amp;"",UTILITIES!$B$3:$B$953&amp;"",UTILITIES!$H$3:$H$953,""),"IOT",_xlfn.XLOOKUP($K384&amp;"",IOT!$B$3:$B$1012&amp;"",IOT!$I$3:$I$1012,""),"SERVER",_xlfn.XLOOKUP($K384&amp;"",SERVER!$B$3:$B$1009&amp;"",SERVER!$I$3:$I$1009,""),""))</f>
        <v/>
      </c>
      <c r="M384" t="str" cm="1">
        <f t="array" ref="M384">IF($K384="","",_xlfn.SWITCH($I384,"Computer",_xlfn.XLOOKUP($K384&amp;"",COMPUTER!$B$3:$B$1009&amp;"",COMPUTER!$J$3:$J$1009,""),"Display",_xlfn.XLOOKUP($K384&amp;"",DISPLAY!$B$3:$B$1000&amp;"",DISPLAY!$K$3:$K$1000,""),"Network Device",_xlfn.XLOOKUP($K384&amp;"",'NETWORK-DEVICES'!$B$3:$B$987&amp;"",'NETWORK-DEVICES'!$I$3:$I$987,""),"Peripheral",_xlfn.XLOOKUP($K384&amp;"",PERIPHERAL!$B$3:$B$954&amp;"",PERIPHERAL!$J$3:$J$954,""),"Utilities",_xlfn.XLOOKUP($K384&amp;"",UTILITIES!$B$3:$B$953&amp;"",UTILITIES!$I$3:$I$953,""),"IOT",_xlfn.XLOOKUP($K384&amp;"",IOT!$B$3:$B$1012&amp;"",IOT!$J$3:$J$1012,""),"Server",_xlfn.XLOOKUP($K384&amp;"",SERVER!$B$3:$B$1009&amp;"",SERVER!$J$3:$J$1009,""),""))</f>
        <v/>
      </c>
      <c r="N384" s="1" t="str" cm="1">
        <f t="array" ref="N384">IF(OR($K384="",$I384="",$J384=""),"",_xlfn.LET(_xlpm.srcCat,_xlfn.SWITCH($I384,"Computer",_xlfn.XLOOKUP($K384&amp;"",COMPUTER!$B$3:$B$1009&amp;"",COMPUTER!$H$3:$H$1009,""),"Display",_xlfn.XLOOKUP($K384&amp;"",DISPLAY!$B$3:$B$1000&amp;"",DISPLAY!$H$3:$H$1000,""),"Network Device",_xlfn.XLOOKUP($K384&amp;"",'NETWORK-DEVICES'!$B$3:$B$987&amp;"",'NETWORK-DEVICES'!$H$3:$H$987,""),"Peripheral",_xlfn.XLOOKUP($K384&amp;"",PERIPHERAL!$B$3:$B$954&amp;"",PERIPHERAL!$H$3:$H$954,""),"Utilities",_xlfn.XLOOKUP($K384&amp;"",UTILITIES!$B$3:$B$953&amp;"",UTILITIES!$G$3:$G$953,""),"IOT",_xlfn.XLOOKUP($K384&amp;"",IOT!$B$3:$B$1012&amp;"",IOT!$H$3:$H$1012,""),"Server",_xlfn.XLOOKUP($K384&amp;"",SERVER!$B$3:$B$1009&amp;"",SERVER!$H$3:$H$1009,""),""),IF(TRIM(_xlpm.srcCat)&lt;&gt;TRIM($J384),"",_xlfn.SWITCH($I384,"Computer",_xlfn.XLOOKUP($K384&amp;"",COMPUTER!$B$3:$B$1009&amp;"",COMPUTER!$K$3:$K$1009,""),"Display",_xlfn.XLOOKUP($K384&amp;"",DISPLAY!$B$3:$B$1000&amp;"",DISPLAY!$L$3:$L$1000,""),"Network Device",_xlfn.XLOOKUP($K384&amp;"",'NETWORK-DEVICES'!$B$3:$B$987&amp;"",'NETWORK-DEVICES'!$K$3:$K$987,""),"Peripheral",_xlfn.XLOOKUP($K384&amp;"",PERIPHERAL!$B$3:$B$954&amp;"",PERIPHERAL!$K$3:$K$954,""),"Utilities",_xlfn.XLOOKUP($K384&amp;"",UTILITIES!$B$3:$B$953&amp;"",UTILITIES!$J$3:$J$953,""),"IOT",_xlfn.XLOOKUP($K384&amp;"",IOT!$B$3:$B$1012&amp;"",IOT!$K$4:$K$1012,""),"Server",_xlfn.XLOOKUP($K384&amp;"",SERVER!$B$3:$B$1009&amp;"",SERVER!$K$3:$K$1009,""),""))))</f>
        <v/>
      </c>
      <c r="O384" s="1" t="str" cm="1">
        <f t="array" ref="O384">IF(OR($K384="",$I384="",$J384=""),"",_xlfn.LET(_xlpm.srcCat,_xlfn.SWITCH($I384,"Computer",_xlfn.XLOOKUP($K384&amp;"",COMPUTER!$B$3:$B$1009&amp;"",COMPUTER!$H$3:$H$1009,""),"Display",_xlfn.XLOOKUP($K384&amp;"",DISPLAY!$B$3:$B$1000&amp;"",DISPLAY!$H$3:$H$1000,""),"Network Device",_xlfn.XLOOKUP($K384&amp;"",'NETWORK-DEVICES'!$B$3:$B$987&amp;"",'NETWORK-DEVICES'!$H$3:$H$987,""),"Peripheral",_xlfn.XLOOKUP($K384&amp;"",PERIPHERAL!$B$3:$B$954&amp;"",PERIPHERAL!$H$3:$H$954,""),"Utilities",_xlfn.XLOOKUP($K384&amp;"",UTILITIES!$B$3:$B$953&amp;"",UTILITIES!$G$3:$G$953,""),"IOT",_xlfn.XLOOKUP($K384&amp;"",IOT!$B$3:$B$1012&amp;"",IOT!$H$3:$H$1012,""),"Server",_xlfn.XLOOKUP($K384&amp;"",SERVER!$B$3:$B$1009&amp;"",SERVER!$H$3:$H$1009,""),""),IF(TRIM(_xlpm.srcCat)&lt;&gt;TRIM($J384),"",_xlfn.SWITCH($I384,"Computer",_xlfn.XLOOKUP($K384&amp;"",COMPUTER!$B$3:$B$1009&amp;"",COMPUTER!$E$3:$E$1009,""),"Display",_xlfn.XLOOKUP($K384&amp;"",DISPLAY!$B$3:$B$1000&amp;"",DISPLAY!$E$3:$E$1000,""),"Network Device",_xlfn.XLOOKUP($K384&amp;"",'NETWORK-DEVICES'!$B$3:$B$987&amp;"",'NETWORK-DEVICES'!$E$3:$E$987,""),"Peripheral",_xlfn.XLOOKUP($K384&amp;"",PERIPHERAL!$B$3:$B$954&amp;"",PERIPHERAL!$E$3:$E$954,""),"Utilities",_xlfn.XLOOKUP($K384&amp;"",UTILITIES!$B$3:$B$953&amp;"",UTILITIES!$E$3:$E$953,""),"IOT",_xlfn.XLOOKUP($K384&amp;"",IOT!$B$3:$B$1012&amp;"",IOT!$E$3:$E$1012,""),"Server",_xlfn.XLOOKUP($K384&amp;"",SERVER!$B$3:$B$1009&amp;"",SERVER!$E$3:$E$1009,""),""))))</f>
        <v/>
      </c>
      <c r="Q384" s="1" t="str" cm="1">
        <f t="array" ref="Q384">IF(OR($K384="",$I384="",$J384=""),"",_xlfn.LET(_xlpm.srcCat,_xlfn.SWITCH($I384,"Computer",_xlfn.XLOOKUP($K384&amp;"",COMPUTER!$B$3:$B$1009&amp;"",COMPUTER!$H$3:$H$1009,""),"Display",_xlfn.XLOOKUP($K384&amp;"",DISPLAY!$B$3:$B$1000&amp;"",DISPLAY!$H$3:$H$1000,""),"Network Device",_xlfn.XLOOKUP($K384&amp;"",'NETWORK-DEVICES'!$B$3:$B$987&amp;"",'NETWORK-DEVICES'!$H$3:$H$987,""),"Peripheral",_xlfn.XLOOKUP($K384&amp;"",PERIPHERAL!$B$3:$B$954&amp;"",PERIPHERAL!$H$3:$H$954,""),"Utilities",_xlfn.XLOOKUP($K384&amp;"",UTILITIES!$B$3:$B$953&amp;"",UTILITIES!$G$3:$G$953,""),"IOT",_xlfn.XLOOKUP($K384&amp;"",IOT!$B$3:$B$1012&amp;"",IOT!$H$3:$H$1012,""),"Server",_xlfn.XLOOKUP($K384&amp;"",SERVER!$B$3:$B$1009&amp;"",SERVER!$H$3:$H$1009,""),""),IF(TRIM(_xlpm.srcCat)&lt;&gt;TRIM($J384),"",_xlfn.SWITCH($I384,"Computer",_xlfn.XLOOKUP($K384&amp;"",COMPUTER!$B$3:$B$1009&amp;"",COMPUTER!$AM$3:$AM$1009,""),"Display",_xlfn.XLOOKUP($K384&amp;"",DISPLAY!$B$3:$B$1000&amp;"",DISPLAY!$V$3:$V$1000,""),"Network Device",_xlfn.XLOOKUP($K384&amp;"",'NETWORK-DEVICES'!$B$3:$B$987&amp;"",'NETWORK-DEVICES'!$AF$3:$AF$987,""),"Peripheral",_xlfn.XLOOKUP($K384&amp;"",PERIPHERAL!$B$3:$B$954&amp;"",PERIPHERAL!$Y$3:$Y$954,""),"Utilities",_xlfn.XLOOKUP($K384&amp;"",UTILITIES!$B$3:$B$953&amp;"",UTILITIES!$O$3:$O$953,""),"IOT",_xlfn.XLOOKUP($K384&amp;"",IOT!$B$3:$B$1012&amp;"",IOT!$AB$3:$AB$1012,""),"Server",_xlfn.XLOOKUP($K384&amp;"",SERVER!$B$3:$B$1009&amp;"",SERVER!$AB$3:$AB$1009,""),""))))</f>
        <v/>
      </c>
      <c r="R384" s="43" t="str">
        <f>IF(tbl_handover[[#This Row],[Asset Code]]="","",COUNTIF(tbl_handover[Asset Code],tbl_handover[[#This Row],[Asset Code]]))</f>
        <v/>
      </c>
    </row>
    <row r="385" spans="1:18" x14ac:dyDescent="0.25">
      <c r="A385" s="43" t="str">
        <f>IF(B385&lt;&gt;"",SUBTOTAL(3,$B$1:B384),"")</f>
        <v/>
      </c>
      <c r="C385" s="74"/>
      <c r="D385" s="74"/>
      <c r="G385" s="1"/>
      <c r="K385" s="42"/>
      <c r="L385" t="str" cm="1">
        <f t="array" ref="L385">IF($K385="","",_xlfn.SWITCH($I385,"Computer",_xlfn.XLOOKUP($K385&amp;"",COMPUTER!$B$3:$B$1009&amp;"",COMPUTER!$I$3:$I$1009,""),"Display",_xlfn.XLOOKUP($K385&amp;"",DISPLAY!$B$3:$B$1000&amp;"",DISPLAY!$J$3:$J$1000,""),"Network Device",_xlfn.XLOOKUP($K385&amp;"",'NETWORK-DEVICES'!$B$3:$B$987&amp;"",'NETWORK-DEVICES'!$I$3:$I$987,""),"Peripheral",_xlfn.XLOOKUP($K385&amp;"",PERIPHERAL!$B$3:$B$954&amp;"",PERIPHERAL!$I$3:$I$954,""),"Utilities",_xlfn.XLOOKUP($K385&amp;"",UTILITIES!$B$3:$B$953&amp;"",UTILITIES!$H$3:$H$953,""),"IOT",_xlfn.XLOOKUP($K385&amp;"",IOT!$B$3:$B$1012&amp;"",IOT!$I$3:$I$1012,""),"SERVER",_xlfn.XLOOKUP($K385&amp;"",SERVER!$B$3:$B$1009&amp;"",SERVER!$I$3:$I$1009,""),""))</f>
        <v/>
      </c>
      <c r="M385" t="str" cm="1">
        <f t="array" ref="M385">IF($K385="","",_xlfn.SWITCH($I385,"Computer",_xlfn.XLOOKUP($K385&amp;"",COMPUTER!$B$3:$B$1009&amp;"",COMPUTER!$J$3:$J$1009,""),"Display",_xlfn.XLOOKUP($K385&amp;"",DISPLAY!$B$3:$B$1000&amp;"",DISPLAY!$K$3:$K$1000,""),"Network Device",_xlfn.XLOOKUP($K385&amp;"",'NETWORK-DEVICES'!$B$3:$B$987&amp;"",'NETWORK-DEVICES'!$I$3:$I$987,""),"Peripheral",_xlfn.XLOOKUP($K385&amp;"",PERIPHERAL!$B$3:$B$954&amp;"",PERIPHERAL!$J$3:$J$954,""),"Utilities",_xlfn.XLOOKUP($K385&amp;"",UTILITIES!$B$3:$B$953&amp;"",UTILITIES!$I$3:$I$953,""),"IOT",_xlfn.XLOOKUP($K385&amp;"",IOT!$B$3:$B$1012&amp;"",IOT!$J$3:$J$1012,""),"Server",_xlfn.XLOOKUP($K385&amp;"",SERVER!$B$3:$B$1009&amp;"",SERVER!$J$3:$J$1009,""),""))</f>
        <v/>
      </c>
      <c r="N385" s="1" t="str" cm="1">
        <f t="array" ref="N385">IF(OR($K385="",$I385="",$J385=""),"",_xlfn.LET(_xlpm.srcCat,_xlfn.SWITCH($I385,"Computer",_xlfn.XLOOKUP($K385&amp;"",COMPUTER!$B$3:$B$1009&amp;"",COMPUTER!$H$3:$H$1009,""),"Display",_xlfn.XLOOKUP($K385&amp;"",DISPLAY!$B$3:$B$1000&amp;"",DISPLAY!$H$3:$H$1000,""),"Network Device",_xlfn.XLOOKUP($K385&amp;"",'NETWORK-DEVICES'!$B$3:$B$987&amp;"",'NETWORK-DEVICES'!$H$3:$H$987,""),"Peripheral",_xlfn.XLOOKUP($K385&amp;"",PERIPHERAL!$B$3:$B$954&amp;"",PERIPHERAL!$H$3:$H$954,""),"Utilities",_xlfn.XLOOKUP($K385&amp;"",UTILITIES!$B$3:$B$953&amp;"",UTILITIES!$G$3:$G$953,""),"IOT",_xlfn.XLOOKUP($K385&amp;"",IOT!$B$3:$B$1012&amp;"",IOT!$H$3:$H$1012,""),"Server",_xlfn.XLOOKUP($K385&amp;"",SERVER!$B$3:$B$1009&amp;"",SERVER!$H$3:$H$1009,""),""),IF(TRIM(_xlpm.srcCat)&lt;&gt;TRIM($J385),"",_xlfn.SWITCH($I385,"Computer",_xlfn.XLOOKUP($K385&amp;"",COMPUTER!$B$3:$B$1009&amp;"",COMPUTER!$K$3:$K$1009,""),"Display",_xlfn.XLOOKUP($K385&amp;"",DISPLAY!$B$3:$B$1000&amp;"",DISPLAY!$L$3:$L$1000,""),"Network Device",_xlfn.XLOOKUP($K385&amp;"",'NETWORK-DEVICES'!$B$3:$B$987&amp;"",'NETWORK-DEVICES'!$K$3:$K$987,""),"Peripheral",_xlfn.XLOOKUP($K385&amp;"",PERIPHERAL!$B$3:$B$954&amp;"",PERIPHERAL!$K$3:$K$954,""),"Utilities",_xlfn.XLOOKUP($K385&amp;"",UTILITIES!$B$3:$B$953&amp;"",UTILITIES!$J$3:$J$953,""),"IOT",_xlfn.XLOOKUP($K385&amp;"",IOT!$B$3:$B$1012&amp;"",IOT!$K$4:$K$1012,""),"Server",_xlfn.XLOOKUP($K385&amp;"",SERVER!$B$3:$B$1009&amp;"",SERVER!$K$3:$K$1009,""),""))))</f>
        <v/>
      </c>
      <c r="O385" s="1" t="str" cm="1">
        <f t="array" ref="O385">IF(OR($K385="",$I385="",$J385=""),"",_xlfn.LET(_xlpm.srcCat,_xlfn.SWITCH($I385,"Computer",_xlfn.XLOOKUP($K385&amp;"",COMPUTER!$B$3:$B$1009&amp;"",COMPUTER!$H$3:$H$1009,""),"Display",_xlfn.XLOOKUP($K385&amp;"",DISPLAY!$B$3:$B$1000&amp;"",DISPLAY!$H$3:$H$1000,""),"Network Device",_xlfn.XLOOKUP($K385&amp;"",'NETWORK-DEVICES'!$B$3:$B$987&amp;"",'NETWORK-DEVICES'!$H$3:$H$987,""),"Peripheral",_xlfn.XLOOKUP($K385&amp;"",PERIPHERAL!$B$3:$B$954&amp;"",PERIPHERAL!$H$3:$H$954,""),"Utilities",_xlfn.XLOOKUP($K385&amp;"",UTILITIES!$B$3:$B$953&amp;"",UTILITIES!$G$3:$G$953,""),"IOT",_xlfn.XLOOKUP($K385&amp;"",IOT!$B$3:$B$1012&amp;"",IOT!$H$3:$H$1012,""),"Server",_xlfn.XLOOKUP($K385&amp;"",SERVER!$B$3:$B$1009&amp;"",SERVER!$H$3:$H$1009,""),""),IF(TRIM(_xlpm.srcCat)&lt;&gt;TRIM($J385),"",_xlfn.SWITCH($I385,"Computer",_xlfn.XLOOKUP($K385&amp;"",COMPUTER!$B$3:$B$1009&amp;"",COMPUTER!$E$3:$E$1009,""),"Display",_xlfn.XLOOKUP($K385&amp;"",DISPLAY!$B$3:$B$1000&amp;"",DISPLAY!$E$3:$E$1000,""),"Network Device",_xlfn.XLOOKUP($K385&amp;"",'NETWORK-DEVICES'!$B$3:$B$987&amp;"",'NETWORK-DEVICES'!$E$3:$E$987,""),"Peripheral",_xlfn.XLOOKUP($K385&amp;"",PERIPHERAL!$B$3:$B$954&amp;"",PERIPHERAL!$E$3:$E$954,""),"Utilities",_xlfn.XLOOKUP($K385&amp;"",UTILITIES!$B$3:$B$953&amp;"",UTILITIES!$E$3:$E$953,""),"IOT",_xlfn.XLOOKUP($K385&amp;"",IOT!$B$3:$B$1012&amp;"",IOT!$E$3:$E$1012,""),"Server",_xlfn.XLOOKUP($K385&amp;"",SERVER!$B$3:$B$1009&amp;"",SERVER!$E$3:$E$1009,""),""))))</f>
        <v/>
      </c>
      <c r="Q385" s="1" t="str" cm="1">
        <f t="array" ref="Q385">IF(OR($K385="",$I385="",$J385=""),"",_xlfn.LET(_xlpm.srcCat,_xlfn.SWITCH($I385,"Computer",_xlfn.XLOOKUP($K385&amp;"",COMPUTER!$B$3:$B$1009&amp;"",COMPUTER!$H$3:$H$1009,""),"Display",_xlfn.XLOOKUP($K385&amp;"",DISPLAY!$B$3:$B$1000&amp;"",DISPLAY!$H$3:$H$1000,""),"Network Device",_xlfn.XLOOKUP($K385&amp;"",'NETWORK-DEVICES'!$B$3:$B$987&amp;"",'NETWORK-DEVICES'!$H$3:$H$987,""),"Peripheral",_xlfn.XLOOKUP($K385&amp;"",PERIPHERAL!$B$3:$B$954&amp;"",PERIPHERAL!$H$3:$H$954,""),"Utilities",_xlfn.XLOOKUP($K385&amp;"",UTILITIES!$B$3:$B$953&amp;"",UTILITIES!$G$3:$G$953,""),"IOT",_xlfn.XLOOKUP($K385&amp;"",IOT!$B$3:$B$1012&amp;"",IOT!$H$3:$H$1012,""),"Server",_xlfn.XLOOKUP($K385&amp;"",SERVER!$B$3:$B$1009&amp;"",SERVER!$H$3:$H$1009,""),""),IF(TRIM(_xlpm.srcCat)&lt;&gt;TRIM($J385),"",_xlfn.SWITCH($I385,"Computer",_xlfn.XLOOKUP($K385&amp;"",COMPUTER!$B$3:$B$1009&amp;"",COMPUTER!$AM$3:$AM$1009,""),"Display",_xlfn.XLOOKUP($K385&amp;"",DISPLAY!$B$3:$B$1000&amp;"",DISPLAY!$V$3:$V$1000,""),"Network Device",_xlfn.XLOOKUP($K385&amp;"",'NETWORK-DEVICES'!$B$3:$B$987&amp;"",'NETWORK-DEVICES'!$AF$3:$AF$987,""),"Peripheral",_xlfn.XLOOKUP($K385&amp;"",PERIPHERAL!$B$3:$B$954&amp;"",PERIPHERAL!$Y$3:$Y$954,""),"Utilities",_xlfn.XLOOKUP($K385&amp;"",UTILITIES!$B$3:$B$953&amp;"",UTILITIES!$O$3:$O$953,""),"IOT",_xlfn.XLOOKUP($K385&amp;"",IOT!$B$3:$B$1012&amp;"",IOT!$AB$3:$AB$1012,""),"Server",_xlfn.XLOOKUP($K385&amp;"",SERVER!$B$3:$B$1009&amp;"",SERVER!$AB$3:$AB$1009,""),""))))</f>
        <v/>
      </c>
      <c r="R385" s="43" t="str">
        <f>IF(tbl_handover[[#This Row],[Asset Code]]="","",COUNTIF(tbl_handover[Asset Code],tbl_handover[[#This Row],[Asset Code]]))</f>
        <v/>
      </c>
    </row>
    <row r="386" spans="1:18" x14ac:dyDescent="0.25">
      <c r="A386" s="43" t="str">
        <f>IF(B386&lt;&gt;"",SUBTOTAL(3,$B$1:B385),"")</f>
        <v/>
      </c>
      <c r="C386" s="74"/>
      <c r="D386" s="74"/>
      <c r="G386" s="1"/>
      <c r="K386" s="42"/>
      <c r="L386" t="str" cm="1">
        <f t="array" ref="L386">IF($K386="","",_xlfn.SWITCH($I386,"Computer",_xlfn.XLOOKUP($K386&amp;"",COMPUTER!$B$3:$B$1009&amp;"",COMPUTER!$I$3:$I$1009,""),"Display",_xlfn.XLOOKUP($K386&amp;"",DISPLAY!$B$3:$B$1000&amp;"",DISPLAY!$J$3:$J$1000,""),"Network Device",_xlfn.XLOOKUP($K386&amp;"",'NETWORK-DEVICES'!$B$3:$B$987&amp;"",'NETWORK-DEVICES'!$I$3:$I$987,""),"Peripheral",_xlfn.XLOOKUP($K386&amp;"",PERIPHERAL!$B$3:$B$954&amp;"",PERIPHERAL!$I$3:$I$954,""),"Utilities",_xlfn.XLOOKUP($K386&amp;"",UTILITIES!$B$3:$B$953&amp;"",UTILITIES!$H$3:$H$953,""),"IOT",_xlfn.XLOOKUP($K386&amp;"",IOT!$B$3:$B$1012&amp;"",IOT!$I$3:$I$1012,""),"SERVER",_xlfn.XLOOKUP($K386&amp;"",SERVER!$B$3:$B$1009&amp;"",SERVER!$I$3:$I$1009,""),""))</f>
        <v/>
      </c>
      <c r="M386" t="str" cm="1">
        <f t="array" ref="M386">IF($K386="","",_xlfn.SWITCH($I386,"Computer",_xlfn.XLOOKUP($K386&amp;"",COMPUTER!$B$3:$B$1009&amp;"",COMPUTER!$J$3:$J$1009,""),"Display",_xlfn.XLOOKUP($K386&amp;"",DISPLAY!$B$3:$B$1000&amp;"",DISPLAY!$K$3:$K$1000,""),"Network Device",_xlfn.XLOOKUP($K386&amp;"",'NETWORK-DEVICES'!$B$3:$B$987&amp;"",'NETWORK-DEVICES'!$I$3:$I$987,""),"Peripheral",_xlfn.XLOOKUP($K386&amp;"",PERIPHERAL!$B$3:$B$954&amp;"",PERIPHERAL!$J$3:$J$954,""),"Utilities",_xlfn.XLOOKUP($K386&amp;"",UTILITIES!$B$3:$B$953&amp;"",UTILITIES!$I$3:$I$953,""),"IOT",_xlfn.XLOOKUP($K386&amp;"",IOT!$B$3:$B$1012&amp;"",IOT!$J$3:$J$1012,""),"Server",_xlfn.XLOOKUP($K386&amp;"",SERVER!$B$3:$B$1009&amp;"",SERVER!$J$3:$J$1009,""),""))</f>
        <v/>
      </c>
      <c r="N386" s="1" t="str" cm="1">
        <f t="array" ref="N386">IF(OR($K386="",$I386="",$J386=""),"",_xlfn.LET(_xlpm.srcCat,_xlfn.SWITCH($I386,"Computer",_xlfn.XLOOKUP($K386&amp;"",COMPUTER!$B$3:$B$1009&amp;"",COMPUTER!$H$3:$H$1009,""),"Display",_xlfn.XLOOKUP($K386&amp;"",DISPLAY!$B$3:$B$1000&amp;"",DISPLAY!$H$3:$H$1000,""),"Network Device",_xlfn.XLOOKUP($K386&amp;"",'NETWORK-DEVICES'!$B$3:$B$987&amp;"",'NETWORK-DEVICES'!$H$3:$H$987,""),"Peripheral",_xlfn.XLOOKUP($K386&amp;"",PERIPHERAL!$B$3:$B$954&amp;"",PERIPHERAL!$H$3:$H$954,""),"Utilities",_xlfn.XLOOKUP($K386&amp;"",UTILITIES!$B$3:$B$953&amp;"",UTILITIES!$G$3:$G$953,""),"IOT",_xlfn.XLOOKUP($K386&amp;"",IOT!$B$3:$B$1012&amp;"",IOT!$H$3:$H$1012,""),"Server",_xlfn.XLOOKUP($K386&amp;"",SERVER!$B$3:$B$1009&amp;"",SERVER!$H$3:$H$1009,""),""),IF(TRIM(_xlpm.srcCat)&lt;&gt;TRIM($J386),"",_xlfn.SWITCH($I386,"Computer",_xlfn.XLOOKUP($K386&amp;"",COMPUTER!$B$3:$B$1009&amp;"",COMPUTER!$K$3:$K$1009,""),"Display",_xlfn.XLOOKUP($K386&amp;"",DISPLAY!$B$3:$B$1000&amp;"",DISPLAY!$L$3:$L$1000,""),"Network Device",_xlfn.XLOOKUP($K386&amp;"",'NETWORK-DEVICES'!$B$3:$B$987&amp;"",'NETWORK-DEVICES'!$K$3:$K$987,""),"Peripheral",_xlfn.XLOOKUP($K386&amp;"",PERIPHERAL!$B$3:$B$954&amp;"",PERIPHERAL!$K$3:$K$954,""),"Utilities",_xlfn.XLOOKUP($K386&amp;"",UTILITIES!$B$3:$B$953&amp;"",UTILITIES!$J$3:$J$953,""),"IOT",_xlfn.XLOOKUP($K386&amp;"",IOT!$B$3:$B$1012&amp;"",IOT!$K$4:$K$1012,""),"Server",_xlfn.XLOOKUP($K386&amp;"",SERVER!$B$3:$B$1009&amp;"",SERVER!$K$3:$K$1009,""),""))))</f>
        <v/>
      </c>
      <c r="O386" s="1" t="str" cm="1">
        <f t="array" ref="O386">IF(OR($K386="",$I386="",$J386=""),"",_xlfn.LET(_xlpm.srcCat,_xlfn.SWITCH($I386,"Computer",_xlfn.XLOOKUP($K386&amp;"",COMPUTER!$B$3:$B$1009&amp;"",COMPUTER!$H$3:$H$1009,""),"Display",_xlfn.XLOOKUP($K386&amp;"",DISPLAY!$B$3:$B$1000&amp;"",DISPLAY!$H$3:$H$1000,""),"Network Device",_xlfn.XLOOKUP($K386&amp;"",'NETWORK-DEVICES'!$B$3:$B$987&amp;"",'NETWORK-DEVICES'!$H$3:$H$987,""),"Peripheral",_xlfn.XLOOKUP($K386&amp;"",PERIPHERAL!$B$3:$B$954&amp;"",PERIPHERAL!$H$3:$H$954,""),"Utilities",_xlfn.XLOOKUP($K386&amp;"",UTILITIES!$B$3:$B$953&amp;"",UTILITIES!$G$3:$G$953,""),"IOT",_xlfn.XLOOKUP($K386&amp;"",IOT!$B$3:$B$1012&amp;"",IOT!$H$3:$H$1012,""),"Server",_xlfn.XLOOKUP($K386&amp;"",SERVER!$B$3:$B$1009&amp;"",SERVER!$H$3:$H$1009,""),""),IF(TRIM(_xlpm.srcCat)&lt;&gt;TRIM($J386),"",_xlfn.SWITCH($I386,"Computer",_xlfn.XLOOKUP($K386&amp;"",COMPUTER!$B$3:$B$1009&amp;"",COMPUTER!$E$3:$E$1009,""),"Display",_xlfn.XLOOKUP($K386&amp;"",DISPLAY!$B$3:$B$1000&amp;"",DISPLAY!$E$3:$E$1000,""),"Network Device",_xlfn.XLOOKUP($K386&amp;"",'NETWORK-DEVICES'!$B$3:$B$987&amp;"",'NETWORK-DEVICES'!$E$3:$E$987,""),"Peripheral",_xlfn.XLOOKUP($K386&amp;"",PERIPHERAL!$B$3:$B$954&amp;"",PERIPHERAL!$E$3:$E$954,""),"Utilities",_xlfn.XLOOKUP($K386&amp;"",UTILITIES!$B$3:$B$953&amp;"",UTILITIES!$E$3:$E$953,""),"IOT",_xlfn.XLOOKUP($K386&amp;"",IOT!$B$3:$B$1012&amp;"",IOT!$E$3:$E$1012,""),"Server",_xlfn.XLOOKUP($K386&amp;"",SERVER!$B$3:$B$1009&amp;"",SERVER!$E$3:$E$1009,""),""))))</f>
        <v/>
      </c>
      <c r="Q386" s="1" t="str" cm="1">
        <f t="array" ref="Q386">IF(OR($K386="",$I386="",$J386=""),"",_xlfn.LET(_xlpm.srcCat,_xlfn.SWITCH($I386,"Computer",_xlfn.XLOOKUP($K386&amp;"",COMPUTER!$B$3:$B$1009&amp;"",COMPUTER!$H$3:$H$1009,""),"Display",_xlfn.XLOOKUP($K386&amp;"",DISPLAY!$B$3:$B$1000&amp;"",DISPLAY!$H$3:$H$1000,""),"Network Device",_xlfn.XLOOKUP($K386&amp;"",'NETWORK-DEVICES'!$B$3:$B$987&amp;"",'NETWORK-DEVICES'!$H$3:$H$987,""),"Peripheral",_xlfn.XLOOKUP($K386&amp;"",PERIPHERAL!$B$3:$B$954&amp;"",PERIPHERAL!$H$3:$H$954,""),"Utilities",_xlfn.XLOOKUP($K386&amp;"",UTILITIES!$B$3:$B$953&amp;"",UTILITIES!$G$3:$G$953,""),"IOT",_xlfn.XLOOKUP($K386&amp;"",IOT!$B$3:$B$1012&amp;"",IOT!$H$3:$H$1012,""),"Server",_xlfn.XLOOKUP($K386&amp;"",SERVER!$B$3:$B$1009&amp;"",SERVER!$H$3:$H$1009,""),""),IF(TRIM(_xlpm.srcCat)&lt;&gt;TRIM($J386),"",_xlfn.SWITCH($I386,"Computer",_xlfn.XLOOKUP($K386&amp;"",COMPUTER!$B$3:$B$1009&amp;"",COMPUTER!$AM$3:$AM$1009,""),"Display",_xlfn.XLOOKUP($K386&amp;"",DISPLAY!$B$3:$B$1000&amp;"",DISPLAY!$V$3:$V$1000,""),"Network Device",_xlfn.XLOOKUP($K386&amp;"",'NETWORK-DEVICES'!$B$3:$B$987&amp;"",'NETWORK-DEVICES'!$AF$3:$AF$987,""),"Peripheral",_xlfn.XLOOKUP($K386&amp;"",PERIPHERAL!$B$3:$B$954&amp;"",PERIPHERAL!$Y$3:$Y$954,""),"Utilities",_xlfn.XLOOKUP($K386&amp;"",UTILITIES!$B$3:$B$953&amp;"",UTILITIES!$O$3:$O$953,""),"IOT",_xlfn.XLOOKUP($K386&amp;"",IOT!$B$3:$B$1012&amp;"",IOT!$AB$3:$AB$1012,""),"Server",_xlfn.XLOOKUP($K386&amp;"",SERVER!$B$3:$B$1009&amp;"",SERVER!$AB$3:$AB$1009,""),""))))</f>
        <v/>
      </c>
      <c r="R386" s="43" t="str">
        <f>IF(tbl_handover[[#This Row],[Asset Code]]="","",COUNTIF(tbl_handover[Asset Code],tbl_handover[[#This Row],[Asset Code]]))</f>
        <v/>
      </c>
    </row>
    <row r="387" spans="1:18" x14ac:dyDescent="0.25">
      <c r="A387" s="43" t="str">
        <f>IF(B387&lt;&gt;"",SUBTOTAL(3,$B$1:B386),"")</f>
        <v/>
      </c>
      <c r="C387" s="74"/>
      <c r="D387" s="74"/>
      <c r="G387" s="1"/>
      <c r="K387" s="42"/>
      <c r="L387" t="str" cm="1">
        <f t="array" ref="L387">IF($K387="","",_xlfn.SWITCH($I387,"Computer",_xlfn.XLOOKUP($K387&amp;"",COMPUTER!$B$3:$B$1009&amp;"",COMPUTER!$I$3:$I$1009,""),"Display",_xlfn.XLOOKUP($K387&amp;"",DISPLAY!$B$3:$B$1000&amp;"",DISPLAY!$J$3:$J$1000,""),"Network Device",_xlfn.XLOOKUP($K387&amp;"",'NETWORK-DEVICES'!$B$3:$B$987&amp;"",'NETWORK-DEVICES'!$I$3:$I$987,""),"Peripheral",_xlfn.XLOOKUP($K387&amp;"",PERIPHERAL!$B$3:$B$954&amp;"",PERIPHERAL!$I$3:$I$954,""),"Utilities",_xlfn.XLOOKUP($K387&amp;"",UTILITIES!$B$3:$B$953&amp;"",UTILITIES!$H$3:$H$953,""),"IOT",_xlfn.XLOOKUP($K387&amp;"",IOT!$B$3:$B$1012&amp;"",IOT!$I$3:$I$1012,""),"SERVER",_xlfn.XLOOKUP($K387&amp;"",SERVER!$B$3:$B$1009&amp;"",SERVER!$I$3:$I$1009,""),""))</f>
        <v/>
      </c>
      <c r="M387" t="str" cm="1">
        <f t="array" ref="M387">IF($K387="","",_xlfn.SWITCH($I387,"Computer",_xlfn.XLOOKUP($K387&amp;"",COMPUTER!$B$3:$B$1009&amp;"",COMPUTER!$J$3:$J$1009,""),"Display",_xlfn.XLOOKUP($K387&amp;"",DISPLAY!$B$3:$B$1000&amp;"",DISPLAY!$K$3:$K$1000,""),"Network Device",_xlfn.XLOOKUP($K387&amp;"",'NETWORK-DEVICES'!$B$3:$B$987&amp;"",'NETWORK-DEVICES'!$I$3:$I$987,""),"Peripheral",_xlfn.XLOOKUP($K387&amp;"",PERIPHERAL!$B$3:$B$954&amp;"",PERIPHERAL!$J$3:$J$954,""),"Utilities",_xlfn.XLOOKUP($K387&amp;"",UTILITIES!$B$3:$B$953&amp;"",UTILITIES!$I$3:$I$953,""),"IOT",_xlfn.XLOOKUP($K387&amp;"",IOT!$B$3:$B$1012&amp;"",IOT!$J$3:$J$1012,""),"Server",_xlfn.XLOOKUP($K387&amp;"",SERVER!$B$3:$B$1009&amp;"",SERVER!$J$3:$J$1009,""),""))</f>
        <v/>
      </c>
      <c r="N387" s="1" t="str" cm="1">
        <f t="array" ref="N387">IF(OR($K387="",$I387="",$J387=""),"",_xlfn.LET(_xlpm.srcCat,_xlfn.SWITCH($I387,"Computer",_xlfn.XLOOKUP($K387&amp;"",COMPUTER!$B$3:$B$1009&amp;"",COMPUTER!$H$3:$H$1009,""),"Display",_xlfn.XLOOKUP($K387&amp;"",DISPLAY!$B$3:$B$1000&amp;"",DISPLAY!$H$3:$H$1000,""),"Network Device",_xlfn.XLOOKUP($K387&amp;"",'NETWORK-DEVICES'!$B$3:$B$987&amp;"",'NETWORK-DEVICES'!$H$3:$H$987,""),"Peripheral",_xlfn.XLOOKUP($K387&amp;"",PERIPHERAL!$B$3:$B$954&amp;"",PERIPHERAL!$H$3:$H$954,""),"Utilities",_xlfn.XLOOKUP($K387&amp;"",UTILITIES!$B$3:$B$953&amp;"",UTILITIES!$G$3:$G$953,""),"IOT",_xlfn.XLOOKUP($K387&amp;"",IOT!$B$3:$B$1012&amp;"",IOT!$H$3:$H$1012,""),"Server",_xlfn.XLOOKUP($K387&amp;"",SERVER!$B$3:$B$1009&amp;"",SERVER!$H$3:$H$1009,""),""),IF(TRIM(_xlpm.srcCat)&lt;&gt;TRIM($J387),"",_xlfn.SWITCH($I387,"Computer",_xlfn.XLOOKUP($K387&amp;"",COMPUTER!$B$3:$B$1009&amp;"",COMPUTER!$K$3:$K$1009,""),"Display",_xlfn.XLOOKUP($K387&amp;"",DISPLAY!$B$3:$B$1000&amp;"",DISPLAY!$L$3:$L$1000,""),"Network Device",_xlfn.XLOOKUP($K387&amp;"",'NETWORK-DEVICES'!$B$3:$B$987&amp;"",'NETWORK-DEVICES'!$K$3:$K$987,""),"Peripheral",_xlfn.XLOOKUP($K387&amp;"",PERIPHERAL!$B$3:$B$954&amp;"",PERIPHERAL!$K$3:$K$954,""),"Utilities",_xlfn.XLOOKUP($K387&amp;"",UTILITIES!$B$3:$B$953&amp;"",UTILITIES!$J$3:$J$953,""),"IOT",_xlfn.XLOOKUP($K387&amp;"",IOT!$B$3:$B$1012&amp;"",IOT!$K$4:$K$1012,""),"Server",_xlfn.XLOOKUP($K387&amp;"",SERVER!$B$3:$B$1009&amp;"",SERVER!$K$3:$K$1009,""),""))))</f>
        <v/>
      </c>
      <c r="O387" s="1" t="str" cm="1">
        <f t="array" ref="O387">IF(OR($K387="",$I387="",$J387=""),"",_xlfn.LET(_xlpm.srcCat,_xlfn.SWITCH($I387,"Computer",_xlfn.XLOOKUP($K387&amp;"",COMPUTER!$B$3:$B$1009&amp;"",COMPUTER!$H$3:$H$1009,""),"Display",_xlfn.XLOOKUP($K387&amp;"",DISPLAY!$B$3:$B$1000&amp;"",DISPLAY!$H$3:$H$1000,""),"Network Device",_xlfn.XLOOKUP($K387&amp;"",'NETWORK-DEVICES'!$B$3:$B$987&amp;"",'NETWORK-DEVICES'!$H$3:$H$987,""),"Peripheral",_xlfn.XLOOKUP($K387&amp;"",PERIPHERAL!$B$3:$B$954&amp;"",PERIPHERAL!$H$3:$H$954,""),"Utilities",_xlfn.XLOOKUP($K387&amp;"",UTILITIES!$B$3:$B$953&amp;"",UTILITIES!$G$3:$G$953,""),"IOT",_xlfn.XLOOKUP($K387&amp;"",IOT!$B$3:$B$1012&amp;"",IOT!$H$3:$H$1012,""),"Server",_xlfn.XLOOKUP($K387&amp;"",SERVER!$B$3:$B$1009&amp;"",SERVER!$H$3:$H$1009,""),""),IF(TRIM(_xlpm.srcCat)&lt;&gt;TRIM($J387),"",_xlfn.SWITCH($I387,"Computer",_xlfn.XLOOKUP($K387&amp;"",COMPUTER!$B$3:$B$1009&amp;"",COMPUTER!$E$3:$E$1009,""),"Display",_xlfn.XLOOKUP($K387&amp;"",DISPLAY!$B$3:$B$1000&amp;"",DISPLAY!$E$3:$E$1000,""),"Network Device",_xlfn.XLOOKUP($K387&amp;"",'NETWORK-DEVICES'!$B$3:$B$987&amp;"",'NETWORK-DEVICES'!$E$3:$E$987,""),"Peripheral",_xlfn.XLOOKUP($K387&amp;"",PERIPHERAL!$B$3:$B$954&amp;"",PERIPHERAL!$E$3:$E$954,""),"Utilities",_xlfn.XLOOKUP($K387&amp;"",UTILITIES!$B$3:$B$953&amp;"",UTILITIES!$E$3:$E$953,""),"IOT",_xlfn.XLOOKUP($K387&amp;"",IOT!$B$3:$B$1012&amp;"",IOT!$E$3:$E$1012,""),"Server",_xlfn.XLOOKUP($K387&amp;"",SERVER!$B$3:$B$1009&amp;"",SERVER!$E$3:$E$1009,""),""))))</f>
        <v/>
      </c>
      <c r="Q387" s="1" t="str" cm="1">
        <f t="array" ref="Q387">IF(OR($K387="",$I387="",$J387=""),"",_xlfn.LET(_xlpm.srcCat,_xlfn.SWITCH($I387,"Computer",_xlfn.XLOOKUP($K387&amp;"",COMPUTER!$B$3:$B$1009&amp;"",COMPUTER!$H$3:$H$1009,""),"Display",_xlfn.XLOOKUP($K387&amp;"",DISPLAY!$B$3:$B$1000&amp;"",DISPLAY!$H$3:$H$1000,""),"Network Device",_xlfn.XLOOKUP($K387&amp;"",'NETWORK-DEVICES'!$B$3:$B$987&amp;"",'NETWORK-DEVICES'!$H$3:$H$987,""),"Peripheral",_xlfn.XLOOKUP($K387&amp;"",PERIPHERAL!$B$3:$B$954&amp;"",PERIPHERAL!$H$3:$H$954,""),"Utilities",_xlfn.XLOOKUP($K387&amp;"",UTILITIES!$B$3:$B$953&amp;"",UTILITIES!$G$3:$G$953,""),"IOT",_xlfn.XLOOKUP($K387&amp;"",IOT!$B$3:$B$1012&amp;"",IOT!$H$3:$H$1012,""),"Server",_xlfn.XLOOKUP($K387&amp;"",SERVER!$B$3:$B$1009&amp;"",SERVER!$H$3:$H$1009,""),""),IF(TRIM(_xlpm.srcCat)&lt;&gt;TRIM($J387),"",_xlfn.SWITCH($I387,"Computer",_xlfn.XLOOKUP($K387&amp;"",COMPUTER!$B$3:$B$1009&amp;"",COMPUTER!$AM$3:$AM$1009,""),"Display",_xlfn.XLOOKUP($K387&amp;"",DISPLAY!$B$3:$B$1000&amp;"",DISPLAY!$V$3:$V$1000,""),"Network Device",_xlfn.XLOOKUP($K387&amp;"",'NETWORK-DEVICES'!$B$3:$B$987&amp;"",'NETWORK-DEVICES'!$AF$3:$AF$987,""),"Peripheral",_xlfn.XLOOKUP($K387&amp;"",PERIPHERAL!$B$3:$B$954&amp;"",PERIPHERAL!$Y$3:$Y$954,""),"Utilities",_xlfn.XLOOKUP($K387&amp;"",UTILITIES!$B$3:$B$953&amp;"",UTILITIES!$O$3:$O$953,""),"IOT",_xlfn.XLOOKUP($K387&amp;"",IOT!$B$3:$B$1012&amp;"",IOT!$AB$3:$AB$1012,""),"Server",_xlfn.XLOOKUP($K387&amp;"",SERVER!$B$3:$B$1009&amp;"",SERVER!$AB$3:$AB$1009,""),""))))</f>
        <v/>
      </c>
      <c r="R387" s="43" t="str">
        <f>IF(tbl_handover[[#This Row],[Asset Code]]="","",COUNTIF(tbl_handover[Asset Code],tbl_handover[[#This Row],[Asset Code]]))</f>
        <v/>
      </c>
    </row>
    <row r="388" spans="1:18" x14ac:dyDescent="0.25">
      <c r="A388" s="43" t="str">
        <f>IF(B388&lt;&gt;"",SUBTOTAL(3,$B$1:B387),"")</f>
        <v/>
      </c>
      <c r="C388" s="74"/>
      <c r="D388" s="74"/>
      <c r="G388" s="1"/>
      <c r="K388" s="42"/>
      <c r="L388" t="str" cm="1">
        <f t="array" ref="L388">IF($K388="","",_xlfn.SWITCH($I388,"Computer",_xlfn.XLOOKUP($K388&amp;"",COMPUTER!$B$3:$B$1009&amp;"",COMPUTER!$I$3:$I$1009,""),"Display",_xlfn.XLOOKUP($K388&amp;"",DISPLAY!$B$3:$B$1000&amp;"",DISPLAY!$J$3:$J$1000,""),"Network Device",_xlfn.XLOOKUP($K388&amp;"",'NETWORK-DEVICES'!$B$3:$B$987&amp;"",'NETWORK-DEVICES'!$I$3:$I$987,""),"Peripheral",_xlfn.XLOOKUP($K388&amp;"",PERIPHERAL!$B$3:$B$954&amp;"",PERIPHERAL!$I$3:$I$954,""),"Utilities",_xlfn.XLOOKUP($K388&amp;"",UTILITIES!$B$3:$B$953&amp;"",UTILITIES!$H$3:$H$953,""),"IOT",_xlfn.XLOOKUP($K388&amp;"",IOT!$B$3:$B$1012&amp;"",IOT!$I$3:$I$1012,""),"SERVER",_xlfn.XLOOKUP($K388&amp;"",SERVER!$B$3:$B$1009&amp;"",SERVER!$I$3:$I$1009,""),""))</f>
        <v/>
      </c>
      <c r="M388" t="str" cm="1">
        <f t="array" ref="M388">IF($K388="","",_xlfn.SWITCH($I388,"Computer",_xlfn.XLOOKUP($K388&amp;"",COMPUTER!$B$3:$B$1009&amp;"",COMPUTER!$J$3:$J$1009,""),"Display",_xlfn.XLOOKUP($K388&amp;"",DISPLAY!$B$3:$B$1000&amp;"",DISPLAY!$K$3:$K$1000,""),"Network Device",_xlfn.XLOOKUP($K388&amp;"",'NETWORK-DEVICES'!$B$3:$B$987&amp;"",'NETWORK-DEVICES'!$I$3:$I$987,""),"Peripheral",_xlfn.XLOOKUP($K388&amp;"",PERIPHERAL!$B$3:$B$954&amp;"",PERIPHERAL!$J$3:$J$954,""),"Utilities",_xlfn.XLOOKUP($K388&amp;"",UTILITIES!$B$3:$B$953&amp;"",UTILITIES!$I$3:$I$953,""),"IOT",_xlfn.XLOOKUP($K388&amp;"",IOT!$B$3:$B$1012&amp;"",IOT!$J$3:$J$1012,""),"Server",_xlfn.XLOOKUP($K388&amp;"",SERVER!$B$3:$B$1009&amp;"",SERVER!$J$3:$J$1009,""),""))</f>
        <v/>
      </c>
      <c r="N388" s="1" t="str" cm="1">
        <f t="array" ref="N388">IF(OR($K388="",$I388="",$J388=""),"",_xlfn.LET(_xlpm.srcCat,_xlfn.SWITCH($I388,"Computer",_xlfn.XLOOKUP($K388&amp;"",COMPUTER!$B$3:$B$1009&amp;"",COMPUTER!$H$3:$H$1009,""),"Display",_xlfn.XLOOKUP($K388&amp;"",DISPLAY!$B$3:$B$1000&amp;"",DISPLAY!$H$3:$H$1000,""),"Network Device",_xlfn.XLOOKUP($K388&amp;"",'NETWORK-DEVICES'!$B$3:$B$987&amp;"",'NETWORK-DEVICES'!$H$3:$H$987,""),"Peripheral",_xlfn.XLOOKUP($K388&amp;"",PERIPHERAL!$B$3:$B$954&amp;"",PERIPHERAL!$H$3:$H$954,""),"Utilities",_xlfn.XLOOKUP($K388&amp;"",UTILITIES!$B$3:$B$953&amp;"",UTILITIES!$G$3:$G$953,""),"IOT",_xlfn.XLOOKUP($K388&amp;"",IOT!$B$3:$B$1012&amp;"",IOT!$H$3:$H$1012,""),"Server",_xlfn.XLOOKUP($K388&amp;"",SERVER!$B$3:$B$1009&amp;"",SERVER!$H$3:$H$1009,""),""),IF(TRIM(_xlpm.srcCat)&lt;&gt;TRIM($J388),"",_xlfn.SWITCH($I388,"Computer",_xlfn.XLOOKUP($K388&amp;"",COMPUTER!$B$3:$B$1009&amp;"",COMPUTER!$K$3:$K$1009,""),"Display",_xlfn.XLOOKUP($K388&amp;"",DISPLAY!$B$3:$B$1000&amp;"",DISPLAY!$L$3:$L$1000,""),"Network Device",_xlfn.XLOOKUP($K388&amp;"",'NETWORK-DEVICES'!$B$3:$B$987&amp;"",'NETWORK-DEVICES'!$K$3:$K$987,""),"Peripheral",_xlfn.XLOOKUP($K388&amp;"",PERIPHERAL!$B$3:$B$954&amp;"",PERIPHERAL!$K$3:$K$954,""),"Utilities",_xlfn.XLOOKUP($K388&amp;"",UTILITIES!$B$3:$B$953&amp;"",UTILITIES!$J$3:$J$953,""),"IOT",_xlfn.XLOOKUP($K388&amp;"",IOT!$B$3:$B$1012&amp;"",IOT!$K$4:$K$1012,""),"Server",_xlfn.XLOOKUP($K388&amp;"",SERVER!$B$3:$B$1009&amp;"",SERVER!$K$3:$K$1009,""),""))))</f>
        <v/>
      </c>
      <c r="O388" s="1" t="str" cm="1">
        <f t="array" ref="O388">IF(OR($K388="",$I388="",$J388=""),"",_xlfn.LET(_xlpm.srcCat,_xlfn.SWITCH($I388,"Computer",_xlfn.XLOOKUP($K388&amp;"",COMPUTER!$B$3:$B$1009&amp;"",COMPUTER!$H$3:$H$1009,""),"Display",_xlfn.XLOOKUP($K388&amp;"",DISPLAY!$B$3:$B$1000&amp;"",DISPLAY!$H$3:$H$1000,""),"Network Device",_xlfn.XLOOKUP($K388&amp;"",'NETWORK-DEVICES'!$B$3:$B$987&amp;"",'NETWORK-DEVICES'!$H$3:$H$987,""),"Peripheral",_xlfn.XLOOKUP($K388&amp;"",PERIPHERAL!$B$3:$B$954&amp;"",PERIPHERAL!$H$3:$H$954,""),"Utilities",_xlfn.XLOOKUP($K388&amp;"",UTILITIES!$B$3:$B$953&amp;"",UTILITIES!$G$3:$G$953,""),"IOT",_xlfn.XLOOKUP($K388&amp;"",IOT!$B$3:$B$1012&amp;"",IOT!$H$3:$H$1012,""),"Server",_xlfn.XLOOKUP($K388&amp;"",SERVER!$B$3:$B$1009&amp;"",SERVER!$H$3:$H$1009,""),""),IF(TRIM(_xlpm.srcCat)&lt;&gt;TRIM($J388),"",_xlfn.SWITCH($I388,"Computer",_xlfn.XLOOKUP($K388&amp;"",COMPUTER!$B$3:$B$1009&amp;"",COMPUTER!$E$3:$E$1009,""),"Display",_xlfn.XLOOKUP($K388&amp;"",DISPLAY!$B$3:$B$1000&amp;"",DISPLAY!$E$3:$E$1000,""),"Network Device",_xlfn.XLOOKUP($K388&amp;"",'NETWORK-DEVICES'!$B$3:$B$987&amp;"",'NETWORK-DEVICES'!$E$3:$E$987,""),"Peripheral",_xlfn.XLOOKUP($K388&amp;"",PERIPHERAL!$B$3:$B$954&amp;"",PERIPHERAL!$E$3:$E$954,""),"Utilities",_xlfn.XLOOKUP($K388&amp;"",UTILITIES!$B$3:$B$953&amp;"",UTILITIES!$E$3:$E$953,""),"IOT",_xlfn.XLOOKUP($K388&amp;"",IOT!$B$3:$B$1012&amp;"",IOT!$E$3:$E$1012,""),"Server",_xlfn.XLOOKUP($K388&amp;"",SERVER!$B$3:$B$1009&amp;"",SERVER!$E$3:$E$1009,""),""))))</f>
        <v/>
      </c>
      <c r="Q388" s="1" t="str" cm="1">
        <f t="array" ref="Q388">IF(OR($K388="",$I388="",$J388=""),"",_xlfn.LET(_xlpm.srcCat,_xlfn.SWITCH($I388,"Computer",_xlfn.XLOOKUP($K388&amp;"",COMPUTER!$B$3:$B$1009&amp;"",COMPUTER!$H$3:$H$1009,""),"Display",_xlfn.XLOOKUP($K388&amp;"",DISPLAY!$B$3:$B$1000&amp;"",DISPLAY!$H$3:$H$1000,""),"Network Device",_xlfn.XLOOKUP($K388&amp;"",'NETWORK-DEVICES'!$B$3:$B$987&amp;"",'NETWORK-DEVICES'!$H$3:$H$987,""),"Peripheral",_xlfn.XLOOKUP($K388&amp;"",PERIPHERAL!$B$3:$B$954&amp;"",PERIPHERAL!$H$3:$H$954,""),"Utilities",_xlfn.XLOOKUP($K388&amp;"",UTILITIES!$B$3:$B$953&amp;"",UTILITIES!$G$3:$G$953,""),"IOT",_xlfn.XLOOKUP($K388&amp;"",IOT!$B$3:$B$1012&amp;"",IOT!$H$3:$H$1012,""),"Server",_xlfn.XLOOKUP($K388&amp;"",SERVER!$B$3:$B$1009&amp;"",SERVER!$H$3:$H$1009,""),""),IF(TRIM(_xlpm.srcCat)&lt;&gt;TRIM($J388),"",_xlfn.SWITCH($I388,"Computer",_xlfn.XLOOKUP($K388&amp;"",COMPUTER!$B$3:$B$1009&amp;"",COMPUTER!$AM$3:$AM$1009,""),"Display",_xlfn.XLOOKUP($K388&amp;"",DISPLAY!$B$3:$B$1000&amp;"",DISPLAY!$V$3:$V$1000,""),"Network Device",_xlfn.XLOOKUP($K388&amp;"",'NETWORK-DEVICES'!$B$3:$B$987&amp;"",'NETWORK-DEVICES'!$AF$3:$AF$987,""),"Peripheral",_xlfn.XLOOKUP($K388&amp;"",PERIPHERAL!$B$3:$B$954&amp;"",PERIPHERAL!$Y$3:$Y$954,""),"Utilities",_xlfn.XLOOKUP($K388&amp;"",UTILITIES!$B$3:$B$953&amp;"",UTILITIES!$O$3:$O$953,""),"IOT",_xlfn.XLOOKUP($K388&amp;"",IOT!$B$3:$B$1012&amp;"",IOT!$AB$3:$AB$1012,""),"Server",_xlfn.XLOOKUP($K388&amp;"",SERVER!$B$3:$B$1009&amp;"",SERVER!$AB$3:$AB$1009,""),""))))</f>
        <v/>
      </c>
      <c r="R388" s="43" t="str">
        <f>IF(tbl_handover[[#This Row],[Asset Code]]="","",COUNTIF(tbl_handover[Asset Code],tbl_handover[[#This Row],[Asset Code]]))</f>
        <v/>
      </c>
    </row>
    <row r="389" spans="1:18" x14ac:dyDescent="0.25">
      <c r="A389" s="43" t="str">
        <f>IF(B389&lt;&gt;"",SUBTOTAL(3,$B$1:B388),"")</f>
        <v/>
      </c>
      <c r="C389" s="74"/>
      <c r="D389" s="74"/>
      <c r="G389" s="1"/>
      <c r="K389" s="42"/>
      <c r="L389" t="str" cm="1">
        <f t="array" ref="L389">IF($K389="","",_xlfn.SWITCH($I389,"Computer",_xlfn.XLOOKUP($K389&amp;"",COMPUTER!$B$3:$B$1009&amp;"",COMPUTER!$I$3:$I$1009,""),"Display",_xlfn.XLOOKUP($K389&amp;"",DISPLAY!$B$3:$B$1000&amp;"",DISPLAY!$J$3:$J$1000,""),"Network Device",_xlfn.XLOOKUP($K389&amp;"",'NETWORK-DEVICES'!$B$3:$B$987&amp;"",'NETWORK-DEVICES'!$I$3:$I$987,""),"Peripheral",_xlfn.XLOOKUP($K389&amp;"",PERIPHERAL!$B$3:$B$954&amp;"",PERIPHERAL!$I$3:$I$954,""),"Utilities",_xlfn.XLOOKUP($K389&amp;"",UTILITIES!$B$3:$B$953&amp;"",UTILITIES!$H$3:$H$953,""),"IOT",_xlfn.XLOOKUP($K389&amp;"",IOT!$B$3:$B$1012&amp;"",IOT!$I$3:$I$1012,""),"SERVER",_xlfn.XLOOKUP($K389&amp;"",SERVER!$B$3:$B$1009&amp;"",SERVER!$I$3:$I$1009,""),""))</f>
        <v/>
      </c>
      <c r="M389" t="str" cm="1">
        <f t="array" ref="M389">IF($K389="","",_xlfn.SWITCH($I389,"Computer",_xlfn.XLOOKUP($K389&amp;"",COMPUTER!$B$3:$B$1009&amp;"",COMPUTER!$J$3:$J$1009,""),"Display",_xlfn.XLOOKUP($K389&amp;"",DISPLAY!$B$3:$B$1000&amp;"",DISPLAY!$K$3:$K$1000,""),"Network Device",_xlfn.XLOOKUP($K389&amp;"",'NETWORK-DEVICES'!$B$3:$B$987&amp;"",'NETWORK-DEVICES'!$I$3:$I$987,""),"Peripheral",_xlfn.XLOOKUP($K389&amp;"",PERIPHERAL!$B$3:$B$954&amp;"",PERIPHERAL!$J$3:$J$954,""),"Utilities",_xlfn.XLOOKUP($K389&amp;"",UTILITIES!$B$3:$B$953&amp;"",UTILITIES!$I$3:$I$953,""),"IOT",_xlfn.XLOOKUP($K389&amp;"",IOT!$B$3:$B$1012&amp;"",IOT!$J$3:$J$1012,""),"Server",_xlfn.XLOOKUP($K389&amp;"",SERVER!$B$3:$B$1009&amp;"",SERVER!$J$3:$J$1009,""),""))</f>
        <v/>
      </c>
      <c r="N389" s="1" t="str" cm="1">
        <f t="array" ref="N389">IF(OR($K389="",$I389="",$J389=""),"",_xlfn.LET(_xlpm.srcCat,_xlfn.SWITCH($I389,"Computer",_xlfn.XLOOKUP($K389&amp;"",COMPUTER!$B$3:$B$1009&amp;"",COMPUTER!$H$3:$H$1009,""),"Display",_xlfn.XLOOKUP($K389&amp;"",DISPLAY!$B$3:$B$1000&amp;"",DISPLAY!$H$3:$H$1000,""),"Network Device",_xlfn.XLOOKUP($K389&amp;"",'NETWORK-DEVICES'!$B$3:$B$987&amp;"",'NETWORK-DEVICES'!$H$3:$H$987,""),"Peripheral",_xlfn.XLOOKUP($K389&amp;"",PERIPHERAL!$B$3:$B$954&amp;"",PERIPHERAL!$H$3:$H$954,""),"Utilities",_xlfn.XLOOKUP($K389&amp;"",UTILITIES!$B$3:$B$953&amp;"",UTILITIES!$G$3:$G$953,""),"IOT",_xlfn.XLOOKUP($K389&amp;"",IOT!$B$3:$B$1012&amp;"",IOT!$H$3:$H$1012,""),"Server",_xlfn.XLOOKUP($K389&amp;"",SERVER!$B$3:$B$1009&amp;"",SERVER!$H$3:$H$1009,""),""),IF(TRIM(_xlpm.srcCat)&lt;&gt;TRIM($J389),"",_xlfn.SWITCH($I389,"Computer",_xlfn.XLOOKUP($K389&amp;"",COMPUTER!$B$3:$B$1009&amp;"",COMPUTER!$K$3:$K$1009,""),"Display",_xlfn.XLOOKUP($K389&amp;"",DISPLAY!$B$3:$B$1000&amp;"",DISPLAY!$L$3:$L$1000,""),"Network Device",_xlfn.XLOOKUP($K389&amp;"",'NETWORK-DEVICES'!$B$3:$B$987&amp;"",'NETWORK-DEVICES'!$K$3:$K$987,""),"Peripheral",_xlfn.XLOOKUP($K389&amp;"",PERIPHERAL!$B$3:$B$954&amp;"",PERIPHERAL!$K$3:$K$954,""),"Utilities",_xlfn.XLOOKUP($K389&amp;"",UTILITIES!$B$3:$B$953&amp;"",UTILITIES!$J$3:$J$953,""),"IOT",_xlfn.XLOOKUP($K389&amp;"",IOT!$B$3:$B$1012&amp;"",IOT!$K$4:$K$1012,""),"Server",_xlfn.XLOOKUP($K389&amp;"",SERVER!$B$3:$B$1009&amp;"",SERVER!$K$3:$K$1009,""),""))))</f>
        <v/>
      </c>
      <c r="O389" s="1" t="str" cm="1">
        <f t="array" ref="O389">IF(OR($K389="",$I389="",$J389=""),"",_xlfn.LET(_xlpm.srcCat,_xlfn.SWITCH($I389,"Computer",_xlfn.XLOOKUP($K389&amp;"",COMPUTER!$B$3:$B$1009&amp;"",COMPUTER!$H$3:$H$1009,""),"Display",_xlfn.XLOOKUP($K389&amp;"",DISPLAY!$B$3:$B$1000&amp;"",DISPLAY!$H$3:$H$1000,""),"Network Device",_xlfn.XLOOKUP($K389&amp;"",'NETWORK-DEVICES'!$B$3:$B$987&amp;"",'NETWORK-DEVICES'!$H$3:$H$987,""),"Peripheral",_xlfn.XLOOKUP($K389&amp;"",PERIPHERAL!$B$3:$B$954&amp;"",PERIPHERAL!$H$3:$H$954,""),"Utilities",_xlfn.XLOOKUP($K389&amp;"",UTILITIES!$B$3:$B$953&amp;"",UTILITIES!$G$3:$G$953,""),"IOT",_xlfn.XLOOKUP($K389&amp;"",IOT!$B$3:$B$1012&amp;"",IOT!$H$3:$H$1012,""),"Server",_xlfn.XLOOKUP($K389&amp;"",SERVER!$B$3:$B$1009&amp;"",SERVER!$H$3:$H$1009,""),""),IF(TRIM(_xlpm.srcCat)&lt;&gt;TRIM($J389),"",_xlfn.SWITCH($I389,"Computer",_xlfn.XLOOKUP($K389&amp;"",COMPUTER!$B$3:$B$1009&amp;"",COMPUTER!$E$3:$E$1009,""),"Display",_xlfn.XLOOKUP($K389&amp;"",DISPLAY!$B$3:$B$1000&amp;"",DISPLAY!$E$3:$E$1000,""),"Network Device",_xlfn.XLOOKUP($K389&amp;"",'NETWORK-DEVICES'!$B$3:$B$987&amp;"",'NETWORK-DEVICES'!$E$3:$E$987,""),"Peripheral",_xlfn.XLOOKUP($K389&amp;"",PERIPHERAL!$B$3:$B$954&amp;"",PERIPHERAL!$E$3:$E$954,""),"Utilities",_xlfn.XLOOKUP($K389&amp;"",UTILITIES!$B$3:$B$953&amp;"",UTILITIES!$E$3:$E$953,""),"IOT",_xlfn.XLOOKUP($K389&amp;"",IOT!$B$3:$B$1012&amp;"",IOT!$E$3:$E$1012,""),"Server",_xlfn.XLOOKUP($K389&amp;"",SERVER!$B$3:$B$1009&amp;"",SERVER!$E$3:$E$1009,""),""))))</f>
        <v/>
      </c>
      <c r="Q389" s="1" t="str" cm="1">
        <f t="array" ref="Q389">IF(OR($K389="",$I389="",$J389=""),"",_xlfn.LET(_xlpm.srcCat,_xlfn.SWITCH($I389,"Computer",_xlfn.XLOOKUP($K389&amp;"",COMPUTER!$B$3:$B$1009&amp;"",COMPUTER!$H$3:$H$1009,""),"Display",_xlfn.XLOOKUP($K389&amp;"",DISPLAY!$B$3:$B$1000&amp;"",DISPLAY!$H$3:$H$1000,""),"Network Device",_xlfn.XLOOKUP($K389&amp;"",'NETWORK-DEVICES'!$B$3:$B$987&amp;"",'NETWORK-DEVICES'!$H$3:$H$987,""),"Peripheral",_xlfn.XLOOKUP($K389&amp;"",PERIPHERAL!$B$3:$B$954&amp;"",PERIPHERAL!$H$3:$H$954,""),"Utilities",_xlfn.XLOOKUP($K389&amp;"",UTILITIES!$B$3:$B$953&amp;"",UTILITIES!$G$3:$G$953,""),"IOT",_xlfn.XLOOKUP($K389&amp;"",IOT!$B$3:$B$1012&amp;"",IOT!$H$3:$H$1012,""),"Server",_xlfn.XLOOKUP($K389&amp;"",SERVER!$B$3:$B$1009&amp;"",SERVER!$H$3:$H$1009,""),""),IF(TRIM(_xlpm.srcCat)&lt;&gt;TRIM($J389),"",_xlfn.SWITCH($I389,"Computer",_xlfn.XLOOKUP($K389&amp;"",COMPUTER!$B$3:$B$1009&amp;"",COMPUTER!$AM$3:$AM$1009,""),"Display",_xlfn.XLOOKUP($K389&amp;"",DISPLAY!$B$3:$B$1000&amp;"",DISPLAY!$V$3:$V$1000,""),"Network Device",_xlfn.XLOOKUP($K389&amp;"",'NETWORK-DEVICES'!$B$3:$B$987&amp;"",'NETWORK-DEVICES'!$AF$3:$AF$987,""),"Peripheral",_xlfn.XLOOKUP($K389&amp;"",PERIPHERAL!$B$3:$B$954&amp;"",PERIPHERAL!$Y$3:$Y$954,""),"Utilities",_xlfn.XLOOKUP($K389&amp;"",UTILITIES!$B$3:$B$953&amp;"",UTILITIES!$O$3:$O$953,""),"IOT",_xlfn.XLOOKUP($K389&amp;"",IOT!$B$3:$B$1012&amp;"",IOT!$AB$3:$AB$1012,""),"Server",_xlfn.XLOOKUP($K389&amp;"",SERVER!$B$3:$B$1009&amp;"",SERVER!$AB$3:$AB$1009,""),""))))</f>
        <v/>
      </c>
      <c r="R389" s="43" t="str">
        <f>IF(tbl_handover[[#This Row],[Asset Code]]="","",COUNTIF(tbl_handover[Asset Code],tbl_handover[[#This Row],[Asset Code]]))</f>
        <v/>
      </c>
    </row>
    <row r="390" spans="1:18" x14ac:dyDescent="0.25">
      <c r="A390" s="43" t="str">
        <f>IF(B390&lt;&gt;"",SUBTOTAL(3,$B$1:B389),"")</f>
        <v/>
      </c>
      <c r="C390" s="74"/>
      <c r="D390" s="74"/>
      <c r="G390" s="1"/>
      <c r="K390" s="42"/>
      <c r="L390" t="str" cm="1">
        <f t="array" ref="L390">IF($K390="","",_xlfn.SWITCH($I390,"Computer",_xlfn.XLOOKUP($K390&amp;"",COMPUTER!$B$3:$B$1009&amp;"",COMPUTER!$I$3:$I$1009,""),"Display",_xlfn.XLOOKUP($K390&amp;"",DISPLAY!$B$3:$B$1000&amp;"",DISPLAY!$J$3:$J$1000,""),"Network Device",_xlfn.XLOOKUP($K390&amp;"",'NETWORK-DEVICES'!$B$3:$B$987&amp;"",'NETWORK-DEVICES'!$I$3:$I$987,""),"Peripheral",_xlfn.XLOOKUP($K390&amp;"",PERIPHERAL!$B$3:$B$954&amp;"",PERIPHERAL!$I$3:$I$954,""),"Utilities",_xlfn.XLOOKUP($K390&amp;"",UTILITIES!$B$3:$B$953&amp;"",UTILITIES!$H$3:$H$953,""),"IOT",_xlfn.XLOOKUP($K390&amp;"",IOT!$B$3:$B$1012&amp;"",IOT!$I$3:$I$1012,""),"SERVER",_xlfn.XLOOKUP($K390&amp;"",SERVER!$B$3:$B$1009&amp;"",SERVER!$I$3:$I$1009,""),""))</f>
        <v/>
      </c>
      <c r="M390" t="str" cm="1">
        <f t="array" ref="M390">IF($K390="","",_xlfn.SWITCH($I390,"Computer",_xlfn.XLOOKUP($K390&amp;"",COMPUTER!$B$3:$B$1009&amp;"",COMPUTER!$J$3:$J$1009,""),"Display",_xlfn.XLOOKUP($K390&amp;"",DISPLAY!$B$3:$B$1000&amp;"",DISPLAY!$K$3:$K$1000,""),"Network Device",_xlfn.XLOOKUP($K390&amp;"",'NETWORK-DEVICES'!$B$3:$B$987&amp;"",'NETWORK-DEVICES'!$I$3:$I$987,""),"Peripheral",_xlfn.XLOOKUP($K390&amp;"",PERIPHERAL!$B$3:$B$954&amp;"",PERIPHERAL!$J$3:$J$954,""),"Utilities",_xlfn.XLOOKUP($K390&amp;"",UTILITIES!$B$3:$B$953&amp;"",UTILITIES!$I$3:$I$953,""),"IOT",_xlfn.XLOOKUP($K390&amp;"",IOT!$B$3:$B$1012&amp;"",IOT!$J$3:$J$1012,""),"Server",_xlfn.XLOOKUP($K390&amp;"",SERVER!$B$3:$B$1009&amp;"",SERVER!$J$3:$J$1009,""),""))</f>
        <v/>
      </c>
      <c r="N390" s="1" t="str" cm="1">
        <f t="array" ref="N390">IF(OR($K390="",$I390="",$J390=""),"",_xlfn.LET(_xlpm.srcCat,_xlfn.SWITCH($I390,"Computer",_xlfn.XLOOKUP($K390&amp;"",COMPUTER!$B$3:$B$1009&amp;"",COMPUTER!$H$3:$H$1009,""),"Display",_xlfn.XLOOKUP($K390&amp;"",DISPLAY!$B$3:$B$1000&amp;"",DISPLAY!$H$3:$H$1000,""),"Network Device",_xlfn.XLOOKUP($K390&amp;"",'NETWORK-DEVICES'!$B$3:$B$987&amp;"",'NETWORK-DEVICES'!$H$3:$H$987,""),"Peripheral",_xlfn.XLOOKUP($K390&amp;"",PERIPHERAL!$B$3:$B$954&amp;"",PERIPHERAL!$H$3:$H$954,""),"Utilities",_xlfn.XLOOKUP($K390&amp;"",UTILITIES!$B$3:$B$953&amp;"",UTILITIES!$G$3:$G$953,""),"IOT",_xlfn.XLOOKUP($K390&amp;"",IOT!$B$3:$B$1012&amp;"",IOT!$H$3:$H$1012,""),"Server",_xlfn.XLOOKUP($K390&amp;"",SERVER!$B$3:$B$1009&amp;"",SERVER!$H$3:$H$1009,""),""),IF(TRIM(_xlpm.srcCat)&lt;&gt;TRIM($J390),"",_xlfn.SWITCH($I390,"Computer",_xlfn.XLOOKUP($K390&amp;"",COMPUTER!$B$3:$B$1009&amp;"",COMPUTER!$K$3:$K$1009,""),"Display",_xlfn.XLOOKUP($K390&amp;"",DISPLAY!$B$3:$B$1000&amp;"",DISPLAY!$L$3:$L$1000,""),"Network Device",_xlfn.XLOOKUP($K390&amp;"",'NETWORK-DEVICES'!$B$3:$B$987&amp;"",'NETWORK-DEVICES'!$K$3:$K$987,""),"Peripheral",_xlfn.XLOOKUP($K390&amp;"",PERIPHERAL!$B$3:$B$954&amp;"",PERIPHERAL!$K$3:$K$954,""),"Utilities",_xlfn.XLOOKUP($K390&amp;"",UTILITIES!$B$3:$B$953&amp;"",UTILITIES!$J$3:$J$953,""),"IOT",_xlfn.XLOOKUP($K390&amp;"",IOT!$B$3:$B$1012&amp;"",IOT!$K$4:$K$1012,""),"Server",_xlfn.XLOOKUP($K390&amp;"",SERVER!$B$3:$B$1009&amp;"",SERVER!$K$3:$K$1009,""),""))))</f>
        <v/>
      </c>
      <c r="O390" s="1" t="str" cm="1">
        <f t="array" ref="O390">IF(OR($K390="",$I390="",$J390=""),"",_xlfn.LET(_xlpm.srcCat,_xlfn.SWITCH($I390,"Computer",_xlfn.XLOOKUP($K390&amp;"",COMPUTER!$B$3:$B$1009&amp;"",COMPUTER!$H$3:$H$1009,""),"Display",_xlfn.XLOOKUP($K390&amp;"",DISPLAY!$B$3:$B$1000&amp;"",DISPLAY!$H$3:$H$1000,""),"Network Device",_xlfn.XLOOKUP($K390&amp;"",'NETWORK-DEVICES'!$B$3:$B$987&amp;"",'NETWORK-DEVICES'!$H$3:$H$987,""),"Peripheral",_xlfn.XLOOKUP($K390&amp;"",PERIPHERAL!$B$3:$B$954&amp;"",PERIPHERAL!$H$3:$H$954,""),"Utilities",_xlfn.XLOOKUP($K390&amp;"",UTILITIES!$B$3:$B$953&amp;"",UTILITIES!$G$3:$G$953,""),"IOT",_xlfn.XLOOKUP($K390&amp;"",IOT!$B$3:$B$1012&amp;"",IOT!$H$3:$H$1012,""),"Server",_xlfn.XLOOKUP($K390&amp;"",SERVER!$B$3:$B$1009&amp;"",SERVER!$H$3:$H$1009,""),""),IF(TRIM(_xlpm.srcCat)&lt;&gt;TRIM($J390),"",_xlfn.SWITCH($I390,"Computer",_xlfn.XLOOKUP($K390&amp;"",COMPUTER!$B$3:$B$1009&amp;"",COMPUTER!$E$3:$E$1009,""),"Display",_xlfn.XLOOKUP($K390&amp;"",DISPLAY!$B$3:$B$1000&amp;"",DISPLAY!$E$3:$E$1000,""),"Network Device",_xlfn.XLOOKUP($K390&amp;"",'NETWORK-DEVICES'!$B$3:$B$987&amp;"",'NETWORK-DEVICES'!$E$3:$E$987,""),"Peripheral",_xlfn.XLOOKUP($K390&amp;"",PERIPHERAL!$B$3:$B$954&amp;"",PERIPHERAL!$E$3:$E$954,""),"Utilities",_xlfn.XLOOKUP($K390&amp;"",UTILITIES!$B$3:$B$953&amp;"",UTILITIES!$E$3:$E$953,""),"IOT",_xlfn.XLOOKUP($K390&amp;"",IOT!$B$3:$B$1012&amp;"",IOT!$E$3:$E$1012,""),"Server",_xlfn.XLOOKUP($K390&amp;"",SERVER!$B$3:$B$1009&amp;"",SERVER!$E$3:$E$1009,""),""))))</f>
        <v/>
      </c>
      <c r="Q390" s="1" t="str" cm="1">
        <f t="array" ref="Q390">IF(OR($K390="",$I390="",$J390=""),"",_xlfn.LET(_xlpm.srcCat,_xlfn.SWITCH($I390,"Computer",_xlfn.XLOOKUP($K390&amp;"",COMPUTER!$B$3:$B$1009&amp;"",COMPUTER!$H$3:$H$1009,""),"Display",_xlfn.XLOOKUP($K390&amp;"",DISPLAY!$B$3:$B$1000&amp;"",DISPLAY!$H$3:$H$1000,""),"Network Device",_xlfn.XLOOKUP($K390&amp;"",'NETWORK-DEVICES'!$B$3:$B$987&amp;"",'NETWORK-DEVICES'!$H$3:$H$987,""),"Peripheral",_xlfn.XLOOKUP($K390&amp;"",PERIPHERAL!$B$3:$B$954&amp;"",PERIPHERAL!$H$3:$H$954,""),"Utilities",_xlfn.XLOOKUP($K390&amp;"",UTILITIES!$B$3:$B$953&amp;"",UTILITIES!$G$3:$G$953,""),"IOT",_xlfn.XLOOKUP($K390&amp;"",IOT!$B$3:$B$1012&amp;"",IOT!$H$3:$H$1012,""),"Server",_xlfn.XLOOKUP($K390&amp;"",SERVER!$B$3:$B$1009&amp;"",SERVER!$H$3:$H$1009,""),""),IF(TRIM(_xlpm.srcCat)&lt;&gt;TRIM($J390),"",_xlfn.SWITCH($I390,"Computer",_xlfn.XLOOKUP($K390&amp;"",COMPUTER!$B$3:$B$1009&amp;"",COMPUTER!$AM$3:$AM$1009,""),"Display",_xlfn.XLOOKUP($K390&amp;"",DISPLAY!$B$3:$B$1000&amp;"",DISPLAY!$V$3:$V$1000,""),"Network Device",_xlfn.XLOOKUP($K390&amp;"",'NETWORK-DEVICES'!$B$3:$B$987&amp;"",'NETWORK-DEVICES'!$AF$3:$AF$987,""),"Peripheral",_xlfn.XLOOKUP($K390&amp;"",PERIPHERAL!$B$3:$B$954&amp;"",PERIPHERAL!$Y$3:$Y$954,""),"Utilities",_xlfn.XLOOKUP($K390&amp;"",UTILITIES!$B$3:$B$953&amp;"",UTILITIES!$O$3:$O$953,""),"IOT",_xlfn.XLOOKUP($K390&amp;"",IOT!$B$3:$B$1012&amp;"",IOT!$AB$3:$AB$1012,""),"Server",_xlfn.XLOOKUP($K390&amp;"",SERVER!$B$3:$B$1009&amp;"",SERVER!$AB$3:$AB$1009,""),""))))</f>
        <v/>
      </c>
      <c r="R390" s="43" t="str">
        <f>IF(tbl_handover[[#This Row],[Asset Code]]="","",COUNTIF(tbl_handover[Asset Code],tbl_handover[[#This Row],[Asset Code]]))</f>
        <v/>
      </c>
    </row>
    <row r="391" spans="1:18" x14ac:dyDescent="0.25">
      <c r="A391" s="43" t="str">
        <f>IF(B391&lt;&gt;"",SUBTOTAL(3,$B$1:B390),"")</f>
        <v/>
      </c>
      <c r="C391" s="74"/>
      <c r="D391" s="74"/>
      <c r="G391" s="1"/>
      <c r="K391" s="42"/>
      <c r="L391" t="str" cm="1">
        <f t="array" ref="L391">IF($K391="","",_xlfn.SWITCH($I391,"Computer",_xlfn.XLOOKUP($K391&amp;"",COMPUTER!$B$3:$B$1009&amp;"",COMPUTER!$I$3:$I$1009,""),"Display",_xlfn.XLOOKUP($K391&amp;"",DISPLAY!$B$3:$B$1000&amp;"",DISPLAY!$J$3:$J$1000,""),"Network Device",_xlfn.XLOOKUP($K391&amp;"",'NETWORK-DEVICES'!$B$3:$B$987&amp;"",'NETWORK-DEVICES'!$I$3:$I$987,""),"Peripheral",_xlfn.XLOOKUP($K391&amp;"",PERIPHERAL!$B$3:$B$954&amp;"",PERIPHERAL!$I$3:$I$954,""),"Utilities",_xlfn.XLOOKUP($K391&amp;"",UTILITIES!$B$3:$B$953&amp;"",UTILITIES!$H$3:$H$953,""),"IOT",_xlfn.XLOOKUP($K391&amp;"",IOT!$B$3:$B$1012&amp;"",IOT!$I$3:$I$1012,""),"SERVER",_xlfn.XLOOKUP($K391&amp;"",SERVER!$B$3:$B$1009&amp;"",SERVER!$I$3:$I$1009,""),""))</f>
        <v/>
      </c>
      <c r="M391" t="str" cm="1">
        <f t="array" ref="M391">IF($K391="","",_xlfn.SWITCH($I391,"Computer",_xlfn.XLOOKUP($K391&amp;"",COMPUTER!$B$3:$B$1009&amp;"",COMPUTER!$J$3:$J$1009,""),"Display",_xlfn.XLOOKUP($K391&amp;"",DISPLAY!$B$3:$B$1000&amp;"",DISPLAY!$K$3:$K$1000,""),"Network Device",_xlfn.XLOOKUP($K391&amp;"",'NETWORK-DEVICES'!$B$3:$B$987&amp;"",'NETWORK-DEVICES'!$I$3:$I$987,""),"Peripheral",_xlfn.XLOOKUP($K391&amp;"",PERIPHERAL!$B$3:$B$954&amp;"",PERIPHERAL!$J$3:$J$954,""),"Utilities",_xlfn.XLOOKUP($K391&amp;"",UTILITIES!$B$3:$B$953&amp;"",UTILITIES!$I$3:$I$953,""),"IOT",_xlfn.XLOOKUP($K391&amp;"",IOT!$B$3:$B$1012&amp;"",IOT!$J$3:$J$1012,""),"Server",_xlfn.XLOOKUP($K391&amp;"",SERVER!$B$3:$B$1009&amp;"",SERVER!$J$3:$J$1009,""),""))</f>
        <v/>
      </c>
      <c r="N391" s="1" t="str" cm="1">
        <f t="array" ref="N391">IF(OR($K391="",$I391="",$J391=""),"",_xlfn.LET(_xlpm.srcCat,_xlfn.SWITCH($I391,"Computer",_xlfn.XLOOKUP($K391&amp;"",COMPUTER!$B$3:$B$1009&amp;"",COMPUTER!$H$3:$H$1009,""),"Display",_xlfn.XLOOKUP($K391&amp;"",DISPLAY!$B$3:$B$1000&amp;"",DISPLAY!$H$3:$H$1000,""),"Network Device",_xlfn.XLOOKUP($K391&amp;"",'NETWORK-DEVICES'!$B$3:$B$987&amp;"",'NETWORK-DEVICES'!$H$3:$H$987,""),"Peripheral",_xlfn.XLOOKUP($K391&amp;"",PERIPHERAL!$B$3:$B$954&amp;"",PERIPHERAL!$H$3:$H$954,""),"Utilities",_xlfn.XLOOKUP($K391&amp;"",UTILITIES!$B$3:$B$953&amp;"",UTILITIES!$G$3:$G$953,""),"IOT",_xlfn.XLOOKUP($K391&amp;"",IOT!$B$3:$B$1012&amp;"",IOT!$H$3:$H$1012,""),"Server",_xlfn.XLOOKUP($K391&amp;"",SERVER!$B$3:$B$1009&amp;"",SERVER!$H$3:$H$1009,""),""),IF(TRIM(_xlpm.srcCat)&lt;&gt;TRIM($J391),"",_xlfn.SWITCH($I391,"Computer",_xlfn.XLOOKUP($K391&amp;"",COMPUTER!$B$3:$B$1009&amp;"",COMPUTER!$K$3:$K$1009,""),"Display",_xlfn.XLOOKUP($K391&amp;"",DISPLAY!$B$3:$B$1000&amp;"",DISPLAY!$L$3:$L$1000,""),"Network Device",_xlfn.XLOOKUP($K391&amp;"",'NETWORK-DEVICES'!$B$3:$B$987&amp;"",'NETWORK-DEVICES'!$K$3:$K$987,""),"Peripheral",_xlfn.XLOOKUP($K391&amp;"",PERIPHERAL!$B$3:$B$954&amp;"",PERIPHERAL!$K$3:$K$954,""),"Utilities",_xlfn.XLOOKUP($K391&amp;"",UTILITIES!$B$3:$B$953&amp;"",UTILITIES!$J$3:$J$953,""),"IOT",_xlfn.XLOOKUP($K391&amp;"",IOT!$B$3:$B$1012&amp;"",IOT!$K$4:$K$1012,""),"Server",_xlfn.XLOOKUP($K391&amp;"",SERVER!$B$3:$B$1009&amp;"",SERVER!$K$3:$K$1009,""),""))))</f>
        <v/>
      </c>
      <c r="O391" s="1" t="str" cm="1">
        <f t="array" ref="O391">IF(OR($K391="",$I391="",$J391=""),"",_xlfn.LET(_xlpm.srcCat,_xlfn.SWITCH($I391,"Computer",_xlfn.XLOOKUP($K391&amp;"",COMPUTER!$B$3:$B$1009&amp;"",COMPUTER!$H$3:$H$1009,""),"Display",_xlfn.XLOOKUP($K391&amp;"",DISPLAY!$B$3:$B$1000&amp;"",DISPLAY!$H$3:$H$1000,""),"Network Device",_xlfn.XLOOKUP($K391&amp;"",'NETWORK-DEVICES'!$B$3:$B$987&amp;"",'NETWORK-DEVICES'!$H$3:$H$987,""),"Peripheral",_xlfn.XLOOKUP($K391&amp;"",PERIPHERAL!$B$3:$B$954&amp;"",PERIPHERAL!$H$3:$H$954,""),"Utilities",_xlfn.XLOOKUP($K391&amp;"",UTILITIES!$B$3:$B$953&amp;"",UTILITIES!$G$3:$G$953,""),"IOT",_xlfn.XLOOKUP($K391&amp;"",IOT!$B$3:$B$1012&amp;"",IOT!$H$3:$H$1012,""),"Server",_xlfn.XLOOKUP($K391&amp;"",SERVER!$B$3:$B$1009&amp;"",SERVER!$H$3:$H$1009,""),""),IF(TRIM(_xlpm.srcCat)&lt;&gt;TRIM($J391),"",_xlfn.SWITCH($I391,"Computer",_xlfn.XLOOKUP($K391&amp;"",COMPUTER!$B$3:$B$1009&amp;"",COMPUTER!$E$3:$E$1009,""),"Display",_xlfn.XLOOKUP($K391&amp;"",DISPLAY!$B$3:$B$1000&amp;"",DISPLAY!$E$3:$E$1000,""),"Network Device",_xlfn.XLOOKUP($K391&amp;"",'NETWORK-DEVICES'!$B$3:$B$987&amp;"",'NETWORK-DEVICES'!$E$3:$E$987,""),"Peripheral",_xlfn.XLOOKUP($K391&amp;"",PERIPHERAL!$B$3:$B$954&amp;"",PERIPHERAL!$E$3:$E$954,""),"Utilities",_xlfn.XLOOKUP($K391&amp;"",UTILITIES!$B$3:$B$953&amp;"",UTILITIES!$E$3:$E$953,""),"IOT",_xlfn.XLOOKUP($K391&amp;"",IOT!$B$3:$B$1012&amp;"",IOT!$E$3:$E$1012,""),"Server",_xlfn.XLOOKUP($K391&amp;"",SERVER!$B$3:$B$1009&amp;"",SERVER!$E$3:$E$1009,""),""))))</f>
        <v/>
      </c>
      <c r="Q391" s="1" t="str" cm="1">
        <f t="array" ref="Q391">IF(OR($K391="",$I391="",$J391=""),"",_xlfn.LET(_xlpm.srcCat,_xlfn.SWITCH($I391,"Computer",_xlfn.XLOOKUP($K391&amp;"",COMPUTER!$B$3:$B$1009&amp;"",COMPUTER!$H$3:$H$1009,""),"Display",_xlfn.XLOOKUP($K391&amp;"",DISPLAY!$B$3:$B$1000&amp;"",DISPLAY!$H$3:$H$1000,""),"Network Device",_xlfn.XLOOKUP($K391&amp;"",'NETWORK-DEVICES'!$B$3:$B$987&amp;"",'NETWORK-DEVICES'!$H$3:$H$987,""),"Peripheral",_xlfn.XLOOKUP($K391&amp;"",PERIPHERAL!$B$3:$B$954&amp;"",PERIPHERAL!$H$3:$H$954,""),"Utilities",_xlfn.XLOOKUP($K391&amp;"",UTILITIES!$B$3:$B$953&amp;"",UTILITIES!$G$3:$G$953,""),"IOT",_xlfn.XLOOKUP($K391&amp;"",IOT!$B$3:$B$1012&amp;"",IOT!$H$3:$H$1012,""),"Server",_xlfn.XLOOKUP($K391&amp;"",SERVER!$B$3:$B$1009&amp;"",SERVER!$H$3:$H$1009,""),""),IF(TRIM(_xlpm.srcCat)&lt;&gt;TRIM($J391),"",_xlfn.SWITCH($I391,"Computer",_xlfn.XLOOKUP($K391&amp;"",COMPUTER!$B$3:$B$1009&amp;"",COMPUTER!$AM$3:$AM$1009,""),"Display",_xlfn.XLOOKUP($K391&amp;"",DISPLAY!$B$3:$B$1000&amp;"",DISPLAY!$V$3:$V$1000,""),"Network Device",_xlfn.XLOOKUP($K391&amp;"",'NETWORK-DEVICES'!$B$3:$B$987&amp;"",'NETWORK-DEVICES'!$AF$3:$AF$987,""),"Peripheral",_xlfn.XLOOKUP($K391&amp;"",PERIPHERAL!$B$3:$B$954&amp;"",PERIPHERAL!$Y$3:$Y$954,""),"Utilities",_xlfn.XLOOKUP($K391&amp;"",UTILITIES!$B$3:$B$953&amp;"",UTILITIES!$O$3:$O$953,""),"IOT",_xlfn.XLOOKUP($K391&amp;"",IOT!$B$3:$B$1012&amp;"",IOT!$AB$3:$AB$1012,""),"Server",_xlfn.XLOOKUP($K391&amp;"",SERVER!$B$3:$B$1009&amp;"",SERVER!$AB$3:$AB$1009,""),""))))</f>
        <v/>
      </c>
      <c r="R391" s="43" t="str">
        <f>IF(tbl_handover[[#This Row],[Asset Code]]="","",COUNTIF(tbl_handover[Asset Code],tbl_handover[[#This Row],[Asset Code]]))</f>
        <v/>
      </c>
    </row>
    <row r="392" spans="1:18" x14ac:dyDescent="0.25">
      <c r="A392" s="43" t="str">
        <f>IF(B392&lt;&gt;"",SUBTOTAL(3,$B$1:B391),"")</f>
        <v/>
      </c>
      <c r="C392" s="74"/>
      <c r="D392" s="74"/>
      <c r="G392" s="1"/>
      <c r="K392" s="42"/>
      <c r="L392" t="str" cm="1">
        <f t="array" ref="L392">IF($K392="","",_xlfn.SWITCH($I392,"Computer",_xlfn.XLOOKUP($K392&amp;"",COMPUTER!$B$3:$B$1009&amp;"",COMPUTER!$I$3:$I$1009,""),"Display",_xlfn.XLOOKUP($K392&amp;"",DISPLAY!$B$3:$B$1000&amp;"",DISPLAY!$J$3:$J$1000,""),"Network Device",_xlfn.XLOOKUP($K392&amp;"",'NETWORK-DEVICES'!$B$3:$B$987&amp;"",'NETWORK-DEVICES'!$I$3:$I$987,""),"Peripheral",_xlfn.XLOOKUP($K392&amp;"",PERIPHERAL!$B$3:$B$954&amp;"",PERIPHERAL!$I$3:$I$954,""),"Utilities",_xlfn.XLOOKUP($K392&amp;"",UTILITIES!$B$3:$B$953&amp;"",UTILITIES!$H$3:$H$953,""),"IOT",_xlfn.XLOOKUP($K392&amp;"",IOT!$B$3:$B$1012&amp;"",IOT!$I$3:$I$1012,""),"SERVER",_xlfn.XLOOKUP($K392&amp;"",SERVER!$B$3:$B$1009&amp;"",SERVER!$I$3:$I$1009,""),""))</f>
        <v/>
      </c>
      <c r="M392" t="str" cm="1">
        <f t="array" ref="M392">IF($K392="","",_xlfn.SWITCH($I392,"Computer",_xlfn.XLOOKUP($K392&amp;"",COMPUTER!$B$3:$B$1009&amp;"",COMPUTER!$J$3:$J$1009,""),"Display",_xlfn.XLOOKUP($K392&amp;"",DISPLAY!$B$3:$B$1000&amp;"",DISPLAY!$K$3:$K$1000,""),"Network Device",_xlfn.XLOOKUP($K392&amp;"",'NETWORK-DEVICES'!$B$3:$B$987&amp;"",'NETWORK-DEVICES'!$I$3:$I$987,""),"Peripheral",_xlfn.XLOOKUP($K392&amp;"",PERIPHERAL!$B$3:$B$954&amp;"",PERIPHERAL!$J$3:$J$954,""),"Utilities",_xlfn.XLOOKUP($K392&amp;"",UTILITIES!$B$3:$B$953&amp;"",UTILITIES!$I$3:$I$953,""),"IOT",_xlfn.XLOOKUP($K392&amp;"",IOT!$B$3:$B$1012&amp;"",IOT!$J$3:$J$1012,""),"Server",_xlfn.XLOOKUP($K392&amp;"",SERVER!$B$3:$B$1009&amp;"",SERVER!$J$3:$J$1009,""),""))</f>
        <v/>
      </c>
      <c r="N392" s="1" t="str" cm="1">
        <f t="array" ref="N392">IF(OR($K392="",$I392="",$J392=""),"",_xlfn.LET(_xlpm.srcCat,_xlfn.SWITCH($I392,"Computer",_xlfn.XLOOKUP($K392&amp;"",COMPUTER!$B$3:$B$1009&amp;"",COMPUTER!$H$3:$H$1009,""),"Display",_xlfn.XLOOKUP($K392&amp;"",DISPLAY!$B$3:$B$1000&amp;"",DISPLAY!$H$3:$H$1000,""),"Network Device",_xlfn.XLOOKUP($K392&amp;"",'NETWORK-DEVICES'!$B$3:$B$987&amp;"",'NETWORK-DEVICES'!$H$3:$H$987,""),"Peripheral",_xlfn.XLOOKUP($K392&amp;"",PERIPHERAL!$B$3:$B$954&amp;"",PERIPHERAL!$H$3:$H$954,""),"Utilities",_xlfn.XLOOKUP($K392&amp;"",UTILITIES!$B$3:$B$953&amp;"",UTILITIES!$G$3:$G$953,""),"IOT",_xlfn.XLOOKUP($K392&amp;"",IOT!$B$3:$B$1012&amp;"",IOT!$H$3:$H$1012,""),"Server",_xlfn.XLOOKUP($K392&amp;"",SERVER!$B$3:$B$1009&amp;"",SERVER!$H$3:$H$1009,""),""),IF(TRIM(_xlpm.srcCat)&lt;&gt;TRIM($J392),"",_xlfn.SWITCH($I392,"Computer",_xlfn.XLOOKUP($K392&amp;"",COMPUTER!$B$3:$B$1009&amp;"",COMPUTER!$K$3:$K$1009,""),"Display",_xlfn.XLOOKUP($K392&amp;"",DISPLAY!$B$3:$B$1000&amp;"",DISPLAY!$L$3:$L$1000,""),"Network Device",_xlfn.XLOOKUP($K392&amp;"",'NETWORK-DEVICES'!$B$3:$B$987&amp;"",'NETWORK-DEVICES'!$K$3:$K$987,""),"Peripheral",_xlfn.XLOOKUP($K392&amp;"",PERIPHERAL!$B$3:$B$954&amp;"",PERIPHERAL!$K$3:$K$954,""),"Utilities",_xlfn.XLOOKUP($K392&amp;"",UTILITIES!$B$3:$B$953&amp;"",UTILITIES!$J$3:$J$953,""),"IOT",_xlfn.XLOOKUP($K392&amp;"",IOT!$B$3:$B$1012&amp;"",IOT!$K$4:$K$1012,""),"Server",_xlfn.XLOOKUP($K392&amp;"",SERVER!$B$3:$B$1009&amp;"",SERVER!$K$3:$K$1009,""),""))))</f>
        <v/>
      </c>
      <c r="O392" s="1" t="str" cm="1">
        <f t="array" ref="O392">IF(OR($K392="",$I392="",$J392=""),"",_xlfn.LET(_xlpm.srcCat,_xlfn.SWITCH($I392,"Computer",_xlfn.XLOOKUP($K392&amp;"",COMPUTER!$B$3:$B$1009&amp;"",COMPUTER!$H$3:$H$1009,""),"Display",_xlfn.XLOOKUP($K392&amp;"",DISPLAY!$B$3:$B$1000&amp;"",DISPLAY!$H$3:$H$1000,""),"Network Device",_xlfn.XLOOKUP($K392&amp;"",'NETWORK-DEVICES'!$B$3:$B$987&amp;"",'NETWORK-DEVICES'!$H$3:$H$987,""),"Peripheral",_xlfn.XLOOKUP($K392&amp;"",PERIPHERAL!$B$3:$B$954&amp;"",PERIPHERAL!$H$3:$H$954,""),"Utilities",_xlfn.XLOOKUP($K392&amp;"",UTILITIES!$B$3:$B$953&amp;"",UTILITIES!$G$3:$G$953,""),"IOT",_xlfn.XLOOKUP($K392&amp;"",IOT!$B$3:$B$1012&amp;"",IOT!$H$3:$H$1012,""),"Server",_xlfn.XLOOKUP($K392&amp;"",SERVER!$B$3:$B$1009&amp;"",SERVER!$H$3:$H$1009,""),""),IF(TRIM(_xlpm.srcCat)&lt;&gt;TRIM($J392),"",_xlfn.SWITCH($I392,"Computer",_xlfn.XLOOKUP($K392&amp;"",COMPUTER!$B$3:$B$1009&amp;"",COMPUTER!$E$3:$E$1009,""),"Display",_xlfn.XLOOKUP($K392&amp;"",DISPLAY!$B$3:$B$1000&amp;"",DISPLAY!$E$3:$E$1000,""),"Network Device",_xlfn.XLOOKUP($K392&amp;"",'NETWORK-DEVICES'!$B$3:$B$987&amp;"",'NETWORK-DEVICES'!$E$3:$E$987,""),"Peripheral",_xlfn.XLOOKUP($K392&amp;"",PERIPHERAL!$B$3:$B$954&amp;"",PERIPHERAL!$E$3:$E$954,""),"Utilities",_xlfn.XLOOKUP($K392&amp;"",UTILITIES!$B$3:$B$953&amp;"",UTILITIES!$E$3:$E$953,""),"IOT",_xlfn.XLOOKUP($K392&amp;"",IOT!$B$3:$B$1012&amp;"",IOT!$E$3:$E$1012,""),"Server",_xlfn.XLOOKUP($K392&amp;"",SERVER!$B$3:$B$1009&amp;"",SERVER!$E$3:$E$1009,""),""))))</f>
        <v/>
      </c>
      <c r="Q392" s="1" t="str" cm="1">
        <f t="array" ref="Q392">IF(OR($K392="",$I392="",$J392=""),"",_xlfn.LET(_xlpm.srcCat,_xlfn.SWITCH($I392,"Computer",_xlfn.XLOOKUP($K392&amp;"",COMPUTER!$B$3:$B$1009&amp;"",COMPUTER!$H$3:$H$1009,""),"Display",_xlfn.XLOOKUP($K392&amp;"",DISPLAY!$B$3:$B$1000&amp;"",DISPLAY!$H$3:$H$1000,""),"Network Device",_xlfn.XLOOKUP($K392&amp;"",'NETWORK-DEVICES'!$B$3:$B$987&amp;"",'NETWORK-DEVICES'!$H$3:$H$987,""),"Peripheral",_xlfn.XLOOKUP($K392&amp;"",PERIPHERAL!$B$3:$B$954&amp;"",PERIPHERAL!$H$3:$H$954,""),"Utilities",_xlfn.XLOOKUP($K392&amp;"",UTILITIES!$B$3:$B$953&amp;"",UTILITIES!$G$3:$G$953,""),"IOT",_xlfn.XLOOKUP($K392&amp;"",IOT!$B$3:$B$1012&amp;"",IOT!$H$3:$H$1012,""),"Server",_xlfn.XLOOKUP($K392&amp;"",SERVER!$B$3:$B$1009&amp;"",SERVER!$H$3:$H$1009,""),""),IF(TRIM(_xlpm.srcCat)&lt;&gt;TRIM($J392),"",_xlfn.SWITCH($I392,"Computer",_xlfn.XLOOKUP($K392&amp;"",COMPUTER!$B$3:$B$1009&amp;"",COMPUTER!$AM$3:$AM$1009,""),"Display",_xlfn.XLOOKUP($K392&amp;"",DISPLAY!$B$3:$B$1000&amp;"",DISPLAY!$V$3:$V$1000,""),"Network Device",_xlfn.XLOOKUP($K392&amp;"",'NETWORK-DEVICES'!$B$3:$B$987&amp;"",'NETWORK-DEVICES'!$AF$3:$AF$987,""),"Peripheral",_xlfn.XLOOKUP($K392&amp;"",PERIPHERAL!$B$3:$B$954&amp;"",PERIPHERAL!$Y$3:$Y$954,""),"Utilities",_xlfn.XLOOKUP($K392&amp;"",UTILITIES!$B$3:$B$953&amp;"",UTILITIES!$O$3:$O$953,""),"IOT",_xlfn.XLOOKUP($K392&amp;"",IOT!$B$3:$B$1012&amp;"",IOT!$AB$3:$AB$1012,""),"Server",_xlfn.XLOOKUP($K392&amp;"",SERVER!$B$3:$B$1009&amp;"",SERVER!$AB$3:$AB$1009,""),""))))</f>
        <v/>
      </c>
      <c r="R392" s="43" t="str">
        <f>IF(tbl_handover[[#This Row],[Asset Code]]="","",COUNTIF(tbl_handover[Asset Code],tbl_handover[[#This Row],[Asset Code]]))</f>
        <v/>
      </c>
    </row>
    <row r="393" spans="1:18" x14ac:dyDescent="0.25">
      <c r="A393" s="43" t="str">
        <f>IF(B393&lt;&gt;"",SUBTOTAL(3,$B$1:B392),"")</f>
        <v/>
      </c>
      <c r="C393" s="74"/>
      <c r="D393" s="74"/>
      <c r="G393" s="1"/>
      <c r="K393" s="42"/>
      <c r="L393" t="str" cm="1">
        <f t="array" ref="L393">IF($K393="","",_xlfn.SWITCH($I393,"Computer",_xlfn.XLOOKUP($K393&amp;"",COMPUTER!$B$3:$B$1009&amp;"",COMPUTER!$I$3:$I$1009,""),"Display",_xlfn.XLOOKUP($K393&amp;"",DISPLAY!$B$3:$B$1000&amp;"",DISPLAY!$J$3:$J$1000,""),"Network Device",_xlfn.XLOOKUP($K393&amp;"",'NETWORK-DEVICES'!$B$3:$B$987&amp;"",'NETWORK-DEVICES'!$I$3:$I$987,""),"Peripheral",_xlfn.XLOOKUP($K393&amp;"",PERIPHERAL!$B$3:$B$954&amp;"",PERIPHERAL!$I$3:$I$954,""),"Utilities",_xlfn.XLOOKUP($K393&amp;"",UTILITIES!$B$3:$B$953&amp;"",UTILITIES!$H$3:$H$953,""),"IOT",_xlfn.XLOOKUP($K393&amp;"",IOT!$B$3:$B$1012&amp;"",IOT!$I$3:$I$1012,""),"SERVER",_xlfn.XLOOKUP($K393&amp;"",SERVER!$B$3:$B$1009&amp;"",SERVER!$I$3:$I$1009,""),""))</f>
        <v/>
      </c>
      <c r="M393" t="str" cm="1">
        <f t="array" ref="M393">IF($K393="","",_xlfn.SWITCH($I393,"Computer",_xlfn.XLOOKUP($K393&amp;"",COMPUTER!$B$3:$B$1009&amp;"",COMPUTER!$J$3:$J$1009,""),"Display",_xlfn.XLOOKUP($K393&amp;"",DISPLAY!$B$3:$B$1000&amp;"",DISPLAY!$K$3:$K$1000,""),"Network Device",_xlfn.XLOOKUP($K393&amp;"",'NETWORK-DEVICES'!$B$3:$B$987&amp;"",'NETWORK-DEVICES'!$I$3:$I$987,""),"Peripheral",_xlfn.XLOOKUP($K393&amp;"",PERIPHERAL!$B$3:$B$954&amp;"",PERIPHERAL!$J$3:$J$954,""),"Utilities",_xlfn.XLOOKUP($K393&amp;"",UTILITIES!$B$3:$B$953&amp;"",UTILITIES!$I$3:$I$953,""),"IOT",_xlfn.XLOOKUP($K393&amp;"",IOT!$B$3:$B$1012&amp;"",IOT!$J$3:$J$1012,""),"Server",_xlfn.XLOOKUP($K393&amp;"",SERVER!$B$3:$B$1009&amp;"",SERVER!$J$3:$J$1009,""),""))</f>
        <v/>
      </c>
      <c r="N393" s="1" t="str" cm="1">
        <f t="array" ref="N393">IF(OR($K393="",$I393="",$J393=""),"",_xlfn.LET(_xlpm.srcCat,_xlfn.SWITCH($I393,"Computer",_xlfn.XLOOKUP($K393&amp;"",COMPUTER!$B$3:$B$1009&amp;"",COMPUTER!$H$3:$H$1009,""),"Display",_xlfn.XLOOKUP($K393&amp;"",DISPLAY!$B$3:$B$1000&amp;"",DISPLAY!$H$3:$H$1000,""),"Network Device",_xlfn.XLOOKUP($K393&amp;"",'NETWORK-DEVICES'!$B$3:$B$987&amp;"",'NETWORK-DEVICES'!$H$3:$H$987,""),"Peripheral",_xlfn.XLOOKUP($K393&amp;"",PERIPHERAL!$B$3:$B$954&amp;"",PERIPHERAL!$H$3:$H$954,""),"Utilities",_xlfn.XLOOKUP($K393&amp;"",UTILITIES!$B$3:$B$953&amp;"",UTILITIES!$G$3:$G$953,""),"IOT",_xlfn.XLOOKUP($K393&amp;"",IOT!$B$3:$B$1012&amp;"",IOT!$H$3:$H$1012,""),"Server",_xlfn.XLOOKUP($K393&amp;"",SERVER!$B$3:$B$1009&amp;"",SERVER!$H$3:$H$1009,""),""),IF(TRIM(_xlpm.srcCat)&lt;&gt;TRIM($J393),"",_xlfn.SWITCH($I393,"Computer",_xlfn.XLOOKUP($K393&amp;"",COMPUTER!$B$3:$B$1009&amp;"",COMPUTER!$K$3:$K$1009,""),"Display",_xlfn.XLOOKUP($K393&amp;"",DISPLAY!$B$3:$B$1000&amp;"",DISPLAY!$L$3:$L$1000,""),"Network Device",_xlfn.XLOOKUP($K393&amp;"",'NETWORK-DEVICES'!$B$3:$B$987&amp;"",'NETWORK-DEVICES'!$K$3:$K$987,""),"Peripheral",_xlfn.XLOOKUP($K393&amp;"",PERIPHERAL!$B$3:$B$954&amp;"",PERIPHERAL!$K$3:$K$954,""),"Utilities",_xlfn.XLOOKUP($K393&amp;"",UTILITIES!$B$3:$B$953&amp;"",UTILITIES!$J$3:$J$953,""),"IOT",_xlfn.XLOOKUP($K393&amp;"",IOT!$B$3:$B$1012&amp;"",IOT!$K$4:$K$1012,""),"Server",_xlfn.XLOOKUP($K393&amp;"",SERVER!$B$3:$B$1009&amp;"",SERVER!$K$3:$K$1009,""),""))))</f>
        <v/>
      </c>
      <c r="O393" s="1" t="str" cm="1">
        <f t="array" ref="O393">IF(OR($K393="",$I393="",$J393=""),"",_xlfn.LET(_xlpm.srcCat,_xlfn.SWITCH($I393,"Computer",_xlfn.XLOOKUP($K393&amp;"",COMPUTER!$B$3:$B$1009&amp;"",COMPUTER!$H$3:$H$1009,""),"Display",_xlfn.XLOOKUP($K393&amp;"",DISPLAY!$B$3:$B$1000&amp;"",DISPLAY!$H$3:$H$1000,""),"Network Device",_xlfn.XLOOKUP($K393&amp;"",'NETWORK-DEVICES'!$B$3:$B$987&amp;"",'NETWORK-DEVICES'!$H$3:$H$987,""),"Peripheral",_xlfn.XLOOKUP($K393&amp;"",PERIPHERAL!$B$3:$B$954&amp;"",PERIPHERAL!$H$3:$H$954,""),"Utilities",_xlfn.XLOOKUP($K393&amp;"",UTILITIES!$B$3:$B$953&amp;"",UTILITIES!$G$3:$G$953,""),"IOT",_xlfn.XLOOKUP($K393&amp;"",IOT!$B$3:$B$1012&amp;"",IOT!$H$3:$H$1012,""),"Server",_xlfn.XLOOKUP($K393&amp;"",SERVER!$B$3:$B$1009&amp;"",SERVER!$H$3:$H$1009,""),""),IF(TRIM(_xlpm.srcCat)&lt;&gt;TRIM($J393),"",_xlfn.SWITCH($I393,"Computer",_xlfn.XLOOKUP($K393&amp;"",COMPUTER!$B$3:$B$1009&amp;"",COMPUTER!$E$3:$E$1009,""),"Display",_xlfn.XLOOKUP($K393&amp;"",DISPLAY!$B$3:$B$1000&amp;"",DISPLAY!$E$3:$E$1000,""),"Network Device",_xlfn.XLOOKUP($K393&amp;"",'NETWORK-DEVICES'!$B$3:$B$987&amp;"",'NETWORK-DEVICES'!$E$3:$E$987,""),"Peripheral",_xlfn.XLOOKUP($K393&amp;"",PERIPHERAL!$B$3:$B$954&amp;"",PERIPHERAL!$E$3:$E$954,""),"Utilities",_xlfn.XLOOKUP($K393&amp;"",UTILITIES!$B$3:$B$953&amp;"",UTILITIES!$E$3:$E$953,""),"IOT",_xlfn.XLOOKUP($K393&amp;"",IOT!$B$3:$B$1012&amp;"",IOT!$E$3:$E$1012,""),"Server",_xlfn.XLOOKUP($K393&amp;"",SERVER!$B$3:$B$1009&amp;"",SERVER!$E$3:$E$1009,""),""))))</f>
        <v/>
      </c>
      <c r="Q393" s="1" t="str" cm="1">
        <f t="array" ref="Q393">IF(OR($K393="",$I393="",$J393=""),"",_xlfn.LET(_xlpm.srcCat,_xlfn.SWITCH($I393,"Computer",_xlfn.XLOOKUP($K393&amp;"",COMPUTER!$B$3:$B$1009&amp;"",COMPUTER!$H$3:$H$1009,""),"Display",_xlfn.XLOOKUP($K393&amp;"",DISPLAY!$B$3:$B$1000&amp;"",DISPLAY!$H$3:$H$1000,""),"Network Device",_xlfn.XLOOKUP($K393&amp;"",'NETWORK-DEVICES'!$B$3:$B$987&amp;"",'NETWORK-DEVICES'!$H$3:$H$987,""),"Peripheral",_xlfn.XLOOKUP($K393&amp;"",PERIPHERAL!$B$3:$B$954&amp;"",PERIPHERAL!$H$3:$H$954,""),"Utilities",_xlfn.XLOOKUP($K393&amp;"",UTILITIES!$B$3:$B$953&amp;"",UTILITIES!$G$3:$G$953,""),"IOT",_xlfn.XLOOKUP($K393&amp;"",IOT!$B$3:$B$1012&amp;"",IOT!$H$3:$H$1012,""),"Server",_xlfn.XLOOKUP($K393&amp;"",SERVER!$B$3:$B$1009&amp;"",SERVER!$H$3:$H$1009,""),""),IF(TRIM(_xlpm.srcCat)&lt;&gt;TRIM($J393),"",_xlfn.SWITCH($I393,"Computer",_xlfn.XLOOKUP($K393&amp;"",COMPUTER!$B$3:$B$1009&amp;"",COMPUTER!$AM$3:$AM$1009,""),"Display",_xlfn.XLOOKUP($K393&amp;"",DISPLAY!$B$3:$B$1000&amp;"",DISPLAY!$V$3:$V$1000,""),"Network Device",_xlfn.XLOOKUP($K393&amp;"",'NETWORK-DEVICES'!$B$3:$B$987&amp;"",'NETWORK-DEVICES'!$AF$3:$AF$987,""),"Peripheral",_xlfn.XLOOKUP($K393&amp;"",PERIPHERAL!$B$3:$B$954&amp;"",PERIPHERAL!$Y$3:$Y$954,""),"Utilities",_xlfn.XLOOKUP($K393&amp;"",UTILITIES!$B$3:$B$953&amp;"",UTILITIES!$O$3:$O$953,""),"IOT",_xlfn.XLOOKUP($K393&amp;"",IOT!$B$3:$B$1012&amp;"",IOT!$AB$3:$AB$1012,""),"Server",_xlfn.XLOOKUP($K393&amp;"",SERVER!$B$3:$B$1009&amp;"",SERVER!$AB$3:$AB$1009,""),""))))</f>
        <v/>
      </c>
      <c r="R393" s="43" t="str">
        <f>IF(tbl_handover[[#This Row],[Asset Code]]="","",COUNTIF(tbl_handover[Asset Code],tbl_handover[[#This Row],[Asset Code]]))</f>
        <v/>
      </c>
    </row>
    <row r="394" spans="1:18" x14ac:dyDescent="0.25">
      <c r="A394" s="43" t="str">
        <f>IF(B394&lt;&gt;"",SUBTOTAL(3,$B$1:B393),"")</f>
        <v/>
      </c>
      <c r="C394" s="74"/>
      <c r="D394" s="74"/>
      <c r="G394" s="1"/>
      <c r="K394" s="42"/>
      <c r="L394" t="str" cm="1">
        <f t="array" ref="L394">IF($K394="","",_xlfn.SWITCH($I394,"Computer",_xlfn.XLOOKUP($K394&amp;"",COMPUTER!$B$3:$B$1009&amp;"",COMPUTER!$I$3:$I$1009,""),"Display",_xlfn.XLOOKUP($K394&amp;"",DISPLAY!$B$3:$B$1000&amp;"",DISPLAY!$J$3:$J$1000,""),"Network Device",_xlfn.XLOOKUP($K394&amp;"",'NETWORK-DEVICES'!$B$3:$B$987&amp;"",'NETWORK-DEVICES'!$I$3:$I$987,""),"Peripheral",_xlfn.XLOOKUP($K394&amp;"",PERIPHERAL!$B$3:$B$954&amp;"",PERIPHERAL!$I$3:$I$954,""),"Utilities",_xlfn.XLOOKUP($K394&amp;"",UTILITIES!$B$3:$B$953&amp;"",UTILITIES!$H$3:$H$953,""),"IOT",_xlfn.XLOOKUP($K394&amp;"",IOT!$B$3:$B$1012&amp;"",IOT!$I$3:$I$1012,""),"SERVER",_xlfn.XLOOKUP($K394&amp;"",SERVER!$B$3:$B$1009&amp;"",SERVER!$I$3:$I$1009,""),""))</f>
        <v/>
      </c>
      <c r="M394" t="str" cm="1">
        <f t="array" ref="M394">IF($K394="","",_xlfn.SWITCH($I394,"Computer",_xlfn.XLOOKUP($K394&amp;"",COMPUTER!$B$3:$B$1009&amp;"",COMPUTER!$J$3:$J$1009,""),"Display",_xlfn.XLOOKUP($K394&amp;"",DISPLAY!$B$3:$B$1000&amp;"",DISPLAY!$K$3:$K$1000,""),"Network Device",_xlfn.XLOOKUP($K394&amp;"",'NETWORK-DEVICES'!$B$3:$B$987&amp;"",'NETWORK-DEVICES'!$I$3:$I$987,""),"Peripheral",_xlfn.XLOOKUP($K394&amp;"",PERIPHERAL!$B$3:$B$954&amp;"",PERIPHERAL!$J$3:$J$954,""),"Utilities",_xlfn.XLOOKUP($K394&amp;"",UTILITIES!$B$3:$B$953&amp;"",UTILITIES!$I$3:$I$953,""),"IOT",_xlfn.XLOOKUP($K394&amp;"",IOT!$B$3:$B$1012&amp;"",IOT!$J$3:$J$1012,""),"Server",_xlfn.XLOOKUP($K394&amp;"",SERVER!$B$3:$B$1009&amp;"",SERVER!$J$3:$J$1009,""),""))</f>
        <v/>
      </c>
      <c r="N394" s="1" t="str" cm="1">
        <f t="array" ref="N394">IF(OR($K394="",$I394="",$J394=""),"",_xlfn.LET(_xlpm.srcCat,_xlfn.SWITCH($I394,"Computer",_xlfn.XLOOKUP($K394&amp;"",COMPUTER!$B$3:$B$1009&amp;"",COMPUTER!$H$3:$H$1009,""),"Display",_xlfn.XLOOKUP($K394&amp;"",DISPLAY!$B$3:$B$1000&amp;"",DISPLAY!$H$3:$H$1000,""),"Network Device",_xlfn.XLOOKUP($K394&amp;"",'NETWORK-DEVICES'!$B$3:$B$987&amp;"",'NETWORK-DEVICES'!$H$3:$H$987,""),"Peripheral",_xlfn.XLOOKUP($K394&amp;"",PERIPHERAL!$B$3:$B$954&amp;"",PERIPHERAL!$H$3:$H$954,""),"Utilities",_xlfn.XLOOKUP($K394&amp;"",UTILITIES!$B$3:$B$953&amp;"",UTILITIES!$G$3:$G$953,""),"IOT",_xlfn.XLOOKUP($K394&amp;"",IOT!$B$3:$B$1012&amp;"",IOT!$H$3:$H$1012,""),"Server",_xlfn.XLOOKUP($K394&amp;"",SERVER!$B$3:$B$1009&amp;"",SERVER!$H$3:$H$1009,""),""),IF(TRIM(_xlpm.srcCat)&lt;&gt;TRIM($J394),"",_xlfn.SWITCH($I394,"Computer",_xlfn.XLOOKUP($K394&amp;"",COMPUTER!$B$3:$B$1009&amp;"",COMPUTER!$K$3:$K$1009,""),"Display",_xlfn.XLOOKUP($K394&amp;"",DISPLAY!$B$3:$B$1000&amp;"",DISPLAY!$L$3:$L$1000,""),"Network Device",_xlfn.XLOOKUP($K394&amp;"",'NETWORK-DEVICES'!$B$3:$B$987&amp;"",'NETWORK-DEVICES'!$K$3:$K$987,""),"Peripheral",_xlfn.XLOOKUP($K394&amp;"",PERIPHERAL!$B$3:$B$954&amp;"",PERIPHERAL!$K$3:$K$954,""),"Utilities",_xlfn.XLOOKUP($K394&amp;"",UTILITIES!$B$3:$B$953&amp;"",UTILITIES!$J$3:$J$953,""),"IOT",_xlfn.XLOOKUP($K394&amp;"",IOT!$B$3:$B$1012&amp;"",IOT!$K$4:$K$1012,""),"Server",_xlfn.XLOOKUP($K394&amp;"",SERVER!$B$3:$B$1009&amp;"",SERVER!$K$3:$K$1009,""),""))))</f>
        <v/>
      </c>
      <c r="O394" s="1" t="str" cm="1">
        <f t="array" ref="O394">IF(OR($K394="",$I394="",$J394=""),"",_xlfn.LET(_xlpm.srcCat,_xlfn.SWITCH($I394,"Computer",_xlfn.XLOOKUP($K394&amp;"",COMPUTER!$B$3:$B$1009&amp;"",COMPUTER!$H$3:$H$1009,""),"Display",_xlfn.XLOOKUP($K394&amp;"",DISPLAY!$B$3:$B$1000&amp;"",DISPLAY!$H$3:$H$1000,""),"Network Device",_xlfn.XLOOKUP($K394&amp;"",'NETWORK-DEVICES'!$B$3:$B$987&amp;"",'NETWORK-DEVICES'!$H$3:$H$987,""),"Peripheral",_xlfn.XLOOKUP($K394&amp;"",PERIPHERAL!$B$3:$B$954&amp;"",PERIPHERAL!$H$3:$H$954,""),"Utilities",_xlfn.XLOOKUP($K394&amp;"",UTILITIES!$B$3:$B$953&amp;"",UTILITIES!$G$3:$G$953,""),"IOT",_xlfn.XLOOKUP($K394&amp;"",IOT!$B$3:$B$1012&amp;"",IOT!$H$3:$H$1012,""),"Server",_xlfn.XLOOKUP($K394&amp;"",SERVER!$B$3:$B$1009&amp;"",SERVER!$H$3:$H$1009,""),""),IF(TRIM(_xlpm.srcCat)&lt;&gt;TRIM($J394),"",_xlfn.SWITCH($I394,"Computer",_xlfn.XLOOKUP($K394&amp;"",COMPUTER!$B$3:$B$1009&amp;"",COMPUTER!$E$3:$E$1009,""),"Display",_xlfn.XLOOKUP($K394&amp;"",DISPLAY!$B$3:$B$1000&amp;"",DISPLAY!$E$3:$E$1000,""),"Network Device",_xlfn.XLOOKUP($K394&amp;"",'NETWORK-DEVICES'!$B$3:$B$987&amp;"",'NETWORK-DEVICES'!$E$3:$E$987,""),"Peripheral",_xlfn.XLOOKUP($K394&amp;"",PERIPHERAL!$B$3:$B$954&amp;"",PERIPHERAL!$E$3:$E$954,""),"Utilities",_xlfn.XLOOKUP($K394&amp;"",UTILITIES!$B$3:$B$953&amp;"",UTILITIES!$E$3:$E$953,""),"IOT",_xlfn.XLOOKUP($K394&amp;"",IOT!$B$3:$B$1012&amp;"",IOT!$E$3:$E$1012,""),"Server",_xlfn.XLOOKUP($K394&amp;"",SERVER!$B$3:$B$1009&amp;"",SERVER!$E$3:$E$1009,""),""))))</f>
        <v/>
      </c>
      <c r="Q394" s="1" t="str" cm="1">
        <f t="array" ref="Q394">IF(OR($K394="",$I394="",$J394=""),"",_xlfn.LET(_xlpm.srcCat,_xlfn.SWITCH($I394,"Computer",_xlfn.XLOOKUP($K394&amp;"",COMPUTER!$B$3:$B$1009&amp;"",COMPUTER!$H$3:$H$1009,""),"Display",_xlfn.XLOOKUP($K394&amp;"",DISPLAY!$B$3:$B$1000&amp;"",DISPLAY!$H$3:$H$1000,""),"Network Device",_xlfn.XLOOKUP($K394&amp;"",'NETWORK-DEVICES'!$B$3:$B$987&amp;"",'NETWORK-DEVICES'!$H$3:$H$987,""),"Peripheral",_xlfn.XLOOKUP($K394&amp;"",PERIPHERAL!$B$3:$B$954&amp;"",PERIPHERAL!$H$3:$H$954,""),"Utilities",_xlfn.XLOOKUP($K394&amp;"",UTILITIES!$B$3:$B$953&amp;"",UTILITIES!$G$3:$G$953,""),"IOT",_xlfn.XLOOKUP($K394&amp;"",IOT!$B$3:$B$1012&amp;"",IOT!$H$3:$H$1012,""),"Server",_xlfn.XLOOKUP($K394&amp;"",SERVER!$B$3:$B$1009&amp;"",SERVER!$H$3:$H$1009,""),""),IF(TRIM(_xlpm.srcCat)&lt;&gt;TRIM($J394),"",_xlfn.SWITCH($I394,"Computer",_xlfn.XLOOKUP($K394&amp;"",COMPUTER!$B$3:$B$1009&amp;"",COMPUTER!$AM$3:$AM$1009,""),"Display",_xlfn.XLOOKUP($K394&amp;"",DISPLAY!$B$3:$B$1000&amp;"",DISPLAY!$V$3:$V$1000,""),"Network Device",_xlfn.XLOOKUP($K394&amp;"",'NETWORK-DEVICES'!$B$3:$B$987&amp;"",'NETWORK-DEVICES'!$AF$3:$AF$987,""),"Peripheral",_xlfn.XLOOKUP($K394&amp;"",PERIPHERAL!$B$3:$B$954&amp;"",PERIPHERAL!$Y$3:$Y$954,""),"Utilities",_xlfn.XLOOKUP($K394&amp;"",UTILITIES!$B$3:$B$953&amp;"",UTILITIES!$O$3:$O$953,""),"IOT",_xlfn.XLOOKUP($K394&amp;"",IOT!$B$3:$B$1012&amp;"",IOT!$AB$3:$AB$1012,""),"Server",_xlfn.XLOOKUP($K394&amp;"",SERVER!$B$3:$B$1009&amp;"",SERVER!$AB$3:$AB$1009,""),""))))</f>
        <v/>
      </c>
      <c r="R394" s="43" t="str">
        <f>IF(tbl_handover[[#This Row],[Asset Code]]="","",COUNTIF(tbl_handover[Asset Code],tbl_handover[[#This Row],[Asset Code]]))</f>
        <v/>
      </c>
    </row>
    <row r="395" spans="1:18" x14ac:dyDescent="0.25">
      <c r="A395" s="43" t="str">
        <f>IF(B395&lt;&gt;"",SUBTOTAL(3,$B$1:B394),"")</f>
        <v/>
      </c>
      <c r="C395" s="74"/>
      <c r="D395" s="74"/>
      <c r="G395" s="1"/>
      <c r="K395" s="42"/>
      <c r="L395" t="str" cm="1">
        <f t="array" ref="L395">IF($K395="","",_xlfn.SWITCH($I395,"Computer",_xlfn.XLOOKUP($K395&amp;"",COMPUTER!$B$3:$B$1009&amp;"",COMPUTER!$I$3:$I$1009,""),"Display",_xlfn.XLOOKUP($K395&amp;"",DISPLAY!$B$3:$B$1000&amp;"",DISPLAY!$J$3:$J$1000,""),"Network Device",_xlfn.XLOOKUP($K395&amp;"",'NETWORK-DEVICES'!$B$3:$B$987&amp;"",'NETWORK-DEVICES'!$I$3:$I$987,""),"Peripheral",_xlfn.XLOOKUP($K395&amp;"",PERIPHERAL!$B$3:$B$954&amp;"",PERIPHERAL!$I$3:$I$954,""),"Utilities",_xlfn.XLOOKUP($K395&amp;"",UTILITIES!$B$3:$B$953&amp;"",UTILITIES!$H$3:$H$953,""),"IOT",_xlfn.XLOOKUP($K395&amp;"",IOT!$B$3:$B$1012&amp;"",IOT!$I$3:$I$1012,""),"SERVER",_xlfn.XLOOKUP($K395&amp;"",SERVER!$B$3:$B$1009&amp;"",SERVER!$I$3:$I$1009,""),""))</f>
        <v/>
      </c>
      <c r="M395" t="str" cm="1">
        <f t="array" ref="M395">IF($K395="","",_xlfn.SWITCH($I395,"Computer",_xlfn.XLOOKUP($K395&amp;"",COMPUTER!$B$3:$B$1009&amp;"",COMPUTER!$J$3:$J$1009,""),"Display",_xlfn.XLOOKUP($K395&amp;"",DISPLAY!$B$3:$B$1000&amp;"",DISPLAY!$K$3:$K$1000,""),"Network Device",_xlfn.XLOOKUP($K395&amp;"",'NETWORK-DEVICES'!$B$3:$B$987&amp;"",'NETWORK-DEVICES'!$I$3:$I$987,""),"Peripheral",_xlfn.XLOOKUP($K395&amp;"",PERIPHERAL!$B$3:$B$954&amp;"",PERIPHERAL!$J$3:$J$954,""),"Utilities",_xlfn.XLOOKUP($K395&amp;"",UTILITIES!$B$3:$B$953&amp;"",UTILITIES!$I$3:$I$953,""),"IOT",_xlfn.XLOOKUP($K395&amp;"",IOT!$B$3:$B$1012&amp;"",IOT!$J$3:$J$1012,""),"Server",_xlfn.XLOOKUP($K395&amp;"",SERVER!$B$3:$B$1009&amp;"",SERVER!$J$3:$J$1009,""),""))</f>
        <v/>
      </c>
      <c r="N395" s="1" t="str" cm="1">
        <f t="array" ref="N395">IF(OR($K395="",$I395="",$J395=""),"",_xlfn.LET(_xlpm.srcCat,_xlfn.SWITCH($I395,"Computer",_xlfn.XLOOKUP($K395&amp;"",COMPUTER!$B$3:$B$1009&amp;"",COMPUTER!$H$3:$H$1009,""),"Display",_xlfn.XLOOKUP($K395&amp;"",DISPLAY!$B$3:$B$1000&amp;"",DISPLAY!$H$3:$H$1000,""),"Network Device",_xlfn.XLOOKUP($K395&amp;"",'NETWORK-DEVICES'!$B$3:$B$987&amp;"",'NETWORK-DEVICES'!$H$3:$H$987,""),"Peripheral",_xlfn.XLOOKUP($K395&amp;"",PERIPHERAL!$B$3:$B$954&amp;"",PERIPHERAL!$H$3:$H$954,""),"Utilities",_xlfn.XLOOKUP($K395&amp;"",UTILITIES!$B$3:$B$953&amp;"",UTILITIES!$G$3:$G$953,""),"IOT",_xlfn.XLOOKUP($K395&amp;"",IOT!$B$3:$B$1012&amp;"",IOT!$H$3:$H$1012,""),"Server",_xlfn.XLOOKUP($K395&amp;"",SERVER!$B$3:$B$1009&amp;"",SERVER!$H$3:$H$1009,""),""),IF(TRIM(_xlpm.srcCat)&lt;&gt;TRIM($J395),"",_xlfn.SWITCH($I395,"Computer",_xlfn.XLOOKUP($K395&amp;"",COMPUTER!$B$3:$B$1009&amp;"",COMPUTER!$K$3:$K$1009,""),"Display",_xlfn.XLOOKUP($K395&amp;"",DISPLAY!$B$3:$B$1000&amp;"",DISPLAY!$L$3:$L$1000,""),"Network Device",_xlfn.XLOOKUP($K395&amp;"",'NETWORK-DEVICES'!$B$3:$B$987&amp;"",'NETWORK-DEVICES'!$K$3:$K$987,""),"Peripheral",_xlfn.XLOOKUP($K395&amp;"",PERIPHERAL!$B$3:$B$954&amp;"",PERIPHERAL!$K$3:$K$954,""),"Utilities",_xlfn.XLOOKUP($K395&amp;"",UTILITIES!$B$3:$B$953&amp;"",UTILITIES!$J$3:$J$953,""),"IOT",_xlfn.XLOOKUP($K395&amp;"",IOT!$B$3:$B$1012&amp;"",IOT!$K$4:$K$1012,""),"Server",_xlfn.XLOOKUP($K395&amp;"",SERVER!$B$3:$B$1009&amp;"",SERVER!$K$3:$K$1009,""),""))))</f>
        <v/>
      </c>
      <c r="O395" s="1" t="str" cm="1">
        <f t="array" ref="O395">IF(OR($K395="",$I395="",$J395=""),"",_xlfn.LET(_xlpm.srcCat,_xlfn.SWITCH($I395,"Computer",_xlfn.XLOOKUP($K395&amp;"",COMPUTER!$B$3:$B$1009&amp;"",COMPUTER!$H$3:$H$1009,""),"Display",_xlfn.XLOOKUP($K395&amp;"",DISPLAY!$B$3:$B$1000&amp;"",DISPLAY!$H$3:$H$1000,""),"Network Device",_xlfn.XLOOKUP($K395&amp;"",'NETWORK-DEVICES'!$B$3:$B$987&amp;"",'NETWORK-DEVICES'!$H$3:$H$987,""),"Peripheral",_xlfn.XLOOKUP($K395&amp;"",PERIPHERAL!$B$3:$B$954&amp;"",PERIPHERAL!$H$3:$H$954,""),"Utilities",_xlfn.XLOOKUP($K395&amp;"",UTILITIES!$B$3:$B$953&amp;"",UTILITIES!$G$3:$G$953,""),"IOT",_xlfn.XLOOKUP($K395&amp;"",IOT!$B$3:$B$1012&amp;"",IOT!$H$3:$H$1012,""),"Server",_xlfn.XLOOKUP($K395&amp;"",SERVER!$B$3:$B$1009&amp;"",SERVER!$H$3:$H$1009,""),""),IF(TRIM(_xlpm.srcCat)&lt;&gt;TRIM($J395),"",_xlfn.SWITCH($I395,"Computer",_xlfn.XLOOKUP($K395&amp;"",COMPUTER!$B$3:$B$1009&amp;"",COMPUTER!$E$3:$E$1009,""),"Display",_xlfn.XLOOKUP($K395&amp;"",DISPLAY!$B$3:$B$1000&amp;"",DISPLAY!$E$3:$E$1000,""),"Network Device",_xlfn.XLOOKUP($K395&amp;"",'NETWORK-DEVICES'!$B$3:$B$987&amp;"",'NETWORK-DEVICES'!$E$3:$E$987,""),"Peripheral",_xlfn.XLOOKUP($K395&amp;"",PERIPHERAL!$B$3:$B$954&amp;"",PERIPHERAL!$E$3:$E$954,""),"Utilities",_xlfn.XLOOKUP($K395&amp;"",UTILITIES!$B$3:$B$953&amp;"",UTILITIES!$E$3:$E$953,""),"IOT",_xlfn.XLOOKUP($K395&amp;"",IOT!$B$3:$B$1012&amp;"",IOT!$E$3:$E$1012,""),"Server",_xlfn.XLOOKUP($K395&amp;"",SERVER!$B$3:$B$1009&amp;"",SERVER!$E$3:$E$1009,""),""))))</f>
        <v/>
      </c>
      <c r="Q395" s="1" t="str" cm="1">
        <f t="array" ref="Q395">IF(OR($K395="",$I395="",$J395=""),"",_xlfn.LET(_xlpm.srcCat,_xlfn.SWITCH($I395,"Computer",_xlfn.XLOOKUP($K395&amp;"",COMPUTER!$B$3:$B$1009&amp;"",COMPUTER!$H$3:$H$1009,""),"Display",_xlfn.XLOOKUP($K395&amp;"",DISPLAY!$B$3:$B$1000&amp;"",DISPLAY!$H$3:$H$1000,""),"Network Device",_xlfn.XLOOKUP($K395&amp;"",'NETWORK-DEVICES'!$B$3:$B$987&amp;"",'NETWORK-DEVICES'!$H$3:$H$987,""),"Peripheral",_xlfn.XLOOKUP($K395&amp;"",PERIPHERAL!$B$3:$B$954&amp;"",PERIPHERAL!$H$3:$H$954,""),"Utilities",_xlfn.XLOOKUP($K395&amp;"",UTILITIES!$B$3:$B$953&amp;"",UTILITIES!$G$3:$G$953,""),"IOT",_xlfn.XLOOKUP($K395&amp;"",IOT!$B$3:$B$1012&amp;"",IOT!$H$3:$H$1012,""),"Server",_xlfn.XLOOKUP($K395&amp;"",SERVER!$B$3:$B$1009&amp;"",SERVER!$H$3:$H$1009,""),""),IF(TRIM(_xlpm.srcCat)&lt;&gt;TRIM($J395),"",_xlfn.SWITCH($I395,"Computer",_xlfn.XLOOKUP($K395&amp;"",COMPUTER!$B$3:$B$1009&amp;"",COMPUTER!$AM$3:$AM$1009,""),"Display",_xlfn.XLOOKUP($K395&amp;"",DISPLAY!$B$3:$B$1000&amp;"",DISPLAY!$V$3:$V$1000,""),"Network Device",_xlfn.XLOOKUP($K395&amp;"",'NETWORK-DEVICES'!$B$3:$B$987&amp;"",'NETWORK-DEVICES'!$AF$3:$AF$987,""),"Peripheral",_xlfn.XLOOKUP($K395&amp;"",PERIPHERAL!$B$3:$B$954&amp;"",PERIPHERAL!$Y$3:$Y$954,""),"Utilities",_xlfn.XLOOKUP($K395&amp;"",UTILITIES!$B$3:$B$953&amp;"",UTILITIES!$O$3:$O$953,""),"IOT",_xlfn.XLOOKUP($K395&amp;"",IOT!$B$3:$B$1012&amp;"",IOT!$AB$3:$AB$1012,""),"Server",_xlfn.XLOOKUP($K395&amp;"",SERVER!$B$3:$B$1009&amp;"",SERVER!$AB$3:$AB$1009,""),""))))</f>
        <v/>
      </c>
      <c r="R395" s="43" t="str">
        <f>IF(tbl_handover[[#This Row],[Asset Code]]="","",COUNTIF(tbl_handover[Asset Code],tbl_handover[[#This Row],[Asset Code]]))</f>
        <v/>
      </c>
    </row>
    <row r="396" spans="1:18" x14ac:dyDescent="0.25">
      <c r="A396" s="43" t="str">
        <f>IF(B396&lt;&gt;"",SUBTOTAL(3,$B$1:B395),"")</f>
        <v/>
      </c>
      <c r="C396" s="74"/>
      <c r="D396" s="74"/>
      <c r="G396" s="1"/>
      <c r="K396" s="42"/>
      <c r="L396" t="str" cm="1">
        <f t="array" ref="L396">IF($K396="","",_xlfn.SWITCH($I396,"Computer",_xlfn.XLOOKUP($K396&amp;"",COMPUTER!$B$3:$B$1009&amp;"",COMPUTER!$I$3:$I$1009,""),"Display",_xlfn.XLOOKUP($K396&amp;"",DISPLAY!$B$3:$B$1000&amp;"",DISPLAY!$J$3:$J$1000,""),"Network Device",_xlfn.XLOOKUP($K396&amp;"",'NETWORK-DEVICES'!$B$3:$B$987&amp;"",'NETWORK-DEVICES'!$I$3:$I$987,""),"Peripheral",_xlfn.XLOOKUP($K396&amp;"",PERIPHERAL!$B$3:$B$954&amp;"",PERIPHERAL!$I$3:$I$954,""),"Utilities",_xlfn.XLOOKUP($K396&amp;"",UTILITIES!$B$3:$B$953&amp;"",UTILITIES!$H$3:$H$953,""),"IOT",_xlfn.XLOOKUP($K396&amp;"",IOT!$B$3:$B$1012&amp;"",IOT!$I$3:$I$1012,""),"SERVER",_xlfn.XLOOKUP($K396&amp;"",SERVER!$B$3:$B$1009&amp;"",SERVER!$I$3:$I$1009,""),""))</f>
        <v/>
      </c>
      <c r="M396" t="str" cm="1">
        <f t="array" ref="M396">IF($K396="","",_xlfn.SWITCH($I396,"Computer",_xlfn.XLOOKUP($K396&amp;"",COMPUTER!$B$3:$B$1009&amp;"",COMPUTER!$J$3:$J$1009,""),"Display",_xlfn.XLOOKUP($K396&amp;"",DISPLAY!$B$3:$B$1000&amp;"",DISPLAY!$K$3:$K$1000,""),"Network Device",_xlfn.XLOOKUP($K396&amp;"",'NETWORK-DEVICES'!$B$3:$B$987&amp;"",'NETWORK-DEVICES'!$I$3:$I$987,""),"Peripheral",_xlfn.XLOOKUP($K396&amp;"",PERIPHERAL!$B$3:$B$954&amp;"",PERIPHERAL!$J$3:$J$954,""),"Utilities",_xlfn.XLOOKUP($K396&amp;"",UTILITIES!$B$3:$B$953&amp;"",UTILITIES!$I$3:$I$953,""),"IOT",_xlfn.XLOOKUP($K396&amp;"",IOT!$B$3:$B$1012&amp;"",IOT!$J$3:$J$1012,""),"Server",_xlfn.XLOOKUP($K396&amp;"",SERVER!$B$3:$B$1009&amp;"",SERVER!$J$3:$J$1009,""),""))</f>
        <v/>
      </c>
      <c r="N396" s="1" t="str" cm="1">
        <f t="array" ref="N396">IF(OR($K396="",$I396="",$J396=""),"",_xlfn.LET(_xlpm.srcCat,_xlfn.SWITCH($I396,"Computer",_xlfn.XLOOKUP($K396&amp;"",COMPUTER!$B$3:$B$1009&amp;"",COMPUTER!$H$3:$H$1009,""),"Display",_xlfn.XLOOKUP($K396&amp;"",DISPLAY!$B$3:$B$1000&amp;"",DISPLAY!$H$3:$H$1000,""),"Network Device",_xlfn.XLOOKUP($K396&amp;"",'NETWORK-DEVICES'!$B$3:$B$987&amp;"",'NETWORK-DEVICES'!$H$3:$H$987,""),"Peripheral",_xlfn.XLOOKUP($K396&amp;"",PERIPHERAL!$B$3:$B$954&amp;"",PERIPHERAL!$H$3:$H$954,""),"Utilities",_xlfn.XLOOKUP($K396&amp;"",UTILITIES!$B$3:$B$953&amp;"",UTILITIES!$G$3:$G$953,""),"IOT",_xlfn.XLOOKUP($K396&amp;"",IOT!$B$3:$B$1012&amp;"",IOT!$H$3:$H$1012,""),"Server",_xlfn.XLOOKUP($K396&amp;"",SERVER!$B$3:$B$1009&amp;"",SERVER!$H$3:$H$1009,""),""),IF(TRIM(_xlpm.srcCat)&lt;&gt;TRIM($J396),"",_xlfn.SWITCH($I396,"Computer",_xlfn.XLOOKUP($K396&amp;"",COMPUTER!$B$3:$B$1009&amp;"",COMPUTER!$K$3:$K$1009,""),"Display",_xlfn.XLOOKUP($K396&amp;"",DISPLAY!$B$3:$B$1000&amp;"",DISPLAY!$L$3:$L$1000,""),"Network Device",_xlfn.XLOOKUP($K396&amp;"",'NETWORK-DEVICES'!$B$3:$B$987&amp;"",'NETWORK-DEVICES'!$K$3:$K$987,""),"Peripheral",_xlfn.XLOOKUP($K396&amp;"",PERIPHERAL!$B$3:$B$954&amp;"",PERIPHERAL!$K$3:$K$954,""),"Utilities",_xlfn.XLOOKUP($K396&amp;"",UTILITIES!$B$3:$B$953&amp;"",UTILITIES!$J$3:$J$953,""),"IOT",_xlfn.XLOOKUP($K396&amp;"",IOT!$B$3:$B$1012&amp;"",IOT!$K$4:$K$1012,""),"Server",_xlfn.XLOOKUP($K396&amp;"",SERVER!$B$3:$B$1009&amp;"",SERVER!$K$3:$K$1009,""),""))))</f>
        <v/>
      </c>
      <c r="O396" s="1" t="str" cm="1">
        <f t="array" ref="O396">IF(OR($K396="",$I396="",$J396=""),"",_xlfn.LET(_xlpm.srcCat,_xlfn.SWITCH($I396,"Computer",_xlfn.XLOOKUP($K396&amp;"",COMPUTER!$B$3:$B$1009&amp;"",COMPUTER!$H$3:$H$1009,""),"Display",_xlfn.XLOOKUP($K396&amp;"",DISPLAY!$B$3:$B$1000&amp;"",DISPLAY!$H$3:$H$1000,""),"Network Device",_xlfn.XLOOKUP($K396&amp;"",'NETWORK-DEVICES'!$B$3:$B$987&amp;"",'NETWORK-DEVICES'!$H$3:$H$987,""),"Peripheral",_xlfn.XLOOKUP($K396&amp;"",PERIPHERAL!$B$3:$B$954&amp;"",PERIPHERAL!$H$3:$H$954,""),"Utilities",_xlfn.XLOOKUP($K396&amp;"",UTILITIES!$B$3:$B$953&amp;"",UTILITIES!$G$3:$G$953,""),"IOT",_xlfn.XLOOKUP($K396&amp;"",IOT!$B$3:$B$1012&amp;"",IOT!$H$3:$H$1012,""),"Server",_xlfn.XLOOKUP($K396&amp;"",SERVER!$B$3:$B$1009&amp;"",SERVER!$H$3:$H$1009,""),""),IF(TRIM(_xlpm.srcCat)&lt;&gt;TRIM($J396),"",_xlfn.SWITCH($I396,"Computer",_xlfn.XLOOKUP($K396&amp;"",COMPUTER!$B$3:$B$1009&amp;"",COMPUTER!$E$3:$E$1009,""),"Display",_xlfn.XLOOKUP($K396&amp;"",DISPLAY!$B$3:$B$1000&amp;"",DISPLAY!$E$3:$E$1000,""),"Network Device",_xlfn.XLOOKUP($K396&amp;"",'NETWORK-DEVICES'!$B$3:$B$987&amp;"",'NETWORK-DEVICES'!$E$3:$E$987,""),"Peripheral",_xlfn.XLOOKUP($K396&amp;"",PERIPHERAL!$B$3:$B$954&amp;"",PERIPHERAL!$E$3:$E$954,""),"Utilities",_xlfn.XLOOKUP($K396&amp;"",UTILITIES!$B$3:$B$953&amp;"",UTILITIES!$E$3:$E$953,""),"IOT",_xlfn.XLOOKUP($K396&amp;"",IOT!$B$3:$B$1012&amp;"",IOT!$E$3:$E$1012,""),"Server",_xlfn.XLOOKUP($K396&amp;"",SERVER!$B$3:$B$1009&amp;"",SERVER!$E$3:$E$1009,""),""))))</f>
        <v/>
      </c>
      <c r="Q396" s="1" t="str" cm="1">
        <f t="array" ref="Q396">IF(OR($K396="",$I396="",$J396=""),"",_xlfn.LET(_xlpm.srcCat,_xlfn.SWITCH($I396,"Computer",_xlfn.XLOOKUP($K396&amp;"",COMPUTER!$B$3:$B$1009&amp;"",COMPUTER!$H$3:$H$1009,""),"Display",_xlfn.XLOOKUP($K396&amp;"",DISPLAY!$B$3:$B$1000&amp;"",DISPLAY!$H$3:$H$1000,""),"Network Device",_xlfn.XLOOKUP($K396&amp;"",'NETWORK-DEVICES'!$B$3:$B$987&amp;"",'NETWORK-DEVICES'!$H$3:$H$987,""),"Peripheral",_xlfn.XLOOKUP($K396&amp;"",PERIPHERAL!$B$3:$B$954&amp;"",PERIPHERAL!$H$3:$H$954,""),"Utilities",_xlfn.XLOOKUP($K396&amp;"",UTILITIES!$B$3:$B$953&amp;"",UTILITIES!$G$3:$G$953,""),"IOT",_xlfn.XLOOKUP($K396&amp;"",IOT!$B$3:$B$1012&amp;"",IOT!$H$3:$H$1012,""),"Server",_xlfn.XLOOKUP($K396&amp;"",SERVER!$B$3:$B$1009&amp;"",SERVER!$H$3:$H$1009,""),""),IF(TRIM(_xlpm.srcCat)&lt;&gt;TRIM($J396),"",_xlfn.SWITCH($I396,"Computer",_xlfn.XLOOKUP($K396&amp;"",COMPUTER!$B$3:$B$1009&amp;"",COMPUTER!$AM$3:$AM$1009,""),"Display",_xlfn.XLOOKUP($K396&amp;"",DISPLAY!$B$3:$B$1000&amp;"",DISPLAY!$V$3:$V$1000,""),"Network Device",_xlfn.XLOOKUP($K396&amp;"",'NETWORK-DEVICES'!$B$3:$B$987&amp;"",'NETWORK-DEVICES'!$AF$3:$AF$987,""),"Peripheral",_xlfn.XLOOKUP($K396&amp;"",PERIPHERAL!$B$3:$B$954&amp;"",PERIPHERAL!$Y$3:$Y$954,""),"Utilities",_xlfn.XLOOKUP($K396&amp;"",UTILITIES!$B$3:$B$953&amp;"",UTILITIES!$O$3:$O$953,""),"IOT",_xlfn.XLOOKUP($K396&amp;"",IOT!$B$3:$B$1012&amp;"",IOT!$AB$3:$AB$1012,""),"Server",_xlfn.XLOOKUP($K396&amp;"",SERVER!$B$3:$B$1009&amp;"",SERVER!$AB$3:$AB$1009,""),""))))</f>
        <v/>
      </c>
      <c r="R396" s="43" t="str">
        <f>IF(tbl_handover[[#This Row],[Asset Code]]="","",COUNTIF(tbl_handover[Asset Code],tbl_handover[[#This Row],[Asset Code]]))</f>
        <v/>
      </c>
    </row>
    <row r="397" spans="1:18" x14ac:dyDescent="0.25">
      <c r="A397" s="43" t="str">
        <f>IF(B397&lt;&gt;"",SUBTOTAL(3,$B$1:B396),"")</f>
        <v/>
      </c>
      <c r="C397" s="74"/>
      <c r="D397" s="74"/>
      <c r="G397" s="1"/>
      <c r="K397" s="42"/>
      <c r="L397" t="str" cm="1">
        <f t="array" ref="L397">IF($K397="","",_xlfn.SWITCH($I397,"Computer",_xlfn.XLOOKUP($K397&amp;"",COMPUTER!$B$3:$B$1009&amp;"",COMPUTER!$I$3:$I$1009,""),"Display",_xlfn.XLOOKUP($K397&amp;"",DISPLAY!$B$3:$B$1000&amp;"",DISPLAY!$J$3:$J$1000,""),"Network Device",_xlfn.XLOOKUP($K397&amp;"",'NETWORK-DEVICES'!$B$3:$B$987&amp;"",'NETWORK-DEVICES'!$I$3:$I$987,""),"Peripheral",_xlfn.XLOOKUP($K397&amp;"",PERIPHERAL!$B$3:$B$954&amp;"",PERIPHERAL!$I$3:$I$954,""),"Utilities",_xlfn.XLOOKUP($K397&amp;"",UTILITIES!$B$3:$B$953&amp;"",UTILITIES!$H$3:$H$953,""),"IOT",_xlfn.XLOOKUP($K397&amp;"",IOT!$B$3:$B$1012&amp;"",IOT!$I$3:$I$1012,""),"SERVER",_xlfn.XLOOKUP($K397&amp;"",SERVER!$B$3:$B$1009&amp;"",SERVER!$I$3:$I$1009,""),""))</f>
        <v/>
      </c>
      <c r="M397" t="str" cm="1">
        <f t="array" ref="M397">IF($K397="","",_xlfn.SWITCH($I397,"Computer",_xlfn.XLOOKUP($K397&amp;"",COMPUTER!$B$3:$B$1009&amp;"",COMPUTER!$J$3:$J$1009,""),"Display",_xlfn.XLOOKUP($K397&amp;"",DISPLAY!$B$3:$B$1000&amp;"",DISPLAY!$K$3:$K$1000,""),"Network Device",_xlfn.XLOOKUP($K397&amp;"",'NETWORK-DEVICES'!$B$3:$B$987&amp;"",'NETWORK-DEVICES'!$I$3:$I$987,""),"Peripheral",_xlfn.XLOOKUP($K397&amp;"",PERIPHERAL!$B$3:$B$954&amp;"",PERIPHERAL!$J$3:$J$954,""),"Utilities",_xlfn.XLOOKUP($K397&amp;"",UTILITIES!$B$3:$B$953&amp;"",UTILITIES!$I$3:$I$953,""),"IOT",_xlfn.XLOOKUP($K397&amp;"",IOT!$B$3:$B$1012&amp;"",IOT!$J$3:$J$1012,""),"Server",_xlfn.XLOOKUP($K397&amp;"",SERVER!$B$3:$B$1009&amp;"",SERVER!$J$3:$J$1009,""),""))</f>
        <v/>
      </c>
      <c r="N397" s="1" t="str" cm="1">
        <f t="array" ref="N397">IF(OR($K397="",$I397="",$J397=""),"",_xlfn.LET(_xlpm.srcCat,_xlfn.SWITCH($I397,"Computer",_xlfn.XLOOKUP($K397&amp;"",COMPUTER!$B$3:$B$1009&amp;"",COMPUTER!$H$3:$H$1009,""),"Display",_xlfn.XLOOKUP($K397&amp;"",DISPLAY!$B$3:$B$1000&amp;"",DISPLAY!$H$3:$H$1000,""),"Network Device",_xlfn.XLOOKUP($K397&amp;"",'NETWORK-DEVICES'!$B$3:$B$987&amp;"",'NETWORK-DEVICES'!$H$3:$H$987,""),"Peripheral",_xlfn.XLOOKUP($K397&amp;"",PERIPHERAL!$B$3:$B$954&amp;"",PERIPHERAL!$H$3:$H$954,""),"Utilities",_xlfn.XLOOKUP($K397&amp;"",UTILITIES!$B$3:$B$953&amp;"",UTILITIES!$G$3:$G$953,""),"IOT",_xlfn.XLOOKUP($K397&amp;"",IOT!$B$3:$B$1012&amp;"",IOT!$H$3:$H$1012,""),"Server",_xlfn.XLOOKUP($K397&amp;"",SERVER!$B$3:$B$1009&amp;"",SERVER!$H$3:$H$1009,""),""),IF(TRIM(_xlpm.srcCat)&lt;&gt;TRIM($J397),"",_xlfn.SWITCH($I397,"Computer",_xlfn.XLOOKUP($K397&amp;"",COMPUTER!$B$3:$B$1009&amp;"",COMPUTER!$K$3:$K$1009,""),"Display",_xlfn.XLOOKUP($K397&amp;"",DISPLAY!$B$3:$B$1000&amp;"",DISPLAY!$L$3:$L$1000,""),"Network Device",_xlfn.XLOOKUP($K397&amp;"",'NETWORK-DEVICES'!$B$3:$B$987&amp;"",'NETWORK-DEVICES'!$K$3:$K$987,""),"Peripheral",_xlfn.XLOOKUP($K397&amp;"",PERIPHERAL!$B$3:$B$954&amp;"",PERIPHERAL!$K$3:$K$954,""),"Utilities",_xlfn.XLOOKUP($K397&amp;"",UTILITIES!$B$3:$B$953&amp;"",UTILITIES!$J$3:$J$953,""),"IOT",_xlfn.XLOOKUP($K397&amp;"",IOT!$B$3:$B$1012&amp;"",IOT!$K$4:$K$1012,""),"Server",_xlfn.XLOOKUP($K397&amp;"",SERVER!$B$3:$B$1009&amp;"",SERVER!$K$3:$K$1009,""),""))))</f>
        <v/>
      </c>
      <c r="O397" s="1" t="str" cm="1">
        <f t="array" ref="O397">IF(OR($K397="",$I397="",$J397=""),"",_xlfn.LET(_xlpm.srcCat,_xlfn.SWITCH($I397,"Computer",_xlfn.XLOOKUP($K397&amp;"",COMPUTER!$B$3:$B$1009&amp;"",COMPUTER!$H$3:$H$1009,""),"Display",_xlfn.XLOOKUP($K397&amp;"",DISPLAY!$B$3:$B$1000&amp;"",DISPLAY!$H$3:$H$1000,""),"Network Device",_xlfn.XLOOKUP($K397&amp;"",'NETWORK-DEVICES'!$B$3:$B$987&amp;"",'NETWORK-DEVICES'!$H$3:$H$987,""),"Peripheral",_xlfn.XLOOKUP($K397&amp;"",PERIPHERAL!$B$3:$B$954&amp;"",PERIPHERAL!$H$3:$H$954,""),"Utilities",_xlfn.XLOOKUP($K397&amp;"",UTILITIES!$B$3:$B$953&amp;"",UTILITIES!$G$3:$G$953,""),"IOT",_xlfn.XLOOKUP($K397&amp;"",IOT!$B$3:$B$1012&amp;"",IOT!$H$3:$H$1012,""),"Server",_xlfn.XLOOKUP($K397&amp;"",SERVER!$B$3:$B$1009&amp;"",SERVER!$H$3:$H$1009,""),""),IF(TRIM(_xlpm.srcCat)&lt;&gt;TRIM($J397),"",_xlfn.SWITCH($I397,"Computer",_xlfn.XLOOKUP($K397&amp;"",COMPUTER!$B$3:$B$1009&amp;"",COMPUTER!$E$3:$E$1009,""),"Display",_xlfn.XLOOKUP($K397&amp;"",DISPLAY!$B$3:$B$1000&amp;"",DISPLAY!$E$3:$E$1000,""),"Network Device",_xlfn.XLOOKUP($K397&amp;"",'NETWORK-DEVICES'!$B$3:$B$987&amp;"",'NETWORK-DEVICES'!$E$3:$E$987,""),"Peripheral",_xlfn.XLOOKUP($K397&amp;"",PERIPHERAL!$B$3:$B$954&amp;"",PERIPHERAL!$E$3:$E$954,""),"Utilities",_xlfn.XLOOKUP($K397&amp;"",UTILITIES!$B$3:$B$953&amp;"",UTILITIES!$E$3:$E$953,""),"IOT",_xlfn.XLOOKUP($K397&amp;"",IOT!$B$3:$B$1012&amp;"",IOT!$E$3:$E$1012,""),"Server",_xlfn.XLOOKUP($K397&amp;"",SERVER!$B$3:$B$1009&amp;"",SERVER!$E$3:$E$1009,""),""))))</f>
        <v/>
      </c>
      <c r="Q397" s="1" t="str" cm="1">
        <f t="array" ref="Q397">IF(OR($K397="",$I397="",$J397=""),"",_xlfn.LET(_xlpm.srcCat,_xlfn.SWITCH($I397,"Computer",_xlfn.XLOOKUP($K397&amp;"",COMPUTER!$B$3:$B$1009&amp;"",COMPUTER!$H$3:$H$1009,""),"Display",_xlfn.XLOOKUP($K397&amp;"",DISPLAY!$B$3:$B$1000&amp;"",DISPLAY!$H$3:$H$1000,""),"Network Device",_xlfn.XLOOKUP($K397&amp;"",'NETWORK-DEVICES'!$B$3:$B$987&amp;"",'NETWORK-DEVICES'!$H$3:$H$987,""),"Peripheral",_xlfn.XLOOKUP($K397&amp;"",PERIPHERAL!$B$3:$B$954&amp;"",PERIPHERAL!$H$3:$H$954,""),"Utilities",_xlfn.XLOOKUP($K397&amp;"",UTILITIES!$B$3:$B$953&amp;"",UTILITIES!$G$3:$G$953,""),"IOT",_xlfn.XLOOKUP($K397&amp;"",IOT!$B$3:$B$1012&amp;"",IOT!$H$3:$H$1012,""),"Server",_xlfn.XLOOKUP($K397&amp;"",SERVER!$B$3:$B$1009&amp;"",SERVER!$H$3:$H$1009,""),""),IF(TRIM(_xlpm.srcCat)&lt;&gt;TRIM($J397),"",_xlfn.SWITCH($I397,"Computer",_xlfn.XLOOKUP($K397&amp;"",COMPUTER!$B$3:$B$1009&amp;"",COMPUTER!$AM$3:$AM$1009,""),"Display",_xlfn.XLOOKUP($K397&amp;"",DISPLAY!$B$3:$B$1000&amp;"",DISPLAY!$V$3:$V$1000,""),"Network Device",_xlfn.XLOOKUP($K397&amp;"",'NETWORK-DEVICES'!$B$3:$B$987&amp;"",'NETWORK-DEVICES'!$AF$3:$AF$987,""),"Peripheral",_xlfn.XLOOKUP($K397&amp;"",PERIPHERAL!$B$3:$B$954&amp;"",PERIPHERAL!$Y$3:$Y$954,""),"Utilities",_xlfn.XLOOKUP($K397&amp;"",UTILITIES!$B$3:$B$953&amp;"",UTILITIES!$O$3:$O$953,""),"IOT",_xlfn.XLOOKUP($K397&amp;"",IOT!$B$3:$B$1012&amp;"",IOT!$AB$3:$AB$1012,""),"Server",_xlfn.XLOOKUP($K397&amp;"",SERVER!$B$3:$B$1009&amp;"",SERVER!$AB$3:$AB$1009,""),""))))</f>
        <v/>
      </c>
      <c r="R397" s="43" t="str">
        <f>IF(tbl_handover[[#This Row],[Asset Code]]="","",COUNTIF(tbl_handover[Asset Code],tbl_handover[[#This Row],[Asset Code]]))</f>
        <v/>
      </c>
    </row>
    <row r="398" spans="1:18" x14ac:dyDescent="0.25">
      <c r="A398" s="43" t="str">
        <f>IF(B398&lt;&gt;"",SUBTOTAL(3,$B$1:B397),"")</f>
        <v/>
      </c>
      <c r="C398" s="74"/>
      <c r="D398" s="74"/>
      <c r="G398" s="1"/>
      <c r="K398" s="42"/>
      <c r="L398" t="str" cm="1">
        <f t="array" ref="L398">IF($K398="","",_xlfn.SWITCH($I398,"Computer",_xlfn.XLOOKUP($K398&amp;"",COMPUTER!$B$3:$B$1009&amp;"",COMPUTER!$I$3:$I$1009,""),"Display",_xlfn.XLOOKUP($K398&amp;"",DISPLAY!$B$3:$B$1000&amp;"",DISPLAY!$J$3:$J$1000,""),"Network Device",_xlfn.XLOOKUP($K398&amp;"",'NETWORK-DEVICES'!$B$3:$B$987&amp;"",'NETWORK-DEVICES'!$I$3:$I$987,""),"Peripheral",_xlfn.XLOOKUP($K398&amp;"",PERIPHERAL!$B$3:$B$954&amp;"",PERIPHERAL!$I$3:$I$954,""),"Utilities",_xlfn.XLOOKUP($K398&amp;"",UTILITIES!$B$3:$B$953&amp;"",UTILITIES!$H$3:$H$953,""),"IOT",_xlfn.XLOOKUP($K398&amp;"",IOT!$B$3:$B$1012&amp;"",IOT!$I$3:$I$1012,""),"SERVER",_xlfn.XLOOKUP($K398&amp;"",SERVER!$B$3:$B$1009&amp;"",SERVER!$I$3:$I$1009,""),""))</f>
        <v/>
      </c>
      <c r="M398" t="str" cm="1">
        <f t="array" ref="M398">IF($K398="","",_xlfn.SWITCH($I398,"Computer",_xlfn.XLOOKUP($K398&amp;"",COMPUTER!$B$3:$B$1009&amp;"",COMPUTER!$J$3:$J$1009,""),"Display",_xlfn.XLOOKUP($K398&amp;"",DISPLAY!$B$3:$B$1000&amp;"",DISPLAY!$K$3:$K$1000,""),"Network Device",_xlfn.XLOOKUP($K398&amp;"",'NETWORK-DEVICES'!$B$3:$B$987&amp;"",'NETWORK-DEVICES'!$I$3:$I$987,""),"Peripheral",_xlfn.XLOOKUP($K398&amp;"",PERIPHERAL!$B$3:$B$954&amp;"",PERIPHERAL!$J$3:$J$954,""),"Utilities",_xlfn.XLOOKUP($K398&amp;"",UTILITIES!$B$3:$B$953&amp;"",UTILITIES!$I$3:$I$953,""),"IOT",_xlfn.XLOOKUP($K398&amp;"",IOT!$B$3:$B$1012&amp;"",IOT!$J$3:$J$1012,""),"Server",_xlfn.XLOOKUP($K398&amp;"",SERVER!$B$3:$B$1009&amp;"",SERVER!$J$3:$J$1009,""),""))</f>
        <v/>
      </c>
      <c r="N398" s="1" t="str" cm="1">
        <f t="array" ref="N398">IF(OR($K398="",$I398="",$J398=""),"",_xlfn.LET(_xlpm.srcCat,_xlfn.SWITCH($I398,"Computer",_xlfn.XLOOKUP($K398&amp;"",COMPUTER!$B$3:$B$1009&amp;"",COMPUTER!$H$3:$H$1009,""),"Display",_xlfn.XLOOKUP($K398&amp;"",DISPLAY!$B$3:$B$1000&amp;"",DISPLAY!$H$3:$H$1000,""),"Network Device",_xlfn.XLOOKUP($K398&amp;"",'NETWORK-DEVICES'!$B$3:$B$987&amp;"",'NETWORK-DEVICES'!$H$3:$H$987,""),"Peripheral",_xlfn.XLOOKUP($K398&amp;"",PERIPHERAL!$B$3:$B$954&amp;"",PERIPHERAL!$H$3:$H$954,""),"Utilities",_xlfn.XLOOKUP($K398&amp;"",UTILITIES!$B$3:$B$953&amp;"",UTILITIES!$G$3:$G$953,""),"IOT",_xlfn.XLOOKUP($K398&amp;"",IOT!$B$3:$B$1012&amp;"",IOT!$H$3:$H$1012,""),"Server",_xlfn.XLOOKUP($K398&amp;"",SERVER!$B$3:$B$1009&amp;"",SERVER!$H$3:$H$1009,""),""),IF(TRIM(_xlpm.srcCat)&lt;&gt;TRIM($J398),"",_xlfn.SWITCH($I398,"Computer",_xlfn.XLOOKUP($K398&amp;"",COMPUTER!$B$3:$B$1009&amp;"",COMPUTER!$K$3:$K$1009,""),"Display",_xlfn.XLOOKUP($K398&amp;"",DISPLAY!$B$3:$B$1000&amp;"",DISPLAY!$L$3:$L$1000,""),"Network Device",_xlfn.XLOOKUP($K398&amp;"",'NETWORK-DEVICES'!$B$3:$B$987&amp;"",'NETWORK-DEVICES'!$K$3:$K$987,""),"Peripheral",_xlfn.XLOOKUP($K398&amp;"",PERIPHERAL!$B$3:$B$954&amp;"",PERIPHERAL!$K$3:$K$954,""),"Utilities",_xlfn.XLOOKUP($K398&amp;"",UTILITIES!$B$3:$B$953&amp;"",UTILITIES!$J$3:$J$953,""),"IOT",_xlfn.XLOOKUP($K398&amp;"",IOT!$B$3:$B$1012&amp;"",IOT!$K$4:$K$1012,""),"Server",_xlfn.XLOOKUP($K398&amp;"",SERVER!$B$3:$B$1009&amp;"",SERVER!$K$3:$K$1009,""),""))))</f>
        <v/>
      </c>
      <c r="O398" s="1" t="str" cm="1">
        <f t="array" ref="O398">IF(OR($K398="",$I398="",$J398=""),"",_xlfn.LET(_xlpm.srcCat,_xlfn.SWITCH($I398,"Computer",_xlfn.XLOOKUP($K398&amp;"",COMPUTER!$B$3:$B$1009&amp;"",COMPUTER!$H$3:$H$1009,""),"Display",_xlfn.XLOOKUP($K398&amp;"",DISPLAY!$B$3:$B$1000&amp;"",DISPLAY!$H$3:$H$1000,""),"Network Device",_xlfn.XLOOKUP($K398&amp;"",'NETWORK-DEVICES'!$B$3:$B$987&amp;"",'NETWORK-DEVICES'!$H$3:$H$987,""),"Peripheral",_xlfn.XLOOKUP($K398&amp;"",PERIPHERAL!$B$3:$B$954&amp;"",PERIPHERAL!$H$3:$H$954,""),"Utilities",_xlfn.XLOOKUP($K398&amp;"",UTILITIES!$B$3:$B$953&amp;"",UTILITIES!$G$3:$G$953,""),"IOT",_xlfn.XLOOKUP($K398&amp;"",IOT!$B$3:$B$1012&amp;"",IOT!$H$3:$H$1012,""),"Server",_xlfn.XLOOKUP($K398&amp;"",SERVER!$B$3:$B$1009&amp;"",SERVER!$H$3:$H$1009,""),""),IF(TRIM(_xlpm.srcCat)&lt;&gt;TRIM($J398),"",_xlfn.SWITCH($I398,"Computer",_xlfn.XLOOKUP($K398&amp;"",COMPUTER!$B$3:$B$1009&amp;"",COMPUTER!$E$3:$E$1009,""),"Display",_xlfn.XLOOKUP($K398&amp;"",DISPLAY!$B$3:$B$1000&amp;"",DISPLAY!$E$3:$E$1000,""),"Network Device",_xlfn.XLOOKUP($K398&amp;"",'NETWORK-DEVICES'!$B$3:$B$987&amp;"",'NETWORK-DEVICES'!$E$3:$E$987,""),"Peripheral",_xlfn.XLOOKUP($K398&amp;"",PERIPHERAL!$B$3:$B$954&amp;"",PERIPHERAL!$E$3:$E$954,""),"Utilities",_xlfn.XLOOKUP($K398&amp;"",UTILITIES!$B$3:$B$953&amp;"",UTILITIES!$E$3:$E$953,""),"IOT",_xlfn.XLOOKUP($K398&amp;"",IOT!$B$3:$B$1012&amp;"",IOT!$E$3:$E$1012,""),"Server",_xlfn.XLOOKUP($K398&amp;"",SERVER!$B$3:$B$1009&amp;"",SERVER!$E$3:$E$1009,""),""))))</f>
        <v/>
      </c>
      <c r="Q398" s="1" t="str" cm="1">
        <f t="array" ref="Q398">IF(OR($K398="",$I398="",$J398=""),"",_xlfn.LET(_xlpm.srcCat,_xlfn.SWITCH($I398,"Computer",_xlfn.XLOOKUP($K398&amp;"",COMPUTER!$B$3:$B$1009&amp;"",COMPUTER!$H$3:$H$1009,""),"Display",_xlfn.XLOOKUP($K398&amp;"",DISPLAY!$B$3:$B$1000&amp;"",DISPLAY!$H$3:$H$1000,""),"Network Device",_xlfn.XLOOKUP($K398&amp;"",'NETWORK-DEVICES'!$B$3:$B$987&amp;"",'NETWORK-DEVICES'!$H$3:$H$987,""),"Peripheral",_xlfn.XLOOKUP($K398&amp;"",PERIPHERAL!$B$3:$B$954&amp;"",PERIPHERAL!$H$3:$H$954,""),"Utilities",_xlfn.XLOOKUP($K398&amp;"",UTILITIES!$B$3:$B$953&amp;"",UTILITIES!$G$3:$G$953,""),"IOT",_xlfn.XLOOKUP($K398&amp;"",IOT!$B$3:$B$1012&amp;"",IOT!$H$3:$H$1012,""),"Server",_xlfn.XLOOKUP($K398&amp;"",SERVER!$B$3:$B$1009&amp;"",SERVER!$H$3:$H$1009,""),""),IF(TRIM(_xlpm.srcCat)&lt;&gt;TRIM($J398),"",_xlfn.SWITCH($I398,"Computer",_xlfn.XLOOKUP($K398&amp;"",COMPUTER!$B$3:$B$1009&amp;"",COMPUTER!$AM$3:$AM$1009,""),"Display",_xlfn.XLOOKUP($K398&amp;"",DISPLAY!$B$3:$B$1000&amp;"",DISPLAY!$V$3:$V$1000,""),"Network Device",_xlfn.XLOOKUP($K398&amp;"",'NETWORK-DEVICES'!$B$3:$B$987&amp;"",'NETWORK-DEVICES'!$AF$3:$AF$987,""),"Peripheral",_xlfn.XLOOKUP($K398&amp;"",PERIPHERAL!$B$3:$B$954&amp;"",PERIPHERAL!$Y$3:$Y$954,""),"Utilities",_xlfn.XLOOKUP($K398&amp;"",UTILITIES!$B$3:$B$953&amp;"",UTILITIES!$O$3:$O$953,""),"IOT",_xlfn.XLOOKUP($K398&amp;"",IOT!$B$3:$B$1012&amp;"",IOT!$AB$3:$AB$1012,""),"Server",_xlfn.XLOOKUP($K398&amp;"",SERVER!$B$3:$B$1009&amp;"",SERVER!$AB$3:$AB$1009,""),""))))</f>
        <v/>
      </c>
      <c r="R398" s="43" t="str">
        <f>IF(tbl_handover[[#This Row],[Asset Code]]="","",COUNTIF(tbl_handover[Asset Code],tbl_handover[[#This Row],[Asset Code]]))</f>
        <v/>
      </c>
    </row>
    <row r="399" spans="1:18" x14ac:dyDescent="0.25">
      <c r="A399" s="43" t="str">
        <f>IF(B399&lt;&gt;"",SUBTOTAL(3,$B$1:B398),"")</f>
        <v/>
      </c>
      <c r="C399" s="74"/>
      <c r="D399" s="74"/>
      <c r="G399" s="1"/>
      <c r="K399" s="42"/>
      <c r="L399" t="str" cm="1">
        <f t="array" ref="L399">IF($K399="","",_xlfn.SWITCH($I399,"Computer",_xlfn.XLOOKUP($K399&amp;"",COMPUTER!$B$3:$B$1009&amp;"",COMPUTER!$I$3:$I$1009,""),"Display",_xlfn.XLOOKUP($K399&amp;"",DISPLAY!$B$3:$B$1000&amp;"",DISPLAY!$J$3:$J$1000,""),"Network Device",_xlfn.XLOOKUP($K399&amp;"",'NETWORK-DEVICES'!$B$3:$B$987&amp;"",'NETWORK-DEVICES'!$I$3:$I$987,""),"Peripheral",_xlfn.XLOOKUP($K399&amp;"",PERIPHERAL!$B$3:$B$954&amp;"",PERIPHERAL!$I$3:$I$954,""),"Utilities",_xlfn.XLOOKUP($K399&amp;"",UTILITIES!$B$3:$B$953&amp;"",UTILITIES!$H$3:$H$953,""),"IOT",_xlfn.XLOOKUP($K399&amp;"",IOT!$B$3:$B$1012&amp;"",IOT!$I$3:$I$1012,""),"SERVER",_xlfn.XLOOKUP($K399&amp;"",SERVER!$B$3:$B$1009&amp;"",SERVER!$I$3:$I$1009,""),""))</f>
        <v/>
      </c>
      <c r="M399" t="str" cm="1">
        <f t="array" ref="M399">IF($K399="","",_xlfn.SWITCH($I399,"Computer",_xlfn.XLOOKUP($K399&amp;"",COMPUTER!$B$3:$B$1009&amp;"",COMPUTER!$J$3:$J$1009,""),"Display",_xlfn.XLOOKUP($K399&amp;"",DISPLAY!$B$3:$B$1000&amp;"",DISPLAY!$K$3:$K$1000,""),"Network Device",_xlfn.XLOOKUP($K399&amp;"",'NETWORK-DEVICES'!$B$3:$B$987&amp;"",'NETWORK-DEVICES'!$I$3:$I$987,""),"Peripheral",_xlfn.XLOOKUP($K399&amp;"",PERIPHERAL!$B$3:$B$954&amp;"",PERIPHERAL!$J$3:$J$954,""),"Utilities",_xlfn.XLOOKUP($K399&amp;"",UTILITIES!$B$3:$B$953&amp;"",UTILITIES!$I$3:$I$953,""),"IOT",_xlfn.XLOOKUP($K399&amp;"",IOT!$B$3:$B$1012&amp;"",IOT!$J$3:$J$1012,""),"Server",_xlfn.XLOOKUP($K399&amp;"",SERVER!$B$3:$B$1009&amp;"",SERVER!$J$3:$J$1009,""),""))</f>
        <v/>
      </c>
      <c r="N399" s="1" t="str" cm="1">
        <f t="array" ref="N399">IF(OR($K399="",$I399="",$J399=""),"",_xlfn.LET(_xlpm.srcCat,_xlfn.SWITCH($I399,"Computer",_xlfn.XLOOKUP($K399&amp;"",COMPUTER!$B$3:$B$1009&amp;"",COMPUTER!$H$3:$H$1009,""),"Display",_xlfn.XLOOKUP($K399&amp;"",DISPLAY!$B$3:$B$1000&amp;"",DISPLAY!$H$3:$H$1000,""),"Network Device",_xlfn.XLOOKUP($K399&amp;"",'NETWORK-DEVICES'!$B$3:$B$987&amp;"",'NETWORK-DEVICES'!$H$3:$H$987,""),"Peripheral",_xlfn.XLOOKUP($K399&amp;"",PERIPHERAL!$B$3:$B$954&amp;"",PERIPHERAL!$H$3:$H$954,""),"Utilities",_xlfn.XLOOKUP($K399&amp;"",UTILITIES!$B$3:$B$953&amp;"",UTILITIES!$G$3:$G$953,""),"IOT",_xlfn.XLOOKUP($K399&amp;"",IOT!$B$3:$B$1012&amp;"",IOT!$H$3:$H$1012,""),"Server",_xlfn.XLOOKUP($K399&amp;"",SERVER!$B$3:$B$1009&amp;"",SERVER!$H$3:$H$1009,""),""),IF(TRIM(_xlpm.srcCat)&lt;&gt;TRIM($J399),"",_xlfn.SWITCH($I399,"Computer",_xlfn.XLOOKUP($K399&amp;"",COMPUTER!$B$3:$B$1009&amp;"",COMPUTER!$K$3:$K$1009,""),"Display",_xlfn.XLOOKUP($K399&amp;"",DISPLAY!$B$3:$B$1000&amp;"",DISPLAY!$L$3:$L$1000,""),"Network Device",_xlfn.XLOOKUP($K399&amp;"",'NETWORK-DEVICES'!$B$3:$B$987&amp;"",'NETWORK-DEVICES'!$K$3:$K$987,""),"Peripheral",_xlfn.XLOOKUP($K399&amp;"",PERIPHERAL!$B$3:$B$954&amp;"",PERIPHERAL!$K$3:$K$954,""),"Utilities",_xlfn.XLOOKUP($K399&amp;"",UTILITIES!$B$3:$B$953&amp;"",UTILITIES!$J$3:$J$953,""),"IOT",_xlfn.XLOOKUP($K399&amp;"",IOT!$B$3:$B$1012&amp;"",IOT!$K$4:$K$1012,""),"Server",_xlfn.XLOOKUP($K399&amp;"",SERVER!$B$3:$B$1009&amp;"",SERVER!$K$3:$K$1009,""),""))))</f>
        <v/>
      </c>
      <c r="O399" s="1" t="str" cm="1">
        <f t="array" ref="O399">IF(OR($K399="",$I399="",$J399=""),"",_xlfn.LET(_xlpm.srcCat,_xlfn.SWITCH($I399,"Computer",_xlfn.XLOOKUP($K399&amp;"",COMPUTER!$B$3:$B$1009&amp;"",COMPUTER!$H$3:$H$1009,""),"Display",_xlfn.XLOOKUP($K399&amp;"",DISPLAY!$B$3:$B$1000&amp;"",DISPLAY!$H$3:$H$1000,""),"Network Device",_xlfn.XLOOKUP($K399&amp;"",'NETWORK-DEVICES'!$B$3:$B$987&amp;"",'NETWORK-DEVICES'!$H$3:$H$987,""),"Peripheral",_xlfn.XLOOKUP($K399&amp;"",PERIPHERAL!$B$3:$B$954&amp;"",PERIPHERAL!$H$3:$H$954,""),"Utilities",_xlfn.XLOOKUP($K399&amp;"",UTILITIES!$B$3:$B$953&amp;"",UTILITIES!$G$3:$G$953,""),"IOT",_xlfn.XLOOKUP($K399&amp;"",IOT!$B$3:$B$1012&amp;"",IOT!$H$3:$H$1012,""),"Server",_xlfn.XLOOKUP($K399&amp;"",SERVER!$B$3:$B$1009&amp;"",SERVER!$H$3:$H$1009,""),""),IF(TRIM(_xlpm.srcCat)&lt;&gt;TRIM($J399),"",_xlfn.SWITCH($I399,"Computer",_xlfn.XLOOKUP($K399&amp;"",COMPUTER!$B$3:$B$1009&amp;"",COMPUTER!$E$3:$E$1009,""),"Display",_xlfn.XLOOKUP($K399&amp;"",DISPLAY!$B$3:$B$1000&amp;"",DISPLAY!$E$3:$E$1000,""),"Network Device",_xlfn.XLOOKUP($K399&amp;"",'NETWORK-DEVICES'!$B$3:$B$987&amp;"",'NETWORK-DEVICES'!$E$3:$E$987,""),"Peripheral",_xlfn.XLOOKUP($K399&amp;"",PERIPHERAL!$B$3:$B$954&amp;"",PERIPHERAL!$E$3:$E$954,""),"Utilities",_xlfn.XLOOKUP($K399&amp;"",UTILITIES!$B$3:$B$953&amp;"",UTILITIES!$E$3:$E$953,""),"IOT",_xlfn.XLOOKUP($K399&amp;"",IOT!$B$3:$B$1012&amp;"",IOT!$E$3:$E$1012,""),"Server",_xlfn.XLOOKUP($K399&amp;"",SERVER!$B$3:$B$1009&amp;"",SERVER!$E$3:$E$1009,""),""))))</f>
        <v/>
      </c>
      <c r="Q399" s="1" t="str" cm="1">
        <f t="array" ref="Q399">IF(OR($K399="",$I399="",$J399=""),"",_xlfn.LET(_xlpm.srcCat,_xlfn.SWITCH($I399,"Computer",_xlfn.XLOOKUP($K399&amp;"",COMPUTER!$B$3:$B$1009&amp;"",COMPUTER!$H$3:$H$1009,""),"Display",_xlfn.XLOOKUP($K399&amp;"",DISPLAY!$B$3:$B$1000&amp;"",DISPLAY!$H$3:$H$1000,""),"Network Device",_xlfn.XLOOKUP($K399&amp;"",'NETWORK-DEVICES'!$B$3:$B$987&amp;"",'NETWORK-DEVICES'!$H$3:$H$987,""),"Peripheral",_xlfn.XLOOKUP($K399&amp;"",PERIPHERAL!$B$3:$B$954&amp;"",PERIPHERAL!$H$3:$H$954,""),"Utilities",_xlfn.XLOOKUP($K399&amp;"",UTILITIES!$B$3:$B$953&amp;"",UTILITIES!$G$3:$G$953,""),"IOT",_xlfn.XLOOKUP($K399&amp;"",IOT!$B$3:$B$1012&amp;"",IOT!$H$3:$H$1012,""),"Server",_xlfn.XLOOKUP($K399&amp;"",SERVER!$B$3:$B$1009&amp;"",SERVER!$H$3:$H$1009,""),""),IF(TRIM(_xlpm.srcCat)&lt;&gt;TRIM($J399),"",_xlfn.SWITCH($I399,"Computer",_xlfn.XLOOKUP($K399&amp;"",COMPUTER!$B$3:$B$1009&amp;"",COMPUTER!$AM$3:$AM$1009,""),"Display",_xlfn.XLOOKUP($K399&amp;"",DISPLAY!$B$3:$B$1000&amp;"",DISPLAY!$V$3:$V$1000,""),"Network Device",_xlfn.XLOOKUP($K399&amp;"",'NETWORK-DEVICES'!$B$3:$B$987&amp;"",'NETWORK-DEVICES'!$AF$3:$AF$987,""),"Peripheral",_xlfn.XLOOKUP($K399&amp;"",PERIPHERAL!$B$3:$B$954&amp;"",PERIPHERAL!$Y$3:$Y$954,""),"Utilities",_xlfn.XLOOKUP($K399&amp;"",UTILITIES!$B$3:$B$953&amp;"",UTILITIES!$O$3:$O$953,""),"IOT",_xlfn.XLOOKUP($K399&amp;"",IOT!$B$3:$B$1012&amp;"",IOT!$AB$3:$AB$1012,""),"Server",_xlfn.XLOOKUP($K399&amp;"",SERVER!$B$3:$B$1009&amp;"",SERVER!$AB$3:$AB$1009,""),""))))</f>
        <v/>
      </c>
      <c r="R399" s="43" t="str">
        <f>IF(tbl_handover[[#This Row],[Asset Code]]="","",COUNTIF(tbl_handover[Asset Code],tbl_handover[[#This Row],[Asset Code]]))</f>
        <v/>
      </c>
    </row>
    <row r="400" spans="1:18" x14ac:dyDescent="0.25">
      <c r="A400" s="43" t="str">
        <f>IF(B400&lt;&gt;"",SUBTOTAL(3,$B$1:B399),"")</f>
        <v/>
      </c>
      <c r="C400" s="74"/>
      <c r="D400" s="74"/>
      <c r="G400" s="1"/>
      <c r="K400" s="42"/>
      <c r="L400" t="str" cm="1">
        <f t="array" ref="L400">IF($K400="","",_xlfn.SWITCH($I400,"Computer",_xlfn.XLOOKUP($K400&amp;"",COMPUTER!$B$3:$B$1009&amp;"",COMPUTER!$I$3:$I$1009,""),"Display",_xlfn.XLOOKUP($K400&amp;"",DISPLAY!$B$3:$B$1000&amp;"",DISPLAY!$J$3:$J$1000,""),"Network Device",_xlfn.XLOOKUP($K400&amp;"",'NETWORK-DEVICES'!$B$3:$B$987&amp;"",'NETWORK-DEVICES'!$I$3:$I$987,""),"Peripheral",_xlfn.XLOOKUP($K400&amp;"",PERIPHERAL!$B$3:$B$954&amp;"",PERIPHERAL!$I$3:$I$954,""),"Utilities",_xlfn.XLOOKUP($K400&amp;"",UTILITIES!$B$3:$B$953&amp;"",UTILITIES!$H$3:$H$953,""),"IOT",_xlfn.XLOOKUP($K400&amp;"",IOT!$B$3:$B$1012&amp;"",IOT!$I$3:$I$1012,""),"SERVER",_xlfn.XLOOKUP($K400&amp;"",SERVER!$B$3:$B$1009&amp;"",SERVER!$I$3:$I$1009,""),""))</f>
        <v/>
      </c>
      <c r="M400" t="str" cm="1">
        <f t="array" ref="M400">IF($K400="","",_xlfn.SWITCH($I400,"Computer",_xlfn.XLOOKUP($K400&amp;"",COMPUTER!$B$3:$B$1009&amp;"",COMPUTER!$J$3:$J$1009,""),"Display",_xlfn.XLOOKUP($K400&amp;"",DISPLAY!$B$3:$B$1000&amp;"",DISPLAY!$K$3:$K$1000,""),"Network Device",_xlfn.XLOOKUP($K400&amp;"",'NETWORK-DEVICES'!$B$3:$B$987&amp;"",'NETWORK-DEVICES'!$I$3:$I$987,""),"Peripheral",_xlfn.XLOOKUP($K400&amp;"",PERIPHERAL!$B$3:$B$954&amp;"",PERIPHERAL!$J$3:$J$954,""),"Utilities",_xlfn.XLOOKUP($K400&amp;"",UTILITIES!$B$3:$B$953&amp;"",UTILITIES!$I$3:$I$953,""),"IOT",_xlfn.XLOOKUP($K400&amp;"",IOT!$B$3:$B$1012&amp;"",IOT!$J$3:$J$1012,""),"Server",_xlfn.XLOOKUP($K400&amp;"",SERVER!$B$3:$B$1009&amp;"",SERVER!$J$3:$J$1009,""),""))</f>
        <v/>
      </c>
      <c r="N400" s="1" t="str" cm="1">
        <f t="array" ref="N400">IF(OR($K400="",$I400="",$J400=""),"",_xlfn.LET(_xlpm.srcCat,_xlfn.SWITCH($I400,"Computer",_xlfn.XLOOKUP($K400&amp;"",COMPUTER!$B$3:$B$1009&amp;"",COMPUTER!$H$3:$H$1009,""),"Display",_xlfn.XLOOKUP($K400&amp;"",DISPLAY!$B$3:$B$1000&amp;"",DISPLAY!$H$3:$H$1000,""),"Network Device",_xlfn.XLOOKUP($K400&amp;"",'NETWORK-DEVICES'!$B$3:$B$987&amp;"",'NETWORK-DEVICES'!$H$3:$H$987,""),"Peripheral",_xlfn.XLOOKUP($K400&amp;"",PERIPHERAL!$B$3:$B$954&amp;"",PERIPHERAL!$H$3:$H$954,""),"Utilities",_xlfn.XLOOKUP($K400&amp;"",UTILITIES!$B$3:$B$953&amp;"",UTILITIES!$G$3:$G$953,""),"IOT",_xlfn.XLOOKUP($K400&amp;"",IOT!$B$3:$B$1012&amp;"",IOT!$H$3:$H$1012,""),"Server",_xlfn.XLOOKUP($K400&amp;"",SERVER!$B$3:$B$1009&amp;"",SERVER!$H$3:$H$1009,""),""),IF(TRIM(_xlpm.srcCat)&lt;&gt;TRIM($J400),"",_xlfn.SWITCH($I400,"Computer",_xlfn.XLOOKUP($K400&amp;"",COMPUTER!$B$3:$B$1009&amp;"",COMPUTER!$K$3:$K$1009,""),"Display",_xlfn.XLOOKUP($K400&amp;"",DISPLAY!$B$3:$B$1000&amp;"",DISPLAY!$L$3:$L$1000,""),"Network Device",_xlfn.XLOOKUP($K400&amp;"",'NETWORK-DEVICES'!$B$3:$B$987&amp;"",'NETWORK-DEVICES'!$K$3:$K$987,""),"Peripheral",_xlfn.XLOOKUP($K400&amp;"",PERIPHERAL!$B$3:$B$954&amp;"",PERIPHERAL!$K$3:$K$954,""),"Utilities",_xlfn.XLOOKUP($K400&amp;"",UTILITIES!$B$3:$B$953&amp;"",UTILITIES!$J$3:$J$953,""),"IOT",_xlfn.XLOOKUP($K400&amp;"",IOT!$B$3:$B$1012&amp;"",IOT!$K$4:$K$1012,""),"Server",_xlfn.XLOOKUP($K400&amp;"",SERVER!$B$3:$B$1009&amp;"",SERVER!$K$3:$K$1009,""),""))))</f>
        <v/>
      </c>
      <c r="O400" s="1" t="str" cm="1">
        <f t="array" ref="O400">IF(OR($K400="",$I400="",$J400=""),"",_xlfn.LET(_xlpm.srcCat,_xlfn.SWITCH($I400,"Computer",_xlfn.XLOOKUP($K400&amp;"",COMPUTER!$B$3:$B$1009&amp;"",COMPUTER!$H$3:$H$1009,""),"Display",_xlfn.XLOOKUP($K400&amp;"",DISPLAY!$B$3:$B$1000&amp;"",DISPLAY!$H$3:$H$1000,""),"Network Device",_xlfn.XLOOKUP($K400&amp;"",'NETWORK-DEVICES'!$B$3:$B$987&amp;"",'NETWORK-DEVICES'!$H$3:$H$987,""),"Peripheral",_xlfn.XLOOKUP($K400&amp;"",PERIPHERAL!$B$3:$B$954&amp;"",PERIPHERAL!$H$3:$H$954,""),"Utilities",_xlfn.XLOOKUP($K400&amp;"",UTILITIES!$B$3:$B$953&amp;"",UTILITIES!$G$3:$G$953,""),"IOT",_xlfn.XLOOKUP($K400&amp;"",IOT!$B$3:$B$1012&amp;"",IOT!$H$3:$H$1012,""),"Server",_xlfn.XLOOKUP($K400&amp;"",SERVER!$B$3:$B$1009&amp;"",SERVER!$H$3:$H$1009,""),""),IF(TRIM(_xlpm.srcCat)&lt;&gt;TRIM($J400),"",_xlfn.SWITCH($I400,"Computer",_xlfn.XLOOKUP($K400&amp;"",COMPUTER!$B$3:$B$1009&amp;"",COMPUTER!$E$3:$E$1009,""),"Display",_xlfn.XLOOKUP($K400&amp;"",DISPLAY!$B$3:$B$1000&amp;"",DISPLAY!$E$3:$E$1000,""),"Network Device",_xlfn.XLOOKUP($K400&amp;"",'NETWORK-DEVICES'!$B$3:$B$987&amp;"",'NETWORK-DEVICES'!$E$3:$E$987,""),"Peripheral",_xlfn.XLOOKUP($K400&amp;"",PERIPHERAL!$B$3:$B$954&amp;"",PERIPHERAL!$E$3:$E$954,""),"Utilities",_xlfn.XLOOKUP($K400&amp;"",UTILITIES!$B$3:$B$953&amp;"",UTILITIES!$E$3:$E$953,""),"IOT",_xlfn.XLOOKUP($K400&amp;"",IOT!$B$3:$B$1012&amp;"",IOT!$E$3:$E$1012,""),"Server",_xlfn.XLOOKUP($K400&amp;"",SERVER!$B$3:$B$1009&amp;"",SERVER!$E$3:$E$1009,""),""))))</f>
        <v/>
      </c>
      <c r="Q400" s="1" t="str" cm="1">
        <f t="array" ref="Q400">IF(OR($K400="",$I400="",$J400=""),"",_xlfn.LET(_xlpm.srcCat,_xlfn.SWITCH($I400,"Computer",_xlfn.XLOOKUP($K400&amp;"",COMPUTER!$B$3:$B$1009&amp;"",COMPUTER!$H$3:$H$1009,""),"Display",_xlfn.XLOOKUP($K400&amp;"",DISPLAY!$B$3:$B$1000&amp;"",DISPLAY!$H$3:$H$1000,""),"Network Device",_xlfn.XLOOKUP($K400&amp;"",'NETWORK-DEVICES'!$B$3:$B$987&amp;"",'NETWORK-DEVICES'!$H$3:$H$987,""),"Peripheral",_xlfn.XLOOKUP($K400&amp;"",PERIPHERAL!$B$3:$B$954&amp;"",PERIPHERAL!$H$3:$H$954,""),"Utilities",_xlfn.XLOOKUP($K400&amp;"",UTILITIES!$B$3:$B$953&amp;"",UTILITIES!$G$3:$G$953,""),"IOT",_xlfn.XLOOKUP($K400&amp;"",IOT!$B$3:$B$1012&amp;"",IOT!$H$3:$H$1012,""),"Server",_xlfn.XLOOKUP($K400&amp;"",SERVER!$B$3:$B$1009&amp;"",SERVER!$H$3:$H$1009,""),""),IF(TRIM(_xlpm.srcCat)&lt;&gt;TRIM($J400),"",_xlfn.SWITCH($I400,"Computer",_xlfn.XLOOKUP($K400&amp;"",COMPUTER!$B$3:$B$1009&amp;"",COMPUTER!$AM$3:$AM$1009,""),"Display",_xlfn.XLOOKUP($K400&amp;"",DISPLAY!$B$3:$B$1000&amp;"",DISPLAY!$V$3:$V$1000,""),"Network Device",_xlfn.XLOOKUP($K400&amp;"",'NETWORK-DEVICES'!$B$3:$B$987&amp;"",'NETWORK-DEVICES'!$AF$3:$AF$987,""),"Peripheral",_xlfn.XLOOKUP($K400&amp;"",PERIPHERAL!$B$3:$B$954&amp;"",PERIPHERAL!$Y$3:$Y$954,""),"Utilities",_xlfn.XLOOKUP($K400&amp;"",UTILITIES!$B$3:$B$953&amp;"",UTILITIES!$O$3:$O$953,""),"IOT",_xlfn.XLOOKUP($K400&amp;"",IOT!$B$3:$B$1012&amp;"",IOT!$AB$3:$AB$1012,""),"Server",_xlfn.XLOOKUP($K400&amp;"",SERVER!$B$3:$B$1009&amp;"",SERVER!$AB$3:$AB$1009,""),""))))</f>
        <v/>
      </c>
      <c r="R400" s="43" t="str">
        <f>IF(tbl_handover[[#This Row],[Asset Code]]="","",COUNTIF(tbl_handover[Asset Code],tbl_handover[[#This Row],[Asset Code]]))</f>
        <v/>
      </c>
    </row>
    <row r="401" spans="1:18" x14ac:dyDescent="0.25">
      <c r="A401" s="43" t="str">
        <f>IF(B401&lt;&gt;"",SUBTOTAL(3,$B$1:B400),"")</f>
        <v/>
      </c>
      <c r="C401" s="74"/>
      <c r="D401" s="74"/>
      <c r="G401" s="1"/>
      <c r="K401" s="42"/>
      <c r="L401" t="str" cm="1">
        <f t="array" ref="L401">IF($K401="","",_xlfn.SWITCH($I401,"Computer",_xlfn.XLOOKUP($K401&amp;"",COMPUTER!$B$3:$B$1009&amp;"",COMPUTER!$I$3:$I$1009,""),"Display",_xlfn.XLOOKUP($K401&amp;"",DISPLAY!$B$3:$B$1000&amp;"",DISPLAY!$J$3:$J$1000,""),"Network Device",_xlfn.XLOOKUP($K401&amp;"",'NETWORK-DEVICES'!$B$3:$B$987&amp;"",'NETWORK-DEVICES'!$I$3:$I$987,""),"Peripheral",_xlfn.XLOOKUP($K401&amp;"",PERIPHERAL!$B$3:$B$954&amp;"",PERIPHERAL!$I$3:$I$954,""),"Utilities",_xlfn.XLOOKUP($K401&amp;"",UTILITIES!$B$3:$B$953&amp;"",UTILITIES!$H$3:$H$953,""),"IOT",_xlfn.XLOOKUP($K401&amp;"",IOT!$B$3:$B$1012&amp;"",IOT!$I$3:$I$1012,""),"SERVER",_xlfn.XLOOKUP($K401&amp;"",SERVER!$B$3:$B$1009&amp;"",SERVER!$I$3:$I$1009,""),""))</f>
        <v/>
      </c>
      <c r="M401" t="str" cm="1">
        <f t="array" ref="M401">IF($K401="","",_xlfn.SWITCH($I401,"Computer",_xlfn.XLOOKUP($K401&amp;"",COMPUTER!$B$3:$B$1009&amp;"",COMPUTER!$J$3:$J$1009,""),"Display",_xlfn.XLOOKUP($K401&amp;"",DISPLAY!$B$3:$B$1000&amp;"",DISPLAY!$K$3:$K$1000,""),"Network Device",_xlfn.XLOOKUP($K401&amp;"",'NETWORK-DEVICES'!$B$3:$B$987&amp;"",'NETWORK-DEVICES'!$I$3:$I$987,""),"Peripheral",_xlfn.XLOOKUP($K401&amp;"",PERIPHERAL!$B$3:$B$954&amp;"",PERIPHERAL!$J$3:$J$954,""),"Utilities",_xlfn.XLOOKUP($K401&amp;"",UTILITIES!$B$3:$B$953&amp;"",UTILITIES!$I$3:$I$953,""),"IOT",_xlfn.XLOOKUP($K401&amp;"",IOT!$B$3:$B$1012&amp;"",IOT!$J$3:$J$1012,""),"Server",_xlfn.XLOOKUP($K401&amp;"",SERVER!$B$3:$B$1009&amp;"",SERVER!$J$3:$J$1009,""),""))</f>
        <v/>
      </c>
      <c r="N401" s="1" t="str" cm="1">
        <f t="array" ref="N401">IF(OR($K401="",$I401="",$J401=""),"",_xlfn.LET(_xlpm.srcCat,_xlfn.SWITCH($I401,"Computer",_xlfn.XLOOKUP($K401&amp;"",COMPUTER!$B$3:$B$1009&amp;"",COMPUTER!$H$3:$H$1009,""),"Display",_xlfn.XLOOKUP($K401&amp;"",DISPLAY!$B$3:$B$1000&amp;"",DISPLAY!$H$3:$H$1000,""),"Network Device",_xlfn.XLOOKUP($K401&amp;"",'NETWORK-DEVICES'!$B$3:$B$987&amp;"",'NETWORK-DEVICES'!$H$3:$H$987,""),"Peripheral",_xlfn.XLOOKUP($K401&amp;"",PERIPHERAL!$B$3:$B$954&amp;"",PERIPHERAL!$H$3:$H$954,""),"Utilities",_xlfn.XLOOKUP($K401&amp;"",UTILITIES!$B$3:$B$953&amp;"",UTILITIES!$G$3:$G$953,""),"IOT",_xlfn.XLOOKUP($K401&amp;"",IOT!$B$3:$B$1012&amp;"",IOT!$H$3:$H$1012,""),"Server",_xlfn.XLOOKUP($K401&amp;"",SERVER!$B$3:$B$1009&amp;"",SERVER!$H$3:$H$1009,""),""),IF(TRIM(_xlpm.srcCat)&lt;&gt;TRIM($J401),"",_xlfn.SWITCH($I401,"Computer",_xlfn.XLOOKUP($K401&amp;"",COMPUTER!$B$3:$B$1009&amp;"",COMPUTER!$K$3:$K$1009,""),"Display",_xlfn.XLOOKUP($K401&amp;"",DISPLAY!$B$3:$B$1000&amp;"",DISPLAY!$L$3:$L$1000,""),"Network Device",_xlfn.XLOOKUP($K401&amp;"",'NETWORK-DEVICES'!$B$3:$B$987&amp;"",'NETWORK-DEVICES'!$K$3:$K$987,""),"Peripheral",_xlfn.XLOOKUP($K401&amp;"",PERIPHERAL!$B$3:$B$954&amp;"",PERIPHERAL!$K$3:$K$954,""),"Utilities",_xlfn.XLOOKUP($K401&amp;"",UTILITIES!$B$3:$B$953&amp;"",UTILITIES!$J$3:$J$953,""),"IOT",_xlfn.XLOOKUP($K401&amp;"",IOT!$B$3:$B$1012&amp;"",IOT!$K$4:$K$1012,""),"Server",_xlfn.XLOOKUP($K401&amp;"",SERVER!$B$3:$B$1009&amp;"",SERVER!$K$3:$K$1009,""),""))))</f>
        <v/>
      </c>
      <c r="O401" s="1" t="str" cm="1">
        <f t="array" ref="O401">IF(OR($K401="",$I401="",$J401=""),"",_xlfn.LET(_xlpm.srcCat,_xlfn.SWITCH($I401,"Computer",_xlfn.XLOOKUP($K401&amp;"",COMPUTER!$B$3:$B$1009&amp;"",COMPUTER!$H$3:$H$1009,""),"Display",_xlfn.XLOOKUP($K401&amp;"",DISPLAY!$B$3:$B$1000&amp;"",DISPLAY!$H$3:$H$1000,""),"Network Device",_xlfn.XLOOKUP($K401&amp;"",'NETWORK-DEVICES'!$B$3:$B$987&amp;"",'NETWORK-DEVICES'!$H$3:$H$987,""),"Peripheral",_xlfn.XLOOKUP($K401&amp;"",PERIPHERAL!$B$3:$B$954&amp;"",PERIPHERAL!$H$3:$H$954,""),"Utilities",_xlfn.XLOOKUP($K401&amp;"",UTILITIES!$B$3:$B$953&amp;"",UTILITIES!$G$3:$G$953,""),"IOT",_xlfn.XLOOKUP($K401&amp;"",IOT!$B$3:$B$1012&amp;"",IOT!$H$3:$H$1012,""),"Server",_xlfn.XLOOKUP($K401&amp;"",SERVER!$B$3:$B$1009&amp;"",SERVER!$H$3:$H$1009,""),""),IF(TRIM(_xlpm.srcCat)&lt;&gt;TRIM($J401),"",_xlfn.SWITCH($I401,"Computer",_xlfn.XLOOKUP($K401&amp;"",COMPUTER!$B$3:$B$1009&amp;"",COMPUTER!$E$3:$E$1009,""),"Display",_xlfn.XLOOKUP($K401&amp;"",DISPLAY!$B$3:$B$1000&amp;"",DISPLAY!$E$3:$E$1000,""),"Network Device",_xlfn.XLOOKUP($K401&amp;"",'NETWORK-DEVICES'!$B$3:$B$987&amp;"",'NETWORK-DEVICES'!$E$3:$E$987,""),"Peripheral",_xlfn.XLOOKUP($K401&amp;"",PERIPHERAL!$B$3:$B$954&amp;"",PERIPHERAL!$E$3:$E$954,""),"Utilities",_xlfn.XLOOKUP($K401&amp;"",UTILITIES!$B$3:$B$953&amp;"",UTILITIES!$E$3:$E$953,""),"IOT",_xlfn.XLOOKUP($K401&amp;"",IOT!$B$3:$B$1012&amp;"",IOT!$E$3:$E$1012,""),"Server",_xlfn.XLOOKUP($K401&amp;"",SERVER!$B$3:$B$1009&amp;"",SERVER!$E$3:$E$1009,""),""))))</f>
        <v/>
      </c>
      <c r="Q401" s="1" t="str" cm="1">
        <f t="array" ref="Q401">IF(OR($K401="",$I401="",$J401=""),"",_xlfn.LET(_xlpm.srcCat,_xlfn.SWITCH($I401,"Computer",_xlfn.XLOOKUP($K401&amp;"",COMPUTER!$B$3:$B$1009&amp;"",COMPUTER!$H$3:$H$1009,""),"Display",_xlfn.XLOOKUP($K401&amp;"",DISPLAY!$B$3:$B$1000&amp;"",DISPLAY!$H$3:$H$1000,""),"Network Device",_xlfn.XLOOKUP($K401&amp;"",'NETWORK-DEVICES'!$B$3:$B$987&amp;"",'NETWORK-DEVICES'!$H$3:$H$987,""),"Peripheral",_xlfn.XLOOKUP($K401&amp;"",PERIPHERAL!$B$3:$B$954&amp;"",PERIPHERAL!$H$3:$H$954,""),"Utilities",_xlfn.XLOOKUP($K401&amp;"",UTILITIES!$B$3:$B$953&amp;"",UTILITIES!$G$3:$G$953,""),"IOT",_xlfn.XLOOKUP($K401&amp;"",IOT!$B$3:$B$1012&amp;"",IOT!$H$3:$H$1012,""),"Server",_xlfn.XLOOKUP($K401&amp;"",SERVER!$B$3:$B$1009&amp;"",SERVER!$H$3:$H$1009,""),""),IF(TRIM(_xlpm.srcCat)&lt;&gt;TRIM($J401),"",_xlfn.SWITCH($I401,"Computer",_xlfn.XLOOKUP($K401&amp;"",COMPUTER!$B$3:$B$1009&amp;"",COMPUTER!$AM$3:$AM$1009,""),"Display",_xlfn.XLOOKUP($K401&amp;"",DISPLAY!$B$3:$B$1000&amp;"",DISPLAY!$V$3:$V$1000,""),"Network Device",_xlfn.XLOOKUP($K401&amp;"",'NETWORK-DEVICES'!$B$3:$B$987&amp;"",'NETWORK-DEVICES'!$AF$3:$AF$987,""),"Peripheral",_xlfn.XLOOKUP($K401&amp;"",PERIPHERAL!$B$3:$B$954&amp;"",PERIPHERAL!$Y$3:$Y$954,""),"Utilities",_xlfn.XLOOKUP($K401&amp;"",UTILITIES!$B$3:$B$953&amp;"",UTILITIES!$O$3:$O$953,""),"IOT",_xlfn.XLOOKUP($K401&amp;"",IOT!$B$3:$B$1012&amp;"",IOT!$AB$3:$AB$1012,""),"Server",_xlfn.XLOOKUP($K401&amp;"",SERVER!$B$3:$B$1009&amp;"",SERVER!$AB$3:$AB$1009,""),""))))</f>
        <v/>
      </c>
      <c r="R401" s="43" t="str">
        <f>IF(tbl_handover[[#This Row],[Asset Code]]="","",COUNTIF(tbl_handover[Asset Code],tbl_handover[[#This Row],[Asset Code]]))</f>
        <v/>
      </c>
    </row>
    <row r="402" spans="1:18" x14ac:dyDescent="0.25">
      <c r="A402" s="43" t="str">
        <f>IF(B402&lt;&gt;"",SUBTOTAL(3,$B$1:B401),"")</f>
        <v/>
      </c>
      <c r="C402" s="74"/>
      <c r="D402" s="74"/>
      <c r="G402" s="1"/>
      <c r="K402" s="42"/>
      <c r="L402" t="str" cm="1">
        <f t="array" ref="L402">IF($K402="","",_xlfn.SWITCH($I402,"Computer",_xlfn.XLOOKUP($K402&amp;"",COMPUTER!$B$3:$B$1009&amp;"",COMPUTER!$I$3:$I$1009,""),"Display",_xlfn.XLOOKUP($K402&amp;"",DISPLAY!$B$3:$B$1000&amp;"",DISPLAY!$J$3:$J$1000,""),"Network Device",_xlfn.XLOOKUP($K402&amp;"",'NETWORK-DEVICES'!$B$3:$B$987&amp;"",'NETWORK-DEVICES'!$I$3:$I$987,""),"Peripheral",_xlfn.XLOOKUP($K402&amp;"",PERIPHERAL!$B$3:$B$954&amp;"",PERIPHERAL!$I$3:$I$954,""),"Utilities",_xlfn.XLOOKUP($K402&amp;"",UTILITIES!$B$3:$B$953&amp;"",UTILITIES!$H$3:$H$953,""),"IOT",_xlfn.XLOOKUP($K402&amp;"",IOT!$B$3:$B$1012&amp;"",IOT!$I$3:$I$1012,""),"SERVER",_xlfn.XLOOKUP($K402&amp;"",SERVER!$B$3:$B$1009&amp;"",SERVER!$I$3:$I$1009,""),""))</f>
        <v/>
      </c>
      <c r="M402" t="str" cm="1">
        <f t="array" ref="M402">IF($K402="","",_xlfn.SWITCH($I402,"Computer",_xlfn.XLOOKUP($K402&amp;"",COMPUTER!$B$3:$B$1009&amp;"",COMPUTER!$J$3:$J$1009,""),"Display",_xlfn.XLOOKUP($K402&amp;"",DISPLAY!$B$3:$B$1000&amp;"",DISPLAY!$K$3:$K$1000,""),"Network Device",_xlfn.XLOOKUP($K402&amp;"",'NETWORK-DEVICES'!$B$3:$B$987&amp;"",'NETWORK-DEVICES'!$I$3:$I$987,""),"Peripheral",_xlfn.XLOOKUP($K402&amp;"",PERIPHERAL!$B$3:$B$954&amp;"",PERIPHERAL!$J$3:$J$954,""),"Utilities",_xlfn.XLOOKUP($K402&amp;"",UTILITIES!$B$3:$B$953&amp;"",UTILITIES!$I$3:$I$953,""),"IOT",_xlfn.XLOOKUP($K402&amp;"",IOT!$B$3:$B$1012&amp;"",IOT!$J$3:$J$1012,""),"Server",_xlfn.XLOOKUP($K402&amp;"",SERVER!$B$3:$B$1009&amp;"",SERVER!$J$3:$J$1009,""),""))</f>
        <v/>
      </c>
      <c r="N402" s="1" t="str" cm="1">
        <f t="array" ref="N402">IF(OR($K402="",$I402="",$J402=""),"",_xlfn.LET(_xlpm.srcCat,_xlfn.SWITCH($I402,"Computer",_xlfn.XLOOKUP($K402&amp;"",COMPUTER!$B$3:$B$1009&amp;"",COMPUTER!$H$3:$H$1009,""),"Display",_xlfn.XLOOKUP($K402&amp;"",DISPLAY!$B$3:$B$1000&amp;"",DISPLAY!$H$3:$H$1000,""),"Network Device",_xlfn.XLOOKUP($K402&amp;"",'NETWORK-DEVICES'!$B$3:$B$987&amp;"",'NETWORK-DEVICES'!$H$3:$H$987,""),"Peripheral",_xlfn.XLOOKUP($K402&amp;"",PERIPHERAL!$B$3:$B$954&amp;"",PERIPHERAL!$H$3:$H$954,""),"Utilities",_xlfn.XLOOKUP($K402&amp;"",UTILITIES!$B$3:$B$953&amp;"",UTILITIES!$G$3:$G$953,""),"IOT",_xlfn.XLOOKUP($K402&amp;"",IOT!$B$3:$B$1012&amp;"",IOT!$H$3:$H$1012,""),"Server",_xlfn.XLOOKUP($K402&amp;"",SERVER!$B$3:$B$1009&amp;"",SERVER!$H$3:$H$1009,""),""),IF(TRIM(_xlpm.srcCat)&lt;&gt;TRIM($J402),"",_xlfn.SWITCH($I402,"Computer",_xlfn.XLOOKUP($K402&amp;"",COMPUTER!$B$3:$B$1009&amp;"",COMPUTER!$K$3:$K$1009,""),"Display",_xlfn.XLOOKUP($K402&amp;"",DISPLAY!$B$3:$B$1000&amp;"",DISPLAY!$L$3:$L$1000,""),"Network Device",_xlfn.XLOOKUP($K402&amp;"",'NETWORK-DEVICES'!$B$3:$B$987&amp;"",'NETWORK-DEVICES'!$K$3:$K$987,""),"Peripheral",_xlfn.XLOOKUP($K402&amp;"",PERIPHERAL!$B$3:$B$954&amp;"",PERIPHERAL!$K$3:$K$954,""),"Utilities",_xlfn.XLOOKUP($K402&amp;"",UTILITIES!$B$3:$B$953&amp;"",UTILITIES!$J$3:$J$953,""),"IOT",_xlfn.XLOOKUP($K402&amp;"",IOT!$B$3:$B$1012&amp;"",IOT!$K$4:$K$1012,""),"Server",_xlfn.XLOOKUP($K402&amp;"",SERVER!$B$3:$B$1009&amp;"",SERVER!$K$3:$K$1009,""),""))))</f>
        <v/>
      </c>
      <c r="O402" s="1" t="str" cm="1">
        <f t="array" ref="O402">IF(OR($K402="",$I402="",$J402=""),"",_xlfn.LET(_xlpm.srcCat,_xlfn.SWITCH($I402,"Computer",_xlfn.XLOOKUP($K402&amp;"",COMPUTER!$B$3:$B$1009&amp;"",COMPUTER!$H$3:$H$1009,""),"Display",_xlfn.XLOOKUP($K402&amp;"",DISPLAY!$B$3:$B$1000&amp;"",DISPLAY!$H$3:$H$1000,""),"Network Device",_xlfn.XLOOKUP($K402&amp;"",'NETWORK-DEVICES'!$B$3:$B$987&amp;"",'NETWORK-DEVICES'!$H$3:$H$987,""),"Peripheral",_xlfn.XLOOKUP($K402&amp;"",PERIPHERAL!$B$3:$B$954&amp;"",PERIPHERAL!$H$3:$H$954,""),"Utilities",_xlfn.XLOOKUP($K402&amp;"",UTILITIES!$B$3:$B$953&amp;"",UTILITIES!$G$3:$G$953,""),"IOT",_xlfn.XLOOKUP($K402&amp;"",IOT!$B$3:$B$1012&amp;"",IOT!$H$3:$H$1012,""),"Server",_xlfn.XLOOKUP($K402&amp;"",SERVER!$B$3:$B$1009&amp;"",SERVER!$H$3:$H$1009,""),""),IF(TRIM(_xlpm.srcCat)&lt;&gt;TRIM($J402),"",_xlfn.SWITCH($I402,"Computer",_xlfn.XLOOKUP($K402&amp;"",COMPUTER!$B$3:$B$1009&amp;"",COMPUTER!$E$3:$E$1009,""),"Display",_xlfn.XLOOKUP($K402&amp;"",DISPLAY!$B$3:$B$1000&amp;"",DISPLAY!$E$3:$E$1000,""),"Network Device",_xlfn.XLOOKUP($K402&amp;"",'NETWORK-DEVICES'!$B$3:$B$987&amp;"",'NETWORK-DEVICES'!$E$3:$E$987,""),"Peripheral",_xlfn.XLOOKUP($K402&amp;"",PERIPHERAL!$B$3:$B$954&amp;"",PERIPHERAL!$E$3:$E$954,""),"Utilities",_xlfn.XLOOKUP($K402&amp;"",UTILITIES!$B$3:$B$953&amp;"",UTILITIES!$E$3:$E$953,""),"IOT",_xlfn.XLOOKUP($K402&amp;"",IOT!$B$3:$B$1012&amp;"",IOT!$E$3:$E$1012,""),"Server",_xlfn.XLOOKUP($K402&amp;"",SERVER!$B$3:$B$1009&amp;"",SERVER!$E$3:$E$1009,""),""))))</f>
        <v/>
      </c>
      <c r="Q402" s="1" t="str" cm="1">
        <f t="array" ref="Q402">IF(OR($K402="",$I402="",$J402=""),"",_xlfn.LET(_xlpm.srcCat,_xlfn.SWITCH($I402,"Computer",_xlfn.XLOOKUP($K402&amp;"",COMPUTER!$B$3:$B$1009&amp;"",COMPUTER!$H$3:$H$1009,""),"Display",_xlfn.XLOOKUP($K402&amp;"",DISPLAY!$B$3:$B$1000&amp;"",DISPLAY!$H$3:$H$1000,""),"Network Device",_xlfn.XLOOKUP($K402&amp;"",'NETWORK-DEVICES'!$B$3:$B$987&amp;"",'NETWORK-DEVICES'!$H$3:$H$987,""),"Peripheral",_xlfn.XLOOKUP($K402&amp;"",PERIPHERAL!$B$3:$B$954&amp;"",PERIPHERAL!$H$3:$H$954,""),"Utilities",_xlfn.XLOOKUP($K402&amp;"",UTILITIES!$B$3:$B$953&amp;"",UTILITIES!$G$3:$G$953,""),"IOT",_xlfn.XLOOKUP($K402&amp;"",IOT!$B$3:$B$1012&amp;"",IOT!$H$3:$H$1012,""),"Server",_xlfn.XLOOKUP($K402&amp;"",SERVER!$B$3:$B$1009&amp;"",SERVER!$H$3:$H$1009,""),""),IF(TRIM(_xlpm.srcCat)&lt;&gt;TRIM($J402),"",_xlfn.SWITCH($I402,"Computer",_xlfn.XLOOKUP($K402&amp;"",COMPUTER!$B$3:$B$1009&amp;"",COMPUTER!$AM$3:$AM$1009,""),"Display",_xlfn.XLOOKUP($K402&amp;"",DISPLAY!$B$3:$B$1000&amp;"",DISPLAY!$V$3:$V$1000,""),"Network Device",_xlfn.XLOOKUP($K402&amp;"",'NETWORK-DEVICES'!$B$3:$B$987&amp;"",'NETWORK-DEVICES'!$AF$3:$AF$987,""),"Peripheral",_xlfn.XLOOKUP($K402&amp;"",PERIPHERAL!$B$3:$B$954&amp;"",PERIPHERAL!$Y$3:$Y$954,""),"Utilities",_xlfn.XLOOKUP($K402&amp;"",UTILITIES!$B$3:$B$953&amp;"",UTILITIES!$O$3:$O$953,""),"IOT",_xlfn.XLOOKUP($K402&amp;"",IOT!$B$3:$B$1012&amp;"",IOT!$AB$3:$AB$1012,""),"Server",_xlfn.XLOOKUP($K402&amp;"",SERVER!$B$3:$B$1009&amp;"",SERVER!$AB$3:$AB$1009,""),""))))</f>
        <v/>
      </c>
      <c r="R402" s="43" t="str">
        <f>IF(tbl_handover[[#This Row],[Asset Code]]="","",COUNTIF(tbl_handover[Asset Code],tbl_handover[[#This Row],[Asset Code]]))</f>
        <v/>
      </c>
    </row>
    <row r="403" spans="1:18" x14ac:dyDescent="0.25">
      <c r="A403" s="43" t="str">
        <f>IF(B403&lt;&gt;"",SUBTOTAL(3,$B$1:B402),"")</f>
        <v/>
      </c>
      <c r="C403" s="74"/>
      <c r="D403" s="74"/>
      <c r="G403" s="1"/>
      <c r="K403" s="42"/>
      <c r="L403" t="str" cm="1">
        <f t="array" ref="L403">IF($K403="","",_xlfn.SWITCH($I403,"Computer",_xlfn.XLOOKUP($K403&amp;"",COMPUTER!$B$3:$B$1009&amp;"",COMPUTER!$I$3:$I$1009,""),"Display",_xlfn.XLOOKUP($K403&amp;"",DISPLAY!$B$3:$B$1000&amp;"",DISPLAY!$J$3:$J$1000,""),"Network Device",_xlfn.XLOOKUP($K403&amp;"",'NETWORK-DEVICES'!$B$3:$B$987&amp;"",'NETWORK-DEVICES'!$I$3:$I$987,""),"Peripheral",_xlfn.XLOOKUP($K403&amp;"",PERIPHERAL!$B$3:$B$954&amp;"",PERIPHERAL!$I$3:$I$954,""),"Utilities",_xlfn.XLOOKUP($K403&amp;"",UTILITIES!$B$3:$B$953&amp;"",UTILITIES!$H$3:$H$953,""),"IOT",_xlfn.XLOOKUP($K403&amp;"",IOT!$B$3:$B$1012&amp;"",IOT!$I$3:$I$1012,""),"SERVER",_xlfn.XLOOKUP($K403&amp;"",SERVER!$B$3:$B$1009&amp;"",SERVER!$I$3:$I$1009,""),""))</f>
        <v/>
      </c>
      <c r="M403" t="str" cm="1">
        <f t="array" ref="M403">IF($K403="","",_xlfn.SWITCH($I403,"Computer",_xlfn.XLOOKUP($K403&amp;"",COMPUTER!$B$3:$B$1009&amp;"",COMPUTER!$J$3:$J$1009,""),"Display",_xlfn.XLOOKUP($K403&amp;"",DISPLAY!$B$3:$B$1000&amp;"",DISPLAY!$K$3:$K$1000,""),"Network Device",_xlfn.XLOOKUP($K403&amp;"",'NETWORK-DEVICES'!$B$3:$B$987&amp;"",'NETWORK-DEVICES'!$I$3:$I$987,""),"Peripheral",_xlfn.XLOOKUP($K403&amp;"",PERIPHERAL!$B$3:$B$954&amp;"",PERIPHERAL!$J$3:$J$954,""),"Utilities",_xlfn.XLOOKUP($K403&amp;"",UTILITIES!$B$3:$B$953&amp;"",UTILITIES!$I$3:$I$953,""),"IOT",_xlfn.XLOOKUP($K403&amp;"",IOT!$B$3:$B$1012&amp;"",IOT!$J$3:$J$1012,""),"Server",_xlfn.XLOOKUP($K403&amp;"",SERVER!$B$3:$B$1009&amp;"",SERVER!$J$3:$J$1009,""),""))</f>
        <v/>
      </c>
      <c r="N403" s="1" t="str" cm="1">
        <f t="array" ref="N403">IF(OR($K403="",$I403="",$J403=""),"",_xlfn.LET(_xlpm.srcCat,_xlfn.SWITCH($I403,"Computer",_xlfn.XLOOKUP($K403&amp;"",COMPUTER!$B$3:$B$1009&amp;"",COMPUTER!$H$3:$H$1009,""),"Display",_xlfn.XLOOKUP($K403&amp;"",DISPLAY!$B$3:$B$1000&amp;"",DISPLAY!$H$3:$H$1000,""),"Network Device",_xlfn.XLOOKUP($K403&amp;"",'NETWORK-DEVICES'!$B$3:$B$987&amp;"",'NETWORK-DEVICES'!$H$3:$H$987,""),"Peripheral",_xlfn.XLOOKUP($K403&amp;"",PERIPHERAL!$B$3:$B$954&amp;"",PERIPHERAL!$H$3:$H$954,""),"Utilities",_xlfn.XLOOKUP($K403&amp;"",UTILITIES!$B$3:$B$953&amp;"",UTILITIES!$G$3:$G$953,""),"IOT",_xlfn.XLOOKUP($K403&amp;"",IOT!$B$3:$B$1012&amp;"",IOT!$H$3:$H$1012,""),"Server",_xlfn.XLOOKUP($K403&amp;"",SERVER!$B$3:$B$1009&amp;"",SERVER!$H$3:$H$1009,""),""),IF(TRIM(_xlpm.srcCat)&lt;&gt;TRIM($J403),"",_xlfn.SWITCH($I403,"Computer",_xlfn.XLOOKUP($K403&amp;"",COMPUTER!$B$3:$B$1009&amp;"",COMPUTER!$K$3:$K$1009,""),"Display",_xlfn.XLOOKUP($K403&amp;"",DISPLAY!$B$3:$B$1000&amp;"",DISPLAY!$L$3:$L$1000,""),"Network Device",_xlfn.XLOOKUP($K403&amp;"",'NETWORK-DEVICES'!$B$3:$B$987&amp;"",'NETWORK-DEVICES'!$K$3:$K$987,""),"Peripheral",_xlfn.XLOOKUP($K403&amp;"",PERIPHERAL!$B$3:$B$954&amp;"",PERIPHERAL!$K$3:$K$954,""),"Utilities",_xlfn.XLOOKUP($K403&amp;"",UTILITIES!$B$3:$B$953&amp;"",UTILITIES!$J$3:$J$953,""),"IOT",_xlfn.XLOOKUP($K403&amp;"",IOT!$B$3:$B$1012&amp;"",IOT!$K$4:$K$1012,""),"Server",_xlfn.XLOOKUP($K403&amp;"",SERVER!$B$3:$B$1009&amp;"",SERVER!$K$3:$K$1009,""),""))))</f>
        <v/>
      </c>
      <c r="O403" s="1" t="str" cm="1">
        <f t="array" ref="O403">IF(OR($K403="",$I403="",$J403=""),"",_xlfn.LET(_xlpm.srcCat,_xlfn.SWITCH($I403,"Computer",_xlfn.XLOOKUP($K403&amp;"",COMPUTER!$B$3:$B$1009&amp;"",COMPUTER!$H$3:$H$1009,""),"Display",_xlfn.XLOOKUP($K403&amp;"",DISPLAY!$B$3:$B$1000&amp;"",DISPLAY!$H$3:$H$1000,""),"Network Device",_xlfn.XLOOKUP($K403&amp;"",'NETWORK-DEVICES'!$B$3:$B$987&amp;"",'NETWORK-DEVICES'!$H$3:$H$987,""),"Peripheral",_xlfn.XLOOKUP($K403&amp;"",PERIPHERAL!$B$3:$B$954&amp;"",PERIPHERAL!$H$3:$H$954,""),"Utilities",_xlfn.XLOOKUP($K403&amp;"",UTILITIES!$B$3:$B$953&amp;"",UTILITIES!$G$3:$G$953,""),"IOT",_xlfn.XLOOKUP($K403&amp;"",IOT!$B$3:$B$1012&amp;"",IOT!$H$3:$H$1012,""),"Server",_xlfn.XLOOKUP($K403&amp;"",SERVER!$B$3:$B$1009&amp;"",SERVER!$H$3:$H$1009,""),""),IF(TRIM(_xlpm.srcCat)&lt;&gt;TRIM($J403),"",_xlfn.SWITCH($I403,"Computer",_xlfn.XLOOKUP($K403&amp;"",COMPUTER!$B$3:$B$1009&amp;"",COMPUTER!$E$3:$E$1009,""),"Display",_xlfn.XLOOKUP($K403&amp;"",DISPLAY!$B$3:$B$1000&amp;"",DISPLAY!$E$3:$E$1000,""),"Network Device",_xlfn.XLOOKUP($K403&amp;"",'NETWORK-DEVICES'!$B$3:$B$987&amp;"",'NETWORK-DEVICES'!$E$3:$E$987,""),"Peripheral",_xlfn.XLOOKUP($K403&amp;"",PERIPHERAL!$B$3:$B$954&amp;"",PERIPHERAL!$E$3:$E$954,""),"Utilities",_xlfn.XLOOKUP($K403&amp;"",UTILITIES!$B$3:$B$953&amp;"",UTILITIES!$E$3:$E$953,""),"IOT",_xlfn.XLOOKUP($K403&amp;"",IOT!$B$3:$B$1012&amp;"",IOT!$E$3:$E$1012,""),"Server",_xlfn.XLOOKUP($K403&amp;"",SERVER!$B$3:$B$1009&amp;"",SERVER!$E$3:$E$1009,""),""))))</f>
        <v/>
      </c>
      <c r="Q403" s="1" t="str" cm="1">
        <f t="array" ref="Q403">IF(OR($K403="",$I403="",$J403=""),"",_xlfn.LET(_xlpm.srcCat,_xlfn.SWITCH($I403,"Computer",_xlfn.XLOOKUP($K403&amp;"",COMPUTER!$B$3:$B$1009&amp;"",COMPUTER!$H$3:$H$1009,""),"Display",_xlfn.XLOOKUP($K403&amp;"",DISPLAY!$B$3:$B$1000&amp;"",DISPLAY!$H$3:$H$1000,""),"Network Device",_xlfn.XLOOKUP($K403&amp;"",'NETWORK-DEVICES'!$B$3:$B$987&amp;"",'NETWORK-DEVICES'!$H$3:$H$987,""),"Peripheral",_xlfn.XLOOKUP($K403&amp;"",PERIPHERAL!$B$3:$B$954&amp;"",PERIPHERAL!$H$3:$H$954,""),"Utilities",_xlfn.XLOOKUP($K403&amp;"",UTILITIES!$B$3:$B$953&amp;"",UTILITIES!$G$3:$G$953,""),"IOT",_xlfn.XLOOKUP($K403&amp;"",IOT!$B$3:$B$1012&amp;"",IOT!$H$3:$H$1012,""),"Server",_xlfn.XLOOKUP($K403&amp;"",SERVER!$B$3:$B$1009&amp;"",SERVER!$H$3:$H$1009,""),""),IF(TRIM(_xlpm.srcCat)&lt;&gt;TRIM($J403),"",_xlfn.SWITCH($I403,"Computer",_xlfn.XLOOKUP($K403&amp;"",COMPUTER!$B$3:$B$1009&amp;"",COMPUTER!$AM$3:$AM$1009,""),"Display",_xlfn.XLOOKUP($K403&amp;"",DISPLAY!$B$3:$B$1000&amp;"",DISPLAY!$V$3:$V$1000,""),"Network Device",_xlfn.XLOOKUP($K403&amp;"",'NETWORK-DEVICES'!$B$3:$B$987&amp;"",'NETWORK-DEVICES'!$AF$3:$AF$987,""),"Peripheral",_xlfn.XLOOKUP($K403&amp;"",PERIPHERAL!$B$3:$B$954&amp;"",PERIPHERAL!$Y$3:$Y$954,""),"Utilities",_xlfn.XLOOKUP($K403&amp;"",UTILITIES!$B$3:$B$953&amp;"",UTILITIES!$O$3:$O$953,""),"IOT",_xlfn.XLOOKUP($K403&amp;"",IOT!$B$3:$B$1012&amp;"",IOT!$AB$3:$AB$1012,""),"Server",_xlfn.XLOOKUP($K403&amp;"",SERVER!$B$3:$B$1009&amp;"",SERVER!$AB$3:$AB$1009,""),""))))</f>
        <v/>
      </c>
      <c r="R403" s="43" t="str">
        <f>IF(tbl_handover[[#This Row],[Asset Code]]="","",COUNTIF(tbl_handover[Asset Code],tbl_handover[[#This Row],[Asset Code]]))</f>
        <v/>
      </c>
    </row>
    <row r="404" spans="1:18" x14ac:dyDescent="0.25">
      <c r="A404" s="43" t="str">
        <f>IF(B404&lt;&gt;"",SUBTOTAL(3,$B$1:B403),"")</f>
        <v/>
      </c>
      <c r="C404" s="74"/>
      <c r="D404" s="74"/>
      <c r="G404" s="1"/>
      <c r="K404" s="42"/>
      <c r="L404" t="str" cm="1">
        <f t="array" ref="L404">IF($K404="","",_xlfn.SWITCH($I404,"Computer",_xlfn.XLOOKUP($K404&amp;"",COMPUTER!$B$3:$B$1009&amp;"",COMPUTER!$I$3:$I$1009,""),"Display",_xlfn.XLOOKUP($K404&amp;"",DISPLAY!$B$3:$B$1000&amp;"",DISPLAY!$J$3:$J$1000,""),"Network Device",_xlfn.XLOOKUP($K404&amp;"",'NETWORK-DEVICES'!$B$3:$B$987&amp;"",'NETWORK-DEVICES'!$I$3:$I$987,""),"Peripheral",_xlfn.XLOOKUP($K404&amp;"",PERIPHERAL!$B$3:$B$954&amp;"",PERIPHERAL!$I$3:$I$954,""),"Utilities",_xlfn.XLOOKUP($K404&amp;"",UTILITIES!$B$3:$B$953&amp;"",UTILITIES!$H$3:$H$953,""),"IOT",_xlfn.XLOOKUP($K404&amp;"",IOT!$B$3:$B$1012&amp;"",IOT!$I$3:$I$1012,""),"SERVER",_xlfn.XLOOKUP($K404&amp;"",SERVER!$B$3:$B$1009&amp;"",SERVER!$I$3:$I$1009,""),""))</f>
        <v/>
      </c>
      <c r="M404" t="str" cm="1">
        <f t="array" ref="M404">IF($K404="","",_xlfn.SWITCH($I404,"Computer",_xlfn.XLOOKUP($K404&amp;"",COMPUTER!$B$3:$B$1009&amp;"",COMPUTER!$J$3:$J$1009,""),"Display",_xlfn.XLOOKUP($K404&amp;"",DISPLAY!$B$3:$B$1000&amp;"",DISPLAY!$K$3:$K$1000,""),"Network Device",_xlfn.XLOOKUP($K404&amp;"",'NETWORK-DEVICES'!$B$3:$B$987&amp;"",'NETWORK-DEVICES'!$I$3:$I$987,""),"Peripheral",_xlfn.XLOOKUP($K404&amp;"",PERIPHERAL!$B$3:$B$954&amp;"",PERIPHERAL!$J$3:$J$954,""),"Utilities",_xlfn.XLOOKUP($K404&amp;"",UTILITIES!$B$3:$B$953&amp;"",UTILITIES!$I$3:$I$953,""),"IOT",_xlfn.XLOOKUP($K404&amp;"",IOT!$B$3:$B$1012&amp;"",IOT!$J$3:$J$1012,""),"Server",_xlfn.XLOOKUP($K404&amp;"",SERVER!$B$3:$B$1009&amp;"",SERVER!$J$3:$J$1009,""),""))</f>
        <v/>
      </c>
      <c r="N404" s="1" t="str" cm="1">
        <f t="array" ref="N404">IF(OR($K404="",$I404="",$J404=""),"",_xlfn.LET(_xlpm.srcCat,_xlfn.SWITCH($I404,"Computer",_xlfn.XLOOKUP($K404&amp;"",COMPUTER!$B$3:$B$1009&amp;"",COMPUTER!$H$3:$H$1009,""),"Display",_xlfn.XLOOKUP($K404&amp;"",DISPLAY!$B$3:$B$1000&amp;"",DISPLAY!$H$3:$H$1000,""),"Network Device",_xlfn.XLOOKUP($K404&amp;"",'NETWORK-DEVICES'!$B$3:$B$987&amp;"",'NETWORK-DEVICES'!$H$3:$H$987,""),"Peripheral",_xlfn.XLOOKUP($K404&amp;"",PERIPHERAL!$B$3:$B$954&amp;"",PERIPHERAL!$H$3:$H$954,""),"Utilities",_xlfn.XLOOKUP($K404&amp;"",UTILITIES!$B$3:$B$953&amp;"",UTILITIES!$G$3:$G$953,""),"IOT",_xlfn.XLOOKUP($K404&amp;"",IOT!$B$3:$B$1012&amp;"",IOT!$H$3:$H$1012,""),"Server",_xlfn.XLOOKUP($K404&amp;"",SERVER!$B$3:$B$1009&amp;"",SERVER!$H$3:$H$1009,""),""),IF(TRIM(_xlpm.srcCat)&lt;&gt;TRIM($J404),"",_xlfn.SWITCH($I404,"Computer",_xlfn.XLOOKUP($K404&amp;"",COMPUTER!$B$3:$B$1009&amp;"",COMPUTER!$K$3:$K$1009,""),"Display",_xlfn.XLOOKUP($K404&amp;"",DISPLAY!$B$3:$B$1000&amp;"",DISPLAY!$L$3:$L$1000,""),"Network Device",_xlfn.XLOOKUP($K404&amp;"",'NETWORK-DEVICES'!$B$3:$B$987&amp;"",'NETWORK-DEVICES'!$K$3:$K$987,""),"Peripheral",_xlfn.XLOOKUP($K404&amp;"",PERIPHERAL!$B$3:$B$954&amp;"",PERIPHERAL!$K$3:$K$954,""),"Utilities",_xlfn.XLOOKUP($K404&amp;"",UTILITIES!$B$3:$B$953&amp;"",UTILITIES!$J$3:$J$953,""),"IOT",_xlfn.XLOOKUP($K404&amp;"",IOT!$B$3:$B$1012&amp;"",IOT!$K$4:$K$1012,""),"Server",_xlfn.XLOOKUP($K404&amp;"",SERVER!$B$3:$B$1009&amp;"",SERVER!$K$3:$K$1009,""),""))))</f>
        <v/>
      </c>
      <c r="O404" s="1" t="str" cm="1">
        <f t="array" ref="O404">IF(OR($K404="",$I404="",$J404=""),"",_xlfn.LET(_xlpm.srcCat,_xlfn.SWITCH($I404,"Computer",_xlfn.XLOOKUP($K404&amp;"",COMPUTER!$B$3:$B$1009&amp;"",COMPUTER!$H$3:$H$1009,""),"Display",_xlfn.XLOOKUP($K404&amp;"",DISPLAY!$B$3:$B$1000&amp;"",DISPLAY!$H$3:$H$1000,""),"Network Device",_xlfn.XLOOKUP($K404&amp;"",'NETWORK-DEVICES'!$B$3:$B$987&amp;"",'NETWORK-DEVICES'!$H$3:$H$987,""),"Peripheral",_xlfn.XLOOKUP($K404&amp;"",PERIPHERAL!$B$3:$B$954&amp;"",PERIPHERAL!$H$3:$H$954,""),"Utilities",_xlfn.XLOOKUP($K404&amp;"",UTILITIES!$B$3:$B$953&amp;"",UTILITIES!$G$3:$G$953,""),"IOT",_xlfn.XLOOKUP($K404&amp;"",IOT!$B$3:$B$1012&amp;"",IOT!$H$3:$H$1012,""),"Server",_xlfn.XLOOKUP($K404&amp;"",SERVER!$B$3:$B$1009&amp;"",SERVER!$H$3:$H$1009,""),""),IF(TRIM(_xlpm.srcCat)&lt;&gt;TRIM($J404),"",_xlfn.SWITCH($I404,"Computer",_xlfn.XLOOKUP($K404&amp;"",COMPUTER!$B$3:$B$1009&amp;"",COMPUTER!$E$3:$E$1009,""),"Display",_xlfn.XLOOKUP($K404&amp;"",DISPLAY!$B$3:$B$1000&amp;"",DISPLAY!$E$3:$E$1000,""),"Network Device",_xlfn.XLOOKUP($K404&amp;"",'NETWORK-DEVICES'!$B$3:$B$987&amp;"",'NETWORK-DEVICES'!$E$3:$E$987,""),"Peripheral",_xlfn.XLOOKUP($K404&amp;"",PERIPHERAL!$B$3:$B$954&amp;"",PERIPHERAL!$E$3:$E$954,""),"Utilities",_xlfn.XLOOKUP($K404&amp;"",UTILITIES!$B$3:$B$953&amp;"",UTILITIES!$E$3:$E$953,""),"IOT",_xlfn.XLOOKUP($K404&amp;"",IOT!$B$3:$B$1012&amp;"",IOT!$E$3:$E$1012,""),"Server",_xlfn.XLOOKUP($K404&amp;"",SERVER!$B$3:$B$1009&amp;"",SERVER!$E$3:$E$1009,""),""))))</f>
        <v/>
      </c>
      <c r="Q404" s="1" t="str" cm="1">
        <f t="array" ref="Q404">IF(OR($K404="",$I404="",$J404=""),"",_xlfn.LET(_xlpm.srcCat,_xlfn.SWITCH($I404,"Computer",_xlfn.XLOOKUP($K404&amp;"",COMPUTER!$B$3:$B$1009&amp;"",COMPUTER!$H$3:$H$1009,""),"Display",_xlfn.XLOOKUP($K404&amp;"",DISPLAY!$B$3:$B$1000&amp;"",DISPLAY!$H$3:$H$1000,""),"Network Device",_xlfn.XLOOKUP($K404&amp;"",'NETWORK-DEVICES'!$B$3:$B$987&amp;"",'NETWORK-DEVICES'!$H$3:$H$987,""),"Peripheral",_xlfn.XLOOKUP($K404&amp;"",PERIPHERAL!$B$3:$B$954&amp;"",PERIPHERAL!$H$3:$H$954,""),"Utilities",_xlfn.XLOOKUP($K404&amp;"",UTILITIES!$B$3:$B$953&amp;"",UTILITIES!$G$3:$G$953,""),"IOT",_xlfn.XLOOKUP($K404&amp;"",IOT!$B$3:$B$1012&amp;"",IOT!$H$3:$H$1012,""),"Server",_xlfn.XLOOKUP($K404&amp;"",SERVER!$B$3:$B$1009&amp;"",SERVER!$H$3:$H$1009,""),""),IF(TRIM(_xlpm.srcCat)&lt;&gt;TRIM($J404),"",_xlfn.SWITCH($I404,"Computer",_xlfn.XLOOKUP($K404&amp;"",COMPUTER!$B$3:$B$1009&amp;"",COMPUTER!$AM$3:$AM$1009,""),"Display",_xlfn.XLOOKUP($K404&amp;"",DISPLAY!$B$3:$B$1000&amp;"",DISPLAY!$V$3:$V$1000,""),"Network Device",_xlfn.XLOOKUP($K404&amp;"",'NETWORK-DEVICES'!$B$3:$B$987&amp;"",'NETWORK-DEVICES'!$AF$3:$AF$987,""),"Peripheral",_xlfn.XLOOKUP($K404&amp;"",PERIPHERAL!$B$3:$B$954&amp;"",PERIPHERAL!$Y$3:$Y$954,""),"Utilities",_xlfn.XLOOKUP($K404&amp;"",UTILITIES!$B$3:$B$953&amp;"",UTILITIES!$O$3:$O$953,""),"IOT",_xlfn.XLOOKUP($K404&amp;"",IOT!$B$3:$B$1012&amp;"",IOT!$AB$3:$AB$1012,""),"Server",_xlfn.XLOOKUP($K404&amp;"",SERVER!$B$3:$B$1009&amp;"",SERVER!$AB$3:$AB$1009,""),""))))</f>
        <v/>
      </c>
      <c r="R404" s="43" t="str">
        <f>IF(tbl_handover[[#This Row],[Asset Code]]="","",COUNTIF(tbl_handover[Asset Code],tbl_handover[[#This Row],[Asset Code]]))</f>
        <v/>
      </c>
    </row>
    <row r="405" spans="1:18" x14ac:dyDescent="0.25">
      <c r="A405" s="43" t="str">
        <f>IF(B405&lt;&gt;"",SUBTOTAL(3,$B$1:B404),"")</f>
        <v/>
      </c>
      <c r="C405" s="74"/>
      <c r="D405" s="74"/>
      <c r="G405" s="1"/>
      <c r="K405" s="42"/>
      <c r="L405" t="str" cm="1">
        <f t="array" ref="L405">IF($K405="","",_xlfn.SWITCH($I405,"Computer",_xlfn.XLOOKUP($K405&amp;"",COMPUTER!$B$3:$B$1009&amp;"",COMPUTER!$I$3:$I$1009,""),"Display",_xlfn.XLOOKUP($K405&amp;"",DISPLAY!$B$3:$B$1000&amp;"",DISPLAY!$J$3:$J$1000,""),"Network Device",_xlfn.XLOOKUP($K405&amp;"",'NETWORK-DEVICES'!$B$3:$B$987&amp;"",'NETWORK-DEVICES'!$I$3:$I$987,""),"Peripheral",_xlfn.XLOOKUP($K405&amp;"",PERIPHERAL!$B$3:$B$954&amp;"",PERIPHERAL!$I$3:$I$954,""),"Utilities",_xlfn.XLOOKUP($K405&amp;"",UTILITIES!$B$3:$B$953&amp;"",UTILITIES!$H$3:$H$953,""),"IOT",_xlfn.XLOOKUP($K405&amp;"",IOT!$B$3:$B$1012&amp;"",IOT!$I$3:$I$1012,""),"SERVER",_xlfn.XLOOKUP($K405&amp;"",SERVER!$B$3:$B$1009&amp;"",SERVER!$I$3:$I$1009,""),""))</f>
        <v/>
      </c>
      <c r="M405" t="str" cm="1">
        <f t="array" ref="M405">IF($K405="","",_xlfn.SWITCH($I405,"Computer",_xlfn.XLOOKUP($K405&amp;"",COMPUTER!$B$3:$B$1009&amp;"",COMPUTER!$J$3:$J$1009,""),"Display",_xlfn.XLOOKUP($K405&amp;"",DISPLAY!$B$3:$B$1000&amp;"",DISPLAY!$K$3:$K$1000,""),"Network Device",_xlfn.XLOOKUP($K405&amp;"",'NETWORK-DEVICES'!$B$3:$B$987&amp;"",'NETWORK-DEVICES'!$I$3:$I$987,""),"Peripheral",_xlfn.XLOOKUP($K405&amp;"",PERIPHERAL!$B$3:$B$954&amp;"",PERIPHERAL!$J$3:$J$954,""),"Utilities",_xlfn.XLOOKUP($K405&amp;"",UTILITIES!$B$3:$B$953&amp;"",UTILITIES!$I$3:$I$953,""),"IOT",_xlfn.XLOOKUP($K405&amp;"",IOT!$B$3:$B$1012&amp;"",IOT!$J$3:$J$1012,""),"Server",_xlfn.XLOOKUP($K405&amp;"",SERVER!$B$3:$B$1009&amp;"",SERVER!$J$3:$J$1009,""),""))</f>
        <v/>
      </c>
      <c r="N405" s="1" t="str" cm="1">
        <f t="array" ref="N405">IF(OR($K405="",$I405="",$J405=""),"",_xlfn.LET(_xlpm.srcCat,_xlfn.SWITCH($I405,"Computer",_xlfn.XLOOKUP($K405&amp;"",COMPUTER!$B$3:$B$1009&amp;"",COMPUTER!$H$3:$H$1009,""),"Display",_xlfn.XLOOKUP($K405&amp;"",DISPLAY!$B$3:$B$1000&amp;"",DISPLAY!$H$3:$H$1000,""),"Network Device",_xlfn.XLOOKUP($K405&amp;"",'NETWORK-DEVICES'!$B$3:$B$987&amp;"",'NETWORK-DEVICES'!$H$3:$H$987,""),"Peripheral",_xlfn.XLOOKUP($K405&amp;"",PERIPHERAL!$B$3:$B$954&amp;"",PERIPHERAL!$H$3:$H$954,""),"Utilities",_xlfn.XLOOKUP($K405&amp;"",UTILITIES!$B$3:$B$953&amp;"",UTILITIES!$G$3:$G$953,""),"IOT",_xlfn.XLOOKUP($K405&amp;"",IOT!$B$3:$B$1012&amp;"",IOT!$H$3:$H$1012,""),"Server",_xlfn.XLOOKUP($K405&amp;"",SERVER!$B$3:$B$1009&amp;"",SERVER!$H$3:$H$1009,""),""),IF(TRIM(_xlpm.srcCat)&lt;&gt;TRIM($J405),"",_xlfn.SWITCH($I405,"Computer",_xlfn.XLOOKUP($K405&amp;"",COMPUTER!$B$3:$B$1009&amp;"",COMPUTER!$K$3:$K$1009,""),"Display",_xlfn.XLOOKUP($K405&amp;"",DISPLAY!$B$3:$B$1000&amp;"",DISPLAY!$L$3:$L$1000,""),"Network Device",_xlfn.XLOOKUP($K405&amp;"",'NETWORK-DEVICES'!$B$3:$B$987&amp;"",'NETWORK-DEVICES'!$K$3:$K$987,""),"Peripheral",_xlfn.XLOOKUP($K405&amp;"",PERIPHERAL!$B$3:$B$954&amp;"",PERIPHERAL!$K$3:$K$954,""),"Utilities",_xlfn.XLOOKUP($K405&amp;"",UTILITIES!$B$3:$B$953&amp;"",UTILITIES!$J$3:$J$953,""),"IOT",_xlfn.XLOOKUP($K405&amp;"",IOT!$B$3:$B$1012&amp;"",IOT!$K$4:$K$1012,""),"Server",_xlfn.XLOOKUP($K405&amp;"",SERVER!$B$3:$B$1009&amp;"",SERVER!$K$3:$K$1009,""),""))))</f>
        <v/>
      </c>
      <c r="O405" s="1" t="str" cm="1">
        <f t="array" ref="O405">IF(OR($K405="",$I405="",$J405=""),"",_xlfn.LET(_xlpm.srcCat,_xlfn.SWITCH($I405,"Computer",_xlfn.XLOOKUP($K405&amp;"",COMPUTER!$B$3:$B$1009&amp;"",COMPUTER!$H$3:$H$1009,""),"Display",_xlfn.XLOOKUP($K405&amp;"",DISPLAY!$B$3:$B$1000&amp;"",DISPLAY!$H$3:$H$1000,""),"Network Device",_xlfn.XLOOKUP($K405&amp;"",'NETWORK-DEVICES'!$B$3:$B$987&amp;"",'NETWORK-DEVICES'!$H$3:$H$987,""),"Peripheral",_xlfn.XLOOKUP($K405&amp;"",PERIPHERAL!$B$3:$B$954&amp;"",PERIPHERAL!$H$3:$H$954,""),"Utilities",_xlfn.XLOOKUP($K405&amp;"",UTILITIES!$B$3:$B$953&amp;"",UTILITIES!$G$3:$G$953,""),"IOT",_xlfn.XLOOKUP($K405&amp;"",IOT!$B$3:$B$1012&amp;"",IOT!$H$3:$H$1012,""),"Server",_xlfn.XLOOKUP($K405&amp;"",SERVER!$B$3:$B$1009&amp;"",SERVER!$H$3:$H$1009,""),""),IF(TRIM(_xlpm.srcCat)&lt;&gt;TRIM($J405),"",_xlfn.SWITCH($I405,"Computer",_xlfn.XLOOKUP($K405&amp;"",COMPUTER!$B$3:$B$1009&amp;"",COMPUTER!$E$3:$E$1009,""),"Display",_xlfn.XLOOKUP($K405&amp;"",DISPLAY!$B$3:$B$1000&amp;"",DISPLAY!$E$3:$E$1000,""),"Network Device",_xlfn.XLOOKUP($K405&amp;"",'NETWORK-DEVICES'!$B$3:$B$987&amp;"",'NETWORK-DEVICES'!$E$3:$E$987,""),"Peripheral",_xlfn.XLOOKUP($K405&amp;"",PERIPHERAL!$B$3:$B$954&amp;"",PERIPHERAL!$E$3:$E$954,""),"Utilities",_xlfn.XLOOKUP($K405&amp;"",UTILITIES!$B$3:$B$953&amp;"",UTILITIES!$E$3:$E$953,""),"IOT",_xlfn.XLOOKUP($K405&amp;"",IOT!$B$3:$B$1012&amp;"",IOT!$E$3:$E$1012,""),"Server",_xlfn.XLOOKUP($K405&amp;"",SERVER!$B$3:$B$1009&amp;"",SERVER!$E$3:$E$1009,""),""))))</f>
        <v/>
      </c>
      <c r="Q405" s="1" t="str" cm="1">
        <f t="array" ref="Q405">IF(OR($K405="",$I405="",$J405=""),"",_xlfn.LET(_xlpm.srcCat,_xlfn.SWITCH($I405,"Computer",_xlfn.XLOOKUP($K405&amp;"",COMPUTER!$B$3:$B$1009&amp;"",COMPUTER!$H$3:$H$1009,""),"Display",_xlfn.XLOOKUP($K405&amp;"",DISPLAY!$B$3:$B$1000&amp;"",DISPLAY!$H$3:$H$1000,""),"Network Device",_xlfn.XLOOKUP($K405&amp;"",'NETWORK-DEVICES'!$B$3:$B$987&amp;"",'NETWORK-DEVICES'!$H$3:$H$987,""),"Peripheral",_xlfn.XLOOKUP($K405&amp;"",PERIPHERAL!$B$3:$B$954&amp;"",PERIPHERAL!$H$3:$H$954,""),"Utilities",_xlfn.XLOOKUP($K405&amp;"",UTILITIES!$B$3:$B$953&amp;"",UTILITIES!$G$3:$G$953,""),"IOT",_xlfn.XLOOKUP($K405&amp;"",IOT!$B$3:$B$1012&amp;"",IOT!$H$3:$H$1012,""),"Server",_xlfn.XLOOKUP($K405&amp;"",SERVER!$B$3:$B$1009&amp;"",SERVER!$H$3:$H$1009,""),""),IF(TRIM(_xlpm.srcCat)&lt;&gt;TRIM($J405),"",_xlfn.SWITCH($I405,"Computer",_xlfn.XLOOKUP($K405&amp;"",COMPUTER!$B$3:$B$1009&amp;"",COMPUTER!$AM$3:$AM$1009,""),"Display",_xlfn.XLOOKUP($K405&amp;"",DISPLAY!$B$3:$B$1000&amp;"",DISPLAY!$V$3:$V$1000,""),"Network Device",_xlfn.XLOOKUP($K405&amp;"",'NETWORK-DEVICES'!$B$3:$B$987&amp;"",'NETWORK-DEVICES'!$AF$3:$AF$987,""),"Peripheral",_xlfn.XLOOKUP($K405&amp;"",PERIPHERAL!$B$3:$B$954&amp;"",PERIPHERAL!$Y$3:$Y$954,""),"Utilities",_xlfn.XLOOKUP($K405&amp;"",UTILITIES!$B$3:$B$953&amp;"",UTILITIES!$O$3:$O$953,""),"IOT",_xlfn.XLOOKUP($K405&amp;"",IOT!$B$3:$B$1012&amp;"",IOT!$AB$3:$AB$1012,""),"Server",_xlfn.XLOOKUP($K405&amp;"",SERVER!$B$3:$B$1009&amp;"",SERVER!$AB$3:$AB$1009,""),""))))</f>
        <v/>
      </c>
      <c r="R405" s="43" t="str">
        <f>IF(tbl_handover[[#This Row],[Asset Code]]="","",COUNTIF(tbl_handover[Asset Code],tbl_handover[[#This Row],[Asset Code]]))</f>
        <v/>
      </c>
    </row>
    <row r="406" spans="1:18" x14ac:dyDescent="0.25">
      <c r="A406" s="43" t="str">
        <f>IF(B406&lt;&gt;"",SUBTOTAL(3,$B$1:B405),"")</f>
        <v/>
      </c>
      <c r="C406" s="74"/>
      <c r="D406" s="74"/>
      <c r="G406" s="1"/>
      <c r="K406" s="42"/>
      <c r="L406" t="str" cm="1">
        <f t="array" ref="L406">IF($K406="","",_xlfn.SWITCH($I406,"Computer",_xlfn.XLOOKUP($K406&amp;"",COMPUTER!$B$3:$B$1009&amp;"",COMPUTER!$I$3:$I$1009,""),"Display",_xlfn.XLOOKUP($K406&amp;"",DISPLAY!$B$3:$B$1000&amp;"",DISPLAY!$J$3:$J$1000,""),"Network Device",_xlfn.XLOOKUP($K406&amp;"",'NETWORK-DEVICES'!$B$3:$B$987&amp;"",'NETWORK-DEVICES'!$I$3:$I$987,""),"Peripheral",_xlfn.XLOOKUP($K406&amp;"",PERIPHERAL!$B$3:$B$954&amp;"",PERIPHERAL!$I$3:$I$954,""),"Utilities",_xlfn.XLOOKUP($K406&amp;"",UTILITIES!$B$3:$B$953&amp;"",UTILITIES!$H$3:$H$953,""),"IOT",_xlfn.XLOOKUP($K406&amp;"",IOT!$B$3:$B$1012&amp;"",IOT!$I$3:$I$1012,""),"SERVER",_xlfn.XLOOKUP($K406&amp;"",SERVER!$B$3:$B$1009&amp;"",SERVER!$I$3:$I$1009,""),""))</f>
        <v/>
      </c>
      <c r="M406" t="str" cm="1">
        <f t="array" ref="M406">IF($K406="","",_xlfn.SWITCH($I406,"Computer",_xlfn.XLOOKUP($K406&amp;"",COMPUTER!$B$3:$B$1009&amp;"",COMPUTER!$J$3:$J$1009,""),"Display",_xlfn.XLOOKUP($K406&amp;"",DISPLAY!$B$3:$B$1000&amp;"",DISPLAY!$K$3:$K$1000,""),"Network Device",_xlfn.XLOOKUP($K406&amp;"",'NETWORK-DEVICES'!$B$3:$B$987&amp;"",'NETWORK-DEVICES'!$I$3:$I$987,""),"Peripheral",_xlfn.XLOOKUP($K406&amp;"",PERIPHERAL!$B$3:$B$954&amp;"",PERIPHERAL!$J$3:$J$954,""),"Utilities",_xlfn.XLOOKUP($K406&amp;"",UTILITIES!$B$3:$B$953&amp;"",UTILITIES!$I$3:$I$953,""),"IOT",_xlfn.XLOOKUP($K406&amp;"",IOT!$B$3:$B$1012&amp;"",IOT!$J$3:$J$1012,""),"Server",_xlfn.XLOOKUP($K406&amp;"",SERVER!$B$3:$B$1009&amp;"",SERVER!$J$3:$J$1009,""),""))</f>
        <v/>
      </c>
      <c r="N406" s="1" t="str" cm="1">
        <f t="array" ref="N406">IF(OR($K406="",$I406="",$J406=""),"",_xlfn.LET(_xlpm.srcCat,_xlfn.SWITCH($I406,"Computer",_xlfn.XLOOKUP($K406&amp;"",COMPUTER!$B$3:$B$1009&amp;"",COMPUTER!$H$3:$H$1009,""),"Display",_xlfn.XLOOKUP($K406&amp;"",DISPLAY!$B$3:$B$1000&amp;"",DISPLAY!$H$3:$H$1000,""),"Network Device",_xlfn.XLOOKUP($K406&amp;"",'NETWORK-DEVICES'!$B$3:$B$987&amp;"",'NETWORK-DEVICES'!$H$3:$H$987,""),"Peripheral",_xlfn.XLOOKUP($K406&amp;"",PERIPHERAL!$B$3:$B$954&amp;"",PERIPHERAL!$H$3:$H$954,""),"Utilities",_xlfn.XLOOKUP($K406&amp;"",UTILITIES!$B$3:$B$953&amp;"",UTILITIES!$G$3:$G$953,""),"IOT",_xlfn.XLOOKUP($K406&amp;"",IOT!$B$3:$B$1012&amp;"",IOT!$H$3:$H$1012,""),"Server",_xlfn.XLOOKUP($K406&amp;"",SERVER!$B$3:$B$1009&amp;"",SERVER!$H$3:$H$1009,""),""),IF(TRIM(_xlpm.srcCat)&lt;&gt;TRIM($J406),"",_xlfn.SWITCH($I406,"Computer",_xlfn.XLOOKUP($K406&amp;"",COMPUTER!$B$3:$B$1009&amp;"",COMPUTER!$K$3:$K$1009,""),"Display",_xlfn.XLOOKUP($K406&amp;"",DISPLAY!$B$3:$B$1000&amp;"",DISPLAY!$L$3:$L$1000,""),"Network Device",_xlfn.XLOOKUP($K406&amp;"",'NETWORK-DEVICES'!$B$3:$B$987&amp;"",'NETWORK-DEVICES'!$K$3:$K$987,""),"Peripheral",_xlfn.XLOOKUP($K406&amp;"",PERIPHERAL!$B$3:$B$954&amp;"",PERIPHERAL!$K$3:$K$954,""),"Utilities",_xlfn.XLOOKUP($K406&amp;"",UTILITIES!$B$3:$B$953&amp;"",UTILITIES!$J$3:$J$953,""),"IOT",_xlfn.XLOOKUP($K406&amp;"",IOT!$B$3:$B$1012&amp;"",IOT!$K$4:$K$1012,""),"Server",_xlfn.XLOOKUP($K406&amp;"",SERVER!$B$3:$B$1009&amp;"",SERVER!$K$3:$K$1009,""),""))))</f>
        <v/>
      </c>
      <c r="O406" s="1" t="str" cm="1">
        <f t="array" ref="O406">IF(OR($K406="",$I406="",$J406=""),"",_xlfn.LET(_xlpm.srcCat,_xlfn.SWITCH($I406,"Computer",_xlfn.XLOOKUP($K406&amp;"",COMPUTER!$B$3:$B$1009&amp;"",COMPUTER!$H$3:$H$1009,""),"Display",_xlfn.XLOOKUP($K406&amp;"",DISPLAY!$B$3:$B$1000&amp;"",DISPLAY!$H$3:$H$1000,""),"Network Device",_xlfn.XLOOKUP($K406&amp;"",'NETWORK-DEVICES'!$B$3:$B$987&amp;"",'NETWORK-DEVICES'!$H$3:$H$987,""),"Peripheral",_xlfn.XLOOKUP($K406&amp;"",PERIPHERAL!$B$3:$B$954&amp;"",PERIPHERAL!$H$3:$H$954,""),"Utilities",_xlfn.XLOOKUP($K406&amp;"",UTILITIES!$B$3:$B$953&amp;"",UTILITIES!$G$3:$G$953,""),"IOT",_xlfn.XLOOKUP($K406&amp;"",IOT!$B$3:$B$1012&amp;"",IOT!$H$3:$H$1012,""),"Server",_xlfn.XLOOKUP($K406&amp;"",SERVER!$B$3:$B$1009&amp;"",SERVER!$H$3:$H$1009,""),""),IF(TRIM(_xlpm.srcCat)&lt;&gt;TRIM($J406),"",_xlfn.SWITCH($I406,"Computer",_xlfn.XLOOKUP($K406&amp;"",COMPUTER!$B$3:$B$1009&amp;"",COMPUTER!$E$3:$E$1009,""),"Display",_xlfn.XLOOKUP($K406&amp;"",DISPLAY!$B$3:$B$1000&amp;"",DISPLAY!$E$3:$E$1000,""),"Network Device",_xlfn.XLOOKUP($K406&amp;"",'NETWORK-DEVICES'!$B$3:$B$987&amp;"",'NETWORK-DEVICES'!$E$3:$E$987,""),"Peripheral",_xlfn.XLOOKUP($K406&amp;"",PERIPHERAL!$B$3:$B$954&amp;"",PERIPHERAL!$E$3:$E$954,""),"Utilities",_xlfn.XLOOKUP($K406&amp;"",UTILITIES!$B$3:$B$953&amp;"",UTILITIES!$E$3:$E$953,""),"IOT",_xlfn.XLOOKUP($K406&amp;"",IOT!$B$3:$B$1012&amp;"",IOT!$E$3:$E$1012,""),"Server",_xlfn.XLOOKUP($K406&amp;"",SERVER!$B$3:$B$1009&amp;"",SERVER!$E$3:$E$1009,""),""))))</f>
        <v/>
      </c>
      <c r="Q406" s="1" t="str" cm="1">
        <f t="array" ref="Q406">IF(OR($K406="",$I406="",$J406=""),"",_xlfn.LET(_xlpm.srcCat,_xlfn.SWITCH($I406,"Computer",_xlfn.XLOOKUP($K406&amp;"",COMPUTER!$B$3:$B$1009&amp;"",COMPUTER!$H$3:$H$1009,""),"Display",_xlfn.XLOOKUP($K406&amp;"",DISPLAY!$B$3:$B$1000&amp;"",DISPLAY!$H$3:$H$1000,""),"Network Device",_xlfn.XLOOKUP($K406&amp;"",'NETWORK-DEVICES'!$B$3:$B$987&amp;"",'NETWORK-DEVICES'!$H$3:$H$987,""),"Peripheral",_xlfn.XLOOKUP($K406&amp;"",PERIPHERAL!$B$3:$B$954&amp;"",PERIPHERAL!$H$3:$H$954,""),"Utilities",_xlfn.XLOOKUP($K406&amp;"",UTILITIES!$B$3:$B$953&amp;"",UTILITIES!$G$3:$G$953,""),"IOT",_xlfn.XLOOKUP($K406&amp;"",IOT!$B$3:$B$1012&amp;"",IOT!$H$3:$H$1012,""),"Server",_xlfn.XLOOKUP($K406&amp;"",SERVER!$B$3:$B$1009&amp;"",SERVER!$H$3:$H$1009,""),""),IF(TRIM(_xlpm.srcCat)&lt;&gt;TRIM($J406),"",_xlfn.SWITCH($I406,"Computer",_xlfn.XLOOKUP($K406&amp;"",COMPUTER!$B$3:$B$1009&amp;"",COMPUTER!$AM$3:$AM$1009,""),"Display",_xlfn.XLOOKUP($K406&amp;"",DISPLAY!$B$3:$B$1000&amp;"",DISPLAY!$V$3:$V$1000,""),"Network Device",_xlfn.XLOOKUP($K406&amp;"",'NETWORK-DEVICES'!$B$3:$B$987&amp;"",'NETWORK-DEVICES'!$AF$3:$AF$987,""),"Peripheral",_xlfn.XLOOKUP($K406&amp;"",PERIPHERAL!$B$3:$B$954&amp;"",PERIPHERAL!$Y$3:$Y$954,""),"Utilities",_xlfn.XLOOKUP($K406&amp;"",UTILITIES!$B$3:$B$953&amp;"",UTILITIES!$O$3:$O$953,""),"IOT",_xlfn.XLOOKUP($K406&amp;"",IOT!$B$3:$B$1012&amp;"",IOT!$AB$3:$AB$1012,""),"Server",_xlfn.XLOOKUP($K406&amp;"",SERVER!$B$3:$B$1009&amp;"",SERVER!$AB$3:$AB$1009,""),""))))</f>
        <v/>
      </c>
      <c r="R406" s="43" t="str">
        <f>IF(tbl_handover[[#This Row],[Asset Code]]="","",COUNTIF(tbl_handover[Asset Code],tbl_handover[[#This Row],[Asset Code]]))</f>
        <v/>
      </c>
    </row>
    <row r="407" spans="1:18" x14ac:dyDescent="0.25">
      <c r="A407" s="43" t="str">
        <f>IF(B407&lt;&gt;"",SUBTOTAL(3,$B$1:B406),"")</f>
        <v/>
      </c>
      <c r="C407" s="74"/>
      <c r="D407" s="74"/>
      <c r="G407" s="1"/>
      <c r="K407" s="42"/>
      <c r="L407" t="str" cm="1">
        <f t="array" ref="L407">IF($K407="","",_xlfn.SWITCH($I407,"Computer",_xlfn.XLOOKUP($K407&amp;"",COMPUTER!$B$3:$B$1009&amp;"",COMPUTER!$I$3:$I$1009,""),"Display",_xlfn.XLOOKUP($K407&amp;"",DISPLAY!$B$3:$B$1000&amp;"",DISPLAY!$J$3:$J$1000,""),"Network Device",_xlfn.XLOOKUP($K407&amp;"",'NETWORK-DEVICES'!$B$3:$B$987&amp;"",'NETWORK-DEVICES'!$I$3:$I$987,""),"Peripheral",_xlfn.XLOOKUP($K407&amp;"",PERIPHERAL!$B$3:$B$954&amp;"",PERIPHERAL!$I$3:$I$954,""),"Utilities",_xlfn.XLOOKUP($K407&amp;"",UTILITIES!$B$3:$B$953&amp;"",UTILITIES!$H$3:$H$953,""),"IOT",_xlfn.XLOOKUP($K407&amp;"",IOT!$B$3:$B$1012&amp;"",IOT!$I$3:$I$1012,""),"SERVER",_xlfn.XLOOKUP($K407&amp;"",SERVER!$B$3:$B$1009&amp;"",SERVER!$I$3:$I$1009,""),""))</f>
        <v/>
      </c>
      <c r="M407" t="str" cm="1">
        <f t="array" ref="M407">IF($K407="","",_xlfn.SWITCH($I407,"Computer",_xlfn.XLOOKUP($K407&amp;"",COMPUTER!$B$3:$B$1009&amp;"",COMPUTER!$J$3:$J$1009,""),"Display",_xlfn.XLOOKUP($K407&amp;"",DISPLAY!$B$3:$B$1000&amp;"",DISPLAY!$K$3:$K$1000,""),"Network Device",_xlfn.XLOOKUP($K407&amp;"",'NETWORK-DEVICES'!$B$3:$B$987&amp;"",'NETWORK-DEVICES'!$I$3:$I$987,""),"Peripheral",_xlfn.XLOOKUP($K407&amp;"",PERIPHERAL!$B$3:$B$954&amp;"",PERIPHERAL!$J$3:$J$954,""),"Utilities",_xlfn.XLOOKUP($K407&amp;"",UTILITIES!$B$3:$B$953&amp;"",UTILITIES!$I$3:$I$953,""),"IOT",_xlfn.XLOOKUP($K407&amp;"",IOT!$B$3:$B$1012&amp;"",IOT!$J$3:$J$1012,""),"Server",_xlfn.XLOOKUP($K407&amp;"",SERVER!$B$3:$B$1009&amp;"",SERVER!$J$3:$J$1009,""),""))</f>
        <v/>
      </c>
      <c r="N407" s="1" t="str" cm="1">
        <f t="array" ref="N407">IF(OR($K407="",$I407="",$J407=""),"",_xlfn.LET(_xlpm.srcCat,_xlfn.SWITCH($I407,"Computer",_xlfn.XLOOKUP($K407&amp;"",COMPUTER!$B$3:$B$1009&amp;"",COMPUTER!$H$3:$H$1009,""),"Display",_xlfn.XLOOKUP($K407&amp;"",DISPLAY!$B$3:$B$1000&amp;"",DISPLAY!$H$3:$H$1000,""),"Network Device",_xlfn.XLOOKUP($K407&amp;"",'NETWORK-DEVICES'!$B$3:$B$987&amp;"",'NETWORK-DEVICES'!$H$3:$H$987,""),"Peripheral",_xlfn.XLOOKUP($K407&amp;"",PERIPHERAL!$B$3:$B$954&amp;"",PERIPHERAL!$H$3:$H$954,""),"Utilities",_xlfn.XLOOKUP($K407&amp;"",UTILITIES!$B$3:$B$953&amp;"",UTILITIES!$G$3:$G$953,""),"IOT",_xlfn.XLOOKUP($K407&amp;"",IOT!$B$3:$B$1012&amp;"",IOT!$H$3:$H$1012,""),"Server",_xlfn.XLOOKUP($K407&amp;"",SERVER!$B$3:$B$1009&amp;"",SERVER!$H$3:$H$1009,""),""),IF(TRIM(_xlpm.srcCat)&lt;&gt;TRIM($J407),"",_xlfn.SWITCH($I407,"Computer",_xlfn.XLOOKUP($K407&amp;"",COMPUTER!$B$3:$B$1009&amp;"",COMPUTER!$K$3:$K$1009,""),"Display",_xlfn.XLOOKUP($K407&amp;"",DISPLAY!$B$3:$B$1000&amp;"",DISPLAY!$L$3:$L$1000,""),"Network Device",_xlfn.XLOOKUP($K407&amp;"",'NETWORK-DEVICES'!$B$3:$B$987&amp;"",'NETWORK-DEVICES'!$K$3:$K$987,""),"Peripheral",_xlfn.XLOOKUP($K407&amp;"",PERIPHERAL!$B$3:$B$954&amp;"",PERIPHERAL!$K$3:$K$954,""),"Utilities",_xlfn.XLOOKUP($K407&amp;"",UTILITIES!$B$3:$B$953&amp;"",UTILITIES!$J$3:$J$953,""),"IOT",_xlfn.XLOOKUP($K407&amp;"",IOT!$B$3:$B$1012&amp;"",IOT!$K$4:$K$1012,""),"Server",_xlfn.XLOOKUP($K407&amp;"",SERVER!$B$3:$B$1009&amp;"",SERVER!$K$3:$K$1009,""),""))))</f>
        <v/>
      </c>
      <c r="O407" s="1" t="str" cm="1">
        <f t="array" ref="O407">IF(OR($K407="",$I407="",$J407=""),"",_xlfn.LET(_xlpm.srcCat,_xlfn.SWITCH($I407,"Computer",_xlfn.XLOOKUP($K407&amp;"",COMPUTER!$B$3:$B$1009&amp;"",COMPUTER!$H$3:$H$1009,""),"Display",_xlfn.XLOOKUP($K407&amp;"",DISPLAY!$B$3:$B$1000&amp;"",DISPLAY!$H$3:$H$1000,""),"Network Device",_xlfn.XLOOKUP($K407&amp;"",'NETWORK-DEVICES'!$B$3:$B$987&amp;"",'NETWORK-DEVICES'!$H$3:$H$987,""),"Peripheral",_xlfn.XLOOKUP($K407&amp;"",PERIPHERAL!$B$3:$B$954&amp;"",PERIPHERAL!$H$3:$H$954,""),"Utilities",_xlfn.XLOOKUP($K407&amp;"",UTILITIES!$B$3:$B$953&amp;"",UTILITIES!$G$3:$G$953,""),"IOT",_xlfn.XLOOKUP($K407&amp;"",IOT!$B$3:$B$1012&amp;"",IOT!$H$3:$H$1012,""),"Server",_xlfn.XLOOKUP($K407&amp;"",SERVER!$B$3:$B$1009&amp;"",SERVER!$H$3:$H$1009,""),""),IF(TRIM(_xlpm.srcCat)&lt;&gt;TRIM($J407),"",_xlfn.SWITCH($I407,"Computer",_xlfn.XLOOKUP($K407&amp;"",COMPUTER!$B$3:$B$1009&amp;"",COMPUTER!$E$3:$E$1009,""),"Display",_xlfn.XLOOKUP($K407&amp;"",DISPLAY!$B$3:$B$1000&amp;"",DISPLAY!$E$3:$E$1000,""),"Network Device",_xlfn.XLOOKUP($K407&amp;"",'NETWORK-DEVICES'!$B$3:$B$987&amp;"",'NETWORK-DEVICES'!$E$3:$E$987,""),"Peripheral",_xlfn.XLOOKUP($K407&amp;"",PERIPHERAL!$B$3:$B$954&amp;"",PERIPHERAL!$E$3:$E$954,""),"Utilities",_xlfn.XLOOKUP($K407&amp;"",UTILITIES!$B$3:$B$953&amp;"",UTILITIES!$E$3:$E$953,""),"IOT",_xlfn.XLOOKUP($K407&amp;"",IOT!$B$3:$B$1012&amp;"",IOT!$E$3:$E$1012,""),"Server",_xlfn.XLOOKUP($K407&amp;"",SERVER!$B$3:$B$1009&amp;"",SERVER!$E$3:$E$1009,""),""))))</f>
        <v/>
      </c>
      <c r="Q407" s="1" t="str" cm="1">
        <f t="array" ref="Q407">IF(OR($K407="",$I407="",$J407=""),"",_xlfn.LET(_xlpm.srcCat,_xlfn.SWITCH($I407,"Computer",_xlfn.XLOOKUP($K407&amp;"",COMPUTER!$B$3:$B$1009&amp;"",COMPUTER!$H$3:$H$1009,""),"Display",_xlfn.XLOOKUP($K407&amp;"",DISPLAY!$B$3:$B$1000&amp;"",DISPLAY!$H$3:$H$1000,""),"Network Device",_xlfn.XLOOKUP($K407&amp;"",'NETWORK-DEVICES'!$B$3:$B$987&amp;"",'NETWORK-DEVICES'!$H$3:$H$987,""),"Peripheral",_xlfn.XLOOKUP($K407&amp;"",PERIPHERAL!$B$3:$B$954&amp;"",PERIPHERAL!$H$3:$H$954,""),"Utilities",_xlfn.XLOOKUP($K407&amp;"",UTILITIES!$B$3:$B$953&amp;"",UTILITIES!$G$3:$G$953,""),"IOT",_xlfn.XLOOKUP($K407&amp;"",IOT!$B$3:$B$1012&amp;"",IOT!$H$3:$H$1012,""),"Server",_xlfn.XLOOKUP($K407&amp;"",SERVER!$B$3:$B$1009&amp;"",SERVER!$H$3:$H$1009,""),""),IF(TRIM(_xlpm.srcCat)&lt;&gt;TRIM($J407),"",_xlfn.SWITCH($I407,"Computer",_xlfn.XLOOKUP($K407&amp;"",COMPUTER!$B$3:$B$1009&amp;"",COMPUTER!$AM$3:$AM$1009,""),"Display",_xlfn.XLOOKUP($K407&amp;"",DISPLAY!$B$3:$B$1000&amp;"",DISPLAY!$V$3:$V$1000,""),"Network Device",_xlfn.XLOOKUP($K407&amp;"",'NETWORK-DEVICES'!$B$3:$B$987&amp;"",'NETWORK-DEVICES'!$AF$3:$AF$987,""),"Peripheral",_xlfn.XLOOKUP($K407&amp;"",PERIPHERAL!$B$3:$B$954&amp;"",PERIPHERAL!$Y$3:$Y$954,""),"Utilities",_xlfn.XLOOKUP($K407&amp;"",UTILITIES!$B$3:$B$953&amp;"",UTILITIES!$O$3:$O$953,""),"IOT",_xlfn.XLOOKUP($K407&amp;"",IOT!$B$3:$B$1012&amp;"",IOT!$AB$3:$AB$1012,""),"Server",_xlfn.XLOOKUP($K407&amp;"",SERVER!$B$3:$B$1009&amp;"",SERVER!$AB$3:$AB$1009,""),""))))</f>
        <v/>
      </c>
      <c r="R407" s="43" t="str">
        <f>IF(tbl_handover[[#This Row],[Asset Code]]="","",COUNTIF(tbl_handover[Asset Code],tbl_handover[[#This Row],[Asset Code]]))</f>
        <v/>
      </c>
    </row>
    <row r="408" spans="1:18" x14ac:dyDescent="0.25">
      <c r="A408" s="43" t="str">
        <f>IF(B408&lt;&gt;"",SUBTOTAL(3,$B$1:B407),"")</f>
        <v/>
      </c>
      <c r="C408" s="74"/>
      <c r="D408" s="74"/>
      <c r="G408" s="1"/>
      <c r="K408" s="42"/>
      <c r="L408" t="str" cm="1">
        <f t="array" ref="L408">IF($K408="","",_xlfn.SWITCH($I408,"Computer",_xlfn.XLOOKUP($K408&amp;"",COMPUTER!$B$3:$B$1009&amp;"",COMPUTER!$I$3:$I$1009,""),"Display",_xlfn.XLOOKUP($K408&amp;"",DISPLAY!$B$3:$B$1000&amp;"",DISPLAY!$J$3:$J$1000,""),"Network Device",_xlfn.XLOOKUP($K408&amp;"",'NETWORK-DEVICES'!$B$3:$B$987&amp;"",'NETWORK-DEVICES'!$I$3:$I$987,""),"Peripheral",_xlfn.XLOOKUP($K408&amp;"",PERIPHERAL!$B$3:$B$954&amp;"",PERIPHERAL!$I$3:$I$954,""),"Utilities",_xlfn.XLOOKUP($K408&amp;"",UTILITIES!$B$3:$B$953&amp;"",UTILITIES!$H$3:$H$953,""),"IOT",_xlfn.XLOOKUP($K408&amp;"",IOT!$B$3:$B$1012&amp;"",IOT!$I$3:$I$1012,""),"SERVER",_xlfn.XLOOKUP($K408&amp;"",SERVER!$B$3:$B$1009&amp;"",SERVER!$I$3:$I$1009,""),""))</f>
        <v/>
      </c>
      <c r="M408" t="str" cm="1">
        <f t="array" ref="M408">IF($K408="","",_xlfn.SWITCH($I408,"Computer",_xlfn.XLOOKUP($K408&amp;"",COMPUTER!$B$3:$B$1009&amp;"",COMPUTER!$J$3:$J$1009,""),"Display",_xlfn.XLOOKUP($K408&amp;"",DISPLAY!$B$3:$B$1000&amp;"",DISPLAY!$K$3:$K$1000,""),"Network Device",_xlfn.XLOOKUP($K408&amp;"",'NETWORK-DEVICES'!$B$3:$B$987&amp;"",'NETWORK-DEVICES'!$I$3:$I$987,""),"Peripheral",_xlfn.XLOOKUP($K408&amp;"",PERIPHERAL!$B$3:$B$954&amp;"",PERIPHERAL!$J$3:$J$954,""),"Utilities",_xlfn.XLOOKUP($K408&amp;"",UTILITIES!$B$3:$B$953&amp;"",UTILITIES!$I$3:$I$953,""),"IOT",_xlfn.XLOOKUP($K408&amp;"",IOT!$B$3:$B$1012&amp;"",IOT!$J$3:$J$1012,""),"Server",_xlfn.XLOOKUP($K408&amp;"",SERVER!$B$3:$B$1009&amp;"",SERVER!$J$3:$J$1009,""),""))</f>
        <v/>
      </c>
      <c r="N408" s="1" t="str" cm="1">
        <f t="array" ref="N408">IF(OR($K408="",$I408="",$J408=""),"",_xlfn.LET(_xlpm.srcCat,_xlfn.SWITCH($I408,"Computer",_xlfn.XLOOKUP($K408&amp;"",COMPUTER!$B$3:$B$1009&amp;"",COMPUTER!$H$3:$H$1009,""),"Display",_xlfn.XLOOKUP($K408&amp;"",DISPLAY!$B$3:$B$1000&amp;"",DISPLAY!$H$3:$H$1000,""),"Network Device",_xlfn.XLOOKUP($K408&amp;"",'NETWORK-DEVICES'!$B$3:$B$987&amp;"",'NETWORK-DEVICES'!$H$3:$H$987,""),"Peripheral",_xlfn.XLOOKUP($K408&amp;"",PERIPHERAL!$B$3:$B$954&amp;"",PERIPHERAL!$H$3:$H$954,""),"Utilities",_xlfn.XLOOKUP($K408&amp;"",UTILITIES!$B$3:$B$953&amp;"",UTILITIES!$G$3:$G$953,""),"IOT",_xlfn.XLOOKUP($K408&amp;"",IOT!$B$3:$B$1012&amp;"",IOT!$H$3:$H$1012,""),"Server",_xlfn.XLOOKUP($K408&amp;"",SERVER!$B$3:$B$1009&amp;"",SERVER!$H$3:$H$1009,""),""),IF(TRIM(_xlpm.srcCat)&lt;&gt;TRIM($J408),"",_xlfn.SWITCH($I408,"Computer",_xlfn.XLOOKUP($K408&amp;"",COMPUTER!$B$3:$B$1009&amp;"",COMPUTER!$K$3:$K$1009,""),"Display",_xlfn.XLOOKUP($K408&amp;"",DISPLAY!$B$3:$B$1000&amp;"",DISPLAY!$L$3:$L$1000,""),"Network Device",_xlfn.XLOOKUP($K408&amp;"",'NETWORK-DEVICES'!$B$3:$B$987&amp;"",'NETWORK-DEVICES'!$K$3:$K$987,""),"Peripheral",_xlfn.XLOOKUP($K408&amp;"",PERIPHERAL!$B$3:$B$954&amp;"",PERIPHERAL!$K$3:$K$954,""),"Utilities",_xlfn.XLOOKUP($K408&amp;"",UTILITIES!$B$3:$B$953&amp;"",UTILITIES!$J$3:$J$953,""),"IOT",_xlfn.XLOOKUP($K408&amp;"",IOT!$B$3:$B$1012&amp;"",IOT!$K$4:$K$1012,""),"Server",_xlfn.XLOOKUP($K408&amp;"",SERVER!$B$3:$B$1009&amp;"",SERVER!$K$3:$K$1009,""),""))))</f>
        <v/>
      </c>
      <c r="O408" s="1" t="str" cm="1">
        <f t="array" ref="O408">IF(OR($K408="",$I408="",$J408=""),"",_xlfn.LET(_xlpm.srcCat,_xlfn.SWITCH($I408,"Computer",_xlfn.XLOOKUP($K408&amp;"",COMPUTER!$B$3:$B$1009&amp;"",COMPUTER!$H$3:$H$1009,""),"Display",_xlfn.XLOOKUP($K408&amp;"",DISPLAY!$B$3:$B$1000&amp;"",DISPLAY!$H$3:$H$1000,""),"Network Device",_xlfn.XLOOKUP($K408&amp;"",'NETWORK-DEVICES'!$B$3:$B$987&amp;"",'NETWORK-DEVICES'!$H$3:$H$987,""),"Peripheral",_xlfn.XLOOKUP($K408&amp;"",PERIPHERAL!$B$3:$B$954&amp;"",PERIPHERAL!$H$3:$H$954,""),"Utilities",_xlfn.XLOOKUP($K408&amp;"",UTILITIES!$B$3:$B$953&amp;"",UTILITIES!$G$3:$G$953,""),"IOT",_xlfn.XLOOKUP($K408&amp;"",IOT!$B$3:$B$1012&amp;"",IOT!$H$3:$H$1012,""),"Server",_xlfn.XLOOKUP($K408&amp;"",SERVER!$B$3:$B$1009&amp;"",SERVER!$H$3:$H$1009,""),""),IF(TRIM(_xlpm.srcCat)&lt;&gt;TRIM($J408),"",_xlfn.SWITCH($I408,"Computer",_xlfn.XLOOKUP($K408&amp;"",COMPUTER!$B$3:$B$1009&amp;"",COMPUTER!$E$3:$E$1009,""),"Display",_xlfn.XLOOKUP($K408&amp;"",DISPLAY!$B$3:$B$1000&amp;"",DISPLAY!$E$3:$E$1000,""),"Network Device",_xlfn.XLOOKUP($K408&amp;"",'NETWORK-DEVICES'!$B$3:$B$987&amp;"",'NETWORK-DEVICES'!$E$3:$E$987,""),"Peripheral",_xlfn.XLOOKUP($K408&amp;"",PERIPHERAL!$B$3:$B$954&amp;"",PERIPHERAL!$E$3:$E$954,""),"Utilities",_xlfn.XLOOKUP($K408&amp;"",UTILITIES!$B$3:$B$953&amp;"",UTILITIES!$E$3:$E$953,""),"IOT",_xlfn.XLOOKUP($K408&amp;"",IOT!$B$3:$B$1012&amp;"",IOT!$E$3:$E$1012,""),"Server",_xlfn.XLOOKUP($K408&amp;"",SERVER!$B$3:$B$1009&amp;"",SERVER!$E$3:$E$1009,""),""))))</f>
        <v/>
      </c>
      <c r="Q408" s="1" t="str" cm="1">
        <f t="array" ref="Q408">IF(OR($K408="",$I408="",$J408=""),"",_xlfn.LET(_xlpm.srcCat,_xlfn.SWITCH($I408,"Computer",_xlfn.XLOOKUP($K408&amp;"",COMPUTER!$B$3:$B$1009&amp;"",COMPUTER!$H$3:$H$1009,""),"Display",_xlfn.XLOOKUP($K408&amp;"",DISPLAY!$B$3:$B$1000&amp;"",DISPLAY!$H$3:$H$1000,""),"Network Device",_xlfn.XLOOKUP($K408&amp;"",'NETWORK-DEVICES'!$B$3:$B$987&amp;"",'NETWORK-DEVICES'!$H$3:$H$987,""),"Peripheral",_xlfn.XLOOKUP($K408&amp;"",PERIPHERAL!$B$3:$B$954&amp;"",PERIPHERAL!$H$3:$H$954,""),"Utilities",_xlfn.XLOOKUP($K408&amp;"",UTILITIES!$B$3:$B$953&amp;"",UTILITIES!$G$3:$G$953,""),"IOT",_xlfn.XLOOKUP($K408&amp;"",IOT!$B$3:$B$1012&amp;"",IOT!$H$3:$H$1012,""),"Server",_xlfn.XLOOKUP($K408&amp;"",SERVER!$B$3:$B$1009&amp;"",SERVER!$H$3:$H$1009,""),""),IF(TRIM(_xlpm.srcCat)&lt;&gt;TRIM($J408),"",_xlfn.SWITCH($I408,"Computer",_xlfn.XLOOKUP($K408&amp;"",COMPUTER!$B$3:$B$1009&amp;"",COMPUTER!$AM$3:$AM$1009,""),"Display",_xlfn.XLOOKUP($K408&amp;"",DISPLAY!$B$3:$B$1000&amp;"",DISPLAY!$V$3:$V$1000,""),"Network Device",_xlfn.XLOOKUP($K408&amp;"",'NETWORK-DEVICES'!$B$3:$B$987&amp;"",'NETWORK-DEVICES'!$AF$3:$AF$987,""),"Peripheral",_xlfn.XLOOKUP($K408&amp;"",PERIPHERAL!$B$3:$B$954&amp;"",PERIPHERAL!$Y$3:$Y$954,""),"Utilities",_xlfn.XLOOKUP($K408&amp;"",UTILITIES!$B$3:$B$953&amp;"",UTILITIES!$O$3:$O$953,""),"IOT",_xlfn.XLOOKUP($K408&amp;"",IOT!$B$3:$B$1012&amp;"",IOT!$AB$3:$AB$1012,""),"Server",_xlfn.XLOOKUP($K408&amp;"",SERVER!$B$3:$B$1009&amp;"",SERVER!$AB$3:$AB$1009,""),""))))</f>
        <v/>
      </c>
      <c r="R408" s="43" t="str">
        <f>IF(tbl_handover[[#This Row],[Asset Code]]="","",COUNTIF(tbl_handover[Asset Code],tbl_handover[[#This Row],[Asset Code]]))</f>
        <v/>
      </c>
    </row>
    <row r="409" spans="1:18" x14ac:dyDescent="0.25">
      <c r="A409" s="43" t="str">
        <f>IF(B409&lt;&gt;"",SUBTOTAL(3,$B$1:B408),"")</f>
        <v/>
      </c>
      <c r="C409" s="74"/>
      <c r="D409" s="74"/>
      <c r="G409" s="1"/>
      <c r="K409" s="42"/>
      <c r="L409" t="str" cm="1">
        <f t="array" ref="L409">IF($K409="","",_xlfn.SWITCH($I409,"Computer",_xlfn.XLOOKUP($K409&amp;"",COMPUTER!$B$3:$B$1009&amp;"",COMPUTER!$I$3:$I$1009,""),"Display",_xlfn.XLOOKUP($K409&amp;"",DISPLAY!$B$3:$B$1000&amp;"",DISPLAY!$J$3:$J$1000,""),"Network Device",_xlfn.XLOOKUP($K409&amp;"",'NETWORK-DEVICES'!$B$3:$B$987&amp;"",'NETWORK-DEVICES'!$I$3:$I$987,""),"Peripheral",_xlfn.XLOOKUP($K409&amp;"",PERIPHERAL!$B$3:$B$954&amp;"",PERIPHERAL!$I$3:$I$954,""),"Utilities",_xlfn.XLOOKUP($K409&amp;"",UTILITIES!$B$3:$B$953&amp;"",UTILITIES!$H$3:$H$953,""),"IOT",_xlfn.XLOOKUP($K409&amp;"",IOT!$B$3:$B$1012&amp;"",IOT!$I$3:$I$1012,""),"SERVER",_xlfn.XLOOKUP($K409&amp;"",SERVER!$B$3:$B$1009&amp;"",SERVER!$I$3:$I$1009,""),""))</f>
        <v/>
      </c>
      <c r="M409" t="str" cm="1">
        <f t="array" ref="M409">IF($K409="","",_xlfn.SWITCH($I409,"Computer",_xlfn.XLOOKUP($K409&amp;"",COMPUTER!$B$3:$B$1009&amp;"",COMPUTER!$J$3:$J$1009,""),"Display",_xlfn.XLOOKUP($K409&amp;"",DISPLAY!$B$3:$B$1000&amp;"",DISPLAY!$K$3:$K$1000,""),"Network Device",_xlfn.XLOOKUP($K409&amp;"",'NETWORK-DEVICES'!$B$3:$B$987&amp;"",'NETWORK-DEVICES'!$I$3:$I$987,""),"Peripheral",_xlfn.XLOOKUP($K409&amp;"",PERIPHERAL!$B$3:$B$954&amp;"",PERIPHERAL!$J$3:$J$954,""),"Utilities",_xlfn.XLOOKUP($K409&amp;"",UTILITIES!$B$3:$B$953&amp;"",UTILITIES!$I$3:$I$953,""),"IOT",_xlfn.XLOOKUP($K409&amp;"",IOT!$B$3:$B$1012&amp;"",IOT!$J$3:$J$1012,""),"Server",_xlfn.XLOOKUP($K409&amp;"",SERVER!$B$3:$B$1009&amp;"",SERVER!$J$3:$J$1009,""),""))</f>
        <v/>
      </c>
      <c r="N409" s="1" t="str" cm="1">
        <f t="array" ref="N409">IF(OR($K409="",$I409="",$J409=""),"",_xlfn.LET(_xlpm.srcCat,_xlfn.SWITCH($I409,"Computer",_xlfn.XLOOKUP($K409&amp;"",COMPUTER!$B$3:$B$1009&amp;"",COMPUTER!$H$3:$H$1009,""),"Display",_xlfn.XLOOKUP($K409&amp;"",DISPLAY!$B$3:$B$1000&amp;"",DISPLAY!$H$3:$H$1000,""),"Network Device",_xlfn.XLOOKUP($K409&amp;"",'NETWORK-DEVICES'!$B$3:$B$987&amp;"",'NETWORK-DEVICES'!$H$3:$H$987,""),"Peripheral",_xlfn.XLOOKUP($K409&amp;"",PERIPHERAL!$B$3:$B$954&amp;"",PERIPHERAL!$H$3:$H$954,""),"Utilities",_xlfn.XLOOKUP($K409&amp;"",UTILITIES!$B$3:$B$953&amp;"",UTILITIES!$G$3:$G$953,""),"IOT",_xlfn.XLOOKUP($K409&amp;"",IOT!$B$3:$B$1012&amp;"",IOT!$H$3:$H$1012,""),"Server",_xlfn.XLOOKUP($K409&amp;"",SERVER!$B$3:$B$1009&amp;"",SERVER!$H$3:$H$1009,""),""),IF(TRIM(_xlpm.srcCat)&lt;&gt;TRIM($J409),"",_xlfn.SWITCH($I409,"Computer",_xlfn.XLOOKUP($K409&amp;"",COMPUTER!$B$3:$B$1009&amp;"",COMPUTER!$K$3:$K$1009,""),"Display",_xlfn.XLOOKUP($K409&amp;"",DISPLAY!$B$3:$B$1000&amp;"",DISPLAY!$L$3:$L$1000,""),"Network Device",_xlfn.XLOOKUP($K409&amp;"",'NETWORK-DEVICES'!$B$3:$B$987&amp;"",'NETWORK-DEVICES'!$K$3:$K$987,""),"Peripheral",_xlfn.XLOOKUP($K409&amp;"",PERIPHERAL!$B$3:$B$954&amp;"",PERIPHERAL!$K$3:$K$954,""),"Utilities",_xlfn.XLOOKUP($K409&amp;"",UTILITIES!$B$3:$B$953&amp;"",UTILITIES!$J$3:$J$953,""),"IOT",_xlfn.XLOOKUP($K409&amp;"",IOT!$B$3:$B$1012&amp;"",IOT!$K$4:$K$1012,""),"Server",_xlfn.XLOOKUP($K409&amp;"",SERVER!$B$3:$B$1009&amp;"",SERVER!$K$3:$K$1009,""),""))))</f>
        <v/>
      </c>
      <c r="O409" s="1" t="str" cm="1">
        <f t="array" ref="O409">IF(OR($K409="",$I409="",$J409=""),"",_xlfn.LET(_xlpm.srcCat,_xlfn.SWITCH($I409,"Computer",_xlfn.XLOOKUP($K409&amp;"",COMPUTER!$B$3:$B$1009&amp;"",COMPUTER!$H$3:$H$1009,""),"Display",_xlfn.XLOOKUP($K409&amp;"",DISPLAY!$B$3:$B$1000&amp;"",DISPLAY!$H$3:$H$1000,""),"Network Device",_xlfn.XLOOKUP($K409&amp;"",'NETWORK-DEVICES'!$B$3:$B$987&amp;"",'NETWORK-DEVICES'!$H$3:$H$987,""),"Peripheral",_xlfn.XLOOKUP($K409&amp;"",PERIPHERAL!$B$3:$B$954&amp;"",PERIPHERAL!$H$3:$H$954,""),"Utilities",_xlfn.XLOOKUP($K409&amp;"",UTILITIES!$B$3:$B$953&amp;"",UTILITIES!$G$3:$G$953,""),"IOT",_xlfn.XLOOKUP($K409&amp;"",IOT!$B$3:$B$1012&amp;"",IOT!$H$3:$H$1012,""),"Server",_xlfn.XLOOKUP($K409&amp;"",SERVER!$B$3:$B$1009&amp;"",SERVER!$H$3:$H$1009,""),""),IF(TRIM(_xlpm.srcCat)&lt;&gt;TRIM($J409),"",_xlfn.SWITCH($I409,"Computer",_xlfn.XLOOKUP($K409&amp;"",COMPUTER!$B$3:$B$1009&amp;"",COMPUTER!$E$3:$E$1009,""),"Display",_xlfn.XLOOKUP($K409&amp;"",DISPLAY!$B$3:$B$1000&amp;"",DISPLAY!$E$3:$E$1000,""),"Network Device",_xlfn.XLOOKUP($K409&amp;"",'NETWORK-DEVICES'!$B$3:$B$987&amp;"",'NETWORK-DEVICES'!$E$3:$E$987,""),"Peripheral",_xlfn.XLOOKUP($K409&amp;"",PERIPHERAL!$B$3:$B$954&amp;"",PERIPHERAL!$E$3:$E$954,""),"Utilities",_xlfn.XLOOKUP($K409&amp;"",UTILITIES!$B$3:$B$953&amp;"",UTILITIES!$E$3:$E$953,""),"IOT",_xlfn.XLOOKUP($K409&amp;"",IOT!$B$3:$B$1012&amp;"",IOT!$E$3:$E$1012,""),"Server",_xlfn.XLOOKUP($K409&amp;"",SERVER!$B$3:$B$1009&amp;"",SERVER!$E$3:$E$1009,""),""))))</f>
        <v/>
      </c>
      <c r="Q409" s="1" t="str" cm="1">
        <f t="array" ref="Q409">IF(OR($K409="",$I409="",$J409=""),"",_xlfn.LET(_xlpm.srcCat,_xlfn.SWITCH($I409,"Computer",_xlfn.XLOOKUP($K409&amp;"",COMPUTER!$B$3:$B$1009&amp;"",COMPUTER!$H$3:$H$1009,""),"Display",_xlfn.XLOOKUP($K409&amp;"",DISPLAY!$B$3:$B$1000&amp;"",DISPLAY!$H$3:$H$1000,""),"Network Device",_xlfn.XLOOKUP($K409&amp;"",'NETWORK-DEVICES'!$B$3:$B$987&amp;"",'NETWORK-DEVICES'!$H$3:$H$987,""),"Peripheral",_xlfn.XLOOKUP($K409&amp;"",PERIPHERAL!$B$3:$B$954&amp;"",PERIPHERAL!$H$3:$H$954,""),"Utilities",_xlfn.XLOOKUP($K409&amp;"",UTILITIES!$B$3:$B$953&amp;"",UTILITIES!$G$3:$G$953,""),"IOT",_xlfn.XLOOKUP($K409&amp;"",IOT!$B$3:$B$1012&amp;"",IOT!$H$3:$H$1012,""),"Server",_xlfn.XLOOKUP($K409&amp;"",SERVER!$B$3:$B$1009&amp;"",SERVER!$H$3:$H$1009,""),""),IF(TRIM(_xlpm.srcCat)&lt;&gt;TRIM($J409),"",_xlfn.SWITCH($I409,"Computer",_xlfn.XLOOKUP($K409&amp;"",COMPUTER!$B$3:$B$1009&amp;"",COMPUTER!$AM$3:$AM$1009,""),"Display",_xlfn.XLOOKUP($K409&amp;"",DISPLAY!$B$3:$B$1000&amp;"",DISPLAY!$V$3:$V$1000,""),"Network Device",_xlfn.XLOOKUP($K409&amp;"",'NETWORK-DEVICES'!$B$3:$B$987&amp;"",'NETWORK-DEVICES'!$AF$3:$AF$987,""),"Peripheral",_xlfn.XLOOKUP($K409&amp;"",PERIPHERAL!$B$3:$B$954&amp;"",PERIPHERAL!$Y$3:$Y$954,""),"Utilities",_xlfn.XLOOKUP($K409&amp;"",UTILITIES!$B$3:$B$953&amp;"",UTILITIES!$O$3:$O$953,""),"IOT",_xlfn.XLOOKUP($K409&amp;"",IOT!$B$3:$B$1012&amp;"",IOT!$AB$3:$AB$1012,""),"Server",_xlfn.XLOOKUP($K409&amp;"",SERVER!$B$3:$B$1009&amp;"",SERVER!$AB$3:$AB$1009,""),""))))</f>
        <v/>
      </c>
      <c r="R409" s="43" t="str">
        <f>IF(tbl_handover[[#This Row],[Asset Code]]="","",COUNTIF(tbl_handover[Asset Code],tbl_handover[[#This Row],[Asset Code]]))</f>
        <v/>
      </c>
    </row>
    <row r="410" spans="1:18" x14ac:dyDescent="0.25">
      <c r="A410" s="43" t="str">
        <f>IF(B410&lt;&gt;"",SUBTOTAL(3,$B$1:B409),"")</f>
        <v/>
      </c>
      <c r="C410" s="74"/>
      <c r="D410" s="74"/>
      <c r="G410" s="1"/>
      <c r="K410" s="42"/>
      <c r="L410" t="str" cm="1">
        <f t="array" ref="L410">IF($K410="","",_xlfn.SWITCH($I410,"Computer",_xlfn.XLOOKUP($K410&amp;"",COMPUTER!$B$3:$B$1009&amp;"",COMPUTER!$I$3:$I$1009,""),"Display",_xlfn.XLOOKUP($K410&amp;"",DISPLAY!$B$3:$B$1000&amp;"",DISPLAY!$J$3:$J$1000,""),"Network Device",_xlfn.XLOOKUP($K410&amp;"",'NETWORK-DEVICES'!$B$3:$B$987&amp;"",'NETWORK-DEVICES'!$I$3:$I$987,""),"Peripheral",_xlfn.XLOOKUP($K410&amp;"",PERIPHERAL!$B$3:$B$954&amp;"",PERIPHERAL!$I$3:$I$954,""),"Utilities",_xlfn.XLOOKUP($K410&amp;"",UTILITIES!$B$3:$B$953&amp;"",UTILITIES!$H$3:$H$953,""),"IOT",_xlfn.XLOOKUP($K410&amp;"",IOT!$B$3:$B$1012&amp;"",IOT!$I$3:$I$1012,""),"SERVER",_xlfn.XLOOKUP($K410&amp;"",SERVER!$B$3:$B$1009&amp;"",SERVER!$I$3:$I$1009,""),""))</f>
        <v/>
      </c>
      <c r="M410" t="str" cm="1">
        <f t="array" ref="M410">IF($K410="","",_xlfn.SWITCH($I410,"Computer",_xlfn.XLOOKUP($K410&amp;"",COMPUTER!$B$3:$B$1009&amp;"",COMPUTER!$J$3:$J$1009,""),"Display",_xlfn.XLOOKUP($K410&amp;"",DISPLAY!$B$3:$B$1000&amp;"",DISPLAY!$K$3:$K$1000,""),"Network Device",_xlfn.XLOOKUP($K410&amp;"",'NETWORK-DEVICES'!$B$3:$B$987&amp;"",'NETWORK-DEVICES'!$I$3:$I$987,""),"Peripheral",_xlfn.XLOOKUP($K410&amp;"",PERIPHERAL!$B$3:$B$954&amp;"",PERIPHERAL!$J$3:$J$954,""),"Utilities",_xlfn.XLOOKUP($K410&amp;"",UTILITIES!$B$3:$B$953&amp;"",UTILITIES!$I$3:$I$953,""),"IOT",_xlfn.XLOOKUP($K410&amp;"",IOT!$B$3:$B$1012&amp;"",IOT!$J$3:$J$1012,""),"Server",_xlfn.XLOOKUP($K410&amp;"",SERVER!$B$3:$B$1009&amp;"",SERVER!$J$3:$J$1009,""),""))</f>
        <v/>
      </c>
      <c r="N410" s="1" t="str" cm="1">
        <f t="array" ref="N410">IF(OR($K410="",$I410="",$J410=""),"",_xlfn.LET(_xlpm.srcCat,_xlfn.SWITCH($I410,"Computer",_xlfn.XLOOKUP($K410&amp;"",COMPUTER!$B$3:$B$1009&amp;"",COMPUTER!$H$3:$H$1009,""),"Display",_xlfn.XLOOKUP($K410&amp;"",DISPLAY!$B$3:$B$1000&amp;"",DISPLAY!$H$3:$H$1000,""),"Network Device",_xlfn.XLOOKUP($K410&amp;"",'NETWORK-DEVICES'!$B$3:$B$987&amp;"",'NETWORK-DEVICES'!$H$3:$H$987,""),"Peripheral",_xlfn.XLOOKUP($K410&amp;"",PERIPHERAL!$B$3:$B$954&amp;"",PERIPHERAL!$H$3:$H$954,""),"Utilities",_xlfn.XLOOKUP($K410&amp;"",UTILITIES!$B$3:$B$953&amp;"",UTILITIES!$G$3:$G$953,""),"IOT",_xlfn.XLOOKUP($K410&amp;"",IOT!$B$3:$B$1012&amp;"",IOT!$H$3:$H$1012,""),"Server",_xlfn.XLOOKUP($K410&amp;"",SERVER!$B$3:$B$1009&amp;"",SERVER!$H$3:$H$1009,""),""),IF(TRIM(_xlpm.srcCat)&lt;&gt;TRIM($J410),"",_xlfn.SWITCH($I410,"Computer",_xlfn.XLOOKUP($K410&amp;"",COMPUTER!$B$3:$B$1009&amp;"",COMPUTER!$K$3:$K$1009,""),"Display",_xlfn.XLOOKUP($K410&amp;"",DISPLAY!$B$3:$B$1000&amp;"",DISPLAY!$L$3:$L$1000,""),"Network Device",_xlfn.XLOOKUP($K410&amp;"",'NETWORK-DEVICES'!$B$3:$B$987&amp;"",'NETWORK-DEVICES'!$K$3:$K$987,""),"Peripheral",_xlfn.XLOOKUP($K410&amp;"",PERIPHERAL!$B$3:$B$954&amp;"",PERIPHERAL!$K$3:$K$954,""),"Utilities",_xlfn.XLOOKUP($K410&amp;"",UTILITIES!$B$3:$B$953&amp;"",UTILITIES!$J$3:$J$953,""),"IOT",_xlfn.XLOOKUP($K410&amp;"",IOT!$B$3:$B$1012&amp;"",IOT!$K$4:$K$1012,""),"Server",_xlfn.XLOOKUP($K410&amp;"",SERVER!$B$3:$B$1009&amp;"",SERVER!$K$3:$K$1009,""),""))))</f>
        <v/>
      </c>
      <c r="O410" s="1" t="str" cm="1">
        <f t="array" ref="O410">IF(OR($K410="",$I410="",$J410=""),"",_xlfn.LET(_xlpm.srcCat,_xlfn.SWITCH($I410,"Computer",_xlfn.XLOOKUP($K410&amp;"",COMPUTER!$B$3:$B$1009&amp;"",COMPUTER!$H$3:$H$1009,""),"Display",_xlfn.XLOOKUP($K410&amp;"",DISPLAY!$B$3:$B$1000&amp;"",DISPLAY!$H$3:$H$1000,""),"Network Device",_xlfn.XLOOKUP($K410&amp;"",'NETWORK-DEVICES'!$B$3:$B$987&amp;"",'NETWORK-DEVICES'!$H$3:$H$987,""),"Peripheral",_xlfn.XLOOKUP($K410&amp;"",PERIPHERAL!$B$3:$B$954&amp;"",PERIPHERAL!$H$3:$H$954,""),"Utilities",_xlfn.XLOOKUP($K410&amp;"",UTILITIES!$B$3:$B$953&amp;"",UTILITIES!$G$3:$G$953,""),"IOT",_xlfn.XLOOKUP($K410&amp;"",IOT!$B$3:$B$1012&amp;"",IOT!$H$3:$H$1012,""),"Server",_xlfn.XLOOKUP($K410&amp;"",SERVER!$B$3:$B$1009&amp;"",SERVER!$H$3:$H$1009,""),""),IF(TRIM(_xlpm.srcCat)&lt;&gt;TRIM($J410),"",_xlfn.SWITCH($I410,"Computer",_xlfn.XLOOKUP($K410&amp;"",COMPUTER!$B$3:$B$1009&amp;"",COMPUTER!$E$3:$E$1009,""),"Display",_xlfn.XLOOKUP($K410&amp;"",DISPLAY!$B$3:$B$1000&amp;"",DISPLAY!$E$3:$E$1000,""),"Network Device",_xlfn.XLOOKUP($K410&amp;"",'NETWORK-DEVICES'!$B$3:$B$987&amp;"",'NETWORK-DEVICES'!$E$3:$E$987,""),"Peripheral",_xlfn.XLOOKUP($K410&amp;"",PERIPHERAL!$B$3:$B$954&amp;"",PERIPHERAL!$E$3:$E$954,""),"Utilities",_xlfn.XLOOKUP($K410&amp;"",UTILITIES!$B$3:$B$953&amp;"",UTILITIES!$E$3:$E$953,""),"IOT",_xlfn.XLOOKUP($K410&amp;"",IOT!$B$3:$B$1012&amp;"",IOT!$E$3:$E$1012,""),"Server",_xlfn.XLOOKUP($K410&amp;"",SERVER!$B$3:$B$1009&amp;"",SERVER!$E$3:$E$1009,""),""))))</f>
        <v/>
      </c>
      <c r="Q410" s="1" t="str" cm="1">
        <f t="array" ref="Q410">IF(OR($K410="",$I410="",$J410=""),"",_xlfn.LET(_xlpm.srcCat,_xlfn.SWITCH($I410,"Computer",_xlfn.XLOOKUP($K410&amp;"",COMPUTER!$B$3:$B$1009&amp;"",COMPUTER!$H$3:$H$1009,""),"Display",_xlfn.XLOOKUP($K410&amp;"",DISPLAY!$B$3:$B$1000&amp;"",DISPLAY!$H$3:$H$1000,""),"Network Device",_xlfn.XLOOKUP($K410&amp;"",'NETWORK-DEVICES'!$B$3:$B$987&amp;"",'NETWORK-DEVICES'!$H$3:$H$987,""),"Peripheral",_xlfn.XLOOKUP($K410&amp;"",PERIPHERAL!$B$3:$B$954&amp;"",PERIPHERAL!$H$3:$H$954,""),"Utilities",_xlfn.XLOOKUP($K410&amp;"",UTILITIES!$B$3:$B$953&amp;"",UTILITIES!$G$3:$G$953,""),"IOT",_xlfn.XLOOKUP($K410&amp;"",IOT!$B$3:$B$1012&amp;"",IOT!$H$3:$H$1012,""),"Server",_xlfn.XLOOKUP($K410&amp;"",SERVER!$B$3:$B$1009&amp;"",SERVER!$H$3:$H$1009,""),""),IF(TRIM(_xlpm.srcCat)&lt;&gt;TRIM($J410),"",_xlfn.SWITCH($I410,"Computer",_xlfn.XLOOKUP($K410&amp;"",COMPUTER!$B$3:$B$1009&amp;"",COMPUTER!$AM$3:$AM$1009,""),"Display",_xlfn.XLOOKUP($K410&amp;"",DISPLAY!$B$3:$B$1000&amp;"",DISPLAY!$V$3:$V$1000,""),"Network Device",_xlfn.XLOOKUP($K410&amp;"",'NETWORK-DEVICES'!$B$3:$B$987&amp;"",'NETWORK-DEVICES'!$AF$3:$AF$987,""),"Peripheral",_xlfn.XLOOKUP($K410&amp;"",PERIPHERAL!$B$3:$B$954&amp;"",PERIPHERAL!$Y$3:$Y$954,""),"Utilities",_xlfn.XLOOKUP($K410&amp;"",UTILITIES!$B$3:$B$953&amp;"",UTILITIES!$O$3:$O$953,""),"IOT",_xlfn.XLOOKUP($K410&amp;"",IOT!$B$3:$B$1012&amp;"",IOT!$AB$3:$AB$1012,""),"Server",_xlfn.XLOOKUP($K410&amp;"",SERVER!$B$3:$B$1009&amp;"",SERVER!$AB$3:$AB$1009,""),""))))</f>
        <v/>
      </c>
      <c r="R410" s="43" t="str">
        <f>IF(tbl_handover[[#This Row],[Asset Code]]="","",COUNTIF(tbl_handover[Asset Code],tbl_handover[[#This Row],[Asset Code]]))</f>
        <v/>
      </c>
    </row>
    <row r="411" spans="1:18" x14ac:dyDescent="0.25">
      <c r="A411" s="43" t="str">
        <f>IF(B411&lt;&gt;"",SUBTOTAL(3,$B$1:B410),"")</f>
        <v/>
      </c>
      <c r="C411" s="74"/>
      <c r="D411" s="74"/>
      <c r="G411" s="1"/>
      <c r="K411" s="42"/>
      <c r="L411" t="str" cm="1">
        <f t="array" ref="L411">IF($K411="","",_xlfn.SWITCH($I411,"Computer",_xlfn.XLOOKUP($K411&amp;"",COMPUTER!$B$3:$B$1009&amp;"",COMPUTER!$I$3:$I$1009,""),"Display",_xlfn.XLOOKUP($K411&amp;"",DISPLAY!$B$3:$B$1000&amp;"",DISPLAY!$J$3:$J$1000,""),"Network Device",_xlfn.XLOOKUP($K411&amp;"",'NETWORK-DEVICES'!$B$3:$B$987&amp;"",'NETWORK-DEVICES'!$I$3:$I$987,""),"Peripheral",_xlfn.XLOOKUP($K411&amp;"",PERIPHERAL!$B$3:$B$954&amp;"",PERIPHERAL!$I$3:$I$954,""),"Utilities",_xlfn.XLOOKUP($K411&amp;"",UTILITIES!$B$3:$B$953&amp;"",UTILITIES!$H$3:$H$953,""),"IOT",_xlfn.XLOOKUP($K411&amp;"",IOT!$B$3:$B$1012&amp;"",IOT!$I$3:$I$1012,""),"SERVER",_xlfn.XLOOKUP($K411&amp;"",SERVER!$B$3:$B$1009&amp;"",SERVER!$I$3:$I$1009,""),""))</f>
        <v/>
      </c>
      <c r="M411" t="str" cm="1">
        <f t="array" ref="M411">IF($K411="","",_xlfn.SWITCH($I411,"Computer",_xlfn.XLOOKUP($K411&amp;"",COMPUTER!$B$3:$B$1009&amp;"",COMPUTER!$J$3:$J$1009,""),"Display",_xlfn.XLOOKUP($K411&amp;"",DISPLAY!$B$3:$B$1000&amp;"",DISPLAY!$K$3:$K$1000,""),"Network Device",_xlfn.XLOOKUP($K411&amp;"",'NETWORK-DEVICES'!$B$3:$B$987&amp;"",'NETWORK-DEVICES'!$I$3:$I$987,""),"Peripheral",_xlfn.XLOOKUP($K411&amp;"",PERIPHERAL!$B$3:$B$954&amp;"",PERIPHERAL!$J$3:$J$954,""),"Utilities",_xlfn.XLOOKUP($K411&amp;"",UTILITIES!$B$3:$B$953&amp;"",UTILITIES!$I$3:$I$953,""),"IOT",_xlfn.XLOOKUP($K411&amp;"",IOT!$B$3:$B$1012&amp;"",IOT!$J$3:$J$1012,""),"Server",_xlfn.XLOOKUP($K411&amp;"",SERVER!$B$3:$B$1009&amp;"",SERVER!$J$3:$J$1009,""),""))</f>
        <v/>
      </c>
      <c r="N411" s="1" t="str" cm="1">
        <f t="array" ref="N411">IF(OR($K411="",$I411="",$J411=""),"",_xlfn.LET(_xlpm.srcCat,_xlfn.SWITCH($I411,"Computer",_xlfn.XLOOKUP($K411&amp;"",COMPUTER!$B$3:$B$1009&amp;"",COMPUTER!$H$3:$H$1009,""),"Display",_xlfn.XLOOKUP($K411&amp;"",DISPLAY!$B$3:$B$1000&amp;"",DISPLAY!$H$3:$H$1000,""),"Network Device",_xlfn.XLOOKUP($K411&amp;"",'NETWORK-DEVICES'!$B$3:$B$987&amp;"",'NETWORK-DEVICES'!$H$3:$H$987,""),"Peripheral",_xlfn.XLOOKUP($K411&amp;"",PERIPHERAL!$B$3:$B$954&amp;"",PERIPHERAL!$H$3:$H$954,""),"Utilities",_xlfn.XLOOKUP($K411&amp;"",UTILITIES!$B$3:$B$953&amp;"",UTILITIES!$G$3:$G$953,""),"IOT",_xlfn.XLOOKUP($K411&amp;"",IOT!$B$3:$B$1012&amp;"",IOT!$H$3:$H$1012,""),"Server",_xlfn.XLOOKUP($K411&amp;"",SERVER!$B$3:$B$1009&amp;"",SERVER!$H$3:$H$1009,""),""),IF(TRIM(_xlpm.srcCat)&lt;&gt;TRIM($J411),"",_xlfn.SWITCH($I411,"Computer",_xlfn.XLOOKUP($K411&amp;"",COMPUTER!$B$3:$B$1009&amp;"",COMPUTER!$K$3:$K$1009,""),"Display",_xlfn.XLOOKUP($K411&amp;"",DISPLAY!$B$3:$B$1000&amp;"",DISPLAY!$L$3:$L$1000,""),"Network Device",_xlfn.XLOOKUP($K411&amp;"",'NETWORK-DEVICES'!$B$3:$B$987&amp;"",'NETWORK-DEVICES'!$K$3:$K$987,""),"Peripheral",_xlfn.XLOOKUP($K411&amp;"",PERIPHERAL!$B$3:$B$954&amp;"",PERIPHERAL!$K$3:$K$954,""),"Utilities",_xlfn.XLOOKUP($K411&amp;"",UTILITIES!$B$3:$B$953&amp;"",UTILITIES!$J$3:$J$953,""),"IOT",_xlfn.XLOOKUP($K411&amp;"",IOT!$B$3:$B$1012&amp;"",IOT!$K$4:$K$1012,""),"Server",_xlfn.XLOOKUP($K411&amp;"",SERVER!$B$3:$B$1009&amp;"",SERVER!$K$3:$K$1009,""),""))))</f>
        <v/>
      </c>
      <c r="O411" s="1" t="str" cm="1">
        <f t="array" ref="O411">IF(OR($K411="",$I411="",$J411=""),"",_xlfn.LET(_xlpm.srcCat,_xlfn.SWITCH($I411,"Computer",_xlfn.XLOOKUP($K411&amp;"",COMPUTER!$B$3:$B$1009&amp;"",COMPUTER!$H$3:$H$1009,""),"Display",_xlfn.XLOOKUP($K411&amp;"",DISPLAY!$B$3:$B$1000&amp;"",DISPLAY!$H$3:$H$1000,""),"Network Device",_xlfn.XLOOKUP($K411&amp;"",'NETWORK-DEVICES'!$B$3:$B$987&amp;"",'NETWORK-DEVICES'!$H$3:$H$987,""),"Peripheral",_xlfn.XLOOKUP($K411&amp;"",PERIPHERAL!$B$3:$B$954&amp;"",PERIPHERAL!$H$3:$H$954,""),"Utilities",_xlfn.XLOOKUP($K411&amp;"",UTILITIES!$B$3:$B$953&amp;"",UTILITIES!$G$3:$G$953,""),"IOT",_xlfn.XLOOKUP($K411&amp;"",IOT!$B$3:$B$1012&amp;"",IOT!$H$3:$H$1012,""),"Server",_xlfn.XLOOKUP($K411&amp;"",SERVER!$B$3:$B$1009&amp;"",SERVER!$H$3:$H$1009,""),""),IF(TRIM(_xlpm.srcCat)&lt;&gt;TRIM($J411),"",_xlfn.SWITCH($I411,"Computer",_xlfn.XLOOKUP($K411&amp;"",COMPUTER!$B$3:$B$1009&amp;"",COMPUTER!$E$3:$E$1009,""),"Display",_xlfn.XLOOKUP($K411&amp;"",DISPLAY!$B$3:$B$1000&amp;"",DISPLAY!$E$3:$E$1000,""),"Network Device",_xlfn.XLOOKUP($K411&amp;"",'NETWORK-DEVICES'!$B$3:$B$987&amp;"",'NETWORK-DEVICES'!$E$3:$E$987,""),"Peripheral",_xlfn.XLOOKUP($K411&amp;"",PERIPHERAL!$B$3:$B$954&amp;"",PERIPHERAL!$E$3:$E$954,""),"Utilities",_xlfn.XLOOKUP($K411&amp;"",UTILITIES!$B$3:$B$953&amp;"",UTILITIES!$E$3:$E$953,""),"IOT",_xlfn.XLOOKUP($K411&amp;"",IOT!$B$3:$B$1012&amp;"",IOT!$E$3:$E$1012,""),"Server",_xlfn.XLOOKUP($K411&amp;"",SERVER!$B$3:$B$1009&amp;"",SERVER!$E$3:$E$1009,""),""))))</f>
        <v/>
      </c>
      <c r="Q411" s="1" t="str" cm="1">
        <f t="array" ref="Q411">IF(OR($K411="",$I411="",$J411=""),"",_xlfn.LET(_xlpm.srcCat,_xlfn.SWITCH($I411,"Computer",_xlfn.XLOOKUP($K411&amp;"",COMPUTER!$B$3:$B$1009&amp;"",COMPUTER!$H$3:$H$1009,""),"Display",_xlfn.XLOOKUP($K411&amp;"",DISPLAY!$B$3:$B$1000&amp;"",DISPLAY!$H$3:$H$1000,""),"Network Device",_xlfn.XLOOKUP($K411&amp;"",'NETWORK-DEVICES'!$B$3:$B$987&amp;"",'NETWORK-DEVICES'!$H$3:$H$987,""),"Peripheral",_xlfn.XLOOKUP($K411&amp;"",PERIPHERAL!$B$3:$B$954&amp;"",PERIPHERAL!$H$3:$H$954,""),"Utilities",_xlfn.XLOOKUP($K411&amp;"",UTILITIES!$B$3:$B$953&amp;"",UTILITIES!$G$3:$G$953,""),"IOT",_xlfn.XLOOKUP($K411&amp;"",IOT!$B$3:$B$1012&amp;"",IOT!$H$3:$H$1012,""),"Server",_xlfn.XLOOKUP($K411&amp;"",SERVER!$B$3:$B$1009&amp;"",SERVER!$H$3:$H$1009,""),""),IF(TRIM(_xlpm.srcCat)&lt;&gt;TRIM($J411),"",_xlfn.SWITCH($I411,"Computer",_xlfn.XLOOKUP($K411&amp;"",COMPUTER!$B$3:$B$1009&amp;"",COMPUTER!$AM$3:$AM$1009,""),"Display",_xlfn.XLOOKUP($K411&amp;"",DISPLAY!$B$3:$B$1000&amp;"",DISPLAY!$V$3:$V$1000,""),"Network Device",_xlfn.XLOOKUP($K411&amp;"",'NETWORK-DEVICES'!$B$3:$B$987&amp;"",'NETWORK-DEVICES'!$AF$3:$AF$987,""),"Peripheral",_xlfn.XLOOKUP($K411&amp;"",PERIPHERAL!$B$3:$B$954&amp;"",PERIPHERAL!$Y$3:$Y$954,""),"Utilities",_xlfn.XLOOKUP($K411&amp;"",UTILITIES!$B$3:$B$953&amp;"",UTILITIES!$O$3:$O$953,""),"IOT",_xlfn.XLOOKUP($K411&amp;"",IOT!$B$3:$B$1012&amp;"",IOT!$AB$3:$AB$1012,""),"Server",_xlfn.XLOOKUP($K411&amp;"",SERVER!$B$3:$B$1009&amp;"",SERVER!$AB$3:$AB$1009,""),""))))</f>
        <v/>
      </c>
      <c r="R411" s="43" t="str">
        <f>IF(tbl_handover[[#This Row],[Asset Code]]="","",COUNTIF(tbl_handover[Asset Code],tbl_handover[[#This Row],[Asset Code]]))</f>
        <v/>
      </c>
    </row>
    <row r="412" spans="1:18" x14ac:dyDescent="0.25">
      <c r="A412" s="43" t="str">
        <f>IF(B412&lt;&gt;"",SUBTOTAL(3,$B$1:B411),"")</f>
        <v/>
      </c>
      <c r="C412" s="74"/>
      <c r="D412" s="74"/>
      <c r="G412" s="1"/>
      <c r="K412" s="42"/>
      <c r="L412" t="str" cm="1">
        <f t="array" ref="L412">IF($K412="","",_xlfn.SWITCH($I412,"Computer",_xlfn.XLOOKUP($K412&amp;"",COMPUTER!$B$3:$B$1009&amp;"",COMPUTER!$I$3:$I$1009,""),"Display",_xlfn.XLOOKUP($K412&amp;"",DISPLAY!$B$3:$B$1000&amp;"",DISPLAY!$J$3:$J$1000,""),"Network Device",_xlfn.XLOOKUP($K412&amp;"",'NETWORK-DEVICES'!$B$3:$B$987&amp;"",'NETWORK-DEVICES'!$I$3:$I$987,""),"Peripheral",_xlfn.XLOOKUP($K412&amp;"",PERIPHERAL!$B$3:$B$954&amp;"",PERIPHERAL!$I$3:$I$954,""),"Utilities",_xlfn.XLOOKUP($K412&amp;"",UTILITIES!$B$3:$B$953&amp;"",UTILITIES!$H$3:$H$953,""),"IOT",_xlfn.XLOOKUP($K412&amp;"",IOT!$B$3:$B$1012&amp;"",IOT!$I$3:$I$1012,""),"SERVER",_xlfn.XLOOKUP($K412&amp;"",SERVER!$B$3:$B$1009&amp;"",SERVER!$I$3:$I$1009,""),""))</f>
        <v/>
      </c>
      <c r="M412" t="str" cm="1">
        <f t="array" ref="M412">IF($K412="","",_xlfn.SWITCH($I412,"Computer",_xlfn.XLOOKUP($K412&amp;"",COMPUTER!$B$3:$B$1009&amp;"",COMPUTER!$J$3:$J$1009,""),"Display",_xlfn.XLOOKUP($K412&amp;"",DISPLAY!$B$3:$B$1000&amp;"",DISPLAY!$K$3:$K$1000,""),"Network Device",_xlfn.XLOOKUP($K412&amp;"",'NETWORK-DEVICES'!$B$3:$B$987&amp;"",'NETWORK-DEVICES'!$I$3:$I$987,""),"Peripheral",_xlfn.XLOOKUP($K412&amp;"",PERIPHERAL!$B$3:$B$954&amp;"",PERIPHERAL!$J$3:$J$954,""),"Utilities",_xlfn.XLOOKUP($K412&amp;"",UTILITIES!$B$3:$B$953&amp;"",UTILITIES!$I$3:$I$953,""),"IOT",_xlfn.XLOOKUP($K412&amp;"",IOT!$B$3:$B$1012&amp;"",IOT!$J$3:$J$1012,""),"Server",_xlfn.XLOOKUP($K412&amp;"",SERVER!$B$3:$B$1009&amp;"",SERVER!$J$3:$J$1009,""),""))</f>
        <v/>
      </c>
      <c r="N412" s="1" t="str" cm="1">
        <f t="array" ref="N412">IF(OR($K412="",$I412="",$J412=""),"",_xlfn.LET(_xlpm.srcCat,_xlfn.SWITCH($I412,"Computer",_xlfn.XLOOKUP($K412&amp;"",COMPUTER!$B$3:$B$1009&amp;"",COMPUTER!$H$3:$H$1009,""),"Display",_xlfn.XLOOKUP($K412&amp;"",DISPLAY!$B$3:$B$1000&amp;"",DISPLAY!$H$3:$H$1000,""),"Network Device",_xlfn.XLOOKUP($K412&amp;"",'NETWORK-DEVICES'!$B$3:$B$987&amp;"",'NETWORK-DEVICES'!$H$3:$H$987,""),"Peripheral",_xlfn.XLOOKUP($K412&amp;"",PERIPHERAL!$B$3:$B$954&amp;"",PERIPHERAL!$H$3:$H$954,""),"Utilities",_xlfn.XLOOKUP($K412&amp;"",UTILITIES!$B$3:$B$953&amp;"",UTILITIES!$G$3:$G$953,""),"IOT",_xlfn.XLOOKUP($K412&amp;"",IOT!$B$3:$B$1012&amp;"",IOT!$H$3:$H$1012,""),"Server",_xlfn.XLOOKUP($K412&amp;"",SERVER!$B$3:$B$1009&amp;"",SERVER!$H$3:$H$1009,""),""),IF(TRIM(_xlpm.srcCat)&lt;&gt;TRIM($J412),"",_xlfn.SWITCH($I412,"Computer",_xlfn.XLOOKUP($K412&amp;"",COMPUTER!$B$3:$B$1009&amp;"",COMPUTER!$K$3:$K$1009,""),"Display",_xlfn.XLOOKUP($K412&amp;"",DISPLAY!$B$3:$B$1000&amp;"",DISPLAY!$L$3:$L$1000,""),"Network Device",_xlfn.XLOOKUP($K412&amp;"",'NETWORK-DEVICES'!$B$3:$B$987&amp;"",'NETWORK-DEVICES'!$K$3:$K$987,""),"Peripheral",_xlfn.XLOOKUP($K412&amp;"",PERIPHERAL!$B$3:$B$954&amp;"",PERIPHERAL!$K$3:$K$954,""),"Utilities",_xlfn.XLOOKUP($K412&amp;"",UTILITIES!$B$3:$B$953&amp;"",UTILITIES!$J$3:$J$953,""),"IOT",_xlfn.XLOOKUP($K412&amp;"",IOT!$B$3:$B$1012&amp;"",IOT!$K$4:$K$1012,""),"Server",_xlfn.XLOOKUP($K412&amp;"",SERVER!$B$3:$B$1009&amp;"",SERVER!$K$3:$K$1009,""),""))))</f>
        <v/>
      </c>
      <c r="O412" s="1" t="str" cm="1">
        <f t="array" ref="O412">IF(OR($K412="",$I412="",$J412=""),"",_xlfn.LET(_xlpm.srcCat,_xlfn.SWITCH($I412,"Computer",_xlfn.XLOOKUP($K412&amp;"",COMPUTER!$B$3:$B$1009&amp;"",COMPUTER!$H$3:$H$1009,""),"Display",_xlfn.XLOOKUP($K412&amp;"",DISPLAY!$B$3:$B$1000&amp;"",DISPLAY!$H$3:$H$1000,""),"Network Device",_xlfn.XLOOKUP($K412&amp;"",'NETWORK-DEVICES'!$B$3:$B$987&amp;"",'NETWORK-DEVICES'!$H$3:$H$987,""),"Peripheral",_xlfn.XLOOKUP($K412&amp;"",PERIPHERAL!$B$3:$B$954&amp;"",PERIPHERAL!$H$3:$H$954,""),"Utilities",_xlfn.XLOOKUP($K412&amp;"",UTILITIES!$B$3:$B$953&amp;"",UTILITIES!$G$3:$G$953,""),"IOT",_xlfn.XLOOKUP($K412&amp;"",IOT!$B$3:$B$1012&amp;"",IOT!$H$3:$H$1012,""),"Server",_xlfn.XLOOKUP($K412&amp;"",SERVER!$B$3:$B$1009&amp;"",SERVER!$H$3:$H$1009,""),""),IF(TRIM(_xlpm.srcCat)&lt;&gt;TRIM($J412),"",_xlfn.SWITCH($I412,"Computer",_xlfn.XLOOKUP($K412&amp;"",COMPUTER!$B$3:$B$1009&amp;"",COMPUTER!$E$3:$E$1009,""),"Display",_xlfn.XLOOKUP($K412&amp;"",DISPLAY!$B$3:$B$1000&amp;"",DISPLAY!$E$3:$E$1000,""),"Network Device",_xlfn.XLOOKUP($K412&amp;"",'NETWORK-DEVICES'!$B$3:$B$987&amp;"",'NETWORK-DEVICES'!$E$3:$E$987,""),"Peripheral",_xlfn.XLOOKUP($K412&amp;"",PERIPHERAL!$B$3:$B$954&amp;"",PERIPHERAL!$E$3:$E$954,""),"Utilities",_xlfn.XLOOKUP($K412&amp;"",UTILITIES!$B$3:$B$953&amp;"",UTILITIES!$E$3:$E$953,""),"IOT",_xlfn.XLOOKUP($K412&amp;"",IOT!$B$3:$B$1012&amp;"",IOT!$E$3:$E$1012,""),"Server",_xlfn.XLOOKUP($K412&amp;"",SERVER!$B$3:$B$1009&amp;"",SERVER!$E$3:$E$1009,""),""))))</f>
        <v/>
      </c>
      <c r="Q412" s="1" t="str" cm="1">
        <f t="array" ref="Q412">IF(OR($K412="",$I412="",$J412=""),"",_xlfn.LET(_xlpm.srcCat,_xlfn.SWITCH($I412,"Computer",_xlfn.XLOOKUP($K412&amp;"",COMPUTER!$B$3:$B$1009&amp;"",COMPUTER!$H$3:$H$1009,""),"Display",_xlfn.XLOOKUP($K412&amp;"",DISPLAY!$B$3:$B$1000&amp;"",DISPLAY!$H$3:$H$1000,""),"Network Device",_xlfn.XLOOKUP($K412&amp;"",'NETWORK-DEVICES'!$B$3:$B$987&amp;"",'NETWORK-DEVICES'!$H$3:$H$987,""),"Peripheral",_xlfn.XLOOKUP($K412&amp;"",PERIPHERAL!$B$3:$B$954&amp;"",PERIPHERAL!$H$3:$H$954,""),"Utilities",_xlfn.XLOOKUP($K412&amp;"",UTILITIES!$B$3:$B$953&amp;"",UTILITIES!$G$3:$G$953,""),"IOT",_xlfn.XLOOKUP($K412&amp;"",IOT!$B$3:$B$1012&amp;"",IOT!$H$3:$H$1012,""),"Server",_xlfn.XLOOKUP($K412&amp;"",SERVER!$B$3:$B$1009&amp;"",SERVER!$H$3:$H$1009,""),""),IF(TRIM(_xlpm.srcCat)&lt;&gt;TRIM($J412),"",_xlfn.SWITCH($I412,"Computer",_xlfn.XLOOKUP($K412&amp;"",COMPUTER!$B$3:$B$1009&amp;"",COMPUTER!$AM$3:$AM$1009,""),"Display",_xlfn.XLOOKUP($K412&amp;"",DISPLAY!$B$3:$B$1000&amp;"",DISPLAY!$V$3:$V$1000,""),"Network Device",_xlfn.XLOOKUP($K412&amp;"",'NETWORK-DEVICES'!$B$3:$B$987&amp;"",'NETWORK-DEVICES'!$AF$3:$AF$987,""),"Peripheral",_xlfn.XLOOKUP($K412&amp;"",PERIPHERAL!$B$3:$B$954&amp;"",PERIPHERAL!$Y$3:$Y$954,""),"Utilities",_xlfn.XLOOKUP($K412&amp;"",UTILITIES!$B$3:$B$953&amp;"",UTILITIES!$O$3:$O$953,""),"IOT",_xlfn.XLOOKUP($K412&amp;"",IOT!$B$3:$B$1012&amp;"",IOT!$AB$3:$AB$1012,""),"Server",_xlfn.XLOOKUP($K412&amp;"",SERVER!$B$3:$B$1009&amp;"",SERVER!$AB$3:$AB$1009,""),""))))</f>
        <v/>
      </c>
      <c r="R412" s="43" t="str">
        <f>IF(tbl_handover[[#This Row],[Asset Code]]="","",COUNTIF(tbl_handover[Asset Code],tbl_handover[[#This Row],[Asset Code]]))</f>
        <v/>
      </c>
    </row>
    <row r="413" spans="1:18" x14ac:dyDescent="0.25">
      <c r="A413" s="43" t="str">
        <f>IF(B413&lt;&gt;"",SUBTOTAL(3,$B$1:B412),"")</f>
        <v/>
      </c>
      <c r="C413" s="74"/>
      <c r="D413" s="74"/>
      <c r="G413" s="1"/>
      <c r="K413" s="42"/>
      <c r="L413" t="str" cm="1">
        <f t="array" ref="L413">IF($K413="","",_xlfn.SWITCH($I413,"Computer",_xlfn.XLOOKUP($K413&amp;"",COMPUTER!$B$3:$B$1009&amp;"",COMPUTER!$I$3:$I$1009,""),"Display",_xlfn.XLOOKUP($K413&amp;"",DISPLAY!$B$3:$B$1000&amp;"",DISPLAY!$J$3:$J$1000,""),"Network Device",_xlfn.XLOOKUP($K413&amp;"",'NETWORK-DEVICES'!$B$3:$B$987&amp;"",'NETWORK-DEVICES'!$I$3:$I$987,""),"Peripheral",_xlfn.XLOOKUP($K413&amp;"",PERIPHERAL!$B$3:$B$954&amp;"",PERIPHERAL!$I$3:$I$954,""),"Utilities",_xlfn.XLOOKUP($K413&amp;"",UTILITIES!$B$3:$B$953&amp;"",UTILITIES!$H$3:$H$953,""),"IOT",_xlfn.XLOOKUP($K413&amp;"",IOT!$B$3:$B$1012&amp;"",IOT!$I$3:$I$1012,""),"SERVER",_xlfn.XLOOKUP($K413&amp;"",SERVER!$B$3:$B$1009&amp;"",SERVER!$I$3:$I$1009,""),""))</f>
        <v/>
      </c>
      <c r="M413" t="str" cm="1">
        <f t="array" ref="M413">IF($K413="","",_xlfn.SWITCH($I413,"Computer",_xlfn.XLOOKUP($K413&amp;"",COMPUTER!$B$3:$B$1009&amp;"",COMPUTER!$J$3:$J$1009,""),"Display",_xlfn.XLOOKUP($K413&amp;"",DISPLAY!$B$3:$B$1000&amp;"",DISPLAY!$K$3:$K$1000,""),"Network Device",_xlfn.XLOOKUP($K413&amp;"",'NETWORK-DEVICES'!$B$3:$B$987&amp;"",'NETWORK-DEVICES'!$I$3:$I$987,""),"Peripheral",_xlfn.XLOOKUP($K413&amp;"",PERIPHERAL!$B$3:$B$954&amp;"",PERIPHERAL!$J$3:$J$954,""),"Utilities",_xlfn.XLOOKUP($K413&amp;"",UTILITIES!$B$3:$B$953&amp;"",UTILITIES!$I$3:$I$953,""),"IOT",_xlfn.XLOOKUP($K413&amp;"",IOT!$B$3:$B$1012&amp;"",IOT!$J$3:$J$1012,""),"Server",_xlfn.XLOOKUP($K413&amp;"",SERVER!$B$3:$B$1009&amp;"",SERVER!$J$3:$J$1009,""),""))</f>
        <v/>
      </c>
      <c r="N413" s="1" t="str" cm="1">
        <f t="array" ref="N413">IF(OR($K413="",$I413="",$J413=""),"",_xlfn.LET(_xlpm.srcCat,_xlfn.SWITCH($I413,"Computer",_xlfn.XLOOKUP($K413&amp;"",COMPUTER!$B$3:$B$1009&amp;"",COMPUTER!$H$3:$H$1009,""),"Display",_xlfn.XLOOKUP($K413&amp;"",DISPLAY!$B$3:$B$1000&amp;"",DISPLAY!$H$3:$H$1000,""),"Network Device",_xlfn.XLOOKUP($K413&amp;"",'NETWORK-DEVICES'!$B$3:$B$987&amp;"",'NETWORK-DEVICES'!$H$3:$H$987,""),"Peripheral",_xlfn.XLOOKUP($K413&amp;"",PERIPHERAL!$B$3:$B$954&amp;"",PERIPHERAL!$H$3:$H$954,""),"Utilities",_xlfn.XLOOKUP($K413&amp;"",UTILITIES!$B$3:$B$953&amp;"",UTILITIES!$G$3:$G$953,""),"IOT",_xlfn.XLOOKUP($K413&amp;"",IOT!$B$3:$B$1012&amp;"",IOT!$H$3:$H$1012,""),"Server",_xlfn.XLOOKUP($K413&amp;"",SERVER!$B$3:$B$1009&amp;"",SERVER!$H$3:$H$1009,""),""),IF(TRIM(_xlpm.srcCat)&lt;&gt;TRIM($J413),"",_xlfn.SWITCH($I413,"Computer",_xlfn.XLOOKUP($K413&amp;"",COMPUTER!$B$3:$B$1009&amp;"",COMPUTER!$K$3:$K$1009,""),"Display",_xlfn.XLOOKUP($K413&amp;"",DISPLAY!$B$3:$B$1000&amp;"",DISPLAY!$L$3:$L$1000,""),"Network Device",_xlfn.XLOOKUP($K413&amp;"",'NETWORK-DEVICES'!$B$3:$B$987&amp;"",'NETWORK-DEVICES'!$K$3:$K$987,""),"Peripheral",_xlfn.XLOOKUP($K413&amp;"",PERIPHERAL!$B$3:$B$954&amp;"",PERIPHERAL!$K$3:$K$954,""),"Utilities",_xlfn.XLOOKUP($K413&amp;"",UTILITIES!$B$3:$B$953&amp;"",UTILITIES!$J$3:$J$953,""),"IOT",_xlfn.XLOOKUP($K413&amp;"",IOT!$B$3:$B$1012&amp;"",IOT!$K$4:$K$1012,""),"Server",_xlfn.XLOOKUP($K413&amp;"",SERVER!$B$3:$B$1009&amp;"",SERVER!$K$3:$K$1009,""),""))))</f>
        <v/>
      </c>
      <c r="O413" s="1" t="str" cm="1">
        <f t="array" ref="O413">IF(OR($K413="",$I413="",$J413=""),"",_xlfn.LET(_xlpm.srcCat,_xlfn.SWITCH($I413,"Computer",_xlfn.XLOOKUP($K413&amp;"",COMPUTER!$B$3:$B$1009&amp;"",COMPUTER!$H$3:$H$1009,""),"Display",_xlfn.XLOOKUP($K413&amp;"",DISPLAY!$B$3:$B$1000&amp;"",DISPLAY!$H$3:$H$1000,""),"Network Device",_xlfn.XLOOKUP($K413&amp;"",'NETWORK-DEVICES'!$B$3:$B$987&amp;"",'NETWORK-DEVICES'!$H$3:$H$987,""),"Peripheral",_xlfn.XLOOKUP($K413&amp;"",PERIPHERAL!$B$3:$B$954&amp;"",PERIPHERAL!$H$3:$H$954,""),"Utilities",_xlfn.XLOOKUP($K413&amp;"",UTILITIES!$B$3:$B$953&amp;"",UTILITIES!$G$3:$G$953,""),"IOT",_xlfn.XLOOKUP($K413&amp;"",IOT!$B$3:$B$1012&amp;"",IOT!$H$3:$H$1012,""),"Server",_xlfn.XLOOKUP($K413&amp;"",SERVER!$B$3:$B$1009&amp;"",SERVER!$H$3:$H$1009,""),""),IF(TRIM(_xlpm.srcCat)&lt;&gt;TRIM($J413),"",_xlfn.SWITCH($I413,"Computer",_xlfn.XLOOKUP($K413&amp;"",COMPUTER!$B$3:$B$1009&amp;"",COMPUTER!$E$3:$E$1009,""),"Display",_xlfn.XLOOKUP($K413&amp;"",DISPLAY!$B$3:$B$1000&amp;"",DISPLAY!$E$3:$E$1000,""),"Network Device",_xlfn.XLOOKUP($K413&amp;"",'NETWORK-DEVICES'!$B$3:$B$987&amp;"",'NETWORK-DEVICES'!$E$3:$E$987,""),"Peripheral",_xlfn.XLOOKUP($K413&amp;"",PERIPHERAL!$B$3:$B$954&amp;"",PERIPHERAL!$E$3:$E$954,""),"Utilities",_xlfn.XLOOKUP($K413&amp;"",UTILITIES!$B$3:$B$953&amp;"",UTILITIES!$E$3:$E$953,""),"IOT",_xlfn.XLOOKUP($K413&amp;"",IOT!$B$3:$B$1012&amp;"",IOT!$E$3:$E$1012,""),"Server",_xlfn.XLOOKUP($K413&amp;"",SERVER!$B$3:$B$1009&amp;"",SERVER!$E$3:$E$1009,""),""))))</f>
        <v/>
      </c>
      <c r="Q413" s="1" t="str" cm="1">
        <f t="array" ref="Q413">IF(OR($K413="",$I413="",$J413=""),"",_xlfn.LET(_xlpm.srcCat,_xlfn.SWITCH($I413,"Computer",_xlfn.XLOOKUP($K413&amp;"",COMPUTER!$B$3:$B$1009&amp;"",COMPUTER!$H$3:$H$1009,""),"Display",_xlfn.XLOOKUP($K413&amp;"",DISPLAY!$B$3:$B$1000&amp;"",DISPLAY!$H$3:$H$1000,""),"Network Device",_xlfn.XLOOKUP($K413&amp;"",'NETWORK-DEVICES'!$B$3:$B$987&amp;"",'NETWORK-DEVICES'!$H$3:$H$987,""),"Peripheral",_xlfn.XLOOKUP($K413&amp;"",PERIPHERAL!$B$3:$B$954&amp;"",PERIPHERAL!$H$3:$H$954,""),"Utilities",_xlfn.XLOOKUP($K413&amp;"",UTILITIES!$B$3:$B$953&amp;"",UTILITIES!$G$3:$G$953,""),"IOT",_xlfn.XLOOKUP($K413&amp;"",IOT!$B$3:$B$1012&amp;"",IOT!$H$3:$H$1012,""),"Server",_xlfn.XLOOKUP($K413&amp;"",SERVER!$B$3:$B$1009&amp;"",SERVER!$H$3:$H$1009,""),""),IF(TRIM(_xlpm.srcCat)&lt;&gt;TRIM($J413),"",_xlfn.SWITCH($I413,"Computer",_xlfn.XLOOKUP($K413&amp;"",COMPUTER!$B$3:$B$1009&amp;"",COMPUTER!$AM$3:$AM$1009,""),"Display",_xlfn.XLOOKUP($K413&amp;"",DISPLAY!$B$3:$B$1000&amp;"",DISPLAY!$V$3:$V$1000,""),"Network Device",_xlfn.XLOOKUP($K413&amp;"",'NETWORK-DEVICES'!$B$3:$B$987&amp;"",'NETWORK-DEVICES'!$AF$3:$AF$987,""),"Peripheral",_xlfn.XLOOKUP($K413&amp;"",PERIPHERAL!$B$3:$B$954&amp;"",PERIPHERAL!$Y$3:$Y$954,""),"Utilities",_xlfn.XLOOKUP($K413&amp;"",UTILITIES!$B$3:$B$953&amp;"",UTILITIES!$O$3:$O$953,""),"IOT",_xlfn.XLOOKUP($K413&amp;"",IOT!$B$3:$B$1012&amp;"",IOT!$AB$3:$AB$1012,""),"Server",_xlfn.XLOOKUP($K413&amp;"",SERVER!$B$3:$B$1009&amp;"",SERVER!$AB$3:$AB$1009,""),""))))</f>
        <v/>
      </c>
      <c r="R413" s="43" t="str">
        <f>IF(tbl_handover[[#This Row],[Asset Code]]="","",COUNTIF(tbl_handover[Asset Code],tbl_handover[[#This Row],[Asset Code]]))</f>
        <v/>
      </c>
    </row>
    <row r="414" spans="1:18" x14ac:dyDescent="0.25">
      <c r="A414" s="43" t="str">
        <f>IF(B414&lt;&gt;"",SUBTOTAL(3,$B$1:B413),"")</f>
        <v/>
      </c>
      <c r="C414" s="74"/>
      <c r="D414" s="74"/>
      <c r="G414" s="1"/>
      <c r="K414" s="42"/>
      <c r="L414" t="str" cm="1">
        <f t="array" ref="L414">IF($K414="","",_xlfn.SWITCH($I414,"Computer",_xlfn.XLOOKUP($K414&amp;"",COMPUTER!$B$3:$B$1009&amp;"",COMPUTER!$I$3:$I$1009,""),"Display",_xlfn.XLOOKUP($K414&amp;"",DISPLAY!$B$3:$B$1000&amp;"",DISPLAY!$J$3:$J$1000,""),"Network Device",_xlfn.XLOOKUP($K414&amp;"",'NETWORK-DEVICES'!$B$3:$B$987&amp;"",'NETWORK-DEVICES'!$I$3:$I$987,""),"Peripheral",_xlfn.XLOOKUP($K414&amp;"",PERIPHERAL!$B$3:$B$954&amp;"",PERIPHERAL!$I$3:$I$954,""),"Utilities",_xlfn.XLOOKUP($K414&amp;"",UTILITIES!$B$3:$B$953&amp;"",UTILITIES!$H$3:$H$953,""),"IOT",_xlfn.XLOOKUP($K414&amp;"",IOT!$B$3:$B$1012&amp;"",IOT!$I$3:$I$1012,""),"SERVER",_xlfn.XLOOKUP($K414&amp;"",SERVER!$B$3:$B$1009&amp;"",SERVER!$I$3:$I$1009,""),""))</f>
        <v/>
      </c>
      <c r="M414" t="str" cm="1">
        <f t="array" ref="M414">IF($K414="","",_xlfn.SWITCH($I414,"Computer",_xlfn.XLOOKUP($K414&amp;"",COMPUTER!$B$3:$B$1009&amp;"",COMPUTER!$J$3:$J$1009,""),"Display",_xlfn.XLOOKUP($K414&amp;"",DISPLAY!$B$3:$B$1000&amp;"",DISPLAY!$K$3:$K$1000,""),"Network Device",_xlfn.XLOOKUP($K414&amp;"",'NETWORK-DEVICES'!$B$3:$B$987&amp;"",'NETWORK-DEVICES'!$I$3:$I$987,""),"Peripheral",_xlfn.XLOOKUP($K414&amp;"",PERIPHERAL!$B$3:$B$954&amp;"",PERIPHERAL!$J$3:$J$954,""),"Utilities",_xlfn.XLOOKUP($K414&amp;"",UTILITIES!$B$3:$B$953&amp;"",UTILITIES!$I$3:$I$953,""),"IOT",_xlfn.XLOOKUP($K414&amp;"",IOT!$B$3:$B$1012&amp;"",IOT!$J$3:$J$1012,""),"Server",_xlfn.XLOOKUP($K414&amp;"",SERVER!$B$3:$B$1009&amp;"",SERVER!$J$3:$J$1009,""),""))</f>
        <v/>
      </c>
      <c r="N414" s="1" t="str" cm="1">
        <f t="array" ref="N414">IF(OR($K414="",$I414="",$J414=""),"",_xlfn.LET(_xlpm.srcCat,_xlfn.SWITCH($I414,"Computer",_xlfn.XLOOKUP($K414&amp;"",COMPUTER!$B$3:$B$1009&amp;"",COMPUTER!$H$3:$H$1009,""),"Display",_xlfn.XLOOKUP($K414&amp;"",DISPLAY!$B$3:$B$1000&amp;"",DISPLAY!$H$3:$H$1000,""),"Network Device",_xlfn.XLOOKUP($K414&amp;"",'NETWORK-DEVICES'!$B$3:$B$987&amp;"",'NETWORK-DEVICES'!$H$3:$H$987,""),"Peripheral",_xlfn.XLOOKUP($K414&amp;"",PERIPHERAL!$B$3:$B$954&amp;"",PERIPHERAL!$H$3:$H$954,""),"Utilities",_xlfn.XLOOKUP($K414&amp;"",UTILITIES!$B$3:$B$953&amp;"",UTILITIES!$G$3:$G$953,""),"IOT",_xlfn.XLOOKUP($K414&amp;"",IOT!$B$3:$B$1012&amp;"",IOT!$H$3:$H$1012,""),"Server",_xlfn.XLOOKUP($K414&amp;"",SERVER!$B$3:$B$1009&amp;"",SERVER!$H$3:$H$1009,""),""),IF(TRIM(_xlpm.srcCat)&lt;&gt;TRIM($J414),"",_xlfn.SWITCH($I414,"Computer",_xlfn.XLOOKUP($K414&amp;"",COMPUTER!$B$3:$B$1009&amp;"",COMPUTER!$K$3:$K$1009,""),"Display",_xlfn.XLOOKUP($K414&amp;"",DISPLAY!$B$3:$B$1000&amp;"",DISPLAY!$L$3:$L$1000,""),"Network Device",_xlfn.XLOOKUP($K414&amp;"",'NETWORK-DEVICES'!$B$3:$B$987&amp;"",'NETWORK-DEVICES'!$K$3:$K$987,""),"Peripheral",_xlfn.XLOOKUP($K414&amp;"",PERIPHERAL!$B$3:$B$954&amp;"",PERIPHERAL!$K$3:$K$954,""),"Utilities",_xlfn.XLOOKUP($K414&amp;"",UTILITIES!$B$3:$B$953&amp;"",UTILITIES!$J$3:$J$953,""),"IOT",_xlfn.XLOOKUP($K414&amp;"",IOT!$B$3:$B$1012&amp;"",IOT!$K$4:$K$1012,""),"Server",_xlfn.XLOOKUP($K414&amp;"",SERVER!$B$3:$B$1009&amp;"",SERVER!$K$3:$K$1009,""),""))))</f>
        <v/>
      </c>
      <c r="O414" s="1" t="str" cm="1">
        <f t="array" ref="O414">IF(OR($K414="",$I414="",$J414=""),"",_xlfn.LET(_xlpm.srcCat,_xlfn.SWITCH($I414,"Computer",_xlfn.XLOOKUP($K414&amp;"",COMPUTER!$B$3:$B$1009&amp;"",COMPUTER!$H$3:$H$1009,""),"Display",_xlfn.XLOOKUP($K414&amp;"",DISPLAY!$B$3:$B$1000&amp;"",DISPLAY!$H$3:$H$1000,""),"Network Device",_xlfn.XLOOKUP($K414&amp;"",'NETWORK-DEVICES'!$B$3:$B$987&amp;"",'NETWORK-DEVICES'!$H$3:$H$987,""),"Peripheral",_xlfn.XLOOKUP($K414&amp;"",PERIPHERAL!$B$3:$B$954&amp;"",PERIPHERAL!$H$3:$H$954,""),"Utilities",_xlfn.XLOOKUP($K414&amp;"",UTILITIES!$B$3:$B$953&amp;"",UTILITIES!$G$3:$G$953,""),"IOT",_xlfn.XLOOKUP($K414&amp;"",IOT!$B$3:$B$1012&amp;"",IOT!$H$3:$H$1012,""),"Server",_xlfn.XLOOKUP($K414&amp;"",SERVER!$B$3:$B$1009&amp;"",SERVER!$H$3:$H$1009,""),""),IF(TRIM(_xlpm.srcCat)&lt;&gt;TRIM($J414),"",_xlfn.SWITCH($I414,"Computer",_xlfn.XLOOKUP($K414&amp;"",COMPUTER!$B$3:$B$1009&amp;"",COMPUTER!$E$3:$E$1009,""),"Display",_xlfn.XLOOKUP($K414&amp;"",DISPLAY!$B$3:$B$1000&amp;"",DISPLAY!$E$3:$E$1000,""),"Network Device",_xlfn.XLOOKUP($K414&amp;"",'NETWORK-DEVICES'!$B$3:$B$987&amp;"",'NETWORK-DEVICES'!$E$3:$E$987,""),"Peripheral",_xlfn.XLOOKUP($K414&amp;"",PERIPHERAL!$B$3:$B$954&amp;"",PERIPHERAL!$E$3:$E$954,""),"Utilities",_xlfn.XLOOKUP($K414&amp;"",UTILITIES!$B$3:$B$953&amp;"",UTILITIES!$E$3:$E$953,""),"IOT",_xlfn.XLOOKUP($K414&amp;"",IOT!$B$3:$B$1012&amp;"",IOT!$E$3:$E$1012,""),"Server",_xlfn.XLOOKUP($K414&amp;"",SERVER!$B$3:$B$1009&amp;"",SERVER!$E$3:$E$1009,""),""))))</f>
        <v/>
      </c>
      <c r="Q414" s="1" t="str" cm="1">
        <f t="array" ref="Q414">IF(OR($K414="",$I414="",$J414=""),"",_xlfn.LET(_xlpm.srcCat,_xlfn.SWITCH($I414,"Computer",_xlfn.XLOOKUP($K414&amp;"",COMPUTER!$B$3:$B$1009&amp;"",COMPUTER!$H$3:$H$1009,""),"Display",_xlfn.XLOOKUP($K414&amp;"",DISPLAY!$B$3:$B$1000&amp;"",DISPLAY!$H$3:$H$1000,""),"Network Device",_xlfn.XLOOKUP($K414&amp;"",'NETWORK-DEVICES'!$B$3:$B$987&amp;"",'NETWORK-DEVICES'!$H$3:$H$987,""),"Peripheral",_xlfn.XLOOKUP($K414&amp;"",PERIPHERAL!$B$3:$B$954&amp;"",PERIPHERAL!$H$3:$H$954,""),"Utilities",_xlfn.XLOOKUP($K414&amp;"",UTILITIES!$B$3:$B$953&amp;"",UTILITIES!$G$3:$G$953,""),"IOT",_xlfn.XLOOKUP($K414&amp;"",IOT!$B$3:$B$1012&amp;"",IOT!$H$3:$H$1012,""),"Server",_xlfn.XLOOKUP($K414&amp;"",SERVER!$B$3:$B$1009&amp;"",SERVER!$H$3:$H$1009,""),""),IF(TRIM(_xlpm.srcCat)&lt;&gt;TRIM($J414),"",_xlfn.SWITCH($I414,"Computer",_xlfn.XLOOKUP($K414&amp;"",COMPUTER!$B$3:$B$1009&amp;"",COMPUTER!$AM$3:$AM$1009,""),"Display",_xlfn.XLOOKUP($K414&amp;"",DISPLAY!$B$3:$B$1000&amp;"",DISPLAY!$V$3:$V$1000,""),"Network Device",_xlfn.XLOOKUP($K414&amp;"",'NETWORK-DEVICES'!$B$3:$B$987&amp;"",'NETWORK-DEVICES'!$AF$3:$AF$987,""),"Peripheral",_xlfn.XLOOKUP($K414&amp;"",PERIPHERAL!$B$3:$B$954&amp;"",PERIPHERAL!$Y$3:$Y$954,""),"Utilities",_xlfn.XLOOKUP($K414&amp;"",UTILITIES!$B$3:$B$953&amp;"",UTILITIES!$O$3:$O$953,""),"IOT",_xlfn.XLOOKUP($K414&amp;"",IOT!$B$3:$B$1012&amp;"",IOT!$AB$3:$AB$1012,""),"Server",_xlfn.XLOOKUP($K414&amp;"",SERVER!$B$3:$B$1009&amp;"",SERVER!$AB$3:$AB$1009,""),""))))</f>
        <v/>
      </c>
      <c r="R414" s="43" t="str">
        <f>IF(tbl_handover[[#This Row],[Asset Code]]="","",COUNTIF(tbl_handover[Asset Code],tbl_handover[[#This Row],[Asset Code]]))</f>
        <v/>
      </c>
    </row>
    <row r="415" spans="1:18" x14ac:dyDescent="0.25">
      <c r="A415" s="43" t="str">
        <f>IF(B415&lt;&gt;"",SUBTOTAL(3,$B$1:B414),"")</f>
        <v/>
      </c>
      <c r="C415" s="74"/>
      <c r="D415" s="74"/>
      <c r="G415" s="1"/>
      <c r="K415" s="42"/>
      <c r="L415" t="str" cm="1">
        <f t="array" ref="L415">IF($K415="","",_xlfn.SWITCH($I415,"Computer",_xlfn.XLOOKUP($K415&amp;"",COMPUTER!$B$3:$B$1009&amp;"",COMPUTER!$I$3:$I$1009,""),"Display",_xlfn.XLOOKUP($K415&amp;"",DISPLAY!$B$3:$B$1000&amp;"",DISPLAY!$J$3:$J$1000,""),"Network Device",_xlfn.XLOOKUP($K415&amp;"",'NETWORK-DEVICES'!$B$3:$B$987&amp;"",'NETWORK-DEVICES'!$I$3:$I$987,""),"Peripheral",_xlfn.XLOOKUP($K415&amp;"",PERIPHERAL!$B$3:$B$954&amp;"",PERIPHERAL!$I$3:$I$954,""),"Utilities",_xlfn.XLOOKUP($K415&amp;"",UTILITIES!$B$3:$B$953&amp;"",UTILITIES!$H$3:$H$953,""),"IOT",_xlfn.XLOOKUP($K415&amp;"",IOT!$B$3:$B$1012&amp;"",IOT!$I$3:$I$1012,""),"SERVER",_xlfn.XLOOKUP($K415&amp;"",SERVER!$B$3:$B$1009&amp;"",SERVER!$I$3:$I$1009,""),""))</f>
        <v/>
      </c>
      <c r="M415" t="str" cm="1">
        <f t="array" ref="M415">IF($K415="","",_xlfn.SWITCH($I415,"Computer",_xlfn.XLOOKUP($K415&amp;"",COMPUTER!$B$3:$B$1009&amp;"",COMPUTER!$J$3:$J$1009,""),"Display",_xlfn.XLOOKUP($K415&amp;"",DISPLAY!$B$3:$B$1000&amp;"",DISPLAY!$K$3:$K$1000,""),"Network Device",_xlfn.XLOOKUP($K415&amp;"",'NETWORK-DEVICES'!$B$3:$B$987&amp;"",'NETWORK-DEVICES'!$I$3:$I$987,""),"Peripheral",_xlfn.XLOOKUP($K415&amp;"",PERIPHERAL!$B$3:$B$954&amp;"",PERIPHERAL!$J$3:$J$954,""),"Utilities",_xlfn.XLOOKUP($K415&amp;"",UTILITIES!$B$3:$B$953&amp;"",UTILITIES!$I$3:$I$953,""),"IOT",_xlfn.XLOOKUP($K415&amp;"",IOT!$B$3:$B$1012&amp;"",IOT!$J$3:$J$1012,""),"Server",_xlfn.XLOOKUP($K415&amp;"",SERVER!$B$3:$B$1009&amp;"",SERVER!$J$3:$J$1009,""),""))</f>
        <v/>
      </c>
      <c r="N415" s="1" t="str" cm="1">
        <f t="array" ref="N415">IF(OR($K415="",$I415="",$J415=""),"",_xlfn.LET(_xlpm.srcCat,_xlfn.SWITCH($I415,"Computer",_xlfn.XLOOKUP($K415&amp;"",COMPUTER!$B$3:$B$1009&amp;"",COMPUTER!$H$3:$H$1009,""),"Display",_xlfn.XLOOKUP($K415&amp;"",DISPLAY!$B$3:$B$1000&amp;"",DISPLAY!$H$3:$H$1000,""),"Network Device",_xlfn.XLOOKUP($K415&amp;"",'NETWORK-DEVICES'!$B$3:$B$987&amp;"",'NETWORK-DEVICES'!$H$3:$H$987,""),"Peripheral",_xlfn.XLOOKUP($K415&amp;"",PERIPHERAL!$B$3:$B$954&amp;"",PERIPHERAL!$H$3:$H$954,""),"Utilities",_xlfn.XLOOKUP($K415&amp;"",UTILITIES!$B$3:$B$953&amp;"",UTILITIES!$G$3:$G$953,""),"IOT",_xlfn.XLOOKUP($K415&amp;"",IOT!$B$3:$B$1012&amp;"",IOT!$H$3:$H$1012,""),"Server",_xlfn.XLOOKUP($K415&amp;"",SERVER!$B$3:$B$1009&amp;"",SERVER!$H$3:$H$1009,""),""),IF(TRIM(_xlpm.srcCat)&lt;&gt;TRIM($J415),"",_xlfn.SWITCH($I415,"Computer",_xlfn.XLOOKUP($K415&amp;"",COMPUTER!$B$3:$B$1009&amp;"",COMPUTER!$K$3:$K$1009,""),"Display",_xlfn.XLOOKUP($K415&amp;"",DISPLAY!$B$3:$B$1000&amp;"",DISPLAY!$L$3:$L$1000,""),"Network Device",_xlfn.XLOOKUP($K415&amp;"",'NETWORK-DEVICES'!$B$3:$B$987&amp;"",'NETWORK-DEVICES'!$K$3:$K$987,""),"Peripheral",_xlfn.XLOOKUP($K415&amp;"",PERIPHERAL!$B$3:$B$954&amp;"",PERIPHERAL!$K$3:$K$954,""),"Utilities",_xlfn.XLOOKUP($K415&amp;"",UTILITIES!$B$3:$B$953&amp;"",UTILITIES!$J$3:$J$953,""),"IOT",_xlfn.XLOOKUP($K415&amp;"",IOT!$B$3:$B$1012&amp;"",IOT!$K$4:$K$1012,""),"Server",_xlfn.XLOOKUP($K415&amp;"",SERVER!$B$3:$B$1009&amp;"",SERVER!$K$3:$K$1009,""),""))))</f>
        <v/>
      </c>
      <c r="O415" s="1" t="str" cm="1">
        <f t="array" ref="O415">IF(OR($K415="",$I415="",$J415=""),"",_xlfn.LET(_xlpm.srcCat,_xlfn.SWITCH($I415,"Computer",_xlfn.XLOOKUP($K415&amp;"",COMPUTER!$B$3:$B$1009&amp;"",COMPUTER!$H$3:$H$1009,""),"Display",_xlfn.XLOOKUP($K415&amp;"",DISPLAY!$B$3:$B$1000&amp;"",DISPLAY!$H$3:$H$1000,""),"Network Device",_xlfn.XLOOKUP($K415&amp;"",'NETWORK-DEVICES'!$B$3:$B$987&amp;"",'NETWORK-DEVICES'!$H$3:$H$987,""),"Peripheral",_xlfn.XLOOKUP($K415&amp;"",PERIPHERAL!$B$3:$B$954&amp;"",PERIPHERAL!$H$3:$H$954,""),"Utilities",_xlfn.XLOOKUP($K415&amp;"",UTILITIES!$B$3:$B$953&amp;"",UTILITIES!$G$3:$G$953,""),"IOT",_xlfn.XLOOKUP($K415&amp;"",IOT!$B$3:$B$1012&amp;"",IOT!$H$3:$H$1012,""),"Server",_xlfn.XLOOKUP($K415&amp;"",SERVER!$B$3:$B$1009&amp;"",SERVER!$H$3:$H$1009,""),""),IF(TRIM(_xlpm.srcCat)&lt;&gt;TRIM($J415),"",_xlfn.SWITCH($I415,"Computer",_xlfn.XLOOKUP($K415&amp;"",COMPUTER!$B$3:$B$1009&amp;"",COMPUTER!$E$3:$E$1009,""),"Display",_xlfn.XLOOKUP($K415&amp;"",DISPLAY!$B$3:$B$1000&amp;"",DISPLAY!$E$3:$E$1000,""),"Network Device",_xlfn.XLOOKUP($K415&amp;"",'NETWORK-DEVICES'!$B$3:$B$987&amp;"",'NETWORK-DEVICES'!$E$3:$E$987,""),"Peripheral",_xlfn.XLOOKUP($K415&amp;"",PERIPHERAL!$B$3:$B$954&amp;"",PERIPHERAL!$E$3:$E$954,""),"Utilities",_xlfn.XLOOKUP($K415&amp;"",UTILITIES!$B$3:$B$953&amp;"",UTILITIES!$E$3:$E$953,""),"IOT",_xlfn.XLOOKUP($K415&amp;"",IOT!$B$3:$B$1012&amp;"",IOT!$E$3:$E$1012,""),"Server",_xlfn.XLOOKUP($K415&amp;"",SERVER!$B$3:$B$1009&amp;"",SERVER!$E$3:$E$1009,""),""))))</f>
        <v/>
      </c>
      <c r="Q415" s="1" t="str" cm="1">
        <f t="array" ref="Q415">IF(OR($K415="",$I415="",$J415=""),"",_xlfn.LET(_xlpm.srcCat,_xlfn.SWITCH($I415,"Computer",_xlfn.XLOOKUP($K415&amp;"",COMPUTER!$B$3:$B$1009&amp;"",COMPUTER!$H$3:$H$1009,""),"Display",_xlfn.XLOOKUP($K415&amp;"",DISPLAY!$B$3:$B$1000&amp;"",DISPLAY!$H$3:$H$1000,""),"Network Device",_xlfn.XLOOKUP($K415&amp;"",'NETWORK-DEVICES'!$B$3:$B$987&amp;"",'NETWORK-DEVICES'!$H$3:$H$987,""),"Peripheral",_xlfn.XLOOKUP($K415&amp;"",PERIPHERAL!$B$3:$B$954&amp;"",PERIPHERAL!$H$3:$H$954,""),"Utilities",_xlfn.XLOOKUP($K415&amp;"",UTILITIES!$B$3:$B$953&amp;"",UTILITIES!$G$3:$G$953,""),"IOT",_xlfn.XLOOKUP($K415&amp;"",IOT!$B$3:$B$1012&amp;"",IOT!$H$3:$H$1012,""),"Server",_xlfn.XLOOKUP($K415&amp;"",SERVER!$B$3:$B$1009&amp;"",SERVER!$H$3:$H$1009,""),""),IF(TRIM(_xlpm.srcCat)&lt;&gt;TRIM($J415),"",_xlfn.SWITCH($I415,"Computer",_xlfn.XLOOKUP($K415&amp;"",COMPUTER!$B$3:$B$1009&amp;"",COMPUTER!$AM$3:$AM$1009,""),"Display",_xlfn.XLOOKUP($K415&amp;"",DISPLAY!$B$3:$B$1000&amp;"",DISPLAY!$V$3:$V$1000,""),"Network Device",_xlfn.XLOOKUP($K415&amp;"",'NETWORK-DEVICES'!$B$3:$B$987&amp;"",'NETWORK-DEVICES'!$AF$3:$AF$987,""),"Peripheral",_xlfn.XLOOKUP($K415&amp;"",PERIPHERAL!$B$3:$B$954&amp;"",PERIPHERAL!$Y$3:$Y$954,""),"Utilities",_xlfn.XLOOKUP($K415&amp;"",UTILITIES!$B$3:$B$953&amp;"",UTILITIES!$O$3:$O$953,""),"IOT",_xlfn.XLOOKUP($K415&amp;"",IOT!$B$3:$B$1012&amp;"",IOT!$AB$3:$AB$1012,""),"Server",_xlfn.XLOOKUP($K415&amp;"",SERVER!$B$3:$B$1009&amp;"",SERVER!$AB$3:$AB$1009,""),""))))</f>
        <v/>
      </c>
      <c r="R415" s="43" t="str">
        <f>IF(tbl_handover[[#This Row],[Asset Code]]="","",COUNTIF(tbl_handover[Asset Code],tbl_handover[[#This Row],[Asset Code]]))</f>
        <v/>
      </c>
    </row>
    <row r="416" spans="1:18" x14ac:dyDescent="0.25">
      <c r="A416" s="43" t="str">
        <f>IF(B416&lt;&gt;"",SUBTOTAL(3,$B$1:B415),"")</f>
        <v/>
      </c>
      <c r="C416" s="74"/>
      <c r="D416" s="74"/>
      <c r="G416" s="1"/>
      <c r="K416" s="42"/>
      <c r="L416" t="str" cm="1">
        <f t="array" ref="L416">IF($K416="","",_xlfn.SWITCH($I416,"Computer",_xlfn.XLOOKUP($K416&amp;"",COMPUTER!$B$3:$B$1009&amp;"",COMPUTER!$I$3:$I$1009,""),"Display",_xlfn.XLOOKUP($K416&amp;"",DISPLAY!$B$3:$B$1000&amp;"",DISPLAY!$J$3:$J$1000,""),"Network Device",_xlfn.XLOOKUP($K416&amp;"",'NETWORK-DEVICES'!$B$3:$B$987&amp;"",'NETWORK-DEVICES'!$I$3:$I$987,""),"Peripheral",_xlfn.XLOOKUP($K416&amp;"",PERIPHERAL!$B$3:$B$954&amp;"",PERIPHERAL!$I$3:$I$954,""),"Utilities",_xlfn.XLOOKUP($K416&amp;"",UTILITIES!$B$3:$B$953&amp;"",UTILITIES!$H$3:$H$953,""),"IOT",_xlfn.XLOOKUP($K416&amp;"",IOT!$B$3:$B$1012&amp;"",IOT!$I$3:$I$1012,""),"SERVER",_xlfn.XLOOKUP($K416&amp;"",SERVER!$B$3:$B$1009&amp;"",SERVER!$I$3:$I$1009,""),""))</f>
        <v/>
      </c>
      <c r="M416" t="str" cm="1">
        <f t="array" ref="M416">IF($K416="","",_xlfn.SWITCH($I416,"Computer",_xlfn.XLOOKUP($K416&amp;"",COMPUTER!$B$3:$B$1009&amp;"",COMPUTER!$J$3:$J$1009,""),"Display",_xlfn.XLOOKUP($K416&amp;"",DISPLAY!$B$3:$B$1000&amp;"",DISPLAY!$K$3:$K$1000,""),"Network Device",_xlfn.XLOOKUP($K416&amp;"",'NETWORK-DEVICES'!$B$3:$B$987&amp;"",'NETWORK-DEVICES'!$I$3:$I$987,""),"Peripheral",_xlfn.XLOOKUP($K416&amp;"",PERIPHERAL!$B$3:$B$954&amp;"",PERIPHERAL!$J$3:$J$954,""),"Utilities",_xlfn.XLOOKUP($K416&amp;"",UTILITIES!$B$3:$B$953&amp;"",UTILITIES!$I$3:$I$953,""),"IOT",_xlfn.XLOOKUP($K416&amp;"",IOT!$B$3:$B$1012&amp;"",IOT!$J$3:$J$1012,""),"Server",_xlfn.XLOOKUP($K416&amp;"",SERVER!$B$3:$B$1009&amp;"",SERVER!$J$3:$J$1009,""),""))</f>
        <v/>
      </c>
      <c r="N416" s="1" t="str" cm="1">
        <f t="array" ref="N416">IF(OR($K416="",$I416="",$J416=""),"",_xlfn.LET(_xlpm.srcCat,_xlfn.SWITCH($I416,"Computer",_xlfn.XLOOKUP($K416&amp;"",COMPUTER!$B$3:$B$1009&amp;"",COMPUTER!$H$3:$H$1009,""),"Display",_xlfn.XLOOKUP($K416&amp;"",DISPLAY!$B$3:$B$1000&amp;"",DISPLAY!$H$3:$H$1000,""),"Network Device",_xlfn.XLOOKUP($K416&amp;"",'NETWORK-DEVICES'!$B$3:$B$987&amp;"",'NETWORK-DEVICES'!$H$3:$H$987,""),"Peripheral",_xlfn.XLOOKUP($K416&amp;"",PERIPHERAL!$B$3:$B$954&amp;"",PERIPHERAL!$H$3:$H$954,""),"Utilities",_xlfn.XLOOKUP($K416&amp;"",UTILITIES!$B$3:$B$953&amp;"",UTILITIES!$G$3:$G$953,""),"IOT",_xlfn.XLOOKUP($K416&amp;"",IOT!$B$3:$B$1012&amp;"",IOT!$H$3:$H$1012,""),"Server",_xlfn.XLOOKUP($K416&amp;"",SERVER!$B$3:$B$1009&amp;"",SERVER!$H$3:$H$1009,""),""),IF(TRIM(_xlpm.srcCat)&lt;&gt;TRIM($J416),"",_xlfn.SWITCH($I416,"Computer",_xlfn.XLOOKUP($K416&amp;"",COMPUTER!$B$3:$B$1009&amp;"",COMPUTER!$K$3:$K$1009,""),"Display",_xlfn.XLOOKUP($K416&amp;"",DISPLAY!$B$3:$B$1000&amp;"",DISPLAY!$L$3:$L$1000,""),"Network Device",_xlfn.XLOOKUP($K416&amp;"",'NETWORK-DEVICES'!$B$3:$B$987&amp;"",'NETWORK-DEVICES'!$K$3:$K$987,""),"Peripheral",_xlfn.XLOOKUP($K416&amp;"",PERIPHERAL!$B$3:$B$954&amp;"",PERIPHERAL!$K$3:$K$954,""),"Utilities",_xlfn.XLOOKUP($K416&amp;"",UTILITIES!$B$3:$B$953&amp;"",UTILITIES!$J$3:$J$953,""),"IOT",_xlfn.XLOOKUP($K416&amp;"",IOT!$B$3:$B$1012&amp;"",IOT!$K$4:$K$1012,""),"Server",_xlfn.XLOOKUP($K416&amp;"",SERVER!$B$3:$B$1009&amp;"",SERVER!$K$3:$K$1009,""),""))))</f>
        <v/>
      </c>
      <c r="O416" s="1" t="str" cm="1">
        <f t="array" ref="O416">IF(OR($K416="",$I416="",$J416=""),"",_xlfn.LET(_xlpm.srcCat,_xlfn.SWITCH($I416,"Computer",_xlfn.XLOOKUP($K416&amp;"",COMPUTER!$B$3:$B$1009&amp;"",COMPUTER!$H$3:$H$1009,""),"Display",_xlfn.XLOOKUP($K416&amp;"",DISPLAY!$B$3:$B$1000&amp;"",DISPLAY!$H$3:$H$1000,""),"Network Device",_xlfn.XLOOKUP($K416&amp;"",'NETWORK-DEVICES'!$B$3:$B$987&amp;"",'NETWORK-DEVICES'!$H$3:$H$987,""),"Peripheral",_xlfn.XLOOKUP($K416&amp;"",PERIPHERAL!$B$3:$B$954&amp;"",PERIPHERAL!$H$3:$H$954,""),"Utilities",_xlfn.XLOOKUP($K416&amp;"",UTILITIES!$B$3:$B$953&amp;"",UTILITIES!$G$3:$G$953,""),"IOT",_xlfn.XLOOKUP($K416&amp;"",IOT!$B$3:$B$1012&amp;"",IOT!$H$3:$H$1012,""),"Server",_xlfn.XLOOKUP($K416&amp;"",SERVER!$B$3:$B$1009&amp;"",SERVER!$H$3:$H$1009,""),""),IF(TRIM(_xlpm.srcCat)&lt;&gt;TRIM($J416),"",_xlfn.SWITCH($I416,"Computer",_xlfn.XLOOKUP($K416&amp;"",COMPUTER!$B$3:$B$1009&amp;"",COMPUTER!$E$3:$E$1009,""),"Display",_xlfn.XLOOKUP($K416&amp;"",DISPLAY!$B$3:$B$1000&amp;"",DISPLAY!$E$3:$E$1000,""),"Network Device",_xlfn.XLOOKUP($K416&amp;"",'NETWORK-DEVICES'!$B$3:$B$987&amp;"",'NETWORK-DEVICES'!$E$3:$E$987,""),"Peripheral",_xlfn.XLOOKUP($K416&amp;"",PERIPHERAL!$B$3:$B$954&amp;"",PERIPHERAL!$E$3:$E$954,""),"Utilities",_xlfn.XLOOKUP($K416&amp;"",UTILITIES!$B$3:$B$953&amp;"",UTILITIES!$E$3:$E$953,""),"IOT",_xlfn.XLOOKUP($K416&amp;"",IOT!$B$3:$B$1012&amp;"",IOT!$E$3:$E$1012,""),"Server",_xlfn.XLOOKUP($K416&amp;"",SERVER!$B$3:$B$1009&amp;"",SERVER!$E$3:$E$1009,""),""))))</f>
        <v/>
      </c>
      <c r="Q416" s="1" t="str" cm="1">
        <f t="array" ref="Q416">IF(OR($K416="",$I416="",$J416=""),"",_xlfn.LET(_xlpm.srcCat,_xlfn.SWITCH($I416,"Computer",_xlfn.XLOOKUP($K416&amp;"",COMPUTER!$B$3:$B$1009&amp;"",COMPUTER!$H$3:$H$1009,""),"Display",_xlfn.XLOOKUP($K416&amp;"",DISPLAY!$B$3:$B$1000&amp;"",DISPLAY!$H$3:$H$1000,""),"Network Device",_xlfn.XLOOKUP($K416&amp;"",'NETWORK-DEVICES'!$B$3:$B$987&amp;"",'NETWORK-DEVICES'!$H$3:$H$987,""),"Peripheral",_xlfn.XLOOKUP($K416&amp;"",PERIPHERAL!$B$3:$B$954&amp;"",PERIPHERAL!$H$3:$H$954,""),"Utilities",_xlfn.XLOOKUP($K416&amp;"",UTILITIES!$B$3:$B$953&amp;"",UTILITIES!$G$3:$G$953,""),"IOT",_xlfn.XLOOKUP($K416&amp;"",IOT!$B$3:$B$1012&amp;"",IOT!$H$3:$H$1012,""),"Server",_xlfn.XLOOKUP($K416&amp;"",SERVER!$B$3:$B$1009&amp;"",SERVER!$H$3:$H$1009,""),""),IF(TRIM(_xlpm.srcCat)&lt;&gt;TRIM($J416),"",_xlfn.SWITCH($I416,"Computer",_xlfn.XLOOKUP($K416&amp;"",COMPUTER!$B$3:$B$1009&amp;"",COMPUTER!$AM$3:$AM$1009,""),"Display",_xlfn.XLOOKUP($K416&amp;"",DISPLAY!$B$3:$B$1000&amp;"",DISPLAY!$V$3:$V$1000,""),"Network Device",_xlfn.XLOOKUP($K416&amp;"",'NETWORK-DEVICES'!$B$3:$B$987&amp;"",'NETWORK-DEVICES'!$AF$3:$AF$987,""),"Peripheral",_xlfn.XLOOKUP($K416&amp;"",PERIPHERAL!$B$3:$B$954&amp;"",PERIPHERAL!$Y$3:$Y$954,""),"Utilities",_xlfn.XLOOKUP($K416&amp;"",UTILITIES!$B$3:$B$953&amp;"",UTILITIES!$O$3:$O$953,""),"IOT",_xlfn.XLOOKUP($K416&amp;"",IOT!$B$3:$B$1012&amp;"",IOT!$AB$3:$AB$1012,""),"Server",_xlfn.XLOOKUP($K416&amp;"",SERVER!$B$3:$B$1009&amp;"",SERVER!$AB$3:$AB$1009,""),""))))</f>
        <v/>
      </c>
      <c r="R416" s="43" t="str">
        <f>IF(tbl_handover[[#This Row],[Asset Code]]="","",COUNTIF(tbl_handover[Asset Code],tbl_handover[[#This Row],[Asset Code]]))</f>
        <v/>
      </c>
    </row>
    <row r="417" spans="1:18" x14ac:dyDescent="0.25">
      <c r="A417" s="43" t="str">
        <f>IF(B417&lt;&gt;"",SUBTOTAL(3,$B$1:B416),"")</f>
        <v/>
      </c>
      <c r="C417" s="74"/>
      <c r="D417" s="74"/>
      <c r="G417" s="1"/>
      <c r="K417" s="42"/>
      <c r="L417" t="str" cm="1">
        <f t="array" ref="L417">IF($K417="","",_xlfn.SWITCH($I417,"Computer",_xlfn.XLOOKUP($K417&amp;"",COMPUTER!$B$3:$B$1009&amp;"",COMPUTER!$I$3:$I$1009,""),"Display",_xlfn.XLOOKUP($K417&amp;"",DISPLAY!$B$3:$B$1000&amp;"",DISPLAY!$J$3:$J$1000,""),"Network Device",_xlfn.XLOOKUP($K417&amp;"",'NETWORK-DEVICES'!$B$3:$B$987&amp;"",'NETWORK-DEVICES'!$I$3:$I$987,""),"Peripheral",_xlfn.XLOOKUP($K417&amp;"",PERIPHERAL!$B$3:$B$954&amp;"",PERIPHERAL!$I$3:$I$954,""),"Utilities",_xlfn.XLOOKUP($K417&amp;"",UTILITIES!$B$3:$B$953&amp;"",UTILITIES!$H$3:$H$953,""),"IOT",_xlfn.XLOOKUP($K417&amp;"",IOT!$B$3:$B$1012&amp;"",IOT!$I$3:$I$1012,""),"SERVER",_xlfn.XLOOKUP($K417&amp;"",SERVER!$B$3:$B$1009&amp;"",SERVER!$I$3:$I$1009,""),""))</f>
        <v/>
      </c>
      <c r="M417" t="str" cm="1">
        <f t="array" ref="M417">IF($K417="","",_xlfn.SWITCH($I417,"Computer",_xlfn.XLOOKUP($K417&amp;"",COMPUTER!$B$3:$B$1009&amp;"",COMPUTER!$J$3:$J$1009,""),"Display",_xlfn.XLOOKUP($K417&amp;"",DISPLAY!$B$3:$B$1000&amp;"",DISPLAY!$K$3:$K$1000,""),"Network Device",_xlfn.XLOOKUP($K417&amp;"",'NETWORK-DEVICES'!$B$3:$B$987&amp;"",'NETWORK-DEVICES'!$I$3:$I$987,""),"Peripheral",_xlfn.XLOOKUP($K417&amp;"",PERIPHERAL!$B$3:$B$954&amp;"",PERIPHERAL!$J$3:$J$954,""),"Utilities",_xlfn.XLOOKUP($K417&amp;"",UTILITIES!$B$3:$B$953&amp;"",UTILITIES!$I$3:$I$953,""),"IOT",_xlfn.XLOOKUP($K417&amp;"",IOT!$B$3:$B$1012&amp;"",IOT!$J$3:$J$1012,""),"Server",_xlfn.XLOOKUP($K417&amp;"",SERVER!$B$3:$B$1009&amp;"",SERVER!$J$3:$J$1009,""),""))</f>
        <v/>
      </c>
      <c r="N417" s="1" t="str" cm="1">
        <f t="array" ref="N417">IF(OR($K417="",$I417="",$J417=""),"",_xlfn.LET(_xlpm.srcCat,_xlfn.SWITCH($I417,"Computer",_xlfn.XLOOKUP($K417&amp;"",COMPUTER!$B$3:$B$1009&amp;"",COMPUTER!$H$3:$H$1009,""),"Display",_xlfn.XLOOKUP($K417&amp;"",DISPLAY!$B$3:$B$1000&amp;"",DISPLAY!$H$3:$H$1000,""),"Network Device",_xlfn.XLOOKUP($K417&amp;"",'NETWORK-DEVICES'!$B$3:$B$987&amp;"",'NETWORK-DEVICES'!$H$3:$H$987,""),"Peripheral",_xlfn.XLOOKUP($K417&amp;"",PERIPHERAL!$B$3:$B$954&amp;"",PERIPHERAL!$H$3:$H$954,""),"Utilities",_xlfn.XLOOKUP($K417&amp;"",UTILITIES!$B$3:$B$953&amp;"",UTILITIES!$G$3:$G$953,""),"IOT",_xlfn.XLOOKUP($K417&amp;"",IOT!$B$3:$B$1012&amp;"",IOT!$H$3:$H$1012,""),"Server",_xlfn.XLOOKUP($K417&amp;"",SERVER!$B$3:$B$1009&amp;"",SERVER!$H$3:$H$1009,""),""),IF(TRIM(_xlpm.srcCat)&lt;&gt;TRIM($J417),"",_xlfn.SWITCH($I417,"Computer",_xlfn.XLOOKUP($K417&amp;"",COMPUTER!$B$3:$B$1009&amp;"",COMPUTER!$K$3:$K$1009,""),"Display",_xlfn.XLOOKUP($K417&amp;"",DISPLAY!$B$3:$B$1000&amp;"",DISPLAY!$L$3:$L$1000,""),"Network Device",_xlfn.XLOOKUP($K417&amp;"",'NETWORK-DEVICES'!$B$3:$B$987&amp;"",'NETWORK-DEVICES'!$K$3:$K$987,""),"Peripheral",_xlfn.XLOOKUP($K417&amp;"",PERIPHERAL!$B$3:$B$954&amp;"",PERIPHERAL!$K$3:$K$954,""),"Utilities",_xlfn.XLOOKUP($K417&amp;"",UTILITIES!$B$3:$B$953&amp;"",UTILITIES!$J$3:$J$953,""),"IOT",_xlfn.XLOOKUP($K417&amp;"",IOT!$B$3:$B$1012&amp;"",IOT!$K$4:$K$1012,""),"Server",_xlfn.XLOOKUP($K417&amp;"",SERVER!$B$3:$B$1009&amp;"",SERVER!$K$3:$K$1009,""),""))))</f>
        <v/>
      </c>
      <c r="O417" s="1" t="str" cm="1">
        <f t="array" ref="O417">IF(OR($K417="",$I417="",$J417=""),"",_xlfn.LET(_xlpm.srcCat,_xlfn.SWITCH($I417,"Computer",_xlfn.XLOOKUP($K417&amp;"",COMPUTER!$B$3:$B$1009&amp;"",COMPUTER!$H$3:$H$1009,""),"Display",_xlfn.XLOOKUP($K417&amp;"",DISPLAY!$B$3:$B$1000&amp;"",DISPLAY!$H$3:$H$1000,""),"Network Device",_xlfn.XLOOKUP($K417&amp;"",'NETWORK-DEVICES'!$B$3:$B$987&amp;"",'NETWORK-DEVICES'!$H$3:$H$987,""),"Peripheral",_xlfn.XLOOKUP($K417&amp;"",PERIPHERAL!$B$3:$B$954&amp;"",PERIPHERAL!$H$3:$H$954,""),"Utilities",_xlfn.XLOOKUP($K417&amp;"",UTILITIES!$B$3:$B$953&amp;"",UTILITIES!$G$3:$G$953,""),"IOT",_xlfn.XLOOKUP($K417&amp;"",IOT!$B$3:$B$1012&amp;"",IOT!$H$3:$H$1012,""),"Server",_xlfn.XLOOKUP($K417&amp;"",SERVER!$B$3:$B$1009&amp;"",SERVER!$H$3:$H$1009,""),""),IF(TRIM(_xlpm.srcCat)&lt;&gt;TRIM($J417),"",_xlfn.SWITCH($I417,"Computer",_xlfn.XLOOKUP($K417&amp;"",COMPUTER!$B$3:$B$1009&amp;"",COMPUTER!$E$3:$E$1009,""),"Display",_xlfn.XLOOKUP($K417&amp;"",DISPLAY!$B$3:$B$1000&amp;"",DISPLAY!$E$3:$E$1000,""),"Network Device",_xlfn.XLOOKUP($K417&amp;"",'NETWORK-DEVICES'!$B$3:$B$987&amp;"",'NETWORK-DEVICES'!$E$3:$E$987,""),"Peripheral",_xlfn.XLOOKUP($K417&amp;"",PERIPHERAL!$B$3:$B$954&amp;"",PERIPHERAL!$E$3:$E$954,""),"Utilities",_xlfn.XLOOKUP($K417&amp;"",UTILITIES!$B$3:$B$953&amp;"",UTILITIES!$E$3:$E$953,""),"IOT",_xlfn.XLOOKUP($K417&amp;"",IOT!$B$3:$B$1012&amp;"",IOT!$E$3:$E$1012,""),"Server",_xlfn.XLOOKUP($K417&amp;"",SERVER!$B$3:$B$1009&amp;"",SERVER!$E$3:$E$1009,""),""))))</f>
        <v/>
      </c>
      <c r="Q417" s="1" t="str" cm="1">
        <f t="array" ref="Q417">IF(OR($K417="",$I417="",$J417=""),"",_xlfn.LET(_xlpm.srcCat,_xlfn.SWITCH($I417,"Computer",_xlfn.XLOOKUP($K417&amp;"",COMPUTER!$B$3:$B$1009&amp;"",COMPUTER!$H$3:$H$1009,""),"Display",_xlfn.XLOOKUP($K417&amp;"",DISPLAY!$B$3:$B$1000&amp;"",DISPLAY!$H$3:$H$1000,""),"Network Device",_xlfn.XLOOKUP($K417&amp;"",'NETWORK-DEVICES'!$B$3:$B$987&amp;"",'NETWORK-DEVICES'!$H$3:$H$987,""),"Peripheral",_xlfn.XLOOKUP($K417&amp;"",PERIPHERAL!$B$3:$B$954&amp;"",PERIPHERAL!$H$3:$H$954,""),"Utilities",_xlfn.XLOOKUP($K417&amp;"",UTILITIES!$B$3:$B$953&amp;"",UTILITIES!$G$3:$G$953,""),"IOT",_xlfn.XLOOKUP($K417&amp;"",IOT!$B$3:$B$1012&amp;"",IOT!$H$3:$H$1012,""),"Server",_xlfn.XLOOKUP($K417&amp;"",SERVER!$B$3:$B$1009&amp;"",SERVER!$H$3:$H$1009,""),""),IF(TRIM(_xlpm.srcCat)&lt;&gt;TRIM($J417),"",_xlfn.SWITCH($I417,"Computer",_xlfn.XLOOKUP($K417&amp;"",COMPUTER!$B$3:$B$1009&amp;"",COMPUTER!$AM$3:$AM$1009,""),"Display",_xlfn.XLOOKUP($K417&amp;"",DISPLAY!$B$3:$B$1000&amp;"",DISPLAY!$V$3:$V$1000,""),"Network Device",_xlfn.XLOOKUP($K417&amp;"",'NETWORK-DEVICES'!$B$3:$B$987&amp;"",'NETWORK-DEVICES'!$AF$3:$AF$987,""),"Peripheral",_xlfn.XLOOKUP($K417&amp;"",PERIPHERAL!$B$3:$B$954&amp;"",PERIPHERAL!$Y$3:$Y$954,""),"Utilities",_xlfn.XLOOKUP($K417&amp;"",UTILITIES!$B$3:$B$953&amp;"",UTILITIES!$O$3:$O$953,""),"IOT",_xlfn.XLOOKUP($K417&amp;"",IOT!$B$3:$B$1012&amp;"",IOT!$AB$3:$AB$1012,""),"Server",_xlfn.XLOOKUP($K417&amp;"",SERVER!$B$3:$B$1009&amp;"",SERVER!$AB$3:$AB$1009,""),""))))</f>
        <v/>
      </c>
      <c r="R417" s="43" t="str">
        <f>IF(tbl_handover[[#This Row],[Asset Code]]="","",COUNTIF(tbl_handover[Asset Code],tbl_handover[[#This Row],[Asset Code]]))</f>
        <v/>
      </c>
    </row>
    <row r="418" spans="1:18" x14ac:dyDescent="0.25">
      <c r="A418" s="43" t="str">
        <f>IF(B418&lt;&gt;"",SUBTOTAL(3,$B$1:B417),"")</f>
        <v/>
      </c>
      <c r="C418" s="74"/>
      <c r="D418" s="74"/>
      <c r="G418" s="1"/>
      <c r="K418" s="42"/>
      <c r="L418" t="str" cm="1">
        <f t="array" ref="L418">IF($K418="","",_xlfn.SWITCH($I418,"Computer",_xlfn.XLOOKUP($K418&amp;"",COMPUTER!$B$3:$B$1009&amp;"",COMPUTER!$I$3:$I$1009,""),"Display",_xlfn.XLOOKUP($K418&amp;"",DISPLAY!$B$3:$B$1000&amp;"",DISPLAY!$J$3:$J$1000,""),"Network Device",_xlfn.XLOOKUP($K418&amp;"",'NETWORK-DEVICES'!$B$3:$B$987&amp;"",'NETWORK-DEVICES'!$I$3:$I$987,""),"Peripheral",_xlfn.XLOOKUP($K418&amp;"",PERIPHERAL!$B$3:$B$954&amp;"",PERIPHERAL!$I$3:$I$954,""),"Utilities",_xlfn.XLOOKUP($K418&amp;"",UTILITIES!$B$3:$B$953&amp;"",UTILITIES!$H$3:$H$953,""),"IOT",_xlfn.XLOOKUP($K418&amp;"",IOT!$B$3:$B$1012&amp;"",IOT!$I$3:$I$1012,""),"SERVER",_xlfn.XLOOKUP($K418&amp;"",SERVER!$B$3:$B$1009&amp;"",SERVER!$I$3:$I$1009,""),""))</f>
        <v/>
      </c>
      <c r="M418" t="str" cm="1">
        <f t="array" ref="M418">IF($K418="","",_xlfn.SWITCH($I418,"Computer",_xlfn.XLOOKUP($K418&amp;"",COMPUTER!$B$3:$B$1009&amp;"",COMPUTER!$J$3:$J$1009,""),"Display",_xlfn.XLOOKUP($K418&amp;"",DISPLAY!$B$3:$B$1000&amp;"",DISPLAY!$K$3:$K$1000,""),"Network Device",_xlfn.XLOOKUP($K418&amp;"",'NETWORK-DEVICES'!$B$3:$B$987&amp;"",'NETWORK-DEVICES'!$I$3:$I$987,""),"Peripheral",_xlfn.XLOOKUP($K418&amp;"",PERIPHERAL!$B$3:$B$954&amp;"",PERIPHERAL!$J$3:$J$954,""),"Utilities",_xlfn.XLOOKUP($K418&amp;"",UTILITIES!$B$3:$B$953&amp;"",UTILITIES!$I$3:$I$953,""),"IOT",_xlfn.XLOOKUP($K418&amp;"",IOT!$B$3:$B$1012&amp;"",IOT!$J$3:$J$1012,""),"Server",_xlfn.XLOOKUP($K418&amp;"",SERVER!$B$3:$B$1009&amp;"",SERVER!$J$3:$J$1009,""),""))</f>
        <v/>
      </c>
      <c r="N418" s="1" t="str" cm="1">
        <f t="array" ref="N418">IF(OR($K418="",$I418="",$J418=""),"",_xlfn.LET(_xlpm.srcCat,_xlfn.SWITCH($I418,"Computer",_xlfn.XLOOKUP($K418&amp;"",COMPUTER!$B$3:$B$1009&amp;"",COMPUTER!$H$3:$H$1009,""),"Display",_xlfn.XLOOKUP($K418&amp;"",DISPLAY!$B$3:$B$1000&amp;"",DISPLAY!$H$3:$H$1000,""),"Network Device",_xlfn.XLOOKUP($K418&amp;"",'NETWORK-DEVICES'!$B$3:$B$987&amp;"",'NETWORK-DEVICES'!$H$3:$H$987,""),"Peripheral",_xlfn.XLOOKUP($K418&amp;"",PERIPHERAL!$B$3:$B$954&amp;"",PERIPHERAL!$H$3:$H$954,""),"Utilities",_xlfn.XLOOKUP($K418&amp;"",UTILITIES!$B$3:$B$953&amp;"",UTILITIES!$G$3:$G$953,""),"IOT",_xlfn.XLOOKUP($K418&amp;"",IOT!$B$3:$B$1012&amp;"",IOT!$H$3:$H$1012,""),"Server",_xlfn.XLOOKUP($K418&amp;"",SERVER!$B$3:$B$1009&amp;"",SERVER!$H$3:$H$1009,""),""),IF(TRIM(_xlpm.srcCat)&lt;&gt;TRIM($J418),"",_xlfn.SWITCH($I418,"Computer",_xlfn.XLOOKUP($K418&amp;"",COMPUTER!$B$3:$B$1009&amp;"",COMPUTER!$K$3:$K$1009,""),"Display",_xlfn.XLOOKUP($K418&amp;"",DISPLAY!$B$3:$B$1000&amp;"",DISPLAY!$L$3:$L$1000,""),"Network Device",_xlfn.XLOOKUP($K418&amp;"",'NETWORK-DEVICES'!$B$3:$B$987&amp;"",'NETWORK-DEVICES'!$K$3:$K$987,""),"Peripheral",_xlfn.XLOOKUP($K418&amp;"",PERIPHERAL!$B$3:$B$954&amp;"",PERIPHERAL!$K$3:$K$954,""),"Utilities",_xlfn.XLOOKUP($K418&amp;"",UTILITIES!$B$3:$B$953&amp;"",UTILITIES!$J$3:$J$953,""),"IOT",_xlfn.XLOOKUP($K418&amp;"",IOT!$B$3:$B$1012&amp;"",IOT!$K$4:$K$1012,""),"Server",_xlfn.XLOOKUP($K418&amp;"",SERVER!$B$3:$B$1009&amp;"",SERVER!$K$3:$K$1009,""),""))))</f>
        <v/>
      </c>
      <c r="O418" s="1" t="str" cm="1">
        <f t="array" ref="O418">IF(OR($K418="",$I418="",$J418=""),"",_xlfn.LET(_xlpm.srcCat,_xlfn.SWITCH($I418,"Computer",_xlfn.XLOOKUP($K418&amp;"",COMPUTER!$B$3:$B$1009&amp;"",COMPUTER!$H$3:$H$1009,""),"Display",_xlfn.XLOOKUP($K418&amp;"",DISPLAY!$B$3:$B$1000&amp;"",DISPLAY!$H$3:$H$1000,""),"Network Device",_xlfn.XLOOKUP($K418&amp;"",'NETWORK-DEVICES'!$B$3:$B$987&amp;"",'NETWORK-DEVICES'!$H$3:$H$987,""),"Peripheral",_xlfn.XLOOKUP($K418&amp;"",PERIPHERAL!$B$3:$B$954&amp;"",PERIPHERAL!$H$3:$H$954,""),"Utilities",_xlfn.XLOOKUP($K418&amp;"",UTILITIES!$B$3:$B$953&amp;"",UTILITIES!$G$3:$G$953,""),"IOT",_xlfn.XLOOKUP($K418&amp;"",IOT!$B$3:$B$1012&amp;"",IOT!$H$3:$H$1012,""),"Server",_xlfn.XLOOKUP($K418&amp;"",SERVER!$B$3:$B$1009&amp;"",SERVER!$H$3:$H$1009,""),""),IF(TRIM(_xlpm.srcCat)&lt;&gt;TRIM($J418),"",_xlfn.SWITCH($I418,"Computer",_xlfn.XLOOKUP($K418&amp;"",COMPUTER!$B$3:$B$1009&amp;"",COMPUTER!$E$3:$E$1009,""),"Display",_xlfn.XLOOKUP($K418&amp;"",DISPLAY!$B$3:$B$1000&amp;"",DISPLAY!$E$3:$E$1000,""),"Network Device",_xlfn.XLOOKUP($K418&amp;"",'NETWORK-DEVICES'!$B$3:$B$987&amp;"",'NETWORK-DEVICES'!$E$3:$E$987,""),"Peripheral",_xlfn.XLOOKUP($K418&amp;"",PERIPHERAL!$B$3:$B$954&amp;"",PERIPHERAL!$E$3:$E$954,""),"Utilities",_xlfn.XLOOKUP($K418&amp;"",UTILITIES!$B$3:$B$953&amp;"",UTILITIES!$E$3:$E$953,""),"IOT",_xlfn.XLOOKUP($K418&amp;"",IOT!$B$3:$B$1012&amp;"",IOT!$E$3:$E$1012,""),"Server",_xlfn.XLOOKUP($K418&amp;"",SERVER!$B$3:$B$1009&amp;"",SERVER!$E$3:$E$1009,""),""))))</f>
        <v/>
      </c>
      <c r="Q418" s="1" t="str" cm="1">
        <f t="array" ref="Q418">IF(OR($K418="",$I418="",$J418=""),"",_xlfn.LET(_xlpm.srcCat,_xlfn.SWITCH($I418,"Computer",_xlfn.XLOOKUP($K418&amp;"",COMPUTER!$B$3:$B$1009&amp;"",COMPUTER!$H$3:$H$1009,""),"Display",_xlfn.XLOOKUP($K418&amp;"",DISPLAY!$B$3:$B$1000&amp;"",DISPLAY!$H$3:$H$1000,""),"Network Device",_xlfn.XLOOKUP($K418&amp;"",'NETWORK-DEVICES'!$B$3:$B$987&amp;"",'NETWORK-DEVICES'!$H$3:$H$987,""),"Peripheral",_xlfn.XLOOKUP($K418&amp;"",PERIPHERAL!$B$3:$B$954&amp;"",PERIPHERAL!$H$3:$H$954,""),"Utilities",_xlfn.XLOOKUP($K418&amp;"",UTILITIES!$B$3:$B$953&amp;"",UTILITIES!$G$3:$G$953,""),"IOT",_xlfn.XLOOKUP($K418&amp;"",IOT!$B$3:$B$1012&amp;"",IOT!$H$3:$H$1012,""),"Server",_xlfn.XLOOKUP($K418&amp;"",SERVER!$B$3:$B$1009&amp;"",SERVER!$H$3:$H$1009,""),""),IF(TRIM(_xlpm.srcCat)&lt;&gt;TRIM($J418),"",_xlfn.SWITCH($I418,"Computer",_xlfn.XLOOKUP($K418&amp;"",COMPUTER!$B$3:$B$1009&amp;"",COMPUTER!$AM$3:$AM$1009,""),"Display",_xlfn.XLOOKUP($K418&amp;"",DISPLAY!$B$3:$B$1000&amp;"",DISPLAY!$V$3:$V$1000,""),"Network Device",_xlfn.XLOOKUP($K418&amp;"",'NETWORK-DEVICES'!$B$3:$B$987&amp;"",'NETWORK-DEVICES'!$AF$3:$AF$987,""),"Peripheral",_xlfn.XLOOKUP($K418&amp;"",PERIPHERAL!$B$3:$B$954&amp;"",PERIPHERAL!$Y$3:$Y$954,""),"Utilities",_xlfn.XLOOKUP($K418&amp;"",UTILITIES!$B$3:$B$953&amp;"",UTILITIES!$O$3:$O$953,""),"IOT",_xlfn.XLOOKUP($K418&amp;"",IOT!$B$3:$B$1012&amp;"",IOT!$AB$3:$AB$1012,""),"Server",_xlfn.XLOOKUP($K418&amp;"",SERVER!$B$3:$B$1009&amp;"",SERVER!$AB$3:$AB$1009,""),""))))</f>
        <v/>
      </c>
      <c r="R418" s="43" t="str">
        <f>IF(tbl_handover[[#This Row],[Asset Code]]="","",COUNTIF(tbl_handover[Asset Code],tbl_handover[[#This Row],[Asset Code]]))</f>
        <v/>
      </c>
    </row>
    <row r="419" spans="1:18" x14ac:dyDescent="0.25">
      <c r="A419" s="43" t="str">
        <f>IF(B419&lt;&gt;"",SUBTOTAL(3,$B$1:B418),"")</f>
        <v/>
      </c>
      <c r="C419" s="74"/>
      <c r="D419" s="74"/>
      <c r="G419" s="1"/>
      <c r="K419" s="42"/>
      <c r="L419" t="str" cm="1">
        <f t="array" ref="L419">IF($K419="","",_xlfn.SWITCH($I419,"Computer",_xlfn.XLOOKUP($K419&amp;"",COMPUTER!$B$3:$B$1009&amp;"",COMPUTER!$I$3:$I$1009,""),"Display",_xlfn.XLOOKUP($K419&amp;"",DISPLAY!$B$3:$B$1000&amp;"",DISPLAY!$J$3:$J$1000,""),"Network Device",_xlfn.XLOOKUP($K419&amp;"",'NETWORK-DEVICES'!$B$3:$B$987&amp;"",'NETWORK-DEVICES'!$I$3:$I$987,""),"Peripheral",_xlfn.XLOOKUP($K419&amp;"",PERIPHERAL!$B$3:$B$954&amp;"",PERIPHERAL!$I$3:$I$954,""),"Utilities",_xlfn.XLOOKUP($K419&amp;"",UTILITIES!$B$3:$B$953&amp;"",UTILITIES!$H$3:$H$953,""),"IOT",_xlfn.XLOOKUP($K419&amp;"",IOT!$B$3:$B$1012&amp;"",IOT!$I$3:$I$1012,""),"SERVER",_xlfn.XLOOKUP($K419&amp;"",SERVER!$B$3:$B$1009&amp;"",SERVER!$I$3:$I$1009,""),""))</f>
        <v/>
      </c>
      <c r="M419" t="str" cm="1">
        <f t="array" ref="M419">IF($K419="","",_xlfn.SWITCH($I419,"Computer",_xlfn.XLOOKUP($K419&amp;"",COMPUTER!$B$3:$B$1009&amp;"",COMPUTER!$J$3:$J$1009,""),"Display",_xlfn.XLOOKUP($K419&amp;"",DISPLAY!$B$3:$B$1000&amp;"",DISPLAY!$K$3:$K$1000,""),"Network Device",_xlfn.XLOOKUP($K419&amp;"",'NETWORK-DEVICES'!$B$3:$B$987&amp;"",'NETWORK-DEVICES'!$I$3:$I$987,""),"Peripheral",_xlfn.XLOOKUP($K419&amp;"",PERIPHERAL!$B$3:$B$954&amp;"",PERIPHERAL!$J$3:$J$954,""),"Utilities",_xlfn.XLOOKUP($K419&amp;"",UTILITIES!$B$3:$B$953&amp;"",UTILITIES!$I$3:$I$953,""),"IOT",_xlfn.XLOOKUP($K419&amp;"",IOT!$B$3:$B$1012&amp;"",IOT!$J$3:$J$1012,""),"Server",_xlfn.XLOOKUP($K419&amp;"",SERVER!$B$3:$B$1009&amp;"",SERVER!$J$3:$J$1009,""),""))</f>
        <v/>
      </c>
      <c r="N419" s="1" t="str" cm="1">
        <f t="array" ref="N419">IF(OR($K419="",$I419="",$J419=""),"",_xlfn.LET(_xlpm.srcCat,_xlfn.SWITCH($I419,"Computer",_xlfn.XLOOKUP($K419&amp;"",COMPUTER!$B$3:$B$1009&amp;"",COMPUTER!$H$3:$H$1009,""),"Display",_xlfn.XLOOKUP($K419&amp;"",DISPLAY!$B$3:$B$1000&amp;"",DISPLAY!$H$3:$H$1000,""),"Network Device",_xlfn.XLOOKUP($K419&amp;"",'NETWORK-DEVICES'!$B$3:$B$987&amp;"",'NETWORK-DEVICES'!$H$3:$H$987,""),"Peripheral",_xlfn.XLOOKUP($K419&amp;"",PERIPHERAL!$B$3:$B$954&amp;"",PERIPHERAL!$H$3:$H$954,""),"Utilities",_xlfn.XLOOKUP($K419&amp;"",UTILITIES!$B$3:$B$953&amp;"",UTILITIES!$G$3:$G$953,""),"IOT",_xlfn.XLOOKUP($K419&amp;"",IOT!$B$3:$B$1012&amp;"",IOT!$H$3:$H$1012,""),"Server",_xlfn.XLOOKUP($K419&amp;"",SERVER!$B$3:$B$1009&amp;"",SERVER!$H$3:$H$1009,""),""),IF(TRIM(_xlpm.srcCat)&lt;&gt;TRIM($J419),"",_xlfn.SWITCH($I419,"Computer",_xlfn.XLOOKUP($K419&amp;"",COMPUTER!$B$3:$B$1009&amp;"",COMPUTER!$K$3:$K$1009,""),"Display",_xlfn.XLOOKUP($K419&amp;"",DISPLAY!$B$3:$B$1000&amp;"",DISPLAY!$L$3:$L$1000,""),"Network Device",_xlfn.XLOOKUP($K419&amp;"",'NETWORK-DEVICES'!$B$3:$B$987&amp;"",'NETWORK-DEVICES'!$K$3:$K$987,""),"Peripheral",_xlfn.XLOOKUP($K419&amp;"",PERIPHERAL!$B$3:$B$954&amp;"",PERIPHERAL!$K$3:$K$954,""),"Utilities",_xlfn.XLOOKUP($K419&amp;"",UTILITIES!$B$3:$B$953&amp;"",UTILITIES!$J$3:$J$953,""),"IOT",_xlfn.XLOOKUP($K419&amp;"",IOT!$B$3:$B$1012&amp;"",IOT!$K$4:$K$1012,""),"Server",_xlfn.XLOOKUP($K419&amp;"",SERVER!$B$3:$B$1009&amp;"",SERVER!$K$3:$K$1009,""),""))))</f>
        <v/>
      </c>
      <c r="O419" s="1" t="str" cm="1">
        <f t="array" ref="O419">IF(OR($K419="",$I419="",$J419=""),"",_xlfn.LET(_xlpm.srcCat,_xlfn.SWITCH($I419,"Computer",_xlfn.XLOOKUP($K419&amp;"",COMPUTER!$B$3:$B$1009&amp;"",COMPUTER!$H$3:$H$1009,""),"Display",_xlfn.XLOOKUP($K419&amp;"",DISPLAY!$B$3:$B$1000&amp;"",DISPLAY!$H$3:$H$1000,""),"Network Device",_xlfn.XLOOKUP($K419&amp;"",'NETWORK-DEVICES'!$B$3:$B$987&amp;"",'NETWORK-DEVICES'!$H$3:$H$987,""),"Peripheral",_xlfn.XLOOKUP($K419&amp;"",PERIPHERAL!$B$3:$B$954&amp;"",PERIPHERAL!$H$3:$H$954,""),"Utilities",_xlfn.XLOOKUP($K419&amp;"",UTILITIES!$B$3:$B$953&amp;"",UTILITIES!$G$3:$G$953,""),"IOT",_xlfn.XLOOKUP($K419&amp;"",IOT!$B$3:$B$1012&amp;"",IOT!$H$3:$H$1012,""),"Server",_xlfn.XLOOKUP($K419&amp;"",SERVER!$B$3:$B$1009&amp;"",SERVER!$H$3:$H$1009,""),""),IF(TRIM(_xlpm.srcCat)&lt;&gt;TRIM($J419),"",_xlfn.SWITCH($I419,"Computer",_xlfn.XLOOKUP($K419&amp;"",COMPUTER!$B$3:$B$1009&amp;"",COMPUTER!$E$3:$E$1009,""),"Display",_xlfn.XLOOKUP($K419&amp;"",DISPLAY!$B$3:$B$1000&amp;"",DISPLAY!$E$3:$E$1000,""),"Network Device",_xlfn.XLOOKUP($K419&amp;"",'NETWORK-DEVICES'!$B$3:$B$987&amp;"",'NETWORK-DEVICES'!$E$3:$E$987,""),"Peripheral",_xlfn.XLOOKUP($K419&amp;"",PERIPHERAL!$B$3:$B$954&amp;"",PERIPHERAL!$E$3:$E$954,""),"Utilities",_xlfn.XLOOKUP($K419&amp;"",UTILITIES!$B$3:$B$953&amp;"",UTILITIES!$E$3:$E$953,""),"IOT",_xlfn.XLOOKUP($K419&amp;"",IOT!$B$3:$B$1012&amp;"",IOT!$E$3:$E$1012,""),"Server",_xlfn.XLOOKUP($K419&amp;"",SERVER!$B$3:$B$1009&amp;"",SERVER!$E$3:$E$1009,""),""))))</f>
        <v/>
      </c>
      <c r="Q419" s="1" t="str" cm="1">
        <f t="array" ref="Q419">IF(OR($K419="",$I419="",$J419=""),"",_xlfn.LET(_xlpm.srcCat,_xlfn.SWITCH($I419,"Computer",_xlfn.XLOOKUP($K419&amp;"",COMPUTER!$B$3:$B$1009&amp;"",COMPUTER!$H$3:$H$1009,""),"Display",_xlfn.XLOOKUP($K419&amp;"",DISPLAY!$B$3:$B$1000&amp;"",DISPLAY!$H$3:$H$1000,""),"Network Device",_xlfn.XLOOKUP($K419&amp;"",'NETWORK-DEVICES'!$B$3:$B$987&amp;"",'NETWORK-DEVICES'!$H$3:$H$987,""),"Peripheral",_xlfn.XLOOKUP($K419&amp;"",PERIPHERAL!$B$3:$B$954&amp;"",PERIPHERAL!$H$3:$H$954,""),"Utilities",_xlfn.XLOOKUP($K419&amp;"",UTILITIES!$B$3:$B$953&amp;"",UTILITIES!$G$3:$G$953,""),"IOT",_xlfn.XLOOKUP($K419&amp;"",IOT!$B$3:$B$1012&amp;"",IOT!$H$3:$H$1012,""),"Server",_xlfn.XLOOKUP($K419&amp;"",SERVER!$B$3:$B$1009&amp;"",SERVER!$H$3:$H$1009,""),""),IF(TRIM(_xlpm.srcCat)&lt;&gt;TRIM($J419),"",_xlfn.SWITCH($I419,"Computer",_xlfn.XLOOKUP($K419&amp;"",COMPUTER!$B$3:$B$1009&amp;"",COMPUTER!$AM$3:$AM$1009,""),"Display",_xlfn.XLOOKUP($K419&amp;"",DISPLAY!$B$3:$B$1000&amp;"",DISPLAY!$V$3:$V$1000,""),"Network Device",_xlfn.XLOOKUP($K419&amp;"",'NETWORK-DEVICES'!$B$3:$B$987&amp;"",'NETWORK-DEVICES'!$AF$3:$AF$987,""),"Peripheral",_xlfn.XLOOKUP($K419&amp;"",PERIPHERAL!$B$3:$B$954&amp;"",PERIPHERAL!$Y$3:$Y$954,""),"Utilities",_xlfn.XLOOKUP($K419&amp;"",UTILITIES!$B$3:$B$953&amp;"",UTILITIES!$O$3:$O$953,""),"IOT",_xlfn.XLOOKUP($K419&amp;"",IOT!$B$3:$B$1012&amp;"",IOT!$AB$3:$AB$1012,""),"Server",_xlfn.XLOOKUP($K419&amp;"",SERVER!$B$3:$B$1009&amp;"",SERVER!$AB$3:$AB$1009,""),""))))</f>
        <v/>
      </c>
      <c r="R419" s="43" t="str">
        <f>IF(tbl_handover[[#This Row],[Asset Code]]="","",COUNTIF(tbl_handover[Asset Code],tbl_handover[[#This Row],[Asset Code]]))</f>
        <v/>
      </c>
    </row>
    <row r="420" spans="1:18" x14ac:dyDescent="0.25">
      <c r="A420" s="43" t="str">
        <f>IF(B420&lt;&gt;"",SUBTOTAL(3,$B$1:B419),"")</f>
        <v/>
      </c>
      <c r="C420" s="74"/>
      <c r="D420" s="74"/>
      <c r="G420" s="1"/>
      <c r="K420" s="42"/>
      <c r="L420" t="str" cm="1">
        <f t="array" ref="L420">IF($K420="","",_xlfn.SWITCH($I420,"Computer",_xlfn.XLOOKUP($K420&amp;"",COMPUTER!$B$3:$B$1009&amp;"",COMPUTER!$I$3:$I$1009,""),"Display",_xlfn.XLOOKUP($K420&amp;"",DISPLAY!$B$3:$B$1000&amp;"",DISPLAY!$J$3:$J$1000,""),"Network Device",_xlfn.XLOOKUP($K420&amp;"",'NETWORK-DEVICES'!$B$3:$B$987&amp;"",'NETWORK-DEVICES'!$I$3:$I$987,""),"Peripheral",_xlfn.XLOOKUP($K420&amp;"",PERIPHERAL!$B$3:$B$954&amp;"",PERIPHERAL!$I$3:$I$954,""),"Utilities",_xlfn.XLOOKUP($K420&amp;"",UTILITIES!$B$3:$B$953&amp;"",UTILITIES!$H$3:$H$953,""),"IOT",_xlfn.XLOOKUP($K420&amp;"",IOT!$B$3:$B$1012&amp;"",IOT!$I$3:$I$1012,""),"SERVER",_xlfn.XLOOKUP($K420&amp;"",SERVER!$B$3:$B$1009&amp;"",SERVER!$I$3:$I$1009,""),""))</f>
        <v/>
      </c>
      <c r="M420" t="str" cm="1">
        <f t="array" ref="M420">IF($K420="","",_xlfn.SWITCH($I420,"Computer",_xlfn.XLOOKUP($K420&amp;"",COMPUTER!$B$3:$B$1009&amp;"",COMPUTER!$J$3:$J$1009,""),"Display",_xlfn.XLOOKUP($K420&amp;"",DISPLAY!$B$3:$B$1000&amp;"",DISPLAY!$K$3:$K$1000,""),"Network Device",_xlfn.XLOOKUP($K420&amp;"",'NETWORK-DEVICES'!$B$3:$B$987&amp;"",'NETWORK-DEVICES'!$I$3:$I$987,""),"Peripheral",_xlfn.XLOOKUP($K420&amp;"",PERIPHERAL!$B$3:$B$954&amp;"",PERIPHERAL!$J$3:$J$954,""),"Utilities",_xlfn.XLOOKUP($K420&amp;"",UTILITIES!$B$3:$B$953&amp;"",UTILITIES!$I$3:$I$953,""),"IOT",_xlfn.XLOOKUP($K420&amp;"",IOT!$B$3:$B$1012&amp;"",IOT!$J$3:$J$1012,""),"Server",_xlfn.XLOOKUP($K420&amp;"",SERVER!$B$3:$B$1009&amp;"",SERVER!$J$3:$J$1009,""),""))</f>
        <v/>
      </c>
      <c r="N420" s="1" t="str" cm="1">
        <f t="array" ref="N420">IF(OR($K420="",$I420="",$J420=""),"",_xlfn.LET(_xlpm.srcCat,_xlfn.SWITCH($I420,"Computer",_xlfn.XLOOKUP($K420&amp;"",COMPUTER!$B$3:$B$1009&amp;"",COMPUTER!$H$3:$H$1009,""),"Display",_xlfn.XLOOKUP($K420&amp;"",DISPLAY!$B$3:$B$1000&amp;"",DISPLAY!$H$3:$H$1000,""),"Network Device",_xlfn.XLOOKUP($K420&amp;"",'NETWORK-DEVICES'!$B$3:$B$987&amp;"",'NETWORK-DEVICES'!$H$3:$H$987,""),"Peripheral",_xlfn.XLOOKUP($K420&amp;"",PERIPHERAL!$B$3:$B$954&amp;"",PERIPHERAL!$H$3:$H$954,""),"Utilities",_xlfn.XLOOKUP($K420&amp;"",UTILITIES!$B$3:$B$953&amp;"",UTILITIES!$G$3:$G$953,""),"IOT",_xlfn.XLOOKUP($K420&amp;"",IOT!$B$3:$B$1012&amp;"",IOT!$H$3:$H$1012,""),"Server",_xlfn.XLOOKUP($K420&amp;"",SERVER!$B$3:$B$1009&amp;"",SERVER!$H$3:$H$1009,""),""),IF(TRIM(_xlpm.srcCat)&lt;&gt;TRIM($J420),"",_xlfn.SWITCH($I420,"Computer",_xlfn.XLOOKUP($K420&amp;"",COMPUTER!$B$3:$B$1009&amp;"",COMPUTER!$K$3:$K$1009,""),"Display",_xlfn.XLOOKUP($K420&amp;"",DISPLAY!$B$3:$B$1000&amp;"",DISPLAY!$L$3:$L$1000,""),"Network Device",_xlfn.XLOOKUP($K420&amp;"",'NETWORK-DEVICES'!$B$3:$B$987&amp;"",'NETWORK-DEVICES'!$K$3:$K$987,""),"Peripheral",_xlfn.XLOOKUP($K420&amp;"",PERIPHERAL!$B$3:$B$954&amp;"",PERIPHERAL!$K$3:$K$954,""),"Utilities",_xlfn.XLOOKUP($K420&amp;"",UTILITIES!$B$3:$B$953&amp;"",UTILITIES!$J$3:$J$953,""),"IOT",_xlfn.XLOOKUP($K420&amp;"",IOT!$B$3:$B$1012&amp;"",IOT!$K$4:$K$1012,""),"Server",_xlfn.XLOOKUP($K420&amp;"",SERVER!$B$3:$B$1009&amp;"",SERVER!$K$3:$K$1009,""),""))))</f>
        <v/>
      </c>
      <c r="O420" s="1" t="str" cm="1">
        <f t="array" ref="O420">IF(OR($K420="",$I420="",$J420=""),"",_xlfn.LET(_xlpm.srcCat,_xlfn.SWITCH($I420,"Computer",_xlfn.XLOOKUP($K420&amp;"",COMPUTER!$B$3:$B$1009&amp;"",COMPUTER!$H$3:$H$1009,""),"Display",_xlfn.XLOOKUP($K420&amp;"",DISPLAY!$B$3:$B$1000&amp;"",DISPLAY!$H$3:$H$1000,""),"Network Device",_xlfn.XLOOKUP($K420&amp;"",'NETWORK-DEVICES'!$B$3:$B$987&amp;"",'NETWORK-DEVICES'!$H$3:$H$987,""),"Peripheral",_xlfn.XLOOKUP($K420&amp;"",PERIPHERAL!$B$3:$B$954&amp;"",PERIPHERAL!$H$3:$H$954,""),"Utilities",_xlfn.XLOOKUP($K420&amp;"",UTILITIES!$B$3:$B$953&amp;"",UTILITIES!$G$3:$G$953,""),"IOT",_xlfn.XLOOKUP($K420&amp;"",IOT!$B$3:$B$1012&amp;"",IOT!$H$3:$H$1012,""),"Server",_xlfn.XLOOKUP($K420&amp;"",SERVER!$B$3:$B$1009&amp;"",SERVER!$H$3:$H$1009,""),""),IF(TRIM(_xlpm.srcCat)&lt;&gt;TRIM($J420),"",_xlfn.SWITCH($I420,"Computer",_xlfn.XLOOKUP($K420&amp;"",COMPUTER!$B$3:$B$1009&amp;"",COMPUTER!$E$3:$E$1009,""),"Display",_xlfn.XLOOKUP($K420&amp;"",DISPLAY!$B$3:$B$1000&amp;"",DISPLAY!$E$3:$E$1000,""),"Network Device",_xlfn.XLOOKUP($K420&amp;"",'NETWORK-DEVICES'!$B$3:$B$987&amp;"",'NETWORK-DEVICES'!$E$3:$E$987,""),"Peripheral",_xlfn.XLOOKUP($K420&amp;"",PERIPHERAL!$B$3:$B$954&amp;"",PERIPHERAL!$E$3:$E$954,""),"Utilities",_xlfn.XLOOKUP($K420&amp;"",UTILITIES!$B$3:$B$953&amp;"",UTILITIES!$E$3:$E$953,""),"IOT",_xlfn.XLOOKUP($K420&amp;"",IOT!$B$3:$B$1012&amp;"",IOT!$E$3:$E$1012,""),"Server",_xlfn.XLOOKUP($K420&amp;"",SERVER!$B$3:$B$1009&amp;"",SERVER!$E$3:$E$1009,""),""))))</f>
        <v/>
      </c>
      <c r="Q420" s="1" t="str" cm="1">
        <f t="array" ref="Q420">IF(OR($K420="",$I420="",$J420=""),"",_xlfn.LET(_xlpm.srcCat,_xlfn.SWITCH($I420,"Computer",_xlfn.XLOOKUP($K420&amp;"",COMPUTER!$B$3:$B$1009&amp;"",COMPUTER!$H$3:$H$1009,""),"Display",_xlfn.XLOOKUP($K420&amp;"",DISPLAY!$B$3:$B$1000&amp;"",DISPLAY!$H$3:$H$1000,""),"Network Device",_xlfn.XLOOKUP($K420&amp;"",'NETWORK-DEVICES'!$B$3:$B$987&amp;"",'NETWORK-DEVICES'!$H$3:$H$987,""),"Peripheral",_xlfn.XLOOKUP($K420&amp;"",PERIPHERAL!$B$3:$B$954&amp;"",PERIPHERAL!$H$3:$H$954,""),"Utilities",_xlfn.XLOOKUP($K420&amp;"",UTILITIES!$B$3:$B$953&amp;"",UTILITIES!$G$3:$G$953,""),"IOT",_xlfn.XLOOKUP($K420&amp;"",IOT!$B$3:$B$1012&amp;"",IOT!$H$3:$H$1012,""),"Server",_xlfn.XLOOKUP($K420&amp;"",SERVER!$B$3:$B$1009&amp;"",SERVER!$H$3:$H$1009,""),""),IF(TRIM(_xlpm.srcCat)&lt;&gt;TRIM($J420),"",_xlfn.SWITCH($I420,"Computer",_xlfn.XLOOKUP($K420&amp;"",COMPUTER!$B$3:$B$1009&amp;"",COMPUTER!$AM$3:$AM$1009,""),"Display",_xlfn.XLOOKUP($K420&amp;"",DISPLAY!$B$3:$B$1000&amp;"",DISPLAY!$V$3:$V$1000,""),"Network Device",_xlfn.XLOOKUP($K420&amp;"",'NETWORK-DEVICES'!$B$3:$B$987&amp;"",'NETWORK-DEVICES'!$AF$3:$AF$987,""),"Peripheral",_xlfn.XLOOKUP($K420&amp;"",PERIPHERAL!$B$3:$B$954&amp;"",PERIPHERAL!$Y$3:$Y$954,""),"Utilities",_xlfn.XLOOKUP($K420&amp;"",UTILITIES!$B$3:$B$953&amp;"",UTILITIES!$O$3:$O$953,""),"IOT",_xlfn.XLOOKUP($K420&amp;"",IOT!$B$3:$B$1012&amp;"",IOT!$AB$3:$AB$1012,""),"Server",_xlfn.XLOOKUP($K420&amp;"",SERVER!$B$3:$B$1009&amp;"",SERVER!$AB$3:$AB$1009,""),""))))</f>
        <v/>
      </c>
      <c r="R420" s="43" t="str">
        <f>IF(tbl_handover[[#This Row],[Asset Code]]="","",COUNTIF(tbl_handover[Asset Code],tbl_handover[[#This Row],[Asset Code]]))</f>
        <v/>
      </c>
    </row>
    <row r="421" spans="1:18" x14ac:dyDescent="0.25">
      <c r="A421" s="43" t="str">
        <f>IF(B421&lt;&gt;"",SUBTOTAL(3,$B$1:B420),"")</f>
        <v/>
      </c>
      <c r="C421" s="74"/>
      <c r="D421" s="74"/>
      <c r="G421" s="1"/>
      <c r="K421" s="42"/>
      <c r="L421" t="str" cm="1">
        <f t="array" ref="L421">IF($K421="","",_xlfn.SWITCH($I421,"Computer",_xlfn.XLOOKUP($K421&amp;"",COMPUTER!$B$3:$B$1009&amp;"",COMPUTER!$I$3:$I$1009,""),"Display",_xlfn.XLOOKUP($K421&amp;"",DISPLAY!$B$3:$B$1000&amp;"",DISPLAY!$J$3:$J$1000,""),"Network Device",_xlfn.XLOOKUP($K421&amp;"",'NETWORK-DEVICES'!$B$3:$B$987&amp;"",'NETWORK-DEVICES'!$I$3:$I$987,""),"Peripheral",_xlfn.XLOOKUP($K421&amp;"",PERIPHERAL!$B$3:$B$954&amp;"",PERIPHERAL!$I$3:$I$954,""),"Utilities",_xlfn.XLOOKUP($K421&amp;"",UTILITIES!$B$3:$B$953&amp;"",UTILITIES!$H$3:$H$953,""),"IOT",_xlfn.XLOOKUP($K421&amp;"",IOT!$B$3:$B$1012&amp;"",IOT!$I$3:$I$1012,""),"SERVER",_xlfn.XLOOKUP($K421&amp;"",SERVER!$B$3:$B$1009&amp;"",SERVER!$I$3:$I$1009,""),""))</f>
        <v/>
      </c>
      <c r="M421" t="str" cm="1">
        <f t="array" ref="M421">IF($K421="","",_xlfn.SWITCH($I421,"Computer",_xlfn.XLOOKUP($K421&amp;"",COMPUTER!$B$3:$B$1009&amp;"",COMPUTER!$J$3:$J$1009,""),"Display",_xlfn.XLOOKUP($K421&amp;"",DISPLAY!$B$3:$B$1000&amp;"",DISPLAY!$K$3:$K$1000,""),"Network Device",_xlfn.XLOOKUP($K421&amp;"",'NETWORK-DEVICES'!$B$3:$B$987&amp;"",'NETWORK-DEVICES'!$I$3:$I$987,""),"Peripheral",_xlfn.XLOOKUP($K421&amp;"",PERIPHERAL!$B$3:$B$954&amp;"",PERIPHERAL!$J$3:$J$954,""),"Utilities",_xlfn.XLOOKUP($K421&amp;"",UTILITIES!$B$3:$B$953&amp;"",UTILITIES!$I$3:$I$953,""),"IOT",_xlfn.XLOOKUP($K421&amp;"",IOT!$B$3:$B$1012&amp;"",IOT!$J$3:$J$1012,""),"Server",_xlfn.XLOOKUP($K421&amp;"",SERVER!$B$3:$B$1009&amp;"",SERVER!$J$3:$J$1009,""),""))</f>
        <v/>
      </c>
      <c r="N421" s="1" t="str" cm="1">
        <f t="array" ref="N421">IF(OR($K421="",$I421="",$J421=""),"",_xlfn.LET(_xlpm.srcCat,_xlfn.SWITCH($I421,"Computer",_xlfn.XLOOKUP($K421&amp;"",COMPUTER!$B$3:$B$1009&amp;"",COMPUTER!$H$3:$H$1009,""),"Display",_xlfn.XLOOKUP($K421&amp;"",DISPLAY!$B$3:$B$1000&amp;"",DISPLAY!$H$3:$H$1000,""),"Network Device",_xlfn.XLOOKUP($K421&amp;"",'NETWORK-DEVICES'!$B$3:$B$987&amp;"",'NETWORK-DEVICES'!$H$3:$H$987,""),"Peripheral",_xlfn.XLOOKUP($K421&amp;"",PERIPHERAL!$B$3:$B$954&amp;"",PERIPHERAL!$H$3:$H$954,""),"Utilities",_xlfn.XLOOKUP($K421&amp;"",UTILITIES!$B$3:$B$953&amp;"",UTILITIES!$G$3:$G$953,""),"IOT",_xlfn.XLOOKUP($K421&amp;"",IOT!$B$3:$B$1012&amp;"",IOT!$H$3:$H$1012,""),"Server",_xlfn.XLOOKUP($K421&amp;"",SERVER!$B$3:$B$1009&amp;"",SERVER!$H$3:$H$1009,""),""),IF(TRIM(_xlpm.srcCat)&lt;&gt;TRIM($J421),"",_xlfn.SWITCH($I421,"Computer",_xlfn.XLOOKUP($K421&amp;"",COMPUTER!$B$3:$B$1009&amp;"",COMPUTER!$K$3:$K$1009,""),"Display",_xlfn.XLOOKUP($K421&amp;"",DISPLAY!$B$3:$B$1000&amp;"",DISPLAY!$L$3:$L$1000,""),"Network Device",_xlfn.XLOOKUP($K421&amp;"",'NETWORK-DEVICES'!$B$3:$B$987&amp;"",'NETWORK-DEVICES'!$K$3:$K$987,""),"Peripheral",_xlfn.XLOOKUP($K421&amp;"",PERIPHERAL!$B$3:$B$954&amp;"",PERIPHERAL!$K$3:$K$954,""),"Utilities",_xlfn.XLOOKUP($K421&amp;"",UTILITIES!$B$3:$B$953&amp;"",UTILITIES!$J$3:$J$953,""),"IOT",_xlfn.XLOOKUP($K421&amp;"",IOT!$B$3:$B$1012&amp;"",IOT!$K$4:$K$1012,""),"Server",_xlfn.XLOOKUP($K421&amp;"",SERVER!$B$3:$B$1009&amp;"",SERVER!$K$3:$K$1009,""),""))))</f>
        <v/>
      </c>
      <c r="O421" s="1" t="str" cm="1">
        <f t="array" ref="O421">IF(OR($K421="",$I421="",$J421=""),"",_xlfn.LET(_xlpm.srcCat,_xlfn.SWITCH($I421,"Computer",_xlfn.XLOOKUP($K421&amp;"",COMPUTER!$B$3:$B$1009&amp;"",COMPUTER!$H$3:$H$1009,""),"Display",_xlfn.XLOOKUP($K421&amp;"",DISPLAY!$B$3:$B$1000&amp;"",DISPLAY!$H$3:$H$1000,""),"Network Device",_xlfn.XLOOKUP($K421&amp;"",'NETWORK-DEVICES'!$B$3:$B$987&amp;"",'NETWORK-DEVICES'!$H$3:$H$987,""),"Peripheral",_xlfn.XLOOKUP($K421&amp;"",PERIPHERAL!$B$3:$B$954&amp;"",PERIPHERAL!$H$3:$H$954,""),"Utilities",_xlfn.XLOOKUP($K421&amp;"",UTILITIES!$B$3:$B$953&amp;"",UTILITIES!$G$3:$G$953,""),"IOT",_xlfn.XLOOKUP($K421&amp;"",IOT!$B$3:$B$1012&amp;"",IOT!$H$3:$H$1012,""),"Server",_xlfn.XLOOKUP($K421&amp;"",SERVER!$B$3:$B$1009&amp;"",SERVER!$H$3:$H$1009,""),""),IF(TRIM(_xlpm.srcCat)&lt;&gt;TRIM($J421),"",_xlfn.SWITCH($I421,"Computer",_xlfn.XLOOKUP($K421&amp;"",COMPUTER!$B$3:$B$1009&amp;"",COMPUTER!$E$3:$E$1009,""),"Display",_xlfn.XLOOKUP($K421&amp;"",DISPLAY!$B$3:$B$1000&amp;"",DISPLAY!$E$3:$E$1000,""),"Network Device",_xlfn.XLOOKUP($K421&amp;"",'NETWORK-DEVICES'!$B$3:$B$987&amp;"",'NETWORK-DEVICES'!$E$3:$E$987,""),"Peripheral",_xlfn.XLOOKUP($K421&amp;"",PERIPHERAL!$B$3:$B$954&amp;"",PERIPHERAL!$E$3:$E$954,""),"Utilities",_xlfn.XLOOKUP($K421&amp;"",UTILITIES!$B$3:$B$953&amp;"",UTILITIES!$E$3:$E$953,""),"IOT",_xlfn.XLOOKUP($K421&amp;"",IOT!$B$3:$B$1012&amp;"",IOT!$E$3:$E$1012,""),"Server",_xlfn.XLOOKUP($K421&amp;"",SERVER!$B$3:$B$1009&amp;"",SERVER!$E$3:$E$1009,""),""))))</f>
        <v/>
      </c>
      <c r="Q421" s="1" t="str" cm="1">
        <f t="array" ref="Q421">IF(OR($K421="",$I421="",$J421=""),"",_xlfn.LET(_xlpm.srcCat,_xlfn.SWITCH($I421,"Computer",_xlfn.XLOOKUP($K421&amp;"",COMPUTER!$B$3:$B$1009&amp;"",COMPUTER!$H$3:$H$1009,""),"Display",_xlfn.XLOOKUP($K421&amp;"",DISPLAY!$B$3:$B$1000&amp;"",DISPLAY!$H$3:$H$1000,""),"Network Device",_xlfn.XLOOKUP($K421&amp;"",'NETWORK-DEVICES'!$B$3:$B$987&amp;"",'NETWORK-DEVICES'!$H$3:$H$987,""),"Peripheral",_xlfn.XLOOKUP($K421&amp;"",PERIPHERAL!$B$3:$B$954&amp;"",PERIPHERAL!$H$3:$H$954,""),"Utilities",_xlfn.XLOOKUP($K421&amp;"",UTILITIES!$B$3:$B$953&amp;"",UTILITIES!$G$3:$G$953,""),"IOT",_xlfn.XLOOKUP($K421&amp;"",IOT!$B$3:$B$1012&amp;"",IOT!$H$3:$H$1012,""),"Server",_xlfn.XLOOKUP($K421&amp;"",SERVER!$B$3:$B$1009&amp;"",SERVER!$H$3:$H$1009,""),""),IF(TRIM(_xlpm.srcCat)&lt;&gt;TRIM($J421),"",_xlfn.SWITCH($I421,"Computer",_xlfn.XLOOKUP($K421&amp;"",COMPUTER!$B$3:$B$1009&amp;"",COMPUTER!$AM$3:$AM$1009,""),"Display",_xlfn.XLOOKUP($K421&amp;"",DISPLAY!$B$3:$B$1000&amp;"",DISPLAY!$V$3:$V$1000,""),"Network Device",_xlfn.XLOOKUP($K421&amp;"",'NETWORK-DEVICES'!$B$3:$B$987&amp;"",'NETWORK-DEVICES'!$AF$3:$AF$987,""),"Peripheral",_xlfn.XLOOKUP($K421&amp;"",PERIPHERAL!$B$3:$B$954&amp;"",PERIPHERAL!$Y$3:$Y$954,""),"Utilities",_xlfn.XLOOKUP($K421&amp;"",UTILITIES!$B$3:$B$953&amp;"",UTILITIES!$O$3:$O$953,""),"IOT",_xlfn.XLOOKUP($K421&amp;"",IOT!$B$3:$B$1012&amp;"",IOT!$AB$3:$AB$1012,""),"Server",_xlfn.XLOOKUP($K421&amp;"",SERVER!$B$3:$B$1009&amp;"",SERVER!$AB$3:$AB$1009,""),""))))</f>
        <v/>
      </c>
      <c r="R421" s="43" t="str">
        <f>IF(tbl_handover[[#This Row],[Asset Code]]="","",COUNTIF(tbl_handover[Asset Code],tbl_handover[[#This Row],[Asset Code]]))</f>
        <v/>
      </c>
    </row>
    <row r="422" spans="1:18" x14ac:dyDescent="0.25">
      <c r="A422" s="43" t="str">
        <f>IF(B422&lt;&gt;"",SUBTOTAL(3,$B$1:B421),"")</f>
        <v/>
      </c>
      <c r="C422" s="74"/>
      <c r="D422" s="74"/>
      <c r="G422" s="1"/>
      <c r="K422" s="42"/>
      <c r="L422" t="str" cm="1">
        <f t="array" ref="L422">IF($K422="","",_xlfn.SWITCH($I422,"Computer",_xlfn.XLOOKUP($K422&amp;"",COMPUTER!$B$3:$B$1009&amp;"",COMPUTER!$I$3:$I$1009,""),"Display",_xlfn.XLOOKUP($K422&amp;"",DISPLAY!$B$3:$B$1000&amp;"",DISPLAY!$J$3:$J$1000,""),"Network Device",_xlfn.XLOOKUP($K422&amp;"",'NETWORK-DEVICES'!$B$3:$B$987&amp;"",'NETWORK-DEVICES'!$I$3:$I$987,""),"Peripheral",_xlfn.XLOOKUP($K422&amp;"",PERIPHERAL!$B$3:$B$954&amp;"",PERIPHERAL!$I$3:$I$954,""),"Utilities",_xlfn.XLOOKUP($K422&amp;"",UTILITIES!$B$3:$B$953&amp;"",UTILITIES!$H$3:$H$953,""),"IOT",_xlfn.XLOOKUP($K422&amp;"",IOT!$B$3:$B$1012&amp;"",IOT!$I$3:$I$1012,""),"SERVER",_xlfn.XLOOKUP($K422&amp;"",SERVER!$B$3:$B$1009&amp;"",SERVER!$I$3:$I$1009,""),""))</f>
        <v/>
      </c>
      <c r="M422" t="str" cm="1">
        <f t="array" ref="M422">IF($K422="","",_xlfn.SWITCH($I422,"Computer",_xlfn.XLOOKUP($K422&amp;"",COMPUTER!$B$3:$B$1009&amp;"",COMPUTER!$J$3:$J$1009,""),"Display",_xlfn.XLOOKUP($K422&amp;"",DISPLAY!$B$3:$B$1000&amp;"",DISPLAY!$K$3:$K$1000,""),"Network Device",_xlfn.XLOOKUP($K422&amp;"",'NETWORK-DEVICES'!$B$3:$B$987&amp;"",'NETWORK-DEVICES'!$I$3:$I$987,""),"Peripheral",_xlfn.XLOOKUP($K422&amp;"",PERIPHERAL!$B$3:$B$954&amp;"",PERIPHERAL!$J$3:$J$954,""),"Utilities",_xlfn.XLOOKUP($K422&amp;"",UTILITIES!$B$3:$B$953&amp;"",UTILITIES!$I$3:$I$953,""),"IOT",_xlfn.XLOOKUP($K422&amp;"",IOT!$B$3:$B$1012&amp;"",IOT!$J$3:$J$1012,""),"Server",_xlfn.XLOOKUP($K422&amp;"",SERVER!$B$3:$B$1009&amp;"",SERVER!$J$3:$J$1009,""),""))</f>
        <v/>
      </c>
      <c r="N422" s="1" t="str" cm="1">
        <f t="array" ref="N422">IF(OR($K422="",$I422="",$J422=""),"",_xlfn.LET(_xlpm.srcCat,_xlfn.SWITCH($I422,"Computer",_xlfn.XLOOKUP($K422&amp;"",COMPUTER!$B$3:$B$1009&amp;"",COMPUTER!$H$3:$H$1009,""),"Display",_xlfn.XLOOKUP($K422&amp;"",DISPLAY!$B$3:$B$1000&amp;"",DISPLAY!$H$3:$H$1000,""),"Network Device",_xlfn.XLOOKUP($K422&amp;"",'NETWORK-DEVICES'!$B$3:$B$987&amp;"",'NETWORK-DEVICES'!$H$3:$H$987,""),"Peripheral",_xlfn.XLOOKUP($K422&amp;"",PERIPHERAL!$B$3:$B$954&amp;"",PERIPHERAL!$H$3:$H$954,""),"Utilities",_xlfn.XLOOKUP($K422&amp;"",UTILITIES!$B$3:$B$953&amp;"",UTILITIES!$G$3:$G$953,""),"IOT",_xlfn.XLOOKUP($K422&amp;"",IOT!$B$3:$B$1012&amp;"",IOT!$H$3:$H$1012,""),"Server",_xlfn.XLOOKUP($K422&amp;"",SERVER!$B$3:$B$1009&amp;"",SERVER!$H$3:$H$1009,""),""),IF(TRIM(_xlpm.srcCat)&lt;&gt;TRIM($J422),"",_xlfn.SWITCH($I422,"Computer",_xlfn.XLOOKUP($K422&amp;"",COMPUTER!$B$3:$B$1009&amp;"",COMPUTER!$K$3:$K$1009,""),"Display",_xlfn.XLOOKUP($K422&amp;"",DISPLAY!$B$3:$B$1000&amp;"",DISPLAY!$L$3:$L$1000,""),"Network Device",_xlfn.XLOOKUP($K422&amp;"",'NETWORK-DEVICES'!$B$3:$B$987&amp;"",'NETWORK-DEVICES'!$K$3:$K$987,""),"Peripheral",_xlfn.XLOOKUP($K422&amp;"",PERIPHERAL!$B$3:$B$954&amp;"",PERIPHERAL!$K$3:$K$954,""),"Utilities",_xlfn.XLOOKUP($K422&amp;"",UTILITIES!$B$3:$B$953&amp;"",UTILITIES!$J$3:$J$953,""),"IOT",_xlfn.XLOOKUP($K422&amp;"",IOT!$B$3:$B$1012&amp;"",IOT!$K$4:$K$1012,""),"Server",_xlfn.XLOOKUP($K422&amp;"",SERVER!$B$3:$B$1009&amp;"",SERVER!$K$3:$K$1009,""),""))))</f>
        <v/>
      </c>
      <c r="O422" s="1" t="str" cm="1">
        <f t="array" ref="O422">IF(OR($K422="",$I422="",$J422=""),"",_xlfn.LET(_xlpm.srcCat,_xlfn.SWITCH($I422,"Computer",_xlfn.XLOOKUP($K422&amp;"",COMPUTER!$B$3:$B$1009&amp;"",COMPUTER!$H$3:$H$1009,""),"Display",_xlfn.XLOOKUP($K422&amp;"",DISPLAY!$B$3:$B$1000&amp;"",DISPLAY!$H$3:$H$1000,""),"Network Device",_xlfn.XLOOKUP($K422&amp;"",'NETWORK-DEVICES'!$B$3:$B$987&amp;"",'NETWORK-DEVICES'!$H$3:$H$987,""),"Peripheral",_xlfn.XLOOKUP($K422&amp;"",PERIPHERAL!$B$3:$B$954&amp;"",PERIPHERAL!$H$3:$H$954,""),"Utilities",_xlfn.XLOOKUP($K422&amp;"",UTILITIES!$B$3:$B$953&amp;"",UTILITIES!$G$3:$G$953,""),"IOT",_xlfn.XLOOKUP($K422&amp;"",IOT!$B$3:$B$1012&amp;"",IOT!$H$3:$H$1012,""),"Server",_xlfn.XLOOKUP($K422&amp;"",SERVER!$B$3:$B$1009&amp;"",SERVER!$H$3:$H$1009,""),""),IF(TRIM(_xlpm.srcCat)&lt;&gt;TRIM($J422),"",_xlfn.SWITCH($I422,"Computer",_xlfn.XLOOKUP($K422&amp;"",COMPUTER!$B$3:$B$1009&amp;"",COMPUTER!$E$3:$E$1009,""),"Display",_xlfn.XLOOKUP($K422&amp;"",DISPLAY!$B$3:$B$1000&amp;"",DISPLAY!$E$3:$E$1000,""),"Network Device",_xlfn.XLOOKUP($K422&amp;"",'NETWORK-DEVICES'!$B$3:$B$987&amp;"",'NETWORK-DEVICES'!$E$3:$E$987,""),"Peripheral",_xlfn.XLOOKUP($K422&amp;"",PERIPHERAL!$B$3:$B$954&amp;"",PERIPHERAL!$E$3:$E$954,""),"Utilities",_xlfn.XLOOKUP($K422&amp;"",UTILITIES!$B$3:$B$953&amp;"",UTILITIES!$E$3:$E$953,""),"IOT",_xlfn.XLOOKUP($K422&amp;"",IOT!$B$3:$B$1012&amp;"",IOT!$E$3:$E$1012,""),"Server",_xlfn.XLOOKUP($K422&amp;"",SERVER!$B$3:$B$1009&amp;"",SERVER!$E$3:$E$1009,""),""))))</f>
        <v/>
      </c>
      <c r="Q422" s="1" t="str" cm="1">
        <f t="array" ref="Q422">IF(OR($K422="",$I422="",$J422=""),"",_xlfn.LET(_xlpm.srcCat,_xlfn.SWITCH($I422,"Computer",_xlfn.XLOOKUP($K422&amp;"",COMPUTER!$B$3:$B$1009&amp;"",COMPUTER!$H$3:$H$1009,""),"Display",_xlfn.XLOOKUP($K422&amp;"",DISPLAY!$B$3:$B$1000&amp;"",DISPLAY!$H$3:$H$1000,""),"Network Device",_xlfn.XLOOKUP($K422&amp;"",'NETWORK-DEVICES'!$B$3:$B$987&amp;"",'NETWORK-DEVICES'!$H$3:$H$987,""),"Peripheral",_xlfn.XLOOKUP($K422&amp;"",PERIPHERAL!$B$3:$B$954&amp;"",PERIPHERAL!$H$3:$H$954,""),"Utilities",_xlfn.XLOOKUP($K422&amp;"",UTILITIES!$B$3:$B$953&amp;"",UTILITIES!$G$3:$G$953,""),"IOT",_xlfn.XLOOKUP($K422&amp;"",IOT!$B$3:$B$1012&amp;"",IOT!$H$3:$H$1012,""),"Server",_xlfn.XLOOKUP($K422&amp;"",SERVER!$B$3:$B$1009&amp;"",SERVER!$H$3:$H$1009,""),""),IF(TRIM(_xlpm.srcCat)&lt;&gt;TRIM($J422),"",_xlfn.SWITCH($I422,"Computer",_xlfn.XLOOKUP($K422&amp;"",COMPUTER!$B$3:$B$1009&amp;"",COMPUTER!$AM$3:$AM$1009,""),"Display",_xlfn.XLOOKUP($K422&amp;"",DISPLAY!$B$3:$B$1000&amp;"",DISPLAY!$V$3:$V$1000,""),"Network Device",_xlfn.XLOOKUP($K422&amp;"",'NETWORK-DEVICES'!$B$3:$B$987&amp;"",'NETWORK-DEVICES'!$AF$3:$AF$987,""),"Peripheral",_xlfn.XLOOKUP($K422&amp;"",PERIPHERAL!$B$3:$B$954&amp;"",PERIPHERAL!$Y$3:$Y$954,""),"Utilities",_xlfn.XLOOKUP($K422&amp;"",UTILITIES!$B$3:$B$953&amp;"",UTILITIES!$O$3:$O$953,""),"IOT",_xlfn.XLOOKUP($K422&amp;"",IOT!$B$3:$B$1012&amp;"",IOT!$AB$3:$AB$1012,""),"Server",_xlfn.XLOOKUP($K422&amp;"",SERVER!$B$3:$B$1009&amp;"",SERVER!$AB$3:$AB$1009,""),""))))</f>
        <v/>
      </c>
      <c r="R422" s="43" t="str">
        <f>IF(tbl_handover[[#This Row],[Asset Code]]="","",COUNTIF(tbl_handover[Asset Code],tbl_handover[[#This Row],[Asset Code]]))</f>
        <v/>
      </c>
    </row>
    <row r="423" spans="1:18" x14ac:dyDescent="0.25">
      <c r="A423" s="43" t="str">
        <f>IF(B423&lt;&gt;"",SUBTOTAL(3,$B$1:B422),"")</f>
        <v/>
      </c>
      <c r="C423" s="74"/>
      <c r="D423" s="74"/>
      <c r="G423" s="1"/>
      <c r="K423" s="42"/>
      <c r="L423" t="str" cm="1">
        <f t="array" ref="L423">IF($K423="","",_xlfn.SWITCH($I423,"Computer",_xlfn.XLOOKUP($K423&amp;"",COMPUTER!$B$3:$B$1009&amp;"",COMPUTER!$I$3:$I$1009,""),"Display",_xlfn.XLOOKUP($K423&amp;"",DISPLAY!$B$3:$B$1000&amp;"",DISPLAY!$J$3:$J$1000,""),"Network Device",_xlfn.XLOOKUP($K423&amp;"",'NETWORK-DEVICES'!$B$3:$B$987&amp;"",'NETWORK-DEVICES'!$I$3:$I$987,""),"Peripheral",_xlfn.XLOOKUP($K423&amp;"",PERIPHERAL!$B$3:$B$954&amp;"",PERIPHERAL!$I$3:$I$954,""),"Utilities",_xlfn.XLOOKUP($K423&amp;"",UTILITIES!$B$3:$B$953&amp;"",UTILITIES!$H$3:$H$953,""),"IOT",_xlfn.XLOOKUP($K423&amp;"",IOT!$B$3:$B$1012&amp;"",IOT!$I$3:$I$1012,""),"SERVER",_xlfn.XLOOKUP($K423&amp;"",SERVER!$B$3:$B$1009&amp;"",SERVER!$I$3:$I$1009,""),""))</f>
        <v/>
      </c>
      <c r="M423" t="str" cm="1">
        <f t="array" ref="M423">IF($K423="","",_xlfn.SWITCH($I423,"Computer",_xlfn.XLOOKUP($K423&amp;"",COMPUTER!$B$3:$B$1009&amp;"",COMPUTER!$J$3:$J$1009,""),"Display",_xlfn.XLOOKUP($K423&amp;"",DISPLAY!$B$3:$B$1000&amp;"",DISPLAY!$K$3:$K$1000,""),"Network Device",_xlfn.XLOOKUP($K423&amp;"",'NETWORK-DEVICES'!$B$3:$B$987&amp;"",'NETWORK-DEVICES'!$I$3:$I$987,""),"Peripheral",_xlfn.XLOOKUP($K423&amp;"",PERIPHERAL!$B$3:$B$954&amp;"",PERIPHERAL!$J$3:$J$954,""),"Utilities",_xlfn.XLOOKUP($K423&amp;"",UTILITIES!$B$3:$B$953&amp;"",UTILITIES!$I$3:$I$953,""),"IOT",_xlfn.XLOOKUP($K423&amp;"",IOT!$B$3:$B$1012&amp;"",IOT!$J$3:$J$1012,""),"Server",_xlfn.XLOOKUP($K423&amp;"",SERVER!$B$3:$B$1009&amp;"",SERVER!$J$3:$J$1009,""),""))</f>
        <v/>
      </c>
      <c r="N423" s="1" t="str" cm="1">
        <f t="array" ref="N423">IF(OR($K423="",$I423="",$J423=""),"",_xlfn.LET(_xlpm.srcCat,_xlfn.SWITCH($I423,"Computer",_xlfn.XLOOKUP($K423&amp;"",COMPUTER!$B$3:$B$1009&amp;"",COMPUTER!$H$3:$H$1009,""),"Display",_xlfn.XLOOKUP($K423&amp;"",DISPLAY!$B$3:$B$1000&amp;"",DISPLAY!$H$3:$H$1000,""),"Network Device",_xlfn.XLOOKUP($K423&amp;"",'NETWORK-DEVICES'!$B$3:$B$987&amp;"",'NETWORK-DEVICES'!$H$3:$H$987,""),"Peripheral",_xlfn.XLOOKUP($K423&amp;"",PERIPHERAL!$B$3:$B$954&amp;"",PERIPHERAL!$H$3:$H$954,""),"Utilities",_xlfn.XLOOKUP($K423&amp;"",UTILITIES!$B$3:$B$953&amp;"",UTILITIES!$G$3:$G$953,""),"IOT",_xlfn.XLOOKUP($K423&amp;"",IOT!$B$3:$B$1012&amp;"",IOT!$H$3:$H$1012,""),"Server",_xlfn.XLOOKUP($K423&amp;"",SERVER!$B$3:$B$1009&amp;"",SERVER!$H$3:$H$1009,""),""),IF(TRIM(_xlpm.srcCat)&lt;&gt;TRIM($J423),"",_xlfn.SWITCH($I423,"Computer",_xlfn.XLOOKUP($K423&amp;"",COMPUTER!$B$3:$B$1009&amp;"",COMPUTER!$K$3:$K$1009,""),"Display",_xlfn.XLOOKUP($K423&amp;"",DISPLAY!$B$3:$B$1000&amp;"",DISPLAY!$L$3:$L$1000,""),"Network Device",_xlfn.XLOOKUP($K423&amp;"",'NETWORK-DEVICES'!$B$3:$B$987&amp;"",'NETWORK-DEVICES'!$K$3:$K$987,""),"Peripheral",_xlfn.XLOOKUP($K423&amp;"",PERIPHERAL!$B$3:$B$954&amp;"",PERIPHERAL!$K$3:$K$954,""),"Utilities",_xlfn.XLOOKUP($K423&amp;"",UTILITIES!$B$3:$B$953&amp;"",UTILITIES!$J$3:$J$953,""),"IOT",_xlfn.XLOOKUP($K423&amp;"",IOT!$B$3:$B$1012&amp;"",IOT!$K$4:$K$1012,""),"Server",_xlfn.XLOOKUP($K423&amp;"",SERVER!$B$3:$B$1009&amp;"",SERVER!$K$3:$K$1009,""),""))))</f>
        <v/>
      </c>
      <c r="O423" s="1" t="str" cm="1">
        <f t="array" ref="O423">IF(OR($K423="",$I423="",$J423=""),"",_xlfn.LET(_xlpm.srcCat,_xlfn.SWITCH($I423,"Computer",_xlfn.XLOOKUP($K423&amp;"",COMPUTER!$B$3:$B$1009&amp;"",COMPUTER!$H$3:$H$1009,""),"Display",_xlfn.XLOOKUP($K423&amp;"",DISPLAY!$B$3:$B$1000&amp;"",DISPLAY!$H$3:$H$1000,""),"Network Device",_xlfn.XLOOKUP($K423&amp;"",'NETWORK-DEVICES'!$B$3:$B$987&amp;"",'NETWORK-DEVICES'!$H$3:$H$987,""),"Peripheral",_xlfn.XLOOKUP($K423&amp;"",PERIPHERAL!$B$3:$B$954&amp;"",PERIPHERAL!$H$3:$H$954,""),"Utilities",_xlfn.XLOOKUP($K423&amp;"",UTILITIES!$B$3:$B$953&amp;"",UTILITIES!$G$3:$G$953,""),"IOT",_xlfn.XLOOKUP($K423&amp;"",IOT!$B$3:$B$1012&amp;"",IOT!$H$3:$H$1012,""),"Server",_xlfn.XLOOKUP($K423&amp;"",SERVER!$B$3:$B$1009&amp;"",SERVER!$H$3:$H$1009,""),""),IF(TRIM(_xlpm.srcCat)&lt;&gt;TRIM($J423),"",_xlfn.SWITCH($I423,"Computer",_xlfn.XLOOKUP($K423&amp;"",COMPUTER!$B$3:$B$1009&amp;"",COMPUTER!$E$3:$E$1009,""),"Display",_xlfn.XLOOKUP($K423&amp;"",DISPLAY!$B$3:$B$1000&amp;"",DISPLAY!$E$3:$E$1000,""),"Network Device",_xlfn.XLOOKUP($K423&amp;"",'NETWORK-DEVICES'!$B$3:$B$987&amp;"",'NETWORK-DEVICES'!$E$3:$E$987,""),"Peripheral",_xlfn.XLOOKUP($K423&amp;"",PERIPHERAL!$B$3:$B$954&amp;"",PERIPHERAL!$E$3:$E$954,""),"Utilities",_xlfn.XLOOKUP($K423&amp;"",UTILITIES!$B$3:$B$953&amp;"",UTILITIES!$E$3:$E$953,""),"IOT",_xlfn.XLOOKUP($K423&amp;"",IOT!$B$3:$B$1012&amp;"",IOT!$E$3:$E$1012,""),"Server",_xlfn.XLOOKUP($K423&amp;"",SERVER!$B$3:$B$1009&amp;"",SERVER!$E$3:$E$1009,""),""))))</f>
        <v/>
      </c>
      <c r="Q423" s="1" t="str" cm="1">
        <f t="array" ref="Q423">IF(OR($K423="",$I423="",$J423=""),"",_xlfn.LET(_xlpm.srcCat,_xlfn.SWITCH($I423,"Computer",_xlfn.XLOOKUP($K423&amp;"",COMPUTER!$B$3:$B$1009&amp;"",COMPUTER!$H$3:$H$1009,""),"Display",_xlfn.XLOOKUP($K423&amp;"",DISPLAY!$B$3:$B$1000&amp;"",DISPLAY!$H$3:$H$1000,""),"Network Device",_xlfn.XLOOKUP($K423&amp;"",'NETWORK-DEVICES'!$B$3:$B$987&amp;"",'NETWORK-DEVICES'!$H$3:$H$987,""),"Peripheral",_xlfn.XLOOKUP($K423&amp;"",PERIPHERAL!$B$3:$B$954&amp;"",PERIPHERAL!$H$3:$H$954,""),"Utilities",_xlfn.XLOOKUP($K423&amp;"",UTILITIES!$B$3:$B$953&amp;"",UTILITIES!$G$3:$G$953,""),"IOT",_xlfn.XLOOKUP($K423&amp;"",IOT!$B$3:$B$1012&amp;"",IOT!$H$3:$H$1012,""),"Server",_xlfn.XLOOKUP($K423&amp;"",SERVER!$B$3:$B$1009&amp;"",SERVER!$H$3:$H$1009,""),""),IF(TRIM(_xlpm.srcCat)&lt;&gt;TRIM($J423),"",_xlfn.SWITCH($I423,"Computer",_xlfn.XLOOKUP($K423&amp;"",COMPUTER!$B$3:$B$1009&amp;"",COMPUTER!$AM$3:$AM$1009,""),"Display",_xlfn.XLOOKUP($K423&amp;"",DISPLAY!$B$3:$B$1000&amp;"",DISPLAY!$V$3:$V$1000,""),"Network Device",_xlfn.XLOOKUP($K423&amp;"",'NETWORK-DEVICES'!$B$3:$B$987&amp;"",'NETWORK-DEVICES'!$AF$3:$AF$987,""),"Peripheral",_xlfn.XLOOKUP($K423&amp;"",PERIPHERAL!$B$3:$B$954&amp;"",PERIPHERAL!$Y$3:$Y$954,""),"Utilities",_xlfn.XLOOKUP($K423&amp;"",UTILITIES!$B$3:$B$953&amp;"",UTILITIES!$O$3:$O$953,""),"IOT",_xlfn.XLOOKUP($K423&amp;"",IOT!$B$3:$B$1012&amp;"",IOT!$AB$3:$AB$1012,""),"Server",_xlfn.XLOOKUP($K423&amp;"",SERVER!$B$3:$B$1009&amp;"",SERVER!$AB$3:$AB$1009,""),""))))</f>
        <v/>
      </c>
      <c r="R423" s="43" t="str">
        <f>IF(tbl_handover[[#This Row],[Asset Code]]="","",COUNTIF(tbl_handover[Asset Code],tbl_handover[[#This Row],[Asset Code]]))</f>
        <v/>
      </c>
    </row>
    <row r="424" spans="1:18" x14ac:dyDescent="0.25">
      <c r="A424" s="43" t="str">
        <f>IF(B424&lt;&gt;"",SUBTOTAL(3,$B$1:B423),"")</f>
        <v/>
      </c>
      <c r="C424" s="74"/>
      <c r="D424" s="74"/>
      <c r="G424" s="1"/>
      <c r="K424" s="42"/>
      <c r="L424" t="str" cm="1">
        <f t="array" ref="L424">IF($K424="","",_xlfn.SWITCH($I424,"Computer",_xlfn.XLOOKUP($K424&amp;"",COMPUTER!$B$3:$B$1009&amp;"",COMPUTER!$I$3:$I$1009,""),"Display",_xlfn.XLOOKUP($K424&amp;"",DISPLAY!$B$3:$B$1000&amp;"",DISPLAY!$J$3:$J$1000,""),"Network Device",_xlfn.XLOOKUP($K424&amp;"",'NETWORK-DEVICES'!$B$3:$B$987&amp;"",'NETWORK-DEVICES'!$I$3:$I$987,""),"Peripheral",_xlfn.XLOOKUP($K424&amp;"",PERIPHERAL!$B$3:$B$954&amp;"",PERIPHERAL!$I$3:$I$954,""),"Utilities",_xlfn.XLOOKUP($K424&amp;"",UTILITIES!$B$3:$B$953&amp;"",UTILITIES!$H$3:$H$953,""),"IOT",_xlfn.XLOOKUP($K424&amp;"",IOT!$B$3:$B$1012&amp;"",IOT!$I$3:$I$1012,""),"SERVER",_xlfn.XLOOKUP($K424&amp;"",SERVER!$B$3:$B$1009&amp;"",SERVER!$I$3:$I$1009,""),""))</f>
        <v/>
      </c>
      <c r="M424" t="str" cm="1">
        <f t="array" ref="M424">IF($K424="","",_xlfn.SWITCH($I424,"Computer",_xlfn.XLOOKUP($K424&amp;"",COMPUTER!$B$3:$B$1009&amp;"",COMPUTER!$J$3:$J$1009,""),"Display",_xlfn.XLOOKUP($K424&amp;"",DISPLAY!$B$3:$B$1000&amp;"",DISPLAY!$K$3:$K$1000,""),"Network Device",_xlfn.XLOOKUP($K424&amp;"",'NETWORK-DEVICES'!$B$3:$B$987&amp;"",'NETWORK-DEVICES'!$I$3:$I$987,""),"Peripheral",_xlfn.XLOOKUP($K424&amp;"",PERIPHERAL!$B$3:$B$954&amp;"",PERIPHERAL!$J$3:$J$954,""),"Utilities",_xlfn.XLOOKUP($K424&amp;"",UTILITIES!$B$3:$B$953&amp;"",UTILITIES!$I$3:$I$953,""),"IOT",_xlfn.XLOOKUP($K424&amp;"",IOT!$B$3:$B$1012&amp;"",IOT!$J$3:$J$1012,""),"Server",_xlfn.XLOOKUP($K424&amp;"",SERVER!$B$3:$B$1009&amp;"",SERVER!$J$3:$J$1009,""),""))</f>
        <v/>
      </c>
      <c r="N424" s="1" t="str" cm="1">
        <f t="array" ref="N424">IF(OR($K424="",$I424="",$J424=""),"",_xlfn.LET(_xlpm.srcCat,_xlfn.SWITCH($I424,"Computer",_xlfn.XLOOKUP($K424&amp;"",COMPUTER!$B$3:$B$1009&amp;"",COMPUTER!$H$3:$H$1009,""),"Display",_xlfn.XLOOKUP($K424&amp;"",DISPLAY!$B$3:$B$1000&amp;"",DISPLAY!$H$3:$H$1000,""),"Network Device",_xlfn.XLOOKUP($K424&amp;"",'NETWORK-DEVICES'!$B$3:$B$987&amp;"",'NETWORK-DEVICES'!$H$3:$H$987,""),"Peripheral",_xlfn.XLOOKUP($K424&amp;"",PERIPHERAL!$B$3:$B$954&amp;"",PERIPHERAL!$H$3:$H$954,""),"Utilities",_xlfn.XLOOKUP($K424&amp;"",UTILITIES!$B$3:$B$953&amp;"",UTILITIES!$G$3:$G$953,""),"IOT",_xlfn.XLOOKUP($K424&amp;"",IOT!$B$3:$B$1012&amp;"",IOT!$H$3:$H$1012,""),"Server",_xlfn.XLOOKUP($K424&amp;"",SERVER!$B$3:$B$1009&amp;"",SERVER!$H$3:$H$1009,""),""),IF(TRIM(_xlpm.srcCat)&lt;&gt;TRIM($J424),"",_xlfn.SWITCH($I424,"Computer",_xlfn.XLOOKUP($K424&amp;"",COMPUTER!$B$3:$B$1009&amp;"",COMPUTER!$K$3:$K$1009,""),"Display",_xlfn.XLOOKUP($K424&amp;"",DISPLAY!$B$3:$B$1000&amp;"",DISPLAY!$L$3:$L$1000,""),"Network Device",_xlfn.XLOOKUP($K424&amp;"",'NETWORK-DEVICES'!$B$3:$B$987&amp;"",'NETWORK-DEVICES'!$K$3:$K$987,""),"Peripheral",_xlfn.XLOOKUP($K424&amp;"",PERIPHERAL!$B$3:$B$954&amp;"",PERIPHERAL!$K$3:$K$954,""),"Utilities",_xlfn.XLOOKUP($K424&amp;"",UTILITIES!$B$3:$B$953&amp;"",UTILITIES!$J$3:$J$953,""),"IOT",_xlfn.XLOOKUP($K424&amp;"",IOT!$B$3:$B$1012&amp;"",IOT!$K$4:$K$1012,""),"Server",_xlfn.XLOOKUP($K424&amp;"",SERVER!$B$3:$B$1009&amp;"",SERVER!$K$3:$K$1009,""),""))))</f>
        <v/>
      </c>
      <c r="O424" s="1" t="str" cm="1">
        <f t="array" ref="O424">IF(OR($K424="",$I424="",$J424=""),"",_xlfn.LET(_xlpm.srcCat,_xlfn.SWITCH($I424,"Computer",_xlfn.XLOOKUP($K424&amp;"",COMPUTER!$B$3:$B$1009&amp;"",COMPUTER!$H$3:$H$1009,""),"Display",_xlfn.XLOOKUP($K424&amp;"",DISPLAY!$B$3:$B$1000&amp;"",DISPLAY!$H$3:$H$1000,""),"Network Device",_xlfn.XLOOKUP($K424&amp;"",'NETWORK-DEVICES'!$B$3:$B$987&amp;"",'NETWORK-DEVICES'!$H$3:$H$987,""),"Peripheral",_xlfn.XLOOKUP($K424&amp;"",PERIPHERAL!$B$3:$B$954&amp;"",PERIPHERAL!$H$3:$H$954,""),"Utilities",_xlfn.XLOOKUP($K424&amp;"",UTILITIES!$B$3:$B$953&amp;"",UTILITIES!$G$3:$G$953,""),"IOT",_xlfn.XLOOKUP($K424&amp;"",IOT!$B$3:$B$1012&amp;"",IOT!$H$3:$H$1012,""),"Server",_xlfn.XLOOKUP($K424&amp;"",SERVER!$B$3:$B$1009&amp;"",SERVER!$H$3:$H$1009,""),""),IF(TRIM(_xlpm.srcCat)&lt;&gt;TRIM($J424),"",_xlfn.SWITCH($I424,"Computer",_xlfn.XLOOKUP($K424&amp;"",COMPUTER!$B$3:$B$1009&amp;"",COMPUTER!$E$3:$E$1009,""),"Display",_xlfn.XLOOKUP($K424&amp;"",DISPLAY!$B$3:$B$1000&amp;"",DISPLAY!$E$3:$E$1000,""),"Network Device",_xlfn.XLOOKUP($K424&amp;"",'NETWORK-DEVICES'!$B$3:$B$987&amp;"",'NETWORK-DEVICES'!$E$3:$E$987,""),"Peripheral",_xlfn.XLOOKUP($K424&amp;"",PERIPHERAL!$B$3:$B$954&amp;"",PERIPHERAL!$E$3:$E$954,""),"Utilities",_xlfn.XLOOKUP($K424&amp;"",UTILITIES!$B$3:$B$953&amp;"",UTILITIES!$E$3:$E$953,""),"IOT",_xlfn.XLOOKUP($K424&amp;"",IOT!$B$3:$B$1012&amp;"",IOT!$E$3:$E$1012,""),"Server",_xlfn.XLOOKUP($K424&amp;"",SERVER!$B$3:$B$1009&amp;"",SERVER!$E$3:$E$1009,""),""))))</f>
        <v/>
      </c>
      <c r="Q424" s="1" t="str" cm="1">
        <f t="array" ref="Q424">IF(OR($K424="",$I424="",$J424=""),"",_xlfn.LET(_xlpm.srcCat,_xlfn.SWITCH($I424,"Computer",_xlfn.XLOOKUP($K424&amp;"",COMPUTER!$B$3:$B$1009&amp;"",COMPUTER!$H$3:$H$1009,""),"Display",_xlfn.XLOOKUP($K424&amp;"",DISPLAY!$B$3:$B$1000&amp;"",DISPLAY!$H$3:$H$1000,""),"Network Device",_xlfn.XLOOKUP($K424&amp;"",'NETWORK-DEVICES'!$B$3:$B$987&amp;"",'NETWORK-DEVICES'!$H$3:$H$987,""),"Peripheral",_xlfn.XLOOKUP($K424&amp;"",PERIPHERAL!$B$3:$B$954&amp;"",PERIPHERAL!$H$3:$H$954,""),"Utilities",_xlfn.XLOOKUP($K424&amp;"",UTILITIES!$B$3:$B$953&amp;"",UTILITIES!$G$3:$G$953,""),"IOT",_xlfn.XLOOKUP($K424&amp;"",IOT!$B$3:$B$1012&amp;"",IOT!$H$3:$H$1012,""),"Server",_xlfn.XLOOKUP($K424&amp;"",SERVER!$B$3:$B$1009&amp;"",SERVER!$H$3:$H$1009,""),""),IF(TRIM(_xlpm.srcCat)&lt;&gt;TRIM($J424),"",_xlfn.SWITCH($I424,"Computer",_xlfn.XLOOKUP($K424&amp;"",COMPUTER!$B$3:$B$1009&amp;"",COMPUTER!$AM$3:$AM$1009,""),"Display",_xlfn.XLOOKUP($K424&amp;"",DISPLAY!$B$3:$B$1000&amp;"",DISPLAY!$V$3:$V$1000,""),"Network Device",_xlfn.XLOOKUP($K424&amp;"",'NETWORK-DEVICES'!$B$3:$B$987&amp;"",'NETWORK-DEVICES'!$AF$3:$AF$987,""),"Peripheral",_xlfn.XLOOKUP($K424&amp;"",PERIPHERAL!$B$3:$B$954&amp;"",PERIPHERAL!$Y$3:$Y$954,""),"Utilities",_xlfn.XLOOKUP($K424&amp;"",UTILITIES!$B$3:$B$953&amp;"",UTILITIES!$O$3:$O$953,""),"IOT",_xlfn.XLOOKUP($K424&amp;"",IOT!$B$3:$B$1012&amp;"",IOT!$AB$3:$AB$1012,""),"Server",_xlfn.XLOOKUP($K424&amp;"",SERVER!$B$3:$B$1009&amp;"",SERVER!$AB$3:$AB$1009,""),""))))</f>
        <v/>
      </c>
      <c r="R424" s="43" t="str">
        <f>IF(tbl_handover[[#This Row],[Asset Code]]="","",COUNTIF(tbl_handover[Asset Code],tbl_handover[[#This Row],[Asset Code]]))</f>
        <v/>
      </c>
    </row>
    <row r="425" spans="1:18" x14ac:dyDescent="0.25">
      <c r="A425" s="43" t="str">
        <f>IF(B425&lt;&gt;"",SUBTOTAL(3,$B$1:B424),"")</f>
        <v/>
      </c>
      <c r="C425" s="74"/>
      <c r="D425" s="74"/>
      <c r="G425" s="1"/>
      <c r="K425" s="42"/>
      <c r="L425" t="str" cm="1">
        <f t="array" ref="L425">IF($K425="","",_xlfn.SWITCH($I425,"Computer",_xlfn.XLOOKUP($K425&amp;"",COMPUTER!$B$3:$B$1009&amp;"",COMPUTER!$I$3:$I$1009,""),"Display",_xlfn.XLOOKUP($K425&amp;"",DISPLAY!$B$3:$B$1000&amp;"",DISPLAY!$J$3:$J$1000,""),"Network Device",_xlfn.XLOOKUP($K425&amp;"",'NETWORK-DEVICES'!$B$3:$B$987&amp;"",'NETWORK-DEVICES'!$I$3:$I$987,""),"Peripheral",_xlfn.XLOOKUP($K425&amp;"",PERIPHERAL!$B$3:$B$954&amp;"",PERIPHERAL!$I$3:$I$954,""),"Utilities",_xlfn.XLOOKUP($K425&amp;"",UTILITIES!$B$3:$B$953&amp;"",UTILITIES!$H$3:$H$953,""),"IOT",_xlfn.XLOOKUP($K425&amp;"",IOT!$B$3:$B$1012&amp;"",IOT!$I$3:$I$1012,""),"SERVER",_xlfn.XLOOKUP($K425&amp;"",SERVER!$B$3:$B$1009&amp;"",SERVER!$I$3:$I$1009,""),""))</f>
        <v/>
      </c>
      <c r="M425" t="str" cm="1">
        <f t="array" ref="M425">IF($K425="","",_xlfn.SWITCH($I425,"Computer",_xlfn.XLOOKUP($K425&amp;"",COMPUTER!$B$3:$B$1009&amp;"",COMPUTER!$J$3:$J$1009,""),"Display",_xlfn.XLOOKUP($K425&amp;"",DISPLAY!$B$3:$B$1000&amp;"",DISPLAY!$K$3:$K$1000,""),"Network Device",_xlfn.XLOOKUP($K425&amp;"",'NETWORK-DEVICES'!$B$3:$B$987&amp;"",'NETWORK-DEVICES'!$I$3:$I$987,""),"Peripheral",_xlfn.XLOOKUP($K425&amp;"",PERIPHERAL!$B$3:$B$954&amp;"",PERIPHERAL!$J$3:$J$954,""),"Utilities",_xlfn.XLOOKUP($K425&amp;"",UTILITIES!$B$3:$B$953&amp;"",UTILITIES!$I$3:$I$953,""),"IOT",_xlfn.XLOOKUP($K425&amp;"",IOT!$B$3:$B$1012&amp;"",IOT!$J$3:$J$1012,""),"Server",_xlfn.XLOOKUP($K425&amp;"",SERVER!$B$3:$B$1009&amp;"",SERVER!$J$3:$J$1009,""),""))</f>
        <v/>
      </c>
      <c r="N425" s="1" t="str" cm="1">
        <f t="array" ref="N425">IF(OR($K425="",$I425="",$J425=""),"",_xlfn.LET(_xlpm.srcCat,_xlfn.SWITCH($I425,"Computer",_xlfn.XLOOKUP($K425&amp;"",COMPUTER!$B$3:$B$1009&amp;"",COMPUTER!$H$3:$H$1009,""),"Display",_xlfn.XLOOKUP($K425&amp;"",DISPLAY!$B$3:$B$1000&amp;"",DISPLAY!$H$3:$H$1000,""),"Network Device",_xlfn.XLOOKUP($K425&amp;"",'NETWORK-DEVICES'!$B$3:$B$987&amp;"",'NETWORK-DEVICES'!$H$3:$H$987,""),"Peripheral",_xlfn.XLOOKUP($K425&amp;"",PERIPHERAL!$B$3:$B$954&amp;"",PERIPHERAL!$H$3:$H$954,""),"Utilities",_xlfn.XLOOKUP($K425&amp;"",UTILITIES!$B$3:$B$953&amp;"",UTILITIES!$G$3:$G$953,""),"IOT",_xlfn.XLOOKUP($K425&amp;"",IOT!$B$3:$B$1012&amp;"",IOT!$H$3:$H$1012,""),"Server",_xlfn.XLOOKUP($K425&amp;"",SERVER!$B$3:$B$1009&amp;"",SERVER!$H$3:$H$1009,""),""),IF(TRIM(_xlpm.srcCat)&lt;&gt;TRIM($J425),"",_xlfn.SWITCH($I425,"Computer",_xlfn.XLOOKUP($K425&amp;"",COMPUTER!$B$3:$B$1009&amp;"",COMPUTER!$K$3:$K$1009,""),"Display",_xlfn.XLOOKUP($K425&amp;"",DISPLAY!$B$3:$B$1000&amp;"",DISPLAY!$L$3:$L$1000,""),"Network Device",_xlfn.XLOOKUP($K425&amp;"",'NETWORK-DEVICES'!$B$3:$B$987&amp;"",'NETWORK-DEVICES'!$K$3:$K$987,""),"Peripheral",_xlfn.XLOOKUP($K425&amp;"",PERIPHERAL!$B$3:$B$954&amp;"",PERIPHERAL!$K$3:$K$954,""),"Utilities",_xlfn.XLOOKUP($K425&amp;"",UTILITIES!$B$3:$B$953&amp;"",UTILITIES!$J$3:$J$953,""),"IOT",_xlfn.XLOOKUP($K425&amp;"",IOT!$B$3:$B$1012&amp;"",IOT!$K$4:$K$1012,""),"Server",_xlfn.XLOOKUP($K425&amp;"",SERVER!$B$3:$B$1009&amp;"",SERVER!$K$3:$K$1009,""),""))))</f>
        <v/>
      </c>
      <c r="O425" s="1" t="str" cm="1">
        <f t="array" ref="O425">IF(OR($K425="",$I425="",$J425=""),"",_xlfn.LET(_xlpm.srcCat,_xlfn.SWITCH($I425,"Computer",_xlfn.XLOOKUP($K425&amp;"",COMPUTER!$B$3:$B$1009&amp;"",COMPUTER!$H$3:$H$1009,""),"Display",_xlfn.XLOOKUP($K425&amp;"",DISPLAY!$B$3:$B$1000&amp;"",DISPLAY!$H$3:$H$1000,""),"Network Device",_xlfn.XLOOKUP($K425&amp;"",'NETWORK-DEVICES'!$B$3:$B$987&amp;"",'NETWORK-DEVICES'!$H$3:$H$987,""),"Peripheral",_xlfn.XLOOKUP($K425&amp;"",PERIPHERAL!$B$3:$B$954&amp;"",PERIPHERAL!$H$3:$H$954,""),"Utilities",_xlfn.XLOOKUP($K425&amp;"",UTILITIES!$B$3:$B$953&amp;"",UTILITIES!$G$3:$G$953,""),"IOT",_xlfn.XLOOKUP($K425&amp;"",IOT!$B$3:$B$1012&amp;"",IOT!$H$3:$H$1012,""),"Server",_xlfn.XLOOKUP($K425&amp;"",SERVER!$B$3:$B$1009&amp;"",SERVER!$H$3:$H$1009,""),""),IF(TRIM(_xlpm.srcCat)&lt;&gt;TRIM($J425),"",_xlfn.SWITCH($I425,"Computer",_xlfn.XLOOKUP($K425&amp;"",COMPUTER!$B$3:$B$1009&amp;"",COMPUTER!$E$3:$E$1009,""),"Display",_xlfn.XLOOKUP($K425&amp;"",DISPLAY!$B$3:$B$1000&amp;"",DISPLAY!$E$3:$E$1000,""),"Network Device",_xlfn.XLOOKUP($K425&amp;"",'NETWORK-DEVICES'!$B$3:$B$987&amp;"",'NETWORK-DEVICES'!$E$3:$E$987,""),"Peripheral",_xlfn.XLOOKUP($K425&amp;"",PERIPHERAL!$B$3:$B$954&amp;"",PERIPHERAL!$E$3:$E$954,""),"Utilities",_xlfn.XLOOKUP($K425&amp;"",UTILITIES!$B$3:$B$953&amp;"",UTILITIES!$E$3:$E$953,""),"IOT",_xlfn.XLOOKUP($K425&amp;"",IOT!$B$3:$B$1012&amp;"",IOT!$E$3:$E$1012,""),"Server",_xlfn.XLOOKUP($K425&amp;"",SERVER!$B$3:$B$1009&amp;"",SERVER!$E$3:$E$1009,""),""))))</f>
        <v/>
      </c>
      <c r="Q425" s="1" t="str" cm="1">
        <f t="array" ref="Q425">IF(OR($K425="",$I425="",$J425=""),"",_xlfn.LET(_xlpm.srcCat,_xlfn.SWITCH($I425,"Computer",_xlfn.XLOOKUP($K425&amp;"",COMPUTER!$B$3:$B$1009&amp;"",COMPUTER!$H$3:$H$1009,""),"Display",_xlfn.XLOOKUP($K425&amp;"",DISPLAY!$B$3:$B$1000&amp;"",DISPLAY!$H$3:$H$1000,""),"Network Device",_xlfn.XLOOKUP($K425&amp;"",'NETWORK-DEVICES'!$B$3:$B$987&amp;"",'NETWORK-DEVICES'!$H$3:$H$987,""),"Peripheral",_xlfn.XLOOKUP($K425&amp;"",PERIPHERAL!$B$3:$B$954&amp;"",PERIPHERAL!$H$3:$H$954,""),"Utilities",_xlfn.XLOOKUP($K425&amp;"",UTILITIES!$B$3:$B$953&amp;"",UTILITIES!$G$3:$G$953,""),"IOT",_xlfn.XLOOKUP($K425&amp;"",IOT!$B$3:$B$1012&amp;"",IOT!$H$3:$H$1012,""),"Server",_xlfn.XLOOKUP($K425&amp;"",SERVER!$B$3:$B$1009&amp;"",SERVER!$H$3:$H$1009,""),""),IF(TRIM(_xlpm.srcCat)&lt;&gt;TRIM($J425),"",_xlfn.SWITCH($I425,"Computer",_xlfn.XLOOKUP($K425&amp;"",COMPUTER!$B$3:$B$1009&amp;"",COMPUTER!$AM$3:$AM$1009,""),"Display",_xlfn.XLOOKUP($K425&amp;"",DISPLAY!$B$3:$B$1000&amp;"",DISPLAY!$V$3:$V$1000,""),"Network Device",_xlfn.XLOOKUP($K425&amp;"",'NETWORK-DEVICES'!$B$3:$B$987&amp;"",'NETWORK-DEVICES'!$AF$3:$AF$987,""),"Peripheral",_xlfn.XLOOKUP($K425&amp;"",PERIPHERAL!$B$3:$B$954&amp;"",PERIPHERAL!$Y$3:$Y$954,""),"Utilities",_xlfn.XLOOKUP($K425&amp;"",UTILITIES!$B$3:$B$953&amp;"",UTILITIES!$O$3:$O$953,""),"IOT",_xlfn.XLOOKUP($K425&amp;"",IOT!$B$3:$B$1012&amp;"",IOT!$AB$3:$AB$1012,""),"Server",_xlfn.XLOOKUP($K425&amp;"",SERVER!$B$3:$B$1009&amp;"",SERVER!$AB$3:$AB$1009,""),""))))</f>
        <v/>
      </c>
      <c r="R425" s="43" t="str">
        <f>IF(tbl_handover[[#This Row],[Asset Code]]="","",COUNTIF(tbl_handover[Asset Code],tbl_handover[[#This Row],[Asset Code]]))</f>
        <v/>
      </c>
    </row>
    <row r="426" spans="1:18" x14ac:dyDescent="0.25">
      <c r="A426" s="43" t="str">
        <f>IF(B426&lt;&gt;"",SUBTOTAL(3,$B$1:B425),"")</f>
        <v/>
      </c>
      <c r="C426" s="74"/>
      <c r="D426" s="74"/>
      <c r="G426" s="1"/>
      <c r="K426" s="42"/>
      <c r="L426" t="str" cm="1">
        <f t="array" ref="L426">IF($K426="","",_xlfn.SWITCH($I426,"Computer",_xlfn.XLOOKUP($K426&amp;"",COMPUTER!$B$3:$B$1009&amp;"",COMPUTER!$I$3:$I$1009,""),"Display",_xlfn.XLOOKUP($K426&amp;"",DISPLAY!$B$3:$B$1000&amp;"",DISPLAY!$J$3:$J$1000,""),"Network Device",_xlfn.XLOOKUP($K426&amp;"",'NETWORK-DEVICES'!$B$3:$B$987&amp;"",'NETWORK-DEVICES'!$I$3:$I$987,""),"Peripheral",_xlfn.XLOOKUP($K426&amp;"",PERIPHERAL!$B$3:$B$954&amp;"",PERIPHERAL!$I$3:$I$954,""),"Utilities",_xlfn.XLOOKUP($K426&amp;"",UTILITIES!$B$3:$B$953&amp;"",UTILITIES!$H$3:$H$953,""),"IOT",_xlfn.XLOOKUP($K426&amp;"",IOT!$B$3:$B$1012&amp;"",IOT!$I$3:$I$1012,""),"SERVER",_xlfn.XLOOKUP($K426&amp;"",SERVER!$B$3:$B$1009&amp;"",SERVER!$I$3:$I$1009,""),""))</f>
        <v/>
      </c>
      <c r="M426" t="str" cm="1">
        <f t="array" ref="M426">IF($K426="","",_xlfn.SWITCH($I426,"Computer",_xlfn.XLOOKUP($K426&amp;"",COMPUTER!$B$3:$B$1009&amp;"",COMPUTER!$J$3:$J$1009,""),"Display",_xlfn.XLOOKUP($K426&amp;"",DISPLAY!$B$3:$B$1000&amp;"",DISPLAY!$K$3:$K$1000,""),"Network Device",_xlfn.XLOOKUP($K426&amp;"",'NETWORK-DEVICES'!$B$3:$B$987&amp;"",'NETWORK-DEVICES'!$I$3:$I$987,""),"Peripheral",_xlfn.XLOOKUP($K426&amp;"",PERIPHERAL!$B$3:$B$954&amp;"",PERIPHERAL!$J$3:$J$954,""),"Utilities",_xlfn.XLOOKUP($K426&amp;"",UTILITIES!$B$3:$B$953&amp;"",UTILITIES!$I$3:$I$953,""),"IOT",_xlfn.XLOOKUP($K426&amp;"",IOT!$B$3:$B$1012&amp;"",IOT!$J$3:$J$1012,""),"Server",_xlfn.XLOOKUP($K426&amp;"",SERVER!$B$3:$B$1009&amp;"",SERVER!$J$3:$J$1009,""),""))</f>
        <v/>
      </c>
      <c r="N426" s="1" t="str" cm="1">
        <f t="array" ref="N426">IF(OR($K426="",$I426="",$J426=""),"",_xlfn.LET(_xlpm.srcCat,_xlfn.SWITCH($I426,"Computer",_xlfn.XLOOKUP($K426&amp;"",COMPUTER!$B$3:$B$1009&amp;"",COMPUTER!$H$3:$H$1009,""),"Display",_xlfn.XLOOKUP($K426&amp;"",DISPLAY!$B$3:$B$1000&amp;"",DISPLAY!$H$3:$H$1000,""),"Network Device",_xlfn.XLOOKUP($K426&amp;"",'NETWORK-DEVICES'!$B$3:$B$987&amp;"",'NETWORK-DEVICES'!$H$3:$H$987,""),"Peripheral",_xlfn.XLOOKUP($K426&amp;"",PERIPHERAL!$B$3:$B$954&amp;"",PERIPHERAL!$H$3:$H$954,""),"Utilities",_xlfn.XLOOKUP($K426&amp;"",UTILITIES!$B$3:$B$953&amp;"",UTILITIES!$G$3:$G$953,""),"IOT",_xlfn.XLOOKUP($K426&amp;"",IOT!$B$3:$B$1012&amp;"",IOT!$H$3:$H$1012,""),"Server",_xlfn.XLOOKUP($K426&amp;"",SERVER!$B$3:$B$1009&amp;"",SERVER!$H$3:$H$1009,""),""),IF(TRIM(_xlpm.srcCat)&lt;&gt;TRIM($J426),"",_xlfn.SWITCH($I426,"Computer",_xlfn.XLOOKUP($K426&amp;"",COMPUTER!$B$3:$B$1009&amp;"",COMPUTER!$K$3:$K$1009,""),"Display",_xlfn.XLOOKUP($K426&amp;"",DISPLAY!$B$3:$B$1000&amp;"",DISPLAY!$L$3:$L$1000,""),"Network Device",_xlfn.XLOOKUP($K426&amp;"",'NETWORK-DEVICES'!$B$3:$B$987&amp;"",'NETWORK-DEVICES'!$K$3:$K$987,""),"Peripheral",_xlfn.XLOOKUP($K426&amp;"",PERIPHERAL!$B$3:$B$954&amp;"",PERIPHERAL!$K$3:$K$954,""),"Utilities",_xlfn.XLOOKUP($K426&amp;"",UTILITIES!$B$3:$B$953&amp;"",UTILITIES!$J$3:$J$953,""),"IOT",_xlfn.XLOOKUP($K426&amp;"",IOT!$B$3:$B$1012&amp;"",IOT!$K$4:$K$1012,""),"Server",_xlfn.XLOOKUP($K426&amp;"",SERVER!$B$3:$B$1009&amp;"",SERVER!$K$3:$K$1009,""),""))))</f>
        <v/>
      </c>
      <c r="O426" s="1" t="str" cm="1">
        <f t="array" ref="O426">IF(OR($K426="",$I426="",$J426=""),"",_xlfn.LET(_xlpm.srcCat,_xlfn.SWITCH($I426,"Computer",_xlfn.XLOOKUP($K426&amp;"",COMPUTER!$B$3:$B$1009&amp;"",COMPUTER!$H$3:$H$1009,""),"Display",_xlfn.XLOOKUP($K426&amp;"",DISPLAY!$B$3:$B$1000&amp;"",DISPLAY!$H$3:$H$1000,""),"Network Device",_xlfn.XLOOKUP($K426&amp;"",'NETWORK-DEVICES'!$B$3:$B$987&amp;"",'NETWORK-DEVICES'!$H$3:$H$987,""),"Peripheral",_xlfn.XLOOKUP($K426&amp;"",PERIPHERAL!$B$3:$B$954&amp;"",PERIPHERAL!$H$3:$H$954,""),"Utilities",_xlfn.XLOOKUP($K426&amp;"",UTILITIES!$B$3:$B$953&amp;"",UTILITIES!$G$3:$G$953,""),"IOT",_xlfn.XLOOKUP($K426&amp;"",IOT!$B$3:$B$1012&amp;"",IOT!$H$3:$H$1012,""),"Server",_xlfn.XLOOKUP($K426&amp;"",SERVER!$B$3:$B$1009&amp;"",SERVER!$H$3:$H$1009,""),""),IF(TRIM(_xlpm.srcCat)&lt;&gt;TRIM($J426),"",_xlfn.SWITCH($I426,"Computer",_xlfn.XLOOKUP($K426&amp;"",COMPUTER!$B$3:$B$1009&amp;"",COMPUTER!$E$3:$E$1009,""),"Display",_xlfn.XLOOKUP($K426&amp;"",DISPLAY!$B$3:$B$1000&amp;"",DISPLAY!$E$3:$E$1000,""),"Network Device",_xlfn.XLOOKUP($K426&amp;"",'NETWORK-DEVICES'!$B$3:$B$987&amp;"",'NETWORK-DEVICES'!$E$3:$E$987,""),"Peripheral",_xlfn.XLOOKUP($K426&amp;"",PERIPHERAL!$B$3:$B$954&amp;"",PERIPHERAL!$E$3:$E$954,""),"Utilities",_xlfn.XLOOKUP($K426&amp;"",UTILITIES!$B$3:$B$953&amp;"",UTILITIES!$E$3:$E$953,""),"IOT",_xlfn.XLOOKUP($K426&amp;"",IOT!$B$3:$B$1012&amp;"",IOT!$E$3:$E$1012,""),"Server",_xlfn.XLOOKUP($K426&amp;"",SERVER!$B$3:$B$1009&amp;"",SERVER!$E$3:$E$1009,""),""))))</f>
        <v/>
      </c>
      <c r="Q426" s="1" t="str" cm="1">
        <f t="array" ref="Q426">IF(OR($K426="",$I426="",$J426=""),"",_xlfn.LET(_xlpm.srcCat,_xlfn.SWITCH($I426,"Computer",_xlfn.XLOOKUP($K426&amp;"",COMPUTER!$B$3:$B$1009&amp;"",COMPUTER!$H$3:$H$1009,""),"Display",_xlfn.XLOOKUP($K426&amp;"",DISPLAY!$B$3:$B$1000&amp;"",DISPLAY!$H$3:$H$1000,""),"Network Device",_xlfn.XLOOKUP($K426&amp;"",'NETWORK-DEVICES'!$B$3:$B$987&amp;"",'NETWORK-DEVICES'!$H$3:$H$987,""),"Peripheral",_xlfn.XLOOKUP($K426&amp;"",PERIPHERAL!$B$3:$B$954&amp;"",PERIPHERAL!$H$3:$H$954,""),"Utilities",_xlfn.XLOOKUP($K426&amp;"",UTILITIES!$B$3:$B$953&amp;"",UTILITIES!$G$3:$G$953,""),"IOT",_xlfn.XLOOKUP($K426&amp;"",IOT!$B$3:$B$1012&amp;"",IOT!$H$3:$H$1012,""),"Server",_xlfn.XLOOKUP($K426&amp;"",SERVER!$B$3:$B$1009&amp;"",SERVER!$H$3:$H$1009,""),""),IF(TRIM(_xlpm.srcCat)&lt;&gt;TRIM($J426),"",_xlfn.SWITCH($I426,"Computer",_xlfn.XLOOKUP($K426&amp;"",COMPUTER!$B$3:$B$1009&amp;"",COMPUTER!$AM$3:$AM$1009,""),"Display",_xlfn.XLOOKUP($K426&amp;"",DISPLAY!$B$3:$B$1000&amp;"",DISPLAY!$V$3:$V$1000,""),"Network Device",_xlfn.XLOOKUP($K426&amp;"",'NETWORK-DEVICES'!$B$3:$B$987&amp;"",'NETWORK-DEVICES'!$AF$3:$AF$987,""),"Peripheral",_xlfn.XLOOKUP($K426&amp;"",PERIPHERAL!$B$3:$B$954&amp;"",PERIPHERAL!$Y$3:$Y$954,""),"Utilities",_xlfn.XLOOKUP($K426&amp;"",UTILITIES!$B$3:$B$953&amp;"",UTILITIES!$O$3:$O$953,""),"IOT",_xlfn.XLOOKUP($K426&amp;"",IOT!$B$3:$B$1012&amp;"",IOT!$AB$3:$AB$1012,""),"Server",_xlfn.XLOOKUP($K426&amp;"",SERVER!$B$3:$B$1009&amp;"",SERVER!$AB$3:$AB$1009,""),""))))</f>
        <v/>
      </c>
      <c r="R426" s="43" t="str">
        <f>IF(tbl_handover[[#This Row],[Asset Code]]="","",COUNTIF(tbl_handover[Asset Code],tbl_handover[[#This Row],[Asset Code]]))</f>
        <v/>
      </c>
    </row>
    <row r="427" spans="1:18" x14ac:dyDescent="0.25">
      <c r="A427" s="43" t="str">
        <f>IF(B427&lt;&gt;"",SUBTOTAL(3,$B$1:B426),"")</f>
        <v/>
      </c>
      <c r="C427" s="74"/>
      <c r="D427" s="74"/>
      <c r="G427" s="1"/>
      <c r="K427" s="42"/>
      <c r="L427" t="str" cm="1">
        <f t="array" ref="L427">IF($K427="","",_xlfn.SWITCH($I427,"Computer",_xlfn.XLOOKUP($K427&amp;"",COMPUTER!$B$3:$B$1009&amp;"",COMPUTER!$I$3:$I$1009,""),"Display",_xlfn.XLOOKUP($K427&amp;"",DISPLAY!$B$3:$B$1000&amp;"",DISPLAY!$J$3:$J$1000,""),"Network Device",_xlfn.XLOOKUP($K427&amp;"",'NETWORK-DEVICES'!$B$3:$B$987&amp;"",'NETWORK-DEVICES'!$I$3:$I$987,""),"Peripheral",_xlfn.XLOOKUP($K427&amp;"",PERIPHERAL!$B$3:$B$954&amp;"",PERIPHERAL!$I$3:$I$954,""),"Utilities",_xlfn.XLOOKUP($K427&amp;"",UTILITIES!$B$3:$B$953&amp;"",UTILITIES!$H$3:$H$953,""),"IOT",_xlfn.XLOOKUP($K427&amp;"",IOT!$B$3:$B$1012&amp;"",IOT!$I$3:$I$1012,""),"SERVER",_xlfn.XLOOKUP($K427&amp;"",SERVER!$B$3:$B$1009&amp;"",SERVER!$I$3:$I$1009,""),""))</f>
        <v/>
      </c>
      <c r="M427" t="str" cm="1">
        <f t="array" ref="M427">IF($K427="","",_xlfn.SWITCH($I427,"Computer",_xlfn.XLOOKUP($K427&amp;"",COMPUTER!$B$3:$B$1009&amp;"",COMPUTER!$J$3:$J$1009,""),"Display",_xlfn.XLOOKUP($K427&amp;"",DISPLAY!$B$3:$B$1000&amp;"",DISPLAY!$K$3:$K$1000,""),"Network Device",_xlfn.XLOOKUP($K427&amp;"",'NETWORK-DEVICES'!$B$3:$B$987&amp;"",'NETWORK-DEVICES'!$I$3:$I$987,""),"Peripheral",_xlfn.XLOOKUP($K427&amp;"",PERIPHERAL!$B$3:$B$954&amp;"",PERIPHERAL!$J$3:$J$954,""),"Utilities",_xlfn.XLOOKUP($K427&amp;"",UTILITIES!$B$3:$B$953&amp;"",UTILITIES!$I$3:$I$953,""),"IOT",_xlfn.XLOOKUP($K427&amp;"",IOT!$B$3:$B$1012&amp;"",IOT!$J$3:$J$1012,""),"Server",_xlfn.XLOOKUP($K427&amp;"",SERVER!$B$3:$B$1009&amp;"",SERVER!$J$3:$J$1009,""),""))</f>
        <v/>
      </c>
      <c r="N427" s="1" t="str" cm="1">
        <f t="array" ref="N427">IF(OR($K427="",$I427="",$J427=""),"",_xlfn.LET(_xlpm.srcCat,_xlfn.SWITCH($I427,"Computer",_xlfn.XLOOKUP($K427&amp;"",COMPUTER!$B$3:$B$1009&amp;"",COMPUTER!$H$3:$H$1009,""),"Display",_xlfn.XLOOKUP($K427&amp;"",DISPLAY!$B$3:$B$1000&amp;"",DISPLAY!$H$3:$H$1000,""),"Network Device",_xlfn.XLOOKUP($K427&amp;"",'NETWORK-DEVICES'!$B$3:$B$987&amp;"",'NETWORK-DEVICES'!$H$3:$H$987,""),"Peripheral",_xlfn.XLOOKUP($K427&amp;"",PERIPHERAL!$B$3:$B$954&amp;"",PERIPHERAL!$H$3:$H$954,""),"Utilities",_xlfn.XLOOKUP($K427&amp;"",UTILITIES!$B$3:$B$953&amp;"",UTILITIES!$G$3:$G$953,""),"IOT",_xlfn.XLOOKUP($K427&amp;"",IOT!$B$3:$B$1012&amp;"",IOT!$H$3:$H$1012,""),"Server",_xlfn.XLOOKUP($K427&amp;"",SERVER!$B$3:$B$1009&amp;"",SERVER!$H$3:$H$1009,""),""),IF(TRIM(_xlpm.srcCat)&lt;&gt;TRIM($J427),"",_xlfn.SWITCH($I427,"Computer",_xlfn.XLOOKUP($K427&amp;"",COMPUTER!$B$3:$B$1009&amp;"",COMPUTER!$K$3:$K$1009,""),"Display",_xlfn.XLOOKUP($K427&amp;"",DISPLAY!$B$3:$B$1000&amp;"",DISPLAY!$L$3:$L$1000,""),"Network Device",_xlfn.XLOOKUP($K427&amp;"",'NETWORK-DEVICES'!$B$3:$B$987&amp;"",'NETWORK-DEVICES'!$K$3:$K$987,""),"Peripheral",_xlfn.XLOOKUP($K427&amp;"",PERIPHERAL!$B$3:$B$954&amp;"",PERIPHERAL!$K$3:$K$954,""),"Utilities",_xlfn.XLOOKUP($K427&amp;"",UTILITIES!$B$3:$B$953&amp;"",UTILITIES!$J$3:$J$953,""),"IOT",_xlfn.XLOOKUP($K427&amp;"",IOT!$B$3:$B$1012&amp;"",IOT!$K$4:$K$1012,""),"Server",_xlfn.XLOOKUP($K427&amp;"",SERVER!$B$3:$B$1009&amp;"",SERVER!$K$3:$K$1009,""),""))))</f>
        <v/>
      </c>
      <c r="O427" s="1" t="str" cm="1">
        <f t="array" ref="O427">IF(OR($K427="",$I427="",$J427=""),"",_xlfn.LET(_xlpm.srcCat,_xlfn.SWITCH($I427,"Computer",_xlfn.XLOOKUP($K427&amp;"",COMPUTER!$B$3:$B$1009&amp;"",COMPUTER!$H$3:$H$1009,""),"Display",_xlfn.XLOOKUP($K427&amp;"",DISPLAY!$B$3:$B$1000&amp;"",DISPLAY!$H$3:$H$1000,""),"Network Device",_xlfn.XLOOKUP($K427&amp;"",'NETWORK-DEVICES'!$B$3:$B$987&amp;"",'NETWORK-DEVICES'!$H$3:$H$987,""),"Peripheral",_xlfn.XLOOKUP($K427&amp;"",PERIPHERAL!$B$3:$B$954&amp;"",PERIPHERAL!$H$3:$H$954,""),"Utilities",_xlfn.XLOOKUP($K427&amp;"",UTILITIES!$B$3:$B$953&amp;"",UTILITIES!$G$3:$G$953,""),"IOT",_xlfn.XLOOKUP($K427&amp;"",IOT!$B$3:$B$1012&amp;"",IOT!$H$3:$H$1012,""),"Server",_xlfn.XLOOKUP($K427&amp;"",SERVER!$B$3:$B$1009&amp;"",SERVER!$H$3:$H$1009,""),""),IF(TRIM(_xlpm.srcCat)&lt;&gt;TRIM($J427),"",_xlfn.SWITCH($I427,"Computer",_xlfn.XLOOKUP($K427&amp;"",COMPUTER!$B$3:$B$1009&amp;"",COMPUTER!$E$3:$E$1009,""),"Display",_xlfn.XLOOKUP($K427&amp;"",DISPLAY!$B$3:$B$1000&amp;"",DISPLAY!$E$3:$E$1000,""),"Network Device",_xlfn.XLOOKUP($K427&amp;"",'NETWORK-DEVICES'!$B$3:$B$987&amp;"",'NETWORK-DEVICES'!$E$3:$E$987,""),"Peripheral",_xlfn.XLOOKUP($K427&amp;"",PERIPHERAL!$B$3:$B$954&amp;"",PERIPHERAL!$E$3:$E$954,""),"Utilities",_xlfn.XLOOKUP($K427&amp;"",UTILITIES!$B$3:$B$953&amp;"",UTILITIES!$E$3:$E$953,""),"IOT",_xlfn.XLOOKUP($K427&amp;"",IOT!$B$3:$B$1012&amp;"",IOT!$E$3:$E$1012,""),"Server",_xlfn.XLOOKUP($K427&amp;"",SERVER!$B$3:$B$1009&amp;"",SERVER!$E$3:$E$1009,""),""))))</f>
        <v/>
      </c>
      <c r="Q427" s="1" t="str" cm="1">
        <f t="array" ref="Q427">IF(OR($K427="",$I427="",$J427=""),"",_xlfn.LET(_xlpm.srcCat,_xlfn.SWITCH($I427,"Computer",_xlfn.XLOOKUP($K427&amp;"",COMPUTER!$B$3:$B$1009&amp;"",COMPUTER!$H$3:$H$1009,""),"Display",_xlfn.XLOOKUP($K427&amp;"",DISPLAY!$B$3:$B$1000&amp;"",DISPLAY!$H$3:$H$1000,""),"Network Device",_xlfn.XLOOKUP($K427&amp;"",'NETWORK-DEVICES'!$B$3:$B$987&amp;"",'NETWORK-DEVICES'!$H$3:$H$987,""),"Peripheral",_xlfn.XLOOKUP($K427&amp;"",PERIPHERAL!$B$3:$B$954&amp;"",PERIPHERAL!$H$3:$H$954,""),"Utilities",_xlfn.XLOOKUP($K427&amp;"",UTILITIES!$B$3:$B$953&amp;"",UTILITIES!$G$3:$G$953,""),"IOT",_xlfn.XLOOKUP($K427&amp;"",IOT!$B$3:$B$1012&amp;"",IOT!$H$3:$H$1012,""),"Server",_xlfn.XLOOKUP($K427&amp;"",SERVER!$B$3:$B$1009&amp;"",SERVER!$H$3:$H$1009,""),""),IF(TRIM(_xlpm.srcCat)&lt;&gt;TRIM($J427),"",_xlfn.SWITCH($I427,"Computer",_xlfn.XLOOKUP($K427&amp;"",COMPUTER!$B$3:$B$1009&amp;"",COMPUTER!$AM$3:$AM$1009,""),"Display",_xlfn.XLOOKUP($K427&amp;"",DISPLAY!$B$3:$B$1000&amp;"",DISPLAY!$V$3:$V$1000,""),"Network Device",_xlfn.XLOOKUP($K427&amp;"",'NETWORK-DEVICES'!$B$3:$B$987&amp;"",'NETWORK-DEVICES'!$AF$3:$AF$987,""),"Peripheral",_xlfn.XLOOKUP($K427&amp;"",PERIPHERAL!$B$3:$B$954&amp;"",PERIPHERAL!$Y$3:$Y$954,""),"Utilities",_xlfn.XLOOKUP($K427&amp;"",UTILITIES!$B$3:$B$953&amp;"",UTILITIES!$O$3:$O$953,""),"IOT",_xlfn.XLOOKUP($K427&amp;"",IOT!$B$3:$B$1012&amp;"",IOT!$AB$3:$AB$1012,""),"Server",_xlfn.XLOOKUP($K427&amp;"",SERVER!$B$3:$B$1009&amp;"",SERVER!$AB$3:$AB$1009,""),""))))</f>
        <v/>
      </c>
      <c r="R427" s="43" t="str">
        <f>IF(tbl_handover[[#This Row],[Asset Code]]="","",COUNTIF(tbl_handover[Asset Code],tbl_handover[[#This Row],[Asset Code]]))</f>
        <v/>
      </c>
    </row>
    <row r="428" spans="1:18" x14ac:dyDescent="0.25">
      <c r="A428" s="43" t="str">
        <f>IF(B428&lt;&gt;"",SUBTOTAL(3,$B$1:B427),"")</f>
        <v/>
      </c>
      <c r="C428" s="74"/>
      <c r="D428" s="74"/>
      <c r="G428" s="1"/>
      <c r="K428" s="42"/>
      <c r="L428" t="str" cm="1">
        <f t="array" ref="L428">IF($K428="","",_xlfn.SWITCH($I428,"Computer",_xlfn.XLOOKUP($K428&amp;"",COMPUTER!$B$3:$B$1009&amp;"",COMPUTER!$I$3:$I$1009,""),"Display",_xlfn.XLOOKUP($K428&amp;"",DISPLAY!$B$3:$B$1000&amp;"",DISPLAY!$J$3:$J$1000,""),"Network Device",_xlfn.XLOOKUP($K428&amp;"",'NETWORK-DEVICES'!$B$3:$B$987&amp;"",'NETWORK-DEVICES'!$I$3:$I$987,""),"Peripheral",_xlfn.XLOOKUP($K428&amp;"",PERIPHERAL!$B$3:$B$954&amp;"",PERIPHERAL!$I$3:$I$954,""),"Utilities",_xlfn.XLOOKUP($K428&amp;"",UTILITIES!$B$3:$B$953&amp;"",UTILITIES!$H$3:$H$953,""),"IOT",_xlfn.XLOOKUP($K428&amp;"",IOT!$B$3:$B$1012&amp;"",IOT!$I$3:$I$1012,""),"SERVER",_xlfn.XLOOKUP($K428&amp;"",SERVER!$B$3:$B$1009&amp;"",SERVER!$I$3:$I$1009,""),""))</f>
        <v/>
      </c>
      <c r="M428" t="str" cm="1">
        <f t="array" ref="M428">IF($K428="","",_xlfn.SWITCH($I428,"Computer",_xlfn.XLOOKUP($K428&amp;"",COMPUTER!$B$3:$B$1009&amp;"",COMPUTER!$J$3:$J$1009,""),"Display",_xlfn.XLOOKUP($K428&amp;"",DISPLAY!$B$3:$B$1000&amp;"",DISPLAY!$K$3:$K$1000,""),"Network Device",_xlfn.XLOOKUP($K428&amp;"",'NETWORK-DEVICES'!$B$3:$B$987&amp;"",'NETWORK-DEVICES'!$I$3:$I$987,""),"Peripheral",_xlfn.XLOOKUP($K428&amp;"",PERIPHERAL!$B$3:$B$954&amp;"",PERIPHERAL!$J$3:$J$954,""),"Utilities",_xlfn.XLOOKUP($K428&amp;"",UTILITIES!$B$3:$B$953&amp;"",UTILITIES!$I$3:$I$953,""),"IOT",_xlfn.XLOOKUP($K428&amp;"",IOT!$B$3:$B$1012&amp;"",IOT!$J$3:$J$1012,""),"Server",_xlfn.XLOOKUP($K428&amp;"",SERVER!$B$3:$B$1009&amp;"",SERVER!$J$3:$J$1009,""),""))</f>
        <v/>
      </c>
      <c r="N428" s="1" t="str" cm="1">
        <f t="array" ref="N428">IF(OR($K428="",$I428="",$J428=""),"",_xlfn.LET(_xlpm.srcCat,_xlfn.SWITCH($I428,"Computer",_xlfn.XLOOKUP($K428&amp;"",COMPUTER!$B$3:$B$1009&amp;"",COMPUTER!$H$3:$H$1009,""),"Display",_xlfn.XLOOKUP($K428&amp;"",DISPLAY!$B$3:$B$1000&amp;"",DISPLAY!$H$3:$H$1000,""),"Network Device",_xlfn.XLOOKUP($K428&amp;"",'NETWORK-DEVICES'!$B$3:$B$987&amp;"",'NETWORK-DEVICES'!$H$3:$H$987,""),"Peripheral",_xlfn.XLOOKUP($K428&amp;"",PERIPHERAL!$B$3:$B$954&amp;"",PERIPHERAL!$H$3:$H$954,""),"Utilities",_xlfn.XLOOKUP($K428&amp;"",UTILITIES!$B$3:$B$953&amp;"",UTILITIES!$G$3:$G$953,""),"IOT",_xlfn.XLOOKUP($K428&amp;"",IOT!$B$3:$B$1012&amp;"",IOT!$H$3:$H$1012,""),"Server",_xlfn.XLOOKUP($K428&amp;"",SERVER!$B$3:$B$1009&amp;"",SERVER!$H$3:$H$1009,""),""),IF(TRIM(_xlpm.srcCat)&lt;&gt;TRIM($J428),"",_xlfn.SWITCH($I428,"Computer",_xlfn.XLOOKUP($K428&amp;"",COMPUTER!$B$3:$B$1009&amp;"",COMPUTER!$K$3:$K$1009,""),"Display",_xlfn.XLOOKUP($K428&amp;"",DISPLAY!$B$3:$B$1000&amp;"",DISPLAY!$L$3:$L$1000,""),"Network Device",_xlfn.XLOOKUP($K428&amp;"",'NETWORK-DEVICES'!$B$3:$B$987&amp;"",'NETWORK-DEVICES'!$K$3:$K$987,""),"Peripheral",_xlfn.XLOOKUP($K428&amp;"",PERIPHERAL!$B$3:$B$954&amp;"",PERIPHERAL!$K$3:$K$954,""),"Utilities",_xlfn.XLOOKUP($K428&amp;"",UTILITIES!$B$3:$B$953&amp;"",UTILITIES!$J$3:$J$953,""),"IOT",_xlfn.XLOOKUP($K428&amp;"",IOT!$B$3:$B$1012&amp;"",IOT!$K$4:$K$1012,""),"Server",_xlfn.XLOOKUP($K428&amp;"",SERVER!$B$3:$B$1009&amp;"",SERVER!$K$3:$K$1009,""),""))))</f>
        <v/>
      </c>
      <c r="O428" s="1" t="str" cm="1">
        <f t="array" ref="O428">IF(OR($K428="",$I428="",$J428=""),"",_xlfn.LET(_xlpm.srcCat,_xlfn.SWITCH($I428,"Computer",_xlfn.XLOOKUP($K428&amp;"",COMPUTER!$B$3:$B$1009&amp;"",COMPUTER!$H$3:$H$1009,""),"Display",_xlfn.XLOOKUP($K428&amp;"",DISPLAY!$B$3:$B$1000&amp;"",DISPLAY!$H$3:$H$1000,""),"Network Device",_xlfn.XLOOKUP($K428&amp;"",'NETWORK-DEVICES'!$B$3:$B$987&amp;"",'NETWORK-DEVICES'!$H$3:$H$987,""),"Peripheral",_xlfn.XLOOKUP($K428&amp;"",PERIPHERAL!$B$3:$B$954&amp;"",PERIPHERAL!$H$3:$H$954,""),"Utilities",_xlfn.XLOOKUP($K428&amp;"",UTILITIES!$B$3:$B$953&amp;"",UTILITIES!$G$3:$G$953,""),"IOT",_xlfn.XLOOKUP($K428&amp;"",IOT!$B$3:$B$1012&amp;"",IOT!$H$3:$H$1012,""),"Server",_xlfn.XLOOKUP($K428&amp;"",SERVER!$B$3:$B$1009&amp;"",SERVER!$H$3:$H$1009,""),""),IF(TRIM(_xlpm.srcCat)&lt;&gt;TRIM($J428),"",_xlfn.SWITCH($I428,"Computer",_xlfn.XLOOKUP($K428&amp;"",COMPUTER!$B$3:$B$1009&amp;"",COMPUTER!$E$3:$E$1009,""),"Display",_xlfn.XLOOKUP($K428&amp;"",DISPLAY!$B$3:$B$1000&amp;"",DISPLAY!$E$3:$E$1000,""),"Network Device",_xlfn.XLOOKUP($K428&amp;"",'NETWORK-DEVICES'!$B$3:$B$987&amp;"",'NETWORK-DEVICES'!$E$3:$E$987,""),"Peripheral",_xlfn.XLOOKUP($K428&amp;"",PERIPHERAL!$B$3:$B$954&amp;"",PERIPHERAL!$E$3:$E$954,""),"Utilities",_xlfn.XLOOKUP($K428&amp;"",UTILITIES!$B$3:$B$953&amp;"",UTILITIES!$E$3:$E$953,""),"IOT",_xlfn.XLOOKUP($K428&amp;"",IOT!$B$3:$B$1012&amp;"",IOT!$E$3:$E$1012,""),"Server",_xlfn.XLOOKUP($K428&amp;"",SERVER!$B$3:$B$1009&amp;"",SERVER!$E$3:$E$1009,""),""))))</f>
        <v/>
      </c>
      <c r="Q428" s="1" t="str" cm="1">
        <f t="array" ref="Q428">IF(OR($K428="",$I428="",$J428=""),"",_xlfn.LET(_xlpm.srcCat,_xlfn.SWITCH($I428,"Computer",_xlfn.XLOOKUP($K428&amp;"",COMPUTER!$B$3:$B$1009&amp;"",COMPUTER!$H$3:$H$1009,""),"Display",_xlfn.XLOOKUP($K428&amp;"",DISPLAY!$B$3:$B$1000&amp;"",DISPLAY!$H$3:$H$1000,""),"Network Device",_xlfn.XLOOKUP($K428&amp;"",'NETWORK-DEVICES'!$B$3:$B$987&amp;"",'NETWORK-DEVICES'!$H$3:$H$987,""),"Peripheral",_xlfn.XLOOKUP($K428&amp;"",PERIPHERAL!$B$3:$B$954&amp;"",PERIPHERAL!$H$3:$H$954,""),"Utilities",_xlfn.XLOOKUP($K428&amp;"",UTILITIES!$B$3:$B$953&amp;"",UTILITIES!$G$3:$G$953,""),"IOT",_xlfn.XLOOKUP($K428&amp;"",IOT!$B$3:$B$1012&amp;"",IOT!$H$3:$H$1012,""),"Server",_xlfn.XLOOKUP($K428&amp;"",SERVER!$B$3:$B$1009&amp;"",SERVER!$H$3:$H$1009,""),""),IF(TRIM(_xlpm.srcCat)&lt;&gt;TRIM($J428),"",_xlfn.SWITCH($I428,"Computer",_xlfn.XLOOKUP($K428&amp;"",COMPUTER!$B$3:$B$1009&amp;"",COMPUTER!$AM$3:$AM$1009,""),"Display",_xlfn.XLOOKUP($K428&amp;"",DISPLAY!$B$3:$B$1000&amp;"",DISPLAY!$V$3:$V$1000,""),"Network Device",_xlfn.XLOOKUP($K428&amp;"",'NETWORK-DEVICES'!$B$3:$B$987&amp;"",'NETWORK-DEVICES'!$AF$3:$AF$987,""),"Peripheral",_xlfn.XLOOKUP($K428&amp;"",PERIPHERAL!$B$3:$B$954&amp;"",PERIPHERAL!$Y$3:$Y$954,""),"Utilities",_xlfn.XLOOKUP($K428&amp;"",UTILITIES!$B$3:$B$953&amp;"",UTILITIES!$O$3:$O$953,""),"IOT",_xlfn.XLOOKUP($K428&amp;"",IOT!$B$3:$B$1012&amp;"",IOT!$AB$3:$AB$1012,""),"Server",_xlfn.XLOOKUP($K428&amp;"",SERVER!$B$3:$B$1009&amp;"",SERVER!$AB$3:$AB$1009,""),""))))</f>
        <v/>
      </c>
      <c r="R428" s="43" t="str">
        <f>IF(tbl_handover[[#This Row],[Asset Code]]="","",COUNTIF(tbl_handover[Asset Code],tbl_handover[[#This Row],[Asset Code]]))</f>
        <v/>
      </c>
    </row>
    <row r="429" spans="1:18" x14ac:dyDescent="0.25">
      <c r="A429" s="43" t="str">
        <f>IF(B429&lt;&gt;"",SUBTOTAL(3,$B$1:B428),"")</f>
        <v/>
      </c>
      <c r="C429" s="74"/>
      <c r="D429" s="74"/>
      <c r="G429" s="1"/>
      <c r="K429" s="42"/>
      <c r="L429" t="str" cm="1">
        <f t="array" ref="L429">IF($K429="","",_xlfn.SWITCH($I429,"Computer",_xlfn.XLOOKUP($K429&amp;"",COMPUTER!$B$3:$B$1009&amp;"",COMPUTER!$I$3:$I$1009,""),"Display",_xlfn.XLOOKUP($K429&amp;"",DISPLAY!$B$3:$B$1000&amp;"",DISPLAY!$J$3:$J$1000,""),"Network Device",_xlfn.XLOOKUP($K429&amp;"",'NETWORK-DEVICES'!$B$3:$B$987&amp;"",'NETWORK-DEVICES'!$I$3:$I$987,""),"Peripheral",_xlfn.XLOOKUP($K429&amp;"",PERIPHERAL!$B$3:$B$954&amp;"",PERIPHERAL!$I$3:$I$954,""),"Utilities",_xlfn.XLOOKUP($K429&amp;"",UTILITIES!$B$3:$B$953&amp;"",UTILITIES!$H$3:$H$953,""),"IOT",_xlfn.XLOOKUP($K429&amp;"",IOT!$B$3:$B$1012&amp;"",IOT!$I$3:$I$1012,""),"SERVER",_xlfn.XLOOKUP($K429&amp;"",SERVER!$B$3:$B$1009&amp;"",SERVER!$I$3:$I$1009,""),""))</f>
        <v/>
      </c>
      <c r="M429" t="str" cm="1">
        <f t="array" ref="M429">IF($K429="","",_xlfn.SWITCH($I429,"Computer",_xlfn.XLOOKUP($K429&amp;"",COMPUTER!$B$3:$B$1009&amp;"",COMPUTER!$J$3:$J$1009,""),"Display",_xlfn.XLOOKUP($K429&amp;"",DISPLAY!$B$3:$B$1000&amp;"",DISPLAY!$K$3:$K$1000,""),"Network Device",_xlfn.XLOOKUP($K429&amp;"",'NETWORK-DEVICES'!$B$3:$B$987&amp;"",'NETWORK-DEVICES'!$I$3:$I$987,""),"Peripheral",_xlfn.XLOOKUP($K429&amp;"",PERIPHERAL!$B$3:$B$954&amp;"",PERIPHERAL!$J$3:$J$954,""),"Utilities",_xlfn.XLOOKUP($K429&amp;"",UTILITIES!$B$3:$B$953&amp;"",UTILITIES!$I$3:$I$953,""),"IOT",_xlfn.XLOOKUP($K429&amp;"",IOT!$B$3:$B$1012&amp;"",IOT!$J$3:$J$1012,""),"Server",_xlfn.XLOOKUP($K429&amp;"",SERVER!$B$3:$B$1009&amp;"",SERVER!$J$3:$J$1009,""),""))</f>
        <v/>
      </c>
      <c r="N429" s="1" t="str" cm="1">
        <f t="array" ref="N429">IF(OR($K429="",$I429="",$J429=""),"",_xlfn.LET(_xlpm.srcCat,_xlfn.SWITCH($I429,"Computer",_xlfn.XLOOKUP($K429&amp;"",COMPUTER!$B$3:$B$1009&amp;"",COMPUTER!$H$3:$H$1009,""),"Display",_xlfn.XLOOKUP($K429&amp;"",DISPLAY!$B$3:$B$1000&amp;"",DISPLAY!$H$3:$H$1000,""),"Network Device",_xlfn.XLOOKUP($K429&amp;"",'NETWORK-DEVICES'!$B$3:$B$987&amp;"",'NETWORK-DEVICES'!$H$3:$H$987,""),"Peripheral",_xlfn.XLOOKUP($K429&amp;"",PERIPHERAL!$B$3:$B$954&amp;"",PERIPHERAL!$H$3:$H$954,""),"Utilities",_xlfn.XLOOKUP($K429&amp;"",UTILITIES!$B$3:$B$953&amp;"",UTILITIES!$G$3:$G$953,""),"IOT",_xlfn.XLOOKUP($K429&amp;"",IOT!$B$3:$B$1012&amp;"",IOT!$H$3:$H$1012,""),"Server",_xlfn.XLOOKUP($K429&amp;"",SERVER!$B$3:$B$1009&amp;"",SERVER!$H$3:$H$1009,""),""),IF(TRIM(_xlpm.srcCat)&lt;&gt;TRIM($J429),"",_xlfn.SWITCH($I429,"Computer",_xlfn.XLOOKUP($K429&amp;"",COMPUTER!$B$3:$B$1009&amp;"",COMPUTER!$K$3:$K$1009,""),"Display",_xlfn.XLOOKUP($K429&amp;"",DISPLAY!$B$3:$B$1000&amp;"",DISPLAY!$L$3:$L$1000,""),"Network Device",_xlfn.XLOOKUP($K429&amp;"",'NETWORK-DEVICES'!$B$3:$B$987&amp;"",'NETWORK-DEVICES'!$K$3:$K$987,""),"Peripheral",_xlfn.XLOOKUP($K429&amp;"",PERIPHERAL!$B$3:$B$954&amp;"",PERIPHERAL!$K$3:$K$954,""),"Utilities",_xlfn.XLOOKUP($K429&amp;"",UTILITIES!$B$3:$B$953&amp;"",UTILITIES!$J$3:$J$953,""),"IOT",_xlfn.XLOOKUP($K429&amp;"",IOT!$B$3:$B$1012&amp;"",IOT!$K$4:$K$1012,""),"Server",_xlfn.XLOOKUP($K429&amp;"",SERVER!$B$3:$B$1009&amp;"",SERVER!$K$3:$K$1009,""),""))))</f>
        <v/>
      </c>
      <c r="O429" s="1" t="str" cm="1">
        <f t="array" ref="O429">IF(OR($K429="",$I429="",$J429=""),"",_xlfn.LET(_xlpm.srcCat,_xlfn.SWITCH($I429,"Computer",_xlfn.XLOOKUP($K429&amp;"",COMPUTER!$B$3:$B$1009&amp;"",COMPUTER!$H$3:$H$1009,""),"Display",_xlfn.XLOOKUP($K429&amp;"",DISPLAY!$B$3:$B$1000&amp;"",DISPLAY!$H$3:$H$1000,""),"Network Device",_xlfn.XLOOKUP($K429&amp;"",'NETWORK-DEVICES'!$B$3:$B$987&amp;"",'NETWORK-DEVICES'!$H$3:$H$987,""),"Peripheral",_xlfn.XLOOKUP($K429&amp;"",PERIPHERAL!$B$3:$B$954&amp;"",PERIPHERAL!$H$3:$H$954,""),"Utilities",_xlfn.XLOOKUP($K429&amp;"",UTILITIES!$B$3:$B$953&amp;"",UTILITIES!$G$3:$G$953,""),"IOT",_xlfn.XLOOKUP($K429&amp;"",IOT!$B$3:$B$1012&amp;"",IOT!$H$3:$H$1012,""),"Server",_xlfn.XLOOKUP($K429&amp;"",SERVER!$B$3:$B$1009&amp;"",SERVER!$H$3:$H$1009,""),""),IF(TRIM(_xlpm.srcCat)&lt;&gt;TRIM($J429),"",_xlfn.SWITCH($I429,"Computer",_xlfn.XLOOKUP($K429&amp;"",COMPUTER!$B$3:$B$1009&amp;"",COMPUTER!$E$3:$E$1009,""),"Display",_xlfn.XLOOKUP($K429&amp;"",DISPLAY!$B$3:$B$1000&amp;"",DISPLAY!$E$3:$E$1000,""),"Network Device",_xlfn.XLOOKUP($K429&amp;"",'NETWORK-DEVICES'!$B$3:$B$987&amp;"",'NETWORK-DEVICES'!$E$3:$E$987,""),"Peripheral",_xlfn.XLOOKUP($K429&amp;"",PERIPHERAL!$B$3:$B$954&amp;"",PERIPHERAL!$E$3:$E$954,""),"Utilities",_xlfn.XLOOKUP($K429&amp;"",UTILITIES!$B$3:$B$953&amp;"",UTILITIES!$E$3:$E$953,""),"IOT",_xlfn.XLOOKUP($K429&amp;"",IOT!$B$3:$B$1012&amp;"",IOT!$E$3:$E$1012,""),"Server",_xlfn.XLOOKUP($K429&amp;"",SERVER!$B$3:$B$1009&amp;"",SERVER!$E$3:$E$1009,""),""))))</f>
        <v/>
      </c>
      <c r="Q429" s="1" t="str" cm="1">
        <f t="array" ref="Q429">IF(OR($K429="",$I429="",$J429=""),"",_xlfn.LET(_xlpm.srcCat,_xlfn.SWITCH($I429,"Computer",_xlfn.XLOOKUP($K429&amp;"",COMPUTER!$B$3:$B$1009&amp;"",COMPUTER!$H$3:$H$1009,""),"Display",_xlfn.XLOOKUP($K429&amp;"",DISPLAY!$B$3:$B$1000&amp;"",DISPLAY!$H$3:$H$1000,""),"Network Device",_xlfn.XLOOKUP($K429&amp;"",'NETWORK-DEVICES'!$B$3:$B$987&amp;"",'NETWORK-DEVICES'!$H$3:$H$987,""),"Peripheral",_xlfn.XLOOKUP($K429&amp;"",PERIPHERAL!$B$3:$B$954&amp;"",PERIPHERAL!$H$3:$H$954,""),"Utilities",_xlfn.XLOOKUP($K429&amp;"",UTILITIES!$B$3:$B$953&amp;"",UTILITIES!$G$3:$G$953,""),"IOT",_xlfn.XLOOKUP($K429&amp;"",IOT!$B$3:$B$1012&amp;"",IOT!$H$3:$H$1012,""),"Server",_xlfn.XLOOKUP($K429&amp;"",SERVER!$B$3:$B$1009&amp;"",SERVER!$H$3:$H$1009,""),""),IF(TRIM(_xlpm.srcCat)&lt;&gt;TRIM($J429),"",_xlfn.SWITCH($I429,"Computer",_xlfn.XLOOKUP($K429&amp;"",COMPUTER!$B$3:$B$1009&amp;"",COMPUTER!$AM$3:$AM$1009,""),"Display",_xlfn.XLOOKUP($K429&amp;"",DISPLAY!$B$3:$B$1000&amp;"",DISPLAY!$V$3:$V$1000,""),"Network Device",_xlfn.XLOOKUP($K429&amp;"",'NETWORK-DEVICES'!$B$3:$B$987&amp;"",'NETWORK-DEVICES'!$AF$3:$AF$987,""),"Peripheral",_xlfn.XLOOKUP($K429&amp;"",PERIPHERAL!$B$3:$B$954&amp;"",PERIPHERAL!$Y$3:$Y$954,""),"Utilities",_xlfn.XLOOKUP($K429&amp;"",UTILITIES!$B$3:$B$953&amp;"",UTILITIES!$O$3:$O$953,""),"IOT",_xlfn.XLOOKUP($K429&amp;"",IOT!$B$3:$B$1012&amp;"",IOT!$AB$3:$AB$1012,""),"Server",_xlfn.XLOOKUP($K429&amp;"",SERVER!$B$3:$B$1009&amp;"",SERVER!$AB$3:$AB$1009,""),""))))</f>
        <v/>
      </c>
      <c r="R429" s="43" t="str">
        <f>IF(tbl_handover[[#This Row],[Asset Code]]="","",COUNTIF(tbl_handover[Asset Code],tbl_handover[[#This Row],[Asset Code]]))</f>
        <v/>
      </c>
    </row>
    <row r="430" spans="1:18" x14ac:dyDescent="0.25">
      <c r="A430" s="43" t="str">
        <f>IF(B430&lt;&gt;"",SUBTOTAL(3,$B$1:B429),"")</f>
        <v/>
      </c>
      <c r="C430" s="74"/>
      <c r="D430" s="74"/>
      <c r="G430" s="1"/>
      <c r="K430" s="42"/>
      <c r="L430" t="str" cm="1">
        <f t="array" ref="L430">IF($K430="","",_xlfn.SWITCH($I430,"Computer",_xlfn.XLOOKUP($K430&amp;"",COMPUTER!$B$3:$B$1009&amp;"",COMPUTER!$I$3:$I$1009,""),"Display",_xlfn.XLOOKUP($K430&amp;"",DISPLAY!$B$3:$B$1000&amp;"",DISPLAY!$J$3:$J$1000,""),"Network Device",_xlfn.XLOOKUP($K430&amp;"",'NETWORK-DEVICES'!$B$3:$B$987&amp;"",'NETWORK-DEVICES'!$I$3:$I$987,""),"Peripheral",_xlfn.XLOOKUP($K430&amp;"",PERIPHERAL!$B$3:$B$954&amp;"",PERIPHERAL!$I$3:$I$954,""),"Utilities",_xlfn.XLOOKUP($K430&amp;"",UTILITIES!$B$3:$B$953&amp;"",UTILITIES!$H$3:$H$953,""),"IOT",_xlfn.XLOOKUP($K430&amp;"",IOT!$B$3:$B$1012&amp;"",IOT!$I$3:$I$1012,""),"SERVER",_xlfn.XLOOKUP($K430&amp;"",SERVER!$B$3:$B$1009&amp;"",SERVER!$I$3:$I$1009,""),""))</f>
        <v/>
      </c>
      <c r="M430" t="str" cm="1">
        <f t="array" ref="M430">IF($K430="","",_xlfn.SWITCH($I430,"Computer",_xlfn.XLOOKUP($K430&amp;"",COMPUTER!$B$3:$B$1009&amp;"",COMPUTER!$J$3:$J$1009,""),"Display",_xlfn.XLOOKUP($K430&amp;"",DISPLAY!$B$3:$B$1000&amp;"",DISPLAY!$K$3:$K$1000,""),"Network Device",_xlfn.XLOOKUP($K430&amp;"",'NETWORK-DEVICES'!$B$3:$B$987&amp;"",'NETWORK-DEVICES'!$I$3:$I$987,""),"Peripheral",_xlfn.XLOOKUP($K430&amp;"",PERIPHERAL!$B$3:$B$954&amp;"",PERIPHERAL!$J$3:$J$954,""),"Utilities",_xlfn.XLOOKUP($K430&amp;"",UTILITIES!$B$3:$B$953&amp;"",UTILITIES!$I$3:$I$953,""),"IOT",_xlfn.XLOOKUP($K430&amp;"",IOT!$B$3:$B$1012&amp;"",IOT!$J$3:$J$1012,""),"Server",_xlfn.XLOOKUP($K430&amp;"",SERVER!$B$3:$B$1009&amp;"",SERVER!$J$3:$J$1009,""),""))</f>
        <v/>
      </c>
      <c r="N430" s="1" t="str" cm="1">
        <f t="array" ref="N430">IF(OR($K430="",$I430="",$J430=""),"",_xlfn.LET(_xlpm.srcCat,_xlfn.SWITCH($I430,"Computer",_xlfn.XLOOKUP($K430&amp;"",COMPUTER!$B$3:$B$1009&amp;"",COMPUTER!$H$3:$H$1009,""),"Display",_xlfn.XLOOKUP($K430&amp;"",DISPLAY!$B$3:$B$1000&amp;"",DISPLAY!$H$3:$H$1000,""),"Network Device",_xlfn.XLOOKUP($K430&amp;"",'NETWORK-DEVICES'!$B$3:$B$987&amp;"",'NETWORK-DEVICES'!$H$3:$H$987,""),"Peripheral",_xlfn.XLOOKUP($K430&amp;"",PERIPHERAL!$B$3:$B$954&amp;"",PERIPHERAL!$H$3:$H$954,""),"Utilities",_xlfn.XLOOKUP($K430&amp;"",UTILITIES!$B$3:$B$953&amp;"",UTILITIES!$G$3:$G$953,""),"IOT",_xlfn.XLOOKUP($K430&amp;"",IOT!$B$3:$B$1012&amp;"",IOT!$H$3:$H$1012,""),"Server",_xlfn.XLOOKUP($K430&amp;"",SERVER!$B$3:$B$1009&amp;"",SERVER!$H$3:$H$1009,""),""),IF(TRIM(_xlpm.srcCat)&lt;&gt;TRIM($J430),"",_xlfn.SWITCH($I430,"Computer",_xlfn.XLOOKUP($K430&amp;"",COMPUTER!$B$3:$B$1009&amp;"",COMPUTER!$K$3:$K$1009,""),"Display",_xlfn.XLOOKUP($K430&amp;"",DISPLAY!$B$3:$B$1000&amp;"",DISPLAY!$L$3:$L$1000,""),"Network Device",_xlfn.XLOOKUP($K430&amp;"",'NETWORK-DEVICES'!$B$3:$B$987&amp;"",'NETWORK-DEVICES'!$K$3:$K$987,""),"Peripheral",_xlfn.XLOOKUP($K430&amp;"",PERIPHERAL!$B$3:$B$954&amp;"",PERIPHERAL!$K$3:$K$954,""),"Utilities",_xlfn.XLOOKUP($K430&amp;"",UTILITIES!$B$3:$B$953&amp;"",UTILITIES!$J$3:$J$953,""),"IOT",_xlfn.XLOOKUP($K430&amp;"",IOT!$B$3:$B$1012&amp;"",IOT!$K$4:$K$1012,""),"Server",_xlfn.XLOOKUP($K430&amp;"",SERVER!$B$3:$B$1009&amp;"",SERVER!$K$3:$K$1009,""),""))))</f>
        <v/>
      </c>
      <c r="O430" s="1" t="str" cm="1">
        <f t="array" ref="O430">IF(OR($K430="",$I430="",$J430=""),"",_xlfn.LET(_xlpm.srcCat,_xlfn.SWITCH($I430,"Computer",_xlfn.XLOOKUP($K430&amp;"",COMPUTER!$B$3:$B$1009&amp;"",COMPUTER!$H$3:$H$1009,""),"Display",_xlfn.XLOOKUP($K430&amp;"",DISPLAY!$B$3:$B$1000&amp;"",DISPLAY!$H$3:$H$1000,""),"Network Device",_xlfn.XLOOKUP($K430&amp;"",'NETWORK-DEVICES'!$B$3:$B$987&amp;"",'NETWORK-DEVICES'!$H$3:$H$987,""),"Peripheral",_xlfn.XLOOKUP($K430&amp;"",PERIPHERAL!$B$3:$B$954&amp;"",PERIPHERAL!$H$3:$H$954,""),"Utilities",_xlfn.XLOOKUP($K430&amp;"",UTILITIES!$B$3:$B$953&amp;"",UTILITIES!$G$3:$G$953,""),"IOT",_xlfn.XLOOKUP($K430&amp;"",IOT!$B$3:$B$1012&amp;"",IOT!$H$3:$H$1012,""),"Server",_xlfn.XLOOKUP($K430&amp;"",SERVER!$B$3:$B$1009&amp;"",SERVER!$H$3:$H$1009,""),""),IF(TRIM(_xlpm.srcCat)&lt;&gt;TRIM($J430),"",_xlfn.SWITCH($I430,"Computer",_xlfn.XLOOKUP($K430&amp;"",COMPUTER!$B$3:$B$1009&amp;"",COMPUTER!$E$3:$E$1009,""),"Display",_xlfn.XLOOKUP($K430&amp;"",DISPLAY!$B$3:$B$1000&amp;"",DISPLAY!$E$3:$E$1000,""),"Network Device",_xlfn.XLOOKUP($K430&amp;"",'NETWORK-DEVICES'!$B$3:$B$987&amp;"",'NETWORK-DEVICES'!$E$3:$E$987,""),"Peripheral",_xlfn.XLOOKUP($K430&amp;"",PERIPHERAL!$B$3:$B$954&amp;"",PERIPHERAL!$E$3:$E$954,""),"Utilities",_xlfn.XLOOKUP($K430&amp;"",UTILITIES!$B$3:$B$953&amp;"",UTILITIES!$E$3:$E$953,""),"IOT",_xlfn.XLOOKUP($K430&amp;"",IOT!$B$3:$B$1012&amp;"",IOT!$E$3:$E$1012,""),"Server",_xlfn.XLOOKUP($K430&amp;"",SERVER!$B$3:$B$1009&amp;"",SERVER!$E$3:$E$1009,""),""))))</f>
        <v/>
      </c>
      <c r="Q430" s="1" t="str" cm="1">
        <f t="array" ref="Q430">IF(OR($K430="",$I430="",$J430=""),"",_xlfn.LET(_xlpm.srcCat,_xlfn.SWITCH($I430,"Computer",_xlfn.XLOOKUP($K430&amp;"",COMPUTER!$B$3:$B$1009&amp;"",COMPUTER!$H$3:$H$1009,""),"Display",_xlfn.XLOOKUP($K430&amp;"",DISPLAY!$B$3:$B$1000&amp;"",DISPLAY!$H$3:$H$1000,""),"Network Device",_xlfn.XLOOKUP($K430&amp;"",'NETWORK-DEVICES'!$B$3:$B$987&amp;"",'NETWORK-DEVICES'!$H$3:$H$987,""),"Peripheral",_xlfn.XLOOKUP($K430&amp;"",PERIPHERAL!$B$3:$B$954&amp;"",PERIPHERAL!$H$3:$H$954,""),"Utilities",_xlfn.XLOOKUP($K430&amp;"",UTILITIES!$B$3:$B$953&amp;"",UTILITIES!$G$3:$G$953,""),"IOT",_xlfn.XLOOKUP($K430&amp;"",IOT!$B$3:$B$1012&amp;"",IOT!$H$3:$H$1012,""),"Server",_xlfn.XLOOKUP($K430&amp;"",SERVER!$B$3:$B$1009&amp;"",SERVER!$H$3:$H$1009,""),""),IF(TRIM(_xlpm.srcCat)&lt;&gt;TRIM($J430),"",_xlfn.SWITCH($I430,"Computer",_xlfn.XLOOKUP($K430&amp;"",COMPUTER!$B$3:$B$1009&amp;"",COMPUTER!$AM$3:$AM$1009,""),"Display",_xlfn.XLOOKUP($K430&amp;"",DISPLAY!$B$3:$B$1000&amp;"",DISPLAY!$V$3:$V$1000,""),"Network Device",_xlfn.XLOOKUP($K430&amp;"",'NETWORK-DEVICES'!$B$3:$B$987&amp;"",'NETWORK-DEVICES'!$AF$3:$AF$987,""),"Peripheral",_xlfn.XLOOKUP($K430&amp;"",PERIPHERAL!$B$3:$B$954&amp;"",PERIPHERAL!$Y$3:$Y$954,""),"Utilities",_xlfn.XLOOKUP($K430&amp;"",UTILITIES!$B$3:$B$953&amp;"",UTILITIES!$O$3:$O$953,""),"IOT",_xlfn.XLOOKUP($K430&amp;"",IOT!$B$3:$B$1012&amp;"",IOT!$AB$3:$AB$1012,""),"Server",_xlfn.XLOOKUP($K430&amp;"",SERVER!$B$3:$B$1009&amp;"",SERVER!$AB$3:$AB$1009,""),""))))</f>
        <v/>
      </c>
      <c r="R430" s="43" t="str">
        <f>IF(tbl_handover[[#This Row],[Asset Code]]="","",COUNTIF(tbl_handover[Asset Code],tbl_handover[[#This Row],[Asset Code]]))</f>
        <v/>
      </c>
    </row>
    <row r="431" spans="1:18" x14ac:dyDescent="0.25">
      <c r="A431" s="43" t="str">
        <f>IF(B431&lt;&gt;"",SUBTOTAL(3,$B$1:B430),"")</f>
        <v/>
      </c>
      <c r="C431" s="74"/>
      <c r="D431" s="74"/>
      <c r="G431" s="1"/>
      <c r="K431" s="42"/>
      <c r="L431" t="str" cm="1">
        <f t="array" ref="L431">IF($K431="","",_xlfn.SWITCH($I431,"Computer",_xlfn.XLOOKUP($K431&amp;"",COMPUTER!$B$3:$B$1009&amp;"",COMPUTER!$I$3:$I$1009,""),"Display",_xlfn.XLOOKUP($K431&amp;"",DISPLAY!$B$3:$B$1000&amp;"",DISPLAY!$J$3:$J$1000,""),"Network Device",_xlfn.XLOOKUP($K431&amp;"",'NETWORK-DEVICES'!$B$3:$B$987&amp;"",'NETWORK-DEVICES'!$I$3:$I$987,""),"Peripheral",_xlfn.XLOOKUP($K431&amp;"",PERIPHERAL!$B$3:$B$954&amp;"",PERIPHERAL!$I$3:$I$954,""),"Utilities",_xlfn.XLOOKUP($K431&amp;"",UTILITIES!$B$3:$B$953&amp;"",UTILITIES!$H$3:$H$953,""),"IOT",_xlfn.XLOOKUP($K431&amp;"",IOT!$B$3:$B$1012&amp;"",IOT!$I$3:$I$1012,""),"SERVER",_xlfn.XLOOKUP($K431&amp;"",SERVER!$B$3:$B$1009&amp;"",SERVER!$I$3:$I$1009,""),""))</f>
        <v/>
      </c>
      <c r="M431" t="str" cm="1">
        <f t="array" ref="M431">IF($K431="","",_xlfn.SWITCH($I431,"Computer",_xlfn.XLOOKUP($K431&amp;"",COMPUTER!$B$3:$B$1009&amp;"",COMPUTER!$J$3:$J$1009,""),"Display",_xlfn.XLOOKUP($K431&amp;"",DISPLAY!$B$3:$B$1000&amp;"",DISPLAY!$K$3:$K$1000,""),"Network Device",_xlfn.XLOOKUP($K431&amp;"",'NETWORK-DEVICES'!$B$3:$B$987&amp;"",'NETWORK-DEVICES'!$I$3:$I$987,""),"Peripheral",_xlfn.XLOOKUP($K431&amp;"",PERIPHERAL!$B$3:$B$954&amp;"",PERIPHERAL!$J$3:$J$954,""),"Utilities",_xlfn.XLOOKUP($K431&amp;"",UTILITIES!$B$3:$B$953&amp;"",UTILITIES!$I$3:$I$953,""),"IOT",_xlfn.XLOOKUP($K431&amp;"",IOT!$B$3:$B$1012&amp;"",IOT!$J$3:$J$1012,""),"Server",_xlfn.XLOOKUP($K431&amp;"",SERVER!$B$3:$B$1009&amp;"",SERVER!$J$3:$J$1009,""),""))</f>
        <v/>
      </c>
      <c r="N431" s="1" t="str" cm="1">
        <f t="array" ref="N431">IF(OR($K431="",$I431="",$J431=""),"",_xlfn.LET(_xlpm.srcCat,_xlfn.SWITCH($I431,"Computer",_xlfn.XLOOKUP($K431&amp;"",COMPUTER!$B$3:$B$1009&amp;"",COMPUTER!$H$3:$H$1009,""),"Display",_xlfn.XLOOKUP($K431&amp;"",DISPLAY!$B$3:$B$1000&amp;"",DISPLAY!$H$3:$H$1000,""),"Network Device",_xlfn.XLOOKUP($K431&amp;"",'NETWORK-DEVICES'!$B$3:$B$987&amp;"",'NETWORK-DEVICES'!$H$3:$H$987,""),"Peripheral",_xlfn.XLOOKUP($K431&amp;"",PERIPHERAL!$B$3:$B$954&amp;"",PERIPHERAL!$H$3:$H$954,""),"Utilities",_xlfn.XLOOKUP($K431&amp;"",UTILITIES!$B$3:$B$953&amp;"",UTILITIES!$G$3:$G$953,""),"IOT",_xlfn.XLOOKUP($K431&amp;"",IOT!$B$3:$B$1012&amp;"",IOT!$H$3:$H$1012,""),"Server",_xlfn.XLOOKUP($K431&amp;"",SERVER!$B$3:$B$1009&amp;"",SERVER!$H$3:$H$1009,""),""),IF(TRIM(_xlpm.srcCat)&lt;&gt;TRIM($J431),"",_xlfn.SWITCH($I431,"Computer",_xlfn.XLOOKUP($K431&amp;"",COMPUTER!$B$3:$B$1009&amp;"",COMPUTER!$K$3:$K$1009,""),"Display",_xlfn.XLOOKUP($K431&amp;"",DISPLAY!$B$3:$B$1000&amp;"",DISPLAY!$L$3:$L$1000,""),"Network Device",_xlfn.XLOOKUP($K431&amp;"",'NETWORK-DEVICES'!$B$3:$B$987&amp;"",'NETWORK-DEVICES'!$K$3:$K$987,""),"Peripheral",_xlfn.XLOOKUP($K431&amp;"",PERIPHERAL!$B$3:$B$954&amp;"",PERIPHERAL!$K$3:$K$954,""),"Utilities",_xlfn.XLOOKUP($K431&amp;"",UTILITIES!$B$3:$B$953&amp;"",UTILITIES!$J$3:$J$953,""),"IOT",_xlfn.XLOOKUP($K431&amp;"",IOT!$B$3:$B$1012&amp;"",IOT!$K$4:$K$1012,""),"Server",_xlfn.XLOOKUP($K431&amp;"",SERVER!$B$3:$B$1009&amp;"",SERVER!$K$3:$K$1009,""),""))))</f>
        <v/>
      </c>
      <c r="O431" s="1" t="str" cm="1">
        <f t="array" ref="O431">IF(OR($K431="",$I431="",$J431=""),"",_xlfn.LET(_xlpm.srcCat,_xlfn.SWITCH($I431,"Computer",_xlfn.XLOOKUP($K431&amp;"",COMPUTER!$B$3:$B$1009&amp;"",COMPUTER!$H$3:$H$1009,""),"Display",_xlfn.XLOOKUP($K431&amp;"",DISPLAY!$B$3:$B$1000&amp;"",DISPLAY!$H$3:$H$1000,""),"Network Device",_xlfn.XLOOKUP($K431&amp;"",'NETWORK-DEVICES'!$B$3:$B$987&amp;"",'NETWORK-DEVICES'!$H$3:$H$987,""),"Peripheral",_xlfn.XLOOKUP($K431&amp;"",PERIPHERAL!$B$3:$B$954&amp;"",PERIPHERAL!$H$3:$H$954,""),"Utilities",_xlfn.XLOOKUP($K431&amp;"",UTILITIES!$B$3:$B$953&amp;"",UTILITIES!$G$3:$G$953,""),"IOT",_xlfn.XLOOKUP($K431&amp;"",IOT!$B$3:$B$1012&amp;"",IOT!$H$3:$H$1012,""),"Server",_xlfn.XLOOKUP($K431&amp;"",SERVER!$B$3:$B$1009&amp;"",SERVER!$H$3:$H$1009,""),""),IF(TRIM(_xlpm.srcCat)&lt;&gt;TRIM($J431),"",_xlfn.SWITCH($I431,"Computer",_xlfn.XLOOKUP($K431&amp;"",COMPUTER!$B$3:$B$1009&amp;"",COMPUTER!$E$3:$E$1009,""),"Display",_xlfn.XLOOKUP($K431&amp;"",DISPLAY!$B$3:$B$1000&amp;"",DISPLAY!$E$3:$E$1000,""),"Network Device",_xlfn.XLOOKUP($K431&amp;"",'NETWORK-DEVICES'!$B$3:$B$987&amp;"",'NETWORK-DEVICES'!$E$3:$E$987,""),"Peripheral",_xlfn.XLOOKUP($K431&amp;"",PERIPHERAL!$B$3:$B$954&amp;"",PERIPHERAL!$E$3:$E$954,""),"Utilities",_xlfn.XLOOKUP($K431&amp;"",UTILITIES!$B$3:$B$953&amp;"",UTILITIES!$E$3:$E$953,""),"IOT",_xlfn.XLOOKUP($K431&amp;"",IOT!$B$3:$B$1012&amp;"",IOT!$E$3:$E$1012,""),"Server",_xlfn.XLOOKUP($K431&amp;"",SERVER!$B$3:$B$1009&amp;"",SERVER!$E$3:$E$1009,""),""))))</f>
        <v/>
      </c>
      <c r="Q431" s="1" t="str" cm="1">
        <f t="array" ref="Q431">IF(OR($K431="",$I431="",$J431=""),"",_xlfn.LET(_xlpm.srcCat,_xlfn.SWITCH($I431,"Computer",_xlfn.XLOOKUP($K431&amp;"",COMPUTER!$B$3:$B$1009&amp;"",COMPUTER!$H$3:$H$1009,""),"Display",_xlfn.XLOOKUP($K431&amp;"",DISPLAY!$B$3:$B$1000&amp;"",DISPLAY!$H$3:$H$1000,""),"Network Device",_xlfn.XLOOKUP($K431&amp;"",'NETWORK-DEVICES'!$B$3:$B$987&amp;"",'NETWORK-DEVICES'!$H$3:$H$987,""),"Peripheral",_xlfn.XLOOKUP($K431&amp;"",PERIPHERAL!$B$3:$B$954&amp;"",PERIPHERAL!$H$3:$H$954,""),"Utilities",_xlfn.XLOOKUP($K431&amp;"",UTILITIES!$B$3:$B$953&amp;"",UTILITIES!$G$3:$G$953,""),"IOT",_xlfn.XLOOKUP($K431&amp;"",IOT!$B$3:$B$1012&amp;"",IOT!$H$3:$H$1012,""),"Server",_xlfn.XLOOKUP($K431&amp;"",SERVER!$B$3:$B$1009&amp;"",SERVER!$H$3:$H$1009,""),""),IF(TRIM(_xlpm.srcCat)&lt;&gt;TRIM($J431),"",_xlfn.SWITCH($I431,"Computer",_xlfn.XLOOKUP($K431&amp;"",COMPUTER!$B$3:$B$1009&amp;"",COMPUTER!$AM$3:$AM$1009,""),"Display",_xlfn.XLOOKUP($K431&amp;"",DISPLAY!$B$3:$B$1000&amp;"",DISPLAY!$V$3:$V$1000,""),"Network Device",_xlfn.XLOOKUP($K431&amp;"",'NETWORK-DEVICES'!$B$3:$B$987&amp;"",'NETWORK-DEVICES'!$AF$3:$AF$987,""),"Peripheral",_xlfn.XLOOKUP($K431&amp;"",PERIPHERAL!$B$3:$B$954&amp;"",PERIPHERAL!$Y$3:$Y$954,""),"Utilities",_xlfn.XLOOKUP($K431&amp;"",UTILITIES!$B$3:$B$953&amp;"",UTILITIES!$O$3:$O$953,""),"IOT",_xlfn.XLOOKUP($K431&amp;"",IOT!$B$3:$B$1012&amp;"",IOT!$AB$3:$AB$1012,""),"Server",_xlfn.XLOOKUP($K431&amp;"",SERVER!$B$3:$B$1009&amp;"",SERVER!$AB$3:$AB$1009,""),""))))</f>
        <v/>
      </c>
      <c r="R431" s="43" t="str">
        <f>IF(tbl_handover[[#This Row],[Asset Code]]="","",COUNTIF(tbl_handover[Asset Code],tbl_handover[[#This Row],[Asset Code]]))</f>
        <v/>
      </c>
    </row>
    <row r="432" spans="1:18" x14ac:dyDescent="0.25">
      <c r="A432" s="43" t="str">
        <f>IF(B432&lt;&gt;"",SUBTOTAL(3,$B$1:B431),"")</f>
        <v/>
      </c>
      <c r="C432" s="74"/>
      <c r="D432" s="74"/>
      <c r="G432" s="1"/>
      <c r="K432" s="42"/>
      <c r="L432" t="str" cm="1">
        <f t="array" ref="L432">IF($K432="","",_xlfn.SWITCH($I432,"Computer",_xlfn.XLOOKUP($K432&amp;"",COMPUTER!$B$3:$B$1009&amp;"",COMPUTER!$I$3:$I$1009,""),"Display",_xlfn.XLOOKUP($K432&amp;"",DISPLAY!$B$3:$B$1000&amp;"",DISPLAY!$J$3:$J$1000,""),"Network Device",_xlfn.XLOOKUP($K432&amp;"",'NETWORK-DEVICES'!$B$3:$B$987&amp;"",'NETWORK-DEVICES'!$I$3:$I$987,""),"Peripheral",_xlfn.XLOOKUP($K432&amp;"",PERIPHERAL!$B$3:$B$954&amp;"",PERIPHERAL!$I$3:$I$954,""),"Utilities",_xlfn.XLOOKUP($K432&amp;"",UTILITIES!$B$3:$B$953&amp;"",UTILITIES!$H$3:$H$953,""),"IOT",_xlfn.XLOOKUP($K432&amp;"",IOT!$B$3:$B$1012&amp;"",IOT!$I$3:$I$1012,""),"SERVER",_xlfn.XLOOKUP($K432&amp;"",SERVER!$B$3:$B$1009&amp;"",SERVER!$I$3:$I$1009,""),""))</f>
        <v/>
      </c>
      <c r="M432" t="str" cm="1">
        <f t="array" ref="M432">IF($K432="","",_xlfn.SWITCH($I432,"Computer",_xlfn.XLOOKUP($K432&amp;"",COMPUTER!$B$3:$B$1009&amp;"",COMPUTER!$J$3:$J$1009,""),"Display",_xlfn.XLOOKUP($K432&amp;"",DISPLAY!$B$3:$B$1000&amp;"",DISPLAY!$K$3:$K$1000,""),"Network Device",_xlfn.XLOOKUP($K432&amp;"",'NETWORK-DEVICES'!$B$3:$B$987&amp;"",'NETWORK-DEVICES'!$I$3:$I$987,""),"Peripheral",_xlfn.XLOOKUP($K432&amp;"",PERIPHERAL!$B$3:$B$954&amp;"",PERIPHERAL!$J$3:$J$954,""),"Utilities",_xlfn.XLOOKUP($K432&amp;"",UTILITIES!$B$3:$B$953&amp;"",UTILITIES!$I$3:$I$953,""),"IOT",_xlfn.XLOOKUP($K432&amp;"",IOT!$B$3:$B$1012&amp;"",IOT!$J$3:$J$1012,""),"Server",_xlfn.XLOOKUP($K432&amp;"",SERVER!$B$3:$B$1009&amp;"",SERVER!$J$3:$J$1009,""),""))</f>
        <v/>
      </c>
      <c r="N432" s="1" t="str" cm="1">
        <f t="array" ref="N432">IF(OR($K432="",$I432="",$J432=""),"",_xlfn.LET(_xlpm.srcCat,_xlfn.SWITCH($I432,"Computer",_xlfn.XLOOKUP($K432&amp;"",COMPUTER!$B$3:$B$1009&amp;"",COMPUTER!$H$3:$H$1009,""),"Display",_xlfn.XLOOKUP($K432&amp;"",DISPLAY!$B$3:$B$1000&amp;"",DISPLAY!$H$3:$H$1000,""),"Network Device",_xlfn.XLOOKUP($K432&amp;"",'NETWORK-DEVICES'!$B$3:$B$987&amp;"",'NETWORK-DEVICES'!$H$3:$H$987,""),"Peripheral",_xlfn.XLOOKUP($K432&amp;"",PERIPHERAL!$B$3:$B$954&amp;"",PERIPHERAL!$H$3:$H$954,""),"Utilities",_xlfn.XLOOKUP($K432&amp;"",UTILITIES!$B$3:$B$953&amp;"",UTILITIES!$G$3:$G$953,""),"IOT",_xlfn.XLOOKUP($K432&amp;"",IOT!$B$3:$B$1012&amp;"",IOT!$H$3:$H$1012,""),"Server",_xlfn.XLOOKUP($K432&amp;"",SERVER!$B$3:$B$1009&amp;"",SERVER!$H$3:$H$1009,""),""),IF(TRIM(_xlpm.srcCat)&lt;&gt;TRIM($J432),"",_xlfn.SWITCH($I432,"Computer",_xlfn.XLOOKUP($K432&amp;"",COMPUTER!$B$3:$B$1009&amp;"",COMPUTER!$K$3:$K$1009,""),"Display",_xlfn.XLOOKUP($K432&amp;"",DISPLAY!$B$3:$B$1000&amp;"",DISPLAY!$L$3:$L$1000,""),"Network Device",_xlfn.XLOOKUP($K432&amp;"",'NETWORK-DEVICES'!$B$3:$B$987&amp;"",'NETWORK-DEVICES'!$K$3:$K$987,""),"Peripheral",_xlfn.XLOOKUP($K432&amp;"",PERIPHERAL!$B$3:$B$954&amp;"",PERIPHERAL!$K$3:$K$954,""),"Utilities",_xlfn.XLOOKUP($K432&amp;"",UTILITIES!$B$3:$B$953&amp;"",UTILITIES!$J$3:$J$953,""),"IOT",_xlfn.XLOOKUP($K432&amp;"",IOT!$B$3:$B$1012&amp;"",IOT!$K$4:$K$1012,""),"Server",_xlfn.XLOOKUP($K432&amp;"",SERVER!$B$3:$B$1009&amp;"",SERVER!$K$3:$K$1009,""),""))))</f>
        <v/>
      </c>
      <c r="O432" s="1" t="str" cm="1">
        <f t="array" ref="O432">IF(OR($K432="",$I432="",$J432=""),"",_xlfn.LET(_xlpm.srcCat,_xlfn.SWITCH($I432,"Computer",_xlfn.XLOOKUP($K432&amp;"",COMPUTER!$B$3:$B$1009&amp;"",COMPUTER!$H$3:$H$1009,""),"Display",_xlfn.XLOOKUP($K432&amp;"",DISPLAY!$B$3:$B$1000&amp;"",DISPLAY!$H$3:$H$1000,""),"Network Device",_xlfn.XLOOKUP($K432&amp;"",'NETWORK-DEVICES'!$B$3:$B$987&amp;"",'NETWORK-DEVICES'!$H$3:$H$987,""),"Peripheral",_xlfn.XLOOKUP($K432&amp;"",PERIPHERAL!$B$3:$B$954&amp;"",PERIPHERAL!$H$3:$H$954,""),"Utilities",_xlfn.XLOOKUP($K432&amp;"",UTILITIES!$B$3:$B$953&amp;"",UTILITIES!$G$3:$G$953,""),"IOT",_xlfn.XLOOKUP($K432&amp;"",IOT!$B$3:$B$1012&amp;"",IOT!$H$3:$H$1012,""),"Server",_xlfn.XLOOKUP($K432&amp;"",SERVER!$B$3:$B$1009&amp;"",SERVER!$H$3:$H$1009,""),""),IF(TRIM(_xlpm.srcCat)&lt;&gt;TRIM($J432),"",_xlfn.SWITCH($I432,"Computer",_xlfn.XLOOKUP($K432&amp;"",COMPUTER!$B$3:$B$1009&amp;"",COMPUTER!$E$3:$E$1009,""),"Display",_xlfn.XLOOKUP($K432&amp;"",DISPLAY!$B$3:$B$1000&amp;"",DISPLAY!$E$3:$E$1000,""),"Network Device",_xlfn.XLOOKUP($K432&amp;"",'NETWORK-DEVICES'!$B$3:$B$987&amp;"",'NETWORK-DEVICES'!$E$3:$E$987,""),"Peripheral",_xlfn.XLOOKUP($K432&amp;"",PERIPHERAL!$B$3:$B$954&amp;"",PERIPHERAL!$E$3:$E$954,""),"Utilities",_xlfn.XLOOKUP($K432&amp;"",UTILITIES!$B$3:$B$953&amp;"",UTILITIES!$E$3:$E$953,""),"IOT",_xlfn.XLOOKUP($K432&amp;"",IOT!$B$3:$B$1012&amp;"",IOT!$E$3:$E$1012,""),"Server",_xlfn.XLOOKUP($K432&amp;"",SERVER!$B$3:$B$1009&amp;"",SERVER!$E$3:$E$1009,""),""))))</f>
        <v/>
      </c>
      <c r="Q432" s="1" t="str" cm="1">
        <f t="array" ref="Q432">IF(OR($K432="",$I432="",$J432=""),"",_xlfn.LET(_xlpm.srcCat,_xlfn.SWITCH($I432,"Computer",_xlfn.XLOOKUP($K432&amp;"",COMPUTER!$B$3:$B$1009&amp;"",COMPUTER!$H$3:$H$1009,""),"Display",_xlfn.XLOOKUP($K432&amp;"",DISPLAY!$B$3:$B$1000&amp;"",DISPLAY!$H$3:$H$1000,""),"Network Device",_xlfn.XLOOKUP($K432&amp;"",'NETWORK-DEVICES'!$B$3:$B$987&amp;"",'NETWORK-DEVICES'!$H$3:$H$987,""),"Peripheral",_xlfn.XLOOKUP($K432&amp;"",PERIPHERAL!$B$3:$B$954&amp;"",PERIPHERAL!$H$3:$H$954,""),"Utilities",_xlfn.XLOOKUP($K432&amp;"",UTILITIES!$B$3:$B$953&amp;"",UTILITIES!$G$3:$G$953,""),"IOT",_xlfn.XLOOKUP($K432&amp;"",IOT!$B$3:$B$1012&amp;"",IOT!$H$3:$H$1012,""),"Server",_xlfn.XLOOKUP($K432&amp;"",SERVER!$B$3:$B$1009&amp;"",SERVER!$H$3:$H$1009,""),""),IF(TRIM(_xlpm.srcCat)&lt;&gt;TRIM($J432),"",_xlfn.SWITCH($I432,"Computer",_xlfn.XLOOKUP($K432&amp;"",COMPUTER!$B$3:$B$1009&amp;"",COMPUTER!$AM$3:$AM$1009,""),"Display",_xlfn.XLOOKUP($K432&amp;"",DISPLAY!$B$3:$B$1000&amp;"",DISPLAY!$V$3:$V$1000,""),"Network Device",_xlfn.XLOOKUP($K432&amp;"",'NETWORK-DEVICES'!$B$3:$B$987&amp;"",'NETWORK-DEVICES'!$AF$3:$AF$987,""),"Peripheral",_xlfn.XLOOKUP($K432&amp;"",PERIPHERAL!$B$3:$B$954&amp;"",PERIPHERAL!$Y$3:$Y$954,""),"Utilities",_xlfn.XLOOKUP($K432&amp;"",UTILITIES!$B$3:$B$953&amp;"",UTILITIES!$O$3:$O$953,""),"IOT",_xlfn.XLOOKUP($K432&amp;"",IOT!$B$3:$B$1012&amp;"",IOT!$AB$3:$AB$1012,""),"Server",_xlfn.XLOOKUP($K432&amp;"",SERVER!$B$3:$B$1009&amp;"",SERVER!$AB$3:$AB$1009,""),""))))</f>
        <v/>
      </c>
      <c r="R432" s="43" t="str">
        <f>IF(tbl_handover[[#This Row],[Asset Code]]="","",COUNTIF(tbl_handover[Asset Code],tbl_handover[[#This Row],[Asset Code]]))</f>
        <v/>
      </c>
    </row>
    <row r="433" spans="1:18" x14ac:dyDescent="0.25">
      <c r="A433" s="43" t="str">
        <f>IF(B433&lt;&gt;"",SUBTOTAL(3,$B$1:B432),"")</f>
        <v/>
      </c>
      <c r="C433" s="74"/>
      <c r="D433" s="74"/>
      <c r="G433" s="1"/>
      <c r="K433" s="42"/>
      <c r="L433" t="str" cm="1">
        <f t="array" ref="L433">IF($K433="","",_xlfn.SWITCH($I433,"Computer",_xlfn.XLOOKUP($K433&amp;"",COMPUTER!$B$3:$B$1009&amp;"",COMPUTER!$I$3:$I$1009,""),"Display",_xlfn.XLOOKUP($K433&amp;"",DISPLAY!$B$3:$B$1000&amp;"",DISPLAY!$J$3:$J$1000,""),"Network Device",_xlfn.XLOOKUP($K433&amp;"",'NETWORK-DEVICES'!$B$3:$B$987&amp;"",'NETWORK-DEVICES'!$I$3:$I$987,""),"Peripheral",_xlfn.XLOOKUP($K433&amp;"",PERIPHERAL!$B$3:$B$954&amp;"",PERIPHERAL!$I$3:$I$954,""),"Utilities",_xlfn.XLOOKUP($K433&amp;"",UTILITIES!$B$3:$B$953&amp;"",UTILITIES!$H$3:$H$953,""),"IOT",_xlfn.XLOOKUP($K433&amp;"",IOT!$B$3:$B$1012&amp;"",IOT!$I$3:$I$1012,""),"SERVER",_xlfn.XLOOKUP($K433&amp;"",SERVER!$B$3:$B$1009&amp;"",SERVER!$I$3:$I$1009,""),""))</f>
        <v/>
      </c>
      <c r="M433" t="str" cm="1">
        <f t="array" ref="M433">IF($K433="","",_xlfn.SWITCH($I433,"Computer",_xlfn.XLOOKUP($K433&amp;"",COMPUTER!$B$3:$B$1009&amp;"",COMPUTER!$J$3:$J$1009,""),"Display",_xlfn.XLOOKUP($K433&amp;"",DISPLAY!$B$3:$B$1000&amp;"",DISPLAY!$K$3:$K$1000,""),"Network Device",_xlfn.XLOOKUP($K433&amp;"",'NETWORK-DEVICES'!$B$3:$B$987&amp;"",'NETWORK-DEVICES'!$I$3:$I$987,""),"Peripheral",_xlfn.XLOOKUP($K433&amp;"",PERIPHERAL!$B$3:$B$954&amp;"",PERIPHERAL!$J$3:$J$954,""),"Utilities",_xlfn.XLOOKUP($K433&amp;"",UTILITIES!$B$3:$B$953&amp;"",UTILITIES!$I$3:$I$953,""),"IOT",_xlfn.XLOOKUP($K433&amp;"",IOT!$B$3:$B$1012&amp;"",IOT!$J$3:$J$1012,""),"Server",_xlfn.XLOOKUP($K433&amp;"",SERVER!$B$3:$B$1009&amp;"",SERVER!$J$3:$J$1009,""),""))</f>
        <v/>
      </c>
      <c r="N433" s="1" t="str" cm="1">
        <f t="array" ref="N433">IF(OR($K433="",$I433="",$J433=""),"",_xlfn.LET(_xlpm.srcCat,_xlfn.SWITCH($I433,"Computer",_xlfn.XLOOKUP($K433&amp;"",COMPUTER!$B$3:$B$1009&amp;"",COMPUTER!$H$3:$H$1009,""),"Display",_xlfn.XLOOKUP($K433&amp;"",DISPLAY!$B$3:$B$1000&amp;"",DISPLAY!$H$3:$H$1000,""),"Network Device",_xlfn.XLOOKUP($K433&amp;"",'NETWORK-DEVICES'!$B$3:$B$987&amp;"",'NETWORK-DEVICES'!$H$3:$H$987,""),"Peripheral",_xlfn.XLOOKUP($K433&amp;"",PERIPHERAL!$B$3:$B$954&amp;"",PERIPHERAL!$H$3:$H$954,""),"Utilities",_xlfn.XLOOKUP($K433&amp;"",UTILITIES!$B$3:$B$953&amp;"",UTILITIES!$G$3:$G$953,""),"IOT",_xlfn.XLOOKUP($K433&amp;"",IOT!$B$3:$B$1012&amp;"",IOT!$H$3:$H$1012,""),"Server",_xlfn.XLOOKUP($K433&amp;"",SERVER!$B$3:$B$1009&amp;"",SERVER!$H$3:$H$1009,""),""),IF(TRIM(_xlpm.srcCat)&lt;&gt;TRIM($J433),"",_xlfn.SWITCH($I433,"Computer",_xlfn.XLOOKUP($K433&amp;"",COMPUTER!$B$3:$B$1009&amp;"",COMPUTER!$K$3:$K$1009,""),"Display",_xlfn.XLOOKUP($K433&amp;"",DISPLAY!$B$3:$B$1000&amp;"",DISPLAY!$L$3:$L$1000,""),"Network Device",_xlfn.XLOOKUP($K433&amp;"",'NETWORK-DEVICES'!$B$3:$B$987&amp;"",'NETWORK-DEVICES'!$K$3:$K$987,""),"Peripheral",_xlfn.XLOOKUP($K433&amp;"",PERIPHERAL!$B$3:$B$954&amp;"",PERIPHERAL!$K$3:$K$954,""),"Utilities",_xlfn.XLOOKUP($K433&amp;"",UTILITIES!$B$3:$B$953&amp;"",UTILITIES!$J$3:$J$953,""),"IOT",_xlfn.XLOOKUP($K433&amp;"",IOT!$B$3:$B$1012&amp;"",IOT!$K$4:$K$1012,""),"Server",_xlfn.XLOOKUP($K433&amp;"",SERVER!$B$3:$B$1009&amp;"",SERVER!$K$3:$K$1009,""),""))))</f>
        <v/>
      </c>
      <c r="O433" s="1" t="str" cm="1">
        <f t="array" ref="O433">IF(OR($K433="",$I433="",$J433=""),"",_xlfn.LET(_xlpm.srcCat,_xlfn.SWITCH($I433,"Computer",_xlfn.XLOOKUP($K433&amp;"",COMPUTER!$B$3:$B$1009&amp;"",COMPUTER!$H$3:$H$1009,""),"Display",_xlfn.XLOOKUP($K433&amp;"",DISPLAY!$B$3:$B$1000&amp;"",DISPLAY!$H$3:$H$1000,""),"Network Device",_xlfn.XLOOKUP($K433&amp;"",'NETWORK-DEVICES'!$B$3:$B$987&amp;"",'NETWORK-DEVICES'!$H$3:$H$987,""),"Peripheral",_xlfn.XLOOKUP($K433&amp;"",PERIPHERAL!$B$3:$B$954&amp;"",PERIPHERAL!$H$3:$H$954,""),"Utilities",_xlfn.XLOOKUP($K433&amp;"",UTILITIES!$B$3:$B$953&amp;"",UTILITIES!$G$3:$G$953,""),"IOT",_xlfn.XLOOKUP($K433&amp;"",IOT!$B$3:$B$1012&amp;"",IOT!$H$3:$H$1012,""),"Server",_xlfn.XLOOKUP($K433&amp;"",SERVER!$B$3:$B$1009&amp;"",SERVER!$H$3:$H$1009,""),""),IF(TRIM(_xlpm.srcCat)&lt;&gt;TRIM($J433),"",_xlfn.SWITCH($I433,"Computer",_xlfn.XLOOKUP($K433&amp;"",COMPUTER!$B$3:$B$1009&amp;"",COMPUTER!$E$3:$E$1009,""),"Display",_xlfn.XLOOKUP($K433&amp;"",DISPLAY!$B$3:$B$1000&amp;"",DISPLAY!$E$3:$E$1000,""),"Network Device",_xlfn.XLOOKUP($K433&amp;"",'NETWORK-DEVICES'!$B$3:$B$987&amp;"",'NETWORK-DEVICES'!$E$3:$E$987,""),"Peripheral",_xlfn.XLOOKUP($K433&amp;"",PERIPHERAL!$B$3:$B$954&amp;"",PERIPHERAL!$E$3:$E$954,""),"Utilities",_xlfn.XLOOKUP($K433&amp;"",UTILITIES!$B$3:$B$953&amp;"",UTILITIES!$E$3:$E$953,""),"IOT",_xlfn.XLOOKUP($K433&amp;"",IOT!$B$3:$B$1012&amp;"",IOT!$E$3:$E$1012,""),"Server",_xlfn.XLOOKUP($K433&amp;"",SERVER!$B$3:$B$1009&amp;"",SERVER!$E$3:$E$1009,""),""))))</f>
        <v/>
      </c>
      <c r="Q433" s="1" t="str" cm="1">
        <f t="array" ref="Q433">IF(OR($K433="",$I433="",$J433=""),"",_xlfn.LET(_xlpm.srcCat,_xlfn.SWITCH($I433,"Computer",_xlfn.XLOOKUP($K433&amp;"",COMPUTER!$B$3:$B$1009&amp;"",COMPUTER!$H$3:$H$1009,""),"Display",_xlfn.XLOOKUP($K433&amp;"",DISPLAY!$B$3:$B$1000&amp;"",DISPLAY!$H$3:$H$1000,""),"Network Device",_xlfn.XLOOKUP($K433&amp;"",'NETWORK-DEVICES'!$B$3:$B$987&amp;"",'NETWORK-DEVICES'!$H$3:$H$987,""),"Peripheral",_xlfn.XLOOKUP($K433&amp;"",PERIPHERAL!$B$3:$B$954&amp;"",PERIPHERAL!$H$3:$H$954,""),"Utilities",_xlfn.XLOOKUP($K433&amp;"",UTILITIES!$B$3:$B$953&amp;"",UTILITIES!$G$3:$G$953,""),"IOT",_xlfn.XLOOKUP($K433&amp;"",IOT!$B$3:$B$1012&amp;"",IOT!$H$3:$H$1012,""),"Server",_xlfn.XLOOKUP($K433&amp;"",SERVER!$B$3:$B$1009&amp;"",SERVER!$H$3:$H$1009,""),""),IF(TRIM(_xlpm.srcCat)&lt;&gt;TRIM($J433),"",_xlfn.SWITCH($I433,"Computer",_xlfn.XLOOKUP($K433&amp;"",COMPUTER!$B$3:$B$1009&amp;"",COMPUTER!$AM$3:$AM$1009,""),"Display",_xlfn.XLOOKUP($K433&amp;"",DISPLAY!$B$3:$B$1000&amp;"",DISPLAY!$V$3:$V$1000,""),"Network Device",_xlfn.XLOOKUP($K433&amp;"",'NETWORK-DEVICES'!$B$3:$B$987&amp;"",'NETWORK-DEVICES'!$AF$3:$AF$987,""),"Peripheral",_xlfn.XLOOKUP($K433&amp;"",PERIPHERAL!$B$3:$B$954&amp;"",PERIPHERAL!$Y$3:$Y$954,""),"Utilities",_xlfn.XLOOKUP($K433&amp;"",UTILITIES!$B$3:$B$953&amp;"",UTILITIES!$O$3:$O$953,""),"IOT",_xlfn.XLOOKUP($K433&amp;"",IOT!$B$3:$B$1012&amp;"",IOT!$AB$3:$AB$1012,""),"Server",_xlfn.XLOOKUP($K433&amp;"",SERVER!$B$3:$B$1009&amp;"",SERVER!$AB$3:$AB$1009,""),""))))</f>
        <v/>
      </c>
      <c r="R433" s="43" t="str">
        <f>IF(tbl_handover[[#This Row],[Asset Code]]="","",COUNTIF(tbl_handover[Asset Code],tbl_handover[[#This Row],[Asset Code]]))</f>
        <v/>
      </c>
    </row>
    <row r="434" spans="1:18" x14ac:dyDescent="0.25">
      <c r="A434" s="43" t="str">
        <f>IF(B434&lt;&gt;"",SUBTOTAL(3,$B$1:B433),"")</f>
        <v/>
      </c>
      <c r="C434" s="74"/>
      <c r="D434" s="74"/>
      <c r="G434" s="1"/>
      <c r="K434" s="42"/>
      <c r="L434" t="str" cm="1">
        <f t="array" ref="L434">IF($K434="","",_xlfn.SWITCH($I434,"Computer",_xlfn.XLOOKUP($K434&amp;"",COMPUTER!$B$3:$B$1009&amp;"",COMPUTER!$I$3:$I$1009,""),"Display",_xlfn.XLOOKUP($K434&amp;"",DISPLAY!$B$3:$B$1000&amp;"",DISPLAY!$J$3:$J$1000,""),"Network Device",_xlfn.XLOOKUP($K434&amp;"",'NETWORK-DEVICES'!$B$3:$B$987&amp;"",'NETWORK-DEVICES'!$I$3:$I$987,""),"Peripheral",_xlfn.XLOOKUP($K434&amp;"",PERIPHERAL!$B$3:$B$954&amp;"",PERIPHERAL!$I$3:$I$954,""),"Utilities",_xlfn.XLOOKUP($K434&amp;"",UTILITIES!$B$3:$B$953&amp;"",UTILITIES!$H$3:$H$953,""),"IOT",_xlfn.XLOOKUP($K434&amp;"",IOT!$B$3:$B$1012&amp;"",IOT!$I$3:$I$1012,""),"SERVER",_xlfn.XLOOKUP($K434&amp;"",SERVER!$B$3:$B$1009&amp;"",SERVER!$I$3:$I$1009,""),""))</f>
        <v/>
      </c>
      <c r="M434" t="str" cm="1">
        <f t="array" ref="M434">IF($K434="","",_xlfn.SWITCH($I434,"Computer",_xlfn.XLOOKUP($K434&amp;"",COMPUTER!$B$3:$B$1009&amp;"",COMPUTER!$J$3:$J$1009,""),"Display",_xlfn.XLOOKUP($K434&amp;"",DISPLAY!$B$3:$B$1000&amp;"",DISPLAY!$K$3:$K$1000,""),"Network Device",_xlfn.XLOOKUP($K434&amp;"",'NETWORK-DEVICES'!$B$3:$B$987&amp;"",'NETWORK-DEVICES'!$I$3:$I$987,""),"Peripheral",_xlfn.XLOOKUP($K434&amp;"",PERIPHERAL!$B$3:$B$954&amp;"",PERIPHERAL!$J$3:$J$954,""),"Utilities",_xlfn.XLOOKUP($K434&amp;"",UTILITIES!$B$3:$B$953&amp;"",UTILITIES!$I$3:$I$953,""),"IOT",_xlfn.XLOOKUP($K434&amp;"",IOT!$B$3:$B$1012&amp;"",IOT!$J$3:$J$1012,""),"Server",_xlfn.XLOOKUP($K434&amp;"",SERVER!$B$3:$B$1009&amp;"",SERVER!$J$3:$J$1009,""),""))</f>
        <v/>
      </c>
      <c r="N434" s="1" t="str" cm="1">
        <f t="array" ref="N434">IF(OR($K434="",$I434="",$J434=""),"",_xlfn.LET(_xlpm.srcCat,_xlfn.SWITCH($I434,"Computer",_xlfn.XLOOKUP($K434&amp;"",COMPUTER!$B$3:$B$1009&amp;"",COMPUTER!$H$3:$H$1009,""),"Display",_xlfn.XLOOKUP($K434&amp;"",DISPLAY!$B$3:$B$1000&amp;"",DISPLAY!$H$3:$H$1000,""),"Network Device",_xlfn.XLOOKUP($K434&amp;"",'NETWORK-DEVICES'!$B$3:$B$987&amp;"",'NETWORK-DEVICES'!$H$3:$H$987,""),"Peripheral",_xlfn.XLOOKUP($K434&amp;"",PERIPHERAL!$B$3:$B$954&amp;"",PERIPHERAL!$H$3:$H$954,""),"Utilities",_xlfn.XLOOKUP($K434&amp;"",UTILITIES!$B$3:$B$953&amp;"",UTILITIES!$G$3:$G$953,""),"IOT",_xlfn.XLOOKUP($K434&amp;"",IOT!$B$3:$B$1012&amp;"",IOT!$H$3:$H$1012,""),"Server",_xlfn.XLOOKUP($K434&amp;"",SERVER!$B$3:$B$1009&amp;"",SERVER!$H$3:$H$1009,""),""),IF(TRIM(_xlpm.srcCat)&lt;&gt;TRIM($J434),"",_xlfn.SWITCH($I434,"Computer",_xlfn.XLOOKUP($K434&amp;"",COMPUTER!$B$3:$B$1009&amp;"",COMPUTER!$K$3:$K$1009,""),"Display",_xlfn.XLOOKUP($K434&amp;"",DISPLAY!$B$3:$B$1000&amp;"",DISPLAY!$L$3:$L$1000,""),"Network Device",_xlfn.XLOOKUP($K434&amp;"",'NETWORK-DEVICES'!$B$3:$B$987&amp;"",'NETWORK-DEVICES'!$K$3:$K$987,""),"Peripheral",_xlfn.XLOOKUP($K434&amp;"",PERIPHERAL!$B$3:$B$954&amp;"",PERIPHERAL!$K$3:$K$954,""),"Utilities",_xlfn.XLOOKUP($K434&amp;"",UTILITIES!$B$3:$B$953&amp;"",UTILITIES!$J$3:$J$953,""),"IOT",_xlfn.XLOOKUP($K434&amp;"",IOT!$B$3:$B$1012&amp;"",IOT!$K$4:$K$1012,""),"Server",_xlfn.XLOOKUP($K434&amp;"",SERVER!$B$3:$B$1009&amp;"",SERVER!$K$3:$K$1009,""),""))))</f>
        <v/>
      </c>
      <c r="O434" s="1" t="str" cm="1">
        <f t="array" ref="O434">IF(OR($K434="",$I434="",$J434=""),"",_xlfn.LET(_xlpm.srcCat,_xlfn.SWITCH($I434,"Computer",_xlfn.XLOOKUP($K434&amp;"",COMPUTER!$B$3:$B$1009&amp;"",COMPUTER!$H$3:$H$1009,""),"Display",_xlfn.XLOOKUP($K434&amp;"",DISPLAY!$B$3:$B$1000&amp;"",DISPLAY!$H$3:$H$1000,""),"Network Device",_xlfn.XLOOKUP($K434&amp;"",'NETWORK-DEVICES'!$B$3:$B$987&amp;"",'NETWORK-DEVICES'!$H$3:$H$987,""),"Peripheral",_xlfn.XLOOKUP($K434&amp;"",PERIPHERAL!$B$3:$B$954&amp;"",PERIPHERAL!$H$3:$H$954,""),"Utilities",_xlfn.XLOOKUP($K434&amp;"",UTILITIES!$B$3:$B$953&amp;"",UTILITIES!$G$3:$G$953,""),"IOT",_xlfn.XLOOKUP($K434&amp;"",IOT!$B$3:$B$1012&amp;"",IOT!$H$3:$H$1012,""),"Server",_xlfn.XLOOKUP($K434&amp;"",SERVER!$B$3:$B$1009&amp;"",SERVER!$H$3:$H$1009,""),""),IF(TRIM(_xlpm.srcCat)&lt;&gt;TRIM($J434),"",_xlfn.SWITCH($I434,"Computer",_xlfn.XLOOKUP($K434&amp;"",COMPUTER!$B$3:$B$1009&amp;"",COMPUTER!$E$3:$E$1009,""),"Display",_xlfn.XLOOKUP($K434&amp;"",DISPLAY!$B$3:$B$1000&amp;"",DISPLAY!$E$3:$E$1000,""),"Network Device",_xlfn.XLOOKUP($K434&amp;"",'NETWORK-DEVICES'!$B$3:$B$987&amp;"",'NETWORK-DEVICES'!$E$3:$E$987,""),"Peripheral",_xlfn.XLOOKUP($K434&amp;"",PERIPHERAL!$B$3:$B$954&amp;"",PERIPHERAL!$E$3:$E$954,""),"Utilities",_xlfn.XLOOKUP($K434&amp;"",UTILITIES!$B$3:$B$953&amp;"",UTILITIES!$E$3:$E$953,""),"IOT",_xlfn.XLOOKUP($K434&amp;"",IOT!$B$3:$B$1012&amp;"",IOT!$E$3:$E$1012,""),"Server",_xlfn.XLOOKUP($K434&amp;"",SERVER!$B$3:$B$1009&amp;"",SERVER!$E$3:$E$1009,""),""))))</f>
        <v/>
      </c>
      <c r="Q434" s="1" t="str" cm="1">
        <f t="array" ref="Q434">IF(OR($K434="",$I434="",$J434=""),"",_xlfn.LET(_xlpm.srcCat,_xlfn.SWITCH($I434,"Computer",_xlfn.XLOOKUP($K434&amp;"",COMPUTER!$B$3:$B$1009&amp;"",COMPUTER!$H$3:$H$1009,""),"Display",_xlfn.XLOOKUP($K434&amp;"",DISPLAY!$B$3:$B$1000&amp;"",DISPLAY!$H$3:$H$1000,""),"Network Device",_xlfn.XLOOKUP($K434&amp;"",'NETWORK-DEVICES'!$B$3:$B$987&amp;"",'NETWORK-DEVICES'!$H$3:$H$987,""),"Peripheral",_xlfn.XLOOKUP($K434&amp;"",PERIPHERAL!$B$3:$B$954&amp;"",PERIPHERAL!$H$3:$H$954,""),"Utilities",_xlfn.XLOOKUP($K434&amp;"",UTILITIES!$B$3:$B$953&amp;"",UTILITIES!$G$3:$G$953,""),"IOT",_xlfn.XLOOKUP($K434&amp;"",IOT!$B$3:$B$1012&amp;"",IOT!$H$3:$H$1012,""),"Server",_xlfn.XLOOKUP($K434&amp;"",SERVER!$B$3:$B$1009&amp;"",SERVER!$H$3:$H$1009,""),""),IF(TRIM(_xlpm.srcCat)&lt;&gt;TRIM($J434),"",_xlfn.SWITCH($I434,"Computer",_xlfn.XLOOKUP($K434&amp;"",COMPUTER!$B$3:$B$1009&amp;"",COMPUTER!$AM$3:$AM$1009,""),"Display",_xlfn.XLOOKUP($K434&amp;"",DISPLAY!$B$3:$B$1000&amp;"",DISPLAY!$V$3:$V$1000,""),"Network Device",_xlfn.XLOOKUP($K434&amp;"",'NETWORK-DEVICES'!$B$3:$B$987&amp;"",'NETWORK-DEVICES'!$AF$3:$AF$987,""),"Peripheral",_xlfn.XLOOKUP($K434&amp;"",PERIPHERAL!$B$3:$B$954&amp;"",PERIPHERAL!$Y$3:$Y$954,""),"Utilities",_xlfn.XLOOKUP($K434&amp;"",UTILITIES!$B$3:$B$953&amp;"",UTILITIES!$O$3:$O$953,""),"IOT",_xlfn.XLOOKUP($K434&amp;"",IOT!$B$3:$B$1012&amp;"",IOT!$AB$3:$AB$1012,""),"Server",_xlfn.XLOOKUP($K434&amp;"",SERVER!$B$3:$B$1009&amp;"",SERVER!$AB$3:$AB$1009,""),""))))</f>
        <v/>
      </c>
      <c r="R434" s="43" t="str">
        <f>IF(tbl_handover[[#This Row],[Asset Code]]="","",COUNTIF(tbl_handover[Asset Code],tbl_handover[[#This Row],[Asset Code]]))</f>
        <v/>
      </c>
    </row>
    <row r="435" spans="1:18" x14ac:dyDescent="0.25">
      <c r="A435" s="43" t="str">
        <f>IF(B435&lt;&gt;"",SUBTOTAL(3,$B$1:B434),"")</f>
        <v/>
      </c>
      <c r="C435" s="74"/>
      <c r="D435" s="74"/>
      <c r="G435" s="1"/>
      <c r="K435" s="42"/>
      <c r="L435" t="str" cm="1">
        <f t="array" ref="L435">IF($K435="","",_xlfn.SWITCH($I435,"Computer",_xlfn.XLOOKUP($K435&amp;"",COMPUTER!$B$3:$B$1009&amp;"",COMPUTER!$I$3:$I$1009,""),"Display",_xlfn.XLOOKUP($K435&amp;"",DISPLAY!$B$3:$B$1000&amp;"",DISPLAY!$J$3:$J$1000,""),"Network Device",_xlfn.XLOOKUP($K435&amp;"",'NETWORK-DEVICES'!$B$3:$B$987&amp;"",'NETWORK-DEVICES'!$I$3:$I$987,""),"Peripheral",_xlfn.XLOOKUP($K435&amp;"",PERIPHERAL!$B$3:$B$954&amp;"",PERIPHERAL!$I$3:$I$954,""),"Utilities",_xlfn.XLOOKUP($K435&amp;"",UTILITIES!$B$3:$B$953&amp;"",UTILITIES!$H$3:$H$953,""),"IOT",_xlfn.XLOOKUP($K435&amp;"",IOT!$B$3:$B$1012&amp;"",IOT!$I$3:$I$1012,""),"SERVER",_xlfn.XLOOKUP($K435&amp;"",SERVER!$B$3:$B$1009&amp;"",SERVER!$I$3:$I$1009,""),""))</f>
        <v/>
      </c>
      <c r="M435" t="str" cm="1">
        <f t="array" ref="M435">IF($K435="","",_xlfn.SWITCH($I435,"Computer",_xlfn.XLOOKUP($K435&amp;"",COMPUTER!$B$3:$B$1009&amp;"",COMPUTER!$J$3:$J$1009,""),"Display",_xlfn.XLOOKUP($K435&amp;"",DISPLAY!$B$3:$B$1000&amp;"",DISPLAY!$K$3:$K$1000,""),"Network Device",_xlfn.XLOOKUP($K435&amp;"",'NETWORK-DEVICES'!$B$3:$B$987&amp;"",'NETWORK-DEVICES'!$I$3:$I$987,""),"Peripheral",_xlfn.XLOOKUP($K435&amp;"",PERIPHERAL!$B$3:$B$954&amp;"",PERIPHERAL!$J$3:$J$954,""),"Utilities",_xlfn.XLOOKUP($K435&amp;"",UTILITIES!$B$3:$B$953&amp;"",UTILITIES!$I$3:$I$953,""),"IOT",_xlfn.XLOOKUP($K435&amp;"",IOT!$B$3:$B$1012&amp;"",IOT!$J$3:$J$1012,""),"Server",_xlfn.XLOOKUP($K435&amp;"",SERVER!$B$3:$B$1009&amp;"",SERVER!$J$3:$J$1009,""),""))</f>
        <v/>
      </c>
      <c r="N435" s="1" t="str" cm="1">
        <f t="array" ref="N435">IF(OR($K435="",$I435="",$J435=""),"",_xlfn.LET(_xlpm.srcCat,_xlfn.SWITCH($I435,"Computer",_xlfn.XLOOKUP($K435&amp;"",COMPUTER!$B$3:$B$1009&amp;"",COMPUTER!$H$3:$H$1009,""),"Display",_xlfn.XLOOKUP($K435&amp;"",DISPLAY!$B$3:$B$1000&amp;"",DISPLAY!$H$3:$H$1000,""),"Network Device",_xlfn.XLOOKUP($K435&amp;"",'NETWORK-DEVICES'!$B$3:$B$987&amp;"",'NETWORK-DEVICES'!$H$3:$H$987,""),"Peripheral",_xlfn.XLOOKUP($K435&amp;"",PERIPHERAL!$B$3:$B$954&amp;"",PERIPHERAL!$H$3:$H$954,""),"Utilities",_xlfn.XLOOKUP($K435&amp;"",UTILITIES!$B$3:$B$953&amp;"",UTILITIES!$G$3:$G$953,""),"IOT",_xlfn.XLOOKUP($K435&amp;"",IOT!$B$3:$B$1012&amp;"",IOT!$H$3:$H$1012,""),"Server",_xlfn.XLOOKUP($K435&amp;"",SERVER!$B$3:$B$1009&amp;"",SERVER!$H$3:$H$1009,""),""),IF(TRIM(_xlpm.srcCat)&lt;&gt;TRIM($J435),"",_xlfn.SWITCH($I435,"Computer",_xlfn.XLOOKUP($K435&amp;"",COMPUTER!$B$3:$B$1009&amp;"",COMPUTER!$K$3:$K$1009,""),"Display",_xlfn.XLOOKUP($K435&amp;"",DISPLAY!$B$3:$B$1000&amp;"",DISPLAY!$L$3:$L$1000,""),"Network Device",_xlfn.XLOOKUP($K435&amp;"",'NETWORK-DEVICES'!$B$3:$B$987&amp;"",'NETWORK-DEVICES'!$K$3:$K$987,""),"Peripheral",_xlfn.XLOOKUP($K435&amp;"",PERIPHERAL!$B$3:$B$954&amp;"",PERIPHERAL!$K$3:$K$954,""),"Utilities",_xlfn.XLOOKUP($K435&amp;"",UTILITIES!$B$3:$B$953&amp;"",UTILITIES!$J$3:$J$953,""),"IOT",_xlfn.XLOOKUP($K435&amp;"",IOT!$B$3:$B$1012&amp;"",IOT!$K$4:$K$1012,""),"Server",_xlfn.XLOOKUP($K435&amp;"",SERVER!$B$3:$B$1009&amp;"",SERVER!$K$3:$K$1009,""),""))))</f>
        <v/>
      </c>
      <c r="O435" s="1" t="str" cm="1">
        <f t="array" ref="O435">IF(OR($K435="",$I435="",$J435=""),"",_xlfn.LET(_xlpm.srcCat,_xlfn.SWITCH($I435,"Computer",_xlfn.XLOOKUP($K435&amp;"",COMPUTER!$B$3:$B$1009&amp;"",COMPUTER!$H$3:$H$1009,""),"Display",_xlfn.XLOOKUP($K435&amp;"",DISPLAY!$B$3:$B$1000&amp;"",DISPLAY!$H$3:$H$1000,""),"Network Device",_xlfn.XLOOKUP($K435&amp;"",'NETWORK-DEVICES'!$B$3:$B$987&amp;"",'NETWORK-DEVICES'!$H$3:$H$987,""),"Peripheral",_xlfn.XLOOKUP($K435&amp;"",PERIPHERAL!$B$3:$B$954&amp;"",PERIPHERAL!$H$3:$H$954,""),"Utilities",_xlfn.XLOOKUP($K435&amp;"",UTILITIES!$B$3:$B$953&amp;"",UTILITIES!$G$3:$G$953,""),"IOT",_xlfn.XLOOKUP($K435&amp;"",IOT!$B$3:$B$1012&amp;"",IOT!$H$3:$H$1012,""),"Server",_xlfn.XLOOKUP($K435&amp;"",SERVER!$B$3:$B$1009&amp;"",SERVER!$H$3:$H$1009,""),""),IF(TRIM(_xlpm.srcCat)&lt;&gt;TRIM($J435),"",_xlfn.SWITCH($I435,"Computer",_xlfn.XLOOKUP($K435&amp;"",COMPUTER!$B$3:$B$1009&amp;"",COMPUTER!$E$3:$E$1009,""),"Display",_xlfn.XLOOKUP($K435&amp;"",DISPLAY!$B$3:$B$1000&amp;"",DISPLAY!$E$3:$E$1000,""),"Network Device",_xlfn.XLOOKUP($K435&amp;"",'NETWORK-DEVICES'!$B$3:$B$987&amp;"",'NETWORK-DEVICES'!$E$3:$E$987,""),"Peripheral",_xlfn.XLOOKUP($K435&amp;"",PERIPHERAL!$B$3:$B$954&amp;"",PERIPHERAL!$E$3:$E$954,""),"Utilities",_xlfn.XLOOKUP($K435&amp;"",UTILITIES!$B$3:$B$953&amp;"",UTILITIES!$E$3:$E$953,""),"IOT",_xlfn.XLOOKUP($K435&amp;"",IOT!$B$3:$B$1012&amp;"",IOT!$E$3:$E$1012,""),"Server",_xlfn.XLOOKUP($K435&amp;"",SERVER!$B$3:$B$1009&amp;"",SERVER!$E$3:$E$1009,""),""))))</f>
        <v/>
      </c>
      <c r="Q435" s="1" t="str" cm="1">
        <f t="array" ref="Q435">IF(OR($K435="",$I435="",$J435=""),"",_xlfn.LET(_xlpm.srcCat,_xlfn.SWITCH($I435,"Computer",_xlfn.XLOOKUP($K435&amp;"",COMPUTER!$B$3:$B$1009&amp;"",COMPUTER!$H$3:$H$1009,""),"Display",_xlfn.XLOOKUP($K435&amp;"",DISPLAY!$B$3:$B$1000&amp;"",DISPLAY!$H$3:$H$1000,""),"Network Device",_xlfn.XLOOKUP($K435&amp;"",'NETWORK-DEVICES'!$B$3:$B$987&amp;"",'NETWORK-DEVICES'!$H$3:$H$987,""),"Peripheral",_xlfn.XLOOKUP($K435&amp;"",PERIPHERAL!$B$3:$B$954&amp;"",PERIPHERAL!$H$3:$H$954,""),"Utilities",_xlfn.XLOOKUP($K435&amp;"",UTILITIES!$B$3:$B$953&amp;"",UTILITIES!$G$3:$G$953,""),"IOT",_xlfn.XLOOKUP($K435&amp;"",IOT!$B$3:$B$1012&amp;"",IOT!$H$3:$H$1012,""),"Server",_xlfn.XLOOKUP($K435&amp;"",SERVER!$B$3:$B$1009&amp;"",SERVER!$H$3:$H$1009,""),""),IF(TRIM(_xlpm.srcCat)&lt;&gt;TRIM($J435),"",_xlfn.SWITCH($I435,"Computer",_xlfn.XLOOKUP($K435&amp;"",COMPUTER!$B$3:$B$1009&amp;"",COMPUTER!$AM$3:$AM$1009,""),"Display",_xlfn.XLOOKUP($K435&amp;"",DISPLAY!$B$3:$B$1000&amp;"",DISPLAY!$V$3:$V$1000,""),"Network Device",_xlfn.XLOOKUP($K435&amp;"",'NETWORK-DEVICES'!$B$3:$B$987&amp;"",'NETWORK-DEVICES'!$AF$3:$AF$987,""),"Peripheral",_xlfn.XLOOKUP($K435&amp;"",PERIPHERAL!$B$3:$B$954&amp;"",PERIPHERAL!$Y$3:$Y$954,""),"Utilities",_xlfn.XLOOKUP($K435&amp;"",UTILITIES!$B$3:$B$953&amp;"",UTILITIES!$O$3:$O$953,""),"IOT",_xlfn.XLOOKUP($K435&amp;"",IOT!$B$3:$B$1012&amp;"",IOT!$AB$3:$AB$1012,""),"Server",_xlfn.XLOOKUP($K435&amp;"",SERVER!$B$3:$B$1009&amp;"",SERVER!$AB$3:$AB$1009,""),""))))</f>
        <v/>
      </c>
      <c r="R435" s="43" t="str">
        <f>IF(tbl_handover[[#This Row],[Asset Code]]="","",COUNTIF(tbl_handover[Asset Code],tbl_handover[[#This Row],[Asset Code]]))</f>
        <v/>
      </c>
    </row>
    <row r="436" spans="1:18" x14ac:dyDescent="0.25">
      <c r="A436" s="43" t="str">
        <f>IF(B436&lt;&gt;"",SUBTOTAL(3,$B$1:B435),"")</f>
        <v/>
      </c>
      <c r="C436" s="74"/>
      <c r="D436" s="74"/>
      <c r="G436" s="1"/>
      <c r="K436" s="42"/>
      <c r="L436" t="str" cm="1">
        <f t="array" ref="L436">IF($K436="","",_xlfn.SWITCH($I436,"Computer",_xlfn.XLOOKUP($K436&amp;"",COMPUTER!$B$3:$B$1009&amp;"",COMPUTER!$I$3:$I$1009,""),"Display",_xlfn.XLOOKUP($K436&amp;"",DISPLAY!$B$3:$B$1000&amp;"",DISPLAY!$J$3:$J$1000,""),"Network Device",_xlfn.XLOOKUP($K436&amp;"",'NETWORK-DEVICES'!$B$3:$B$987&amp;"",'NETWORK-DEVICES'!$I$3:$I$987,""),"Peripheral",_xlfn.XLOOKUP($K436&amp;"",PERIPHERAL!$B$3:$B$954&amp;"",PERIPHERAL!$I$3:$I$954,""),"Utilities",_xlfn.XLOOKUP($K436&amp;"",UTILITIES!$B$3:$B$953&amp;"",UTILITIES!$H$3:$H$953,""),"IOT",_xlfn.XLOOKUP($K436&amp;"",IOT!$B$3:$B$1012&amp;"",IOT!$I$3:$I$1012,""),"SERVER",_xlfn.XLOOKUP($K436&amp;"",SERVER!$B$3:$B$1009&amp;"",SERVER!$I$3:$I$1009,""),""))</f>
        <v/>
      </c>
      <c r="M436" t="str" cm="1">
        <f t="array" ref="M436">IF($K436="","",_xlfn.SWITCH($I436,"Computer",_xlfn.XLOOKUP($K436&amp;"",COMPUTER!$B$3:$B$1009&amp;"",COMPUTER!$J$3:$J$1009,""),"Display",_xlfn.XLOOKUP($K436&amp;"",DISPLAY!$B$3:$B$1000&amp;"",DISPLAY!$K$3:$K$1000,""),"Network Device",_xlfn.XLOOKUP($K436&amp;"",'NETWORK-DEVICES'!$B$3:$B$987&amp;"",'NETWORK-DEVICES'!$I$3:$I$987,""),"Peripheral",_xlfn.XLOOKUP($K436&amp;"",PERIPHERAL!$B$3:$B$954&amp;"",PERIPHERAL!$J$3:$J$954,""),"Utilities",_xlfn.XLOOKUP($K436&amp;"",UTILITIES!$B$3:$B$953&amp;"",UTILITIES!$I$3:$I$953,""),"IOT",_xlfn.XLOOKUP($K436&amp;"",IOT!$B$3:$B$1012&amp;"",IOT!$J$3:$J$1012,""),"Server",_xlfn.XLOOKUP($K436&amp;"",SERVER!$B$3:$B$1009&amp;"",SERVER!$J$3:$J$1009,""),""))</f>
        <v/>
      </c>
      <c r="N436" s="1" t="str" cm="1">
        <f t="array" ref="N436">IF(OR($K436="",$I436="",$J436=""),"",_xlfn.LET(_xlpm.srcCat,_xlfn.SWITCH($I436,"Computer",_xlfn.XLOOKUP($K436&amp;"",COMPUTER!$B$3:$B$1009&amp;"",COMPUTER!$H$3:$H$1009,""),"Display",_xlfn.XLOOKUP($K436&amp;"",DISPLAY!$B$3:$B$1000&amp;"",DISPLAY!$H$3:$H$1000,""),"Network Device",_xlfn.XLOOKUP($K436&amp;"",'NETWORK-DEVICES'!$B$3:$B$987&amp;"",'NETWORK-DEVICES'!$H$3:$H$987,""),"Peripheral",_xlfn.XLOOKUP($K436&amp;"",PERIPHERAL!$B$3:$B$954&amp;"",PERIPHERAL!$H$3:$H$954,""),"Utilities",_xlfn.XLOOKUP($K436&amp;"",UTILITIES!$B$3:$B$953&amp;"",UTILITIES!$G$3:$G$953,""),"IOT",_xlfn.XLOOKUP($K436&amp;"",IOT!$B$3:$B$1012&amp;"",IOT!$H$3:$H$1012,""),"Server",_xlfn.XLOOKUP($K436&amp;"",SERVER!$B$3:$B$1009&amp;"",SERVER!$H$3:$H$1009,""),""),IF(TRIM(_xlpm.srcCat)&lt;&gt;TRIM($J436),"",_xlfn.SWITCH($I436,"Computer",_xlfn.XLOOKUP($K436&amp;"",COMPUTER!$B$3:$B$1009&amp;"",COMPUTER!$K$3:$K$1009,""),"Display",_xlfn.XLOOKUP($K436&amp;"",DISPLAY!$B$3:$B$1000&amp;"",DISPLAY!$L$3:$L$1000,""),"Network Device",_xlfn.XLOOKUP($K436&amp;"",'NETWORK-DEVICES'!$B$3:$B$987&amp;"",'NETWORK-DEVICES'!$K$3:$K$987,""),"Peripheral",_xlfn.XLOOKUP($K436&amp;"",PERIPHERAL!$B$3:$B$954&amp;"",PERIPHERAL!$K$3:$K$954,""),"Utilities",_xlfn.XLOOKUP($K436&amp;"",UTILITIES!$B$3:$B$953&amp;"",UTILITIES!$J$3:$J$953,""),"IOT",_xlfn.XLOOKUP($K436&amp;"",IOT!$B$3:$B$1012&amp;"",IOT!$K$4:$K$1012,""),"Server",_xlfn.XLOOKUP($K436&amp;"",SERVER!$B$3:$B$1009&amp;"",SERVER!$K$3:$K$1009,""),""))))</f>
        <v/>
      </c>
      <c r="O436" s="1" t="str" cm="1">
        <f t="array" ref="O436">IF(OR($K436="",$I436="",$J436=""),"",_xlfn.LET(_xlpm.srcCat,_xlfn.SWITCH($I436,"Computer",_xlfn.XLOOKUP($K436&amp;"",COMPUTER!$B$3:$B$1009&amp;"",COMPUTER!$H$3:$H$1009,""),"Display",_xlfn.XLOOKUP($K436&amp;"",DISPLAY!$B$3:$B$1000&amp;"",DISPLAY!$H$3:$H$1000,""),"Network Device",_xlfn.XLOOKUP($K436&amp;"",'NETWORK-DEVICES'!$B$3:$B$987&amp;"",'NETWORK-DEVICES'!$H$3:$H$987,""),"Peripheral",_xlfn.XLOOKUP($K436&amp;"",PERIPHERAL!$B$3:$B$954&amp;"",PERIPHERAL!$H$3:$H$954,""),"Utilities",_xlfn.XLOOKUP($K436&amp;"",UTILITIES!$B$3:$B$953&amp;"",UTILITIES!$G$3:$G$953,""),"IOT",_xlfn.XLOOKUP($K436&amp;"",IOT!$B$3:$B$1012&amp;"",IOT!$H$3:$H$1012,""),"Server",_xlfn.XLOOKUP($K436&amp;"",SERVER!$B$3:$B$1009&amp;"",SERVER!$H$3:$H$1009,""),""),IF(TRIM(_xlpm.srcCat)&lt;&gt;TRIM($J436),"",_xlfn.SWITCH($I436,"Computer",_xlfn.XLOOKUP($K436&amp;"",COMPUTER!$B$3:$B$1009&amp;"",COMPUTER!$E$3:$E$1009,""),"Display",_xlfn.XLOOKUP($K436&amp;"",DISPLAY!$B$3:$B$1000&amp;"",DISPLAY!$E$3:$E$1000,""),"Network Device",_xlfn.XLOOKUP($K436&amp;"",'NETWORK-DEVICES'!$B$3:$B$987&amp;"",'NETWORK-DEVICES'!$E$3:$E$987,""),"Peripheral",_xlfn.XLOOKUP($K436&amp;"",PERIPHERAL!$B$3:$B$954&amp;"",PERIPHERAL!$E$3:$E$954,""),"Utilities",_xlfn.XLOOKUP($K436&amp;"",UTILITIES!$B$3:$B$953&amp;"",UTILITIES!$E$3:$E$953,""),"IOT",_xlfn.XLOOKUP($K436&amp;"",IOT!$B$3:$B$1012&amp;"",IOT!$E$3:$E$1012,""),"Server",_xlfn.XLOOKUP($K436&amp;"",SERVER!$B$3:$B$1009&amp;"",SERVER!$E$3:$E$1009,""),""))))</f>
        <v/>
      </c>
      <c r="Q436" s="1" t="str" cm="1">
        <f t="array" ref="Q436">IF(OR($K436="",$I436="",$J436=""),"",_xlfn.LET(_xlpm.srcCat,_xlfn.SWITCH($I436,"Computer",_xlfn.XLOOKUP($K436&amp;"",COMPUTER!$B$3:$B$1009&amp;"",COMPUTER!$H$3:$H$1009,""),"Display",_xlfn.XLOOKUP($K436&amp;"",DISPLAY!$B$3:$B$1000&amp;"",DISPLAY!$H$3:$H$1000,""),"Network Device",_xlfn.XLOOKUP($K436&amp;"",'NETWORK-DEVICES'!$B$3:$B$987&amp;"",'NETWORK-DEVICES'!$H$3:$H$987,""),"Peripheral",_xlfn.XLOOKUP($K436&amp;"",PERIPHERAL!$B$3:$B$954&amp;"",PERIPHERAL!$H$3:$H$954,""),"Utilities",_xlfn.XLOOKUP($K436&amp;"",UTILITIES!$B$3:$B$953&amp;"",UTILITIES!$G$3:$G$953,""),"IOT",_xlfn.XLOOKUP($K436&amp;"",IOT!$B$3:$B$1012&amp;"",IOT!$H$3:$H$1012,""),"Server",_xlfn.XLOOKUP($K436&amp;"",SERVER!$B$3:$B$1009&amp;"",SERVER!$H$3:$H$1009,""),""),IF(TRIM(_xlpm.srcCat)&lt;&gt;TRIM($J436),"",_xlfn.SWITCH($I436,"Computer",_xlfn.XLOOKUP($K436&amp;"",COMPUTER!$B$3:$B$1009&amp;"",COMPUTER!$AM$3:$AM$1009,""),"Display",_xlfn.XLOOKUP($K436&amp;"",DISPLAY!$B$3:$B$1000&amp;"",DISPLAY!$V$3:$V$1000,""),"Network Device",_xlfn.XLOOKUP($K436&amp;"",'NETWORK-DEVICES'!$B$3:$B$987&amp;"",'NETWORK-DEVICES'!$AF$3:$AF$987,""),"Peripheral",_xlfn.XLOOKUP($K436&amp;"",PERIPHERAL!$B$3:$B$954&amp;"",PERIPHERAL!$Y$3:$Y$954,""),"Utilities",_xlfn.XLOOKUP($K436&amp;"",UTILITIES!$B$3:$B$953&amp;"",UTILITIES!$O$3:$O$953,""),"IOT",_xlfn.XLOOKUP($K436&amp;"",IOT!$B$3:$B$1012&amp;"",IOT!$AB$3:$AB$1012,""),"Server",_xlfn.XLOOKUP($K436&amp;"",SERVER!$B$3:$B$1009&amp;"",SERVER!$AB$3:$AB$1009,""),""))))</f>
        <v/>
      </c>
      <c r="R436" s="43" t="str">
        <f>IF(tbl_handover[[#This Row],[Asset Code]]="","",COUNTIF(tbl_handover[Asset Code],tbl_handover[[#This Row],[Asset Code]]))</f>
        <v/>
      </c>
    </row>
    <row r="437" spans="1:18" x14ac:dyDescent="0.25">
      <c r="A437" s="43" t="str">
        <f>IF(B437&lt;&gt;"",SUBTOTAL(3,$B$1:B436),"")</f>
        <v/>
      </c>
      <c r="C437" s="74"/>
      <c r="D437" s="74"/>
      <c r="G437" s="1"/>
      <c r="K437" s="42"/>
      <c r="L437" t="str" cm="1">
        <f t="array" ref="L437">IF($K437="","",_xlfn.SWITCH($I437,"Computer",_xlfn.XLOOKUP($K437&amp;"",COMPUTER!$B$3:$B$1009&amp;"",COMPUTER!$I$3:$I$1009,""),"Display",_xlfn.XLOOKUP($K437&amp;"",DISPLAY!$B$3:$B$1000&amp;"",DISPLAY!$J$3:$J$1000,""),"Network Device",_xlfn.XLOOKUP($K437&amp;"",'NETWORK-DEVICES'!$B$3:$B$987&amp;"",'NETWORK-DEVICES'!$I$3:$I$987,""),"Peripheral",_xlfn.XLOOKUP($K437&amp;"",PERIPHERAL!$B$3:$B$954&amp;"",PERIPHERAL!$I$3:$I$954,""),"Utilities",_xlfn.XLOOKUP($K437&amp;"",UTILITIES!$B$3:$B$953&amp;"",UTILITIES!$H$3:$H$953,""),"IOT",_xlfn.XLOOKUP($K437&amp;"",IOT!$B$3:$B$1012&amp;"",IOT!$I$3:$I$1012,""),"SERVER",_xlfn.XLOOKUP($K437&amp;"",SERVER!$B$3:$B$1009&amp;"",SERVER!$I$3:$I$1009,""),""))</f>
        <v/>
      </c>
      <c r="M437" t="str" cm="1">
        <f t="array" ref="M437">IF($K437="","",_xlfn.SWITCH($I437,"Computer",_xlfn.XLOOKUP($K437&amp;"",COMPUTER!$B$3:$B$1009&amp;"",COMPUTER!$J$3:$J$1009,""),"Display",_xlfn.XLOOKUP($K437&amp;"",DISPLAY!$B$3:$B$1000&amp;"",DISPLAY!$K$3:$K$1000,""),"Network Device",_xlfn.XLOOKUP($K437&amp;"",'NETWORK-DEVICES'!$B$3:$B$987&amp;"",'NETWORK-DEVICES'!$I$3:$I$987,""),"Peripheral",_xlfn.XLOOKUP($K437&amp;"",PERIPHERAL!$B$3:$B$954&amp;"",PERIPHERAL!$J$3:$J$954,""),"Utilities",_xlfn.XLOOKUP($K437&amp;"",UTILITIES!$B$3:$B$953&amp;"",UTILITIES!$I$3:$I$953,""),"IOT",_xlfn.XLOOKUP($K437&amp;"",IOT!$B$3:$B$1012&amp;"",IOT!$J$3:$J$1012,""),"Server",_xlfn.XLOOKUP($K437&amp;"",SERVER!$B$3:$B$1009&amp;"",SERVER!$J$3:$J$1009,""),""))</f>
        <v/>
      </c>
      <c r="N437" s="1" t="str" cm="1">
        <f t="array" ref="N437">IF(OR($K437="",$I437="",$J437=""),"",_xlfn.LET(_xlpm.srcCat,_xlfn.SWITCH($I437,"Computer",_xlfn.XLOOKUP($K437&amp;"",COMPUTER!$B$3:$B$1009&amp;"",COMPUTER!$H$3:$H$1009,""),"Display",_xlfn.XLOOKUP($K437&amp;"",DISPLAY!$B$3:$B$1000&amp;"",DISPLAY!$H$3:$H$1000,""),"Network Device",_xlfn.XLOOKUP($K437&amp;"",'NETWORK-DEVICES'!$B$3:$B$987&amp;"",'NETWORK-DEVICES'!$H$3:$H$987,""),"Peripheral",_xlfn.XLOOKUP($K437&amp;"",PERIPHERAL!$B$3:$B$954&amp;"",PERIPHERAL!$H$3:$H$954,""),"Utilities",_xlfn.XLOOKUP($K437&amp;"",UTILITIES!$B$3:$B$953&amp;"",UTILITIES!$G$3:$G$953,""),"IOT",_xlfn.XLOOKUP($K437&amp;"",IOT!$B$3:$B$1012&amp;"",IOT!$H$3:$H$1012,""),"Server",_xlfn.XLOOKUP($K437&amp;"",SERVER!$B$3:$B$1009&amp;"",SERVER!$H$3:$H$1009,""),""),IF(TRIM(_xlpm.srcCat)&lt;&gt;TRIM($J437),"",_xlfn.SWITCH($I437,"Computer",_xlfn.XLOOKUP($K437&amp;"",COMPUTER!$B$3:$B$1009&amp;"",COMPUTER!$K$3:$K$1009,""),"Display",_xlfn.XLOOKUP($K437&amp;"",DISPLAY!$B$3:$B$1000&amp;"",DISPLAY!$L$3:$L$1000,""),"Network Device",_xlfn.XLOOKUP($K437&amp;"",'NETWORK-DEVICES'!$B$3:$B$987&amp;"",'NETWORK-DEVICES'!$K$3:$K$987,""),"Peripheral",_xlfn.XLOOKUP($K437&amp;"",PERIPHERAL!$B$3:$B$954&amp;"",PERIPHERAL!$K$3:$K$954,""),"Utilities",_xlfn.XLOOKUP($K437&amp;"",UTILITIES!$B$3:$B$953&amp;"",UTILITIES!$J$3:$J$953,""),"IOT",_xlfn.XLOOKUP($K437&amp;"",IOT!$B$3:$B$1012&amp;"",IOT!$K$4:$K$1012,""),"Server",_xlfn.XLOOKUP($K437&amp;"",SERVER!$B$3:$B$1009&amp;"",SERVER!$K$3:$K$1009,""),""))))</f>
        <v/>
      </c>
      <c r="O437" s="1" t="str" cm="1">
        <f t="array" ref="O437">IF(OR($K437="",$I437="",$J437=""),"",_xlfn.LET(_xlpm.srcCat,_xlfn.SWITCH($I437,"Computer",_xlfn.XLOOKUP($K437&amp;"",COMPUTER!$B$3:$B$1009&amp;"",COMPUTER!$H$3:$H$1009,""),"Display",_xlfn.XLOOKUP($K437&amp;"",DISPLAY!$B$3:$B$1000&amp;"",DISPLAY!$H$3:$H$1000,""),"Network Device",_xlfn.XLOOKUP($K437&amp;"",'NETWORK-DEVICES'!$B$3:$B$987&amp;"",'NETWORK-DEVICES'!$H$3:$H$987,""),"Peripheral",_xlfn.XLOOKUP($K437&amp;"",PERIPHERAL!$B$3:$B$954&amp;"",PERIPHERAL!$H$3:$H$954,""),"Utilities",_xlfn.XLOOKUP($K437&amp;"",UTILITIES!$B$3:$B$953&amp;"",UTILITIES!$G$3:$G$953,""),"IOT",_xlfn.XLOOKUP($K437&amp;"",IOT!$B$3:$B$1012&amp;"",IOT!$H$3:$H$1012,""),"Server",_xlfn.XLOOKUP($K437&amp;"",SERVER!$B$3:$B$1009&amp;"",SERVER!$H$3:$H$1009,""),""),IF(TRIM(_xlpm.srcCat)&lt;&gt;TRIM($J437),"",_xlfn.SWITCH($I437,"Computer",_xlfn.XLOOKUP($K437&amp;"",COMPUTER!$B$3:$B$1009&amp;"",COMPUTER!$E$3:$E$1009,""),"Display",_xlfn.XLOOKUP($K437&amp;"",DISPLAY!$B$3:$B$1000&amp;"",DISPLAY!$E$3:$E$1000,""),"Network Device",_xlfn.XLOOKUP($K437&amp;"",'NETWORK-DEVICES'!$B$3:$B$987&amp;"",'NETWORK-DEVICES'!$E$3:$E$987,""),"Peripheral",_xlfn.XLOOKUP($K437&amp;"",PERIPHERAL!$B$3:$B$954&amp;"",PERIPHERAL!$E$3:$E$954,""),"Utilities",_xlfn.XLOOKUP($K437&amp;"",UTILITIES!$B$3:$B$953&amp;"",UTILITIES!$E$3:$E$953,""),"IOT",_xlfn.XLOOKUP($K437&amp;"",IOT!$B$3:$B$1012&amp;"",IOT!$E$3:$E$1012,""),"Server",_xlfn.XLOOKUP($K437&amp;"",SERVER!$B$3:$B$1009&amp;"",SERVER!$E$3:$E$1009,""),""))))</f>
        <v/>
      </c>
      <c r="Q437" s="1" t="str" cm="1">
        <f t="array" ref="Q437">IF(OR($K437="",$I437="",$J437=""),"",_xlfn.LET(_xlpm.srcCat,_xlfn.SWITCH($I437,"Computer",_xlfn.XLOOKUP($K437&amp;"",COMPUTER!$B$3:$B$1009&amp;"",COMPUTER!$H$3:$H$1009,""),"Display",_xlfn.XLOOKUP($K437&amp;"",DISPLAY!$B$3:$B$1000&amp;"",DISPLAY!$H$3:$H$1000,""),"Network Device",_xlfn.XLOOKUP($K437&amp;"",'NETWORK-DEVICES'!$B$3:$B$987&amp;"",'NETWORK-DEVICES'!$H$3:$H$987,""),"Peripheral",_xlfn.XLOOKUP($K437&amp;"",PERIPHERAL!$B$3:$B$954&amp;"",PERIPHERAL!$H$3:$H$954,""),"Utilities",_xlfn.XLOOKUP($K437&amp;"",UTILITIES!$B$3:$B$953&amp;"",UTILITIES!$G$3:$G$953,""),"IOT",_xlfn.XLOOKUP($K437&amp;"",IOT!$B$3:$B$1012&amp;"",IOT!$H$3:$H$1012,""),"Server",_xlfn.XLOOKUP($K437&amp;"",SERVER!$B$3:$B$1009&amp;"",SERVER!$H$3:$H$1009,""),""),IF(TRIM(_xlpm.srcCat)&lt;&gt;TRIM($J437),"",_xlfn.SWITCH($I437,"Computer",_xlfn.XLOOKUP($K437&amp;"",COMPUTER!$B$3:$B$1009&amp;"",COMPUTER!$AM$3:$AM$1009,""),"Display",_xlfn.XLOOKUP($K437&amp;"",DISPLAY!$B$3:$B$1000&amp;"",DISPLAY!$V$3:$V$1000,""),"Network Device",_xlfn.XLOOKUP($K437&amp;"",'NETWORK-DEVICES'!$B$3:$B$987&amp;"",'NETWORK-DEVICES'!$AF$3:$AF$987,""),"Peripheral",_xlfn.XLOOKUP($K437&amp;"",PERIPHERAL!$B$3:$B$954&amp;"",PERIPHERAL!$Y$3:$Y$954,""),"Utilities",_xlfn.XLOOKUP($K437&amp;"",UTILITIES!$B$3:$B$953&amp;"",UTILITIES!$O$3:$O$953,""),"IOT",_xlfn.XLOOKUP($K437&amp;"",IOT!$B$3:$B$1012&amp;"",IOT!$AB$3:$AB$1012,""),"Server",_xlfn.XLOOKUP($K437&amp;"",SERVER!$B$3:$B$1009&amp;"",SERVER!$AB$3:$AB$1009,""),""))))</f>
        <v/>
      </c>
      <c r="R437" s="43" t="str">
        <f>IF(tbl_handover[[#This Row],[Asset Code]]="","",COUNTIF(tbl_handover[Asset Code],tbl_handover[[#This Row],[Asset Code]]))</f>
        <v/>
      </c>
    </row>
    <row r="438" spans="1:18" x14ac:dyDescent="0.25">
      <c r="A438" s="43" t="str">
        <f>IF(B438&lt;&gt;"",SUBTOTAL(3,$B$1:B437),"")</f>
        <v/>
      </c>
      <c r="C438" s="74"/>
      <c r="D438" s="74"/>
      <c r="G438" s="1"/>
      <c r="K438" s="42"/>
      <c r="L438" t="str" cm="1">
        <f t="array" ref="L438">IF($K438="","",_xlfn.SWITCH($I438,"Computer",_xlfn.XLOOKUP($K438&amp;"",COMPUTER!$B$3:$B$1009&amp;"",COMPUTER!$I$3:$I$1009,""),"Display",_xlfn.XLOOKUP($K438&amp;"",DISPLAY!$B$3:$B$1000&amp;"",DISPLAY!$J$3:$J$1000,""),"Network Device",_xlfn.XLOOKUP($K438&amp;"",'NETWORK-DEVICES'!$B$3:$B$987&amp;"",'NETWORK-DEVICES'!$I$3:$I$987,""),"Peripheral",_xlfn.XLOOKUP($K438&amp;"",PERIPHERAL!$B$3:$B$954&amp;"",PERIPHERAL!$I$3:$I$954,""),"Utilities",_xlfn.XLOOKUP($K438&amp;"",UTILITIES!$B$3:$B$953&amp;"",UTILITIES!$H$3:$H$953,""),"IOT",_xlfn.XLOOKUP($K438&amp;"",IOT!$B$3:$B$1012&amp;"",IOT!$I$3:$I$1012,""),"SERVER",_xlfn.XLOOKUP($K438&amp;"",SERVER!$B$3:$B$1009&amp;"",SERVER!$I$3:$I$1009,""),""))</f>
        <v/>
      </c>
      <c r="M438" t="str" cm="1">
        <f t="array" ref="M438">IF($K438="","",_xlfn.SWITCH($I438,"Computer",_xlfn.XLOOKUP($K438&amp;"",COMPUTER!$B$3:$B$1009&amp;"",COMPUTER!$J$3:$J$1009,""),"Display",_xlfn.XLOOKUP($K438&amp;"",DISPLAY!$B$3:$B$1000&amp;"",DISPLAY!$K$3:$K$1000,""),"Network Device",_xlfn.XLOOKUP($K438&amp;"",'NETWORK-DEVICES'!$B$3:$B$987&amp;"",'NETWORK-DEVICES'!$I$3:$I$987,""),"Peripheral",_xlfn.XLOOKUP($K438&amp;"",PERIPHERAL!$B$3:$B$954&amp;"",PERIPHERAL!$J$3:$J$954,""),"Utilities",_xlfn.XLOOKUP($K438&amp;"",UTILITIES!$B$3:$B$953&amp;"",UTILITIES!$I$3:$I$953,""),"IOT",_xlfn.XLOOKUP($K438&amp;"",IOT!$B$3:$B$1012&amp;"",IOT!$J$3:$J$1012,""),"Server",_xlfn.XLOOKUP($K438&amp;"",SERVER!$B$3:$B$1009&amp;"",SERVER!$J$3:$J$1009,""),""))</f>
        <v/>
      </c>
      <c r="N438" s="1" t="str" cm="1">
        <f t="array" ref="N438">IF(OR($K438="",$I438="",$J438=""),"",_xlfn.LET(_xlpm.srcCat,_xlfn.SWITCH($I438,"Computer",_xlfn.XLOOKUP($K438&amp;"",COMPUTER!$B$3:$B$1009&amp;"",COMPUTER!$H$3:$H$1009,""),"Display",_xlfn.XLOOKUP($K438&amp;"",DISPLAY!$B$3:$B$1000&amp;"",DISPLAY!$H$3:$H$1000,""),"Network Device",_xlfn.XLOOKUP($K438&amp;"",'NETWORK-DEVICES'!$B$3:$B$987&amp;"",'NETWORK-DEVICES'!$H$3:$H$987,""),"Peripheral",_xlfn.XLOOKUP($K438&amp;"",PERIPHERAL!$B$3:$B$954&amp;"",PERIPHERAL!$H$3:$H$954,""),"Utilities",_xlfn.XLOOKUP($K438&amp;"",UTILITIES!$B$3:$B$953&amp;"",UTILITIES!$G$3:$G$953,""),"IOT",_xlfn.XLOOKUP($K438&amp;"",IOT!$B$3:$B$1012&amp;"",IOT!$H$3:$H$1012,""),"Server",_xlfn.XLOOKUP($K438&amp;"",SERVER!$B$3:$B$1009&amp;"",SERVER!$H$3:$H$1009,""),""),IF(TRIM(_xlpm.srcCat)&lt;&gt;TRIM($J438),"",_xlfn.SWITCH($I438,"Computer",_xlfn.XLOOKUP($K438&amp;"",COMPUTER!$B$3:$B$1009&amp;"",COMPUTER!$K$3:$K$1009,""),"Display",_xlfn.XLOOKUP($K438&amp;"",DISPLAY!$B$3:$B$1000&amp;"",DISPLAY!$L$3:$L$1000,""),"Network Device",_xlfn.XLOOKUP($K438&amp;"",'NETWORK-DEVICES'!$B$3:$B$987&amp;"",'NETWORK-DEVICES'!$K$3:$K$987,""),"Peripheral",_xlfn.XLOOKUP($K438&amp;"",PERIPHERAL!$B$3:$B$954&amp;"",PERIPHERAL!$K$3:$K$954,""),"Utilities",_xlfn.XLOOKUP($K438&amp;"",UTILITIES!$B$3:$B$953&amp;"",UTILITIES!$J$3:$J$953,""),"IOT",_xlfn.XLOOKUP($K438&amp;"",IOT!$B$3:$B$1012&amp;"",IOT!$K$4:$K$1012,""),"Server",_xlfn.XLOOKUP($K438&amp;"",SERVER!$B$3:$B$1009&amp;"",SERVER!$K$3:$K$1009,""),""))))</f>
        <v/>
      </c>
      <c r="O438" s="1" t="str" cm="1">
        <f t="array" ref="O438">IF(OR($K438="",$I438="",$J438=""),"",_xlfn.LET(_xlpm.srcCat,_xlfn.SWITCH($I438,"Computer",_xlfn.XLOOKUP($K438&amp;"",COMPUTER!$B$3:$B$1009&amp;"",COMPUTER!$H$3:$H$1009,""),"Display",_xlfn.XLOOKUP($K438&amp;"",DISPLAY!$B$3:$B$1000&amp;"",DISPLAY!$H$3:$H$1000,""),"Network Device",_xlfn.XLOOKUP($K438&amp;"",'NETWORK-DEVICES'!$B$3:$B$987&amp;"",'NETWORK-DEVICES'!$H$3:$H$987,""),"Peripheral",_xlfn.XLOOKUP($K438&amp;"",PERIPHERAL!$B$3:$B$954&amp;"",PERIPHERAL!$H$3:$H$954,""),"Utilities",_xlfn.XLOOKUP($K438&amp;"",UTILITIES!$B$3:$B$953&amp;"",UTILITIES!$G$3:$G$953,""),"IOT",_xlfn.XLOOKUP($K438&amp;"",IOT!$B$3:$B$1012&amp;"",IOT!$H$3:$H$1012,""),"Server",_xlfn.XLOOKUP($K438&amp;"",SERVER!$B$3:$B$1009&amp;"",SERVER!$H$3:$H$1009,""),""),IF(TRIM(_xlpm.srcCat)&lt;&gt;TRIM($J438),"",_xlfn.SWITCH($I438,"Computer",_xlfn.XLOOKUP($K438&amp;"",COMPUTER!$B$3:$B$1009&amp;"",COMPUTER!$E$3:$E$1009,""),"Display",_xlfn.XLOOKUP($K438&amp;"",DISPLAY!$B$3:$B$1000&amp;"",DISPLAY!$E$3:$E$1000,""),"Network Device",_xlfn.XLOOKUP($K438&amp;"",'NETWORK-DEVICES'!$B$3:$B$987&amp;"",'NETWORK-DEVICES'!$E$3:$E$987,""),"Peripheral",_xlfn.XLOOKUP($K438&amp;"",PERIPHERAL!$B$3:$B$954&amp;"",PERIPHERAL!$E$3:$E$954,""),"Utilities",_xlfn.XLOOKUP($K438&amp;"",UTILITIES!$B$3:$B$953&amp;"",UTILITIES!$E$3:$E$953,""),"IOT",_xlfn.XLOOKUP($K438&amp;"",IOT!$B$3:$B$1012&amp;"",IOT!$E$3:$E$1012,""),"Server",_xlfn.XLOOKUP($K438&amp;"",SERVER!$B$3:$B$1009&amp;"",SERVER!$E$3:$E$1009,""),""))))</f>
        <v/>
      </c>
      <c r="Q438" s="1" t="str" cm="1">
        <f t="array" ref="Q438">IF(OR($K438="",$I438="",$J438=""),"",_xlfn.LET(_xlpm.srcCat,_xlfn.SWITCH($I438,"Computer",_xlfn.XLOOKUP($K438&amp;"",COMPUTER!$B$3:$B$1009&amp;"",COMPUTER!$H$3:$H$1009,""),"Display",_xlfn.XLOOKUP($K438&amp;"",DISPLAY!$B$3:$B$1000&amp;"",DISPLAY!$H$3:$H$1000,""),"Network Device",_xlfn.XLOOKUP($K438&amp;"",'NETWORK-DEVICES'!$B$3:$B$987&amp;"",'NETWORK-DEVICES'!$H$3:$H$987,""),"Peripheral",_xlfn.XLOOKUP($K438&amp;"",PERIPHERAL!$B$3:$B$954&amp;"",PERIPHERAL!$H$3:$H$954,""),"Utilities",_xlfn.XLOOKUP($K438&amp;"",UTILITIES!$B$3:$B$953&amp;"",UTILITIES!$G$3:$G$953,""),"IOT",_xlfn.XLOOKUP($K438&amp;"",IOT!$B$3:$B$1012&amp;"",IOT!$H$3:$H$1012,""),"Server",_xlfn.XLOOKUP($K438&amp;"",SERVER!$B$3:$B$1009&amp;"",SERVER!$H$3:$H$1009,""),""),IF(TRIM(_xlpm.srcCat)&lt;&gt;TRIM($J438),"",_xlfn.SWITCH($I438,"Computer",_xlfn.XLOOKUP($K438&amp;"",COMPUTER!$B$3:$B$1009&amp;"",COMPUTER!$AM$3:$AM$1009,""),"Display",_xlfn.XLOOKUP($K438&amp;"",DISPLAY!$B$3:$B$1000&amp;"",DISPLAY!$V$3:$V$1000,""),"Network Device",_xlfn.XLOOKUP($K438&amp;"",'NETWORK-DEVICES'!$B$3:$B$987&amp;"",'NETWORK-DEVICES'!$AF$3:$AF$987,""),"Peripheral",_xlfn.XLOOKUP($K438&amp;"",PERIPHERAL!$B$3:$B$954&amp;"",PERIPHERAL!$Y$3:$Y$954,""),"Utilities",_xlfn.XLOOKUP($K438&amp;"",UTILITIES!$B$3:$B$953&amp;"",UTILITIES!$O$3:$O$953,""),"IOT",_xlfn.XLOOKUP($K438&amp;"",IOT!$B$3:$B$1012&amp;"",IOT!$AB$3:$AB$1012,""),"Server",_xlfn.XLOOKUP($K438&amp;"",SERVER!$B$3:$B$1009&amp;"",SERVER!$AB$3:$AB$1009,""),""))))</f>
        <v/>
      </c>
      <c r="R438" s="43" t="str">
        <f>IF(tbl_handover[[#This Row],[Asset Code]]="","",COUNTIF(tbl_handover[Asset Code],tbl_handover[[#This Row],[Asset Code]]))</f>
        <v/>
      </c>
    </row>
    <row r="439" spans="1:18" x14ac:dyDescent="0.25">
      <c r="A439" s="43" t="str">
        <f>IF(B439&lt;&gt;"",SUBTOTAL(3,$B$1:B438),"")</f>
        <v/>
      </c>
      <c r="C439" s="74"/>
      <c r="D439" s="74"/>
      <c r="G439" s="1"/>
      <c r="K439" s="42"/>
      <c r="L439" t="str" cm="1">
        <f t="array" ref="L439">IF($K439="","",_xlfn.SWITCH($I439,"Computer",_xlfn.XLOOKUP($K439&amp;"",COMPUTER!$B$3:$B$1009&amp;"",COMPUTER!$I$3:$I$1009,""),"Display",_xlfn.XLOOKUP($K439&amp;"",DISPLAY!$B$3:$B$1000&amp;"",DISPLAY!$J$3:$J$1000,""),"Network Device",_xlfn.XLOOKUP($K439&amp;"",'NETWORK-DEVICES'!$B$3:$B$987&amp;"",'NETWORK-DEVICES'!$I$3:$I$987,""),"Peripheral",_xlfn.XLOOKUP($K439&amp;"",PERIPHERAL!$B$3:$B$954&amp;"",PERIPHERAL!$I$3:$I$954,""),"Utilities",_xlfn.XLOOKUP($K439&amp;"",UTILITIES!$B$3:$B$953&amp;"",UTILITIES!$H$3:$H$953,""),"IOT",_xlfn.XLOOKUP($K439&amp;"",IOT!$B$3:$B$1012&amp;"",IOT!$I$3:$I$1012,""),"SERVER",_xlfn.XLOOKUP($K439&amp;"",SERVER!$B$3:$B$1009&amp;"",SERVER!$I$3:$I$1009,""),""))</f>
        <v/>
      </c>
      <c r="M439" t="str" cm="1">
        <f t="array" ref="M439">IF($K439="","",_xlfn.SWITCH($I439,"Computer",_xlfn.XLOOKUP($K439&amp;"",COMPUTER!$B$3:$B$1009&amp;"",COMPUTER!$J$3:$J$1009,""),"Display",_xlfn.XLOOKUP($K439&amp;"",DISPLAY!$B$3:$B$1000&amp;"",DISPLAY!$K$3:$K$1000,""),"Network Device",_xlfn.XLOOKUP($K439&amp;"",'NETWORK-DEVICES'!$B$3:$B$987&amp;"",'NETWORK-DEVICES'!$I$3:$I$987,""),"Peripheral",_xlfn.XLOOKUP($K439&amp;"",PERIPHERAL!$B$3:$B$954&amp;"",PERIPHERAL!$J$3:$J$954,""),"Utilities",_xlfn.XLOOKUP($K439&amp;"",UTILITIES!$B$3:$B$953&amp;"",UTILITIES!$I$3:$I$953,""),"IOT",_xlfn.XLOOKUP($K439&amp;"",IOT!$B$3:$B$1012&amp;"",IOT!$J$3:$J$1012,""),"Server",_xlfn.XLOOKUP($K439&amp;"",SERVER!$B$3:$B$1009&amp;"",SERVER!$J$3:$J$1009,""),""))</f>
        <v/>
      </c>
      <c r="N439" s="1" t="str" cm="1">
        <f t="array" ref="N439">IF(OR($K439="",$I439="",$J439=""),"",_xlfn.LET(_xlpm.srcCat,_xlfn.SWITCH($I439,"Computer",_xlfn.XLOOKUP($K439&amp;"",COMPUTER!$B$3:$B$1009&amp;"",COMPUTER!$H$3:$H$1009,""),"Display",_xlfn.XLOOKUP($K439&amp;"",DISPLAY!$B$3:$B$1000&amp;"",DISPLAY!$H$3:$H$1000,""),"Network Device",_xlfn.XLOOKUP($K439&amp;"",'NETWORK-DEVICES'!$B$3:$B$987&amp;"",'NETWORK-DEVICES'!$H$3:$H$987,""),"Peripheral",_xlfn.XLOOKUP($K439&amp;"",PERIPHERAL!$B$3:$B$954&amp;"",PERIPHERAL!$H$3:$H$954,""),"Utilities",_xlfn.XLOOKUP($K439&amp;"",UTILITIES!$B$3:$B$953&amp;"",UTILITIES!$G$3:$G$953,""),"IOT",_xlfn.XLOOKUP($K439&amp;"",IOT!$B$3:$B$1012&amp;"",IOT!$H$3:$H$1012,""),"Server",_xlfn.XLOOKUP($K439&amp;"",SERVER!$B$3:$B$1009&amp;"",SERVER!$H$3:$H$1009,""),""),IF(TRIM(_xlpm.srcCat)&lt;&gt;TRIM($J439),"",_xlfn.SWITCH($I439,"Computer",_xlfn.XLOOKUP($K439&amp;"",COMPUTER!$B$3:$B$1009&amp;"",COMPUTER!$K$3:$K$1009,""),"Display",_xlfn.XLOOKUP($K439&amp;"",DISPLAY!$B$3:$B$1000&amp;"",DISPLAY!$L$3:$L$1000,""),"Network Device",_xlfn.XLOOKUP($K439&amp;"",'NETWORK-DEVICES'!$B$3:$B$987&amp;"",'NETWORK-DEVICES'!$K$3:$K$987,""),"Peripheral",_xlfn.XLOOKUP($K439&amp;"",PERIPHERAL!$B$3:$B$954&amp;"",PERIPHERAL!$K$3:$K$954,""),"Utilities",_xlfn.XLOOKUP($K439&amp;"",UTILITIES!$B$3:$B$953&amp;"",UTILITIES!$J$3:$J$953,""),"IOT",_xlfn.XLOOKUP($K439&amp;"",IOT!$B$3:$B$1012&amp;"",IOT!$K$4:$K$1012,""),"Server",_xlfn.XLOOKUP($K439&amp;"",SERVER!$B$3:$B$1009&amp;"",SERVER!$K$3:$K$1009,""),""))))</f>
        <v/>
      </c>
      <c r="O439" s="1" t="str" cm="1">
        <f t="array" ref="O439">IF(OR($K439="",$I439="",$J439=""),"",_xlfn.LET(_xlpm.srcCat,_xlfn.SWITCH($I439,"Computer",_xlfn.XLOOKUP($K439&amp;"",COMPUTER!$B$3:$B$1009&amp;"",COMPUTER!$H$3:$H$1009,""),"Display",_xlfn.XLOOKUP($K439&amp;"",DISPLAY!$B$3:$B$1000&amp;"",DISPLAY!$H$3:$H$1000,""),"Network Device",_xlfn.XLOOKUP($K439&amp;"",'NETWORK-DEVICES'!$B$3:$B$987&amp;"",'NETWORK-DEVICES'!$H$3:$H$987,""),"Peripheral",_xlfn.XLOOKUP($K439&amp;"",PERIPHERAL!$B$3:$B$954&amp;"",PERIPHERAL!$H$3:$H$954,""),"Utilities",_xlfn.XLOOKUP($K439&amp;"",UTILITIES!$B$3:$B$953&amp;"",UTILITIES!$G$3:$G$953,""),"IOT",_xlfn.XLOOKUP($K439&amp;"",IOT!$B$3:$B$1012&amp;"",IOT!$H$3:$H$1012,""),"Server",_xlfn.XLOOKUP($K439&amp;"",SERVER!$B$3:$B$1009&amp;"",SERVER!$H$3:$H$1009,""),""),IF(TRIM(_xlpm.srcCat)&lt;&gt;TRIM($J439),"",_xlfn.SWITCH($I439,"Computer",_xlfn.XLOOKUP($K439&amp;"",COMPUTER!$B$3:$B$1009&amp;"",COMPUTER!$E$3:$E$1009,""),"Display",_xlfn.XLOOKUP($K439&amp;"",DISPLAY!$B$3:$B$1000&amp;"",DISPLAY!$E$3:$E$1000,""),"Network Device",_xlfn.XLOOKUP($K439&amp;"",'NETWORK-DEVICES'!$B$3:$B$987&amp;"",'NETWORK-DEVICES'!$E$3:$E$987,""),"Peripheral",_xlfn.XLOOKUP($K439&amp;"",PERIPHERAL!$B$3:$B$954&amp;"",PERIPHERAL!$E$3:$E$954,""),"Utilities",_xlfn.XLOOKUP($K439&amp;"",UTILITIES!$B$3:$B$953&amp;"",UTILITIES!$E$3:$E$953,""),"IOT",_xlfn.XLOOKUP($K439&amp;"",IOT!$B$3:$B$1012&amp;"",IOT!$E$3:$E$1012,""),"Server",_xlfn.XLOOKUP($K439&amp;"",SERVER!$B$3:$B$1009&amp;"",SERVER!$E$3:$E$1009,""),""))))</f>
        <v/>
      </c>
      <c r="Q439" s="1" t="str" cm="1">
        <f t="array" ref="Q439">IF(OR($K439="",$I439="",$J439=""),"",_xlfn.LET(_xlpm.srcCat,_xlfn.SWITCH($I439,"Computer",_xlfn.XLOOKUP($K439&amp;"",COMPUTER!$B$3:$B$1009&amp;"",COMPUTER!$H$3:$H$1009,""),"Display",_xlfn.XLOOKUP($K439&amp;"",DISPLAY!$B$3:$B$1000&amp;"",DISPLAY!$H$3:$H$1000,""),"Network Device",_xlfn.XLOOKUP($K439&amp;"",'NETWORK-DEVICES'!$B$3:$B$987&amp;"",'NETWORK-DEVICES'!$H$3:$H$987,""),"Peripheral",_xlfn.XLOOKUP($K439&amp;"",PERIPHERAL!$B$3:$B$954&amp;"",PERIPHERAL!$H$3:$H$954,""),"Utilities",_xlfn.XLOOKUP($K439&amp;"",UTILITIES!$B$3:$B$953&amp;"",UTILITIES!$G$3:$G$953,""),"IOT",_xlfn.XLOOKUP($K439&amp;"",IOT!$B$3:$B$1012&amp;"",IOT!$H$3:$H$1012,""),"Server",_xlfn.XLOOKUP($K439&amp;"",SERVER!$B$3:$B$1009&amp;"",SERVER!$H$3:$H$1009,""),""),IF(TRIM(_xlpm.srcCat)&lt;&gt;TRIM($J439),"",_xlfn.SWITCH($I439,"Computer",_xlfn.XLOOKUP($K439&amp;"",COMPUTER!$B$3:$B$1009&amp;"",COMPUTER!$AM$3:$AM$1009,""),"Display",_xlfn.XLOOKUP($K439&amp;"",DISPLAY!$B$3:$B$1000&amp;"",DISPLAY!$V$3:$V$1000,""),"Network Device",_xlfn.XLOOKUP($K439&amp;"",'NETWORK-DEVICES'!$B$3:$B$987&amp;"",'NETWORK-DEVICES'!$AF$3:$AF$987,""),"Peripheral",_xlfn.XLOOKUP($K439&amp;"",PERIPHERAL!$B$3:$B$954&amp;"",PERIPHERAL!$Y$3:$Y$954,""),"Utilities",_xlfn.XLOOKUP($K439&amp;"",UTILITIES!$B$3:$B$953&amp;"",UTILITIES!$O$3:$O$953,""),"IOT",_xlfn.XLOOKUP($K439&amp;"",IOT!$B$3:$B$1012&amp;"",IOT!$AB$3:$AB$1012,""),"Server",_xlfn.XLOOKUP($K439&amp;"",SERVER!$B$3:$B$1009&amp;"",SERVER!$AB$3:$AB$1009,""),""))))</f>
        <v/>
      </c>
      <c r="R439" s="43" t="str">
        <f>IF(tbl_handover[[#This Row],[Asset Code]]="","",COUNTIF(tbl_handover[Asset Code],tbl_handover[[#This Row],[Asset Code]]))</f>
        <v/>
      </c>
    </row>
    <row r="440" spans="1:18" x14ac:dyDescent="0.25">
      <c r="A440" s="43" t="str">
        <f>IF(B440&lt;&gt;"",SUBTOTAL(3,$B$1:B439),"")</f>
        <v/>
      </c>
      <c r="C440" s="74"/>
      <c r="D440" s="74"/>
      <c r="G440" s="1"/>
      <c r="K440" s="42"/>
      <c r="L440" t="str" cm="1">
        <f t="array" ref="L440">IF($K440="","",_xlfn.SWITCH($I440,"Computer",_xlfn.XLOOKUP($K440&amp;"",COMPUTER!$B$3:$B$1009&amp;"",COMPUTER!$I$3:$I$1009,""),"Display",_xlfn.XLOOKUP($K440&amp;"",DISPLAY!$B$3:$B$1000&amp;"",DISPLAY!$J$3:$J$1000,""),"Network Device",_xlfn.XLOOKUP($K440&amp;"",'NETWORK-DEVICES'!$B$3:$B$987&amp;"",'NETWORK-DEVICES'!$I$3:$I$987,""),"Peripheral",_xlfn.XLOOKUP($K440&amp;"",PERIPHERAL!$B$3:$B$954&amp;"",PERIPHERAL!$I$3:$I$954,""),"Utilities",_xlfn.XLOOKUP($K440&amp;"",UTILITIES!$B$3:$B$953&amp;"",UTILITIES!$H$3:$H$953,""),"IOT",_xlfn.XLOOKUP($K440&amp;"",IOT!$B$3:$B$1012&amp;"",IOT!$I$3:$I$1012,""),"SERVER",_xlfn.XLOOKUP($K440&amp;"",SERVER!$B$3:$B$1009&amp;"",SERVER!$I$3:$I$1009,""),""))</f>
        <v/>
      </c>
      <c r="M440" t="str" cm="1">
        <f t="array" ref="M440">IF($K440="","",_xlfn.SWITCH($I440,"Computer",_xlfn.XLOOKUP($K440&amp;"",COMPUTER!$B$3:$B$1009&amp;"",COMPUTER!$J$3:$J$1009,""),"Display",_xlfn.XLOOKUP($K440&amp;"",DISPLAY!$B$3:$B$1000&amp;"",DISPLAY!$K$3:$K$1000,""),"Network Device",_xlfn.XLOOKUP($K440&amp;"",'NETWORK-DEVICES'!$B$3:$B$987&amp;"",'NETWORK-DEVICES'!$I$3:$I$987,""),"Peripheral",_xlfn.XLOOKUP($K440&amp;"",PERIPHERAL!$B$3:$B$954&amp;"",PERIPHERAL!$J$3:$J$954,""),"Utilities",_xlfn.XLOOKUP($K440&amp;"",UTILITIES!$B$3:$B$953&amp;"",UTILITIES!$I$3:$I$953,""),"IOT",_xlfn.XLOOKUP($K440&amp;"",IOT!$B$3:$B$1012&amp;"",IOT!$J$3:$J$1012,""),"Server",_xlfn.XLOOKUP($K440&amp;"",SERVER!$B$3:$B$1009&amp;"",SERVER!$J$3:$J$1009,""),""))</f>
        <v/>
      </c>
      <c r="N440" s="1" t="str" cm="1">
        <f t="array" ref="N440">IF(OR($K440="",$I440="",$J440=""),"",_xlfn.LET(_xlpm.srcCat,_xlfn.SWITCH($I440,"Computer",_xlfn.XLOOKUP($K440&amp;"",COMPUTER!$B$3:$B$1009&amp;"",COMPUTER!$H$3:$H$1009,""),"Display",_xlfn.XLOOKUP($K440&amp;"",DISPLAY!$B$3:$B$1000&amp;"",DISPLAY!$H$3:$H$1000,""),"Network Device",_xlfn.XLOOKUP($K440&amp;"",'NETWORK-DEVICES'!$B$3:$B$987&amp;"",'NETWORK-DEVICES'!$H$3:$H$987,""),"Peripheral",_xlfn.XLOOKUP($K440&amp;"",PERIPHERAL!$B$3:$B$954&amp;"",PERIPHERAL!$H$3:$H$954,""),"Utilities",_xlfn.XLOOKUP($K440&amp;"",UTILITIES!$B$3:$B$953&amp;"",UTILITIES!$G$3:$G$953,""),"IOT",_xlfn.XLOOKUP($K440&amp;"",IOT!$B$3:$B$1012&amp;"",IOT!$H$3:$H$1012,""),"Server",_xlfn.XLOOKUP($K440&amp;"",SERVER!$B$3:$B$1009&amp;"",SERVER!$H$3:$H$1009,""),""),IF(TRIM(_xlpm.srcCat)&lt;&gt;TRIM($J440),"",_xlfn.SWITCH($I440,"Computer",_xlfn.XLOOKUP($K440&amp;"",COMPUTER!$B$3:$B$1009&amp;"",COMPUTER!$K$3:$K$1009,""),"Display",_xlfn.XLOOKUP($K440&amp;"",DISPLAY!$B$3:$B$1000&amp;"",DISPLAY!$L$3:$L$1000,""),"Network Device",_xlfn.XLOOKUP($K440&amp;"",'NETWORK-DEVICES'!$B$3:$B$987&amp;"",'NETWORK-DEVICES'!$K$3:$K$987,""),"Peripheral",_xlfn.XLOOKUP($K440&amp;"",PERIPHERAL!$B$3:$B$954&amp;"",PERIPHERAL!$K$3:$K$954,""),"Utilities",_xlfn.XLOOKUP($K440&amp;"",UTILITIES!$B$3:$B$953&amp;"",UTILITIES!$J$3:$J$953,""),"IOT",_xlfn.XLOOKUP($K440&amp;"",IOT!$B$3:$B$1012&amp;"",IOT!$K$4:$K$1012,""),"Server",_xlfn.XLOOKUP($K440&amp;"",SERVER!$B$3:$B$1009&amp;"",SERVER!$K$3:$K$1009,""),""))))</f>
        <v/>
      </c>
      <c r="O440" s="1" t="str" cm="1">
        <f t="array" ref="O440">IF(OR($K440="",$I440="",$J440=""),"",_xlfn.LET(_xlpm.srcCat,_xlfn.SWITCH($I440,"Computer",_xlfn.XLOOKUP($K440&amp;"",COMPUTER!$B$3:$B$1009&amp;"",COMPUTER!$H$3:$H$1009,""),"Display",_xlfn.XLOOKUP($K440&amp;"",DISPLAY!$B$3:$B$1000&amp;"",DISPLAY!$H$3:$H$1000,""),"Network Device",_xlfn.XLOOKUP($K440&amp;"",'NETWORK-DEVICES'!$B$3:$B$987&amp;"",'NETWORK-DEVICES'!$H$3:$H$987,""),"Peripheral",_xlfn.XLOOKUP($K440&amp;"",PERIPHERAL!$B$3:$B$954&amp;"",PERIPHERAL!$H$3:$H$954,""),"Utilities",_xlfn.XLOOKUP($K440&amp;"",UTILITIES!$B$3:$B$953&amp;"",UTILITIES!$G$3:$G$953,""),"IOT",_xlfn.XLOOKUP($K440&amp;"",IOT!$B$3:$B$1012&amp;"",IOT!$H$3:$H$1012,""),"Server",_xlfn.XLOOKUP($K440&amp;"",SERVER!$B$3:$B$1009&amp;"",SERVER!$H$3:$H$1009,""),""),IF(TRIM(_xlpm.srcCat)&lt;&gt;TRIM($J440),"",_xlfn.SWITCH($I440,"Computer",_xlfn.XLOOKUP($K440&amp;"",COMPUTER!$B$3:$B$1009&amp;"",COMPUTER!$E$3:$E$1009,""),"Display",_xlfn.XLOOKUP($K440&amp;"",DISPLAY!$B$3:$B$1000&amp;"",DISPLAY!$E$3:$E$1000,""),"Network Device",_xlfn.XLOOKUP($K440&amp;"",'NETWORK-DEVICES'!$B$3:$B$987&amp;"",'NETWORK-DEVICES'!$E$3:$E$987,""),"Peripheral",_xlfn.XLOOKUP($K440&amp;"",PERIPHERAL!$B$3:$B$954&amp;"",PERIPHERAL!$E$3:$E$954,""),"Utilities",_xlfn.XLOOKUP($K440&amp;"",UTILITIES!$B$3:$B$953&amp;"",UTILITIES!$E$3:$E$953,""),"IOT",_xlfn.XLOOKUP($K440&amp;"",IOT!$B$3:$B$1012&amp;"",IOT!$E$3:$E$1012,""),"Server",_xlfn.XLOOKUP($K440&amp;"",SERVER!$B$3:$B$1009&amp;"",SERVER!$E$3:$E$1009,""),""))))</f>
        <v/>
      </c>
      <c r="Q440" s="1" t="str" cm="1">
        <f t="array" ref="Q440">IF(OR($K440="",$I440="",$J440=""),"",_xlfn.LET(_xlpm.srcCat,_xlfn.SWITCH($I440,"Computer",_xlfn.XLOOKUP($K440&amp;"",COMPUTER!$B$3:$B$1009&amp;"",COMPUTER!$H$3:$H$1009,""),"Display",_xlfn.XLOOKUP($K440&amp;"",DISPLAY!$B$3:$B$1000&amp;"",DISPLAY!$H$3:$H$1000,""),"Network Device",_xlfn.XLOOKUP($K440&amp;"",'NETWORK-DEVICES'!$B$3:$B$987&amp;"",'NETWORK-DEVICES'!$H$3:$H$987,""),"Peripheral",_xlfn.XLOOKUP($K440&amp;"",PERIPHERAL!$B$3:$B$954&amp;"",PERIPHERAL!$H$3:$H$954,""),"Utilities",_xlfn.XLOOKUP($K440&amp;"",UTILITIES!$B$3:$B$953&amp;"",UTILITIES!$G$3:$G$953,""),"IOT",_xlfn.XLOOKUP($K440&amp;"",IOT!$B$3:$B$1012&amp;"",IOT!$H$3:$H$1012,""),"Server",_xlfn.XLOOKUP($K440&amp;"",SERVER!$B$3:$B$1009&amp;"",SERVER!$H$3:$H$1009,""),""),IF(TRIM(_xlpm.srcCat)&lt;&gt;TRIM($J440),"",_xlfn.SWITCH($I440,"Computer",_xlfn.XLOOKUP($K440&amp;"",COMPUTER!$B$3:$B$1009&amp;"",COMPUTER!$AM$3:$AM$1009,""),"Display",_xlfn.XLOOKUP($K440&amp;"",DISPLAY!$B$3:$B$1000&amp;"",DISPLAY!$V$3:$V$1000,""),"Network Device",_xlfn.XLOOKUP($K440&amp;"",'NETWORK-DEVICES'!$B$3:$B$987&amp;"",'NETWORK-DEVICES'!$AF$3:$AF$987,""),"Peripheral",_xlfn.XLOOKUP($K440&amp;"",PERIPHERAL!$B$3:$B$954&amp;"",PERIPHERAL!$Y$3:$Y$954,""),"Utilities",_xlfn.XLOOKUP($K440&amp;"",UTILITIES!$B$3:$B$953&amp;"",UTILITIES!$O$3:$O$953,""),"IOT",_xlfn.XLOOKUP($K440&amp;"",IOT!$B$3:$B$1012&amp;"",IOT!$AB$3:$AB$1012,""),"Server",_xlfn.XLOOKUP($K440&amp;"",SERVER!$B$3:$B$1009&amp;"",SERVER!$AB$3:$AB$1009,""),""))))</f>
        <v/>
      </c>
      <c r="R440" s="43" t="str">
        <f>IF(tbl_handover[[#This Row],[Asset Code]]="","",COUNTIF(tbl_handover[Asset Code],tbl_handover[[#This Row],[Asset Code]]))</f>
        <v/>
      </c>
    </row>
    <row r="441" spans="1:18" x14ac:dyDescent="0.25">
      <c r="A441" s="43" t="str">
        <f>IF(B441&lt;&gt;"",SUBTOTAL(3,$B$1:B440),"")</f>
        <v/>
      </c>
      <c r="C441" s="74"/>
      <c r="D441" s="74"/>
      <c r="G441" s="1"/>
      <c r="K441" s="42"/>
      <c r="L441" t="str" cm="1">
        <f t="array" ref="L441">IF($K441="","",_xlfn.SWITCH($I441,"Computer",_xlfn.XLOOKUP($K441&amp;"",COMPUTER!$B$3:$B$1009&amp;"",COMPUTER!$I$3:$I$1009,""),"Display",_xlfn.XLOOKUP($K441&amp;"",DISPLAY!$B$3:$B$1000&amp;"",DISPLAY!$J$3:$J$1000,""),"Network Device",_xlfn.XLOOKUP($K441&amp;"",'NETWORK-DEVICES'!$B$3:$B$987&amp;"",'NETWORK-DEVICES'!$I$3:$I$987,""),"Peripheral",_xlfn.XLOOKUP($K441&amp;"",PERIPHERAL!$B$3:$B$954&amp;"",PERIPHERAL!$I$3:$I$954,""),"Utilities",_xlfn.XLOOKUP($K441&amp;"",UTILITIES!$B$3:$B$953&amp;"",UTILITIES!$H$3:$H$953,""),"IOT",_xlfn.XLOOKUP($K441&amp;"",IOT!$B$3:$B$1012&amp;"",IOT!$I$3:$I$1012,""),"SERVER",_xlfn.XLOOKUP($K441&amp;"",SERVER!$B$3:$B$1009&amp;"",SERVER!$I$3:$I$1009,""),""))</f>
        <v/>
      </c>
      <c r="M441" t="str" cm="1">
        <f t="array" ref="M441">IF($K441="","",_xlfn.SWITCH($I441,"Computer",_xlfn.XLOOKUP($K441&amp;"",COMPUTER!$B$3:$B$1009&amp;"",COMPUTER!$J$3:$J$1009,""),"Display",_xlfn.XLOOKUP($K441&amp;"",DISPLAY!$B$3:$B$1000&amp;"",DISPLAY!$K$3:$K$1000,""),"Network Device",_xlfn.XLOOKUP($K441&amp;"",'NETWORK-DEVICES'!$B$3:$B$987&amp;"",'NETWORK-DEVICES'!$I$3:$I$987,""),"Peripheral",_xlfn.XLOOKUP($K441&amp;"",PERIPHERAL!$B$3:$B$954&amp;"",PERIPHERAL!$J$3:$J$954,""),"Utilities",_xlfn.XLOOKUP($K441&amp;"",UTILITIES!$B$3:$B$953&amp;"",UTILITIES!$I$3:$I$953,""),"IOT",_xlfn.XLOOKUP($K441&amp;"",IOT!$B$3:$B$1012&amp;"",IOT!$J$3:$J$1012,""),"Server",_xlfn.XLOOKUP($K441&amp;"",SERVER!$B$3:$B$1009&amp;"",SERVER!$J$3:$J$1009,""),""))</f>
        <v/>
      </c>
      <c r="N441" s="1" t="str" cm="1">
        <f t="array" ref="N441">IF(OR($K441="",$I441="",$J441=""),"",_xlfn.LET(_xlpm.srcCat,_xlfn.SWITCH($I441,"Computer",_xlfn.XLOOKUP($K441&amp;"",COMPUTER!$B$3:$B$1009&amp;"",COMPUTER!$H$3:$H$1009,""),"Display",_xlfn.XLOOKUP($K441&amp;"",DISPLAY!$B$3:$B$1000&amp;"",DISPLAY!$H$3:$H$1000,""),"Network Device",_xlfn.XLOOKUP($K441&amp;"",'NETWORK-DEVICES'!$B$3:$B$987&amp;"",'NETWORK-DEVICES'!$H$3:$H$987,""),"Peripheral",_xlfn.XLOOKUP($K441&amp;"",PERIPHERAL!$B$3:$B$954&amp;"",PERIPHERAL!$H$3:$H$954,""),"Utilities",_xlfn.XLOOKUP($K441&amp;"",UTILITIES!$B$3:$B$953&amp;"",UTILITIES!$G$3:$G$953,""),"IOT",_xlfn.XLOOKUP($K441&amp;"",IOT!$B$3:$B$1012&amp;"",IOT!$H$3:$H$1012,""),"Server",_xlfn.XLOOKUP($K441&amp;"",SERVER!$B$3:$B$1009&amp;"",SERVER!$H$3:$H$1009,""),""),IF(TRIM(_xlpm.srcCat)&lt;&gt;TRIM($J441),"",_xlfn.SWITCH($I441,"Computer",_xlfn.XLOOKUP($K441&amp;"",COMPUTER!$B$3:$B$1009&amp;"",COMPUTER!$K$3:$K$1009,""),"Display",_xlfn.XLOOKUP($K441&amp;"",DISPLAY!$B$3:$B$1000&amp;"",DISPLAY!$L$3:$L$1000,""),"Network Device",_xlfn.XLOOKUP($K441&amp;"",'NETWORK-DEVICES'!$B$3:$B$987&amp;"",'NETWORK-DEVICES'!$K$3:$K$987,""),"Peripheral",_xlfn.XLOOKUP($K441&amp;"",PERIPHERAL!$B$3:$B$954&amp;"",PERIPHERAL!$K$3:$K$954,""),"Utilities",_xlfn.XLOOKUP($K441&amp;"",UTILITIES!$B$3:$B$953&amp;"",UTILITIES!$J$3:$J$953,""),"IOT",_xlfn.XLOOKUP($K441&amp;"",IOT!$B$3:$B$1012&amp;"",IOT!$K$4:$K$1012,""),"Server",_xlfn.XLOOKUP($K441&amp;"",SERVER!$B$3:$B$1009&amp;"",SERVER!$K$3:$K$1009,""),""))))</f>
        <v/>
      </c>
      <c r="O441" s="1" t="str" cm="1">
        <f t="array" ref="O441">IF(OR($K441="",$I441="",$J441=""),"",_xlfn.LET(_xlpm.srcCat,_xlfn.SWITCH($I441,"Computer",_xlfn.XLOOKUP($K441&amp;"",COMPUTER!$B$3:$B$1009&amp;"",COMPUTER!$H$3:$H$1009,""),"Display",_xlfn.XLOOKUP($K441&amp;"",DISPLAY!$B$3:$B$1000&amp;"",DISPLAY!$H$3:$H$1000,""),"Network Device",_xlfn.XLOOKUP($K441&amp;"",'NETWORK-DEVICES'!$B$3:$B$987&amp;"",'NETWORK-DEVICES'!$H$3:$H$987,""),"Peripheral",_xlfn.XLOOKUP($K441&amp;"",PERIPHERAL!$B$3:$B$954&amp;"",PERIPHERAL!$H$3:$H$954,""),"Utilities",_xlfn.XLOOKUP($K441&amp;"",UTILITIES!$B$3:$B$953&amp;"",UTILITIES!$G$3:$G$953,""),"IOT",_xlfn.XLOOKUP($K441&amp;"",IOT!$B$3:$B$1012&amp;"",IOT!$H$3:$H$1012,""),"Server",_xlfn.XLOOKUP($K441&amp;"",SERVER!$B$3:$B$1009&amp;"",SERVER!$H$3:$H$1009,""),""),IF(TRIM(_xlpm.srcCat)&lt;&gt;TRIM($J441),"",_xlfn.SWITCH($I441,"Computer",_xlfn.XLOOKUP($K441&amp;"",COMPUTER!$B$3:$B$1009&amp;"",COMPUTER!$E$3:$E$1009,""),"Display",_xlfn.XLOOKUP($K441&amp;"",DISPLAY!$B$3:$B$1000&amp;"",DISPLAY!$E$3:$E$1000,""),"Network Device",_xlfn.XLOOKUP($K441&amp;"",'NETWORK-DEVICES'!$B$3:$B$987&amp;"",'NETWORK-DEVICES'!$E$3:$E$987,""),"Peripheral",_xlfn.XLOOKUP($K441&amp;"",PERIPHERAL!$B$3:$B$954&amp;"",PERIPHERAL!$E$3:$E$954,""),"Utilities",_xlfn.XLOOKUP($K441&amp;"",UTILITIES!$B$3:$B$953&amp;"",UTILITIES!$E$3:$E$953,""),"IOT",_xlfn.XLOOKUP($K441&amp;"",IOT!$B$3:$B$1012&amp;"",IOT!$E$3:$E$1012,""),"Server",_xlfn.XLOOKUP($K441&amp;"",SERVER!$B$3:$B$1009&amp;"",SERVER!$E$3:$E$1009,""),""))))</f>
        <v/>
      </c>
      <c r="Q441" s="1" t="str" cm="1">
        <f t="array" ref="Q441">IF(OR($K441="",$I441="",$J441=""),"",_xlfn.LET(_xlpm.srcCat,_xlfn.SWITCH($I441,"Computer",_xlfn.XLOOKUP($K441&amp;"",COMPUTER!$B$3:$B$1009&amp;"",COMPUTER!$H$3:$H$1009,""),"Display",_xlfn.XLOOKUP($K441&amp;"",DISPLAY!$B$3:$B$1000&amp;"",DISPLAY!$H$3:$H$1000,""),"Network Device",_xlfn.XLOOKUP($K441&amp;"",'NETWORK-DEVICES'!$B$3:$B$987&amp;"",'NETWORK-DEVICES'!$H$3:$H$987,""),"Peripheral",_xlfn.XLOOKUP($K441&amp;"",PERIPHERAL!$B$3:$B$954&amp;"",PERIPHERAL!$H$3:$H$954,""),"Utilities",_xlfn.XLOOKUP($K441&amp;"",UTILITIES!$B$3:$B$953&amp;"",UTILITIES!$G$3:$G$953,""),"IOT",_xlfn.XLOOKUP($K441&amp;"",IOT!$B$3:$B$1012&amp;"",IOT!$H$3:$H$1012,""),"Server",_xlfn.XLOOKUP($K441&amp;"",SERVER!$B$3:$B$1009&amp;"",SERVER!$H$3:$H$1009,""),""),IF(TRIM(_xlpm.srcCat)&lt;&gt;TRIM($J441),"",_xlfn.SWITCH($I441,"Computer",_xlfn.XLOOKUP($K441&amp;"",COMPUTER!$B$3:$B$1009&amp;"",COMPUTER!$AM$3:$AM$1009,""),"Display",_xlfn.XLOOKUP($K441&amp;"",DISPLAY!$B$3:$B$1000&amp;"",DISPLAY!$V$3:$V$1000,""),"Network Device",_xlfn.XLOOKUP($K441&amp;"",'NETWORK-DEVICES'!$B$3:$B$987&amp;"",'NETWORK-DEVICES'!$AF$3:$AF$987,""),"Peripheral",_xlfn.XLOOKUP($K441&amp;"",PERIPHERAL!$B$3:$B$954&amp;"",PERIPHERAL!$Y$3:$Y$954,""),"Utilities",_xlfn.XLOOKUP($K441&amp;"",UTILITIES!$B$3:$B$953&amp;"",UTILITIES!$O$3:$O$953,""),"IOT",_xlfn.XLOOKUP($K441&amp;"",IOT!$B$3:$B$1012&amp;"",IOT!$AB$3:$AB$1012,""),"Server",_xlfn.XLOOKUP($K441&amp;"",SERVER!$B$3:$B$1009&amp;"",SERVER!$AB$3:$AB$1009,""),""))))</f>
        <v/>
      </c>
      <c r="R441" s="43" t="str">
        <f>IF(tbl_handover[[#This Row],[Asset Code]]="","",COUNTIF(tbl_handover[Asset Code],tbl_handover[[#This Row],[Asset Code]]))</f>
        <v/>
      </c>
    </row>
    <row r="442" spans="1:18" x14ac:dyDescent="0.25">
      <c r="A442" s="43" t="str">
        <f>IF(B442&lt;&gt;"",SUBTOTAL(3,$B$1:B441),"")</f>
        <v/>
      </c>
      <c r="C442" s="74"/>
      <c r="D442" s="74"/>
      <c r="G442" s="1"/>
      <c r="K442" s="42"/>
      <c r="L442" t="str" cm="1">
        <f t="array" ref="L442">IF($K442="","",_xlfn.SWITCH($I442,"Computer",_xlfn.XLOOKUP($K442&amp;"",COMPUTER!$B$3:$B$1009&amp;"",COMPUTER!$I$3:$I$1009,""),"Display",_xlfn.XLOOKUP($K442&amp;"",DISPLAY!$B$3:$B$1000&amp;"",DISPLAY!$J$3:$J$1000,""),"Network Device",_xlfn.XLOOKUP($K442&amp;"",'NETWORK-DEVICES'!$B$3:$B$987&amp;"",'NETWORK-DEVICES'!$I$3:$I$987,""),"Peripheral",_xlfn.XLOOKUP($K442&amp;"",PERIPHERAL!$B$3:$B$954&amp;"",PERIPHERAL!$I$3:$I$954,""),"Utilities",_xlfn.XLOOKUP($K442&amp;"",UTILITIES!$B$3:$B$953&amp;"",UTILITIES!$H$3:$H$953,""),"IOT",_xlfn.XLOOKUP($K442&amp;"",IOT!$B$3:$B$1012&amp;"",IOT!$I$3:$I$1012,""),"SERVER",_xlfn.XLOOKUP($K442&amp;"",SERVER!$B$3:$B$1009&amp;"",SERVER!$I$3:$I$1009,""),""))</f>
        <v/>
      </c>
      <c r="M442" t="str" cm="1">
        <f t="array" ref="M442">IF($K442="","",_xlfn.SWITCH($I442,"Computer",_xlfn.XLOOKUP($K442&amp;"",COMPUTER!$B$3:$B$1009&amp;"",COMPUTER!$J$3:$J$1009,""),"Display",_xlfn.XLOOKUP($K442&amp;"",DISPLAY!$B$3:$B$1000&amp;"",DISPLAY!$K$3:$K$1000,""),"Network Device",_xlfn.XLOOKUP($K442&amp;"",'NETWORK-DEVICES'!$B$3:$B$987&amp;"",'NETWORK-DEVICES'!$I$3:$I$987,""),"Peripheral",_xlfn.XLOOKUP($K442&amp;"",PERIPHERAL!$B$3:$B$954&amp;"",PERIPHERAL!$J$3:$J$954,""),"Utilities",_xlfn.XLOOKUP($K442&amp;"",UTILITIES!$B$3:$B$953&amp;"",UTILITIES!$I$3:$I$953,""),"IOT",_xlfn.XLOOKUP($K442&amp;"",IOT!$B$3:$B$1012&amp;"",IOT!$J$3:$J$1012,""),"Server",_xlfn.XLOOKUP($K442&amp;"",SERVER!$B$3:$B$1009&amp;"",SERVER!$J$3:$J$1009,""),""))</f>
        <v/>
      </c>
      <c r="N442" s="1" t="str" cm="1">
        <f t="array" ref="N442">IF(OR($K442="",$I442="",$J442=""),"",_xlfn.LET(_xlpm.srcCat,_xlfn.SWITCH($I442,"Computer",_xlfn.XLOOKUP($K442&amp;"",COMPUTER!$B$3:$B$1009&amp;"",COMPUTER!$H$3:$H$1009,""),"Display",_xlfn.XLOOKUP($K442&amp;"",DISPLAY!$B$3:$B$1000&amp;"",DISPLAY!$H$3:$H$1000,""),"Network Device",_xlfn.XLOOKUP($K442&amp;"",'NETWORK-DEVICES'!$B$3:$B$987&amp;"",'NETWORK-DEVICES'!$H$3:$H$987,""),"Peripheral",_xlfn.XLOOKUP($K442&amp;"",PERIPHERAL!$B$3:$B$954&amp;"",PERIPHERAL!$H$3:$H$954,""),"Utilities",_xlfn.XLOOKUP($K442&amp;"",UTILITIES!$B$3:$B$953&amp;"",UTILITIES!$G$3:$G$953,""),"IOT",_xlfn.XLOOKUP($K442&amp;"",IOT!$B$3:$B$1012&amp;"",IOT!$H$3:$H$1012,""),"Server",_xlfn.XLOOKUP($K442&amp;"",SERVER!$B$3:$B$1009&amp;"",SERVER!$H$3:$H$1009,""),""),IF(TRIM(_xlpm.srcCat)&lt;&gt;TRIM($J442),"",_xlfn.SWITCH($I442,"Computer",_xlfn.XLOOKUP($K442&amp;"",COMPUTER!$B$3:$B$1009&amp;"",COMPUTER!$K$3:$K$1009,""),"Display",_xlfn.XLOOKUP($K442&amp;"",DISPLAY!$B$3:$B$1000&amp;"",DISPLAY!$L$3:$L$1000,""),"Network Device",_xlfn.XLOOKUP($K442&amp;"",'NETWORK-DEVICES'!$B$3:$B$987&amp;"",'NETWORK-DEVICES'!$K$3:$K$987,""),"Peripheral",_xlfn.XLOOKUP($K442&amp;"",PERIPHERAL!$B$3:$B$954&amp;"",PERIPHERAL!$K$3:$K$954,""),"Utilities",_xlfn.XLOOKUP($K442&amp;"",UTILITIES!$B$3:$B$953&amp;"",UTILITIES!$J$3:$J$953,""),"IOT",_xlfn.XLOOKUP($K442&amp;"",IOT!$B$3:$B$1012&amp;"",IOT!$K$4:$K$1012,""),"Server",_xlfn.XLOOKUP($K442&amp;"",SERVER!$B$3:$B$1009&amp;"",SERVER!$K$3:$K$1009,""),""))))</f>
        <v/>
      </c>
      <c r="O442" s="1" t="str" cm="1">
        <f t="array" ref="O442">IF(OR($K442="",$I442="",$J442=""),"",_xlfn.LET(_xlpm.srcCat,_xlfn.SWITCH($I442,"Computer",_xlfn.XLOOKUP($K442&amp;"",COMPUTER!$B$3:$B$1009&amp;"",COMPUTER!$H$3:$H$1009,""),"Display",_xlfn.XLOOKUP($K442&amp;"",DISPLAY!$B$3:$B$1000&amp;"",DISPLAY!$H$3:$H$1000,""),"Network Device",_xlfn.XLOOKUP($K442&amp;"",'NETWORK-DEVICES'!$B$3:$B$987&amp;"",'NETWORK-DEVICES'!$H$3:$H$987,""),"Peripheral",_xlfn.XLOOKUP($K442&amp;"",PERIPHERAL!$B$3:$B$954&amp;"",PERIPHERAL!$H$3:$H$954,""),"Utilities",_xlfn.XLOOKUP($K442&amp;"",UTILITIES!$B$3:$B$953&amp;"",UTILITIES!$G$3:$G$953,""),"IOT",_xlfn.XLOOKUP($K442&amp;"",IOT!$B$3:$B$1012&amp;"",IOT!$H$3:$H$1012,""),"Server",_xlfn.XLOOKUP($K442&amp;"",SERVER!$B$3:$B$1009&amp;"",SERVER!$H$3:$H$1009,""),""),IF(TRIM(_xlpm.srcCat)&lt;&gt;TRIM($J442),"",_xlfn.SWITCH($I442,"Computer",_xlfn.XLOOKUP($K442&amp;"",COMPUTER!$B$3:$B$1009&amp;"",COMPUTER!$E$3:$E$1009,""),"Display",_xlfn.XLOOKUP($K442&amp;"",DISPLAY!$B$3:$B$1000&amp;"",DISPLAY!$E$3:$E$1000,""),"Network Device",_xlfn.XLOOKUP($K442&amp;"",'NETWORK-DEVICES'!$B$3:$B$987&amp;"",'NETWORK-DEVICES'!$E$3:$E$987,""),"Peripheral",_xlfn.XLOOKUP($K442&amp;"",PERIPHERAL!$B$3:$B$954&amp;"",PERIPHERAL!$E$3:$E$954,""),"Utilities",_xlfn.XLOOKUP($K442&amp;"",UTILITIES!$B$3:$B$953&amp;"",UTILITIES!$E$3:$E$953,""),"IOT",_xlfn.XLOOKUP($K442&amp;"",IOT!$B$3:$B$1012&amp;"",IOT!$E$3:$E$1012,""),"Server",_xlfn.XLOOKUP($K442&amp;"",SERVER!$B$3:$B$1009&amp;"",SERVER!$E$3:$E$1009,""),""))))</f>
        <v/>
      </c>
      <c r="Q442" s="1" t="str" cm="1">
        <f t="array" ref="Q442">IF(OR($K442="",$I442="",$J442=""),"",_xlfn.LET(_xlpm.srcCat,_xlfn.SWITCH($I442,"Computer",_xlfn.XLOOKUP($K442&amp;"",COMPUTER!$B$3:$B$1009&amp;"",COMPUTER!$H$3:$H$1009,""),"Display",_xlfn.XLOOKUP($K442&amp;"",DISPLAY!$B$3:$B$1000&amp;"",DISPLAY!$H$3:$H$1000,""),"Network Device",_xlfn.XLOOKUP($K442&amp;"",'NETWORK-DEVICES'!$B$3:$B$987&amp;"",'NETWORK-DEVICES'!$H$3:$H$987,""),"Peripheral",_xlfn.XLOOKUP($K442&amp;"",PERIPHERAL!$B$3:$B$954&amp;"",PERIPHERAL!$H$3:$H$954,""),"Utilities",_xlfn.XLOOKUP($K442&amp;"",UTILITIES!$B$3:$B$953&amp;"",UTILITIES!$G$3:$G$953,""),"IOT",_xlfn.XLOOKUP($K442&amp;"",IOT!$B$3:$B$1012&amp;"",IOT!$H$3:$H$1012,""),"Server",_xlfn.XLOOKUP($K442&amp;"",SERVER!$B$3:$B$1009&amp;"",SERVER!$H$3:$H$1009,""),""),IF(TRIM(_xlpm.srcCat)&lt;&gt;TRIM($J442),"",_xlfn.SWITCH($I442,"Computer",_xlfn.XLOOKUP($K442&amp;"",COMPUTER!$B$3:$B$1009&amp;"",COMPUTER!$AM$3:$AM$1009,""),"Display",_xlfn.XLOOKUP($K442&amp;"",DISPLAY!$B$3:$B$1000&amp;"",DISPLAY!$V$3:$V$1000,""),"Network Device",_xlfn.XLOOKUP($K442&amp;"",'NETWORK-DEVICES'!$B$3:$B$987&amp;"",'NETWORK-DEVICES'!$AF$3:$AF$987,""),"Peripheral",_xlfn.XLOOKUP($K442&amp;"",PERIPHERAL!$B$3:$B$954&amp;"",PERIPHERAL!$Y$3:$Y$954,""),"Utilities",_xlfn.XLOOKUP($K442&amp;"",UTILITIES!$B$3:$B$953&amp;"",UTILITIES!$O$3:$O$953,""),"IOT",_xlfn.XLOOKUP($K442&amp;"",IOT!$B$3:$B$1012&amp;"",IOT!$AB$3:$AB$1012,""),"Server",_xlfn.XLOOKUP($K442&amp;"",SERVER!$B$3:$B$1009&amp;"",SERVER!$AB$3:$AB$1009,""),""))))</f>
        <v/>
      </c>
      <c r="R442" s="43" t="str">
        <f>IF(tbl_handover[[#This Row],[Asset Code]]="","",COUNTIF(tbl_handover[Asset Code],tbl_handover[[#This Row],[Asset Code]]))</f>
        <v/>
      </c>
    </row>
    <row r="443" spans="1:18" x14ac:dyDescent="0.25">
      <c r="A443" s="43" t="str">
        <f>IF(B443&lt;&gt;"",SUBTOTAL(3,$B$1:B442),"")</f>
        <v/>
      </c>
      <c r="C443" s="74"/>
      <c r="D443" s="74"/>
      <c r="G443" s="1"/>
      <c r="K443" s="42"/>
      <c r="L443" t="str" cm="1">
        <f t="array" ref="L443">IF($K443="","",_xlfn.SWITCH($I443,"Computer",_xlfn.XLOOKUP($K443&amp;"",COMPUTER!$B$3:$B$1009&amp;"",COMPUTER!$I$3:$I$1009,""),"Display",_xlfn.XLOOKUP($K443&amp;"",DISPLAY!$B$3:$B$1000&amp;"",DISPLAY!$J$3:$J$1000,""),"Network Device",_xlfn.XLOOKUP($K443&amp;"",'NETWORK-DEVICES'!$B$3:$B$987&amp;"",'NETWORK-DEVICES'!$I$3:$I$987,""),"Peripheral",_xlfn.XLOOKUP($K443&amp;"",PERIPHERAL!$B$3:$B$954&amp;"",PERIPHERAL!$I$3:$I$954,""),"Utilities",_xlfn.XLOOKUP($K443&amp;"",UTILITIES!$B$3:$B$953&amp;"",UTILITIES!$H$3:$H$953,""),"IOT",_xlfn.XLOOKUP($K443&amp;"",IOT!$B$3:$B$1012&amp;"",IOT!$I$3:$I$1012,""),"SERVER",_xlfn.XLOOKUP($K443&amp;"",SERVER!$B$3:$B$1009&amp;"",SERVER!$I$3:$I$1009,""),""))</f>
        <v/>
      </c>
      <c r="M443" t="str" cm="1">
        <f t="array" ref="M443">IF($K443="","",_xlfn.SWITCH($I443,"Computer",_xlfn.XLOOKUP($K443&amp;"",COMPUTER!$B$3:$B$1009&amp;"",COMPUTER!$J$3:$J$1009,""),"Display",_xlfn.XLOOKUP($K443&amp;"",DISPLAY!$B$3:$B$1000&amp;"",DISPLAY!$K$3:$K$1000,""),"Network Device",_xlfn.XLOOKUP($K443&amp;"",'NETWORK-DEVICES'!$B$3:$B$987&amp;"",'NETWORK-DEVICES'!$I$3:$I$987,""),"Peripheral",_xlfn.XLOOKUP($K443&amp;"",PERIPHERAL!$B$3:$B$954&amp;"",PERIPHERAL!$J$3:$J$954,""),"Utilities",_xlfn.XLOOKUP($K443&amp;"",UTILITIES!$B$3:$B$953&amp;"",UTILITIES!$I$3:$I$953,""),"IOT",_xlfn.XLOOKUP($K443&amp;"",IOT!$B$3:$B$1012&amp;"",IOT!$J$3:$J$1012,""),"Server",_xlfn.XLOOKUP($K443&amp;"",SERVER!$B$3:$B$1009&amp;"",SERVER!$J$3:$J$1009,""),""))</f>
        <v/>
      </c>
      <c r="N443" s="1" t="str" cm="1">
        <f t="array" ref="N443">IF(OR($K443="",$I443="",$J443=""),"",_xlfn.LET(_xlpm.srcCat,_xlfn.SWITCH($I443,"Computer",_xlfn.XLOOKUP($K443&amp;"",COMPUTER!$B$3:$B$1009&amp;"",COMPUTER!$H$3:$H$1009,""),"Display",_xlfn.XLOOKUP($K443&amp;"",DISPLAY!$B$3:$B$1000&amp;"",DISPLAY!$H$3:$H$1000,""),"Network Device",_xlfn.XLOOKUP($K443&amp;"",'NETWORK-DEVICES'!$B$3:$B$987&amp;"",'NETWORK-DEVICES'!$H$3:$H$987,""),"Peripheral",_xlfn.XLOOKUP($K443&amp;"",PERIPHERAL!$B$3:$B$954&amp;"",PERIPHERAL!$H$3:$H$954,""),"Utilities",_xlfn.XLOOKUP($K443&amp;"",UTILITIES!$B$3:$B$953&amp;"",UTILITIES!$G$3:$G$953,""),"IOT",_xlfn.XLOOKUP($K443&amp;"",IOT!$B$3:$B$1012&amp;"",IOT!$H$3:$H$1012,""),"Server",_xlfn.XLOOKUP($K443&amp;"",SERVER!$B$3:$B$1009&amp;"",SERVER!$H$3:$H$1009,""),""),IF(TRIM(_xlpm.srcCat)&lt;&gt;TRIM($J443),"",_xlfn.SWITCH($I443,"Computer",_xlfn.XLOOKUP($K443&amp;"",COMPUTER!$B$3:$B$1009&amp;"",COMPUTER!$K$3:$K$1009,""),"Display",_xlfn.XLOOKUP($K443&amp;"",DISPLAY!$B$3:$B$1000&amp;"",DISPLAY!$L$3:$L$1000,""),"Network Device",_xlfn.XLOOKUP($K443&amp;"",'NETWORK-DEVICES'!$B$3:$B$987&amp;"",'NETWORK-DEVICES'!$K$3:$K$987,""),"Peripheral",_xlfn.XLOOKUP($K443&amp;"",PERIPHERAL!$B$3:$B$954&amp;"",PERIPHERAL!$K$3:$K$954,""),"Utilities",_xlfn.XLOOKUP($K443&amp;"",UTILITIES!$B$3:$B$953&amp;"",UTILITIES!$J$3:$J$953,""),"IOT",_xlfn.XLOOKUP($K443&amp;"",IOT!$B$3:$B$1012&amp;"",IOT!$K$4:$K$1012,""),"Server",_xlfn.XLOOKUP($K443&amp;"",SERVER!$B$3:$B$1009&amp;"",SERVER!$K$3:$K$1009,""),""))))</f>
        <v/>
      </c>
      <c r="O443" s="1" t="str" cm="1">
        <f t="array" ref="O443">IF(OR($K443="",$I443="",$J443=""),"",_xlfn.LET(_xlpm.srcCat,_xlfn.SWITCH($I443,"Computer",_xlfn.XLOOKUP($K443&amp;"",COMPUTER!$B$3:$B$1009&amp;"",COMPUTER!$H$3:$H$1009,""),"Display",_xlfn.XLOOKUP($K443&amp;"",DISPLAY!$B$3:$B$1000&amp;"",DISPLAY!$H$3:$H$1000,""),"Network Device",_xlfn.XLOOKUP($K443&amp;"",'NETWORK-DEVICES'!$B$3:$B$987&amp;"",'NETWORK-DEVICES'!$H$3:$H$987,""),"Peripheral",_xlfn.XLOOKUP($K443&amp;"",PERIPHERAL!$B$3:$B$954&amp;"",PERIPHERAL!$H$3:$H$954,""),"Utilities",_xlfn.XLOOKUP($K443&amp;"",UTILITIES!$B$3:$B$953&amp;"",UTILITIES!$G$3:$G$953,""),"IOT",_xlfn.XLOOKUP($K443&amp;"",IOT!$B$3:$B$1012&amp;"",IOT!$H$3:$H$1012,""),"Server",_xlfn.XLOOKUP($K443&amp;"",SERVER!$B$3:$B$1009&amp;"",SERVER!$H$3:$H$1009,""),""),IF(TRIM(_xlpm.srcCat)&lt;&gt;TRIM($J443),"",_xlfn.SWITCH($I443,"Computer",_xlfn.XLOOKUP($K443&amp;"",COMPUTER!$B$3:$B$1009&amp;"",COMPUTER!$E$3:$E$1009,""),"Display",_xlfn.XLOOKUP($K443&amp;"",DISPLAY!$B$3:$B$1000&amp;"",DISPLAY!$E$3:$E$1000,""),"Network Device",_xlfn.XLOOKUP($K443&amp;"",'NETWORK-DEVICES'!$B$3:$B$987&amp;"",'NETWORK-DEVICES'!$E$3:$E$987,""),"Peripheral",_xlfn.XLOOKUP($K443&amp;"",PERIPHERAL!$B$3:$B$954&amp;"",PERIPHERAL!$E$3:$E$954,""),"Utilities",_xlfn.XLOOKUP($K443&amp;"",UTILITIES!$B$3:$B$953&amp;"",UTILITIES!$E$3:$E$953,""),"IOT",_xlfn.XLOOKUP($K443&amp;"",IOT!$B$3:$B$1012&amp;"",IOT!$E$3:$E$1012,""),"Server",_xlfn.XLOOKUP($K443&amp;"",SERVER!$B$3:$B$1009&amp;"",SERVER!$E$3:$E$1009,""),""))))</f>
        <v/>
      </c>
      <c r="Q443" s="1" t="str" cm="1">
        <f t="array" ref="Q443">IF(OR($K443="",$I443="",$J443=""),"",_xlfn.LET(_xlpm.srcCat,_xlfn.SWITCH($I443,"Computer",_xlfn.XLOOKUP($K443&amp;"",COMPUTER!$B$3:$B$1009&amp;"",COMPUTER!$H$3:$H$1009,""),"Display",_xlfn.XLOOKUP($K443&amp;"",DISPLAY!$B$3:$B$1000&amp;"",DISPLAY!$H$3:$H$1000,""),"Network Device",_xlfn.XLOOKUP($K443&amp;"",'NETWORK-DEVICES'!$B$3:$B$987&amp;"",'NETWORK-DEVICES'!$H$3:$H$987,""),"Peripheral",_xlfn.XLOOKUP($K443&amp;"",PERIPHERAL!$B$3:$B$954&amp;"",PERIPHERAL!$H$3:$H$954,""),"Utilities",_xlfn.XLOOKUP($K443&amp;"",UTILITIES!$B$3:$B$953&amp;"",UTILITIES!$G$3:$G$953,""),"IOT",_xlfn.XLOOKUP($K443&amp;"",IOT!$B$3:$B$1012&amp;"",IOT!$H$3:$H$1012,""),"Server",_xlfn.XLOOKUP($K443&amp;"",SERVER!$B$3:$B$1009&amp;"",SERVER!$H$3:$H$1009,""),""),IF(TRIM(_xlpm.srcCat)&lt;&gt;TRIM($J443),"",_xlfn.SWITCH($I443,"Computer",_xlfn.XLOOKUP($K443&amp;"",COMPUTER!$B$3:$B$1009&amp;"",COMPUTER!$AM$3:$AM$1009,""),"Display",_xlfn.XLOOKUP($K443&amp;"",DISPLAY!$B$3:$B$1000&amp;"",DISPLAY!$V$3:$V$1000,""),"Network Device",_xlfn.XLOOKUP($K443&amp;"",'NETWORK-DEVICES'!$B$3:$B$987&amp;"",'NETWORK-DEVICES'!$AF$3:$AF$987,""),"Peripheral",_xlfn.XLOOKUP($K443&amp;"",PERIPHERAL!$B$3:$B$954&amp;"",PERIPHERAL!$Y$3:$Y$954,""),"Utilities",_xlfn.XLOOKUP($K443&amp;"",UTILITIES!$B$3:$B$953&amp;"",UTILITIES!$O$3:$O$953,""),"IOT",_xlfn.XLOOKUP($K443&amp;"",IOT!$B$3:$B$1012&amp;"",IOT!$AB$3:$AB$1012,""),"Server",_xlfn.XLOOKUP($K443&amp;"",SERVER!$B$3:$B$1009&amp;"",SERVER!$AB$3:$AB$1009,""),""))))</f>
        <v/>
      </c>
      <c r="R443" s="43" t="str">
        <f>IF(tbl_handover[[#This Row],[Asset Code]]="","",COUNTIF(tbl_handover[Asset Code],tbl_handover[[#This Row],[Asset Code]]))</f>
        <v/>
      </c>
    </row>
    <row r="444" spans="1:18" x14ac:dyDescent="0.25">
      <c r="A444" s="43" t="str">
        <f>IF(B444&lt;&gt;"",SUBTOTAL(3,$B$1:B443),"")</f>
        <v/>
      </c>
      <c r="C444" s="74"/>
      <c r="D444" s="74"/>
      <c r="G444" s="1"/>
      <c r="K444" s="42"/>
      <c r="L444" t="str" cm="1">
        <f t="array" ref="L444">IF($K444="","",_xlfn.SWITCH($I444,"Computer",_xlfn.XLOOKUP($K444&amp;"",COMPUTER!$B$3:$B$1009&amp;"",COMPUTER!$I$3:$I$1009,""),"Display",_xlfn.XLOOKUP($K444&amp;"",DISPLAY!$B$3:$B$1000&amp;"",DISPLAY!$J$3:$J$1000,""),"Network Device",_xlfn.XLOOKUP($K444&amp;"",'NETWORK-DEVICES'!$B$3:$B$987&amp;"",'NETWORK-DEVICES'!$I$3:$I$987,""),"Peripheral",_xlfn.XLOOKUP($K444&amp;"",PERIPHERAL!$B$3:$B$954&amp;"",PERIPHERAL!$I$3:$I$954,""),"Utilities",_xlfn.XLOOKUP($K444&amp;"",UTILITIES!$B$3:$B$953&amp;"",UTILITIES!$H$3:$H$953,""),"IOT",_xlfn.XLOOKUP($K444&amp;"",IOT!$B$3:$B$1012&amp;"",IOT!$I$3:$I$1012,""),"SERVER",_xlfn.XLOOKUP($K444&amp;"",SERVER!$B$3:$B$1009&amp;"",SERVER!$I$3:$I$1009,""),""))</f>
        <v/>
      </c>
      <c r="M444" t="str" cm="1">
        <f t="array" ref="M444">IF($K444="","",_xlfn.SWITCH($I444,"Computer",_xlfn.XLOOKUP($K444&amp;"",COMPUTER!$B$3:$B$1009&amp;"",COMPUTER!$J$3:$J$1009,""),"Display",_xlfn.XLOOKUP($K444&amp;"",DISPLAY!$B$3:$B$1000&amp;"",DISPLAY!$K$3:$K$1000,""),"Network Device",_xlfn.XLOOKUP($K444&amp;"",'NETWORK-DEVICES'!$B$3:$B$987&amp;"",'NETWORK-DEVICES'!$I$3:$I$987,""),"Peripheral",_xlfn.XLOOKUP($K444&amp;"",PERIPHERAL!$B$3:$B$954&amp;"",PERIPHERAL!$J$3:$J$954,""),"Utilities",_xlfn.XLOOKUP($K444&amp;"",UTILITIES!$B$3:$B$953&amp;"",UTILITIES!$I$3:$I$953,""),"IOT",_xlfn.XLOOKUP($K444&amp;"",IOT!$B$3:$B$1012&amp;"",IOT!$J$3:$J$1012,""),"Server",_xlfn.XLOOKUP($K444&amp;"",SERVER!$B$3:$B$1009&amp;"",SERVER!$J$3:$J$1009,""),""))</f>
        <v/>
      </c>
      <c r="N444" s="1" t="str" cm="1">
        <f t="array" ref="N444">IF(OR($K444="",$I444="",$J444=""),"",_xlfn.LET(_xlpm.srcCat,_xlfn.SWITCH($I444,"Computer",_xlfn.XLOOKUP($K444&amp;"",COMPUTER!$B$3:$B$1009&amp;"",COMPUTER!$H$3:$H$1009,""),"Display",_xlfn.XLOOKUP($K444&amp;"",DISPLAY!$B$3:$B$1000&amp;"",DISPLAY!$H$3:$H$1000,""),"Network Device",_xlfn.XLOOKUP($K444&amp;"",'NETWORK-DEVICES'!$B$3:$B$987&amp;"",'NETWORK-DEVICES'!$H$3:$H$987,""),"Peripheral",_xlfn.XLOOKUP($K444&amp;"",PERIPHERAL!$B$3:$B$954&amp;"",PERIPHERAL!$H$3:$H$954,""),"Utilities",_xlfn.XLOOKUP($K444&amp;"",UTILITIES!$B$3:$B$953&amp;"",UTILITIES!$G$3:$G$953,""),"IOT",_xlfn.XLOOKUP($K444&amp;"",IOT!$B$3:$B$1012&amp;"",IOT!$H$3:$H$1012,""),"Server",_xlfn.XLOOKUP($K444&amp;"",SERVER!$B$3:$B$1009&amp;"",SERVER!$H$3:$H$1009,""),""),IF(TRIM(_xlpm.srcCat)&lt;&gt;TRIM($J444),"",_xlfn.SWITCH($I444,"Computer",_xlfn.XLOOKUP($K444&amp;"",COMPUTER!$B$3:$B$1009&amp;"",COMPUTER!$K$3:$K$1009,""),"Display",_xlfn.XLOOKUP($K444&amp;"",DISPLAY!$B$3:$B$1000&amp;"",DISPLAY!$L$3:$L$1000,""),"Network Device",_xlfn.XLOOKUP($K444&amp;"",'NETWORK-DEVICES'!$B$3:$B$987&amp;"",'NETWORK-DEVICES'!$K$3:$K$987,""),"Peripheral",_xlfn.XLOOKUP($K444&amp;"",PERIPHERAL!$B$3:$B$954&amp;"",PERIPHERAL!$K$3:$K$954,""),"Utilities",_xlfn.XLOOKUP($K444&amp;"",UTILITIES!$B$3:$B$953&amp;"",UTILITIES!$J$3:$J$953,""),"IOT",_xlfn.XLOOKUP($K444&amp;"",IOT!$B$3:$B$1012&amp;"",IOT!$K$4:$K$1012,""),"Server",_xlfn.XLOOKUP($K444&amp;"",SERVER!$B$3:$B$1009&amp;"",SERVER!$K$3:$K$1009,""),""))))</f>
        <v/>
      </c>
      <c r="O444" s="1" t="str" cm="1">
        <f t="array" ref="O444">IF(OR($K444="",$I444="",$J444=""),"",_xlfn.LET(_xlpm.srcCat,_xlfn.SWITCH($I444,"Computer",_xlfn.XLOOKUP($K444&amp;"",COMPUTER!$B$3:$B$1009&amp;"",COMPUTER!$H$3:$H$1009,""),"Display",_xlfn.XLOOKUP($K444&amp;"",DISPLAY!$B$3:$B$1000&amp;"",DISPLAY!$H$3:$H$1000,""),"Network Device",_xlfn.XLOOKUP($K444&amp;"",'NETWORK-DEVICES'!$B$3:$B$987&amp;"",'NETWORK-DEVICES'!$H$3:$H$987,""),"Peripheral",_xlfn.XLOOKUP($K444&amp;"",PERIPHERAL!$B$3:$B$954&amp;"",PERIPHERAL!$H$3:$H$954,""),"Utilities",_xlfn.XLOOKUP($K444&amp;"",UTILITIES!$B$3:$B$953&amp;"",UTILITIES!$G$3:$G$953,""),"IOT",_xlfn.XLOOKUP($K444&amp;"",IOT!$B$3:$B$1012&amp;"",IOT!$H$3:$H$1012,""),"Server",_xlfn.XLOOKUP($K444&amp;"",SERVER!$B$3:$B$1009&amp;"",SERVER!$H$3:$H$1009,""),""),IF(TRIM(_xlpm.srcCat)&lt;&gt;TRIM($J444),"",_xlfn.SWITCH($I444,"Computer",_xlfn.XLOOKUP($K444&amp;"",COMPUTER!$B$3:$B$1009&amp;"",COMPUTER!$E$3:$E$1009,""),"Display",_xlfn.XLOOKUP($K444&amp;"",DISPLAY!$B$3:$B$1000&amp;"",DISPLAY!$E$3:$E$1000,""),"Network Device",_xlfn.XLOOKUP($K444&amp;"",'NETWORK-DEVICES'!$B$3:$B$987&amp;"",'NETWORK-DEVICES'!$E$3:$E$987,""),"Peripheral",_xlfn.XLOOKUP($K444&amp;"",PERIPHERAL!$B$3:$B$954&amp;"",PERIPHERAL!$E$3:$E$954,""),"Utilities",_xlfn.XLOOKUP($K444&amp;"",UTILITIES!$B$3:$B$953&amp;"",UTILITIES!$E$3:$E$953,""),"IOT",_xlfn.XLOOKUP($K444&amp;"",IOT!$B$3:$B$1012&amp;"",IOT!$E$3:$E$1012,""),"Server",_xlfn.XLOOKUP($K444&amp;"",SERVER!$B$3:$B$1009&amp;"",SERVER!$E$3:$E$1009,""),""))))</f>
        <v/>
      </c>
      <c r="Q444" s="1" t="str" cm="1">
        <f t="array" ref="Q444">IF(OR($K444="",$I444="",$J444=""),"",_xlfn.LET(_xlpm.srcCat,_xlfn.SWITCH($I444,"Computer",_xlfn.XLOOKUP($K444&amp;"",COMPUTER!$B$3:$B$1009&amp;"",COMPUTER!$H$3:$H$1009,""),"Display",_xlfn.XLOOKUP($K444&amp;"",DISPLAY!$B$3:$B$1000&amp;"",DISPLAY!$H$3:$H$1000,""),"Network Device",_xlfn.XLOOKUP($K444&amp;"",'NETWORK-DEVICES'!$B$3:$B$987&amp;"",'NETWORK-DEVICES'!$H$3:$H$987,""),"Peripheral",_xlfn.XLOOKUP($K444&amp;"",PERIPHERAL!$B$3:$B$954&amp;"",PERIPHERAL!$H$3:$H$954,""),"Utilities",_xlfn.XLOOKUP($K444&amp;"",UTILITIES!$B$3:$B$953&amp;"",UTILITIES!$G$3:$G$953,""),"IOT",_xlfn.XLOOKUP($K444&amp;"",IOT!$B$3:$B$1012&amp;"",IOT!$H$3:$H$1012,""),"Server",_xlfn.XLOOKUP($K444&amp;"",SERVER!$B$3:$B$1009&amp;"",SERVER!$H$3:$H$1009,""),""),IF(TRIM(_xlpm.srcCat)&lt;&gt;TRIM($J444),"",_xlfn.SWITCH($I444,"Computer",_xlfn.XLOOKUP($K444&amp;"",COMPUTER!$B$3:$B$1009&amp;"",COMPUTER!$AM$3:$AM$1009,""),"Display",_xlfn.XLOOKUP($K444&amp;"",DISPLAY!$B$3:$B$1000&amp;"",DISPLAY!$V$3:$V$1000,""),"Network Device",_xlfn.XLOOKUP($K444&amp;"",'NETWORK-DEVICES'!$B$3:$B$987&amp;"",'NETWORK-DEVICES'!$AF$3:$AF$987,""),"Peripheral",_xlfn.XLOOKUP($K444&amp;"",PERIPHERAL!$B$3:$B$954&amp;"",PERIPHERAL!$Y$3:$Y$954,""),"Utilities",_xlfn.XLOOKUP($K444&amp;"",UTILITIES!$B$3:$B$953&amp;"",UTILITIES!$O$3:$O$953,""),"IOT",_xlfn.XLOOKUP($K444&amp;"",IOT!$B$3:$B$1012&amp;"",IOT!$AB$3:$AB$1012,""),"Server",_xlfn.XLOOKUP($K444&amp;"",SERVER!$B$3:$B$1009&amp;"",SERVER!$AB$3:$AB$1009,""),""))))</f>
        <v/>
      </c>
      <c r="R444" s="43" t="str">
        <f>IF(tbl_handover[[#This Row],[Asset Code]]="","",COUNTIF(tbl_handover[Asset Code],tbl_handover[[#This Row],[Asset Code]]))</f>
        <v/>
      </c>
    </row>
    <row r="445" spans="1:18" x14ac:dyDescent="0.25">
      <c r="A445" s="43" t="str">
        <f>IF(B445&lt;&gt;"",SUBTOTAL(3,$B$1:B444),"")</f>
        <v/>
      </c>
      <c r="C445" s="74"/>
      <c r="D445" s="74"/>
      <c r="G445" s="1"/>
      <c r="K445" s="42"/>
      <c r="L445" t="str" cm="1">
        <f t="array" ref="L445">IF($K445="","",_xlfn.SWITCH($I445,"Computer",_xlfn.XLOOKUP($K445&amp;"",COMPUTER!$B$3:$B$1009&amp;"",COMPUTER!$I$3:$I$1009,""),"Display",_xlfn.XLOOKUP($K445&amp;"",DISPLAY!$B$3:$B$1000&amp;"",DISPLAY!$J$3:$J$1000,""),"Network Device",_xlfn.XLOOKUP($K445&amp;"",'NETWORK-DEVICES'!$B$3:$B$987&amp;"",'NETWORK-DEVICES'!$I$3:$I$987,""),"Peripheral",_xlfn.XLOOKUP($K445&amp;"",PERIPHERAL!$B$3:$B$954&amp;"",PERIPHERAL!$I$3:$I$954,""),"Utilities",_xlfn.XLOOKUP($K445&amp;"",UTILITIES!$B$3:$B$953&amp;"",UTILITIES!$H$3:$H$953,""),"IOT",_xlfn.XLOOKUP($K445&amp;"",IOT!$B$3:$B$1012&amp;"",IOT!$I$3:$I$1012,""),"SERVER",_xlfn.XLOOKUP($K445&amp;"",SERVER!$B$3:$B$1009&amp;"",SERVER!$I$3:$I$1009,""),""))</f>
        <v/>
      </c>
      <c r="M445" t="str" cm="1">
        <f t="array" ref="M445">IF($K445="","",_xlfn.SWITCH($I445,"Computer",_xlfn.XLOOKUP($K445&amp;"",COMPUTER!$B$3:$B$1009&amp;"",COMPUTER!$J$3:$J$1009,""),"Display",_xlfn.XLOOKUP($K445&amp;"",DISPLAY!$B$3:$B$1000&amp;"",DISPLAY!$K$3:$K$1000,""),"Network Device",_xlfn.XLOOKUP($K445&amp;"",'NETWORK-DEVICES'!$B$3:$B$987&amp;"",'NETWORK-DEVICES'!$I$3:$I$987,""),"Peripheral",_xlfn.XLOOKUP($K445&amp;"",PERIPHERAL!$B$3:$B$954&amp;"",PERIPHERAL!$J$3:$J$954,""),"Utilities",_xlfn.XLOOKUP($K445&amp;"",UTILITIES!$B$3:$B$953&amp;"",UTILITIES!$I$3:$I$953,""),"IOT",_xlfn.XLOOKUP($K445&amp;"",IOT!$B$3:$B$1012&amp;"",IOT!$J$3:$J$1012,""),"Server",_xlfn.XLOOKUP($K445&amp;"",SERVER!$B$3:$B$1009&amp;"",SERVER!$J$3:$J$1009,""),""))</f>
        <v/>
      </c>
      <c r="N445" s="1" t="str" cm="1">
        <f t="array" ref="N445">IF(OR($K445="",$I445="",$J445=""),"",_xlfn.LET(_xlpm.srcCat,_xlfn.SWITCH($I445,"Computer",_xlfn.XLOOKUP($K445&amp;"",COMPUTER!$B$3:$B$1009&amp;"",COMPUTER!$H$3:$H$1009,""),"Display",_xlfn.XLOOKUP($K445&amp;"",DISPLAY!$B$3:$B$1000&amp;"",DISPLAY!$H$3:$H$1000,""),"Network Device",_xlfn.XLOOKUP($K445&amp;"",'NETWORK-DEVICES'!$B$3:$B$987&amp;"",'NETWORK-DEVICES'!$H$3:$H$987,""),"Peripheral",_xlfn.XLOOKUP($K445&amp;"",PERIPHERAL!$B$3:$B$954&amp;"",PERIPHERAL!$H$3:$H$954,""),"Utilities",_xlfn.XLOOKUP($K445&amp;"",UTILITIES!$B$3:$B$953&amp;"",UTILITIES!$G$3:$G$953,""),"IOT",_xlfn.XLOOKUP($K445&amp;"",IOT!$B$3:$B$1012&amp;"",IOT!$H$3:$H$1012,""),"Server",_xlfn.XLOOKUP($K445&amp;"",SERVER!$B$3:$B$1009&amp;"",SERVER!$H$3:$H$1009,""),""),IF(TRIM(_xlpm.srcCat)&lt;&gt;TRIM($J445),"",_xlfn.SWITCH($I445,"Computer",_xlfn.XLOOKUP($K445&amp;"",COMPUTER!$B$3:$B$1009&amp;"",COMPUTER!$K$3:$K$1009,""),"Display",_xlfn.XLOOKUP($K445&amp;"",DISPLAY!$B$3:$B$1000&amp;"",DISPLAY!$L$3:$L$1000,""),"Network Device",_xlfn.XLOOKUP($K445&amp;"",'NETWORK-DEVICES'!$B$3:$B$987&amp;"",'NETWORK-DEVICES'!$K$3:$K$987,""),"Peripheral",_xlfn.XLOOKUP($K445&amp;"",PERIPHERAL!$B$3:$B$954&amp;"",PERIPHERAL!$K$3:$K$954,""),"Utilities",_xlfn.XLOOKUP($K445&amp;"",UTILITIES!$B$3:$B$953&amp;"",UTILITIES!$J$3:$J$953,""),"IOT",_xlfn.XLOOKUP($K445&amp;"",IOT!$B$3:$B$1012&amp;"",IOT!$K$4:$K$1012,""),"Server",_xlfn.XLOOKUP($K445&amp;"",SERVER!$B$3:$B$1009&amp;"",SERVER!$K$3:$K$1009,""),""))))</f>
        <v/>
      </c>
      <c r="O445" s="1" t="str" cm="1">
        <f t="array" ref="O445">IF(OR($K445="",$I445="",$J445=""),"",_xlfn.LET(_xlpm.srcCat,_xlfn.SWITCH($I445,"Computer",_xlfn.XLOOKUP($K445&amp;"",COMPUTER!$B$3:$B$1009&amp;"",COMPUTER!$H$3:$H$1009,""),"Display",_xlfn.XLOOKUP($K445&amp;"",DISPLAY!$B$3:$B$1000&amp;"",DISPLAY!$H$3:$H$1000,""),"Network Device",_xlfn.XLOOKUP($K445&amp;"",'NETWORK-DEVICES'!$B$3:$B$987&amp;"",'NETWORK-DEVICES'!$H$3:$H$987,""),"Peripheral",_xlfn.XLOOKUP($K445&amp;"",PERIPHERAL!$B$3:$B$954&amp;"",PERIPHERAL!$H$3:$H$954,""),"Utilities",_xlfn.XLOOKUP($K445&amp;"",UTILITIES!$B$3:$B$953&amp;"",UTILITIES!$G$3:$G$953,""),"IOT",_xlfn.XLOOKUP($K445&amp;"",IOT!$B$3:$B$1012&amp;"",IOT!$H$3:$H$1012,""),"Server",_xlfn.XLOOKUP($K445&amp;"",SERVER!$B$3:$B$1009&amp;"",SERVER!$H$3:$H$1009,""),""),IF(TRIM(_xlpm.srcCat)&lt;&gt;TRIM($J445),"",_xlfn.SWITCH($I445,"Computer",_xlfn.XLOOKUP($K445&amp;"",COMPUTER!$B$3:$B$1009&amp;"",COMPUTER!$E$3:$E$1009,""),"Display",_xlfn.XLOOKUP($K445&amp;"",DISPLAY!$B$3:$B$1000&amp;"",DISPLAY!$E$3:$E$1000,""),"Network Device",_xlfn.XLOOKUP($K445&amp;"",'NETWORK-DEVICES'!$B$3:$B$987&amp;"",'NETWORK-DEVICES'!$E$3:$E$987,""),"Peripheral",_xlfn.XLOOKUP($K445&amp;"",PERIPHERAL!$B$3:$B$954&amp;"",PERIPHERAL!$E$3:$E$954,""),"Utilities",_xlfn.XLOOKUP($K445&amp;"",UTILITIES!$B$3:$B$953&amp;"",UTILITIES!$E$3:$E$953,""),"IOT",_xlfn.XLOOKUP($K445&amp;"",IOT!$B$3:$B$1012&amp;"",IOT!$E$3:$E$1012,""),"Server",_xlfn.XLOOKUP($K445&amp;"",SERVER!$B$3:$B$1009&amp;"",SERVER!$E$3:$E$1009,""),""))))</f>
        <v/>
      </c>
      <c r="Q445" s="1" t="str" cm="1">
        <f t="array" ref="Q445">IF(OR($K445="",$I445="",$J445=""),"",_xlfn.LET(_xlpm.srcCat,_xlfn.SWITCH($I445,"Computer",_xlfn.XLOOKUP($K445&amp;"",COMPUTER!$B$3:$B$1009&amp;"",COMPUTER!$H$3:$H$1009,""),"Display",_xlfn.XLOOKUP($K445&amp;"",DISPLAY!$B$3:$B$1000&amp;"",DISPLAY!$H$3:$H$1000,""),"Network Device",_xlfn.XLOOKUP($K445&amp;"",'NETWORK-DEVICES'!$B$3:$B$987&amp;"",'NETWORK-DEVICES'!$H$3:$H$987,""),"Peripheral",_xlfn.XLOOKUP($K445&amp;"",PERIPHERAL!$B$3:$B$954&amp;"",PERIPHERAL!$H$3:$H$954,""),"Utilities",_xlfn.XLOOKUP($K445&amp;"",UTILITIES!$B$3:$B$953&amp;"",UTILITIES!$G$3:$G$953,""),"IOT",_xlfn.XLOOKUP($K445&amp;"",IOT!$B$3:$B$1012&amp;"",IOT!$H$3:$H$1012,""),"Server",_xlfn.XLOOKUP($K445&amp;"",SERVER!$B$3:$B$1009&amp;"",SERVER!$H$3:$H$1009,""),""),IF(TRIM(_xlpm.srcCat)&lt;&gt;TRIM($J445),"",_xlfn.SWITCH($I445,"Computer",_xlfn.XLOOKUP($K445&amp;"",COMPUTER!$B$3:$B$1009&amp;"",COMPUTER!$AM$3:$AM$1009,""),"Display",_xlfn.XLOOKUP($K445&amp;"",DISPLAY!$B$3:$B$1000&amp;"",DISPLAY!$V$3:$V$1000,""),"Network Device",_xlfn.XLOOKUP($K445&amp;"",'NETWORK-DEVICES'!$B$3:$B$987&amp;"",'NETWORK-DEVICES'!$AF$3:$AF$987,""),"Peripheral",_xlfn.XLOOKUP($K445&amp;"",PERIPHERAL!$B$3:$B$954&amp;"",PERIPHERAL!$Y$3:$Y$954,""),"Utilities",_xlfn.XLOOKUP($K445&amp;"",UTILITIES!$B$3:$B$953&amp;"",UTILITIES!$O$3:$O$953,""),"IOT",_xlfn.XLOOKUP($K445&amp;"",IOT!$B$3:$B$1012&amp;"",IOT!$AB$3:$AB$1012,""),"Server",_xlfn.XLOOKUP($K445&amp;"",SERVER!$B$3:$B$1009&amp;"",SERVER!$AB$3:$AB$1009,""),""))))</f>
        <v/>
      </c>
      <c r="R445" s="43" t="str">
        <f>IF(tbl_handover[[#This Row],[Asset Code]]="","",COUNTIF(tbl_handover[Asset Code],tbl_handover[[#This Row],[Asset Code]]))</f>
        <v/>
      </c>
    </row>
    <row r="446" spans="1:18" x14ac:dyDescent="0.25">
      <c r="A446" s="43" t="str">
        <f>IF(B446&lt;&gt;"",SUBTOTAL(3,$B$1:B445),"")</f>
        <v/>
      </c>
      <c r="C446" s="74"/>
      <c r="D446" s="74"/>
      <c r="G446" s="1"/>
      <c r="K446" s="42"/>
      <c r="L446" t="str" cm="1">
        <f t="array" ref="L446">IF($K446="","",_xlfn.SWITCH($I446,"Computer",_xlfn.XLOOKUP($K446&amp;"",COMPUTER!$B$3:$B$1009&amp;"",COMPUTER!$I$3:$I$1009,""),"Display",_xlfn.XLOOKUP($K446&amp;"",DISPLAY!$B$3:$B$1000&amp;"",DISPLAY!$J$3:$J$1000,""),"Network Device",_xlfn.XLOOKUP($K446&amp;"",'NETWORK-DEVICES'!$B$3:$B$987&amp;"",'NETWORK-DEVICES'!$I$3:$I$987,""),"Peripheral",_xlfn.XLOOKUP($K446&amp;"",PERIPHERAL!$B$3:$B$954&amp;"",PERIPHERAL!$I$3:$I$954,""),"Utilities",_xlfn.XLOOKUP($K446&amp;"",UTILITIES!$B$3:$B$953&amp;"",UTILITIES!$H$3:$H$953,""),"IOT",_xlfn.XLOOKUP($K446&amp;"",IOT!$B$3:$B$1012&amp;"",IOT!$I$3:$I$1012,""),"SERVER",_xlfn.XLOOKUP($K446&amp;"",SERVER!$B$3:$B$1009&amp;"",SERVER!$I$3:$I$1009,""),""))</f>
        <v/>
      </c>
      <c r="M446" t="str" cm="1">
        <f t="array" ref="M446">IF($K446="","",_xlfn.SWITCH($I446,"Computer",_xlfn.XLOOKUP($K446&amp;"",COMPUTER!$B$3:$B$1009&amp;"",COMPUTER!$J$3:$J$1009,""),"Display",_xlfn.XLOOKUP($K446&amp;"",DISPLAY!$B$3:$B$1000&amp;"",DISPLAY!$K$3:$K$1000,""),"Network Device",_xlfn.XLOOKUP($K446&amp;"",'NETWORK-DEVICES'!$B$3:$B$987&amp;"",'NETWORK-DEVICES'!$I$3:$I$987,""),"Peripheral",_xlfn.XLOOKUP($K446&amp;"",PERIPHERAL!$B$3:$B$954&amp;"",PERIPHERAL!$J$3:$J$954,""),"Utilities",_xlfn.XLOOKUP($K446&amp;"",UTILITIES!$B$3:$B$953&amp;"",UTILITIES!$I$3:$I$953,""),"IOT",_xlfn.XLOOKUP($K446&amp;"",IOT!$B$3:$B$1012&amp;"",IOT!$J$3:$J$1012,""),"Server",_xlfn.XLOOKUP($K446&amp;"",SERVER!$B$3:$B$1009&amp;"",SERVER!$J$3:$J$1009,""),""))</f>
        <v/>
      </c>
      <c r="N446" s="1" t="str" cm="1">
        <f t="array" ref="N446">IF(OR($K446="",$I446="",$J446=""),"",_xlfn.LET(_xlpm.srcCat,_xlfn.SWITCH($I446,"Computer",_xlfn.XLOOKUP($K446&amp;"",COMPUTER!$B$3:$B$1009&amp;"",COMPUTER!$H$3:$H$1009,""),"Display",_xlfn.XLOOKUP($K446&amp;"",DISPLAY!$B$3:$B$1000&amp;"",DISPLAY!$H$3:$H$1000,""),"Network Device",_xlfn.XLOOKUP($K446&amp;"",'NETWORK-DEVICES'!$B$3:$B$987&amp;"",'NETWORK-DEVICES'!$H$3:$H$987,""),"Peripheral",_xlfn.XLOOKUP($K446&amp;"",PERIPHERAL!$B$3:$B$954&amp;"",PERIPHERAL!$H$3:$H$954,""),"Utilities",_xlfn.XLOOKUP($K446&amp;"",UTILITIES!$B$3:$B$953&amp;"",UTILITIES!$G$3:$G$953,""),"IOT",_xlfn.XLOOKUP($K446&amp;"",IOT!$B$3:$B$1012&amp;"",IOT!$H$3:$H$1012,""),"Server",_xlfn.XLOOKUP($K446&amp;"",SERVER!$B$3:$B$1009&amp;"",SERVER!$H$3:$H$1009,""),""),IF(TRIM(_xlpm.srcCat)&lt;&gt;TRIM($J446),"",_xlfn.SWITCH($I446,"Computer",_xlfn.XLOOKUP($K446&amp;"",COMPUTER!$B$3:$B$1009&amp;"",COMPUTER!$K$3:$K$1009,""),"Display",_xlfn.XLOOKUP($K446&amp;"",DISPLAY!$B$3:$B$1000&amp;"",DISPLAY!$L$3:$L$1000,""),"Network Device",_xlfn.XLOOKUP($K446&amp;"",'NETWORK-DEVICES'!$B$3:$B$987&amp;"",'NETWORK-DEVICES'!$K$3:$K$987,""),"Peripheral",_xlfn.XLOOKUP($K446&amp;"",PERIPHERAL!$B$3:$B$954&amp;"",PERIPHERAL!$K$3:$K$954,""),"Utilities",_xlfn.XLOOKUP($K446&amp;"",UTILITIES!$B$3:$B$953&amp;"",UTILITIES!$J$3:$J$953,""),"IOT",_xlfn.XLOOKUP($K446&amp;"",IOT!$B$3:$B$1012&amp;"",IOT!$K$4:$K$1012,""),"Server",_xlfn.XLOOKUP($K446&amp;"",SERVER!$B$3:$B$1009&amp;"",SERVER!$K$3:$K$1009,""),""))))</f>
        <v/>
      </c>
      <c r="O446" s="1" t="str" cm="1">
        <f t="array" ref="O446">IF(OR($K446="",$I446="",$J446=""),"",_xlfn.LET(_xlpm.srcCat,_xlfn.SWITCH($I446,"Computer",_xlfn.XLOOKUP($K446&amp;"",COMPUTER!$B$3:$B$1009&amp;"",COMPUTER!$H$3:$H$1009,""),"Display",_xlfn.XLOOKUP($K446&amp;"",DISPLAY!$B$3:$B$1000&amp;"",DISPLAY!$H$3:$H$1000,""),"Network Device",_xlfn.XLOOKUP($K446&amp;"",'NETWORK-DEVICES'!$B$3:$B$987&amp;"",'NETWORK-DEVICES'!$H$3:$H$987,""),"Peripheral",_xlfn.XLOOKUP($K446&amp;"",PERIPHERAL!$B$3:$B$954&amp;"",PERIPHERAL!$H$3:$H$954,""),"Utilities",_xlfn.XLOOKUP($K446&amp;"",UTILITIES!$B$3:$B$953&amp;"",UTILITIES!$G$3:$G$953,""),"IOT",_xlfn.XLOOKUP($K446&amp;"",IOT!$B$3:$B$1012&amp;"",IOT!$H$3:$H$1012,""),"Server",_xlfn.XLOOKUP($K446&amp;"",SERVER!$B$3:$B$1009&amp;"",SERVER!$H$3:$H$1009,""),""),IF(TRIM(_xlpm.srcCat)&lt;&gt;TRIM($J446),"",_xlfn.SWITCH($I446,"Computer",_xlfn.XLOOKUP($K446&amp;"",COMPUTER!$B$3:$B$1009&amp;"",COMPUTER!$E$3:$E$1009,""),"Display",_xlfn.XLOOKUP($K446&amp;"",DISPLAY!$B$3:$B$1000&amp;"",DISPLAY!$E$3:$E$1000,""),"Network Device",_xlfn.XLOOKUP($K446&amp;"",'NETWORK-DEVICES'!$B$3:$B$987&amp;"",'NETWORK-DEVICES'!$E$3:$E$987,""),"Peripheral",_xlfn.XLOOKUP($K446&amp;"",PERIPHERAL!$B$3:$B$954&amp;"",PERIPHERAL!$E$3:$E$954,""),"Utilities",_xlfn.XLOOKUP($K446&amp;"",UTILITIES!$B$3:$B$953&amp;"",UTILITIES!$E$3:$E$953,""),"IOT",_xlfn.XLOOKUP($K446&amp;"",IOT!$B$3:$B$1012&amp;"",IOT!$E$3:$E$1012,""),"Server",_xlfn.XLOOKUP($K446&amp;"",SERVER!$B$3:$B$1009&amp;"",SERVER!$E$3:$E$1009,""),""))))</f>
        <v/>
      </c>
      <c r="Q446" s="1" t="str" cm="1">
        <f t="array" ref="Q446">IF(OR($K446="",$I446="",$J446=""),"",_xlfn.LET(_xlpm.srcCat,_xlfn.SWITCH($I446,"Computer",_xlfn.XLOOKUP($K446&amp;"",COMPUTER!$B$3:$B$1009&amp;"",COMPUTER!$H$3:$H$1009,""),"Display",_xlfn.XLOOKUP($K446&amp;"",DISPLAY!$B$3:$B$1000&amp;"",DISPLAY!$H$3:$H$1000,""),"Network Device",_xlfn.XLOOKUP($K446&amp;"",'NETWORK-DEVICES'!$B$3:$B$987&amp;"",'NETWORK-DEVICES'!$H$3:$H$987,""),"Peripheral",_xlfn.XLOOKUP($K446&amp;"",PERIPHERAL!$B$3:$B$954&amp;"",PERIPHERAL!$H$3:$H$954,""),"Utilities",_xlfn.XLOOKUP($K446&amp;"",UTILITIES!$B$3:$B$953&amp;"",UTILITIES!$G$3:$G$953,""),"IOT",_xlfn.XLOOKUP($K446&amp;"",IOT!$B$3:$B$1012&amp;"",IOT!$H$3:$H$1012,""),"Server",_xlfn.XLOOKUP($K446&amp;"",SERVER!$B$3:$B$1009&amp;"",SERVER!$H$3:$H$1009,""),""),IF(TRIM(_xlpm.srcCat)&lt;&gt;TRIM($J446),"",_xlfn.SWITCH($I446,"Computer",_xlfn.XLOOKUP($K446&amp;"",COMPUTER!$B$3:$B$1009&amp;"",COMPUTER!$AM$3:$AM$1009,""),"Display",_xlfn.XLOOKUP($K446&amp;"",DISPLAY!$B$3:$B$1000&amp;"",DISPLAY!$V$3:$V$1000,""),"Network Device",_xlfn.XLOOKUP($K446&amp;"",'NETWORK-DEVICES'!$B$3:$B$987&amp;"",'NETWORK-DEVICES'!$AF$3:$AF$987,""),"Peripheral",_xlfn.XLOOKUP($K446&amp;"",PERIPHERAL!$B$3:$B$954&amp;"",PERIPHERAL!$Y$3:$Y$954,""),"Utilities",_xlfn.XLOOKUP($K446&amp;"",UTILITIES!$B$3:$B$953&amp;"",UTILITIES!$O$3:$O$953,""),"IOT",_xlfn.XLOOKUP($K446&amp;"",IOT!$B$3:$B$1012&amp;"",IOT!$AB$3:$AB$1012,""),"Server",_xlfn.XLOOKUP($K446&amp;"",SERVER!$B$3:$B$1009&amp;"",SERVER!$AB$3:$AB$1009,""),""))))</f>
        <v/>
      </c>
      <c r="R446" s="43" t="str">
        <f>IF(tbl_handover[[#This Row],[Asset Code]]="","",COUNTIF(tbl_handover[Asset Code],tbl_handover[[#This Row],[Asset Code]]))</f>
        <v/>
      </c>
    </row>
    <row r="447" spans="1:18" x14ac:dyDescent="0.25">
      <c r="A447" s="43" t="str">
        <f>IF(B447&lt;&gt;"",SUBTOTAL(3,$B$1:B446),"")</f>
        <v/>
      </c>
      <c r="C447" s="74"/>
      <c r="D447" s="74"/>
      <c r="G447" s="1"/>
      <c r="K447" s="42"/>
      <c r="L447" t="str" cm="1">
        <f t="array" ref="L447">IF($K447="","",_xlfn.SWITCH($I447,"Computer",_xlfn.XLOOKUP($K447&amp;"",COMPUTER!$B$3:$B$1009&amp;"",COMPUTER!$I$3:$I$1009,""),"Display",_xlfn.XLOOKUP($K447&amp;"",DISPLAY!$B$3:$B$1000&amp;"",DISPLAY!$J$3:$J$1000,""),"Network Device",_xlfn.XLOOKUP($K447&amp;"",'NETWORK-DEVICES'!$B$3:$B$987&amp;"",'NETWORK-DEVICES'!$I$3:$I$987,""),"Peripheral",_xlfn.XLOOKUP($K447&amp;"",PERIPHERAL!$B$3:$B$954&amp;"",PERIPHERAL!$I$3:$I$954,""),"Utilities",_xlfn.XLOOKUP($K447&amp;"",UTILITIES!$B$3:$B$953&amp;"",UTILITIES!$H$3:$H$953,""),"IOT",_xlfn.XLOOKUP($K447&amp;"",IOT!$B$3:$B$1012&amp;"",IOT!$I$3:$I$1012,""),"SERVER",_xlfn.XLOOKUP($K447&amp;"",SERVER!$B$3:$B$1009&amp;"",SERVER!$I$3:$I$1009,""),""))</f>
        <v/>
      </c>
      <c r="M447" t="str" cm="1">
        <f t="array" ref="M447">IF($K447="","",_xlfn.SWITCH($I447,"Computer",_xlfn.XLOOKUP($K447&amp;"",COMPUTER!$B$3:$B$1009&amp;"",COMPUTER!$J$3:$J$1009,""),"Display",_xlfn.XLOOKUP($K447&amp;"",DISPLAY!$B$3:$B$1000&amp;"",DISPLAY!$K$3:$K$1000,""),"Network Device",_xlfn.XLOOKUP($K447&amp;"",'NETWORK-DEVICES'!$B$3:$B$987&amp;"",'NETWORK-DEVICES'!$I$3:$I$987,""),"Peripheral",_xlfn.XLOOKUP($K447&amp;"",PERIPHERAL!$B$3:$B$954&amp;"",PERIPHERAL!$J$3:$J$954,""),"Utilities",_xlfn.XLOOKUP($K447&amp;"",UTILITIES!$B$3:$B$953&amp;"",UTILITIES!$I$3:$I$953,""),"IOT",_xlfn.XLOOKUP($K447&amp;"",IOT!$B$3:$B$1012&amp;"",IOT!$J$3:$J$1012,""),"Server",_xlfn.XLOOKUP($K447&amp;"",SERVER!$B$3:$B$1009&amp;"",SERVER!$J$3:$J$1009,""),""))</f>
        <v/>
      </c>
      <c r="N447" s="1" t="str" cm="1">
        <f t="array" ref="N447">IF(OR($K447="",$I447="",$J447=""),"",_xlfn.LET(_xlpm.srcCat,_xlfn.SWITCH($I447,"Computer",_xlfn.XLOOKUP($K447&amp;"",COMPUTER!$B$3:$B$1009&amp;"",COMPUTER!$H$3:$H$1009,""),"Display",_xlfn.XLOOKUP($K447&amp;"",DISPLAY!$B$3:$B$1000&amp;"",DISPLAY!$H$3:$H$1000,""),"Network Device",_xlfn.XLOOKUP($K447&amp;"",'NETWORK-DEVICES'!$B$3:$B$987&amp;"",'NETWORK-DEVICES'!$H$3:$H$987,""),"Peripheral",_xlfn.XLOOKUP($K447&amp;"",PERIPHERAL!$B$3:$B$954&amp;"",PERIPHERAL!$H$3:$H$954,""),"Utilities",_xlfn.XLOOKUP($K447&amp;"",UTILITIES!$B$3:$B$953&amp;"",UTILITIES!$G$3:$G$953,""),"IOT",_xlfn.XLOOKUP($K447&amp;"",IOT!$B$3:$B$1012&amp;"",IOT!$H$3:$H$1012,""),"Server",_xlfn.XLOOKUP($K447&amp;"",SERVER!$B$3:$B$1009&amp;"",SERVER!$H$3:$H$1009,""),""),IF(TRIM(_xlpm.srcCat)&lt;&gt;TRIM($J447),"",_xlfn.SWITCH($I447,"Computer",_xlfn.XLOOKUP($K447&amp;"",COMPUTER!$B$3:$B$1009&amp;"",COMPUTER!$K$3:$K$1009,""),"Display",_xlfn.XLOOKUP($K447&amp;"",DISPLAY!$B$3:$B$1000&amp;"",DISPLAY!$L$3:$L$1000,""),"Network Device",_xlfn.XLOOKUP($K447&amp;"",'NETWORK-DEVICES'!$B$3:$B$987&amp;"",'NETWORK-DEVICES'!$K$3:$K$987,""),"Peripheral",_xlfn.XLOOKUP($K447&amp;"",PERIPHERAL!$B$3:$B$954&amp;"",PERIPHERAL!$K$3:$K$954,""),"Utilities",_xlfn.XLOOKUP($K447&amp;"",UTILITIES!$B$3:$B$953&amp;"",UTILITIES!$J$3:$J$953,""),"IOT",_xlfn.XLOOKUP($K447&amp;"",IOT!$B$3:$B$1012&amp;"",IOT!$K$4:$K$1012,""),"Server",_xlfn.XLOOKUP($K447&amp;"",SERVER!$B$3:$B$1009&amp;"",SERVER!$K$3:$K$1009,""),""))))</f>
        <v/>
      </c>
      <c r="O447" s="1" t="str" cm="1">
        <f t="array" ref="O447">IF(OR($K447="",$I447="",$J447=""),"",_xlfn.LET(_xlpm.srcCat,_xlfn.SWITCH($I447,"Computer",_xlfn.XLOOKUP($K447&amp;"",COMPUTER!$B$3:$B$1009&amp;"",COMPUTER!$H$3:$H$1009,""),"Display",_xlfn.XLOOKUP($K447&amp;"",DISPLAY!$B$3:$B$1000&amp;"",DISPLAY!$H$3:$H$1000,""),"Network Device",_xlfn.XLOOKUP($K447&amp;"",'NETWORK-DEVICES'!$B$3:$B$987&amp;"",'NETWORK-DEVICES'!$H$3:$H$987,""),"Peripheral",_xlfn.XLOOKUP($K447&amp;"",PERIPHERAL!$B$3:$B$954&amp;"",PERIPHERAL!$H$3:$H$954,""),"Utilities",_xlfn.XLOOKUP($K447&amp;"",UTILITIES!$B$3:$B$953&amp;"",UTILITIES!$G$3:$G$953,""),"IOT",_xlfn.XLOOKUP($K447&amp;"",IOT!$B$3:$B$1012&amp;"",IOT!$H$3:$H$1012,""),"Server",_xlfn.XLOOKUP($K447&amp;"",SERVER!$B$3:$B$1009&amp;"",SERVER!$H$3:$H$1009,""),""),IF(TRIM(_xlpm.srcCat)&lt;&gt;TRIM($J447),"",_xlfn.SWITCH($I447,"Computer",_xlfn.XLOOKUP($K447&amp;"",COMPUTER!$B$3:$B$1009&amp;"",COMPUTER!$E$3:$E$1009,""),"Display",_xlfn.XLOOKUP($K447&amp;"",DISPLAY!$B$3:$B$1000&amp;"",DISPLAY!$E$3:$E$1000,""),"Network Device",_xlfn.XLOOKUP($K447&amp;"",'NETWORK-DEVICES'!$B$3:$B$987&amp;"",'NETWORK-DEVICES'!$E$3:$E$987,""),"Peripheral",_xlfn.XLOOKUP($K447&amp;"",PERIPHERAL!$B$3:$B$954&amp;"",PERIPHERAL!$E$3:$E$954,""),"Utilities",_xlfn.XLOOKUP($K447&amp;"",UTILITIES!$B$3:$B$953&amp;"",UTILITIES!$E$3:$E$953,""),"IOT",_xlfn.XLOOKUP($K447&amp;"",IOT!$B$3:$B$1012&amp;"",IOT!$E$3:$E$1012,""),"Server",_xlfn.XLOOKUP($K447&amp;"",SERVER!$B$3:$B$1009&amp;"",SERVER!$E$3:$E$1009,""),""))))</f>
        <v/>
      </c>
      <c r="Q447" s="1" t="str" cm="1">
        <f t="array" ref="Q447">IF(OR($K447="",$I447="",$J447=""),"",_xlfn.LET(_xlpm.srcCat,_xlfn.SWITCH($I447,"Computer",_xlfn.XLOOKUP($K447&amp;"",COMPUTER!$B$3:$B$1009&amp;"",COMPUTER!$H$3:$H$1009,""),"Display",_xlfn.XLOOKUP($K447&amp;"",DISPLAY!$B$3:$B$1000&amp;"",DISPLAY!$H$3:$H$1000,""),"Network Device",_xlfn.XLOOKUP($K447&amp;"",'NETWORK-DEVICES'!$B$3:$B$987&amp;"",'NETWORK-DEVICES'!$H$3:$H$987,""),"Peripheral",_xlfn.XLOOKUP($K447&amp;"",PERIPHERAL!$B$3:$B$954&amp;"",PERIPHERAL!$H$3:$H$954,""),"Utilities",_xlfn.XLOOKUP($K447&amp;"",UTILITIES!$B$3:$B$953&amp;"",UTILITIES!$G$3:$G$953,""),"IOT",_xlfn.XLOOKUP($K447&amp;"",IOT!$B$3:$B$1012&amp;"",IOT!$H$3:$H$1012,""),"Server",_xlfn.XLOOKUP($K447&amp;"",SERVER!$B$3:$B$1009&amp;"",SERVER!$H$3:$H$1009,""),""),IF(TRIM(_xlpm.srcCat)&lt;&gt;TRIM($J447),"",_xlfn.SWITCH($I447,"Computer",_xlfn.XLOOKUP($K447&amp;"",COMPUTER!$B$3:$B$1009&amp;"",COMPUTER!$AM$3:$AM$1009,""),"Display",_xlfn.XLOOKUP($K447&amp;"",DISPLAY!$B$3:$B$1000&amp;"",DISPLAY!$V$3:$V$1000,""),"Network Device",_xlfn.XLOOKUP($K447&amp;"",'NETWORK-DEVICES'!$B$3:$B$987&amp;"",'NETWORK-DEVICES'!$AF$3:$AF$987,""),"Peripheral",_xlfn.XLOOKUP($K447&amp;"",PERIPHERAL!$B$3:$B$954&amp;"",PERIPHERAL!$Y$3:$Y$954,""),"Utilities",_xlfn.XLOOKUP($K447&amp;"",UTILITIES!$B$3:$B$953&amp;"",UTILITIES!$O$3:$O$953,""),"IOT",_xlfn.XLOOKUP($K447&amp;"",IOT!$B$3:$B$1012&amp;"",IOT!$AB$3:$AB$1012,""),"Server",_xlfn.XLOOKUP($K447&amp;"",SERVER!$B$3:$B$1009&amp;"",SERVER!$AB$3:$AB$1009,""),""))))</f>
        <v/>
      </c>
      <c r="R447" s="43" t="str">
        <f>IF(tbl_handover[[#This Row],[Asset Code]]="","",COUNTIF(tbl_handover[Asset Code],tbl_handover[[#This Row],[Asset Code]]))</f>
        <v/>
      </c>
    </row>
    <row r="448" spans="1:18" x14ac:dyDescent="0.25">
      <c r="A448" s="43" t="str">
        <f>IF(B448&lt;&gt;"",SUBTOTAL(3,$B$1:B447),"")</f>
        <v/>
      </c>
      <c r="C448" s="74"/>
      <c r="D448" s="74"/>
      <c r="G448" s="1"/>
      <c r="K448" s="42"/>
      <c r="L448" t="str" cm="1">
        <f t="array" ref="L448">IF($K448="","",_xlfn.SWITCH($I448,"Computer",_xlfn.XLOOKUP($K448&amp;"",COMPUTER!$B$3:$B$1009&amp;"",COMPUTER!$I$3:$I$1009,""),"Display",_xlfn.XLOOKUP($K448&amp;"",DISPLAY!$B$3:$B$1000&amp;"",DISPLAY!$J$3:$J$1000,""),"Network Device",_xlfn.XLOOKUP($K448&amp;"",'NETWORK-DEVICES'!$B$3:$B$987&amp;"",'NETWORK-DEVICES'!$I$3:$I$987,""),"Peripheral",_xlfn.XLOOKUP($K448&amp;"",PERIPHERAL!$B$3:$B$954&amp;"",PERIPHERAL!$I$3:$I$954,""),"Utilities",_xlfn.XLOOKUP($K448&amp;"",UTILITIES!$B$3:$B$953&amp;"",UTILITIES!$H$3:$H$953,""),"IOT",_xlfn.XLOOKUP($K448&amp;"",IOT!$B$3:$B$1012&amp;"",IOT!$I$3:$I$1012,""),"SERVER",_xlfn.XLOOKUP($K448&amp;"",SERVER!$B$3:$B$1009&amp;"",SERVER!$I$3:$I$1009,""),""))</f>
        <v/>
      </c>
      <c r="M448" t="str" cm="1">
        <f t="array" ref="M448">IF($K448="","",_xlfn.SWITCH($I448,"Computer",_xlfn.XLOOKUP($K448&amp;"",COMPUTER!$B$3:$B$1009&amp;"",COMPUTER!$J$3:$J$1009,""),"Display",_xlfn.XLOOKUP($K448&amp;"",DISPLAY!$B$3:$B$1000&amp;"",DISPLAY!$K$3:$K$1000,""),"Network Device",_xlfn.XLOOKUP($K448&amp;"",'NETWORK-DEVICES'!$B$3:$B$987&amp;"",'NETWORK-DEVICES'!$I$3:$I$987,""),"Peripheral",_xlfn.XLOOKUP($K448&amp;"",PERIPHERAL!$B$3:$B$954&amp;"",PERIPHERAL!$J$3:$J$954,""),"Utilities",_xlfn.XLOOKUP($K448&amp;"",UTILITIES!$B$3:$B$953&amp;"",UTILITIES!$I$3:$I$953,""),"IOT",_xlfn.XLOOKUP($K448&amp;"",IOT!$B$3:$B$1012&amp;"",IOT!$J$3:$J$1012,""),"Server",_xlfn.XLOOKUP($K448&amp;"",SERVER!$B$3:$B$1009&amp;"",SERVER!$J$3:$J$1009,""),""))</f>
        <v/>
      </c>
      <c r="N448" s="1" t="str" cm="1">
        <f t="array" ref="N448">IF(OR($K448="",$I448="",$J448=""),"",_xlfn.LET(_xlpm.srcCat,_xlfn.SWITCH($I448,"Computer",_xlfn.XLOOKUP($K448&amp;"",COMPUTER!$B$3:$B$1009&amp;"",COMPUTER!$H$3:$H$1009,""),"Display",_xlfn.XLOOKUP($K448&amp;"",DISPLAY!$B$3:$B$1000&amp;"",DISPLAY!$H$3:$H$1000,""),"Network Device",_xlfn.XLOOKUP($K448&amp;"",'NETWORK-DEVICES'!$B$3:$B$987&amp;"",'NETWORK-DEVICES'!$H$3:$H$987,""),"Peripheral",_xlfn.XLOOKUP($K448&amp;"",PERIPHERAL!$B$3:$B$954&amp;"",PERIPHERAL!$H$3:$H$954,""),"Utilities",_xlfn.XLOOKUP($K448&amp;"",UTILITIES!$B$3:$B$953&amp;"",UTILITIES!$G$3:$G$953,""),"IOT",_xlfn.XLOOKUP($K448&amp;"",IOT!$B$3:$B$1012&amp;"",IOT!$H$3:$H$1012,""),"Server",_xlfn.XLOOKUP($K448&amp;"",SERVER!$B$3:$B$1009&amp;"",SERVER!$H$3:$H$1009,""),""),IF(TRIM(_xlpm.srcCat)&lt;&gt;TRIM($J448),"",_xlfn.SWITCH($I448,"Computer",_xlfn.XLOOKUP($K448&amp;"",COMPUTER!$B$3:$B$1009&amp;"",COMPUTER!$K$3:$K$1009,""),"Display",_xlfn.XLOOKUP($K448&amp;"",DISPLAY!$B$3:$B$1000&amp;"",DISPLAY!$L$3:$L$1000,""),"Network Device",_xlfn.XLOOKUP($K448&amp;"",'NETWORK-DEVICES'!$B$3:$B$987&amp;"",'NETWORK-DEVICES'!$K$3:$K$987,""),"Peripheral",_xlfn.XLOOKUP($K448&amp;"",PERIPHERAL!$B$3:$B$954&amp;"",PERIPHERAL!$K$3:$K$954,""),"Utilities",_xlfn.XLOOKUP($K448&amp;"",UTILITIES!$B$3:$B$953&amp;"",UTILITIES!$J$3:$J$953,""),"IOT",_xlfn.XLOOKUP($K448&amp;"",IOT!$B$3:$B$1012&amp;"",IOT!$K$4:$K$1012,""),"Server",_xlfn.XLOOKUP($K448&amp;"",SERVER!$B$3:$B$1009&amp;"",SERVER!$K$3:$K$1009,""),""))))</f>
        <v/>
      </c>
      <c r="O448" s="1" t="str" cm="1">
        <f t="array" ref="O448">IF(OR($K448="",$I448="",$J448=""),"",_xlfn.LET(_xlpm.srcCat,_xlfn.SWITCH($I448,"Computer",_xlfn.XLOOKUP($K448&amp;"",COMPUTER!$B$3:$B$1009&amp;"",COMPUTER!$H$3:$H$1009,""),"Display",_xlfn.XLOOKUP($K448&amp;"",DISPLAY!$B$3:$B$1000&amp;"",DISPLAY!$H$3:$H$1000,""),"Network Device",_xlfn.XLOOKUP($K448&amp;"",'NETWORK-DEVICES'!$B$3:$B$987&amp;"",'NETWORK-DEVICES'!$H$3:$H$987,""),"Peripheral",_xlfn.XLOOKUP($K448&amp;"",PERIPHERAL!$B$3:$B$954&amp;"",PERIPHERAL!$H$3:$H$954,""),"Utilities",_xlfn.XLOOKUP($K448&amp;"",UTILITIES!$B$3:$B$953&amp;"",UTILITIES!$G$3:$G$953,""),"IOT",_xlfn.XLOOKUP($K448&amp;"",IOT!$B$3:$B$1012&amp;"",IOT!$H$3:$H$1012,""),"Server",_xlfn.XLOOKUP($K448&amp;"",SERVER!$B$3:$B$1009&amp;"",SERVER!$H$3:$H$1009,""),""),IF(TRIM(_xlpm.srcCat)&lt;&gt;TRIM($J448),"",_xlfn.SWITCH($I448,"Computer",_xlfn.XLOOKUP($K448&amp;"",COMPUTER!$B$3:$B$1009&amp;"",COMPUTER!$E$3:$E$1009,""),"Display",_xlfn.XLOOKUP($K448&amp;"",DISPLAY!$B$3:$B$1000&amp;"",DISPLAY!$E$3:$E$1000,""),"Network Device",_xlfn.XLOOKUP($K448&amp;"",'NETWORK-DEVICES'!$B$3:$B$987&amp;"",'NETWORK-DEVICES'!$E$3:$E$987,""),"Peripheral",_xlfn.XLOOKUP($K448&amp;"",PERIPHERAL!$B$3:$B$954&amp;"",PERIPHERAL!$E$3:$E$954,""),"Utilities",_xlfn.XLOOKUP($K448&amp;"",UTILITIES!$B$3:$B$953&amp;"",UTILITIES!$E$3:$E$953,""),"IOT",_xlfn.XLOOKUP($K448&amp;"",IOT!$B$3:$B$1012&amp;"",IOT!$E$3:$E$1012,""),"Server",_xlfn.XLOOKUP($K448&amp;"",SERVER!$B$3:$B$1009&amp;"",SERVER!$E$3:$E$1009,""),""))))</f>
        <v/>
      </c>
      <c r="Q448" s="1" t="str" cm="1">
        <f t="array" ref="Q448">IF(OR($K448="",$I448="",$J448=""),"",_xlfn.LET(_xlpm.srcCat,_xlfn.SWITCH($I448,"Computer",_xlfn.XLOOKUP($K448&amp;"",COMPUTER!$B$3:$B$1009&amp;"",COMPUTER!$H$3:$H$1009,""),"Display",_xlfn.XLOOKUP($K448&amp;"",DISPLAY!$B$3:$B$1000&amp;"",DISPLAY!$H$3:$H$1000,""),"Network Device",_xlfn.XLOOKUP($K448&amp;"",'NETWORK-DEVICES'!$B$3:$B$987&amp;"",'NETWORK-DEVICES'!$H$3:$H$987,""),"Peripheral",_xlfn.XLOOKUP($K448&amp;"",PERIPHERAL!$B$3:$B$954&amp;"",PERIPHERAL!$H$3:$H$954,""),"Utilities",_xlfn.XLOOKUP($K448&amp;"",UTILITIES!$B$3:$B$953&amp;"",UTILITIES!$G$3:$G$953,""),"IOT",_xlfn.XLOOKUP($K448&amp;"",IOT!$B$3:$B$1012&amp;"",IOT!$H$3:$H$1012,""),"Server",_xlfn.XLOOKUP($K448&amp;"",SERVER!$B$3:$B$1009&amp;"",SERVER!$H$3:$H$1009,""),""),IF(TRIM(_xlpm.srcCat)&lt;&gt;TRIM($J448),"",_xlfn.SWITCH($I448,"Computer",_xlfn.XLOOKUP($K448&amp;"",COMPUTER!$B$3:$B$1009&amp;"",COMPUTER!$AM$3:$AM$1009,""),"Display",_xlfn.XLOOKUP($K448&amp;"",DISPLAY!$B$3:$B$1000&amp;"",DISPLAY!$V$3:$V$1000,""),"Network Device",_xlfn.XLOOKUP($K448&amp;"",'NETWORK-DEVICES'!$B$3:$B$987&amp;"",'NETWORK-DEVICES'!$AF$3:$AF$987,""),"Peripheral",_xlfn.XLOOKUP($K448&amp;"",PERIPHERAL!$B$3:$B$954&amp;"",PERIPHERAL!$Y$3:$Y$954,""),"Utilities",_xlfn.XLOOKUP($K448&amp;"",UTILITIES!$B$3:$B$953&amp;"",UTILITIES!$O$3:$O$953,""),"IOT",_xlfn.XLOOKUP($K448&amp;"",IOT!$B$3:$B$1012&amp;"",IOT!$AB$3:$AB$1012,""),"Server",_xlfn.XLOOKUP($K448&amp;"",SERVER!$B$3:$B$1009&amp;"",SERVER!$AB$3:$AB$1009,""),""))))</f>
        <v/>
      </c>
      <c r="R448" s="43" t="str">
        <f>IF(tbl_handover[[#This Row],[Asset Code]]="","",COUNTIF(tbl_handover[Asset Code],tbl_handover[[#This Row],[Asset Code]]))</f>
        <v/>
      </c>
    </row>
    <row r="449" spans="1:18" x14ac:dyDescent="0.25">
      <c r="A449" s="43" t="str">
        <f>IF(B449&lt;&gt;"",SUBTOTAL(3,$B$1:B448),"")</f>
        <v/>
      </c>
      <c r="C449" s="74"/>
      <c r="D449" s="74"/>
      <c r="G449" s="1"/>
      <c r="K449" s="42"/>
      <c r="L449" t="str" cm="1">
        <f t="array" ref="L449">IF($K449="","",_xlfn.SWITCH($I449,"Computer",_xlfn.XLOOKUP($K449&amp;"",COMPUTER!$B$3:$B$1009&amp;"",COMPUTER!$I$3:$I$1009,""),"Display",_xlfn.XLOOKUP($K449&amp;"",DISPLAY!$B$3:$B$1000&amp;"",DISPLAY!$J$3:$J$1000,""),"Network Device",_xlfn.XLOOKUP($K449&amp;"",'NETWORK-DEVICES'!$B$3:$B$987&amp;"",'NETWORK-DEVICES'!$I$3:$I$987,""),"Peripheral",_xlfn.XLOOKUP($K449&amp;"",PERIPHERAL!$B$3:$B$954&amp;"",PERIPHERAL!$I$3:$I$954,""),"Utilities",_xlfn.XLOOKUP($K449&amp;"",UTILITIES!$B$3:$B$953&amp;"",UTILITIES!$H$3:$H$953,""),"IOT",_xlfn.XLOOKUP($K449&amp;"",IOT!$B$3:$B$1012&amp;"",IOT!$I$3:$I$1012,""),"SERVER",_xlfn.XLOOKUP($K449&amp;"",SERVER!$B$3:$B$1009&amp;"",SERVER!$I$3:$I$1009,""),""))</f>
        <v/>
      </c>
      <c r="M449" t="str" cm="1">
        <f t="array" ref="M449">IF($K449="","",_xlfn.SWITCH($I449,"Computer",_xlfn.XLOOKUP($K449&amp;"",COMPUTER!$B$3:$B$1009&amp;"",COMPUTER!$J$3:$J$1009,""),"Display",_xlfn.XLOOKUP($K449&amp;"",DISPLAY!$B$3:$B$1000&amp;"",DISPLAY!$K$3:$K$1000,""),"Network Device",_xlfn.XLOOKUP($K449&amp;"",'NETWORK-DEVICES'!$B$3:$B$987&amp;"",'NETWORK-DEVICES'!$I$3:$I$987,""),"Peripheral",_xlfn.XLOOKUP($K449&amp;"",PERIPHERAL!$B$3:$B$954&amp;"",PERIPHERAL!$J$3:$J$954,""),"Utilities",_xlfn.XLOOKUP($K449&amp;"",UTILITIES!$B$3:$B$953&amp;"",UTILITIES!$I$3:$I$953,""),"IOT",_xlfn.XLOOKUP($K449&amp;"",IOT!$B$3:$B$1012&amp;"",IOT!$J$3:$J$1012,""),"Server",_xlfn.XLOOKUP($K449&amp;"",SERVER!$B$3:$B$1009&amp;"",SERVER!$J$3:$J$1009,""),""))</f>
        <v/>
      </c>
      <c r="N449" s="1" t="str" cm="1">
        <f t="array" ref="N449">IF(OR($K449="",$I449="",$J449=""),"",_xlfn.LET(_xlpm.srcCat,_xlfn.SWITCH($I449,"Computer",_xlfn.XLOOKUP($K449&amp;"",COMPUTER!$B$3:$B$1009&amp;"",COMPUTER!$H$3:$H$1009,""),"Display",_xlfn.XLOOKUP($K449&amp;"",DISPLAY!$B$3:$B$1000&amp;"",DISPLAY!$H$3:$H$1000,""),"Network Device",_xlfn.XLOOKUP($K449&amp;"",'NETWORK-DEVICES'!$B$3:$B$987&amp;"",'NETWORK-DEVICES'!$H$3:$H$987,""),"Peripheral",_xlfn.XLOOKUP($K449&amp;"",PERIPHERAL!$B$3:$B$954&amp;"",PERIPHERAL!$H$3:$H$954,""),"Utilities",_xlfn.XLOOKUP($K449&amp;"",UTILITIES!$B$3:$B$953&amp;"",UTILITIES!$G$3:$G$953,""),"IOT",_xlfn.XLOOKUP($K449&amp;"",IOT!$B$3:$B$1012&amp;"",IOT!$H$3:$H$1012,""),"Server",_xlfn.XLOOKUP($K449&amp;"",SERVER!$B$3:$B$1009&amp;"",SERVER!$H$3:$H$1009,""),""),IF(TRIM(_xlpm.srcCat)&lt;&gt;TRIM($J449),"",_xlfn.SWITCH($I449,"Computer",_xlfn.XLOOKUP($K449&amp;"",COMPUTER!$B$3:$B$1009&amp;"",COMPUTER!$K$3:$K$1009,""),"Display",_xlfn.XLOOKUP($K449&amp;"",DISPLAY!$B$3:$B$1000&amp;"",DISPLAY!$L$3:$L$1000,""),"Network Device",_xlfn.XLOOKUP($K449&amp;"",'NETWORK-DEVICES'!$B$3:$B$987&amp;"",'NETWORK-DEVICES'!$K$3:$K$987,""),"Peripheral",_xlfn.XLOOKUP($K449&amp;"",PERIPHERAL!$B$3:$B$954&amp;"",PERIPHERAL!$K$3:$K$954,""),"Utilities",_xlfn.XLOOKUP($K449&amp;"",UTILITIES!$B$3:$B$953&amp;"",UTILITIES!$J$3:$J$953,""),"IOT",_xlfn.XLOOKUP($K449&amp;"",IOT!$B$3:$B$1012&amp;"",IOT!$K$4:$K$1012,""),"Server",_xlfn.XLOOKUP($K449&amp;"",SERVER!$B$3:$B$1009&amp;"",SERVER!$K$3:$K$1009,""),""))))</f>
        <v/>
      </c>
      <c r="O449" s="1" t="str" cm="1">
        <f t="array" ref="O449">IF(OR($K449="",$I449="",$J449=""),"",_xlfn.LET(_xlpm.srcCat,_xlfn.SWITCH($I449,"Computer",_xlfn.XLOOKUP($K449&amp;"",COMPUTER!$B$3:$B$1009&amp;"",COMPUTER!$H$3:$H$1009,""),"Display",_xlfn.XLOOKUP($K449&amp;"",DISPLAY!$B$3:$B$1000&amp;"",DISPLAY!$H$3:$H$1000,""),"Network Device",_xlfn.XLOOKUP($K449&amp;"",'NETWORK-DEVICES'!$B$3:$B$987&amp;"",'NETWORK-DEVICES'!$H$3:$H$987,""),"Peripheral",_xlfn.XLOOKUP($K449&amp;"",PERIPHERAL!$B$3:$B$954&amp;"",PERIPHERAL!$H$3:$H$954,""),"Utilities",_xlfn.XLOOKUP($K449&amp;"",UTILITIES!$B$3:$B$953&amp;"",UTILITIES!$G$3:$G$953,""),"IOT",_xlfn.XLOOKUP($K449&amp;"",IOT!$B$3:$B$1012&amp;"",IOT!$H$3:$H$1012,""),"Server",_xlfn.XLOOKUP($K449&amp;"",SERVER!$B$3:$B$1009&amp;"",SERVER!$H$3:$H$1009,""),""),IF(TRIM(_xlpm.srcCat)&lt;&gt;TRIM($J449),"",_xlfn.SWITCH($I449,"Computer",_xlfn.XLOOKUP($K449&amp;"",COMPUTER!$B$3:$B$1009&amp;"",COMPUTER!$E$3:$E$1009,""),"Display",_xlfn.XLOOKUP($K449&amp;"",DISPLAY!$B$3:$B$1000&amp;"",DISPLAY!$E$3:$E$1000,""),"Network Device",_xlfn.XLOOKUP($K449&amp;"",'NETWORK-DEVICES'!$B$3:$B$987&amp;"",'NETWORK-DEVICES'!$E$3:$E$987,""),"Peripheral",_xlfn.XLOOKUP($K449&amp;"",PERIPHERAL!$B$3:$B$954&amp;"",PERIPHERAL!$E$3:$E$954,""),"Utilities",_xlfn.XLOOKUP($K449&amp;"",UTILITIES!$B$3:$B$953&amp;"",UTILITIES!$E$3:$E$953,""),"IOT",_xlfn.XLOOKUP($K449&amp;"",IOT!$B$3:$B$1012&amp;"",IOT!$E$3:$E$1012,""),"Server",_xlfn.XLOOKUP($K449&amp;"",SERVER!$B$3:$B$1009&amp;"",SERVER!$E$3:$E$1009,""),""))))</f>
        <v/>
      </c>
      <c r="Q449" s="1" t="str" cm="1">
        <f t="array" ref="Q449">IF(OR($K449="",$I449="",$J449=""),"",_xlfn.LET(_xlpm.srcCat,_xlfn.SWITCH($I449,"Computer",_xlfn.XLOOKUP($K449&amp;"",COMPUTER!$B$3:$B$1009&amp;"",COMPUTER!$H$3:$H$1009,""),"Display",_xlfn.XLOOKUP($K449&amp;"",DISPLAY!$B$3:$B$1000&amp;"",DISPLAY!$H$3:$H$1000,""),"Network Device",_xlfn.XLOOKUP($K449&amp;"",'NETWORK-DEVICES'!$B$3:$B$987&amp;"",'NETWORK-DEVICES'!$H$3:$H$987,""),"Peripheral",_xlfn.XLOOKUP($K449&amp;"",PERIPHERAL!$B$3:$B$954&amp;"",PERIPHERAL!$H$3:$H$954,""),"Utilities",_xlfn.XLOOKUP($K449&amp;"",UTILITIES!$B$3:$B$953&amp;"",UTILITIES!$G$3:$G$953,""),"IOT",_xlfn.XLOOKUP($K449&amp;"",IOT!$B$3:$B$1012&amp;"",IOT!$H$3:$H$1012,""),"Server",_xlfn.XLOOKUP($K449&amp;"",SERVER!$B$3:$B$1009&amp;"",SERVER!$H$3:$H$1009,""),""),IF(TRIM(_xlpm.srcCat)&lt;&gt;TRIM($J449),"",_xlfn.SWITCH($I449,"Computer",_xlfn.XLOOKUP($K449&amp;"",COMPUTER!$B$3:$B$1009&amp;"",COMPUTER!$AM$3:$AM$1009,""),"Display",_xlfn.XLOOKUP($K449&amp;"",DISPLAY!$B$3:$B$1000&amp;"",DISPLAY!$V$3:$V$1000,""),"Network Device",_xlfn.XLOOKUP($K449&amp;"",'NETWORK-DEVICES'!$B$3:$B$987&amp;"",'NETWORK-DEVICES'!$AF$3:$AF$987,""),"Peripheral",_xlfn.XLOOKUP($K449&amp;"",PERIPHERAL!$B$3:$B$954&amp;"",PERIPHERAL!$Y$3:$Y$954,""),"Utilities",_xlfn.XLOOKUP($K449&amp;"",UTILITIES!$B$3:$B$953&amp;"",UTILITIES!$O$3:$O$953,""),"IOT",_xlfn.XLOOKUP($K449&amp;"",IOT!$B$3:$B$1012&amp;"",IOT!$AB$3:$AB$1012,""),"Server",_xlfn.XLOOKUP($K449&amp;"",SERVER!$B$3:$B$1009&amp;"",SERVER!$AB$3:$AB$1009,""),""))))</f>
        <v/>
      </c>
      <c r="R449" s="43" t="str">
        <f>IF(tbl_handover[[#This Row],[Asset Code]]="","",COUNTIF(tbl_handover[Asset Code],tbl_handover[[#This Row],[Asset Code]]))</f>
        <v/>
      </c>
    </row>
    <row r="450" spans="1:18" x14ac:dyDescent="0.25">
      <c r="A450" s="43" t="str">
        <f>IF(B450&lt;&gt;"",SUBTOTAL(3,$B$1:B449),"")</f>
        <v/>
      </c>
      <c r="C450" s="74"/>
      <c r="D450" s="74"/>
      <c r="G450" s="1"/>
      <c r="K450" s="42"/>
      <c r="L450" t="str" cm="1">
        <f t="array" ref="L450">IF($K450="","",_xlfn.SWITCH($I450,"Computer",_xlfn.XLOOKUP($K450&amp;"",COMPUTER!$B$3:$B$1009&amp;"",COMPUTER!$I$3:$I$1009,""),"Display",_xlfn.XLOOKUP($K450&amp;"",DISPLAY!$B$3:$B$1000&amp;"",DISPLAY!$J$3:$J$1000,""),"Network Device",_xlfn.XLOOKUP($K450&amp;"",'NETWORK-DEVICES'!$B$3:$B$987&amp;"",'NETWORK-DEVICES'!$I$3:$I$987,""),"Peripheral",_xlfn.XLOOKUP($K450&amp;"",PERIPHERAL!$B$3:$B$954&amp;"",PERIPHERAL!$I$3:$I$954,""),"Utilities",_xlfn.XLOOKUP($K450&amp;"",UTILITIES!$B$3:$B$953&amp;"",UTILITIES!$H$3:$H$953,""),"IOT",_xlfn.XLOOKUP($K450&amp;"",IOT!$B$3:$B$1012&amp;"",IOT!$I$3:$I$1012,""),"SERVER",_xlfn.XLOOKUP($K450&amp;"",SERVER!$B$3:$B$1009&amp;"",SERVER!$I$3:$I$1009,""),""))</f>
        <v/>
      </c>
      <c r="M450" t="str" cm="1">
        <f t="array" ref="M450">IF($K450="","",_xlfn.SWITCH($I450,"Computer",_xlfn.XLOOKUP($K450&amp;"",COMPUTER!$B$3:$B$1009&amp;"",COMPUTER!$J$3:$J$1009,""),"Display",_xlfn.XLOOKUP($K450&amp;"",DISPLAY!$B$3:$B$1000&amp;"",DISPLAY!$K$3:$K$1000,""),"Network Device",_xlfn.XLOOKUP($K450&amp;"",'NETWORK-DEVICES'!$B$3:$B$987&amp;"",'NETWORK-DEVICES'!$I$3:$I$987,""),"Peripheral",_xlfn.XLOOKUP($K450&amp;"",PERIPHERAL!$B$3:$B$954&amp;"",PERIPHERAL!$J$3:$J$954,""),"Utilities",_xlfn.XLOOKUP($K450&amp;"",UTILITIES!$B$3:$B$953&amp;"",UTILITIES!$I$3:$I$953,""),"IOT",_xlfn.XLOOKUP($K450&amp;"",IOT!$B$3:$B$1012&amp;"",IOT!$J$3:$J$1012,""),"Server",_xlfn.XLOOKUP($K450&amp;"",SERVER!$B$3:$B$1009&amp;"",SERVER!$J$3:$J$1009,""),""))</f>
        <v/>
      </c>
      <c r="N450" s="1" t="str" cm="1">
        <f t="array" ref="N450">IF(OR($K450="",$I450="",$J450=""),"",_xlfn.LET(_xlpm.srcCat,_xlfn.SWITCH($I450,"Computer",_xlfn.XLOOKUP($K450&amp;"",COMPUTER!$B$3:$B$1009&amp;"",COMPUTER!$H$3:$H$1009,""),"Display",_xlfn.XLOOKUP($K450&amp;"",DISPLAY!$B$3:$B$1000&amp;"",DISPLAY!$H$3:$H$1000,""),"Network Device",_xlfn.XLOOKUP($K450&amp;"",'NETWORK-DEVICES'!$B$3:$B$987&amp;"",'NETWORK-DEVICES'!$H$3:$H$987,""),"Peripheral",_xlfn.XLOOKUP($K450&amp;"",PERIPHERAL!$B$3:$B$954&amp;"",PERIPHERAL!$H$3:$H$954,""),"Utilities",_xlfn.XLOOKUP($K450&amp;"",UTILITIES!$B$3:$B$953&amp;"",UTILITIES!$G$3:$G$953,""),"IOT",_xlfn.XLOOKUP($K450&amp;"",IOT!$B$3:$B$1012&amp;"",IOT!$H$3:$H$1012,""),"Server",_xlfn.XLOOKUP($K450&amp;"",SERVER!$B$3:$B$1009&amp;"",SERVER!$H$3:$H$1009,""),""),IF(TRIM(_xlpm.srcCat)&lt;&gt;TRIM($J450),"",_xlfn.SWITCH($I450,"Computer",_xlfn.XLOOKUP($K450&amp;"",COMPUTER!$B$3:$B$1009&amp;"",COMPUTER!$K$3:$K$1009,""),"Display",_xlfn.XLOOKUP($K450&amp;"",DISPLAY!$B$3:$B$1000&amp;"",DISPLAY!$L$3:$L$1000,""),"Network Device",_xlfn.XLOOKUP($K450&amp;"",'NETWORK-DEVICES'!$B$3:$B$987&amp;"",'NETWORK-DEVICES'!$K$3:$K$987,""),"Peripheral",_xlfn.XLOOKUP($K450&amp;"",PERIPHERAL!$B$3:$B$954&amp;"",PERIPHERAL!$K$3:$K$954,""),"Utilities",_xlfn.XLOOKUP($K450&amp;"",UTILITIES!$B$3:$B$953&amp;"",UTILITIES!$J$3:$J$953,""),"IOT",_xlfn.XLOOKUP($K450&amp;"",IOT!$B$3:$B$1012&amp;"",IOT!$K$4:$K$1012,""),"Server",_xlfn.XLOOKUP($K450&amp;"",SERVER!$B$3:$B$1009&amp;"",SERVER!$K$3:$K$1009,""),""))))</f>
        <v/>
      </c>
      <c r="O450" s="1" t="str" cm="1">
        <f t="array" ref="O450">IF(OR($K450="",$I450="",$J450=""),"",_xlfn.LET(_xlpm.srcCat,_xlfn.SWITCH($I450,"Computer",_xlfn.XLOOKUP($K450&amp;"",COMPUTER!$B$3:$B$1009&amp;"",COMPUTER!$H$3:$H$1009,""),"Display",_xlfn.XLOOKUP($K450&amp;"",DISPLAY!$B$3:$B$1000&amp;"",DISPLAY!$H$3:$H$1000,""),"Network Device",_xlfn.XLOOKUP($K450&amp;"",'NETWORK-DEVICES'!$B$3:$B$987&amp;"",'NETWORK-DEVICES'!$H$3:$H$987,""),"Peripheral",_xlfn.XLOOKUP($K450&amp;"",PERIPHERAL!$B$3:$B$954&amp;"",PERIPHERAL!$H$3:$H$954,""),"Utilities",_xlfn.XLOOKUP($K450&amp;"",UTILITIES!$B$3:$B$953&amp;"",UTILITIES!$G$3:$G$953,""),"IOT",_xlfn.XLOOKUP($K450&amp;"",IOT!$B$3:$B$1012&amp;"",IOT!$H$3:$H$1012,""),"Server",_xlfn.XLOOKUP($K450&amp;"",SERVER!$B$3:$B$1009&amp;"",SERVER!$H$3:$H$1009,""),""),IF(TRIM(_xlpm.srcCat)&lt;&gt;TRIM($J450),"",_xlfn.SWITCH($I450,"Computer",_xlfn.XLOOKUP($K450&amp;"",COMPUTER!$B$3:$B$1009&amp;"",COMPUTER!$E$3:$E$1009,""),"Display",_xlfn.XLOOKUP($K450&amp;"",DISPLAY!$B$3:$B$1000&amp;"",DISPLAY!$E$3:$E$1000,""),"Network Device",_xlfn.XLOOKUP($K450&amp;"",'NETWORK-DEVICES'!$B$3:$B$987&amp;"",'NETWORK-DEVICES'!$E$3:$E$987,""),"Peripheral",_xlfn.XLOOKUP($K450&amp;"",PERIPHERAL!$B$3:$B$954&amp;"",PERIPHERAL!$E$3:$E$954,""),"Utilities",_xlfn.XLOOKUP($K450&amp;"",UTILITIES!$B$3:$B$953&amp;"",UTILITIES!$E$3:$E$953,""),"IOT",_xlfn.XLOOKUP($K450&amp;"",IOT!$B$3:$B$1012&amp;"",IOT!$E$3:$E$1012,""),"Server",_xlfn.XLOOKUP($K450&amp;"",SERVER!$B$3:$B$1009&amp;"",SERVER!$E$3:$E$1009,""),""))))</f>
        <v/>
      </c>
      <c r="Q450" s="1" t="str" cm="1">
        <f t="array" ref="Q450">IF(OR($K450="",$I450="",$J450=""),"",_xlfn.LET(_xlpm.srcCat,_xlfn.SWITCH($I450,"Computer",_xlfn.XLOOKUP($K450&amp;"",COMPUTER!$B$3:$B$1009&amp;"",COMPUTER!$H$3:$H$1009,""),"Display",_xlfn.XLOOKUP($K450&amp;"",DISPLAY!$B$3:$B$1000&amp;"",DISPLAY!$H$3:$H$1000,""),"Network Device",_xlfn.XLOOKUP($K450&amp;"",'NETWORK-DEVICES'!$B$3:$B$987&amp;"",'NETWORK-DEVICES'!$H$3:$H$987,""),"Peripheral",_xlfn.XLOOKUP($K450&amp;"",PERIPHERAL!$B$3:$B$954&amp;"",PERIPHERAL!$H$3:$H$954,""),"Utilities",_xlfn.XLOOKUP($K450&amp;"",UTILITIES!$B$3:$B$953&amp;"",UTILITIES!$G$3:$G$953,""),"IOT",_xlfn.XLOOKUP($K450&amp;"",IOT!$B$3:$B$1012&amp;"",IOT!$H$3:$H$1012,""),"Server",_xlfn.XLOOKUP($K450&amp;"",SERVER!$B$3:$B$1009&amp;"",SERVER!$H$3:$H$1009,""),""),IF(TRIM(_xlpm.srcCat)&lt;&gt;TRIM($J450),"",_xlfn.SWITCH($I450,"Computer",_xlfn.XLOOKUP($K450&amp;"",COMPUTER!$B$3:$B$1009&amp;"",COMPUTER!$AM$3:$AM$1009,""),"Display",_xlfn.XLOOKUP($K450&amp;"",DISPLAY!$B$3:$B$1000&amp;"",DISPLAY!$V$3:$V$1000,""),"Network Device",_xlfn.XLOOKUP($K450&amp;"",'NETWORK-DEVICES'!$B$3:$B$987&amp;"",'NETWORK-DEVICES'!$AF$3:$AF$987,""),"Peripheral",_xlfn.XLOOKUP($K450&amp;"",PERIPHERAL!$B$3:$B$954&amp;"",PERIPHERAL!$Y$3:$Y$954,""),"Utilities",_xlfn.XLOOKUP($K450&amp;"",UTILITIES!$B$3:$B$953&amp;"",UTILITIES!$O$3:$O$953,""),"IOT",_xlfn.XLOOKUP($K450&amp;"",IOT!$B$3:$B$1012&amp;"",IOT!$AB$3:$AB$1012,""),"Server",_xlfn.XLOOKUP($K450&amp;"",SERVER!$B$3:$B$1009&amp;"",SERVER!$AB$3:$AB$1009,""),""))))</f>
        <v/>
      </c>
      <c r="R450" s="43" t="str">
        <f>IF(tbl_handover[[#This Row],[Asset Code]]="","",COUNTIF(tbl_handover[Asset Code],tbl_handover[[#This Row],[Asset Code]]))</f>
        <v/>
      </c>
    </row>
    <row r="451" spans="1:18" x14ac:dyDescent="0.25">
      <c r="A451" s="43" t="str">
        <f>IF(B451&lt;&gt;"",SUBTOTAL(3,$B$1:B450),"")</f>
        <v/>
      </c>
      <c r="C451" s="74"/>
      <c r="D451" s="74"/>
      <c r="G451" s="1"/>
      <c r="K451" s="42"/>
      <c r="L451" t="str" cm="1">
        <f t="array" ref="L451">IF($K451="","",_xlfn.SWITCH($I451,"Computer",_xlfn.XLOOKUP($K451&amp;"",COMPUTER!$B$3:$B$1009&amp;"",COMPUTER!$I$3:$I$1009,""),"Display",_xlfn.XLOOKUP($K451&amp;"",DISPLAY!$B$3:$B$1000&amp;"",DISPLAY!$J$3:$J$1000,""),"Network Device",_xlfn.XLOOKUP($K451&amp;"",'NETWORK-DEVICES'!$B$3:$B$987&amp;"",'NETWORK-DEVICES'!$I$3:$I$987,""),"Peripheral",_xlfn.XLOOKUP($K451&amp;"",PERIPHERAL!$B$3:$B$954&amp;"",PERIPHERAL!$I$3:$I$954,""),"Utilities",_xlfn.XLOOKUP($K451&amp;"",UTILITIES!$B$3:$B$953&amp;"",UTILITIES!$H$3:$H$953,""),"IOT",_xlfn.XLOOKUP($K451&amp;"",IOT!$B$3:$B$1012&amp;"",IOT!$I$3:$I$1012,""),"SERVER",_xlfn.XLOOKUP($K451&amp;"",SERVER!$B$3:$B$1009&amp;"",SERVER!$I$3:$I$1009,""),""))</f>
        <v/>
      </c>
      <c r="M451" t="str" cm="1">
        <f t="array" ref="M451">IF($K451="","",_xlfn.SWITCH($I451,"Computer",_xlfn.XLOOKUP($K451&amp;"",COMPUTER!$B$3:$B$1009&amp;"",COMPUTER!$J$3:$J$1009,""),"Display",_xlfn.XLOOKUP($K451&amp;"",DISPLAY!$B$3:$B$1000&amp;"",DISPLAY!$K$3:$K$1000,""),"Network Device",_xlfn.XLOOKUP($K451&amp;"",'NETWORK-DEVICES'!$B$3:$B$987&amp;"",'NETWORK-DEVICES'!$I$3:$I$987,""),"Peripheral",_xlfn.XLOOKUP($K451&amp;"",PERIPHERAL!$B$3:$B$954&amp;"",PERIPHERAL!$J$3:$J$954,""),"Utilities",_xlfn.XLOOKUP($K451&amp;"",UTILITIES!$B$3:$B$953&amp;"",UTILITIES!$I$3:$I$953,""),"IOT",_xlfn.XLOOKUP($K451&amp;"",IOT!$B$3:$B$1012&amp;"",IOT!$J$3:$J$1012,""),"Server",_xlfn.XLOOKUP($K451&amp;"",SERVER!$B$3:$B$1009&amp;"",SERVER!$J$3:$J$1009,""),""))</f>
        <v/>
      </c>
      <c r="N451" s="1" t="str" cm="1">
        <f t="array" ref="N451">IF(OR($K451="",$I451="",$J451=""),"",_xlfn.LET(_xlpm.srcCat,_xlfn.SWITCH($I451,"Computer",_xlfn.XLOOKUP($K451&amp;"",COMPUTER!$B$3:$B$1009&amp;"",COMPUTER!$H$3:$H$1009,""),"Display",_xlfn.XLOOKUP($K451&amp;"",DISPLAY!$B$3:$B$1000&amp;"",DISPLAY!$H$3:$H$1000,""),"Network Device",_xlfn.XLOOKUP($K451&amp;"",'NETWORK-DEVICES'!$B$3:$B$987&amp;"",'NETWORK-DEVICES'!$H$3:$H$987,""),"Peripheral",_xlfn.XLOOKUP($K451&amp;"",PERIPHERAL!$B$3:$B$954&amp;"",PERIPHERAL!$H$3:$H$954,""),"Utilities",_xlfn.XLOOKUP($K451&amp;"",UTILITIES!$B$3:$B$953&amp;"",UTILITIES!$G$3:$G$953,""),"IOT",_xlfn.XLOOKUP($K451&amp;"",IOT!$B$3:$B$1012&amp;"",IOT!$H$3:$H$1012,""),"Server",_xlfn.XLOOKUP($K451&amp;"",SERVER!$B$3:$B$1009&amp;"",SERVER!$H$3:$H$1009,""),""),IF(TRIM(_xlpm.srcCat)&lt;&gt;TRIM($J451),"",_xlfn.SWITCH($I451,"Computer",_xlfn.XLOOKUP($K451&amp;"",COMPUTER!$B$3:$B$1009&amp;"",COMPUTER!$K$3:$K$1009,""),"Display",_xlfn.XLOOKUP($K451&amp;"",DISPLAY!$B$3:$B$1000&amp;"",DISPLAY!$L$3:$L$1000,""),"Network Device",_xlfn.XLOOKUP($K451&amp;"",'NETWORK-DEVICES'!$B$3:$B$987&amp;"",'NETWORK-DEVICES'!$K$3:$K$987,""),"Peripheral",_xlfn.XLOOKUP($K451&amp;"",PERIPHERAL!$B$3:$B$954&amp;"",PERIPHERAL!$K$3:$K$954,""),"Utilities",_xlfn.XLOOKUP($K451&amp;"",UTILITIES!$B$3:$B$953&amp;"",UTILITIES!$J$3:$J$953,""),"IOT",_xlfn.XLOOKUP($K451&amp;"",IOT!$B$3:$B$1012&amp;"",IOT!$K$4:$K$1012,""),"Server",_xlfn.XLOOKUP($K451&amp;"",SERVER!$B$3:$B$1009&amp;"",SERVER!$K$3:$K$1009,""),""))))</f>
        <v/>
      </c>
      <c r="O451" s="1" t="str" cm="1">
        <f t="array" ref="O451">IF(OR($K451="",$I451="",$J451=""),"",_xlfn.LET(_xlpm.srcCat,_xlfn.SWITCH($I451,"Computer",_xlfn.XLOOKUP($K451&amp;"",COMPUTER!$B$3:$B$1009&amp;"",COMPUTER!$H$3:$H$1009,""),"Display",_xlfn.XLOOKUP($K451&amp;"",DISPLAY!$B$3:$B$1000&amp;"",DISPLAY!$H$3:$H$1000,""),"Network Device",_xlfn.XLOOKUP($K451&amp;"",'NETWORK-DEVICES'!$B$3:$B$987&amp;"",'NETWORK-DEVICES'!$H$3:$H$987,""),"Peripheral",_xlfn.XLOOKUP($K451&amp;"",PERIPHERAL!$B$3:$B$954&amp;"",PERIPHERAL!$H$3:$H$954,""),"Utilities",_xlfn.XLOOKUP($K451&amp;"",UTILITIES!$B$3:$B$953&amp;"",UTILITIES!$G$3:$G$953,""),"IOT",_xlfn.XLOOKUP($K451&amp;"",IOT!$B$3:$B$1012&amp;"",IOT!$H$3:$H$1012,""),"Server",_xlfn.XLOOKUP($K451&amp;"",SERVER!$B$3:$B$1009&amp;"",SERVER!$H$3:$H$1009,""),""),IF(TRIM(_xlpm.srcCat)&lt;&gt;TRIM($J451),"",_xlfn.SWITCH($I451,"Computer",_xlfn.XLOOKUP($K451&amp;"",COMPUTER!$B$3:$B$1009&amp;"",COMPUTER!$E$3:$E$1009,""),"Display",_xlfn.XLOOKUP($K451&amp;"",DISPLAY!$B$3:$B$1000&amp;"",DISPLAY!$E$3:$E$1000,""),"Network Device",_xlfn.XLOOKUP($K451&amp;"",'NETWORK-DEVICES'!$B$3:$B$987&amp;"",'NETWORK-DEVICES'!$E$3:$E$987,""),"Peripheral",_xlfn.XLOOKUP($K451&amp;"",PERIPHERAL!$B$3:$B$954&amp;"",PERIPHERAL!$E$3:$E$954,""),"Utilities",_xlfn.XLOOKUP($K451&amp;"",UTILITIES!$B$3:$B$953&amp;"",UTILITIES!$E$3:$E$953,""),"IOT",_xlfn.XLOOKUP($K451&amp;"",IOT!$B$3:$B$1012&amp;"",IOT!$E$3:$E$1012,""),"Server",_xlfn.XLOOKUP($K451&amp;"",SERVER!$B$3:$B$1009&amp;"",SERVER!$E$3:$E$1009,""),""))))</f>
        <v/>
      </c>
      <c r="Q451" s="1" t="str" cm="1">
        <f t="array" ref="Q451">IF(OR($K451="",$I451="",$J451=""),"",_xlfn.LET(_xlpm.srcCat,_xlfn.SWITCH($I451,"Computer",_xlfn.XLOOKUP($K451&amp;"",COMPUTER!$B$3:$B$1009&amp;"",COMPUTER!$H$3:$H$1009,""),"Display",_xlfn.XLOOKUP($K451&amp;"",DISPLAY!$B$3:$B$1000&amp;"",DISPLAY!$H$3:$H$1000,""),"Network Device",_xlfn.XLOOKUP($K451&amp;"",'NETWORK-DEVICES'!$B$3:$B$987&amp;"",'NETWORK-DEVICES'!$H$3:$H$987,""),"Peripheral",_xlfn.XLOOKUP($K451&amp;"",PERIPHERAL!$B$3:$B$954&amp;"",PERIPHERAL!$H$3:$H$954,""),"Utilities",_xlfn.XLOOKUP($K451&amp;"",UTILITIES!$B$3:$B$953&amp;"",UTILITIES!$G$3:$G$953,""),"IOT",_xlfn.XLOOKUP($K451&amp;"",IOT!$B$3:$B$1012&amp;"",IOT!$H$3:$H$1012,""),"Server",_xlfn.XLOOKUP($K451&amp;"",SERVER!$B$3:$B$1009&amp;"",SERVER!$H$3:$H$1009,""),""),IF(TRIM(_xlpm.srcCat)&lt;&gt;TRIM($J451),"",_xlfn.SWITCH($I451,"Computer",_xlfn.XLOOKUP($K451&amp;"",COMPUTER!$B$3:$B$1009&amp;"",COMPUTER!$AM$3:$AM$1009,""),"Display",_xlfn.XLOOKUP($K451&amp;"",DISPLAY!$B$3:$B$1000&amp;"",DISPLAY!$V$3:$V$1000,""),"Network Device",_xlfn.XLOOKUP($K451&amp;"",'NETWORK-DEVICES'!$B$3:$B$987&amp;"",'NETWORK-DEVICES'!$AF$3:$AF$987,""),"Peripheral",_xlfn.XLOOKUP($K451&amp;"",PERIPHERAL!$B$3:$B$954&amp;"",PERIPHERAL!$Y$3:$Y$954,""),"Utilities",_xlfn.XLOOKUP($K451&amp;"",UTILITIES!$B$3:$B$953&amp;"",UTILITIES!$O$3:$O$953,""),"IOT",_xlfn.XLOOKUP($K451&amp;"",IOT!$B$3:$B$1012&amp;"",IOT!$AB$3:$AB$1012,""),"Server",_xlfn.XLOOKUP($K451&amp;"",SERVER!$B$3:$B$1009&amp;"",SERVER!$AB$3:$AB$1009,""),""))))</f>
        <v/>
      </c>
      <c r="R451" s="43" t="str">
        <f>IF(tbl_handover[[#This Row],[Asset Code]]="","",COUNTIF(tbl_handover[Asset Code],tbl_handover[[#This Row],[Asset Code]]))</f>
        <v/>
      </c>
    </row>
    <row r="452" spans="1:18" x14ac:dyDescent="0.25">
      <c r="A452" s="43" t="str">
        <f>IF(B452&lt;&gt;"",SUBTOTAL(3,$B$1:B451),"")</f>
        <v/>
      </c>
      <c r="C452" s="74"/>
      <c r="D452" s="74"/>
      <c r="G452" s="1"/>
      <c r="K452" s="42"/>
      <c r="L452" t="str" cm="1">
        <f t="array" ref="L452">IF($K452="","",_xlfn.SWITCH($I452,"Computer",_xlfn.XLOOKUP($K452&amp;"",COMPUTER!$B$3:$B$1009&amp;"",COMPUTER!$I$3:$I$1009,""),"Display",_xlfn.XLOOKUP($K452&amp;"",DISPLAY!$B$3:$B$1000&amp;"",DISPLAY!$J$3:$J$1000,""),"Network Device",_xlfn.XLOOKUP($K452&amp;"",'NETWORK-DEVICES'!$B$3:$B$987&amp;"",'NETWORK-DEVICES'!$I$3:$I$987,""),"Peripheral",_xlfn.XLOOKUP($K452&amp;"",PERIPHERAL!$B$3:$B$954&amp;"",PERIPHERAL!$I$3:$I$954,""),"Utilities",_xlfn.XLOOKUP($K452&amp;"",UTILITIES!$B$3:$B$953&amp;"",UTILITIES!$H$3:$H$953,""),"IOT",_xlfn.XLOOKUP($K452&amp;"",IOT!$B$3:$B$1012&amp;"",IOT!$I$3:$I$1012,""),"SERVER",_xlfn.XLOOKUP($K452&amp;"",SERVER!$B$3:$B$1009&amp;"",SERVER!$I$3:$I$1009,""),""))</f>
        <v/>
      </c>
      <c r="M452" t="str" cm="1">
        <f t="array" ref="M452">IF($K452="","",_xlfn.SWITCH($I452,"Computer",_xlfn.XLOOKUP($K452&amp;"",COMPUTER!$B$3:$B$1009&amp;"",COMPUTER!$J$3:$J$1009,""),"Display",_xlfn.XLOOKUP($K452&amp;"",DISPLAY!$B$3:$B$1000&amp;"",DISPLAY!$K$3:$K$1000,""),"Network Device",_xlfn.XLOOKUP($K452&amp;"",'NETWORK-DEVICES'!$B$3:$B$987&amp;"",'NETWORK-DEVICES'!$I$3:$I$987,""),"Peripheral",_xlfn.XLOOKUP($K452&amp;"",PERIPHERAL!$B$3:$B$954&amp;"",PERIPHERAL!$J$3:$J$954,""),"Utilities",_xlfn.XLOOKUP($K452&amp;"",UTILITIES!$B$3:$B$953&amp;"",UTILITIES!$I$3:$I$953,""),"IOT",_xlfn.XLOOKUP($K452&amp;"",IOT!$B$3:$B$1012&amp;"",IOT!$J$3:$J$1012,""),"Server",_xlfn.XLOOKUP($K452&amp;"",SERVER!$B$3:$B$1009&amp;"",SERVER!$J$3:$J$1009,""),""))</f>
        <v/>
      </c>
      <c r="N452" s="1" t="str" cm="1">
        <f t="array" ref="N452">IF(OR($K452="",$I452="",$J452=""),"",_xlfn.LET(_xlpm.srcCat,_xlfn.SWITCH($I452,"Computer",_xlfn.XLOOKUP($K452&amp;"",COMPUTER!$B$3:$B$1009&amp;"",COMPUTER!$H$3:$H$1009,""),"Display",_xlfn.XLOOKUP($K452&amp;"",DISPLAY!$B$3:$B$1000&amp;"",DISPLAY!$H$3:$H$1000,""),"Network Device",_xlfn.XLOOKUP($K452&amp;"",'NETWORK-DEVICES'!$B$3:$B$987&amp;"",'NETWORK-DEVICES'!$H$3:$H$987,""),"Peripheral",_xlfn.XLOOKUP($K452&amp;"",PERIPHERAL!$B$3:$B$954&amp;"",PERIPHERAL!$H$3:$H$954,""),"Utilities",_xlfn.XLOOKUP($K452&amp;"",UTILITIES!$B$3:$B$953&amp;"",UTILITIES!$G$3:$G$953,""),"IOT",_xlfn.XLOOKUP($K452&amp;"",IOT!$B$3:$B$1012&amp;"",IOT!$H$3:$H$1012,""),"Server",_xlfn.XLOOKUP($K452&amp;"",SERVER!$B$3:$B$1009&amp;"",SERVER!$H$3:$H$1009,""),""),IF(TRIM(_xlpm.srcCat)&lt;&gt;TRIM($J452),"",_xlfn.SWITCH($I452,"Computer",_xlfn.XLOOKUP($K452&amp;"",COMPUTER!$B$3:$B$1009&amp;"",COMPUTER!$K$3:$K$1009,""),"Display",_xlfn.XLOOKUP($K452&amp;"",DISPLAY!$B$3:$B$1000&amp;"",DISPLAY!$L$3:$L$1000,""),"Network Device",_xlfn.XLOOKUP($K452&amp;"",'NETWORK-DEVICES'!$B$3:$B$987&amp;"",'NETWORK-DEVICES'!$K$3:$K$987,""),"Peripheral",_xlfn.XLOOKUP($K452&amp;"",PERIPHERAL!$B$3:$B$954&amp;"",PERIPHERAL!$K$3:$K$954,""),"Utilities",_xlfn.XLOOKUP($K452&amp;"",UTILITIES!$B$3:$B$953&amp;"",UTILITIES!$J$3:$J$953,""),"IOT",_xlfn.XLOOKUP($K452&amp;"",IOT!$B$3:$B$1012&amp;"",IOT!$K$4:$K$1012,""),"Server",_xlfn.XLOOKUP($K452&amp;"",SERVER!$B$3:$B$1009&amp;"",SERVER!$K$3:$K$1009,""),""))))</f>
        <v/>
      </c>
      <c r="O452" s="1" t="str" cm="1">
        <f t="array" ref="O452">IF(OR($K452="",$I452="",$J452=""),"",_xlfn.LET(_xlpm.srcCat,_xlfn.SWITCH($I452,"Computer",_xlfn.XLOOKUP($K452&amp;"",COMPUTER!$B$3:$B$1009&amp;"",COMPUTER!$H$3:$H$1009,""),"Display",_xlfn.XLOOKUP($K452&amp;"",DISPLAY!$B$3:$B$1000&amp;"",DISPLAY!$H$3:$H$1000,""),"Network Device",_xlfn.XLOOKUP($K452&amp;"",'NETWORK-DEVICES'!$B$3:$B$987&amp;"",'NETWORK-DEVICES'!$H$3:$H$987,""),"Peripheral",_xlfn.XLOOKUP($K452&amp;"",PERIPHERAL!$B$3:$B$954&amp;"",PERIPHERAL!$H$3:$H$954,""),"Utilities",_xlfn.XLOOKUP($K452&amp;"",UTILITIES!$B$3:$B$953&amp;"",UTILITIES!$G$3:$G$953,""),"IOT",_xlfn.XLOOKUP($K452&amp;"",IOT!$B$3:$B$1012&amp;"",IOT!$H$3:$H$1012,""),"Server",_xlfn.XLOOKUP($K452&amp;"",SERVER!$B$3:$B$1009&amp;"",SERVER!$H$3:$H$1009,""),""),IF(TRIM(_xlpm.srcCat)&lt;&gt;TRIM($J452),"",_xlfn.SWITCH($I452,"Computer",_xlfn.XLOOKUP($K452&amp;"",COMPUTER!$B$3:$B$1009&amp;"",COMPUTER!$E$3:$E$1009,""),"Display",_xlfn.XLOOKUP($K452&amp;"",DISPLAY!$B$3:$B$1000&amp;"",DISPLAY!$E$3:$E$1000,""),"Network Device",_xlfn.XLOOKUP($K452&amp;"",'NETWORK-DEVICES'!$B$3:$B$987&amp;"",'NETWORK-DEVICES'!$E$3:$E$987,""),"Peripheral",_xlfn.XLOOKUP($K452&amp;"",PERIPHERAL!$B$3:$B$954&amp;"",PERIPHERAL!$E$3:$E$954,""),"Utilities",_xlfn.XLOOKUP($K452&amp;"",UTILITIES!$B$3:$B$953&amp;"",UTILITIES!$E$3:$E$953,""),"IOT",_xlfn.XLOOKUP($K452&amp;"",IOT!$B$3:$B$1012&amp;"",IOT!$E$3:$E$1012,""),"Server",_xlfn.XLOOKUP($K452&amp;"",SERVER!$B$3:$B$1009&amp;"",SERVER!$E$3:$E$1009,""),""))))</f>
        <v/>
      </c>
      <c r="Q452" s="1" t="str" cm="1">
        <f t="array" ref="Q452">IF(OR($K452="",$I452="",$J452=""),"",_xlfn.LET(_xlpm.srcCat,_xlfn.SWITCH($I452,"Computer",_xlfn.XLOOKUP($K452&amp;"",COMPUTER!$B$3:$B$1009&amp;"",COMPUTER!$H$3:$H$1009,""),"Display",_xlfn.XLOOKUP($K452&amp;"",DISPLAY!$B$3:$B$1000&amp;"",DISPLAY!$H$3:$H$1000,""),"Network Device",_xlfn.XLOOKUP($K452&amp;"",'NETWORK-DEVICES'!$B$3:$B$987&amp;"",'NETWORK-DEVICES'!$H$3:$H$987,""),"Peripheral",_xlfn.XLOOKUP($K452&amp;"",PERIPHERAL!$B$3:$B$954&amp;"",PERIPHERAL!$H$3:$H$954,""),"Utilities",_xlfn.XLOOKUP($K452&amp;"",UTILITIES!$B$3:$B$953&amp;"",UTILITIES!$G$3:$G$953,""),"IOT",_xlfn.XLOOKUP($K452&amp;"",IOT!$B$3:$B$1012&amp;"",IOT!$H$3:$H$1012,""),"Server",_xlfn.XLOOKUP($K452&amp;"",SERVER!$B$3:$B$1009&amp;"",SERVER!$H$3:$H$1009,""),""),IF(TRIM(_xlpm.srcCat)&lt;&gt;TRIM($J452),"",_xlfn.SWITCH($I452,"Computer",_xlfn.XLOOKUP($K452&amp;"",COMPUTER!$B$3:$B$1009&amp;"",COMPUTER!$AM$3:$AM$1009,""),"Display",_xlfn.XLOOKUP($K452&amp;"",DISPLAY!$B$3:$B$1000&amp;"",DISPLAY!$V$3:$V$1000,""),"Network Device",_xlfn.XLOOKUP($K452&amp;"",'NETWORK-DEVICES'!$B$3:$B$987&amp;"",'NETWORK-DEVICES'!$AF$3:$AF$987,""),"Peripheral",_xlfn.XLOOKUP($K452&amp;"",PERIPHERAL!$B$3:$B$954&amp;"",PERIPHERAL!$Y$3:$Y$954,""),"Utilities",_xlfn.XLOOKUP($K452&amp;"",UTILITIES!$B$3:$B$953&amp;"",UTILITIES!$O$3:$O$953,""),"IOT",_xlfn.XLOOKUP($K452&amp;"",IOT!$B$3:$B$1012&amp;"",IOT!$AB$3:$AB$1012,""),"Server",_xlfn.XLOOKUP($K452&amp;"",SERVER!$B$3:$B$1009&amp;"",SERVER!$AB$3:$AB$1009,""),""))))</f>
        <v/>
      </c>
      <c r="R452" s="43" t="str">
        <f>IF(tbl_handover[[#This Row],[Asset Code]]="","",COUNTIF(tbl_handover[Asset Code],tbl_handover[[#This Row],[Asset Code]]))</f>
        <v/>
      </c>
    </row>
    <row r="453" spans="1:18" x14ac:dyDescent="0.25">
      <c r="A453" s="43" t="str">
        <f>IF(B453&lt;&gt;"",SUBTOTAL(3,$B$1:B452),"")</f>
        <v/>
      </c>
      <c r="C453" s="74"/>
      <c r="D453" s="74"/>
      <c r="G453" s="1"/>
      <c r="K453" s="42"/>
      <c r="L453" t="str" cm="1">
        <f t="array" ref="L453">IF($K453="","",_xlfn.SWITCH($I453,"Computer",_xlfn.XLOOKUP($K453&amp;"",COMPUTER!$B$3:$B$1009&amp;"",COMPUTER!$I$3:$I$1009,""),"Display",_xlfn.XLOOKUP($K453&amp;"",DISPLAY!$B$3:$B$1000&amp;"",DISPLAY!$J$3:$J$1000,""),"Network Device",_xlfn.XLOOKUP($K453&amp;"",'NETWORK-DEVICES'!$B$3:$B$987&amp;"",'NETWORK-DEVICES'!$I$3:$I$987,""),"Peripheral",_xlfn.XLOOKUP($K453&amp;"",PERIPHERAL!$B$3:$B$954&amp;"",PERIPHERAL!$I$3:$I$954,""),"Utilities",_xlfn.XLOOKUP($K453&amp;"",UTILITIES!$B$3:$B$953&amp;"",UTILITIES!$H$3:$H$953,""),"IOT",_xlfn.XLOOKUP($K453&amp;"",IOT!$B$3:$B$1012&amp;"",IOT!$I$3:$I$1012,""),"SERVER",_xlfn.XLOOKUP($K453&amp;"",SERVER!$B$3:$B$1009&amp;"",SERVER!$I$3:$I$1009,""),""))</f>
        <v/>
      </c>
      <c r="M453" t="str" cm="1">
        <f t="array" ref="M453">IF($K453="","",_xlfn.SWITCH($I453,"Computer",_xlfn.XLOOKUP($K453&amp;"",COMPUTER!$B$3:$B$1009&amp;"",COMPUTER!$J$3:$J$1009,""),"Display",_xlfn.XLOOKUP($K453&amp;"",DISPLAY!$B$3:$B$1000&amp;"",DISPLAY!$K$3:$K$1000,""),"Network Device",_xlfn.XLOOKUP($K453&amp;"",'NETWORK-DEVICES'!$B$3:$B$987&amp;"",'NETWORK-DEVICES'!$I$3:$I$987,""),"Peripheral",_xlfn.XLOOKUP($K453&amp;"",PERIPHERAL!$B$3:$B$954&amp;"",PERIPHERAL!$J$3:$J$954,""),"Utilities",_xlfn.XLOOKUP($K453&amp;"",UTILITIES!$B$3:$B$953&amp;"",UTILITIES!$I$3:$I$953,""),"IOT",_xlfn.XLOOKUP($K453&amp;"",IOT!$B$3:$B$1012&amp;"",IOT!$J$3:$J$1012,""),"Server",_xlfn.XLOOKUP($K453&amp;"",SERVER!$B$3:$B$1009&amp;"",SERVER!$J$3:$J$1009,""),""))</f>
        <v/>
      </c>
      <c r="N453" s="1" t="str" cm="1">
        <f t="array" ref="N453">IF(OR($K453="",$I453="",$J453=""),"",_xlfn.LET(_xlpm.srcCat,_xlfn.SWITCH($I453,"Computer",_xlfn.XLOOKUP($K453&amp;"",COMPUTER!$B$3:$B$1009&amp;"",COMPUTER!$H$3:$H$1009,""),"Display",_xlfn.XLOOKUP($K453&amp;"",DISPLAY!$B$3:$B$1000&amp;"",DISPLAY!$H$3:$H$1000,""),"Network Device",_xlfn.XLOOKUP($K453&amp;"",'NETWORK-DEVICES'!$B$3:$B$987&amp;"",'NETWORK-DEVICES'!$H$3:$H$987,""),"Peripheral",_xlfn.XLOOKUP($K453&amp;"",PERIPHERAL!$B$3:$B$954&amp;"",PERIPHERAL!$H$3:$H$954,""),"Utilities",_xlfn.XLOOKUP($K453&amp;"",UTILITIES!$B$3:$B$953&amp;"",UTILITIES!$G$3:$G$953,""),"IOT",_xlfn.XLOOKUP($K453&amp;"",IOT!$B$3:$B$1012&amp;"",IOT!$H$3:$H$1012,""),"Server",_xlfn.XLOOKUP($K453&amp;"",SERVER!$B$3:$B$1009&amp;"",SERVER!$H$3:$H$1009,""),""),IF(TRIM(_xlpm.srcCat)&lt;&gt;TRIM($J453),"",_xlfn.SWITCH($I453,"Computer",_xlfn.XLOOKUP($K453&amp;"",COMPUTER!$B$3:$B$1009&amp;"",COMPUTER!$K$3:$K$1009,""),"Display",_xlfn.XLOOKUP($K453&amp;"",DISPLAY!$B$3:$B$1000&amp;"",DISPLAY!$L$3:$L$1000,""),"Network Device",_xlfn.XLOOKUP($K453&amp;"",'NETWORK-DEVICES'!$B$3:$B$987&amp;"",'NETWORK-DEVICES'!$K$3:$K$987,""),"Peripheral",_xlfn.XLOOKUP($K453&amp;"",PERIPHERAL!$B$3:$B$954&amp;"",PERIPHERAL!$K$3:$K$954,""),"Utilities",_xlfn.XLOOKUP($K453&amp;"",UTILITIES!$B$3:$B$953&amp;"",UTILITIES!$J$3:$J$953,""),"IOT",_xlfn.XLOOKUP($K453&amp;"",IOT!$B$3:$B$1012&amp;"",IOT!$K$4:$K$1012,""),"Server",_xlfn.XLOOKUP($K453&amp;"",SERVER!$B$3:$B$1009&amp;"",SERVER!$K$3:$K$1009,""),""))))</f>
        <v/>
      </c>
      <c r="O453" s="1" t="str" cm="1">
        <f t="array" ref="O453">IF(OR($K453="",$I453="",$J453=""),"",_xlfn.LET(_xlpm.srcCat,_xlfn.SWITCH($I453,"Computer",_xlfn.XLOOKUP($K453&amp;"",COMPUTER!$B$3:$B$1009&amp;"",COMPUTER!$H$3:$H$1009,""),"Display",_xlfn.XLOOKUP($K453&amp;"",DISPLAY!$B$3:$B$1000&amp;"",DISPLAY!$H$3:$H$1000,""),"Network Device",_xlfn.XLOOKUP($K453&amp;"",'NETWORK-DEVICES'!$B$3:$B$987&amp;"",'NETWORK-DEVICES'!$H$3:$H$987,""),"Peripheral",_xlfn.XLOOKUP($K453&amp;"",PERIPHERAL!$B$3:$B$954&amp;"",PERIPHERAL!$H$3:$H$954,""),"Utilities",_xlfn.XLOOKUP($K453&amp;"",UTILITIES!$B$3:$B$953&amp;"",UTILITIES!$G$3:$G$953,""),"IOT",_xlfn.XLOOKUP($K453&amp;"",IOT!$B$3:$B$1012&amp;"",IOT!$H$3:$H$1012,""),"Server",_xlfn.XLOOKUP($K453&amp;"",SERVER!$B$3:$B$1009&amp;"",SERVER!$H$3:$H$1009,""),""),IF(TRIM(_xlpm.srcCat)&lt;&gt;TRIM($J453),"",_xlfn.SWITCH($I453,"Computer",_xlfn.XLOOKUP($K453&amp;"",COMPUTER!$B$3:$B$1009&amp;"",COMPUTER!$E$3:$E$1009,""),"Display",_xlfn.XLOOKUP($K453&amp;"",DISPLAY!$B$3:$B$1000&amp;"",DISPLAY!$E$3:$E$1000,""),"Network Device",_xlfn.XLOOKUP($K453&amp;"",'NETWORK-DEVICES'!$B$3:$B$987&amp;"",'NETWORK-DEVICES'!$E$3:$E$987,""),"Peripheral",_xlfn.XLOOKUP($K453&amp;"",PERIPHERAL!$B$3:$B$954&amp;"",PERIPHERAL!$E$3:$E$954,""),"Utilities",_xlfn.XLOOKUP($K453&amp;"",UTILITIES!$B$3:$B$953&amp;"",UTILITIES!$E$3:$E$953,""),"IOT",_xlfn.XLOOKUP($K453&amp;"",IOT!$B$3:$B$1012&amp;"",IOT!$E$3:$E$1012,""),"Server",_xlfn.XLOOKUP($K453&amp;"",SERVER!$B$3:$B$1009&amp;"",SERVER!$E$3:$E$1009,""),""))))</f>
        <v/>
      </c>
      <c r="Q453" s="1" t="str" cm="1">
        <f t="array" ref="Q453">IF(OR($K453="",$I453="",$J453=""),"",_xlfn.LET(_xlpm.srcCat,_xlfn.SWITCH($I453,"Computer",_xlfn.XLOOKUP($K453&amp;"",COMPUTER!$B$3:$B$1009&amp;"",COMPUTER!$H$3:$H$1009,""),"Display",_xlfn.XLOOKUP($K453&amp;"",DISPLAY!$B$3:$B$1000&amp;"",DISPLAY!$H$3:$H$1000,""),"Network Device",_xlfn.XLOOKUP($K453&amp;"",'NETWORK-DEVICES'!$B$3:$B$987&amp;"",'NETWORK-DEVICES'!$H$3:$H$987,""),"Peripheral",_xlfn.XLOOKUP($K453&amp;"",PERIPHERAL!$B$3:$B$954&amp;"",PERIPHERAL!$H$3:$H$954,""),"Utilities",_xlfn.XLOOKUP($K453&amp;"",UTILITIES!$B$3:$B$953&amp;"",UTILITIES!$G$3:$G$953,""),"IOT",_xlfn.XLOOKUP($K453&amp;"",IOT!$B$3:$B$1012&amp;"",IOT!$H$3:$H$1012,""),"Server",_xlfn.XLOOKUP($K453&amp;"",SERVER!$B$3:$B$1009&amp;"",SERVER!$H$3:$H$1009,""),""),IF(TRIM(_xlpm.srcCat)&lt;&gt;TRIM($J453),"",_xlfn.SWITCH($I453,"Computer",_xlfn.XLOOKUP($K453&amp;"",COMPUTER!$B$3:$B$1009&amp;"",COMPUTER!$AM$3:$AM$1009,""),"Display",_xlfn.XLOOKUP($K453&amp;"",DISPLAY!$B$3:$B$1000&amp;"",DISPLAY!$V$3:$V$1000,""),"Network Device",_xlfn.XLOOKUP($K453&amp;"",'NETWORK-DEVICES'!$B$3:$B$987&amp;"",'NETWORK-DEVICES'!$AF$3:$AF$987,""),"Peripheral",_xlfn.XLOOKUP($K453&amp;"",PERIPHERAL!$B$3:$B$954&amp;"",PERIPHERAL!$Y$3:$Y$954,""),"Utilities",_xlfn.XLOOKUP($K453&amp;"",UTILITIES!$B$3:$B$953&amp;"",UTILITIES!$O$3:$O$953,""),"IOT",_xlfn.XLOOKUP($K453&amp;"",IOT!$B$3:$B$1012&amp;"",IOT!$AB$3:$AB$1012,""),"Server",_xlfn.XLOOKUP($K453&amp;"",SERVER!$B$3:$B$1009&amp;"",SERVER!$AB$3:$AB$1009,""),""))))</f>
        <v/>
      </c>
      <c r="R453" s="43" t="str">
        <f>IF(tbl_handover[[#This Row],[Asset Code]]="","",COUNTIF(tbl_handover[Asset Code],tbl_handover[[#This Row],[Asset Code]]))</f>
        <v/>
      </c>
    </row>
    <row r="454" spans="1:18" x14ac:dyDescent="0.25">
      <c r="A454" s="43" t="str">
        <f>IF(B454&lt;&gt;"",SUBTOTAL(3,$B$1:B453),"")</f>
        <v/>
      </c>
      <c r="C454" s="74"/>
      <c r="D454" s="74"/>
      <c r="G454" s="1"/>
      <c r="K454" s="42"/>
      <c r="L454" t="str" cm="1">
        <f t="array" ref="L454">IF($K454="","",_xlfn.SWITCH($I454,"Computer",_xlfn.XLOOKUP($K454&amp;"",COMPUTER!$B$3:$B$1009&amp;"",COMPUTER!$I$3:$I$1009,""),"Display",_xlfn.XLOOKUP($K454&amp;"",DISPLAY!$B$3:$B$1000&amp;"",DISPLAY!$J$3:$J$1000,""),"Network Device",_xlfn.XLOOKUP($K454&amp;"",'NETWORK-DEVICES'!$B$3:$B$987&amp;"",'NETWORK-DEVICES'!$I$3:$I$987,""),"Peripheral",_xlfn.XLOOKUP($K454&amp;"",PERIPHERAL!$B$3:$B$954&amp;"",PERIPHERAL!$I$3:$I$954,""),"Utilities",_xlfn.XLOOKUP($K454&amp;"",UTILITIES!$B$3:$B$953&amp;"",UTILITIES!$H$3:$H$953,""),"IOT",_xlfn.XLOOKUP($K454&amp;"",IOT!$B$3:$B$1012&amp;"",IOT!$I$3:$I$1012,""),"SERVER",_xlfn.XLOOKUP($K454&amp;"",SERVER!$B$3:$B$1009&amp;"",SERVER!$I$3:$I$1009,""),""))</f>
        <v/>
      </c>
      <c r="M454" t="str" cm="1">
        <f t="array" ref="M454">IF($K454="","",_xlfn.SWITCH($I454,"Computer",_xlfn.XLOOKUP($K454&amp;"",COMPUTER!$B$3:$B$1009&amp;"",COMPUTER!$J$3:$J$1009,""),"Display",_xlfn.XLOOKUP($K454&amp;"",DISPLAY!$B$3:$B$1000&amp;"",DISPLAY!$K$3:$K$1000,""),"Network Device",_xlfn.XLOOKUP($K454&amp;"",'NETWORK-DEVICES'!$B$3:$B$987&amp;"",'NETWORK-DEVICES'!$I$3:$I$987,""),"Peripheral",_xlfn.XLOOKUP($K454&amp;"",PERIPHERAL!$B$3:$B$954&amp;"",PERIPHERAL!$J$3:$J$954,""),"Utilities",_xlfn.XLOOKUP($K454&amp;"",UTILITIES!$B$3:$B$953&amp;"",UTILITIES!$I$3:$I$953,""),"IOT",_xlfn.XLOOKUP($K454&amp;"",IOT!$B$3:$B$1012&amp;"",IOT!$J$3:$J$1012,""),"Server",_xlfn.XLOOKUP($K454&amp;"",SERVER!$B$3:$B$1009&amp;"",SERVER!$J$3:$J$1009,""),""))</f>
        <v/>
      </c>
      <c r="N454" s="1" t="str" cm="1">
        <f t="array" ref="N454">IF(OR($K454="",$I454="",$J454=""),"",_xlfn.LET(_xlpm.srcCat,_xlfn.SWITCH($I454,"Computer",_xlfn.XLOOKUP($K454&amp;"",COMPUTER!$B$3:$B$1009&amp;"",COMPUTER!$H$3:$H$1009,""),"Display",_xlfn.XLOOKUP($K454&amp;"",DISPLAY!$B$3:$B$1000&amp;"",DISPLAY!$H$3:$H$1000,""),"Network Device",_xlfn.XLOOKUP($K454&amp;"",'NETWORK-DEVICES'!$B$3:$B$987&amp;"",'NETWORK-DEVICES'!$H$3:$H$987,""),"Peripheral",_xlfn.XLOOKUP($K454&amp;"",PERIPHERAL!$B$3:$B$954&amp;"",PERIPHERAL!$H$3:$H$954,""),"Utilities",_xlfn.XLOOKUP($K454&amp;"",UTILITIES!$B$3:$B$953&amp;"",UTILITIES!$G$3:$G$953,""),"IOT",_xlfn.XLOOKUP($K454&amp;"",IOT!$B$3:$B$1012&amp;"",IOT!$H$3:$H$1012,""),"Server",_xlfn.XLOOKUP($K454&amp;"",SERVER!$B$3:$B$1009&amp;"",SERVER!$H$3:$H$1009,""),""),IF(TRIM(_xlpm.srcCat)&lt;&gt;TRIM($J454),"",_xlfn.SWITCH($I454,"Computer",_xlfn.XLOOKUP($K454&amp;"",COMPUTER!$B$3:$B$1009&amp;"",COMPUTER!$K$3:$K$1009,""),"Display",_xlfn.XLOOKUP($K454&amp;"",DISPLAY!$B$3:$B$1000&amp;"",DISPLAY!$L$3:$L$1000,""),"Network Device",_xlfn.XLOOKUP($K454&amp;"",'NETWORK-DEVICES'!$B$3:$B$987&amp;"",'NETWORK-DEVICES'!$K$3:$K$987,""),"Peripheral",_xlfn.XLOOKUP($K454&amp;"",PERIPHERAL!$B$3:$B$954&amp;"",PERIPHERAL!$K$3:$K$954,""),"Utilities",_xlfn.XLOOKUP($K454&amp;"",UTILITIES!$B$3:$B$953&amp;"",UTILITIES!$J$3:$J$953,""),"IOT",_xlfn.XLOOKUP($K454&amp;"",IOT!$B$3:$B$1012&amp;"",IOT!$K$4:$K$1012,""),"Server",_xlfn.XLOOKUP($K454&amp;"",SERVER!$B$3:$B$1009&amp;"",SERVER!$K$3:$K$1009,""),""))))</f>
        <v/>
      </c>
      <c r="O454" s="1" t="str" cm="1">
        <f t="array" ref="O454">IF(OR($K454="",$I454="",$J454=""),"",_xlfn.LET(_xlpm.srcCat,_xlfn.SWITCH($I454,"Computer",_xlfn.XLOOKUP($K454&amp;"",COMPUTER!$B$3:$B$1009&amp;"",COMPUTER!$H$3:$H$1009,""),"Display",_xlfn.XLOOKUP($K454&amp;"",DISPLAY!$B$3:$B$1000&amp;"",DISPLAY!$H$3:$H$1000,""),"Network Device",_xlfn.XLOOKUP($K454&amp;"",'NETWORK-DEVICES'!$B$3:$B$987&amp;"",'NETWORK-DEVICES'!$H$3:$H$987,""),"Peripheral",_xlfn.XLOOKUP($K454&amp;"",PERIPHERAL!$B$3:$B$954&amp;"",PERIPHERAL!$H$3:$H$954,""),"Utilities",_xlfn.XLOOKUP($K454&amp;"",UTILITIES!$B$3:$B$953&amp;"",UTILITIES!$G$3:$G$953,""),"IOT",_xlfn.XLOOKUP($K454&amp;"",IOT!$B$3:$B$1012&amp;"",IOT!$H$3:$H$1012,""),"Server",_xlfn.XLOOKUP($K454&amp;"",SERVER!$B$3:$B$1009&amp;"",SERVER!$H$3:$H$1009,""),""),IF(TRIM(_xlpm.srcCat)&lt;&gt;TRIM($J454),"",_xlfn.SWITCH($I454,"Computer",_xlfn.XLOOKUP($K454&amp;"",COMPUTER!$B$3:$B$1009&amp;"",COMPUTER!$E$3:$E$1009,""),"Display",_xlfn.XLOOKUP($K454&amp;"",DISPLAY!$B$3:$B$1000&amp;"",DISPLAY!$E$3:$E$1000,""),"Network Device",_xlfn.XLOOKUP($K454&amp;"",'NETWORK-DEVICES'!$B$3:$B$987&amp;"",'NETWORK-DEVICES'!$E$3:$E$987,""),"Peripheral",_xlfn.XLOOKUP($K454&amp;"",PERIPHERAL!$B$3:$B$954&amp;"",PERIPHERAL!$E$3:$E$954,""),"Utilities",_xlfn.XLOOKUP($K454&amp;"",UTILITIES!$B$3:$B$953&amp;"",UTILITIES!$E$3:$E$953,""),"IOT",_xlfn.XLOOKUP($K454&amp;"",IOT!$B$3:$B$1012&amp;"",IOT!$E$3:$E$1012,""),"Server",_xlfn.XLOOKUP($K454&amp;"",SERVER!$B$3:$B$1009&amp;"",SERVER!$E$3:$E$1009,""),""))))</f>
        <v/>
      </c>
      <c r="Q454" s="1" t="str" cm="1">
        <f t="array" ref="Q454">IF(OR($K454="",$I454="",$J454=""),"",_xlfn.LET(_xlpm.srcCat,_xlfn.SWITCH($I454,"Computer",_xlfn.XLOOKUP($K454&amp;"",COMPUTER!$B$3:$B$1009&amp;"",COMPUTER!$H$3:$H$1009,""),"Display",_xlfn.XLOOKUP($K454&amp;"",DISPLAY!$B$3:$B$1000&amp;"",DISPLAY!$H$3:$H$1000,""),"Network Device",_xlfn.XLOOKUP($K454&amp;"",'NETWORK-DEVICES'!$B$3:$B$987&amp;"",'NETWORK-DEVICES'!$H$3:$H$987,""),"Peripheral",_xlfn.XLOOKUP($K454&amp;"",PERIPHERAL!$B$3:$B$954&amp;"",PERIPHERAL!$H$3:$H$954,""),"Utilities",_xlfn.XLOOKUP($K454&amp;"",UTILITIES!$B$3:$B$953&amp;"",UTILITIES!$G$3:$G$953,""),"IOT",_xlfn.XLOOKUP($K454&amp;"",IOT!$B$3:$B$1012&amp;"",IOT!$H$3:$H$1012,""),"Server",_xlfn.XLOOKUP($K454&amp;"",SERVER!$B$3:$B$1009&amp;"",SERVER!$H$3:$H$1009,""),""),IF(TRIM(_xlpm.srcCat)&lt;&gt;TRIM($J454),"",_xlfn.SWITCH($I454,"Computer",_xlfn.XLOOKUP($K454&amp;"",COMPUTER!$B$3:$B$1009&amp;"",COMPUTER!$AM$3:$AM$1009,""),"Display",_xlfn.XLOOKUP($K454&amp;"",DISPLAY!$B$3:$B$1000&amp;"",DISPLAY!$V$3:$V$1000,""),"Network Device",_xlfn.XLOOKUP($K454&amp;"",'NETWORK-DEVICES'!$B$3:$B$987&amp;"",'NETWORK-DEVICES'!$AF$3:$AF$987,""),"Peripheral",_xlfn.XLOOKUP($K454&amp;"",PERIPHERAL!$B$3:$B$954&amp;"",PERIPHERAL!$Y$3:$Y$954,""),"Utilities",_xlfn.XLOOKUP($K454&amp;"",UTILITIES!$B$3:$B$953&amp;"",UTILITIES!$O$3:$O$953,""),"IOT",_xlfn.XLOOKUP($K454&amp;"",IOT!$B$3:$B$1012&amp;"",IOT!$AB$3:$AB$1012,""),"Server",_xlfn.XLOOKUP($K454&amp;"",SERVER!$B$3:$B$1009&amp;"",SERVER!$AB$3:$AB$1009,""),""))))</f>
        <v/>
      </c>
      <c r="R454" s="43" t="str">
        <f>IF(tbl_handover[[#This Row],[Asset Code]]="","",COUNTIF(tbl_handover[Asset Code],tbl_handover[[#This Row],[Asset Code]]))</f>
        <v/>
      </c>
    </row>
    <row r="455" spans="1:18" x14ac:dyDescent="0.25">
      <c r="A455" s="43" t="str">
        <f>IF(B455&lt;&gt;"",SUBTOTAL(3,$B$1:B454),"")</f>
        <v/>
      </c>
      <c r="C455" s="74"/>
      <c r="D455" s="74"/>
      <c r="G455" s="1"/>
      <c r="K455" s="42"/>
      <c r="L455" t="str" cm="1">
        <f t="array" ref="L455">IF($K455="","",_xlfn.SWITCH($I455,"Computer",_xlfn.XLOOKUP($K455&amp;"",COMPUTER!$B$3:$B$1009&amp;"",COMPUTER!$I$3:$I$1009,""),"Display",_xlfn.XLOOKUP($K455&amp;"",DISPLAY!$B$3:$B$1000&amp;"",DISPLAY!$J$3:$J$1000,""),"Network Device",_xlfn.XLOOKUP($K455&amp;"",'NETWORK-DEVICES'!$B$3:$B$987&amp;"",'NETWORK-DEVICES'!$I$3:$I$987,""),"Peripheral",_xlfn.XLOOKUP($K455&amp;"",PERIPHERAL!$B$3:$B$954&amp;"",PERIPHERAL!$I$3:$I$954,""),"Utilities",_xlfn.XLOOKUP($K455&amp;"",UTILITIES!$B$3:$B$953&amp;"",UTILITIES!$H$3:$H$953,""),"IOT",_xlfn.XLOOKUP($K455&amp;"",IOT!$B$3:$B$1012&amp;"",IOT!$I$3:$I$1012,""),"SERVER",_xlfn.XLOOKUP($K455&amp;"",SERVER!$B$3:$B$1009&amp;"",SERVER!$I$3:$I$1009,""),""))</f>
        <v/>
      </c>
      <c r="M455" t="str" cm="1">
        <f t="array" ref="M455">IF($K455="","",_xlfn.SWITCH($I455,"Computer",_xlfn.XLOOKUP($K455&amp;"",COMPUTER!$B$3:$B$1009&amp;"",COMPUTER!$J$3:$J$1009,""),"Display",_xlfn.XLOOKUP($K455&amp;"",DISPLAY!$B$3:$B$1000&amp;"",DISPLAY!$K$3:$K$1000,""),"Network Device",_xlfn.XLOOKUP($K455&amp;"",'NETWORK-DEVICES'!$B$3:$B$987&amp;"",'NETWORK-DEVICES'!$I$3:$I$987,""),"Peripheral",_xlfn.XLOOKUP($K455&amp;"",PERIPHERAL!$B$3:$B$954&amp;"",PERIPHERAL!$J$3:$J$954,""),"Utilities",_xlfn.XLOOKUP($K455&amp;"",UTILITIES!$B$3:$B$953&amp;"",UTILITIES!$I$3:$I$953,""),"IOT",_xlfn.XLOOKUP($K455&amp;"",IOT!$B$3:$B$1012&amp;"",IOT!$J$3:$J$1012,""),"Server",_xlfn.XLOOKUP($K455&amp;"",SERVER!$B$3:$B$1009&amp;"",SERVER!$J$3:$J$1009,""),""))</f>
        <v/>
      </c>
      <c r="N455" s="1" t="str" cm="1">
        <f t="array" ref="N455">IF(OR($K455="",$I455="",$J455=""),"",_xlfn.LET(_xlpm.srcCat,_xlfn.SWITCH($I455,"Computer",_xlfn.XLOOKUP($K455&amp;"",COMPUTER!$B$3:$B$1009&amp;"",COMPUTER!$H$3:$H$1009,""),"Display",_xlfn.XLOOKUP($K455&amp;"",DISPLAY!$B$3:$B$1000&amp;"",DISPLAY!$H$3:$H$1000,""),"Network Device",_xlfn.XLOOKUP($K455&amp;"",'NETWORK-DEVICES'!$B$3:$B$987&amp;"",'NETWORK-DEVICES'!$H$3:$H$987,""),"Peripheral",_xlfn.XLOOKUP($K455&amp;"",PERIPHERAL!$B$3:$B$954&amp;"",PERIPHERAL!$H$3:$H$954,""),"Utilities",_xlfn.XLOOKUP($K455&amp;"",UTILITIES!$B$3:$B$953&amp;"",UTILITIES!$G$3:$G$953,""),"IOT",_xlfn.XLOOKUP($K455&amp;"",IOT!$B$3:$B$1012&amp;"",IOT!$H$3:$H$1012,""),"Server",_xlfn.XLOOKUP($K455&amp;"",SERVER!$B$3:$B$1009&amp;"",SERVER!$H$3:$H$1009,""),""),IF(TRIM(_xlpm.srcCat)&lt;&gt;TRIM($J455),"",_xlfn.SWITCH($I455,"Computer",_xlfn.XLOOKUP($K455&amp;"",COMPUTER!$B$3:$B$1009&amp;"",COMPUTER!$K$3:$K$1009,""),"Display",_xlfn.XLOOKUP($K455&amp;"",DISPLAY!$B$3:$B$1000&amp;"",DISPLAY!$L$3:$L$1000,""),"Network Device",_xlfn.XLOOKUP($K455&amp;"",'NETWORK-DEVICES'!$B$3:$B$987&amp;"",'NETWORK-DEVICES'!$K$3:$K$987,""),"Peripheral",_xlfn.XLOOKUP($K455&amp;"",PERIPHERAL!$B$3:$B$954&amp;"",PERIPHERAL!$K$3:$K$954,""),"Utilities",_xlfn.XLOOKUP($K455&amp;"",UTILITIES!$B$3:$B$953&amp;"",UTILITIES!$J$3:$J$953,""),"IOT",_xlfn.XLOOKUP($K455&amp;"",IOT!$B$3:$B$1012&amp;"",IOT!$K$4:$K$1012,""),"Server",_xlfn.XLOOKUP($K455&amp;"",SERVER!$B$3:$B$1009&amp;"",SERVER!$K$3:$K$1009,""),""))))</f>
        <v/>
      </c>
      <c r="O455" s="1" t="str" cm="1">
        <f t="array" ref="O455">IF(OR($K455="",$I455="",$J455=""),"",_xlfn.LET(_xlpm.srcCat,_xlfn.SWITCH($I455,"Computer",_xlfn.XLOOKUP($K455&amp;"",COMPUTER!$B$3:$B$1009&amp;"",COMPUTER!$H$3:$H$1009,""),"Display",_xlfn.XLOOKUP($K455&amp;"",DISPLAY!$B$3:$B$1000&amp;"",DISPLAY!$H$3:$H$1000,""),"Network Device",_xlfn.XLOOKUP($K455&amp;"",'NETWORK-DEVICES'!$B$3:$B$987&amp;"",'NETWORK-DEVICES'!$H$3:$H$987,""),"Peripheral",_xlfn.XLOOKUP($K455&amp;"",PERIPHERAL!$B$3:$B$954&amp;"",PERIPHERAL!$H$3:$H$954,""),"Utilities",_xlfn.XLOOKUP($K455&amp;"",UTILITIES!$B$3:$B$953&amp;"",UTILITIES!$G$3:$G$953,""),"IOT",_xlfn.XLOOKUP($K455&amp;"",IOT!$B$3:$B$1012&amp;"",IOT!$H$3:$H$1012,""),"Server",_xlfn.XLOOKUP($K455&amp;"",SERVER!$B$3:$B$1009&amp;"",SERVER!$H$3:$H$1009,""),""),IF(TRIM(_xlpm.srcCat)&lt;&gt;TRIM($J455),"",_xlfn.SWITCH($I455,"Computer",_xlfn.XLOOKUP($K455&amp;"",COMPUTER!$B$3:$B$1009&amp;"",COMPUTER!$E$3:$E$1009,""),"Display",_xlfn.XLOOKUP($K455&amp;"",DISPLAY!$B$3:$B$1000&amp;"",DISPLAY!$E$3:$E$1000,""),"Network Device",_xlfn.XLOOKUP($K455&amp;"",'NETWORK-DEVICES'!$B$3:$B$987&amp;"",'NETWORK-DEVICES'!$E$3:$E$987,""),"Peripheral",_xlfn.XLOOKUP($K455&amp;"",PERIPHERAL!$B$3:$B$954&amp;"",PERIPHERAL!$E$3:$E$954,""),"Utilities",_xlfn.XLOOKUP($K455&amp;"",UTILITIES!$B$3:$B$953&amp;"",UTILITIES!$E$3:$E$953,""),"IOT",_xlfn.XLOOKUP($K455&amp;"",IOT!$B$3:$B$1012&amp;"",IOT!$E$3:$E$1012,""),"Server",_xlfn.XLOOKUP($K455&amp;"",SERVER!$B$3:$B$1009&amp;"",SERVER!$E$3:$E$1009,""),""))))</f>
        <v/>
      </c>
      <c r="Q455" s="1" t="str" cm="1">
        <f t="array" ref="Q455">IF(OR($K455="",$I455="",$J455=""),"",_xlfn.LET(_xlpm.srcCat,_xlfn.SWITCH($I455,"Computer",_xlfn.XLOOKUP($K455&amp;"",COMPUTER!$B$3:$B$1009&amp;"",COMPUTER!$H$3:$H$1009,""),"Display",_xlfn.XLOOKUP($K455&amp;"",DISPLAY!$B$3:$B$1000&amp;"",DISPLAY!$H$3:$H$1000,""),"Network Device",_xlfn.XLOOKUP($K455&amp;"",'NETWORK-DEVICES'!$B$3:$B$987&amp;"",'NETWORK-DEVICES'!$H$3:$H$987,""),"Peripheral",_xlfn.XLOOKUP($K455&amp;"",PERIPHERAL!$B$3:$B$954&amp;"",PERIPHERAL!$H$3:$H$954,""),"Utilities",_xlfn.XLOOKUP($K455&amp;"",UTILITIES!$B$3:$B$953&amp;"",UTILITIES!$G$3:$G$953,""),"IOT",_xlfn.XLOOKUP($K455&amp;"",IOT!$B$3:$B$1012&amp;"",IOT!$H$3:$H$1012,""),"Server",_xlfn.XLOOKUP($K455&amp;"",SERVER!$B$3:$B$1009&amp;"",SERVER!$H$3:$H$1009,""),""),IF(TRIM(_xlpm.srcCat)&lt;&gt;TRIM($J455),"",_xlfn.SWITCH($I455,"Computer",_xlfn.XLOOKUP($K455&amp;"",COMPUTER!$B$3:$B$1009&amp;"",COMPUTER!$AM$3:$AM$1009,""),"Display",_xlfn.XLOOKUP($K455&amp;"",DISPLAY!$B$3:$B$1000&amp;"",DISPLAY!$V$3:$V$1000,""),"Network Device",_xlfn.XLOOKUP($K455&amp;"",'NETWORK-DEVICES'!$B$3:$B$987&amp;"",'NETWORK-DEVICES'!$AF$3:$AF$987,""),"Peripheral",_xlfn.XLOOKUP($K455&amp;"",PERIPHERAL!$B$3:$B$954&amp;"",PERIPHERAL!$Y$3:$Y$954,""),"Utilities",_xlfn.XLOOKUP($K455&amp;"",UTILITIES!$B$3:$B$953&amp;"",UTILITIES!$O$3:$O$953,""),"IOT",_xlfn.XLOOKUP($K455&amp;"",IOT!$B$3:$B$1012&amp;"",IOT!$AB$3:$AB$1012,""),"Server",_xlfn.XLOOKUP($K455&amp;"",SERVER!$B$3:$B$1009&amp;"",SERVER!$AB$3:$AB$1009,""),""))))</f>
        <v/>
      </c>
      <c r="R455" s="43" t="str">
        <f>IF(tbl_handover[[#This Row],[Asset Code]]="","",COUNTIF(tbl_handover[Asset Code],tbl_handover[[#This Row],[Asset Code]]))</f>
        <v/>
      </c>
    </row>
    <row r="456" spans="1:18" x14ac:dyDescent="0.25">
      <c r="A456" s="43" t="str">
        <f>IF(B456&lt;&gt;"",SUBTOTAL(3,$B$1:B455),"")</f>
        <v/>
      </c>
      <c r="C456" s="74"/>
      <c r="D456" s="74"/>
      <c r="G456" s="1"/>
      <c r="K456" s="42"/>
      <c r="L456" t="str" cm="1">
        <f t="array" ref="L456">IF($K456="","",_xlfn.SWITCH($I456,"Computer",_xlfn.XLOOKUP($K456&amp;"",COMPUTER!$B$3:$B$1009&amp;"",COMPUTER!$I$3:$I$1009,""),"Display",_xlfn.XLOOKUP($K456&amp;"",DISPLAY!$B$3:$B$1000&amp;"",DISPLAY!$J$3:$J$1000,""),"Network Device",_xlfn.XLOOKUP($K456&amp;"",'NETWORK-DEVICES'!$B$3:$B$987&amp;"",'NETWORK-DEVICES'!$I$3:$I$987,""),"Peripheral",_xlfn.XLOOKUP($K456&amp;"",PERIPHERAL!$B$3:$B$954&amp;"",PERIPHERAL!$I$3:$I$954,""),"Utilities",_xlfn.XLOOKUP($K456&amp;"",UTILITIES!$B$3:$B$953&amp;"",UTILITIES!$H$3:$H$953,""),"IOT",_xlfn.XLOOKUP($K456&amp;"",IOT!$B$3:$B$1012&amp;"",IOT!$I$3:$I$1012,""),"SERVER",_xlfn.XLOOKUP($K456&amp;"",SERVER!$B$3:$B$1009&amp;"",SERVER!$I$3:$I$1009,""),""))</f>
        <v/>
      </c>
      <c r="M456" t="str" cm="1">
        <f t="array" ref="M456">IF($K456="","",_xlfn.SWITCH($I456,"Computer",_xlfn.XLOOKUP($K456&amp;"",COMPUTER!$B$3:$B$1009&amp;"",COMPUTER!$J$3:$J$1009,""),"Display",_xlfn.XLOOKUP($K456&amp;"",DISPLAY!$B$3:$B$1000&amp;"",DISPLAY!$K$3:$K$1000,""),"Network Device",_xlfn.XLOOKUP($K456&amp;"",'NETWORK-DEVICES'!$B$3:$B$987&amp;"",'NETWORK-DEVICES'!$I$3:$I$987,""),"Peripheral",_xlfn.XLOOKUP($K456&amp;"",PERIPHERAL!$B$3:$B$954&amp;"",PERIPHERAL!$J$3:$J$954,""),"Utilities",_xlfn.XLOOKUP($K456&amp;"",UTILITIES!$B$3:$B$953&amp;"",UTILITIES!$I$3:$I$953,""),"IOT",_xlfn.XLOOKUP($K456&amp;"",IOT!$B$3:$B$1012&amp;"",IOT!$J$3:$J$1012,""),"Server",_xlfn.XLOOKUP($K456&amp;"",SERVER!$B$3:$B$1009&amp;"",SERVER!$J$3:$J$1009,""),""))</f>
        <v/>
      </c>
      <c r="N456" s="1" t="str" cm="1">
        <f t="array" ref="N456">IF(OR($K456="",$I456="",$J456=""),"",_xlfn.LET(_xlpm.srcCat,_xlfn.SWITCH($I456,"Computer",_xlfn.XLOOKUP($K456&amp;"",COMPUTER!$B$3:$B$1009&amp;"",COMPUTER!$H$3:$H$1009,""),"Display",_xlfn.XLOOKUP($K456&amp;"",DISPLAY!$B$3:$B$1000&amp;"",DISPLAY!$H$3:$H$1000,""),"Network Device",_xlfn.XLOOKUP($K456&amp;"",'NETWORK-DEVICES'!$B$3:$B$987&amp;"",'NETWORK-DEVICES'!$H$3:$H$987,""),"Peripheral",_xlfn.XLOOKUP($K456&amp;"",PERIPHERAL!$B$3:$B$954&amp;"",PERIPHERAL!$H$3:$H$954,""),"Utilities",_xlfn.XLOOKUP($K456&amp;"",UTILITIES!$B$3:$B$953&amp;"",UTILITIES!$G$3:$G$953,""),"IOT",_xlfn.XLOOKUP($K456&amp;"",IOT!$B$3:$B$1012&amp;"",IOT!$H$3:$H$1012,""),"Server",_xlfn.XLOOKUP($K456&amp;"",SERVER!$B$3:$B$1009&amp;"",SERVER!$H$3:$H$1009,""),""),IF(TRIM(_xlpm.srcCat)&lt;&gt;TRIM($J456),"",_xlfn.SWITCH($I456,"Computer",_xlfn.XLOOKUP($K456&amp;"",COMPUTER!$B$3:$B$1009&amp;"",COMPUTER!$K$3:$K$1009,""),"Display",_xlfn.XLOOKUP($K456&amp;"",DISPLAY!$B$3:$B$1000&amp;"",DISPLAY!$L$3:$L$1000,""),"Network Device",_xlfn.XLOOKUP($K456&amp;"",'NETWORK-DEVICES'!$B$3:$B$987&amp;"",'NETWORK-DEVICES'!$K$3:$K$987,""),"Peripheral",_xlfn.XLOOKUP($K456&amp;"",PERIPHERAL!$B$3:$B$954&amp;"",PERIPHERAL!$K$3:$K$954,""),"Utilities",_xlfn.XLOOKUP($K456&amp;"",UTILITIES!$B$3:$B$953&amp;"",UTILITIES!$J$3:$J$953,""),"IOT",_xlfn.XLOOKUP($K456&amp;"",IOT!$B$3:$B$1012&amp;"",IOT!$K$4:$K$1012,""),"Server",_xlfn.XLOOKUP($K456&amp;"",SERVER!$B$3:$B$1009&amp;"",SERVER!$K$3:$K$1009,""),""))))</f>
        <v/>
      </c>
      <c r="O456" s="1" t="str" cm="1">
        <f t="array" ref="O456">IF(OR($K456="",$I456="",$J456=""),"",_xlfn.LET(_xlpm.srcCat,_xlfn.SWITCH($I456,"Computer",_xlfn.XLOOKUP($K456&amp;"",COMPUTER!$B$3:$B$1009&amp;"",COMPUTER!$H$3:$H$1009,""),"Display",_xlfn.XLOOKUP($K456&amp;"",DISPLAY!$B$3:$B$1000&amp;"",DISPLAY!$H$3:$H$1000,""),"Network Device",_xlfn.XLOOKUP($K456&amp;"",'NETWORK-DEVICES'!$B$3:$B$987&amp;"",'NETWORK-DEVICES'!$H$3:$H$987,""),"Peripheral",_xlfn.XLOOKUP($K456&amp;"",PERIPHERAL!$B$3:$B$954&amp;"",PERIPHERAL!$H$3:$H$954,""),"Utilities",_xlfn.XLOOKUP($K456&amp;"",UTILITIES!$B$3:$B$953&amp;"",UTILITIES!$G$3:$G$953,""),"IOT",_xlfn.XLOOKUP($K456&amp;"",IOT!$B$3:$B$1012&amp;"",IOT!$H$3:$H$1012,""),"Server",_xlfn.XLOOKUP($K456&amp;"",SERVER!$B$3:$B$1009&amp;"",SERVER!$H$3:$H$1009,""),""),IF(TRIM(_xlpm.srcCat)&lt;&gt;TRIM($J456),"",_xlfn.SWITCH($I456,"Computer",_xlfn.XLOOKUP($K456&amp;"",COMPUTER!$B$3:$B$1009&amp;"",COMPUTER!$E$3:$E$1009,""),"Display",_xlfn.XLOOKUP($K456&amp;"",DISPLAY!$B$3:$B$1000&amp;"",DISPLAY!$E$3:$E$1000,""),"Network Device",_xlfn.XLOOKUP($K456&amp;"",'NETWORK-DEVICES'!$B$3:$B$987&amp;"",'NETWORK-DEVICES'!$E$3:$E$987,""),"Peripheral",_xlfn.XLOOKUP($K456&amp;"",PERIPHERAL!$B$3:$B$954&amp;"",PERIPHERAL!$E$3:$E$954,""),"Utilities",_xlfn.XLOOKUP($K456&amp;"",UTILITIES!$B$3:$B$953&amp;"",UTILITIES!$E$3:$E$953,""),"IOT",_xlfn.XLOOKUP($K456&amp;"",IOT!$B$3:$B$1012&amp;"",IOT!$E$3:$E$1012,""),"Server",_xlfn.XLOOKUP($K456&amp;"",SERVER!$B$3:$B$1009&amp;"",SERVER!$E$3:$E$1009,""),""))))</f>
        <v/>
      </c>
      <c r="Q456" s="1" t="str" cm="1">
        <f t="array" ref="Q456">IF(OR($K456="",$I456="",$J456=""),"",_xlfn.LET(_xlpm.srcCat,_xlfn.SWITCH($I456,"Computer",_xlfn.XLOOKUP($K456&amp;"",COMPUTER!$B$3:$B$1009&amp;"",COMPUTER!$H$3:$H$1009,""),"Display",_xlfn.XLOOKUP($K456&amp;"",DISPLAY!$B$3:$B$1000&amp;"",DISPLAY!$H$3:$H$1000,""),"Network Device",_xlfn.XLOOKUP($K456&amp;"",'NETWORK-DEVICES'!$B$3:$B$987&amp;"",'NETWORK-DEVICES'!$H$3:$H$987,""),"Peripheral",_xlfn.XLOOKUP($K456&amp;"",PERIPHERAL!$B$3:$B$954&amp;"",PERIPHERAL!$H$3:$H$954,""),"Utilities",_xlfn.XLOOKUP($K456&amp;"",UTILITIES!$B$3:$B$953&amp;"",UTILITIES!$G$3:$G$953,""),"IOT",_xlfn.XLOOKUP($K456&amp;"",IOT!$B$3:$B$1012&amp;"",IOT!$H$3:$H$1012,""),"Server",_xlfn.XLOOKUP($K456&amp;"",SERVER!$B$3:$B$1009&amp;"",SERVER!$H$3:$H$1009,""),""),IF(TRIM(_xlpm.srcCat)&lt;&gt;TRIM($J456),"",_xlfn.SWITCH($I456,"Computer",_xlfn.XLOOKUP($K456&amp;"",COMPUTER!$B$3:$B$1009&amp;"",COMPUTER!$AM$3:$AM$1009,""),"Display",_xlfn.XLOOKUP($K456&amp;"",DISPLAY!$B$3:$B$1000&amp;"",DISPLAY!$V$3:$V$1000,""),"Network Device",_xlfn.XLOOKUP($K456&amp;"",'NETWORK-DEVICES'!$B$3:$B$987&amp;"",'NETWORK-DEVICES'!$AF$3:$AF$987,""),"Peripheral",_xlfn.XLOOKUP($K456&amp;"",PERIPHERAL!$B$3:$B$954&amp;"",PERIPHERAL!$Y$3:$Y$954,""),"Utilities",_xlfn.XLOOKUP($K456&amp;"",UTILITIES!$B$3:$B$953&amp;"",UTILITIES!$O$3:$O$953,""),"IOT",_xlfn.XLOOKUP($K456&amp;"",IOT!$B$3:$B$1012&amp;"",IOT!$AB$3:$AB$1012,""),"Server",_xlfn.XLOOKUP($K456&amp;"",SERVER!$B$3:$B$1009&amp;"",SERVER!$AB$3:$AB$1009,""),""))))</f>
        <v/>
      </c>
      <c r="R456" s="43" t="str">
        <f>IF(tbl_handover[[#This Row],[Asset Code]]="","",COUNTIF(tbl_handover[Asset Code],tbl_handover[[#This Row],[Asset Code]]))</f>
        <v/>
      </c>
    </row>
    <row r="457" spans="1:18" x14ac:dyDescent="0.25">
      <c r="A457" s="43" t="str">
        <f>IF(B457&lt;&gt;"",SUBTOTAL(3,$B$1:B456),"")</f>
        <v/>
      </c>
      <c r="C457" s="74"/>
      <c r="D457" s="74"/>
      <c r="G457" s="1"/>
      <c r="K457" s="42"/>
      <c r="L457" t="str" cm="1">
        <f t="array" ref="L457">IF($K457="","",_xlfn.SWITCH($I457,"Computer",_xlfn.XLOOKUP($K457&amp;"",COMPUTER!$B$3:$B$1009&amp;"",COMPUTER!$I$3:$I$1009,""),"Display",_xlfn.XLOOKUP($K457&amp;"",DISPLAY!$B$3:$B$1000&amp;"",DISPLAY!$J$3:$J$1000,""),"Network Device",_xlfn.XLOOKUP($K457&amp;"",'NETWORK-DEVICES'!$B$3:$B$987&amp;"",'NETWORK-DEVICES'!$I$3:$I$987,""),"Peripheral",_xlfn.XLOOKUP($K457&amp;"",PERIPHERAL!$B$3:$B$954&amp;"",PERIPHERAL!$I$3:$I$954,""),"Utilities",_xlfn.XLOOKUP($K457&amp;"",UTILITIES!$B$3:$B$953&amp;"",UTILITIES!$H$3:$H$953,""),"IOT",_xlfn.XLOOKUP($K457&amp;"",IOT!$B$3:$B$1012&amp;"",IOT!$I$3:$I$1012,""),"SERVER",_xlfn.XLOOKUP($K457&amp;"",SERVER!$B$3:$B$1009&amp;"",SERVER!$I$3:$I$1009,""),""))</f>
        <v/>
      </c>
      <c r="M457" t="str" cm="1">
        <f t="array" ref="M457">IF($K457="","",_xlfn.SWITCH($I457,"Computer",_xlfn.XLOOKUP($K457&amp;"",COMPUTER!$B$3:$B$1009&amp;"",COMPUTER!$J$3:$J$1009,""),"Display",_xlfn.XLOOKUP($K457&amp;"",DISPLAY!$B$3:$B$1000&amp;"",DISPLAY!$K$3:$K$1000,""),"Network Device",_xlfn.XLOOKUP($K457&amp;"",'NETWORK-DEVICES'!$B$3:$B$987&amp;"",'NETWORK-DEVICES'!$I$3:$I$987,""),"Peripheral",_xlfn.XLOOKUP($K457&amp;"",PERIPHERAL!$B$3:$B$954&amp;"",PERIPHERAL!$J$3:$J$954,""),"Utilities",_xlfn.XLOOKUP($K457&amp;"",UTILITIES!$B$3:$B$953&amp;"",UTILITIES!$I$3:$I$953,""),"IOT",_xlfn.XLOOKUP($K457&amp;"",IOT!$B$3:$B$1012&amp;"",IOT!$J$3:$J$1012,""),"Server",_xlfn.XLOOKUP($K457&amp;"",SERVER!$B$3:$B$1009&amp;"",SERVER!$J$3:$J$1009,""),""))</f>
        <v/>
      </c>
      <c r="N457" s="1" t="str" cm="1">
        <f t="array" ref="N457">IF(OR($K457="",$I457="",$J457=""),"",_xlfn.LET(_xlpm.srcCat,_xlfn.SWITCH($I457,"Computer",_xlfn.XLOOKUP($K457&amp;"",COMPUTER!$B$3:$B$1009&amp;"",COMPUTER!$H$3:$H$1009,""),"Display",_xlfn.XLOOKUP($K457&amp;"",DISPLAY!$B$3:$B$1000&amp;"",DISPLAY!$H$3:$H$1000,""),"Network Device",_xlfn.XLOOKUP($K457&amp;"",'NETWORK-DEVICES'!$B$3:$B$987&amp;"",'NETWORK-DEVICES'!$H$3:$H$987,""),"Peripheral",_xlfn.XLOOKUP($K457&amp;"",PERIPHERAL!$B$3:$B$954&amp;"",PERIPHERAL!$H$3:$H$954,""),"Utilities",_xlfn.XLOOKUP($K457&amp;"",UTILITIES!$B$3:$B$953&amp;"",UTILITIES!$G$3:$G$953,""),"IOT",_xlfn.XLOOKUP($K457&amp;"",IOT!$B$3:$B$1012&amp;"",IOT!$H$3:$H$1012,""),"Server",_xlfn.XLOOKUP($K457&amp;"",SERVER!$B$3:$B$1009&amp;"",SERVER!$H$3:$H$1009,""),""),IF(TRIM(_xlpm.srcCat)&lt;&gt;TRIM($J457),"",_xlfn.SWITCH($I457,"Computer",_xlfn.XLOOKUP($K457&amp;"",COMPUTER!$B$3:$B$1009&amp;"",COMPUTER!$K$3:$K$1009,""),"Display",_xlfn.XLOOKUP($K457&amp;"",DISPLAY!$B$3:$B$1000&amp;"",DISPLAY!$L$3:$L$1000,""),"Network Device",_xlfn.XLOOKUP($K457&amp;"",'NETWORK-DEVICES'!$B$3:$B$987&amp;"",'NETWORK-DEVICES'!$K$3:$K$987,""),"Peripheral",_xlfn.XLOOKUP($K457&amp;"",PERIPHERAL!$B$3:$B$954&amp;"",PERIPHERAL!$K$3:$K$954,""),"Utilities",_xlfn.XLOOKUP($K457&amp;"",UTILITIES!$B$3:$B$953&amp;"",UTILITIES!$J$3:$J$953,""),"IOT",_xlfn.XLOOKUP($K457&amp;"",IOT!$B$3:$B$1012&amp;"",IOT!$K$4:$K$1012,""),"Server",_xlfn.XLOOKUP($K457&amp;"",SERVER!$B$3:$B$1009&amp;"",SERVER!$K$3:$K$1009,""),""))))</f>
        <v/>
      </c>
      <c r="O457" s="1" t="str" cm="1">
        <f t="array" ref="O457">IF(OR($K457="",$I457="",$J457=""),"",_xlfn.LET(_xlpm.srcCat,_xlfn.SWITCH($I457,"Computer",_xlfn.XLOOKUP($K457&amp;"",COMPUTER!$B$3:$B$1009&amp;"",COMPUTER!$H$3:$H$1009,""),"Display",_xlfn.XLOOKUP($K457&amp;"",DISPLAY!$B$3:$B$1000&amp;"",DISPLAY!$H$3:$H$1000,""),"Network Device",_xlfn.XLOOKUP($K457&amp;"",'NETWORK-DEVICES'!$B$3:$B$987&amp;"",'NETWORK-DEVICES'!$H$3:$H$987,""),"Peripheral",_xlfn.XLOOKUP($K457&amp;"",PERIPHERAL!$B$3:$B$954&amp;"",PERIPHERAL!$H$3:$H$954,""),"Utilities",_xlfn.XLOOKUP($K457&amp;"",UTILITIES!$B$3:$B$953&amp;"",UTILITIES!$G$3:$G$953,""),"IOT",_xlfn.XLOOKUP($K457&amp;"",IOT!$B$3:$B$1012&amp;"",IOT!$H$3:$H$1012,""),"Server",_xlfn.XLOOKUP($K457&amp;"",SERVER!$B$3:$B$1009&amp;"",SERVER!$H$3:$H$1009,""),""),IF(TRIM(_xlpm.srcCat)&lt;&gt;TRIM($J457),"",_xlfn.SWITCH($I457,"Computer",_xlfn.XLOOKUP($K457&amp;"",COMPUTER!$B$3:$B$1009&amp;"",COMPUTER!$E$3:$E$1009,""),"Display",_xlfn.XLOOKUP($K457&amp;"",DISPLAY!$B$3:$B$1000&amp;"",DISPLAY!$E$3:$E$1000,""),"Network Device",_xlfn.XLOOKUP($K457&amp;"",'NETWORK-DEVICES'!$B$3:$B$987&amp;"",'NETWORK-DEVICES'!$E$3:$E$987,""),"Peripheral",_xlfn.XLOOKUP($K457&amp;"",PERIPHERAL!$B$3:$B$954&amp;"",PERIPHERAL!$E$3:$E$954,""),"Utilities",_xlfn.XLOOKUP($K457&amp;"",UTILITIES!$B$3:$B$953&amp;"",UTILITIES!$E$3:$E$953,""),"IOT",_xlfn.XLOOKUP($K457&amp;"",IOT!$B$3:$B$1012&amp;"",IOT!$E$3:$E$1012,""),"Server",_xlfn.XLOOKUP($K457&amp;"",SERVER!$B$3:$B$1009&amp;"",SERVER!$E$3:$E$1009,""),""))))</f>
        <v/>
      </c>
      <c r="Q457" s="1" t="str" cm="1">
        <f t="array" ref="Q457">IF(OR($K457="",$I457="",$J457=""),"",_xlfn.LET(_xlpm.srcCat,_xlfn.SWITCH($I457,"Computer",_xlfn.XLOOKUP($K457&amp;"",COMPUTER!$B$3:$B$1009&amp;"",COMPUTER!$H$3:$H$1009,""),"Display",_xlfn.XLOOKUP($K457&amp;"",DISPLAY!$B$3:$B$1000&amp;"",DISPLAY!$H$3:$H$1000,""),"Network Device",_xlfn.XLOOKUP($K457&amp;"",'NETWORK-DEVICES'!$B$3:$B$987&amp;"",'NETWORK-DEVICES'!$H$3:$H$987,""),"Peripheral",_xlfn.XLOOKUP($K457&amp;"",PERIPHERAL!$B$3:$B$954&amp;"",PERIPHERAL!$H$3:$H$954,""),"Utilities",_xlfn.XLOOKUP($K457&amp;"",UTILITIES!$B$3:$B$953&amp;"",UTILITIES!$G$3:$G$953,""),"IOT",_xlfn.XLOOKUP($K457&amp;"",IOT!$B$3:$B$1012&amp;"",IOT!$H$3:$H$1012,""),"Server",_xlfn.XLOOKUP($K457&amp;"",SERVER!$B$3:$B$1009&amp;"",SERVER!$H$3:$H$1009,""),""),IF(TRIM(_xlpm.srcCat)&lt;&gt;TRIM($J457),"",_xlfn.SWITCH($I457,"Computer",_xlfn.XLOOKUP($K457&amp;"",COMPUTER!$B$3:$B$1009&amp;"",COMPUTER!$AM$3:$AM$1009,""),"Display",_xlfn.XLOOKUP($K457&amp;"",DISPLAY!$B$3:$B$1000&amp;"",DISPLAY!$V$3:$V$1000,""),"Network Device",_xlfn.XLOOKUP($K457&amp;"",'NETWORK-DEVICES'!$B$3:$B$987&amp;"",'NETWORK-DEVICES'!$AF$3:$AF$987,""),"Peripheral",_xlfn.XLOOKUP($K457&amp;"",PERIPHERAL!$B$3:$B$954&amp;"",PERIPHERAL!$Y$3:$Y$954,""),"Utilities",_xlfn.XLOOKUP($K457&amp;"",UTILITIES!$B$3:$B$953&amp;"",UTILITIES!$O$3:$O$953,""),"IOT",_xlfn.XLOOKUP($K457&amp;"",IOT!$B$3:$B$1012&amp;"",IOT!$AB$3:$AB$1012,""),"Server",_xlfn.XLOOKUP($K457&amp;"",SERVER!$B$3:$B$1009&amp;"",SERVER!$AB$3:$AB$1009,""),""))))</f>
        <v/>
      </c>
      <c r="R457" s="43" t="str">
        <f>IF(tbl_handover[[#This Row],[Asset Code]]="","",COUNTIF(tbl_handover[Asset Code],tbl_handover[[#This Row],[Asset Code]]))</f>
        <v/>
      </c>
    </row>
    <row r="458" spans="1:18" x14ac:dyDescent="0.25">
      <c r="A458" s="43" t="str">
        <f>IF(B458&lt;&gt;"",SUBTOTAL(3,$B$1:B457),"")</f>
        <v/>
      </c>
      <c r="C458" s="74"/>
      <c r="D458" s="74"/>
      <c r="G458" s="1"/>
      <c r="K458" s="42"/>
      <c r="L458" t="str" cm="1">
        <f t="array" ref="L458">IF($K458="","",_xlfn.SWITCH($I458,"Computer",_xlfn.XLOOKUP($K458&amp;"",COMPUTER!$B$3:$B$1009&amp;"",COMPUTER!$I$3:$I$1009,""),"Display",_xlfn.XLOOKUP($K458&amp;"",DISPLAY!$B$3:$B$1000&amp;"",DISPLAY!$J$3:$J$1000,""),"Network Device",_xlfn.XLOOKUP($K458&amp;"",'NETWORK-DEVICES'!$B$3:$B$987&amp;"",'NETWORK-DEVICES'!$I$3:$I$987,""),"Peripheral",_xlfn.XLOOKUP($K458&amp;"",PERIPHERAL!$B$3:$B$954&amp;"",PERIPHERAL!$I$3:$I$954,""),"Utilities",_xlfn.XLOOKUP($K458&amp;"",UTILITIES!$B$3:$B$953&amp;"",UTILITIES!$H$3:$H$953,""),"IOT",_xlfn.XLOOKUP($K458&amp;"",IOT!$B$3:$B$1012&amp;"",IOT!$I$3:$I$1012,""),"SERVER",_xlfn.XLOOKUP($K458&amp;"",SERVER!$B$3:$B$1009&amp;"",SERVER!$I$3:$I$1009,""),""))</f>
        <v/>
      </c>
      <c r="M458" t="str" cm="1">
        <f t="array" ref="M458">IF($K458="","",_xlfn.SWITCH($I458,"Computer",_xlfn.XLOOKUP($K458&amp;"",COMPUTER!$B$3:$B$1009&amp;"",COMPUTER!$J$3:$J$1009,""),"Display",_xlfn.XLOOKUP($K458&amp;"",DISPLAY!$B$3:$B$1000&amp;"",DISPLAY!$K$3:$K$1000,""),"Network Device",_xlfn.XLOOKUP($K458&amp;"",'NETWORK-DEVICES'!$B$3:$B$987&amp;"",'NETWORK-DEVICES'!$I$3:$I$987,""),"Peripheral",_xlfn.XLOOKUP($K458&amp;"",PERIPHERAL!$B$3:$B$954&amp;"",PERIPHERAL!$J$3:$J$954,""),"Utilities",_xlfn.XLOOKUP($K458&amp;"",UTILITIES!$B$3:$B$953&amp;"",UTILITIES!$I$3:$I$953,""),"IOT",_xlfn.XLOOKUP($K458&amp;"",IOT!$B$3:$B$1012&amp;"",IOT!$J$3:$J$1012,""),"Server",_xlfn.XLOOKUP($K458&amp;"",SERVER!$B$3:$B$1009&amp;"",SERVER!$J$3:$J$1009,""),""))</f>
        <v/>
      </c>
      <c r="N458" s="1" t="str" cm="1">
        <f t="array" ref="N458">IF(OR($K458="",$I458="",$J458=""),"",_xlfn.LET(_xlpm.srcCat,_xlfn.SWITCH($I458,"Computer",_xlfn.XLOOKUP($K458&amp;"",COMPUTER!$B$3:$B$1009&amp;"",COMPUTER!$H$3:$H$1009,""),"Display",_xlfn.XLOOKUP($K458&amp;"",DISPLAY!$B$3:$B$1000&amp;"",DISPLAY!$H$3:$H$1000,""),"Network Device",_xlfn.XLOOKUP($K458&amp;"",'NETWORK-DEVICES'!$B$3:$B$987&amp;"",'NETWORK-DEVICES'!$H$3:$H$987,""),"Peripheral",_xlfn.XLOOKUP($K458&amp;"",PERIPHERAL!$B$3:$B$954&amp;"",PERIPHERAL!$H$3:$H$954,""),"Utilities",_xlfn.XLOOKUP($K458&amp;"",UTILITIES!$B$3:$B$953&amp;"",UTILITIES!$G$3:$G$953,""),"IOT",_xlfn.XLOOKUP($K458&amp;"",IOT!$B$3:$B$1012&amp;"",IOT!$H$3:$H$1012,""),"Server",_xlfn.XLOOKUP($K458&amp;"",SERVER!$B$3:$B$1009&amp;"",SERVER!$H$3:$H$1009,""),""),IF(TRIM(_xlpm.srcCat)&lt;&gt;TRIM($J458),"",_xlfn.SWITCH($I458,"Computer",_xlfn.XLOOKUP($K458&amp;"",COMPUTER!$B$3:$B$1009&amp;"",COMPUTER!$K$3:$K$1009,""),"Display",_xlfn.XLOOKUP($K458&amp;"",DISPLAY!$B$3:$B$1000&amp;"",DISPLAY!$L$3:$L$1000,""),"Network Device",_xlfn.XLOOKUP($K458&amp;"",'NETWORK-DEVICES'!$B$3:$B$987&amp;"",'NETWORK-DEVICES'!$K$3:$K$987,""),"Peripheral",_xlfn.XLOOKUP($K458&amp;"",PERIPHERAL!$B$3:$B$954&amp;"",PERIPHERAL!$K$3:$K$954,""),"Utilities",_xlfn.XLOOKUP($K458&amp;"",UTILITIES!$B$3:$B$953&amp;"",UTILITIES!$J$3:$J$953,""),"IOT",_xlfn.XLOOKUP($K458&amp;"",IOT!$B$3:$B$1012&amp;"",IOT!$K$4:$K$1012,""),"Server",_xlfn.XLOOKUP($K458&amp;"",SERVER!$B$3:$B$1009&amp;"",SERVER!$K$3:$K$1009,""),""))))</f>
        <v/>
      </c>
      <c r="O458" s="1" t="str" cm="1">
        <f t="array" ref="O458">IF(OR($K458="",$I458="",$J458=""),"",_xlfn.LET(_xlpm.srcCat,_xlfn.SWITCH($I458,"Computer",_xlfn.XLOOKUP($K458&amp;"",COMPUTER!$B$3:$B$1009&amp;"",COMPUTER!$H$3:$H$1009,""),"Display",_xlfn.XLOOKUP($K458&amp;"",DISPLAY!$B$3:$B$1000&amp;"",DISPLAY!$H$3:$H$1000,""),"Network Device",_xlfn.XLOOKUP($K458&amp;"",'NETWORK-DEVICES'!$B$3:$B$987&amp;"",'NETWORK-DEVICES'!$H$3:$H$987,""),"Peripheral",_xlfn.XLOOKUP($K458&amp;"",PERIPHERAL!$B$3:$B$954&amp;"",PERIPHERAL!$H$3:$H$954,""),"Utilities",_xlfn.XLOOKUP($K458&amp;"",UTILITIES!$B$3:$B$953&amp;"",UTILITIES!$G$3:$G$953,""),"IOT",_xlfn.XLOOKUP($K458&amp;"",IOT!$B$3:$B$1012&amp;"",IOT!$H$3:$H$1012,""),"Server",_xlfn.XLOOKUP($K458&amp;"",SERVER!$B$3:$B$1009&amp;"",SERVER!$H$3:$H$1009,""),""),IF(TRIM(_xlpm.srcCat)&lt;&gt;TRIM($J458),"",_xlfn.SWITCH($I458,"Computer",_xlfn.XLOOKUP($K458&amp;"",COMPUTER!$B$3:$B$1009&amp;"",COMPUTER!$E$3:$E$1009,""),"Display",_xlfn.XLOOKUP($K458&amp;"",DISPLAY!$B$3:$B$1000&amp;"",DISPLAY!$E$3:$E$1000,""),"Network Device",_xlfn.XLOOKUP($K458&amp;"",'NETWORK-DEVICES'!$B$3:$B$987&amp;"",'NETWORK-DEVICES'!$E$3:$E$987,""),"Peripheral",_xlfn.XLOOKUP($K458&amp;"",PERIPHERAL!$B$3:$B$954&amp;"",PERIPHERAL!$E$3:$E$954,""),"Utilities",_xlfn.XLOOKUP($K458&amp;"",UTILITIES!$B$3:$B$953&amp;"",UTILITIES!$E$3:$E$953,""),"IOT",_xlfn.XLOOKUP($K458&amp;"",IOT!$B$3:$B$1012&amp;"",IOT!$E$3:$E$1012,""),"Server",_xlfn.XLOOKUP($K458&amp;"",SERVER!$B$3:$B$1009&amp;"",SERVER!$E$3:$E$1009,""),""))))</f>
        <v/>
      </c>
      <c r="Q458" s="1" t="str" cm="1">
        <f t="array" ref="Q458">IF(OR($K458="",$I458="",$J458=""),"",_xlfn.LET(_xlpm.srcCat,_xlfn.SWITCH($I458,"Computer",_xlfn.XLOOKUP($K458&amp;"",COMPUTER!$B$3:$B$1009&amp;"",COMPUTER!$H$3:$H$1009,""),"Display",_xlfn.XLOOKUP($K458&amp;"",DISPLAY!$B$3:$B$1000&amp;"",DISPLAY!$H$3:$H$1000,""),"Network Device",_xlfn.XLOOKUP($K458&amp;"",'NETWORK-DEVICES'!$B$3:$B$987&amp;"",'NETWORK-DEVICES'!$H$3:$H$987,""),"Peripheral",_xlfn.XLOOKUP($K458&amp;"",PERIPHERAL!$B$3:$B$954&amp;"",PERIPHERAL!$H$3:$H$954,""),"Utilities",_xlfn.XLOOKUP($K458&amp;"",UTILITIES!$B$3:$B$953&amp;"",UTILITIES!$G$3:$G$953,""),"IOT",_xlfn.XLOOKUP($K458&amp;"",IOT!$B$3:$B$1012&amp;"",IOT!$H$3:$H$1012,""),"Server",_xlfn.XLOOKUP($K458&amp;"",SERVER!$B$3:$B$1009&amp;"",SERVER!$H$3:$H$1009,""),""),IF(TRIM(_xlpm.srcCat)&lt;&gt;TRIM($J458),"",_xlfn.SWITCH($I458,"Computer",_xlfn.XLOOKUP($K458&amp;"",COMPUTER!$B$3:$B$1009&amp;"",COMPUTER!$AM$3:$AM$1009,""),"Display",_xlfn.XLOOKUP($K458&amp;"",DISPLAY!$B$3:$B$1000&amp;"",DISPLAY!$V$3:$V$1000,""),"Network Device",_xlfn.XLOOKUP($K458&amp;"",'NETWORK-DEVICES'!$B$3:$B$987&amp;"",'NETWORK-DEVICES'!$AF$3:$AF$987,""),"Peripheral",_xlfn.XLOOKUP($K458&amp;"",PERIPHERAL!$B$3:$B$954&amp;"",PERIPHERAL!$Y$3:$Y$954,""),"Utilities",_xlfn.XLOOKUP($K458&amp;"",UTILITIES!$B$3:$B$953&amp;"",UTILITIES!$O$3:$O$953,""),"IOT",_xlfn.XLOOKUP($K458&amp;"",IOT!$B$3:$B$1012&amp;"",IOT!$AB$3:$AB$1012,""),"Server",_xlfn.XLOOKUP($K458&amp;"",SERVER!$B$3:$B$1009&amp;"",SERVER!$AB$3:$AB$1009,""),""))))</f>
        <v/>
      </c>
      <c r="R458" s="43" t="str">
        <f>IF(tbl_handover[[#This Row],[Asset Code]]="","",COUNTIF(tbl_handover[Asset Code],tbl_handover[[#This Row],[Asset Code]]))</f>
        <v/>
      </c>
    </row>
    <row r="459" spans="1:18" x14ac:dyDescent="0.25">
      <c r="A459" s="43" t="str">
        <f>IF(B459&lt;&gt;"",SUBTOTAL(3,$B$1:B458),"")</f>
        <v/>
      </c>
      <c r="C459" s="74"/>
      <c r="D459" s="74"/>
      <c r="G459" s="1"/>
      <c r="K459" s="42"/>
      <c r="L459" t="str" cm="1">
        <f t="array" ref="L459">IF($K459="","",_xlfn.SWITCH($I459,"Computer",_xlfn.XLOOKUP($K459&amp;"",COMPUTER!$B$3:$B$1009&amp;"",COMPUTER!$I$3:$I$1009,""),"Display",_xlfn.XLOOKUP($K459&amp;"",DISPLAY!$B$3:$B$1000&amp;"",DISPLAY!$J$3:$J$1000,""),"Network Device",_xlfn.XLOOKUP($K459&amp;"",'NETWORK-DEVICES'!$B$3:$B$987&amp;"",'NETWORK-DEVICES'!$I$3:$I$987,""),"Peripheral",_xlfn.XLOOKUP($K459&amp;"",PERIPHERAL!$B$3:$B$954&amp;"",PERIPHERAL!$I$3:$I$954,""),"Utilities",_xlfn.XLOOKUP($K459&amp;"",UTILITIES!$B$3:$B$953&amp;"",UTILITIES!$H$3:$H$953,""),"IOT",_xlfn.XLOOKUP($K459&amp;"",IOT!$B$3:$B$1012&amp;"",IOT!$I$3:$I$1012,""),"SERVER",_xlfn.XLOOKUP($K459&amp;"",SERVER!$B$3:$B$1009&amp;"",SERVER!$I$3:$I$1009,""),""))</f>
        <v/>
      </c>
      <c r="M459" t="str" cm="1">
        <f t="array" ref="M459">IF($K459="","",_xlfn.SWITCH($I459,"Computer",_xlfn.XLOOKUP($K459&amp;"",COMPUTER!$B$3:$B$1009&amp;"",COMPUTER!$J$3:$J$1009,""),"Display",_xlfn.XLOOKUP($K459&amp;"",DISPLAY!$B$3:$B$1000&amp;"",DISPLAY!$K$3:$K$1000,""),"Network Device",_xlfn.XLOOKUP($K459&amp;"",'NETWORK-DEVICES'!$B$3:$B$987&amp;"",'NETWORK-DEVICES'!$I$3:$I$987,""),"Peripheral",_xlfn.XLOOKUP($K459&amp;"",PERIPHERAL!$B$3:$B$954&amp;"",PERIPHERAL!$J$3:$J$954,""),"Utilities",_xlfn.XLOOKUP($K459&amp;"",UTILITIES!$B$3:$B$953&amp;"",UTILITIES!$I$3:$I$953,""),"IOT",_xlfn.XLOOKUP($K459&amp;"",IOT!$B$3:$B$1012&amp;"",IOT!$J$3:$J$1012,""),"Server",_xlfn.XLOOKUP($K459&amp;"",SERVER!$B$3:$B$1009&amp;"",SERVER!$J$3:$J$1009,""),""))</f>
        <v/>
      </c>
      <c r="N459" s="1" t="str" cm="1">
        <f t="array" ref="N459">IF(OR($K459="",$I459="",$J459=""),"",_xlfn.LET(_xlpm.srcCat,_xlfn.SWITCH($I459,"Computer",_xlfn.XLOOKUP($K459&amp;"",COMPUTER!$B$3:$B$1009&amp;"",COMPUTER!$H$3:$H$1009,""),"Display",_xlfn.XLOOKUP($K459&amp;"",DISPLAY!$B$3:$B$1000&amp;"",DISPLAY!$H$3:$H$1000,""),"Network Device",_xlfn.XLOOKUP($K459&amp;"",'NETWORK-DEVICES'!$B$3:$B$987&amp;"",'NETWORK-DEVICES'!$H$3:$H$987,""),"Peripheral",_xlfn.XLOOKUP($K459&amp;"",PERIPHERAL!$B$3:$B$954&amp;"",PERIPHERAL!$H$3:$H$954,""),"Utilities",_xlfn.XLOOKUP($K459&amp;"",UTILITIES!$B$3:$B$953&amp;"",UTILITIES!$G$3:$G$953,""),"IOT",_xlfn.XLOOKUP($K459&amp;"",IOT!$B$3:$B$1012&amp;"",IOT!$H$3:$H$1012,""),"Server",_xlfn.XLOOKUP($K459&amp;"",SERVER!$B$3:$B$1009&amp;"",SERVER!$H$3:$H$1009,""),""),IF(TRIM(_xlpm.srcCat)&lt;&gt;TRIM($J459),"",_xlfn.SWITCH($I459,"Computer",_xlfn.XLOOKUP($K459&amp;"",COMPUTER!$B$3:$B$1009&amp;"",COMPUTER!$K$3:$K$1009,""),"Display",_xlfn.XLOOKUP($K459&amp;"",DISPLAY!$B$3:$B$1000&amp;"",DISPLAY!$L$3:$L$1000,""),"Network Device",_xlfn.XLOOKUP($K459&amp;"",'NETWORK-DEVICES'!$B$3:$B$987&amp;"",'NETWORK-DEVICES'!$K$3:$K$987,""),"Peripheral",_xlfn.XLOOKUP($K459&amp;"",PERIPHERAL!$B$3:$B$954&amp;"",PERIPHERAL!$K$3:$K$954,""),"Utilities",_xlfn.XLOOKUP($K459&amp;"",UTILITIES!$B$3:$B$953&amp;"",UTILITIES!$J$3:$J$953,""),"IOT",_xlfn.XLOOKUP($K459&amp;"",IOT!$B$3:$B$1012&amp;"",IOT!$K$4:$K$1012,""),"Server",_xlfn.XLOOKUP($K459&amp;"",SERVER!$B$3:$B$1009&amp;"",SERVER!$K$3:$K$1009,""),""))))</f>
        <v/>
      </c>
      <c r="O459" s="1" t="str" cm="1">
        <f t="array" ref="O459">IF(OR($K459="",$I459="",$J459=""),"",_xlfn.LET(_xlpm.srcCat,_xlfn.SWITCH($I459,"Computer",_xlfn.XLOOKUP($K459&amp;"",COMPUTER!$B$3:$B$1009&amp;"",COMPUTER!$H$3:$H$1009,""),"Display",_xlfn.XLOOKUP($K459&amp;"",DISPLAY!$B$3:$B$1000&amp;"",DISPLAY!$H$3:$H$1000,""),"Network Device",_xlfn.XLOOKUP($K459&amp;"",'NETWORK-DEVICES'!$B$3:$B$987&amp;"",'NETWORK-DEVICES'!$H$3:$H$987,""),"Peripheral",_xlfn.XLOOKUP($K459&amp;"",PERIPHERAL!$B$3:$B$954&amp;"",PERIPHERAL!$H$3:$H$954,""),"Utilities",_xlfn.XLOOKUP($K459&amp;"",UTILITIES!$B$3:$B$953&amp;"",UTILITIES!$G$3:$G$953,""),"IOT",_xlfn.XLOOKUP($K459&amp;"",IOT!$B$3:$B$1012&amp;"",IOT!$H$3:$H$1012,""),"Server",_xlfn.XLOOKUP($K459&amp;"",SERVER!$B$3:$B$1009&amp;"",SERVER!$H$3:$H$1009,""),""),IF(TRIM(_xlpm.srcCat)&lt;&gt;TRIM($J459),"",_xlfn.SWITCH($I459,"Computer",_xlfn.XLOOKUP($K459&amp;"",COMPUTER!$B$3:$B$1009&amp;"",COMPUTER!$E$3:$E$1009,""),"Display",_xlfn.XLOOKUP($K459&amp;"",DISPLAY!$B$3:$B$1000&amp;"",DISPLAY!$E$3:$E$1000,""),"Network Device",_xlfn.XLOOKUP($K459&amp;"",'NETWORK-DEVICES'!$B$3:$B$987&amp;"",'NETWORK-DEVICES'!$E$3:$E$987,""),"Peripheral",_xlfn.XLOOKUP($K459&amp;"",PERIPHERAL!$B$3:$B$954&amp;"",PERIPHERAL!$E$3:$E$954,""),"Utilities",_xlfn.XLOOKUP($K459&amp;"",UTILITIES!$B$3:$B$953&amp;"",UTILITIES!$E$3:$E$953,""),"IOT",_xlfn.XLOOKUP($K459&amp;"",IOT!$B$3:$B$1012&amp;"",IOT!$E$3:$E$1012,""),"Server",_xlfn.XLOOKUP($K459&amp;"",SERVER!$B$3:$B$1009&amp;"",SERVER!$E$3:$E$1009,""),""))))</f>
        <v/>
      </c>
      <c r="Q459" s="1" t="str" cm="1">
        <f t="array" ref="Q459">IF(OR($K459="",$I459="",$J459=""),"",_xlfn.LET(_xlpm.srcCat,_xlfn.SWITCH($I459,"Computer",_xlfn.XLOOKUP($K459&amp;"",COMPUTER!$B$3:$B$1009&amp;"",COMPUTER!$H$3:$H$1009,""),"Display",_xlfn.XLOOKUP($K459&amp;"",DISPLAY!$B$3:$B$1000&amp;"",DISPLAY!$H$3:$H$1000,""),"Network Device",_xlfn.XLOOKUP($K459&amp;"",'NETWORK-DEVICES'!$B$3:$B$987&amp;"",'NETWORK-DEVICES'!$H$3:$H$987,""),"Peripheral",_xlfn.XLOOKUP($K459&amp;"",PERIPHERAL!$B$3:$B$954&amp;"",PERIPHERAL!$H$3:$H$954,""),"Utilities",_xlfn.XLOOKUP($K459&amp;"",UTILITIES!$B$3:$B$953&amp;"",UTILITIES!$G$3:$G$953,""),"IOT",_xlfn.XLOOKUP($K459&amp;"",IOT!$B$3:$B$1012&amp;"",IOT!$H$3:$H$1012,""),"Server",_xlfn.XLOOKUP($K459&amp;"",SERVER!$B$3:$B$1009&amp;"",SERVER!$H$3:$H$1009,""),""),IF(TRIM(_xlpm.srcCat)&lt;&gt;TRIM($J459),"",_xlfn.SWITCH($I459,"Computer",_xlfn.XLOOKUP($K459&amp;"",COMPUTER!$B$3:$B$1009&amp;"",COMPUTER!$AM$3:$AM$1009,""),"Display",_xlfn.XLOOKUP($K459&amp;"",DISPLAY!$B$3:$B$1000&amp;"",DISPLAY!$V$3:$V$1000,""),"Network Device",_xlfn.XLOOKUP($K459&amp;"",'NETWORK-DEVICES'!$B$3:$B$987&amp;"",'NETWORK-DEVICES'!$AF$3:$AF$987,""),"Peripheral",_xlfn.XLOOKUP($K459&amp;"",PERIPHERAL!$B$3:$B$954&amp;"",PERIPHERAL!$Y$3:$Y$954,""),"Utilities",_xlfn.XLOOKUP($K459&amp;"",UTILITIES!$B$3:$B$953&amp;"",UTILITIES!$O$3:$O$953,""),"IOT",_xlfn.XLOOKUP($K459&amp;"",IOT!$B$3:$B$1012&amp;"",IOT!$AB$3:$AB$1012,""),"Server",_xlfn.XLOOKUP($K459&amp;"",SERVER!$B$3:$B$1009&amp;"",SERVER!$AB$3:$AB$1009,""),""))))</f>
        <v/>
      </c>
      <c r="R459" s="43" t="str">
        <f>IF(tbl_handover[[#This Row],[Asset Code]]="","",COUNTIF(tbl_handover[Asset Code],tbl_handover[[#This Row],[Asset Code]]))</f>
        <v/>
      </c>
    </row>
    <row r="460" spans="1:18" x14ac:dyDescent="0.25">
      <c r="A460" s="43" t="str">
        <f>IF(B460&lt;&gt;"",SUBTOTAL(3,$B$1:B459),"")</f>
        <v/>
      </c>
      <c r="C460" s="74"/>
      <c r="D460" s="74"/>
      <c r="G460" s="1"/>
      <c r="K460" s="42"/>
      <c r="L460" t="str" cm="1">
        <f t="array" ref="L460">IF($K460="","",_xlfn.SWITCH($I460,"Computer",_xlfn.XLOOKUP($K460&amp;"",COMPUTER!$B$3:$B$1009&amp;"",COMPUTER!$I$3:$I$1009,""),"Display",_xlfn.XLOOKUP($K460&amp;"",DISPLAY!$B$3:$B$1000&amp;"",DISPLAY!$J$3:$J$1000,""),"Network Device",_xlfn.XLOOKUP($K460&amp;"",'NETWORK-DEVICES'!$B$3:$B$987&amp;"",'NETWORK-DEVICES'!$I$3:$I$987,""),"Peripheral",_xlfn.XLOOKUP($K460&amp;"",PERIPHERAL!$B$3:$B$954&amp;"",PERIPHERAL!$I$3:$I$954,""),"Utilities",_xlfn.XLOOKUP($K460&amp;"",UTILITIES!$B$3:$B$953&amp;"",UTILITIES!$H$3:$H$953,""),"IOT",_xlfn.XLOOKUP($K460&amp;"",IOT!$B$3:$B$1012&amp;"",IOT!$I$3:$I$1012,""),"SERVER",_xlfn.XLOOKUP($K460&amp;"",SERVER!$B$3:$B$1009&amp;"",SERVER!$I$3:$I$1009,""),""))</f>
        <v/>
      </c>
      <c r="M460" t="str" cm="1">
        <f t="array" ref="M460">IF($K460="","",_xlfn.SWITCH($I460,"Computer",_xlfn.XLOOKUP($K460&amp;"",COMPUTER!$B$3:$B$1009&amp;"",COMPUTER!$J$3:$J$1009,""),"Display",_xlfn.XLOOKUP($K460&amp;"",DISPLAY!$B$3:$B$1000&amp;"",DISPLAY!$K$3:$K$1000,""),"Network Device",_xlfn.XLOOKUP($K460&amp;"",'NETWORK-DEVICES'!$B$3:$B$987&amp;"",'NETWORK-DEVICES'!$I$3:$I$987,""),"Peripheral",_xlfn.XLOOKUP($K460&amp;"",PERIPHERAL!$B$3:$B$954&amp;"",PERIPHERAL!$J$3:$J$954,""),"Utilities",_xlfn.XLOOKUP($K460&amp;"",UTILITIES!$B$3:$B$953&amp;"",UTILITIES!$I$3:$I$953,""),"IOT",_xlfn.XLOOKUP($K460&amp;"",IOT!$B$3:$B$1012&amp;"",IOT!$J$3:$J$1012,""),"Server",_xlfn.XLOOKUP($K460&amp;"",SERVER!$B$3:$B$1009&amp;"",SERVER!$J$3:$J$1009,""),""))</f>
        <v/>
      </c>
      <c r="N460" s="1" t="str" cm="1">
        <f t="array" ref="N460">IF(OR($K460="",$I460="",$J460=""),"",_xlfn.LET(_xlpm.srcCat,_xlfn.SWITCH($I460,"Computer",_xlfn.XLOOKUP($K460&amp;"",COMPUTER!$B$3:$B$1009&amp;"",COMPUTER!$H$3:$H$1009,""),"Display",_xlfn.XLOOKUP($K460&amp;"",DISPLAY!$B$3:$B$1000&amp;"",DISPLAY!$H$3:$H$1000,""),"Network Device",_xlfn.XLOOKUP($K460&amp;"",'NETWORK-DEVICES'!$B$3:$B$987&amp;"",'NETWORK-DEVICES'!$H$3:$H$987,""),"Peripheral",_xlfn.XLOOKUP($K460&amp;"",PERIPHERAL!$B$3:$B$954&amp;"",PERIPHERAL!$H$3:$H$954,""),"Utilities",_xlfn.XLOOKUP($K460&amp;"",UTILITIES!$B$3:$B$953&amp;"",UTILITIES!$G$3:$G$953,""),"IOT",_xlfn.XLOOKUP($K460&amp;"",IOT!$B$3:$B$1012&amp;"",IOT!$H$3:$H$1012,""),"Server",_xlfn.XLOOKUP($K460&amp;"",SERVER!$B$3:$B$1009&amp;"",SERVER!$H$3:$H$1009,""),""),IF(TRIM(_xlpm.srcCat)&lt;&gt;TRIM($J460),"",_xlfn.SWITCH($I460,"Computer",_xlfn.XLOOKUP($K460&amp;"",COMPUTER!$B$3:$B$1009&amp;"",COMPUTER!$K$3:$K$1009,""),"Display",_xlfn.XLOOKUP($K460&amp;"",DISPLAY!$B$3:$B$1000&amp;"",DISPLAY!$L$3:$L$1000,""),"Network Device",_xlfn.XLOOKUP($K460&amp;"",'NETWORK-DEVICES'!$B$3:$B$987&amp;"",'NETWORK-DEVICES'!$K$3:$K$987,""),"Peripheral",_xlfn.XLOOKUP($K460&amp;"",PERIPHERAL!$B$3:$B$954&amp;"",PERIPHERAL!$K$3:$K$954,""),"Utilities",_xlfn.XLOOKUP($K460&amp;"",UTILITIES!$B$3:$B$953&amp;"",UTILITIES!$J$3:$J$953,""),"IOT",_xlfn.XLOOKUP($K460&amp;"",IOT!$B$3:$B$1012&amp;"",IOT!$K$4:$K$1012,""),"Server",_xlfn.XLOOKUP($K460&amp;"",SERVER!$B$3:$B$1009&amp;"",SERVER!$K$3:$K$1009,""),""))))</f>
        <v/>
      </c>
      <c r="O460" s="1" t="str" cm="1">
        <f t="array" ref="O460">IF(OR($K460="",$I460="",$J460=""),"",_xlfn.LET(_xlpm.srcCat,_xlfn.SWITCH($I460,"Computer",_xlfn.XLOOKUP($K460&amp;"",COMPUTER!$B$3:$B$1009&amp;"",COMPUTER!$H$3:$H$1009,""),"Display",_xlfn.XLOOKUP($K460&amp;"",DISPLAY!$B$3:$B$1000&amp;"",DISPLAY!$H$3:$H$1000,""),"Network Device",_xlfn.XLOOKUP($K460&amp;"",'NETWORK-DEVICES'!$B$3:$B$987&amp;"",'NETWORK-DEVICES'!$H$3:$H$987,""),"Peripheral",_xlfn.XLOOKUP($K460&amp;"",PERIPHERAL!$B$3:$B$954&amp;"",PERIPHERAL!$H$3:$H$954,""),"Utilities",_xlfn.XLOOKUP($K460&amp;"",UTILITIES!$B$3:$B$953&amp;"",UTILITIES!$G$3:$G$953,""),"IOT",_xlfn.XLOOKUP($K460&amp;"",IOT!$B$3:$B$1012&amp;"",IOT!$H$3:$H$1012,""),"Server",_xlfn.XLOOKUP($K460&amp;"",SERVER!$B$3:$B$1009&amp;"",SERVER!$H$3:$H$1009,""),""),IF(TRIM(_xlpm.srcCat)&lt;&gt;TRIM($J460),"",_xlfn.SWITCH($I460,"Computer",_xlfn.XLOOKUP($K460&amp;"",COMPUTER!$B$3:$B$1009&amp;"",COMPUTER!$E$3:$E$1009,""),"Display",_xlfn.XLOOKUP($K460&amp;"",DISPLAY!$B$3:$B$1000&amp;"",DISPLAY!$E$3:$E$1000,""),"Network Device",_xlfn.XLOOKUP($K460&amp;"",'NETWORK-DEVICES'!$B$3:$B$987&amp;"",'NETWORK-DEVICES'!$E$3:$E$987,""),"Peripheral",_xlfn.XLOOKUP($K460&amp;"",PERIPHERAL!$B$3:$B$954&amp;"",PERIPHERAL!$E$3:$E$954,""),"Utilities",_xlfn.XLOOKUP($K460&amp;"",UTILITIES!$B$3:$B$953&amp;"",UTILITIES!$E$3:$E$953,""),"IOT",_xlfn.XLOOKUP($K460&amp;"",IOT!$B$3:$B$1012&amp;"",IOT!$E$3:$E$1012,""),"Server",_xlfn.XLOOKUP($K460&amp;"",SERVER!$B$3:$B$1009&amp;"",SERVER!$E$3:$E$1009,""),""))))</f>
        <v/>
      </c>
      <c r="Q460" s="1" t="str" cm="1">
        <f t="array" ref="Q460">IF(OR($K460="",$I460="",$J460=""),"",_xlfn.LET(_xlpm.srcCat,_xlfn.SWITCH($I460,"Computer",_xlfn.XLOOKUP($K460&amp;"",COMPUTER!$B$3:$B$1009&amp;"",COMPUTER!$H$3:$H$1009,""),"Display",_xlfn.XLOOKUP($K460&amp;"",DISPLAY!$B$3:$B$1000&amp;"",DISPLAY!$H$3:$H$1000,""),"Network Device",_xlfn.XLOOKUP($K460&amp;"",'NETWORK-DEVICES'!$B$3:$B$987&amp;"",'NETWORK-DEVICES'!$H$3:$H$987,""),"Peripheral",_xlfn.XLOOKUP($K460&amp;"",PERIPHERAL!$B$3:$B$954&amp;"",PERIPHERAL!$H$3:$H$954,""),"Utilities",_xlfn.XLOOKUP($K460&amp;"",UTILITIES!$B$3:$B$953&amp;"",UTILITIES!$G$3:$G$953,""),"IOT",_xlfn.XLOOKUP($K460&amp;"",IOT!$B$3:$B$1012&amp;"",IOT!$H$3:$H$1012,""),"Server",_xlfn.XLOOKUP($K460&amp;"",SERVER!$B$3:$B$1009&amp;"",SERVER!$H$3:$H$1009,""),""),IF(TRIM(_xlpm.srcCat)&lt;&gt;TRIM($J460),"",_xlfn.SWITCH($I460,"Computer",_xlfn.XLOOKUP($K460&amp;"",COMPUTER!$B$3:$B$1009&amp;"",COMPUTER!$AM$3:$AM$1009,""),"Display",_xlfn.XLOOKUP($K460&amp;"",DISPLAY!$B$3:$B$1000&amp;"",DISPLAY!$V$3:$V$1000,""),"Network Device",_xlfn.XLOOKUP($K460&amp;"",'NETWORK-DEVICES'!$B$3:$B$987&amp;"",'NETWORK-DEVICES'!$AF$3:$AF$987,""),"Peripheral",_xlfn.XLOOKUP($K460&amp;"",PERIPHERAL!$B$3:$B$954&amp;"",PERIPHERAL!$Y$3:$Y$954,""),"Utilities",_xlfn.XLOOKUP($K460&amp;"",UTILITIES!$B$3:$B$953&amp;"",UTILITIES!$O$3:$O$953,""),"IOT",_xlfn.XLOOKUP($K460&amp;"",IOT!$B$3:$B$1012&amp;"",IOT!$AB$3:$AB$1012,""),"Server",_xlfn.XLOOKUP($K460&amp;"",SERVER!$B$3:$B$1009&amp;"",SERVER!$AB$3:$AB$1009,""),""))))</f>
        <v/>
      </c>
      <c r="R460" s="43" t="str">
        <f>IF(tbl_handover[[#This Row],[Asset Code]]="","",COUNTIF(tbl_handover[Asset Code],tbl_handover[[#This Row],[Asset Code]]))</f>
        <v/>
      </c>
    </row>
    <row r="461" spans="1:18" x14ac:dyDescent="0.25">
      <c r="A461" s="43" t="str">
        <f>IF(B461&lt;&gt;"",SUBTOTAL(3,$B$1:B460),"")</f>
        <v/>
      </c>
      <c r="C461" s="74"/>
      <c r="D461" s="74"/>
      <c r="G461" s="1"/>
      <c r="K461" s="42"/>
      <c r="L461" t="str" cm="1">
        <f t="array" ref="L461">IF($K461="","",_xlfn.SWITCH($I461,"Computer",_xlfn.XLOOKUP($K461&amp;"",COMPUTER!$B$3:$B$1009&amp;"",COMPUTER!$I$3:$I$1009,""),"Display",_xlfn.XLOOKUP($K461&amp;"",DISPLAY!$B$3:$B$1000&amp;"",DISPLAY!$J$3:$J$1000,""),"Network Device",_xlfn.XLOOKUP($K461&amp;"",'NETWORK-DEVICES'!$B$3:$B$987&amp;"",'NETWORK-DEVICES'!$I$3:$I$987,""),"Peripheral",_xlfn.XLOOKUP($K461&amp;"",PERIPHERAL!$B$3:$B$954&amp;"",PERIPHERAL!$I$3:$I$954,""),"Utilities",_xlfn.XLOOKUP($K461&amp;"",UTILITIES!$B$3:$B$953&amp;"",UTILITIES!$H$3:$H$953,""),"IOT",_xlfn.XLOOKUP($K461&amp;"",IOT!$B$3:$B$1012&amp;"",IOT!$I$3:$I$1012,""),"SERVER",_xlfn.XLOOKUP($K461&amp;"",SERVER!$B$3:$B$1009&amp;"",SERVER!$I$3:$I$1009,""),""))</f>
        <v/>
      </c>
      <c r="M461" t="str" cm="1">
        <f t="array" ref="M461">IF($K461="","",_xlfn.SWITCH($I461,"Computer",_xlfn.XLOOKUP($K461&amp;"",COMPUTER!$B$3:$B$1009&amp;"",COMPUTER!$J$3:$J$1009,""),"Display",_xlfn.XLOOKUP($K461&amp;"",DISPLAY!$B$3:$B$1000&amp;"",DISPLAY!$K$3:$K$1000,""),"Network Device",_xlfn.XLOOKUP($K461&amp;"",'NETWORK-DEVICES'!$B$3:$B$987&amp;"",'NETWORK-DEVICES'!$I$3:$I$987,""),"Peripheral",_xlfn.XLOOKUP($K461&amp;"",PERIPHERAL!$B$3:$B$954&amp;"",PERIPHERAL!$J$3:$J$954,""),"Utilities",_xlfn.XLOOKUP($K461&amp;"",UTILITIES!$B$3:$B$953&amp;"",UTILITIES!$I$3:$I$953,""),"IOT",_xlfn.XLOOKUP($K461&amp;"",IOT!$B$3:$B$1012&amp;"",IOT!$J$3:$J$1012,""),"Server",_xlfn.XLOOKUP($K461&amp;"",SERVER!$B$3:$B$1009&amp;"",SERVER!$J$3:$J$1009,""),""))</f>
        <v/>
      </c>
      <c r="N461" s="1" t="str" cm="1">
        <f t="array" ref="N461">IF(OR($K461="",$I461="",$J461=""),"",_xlfn.LET(_xlpm.srcCat,_xlfn.SWITCH($I461,"Computer",_xlfn.XLOOKUP($K461&amp;"",COMPUTER!$B$3:$B$1009&amp;"",COMPUTER!$H$3:$H$1009,""),"Display",_xlfn.XLOOKUP($K461&amp;"",DISPLAY!$B$3:$B$1000&amp;"",DISPLAY!$H$3:$H$1000,""),"Network Device",_xlfn.XLOOKUP($K461&amp;"",'NETWORK-DEVICES'!$B$3:$B$987&amp;"",'NETWORK-DEVICES'!$H$3:$H$987,""),"Peripheral",_xlfn.XLOOKUP($K461&amp;"",PERIPHERAL!$B$3:$B$954&amp;"",PERIPHERAL!$H$3:$H$954,""),"Utilities",_xlfn.XLOOKUP($K461&amp;"",UTILITIES!$B$3:$B$953&amp;"",UTILITIES!$G$3:$G$953,""),"IOT",_xlfn.XLOOKUP($K461&amp;"",IOT!$B$3:$B$1012&amp;"",IOT!$H$3:$H$1012,""),"Server",_xlfn.XLOOKUP($K461&amp;"",SERVER!$B$3:$B$1009&amp;"",SERVER!$H$3:$H$1009,""),""),IF(TRIM(_xlpm.srcCat)&lt;&gt;TRIM($J461),"",_xlfn.SWITCH($I461,"Computer",_xlfn.XLOOKUP($K461&amp;"",COMPUTER!$B$3:$B$1009&amp;"",COMPUTER!$K$3:$K$1009,""),"Display",_xlfn.XLOOKUP($K461&amp;"",DISPLAY!$B$3:$B$1000&amp;"",DISPLAY!$L$3:$L$1000,""),"Network Device",_xlfn.XLOOKUP($K461&amp;"",'NETWORK-DEVICES'!$B$3:$B$987&amp;"",'NETWORK-DEVICES'!$K$3:$K$987,""),"Peripheral",_xlfn.XLOOKUP($K461&amp;"",PERIPHERAL!$B$3:$B$954&amp;"",PERIPHERAL!$K$3:$K$954,""),"Utilities",_xlfn.XLOOKUP($K461&amp;"",UTILITIES!$B$3:$B$953&amp;"",UTILITIES!$J$3:$J$953,""),"IOT",_xlfn.XLOOKUP($K461&amp;"",IOT!$B$3:$B$1012&amp;"",IOT!$K$4:$K$1012,""),"Server",_xlfn.XLOOKUP($K461&amp;"",SERVER!$B$3:$B$1009&amp;"",SERVER!$K$3:$K$1009,""),""))))</f>
        <v/>
      </c>
      <c r="O461" s="1" t="str" cm="1">
        <f t="array" ref="O461">IF(OR($K461="",$I461="",$J461=""),"",_xlfn.LET(_xlpm.srcCat,_xlfn.SWITCH($I461,"Computer",_xlfn.XLOOKUP($K461&amp;"",COMPUTER!$B$3:$B$1009&amp;"",COMPUTER!$H$3:$H$1009,""),"Display",_xlfn.XLOOKUP($K461&amp;"",DISPLAY!$B$3:$B$1000&amp;"",DISPLAY!$H$3:$H$1000,""),"Network Device",_xlfn.XLOOKUP($K461&amp;"",'NETWORK-DEVICES'!$B$3:$B$987&amp;"",'NETWORK-DEVICES'!$H$3:$H$987,""),"Peripheral",_xlfn.XLOOKUP($K461&amp;"",PERIPHERAL!$B$3:$B$954&amp;"",PERIPHERAL!$H$3:$H$954,""),"Utilities",_xlfn.XLOOKUP($K461&amp;"",UTILITIES!$B$3:$B$953&amp;"",UTILITIES!$G$3:$G$953,""),"IOT",_xlfn.XLOOKUP($K461&amp;"",IOT!$B$3:$B$1012&amp;"",IOT!$H$3:$H$1012,""),"Server",_xlfn.XLOOKUP($K461&amp;"",SERVER!$B$3:$B$1009&amp;"",SERVER!$H$3:$H$1009,""),""),IF(TRIM(_xlpm.srcCat)&lt;&gt;TRIM($J461),"",_xlfn.SWITCH($I461,"Computer",_xlfn.XLOOKUP($K461&amp;"",COMPUTER!$B$3:$B$1009&amp;"",COMPUTER!$E$3:$E$1009,""),"Display",_xlfn.XLOOKUP($K461&amp;"",DISPLAY!$B$3:$B$1000&amp;"",DISPLAY!$E$3:$E$1000,""),"Network Device",_xlfn.XLOOKUP($K461&amp;"",'NETWORK-DEVICES'!$B$3:$B$987&amp;"",'NETWORK-DEVICES'!$E$3:$E$987,""),"Peripheral",_xlfn.XLOOKUP($K461&amp;"",PERIPHERAL!$B$3:$B$954&amp;"",PERIPHERAL!$E$3:$E$954,""),"Utilities",_xlfn.XLOOKUP($K461&amp;"",UTILITIES!$B$3:$B$953&amp;"",UTILITIES!$E$3:$E$953,""),"IOT",_xlfn.XLOOKUP($K461&amp;"",IOT!$B$3:$B$1012&amp;"",IOT!$E$3:$E$1012,""),"Server",_xlfn.XLOOKUP($K461&amp;"",SERVER!$B$3:$B$1009&amp;"",SERVER!$E$3:$E$1009,""),""))))</f>
        <v/>
      </c>
      <c r="Q461" s="1" t="str" cm="1">
        <f t="array" ref="Q461">IF(OR($K461="",$I461="",$J461=""),"",_xlfn.LET(_xlpm.srcCat,_xlfn.SWITCH($I461,"Computer",_xlfn.XLOOKUP($K461&amp;"",COMPUTER!$B$3:$B$1009&amp;"",COMPUTER!$H$3:$H$1009,""),"Display",_xlfn.XLOOKUP($K461&amp;"",DISPLAY!$B$3:$B$1000&amp;"",DISPLAY!$H$3:$H$1000,""),"Network Device",_xlfn.XLOOKUP($K461&amp;"",'NETWORK-DEVICES'!$B$3:$B$987&amp;"",'NETWORK-DEVICES'!$H$3:$H$987,""),"Peripheral",_xlfn.XLOOKUP($K461&amp;"",PERIPHERAL!$B$3:$B$954&amp;"",PERIPHERAL!$H$3:$H$954,""),"Utilities",_xlfn.XLOOKUP($K461&amp;"",UTILITIES!$B$3:$B$953&amp;"",UTILITIES!$G$3:$G$953,""),"IOT",_xlfn.XLOOKUP($K461&amp;"",IOT!$B$3:$B$1012&amp;"",IOT!$H$3:$H$1012,""),"Server",_xlfn.XLOOKUP($K461&amp;"",SERVER!$B$3:$B$1009&amp;"",SERVER!$H$3:$H$1009,""),""),IF(TRIM(_xlpm.srcCat)&lt;&gt;TRIM($J461),"",_xlfn.SWITCH($I461,"Computer",_xlfn.XLOOKUP($K461&amp;"",COMPUTER!$B$3:$B$1009&amp;"",COMPUTER!$AM$3:$AM$1009,""),"Display",_xlfn.XLOOKUP($K461&amp;"",DISPLAY!$B$3:$B$1000&amp;"",DISPLAY!$V$3:$V$1000,""),"Network Device",_xlfn.XLOOKUP($K461&amp;"",'NETWORK-DEVICES'!$B$3:$B$987&amp;"",'NETWORK-DEVICES'!$AF$3:$AF$987,""),"Peripheral",_xlfn.XLOOKUP($K461&amp;"",PERIPHERAL!$B$3:$B$954&amp;"",PERIPHERAL!$Y$3:$Y$954,""),"Utilities",_xlfn.XLOOKUP($K461&amp;"",UTILITIES!$B$3:$B$953&amp;"",UTILITIES!$O$3:$O$953,""),"IOT",_xlfn.XLOOKUP($K461&amp;"",IOT!$B$3:$B$1012&amp;"",IOT!$AB$3:$AB$1012,""),"Server",_xlfn.XLOOKUP($K461&amp;"",SERVER!$B$3:$B$1009&amp;"",SERVER!$AB$3:$AB$1009,""),""))))</f>
        <v/>
      </c>
      <c r="R461" s="43" t="str">
        <f>IF(tbl_handover[[#This Row],[Asset Code]]="","",COUNTIF(tbl_handover[Asset Code],tbl_handover[[#This Row],[Asset Code]]))</f>
        <v/>
      </c>
    </row>
    <row r="462" spans="1:18" x14ac:dyDescent="0.25">
      <c r="A462" s="43" t="str">
        <f>IF(B462&lt;&gt;"",SUBTOTAL(3,$B$1:B461),"")</f>
        <v/>
      </c>
      <c r="C462" s="74"/>
      <c r="D462" s="74"/>
      <c r="G462" s="1"/>
      <c r="K462" s="42"/>
      <c r="L462" t="str" cm="1">
        <f t="array" ref="L462">IF($K462="","",_xlfn.SWITCH($I462,"Computer",_xlfn.XLOOKUP($K462&amp;"",COMPUTER!$B$3:$B$1009&amp;"",COMPUTER!$I$3:$I$1009,""),"Display",_xlfn.XLOOKUP($K462&amp;"",DISPLAY!$B$3:$B$1000&amp;"",DISPLAY!$J$3:$J$1000,""),"Network Device",_xlfn.XLOOKUP($K462&amp;"",'NETWORK-DEVICES'!$B$3:$B$987&amp;"",'NETWORK-DEVICES'!$I$3:$I$987,""),"Peripheral",_xlfn.XLOOKUP($K462&amp;"",PERIPHERAL!$B$3:$B$954&amp;"",PERIPHERAL!$I$3:$I$954,""),"Utilities",_xlfn.XLOOKUP($K462&amp;"",UTILITIES!$B$3:$B$953&amp;"",UTILITIES!$H$3:$H$953,""),"IOT",_xlfn.XLOOKUP($K462&amp;"",IOT!$B$3:$B$1012&amp;"",IOT!$I$3:$I$1012,""),"SERVER",_xlfn.XLOOKUP($K462&amp;"",SERVER!$B$3:$B$1009&amp;"",SERVER!$I$3:$I$1009,""),""))</f>
        <v/>
      </c>
      <c r="M462" t="str" cm="1">
        <f t="array" ref="M462">IF($K462="","",_xlfn.SWITCH($I462,"Computer",_xlfn.XLOOKUP($K462&amp;"",COMPUTER!$B$3:$B$1009&amp;"",COMPUTER!$J$3:$J$1009,""),"Display",_xlfn.XLOOKUP($K462&amp;"",DISPLAY!$B$3:$B$1000&amp;"",DISPLAY!$K$3:$K$1000,""),"Network Device",_xlfn.XLOOKUP($K462&amp;"",'NETWORK-DEVICES'!$B$3:$B$987&amp;"",'NETWORK-DEVICES'!$I$3:$I$987,""),"Peripheral",_xlfn.XLOOKUP($K462&amp;"",PERIPHERAL!$B$3:$B$954&amp;"",PERIPHERAL!$J$3:$J$954,""),"Utilities",_xlfn.XLOOKUP($K462&amp;"",UTILITIES!$B$3:$B$953&amp;"",UTILITIES!$I$3:$I$953,""),"IOT",_xlfn.XLOOKUP($K462&amp;"",IOT!$B$3:$B$1012&amp;"",IOT!$J$3:$J$1012,""),"Server",_xlfn.XLOOKUP($K462&amp;"",SERVER!$B$3:$B$1009&amp;"",SERVER!$J$3:$J$1009,""),""))</f>
        <v/>
      </c>
      <c r="N462" s="1" t="str" cm="1">
        <f t="array" ref="N462">IF(OR($K462="",$I462="",$J462=""),"",_xlfn.LET(_xlpm.srcCat,_xlfn.SWITCH($I462,"Computer",_xlfn.XLOOKUP($K462&amp;"",COMPUTER!$B$3:$B$1009&amp;"",COMPUTER!$H$3:$H$1009,""),"Display",_xlfn.XLOOKUP($K462&amp;"",DISPLAY!$B$3:$B$1000&amp;"",DISPLAY!$H$3:$H$1000,""),"Network Device",_xlfn.XLOOKUP($K462&amp;"",'NETWORK-DEVICES'!$B$3:$B$987&amp;"",'NETWORK-DEVICES'!$H$3:$H$987,""),"Peripheral",_xlfn.XLOOKUP($K462&amp;"",PERIPHERAL!$B$3:$B$954&amp;"",PERIPHERAL!$H$3:$H$954,""),"Utilities",_xlfn.XLOOKUP($K462&amp;"",UTILITIES!$B$3:$B$953&amp;"",UTILITIES!$G$3:$G$953,""),"IOT",_xlfn.XLOOKUP($K462&amp;"",IOT!$B$3:$B$1012&amp;"",IOT!$H$3:$H$1012,""),"Server",_xlfn.XLOOKUP($K462&amp;"",SERVER!$B$3:$B$1009&amp;"",SERVER!$H$3:$H$1009,""),""),IF(TRIM(_xlpm.srcCat)&lt;&gt;TRIM($J462),"",_xlfn.SWITCH($I462,"Computer",_xlfn.XLOOKUP($K462&amp;"",COMPUTER!$B$3:$B$1009&amp;"",COMPUTER!$K$3:$K$1009,""),"Display",_xlfn.XLOOKUP($K462&amp;"",DISPLAY!$B$3:$B$1000&amp;"",DISPLAY!$L$3:$L$1000,""),"Network Device",_xlfn.XLOOKUP($K462&amp;"",'NETWORK-DEVICES'!$B$3:$B$987&amp;"",'NETWORK-DEVICES'!$K$3:$K$987,""),"Peripheral",_xlfn.XLOOKUP($K462&amp;"",PERIPHERAL!$B$3:$B$954&amp;"",PERIPHERAL!$K$3:$K$954,""),"Utilities",_xlfn.XLOOKUP($K462&amp;"",UTILITIES!$B$3:$B$953&amp;"",UTILITIES!$J$3:$J$953,""),"IOT",_xlfn.XLOOKUP($K462&amp;"",IOT!$B$3:$B$1012&amp;"",IOT!$K$4:$K$1012,""),"Server",_xlfn.XLOOKUP($K462&amp;"",SERVER!$B$3:$B$1009&amp;"",SERVER!$K$3:$K$1009,""),""))))</f>
        <v/>
      </c>
      <c r="O462" s="1" t="str" cm="1">
        <f t="array" ref="O462">IF(OR($K462="",$I462="",$J462=""),"",_xlfn.LET(_xlpm.srcCat,_xlfn.SWITCH($I462,"Computer",_xlfn.XLOOKUP($K462&amp;"",COMPUTER!$B$3:$B$1009&amp;"",COMPUTER!$H$3:$H$1009,""),"Display",_xlfn.XLOOKUP($K462&amp;"",DISPLAY!$B$3:$B$1000&amp;"",DISPLAY!$H$3:$H$1000,""),"Network Device",_xlfn.XLOOKUP($K462&amp;"",'NETWORK-DEVICES'!$B$3:$B$987&amp;"",'NETWORK-DEVICES'!$H$3:$H$987,""),"Peripheral",_xlfn.XLOOKUP($K462&amp;"",PERIPHERAL!$B$3:$B$954&amp;"",PERIPHERAL!$H$3:$H$954,""),"Utilities",_xlfn.XLOOKUP($K462&amp;"",UTILITIES!$B$3:$B$953&amp;"",UTILITIES!$G$3:$G$953,""),"IOT",_xlfn.XLOOKUP($K462&amp;"",IOT!$B$3:$B$1012&amp;"",IOT!$H$3:$H$1012,""),"Server",_xlfn.XLOOKUP($K462&amp;"",SERVER!$B$3:$B$1009&amp;"",SERVER!$H$3:$H$1009,""),""),IF(TRIM(_xlpm.srcCat)&lt;&gt;TRIM($J462),"",_xlfn.SWITCH($I462,"Computer",_xlfn.XLOOKUP($K462&amp;"",COMPUTER!$B$3:$B$1009&amp;"",COMPUTER!$E$3:$E$1009,""),"Display",_xlfn.XLOOKUP($K462&amp;"",DISPLAY!$B$3:$B$1000&amp;"",DISPLAY!$E$3:$E$1000,""),"Network Device",_xlfn.XLOOKUP($K462&amp;"",'NETWORK-DEVICES'!$B$3:$B$987&amp;"",'NETWORK-DEVICES'!$E$3:$E$987,""),"Peripheral",_xlfn.XLOOKUP($K462&amp;"",PERIPHERAL!$B$3:$B$954&amp;"",PERIPHERAL!$E$3:$E$954,""),"Utilities",_xlfn.XLOOKUP($K462&amp;"",UTILITIES!$B$3:$B$953&amp;"",UTILITIES!$E$3:$E$953,""),"IOT",_xlfn.XLOOKUP($K462&amp;"",IOT!$B$3:$B$1012&amp;"",IOT!$E$3:$E$1012,""),"Server",_xlfn.XLOOKUP($K462&amp;"",SERVER!$B$3:$B$1009&amp;"",SERVER!$E$3:$E$1009,""),""))))</f>
        <v/>
      </c>
      <c r="Q462" s="1" t="str" cm="1">
        <f t="array" ref="Q462">IF(OR($K462="",$I462="",$J462=""),"",_xlfn.LET(_xlpm.srcCat,_xlfn.SWITCH($I462,"Computer",_xlfn.XLOOKUP($K462&amp;"",COMPUTER!$B$3:$B$1009&amp;"",COMPUTER!$H$3:$H$1009,""),"Display",_xlfn.XLOOKUP($K462&amp;"",DISPLAY!$B$3:$B$1000&amp;"",DISPLAY!$H$3:$H$1000,""),"Network Device",_xlfn.XLOOKUP($K462&amp;"",'NETWORK-DEVICES'!$B$3:$B$987&amp;"",'NETWORK-DEVICES'!$H$3:$H$987,""),"Peripheral",_xlfn.XLOOKUP($K462&amp;"",PERIPHERAL!$B$3:$B$954&amp;"",PERIPHERAL!$H$3:$H$954,""),"Utilities",_xlfn.XLOOKUP($K462&amp;"",UTILITIES!$B$3:$B$953&amp;"",UTILITIES!$G$3:$G$953,""),"IOT",_xlfn.XLOOKUP($K462&amp;"",IOT!$B$3:$B$1012&amp;"",IOT!$H$3:$H$1012,""),"Server",_xlfn.XLOOKUP($K462&amp;"",SERVER!$B$3:$B$1009&amp;"",SERVER!$H$3:$H$1009,""),""),IF(TRIM(_xlpm.srcCat)&lt;&gt;TRIM($J462),"",_xlfn.SWITCH($I462,"Computer",_xlfn.XLOOKUP($K462&amp;"",COMPUTER!$B$3:$B$1009&amp;"",COMPUTER!$AM$3:$AM$1009,""),"Display",_xlfn.XLOOKUP($K462&amp;"",DISPLAY!$B$3:$B$1000&amp;"",DISPLAY!$V$3:$V$1000,""),"Network Device",_xlfn.XLOOKUP($K462&amp;"",'NETWORK-DEVICES'!$B$3:$B$987&amp;"",'NETWORK-DEVICES'!$AF$3:$AF$987,""),"Peripheral",_xlfn.XLOOKUP($K462&amp;"",PERIPHERAL!$B$3:$B$954&amp;"",PERIPHERAL!$Y$3:$Y$954,""),"Utilities",_xlfn.XLOOKUP($K462&amp;"",UTILITIES!$B$3:$B$953&amp;"",UTILITIES!$O$3:$O$953,""),"IOT",_xlfn.XLOOKUP($K462&amp;"",IOT!$B$3:$B$1012&amp;"",IOT!$AB$3:$AB$1012,""),"Server",_xlfn.XLOOKUP($K462&amp;"",SERVER!$B$3:$B$1009&amp;"",SERVER!$AB$3:$AB$1009,""),""))))</f>
        <v/>
      </c>
      <c r="R462" s="43" t="str">
        <f>IF(tbl_handover[[#This Row],[Asset Code]]="","",COUNTIF(tbl_handover[Asset Code],tbl_handover[[#This Row],[Asset Code]]))</f>
        <v/>
      </c>
    </row>
    <row r="463" spans="1:18" x14ac:dyDescent="0.25">
      <c r="A463" s="43" t="str">
        <f>IF(B463&lt;&gt;"",SUBTOTAL(3,$B$1:B462),"")</f>
        <v/>
      </c>
      <c r="C463" s="74"/>
      <c r="D463" s="74"/>
      <c r="G463" s="1"/>
      <c r="K463" s="42"/>
      <c r="L463" t="str" cm="1">
        <f t="array" ref="L463">IF($K463="","",_xlfn.SWITCH($I463,"Computer",_xlfn.XLOOKUP($K463&amp;"",COMPUTER!$B$3:$B$1009&amp;"",COMPUTER!$I$3:$I$1009,""),"Display",_xlfn.XLOOKUP($K463&amp;"",DISPLAY!$B$3:$B$1000&amp;"",DISPLAY!$J$3:$J$1000,""),"Network Device",_xlfn.XLOOKUP($K463&amp;"",'NETWORK-DEVICES'!$B$3:$B$987&amp;"",'NETWORK-DEVICES'!$I$3:$I$987,""),"Peripheral",_xlfn.XLOOKUP($K463&amp;"",PERIPHERAL!$B$3:$B$954&amp;"",PERIPHERAL!$I$3:$I$954,""),"Utilities",_xlfn.XLOOKUP($K463&amp;"",UTILITIES!$B$3:$B$953&amp;"",UTILITIES!$H$3:$H$953,""),"IOT",_xlfn.XLOOKUP($K463&amp;"",IOT!$B$3:$B$1012&amp;"",IOT!$I$3:$I$1012,""),"SERVER",_xlfn.XLOOKUP($K463&amp;"",SERVER!$B$3:$B$1009&amp;"",SERVER!$I$3:$I$1009,""),""))</f>
        <v/>
      </c>
      <c r="M463" t="str" cm="1">
        <f t="array" ref="M463">IF($K463="","",_xlfn.SWITCH($I463,"Computer",_xlfn.XLOOKUP($K463&amp;"",COMPUTER!$B$3:$B$1009&amp;"",COMPUTER!$J$3:$J$1009,""),"Display",_xlfn.XLOOKUP($K463&amp;"",DISPLAY!$B$3:$B$1000&amp;"",DISPLAY!$K$3:$K$1000,""),"Network Device",_xlfn.XLOOKUP($K463&amp;"",'NETWORK-DEVICES'!$B$3:$B$987&amp;"",'NETWORK-DEVICES'!$I$3:$I$987,""),"Peripheral",_xlfn.XLOOKUP($K463&amp;"",PERIPHERAL!$B$3:$B$954&amp;"",PERIPHERAL!$J$3:$J$954,""),"Utilities",_xlfn.XLOOKUP($K463&amp;"",UTILITIES!$B$3:$B$953&amp;"",UTILITIES!$I$3:$I$953,""),"IOT",_xlfn.XLOOKUP($K463&amp;"",IOT!$B$3:$B$1012&amp;"",IOT!$J$3:$J$1012,""),"Server",_xlfn.XLOOKUP($K463&amp;"",SERVER!$B$3:$B$1009&amp;"",SERVER!$J$3:$J$1009,""),""))</f>
        <v/>
      </c>
      <c r="N463" s="1" t="str" cm="1">
        <f t="array" ref="N463">IF(OR($K463="",$I463="",$J463=""),"",_xlfn.LET(_xlpm.srcCat,_xlfn.SWITCH($I463,"Computer",_xlfn.XLOOKUP($K463&amp;"",COMPUTER!$B$3:$B$1009&amp;"",COMPUTER!$H$3:$H$1009,""),"Display",_xlfn.XLOOKUP($K463&amp;"",DISPLAY!$B$3:$B$1000&amp;"",DISPLAY!$H$3:$H$1000,""),"Network Device",_xlfn.XLOOKUP($K463&amp;"",'NETWORK-DEVICES'!$B$3:$B$987&amp;"",'NETWORK-DEVICES'!$H$3:$H$987,""),"Peripheral",_xlfn.XLOOKUP($K463&amp;"",PERIPHERAL!$B$3:$B$954&amp;"",PERIPHERAL!$H$3:$H$954,""),"Utilities",_xlfn.XLOOKUP($K463&amp;"",UTILITIES!$B$3:$B$953&amp;"",UTILITIES!$G$3:$G$953,""),"IOT",_xlfn.XLOOKUP($K463&amp;"",IOT!$B$3:$B$1012&amp;"",IOT!$H$3:$H$1012,""),"Server",_xlfn.XLOOKUP($K463&amp;"",SERVER!$B$3:$B$1009&amp;"",SERVER!$H$3:$H$1009,""),""),IF(TRIM(_xlpm.srcCat)&lt;&gt;TRIM($J463),"",_xlfn.SWITCH($I463,"Computer",_xlfn.XLOOKUP($K463&amp;"",COMPUTER!$B$3:$B$1009&amp;"",COMPUTER!$K$3:$K$1009,""),"Display",_xlfn.XLOOKUP($K463&amp;"",DISPLAY!$B$3:$B$1000&amp;"",DISPLAY!$L$3:$L$1000,""),"Network Device",_xlfn.XLOOKUP($K463&amp;"",'NETWORK-DEVICES'!$B$3:$B$987&amp;"",'NETWORK-DEVICES'!$K$3:$K$987,""),"Peripheral",_xlfn.XLOOKUP($K463&amp;"",PERIPHERAL!$B$3:$B$954&amp;"",PERIPHERAL!$K$3:$K$954,""),"Utilities",_xlfn.XLOOKUP($K463&amp;"",UTILITIES!$B$3:$B$953&amp;"",UTILITIES!$J$3:$J$953,""),"IOT",_xlfn.XLOOKUP($K463&amp;"",IOT!$B$3:$B$1012&amp;"",IOT!$K$4:$K$1012,""),"Server",_xlfn.XLOOKUP($K463&amp;"",SERVER!$B$3:$B$1009&amp;"",SERVER!$K$3:$K$1009,""),""))))</f>
        <v/>
      </c>
      <c r="O463" s="1" t="str" cm="1">
        <f t="array" ref="O463">IF(OR($K463="",$I463="",$J463=""),"",_xlfn.LET(_xlpm.srcCat,_xlfn.SWITCH($I463,"Computer",_xlfn.XLOOKUP($K463&amp;"",COMPUTER!$B$3:$B$1009&amp;"",COMPUTER!$H$3:$H$1009,""),"Display",_xlfn.XLOOKUP($K463&amp;"",DISPLAY!$B$3:$B$1000&amp;"",DISPLAY!$H$3:$H$1000,""),"Network Device",_xlfn.XLOOKUP($K463&amp;"",'NETWORK-DEVICES'!$B$3:$B$987&amp;"",'NETWORK-DEVICES'!$H$3:$H$987,""),"Peripheral",_xlfn.XLOOKUP($K463&amp;"",PERIPHERAL!$B$3:$B$954&amp;"",PERIPHERAL!$H$3:$H$954,""),"Utilities",_xlfn.XLOOKUP($K463&amp;"",UTILITIES!$B$3:$B$953&amp;"",UTILITIES!$G$3:$G$953,""),"IOT",_xlfn.XLOOKUP($K463&amp;"",IOT!$B$3:$B$1012&amp;"",IOT!$H$3:$H$1012,""),"Server",_xlfn.XLOOKUP($K463&amp;"",SERVER!$B$3:$B$1009&amp;"",SERVER!$H$3:$H$1009,""),""),IF(TRIM(_xlpm.srcCat)&lt;&gt;TRIM($J463),"",_xlfn.SWITCH($I463,"Computer",_xlfn.XLOOKUP($K463&amp;"",COMPUTER!$B$3:$B$1009&amp;"",COMPUTER!$E$3:$E$1009,""),"Display",_xlfn.XLOOKUP($K463&amp;"",DISPLAY!$B$3:$B$1000&amp;"",DISPLAY!$E$3:$E$1000,""),"Network Device",_xlfn.XLOOKUP($K463&amp;"",'NETWORK-DEVICES'!$B$3:$B$987&amp;"",'NETWORK-DEVICES'!$E$3:$E$987,""),"Peripheral",_xlfn.XLOOKUP($K463&amp;"",PERIPHERAL!$B$3:$B$954&amp;"",PERIPHERAL!$E$3:$E$954,""),"Utilities",_xlfn.XLOOKUP($K463&amp;"",UTILITIES!$B$3:$B$953&amp;"",UTILITIES!$E$3:$E$953,""),"IOT",_xlfn.XLOOKUP($K463&amp;"",IOT!$B$3:$B$1012&amp;"",IOT!$E$3:$E$1012,""),"Server",_xlfn.XLOOKUP($K463&amp;"",SERVER!$B$3:$B$1009&amp;"",SERVER!$E$3:$E$1009,""),""))))</f>
        <v/>
      </c>
      <c r="Q463" s="1" t="str" cm="1">
        <f t="array" ref="Q463">IF(OR($K463="",$I463="",$J463=""),"",_xlfn.LET(_xlpm.srcCat,_xlfn.SWITCH($I463,"Computer",_xlfn.XLOOKUP($K463&amp;"",COMPUTER!$B$3:$B$1009&amp;"",COMPUTER!$H$3:$H$1009,""),"Display",_xlfn.XLOOKUP($K463&amp;"",DISPLAY!$B$3:$B$1000&amp;"",DISPLAY!$H$3:$H$1000,""),"Network Device",_xlfn.XLOOKUP($K463&amp;"",'NETWORK-DEVICES'!$B$3:$B$987&amp;"",'NETWORK-DEVICES'!$H$3:$H$987,""),"Peripheral",_xlfn.XLOOKUP($K463&amp;"",PERIPHERAL!$B$3:$B$954&amp;"",PERIPHERAL!$H$3:$H$954,""),"Utilities",_xlfn.XLOOKUP($K463&amp;"",UTILITIES!$B$3:$B$953&amp;"",UTILITIES!$G$3:$G$953,""),"IOT",_xlfn.XLOOKUP($K463&amp;"",IOT!$B$3:$B$1012&amp;"",IOT!$H$3:$H$1012,""),"Server",_xlfn.XLOOKUP($K463&amp;"",SERVER!$B$3:$B$1009&amp;"",SERVER!$H$3:$H$1009,""),""),IF(TRIM(_xlpm.srcCat)&lt;&gt;TRIM($J463),"",_xlfn.SWITCH($I463,"Computer",_xlfn.XLOOKUP($K463&amp;"",COMPUTER!$B$3:$B$1009&amp;"",COMPUTER!$AM$3:$AM$1009,""),"Display",_xlfn.XLOOKUP($K463&amp;"",DISPLAY!$B$3:$B$1000&amp;"",DISPLAY!$V$3:$V$1000,""),"Network Device",_xlfn.XLOOKUP($K463&amp;"",'NETWORK-DEVICES'!$B$3:$B$987&amp;"",'NETWORK-DEVICES'!$AF$3:$AF$987,""),"Peripheral",_xlfn.XLOOKUP($K463&amp;"",PERIPHERAL!$B$3:$B$954&amp;"",PERIPHERAL!$Y$3:$Y$954,""),"Utilities",_xlfn.XLOOKUP($K463&amp;"",UTILITIES!$B$3:$B$953&amp;"",UTILITIES!$O$3:$O$953,""),"IOT",_xlfn.XLOOKUP($K463&amp;"",IOT!$B$3:$B$1012&amp;"",IOT!$AB$3:$AB$1012,""),"Server",_xlfn.XLOOKUP($K463&amp;"",SERVER!$B$3:$B$1009&amp;"",SERVER!$AB$3:$AB$1009,""),""))))</f>
        <v/>
      </c>
      <c r="R463" s="43" t="str">
        <f>IF(tbl_handover[[#This Row],[Asset Code]]="","",COUNTIF(tbl_handover[Asset Code],tbl_handover[[#This Row],[Asset Code]]))</f>
        <v/>
      </c>
    </row>
    <row r="464" spans="1:18" x14ac:dyDescent="0.25">
      <c r="A464" s="43" t="str">
        <f>IF(B464&lt;&gt;"",SUBTOTAL(3,$B$1:B463),"")</f>
        <v/>
      </c>
      <c r="C464" s="74"/>
      <c r="D464" s="74"/>
      <c r="G464" s="1"/>
      <c r="K464" s="42"/>
      <c r="L464" t="str" cm="1">
        <f t="array" ref="L464">IF($K464="","",_xlfn.SWITCH($I464,"Computer",_xlfn.XLOOKUP($K464&amp;"",COMPUTER!$B$3:$B$1009&amp;"",COMPUTER!$I$3:$I$1009,""),"Display",_xlfn.XLOOKUP($K464&amp;"",DISPLAY!$B$3:$B$1000&amp;"",DISPLAY!$J$3:$J$1000,""),"Network Device",_xlfn.XLOOKUP($K464&amp;"",'NETWORK-DEVICES'!$B$3:$B$987&amp;"",'NETWORK-DEVICES'!$I$3:$I$987,""),"Peripheral",_xlfn.XLOOKUP($K464&amp;"",PERIPHERAL!$B$3:$B$954&amp;"",PERIPHERAL!$I$3:$I$954,""),"Utilities",_xlfn.XLOOKUP($K464&amp;"",UTILITIES!$B$3:$B$953&amp;"",UTILITIES!$H$3:$H$953,""),"IOT",_xlfn.XLOOKUP($K464&amp;"",IOT!$B$3:$B$1012&amp;"",IOT!$I$3:$I$1012,""),"SERVER",_xlfn.XLOOKUP($K464&amp;"",SERVER!$B$3:$B$1009&amp;"",SERVER!$I$3:$I$1009,""),""))</f>
        <v/>
      </c>
      <c r="M464" t="str" cm="1">
        <f t="array" ref="M464">IF($K464="","",_xlfn.SWITCH($I464,"Computer",_xlfn.XLOOKUP($K464&amp;"",COMPUTER!$B$3:$B$1009&amp;"",COMPUTER!$J$3:$J$1009,""),"Display",_xlfn.XLOOKUP($K464&amp;"",DISPLAY!$B$3:$B$1000&amp;"",DISPLAY!$K$3:$K$1000,""),"Network Device",_xlfn.XLOOKUP($K464&amp;"",'NETWORK-DEVICES'!$B$3:$B$987&amp;"",'NETWORK-DEVICES'!$I$3:$I$987,""),"Peripheral",_xlfn.XLOOKUP($K464&amp;"",PERIPHERAL!$B$3:$B$954&amp;"",PERIPHERAL!$J$3:$J$954,""),"Utilities",_xlfn.XLOOKUP($K464&amp;"",UTILITIES!$B$3:$B$953&amp;"",UTILITIES!$I$3:$I$953,""),"IOT",_xlfn.XLOOKUP($K464&amp;"",IOT!$B$3:$B$1012&amp;"",IOT!$J$3:$J$1012,""),"Server",_xlfn.XLOOKUP($K464&amp;"",SERVER!$B$3:$B$1009&amp;"",SERVER!$J$3:$J$1009,""),""))</f>
        <v/>
      </c>
      <c r="N464" s="1" t="str" cm="1">
        <f t="array" ref="N464">IF(OR($K464="",$I464="",$J464=""),"",_xlfn.LET(_xlpm.srcCat,_xlfn.SWITCH($I464,"Computer",_xlfn.XLOOKUP($K464&amp;"",COMPUTER!$B$3:$B$1009&amp;"",COMPUTER!$H$3:$H$1009,""),"Display",_xlfn.XLOOKUP($K464&amp;"",DISPLAY!$B$3:$B$1000&amp;"",DISPLAY!$H$3:$H$1000,""),"Network Device",_xlfn.XLOOKUP($K464&amp;"",'NETWORK-DEVICES'!$B$3:$B$987&amp;"",'NETWORK-DEVICES'!$H$3:$H$987,""),"Peripheral",_xlfn.XLOOKUP($K464&amp;"",PERIPHERAL!$B$3:$B$954&amp;"",PERIPHERAL!$H$3:$H$954,""),"Utilities",_xlfn.XLOOKUP($K464&amp;"",UTILITIES!$B$3:$B$953&amp;"",UTILITIES!$G$3:$G$953,""),"IOT",_xlfn.XLOOKUP($K464&amp;"",IOT!$B$3:$B$1012&amp;"",IOT!$H$3:$H$1012,""),"Server",_xlfn.XLOOKUP($K464&amp;"",SERVER!$B$3:$B$1009&amp;"",SERVER!$H$3:$H$1009,""),""),IF(TRIM(_xlpm.srcCat)&lt;&gt;TRIM($J464),"",_xlfn.SWITCH($I464,"Computer",_xlfn.XLOOKUP($K464&amp;"",COMPUTER!$B$3:$B$1009&amp;"",COMPUTER!$K$3:$K$1009,""),"Display",_xlfn.XLOOKUP($K464&amp;"",DISPLAY!$B$3:$B$1000&amp;"",DISPLAY!$L$3:$L$1000,""),"Network Device",_xlfn.XLOOKUP($K464&amp;"",'NETWORK-DEVICES'!$B$3:$B$987&amp;"",'NETWORK-DEVICES'!$K$3:$K$987,""),"Peripheral",_xlfn.XLOOKUP($K464&amp;"",PERIPHERAL!$B$3:$B$954&amp;"",PERIPHERAL!$K$3:$K$954,""),"Utilities",_xlfn.XLOOKUP($K464&amp;"",UTILITIES!$B$3:$B$953&amp;"",UTILITIES!$J$3:$J$953,""),"IOT",_xlfn.XLOOKUP($K464&amp;"",IOT!$B$3:$B$1012&amp;"",IOT!$K$4:$K$1012,""),"Server",_xlfn.XLOOKUP($K464&amp;"",SERVER!$B$3:$B$1009&amp;"",SERVER!$K$3:$K$1009,""),""))))</f>
        <v/>
      </c>
      <c r="O464" s="1" t="str" cm="1">
        <f t="array" ref="O464">IF(OR($K464="",$I464="",$J464=""),"",_xlfn.LET(_xlpm.srcCat,_xlfn.SWITCH($I464,"Computer",_xlfn.XLOOKUP($K464&amp;"",COMPUTER!$B$3:$B$1009&amp;"",COMPUTER!$H$3:$H$1009,""),"Display",_xlfn.XLOOKUP($K464&amp;"",DISPLAY!$B$3:$B$1000&amp;"",DISPLAY!$H$3:$H$1000,""),"Network Device",_xlfn.XLOOKUP($K464&amp;"",'NETWORK-DEVICES'!$B$3:$B$987&amp;"",'NETWORK-DEVICES'!$H$3:$H$987,""),"Peripheral",_xlfn.XLOOKUP($K464&amp;"",PERIPHERAL!$B$3:$B$954&amp;"",PERIPHERAL!$H$3:$H$954,""),"Utilities",_xlfn.XLOOKUP($K464&amp;"",UTILITIES!$B$3:$B$953&amp;"",UTILITIES!$G$3:$G$953,""),"IOT",_xlfn.XLOOKUP($K464&amp;"",IOT!$B$3:$B$1012&amp;"",IOT!$H$3:$H$1012,""),"Server",_xlfn.XLOOKUP($K464&amp;"",SERVER!$B$3:$B$1009&amp;"",SERVER!$H$3:$H$1009,""),""),IF(TRIM(_xlpm.srcCat)&lt;&gt;TRIM($J464),"",_xlfn.SWITCH($I464,"Computer",_xlfn.XLOOKUP($K464&amp;"",COMPUTER!$B$3:$B$1009&amp;"",COMPUTER!$E$3:$E$1009,""),"Display",_xlfn.XLOOKUP($K464&amp;"",DISPLAY!$B$3:$B$1000&amp;"",DISPLAY!$E$3:$E$1000,""),"Network Device",_xlfn.XLOOKUP($K464&amp;"",'NETWORK-DEVICES'!$B$3:$B$987&amp;"",'NETWORK-DEVICES'!$E$3:$E$987,""),"Peripheral",_xlfn.XLOOKUP($K464&amp;"",PERIPHERAL!$B$3:$B$954&amp;"",PERIPHERAL!$E$3:$E$954,""),"Utilities",_xlfn.XLOOKUP($K464&amp;"",UTILITIES!$B$3:$B$953&amp;"",UTILITIES!$E$3:$E$953,""),"IOT",_xlfn.XLOOKUP($K464&amp;"",IOT!$B$3:$B$1012&amp;"",IOT!$E$3:$E$1012,""),"Server",_xlfn.XLOOKUP($K464&amp;"",SERVER!$B$3:$B$1009&amp;"",SERVER!$E$3:$E$1009,""),""))))</f>
        <v/>
      </c>
      <c r="Q464" s="1" t="str" cm="1">
        <f t="array" ref="Q464">IF(OR($K464="",$I464="",$J464=""),"",_xlfn.LET(_xlpm.srcCat,_xlfn.SWITCH($I464,"Computer",_xlfn.XLOOKUP($K464&amp;"",COMPUTER!$B$3:$B$1009&amp;"",COMPUTER!$H$3:$H$1009,""),"Display",_xlfn.XLOOKUP($K464&amp;"",DISPLAY!$B$3:$B$1000&amp;"",DISPLAY!$H$3:$H$1000,""),"Network Device",_xlfn.XLOOKUP($K464&amp;"",'NETWORK-DEVICES'!$B$3:$B$987&amp;"",'NETWORK-DEVICES'!$H$3:$H$987,""),"Peripheral",_xlfn.XLOOKUP($K464&amp;"",PERIPHERAL!$B$3:$B$954&amp;"",PERIPHERAL!$H$3:$H$954,""),"Utilities",_xlfn.XLOOKUP($K464&amp;"",UTILITIES!$B$3:$B$953&amp;"",UTILITIES!$G$3:$G$953,""),"IOT",_xlfn.XLOOKUP($K464&amp;"",IOT!$B$3:$B$1012&amp;"",IOT!$H$3:$H$1012,""),"Server",_xlfn.XLOOKUP($K464&amp;"",SERVER!$B$3:$B$1009&amp;"",SERVER!$H$3:$H$1009,""),""),IF(TRIM(_xlpm.srcCat)&lt;&gt;TRIM($J464),"",_xlfn.SWITCH($I464,"Computer",_xlfn.XLOOKUP($K464&amp;"",COMPUTER!$B$3:$B$1009&amp;"",COMPUTER!$AM$3:$AM$1009,""),"Display",_xlfn.XLOOKUP($K464&amp;"",DISPLAY!$B$3:$B$1000&amp;"",DISPLAY!$V$3:$V$1000,""),"Network Device",_xlfn.XLOOKUP($K464&amp;"",'NETWORK-DEVICES'!$B$3:$B$987&amp;"",'NETWORK-DEVICES'!$AF$3:$AF$987,""),"Peripheral",_xlfn.XLOOKUP($K464&amp;"",PERIPHERAL!$B$3:$B$954&amp;"",PERIPHERAL!$Y$3:$Y$954,""),"Utilities",_xlfn.XLOOKUP($K464&amp;"",UTILITIES!$B$3:$B$953&amp;"",UTILITIES!$O$3:$O$953,""),"IOT",_xlfn.XLOOKUP($K464&amp;"",IOT!$B$3:$B$1012&amp;"",IOT!$AB$3:$AB$1012,""),"Server",_xlfn.XLOOKUP($K464&amp;"",SERVER!$B$3:$B$1009&amp;"",SERVER!$AB$3:$AB$1009,""),""))))</f>
        <v/>
      </c>
      <c r="R464" s="43" t="str">
        <f>IF(tbl_handover[[#This Row],[Asset Code]]="","",COUNTIF(tbl_handover[Asset Code],tbl_handover[[#This Row],[Asset Code]]))</f>
        <v/>
      </c>
    </row>
    <row r="465" spans="1:18" x14ac:dyDescent="0.25">
      <c r="A465" s="43" t="str">
        <f>IF(B465&lt;&gt;"",SUBTOTAL(3,$B$1:B464),"")</f>
        <v/>
      </c>
      <c r="C465" s="74"/>
      <c r="D465" s="74"/>
      <c r="G465" s="1"/>
      <c r="K465" s="42"/>
      <c r="L465" t="str" cm="1">
        <f t="array" ref="L465">IF($K465="","",_xlfn.SWITCH($I465,"Computer",_xlfn.XLOOKUP($K465&amp;"",COMPUTER!$B$3:$B$1009&amp;"",COMPUTER!$I$3:$I$1009,""),"Display",_xlfn.XLOOKUP($K465&amp;"",DISPLAY!$B$3:$B$1000&amp;"",DISPLAY!$J$3:$J$1000,""),"Network Device",_xlfn.XLOOKUP($K465&amp;"",'NETWORK-DEVICES'!$B$3:$B$987&amp;"",'NETWORK-DEVICES'!$I$3:$I$987,""),"Peripheral",_xlfn.XLOOKUP($K465&amp;"",PERIPHERAL!$B$3:$B$954&amp;"",PERIPHERAL!$I$3:$I$954,""),"Utilities",_xlfn.XLOOKUP($K465&amp;"",UTILITIES!$B$3:$B$953&amp;"",UTILITIES!$H$3:$H$953,""),"IOT",_xlfn.XLOOKUP($K465&amp;"",IOT!$B$3:$B$1012&amp;"",IOT!$I$3:$I$1012,""),"SERVER",_xlfn.XLOOKUP($K465&amp;"",SERVER!$B$3:$B$1009&amp;"",SERVER!$I$3:$I$1009,""),""))</f>
        <v/>
      </c>
      <c r="M465" t="str" cm="1">
        <f t="array" ref="M465">IF($K465="","",_xlfn.SWITCH($I465,"Computer",_xlfn.XLOOKUP($K465&amp;"",COMPUTER!$B$3:$B$1009&amp;"",COMPUTER!$J$3:$J$1009,""),"Display",_xlfn.XLOOKUP($K465&amp;"",DISPLAY!$B$3:$B$1000&amp;"",DISPLAY!$K$3:$K$1000,""),"Network Device",_xlfn.XLOOKUP($K465&amp;"",'NETWORK-DEVICES'!$B$3:$B$987&amp;"",'NETWORK-DEVICES'!$I$3:$I$987,""),"Peripheral",_xlfn.XLOOKUP($K465&amp;"",PERIPHERAL!$B$3:$B$954&amp;"",PERIPHERAL!$J$3:$J$954,""),"Utilities",_xlfn.XLOOKUP($K465&amp;"",UTILITIES!$B$3:$B$953&amp;"",UTILITIES!$I$3:$I$953,""),"IOT",_xlfn.XLOOKUP($K465&amp;"",IOT!$B$3:$B$1012&amp;"",IOT!$J$3:$J$1012,""),"Server",_xlfn.XLOOKUP($K465&amp;"",SERVER!$B$3:$B$1009&amp;"",SERVER!$J$3:$J$1009,""),""))</f>
        <v/>
      </c>
      <c r="N465" s="1" t="str" cm="1">
        <f t="array" ref="N465">IF(OR($K465="",$I465="",$J465=""),"",_xlfn.LET(_xlpm.srcCat,_xlfn.SWITCH($I465,"Computer",_xlfn.XLOOKUP($K465&amp;"",COMPUTER!$B$3:$B$1009&amp;"",COMPUTER!$H$3:$H$1009,""),"Display",_xlfn.XLOOKUP($K465&amp;"",DISPLAY!$B$3:$B$1000&amp;"",DISPLAY!$H$3:$H$1000,""),"Network Device",_xlfn.XLOOKUP($K465&amp;"",'NETWORK-DEVICES'!$B$3:$B$987&amp;"",'NETWORK-DEVICES'!$H$3:$H$987,""),"Peripheral",_xlfn.XLOOKUP($K465&amp;"",PERIPHERAL!$B$3:$B$954&amp;"",PERIPHERAL!$H$3:$H$954,""),"Utilities",_xlfn.XLOOKUP($K465&amp;"",UTILITIES!$B$3:$B$953&amp;"",UTILITIES!$G$3:$G$953,""),"IOT",_xlfn.XLOOKUP($K465&amp;"",IOT!$B$3:$B$1012&amp;"",IOT!$H$3:$H$1012,""),"Server",_xlfn.XLOOKUP($K465&amp;"",SERVER!$B$3:$B$1009&amp;"",SERVER!$H$3:$H$1009,""),""),IF(TRIM(_xlpm.srcCat)&lt;&gt;TRIM($J465),"",_xlfn.SWITCH($I465,"Computer",_xlfn.XLOOKUP($K465&amp;"",COMPUTER!$B$3:$B$1009&amp;"",COMPUTER!$K$3:$K$1009,""),"Display",_xlfn.XLOOKUP($K465&amp;"",DISPLAY!$B$3:$B$1000&amp;"",DISPLAY!$L$3:$L$1000,""),"Network Device",_xlfn.XLOOKUP($K465&amp;"",'NETWORK-DEVICES'!$B$3:$B$987&amp;"",'NETWORK-DEVICES'!$K$3:$K$987,""),"Peripheral",_xlfn.XLOOKUP($K465&amp;"",PERIPHERAL!$B$3:$B$954&amp;"",PERIPHERAL!$K$3:$K$954,""),"Utilities",_xlfn.XLOOKUP($K465&amp;"",UTILITIES!$B$3:$B$953&amp;"",UTILITIES!$J$3:$J$953,""),"IOT",_xlfn.XLOOKUP($K465&amp;"",IOT!$B$3:$B$1012&amp;"",IOT!$K$4:$K$1012,""),"Server",_xlfn.XLOOKUP($K465&amp;"",SERVER!$B$3:$B$1009&amp;"",SERVER!$K$3:$K$1009,""),""))))</f>
        <v/>
      </c>
      <c r="O465" s="1" t="str" cm="1">
        <f t="array" ref="O465">IF(OR($K465="",$I465="",$J465=""),"",_xlfn.LET(_xlpm.srcCat,_xlfn.SWITCH($I465,"Computer",_xlfn.XLOOKUP($K465&amp;"",COMPUTER!$B$3:$B$1009&amp;"",COMPUTER!$H$3:$H$1009,""),"Display",_xlfn.XLOOKUP($K465&amp;"",DISPLAY!$B$3:$B$1000&amp;"",DISPLAY!$H$3:$H$1000,""),"Network Device",_xlfn.XLOOKUP($K465&amp;"",'NETWORK-DEVICES'!$B$3:$B$987&amp;"",'NETWORK-DEVICES'!$H$3:$H$987,""),"Peripheral",_xlfn.XLOOKUP($K465&amp;"",PERIPHERAL!$B$3:$B$954&amp;"",PERIPHERAL!$H$3:$H$954,""),"Utilities",_xlfn.XLOOKUP($K465&amp;"",UTILITIES!$B$3:$B$953&amp;"",UTILITIES!$G$3:$G$953,""),"IOT",_xlfn.XLOOKUP($K465&amp;"",IOT!$B$3:$B$1012&amp;"",IOT!$H$3:$H$1012,""),"Server",_xlfn.XLOOKUP($K465&amp;"",SERVER!$B$3:$B$1009&amp;"",SERVER!$H$3:$H$1009,""),""),IF(TRIM(_xlpm.srcCat)&lt;&gt;TRIM($J465),"",_xlfn.SWITCH($I465,"Computer",_xlfn.XLOOKUP($K465&amp;"",COMPUTER!$B$3:$B$1009&amp;"",COMPUTER!$E$3:$E$1009,""),"Display",_xlfn.XLOOKUP($K465&amp;"",DISPLAY!$B$3:$B$1000&amp;"",DISPLAY!$E$3:$E$1000,""),"Network Device",_xlfn.XLOOKUP($K465&amp;"",'NETWORK-DEVICES'!$B$3:$B$987&amp;"",'NETWORK-DEVICES'!$E$3:$E$987,""),"Peripheral",_xlfn.XLOOKUP($K465&amp;"",PERIPHERAL!$B$3:$B$954&amp;"",PERIPHERAL!$E$3:$E$954,""),"Utilities",_xlfn.XLOOKUP($K465&amp;"",UTILITIES!$B$3:$B$953&amp;"",UTILITIES!$E$3:$E$953,""),"IOT",_xlfn.XLOOKUP($K465&amp;"",IOT!$B$3:$B$1012&amp;"",IOT!$E$3:$E$1012,""),"Server",_xlfn.XLOOKUP($K465&amp;"",SERVER!$B$3:$B$1009&amp;"",SERVER!$E$3:$E$1009,""),""))))</f>
        <v/>
      </c>
      <c r="Q465" s="1" t="str" cm="1">
        <f t="array" ref="Q465">IF(OR($K465="",$I465="",$J465=""),"",_xlfn.LET(_xlpm.srcCat,_xlfn.SWITCH($I465,"Computer",_xlfn.XLOOKUP($K465&amp;"",COMPUTER!$B$3:$B$1009&amp;"",COMPUTER!$H$3:$H$1009,""),"Display",_xlfn.XLOOKUP($K465&amp;"",DISPLAY!$B$3:$B$1000&amp;"",DISPLAY!$H$3:$H$1000,""),"Network Device",_xlfn.XLOOKUP($K465&amp;"",'NETWORK-DEVICES'!$B$3:$B$987&amp;"",'NETWORK-DEVICES'!$H$3:$H$987,""),"Peripheral",_xlfn.XLOOKUP($K465&amp;"",PERIPHERAL!$B$3:$B$954&amp;"",PERIPHERAL!$H$3:$H$954,""),"Utilities",_xlfn.XLOOKUP($K465&amp;"",UTILITIES!$B$3:$B$953&amp;"",UTILITIES!$G$3:$G$953,""),"IOT",_xlfn.XLOOKUP($K465&amp;"",IOT!$B$3:$B$1012&amp;"",IOT!$H$3:$H$1012,""),"Server",_xlfn.XLOOKUP($K465&amp;"",SERVER!$B$3:$B$1009&amp;"",SERVER!$H$3:$H$1009,""),""),IF(TRIM(_xlpm.srcCat)&lt;&gt;TRIM($J465),"",_xlfn.SWITCH($I465,"Computer",_xlfn.XLOOKUP($K465&amp;"",COMPUTER!$B$3:$B$1009&amp;"",COMPUTER!$AM$3:$AM$1009,""),"Display",_xlfn.XLOOKUP($K465&amp;"",DISPLAY!$B$3:$B$1000&amp;"",DISPLAY!$V$3:$V$1000,""),"Network Device",_xlfn.XLOOKUP($K465&amp;"",'NETWORK-DEVICES'!$B$3:$B$987&amp;"",'NETWORK-DEVICES'!$AF$3:$AF$987,""),"Peripheral",_xlfn.XLOOKUP($K465&amp;"",PERIPHERAL!$B$3:$B$954&amp;"",PERIPHERAL!$Y$3:$Y$954,""),"Utilities",_xlfn.XLOOKUP($K465&amp;"",UTILITIES!$B$3:$B$953&amp;"",UTILITIES!$O$3:$O$953,""),"IOT",_xlfn.XLOOKUP($K465&amp;"",IOT!$B$3:$B$1012&amp;"",IOT!$AB$3:$AB$1012,""),"Server",_xlfn.XLOOKUP($K465&amp;"",SERVER!$B$3:$B$1009&amp;"",SERVER!$AB$3:$AB$1009,""),""))))</f>
        <v/>
      </c>
      <c r="R465" s="43" t="str">
        <f>IF(tbl_handover[[#This Row],[Asset Code]]="","",COUNTIF(tbl_handover[Asset Code],tbl_handover[[#This Row],[Asset Code]]))</f>
        <v/>
      </c>
    </row>
    <row r="466" spans="1:18" x14ac:dyDescent="0.25">
      <c r="A466" s="43" t="str">
        <f>IF(B466&lt;&gt;"",SUBTOTAL(3,$B$1:B465),"")</f>
        <v/>
      </c>
      <c r="C466" s="74"/>
      <c r="D466" s="74"/>
      <c r="G466" s="1"/>
      <c r="K466" s="42"/>
      <c r="L466" t="str" cm="1">
        <f t="array" ref="L466">IF($K466="","",_xlfn.SWITCH($I466,"Computer",_xlfn.XLOOKUP($K466&amp;"",COMPUTER!$B$3:$B$1009&amp;"",COMPUTER!$I$3:$I$1009,""),"Display",_xlfn.XLOOKUP($K466&amp;"",DISPLAY!$B$3:$B$1000&amp;"",DISPLAY!$J$3:$J$1000,""),"Network Device",_xlfn.XLOOKUP($K466&amp;"",'NETWORK-DEVICES'!$B$3:$B$987&amp;"",'NETWORK-DEVICES'!$I$3:$I$987,""),"Peripheral",_xlfn.XLOOKUP($K466&amp;"",PERIPHERAL!$B$3:$B$954&amp;"",PERIPHERAL!$I$3:$I$954,""),"Utilities",_xlfn.XLOOKUP($K466&amp;"",UTILITIES!$B$3:$B$953&amp;"",UTILITIES!$H$3:$H$953,""),"IOT",_xlfn.XLOOKUP($K466&amp;"",IOT!$B$3:$B$1012&amp;"",IOT!$I$3:$I$1012,""),"SERVER",_xlfn.XLOOKUP($K466&amp;"",SERVER!$B$3:$B$1009&amp;"",SERVER!$I$3:$I$1009,""),""))</f>
        <v/>
      </c>
      <c r="M466" t="str" cm="1">
        <f t="array" ref="M466">IF($K466="","",_xlfn.SWITCH($I466,"Computer",_xlfn.XLOOKUP($K466&amp;"",COMPUTER!$B$3:$B$1009&amp;"",COMPUTER!$J$3:$J$1009,""),"Display",_xlfn.XLOOKUP($K466&amp;"",DISPLAY!$B$3:$B$1000&amp;"",DISPLAY!$K$3:$K$1000,""),"Network Device",_xlfn.XLOOKUP($K466&amp;"",'NETWORK-DEVICES'!$B$3:$B$987&amp;"",'NETWORK-DEVICES'!$I$3:$I$987,""),"Peripheral",_xlfn.XLOOKUP($K466&amp;"",PERIPHERAL!$B$3:$B$954&amp;"",PERIPHERAL!$J$3:$J$954,""),"Utilities",_xlfn.XLOOKUP($K466&amp;"",UTILITIES!$B$3:$B$953&amp;"",UTILITIES!$I$3:$I$953,""),"IOT",_xlfn.XLOOKUP($K466&amp;"",IOT!$B$3:$B$1012&amp;"",IOT!$J$3:$J$1012,""),"Server",_xlfn.XLOOKUP($K466&amp;"",SERVER!$B$3:$B$1009&amp;"",SERVER!$J$3:$J$1009,""),""))</f>
        <v/>
      </c>
      <c r="N466" s="1" t="str" cm="1">
        <f t="array" ref="N466">IF(OR($K466="",$I466="",$J466=""),"",_xlfn.LET(_xlpm.srcCat,_xlfn.SWITCH($I466,"Computer",_xlfn.XLOOKUP($K466&amp;"",COMPUTER!$B$3:$B$1009&amp;"",COMPUTER!$H$3:$H$1009,""),"Display",_xlfn.XLOOKUP($K466&amp;"",DISPLAY!$B$3:$B$1000&amp;"",DISPLAY!$H$3:$H$1000,""),"Network Device",_xlfn.XLOOKUP($K466&amp;"",'NETWORK-DEVICES'!$B$3:$B$987&amp;"",'NETWORK-DEVICES'!$H$3:$H$987,""),"Peripheral",_xlfn.XLOOKUP($K466&amp;"",PERIPHERAL!$B$3:$B$954&amp;"",PERIPHERAL!$H$3:$H$954,""),"Utilities",_xlfn.XLOOKUP($K466&amp;"",UTILITIES!$B$3:$B$953&amp;"",UTILITIES!$G$3:$G$953,""),"IOT",_xlfn.XLOOKUP($K466&amp;"",IOT!$B$3:$B$1012&amp;"",IOT!$H$3:$H$1012,""),"Server",_xlfn.XLOOKUP($K466&amp;"",SERVER!$B$3:$B$1009&amp;"",SERVER!$H$3:$H$1009,""),""),IF(TRIM(_xlpm.srcCat)&lt;&gt;TRIM($J466),"",_xlfn.SWITCH($I466,"Computer",_xlfn.XLOOKUP($K466&amp;"",COMPUTER!$B$3:$B$1009&amp;"",COMPUTER!$K$3:$K$1009,""),"Display",_xlfn.XLOOKUP($K466&amp;"",DISPLAY!$B$3:$B$1000&amp;"",DISPLAY!$L$3:$L$1000,""),"Network Device",_xlfn.XLOOKUP($K466&amp;"",'NETWORK-DEVICES'!$B$3:$B$987&amp;"",'NETWORK-DEVICES'!$K$3:$K$987,""),"Peripheral",_xlfn.XLOOKUP($K466&amp;"",PERIPHERAL!$B$3:$B$954&amp;"",PERIPHERAL!$K$3:$K$954,""),"Utilities",_xlfn.XLOOKUP($K466&amp;"",UTILITIES!$B$3:$B$953&amp;"",UTILITIES!$J$3:$J$953,""),"IOT",_xlfn.XLOOKUP($K466&amp;"",IOT!$B$3:$B$1012&amp;"",IOT!$K$4:$K$1012,""),"Server",_xlfn.XLOOKUP($K466&amp;"",SERVER!$B$3:$B$1009&amp;"",SERVER!$K$3:$K$1009,""),""))))</f>
        <v/>
      </c>
      <c r="O466" s="1" t="str" cm="1">
        <f t="array" ref="O466">IF(OR($K466="",$I466="",$J466=""),"",_xlfn.LET(_xlpm.srcCat,_xlfn.SWITCH($I466,"Computer",_xlfn.XLOOKUP($K466&amp;"",COMPUTER!$B$3:$B$1009&amp;"",COMPUTER!$H$3:$H$1009,""),"Display",_xlfn.XLOOKUP($K466&amp;"",DISPLAY!$B$3:$B$1000&amp;"",DISPLAY!$H$3:$H$1000,""),"Network Device",_xlfn.XLOOKUP($K466&amp;"",'NETWORK-DEVICES'!$B$3:$B$987&amp;"",'NETWORK-DEVICES'!$H$3:$H$987,""),"Peripheral",_xlfn.XLOOKUP($K466&amp;"",PERIPHERAL!$B$3:$B$954&amp;"",PERIPHERAL!$H$3:$H$954,""),"Utilities",_xlfn.XLOOKUP($K466&amp;"",UTILITIES!$B$3:$B$953&amp;"",UTILITIES!$G$3:$G$953,""),"IOT",_xlfn.XLOOKUP($K466&amp;"",IOT!$B$3:$B$1012&amp;"",IOT!$H$3:$H$1012,""),"Server",_xlfn.XLOOKUP($K466&amp;"",SERVER!$B$3:$B$1009&amp;"",SERVER!$H$3:$H$1009,""),""),IF(TRIM(_xlpm.srcCat)&lt;&gt;TRIM($J466),"",_xlfn.SWITCH($I466,"Computer",_xlfn.XLOOKUP($K466&amp;"",COMPUTER!$B$3:$B$1009&amp;"",COMPUTER!$E$3:$E$1009,""),"Display",_xlfn.XLOOKUP($K466&amp;"",DISPLAY!$B$3:$B$1000&amp;"",DISPLAY!$E$3:$E$1000,""),"Network Device",_xlfn.XLOOKUP($K466&amp;"",'NETWORK-DEVICES'!$B$3:$B$987&amp;"",'NETWORK-DEVICES'!$E$3:$E$987,""),"Peripheral",_xlfn.XLOOKUP($K466&amp;"",PERIPHERAL!$B$3:$B$954&amp;"",PERIPHERAL!$E$3:$E$954,""),"Utilities",_xlfn.XLOOKUP($K466&amp;"",UTILITIES!$B$3:$B$953&amp;"",UTILITIES!$E$3:$E$953,""),"IOT",_xlfn.XLOOKUP($K466&amp;"",IOT!$B$3:$B$1012&amp;"",IOT!$E$3:$E$1012,""),"Server",_xlfn.XLOOKUP($K466&amp;"",SERVER!$B$3:$B$1009&amp;"",SERVER!$E$3:$E$1009,""),""))))</f>
        <v/>
      </c>
      <c r="Q466" s="1" t="str" cm="1">
        <f t="array" ref="Q466">IF(OR($K466="",$I466="",$J466=""),"",_xlfn.LET(_xlpm.srcCat,_xlfn.SWITCH($I466,"Computer",_xlfn.XLOOKUP($K466&amp;"",COMPUTER!$B$3:$B$1009&amp;"",COMPUTER!$H$3:$H$1009,""),"Display",_xlfn.XLOOKUP($K466&amp;"",DISPLAY!$B$3:$B$1000&amp;"",DISPLAY!$H$3:$H$1000,""),"Network Device",_xlfn.XLOOKUP($K466&amp;"",'NETWORK-DEVICES'!$B$3:$B$987&amp;"",'NETWORK-DEVICES'!$H$3:$H$987,""),"Peripheral",_xlfn.XLOOKUP($K466&amp;"",PERIPHERAL!$B$3:$B$954&amp;"",PERIPHERAL!$H$3:$H$954,""),"Utilities",_xlfn.XLOOKUP($K466&amp;"",UTILITIES!$B$3:$B$953&amp;"",UTILITIES!$G$3:$G$953,""),"IOT",_xlfn.XLOOKUP($K466&amp;"",IOT!$B$3:$B$1012&amp;"",IOT!$H$3:$H$1012,""),"Server",_xlfn.XLOOKUP($K466&amp;"",SERVER!$B$3:$B$1009&amp;"",SERVER!$H$3:$H$1009,""),""),IF(TRIM(_xlpm.srcCat)&lt;&gt;TRIM($J466),"",_xlfn.SWITCH($I466,"Computer",_xlfn.XLOOKUP($K466&amp;"",COMPUTER!$B$3:$B$1009&amp;"",COMPUTER!$AM$3:$AM$1009,""),"Display",_xlfn.XLOOKUP($K466&amp;"",DISPLAY!$B$3:$B$1000&amp;"",DISPLAY!$V$3:$V$1000,""),"Network Device",_xlfn.XLOOKUP($K466&amp;"",'NETWORK-DEVICES'!$B$3:$B$987&amp;"",'NETWORK-DEVICES'!$AF$3:$AF$987,""),"Peripheral",_xlfn.XLOOKUP($K466&amp;"",PERIPHERAL!$B$3:$B$954&amp;"",PERIPHERAL!$Y$3:$Y$954,""),"Utilities",_xlfn.XLOOKUP($K466&amp;"",UTILITIES!$B$3:$B$953&amp;"",UTILITIES!$O$3:$O$953,""),"IOT",_xlfn.XLOOKUP($K466&amp;"",IOT!$B$3:$B$1012&amp;"",IOT!$AB$3:$AB$1012,""),"Server",_xlfn.XLOOKUP($K466&amp;"",SERVER!$B$3:$B$1009&amp;"",SERVER!$AB$3:$AB$1009,""),""))))</f>
        <v/>
      </c>
      <c r="R466" s="43" t="str">
        <f>IF(tbl_handover[[#This Row],[Asset Code]]="","",COUNTIF(tbl_handover[Asset Code],tbl_handover[[#This Row],[Asset Code]]))</f>
        <v/>
      </c>
    </row>
    <row r="467" spans="1:18" x14ac:dyDescent="0.25">
      <c r="A467" s="43" t="str">
        <f>IF(B467&lt;&gt;"",SUBTOTAL(3,$B$1:B466),"")</f>
        <v/>
      </c>
      <c r="C467" s="74"/>
      <c r="D467" s="74"/>
      <c r="G467" s="1"/>
      <c r="K467" s="42"/>
      <c r="L467" t="str" cm="1">
        <f t="array" ref="L467">IF($K467="","",_xlfn.SWITCH($I467,"Computer",_xlfn.XLOOKUP($K467&amp;"",COMPUTER!$B$3:$B$1009&amp;"",COMPUTER!$I$3:$I$1009,""),"Display",_xlfn.XLOOKUP($K467&amp;"",DISPLAY!$B$3:$B$1000&amp;"",DISPLAY!$J$3:$J$1000,""),"Network Device",_xlfn.XLOOKUP($K467&amp;"",'NETWORK-DEVICES'!$B$3:$B$987&amp;"",'NETWORK-DEVICES'!$I$3:$I$987,""),"Peripheral",_xlfn.XLOOKUP($K467&amp;"",PERIPHERAL!$B$3:$B$954&amp;"",PERIPHERAL!$I$3:$I$954,""),"Utilities",_xlfn.XLOOKUP($K467&amp;"",UTILITIES!$B$3:$B$953&amp;"",UTILITIES!$H$3:$H$953,""),"IOT",_xlfn.XLOOKUP($K467&amp;"",IOT!$B$3:$B$1012&amp;"",IOT!$I$3:$I$1012,""),"SERVER",_xlfn.XLOOKUP($K467&amp;"",SERVER!$B$3:$B$1009&amp;"",SERVER!$I$3:$I$1009,""),""))</f>
        <v/>
      </c>
      <c r="M467" t="str" cm="1">
        <f t="array" ref="M467">IF($K467="","",_xlfn.SWITCH($I467,"Computer",_xlfn.XLOOKUP($K467&amp;"",COMPUTER!$B$3:$B$1009&amp;"",COMPUTER!$J$3:$J$1009,""),"Display",_xlfn.XLOOKUP($K467&amp;"",DISPLAY!$B$3:$B$1000&amp;"",DISPLAY!$K$3:$K$1000,""),"Network Device",_xlfn.XLOOKUP($K467&amp;"",'NETWORK-DEVICES'!$B$3:$B$987&amp;"",'NETWORK-DEVICES'!$I$3:$I$987,""),"Peripheral",_xlfn.XLOOKUP($K467&amp;"",PERIPHERAL!$B$3:$B$954&amp;"",PERIPHERAL!$J$3:$J$954,""),"Utilities",_xlfn.XLOOKUP($K467&amp;"",UTILITIES!$B$3:$B$953&amp;"",UTILITIES!$I$3:$I$953,""),"IOT",_xlfn.XLOOKUP($K467&amp;"",IOT!$B$3:$B$1012&amp;"",IOT!$J$3:$J$1012,""),"Server",_xlfn.XLOOKUP($K467&amp;"",SERVER!$B$3:$B$1009&amp;"",SERVER!$J$3:$J$1009,""),""))</f>
        <v/>
      </c>
      <c r="N467" s="1" t="str" cm="1">
        <f t="array" ref="N467">IF(OR($K467="",$I467="",$J467=""),"",_xlfn.LET(_xlpm.srcCat,_xlfn.SWITCH($I467,"Computer",_xlfn.XLOOKUP($K467&amp;"",COMPUTER!$B$3:$B$1009&amp;"",COMPUTER!$H$3:$H$1009,""),"Display",_xlfn.XLOOKUP($K467&amp;"",DISPLAY!$B$3:$B$1000&amp;"",DISPLAY!$H$3:$H$1000,""),"Network Device",_xlfn.XLOOKUP($K467&amp;"",'NETWORK-DEVICES'!$B$3:$B$987&amp;"",'NETWORK-DEVICES'!$H$3:$H$987,""),"Peripheral",_xlfn.XLOOKUP($K467&amp;"",PERIPHERAL!$B$3:$B$954&amp;"",PERIPHERAL!$H$3:$H$954,""),"Utilities",_xlfn.XLOOKUP($K467&amp;"",UTILITIES!$B$3:$B$953&amp;"",UTILITIES!$G$3:$G$953,""),"IOT",_xlfn.XLOOKUP($K467&amp;"",IOT!$B$3:$B$1012&amp;"",IOT!$H$3:$H$1012,""),"Server",_xlfn.XLOOKUP($K467&amp;"",SERVER!$B$3:$B$1009&amp;"",SERVER!$H$3:$H$1009,""),""),IF(TRIM(_xlpm.srcCat)&lt;&gt;TRIM($J467),"",_xlfn.SWITCH($I467,"Computer",_xlfn.XLOOKUP($K467&amp;"",COMPUTER!$B$3:$B$1009&amp;"",COMPUTER!$K$3:$K$1009,""),"Display",_xlfn.XLOOKUP($K467&amp;"",DISPLAY!$B$3:$B$1000&amp;"",DISPLAY!$L$3:$L$1000,""),"Network Device",_xlfn.XLOOKUP($K467&amp;"",'NETWORK-DEVICES'!$B$3:$B$987&amp;"",'NETWORK-DEVICES'!$K$3:$K$987,""),"Peripheral",_xlfn.XLOOKUP($K467&amp;"",PERIPHERAL!$B$3:$B$954&amp;"",PERIPHERAL!$K$3:$K$954,""),"Utilities",_xlfn.XLOOKUP($K467&amp;"",UTILITIES!$B$3:$B$953&amp;"",UTILITIES!$J$3:$J$953,""),"IOT",_xlfn.XLOOKUP($K467&amp;"",IOT!$B$3:$B$1012&amp;"",IOT!$K$4:$K$1012,""),"Server",_xlfn.XLOOKUP($K467&amp;"",SERVER!$B$3:$B$1009&amp;"",SERVER!$K$3:$K$1009,""),""))))</f>
        <v/>
      </c>
      <c r="O467" s="1" t="str" cm="1">
        <f t="array" ref="O467">IF(OR($K467="",$I467="",$J467=""),"",_xlfn.LET(_xlpm.srcCat,_xlfn.SWITCH($I467,"Computer",_xlfn.XLOOKUP($K467&amp;"",COMPUTER!$B$3:$B$1009&amp;"",COMPUTER!$H$3:$H$1009,""),"Display",_xlfn.XLOOKUP($K467&amp;"",DISPLAY!$B$3:$B$1000&amp;"",DISPLAY!$H$3:$H$1000,""),"Network Device",_xlfn.XLOOKUP($K467&amp;"",'NETWORK-DEVICES'!$B$3:$B$987&amp;"",'NETWORK-DEVICES'!$H$3:$H$987,""),"Peripheral",_xlfn.XLOOKUP($K467&amp;"",PERIPHERAL!$B$3:$B$954&amp;"",PERIPHERAL!$H$3:$H$954,""),"Utilities",_xlfn.XLOOKUP($K467&amp;"",UTILITIES!$B$3:$B$953&amp;"",UTILITIES!$G$3:$G$953,""),"IOT",_xlfn.XLOOKUP($K467&amp;"",IOT!$B$3:$B$1012&amp;"",IOT!$H$3:$H$1012,""),"Server",_xlfn.XLOOKUP($K467&amp;"",SERVER!$B$3:$B$1009&amp;"",SERVER!$H$3:$H$1009,""),""),IF(TRIM(_xlpm.srcCat)&lt;&gt;TRIM($J467),"",_xlfn.SWITCH($I467,"Computer",_xlfn.XLOOKUP($K467&amp;"",COMPUTER!$B$3:$B$1009&amp;"",COMPUTER!$E$3:$E$1009,""),"Display",_xlfn.XLOOKUP($K467&amp;"",DISPLAY!$B$3:$B$1000&amp;"",DISPLAY!$E$3:$E$1000,""),"Network Device",_xlfn.XLOOKUP($K467&amp;"",'NETWORK-DEVICES'!$B$3:$B$987&amp;"",'NETWORK-DEVICES'!$E$3:$E$987,""),"Peripheral",_xlfn.XLOOKUP($K467&amp;"",PERIPHERAL!$B$3:$B$954&amp;"",PERIPHERAL!$E$3:$E$954,""),"Utilities",_xlfn.XLOOKUP($K467&amp;"",UTILITIES!$B$3:$B$953&amp;"",UTILITIES!$E$3:$E$953,""),"IOT",_xlfn.XLOOKUP($K467&amp;"",IOT!$B$3:$B$1012&amp;"",IOT!$E$3:$E$1012,""),"Server",_xlfn.XLOOKUP($K467&amp;"",SERVER!$B$3:$B$1009&amp;"",SERVER!$E$3:$E$1009,""),""))))</f>
        <v/>
      </c>
      <c r="Q467" s="1" t="str" cm="1">
        <f t="array" ref="Q467">IF(OR($K467="",$I467="",$J467=""),"",_xlfn.LET(_xlpm.srcCat,_xlfn.SWITCH($I467,"Computer",_xlfn.XLOOKUP($K467&amp;"",COMPUTER!$B$3:$B$1009&amp;"",COMPUTER!$H$3:$H$1009,""),"Display",_xlfn.XLOOKUP($K467&amp;"",DISPLAY!$B$3:$B$1000&amp;"",DISPLAY!$H$3:$H$1000,""),"Network Device",_xlfn.XLOOKUP($K467&amp;"",'NETWORK-DEVICES'!$B$3:$B$987&amp;"",'NETWORK-DEVICES'!$H$3:$H$987,""),"Peripheral",_xlfn.XLOOKUP($K467&amp;"",PERIPHERAL!$B$3:$B$954&amp;"",PERIPHERAL!$H$3:$H$954,""),"Utilities",_xlfn.XLOOKUP($K467&amp;"",UTILITIES!$B$3:$B$953&amp;"",UTILITIES!$G$3:$G$953,""),"IOT",_xlfn.XLOOKUP($K467&amp;"",IOT!$B$3:$B$1012&amp;"",IOT!$H$3:$H$1012,""),"Server",_xlfn.XLOOKUP($K467&amp;"",SERVER!$B$3:$B$1009&amp;"",SERVER!$H$3:$H$1009,""),""),IF(TRIM(_xlpm.srcCat)&lt;&gt;TRIM($J467),"",_xlfn.SWITCH($I467,"Computer",_xlfn.XLOOKUP($K467&amp;"",COMPUTER!$B$3:$B$1009&amp;"",COMPUTER!$AM$3:$AM$1009,""),"Display",_xlfn.XLOOKUP($K467&amp;"",DISPLAY!$B$3:$B$1000&amp;"",DISPLAY!$V$3:$V$1000,""),"Network Device",_xlfn.XLOOKUP($K467&amp;"",'NETWORK-DEVICES'!$B$3:$B$987&amp;"",'NETWORK-DEVICES'!$AF$3:$AF$987,""),"Peripheral",_xlfn.XLOOKUP($K467&amp;"",PERIPHERAL!$B$3:$B$954&amp;"",PERIPHERAL!$Y$3:$Y$954,""),"Utilities",_xlfn.XLOOKUP($K467&amp;"",UTILITIES!$B$3:$B$953&amp;"",UTILITIES!$O$3:$O$953,""),"IOT",_xlfn.XLOOKUP($K467&amp;"",IOT!$B$3:$B$1012&amp;"",IOT!$AB$3:$AB$1012,""),"Server",_xlfn.XLOOKUP($K467&amp;"",SERVER!$B$3:$B$1009&amp;"",SERVER!$AB$3:$AB$1009,""),""))))</f>
        <v/>
      </c>
      <c r="R467" s="43" t="str">
        <f>IF(tbl_handover[[#This Row],[Asset Code]]="","",COUNTIF(tbl_handover[Asset Code],tbl_handover[[#This Row],[Asset Code]]))</f>
        <v/>
      </c>
    </row>
    <row r="468" spans="1:18" x14ac:dyDescent="0.25">
      <c r="A468" s="43" t="str">
        <f>IF(B468&lt;&gt;"",SUBTOTAL(3,$B$1:B467),"")</f>
        <v/>
      </c>
      <c r="C468" s="74"/>
      <c r="D468" s="74"/>
      <c r="G468" s="1"/>
      <c r="K468" s="42"/>
      <c r="L468" t="str" cm="1">
        <f t="array" ref="L468">IF($K468="","",_xlfn.SWITCH($I468,"Computer",_xlfn.XLOOKUP($K468&amp;"",COMPUTER!$B$3:$B$1009&amp;"",COMPUTER!$I$3:$I$1009,""),"Display",_xlfn.XLOOKUP($K468&amp;"",DISPLAY!$B$3:$B$1000&amp;"",DISPLAY!$J$3:$J$1000,""),"Network Device",_xlfn.XLOOKUP($K468&amp;"",'NETWORK-DEVICES'!$B$3:$B$987&amp;"",'NETWORK-DEVICES'!$I$3:$I$987,""),"Peripheral",_xlfn.XLOOKUP($K468&amp;"",PERIPHERAL!$B$3:$B$954&amp;"",PERIPHERAL!$I$3:$I$954,""),"Utilities",_xlfn.XLOOKUP($K468&amp;"",UTILITIES!$B$3:$B$953&amp;"",UTILITIES!$H$3:$H$953,""),"IOT",_xlfn.XLOOKUP($K468&amp;"",IOT!$B$3:$B$1012&amp;"",IOT!$I$3:$I$1012,""),"SERVER",_xlfn.XLOOKUP($K468&amp;"",SERVER!$B$3:$B$1009&amp;"",SERVER!$I$3:$I$1009,""),""))</f>
        <v/>
      </c>
      <c r="M468" t="str" cm="1">
        <f t="array" ref="M468">IF($K468="","",_xlfn.SWITCH($I468,"Computer",_xlfn.XLOOKUP($K468&amp;"",COMPUTER!$B$3:$B$1009&amp;"",COMPUTER!$J$3:$J$1009,""),"Display",_xlfn.XLOOKUP($K468&amp;"",DISPLAY!$B$3:$B$1000&amp;"",DISPLAY!$K$3:$K$1000,""),"Network Device",_xlfn.XLOOKUP($K468&amp;"",'NETWORK-DEVICES'!$B$3:$B$987&amp;"",'NETWORK-DEVICES'!$I$3:$I$987,""),"Peripheral",_xlfn.XLOOKUP($K468&amp;"",PERIPHERAL!$B$3:$B$954&amp;"",PERIPHERAL!$J$3:$J$954,""),"Utilities",_xlfn.XLOOKUP($K468&amp;"",UTILITIES!$B$3:$B$953&amp;"",UTILITIES!$I$3:$I$953,""),"IOT",_xlfn.XLOOKUP($K468&amp;"",IOT!$B$3:$B$1012&amp;"",IOT!$J$3:$J$1012,""),"Server",_xlfn.XLOOKUP($K468&amp;"",SERVER!$B$3:$B$1009&amp;"",SERVER!$J$3:$J$1009,""),""))</f>
        <v/>
      </c>
      <c r="N468" s="1" t="str" cm="1">
        <f t="array" ref="N468">IF(OR($K468="",$I468="",$J468=""),"",_xlfn.LET(_xlpm.srcCat,_xlfn.SWITCH($I468,"Computer",_xlfn.XLOOKUP($K468&amp;"",COMPUTER!$B$3:$B$1009&amp;"",COMPUTER!$H$3:$H$1009,""),"Display",_xlfn.XLOOKUP($K468&amp;"",DISPLAY!$B$3:$B$1000&amp;"",DISPLAY!$H$3:$H$1000,""),"Network Device",_xlfn.XLOOKUP($K468&amp;"",'NETWORK-DEVICES'!$B$3:$B$987&amp;"",'NETWORK-DEVICES'!$H$3:$H$987,""),"Peripheral",_xlfn.XLOOKUP($K468&amp;"",PERIPHERAL!$B$3:$B$954&amp;"",PERIPHERAL!$H$3:$H$954,""),"Utilities",_xlfn.XLOOKUP($K468&amp;"",UTILITIES!$B$3:$B$953&amp;"",UTILITIES!$G$3:$G$953,""),"IOT",_xlfn.XLOOKUP($K468&amp;"",IOT!$B$3:$B$1012&amp;"",IOT!$H$3:$H$1012,""),"Server",_xlfn.XLOOKUP($K468&amp;"",SERVER!$B$3:$B$1009&amp;"",SERVER!$H$3:$H$1009,""),""),IF(TRIM(_xlpm.srcCat)&lt;&gt;TRIM($J468),"",_xlfn.SWITCH($I468,"Computer",_xlfn.XLOOKUP($K468&amp;"",COMPUTER!$B$3:$B$1009&amp;"",COMPUTER!$K$3:$K$1009,""),"Display",_xlfn.XLOOKUP($K468&amp;"",DISPLAY!$B$3:$B$1000&amp;"",DISPLAY!$L$3:$L$1000,""),"Network Device",_xlfn.XLOOKUP($K468&amp;"",'NETWORK-DEVICES'!$B$3:$B$987&amp;"",'NETWORK-DEVICES'!$K$3:$K$987,""),"Peripheral",_xlfn.XLOOKUP($K468&amp;"",PERIPHERAL!$B$3:$B$954&amp;"",PERIPHERAL!$K$3:$K$954,""),"Utilities",_xlfn.XLOOKUP($K468&amp;"",UTILITIES!$B$3:$B$953&amp;"",UTILITIES!$J$3:$J$953,""),"IOT",_xlfn.XLOOKUP($K468&amp;"",IOT!$B$3:$B$1012&amp;"",IOT!$K$4:$K$1012,""),"Server",_xlfn.XLOOKUP($K468&amp;"",SERVER!$B$3:$B$1009&amp;"",SERVER!$K$3:$K$1009,""),""))))</f>
        <v/>
      </c>
      <c r="O468" s="1" t="str" cm="1">
        <f t="array" ref="O468">IF(OR($K468="",$I468="",$J468=""),"",_xlfn.LET(_xlpm.srcCat,_xlfn.SWITCH($I468,"Computer",_xlfn.XLOOKUP($K468&amp;"",COMPUTER!$B$3:$B$1009&amp;"",COMPUTER!$H$3:$H$1009,""),"Display",_xlfn.XLOOKUP($K468&amp;"",DISPLAY!$B$3:$B$1000&amp;"",DISPLAY!$H$3:$H$1000,""),"Network Device",_xlfn.XLOOKUP($K468&amp;"",'NETWORK-DEVICES'!$B$3:$B$987&amp;"",'NETWORK-DEVICES'!$H$3:$H$987,""),"Peripheral",_xlfn.XLOOKUP($K468&amp;"",PERIPHERAL!$B$3:$B$954&amp;"",PERIPHERAL!$H$3:$H$954,""),"Utilities",_xlfn.XLOOKUP($K468&amp;"",UTILITIES!$B$3:$B$953&amp;"",UTILITIES!$G$3:$G$953,""),"IOT",_xlfn.XLOOKUP($K468&amp;"",IOT!$B$3:$B$1012&amp;"",IOT!$H$3:$H$1012,""),"Server",_xlfn.XLOOKUP($K468&amp;"",SERVER!$B$3:$B$1009&amp;"",SERVER!$H$3:$H$1009,""),""),IF(TRIM(_xlpm.srcCat)&lt;&gt;TRIM($J468),"",_xlfn.SWITCH($I468,"Computer",_xlfn.XLOOKUP($K468&amp;"",COMPUTER!$B$3:$B$1009&amp;"",COMPUTER!$E$3:$E$1009,""),"Display",_xlfn.XLOOKUP($K468&amp;"",DISPLAY!$B$3:$B$1000&amp;"",DISPLAY!$E$3:$E$1000,""),"Network Device",_xlfn.XLOOKUP($K468&amp;"",'NETWORK-DEVICES'!$B$3:$B$987&amp;"",'NETWORK-DEVICES'!$E$3:$E$987,""),"Peripheral",_xlfn.XLOOKUP($K468&amp;"",PERIPHERAL!$B$3:$B$954&amp;"",PERIPHERAL!$E$3:$E$954,""),"Utilities",_xlfn.XLOOKUP($K468&amp;"",UTILITIES!$B$3:$B$953&amp;"",UTILITIES!$E$3:$E$953,""),"IOT",_xlfn.XLOOKUP($K468&amp;"",IOT!$B$3:$B$1012&amp;"",IOT!$E$3:$E$1012,""),"Server",_xlfn.XLOOKUP($K468&amp;"",SERVER!$B$3:$B$1009&amp;"",SERVER!$E$3:$E$1009,""),""))))</f>
        <v/>
      </c>
      <c r="Q468" s="1" t="str" cm="1">
        <f t="array" ref="Q468">IF(OR($K468="",$I468="",$J468=""),"",_xlfn.LET(_xlpm.srcCat,_xlfn.SWITCH($I468,"Computer",_xlfn.XLOOKUP($K468&amp;"",COMPUTER!$B$3:$B$1009&amp;"",COMPUTER!$H$3:$H$1009,""),"Display",_xlfn.XLOOKUP($K468&amp;"",DISPLAY!$B$3:$B$1000&amp;"",DISPLAY!$H$3:$H$1000,""),"Network Device",_xlfn.XLOOKUP($K468&amp;"",'NETWORK-DEVICES'!$B$3:$B$987&amp;"",'NETWORK-DEVICES'!$H$3:$H$987,""),"Peripheral",_xlfn.XLOOKUP($K468&amp;"",PERIPHERAL!$B$3:$B$954&amp;"",PERIPHERAL!$H$3:$H$954,""),"Utilities",_xlfn.XLOOKUP($K468&amp;"",UTILITIES!$B$3:$B$953&amp;"",UTILITIES!$G$3:$G$953,""),"IOT",_xlfn.XLOOKUP($K468&amp;"",IOT!$B$3:$B$1012&amp;"",IOT!$H$3:$H$1012,""),"Server",_xlfn.XLOOKUP($K468&amp;"",SERVER!$B$3:$B$1009&amp;"",SERVER!$H$3:$H$1009,""),""),IF(TRIM(_xlpm.srcCat)&lt;&gt;TRIM($J468),"",_xlfn.SWITCH($I468,"Computer",_xlfn.XLOOKUP($K468&amp;"",COMPUTER!$B$3:$B$1009&amp;"",COMPUTER!$AM$3:$AM$1009,""),"Display",_xlfn.XLOOKUP($K468&amp;"",DISPLAY!$B$3:$B$1000&amp;"",DISPLAY!$V$3:$V$1000,""),"Network Device",_xlfn.XLOOKUP($K468&amp;"",'NETWORK-DEVICES'!$B$3:$B$987&amp;"",'NETWORK-DEVICES'!$AF$3:$AF$987,""),"Peripheral",_xlfn.XLOOKUP($K468&amp;"",PERIPHERAL!$B$3:$B$954&amp;"",PERIPHERAL!$Y$3:$Y$954,""),"Utilities",_xlfn.XLOOKUP($K468&amp;"",UTILITIES!$B$3:$B$953&amp;"",UTILITIES!$O$3:$O$953,""),"IOT",_xlfn.XLOOKUP($K468&amp;"",IOT!$B$3:$B$1012&amp;"",IOT!$AB$3:$AB$1012,""),"Server",_xlfn.XLOOKUP($K468&amp;"",SERVER!$B$3:$B$1009&amp;"",SERVER!$AB$3:$AB$1009,""),""))))</f>
        <v/>
      </c>
      <c r="R468" s="43" t="str">
        <f>IF(tbl_handover[[#This Row],[Asset Code]]="","",COUNTIF(tbl_handover[Asset Code],tbl_handover[[#This Row],[Asset Code]]))</f>
        <v/>
      </c>
    </row>
    <row r="469" spans="1:18" x14ac:dyDescent="0.25">
      <c r="A469" s="43" t="str">
        <f>IF(B469&lt;&gt;"",SUBTOTAL(3,$B$1:B468),"")</f>
        <v/>
      </c>
      <c r="C469" s="74"/>
      <c r="D469" s="74"/>
      <c r="G469" s="1"/>
      <c r="K469" s="42"/>
      <c r="L469" t="str" cm="1">
        <f t="array" ref="L469">IF($K469="","",_xlfn.SWITCH($I469,"Computer",_xlfn.XLOOKUP($K469&amp;"",COMPUTER!$B$3:$B$1009&amp;"",COMPUTER!$I$3:$I$1009,""),"Display",_xlfn.XLOOKUP($K469&amp;"",DISPLAY!$B$3:$B$1000&amp;"",DISPLAY!$J$3:$J$1000,""),"Network Device",_xlfn.XLOOKUP($K469&amp;"",'NETWORK-DEVICES'!$B$3:$B$987&amp;"",'NETWORK-DEVICES'!$I$3:$I$987,""),"Peripheral",_xlfn.XLOOKUP($K469&amp;"",PERIPHERAL!$B$3:$B$954&amp;"",PERIPHERAL!$I$3:$I$954,""),"Utilities",_xlfn.XLOOKUP($K469&amp;"",UTILITIES!$B$3:$B$953&amp;"",UTILITIES!$H$3:$H$953,""),"IOT",_xlfn.XLOOKUP($K469&amp;"",IOT!$B$3:$B$1012&amp;"",IOT!$I$3:$I$1012,""),"SERVER",_xlfn.XLOOKUP($K469&amp;"",SERVER!$B$3:$B$1009&amp;"",SERVER!$I$3:$I$1009,""),""))</f>
        <v/>
      </c>
      <c r="M469" t="str" cm="1">
        <f t="array" ref="M469">IF($K469="","",_xlfn.SWITCH($I469,"Computer",_xlfn.XLOOKUP($K469&amp;"",COMPUTER!$B$3:$B$1009&amp;"",COMPUTER!$J$3:$J$1009,""),"Display",_xlfn.XLOOKUP($K469&amp;"",DISPLAY!$B$3:$B$1000&amp;"",DISPLAY!$K$3:$K$1000,""),"Network Device",_xlfn.XLOOKUP($K469&amp;"",'NETWORK-DEVICES'!$B$3:$B$987&amp;"",'NETWORK-DEVICES'!$I$3:$I$987,""),"Peripheral",_xlfn.XLOOKUP($K469&amp;"",PERIPHERAL!$B$3:$B$954&amp;"",PERIPHERAL!$J$3:$J$954,""),"Utilities",_xlfn.XLOOKUP($K469&amp;"",UTILITIES!$B$3:$B$953&amp;"",UTILITIES!$I$3:$I$953,""),"IOT",_xlfn.XLOOKUP($K469&amp;"",IOT!$B$3:$B$1012&amp;"",IOT!$J$3:$J$1012,""),"Server",_xlfn.XLOOKUP($K469&amp;"",SERVER!$B$3:$B$1009&amp;"",SERVER!$J$3:$J$1009,""),""))</f>
        <v/>
      </c>
      <c r="N469" s="1" t="str" cm="1">
        <f t="array" ref="N469">IF(OR($K469="",$I469="",$J469=""),"",_xlfn.LET(_xlpm.srcCat,_xlfn.SWITCH($I469,"Computer",_xlfn.XLOOKUP($K469&amp;"",COMPUTER!$B$3:$B$1009&amp;"",COMPUTER!$H$3:$H$1009,""),"Display",_xlfn.XLOOKUP($K469&amp;"",DISPLAY!$B$3:$B$1000&amp;"",DISPLAY!$H$3:$H$1000,""),"Network Device",_xlfn.XLOOKUP($K469&amp;"",'NETWORK-DEVICES'!$B$3:$B$987&amp;"",'NETWORK-DEVICES'!$H$3:$H$987,""),"Peripheral",_xlfn.XLOOKUP($K469&amp;"",PERIPHERAL!$B$3:$B$954&amp;"",PERIPHERAL!$H$3:$H$954,""),"Utilities",_xlfn.XLOOKUP($K469&amp;"",UTILITIES!$B$3:$B$953&amp;"",UTILITIES!$G$3:$G$953,""),"IOT",_xlfn.XLOOKUP($K469&amp;"",IOT!$B$3:$B$1012&amp;"",IOT!$H$3:$H$1012,""),"Server",_xlfn.XLOOKUP($K469&amp;"",SERVER!$B$3:$B$1009&amp;"",SERVER!$H$3:$H$1009,""),""),IF(TRIM(_xlpm.srcCat)&lt;&gt;TRIM($J469),"",_xlfn.SWITCH($I469,"Computer",_xlfn.XLOOKUP($K469&amp;"",COMPUTER!$B$3:$B$1009&amp;"",COMPUTER!$K$3:$K$1009,""),"Display",_xlfn.XLOOKUP($K469&amp;"",DISPLAY!$B$3:$B$1000&amp;"",DISPLAY!$L$3:$L$1000,""),"Network Device",_xlfn.XLOOKUP($K469&amp;"",'NETWORK-DEVICES'!$B$3:$B$987&amp;"",'NETWORK-DEVICES'!$K$3:$K$987,""),"Peripheral",_xlfn.XLOOKUP($K469&amp;"",PERIPHERAL!$B$3:$B$954&amp;"",PERIPHERAL!$K$3:$K$954,""),"Utilities",_xlfn.XLOOKUP($K469&amp;"",UTILITIES!$B$3:$B$953&amp;"",UTILITIES!$J$3:$J$953,""),"IOT",_xlfn.XLOOKUP($K469&amp;"",IOT!$B$3:$B$1012&amp;"",IOT!$K$4:$K$1012,""),"Server",_xlfn.XLOOKUP($K469&amp;"",SERVER!$B$3:$B$1009&amp;"",SERVER!$K$3:$K$1009,""),""))))</f>
        <v/>
      </c>
      <c r="O469" s="1" t="str" cm="1">
        <f t="array" ref="O469">IF(OR($K469="",$I469="",$J469=""),"",_xlfn.LET(_xlpm.srcCat,_xlfn.SWITCH($I469,"Computer",_xlfn.XLOOKUP($K469&amp;"",COMPUTER!$B$3:$B$1009&amp;"",COMPUTER!$H$3:$H$1009,""),"Display",_xlfn.XLOOKUP($K469&amp;"",DISPLAY!$B$3:$B$1000&amp;"",DISPLAY!$H$3:$H$1000,""),"Network Device",_xlfn.XLOOKUP($K469&amp;"",'NETWORK-DEVICES'!$B$3:$B$987&amp;"",'NETWORK-DEVICES'!$H$3:$H$987,""),"Peripheral",_xlfn.XLOOKUP($K469&amp;"",PERIPHERAL!$B$3:$B$954&amp;"",PERIPHERAL!$H$3:$H$954,""),"Utilities",_xlfn.XLOOKUP($K469&amp;"",UTILITIES!$B$3:$B$953&amp;"",UTILITIES!$G$3:$G$953,""),"IOT",_xlfn.XLOOKUP($K469&amp;"",IOT!$B$3:$B$1012&amp;"",IOT!$H$3:$H$1012,""),"Server",_xlfn.XLOOKUP($K469&amp;"",SERVER!$B$3:$B$1009&amp;"",SERVER!$H$3:$H$1009,""),""),IF(TRIM(_xlpm.srcCat)&lt;&gt;TRIM($J469),"",_xlfn.SWITCH($I469,"Computer",_xlfn.XLOOKUP($K469&amp;"",COMPUTER!$B$3:$B$1009&amp;"",COMPUTER!$E$3:$E$1009,""),"Display",_xlfn.XLOOKUP($K469&amp;"",DISPLAY!$B$3:$B$1000&amp;"",DISPLAY!$E$3:$E$1000,""),"Network Device",_xlfn.XLOOKUP($K469&amp;"",'NETWORK-DEVICES'!$B$3:$B$987&amp;"",'NETWORK-DEVICES'!$E$3:$E$987,""),"Peripheral",_xlfn.XLOOKUP($K469&amp;"",PERIPHERAL!$B$3:$B$954&amp;"",PERIPHERAL!$E$3:$E$954,""),"Utilities",_xlfn.XLOOKUP($K469&amp;"",UTILITIES!$B$3:$B$953&amp;"",UTILITIES!$E$3:$E$953,""),"IOT",_xlfn.XLOOKUP($K469&amp;"",IOT!$B$3:$B$1012&amp;"",IOT!$E$3:$E$1012,""),"Server",_xlfn.XLOOKUP($K469&amp;"",SERVER!$B$3:$B$1009&amp;"",SERVER!$E$3:$E$1009,""),""))))</f>
        <v/>
      </c>
      <c r="Q469" s="1" t="str" cm="1">
        <f t="array" ref="Q469">IF(OR($K469="",$I469="",$J469=""),"",_xlfn.LET(_xlpm.srcCat,_xlfn.SWITCH($I469,"Computer",_xlfn.XLOOKUP($K469&amp;"",COMPUTER!$B$3:$B$1009&amp;"",COMPUTER!$H$3:$H$1009,""),"Display",_xlfn.XLOOKUP($K469&amp;"",DISPLAY!$B$3:$B$1000&amp;"",DISPLAY!$H$3:$H$1000,""),"Network Device",_xlfn.XLOOKUP($K469&amp;"",'NETWORK-DEVICES'!$B$3:$B$987&amp;"",'NETWORK-DEVICES'!$H$3:$H$987,""),"Peripheral",_xlfn.XLOOKUP($K469&amp;"",PERIPHERAL!$B$3:$B$954&amp;"",PERIPHERAL!$H$3:$H$954,""),"Utilities",_xlfn.XLOOKUP($K469&amp;"",UTILITIES!$B$3:$B$953&amp;"",UTILITIES!$G$3:$G$953,""),"IOT",_xlfn.XLOOKUP($K469&amp;"",IOT!$B$3:$B$1012&amp;"",IOT!$H$3:$H$1012,""),"Server",_xlfn.XLOOKUP($K469&amp;"",SERVER!$B$3:$B$1009&amp;"",SERVER!$H$3:$H$1009,""),""),IF(TRIM(_xlpm.srcCat)&lt;&gt;TRIM($J469),"",_xlfn.SWITCH($I469,"Computer",_xlfn.XLOOKUP($K469&amp;"",COMPUTER!$B$3:$B$1009&amp;"",COMPUTER!$AM$3:$AM$1009,""),"Display",_xlfn.XLOOKUP($K469&amp;"",DISPLAY!$B$3:$B$1000&amp;"",DISPLAY!$V$3:$V$1000,""),"Network Device",_xlfn.XLOOKUP($K469&amp;"",'NETWORK-DEVICES'!$B$3:$B$987&amp;"",'NETWORK-DEVICES'!$AF$3:$AF$987,""),"Peripheral",_xlfn.XLOOKUP($K469&amp;"",PERIPHERAL!$B$3:$B$954&amp;"",PERIPHERAL!$Y$3:$Y$954,""),"Utilities",_xlfn.XLOOKUP($K469&amp;"",UTILITIES!$B$3:$B$953&amp;"",UTILITIES!$O$3:$O$953,""),"IOT",_xlfn.XLOOKUP($K469&amp;"",IOT!$B$3:$B$1012&amp;"",IOT!$AB$3:$AB$1012,""),"Server",_xlfn.XLOOKUP($K469&amp;"",SERVER!$B$3:$B$1009&amp;"",SERVER!$AB$3:$AB$1009,""),""))))</f>
        <v/>
      </c>
      <c r="R469" s="43" t="str">
        <f>IF(tbl_handover[[#This Row],[Asset Code]]="","",COUNTIF(tbl_handover[Asset Code],tbl_handover[[#This Row],[Asset Code]]))</f>
        <v/>
      </c>
    </row>
    <row r="470" spans="1:18" x14ac:dyDescent="0.25">
      <c r="A470" s="43" t="str">
        <f>IF(B470&lt;&gt;"",SUBTOTAL(3,$B$1:B469),"")</f>
        <v/>
      </c>
      <c r="C470" s="74"/>
      <c r="D470" s="74"/>
      <c r="G470" s="1"/>
      <c r="K470" s="42"/>
      <c r="L470" t="str" cm="1">
        <f t="array" ref="L470">IF($K470="","",_xlfn.SWITCH($I470,"Computer",_xlfn.XLOOKUP($K470&amp;"",COMPUTER!$B$3:$B$1009&amp;"",COMPUTER!$I$3:$I$1009,""),"Display",_xlfn.XLOOKUP($K470&amp;"",DISPLAY!$B$3:$B$1000&amp;"",DISPLAY!$J$3:$J$1000,""),"Network Device",_xlfn.XLOOKUP($K470&amp;"",'NETWORK-DEVICES'!$B$3:$B$987&amp;"",'NETWORK-DEVICES'!$I$3:$I$987,""),"Peripheral",_xlfn.XLOOKUP($K470&amp;"",PERIPHERAL!$B$3:$B$954&amp;"",PERIPHERAL!$I$3:$I$954,""),"Utilities",_xlfn.XLOOKUP($K470&amp;"",UTILITIES!$B$3:$B$953&amp;"",UTILITIES!$H$3:$H$953,""),"IOT",_xlfn.XLOOKUP($K470&amp;"",IOT!$B$3:$B$1012&amp;"",IOT!$I$3:$I$1012,""),"SERVER",_xlfn.XLOOKUP($K470&amp;"",SERVER!$B$3:$B$1009&amp;"",SERVER!$I$3:$I$1009,""),""))</f>
        <v/>
      </c>
      <c r="M470" t="str" cm="1">
        <f t="array" ref="M470">IF($K470="","",_xlfn.SWITCH($I470,"Computer",_xlfn.XLOOKUP($K470&amp;"",COMPUTER!$B$3:$B$1009&amp;"",COMPUTER!$J$3:$J$1009,""),"Display",_xlfn.XLOOKUP($K470&amp;"",DISPLAY!$B$3:$B$1000&amp;"",DISPLAY!$K$3:$K$1000,""),"Network Device",_xlfn.XLOOKUP($K470&amp;"",'NETWORK-DEVICES'!$B$3:$B$987&amp;"",'NETWORK-DEVICES'!$I$3:$I$987,""),"Peripheral",_xlfn.XLOOKUP($K470&amp;"",PERIPHERAL!$B$3:$B$954&amp;"",PERIPHERAL!$J$3:$J$954,""),"Utilities",_xlfn.XLOOKUP($K470&amp;"",UTILITIES!$B$3:$B$953&amp;"",UTILITIES!$I$3:$I$953,""),"IOT",_xlfn.XLOOKUP($K470&amp;"",IOT!$B$3:$B$1012&amp;"",IOT!$J$3:$J$1012,""),"Server",_xlfn.XLOOKUP($K470&amp;"",SERVER!$B$3:$B$1009&amp;"",SERVER!$J$3:$J$1009,""),""))</f>
        <v/>
      </c>
      <c r="N470" s="1" t="str" cm="1">
        <f t="array" ref="N470">IF(OR($K470="",$I470="",$J470=""),"",_xlfn.LET(_xlpm.srcCat,_xlfn.SWITCH($I470,"Computer",_xlfn.XLOOKUP($K470&amp;"",COMPUTER!$B$3:$B$1009&amp;"",COMPUTER!$H$3:$H$1009,""),"Display",_xlfn.XLOOKUP($K470&amp;"",DISPLAY!$B$3:$B$1000&amp;"",DISPLAY!$H$3:$H$1000,""),"Network Device",_xlfn.XLOOKUP($K470&amp;"",'NETWORK-DEVICES'!$B$3:$B$987&amp;"",'NETWORK-DEVICES'!$H$3:$H$987,""),"Peripheral",_xlfn.XLOOKUP($K470&amp;"",PERIPHERAL!$B$3:$B$954&amp;"",PERIPHERAL!$H$3:$H$954,""),"Utilities",_xlfn.XLOOKUP($K470&amp;"",UTILITIES!$B$3:$B$953&amp;"",UTILITIES!$G$3:$G$953,""),"IOT",_xlfn.XLOOKUP($K470&amp;"",IOT!$B$3:$B$1012&amp;"",IOT!$H$3:$H$1012,""),"Server",_xlfn.XLOOKUP($K470&amp;"",SERVER!$B$3:$B$1009&amp;"",SERVER!$H$3:$H$1009,""),""),IF(TRIM(_xlpm.srcCat)&lt;&gt;TRIM($J470),"",_xlfn.SWITCH($I470,"Computer",_xlfn.XLOOKUP($K470&amp;"",COMPUTER!$B$3:$B$1009&amp;"",COMPUTER!$K$3:$K$1009,""),"Display",_xlfn.XLOOKUP($K470&amp;"",DISPLAY!$B$3:$B$1000&amp;"",DISPLAY!$L$3:$L$1000,""),"Network Device",_xlfn.XLOOKUP($K470&amp;"",'NETWORK-DEVICES'!$B$3:$B$987&amp;"",'NETWORK-DEVICES'!$K$3:$K$987,""),"Peripheral",_xlfn.XLOOKUP($K470&amp;"",PERIPHERAL!$B$3:$B$954&amp;"",PERIPHERAL!$K$3:$K$954,""),"Utilities",_xlfn.XLOOKUP($K470&amp;"",UTILITIES!$B$3:$B$953&amp;"",UTILITIES!$J$3:$J$953,""),"IOT",_xlfn.XLOOKUP($K470&amp;"",IOT!$B$3:$B$1012&amp;"",IOT!$K$4:$K$1012,""),"Server",_xlfn.XLOOKUP($K470&amp;"",SERVER!$B$3:$B$1009&amp;"",SERVER!$K$3:$K$1009,""),""))))</f>
        <v/>
      </c>
      <c r="O470" s="1" t="str" cm="1">
        <f t="array" ref="O470">IF(OR($K470="",$I470="",$J470=""),"",_xlfn.LET(_xlpm.srcCat,_xlfn.SWITCH($I470,"Computer",_xlfn.XLOOKUP($K470&amp;"",COMPUTER!$B$3:$B$1009&amp;"",COMPUTER!$H$3:$H$1009,""),"Display",_xlfn.XLOOKUP($K470&amp;"",DISPLAY!$B$3:$B$1000&amp;"",DISPLAY!$H$3:$H$1000,""),"Network Device",_xlfn.XLOOKUP($K470&amp;"",'NETWORK-DEVICES'!$B$3:$B$987&amp;"",'NETWORK-DEVICES'!$H$3:$H$987,""),"Peripheral",_xlfn.XLOOKUP($K470&amp;"",PERIPHERAL!$B$3:$B$954&amp;"",PERIPHERAL!$H$3:$H$954,""),"Utilities",_xlfn.XLOOKUP($K470&amp;"",UTILITIES!$B$3:$B$953&amp;"",UTILITIES!$G$3:$G$953,""),"IOT",_xlfn.XLOOKUP($K470&amp;"",IOT!$B$3:$B$1012&amp;"",IOT!$H$3:$H$1012,""),"Server",_xlfn.XLOOKUP($K470&amp;"",SERVER!$B$3:$B$1009&amp;"",SERVER!$H$3:$H$1009,""),""),IF(TRIM(_xlpm.srcCat)&lt;&gt;TRIM($J470),"",_xlfn.SWITCH($I470,"Computer",_xlfn.XLOOKUP($K470&amp;"",COMPUTER!$B$3:$B$1009&amp;"",COMPUTER!$E$3:$E$1009,""),"Display",_xlfn.XLOOKUP($K470&amp;"",DISPLAY!$B$3:$B$1000&amp;"",DISPLAY!$E$3:$E$1000,""),"Network Device",_xlfn.XLOOKUP($K470&amp;"",'NETWORK-DEVICES'!$B$3:$B$987&amp;"",'NETWORK-DEVICES'!$E$3:$E$987,""),"Peripheral",_xlfn.XLOOKUP($K470&amp;"",PERIPHERAL!$B$3:$B$954&amp;"",PERIPHERAL!$E$3:$E$954,""),"Utilities",_xlfn.XLOOKUP($K470&amp;"",UTILITIES!$B$3:$B$953&amp;"",UTILITIES!$E$3:$E$953,""),"IOT",_xlfn.XLOOKUP($K470&amp;"",IOT!$B$3:$B$1012&amp;"",IOT!$E$3:$E$1012,""),"Server",_xlfn.XLOOKUP($K470&amp;"",SERVER!$B$3:$B$1009&amp;"",SERVER!$E$3:$E$1009,""),""))))</f>
        <v/>
      </c>
      <c r="Q470" s="1" t="str" cm="1">
        <f t="array" ref="Q470">IF(OR($K470="",$I470="",$J470=""),"",_xlfn.LET(_xlpm.srcCat,_xlfn.SWITCH($I470,"Computer",_xlfn.XLOOKUP($K470&amp;"",COMPUTER!$B$3:$B$1009&amp;"",COMPUTER!$H$3:$H$1009,""),"Display",_xlfn.XLOOKUP($K470&amp;"",DISPLAY!$B$3:$B$1000&amp;"",DISPLAY!$H$3:$H$1000,""),"Network Device",_xlfn.XLOOKUP($K470&amp;"",'NETWORK-DEVICES'!$B$3:$B$987&amp;"",'NETWORK-DEVICES'!$H$3:$H$987,""),"Peripheral",_xlfn.XLOOKUP($K470&amp;"",PERIPHERAL!$B$3:$B$954&amp;"",PERIPHERAL!$H$3:$H$954,""),"Utilities",_xlfn.XLOOKUP($K470&amp;"",UTILITIES!$B$3:$B$953&amp;"",UTILITIES!$G$3:$G$953,""),"IOT",_xlfn.XLOOKUP($K470&amp;"",IOT!$B$3:$B$1012&amp;"",IOT!$H$3:$H$1012,""),"Server",_xlfn.XLOOKUP($K470&amp;"",SERVER!$B$3:$B$1009&amp;"",SERVER!$H$3:$H$1009,""),""),IF(TRIM(_xlpm.srcCat)&lt;&gt;TRIM($J470),"",_xlfn.SWITCH($I470,"Computer",_xlfn.XLOOKUP($K470&amp;"",COMPUTER!$B$3:$B$1009&amp;"",COMPUTER!$AM$3:$AM$1009,""),"Display",_xlfn.XLOOKUP($K470&amp;"",DISPLAY!$B$3:$B$1000&amp;"",DISPLAY!$V$3:$V$1000,""),"Network Device",_xlfn.XLOOKUP($K470&amp;"",'NETWORK-DEVICES'!$B$3:$B$987&amp;"",'NETWORK-DEVICES'!$AF$3:$AF$987,""),"Peripheral",_xlfn.XLOOKUP($K470&amp;"",PERIPHERAL!$B$3:$B$954&amp;"",PERIPHERAL!$Y$3:$Y$954,""),"Utilities",_xlfn.XLOOKUP($K470&amp;"",UTILITIES!$B$3:$B$953&amp;"",UTILITIES!$O$3:$O$953,""),"IOT",_xlfn.XLOOKUP($K470&amp;"",IOT!$B$3:$B$1012&amp;"",IOT!$AB$3:$AB$1012,""),"Server",_xlfn.XLOOKUP($K470&amp;"",SERVER!$B$3:$B$1009&amp;"",SERVER!$AB$3:$AB$1009,""),""))))</f>
        <v/>
      </c>
      <c r="R470" s="43" t="str">
        <f>IF(tbl_handover[[#This Row],[Asset Code]]="","",COUNTIF(tbl_handover[Asset Code],tbl_handover[[#This Row],[Asset Code]]))</f>
        <v/>
      </c>
    </row>
    <row r="471" spans="1:18" x14ac:dyDescent="0.25">
      <c r="A471" s="43" t="str">
        <f>IF(B471&lt;&gt;"",SUBTOTAL(3,$B$1:B470),"")</f>
        <v/>
      </c>
      <c r="C471" s="74"/>
      <c r="D471" s="74"/>
      <c r="G471" s="1"/>
      <c r="K471" s="42"/>
      <c r="L471" t="str" cm="1">
        <f t="array" ref="L471">IF($K471="","",_xlfn.SWITCH($I471,"Computer",_xlfn.XLOOKUP($K471&amp;"",COMPUTER!$B$3:$B$1009&amp;"",COMPUTER!$I$3:$I$1009,""),"Display",_xlfn.XLOOKUP($K471&amp;"",DISPLAY!$B$3:$B$1000&amp;"",DISPLAY!$J$3:$J$1000,""),"Network Device",_xlfn.XLOOKUP($K471&amp;"",'NETWORK-DEVICES'!$B$3:$B$987&amp;"",'NETWORK-DEVICES'!$I$3:$I$987,""),"Peripheral",_xlfn.XLOOKUP($K471&amp;"",PERIPHERAL!$B$3:$B$954&amp;"",PERIPHERAL!$I$3:$I$954,""),"Utilities",_xlfn.XLOOKUP($K471&amp;"",UTILITIES!$B$3:$B$953&amp;"",UTILITIES!$H$3:$H$953,""),"IOT",_xlfn.XLOOKUP($K471&amp;"",IOT!$B$3:$B$1012&amp;"",IOT!$I$3:$I$1012,""),"SERVER",_xlfn.XLOOKUP($K471&amp;"",SERVER!$B$3:$B$1009&amp;"",SERVER!$I$3:$I$1009,""),""))</f>
        <v/>
      </c>
      <c r="M471" t="str" cm="1">
        <f t="array" ref="M471">IF($K471="","",_xlfn.SWITCH($I471,"Computer",_xlfn.XLOOKUP($K471&amp;"",COMPUTER!$B$3:$B$1009&amp;"",COMPUTER!$J$3:$J$1009,""),"Display",_xlfn.XLOOKUP($K471&amp;"",DISPLAY!$B$3:$B$1000&amp;"",DISPLAY!$K$3:$K$1000,""),"Network Device",_xlfn.XLOOKUP($K471&amp;"",'NETWORK-DEVICES'!$B$3:$B$987&amp;"",'NETWORK-DEVICES'!$I$3:$I$987,""),"Peripheral",_xlfn.XLOOKUP($K471&amp;"",PERIPHERAL!$B$3:$B$954&amp;"",PERIPHERAL!$J$3:$J$954,""),"Utilities",_xlfn.XLOOKUP($K471&amp;"",UTILITIES!$B$3:$B$953&amp;"",UTILITIES!$I$3:$I$953,""),"IOT",_xlfn.XLOOKUP($K471&amp;"",IOT!$B$3:$B$1012&amp;"",IOT!$J$3:$J$1012,""),"Server",_xlfn.XLOOKUP($K471&amp;"",SERVER!$B$3:$B$1009&amp;"",SERVER!$J$3:$J$1009,""),""))</f>
        <v/>
      </c>
      <c r="N471" s="1" t="str" cm="1">
        <f t="array" ref="N471">IF(OR($K471="",$I471="",$J471=""),"",_xlfn.LET(_xlpm.srcCat,_xlfn.SWITCH($I471,"Computer",_xlfn.XLOOKUP($K471&amp;"",COMPUTER!$B$3:$B$1009&amp;"",COMPUTER!$H$3:$H$1009,""),"Display",_xlfn.XLOOKUP($K471&amp;"",DISPLAY!$B$3:$B$1000&amp;"",DISPLAY!$H$3:$H$1000,""),"Network Device",_xlfn.XLOOKUP($K471&amp;"",'NETWORK-DEVICES'!$B$3:$B$987&amp;"",'NETWORK-DEVICES'!$H$3:$H$987,""),"Peripheral",_xlfn.XLOOKUP($K471&amp;"",PERIPHERAL!$B$3:$B$954&amp;"",PERIPHERAL!$H$3:$H$954,""),"Utilities",_xlfn.XLOOKUP($K471&amp;"",UTILITIES!$B$3:$B$953&amp;"",UTILITIES!$G$3:$G$953,""),"IOT",_xlfn.XLOOKUP($K471&amp;"",IOT!$B$3:$B$1012&amp;"",IOT!$H$3:$H$1012,""),"Server",_xlfn.XLOOKUP($K471&amp;"",SERVER!$B$3:$B$1009&amp;"",SERVER!$H$3:$H$1009,""),""),IF(TRIM(_xlpm.srcCat)&lt;&gt;TRIM($J471),"",_xlfn.SWITCH($I471,"Computer",_xlfn.XLOOKUP($K471&amp;"",COMPUTER!$B$3:$B$1009&amp;"",COMPUTER!$K$3:$K$1009,""),"Display",_xlfn.XLOOKUP($K471&amp;"",DISPLAY!$B$3:$B$1000&amp;"",DISPLAY!$L$3:$L$1000,""),"Network Device",_xlfn.XLOOKUP($K471&amp;"",'NETWORK-DEVICES'!$B$3:$B$987&amp;"",'NETWORK-DEVICES'!$K$3:$K$987,""),"Peripheral",_xlfn.XLOOKUP($K471&amp;"",PERIPHERAL!$B$3:$B$954&amp;"",PERIPHERAL!$K$3:$K$954,""),"Utilities",_xlfn.XLOOKUP($K471&amp;"",UTILITIES!$B$3:$B$953&amp;"",UTILITIES!$J$3:$J$953,""),"IOT",_xlfn.XLOOKUP($K471&amp;"",IOT!$B$3:$B$1012&amp;"",IOT!$K$4:$K$1012,""),"Server",_xlfn.XLOOKUP($K471&amp;"",SERVER!$B$3:$B$1009&amp;"",SERVER!$K$3:$K$1009,""),""))))</f>
        <v/>
      </c>
      <c r="O471" s="1" t="str" cm="1">
        <f t="array" ref="O471">IF(OR($K471="",$I471="",$J471=""),"",_xlfn.LET(_xlpm.srcCat,_xlfn.SWITCH($I471,"Computer",_xlfn.XLOOKUP($K471&amp;"",COMPUTER!$B$3:$B$1009&amp;"",COMPUTER!$H$3:$H$1009,""),"Display",_xlfn.XLOOKUP($K471&amp;"",DISPLAY!$B$3:$B$1000&amp;"",DISPLAY!$H$3:$H$1000,""),"Network Device",_xlfn.XLOOKUP($K471&amp;"",'NETWORK-DEVICES'!$B$3:$B$987&amp;"",'NETWORK-DEVICES'!$H$3:$H$987,""),"Peripheral",_xlfn.XLOOKUP($K471&amp;"",PERIPHERAL!$B$3:$B$954&amp;"",PERIPHERAL!$H$3:$H$954,""),"Utilities",_xlfn.XLOOKUP($K471&amp;"",UTILITIES!$B$3:$B$953&amp;"",UTILITIES!$G$3:$G$953,""),"IOT",_xlfn.XLOOKUP($K471&amp;"",IOT!$B$3:$B$1012&amp;"",IOT!$H$3:$H$1012,""),"Server",_xlfn.XLOOKUP($K471&amp;"",SERVER!$B$3:$B$1009&amp;"",SERVER!$H$3:$H$1009,""),""),IF(TRIM(_xlpm.srcCat)&lt;&gt;TRIM($J471),"",_xlfn.SWITCH($I471,"Computer",_xlfn.XLOOKUP($K471&amp;"",COMPUTER!$B$3:$B$1009&amp;"",COMPUTER!$E$3:$E$1009,""),"Display",_xlfn.XLOOKUP($K471&amp;"",DISPLAY!$B$3:$B$1000&amp;"",DISPLAY!$E$3:$E$1000,""),"Network Device",_xlfn.XLOOKUP($K471&amp;"",'NETWORK-DEVICES'!$B$3:$B$987&amp;"",'NETWORK-DEVICES'!$E$3:$E$987,""),"Peripheral",_xlfn.XLOOKUP($K471&amp;"",PERIPHERAL!$B$3:$B$954&amp;"",PERIPHERAL!$E$3:$E$954,""),"Utilities",_xlfn.XLOOKUP($K471&amp;"",UTILITIES!$B$3:$B$953&amp;"",UTILITIES!$E$3:$E$953,""),"IOT",_xlfn.XLOOKUP($K471&amp;"",IOT!$B$3:$B$1012&amp;"",IOT!$E$3:$E$1012,""),"Server",_xlfn.XLOOKUP($K471&amp;"",SERVER!$B$3:$B$1009&amp;"",SERVER!$E$3:$E$1009,""),""))))</f>
        <v/>
      </c>
      <c r="Q471" s="1" t="str" cm="1">
        <f t="array" ref="Q471">IF(OR($K471="",$I471="",$J471=""),"",_xlfn.LET(_xlpm.srcCat,_xlfn.SWITCH($I471,"Computer",_xlfn.XLOOKUP($K471&amp;"",COMPUTER!$B$3:$B$1009&amp;"",COMPUTER!$H$3:$H$1009,""),"Display",_xlfn.XLOOKUP($K471&amp;"",DISPLAY!$B$3:$B$1000&amp;"",DISPLAY!$H$3:$H$1000,""),"Network Device",_xlfn.XLOOKUP($K471&amp;"",'NETWORK-DEVICES'!$B$3:$B$987&amp;"",'NETWORK-DEVICES'!$H$3:$H$987,""),"Peripheral",_xlfn.XLOOKUP($K471&amp;"",PERIPHERAL!$B$3:$B$954&amp;"",PERIPHERAL!$H$3:$H$954,""),"Utilities",_xlfn.XLOOKUP($K471&amp;"",UTILITIES!$B$3:$B$953&amp;"",UTILITIES!$G$3:$G$953,""),"IOT",_xlfn.XLOOKUP($K471&amp;"",IOT!$B$3:$B$1012&amp;"",IOT!$H$3:$H$1012,""),"Server",_xlfn.XLOOKUP($K471&amp;"",SERVER!$B$3:$B$1009&amp;"",SERVER!$H$3:$H$1009,""),""),IF(TRIM(_xlpm.srcCat)&lt;&gt;TRIM($J471),"",_xlfn.SWITCH($I471,"Computer",_xlfn.XLOOKUP($K471&amp;"",COMPUTER!$B$3:$B$1009&amp;"",COMPUTER!$AM$3:$AM$1009,""),"Display",_xlfn.XLOOKUP($K471&amp;"",DISPLAY!$B$3:$B$1000&amp;"",DISPLAY!$V$3:$V$1000,""),"Network Device",_xlfn.XLOOKUP($K471&amp;"",'NETWORK-DEVICES'!$B$3:$B$987&amp;"",'NETWORK-DEVICES'!$AF$3:$AF$987,""),"Peripheral",_xlfn.XLOOKUP($K471&amp;"",PERIPHERAL!$B$3:$B$954&amp;"",PERIPHERAL!$Y$3:$Y$954,""),"Utilities",_xlfn.XLOOKUP($K471&amp;"",UTILITIES!$B$3:$B$953&amp;"",UTILITIES!$O$3:$O$953,""),"IOT",_xlfn.XLOOKUP($K471&amp;"",IOT!$B$3:$B$1012&amp;"",IOT!$AB$3:$AB$1012,""),"Server",_xlfn.XLOOKUP($K471&amp;"",SERVER!$B$3:$B$1009&amp;"",SERVER!$AB$3:$AB$1009,""),""))))</f>
        <v/>
      </c>
      <c r="R471" s="43" t="str">
        <f>IF(tbl_handover[[#This Row],[Asset Code]]="","",COUNTIF(tbl_handover[Asset Code],tbl_handover[[#This Row],[Asset Code]]))</f>
        <v/>
      </c>
    </row>
    <row r="472" spans="1:18" x14ac:dyDescent="0.25">
      <c r="A472" s="43" t="str">
        <f>IF(B472&lt;&gt;"",SUBTOTAL(3,$B$1:B471),"")</f>
        <v/>
      </c>
      <c r="C472" s="74"/>
      <c r="D472" s="74"/>
      <c r="G472" s="1"/>
      <c r="K472" s="42"/>
      <c r="L472" t="str" cm="1">
        <f t="array" ref="L472">IF($K472="","",_xlfn.SWITCH($I472,"Computer",_xlfn.XLOOKUP($K472&amp;"",COMPUTER!$B$3:$B$1009&amp;"",COMPUTER!$I$3:$I$1009,""),"Display",_xlfn.XLOOKUP($K472&amp;"",DISPLAY!$B$3:$B$1000&amp;"",DISPLAY!$J$3:$J$1000,""),"Network Device",_xlfn.XLOOKUP($K472&amp;"",'NETWORK-DEVICES'!$B$3:$B$987&amp;"",'NETWORK-DEVICES'!$I$3:$I$987,""),"Peripheral",_xlfn.XLOOKUP($K472&amp;"",PERIPHERAL!$B$3:$B$954&amp;"",PERIPHERAL!$I$3:$I$954,""),"Utilities",_xlfn.XLOOKUP($K472&amp;"",UTILITIES!$B$3:$B$953&amp;"",UTILITIES!$H$3:$H$953,""),"IOT",_xlfn.XLOOKUP($K472&amp;"",IOT!$B$3:$B$1012&amp;"",IOT!$I$3:$I$1012,""),"SERVER",_xlfn.XLOOKUP($K472&amp;"",SERVER!$B$3:$B$1009&amp;"",SERVER!$I$3:$I$1009,""),""))</f>
        <v/>
      </c>
      <c r="M472" t="str" cm="1">
        <f t="array" ref="M472">IF($K472="","",_xlfn.SWITCH($I472,"Computer",_xlfn.XLOOKUP($K472&amp;"",COMPUTER!$B$3:$B$1009&amp;"",COMPUTER!$J$3:$J$1009,""),"Display",_xlfn.XLOOKUP($K472&amp;"",DISPLAY!$B$3:$B$1000&amp;"",DISPLAY!$K$3:$K$1000,""),"Network Device",_xlfn.XLOOKUP($K472&amp;"",'NETWORK-DEVICES'!$B$3:$B$987&amp;"",'NETWORK-DEVICES'!$I$3:$I$987,""),"Peripheral",_xlfn.XLOOKUP($K472&amp;"",PERIPHERAL!$B$3:$B$954&amp;"",PERIPHERAL!$J$3:$J$954,""),"Utilities",_xlfn.XLOOKUP($K472&amp;"",UTILITIES!$B$3:$B$953&amp;"",UTILITIES!$I$3:$I$953,""),"IOT",_xlfn.XLOOKUP($K472&amp;"",IOT!$B$3:$B$1012&amp;"",IOT!$J$3:$J$1012,""),"Server",_xlfn.XLOOKUP($K472&amp;"",SERVER!$B$3:$B$1009&amp;"",SERVER!$J$3:$J$1009,""),""))</f>
        <v/>
      </c>
      <c r="N472" s="1" t="str" cm="1">
        <f t="array" ref="N472">IF(OR($K472="",$I472="",$J472=""),"",_xlfn.LET(_xlpm.srcCat,_xlfn.SWITCH($I472,"Computer",_xlfn.XLOOKUP($K472&amp;"",COMPUTER!$B$3:$B$1009&amp;"",COMPUTER!$H$3:$H$1009,""),"Display",_xlfn.XLOOKUP($K472&amp;"",DISPLAY!$B$3:$B$1000&amp;"",DISPLAY!$H$3:$H$1000,""),"Network Device",_xlfn.XLOOKUP($K472&amp;"",'NETWORK-DEVICES'!$B$3:$B$987&amp;"",'NETWORK-DEVICES'!$H$3:$H$987,""),"Peripheral",_xlfn.XLOOKUP($K472&amp;"",PERIPHERAL!$B$3:$B$954&amp;"",PERIPHERAL!$H$3:$H$954,""),"Utilities",_xlfn.XLOOKUP($K472&amp;"",UTILITIES!$B$3:$B$953&amp;"",UTILITIES!$G$3:$G$953,""),"IOT",_xlfn.XLOOKUP($K472&amp;"",IOT!$B$3:$B$1012&amp;"",IOT!$H$3:$H$1012,""),"Server",_xlfn.XLOOKUP($K472&amp;"",SERVER!$B$3:$B$1009&amp;"",SERVER!$H$3:$H$1009,""),""),IF(TRIM(_xlpm.srcCat)&lt;&gt;TRIM($J472),"",_xlfn.SWITCH($I472,"Computer",_xlfn.XLOOKUP($K472&amp;"",COMPUTER!$B$3:$B$1009&amp;"",COMPUTER!$K$3:$K$1009,""),"Display",_xlfn.XLOOKUP($K472&amp;"",DISPLAY!$B$3:$B$1000&amp;"",DISPLAY!$L$3:$L$1000,""),"Network Device",_xlfn.XLOOKUP($K472&amp;"",'NETWORK-DEVICES'!$B$3:$B$987&amp;"",'NETWORK-DEVICES'!$K$3:$K$987,""),"Peripheral",_xlfn.XLOOKUP($K472&amp;"",PERIPHERAL!$B$3:$B$954&amp;"",PERIPHERAL!$K$3:$K$954,""),"Utilities",_xlfn.XLOOKUP($K472&amp;"",UTILITIES!$B$3:$B$953&amp;"",UTILITIES!$J$3:$J$953,""),"IOT",_xlfn.XLOOKUP($K472&amp;"",IOT!$B$3:$B$1012&amp;"",IOT!$K$4:$K$1012,""),"Server",_xlfn.XLOOKUP($K472&amp;"",SERVER!$B$3:$B$1009&amp;"",SERVER!$K$3:$K$1009,""),""))))</f>
        <v/>
      </c>
      <c r="O472" s="1" t="str" cm="1">
        <f t="array" ref="O472">IF(OR($K472="",$I472="",$J472=""),"",_xlfn.LET(_xlpm.srcCat,_xlfn.SWITCH($I472,"Computer",_xlfn.XLOOKUP($K472&amp;"",COMPUTER!$B$3:$B$1009&amp;"",COMPUTER!$H$3:$H$1009,""),"Display",_xlfn.XLOOKUP($K472&amp;"",DISPLAY!$B$3:$B$1000&amp;"",DISPLAY!$H$3:$H$1000,""),"Network Device",_xlfn.XLOOKUP($K472&amp;"",'NETWORK-DEVICES'!$B$3:$B$987&amp;"",'NETWORK-DEVICES'!$H$3:$H$987,""),"Peripheral",_xlfn.XLOOKUP($K472&amp;"",PERIPHERAL!$B$3:$B$954&amp;"",PERIPHERAL!$H$3:$H$954,""),"Utilities",_xlfn.XLOOKUP($K472&amp;"",UTILITIES!$B$3:$B$953&amp;"",UTILITIES!$G$3:$G$953,""),"IOT",_xlfn.XLOOKUP($K472&amp;"",IOT!$B$3:$B$1012&amp;"",IOT!$H$3:$H$1012,""),"Server",_xlfn.XLOOKUP($K472&amp;"",SERVER!$B$3:$B$1009&amp;"",SERVER!$H$3:$H$1009,""),""),IF(TRIM(_xlpm.srcCat)&lt;&gt;TRIM($J472),"",_xlfn.SWITCH($I472,"Computer",_xlfn.XLOOKUP($K472&amp;"",COMPUTER!$B$3:$B$1009&amp;"",COMPUTER!$E$3:$E$1009,""),"Display",_xlfn.XLOOKUP($K472&amp;"",DISPLAY!$B$3:$B$1000&amp;"",DISPLAY!$E$3:$E$1000,""),"Network Device",_xlfn.XLOOKUP($K472&amp;"",'NETWORK-DEVICES'!$B$3:$B$987&amp;"",'NETWORK-DEVICES'!$E$3:$E$987,""),"Peripheral",_xlfn.XLOOKUP($K472&amp;"",PERIPHERAL!$B$3:$B$954&amp;"",PERIPHERAL!$E$3:$E$954,""),"Utilities",_xlfn.XLOOKUP($K472&amp;"",UTILITIES!$B$3:$B$953&amp;"",UTILITIES!$E$3:$E$953,""),"IOT",_xlfn.XLOOKUP($K472&amp;"",IOT!$B$3:$B$1012&amp;"",IOT!$E$3:$E$1012,""),"Server",_xlfn.XLOOKUP($K472&amp;"",SERVER!$B$3:$B$1009&amp;"",SERVER!$E$3:$E$1009,""),""))))</f>
        <v/>
      </c>
      <c r="Q472" s="1" t="str" cm="1">
        <f t="array" ref="Q472">IF(OR($K472="",$I472="",$J472=""),"",_xlfn.LET(_xlpm.srcCat,_xlfn.SWITCH($I472,"Computer",_xlfn.XLOOKUP($K472&amp;"",COMPUTER!$B$3:$B$1009&amp;"",COMPUTER!$H$3:$H$1009,""),"Display",_xlfn.XLOOKUP($K472&amp;"",DISPLAY!$B$3:$B$1000&amp;"",DISPLAY!$H$3:$H$1000,""),"Network Device",_xlfn.XLOOKUP($K472&amp;"",'NETWORK-DEVICES'!$B$3:$B$987&amp;"",'NETWORK-DEVICES'!$H$3:$H$987,""),"Peripheral",_xlfn.XLOOKUP($K472&amp;"",PERIPHERAL!$B$3:$B$954&amp;"",PERIPHERAL!$H$3:$H$954,""),"Utilities",_xlfn.XLOOKUP($K472&amp;"",UTILITIES!$B$3:$B$953&amp;"",UTILITIES!$G$3:$G$953,""),"IOT",_xlfn.XLOOKUP($K472&amp;"",IOT!$B$3:$B$1012&amp;"",IOT!$H$3:$H$1012,""),"Server",_xlfn.XLOOKUP($K472&amp;"",SERVER!$B$3:$B$1009&amp;"",SERVER!$H$3:$H$1009,""),""),IF(TRIM(_xlpm.srcCat)&lt;&gt;TRIM($J472),"",_xlfn.SWITCH($I472,"Computer",_xlfn.XLOOKUP($K472&amp;"",COMPUTER!$B$3:$B$1009&amp;"",COMPUTER!$AM$3:$AM$1009,""),"Display",_xlfn.XLOOKUP($K472&amp;"",DISPLAY!$B$3:$B$1000&amp;"",DISPLAY!$V$3:$V$1000,""),"Network Device",_xlfn.XLOOKUP($K472&amp;"",'NETWORK-DEVICES'!$B$3:$B$987&amp;"",'NETWORK-DEVICES'!$AF$3:$AF$987,""),"Peripheral",_xlfn.XLOOKUP($K472&amp;"",PERIPHERAL!$B$3:$B$954&amp;"",PERIPHERAL!$Y$3:$Y$954,""),"Utilities",_xlfn.XLOOKUP($K472&amp;"",UTILITIES!$B$3:$B$953&amp;"",UTILITIES!$O$3:$O$953,""),"IOT",_xlfn.XLOOKUP($K472&amp;"",IOT!$B$3:$B$1012&amp;"",IOT!$AB$3:$AB$1012,""),"Server",_xlfn.XLOOKUP($K472&amp;"",SERVER!$B$3:$B$1009&amp;"",SERVER!$AB$3:$AB$1009,""),""))))</f>
        <v/>
      </c>
      <c r="R472" s="43" t="str">
        <f>IF(tbl_handover[[#This Row],[Asset Code]]="","",COUNTIF(tbl_handover[Asset Code],tbl_handover[[#This Row],[Asset Code]]))</f>
        <v/>
      </c>
    </row>
    <row r="473" spans="1:18" x14ac:dyDescent="0.25">
      <c r="A473" s="43" t="str">
        <f>IF(B473&lt;&gt;"",SUBTOTAL(3,$B$1:B472),"")</f>
        <v/>
      </c>
      <c r="C473" s="74"/>
      <c r="D473" s="74"/>
      <c r="G473" s="1"/>
      <c r="K473" s="42"/>
      <c r="L473" t="str" cm="1">
        <f t="array" ref="L473">IF($K473="","",_xlfn.SWITCH($I473,"Computer",_xlfn.XLOOKUP($K473&amp;"",COMPUTER!$B$3:$B$1009&amp;"",COMPUTER!$I$3:$I$1009,""),"Display",_xlfn.XLOOKUP($K473&amp;"",DISPLAY!$B$3:$B$1000&amp;"",DISPLAY!$J$3:$J$1000,""),"Network Device",_xlfn.XLOOKUP($K473&amp;"",'NETWORK-DEVICES'!$B$3:$B$987&amp;"",'NETWORK-DEVICES'!$I$3:$I$987,""),"Peripheral",_xlfn.XLOOKUP($K473&amp;"",PERIPHERAL!$B$3:$B$954&amp;"",PERIPHERAL!$I$3:$I$954,""),"Utilities",_xlfn.XLOOKUP($K473&amp;"",UTILITIES!$B$3:$B$953&amp;"",UTILITIES!$H$3:$H$953,""),"IOT",_xlfn.XLOOKUP($K473&amp;"",IOT!$B$3:$B$1012&amp;"",IOT!$I$3:$I$1012,""),"SERVER",_xlfn.XLOOKUP($K473&amp;"",SERVER!$B$3:$B$1009&amp;"",SERVER!$I$3:$I$1009,""),""))</f>
        <v/>
      </c>
      <c r="M473" t="str" cm="1">
        <f t="array" ref="M473">IF($K473="","",_xlfn.SWITCH($I473,"Computer",_xlfn.XLOOKUP($K473&amp;"",COMPUTER!$B$3:$B$1009&amp;"",COMPUTER!$J$3:$J$1009,""),"Display",_xlfn.XLOOKUP($K473&amp;"",DISPLAY!$B$3:$B$1000&amp;"",DISPLAY!$K$3:$K$1000,""),"Network Device",_xlfn.XLOOKUP($K473&amp;"",'NETWORK-DEVICES'!$B$3:$B$987&amp;"",'NETWORK-DEVICES'!$I$3:$I$987,""),"Peripheral",_xlfn.XLOOKUP($K473&amp;"",PERIPHERAL!$B$3:$B$954&amp;"",PERIPHERAL!$J$3:$J$954,""),"Utilities",_xlfn.XLOOKUP($K473&amp;"",UTILITIES!$B$3:$B$953&amp;"",UTILITIES!$I$3:$I$953,""),"IOT",_xlfn.XLOOKUP($K473&amp;"",IOT!$B$3:$B$1012&amp;"",IOT!$J$3:$J$1012,""),"Server",_xlfn.XLOOKUP($K473&amp;"",SERVER!$B$3:$B$1009&amp;"",SERVER!$J$3:$J$1009,""),""))</f>
        <v/>
      </c>
      <c r="N473" s="1" t="str" cm="1">
        <f t="array" ref="N473">IF(OR($K473="",$I473="",$J473=""),"",_xlfn.LET(_xlpm.srcCat,_xlfn.SWITCH($I473,"Computer",_xlfn.XLOOKUP($K473&amp;"",COMPUTER!$B$3:$B$1009&amp;"",COMPUTER!$H$3:$H$1009,""),"Display",_xlfn.XLOOKUP($K473&amp;"",DISPLAY!$B$3:$B$1000&amp;"",DISPLAY!$H$3:$H$1000,""),"Network Device",_xlfn.XLOOKUP($K473&amp;"",'NETWORK-DEVICES'!$B$3:$B$987&amp;"",'NETWORK-DEVICES'!$H$3:$H$987,""),"Peripheral",_xlfn.XLOOKUP($K473&amp;"",PERIPHERAL!$B$3:$B$954&amp;"",PERIPHERAL!$H$3:$H$954,""),"Utilities",_xlfn.XLOOKUP($K473&amp;"",UTILITIES!$B$3:$B$953&amp;"",UTILITIES!$G$3:$G$953,""),"IOT",_xlfn.XLOOKUP($K473&amp;"",IOT!$B$3:$B$1012&amp;"",IOT!$H$3:$H$1012,""),"Server",_xlfn.XLOOKUP($K473&amp;"",SERVER!$B$3:$B$1009&amp;"",SERVER!$H$3:$H$1009,""),""),IF(TRIM(_xlpm.srcCat)&lt;&gt;TRIM($J473),"",_xlfn.SWITCH($I473,"Computer",_xlfn.XLOOKUP($K473&amp;"",COMPUTER!$B$3:$B$1009&amp;"",COMPUTER!$K$3:$K$1009,""),"Display",_xlfn.XLOOKUP($K473&amp;"",DISPLAY!$B$3:$B$1000&amp;"",DISPLAY!$L$3:$L$1000,""),"Network Device",_xlfn.XLOOKUP($K473&amp;"",'NETWORK-DEVICES'!$B$3:$B$987&amp;"",'NETWORK-DEVICES'!$K$3:$K$987,""),"Peripheral",_xlfn.XLOOKUP($K473&amp;"",PERIPHERAL!$B$3:$B$954&amp;"",PERIPHERAL!$K$3:$K$954,""),"Utilities",_xlfn.XLOOKUP($K473&amp;"",UTILITIES!$B$3:$B$953&amp;"",UTILITIES!$J$3:$J$953,""),"IOT",_xlfn.XLOOKUP($K473&amp;"",IOT!$B$3:$B$1012&amp;"",IOT!$K$4:$K$1012,""),"Server",_xlfn.XLOOKUP($K473&amp;"",SERVER!$B$3:$B$1009&amp;"",SERVER!$K$3:$K$1009,""),""))))</f>
        <v/>
      </c>
      <c r="O473" s="1" t="str" cm="1">
        <f t="array" ref="O473">IF(OR($K473="",$I473="",$J473=""),"",_xlfn.LET(_xlpm.srcCat,_xlfn.SWITCH($I473,"Computer",_xlfn.XLOOKUP($K473&amp;"",COMPUTER!$B$3:$B$1009&amp;"",COMPUTER!$H$3:$H$1009,""),"Display",_xlfn.XLOOKUP($K473&amp;"",DISPLAY!$B$3:$B$1000&amp;"",DISPLAY!$H$3:$H$1000,""),"Network Device",_xlfn.XLOOKUP($K473&amp;"",'NETWORK-DEVICES'!$B$3:$B$987&amp;"",'NETWORK-DEVICES'!$H$3:$H$987,""),"Peripheral",_xlfn.XLOOKUP($K473&amp;"",PERIPHERAL!$B$3:$B$954&amp;"",PERIPHERAL!$H$3:$H$954,""),"Utilities",_xlfn.XLOOKUP($K473&amp;"",UTILITIES!$B$3:$B$953&amp;"",UTILITIES!$G$3:$G$953,""),"IOT",_xlfn.XLOOKUP($K473&amp;"",IOT!$B$3:$B$1012&amp;"",IOT!$H$3:$H$1012,""),"Server",_xlfn.XLOOKUP($K473&amp;"",SERVER!$B$3:$B$1009&amp;"",SERVER!$H$3:$H$1009,""),""),IF(TRIM(_xlpm.srcCat)&lt;&gt;TRIM($J473),"",_xlfn.SWITCH($I473,"Computer",_xlfn.XLOOKUP($K473&amp;"",COMPUTER!$B$3:$B$1009&amp;"",COMPUTER!$E$3:$E$1009,""),"Display",_xlfn.XLOOKUP($K473&amp;"",DISPLAY!$B$3:$B$1000&amp;"",DISPLAY!$E$3:$E$1000,""),"Network Device",_xlfn.XLOOKUP($K473&amp;"",'NETWORK-DEVICES'!$B$3:$B$987&amp;"",'NETWORK-DEVICES'!$E$3:$E$987,""),"Peripheral",_xlfn.XLOOKUP($K473&amp;"",PERIPHERAL!$B$3:$B$954&amp;"",PERIPHERAL!$E$3:$E$954,""),"Utilities",_xlfn.XLOOKUP($K473&amp;"",UTILITIES!$B$3:$B$953&amp;"",UTILITIES!$E$3:$E$953,""),"IOT",_xlfn.XLOOKUP($K473&amp;"",IOT!$B$3:$B$1012&amp;"",IOT!$E$3:$E$1012,""),"Server",_xlfn.XLOOKUP($K473&amp;"",SERVER!$B$3:$B$1009&amp;"",SERVER!$E$3:$E$1009,""),""))))</f>
        <v/>
      </c>
      <c r="Q473" s="1" t="str" cm="1">
        <f t="array" ref="Q473">IF(OR($K473="",$I473="",$J473=""),"",_xlfn.LET(_xlpm.srcCat,_xlfn.SWITCH($I473,"Computer",_xlfn.XLOOKUP($K473&amp;"",COMPUTER!$B$3:$B$1009&amp;"",COMPUTER!$H$3:$H$1009,""),"Display",_xlfn.XLOOKUP($K473&amp;"",DISPLAY!$B$3:$B$1000&amp;"",DISPLAY!$H$3:$H$1000,""),"Network Device",_xlfn.XLOOKUP($K473&amp;"",'NETWORK-DEVICES'!$B$3:$B$987&amp;"",'NETWORK-DEVICES'!$H$3:$H$987,""),"Peripheral",_xlfn.XLOOKUP($K473&amp;"",PERIPHERAL!$B$3:$B$954&amp;"",PERIPHERAL!$H$3:$H$954,""),"Utilities",_xlfn.XLOOKUP($K473&amp;"",UTILITIES!$B$3:$B$953&amp;"",UTILITIES!$G$3:$G$953,""),"IOT",_xlfn.XLOOKUP($K473&amp;"",IOT!$B$3:$B$1012&amp;"",IOT!$H$3:$H$1012,""),"Server",_xlfn.XLOOKUP($K473&amp;"",SERVER!$B$3:$B$1009&amp;"",SERVER!$H$3:$H$1009,""),""),IF(TRIM(_xlpm.srcCat)&lt;&gt;TRIM($J473),"",_xlfn.SWITCH($I473,"Computer",_xlfn.XLOOKUP($K473&amp;"",COMPUTER!$B$3:$B$1009&amp;"",COMPUTER!$AM$3:$AM$1009,""),"Display",_xlfn.XLOOKUP($K473&amp;"",DISPLAY!$B$3:$B$1000&amp;"",DISPLAY!$V$3:$V$1000,""),"Network Device",_xlfn.XLOOKUP($K473&amp;"",'NETWORK-DEVICES'!$B$3:$B$987&amp;"",'NETWORK-DEVICES'!$AF$3:$AF$987,""),"Peripheral",_xlfn.XLOOKUP($K473&amp;"",PERIPHERAL!$B$3:$B$954&amp;"",PERIPHERAL!$Y$3:$Y$954,""),"Utilities",_xlfn.XLOOKUP($K473&amp;"",UTILITIES!$B$3:$B$953&amp;"",UTILITIES!$O$3:$O$953,""),"IOT",_xlfn.XLOOKUP($K473&amp;"",IOT!$B$3:$B$1012&amp;"",IOT!$AB$3:$AB$1012,""),"Server",_xlfn.XLOOKUP($K473&amp;"",SERVER!$B$3:$B$1009&amp;"",SERVER!$AB$3:$AB$1009,""),""))))</f>
        <v/>
      </c>
      <c r="R473" s="43" t="str">
        <f>IF(tbl_handover[[#This Row],[Asset Code]]="","",COUNTIF(tbl_handover[Asset Code],tbl_handover[[#This Row],[Asset Code]]))</f>
        <v/>
      </c>
    </row>
    <row r="474" spans="1:18" x14ac:dyDescent="0.25">
      <c r="A474" s="43" t="str">
        <f>IF(B474&lt;&gt;"",SUBTOTAL(3,$B$1:B473),"")</f>
        <v/>
      </c>
      <c r="C474" s="74"/>
      <c r="D474" s="74"/>
      <c r="G474" s="1"/>
      <c r="K474" s="42"/>
      <c r="L474" t="str" cm="1">
        <f t="array" ref="L474">IF($K474="","",_xlfn.SWITCH($I474,"Computer",_xlfn.XLOOKUP($K474&amp;"",COMPUTER!$B$3:$B$1009&amp;"",COMPUTER!$I$3:$I$1009,""),"Display",_xlfn.XLOOKUP($K474&amp;"",DISPLAY!$B$3:$B$1000&amp;"",DISPLAY!$J$3:$J$1000,""),"Network Device",_xlfn.XLOOKUP($K474&amp;"",'NETWORK-DEVICES'!$B$3:$B$987&amp;"",'NETWORK-DEVICES'!$I$3:$I$987,""),"Peripheral",_xlfn.XLOOKUP($K474&amp;"",PERIPHERAL!$B$3:$B$954&amp;"",PERIPHERAL!$I$3:$I$954,""),"Utilities",_xlfn.XLOOKUP($K474&amp;"",UTILITIES!$B$3:$B$953&amp;"",UTILITIES!$H$3:$H$953,""),"IOT",_xlfn.XLOOKUP($K474&amp;"",IOT!$B$3:$B$1012&amp;"",IOT!$I$3:$I$1012,""),"SERVER",_xlfn.XLOOKUP($K474&amp;"",SERVER!$B$3:$B$1009&amp;"",SERVER!$I$3:$I$1009,""),""))</f>
        <v/>
      </c>
      <c r="M474" t="str" cm="1">
        <f t="array" ref="M474">IF($K474="","",_xlfn.SWITCH($I474,"Computer",_xlfn.XLOOKUP($K474&amp;"",COMPUTER!$B$3:$B$1009&amp;"",COMPUTER!$J$3:$J$1009,""),"Display",_xlfn.XLOOKUP($K474&amp;"",DISPLAY!$B$3:$B$1000&amp;"",DISPLAY!$K$3:$K$1000,""),"Network Device",_xlfn.XLOOKUP($K474&amp;"",'NETWORK-DEVICES'!$B$3:$B$987&amp;"",'NETWORK-DEVICES'!$I$3:$I$987,""),"Peripheral",_xlfn.XLOOKUP($K474&amp;"",PERIPHERAL!$B$3:$B$954&amp;"",PERIPHERAL!$J$3:$J$954,""),"Utilities",_xlfn.XLOOKUP($K474&amp;"",UTILITIES!$B$3:$B$953&amp;"",UTILITIES!$I$3:$I$953,""),"IOT",_xlfn.XLOOKUP($K474&amp;"",IOT!$B$3:$B$1012&amp;"",IOT!$J$3:$J$1012,""),"Server",_xlfn.XLOOKUP($K474&amp;"",SERVER!$B$3:$B$1009&amp;"",SERVER!$J$3:$J$1009,""),""))</f>
        <v/>
      </c>
      <c r="N474" s="1" t="str" cm="1">
        <f t="array" ref="N474">IF(OR($K474="",$I474="",$J474=""),"",_xlfn.LET(_xlpm.srcCat,_xlfn.SWITCH($I474,"Computer",_xlfn.XLOOKUP($K474&amp;"",COMPUTER!$B$3:$B$1009&amp;"",COMPUTER!$H$3:$H$1009,""),"Display",_xlfn.XLOOKUP($K474&amp;"",DISPLAY!$B$3:$B$1000&amp;"",DISPLAY!$H$3:$H$1000,""),"Network Device",_xlfn.XLOOKUP($K474&amp;"",'NETWORK-DEVICES'!$B$3:$B$987&amp;"",'NETWORK-DEVICES'!$H$3:$H$987,""),"Peripheral",_xlfn.XLOOKUP($K474&amp;"",PERIPHERAL!$B$3:$B$954&amp;"",PERIPHERAL!$H$3:$H$954,""),"Utilities",_xlfn.XLOOKUP($K474&amp;"",UTILITIES!$B$3:$B$953&amp;"",UTILITIES!$G$3:$G$953,""),"IOT",_xlfn.XLOOKUP($K474&amp;"",IOT!$B$3:$B$1012&amp;"",IOT!$H$3:$H$1012,""),"Server",_xlfn.XLOOKUP($K474&amp;"",SERVER!$B$3:$B$1009&amp;"",SERVER!$H$3:$H$1009,""),""),IF(TRIM(_xlpm.srcCat)&lt;&gt;TRIM($J474),"",_xlfn.SWITCH($I474,"Computer",_xlfn.XLOOKUP($K474&amp;"",COMPUTER!$B$3:$B$1009&amp;"",COMPUTER!$K$3:$K$1009,""),"Display",_xlfn.XLOOKUP($K474&amp;"",DISPLAY!$B$3:$B$1000&amp;"",DISPLAY!$L$3:$L$1000,""),"Network Device",_xlfn.XLOOKUP($K474&amp;"",'NETWORK-DEVICES'!$B$3:$B$987&amp;"",'NETWORK-DEVICES'!$K$3:$K$987,""),"Peripheral",_xlfn.XLOOKUP($K474&amp;"",PERIPHERAL!$B$3:$B$954&amp;"",PERIPHERAL!$K$3:$K$954,""),"Utilities",_xlfn.XLOOKUP($K474&amp;"",UTILITIES!$B$3:$B$953&amp;"",UTILITIES!$J$3:$J$953,""),"IOT",_xlfn.XLOOKUP($K474&amp;"",IOT!$B$3:$B$1012&amp;"",IOT!$K$4:$K$1012,""),"Server",_xlfn.XLOOKUP($K474&amp;"",SERVER!$B$3:$B$1009&amp;"",SERVER!$K$3:$K$1009,""),""))))</f>
        <v/>
      </c>
      <c r="O474" s="1" t="str" cm="1">
        <f t="array" ref="O474">IF(OR($K474="",$I474="",$J474=""),"",_xlfn.LET(_xlpm.srcCat,_xlfn.SWITCH($I474,"Computer",_xlfn.XLOOKUP($K474&amp;"",COMPUTER!$B$3:$B$1009&amp;"",COMPUTER!$H$3:$H$1009,""),"Display",_xlfn.XLOOKUP($K474&amp;"",DISPLAY!$B$3:$B$1000&amp;"",DISPLAY!$H$3:$H$1000,""),"Network Device",_xlfn.XLOOKUP($K474&amp;"",'NETWORK-DEVICES'!$B$3:$B$987&amp;"",'NETWORK-DEVICES'!$H$3:$H$987,""),"Peripheral",_xlfn.XLOOKUP($K474&amp;"",PERIPHERAL!$B$3:$B$954&amp;"",PERIPHERAL!$H$3:$H$954,""),"Utilities",_xlfn.XLOOKUP($K474&amp;"",UTILITIES!$B$3:$B$953&amp;"",UTILITIES!$G$3:$G$953,""),"IOT",_xlfn.XLOOKUP($K474&amp;"",IOT!$B$3:$B$1012&amp;"",IOT!$H$3:$H$1012,""),"Server",_xlfn.XLOOKUP($K474&amp;"",SERVER!$B$3:$B$1009&amp;"",SERVER!$H$3:$H$1009,""),""),IF(TRIM(_xlpm.srcCat)&lt;&gt;TRIM($J474),"",_xlfn.SWITCH($I474,"Computer",_xlfn.XLOOKUP($K474&amp;"",COMPUTER!$B$3:$B$1009&amp;"",COMPUTER!$E$3:$E$1009,""),"Display",_xlfn.XLOOKUP($K474&amp;"",DISPLAY!$B$3:$B$1000&amp;"",DISPLAY!$E$3:$E$1000,""),"Network Device",_xlfn.XLOOKUP($K474&amp;"",'NETWORK-DEVICES'!$B$3:$B$987&amp;"",'NETWORK-DEVICES'!$E$3:$E$987,""),"Peripheral",_xlfn.XLOOKUP($K474&amp;"",PERIPHERAL!$B$3:$B$954&amp;"",PERIPHERAL!$E$3:$E$954,""),"Utilities",_xlfn.XLOOKUP($K474&amp;"",UTILITIES!$B$3:$B$953&amp;"",UTILITIES!$E$3:$E$953,""),"IOT",_xlfn.XLOOKUP($K474&amp;"",IOT!$B$3:$B$1012&amp;"",IOT!$E$3:$E$1012,""),"Server",_xlfn.XLOOKUP($K474&amp;"",SERVER!$B$3:$B$1009&amp;"",SERVER!$E$3:$E$1009,""),""))))</f>
        <v/>
      </c>
      <c r="Q474" s="1" t="str" cm="1">
        <f t="array" ref="Q474">IF(OR($K474="",$I474="",$J474=""),"",_xlfn.LET(_xlpm.srcCat,_xlfn.SWITCH($I474,"Computer",_xlfn.XLOOKUP($K474&amp;"",COMPUTER!$B$3:$B$1009&amp;"",COMPUTER!$H$3:$H$1009,""),"Display",_xlfn.XLOOKUP($K474&amp;"",DISPLAY!$B$3:$B$1000&amp;"",DISPLAY!$H$3:$H$1000,""),"Network Device",_xlfn.XLOOKUP($K474&amp;"",'NETWORK-DEVICES'!$B$3:$B$987&amp;"",'NETWORK-DEVICES'!$H$3:$H$987,""),"Peripheral",_xlfn.XLOOKUP($K474&amp;"",PERIPHERAL!$B$3:$B$954&amp;"",PERIPHERAL!$H$3:$H$954,""),"Utilities",_xlfn.XLOOKUP($K474&amp;"",UTILITIES!$B$3:$B$953&amp;"",UTILITIES!$G$3:$G$953,""),"IOT",_xlfn.XLOOKUP($K474&amp;"",IOT!$B$3:$B$1012&amp;"",IOT!$H$3:$H$1012,""),"Server",_xlfn.XLOOKUP($K474&amp;"",SERVER!$B$3:$B$1009&amp;"",SERVER!$H$3:$H$1009,""),""),IF(TRIM(_xlpm.srcCat)&lt;&gt;TRIM($J474),"",_xlfn.SWITCH($I474,"Computer",_xlfn.XLOOKUP($K474&amp;"",COMPUTER!$B$3:$B$1009&amp;"",COMPUTER!$AM$3:$AM$1009,""),"Display",_xlfn.XLOOKUP($K474&amp;"",DISPLAY!$B$3:$B$1000&amp;"",DISPLAY!$V$3:$V$1000,""),"Network Device",_xlfn.XLOOKUP($K474&amp;"",'NETWORK-DEVICES'!$B$3:$B$987&amp;"",'NETWORK-DEVICES'!$AF$3:$AF$987,""),"Peripheral",_xlfn.XLOOKUP($K474&amp;"",PERIPHERAL!$B$3:$B$954&amp;"",PERIPHERAL!$Y$3:$Y$954,""),"Utilities",_xlfn.XLOOKUP($K474&amp;"",UTILITIES!$B$3:$B$953&amp;"",UTILITIES!$O$3:$O$953,""),"IOT",_xlfn.XLOOKUP($K474&amp;"",IOT!$B$3:$B$1012&amp;"",IOT!$AB$3:$AB$1012,""),"Server",_xlfn.XLOOKUP($K474&amp;"",SERVER!$B$3:$B$1009&amp;"",SERVER!$AB$3:$AB$1009,""),""))))</f>
        <v/>
      </c>
      <c r="R474" s="43" t="str">
        <f>IF(tbl_handover[[#This Row],[Asset Code]]="","",COUNTIF(tbl_handover[Asset Code],tbl_handover[[#This Row],[Asset Code]]))</f>
        <v/>
      </c>
    </row>
    <row r="475" spans="1:18" x14ac:dyDescent="0.25">
      <c r="A475" s="43" t="str">
        <f>IF(B475&lt;&gt;"",SUBTOTAL(3,$B$1:B474),"")</f>
        <v/>
      </c>
      <c r="C475" s="74"/>
      <c r="D475" s="74"/>
      <c r="G475" s="1"/>
      <c r="K475" s="42"/>
      <c r="L475" t="str" cm="1">
        <f t="array" ref="L475">IF($K475="","",_xlfn.SWITCH($I475,"Computer",_xlfn.XLOOKUP($K475&amp;"",COMPUTER!$B$3:$B$1009&amp;"",COMPUTER!$I$3:$I$1009,""),"Display",_xlfn.XLOOKUP($K475&amp;"",DISPLAY!$B$3:$B$1000&amp;"",DISPLAY!$J$3:$J$1000,""),"Network Device",_xlfn.XLOOKUP($K475&amp;"",'NETWORK-DEVICES'!$B$3:$B$987&amp;"",'NETWORK-DEVICES'!$I$3:$I$987,""),"Peripheral",_xlfn.XLOOKUP($K475&amp;"",PERIPHERAL!$B$3:$B$954&amp;"",PERIPHERAL!$I$3:$I$954,""),"Utilities",_xlfn.XLOOKUP($K475&amp;"",UTILITIES!$B$3:$B$953&amp;"",UTILITIES!$H$3:$H$953,""),"IOT",_xlfn.XLOOKUP($K475&amp;"",IOT!$B$3:$B$1012&amp;"",IOT!$I$3:$I$1012,""),"SERVER",_xlfn.XLOOKUP($K475&amp;"",SERVER!$B$3:$B$1009&amp;"",SERVER!$I$3:$I$1009,""),""))</f>
        <v/>
      </c>
      <c r="M475" t="str" cm="1">
        <f t="array" ref="M475">IF($K475="","",_xlfn.SWITCH($I475,"Computer",_xlfn.XLOOKUP($K475&amp;"",COMPUTER!$B$3:$B$1009&amp;"",COMPUTER!$J$3:$J$1009,""),"Display",_xlfn.XLOOKUP($K475&amp;"",DISPLAY!$B$3:$B$1000&amp;"",DISPLAY!$K$3:$K$1000,""),"Network Device",_xlfn.XLOOKUP($K475&amp;"",'NETWORK-DEVICES'!$B$3:$B$987&amp;"",'NETWORK-DEVICES'!$I$3:$I$987,""),"Peripheral",_xlfn.XLOOKUP($K475&amp;"",PERIPHERAL!$B$3:$B$954&amp;"",PERIPHERAL!$J$3:$J$954,""),"Utilities",_xlfn.XLOOKUP($K475&amp;"",UTILITIES!$B$3:$B$953&amp;"",UTILITIES!$I$3:$I$953,""),"IOT",_xlfn.XLOOKUP($K475&amp;"",IOT!$B$3:$B$1012&amp;"",IOT!$J$3:$J$1012,""),"Server",_xlfn.XLOOKUP($K475&amp;"",SERVER!$B$3:$B$1009&amp;"",SERVER!$J$3:$J$1009,""),""))</f>
        <v/>
      </c>
      <c r="N475" s="1" t="str" cm="1">
        <f t="array" ref="N475">IF(OR($K475="",$I475="",$J475=""),"",_xlfn.LET(_xlpm.srcCat,_xlfn.SWITCH($I475,"Computer",_xlfn.XLOOKUP($K475&amp;"",COMPUTER!$B$3:$B$1009&amp;"",COMPUTER!$H$3:$H$1009,""),"Display",_xlfn.XLOOKUP($K475&amp;"",DISPLAY!$B$3:$B$1000&amp;"",DISPLAY!$H$3:$H$1000,""),"Network Device",_xlfn.XLOOKUP($K475&amp;"",'NETWORK-DEVICES'!$B$3:$B$987&amp;"",'NETWORK-DEVICES'!$H$3:$H$987,""),"Peripheral",_xlfn.XLOOKUP($K475&amp;"",PERIPHERAL!$B$3:$B$954&amp;"",PERIPHERAL!$H$3:$H$954,""),"Utilities",_xlfn.XLOOKUP($K475&amp;"",UTILITIES!$B$3:$B$953&amp;"",UTILITIES!$G$3:$G$953,""),"IOT",_xlfn.XLOOKUP($K475&amp;"",IOT!$B$3:$B$1012&amp;"",IOT!$H$3:$H$1012,""),"Server",_xlfn.XLOOKUP($K475&amp;"",SERVER!$B$3:$B$1009&amp;"",SERVER!$H$3:$H$1009,""),""),IF(TRIM(_xlpm.srcCat)&lt;&gt;TRIM($J475),"",_xlfn.SWITCH($I475,"Computer",_xlfn.XLOOKUP($K475&amp;"",COMPUTER!$B$3:$B$1009&amp;"",COMPUTER!$K$3:$K$1009,""),"Display",_xlfn.XLOOKUP($K475&amp;"",DISPLAY!$B$3:$B$1000&amp;"",DISPLAY!$L$3:$L$1000,""),"Network Device",_xlfn.XLOOKUP($K475&amp;"",'NETWORK-DEVICES'!$B$3:$B$987&amp;"",'NETWORK-DEVICES'!$K$3:$K$987,""),"Peripheral",_xlfn.XLOOKUP($K475&amp;"",PERIPHERAL!$B$3:$B$954&amp;"",PERIPHERAL!$K$3:$K$954,""),"Utilities",_xlfn.XLOOKUP($K475&amp;"",UTILITIES!$B$3:$B$953&amp;"",UTILITIES!$J$3:$J$953,""),"IOT",_xlfn.XLOOKUP($K475&amp;"",IOT!$B$3:$B$1012&amp;"",IOT!$K$4:$K$1012,""),"Server",_xlfn.XLOOKUP($K475&amp;"",SERVER!$B$3:$B$1009&amp;"",SERVER!$K$3:$K$1009,""),""))))</f>
        <v/>
      </c>
      <c r="O475" s="1" t="str" cm="1">
        <f t="array" ref="O475">IF(OR($K475="",$I475="",$J475=""),"",_xlfn.LET(_xlpm.srcCat,_xlfn.SWITCH($I475,"Computer",_xlfn.XLOOKUP($K475&amp;"",COMPUTER!$B$3:$B$1009&amp;"",COMPUTER!$H$3:$H$1009,""),"Display",_xlfn.XLOOKUP($K475&amp;"",DISPLAY!$B$3:$B$1000&amp;"",DISPLAY!$H$3:$H$1000,""),"Network Device",_xlfn.XLOOKUP($K475&amp;"",'NETWORK-DEVICES'!$B$3:$B$987&amp;"",'NETWORK-DEVICES'!$H$3:$H$987,""),"Peripheral",_xlfn.XLOOKUP($K475&amp;"",PERIPHERAL!$B$3:$B$954&amp;"",PERIPHERAL!$H$3:$H$954,""),"Utilities",_xlfn.XLOOKUP($K475&amp;"",UTILITIES!$B$3:$B$953&amp;"",UTILITIES!$G$3:$G$953,""),"IOT",_xlfn.XLOOKUP($K475&amp;"",IOT!$B$3:$B$1012&amp;"",IOT!$H$3:$H$1012,""),"Server",_xlfn.XLOOKUP($K475&amp;"",SERVER!$B$3:$B$1009&amp;"",SERVER!$H$3:$H$1009,""),""),IF(TRIM(_xlpm.srcCat)&lt;&gt;TRIM($J475),"",_xlfn.SWITCH($I475,"Computer",_xlfn.XLOOKUP($K475&amp;"",COMPUTER!$B$3:$B$1009&amp;"",COMPUTER!$E$3:$E$1009,""),"Display",_xlfn.XLOOKUP($K475&amp;"",DISPLAY!$B$3:$B$1000&amp;"",DISPLAY!$E$3:$E$1000,""),"Network Device",_xlfn.XLOOKUP($K475&amp;"",'NETWORK-DEVICES'!$B$3:$B$987&amp;"",'NETWORK-DEVICES'!$E$3:$E$987,""),"Peripheral",_xlfn.XLOOKUP($K475&amp;"",PERIPHERAL!$B$3:$B$954&amp;"",PERIPHERAL!$E$3:$E$954,""),"Utilities",_xlfn.XLOOKUP($K475&amp;"",UTILITIES!$B$3:$B$953&amp;"",UTILITIES!$E$3:$E$953,""),"IOT",_xlfn.XLOOKUP($K475&amp;"",IOT!$B$3:$B$1012&amp;"",IOT!$E$3:$E$1012,""),"Server",_xlfn.XLOOKUP($K475&amp;"",SERVER!$B$3:$B$1009&amp;"",SERVER!$E$3:$E$1009,""),""))))</f>
        <v/>
      </c>
      <c r="Q475" s="1" t="str" cm="1">
        <f t="array" ref="Q475">IF(OR($K475="",$I475="",$J475=""),"",_xlfn.LET(_xlpm.srcCat,_xlfn.SWITCH($I475,"Computer",_xlfn.XLOOKUP($K475&amp;"",COMPUTER!$B$3:$B$1009&amp;"",COMPUTER!$H$3:$H$1009,""),"Display",_xlfn.XLOOKUP($K475&amp;"",DISPLAY!$B$3:$B$1000&amp;"",DISPLAY!$H$3:$H$1000,""),"Network Device",_xlfn.XLOOKUP($K475&amp;"",'NETWORK-DEVICES'!$B$3:$B$987&amp;"",'NETWORK-DEVICES'!$H$3:$H$987,""),"Peripheral",_xlfn.XLOOKUP($K475&amp;"",PERIPHERAL!$B$3:$B$954&amp;"",PERIPHERAL!$H$3:$H$954,""),"Utilities",_xlfn.XLOOKUP($K475&amp;"",UTILITIES!$B$3:$B$953&amp;"",UTILITIES!$G$3:$G$953,""),"IOT",_xlfn.XLOOKUP($K475&amp;"",IOT!$B$3:$B$1012&amp;"",IOT!$H$3:$H$1012,""),"Server",_xlfn.XLOOKUP($K475&amp;"",SERVER!$B$3:$B$1009&amp;"",SERVER!$H$3:$H$1009,""),""),IF(TRIM(_xlpm.srcCat)&lt;&gt;TRIM($J475),"",_xlfn.SWITCH($I475,"Computer",_xlfn.XLOOKUP($K475&amp;"",COMPUTER!$B$3:$B$1009&amp;"",COMPUTER!$AM$3:$AM$1009,""),"Display",_xlfn.XLOOKUP($K475&amp;"",DISPLAY!$B$3:$B$1000&amp;"",DISPLAY!$V$3:$V$1000,""),"Network Device",_xlfn.XLOOKUP($K475&amp;"",'NETWORK-DEVICES'!$B$3:$B$987&amp;"",'NETWORK-DEVICES'!$AF$3:$AF$987,""),"Peripheral",_xlfn.XLOOKUP($K475&amp;"",PERIPHERAL!$B$3:$B$954&amp;"",PERIPHERAL!$Y$3:$Y$954,""),"Utilities",_xlfn.XLOOKUP($K475&amp;"",UTILITIES!$B$3:$B$953&amp;"",UTILITIES!$O$3:$O$953,""),"IOT",_xlfn.XLOOKUP($K475&amp;"",IOT!$B$3:$B$1012&amp;"",IOT!$AB$3:$AB$1012,""),"Server",_xlfn.XLOOKUP($K475&amp;"",SERVER!$B$3:$B$1009&amp;"",SERVER!$AB$3:$AB$1009,""),""))))</f>
        <v/>
      </c>
      <c r="R475" s="43" t="str">
        <f>IF(tbl_handover[[#This Row],[Asset Code]]="","",COUNTIF(tbl_handover[Asset Code],tbl_handover[[#This Row],[Asset Code]]))</f>
        <v/>
      </c>
    </row>
    <row r="476" spans="1:18" x14ac:dyDescent="0.25">
      <c r="A476" s="43" t="str">
        <f>IF(B476&lt;&gt;"",SUBTOTAL(3,$B$1:B475),"")</f>
        <v/>
      </c>
      <c r="C476" s="74"/>
      <c r="D476" s="74"/>
      <c r="G476" s="1"/>
      <c r="K476" s="42"/>
      <c r="L476" t="str" cm="1">
        <f t="array" ref="L476">IF($K476="","",_xlfn.SWITCH($I476,"Computer",_xlfn.XLOOKUP($K476&amp;"",COMPUTER!$B$3:$B$1009&amp;"",COMPUTER!$I$3:$I$1009,""),"Display",_xlfn.XLOOKUP($K476&amp;"",DISPLAY!$B$3:$B$1000&amp;"",DISPLAY!$J$3:$J$1000,""),"Network Device",_xlfn.XLOOKUP($K476&amp;"",'NETWORK-DEVICES'!$B$3:$B$987&amp;"",'NETWORK-DEVICES'!$I$3:$I$987,""),"Peripheral",_xlfn.XLOOKUP($K476&amp;"",PERIPHERAL!$B$3:$B$954&amp;"",PERIPHERAL!$I$3:$I$954,""),"Utilities",_xlfn.XLOOKUP($K476&amp;"",UTILITIES!$B$3:$B$953&amp;"",UTILITIES!$H$3:$H$953,""),"IOT",_xlfn.XLOOKUP($K476&amp;"",IOT!$B$3:$B$1012&amp;"",IOT!$I$3:$I$1012,""),"SERVER",_xlfn.XLOOKUP($K476&amp;"",SERVER!$B$3:$B$1009&amp;"",SERVER!$I$3:$I$1009,""),""))</f>
        <v/>
      </c>
      <c r="M476" t="str" cm="1">
        <f t="array" ref="M476">IF($K476="","",_xlfn.SWITCH($I476,"Computer",_xlfn.XLOOKUP($K476&amp;"",COMPUTER!$B$3:$B$1009&amp;"",COMPUTER!$J$3:$J$1009,""),"Display",_xlfn.XLOOKUP($K476&amp;"",DISPLAY!$B$3:$B$1000&amp;"",DISPLAY!$K$3:$K$1000,""),"Network Device",_xlfn.XLOOKUP($K476&amp;"",'NETWORK-DEVICES'!$B$3:$B$987&amp;"",'NETWORK-DEVICES'!$I$3:$I$987,""),"Peripheral",_xlfn.XLOOKUP($K476&amp;"",PERIPHERAL!$B$3:$B$954&amp;"",PERIPHERAL!$J$3:$J$954,""),"Utilities",_xlfn.XLOOKUP($K476&amp;"",UTILITIES!$B$3:$B$953&amp;"",UTILITIES!$I$3:$I$953,""),"IOT",_xlfn.XLOOKUP($K476&amp;"",IOT!$B$3:$B$1012&amp;"",IOT!$J$3:$J$1012,""),"Server",_xlfn.XLOOKUP($K476&amp;"",SERVER!$B$3:$B$1009&amp;"",SERVER!$J$3:$J$1009,""),""))</f>
        <v/>
      </c>
      <c r="N476" s="1" t="str" cm="1">
        <f t="array" ref="N476">IF(OR($K476="",$I476="",$J476=""),"",_xlfn.LET(_xlpm.srcCat,_xlfn.SWITCH($I476,"Computer",_xlfn.XLOOKUP($K476&amp;"",COMPUTER!$B$3:$B$1009&amp;"",COMPUTER!$H$3:$H$1009,""),"Display",_xlfn.XLOOKUP($K476&amp;"",DISPLAY!$B$3:$B$1000&amp;"",DISPLAY!$H$3:$H$1000,""),"Network Device",_xlfn.XLOOKUP($K476&amp;"",'NETWORK-DEVICES'!$B$3:$B$987&amp;"",'NETWORK-DEVICES'!$H$3:$H$987,""),"Peripheral",_xlfn.XLOOKUP($K476&amp;"",PERIPHERAL!$B$3:$B$954&amp;"",PERIPHERAL!$H$3:$H$954,""),"Utilities",_xlfn.XLOOKUP($K476&amp;"",UTILITIES!$B$3:$B$953&amp;"",UTILITIES!$G$3:$G$953,""),"IOT",_xlfn.XLOOKUP($K476&amp;"",IOT!$B$3:$B$1012&amp;"",IOT!$H$3:$H$1012,""),"Server",_xlfn.XLOOKUP($K476&amp;"",SERVER!$B$3:$B$1009&amp;"",SERVER!$H$3:$H$1009,""),""),IF(TRIM(_xlpm.srcCat)&lt;&gt;TRIM($J476),"",_xlfn.SWITCH($I476,"Computer",_xlfn.XLOOKUP($K476&amp;"",COMPUTER!$B$3:$B$1009&amp;"",COMPUTER!$K$3:$K$1009,""),"Display",_xlfn.XLOOKUP($K476&amp;"",DISPLAY!$B$3:$B$1000&amp;"",DISPLAY!$L$3:$L$1000,""),"Network Device",_xlfn.XLOOKUP($K476&amp;"",'NETWORK-DEVICES'!$B$3:$B$987&amp;"",'NETWORK-DEVICES'!$K$3:$K$987,""),"Peripheral",_xlfn.XLOOKUP($K476&amp;"",PERIPHERAL!$B$3:$B$954&amp;"",PERIPHERAL!$K$3:$K$954,""),"Utilities",_xlfn.XLOOKUP($K476&amp;"",UTILITIES!$B$3:$B$953&amp;"",UTILITIES!$J$3:$J$953,""),"IOT",_xlfn.XLOOKUP($K476&amp;"",IOT!$B$3:$B$1012&amp;"",IOT!$K$4:$K$1012,""),"Server",_xlfn.XLOOKUP($K476&amp;"",SERVER!$B$3:$B$1009&amp;"",SERVER!$K$3:$K$1009,""),""))))</f>
        <v/>
      </c>
      <c r="O476" s="1" t="str" cm="1">
        <f t="array" ref="O476">IF(OR($K476="",$I476="",$J476=""),"",_xlfn.LET(_xlpm.srcCat,_xlfn.SWITCH($I476,"Computer",_xlfn.XLOOKUP($K476&amp;"",COMPUTER!$B$3:$B$1009&amp;"",COMPUTER!$H$3:$H$1009,""),"Display",_xlfn.XLOOKUP($K476&amp;"",DISPLAY!$B$3:$B$1000&amp;"",DISPLAY!$H$3:$H$1000,""),"Network Device",_xlfn.XLOOKUP($K476&amp;"",'NETWORK-DEVICES'!$B$3:$B$987&amp;"",'NETWORK-DEVICES'!$H$3:$H$987,""),"Peripheral",_xlfn.XLOOKUP($K476&amp;"",PERIPHERAL!$B$3:$B$954&amp;"",PERIPHERAL!$H$3:$H$954,""),"Utilities",_xlfn.XLOOKUP($K476&amp;"",UTILITIES!$B$3:$B$953&amp;"",UTILITIES!$G$3:$G$953,""),"IOT",_xlfn.XLOOKUP($K476&amp;"",IOT!$B$3:$B$1012&amp;"",IOT!$H$3:$H$1012,""),"Server",_xlfn.XLOOKUP($K476&amp;"",SERVER!$B$3:$B$1009&amp;"",SERVER!$H$3:$H$1009,""),""),IF(TRIM(_xlpm.srcCat)&lt;&gt;TRIM($J476),"",_xlfn.SWITCH($I476,"Computer",_xlfn.XLOOKUP($K476&amp;"",COMPUTER!$B$3:$B$1009&amp;"",COMPUTER!$E$3:$E$1009,""),"Display",_xlfn.XLOOKUP($K476&amp;"",DISPLAY!$B$3:$B$1000&amp;"",DISPLAY!$E$3:$E$1000,""),"Network Device",_xlfn.XLOOKUP($K476&amp;"",'NETWORK-DEVICES'!$B$3:$B$987&amp;"",'NETWORK-DEVICES'!$E$3:$E$987,""),"Peripheral",_xlfn.XLOOKUP($K476&amp;"",PERIPHERAL!$B$3:$B$954&amp;"",PERIPHERAL!$E$3:$E$954,""),"Utilities",_xlfn.XLOOKUP($K476&amp;"",UTILITIES!$B$3:$B$953&amp;"",UTILITIES!$E$3:$E$953,""),"IOT",_xlfn.XLOOKUP($K476&amp;"",IOT!$B$3:$B$1012&amp;"",IOT!$E$3:$E$1012,""),"Server",_xlfn.XLOOKUP($K476&amp;"",SERVER!$B$3:$B$1009&amp;"",SERVER!$E$3:$E$1009,""),""))))</f>
        <v/>
      </c>
      <c r="Q476" s="1" t="str" cm="1">
        <f t="array" ref="Q476">IF(OR($K476="",$I476="",$J476=""),"",_xlfn.LET(_xlpm.srcCat,_xlfn.SWITCH($I476,"Computer",_xlfn.XLOOKUP($K476&amp;"",COMPUTER!$B$3:$B$1009&amp;"",COMPUTER!$H$3:$H$1009,""),"Display",_xlfn.XLOOKUP($K476&amp;"",DISPLAY!$B$3:$B$1000&amp;"",DISPLAY!$H$3:$H$1000,""),"Network Device",_xlfn.XLOOKUP($K476&amp;"",'NETWORK-DEVICES'!$B$3:$B$987&amp;"",'NETWORK-DEVICES'!$H$3:$H$987,""),"Peripheral",_xlfn.XLOOKUP($K476&amp;"",PERIPHERAL!$B$3:$B$954&amp;"",PERIPHERAL!$H$3:$H$954,""),"Utilities",_xlfn.XLOOKUP($K476&amp;"",UTILITIES!$B$3:$B$953&amp;"",UTILITIES!$G$3:$G$953,""),"IOT",_xlfn.XLOOKUP($K476&amp;"",IOT!$B$3:$B$1012&amp;"",IOT!$H$3:$H$1012,""),"Server",_xlfn.XLOOKUP($K476&amp;"",SERVER!$B$3:$B$1009&amp;"",SERVER!$H$3:$H$1009,""),""),IF(TRIM(_xlpm.srcCat)&lt;&gt;TRIM($J476),"",_xlfn.SWITCH($I476,"Computer",_xlfn.XLOOKUP($K476&amp;"",COMPUTER!$B$3:$B$1009&amp;"",COMPUTER!$AM$3:$AM$1009,""),"Display",_xlfn.XLOOKUP($K476&amp;"",DISPLAY!$B$3:$B$1000&amp;"",DISPLAY!$V$3:$V$1000,""),"Network Device",_xlfn.XLOOKUP($K476&amp;"",'NETWORK-DEVICES'!$B$3:$B$987&amp;"",'NETWORK-DEVICES'!$AF$3:$AF$987,""),"Peripheral",_xlfn.XLOOKUP($K476&amp;"",PERIPHERAL!$B$3:$B$954&amp;"",PERIPHERAL!$Y$3:$Y$954,""),"Utilities",_xlfn.XLOOKUP($K476&amp;"",UTILITIES!$B$3:$B$953&amp;"",UTILITIES!$O$3:$O$953,""),"IOT",_xlfn.XLOOKUP($K476&amp;"",IOT!$B$3:$B$1012&amp;"",IOT!$AB$3:$AB$1012,""),"Server",_xlfn.XLOOKUP($K476&amp;"",SERVER!$B$3:$B$1009&amp;"",SERVER!$AB$3:$AB$1009,""),""))))</f>
        <v/>
      </c>
      <c r="R476" s="43" t="str">
        <f>IF(tbl_handover[[#This Row],[Asset Code]]="","",COUNTIF(tbl_handover[Asset Code],tbl_handover[[#This Row],[Asset Code]]))</f>
        <v/>
      </c>
    </row>
    <row r="477" spans="1:18" x14ac:dyDescent="0.25">
      <c r="A477" s="43" t="str">
        <f>IF(B477&lt;&gt;"",SUBTOTAL(3,$B$1:B476),"")</f>
        <v/>
      </c>
      <c r="C477" s="74"/>
      <c r="D477" s="74"/>
      <c r="G477" s="1"/>
      <c r="K477" s="42"/>
      <c r="L477" t="str" cm="1">
        <f t="array" ref="L477">IF($K477="","",_xlfn.SWITCH($I477,"Computer",_xlfn.XLOOKUP($K477&amp;"",COMPUTER!$B$3:$B$1009&amp;"",COMPUTER!$I$3:$I$1009,""),"Display",_xlfn.XLOOKUP($K477&amp;"",DISPLAY!$B$3:$B$1000&amp;"",DISPLAY!$J$3:$J$1000,""),"Network Device",_xlfn.XLOOKUP($K477&amp;"",'NETWORK-DEVICES'!$B$3:$B$987&amp;"",'NETWORK-DEVICES'!$I$3:$I$987,""),"Peripheral",_xlfn.XLOOKUP($K477&amp;"",PERIPHERAL!$B$3:$B$954&amp;"",PERIPHERAL!$I$3:$I$954,""),"Utilities",_xlfn.XLOOKUP($K477&amp;"",UTILITIES!$B$3:$B$953&amp;"",UTILITIES!$H$3:$H$953,""),"IOT",_xlfn.XLOOKUP($K477&amp;"",IOT!$B$3:$B$1012&amp;"",IOT!$I$3:$I$1012,""),"SERVER",_xlfn.XLOOKUP($K477&amp;"",SERVER!$B$3:$B$1009&amp;"",SERVER!$I$3:$I$1009,""),""))</f>
        <v/>
      </c>
      <c r="M477" t="str" cm="1">
        <f t="array" ref="M477">IF($K477="","",_xlfn.SWITCH($I477,"Computer",_xlfn.XLOOKUP($K477&amp;"",COMPUTER!$B$3:$B$1009&amp;"",COMPUTER!$J$3:$J$1009,""),"Display",_xlfn.XLOOKUP($K477&amp;"",DISPLAY!$B$3:$B$1000&amp;"",DISPLAY!$K$3:$K$1000,""),"Network Device",_xlfn.XLOOKUP($K477&amp;"",'NETWORK-DEVICES'!$B$3:$B$987&amp;"",'NETWORK-DEVICES'!$I$3:$I$987,""),"Peripheral",_xlfn.XLOOKUP($K477&amp;"",PERIPHERAL!$B$3:$B$954&amp;"",PERIPHERAL!$J$3:$J$954,""),"Utilities",_xlfn.XLOOKUP($K477&amp;"",UTILITIES!$B$3:$B$953&amp;"",UTILITIES!$I$3:$I$953,""),"IOT",_xlfn.XLOOKUP($K477&amp;"",IOT!$B$3:$B$1012&amp;"",IOT!$J$3:$J$1012,""),"Server",_xlfn.XLOOKUP($K477&amp;"",SERVER!$B$3:$B$1009&amp;"",SERVER!$J$3:$J$1009,""),""))</f>
        <v/>
      </c>
      <c r="N477" s="1" t="str" cm="1">
        <f t="array" ref="N477">IF(OR($K477="",$I477="",$J477=""),"",_xlfn.LET(_xlpm.srcCat,_xlfn.SWITCH($I477,"Computer",_xlfn.XLOOKUP($K477&amp;"",COMPUTER!$B$3:$B$1009&amp;"",COMPUTER!$H$3:$H$1009,""),"Display",_xlfn.XLOOKUP($K477&amp;"",DISPLAY!$B$3:$B$1000&amp;"",DISPLAY!$H$3:$H$1000,""),"Network Device",_xlfn.XLOOKUP($K477&amp;"",'NETWORK-DEVICES'!$B$3:$B$987&amp;"",'NETWORK-DEVICES'!$H$3:$H$987,""),"Peripheral",_xlfn.XLOOKUP($K477&amp;"",PERIPHERAL!$B$3:$B$954&amp;"",PERIPHERAL!$H$3:$H$954,""),"Utilities",_xlfn.XLOOKUP($K477&amp;"",UTILITIES!$B$3:$B$953&amp;"",UTILITIES!$G$3:$G$953,""),"IOT",_xlfn.XLOOKUP($K477&amp;"",IOT!$B$3:$B$1012&amp;"",IOT!$H$3:$H$1012,""),"Server",_xlfn.XLOOKUP($K477&amp;"",SERVER!$B$3:$B$1009&amp;"",SERVER!$H$3:$H$1009,""),""),IF(TRIM(_xlpm.srcCat)&lt;&gt;TRIM($J477),"",_xlfn.SWITCH($I477,"Computer",_xlfn.XLOOKUP($K477&amp;"",COMPUTER!$B$3:$B$1009&amp;"",COMPUTER!$K$3:$K$1009,""),"Display",_xlfn.XLOOKUP($K477&amp;"",DISPLAY!$B$3:$B$1000&amp;"",DISPLAY!$L$3:$L$1000,""),"Network Device",_xlfn.XLOOKUP($K477&amp;"",'NETWORK-DEVICES'!$B$3:$B$987&amp;"",'NETWORK-DEVICES'!$K$3:$K$987,""),"Peripheral",_xlfn.XLOOKUP($K477&amp;"",PERIPHERAL!$B$3:$B$954&amp;"",PERIPHERAL!$K$3:$K$954,""),"Utilities",_xlfn.XLOOKUP($K477&amp;"",UTILITIES!$B$3:$B$953&amp;"",UTILITIES!$J$3:$J$953,""),"IOT",_xlfn.XLOOKUP($K477&amp;"",IOT!$B$3:$B$1012&amp;"",IOT!$K$4:$K$1012,""),"Server",_xlfn.XLOOKUP($K477&amp;"",SERVER!$B$3:$B$1009&amp;"",SERVER!$K$3:$K$1009,""),""))))</f>
        <v/>
      </c>
      <c r="O477" s="1" t="str" cm="1">
        <f t="array" ref="O477">IF(OR($K477="",$I477="",$J477=""),"",_xlfn.LET(_xlpm.srcCat,_xlfn.SWITCH($I477,"Computer",_xlfn.XLOOKUP($K477&amp;"",COMPUTER!$B$3:$B$1009&amp;"",COMPUTER!$H$3:$H$1009,""),"Display",_xlfn.XLOOKUP($K477&amp;"",DISPLAY!$B$3:$B$1000&amp;"",DISPLAY!$H$3:$H$1000,""),"Network Device",_xlfn.XLOOKUP($K477&amp;"",'NETWORK-DEVICES'!$B$3:$B$987&amp;"",'NETWORK-DEVICES'!$H$3:$H$987,""),"Peripheral",_xlfn.XLOOKUP($K477&amp;"",PERIPHERAL!$B$3:$B$954&amp;"",PERIPHERAL!$H$3:$H$954,""),"Utilities",_xlfn.XLOOKUP($K477&amp;"",UTILITIES!$B$3:$B$953&amp;"",UTILITIES!$G$3:$G$953,""),"IOT",_xlfn.XLOOKUP($K477&amp;"",IOT!$B$3:$B$1012&amp;"",IOT!$H$3:$H$1012,""),"Server",_xlfn.XLOOKUP($K477&amp;"",SERVER!$B$3:$B$1009&amp;"",SERVER!$H$3:$H$1009,""),""),IF(TRIM(_xlpm.srcCat)&lt;&gt;TRIM($J477),"",_xlfn.SWITCH($I477,"Computer",_xlfn.XLOOKUP($K477&amp;"",COMPUTER!$B$3:$B$1009&amp;"",COMPUTER!$E$3:$E$1009,""),"Display",_xlfn.XLOOKUP($K477&amp;"",DISPLAY!$B$3:$B$1000&amp;"",DISPLAY!$E$3:$E$1000,""),"Network Device",_xlfn.XLOOKUP($K477&amp;"",'NETWORK-DEVICES'!$B$3:$B$987&amp;"",'NETWORK-DEVICES'!$E$3:$E$987,""),"Peripheral",_xlfn.XLOOKUP($K477&amp;"",PERIPHERAL!$B$3:$B$954&amp;"",PERIPHERAL!$E$3:$E$954,""),"Utilities",_xlfn.XLOOKUP($K477&amp;"",UTILITIES!$B$3:$B$953&amp;"",UTILITIES!$E$3:$E$953,""),"IOT",_xlfn.XLOOKUP($K477&amp;"",IOT!$B$3:$B$1012&amp;"",IOT!$E$3:$E$1012,""),"Server",_xlfn.XLOOKUP($K477&amp;"",SERVER!$B$3:$B$1009&amp;"",SERVER!$E$3:$E$1009,""),""))))</f>
        <v/>
      </c>
      <c r="Q477" s="1" t="str" cm="1">
        <f t="array" ref="Q477">IF(OR($K477="",$I477="",$J477=""),"",_xlfn.LET(_xlpm.srcCat,_xlfn.SWITCH($I477,"Computer",_xlfn.XLOOKUP($K477&amp;"",COMPUTER!$B$3:$B$1009&amp;"",COMPUTER!$H$3:$H$1009,""),"Display",_xlfn.XLOOKUP($K477&amp;"",DISPLAY!$B$3:$B$1000&amp;"",DISPLAY!$H$3:$H$1000,""),"Network Device",_xlfn.XLOOKUP($K477&amp;"",'NETWORK-DEVICES'!$B$3:$B$987&amp;"",'NETWORK-DEVICES'!$H$3:$H$987,""),"Peripheral",_xlfn.XLOOKUP($K477&amp;"",PERIPHERAL!$B$3:$B$954&amp;"",PERIPHERAL!$H$3:$H$954,""),"Utilities",_xlfn.XLOOKUP($K477&amp;"",UTILITIES!$B$3:$B$953&amp;"",UTILITIES!$G$3:$G$953,""),"IOT",_xlfn.XLOOKUP($K477&amp;"",IOT!$B$3:$B$1012&amp;"",IOT!$H$3:$H$1012,""),"Server",_xlfn.XLOOKUP($K477&amp;"",SERVER!$B$3:$B$1009&amp;"",SERVER!$H$3:$H$1009,""),""),IF(TRIM(_xlpm.srcCat)&lt;&gt;TRIM($J477),"",_xlfn.SWITCH($I477,"Computer",_xlfn.XLOOKUP($K477&amp;"",COMPUTER!$B$3:$B$1009&amp;"",COMPUTER!$AM$3:$AM$1009,""),"Display",_xlfn.XLOOKUP($K477&amp;"",DISPLAY!$B$3:$B$1000&amp;"",DISPLAY!$V$3:$V$1000,""),"Network Device",_xlfn.XLOOKUP($K477&amp;"",'NETWORK-DEVICES'!$B$3:$B$987&amp;"",'NETWORK-DEVICES'!$AF$3:$AF$987,""),"Peripheral",_xlfn.XLOOKUP($K477&amp;"",PERIPHERAL!$B$3:$B$954&amp;"",PERIPHERAL!$Y$3:$Y$954,""),"Utilities",_xlfn.XLOOKUP($K477&amp;"",UTILITIES!$B$3:$B$953&amp;"",UTILITIES!$O$3:$O$953,""),"IOT",_xlfn.XLOOKUP($K477&amp;"",IOT!$B$3:$B$1012&amp;"",IOT!$AB$3:$AB$1012,""),"Server",_xlfn.XLOOKUP($K477&amp;"",SERVER!$B$3:$B$1009&amp;"",SERVER!$AB$3:$AB$1009,""),""))))</f>
        <v/>
      </c>
      <c r="R477" s="43" t="str">
        <f>IF(tbl_handover[[#This Row],[Asset Code]]="","",COUNTIF(tbl_handover[Asset Code],tbl_handover[[#This Row],[Asset Code]]))</f>
        <v/>
      </c>
    </row>
    <row r="478" spans="1:18" x14ac:dyDescent="0.25">
      <c r="A478" s="43" t="str">
        <f>IF(B478&lt;&gt;"",SUBTOTAL(3,$B$1:B477),"")</f>
        <v/>
      </c>
      <c r="C478" s="74"/>
      <c r="D478" s="74"/>
      <c r="G478" s="1"/>
      <c r="K478" s="42"/>
      <c r="L478" t="str" cm="1">
        <f t="array" ref="L478">IF($K478="","",_xlfn.SWITCH($I478,"Computer",_xlfn.XLOOKUP($K478&amp;"",COMPUTER!$B$3:$B$1009&amp;"",COMPUTER!$I$3:$I$1009,""),"Display",_xlfn.XLOOKUP($K478&amp;"",DISPLAY!$B$3:$B$1000&amp;"",DISPLAY!$J$3:$J$1000,""),"Network Device",_xlfn.XLOOKUP($K478&amp;"",'NETWORK-DEVICES'!$B$3:$B$987&amp;"",'NETWORK-DEVICES'!$I$3:$I$987,""),"Peripheral",_xlfn.XLOOKUP($K478&amp;"",PERIPHERAL!$B$3:$B$954&amp;"",PERIPHERAL!$I$3:$I$954,""),"Utilities",_xlfn.XLOOKUP($K478&amp;"",UTILITIES!$B$3:$B$953&amp;"",UTILITIES!$H$3:$H$953,""),"IOT",_xlfn.XLOOKUP($K478&amp;"",IOT!$B$3:$B$1012&amp;"",IOT!$I$3:$I$1012,""),"SERVER",_xlfn.XLOOKUP($K478&amp;"",SERVER!$B$3:$B$1009&amp;"",SERVER!$I$3:$I$1009,""),""))</f>
        <v/>
      </c>
      <c r="M478" t="str" cm="1">
        <f t="array" ref="M478">IF($K478="","",_xlfn.SWITCH($I478,"Computer",_xlfn.XLOOKUP($K478&amp;"",COMPUTER!$B$3:$B$1009&amp;"",COMPUTER!$J$3:$J$1009,""),"Display",_xlfn.XLOOKUP($K478&amp;"",DISPLAY!$B$3:$B$1000&amp;"",DISPLAY!$K$3:$K$1000,""),"Network Device",_xlfn.XLOOKUP($K478&amp;"",'NETWORK-DEVICES'!$B$3:$B$987&amp;"",'NETWORK-DEVICES'!$I$3:$I$987,""),"Peripheral",_xlfn.XLOOKUP($K478&amp;"",PERIPHERAL!$B$3:$B$954&amp;"",PERIPHERAL!$J$3:$J$954,""),"Utilities",_xlfn.XLOOKUP($K478&amp;"",UTILITIES!$B$3:$B$953&amp;"",UTILITIES!$I$3:$I$953,""),"IOT",_xlfn.XLOOKUP($K478&amp;"",IOT!$B$3:$B$1012&amp;"",IOT!$J$3:$J$1012,""),"Server",_xlfn.XLOOKUP($K478&amp;"",SERVER!$B$3:$B$1009&amp;"",SERVER!$J$3:$J$1009,""),""))</f>
        <v/>
      </c>
      <c r="N478" s="1" t="str" cm="1">
        <f t="array" ref="N478">IF(OR($K478="",$I478="",$J478=""),"",_xlfn.LET(_xlpm.srcCat,_xlfn.SWITCH($I478,"Computer",_xlfn.XLOOKUP($K478&amp;"",COMPUTER!$B$3:$B$1009&amp;"",COMPUTER!$H$3:$H$1009,""),"Display",_xlfn.XLOOKUP($K478&amp;"",DISPLAY!$B$3:$B$1000&amp;"",DISPLAY!$H$3:$H$1000,""),"Network Device",_xlfn.XLOOKUP($K478&amp;"",'NETWORK-DEVICES'!$B$3:$B$987&amp;"",'NETWORK-DEVICES'!$H$3:$H$987,""),"Peripheral",_xlfn.XLOOKUP($K478&amp;"",PERIPHERAL!$B$3:$B$954&amp;"",PERIPHERAL!$H$3:$H$954,""),"Utilities",_xlfn.XLOOKUP($K478&amp;"",UTILITIES!$B$3:$B$953&amp;"",UTILITIES!$G$3:$G$953,""),"IOT",_xlfn.XLOOKUP($K478&amp;"",IOT!$B$3:$B$1012&amp;"",IOT!$H$3:$H$1012,""),"Server",_xlfn.XLOOKUP($K478&amp;"",SERVER!$B$3:$B$1009&amp;"",SERVER!$H$3:$H$1009,""),""),IF(TRIM(_xlpm.srcCat)&lt;&gt;TRIM($J478),"",_xlfn.SWITCH($I478,"Computer",_xlfn.XLOOKUP($K478&amp;"",COMPUTER!$B$3:$B$1009&amp;"",COMPUTER!$K$3:$K$1009,""),"Display",_xlfn.XLOOKUP($K478&amp;"",DISPLAY!$B$3:$B$1000&amp;"",DISPLAY!$L$3:$L$1000,""),"Network Device",_xlfn.XLOOKUP($K478&amp;"",'NETWORK-DEVICES'!$B$3:$B$987&amp;"",'NETWORK-DEVICES'!$K$3:$K$987,""),"Peripheral",_xlfn.XLOOKUP($K478&amp;"",PERIPHERAL!$B$3:$B$954&amp;"",PERIPHERAL!$K$3:$K$954,""),"Utilities",_xlfn.XLOOKUP($K478&amp;"",UTILITIES!$B$3:$B$953&amp;"",UTILITIES!$J$3:$J$953,""),"IOT",_xlfn.XLOOKUP($K478&amp;"",IOT!$B$3:$B$1012&amp;"",IOT!$K$4:$K$1012,""),"Server",_xlfn.XLOOKUP($K478&amp;"",SERVER!$B$3:$B$1009&amp;"",SERVER!$K$3:$K$1009,""),""))))</f>
        <v/>
      </c>
      <c r="O478" s="1" t="str" cm="1">
        <f t="array" ref="O478">IF(OR($K478="",$I478="",$J478=""),"",_xlfn.LET(_xlpm.srcCat,_xlfn.SWITCH($I478,"Computer",_xlfn.XLOOKUP($K478&amp;"",COMPUTER!$B$3:$B$1009&amp;"",COMPUTER!$H$3:$H$1009,""),"Display",_xlfn.XLOOKUP($K478&amp;"",DISPLAY!$B$3:$B$1000&amp;"",DISPLAY!$H$3:$H$1000,""),"Network Device",_xlfn.XLOOKUP($K478&amp;"",'NETWORK-DEVICES'!$B$3:$B$987&amp;"",'NETWORK-DEVICES'!$H$3:$H$987,""),"Peripheral",_xlfn.XLOOKUP($K478&amp;"",PERIPHERAL!$B$3:$B$954&amp;"",PERIPHERAL!$H$3:$H$954,""),"Utilities",_xlfn.XLOOKUP($K478&amp;"",UTILITIES!$B$3:$B$953&amp;"",UTILITIES!$G$3:$G$953,""),"IOT",_xlfn.XLOOKUP($K478&amp;"",IOT!$B$3:$B$1012&amp;"",IOT!$H$3:$H$1012,""),"Server",_xlfn.XLOOKUP($K478&amp;"",SERVER!$B$3:$B$1009&amp;"",SERVER!$H$3:$H$1009,""),""),IF(TRIM(_xlpm.srcCat)&lt;&gt;TRIM($J478),"",_xlfn.SWITCH($I478,"Computer",_xlfn.XLOOKUP($K478&amp;"",COMPUTER!$B$3:$B$1009&amp;"",COMPUTER!$E$3:$E$1009,""),"Display",_xlfn.XLOOKUP($K478&amp;"",DISPLAY!$B$3:$B$1000&amp;"",DISPLAY!$E$3:$E$1000,""),"Network Device",_xlfn.XLOOKUP($K478&amp;"",'NETWORK-DEVICES'!$B$3:$B$987&amp;"",'NETWORK-DEVICES'!$E$3:$E$987,""),"Peripheral",_xlfn.XLOOKUP($K478&amp;"",PERIPHERAL!$B$3:$B$954&amp;"",PERIPHERAL!$E$3:$E$954,""),"Utilities",_xlfn.XLOOKUP($K478&amp;"",UTILITIES!$B$3:$B$953&amp;"",UTILITIES!$E$3:$E$953,""),"IOT",_xlfn.XLOOKUP($K478&amp;"",IOT!$B$3:$B$1012&amp;"",IOT!$E$3:$E$1012,""),"Server",_xlfn.XLOOKUP($K478&amp;"",SERVER!$B$3:$B$1009&amp;"",SERVER!$E$3:$E$1009,""),""))))</f>
        <v/>
      </c>
      <c r="Q478" s="1" t="str" cm="1">
        <f t="array" ref="Q478">IF(OR($K478="",$I478="",$J478=""),"",_xlfn.LET(_xlpm.srcCat,_xlfn.SWITCH($I478,"Computer",_xlfn.XLOOKUP($K478&amp;"",COMPUTER!$B$3:$B$1009&amp;"",COMPUTER!$H$3:$H$1009,""),"Display",_xlfn.XLOOKUP($K478&amp;"",DISPLAY!$B$3:$B$1000&amp;"",DISPLAY!$H$3:$H$1000,""),"Network Device",_xlfn.XLOOKUP($K478&amp;"",'NETWORK-DEVICES'!$B$3:$B$987&amp;"",'NETWORK-DEVICES'!$H$3:$H$987,""),"Peripheral",_xlfn.XLOOKUP($K478&amp;"",PERIPHERAL!$B$3:$B$954&amp;"",PERIPHERAL!$H$3:$H$954,""),"Utilities",_xlfn.XLOOKUP($K478&amp;"",UTILITIES!$B$3:$B$953&amp;"",UTILITIES!$G$3:$G$953,""),"IOT",_xlfn.XLOOKUP($K478&amp;"",IOT!$B$3:$B$1012&amp;"",IOT!$H$3:$H$1012,""),"Server",_xlfn.XLOOKUP($K478&amp;"",SERVER!$B$3:$B$1009&amp;"",SERVER!$H$3:$H$1009,""),""),IF(TRIM(_xlpm.srcCat)&lt;&gt;TRIM($J478),"",_xlfn.SWITCH($I478,"Computer",_xlfn.XLOOKUP($K478&amp;"",COMPUTER!$B$3:$B$1009&amp;"",COMPUTER!$AM$3:$AM$1009,""),"Display",_xlfn.XLOOKUP($K478&amp;"",DISPLAY!$B$3:$B$1000&amp;"",DISPLAY!$V$3:$V$1000,""),"Network Device",_xlfn.XLOOKUP($K478&amp;"",'NETWORK-DEVICES'!$B$3:$B$987&amp;"",'NETWORK-DEVICES'!$AF$3:$AF$987,""),"Peripheral",_xlfn.XLOOKUP($K478&amp;"",PERIPHERAL!$B$3:$B$954&amp;"",PERIPHERAL!$Y$3:$Y$954,""),"Utilities",_xlfn.XLOOKUP($K478&amp;"",UTILITIES!$B$3:$B$953&amp;"",UTILITIES!$O$3:$O$953,""),"IOT",_xlfn.XLOOKUP($K478&amp;"",IOT!$B$3:$B$1012&amp;"",IOT!$AB$3:$AB$1012,""),"Server",_xlfn.XLOOKUP($K478&amp;"",SERVER!$B$3:$B$1009&amp;"",SERVER!$AB$3:$AB$1009,""),""))))</f>
        <v/>
      </c>
      <c r="R478" s="43" t="str">
        <f>IF(tbl_handover[[#This Row],[Asset Code]]="","",COUNTIF(tbl_handover[Asset Code],tbl_handover[[#This Row],[Asset Code]]))</f>
        <v/>
      </c>
    </row>
    <row r="479" spans="1:18" x14ac:dyDescent="0.25">
      <c r="A479" s="43" t="str">
        <f>IF(B479&lt;&gt;"",SUBTOTAL(3,$B$1:B478),"")</f>
        <v/>
      </c>
      <c r="C479" s="74"/>
      <c r="D479" s="74"/>
      <c r="G479" s="1"/>
      <c r="K479" s="42"/>
      <c r="L479" t="str" cm="1">
        <f t="array" ref="L479">IF($K479="","",_xlfn.SWITCH($I479,"Computer",_xlfn.XLOOKUP($K479&amp;"",COMPUTER!$B$3:$B$1009&amp;"",COMPUTER!$I$3:$I$1009,""),"Display",_xlfn.XLOOKUP($K479&amp;"",DISPLAY!$B$3:$B$1000&amp;"",DISPLAY!$J$3:$J$1000,""),"Network Device",_xlfn.XLOOKUP($K479&amp;"",'NETWORK-DEVICES'!$B$3:$B$987&amp;"",'NETWORK-DEVICES'!$I$3:$I$987,""),"Peripheral",_xlfn.XLOOKUP($K479&amp;"",PERIPHERAL!$B$3:$B$954&amp;"",PERIPHERAL!$I$3:$I$954,""),"Utilities",_xlfn.XLOOKUP($K479&amp;"",UTILITIES!$B$3:$B$953&amp;"",UTILITIES!$H$3:$H$953,""),"IOT",_xlfn.XLOOKUP($K479&amp;"",IOT!$B$3:$B$1012&amp;"",IOT!$I$3:$I$1012,""),"SERVER",_xlfn.XLOOKUP($K479&amp;"",SERVER!$B$3:$B$1009&amp;"",SERVER!$I$3:$I$1009,""),""))</f>
        <v/>
      </c>
      <c r="M479" t="str" cm="1">
        <f t="array" ref="M479">IF($K479="","",_xlfn.SWITCH($I479,"Computer",_xlfn.XLOOKUP($K479&amp;"",COMPUTER!$B$3:$B$1009&amp;"",COMPUTER!$J$3:$J$1009,""),"Display",_xlfn.XLOOKUP($K479&amp;"",DISPLAY!$B$3:$B$1000&amp;"",DISPLAY!$K$3:$K$1000,""),"Network Device",_xlfn.XLOOKUP($K479&amp;"",'NETWORK-DEVICES'!$B$3:$B$987&amp;"",'NETWORK-DEVICES'!$I$3:$I$987,""),"Peripheral",_xlfn.XLOOKUP($K479&amp;"",PERIPHERAL!$B$3:$B$954&amp;"",PERIPHERAL!$J$3:$J$954,""),"Utilities",_xlfn.XLOOKUP($K479&amp;"",UTILITIES!$B$3:$B$953&amp;"",UTILITIES!$I$3:$I$953,""),"IOT",_xlfn.XLOOKUP($K479&amp;"",IOT!$B$3:$B$1012&amp;"",IOT!$J$3:$J$1012,""),"Server",_xlfn.XLOOKUP($K479&amp;"",SERVER!$B$3:$B$1009&amp;"",SERVER!$J$3:$J$1009,""),""))</f>
        <v/>
      </c>
      <c r="N479" s="1" t="str" cm="1">
        <f t="array" ref="N479">IF(OR($K479="",$I479="",$J479=""),"",_xlfn.LET(_xlpm.srcCat,_xlfn.SWITCH($I479,"Computer",_xlfn.XLOOKUP($K479&amp;"",COMPUTER!$B$3:$B$1009&amp;"",COMPUTER!$H$3:$H$1009,""),"Display",_xlfn.XLOOKUP($K479&amp;"",DISPLAY!$B$3:$B$1000&amp;"",DISPLAY!$H$3:$H$1000,""),"Network Device",_xlfn.XLOOKUP($K479&amp;"",'NETWORK-DEVICES'!$B$3:$B$987&amp;"",'NETWORK-DEVICES'!$H$3:$H$987,""),"Peripheral",_xlfn.XLOOKUP($K479&amp;"",PERIPHERAL!$B$3:$B$954&amp;"",PERIPHERAL!$H$3:$H$954,""),"Utilities",_xlfn.XLOOKUP($K479&amp;"",UTILITIES!$B$3:$B$953&amp;"",UTILITIES!$G$3:$G$953,""),"IOT",_xlfn.XLOOKUP($K479&amp;"",IOT!$B$3:$B$1012&amp;"",IOT!$H$3:$H$1012,""),"Server",_xlfn.XLOOKUP($K479&amp;"",SERVER!$B$3:$B$1009&amp;"",SERVER!$H$3:$H$1009,""),""),IF(TRIM(_xlpm.srcCat)&lt;&gt;TRIM($J479),"",_xlfn.SWITCH($I479,"Computer",_xlfn.XLOOKUP($K479&amp;"",COMPUTER!$B$3:$B$1009&amp;"",COMPUTER!$K$3:$K$1009,""),"Display",_xlfn.XLOOKUP($K479&amp;"",DISPLAY!$B$3:$B$1000&amp;"",DISPLAY!$L$3:$L$1000,""),"Network Device",_xlfn.XLOOKUP($K479&amp;"",'NETWORK-DEVICES'!$B$3:$B$987&amp;"",'NETWORK-DEVICES'!$K$3:$K$987,""),"Peripheral",_xlfn.XLOOKUP($K479&amp;"",PERIPHERAL!$B$3:$B$954&amp;"",PERIPHERAL!$K$3:$K$954,""),"Utilities",_xlfn.XLOOKUP($K479&amp;"",UTILITIES!$B$3:$B$953&amp;"",UTILITIES!$J$3:$J$953,""),"IOT",_xlfn.XLOOKUP($K479&amp;"",IOT!$B$3:$B$1012&amp;"",IOT!$K$4:$K$1012,""),"Server",_xlfn.XLOOKUP($K479&amp;"",SERVER!$B$3:$B$1009&amp;"",SERVER!$K$3:$K$1009,""),""))))</f>
        <v/>
      </c>
      <c r="O479" s="1" t="str" cm="1">
        <f t="array" ref="O479">IF(OR($K479="",$I479="",$J479=""),"",_xlfn.LET(_xlpm.srcCat,_xlfn.SWITCH($I479,"Computer",_xlfn.XLOOKUP($K479&amp;"",COMPUTER!$B$3:$B$1009&amp;"",COMPUTER!$H$3:$H$1009,""),"Display",_xlfn.XLOOKUP($K479&amp;"",DISPLAY!$B$3:$B$1000&amp;"",DISPLAY!$H$3:$H$1000,""),"Network Device",_xlfn.XLOOKUP($K479&amp;"",'NETWORK-DEVICES'!$B$3:$B$987&amp;"",'NETWORK-DEVICES'!$H$3:$H$987,""),"Peripheral",_xlfn.XLOOKUP($K479&amp;"",PERIPHERAL!$B$3:$B$954&amp;"",PERIPHERAL!$H$3:$H$954,""),"Utilities",_xlfn.XLOOKUP($K479&amp;"",UTILITIES!$B$3:$B$953&amp;"",UTILITIES!$G$3:$G$953,""),"IOT",_xlfn.XLOOKUP($K479&amp;"",IOT!$B$3:$B$1012&amp;"",IOT!$H$3:$H$1012,""),"Server",_xlfn.XLOOKUP($K479&amp;"",SERVER!$B$3:$B$1009&amp;"",SERVER!$H$3:$H$1009,""),""),IF(TRIM(_xlpm.srcCat)&lt;&gt;TRIM($J479),"",_xlfn.SWITCH($I479,"Computer",_xlfn.XLOOKUP($K479&amp;"",COMPUTER!$B$3:$B$1009&amp;"",COMPUTER!$E$3:$E$1009,""),"Display",_xlfn.XLOOKUP($K479&amp;"",DISPLAY!$B$3:$B$1000&amp;"",DISPLAY!$E$3:$E$1000,""),"Network Device",_xlfn.XLOOKUP($K479&amp;"",'NETWORK-DEVICES'!$B$3:$B$987&amp;"",'NETWORK-DEVICES'!$E$3:$E$987,""),"Peripheral",_xlfn.XLOOKUP($K479&amp;"",PERIPHERAL!$B$3:$B$954&amp;"",PERIPHERAL!$E$3:$E$954,""),"Utilities",_xlfn.XLOOKUP($K479&amp;"",UTILITIES!$B$3:$B$953&amp;"",UTILITIES!$E$3:$E$953,""),"IOT",_xlfn.XLOOKUP($K479&amp;"",IOT!$B$3:$B$1012&amp;"",IOT!$E$3:$E$1012,""),"Server",_xlfn.XLOOKUP($K479&amp;"",SERVER!$B$3:$B$1009&amp;"",SERVER!$E$3:$E$1009,""),""))))</f>
        <v/>
      </c>
      <c r="Q479" s="1" t="str" cm="1">
        <f t="array" ref="Q479">IF(OR($K479="",$I479="",$J479=""),"",_xlfn.LET(_xlpm.srcCat,_xlfn.SWITCH($I479,"Computer",_xlfn.XLOOKUP($K479&amp;"",COMPUTER!$B$3:$B$1009&amp;"",COMPUTER!$H$3:$H$1009,""),"Display",_xlfn.XLOOKUP($K479&amp;"",DISPLAY!$B$3:$B$1000&amp;"",DISPLAY!$H$3:$H$1000,""),"Network Device",_xlfn.XLOOKUP($K479&amp;"",'NETWORK-DEVICES'!$B$3:$B$987&amp;"",'NETWORK-DEVICES'!$H$3:$H$987,""),"Peripheral",_xlfn.XLOOKUP($K479&amp;"",PERIPHERAL!$B$3:$B$954&amp;"",PERIPHERAL!$H$3:$H$954,""),"Utilities",_xlfn.XLOOKUP($K479&amp;"",UTILITIES!$B$3:$B$953&amp;"",UTILITIES!$G$3:$G$953,""),"IOT",_xlfn.XLOOKUP($K479&amp;"",IOT!$B$3:$B$1012&amp;"",IOT!$H$3:$H$1012,""),"Server",_xlfn.XLOOKUP($K479&amp;"",SERVER!$B$3:$B$1009&amp;"",SERVER!$H$3:$H$1009,""),""),IF(TRIM(_xlpm.srcCat)&lt;&gt;TRIM($J479),"",_xlfn.SWITCH($I479,"Computer",_xlfn.XLOOKUP($K479&amp;"",COMPUTER!$B$3:$B$1009&amp;"",COMPUTER!$AM$3:$AM$1009,""),"Display",_xlfn.XLOOKUP($K479&amp;"",DISPLAY!$B$3:$B$1000&amp;"",DISPLAY!$V$3:$V$1000,""),"Network Device",_xlfn.XLOOKUP($K479&amp;"",'NETWORK-DEVICES'!$B$3:$B$987&amp;"",'NETWORK-DEVICES'!$AF$3:$AF$987,""),"Peripheral",_xlfn.XLOOKUP($K479&amp;"",PERIPHERAL!$B$3:$B$954&amp;"",PERIPHERAL!$Y$3:$Y$954,""),"Utilities",_xlfn.XLOOKUP($K479&amp;"",UTILITIES!$B$3:$B$953&amp;"",UTILITIES!$O$3:$O$953,""),"IOT",_xlfn.XLOOKUP($K479&amp;"",IOT!$B$3:$B$1012&amp;"",IOT!$AB$3:$AB$1012,""),"Server",_xlfn.XLOOKUP($K479&amp;"",SERVER!$B$3:$B$1009&amp;"",SERVER!$AB$3:$AB$1009,""),""))))</f>
        <v/>
      </c>
      <c r="R479" s="43" t="str">
        <f>IF(tbl_handover[[#This Row],[Asset Code]]="","",COUNTIF(tbl_handover[Asset Code],tbl_handover[[#This Row],[Asset Code]]))</f>
        <v/>
      </c>
    </row>
    <row r="480" spans="1:18" x14ac:dyDescent="0.25">
      <c r="A480" s="43" t="str">
        <f>IF(B480&lt;&gt;"",SUBTOTAL(3,$B$1:B479),"")</f>
        <v/>
      </c>
      <c r="C480" s="74"/>
      <c r="D480" s="74"/>
      <c r="G480" s="1"/>
      <c r="K480" s="42"/>
      <c r="L480" t="str" cm="1">
        <f t="array" ref="L480">IF($K480="","",_xlfn.SWITCH($I480,"Computer",_xlfn.XLOOKUP($K480&amp;"",COMPUTER!$B$3:$B$1009&amp;"",COMPUTER!$I$3:$I$1009,""),"Display",_xlfn.XLOOKUP($K480&amp;"",DISPLAY!$B$3:$B$1000&amp;"",DISPLAY!$J$3:$J$1000,""),"Network Device",_xlfn.XLOOKUP($K480&amp;"",'NETWORK-DEVICES'!$B$3:$B$987&amp;"",'NETWORK-DEVICES'!$I$3:$I$987,""),"Peripheral",_xlfn.XLOOKUP($K480&amp;"",PERIPHERAL!$B$3:$B$954&amp;"",PERIPHERAL!$I$3:$I$954,""),"Utilities",_xlfn.XLOOKUP($K480&amp;"",UTILITIES!$B$3:$B$953&amp;"",UTILITIES!$H$3:$H$953,""),"IOT",_xlfn.XLOOKUP($K480&amp;"",IOT!$B$3:$B$1012&amp;"",IOT!$I$3:$I$1012,""),"SERVER",_xlfn.XLOOKUP($K480&amp;"",SERVER!$B$3:$B$1009&amp;"",SERVER!$I$3:$I$1009,""),""))</f>
        <v/>
      </c>
      <c r="M480" t="str" cm="1">
        <f t="array" ref="M480">IF($K480="","",_xlfn.SWITCH($I480,"Computer",_xlfn.XLOOKUP($K480&amp;"",COMPUTER!$B$3:$B$1009&amp;"",COMPUTER!$J$3:$J$1009,""),"Display",_xlfn.XLOOKUP($K480&amp;"",DISPLAY!$B$3:$B$1000&amp;"",DISPLAY!$K$3:$K$1000,""),"Network Device",_xlfn.XLOOKUP($K480&amp;"",'NETWORK-DEVICES'!$B$3:$B$987&amp;"",'NETWORK-DEVICES'!$I$3:$I$987,""),"Peripheral",_xlfn.XLOOKUP($K480&amp;"",PERIPHERAL!$B$3:$B$954&amp;"",PERIPHERAL!$J$3:$J$954,""),"Utilities",_xlfn.XLOOKUP($K480&amp;"",UTILITIES!$B$3:$B$953&amp;"",UTILITIES!$I$3:$I$953,""),"IOT",_xlfn.XLOOKUP($K480&amp;"",IOT!$B$3:$B$1012&amp;"",IOT!$J$3:$J$1012,""),"Server",_xlfn.XLOOKUP($K480&amp;"",SERVER!$B$3:$B$1009&amp;"",SERVER!$J$3:$J$1009,""),""))</f>
        <v/>
      </c>
      <c r="N480" s="1" t="str" cm="1">
        <f t="array" ref="N480">IF(OR($K480="",$I480="",$J480=""),"",_xlfn.LET(_xlpm.srcCat,_xlfn.SWITCH($I480,"Computer",_xlfn.XLOOKUP($K480&amp;"",COMPUTER!$B$3:$B$1009&amp;"",COMPUTER!$H$3:$H$1009,""),"Display",_xlfn.XLOOKUP($K480&amp;"",DISPLAY!$B$3:$B$1000&amp;"",DISPLAY!$H$3:$H$1000,""),"Network Device",_xlfn.XLOOKUP($K480&amp;"",'NETWORK-DEVICES'!$B$3:$B$987&amp;"",'NETWORK-DEVICES'!$H$3:$H$987,""),"Peripheral",_xlfn.XLOOKUP($K480&amp;"",PERIPHERAL!$B$3:$B$954&amp;"",PERIPHERAL!$H$3:$H$954,""),"Utilities",_xlfn.XLOOKUP($K480&amp;"",UTILITIES!$B$3:$B$953&amp;"",UTILITIES!$G$3:$G$953,""),"IOT",_xlfn.XLOOKUP($K480&amp;"",IOT!$B$3:$B$1012&amp;"",IOT!$H$3:$H$1012,""),"Server",_xlfn.XLOOKUP($K480&amp;"",SERVER!$B$3:$B$1009&amp;"",SERVER!$H$3:$H$1009,""),""),IF(TRIM(_xlpm.srcCat)&lt;&gt;TRIM($J480),"",_xlfn.SWITCH($I480,"Computer",_xlfn.XLOOKUP($K480&amp;"",COMPUTER!$B$3:$B$1009&amp;"",COMPUTER!$K$3:$K$1009,""),"Display",_xlfn.XLOOKUP($K480&amp;"",DISPLAY!$B$3:$B$1000&amp;"",DISPLAY!$L$3:$L$1000,""),"Network Device",_xlfn.XLOOKUP($K480&amp;"",'NETWORK-DEVICES'!$B$3:$B$987&amp;"",'NETWORK-DEVICES'!$K$3:$K$987,""),"Peripheral",_xlfn.XLOOKUP($K480&amp;"",PERIPHERAL!$B$3:$B$954&amp;"",PERIPHERAL!$K$3:$K$954,""),"Utilities",_xlfn.XLOOKUP($K480&amp;"",UTILITIES!$B$3:$B$953&amp;"",UTILITIES!$J$3:$J$953,""),"IOT",_xlfn.XLOOKUP($K480&amp;"",IOT!$B$3:$B$1012&amp;"",IOT!$K$4:$K$1012,""),"Server",_xlfn.XLOOKUP($K480&amp;"",SERVER!$B$3:$B$1009&amp;"",SERVER!$K$3:$K$1009,""),""))))</f>
        <v/>
      </c>
      <c r="O480" s="1" t="str" cm="1">
        <f t="array" ref="O480">IF(OR($K480="",$I480="",$J480=""),"",_xlfn.LET(_xlpm.srcCat,_xlfn.SWITCH($I480,"Computer",_xlfn.XLOOKUP($K480&amp;"",COMPUTER!$B$3:$B$1009&amp;"",COMPUTER!$H$3:$H$1009,""),"Display",_xlfn.XLOOKUP($K480&amp;"",DISPLAY!$B$3:$B$1000&amp;"",DISPLAY!$H$3:$H$1000,""),"Network Device",_xlfn.XLOOKUP($K480&amp;"",'NETWORK-DEVICES'!$B$3:$B$987&amp;"",'NETWORK-DEVICES'!$H$3:$H$987,""),"Peripheral",_xlfn.XLOOKUP($K480&amp;"",PERIPHERAL!$B$3:$B$954&amp;"",PERIPHERAL!$H$3:$H$954,""),"Utilities",_xlfn.XLOOKUP($K480&amp;"",UTILITIES!$B$3:$B$953&amp;"",UTILITIES!$G$3:$G$953,""),"IOT",_xlfn.XLOOKUP($K480&amp;"",IOT!$B$3:$B$1012&amp;"",IOT!$H$3:$H$1012,""),"Server",_xlfn.XLOOKUP($K480&amp;"",SERVER!$B$3:$B$1009&amp;"",SERVER!$H$3:$H$1009,""),""),IF(TRIM(_xlpm.srcCat)&lt;&gt;TRIM($J480),"",_xlfn.SWITCH($I480,"Computer",_xlfn.XLOOKUP($K480&amp;"",COMPUTER!$B$3:$B$1009&amp;"",COMPUTER!$E$3:$E$1009,""),"Display",_xlfn.XLOOKUP($K480&amp;"",DISPLAY!$B$3:$B$1000&amp;"",DISPLAY!$E$3:$E$1000,""),"Network Device",_xlfn.XLOOKUP($K480&amp;"",'NETWORK-DEVICES'!$B$3:$B$987&amp;"",'NETWORK-DEVICES'!$E$3:$E$987,""),"Peripheral",_xlfn.XLOOKUP($K480&amp;"",PERIPHERAL!$B$3:$B$954&amp;"",PERIPHERAL!$E$3:$E$954,""),"Utilities",_xlfn.XLOOKUP($K480&amp;"",UTILITIES!$B$3:$B$953&amp;"",UTILITIES!$E$3:$E$953,""),"IOT",_xlfn.XLOOKUP($K480&amp;"",IOT!$B$3:$B$1012&amp;"",IOT!$E$3:$E$1012,""),"Server",_xlfn.XLOOKUP($K480&amp;"",SERVER!$B$3:$B$1009&amp;"",SERVER!$E$3:$E$1009,""),""))))</f>
        <v/>
      </c>
      <c r="Q480" s="1" t="str" cm="1">
        <f t="array" ref="Q480">IF(OR($K480="",$I480="",$J480=""),"",_xlfn.LET(_xlpm.srcCat,_xlfn.SWITCH($I480,"Computer",_xlfn.XLOOKUP($K480&amp;"",COMPUTER!$B$3:$B$1009&amp;"",COMPUTER!$H$3:$H$1009,""),"Display",_xlfn.XLOOKUP($K480&amp;"",DISPLAY!$B$3:$B$1000&amp;"",DISPLAY!$H$3:$H$1000,""),"Network Device",_xlfn.XLOOKUP($K480&amp;"",'NETWORK-DEVICES'!$B$3:$B$987&amp;"",'NETWORK-DEVICES'!$H$3:$H$987,""),"Peripheral",_xlfn.XLOOKUP($K480&amp;"",PERIPHERAL!$B$3:$B$954&amp;"",PERIPHERAL!$H$3:$H$954,""),"Utilities",_xlfn.XLOOKUP($K480&amp;"",UTILITIES!$B$3:$B$953&amp;"",UTILITIES!$G$3:$G$953,""),"IOT",_xlfn.XLOOKUP($K480&amp;"",IOT!$B$3:$B$1012&amp;"",IOT!$H$3:$H$1012,""),"Server",_xlfn.XLOOKUP($K480&amp;"",SERVER!$B$3:$B$1009&amp;"",SERVER!$H$3:$H$1009,""),""),IF(TRIM(_xlpm.srcCat)&lt;&gt;TRIM($J480),"",_xlfn.SWITCH($I480,"Computer",_xlfn.XLOOKUP($K480&amp;"",COMPUTER!$B$3:$B$1009&amp;"",COMPUTER!$AM$3:$AM$1009,""),"Display",_xlfn.XLOOKUP($K480&amp;"",DISPLAY!$B$3:$B$1000&amp;"",DISPLAY!$V$3:$V$1000,""),"Network Device",_xlfn.XLOOKUP($K480&amp;"",'NETWORK-DEVICES'!$B$3:$B$987&amp;"",'NETWORK-DEVICES'!$AF$3:$AF$987,""),"Peripheral",_xlfn.XLOOKUP($K480&amp;"",PERIPHERAL!$B$3:$B$954&amp;"",PERIPHERAL!$Y$3:$Y$954,""),"Utilities",_xlfn.XLOOKUP($K480&amp;"",UTILITIES!$B$3:$B$953&amp;"",UTILITIES!$O$3:$O$953,""),"IOT",_xlfn.XLOOKUP($K480&amp;"",IOT!$B$3:$B$1012&amp;"",IOT!$AB$3:$AB$1012,""),"Server",_xlfn.XLOOKUP($K480&amp;"",SERVER!$B$3:$B$1009&amp;"",SERVER!$AB$3:$AB$1009,""),""))))</f>
        <v/>
      </c>
      <c r="R480" s="43" t="str">
        <f>IF(tbl_handover[[#This Row],[Asset Code]]="","",COUNTIF(tbl_handover[Asset Code],tbl_handover[[#This Row],[Asset Code]]))</f>
        <v/>
      </c>
    </row>
    <row r="481" spans="1:18" x14ac:dyDescent="0.25">
      <c r="A481" s="43" t="str">
        <f>IF(B481&lt;&gt;"",SUBTOTAL(3,$B$1:B480),"")</f>
        <v/>
      </c>
      <c r="C481" s="74"/>
      <c r="D481" s="74"/>
      <c r="G481" s="1"/>
      <c r="K481" s="42"/>
      <c r="L481" t="str" cm="1">
        <f t="array" ref="L481">IF($K481="","",_xlfn.SWITCH($I481,"Computer",_xlfn.XLOOKUP($K481&amp;"",COMPUTER!$B$3:$B$1009&amp;"",COMPUTER!$I$3:$I$1009,""),"Display",_xlfn.XLOOKUP($K481&amp;"",DISPLAY!$B$3:$B$1000&amp;"",DISPLAY!$J$3:$J$1000,""),"Network Device",_xlfn.XLOOKUP($K481&amp;"",'NETWORK-DEVICES'!$B$3:$B$987&amp;"",'NETWORK-DEVICES'!$I$3:$I$987,""),"Peripheral",_xlfn.XLOOKUP($K481&amp;"",PERIPHERAL!$B$3:$B$954&amp;"",PERIPHERAL!$I$3:$I$954,""),"Utilities",_xlfn.XLOOKUP($K481&amp;"",UTILITIES!$B$3:$B$953&amp;"",UTILITIES!$H$3:$H$953,""),"IOT",_xlfn.XLOOKUP($K481&amp;"",IOT!$B$3:$B$1012&amp;"",IOT!$I$3:$I$1012,""),"SERVER",_xlfn.XLOOKUP($K481&amp;"",SERVER!$B$3:$B$1009&amp;"",SERVER!$I$3:$I$1009,""),""))</f>
        <v/>
      </c>
      <c r="M481" t="str" cm="1">
        <f t="array" ref="M481">IF($K481="","",_xlfn.SWITCH($I481,"Computer",_xlfn.XLOOKUP($K481&amp;"",COMPUTER!$B$3:$B$1009&amp;"",COMPUTER!$J$3:$J$1009,""),"Display",_xlfn.XLOOKUP($K481&amp;"",DISPLAY!$B$3:$B$1000&amp;"",DISPLAY!$K$3:$K$1000,""),"Network Device",_xlfn.XLOOKUP($K481&amp;"",'NETWORK-DEVICES'!$B$3:$B$987&amp;"",'NETWORK-DEVICES'!$I$3:$I$987,""),"Peripheral",_xlfn.XLOOKUP($K481&amp;"",PERIPHERAL!$B$3:$B$954&amp;"",PERIPHERAL!$J$3:$J$954,""),"Utilities",_xlfn.XLOOKUP($K481&amp;"",UTILITIES!$B$3:$B$953&amp;"",UTILITIES!$I$3:$I$953,""),"IOT",_xlfn.XLOOKUP($K481&amp;"",IOT!$B$3:$B$1012&amp;"",IOT!$J$3:$J$1012,""),"Server",_xlfn.XLOOKUP($K481&amp;"",SERVER!$B$3:$B$1009&amp;"",SERVER!$J$3:$J$1009,""),""))</f>
        <v/>
      </c>
      <c r="N481" s="1" t="str" cm="1">
        <f t="array" ref="N481">IF(OR($K481="",$I481="",$J481=""),"",_xlfn.LET(_xlpm.srcCat,_xlfn.SWITCH($I481,"Computer",_xlfn.XLOOKUP($K481&amp;"",COMPUTER!$B$3:$B$1009&amp;"",COMPUTER!$H$3:$H$1009,""),"Display",_xlfn.XLOOKUP($K481&amp;"",DISPLAY!$B$3:$B$1000&amp;"",DISPLAY!$H$3:$H$1000,""),"Network Device",_xlfn.XLOOKUP($K481&amp;"",'NETWORK-DEVICES'!$B$3:$B$987&amp;"",'NETWORK-DEVICES'!$H$3:$H$987,""),"Peripheral",_xlfn.XLOOKUP($K481&amp;"",PERIPHERAL!$B$3:$B$954&amp;"",PERIPHERAL!$H$3:$H$954,""),"Utilities",_xlfn.XLOOKUP($K481&amp;"",UTILITIES!$B$3:$B$953&amp;"",UTILITIES!$G$3:$G$953,""),"IOT",_xlfn.XLOOKUP($K481&amp;"",IOT!$B$3:$B$1012&amp;"",IOT!$H$3:$H$1012,""),"Server",_xlfn.XLOOKUP($K481&amp;"",SERVER!$B$3:$B$1009&amp;"",SERVER!$H$3:$H$1009,""),""),IF(TRIM(_xlpm.srcCat)&lt;&gt;TRIM($J481),"",_xlfn.SWITCH($I481,"Computer",_xlfn.XLOOKUP($K481&amp;"",COMPUTER!$B$3:$B$1009&amp;"",COMPUTER!$K$3:$K$1009,""),"Display",_xlfn.XLOOKUP($K481&amp;"",DISPLAY!$B$3:$B$1000&amp;"",DISPLAY!$L$3:$L$1000,""),"Network Device",_xlfn.XLOOKUP($K481&amp;"",'NETWORK-DEVICES'!$B$3:$B$987&amp;"",'NETWORK-DEVICES'!$K$3:$K$987,""),"Peripheral",_xlfn.XLOOKUP($K481&amp;"",PERIPHERAL!$B$3:$B$954&amp;"",PERIPHERAL!$K$3:$K$954,""),"Utilities",_xlfn.XLOOKUP($K481&amp;"",UTILITIES!$B$3:$B$953&amp;"",UTILITIES!$J$3:$J$953,""),"IOT",_xlfn.XLOOKUP($K481&amp;"",IOT!$B$3:$B$1012&amp;"",IOT!$K$4:$K$1012,""),"Server",_xlfn.XLOOKUP($K481&amp;"",SERVER!$B$3:$B$1009&amp;"",SERVER!$K$3:$K$1009,""),""))))</f>
        <v/>
      </c>
      <c r="O481" s="1" t="str" cm="1">
        <f t="array" ref="O481">IF(OR($K481="",$I481="",$J481=""),"",_xlfn.LET(_xlpm.srcCat,_xlfn.SWITCH($I481,"Computer",_xlfn.XLOOKUP($K481&amp;"",COMPUTER!$B$3:$B$1009&amp;"",COMPUTER!$H$3:$H$1009,""),"Display",_xlfn.XLOOKUP($K481&amp;"",DISPLAY!$B$3:$B$1000&amp;"",DISPLAY!$H$3:$H$1000,""),"Network Device",_xlfn.XLOOKUP($K481&amp;"",'NETWORK-DEVICES'!$B$3:$B$987&amp;"",'NETWORK-DEVICES'!$H$3:$H$987,""),"Peripheral",_xlfn.XLOOKUP($K481&amp;"",PERIPHERAL!$B$3:$B$954&amp;"",PERIPHERAL!$H$3:$H$954,""),"Utilities",_xlfn.XLOOKUP($K481&amp;"",UTILITIES!$B$3:$B$953&amp;"",UTILITIES!$G$3:$G$953,""),"IOT",_xlfn.XLOOKUP($K481&amp;"",IOT!$B$3:$B$1012&amp;"",IOT!$H$3:$H$1012,""),"Server",_xlfn.XLOOKUP($K481&amp;"",SERVER!$B$3:$B$1009&amp;"",SERVER!$H$3:$H$1009,""),""),IF(TRIM(_xlpm.srcCat)&lt;&gt;TRIM($J481),"",_xlfn.SWITCH($I481,"Computer",_xlfn.XLOOKUP($K481&amp;"",COMPUTER!$B$3:$B$1009&amp;"",COMPUTER!$E$3:$E$1009,""),"Display",_xlfn.XLOOKUP($K481&amp;"",DISPLAY!$B$3:$B$1000&amp;"",DISPLAY!$E$3:$E$1000,""),"Network Device",_xlfn.XLOOKUP($K481&amp;"",'NETWORK-DEVICES'!$B$3:$B$987&amp;"",'NETWORK-DEVICES'!$E$3:$E$987,""),"Peripheral",_xlfn.XLOOKUP($K481&amp;"",PERIPHERAL!$B$3:$B$954&amp;"",PERIPHERAL!$E$3:$E$954,""),"Utilities",_xlfn.XLOOKUP($K481&amp;"",UTILITIES!$B$3:$B$953&amp;"",UTILITIES!$E$3:$E$953,""),"IOT",_xlfn.XLOOKUP($K481&amp;"",IOT!$B$3:$B$1012&amp;"",IOT!$E$3:$E$1012,""),"Server",_xlfn.XLOOKUP($K481&amp;"",SERVER!$B$3:$B$1009&amp;"",SERVER!$E$3:$E$1009,""),""))))</f>
        <v/>
      </c>
      <c r="Q481" s="1" t="str" cm="1">
        <f t="array" ref="Q481">IF(OR($K481="",$I481="",$J481=""),"",_xlfn.LET(_xlpm.srcCat,_xlfn.SWITCH($I481,"Computer",_xlfn.XLOOKUP($K481&amp;"",COMPUTER!$B$3:$B$1009&amp;"",COMPUTER!$H$3:$H$1009,""),"Display",_xlfn.XLOOKUP($K481&amp;"",DISPLAY!$B$3:$B$1000&amp;"",DISPLAY!$H$3:$H$1000,""),"Network Device",_xlfn.XLOOKUP($K481&amp;"",'NETWORK-DEVICES'!$B$3:$B$987&amp;"",'NETWORK-DEVICES'!$H$3:$H$987,""),"Peripheral",_xlfn.XLOOKUP($K481&amp;"",PERIPHERAL!$B$3:$B$954&amp;"",PERIPHERAL!$H$3:$H$954,""),"Utilities",_xlfn.XLOOKUP($K481&amp;"",UTILITIES!$B$3:$B$953&amp;"",UTILITIES!$G$3:$G$953,""),"IOT",_xlfn.XLOOKUP($K481&amp;"",IOT!$B$3:$B$1012&amp;"",IOT!$H$3:$H$1012,""),"Server",_xlfn.XLOOKUP($K481&amp;"",SERVER!$B$3:$B$1009&amp;"",SERVER!$H$3:$H$1009,""),""),IF(TRIM(_xlpm.srcCat)&lt;&gt;TRIM($J481),"",_xlfn.SWITCH($I481,"Computer",_xlfn.XLOOKUP($K481&amp;"",COMPUTER!$B$3:$B$1009&amp;"",COMPUTER!$AM$3:$AM$1009,""),"Display",_xlfn.XLOOKUP($K481&amp;"",DISPLAY!$B$3:$B$1000&amp;"",DISPLAY!$V$3:$V$1000,""),"Network Device",_xlfn.XLOOKUP($K481&amp;"",'NETWORK-DEVICES'!$B$3:$B$987&amp;"",'NETWORK-DEVICES'!$AF$3:$AF$987,""),"Peripheral",_xlfn.XLOOKUP($K481&amp;"",PERIPHERAL!$B$3:$B$954&amp;"",PERIPHERAL!$Y$3:$Y$954,""),"Utilities",_xlfn.XLOOKUP($K481&amp;"",UTILITIES!$B$3:$B$953&amp;"",UTILITIES!$O$3:$O$953,""),"IOT",_xlfn.XLOOKUP($K481&amp;"",IOT!$B$3:$B$1012&amp;"",IOT!$AB$3:$AB$1012,""),"Server",_xlfn.XLOOKUP($K481&amp;"",SERVER!$B$3:$B$1009&amp;"",SERVER!$AB$3:$AB$1009,""),""))))</f>
        <v/>
      </c>
      <c r="R481" s="43" t="str">
        <f>IF(tbl_handover[[#This Row],[Asset Code]]="","",COUNTIF(tbl_handover[Asset Code],tbl_handover[[#This Row],[Asset Code]]))</f>
        <v/>
      </c>
    </row>
    <row r="482" spans="1:18" x14ac:dyDescent="0.25">
      <c r="A482" s="43" t="str">
        <f>IF(B482&lt;&gt;"",SUBTOTAL(3,$B$1:B481),"")</f>
        <v/>
      </c>
      <c r="C482" s="74"/>
      <c r="D482" s="74"/>
      <c r="G482" s="1"/>
      <c r="K482" s="42"/>
      <c r="L482" t="str" cm="1">
        <f t="array" ref="L482">IF($K482="","",_xlfn.SWITCH($I482,"Computer",_xlfn.XLOOKUP($K482&amp;"",COMPUTER!$B$3:$B$1009&amp;"",COMPUTER!$I$3:$I$1009,""),"Display",_xlfn.XLOOKUP($K482&amp;"",DISPLAY!$B$3:$B$1000&amp;"",DISPLAY!$J$3:$J$1000,""),"Network Device",_xlfn.XLOOKUP($K482&amp;"",'NETWORK-DEVICES'!$B$3:$B$987&amp;"",'NETWORK-DEVICES'!$I$3:$I$987,""),"Peripheral",_xlfn.XLOOKUP($K482&amp;"",PERIPHERAL!$B$3:$B$954&amp;"",PERIPHERAL!$I$3:$I$954,""),"Utilities",_xlfn.XLOOKUP($K482&amp;"",UTILITIES!$B$3:$B$953&amp;"",UTILITIES!$H$3:$H$953,""),"IOT",_xlfn.XLOOKUP($K482&amp;"",IOT!$B$3:$B$1012&amp;"",IOT!$I$3:$I$1012,""),"SERVER",_xlfn.XLOOKUP($K482&amp;"",SERVER!$B$3:$B$1009&amp;"",SERVER!$I$3:$I$1009,""),""))</f>
        <v/>
      </c>
      <c r="M482" t="str" cm="1">
        <f t="array" ref="M482">IF($K482="","",_xlfn.SWITCH($I482,"Computer",_xlfn.XLOOKUP($K482&amp;"",COMPUTER!$B$3:$B$1009&amp;"",COMPUTER!$J$3:$J$1009,""),"Display",_xlfn.XLOOKUP($K482&amp;"",DISPLAY!$B$3:$B$1000&amp;"",DISPLAY!$K$3:$K$1000,""),"Network Device",_xlfn.XLOOKUP($K482&amp;"",'NETWORK-DEVICES'!$B$3:$B$987&amp;"",'NETWORK-DEVICES'!$I$3:$I$987,""),"Peripheral",_xlfn.XLOOKUP($K482&amp;"",PERIPHERAL!$B$3:$B$954&amp;"",PERIPHERAL!$J$3:$J$954,""),"Utilities",_xlfn.XLOOKUP($K482&amp;"",UTILITIES!$B$3:$B$953&amp;"",UTILITIES!$I$3:$I$953,""),"IOT",_xlfn.XLOOKUP($K482&amp;"",IOT!$B$3:$B$1012&amp;"",IOT!$J$3:$J$1012,""),"Server",_xlfn.XLOOKUP($K482&amp;"",SERVER!$B$3:$B$1009&amp;"",SERVER!$J$3:$J$1009,""),""))</f>
        <v/>
      </c>
      <c r="N482" s="1" t="str" cm="1">
        <f t="array" ref="N482">IF(OR($K482="",$I482="",$J482=""),"",_xlfn.LET(_xlpm.srcCat,_xlfn.SWITCH($I482,"Computer",_xlfn.XLOOKUP($K482&amp;"",COMPUTER!$B$3:$B$1009&amp;"",COMPUTER!$H$3:$H$1009,""),"Display",_xlfn.XLOOKUP($K482&amp;"",DISPLAY!$B$3:$B$1000&amp;"",DISPLAY!$H$3:$H$1000,""),"Network Device",_xlfn.XLOOKUP($K482&amp;"",'NETWORK-DEVICES'!$B$3:$B$987&amp;"",'NETWORK-DEVICES'!$H$3:$H$987,""),"Peripheral",_xlfn.XLOOKUP($K482&amp;"",PERIPHERAL!$B$3:$B$954&amp;"",PERIPHERAL!$H$3:$H$954,""),"Utilities",_xlfn.XLOOKUP($K482&amp;"",UTILITIES!$B$3:$B$953&amp;"",UTILITIES!$G$3:$G$953,""),"IOT",_xlfn.XLOOKUP($K482&amp;"",IOT!$B$3:$B$1012&amp;"",IOT!$H$3:$H$1012,""),"Server",_xlfn.XLOOKUP($K482&amp;"",SERVER!$B$3:$B$1009&amp;"",SERVER!$H$3:$H$1009,""),""),IF(TRIM(_xlpm.srcCat)&lt;&gt;TRIM($J482),"",_xlfn.SWITCH($I482,"Computer",_xlfn.XLOOKUP($K482&amp;"",COMPUTER!$B$3:$B$1009&amp;"",COMPUTER!$K$3:$K$1009,""),"Display",_xlfn.XLOOKUP($K482&amp;"",DISPLAY!$B$3:$B$1000&amp;"",DISPLAY!$L$3:$L$1000,""),"Network Device",_xlfn.XLOOKUP($K482&amp;"",'NETWORK-DEVICES'!$B$3:$B$987&amp;"",'NETWORK-DEVICES'!$K$3:$K$987,""),"Peripheral",_xlfn.XLOOKUP($K482&amp;"",PERIPHERAL!$B$3:$B$954&amp;"",PERIPHERAL!$K$3:$K$954,""),"Utilities",_xlfn.XLOOKUP($K482&amp;"",UTILITIES!$B$3:$B$953&amp;"",UTILITIES!$J$3:$J$953,""),"IOT",_xlfn.XLOOKUP($K482&amp;"",IOT!$B$3:$B$1012&amp;"",IOT!$K$4:$K$1012,""),"Server",_xlfn.XLOOKUP($K482&amp;"",SERVER!$B$3:$B$1009&amp;"",SERVER!$K$3:$K$1009,""),""))))</f>
        <v/>
      </c>
      <c r="O482" s="1" t="str" cm="1">
        <f t="array" ref="O482">IF(OR($K482="",$I482="",$J482=""),"",_xlfn.LET(_xlpm.srcCat,_xlfn.SWITCH($I482,"Computer",_xlfn.XLOOKUP($K482&amp;"",COMPUTER!$B$3:$B$1009&amp;"",COMPUTER!$H$3:$H$1009,""),"Display",_xlfn.XLOOKUP($K482&amp;"",DISPLAY!$B$3:$B$1000&amp;"",DISPLAY!$H$3:$H$1000,""),"Network Device",_xlfn.XLOOKUP($K482&amp;"",'NETWORK-DEVICES'!$B$3:$B$987&amp;"",'NETWORK-DEVICES'!$H$3:$H$987,""),"Peripheral",_xlfn.XLOOKUP($K482&amp;"",PERIPHERAL!$B$3:$B$954&amp;"",PERIPHERAL!$H$3:$H$954,""),"Utilities",_xlfn.XLOOKUP($K482&amp;"",UTILITIES!$B$3:$B$953&amp;"",UTILITIES!$G$3:$G$953,""),"IOT",_xlfn.XLOOKUP($K482&amp;"",IOT!$B$3:$B$1012&amp;"",IOT!$H$3:$H$1012,""),"Server",_xlfn.XLOOKUP($K482&amp;"",SERVER!$B$3:$B$1009&amp;"",SERVER!$H$3:$H$1009,""),""),IF(TRIM(_xlpm.srcCat)&lt;&gt;TRIM($J482),"",_xlfn.SWITCH($I482,"Computer",_xlfn.XLOOKUP($K482&amp;"",COMPUTER!$B$3:$B$1009&amp;"",COMPUTER!$E$3:$E$1009,""),"Display",_xlfn.XLOOKUP($K482&amp;"",DISPLAY!$B$3:$B$1000&amp;"",DISPLAY!$E$3:$E$1000,""),"Network Device",_xlfn.XLOOKUP($K482&amp;"",'NETWORK-DEVICES'!$B$3:$B$987&amp;"",'NETWORK-DEVICES'!$E$3:$E$987,""),"Peripheral",_xlfn.XLOOKUP($K482&amp;"",PERIPHERAL!$B$3:$B$954&amp;"",PERIPHERAL!$E$3:$E$954,""),"Utilities",_xlfn.XLOOKUP($K482&amp;"",UTILITIES!$B$3:$B$953&amp;"",UTILITIES!$E$3:$E$953,""),"IOT",_xlfn.XLOOKUP($K482&amp;"",IOT!$B$3:$B$1012&amp;"",IOT!$E$3:$E$1012,""),"Server",_xlfn.XLOOKUP($K482&amp;"",SERVER!$B$3:$B$1009&amp;"",SERVER!$E$3:$E$1009,""),""))))</f>
        <v/>
      </c>
      <c r="Q482" s="1" t="str" cm="1">
        <f t="array" ref="Q482">IF(OR($K482="",$I482="",$J482=""),"",_xlfn.LET(_xlpm.srcCat,_xlfn.SWITCH($I482,"Computer",_xlfn.XLOOKUP($K482&amp;"",COMPUTER!$B$3:$B$1009&amp;"",COMPUTER!$H$3:$H$1009,""),"Display",_xlfn.XLOOKUP($K482&amp;"",DISPLAY!$B$3:$B$1000&amp;"",DISPLAY!$H$3:$H$1000,""),"Network Device",_xlfn.XLOOKUP($K482&amp;"",'NETWORK-DEVICES'!$B$3:$B$987&amp;"",'NETWORK-DEVICES'!$H$3:$H$987,""),"Peripheral",_xlfn.XLOOKUP($K482&amp;"",PERIPHERAL!$B$3:$B$954&amp;"",PERIPHERAL!$H$3:$H$954,""),"Utilities",_xlfn.XLOOKUP($K482&amp;"",UTILITIES!$B$3:$B$953&amp;"",UTILITIES!$G$3:$G$953,""),"IOT",_xlfn.XLOOKUP($K482&amp;"",IOT!$B$3:$B$1012&amp;"",IOT!$H$3:$H$1012,""),"Server",_xlfn.XLOOKUP($K482&amp;"",SERVER!$B$3:$B$1009&amp;"",SERVER!$H$3:$H$1009,""),""),IF(TRIM(_xlpm.srcCat)&lt;&gt;TRIM($J482),"",_xlfn.SWITCH($I482,"Computer",_xlfn.XLOOKUP($K482&amp;"",COMPUTER!$B$3:$B$1009&amp;"",COMPUTER!$AM$3:$AM$1009,""),"Display",_xlfn.XLOOKUP($K482&amp;"",DISPLAY!$B$3:$B$1000&amp;"",DISPLAY!$V$3:$V$1000,""),"Network Device",_xlfn.XLOOKUP($K482&amp;"",'NETWORK-DEVICES'!$B$3:$B$987&amp;"",'NETWORK-DEVICES'!$AF$3:$AF$987,""),"Peripheral",_xlfn.XLOOKUP($K482&amp;"",PERIPHERAL!$B$3:$B$954&amp;"",PERIPHERAL!$Y$3:$Y$954,""),"Utilities",_xlfn.XLOOKUP($K482&amp;"",UTILITIES!$B$3:$B$953&amp;"",UTILITIES!$O$3:$O$953,""),"IOT",_xlfn.XLOOKUP($K482&amp;"",IOT!$B$3:$B$1012&amp;"",IOT!$AB$3:$AB$1012,""),"Server",_xlfn.XLOOKUP($K482&amp;"",SERVER!$B$3:$B$1009&amp;"",SERVER!$AB$3:$AB$1009,""),""))))</f>
        <v/>
      </c>
      <c r="R482" s="43" t="str">
        <f>IF(tbl_handover[[#This Row],[Asset Code]]="","",COUNTIF(tbl_handover[Asset Code],tbl_handover[[#This Row],[Asset Code]]))</f>
        <v/>
      </c>
    </row>
    <row r="483" spans="1:18" x14ac:dyDescent="0.25">
      <c r="A483" s="43" t="str">
        <f>IF(B483&lt;&gt;"",SUBTOTAL(3,$B$1:B482),"")</f>
        <v/>
      </c>
      <c r="C483" s="74"/>
      <c r="D483" s="74"/>
      <c r="G483" s="1"/>
      <c r="K483" s="42"/>
      <c r="L483" t="str" cm="1">
        <f t="array" ref="L483">IF($K483="","",_xlfn.SWITCH($I483,"Computer",_xlfn.XLOOKUP($K483&amp;"",COMPUTER!$B$3:$B$1009&amp;"",COMPUTER!$I$3:$I$1009,""),"Display",_xlfn.XLOOKUP($K483&amp;"",DISPLAY!$B$3:$B$1000&amp;"",DISPLAY!$J$3:$J$1000,""),"Network Device",_xlfn.XLOOKUP($K483&amp;"",'NETWORK-DEVICES'!$B$3:$B$987&amp;"",'NETWORK-DEVICES'!$I$3:$I$987,""),"Peripheral",_xlfn.XLOOKUP($K483&amp;"",PERIPHERAL!$B$3:$B$954&amp;"",PERIPHERAL!$I$3:$I$954,""),"Utilities",_xlfn.XLOOKUP($K483&amp;"",UTILITIES!$B$3:$B$953&amp;"",UTILITIES!$H$3:$H$953,""),"IOT",_xlfn.XLOOKUP($K483&amp;"",IOT!$B$3:$B$1012&amp;"",IOT!$I$3:$I$1012,""),"SERVER",_xlfn.XLOOKUP($K483&amp;"",SERVER!$B$3:$B$1009&amp;"",SERVER!$I$3:$I$1009,""),""))</f>
        <v/>
      </c>
      <c r="M483" t="str" cm="1">
        <f t="array" ref="M483">IF($K483="","",_xlfn.SWITCH($I483,"Computer",_xlfn.XLOOKUP($K483&amp;"",COMPUTER!$B$3:$B$1009&amp;"",COMPUTER!$J$3:$J$1009,""),"Display",_xlfn.XLOOKUP($K483&amp;"",DISPLAY!$B$3:$B$1000&amp;"",DISPLAY!$K$3:$K$1000,""),"Network Device",_xlfn.XLOOKUP($K483&amp;"",'NETWORK-DEVICES'!$B$3:$B$987&amp;"",'NETWORK-DEVICES'!$I$3:$I$987,""),"Peripheral",_xlfn.XLOOKUP($K483&amp;"",PERIPHERAL!$B$3:$B$954&amp;"",PERIPHERAL!$J$3:$J$954,""),"Utilities",_xlfn.XLOOKUP($K483&amp;"",UTILITIES!$B$3:$B$953&amp;"",UTILITIES!$I$3:$I$953,""),"IOT",_xlfn.XLOOKUP($K483&amp;"",IOT!$B$3:$B$1012&amp;"",IOT!$J$3:$J$1012,""),"Server",_xlfn.XLOOKUP($K483&amp;"",SERVER!$B$3:$B$1009&amp;"",SERVER!$J$3:$J$1009,""),""))</f>
        <v/>
      </c>
      <c r="N483" s="1" t="str" cm="1">
        <f t="array" ref="N483">IF(OR($K483="",$I483="",$J483=""),"",_xlfn.LET(_xlpm.srcCat,_xlfn.SWITCH($I483,"Computer",_xlfn.XLOOKUP($K483&amp;"",COMPUTER!$B$3:$B$1009&amp;"",COMPUTER!$H$3:$H$1009,""),"Display",_xlfn.XLOOKUP($K483&amp;"",DISPLAY!$B$3:$B$1000&amp;"",DISPLAY!$H$3:$H$1000,""),"Network Device",_xlfn.XLOOKUP($K483&amp;"",'NETWORK-DEVICES'!$B$3:$B$987&amp;"",'NETWORK-DEVICES'!$H$3:$H$987,""),"Peripheral",_xlfn.XLOOKUP($K483&amp;"",PERIPHERAL!$B$3:$B$954&amp;"",PERIPHERAL!$H$3:$H$954,""),"Utilities",_xlfn.XLOOKUP($K483&amp;"",UTILITIES!$B$3:$B$953&amp;"",UTILITIES!$G$3:$G$953,""),"IOT",_xlfn.XLOOKUP($K483&amp;"",IOT!$B$3:$B$1012&amp;"",IOT!$H$3:$H$1012,""),"Server",_xlfn.XLOOKUP($K483&amp;"",SERVER!$B$3:$B$1009&amp;"",SERVER!$H$3:$H$1009,""),""),IF(TRIM(_xlpm.srcCat)&lt;&gt;TRIM($J483),"",_xlfn.SWITCH($I483,"Computer",_xlfn.XLOOKUP($K483&amp;"",COMPUTER!$B$3:$B$1009&amp;"",COMPUTER!$K$3:$K$1009,""),"Display",_xlfn.XLOOKUP($K483&amp;"",DISPLAY!$B$3:$B$1000&amp;"",DISPLAY!$L$3:$L$1000,""),"Network Device",_xlfn.XLOOKUP($K483&amp;"",'NETWORK-DEVICES'!$B$3:$B$987&amp;"",'NETWORK-DEVICES'!$K$3:$K$987,""),"Peripheral",_xlfn.XLOOKUP($K483&amp;"",PERIPHERAL!$B$3:$B$954&amp;"",PERIPHERAL!$K$3:$K$954,""),"Utilities",_xlfn.XLOOKUP($K483&amp;"",UTILITIES!$B$3:$B$953&amp;"",UTILITIES!$J$3:$J$953,""),"IOT",_xlfn.XLOOKUP($K483&amp;"",IOT!$B$3:$B$1012&amp;"",IOT!$K$4:$K$1012,""),"Server",_xlfn.XLOOKUP($K483&amp;"",SERVER!$B$3:$B$1009&amp;"",SERVER!$K$3:$K$1009,""),""))))</f>
        <v/>
      </c>
      <c r="O483" s="1" t="str" cm="1">
        <f t="array" ref="O483">IF(OR($K483="",$I483="",$J483=""),"",_xlfn.LET(_xlpm.srcCat,_xlfn.SWITCH($I483,"Computer",_xlfn.XLOOKUP($K483&amp;"",COMPUTER!$B$3:$B$1009&amp;"",COMPUTER!$H$3:$H$1009,""),"Display",_xlfn.XLOOKUP($K483&amp;"",DISPLAY!$B$3:$B$1000&amp;"",DISPLAY!$H$3:$H$1000,""),"Network Device",_xlfn.XLOOKUP($K483&amp;"",'NETWORK-DEVICES'!$B$3:$B$987&amp;"",'NETWORK-DEVICES'!$H$3:$H$987,""),"Peripheral",_xlfn.XLOOKUP($K483&amp;"",PERIPHERAL!$B$3:$B$954&amp;"",PERIPHERAL!$H$3:$H$954,""),"Utilities",_xlfn.XLOOKUP($K483&amp;"",UTILITIES!$B$3:$B$953&amp;"",UTILITIES!$G$3:$G$953,""),"IOT",_xlfn.XLOOKUP($K483&amp;"",IOT!$B$3:$B$1012&amp;"",IOT!$H$3:$H$1012,""),"Server",_xlfn.XLOOKUP($K483&amp;"",SERVER!$B$3:$B$1009&amp;"",SERVER!$H$3:$H$1009,""),""),IF(TRIM(_xlpm.srcCat)&lt;&gt;TRIM($J483),"",_xlfn.SWITCH($I483,"Computer",_xlfn.XLOOKUP($K483&amp;"",COMPUTER!$B$3:$B$1009&amp;"",COMPUTER!$E$3:$E$1009,""),"Display",_xlfn.XLOOKUP($K483&amp;"",DISPLAY!$B$3:$B$1000&amp;"",DISPLAY!$E$3:$E$1000,""),"Network Device",_xlfn.XLOOKUP($K483&amp;"",'NETWORK-DEVICES'!$B$3:$B$987&amp;"",'NETWORK-DEVICES'!$E$3:$E$987,""),"Peripheral",_xlfn.XLOOKUP($K483&amp;"",PERIPHERAL!$B$3:$B$954&amp;"",PERIPHERAL!$E$3:$E$954,""),"Utilities",_xlfn.XLOOKUP($K483&amp;"",UTILITIES!$B$3:$B$953&amp;"",UTILITIES!$E$3:$E$953,""),"IOT",_xlfn.XLOOKUP($K483&amp;"",IOT!$B$3:$B$1012&amp;"",IOT!$E$3:$E$1012,""),"Server",_xlfn.XLOOKUP($K483&amp;"",SERVER!$B$3:$B$1009&amp;"",SERVER!$E$3:$E$1009,""),""))))</f>
        <v/>
      </c>
      <c r="Q483" s="1" t="str" cm="1">
        <f t="array" ref="Q483">IF(OR($K483="",$I483="",$J483=""),"",_xlfn.LET(_xlpm.srcCat,_xlfn.SWITCH($I483,"Computer",_xlfn.XLOOKUP($K483&amp;"",COMPUTER!$B$3:$B$1009&amp;"",COMPUTER!$H$3:$H$1009,""),"Display",_xlfn.XLOOKUP($K483&amp;"",DISPLAY!$B$3:$B$1000&amp;"",DISPLAY!$H$3:$H$1000,""),"Network Device",_xlfn.XLOOKUP($K483&amp;"",'NETWORK-DEVICES'!$B$3:$B$987&amp;"",'NETWORK-DEVICES'!$H$3:$H$987,""),"Peripheral",_xlfn.XLOOKUP($K483&amp;"",PERIPHERAL!$B$3:$B$954&amp;"",PERIPHERAL!$H$3:$H$954,""),"Utilities",_xlfn.XLOOKUP($K483&amp;"",UTILITIES!$B$3:$B$953&amp;"",UTILITIES!$G$3:$G$953,""),"IOT",_xlfn.XLOOKUP($K483&amp;"",IOT!$B$3:$B$1012&amp;"",IOT!$H$3:$H$1012,""),"Server",_xlfn.XLOOKUP($K483&amp;"",SERVER!$B$3:$B$1009&amp;"",SERVER!$H$3:$H$1009,""),""),IF(TRIM(_xlpm.srcCat)&lt;&gt;TRIM($J483),"",_xlfn.SWITCH($I483,"Computer",_xlfn.XLOOKUP($K483&amp;"",COMPUTER!$B$3:$B$1009&amp;"",COMPUTER!$AM$3:$AM$1009,""),"Display",_xlfn.XLOOKUP($K483&amp;"",DISPLAY!$B$3:$B$1000&amp;"",DISPLAY!$V$3:$V$1000,""),"Network Device",_xlfn.XLOOKUP($K483&amp;"",'NETWORK-DEVICES'!$B$3:$B$987&amp;"",'NETWORK-DEVICES'!$AF$3:$AF$987,""),"Peripheral",_xlfn.XLOOKUP($K483&amp;"",PERIPHERAL!$B$3:$B$954&amp;"",PERIPHERAL!$Y$3:$Y$954,""),"Utilities",_xlfn.XLOOKUP($K483&amp;"",UTILITIES!$B$3:$B$953&amp;"",UTILITIES!$O$3:$O$953,""),"IOT",_xlfn.XLOOKUP($K483&amp;"",IOT!$B$3:$B$1012&amp;"",IOT!$AB$3:$AB$1012,""),"Server",_xlfn.XLOOKUP($K483&amp;"",SERVER!$B$3:$B$1009&amp;"",SERVER!$AB$3:$AB$1009,""),""))))</f>
        <v/>
      </c>
      <c r="R483" s="43" t="str">
        <f>IF(tbl_handover[[#This Row],[Asset Code]]="","",COUNTIF(tbl_handover[Asset Code],tbl_handover[[#This Row],[Asset Code]]))</f>
        <v/>
      </c>
    </row>
    <row r="484" spans="1:18" x14ac:dyDescent="0.25">
      <c r="A484" s="43" t="str">
        <f>IF(B484&lt;&gt;"",SUBTOTAL(3,$B$1:B483),"")</f>
        <v/>
      </c>
      <c r="C484" s="74"/>
      <c r="D484" s="74"/>
      <c r="G484" s="1"/>
      <c r="K484" s="42"/>
      <c r="L484" t="str" cm="1">
        <f t="array" ref="L484">IF($K484="","",_xlfn.SWITCH($I484,"Computer",_xlfn.XLOOKUP($K484&amp;"",COMPUTER!$B$3:$B$1009&amp;"",COMPUTER!$I$3:$I$1009,""),"Display",_xlfn.XLOOKUP($K484&amp;"",DISPLAY!$B$3:$B$1000&amp;"",DISPLAY!$J$3:$J$1000,""),"Network Device",_xlfn.XLOOKUP($K484&amp;"",'NETWORK-DEVICES'!$B$3:$B$987&amp;"",'NETWORK-DEVICES'!$I$3:$I$987,""),"Peripheral",_xlfn.XLOOKUP($K484&amp;"",PERIPHERAL!$B$3:$B$954&amp;"",PERIPHERAL!$I$3:$I$954,""),"Utilities",_xlfn.XLOOKUP($K484&amp;"",UTILITIES!$B$3:$B$953&amp;"",UTILITIES!$H$3:$H$953,""),"IOT",_xlfn.XLOOKUP($K484&amp;"",IOT!$B$3:$B$1012&amp;"",IOT!$I$3:$I$1012,""),"SERVER",_xlfn.XLOOKUP($K484&amp;"",SERVER!$B$3:$B$1009&amp;"",SERVER!$I$3:$I$1009,""),""))</f>
        <v/>
      </c>
      <c r="M484" t="str" cm="1">
        <f t="array" ref="M484">IF($K484="","",_xlfn.SWITCH($I484,"Computer",_xlfn.XLOOKUP($K484&amp;"",COMPUTER!$B$3:$B$1009&amp;"",COMPUTER!$J$3:$J$1009,""),"Display",_xlfn.XLOOKUP($K484&amp;"",DISPLAY!$B$3:$B$1000&amp;"",DISPLAY!$K$3:$K$1000,""),"Network Device",_xlfn.XLOOKUP($K484&amp;"",'NETWORK-DEVICES'!$B$3:$B$987&amp;"",'NETWORK-DEVICES'!$I$3:$I$987,""),"Peripheral",_xlfn.XLOOKUP($K484&amp;"",PERIPHERAL!$B$3:$B$954&amp;"",PERIPHERAL!$J$3:$J$954,""),"Utilities",_xlfn.XLOOKUP($K484&amp;"",UTILITIES!$B$3:$B$953&amp;"",UTILITIES!$I$3:$I$953,""),"IOT",_xlfn.XLOOKUP($K484&amp;"",IOT!$B$3:$B$1012&amp;"",IOT!$J$3:$J$1012,""),"Server",_xlfn.XLOOKUP($K484&amp;"",SERVER!$B$3:$B$1009&amp;"",SERVER!$J$3:$J$1009,""),""))</f>
        <v/>
      </c>
      <c r="N484" s="1" t="str" cm="1">
        <f t="array" ref="N484">IF(OR($K484="",$I484="",$J484=""),"",_xlfn.LET(_xlpm.srcCat,_xlfn.SWITCH($I484,"Computer",_xlfn.XLOOKUP($K484&amp;"",COMPUTER!$B$3:$B$1009&amp;"",COMPUTER!$H$3:$H$1009,""),"Display",_xlfn.XLOOKUP($K484&amp;"",DISPLAY!$B$3:$B$1000&amp;"",DISPLAY!$H$3:$H$1000,""),"Network Device",_xlfn.XLOOKUP($K484&amp;"",'NETWORK-DEVICES'!$B$3:$B$987&amp;"",'NETWORK-DEVICES'!$H$3:$H$987,""),"Peripheral",_xlfn.XLOOKUP($K484&amp;"",PERIPHERAL!$B$3:$B$954&amp;"",PERIPHERAL!$H$3:$H$954,""),"Utilities",_xlfn.XLOOKUP($K484&amp;"",UTILITIES!$B$3:$B$953&amp;"",UTILITIES!$G$3:$G$953,""),"IOT",_xlfn.XLOOKUP($K484&amp;"",IOT!$B$3:$B$1012&amp;"",IOT!$H$3:$H$1012,""),"Server",_xlfn.XLOOKUP($K484&amp;"",SERVER!$B$3:$B$1009&amp;"",SERVER!$H$3:$H$1009,""),""),IF(TRIM(_xlpm.srcCat)&lt;&gt;TRIM($J484),"",_xlfn.SWITCH($I484,"Computer",_xlfn.XLOOKUP($K484&amp;"",COMPUTER!$B$3:$B$1009&amp;"",COMPUTER!$K$3:$K$1009,""),"Display",_xlfn.XLOOKUP($K484&amp;"",DISPLAY!$B$3:$B$1000&amp;"",DISPLAY!$L$3:$L$1000,""),"Network Device",_xlfn.XLOOKUP($K484&amp;"",'NETWORK-DEVICES'!$B$3:$B$987&amp;"",'NETWORK-DEVICES'!$K$3:$K$987,""),"Peripheral",_xlfn.XLOOKUP($K484&amp;"",PERIPHERAL!$B$3:$B$954&amp;"",PERIPHERAL!$K$3:$K$954,""),"Utilities",_xlfn.XLOOKUP($K484&amp;"",UTILITIES!$B$3:$B$953&amp;"",UTILITIES!$J$3:$J$953,""),"IOT",_xlfn.XLOOKUP($K484&amp;"",IOT!$B$3:$B$1012&amp;"",IOT!$K$4:$K$1012,""),"Server",_xlfn.XLOOKUP($K484&amp;"",SERVER!$B$3:$B$1009&amp;"",SERVER!$K$3:$K$1009,""),""))))</f>
        <v/>
      </c>
      <c r="O484" s="1" t="str" cm="1">
        <f t="array" ref="O484">IF(OR($K484="",$I484="",$J484=""),"",_xlfn.LET(_xlpm.srcCat,_xlfn.SWITCH($I484,"Computer",_xlfn.XLOOKUP($K484&amp;"",COMPUTER!$B$3:$B$1009&amp;"",COMPUTER!$H$3:$H$1009,""),"Display",_xlfn.XLOOKUP($K484&amp;"",DISPLAY!$B$3:$B$1000&amp;"",DISPLAY!$H$3:$H$1000,""),"Network Device",_xlfn.XLOOKUP($K484&amp;"",'NETWORK-DEVICES'!$B$3:$B$987&amp;"",'NETWORK-DEVICES'!$H$3:$H$987,""),"Peripheral",_xlfn.XLOOKUP($K484&amp;"",PERIPHERAL!$B$3:$B$954&amp;"",PERIPHERAL!$H$3:$H$954,""),"Utilities",_xlfn.XLOOKUP($K484&amp;"",UTILITIES!$B$3:$B$953&amp;"",UTILITIES!$G$3:$G$953,""),"IOT",_xlfn.XLOOKUP($K484&amp;"",IOT!$B$3:$B$1012&amp;"",IOT!$H$3:$H$1012,""),"Server",_xlfn.XLOOKUP($K484&amp;"",SERVER!$B$3:$B$1009&amp;"",SERVER!$H$3:$H$1009,""),""),IF(TRIM(_xlpm.srcCat)&lt;&gt;TRIM($J484),"",_xlfn.SWITCH($I484,"Computer",_xlfn.XLOOKUP($K484&amp;"",COMPUTER!$B$3:$B$1009&amp;"",COMPUTER!$E$3:$E$1009,""),"Display",_xlfn.XLOOKUP($K484&amp;"",DISPLAY!$B$3:$B$1000&amp;"",DISPLAY!$E$3:$E$1000,""),"Network Device",_xlfn.XLOOKUP($K484&amp;"",'NETWORK-DEVICES'!$B$3:$B$987&amp;"",'NETWORK-DEVICES'!$E$3:$E$987,""),"Peripheral",_xlfn.XLOOKUP($K484&amp;"",PERIPHERAL!$B$3:$B$954&amp;"",PERIPHERAL!$E$3:$E$954,""),"Utilities",_xlfn.XLOOKUP($K484&amp;"",UTILITIES!$B$3:$B$953&amp;"",UTILITIES!$E$3:$E$953,""),"IOT",_xlfn.XLOOKUP($K484&amp;"",IOT!$B$3:$B$1012&amp;"",IOT!$E$3:$E$1012,""),"Server",_xlfn.XLOOKUP($K484&amp;"",SERVER!$B$3:$B$1009&amp;"",SERVER!$E$3:$E$1009,""),""))))</f>
        <v/>
      </c>
      <c r="Q484" s="1" t="str" cm="1">
        <f t="array" ref="Q484">IF(OR($K484="",$I484="",$J484=""),"",_xlfn.LET(_xlpm.srcCat,_xlfn.SWITCH($I484,"Computer",_xlfn.XLOOKUP($K484&amp;"",COMPUTER!$B$3:$B$1009&amp;"",COMPUTER!$H$3:$H$1009,""),"Display",_xlfn.XLOOKUP($K484&amp;"",DISPLAY!$B$3:$B$1000&amp;"",DISPLAY!$H$3:$H$1000,""),"Network Device",_xlfn.XLOOKUP($K484&amp;"",'NETWORK-DEVICES'!$B$3:$B$987&amp;"",'NETWORK-DEVICES'!$H$3:$H$987,""),"Peripheral",_xlfn.XLOOKUP($K484&amp;"",PERIPHERAL!$B$3:$B$954&amp;"",PERIPHERAL!$H$3:$H$954,""),"Utilities",_xlfn.XLOOKUP($K484&amp;"",UTILITIES!$B$3:$B$953&amp;"",UTILITIES!$G$3:$G$953,""),"IOT",_xlfn.XLOOKUP($K484&amp;"",IOT!$B$3:$B$1012&amp;"",IOT!$H$3:$H$1012,""),"Server",_xlfn.XLOOKUP($K484&amp;"",SERVER!$B$3:$B$1009&amp;"",SERVER!$H$3:$H$1009,""),""),IF(TRIM(_xlpm.srcCat)&lt;&gt;TRIM($J484),"",_xlfn.SWITCH($I484,"Computer",_xlfn.XLOOKUP($K484&amp;"",COMPUTER!$B$3:$B$1009&amp;"",COMPUTER!$AM$3:$AM$1009,""),"Display",_xlfn.XLOOKUP($K484&amp;"",DISPLAY!$B$3:$B$1000&amp;"",DISPLAY!$V$3:$V$1000,""),"Network Device",_xlfn.XLOOKUP($K484&amp;"",'NETWORK-DEVICES'!$B$3:$B$987&amp;"",'NETWORK-DEVICES'!$AF$3:$AF$987,""),"Peripheral",_xlfn.XLOOKUP($K484&amp;"",PERIPHERAL!$B$3:$B$954&amp;"",PERIPHERAL!$Y$3:$Y$954,""),"Utilities",_xlfn.XLOOKUP($K484&amp;"",UTILITIES!$B$3:$B$953&amp;"",UTILITIES!$O$3:$O$953,""),"IOT",_xlfn.XLOOKUP($K484&amp;"",IOT!$B$3:$B$1012&amp;"",IOT!$AB$3:$AB$1012,""),"Server",_xlfn.XLOOKUP($K484&amp;"",SERVER!$B$3:$B$1009&amp;"",SERVER!$AB$3:$AB$1009,""),""))))</f>
        <v/>
      </c>
      <c r="R484" s="43" t="str">
        <f>IF(tbl_handover[[#This Row],[Asset Code]]="","",COUNTIF(tbl_handover[Asset Code],tbl_handover[[#This Row],[Asset Code]]))</f>
        <v/>
      </c>
    </row>
    <row r="485" spans="1:18" x14ac:dyDescent="0.25">
      <c r="A485" s="43" t="str">
        <f>IF(B485&lt;&gt;"",SUBTOTAL(3,$B$1:B484),"")</f>
        <v/>
      </c>
      <c r="C485" s="74"/>
      <c r="D485" s="74"/>
      <c r="G485" s="1"/>
      <c r="K485" s="42"/>
      <c r="L485" t="str" cm="1">
        <f t="array" ref="L485">IF($K485="","",_xlfn.SWITCH($I485,"Computer",_xlfn.XLOOKUP($K485&amp;"",COMPUTER!$B$3:$B$1009&amp;"",COMPUTER!$I$3:$I$1009,""),"Display",_xlfn.XLOOKUP($K485&amp;"",DISPLAY!$B$3:$B$1000&amp;"",DISPLAY!$J$3:$J$1000,""),"Network Device",_xlfn.XLOOKUP($K485&amp;"",'NETWORK-DEVICES'!$B$3:$B$987&amp;"",'NETWORK-DEVICES'!$I$3:$I$987,""),"Peripheral",_xlfn.XLOOKUP($K485&amp;"",PERIPHERAL!$B$3:$B$954&amp;"",PERIPHERAL!$I$3:$I$954,""),"Utilities",_xlfn.XLOOKUP($K485&amp;"",UTILITIES!$B$3:$B$953&amp;"",UTILITIES!$H$3:$H$953,""),"IOT",_xlfn.XLOOKUP($K485&amp;"",IOT!$B$3:$B$1012&amp;"",IOT!$I$3:$I$1012,""),"SERVER",_xlfn.XLOOKUP($K485&amp;"",SERVER!$B$3:$B$1009&amp;"",SERVER!$I$3:$I$1009,""),""))</f>
        <v/>
      </c>
      <c r="M485" t="str" cm="1">
        <f t="array" ref="M485">IF($K485="","",_xlfn.SWITCH($I485,"Computer",_xlfn.XLOOKUP($K485&amp;"",COMPUTER!$B$3:$B$1009&amp;"",COMPUTER!$J$3:$J$1009,""),"Display",_xlfn.XLOOKUP($K485&amp;"",DISPLAY!$B$3:$B$1000&amp;"",DISPLAY!$K$3:$K$1000,""),"Network Device",_xlfn.XLOOKUP($K485&amp;"",'NETWORK-DEVICES'!$B$3:$B$987&amp;"",'NETWORK-DEVICES'!$I$3:$I$987,""),"Peripheral",_xlfn.XLOOKUP($K485&amp;"",PERIPHERAL!$B$3:$B$954&amp;"",PERIPHERAL!$J$3:$J$954,""),"Utilities",_xlfn.XLOOKUP($K485&amp;"",UTILITIES!$B$3:$B$953&amp;"",UTILITIES!$I$3:$I$953,""),"IOT",_xlfn.XLOOKUP($K485&amp;"",IOT!$B$3:$B$1012&amp;"",IOT!$J$3:$J$1012,""),"Server",_xlfn.XLOOKUP($K485&amp;"",SERVER!$B$3:$B$1009&amp;"",SERVER!$J$3:$J$1009,""),""))</f>
        <v/>
      </c>
      <c r="N485" s="1" t="str" cm="1">
        <f t="array" ref="N485">IF(OR($K485="",$I485="",$J485=""),"",_xlfn.LET(_xlpm.srcCat,_xlfn.SWITCH($I485,"Computer",_xlfn.XLOOKUP($K485&amp;"",COMPUTER!$B$3:$B$1009&amp;"",COMPUTER!$H$3:$H$1009,""),"Display",_xlfn.XLOOKUP($K485&amp;"",DISPLAY!$B$3:$B$1000&amp;"",DISPLAY!$H$3:$H$1000,""),"Network Device",_xlfn.XLOOKUP($K485&amp;"",'NETWORK-DEVICES'!$B$3:$B$987&amp;"",'NETWORK-DEVICES'!$H$3:$H$987,""),"Peripheral",_xlfn.XLOOKUP($K485&amp;"",PERIPHERAL!$B$3:$B$954&amp;"",PERIPHERAL!$H$3:$H$954,""),"Utilities",_xlfn.XLOOKUP($K485&amp;"",UTILITIES!$B$3:$B$953&amp;"",UTILITIES!$G$3:$G$953,""),"IOT",_xlfn.XLOOKUP($K485&amp;"",IOT!$B$3:$B$1012&amp;"",IOT!$H$3:$H$1012,""),"Server",_xlfn.XLOOKUP($K485&amp;"",SERVER!$B$3:$B$1009&amp;"",SERVER!$H$3:$H$1009,""),""),IF(TRIM(_xlpm.srcCat)&lt;&gt;TRIM($J485),"",_xlfn.SWITCH($I485,"Computer",_xlfn.XLOOKUP($K485&amp;"",COMPUTER!$B$3:$B$1009&amp;"",COMPUTER!$K$3:$K$1009,""),"Display",_xlfn.XLOOKUP($K485&amp;"",DISPLAY!$B$3:$B$1000&amp;"",DISPLAY!$L$3:$L$1000,""),"Network Device",_xlfn.XLOOKUP($K485&amp;"",'NETWORK-DEVICES'!$B$3:$B$987&amp;"",'NETWORK-DEVICES'!$K$3:$K$987,""),"Peripheral",_xlfn.XLOOKUP($K485&amp;"",PERIPHERAL!$B$3:$B$954&amp;"",PERIPHERAL!$K$3:$K$954,""),"Utilities",_xlfn.XLOOKUP($K485&amp;"",UTILITIES!$B$3:$B$953&amp;"",UTILITIES!$J$3:$J$953,""),"IOT",_xlfn.XLOOKUP($K485&amp;"",IOT!$B$3:$B$1012&amp;"",IOT!$K$4:$K$1012,""),"Server",_xlfn.XLOOKUP($K485&amp;"",SERVER!$B$3:$B$1009&amp;"",SERVER!$K$3:$K$1009,""),""))))</f>
        <v/>
      </c>
      <c r="O485" s="1" t="str" cm="1">
        <f t="array" ref="O485">IF(OR($K485="",$I485="",$J485=""),"",_xlfn.LET(_xlpm.srcCat,_xlfn.SWITCH($I485,"Computer",_xlfn.XLOOKUP($K485&amp;"",COMPUTER!$B$3:$B$1009&amp;"",COMPUTER!$H$3:$H$1009,""),"Display",_xlfn.XLOOKUP($K485&amp;"",DISPLAY!$B$3:$B$1000&amp;"",DISPLAY!$H$3:$H$1000,""),"Network Device",_xlfn.XLOOKUP($K485&amp;"",'NETWORK-DEVICES'!$B$3:$B$987&amp;"",'NETWORK-DEVICES'!$H$3:$H$987,""),"Peripheral",_xlfn.XLOOKUP($K485&amp;"",PERIPHERAL!$B$3:$B$954&amp;"",PERIPHERAL!$H$3:$H$954,""),"Utilities",_xlfn.XLOOKUP($K485&amp;"",UTILITIES!$B$3:$B$953&amp;"",UTILITIES!$G$3:$G$953,""),"IOT",_xlfn.XLOOKUP($K485&amp;"",IOT!$B$3:$B$1012&amp;"",IOT!$H$3:$H$1012,""),"Server",_xlfn.XLOOKUP($K485&amp;"",SERVER!$B$3:$B$1009&amp;"",SERVER!$H$3:$H$1009,""),""),IF(TRIM(_xlpm.srcCat)&lt;&gt;TRIM($J485),"",_xlfn.SWITCH($I485,"Computer",_xlfn.XLOOKUP($K485&amp;"",COMPUTER!$B$3:$B$1009&amp;"",COMPUTER!$E$3:$E$1009,""),"Display",_xlfn.XLOOKUP($K485&amp;"",DISPLAY!$B$3:$B$1000&amp;"",DISPLAY!$E$3:$E$1000,""),"Network Device",_xlfn.XLOOKUP($K485&amp;"",'NETWORK-DEVICES'!$B$3:$B$987&amp;"",'NETWORK-DEVICES'!$E$3:$E$987,""),"Peripheral",_xlfn.XLOOKUP($K485&amp;"",PERIPHERAL!$B$3:$B$954&amp;"",PERIPHERAL!$E$3:$E$954,""),"Utilities",_xlfn.XLOOKUP($K485&amp;"",UTILITIES!$B$3:$B$953&amp;"",UTILITIES!$E$3:$E$953,""),"IOT",_xlfn.XLOOKUP($K485&amp;"",IOT!$B$3:$B$1012&amp;"",IOT!$E$3:$E$1012,""),"Server",_xlfn.XLOOKUP($K485&amp;"",SERVER!$B$3:$B$1009&amp;"",SERVER!$E$3:$E$1009,""),""))))</f>
        <v/>
      </c>
      <c r="Q485" s="1" t="str" cm="1">
        <f t="array" ref="Q485">IF(OR($K485="",$I485="",$J485=""),"",_xlfn.LET(_xlpm.srcCat,_xlfn.SWITCH($I485,"Computer",_xlfn.XLOOKUP($K485&amp;"",COMPUTER!$B$3:$B$1009&amp;"",COMPUTER!$H$3:$H$1009,""),"Display",_xlfn.XLOOKUP($K485&amp;"",DISPLAY!$B$3:$B$1000&amp;"",DISPLAY!$H$3:$H$1000,""),"Network Device",_xlfn.XLOOKUP($K485&amp;"",'NETWORK-DEVICES'!$B$3:$B$987&amp;"",'NETWORK-DEVICES'!$H$3:$H$987,""),"Peripheral",_xlfn.XLOOKUP($K485&amp;"",PERIPHERAL!$B$3:$B$954&amp;"",PERIPHERAL!$H$3:$H$954,""),"Utilities",_xlfn.XLOOKUP($K485&amp;"",UTILITIES!$B$3:$B$953&amp;"",UTILITIES!$G$3:$G$953,""),"IOT",_xlfn.XLOOKUP($K485&amp;"",IOT!$B$3:$B$1012&amp;"",IOT!$H$3:$H$1012,""),"Server",_xlfn.XLOOKUP($K485&amp;"",SERVER!$B$3:$B$1009&amp;"",SERVER!$H$3:$H$1009,""),""),IF(TRIM(_xlpm.srcCat)&lt;&gt;TRIM($J485),"",_xlfn.SWITCH($I485,"Computer",_xlfn.XLOOKUP($K485&amp;"",COMPUTER!$B$3:$B$1009&amp;"",COMPUTER!$AM$3:$AM$1009,""),"Display",_xlfn.XLOOKUP($K485&amp;"",DISPLAY!$B$3:$B$1000&amp;"",DISPLAY!$V$3:$V$1000,""),"Network Device",_xlfn.XLOOKUP($K485&amp;"",'NETWORK-DEVICES'!$B$3:$B$987&amp;"",'NETWORK-DEVICES'!$AF$3:$AF$987,""),"Peripheral",_xlfn.XLOOKUP($K485&amp;"",PERIPHERAL!$B$3:$B$954&amp;"",PERIPHERAL!$Y$3:$Y$954,""),"Utilities",_xlfn.XLOOKUP($K485&amp;"",UTILITIES!$B$3:$B$953&amp;"",UTILITIES!$O$3:$O$953,""),"IOT",_xlfn.XLOOKUP($K485&amp;"",IOT!$B$3:$B$1012&amp;"",IOT!$AB$3:$AB$1012,""),"Server",_xlfn.XLOOKUP($K485&amp;"",SERVER!$B$3:$B$1009&amp;"",SERVER!$AB$3:$AB$1009,""),""))))</f>
        <v/>
      </c>
      <c r="R485" s="43" t="str">
        <f>IF(tbl_handover[[#This Row],[Asset Code]]="","",COUNTIF(tbl_handover[Asset Code],tbl_handover[[#This Row],[Asset Code]]))</f>
        <v/>
      </c>
    </row>
    <row r="486" spans="1:18" x14ac:dyDescent="0.25">
      <c r="A486" s="43" t="str">
        <f>IF(B486&lt;&gt;"",SUBTOTAL(3,$B$1:B485),"")</f>
        <v/>
      </c>
      <c r="C486" s="74"/>
      <c r="D486" s="74"/>
      <c r="G486" s="1"/>
      <c r="K486" s="42"/>
      <c r="L486" t="str" cm="1">
        <f t="array" ref="L486">IF($K486="","",_xlfn.SWITCH($I486,"Computer",_xlfn.XLOOKUP($K486&amp;"",COMPUTER!$B$3:$B$1009&amp;"",COMPUTER!$I$3:$I$1009,""),"Display",_xlfn.XLOOKUP($K486&amp;"",DISPLAY!$B$3:$B$1000&amp;"",DISPLAY!$J$3:$J$1000,""),"Network Device",_xlfn.XLOOKUP($K486&amp;"",'NETWORK-DEVICES'!$B$3:$B$987&amp;"",'NETWORK-DEVICES'!$I$3:$I$987,""),"Peripheral",_xlfn.XLOOKUP($K486&amp;"",PERIPHERAL!$B$3:$B$954&amp;"",PERIPHERAL!$I$3:$I$954,""),"Utilities",_xlfn.XLOOKUP($K486&amp;"",UTILITIES!$B$3:$B$953&amp;"",UTILITIES!$H$3:$H$953,""),"IOT",_xlfn.XLOOKUP($K486&amp;"",IOT!$B$3:$B$1012&amp;"",IOT!$I$3:$I$1012,""),"SERVER",_xlfn.XLOOKUP($K486&amp;"",SERVER!$B$3:$B$1009&amp;"",SERVER!$I$3:$I$1009,""),""))</f>
        <v/>
      </c>
      <c r="M486" t="str" cm="1">
        <f t="array" ref="M486">IF($K486="","",_xlfn.SWITCH($I486,"Computer",_xlfn.XLOOKUP($K486&amp;"",COMPUTER!$B$3:$B$1009&amp;"",COMPUTER!$J$3:$J$1009,""),"Display",_xlfn.XLOOKUP($K486&amp;"",DISPLAY!$B$3:$B$1000&amp;"",DISPLAY!$K$3:$K$1000,""),"Network Device",_xlfn.XLOOKUP($K486&amp;"",'NETWORK-DEVICES'!$B$3:$B$987&amp;"",'NETWORK-DEVICES'!$I$3:$I$987,""),"Peripheral",_xlfn.XLOOKUP($K486&amp;"",PERIPHERAL!$B$3:$B$954&amp;"",PERIPHERAL!$J$3:$J$954,""),"Utilities",_xlfn.XLOOKUP($K486&amp;"",UTILITIES!$B$3:$B$953&amp;"",UTILITIES!$I$3:$I$953,""),"IOT",_xlfn.XLOOKUP($K486&amp;"",IOT!$B$3:$B$1012&amp;"",IOT!$J$3:$J$1012,""),"Server",_xlfn.XLOOKUP($K486&amp;"",SERVER!$B$3:$B$1009&amp;"",SERVER!$J$3:$J$1009,""),""))</f>
        <v/>
      </c>
      <c r="N486" s="1" t="str" cm="1">
        <f t="array" ref="N486">IF(OR($K486="",$I486="",$J486=""),"",_xlfn.LET(_xlpm.srcCat,_xlfn.SWITCH($I486,"Computer",_xlfn.XLOOKUP($K486&amp;"",COMPUTER!$B$3:$B$1009&amp;"",COMPUTER!$H$3:$H$1009,""),"Display",_xlfn.XLOOKUP($K486&amp;"",DISPLAY!$B$3:$B$1000&amp;"",DISPLAY!$H$3:$H$1000,""),"Network Device",_xlfn.XLOOKUP($K486&amp;"",'NETWORK-DEVICES'!$B$3:$B$987&amp;"",'NETWORK-DEVICES'!$H$3:$H$987,""),"Peripheral",_xlfn.XLOOKUP($K486&amp;"",PERIPHERAL!$B$3:$B$954&amp;"",PERIPHERAL!$H$3:$H$954,""),"Utilities",_xlfn.XLOOKUP($K486&amp;"",UTILITIES!$B$3:$B$953&amp;"",UTILITIES!$G$3:$G$953,""),"IOT",_xlfn.XLOOKUP($K486&amp;"",IOT!$B$3:$B$1012&amp;"",IOT!$H$3:$H$1012,""),"Server",_xlfn.XLOOKUP($K486&amp;"",SERVER!$B$3:$B$1009&amp;"",SERVER!$H$3:$H$1009,""),""),IF(TRIM(_xlpm.srcCat)&lt;&gt;TRIM($J486),"",_xlfn.SWITCH($I486,"Computer",_xlfn.XLOOKUP($K486&amp;"",COMPUTER!$B$3:$B$1009&amp;"",COMPUTER!$K$3:$K$1009,""),"Display",_xlfn.XLOOKUP($K486&amp;"",DISPLAY!$B$3:$B$1000&amp;"",DISPLAY!$L$3:$L$1000,""),"Network Device",_xlfn.XLOOKUP($K486&amp;"",'NETWORK-DEVICES'!$B$3:$B$987&amp;"",'NETWORK-DEVICES'!$K$3:$K$987,""),"Peripheral",_xlfn.XLOOKUP($K486&amp;"",PERIPHERAL!$B$3:$B$954&amp;"",PERIPHERAL!$K$3:$K$954,""),"Utilities",_xlfn.XLOOKUP($K486&amp;"",UTILITIES!$B$3:$B$953&amp;"",UTILITIES!$J$3:$J$953,""),"IOT",_xlfn.XLOOKUP($K486&amp;"",IOT!$B$3:$B$1012&amp;"",IOT!$K$4:$K$1012,""),"Server",_xlfn.XLOOKUP($K486&amp;"",SERVER!$B$3:$B$1009&amp;"",SERVER!$K$3:$K$1009,""),""))))</f>
        <v/>
      </c>
      <c r="O486" s="1" t="str" cm="1">
        <f t="array" ref="O486">IF(OR($K486="",$I486="",$J486=""),"",_xlfn.LET(_xlpm.srcCat,_xlfn.SWITCH($I486,"Computer",_xlfn.XLOOKUP($K486&amp;"",COMPUTER!$B$3:$B$1009&amp;"",COMPUTER!$H$3:$H$1009,""),"Display",_xlfn.XLOOKUP($K486&amp;"",DISPLAY!$B$3:$B$1000&amp;"",DISPLAY!$H$3:$H$1000,""),"Network Device",_xlfn.XLOOKUP($K486&amp;"",'NETWORK-DEVICES'!$B$3:$B$987&amp;"",'NETWORK-DEVICES'!$H$3:$H$987,""),"Peripheral",_xlfn.XLOOKUP($K486&amp;"",PERIPHERAL!$B$3:$B$954&amp;"",PERIPHERAL!$H$3:$H$954,""),"Utilities",_xlfn.XLOOKUP($K486&amp;"",UTILITIES!$B$3:$B$953&amp;"",UTILITIES!$G$3:$G$953,""),"IOT",_xlfn.XLOOKUP($K486&amp;"",IOT!$B$3:$B$1012&amp;"",IOT!$H$3:$H$1012,""),"Server",_xlfn.XLOOKUP($K486&amp;"",SERVER!$B$3:$B$1009&amp;"",SERVER!$H$3:$H$1009,""),""),IF(TRIM(_xlpm.srcCat)&lt;&gt;TRIM($J486),"",_xlfn.SWITCH($I486,"Computer",_xlfn.XLOOKUP($K486&amp;"",COMPUTER!$B$3:$B$1009&amp;"",COMPUTER!$E$3:$E$1009,""),"Display",_xlfn.XLOOKUP($K486&amp;"",DISPLAY!$B$3:$B$1000&amp;"",DISPLAY!$E$3:$E$1000,""),"Network Device",_xlfn.XLOOKUP($K486&amp;"",'NETWORK-DEVICES'!$B$3:$B$987&amp;"",'NETWORK-DEVICES'!$E$3:$E$987,""),"Peripheral",_xlfn.XLOOKUP($K486&amp;"",PERIPHERAL!$B$3:$B$954&amp;"",PERIPHERAL!$E$3:$E$954,""),"Utilities",_xlfn.XLOOKUP($K486&amp;"",UTILITIES!$B$3:$B$953&amp;"",UTILITIES!$E$3:$E$953,""),"IOT",_xlfn.XLOOKUP($K486&amp;"",IOT!$B$3:$B$1012&amp;"",IOT!$E$3:$E$1012,""),"Server",_xlfn.XLOOKUP($K486&amp;"",SERVER!$B$3:$B$1009&amp;"",SERVER!$E$3:$E$1009,""),""))))</f>
        <v/>
      </c>
      <c r="Q486" s="1" t="str" cm="1">
        <f t="array" ref="Q486">IF(OR($K486="",$I486="",$J486=""),"",_xlfn.LET(_xlpm.srcCat,_xlfn.SWITCH($I486,"Computer",_xlfn.XLOOKUP($K486&amp;"",COMPUTER!$B$3:$B$1009&amp;"",COMPUTER!$H$3:$H$1009,""),"Display",_xlfn.XLOOKUP($K486&amp;"",DISPLAY!$B$3:$B$1000&amp;"",DISPLAY!$H$3:$H$1000,""),"Network Device",_xlfn.XLOOKUP($K486&amp;"",'NETWORK-DEVICES'!$B$3:$B$987&amp;"",'NETWORK-DEVICES'!$H$3:$H$987,""),"Peripheral",_xlfn.XLOOKUP($K486&amp;"",PERIPHERAL!$B$3:$B$954&amp;"",PERIPHERAL!$H$3:$H$954,""),"Utilities",_xlfn.XLOOKUP($K486&amp;"",UTILITIES!$B$3:$B$953&amp;"",UTILITIES!$G$3:$G$953,""),"IOT",_xlfn.XLOOKUP($K486&amp;"",IOT!$B$3:$B$1012&amp;"",IOT!$H$3:$H$1012,""),"Server",_xlfn.XLOOKUP($K486&amp;"",SERVER!$B$3:$B$1009&amp;"",SERVER!$H$3:$H$1009,""),""),IF(TRIM(_xlpm.srcCat)&lt;&gt;TRIM($J486),"",_xlfn.SWITCH($I486,"Computer",_xlfn.XLOOKUP($K486&amp;"",COMPUTER!$B$3:$B$1009&amp;"",COMPUTER!$AM$3:$AM$1009,""),"Display",_xlfn.XLOOKUP($K486&amp;"",DISPLAY!$B$3:$B$1000&amp;"",DISPLAY!$V$3:$V$1000,""),"Network Device",_xlfn.XLOOKUP($K486&amp;"",'NETWORK-DEVICES'!$B$3:$B$987&amp;"",'NETWORK-DEVICES'!$AF$3:$AF$987,""),"Peripheral",_xlfn.XLOOKUP($K486&amp;"",PERIPHERAL!$B$3:$B$954&amp;"",PERIPHERAL!$Y$3:$Y$954,""),"Utilities",_xlfn.XLOOKUP($K486&amp;"",UTILITIES!$B$3:$B$953&amp;"",UTILITIES!$O$3:$O$953,""),"IOT",_xlfn.XLOOKUP($K486&amp;"",IOT!$B$3:$B$1012&amp;"",IOT!$AB$3:$AB$1012,""),"Server",_xlfn.XLOOKUP($K486&amp;"",SERVER!$B$3:$B$1009&amp;"",SERVER!$AB$3:$AB$1009,""),""))))</f>
        <v/>
      </c>
      <c r="R486" s="43" t="str">
        <f>IF(tbl_handover[[#This Row],[Asset Code]]="","",COUNTIF(tbl_handover[Asset Code],tbl_handover[[#This Row],[Asset Code]]))</f>
        <v/>
      </c>
    </row>
    <row r="487" spans="1:18" x14ac:dyDescent="0.25">
      <c r="A487" s="43" t="str">
        <f>IF(B487&lt;&gt;"",SUBTOTAL(3,$B$1:B486),"")</f>
        <v/>
      </c>
      <c r="C487" s="74"/>
      <c r="D487" s="74"/>
      <c r="G487" s="1"/>
      <c r="K487" s="42"/>
      <c r="L487" t="str" cm="1">
        <f t="array" ref="L487">IF($K487="","",_xlfn.SWITCH($I487,"Computer",_xlfn.XLOOKUP($K487&amp;"",COMPUTER!$B$3:$B$1009&amp;"",COMPUTER!$I$3:$I$1009,""),"Display",_xlfn.XLOOKUP($K487&amp;"",DISPLAY!$B$3:$B$1000&amp;"",DISPLAY!$J$3:$J$1000,""),"Network Device",_xlfn.XLOOKUP($K487&amp;"",'NETWORK-DEVICES'!$B$3:$B$987&amp;"",'NETWORK-DEVICES'!$I$3:$I$987,""),"Peripheral",_xlfn.XLOOKUP($K487&amp;"",PERIPHERAL!$B$3:$B$954&amp;"",PERIPHERAL!$I$3:$I$954,""),"Utilities",_xlfn.XLOOKUP($K487&amp;"",UTILITIES!$B$3:$B$953&amp;"",UTILITIES!$H$3:$H$953,""),"IOT",_xlfn.XLOOKUP($K487&amp;"",IOT!$B$3:$B$1012&amp;"",IOT!$I$3:$I$1012,""),"SERVER",_xlfn.XLOOKUP($K487&amp;"",SERVER!$B$3:$B$1009&amp;"",SERVER!$I$3:$I$1009,""),""))</f>
        <v/>
      </c>
      <c r="M487" t="str" cm="1">
        <f t="array" ref="M487">IF($K487="","",_xlfn.SWITCH($I487,"Computer",_xlfn.XLOOKUP($K487&amp;"",COMPUTER!$B$3:$B$1009&amp;"",COMPUTER!$J$3:$J$1009,""),"Display",_xlfn.XLOOKUP($K487&amp;"",DISPLAY!$B$3:$B$1000&amp;"",DISPLAY!$K$3:$K$1000,""),"Network Device",_xlfn.XLOOKUP($K487&amp;"",'NETWORK-DEVICES'!$B$3:$B$987&amp;"",'NETWORK-DEVICES'!$I$3:$I$987,""),"Peripheral",_xlfn.XLOOKUP($K487&amp;"",PERIPHERAL!$B$3:$B$954&amp;"",PERIPHERAL!$J$3:$J$954,""),"Utilities",_xlfn.XLOOKUP($K487&amp;"",UTILITIES!$B$3:$B$953&amp;"",UTILITIES!$I$3:$I$953,""),"IOT",_xlfn.XLOOKUP($K487&amp;"",IOT!$B$3:$B$1012&amp;"",IOT!$J$3:$J$1012,""),"Server",_xlfn.XLOOKUP($K487&amp;"",SERVER!$B$3:$B$1009&amp;"",SERVER!$J$3:$J$1009,""),""))</f>
        <v/>
      </c>
      <c r="N487" s="1" t="str" cm="1">
        <f t="array" ref="N487">IF(OR($K487="",$I487="",$J487=""),"",_xlfn.LET(_xlpm.srcCat,_xlfn.SWITCH($I487,"Computer",_xlfn.XLOOKUP($K487&amp;"",COMPUTER!$B$3:$B$1009&amp;"",COMPUTER!$H$3:$H$1009,""),"Display",_xlfn.XLOOKUP($K487&amp;"",DISPLAY!$B$3:$B$1000&amp;"",DISPLAY!$H$3:$H$1000,""),"Network Device",_xlfn.XLOOKUP($K487&amp;"",'NETWORK-DEVICES'!$B$3:$B$987&amp;"",'NETWORK-DEVICES'!$H$3:$H$987,""),"Peripheral",_xlfn.XLOOKUP($K487&amp;"",PERIPHERAL!$B$3:$B$954&amp;"",PERIPHERAL!$H$3:$H$954,""),"Utilities",_xlfn.XLOOKUP($K487&amp;"",UTILITIES!$B$3:$B$953&amp;"",UTILITIES!$G$3:$G$953,""),"IOT",_xlfn.XLOOKUP($K487&amp;"",IOT!$B$3:$B$1012&amp;"",IOT!$H$3:$H$1012,""),"Server",_xlfn.XLOOKUP($K487&amp;"",SERVER!$B$3:$B$1009&amp;"",SERVER!$H$3:$H$1009,""),""),IF(TRIM(_xlpm.srcCat)&lt;&gt;TRIM($J487),"",_xlfn.SWITCH($I487,"Computer",_xlfn.XLOOKUP($K487&amp;"",COMPUTER!$B$3:$B$1009&amp;"",COMPUTER!$K$3:$K$1009,""),"Display",_xlfn.XLOOKUP($K487&amp;"",DISPLAY!$B$3:$B$1000&amp;"",DISPLAY!$L$3:$L$1000,""),"Network Device",_xlfn.XLOOKUP($K487&amp;"",'NETWORK-DEVICES'!$B$3:$B$987&amp;"",'NETWORK-DEVICES'!$K$3:$K$987,""),"Peripheral",_xlfn.XLOOKUP($K487&amp;"",PERIPHERAL!$B$3:$B$954&amp;"",PERIPHERAL!$K$3:$K$954,""),"Utilities",_xlfn.XLOOKUP($K487&amp;"",UTILITIES!$B$3:$B$953&amp;"",UTILITIES!$J$3:$J$953,""),"IOT",_xlfn.XLOOKUP($K487&amp;"",IOT!$B$3:$B$1012&amp;"",IOT!$K$4:$K$1012,""),"Server",_xlfn.XLOOKUP($K487&amp;"",SERVER!$B$3:$B$1009&amp;"",SERVER!$K$3:$K$1009,""),""))))</f>
        <v/>
      </c>
      <c r="O487" s="1" t="str" cm="1">
        <f t="array" ref="O487">IF(OR($K487="",$I487="",$J487=""),"",_xlfn.LET(_xlpm.srcCat,_xlfn.SWITCH($I487,"Computer",_xlfn.XLOOKUP($K487&amp;"",COMPUTER!$B$3:$B$1009&amp;"",COMPUTER!$H$3:$H$1009,""),"Display",_xlfn.XLOOKUP($K487&amp;"",DISPLAY!$B$3:$B$1000&amp;"",DISPLAY!$H$3:$H$1000,""),"Network Device",_xlfn.XLOOKUP($K487&amp;"",'NETWORK-DEVICES'!$B$3:$B$987&amp;"",'NETWORK-DEVICES'!$H$3:$H$987,""),"Peripheral",_xlfn.XLOOKUP($K487&amp;"",PERIPHERAL!$B$3:$B$954&amp;"",PERIPHERAL!$H$3:$H$954,""),"Utilities",_xlfn.XLOOKUP($K487&amp;"",UTILITIES!$B$3:$B$953&amp;"",UTILITIES!$G$3:$G$953,""),"IOT",_xlfn.XLOOKUP($K487&amp;"",IOT!$B$3:$B$1012&amp;"",IOT!$H$3:$H$1012,""),"Server",_xlfn.XLOOKUP($K487&amp;"",SERVER!$B$3:$B$1009&amp;"",SERVER!$H$3:$H$1009,""),""),IF(TRIM(_xlpm.srcCat)&lt;&gt;TRIM($J487),"",_xlfn.SWITCH($I487,"Computer",_xlfn.XLOOKUP($K487&amp;"",COMPUTER!$B$3:$B$1009&amp;"",COMPUTER!$E$3:$E$1009,""),"Display",_xlfn.XLOOKUP($K487&amp;"",DISPLAY!$B$3:$B$1000&amp;"",DISPLAY!$E$3:$E$1000,""),"Network Device",_xlfn.XLOOKUP($K487&amp;"",'NETWORK-DEVICES'!$B$3:$B$987&amp;"",'NETWORK-DEVICES'!$E$3:$E$987,""),"Peripheral",_xlfn.XLOOKUP($K487&amp;"",PERIPHERAL!$B$3:$B$954&amp;"",PERIPHERAL!$E$3:$E$954,""),"Utilities",_xlfn.XLOOKUP($K487&amp;"",UTILITIES!$B$3:$B$953&amp;"",UTILITIES!$E$3:$E$953,""),"IOT",_xlfn.XLOOKUP($K487&amp;"",IOT!$B$3:$B$1012&amp;"",IOT!$E$3:$E$1012,""),"Server",_xlfn.XLOOKUP($K487&amp;"",SERVER!$B$3:$B$1009&amp;"",SERVER!$E$3:$E$1009,""),""))))</f>
        <v/>
      </c>
      <c r="Q487" s="1" t="str" cm="1">
        <f t="array" ref="Q487">IF(OR($K487="",$I487="",$J487=""),"",_xlfn.LET(_xlpm.srcCat,_xlfn.SWITCH($I487,"Computer",_xlfn.XLOOKUP($K487&amp;"",COMPUTER!$B$3:$B$1009&amp;"",COMPUTER!$H$3:$H$1009,""),"Display",_xlfn.XLOOKUP($K487&amp;"",DISPLAY!$B$3:$B$1000&amp;"",DISPLAY!$H$3:$H$1000,""),"Network Device",_xlfn.XLOOKUP($K487&amp;"",'NETWORK-DEVICES'!$B$3:$B$987&amp;"",'NETWORK-DEVICES'!$H$3:$H$987,""),"Peripheral",_xlfn.XLOOKUP($K487&amp;"",PERIPHERAL!$B$3:$B$954&amp;"",PERIPHERAL!$H$3:$H$954,""),"Utilities",_xlfn.XLOOKUP($K487&amp;"",UTILITIES!$B$3:$B$953&amp;"",UTILITIES!$G$3:$G$953,""),"IOT",_xlfn.XLOOKUP($K487&amp;"",IOT!$B$3:$B$1012&amp;"",IOT!$H$3:$H$1012,""),"Server",_xlfn.XLOOKUP($K487&amp;"",SERVER!$B$3:$B$1009&amp;"",SERVER!$H$3:$H$1009,""),""),IF(TRIM(_xlpm.srcCat)&lt;&gt;TRIM($J487),"",_xlfn.SWITCH($I487,"Computer",_xlfn.XLOOKUP($K487&amp;"",COMPUTER!$B$3:$B$1009&amp;"",COMPUTER!$AM$3:$AM$1009,""),"Display",_xlfn.XLOOKUP($K487&amp;"",DISPLAY!$B$3:$B$1000&amp;"",DISPLAY!$V$3:$V$1000,""),"Network Device",_xlfn.XLOOKUP($K487&amp;"",'NETWORK-DEVICES'!$B$3:$B$987&amp;"",'NETWORK-DEVICES'!$AF$3:$AF$987,""),"Peripheral",_xlfn.XLOOKUP($K487&amp;"",PERIPHERAL!$B$3:$B$954&amp;"",PERIPHERAL!$Y$3:$Y$954,""),"Utilities",_xlfn.XLOOKUP($K487&amp;"",UTILITIES!$B$3:$B$953&amp;"",UTILITIES!$O$3:$O$953,""),"IOT",_xlfn.XLOOKUP($K487&amp;"",IOT!$B$3:$B$1012&amp;"",IOT!$AB$3:$AB$1012,""),"Server",_xlfn.XLOOKUP($K487&amp;"",SERVER!$B$3:$B$1009&amp;"",SERVER!$AB$3:$AB$1009,""),""))))</f>
        <v/>
      </c>
      <c r="R487" s="43" t="str">
        <f>IF(tbl_handover[[#This Row],[Asset Code]]="","",COUNTIF(tbl_handover[Asset Code],tbl_handover[[#This Row],[Asset Code]]))</f>
        <v/>
      </c>
    </row>
    <row r="488" spans="1:18" x14ac:dyDescent="0.25">
      <c r="A488" s="43" t="str">
        <f>IF(B488&lt;&gt;"",SUBTOTAL(3,$B$1:B487),"")</f>
        <v/>
      </c>
      <c r="C488" s="74"/>
      <c r="D488" s="74"/>
      <c r="G488" s="1"/>
      <c r="K488" s="42"/>
      <c r="L488" t="str" cm="1">
        <f t="array" ref="L488">IF($K488="","",_xlfn.SWITCH($I488,"Computer",_xlfn.XLOOKUP($K488&amp;"",COMPUTER!$B$3:$B$1009&amp;"",COMPUTER!$I$3:$I$1009,""),"Display",_xlfn.XLOOKUP($K488&amp;"",DISPLAY!$B$3:$B$1000&amp;"",DISPLAY!$J$3:$J$1000,""),"Network Device",_xlfn.XLOOKUP($K488&amp;"",'NETWORK-DEVICES'!$B$3:$B$987&amp;"",'NETWORK-DEVICES'!$I$3:$I$987,""),"Peripheral",_xlfn.XLOOKUP($K488&amp;"",PERIPHERAL!$B$3:$B$954&amp;"",PERIPHERAL!$I$3:$I$954,""),"Utilities",_xlfn.XLOOKUP($K488&amp;"",UTILITIES!$B$3:$B$953&amp;"",UTILITIES!$H$3:$H$953,""),"IOT",_xlfn.XLOOKUP($K488&amp;"",IOT!$B$3:$B$1012&amp;"",IOT!$I$3:$I$1012,""),"SERVER",_xlfn.XLOOKUP($K488&amp;"",SERVER!$B$3:$B$1009&amp;"",SERVER!$I$3:$I$1009,""),""))</f>
        <v/>
      </c>
      <c r="M488" t="str" cm="1">
        <f t="array" ref="M488">IF($K488="","",_xlfn.SWITCH($I488,"Computer",_xlfn.XLOOKUP($K488&amp;"",COMPUTER!$B$3:$B$1009&amp;"",COMPUTER!$J$3:$J$1009,""),"Display",_xlfn.XLOOKUP($K488&amp;"",DISPLAY!$B$3:$B$1000&amp;"",DISPLAY!$K$3:$K$1000,""),"Network Device",_xlfn.XLOOKUP($K488&amp;"",'NETWORK-DEVICES'!$B$3:$B$987&amp;"",'NETWORK-DEVICES'!$I$3:$I$987,""),"Peripheral",_xlfn.XLOOKUP($K488&amp;"",PERIPHERAL!$B$3:$B$954&amp;"",PERIPHERAL!$J$3:$J$954,""),"Utilities",_xlfn.XLOOKUP($K488&amp;"",UTILITIES!$B$3:$B$953&amp;"",UTILITIES!$I$3:$I$953,""),"IOT",_xlfn.XLOOKUP($K488&amp;"",IOT!$B$3:$B$1012&amp;"",IOT!$J$3:$J$1012,""),"Server",_xlfn.XLOOKUP($K488&amp;"",SERVER!$B$3:$B$1009&amp;"",SERVER!$J$3:$J$1009,""),""))</f>
        <v/>
      </c>
      <c r="N488" s="1" t="str" cm="1">
        <f t="array" ref="N488">IF(OR($K488="",$I488="",$J488=""),"",_xlfn.LET(_xlpm.srcCat,_xlfn.SWITCH($I488,"Computer",_xlfn.XLOOKUP($K488&amp;"",COMPUTER!$B$3:$B$1009&amp;"",COMPUTER!$H$3:$H$1009,""),"Display",_xlfn.XLOOKUP($K488&amp;"",DISPLAY!$B$3:$B$1000&amp;"",DISPLAY!$H$3:$H$1000,""),"Network Device",_xlfn.XLOOKUP($K488&amp;"",'NETWORK-DEVICES'!$B$3:$B$987&amp;"",'NETWORK-DEVICES'!$H$3:$H$987,""),"Peripheral",_xlfn.XLOOKUP($K488&amp;"",PERIPHERAL!$B$3:$B$954&amp;"",PERIPHERAL!$H$3:$H$954,""),"Utilities",_xlfn.XLOOKUP($K488&amp;"",UTILITIES!$B$3:$B$953&amp;"",UTILITIES!$G$3:$G$953,""),"IOT",_xlfn.XLOOKUP($K488&amp;"",IOT!$B$3:$B$1012&amp;"",IOT!$H$3:$H$1012,""),"Server",_xlfn.XLOOKUP($K488&amp;"",SERVER!$B$3:$B$1009&amp;"",SERVER!$H$3:$H$1009,""),""),IF(TRIM(_xlpm.srcCat)&lt;&gt;TRIM($J488),"",_xlfn.SWITCH($I488,"Computer",_xlfn.XLOOKUP($K488&amp;"",COMPUTER!$B$3:$B$1009&amp;"",COMPUTER!$K$3:$K$1009,""),"Display",_xlfn.XLOOKUP($K488&amp;"",DISPLAY!$B$3:$B$1000&amp;"",DISPLAY!$L$3:$L$1000,""),"Network Device",_xlfn.XLOOKUP($K488&amp;"",'NETWORK-DEVICES'!$B$3:$B$987&amp;"",'NETWORK-DEVICES'!$K$3:$K$987,""),"Peripheral",_xlfn.XLOOKUP($K488&amp;"",PERIPHERAL!$B$3:$B$954&amp;"",PERIPHERAL!$K$3:$K$954,""),"Utilities",_xlfn.XLOOKUP($K488&amp;"",UTILITIES!$B$3:$B$953&amp;"",UTILITIES!$J$3:$J$953,""),"IOT",_xlfn.XLOOKUP($K488&amp;"",IOT!$B$3:$B$1012&amp;"",IOT!$K$4:$K$1012,""),"Server",_xlfn.XLOOKUP($K488&amp;"",SERVER!$B$3:$B$1009&amp;"",SERVER!$K$3:$K$1009,""),""))))</f>
        <v/>
      </c>
      <c r="O488" s="1" t="str" cm="1">
        <f t="array" ref="O488">IF(OR($K488="",$I488="",$J488=""),"",_xlfn.LET(_xlpm.srcCat,_xlfn.SWITCH($I488,"Computer",_xlfn.XLOOKUP($K488&amp;"",COMPUTER!$B$3:$B$1009&amp;"",COMPUTER!$H$3:$H$1009,""),"Display",_xlfn.XLOOKUP($K488&amp;"",DISPLAY!$B$3:$B$1000&amp;"",DISPLAY!$H$3:$H$1000,""),"Network Device",_xlfn.XLOOKUP($K488&amp;"",'NETWORK-DEVICES'!$B$3:$B$987&amp;"",'NETWORK-DEVICES'!$H$3:$H$987,""),"Peripheral",_xlfn.XLOOKUP($K488&amp;"",PERIPHERAL!$B$3:$B$954&amp;"",PERIPHERAL!$H$3:$H$954,""),"Utilities",_xlfn.XLOOKUP($K488&amp;"",UTILITIES!$B$3:$B$953&amp;"",UTILITIES!$G$3:$G$953,""),"IOT",_xlfn.XLOOKUP($K488&amp;"",IOT!$B$3:$B$1012&amp;"",IOT!$H$3:$H$1012,""),"Server",_xlfn.XLOOKUP($K488&amp;"",SERVER!$B$3:$B$1009&amp;"",SERVER!$H$3:$H$1009,""),""),IF(TRIM(_xlpm.srcCat)&lt;&gt;TRIM($J488),"",_xlfn.SWITCH($I488,"Computer",_xlfn.XLOOKUP($K488&amp;"",COMPUTER!$B$3:$B$1009&amp;"",COMPUTER!$E$3:$E$1009,""),"Display",_xlfn.XLOOKUP($K488&amp;"",DISPLAY!$B$3:$B$1000&amp;"",DISPLAY!$E$3:$E$1000,""),"Network Device",_xlfn.XLOOKUP($K488&amp;"",'NETWORK-DEVICES'!$B$3:$B$987&amp;"",'NETWORK-DEVICES'!$E$3:$E$987,""),"Peripheral",_xlfn.XLOOKUP($K488&amp;"",PERIPHERAL!$B$3:$B$954&amp;"",PERIPHERAL!$E$3:$E$954,""),"Utilities",_xlfn.XLOOKUP($K488&amp;"",UTILITIES!$B$3:$B$953&amp;"",UTILITIES!$E$3:$E$953,""),"IOT",_xlfn.XLOOKUP($K488&amp;"",IOT!$B$3:$B$1012&amp;"",IOT!$E$3:$E$1012,""),"Server",_xlfn.XLOOKUP($K488&amp;"",SERVER!$B$3:$B$1009&amp;"",SERVER!$E$3:$E$1009,""),""))))</f>
        <v/>
      </c>
      <c r="Q488" s="1" t="str" cm="1">
        <f t="array" ref="Q488">IF(OR($K488="",$I488="",$J488=""),"",_xlfn.LET(_xlpm.srcCat,_xlfn.SWITCH($I488,"Computer",_xlfn.XLOOKUP($K488&amp;"",COMPUTER!$B$3:$B$1009&amp;"",COMPUTER!$H$3:$H$1009,""),"Display",_xlfn.XLOOKUP($K488&amp;"",DISPLAY!$B$3:$B$1000&amp;"",DISPLAY!$H$3:$H$1000,""),"Network Device",_xlfn.XLOOKUP($K488&amp;"",'NETWORK-DEVICES'!$B$3:$B$987&amp;"",'NETWORK-DEVICES'!$H$3:$H$987,""),"Peripheral",_xlfn.XLOOKUP($K488&amp;"",PERIPHERAL!$B$3:$B$954&amp;"",PERIPHERAL!$H$3:$H$954,""),"Utilities",_xlfn.XLOOKUP($K488&amp;"",UTILITIES!$B$3:$B$953&amp;"",UTILITIES!$G$3:$G$953,""),"IOT",_xlfn.XLOOKUP($K488&amp;"",IOT!$B$3:$B$1012&amp;"",IOT!$H$3:$H$1012,""),"Server",_xlfn.XLOOKUP($K488&amp;"",SERVER!$B$3:$B$1009&amp;"",SERVER!$H$3:$H$1009,""),""),IF(TRIM(_xlpm.srcCat)&lt;&gt;TRIM($J488),"",_xlfn.SWITCH($I488,"Computer",_xlfn.XLOOKUP($K488&amp;"",COMPUTER!$B$3:$B$1009&amp;"",COMPUTER!$AM$3:$AM$1009,""),"Display",_xlfn.XLOOKUP($K488&amp;"",DISPLAY!$B$3:$B$1000&amp;"",DISPLAY!$V$3:$V$1000,""),"Network Device",_xlfn.XLOOKUP($K488&amp;"",'NETWORK-DEVICES'!$B$3:$B$987&amp;"",'NETWORK-DEVICES'!$AF$3:$AF$987,""),"Peripheral",_xlfn.XLOOKUP($K488&amp;"",PERIPHERAL!$B$3:$B$954&amp;"",PERIPHERAL!$Y$3:$Y$954,""),"Utilities",_xlfn.XLOOKUP($K488&amp;"",UTILITIES!$B$3:$B$953&amp;"",UTILITIES!$O$3:$O$953,""),"IOT",_xlfn.XLOOKUP($K488&amp;"",IOT!$B$3:$B$1012&amp;"",IOT!$AB$3:$AB$1012,""),"Server",_xlfn.XLOOKUP($K488&amp;"",SERVER!$B$3:$B$1009&amp;"",SERVER!$AB$3:$AB$1009,""),""))))</f>
        <v/>
      </c>
      <c r="R488" s="43" t="str">
        <f>IF(tbl_handover[[#This Row],[Asset Code]]="","",COUNTIF(tbl_handover[Asset Code],tbl_handover[[#This Row],[Asset Code]]))</f>
        <v/>
      </c>
    </row>
    <row r="489" spans="1:18" x14ac:dyDescent="0.25">
      <c r="A489" s="43" t="str">
        <f>IF(B489&lt;&gt;"",SUBTOTAL(3,$B$1:B488),"")</f>
        <v/>
      </c>
      <c r="C489" s="74"/>
      <c r="D489" s="74"/>
      <c r="G489" s="1"/>
      <c r="K489" s="42"/>
      <c r="L489" t="str" cm="1">
        <f t="array" ref="L489">IF($K489="","",_xlfn.SWITCH($I489,"Computer",_xlfn.XLOOKUP($K489&amp;"",COMPUTER!$B$3:$B$1009&amp;"",COMPUTER!$I$3:$I$1009,""),"Display",_xlfn.XLOOKUP($K489&amp;"",DISPLAY!$B$3:$B$1000&amp;"",DISPLAY!$J$3:$J$1000,""),"Network Device",_xlfn.XLOOKUP($K489&amp;"",'NETWORK-DEVICES'!$B$3:$B$987&amp;"",'NETWORK-DEVICES'!$I$3:$I$987,""),"Peripheral",_xlfn.XLOOKUP($K489&amp;"",PERIPHERAL!$B$3:$B$954&amp;"",PERIPHERAL!$I$3:$I$954,""),"Utilities",_xlfn.XLOOKUP($K489&amp;"",UTILITIES!$B$3:$B$953&amp;"",UTILITIES!$H$3:$H$953,""),"IOT",_xlfn.XLOOKUP($K489&amp;"",IOT!$B$3:$B$1012&amp;"",IOT!$I$3:$I$1012,""),"SERVER",_xlfn.XLOOKUP($K489&amp;"",SERVER!$B$3:$B$1009&amp;"",SERVER!$I$3:$I$1009,""),""))</f>
        <v/>
      </c>
      <c r="M489" t="str" cm="1">
        <f t="array" ref="M489">IF($K489="","",_xlfn.SWITCH($I489,"Computer",_xlfn.XLOOKUP($K489&amp;"",COMPUTER!$B$3:$B$1009&amp;"",COMPUTER!$J$3:$J$1009,""),"Display",_xlfn.XLOOKUP($K489&amp;"",DISPLAY!$B$3:$B$1000&amp;"",DISPLAY!$K$3:$K$1000,""),"Network Device",_xlfn.XLOOKUP($K489&amp;"",'NETWORK-DEVICES'!$B$3:$B$987&amp;"",'NETWORK-DEVICES'!$I$3:$I$987,""),"Peripheral",_xlfn.XLOOKUP($K489&amp;"",PERIPHERAL!$B$3:$B$954&amp;"",PERIPHERAL!$J$3:$J$954,""),"Utilities",_xlfn.XLOOKUP($K489&amp;"",UTILITIES!$B$3:$B$953&amp;"",UTILITIES!$I$3:$I$953,""),"IOT",_xlfn.XLOOKUP($K489&amp;"",IOT!$B$3:$B$1012&amp;"",IOT!$J$3:$J$1012,""),"Server",_xlfn.XLOOKUP($K489&amp;"",SERVER!$B$3:$B$1009&amp;"",SERVER!$J$3:$J$1009,""),""))</f>
        <v/>
      </c>
      <c r="N489" s="1" t="str" cm="1">
        <f t="array" ref="N489">IF(OR($K489="",$I489="",$J489=""),"",_xlfn.LET(_xlpm.srcCat,_xlfn.SWITCH($I489,"Computer",_xlfn.XLOOKUP($K489&amp;"",COMPUTER!$B$3:$B$1009&amp;"",COMPUTER!$H$3:$H$1009,""),"Display",_xlfn.XLOOKUP($K489&amp;"",DISPLAY!$B$3:$B$1000&amp;"",DISPLAY!$H$3:$H$1000,""),"Network Device",_xlfn.XLOOKUP($K489&amp;"",'NETWORK-DEVICES'!$B$3:$B$987&amp;"",'NETWORK-DEVICES'!$H$3:$H$987,""),"Peripheral",_xlfn.XLOOKUP($K489&amp;"",PERIPHERAL!$B$3:$B$954&amp;"",PERIPHERAL!$H$3:$H$954,""),"Utilities",_xlfn.XLOOKUP($K489&amp;"",UTILITIES!$B$3:$B$953&amp;"",UTILITIES!$G$3:$G$953,""),"IOT",_xlfn.XLOOKUP($K489&amp;"",IOT!$B$3:$B$1012&amp;"",IOT!$H$3:$H$1012,""),"Server",_xlfn.XLOOKUP($K489&amp;"",SERVER!$B$3:$B$1009&amp;"",SERVER!$H$3:$H$1009,""),""),IF(TRIM(_xlpm.srcCat)&lt;&gt;TRIM($J489),"",_xlfn.SWITCH($I489,"Computer",_xlfn.XLOOKUP($K489&amp;"",COMPUTER!$B$3:$B$1009&amp;"",COMPUTER!$K$3:$K$1009,""),"Display",_xlfn.XLOOKUP($K489&amp;"",DISPLAY!$B$3:$B$1000&amp;"",DISPLAY!$L$3:$L$1000,""),"Network Device",_xlfn.XLOOKUP($K489&amp;"",'NETWORK-DEVICES'!$B$3:$B$987&amp;"",'NETWORK-DEVICES'!$K$3:$K$987,""),"Peripheral",_xlfn.XLOOKUP($K489&amp;"",PERIPHERAL!$B$3:$B$954&amp;"",PERIPHERAL!$K$3:$K$954,""),"Utilities",_xlfn.XLOOKUP($K489&amp;"",UTILITIES!$B$3:$B$953&amp;"",UTILITIES!$J$3:$J$953,""),"IOT",_xlfn.XLOOKUP($K489&amp;"",IOT!$B$3:$B$1012&amp;"",IOT!$K$4:$K$1012,""),"Server",_xlfn.XLOOKUP($K489&amp;"",SERVER!$B$3:$B$1009&amp;"",SERVER!$K$3:$K$1009,""),""))))</f>
        <v/>
      </c>
      <c r="O489" s="1" t="str" cm="1">
        <f t="array" ref="O489">IF(OR($K489="",$I489="",$J489=""),"",_xlfn.LET(_xlpm.srcCat,_xlfn.SWITCH($I489,"Computer",_xlfn.XLOOKUP($K489&amp;"",COMPUTER!$B$3:$B$1009&amp;"",COMPUTER!$H$3:$H$1009,""),"Display",_xlfn.XLOOKUP($K489&amp;"",DISPLAY!$B$3:$B$1000&amp;"",DISPLAY!$H$3:$H$1000,""),"Network Device",_xlfn.XLOOKUP($K489&amp;"",'NETWORK-DEVICES'!$B$3:$B$987&amp;"",'NETWORK-DEVICES'!$H$3:$H$987,""),"Peripheral",_xlfn.XLOOKUP($K489&amp;"",PERIPHERAL!$B$3:$B$954&amp;"",PERIPHERAL!$H$3:$H$954,""),"Utilities",_xlfn.XLOOKUP($K489&amp;"",UTILITIES!$B$3:$B$953&amp;"",UTILITIES!$G$3:$G$953,""),"IOT",_xlfn.XLOOKUP($K489&amp;"",IOT!$B$3:$B$1012&amp;"",IOT!$H$3:$H$1012,""),"Server",_xlfn.XLOOKUP($K489&amp;"",SERVER!$B$3:$B$1009&amp;"",SERVER!$H$3:$H$1009,""),""),IF(TRIM(_xlpm.srcCat)&lt;&gt;TRIM($J489),"",_xlfn.SWITCH($I489,"Computer",_xlfn.XLOOKUP($K489&amp;"",COMPUTER!$B$3:$B$1009&amp;"",COMPUTER!$E$3:$E$1009,""),"Display",_xlfn.XLOOKUP($K489&amp;"",DISPLAY!$B$3:$B$1000&amp;"",DISPLAY!$E$3:$E$1000,""),"Network Device",_xlfn.XLOOKUP($K489&amp;"",'NETWORK-DEVICES'!$B$3:$B$987&amp;"",'NETWORK-DEVICES'!$E$3:$E$987,""),"Peripheral",_xlfn.XLOOKUP($K489&amp;"",PERIPHERAL!$B$3:$B$954&amp;"",PERIPHERAL!$E$3:$E$954,""),"Utilities",_xlfn.XLOOKUP($K489&amp;"",UTILITIES!$B$3:$B$953&amp;"",UTILITIES!$E$3:$E$953,""),"IOT",_xlfn.XLOOKUP($K489&amp;"",IOT!$B$3:$B$1012&amp;"",IOT!$E$3:$E$1012,""),"Server",_xlfn.XLOOKUP($K489&amp;"",SERVER!$B$3:$B$1009&amp;"",SERVER!$E$3:$E$1009,""),""))))</f>
        <v/>
      </c>
      <c r="Q489" s="1" t="str" cm="1">
        <f t="array" ref="Q489">IF(OR($K489="",$I489="",$J489=""),"",_xlfn.LET(_xlpm.srcCat,_xlfn.SWITCH($I489,"Computer",_xlfn.XLOOKUP($K489&amp;"",COMPUTER!$B$3:$B$1009&amp;"",COMPUTER!$H$3:$H$1009,""),"Display",_xlfn.XLOOKUP($K489&amp;"",DISPLAY!$B$3:$B$1000&amp;"",DISPLAY!$H$3:$H$1000,""),"Network Device",_xlfn.XLOOKUP($K489&amp;"",'NETWORK-DEVICES'!$B$3:$B$987&amp;"",'NETWORK-DEVICES'!$H$3:$H$987,""),"Peripheral",_xlfn.XLOOKUP($K489&amp;"",PERIPHERAL!$B$3:$B$954&amp;"",PERIPHERAL!$H$3:$H$954,""),"Utilities",_xlfn.XLOOKUP($K489&amp;"",UTILITIES!$B$3:$B$953&amp;"",UTILITIES!$G$3:$G$953,""),"IOT",_xlfn.XLOOKUP($K489&amp;"",IOT!$B$3:$B$1012&amp;"",IOT!$H$3:$H$1012,""),"Server",_xlfn.XLOOKUP($K489&amp;"",SERVER!$B$3:$B$1009&amp;"",SERVER!$H$3:$H$1009,""),""),IF(TRIM(_xlpm.srcCat)&lt;&gt;TRIM($J489),"",_xlfn.SWITCH($I489,"Computer",_xlfn.XLOOKUP($K489&amp;"",COMPUTER!$B$3:$B$1009&amp;"",COMPUTER!$AM$3:$AM$1009,""),"Display",_xlfn.XLOOKUP($K489&amp;"",DISPLAY!$B$3:$B$1000&amp;"",DISPLAY!$V$3:$V$1000,""),"Network Device",_xlfn.XLOOKUP($K489&amp;"",'NETWORK-DEVICES'!$B$3:$B$987&amp;"",'NETWORK-DEVICES'!$AF$3:$AF$987,""),"Peripheral",_xlfn.XLOOKUP($K489&amp;"",PERIPHERAL!$B$3:$B$954&amp;"",PERIPHERAL!$Y$3:$Y$954,""),"Utilities",_xlfn.XLOOKUP($K489&amp;"",UTILITIES!$B$3:$B$953&amp;"",UTILITIES!$O$3:$O$953,""),"IOT",_xlfn.XLOOKUP($K489&amp;"",IOT!$B$3:$B$1012&amp;"",IOT!$AB$3:$AB$1012,""),"Server",_xlfn.XLOOKUP($K489&amp;"",SERVER!$B$3:$B$1009&amp;"",SERVER!$AB$3:$AB$1009,""),""))))</f>
        <v/>
      </c>
      <c r="R489" s="43" t="str">
        <f>IF(tbl_handover[[#This Row],[Asset Code]]="","",COUNTIF(tbl_handover[Asset Code],tbl_handover[[#This Row],[Asset Code]]))</f>
        <v/>
      </c>
    </row>
    <row r="490" spans="1:18" x14ac:dyDescent="0.25">
      <c r="A490" s="43" t="str">
        <f>IF(B490&lt;&gt;"",SUBTOTAL(3,$B$1:B489),"")</f>
        <v/>
      </c>
      <c r="C490" s="74"/>
      <c r="D490" s="74"/>
      <c r="G490" s="1"/>
      <c r="K490" s="42"/>
      <c r="L490" t="str" cm="1">
        <f t="array" ref="L490">IF($K490="","",_xlfn.SWITCH($I490,"Computer",_xlfn.XLOOKUP($K490&amp;"",COMPUTER!$B$3:$B$1009&amp;"",COMPUTER!$I$3:$I$1009,""),"Display",_xlfn.XLOOKUP($K490&amp;"",DISPLAY!$B$3:$B$1000&amp;"",DISPLAY!$J$3:$J$1000,""),"Network Device",_xlfn.XLOOKUP($K490&amp;"",'NETWORK-DEVICES'!$B$3:$B$987&amp;"",'NETWORK-DEVICES'!$I$3:$I$987,""),"Peripheral",_xlfn.XLOOKUP($K490&amp;"",PERIPHERAL!$B$3:$B$954&amp;"",PERIPHERAL!$I$3:$I$954,""),"Utilities",_xlfn.XLOOKUP($K490&amp;"",UTILITIES!$B$3:$B$953&amp;"",UTILITIES!$H$3:$H$953,""),"IOT",_xlfn.XLOOKUP($K490&amp;"",IOT!$B$3:$B$1012&amp;"",IOT!$I$3:$I$1012,""),"SERVER",_xlfn.XLOOKUP($K490&amp;"",SERVER!$B$3:$B$1009&amp;"",SERVER!$I$3:$I$1009,""),""))</f>
        <v/>
      </c>
      <c r="M490" t="str" cm="1">
        <f t="array" ref="M490">IF($K490="","",_xlfn.SWITCH($I490,"Computer",_xlfn.XLOOKUP($K490&amp;"",COMPUTER!$B$3:$B$1009&amp;"",COMPUTER!$J$3:$J$1009,""),"Display",_xlfn.XLOOKUP($K490&amp;"",DISPLAY!$B$3:$B$1000&amp;"",DISPLAY!$K$3:$K$1000,""),"Network Device",_xlfn.XLOOKUP($K490&amp;"",'NETWORK-DEVICES'!$B$3:$B$987&amp;"",'NETWORK-DEVICES'!$I$3:$I$987,""),"Peripheral",_xlfn.XLOOKUP($K490&amp;"",PERIPHERAL!$B$3:$B$954&amp;"",PERIPHERAL!$J$3:$J$954,""),"Utilities",_xlfn.XLOOKUP($K490&amp;"",UTILITIES!$B$3:$B$953&amp;"",UTILITIES!$I$3:$I$953,""),"IOT",_xlfn.XLOOKUP($K490&amp;"",IOT!$B$3:$B$1012&amp;"",IOT!$J$3:$J$1012,""),"Server",_xlfn.XLOOKUP($K490&amp;"",SERVER!$B$3:$B$1009&amp;"",SERVER!$J$3:$J$1009,""),""))</f>
        <v/>
      </c>
      <c r="N490" s="1" t="str" cm="1">
        <f t="array" ref="N490">IF(OR($K490="",$I490="",$J490=""),"",_xlfn.LET(_xlpm.srcCat,_xlfn.SWITCH($I490,"Computer",_xlfn.XLOOKUP($K490&amp;"",COMPUTER!$B$3:$B$1009&amp;"",COMPUTER!$H$3:$H$1009,""),"Display",_xlfn.XLOOKUP($K490&amp;"",DISPLAY!$B$3:$B$1000&amp;"",DISPLAY!$H$3:$H$1000,""),"Network Device",_xlfn.XLOOKUP($K490&amp;"",'NETWORK-DEVICES'!$B$3:$B$987&amp;"",'NETWORK-DEVICES'!$H$3:$H$987,""),"Peripheral",_xlfn.XLOOKUP($K490&amp;"",PERIPHERAL!$B$3:$B$954&amp;"",PERIPHERAL!$H$3:$H$954,""),"Utilities",_xlfn.XLOOKUP($K490&amp;"",UTILITIES!$B$3:$B$953&amp;"",UTILITIES!$G$3:$G$953,""),"IOT",_xlfn.XLOOKUP($K490&amp;"",IOT!$B$3:$B$1012&amp;"",IOT!$H$3:$H$1012,""),"Server",_xlfn.XLOOKUP($K490&amp;"",SERVER!$B$3:$B$1009&amp;"",SERVER!$H$3:$H$1009,""),""),IF(TRIM(_xlpm.srcCat)&lt;&gt;TRIM($J490),"",_xlfn.SWITCH($I490,"Computer",_xlfn.XLOOKUP($K490&amp;"",COMPUTER!$B$3:$B$1009&amp;"",COMPUTER!$K$3:$K$1009,""),"Display",_xlfn.XLOOKUP($K490&amp;"",DISPLAY!$B$3:$B$1000&amp;"",DISPLAY!$L$3:$L$1000,""),"Network Device",_xlfn.XLOOKUP($K490&amp;"",'NETWORK-DEVICES'!$B$3:$B$987&amp;"",'NETWORK-DEVICES'!$K$3:$K$987,""),"Peripheral",_xlfn.XLOOKUP($K490&amp;"",PERIPHERAL!$B$3:$B$954&amp;"",PERIPHERAL!$K$3:$K$954,""),"Utilities",_xlfn.XLOOKUP($K490&amp;"",UTILITIES!$B$3:$B$953&amp;"",UTILITIES!$J$3:$J$953,""),"IOT",_xlfn.XLOOKUP($K490&amp;"",IOT!$B$3:$B$1012&amp;"",IOT!$K$4:$K$1012,""),"Server",_xlfn.XLOOKUP($K490&amp;"",SERVER!$B$3:$B$1009&amp;"",SERVER!$K$3:$K$1009,""),""))))</f>
        <v/>
      </c>
      <c r="O490" s="1" t="str" cm="1">
        <f t="array" ref="O490">IF(OR($K490="",$I490="",$J490=""),"",_xlfn.LET(_xlpm.srcCat,_xlfn.SWITCH($I490,"Computer",_xlfn.XLOOKUP($K490&amp;"",COMPUTER!$B$3:$B$1009&amp;"",COMPUTER!$H$3:$H$1009,""),"Display",_xlfn.XLOOKUP($K490&amp;"",DISPLAY!$B$3:$B$1000&amp;"",DISPLAY!$H$3:$H$1000,""),"Network Device",_xlfn.XLOOKUP($K490&amp;"",'NETWORK-DEVICES'!$B$3:$B$987&amp;"",'NETWORK-DEVICES'!$H$3:$H$987,""),"Peripheral",_xlfn.XLOOKUP($K490&amp;"",PERIPHERAL!$B$3:$B$954&amp;"",PERIPHERAL!$H$3:$H$954,""),"Utilities",_xlfn.XLOOKUP($K490&amp;"",UTILITIES!$B$3:$B$953&amp;"",UTILITIES!$G$3:$G$953,""),"IOT",_xlfn.XLOOKUP($K490&amp;"",IOT!$B$3:$B$1012&amp;"",IOT!$H$3:$H$1012,""),"Server",_xlfn.XLOOKUP($K490&amp;"",SERVER!$B$3:$B$1009&amp;"",SERVER!$H$3:$H$1009,""),""),IF(TRIM(_xlpm.srcCat)&lt;&gt;TRIM($J490),"",_xlfn.SWITCH($I490,"Computer",_xlfn.XLOOKUP($K490&amp;"",COMPUTER!$B$3:$B$1009&amp;"",COMPUTER!$E$3:$E$1009,""),"Display",_xlfn.XLOOKUP($K490&amp;"",DISPLAY!$B$3:$B$1000&amp;"",DISPLAY!$E$3:$E$1000,""),"Network Device",_xlfn.XLOOKUP($K490&amp;"",'NETWORK-DEVICES'!$B$3:$B$987&amp;"",'NETWORK-DEVICES'!$E$3:$E$987,""),"Peripheral",_xlfn.XLOOKUP($K490&amp;"",PERIPHERAL!$B$3:$B$954&amp;"",PERIPHERAL!$E$3:$E$954,""),"Utilities",_xlfn.XLOOKUP($K490&amp;"",UTILITIES!$B$3:$B$953&amp;"",UTILITIES!$E$3:$E$953,""),"IOT",_xlfn.XLOOKUP($K490&amp;"",IOT!$B$3:$B$1012&amp;"",IOT!$E$3:$E$1012,""),"Server",_xlfn.XLOOKUP($K490&amp;"",SERVER!$B$3:$B$1009&amp;"",SERVER!$E$3:$E$1009,""),""))))</f>
        <v/>
      </c>
      <c r="Q490" s="1" t="str" cm="1">
        <f t="array" ref="Q490">IF(OR($K490="",$I490="",$J490=""),"",_xlfn.LET(_xlpm.srcCat,_xlfn.SWITCH($I490,"Computer",_xlfn.XLOOKUP($K490&amp;"",COMPUTER!$B$3:$B$1009&amp;"",COMPUTER!$H$3:$H$1009,""),"Display",_xlfn.XLOOKUP($K490&amp;"",DISPLAY!$B$3:$B$1000&amp;"",DISPLAY!$H$3:$H$1000,""),"Network Device",_xlfn.XLOOKUP($K490&amp;"",'NETWORK-DEVICES'!$B$3:$B$987&amp;"",'NETWORK-DEVICES'!$H$3:$H$987,""),"Peripheral",_xlfn.XLOOKUP($K490&amp;"",PERIPHERAL!$B$3:$B$954&amp;"",PERIPHERAL!$H$3:$H$954,""),"Utilities",_xlfn.XLOOKUP($K490&amp;"",UTILITIES!$B$3:$B$953&amp;"",UTILITIES!$G$3:$G$953,""),"IOT",_xlfn.XLOOKUP($K490&amp;"",IOT!$B$3:$B$1012&amp;"",IOT!$H$3:$H$1012,""),"Server",_xlfn.XLOOKUP($K490&amp;"",SERVER!$B$3:$B$1009&amp;"",SERVER!$H$3:$H$1009,""),""),IF(TRIM(_xlpm.srcCat)&lt;&gt;TRIM($J490),"",_xlfn.SWITCH($I490,"Computer",_xlfn.XLOOKUP($K490&amp;"",COMPUTER!$B$3:$B$1009&amp;"",COMPUTER!$AM$3:$AM$1009,""),"Display",_xlfn.XLOOKUP($K490&amp;"",DISPLAY!$B$3:$B$1000&amp;"",DISPLAY!$V$3:$V$1000,""),"Network Device",_xlfn.XLOOKUP($K490&amp;"",'NETWORK-DEVICES'!$B$3:$B$987&amp;"",'NETWORK-DEVICES'!$AF$3:$AF$987,""),"Peripheral",_xlfn.XLOOKUP($K490&amp;"",PERIPHERAL!$B$3:$B$954&amp;"",PERIPHERAL!$Y$3:$Y$954,""),"Utilities",_xlfn.XLOOKUP($K490&amp;"",UTILITIES!$B$3:$B$953&amp;"",UTILITIES!$O$3:$O$953,""),"IOT",_xlfn.XLOOKUP($K490&amp;"",IOT!$B$3:$B$1012&amp;"",IOT!$AB$3:$AB$1012,""),"Server",_xlfn.XLOOKUP($K490&amp;"",SERVER!$B$3:$B$1009&amp;"",SERVER!$AB$3:$AB$1009,""),""))))</f>
        <v/>
      </c>
      <c r="R490" s="43" t="str">
        <f>IF(tbl_handover[[#This Row],[Asset Code]]="","",COUNTIF(tbl_handover[Asset Code],tbl_handover[[#This Row],[Asset Code]]))</f>
        <v/>
      </c>
    </row>
    <row r="491" spans="1:18" x14ac:dyDescent="0.25">
      <c r="A491" s="43" t="str">
        <f>IF(B491&lt;&gt;"",SUBTOTAL(3,$B$1:B490),"")</f>
        <v/>
      </c>
      <c r="C491" s="74"/>
      <c r="D491" s="74"/>
      <c r="G491" s="1"/>
      <c r="K491" s="42"/>
      <c r="L491" t="str" cm="1">
        <f t="array" ref="L491">IF($K491="","",_xlfn.SWITCH($I491,"Computer",_xlfn.XLOOKUP($K491&amp;"",COMPUTER!$B$3:$B$1009&amp;"",COMPUTER!$I$3:$I$1009,""),"Display",_xlfn.XLOOKUP($K491&amp;"",DISPLAY!$B$3:$B$1000&amp;"",DISPLAY!$J$3:$J$1000,""),"Network Device",_xlfn.XLOOKUP($K491&amp;"",'NETWORK-DEVICES'!$B$3:$B$987&amp;"",'NETWORK-DEVICES'!$I$3:$I$987,""),"Peripheral",_xlfn.XLOOKUP($K491&amp;"",PERIPHERAL!$B$3:$B$954&amp;"",PERIPHERAL!$I$3:$I$954,""),"Utilities",_xlfn.XLOOKUP($K491&amp;"",UTILITIES!$B$3:$B$953&amp;"",UTILITIES!$H$3:$H$953,""),"IOT",_xlfn.XLOOKUP($K491&amp;"",IOT!$B$3:$B$1012&amp;"",IOT!$I$3:$I$1012,""),"SERVER",_xlfn.XLOOKUP($K491&amp;"",SERVER!$B$3:$B$1009&amp;"",SERVER!$I$3:$I$1009,""),""))</f>
        <v/>
      </c>
      <c r="M491" t="str" cm="1">
        <f t="array" ref="M491">IF($K491="","",_xlfn.SWITCH($I491,"Computer",_xlfn.XLOOKUP($K491&amp;"",COMPUTER!$B$3:$B$1009&amp;"",COMPUTER!$J$3:$J$1009,""),"Display",_xlfn.XLOOKUP($K491&amp;"",DISPLAY!$B$3:$B$1000&amp;"",DISPLAY!$K$3:$K$1000,""),"Network Device",_xlfn.XLOOKUP($K491&amp;"",'NETWORK-DEVICES'!$B$3:$B$987&amp;"",'NETWORK-DEVICES'!$I$3:$I$987,""),"Peripheral",_xlfn.XLOOKUP($K491&amp;"",PERIPHERAL!$B$3:$B$954&amp;"",PERIPHERAL!$J$3:$J$954,""),"Utilities",_xlfn.XLOOKUP($K491&amp;"",UTILITIES!$B$3:$B$953&amp;"",UTILITIES!$I$3:$I$953,""),"IOT",_xlfn.XLOOKUP($K491&amp;"",IOT!$B$3:$B$1012&amp;"",IOT!$J$3:$J$1012,""),"Server",_xlfn.XLOOKUP($K491&amp;"",SERVER!$B$3:$B$1009&amp;"",SERVER!$J$3:$J$1009,""),""))</f>
        <v/>
      </c>
      <c r="N491" s="1" t="str" cm="1">
        <f t="array" ref="N491">IF(OR($K491="",$I491="",$J491=""),"",_xlfn.LET(_xlpm.srcCat,_xlfn.SWITCH($I491,"Computer",_xlfn.XLOOKUP($K491&amp;"",COMPUTER!$B$3:$B$1009&amp;"",COMPUTER!$H$3:$H$1009,""),"Display",_xlfn.XLOOKUP($K491&amp;"",DISPLAY!$B$3:$B$1000&amp;"",DISPLAY!$H$3:$H$1000,""),"Network Device",_xlfn.XLOOKUP($K491&amp;"",'NETWORK-DEVICES'!$B$3:$B$987&amp;"",'NETWORK-DEVICES'!$H$3:$H$987,""),"Peripheral",_xlfn.XLOOKUP($K491&amp;"",PERIPHERAL!$B$3:$B$954&amp;"",PERIPHERAL!$H$3:$H$954,""),"Utilities",_xlfn.XLOOKUP($K491&amp;"",UTILITIES!$B$3:$B$953&amp;"",UTILITIES!$G$3:$G$953,""),"IOT",_xlfn.XLOOKUP($K491&amp;"",IOT!$B$3:$B$1012&amp;"",IOT!$H$3:$H$1012,""),"Server",_xlfn.XLOOKUP($K491&amp;"",SERVER!$B$3:$B$1009&amp;"",SERVER!$H$3:$H$1009,""),""),IF(TRIM(_xlpm.srcCat)&lt;&gt;TRIM($J491),"",_xlfn.SWITCH($I491,"Computer",_xlfn.XLOOKUP($K491&amp;"",COMPUTER!$B$3:$B$1009&amp;"",COMPUTER!$K$3:$K$1009,""),"Display",_xlfn.XLOOKUP($K491&amp;"",DISPLAY!$B$3:$B$1000&amp;"",DISPLAY!$L$3:$L$1000,""),"Network Device",_xlfn.XLOOKUP($K491&amp;"",'NETWORK-DEVICES'!$B$3:$B$987&amp;"",'NETWORK-DEVICES'!$K$3:$K$987,""),"Peripheral",_xlfn.XLOOKUP($K491&amp;"",PERIPHERAL!$B$3:$B$954&amp;"",PERIPHERAL!$K$3:$K$954,""),"Utilities",_xlfn.XLOOKUP($K491&amp;"",UTILITIES!$B$3:$B$953&amp;"",UTILITIES!$J$3:$J$953,""),"IOT",_xlfn.XLOOKUP($K491&amp;"",IOT!$B$3:$B$1012&amp;"",IOT!$K$4:$K$1012,""),"Server",_xlfn.XLOOKUP($K491&amp;"",SERVER!$B$3:$B$1009&amp;"",SERVER!$K$3:$K$1009,""),""))))</f>
        <v/>
      </c>
      <c r="O491" s="1" t="str" cm="1">
        <f t="array" ref="O491">IF(OR($K491="",$I491="",$J491=""),"",_xlfn.LET(_xlpm.srcCat,_xlfn.SWITCH($I491,"Computer",_xlfn.XLOOKUP($K491&amp;"",COMPUTER!$B$3:$B$1009&amp;"",COMPUTER!$H$3:$H$1009,""),"Display",_xlfn.XLOOKUP($K491&amp;"",DISPLAY!$B$3:$B$1000&amp;"",DISPLAY!$H$3:$H$1000,""),"Network Device",_xlfn.XLOOKUP($K491&amp;"",'NETWORK-DEVICES'!$B$3:$B$987&amp;"",'NETWORK-DEVICES'!$H$3:$H$987,""),"Peripheral",_xlfn.XLOOKUP($K491&amp;"",PERIPHERAL!$B$3:$B$954&amp;"",PERIPHERAL!$H$3:$H$954,""),"Utilities",_xlfn.XLOOKUP($K491&amp;"",UTILITIES!$B$3:$B$953&amp;"",UTILITIES!$G$3:$G$953,""),"IOT",_xlfn.XLOOKUP($K491&amp;"",IOT!$B$3:$B$1012&amp;"",IOT!$H$3:$H$1012,""),"Server",_xlfn.XLOOKUP($K491&amp;"",SERVER!$B$3:$B$1009&amp;"",SERVER!$H$3:$H$1009,""),""),IF(TRIM(_xlpm.srcCat)&lt;&gt;TRIM($J491),"",_xlfn.SWITCH($I491,"Computer",_xlfn.XLOOKUP($K491&amp;"",COMPUTER!$B$3:$B$1009&amp;"",COMPUTER!$E$3:$E$1009,""),"Display",_xlfn.XLOOKUP($K491&amp;"",DISPLAY!$B$3:$B$1000&amp;"",DISPLAY!$E$3:$E$1000,""),"Network Device",_xlfn.XLOOKUP($K491&amp;"",'NETWORK-DEVICES'!$B$3:$B$987&amp;"",'NETWORK-DEVICES'!$E$3:$E$987,""),"Peripheral",_xlfn.XLOOKUP($K491&amp;"",PERIPHERAL!$B$3:$B$954&amp;"",PERIPHERAL!$E$3:$E$954,""),"Utilities",_xlfn.XLOOKUP($K491&amp;"",UTILITIES!$B$3:$B$953&amp;"",UTILITIES!$E$3:$E$953,""),"IOT",_xlfn.XLOOKUP($K491&amp;"",IOT!$B$3:$B$1012&amp;"",IOT!$E$3:$E$1012,""),"Server",_xlfn.XLOOKUP($K491&amp;"",SERVER!$B$3:$B$1009&amp;"",SERVER!$E$3:$E$1009,""),""))))</f>
        <v/>
      </c>
      <c r="Q491" s="1" t="str" cm="1">
        <f t="array" ref="Q491">IF(OR($K491="",$I491="",$J491=""),"",_xlfn.LET(_xlpm.srcCat,_xlfn.SWITCH($I491,"Computer",_xlfn.XLOOKUP($K491&amp;"",COMPUTER!$B$3:$B$1009&amp;"",COMPUTER!$H$3:$H$1009,""),"Display",_xlfn.XLOOKUP($K491&amp;"",DISPLAY!$B$3:$B$1000&amp;"",DISPLAY!$H$3:$H$1000,""),"Network Device",_xlfn.XLOOKUP($K491&amp;"",'NETWORK-DEVICES'!$B$3:$B$987&amp;"",'NETWORK-DEVICES'!$H$3:$H$987,""),"Peripheral",_xlfn.XLOOKUP($K491&amp;"",PERIPHERAL!$B$3:$B$954&amp;"",PERIPHERAL!$H$3:$H$954,""),"Utilities",_xlfn.XLOOKUP($K491&amp;"",UTILITIES!$B$3:$B$953&amp;"",UTILITIES!$G$3:$G$953,""),"IOT",_xlfn.XLOOKUP($K491&amp;"",IOT!$B$3:$B$1012&amp;"",IOT!$H$3:$H$1012,""),"Server",_xlfn.XLOOKUP($K491&amp;"",SERVER!$B$3:$B$1009&amp;"",SERVER!$H$3:$H$1009,""),""),IF(TRIM(_xlpm.srcCat)&lt;&gt;TRIM($J491),"",_xlfn.SWITCH($I491,"Computer",_xlfn.XLOOKUP($K491&amp;"",COMPUTER!$B$3:$B$1009&amp;"",COMPUTER!$AM$3:$AM$1009,""),"Display",_xlfn.XLOOKUP($K491&amp;"",DISPLAY!$B$3:$B$1000&amp;"",DISPLAY!$V$3:$V$1000,""),"Network Device",_xlfn.XLOOKUP($K491&amp;"",'NETWORK-DEVICES'!$B$3:$B$987&amp;"",'NETWORK-DEVICES'!$AF$3:$AF$987,""),"Peripheral",_xlfn.XLOOKUP($K491&amp;"",PERIPHERAL!$B$3:$B$954&amp;"",PERIPHERAL!$Y$3:$Y$954,""),"Utilities",_xlfn.XLOOKUP($K491&amp;"",UTILITIES!$B$3:$B$953&amp;"",UTILITIES!$O$3:$O$953,""),"IOT",_xlfn.XLOOKUP($K491&amp;"",IOT!$B$3:$B$1012&amp;"",IOT!$AB$3:$AB$1012,""),"Server",_xlfn.XLOOKUP($K491&amp;"",SERVER!$B$3:$B$1009&amp;"",SERVER!$AB$3:$AB$1009,""),""))))</f>
        <v/>
      </c>
      <c r="R491" s="43" t="str">
        <f>IF(tbl_handover[[#This Row],[Asset Code]]="","",COUNTIF(tbl_handover[Asset Code],tbl_handover[[#This Row],[Asset Code]]))</f>
        <v/>
      </c>
    </row>
    <row r="492" spans="1:18" x14ac:dyDescent="0.25">
      <c r="A492" s="43" t="str">
        <f>IF(B492&lt;&gt;"",SUBTOTAL(3,$B$1:B491),"")</f>
        <v/>
      </c>
      <c r="C492" s="74"/>
      <c r="D492" s="74"/>
      <c r="G492" s="1"/>
      <c r="K492" s="42"/>
      <c r="L492" t="str" cm="1">
        <f t="array" ref="L492">IF($K492="","",_xlfn.SWITCH($I492,"Computer",_xlfn.XLOOKUP($K492&amp;"",COMPUTER!$B$3:$B$1009&amp;"",COMPUTER!$I$3:$I$1009,""),"Display",_xlfn.XLOOKUP($K492&amp;"",DISPLAY!$B$3:$B$1000&amp;"",DISPLAY!$J$3:$J$1000,""),"Network Device",_xlfn.XLOOKUP($K492&amp;"",'NETWORK-DEVICES'!$B$3:$B$987&amp;"",'NETWORK-DEVICES'!$I$3:$I$987,""),"Peripheral",_xlfn.XLOOKUP($K492&amp;"",PERIPHERAL!$B$3:$B$954&amp;"",PERIPHERAL!$I$3:$I$954,""),"Utilities",_xlfn.XLOOKUP($K492&amp;"",UTILITIES!$B$3:$B$953&amp;"",UTILITIES!$H$3:$H$953,""),"IOT",_xlfn.XLOOKUP($K492&amp;"",IOT!$B$3:$B$1012&amp;"",IOT!$I$3:$I$1012,""),"SERVER",_xlfn.XLOOKUP($K492&amp;"",SERVER!$B$3:$B$1009&amp;"",SERVER!$I$3:$I$1009,""),""))</f>
        <v/>
      </c>
      <c r="M492" t="str" cm="1">
        <f t="array" ref="M492">IF($K492="","",_xlfn.SWITCH($I492,"Computer",_xlfn.XLOOKUP($K492&amp;"",COMPUTER!$B$3:$B$1009&amp;"",COMPUTER!$J$3:$J$1009,""),"Display",_xlfn.XLOOKUP($K492&amp;"",DISPLAY!$B$3:$B$1000&amp;"",DISPLAY!$K$3:$K$1000,""),"Network Device",_xlfn.XLOOKUP($K492&amp;"",'NETWORK-DEVICES'!$B$3:$B$987&amp;"",'NETWORK-DEVICES'!$I$3:$I$987,""),"Peripheral",_xlfn.XLOOKUP($K492&amp;"",PERIPHERAL!$B$3:$B$954&amp;"",PERIPHERAL!$J$3:$J$954,""),"Utilities",_xlfn.XLOOKUP($K492&amp;"",UTILITIES!$B$3:$B$953&amp;"",UTILITIES!$I$3:$I$953,""),"IOT",_xlfn.XLOOKUP($K492&amp;"",IOT!$B$3:$B$1012&amp;"",IOT!$J$3:$J$1012,""),"Server",_xlfn.XLOOKUP($K492&amp;"",SERVER!$B$3:$B$1009&amp;"",SERVER!$J$3:$J$1009,""),""))</f>
        <v/>
      </c>
      <c r="N492" s="1" t="str" cm="1">
        <f t="array" ref="N492">IF(OR($K492="",$I492="",$J492=""),"",_xlfn.LET(_xlpm.srcCat,_xlfn.SWITCH($I492,"Computer",_xlfn.XLOOKUP($K492&amp;"",COMPUTER!$B$3:$B$1009&amp;"",COMPUTER!$H$3:$H$1009,""),"Display",_xlfn.XLOOKUP($K492&amp;"",DISPLAY!$B$3:$B$1000&amp;"",DISPLAY!$H$3:$H$1000,""),"Network Device",_xlfn.XLOOKUP($K492&amp;"",'NETWORK-DEVICES'!$B$3:$B$987&amp;"",'NETWORK-DEVICES'!$H$3:$H$987,""),"Peripheral",_xlfn.XLOOKUP($K492&amp;"",PERIPHERAL!$B$3:$B$954&amp;"",PERIPHERAL!$H$3:$H$954,""),"Utilities",_xlfn.XLOOKUP($K492&amp;"",UTILITIES!$B$3:$B$953&amp;"",UTILITIES!$G$3:$G$953,""),"IOT",_xlfn.XLOOKUP($K492&amp;"",IOT!$B$3:$B$1012&amp;"",IOT!$H$3:$H$1012,""),"Server",_xlfn.XLOOKUP($K492&amp;"",SERVER!$B$3:$B$1009&amp;"",SERVER!$H$3:$H$1009,""),""),IF(TRIM(_xlpm.srcCat)&lt;&gt;TRIM($J492),"",_xlfn.SWITCH($I492,"Computer",_xlfn.XLOOKUP($K492&amp;"",COMPUTER!$B$3:$B$1009&amp;"",COMPUTER!$K$3:$K$1009,""),"Display",_xlfn.XLOOKUP($K492&amp;"",DISPLAY!$B$3:$B$1000&amp;"",DISPLAY!$L$3:$L$1000,""),"Network Device",_xlfn.XLOOKUP($K492&amp;"",'NETWORK-DEVICES'!$B$3:$B$987&amp;"",'NETWORK-DEVICES'!$K$3:$K$987,""),"Peripheral",_xlfn.XLOOKUP($K492&amp;"",PERIPHERAL!$B$3:$B$954&amp;"",PERIPHERAL!$K$3:$K$954,""),"Utilities",_xlfn.XLOOKUP($K492&amp;"",UTILITIES!$B$3:$B$953&amp;"",UTILITIES!$J$3:$J$953,""),"IOT",_xlfn.XLOOKUP($K492&amp;"",IOT!$B$3:$B$1012&amp;"",IOT!$K$4:$K$1012,""),"Server",_xlfn.XLOOKUP($K492&amp;"",SERVER!$B$3:$B$1009&amp;"",SERVER!$K$3:$K$1009,""),""))))</f>
        <v/>
      </c>
      <c r="O492" s="1" t="str" cm="1">
        <f t="array" ref="O492">IF(OR($K492="",$I492="",$J492=""),"",_xlfn.LET(_xlpm.srcCat,_xlfn.SWITCH($I492,"Computer",_xlfn.XLOOKUP($K492&amp;"",COMPUTER!$B$3:$B$1009&amp;"",COMPUTER!$H$3:$H$1009,""),"Display",_xlfn.XLOOKUP($K492&amp;"",DISPLAY!$B$3:$B$1000&amp;"",DISPLAY!$H$3:$H$1000,""),"Network Device",_xlfn.XLOOKUP($K492&amp;"",'NETWORK-DEVICES'!$B$3:$B$987&amp;"",'NETWORK-DEVICES'!$H$3:$H$987,""),"Peripheral",_xlfn.XLOOKUP($K492&amp;"",PERIPHERAL!$B$3:$B$954&amp;"",PERIPHERAL!$H$3:$H$954,""),"Utilities",_xlfn.XLOOKUP($K492&amp;"",UTILITIES!$B$3:$B$953&amp;"",UTILITIES!$G$3:$G$953,""),"IOT",_xlfn.XLOOKUP($K492&amp;"",IOT!$B$3:$B$1012&amp;"",IOT!$H$3:$H$1012,""),"Server",_xlfn.XLOOKUP($K492&amp;"",SERVER!$B$3:$B$1009&amp;"",SERVER!$H$3:$H$1009,""),""),IF(TRIM(_xlpm.srcCat)&lt;&gt;TRIM($J492),"",_xlfn.SWITCH($I492,"Computer",_xlfn.XLOOKUP($K492&amp;"",COMPUTER!$B$3:$B$1009&amp;"",COMPUTER!$E$3:$E$1009,""),"Display",_xlfn.XLOOKUP($K492&amp;"",DISPLAY!$B$3:$B$1000&amp;"",DISPLAY!$E$3:$E$1000,""),"Network Device",_xlfn.XLOOKUP($K492&amp;"",'NETWORK-DEVICES'!$B$3:$B$987&amp;"",'NETWORK-DEVICES'!$E$3:$E$987,""),"Peripheral",_xlfn.XLOOKUP($K492&amp;"",PERIPHERAL!$B$3:$B$954&amp;"",PERIPHERAL!$E$3:$E$954,""),"Utilities",_xlfn.XLOOKUP($K492&amp;"",UTILITIES!$B$3:$B$953&amp;"",UTILITIES!$E$3:$E$953,""),"IOT",_xlfn.XLOOKUP($K492&amp;"",IOT!$B$3:$B$1012&amp;"",IOT!$E$3:$E$1012,""),"Server",_xlfn.XLOOKUP($K492&amp;"",SERVER!$B$3:$B$1009&amp;"",SERVER!$E$3:$E$1009,""),""))))</f>
        <v/>
      </c>
      <c r="Q492" s="1" t="str" cm="1">
        <f t="array" ref="Q492">IF(OR($K492="",$I492="",$J492=""),"",_xlfn.LET(_xlpm.srcCat,_xlfn.SWITCH($I492,"Computer",_xlfn.XLOOKUP($K492&amp;"",COMPUTER!$B$3:$B$1009&amp;"",COMPUTER!$H$3:$H$1009,""),"Display",_xlfn.XLOOKUP($K492&amp;"",DISPLAY!$B$3:$B$1000&amp;"",DISPLAY!$H$3:$H$1000,""),"Network Device",_xlfn.XLOOKUP($K492&amp;"",'NETWORK-DEVICES'!$B$3:$B$987&amp;"",'NETWORK-DEVICES'!$H$3:$H$987,""),"Peripheral",_xlfn.XLOOKUP($K492&amp;"",PERIPHERAL!$B$3:$B$954&amp;"",PERIPHERAL!$H$3:$H$954,""),"Utilities",_xlfn.XLOOKUP($K492&amp;"",UTILITIES!$B$3:$B$953&amp;"",UTILITIES!$G$3:$G$953,""),"IOT",_xlfn.XLOOKUP($K492&amp;"",IOT!$B$3:$B$1012&amp;"",IOT!$H$3:$H$1012,""),"Server",_xlfn.XLOOKUP($K492&amp;"",SERVER!$B$3:$B$1009&amp;"",SERVER!$H$3:$H$1009,""),""),IF(TRIM(_xlpm.srcCat)&lt;&gt;TRIM($J492),"",_xlfn.SWITCH($I492,"Computer",_xlfn.XLOOKUP($K492&amp;"",COMPUTER!$B$3:$B$1009&amp;"",COMPUTER!$AM$3:$AM$1009,""),"Display",_xlfn.XLOOKUP($K492&amp;"",DISPLAY!$B$3:$B$1000&amp;"",DISPLAY!$V$3:$V$1000,""),"Network Device",_xlfn.XLOOKUP($K492&amp;"",'NETWORK-DEVICES'!$B$3:$B$987&amp;"",'NETWORK-DEVICES'!$AF$3:$AF$987,""),"Peripheral",_xlfn.XLOOKUP($K492&amp;"",PERIPHERAL!$B$3:$B$954&amp;"",PERIPHERAL!$Y$3:$Y$954,""),"Utilities",_xlfn.XLOOKUP($K492&amp;"",UTILITIES!$B$3:$B$953&amp;"",UTILITIES!$O$3:$O$953,""),"IOT",_xlfn.XLOOKUP($K492&amp;"",IOT!$B$3:$B$1012&amp;"",IOT!$AB$3:$AB$1012,""),"Server",_xlfn.XLOOKUP($K492&amp;"",SERVER!$B$3:$B$1009&amp;"",SERVER!$AB$3:$AB$1009,""),""))))</f>
        <v/>
      </c>
      <c r="R492" s="43" t="str">
        <f>IF(tbl_handover[[#This Row],[Asset Code]]="","",COUNTIF(tbl_handover[Asset Code],tbl_handover[[#This Row],[Asset Code]]))</f>
        <v/>
      </c>
    </row>
    <row r="493" spans="1:18" x14ac:dyDescent="0.25">
      <c r="A493" s="43" t="str">
        <f>IF(B493&lt;&gt;"",SUBTOTAL(3,$B$1:B492),"")</f>
        <v/>
      </c>
      <c r="C493" s="74"/>
      <c r="D493" s="74"/>
      <c r="G493" s="1"/>
      <c r="K493" s="42"/>
      <c r="L493" t="str" cm="1">
        <f t="array" ref="L493">IF($K493="","",_xlfn.SWITCH($I493,"Computer",_xlfn.XLOOKUP($K493&amp;"",COMPUTER!$B$3:$B$1009&amp;"",COMPUTER!$I$3:$I$1009,""),"Display",_xlfn.XLOOKUP($K493&amp;"",DISPLAY!$B$3:$B$1000&amp;"",DISPLAY!$J$3:$J$1000,""),"Network Device",_xlfn.XLOOKUP($K493&amp;"",'NETWORK-DEVICES'!$B$3:$B$987&amp;"",'NETWORK-DEVICES'!$I$3:$I$987,""),"Peripheral",_xlfn.XLOOKUP($K493&amp;"",PERIPHERAL!$B$3:$B$954&amp;"",PERIPHERAL!$I$3:$I$954,""),"Utilities",_xlfn.XLOOKUP($K493&amp;"",UTILITIES!$B$3:$B$953&amp;"",UTILITIES!$H$3:$H$953,""),"IOT",_xlfn.XLOOKUP($K493&amp;"",IOT!$B$3:$B$1012&amp;"",IOT!$I$3:$I$1012,""),"SERVER",_xlfn.XLOOKUP($K493&amp;"",SERVER!$B$3:$B$1009&amp;"",SERVER!$I$3:$I$1009,""),""))</f>
        <v/>
      </c>
      <c r="M493" t="str" cm="1">
        <f t="array" ref="M493">IF($K493="","",_xlfn.SWITCH($I493,"Computer",_xlfn.XLOOKUP($K493&amp;"",COMPUTER!$B$3:$B$1009&amp;"",COMPUTER!$J$3:$J$1009,""),"Display",_xlfn.XLOOKUP($K493&amp;"",DISPLAY!$B$3:$B$1000&amp;"",DISPLAY!$K$3:$K$1000,""),"Network Device",_xlfn.XLOOKUP($K493&amp;"",'NETWORK-DEVICES'!$B$3:$B$987&amp;"",'NETWORK-DEVICES'!$I$3:$I$987,""),"Peripheral",_xlfn.XLOOKUP($K493&amp;"",PERIPHERAL!$B$3:$B$954&amp;"",PERIPHERAL!$J$3:$J$954,""),"Utilities",_xlfn.XLOOKUP($K493&amp;"",UTILITIES!$B$3:$B$953&amp;"",UTILITIES!$I$3:$I$953,""),"IOT",_xlfn.XLOOKUP($K493&amp;"",IOT!$B$3:$B$1012&amp;"",IOT!$J$3:$J$1012,""),"Server",_xlfn.XLOOKUP($K493&amp;"",SERVER!$B$3:$B$1009&amp;"",SERVER!$J$3:$J$1009,""),""))</f>
        <v/>
      </c>
      <c r="N493" s="1" t="str" cm="1">
        <f t="array" ref="N493">IF(OR($K493="",$I493="",$J493=""),"",_xlfn.LET(_xlpm.srcCat,_xlfn.SWITCH($I493,"Computer",_xlfn.XLOOKUP($K493&amp;"",COMPUTER!$B$3:$B$1009&amp;"",COMPUTER!$H$3:$H$1009,""),"Display",_xlfn.XLOOKUP($K493&amp;"",DISPLAY!$B$3:$B$1000&amp;"",DISPLAY!$H$3:$H$1000,""),"Network Device",_xlfn.XLOOKUP($K493&amp;"",'NETWORK-DEVICES'!$B$3:$B$987&amp;"",'NETWORK-DEVICES'!$H$3:$H$987,""),"Peripheral",_xlfn.XLOOKUP($K493&amp;"",PERIPHERAL!$B$3:$B$954&amp;"",PERIPHERAL!$H$3:$H$954,""),"Utilities",_xlfn.XLOOKUP($K493&amp;"",UTILITIES!$B$3:$B$953&amp;"",UTILITIES!$G$3:$G$953,""),"IOT",_xlfn.XLOOKUP($K493&amp;"",IOT!$B$3:$B$1012&amp;"",IOT!$H$3:$H$1012,""),"Server",_xlfn.XLOOKUP($K493&amp;"",SERVER!$B$3:$B$1009&amp;"",SERVER!$H$3:$H$1009,""),""),IF(TRIM(_xlpm.srcCat)&lt;&gt;TRIM($J493),"",_xlfn.SWITCH($I493,"Computer",_xlfn.XLOOKUP($K493&amp;"",COMPUTER!$B$3:$B$1009&amp;"",COMPUTER!$K$3:$K$1009,""),"Display",_xlfn.XLOOKUP($K493&amp;"",DISPLAY!$B$3:$B$1000&amp;"",DISPLAY!$L$3:$L$1000,""),"Network Device",_xlfn.XLOOKUP($K493&amp;"",'NETWORK-DEVICES'!$B$3:$B$987&amp;"",'NETWORK-DEVICES'!$K$3:$K$987,""),"Peripheral",_xlfn.XLOOKUP($K493&amp;"",PERIPHERAL!$B$3:$B$954&amp;"",PERIPHERAL!$K$3:$K$954,""),"Utilities",_xlfn.XLOOKUP($K493&amp;"",UTILITIES!$B$3:$B$953&amp;"",UTILITIES!$J$3:$J$953,""),"IOT",_xlfn.XLOOKUP($K493&amp;"",IOT!$B$3:$B$1012&amp;"",IOT!$K$4:$K$1012,""),"Server",_xlfn.XLOOKUP($K493&amp;"",SERVER!$B$3:$B$1009&amp;"",SERVER!$K$3:$K$1009,""),""))))</f>
        <v/>
      </c>
      <c r="O493" s="1" t="str" cm="1">
        <f t="array" ref="O493">IF(OR($K493="",$I493="",$J493=""),"",_xlfn.LET(_xlpm.srcCat,_xlfn.SWITCH($I493,"Computer",_xlfn.XLOOKUP($K493&amp;"",COMPUTER!$B$3:$B$1009&amp;"",COMPUTER!$H$3:$H$1009,""),"Display",_xlfn.XLOOKUP($K493&amp;"",DISPLAY!$B$3:$B$1000&amp;"",DISPLAY!$H$3:$H$1000,""),"Network Device",_xlfn.XLOOKUP($K493&amp;"",'NETWORK-DEVICES'!$B$3:$B$987&amp;"",'NETWORK-DEVICES'!$H$3:$H$987,""),"Peripheral",_xlfn.XLOOKUP($K493&amp;"",PERIPHERAL!$B$3:$B$954&amp;"",PERIPHERAL!$H$3:$H$954,""),"Utilities",_xlfn.XLOOKUP($K493&amp;"",UTILITIES!$B$3:$B$953&amp;"",UTILITIES!$G$3:$G$953,""),"IOT",_xlfn.XLOOKUP($K493&amp;"",IOT!$B$3:$B$1012&amp;"",IOT!$H$3:$H$1012,""),"Server",_xlfn.XLOOKUP($K493&amp;"",SERVER!$B$3:$B$1009&amp;"",SERVER!$H$3:$H$1009,""),""),IF(TRIM(_xlpm.srcCat)&lt;&gt;TRIM($J493),"",_xlfn.SWITCH($I493,"Computer",_xlfn.XLOOKUP($K493&amp;"",COMPUTER!$B$3:$B$1009&amp;"",COMPUTER!$E$3:$E$1009,""),"Display",_xlfn.XLOOKUP($K493&amp;"",DISPLAY!$B$3:$B$1000&amp;"",DISPLAY!$E$3:$E$1000,""),"Network Device",_xlfn.XLOOKUP($K493&amp;"",'NETWORK-DEVICES'!$B$3:$B$987&amp;"",'NETWORK-DEVICES'!$E$3:$E$987,""),"Peripheral",_xlfn.XLOOKUP($K493&amp;"",PERIPHERAL!$B$3:$B$954&amp;"",PERIPHERAL!$E$3:$E$954,""),"Utilities",_xlfn.XLOOKUP($K493&amp;"",UTILITIES!$B$3:$B$953&amp;"",UTILITIES!$E$3:$E$953,""),"IOT",_xlfn.XLOOKUP($K493&amp;"",IOT!$B$3:$B$1012&amp;"",IOT!$E$3:$E$1012,""),"Server",_xlfn.XLOOKUP($K493&amp;"",SERVER!$B$3:$B$1009&amp;"",SERVER!$E$3:$E$1009,""),""))))</f>
        <v/>
      </c>
      <c r="Q493" s="1" t="str" cm="1">
        <f t="array" ref="Q493">IF(OR($K493="",$I493="",$J493=""),"",_xlfn.LET(_xlpm.srcCat,_xlfn.SWITCH($I493,"Computer",_xlfn.XLOOKUP($K493&amp;"",COMPUTER!$B$3:$B$1009&amp;"",COMPUTER!$H$3:$H$1009,""),"Display",_xlfn.XLOOKUP($K493&amp;"",DISPLAY!$B$3:$B$1000&amp;"",DISPLAY!$H$3:$H$1000,""),"Network Device",_xlfn.XLOOKUP($K493&amp;"",'NETWORK-DEVICES'!$B$3:$B$987&amp;"",'NETWORK-DEVICES'!$H$3:$H$987,""),"Peripheral",_xlfn.XLOOKUP($K493&amp;"",PERIPHERAL!$B$3:$B$954&amp;"",PERIPHERAL!$H$3:$H$954,""),"Utilities",_xlfn.XLOOKUP($K493&amp;"",UTILITIES!$B$3:$B$953&amp;"",UTILITIES!$G$3:$G$953,""),"IOT",_xlfn.XLOOKUP($K493&amp;"",IOT!$B$3:$B$1012&amp;"",IOT!$H$3:$H$1012,""),"Server",_xlfn.XLOOKUP($K493&amp;"",SERVER!$B$3:$B$1009&amp;"",SERVER!$H$3:$H$1009,""),""),IF(TRIM(_xlpm.srcCat)&lt;&gt;TRIM($J493),"",_xlfn.SWITCH($I493,"Computer",_xlfn.XLOOKUP($K493&amp;"",COMPUTER!$B$3:$B$1009&amp;"",COMPUTER!$AM$3:$AM$1009,""),"Display",_xlfn.XLOOKUP($K493&amp;"",DISPLAY!$B$3:$B$1000&amp;"",DISPLAY!$V$3:$V$1000,""),"Network Device",_xlfn.XLOOKUP($K493&amp;"",'NETWORK-DEVICES'!$B$3:$B$987&amp;"",'NETWORK-DEVICES'!$AF$3:$AF$987,""),"Peripheral",_xlfn.XLOOKUP($K493&amp;"",PERIPHERAL!$B$3:$B$954&amp;"",PERIPHERAL!$Y$3:$Y$954,""),"Utilities",_xlfn.XLOOKUP($K493&amp;"",UTILITIES!$B$3:$B$953&amp;"",UTILITIES!$O$3:$O$953,""),"IOT",_xlfn.XLOOKUP($K493&amp;"",IOT!$B$3:$B$1012&amp;"",IOT!$AB$3:$AB$1012,""),"Server",_xlfn.XLOOKUP($K493&amp;"",SERVER!$B$3:$B$1009&amp;"",SERVER!$AB$3:$AB$1009,""),""))))</f>
        <v/>
      </c>
      <c r="R493" s="43" t="str">
        <f>IF(tbl_handover[[#This Row],[Asset Code]]="","",COUNTIF(tbl_handover[Asset Code],tbl_handover[[#This Row],[Asset Code]]))</f>
        <v/>
      </c>
    </row>
    <row r="494" spans="1:18" x14ac:dyDescent="0.25">
      <c r="A494" s="43" t="str">
        <f>IF(B494&lt;&gt;"",SUBTOTAL(3,$B$1:B493),"")</f>
        <v/>
      </c>
      <c r="C494" s="74"/>
      <c r="D494" s="74"/>
      <c r="G494" s="1"/>
      <c r="K494" s="42"/>
      <c r="L494" t="str" cm="1">
        <f t="array" ref="L494">IF($K494="","",_xlfn.SWITCH($I494,"Computer",_xlfn.XLOOKUP($K494&amp;"",COMPUTER!$B$3:$B$1009&amp;"",COMPUTER!$I$3:$I$1009,""),"Display",_xlfn.XLOOKUP($K494&amp;"",DISPLAY!$B$3:$B$1000&amp;"",DISPLAY!$J$3:$J$1000,""),"Network Device",_xlfn.XLOOKUP($K494&amp;"",'NETWORK-DEVICES'!$B$3:$B$987&amp;"",'NETWORK-DEVICES'!$I$3:$I$987,""),"Peripheral",_xlfn.XLOOKUP($K494&amp;"",PERIPHERAL!$B$3:$B$954&amp;"",PERIPHERAL!$I$3:$I$954,""),"Utilities",_xlfn.XLOOKUP($K494&amp;"",UTILITIES!$B$3:$B$953&amp;"",UTILITIES!$H$3:$H$953,""),"IOT",_xlfn.XLOOKUP($K494&amp;"",IOT!$B$3:$B$1012&amp;"",IOT!$I$3:$I$1012,""),"SERVER",_xlfn.XLOOKUP($K494&amp;"",SERVER!$B$3:$B$1009&amp;"",SERVER!$I$3:$I$1009,""),""))</f>
        <v/>
      </c>
      <c r="M494" t="str" cm="1">
        <f t="array" ref="M494">IF($K494="","",_xlfn.SWITCH($I494,"Computer",_xlfn.XLOOKUP($K494&amp;"",COMPUTER!$B$3:$B$1009&amp;"",COMPUTER!$J$3:$J$1009,""),"Display",_xlfn.XLOOKUP($K494&amp;"",DISPLAY!$B$3:$B$1000&amp;"",DISPLAY!$K$3:$K$1000,""),"Network Device",_xlfn.XLOOKUP($K494&amp;"",'NETWORK-DEVICES'!$B$3:$B$987&amp;"",'NETWORK-DEVICES'!$I$3:$I$987,""),"Peripheral",_xlfn.XLOOKUP($K494&amp;"",PERIPHERAL!$B$3:$B$954&amp;"",PERIPHERAL!$J$3:$J$954,""),"Utilities",_xlfn.XLOOKUP($K494&amp;"",UTILITIES!$B$3:$B$953&amp;"",UTILITIES!$I$3:$I$953,""),"IOT",_xlfn.XLOOKUP($K494&amp;"",IOT!$B$3:$B$1012&amp;"",IOT!$J$3:$J$1012,""),"Server",_xlfn.XLOOKUP($K494&amp;"",SERVER!$B$3:$B$1009&amp;"",SERVER!$J$3:$J$1009,""),""))</f>
        <v/>
      </c>
      <c r="N494" s="1" t="str" cm="1">
        <f t="array" ref="N494">IF(OR($K494="",$I494="",$J494=""),"",_xlfn.LET(_xlpm.srcCat,_xlfn.SWITCH($I494,"Computer",_xlfn.XLOOKUP($K494&amp;"",COMPUTER!$B$3:$B$1009&amp;"",COMPUTER!$H$3:$H$1009,""),"Display",_xlfn.XLOOKUP($K494&amp;"",DISPLAY!$B$3:$B$1000&amp;"",DISPLAY!$H$3:$H$1000,""),"Network Device",_xlfn.XLOOKUP($K494&amp;"",'NETWORK-DEVICES'!$B$3:$B$987&amp;"",'NETWORK-DEVICES'!$H$3:$H$987,""),"Peripheral",_xlfn.XLOOKUP($K494&amp;"",PERIPHERAL!$B$3:$B$954&amp;"",PERIPHERAL!$H$3:$H$954,""),"Utilities",_xlfn.XLOOKUP($K494&amp;"",UTILITIES!$B$3:$B$953&amp;"",UTILITIES!$G$3:$G$953,""),"IOT",_xlfn.XLOOKUP($K494&amp;"",IOT!$B$3:$B$1012&amp;"",IOT!$H$3:$H$1012,""),"Server",_xlfn.XLOOKUP($K494&amp;"",SERVER!$B$3:$B$1009&amp;"",SERVER!$H$3:$H$1009,""),""),IF(TRIM(_xlpm.srcCat)&lt;&gt;TRIM($J494),"",_xlfn.SWITCH($I494,"Computer",_xlfn.XLOOKUP($K494&amp;"",COMPUTER!$B$3:$B$1009&amp;"",COMPUTER!$K$3:$K$1009,""),"Display",_xlfn.XLOOKUP($K494&amp;"",DISPLAY!$B$3:$B$1000&amp;"",DISPLAY!$L$3:$L$1000,""),"Network Device",_xlfn.XLOOKUP($K494&amp;"",'NETWORK-DEVICES'!$B$3:$B$987&amp;"",'NETWORK-DEVICES'!$K$3:$K$987,""),"Peripheral",_xlfn.XLOOKUP($K494&amp;"",PERIPHERAL!$B$3:$B$954&amp;"",PERIPHERAL!$K$3:$K$954,""),"Utilities",_xlfn.XLOOKUP($K494&amp;"",UTILITIES!$B$3:$B$953&amp;"",UTILITIES!$J$3:$J$953,""),"IOT",_xlfn.XLOOKUP($K494&amp;"",IOT!$B$3:$B$1012&amp;"",IOT!$K$4:$K$1012,""),"Server",_xlfn.XLOOKUP($K494&amp;"",SERVER!$B$3:$B$1009&amp;"",SERVER!$K$3:$K$1009,""),""))))</f>
        <v/>
      </c>
      <c r="O494" s="1" t="str" cm="1">
        <f t="array" ref="O494">IF(OR($K494="",$I494="",$J494=""),"",_xlfn.LET(_xlpm.srcCat,_xlfn.SWITCH($I494,"Computer",_xlfn.XLOOKUP($K494&amp;"",COMPUTER!$B$3:$B$1009&amp;"",COMPUTER!$H$3:$H$1009,""),"Display",_xlfn.XLOOKUP($K494&amp;"",DISPLAY!$B$3:$B$1000&amp;"",DISPLAY!$H$3:$H$1000,""),"Network Device",_xlfn.XLOOKUP($K494&amp;"",'NETWORK-DEVICES'!$B$3:$B$987&amp;"",'NETWORK-DEVICES'!$H$3:$H$987,""),"Peripheral",_xlfn.XLOOKUP($K494&amp;"",PERIPHERAL!$B$3:$B$954&amp;"",PERIPHERAL!$H$3:$H$954,""),"Utilities",_xlfn.XLOOKUP($K494&amp;"",UTILITIES!$B$3:$B$953&amp;"",UTILITIES!$G$3:$G$953,""),"IOT",_xlfn.XLOOKUP($K494&amp;"",IOT!$B$3:$B$1012&amp;"",IOT!$H$3:$H$1012,""),"Server",_xlfn.XLOOKUP($K494&amp;"",SERVER!$B$3:$B$1009&amp;"",SERVER!$H$3:$H$1009,""),""),IF(TRIM(_xlpm.srcCat)&lt;&gt;TRIM($J494),"",_xlfn.SWITCH($I494,"Computer",_xlfn.XLOOKUP($K494&amp;"",COMPUTER!$B$3:$B$1009&amp;"",COMPUTER!$E$3:$E$1009,""),"Display",_xlfn.XLOOKUP($K494&amp;"",DISPLAY!$B$3:$B$1000&amp;"",DISPLAY!$E$3:$E$1000,""),"Network Device",_xlfn.XLOOKUP($K494&amp;"",'NETWORK-DEVICES'!$B$3:$B$987&amp;"",'NETWORK-DEVICES'!$E$3:$E$987,""),"Peripheral",_xlfn.XLOOKUP($K494&amp;"",PERIPHERAL!$B$3:$B$954&amp;"",PERIPHERAL!$E$3:$E$954,""),"Utilities",_xlfn.XLOOKUP($K494&amp;"",UTILITIES!$B$3:$B$953&amp;"",UTILITIES!$E$3:$E$953,""),"IOT",_xlfn.XLOOKUP($K494&amp;"",IOT!$B$3:$B$1012&amp;"",IOT!$E$3:$E$1012,""),"Server",_xlfn.XLOOKUP($K494&amp;"",SERVER!$B$3:$B$1009&amp;"",SERVER!$E$3:$E$1009,""),""))))</f>
        <v/>
      </c>
      <c r="Q494" s="1" t="str" cm="1">
        <f t="array" ref="Q494">IF(OR($K494="",$I494="",$J494=""),"",_xlfn.LET(_xlpm.srcCat,_xlfn.SWITCH($I494,"Computer",_xlfn.XLOOKUP($K494&amp;"",COMPUTER!$B$3:$B$1009&amp;"",COMPUTER!$H$3:$H$1009,""),"Display",_xlfn.XLOOKUP($K494&amp;"",DISPLAY!$B$3:$B$1000&amp;"",DISPLAY!$H$3:$H$1000,""),"Network Device",_xlfn.XLOOKUP($K494&amp;"",'NETWORK-DEVICES'!$B$3:$B$987&amp;"",'NETWORK-DEVICES'!$H$3:$H$987,""),"Peripheral",_xlfn.XLOOKUP($K494&amp;"",PERIPHERAL!$B$3:$B$954&amp;"",PERIPHERAL!$H$3:$H$954,""),"Utilities",_xlfn.XLOOKUP($K494&amp;"",UTILITIES!$B$3:$B$953&amp;"",UTILITIES!$G$3:$G$953,""),"IOT",_xlfn.XLOOKUP($K494&amp;"",IOT!$B$3:$B$1012&amp;"",IOT!$H$3:$H$1012,""),"Server",_xlfn.XLOOKUP($K494&amp;"",SERVER!$B$3:$B$1009&amp;"",SERVER!$H$3:$H$1009,""),""),IF(TRIM(_xlpm.srcCat)&lt;&gt;TRIM($J494),"",_xlfn.SWITCH($I494,"Computer",_xlfn.XLOOKUP($K494&amp;"",COMPUTER!$B$3:$B$1009&amp;"",COMPUTER!$AM$3:$AM$1009,""),"Display",_xlfn.XLOOKUP($K494&amp;"",DISPLAY!$B$3:$B$1000&amp;"",DISPLAY!$V$3:$V$1000,""),"Network Device",_xlfn.XLOOKUP($K494&amp;"",'NETWORK-DEVICES'!$B$3:$B$987&amp;"",'NETWORK-DEVICES'!$AF$3:$AF$987,""),"Peripheral",_xlfn.XLOOKUP($K494&amp;"",PERIPHERAL!$B$3:$B$954&amp;"",PERIPHERAL!$Y$3:$Y$954,""),"Utilities",_xlfn.XLOOKUP($K494&amp;"",UTILITIES!$B$3:$B$953&amp;"",UTILITIES!$O$3:$O$953,""),"IOT",_xlfn.XLOOKUP($K494&amp;"",IOT!$B$3:$B$1012&amp;"",IOT!$AB$3:$AB$1012,""),"Server",_xlfn.XLOOKUP($K494&amp;"",SERVER!$B$3:$B$1009&amp;"",SERVER!$AB$3:$AB$1009,""),""))))</f>
        <v/>
      </c>
      <c r="R494" s="43" t="str">
        <f>IF(tbl_handover[[#This Row],[Asset Code]]="","",COUNTIF(tbl_handover[Asset Code],tbl_handover[[#This Row],[Asset Code]]))</f>
        <v/>
      </c>
    </row>
    <row r="495" spans="1:18" x14ac:dyDescent="0.25">
      <c r="A495" s="43" t="str">
        <f>IF(B495&lt;&gt;"",SUBTOTAL(3,$B$1:B494),"")</f>
        <v/>
      </c>
      <c r="C495" s="74"/>
      <c r="D495" s="74"/>
      <c r="G495" s="1"/>
      <c r="K495" s="42"/>
      <c r="L495" t="str" cm="1">
        <f t="array" ref="L495">IF($K495="","",_xlfn.SWITCH($I495,"Computer",_xlfn.XLOOKUP($K495&amp;"",COMPUTER!$B$3:$B$1009&amp;"",COMPUTER!$I$3:$I$1009,""),"Display",_xlfn.XLOOKUP($K495&amp;"",DISPLAY!$B$3:$B$1000&amp;"",DISPLAY!$J$3:$J$1000,""),"Network Device",_xlfn.XLOOKUP($K495&amp;"",'NETWORK-DEVICES'!$B$3:$B$987&amp;"",'NETWORK-DEVICES'!$I$3:$I$987,""),"Peripheral",_xlfn.XLOOKUP($K495&amp;"",PERIPHERAL!$B$3:$B$954&amp;"",PERIPHERAL!$I$3:$I$954,""),"Utilities",_xlfn.XLOOKUP($K495&amp;"",UTILITIES!$B$3:$B$953&amp;"",UTILITIES!$H$3:$H$953,""),"IOT",_xlfn.XLOOKUP($K495&amp;"",IOT!$B$3:$B$1012&amp;"",IOT!$I$3:$I$1012,""),"SERVER",_xlfn.XLOOKUP($K495&amp;"",SERVER!$B$3:$B$1009&amp;"",SERVER!$I$3:$I$1009,""),""))</f>
        <v/>
      </c>
      <c r="M495" t="str" cm="1">
        <f t="array" ref="M495">IF($K495="","",_xlfn.SWITCH($I495,"Computer",_xlfn.XLOOKUP($K495&amp;"",COMPUTER!$B$3:$B$1009&amp;"",COMPUTER!$J$3:$J$1009,""),"Display",_xlfn.XLOOKUP($K495&amp;"",DISPLAY!$B$3:$B$1000&amp;"",DISPLAY!$K$3:$K$1000,""),"Network Device",_xlfn.XLOOKUP($K495&amp;"",'NETWORK-DEVICES'!$B$3:$B$987&amp;"",'NETWORK-DEVICES'!$I$3:$I$987,""),"Peripheral",_xlfn.XLOOKUP($K495&amp;"",PERIPHERAL!$B$3:$B$954&amp;"",PERIPHERAL!$J$3:$J$954,""),"Utilities",_xlfn.XLOOKUP($K495&amp;"",UTILITIES!$B$3:$B$953&amp;"",UTILITIES!$I$3:$I$953,""),"IOT",_xlfn.XLOOKUP($K495&amp;"",IOT!$B$3:$B$1012&amp;"",IOT!$J$3:$J$1012,""),"Server",_xlfn.XLOOKUP($K495&amp;"",SERVER!$B$3:$B$1009&amp;"",SERVER!$J$3:$J$1009,""),""))</f>
        <v/>
      </c>
      <c r="N495" s="1" t="str" cm="1">
        <f t="array" ref="N495">IF(OR($K495="",$I495="",$J495=""),"",_xlfn.LET(_xlpm.srcCat,_xlfn.SWITCH($I495,"Computer",_xlfn.XLOOKUP($K495&amp;"",COMPUTER!$B$3:$B$1009&amp;"",COMPUTER!$H$3:$H$1009,""),"Display",_xlfn.XLOOKUP($K495&amp;"",DISPLAY!$B$3:$B$1000&amp;"",DISPLAY!$H$3:$H$1000,""),"Network Device",_xlfn.XLOOKUP($K495&amp;"",'NETWORK-DEVICES'!$B$3:$B$987&amp;"",'NETWORK-DEVICES'!$H$3:$H$987,""),"Peripheral",_xlfn.XLOOKUP($K495&amp;"",PERIPHERAL!$B$3:$B$954&amp;"",PERIPHERAL!$H$3:$H$954,""),"Utilities",_xlfn.XLOOKUP($K495&amp;"",UTILITIES!$B$3:$B$953&amp;"",UTILITIES!$G$3:$G$953,""),"IOT",_xlfn.XLOOKUP($K495&amp;"",IOT!$B$3:$B$1012&amp;"",IOT!$H$3:$H$1012,""),"Server",_xlfn.XLOOKUP($K495&amp;"",SERVER!$B$3:$B$1009&amp;"",SERVER!$H$3:$H$1009,""),""),IF(TRIM(_xlpm.srcCat)&lt;&gt;TRIM($J495),"",_xlfn.SWITCH($I495,"Computer",_xlfn.XLOOKUP($K495&amp;"",COMPUTER!$B$3:$B$1009&amp;"",COMPUTER!$K$3:$K$1009,""),"Display",_xlfn.XLOOKUP($K495&amp;"",DISPLAY!$B$3:$B$1000&amp;"",DISPLAY!$L$3:$L$1000,""),"Network Device",_xlfn.XLOOKUP($K495&amp;"",'NETWORK-DEVICES'!$B$3:$B$987&amp;"",'NETWORK-DEVICES'!$K$3:$K$987,""),"Peripheral",_xlfn.XLOOKUP($K495&amp;"",PERIPHERAL!$B$3:$B$954&amp;"",PERIPHERAL!$K$3:$K$954,""),"Utilities",_xlfn.XLOOKUP($K495&amp;"",UTILITIES!$B$3:$B$953&amp;"",UTILITIES!$J$3:$J$953,""),"IOT",_xlfn.XLOOKUP($K495&amp;"",IOT!$B$3:$B$1012&amp;"",IOT!$K$4:$K$1012,""),"Server",_xlfn.XLOOKUP($K495&amp;"",SERVER!$B$3:$B$1009&amp;"",SERVER!$K$3:$K$1009,""),""))))</f>
        <v/>
      </c>
      <c r="O495" s="1" t="str" cm="1">
        <f t="array" ref="O495">IF(OR($K495="",$I495="",$J495=""),"",_xlfn.LET(_xlpm.srcCat,_xlfn.SWITCH($I495,"Computer",_xlfn.XLOOKUP($K495&amp;"",COMPUTER!$B$3:$B$1009&amp;"",COMPUTER!$H$3:$H$1009,""),"Display",_xlfn.XLOOKUP($K495&amp;"",DISPLAY!$B$3:$B$1000&amp;"",DISPLAY!$H$3:$H$1000,""),"Network Device",_xlfn.XLOOKUP($K495&amp;"",'NETWORK-DEVICES'!$B$3:$B$987&amp;"",'NETWORK-DEVICES'!$H$3:$H$987,""),"Peripheral",_xlfn.XLOOKUP($K495&amp;"",PERIPHERAL!$B$3:$B$954&amp;"",PERIPHERAL!$H$3:$H$954,""),"Utilities",_xlfn.XLOOKUP($K495&amp;"",UTILITIES!$B$3:$B$953&amp;"",UTILITIES!$G$3:$G$953,""),"IOT",_xlfn.XLOOKUP($K495&amp;"",IOT!$B$3:$B$1012&amp;"",IOT!$H$3:$H$1012,""),"Server",_xlfn.XLOOKUP($K495&amp;"",SERVER!$B$3:$B$1009&amp;"",SERVER!$H$3:$H$1009,""),""),IF(TRIM(_xlpm.srcCat)&lt;&gt;TRIM($J495),"",_xlfn.SWITCH($I495,"Computer",_xlfn.XLOOKUP($K495&amp;"",COMPUTER!$B$3:$B$1009&amp;"",COMPUTER!$E$3:$E$1009,""),"Display",_xlfn.XLOOKUP($K495&amp;"",DISPLAY!$B$3:$B$1000&amp;"",DISPLAY!$E$3:$E$1000,""),"Network Device",_xlfn.XLOOKUP($K495&amp;"",'NETWORK-DEVICES'!$B$3:$B$987&amp;"",'NETWORK-DEVICES'!$E$3:$E$987,""),"Peripheral",_xlfn.XLOOKUP($K495&amp;"",PERIPHERAL!$B$3:$B$954&amp;"",PERIPHERAL!$E$3:$E$954,""),"Utilities",_xlfn.XLOOKUP($K495&amp;"",UTILITIES!$B$3:$B$953&amp;"",UTILITIES!$E$3:$E$953,""),"IOT",_xlfn.XLOOKUP($K495&amp;"",IOT!$B$3:$B$1012&amp;"",IOT!$E$3:$E$1012,""),"Server",_xlfn.XLOOKUP($K495&amp;"",SERVER!$B$3:$B$1009&amp;"",SERVER!$E$3:$E$1009,""),""))))</f>
        <v/>
      </c>
      <c r="Q495" s="1" t="str" cm="1">
        <f t="array" ref="Q495">IF(OR($K495="",$I495="",$J495=""),"",_xlfn.LET(_xlpm.srcCat,_xlfn.SWITCH($I495,"Computer",_xlfn.XLOOKUP($K495&amp;"",COMPUTER!$B$3:$B$1009&amp;"",COMPUTER!$H$3:$H$1009,""),"Display",_xlfn.XLOOKUP($K495&amp;"",DISPLAY!$B$3:$B$1000&amp;"",DISPLAY!$H$3:$H$1000,""),"Network Device",_xlfn.XLOOKUP($K495&amp;"",'NETWORK-DEVICES'!$B$3:$B$987&amp;"",'NETWORK-DEVICES'!$H$3:$H$987,""),"Peripheral",_xlfn.XLOOKUP($K495&amp;"",PERIPHERAL!$B$3:$B$954&amp;"",PERIPHERAL!$H$3:$H$954,""),"Utilities",_xlfn.XLOOKUP($K495&amp;"",UTILITIES!$B$3:$B$953&amp;"",UTILITIES!$G$3:$G$953,""),"IOT",_xlfn.XLOOKUP($K495&amp;"",IOT!$B$3:$B$1012&amp;"",IOT!$H$3:$H$1012,""),"Server",_xlfn.XLOOKUP($K495&amp;"",SERVER!$B$3:$B$1009&amp;"",SERVER!$H$3:$H$1009,""),""),IF(TRIM(_xlpm.srcCat)&lt;&gt;TRIM($J495),"",_xlfn.SWITCH($I495,"Computer",_xlfn.XLOOKUP($K495&amp;"",COMPUTER!$B$3:$B$1009&amp;"",COMPUTER!$AM$3:$AM$1009,""),"Display",_xlfn.XLOOKUP($K495&amp;"",DISPLAY!$B$3:$B$1000&amp;"",DISPLAY!$V$3:$V$1000,""),"Network Device",_xlfn.XLOOKUP($K495&amp;"",'NETWORK-DEVICES'!$B$3:$B$987&amp;"",'NETWORK-DEVICES'!$AF$3:$AF$987,""),"Peripheral",_xlfn.XLOOKUP($K495&amp;"",PERIPHERAL!$B$3:$B$954&amp;"",PERIPHERAL!$Y$3:$Y$954,""),"Utilities",_xlfn.XLOOKUP($K495&amp;"",UTILITIES!$B$3:$B$953&amp;"",UTILITIES!$O$3:$O$953,""),"IOT",_xlfn.XLOOKUP($K495&amp;"",IOT!$B$3:$B$1012&amp;"",IOT!$AB$3:$AB$1012,""),"Server",_xlfn.XLOOKUP($K495&amp;"",SERVER!$B$3:$B$1009&amp;"",SERVER!$AB$3:$AB$1009,""),""))))</f>
        <v/>
      </c>
      <c r="R495" s="43" t="str">
        <f>IF(tbl_handover[[#This Row],[Asset Code]]="","",COUNTIF(tbl_handover[Asset Code],tbl_handover[[#This Row],[Asset Code]]))</f>
        <v/>
      </c>
    </row>
    <row r="496" spans="1:18" x14ac:dyDescent="0.25">
      <c r="A496" s="43" t="str">
        <f>IF(B496&lt;&gt;"",SUBTOTAL(3,$B$1:B495),"")</f>
        <v/>
      </c>
      <c r="C496" s="74"/>
      <c r="D496" s="74"/>
      <c r="G496" s="1"/>
      <c r="K496" s="42"/>
      <c r="L496" t="str" cm="1">
        <f t="array" ref="L496">IF($K496="","",_xlfn.SWITCH($I496,"Computer",_xlfn.XLOOKUP($K496&amp;"",COMPUTER!$B$3:$B$1009&amp;"",COMPUTER!$I$3:$I$1009,""),"Display",_xlfn.XLOOKUP($K496&amp;"",DISPLAY!$B$3:$B$1000&amp;"",DISPLAY!$J$3:$J$1000,""),"Network Device",_xlfn.XLOOKUP($K496&amp;"",'NETWORK-DEVICES'!$B$3:$B$987&amp;"",'NETWORK-DEVICES'!$I$3:$I$987,""),"Peripheral",_xlfn.XLOOKUP($K496&amp;"",PERIPHERAL!$B$3:$B$954&amp;"",PERIPHERAL!$I$3:$I$954,""),"Utilities",_xlfn.XLOOKUP($K496&amp;"",UTILITIES!$B$3:$B$953&amp;"",UTILITIES!$H$3:$H$953,""),"IOT",_xlfn.XLOOKUP($K496&amp;"",IOT!$B$3:$B$1012&amp;"",IOT!$I$3:$I$1012,""),"SERVER",_xlfn.XLOOKUP($K496&amp;"",SERVER!$B$3:$B$1009&amp;"",SERVER!$I$3:$I$1009,""),""))</f>
        <v/>
      </c>
      <c r="M496" t="str" cm="1">
        <f t="array" ref="M496">IF($K496="","",_xlfn.SWITCH($I496,"Computer",_xlfn.XLOOKUP($K496&amp;"",COMPUTER!$B$3:$B$1009&amp;"",COMPUTER!$J$3:$J$1009,""),"Display",_xlfn.XLOOKUP($K496&amp;"",DISPLAY!$B$3:$B$1000&amp;"",DISPLAY!$K$3:$K$1000,""),"Network Device",_xlfn.XLOOKUP($K496&amp;"",'NETWORK-DEVICES'!$B$3:$B$987&amp;"",'NETWORK-DEVICES'!$I$3:$I$987,""),"Peripheral",_xlfn.XLOOKUP($K496&amp;"",PERIPHERAL!$B$3:$B$954&amp;"",PERIPHERAL!$J$3:$J$954,""),"Utilities",_xlfn.XLOOKUP($K496&amp;"",UTILITIES!$B$3:$B$953&amp;"",UTILITIES!$I$3:$I$953,""),"IOT",_xlfn.XLOOKUP($K496&amp;"",IOT!$B$3:$B$1012&amp;"",IOT!$J$3:$J$1012,""),"Server",_xlfn.XLOOKUP($K496&amp;"",SERVER!$B$3:$B$1009&amp;"",SERVER!$J$3:$J$1009,""),""))</f>
        <v/>
      </c>
      <c r="N496" s="1" t="str" cm="1">
        <f t="array" ref="N496">IF(OR($K496="",$I496="",$J496=""),"",_xlfn.LET(_xlpm.srcCat,_xlfn.SWITCH($I496,"Computer",_xlfn.XLOOKUP($K496&amp;"",COMPUTER!$B$3:$B$1009&amp;"",COMPUTER!$H$3:$H$1009,""),"Display",_xlfn.XLOOKUP($K496&amp;"",DISPLAY!$B$3:$B$1000&amp;"",DISPLAY!$H$3:$H$1000,""),"Network Device",_xlfn.XLOOKUP($K496&amp;"",'NETWORK-DEVICES'!$B$3:$B$987&amp;"",'NETWORK-DEVICES'!$H$3:$H$987,""),"Peripheral",_xlfn.XLOOKUP($K496&amp;"",PERIPHERAL!$B$3:$B$954&amp;"",PERIPHERAL!$H$3:$H$954,""),"Utilities",_xlfn.XLOOKUP($K496&amp;"",UTILITIES!$B$3:$B$953&amp;"",UTILITIES!$G$3:$G$953,""),"IOT",_xlfn.XLOOKUP($K496&amp;"",IOT!$B$3:$B$1012&amp;"",IOT!$H$3:$H$1012,""),"Server",_xlfn.XLOOKUP($K496&amp;"",SERVER!$B$3:$B$1009&amp;"",SERVER!$H$3:$H$1009,""),""),IF(TRIM(_xlpm.srcCat)&lt;&gt;TRIM($J496),"",_xlfn.SWITCH($I496,"Computer",_xlfn.XLOOKUP($K496&amp;"",COMPUTER!$B$3:$B$1009&amp;"",COMPUTER!$K$3:$K$1009,""),"Display",_xlfn.XLOOKUP($K496&amp;"",DISPLAY!$B$3:$B$1000&amp;"",DISPLAY!$L$3:$L$1000,""),"Network Device",_xlfn.XLOOKUP($K496&amp;"",'NETWORK-DEVICES'!$B$3:$B$987&amp;"",'NETWORK-DEVICES'!$K$3:$K$987,""),"Peripheral",_xlfn.XLOOKUP($K496&amp;"",PERIPHERAL!$B$3:$B$954&amp;"",PERIPHERAL!$K$3:$K$954,""),"Utilities",_xlfn.XLOOKUP($K496&amp;"",UTILITIES!$B$3:$B$953&amp;"",UTILITIES!$J$3:$J$953,""),"IOT",_xlfn.XLOOKUP($K496&amp;"",IOT!$B$3:$B$1012&amp;"",IOT!$K$4:$K$1012,""),"Server",_xlfn.XLOOKUP($K496&amp;"",SERVER!$B$3:$B$1009&amp;"",SERVER!$K$3:$K$1009,""),""))))</f>
        <v/>
      </c>
      <c r="O496" s="1" t="str" cm="1">
        <f t="array" ref="O496">IF(OR($K496="",$I496="",$J496=""),"",_xlfn.LET(_xlpm.srcCat,_xlfn.SWITCH($I496,"Computer",_xlfn.XLOOKUP($K496&amp;"",COMPUTER!$B$3:$B$1009&amp;"",COMPUTER!$H$3:$H$1009,""),"Display",_xlfn.XLOOKUP($K496&amp;"",DISPLAY!$B$3:$B$1000&amp;"",DISPLAY!$H$3:$H$1000,""),"Network Device",_xlfn.XLOOKUP($K496&amp;"",'NETWORK-DEVICES'!$B$3:$B$987&amp;"",'NETWORK-DEVICES'!$H$3:$H$987,""),"Peripheral",_xlfn.XLOOKUP($K496&amp;"",PERIPHERAL!$B$3:$B$954&amp;"",PERIPHERAL!$H$3:$H$954,""),"Utilities",_xlfn.XLOOKUP($K496&amp;"",UTILITIES!$B$3:$B$953&amp;"",UTILITIES!$G$3:$G$953,""),"IOT",_xlfn.XLOOKUP($K496&amp;"",IOT!$B$3:$B$1012&amp;"",IOT!$H$3:$H$1012,""),"Server",_xlfn.XLOOKUP($K496&amp;"",SERVER!$B$3:$B$1009&amp;"",SERVER!$H$3:$H$1009,""),""),IF(TRIM(_xlpm.srcCat)&lt;&gt;TRIM($J496),"",_xlfn.SWITCH($I496,"Computer",_xlfn.XLOOKUP($K496&amp;"",COMPUTER!$B$3:$B$1009&amp;"",COMPUTER!$E$3:$E$1009,""),"Display",_xlfn.XLOOKUP($K496&amp;"",DISPLAY!$B$3:$B$1000&amp;"",DISPLAY!$E$3:$E$1000,""),"Network Device",_xlfn.XLOOKUP($K496&amp;"",'NETWORK-DEVICES'!$B$3:$B$987&amp;"",'NETWORK-DEVICES'!$E$3:$E$987,""),"Peripheral",_xlfn.XLOOKUP($K496&amp;"",PERIPHERAL!$B$3:$B$954&amp;"",PERIPHERAL!$E$3:$E$954,""),"Utilities",_xlfn.XLOOKUP($K496&amp;"",UTILITIES!$B$3:$B$953&amp;"",UTILITIES!$E$3:$E$953,""),"IOT",_xlfn.XLOOKUP($K496&amp;"",IOT!$B$3:$B$1012&amp;"",IOT!$E$3:$E$1012,""),"Server",_xlfn.XLOOKUP($K496&amp;"",SERVER!$B$3:$B$1009&amp;"",SERVER!$E$3:$E$1009,""),""))))</f>
        <v/>
      </c>
      <c r="Q496" s="1" t="str" cm="1">
        <f t="array" ref="Q496">IF(OR($K496="",$I496="",$J496=""),"",_xlfn.LET(_xlpm.srcCat,_xlfn.SWITCH($I496,"Computer",_xlfn.XLOOKUP($K496&amp;"",COMPUTER!$B$3:$B$1009&amp;"",COMPUTER!$H$3:$H$1009,""),"Display",_xlfn.XLOOKUP($K496&amp;"",DISPLAY!$B$3:$B$1000&amp;"",DISPLAY!$H$3:$H$1000,""),"Network Device",_xlfn.XLOOKUP($K496&amp;"",'NETWORK-DEVICES'!$B$3:$B$987&amp;"",'NETWORK-DEVICES'!$H$3:$H$987,""),"Peripheral",_xlfn.XLOOKUP($K496&amp;"",PERIPHERAL!$B$3:$B$954&amp;"",PERIPHERAL!$H$3:$H$954,""),"Utilities",_xlfn.XLOOKUP($K496&amp;"",UTILITIES!$B$3:$B$953&amp;"",UTILITIES!$G$3:$G$953,""),"IOT",_xlfn.XLOOKUP($K496&amp;"",IOT!$B$3:$B$1012&amp;"",IOT!$H$3:$H$1012,""),"Server",_xlfn.XLOOKUP($K496&amp;"",SERVER!$B$3:$B$1009&amp;"",SERVER!$H$3:$H$1009,""),""),IF(TRIM(_xlpm.srcCat)&lt;&gt;TRIM($J496),"",_xlfn.SWITCH($I496,"Computer",_xlfn.XLOOKUP($K496&amp;"",COMPUTER!$B$3:$B$1009&amp;"",COMPUTER!$AM$3:$AM$1009,""),"Display",_xlfn.XLOOKUP($K496&amp;"",DISPLAY!$B$3:$B$1000&amp;"",DISPLAY!$V$3:$V$1000,""),"Network Device",_xlfn.XLOOKUP($K496&amp;"",'NETWORK-DEVICES'!$B$3:$B$987&amp;"",'NETWORK-DEVICES'!$AF$3:$AF$987,""),"Peripheral",_xlfn.XLOOKUP($K496&amp;"",PERIPHERAL!$B$3:$B$954&amp;"",PERIPHERAL!$Y$3:$Y$954,""),"Utilities",_xlfn.XLOOKUP($K496&amp;"",UTILITIES!$B$3:$B$953&amp;"",UTILITIES!$O$3:$O$953,""),"IOT",_xlfn.XLOOKUP($K496&amp;"",IOT!$B$3:$B$1012&amp;"",IOT!$AB$3:$AB$1012,""),"Server",_xlfn.XLOOKUP($K496&amp;"",SERVER!$B$3:$B$1009&amp;"",SERVER!$AB$3:$AB$1009,""),""))))</f>
        <v/>
      </c>
      <c r="R496" s="43" t="str">
        <f>IF(tbl_handover[[#This Row],[Asset Code]]="","",COUNTIF(tbl_handover[Asset Code],tbl_handover[[#This Row],[Asset Code]]))</f>
        <v/>
      </c>
    </row>
    <row r="497" spans="1:18" x14ac:dyDescent="0.25">
      <c r="A497" s="43" t="str">
        <f>IF(B497&lt;&gt;"",SUBTOTAL(3,$B$1:B496),"")</f>
        <v/>
      </c>
      <c r="C497" s="74"/>
      <c r="D497" s="74"/>
      <c r="G497" s="1"/>
      <c r="K497" s="42"/>
      <c r="L497" t="str" cm="1">
        <f t="array" ref="L497">IF($K497="","",_xlfn.SWITCH($I497,"Computer",_xlfn.XLOOKUP($K497&amp;"",COMPUTER!$B$3:$B$1009&amp;"",COMPUTER!$I$3:$I$1009,""),"Display",_xlfn.XLOOKUP($K497&amp;"",DISPLAY!$B$3:$B$1000&amp;"",DISPLAY!$J$3:$J$1000,""),"Network Device",_xlfn.XLOOKUP($K497&amp;"",'NETWORK-DEVICES'!$B$3:$B$987&amp;"",'NETWORK-DEVICES'!$I$3:$I$987,""),"Peripheral",_xlfn.XLOOKUP($K497&amp;"",PERIPHERAL!$B$3:$B$954&amp;"",PERIPHERAL!$I$3:$I$954,""),"Utilities",_xlfn.XLOOKUP($K497&amp;"",UTILITIES!$B$3:$B$953&amp;"",UTILITIES!$H$3:$H$953,""),"IOT",_xlfn.XLOOKUP($K497&amp;"",IOT!$B$3:$B$1012&amp;"",IOT!$I$3:$I$1012,""),"SERVER",_xlfn.XLOOKUP($K497&amp;"",SERVER!$B$3:$B$1009&amp;"",SERVER!$I$3:$I$1009,""),""))</f>
        <v/>
      </c>
      <c r="M497" t="str" cm="1">
        <f t="array" ref="M497">IF($K497="","",_xlfn.SWITCH($I497,"Computer",_xlfn.XLOOKUP($K497&amp;"",COMPUTER!$B$3:$B$1009&amp;"",COMPUTER!$J$3:$J$1009,""),"Display",_xlfn.XLOOKUP($K497&amp;"",DISPLAY!$B$3:$B$1000&amp;"",DISPLAY!$K$3:$K$1000,""),"Network Device",_xlfn.XLOOKUP($K497&amp;"",'NETWORK-DEVICES'!$B$3:$B$987&amp;"",'NETWORK-DEVICES'!$I$3:$I$987,""),"Peripheral",_xlfn.XLOOKUP($K497&amp;"",PERIPHERAL!$B$3:$B$954&amp;"",PERIPHERAL!$J$3:$J$954,""),"Utilities",_xlfn.XLOOKUP($K497&amp;"",UTILITIES!$B$3:$B$953&amp;"",UTILITIES!$I$3:$I$953,""),"IOT",_xlfn.XLOOKUP($K497&amp;"",IOT!$B$3:$B$1012&amp;"",IOT!$J$3:$J$1012,""),"Server",_xlfn.XLOOKUP($K497&amp;"",SERVER!$B$3:$B$1009&amp;"",SERVER!$J$3:$J$1009,""),""))</f>
        <v/>
      </c>
      <c r="N497" s="1" t="str" cm="1">
        <f t="array" ref="N497">IF(OR($K497="",$I497="",$J497=""),"",_xlfn.LET(_xlpm.srcCat,_xlfn.SWITCH($I497,"Computer",_xlfn.XLOOKUP($K497&amp;"",COMPUTER!$B$3:$B$1009&amp;"",COMPUTER!$H$3:$H$1009,""),"Display",_xlfn.XLOOKUP($K497&amp;"",DISPLAY!$B$3:$B$1000&amp;"",DISPLAY!$H$3:$H$1000,""),"Network Device",_xlfn.XLOOKUP($K497&amp;"",'NETWORK-DEVICES'!$B$3:$B$987&amp;"",'NETWORK-DEVICES'!$H$3:$H$987,""),"Peripheral",_xlfn.XLOOKUP($K497&amp;"",PERIPHERAL!$B$3:$B$954&amp;"",PERIPHERAL!$H$3:$H$954,""),"Utilities",_xlfn.XLOOKUP($K497&amp;"",UTILITIES!$B$3:$B$953&amp;"",UTILITIES!$G$3:$G$953,""),"IOT",_xlfn.XLOOKUP($K497&amp;"",IOT!$B$3:$B$1012&amp;"",IOT!$H$3:$H$1012,""),"Server",_xlfn.XLOOKUP($K497&amp;"",SERVER!$B$3:$B$1009&amp;"",SERVER!$H$3:$H$1009,""),""),IF(TRIM(_xlpm.srcCat)&lt;&gt;TRIM($J497),"",_xlfn.SWITCH($I497,"Computer",_xlfn.XLOOKUP($K497&amp;"",COMPUTER!$B$3:$B$1009&amp;"",COMPUTER!$K$3:$K$1009,""),"Display",_xlfn.XLOOKUP($K497&amp;"",DISPLAY!$B$3:$B$1000&amp;"",DISPLAY!$L$3:$L$1000,""),"Network Device",_xlfn.XLOOKUP($K497&amp;"",'NETWORK-DEVICES'!$B$3:$B$987&amp;"",'NETWORK-DEVICES'!$K$3:$K$987,""),"Peripheral",_xlfn.XLOOKUP($K497&amp;"",PERIPHERAL!$B$3:$B$954&amp;"",PERIPHERAL!$K$3:$K$954,""),"Utilities",_xlfn.XLOOKUP($K497&amp;"",UTILITIES!$B$3:$B$953&amp;"",UTILITIES!$J$3:$J$953,""),"IOT",_xlfn.XLOOKUP($K497&amp;"",IOT!$B$3:$B$1012&amp;"",IOT!$K$4:$K$1012,""),"Server",_xlfn.XLOOKUP($K497&amp;"",SERVER!$B$3:$B$1009&amp;"",SERVER!$K$3:$K$1009,""),""))))</f>
        <v/>
      </c>
      <c r="O497" s="1" t="str" cm="1">
        <f t="array" ref="O497">IF(OR($K497="",$I497="",$J497=""),"",_xlfn.LET(_xlpm.srcCat,_xlfn.SWITCH($I497,"Computer",_xlfn.XLOOKUP($K497&amp;"",COMPUTER!$B$3:$B$1009&amp;"",COMPUTER!$H$3:$H$1009,""),"Display",_xlfn.XLOOKUP($K497&amp;"",DISPLAY!$B$3:$B$1000&amp;"",DISPLAY!$H$3:$H$1000,""),"Network Device",_xlfn.XLOOKUP($K497&amp;"",'NETWORK-DEVICES'!$B$3:$B$987&amp;"",'NETWORK-DEVICES'!$H$3:$H$987,""),"Peripheral",_xlfn.XLOOKUP($K497&amp;"",PERIPHERAL!$B$3:$B$954&amp;"",PERIPHERAL!$H$3:$H$954,""),"Utilities",_xlfn.XLOOKUP($K497&amp;"",UTILITIES!$B$3:$B$953&amp;"",UTILITIES!$G$3:$G$953,""),"IOT",_xlfn.XLOOKUP($K497&amp;"",IOT!$B$3:$B$1012&amp;"",IOT!$H$3:$H$1012,""),"Server",_xlfn.XLOOKUP($K497&amp;"",SERVER!$B$3:$B$1009&amp;"",SERVER!$H$3:$H$1009,""),""),IF(TRIM(_xlpm.srcCat)&lt;&gt;TRIM($J497),"",_xlfn.SWITCH($I497,"Computer",_xlfn.XLOOKUP($K497&amp;"",COMPUTER!$B$3:$B$1009&amp;"",COMPUTER!$E$3:$E$1009,""),"Display",_xlfn.XLOOKUP($K497&amp;"",DISPLAY!$B$3:$B$1000&amp;"",DISPLAY!$E$3:$E$1000,""),"Network Device",_xlfn.XLOOKUP($K497&amp;"",'NETWORK-DEVICES'!$B$3:$B$987&amp;"",'NETWORK-DEVICES'!$E$3:$E$987,""),"Peripheral",_xlfn.XLOOKUP($K497&amp;"",PERIPHERAL!$B$3:$B$954&amp;"",PERIPHERAL!$E$3:$E$954,""),"Utilities",_xlfn.XLOOKUP($K497&amp;"",UTILITIES!$B$3:$B$953&amp;"",UTILITIES!$E$3:$E$953,""),"IOT",_xlfn.XLOOKUP($K497&amp;"",IOT!$B$3:$B$1012&amp;"",IOT!$E$3:$E$1012,""),"Server",_xlfn.XLOOKUP($K497&amp;"",SERVER!$B$3:$B$1009&amp;"",SERVER!$E$3:$E$1009,""),""))))</f>
        <v/>
      </c>
      <c r="Q497" s="1" t="str" cm="1">
        <f t="array" ref="Q497">IF(OR($K497="",$I497="",$J497=""),"",_xlfn.LET(_xlpm.srcCat,_xlfn.SWITCH($I497,"Computer",_xlfn.XLOOKUP($K497&amp;"",COMPUTER!$B$3:$B$1009&amp;"",COMPUTER!$H$3:$H$1009,""),"Display",_xlfn.XLOOKUP($K497&amp;"",DISPLAY!$B$3:$B$1000&amp;"",DISPLAY!$H$3:$H$1000,""),"Network Device",_xlfn.XLOOKUP($K497&amp;"",'NETWORK-DEVICES'!$B$3:$B$987&amp;"",'NETWORK-DEVICES'!$H$3:$H$987,""),"Peripheral",_xlfn.XLOOKUP($K497&amp;"",PERIPHERAL!$B$3:$B$954&amp;"",PERIPHERAL!$H$3:$H$954,""),"Utilities",_xlfn.XLOOKUP($K497&amp;"",UTILITIES!$B$3:$B$953&amp;"",UTILITIES!$G$3:$G$953,""),"IOT",_xlfn.XLOOKUP($K497&amp;"",IOT!$B$3:$B$1012&amp;"",IOT!$H$3:$H$1012,""),"Server",_xlfn.XLOOKUP($K497&amp;"",SERVER!$B$3:$B$1009&amp;"",SERVER!$H$3:$H$1009,""),""),IF(TRIM(_xlpm.srcCat)&lt;&gt;TRIM($J497),"",_xlfn.SWITCH($I497,"Computer",_xlfn.XLOOKUP($K497&amp;"",COMPUTER!$B$3:$B$1009&amp;"",COMPUTER!$AM$3:$AM$1009,""),"Display",_xlfn.XLOOKUP($K497&amp;"",DISPLAY!$B$3:$B$1000&amp;"",DISPLAY!$V$3:$V$1000,""),"Network Device",_xlfn.XLOOKUP($K497&amp;"",'NETWORK-DEVICES'!$B$3:$B$987&amp;"",'NETWORK-DEVICES'!$AF$3:$AF$987,""),"Peripheral",_xlfn.XLOOKUP($K497&amp;"",PERIPHERAL!$B$3:$B$954&amp;"",PERIPHERAL!$Y$3:$Y$954,""),"Utilities",_xlfn.XLOOKUP($K497&amp;"",UTILITIES!$B$3:$B$953&amp;"",UTILITIES!$O$3:$O$953,""),"IOT",_xlfn.XLOOKUP($K497&amp;"",IOT!$B$3:$B$1012&amp;"",IOT!$AB$3:$AB$1012,""),"Server",_xlfn.XLOOKUP($K497&amp;"",SERVER!$B$3:$B$1009&amp;"",SERVER!$AB$3:$AB$1009,""),""))))</f>
        <v/>
      </c>
      <c r="R497" s="43" t="str">
        <f>IF(tbl_handover[[#This Row],[Asset Code]]="","",COUNTIF(tbl_handover[Asset Code],tbl_handover[[#This Row],[Asset Code]]))</f>
        <v/>
      </c>
    </row>
    <row r="498" spans="1:18" x14ac:dyDescent="0.25">
      <c r="A498" s="43" t="str">
        <f>IF(B498&lt;&gt;"",SUBTOTAL(3,$B$1:B497),"")</f>
        <v/>
      </c>
      <c r="C498" s="74"/>
      <c r="D498" s="74"/>
      <c r="G498" s="1"/>
      <c r="K498" s="42"/>
      <c r="L498" t="str" cm="1">
        <f t="array" ref="L498">IF($K498="","",_xlfn.SWITCH($I498,"Computer",_xlfn.XLOOKUP($K498&amp;"",COMPUTER!$B$3:$B$1009&amp;"",COMPUTER!$I$3:$I$1009,""),"Display",_xlfn.XLOOKUP($K498&amp;"",DISPLAY!$B$3:$B$1000&amp;"",DISPLAY!$J$3:$J$1000,""),"Network Device",_xlfn.XLOOKUP($K498&amp;"",'NETWORK-DEVICES'!$B$3:$B$987&amp;"",'NETWORK-DEVICES'!$I$3:$I$987,""),"Peripheral",_xlfn.XLOOKUP($K498&amp;"",PERIPHERAL!$B$3:$B$954&amp;"",PERIPHERAL!$I$3:$I$954,""),"Utilities",_xlfn.XLOOKUP($K498&amp;"",UTILITIES!$B$3:$B$953&amp;"",UTILITIES!$H$3:$H$953,""),"IOT",_xlfn.XLOOKUP($K498&amp;"",IOT!$B$3:$B$1012&amp;"",IOT!$I$3:$I$1012,""),"SERVER",_xlfn.XLOOKUP($K498&amp;"",SERVER!$B$3:$B$1009&amp;"",SERVER!$I$3:$I$1009,""),""))</f>
        <v/>
      </c>
      <c r="M498" t="str" cm="1">
        <f t="array" ref="M498">IF($K498="","",_xlfn.SWITCH($I498,"Computer",_xlfn.XLOOKUP($K498&amp;"",COMPUTER!$B$3:$B$1009&amp;"",COMPUTER!$J$3:$J$1009,""),"Display",_xlfn.XLOOKUP($K498&amp;"",DISPLAY!$B$3:$B$1000&amp;"",DISPLAY!$K$3:$K$1000,""),"Network Device",_xlfn.XLOOKUP($K498&amp;"",'NETWORK-DEVICES'!$B$3:$B$987&amp;"",'NETWORK-DEVICES'!$I$3:$I$987,""),"Peripheral",_xlfn.XLOOKUP($K498&amp;"",PERIPHERAL!$B$3:$B$954&amp;"",PERIPHERAL!$J$3:$J$954,""),"Utilities",_xlfn.XLOOKUP($K498&amp;"",UTILITIES!$B$3:$B$953&amp;"",UTILITIES!$I$3:$I$953,""),"IOT",_xlfn.XLOOKUP($K498&amp;"",IOT!$B$3:$B$1012&amp;"",IOT!$J$3:$J$1012,""),"Server",_xlfn.XLOOKUP($K498&amp;"",SERVER!$B$3:$B$1009&amp;"",SERVER!$J$3:$J$1009,""),""))</f>
        <v/>
      </c>
      <c r="N498" s="1" t="str" cm="1">
        <f t="array" ref="N498">IF(OR($K498="",$I498="",$J498=""),"",_xlfn.LET(_xlpm.srcCat,_xlfn.SWITCH($I498,"Computer",_xlfn.XLOOKUP($K498&amp;"",COMPUTER!$B$3:$B$1009&amp;"",COMPUTER!$H$3:$H$1009,""),"Display",_xlfn.XLOOKUP($K498&amp;"",DISPLAY!$B$3:$B$1000&amp;"",DISPLAY!$H$3:$H$1000,""),"Network Device",_xlfn.XLOOKUP($K498&amp;"",'NETWORK-DEVICES'!$B$3:$B$987&amp;"",'NETWORK-DEVICES'!$H$3:$H$987,""),"Peripheral",_xlfn.XLOOKUP($K498&amp;"",PERIPHERAL!$B$3:$B$954&amp;"",PERIPHERAL!$H$3:$H$954,""),"Utilities",_xlfn.XLOOKUP($K498&amp;"",UTILITIES!$B$3:$B$953&amp;"",UTILITIES!$G$3:$G$953,""),"IOT",_xlfn.XLOOKUP($K498&amp;"",IOT!$B$3:$B$1012&amp;"",IOT!$H$3:$H$1012,""),"Server",_xlfn.XLOOKUP($K498&amp;"",SERVER!$B$3:$B$1009&amp;"",SERVER!$H$3:$H$1009,""),""),IF(TRIM(_xlpm.srcCat)&lt;&gt;TRIM($J498),"",_xlfn.SWITCH($I498,"Computer",_xlfn.XLOOKUP($K498&amp;"",COMPUTER!$B$3:$B$1009&amp;"",COMPUTER!$K$3:$K$1009,""),"Display",_xlfn.XLOOKUP($K498&amp;"",DISPLAY!$B$3:$B$1000&amp;"",DISPLAY!$L$3:$L$1000,""),"Network Device",_xlfn.XLOOKUP($K498&amp;"",'NETWORK-DEVICES'!$B$3:$B$987&amp;"",'NETWORK-DEVICES'!$K$3:$K$987,""),"Peripheral",_xlfn.XLOOKUP($K498&amp;"",PERIPHERAL!$B$3:$B$954&amp;"",PERIPHERAL!$K$3:$K$954,""),"Utilities",_xlfn.XLOOKUP($K498&amp;"",UTILITIES!$B$3:$B$953&amp;"",UTILITIES!$J$3:$J$953,""),"IOT",_xlfn.XLOOKUP($K498&amp;"",IOT!$B$3:$B$1012&amp;"",IOT!$K$4:$K$1012,""),"Server",_xlfn.XLOOKUP($K498&amp;"",SERVER!$B$3:$B$1009&amp;"",SERVER!$K$3:$K$1009,""),""))))</f>
        <v/>
      </c>
      <c r="O498" s="1" t="str" cm="1">
        <f t="array" ref="O498">IF(OR($K498="",$I498="",$J498=""),"",_xlfn.LET(_xlpm.srcCat,_xlfn.SWITCH($I498,"Computer",_xlfn.XLOOKUP($K498&amp;"",COMPUTER!$B$3:$B$1009&amp;"",COMPUTER!$H$3:$H$1009,""),"Display",_xlfn.XLOOKUP($K498&amp;"",DISPLAY!$B$3:$B$1000&amp;"",DISPLAY!$H$3:$H$1000,""),"Network Device",_xlfn.XLOOKUP($K498&amp;"",'NETWORK-DEVICES'!$B$3:$B$987&amp;"",'NETWORK-DEVICES'!$H$3:$H$987,""),"Peripheral",_xlfn.XLOOKUP($K498&amp;"",PERIPHERAL!$B$3:$B$954&amp;"",PERIPHERAL!$H$3:$H$954,""),"Utilities",_xlfn.XLOOKUP($K498&amp;"",UTILITIES!$B$3:$B$953&amp;"",UTILITIES!$G$3:$G$953,""),"IOT",_xlfn.XLOOKUP($K498&amp;"",IOT!$B$3:$B$1012&amp;"",IOT!$H$3:$H$1012,""),"Server",_xlfn.XLOOKUP($K498&amp;"",SERVER!$B$3:$B$1009&amp;"",SERVER!$H$3:$H$1009,""),""),IF(TRIM(_xlpm.srcCat)&lt;&gt;TRIM($J498),"",_xlfn.SWITCH($I498,"Computer",_xlfn.XLOOKUP($K498&amp;"",COMPUTER!$B$3:$B$1009&amp;"",COMPUTER!$E$3:$E$1009,""),"Display",_xlfn.XLOOKUP($K498&amp;"",DISPLAY!$B$3:$B$1000&amp;"",DISPLAY!$E$3:$E$1000,""),"Network Device",_xlfn.XLOOKUP($K498&amp;"",'NETWORK-DEVICES'!$B$3:$B$987&amp;"",'NETWORK-DEVICES'!$E$3:$E$987,""),"Peripheral",_xlfn.XLOOKUP($K498&amp;"",PERIPHERAL!$B$3:$B$954&amp;"",PERIPHERAL!$E$3:$E$954,""),"Utilities",_xlfn.XLOOKUP($K498&amp;"",UTILITIES!$B$3:$B$953&amp;"",UTILITIES!$E$3:$E$953,""),"IOT",_xlfn.XLOOKUP($K498&amp;"",IOT!$B$3:$B$1012&amp;"",IOT!$E$3:$E$1012,""),"Server",_xlfn.XLOOKUP($K498&amp;"",SERVER!$B$3:$B$1009&amp;"",SERVER!$E$3:$E$1009,""),""))))</f>
        <v/>
      </c>
      <c r="Q498" s="1" t="str" cm="1">
        <f t="array" ref="Q498">IF(OR($K498="",$I498="",$J498=""),"",_xlfn.LET(_xlpm.srcCat,_xlfn.SWITCH($I498,"Computer",_xlfn.XLOOKUP($K498&amp;"",COMPUTER!$B$3:$B$1009&amp;"",COMPUTER!$H$3:$H$1009,""),"Display",_xlfn.XLOOKUP($K498&amp;"",DISPLAY!$B$3:$B$1000&amp;"",DISPLAY!$H$3:$H$1000,""),"Network Device",_xlfn.XLOOKUP($K498&amp;"",'NETWORK-DEVICES'!$B$3:$B$987&amp;"",'NETWORK-DEVICES'!$H$3:$H$987,""),"Peripheral",_xlfn.XLOOKUP($K498&amp;"",PERIPHERAL!$B$3:$B$954&amp;"",PERIPHERAL!$H$3:$H$954,""),"Utilities",_xlfn.XLOOKUP($K498&amp;"",UTILITIES!$B$3:$B$953&amp;"",UTILITIES!$G$3:$G$953,""),"IOT",_xlfn.XLOOKUP($K498&amp;"",IOT!$B$3:$B$1012&amp;"",IOT!$H$3:$H$1012,""),"Server",_xlfn.XLOOKUP($K498&amp;"",SERVER!$B$3:$B$1009&amp;"",SERVER!$H$3:$H$1009,""),""),IF(TRIM(_xlpm.srcCat)&lt;&gt;TRIM($J498),"",_xlfn.SWITCH($I498,"Computer",_xlfn.XLOOKUP($K498&amp;"",COMPUTER!$B$3:$B$1009&amp;"",COMPUTER!$AM$3:$AM$1009,""),"Display",_xlfn.XLOOKUP($K498&amp;"",DISPLAY!$B$3:$B$1000&amp;"",DISPLAY!$V$3:$V$1000,""),"Network Device",_xlfn.XLOOKUP($K498&amp;"",'NETWORK-DEVICES'!$B$3:$B$987&amp;"",'NETWORK-DEVICES'!$AF$3:$AF$987,""),"Peripheral",_xlfn.XLOOKUP($K498&amp;"",PERIPHERAL!$B$3:$B$954&amp;"",PERIPHERAL!$Y$3:$Y$954,""),"Utilities",_xlfn.XLOOKUP($K498&amp;"",UTILITIES!$B$3:$B$953&amp;"",UTILITIES!$O$3:$O$953,""),"IOT",_xlfn.XLOOKUP($K498&amp;"",IOT!$B$3:$B$1012&amp;"",IOT!$AB$3:$AB$1012,""),"Server",_xlfn.XLOOKUP($K498&amp;"",SERVER!$B$3:$B$1009&amp;"",SERVER!$AB$3:$AB$1009,""),""))))</f>
        <v/>
      </c>
      <c r="R498" s="43" t="str">
        <f>IF(tbl_handover[[#This Row],[Asset Code]]="","",COUNTIF(tbl_handover[Asset Code],tbl_handover[[#This Row],[Asset Code]]))</f>
        <v/>
      </c>
    </row>
    <row r="499" spans="1:18" x14ac:dyDescent="0.25">
      <c r="A499" s="43" t="str">
        <f>IF(B499&lt;&gt;"",SUBTOTAL(3,$B$1:B498),"")</f>
        <v/>
      </c>
      <c r="C499" s="74"/>
      <c r="D499" s="74"/>
      <c r="G499" s="1"/>
      <c r="K499" s="42"/>
      <c r="L499" t="str" cm="1">
        <f t="array" ref="L499">IF($K499="","",_xlfn.SWITCH($I499,"Computer",_xlfn.XLOOKUP($K499&amp;"",COMPUTER!$B$3:$B$1009&amp;"",COMPUTER!$I$3:$I$1009,""),"Display",_xlfn.XLOOKUP($K499&amp;"",DISPLAY!$B$3:$B$1000&amp;"",DISPLAY!$J$3:$J$1000,""),"Network Device",_xlfn.XLOOKUP($K499&amp;"",'NETWORK-DEVICES'!$B$3:$B$987&amp;"",'NETWORK-DEVICES'!$I$3:$I$987,""),"Peripheral",_xlfn.XLOOKUP($K499&amp;"",PERIPHERAL!$B$3:$B$954&amp;"",PERIPHERAL!$I$3:$I$954,""),"Utilities",_xlfn.XLOOKUP($K499&amp;"",UTILITIES!$B$3:$B$953&amp;"",UTILITIES!$H$3:$H$953,""),"IOT",_xlfn.XLOOKUP($K499&amp;"",IOT!$B$3:$B$1012&amp;"",IOT!$I$3:$I$1012,""),"SERVER",_xlfn.XLOOKUP($K499&amp;"",SERVER!$B$3:$B$1009&amp;"",SERVER!$I$3:$I$1009,""),""))</f>
        <v/>
      </c>
      <c r="M499" t="str" cm="1">
        <f t="array" ref="M499">IF($K499="","",_xlfn.SWITCH($I499,"Computer",_xlfn.XLOOKUP($K499&amp;"",COMPUTER!$B$3:$B$1009&amp;"",COMPUTER!$J$3:$J$1009,""),"Display",_xlfn.XLOOKUP($K499&amp;"",DISPLAY!$B$3:$B$1000&amp;"",DISPLAY!$K$3:$K$1000,""),"Network Device",_xlfn.XLOOKUP($K499&amp;"",'NETWORK-DEVICES'!$B$3:$B$987&amp;"",'NETWORK-DEVICES'!$I$3:$I$987,""),"Peripheral",_xlfn.XLOOKUP($K499&amp;"",PERIPHERAL!$B$3:$B$954&amp;"",PERIPHERAL!$J$3:$J$954,""),"Utilities",_xlfn.XLOOKUP($K499&amp;"",UTILITIES!$B$3:$B$953&amp;"",UTILITIES!$I$3:$I$953,""),"IOT",_xlfn.XLOOKUP($K499&amp;"",IOT!$B$3:$B$1012&amp;"",IOT!$J$3:$J$1012,""),"Server",_xlfn.XLOOKUP($K499&amp;"",SERVER!$B$3:$B$1009&amp;"",SERVER!$J$3:$J$1009,""),""))</f>
        <v/>
      </c>
      <c r="N499" s="1" t="str" cm="1">
        <f t="array" ref="N499">IF(OR($K499="",$I499="",$J499=""),"",_xlfn.LET(_xlpm.srcCat,_xlfn.SWITCH($I499,"Computer",_xlfn.XLOOKUP($K499&amp;"",COMPUTER!$B$3:$B$1009&amp;"",COMPUTER!$H$3:$H$1009,""),"Display",_xlfn.XLOOKUP($K499&amp;"",DISPLAY!$B$3:$B$1000&amp;"",DISPLAY!$H$3:$H$1000,""),"Network Device",_xlfn.XLOOKUP($K499&amp;"",'NETWORK-DEVICES'!$B$3:$B$987&amp;"",'NETWORK-DEVICES'!$H$3:$H$987,""),"Peripheral",_xlfn.XLOOKUP($K499&amp;"",PERIPHERAL!$B$3:$B$954&amp;"",PERIPHERAL!$H$3:$H$954,""),"Utilities",_xlfn.XLOOKUP($K499&amp;"",UTILITIES!$B$3:$B$953&amp;"",UTILITIES!$G$3:$G$953,""),"IOT",_xlfn.XLOOKUP($K499&amp;"",IOT!$B$3:$B$1012&amp;"",IOT!$H$3:$H$1012,""),"Server",_xlfn.XLOOKUP($K499&amp;"",SERVER!$B$3:$B$1009&amp;"",SERVER!$H$3:$H$1009,""),""),IF(TRIM(_xlpm.srcCat)&lt;&gt;TRIM($J499),"",_xlfn.SWITCH($I499,"Computer",_xlfn.XLOOKUP($K499&amp;"",COMPUTER!$B$3:$B$1009&amp;"",COMPUTER!$K$3:$K$1009,""),"Display",_xlfn.XLOOKUP($K499&amp;"",DISPLAY!$B$3:$B$1000&amp;"",DISPLAY!$L$3:$L$1000,""),"Network Device",_xlfn.XLOOKUP($K499&amp;"",'NETWORK-DEVICES'!$B$3:$B$987&amp;"",'NETWORK-DEVICES'!$K$3:$K$987,""),"Peripheral",_xlfn.XLOOKUP($K499&amp;"",PERIPHERAL!$B$3:$B$954&amp;"",PERIPHERAL!$K$3:$K$954,""),"Utilities",_xlfn.XLOOKUP($K499&amp;"",UTILITIES!$B$3:$B$953&amp;"",UTILITIES!$J$3:$J$953,""),"IOT",_xlfn.XLOOKUP($K499&amp;"",IOT!$B$3:$B$1012&amp;"",IOT!$K$4:$K$1012,""),"Server",_xlfn.XLOOKUP($K499&amp;"",SERVER!$B$3:$B$1009&amp;"",SERVER!$K$3:$K$1009,""),""))))</f>
        <v/>
      </c>
      <c r="O499" s="1" t="str" cm="1">
        <f t="array" ref="O499">IF(OR($K499="",$I499="",$J499=""),"",_xlfn.LET(_xlpm.srcCat,_xlfn.SWITCH($I499,"Computer",_xlfn.XLOOKUP($K499&amp;"",COMPUTER!$B$3:$B$1009&amp;"",COMPUTER!$H$3:$H$1009,""),"Display",_xlfn.XLOOKUP($K499&amp;"",DISPLAY!$B$3:$B$1000&amp;"",DISPLAY!$H$3:$H$1000,""),"Network Device",_xlfn.XLOOKUP($K499&amp;"",'NETWORK-DEVICES'!$B$3:$B$987&amp;"",'NETWORK-DEVICES'!$H$3:$H$987,""),"Peripheral",_xlfn.XLOOKUP($K499&amp;"",PERIPHERAL!$B$3:$B$954&amp;"",PERIPHERAL!$H$3:$H$954,""),"Utilities",_xlfn.XLOOKUP($K499&amp;"",UTILITIES!$B$3:$B$953&amp;"",UTILITIES!$G$3:$G$953,""),"IOT",_xlfn.XLOOKUP($K499&amp;"",IOT!$B$3:$B$1012&amp;"",IOT!$H$3:$H$1012,""),"Server",_xlfn.XLOOKUP($K499&amp;"",SERVER!$B$3:$B$1009&amp;"",SERVER!$H$3:$H$1009,""),""),IF(TRIM(_xlpm.srcCat)&lt;&gt;TRIM($J499),"",_xlfn.SWITCH($I499,"Computer",_xlfn.XLOOKUP($K499&amp;"",COMPUTER!$B$3:$B$1009&amp;"",COMPUTER!$E$3:$E$1009,""),"Display",_xlfn.XLOOKUP($K499&amp;"",DISPLAY!$B$3:$B$1000&amp;"",DISPLAY!$E$3:$E$1000,""),"Network Device",_xlfn.XLOOKUP($K499&amp;"",'NETWORK-DEVICES'!$B$3:$B$987&amp;"",'NETWORK-DEVICES'!$E$3:$E$987,""),"Peripheral",_xlfn.XLOOKUP($K499&amp;"",PERIPHERAL!$B$3:$B$954&amp;"",PERIPHERAL!$E$3:$E$954,""),"Utilities",_xlfn.XLOOKUP($K499&amp;"",UTILITIES!$B$3:$B$953&amp;"",UTILITIES!$E$3:$E$953,""),"IOT",_xlfn.XLOOKUP($K499&amp;"",IOT!$B$3:$B$1012&amp;"",IOT!$E$3:$E$1012,""),"Server",_xlfn.XLOOKUP($K499&amp;"",SERVER!$B$3:$B$1009&amp;"",SERVER!$E$3:$E$1009,""),""))))</f>
        <v/>
      </c>
      <c r="Q499" s="1" t="str" cm="1">
        <f t="array" ref="Q499">IF(OR($K499="",$I499="",$J499=""),"",_xlfn.LET(_xlpm.srcCat,_xlfn.SWITCH($I499,"Computer",_xlfn.XLOOKUP($K499&amp;"",COMPUTER!$B$3:$B$1009&amp;"",COMPUTER!$H$3:$H$1009,""),"Display",_xlfn.XLOOKUP($K499&amp;"",DISPLAY!$B$3:$B$1000&amp;"",DISPLAY!$H$3:$H$1000,""),"Network Device",_xlfn.XLOOKUP($K499&amp;"",'NETWORK-DEVICES'!$B$3:$B$987&amp;"",'NETWORK-DEVICES'!$H$3:$H$987,""),"Peripheral",_xlfn.XLOOKUP($K499&amp;"",PERIPHERAL!$B$3:$B$954&amp;"",PERIPHERAL!$H$3:$H$954,""),"Utilities",_xlfn.XLOOKUP($K499&amp;"",UTILITIES!$B$3:$B$953&amp;"",UTILITIES!$G$3:$G$953,""),"IOT",_xlfn.XLOOKUP($K499&amp;"",IOT!$B$3:$B$1012&amp;"",IOT!$H$3:$H$1012,""),"Server",_xlfn.XLOOKUP($K499&amp;"",SERVER!$B$3:$B$1009&amp;"",SERVER!$H$3:$H$1009,""),""),IF(TRIM(_xlpm.srcCat)&lt;&gt;TRIM($J499),"",_xlfn.SWITCH($I499,"Computer",_xlfn.XLOOKUP($K499&amp;"",COMPUTER!$B$3:$B$1009&amp;"",COMPUTER!$AM$3:$AM$1009,""),"Display",_xlfn.XLOOKUP($K499&amp;"",DISPLAY!$B$3:$B$1000&amp;"",DISPLAY!$V$3:$V$1000,""),"Network Device",_xlfn.XLOOKUP($K499&amp;"",'NETWORK-DEVICES'!$B$3:$B$987&amp;"",'NETWORK-DEVICES'!$AF$3:$AF$987,""),"Peripheral",_xlfn.XLOOKUP($K499&amp;"",PERIPHERAL!$B$3:$B$954&amp;"",PERIPHERAL!$Y$3:$Y$954,""),"Utilities",_xlfn.XLOOKUP($K499&amp;"",UTILITIES!$B$3:$B$953&amp;"",UTILITIES!$O$3:$O$953,""),"IOT",_xlfn.XLOOKUP($K499&amp;"",IOT!$B$3:$B$1012&amp;"",IOT!$AB$3:$AB$1012,""),"Server",_xlfn.XLOOKUP($K499&amp;"",SERVER!$B$3:$B$1009&amp;"",SERVER!$AB$3:$AB$1009,""),""))))</f>
        <v/>
      </c>
      <c r="R499" s="43" t="str">
        <f>IF(tbl_handover[[#This Row],[Asset Code]]="","",COUNTIF(tbl_handover[Asset Code],tbl_handover[[#This Row],[Asset Code]]))</f>
        <v/>
      </c>
    </row>
    <row r="500" spans="1:18" x14ac:dyDescent="0.25">
      <c r="A500" s="43" t="str">
        <f>IF(B500&lt;&gt;"",SUBTOTAL(3,$B$1:B499),"")</f>
        <v/>
      </c>
      <c r="C500" s="74"/>
      <c r="D500" s="74"/>
      <c r="G500" s="1"/>
      <c r="K500" s="42"/>
      <c r="L500" t="str" cm="1">
        <f t="array" ref="L500">IF($K500="","",_xlfn.SWITCH($I500,"Computer",_xlfn.XLOOKUP($K500&amp;"",COMPUTER!$B$3:$B$1009&amp;"",COMPUTER!$I$3:$I$1009,""),"Display",_xlfn.XLOOKUP($K500&amp;"",DISPLAY!$B$3:$B$1000&amp;"",DISPLAY!$J$3:$J$1000,""),"Network Device",_xlfn.XLOOKUP($K500&amp;"",'NETWORK-DEVICES'!$B$3:$B$987&amp;"",'NETWORK-DEVICES'!$I$3:$I$987,""),"Peripheral",_xlfn.XLOOKUP($K500&amp;"",PERIPHERAL!$B$3:$B$954&amp;"",PERIPHERAL!$I$3:$I$954,""),"Utilities",_xlfn.XLOOKUP($K500&amp;"",UTILITIES!$B$3:$B$953&amp;"",UTILITIES!$H$3:$H$953,""),"IOT",_xlfn.XLOOKUP($K500&amp;"",IOT!$B$3:$B$1012&amp;"",IOT!$I$3:$I$1012,""),"SERVER",_xlfn.XLOOKUP($K500&amp;"",SERVER!$B$3:$B$1009&amp;"",SERVER!$I$3:$I$1009,""),""))</f>
        <v/>
      </c>
      <c r="M500" t="str" cm="1">
        <f t="array" ref="M500">IF($K500="","",_xlfn.SWITCH($I500,"Computer",_xlfn.XLOOKUP($K500&amp;"",COMPUTER!$B$3:$B$1009&amp;"",COMPUTER!$J$3:$J$1009,""),"Display",_xlfn.XLOOKUP($K500&amp;"",DISPLAY!$B$3:$B$1000&amp;"",DISPLAY!$K$3:$K$1000,""),"Network Device",_xlfn.XLOOKUP($K500&amp;"",'NETWORK-DEVICES'!$B$3:$B$987&amp;"",'NETWORK-DEVICES'!$I$3:$I$987,""),"Peripheral",_xlfn.XLOOKUP($K500&amp;"",PERIPHERAL!$B$3:$B$954&amp;"",PERIPHERAL!$J$3:$J$954,""),"Utilities",_xlfn.XLOOKUP($K500&amp;"",UTILITIES!$B$3:$B$953&amp;"",UTILITIES!$I$3:$I$953,""),"IOT",_xlfn.XLOOKUP($K500&amp;"",IOT!$B$3:$B$1012&amp;"",IOT!$J$3:$J$1012,""),"Server",_xlfn.XLOOKUP($K500&amp;"",SERVER!$B$3:$B$1009&amp;"",SERVER!$J$3:$J$1009,""),""))</f>
        <v/>
      </c>
      <c r="N500" s="1" t="str" cm="1">
        <f t="array" ref="N500">IF(OR($K500="",$I500="",$J500=""),"",_xlfn.LET(_xlpm.srcCat,_xlfn.SWITCH($I500,"Computer",_xlfn.XLOOKUP($K500&amp;"",COMPUTER!$B$3:$B$1009&amp;"",COMPUTER!$H$3:$H$1009,""),"Display",_xlfn.XLOOKUP($K500&amp;"",DISPLAY!$B$3:$B$1000&amp;"",DISPLAY!$H$3:$H$1000,""),"Network Device",_xlfn.XLOOKUP($K500&amp;"",'NETWORK-DEVICES'!$B$3:$B$987&amp;"",'NETWORK-DEVICES'!$H$3:$H$987,""),"Peripheral",_xlfn.XLOOKUP($K500&amp;"",PERIPHERAL!$B$3:$B$954&amp;"",PERIPHERAL!$H$3:$H$954,""),"Utilities",_xlfn.XLOOKUP($K500&amp;"",UTILITIES!$B$3:$B$953&amp;"",UTILITIES!$G$3:$G$953,""),"IOT",_xlfn.XLOOKUP($K500&amp;"",IOT!$B$3:$B$1012&amp;"",IOT!$H$3:$H$1012,""),"Server",_xlfn.XLOOKUP($K500&amp;"",SERVER!$B$3:$B$1009&amp;"",SERVER!$H$3:$H$1009,""),""),IF(TRIM(_xlpm.srcCat)&lt;&gt;TRIM($J500),"",_xlfn.SWITCH($I500,"Computer",_xlfn.XLOOKUP($K500&amp;"",COMPUTER!$B$3:$B$1009&amp;"",COMPUTER!$K$3:$K$1009,""),"Display",_xlfn.XLOOKUP($K500&amp;"",DISPLAY!$B$3:$B$1000&amp;"",DISPLAY!$L$3:$L$1000,""),"Network Device",_xlfn.XLOOKUP($K500&amp;"",'NETWORK-DEVICES'!$B$3:$B$987&amp;"",'NETWORK-DEVICES'!$K$3:$K$987,""),"Peripheral",_xlfn.XLOOKUP($K500&amp;"",PERIPHERAL!$B$3:$B$954&amp;"",PERIPHERAL!$K$3:$K$954,""),"Utilities",_xlfn.XLOOKUP($K500&amp;"",UTILITIES!$B$3:$B$953&amp;"",UTILITIES!$J$3:$J$953,""),"IOT",_xlfn.XLOOKUP($K500&amp;"",IOT!$B$3:$B$1012&amp;"",IOT!$K$4:$K$1012,""),"Server",_xlfn.XLOOKUP($K500&amp;"",SERVER!$B$3:$B$1009&amp;"",SERVER!$K$3:$K$1009,""),""))))</f>
        <v/>
      </c>
      <c r="O500" s="1" t="str" cm="1">
        <f t="array" ref="O500">IF(OR($K500="",$I500="",$J500=""),"",_xlfn.LET(_xlpm.srcCat,_xlfn.SWITCH($I500,"Computer",_xlfn.XLOOKUP($K500&amp;"",COMPUTER!$B$3:$B$1009&amp;"",COMPUTER!$H$3:$H$1009,""),"Display",_xlfn.XLOOKUP($K500&amp;"",DISPLAY!$B$3:$B$1000&amp;"",DISPLAY!$H$3:$H$1000,""),"Network Device",_xlfn.XLOOKUP($K500&amp;"",'NETWORK-DEVICES'!$B$3:$B$987&amp;"",'NETWORK-DEVICES'!$H$3:$H$987,""),"Peripheral",_xlfn.XLOOKUP($K500&amp;"",PERIPHERAL!$B$3:$B$954&amp;"",PERIPHERAL!$H$3:$H$954,""),"Utilities",_xlfn.XLOOKUP($K500&amp;"",UTILITIES!$B$3:$B$953&amp;"",UTILITIES!$G$3:$G$953,""),"IOT",_xlfn.XLOOKUP($K500&amp;"",IOT!$B$3:$B$1012&amp;"",IOT!$H$3:$H$1012,""),"Server",_xlfn.XLOOKUP($K500&amp;"",SERVER!$B$3:$B$1009&amp;"",SERVER!$H$3:$H$1009,""),""),IF(TRIM(_xlpm.srcCat)&lt;&gt;TRIM($J500),"",_xlfn.SWITCH($I500,"Computer",_xlfn.XLOOKUP($K500&amp;"",COMPUTER!$B$3:$B$1009&amp;"",COMPUTER!$E$3:$E$1009,""),"Display",_xlfn.XLOOKUP($K500&amp;"",DISPLAY!$B$3:$B$1000&amp;"",DISPLAY!$E$3:$E$1000,""),"Network Device",_xlfn.XLOOKUP($K500&amp;"",'NETWORK-DEVICES'!$B$3:$B$987&amp;"",'NETWORK-DEVICES'!$E$3:$E$987,""),"Peripheral",_xlfn.XLOOKUP($K500&amp;"",PERIPHERAL!$B$3:$B$954&amp;"",PERIPHERAL!$E$3:$E$954,""),"Utilities",_xlfn.XLOOKUP($K500&amp;"",UTILITIES!$B$3:$B$953&amp;"",UTILITIES!$E$3:$E$953,""),"IOT",_xlfn.XLOOKUP($K500&amp;"",IOT!$B$3:$B$1012&amp;"",IOT!$E$3:$E$1012,""),"Server",_xlfn.XLOOKUP($K500&amp;"",SERVER!$B$3:$B$1009&amp;"",SERVER!$E$3:$E$1009,""),""))))</f>
        <v/>
      </c>
      <c r="Q500" s="1" t="str" cm="1">
        <f t="array" ref="Q500">IF(OR($K500="",$I500="",$J500=""),"",_xlfn.LET(_xlpm.srcCat,_xlfn.SWITCH($I500,"Computer",_xlfn.XLOOKUP($K500&amp;"",COMPUTER!$B$3:$B$1009&amp;"",COMPUTER!$H$3:$H$1009,""),"Display",_xlfn.XLOOKUP($K500&amp;"",DISPLAY!$B$3:$B$1000&amp;"",DISPLAY!$H$3:$H$1000,""),"Network Device",_xlfn.XLOOKUP($K500&amp;"",'NETWORK-DEVICES'!$B$3:$B$987&amp;"",'NETWORK-DEVICES'!$H$3:$H$987,""),"Peripheral",_xlfn.XLOOKUP($K500&amp;"",PERIPHERAL!$B$3:$B$954&amp;"",PERIPHERAL!$H$3:$H$954,""),"Utilities",_xlfn.XLOOKUP($K500&amp;"",UTILITIES!$B$3:$B$953&amp;"",UTILITIES!$G$3:$G$953,""),"IOT",_xlfn.XLOOKUP($K500&amp;"",IOT!$B$3:$B$1012&amp;"",IOT!$H$3:$H$1012,""),"Server",_xlfn.XLOOKUP($K500&amp;"",SERVER!$B$3:$B$1009&amp;"",SERVER!$H$3:$H$1009,""),""),IF(TRIM(_xlpm.srcCat)&lt;&gt;TRIM($J500),"",_xlfn.SWITCH($I500,"Computer",_xlfn.XLOOKUP($K500&amp;"",COMPUTER!$B$3:$B$1009&amp;"",COMPUTER!$AM$3:$AM$1009,""),"Display",_xlfn.XLOOKUP($K500&amp;"",DISPLAY!$B$3:$B$1000&amp;"",DISPLAY!$V$3:$V$1000,""),"Network Device",_xlfn.XLOOKUP($K500&amp;"",'NETWORK-DEVICES'!$B$3:$B$987&amp;"",'NETWORK-DEVICES'!$AF$3:$AF$987,""),"Peripheral",_xlfn.XLOOKUP($K500&amp;"",PERIPHERAL!$B$3:$B$954&amp;"",PERIPHERAL!$Y$3:$Y$954,""),"Utilities",_xlfn.XLOOKUP($K500&amp;"",UTILITIES!$B$3:$B$953&amp;"",UTILITIES!$O$3:$O$953,""),"IOT",_xlfn.XLOOKUP($K500&amp;"",IOT!$B$3:$B$1012&amp;"",IOT!$AB$3:$AB$1012,""),"Server",_xlfn.XLOOKUP($K500&amp;"",SERVER!$B$3:$B$1009&amp;"",SERVER!$AB$3:$AB$1009,""),""))))</f>
        <v/>
      </c>
      <c r="R500" s="43" t="str">
        <f>IF(tbl_handover[[#This Row],[Asset Code]]="","",COUNTIF(tbl_handover[Asset Code],tbl_handover[[#This Row],[Asset Code]]))</f>
        <v/>
      </c>
    </row>
    <row r="501" spans="1:18" x14ac:dyDescent="0.25">
      <c r="A501" s="43" t="str">
        <f>IF(B501&lt;&gt;"",SUBTOTAL(3,$B$1:B500),"")</f>
        <v/>
      </c>
      <c r="C501" s="74"/>
      <c r="D501" s="74"/>
      <c r="G501" s="1"/>
      <c r="K501" s="42"/>
      <c r="L501" t="str" cm="1">
        <f t="array" ref="L501">IF($K501="","",_xlfn.SWITCH($I501,"Computer",_xlfn.XLOOKUP($K501&amp;"",COMPUTER!$B$3:$B$1009&amp;"",COMPUTER!$I$3:$I$1009,""),"Display",_xlfn.XLOOKUP($K501&amp;"",DISPLAY!$B$3:$B$1000&amp;"",DISPLAY!$J$3:$J$1000,""),"Network Device",_xlfn.XLOOKUP($K501&amp;"",'NETWORK-DEVICES'!$B$3:$B$987&amp;"",'NETWORK-DEVICES'!$I$3:$I$987,""),"Peripheral",_xlfn.XLOOKUP($K501&amp;"",PERIPHERAL!$B$3:$B$954&amp;"",PERIPHERAL!$I$3:$I$954,""),"Utilities",_xlfn.XLOOKUP($K501&amp;"",UTILITIES!$B$3:$B$953&amp;"",UTILITIES!$H$3:$H$953,""),"IOT",_xlfn.XLOOKUP($K501&amp;"",IOT!$B$3:$B$1012&amp;"",IOT!$I$3:$I$1012,""),"SERVER",_xlfn.XLOOKUP($K501&amp;"",SERVER!$B$3:$B$1009&amp;"",SERVER!$I$3:$I$1009,""),""))</f>
        <v/>
      </c>
      <c r="M501" t="str" cm="1">
        <f t="array" ref="M501">IF($K501="","",_xlfn.SWITCH($I501,"Computer",_xlfn.XLOOKUP($K501&amp;"",COMPUTER!$B$3:$B$1009&amp;"",COMPUTER!$J$3:$J$1009,""),"Display",_xlfn.XLOOKUP($K501&amp;"",DISPLAY!$B$3:$B$1000&amp;"",DISPLAY!$K$3:$K$1000,""),"Network Device",_xlfn.XLOOKUP($K501&amp;"",'NETWORK-DEVICES'!$B$3:$B$987&amp;"",'NETWORK-DEVICES'!$I$3:$I$987,""),"Peripheral",_xlfn.XLOOKUP($K501&amp;"",PERIPHERAL!$B$3:$B$954&amp;"",PERIPHERAL!$J$3:$J$954,""),"Utilities",_xlfn.XLOOKUP($K501&amp;"",UTILITIES!$B$3:$B$953&amp;"",UTILITIES!$I$3:$I$953,""),"IOT",_xlfn.XLOOKUP($K501&amp;"",IOT!$B$3:$B$1012&amp;"",IOT!$J$3:$J$1012,""),"Server",_xlfn.XLOOKUP($K501&amp;"",SERVER!$B$3:$B$1009&amp;"",SERVER!$J$3:$J$1009,""),""))</f>
        <v/>
      </c>
      <c r="N501" s="1" t="str" cm="1">
        <f t="array" ref="N501">IF(OR($K501="",$I501="",$J501=""),"",_xlfn.LET(_xlpm.srcCat,_xlfn.SWITCH($I501,"Computer",_xlfn.XLOOKUP($K501&amp;"",COMPUTER!$B$3:$B$1009&amp;"",COMPUTER!$H$3:$H$1009,""),"Display",_xlfn.XLOOKUP($K501&amp;"",DISPLAY!$B$3:$B$1000&amp;"",DISPLAY!$H$3:$H$1000,""),"Network Device",_xlfn.XLOOKUP($K501&amp;"",'NETWORK-DEVICES'!$B$3:$B$987&amp;"",'NETWORK-DEVICES'!$H$3:$H$987,""),"Peripheral",_xlfn.XLOOKUP($K501&amp;"",PERIPHERAL!$B$3:$B$954&amp;"",PERIPHERAL!$H$3:$H$954,""),"Utilities",_xlfn.XLOOKUP($K501&amp;"",UTILITIES!$B$3:$B$953&amp;"",UTILITIES!$G$3:$G$953,""),"IOT",_xlfn.XLOOKUP($K501&amp;"",IOT!$B$3:$B$1012&amp;"",IOT!$H$3:$H$1012,""),"Server",_xlfn.XLOOKUP($K501&amp;"",SERVER!$B$3:$B$1009&amp;"",SERVER!$H$3:$H$1009,""),""),IF(TRIM(_xlpm.srcCat)&lt;&gt;TRIM($J501),"",_xlfn.SWITCH($I501,"Computer",_xlfn.XLOOKUP($K501&amp;"",COMPUTER!$B$3:$B$1009&amp;"",COMPUTER!$K$3:$K$1009,""),"Display",_xlfn.XLOOKUP($K501&amp;"",DISPLAY!$B$3:$B$1000&amp;"",DISPLAY!$L$3:$L$1000,""),"Network Device",_xlfn.XLOOKUP($K501&amp;"",'NETWORK-DEVICES'!$B$3:$B$987&amp;"",'NETWORK-DEVICES'!$K$3:$K$987,""),"Peripheral",_xlfn.XLOOKUP($K501&amp;"",PERIPHERAL!$B$3:$B$954&amp;"",PERIPHERAL!$K$3:$K$954,""),"Utilities",_xlfn.XLOOKUP($K501&amp;"",UTILITIES!$B$3:$B$953&amp;"",UTILITIES!$J$3:$J$953,""),"IOT",_xlfn.XLOOKUP($K501&amp;"",IOT!$B$3:$B$1012&amp;"",IOT!$K$4:$K$1012,""),"Server",_xlfn.XLOOKUP($K501&amp;"",SERVER!$B$3:$B$1009&amp;"",SERVER!$K$3:$K$1009,""),""))))</f>
        <v/>
      </c>
      <c r="O501" s="1" t="str" cm="1">
        <f t="array" ref="O501">IF(OR($K501="",$I501="",$J501=""),"",_xlfn.LET(_xlpm.srcCat,_xlfn.SWITCH($I501,"Computer",_xlfn.XLOOKUP($K501&amp;"",COMPUTER!$B$3:$B$1009&amp;"",COMPUTER!$H$3:$H$1009,""),"Display",_xlfn.XLOOKUP($K501&amp;"",DISPLAY!$B$3:$B$1000&amp;"",DISPLAY!$H$3:$H$1000,""),"Network Device",_xlfn.XLOOKUP($K501&amp;"",'NETWORK-DEVICES'!$B$3:$B$987&amp;"",'NETWORK-DEVICES'!$H$3:$H$987,""),"Peripheral",_xlfn.XLOOKUP($K501&amp;"",PERIPHERAL!$B$3:$B$954&amp;"",PERIPHERAL!$H$3:$H$954,""),"Utilities",_xlfn.XLOOKUP($K501&amp;"",UTILITIES!$B$3:$B$953&amp;"",UTILITIES!$G$3:$G$953,""),"IOT",_xlfn.XLOOKUP($K501&amp;"",IOT!$B$3:$B$1012&amp;"",IOT!$H$3:$H$1012,""),"Server",_xlfn.XLOOKUP($K501&amp;"",SERVER!$B$3:$B$1009&amp;"",SERVER!$H$3:$H$1009,""),""),IF(TRIM(_xlpm.srcCat)&lt;&gt;TRIM($J501),"",_xlfn.SWITCH($I501,"Computer",_xlfn.XLOOKUP($K501&amp;"",COMPUTER!$B$3:$B$1009&amp;"",COMPUTER!$E$3:$E$1009,""),"Display",_xlfn.XLOOKUP($K501&amp;"",DISPLAY!$B$3:$B$1000&amp;"",DISPLAY!$E$3:$E$1000,""),"Network Device",_xlfn.XLOOKUP($K501&amp;"",'NETWORK-DEVICES'!$B$3:$B$987&amp;"",'NETWORK-DEVICES'!$E$3:$E$987,""),"Peripheral",_xlfn.XLOOKUP($K501&amp;"",PERIPHERAL!$B$3:$B$954&amp;"",PERIPHERAL!$E$3:$E$954,""),"Utilities",_xlfn.XLOOKUP($K501&amp;"",UTILITIES!$B$3:$B$953&amp;"",UTILITIES!$E$3:$E$953,""),"IOT",_xlfn.XLOOKUP($K501&amp;"",IOT!$B$3:$B$1012&amp;"",IOT!$E$3:$E$1012,""),"Server",_xlfn.XLOOKUP($K501&amp;"",SERVER!$B$3:$B$1009&amp;"",SERVER!$E$3:$E$1009,""),""))))</f>
        <v/>
      </c>
      <c r="Q501" s="1" t="str" cm="1">
        <f t="array" ref="Q501">IF(OR($K501="",$I501="",$J501=""),"",_xlfn.LET(_xlpm.srcCat,_xlfn.SWITCH($I501,"Computer",_xlfn.XLOOKUP($K501&amp;"",COMPUTER!$B$3:$B$1009&amp;"",COMPUTER!$H$3:$H$1009,""),"Display",_xlfn.XLOOKUP($K501&amp;"",DISPLAY!$B$3:$B$1000&amp;"",DISPLAY!$H$3:$H$1000,""),"Network Device",_xlfn.XLOOKUP($K501&amp;"",'NETWORK-DEVICES'!$B$3:$B$987&amp;"",'NETWORK-DEVICES'!$H$3:$H$987,""),"Peripheral",_xlfn.XLOOKUP($K501&amp;"",PERIPHERAL!$B$3:$B$954&amp;"",PERIPHERAL!$H$3:$H$954,""),"Utilities",_xlfn.XLOOKUP($K501&amp;"",UTILITIES!$B$3:$B$953&amp;"",UTILITIES!$G$3:$G$953,""),"IOT",_xlfn.XLOOKUP($K501&amp;"",IOT!$B$3:$B$1012&amp;"",IOT!$H$3:$H$1012,""),"Server",_xlfn.XLOOKUP($K501&amp;"",SERVER!$B$3:$B$1009&amp;"",SERVER!$H$3:$H$1009,""),""),IF(TRIM(_xlpm.srcCat)&lt;&gt;TRIM($J501),"",_xlfn.SWITCH($I501,"Computer",_xlfn.XLOOKUP($K501&amp;"",COMPUTER!$B$3:$B$1009&amp;"",COMPUTER!$AM$3:$AM$1009,""),"Display",_xlfn.XLOOKUP($K501&amp;"",DISPLAY!$B$3:$B$1000&amp;"",DISPLAY!$V$3:$V$1000,""),"Network Device",_xlfn.XLOOKUP($K501&amp;"",'NETWORK-DEVICES'!$B$3:$B$987&amp;"",'NETWORK-DEVICES'!$AF$3:$AF$987,""),"Peripheral",_xlfn.XLOOKUP($K501&amp;"",PERIPHERAL!$B$3:$B$954&amp;"",PERIPHERAL!$Y$3:$Y$954,""),"Utilities",_xlfn.XLOOKUP($K501&amp;"",UTILITIES!$B$3:$B$953&amp;"",UTILITIES!$O$3:$O$953,""),"IOT",_xlfn.XLOOKUP($K501&amp;"",IOT!$B$3:$B$1012&amp;"",IOT!$AB$3:$AB$1012,""),"Server",_xlfn.XLOOKUP($K501&amp;"",SERVER!$B$3:$B$1009&amp;"",SERVER!$AB$3:$AB$1009,""),""))))</f>
        <v/>
      </c>
      <c r="R501" s="43" t="str">
        <f>IF(tbl_handover[[#This Row],[Asset Code]]="","",COUNTIF(tbl_handover[Asset Code],tbl_handover[[#This Row],[Asset Code]]))</f>
        <v/>
      </c>
    </row>
    <row r="502" spans="1:18" x14ac:dyDescent="0.25">
      <c r="A502" s="43" t="str">
        <f>IF(B502&lt;&gt;"",SUBTOTAL(3,$B$1:B501),"")</f>
        <v/>
      </c>
      <c r="C502" s="74"/>
      <c r="D502" s="74"/>
      <c r="G502" s="1"/>
      <c r="K502" s="42"/>
      <c r="L502" t="str" cm="1">
        <f t="array" ref="L502">IF($K502="","",_xlfn.SWITCH($I502,"Computer",_xlfn.XLOOKUP($K502&amp;"",COMPUTER!$B$3:$B$1009&amp;"",COMPUTER!$I$3:$I$1009,""),"Display",_xlfn.XLOOKUP($K502&amp;"",DISPLAY!$B$3:$B$1000&amp;"",DISPLAY!$J$3:$J$1000,""),"Network Device",_xlfn.XLOOKUP($K502&amp;"",'NETWORK-DEVICES'!$B$3:$B$987&amp;"",'NETWORK-DEVICES'!$I$3:$I$987,""),"Peripheral",_xlfn.XLOOKUP($K502&amp;"",PERIPHERAL!$B$3:$B$954&amp;"",PERIPHERAL!$I$3:$I$954,""),"Utilities",_xlfn.XLOOKUP($K502&amp;"",UTILITIES!$B$3:$B$953&amp;"",UTILITIES!$H$3:$H$953,""),"IOT",_xlfn.XLOOKUP($K502&amp;"",IOT!$B$3:$B$1012&amp;"",IOT!$I$3:$I$1012,""),"SERVER",_xlfn.XLOOKUP($K502&amp;"",SERVER!$B$3:$B$1009&amp;"",SERVER!$I$3:$I$1009,""),""))</f>
        <v/>
      </c>
      <c r="M502" t="str" cm="1">
        <f t="array" ref="M502">IF($K502="","",_xlfn.SWITCH($I502,"Computer",_xlfn.XLOOKUP($K502&amp;"",COMPUTER!$B$3:$B$1009&amp;"",COMPUTER!$J$3:$J$1009,""),"Display",_xlfn.XLOOKUP($K502&amp;"",DISPLAY!$B$3:$B$1000&amp;"",DISPLAY!$K$3:$K$1000,""),"Network Device",_xlfn.XLOOKUP($K502&amp;"",'NETWORK-DEVICES'!$B$3:$B$987&amp;"",'NETWORK-DEVICES'!$I$3:$I$987,""),"Peripheral",_xlfn.XLOOKUP($K502&amp;"",PERIPHERAL!$B$3:$B$954&amp;"",PERIPHERAL!$J$3:$J$954,""),"Utilities",_xlfn.XLOOKUP($K502&amp;"",UTILITIES!$B$3:$B$953&amp;"",UTILITIES!$I$3:$I$953,""),"IOT",_xlfn.XLOOKUP($K502&amp;"",IOT!$B$3:$B$1012&amp;"",IOT!$J$3:$J$1012,""),"Server",_xlfn.XLOOKUP($K502&amp;"",SERVER!$B$3:$B$1009&amp;"",SERVER!$J$3:$J$1009,""),""))</f>
        <v/>
      </c>
      <c r="N502" s="1" t="str" cm="1">
        <f t="array" ref="N502">IF(OR($K502="",$I502="",$J502=""),"",_xlfn.LET(_xlpm.srcCat,_xlfn.SWITCH($I502,"Computer",_xlfn.XLOOKUP($K502&amp;"",COMPUTER!$B$3:$B$1009&amp;"",COMPUTER!$H$3:$H$1009,""),"Display",_xlfn.XLOOKUP($K502&amp;"",DISPLAY!$B$3:$B$1000&amp;"",DISPLAY!$H$3:$H$1000,""),"Network Device",_xlfn.XLOOKUP($K502&amp;"",'NETWORK-DEVICES'!$B$3:$B$987&amp;"",'NETWORK-DEVICES'!$H$3:$H$987,""),"Peripheral",_xlfn.XLOOKUP($K502&amp;"",PERIPHERAL!$B$3:$B$954&amp;"",PERIPHERAL!$H$3:$H$954,""),"Utilities",_xlfn.XLOOKUP($K502&amp;"",UTILITIES!$B$3:$B$953&amp;"",UTILITIES!$G$3:$G$953,""),"IOT",_xlfn.XLOOKUP($K502&amp;"",IOT!$B$3:$B$1012&amp;"",IOT!$H$3:$H$1012,""),"Server",_xlfn.XLOOKUP($K502&amp;"",SERVER!$B$3:$B$1009&amp;"",SERVER!$H$3:$H$1009,""),""),IF(TRIM(_xlpm.srcCat)&lt;&gt;TRIM($J502),"",_xlfn.SWITCH($I502,"Computer",_xlfn.XLOOKUP($K502&amp;"",COMPUTER!$B$3:$B$1009&amp;"",COMPUTER!$K$3:$K$1009,""),"Display",_xlfn.XLOOKUP($K502&amp;"",DISPLAY!$B$3:$B$1000&amp;"",DISPLAY!$L$3:$L$1000,""),"Network Device",_xlfn.XLOOKUP($K502&amp;"",'NETWORK-DEVICES'!$B$3:$B$987&amp;"",'NETWORK-DEVICES'!$K$3:$K$987,""),"Peripheral",_xlfn.XLOOKUP($K502&amp;"",PERIPHERAL!$B$3:$B$954&amp;"",PERIPHERAL!$K$3:$K$954,""),"Utilities",_xlfn.XLOOKUP($K502&amp;"",UTILITIES!$B$3:$B$953&amp;"",UTILITIES!$J$3:$J$953,""),"IOT",_xlfn.XLOOKUP($K502&amp;"",IOT!$B$3:$B$1012&amp;"",IOT!$K$4:$K$1012,""),"Server",_xlfn.XLOOKUP($K502&amp;"",SERVER!$B$3:$B$1009&amp;"",SERVER!$K$3:$K$1009,""),""))))</f>
        <v/>
      </c>
      <c r="O502" s="1" t="str" cm="1">
        <f t="array" ref="O502">IF(OR($K502="",$I502="",$J502=""),"",_xlfn.LET(_xlpm.srcCat,_xlfn.SWITCH($I502,"Computer",_xlfn.XLOOKUP($K502&amp;"",COMPUTER!$B$3:$B$1009&amp;"",COMPUTER!$H$3:$H$1009,""),"Display",_xlfn.XLOOKUP($K502&amp;"",DISPLAY!$B$3:$B$1000&amp;"",DISPLAY!$H$3:$H$1000,""),"Network Device",_xlfn.XLOOKUP($K502&amp;"",'NETWORK-DEVICES'!$B$3:$B$987&amp;"",'NETWORK-DEVICES'!$H$3:$H$987,""),"Peripheral",_xlfn.XLOOKUP($K502&amp;"",PERIPHERAL!$B$3:$B$954&amp;"",PERIPHERAL!$H$3:$H$954,""),"Utilities",_xlfn.XLOOKUP($K502&amp;"",UTILITIES!$B$3:$B$953&amp;"",UTILITIES!$G$3:$G$953,""),"IOT",_xlfn.XLOOKUP($K502&amp;"",IOT!$B$3:$B$1012&amp;"",IOT!$H$3:$H$1012,""),"Server",_xlfn.XLOOKUP($K502&amp;"",SERVER!$B$3:$B$1009&amp;"",SERVER!$H$3:$H$1009,""),""),IF(TRIM(_xlpm.srcCat)&lt;&gt;TRIM($J502),"",_xlfn.SWITCH($I502,"Computer",_xlfn.XLOOKUP($K502&amp;"",COMPUTER!$B$3:$B$1009&amp;"",COMPUTER!$E$3:$E$1009,""),"Display",_xlfn.XLOOKUP($K502&amp;"",DISPLAY!$B$3:$B$1000&amp;"",DISPLAY!$E$3:$E$1000,""),"Network Device",_xlfn.XLOOKUP($K502&amp;"",'NETWORK-DEVICES'!$B$3:$B$987&amp;"",'NETWORK-DEVICES'!$E$3:$E$987,""),"Peripheral",_xlfn.XLOOKUP($K502&amp;"",PERIPHERAL!$B$3:$B$954&amp;"",PERIPHERAL!$E$3:$E$954,""),"Utilities",_xlfn.XLOOKUP($K502&amp;"",UTILITIES!$B$3:$B$953&amp;"",UTILITIES!$E$3:$E$953,""),"IOT",_xlfn.XLOOKUP($K502&amp;"",IOT!$B$3:$B$1012&amp;"",IOT!$E$3:$E$1012,""),"Server",_xlfn.XLOOKUP($K502&amp;"",SERVER!$B$3:$B$1009&amp;"",SERVER!$E$3:$E$1009,""),""))))</f>
        <v/>
      </c>
      <c r="Q502" s="1" t="str" cm="1">
        <f t="array" ref="Q502">IF(OR($K502="",$I502="",$J502=""),"",_xlfn.LET(_xlpm.srcCat,_xlfn.SWITCH($I502,"Computer",_xlfn.XLOOKUP($K502&amp;"",COMPUTER!$B$3:$B$1009&amp;"",COMPUTER!$H$3:$H$1009,""),"Display",_xlfn.XLOOKUP($K502&amp;"",DISPLAY!$B$3:$B$1000&amp;"",DISPLAY!$H$3:$H$1000,""),"Network Device",_xlfn.XLOOKUP($K502&amp;"",'NETWORK-DEVICES'!$B$3:$B$987&amp;"",'NETWORK-DEVICES'!$H$3:$H$987,""),"Peripheral",_xlfn.XLOOKUP($K502&amp;"",PERIPHERAL!$B$3:$B$954&amp;"",PERIPHERAL!$H$3:$H$954,""),"Utilities",_xlfn.XLOOKUP($K502&amp;"",UTILITIES!$B$3:$B$953&amp;"",UTILITIES!$G$3:$G$953,""),"IOT",_xlfn.XLOOKUP($K502&amp;"",IOT!$B$3:$B$1012&amp;"",IOT!$H$3:$H$1012,""),"Server",_xlfn.XLOOKUP($K502&amp;"",SERVER!$B$3:$B$1009&amp;"",SERVER!$H$3:$H$1009,""),""),IF(TRIM(_xlpm.srcCat)&lt;&gt;TRIM($J502),"",_xlfn.SWITCH($I502,"Computer",_xlfn.XLOOKUP($K502&amp;"",COMPUTER!$B$3:$B$1009&amp;"",COMPUTER!$AM$3:$AM$1009,""),"Display",_xlfn.XLOOKUP($K502&amp;"",DISPLAY!$B$3:$B$1000&amp;"",DISPLAY!$V$3:$V$1000,""),"Network Device",_xlfn.XLOOKUP($K502&amp;"",'NETWORK-DEVICES'!$B$3:$B$987&amp;"",'NETWORK-DEVICES'!$AF$3:$AF$987,""),"Peripheral",_xlfn.XLOOKUP($K502&amp;"",PERIPHERAL!$B$3:$B$954&amp;"",PERIPHERAL!$Y$3:$Y$954,""),"Utilities",_xlfn.XLOOKUP($K502&amp;"",UTILITIES!$B$3:$B$953&amp;"",UTILITIES!$O$3:$O$953,""),"IOT",_xlfn.XLOOKUP($K502&amp;"",IOT!$B$3:$B$1012&amp;"",IOT!$AB$3:$AB$1012,""),"Server",_xlfn.XLOOKUP($K502&amp;"",SERVER!$B$3:$B$1009&amp;"",SERVER!$AB$3:$AB$1009,""),""))))</f>
        <v/>
      </c>
      <c r="R502" s="43" t="str">
        <f>IF(tbl_handover[[#This Row],[Asset Code]]="","",COUNTIF(tbl_handover[Asset Code],tbl_handover[[#This Row],[Asset Code]]))</f>
        <v/>
      </c>
    </row>
    <row r="503" spans="1:18" x14ac:dyDescent="0.25">
      <c r="A503" s="43" t="str">
        <f>IF(B503&lt;&gt;"",SUBTOTAL(3,$B$1:B502),"")</f>
        <v/>
      </c>
      <c r="C503" s="74"/>
      <c r="D503" s="74"/>
      <c r="G503" s="1"/>
      <c r="K503" s="42"/>
      <c r="L503" t="str" cm="1">
        <f t="array" ref="L503">IF($K503="","",_xlfn.SWITCH($I503,"Computer",_xlfn.XLOOKUP($K503&amp;"",COMPUTER!$B$3:$B$1009&amp;"",COMPUTER!$I$3:$I$1009,""),"Display",_xlfn.XLOOKUP($K503&amp;"",DISPLAY!$B$3:$B$1000&amp;"",DISPLAY!$J$3:$J$1000,""),"Network Device",_xlfn.XLOOKUP($K503&amp;"",'NETWORK-DEVICES'!$B$3:$B$987&amp;"",'NETWORK-DEVICES'!$I$3:$I$987,""),"Peripheral",_xlfn.XLOOKUP($K503&amp;"",PERIPHERAL!$B$3:$B$954&amp;"",PERIPHERAL!$I$3:$I$954,""),"Utilities",_xlfn.XLOOKUP($K503&amp;"",UTILITIES!$B$3:$B$953&amp;"",UTILITIES!$H$3:$H$953,""),"IOT",_xlfn.XLOOKUP($K503&amp;"",IOT!$B$3:$B$1012&amp;"",IOT!$I$3:$I$1012,""),"SERVER",_xlfn.XLOOKUP($K503&amp;"",SERVER!$B$3:$B$1009&amp;"",SERVER!$I$3:$I$1009,""),""))</f>
        <v/>
      </c>
      <c r="M503" t="str" cm="1">
        <f t="array" ref="M503">IF($K503="","",_xlfn.SWITCH($I503,"Computer",_xlfn.XLOOKUP($K503&amp;"",COMPUTER!$B$3:$B$1009&amp;"",COMPUTER!$J$3:$J$1009,""),"Display",_xlfn.XLOOKUP($K503&amp;"",DISPLAY!$B$3:$B$1000&amp;"",DISPLAY!$K$3:$K$1000,""),"Network Device",_xlfn.XLOOKUP($K503&amp;"",'NETWORK-DEVICES'!$B$3:$B$987&amp;"",'NETWORK-DEVICES'!$I$3:$I$987,""),"Peripheral",_xlfn.XLOOKUP($K503&amp;"",PERIPHERAL!$B$3:$B$954&amp;"",PERIPHERAL!$J$3:$J$954,""),"Utilities",_xlfn.XLOOKUP($K503&amp;"",UTILITIES!$B$3:$B$953&amp;"",UTILITIES!$I$3:$I$953,""),"IOT",_xlfn.XLOOKUP($K503&amp;"",IOT!$B$3:$B$1012&amp;"",IOT!$J$3:$J$1012,""),"Server",_xlfn.XLOOKUP($K503&amp;"",SERVER!$B$3:$B$1009&amp;"",SERVER!$J$3:$J$1009,""),""))</f>
        <v/>
      </c>
      <c r="N503" s="1" t="str" cm="1">
        <f t="array" ref="N503">IF(OR($K503="",$I503="",$J503=""),"",_xlfn.LET(_xlpm.srcCat,_xlfn.SWITCH($I503,"Computer",_xlfn.XLOOKUP($K503&amp;"",COMPUTER!$B$3:$B$1009&amp;"",COMPUTER!$H$3:$H$1009,""),"Display",_xlfn.XLOOKUP($K503&amp;"",DISPLAY!$B$3:$B$1000&amp;"",DISPLAY!$H$3:$H$1000,""),"Network Device",_xlfn.XLOOKUP($K503&amp;"",'NETWORK-DEVICES'!$B$3:$B$987&amp;"",'NETWORK-DEVICES'!$H$3:$H$987,""),"Peripheral",_xlfn.XLOOKUP($K503&amp;"",PERIPHERAL!$B$3:$B$954&amp;"",PERIPHERAL!$H$3:$H$954,""),"Utilities",_xlfn.XLOOKUP($K503&amp;"",UTILITIES!$B$3:$B$953&amp;"",UTILITIES!$G$3:$G$953,""),"IOT",_xlfn.XLOOKUP($K503&amp;"",IOT!$B$3:$B$1012&amp;"",IOT!$H$3:$H$1012,""),"Server",_xlfn.XLOOKUP($K503&amp;"",SERVER!$B$3:$B$1009&amp;"",SERVER!$H$3:$H$1009,""),""),IF(TRIM(_xlpm.srcCat)&lt;&gt;TRIM($J503),"",_xlfn.SWITCH($I503,"Computer",_xlfn.XLOOKUP($K503&amp;"",COMPUTER!$B$3:$B$1009&amp;"",COMPUTER!$K$3:$K$1009,""),"Display",_xlfn.XLOOKUP($K503&amp;"",DISPLAY!$B$3:$B$1000&amp;"",DISPLAY!$L$3:$L$1000,""),"Network Device",_xlfn.XLOOKUP($K503&amp;"",'NETWORK-DEVICES'!$B$3:$B$987&amp;"",'NETWORK-DEVICES'!$K$3:$K$987,""),"Peripheral",_xlfn.XLOOKUP($K503&amp;"",PERIPHERAL!$B$3:$B$954&amp;"",PERIPHERAL!$K$3:$K$954,""),"Utilities",_xlfn.XLOOKUP($K503&amp;"",UTILITIES!$B$3:$B$953&amp;"",UTILITIES!$J$3:$J$953,""),"IOT",_xlfn.XLOOKUP($K503&amp;"",IOT!$B$3:$B$1012&amp;"",IOT!$K$4:$K$1012,""),"Server",_xlfn.XLOOKUP($K503&amp;"",SERVER!$B$3:$B$1009&amp;"",SERVER!$K$3:$K$1009,""),""))))</f>
        <v/>
      </c>
      <c r="O503" s="1" t="str" cm="1">
        <f t="array" ref="O503">IF(OR($K503="",$I503="",$J503=""),"",_xlfn.LET(_xlpm.srcCat,_xlfn.SWITCH($I503,"Computer",_xlfn.XLOOKUP($K503&amp;"",COMPUTER!$B$3:$B$1009&amp;"",COMPUTER!$H$3:$H$1009,""),"Display",_xlfn.XLOOKUP($K503&amp;"",DISPLAY!$B$3:$B$1000&amp;"",DISPLAY!$H$3:$H$1000,""),"Network Device",_xlfn.XLOOKUP($K503&amp;"",'NETWORK-DEVICES'!$B$3:$B$987&amp;"",'NETWORK-DEVICES'!$H$3:$H$987,""),"Peripheral",_xlfn.XLOOKUP($K503&amp;"",PERIPHERAL!$B$3:$B$954&amp;"",PERIPHERAL!$H$3:$H$954,""),"Utilities",_xlfn.XLOOKUP($K503&amp;"",UTILITIES!$B$3:$B$953&amp;"",UTILITIES!$G$3:$G$953,""),"IOT",_xlfn.XLOOKUP($K503&amp;"",IOT!$B$3:$B$1012&amp;"",IOT!$H$3:$H$1012,""),"Server",_xlfn.XLOOKUP($K503&amp;"",SERVER!$B$3:$B$1009&amp;"",SERVER!$H$3:$H$1009,""),""),IF(TRIM(_xlpm.srcCat)&lt;&gt;TRIM($J503),"",_xlfn.SWITCH($I503,"Computer",_xlfn.XLOOKUP($K503&amp;"",COMPUTER!$B$3:$B$1009&amp;"",COMPUTER!$E$3:$E$1009,""),"Display",_xlfn.XLOOKUP($K503&amp;"",DISPLAY!$B$3:$B$1000&amp;"",DISPLAY!$E$3:$E$1000,""),"Network Device",_xlfn.XLOOKUP($K503&amp;"",'NETWORK-DEVICES'!$B$3:$B$987&amp;"",'NETWORK-DEVICES'!$E$3:$E$987,""),"Peripheral",_xlfn.XLOOKUP($K503&amp;"",PERIPHERAL!$B$3:$B$954&amp;"",PERIPHERAL!$E$3:$E$954,""),"Utilities",_xlfn.XLOOKUP($K503&amp;"",UTILITIES!$B$3:$B$953&amp;"",UTILITIES!$E$3:$E$953,""),"IOT",_xlfn.XLOOKUP($K503&amp;"",IOT!$B$3:$B$1012&amp;"",IOT!$E$3:$E$1012,""),"Server",_xlfn.XLOOKUP($K503&amp;"",SERVER!$B$3:$B$1009&amp;"",SERVER!$E$3:$E$1009,""),""))))</f>
        <v/>
      </c>
      <c r="Q503" s="1" t="str" cm="1">
        <f t="array" ref="Q503">IF(OR($K503="",$I503="",$J503=""),"",_xlfn.LET(_xlpm.srcCat,_xlfn.SWITCH($I503,"Computer",_xlfn.XLOOKUP($K503&amp;"",COMPUTER!$B$3:$B$1009&amp;"",COMPUTER!$H$3:$H$1009,""),"Display",_xlfn.XLOOKUP($K503&amp;"",DISPLAY!$B$3:$B$1000&amp;"",DISPLAY!$H$3:$H$1000,""),"Network Device",_xlfn.XLOOKUP($K503&amp;"",'NETWORK-DEVICES'!$B$3:$B$987&amp;"",'NETWORK-DEVICES'!$H$3:$H$987,""),"Peripheral",_xlfn.XLOOKUP($K503&amp;"",PERIPHERAL!$B$3:$B$954&amp;"",PERIPHERAL!$H$3:$H$954,""),"Utilities",_xlfn.XLOOKUP($K503&amp;"",UTILITIES!$B$3:$B$953&amp;"",UTILITIES!$G$3:$G$953,""),"IOT",_xlfn.XLOOKUP($K503&amp;"",IOT!$B$3:$B$1012&amp;"",IOT!$H$3:$H$1012,""),"Server",_xlfn.XLOOKUP($K503&amp;"",SERVER!$B$3:$B$1009&amp;"",SERVER!$H$3:$H$1009,""),""),IF(TRIM(_xlpm.srcCat)&lt;&gt;TRIM($J503),"",_xlfn.SWITCH($I503,"Computer",_xlfn.XLOOKUP($K503&amp;"",COMPUTER!$B$3:$B$1009&amp;"",COMPUTER!$AM$3:$AM$1009,""),"Display",_xlfn.XLOOKUP($K503&amp;"",DISPLAY!$B$3:$B$1000&amp;"",DISPLAY!$V$3:$V$1000,""),"Network Device",_xlfn.XLOOKUP($K503&amp;"",'NETWORK-DEVICES'!$B$3:$B$987&amp;"",'NETWORK-DEVICES'!$AF$3:$AF$987,""),"Peripheral",_xlfn.XLOOKUP($K503&amp;"",PERIPHERAL!$B$3:$B$954&amp;"",PERIPHERAL!$Y$3:$Y$954,""),"Utilities",_xlfn.XLOOKUP($K503&amp;"",UTILITIES!$B$3:$B$953&amp;"",UTILITIES!$O$3:$O$953,""),"IOT",_xlfn.XLOOKUP($K503&amp;"",IOT!$B$3:$B$1012&amp;"",IOT!$AB$3:$AB$1012,""),"Server",_xlfn.XLOOKUP($K503&amp;"",SERVER!$B$3:$B$1009&amp;"",SERVER!$AB$3:$AB$1009,""),""))))</f>
        <v/>
      </c>
      <c r="R503" s="43" t="str">
        <f>IF(tbl_handover[[#This Row],[Asset Code]]="","",COUNTIF(tbl_handover[Asset Code],tbl_handover[[#This Row],[Asset Code]]))</f>
        <v/>
      </c>
    </row>
    <row r="504" spans="1:18" x14ac:dyDescent="0.25">
      <c r="A504" s="43" t="str">
        <f>IF(B504&lt;&gt;"",SUBTOTAL(3,$B$1:B503),"")</f>
        <v/>
      </c>
      <c r="C504" s="74"/>
      <c r="D504" s="74"/>
      <c r="G504" s="1"/>
      <c r="K504" s="42"/>
      <c r="L504" t="str" cm="1">
        <f t="array" ref="L504">IF($K504="","",_xlfn.SWITCH($I504,"Computer",_xlfn.XLOOKUP($K504&amp;"",COMPUTER!$B$3:$B$1009&amp;"",COMPUTER!$I$3:$I$1009,""),"Display",_xlfn.XLOOKUP($K504&amp;"",DISPLAY!$B$3:$B$1000&amp;"",DISPLAY!$J$3:$J$1000,""),"Network Device",_xlfn.XLOOKUP($K504&amp;"",'NETWORK-DEVICES'!$B$3:$B$987&amp;"",'NETWORK-DEVICES'!$I$3:$I$987,""),"Peripheral",_xlfn.XLOOKUP($K504&amp;"",PERIPHERAL!$B$3:$B$954&amp;"",PERIPHERAL!$I$3:$I$954,""),"Utilities",_xlfn.XLOOKUP($K504&amp;"",UTILITIES!$B$3:$B$953&amp;"",UTILITIES!$H$3:$H$953,""),"IOT",_xlfn.XLOOKUP($K504&amp;"",IOT!$B$3:$B$1012&amp;"",IOT!$I$3:$I$1012,""),"SERVER",_xlfn.XLOOKUP($K504&amp;"",SERVER!$B$3:$B$1009&amp;"",SERVER!$I$3:$I$1009,""),""))</f>
        <v/>
      </c>
      <c r="M504" t="str" cm="1">
        <f t="array" ref="M504">IF($K504="","",_xlfn.SWITCH($I504,"Computer",_xlfn.XLOOKUP($K504&amp;"",COMPUTER!$B$3:$B$1009&amp;"",COMPUTER!$J$3:$J$1009,""),"Display",_xlfn.XLOOKUP($K504&amp;"",DISPLAY!$B$3:$B$1000&amp;"",DISPLAY!$K$3:$K$1000,""),"Network Device",_xlfn.XLOOKUP($K504&amp;"",'NETWORK-DEVICES'!$B$3:$B$987&amp;"",'NETWORK-DEVICES'!$I$3:$I$987,""),"Peripheral",_xlfn.XLOOKUP($K504&amp;"",PERIPHERAL!$B$3:$B$954&amp;"",PERIPHERAL!$J$3:$J$954,""),"Utilities",_xlfn.XLOOKUP($K504&amp;"",UTILITIES!$B$3:$B$953&amp;"",UTILITIES!$I$3:$I$953,""),"IOT",_xlfn.XLOOKUP($K504&amp;"",IOT!$B$3:$B$1012&amp;"",IOT!$J$3:$J$1012,""),"Server",_xlfn.XLOOKUP($K504&amp;"",SERVER!$B$3:$B$1009&amp;"",SERVER!$J$3:$J$1009,""),""))</f>
        <v/>
      </c>
      <c r="N504" s="1" t="str" cm="1">
        <f t="array" ref="N504">IF(OR($K504="",$I504="",$J504=""),"",_xlfn.LET(_xlpm.srcCat,_xlfn.SWITCH($I504,"Computer",_xlfn.XLOOKUP($K504&amp;"",COMPUTER!$B$3:$B$1009&amp;"",COMPUTER!$H$3:$H$1009,""),"Display",_xlfn.XLOOKUP($K504&amp;"",DISPLAY!$B$3:$B$1000&amp;"",DISPLAY!$H$3:$H$1000,""),"Network Device",_xlfn.XLOOKUP($K504&amp;"",'NETWORK-DEVICES'!$B$3:$B$987&amp;"",'NETWORK-DEVICES'!$H$3:$H$987,""),"Peripheral",_xlfn.XLOOKUP($K504&amp;"",PERIPHERAL!$B$3:$B$954&amp;"",PERIPHERAL!$H$3:$H$954,""),"Utilities",_xlfn.XLOOKUP($K504&amp;"",UTILITIES!$B$3:$B$953&amp;"",UTILITIES!$G$3:$G$953,""),"IOT",_xlfn.XLOOKUP($K504&amp;"",IOT!$B$3:$B$1012&amp;"",IOT!$H$3:$H$1012,""),"Server",_xlfn.XLOOKUP($K504&amp;"",SERVER!$B$3:$B$1009&amp;"",SERVER!$H$3:$H$1009,""),""),IF(TRIM(_xlpm.srcCat)&lt;&gt;TRIM($J504),"",_xlfn.SWITCH($I504,"Computer",_xlfn.XLOOKUP($K504&amp;"",COMPUTER!$B$3:$B$1009&amp;"",COMPUTER!$K$3:$K$1009,""),"Display",_xlfn.XLOOKUP($K504&amp;"",DISPLAY!$B$3:$B$1000&amp;"",DISPLAY!$L$3:$L$1000,""),"Network Device",_xlfn.XLOOKUP($K504&amp;"",'NETWORK-DEVICES'!$B$3:$B$987&amp;"",'NETWORK-DEVICES'!$K$3:$K$987,""),"Peripheral",_xlfn.XLOOKUP($K504&amp;"",PERIPHERAL!$B$3:$B$954&amp;"",PERIPHERAL!$K$3:$K$954,""),"Utilities",_xlfn.XLOOKUP($K504&amp;"",UTILITIES!$B$3:$B$953&amp;"",UTILITIES!$J$3:$J$953,""),"IOT",_xlfn.XLOOKUP($K504&amp;"",IOT!$B$3:$B$1012&amp;"",IOT!$K$4:$K$1012,""),"Server",_xlfn.XLOOKUP($K504&amp;"",SERVER!$B$3:$B$1009&amp;"",SERVER!$K$3:$K$1009,""),""))))</f>
        <v/>
      </c>
      <c r="O504" s="1" t="str" cm="1">
        <f t="array" ref="O504">IF(OR($K504="",$I504="",$J504=""),"",_xlfn.LET(_xlpm.srcCat,_xlfn.SWITCH($I504,"Computer",_xlfn.XLOOKUP($K504&amp;"",COMPUTER!$B$3:$B$1009&amp;"",COMPUTER!$H$3:$H$1009,""),"Display",_xlfn.XLOOKUP($K504&amp;"",DISPLAY!$B$3:$B$1000&amp;"",DISPLAY!$H$3:$H$1000,""),"Network Device",_xlfn.XLOOKUP($K504&amp;"",'NETWORK-DEVICES'!$B$3:$B$987&amp;"",'NETWORK-DEVICES'!$H$3:$H$987,""),"Peripheral",_xlfn.XLOOKUP($K504&amp;"",PERIPHERAL!$B$3:$B$954&amp;"",PERIPHERAL!$H$3:$H$954,""),"Utilities",_xlfn.XLOOKUP($K504&amp;"",UTILITIES!$B$3:$B$953&amp;"",UTILITIES!$G$3:$G$953,""),"IOT",_xlfn.XLOOKUP($K504&amp;"",IOT!$B$3:$B$1012&amp;"",IOT!$H$3:$H$1012,""),"Server",_xlfn.XLOOKUP($K504&amp;"",SERVER!$B$3:$B$1009&amp;"",SERVER!$H$3:$H$1009,""),""),IF(TRIM(_xlpm.srcCat)&lt;&gt;TRIM($J504),"",_xlfn.SWITCH($I504,"Computer",_xlfn.XLOOKUP($K504&amp;"",COMPUTER!$B$3:$B$1009&amp;"",COMPUTER!$E$3:$E$1009,""),"Display",_xlfn.XLOOKUP($K504&amp;"",DISPLAY!$B$3:$B$1000&amp;"",DISPLAY!$E$3:$E$1000,""),"Network Device",_xlfn.XLOOKUP($K504&amp;"",'NETWORK-DEVICES'!$B$3:$B$987&amp;"",'NETWORK-DEVICES'!$E$3:$E$987,""),"Peripheral",_xlfn.XLOOKUP($K504&amp;"",PERIPHERAL!$B$3:$B$954&amp;"",PERIPHERAL!$E$3:$E$954,""),"Utilities",_xlfn.XLOOKUP($K504&amp;"",UTILITIES!$B$3:$B$953&amp;"",UTILITIES!$E$3:$E$953,""),"IOT",_xlfn.XLOOKUP($K504&amp;"",IOT!$B$3:$B$1012&amp;"",IOT!$E$3:$E$1012,""),"Server",_xlfn.XLOOKUP($K504&amp;"",SERVER!$B$3:$B$1009&amp;"",SERVER!$E$3:$E$1009,""),""))))</f>
        <v/>
      </c>
      <c r="Q504" s="1" t="str" cm="1">
        <f t="array" ref="Q504">IF(OR($K504="",$I504="",$J504=""),"",_xlfn.LET(_xlpm.srcCat,_xlfn.SWITCH($I504,"Computer",_xlfn.XLOOKUP($K504&amp;"",COMPUTER!$B$3:$B$1009&amp;"",COMPUTER!$H$3:$H$1009,""),"Display",_xlfn.XLOOKUP($K504&amp;"",DISPLAY!$B$3:$B$1000&amp;"",DISPLAY!$H$3:$H$1000,""),"Network Device",_xlfn.XLOOKUP($K504&amp;"",'NETWORK-DEVICES'!$B$3:$B$987&amp;"",'NETWORK-DEVICES'!$H$3:$H$987,""),"Peripheral",_xlfn.XLOOKUP($K504&amp;"",PERIPHERAL!$B$3:$B$954&amp;"",PERIPHERAL!$H$3:$H$954,""),"Utilities",_xlfn.XLOOKUP($K504&amp;"",UTILITIES!$B$3:$B$953&amp;"",UTILITIES!$G$3:$G$953,""),"IOT",_xlfn.XLOOKUP($K504&amp;"",IOT!$B$3:$B$1012&amp;"",IOT!$H$3:$H$1012,""),"Server",_xlfn.XLOOKUP($K504&amp;"",SERVER!$B$3:$B$1009&amp;"",SERVER!$H$3:$H$1009,""),""),IF(TRIM(_xlpm.srcCat)&lt;&gt;TRIM($J504),"",_xlfn.SWITCH($I504,"Computer",_xlfn.XLOOKUP($K504&amp;"",COMPUTER!$B$3:$B$1009&amp;"",COMPUTER!$AM$3:$AM$1009,""),"Display",_xlfn.XLOOKUP($K504&amp;"",DISPLAY!$B$3:$B$1000&amp;"",DISPLAY!$V$3:$V$1000,""),"Network Device",_xlfn.XLOOKUP($K504&amp;"",'NETWORK-DEVICES'!$B$3:$B$987&amp;"",'NETWORK-DEVICES'!$AF$3:$AF$987,""),"Peripheral",_xlfn.XLOOKUP($K504&amp;"",PERIPHERAL!$B$3:$B$954&amp;"",PERIPHERAL!$Y$3:$Y$954,""),"Utilities",_xlfn.XLOOKUP($K504&amp;"",UTILITIES!$B$3:$B$953&amp;"",UTILITIES!$O$3:$O$953,""),"IOT",_xlfn.XLOOKUP($K504&amp;"",IOT!$B$3:$B$1012&amp;"",IOT!$AB$3:$AB$1012,""),"Server",_xlfn.XLOOKUP($K504&amp;"",SERVER!$B$3:$B$1009&amp;"",SERVER!$AB$3:$AB$1009,""),""))))</f>
        <v/>
      </c>
      <c r="R504" s="43" t="str">
        <f>IF(tbl_handover[[#This Row],[Asset Code]]="","",COUNTIF(tbl_handover[Asset Code],tbl_handover[[#This Row],[Asset Code]]))</f>
        <v/>
      </c>
    </row>
    <row r="505" spans="1:18" x14ac:dyDescent="0.25">
      <c r="A505" s="43" t="str">
        <f>IF(B505&lt;&gt;"",SUBTOTAL(3,$B$1:B504),"")</f>
        <v/>
      </c>
      <c r="C505" s="74"/>
      <c r="D505" s="74"/>
      <c r="G505" s="1"/>
      <c r="K505" s="42"/>
      <c r="L505" t="str" cm="1">
        <f t="array" ref="L505">IF($K505="","",_xlfn.SWITCH($I505,"Computer",_xlfn.XLOOKUP($K505&amp;"",COMPUTER!$B$3:$B$1009&amp;"",COMPUTER!$I$3:$I$1009,""),"Display",_xlfn.XLOOKUP($K505&amp;"",DISPLAY!$B$3:$B$1000&amp;"",DISPLAY!$J$3:$J$1000,""),"Network Device",_xlfn.XLOOKUP($K505&amp;"",'NETWORK-DEVICES'!$B$3:$B$987&amp;"",'NETWORK-DEVICES'!$I$3:$I$987,""),"Peripheral",_xlfn.XLOOKUP($K505&amp;"",PERIPHERAL!$B$3:$B$954&amp;"",PERIPHERAL!$I$3:$I$954,""),"Utilities",_xlfn.XLOOKUP($K505&amp;"",UTILITIES!$B$3:$B$953&amp;"",UTILITIES!$H$3:$H$953,""),"IOT",_xlfn.XLOOKUP($K505&amp;"",IOT!$B$3:$B$1012&amp;"",IOT!$I$3:$I$1012,""),"SERVER",_xlfn.XLOOKUP($K505&amp;"",SERVER!$B$3:$B$1009&amp;"",SERVER!$I$3:$I$1009,""),""))</f>
        <v/>
      </c>
      <c r="M505" t="str" cm="1">
        <f t="array" ref="M505">IF($K505="","",_xlfn.SWITCH($I505,"Computer",_xlfn.XLOOKUP($K505&amp;"",COMPUTER!$B$3:$B$1009&amp;"",COMPUTER!$J$3:$J$1009,""),"Display",_xlfn.XLOOKUP($K505&amp;"",DISPLAY!$B$3:$B$1000&amp;"",DISPLAY!$K$3:$K$1000,""),"Network Device",_xlfn.XLOOKUP($K505&amp;"",'NETWORK-DEVICES'!$B$3:$B$987&amp;"",'NETWORK-DEVICES'!$I$3:$I$987,""),"Peripheral",_xlfn.XLOOKUP($K505&amp;"",PERIPHERAL!$B$3:$B$954&amp;"",PERIPHERAL!$J$3:$J$954,""),"Utilities",_xlfn.XLOOKUP($K505&amp;"",UTILITIES!$B$3:$B$953&amp;"",UTILITIES!$I$3:$I$953,""),"IOT",_xlfn.XLOOKUP($K505&amp;"",IOT!$B$3:$B$1012&amp;"",IOT!$J$3:$J$1012,""),"Server",_xlfn.XLOOKUP($K505&amp;"",SERVER!$B$3:$B$1009&amp;"",SERVER!$J$3:$J$1009,""),""))</f>
        <v/>
      </c>
      <c r="N505" s="1" t="str" cm="1">
        <f t="array" ref="N505">IF(OR($K505="",$I505="",$J505=""),"",_xlfn.LET(_xlpm.srcCat,_xlfn.SWITCH($I505,"Computer",_xlfn.XLOOKUP($K505&amp;"",COMPUTER!$B$3:$B$1009&amp;"",COMPUTER!$H$3:$H$1009,""),"Display",_xlfn.XLOOKUP($K505&amp;"",DISPLAY!$B$3:$B$1000&amp;"",DISPLAY!$H$3:$H$1000,""),"Network Device",_xlfn.XLOOKUP($K505&amp;"",'NETWORK-DEVICES'!$B$3:$B$987&amp;"",'NETWORK-DEVICES'!$H$3:$H$987,""),"Peripheral",_xlfn.XLOOKUP($K505&amp;"",PERIPHERAL!$B$3:$B$954&amp;"",PERIPHERAL!$H$3:$H$954,""),"Utilities",_xlfn.XLOOKUP($K505&amp;"",UTILITIES!$B$3:$B$953&amp;"",UTILITIES!$G$3:$G$953,""),"IOT",_xlfn.XLOOKUP($K505&amp;"",IOT!$B$3:$B$1012&amp;"",IOT!$H$3:$H$1012,""),"Server",_xlfn.XLOOKUP($K505&amp;"",SERVER!$B$3:$B$1009&amp;"",SERVER!$H$3:$H$1009,""),""),IF(TRIM(_xlpm.srcCat)&lt;&gt;TRIM($J505),"",_xlfn.SWITCH($I505,"Computer",_xlfn.XLOOKUP($K505&amp;"",COMPUTER!$B$3:$B$1009&amp;"",COMPUTER!$K$3:$K$1009,""),"Display",_xlfn.XLOOKUP($K505&amp;"",DISPLAY!$B$3:$B$1000&amp;"",DISPLAY!$L$3:$L$1000,""),"Network Device",_xlfn.XLOOKUP($K505&amp;"",'NETWORK-DEVICES'!$B$3:$B$987&amp;"",'NETWORK-DEVICES'!$K$3:$K$987,""),"Peripheral",_xlfn.XLOOKUP($K505&amp;"",PERIPHERAL!$B$3:$B$954&amp;"",PERIPHERAL!$K$3:$K$954,""),"Utilities",_xlfn.XLOOKUP($K505&amp;"",UTILITIES!$B$3:$B$953&amp;"",UTILITIES!$J$3:$J$953,""),"IOT",_xlfn.XLOOKUP($K505&amp;"",IOT!$B$3:$B$1012&amp;"",IOT!$K$4:$K$1012,""),"Server",_xlfn.XLOOKUP($K505&amp;"",SERVER!$B$3:$B$1009&amp;"",SERVER!$K$3:$K$1009,""),""))))</f>
        <v/>
      </c>
      <c r="O505" s="1" t="str" cm="1">
        <f t="array" ref="O505">IF(OR($K505="",$I505="",$J505=""),"",_xlfn.LET(_xlpm.srcCat,_xlfn.SWITCH($I505,"Computer",_xlfn.XLOOKUP($K505&amp;"",COMPUTER!$B$3:$B$1009&amp;"",COMPUTER!$H$3:$H$1009,""),"Display",_xlfn.XLOOKUP($K505&amp;"",DISPLAY!$B$3:$B$1000&amp;"",DISPLAY!$H$3:$H$1000,""),"Network Device",_xlfn.XLOOKUP($K505&amp;"",'NETWORK-DEVICES'!$B$3:$B$987&amp;"",'NETWORK-DEVICES'!$H$3:$H$987,""),"Peripheral",_xlfn.XLOOKUP($K505&amp;"",PERIPHERAL!$B$3:$B$954&amp;"",PERIPHERAL!$H$3:$H$954,""),"Utilities",_xlfn.XLOOKUP($K505&amp;"",UTILITIES!$B$3:$B$953&amp;"",UTILITIES!$G$3:$G$953,""),"IOT",_xlfn.XLOOKUP($K505&amp;"",IOT!$B$3:$B$1012&amp;"",IOT!$H$3:$H$1012,""),"Server",_xlfn.XLOOKUP($K505&amp;"",SERVER!$B$3:$B$1009&amp;"",SERVER!$H$3:$H$1009,""),""),IF(TRIM(_xlpm.srcCat)&lt;&gt;TRIM($J505),"",_xlfn.SWITCH($I505,"Computer",_xlfn.XLOOKUP($K505&amp;"",COMPUTER!$B$3:$B$1009&amp;"",COMPUTER!$E$3:$E$1009,""),"Display",_xlfn.XLOOKUP($K505&amp;"",DISPLAY!$B$3:$B$1000&amp;"",DISPLAY!$E$3:$E$1000,""),"Network Device",_xlfn.XLOOKUP($K505&amp;"",'NETWORK-DEVICES'!$B$3:$B$987&amp;"",'NETWORK-DEVICES'!$E$3:$E$987,""),"Peripheral",_xlfn.XLOOKUP($K505&amp;"",PERIPHERAL!$B$3:$B$954&amp;"",PERIPHERAL!$E$3:$E$954,""),"Utilities",_xlfn.XLOOKUP($K505&amp;"",UTILITIES!$B$3:$B$953&amp;"",UTILITIES!$E$3:$E$953,""),"IOT",_xlfn.XLOOKUP($K505&amp;"",IOT!$B$3:$B$1012&amp;"",IOT!$E$3:$E$1012,""),"Server",_xlfn.XLOOKUP($K505&amp;"",SERVER!$B$3:$B$1009&amp;"",SERVER!$E$3:$E$1009,""),""))))</f>
        <v/>
      </c>
      <c r="Q505" s="1" t="str" cm="1">
        <f t="array" ref="Q505">IF(OR($K505="",$I505="",$J505=""),"",_xlfn.LET(_xlpm.srcCat,_xlfn.SWITCH($I505,"Computer",_xlfn.XLOOKUP($K505&amp;"",COMPUTER!$B$3:$B$1009&amp;"",COMPUTER!$H$3:$H$1009,""),"Display",_xlfn.XLOOKUP($K505&amp;"",DISPLAY!$B$3:$B$1000&amp;"",DISPLAY!$H$3:$H$1000,""),"Network Device",_xlfn.XLOOKUP($K505&amp;"",'NETWORK-DEVICES'!$B$3:$B$987&amp;"",'NETWORK-DEVICES'!$H$3:$H$987,""),"Peripheral",_xlfn.XLOOKUP($K505&amp;"",PERIPHERAL!$B$3:$B$954&amp;"",PERIPHERAL!$H$3:$H$954,""),"Utilities",_xlfn.XLOOKUP($K505&amp;"",UTILITIES!$B$3:$B$953&amp;"",UTILITIES!$G$3:$G$953,""),"IOT",_xlfn.XLOOKUP($K505&amp;"",IOT!$B$3:$B$1012&amp;"",IOT!$H$3:$H$1012,""),"Server",_xlfn.XLOOKUP($K505&amp;"",SERVER!$B$3:$B$1009&amp;"",SERVER!$H$3:$H$1009,""),""),IF(TRIM(_xlpm.srcCat)&lt;&gt;TRIM($J505),"",_xlfn.SWITCH($I505,"Computer",_xlfn.XLOOKUP($K505&amp;"",COMPUTER!$B$3:$B$1009&amp;"",COMPUTER!$AM$3:$AM$1009,""),"Display",_xlfn.XLOOKUP($K505&amp;"",DISPLAY!$B$3:$B$1000&amp;"",DISPLAY!$V$3:$V$1000,""),"Network Device",_xlfn.XLOOKUP($K505&amp;"",'NETWORK-DEVICES'!$B$3:$B$987&amp;"",'NETWORK-DEVICES'!$AF$3:$AF$987,""),"Peripheral",_xlfn.XLOOKUP($K505&amp;"",PERIPHERAL!$B$3:$B$954&amp;"",PERIPHERAL!$Y$3:$Y$954,""),"Utilities",_xlfn.XLOOKUP($K505&amp;"",UTILITIES!$B$3:$B$953&amp;"",UTILITIES!$O$3:$O$953,""),"IOT",_xlfn.XLOOKUP($K505&amp;"",IOT!$B$3:$B$1012&amp;"",IOT!$AB$3:$AB$1012,""),"Server",_xlfn.XLOOKUP($K505&amp;"",SERVER!$B$3:$B$1009&amp;"",SERVER!$AB$3:$AB$1009,""),""))))</f>
        <v/>
      </c>
      <c r="R505" s="43" t="str">
        <f>IF(tbl_handover[[#This Row],[Asset Code]]="","",COUNTIF(tbl_handover[Asset Code],tbl_handover[[#This Row],[Asset Code]]))</f>
        <v/>
      </c>
    </row>
    <row r="506" spans="1:18" x14ac:dyDescent="0.25">
      <c r="A506" s="43" t="str">
        <f>IF(B506&lt;&gt;"",SUBTOTAL(3,$B$1:B505),"")</f>
        <v/>
      </c>
      <c r="C506" s="74"/>
      <c r="D506" s="74"/>
      <c r="G506" s="1"/>
      <c r="K506" s="42"/>
      <c r="L506" t="str" cm="1">
        <f t="array" ref="L506">IF($K506="","",_xlfn.SWITCH($I506,"Computer",_xlfn.XLOOKUP($K506&amp;"",COMPUTER!$B$3:$B$1009&amp;"",COMPUTER!$I$3:$I$1009,""),"Display",_xlfn.XLOOKUP($K506&amp;"",DISPLAY!$B$3:$B$1000&amp;"",DISPLAY!$J$3:$J$1000,""),"Network Device",_xlfn.XLOOKUP($K506&amp;"",'NETWORK-DEVICES'!$B$3:$B$987&amp;"",'NETWORK-DEVICES'!$I$3:$I$987,""),"Peripheral",_xlfn.XLOOKUP($K506&amp;"",PERIPHERAL!$B$3:$B$954&amp;"",PERIPHERAL!$I$3:$I$954,""),"Utilities",_xlfn.XLOOKUP($K506&amp;"",UTILITIES!$B$3:$B$953&amp;"",UTILITIES!$H$3:$H$953,""),"IOT",_xlfn.XLOOKUP($K506&amp;"",IOT!$B$3:$B$1012&amp;"",IOT!$I$3:$I$1012,""),"SERVER",_xlfn.XLOOKUP($K506&amp;"",SERVER!$B$3:$B$1009&amp;"",SERVER!$I$3:$I$1009,""),""))</f>
        <v/>
      </c>
      <c r="M506" t="str" cm="1">
        <f t="array" ref="M506">IF($K506="","",_xlfn.SWITCH($I506,"Computer",_xlfn.XLOOKUP($K506&amp;"",COMPUTER!$B$3:$B$1009&amp;"",COMPUTER!$J$3:$J$1009,""),"Display",_xlfn.XLOOKUP($K506&amp;"",DISPLAY!$B$3:$B$1000&amp;"",DISPLAY!$K$3:$K$1000,""),"Network Device",_xlfn.XLOOKUP($K506&amp;"",'NETWORK-DEVICES'!$B$3:$B$987&amp;"",'NETWORK-DEVICES'!$I$3:$I$987,""),"Peripheral",_xlfn.XLOOKUP($K506&amp;"",PERIPHERAL!$B$3:$B$954&amp;"",PERIPHERAL!$J$3:$J$954,""),"Utilities",_xlfn.XLOOKUP($K506&amp;"",UTILITIES!$B$3:$B$953&amp;"",UTILITIES!$I$3:$I$953,""),"IOT",_xlfn.XLOOKUP($K506&amp;"",IOT!$B$3:$B$1012&amp;"",IOT!$J$3:$J$1012,""),"Server",_xlfn.XLOOKUP($K506&amp;"",SERVER!$B$3:$B$1009&amp;"",SERVER!$J$3:$J$1009,""),""))</f>
        <v/>
      </c>
      <c r="N506" s="1" t="str" cm="1">
        <f t="array" ref="N506">IF(OR($K506="",$I506="",$J506=""),"",_xlfn.LET(_xlpm.srcCat,_xlfn.SWITCH($I506,"Computer",_xlfn.XLOOKUP($K506&amp;"",COMPUTER!$B$3:$B$1009&amp;"",COMPUTER!$H$3:$H$1009,""),"Display",_xlfn.XLOOKUP($K506&amp;"",DISPLAY!$B$3:$B$1000&amp;"",DISPLAY!$H$3:$H$1000,""),"Network Device",_xlfn.XLOOKUP($K506&amp;"",'NETWORK-DEVICES'!$B$3:$B$987&amp;"",'NETWORK-DEVICES'!$H$3:$H$987,""),"Peripheral",_xlfn.XLOOKUP($K506&amp;"",PERIPHERAL!$B$3:$B$954&amp;"",PERIPHERAL!$H$3:$H$954,""),"Utilities",_xlfn.XLOOKUP($K506&amp;"",UTILITIES!$B$3:$B$953&amp;"",UTILITIES!$G$3:$G$953,""),"IOT",_xlfn.XLOOKUP($K506&amp;"",IOT!$B$3:$B$1012&amp;"",IOT!$H$3:$H$1012,""),"Server",_xlfn.XLOOKUP($K506&amp;"",SERVER!$B$3:$B$1009&amp;"",SERVER!$H$3:$H$1009,""),""),IF(TRIM(_xlpm.srcCat)&lt;&gt;TRIM($J506),"",_xlfn.SWITCH($I506,"Computer",_xlfn.XLOOKUP($K506&amp;"",COMPUTER!$B$3:$B$1009&amp;"",COMPUTER!$K$3:$K$1009,""),"Display",_xlfn.XLOOKUP($K506&amp;"",DISPLAY!$B$3:$B$1000&amp;"",DISPLAY!$L$3:$L$1000,""),"Network Device",_xlfn.XLOOKUP($K506&amp;"",'NETWORK-DEVICES'!$B$3:$B$987&amp;"",'NETWORK-DEVICES'!$K$3:$K$987,""),"Peripheral",_xlfn.XLOOKUP($K506&amp;"",PERIPHERAL!$B$3:$B$954&amp;"",PERIPHERAL!$K$3:$K$954,""),"Utilities",_xlfn.XLOOKUP($K506&amp;"",UTILITIES!$B$3:$B$953&amp;"",UTILITIES!$J$3:$J$953,""),"IOT",_xlfn.XLOOKUP($K506&amp;"",IOT!$B$3:$B$1012&amp;"",IOT!$K$4:$K$1012,""),"Server",_xlfn.XLOOKUP($K506&amp;"",SERVER!$B$3:$B$1009&amp;"",SERVER!$K$3:$K$1009,""),""))))</f>
        <v/>
      </c>
      <c r="O506" s="1" t="str" cm="1">
        <f t="array" ref="O506">IF(OR($K506="",$I506="",$J506=""),"",_xlfn.LET(_xlpm.srcCat,_xlfn.SWITCH($I506,"Computer",_xlfn.XLOOKUP($K506&amp;"",COMPUTER!$B$3:$B$1009&amp;"",COMPUTER!$H$3:$H$1009,""),"Display",_xlfn.XLOOKUP($K506&amp;"",DISPLAY!$B$3:$B$1000&amp;"",DISPLAY!$H$3:$H$1000,""),"Network Device",_xlfn.XLOOKUP($K506&amp;"",'NETWORK-DEVICES'!$B$3:$B$987&amp;"",'NETWORK-DEVICES'!$H$3:$H$987,""),"Peripheral",_xlfn.XLOOKUP($K506&amp;"",PERIPHERAL!$B$3:$B$954&amp;"",PERIPHERAL!$H$3:$H$954,""),"Utilities",_xlfn.XLOOKUP($K506&amp;"",UTILITIES!$B$3:$B$953&amp;"",UTILITIES!$G$3:$G$953,""),"IOT",_xlfn.XLOOKUP($K506&amp;"",IOT!$B$3:$B$1012&amp;"",IOT!$H$3:$H$1012,""),"Server",_xlfn.XLOOKUP($K506&amp;"",SERVER!$B$3:$B$1009&amp;"",SERVER!$H$3:$H$1009,""),""),IF(TRIM(_xlpm.srcCat)&lt;&gt;TRIM($J506),"",_xlfn.SWITCH($I506,"Computer",_xlfn.XLOOKUP($K506&amp;"",COMPUTER!$B$3:$B$1009&amp;"",COMPUTER!$E$3:$E$1009,""),"Display",_xlfn.XLOOKUP($K506&amp;"",DISPLAY!$B$3:$B$1000&amp;"",DISPLAY!$E$3:$E$1000,""),"Network Device",_xlfn.XLOOKUP($K506&amp;"",'NETWORK-DEVICES'!$B$3:$B$987&amp;"",'NETWORK-DEVICES'!$E$3:$E$987,""),"Peripheral",_xlfn.XLOOKUP($K506&amp;"",PERIPHERAL!$B$3:$B$954&amp;"",PERIPHERAL!$E$3:$E$954,""),"Utilities",_xlfn.XLOOKUP($K506&amp;"",UTILITIES!$B$3:$B$953&amp;"",UTILITIES!$E$3:$E$953,""),"IOT",_xlfn.XLOOKUP($K506&amp;"",IOT!$B$3:$B$1012&amp;"",IOT!$E$3:$E$1012,""),"Server",_xlfn.XLOOKUP($K506&amp;"",SERVER!$B$3:$B$1009&amp;"",SERVER!$E$3:$E$1009,""),""))))</f>
        <v/>
      </c>
      <c r="Q506" s="1" t="str" cm="1">
        <f t="array" ref="Q506">IF(OR($K506="",$I506="",$J506=""),"",_xlfn.LET(_xlpm.srcCat,_xlfn.SWITCH($I506,"Computer",_xlfn.XLOOKUP($K506&amp;"",COMPUTER!$B$3:$B$1009&amp;"",COMPUTER!$H$3:$H$1009,""),"Display",_xlfn.XLOOKUP($K506&amp;"",DISPLAY!$B$3:$B$1000&amp;"",DISPLAY!$H$3:$H$1000,""),"Network Device",_xlfn.XLOOKUP($K506&amp;"",'NETWORK-DEVICES'!$B$3:$B$987&amp;"",'NETWORK-DEVICES'!$H$3:$H$987,""),"Peripheral",_xlfn.XLOOKUP($K506&amp;"",PERIPHERAL!$B$3:$B$954&amp;"",PERIPHERAL!$H$3:$H$954,""),"Utilities",_xlfn.XLOOKUP($K506&amp;"",UTILITIES!$B$3:$B$953&amp;"",UTILITIES!$G$3:$G$953,""),"IOT",_xlfn.XLOOKUP($K506&amp;"",IOT!$B$3:$B$1012&amp;"",IOT!$H$3:$H$1012,""),"Server",_xlfn.XLOOKUP($K506&amp;"",SERVER!$B$3:$B$1009&amp;"",SERVER!$H$3:$H$1009,""),""),IF(TRIM(_xlpm.srcCat)&lt;&gt;TRIM($J506),"",_xlfn.SWITCH($I506,"Computer",_xlfn.XLOOKUP($K506&amp;"",COMPUTER!$B$3:$B$1009&amp;"",COMPUTER!$AM$3:$AM$1009,""),"Display",_xlfn.XLOOKUP($K506&amp;"",DISPLAY!$B$3:$B$1000&amp;"",DISPLAY!$V$3:$V$1000,""),"Network Device",_xlfn.XLOOKUP($K506&amp;"",'NETWORK-DEVICES'!$B$3:$B$987&amp;"",'NETWORK-DEVICES'!$AF$3:$AF$987,""),"Peripheral",_xlfn.XLOOKUP($K506&amp;"",PERIPHERAL!$B$3:$B$954&amp;"",PERIPHERAL!$Y$3:$Y$954,""),"Utilities",_xlfn.XLOOKUP($K506&amp;"",UTILITIES!$B$3:$B$953&amp;"",UTILITIES!$O$3:$O$953,""),"IOT",_xlfn.XLOOKUP($K506&amp;"",IOT!$B$3:$B$1012&amp;"",IOT!$AB$3:$AB$1012,""),"Server",_xlfn.XLOOKUP($K506&amp;"",SERVER!$B$3:$B$1009&amp;"",SERVER!$AB$3:$AB$1009,""),""))))</f>
        <v/>
      </c>
      <c r="R506" s="43" t="str">
        <f>IF(tbl_handover[[#This Row],[Asset Code]]="","",COUNTIF(tbl_handover[Asset Code],tbl_handover[[#This Row],[Asset Code]]))</f>
        <v/>
      </c>
    </row>
    <row r="507" spans="1:18" x14ac:dyDescent="0.25">
      <c r="A507" s="43" t="str">
        <f>IF(B507&lt;&gt;"",SUBTOTAL(3,$B$1:B506),"")</f>
        <v/>
      </c>
      <c r="C507" s="74"/>
      <c r="D507" s="74"/>
      <c r="G507" s="1"/>
      <c r="K507" s="42"/>
      <c r="L507" t="str" cm="1">
        <f t="array" ref="L507">IF($K507="","",_xlfn.SWITCH($I507,"Computer",_xlfn.XLOOKUP($K507&amp;"",COMPUTER!$B$3:$B$1009&amp;"",COMPUTER!$I$3:$I$1009,""),"Display",_xlfn.XLOOKUP($K507&amp;"",DISPLAY!$B$3:$B$1000&amp;"",DISPLAY!$J$3:$J$1000,""),"Network Device",_xlfn.XLOOKUP($K507&amp;"",'NETWORK-DEVICES'!$B$3:$B$987&amp;"",'NETWORK-DEVICES'!$I$3:$I$987,""),"Peripheral",_xlfn.XLOOKUP($K507&amp;"",PERIPHERAL!$B$3:$B$954&amp;"",PERIPHERAL!$I$3:$I$954,""),"Utilities",_xlfn.XLOOKUP($K507&amp;"",UTILITIES!$B$3:$B$953&amp;"",UTILITIES!$H$3:$H$953,""),"IOT",_xlfn.XLOOKUP($K507&amp;"",IOT!$B$3:$B$1012&amp;"",IOT!$I$3:$I$1012,""),"SERVER",_xlfn.XLOOKUP($K507&amp;"",SERVER!$B$3:$B$1009&amp;"",SERVER!$I$3:$I$1009,""),""))</f>
        <v/>
      </c>
      <c r="M507" t="str" cm="1">
        <f t="array" ref="M507">IF($K507="","",_xlfn.SWITCH($I507,"Computer",_xlfn.XLOOKUP($K507&amp;"",COMPUTER!$B$3:$B$1009&amp;"",COMPUTER!$J$3:$J$1009,""),"Display",_xlfn.XLOOKUP($K507&amp;"",DISPLAY!$B$3:$B$1000&amp;"",DISPLAY!$K$3:$K$1000,""),"Network Device",_xlfn.XLOOKUP($K507&amp;"",'NETWORK-DEVICES'!$B$3:$B$987&amp;"",'NETWORK-DEVICES'!$I$3:$I$987,""),"Peripheral",_xlfn.XLOOKUP($K507&amp;"",PERIPHERAL!$B$3:$B$954&amp;"",PERIPHERAL!$J$3:$J$954,""),"Utilities",_xlfn.XLOOKUP($K507&amp;"",UTILITIES!$B$3:$B$953&amp;"",UTILITIES!$I$3:$I$953,""),"IOT",_xlfn.XLOOKUP($K507&amp;"",IOT!$B$3:$B$1012&amp;"",IOT!$J$3:$J$1012,""),"Server",_xlfn.XLOOKUP($K507&amp;"",SERVER!$B$3:$B$1009&amp;"",SERVER!$J$3:$J$1009,""),""))</f>
        <v/>
      </c>
      <c r="N507" s="1" t="str" cm="1">
        <f t="array" ref="N507">IF(OR($K507="",$I507="",$J507=""),"",_xlfn.LET(_xlpm.srcCat,_xlfn.SWITCH($I507,"Computer",_xlfn.XLOOKUP($K507&amp;"",COMPUTER!$B$3:$B$1009&amp;"",COMPUTER!$H$3:$H$1009,""),"Display",_xlfn.XLOOKUP($K507&amp;"",DISPLAY!$B$3:$B$1000&amp;"",DISPLAY!$H$3:$H$1000,""),"Network Device",_xlfn.XLOOKUP($K507&amp;"",'NETWORK-DEVICES'!$B$3:$B$987&amp;"",'NETWORK-DEVICES'!$H$3:$H$987,""),"Peripheral",_xlfn.XLOOKUP($K507&amp;"",PERIPHERAL!$B$3:$B$954&amp;"",PERIPHERAL!$H$3:$H$954,""),"Utilities",_xlfn.XLOOKUP($K507&amp;"",UTILITIES!$B$3:$B$953&amp;"",UTILITIES!$G$3:$G$953,""),"IOT",_xlfn.XLOOKUP($K507&amp;"",IOT!$B$3:$B$1012&amp;"",IOT!$H$3:$H$1012,""),"Server",_xlfn.XLOOKUP($K507&amp;"",SERVER!$B$3:$B$1009&amp;"",SERVER!$H$3:$H$1009,""),""),IF(TRIM(_xlpm.srcCat)&lt;&gt;TRIM($J507),"",_xlfn.SWITCH($I507,"Computer",_xlfn.XLOOKUP($K507&amp;"",COMPUTER!$B$3:$B$1009&amp;"",COMPUTER!$K$3:$K$1009,""),"Display",_xlfn.XLOOKUP($K507&amp;"",DISPLAY!$B$3:$B$1000&amp;"",DISPLAY!$L$3:$L$1000,""),"Network Device",_xlfn.XLOOKUP($K507&amp;"",'NETWORK-DEVICES'!$B$3:$B$987&amp;"",'NETWORK-DEVICES'!$K$3:$K$987,""),"Peripheral",_xlfn.XLOOKUP($K507&amp;"",PERIPHERAL!$B$3:$B$954&amp;"",PERIPHERAL!$K$3:$K$954,""),"Utilities",_xlfn.XLOOKUP($K507&amp;"",UTILITIES!$B$3:$B$953&amp;"",UTILITIES!$J$3:$J$953,""),"IOT",_xlfn.XLOOKUP($K507&amp;"",IOT!$B$3:$B$1012&amp;"",IOT!$K$4:$K$1012,""),"Server",_xlfn.XLOOKUP($K507&amp;"",SERVER!$B$3:$B$1009&amp;"",SERVER!$K$3:$K$1009,""),""))))</f>
        <v/>
      </c>
      <c r="O507" s="1" t="str" cm="1">
        <f t="array" ref="O507">IF(OR($K507="",$I507="",$J507=""),"",_xlfn.LET(_xlpm.srcCat,_xlfn.SWITCH($I507,"Computer",_xlfn.XLOOKUP($K507&amp;"",COMPUTER!$B$3:$B$1009&amp;"",COMPUTER!$H$3:$H$1009,""),"Display",_xlfn.XLOOKUP($K507&amp;"",DISPLAY!$B$3:$B$1000&amp;"",DISPLAY!$H$3:$H$1000,""),"Network Device",_xlfn.XLOOKUP($K507&amp;"",'NETWORK-DEVICES'!$B$3:$B$987&amp;"",'NETWORK-DEVICES'!$H$3:$H$987,""),"Peripheral",_xlfn.XLOOKUP($K507&amp;"",PERIPHERAL!$B$3:$B$954&amp;"",PERIPHERAL!$H$3:$H$954,""),"Utilities",_xlfn.XLOOKUP($K507&amp;"",UTILITIES!$B$3:$B$953&amp;"",UTILITIES!$G$3:$G$953,""),"IOT",_xlfn.XLOOKUP($K507&amp;"",IOT!$B$3:$B$1012&amp;"",IOT!$H$3:$H$1012,""),"Server",_xlfn.XLOOKUP($K507&amp;"",SERVER!$B$3:$B$1009&amp;"",SERVER!$H$3:$H$1009,""),""),IF(TRIM(_xlpm.srcCat)&lt;&gt;TRIM($J507),"",_xlfn.SWITCH($I507,"Computer",_xlfn.XLOOKUP($K507&amp;"",COMPUTER!$B$3:$B$1009&amp;"",COMPUTER!$E$3:$E$1009,""),"Display",_xlfn.XLOOKUP($K507&amp;"",DISPLAY!$B$3:$B$1000&amp;"",DISPLAY!$E$3:$E$1000,""),"Network Device",_xlfn.XLOOKUP($K507&amp;"",'NETWORK-DEVICES'!$B$3:$B$987&amp;"",'NETWORK-DEVICES'!$E$3:$E$987,""),"Peripheral",_xlfn.XLOOKUP($K507&amp;"",PERIPHERAL!$B$3:$B$954&amp;"",PERIPHERAL!$E$3:$E$954,""),"Utilities",_xlfn.XLOOKUP($K507&amp;"",UTILITIES!$B$3:$B$953&amp;"",UTILITIES!$E$3:$E$953,""),"IOT",_xlfn.XLOOKUP($K507&amp;"",IOT!$B$3:$B$1012&amp;"",IOT!$E$3:$E$1012,""),"Server",_xlfn.XLOOKUP($K507&amp;"",SERVER!$B$3:$B$1009&amp;"",SERVER!$E$3:$E$1009,""),""))))</f>
        <v/>
      </c>
      <c r="Q507" s="1" t="str" cm="1">
        <f t="array" ref="Q507">IF(OR($K507="",$I507="",$J507=""),"",_xlfn.LET(_xlpm.srcCat,_xlfn.SWITCH($I507,"Computer",_xlfn.XLOOKUP($K507&amp;"",COMPUTER!$B$3:$B$1009&amp;"",COMPUTER!$H$3:$H$1009,""),"Display",_xlfn.XLOOKUP($K507&amp;"",DISPLAY!$B$3:$B$1000&amp;"",DISPLAY!$H$3:$H$1000,""),"Network Device",_xlfn.XLOOKUP($K507&amp;"",'NETWORK-DEVICES'!$B$3:$B$987&amp;"",'NETWORK-DEVICES'!$H$3:$H$987,""),"Peripheral",_xlfn.XLOOKUP($K507&amp;"",PERIPHERAL!$B$3:$B$954&amp;"",PERIPHERAL!$H$3:$H$954,""),"Utilities",_xlfn.XLOOKUP($K507&amp;"",UTILITIES!$B$3:$B$953&amp;"",UTILITIES!$G$3:$G$953,""),"IOT",_xlfn.XLOOKUP($K507&amp;"",IOT!$B$3:$B$1012&amp;"",IOT!$H$3:$H$1012,""),"Server",_xlfn.XLOOKUP($K507&amp;"",SERVER!$B$3:$B$1009&amp;"",SERVER!$H$3:$H$1009,""),""),IF(TRIM(_xlpm.srcCat)&lt;&gt;TRIM($J507),"",_xlfn.SWITCH($I507,"Computer",_xlfn.XLOOKUP($K507&amp;"",COMPUTER!$B$3:$B$1009&amp;"",COMPUTER!$AM$3:$AM$1009,""),"Display",_xlfn.XLOOKUP($K507&amp;"",DISPLAY!$B$3:$B$1000&amp;"",DISPLAY!$V$3:$V$1000,""),"Network Device",_xlfn.XLOOKUP($K507&amp;"",'NETWORK-DEVICES'!$B$3:$B$987&amp;"",'NETWORK-DEVICES'!$AF$3:$AF$987,""),"Peripheral",_xlfn.XLOOKUP($K507&amp;"",PERIPHERAL!$B$3:$B$954&amp;"",PERIPHERAL!$Y$3:$Y$954,""),"Utilities",_xlfn.XLOOKUP($K507&amp;"",UTILITIES!$B$3:$B$953&amp;"",UTILITIES!$O$3:$O$953,""),"IOT",_xlfn.XLOOKUP($K507&amp;"",IOT!$B$3:$B$1012&amp;"",IOT!$AB$3:$AB$1012,""),"Server",_xlfn.XLOOKUP($K507&amp;"",SERVER!$B$3:$B$1009&amp;"",SERVER!$AB$3:$AB$1009,""),""))))</f>
        <v/>
      </c>
      <c r="R507" s="43" t="str">
        <f>IF(tbl_handover[[#This Row],[Asset Code]]="","",COUNTIF(tbl_handover[Asset Code],tbl_handover[[#This Row],[Asset Code]]))</f>
        <v/>
      </c>
    </row>
    <row r="508" spans="1:18" x14ac:dyDescent="0.25">
      <c r="A508" s="43" t="str">
        <f>IF(B508&lt;&gt;"",SUBTOTAL(3,$B$1:B507),"")</f>
        <v/>
      </c>
      <c r="C508" s="74"/>
      <c r="D508" s="74"/>
      <c r="G508" s="1"/>
      <c r="K508" s="42"/>
      <c r="L508" t="str" cm="1">
        <f t="array" ref="L508">IF($K508="","",_xlfn.SWITCH($I508,"Computer",_xlfn.XLOOKUP($K508&amp;"",COMPUTER!$B$3:$B$1009&amp;"",COMPUTER!$I$3:$I$1009,""),"Display",_xlfn.XLOOKUP($K508&amp;"",DISPLAY!$B$3:$B$1000&amp;"",DISPLAY!$J$3:$J$1000,""),"Network Device",_xlfn.XLOOKUP($K508&amp;"",'NETWORK-DEVICES'!$B$3:$B$987&amp;"",'NETWORK-DEVICES'!$I$3:$I$987,""),"Peripheral",_xlfn.XLOOKUP($K508&amp;"",PERIPHERAL!$B$3:$B$954&amp;"",PERIPHERAL!$I$3:$I$954,""),"Utilities",_xlfn.XLOOKUP($K508&amp;"",UTILITIES!$B$3:$B$953&amp;"",UTILITIES!$H$3:$H$953,""),"IOT",_xlfn.XLOOKUP($K508&amp;"",IOT!$B$3:$B$1012&amp;"",IOT!$I$3:$I$1012,""),"SERVER",_xlfn.XLOOKUP($K508&amp;"",SERVER!$B$3:$B$1009&amp;"",SERVER!$I$3:$I$1009,""),""))</f>
        <v/>
      </c>
      <c r="M508" t="str" cm="1">
        <f t="array" ref="M508">IF($K508="","",_xlfn.SWITCH($I508,"Computer",_xlfn.XLOOKUP($K508&amp;"",COMPUTER!$B$3:$B$1009&amp;"",COMPUTER!$J$3:$J$1009,""),"Display",_xlfn.XLOOKUP($K508&amp;"",DISPLAY!$B$3:$B$1000&amp;"",DISPLAY!$K$3:$K$1000,""),"Network Device",_xlfn.XLOOKUP($K508&amp;"",'NETWORK-DEVICES'!$B$3:$B$987&amp;"",'NETWORK-DEVICES'!$I$3:$I$987,""),"Peripheral",_xlfn.XLOOKUP($K508&amp;"",PERIPHERAL!$B$3:$B$954&amp;"",PERIPHERAL!$J$3:$J$954,""),"Utilities",_xlfn.XLOOKUP($K508&amp;"",UTILITIES!$B$3:$B$953&amp;"",UTILITIES!$I$3:$I$953,""),"IOT",_xlfn.XLOOKUP($K508&amp;"",IOT!$B$3:$B$1012&amp;"",IOT!$J$3:$J$1012,""),"Server",_xlfn.XLOOKUP($K508&amp;"",SERVER!$B$3:$B$1009&amp;"",SERVER!$J$3:$J$1009,""),""))</f>
        <v/>
      </c>
      <c r="N508" s="1" t="str" cm="1">
        <f t="array" ref="N508">IF(OR($K508="",$I508="",$J508=""),"",_xlfn.LET(_xlpm.srcCat,_xlfn.SWITCH($I508,"Computer",_xlfn.XLOOKUP($K508&amp;"",COMPUTER!$B$3:$B$1009&amp;"",COMPUTER!$H$3:$H$1009,""),"Display",_xlfn.XLOOKUP($K508&amp;"",DISPLAY!$B$3:$B$1000&amp;"",DISPLAY!$H$3:$H$1000,""),"Network Device",_xlfn.XLOOKUP($K508&amp;"",'NETWORK-DEVICES'!$B$3:$B$987&amp;"",'NETWORK-DEVICES'!$H$3:$H$987,""),"Peripheral",_xlfn.XLOOKUP($K508&amp;"",PERIPHERAL!$B$3:$B$954&amp;"",PERIPHERAL!$H$3:$H$954,""),"Utilities",_xlfn.XLOOKUP($K508&amp;"",UTILITIES!$B$3:$B$953&amp;"",UTILITIES!$G$3:$G$953,""),"IOT",_xlfn.XLOOKUP($K508&amp;"",IOT!$B$3:$B$1012&amp;"",IOT!$H$3:$H$1012,""),"Server",_xlfn.XLOOKUP($K508&amp;"",SERVER!$B$3:$B$1009&amp;"",SERVER!$H$3:$H$1009,""),""),IF(TRIM(_xlpm.srcCat)&lt;&gt;TRIM($J508),"",_xlfn.SWITCH($I508,"Computer",_xlfn.XLOOKUP($K508&amp;"",COMPUTER!$B$3:$B$1009&amp;"",COMPUTER!$K$3:$K$1009,""),"Display",_xlfn.XLOOKUP($K508&amp;"",DISPLAY!$B$3:$B$1000&amp;"",DISPLAY!$L$3:$L$1000,""),"Network Device",_xlfn.XLOOKUP($K508&amp;"",'NETWORK-DEVICES'!$B$3:$B$987&amp;"",'NETWORK-DEVICES'!$K$3:$K$987,""),"Peripheral",_xlfn.XLOOKUP($K508&amp;"",PERIPHERAL!$B$3:$B$954&amp;"",PERIPHERAL!$K$3:$K$954,""),"Utilities",_xlfn.XLOOKUP($K508&amp;"",UTILITIES!$B$3:$B$953&amp;"",UTILITIES!$J$3:$J$953,""),"IOT",_xlfn.XLOOKUP($K508&amp;"",IOT!$B$3:$B$1012&amp;"",IOT!$K$4:$K$1012,""),"Server",_xlfn.XLOOKUP($K508&amp;"",SERVER!$B$3:$B$1009&amp;"",SERVER!$K$3:$K$1009,""),""))))</f>
        <v/>
      </c>
      <c r="O508" s="1" t="str" cm="1">
        <f t="array" ref="O508">IF(OR($K508="",$I508="",$J508=""),"",_xlfn.LET(_xlpm.srcCat,_xlfn.SWITCH($I508,"Computer",_xlfn.XLOOKUP($K508&amp;"",COMPUTER!$B$3:$B$1009&amp;"",COMPUTER!$H$3:$H$1009,""),"Display",_xlfn.XLOOKUP($K508&amp;"",DISPLAY!$B$3:$B$1000&amp;"",DISPLAY!$H$3:$H$1000,""),"Network Device",_xlfn.XLOOKUP($K508&amp;"",'NETWORK-DEVICES'!$B$3:$B$987&amp;"",'NETWORK-DEVICES'!$H$3:$H$987,""),"Peripheral",_xlfn.XLOOKUP($K508&amp;"",PERIPHERAL!$B$3:$B$954&amp;"",PERIPHERAL!$H$3:$H$954,""),"Utilities",_xlfn.XLOOKUP($K508&amp;"",UTILITIES!$B$3:$B$953&amp;"",UTILITIES!$G$3:$G$953,""),"IOT",_xlfn.XLOOKUP($K508&amp;"",IOT!$B$3:$B$1012&amp;"",IOT!$H$3:$H$1012,""),"Server",_xlfn.XLOOKUP($K508&amp;"",SERVER!$B$3:$B$1009&amp;"",SERVER!$H$3:$H$1009,""),""),IF(TRIM(_xlpm.srcCat)&lt;&gt;TRIM($J508),"",_xlfn.SWITCH($I508,"Computer",_xlfn.XLOOKUP($K508&amp;"",COMPUTER!$B$3:$B$1009&amp;"",COMPUTER!$E$3:$E$1009,""),"Display",_xlfn.XLOOKUP($K508&amp;"",DISPLAY!$B$3:$B$1000&amp;"",DISPLAY!$E$3:$E$1000,""),"Network Device",_xlfn.XLOOKUP($K508&amp;"",'NETWORK-DEVICES'!$B$3:$B$987&amp;"",'NETWORK-DEVICES'!$E$3:$E$987,""),"Peripheral",_xlfn.XLOOKUP($K508&amp;"",PERIPHERAL!$B$3:$B$954&amp;"",PERIPHERAL!$E$3:$E$954,""),"Utilities",_xlfn.XLOOKUP($K508&amp;"",UTILITIES!$B$3:$B$953&amp;"",UTILITIES!$E$3:$E$953,""),"IOT",_xlfn.XLOOKUP($K508&amp;"",IOT!$B$3:$B$1012&amp;"",IOT!$E$3:$E$1012,""),"Server",_xlfn.XLOOKUP($K508&amp;"",SERVER!$B$3:$B$1009&amp;"",SERVER!$E$3:$E$1009,""),""))))</f>
        <v/>
      </c>
      <c r="Q508" s="1" t="str" cm="1">
        <f t="array" ref="Q508">IF(OR($K508="",$I508="",$J508=""),"",_xlfn.LET(_xlpm.srcCat,_xlfn.SWITCH($I508,"Computer",_xlfn.XLOOKUP($K508&amp;"",COMPUTER!$B$3:$B$1009&amp;"",COMPUTER!$H$3:$H$1009,""),"Display",_xlfn.XLOOKUP($K508&amp;"",DISPLAY!$B$3:$B$1000&amp;"",DISPLAY!$H$3:$H$1000,""),"Network Device",_xlfn.XLOOKUP($K508&amp;"",'NETWORK-DEVICES'!$B$3:$B$987&amp;"",'NETWORK-DEVICES'!$H$3:$H$987,""),"Peripheral",_xlfn.XLOOKUP($K508&amp;"",PERIPHERAL!$B$3:$B$954&amp;"",PERIPHERAL!$H$3:$H$954,""),"Utilities",_xlfn.XLOOKUP($K508&amp;"",UTILITIES!$B$3:$B$953&amp;"",UTILITIES!$G$3:$G$953,""),"IOT",_xlfn.XLOOKUP($K508&amp;"",IOT!$B$3:$B$1012&amp;"",IOT!$H$3:$H$1012,""),"Server",_xlfn.XLOOKUP($K508&amp;"",SERVER!$B$3:$B$1009&amp;"",SERVER!$H$3:$H$1009,""),""),IF(TRIM(_xlpm.srcCat)&lt;&gt;TRIM($J508),"",_xlfn.SWITCH($I508,"Computer",_xlfn.XLOOKUP($K508&amp;"",COMPUTER!$B$3:$B$1009&amp;"",COMPUTER!$AM$3:$AM$1009,""),"Display",_xlfn.XLOOKUP($K508&amp;"",DISPLAY!$B$3:$B$1000&amp;"",DISPLAY!$V$3:$V$1000,""),"Network Device",_xlfn.XLOOKUP($K508&amp;"",'NETWORK-DEVICES'!$B$3:$B$987&amp;"",'NETWORK-DEVICES'!$AF$3:$AF$987,""),"Peripheral",_xlfn.XLOOKUP($K508&amp;"",PERIPHERAL!$B$3:$B$954&amp;"",PERIPHERAL!$Y$3:$Y$954,""),"Utilities",_xlfn.XLOOKUP($K508&amp;"",UTILITIES!$B$3:$B$953&amp;"",UTILITIES!$O$3:$O$953,""),"IOT",_xlfn.XLOOKUP($K508&amp;"",IOT!$B$3:$B$1012&amp;"",IOT!$AB$3:$AB$1012,""),"Server",_xlfn.XLOOKUP($K508&amp;"",SERVER!$B$3:$B$1009&amp;"",SERVER!$AB$3:$AB$1009,""),""))))</f>
        <v/>
      </c>
      <c r="R508" s="43" t="str">
        <f>IF(tbl_handover[[#This Row],[Asset Code]]="","",COUNTIF(tbl_handover[Asset Code],tbl_handover[[#This Row],[Asset Code]]))</f>
        <v/>
      </c>
    </row>
    <row r="509" spans="1:18" x14ac:dyDescent="0.25">
      <c r="A509" s="43" t="str">
        <f>IF(B509&lt;&gt;"",SUBTOTAL(3,$B$1:B508),"")</f>
        <v/>
      </c>
      <c r="C509" s="74"/>
      <c r="D509" s="74"/>
      <c r="G509" s="1"/>
      <c r="K509" s="42"/>
      <c r="L509" t="str" cm="1">
        <f t="array" ref="L509">IF($K509="","",_xlfn.SWITCH($I509,"Computer",_xlfn.XLOOKUP($K509&amp;"",COMPUTER!$B$3:$B$1009&amp;"",COMPUTER!$I$3:$I$1009,""),"Display",_xlfn.XLOOKUP($K509&amp;"",DISPLAY!$B$3:$B$1000&amp;"",DISPLAY!$J$3:$J$1000,""),"Network Device",_xlfn.XLOOKUP($K509&amp;"",'NETWORK-DEVICES'!$B$3:$B$987&amp;"",'NETWORK-DEVICES'!$I$3:$I$987,""),"Peripheral",_xlfn.XLOOKUP($K509&amp;"",PERIPHERAL!$B$3:$B$954&amp;"",PERIPHERAL!$I$3:$I$954,""),"Utilities",_xlfn.XLOOKUP($K509&amp;"",UTILITIES!$B$3:$B$953&amp;"",UTILITIES!$H$3:$H$953,""),"IOT",_xlfn.XLOOKUP($K509&amp;"",IOT!$B$3:$B$1012&amp;"",IOT!$I$3:$I$1012,""),"SERVER",_xlfn.XLOOKUP($K509&amp;"",SERVER!$B$3:$B$1009&amp;"",SERVER!$I$3:$I$1009,""),""))</f>
        <v/>
      </c>
      <c r="M509" t="str" cm="1">
        <f t="array" ref="M509">IF($K509="","",_xlfn.SWITCH($I509,"Computer",_xlfn.XLOOKUP($K509&amp;"",COMPUTER!$B$3:$B$1009&amp;"",COMPUTER!$J$3:$J$1009,""),"Display",_xlfn.XLOOKUP($K509&amp;"",DISPLAY!$B$3:$B$1000&amp;"",DISPLAY!$K$3:$K$1000,""),"Network Device",_xlfn.XLOOKUP($K509&amp;"",'NETWORK-DEVICES'!$B$3:$B$987&amp;"",'NETWORK-DEVICES'!$I$3:$I$987,""),"Peripheral",_xlfn.XLOOKUP($K509&amp;"",PERIPHERAL!$B$3:$B$954&amp;"",PERIPHERAL!$J$3:$J$954,""),"Utilities",_xlfn.XLOOKUP($K509&amp;"",UTILITIES!$B$3:$B$953&amp;"",UTILITIES!$I$3:$I$953,""),"IOT",_xlfn.XLOOKUP($K509&amp;"",IOT!$B$3:$B$1012&amp;"",IOT!$J$3:$J$1012,""),"Server",_xlfn.XLOOKUP($K509&amp;"",SERVER!$B$3:$B$1009&amp;"",SERVER!$J$3:$J$1009,""),""))</f>
        <v/>
      </c>
      <c r="N509" s="1" t="str" cm="1">
        <f t="array" ref="N509">IF(OR($K509="",$I509="",$J509=""),"",_xlfn.LET(_xlpm.srcCat,_xlfn.SWITCH($I509,"Computer",_xlfn.XLOOKUP($K509&amp;"",COMPUTER!$B$3:$B$1009&amp;"",COMPUTER!$H$3:$H$1009,""),"Display",_xlfn.XLOOKUP($K509&amp;"",DISPLAY!$B$3:$B$1000&amp;"",DISPLAY!$H$3:$H$1000,""),"Network Device",_xlfn.XLOOKUP($K509&amp;"",'NETWORK-DEVICES'!$B$3:$B$987&amp;"",'NETWORK-DEVICES'!$H$3:$H$987,""),"Peripheral",_xlfn.XLOOKUP($K509&amp;"",PERIPHERAL!$B$3:$B$954&amp;"",PERIPHERAL!$H$3:$H$954,""),"Utilities",_xlfn.XLOOKUP($K509&amp;"",UTILITIES!$B$3:$B$953&amp;"",UTILITIES!$G$3:$G$953,""),"IOT",_xlfn.XLOOKUP($K509&amp;"",IOT!$B$3:$B$1012&amp;"",IOT!$H$3:$H$1012,""),"Server",_xlfn.XLOOKUP($K509&amp;"",SERVER!$B$3:$B$1009&amp;"",SERVER!$H$3:$H$1009,""),""),IF(TRIM(_xlpm.srcCat)&lt;&gt;TRIM($J509),"",_xlfn.SWITCH($I509,"Computer",_xlfn.XLOOKUP($K509&amp;"",COMPUTER!$B$3:$B$1009&amp;"",COMPUTER!$K$3:$K$1009,""),"Display",_xlfn.XLOOKUP($K509&amp;"",DISPLAY!$B$3:$B$1000&amp;"",DISPLAY!$L$3:$L$1000,""),"Network Device",_xlfn.XLOOKUP($K509&amp;"",'NETWORK-DEVICES'!$B$3:$B$987&amp;"",'NETWORK-DEVICES'!$K$3:$K$987,""),"Peripheral",_xlfn.XLOOKUP($K509&amp;"",PERIPHERAL!$B$3:$B$954&amp;"",PERIPHERAL!$K$3:$K$954,""),"Utilities",_xlfn.XLOOKUP($K509&amp;"",UTILITIES!$B$3:$B$953&amp;"",UTILITIES!$J$3:$J$953,""),"IOT",_xlfn.XLOOKUP($K509&amp;"",IOT!$B$3:$B$1012&amp;"",IOT!$K$4:$K$1012,""),"Server",_xlfn.XLOOKUP($K509&amp;"",SERVER!$B$3:$B$1009&amp;"",SERVER!$K$3:$K$1009,""),""))))</f>
        <v/>
      </c>
      <c r="O509" s="1" t="str" cm="1">
        <f t="array" ref="O509">IF(OR($K509="",$I509="",$J509=""),"",_xlfn.LET(_xlpm.srcCat,_xlfn.SWITCH($I509,"Computer",_xlfn.XLOOKUP($K509&amp;"",COMPUTER!$B$3:$B$1009&amp;"",COMPUTER!$H$3:$H$1009,""),"Display",_xlfn.XLOOKUP($K509&amp;"",DISPLAY!$B$3:$B$1000&amp;"",DISPLAY!$H$3:$H$1000,""),"Network Device",_xlfn.XLOOKUP($K509&amp;"",'NETWORK-DEVICES'!$B$3:$B$987&amp;"",'NETWORK-DEVICES'!$H$3:$H$987,""),"Peripheral",_xlfn.XLOOKUP($K509&amp;"",PERIPHERAL!$B$3:$B$954&amp;"",PERIPHERAL!$H$3:$H$954,""),"Utilities",_xlfn.XLOOKUP($K509&amp;"",UTILITIES!$B$3:$B$953&amp;"",UTILITIES!$G$3:$G$953,""),"IOT",_xlfn.XLOOKUP($K509&amp;"",IOT!$B$3:$B$1012&amp;"",IOT!$H$3:$H$1012,""),"Server",_xlfn.XLOOKUP($K509&amp;"",SERVER!$B$3:$B$1009&amp;"",SERVER!$H$3:$H$1009,""),""),IF(TRIM(_xlpm.srcCat)&lt;&gt;TRIM($J509),"",_xlfn.SWITCH($I509,"Computer",_xlfn.XLOOKUP($K509&amp;"",COMPUTER!$B$3:$B$1009&amp;"",COMPUTER!$E$3:$E$1009,""),"Display",_xlfn.XLOOKUP($K509&amp;"",DISPLAY!$B$3:$B$1000&amp;"",DISPLAY!$E$3:$E$1000,""),"Network Device",_xlfn.XLOOKUP($K509&amp;"",'NETWORK-DEVICES'!$B$3:$B$987&amp;"",'NETWORK-DEVICES'!$E$3:$E$987,""),"Peripheral",_xlfn.XLOOKUP($K509&amp;"",PERIPHERAL!$B$3:$B$954&amp;"",PERIPHERAL!$E$3:$E$954,""),"Utilities",_xlfn.XLOOKUP($K509&amp;"",UTILITIES!$B$3:$B$953&amp;"",UTILITIES!$E$3:$E$953,""),"IOT",_xlfn.XLOOKUP($K509&amp;"",IOT!$B$3:$B$1012&amp;"",IOT!$E$3:$E$1012,""),"Server",_xlfn.XLOOKUP($K509&amp;"",SERVER!$B$3:$B$1009&amp;"",SERVER!$E$3:$E$1009,""),""))))</f>
        <v/>
      </c>
      <c r="Q509" s="1" t="str" cm="1">
        <f t="array" ref="Q509">IF(OR($K509="",$I509="",$J509=""),"",_xlfn.LET(_xlpm.srcCat,_xlfn.SWITCH($I509,"Computer",_xlfn.XLOOKUP($K509&amp;"",COMPUTER!$B$3:$B$1009&amp;"",COMPUTER!$H$3:$H$1009,""),"Display",_xlfn.XLOOKUP($K509&amp;"",DISPLAY!$B$3:$B$1000&amp;"",DISPLAY!$H$3:$H$1000,""),"Network Device",_xlfn.XLOOKUP($K509&amp;"",'NETWORK-DEVICES'!$B$3:$B$987&amp;"",'NETWORK-DEVICES'!$H$3:$H$987,""),"Peripheral",_xlfn.XLOOKUP($K509&amp;"",PERIPHERAL!$B$3:$B$954&amp;"",PERIPHERAL!$H$3:$H$954,""),"Utilities",_xlfn.XLOOKUP($K509&amp;"",UTILITIES!$B$3:$B$953&amp;"",UTILITIES!$G$3:$G$953,""),"IOT",_xlfn.XLOOKUP($K509&amp;"",IOT!$B$3:$B$1012&amp;"",IOT!$H$3:$H$1012,""),"Server",_xlfn.XLOOKUP($K509&amp;"",SERVER!$B$3:$B$1009&amp;"",SERVER!$H$3:$H$1009,""),""),IF(TRIM(_xlpm.srcCat)&lt;&gt;TRIM($J509),"",_xlfn.SWITCH($I509,"Computer",_xlfn.XLOOKUP($K509&amp;"",COMPUTER!$B$3:$B$1009&amp;"",COMPUTER!$AM$3:$AM$1009,""),"Display",_xlfn.XLOOKUP($K509&amp;"",DISPLAY!$B$3:$B$1000&amp;"",DISPLAY!$V$3:$V$1000,""),"Network Device",_xlfn.XLOOKUP($K509&amp;"",'NETWORK-DEVICES'!$B$3:$B$987&amp;"",'NETWORK-DEVICES'!$AF$3:$AF$987,""),"Peripheral",_xlfn.XLOOKUP($K509&amp;"",PERIPHERAL!$B$3:$B$954&amp;"",PERIPHERAL!$Y$3:$Y$954,""),"Utilities",_xlfn.XLOOKUP($K509&amp;"",UTILITIES!$B$3:$B$953&amp;"",UTILITIES!$O$3:$O$953,""),"IOT",_xlfn.XLOOKUP($K509&amp;"",IOT!$B$3:$B$1012&amp;"",IOT!$AB$3:$AB$1012,""),"Server",_xlfn.XLOOKUP($K509&amp;"",SERVER!$B$3:$B$1009&amp;"",SERVER!$AB$3:$AB$1009,""),""))))</f>
        <v/>
      </c>
      <c r="R509" s="43" t="str">
        <f>IF(tbl_handover[[#This Row],[Asset Code]]="","",COUNTIF(tbl_handover[Asset Code],tbl_handover[[#This Row],[Asset Code]]))</f>
        <v/>
      </c>
    </row>
    <row r="510" spans="1:18" x14ac:dyDescent="0.25">
      <c r="A510" s="43" t="str">
        <f>IF(B510&lt;&gt;"",SUBTOTAL(3,$B$1:B509),"")</f>
        <v/>
      </c>
      <c r="C510" s="74"/>
      <c r="D510" s="74"/>
      <c r="G510" s="1"/>
      <c r="K510" s="42"/>
      <c r="L510" t="str" cm="1">
        <f t="array" ref="L510">IF($K510="","",_xlfn.SWITCH($I510,"Computer",_xlfn.XLOOKUP($K510&amp;"",COMPUTER!$B$3:$B$1009&amp;"",COMPUTER!$I$3:$I$1009,""),"Display",_xlfn.XLOOKUP($K510&amp;"",DISPLAY!$B$3:$B$1000&amp;"",DISPLAY!$J$3:$J$1000,""),"Network Device",_xlfn.XLOOKUP($K510&amp;"",'NETWORK-DEVICES'!$B$3:$B$987&amp;"",'NETWORK-DEVICES'!$I$3:$I$987,""),"Peripheral",_xlfn.XLOOKUP($K510&amp;"",PERIPHERAL!$B$3:$B$954&amp;"",PERIPHERAL!$I$3:$I$954,""),"Utilities",_xlfn.XLOOKUP($K510&amp;"",UTILITIES!$B$3:$B$953&amp;"",UTILITIES!$H$3:$H$953,""),"IOT",_xlfn.XLOOKUP($K510&amp;"",IOT!$B$3:$B$1012&amp;"",IOT!$I$3:$I$1012,""),"SERVER",_xlfn.XLOOKUP($K510&amp;"",SERVER!$B$3:$B$1009&amp;"",SERVER!$I$3:$I$1009,""),""))</f>
        <v/>
      </c>
      <c r="M510" t="str" cm="1">
        <f t="array" ref="M510">IF($K510="","",_xlfn.SWITCH($I510,"Computer",_xlfn.XLOOKUP($K510&amp;"",COMPUTER!$B$3:$B$1009&amp;"",COMPUTER!$J$3:$J$1009,""),"Display",_xlfn.XLOOKUP($K510&amp;"",DISPLAY!$B$3:$B$1000&amp;"",DISPLAY!$K$3:$K$1000,""),"Network Device",_xlfn.XLOOKUP($K510&amp;"",'NETWORK-DEVICES'!$B$3:$B$987&amp;"",'NETWORK-DEVICES'!$I$3:$I$987,""),"Peripheral",_xlfn.XLOOKUP($K510&amp;"",PERIPHERAL!$B$3:$B$954&amp;"",PERIPHERAL!$J$3:$J$954,""),"Utilities",_xlfn.XLOOKUP($K510&amp;"",UTILITIES!$B$3:$B$953&amp;"",UTILITIES!$I$3:$I$953,""),"IOT",_xlfn.XLOOKUP($K510&amp;"",IOT!$B$3:$B$1012&amp;"",IOT!$J$3:$J$1012,""),"Server",_xlfn.XLOOKUP($K510&amp;"",SERVER!$B$3:$B$1009&amp;"",SERVER!$J$3:$J$1009,""),""))</f>
        <v/>
      </c>
      <c r="N510" s="1" t="str" cm="1">
        <f t="array" ref="N510">IF(OR($K510="",$I510="",$J510=""),"",_xlfn.LET(_xlpm.srcCat,_xlfn.SWITCH($I510,"Computer",_xlfn.XLOOKUP($K510&amp;"",COMPUTER!$B$3:$B$1009&amp;"",COMPUTER!$H$3:$H$1009,""),"Display",_xlfn.XLOOKUP($K510&amp;"",DISPLAY!$B$3:$B$1000&amp;"",DISPLAY!$H$3:$H$1000,""),"Network Device",_xlfn.XLOOKUP($K510&amp;"",'NETWORK-DEVICES'!$B$3:$B$987&amp;"",'NETWORK-DEVICES'!$H$3:$H$987,""),"Peripheral",_xlfn.XLOOKUP($K510&amp;"",PERIPHERAL!$B$3:$B$954&amp;"",PERIPHERAL!$H$3:$H$954,""),"Utilities",_xlfn.XLOOKUP($K510&amp;"",UTILITIES!$B$3:$B$953&amp;"",UTILITIES!$G$3:$G$953,""),"IOT",_xlfn.XLOOKUP($K510&amp;"",IOT!$B$3:$B$1012&amp;"",IOT!$H$3:$H$1012,""),"Server",_xlfn.XLOOKUP($K510&amp;"",SERVER!$B$3:$B$1009&amp;"",SERVER!$H$3:$H$1009,""),""),IF(TRIM(_xlpm.srcCat)&lt;&gt;TRIM($J510),"",_xlfn.SWITCH($I510,"Computer",_xlfn.XLOOKUP($K510&amp;"",COMPUTER!$B$3:$B$1009&amp;"",COMPUTER!$K$3:$K$1009,""),"Display",_xlfn.XLOOKUP($K510&amp;"",DISPLAY!$B$3:$B$1000&amp;"",DISPLAY!$L$3:$L$1000,""),"Network Device",_xlfn.XLOOKUP($K510&amp;"",'NETWORK-DEVICES'!$B$3:$B$987&amp;"",'NETWORK-DEVICES'!$K$3:$K$987,""),"Peripheral",_xlfn.XLOOKUP($K510&amp;"",PERIPHERAL!$B$3:$B$954&amp;"",PERIPHERAL!$K$3:$K$954,""),"Utilities",_xlfn.XLOOKUP($K510&amp;"",UTILITIES!$B$3:$B$953&amp;"",UTILITIES!$J$3:$J$953,""),"IOT",_xlfn.XLOOKUP($K510&amp;"",IOT!$B$3:$B$1012&amp;"",IOT!$K$4:$K$1012,""),"Server",_xlfn.XLOOKUP($K510&amp;"",SERVER!$B$3:$B$1009&amp;"",SERVER!$K$3:$K$1009,""),""))))</f>
        <v/>
      </c>
      <c r="O510" s="1" t="str" cm="1">
        <f t="array" ref="O510">IF(OR($K510="",$I510="",$J510=""),"",_xlfn.LET(_xlpm.srcCat,_xlfn.SWITCH($I510,"Computer",_xlfn.XLOOKUP($K510&amp;"",COMPUTER!$B$3:$B$1009&amp;"",COMPUTER!$H$3:$H$1009,""),"Display",_xlfn.XLOOKUP($K510&amp;"",DISPLAY!$B$3:$B$1000&amp;"",DISPLAY!$H$3:$H$1000,""),"Network Device",_xlfn.XLOOKUP($K510&amp;"",'NETWORK-DEVICES'!$B$3:$B$987&amp;"",'NETWORK-DEVICES'!$H$3:$H$987,""),"Peripheral",_xlfn.XLOOKUP($K510&amp;"",PERIPHERAL!$B$3:$B$954&amp;"",PERIPHERAL!$H$3:$H$954,""),"Utilities",_xlfn.XLOOKUP($K510&amp;"",UTILITIES!$B$3:$B$953&amp;"",UTILITIES!$G$3:$G$953,""),"IOT",_xlfn.XLOOKUP($K510&amp;"",IOT!$B$3:$B$1012&amp;"",IOT!$H$3:$H$1012,""),"Server",_xlfn.XLOOKUP($K510&amp;"",SERVER!$B$3:$B$1009&amp;"",SERVER!$H$3:$H$1009,""),""),IF(TRIM(_xlpm.srcCat)&lt;&gt;TRIM($J510),"",_xlfn.SWITCH($I510,"Computer",_xlfn.XLOOKUP($K510&amp;"",COMPUTER!$B$3:$B$1009&amp;"",COMPUTER!$E$3:$E$1009,""),"Display",_xlfn.XLOOKUP($K510&amp;"",DISPLAY!$B$3:$B$1000&amp;"",DISPLAY!$E$3:$E$1000,""),"Network Device",_xlfn.XLOOKUP($K510&amp;"",'NETWORK-DEVICES'!$B$3:$B$987&amp;"",'NETWORK-DEVICES'!$E$3:$E$987,""),"Peripheral",_xlfn.XLOOKUP($K510&amp;"",PERIPHERAL!$B$3:$B$954&amp;"",PERIPHERAL!$E$3:$E$954,""),"Utilities",_xlfn.XLOOKUP($K510&amp;"",UTILITIES!$B$3:$B$953&amp;"",UTILITIES!$E$3:$E$953,""),"IOT",_xlfn.XLOOKUP($K510&amp;"",IOT!$B$3:$B$1012&amp;"",IOT!$E$3:$E$1012,""),"Server",_xlfn.XLOOKUP($K510&amp;"",SERVER!$B$3:$B$1009&amp;"",SERVER!$E$3:$E$1009,""),""))))</f>
        <v/>
      </c>
      <c r="Q510" s="1" t="str" cm="1">
        <f t="array" ref="Q510">IF(OR($K510="",$I510="",$J510=""),"",_xlfn.LET(_xlpm.srcCat,_xlfn.SWITCH($I510,"Computer",_xlfn.XLOOKUP($K510&amp;"",COMPUTER!$B$3:$B$1009&amp;"",COMPUTER!$H$3:$H$1009,""),"Display",_xlfn.XLOOKUP($K510&amp;"",DISPLAY!$B$3:$B$1000&amp;"",DISPLAY!$H$3:$H$1000,""),"Network Device",_xlfn.XLOOKUP($K510&amp;"",'NETWORK-DEVICES'!$B$3:$B$987&amp;"",'NETWORK-DEVICES'!$H$3:$H$987,""),"Peripheral",_xlfn.XLOOKUP($K510&amp;"",PERIPHERAL!$B$3:$B$954&amp;"",PERIPHERAL!$H$3:$H$954,""),"Utilities",_xlfn.XLOOKUP($K510&amp;"",UTILITIES!$B$3:$B$953&amp;"",UTILITIES!$G$3:$G$953,""),"IOT",_xlfn.XLOOKUP($K510&amp;"",IOT!$B$3:$B$1012&amp;"",IOT!$H$3:$H$1012,""),"Server",_xlfn.XLOOKUP($K510&amp;"",SERVER!$B$3:$B$1009&amp;"",SERVER!$H$3:$H$1009,""),""),IF(TRIM(_xlpm.srcCat)&lt;&gt;TRIM($J510),"",_xlfn.SWITCH($I510,"Computer",_xlfn.XLOOKUP($K510&amp;"",COMPUTER!$B$3:$B$1009&amp;"",COMPUTER!$AM$3:$AM$1009,""),"Display",_xlfn.XLOOKUP($K510&amp;"",DISPLAY!$B$3:$B$1000&amp;"",DISPLAY!$V$3:$V$1000,""),"Network Device",_xlfn.XLOOKUP($K510&amp;"",'NETWORK-DEVICES'!$B$3:$B$987&amp;"",'NETWORK-DEVICES'!$AF$3:$AF$987,""),"Peripheral",_xlfn.XLOOKUP($K510&amp;"",PERIPHERAL!$B$3:$B$954&amp;"",PERIPHERAL!$Y$3:$Y$954,""),"Utilities",_xlfn.XLOOKUP($K510&amp;"",UTILITIES!$B$3:$B$953&amp;"",UTILITIES!$O$3:$O$953,""),"IOT",_xlfn.XLOOKUP($K510&amp;"",IOT!$B$3:$B$1012&amp;"",IOT!$AB$3:$AB$1012,""),"Server",_xlfn.XLOOKUP($K510&amp;"",SERVER!$B$3:$B$1009&amp;"",SERVER!$AB$3:$AB$1009,""),""))))</f>
        <v/>
      </c>
      <c r="R510" s="43" t="str">
        <f>IF(tbl_handover[[#This Row],[Asset Code]]="","",COUNTIF(tbl_handover[Asset Code],tbl_handover[[#This Row],[Asset Code]]))</f>
        <v/>
      </c>
    </row>
    <row r="511" spans="1:18" x14ac:dyDescent="0.25">
      <c r="A511" s="43" t="str">
        <f>IF(B511&lt;&gt;"",SUBTOTAL(3,$B$1:B510),"")</f>
        <v/>
      </c>
      <c r="C511" s="74"/>
      <c r="D511" s="74"/>
      <c r="G511" s="1"/>
      <c r="K511" s="42"/>
      <c r="L511" t="str" cm="1">
        <f t="array" ref="L511">IF($K511="","",_xlfn.SWITCH($I511,"Computer",_xlfn.XLOOKUP($K511&amp;"",COMPUTER!$B$3:$B$1009&amp;"",COMPUTER!$I$3:$I$1009,""),"Display",_xlfn.XLOOKUP($K511&amp;"",DISPLAY!$B$3:$B$1000&amp;"",DISPLAY!$J$3:$J$1000,""),"Network Device",_xlfn.XLOOKUP($K511&amp;"",'NETWORK-DEVICES'!$B$3:$B$987&amp;"",'NETWORK-DEVICES'!$I$3:$I$987,""),"Peripheral",_xlfn.XLOOKUP($K511&amp;"",PERIPHERAL!$B$3:$B$954&amp;"",PERIPHERAL!$I$3:$I$954,""),"Utilities",_xlfn.XLOOKUP($K511&amp;"",UTILITIES!$B$3:$B$953&amp;"",UTILITIES!$H$3:$H$953,""),"IOT",_xlfn.XLOOKUP($K511&amp;"",IOT!$B$3:$B$1012&amp;"",IOT!$I$3:$I$1012,""),"SERVER",_xlfn.XLOOKUP($K511&amp;"",SERVER!$B$3:$B$1009&amp;"",SERVER!$I$3:$I$1009,""),""))</f>
        <v/>
      </c>
      <c r="M511" t="str" cm="1">
        <f t="array" ref="M511">IF($K511="","",_xlfn.SWITCH($I511,"Computer",_xlfn.XLOOKUP($K511&amp;"",COMPUTER!$B$3:$B$1009&amp;"",COMPUTER!$J$3:$J$1009,""),"Display",_xlfn.XLOOKUP($K511&amp;"",DISPLAY!$B$3:$B$1000&amp;"",DISPLAY!$K$3:$K$1000,""),"Network Device",_xlfn.XLOOKUP($K511&amp;"",'NETWORK-DEVICES'!$B$3:$B$987&amp;"",'NETWORK-DEVICES'!$I$3:$I$987,""),"Peripheral",_xlfn.XLOOKUP($K511&amp;"",PERIPHERAL!$B$3:$B$954&amp;"",PERIPHERAL!$J$3:$J$954,""),"Utilities",_xlfn.XLOOKUP($K511&amp;"",UTILITIES!$B$3:$B$953&amp;"",UTILITIES!$I$3:$I$953,""),"IOT",_xlfn.XLOOKUP($K511&amp;"",IOT!$B$3:$B$1012&amp;"",IOT!$J$3:$J$1012,""),"Server",_xlfn.XLOOKUP($K511&amp;"",SERVER!$B$3:$B$1009&amp;"",SERVER!$J$3:$J$1009,""),""))</f>
        <v/>
      </c>
      <c r="N511" s="1" t="str" cm="1">
        <f t="array" ref="N511">IF(OR($K511="",$I511="",$J511=""),"",_xlfn.LET(_xlpm.srcCat,_xlfn.SWITCH($I511,"Computer",_xlfn.XLOOKUP($K511&amp;"",COMPUTER!$B$3:$B$1009&amp;"",COMPUTER!$H$3:$H$1009,""),"Display",_xlfn.XLOOKUP($K511&amp;"",DISPLAY!$B$3:$B$1000&amp;"",DISPLAY!$H$3:$H$1000,""),"Network Device",_xlfn.XLOOKUP($K511&amp;"",'NETWORK-DEVICES'!$B$3:$B$987&amp;"",'NETWORK-DEVICES'!$H$3:$H$987,""),"Peripheral",_xlfn.XLOOKUP($K511&amp;"",PERIPHERAL!$B$3:$B$954&amp;"",PERIPHERAL!$H$3:$H$954,""),"Utilities",_xlfn.XLOOKUP($K511&amp;"",UTILITIES!$B$3:$B$953&amp;"",UTILITIES!$G$3:$G$953,""),"IOT",_xlfn.XLOOKUP($K511&amp;"",IOT!$B$3:$B$1012&amp;"",IOT!$H$3:$H$1012,""),"Server",_xlfn.XLOOKUP($K511&amp;"",SERVER!$B$3:$B$1009&amp;"",SERVER!$H$3:$H$1009,""),""),IF(TRIM(_xlpm.srcCat)&lt;&gt;TRIM($J511),"",_xlfn.SWITCH($I511,"Computer",_xlfn.XLOOKUP($K511&amp;"",COMPUTER!$B$3:$B$1009&amp;"",COMPUTER!$K$3:$K$1009,""),"Display",_xlfn.XLOOKUP($K511&amp;"",DISPLAY!$B$3:$B$1000&amp;"",DISPLAY!$L$3:$L$1000,""),"Network Device",_xlfn.XLOOKUP($K511&amp;"",'NETWORK-DEVICES'!$B$3:$B$987&amp;"",'NETWORK-DEVICES'!$K$3:$K$987,""),"Peripheral",_xlfn.XLOOKUP($K511&amp;"",PERIPHERAL!$B$3:$B$954&amp;"",PERIPHERAL!$K$3:$K$954,""),"Utilities",_xlfn.XLOOKUP($K511&amp;"",UTILITIES!$B$3:$B$953&amp;"",UTILITIES!$J$3:$J$953,""),"IOT",_xlfn.XLOOKUP($K511&amp;"",IOT!$B$3:$B$1012&amp;"",IOT!$K$4:$K$1012,""),"Server",_xlfn.XLOOKUP($K511&amp;"",SERVER!$B$3:$B$1009&amp;"",SERVER!$K$3:$K$1009,""),""))))</f>
        <v/>
      </c>
      <c r="O511" s="1" t="str" cm="1">
        <f t="array" ref="O511">IF(OR($K511="",$I511="",$J511=""),"",_xlfn.LET(_xlpm.srcCat,_xlfn.SWITCH($I511,"Computer",_xlfn.XLOOKUP($K511&amp;"",COMPUTER!$B$3:$B$1009&amp;"",COMPUTER!$H$3:$H$1009,""),"Display",_xlfn.XLOOKUP($K511&amp;"",DISPLAY!$B$3:$B$1000&amp;"",DISPLAY!$H$3:$H$1000,""),"Network Device",_xlfn.XLOOKUP($K511&amp;"",'NETWORK-DEVICES'!$B$3:$B$987&amp;"",'NETWORK-DEVICES'!$H$3:$H$987,""),"Peripheral",_xlfn.XLOOKUP($K511&amp;"",PERIPHERAL!$B$3:$B$954&amp;"",PERIPHERAL!$H$3:$H$954,""),"Utilities",_xlfn.XLOOKUP($K511&amp;"",UTILITIES!$B$3:$B$953&amp;"",UTILITIES!$G$3:$G$953,""),"IOT",_xlfn.XLOOKUP($K511&amp;"",IOT!$B$3:$B$1012&amp;"",IOT!$H$3:$H$1012,""),"Server",_xlfn.XLOOKUP($K511&amp;"",SERVER!$B$3:$B$1009&amp;"",SERVER!$H$3:$H$1009,""),""),IF(TRIM(_xlpm.srcCat)&lt;&gt;TRIM($J511),"",_xlfn.SWITCH($I511,"Computer",_xlfn.XLOOKUP($K511&amp;"",COMPUTER!$B$3:$B$1009&amp;"",COMPUTER!$E$3:$E$1009,""),"Display",_xlfn.XLOOKUP($K511&amp;"",DISPLAY!$B$3:$B$1000&amp;"",DISPLAY!$E$3:$E$1000,""),"Network Device",_xlfn.XLOOKUP($K511&amp;"",'NETWORK-DEVICES'!$B$3:$B$987&amp;"",'NETWORK-DEVICES'!$E$3:$E$987,""),"Peripheral",_xlfn.XLOOKUP($K511&amp;"",PERIPHERAL!$B$3:$B$954&amp;"",PERIPHERAL!$E$3:$E$954,""),"Utilities",_xlfn.XLOOKUP($K511&amp;"",UTILITIES!$B$3:$B$953&amp;"",UTILITIES!$E$3:$E$953,""),"IOT",_xlfn.XLOOKUP($K511&amp;"",IOT!$B$3:$B$1012&amp;"",IOT!$E$3:$E$1012,""),"Server",_xlfn.XLOOKUP($K511&amp;"",SERVER!$B$3:$B$1009&amp;"",SERVER!$E$3:$E$1009,""),""))))</f>
        <v/>
      </c>
      <c r="Q511" s="1" t="str" cm="1">
        <f t="array" ref="Q511">IF(OR($K511="",$I511="",$J511=""),"",_xlfn.LET(_xlpm.srcCat,_xlfn.SWITCH($I511,"Computer",_xlfn.XLOOKUP($K511&amp;"",COMPUTER!$B$3:$B$1009&amp;"",COMPUTER!$H$3:$H$1009,""),"Display",_xlfn.XLOOKUP($K511&amp;"",DISPLAY!$B$3:$B$1000&amp;"",DISPLAY!$H$3:$H$1000,""),"Network Device",_xlfn.XLOOKUP($K511&amp;"",'NETWORK-DEVICES'!$B$3:$B$987&amp;"",'NETWORK-DEVICES'!$H$3:$H$987,""),"Peripheral",_xlfn.XLOOKUP($K511&amp;"",PERIPHERAL!$B$3:$B$954&amp;"",PERIPHERAL!$H$3:$H$954,""),"Utilities",_xlfn.XLOOKUP($K511&amp;"",UTILITIES!$B$3:$B$953&amp;"",UTILITIES!$G$3:$G$953,""),"IOT",_xlfn.XLOOKUP($K511&amp;"",IOT!$B$3:$B$1012&amp;"",IOT!$H$3:$H$1012,""),"Server",_xlfn.XLOOKUP($K511&amp;"",SERVER!$B$3:$B$1009&amp;"",SERVER!$H$3:$H$1009,""),""),IF(TRIM(_xlpm.srcCat)&lt;&gt;TRIM($J511),"",_xlfn.SWITCH($I511,"Computer",_xlfn.XLOOKUP($K511&amp;"",COMPUTER!$B$3:$B$1009&amp;"",COMPUTER!$AM$3:$AM$1009,""),"Display",_xlfn.XLOOKUP($K511&amp;"",DISPLAY!$B$3:$B$1000&amp;"",DISPLAY!$V$3:$V$1000,""),"Network Device",_xlfn.XLOOKUP($K511&amp;"",'NETWORK-DEVICES'!$B$3:$B$987&amp;"",'NETWORK-DEVICES'!$AF$3:$AF$987,""),"Peripheral",_xlfn.XLOOKUP($K511&amp;"",PERIPHERAL!$B$3:$B$954&amp;"",PERIPHERAL!$Y$3:$Y$954,""),"Utilities",_xlfn.XLOOKUP($K511&amp;"",UTILITIES!$B$3:$B$953&amp;"",UTILITIES!$O$3:$O$953,""),"IOT",_xlfn.XLOOKUP($K511&amp;"",IOT!$B$3:$B$1012&amp;"",IOT!$AB$3:$AB$1012,""),"Server",_xlfn.XLOOKUP($K511&amp;"",SERVER!$B$3:$B$1009&amp;"",SERVER!$AB$3:$AB$1009,""),""))))</f>
        <v/>
      </c>
      <c r="R511" s="43" t="str">
        <f>IF(tbl_handover[[#This Row],[Asset Code]]="","",COUNTIF(tbl_handover[Asset Code],tbl_handover[[#This Row],[Asset Code]]))</f>
        <v/>
      </c>
    </row>
    <row r="512" spans="1:18" x14ac:dyDescent="0.25">
      <c r="A512" s="43" t="str">
        <f>IF(B512&lt;&gt;"",SUBTOTAL(3,$B$1:B511),"")</f>
        <v/>
      </c>
      <c r="C512" s="74"/>
      <c r="D512" s="74"/>
      <c r="G512" s="1"/>
      <c r="K512" s="42"/>
      <c r="L512" t="str" cm="1">
        <f t="array" ref="L512">IF($K512="","",_xlfn.SWITCH($I512,"Computer",_xlfn.XLOOKUP($K512&amp;"",COMPUTER!$B$3:$B$1009&amp;"",COMPUTER!$I$3:$I$1009,""),"Display",_xlfn.XLOOKUP($K512&amp;"",DISPLAY!$B$3:$B$1000&amp;"",DISPLAY!$J$3:$J$1000,""),"Network Device",_xlfn.XLOOKUP($K512&amp;"",'NETWORK-DEVICES'!$B$3:$B$987&amp;"",'NETWORK-DEVICES'!$I$3:$I$987,""),"Peripheral",_xlfn.XLOOKUP($K512&amp;"",PERIPHERAL!$B$3:$B$954&amp;"",PERIPHERAL!$I$3:$I$954,""),"Utilities",_xlfn.XLOOKUP($K512&amp;"",UTILITIES!$B$3:$B$953&amp;"",UTILITIES!$H$3:$H$953,""),"IOT",_xlfn.XLOOKUP($K512&amp;"",IOT!$B$3:$B$1012&amp;"",IOT!$I$3:$I$1012,""),"SERVER",_xlfn.XLOOKUP($K512&amp;"",SERVER!$B$3:$B$1009&amp;"",SERVER!$I$3:$I$1009,""),""))</f>
        <v/>
      </c>
      <c r="M512" t="str" cm="1">
        <f t="array" ref="M512">IF($K512="","",_xlfn.SWITCH($I512,"Computer",_xlfn.XLOOKUP($K512&amp;"",COMPUTER!$B$3:$B$1009&amp;"",COMPUTER!$J$3:$J$1009,""),"Display",_xlfn.XLOOKUP($K512&amp;"",DISPLAY!$B$3:$B$1000&amp;"",DISPLAY!$K$3:$K$1000,""),"Network Device",_xlfn.XLOOKUP($K512&amp;"",'NETWORK-DEVICES'!$B$3:$B$987&amp;"",'NETWORK-DEVICES'!$I$3:$I$987,""),"Peripheral",_xlfn.XLOOKUP($K512&amp;"",PERIPHERAL!$B$3:$B$954&amp;"",PERIPHERAL!$J$3:$J$954,""),"Utilities",_xlfn.XLOOKUP($K512&amp;"",UTILITIES!$B$3:$B$953&amp;"",UTILITIES!$I$3:$I$953,""),"IOT",_xlfn.XLOOKUP($K512&amp;"",IOT!$B$3:$B$1012&amp;"",IOT!$J$3:$J$1012,""),"Server",_xlfn.XLOOKUP($K512&amp;"",SERVER!$B$3:$B$1009&amp;"",SERVER!$J$3:$J$1009,""),""))</f>
        <v/>
      </c>
      <c r="N512" s="1" t="str" cm="1">
        <f t="array" ref="N512">IF(OR($K512="",$I512="",$J512=""),"",_xlfn.LET(_xlpm.srcCat,_xlfn.SWITCH($I512,"Computer",_xlfn.XLOOKUP($K512&amp;"",COMPUTER!$B$3:$B$1009&amp;"",COMPUTER!$H$3:$H$1009,""),"Display",_xlfn.XLOOKUP($K512&amp;"",DISPLAY!$B$3:$B$1000&amp;"",DISPLAY!$H$3:$H$1000,""),"Network Device",_xlfn.XLOOKUP($K512&amp;"",'NETWORK-DEVICES'!$B$3:$B$987&amp;"",'NETWORK-DEVICES'!$H$3:$H$987,""),"Peripheral",_xlfn.XLOOKUP($K512&amp;"",PERIPHERAL!$B$3:$B$954&amp;"",PERIPHERAL!$H$3:$H$954,""),"Utilities",_xlfn.XLOOKUP($K512&amp;"",UTILITIES!$B$3:$B$953&amp;"",UTILITIES!$G$3:$G$953,""),"IOT",_xlfn.XLOOKUP($K512&amp;"",IOT!$B$3:$B$1012&amp;"",IOT!$H$3:$H$1012,""),"Server",_xlfn.XLOOKUP($K512&amp;"",SERVER!$B$3:$B$1009&amp;"",SERVER!$H$3:$H$1009,""),""),IF(TRIM(_xlpm.srcCat)&lt;&gt;TRIM($J512),"",_xlfn.SWITCH($I512,"Computer",_xlfn.XLOOKUP($K512&amp;"",COMPUTER!$B$3:$B$1009&amp;"",COMPUTER!$K$3:$K$1009,""),"Display",_xlfn.XLOOKUP($K512&amp;"",DISPLAY!$B$3:$B$1000&amp;"",DISPLAY!$L$3:$L$1000,""),"Network Device",_xlfn.XLOOKUP($K512&amp;"",'NETWORK-DEVICES'!$B$3:$B$987&amp;"",'NETWORK-DEVICES'!$K$3:$K$987,""),"Peripheral",_xlfn.XLOOKUP($K512&amp;"",PERIPHERAL!$B$3:$B$954&amp;"",PERIPHERAL!$K$3:$K$954,""),"Utilities",_xlfn.XLOOKUP($K512&amp;"",UTILITIES!$B$3:$B$953&amp;"",UTILITIES!$J$3:$J$953,""),"IOT",_xlfn.XLOOKUP($K512&amp;"",IOT!$B$3:$B$1012&amp;"",IOT!$K$4:$K$1012,""),"Server",_xlfn.XLOOKUP($K512&amp;"",SERVER!$B$3:$B$1009&amp;"",SERVER!$K$3:$K$1009,""),""))))</f>
        <v/>
      </c>
      <c r="O512" s="1" t="str" cm="1">
        <f t="array" ref="O512">IF(OR($K512="",$I512="",$J512=""),"",_xlfn.LET(_xlpm.srcCat,_xlfn.SWITCH($I512,"Computer",_xlfn.XLOOKUP($K512&amp;"",COMPUTER!$B$3:$B$1009&amp;"",COMPUTER!$H$3:$H$1009,""),"Display",_xlfn.XLOOKUP($K512&amp;"",DISPLAY!$B$3:$B$1000&amp;"",DISPLAY!$H$3:$H$1000,""),"Network Device",_xlfn.XLOOKUP($K512&amp;"",'NETWORK-DEVICES'!$B$3:$B$987&amp;"",'NETWORK-DEVICES'!$H$3:$H$987,""),"Peripheral",_xlfn.XLOOKUP($K512&amp;"",PERIPHERAL!$B$3:$B$954&amp;"",PERIPHERAL!$H$3:$H$954,""),"Utilities",_xlfn.XLOOKUP($K512&amp;"",UTILITIES!$B$3:$B$953&amp;"",UTILITIES!$G$3:$G$953,""),"IOT",_xlfn.XLOOKUP($K512&amp;"",IOT!$B$3:$B$1012&amp;"",IOT!$H$3:$H$1012,""),"Server",_xlfn.XLOOKUP($K512&amp;"",SERVER!$B$3:$B$1009&amp;"",SERVER!$H$3:$H$1009,""),""),IF(TRIM(_xlpm.srcCat)&lt;&gt;TRIM($J512),"",_xlfn.SWITCH($I512,"Computer",_xlfn.XLOOKUP($K512&amp;"",COMPUTER!$B$3:$B$1009&amp;"",COMPUTER!$E$3:$E$1009,""),"Display",_xlfn.XLOOKUP($K512&amp;"",DISPLAY!$B$3:$B$1000&amp;"",DISPLAY!$E$3:$E$1000,""),"Network Device",_xlfn.XLOOKUP($K512&amp;"",'NETWORK-DEVICES'!$B$3:$B$987&amp;"",'NETWORK-DEVICES'!$E$3:$E$987,""),"Peripheral",_xlfn.XLOOKUP($K512&amp;"",PERIPHERAL!$B$3:$B$954&amp;"",PERIPHERAL!$E$3:$E$954,""),"Utilities",_xlfn.XLOOKUP($K512&amp;"",UTILITIES!$B$3:$B$953&amp;"",UTILITIES!$E$3:$E$953,""),"IOT",_xlfn.XLOOKUP($K512&amp;"",IOT!$B$3:$B$1012&amp;"",IOT!$E$3:$E$1012,""),"Server",_xlfn.XLOOKUP($K512&amp;"",SERVER!$B$3:$B$1009&amp;"",SERVER!$E$3:$E$1009,""),""))))</f>
        <v/>
      </c>
      <c r="Q512" s="1" t="str" cm="1">
        <f t="array" ref="Q512">IF(OR($K512="",$I512="",$J512=""),"",_xlfn.LET(_xlpm.srcCat,_xlfn.SWITCH($I512,"Computer",_xlfn.XLOOKUP($K512&amp;"",COMPUTER!$B$3:$B$1009&amp;"",COMPUTER!$H$3:$H$1009,""),"Display",_xlfn.XLOOKUP($K512&amp;"",DISPLAY!$B$3:$B$1000&amp;"",DISPLAY!$H$3:$H$1000,""),"Network Device",_xlfn.XLOOKUP($K512&amp;"",'NETWORK-DEVICES'!$B$3:$B$987&amp;"",'NETWORK-DEVICES'!$H$3:$H$987,""),"Peripheral",_xlfn.XLOOKUP($K512&amp;"",PERIPHERAL!$B$3:$B$954&amp;"",PERIPHERAL!$H$3:$H$954,""),"Utilities",_xlfn.XLOOKUP($K512&amp;"",UTILITIES!$B$3:$B$953&amp;"",UTILITIES!$G$3:$G$953,""),"IOT",_xlfn.XLOOKUP($K512&amp;"",IOT!$B$3:$B$1012&amp;"",IOT!$H$3:$H$1012,""),"Server",_xlfn.XLOOKUP($K512&amp;"",SERVER!$B$3:$B$1009&amp;"",SERVER!$H$3:$H$1009,""),""),IF(TRIM(_xlpm.srcCat)&lt;&gt;TRIM($J512),"",_xlfn.SWITCH($I512,"Computer",_xlfn.XLOOKUP($K512&amp;"",COMPUTER!$B$3:$B$1009&amp;"",COMPUTER!$AM$3:$AM$1009,""),"Display",_xlfn.XLOOKUP($K512&amp;"",DISPLAY!$B$3:$B$1000&amp;"",DISPLAY!$V$3:$V$1000,""),"Network Device",_xlfn.XLOOKUP($K512&amp;"",'NETWORK-DEVICES'!$B$3:$B$987&amp;"",'NETWORK-DEVICES'!$AF$3:$AF$987,""),"Peripheral",_xlfn.XLOOKUP($K512&amp;"",PERIPHERAL!$B$3:$B$954&amp;"",PERIPHERAL!$Y$3:$Y$954,""),"Utilities",_xlfn.XLOOKUP($K512&amp;"",UTILITIES!$B$3:$B$953&amp;"",UTILITIES!$O$3:$O$953,""),"IOT",_xlfn.XLOOKUP($K512&amp;"",IOT!$B$3:$B$1012&amp;"",IOT!$AB$3:$AB$1012,""),"Server",_xlfn.XLOOKUP($K512&amp;"",SERVER!$B$3:$B$1009&amp;"",SERVER!$AB$3:$AB$1009,""),""))))</f>
        <v/>
      </c>
      <c r="R512" s="43" t="str">
        <f>IF(tbl_handover[[#This Row],[Asset Code]]="","",COUNTIF(tbl_handover[Asset Code],tbl_handover[[#This Row],[Asset Code]]))</f>
        <v/>
      </c>
    </row>
    <row r="513" spans="1:18" x14ac:dyDescent="0.25">
      <c r="A513" s="43" t="str">
        <f>IF(B513&lt;&gt;"",SUBTOTAL(3,$B$1:B512),"")</f>
        <v/>
      </c>
      <c r="C513" s="74"/>
      <c r="D513" s="74"/>
      <c r="G513" s="1"/>
      <c r="K513" s="42"/>
      <c r="L513" t="str" cm="1">
        <f t="array" ref="L513">IF($K513="","",_xlfn.SWITCH($I513,"Computer",_xlfn.XLOOKUP($K513&amp;"",COMPUTER!$B$3:$B$1009&amp;"",COMPUTER!$I$3:$I$1009,""),"Display",_xlfn.XLOOKUP($K513&amp;"",DISPLAY!$B$3:$B$1000&amp;"",DISPLAY!$J$3:$J$1000,""),"Network Device",_xlfn.XLOOKUP($K513&amp;"",'NETWORK-DEVICES'!$B$3:$B$987&amp;"",'NETWORK-DEVICES'!$I$3:$I$987,""),"Peripheral",_xlfn.XLOOKUP($K513&amp;"",PERIPHERAL!$B$3:$B$954&amp;"",PERIPHERAL!$I$3:$I$954,""),"Utilities",_xlfn.XLOOKUP($K513&amp;"",UTILITIES!$B$3:$B$953&amp;"",UTILITIES!$H$3:$H$953,""),"IOT",_xlfn.XLOOKUP($K513&amp;"",IOT!$B$3:$B$1012&amp;"",IOT!$I$3:$I$1012,""),"SERVER",_xlfn.XLOOKUP($K513&amp;"",SERVER!$B$3:$B$1009&amp;"",SERVER!$I$3:$I$1009,""),""))</f>
        <v/>
      </c>
      <c r="M513" t="str" cm="1">
        <f t="array" ref="M513">IF($K513="","",_xlfn.SWITCH($I513,"Computer",_xlfn.XLOOKUP($K513&amp;"",COMPUTER!$B$3:$B$1009&amp;"",COMPUTER!$J$3:$J$1009,""),"Display",_xlfn.XLOOKUP($K513&amp;"",DISPLAY!$B$3:$B$1000&amp;"",DISPLAY!$K$3:$K$1000,""),"Network Device",_xlfn.XLOOKUP($K513&amp;"",'NETWORK-DEVICES'!$B$3:$B$987&amp;"",'NETWORK-DEVICES'!$I$3:$I$987,""),"Peripheral",_xlfn.XLOOKUP($K513&amp;"",PERIPHERAL!$B$3:$B$954&amp;"",PERIPHERAL!$J$3:$J$954,""),"Utilities",_xlfn.XLOOKUP($K513&amp;"",UTILITIES!$B$3:$B$953&amp;"",UTILITIES!$I$3:$I$953,""),"IOT",_xlfn.XLOOKUP($K513&amp;"",IOT!$B$3:$B$1012&amp;"",IOT!$J$3:$J$1012,""),"Server",_xlfn.XLOOKUP($K513&amp;"",SERVER!$B$3:$B$1009&amp;"",SERVER!$J$3:$J$1009,""),""))</f>
        <v/>
      </c>
      <c r="N513" s="1" t="str" cm="1">
        <f t="array" ref="N513">IF(OR($K513="",$I513="",$J513=""),"",_xlfn.LET(_xlpm.srcCat,_xlfn.SWITCH($I513,"Computer",_xlfn.XLOOKUP($K513&amp;"",COMPUTER!$B$3:$B$1009&amp;"",COMPUTER!$H$3:$H$1009,""),"Display",_xlfn.XLOOKUP($K513&amp;"",DISPLAY!$B$3:$B$1000&amp;"",DISPLAY!$H$3:$H$1000,""),"Network Device",_xlfn.XLOOKUP($K513&amp;"",'NETWORK-DEVICES'!$B$3:$B$987&amp;"",'NETWORK-DEVICES'!$H$3:$H$987,""),"Peripheral",_xlfn.XLOOKUP($K513&amp;"",PERIPHERAL!$B$3:$B$954&amp;"",PERIPHERAL!$H$3:$H$954,""),"Utilities",_xlfn.XLOOKUP($K513&amp;"",UTILITIES!$B$3:$B$953&amp;"",UTILITIES!$G$3:$G$953,""),"IOT",_xlfn.XLOOKUP($K513&amp;"",IOT!$B$3:$B$1012&amp;"",IOT!$H$3:$H$1012,""),"Server",_xlfn.XLOOKUP($K513&amp;"",SERVER!$B$3:$B$1009&amp;"",SERVER!$H$3:$H$1009,""),""),IF(TRIM(_xlpm.srcCat)&lt;&gt;TRIM($J513),"",_xlfn.SWITCH($I513,"Computer",_xlfn.XLOOKUP($K513&amp;"",COMPUTER!$B$3:$B$1009&amp;"",COMPUTER!$K$3:$K$1009,""),"Display",_xlfn.XLOOKUP($K513&amp;"",DISPLAY!$B$3:$B$1000&amp;"",DISPLAY!$L$3:$L$1000,""),"Network Device",_xlfn.XLOOKUP($K513&amp;"",'NETWORK-DEVICES'!$B$3:$B$987&amp;"",'NETWORK-DEVICES'!$K$3:$K$987,""),"Peripheral",_xlfn.XLOOKUP($K513&amp;"",PERIPHERAL!$B$3:$B$954&amp;"",PERIPHERAL!$K$3:$K$954,""),"Utilities",_xlfn.XLOOKUP($K513&amp;"",UTILITIES!$B$3:$B$953&amp;"",UTILITIES!$J$3:$J$953,""),"IOT",_xlfn.XLOOKUP($K513&amp;"",IOT!$B$3:$B$1012&amp;"",IOT!$K$4:$K$1012,""),"Server",_xlfn.XLOOKUP($K513&amp;"",SERVER!$B$3:$B$1009&amp;"",SERVER!$K$3:$K$1009,""),""))))</f>
        <v/>
      </c>
      <c r="O513" s="1" t="str" cm="1">
        <f t="array" ref="O513">IF(OR($K513="",$I513="",$J513=""),"",_xlfn.LET(_xlpm.srcCat,_xlfn.SWITCH($I513,"Computer",_xlfn.XLOOKUP($K513&amp;"",COMPUTER!$B$3:$B$1009&amp;"",COMPUTER!$H$3:$H$1009,""),"Display",_xlfn.XLOOKUP($K513&amp;"",DISPLAY!$B$3:$B$1000&amp;"",DISPLAY!$H$3:$H$1000,""),"Network Device",_xlfn.XLOOKUP($K513&amp;"",'NETWORK-DEVICES'!$B$3:$B$987&amp;"",'NETWORK-DEVICES'!$H$3:$H$987,""),"Peripheral",_xlfn.XLOOKUP($K513&amp;"",PERIPHERAL!$B$3:$B$954&amp;"",PERIPHERAL!$H$3:$H$954,""),"Utilities",_xlfn.XLOOKUP($K513&amp;"",UTILITIES!$B$3:$B$953&amp;"",UTILITIES!$G$3:$G$953,""),"IOT",_xlfn.XLOOKUP($K513&amp;"",IOT!$B$3:$B$1012&amp;"",IOT!$H$3:$H$1012,""),"Server",_xlfn.XLOOKUP($K513&amp;"",SERVER!$B$3:$B$1009&amp;"",SERVER!$H$3:$H$1009,""),""),IF(TRIM(_xlpm.srcCat)&lt;&gt;TRIM($J513),"",_xlfn.SWITCH($I513,"Computer",_xlfn.XLOOKUP($K513&amp;"",COMPUTER!$B$3:$B$1009&amp;"",COMPUTER!$E$3:$E$1009,""),"Display",_xlfn.XLOOKUP($K513&amp;"",DISPLAY!$B$3:$B$1000&amp;"",DISPLAY!$E$3:$E$1000,""),"Network Device",_xlfn.XLOOKUP($K513&amp;"",'NETWORK-DEVICES'!$B$3:$B$987&amp;"",'NETWORK-DEVICES'!$E$3:$E$987,""),"Peripheral",_xlfn.XLOOKUP($K513&amp;"",PERIPHERAL!$B$3:$B$954&amp;"",PERIPHERAL!$E$3:$E$954,""),"Utilities",_xlfn.XLOOKUP($K513&amp;"",UTILITIES!$B$3:$B$953&amp;"",UTILITIES!$E$3:$E$953,""),"IOT",_xlfn.XLOOKUP($K513&amp;"",IOT!$B$3:$B$1012&amp;"",IOT!$E$3:$E$1012,""),"Server",_xlfn.XLOOKUP($K513&amp;"",SERVER!$B$3:$B$1009&amp;"",SERVER!$E$3:$E$1009,""),""))))</f>
        <v/>
      </c>
      <c r="Q513" s="1" t="str" cm="1">
        <f t="array" ref="Q513">IF(OR($K513="",$I513="",$J513=""),"",_xlfn.LET(_xlpm.srcCat,_xlfn.SWITCH($I513,"Computer",_xlfn.XLOOKUP($K513&amp;"",COMPUTER!$B$3:$B$1009&amp;"",COMPUTER!$H$3:$H$1009,""),"Display",_xlfn.XLOOKUP($K513&amp;"",DISPLAY!$B$3:$B$1000&amp;"",DISPLAY!$H$3:$H$1000,""),"Network Device",_xlfn.XLOOKUP($K513&amp;"",'NETWORK-DEVICES'!$B$3:$B$987&amp;"",'NETWORK-DEVICES'!$H$3:$H$987,""),"Peripheral",_xlfn.XLOOKUP($K513&amp;"",PERIPHERAL!$B$3:$B$954&amp;"",PERIPHERAL!$H$3:$H$954,""),"Utilities",_xlfn.XLOOKUP($K513&amp;"",UTILITIES!$B$3:$B$953&amp;"",UTILITIES!$G$3:$G$953,""),"IOT",_xlfn.XLOOKUP($K513&amp;"",IOT!$B$3:$B$1012&amp;"",IOT!$H$3:$H$1012,""),"Server",_xlfn.XLOOKUP($K513&amp;"",SERVER!$B$3:$B$1009&amp;"",SERVER!$H$3:$H$1009,""),""),IF(TRIM(_xlpm.srcCat)&lt;&gt;TRIM($J513),"",_xlfn.SWITCH($I513,"Computer",_xlfn.XLOOKUP($K513&amp;"",COMPUTER!$B$3:$B$1009&amp;"",COMPUTER!$AM$3:$AM$1009,""),"Display",_xlfn.XLOOKUP($K513&amp;"",DISPLAY!$B$3:$B$1000&amp;"",DISPLAY!$V$3:$V$1000,""),"Network Device",_xlfn.XLOOKUP($K513&amp;"",'NETWORK-DEVICES'!$B$3:$B$987&amp;"",'NETWORK-DEVICES'!$AF$3:$AF$987,""),"Peripheral",_xlfn.XLOOKUP($K513&amp;"",PERIPHERAL!$B$3:$B$954&amp;"",PERIPHERAL!$Y$3:$Y$954,""),"Utilities",_xlfn.XLOOKUP($K513&amp;"",UTILITIES!$B$3:$B$953&amp;"",UTILITIES!$O$3:$O$953,""),"IOT",_xlfn.XLOOKUP($K513&amp;"",IOT!$B$3:$B$1012&amp;"",IOT!$AB$3:$AB$1012,""),"Server",_xlfn.XLOOKUP($K513&amp;"",SERVER!$B$3:$B$1009&amp;"",SERVER!$AB$3:$AB$1009,""),""))))</f>
        <v/>
      </c>
      <c r="R513" s="43" t="str">
        <f>IF(tbl_handover[[#This Row],[Asset Code]]="","",COUNTIF(tbl_handover[Asset Code],tbl_handover[[#This Row],[Asset Code]]))</f>
        <v/>
      </c>
    </row>
    <row r="514" spans="1:18" x14ac:dyDescent="0.25">
      <c r="A514" s="43" t="str">
        <f>IF(B514&lt;&gt;"",SUBTOTAL(3,$B$1:B513),"")</f>
        <v/>
      </c>
      <c r="C514" s="74"/>
      <c r="D514" s="74"/>
      <c r="G514" s="1"/>
      <c r="K514" s="42"/>
      <c r="L514" t="str" cm="1">
        <f t="array" ref="L514">IF($K514="","",_xlfn.SWITCH($I514,"Computer",_xlfn.XLOOKUP($K514&amp;"",COMPUTER!$B$3:$B$1009&amp;"",COMPUTER!$I$3:$I$1009,""),"Display",_xlfn.XLOOKUP($K514&amp;"",DISPLAY!$B$3:$B$1000&amp;"",DISPLAY!$J$3:$J$1000,""),"Network Device",_xlfn.XLOOKUP($K514&amp;"",'NETWORK-DEVICES'!$B$3:$B$987&amp;"",'NETWORK-DEVICES'!$I$3:$I$987,""),"Peripheral",_xlfn.XLOOKUP($K514&amp;"",PERIPHERAL!$B$3:$B$954&amp;"",PERIPHERAL!$I$3:$I$954,""),"Utilities",_xlfn.XLOOKUP($K514&amp;"",UTILITIES!$B$3:$B$953&amp;"",UTILITIES!$H$3:$H$953,""),"IOT",_xlfn.XLOOKUP($K514&amp;"",IOT!$B$3:$B$1012&amp;"",IOT!$I$3:$I$1012,""),"SERVER",_xlfn.XLOOKUP($K514&amp;"",SERVER!$B$3:$B$1009&amp;"",SERVER!$I$3:$I$1009,""),""))</f>
        <v/>
      </c>
      <c r="M514" t="str" cm="1">
        <f t="array" ref="M514">IF($K514="","",_xlfn.SWITCH($I514,"Computer",_xlfn.XLOOKUP($K514&amp;"",COMPUTER!$B$3:$B$1009&amp;"",COMPUTER!$J$3:$J$1009,""),"Display",_xlfn.XLOOKUP($K514&amp;"",DISPLAY!$B$3:$B$1000&amp;"",DISPLAY!$K$3:$K$1000,""),"Network Device",_xlfn.XLOOKUP($K514&amp;"",'NETWORK-DEVICES'!$B$3:$B$987&amp;"",'NETWORK-DEVICES'!$I$3:$I$987,""),"Peripheral",_xlfn.XLOOKUP($K514&amp;"",PERIPHERAL!$B$3:$B$954&amp;"",PERIPHERAL!$J$3:$J$954,""),"Utilities",_xlfn.XLOOKUP($K514&amp;"",UTILITIES!$B$3:$B$953&amp;"",UTILITIES!$I$3:$I$953,""),"IOT",_xlfn.XLOOKUP($K514&amp;"",IOT!$B$3:$B$1012&amp;"",IOT!$J$3:$J$1012,""),"Server",_xlfn.XLOOKUP($K514&amp;"",SERVER!$B$3:$B$1009&amp;"",SERVER!$J$3:$J$1009,""),""))</f>
        <v/>
      </c>
      <c r="N514" s="1" t="str" cm="1">
        <f t="array" ref="N514">IF(OR($K514="",$I514="",$J514=""),"",_xlfn.LET(_xlpm.srcCat,_xlfn.SWITCH($I514,"Computer",_xlfn.XLOOKUP($K514&amp;"",COMPUTER!$B$3:$B$1009&amp;"",COMPUTER!$H$3:$H$1009,""),"Display",_xlfn.XLOOKUP($K514&amp;"",DISPLAY!$B$3:$B$1000&amp;"",DISPLAY!$H$3:$H$1000,""),"Network Device",_xlfn.XLOOKUP($K514&amp;"",'NETWORK-DEVICES'!$B$3:$B$987&amp;"",'NETWORK-DEVICES'!$H$3:$H$987,""),"Peripheral",_xlfn.XLOOKUP($K514&amp;"",PERIPHERAL!$B$3:$B$954&amp;"",PERIPHERAL!$H$3:$H$954,""),"Utilities",_xlfn.XLOOKUP($K514&amp;"",UTILITIES!$B$3:$B$953&amp;"",UTILITIES!$G$3:$G$953,""),"IOT",_xlfn.XLOOKUP($K514&amp;"",IOT!$B$3:$B$1012&amp;"",IOT!$H$3:$H$1012,""),"Server",_xlfn.XLOOKUP($K514&amp;"",SERVER!$B$3:$B$1009&amp;"",SERVER!$H$3:$H$1009,""),""),IF(TRIM(_xlpm.srcCat)&lt;&gt;TRIM($J514),"",_xlfn.SWITCH($I514,"Computer",_xlfn.XLOOKUP($K514&amp;"",COMPUTER!$B$3:$B$1009&amp;"",COMPUTER!$K$3:$K$1009,""),"Display",_xlfn.XLOOKUP($K514&amp;"",DISPLAY!$B$3:$B$1000&amp;"",DISPLAY!$L$3:$L$1000,""),"Network Device",_xlfn.XLOOKUP($K514&amp;"",'NETWORK-DEVICES'!$B$3:$B$987&amp;"",'NETWORK-DEVICES'!$K$3:$K$987,""),"Peripheral",_xlfn.XLOOKUP($K514&amp;"",PERIPHERAL!$B$3:$B$954&amp;"",PERIPHERAL!$K$3:$K$954,""),"Utilities",_xlfn.XLOOKUP($K514&amp;"",UTILITIES!$B$3:$B$953&amp;"",UTILITIES!$J$3:$J$953,""),"IOT",_xlfn.XLOOKUP($K514&amp;"",IOT!$B$3:$B$1012&amp;"",IOT!$K$4:$K$1012,""),"Server",_xlfn.XLOOKUP($K514&amp;"",SERVER!$B$3:$B$1009&amp;"",SERVER!$K$3:$K$1009,""),""))))</f>
        <v/>
      </c>
      <c r="O514" s="1" t="str" cm="1">
        <f t="array" ref="O514">IF(OR($K514="",$I514="",$J514=""),"",_xlfn.LET(_xlpm.srcCat,_xlfn.SWITCH($I514,"Computer",_xlfn.XLOOKUP($K514&amp;"",COMPUTER!$B$3:$B$1009&amp;"",COMPUTER!$H$3:$H$1009,""),"Display",_xlfn.XLOOKUP($K514&amp;"",DISPLAY!$B$3:$B$1000&amp;"",DISPLAY!$H$3:$H$1000,""),"Network Device",_xlfn.XLOOKUP($K514&amp;"",'NETWORK-DEVICES'!$B$3:$B$987&amp;"",'NETWORK-DEVICES'!$H$3:$H$987,""),"Peripheral",_xlfn.XLOOKUP($K514&amp;"",PERIPHERAL!$B$3:$B$954&amp;"",PERIPHERAL!$H$3:$H$954,""),"Utilities",_xlfn.XLOOKUP($K514&amp;"",UTILITIES!$B$3:$B$953&amp;"",UTILITIES!$G$3:$G$953,""),"IOT",_xlfn.XLOOKUP($K514&amp;"",IOT!$B$3:$B$1012&amp;"",IOT!$H$3:$H$1012,""),"Server",_xlfn.XLOOKUP($K514&amp;"",SERVER!$B$3:$B$1009&amp;"",SERVER!$H$3:$H$1009,""),""),IF(TRIM(_xlpm.srcCat)&lt;&gt;TRIM($J514),"",_xlfn.SWITCH($I514,"Computer",_xlfn.XLOOKUP($K514&amp;"",COMPUTER!$B$3:$B$1009&amp;"",COMPUTER!$E$3:$E$1009,""),"Display",_xlfn.XLOOKUP($K514&amp;"",DISPLAY!$B$3:$B$1000&amp;"",DISPLAY!$E$3:$E$1000,""),"Network Device",_xlfn.XLOOKUP($K514&amp;"",'NETWORK-DEVICES'!$B$3:$B$987&amp;"",'NETWORK-DEVICES'!$E$3:$E$987,""),"Peripheral",_xlfn.XLOOKUP($K514&amp;"",PERIPHERAL!$B$3:$B$954&amp;"",PERIPHERAL!$E$3:$E$954,""),"Utilities",_xlfn.XLOOKUP($K514&amp;"",UTILITIES!$B$3:$B$953&amp;"",UTILITIES!$E$3:$E$953,""),"IOT",_xlfn.XLOOKUP($K514&amp;"",IOT!$B$3:$B$1012&amp;"",IOT!$E$3:$E$1012,""),"Server",_xlfn.XLOOKUP($K514&amp;"",SERVER!$B$3:$B$1009&amp;"",SERVER!$E$3:$E$1009,""),""))))</f>
        <v/>
      </c>
      <c r="Q514" s="1" t="str" cm="1">
        <f t="array" ref="Q514">IF(OR($K514="",$I514="",$J514=""),"",_xlfn.LET(_xlpm.srcCat,_xlfn.SWITCH($I514,"Computer",_xlfn.XLOOKUP($K514&amp;"",COMPUTER!$B$3:$B$1009&amp;"",COMPUTER!$H$3:$H$1009,""),"Display",_xlfn.XLOOKUP($K514&amp;"",DISPLAY!$B$3:$B$1000&amp;"",DISPLAY!$H$3:$H$1000,""),"Network Device",_xlfn.XLOOKUP($K514&amp;"",'NETWORK-DEVICES'!$B$3:$B$987&amp;"",'NETWORK-DEVICES'!$H$3:$H$987,""),"Peripheral",_xlfn.XLOOKUP($K514&amp;"",PERIPHERAL!$B$3:$B$954&amp;"",PERIPHERAL!$H$3:$H$954,""),"Utilities",_xlfn.XLOOKUP($K514&amp;"",UTILITIES!$B$3:$B$953&amp;"",UTILITIES!$G$3:$G$953,""),"IOT",_xlfn.XLOOKUP($K514&amp;"",IOT!$B$3:$B$1012&amp;"",IOT!$H$3:$H$1012,""),"Server",_xlfn.XLOOKUP($K514&amp;"",SERVER!$B$3:$B$1009&amp;"",SERVER!$H$3:$H$1009,""),""),IF(TRIM(_xlpm.srcCat)&lt;&gt;TRIM($J514),"",_xlfn.SWITCH($I514,"Computer",_xlfn.XLOOKUP($K514&amp;"",COMPUTER!$B$3:$B$1009&amp;"",COMPUTER!$AM$3:$AM$1009,""),"Display",_xlfn.XLOOKUP($K514&amp;"",DISPLAY!$B$3:$B$1000&amp;"",DISPLAY!$V$3:$V$1000,""),"Network Device",_xlfn.XLOOKUP($K514&amp;"",'NETWORK-DEVICES'!$B$3:$B$987&amp;"",'NETWORK-DEVICES'!$AF$3:$AF$987,""),"Peripheral",_xlfn.XLOOKUP($K514&amp;"",PERIPHERAL!$B$3:$B$954&amp;"",PERIPHERAL!$Y$3:$Y$954,""),"Utilities",_xlfn.XLOOKUP($K514&amp;"",UTILITIES!$B$3:$B$953&amp;"",UTILITIES!$O$3:$O$953,""),"IOT",_xlfn.XLOOKUP($K514&amp;"",IOT!$B$3:$B$1012&amp;"",IOT!$AB$3:$AB$1012,""),"Server",_xlfn.XLOOKUP($K514&amp;"",SERVER!$B$3:$B$1009&amp;"",SERVER!$AB$3:$AB$1009,""),""))))</f>
        <v/>
      </c>
      <c r="R514" s="43" t="str">
        <f>IF(tbl_handover[[#This Row],[Asset Code]]="","",COUNTIF(tbl_handover[Asset Code],tbl_handover[[#This Row],[Asset Code]]))</f>
        <v/>
      </c>
    </row>
    <row r="515" spans="1:18" x14ac:dyDescent="0.25">
      <c r="A515" s="43" t="str">
        <f>IF(B515&lt;&gt;"",SUBTOTAL(3,$B$1:B514),"")</f>
        <v/>
      </c>
      <c r="C515" s="74"/>
      <c r="D515" s="74"/>
      <c r="G515" s="1"/>
      <c r="K515" s="42"/>
      <c r="L515" t="str" cm="1">
        <f t="array" ref="L515">IF($K515="","",_xlfn.SWITCH($I515,"Computer",_xlfn.XLOOKUP($K515&amp;"",COMPUTER!$B$3:$B$1009&amp;"",COMPUTER!$I$3:$I$1009,""),"Display",_xlfn.XLOOKUP($K515&amp;"",DISPLAY!$B$3:$B$1000&amp;"",DISPLAY!$J$3:$J$1000,""),"Network Device",_xlfn.XLOOKUP($K515&amp;"",'NETWORK-DEVICES'!$B$3:$B$987&amp;"",'NETWORK-DEVICES'!$I$3:$I$987,""),"Peripheral",_xlfn.XLOOKUP($K515&amp;"",PERIPHERAL!$B$3:$B$954&amp;"",PERIPHERAL!$I$3:$I$954,""),"Utilities",_xlfn.XLOOKUP($K515&amp;"",UTILITIES!$B$3:$B$953&amp;"",UTILITIES!$H$3:$H$953,""),"IOT",_xlfn.XLOOKUP($K515&amp;"",IOT!$B$3:$B$1012&amp;"",IOT!$I$3:$I$1012,""),"SERVER",_xlfn.XLOOKUP($K515&amp;"",SERVER!$B$3:$B$1009&amp;"",SERVER!$I$3:$I$1009,""),""))</f>
        <v/>
      </c>
      <c r="M515" t="str" cm="1">
        <f t="array" ref="M515">IF($K515="","",_xlfn.SWITCH($I515,"Computer",_xlfn.XLOOKUP($K515&amp;"",COMPUTER!$B$3:$B$1009&amp;"",COMPUTER!$J$3:$J$1009,""),"Display",_xlfn.XLOOKUP($K515&amp;"",DISPLAY!$B$3:$B$1000&amp;"",DISPLAY!$K$3:$K$1000,""),"Network Device",_xlfn.XLOOKUP($K515&amp;"",'NETWORK-DEVICES'!$B$3:$B$987&amp;"",'NETWORK-DEVICES'!$I$3:$I$987,""),"Peripheral",_xlfn.XLOOKUP($K515&amp;"",PERIPHERAL!$B$3:$B$954&amp;"",PERIPHERAL!$J$3:$J$954,""),"Utilities",_xlfn.XLOOKUP($K515&amp;"",UTILITIES!$B$3:$B$953&amp;"",UTILITIES!$I$3:$I$953,""),"IOT",_xlfn.XLOOKUP($K515&amp;"",IOT!$B$3:$B$1012&amp;"",IOT!$J$3:$J$1012,""),"Server",_xlfn.XLOOKUP($K515&amp;"",SERVER!$B$3:$B$1009&amp;"",SERVER!$J$3:$J$1009,""),""))</f>
        <v/>
      </c>
      <c r="N515" s="1" t="str" cm="1">
        <f t="array" ref="N515">IF(OR($K515="",$I515="",$J515=""),"",_xlfn.LET(_xlpm.srcCat,_xlfn.SWITCH($I515,"Computer",_xlfn.XLOOKUP($K515&amp;"",COMPUTER!$B$3:$B$1009&amp;"",COMPUTER!$H$3:$H$1009,""),"Display",_xlfn.XLOOKUP($K515&amp;"",DISPLAY!$B$3:$B$1000&amp;"",DISPLAY!$H$3:$H$1000,""),"Network Device",_xlfn.XLOOKUP($K515&amp;"",'NETWORK-DEVICES'!$B$3:$B$987&amp;"",'NETWORK-DEVICES'!$H$3:$H$987,""),"Peripheral",_xlfn.XLOOKUP($K515&amp;"",PERIPHERAL!$B$3:$B$954&amp;"",PERIPHERAL!$H$3:$H$954,""),"Utilities",_xlfn.XLOOKUP($K515&amp;"",UTILITIES!$B$3:$B$953&amp;"",UTILITIES!$G$3:$G$953,""),"IOT",_xlfn.XLOOKUP($K515&amp;"",IOT!$B$3:$B$1012&amp;"",IOT!$H$3:$H$1012,""),"Server",_xlfn.XLOOKUP($K515&amp;"",SERVER!$B$3:$B$1009&amp;"",SERVER!$H$3:$H$1009,""),""),IF(TRIM(_xlpm.srcCat)&lt;&gt;TRIM($J515),"",_xlfn.SWITCH($I515,"Computer",_xlfn.XLOOKUP($K515&amp;"",COMPUTER!$B$3:$B$1009&amp;"",COMPUTER!$K$3:$K$1009,""),"Display",_xlfn.XLOOKUP($K515&amp;"",DISPLAY!$B$3:$B$1000&amp;"",DISPLAY!$L$3:$L$1000,""),"Network Device",_xlfn.XLOOKUP($K515&amp;"",'NETWORK-DEVICES'!$B$3:$B$987&amp;"",'NETWORK-DEVICES'!$K$3:$K$987,""),"Peripheral",_xlfn.XLOOKUP($K515&amp;"",PERIPHERAL!$B$3:$B$954&amp;"",PERIPHERAL!$K$3:$K$954,""),"Utilities",_xlfn.XLOOKUP($K515&amp;"",UTILITIES!$B$3:$B$953&amp;"",UTILITIES!$J$3:$J$953,""),"IOT",_xlfn.XLOOKUP($K515&amp;"",IOT!$B$3:$B$1012&amp;"",IOT!$K$4:$K$1012,""),"Server",_xlfn.XLOOKUP($K515&amp;"",SERVER!$B$3:$B$1009&amp;"",SERVER!$K$3:$K$1009,""),""))))</f>
        <v/>
      </c>
      <c r="O515" s="1" t="str" cm="1">
        <f t="array" ref="O515">IF(OR($K515="",$I515="",$J515=""),"",_xlfn.LET(_xlpm.srcCat,_xlfn.SWITCH($I515,"Computer",_xlfn.XLOOKUP($K515&amp;"",COMPUTER!$B$3:$B$1009&amp;"",COMPUTER!$H$3:$H$1009,""),"Display",_xlfn.XLOOKUP($K515&amp;"",DISPLAY!$B$3:$B$1000&amp;"",DISPLAY!$H$3:$H$1000,""),"Network Device",_xlfn.XLOOKUP($K515&amp;"",'NETWORK-DEVICES'!$B$3:$B$987&amp;"",'NETWORK-DEVICES'!$H$3:$H$987,""),"Peripheral",_xlfn.XLOOKUP($K515&amp;"",PERIPHERAL!$B$3:$B$954&amp;"",PERIPHERAL!$H$3:$H$954,""),"Utilities",_xlfn.XLOOKUP($K515&amp;"",UTILITIES!$B$3:$B$953&amp;"",UTILITIES!$G$3:$G$953,""),"IOT",_xlfn.XLOOKUP($K515&amp;"",IOT!$B$3:$B$1012&amp;"",IOT!$H$3:$H$1012,""),"Server",_xlfn.XLOOKUP($K515&amp;"",SERVER!$B$3:$B$1009&amp;"",SERVER!$H$3:$H$1009,""),""),IF(TRIM(_xlpm.srcCat)&lt;&gt;TRIM($J515),"",_xlfn.SWITCH($I515,"Computer",_xlfn.XLOOKUP($K515&amp;"",COMPUTER!$B$3:$B$1009&amp;"",COMPUTER!$E$3:$E$1009,""),"Display",_xlfn.XLOOKUP($K515&amp;"",DISPLAY!$B$3:$B$1000&amp;"",DISPLAY!$E$3:$E$1000,""),"Network Device",_xlfn.XLOOKUP($K515&amp;"",'NETWORK-DEVICES'!$B$3:$B$987&amp;"",'NETWORK-DEVICES'!$E$3:$E$987,""),"Peripheral",_xlfn.XLOOKUP($K515&amp;"",PERIPHERAL!$B$3:$B$954&amp;"",PERIPHERAL!$E$3:$E$954,""),"Utilities",_xlfn.XLOOKUP($K515&amp;"",UTILITIES!$B$3:$B$953&amp;"",UTILITIES!$E$3:$E$953,""),"IOT",_xlfn.XLOOKUP($K515&amp;"",IOT!$B$3:$B$1012&amp;"",IOT!$E$3:$E$1012,""),"Server",_xlfn.XLOOKUP($K515&amp;"",SERVER!$B$3:$B$1009&amp;"",SERVER!$E$3:$E$1009,""),""))))</f>
        <v/>
      </c>
      <c r="Q515" s="1" t="str" cm="1">
        <f t="array" ref="Q515">IF(OR($K515="",$I515="",$J515=""),"",_xlfn.LET(_xlpm.srcCat,_xlfn.SWITCH($I515,"Computer",_xlfn.XLOOKUP($K515&amp;"",COMPUTER!$B$3:$B$1009&amp;"",COMPUTER!$H$3:$H$1009,""),"Display",_xlfn.XLOOKUP($K515&amp;"",DISPLAY!$B$3:$B$1000&amp;"",DISPLAY!$H$3:$H$1000,""),"Network Device",_xlfn.XLOOKUP($K515&amp;"",'NETWORK-DEVICES'!$B$3:$B$987&amp;"",'NETWORK-DEVICES'!$H$3:$H$987,""),"Peripheral",_xlfn.XLOOKUP($K515&amp;"",PERIPHERAL!$B$3:$B$954&amp;"",PERIPHERAL!$H$3:$H$954,""),"Utilities",_xlfn.XLOOKUP($K515&amp;"",UTILITIES!$B$3:$B$953&amp;"",UTILITIES!$G$3:$G$953,""),"IOT",_xlfn.XLOOKUP($K515&amp;"",IOT!$B$3:$B$1012&amp;"",IOT!$H$3:$H$1012,""),"Server",_xlfn.XLOOKUP($K515&amp;"",SERVER!$B$3:$B$1009&amp;"",SERVER!$H$3:$H$1009,""),""),IF(TRIM(_xlpm.srcCat)&lt;&gt;TRIM($J515),"",_xlfn.SWITCH($I515,"Computer",_xlfn.XLOOKUP($K515&amp;"",COMPUTER!$B$3:$B$1009&amp;"",COMPUTER!$AM$3:$AM$1009,""),"Display",_xlfn.XLOOKUP($K515&amp;"",DISPLAY!$B$3:$B$1000&amp;"",DISPLAY!$V$3:$V$1000,""),"Network Device",_xlfn.XLOOKUP($K515&amp;"",'NETWORK-DEVICES'!$B$3:$B$987&amp;"",'NETWORK-DEVICES'!$AF$3:$AF$987,""),"Peripheral",_xlfn.XLOOKUP($K515&amp;"",PERIPHERAL!$B$3:$B$954&amp;"",PERIPHERAL!$Y$3:$Y$954,""),"Utilities",_xlfn.XLOOKUP($K515&amp;"",UTILITIES!$B$3:$B$953&amp;"",UTILITIES!$O$3:$O$953,""),"IOT",_xlfn.XLOOKUP($K515&amp;"",IOT!$B$3:$B$1012&amp;"",IOT!$AB$3:$AB$1012,""),"Server",_xlfn.XLOOKUP($K515&amp;"",SERVER!$B$3:$B$1009&amp;"",SERVER!$AB$3:$AB$1009,""),""))))</f>
        <v/>
      </c>
      <c r="R515" s="43" t="str">
        <f>IF(tbl_handover[[#This Row],[Asset Code]]="","",COUNTIF(tbl_handover[Asset Code],tbl_handover[[#This Row],[Asset Code]]))</f>
        <v/>
      </c>
    </row>
    <row r="516" spans="1:18" x14ac:dyDescent="0.25">
      <c r="A516" s="43" t="str">
        <f>IF(B516&lt;&gt;"",SUBTOTAL(3,$B$1:B515),"")</f>
        <v/>
      </c>
      <c r="C516" s="74"/>
      <c r="D516" s="74"/>
      <c r="G516" s="1"/>
      <c r="K516" s="42"/>
      <c r="L516" t="str" cm="1">
        <f t="array" ref="L516">IF($K516="","",_xlfn.SWITCH($I516,"Computer",_xlfn.XLOOKUP($K516&amp;"",COMPUTER!$B$3:$B$1009&amp;"",COMPUTER!$I$3:$I$1009,""),"Display",_xlfn.XLOOKUP($K516&amp;"",DISPLAY!$B$3:$B$1000&amp;"",DISPLAY!$J$3:$J$1000,""),"Network Device",_xlfn.XLOOKUP($K516&amp;"",'NETWORK-DEVICES'!$B$3:$B$987&amp;"",'NETWORK-DEVICES'!$I$3:$I$987,""),"Peripheral",_xlfn.XLOOKUP($K516&amp;"",PERIPHERAL!$B$3:$B$954&amp;"",PERIPHERAL!$I$3:$I$954,""),"Utilities",_xlfn.XLOOKUP($K516&amp;"",UTILITIES!$B$3:$B$953&amp;"",UTILITIES!$H$3:$H$953,""),"IOT",_xlfn.XLOOKUP($K516&amp;"",IOT!$B$3:$B$1012&amp;"",IOT!$I$3:$I$1012,""),"SERVER",_xlfn.XLOOKUP($K516&amp;"",SERVER!$B$3:$B$1009&amp;"",SERVER!$I$3:$I$1009,""),""))</f>
        <v/>
      </c>
      <c r="M516" t="str" cm="1">
        <f t="array" ref="M516">IF($K516="","",_xlfn.SWITCH($I516,"Computer",_xlfn.XLOOKUP($K516&amp;"",COMPUTER!$B$3:$B$1009&amp;"",COMPUTER!$J$3:$J$1009,""),"Display",_xlfn.XLOOKUP($K516&amp;"",DISPLAY!$B$3:$B$1000&amp;"",DISPLAY!$K$3:$K$1000,""),"Network Device",_xlfn.XLOOKUP($K516&amp;"",'NETWORK-DEVICES'!$B$3:$B$987&amp;"",'NETWORK-DEVICES'!$I$3:$I$987,""),"Peripheral",_xlfn.XLOOKUP($K516&amp;"",PERIPHERAL!$B$3:$B$954&amp;"",PERIPHERAL!$J$3:$J$954,""),"Utilities",_xlfn.XLOOKUP($K516&amp;"",UTILITIES!$B$3:$B$953&amp;"",UTILITIES!$I$3:$I$953,""),"IOT",_xlfn.XLOOKUP($K516&amp;"",IOT!$B$3:$B$1012&amp;"",IOT!$J$3:$J$1012,""),"Server",_xlfn.XLOOKUP($K516&amp;"",SERVER!$B$3:$B$1009&amp;"",SERVER!$J$3:$J$1009,""),""))</f>
        <v/>
      </c>
      <c r="N516" s="1" t="str" cm="1">
        <f t="array" ref="N516">IF(OR($K516="",$I516="",$J516=""),"",_xlfn.LET(_xlpm.srcCat,_xlfn.SWITCH($I516,"Computer",_xlfn.XLOOKUP($K516&amp;"",COMPUTER!$B$3:$B$1009&amp;"",COMPUTER!$H$3:$H$1009,""),"Display",_xlfn.XLOOKUP($K516&amp;"",DISPLAY!$B$3:$B$1000&amp;"",DISPLAY!$H$3:$H$1000,""),"Network Device",_xlfn.XLOOKUP($K516&amp;"",'NETWORK-DEVICES'!$B$3:$B$987&amp;"",'NETWORK-DEVICES'!$H$3:$H$987,""),"Peripheral",_xlfn.XLOOKUP($K516&amp;"",PERIPHERAL!$B$3:$B$954&amp;"",PERIPHERAL!$H$3:$H$954,""),"Utilities",_xlfn.XLOOKUP($K516&amp;"",UTILITIES!$B$3:$B$953&amp;"",UTILITIES!$G$3:$G$953,""),"IOT",_xlfn.XLOOKUP($K516&amp;"",IOT!$B$3:$B$1012&amp;"",IOT!$H$3:$H$1012,""),"Server",_xlfn.XLOOKUP($K516&amp;"",SERVER!$B$3:$B$1009&amp;"",SERVER!$H$3:$H$1009,""),""),IF(TRIM(_xlpm.srcCat)&lt;&gt;TRIM($J516),"",_xlfn.SWITCH($I516,"Computer",_xlfn.XLOOKUP($K516&amp;"",COMPUTER!$B$3:$B$1009&amp;"",COMPUTER!$K$3:$K$1009,""),"Display",_xlfn.XLOOKUP($K516&amp;"",DISPLAY!$B$3:$B$1000&amp;"",DISPLAY!$L$3:$L$1000,""),"Network Device",_xlfn.XLOOKUP($K516&amp;"",'NETWORK-DEVICES'!$B$3:$B$987&amp;"",'NETWORK-DEVICES'!$K$3:$K$987,""),"Peripheral",_xlfn.XLOOKUP($K516&amp;"",PERIPHERAL!$B$3:$B$954&amp;"",PERIPHERAL!$K$3:$K$954,""),"Utilities",_xlfn.XLOOKUP($K516&amp;"",UTILITIES!$B$3:$B$953&amp;"",UTILITIES!$J$3:$J$953,""),"IOT",_xlfn.XLOOKUP($K516&amp;"",IOT!$B$3:$B$1012&amp;"",IOT!$K$4:$K$1012,""),"Server",_xlfn.XLOOKUP($K516&amp;"",SERVER!$B$3:$B$1009&amp;"",SERVER!$K$3:$K$1009,""),""))))</f>
        <v/>
      </c>
      <c r="O516" s="1" t="str" cm="1">
        <f t="array" ref="O516">IF(OR($K516="",$I516="",$J516=""),"",_xlfn.LET(_xlpm.srcCat,_xlfn.SWITCH($I516,"Computer",_xlfn.XLOOKUP($K516&amp;"",COMPUTER!$B$3:$B$1009&amp;"",COMPUTER!$H$3:$H$1009,""),"Display",_xlfn.XLOOKUP($K516&amp;"",DISPLAY!$B$3:$B$1000&amp;"",DISPLAY!$H$3:$H$1000,""),"Network Device",_xlfn.XLOOKUP($K516&amp;"",'NETWORK-DEVICES'!$B$3:$B$987&amp;"",'NETWORK-DEVICES'!$H$3:$H$987,""),"Peripheral",_xlfn.XLOOKUP($K516&amp;"",PERIPHERAL!$B$3:$B$954&amp;"",PERIPHERAL!$H$3:$H$954,""),"Utilities",_xlfn.XLOOKUP($K516&amp;"",UTILITIES!$B$3:$B$953&amp;"",UTILITIES!$G$3:$G$953,""),"IOT",_xlfn.XLOOKUP($K516&amp;"",IOT!$B$3:$B$1012&amp;"",IOT!$H$3:$H$1012,""),"Server",_xlfn.XLOOKUP($K516&amp;"",SERVER!$B$3:$B$1009&amp;"",SERVER!$H$3:$H$1009,""),""),IF(TRIM(_xlpm.srcCat)&lt;&gt;TRIM($J516),"",_xlfn.SWITCH($I516,"Computer",_xlfn.XLOOKUP($K516&amp;"",COMPUTER!$B$3:$B$1009&amp;"",COMPUTER!$E$3:$E$1009,""),"Display",_xlfn.XLOOKUP($K516&amp;"",DISPLAY!$B$3:$B$1000&amp;"",DISPLAY!$E$3:$E$1000,""),"Network Device",_xlfn.XLOOKUP($K516&amp;"",'NETWORK-DEVICES'!$B$3:$B$987&amp;"",'NETWORK-DEVICES'!$E$3:$E$987,""),"Peripheral",_xlfn.XLOOKUP($K516&amp;"",PERIPHERAL!$B$3:$B$954&amp;"",PERIPHERAL!$E$3:$E$954,""),"Utilities",_xlfn.XLOOKUP($K516&amp;"",UTILITIES!$B$3:$B$953&amp;"",UTILITIES!$E$3:$E$953,""),"IOT",_xlfn.XLOOKUP($K516&amp;"",IOT!$B$3:$B$1012&amp;"",IOT!$E$3:$E$1012,""),"Server",_xlfn.XLOOKUP($K516&amp;"",SERVER!$B$3:$B$1009&amp;"",SERVER!$E$3:$E$1009,""),""))))</f>
        <v/>
      </c>
      <c r="Q516" s="1" t="str" cm="1">
        <f t="array" ref="Q516">IF(OR($K516="",$I516="",$J516=""),"",_xlfn.LET(_xlpm.srcCat,_xlfn.SWITCH($I516,"Computer",_xlfn.XLOOKUP($K516&amp;"",COMPUTER!$B$3:$B$1009&amp;"",COMPUTER!$H$3:$H$1009,""),"Display",_xlfn.XLOOKUP($K516&amp;"",DISPLAY!$B$3:$B$1000&amp;"",DISPLAY!$H$3:$H$1000,""),"Network Device",_xlfn.XLOOKUP($K516&amp;"",'NETWORK-DEVICES'!$B$3:$B$987&amp;"",'NETWORK-DEVICES'!$H$3:$H$987,""),"Peripheral",_xlfn.XLOOKUP($K516&amp;"",PERIPHERAL!$B$3:$B$954&amp;"",PERIPHERAL!$H$3:$H$954,""),"Utilities",_xlfn.XLOOKUP($K516&amp;"",UTILITIES!$B$3:$B$953&amp;"",UTILITIES!$G$3:$G$953,""),"IOT",_xlfn.XLOOKUP($K516&amp;"",IOT!$B$3:$B$1012&amp;"",IOT!$H$3:$H$1012,""),"Server",_xlfn.XLOOKUP($K516&amp;"",SERVER!$B$3:$B$1009&amp;"",SERVER!$H$3:$H$1009,""),""),IF(TRIM(_xlpm.srcCat)&lt;&gt;TRIM($J516),"",_xlfn.SWITCH($I516,"Computer",_xlfn.XLOOKUP($K516&amp;"",COMPUTER!$B$3:$B$1009&amp;"",COMPUTER!$AM$3:$AM$1009,""),"Display",_xlfn.XLOOKUP($K516&amp;"",DISPLAY!$B$3:$B$1000&amp;"",DISPLAY!$V$3:$V$1000,""),"Network Device",_xlfn.XLOOKUP($K516&amp;"",'NETWORK-DEVICES'!$B$3:$B$987&amp;"",'NETWORK-DEVICES'!$AF$3:$AF$987,""),"Peripheral",_xlfn.XLOOKUP($K516&amp;"",PERIPHERAL!$B$3:$B$954&amp;"",PERIPHERAL!$Y$3:$Y$954,""),"Utilities",_xlfn.XLOOKUP($K516&amp;"",UTILITIES!$B$3:$B$953&amp;"",UTILITIES!$O$3:$O$953,""),"IOT",_xlfn.XLOOKUP($K516&amp;"",IOT!$B$3:$B$1012&amp;"",IOT!$AB$3:$AB$1012,""),"Server",_xlfn.XLOOKUP($K516&amp;"",SERVER!$B$3:$B$1009&amp;"",SERVER!$AB$3:$AB$1009,""),""))))</f>
        <v/>
      </c>
      <c r="R516" s="43" t="str">
        <f>IF(tbl_handover[[#This Row],[Asset Code]]="","",COUNTIF(tbl_handover[Asset Code],tbl_handover[[#This Row],[Asset Code]]))</f>
        <v/>
      </c>
    </row>
    <row r="517" spans="1:18" x14ac:dyDescent="0.25">
      <c r="A517" s="43" t="str">
        <f>IF(B517&lt;&gt;"",SUBTOTAL(3,$B$1:B516),"")</f>
        <v/>
      </c>
      <c r="C517" s="74"/>
      <c r="D517" s="74"/>
      <c r="G517" s="1"/>
      <c r="K517" s="42"/>
      <c r="L517" t="str" cm="1">
        <f t="array" ref="L517">IF($K517="","",_xlfn.SWITCH($I517,"Computer",_xlfn.XLOOKUP($K517&amp;"",COMPUTER!$B$3:$B$1009&amp;"",COMPUTER!$I$3:$I$1009,""),"Display",_xlfn.XLOOKUP($K517&amp;"",DISPLAY!$B$3:$B$1000&amp;"",DISPLAY!$J$3:$J$1000,""),"Network Device",_xlfn.XLOOKUP($K517&amp;"",'NETWORK-DEVICES'!$B$3:$B$987&amp;"",'NETWORK-DEVICES'!$I$3:$I$987,""),"Peripheral",_xlfn.XLOOKUP($K517&amp;"",PERIPHERAL!$B$3:$B$954&amp;"",PERIPHERAL!$I$3:$I$954,""),"Utilities",_xlfn.XLOOKUP($K517&amp;"",UTILITIES!$B$3:$B$953&amp;"",UTILITIES!$H$3:$H$953,""),"IOT",_xlfn.XLOOKUP($K517&amp;"",IOT!$B$3:$B$1012&amp;"",IOT!$I$3:$I$1012,""),"SERVER",_xlfn.XLOOKUP($K517&amp;"",SERVER!$B$3:$B$1009&amp;"",SERVER!$I$3:$I$1009,""),""))</f>
        <v/>
      </c>
      <c r="M517" t="str" cm="1">
        <f t="array" ref="M517">IF($K517="","",_xlfn.SWITCH($I517,"Computer",_xlfn.XLOOKUP($K517&amp;"",COMPUTER!$B$3:$B$1009&amp;"",COMPUTER!$J$3:$J$1009,""),"Display",_xlfn.XLOOKUP($K517&amp;"",DISPLAY!$B$3:$B$1000&amp;"",DISPLAY!$K$3:$K$1000,""),"Network Device",_xlfn.XLOOKUP($K517&amp;"",'NETWORK-DEVICES'!$B$3:$B$987&amp;"",'NETWORK-DEVICES'!$I$3:$I$987,""),"Peripheral",_xlfn.XLOOKUP($K517&amp;"",PERIPHERAL!$B$3:$B$954&amp;"",PERIPHERAL!$J$3:$J$954,""),"Utilities",_xlfn.XLOOKUP($K517&amp;"",UTILITIES!$B$3:$B$953&amp;"",UTILITIES!$I$3:$I$953,""),"IOT",_xlfn.XLOOKUP($K517&amp;"",IOT!$B$3:$B$1012&amp;"",IOT!$J$3:$J$1012,""),"Server",_xlfn.XLOOKUP($K517&amp;"",SERVER!$B$3:$B$1009&amp;"",SERVER!$J$3:$J$1009,""),""))</f>
        <v/>
      </c>
      <c r="N517" s="1" t="str" cm="1">
        <f t="array" ref="N517">IF(OR($K517="",$I517="",$J517=""),"",_xlfn.LET(_xlpm.srcCat,_xlfn.SWITCH($I517,"Computer",_xlfn.XLOOKUP($K517&amp;"",COMPUTER!$B$3:$B$1009&amp;"",COMPUTER!$H$3:$H$1009,""),"Display",_xlfn.XLOOKUP($K517&amp;"",DISPLAY!$B$3:$B$1000&amp;"",DISPLAY!$H$3:$H$1000,""),"Network Device",_xlfn.XLOOKUP($K517&amp;"",'NETWORK-DEVICES'!$B$3:$B$987&amp;"",'NETWORK-DEVICES'!$H$3:$H$987,""),"Peripheral",_xlfn.XLOOKUP($K517&amp;"",PERIPHERAL!$B$3:$B$954&amp;"",PERIPHERAL!$H$3:$H$954,""),"Utilities",_xlfn.XLOOKUP($K517&amp;"",UTILITIES!$B$3:$B$953&amp;"",UTILITIES!$G$3:$G$953,""),"IOT",_xlfn.XLOOKUP($K517&amp;"",IOT!$B$3:$B$1012&amp;"",IOT!$H$3:$H$1012,""),"Server",_xlfn.XLOOKUP($K517&amp;"",SERVER!$B$3:$B$1009&amp;"",SERVER!$H$3:$H$1009,""),""),IF(TRIM(_xlpm.srcCat)&lt;&gt;TRIM($J517),"",_xlfn.SWITCH($I517,"Computer",_xlfn.XLOOKUP($K517&amp;"",COMPUTER!$B$3:$B$1009&amp;"",COMPUTER!$K$3:$K$1009,""),"Display",_xlfn.XLOOKUP($K517&amp;"",DISPLAY!$B$3:$B$1000&amp;"",DISPLAY!$L$3:$L$1000,""),"Network Device",_xlfn.XLOOKUP($K517&amp;"",'NETWORK-DEVICES'!$B$3:$B$987&amp;"",'NETWORK-DEVICES'!$K$3:$K$987,""),"Peripheral",_xlfn.XLOOKUP($K517&amp;"",PERIPHERAL!$B$3:$B$954&amp;"",PERIPHERAL!$K$3:$K$954,""),"Utilities",_xlfn.XLOOKUP($K517&amp;"",UTILITIES!$B$3:$B$953&amp;"",UTILITIES!$J$3:$J$953,""),"IOT",_xlfn.XLOOKUP($K517&amp;"",IOT!$B$3:$B$1012&amp;"",IOT!$K$4:$K$1012,""),"Server",_xlfn.XLOOKUP($K517&amp;"",SERVER!$B$3:$B$1009&amp;"",SERVER!$K$3:$K$1009,""),""))))</f>
        <v/>
      </c>
      <c r="O517" s="1" t="str" cm="1">
        <f t="array" ref="O517">IF(OR($K517="",$I517="",$J517=""),"",_xlfn.LET(_xlpm.srcCat,_xlfn.SWITCH($I517,"Computer",_xlfn.XLOOKUP($K517&amp;"",COMPUTER!$B$3:$B$1009&amp;"",COMPUTER!$H$3:$H$1009,""),"Display",_xlfn.XLOOKUP($K517&amp;"",DISPLAY!$B$3:$B$1000&amp;"",DISPLAY!$H$3:$H$1000,""),"Network Device",_xlfn.XLOOKUP($K517&amp;"",'NETWORK-DEVICES'!$B$3:$B$987&amp;"",'NETWORK-DEVICES'!$H$3:$H$987,""),"Peripheral",_xlfn.XLOOKUP($K517&amp;"",PERIPHERAL!$B$3:$B$954&amp;"",PERIPHERAL!$H$3:$H$954,""),"Utilities",_xlfn.XLOOKUP($K517&amp;"",UTILITIES!$B$3:$B$953&amp;"",UTILITIES!$G$3:$G$953,""),"IOT",_xlfn.XLOOKUP($K517&amp;"",IOT!$B$3:$B$1012&amp;"",IOT!$H$3:$H$1012,""),"Server",_xlfn.XLOOKUP($K517&amp;"",SERVER!$B$3:$B$1009&amp;"",SERVER!$H$3:$H$1009,""),""),IF(TRIM(_xlpm.srcCat)&lt;&gt;TRIM($J517),"",_xlfn.SWITCH($I517,"Computer",_xlfn.XLOOKUP($K517&amp;"",COMPUTER!$B$3:$B$1009&amp;"",COMPUTER!$E$3:$E$1009,""),"Display",_xlfn.XLOOKUP($K517&amp;"",DISPLAY!$B$3:$B$1000&amp;"",DISPLAY!$E$3:$E$1000,""),"Network Device",_xlfn.XLOOKUP($K517&amp;"",'NETWORK-DEVICES'!$B$3:$B$987&amp;"",'NETWORK-DEVICES'!$E$3:$E$987,""),"Peripheral",_xlfn.XLOOKUP($K517&amp;"",PERIPHERAL!$B$3:$B$954&amp;"",PERIPHERAL!$E$3:$E$954,""),"Utilities",_xlfn.XLOOKUP($K517&amp;"",UTILITIES!$B$3:$B$953&amp;"",UTILITIES!$E$3:$E$953,""),"IOT",_xlfn.XLOOKUP($K517&amp;"",IOT!$B$3:$B$1012&amp;"",IOT!$E$3:$E$1012,""),"Server",_xlfn.XLOOKUP($K517&amp;"",SERVER!$B$3:$B$1009&amp;"",SERVER!$E$3:$E$1009,""),""))))</f>
        <v/>
      </c>
      <c r="Q517" s="1" t="str" cm="1">
        <f t="array" ref="Q517">IF(OR($K517="",$I517="",$J517=""),"",_xlfn.LET(_xlpm.srcCat,_xlfn.SWITCH($I517,"Computer",_xlfn.XLOOKUP($K517&amp;"",COMPUTER!$B$3:$B$1009&amp;"",COMPUTER!$H$3:$H$1009,""),"Display",_xlfn.XLOOKUP($K517&amp;"",DISPLAY!$B$3:$B$1000&amp;"",DISPLAY!$H$3:$H$1000,""),"Network Device",_xlfn.XLOOKUP($K517&amp;"",'NETWORK-DEVICES'!$B$3:$B$987&amp;"",'NETWORK-DEVICES'!$H$3:$H$987,""),"Peripheral",_xlfn.XLOOKUP($K517&amp;"",PERIPHERAL!$B$3:$B$954&amp;"",PERIPHERAL!$H$3:$H$954,""),"Utilities",_xlfn.XLOOKUP($K517&amp;"",UTILITIES!$B$3:$B$953&amp;"",UTILITIES!$G$3:$G$953,""),"IOT",_xlfn.XLOOKUP($K517&amp;"",IOT!$B$3:$B$1012&amp;"",IOT!$H$3:$H$1012,""),"Server",_xlfn.XLOOKUP($K517&amp;"",SERVER!$B$3:$B$1009&amp;"",SERVER!$H$3:$H$1009,""),""),IF(TRIM(_xlpm.srcCat)&lt;&gt;TRIM($J517),"",_xlfn.SWITCH($I517,"Computer",_xlfn.XLOOKUP($K517&amp;"",COMPUTER!$B$3:$B$1009&amp;"",COMPUTER!$AM$3:$AM$1009,""),"Display",_xlfn.XLOOKUP($K517&amp;"",DISPLAY!$B$3:$B$1000&amp;"",DISPLAY!$V$3:$V$1000,""),"Network Device",_xlfn.XLOOKUP($K517&amp;"",'NETWORK-DEVICES'!$B$3:$B$987&amp;"",'NETWORK-DEVICES'!$AF$3:$AF$987,""),"Peripheral",_xlfn.XLOOKUP($K517&amp;"",PERIPHERAL!$B$3:$B$954&amp;"",PERIPHERAL!$Y$3:$Y$954,""),"Utilities",_xlfn.XLOOKUP($K517&amp;"",UTILITIES!$B$3:$B$953&amp;"",UTILITIES!$O$3:$O$953,""),"IOT",_xlfn.XLOOKUP($K517&amp;"",IOT!$B$3:$B$1012&amp;"",IOT!$AB$3:$AB$1012,""),"Server",_xlfn.XLOOKUP($K517&amp;"",SERVER!$B$3:$B$1009&amp;"",SERVER!$AB$3:$AB$1009,""),""))))</f>
        <v/>
      </c>
      <c r="R517" s="43" t="str">
        <f>IF(tbl_handover[[#This Row],[Asset Code]]="","",COUNTIF(tbl_handover[Asset Code],tbl_handover[[#This Row],[Asset Code]]))</f>
        <v/>
      </c>
    </row>
    <row r="518" spans="1:18" x14ac:dyDescent="0.25">
      <c r="A518" s="43" t="str">
        <f>IF(B518&lt;&gt;"",SUBTOTAL(3,$B$1:B517),"")</f>
        <v/>
      </c>
      <c r="C518" s="74"/>
      <c r="D518" s="74"/>
      <c r="G518" s="1"/>
      <c r="K518" s="42"/>
      <c r="L518" t="str" cm="1">
        <f t="array" ref="L518">IF($K518="","",_xlfn.SWITCH($I518,"Computer",_xlfn.XLOOKUP($K518&amp;"",COMPUTER!$B$3:$B$1009&amp;"",COMPUTER!$I$3:$I$1009,""),"Display",_xlfn.XLOOKUP($K518&amp;"",DISPLAY!$B$3:$B$1000&amp;"",DISPLAY!$J$3:$J$1000,""),"Network Device",_xlfn.XLOOKUP($K518&amp;"",'NETWORK-DEVICES'!$B$3:$B$987&amp;"",'NETWORK-DEVICES'!$I$3:$I$987,""),"Peripheral",_xlfn.XLOOKUP($K518&amp;"",PERIPHERAL!$B$3:$B$954&amp;"",PERIPHERAL!$I$3:$I$954,""),"Utilities",_xlfn.XLOOKUP($K518&amp;"",UTILITIES!$B$3:$B$953&amp;"",UTILITIES!$H$3:$H$953,""),"IOT",_xlfn.XLOOKUP($K518&amp;"",IOT!$B$3:$B$1012&amp;"",IOT!$I$3:$I$1012,""),"SERVER",_xlfn.XLOOKUP($K518&amp;"",SERVER!$B$3:$B$1009&amp;"",SERVER!$I$3:$I$1009,""),""))</f>
        <v/>
      </c>
      <c r="M518" t="str" cm="1">
        <f t="array" ref="M518">IF($K518="","",_xlfn.SWITCH($I518,"Computer",_xlfn.XLOOKUP($K518&amp;"",COMPUTER!$B$3:$B$1009&amp;"",COMPUTER!$J$3:$J$1009,""),"Display",_xlfn.XLOOKUP($K518&amp;"",DISPLAY!$B$3:$B$1000&amp;"",DISPLAY!$K$3:$K$1000,""),"Network Device",_xlfn.XLOOKUP($K518&amp;"",'NETWORK-DEVICES'!$B$3:$B$987&amp;"",'NETWORK-DEVICES'!$I$3:$I$987,""),"Peripheral",_xlfn.XLOOKUP($K518&amp;"",PERIPHERAL!$B$3:$B$954&amp;"",PERIPHERAL!$J$3:$J$954,""),"Utilities",_xlfn.XLOOKUP($K518&amp;"",UTILITIES!$B$3:$B$953&amp;"",UTILITIES!$I$3:$I$953,""),"IOT",_xlfn.XLOOKUP($K518&amp;"",IOT!$B$3:$B$1012&amp;"",IOT!$J$3:$J$1012,""),"Server",_xlfn.XLOOKUP($K518&amp;"",SERVER!$B$3:$B$1009&amp;"",SERVER!$J$3:$J$1009,""),""))</f>
        <v/>
      </c>
      <c r="N518" s="1" t="str" cm="1">
        <f t="array" ref="N518">IF(OR($K518="",$I518="",$J518=""),"",_xlfn.LET(_xlpm.srcCat,_xlfn.SWITCH($I518,"Computer",_xlfn.XLOOKUP($K518&amp;"",COMPUTER!$B$3:$B$1009&amp;"",COMPUTER!$H$3:$H$1009,""),"Display",_xlfn.XLOOKUP($K518&amp;"",DISPLAY!$B$3:$B$1000&amp;"",DISPLAY!$H$3:$H$1000,""),"Network Device",_xlfn.XLOOKUP($K518&amp;"",'NETWORK-DEVICES'!$B$3:$B$987&amp;"",'NETWORK-DEVICES'!$H$3:$H$987,""),"Peripheral",_xlfn.XLOOKUP($K518&amp;"",PERIPHERAL!$B$3:$B$954&amp;"",PERIPHERAL!$H$3:$H$954,""),"Utilities",_xlfn.XLOOKUP($K518&amp;"",UTILITIES!$B$3:$B$953&amp;"",UTILITIES!$G$3:$G$953,""),"IOT",_xlfn.XLOOKUP($K518&amp;"",IOT!$B$3:$B$1012&amp;"",IOT!$H$3:$H$1012,""),"Server",_xlfn.XLOOKUP($K518&amp;"",SERVER!$B$3:$B$1009&amp;"",SERVER!$H$3:$H$1009,""),""),IF(TRIM(_xlpm.srcCat)&lt;&gt;TRIM($J518),"",_xlfn.SWITCH($I518,"Computer",_xlfn.XLOOKUP($K518&amp;"",COMPUTER!$B$3:$B$1009&amp;"",COMPUTER!$K$3:$K$1009,""),"Display",_xlfn.XLOOKUP($K518&amp;"",DISPLAY!$B$3:$B$1000&amp;"",DISPLAY!$L$3:$L$1000,""),"Network Device",_xlfn.XLOOKUP($K518&amp;"",'NETWORK-DEVICES'!$B$3:$B$987&amp;"",'NETWORK-DEVICES'!$K$3:$K$987,""),"Peripheral",_xlfn.XLOOKUP($K518&amp;"",PERIPHERAL!$B$3:$B$954&amp;"",PERIPHERAL!$K$3:$K$954,""),"Utilities",_xlfn.XLOOKUP($K518&amp;"",UTILITIES!$B$3:$B$953&amp;"",UTILITIES!$J$3:$J$953,""),"IOT",_xlfn.XLOOKUP($K518&amp;"",IOT!$B$3:$B$1012&amp;"",IOT!$K$4:$K$1012,""),"Server",_xlfn.XLOOKUP($K518&amp;"",SERVER!$B$3:$B$1009&amp;"",SERVER!$K$3:$K$1009,""),""))))</f>
        <v/>
      </c>
      <c r="O518" s="1" t="str" cm="1">
        <f t="array" ref="O518">IF(OR($K518="",$I518="",$J518=""),"",_xlfn.LET(_xlpm.srcCat,_xlfn.SWITCH($I518,"Computer",_xlfn.XLOOKUP($K518&amp;"",COMPUTER!$B$3:$B$1009&amp;"",COMPUTER!$H$3:$H$1009,""),"Display",_xlfn.XLOOKUP($K518&amp;"",DISPLAY!$B$3:$B$1000&amp;"",DISPLAY!$H$3:$H$1000,""),"Network Device",_xlfn.XLOOKUP($K518&amp;"",'NETWORK-DEVICES'!$B$3:$B$987&amp;"",'NETWORK-DEVICES'!$H$3:$H$987,""),"Peripheral",_xlfn.XLOOKUP($K518&amp;"",PERIPHERAL!$B$3:$B$954&amp;"",PERIPHERAL!$H$3:$H$954,""),"Utilities",_xlfn.XLOOKUP($K518&amp;"",UTILITIES!$B$3:$B$953&amp;"",UTILITIES!$G$3:$G$953,""),"IOT",_xlfn.XLOOKUP($K518&amp;"",IOT!$B$3:$B$1012&amp;"",IOT!$H$3:$H$1012,""),"Server",_xlfn.XLOOKUP($K518&amp;"",SERVER!$B$3:$B$1009&amp;"",SERVER!$H$3:$H$1009,""),""),IF(TRIM(_xlpm.srcCat)&lt;&gt;TRIM($J518),"",_xlfn.SWITCH($I518,"Computer",_xlfn.XLOOKUP($K518&amp;"",COMPUTER!$B$3:$B$1009&amp;"",COMPUTER!$E$3:$E$1009,""),"Display",_xlfn.XLOOKUP($K518&amp;"",DISPLAY!$B$3:$B$1000&amp;"",DISPLAY!$E$3:$E$1000,""),"Network Device",_xlfn.XLOOKUP($K518&amp;"",'NETWORK-DEVICES'!$B$3:$B$987&amp;"",'NETWORK-DEVICES'!$E$3:$E$987,""),"Peripheral",_xlfn.XLOOKUP($K518&amp;"",PERIPHERAL!$B$3:$B$954&amp;"",PERIPHERAL!$E$3:$E$954,""),"Utilities",_xlfn.XLOOKUP($K518&amp;"",UTILITIES!$B$3:$B$953&amp;"",UTILITIES!$E$3:$E$953,""),"IOT",_xlfn.XLOOKUP($K518&amp;"",IOT!$B$3:$B$1012&amp;"",IOT!$E$3:$E$1012,""),"Server",_xlfn.XLOOKUP($K518&amp;"",SERVER!$B$3:$B$1009&amp;"",SERVER!$E$3:$E$1009,""),""))))</f>
        <v/>
      </c>
      <c r="Q518" s="1" t="str" cm="1">
        <f t="array" ref="Q518">IF(OR($K518="",$I518="",$J518=""),"",_xlfn.LET(_xlpm.srcCat,_xlfn.SWITCH($I518,"Computer",_xlfn.XLOOKUP($K518&amp;"",COMPUTER!$B$3:$B$1009&amp;"",COMPUTER!$H$3:$H$1009,""),"Display",_xlfn.XLOOKUP($K518&amp;"",DISPLAY!$B$3:$B$1000&amp;"",DISPLAY!$H$3:$H$1000,""),"Network Device",_xlfn.XLOOKUP($K518&amp;"",'NETWORK-DEVICES'!$B$3:$B$987&amp;"",'NETWORK-DEVICES'!$H$3:$H$987,""),"Peripheral",_xlfn.XLOOKUP($K518&amp;"",PERIPHERAL!$B$3:$B$954&amp;"",PERIPHERAL!$H$3:$H$954,""),"Utilities",_xlfn.XLOOKUP($K518&amp;"",UTILITIES!$B$3:$B$953&amp;"",UTILITIES!$G$3:$G$953,""),"IOT",_xlfn.XLOOKUP($K518&amp;"",IOT!$B$3:$B$1012&amp;"",IOT!$H$3:$H$1012,""),"Server",_xlfn.XLOOKUP($K518&amp;"",SERVER!$B$3:$B$1009&amp;"",SERVER!$H$3:$H$1009,""),""),IF(TRIM(_xlpm.srcCat)&lt;&gt;TRIM($J518),"",_xlfn.SWITCH($I518,"Computer",_xlfn.XLOOKUP($K518&amp;"",COMPUTER!$B$3:$B$1009&amp;"",COMPUTER!$AM$3:$AM$1009,""),"Display",_xlfn.XLOOKUP($K518&amp;"",DISPLAY!$B$3:$B$1000&amp;"",DISPLAY!$V$3:$V$1000,""),"Network Device",_xlfn.XLOOKUP($K518&amp;"",'NETWORK-DEVICES'!$B$3:$B$987&amp;"",'NETWORK-DEVICES'!$AF$3:$AF$987,""),"Peripheral",_xlfn.XLOOKUP($K518&amp;"",PERIPHERAL!$B$3:$B$954&amp;"",PERIPHERAL!$Y$3:$Y$954,""),"Utilities",_xlfn.XLOOKUP($K518&amp;"",UTILITIES!$B$3:$B$953&amp;"",UTILITIES!$O$3:$O$953,""),"IOT",_xlfn.XLOOKUP($K518&amp;"",IOT!$B$3:$B$1012&amp;"",IOT!$AB$3:$AB$1012,""),"Server",_xlfn.XLOOKUP($K518&amp;"",SERVER!$B$3:$B$1009&amp;"",SERVER!$AB$3:$AB$1009,""),""))))</f>
        <v/>
      </c>
      <c r="R518" s="43" t="str">
        <f>IF(tbl_handover[[#This Row],[Asset Code]]="","",COUNTIF(tbl_handover[Asset Code],tbl_handover[[#This Row],[Asset Code]]))</f>
        <v/>
      </c>
    </row>
    <row r="519" spans="1:18" x14ac:dyDescent="0.25">
      <c r="A519" s="43" t="str">
        <f>IF(B519&lt;&gt;"",SUBTOTAL(3,$B$1:B518),"")</f>
        <v/>
      </c>
      <c r="C519" s="74"/>
      <c r="D519" s="74"/>
      <c r="G519" s="1"/>
      <c r="K519" s="42"/>
      <c r="L519" t="str" cm="1">
        <f t="array" ref="L519">IF($K519="","",_xlfn.SWITCH($I519,"Computer",_xlfn.XLOOKUP($K519&amp;"",COMPUTER!$B$3:$B$1009&amp;"",COMPUTER!$I$3:$I$1009,""),"Display",_xlfn.XLOOKUP($K519&amp;"",DISPLAY!$B$3:$B$1000&amp;"",DISPLAY!$J$3:$J$1000,""),"Network Device",_xlfn.XLOOKUP($K519&amp;"",'NETWORK-DEVICES'!$B$3:$B$987&amp;"",'NETWORK-DEVICES'!$I$3:$I$987,""),"Peripheral",_xlfn.XLOOKUP($K519&amp;"",PERIPHERAL!$B$3:$B$954&amp;"",PERIPHERAL!$I$3:$I$954,""),"Utilities",_xlfn.XLOOKUP($K519&amp;"",UTILITIES!$B$3:$B$953&amp;"",UTILITIES!$H$3:$H$953,""),"IOT",_xlfn.XLOOKUP($K519&amp;"",IOT!$B$3:$B$1012&amp;"",IOT!$I$3:$I$1012,""),"SERVER",_xlfn.XLOOKUP($K519&amp;"",SERVER!$B$3:$B$1009&amp;"",SERVER!$I$3:$I$1009,""),""))</f>
        <v/>
      </c>
      <c r="M519" t="str" cm="1">
        <f t="array" ref="M519">IF($K519="","",_xlfn.SWITCH($I519,"Computer",_xlfn.XLOOKUP($K519&amp;"",COMPUTER!$B$3:$B$1009&amp;"",COMPUTER!$J$3:$J$1009,""),"Display",_xlfn.XLOOKUP($K519&amp;"",DISPLAY!$B$3:$B$1000&amp;"",DISPLAY!$K$3:$K$1000,""),"Network Device",_xlfn.XLOOKUP($K519&amp;"",'NETWORK-DEVICES'!$B$3:$B$987&amp;"",'NETWORK-DEVICES'!$I$3:$I$987,""),"Peripheral",_xlfn.XLOOKUP($K519&amp;"",PERIPHERAL!$B$3:$B$954&amp;"",PERIPHERAL!$J$3:$J$954,""),"Utilities",_xlfn.XLOOKUP($K519&amp;"",UTILITIES!$B$3:$B$953&amp;"",UTILITIES!$I$3:$I$953,""),"IOT",_xlfn.XLOOKUP($K519&amp;"",IOT!$B$3:$B$1012&amp;"",IOT!$J$3:$J$1012,""),"Server",_xlfn.XLOOKUP($K519&amp;"",SERVER!$B$3:$B$1009&amp;"",SERVER!$J$3:$J$1009,""),""))</f>
        <v/>
      </c>
      <c r="N519" s="1" t="str" cm="1">
        <f t="array" ref="N519">IF(OR($K519="",$I519="",$J519=""),"",_xlfn.LET(_xlpm.srcCat,_xlfn.SWITCH($I519,"Computer",_xlfn.XLOOKUP($K519&amp;"",COMPUTER!$B$3:$B$1009&amp;"",COMPUTER!$H$3:$H$1009,""),"Display",_xlfn.XLOOKUP($K519&amp;"",DISPLAY!$B$3:$B$1000&amp;"",DISPLAY!$H$3:$H$1000,""),"Network Device",_xlfn.XLOOKUP($K519&amp;"",'NETWORK-DEVICES'!$B$3:$B$987&amp;"",'NETWORK-DEVICES'!$H$3:$H$987,""),"Peripheral",_xlfn.XLOOKUP($K519&amp;"",PERIPHERAL!$B$3:$B$954&amp;"",PERIPHERAL!$H$3:$H$954,""),"Utilities",_xlfn.XLOOKUP($K519&amp;"",UTILITIES!$B$3:$B$953&amp;"",UTILITIES!$G$3:$G$953,""),"IOT",_xlfn.XLOOKUP($K519&amp;"",IOT!$B$3:$B$1012&amp;"",IOT!$H$3:$H$1012,""),"Server",_xlfn.XLOOKUP($K519&amp;"",SERVER!$B$3:$B$1009&amp;"",SERVER!$H$3:$H$1009,""),""),IF(TRIM(_xlpm.srcCat)&lt;&gt;TRIM($J519),"",_xlfn.SWITCH($I519,"Computer",_xlfn.XLOOKUP($K519&amp;"",COMPUTER!$B$3:$B$1009&amp;"",COMPUTER!$K$3:$K$1009,""),"Display",_xlfn.XLOOKUP($K519&amp;"",DISPLAY!$B$3:$B$1000&amp;"",DISPLAY!$L$3:$L$1000,""),"Network Device",_xlfn.XLOOKUP($K519&amp;"",'NETWORK-DEVICES'!$B$3:$B$987&amp;"",'NETWORK-DEVICES'!$K$3:$K$987,""),"Peripheral",_xlfn.XLOOKUP($K519&amp;"",PERIPHERAL!$B$3:$B$954&amp;"",PERIPHERAL!$K$3:$K$954,""),"Utilities",_xlfn.XLOOKUP($K519&amp;"",UTILITIES!$B$3:$B$953&amp;"",UTILITIES!$J$3:$J$953,""),"IOT",_xlfn.XLOOKUP($K519&amp;"",IOT!$B$3:$B$1012&amp;"",IOT!$K$4:$K$1012,""),"Server",_xlfn.XLOOKUP($K519&amp;"",SERVER!$B$3:$B$1009&amp;"",SERVER!$K$3:$K$1009,""),""))))</f>
        <v/>
      </c>
      <c r="O519" s="1" t="str" cm="1">
        <f t="array" ref="O519">IF(OR($K519="",$I519="",$J519=""),"",_xlfn.LET(_xlpm.srcCat,_xlfn.SWITCH($I519,"Computer",_xlfn.XLOOKUP($K519&amp;"",COMPUTER!$B$3:$B$1009&amp;"",COMPUTER!$H$3:$H$1009,""),"Display",_xlfn.XLOOKUP($K519&amp;"",DISPLAY!$B$3:$B$1000&amp;"",DISPLAY!$H$3:$H$1000,""),"Network Device",_xlfn.XLOOKUP($K519&amp;"",'NETWORK-DEVICES'!$B$3:$B$987&amp;"",'NETWORK-DEVICES'!$H$3:$H$987,""),"Peripheral",_xlfn.XLOOKUP($K519&amp;"",PERIPHERAL!$B$3:$B$954&amp;"",PERIPHERAL!$H$3:$H$954,""),"Utilities",_xlfn.XLOOKUP($K519&amp;"",UTILITIES!$B$3:$B$953&amp;"",UTILITIES!$G$3:$G$953,""),"IOT",_xlfn.XLOOKUP($K519&amp;"",IOT!$B$3:$B$1012&amp;"",IOT!$H$3:$H$1012,""),"Server",_xlfn.XLOOKUP($K519&amp;"",SERVER!$B$3:$B$1009&amp;"",SERVER!$H$3:$H$1009,""),""),IF(TRIM(_xlpm.srcCat)&lt;&gt;TRIM($J519),"",_xlfn.SWITCH($I519,"Computer",_xlfn.XLOOKUP($K519&amp;"",COMPUTER!$B$3:$B$1009&amp;"",COMPUTER!$E$3:$E$1009,""),"Display",_xlfn.XLOOKUP($K519&amp;"",DISPLAY!$B$3:$B$1000&amp;"",DISPLAY!$E$3:$E$1000,""),"Network Device",_xlfn.XLOOKUP($K519&amp;"",'NETWORK-DEVICES'!$B$3:$B$987&amp;"",'NETWORK-DEVICES'!$E$3:$E$987,""),"Peripheral",_xlfn.XLOOKUP($K519&amp;"",PERIPHERAL!$B$3:$B$954&amp;"",PERIPHERAL!$E$3:$E$954,""),"Utilities",_xlfn.XLOOKUP($K519&amp;"",UTILITIES!$B$3:$B$953&amp;"",UTILITIES!$E$3:$E$953,""),"IOT",_xlfn.XLOOKUP($K519&amp;"",IOT!$B$3:$B$1012&amp;"",IOT!$E$3:$E$1012,""),"Server",_xlfn.XLOOKUP($K519&amp;"",SERVER!$B$3:$B$1009&amp;"",SERVER!$E$3:$E$1009,""),""))))</f>
        <v/>
      </c>
      <c r="Q519" s="1" t="str" cm="1">
        <f t="array" ref="Q519">IF(OR($K519="",$I519="",$J519=""),"",_xlfn.LET(_xlpm.srcCat,_xlfn.SWITCH($I519,"Computer",_xlfn.XLOOKUP($K519&amp;"",COMPUTER!$B$3:$B$1009&amp;"",COMPUTER!$H$3:$H$1009,""),"Display",_xlfn.XLOOKUP($K519&amp;"",DISPLAY!$B$3:$B$1000&amp;"",DISPLAY!$H$3:$H$1000,""),"Network Device",_xlfn.XLOOKUP($K519&amp;"",'NETWORK-DEVICES'!$B$3:$B$987&amp;"",'NETWORK-DEVICES'!$H$3:$H$987,""),"Peripheral",_xlfn.XLOOKUP($K519&amp;"",PERIPHERAL!$B$3:$B$954&amp;"",PERIPHERAL!$H$3:$H$954,""),"Utilities",_xlfn.XLOOKUP($K519&amp;"",UTILITIES!$B$3:$B$953&amp;"",UTILITIES!$G$3:$G$953,""),"IOT",_xlfn.XLOOKUP($K519&amp;"",IOT!$B$3:$B$1012&amp;"",IOT!$H$3:$H$1012,""),"Server",_xlfn.XLOOKUP($K519&amp;"",SERVER!$B$3:$B$1009&amp;"",SERVER!$H$3:$H$1009,""),""),IF(TRIM(_xlpm.srcCat)&lt;&gt;TRIM($J519),"",_xlfn.SWITCH($I519,"Computer",_xlfn.XLOOKUP($K519&amp;"",COMPUTER!$B$3:$B$1009&amp;"",COMPUTER!$AM$3:$AM$1009,""),"Display",_xlfn.XLOOKUP($K519&amp;"",DISPLAY!$B$3:$B$1000&amp;"",DISPLAY!$V$3:$V$1000,""),"Network Device",_xlfn.XLOOKUP($K519&amp;"",'NETWORK-DEVICES'!$B$3:$B$987&amp;"",'NETWORK-DEVICES'!$AF$3:$AF$987,""),"Peripheral",_xlfn.XLOOKUP($K519&amp;"",PERIPHERAL!$B$3:$B$954&amp;"",PERIPHERAL!$Y$3:$Y$954,""),"Utilities",_xlfn.XLOOKUP($K519&amp;"",UTILITIES!$B$3:$B$953&amp;"",UTILITIES!$O$3:$O$953,""),"IOT",_xlfn.XLOOKUP($K519&amp;"",IOT!$B$3:$B$1012&amp;"",IOT!$AB$3:$AB$1012,""),"Server",_xlfn.XLOOKUP($K519&amp;"",SERVER!$B$3:$B$1009&amp;"",SERVER!$AB$3:$AB$1009,""),""))))</f>
        <v/>
      </c>
      <c r="R519" s="43" t="str">
        <f>IF(tbl_handover[[#This Row],[Asset Code]]="","",COUNTIF(tbl_handover[Asset Code],tbl_handover[[#This Row],[Asset Code]]))</f>
        <v/>
      </c>
    </row>
    <row r="520" spans="1:18" x14ac:dyDescent="0.25">
      <c r="A520" s="43" t="str">
        <f>IF(B520&lt;&gt;"",SUBTOTAL(3,$B$1:B519),"")</f>
        <v/>
      </c>
      <c r="C520" s="74"/>
      <c r="D520" s="74"/>
      <c r="G520" s="1"/>
      <c r="K520" s="42"/>
      <c r="L520" t="str" cm="1">
        <f t="array" ref="L520">IF($K520="","",_xlfn.SWITCH($I520,"Computer",_xlfn.XLOOKUP($K520&amp;"",COMPUTER!$B$3:$B$1009&amp;"",COMPUTER!$I$3:$I$1009,""),"Display",_xlfn.XLOOKUP($K520&amp;"",DISPLAY!$B$3:$B$1000&amp;"",DISPLAY!$J$3:$J$1000,""),"Network Device",_xlfn.XLOOKUP($K520&amp;"",'NETWORK-DEVICES'!$B$3:$B$987&amp;"",'NETWORK-DEVICES'!$I$3:$I$987,""),"Peripheral",_xlfn.XLOOKUP($K520&amp;"",PERIPHERAL!$B$3:$B$954&amp;"",PERIPHERAL!$I$3:$I$954,""),"Utilities",_xlfn.XLOOKUP($K520&amp;"",UTILITIES!$B$3:$B$953&amp;"",UTILITIES!$H$3:$H$953,""),"IOT",_xlfn.XLOOKUP($K520&amp;"",IOT!$B$3:$B$1012&amp;"",IOT!$I$3:$I$1012,""),"SERVER",_xlfn.XLOOKUP($K520&amp;"",SERVER!$B$3:$B$1009&amp;"",SERVER!$I$3:$I$1009,""),""))</f>
        <v/>
      </c>
      <c r="M520" t="str" cm="1">
        <f t="array" ref="M520">IF($K520="","",_xlfn.SWITCH($I520,"Computer",_xlfn.XLOOKUP($K520&amp;"",COMPUTER!$B$3:$B$1009&amp;"",COMPUTER!$J$3:$J$1009,""),"Display",_xlfn.XLOOKUP($K520&amp;"",DISPLAY!$B$3:$B$1000&amp;"",DISPLAY!$K$3:$K$1000,""),"Network Device",_xlfn.XLOOKUP($K520&amp;"",'NETWORK-DEVICES'!$B$3:$B$987&amp;"",'NETWORK-DEVICES'!$I$3:$I$987,""),"Peripheral",_xlfn.XLOOKUP($K520&amp;"",PERIPHERAL!$B$3:$B$954&amp;"",PERIPHERAL!$J$3:$J$954,""),"Utilities",_xlfn.XLOOKUP($K520&amp;"",UTILITIES!$B$3:$B$953&amp;"",UTILITIES!$I$3:$I$953,""),"IOT",_xlfn.XLOOKUP($K520&amp;"",IOT!$B$3:$B$1012&amp;"",IOT!$J$3:$J$1012,""),"Server",_xlfn.XLOOKUP($K520&amp;"",SERVER!$B$3:$B$1009&amp;"",SERVER!$J$3:$J$1009,""),""))</f>
        <v/>
      </c>
      <c r="N520" s="1" t="str" cm="1">
        <f t="array" ref="N520">IF(OR($K520="",$I520="",$J520=""),"",_xlfn.LET(_xlpm.srcCat,_xlfn.SWITCH($I520,"Computer",_xlfn.XLOOKUP($K520&amp;"",COMPUTER!$B$3:$B$1009&amp;"",COMPUTER!$H$3:$H$1009,""),"Display",_xlfn.XLOOKUP($K520&amp;"",DISPLAY!$B$3:$B$1000&amp;"",DISPLAY!$H$3:$H$1000,""),"Network Device",_xlfn.XLOOKUP($K520&amp;"",'NETWORK-DEVICES'!$B$3:$B$987&amp;"",'NETWORK-DEVICES'!$H$3:$H$987,""),"Peripheral",_xlfn.XLOOKUP($K520&amp;"",PERIPHERAL!$B$3:$B$954&amp;"",PERIPHERAL!$H$3:$H$954,""),"Utilities",_xlfn.XLOOKUP($K520&amp;"",UTILITIES!$B$3:$B$953&amp;"",UTILITIES!$G$3:$G$953,""),"IOT",_xlfn.XLOOKUP($K520&amp;"",IOT!$B$3:$B$1012&amp;"",IOT!$H$3:$H$1012,""),"Server",_xlfn.XLOOKUP($K520&amp;"",SERVER!$B$3:$B$1009&amp;"",SERVER!$H$3:$H$1009,""),""),IF(TRIM(_xlpm.srcCat)&lt;&gt;TRIM($J520),"",_xlfn.SWITCH($I520,"Computer",_xlfn.XLOOKUP($K520&amp;"",COMPUTER!$B$3:$B$1009&amp;"",COMPUTER!$K$3:$K$1009,""),"Display",_xlfn.XLOOKUP($K520&amp;"",DISPLAY!$B$3:$B$1000&amp;"",DISPLAY!$L$3:$L$1000,""),"Network Device",_xlfn.XLOOKUP($K520&amp;"",'NETWORK-DEVICES'!$B$3:$B$987&amp;"",'NETWORK-DEVICES'!$K$3:$K$987,""),"Peripheral",_xlfn.XLOOKUP($K520&amp;"",PERIPHERAL!$B$3:$B$954&amp;"",PERIPHERAL!$K$3:$K$954,""),"Utilities",_xlfn.XLOOKUP($K520&amp;"",UTILITIES!$B$3:$B$953&amp;"",UTILITIES!$J$3:$J$953,""),"IOT",_xlfn.XLOOKUP($K520&amp;"",IOT!$B$3:$B$1012&amp;"",IOT!$K$4:$K$1012,""),"Server",_xlfn.XLOOKUP($K520&amp;"",SERVER!$B$3:$B$1009&amp;"",SERVER!$K$3:$K$1009,""),""))))</f>
        <v/>
      </c>
      <c r="O520" s="1" t="str" cm="1">
        <f t="array" ref="O520">IF(OR($K520="",$I520="",$J520=""),"",_xlfn.LET(_xlpm.srcCat,_xlfn.SWITCH($I520,"Computer",_xlfn.XLOOKUP($K520&amp;"",COMPUTER!$B$3:$B$1009&amp;"",COMPUTER!$H$3:$H$1009,""),"Display",_xlfn.XLOOKUP($K520&amp;"",DISPLAY!$B$3:$B$1000&amp;"",DISPLAY!$H$3:$H$1000,""),"Network Device",_xlfn.XLOOKUP($K520&amp;"",'NETWORK-DEVICES'!$B$3:$B$987&amp;"",'NETWORK-DEVICES'!$H$3:$H$987,""),"Peripheral",_xlfn.XLOOKUP($K520&amp;"",PERIPHERAL!$B$3:$B$954&amp;"",PERIPHERAL!$H$3:$H$954,""),"Utilities",_xlfn.XLOOKUP($K520&amp;"",UTILITIES!$B$3:$B$953&amp;"",UTILITIES!$G$3:$G$953,""),"IOT",_xlfn.XLOOKUP($K520&amp;"",IOT!$B$3:$B$1012&amp;"",IOT!$H$3:$H$1012,""),"Server",_xlfn.XLOOKUP($K520&amp;"",SERVER!$B$3:$B$1009&amp;"",SERVER!$H$3:$H$1009,""),""),IF(TRIM(_xlpm.srcCat)&lt;&gt;TRIM($J520),"",_xlfn.SWITCH($I520,"Computer",_xlfn.XLOOKUP($K520&amp;"",COMPUTER!$B$3:$B$1009&amp;"",COMPUTER!$E$3:$E$1009,""),"Display",_xlfn.XLOOKUP($K520&amp;"",DISPLAY!$B$3:$B$1000&amp;"",DISPLAY!$E$3:$E$1000,""),"Network Device",_xlfn.XLOOKUP($K520&amp;"",'NETWORK-DEVICES'!$B$3:$B$987&amp;"",'NETWORK-DEVICES'!$E$3:$E$987,""),"Peripheral",_xlfn.XLOOKUP($K520&amp;"",PERIPHERAL!$B$3:$B$954&amp;"",PERIPHERAL!$E$3:$E$954,""),"Utilities",_xlfn.XLOOKUP($K520&amp;"",UTILITIES!$B$3:$B$953&amp;"",UTILITIES!$E$3:$E$953,""),"IOT",_xlfn.XLOOKUP($K520&amp;"",IOT!$B$3:$B$1012&amp;"",IOT!$E$3:$E$1012,""),"Server",_xlfn.XLOOKUP($K520&amp;"",SERVER!$B$3:$B$1009&amp;"",SERVER!$E$3:$E$1009,""),""))))</f>
        <v/>
      </c>
      <c r="Q520" s="1" t="str" cm="1">
        <f t="array" ref="Q520">IF(OR($K520="",$I520="",$J520=""),"",_xlfn.LET(_xlpm.srcCat,_xlfn.SWITCH($I520,"Computer",_xlfn.XLOOKUP($K520&amp;"",COMPUTER!$B$3:$B$1009&amp;"",COMPUTER!$H$3:$H$1009,""),"Display",_xlfn.XLOOKUP($K520&amp;"",DISPLAY!$B$3:$B$1000&amp;"",DISPLAY!$H$3:$H$1000,""),"Network Device",_xlfn.XLOOKUP($K520&amp;"",'NETWORK-DEVICES'!$B$3:$B$987&amp;"",'NETWORK-DEVICES'!$H$3:$H$987,""),"Peripheral",_xlfn.XLOOKUP($K520&amp;"",PERIPHERAL!$B$3:$B$954&amp;"",PERIPHERAL!$H$3:$H$954,""),"Utilities",_xlfn.XLOOKUP($K520&amp;"",UTILITIES!$B$3:$B$953&amp;"",UTILITIES!$G$3:$G$953,""),"IOT",_xlfn.XLOOKUP($K520&amp;"",IOT!$B$3:$B$1012&amp;"",IOT!$H$3:$H$1012,""),"Server",_xlfn.XLOOKUP($K520&amp;"",SERVER!$B$3:$B$1009&amp;"",SERVER!$H$3:$H$1009,""),""),IF(TRIM(_xlpm.srcCat)&lt;&gt;TRIM($J520),"",_xlfn.SWITCH($I520,"Computer",_xlfn.XLOOKUP($K520&amp;"",COMPUTER!$B$3:$B$1009&amp;"",COMPUTER!$AM$3:$AM$1009,""),"Display",_xlfn.XLOOKUP($K520&amp;"",DISPLAY!$B$3:$B$1000&amp;"",DISPLAY!$V$3:$V$1000,""),"Network Device",_xlfn.XLOOKUP($K520&amp;"",'NETWORK-DEVICES'!$B$3:$B$987&amp;"",'NETWORK-DEVICES'!$AF$3:$AF$987,""),"Peripheral",_xlfn.XLOOKUP($K520&amp;"",PERIPHERAL!$B$3:$B$954&amp;"",PERIPHERAL!$Y$3:$Y$954,""),"Utilities",_xlfn.XLOOKUP($K520&amp;"",UTILITIES!$B$3:$B$953&amp;"",UTILITIES!$O$3:$O$953,""),"IOT",_xlfn.XLOOKUP($K520&amp;"",IOT!$B$3:$B$1012&amp;"",IOT!$AB$3:$AB$1012,""),"Server",_xlfn.XLOOKUP($K520&amp;"",SERVER!$B$3:$B$1009&amp;"",SERVER!$AB$3:$AB$1009,""),""))))</f>
        <v/>
      </c>
      <c r="R520" s="43" t="str">
        <f>IF(tbl_handover[[#This Row],[Asset Code]]="","",COUNTIF(tbl_handover[Asset Code],tbl_handover[[#This Row],[Asset Code]]))</f>
        <v/>
      </c>
    </row>
    <row r="521" spans="1:18" x14ac:dyDescent="0.25">
      <c r="A521" s="43" t="str">
        <f>IF(B521&lt;&gt;"",SUBTOTAL(3,$B$1:B520),"")</f>
        <v/>
      </c>
      <c r="C521" s="74"/>
      <c r="D521" s="74"/>
      <c r="G521" s="1"/>
      <c r="K521" s="42"/>
      <c r="L521" t="str" cm="1">
        <f t="array" ref="L521">IF($K521="","",_xlfn.SWITCH($I521,"Computer",_xlfn.XLOOKUP($K521&amp;"",COMPUTER!$B$3:$B$1009&amp;"",COMPUTER!$I$3:$I$1009,""),"Display",_xlfn.XLOOKUP($K521&amp;"",DISPLAY!$B$3:$B$1000&amp;"",DISPLAY!$J$3:$J$1000,""),"Network Device",_xlfn.XLOOKUP($K521&amp;"",'NETWORK-DEVICES'!$B$3:$B$987&amp;"",'NETWORK-DEVICES'!$I$3:$I$987,""),"Peripheral",_xlfn.XLOOKUP($K521&amp;"",PERIPHERAL!$B$3:$B$954&amp;"",PERIPHERAL!$I$3:$I$954,""),"Utilities",_xlfn.XLOOKUP($K521&amp;"",UTILITIES!$B$3:$B$953&amp;"",UTILITIES!$H$3:$H$953,""),"IOT",_xlfn.XLOOKUP($K521&amp;"",IOT!$B$3:$B$1012&amp;"",IOT!$I$3:$I$1012,""),"SERVER",_xlfn.XLOOKUP($K521&amp;"",SERVER!$B$3:$B$1009&amp;"",SERVER!$I$3:$I$1009,""),""))</f>
        <v/>
      </c>
      <c r="M521" t="str" cm="1">
        <f t="array" ref="M521">IF($K521="","",_xlfn.SWITCH($I521,"Computer",_xlfn.XLOOKUP($K521&amp;"",COMPUTER!$B$3:$B$1009&amp;"",COMPUTER!$J$3:$J$1009,""),"Display",_xlfn.XLOOKUP($K521&amp;"",DISPLAY!$B$3:$B$1000&amp;"",DISPLAY!$K$3:$K$1000,""),"Network Device",_xlfn.XLOOKUP($K521&amp;"",'NETWORK-DEVICES'!$B$3:$B$987&amp;"",'NETWORK-DEVICES'!$I$3:$I$987,""),"Peripheral",_xlfn.XLOOKUP($K521&amp;"",PERIPHERAL!$B$3:$B$954&amp;"",PERIPHERAL!$J$3:$J$954,""),"Utilities",_xlfn.XLOOKUP($K521&amp;"",UTILITIES!$B$3:$B$953&amp;"",UTILITIES!$I$3:$I$953,""),"IOT",_xlfn.XLOOKUP($K521&amp;"",IOT!$B$3:$B$1012&amp;"",IOT!$J$3:$J$1012,""),"Server",_xlfn.XLOOKUP($K521&amp;"",SERVER!$B$3:$B$1009&amp;"",SERVER!$J$3:$J$1009,""),""))</f>
        <v/>
      </c>
      <c r="N521" s="1" t="str" cm="1">
        <f t="array" ref="N521">IF(OR($K521="",$I521="",$J521=""),"",_xlfn.LET(_xlpm.srcCat,_xlfn.SWITCH($I521,"Computer",_xlfn.XLOOKUP($K521&amp;"",COMPUTER!$B$3:$B$1009&amp;"",COMPUTER!$H$3:$H$1009,""),"Display",_xlfn.XLOOKUP($K521&amp;"",DISPLAY!$B$3:$B$1000&amp;"",DISPLAY!$H$3:$H$1000,""),"Network Device",_xlfn.XLOOKUP($K521&amp;"",'NETWORK-DEVICES'!$B$3:$B$987&amp;"",'NETWORK-DEVICES'!$H$3:$H$987,""),"Peripheral",_xlfn.XLOOKUP($K521&amp;"",PERIPHERAL!$B$3:$B$954&amp;"",PERIPHERAL!$H$3:$H$954,""),"Utilities",_xlfn.XLOOKUP($K521&amp;"",UTILITIES!$B$3:$B$953&amp;"",UTILITIES!$G$3:$G$953,""),"IOT",_xlfn.XLOOKUP($K521&amp;"",IOT!$B$3:$B$1012&amp;"",IOT!$H$3:$H$1012,""),"Server",_xlfn.XLOOKUP($K521&amp;"",SERVER!$B$3:$B$1009&amp;"",SERVER!$H$3:$H$1009,""),""),IF(TRIM(_xlpm.srcCat)&lt;&gt;TRIM($J521),"",_xlfn.SWITCH($I521,"Computer",_xlfn.XLOOKUP($K521&amp;"",COMPUTER!$B$3:$B$1009&amp;"",COMPUTER!$K$3:$K$1009,""),"Display",_xlfn.XLOOKUP($K521&amp;"",DISPLAY!$B$3:$B$1000&amp;"",DISPLAY!$L$3:$L$1000,""),"Network Device",_xlfn.XLOOKUP($K521&amp;"",'NETWORK-DEVICES'!$B$3:$B$987&amp;"",'NETWORK-DEVICES'!$K$3:$K$987,""),"Peripheral",_xlfn.XLOOKUP($K521&amp;"",PERIPHERAL!$B$3:$B$954&amp;"",PERIPHERAL!$K$3:$K$954,""),"Utilities",_xlfn.XLOOKUP($K521&amp;"",UTILITIES!$B$3:$B$953&amp;"",UTILITIES!$J$3:$J$953,""),"IOT",_xlfn.XLOOKUP($K521&amp;"",IOT!$B$3:$B$1012&amp;"",IOT!$K$4:$K$1012,""),"Server",_xlfn.XLOOKUP($K521&amp;"",SERVER!$B$3:$B$1009&amp;"",SERVER!$K$3:$K$1009,""),""))))</f>
        <v/>
      </c>
      <c r="O521" s="1" t="str" cm="1">
        <f t="array" ref="O521">IF(OR($K521="",$I521="",$J521=""),"",_xlfn.LET(_xlpm.srcCat,_xlfn.SWITCH($I521,"Computer",_xlfn.XLOOKUP($K521&amp;"",COMPUTER!$B$3:$B$1009&amp;"",COMPUTER!$H$3:$H$1009,""),"Display",_xlfn.XLOOKUP($K521&amp;"",DISPLAY!$B$3:$B$1000&amp;"",DISPLAY!$H$3:$H$1000,""),"Network Device",_xlfn.XLOOKUP($K521&amp;"",'NETWORK-DEVICES'!$B$3:$B$987&amp;"",'NETWORK-DEVICES'!$H$3:$H$987,""),"Peripheral",_xlfn.XLOOKUP($K521&amp;"",PERIPHERAL!$B$3:$B$954&amp;"",PERIPHERAL!$H$3:$H$954,""),"Utilities",_xlfn.XLOOKUP($K521&amp;"",UTILITIES!$B$3:$B$953&amp;"",UTILITIES!$G$3:$G$953,""),"IOT",_xlfn.XLOOKUP($K521&amp;"",IOT!$B$3:$B$1012&amp;"",IOT!$H$3:$H$1012,""),"Server",_xlfn.XLOOKUP($K521&amp;"",SERVER!$B$3:$B$1009&amp;"",SERVER!$H$3:$H$1009,""),""),IF(TRIM(_xlpm.srcCat)&lt;&gt;TRIM($J521),"",_xlfn.SWITCH($I521,"Computer",_xlfn.XLOOKUP($K521&amp;"",COMPUTER!$B$3:$B$1009&amp;"",COMPUTER!$E$3:$E$1009,""),"Display",_xlfn.XLOOKUP($K521&amp;"",DISPLAY!$B$3:$B$1000&amp;"",DISPLAY!$E$3:$E$1000,""),"Network Device",_xlfn.XLOOKUP($K521&amp;"",'NETWORK-DEVICES'!$B$3:$B$987&amp;"",'NETWORK-DEVICES'!$E$3:$E$987,""),"Peripheral",_xlfn.XLOOKUP($K521&amp;"",PERIPHERAL!$B$3:$B$954&amp;"",PERIPHERAL!$E$3:$E$954,""),"Utilities",_xlfn.XLOOKUP($K521&amp;"",UTILITIES!$B$3:$B$953&amp;"",UTILITIES!$E$3:$E$953,""),"IOT",_xlfn.XLOOKUP($K521&amp;"",IOT!$B$3:$B$1012&amp;"",IOT!$E$3:$E$1012,""),"Server",_xlfn.XLOOKUP($K521&amp;"",SERVER!$B$3:$B$1009&amp;"",SERVER!$E$3:$E$1009,""),""))))</f>
        <v/>
      </c>
      <c r="Q521" s="1" t="str" cm="1">
        <f t="array" ref="Q521">IF(OR($K521="",$I521="",$J521=""),"",_xlfn.LET(_xlpm.srcCat,_xlfn.SWITCH($I521,"Computer",_xlfn.XLOOKUP($K521&amp;"",COMPUTER!$B$3:$B$1009&amp;"",COMPUTER!$H$3:$H$1009,""),"Display",_xlfn.XLOOKUP($K521&amp;"",DISPLAY!$B$3:$B$1000&amp;"",DISPLAY!$H$3:$H$1000,""),"Network Device",_xlfn.XLOOKUP($K521&amp;"",'NETWORK-DEVICES'!$B$3:$B$987&amp;"",'NETWORK-DEVICES'!$H$3:$H$987,""),"Peripheral",_xlfn.XLOOKUP($K521&amp;"",PERIPHERAL!$B$3:$B$954&amp;"",PERIPHERAL!$H$3:$H$954,""),"Utilities",_xlfn.XLOOKUP($K521&amp;"",UTILITIES!$B$3:$B$953&amp;"",UTILITIES!$G$3:$G$953,""),"IOT",_xlfn.XLOOKUP($K521&amp;"",IOT!$B$3:$B$1012&amp;"",IOT!$H$3:$H$1012,""),"Server",_xlfn.XLOOKUP($K521&amp;"",SERVER!$B$3:$B$1009&amp;"",SERVER!$H$3:$H$1009,""),""),IF(TRIM(_xlpm.srcCat)&lt;&gt;TRIM($J521),"",_xlfn.SWITCH($I521,"Computer",_xlfn.XLOOKUP($K521&amp;"",COMPUTER!$B$3:$B$1009&amp;"",COMPUTER!$AM$3:$AM$1009,""),"Display",_xlfn.XLOOKUP($K521&amp;"",DISPLAY!$B$3:$B$1000&amp;"",DISPLAY!$V$3:$V$1000,""),"Network Device",_xlfn.XLOOKUP($K521&amp;"",'NETWORK-DEVICES'!$B$3:$B$987&amp;"",'NETWORK-DEVICES'!$AF$3:$AF$987,""),"Peripheral",_xlfn.XLOOKUP($K521&amp;"",PERIPHERAL!$B$3:$B$954&amp;"",PERIPHERAL!$Y$3:$Y$954,""),"Utilities",_xlfn.XLOOKUP($K521&amp;"",UTILITIES!$B$3:$B$953&amp;"",UTILITIES!$O$3:$O$953,""),"IOT",_xlfn.XLOOKUP($K521&amp;"",IOT!$B$3:$B$1012&amp;"",IOT!$AB$3:$AB$1012,""),"Server",_xlfn.XLOOKUP($K521&amp;"",SERVER!$B$3:$B$1009&amp;"",SERVER!$AB$3:$AB$1009,""),""))))</f>
        <v/>
      </c>
      <c r="R521" s="43" t="str">
        <f>IF(tbl_handover[[#This Row],[Asset Code]]="","",COUNTIF(tbl_handover[Asset Code],tbl_handover[[#This Row],[Asset Code]]))</f>
        <v/>
      </c>
    </row>
    <row r="522" spans="1:18" x14ac:dyDescent="0.25">
      <c r="A522" s="43" t="str">
        <f>IF(B522&lt;&gt;"",SUBTOTAL(3,$B$1:B521),"")</f>
        <v/>
      </c>
      <c r="C522" s="74"/>
      <c r="D522" s="74"/>
      <c r="G522" s="1"/>
      <c r="K522" s="42"/>
      <c r="L522" t="str" cm="1">
        <f t="array" ref="L522">IF($K522="","",_xlfn.SWITCH($I522,"Computer",_xlfn.XLOOKUP($K522&amp;"",COMPUTER!$B$3:$B$1009&amp;"",COMPUTER!$I$3:$I$1009,""),"Display",_xlfn.XLOOKUP($K522&amp;"",DISPLAY!$B$3:$B$1000&amp;"",DISPLAY!$J$3:$J$1000,""),"Network Device",_xlfn.XLOOKUP($K522&amp;"",'NETWORK-DEVICES'!$B$3:$B$987&amp;"",'NETWORK-DEVICES'!$I$3:$I$987,""),"Peripheral",_xlfn.XLOOKUP($K522&amp;"",PERIPHERAL!$B$3:$B$954&amp;"",PERIPHERAL!$I$3:$I$954,""),"Utilities",_xlfn.XLOOKUP($K522&amp;"",UTILITIES!$B$3:$B$953&amp;"",UTILITIES!$H$3:$H$953,""),"IOT",_xlfn.XLOOKUP($K522&amp;"",IOT!$B$3:$B$1012&amp;"",IOT!$I$3:$I$1012,""),"SERVER",_xlfn.XLOOKUP($K522&amp;"",SERVER!$B$3:$B$1009&amp;"",SERVER!$I$3:$I$1009,""),""))</f>
        <v/>
      </c>
      <c r="M522" t="str" cm="1">
        <f t="array" ref="M522">IF($K522="","",_xlfn.SWITCH($I522,"Computer",_xlfn.XLOOKUP($K522&amp;"",COMPUTER!$B$3:$B$1009&amp;"",COMPUTER!$J$3:$J$1009,""),"Display",_xlfn.XLOOKUP($K522&amp;"",DISPLAY!$B$3:$B$1000&amp;"",DISPLAY!$K$3:$K$1000,""),"Network Device",_xlfn.XLOOKUP($K522&amp;"",'NETWORK-DEVICES'!$B$3:$B$987&amp;"",'NETWORK-DEVICES'!$I$3:$I$987,""),"Peripheral",_xlfn.XLOOKUP($K522&amp;"",PERIPHERAL!$B$3:$B$954&amp;"",PERIPHERAL!$J$3:$J$954,""),"Utilities",_xlfn.XLOOKUP($K522&amp;"",UTILITIES!$B$3:$B$953&amp;"",UTILITIES!$I$3:$I$953,""),"IOT",_xlfn.XLOOKUP($K522&amp;"",IOT!$B$3:$B$1012&amp;"",IOT!$J$3:$J$1012,""),"Server",_xlfn.XLOOKUP($K522&amp;"",SERVER!$B$3:$B$1009&amp;"",SERVER!$J$3:$J$1009,""),""))</f>
        <v/>
      </c>
      <c r="N522" s="1" t="str" cm="1">
        <f t="array" ref="N522">IF(OR($K522="",$I522="",$J522=""),"",_xlfn.LET(_xlpm.srcCat,_xlfn.SWITCH($I522,"Computer",_xlfn.XLOOKUP($K522&amp;"",COMPUTER!$B$3:$B$1009&amp;"",COMPUTER!$H$3:$H$1009,""),"Display",_xlfn.XLOOKUP($K522&amp;"",DISPLAY!$B$3:$B$1000&amp;"",DISPLAY!$H$3:$H$1000,""),"Network Device",_xlfn.XLOOKUP($K522&amp;"",'NETWORK-DEVICES'!$B$3:$B$987&amp;"",'NETWORK-DEVICES'!$H$3:$H$987,""),"Peripheral",_xlfn.XLOOKUP($K522&amp;"",PERIPHERAL!$B$3:$B$954&amp;"",PERIPHERAL!$H$3:$H$954,""),"Utilities",_xlfn.XLOOKUP($K522&amp;"",UTILITIES!$B$3:$B$953&amp;"",UTILITIES!$G$3:$G$953,""),"IOT",_xlfn.XLOOKUP($K522&amp;"",IOT!$B$3:$B$1012&amp;"",IOT!$H$3:$H$1012,""),"Server",_xlfn.XLOOKUP($K522&amp;"",SERVER!$B$3:$B$1009&amp;"",SERVER!$H$3:$H$1009,""),""),IF(TRIM(_xlpm.srcCat)&lt;&gt;TRIM($J522),"",_xlfn.SWITCH($I522,"Computer",_xlfn.XLOOKUP($K522&amp;"",COMPUTER!$B$3:$B$1009&amp;"",COMPUTER!$K$3:$K$1009,""),"Display",_xlfn.XLOOKUP($K522&amp;"",DISPLAY!$B$3:$B$1000&amp;"",DISPLAY!$L$3:$L$1000,""),"Network Device",_xlfn.XLOOKUP($K522&amp;"",'NETWORK-DEVICES'!$B$3:$B$987&amp;"",'NETWORK-DEVICES'!$K$3:$K$987,""),"Peripheral",_xlfn.XLOOKUP($K522&amp;"",PERIPHERAL!$B$3:$B$954&amp;"",PERIPHERAL!$K$3:$K$954,""),"Utilities",_xlfn.XLOOKUP($K522&amp;"",UTILITIES!$B$3:$B$953&amp;"",UTILITIES!$J$3:$J$953,""),"IOT",_xlfn.XLOOKUP($K522&amp;"",IOT!$B$3:$B$1012&amp;"",IOT!$K$4:$K$1012,""),"Server",_xlfn.XLOOKUP($K522&amp;"",SERVER!$B$3:$B$1009&amp;"",SERVER!$K$3:$K$1009,""),""))))</f>
        <v/>
      </c>
      <c r="O522" s="1" t="str" cm="1">
        <f t="array" ref="O522">IF(OR($K522="",$I522="",$J522=""),"",_xlfn.LET(_xlpm.srcCat,_xlfn.SWITCH($I522,"Computer",_xlfn.XLOOKUP($K522&amp;"",COMPUTER!$B$3:$B$1009&amp;"",COMPUTER!$H$3:$H$1009,""),"Display",_xlfn.XLOOKUP($K522&amp;"",DISPLAY!$B$3:$B$1000&amp;"",DISPLAY!$H$3:$H$1000,""),"Network Device",_xlfn.XLOOKUP($K522&amp;"",'NETWORK-DEVICES'!$B$3:$B$987&amp;"",'NETWORK-DEVICES'!$H$3:$H$987,""),"Peripheral",_xlfn.XLOOKUP($K522&amp;"",PERIPHERAL!$B$3:$B$954&amp;"",PERIPHERAL!$H$3:$H$954,""),"Utilities",_xlfn.XLOOKUP($K522&amp;"",UTILITIES!$B$3:$B$953&amp;"",UTILITIES!$G$3:$G$953,""),"IOT",_xlfn.XLOOKUP($K522&amp;"",IOT!$B$3:$B$1012&amp;"",IOT!$H$3:$H$1012,""),"Server",_xlfn.XLOOKUP($K522&amp;"",SERVER!$B$3:$B$1009&amp;"",SERVER!$H$3:$H$1009,""),""),IF(TRIM(_xlpm.srcCat)&lt;&gt;TRIM($J522),"",_xlfn.SWITCH($I522,"Computer",_xlfn.XLOOKUP($K522&amp;"",COMPUTER!$B$3:$B$1009&amp;"",COMPUTER!$E$3:$E$1009,""),"Display",_xlfn.XLOOKUP($K522&amp;"",DISPLAY!$B$3:$B$1000&amp;"",DISPLAY!$E$3:$E$1000,""),"Network Device",_xlfn.XLOOKUP($K522&amp;"",'NETWORK-DEVICES'!$B$3:$B$987&amp;"",'NETWORK-DEVICES'!$E$3:$E$987,""),"Peripheral",_xlfn.XLOOKUP($K522&amp;"",PERIPHERAL!$B$3:$B$954&amp;"",PERIPHERAL!$E$3:$E$954,""),"Utilities",_xlfn.XLOOKUP($K522&amp;"",UTILITIES!$B$3:$B$953&amp;"",UTILITIES!$E$3:$E$953,""),"IOT",_xlfn.XLOOKUP($K522&amp;"",IOT!$B$3:$B$1012&amp;"",IOT!$E$3:$E$1012,""),"Server",_xlfn.XLOOKUP($K522&amp;"",SERVER!$B$3:$B$1009&amp;"",SERVER!$E$3:$E$1009,""),""))))</f>
        <v/>
      </c>
      <c r="Q522" s="1" t="str" cm="1">
        <f t="array" ref="Q522">IF(OR($K522="",$I522="",$J522=""),"",_xlfn.LET(_xlpm.srcCat,_xlfn.SWITCH($I522,"Computer",_xlfn.XLOOKUP($K522&amp;"",COMPUTER!$B$3:$B$1009&amp;"",COMPUTER!$H$3:$H$1009,""),"Display",_xlfn.XLOOKUP($K522&amp;"",DISPLAY!$B$3:$B$1000&amp;"",DISPLAY!$H$3:$H$1000,""),"Network Device",_xlfn.XLOOKUP($K522&amp;"",'NETWORK-DEVICES'!$B$3:$B$987&amp;"",'NETWORK-DEVICES'!$H$3:$H$987,""),"Peripheral",_xlfn.XLOOKUP($K522&amp;"",PERIPHERAL!$B$3:$B$954&amp;"",PERIPHERAL!$H$3:$H$954,""),"Utilities",_xlfn.XLOOKUP($K522&amp;"",UTILITIES!$B$3:$B$953&amp;"",UTILITIES!$G$3:$G$953,""),"IOT",_xlfn.XLOOKUP($K522&amp;"",IOT!$B$3:$B$1012&amp;"",IOT!$H$3:$H$1012,""),"Server",_xlfn.XLOOKUP($K522&amp;"",SERVER!$B$3:$B$1009&amp;"",SERVER!$H$3:$H$1009,""),""),IF(TRIM(_xlpm.srcCat)&lt;&gt;TRIM($J522),"",_xlfn.SWITCH($I522,"Computer",_xlfn.XLOOKUP($K522&amp;"",COMPUTER!$B$3:$B$1009&amp;"",COMPUTER!$AM$3:$AM$1009,""),"Display",_xlfn.XLOOKUP($K522&amp;"",DISPLAY!$B$3:$B$1000&amp;"",DISPLAY!$V$3:$V$1000,""),"Network Device",_xlfn.XLOOKUP($K522&amp;"",'NETWORK-DEVICES'!$B$3:$B$987&amp;"",'NETWORK-DEVICES'!$AF$3:$AF$987,""),"Peripheral",_xlfn.XLOOKUP($K522&amp;"",PERIPHERAL!$B$3:$B$954&amp;"",PERIPHERAL!$Y$3:$Y$954,""),"Utilities",_xlfn.XLOOKUP($K522&amp;"",UTILITIES!$B$3:$B$953&amp;"",UTILITIES!$O$3:$O$953,""),"IOT",_xlfn.XLOOKUP($K522&amp;"",IOT!$B$3:$B$1012&amp;"",IOT!$AB$3:$AB$1012,""),"Server",_xlfn.XLOOKUP($K522&amp;"",SERVER!$B$3:$B$1009&amp;"",SERVER!$AB$3:$AB$1009,""),""))))</f>
        <v/>
      </c>
      <c r="R522" s="43" t="str">
        <f>IF(tbl_handover[[#This Row],[Asset Code]]="","",COUNTIF(tbl_handover[Asset Code],tbl_handover[[#This Row],[Asset Code]]))</f>
        <v/>
      </c>
    </row>
    <row r="523" spans="1:18" x14ac:dyDescent="0.25">
      <c r="A523" s="43" t="str">
        <f>IF(B523&lt;&gt;"",SUBTOTAL(3,$B$1:B522),"")</f>
        <v/>
      </c>
      <c r="C523" s="74"/>
      <c r="D523" s="74"/>
      <c r="G523" s="1"/>
      <c r="K523" s="42"/>
      <c r="L523" t="str" cm="1">
        <f t="array" ref="L523">IF($K523="","",_xlfn.SWITCH($I523,"Computer",_xlfn.XLOOKUP($K523&amp;"",COMPUTER!$B$3:$B$1009&amp;"",COMPUTER!$I$3:$I$1009,""),"Display",_xlfn.XLOOKUP($K523&amp;"",DISPLAY!$B$3:$B$1000&amp;"",DISPLAY!$J$3:$J$1000,""),"Network Device",_xlfn.XLOOKUP($K523&amp;"",'NETWORK-DEVICES'!$B$3:$B$987&amp;"",'NETWORK-DEVICES'!$I$3:$I$987,""),"Peripheral",_xlfn.XLOOKUP($K523&amp;"",PERIPHERAL!$B$3:$B$954&amp;"",PERIPHERAL!$I$3:$I$954,""),"Utilities",_xlfn.XLOOKUP($K523&amp;"",UTILITIES!$B$3:$B$953&amp;"",UTILITIES!$H$3:$H$953,""),"IOT",_xlfn.XLOOKUP($K523&amp;"",IOT!$B$3:$B$1012&amp;"",IOT!$I$3:$I$1012,""),"SERVER",_xlfn.XLOOKUP($K523&amp;"",SERVER!$B$3:$B$1009&amp;"",SERVER!$I$3:$I$1009,""),""))</f>
        <v/>
      </c>
      <c r="M523" t="str" cm="1">
        <f t="array" ref="M523">IF($K523="","",_xlfn.SWITCH($I523,"Computer",_xlfn.XLOOKUP($K523&amp;"",COMPUTER!$B$3:$B$1009&amp;"",COMPUTER!$J$3:$J$1009,""),"Display",_xlfn.XLOOKUP($K523&amp;"",DISPLAY!$B$3:$B$1000&amp;"",DISPLAY!$K$3:$K$1000,""),"Network Device",_xlfn.XLOOKUP($K523&amp;"",'NETWORK-DEVICES'!$B$3:$B$987&amp;"",'NETWORK-DEVICES'!$I$3:$I$987,""),"Peripheral",_xlfn.XLOOKUP($K523&amp;"",PERIPHERAL!$B$3:$B$954&amp;"",PERIPHERAL!$J$3:$J$954,""),"Utilities",_xlfn.XLOOKUP($K523&amp;"",UTILITIES!$B$3:$B$953&amp;"",UTILITIES!$I$3:$I$953,""),"IOT",_xlfn.XLOOKUP($K523&amp;"",IOT!$B$3:$B$1012&amp;"",IOT!$J$3:$J$1012,""),"Server",_xlfn.XLOOKUP($K523&amp;"",SERVER!$B$3:$B$1009&amp;"",SERVER!$J$3:$J$1009,""),""))</f>
        <v/>
      </c>
      <c r="N523" s="1" t="str" cm="1">
        <f t="array" ref="N523">IF(OR($K523="",$I523="",$J523=""),"",_xlfn.LET(_xlpm.srcCat,_xlfn.SWITCH($I523,"Computer",_xlfn.XLOOKUP($K523&amp;"",COMPUTER!$B$3:$B$1009&amp;"",COMPUTER!$H$3:$H$1009,""),"Display",_xlfn.XLOOKUP($K523&amp;"",DISPLAY!$B$3:$B$1000&amp;"",DISPLAY!$H$3:$H$1000,""),"Network Device",_xlfn.XLOOKUP($K523&amp;"",'NETWORK-DEVICES'!$B$3:$B$987&amp;"",'NETWORK-DEVICES'!$H$3:$H$987,""),"Peripheral",_xlfn.XLOOKUP($K523&amp;"",PERIPHERAL!$B$3:$B$954&amp;"",PERIPHERAL!$H$3:$H$954,""),"Utilities",_xlfn.XLOOKUP($K523&amp;"",UTILITIES!$B$3:$B$953&amp;"",UTILITIES!$G$3:$G$953,""),"IOT",_xlfn.XLOOKUP($K523&amp;"",IOT!$B$3:$B$1012&amp;"",IOT!$H$3:$H$1012,""),"Server",_xlfn.XLOOKUP($K523&amp;"",SERVER!$B$3:$B$1009&amp;"",SERVER!$H$3:$H$1009,""),""),IF(TRIM(_xlpm.srcCat)&lt;&gt;TRIM($J523),"",_xlfn.SWITCH($I523,"Computer",_xlfn.XLOOKUP($K523&amp;"",COMPUTER!$B$3:$B$1009&amp;"",COMPUTER!$K$3:$K$1009,""),"Display",_xlfn.XLOOKUP($K523&amp;"",DISPLAY!$B$3:$B$1000&amp;"",DISPLAY!$L$3:$L$1000,""),"Network Device",_xlfn.XLOOKUP($K523&amp;"",'NETWORK-DEVICES'!$B$3:$B$987&amp;"",'NETWORK-DEVICES'!$K$3:$K$987,""),"Peripheral",_xlfn.XLOOKUP($K523&amp;"",PERIPHERAL!$B$3:$B$954&amp;"",PERIPHERAL!$K$3:$K$954,""),"Utilities",_xlfn.XLOOKUP($K523&amp;"",UTILITIES!$B$3:$B$953&amp;"",UTILITIES!$J$3:$J$953,""),"IOT",_xlfn.XLOOKUP($K523&amp;"",IOT!$B$3:$B$1012&amp;"",IOT!$K$4:$K$1012,""),"Server",_xlfn.XLOOKUP($K523&amp;"",SERVER!$B$3:$B$1009&amp;"",SERVER!$K$3:$K$1009,""),""))))</f>
        <v/>
      </c>
      <c r="O523" s="1" t="str" cm="1">
        <f t="array" ref="O523">IF(OR($K523="",$I523="",$J523=""),"",_xlfn.LET(_xlpm.srcCat,_xlfn.SWITCH($I523,"Computer",_xlfn.XLOOKUP($K523&amp;"",COMPUTER!$B$3:$B$1009&amp;"",COMPUTER!$H$3:$H$1009,""),"Display",_xlfn.XLOOKUP($K523&amp;"",DISPLAY!$B$3:$B$1000&amp;"",DISPLAY!$H$3:$H$1000,""),"Network Device",_xlfn.XLOOKUP($K523&amp;"",'NETWORK-DEVICES'!$B$3:$B$987&amp;"",'NETWORK-DEVICES'!$H$3:$H$987,""),"Peripheral",_xlfn.XLOOKUP($K523&amp;"",PERIPHERAL!$B$3:$B$954&amp;"",PERIPHERAL!$H$3:$H$954,""),"Utilities",_xlfn.XLOOKUP($K523&amp;"",UTILITIES!$B$3:$B$953&amp;"",UTILITIES!$G$3:$G$953,""),"IOT",_xlfn.XLOOKUP($K523&amp;"",IOT!$B$3:$B$1012&amp;"",IOT!$H$3:$H$1012,""),"Server",_xlfn.XLOOKUP($K523&amp;"",SERVER!$B$3:$B$1009&amp;"",SERVER!$H$3:$H$1009,""),""),IF(TRIM(_xlpm.srcCat)&lt;&gt;TRIM($J523),"",_xlfn.SWITCH($I523,"Computer",_xlfn.XLOOKUP($K523&amp;"",COMPUTER!$B$3:$B$1009&amp;"",COMPUTER!$E$3:$E$1009,""),"Display",_xlfn.XLOOKUP($K523&amp;"",DISPLAY!$B$3:$B$1000&amp;"",DISPLAY!$E$3:$E$1000,""),"Network Device",_xlfn.XLOOKUP($K523&amp;"",'NETWORK-DEVICES'!$B$3:$B$987&amp;"",'NETWORK-DEVICES'!$E$3:$E$987,""),"Peripheral",_xlfn.XLOOKUP($K523&amp;"",PERIPHERAL!$B$3:$B$954&amp;"",PERIPHERAL!$E$3:$E$954,""),"Utilities",_xlfn.XLOOKUP($K523&amp;"",UTILITIES!$B$3:$B$953&amp;"",UTILITIES!$E$3:$E$953,""),"IOT",_xlfn.XLOOKUP($K523&amp;"",IOT!$B$3:$B$1012&amp;"",IOT!$E$3:$E$1012,""),"Server",_xlfn.XLOOKUP($K523&amp;"",SERVER!$B$3:$B$1009&amp;"",SERVER!$E$3:$E$1009,""),""))))</f>
        <v/>
      </c>
      <c r="Q523" s="1" t="str" cm="1">
        <f t="array" ref="Q523">IF(OR($K523="",$I523="",$J523=""),"",_xlfn.LET(_xlpm.srcCat,_xlfn.SWITCH($I523,"Computer",_xlfn.XLOOKUP($K523&amp;"",COMPUTER!$B$3:$B$1009&amp;"",COMPUTER!$H$3:$H$1009,""),"Display",_xlfn.XLOOKUP($K523&amp;"",DISPLAY!$B$3:$B$1000&amp;"",DISPLAY!$H$3:$H$1000,""),"Network Device",_xlfn.XLOOKUP($K523&amp;"",'NETWORK-DEVICES'!$B$3:$B$987&amp;"",'NETWORK-DEVICES'!$H$3:$H$987,""),"Peripheral",_xlfn.XLOOKUP($K523&amp;"",PERIPHERAL!$B$3:$B$954&amp;"",PERIPHERAL!$H$3:$H$954,""),"Utilities",_xlfn.XLOOKUP($K523&amp;"",UTILITIES!$B$3:$B$953&amp;"",UTILITIES!$G$3:$G$953,""),"IOT",_xlfn.XLOOKUP($K523&amp;"",IOT!$B$3:$B$1012&amp;"",IOT!$H$3:$H$1012,""),"Server",_xlfn.XLOOKUP($K523&amp;"",SERVER!$B$3:$B$1009&amp;"",SERVER!$H$3:$H$1009,""),""),IF(TRIM(_xlpm.srcCat)&lt;&gt;TRIM($J523),"",_xlfn.SWITCH($I523,"Computer",_xlfn.XLOOKUP($K523&amp;"",COMPUTER!$B$3:$B$1009&amp;"",COMPUTER!$AM$3:$AM$1009,""),"Display",_xlfn.XLOOKUP($K523&amp;"",DISPLAY!$B$3:$B$1000&amp;"",DISPLAY!$V$3:$V$1000,""),"Network Device",_xlfn.XLOOKUP($K523&amp;"",'NETWORK-DEVICES'!$B$3:$B$987&amp;"",'NETWORK-DEVICES'!$AF$3:$AF$987,""),"Peripheral",_xlfn.XLOOKUP($K523&amp;"",PERIPHERAL!$B$3:$B$954&amp;"",PERIPHERAL!$Y$3:$Y$954,""),"Utilities",_xlfn.XLOOKUP($K523&amp;"",UTILITIES!$B$3:$B$953&amp;"",UTILITIES!$O$3:$O$953,""),"IOT",_xlfn.XLOOKUP($K523&amp;"",IOT!$B$3:$B$1012&amp;"",IOT!$AB$3:$AB$1012,""),"Server",_xlfn.XLOOKUP($K523&amp;"",SERVER!$B$3:$B$1009&amp;"",SERVER!$AB$3:$AB$1009,""),""))))</f>
        <v/>
      </c>
      <c r="R523" s="43" t="str">
        <f>IF(tbl_handover[[#This Row],[Asset Code]]="","",COUNTIF(tbl_handover[Asset Code],tbl_handover[[#This Row],[Asset Code]]))</f>
        <v/>
      </c>
    </row>
    <row r="524" spans="1:18" x14ac:dyDescent="0.25">
      <c r="A524" s="43" t="str">
        <f>IF(B524&lt;&gt;"",SUBTOTAL(3,$B$1:B523),"")</f>
        <v/>
      </c>
      <c r="C524" s="74"/>
      <c r="D524" s="74"/>
      <c r="G524" s="1"/>
      <c r="K524" s="42"/>
      <c r="L524" t="str" cm="1">
        <f t="array" ref="L524">IF($K524="","",_xlfn.SWITCH($I524,"Computer",_xlfn.XLOOKUP($K524&amp;"",COMPUTER!$B$3:$B$1009&amp;"",COMPUTER!$I$3:$I$1009,""),"Display",_xlfn.XLOOKUP($K524&amp;"",DISPLAY!$B$3:$B$1000&amp;"",DISPLAY!$J$3:$J$1000,""),"Network Device",_xlfn.XLOOKUP($K524&amp;"",'NETWORK-DEVICES'!$B$3:$B$987&amp;"",'NETWORK-DEVICES'!$I$3:$I$987,""),"Peripheral",_xlfn.XLOOKUP($K524&amp;"",PERIPHERAL!$B$3:$B$954&amp;"",PERIPHERAL!$I$3:$I$954,""),"Utilities",_xlfn.XLOOKUP($K524&amp;"",UTILITIES!$B$3:$B$953&amp;"",UTILITIES!$H$3:$H$953,""),"IOT",_xlfn.XLOOKUP($K524&amp;"",IOT!$B$3:$B$1012&amp;"",IOT!$I$3:$I$1012,""),"SERVER",_xlfn.XLOOKUP($K524&amp;"",SERVER!$B$3:$B$1009&amp;"",SERVER!$I$3:$I$1009,""),""))</f>
        <v/>
      </c>
      <c r="M524" t="str" cm="1">
        <f t="array" ref="M524">IF($K524="","",_xlfn.SWITCH($I524,"Computer",_xlfn.XLOOKUP($K524&amp;"",COMPUTER!$B$3:$B$1009&amp;"",COMPUTER!$J$3:$J$1009,""),"Display",_xlfn.XLOOKUP($K524&amp;"",DISPLAY!$B$3:$B$1000&amp;"",DISPLAY!$K$3:$K$1000,""),"Network Device",_xlfn.XLOOKUP($K524&amp;"",'NETWORK-DEVICES'!$B$3:$B$987&amp;"",'NETWORK-DEVICES'!$I$3:$I$987,""),"Peripheral",_xlfn.XLOOKUP($K524&amp;"",PERIPHERAL!$B$3:$B$954&amp;"",PERIPHERAL!$J$3:$J$954,""),"Utilities",_xlfn.XLOOKUP($K524&amp;"",UTILITIES!$B$3:$B$953&amp;"",UTILITIES!$I$3:$I$953,""),"IOT",_xlfn.XLOOKUP($K524&amp;"",IOT!$B$3:$B$1012&amp;"",IOT!$J$3:$J$1012,""),"Server",_xlfn.XLOOKUP($K524&amp;"",SERVER!$B$3:$B$1009&amp;"",SERVER!$J$3:$J$1009,""),""))</f>
        <v/>
      </c>
      <c r="N524" s="1" t="str" cm="1">
        <f t="array" ref="N524">IF(OR($K524="",$I524="",$J524=""),"",_xlfn.LET(_xlpm.srcCat,_xlfn.SWITCH($I524,"Computer",_xlfn.XLOOKUP($K524&amp;"",COMPUTER!$B$3:$B$1009&amp;"",COMPUTER!$H$3:$H$1009,""),"Display",_xlfn.XLOOKUP($K524&amp;"",DISPLAY!$B$3:$B$1000&amp;"",DISPLAY!$H$3:$H$1000,""),"Network Device",_xlfn.XLOOKUP($K524&amp;"",'NETWORK-DEVICES'!$B$3:$B$987&amp;"",'NETWORK-DEVICES'!$H$3:$H$987,""),"Peripheral",_xlfn.XLOOKUP($K524&amp;"",PERIPHERAL!$B$3:$B$954&amp;"",PERIPHERAL!$H$3:$H$954,""),"Utilities",_xlfn.XLOOKUP($K524&amp;"",UTILITIES!$B$3:$B$953&amp;"",UTILITIES!$G$3:$G$953,""),"IOT",_xlfn.XLOOKUP($K524&amp;"",IOT!$B$3:$B$1012&amp;"",IOT!$H$3:$H$1012,""),"Server",_xlfn.XLOOKUP($K524&amp;"",SERVER!$B$3:$B$1009&amp;"",SERVER!$H$3:$H$1009,""),""),IF(TRIM(_xlpm.srcCat)&lt;&gt;TRIM($J524),"",_xlfn.SWITCH($I524,"Computer",_xlfn.XLOOKUP($K524&amp;"",COMPUTER!$B$3:$B$1009&amp;"",COMPUTER!$K$3:$K$1009,""),"Display",_xlfn.XLOOKUP($K524&amp;"",DISPLAY!$B$3:$B$1000&amp;"",DISPLAY!$L$3:$L$1000,""),"Network Device",_xlfn.XLOOKUP($K524&amp;"",'NETWORK-DEVICES'!$B$3:$B$987&amp;"",'NETWORK-DEVICES'!$K$3:$K$987,""),"Peripheral",_xlfn.XLOOKUP($K524&amp;"",PERIPHERAL!$B$3:$B$954&amp;"",PERIPHERAL!$K$3:$K$954,""),"Utilities",_xlfn.XLOOKUP($K524&amp;"",UTILITIES!$B$3:$B$953&amp;"",UTILITIES!$J$3:$J$953,""),"IOT",_xlfn.XLOOKUP($K524&amp;"",IOT!$B$3:$B$1012&amp;"",IOT!$K$4:$K$1012,""),"Server",_xlfn.XLOOKUP($K524&amp;"",SERVER!$B$3:$B$1009&amp;"",SERVER!$K$3:$K$1009,""),""))))</f>
        <v/>
      </c>
      <c r="O524" s="1" t="str" cm="1">
        <f t="array" ref="O524">IF(OR($K524="",$I524="",$J524=""),"",_xlfn.LET(_xlpm.srcCat,_xlfn.SWITCH($I524,"Computer",_xlfn.XLOOKUP($K524&amp;"",COMPUTER!$B$3:$B$1009&amp;"",COMPUTER!$H$3:$H$1009,""),"Display",_xlfn.XLOOKUP($K524&amp;"",DISPLAY!$B$3:$B$1000&amp;"",DISPLAY!$H$3:$H$1000,""),"Network Device",_xlfn.XLOOKUP($K524&amp;"",'NETWORK-DEVICES'!$B$3:$B$987&amp;"",'NETWORK-DEVICES'!$H$3:$H$987,""),"Peripheral",_xlfn.XLOOKUP($K524&amp;"",PERIPHERAL!$B$3:$B$954&amp;"",PERIPHERAL!$H$3:$H$954,""),"Utilities",_xlfn.XLOOKUP($K524&amp;"",UTILITIES!$B$3:$B$953&amp;"",UTILITIES!$G$3:$G$953,""),"IOT",_xlfn.XLOOKUP($K524&amp;"",IOT!$B$3:$B$1012&amp;"",IOT!$H$3:$H$1012,""),"Server",_xlfn.XLOOKUP($K524&amp;"",SERVER!$B$3:$B$1009&amp;"",SERVER!$H$3:$H$1009,""),""),IF(TRIM(_xlpm.srcCat)&lt;&gt;TRIM($J524),"",_xlfn.SWITCH($I524,"Computer",_xlfn.XLOOKUP($K524&amp;"",COMPUTER!$B$3:$B$1009&amp;"",COMPUTER!$E$3:$E$1009,""),"Display",_xlfn.XLOOKUP($K524&amp;"",DISPLAY!$B$3:$B$1000&amp;"",DISPLAY!$E$3:$E$1000,""),"Network Device",_xlfn.XLOOKUP($K524&amp;"",'NETWORK-DEVICES'!$B$3:$B$987&amp;"",'NETWORK-DEVICES'!$E$3:$E$987,""),"Peripheral",_xlfn.XLOOKUP($K524&amp;"",PERIPHERAL!$B$3:$B$954&amp;"",PERIPHERAL!$E$3:$E$954,""),"Utilities",_xlfn.XLOOKUP($K524&amp;"",UTILITIES!$B$3:$B$953&amp;"",UTILITIES!$E$3:$E$953,""),"IOT",_xlfn.XLOOKUP($K524&amp;"",IOT!$B$3:$B$1012&amp;"",IOT!$E$3:$E$1012,""),"Server",_xlfn.XLOOKUP($K524&amp;"",SERVER!$B$3:$B$1009&amp;"",SERVER!$E$3:$E$1009,""),""))))</f>
        <v/>
      </c>
      <c r="Q524" s="1" t="str" cm="1">
        <f t="array" ref="Q524">IF(OR($K524="",$I524="",$J524=""),"",_xlfn.LET(_xlpm.srcCat,_xlfn.SWITCH($I524,"Computer",_xlfn.XLOOKUP($K524&amp;"",COMPUTER!$B$3:$B$1009&amp;"",COMPUTER!$H$3:$H$1009,""),"Display",_xlfn.XLOOKUP($K524&amp;"",DISPLAY!$B$3:$B$1000&amp;"",DISPLAY!$H$3:$H$1000,""),"Network Device",_xlfn.XLOOKUP($K524&amp;"",'NETWORK-DEVICES'!$B$3:$B$987&amp;"",'NETWORK-DEVICES'!$H$3:$H$987,""),"Peripheral",_xlfn.XLOOKUP($K524&amp;"",PERIPHERAL!$B$3:$B$954&amp;"",PERIPHERAL!$H$3:$H$954,""),"Utilities",_xlfn.XLOOKUP($K524&amp;"",UTILITIES!$B$3:$B$953&amp;"",UTILITIES!$G$3:$G$953,""),"IOT",_xlfn.XLOOKUP($K524&amp;"",IOT!$B$3:$B$1012&amp;"",IOT!$H$3:$H$1012,""),"Server",_xlfn.XLOOKUP($K524&amp;"",SERVER!$B$3:$B$1009&amp;"",SERVER!$H$3:$H$1009,""),""),IF(TRIM(_xlpm.srcCat)&lt;&gt;TRIM($J524),"",_xlfn.SWITCH($I524,"Computer",_xlfn.XLOOKUP($K524&amp;"",COMPUTER!$B$3:$B$1009&amp;"",COMPUTER!$AM$3:$AM$1009,""),"Display",_xlfn.XLOOKUP($K524&amp;"",DISPLAY!$B$3:$B$1000&amp;"",DISPLAY!$V$3:$V$1000,""),"Network Device",_xlfn.XLOOKUP($K524&amp;"",'NETWORK-DEVICES'!$B$3:$B$987&amp;"",'NETWORK-DEVICES'!$AF$3:$AF$987,""),"Peripheral",_xlfn.XLOOKUP($K524&amp;"",PERIPHERAL!$B$3:$B$954&amp;"",PERIPHERAL!$Y$3:$Y$954,""),"Utilities",_xlfn.XLOOKUP($K524&amp;"",UTILITIES!$B$3:$B$953&amp;"",UTILITIES!$O$3:$O$953,""),"IOT",_xlfn.XLOOKUP($K524&amp;"",IOT!$B$3:$B$1012&amp;"",IOT!$AB$3:$AB$1012,""),"Server",_xlfn.XLOOKUP($K524&amp;"",SERVER!$B$3:$B$1009&amp;"",SERVER!$AB$3:$AB$1009,""),""))))</f>
        <v/>
      </c>
      <c r="R524" s="43" t="str">
        <f>IF(tbl_handover[[#This Row],[Asset Code]]="","",COUNTIF(tbl_handover[Asset Code],tbl_handover[[#This Row],[Asset Code]]))</f>
        <v/>
      </c>
    </row>
    <row r="525" spans="1:18" x14ac:dyDescent="0.25">
      <c r="A525" s="43" t="str">
        <f>IF(B525&lt;&gt;"",SUBTOTAL(3,$B$1:B524),"")</f>
        <v/>
      </c>
      <c r="C525" s="74"/>
      <c r="D525" s="74"/>
      <c r="G525" s="1"/>
      <c r="K525" s="42"/>
      <c r="L525" t="str" cm="1">
        <f t="array" ref="L525">IF($K525="","",_xlfn.SWITCH($I525,"Computer",_xlfn.XLOOKUP($K525&amp;"",COMPUTER!$B$3:$B$1009&amp;"",COMPUTER!$I$3:$I$1009,""),"Display",_xlfn.XLOOKUP($K525&amp;"",DISPLAY!$B$3:$B$1000&amp;"",DISPLAY!$J$3:$J$1000,""),"Network Device",_xlfn.XLOOKUP($K525&amp;"",'NETWORK-DEVICES'!$B$3:$B$987&amp;"",'NETWORK-DEVICES'!$I$3:$I$987,""),"Peripheral",_xlfn.XLOOKUP($K525&amp;"",PERIPHERAL!$B$3:$B$954&amp;"",PERIPHERAL!$I$3:$I$954,""),"Utilities",_xlfn.XLOOKUP($K525&amp;"",UTILITIES!$B$3:$B$953&amp;"",UTILITIES!$H$3:$H$953,""),"IOT",_xlfn.XLOOKUP($K525&amp;"",IOT!$B$3:$B$1012&amp;"",IOT!$I$3:$I$1012,""),"SERVER",_xlfn.XLOOKUP($K525&amp;"",SERVER!$B$3:$B$1009&amp;"",SERVER!$I$3:$I$1009,""),""))</f>
        <v/>
      </c>
      <c r="M525" t="str" cm="1">
        <f t="array" ref="M525">IF($K525="","",_xlfn.SWITCH($I525,"Computer",_xlfn.XLOOKUP($K525&amp;"",COMPUTER!$B$3:$B$1009&amp;"",COMPUTER!$J$3:$J$1009,""),"Display",_xlfn.XLOOKUP($K525&amp;"",DISPLAY!$B$3:$B$1000&amp;"",DISPLAY!$K$3:$K$1000,""),"Network Device",_xlfn.XLOOKUP($K525&amp;"",'NETWORK-DEVICES'!$B$3:$B$987&amp;"",'NETWORK-DEVICES'!$I$3:$I$987,""),"Peripheral",_xlfn.XLOOKUP($K525&amp;"",PERIPHERAL!$B$3:$B$954&amp;"",PERIPHERAL!$J$3:$J$954,""),"Utilities",_xlfn.XLOOKUP($K525&amp;"",UTILITIES!$B$3:$B$953&amp;"",UTILITIES!$I$3:$I$953,""),"IOT",_xlfn.XLOOKUP($K525&amp;"",IOT!$B$3:$B$1012&amp;"",IOT!$J$3:$J$1012,""),"Server",_xlfn.XLOOKUP($K525&amp;"",SERVER!$B$3:$B$1009&amp;"",SERVER!$J$3:$J$1009,""),""))</f>
        <v/>
      </c>
      <c r="N525" s="1" t="str" cm="1">
        <f t="array" ref="N525">IF(OR($K525="",$I525="",$J525=""),"",_xlfn.LET(_xlpm.srcCat,_xlfn.SWITCH($I525,"Computer",_xlfn.XLOOKUP($K525&amp;"",COMPUTER!$B$3:$B$1009&amp;"",COMPUTER!$H$3:$H$1009,""),"Display",_xlfn.XLOOKUP($K525&amp;"",DISPLAY!$B$3:$B$1000&amp;"",DISPLAY!$H$3:$H$1000,""),"Network Device",_xlfn.XLOOKUP($K525&amp;"",'NETWORK-DEVICES'!$B$3:$B$987&amp;"",'NETWORK-DEVICES'!$H$3:$H$987,""),"Peripheral",_xlfn.XLOOKUP($K525&amp;"",PERIPHERAL!$B$3:$B$954&amp;"",PERIPHERAL!$H$3:$H$954,""),"Utilities",_xlfn.XLOOKUP($K525&amp;"",UTILITIES!$B$3:$B$953&amp;"",UTILITIES!$G$3:$G$953,""),"IOT",_xlfn.XLOOKUP($K525&amp;"",IOT!$B$3:$B$1012&amp;"",IOT!$H$3:$H$1012,""),"Server",_xlfn.XLOOKUP($K525&amp;"",SERVER!$B$3:$B$1009&amp;"",SERVER!$H$3:$H$1009,""),""),IF(TRIM(_xlpm.srcCat)&lt;&gt;TRIM($J525),"",_xlfn.SWITCH($I525,"Computer",_xlfn.XLOOKUP($K525&amp;"",COMPUTER!$B$3:$B$1009&amp;"",COMPUTER!$K$3:$K$1009,""),"Display",_xlfn.XLOOKUP($K525&amp;"",DISPLAY!$B$3:$B$1000&amp;"",DISPLAY!$L$3:$L$1000,""),"Network Device",_xlfn.XLOOKUP($K525&amp;"",'NETWORK-DEVICES'!$B$3:$B$987&amp;"",'NETWORK-DEVICES'!$K$3:$K$987,""),"Peripheral",_xlfn.XLOOKUP($K525&amp;"",PERIPHERAL!$B$3:$B$954&amp;"",PERIPHERAL!$K$3:$K$954,""),"Utilities",_xlfn.XLOOKUP($K525&amp;"",UTILITIES!$B$3:$B$953&amp;"",UTILITIES!$J$3:$J$953,""),"IOT",_xlfn.XLOOKUP($K525&amp;"",IOT!$B$3:$B$1012&amp;"",IOT!$K$4:$K$1012,""),"Server",_xlfn.XLOOKUP($K525&amp;"",SERVER!$B$3:$B$1009&amp;"",SERVER!$K$3:$K$1009,""),""))))</f>
        <v/>
      </c>
      <c r="O525" s="1" t="str" cm="1">
        <f t="array" ref="O525">IF(OR($K525="",$I525="",$J525=""),"",_xlfn.LET(_xlpm.srcCat,_xlfn.SWITCH($I525,"Computer",_xlfn.XLOOKUP($K525&amp;"",COMPUTER!$B$3:$B$1009&amp;"",COMPUTER!$H$3:$H$1009,""),"Display",_xlfn.XLOOKUP($K525&amp;"",DISPLAY!$B$3:$B$1000&amp;"",DISPLAY!$H$3:$H$1000,""),"Network Device",_xlfn.XLOOKUP($K525&amp;"",'NETWORK-DEVICES'!$B$3:$B$987&amp;"",'NETWORK-DEVICES'!$H$3:$H$987,""),"Peripheral",_xlfn.XLOOKUP($K525&amp;"",PERIPHERAL!$B$3:$B$954&amp;"",PERIPHERAL!$H$3:$H$954,""),"Utilities",_xlfn.XLOOKUP($K525&amp;"",UTILITIES!$B$3:$B$953&amp;"",UTILITIES!$G$3:$G$953,""),"IOT",_xlfn.XLOOKUP($K525&amp;"",IOT!$B$3:$B$1012&amp;"",IOT!$H$3:$H$1012,""),"Server",_xlfn.XLOOKUP($K525&amp;"",SERVER!$B$3:$B$1009&amp;"",SERVER!$H$3:$H$1009,""),""),IF(TRIM(_xlpm.srcCat)&lt;&gt;TRIM($J525),"",_xlfn.SWITCH($I525,"Computer",_xlfn.XLOOKUP($K525&amp;"",COMPUTER!$B$3:$B$1009&amp;"",COMPUTER!$E$3:$E$1009,""),"Display",_xlfn.XLOOKUP($K525&amp;"",DISPLAY!$B$3:$B$1000&amp;"",DISPLAY!$E$3:$E$1000,""),"Network Device",_xlfn.XLOOKUP($K525&amp;"",'NETWORK-DEVICES'!$B$3:$B$987&amp;"",'NETWORK-DEVICES'!$E$3:$E$987,""),"Peripheral",_xlfn.XLOOKUP($K525&amp;"",PERIPHERAL!$B$3:$B$954&amp;"",PERIPHERAL!$E$3:$E$954,""),"Utilities",_xlfn.XLOOKUP($K525&amp;"",UTILITIES!$B$3:$B$953&amp;"",UTILITIES!$E$3:$E$953,""),"IOT",_xlfn.XLOOKUP($K525&amp;"",IOT!$B$3:$B$1012&amp;"",IOT!$E$3:$E$1012,""),"Server",_xlfn.XLOOKUP($K525&amp;"",SERVER!$B$3:$B$1009&amp;"",SERVER!$E$3:$E$1009,""),""))))</f>
        <v/>
      </c>
      <c r="Q525" s="1" t="str" cm="1">
        <f t="array" ref="Q525">IF(OR($K525="",$I525="",$J525=""),"",_xlfn.LET(_xlpm.srcCat,_xlfn.SWITCH($I525,"Computer",_xlfn.XLOOKUP($K525&amp;"",COMPUTER!$B$3:$B$1009&amp;"",COMPUTER!$H$3:$H$1009,""),"Display",_xlfn.XLOOKUP($K525&amp;"",DISPLAY!$B$3:$B$1000&amp;"",DISPLAY!$H$3:$H$1000,""),"Network Device",_xlfn.XLOOKUP($K525&amp;"",'NETWORK-DEVICES'!$B$3:$B$987&amp;"",'NETWORK-DEVICES'!$H$3:$H$987,""),"Peripheral",_xlfn.XLOOKUP($K525&amp;"",PERIPHERAL!$B$3:$B$954&amp;"",PERIPHERAL!$H$3:$H$954,""),"Utilities",_xlfn.XLOOKUP($K525&amp;"",UTILITIES!$B$3:$B$953&amp;"",UTILITIES!$G$3:$G$953,""),"IOT",_xlfn.XLOOKUP($K525&amp;"",IOT!$B$3:$B$1012&amp;"",IOT!$H$3:$H$1012,""),"Server",_xlfn.XLOOKUP($K525&amp;"",SERVER!$B$3:$B$1009&amp;"",SERVER!$H$3:$H$1009,""),""),IF(TRIM(_xlpm.srcCat)&lt;&gt;TRIM($J525),"",_xlfn.SWITCH($I525,"Computer",_xlfn.XLOOKUP($K525&amp;"",COMPUTER!$B$3:$B$1009&amp;"",COMPUTER!$AM$3:$AM$1009,""),"Display",_xlfn.XLOOKUP($K525&amp;"",DISPLAY!$B$3:$B$1000&amp;"",DISPLAY!$V$3:$V$1000,""),"Network Device",_xlfn.XLOOKUP($K525&amp;"",'NETWORK-DEVICES'!$B$3:$B$987&amp;"",'NETWORK-DEVICES'!$AF$3:$AF$987,""),"Peripheral",_xlfn.XLOOKUP($K525&amp;"",PERIPHERAL!$B$3:$B$954&amp;"",PERIPHERAL!$Y$3:$Y$954,""),"Utilities",_xlfn.XLOOKUP($K525&amp;"",UTILITIES!$B$3:$B$953&amp;"",UTILITIES!$O$3:$O$953,""),"IOT",_xlfn.XLOOKUP($K525&amp;"",IOT!$B$3:$B$1012&amp;"",IOT!$AB$3:$AB$1012,""),"Server",_xlfn.XLOOKUP($K525&amp;"",SERVER!$B$3:$B$1009&amp;"",SERVER!$AB$3:$AB$1009,""),""))))</f>
        <v/>
      </c>
      <c r="R525" s="43" t="str">
        <f>IF(tbl_handover[[#This Row],[Asset Code]]="","",COUNTIF(tbl_handover[Asset Code],tbl_handover[[#This Row],[Asset Code]]))</f>
        <v/>
      </c>
    </row>
    <row r="526" spans="1:18" x14ac:dyDescent="0.25">
      <c r="A526" s="43" t="str">
        <f>IF(B526&lt;&gt;"",SUBTOTAL(3,$B$1:B525),"")</f>
        <v/>
      </c>
      <c r="C526" s="74"/>
      <c r="D526" s="74"/>
      <c r="G526" s="1"/>
      <c r="K526" s="42"/>
      <c r="L526" t="str" cm="1">
        <f t="array" ref="L526">IF($K526="","",_xlfn.SWITCH($I526,"Computer",_xlfn.XLOOKUP($K526&amp;"",COMPUTER!$B$3:$B$1009&amp;"",COMPUTER!$I$3:$I$1009,""),"Display",_xlfn.XLOOKUP($K526&amp;"",DISPLAY!$B$3:$B$1000&amp;"",DISPLAY!$J$3:$J$1000,""),"Network Device",_xlfn.XLOOKUP($K526&amp;"",'NETWORK-DEVICES'!$B$3:$B$987&amp;"",'NETWORK-DEVICES'!$I$3:$I$987,""),"Peripheral",_xlfn.XLOOKUP($K526&amp;"",PERIPHERAL!$B$3:$B$954&amp;"",PERIPHERAL!$I$3:$I$954,""),"Utilities",_xlfn.XLOOKUP($K526&amp;"",UTILITIES!$B$3:$B$953&amp;"",UTILITIES!$H$3:$H$953,""),"IOT",_xlfn.XLOOKUP($K526&amp;"",IOT!$B$3:$B$1012&amp;"",IOT!$I$3:$I$1012,""),"SERVER",_xlfn.XLOOKUP($K526&amp;"",SERVER!$B$3:$B$1009&amp;"",SERVER!$I$3:$I$1009,""),""))</f>
        <v/>
      </c>
      <c r="M526" t="str" cm="1">
        <f t="array" ref="M526">IF($K526="","",_xlfn.SWITCH($I526,"Computer",_xlfn.XLOOKUP($K526&amp;"",COMPUTER!$B$3:$B$1009&amp;"",COMPUTER!$J$3:$J$1009,""),"Display",_xlfn.XLOOKUP($K526&amp;"",DISPLAY!$B$3:$B$1000&amp;"",DISPLAY!$K$3:$K$1000,""),"Network Device",_xlfn.XLOOKUP($K526&amp;"",'NETWORK-DEVICES'!$B$3:$B$987&amp;"",'NETWORK-DEVICES'!$I$3:$I$987,""),"Peripheral",_xlfn.XLOOKUP($K526&amp;"",PERIPHERAL!$B$3:$B$954&amp;"",PERIPHERAL!$J$3:$J$954,""),"Utilities",_xlfn.XLOOKUP($K526&amp;"",UTILITIES!$B$3:$B$953&amp;"",UTILITIES!$I$3:$I$953,""),"IOT",_xlfn.XLOOKUP($K526&amp;"",IOT!$B$3:$B$1012&amp;"",IOT!$J$3:$J$1012,""),"Server",_xlfn.XLOOKUP($K526&amp;"",SERVER!$B$3:$B$1009&amp;"",SERVER!$J$3:$J$1009,""),""))</f>
        <v/>
      </c>
      <c r="N526" s="1" t="str" cm="1">
        <f t="array" ref="N526">IF(OR($K526="",$I526="",$J526=""),"",_xlfn.LET(_xlpm.srcCat,_xlfn.SWITCH($I526,"Computer",_xlfn.XLOOKUP($K526&amp;"",COMPUTER!$B$3:$B$1009&amp;"",COMPUTER!$H$3:$H$1009,""),"Display",_xlfn.XLOOKUP($K526&amp;"",DISPLAY!$B$3:$B$1000&amp;"",DISPLAY!$H$3:$H$1000,""),"Network Device",_xlfn.XLOOKUP($K526&amp;"",'NETWORK-DEVICES'!$B$3:$B$987&amp;"",'NETWORK-DEVICES'!$H$3:$H$987,""),"Peripheral",_xlfn.XLOOKUP($K526&amp;"",PERIPHERAL!$B$3:$B$954&amp;"",PERIPHERAL!$H$3:$H$954,""),"Utilities",_xlfn.XLOOKUP($K526&amp;"",UTILITIES!$B$3:$B$953&amp;"",UTILITIES!$G$3:$G$953,""),"IOT",_xlfn.XLOOKUP($K526&amp;"",IOT!$B$3:$B$1012&amp;"",IOT!$H$3:$H$1012,""),"Server",_xlfn.XLOOKUP($K526&amp;"",SERVER!$B$3:$B$1009&amp;"",SERVER!$H$3:$H$1009,""),""),IF(TRIM(_xlpm.srcCat)&lt;&gt;TRIM($J526),"",_xlfn.SWITCH($I526,"Computer",_xlfn.XLOOKUP($K526&amp;"",COMPUTER!$B$3:$B$1009&amp;"",COMPUTER!$K$3:$K$1009,""),"Display",_xlfn.XLOOKUP($K526&amp;"",DISPLAY!$B$3:$B$1000&amp;"",DISPLAY!$L$3:$L$1000,""),"Network Device",_xlfn.XLOOKUP($K526&amp;"",'NETWORK-DEVICES'!$B$3:$B$987&amp;"",'NETWORK-DEVICES'!$K$3:$K$987,""),"Peripheral",_xlfn.XLOOKUP($K526&amp;"",PERIPHERAL!$B$3:$B$954&amp;"",PERIPHERAL!$K$3:$K$954,""),"Utilities",_xlfn.XLOOKUP($K526&amp;"",UTILITIES!$B$3:$B$953&amp;"",UTILITIES!$J$3:$J$953,""),"IOT",_xlfn.XLOOKUP($K526&amp;"",IOT!$B$3:$B$1012&amp;"",IOT!$K$4:$K$1012,""),"Server",_xlfn.XLOOKUP($K526&amp;"",SERVER!$B$3:$B$1009&amp;"",SERVER!$K$3:$K$1009,""),""))))</f>
        <v/>
      </c>
      <c r="O526" s="1" t="str" cm="1">
        <f t="array" ref="O526">IF(OR($K526="",$I526="",$J526=""),"",_xlfn.LET(_xlpm.srcCat,_xlfn.SWITCH($I526,"Computer",_xlfn.XLOOKUP($K526&amp;"",COMPUTER!$B$3:$B$1009&amp;"",COMPUTER!$H$3:$H$1009,""),"Display",_xlfn.XLOOKUP($K526&amp;"",DISPLAY!$B$3:$B$1000&amp;"",DISPLAY!$H$3:$H$1000,""),"Network Device",_xlfn.XLOOKUP($K526&amp;"",'NETWORK-DEVICES'!$B$3:$B$987&amp;"",'NETWORK-DEVICES'!$H$3:$H$987,""),"Peripheral",_xlfn.XLOOKUP($K526&amp;"",PERIPHERAL!$B$3:$B$954&amp;"",PERIPHERAL!$H$3:$H$954,""),"Utilities",_xlfn.XLOOKUP($K526&amp;"",UTILITIES!$B$3:$B$953&amp;"",UTILITIES!$G$3:$G$953,""),"IOT",_xlfn.XLOOKUP($K526&amp;"",IOT!$B$3:$B$1012&amp;"",IOT!$H$3:$H$1012,""),"Server",_xlfn.XLOOKUP($K526&amp;"",SERVER!$B$3:$B$1009&amp;"",SERVER!$H$3:$H$1009,""),""),IF(TRIM(_xlpm.srcCat)&lt;&gt;TRIM($J526),"",_xlfn.SWITCH($I526,"Computer",_xlfn.XLOOKUP($K526&amp;"",COMPUTER!$B$3:$B$1009&amp;"",COMPUTER!$E$3:$E$1009,""),"Display",_xlfn.XLOOKUP($K526&amp;"",DISPLAY!$B$3:$B$1000&amp;"",DISPLAY!$E$3:$E$1000,""),"Network Device",_xlfn.XLOOKUP($K526&amp;"",'NETWORK-DEVICES'!$B$3:$B$987&amp;"",'NETWORK-DEVICES'!$E$3:$E$987,""),"Peripheral",_xlfn.XLOOKUP($K526&amp;"",PERIPHERAL!$B$3:$B$954&amp;"",PERIPHERAL!$E$3:$E$954,""),"Utilities",_xlfn.XLOOKUP($K526&amp;"",UTILITIES!$B$3:$B$953&amp;"",UTILITIES!$E$3:$E$953,""),"IOT",_xlfn.XLOOKUP($K526&amp;"",IOT!$B$3:$B$1012&amp;"",IOT!$E$3:$E$1012,""),"Server",_xlfn.XLOOKUP($K526&amp;"",SERVER!$B$3:$B$1009&amp;"",SERVER!$E$3:$E$1009,""),""))))</f>
        <v/>
      </c>
      <c r="Q526" s="1" t="str" cm="1">
        <f t="array" ref="Q526">IF(OR($K526="",$I526="",$J526=""),"",_xlfn.LET(_xlpm.srcCat,_xlfn.SWITCH($I526,"Computer",_xlfn.XLOOKUP($K526&amp;"",COMPUTER!$B$3:$B$1009&amp;"",COMPUTER!$H$3:$H$1009,""),"Display",_xlfn.XLOOKUP($K526&amp;"",DISPLAY!$B$3:$B$1000&amp;"",DISPLAY!$H$3:$H$1000,""),"Network Device",_xlfn.XLOOKUP($K526&amp;"",'NETWORK-DEVICES'!$B$3:$B$987&amp;"",'NETWORK-DEVICES'!$H$3:$H$987,""),"Peripheral",_xlfn.XLOOKUP($K526&amp;"",PERIPHERAL!$B$3:$B$954&amp;"",PERIPHERAL!$H$3:$H$954,""),"Utilities",_xlfn.XLOOKUP($K526&amp;"",UTILITIES!$B$3:$B$953&amp;"",UTILITIES!$G$3:$G$953,""),"IOT",_xlfn.XLOOKUP($K526&amp;"",IOT!$B$3:$B$1012&amp;"",IOT!$H$3:$H$1012,""),"Server",_xlfn.XLOOKUP($K526&amp;"",SERVER!$B$3:$B$1009&amp;"",SERVER!$H$3:$H$1009,""),""),IF(TRIM(_xlpm.srcCat)&lt;&gt;TRIM($J526),"",_xlfn.SWITCH($I526,"Computer",_xlfn.XLOOKUP($K526&amp;"",COMPUTER!$B$3:$B$1009&amp;"",COMPUTER!$AM$3:$AM$1009,""),"Display",_xlfn.XLOOKUP($K526&amp;"",DISPLAY!$B$3:$B$1000&amp;"",DISPLAY!$V$3:$V$1000,""),"Network Device",_xlfn.XLOOKUP($K526&amp;"",'NETWORK-DEVICES'!$B$3:$B$987&amp;"",'NETWORK-DEVICES'!$AF$3:$AF$987,""),"Peripheral",_xlfn.XLOOKUP($K526&amp;"",PERIPHERAL!$B$3:$B$954&amp;"",PERIPHERAL!$Y$3:$Y$954,""),"Utilities",_xlfn.XLOOKUP($K526&amp;"",UTILITIES!$B$3:$B$953&amp;"",UTILITIES!$O$3:$O$953,""),"IOT",_xlfn.XLOOKUP($K526&amp;"",IOT!$B$3:$B$1012&amp;"",IOT!$AB$3:$AB$1012,""),"Server",_xlfn.XLOOKUP($K526&amp;"",SERVER!$B$3:$B$1009&amp;"",SERVER!$AB$3:$AB$1009,""),""))))</f>
        <v/>
      </c>
      <c r="R526" s="43" t="str">
        <f>IF(tbl_handover[[#This Row],[Asset Code]]="","",COUNTIF(tbl_handover[Asset Code],tbl_handover[[#This Row],[Asset Code]]))</f>
        <v/>
      </c>
    </row>
    <row r="527" spans="1:18" x14ac:dyDescent="0.25">
      <c r="A527" s="43" t="str">
        <f>IF(B527&lt;&gt;"",SUBTOTAL(3,$B$1:B526),"")</f>
        <v/>
      </c>
      <c r="C527" s="74"/>
      <c r="D527" s="74"/>
      <c r="G527" s="1"/>
      <c r="K527" s="42"/>
      <c r="L527" t="str" cm="1">
        <f t="array" ref="L527">IF($K527="","",_xlfn.SWITCH($I527,"Computer",_xlfn.XLOOKUP($K527&amp;"",COMPUTER!$B$3:$B$1009&amp;"",COMPUTER!$I$3:$I$1009,""),"Display",_xlfn.XLOOKUP($K527&amp;"",DISPLAY!$B$3:$B$1000&amp;"",DISPLAY!$J$3:$J$1000,""),"Network Device",_xlfn.XLOOKUP($K527&amp;"",'NETWORK-DEVICES'!$B$3:$B$987&amp;"",'NETWORK-DEVICES'!$I$3:$I$987,""),"Peripheral",_xlfn.XLOOKUP($K527&amp;"",PERIPHERAL!$B$3:$B$954&amp;"",PERIPHERAL!$I$3:$I$954,""),"Utilities",_xlfn.XLOOKUP($K527&amp;"",UTILITIES!$B$3:$B$953&amp;"",UTILITIES!$H$3:$H$953,""),"IOT",_xlfn.XLOOKUP($K527&amp;"",IOT!$B$3:$B$1012&amp;"",IOT!$I$3:$I$1012,""),"SERVER",_xlfn.XLOOKUP($K527&amp;"",SERVER!$B$3:$B$1009&amp;"",SERVER!$I$3:$I$1009,""),""))</f>
        <v/>
      </c>
      <c r="M527" t="str" cm="1">
        <f t="array" ref="M527">IF($K527="","",_xlfn.SWITCH($I527,"Computer",_xlfn.XLOOKUP($K527&amp;"",COMPUTER!$B$3:$B$1009&amp;"",COMPUTER!$J$3:$J$1009,""),"Display",_xlfn.XLOOKUP($K527&amp;"",DISPLAY!$B$3:$B$1000&amp;"",DISPLAY!$K$3:$K$1000,""),"Network Device",_xlfn.XLOOKUP($K527&amp;"",'NETWORK-DEVICES'!$B$3:$B$987&amp;"",'NETWORK-DEVICES'!$I$3:$I$987,""),"Peripheral",_xlfn.XLOOKUP($K527&amp;"",PERIPHERAL!$B$3:$B$954&amp;"",PERIPHERAL!$J$3:$J$954,""),"Utilities",_xlfn.XLOOKUP($K527&amp;"",UTILITIES!$B$3:$B$953&amp;"",UTILITIES!$I$3:$I$953,""),"IOT",_xlfn.XLOOKUP($K527&amp;"",IOT!$B$3:$B$1012&amp;"",IOT!$J$3:$J$1012,""),"Server",_xlfn.XLOOKUP($K527&amp;"",SERVER!$B$3:$B$1009&amp;"",SERVER!$J$3:$J$1009,""),""))</f>
        <v/>
      </c>
      <c r="N527" s="1" t="str" cm="1">
        <f t="array" ref="N527">IF(OR($K527="",$I527="",$J527=""),"",_xlfn.LET(_xlpm.srcCat,_xlfn.SWITCH($I527,"Computer",_xlfn.XLOOKUP($K527&amp;"",COMPUTER!$B$3:$B$1009&amp;"",COMPUTER!$H$3:$H$1009,""),"Display",_xlfn.XLOOKUP($K527&amp;"",DISPLAY!$B$3:$B$1000&amp;"",DISPLAY!$H$3:$H$1000,""),"Network Device",_xlfn.XLOOKUP($K527&amp;"",'NETWORK-DEVICES'!$B$3:$B$987&amp;"",'NETWORK-DEVICES'!$H$3:$H$987,""),"Peripheral",_xlfn.XLOOKUP($K527&amp;"",PERIPHERAL!$B$3:$B$954&amp;"",PERIPHERAL!$H$3:$H$954,""),"Utilities",_xlfn.XLOOKUP($K527&amp;"",UTILITIES!$B$3:$B$953&amp;"",UTILITIES!$G$3:$G$953,""),"IOT",_xlfn.XLOOKUP($K527&amp;"",IOT!$B$3:$B$1012&amp;"",IOT!$H$3:$H$1012,""),"Server",_xlfn.XLOOKUP($K527&amp;"",SERVER!$B$3:$B$1009&amp;"",SERVER!$H$3:$H$1009,""),""),IF(TRIM(_xlpm.srcCat)&lt;&gt;TRIM($J527),"",_xlfn.SWITCH($I527,"Computer",_xlfn.XLOOKUP($K527&amp;"",COMPUTER!$B$3:$B$1009&amp;"",COMPUTER!$K$3:$K$1009,""),"Display",_xlfn.XLOOKUP($K527&amp;"",DISPLAY!$B$3:$B$1000&amp;"",DISPLAY!$L$3:$L$1000,""),"Network Device",_xlfn.XLOOKUP($K527&amp;"",'NETWORK-DEVICES'!$B$3:$B$987&amp;"",'NETWORK-DEVICES'!$K$3:$K$987,""),"Peripheral",_xlfn.XLOOKUP($K527&amp;"",PERIPHERAL!$B$3:$B$954&amp;"",PERIPHERAL!$K$3:$K$954,""),"Utilities",_xlfn.XLOOKUP($K527&amp;"",UTILITIES!$B$3:$B$953&amp;"",UTILITIES!$J$3:$J$953,""),"IOT",_xlfn.XLOOKUP($K527&amp;"",IOT!$B$3:$B$1012&amp;"",IOT!$K$4:$K$1012,""),"Server",_xlfn.XLOOKUP($K527&amp;"",SERVER!$B$3:$B$1009&amp;"",SERVER!$K$3:$K$1009,""),""))))</f>
        <v/>
      </c>
      <c r="O527" s="1" t="str" cm="1">
        <f t="array" ref="O527">IF(OR($K527="",$I527="",$J527=""),"",_xlfn.LET(_xlpm.srcCat,_xlfn.SWITCH($I527,"Computer",_xlfn.XLOOKUP($K527&amp;"",COMPUTER!$B$3:$B$1009&amp;"",COMPUTER!$H$3:$H$1009,""),"Display",_xlfn.XLOOKUP($K527&amp;"",DISPLAY!$B$3:$B$1000&amp;"",DISPLAY!$H$3:$H$1000,""),"Network Device",_xlfn.XLOOKUP($K527&amp;"",'NETWORK-DEVICES'!$B$3:$B$987&amp;"",'NETWORK-DEVICES'!$H$3:$H$987,""),"Peripheral",_xlfn.XLOOKUP($K527&amp;"",PERIPHERAL!$B$3:$B$954&amp;"",PERIPHERAL!$H$3:$H$954,""),"Utilities",_xlfn.XLOOKUP($K527&amp;"",UTILITIES!$B$3:$B$953&amp;"",UTILITIES!$G$3:$G$953,""),"IOT",_xlfn.XLOOKUP($K527&amp;"",IOT!$B$3:$B$1012&amp;"",IOT!$H$3:$H$1012,""),"Server",_xlfn.XLOOKUP($K527&amp;"",SERVER!$B$3:$B$1009&amp;"",SERVER!$H$3:$H$1009,""),""),IF(TRIM(_xlpm.srcCat)&lt;&gt;TRIM($J527),"",_xlfn.SWITCH($I527,"Computer",_xlfn.XLOOKUP($K527&amp;"",COMPUTER!$B$3:$B$1009&amp;"",COMPUTER!$E$3:$E$1009,""),"Display",_xlfn.XLOOKUP($K527&amp;"",DISPLAY!$B$3:$B$1000&amp;"",DISPLAY!$E$3:$E$1000,""),"Network Device",_xlfn.XLOOKUP($K527&amp;"",'NETWORK-DEVICES'!$B$3:$B$987&amp;"",'NETWORK-DEVICES'!$E$3:$E$987,""),"Peripheral",_xlfn.XLOOKUP($K527&amp;"",PERIPHERAL!$B$3:$B$954&amp;"",PERIPHERAL!$E$3:$E$954,""),"Utilities",_xlfn.XLOOKUP($K527&amp;"",UTILITIES!$B$3:$B$953&amp;"",UTILITIES!$E$3:$E$953,""),"IOT",_xlfn.XLOOKUP($K527&amp;"",IOT!$B$3:$B$1012&amp;"",IOT!$E$3:$E$1012,""),"Server",_xlfn.XLOOKUP($K527&amp;"",SERVER!$B$3:$B$1009&amp;"",SERVER!$E$3:$E$1009,""),""))))</f>
        <v/>
      </c>
      <c r="Q527" s="1" t="str" cm="1">
        <f t="array" ref="Q527">IF(OR($K527="",$I527="",$J527=""),"",_xlfn.LET(_xlpm.srcCat,_xlfn.SWITCH($I527,"Computer",_xlfn.XLOOKUP($K527&amp;"",COMPUTER!$B$3:$B$1009&amp;"",COMPUTER!$H$3:$H$1009,""),"Display",_xlfn.XLOOKUP($K527&amp;"",DISPLAY!$B$3:$B$1000&amp;"",DISPLAY!$H$3:$H$1000,""),"Network Device",_xlfn.XLOOKUP($K527&amp;"",'NETWORK-DEVICES'!$B$3:$B$987&amp;"",'NETWORK-DEVICES'!$H$3:$H$987,""),"Peripheral",_xlfn.XLOOKUP($K527&amp;"",PERIPHERAL!$B$3:$B$954&amp;"",PERIPHERAL!$H$3:$H$954,""),"Utilities",_xlfn.XLOOKUP($K527&amp;"",UTILITIES!$B$3:$B$953&amp;"",UTILITIES!$G$3:$G$953,""),"IOT",_xlfn.XLOOKUP($K527&amp;"",IOT!$B$3:$B$1012&amp;"",IOT!$H$3:$H$1012,""),"Server",_xlfn.XLOOKUP($K527&amp;"",SERVER!$B$3:$B$1009&amp;"",SERVER!$H$3:$H$1009,""),""),IF(TRIM(_xlpm.srcCat)&lt;&gt;TRIM($J527),"",_xlfn.SWITCH($I527,"Computer",_xlfn.XLOOKUP($K527&amp;"",COMPUTER!$B$3:$B$1009&amp;"",COMPUTER!$AM$3:$AM$1009,""),"Display",_xlfn.XLOOKUP($K527&amp;"",DISPLAY!$B$3:$B$1000&amp;"",DISPLAY!$V$3:$V$1000,""),"Network Device",_xlfn.XLOOKUP($K527&amp;"",'NETWORK-DEVICES'!$B$3:$B$987&amp;"",'NETWORK-DEVICES'!$AF$3:$AF$987,""),"Peripheral",_xlfn.XLOOKUP($K527&amp;"",PERIPHERAL!$B$3:$B$954&amp;"",PERIPHERAL!$Y$3:$Y$954,""),"Utilities",_xlfn.XLOOKUP($K527&amp;"",UTILITIES!$B$3:$B$953&amp;"",UTILITIES!$O$3:$O$953,""),"IOT",_xlfn.XLOOKUP($K527&amp;"",IOT!$B$3:$B$1012&amp;"",IOT!$AB$3:$AB$1012,""),"Server",_xlfn.XLOOKUP($K527&amp;"",SERVER!$B$3:$B$1009&amp;"",SERVER!$AB$3:$AB$1009,""),""))))</f>
        <v/>
      </c>
      <c r="R527" s="43" t="str">
        <f>IF(tbl_handover[[#This Row],[Asset Code]]="","",COUNTIF(tbl_handover[Asset Code],tbl_handover[[#This Row],[Asset Code]]))</f>
        <v/>
      </c>
    </row>
    <row r="528" spans="1:18" x14ac:dyDescent="0.25">
      <c r="A528" s="43" t="str">
        <f>IF(B528&lt;&gt;"",SUBTOTAL(3,$B$1:B527),"")</f>
        <v/>
      </c>
      <c r="C528" s="74"/>
      <c r="D528" s="74"/>
      <c r="G528" s="1"/>
      <c r="K528" s="42"/>
      <c r="L528" t="str" cm="1">
        <f t="array" ref="L528">IF($K528="","",_xlfn.SWITCH($I528,"Computer",_xlfn.XLOOKUP($K528&amp;"",COMPUTER!$B$3:$B$1009&amp;"",COMPUTER!$I$3:$I$1009,""),"Display",_xlfn.XLOOKUP($K528&amp;"",DISPLAY!$B$3:$B$1000&amp;"",DISPLAY!$J$3:$J$1000,""),"Network Device",_xlfn.XLOOKUP($K528&amp;"",'NETWORK-DEVICES'!$B$3:$B$987&amp;"",'NETWORK-DEVICES'!$I$3:$I$987,""),"Peripheral",_xlfn.XLOOKUP($K528&amp;"",PERIPHERAL!$B$3:$B$954&amp;"",PERIPHERAL!$I$3:$I$954,""),"Utilities",_xlfn.XLOOKUP($K528&amp;"",UTILITIES!$B$3:$B$953&amp;"",UTILITIES!$H$3:$H$953,""),"IOT",_xlfn.XLOOKUP($K528&amp;"",IOT!$B$3:$B$1012&amp;"",IOT!$I$3:$I$1012,""),"SERVER",_xlfn.XLOOKUP($K528&amp;"",SERVER!$B$3:$B$1009&amp;"",SERVER!$I$3:$I$1009,""),""))</f>
        <v/>
      </c>
      <c r="M528" t="str" cm="1">
        <f t="array" ref="M528">IF($K528="","",_xlfn.SWITCH($I528,"Computer",_xlfn.XLOOKUP($K528&amp;"",COMPUTER!$B$3:$B$1009&amp;"",COMPUTER!$J$3:$J$1009,""),"Display",_xlfn.XLOOKUP($K528&amp;"",DISPLAY!$B$3:$B$1000&amp;"",DISPLAY!$K$3:$K$1000,""),"Network Device",_xlfn.XLOOKUP($K528&amp;"",'NETWORK-DEVICES'!$B$3:$B$987&amp;"",'NETWORK-DEVICES'!$I$3:$I$987,""),"Peripheral",_xlfn.XLOOKUP($K528&amp;"",PERIPHERAL!$B$3:$B$954&amp;"",PERIPHERAL!$J$3:$J$954,""),"Utilities",_xlfn.XLOOKUP($K528&amp;"",UTILITIES!$B$3:$B$953&amp;"",UTILITIES!$I$3:$I$953,""),"IOT",_xlfn.XLOOKUP($K528&amp;"",IOT!$B$3:$B$1012&amp;"",IOT!$J$3:$J$1012,""),"Server",_xlfn.XLOOKUP($K528&amp;"",SERVER!$B$3:$B$1009&amp;"",SERVER!$J$3:$J$1009,""),""))</f>
        <v/>
      </c>
      <c r="N528" s="1" t="str" cm="1">
        <f t="array" ref="N528">IF(OR($K528="",$I528="",$J528=""),"",_xlfn.LET(_xlpm.srcCat,_xlfn.SWITCH($I528,"Computer",_xlfn.XLOOKUP($K528&amp;"",COMPUTER!$B$3:$B$1009&amp;"",COMPUTER!$H$3:$H$1009,""),"Display",_xlfn.XLOOKUP($K528&amp;"",DISPLAY!$B$3:$B$1000&amp;"",DISPLAY!$H$3:$H$1000,""),"Network Device",_xlfn.XLOOKUP($K528&amp;"",'NETWORK-DEVICES'!$B$3:$B$987&amp;"",'NETWORK-DEVICES'!$H$3:$H$987,""),"Peripheral",_xlfn.XLOOKUP($K528&amp;"",PERIPHERAL!$B$3:$B$954&amp;"",PERIPHERAL!$H$3:$H$954,""),"Utilities",_xlfn.XLOOKUP($K528&amp;"",UTILITIES!$B$3:$B$953&amp;"",UTILITIES!$G$3:$G$953,""),"IOT",_xlfn.XLOOKUP($K528&amp;"",IOT!$B$3:$B$1012&amp;"",IOT!$H$3:$H$1012,""),"Server",_xlfn.XLOOKUP($K528&amp;"",SERVER!$B$3:$B$1009&amp;"",SERVER!$H$3:$H$1009,""),""),IF(TRIM(_xlpm.srcCat)&lt;&gt;TRIM($J528),"",_xlfn.SWITCH($I528,"Computer",_xlfn.XLOOKUP($K528&amp;"",COMPUTER!$B$3:$B$1009&amp;"",COMPUTER!$K$3:$K$1009,""),"Display",_xlfn.XLOOKUP($K528&amp;"",DISPLAY!$B$3:$B$1000&amp;"",DISPLAY!$L$3:$L$1000,""),"Network Device",_xlfn.XLOOKUP($K528&amp;"",'NETWORK-DEVICES'!$B$3:$B$987&amp;"",'NETWORK-DEVICES'!$K$3:$K$987,""),"Peripheral",_xlfn.XLOOKUP($K528&amp;"",PERIPHERAL!$B$3:$B$954&amp;"",PERIPHERAL!$K$3:$K$954,""),"Utilities",_xlfn.XLOOKUP($K528&amp;"",UTILITIES!$B$3:$B$953&amp;"",UTILITIES!$J$3:$J$953,""),"IOT",_xlfn.XLOOKUP($K528&amp;"",IOT!$B$3:$B$1012&amp;"",IOT!$K$4:$K$1012,""),"Server",_xlfn.XLOOKUP($K528&amp;"",SERVER!$B$3:$B$1009&amp;"",SERVER!$K$3:$K$1009,""),""))))</f>
        <v/>
      </c>
      <c r="O528" s="1" t="str" cm="1">
        <f t="array" ref="O528">IF(OR($K528="",$I528="",$J528=""),"",_xlfn.LET(_xlpm.srcCat,_xlfn.SWITCH($I528,"Computer",_xlfn.XLOOKUP($K528&amp;"",COMPUTER!$B$3:$B$1009&amp;"",COMPUTER!$H$3:$H$1009,""),"Display",_xlfn.XLOOKUP($K528&amp;"",DISPLAY!$B$3:$B$1000&amp;"",DISPLAY!$H$3:$H$1000,""),"Network Device",_xlfn.XLOOKUP($K528&amp;"",'NETWORK-DEVICES'!$B$3:$B$987&amp;"",'NETWORK-DEVICES'!$H$3:$H$987,""),"Peripheral",_xlfn.XLOOKUP($K528&amp;"",PERIPHERAL!$B$3:$B$954&amp;"",PERIPHERAL!$H$3:$H$954,""),"Utilities",_xlfn.XLOOKUP($K528&amp;"",UTILITIES!$B$3:$B$953&amp;"",UTILITIES!$G$3:$G$953,""),"IOT",_xlfn.XLOOKUP($K528&amp;"",IOT!$B$3:$B$1012&amp;"",IOT!$H$3:$H$1012,""),"Server",_xlfn.XLOOKUP($K528&amp;"",SERVER!$B$3:$B$1009&amp;"",SERVER!$H$3:$H$1009,""),""),IF(TRIM(_xlpm.srcCat)&lt;&gt;TRIM($J528),"",_xlfn.SWITCH($I528,"Computer",_xlfn.XLOOKUP($K528&amp;"",COMPUTER!$B$3:$B$1009&amp;"",COMPUTER!$E$3:$E$1009,""),"Display",_xlfn.XLOOKUP($K528&amp;"",DISPLAY!$B$3:$B$1000&amp;"",DISPLAY!$E$3:$E$1000,""),"Network Device",_xlfn.XLOOKUP($K528&amp;"",'NETWORK-DEVICES'!$B$3:$B$987&amp;"",'NETWORK-DEVICES'!$E$3:$E$987,""),"Peripheral",_xlfn.XLOOKUP($K528&amp;"",PERIPHERAL!$B$3:$B$954&amp;"",PERIPHERAL!$E$3:$E$954,""),"Utilities",_xlfn.XLOOKUP($K528&amp;"",UTILITIES!$B$3:$B$953&amp;"",UTILITIES!$E$3:$E$953,""),"IOT",_xlfn.XLOOKUP($K528&amp;"",IOT!$B$3:$B$1012&amp;"",IOT!$E$3:$E$1012,""),"Server",_xlfn.XLOOKUP($K528&amp;"",SERVER!$B$3:$B$1009&amp;"",SERVER!$E$3:$E$1009,""),""))))</f>
        <v/>
      </c>
      <c r="Q528" s="1" t="str" cm="1">
        <f t="array" ref="Q528">IF(OR($K528="",$I528="",$J528=""),"",_xlfn.LET(_xlpm.srcCat,_xlfn.SWITCH($I528,"Computer",_xlfn.XLOOKUP($K528&amp;"",COMPUTER!$B$3:$B$1009&amp;"",COMPUTER!$H$3:$H$1009,""),"Display",_xlfn.XLOOKUP($K528&amp;"",DISPLAY!$B$3:$B$1000&amp;"",DISPLAY!$H$3:$H$1000,""),"Network Device",_xlfn.XLOOKUP($K528&amp;"",'NETWORK-DEVICES'!$B$3:$B$987&amp;"",'NETWORK-DEVICES'!$H$3:$H$987,""),"Peripheral",_xlfn.XLOOKUP($K528&amp;"",PERIPHERAL!$B$3:$B$954&amp;"",PERIPHERAL!$H$3:$H$954,""),"Utilities",_xlfn.XLOOKUP($K528&amp;"",UTILITIES!$B$3:$B$953&amp;"",UTILITIES!$G$3:$G$953,""),"IOT",_xlfn.XLOOKUP($K528&amp;"",IOT!$B$3:$B$1012&amp;"",IOT!$H$3:$H$1012,""),"Server",_xlfn.XLOOKUP($K528&amp;"",SERVER!$B$3:$B$1009&amp;"",SERVER!$H$3:$H$1009,""),""),IF(TRIM(_xlpm.srcCat)&lt;&gt;TRIM($J528),"",_xlfn.SWITCH($I528,"Computer",_xlfn.XLOOKUP($K528&amp;"",COMPUTER!$B$3:$B$1009&amp;"",COMPUTER!$AM$3:$AM$1009,""),"Display",_xlfn.XLOOKUP($K528&amp;"",DISPLAY!$B$3:$B$1000&amp;"",DISPLAY!$V$3:$V$1000,""),"Network Device",_xlfn.XLOOKUP($K528&amp;"",'NETWORK-DEVICES'!$B$3:$B$987&amp;"",'NETWORK-DEVICES'!$AF$3:$AF$987,""),"Peripheral",_xlfn.XLOOKUP($K528&amp;"",PERIPHERAL!$B$3:$B$954&amp;"",PERIPHERAL!$Y$3:$Y$954,""),"Utilities",_xlfn.XLOOKUP($K528&amp;"",UTILITIES!$B$3:$B$953&amp;"",UTILITIES!$O$3:$O$953,""),"IOT",_xlfn.XLOOKUP($K528&amp;"",IOT!$B$3:$B$1012&amp;"",IOT!$AB$3:$AB$1012,""),"Server",_xlfn.XLOOKUP($K528&amp;"",SERVER!$B$3:$B$1009&amp;"",SERVER!$AB$3:$AB$1009,""),""))))</f>
        <v/>
      </c>
      <c r="R528" s="43" t="str">
        <f>IF(tbl_handover[[#This Row],[Asset Code]]="","",COUNTIF(tbl_handover[Asset Code],tbl_handover[[#This Row],[Asset Code]]))</f>
        <v/>
      </c>
    </row>
    <row r="529" spans="1:18" x14ac:dyDescent="0.25">
      <c r="A529" s="43" t="str">
        <f>IF(B529&lt;&gt;"",SUBTOTAL(3,$B$1:B528),"")</f>
        <v/>
      </c>
      <c r="C529" s="74"/>
      <c r="D529" s="74"/>
      <c r="G529" s="1"/>
      <c r="K529" s="42"/>
      <c r="L529" t="str" cm="1">
        <f t="array" ref="L529">IF($K529="","",_xlfn.SWITCH($I529,"Computer",_xlfn.XLOOKUP($K529&amp;"",COMPUTER!$B$3:$B$1009&amp;"",COMPUTER!$I$3:$I$1009,""),"Display",_xlfn.XLOOKUP($K529&amp;"",DISPLAY!$B$3:$B$1000&amp;"",DISPLAY!$J$3:$J$1000,""),"Network Device",_xlfn.XLOOKUP($K529&amp;"",'NETWORK-DEVICES'!$B$3:$B$987&amp;"",'NETWORK-DEVICES'!$I$3:$I$987,""),"Peripheral",_xlfn.XLOOKUP($K529&amp;"",PERIPHERAL!$B$3:$B$954&amp;"",PERIPHERAL!$I$3:$I$954,""),"Utilities",_xlfn.XLOOKUP($K529&amp;"",UTILITIES!$B$3:$B$953&amp;"",UTILITIES!$H$3:$H$953,""),"IOT",_xlfn.XLOOKUP($K529&amp;"",IOT!$B$3:$B$1012&amp;"",IOT!$I$3:$I$1012,""),"SERVER",_xlfn.XLOOKUP($K529&amp;"",SERVER!$B$3:$B$1009&amp;"",SERVER!$I$3:$I$1009,""),""))</f>
        <v/>
      </c>
      <c r="M529" t="str" cm="1">
        <f t="array" ref="M529">IF($K529="","",_xlfn.SWITCH($I529,"Computer",_xlfn.XLOOKUP($K529&amp;"",COMPUTER!$B$3:$B$1009&amp;"",COMPUTER!$J$3:$J$1009,""),"Display",_xlfn.XLOOKUP($K529&amp;"",DISPLAY!$B$3:$B$1000&amp;"",DISPLAY!$K$3:$K$1000,""),"Network Device",_xlfn.XLOOKUP($K529&amp;"",'NETWORK-DEVICES'!$B$3:$B$987&amp;"",'NETWORK-DEVICES'!$I$3:$I$987,""),"Peripheral",_xlfn.XLOOKUP($K529&amp;"",PERIPHERAL!$B$3:$B$954&amp;"",PERIPHERAL!$J$3:$J$954,""),"Utilities",_xlfn.XLOOKUP($K529&amp;"",UTILITIES!$B$3:$B$953&amp;"",UTILITIES!$I$3:$I$953,""),"IOT",_xlfn.XLOOKUP($K529&amp;"",IOT!$B$3:$B$1012&amp;"",IOT!$J$3:$J$1012,""),"Server",_xlfn.XLOOKUP($K529&amp;"",SERVER!$B$3:$B$1009&amp;"",SERVER!$J$3:$J$1009,""),""))</f>
        <v/>
      </c>
      <c r="N529" s="1" t="str" cm="1">
        <f t="array" ref="N529">IF(OR($K529="",$I529="",$J529=""),"",_xlfn.LET(_xlpm.srcCat,_xlfn.SWITCH($I529,"Computer",_xlfn.XLOOKUP($K529&amp;"",COMPUTER!$B$3:$B$1009&amp;"",COMPUTER!$H$3:$H$1009,""),"Display",_xlfn.XLOOKUP($K529&amp;"",DISPLAY!$B$3:$B$1000&amp;"",DISPLAY!$H$3:$H$1000,""),"Network Device",_xlfn.XLOOKUP($K529&amp;"",'NETWORK-DEVICES'!$B$3:$B$987&amp;"",'NETWORK-DEVICES'!$H$3:$H$987,""),"Peripheral",_xlfn.XLOOKUP($K529&amp;"",PERIPHERAL!$B$3:$B$954&amp;"",PERIPHERAL!$H$3:$H$954,""),"Utilities",_xlfn.XLOOKUP($K529&amp;"",UTILITIES!$B$3:$B$953&amp;"",UTILITIES!$G$3:$G$953,""),"IOT",_xlfn.XLOOKUP($K529&amp;"",IOT!$B$3:$B$1012&amp;"",IOT!$H$3:$H$1012,""),"Server",_xlfn.XLOOKUP($K529&amp;"",SERVER!$B$3:$B$1009&amp;"",SERVER!$H$3:$H$1009,""),""),IF(TRIM(_xlpm.srcCat)&lt;&gt;TRIM($J529),"",_xlfn.SWITCH($I529,"Computer",_xlfn.XLOOKUP($K529&amp;"",COMPUTER!$B$3:$B$1009&amp;"",COMPUTER!$K$3:$K$1009,""),"Display",_xlfn.XLOOKUP($K529&amp;"",DISPLAY!$B$3:$B$1000&amp;"",DISPLAY!$L$3:$L$1000,""),"Network Device",_xlfn.XLOOKUP($K529&amp;"",'NETWORK-DEVICES'!$B$3:$B$987&amp;"",'NETWORK-DEVICES'!$K$3:$K$987,""),"Peripheral",_xlfn.XLOOKUP($K529&amp;"",PERIPHERAL!$B$3:$B$954&amp;"",PERIPHERAL!$K$3:$K$954,""),"Utilities",_xlfn.XLOOKUP($K529&amp;"",UTILITIES!$B$3:$B$953&amp;"",UTILITIES!$J$3:$J$953,""),"IOT",_xlfn.XLOOKUP($K529&amp;"",IOT!$B$3:$B$1012&amp;"",IOT!$K$4:$K$1012,""),"Server",_xlfn.XLOOKUP($K529&amp;"",SERVER!$B$3:$B$1009&amp;"",SERVER!$K$3:$K$1009,""),""))))</f>
        <v/>
      </c>
      <c r="O529" s="1" t="str" cm="1">
        <f t="array" ref="O529">IF(OR($K529="",$I529="",$J529=""),"",_xlfn.LET(_xlpm.srcCat,_xlfn.SWITCH($I529,"Computer",_xlfn.XLOOKUP($K529&amp;"",COMPUTER!$B$3:$B$1009&amp;"",COMPUTER!$H$3:$H$1009,""),"Display",_xlfn.XLOOKUP($K529&amp;"",DISPLAY!$B$3:$B$1000&amp;"",DISPLAY!$H$3:$H$1000,""),"Network Device",_xlfn.XLOOKUP($K529&amp;"",'NETWORK-DEVICES'!$B$3:$B$987&amp;"",'NETWORK-DEVICES'!$H$3:$H$987,""),"Peripheral",_xlfn.XLOOKUP($K529&amp;"",PERIPHERAL!$B$3:$B$954&amp;"",PERIPHERAL!$H$3:$H$954,""),"Utilities",_xlfn.XLOOKUP($K529&amp;"",UTILITIES!$B$3:$B$953&amp;"",UTILITIES!$G$3:$G$953,""),"IOT",_xlfn.XLOOKUP($K529&amp;"",IOT!$B$3:$B$1012&amp;"",IOT!$H$3:$H$1012,""),"Server",_xlfn.XLOOKUP($K529&amp;"",SERVER!$B$3:$B$1009&amp;"",SERVER!$H$3:$H$1009,""),""),IF(TRIM(_xlpm.srcCat)&lt;&gt;TRIM($J529),"",_xlfn.SWITCH($I529,"Computer",_xlfn.XLOOKUP($K529&amp;"",COMPUTER!$B$3:$B$1009&amp;"",COMPUTER!$E$3:$E$1009,""),"Display",_xlfn.XLOOKUP($K529&amp;"",DISPLAY!$B$3:$B$1000&amp;"",DISPLAY!$E$3:$E$1000,""),"Network Device",_xlfn.XLOOKUP($K529&amp;"",'NETWORK-DEVICES'!$B$3:$B$987&amp;"",'NETWORK-DEVICES'!$E$3:$E$987,""),"Peripheral",_xlfn.XLOOKUP($K529&amp;"",PERIPHERAL!$B$3:$B$954&amp;"",PERIPHERAL!$E$3:$E$954,""),"Utilities",_xlfn.XLOOKUP($K529&amp;"",UTILITIES!$B$3:$B$953&amp;"",UTILITIES!$E$3:$E$953,""),"IOT",_xlfn.XLOOKUP($K529&amp;"",IOT!$B$3:$B$1012&amp;"",IOT!$E$3:$E$1012,""),"Server",_xlfn.XLOOKUP($K529&amp;"",SERVER!$B$3:$B$1009&amp;"",SERVER!$E$3:$E$1009,""),""))))</f>
        <v/>
      </c>
      <c r="Q529" s="1" t="str" cm="1">
        <f t="array" ref="Q529">IF(OR($K529="",$I529="",$J529=""),"",_xlfn.LET(_xlpm.srcCat,_xlfn.SWITCH($I529,"Computer",_xlfn.XLOOKUP($K529&amp;"",COMPUTER!$B$3:$B$1009&amp;"",COMPUTER!$H$3:$H$1009,""),"Display",_xlfn.XLOOKUP($K529&amp;"",DISPLAY!$B$3:$B$1000&amp;"",DISPLAY!$H$3:$H$1000,""),"Network Device",_xlfn.XLOOKUP($K529&amp;"",'NETWORK-DEVICES'!$B$3:$B$987&amp;"",'NETWORK-DEVICES'!$H$3:$H$987,""),"Peripheral",_xlfn.XLOOKUP($K529&amp;"",PERIPHERAL!$B$3:$B$954&amp;"",PERIPHERAL!$H$3:$H$954,""),"Utilities",_xlfn.XLOOKUP($K529&amp;"",UTILITIES!$B$3:$B$953&amp;"",UTILITIES!$G$3:$G$953,""),"IOT",_xlfn.XLOOKUP($K529&amp;"",IOT!$B$3:$B$1012&amp;"",IOT!$H$3:$H$1012,""),"Server",_xlfn.XLOOKUP($K529&amp;"",SERVER!$B$3:$B$1009&amp;"",SERVER!$H$3:$H$1009,""),""),IF(TRIM(_xlpm.srcCat)&lt;&gt;TRIM($J529),"",_xlfn.SWITCH($I529,"Computer",_xlfn.XLOOKUP($K529&amp;"",COMPUTER!$B$3:$B$1009&amp;"",COMPUTER!$AM$3:$AM$1009,""),"Display",_xlfn.XLOOKUP($K529&amp;"",DISPLAY!$B$3:$B$1000&amp;"",DISPLAY!$V$3:$V$1000,""),"Network Device",_xlfn.XLOOKUP($K529&amp;"",'NETWORK-DEVICES'!$B$3:$B$987&amp;"",'NETWORK-DEVICES'!$AF$3:$AF$987,""),"Peripheral",_xlfn.XLOOKUP($K529&amp;"",PERIPHERAL!$B$3:$B$954&amp;"",PERIPHERAL!$Y$3:$Y$954,""),"Utilities",_xlfn.XLOOKUP($K529&amp;"",UTILITIES!$B$3:$B$953&amp;"",UTILITIES!$O$3:$O$953,""),"IOT",_xlfn.XLOOKUP($K529&amp;"",IOT!$B$3:$B$1012&amp;"",IOT!$AB$3:$AB$1012,""),"Server",_xlfn.XLOOKUP($K529&amp;"",SERVER!$B$3:$B$1009&amp;"",SERVER!$AB$3:$AB$1009,""),""))))</f>
        <v/>
      </c>
      <c r="R529" s="43" t="str">
        <f>IF(tbl_handover[[#This Row],[Asset Code]]="","",COUNTIF(tbl_handover[Asset Code],tbl_handover[[#This Row],[Asset Code]]))</f>
        <v/>
      </c>
    </row>
    <row r="530" spans="1:18" x14ac:dyDescent="0.25">
      <c r="A530" s="43" t="str">
        <f>IF(B530&lt;&gt;"",SUBTOTAL(3,$B$1:B529),"")</f>
        <v/>
      </c>
      <c r="C530" s="74"/>
      <c r="D530" s="74"/>
      <c r="G530" s="1"/>
      <c r="K530" s="42"/>
      <c r="L530" t="str" cm="1">
        <f t="array" ref="L530">IF($K530="","",_xlfn.SWITCH($I530,"Computer",_xlfn.XLOOKUP($K530&amp;"",COMPUTER!$B$3:$B$1009&amp;"",COMPUTER!$I$3:$I$1009,""),"Display",_xlfn.XLOOKUP($K530&amp;"",DISPLAY!$B$3:$B$1000&amp;"",DISPLAY!$J$3:$J$1000,""),"Network Device",_xlfn.XLOOKUP($K530&amp;"",'NETWORK-DEVICES'!$B$3:$B$987&amp;"",'NETWORK-DEVICES'!$I$3:$I$987,""),"Peripheral",_xlfn.XLOOKUP($K530&amp;"",PERIPHERAL!$B$3:$B$954&amp;"",PERIPHERAL!$I$3:$I$954,""),"Utilities",_xlfn.XLOOKUP($K530&amp;"",UTILITIES!$B$3:$B$953&amp;"",UTILITIES!$H$3:$H$953,""),"IOT",_xlfn.XLOOKUP($K530&amp;"",IOT!$B$3:$B$1012&amp;"",IOT!$I$3:$I$1012,""),"SERVER",_xlfn.XLOOKUP($K530&amp;"",SERVER!$B$3:$B$1009&amp;"",SERVER!$I$3:$I$1009,""),""))</f>
        <v/>
      </c>
      <c r="M530" t="str" cm="1">
        <f t="array" ref="M530">IF($K530="","",_xlfn.SWITCH($I530,"Computer",_xlfn.XLOOKUP($K530&amp;"",COMPUTER!$B$3:$B$1009&amp;"",COMPUTER!$J$3:$J$1009,""),"Display",_xlfn.XLOOKUP($K530&amp;"",DISPLAY!$B$3:$B$1000&amp;"",DISPLAY!$K$3:$K$1000,""),"Network Device",_xlfn.XLOOKUP($K530&amp;"",'NETWORK-DEVICES'!$B$3:$B$987&amp;"",'NETWORK-DEVICES'!$I$3:$I$987,""),"Peripheral",_xlfn.XLOOKUP($K530&amp;"",PERIPHERAL!$B$3:$B$954&amp;"",PERIPHERAL!$J$3:$J$954,""),"Utilities",_xlfn.XLOOKUP($K530&amp;"",UTILITIES!$B$3:$B$953&amp;"",UTILITIES!$I$3:$I$953,""),"IOT",_xlfn.XLOOKUP($K530&amp;"",IOT!$B$3:$B$1012&amp;"",IOT!$J$3:$J$1012,""),"Server",_xlfn.XLOOKUP($K530&amp;"",SERVER!$B$3:$B$1009&amp;"",SERVER!$J$3:$J$1009,""),""))</f>
        <v/>
      </c>
      <c r="N530" s="1" t="str" cm="1">
        <f t="array" ref="N530">IF(OR($K530="",$I530="",$J530=""),"",_xlfn.LET(_xlpm.srcCat,_xlfn.SWITCH($I530,"Computer",_xlfn.XLOOKUP($K530&amp;"",COMPUTER!$B$3:$B$1009&amp;"",COMPUTER!$H$3:$H$1009,""),"Display",_xlfn.XLOOKUP($K530&amp;"",DISPLAY!$B$3:$B$1000&amp;"",DISPLAY!$H$3:$H$1000,""),"Network Device",_xlfn.XLOOKUP($K530&amp;"",'NETWORK-DEVICES'!$B$3:$B$987&amp;"",'NETWORK-DEVICES'!$H$3:$H$987,""),"Peripheral",_xlfn.XLOOKUP($K530&amp;"",PERIPHERAL!$B$3:$B$954&amp;"",PERIPHERAL!$H$3:$H$954,""),"Utilities",_xlfn.XLOOKUP($K530&amp;"",UTILITIES!$B$3:$B$953&amp;"",UTILITIES!$G$3:$G$953,""),"IOT",_xlfn.XLOOKUP($K530&amp;"",IOT!$B$3:$B$1012&amp;"",IOT!$H$3:$H$1012,""),"Server",_xlfn.XLOOKUP($K530&amp;"",SERVER!$B$3:$B$1009&amp;"",SERVER!$H$3:$H$1009,""),""),IF(TRIM(_xlpm.srcCat)&lt;&gt;TRIM($J530),"",_xlfn.SWITCH($I530,"Computer",_xlfn.XLOOKUP($K530&amp;"",COMPUTER!$B$3:$B$1009&amp;"",COMPUTER!$K$3:$K$1009,""),"Display",_xlfn.XLOOKUP($K530&amp;"",DISPLAY!$B$3:$B$1000&amp;"",DISPLAY!$L$3:$L$1000,""),"Network Device",_xlfn.XLOOKUP($K530&amp;"",'NETWORK-DEVICES'!$B$3:$B$987&amp;"",'NETWORK-DEVICES'!$K$3:$K$987,""),"Peripheral",_xlfn.XLOOKUP($K530&amp;"",PERIPHERAL!$B$3:$B$954&amp;"",PERIPHERAL!$K$3:$K$954,""),"Utilities",_xlfn.XLOOKUP($K530&amp;"",UTILITIES!$B$3:$B$953&amp;"",UTILITIES!$J$3:$J$953,""),"IOT",_xlfn.XLOOKUP($K530&amp;"",IOT!$B$3:$B$1012&amp;"",IOT!$K$4:$K$1012,""),"Server",_xlfn.XLOOKUP($K530&amp;"",SERVER!$B$3:$B$1009&amp;"",SERVER!$K$3:$K$1009,""),""))))</f>
        <v/>
      </c>
      <c r="O530" s="1" t="str" cm="1">
        <f t="array" ref="O530">IF(OR($K530="",$I530="",$J530=""),"",_xlfn.LET(_xlpm.srcCat,_xlfn.SWITCH($I530,"Computer",_xlfn.XLOOKUP($K530&amp;"",COMPUTER!$B$3:$B$1009&amp;"",COMPUTER!$H$3:$H$1009,""),"Display",_xlfn.XLOOKUP($K530&amp;"",DISPLAY!$B$3:$B$1000&amp;"",DISPLAY!$H$3:$H$1000,""),"Network Device",_xlfn.XLOOKUP($K530&amp;"",'NETWORK-DEVICES'!$B$3:$B$987&amp;"",'NETWORK-DEVICES'!$H$3:$H$987,""),"Peripheral",_xlfn.XLOOKUP($K530&amp;"",PERIPHERAL!$B$3:$B$954&amp;"",PERIPHERAL!$H$3:$H$954,""),"Utilities",_xlfn.XLOOKUP($K530&amp;"",UTILITIES!$B$3:$B$953&amp;"",UTILITIES!$G$3:$G$953,""),"IOT",_xlfn.XLOOKUP($K530&amp;"",IOT!$B$3:$B$1012&amp;"",IOT!$H$3:$H$1012,""),"Server",_xlfn.XLOOKUP($K530&amp;"",SERVER!$B$3:$B$1009&amp;"",SERVER!$H$3:$H$1009,""),""),IF(TRIM(_xlpm.srcCat)&lt;&gt;TRIM($J530),"",_xlfn.SWITCH($I530,"Computer",_xlfn.XLOOKUP($K530&amp;"",COMPUTER!$B$3:$B$1009&amp;"",COMPUTER!$E$3:$E$1009,""),"Display",_xlfn.XLOOKUP($K530&amp;"",DISPLAY!$B$3:$B$1000&amp;"",DISPLAY!$E$3:$E$1000,""),"Network Device",_xlfn.XLOOKUP($K530&amp;"",'NETWORK-DEVICES'!$B$3:$B$987&amp;"",'NETWORK-DEVICES'!$E$3:$E$987,""),"Peripheral",_xlfn.XLOOKUP($K530&amp;"",PERIPHERAL!$B$3:$B$954&amp;"",PERIPHERAL!$E$3:$E$954,""),"Utilities",_xlfn.XLOOKUP($K530&amp;"",UTILITIES!$B$3:$B$953&amp;"",UTILITIES!$E$3:$E$953,""),"IOT",_xlfn.XLOOKUP($K530&amp;"",IOT!$B$3:$B$1012&amp;"",IOT!$E$3:$E$1012,""),"Server",_xlfn.XLOOKUP($K530&amp;"",SERVER!$B$3:$B$1009&amp;"",SERVER!$E$3:$E$1009,""),""))))</f>
        <v/>
      </c>
      <c r="Q530" s="1" t="str" cm="1">
        <f t="array" ref="Q530">IF(OR($K530="",$I530="",$J530=""),"",_xlfn.LET(_xlpm.srcCat,_xlfn.SWITCH($I530,"Computer",_xlfn.XLOOKUP($K530&amp;"",COMPUTER!$B$3:$B$1009&amp;"",COMPUTER!$H$3:$H$1009,""),"Display",_xlfn.XLOOKUP($K530&amp;"",DISPLAY!$B$3:$B$1000&amp;"",DISPLAY!$H$3:$H$1000,""),"Network Device",_xlfn.XLOOKUP($K530&amp;"",'NETWORK-DEVICES'!$B$3:$B$987&amp;"",'NETWORK-DEVICES'!$H$3:$H$987,""),"Peripheral",_xlfn.XLOOKUP($K530&amp;"",PERIPHERAL!$B$3:$B$954&amp;"",PERIPHERAL!$H$3:$H$954,""),"Utilities",_xlfn.XLOOKUP($K530&amp;"",UTILITIES!$B$3:$B$953&amp;"",UTILITIES!$G$3:$G$953,""),"IOT",_xlfn.XLOOKUP($K530&amp;"",IOT!$B$3:$B$1012&amp;"",IOT!$H$3:$H$1012,""),"Server",_xlfn.XLOOKUP($K530&amp;"",SERVER!$B$3:$B$1009&amp;"",SERVER!$H$3:$H$1009,""),""),IF(TRIM(_xlpm.srcCat)&lt;&gt;TRIM($J530),"",_xlfn.SWITCH($I530,"Computer",_xlfn.XLOOKUP($K530&amp;"",COMPUTER!$B$3:$B$1009&amp;"",COMPUTER!$AM$3:$AM$1009,""),"Display",_xlfn.XLOOKUP($K530&amp;"",DISPLAY!$B$3:$B$1000&amp;"",DISPLAY!$V$3:$V$1000,""),"Network Device",_xlfn.XLOOKUP($K530&amp;"",'NETWORK-DEVICES'!$B$3:$B$987&amp;"",'NETWORK-DEVICES'!$AF$3:$AF$987,""),"Peripheral",_xlfn.XLOOKUP($K530&amp;"",PERIPHERAL!$B$3:$B$954&amp;"",PERIPHERAL!$Y$3:$Y$954,""),"Utilities",_xlfn.XLOOKUP($K530&amp;"",UTILITIES!$B$3:$B$953&amp;"",UTILITIES!$O$3:$O$953,""),"IOT",_xlfn.XLOOKUP($K530&amp;"",IOT!$B$3:$B$1012&amp;"",IOT!$AB$3:$AB$1012,""),"Server",_xlfn.XLOOKUP($K530&amp;"",SERVER!$B$3:$B$1009&amp;"",SERVER!$AB$3:$AB$1009,""),""))))</f>
        <v/>
      </c>
      <c r="R530" s="43" t="str">
        <f>IF(tbl_handover[[#This Row],[Asset Code]]="","",COUNTIF(tbl_handover[Asset Code],tbl_handover[[#This Row],[Asset Code]]))</f>
        <v/>
      </c>
    </row>
    <row r="531" spans="1:18" x14ac:dyDescent="0.25">
      <c r="A531" s="43" t="str">
        <f>IF(B531&lt;&gt;"",SUBTOTAL(3,$B$1:B530),"")</f>
        <v/>
      </c>
      <c r="C531" s="74"/>
      <c r="D531" s="74"/>
      <c r="G531" s="1"/>
      <c r="K531" s="42"/>
      <c r="L531" t="str" cm="1">
        <f t="array" ref="L531">IF($K531="","",_xlfn.SWITCH($I531,"Computer",_xlfn.XLOOKUP($K531&amp;"",COMPUTER!$B$3:$B$1009&amp;"",COMPUTER!$I$3:$I$1009,""),"Display",_xlfn.XLOOKUP($K531&amp;"",DISPLAY!$B$3:$B$1000&amp;"",DISPLAY!$J$3:$J$1000,""),"Network Device",_xlfn.XLOOKUP($K531&amp;"",'NETWORK-DEVICES'!$B$3:$B$987&amp;"",'NETWORK-DEVICES'!$I$3:$I$987,""),"Peripheral",_xlfn.XLOOKUP($K531&amp;"",PERIPHERAL!$B$3:$B$954&amp;"",PERIPHERAL!$I$3:$I$954,""),"Utilities",_xlfn.XLOOKUP($K531&amp;"",UTILITIES!$B$3:$B$953&amp;"",UTILITIES!$H$3:$H$953,""),"IOT",_xlfn.XLOOKUP($K531&amp;"",IOT!$B$3:$B$1012&amp;"",IOT!$I$3:$I$1012,""),"SERVER",_xlfn.XLOOKUP($K531&amp;"",SERVER!$B$3:$B$1009&amp;"",SERVER!$I$3:$I$1009,""),""))</f>
        <v/>
      </c>
      <c r="M531" t="str" cm="1">
        <f t="array" ref="M531">IF($K531="","",_xlfn.SWITCH($I531,"Computer",_xlfn.XLOOKUP($K531&amp;"",COMPUTER!$B$3:$B$1009&amp;"",COMPUTER!$J$3:$J$1009,""),"Display",_xlfn.XLOOKUP($K531&amp;"",DISPLAY!$B$3:$B$1000&amp;"",DISPLAY!$K$3:$K$1000,""),"Network Device",_xlfn.XLOOKUP($K531&amp;"",'NETWORK-DEVICES'!$B$3:$B$987&amp;"",'NETWORK-DEVICES'!$I$3:$I$987,""),"Peripheral",_xlfn.XLOOKUP($K531&amp;"",PERIPHERAL!$B$3:$B$954&amp;"",PERIPHERAL!$J$3:$J$954,""),"Utilities",_xlfn.XLOOKUP($K531&amp;"",UTILITIES!$B$3:$B$953&amp;"",UTILITIES!$I$3:$I$953,""),"IOT",_xlfn.XLOOKUP($K531&amp;"",IOT!$B$3:$B$1012&amp;"",IOT!$J$3:$J$1012,""),"Server",_xlfn.XLOOKUP($K531&amp;"",SERVER!$B$3:$B$1009&amp;"",SERVER!$J$3:$J$1009,""),""))</f>
        <v/>
      </c>
      <c r="N531" s="1" t="str" cm="1">
        <f t="array" ref="N531">IF(OR($K531="",$I531="",$J531=""),"",_xlfn.LET(_xlpm.srcCat,_xlfn.SWITCH($I531,"Computer",_xlfn.XLOOKUP($K531&amp;"",COMPUTER!$B$3:$B$1009&amp;"",COMPUTER!$H$3:$H$1009,""),"Display",_xlfn.XLOOKUP($K531&amp;"",DISPLAY!$B$3:$B$1000&amp;"",DISPLAY!$H$3:$H$1000,""),"Network Device",_xlfn.XLOOKUP($K531&amp;"",'NETWORK-DEVICES'!$B$3:$B$987&amp;"",'NETWORK-DEVICES'!$H$3:$H$987,""),"Peripheral",_xlfn.XLOOKUP($K531&amp;"",PERIPHERAL!$B$3:$B$954&amp;"",PERIPHERAL!$H$3:$H$954,""),"Utilities",_xlfn.XLOOKUP($K531&amp;"",UTILITIES!$B$3:$B$953&amp;"",UTILITIES!$G$3:$G$953,""),"IOT",_xlfn.XLOOKUP($K531&amp;"",IOT!$B$3:$B$1012&amp;"",IOT!$H$3:$H$1012,""),"Server",_xlfn.XLOOKUP($K531&amp;"",SERVER!$B$3:$B$1009&amp;"",SERVER!$H$3:$H$1009,""),""),IF(TRIM(_xlpm.srcCat)&lt;&gt;TRIM($J531),"",_xlfn.SWITCH($I531,"Computer",_xlfn.XLOOKUP($K531&amp;"",COMPUTER!$B$3:$B$1009&amp;"",COMPUTER!$K$3:$K$1009,""),"Display",_xlfn.XLOOKUP($K531&amp;"",DISPLAY!$B$3:$B$1000&amp;"",DISPLAY!$L$3:$L$1000,""),"Network Device",_xlfn.XLOOKUP($K531&amp;"",'NETWORK-DEVICES'!$B$3:$B$987&amp;"",'NETWORK-DEVICES'!$K$3:$K$987,""),"Peripheral",_xlfn.XLOOKUP($K531&amp;"",PERIPHERAL!$B$3:$B$954&amp;"",PERIPHERAL!$K$3:$K$954,""),"Utilities",_xlfn.XLOOKUP($K531&amp;"",UTILITIES!$B$3:$B$953&amp;"",UTILITIES!$J$3:$J$953,""),"IOT",_xlfn.XLOOKUP($K531&amp;"",IOT!$B$3:$B$1012&amp;"",IOT!$K$4:$K$1012,""),"Server",_xlfn.XLOOKUP($K531&amp;"",SERVER!$B$3:$B$1009&amp;"",SERVER!$K$3:$K$1009,""),""))))</f>
        <v/>
      </c>
      <c r="O531" s="1" t="str" cm="1">
        <f t="array" ref="O531">IF(OR($K531="",$I531="",$J531=""),"",_xlfn.LET(_xlpm.srcCat,_xlfn.SWITCH($I531,"Computer",_xlfn.XLOOKUP($K531&amp;"",COMPUTER!$B$3:$B$1009&amp;"",COMPUTER!$H$3:$H$1009,""),"Display",_xlfn.XLOOKUP($K531&amp;"",DISPLAY!$B$3:$B$1000&amp;"",DISPLAY!$H$3:$H$1000,""),"Network Device",_xlfn.XLOOKUP($K531&amp;"",'NETWORK-DEVICES'!$B$3:$B$987&amp;"",'NETWORK-DEVICES'!$H$3:$H$987,""),"Peripheral",_xlfn.XLOOKUP($K531&amp;"",PERIPHERAL!$B$3:$B$954&amp;"",PERIPHERAL!$H$3:$H$954,""),"Utilities",_xlfn.XLOOKUP($K531&amp;"",UTILITIES!$B$3:$B$953&amp;"",UTILITIES!$G$3:$G$953,""),"IOT",_xlfn.XLOOKUP($K531&amp;"",IOT!$B$3:$B$1012&amp;"",IOT!$H$3:$H$1012,""),"Server",_xlfn.XLOOKUP($K531&amp;"",SERVER!$B$3:$B$1009&amp;"",SERVER!$H$3:$H$1009,""),""),IF(TRIM(_xlpm.srcCat)&lt;&gt;TRIM($J531),"",_xlfn.SWITCH($I531,"Computer",_xlfn.XLOOKUP($K531&amp;"",COMPUTER!$B$3:$B$1009&amp;"",COMPUTER!$E$3:$E$1009,""),"Display",_xlfn.XLOOKUP($K531&amp;"",DISPLAY!$B$3:$B$1000&amp;"",DISPLAY!$E$3:$E$1000,""),"Network Device",_xlfn.XLOOKUP($K531&amp;"",'NETWORK-DEVICES'!$B$3:$B$987&amp;"",'NETWORK-DEVICES'!$E$3:$E$987,""),"Peripheral",_xlfn.XLOOKUP($K531&amp;"",PERIPHERAL!$B$3:$B$954&amp;"",PERIPHERAL!$E$3:$E$954,""),"Utilities",_xlfn.XLOOKUP($K531&amp;"",UTILITIES!$B$3:$B$953&amp;"",UTILITIES!$E$3:$E$953,""),"IOT",_xlfn.XLOOKUP($K531&amp;"",IOT!$B$3:$B$1012&amp;"",IOT!$E$3:$E$1012,""),"Server",_xlfn.XLOOKUP($K531&amp;"",SERVER!$B$3:$B$1009&amp;"",SERVER!$E$3:$E$1009,""),""))))</f>
        <v/>
      </c>
      <c r="Q531" s="1" t="str" cm="1">
        <f t="array" ref="Q531">IF(OR($K531="",$I531="",$J531=""),"",_xlfn.LET(_xlpm.srcCat,_xlfn.SWITCH($I531,"Computer",_xlfn.XLOOKUP($K531&amp;"",COMPUTER!$B$3:$B$1009&amp;"",COMPUTER!$H$3:$H$1009,""),"Display",_xlfn.XLOOKUP($K531&amp;"",DISPLAY!$B$3:$B$1000&amp;"",DISPLAY!$H$3:$H$1000,""),"Network Device",_xlfn.XLOOKUP($K531&amp;"",'NETWORK-DEVICES'!$B$3:$B$987&amp;"",'NETWORK-DEVICES'!$H$3:$H$987,""),"Peripheral",_xlfn.XLOOKUP($K531&amp;"",PERIPHERAL!$B$3:$B$954&amp;"",PERIPHERAL!$H$3:$H$954,""),"Utilities",_xlfn.XLOOKUP($K531&amp;"",UTILITIES!$B$3:$B$953&amp;"",UTILITIES!$G$3:$G$953,""),"IOT",_xlfn.XLOOKUP($K531&amp;"",IOT!$B$3:$B$1012&amp;"",IOT!$H$3:$H$1012,""),"Server",_xlfn.XLOOKUP($K531&amp;"",SERVER!$B$3:$B$1009&amp;"",SERVER!$H$3:$H$1009,""),""),IF(TRIM(_xlpm.srcCat)&lt;&gt;TRIM($J531),"",_xlfn.SWITCH($I531,"Computer",_xlfn.XLOOKUP($K531&amp;"",COMPUTER!$B$3:$B$1009&amp;"",COMPUTER!$AM$3:$AM$1009,""),"Display",_xlfn.XLOOKUP($K531&amp;"",DISPLAY!$B$3:$B$1000&amp;"",DISPLAY!$V$3:$V$1000,""),"Network Device",_xlfn.XLOOKUP($K531&amp;"",'NETWORK-DEVICES'!$B$3:$B$987&amp;"",'NETWORK-DEVICES'!$AF$3:$AF$987,""),"Peripheral",_xlfn.XLOOKUP($K531&amp;"",PERIPHERAL!$B$3:$B$954&amp;"",PERIPHERAL!$Y$3:$Y$954,""),"Utilities",_xlfn.XLOOKUP($K531&amp;"",UTILITIES!$B$3:$B$953&amp;"",UTILITIES!$O$3:$O$953,""),"IOT",_xlfn.XLOOKUP($K531&amp;"",IOT!$B$3:$B$1012&amp;"",IOT!$AB$3:$AB$1012,""),"Server",_xlfn.XLOOKUP($K531&amp;"",SERVER!$B$3:$B$1009&amp;"",SERVER!$AB$3:$AB$1009,""),""))))</f>
        <v/>
      </c>
      <c r="R531" s="43" t="str">
        <f>IF(tbl_handover[[#This Row],[Asset Code]]="","",COUNTIF(tbl_handover[Asset Code],tbl_handover[[#This Row],[Asset Code]]))</f>
        <v/>
      </c>
    </row>
    <row r="532" spans="1:18" x14ac:dyDescent="0.25">
      <c r="A532" s="43" t="str">
        <f>IF(B532&lt;&gt;"",SUBTOTAL(3,$B$1:B531),"")</f>
        <v/>
      </c>
      <c r="C532" s="74"/>
      <c r="D532" s="74"/>
      <c r="G532" s="1"/>
      <c r="K532" s="42"/>
      <c r="L532" t="str" cm="1">
        <f t="array" ref="L532">IF($K532="","",_xlfn.SWITCH($I532,"Computer",_xlfn.XLOOKUP($K532&amp;"",COMPUTER!$B$3:$B$1009&amp;"",COMPUTER!$I$3:$I$1009,""),"Display",_xlfn.XLOOKUP($K532&amp;"",DISPLAY!$B$3:$B$1000&amp;"",DISPLAY!$J$3:$J$1000,""),"Network Device",_xlfn.XLOOKUP($K532&amp;"",'NETWORK-DEVICES'!$B$3:$B$987&amp;"",'NETWORK-DEVICES'!$I$3:$I$987,""),"Peripheral",_xlfn.XLOOKUP($K532&amp;"",PERIPHERAL!$B$3:$B$954&amp;"",PERIPHERAL!$I$3:$I$954,""),"Utilities",_xlfn.XLOOKUP($K532&amp;"",UTILITIES!$B$3:$B$953&amp;"",UTILITIES!$H$3:$H$953,""),"IOT",_xlfn.XLOOKUP($K532&amp;"",IOT!$B$3:$B$1012&amp;"",IOT!$I$3:$I$1012,""),"SERVER",_xlfn.XLOOKUP($K532&amp;"",SERVER!$B$3:$B$1009&amp;"",SERVER!$I$3:$I$1009,""),""))</f>
        <v/>
      </c>
      <c r="M532" t="str" cm="1">
        <f t="array" ref="M532">IF($K532="","",_xlfn.SWITCH($I532,"Computer",_xlfn.XLOOKUP($K532&amp;"",COMPUTER!$B$3:$B$1009&amp;"",COMPUTER!$J$3:$J$1009,""),"Display",_xlfn.XLOOKUP($K532&amp;"",DISPLAY!$B$3:$B$1000&amp;"",DISPLAY!$K$3:$K$1000,""),"Network Device",_xlfn.XLOOKUP($K532&amp;"",'NETWORK-DEVICES'!$B$3:$B$987&amp;"",'NETWORK-DEVICES'!$I$3:$I$987,""),"Peripheral",_xlfn.XLOOKUP($K532&amp;"",PERIPHERAL!$B$3:$B$954&amp;"",PERIPHERAL!$J$3:$J$954,""),"Utilities",_xlfn.XLOOKUP($K532&amp;"",UTILITIES!$B$3:$B$953&amp;"",UTILITIES!$I$3:$I$953,""),"IOT",_xlfn.XLOOKUP($K532&amp;"",IOT!$B$3:$B$1012&amp;"",IOT!$J$3:$J$1012,""),"Server",_xlfn.XLOOKUP($K532&amp;"",SERVER!$B$3:$B$1009&amp;"",SERVER!$J$3:$J$1009,""),""))</f>
        <v/>
      </c>
      <c r="N532" s="1" t="str" cm="1">
        <f t="array" ref="N532">IF(OR($K532="",$I532="",$J532=""),"",_xlfn.LET(_xlpm.srcCat,_xlfn.SWITCH($I532,"Computer",_xlfn.XLOOKUP($K532&amp;"",COMPUTER!$B$3:$B$1009&amp;"",COMPUTER!$H$3:$H$1009,""),"Display",_xlfn.XLOOKUP($K532&amp;"",DISPLAY!$B$3:$B$1000&amp;"",DISPLAY!$H$3:$H$1000,""),"Network Device",_xlfn.XLOOKUP($K532&amp;"",'NETWORK-DEVICES'!$B$3:$B$987&amp;"",'NETWORK-DEVICES'!$H$3:$H$987,""),"Peripheral",_xlfn.XLOOKUP($K532&amp;"",PERIPHERAL!$B$3:$B$954&amp;"",PERIPHERAL!$H$3:$H$954,""),"Utilities",_xlfn.XLOOKUP($K532&amp;"",UTILITIES!$B$3:$B$953&amp;"",UTILITIES!$G$3:$G$953,""),"IOT",_xlfn.XLOOKUP($K532&amp;"",IOT!$B$3:$B$1012&amp;"",IOT!$H$3:$H$1012,""),"Server",_xlfn.XLOOKUP($K532&amp;"",SERVER!$B$3:$B$1009&amp;"",SERVER!$H$3:$H$1009,""),""),IF(TRIM(_xlpm.srcCat)&lt;&gt;TRIM($J532),"",_xlfn.SWITCH($I532,"Computer",_xlfn.XLOOKUP($K532&amp;"",COMPUTER!$B$3:$B$1009&amp;"",COMPUTER!$K$3:$K$1009,""),"Display",_xlfn.XLOOKUP($K532&amp;"",DISPLAY!$B$3:$B$1000&amp;"",DISPLAY!$L$3:$L$1000,""),"Network Device",_xlfn.XLOOKUP($K532&amp;"",'NETWORK-DEVICES'!$B$3:$B$987&amp;"",'NETWORK-DEVICES'!$K$3:$K$987,""),"Peripheral",_xlfn.XLOOKUP($K532&amp;"",PERIPHERAL!$B$3:$B$954&amp;"",PERIPHERAL!$K$3:$K$954,""),"Utilities",_xlfn.XLOOKUP($K532&amp;"",UTILITIES!$B$3:$B$953&amp;"",UTILITIES!$J$3:$J$953,""),"IOT",_xlfn.XLOOKUP($K532&amp;"",IOT!$B$3:$B$1012&amp;"",IOT!$K$4:$K$1012,""),"Server",_xlfn.XLOOKUP($K532&amp;"",SERVER!$B$3:$B$1009&amp;"",SERVER!$K$3:$K$1009,""),""))))</f>
        <v/>
      </c>
      <c r="O532" s="1" t="str" cm="1">
        <f t="array" ref="O532">IF(OR($K532="",$I532="",$J532=""),"",_xlfn.LET(_xlpm.srcCat,_xlfn.SWITCH($I532,"Computer",_xlfn.XLOOKUP($K532&amp;"",COMPUTER!$B$3:$B$1009&amp;"",COMPUTER!$H$3:$H$1009,""),"Display",_xlfn.XLOOKUP($K532&amp;"",DISPLAY!$B$3:$B$1000&amp;"",DISPLAY!$H$3:$H$1000,""),"Network Device",_xlfn.XLOOKUP($K532&amp;"",'NETWORK-DEVICES'!$B$3:$B$987&amp;"",'NETWORK-DEVICES'!$H$3:$H$987,""),"Peripheral",_xlfn.XLOOKUP($K532&amp;"",PERIPHERAL!$B$3:$B$954&amp;"",PERIPHERAL!$H$3:$H$954,""),"Utilities",_xlfn.XLOOKUP($K532&amp;"",UTILITIES!$B$3:$B$953&amp;"",UTILITIES!$G$3:$G$953,""),"IOT",_xlfn.XLOOKUP($K532&amp;"",IOT!$B$3:$B$1012&amp;"",IOT!$H$3:$H$1012,""),"Server",_xlfn.XLOOKUP($K532&amp;"",SERVER!$B$3:$B$1009&amp;"",SERVER!$H$3:$H$1009,""),""),IF(TRIM(_xlpm.srcCat)&lt;&gt;TRIM($J532),"",_xlfn.SWITCH($I532,"Computer",_xlfn.XLOOKUP($K532&amp;"",COMPUTER!$B$3:$B$1009&amp;"",COMPUTER!$E$3:$E$1009,""),"Display",_xlfn.XLOOKUP($K532&amp;"",DISPLAY!$B$3:$B$1000&amp;"",DISPLAY!$E$3:$E$1000,""),"Network Device",_xlfn.XLOOKUP($K532&amp;"",'NETWORK-DEVICES'!$B$3:$B$987&amp;"",'NETWORK-DEVICES'!$E$3:$E$987,""),"Peripheral",_xlfn.XLOOKUP($K532&amp;"",PERIPHERAL!$B$3:$B$954&amp;"",PERIPHERAL!$E$3:$E$954,""),"Utilities",_xlfn.XLOOKUP($K532&amp;"",UTILITIES!$B$3:$B$953&amp;"",UTILITIES!$E$3:$E$953,""),"IOT",_xlfn.XLOOKUP($K532&amp;"",IOT!$B$3:$B$1012&amp;"",IOT!$E$3:$E$1012,""),"Server",_xlfn.XLOOKUP($K532&amp;"",SERVER!$B$3:$B$1009&amp;"",SERVER!$E$3:$E$1009,""),""))))</f>
        <v/>
      </c>
      <c r="Q532" s="1" t="str" cm="1">
        <f t="array" ref="Q532">IF(OR($K532="",$I532="",$J532=""),"",_xlfn.LET(_xlpm.srcCat,_xlfn.SWITCH($I532,"Computer",_xlfn.XLOOKUP($K532&amp;"",COMPUTER!$B$3:$B$1009&amp;"",COMPUTER!$H$3:$H$1009,""),"Display",_xlfn.XLOOKUP($K532&amp;"",DISPLAY!$B$3:$B$1000&amp;"",DISPLAY!$H$3:$H$1000,""),"Network Device",_xlfn.XLOOKUP($K532&amp;"",'NETWORK-DEVICES'!$B$3:$B$987&amp;"",'NETWORK-DEVICES'!$H$3:$H$987,""),"Peripheral",_xlfn.XLOOKUP($K532&amp;"",PERIPHERAL!$B$3:$B$954&amp;"",PERIPHERAL!$H$3:$H$954,""),"Utilities",_xlfn.XLOOKUP($K532&amp;"",UTILITIES!$B$3:$B$953&amp;"",UTILITIES!$G$3:$G$953,""),"IOT",_xlfn.XLOOKUP($K532&amp;"",IOT!$B$3:$B$1012&amp;"",IOT!$H$3:$H$1012,""),"Server",_xlfn.XLOOKUP($K532&amp;"",SERVER!$B$3:$B$1009&amp;"",SERVER!$H$3:$H$1009,""),""),IF(TRIM(_xlpm.srcCat)&lt;&gt;TRIM($J532),"",_xlfn.SWITCH($I532,"Computer",_xlfn.XLOOKUP($K532&amp;"",COMPUTER!$B$3:$B$1009&amp;"",COMPUTER!$AM$3:$AM$1009,""),"Display",_xlfn.XLOOKUP($K532&amp;"",DISPLAY!$B$3:$B$1000&amp;"",DISPLAY!$V$3:$V$1000,""),"Network Device",_xlfn.XLOOKUP($K532&amp;"",'NETWORK-DEVICES'!$B$3:$B$987&amp;"",'NETWORK-DEVICES'!$AF$3:$AF$987,""),"Peripheral",_xlfn.XLOOKUP($K532&amp;"",PERIPHERAL!$B$3:$B$954&amp;"",PERIPHERAL!$Y$3:$Y$954,""),"Utilities",_xlfn.XLOOKUP($K532&amp;"",UTILITIES!$B$3:$B$953&amp;"",UTILITIES!$O$3:$O$953,""),"IOT",_xlfn.XLOOKUP($K532&amp;"",IOT!$B$3:$B$1012&amp;"",IOT!$AB$3:$AB$1012,""),"Server",_xlfn.XLOOKUP($K532&amp;"",SERVER!$B$3:$B$1009&amp;"",SERVER!$AB$3:$AB$1009,""),""))))</f>
        <v/>
      </c>
      <c r="R532" s="43" t="str">
        <f>IF(tbl_handover[[#This Row],[Asset Code]]="","",COUNTIF(tbl_handover[Asset Code],tbl_handover[[#This Row],[Asset Code]]))</f>
        <v/>
      </c>
    </row>
    <row r="533" spans="1:18" x14ac:dyDescent="0.25">
      <c r="A533" s="43" t="str">
        <f>IF(B533&lt;&gt;"",SUBTOTAL(3,$B$1:B532),"")</f>
        <v/>
      </c>
      <c r="C533" s="74"/>
      <c r="D533" s="74"/>
      <c r="G533" s="1"/>
      <c r="K533" s="42"/>
      <c r="L533" t="str" cm="1">
        <f t="array" ref="L533">IF($K533="","",_xlfn.SWITCH($I533,"Computer",_xlfn.XLOOKUP($K533&amp;"",COMPUTER!$B$3:$B$1009&amp;"",COMPUTER!$I$3:$I$1009,""),"Display",_xlfn.XLOOKUP($K533&amp;"",DISPLAY!$B$3:$B$1000&amp;"",DISPLAY!$J$3:$J$1000,""),"Network Device",_xlfn.XLOOKUP($K533&amp;"",'NETWORK-DEVICES'!$B$3:$B$987&amp;"",'NETWORK-DEVICES'!$I$3:$I$987,""),"Peripheral",_xlfn.XLOOKUP($K533&amp;"",PERIPHERAL!$B$3:$B$954&amp;"",PERIPHERAL!$I$3:$I$954,""),"Utilities",_xlfn.XLOOKUP($K533&amp;"",UTILITIES!$B$3:$B$953&amp;"",UTILITIES!$H$3:$H$953,""),"IOT",_xlfn.XLOOKUP($K533&amp;"",IOT!$B$3:$B$1012&amp;"",IOT!$I$3:$I$1012,""),"SERVER",_xlfn.XLOOKUP($K533&amp;"",SERVER!$B$3:$B$1009&amp;"",SERVER!$I$3:$I$1009,""),""))</f>
        <v/>
      </c>
      <c r="M533" t="str" cm="1">
        <f t="array" ref="M533">IF($K533="","",_xlfn.SWITCH($I533,"Computer",_xlfn.XLOOKUP($K533&amp;"",COMPUTER!$B$3:$B$1009&amp;"",COMPUTER!$J$3:$J$1009,""),"Display",_xlfn.XLOOKUP($K533&amp;"",DISPLAY!$B$3:$B$1000&amp;"",DISPLAY!$K$3:$K$1000,""),"Network Device",_xlfn.XLOOKUP($K533&amp;"",'NETWORK-DEVICES'!$B$3:$B$987&amp;"",'NETWORK-DEVICES'!$I$3:$I$987,""),"Peripheral",_xlfn.XLOOKUP($K533&amp;"",PERIPHERAL!$B$3:$B$954&amp;"",PERIPHERAL!$J$3:$J$954,""),"Utilities",_xlfn.XLOOKUP($K533&amp;"",UTILITIES!$B$3:$B$953&amp;"",UTILITIES!$I$3:$I$953,""),"IOT",_xlfn.XLOOKUP($K533&amp;"",IOT!$B$3:$B$1012&amp;"",IOT!$J$3:$J$1012,""),"Server",_xlfn.XLOOKUP($K533&amp;"",SERVER!$B$3:$B$1009&amp;"",SERVER!$J$3:$J$1009,""),""))</f>
        <v/>
      </c>
      <c r="N533" s="1" t="str" cm="1">
        <f t="array" ref="N533">IF(OR($K533="",$I533="",$J533=""),"",_xlfn.LET(_xlpm.srcCat,_xlfn.SWITCH($I533,"Computer",_xlfn.XLOOKUP($K533&amp;"",COMPUTER!$B$3:$B$1009&amp;"",COMPUTER!$H$3:$H$1009,""),"Display",_xlfn.XLOOKUP($K533&amp;"",DISPLAY!$B$3:$B$1000&amp;"",DISPLAY!$H$3:$H$1000,""),"Network Device",_xlfn.XLOOKUP($K533&amp;"",'NETWORK-DEVICES'!$B$3:$B$987&amp;"",'NETWORK-DEVICES'!$H$3:$H$987,""),"Peripheral",_xlfn.XLOOKUP($K533&amp;"",PERIPHERAL!$B$3:$B$954&amp;"",PERIPHERAL!$H$3:$H$954,""),"Utilities",_xlfn.XLOOKUP($K533&amp;"",UTILITIES!$B$3:$B$953&amp;"",UTILITIES!$G$3:$G$953,""),"IOT",_xlfn.XLOOKUP($K533&amp;"",IOT!$B$3:$B$1012&amp;"",IOT!$H$3:$H$1012,""),"Server",_xlfn.XLOOKUP($K533&amp;"",SERVER!$B$3:$B$1009&amp;"",SERVER!$H$3:$H$1009,""),""),IF(TRIM(_xlpm.srcCat)&lt;&gt;TRIM($J533),"",_xlfn.SWITCH($I533,"Computer",_xlfn.XLOOKUP($K533&amp;"",COMPUTER!$B$3:$B$1009&amp;"",COMPUTER!$K$3:$K$1009,""),"Display",_xlfn.XLOOKUP($K533&amp;"",DISPLAY!$B$3:$B$1000&amp;"",DISPLAY!$L$3:$L$1000,""),"Network Device",_xlfn.XLOOKUP($K533&amp;"",'NETWORK-DEVICES'!$B$3:$B$987&amp;"",'NETWORK-DEVICES'!$K$3:$K$987,""),"Peripheral",_xlfn.XLOOKUP($K533&amp;"",PERIPHERAL!$B$3:$B$954&amp;"",PERIPHERAL!$K$3:$K$954,""),"Utilities",_xlfn.XLOOKUP($K533&amp;"",UTILITIES!$B$3:$B$953&amp;"",UTILITIES!$J$3:$J$953,""),"IOT",_xlfn.XLOOKUP($K533&amp;"",IOT!$B$3:$B$1012&amp;"",IOT!$K$4:$K$1012,""),"Server",_xlfn.XLOOKUP($K533&amp;"",SERVER!$B$3:$B$1009&amp;"",SERVER!$K$3:$K$1009,""),""))))</f>
        <v/>
      </c>
      <c r="O533" s="1" t="str" cm="1">
        <f t="array" ref="O533">IF(OR($K533="",$I533="",$J533=""),"",_xlfn.LET(_xlpm.srcCat,_xlfn.SWITCH($I533,"Computer",_xlfn.XLOOKUP($K533&amp;"",COMPUTER!$B$3:$B$1009&amp;"",COMPUTER!$H$3:$H$1009,""),"Display",_xlfn.XLOOKUP($K533&amp;"",DISPLAY!$B$3:$B$1000&amp;"",DISPLAY!$H$3:$H$1000,""),"Network Device",_xlfn.XLOOKUP($K533&amp;"",'NETWORK-DEVICES'!$B$3:$B$987&amp;"",'NETWORK-DEVICES'!$H$3:$H$987,""),"Peripheral",_xlfn.XLOOKUP($K533&amp;"",PERIPHERAL!$B$3:$B$954&amp;"",PERIPHERAL!$H$3:$H$954,""),"Utilities",_xlfn.XLOOKUP($K533&amp;"",UTILITIES!$B$3:$B$953&amp;"",UTILITIES!$G$3:$G$953,""),"IOT",_xlfn.XLOOKUP($K533&amp;"",IOT!$B$3:$B$1012&amp;"",IOT!$H$3:$H$1012,""),"Server",_xlfn.XLOOKUP($K533&amp;"",SERVER!$B$3:$B$1009&amp;"",SERVER!$H$3:$H$1009,""),""),IF(TRIM(_xlpm.srcCat)&lt;&gt;TRIM($J533),"",_xlfn.SWITCH($I533,"Computer",_xlfn.XLOOKUP($K533&amp;"",COMPUTER!$B$3:$B$1009&amp;"",COMPUTER!$E$3:$E$1009,""),"Display",_xlfn.XLOOKUP($K533&amp;"",DISPLAY!$B$3:$B$1000&amp;"",DISPLAY!$E$3:$E$1000,""),"Network Device",_xlfn.XLOOKUP($K533&amp;"",'NETWORK-DEVICES'!$B$3:$B$987&amp;"",'NETWORK-DEVICES'!$E$3:$E$987,""),"Peripheral",_xlfn.XLOOKUP($K533&amp;"",PERIPHERAL!$B$3:$B$954&amp;"",PERIPHERAL!$E$3:$E$954,""),"Utilities",_xlfn.XLOOKUP($K533&amp;"",UTILITIES!$B$3:$B$953&amp;"",UTILITIES!$E$3:$E$953,""),"IOT",_xlfn.XLOOKUP($K533&amp;"",IOT!$B$3:$B$1012&amp;"",IOT!$E$3:$E$1012,""),"Server",_xlfn.XLOOKUP($K533&amp;"",SERVER!$B$3:$B$1009&amp;"",SERVER!$E$3:$E$1009,""),""))))</f>
        <v/>
      </c>
      <c r="Q533" s="1" t="str" cm="1">
        <f t="array" ref="Q533">IF(OR($K533="",$I533="",$J533=""),"",_xlfn.LET(_xlpm.srcCat,_xlfn.SWITCH($I533,"Computer",_xlfn.XLOOKUP($K533&amp;"",COMPUTER!$B$3:$B$1009&amp;"",COMPUTER!$H$3:$H$1009,""),"Display",_xlfn.XLOOKUP($K533&amp;"",DISPLAY!$B$3:$B$1000&amp;"",DISPLAY!$H$3:$H$1000,""),"Network Device",_xlfn.XLOOKUP($K533&amp;"",'NETWORK-DEVICES'!$B$3:$B$987&amp;"",'NETWORK-DEVICES'!$H$3:$H$987,""),"Peripheral",_xlfn.XLOOKUP($K533&amp;"",PERIPHERAL!$B$3:$B$954&amp;"",PERIPHERAL!$H$3:$H$954,""),"Utilities",_xlfn.XLOOKUP($K533&amp;"",UTILITIES!$B$3:$B$953&amp;"",UTILITIES!$G$3:$G$953,""),"IOT",_xlfn.XLOOKUP($K533&amp;"",IOT!$B$3:$B$1012&amp;"",IOT!$H$3:$H$1012,""),"Server",_xlfn.XLOOKUP($K533&amp;"",SERVER!$B$3:$B$1009&amp;"",SERVER!$H$3:$H$1009,""),""),IF(TRIM(_xlpm.srcCat)&lt;&gt;TRIM($J533),"",_xlfn.SWITCH($I533,"Computer",_xlfn.XLOOKUP($K533&amp;"",COMPUTER!$B$3:$B$1009&amp;"",COMPUTER!$AM$3:$AM$1009,""),"Display",_xlfn.XLOOKUP($K533&amp;"",DISPLAY!$B$3:$B$1000&amp;"",DISPLAY!$V$3:$V$1000,""),"Network Device",_xlfn.XLOOKUP($K533&amp;"",'NETWORK-DEVICES'!$B$3:$B$987&amp;"",'NETWORK-DEVICES'!$AF$3:$AF$987,""),"Peripheral",_xlfn.XLOOKUP($K533&amp;"",PERIPHERAL!$B$3:$B$954&amp;"",PERIPHERAL!$Y$3:$Y$954,""),"Utilities",_xlfn.XLOOKUP($K533&amp;"",UTILITIES!$B$3:$B$953&amp;"",UTILITIES!$O$3:$O$953,""),"IOT",_xlfn.XLOOKUP($K533&amp;"",IOT!$B$3:$B$1012&amp;"",IOT!$AB$3:$AB$1012,""),"Server",_xlfn.XLOOKUP($K533&amp;"",SERVER!$B$3:$B$1009&amp;"",SERVER!$AB$3:$AB$1009,""),""))))</f>
        <v/>
      </c>
      <c r="R533" s="43" t="str">
        <f>IF(tbl_handover[[#This Row],[Asset Code]]="","",COUNTIF(tbl_handover[Asset Code],tbl_handover[[#This Row],[Asset Code]]))</f>
        <v/>
      </c>
    </row>
    <row r="534" spans="1:18" x14ac:dyDescent="0.25">
      <c r="A534" s="43" t="str">
        <f>IF(B534&lt;&gt;"",SUBTOTAL(3,$B$1:B533),"")</f>
        <v/>
      </c>
      <c r="C534" s="74"/>
      <c r="D534" s="74"/>
      <c r="G534" s="1"/>
      <c r="K534" s="42"/>
      <c r="L534" t="str" cm="1">
        <f t="array" ref="L534">IF($K534="","",_xlfn.SWITCH($I534,"Computer",_xlfn.XLOOKUP($K534&amp;"",COMPUTER!$B$3:$B$1009&amp;"",COMPUTER!$I$3:$I$1009,""),"Display",_xlfn.XLOOKUP($K534&amp;"",DISPLAY!$B$3:$B$1000&amp;"",DISPLAY!$J$3:$J$1000,""),"Network Device",_xlfn.XLOOKUP($K534&amp;"",'NETWORK-DEVICES'!$B$3:$B$987&amp;"",'NETWORK-DEVICES'!$I$3:$I$987,""),"Peripheral",_xlfn.XLOOKUP($K534&amp;"",PERIPHERAL!$B$3:$B$954&amp;"",PERIPHERAL!$I$3:$I$954,""),"Utilities",_xlfn.XLOOKUP($K534&amp;"",UTILITIES!$B$3:$B$953&amp;"",UTILITIES!$H$3:$H$953,""),"IOT",_xlfn.XLOOKUP($K534&amp;"",IOT!$B$3:$B$1012&amp;"",IOT!$I$3:$I$1012,""),"SERVER",_xlfn.XLOOKUP($K534&amp;"",SERVER!$B$3:$B$1009&amp;"",SERVER!$I$3:$I$1009,""),""))</f>
        <v/>
      </c>
      <c r="M534" t="str" cm="1">
        <f t="array" ref="M534">IF($K534="","",_xlfn.SWITCH($I534,"Computer",_xlfn.XLOOKUP($K534&amp;"",COMPUTER!$B$3:$B$1009&amp;"",COMPUTER!$J$3:$J$1009,""),"Display",_xlfn.XLOOKUP($K534&amp;"",DISPLAY!$B$3:$B$1000&amp;"",DISPLAY!$K$3:$K$1000,""),"Network Device",_xlfn.XLOOKUP($K534&amp;"",'NETWORK-DEVICES'!$B$3:$B$987&amp;"",'NETWORK-DEVICES'!$I$3:$I$987,""),"Peripheral",_xlfn.XLOOKUP($K534&amp;"",PERIPHERAL!$B$3:$B$954&amp;"",PERIPHERAL!$J$3:$J$954,""),"Utilities",_xlfn.XLOOKUP($K534&amp;"",UTILITIES!$B$3:$B$953&amp;"",UTILITIES!$I$3:$I$953,""),"IOT",_xlfn.XLOOKUP($K534&amp;"",IOT!$B$3:$B$1012&amp;"",IOT!$J$3:$J$1012,""),"Server",_xlfn.XLOOKUP($K534&amp;"",SERVER!$B$3:$B$1009&amp;"",SERVER!$J$3:$J$1009,""),""))</f>
        <v/>
      </c>
      <c r="N534" s="1" t="str" cm="1">
        <f t="array" ref="N534">IF(OR($K534="",$I534="",$J534=""),"",_xlfn.LET(_xlpm.srcCat,_xlfn.SWITCH($I534,"Computer",_xlfn.XLOOKUP($K534&amp;"",COMPUTER!$B$3:$B$1009&amp;"",COMPUTER!$H$3:$H$1009,""),"Display",_xlfn.XLOOKUP($K534&amp;"",DISPLAY!$B$3:$B$1000&amp;"",DISPLAY!$H$3:$H$1000,""),"Network Device",_xlfn.XLOOKUP($K534&amp;"",'NETWORK-DEVICES'!$B$3:$B$987&amp;"",'NETWORK-DEVICES'!$H$3:$H$987,""),"Peripheral",_xlfn.XLOOKUP($K534&amp;"",PERIPHERAL!$B$3:$B$954&amp;"",PERIPHERAL!$H$3:$H$954,""),"Utilities",_xlfn.XLOOKUP($K534&amp;"",UTILITIES!$B$3:$B$953&amp;"",UTILITIES!$G$3:$G$953,""),"IOT",_xlfn.XLOOKUP($K534&amp;"",IOT!$B$3:$B$1012&amp;"",IOT!$H$3:$H$1012,""),"Server",_xlfn.XLOOKUP($K534&amp;"",SERVER!$B$3:$B$1009&amp;"",SERVER!$H$3:$H$1009,""),""),IF(TRIM(_xlpm.srcCat)&lt;&gt;TRIM($J534),"",_xlfn.SWITCH($I534,"Computer",_xlfn.XLOOKUP($K534&amp;"",COMPUTER!$B$3:$B$1009&amp;"",COMPUTER!$K$3:$K$1009,""),"Display",_xlfn.XLOOKUP($K534&amp;"",DISPLAY!$B$3:$B$1000&amp;"",DISPLAY!$L$3:$L$1000,""),"Network Device",_xlfn.XLOOKUP($K534&amp;"",'NETWORK-DEVICES'!$B$3:$B$987&amp;"",'NETWORK-DEVICES'!$K$3:$K$987,""),"Peripheral",_xlfn.XLOOKUP($K534&amp;"",PERIPHERAL!$B$3:$B$954&amp;"",PERIPHERAL!$K$3:$K$954,""),"Utilities",_xlfn.XLOOKUP($K534&amp;"",UTILITIES!$B$3:$B$953&amp;"",UTILITIES!$J$3:$J$953,""),"IOT",_xlfn.XLOOKUP($K534&amp;"",IOT!$B$3:$B$1012&amp;"",IOT!$K$4:$K$1012,""),"Server",_xlfn.XLOOKUP($K534&amp;"",SERVER!$B$3:$B$1009&amp;"",SERVER!$K$3:$K$1009,""),""))))</f>
        <v/>
      </c>
      <c r="O534" s="1" t="str" cm="1">
        <f t="array" ref="O534">IF(OR($K534="",$I534="",$J534=""),"",_xlfn.LET(_xlpm.srcCat,_xlfn.SWITCH($I534,"Computer",_xlfn.XLOOKUP($K534&amp;"",COMPUTER!$B$3:$B$1009&amp;"",COMPUTER!$H$3:$H$1009,""),"Display",_xlfn.XLOOKUP($K534&amp;"",DISPLAY!$B$3:$B$1000&amp;"",DISPLAY!$H$3:$H$1000,""),"Network Device",_xlfn.XLOOKUP($K534&amp;"",'NETWORK-DEVICES'!$B$3:$B$987&amp;"",'NETWORK-DEVICES'!$H$3:$H$987,""),"Peripheral",_xlfn.XLOOKUP($K534&amp;"",PERIPHERAL!$B$3:$B$954&amp;"",PERIPHERAL!$H$3:$H$954,""),"Utilities",_xlfn.XLOOKUP($K534&amp;"",UTILITIES!$B$3:$B$953&amp;"",UTILITIES!$G$3:$G$953,""),"IOT",_xlfn.XLOOKUP($K534&amp;"",IOT!$B$3:$B$1012&amp;"",IOT!$H$3:$H$1012,""),"Server",_xlfn.XLOOKUP($K534&amp;"",SERVER!$B$3:$B$1009&amp;"",SERVER!$H$3:$H$1009,""),""),IF(TRIM(_xlpm.srcCat)&lt;&gt;TRIM($J534),"",_xlfn.SWITCH($I534,"Computer",_xlfn.XLOOKUP($K534&amp;"",COMPUTER!$B$3:$B$1009&amp;"",COMPUTER!$E$3:$E$1009,""),"Display",_xlfn.XLOOKUP($K534&amp;"",DISPLAY!$B$3:$B$1000&amp;"",DISPLAY!$E$3:$E$1000,""),"Network Device",_xlfn.XLOOKUP($K534&amp;"",'NETWORK-DEVICES'!$B$3:$B$987&amp;"",'NETWORK-DEVICES'!$E$3:$E$987,""),"Peripheral",_xlfn.XLOOKUP($K534&amp;"",PERIPHERAL!$B$3:$B$954&amp;"",PERIPHERAL!$E$3:$E$954,""),"Utilities",_xlfn.XLOOKUP($K534&amp;"",UTILITIES!$B$3:$B$953&amp;"",UTILITIES!$E$3:$E$953,""),"IOT",_xlfn.XLOOKUP($K534&amp;"",IOT!$B$3:$B$1012&amp;"",IOT!$E$3:$E$1012,""),"Server",_xlfn.XLOOKUP($K534&amp;"",SERVER!$B$3:$B$1009&amp;"",SERVER!$E$3:$E$1009,""),""))))</f>
        <v/>
      </c>
      <c r="Q534" s="1" t="str" cm="1">
        <f t="array" ref="Q534">IF(OR($K534="",$I534="",$J534=""),"",_xlfn.LET(_xlpm.srcCat,_xlfn.SWITCH($I534,"Computer",_xlfn.XLOOKUP($K534&amp;"",COMPUTER!$B$3:$B$1009&amp;"",COMPUTER!$H$3:$H$1009,""),"Display",_xlfn.XLOOKUP($K534&amp;"",DISPLAY!$B$3:$B$1000&amp;"",DISPLAY!$H$3:$H$1000,""),"Network Device",_xlfn.XLOOKUP($K534&amp;"",'NETWORK-DEVICES'!$B$3:$B$987&amp;"",'NETWORK-DEVICES'!$H$3:$H$987,""),"Peripheral",_xlfn.XLOOKUP($K534&amp;"",PERIPHERAL!$B$3:$B$954&amp;"",PERIPHERAL!$H$3:$H$954,""),"Utilities",_xlfn.XLOOKUP($K534&amp;"",UTILITIES!$B$3:$B$953&amp;"",UTILITIES!$G$3:$G$953,""),"IOT",_xlfn.XLOOKUP($K534&amp;"",IOT!$B$3:$B$1012&amp;"",IOT!$H$3:$H$1012,""),"Server",_xlfn.XLOOKUP($K534&amp;"",SERVER!$B$3:$B$1009&amp;"",SERVER!$H$3:$H$1009,""),""),IF(TRIM(_xlpm.srcCat)&lt;&gt;TRIM($J534),"",_xlfn.SWITCH($I534,"Computer",_xlfn.XLOOKUP($K534&amp;"",COMPUTER!$B$3:$B$1009&amp;"",COMPUTER!$AM$3:$AM$1009,""),"Display",_xlfn.XLOOKUP($K534&amp;"",DISPLAY!$B$3:$B$1000&amp;"",DISPLAY!$V$3:$V$1000,""),"Network Device",_xlfn.XLOOKUP($K534&amp;"",'NETWORK-DEVICES'!$B$3:$B$987&amp;"",'NETWORK-DEVICES'!$AF$3:$AF$987,""),"Peripheral",_xlfn.XLOOKUP($K534&amp;"",PERIPHERAL!$B$3:$B$954&amp;"",PERIPHERAL!$Y$3:$Y$954,""),"Utilities",_xlfn.XLOOKUP($K534&amp;"",UTILITIES!$B$3:$B$953&amp;"",UTILITIES!$O$3:$O$953,""),"IOT",_xlfn.XLOOKUP($K534&amp;"",IOT!$B$3:$B$1012&amp;"",IOT!$AB$3:$AB$1012,""),"Server",_xlfn.XLOOKUP($K534&amp;"",SERVER!$B$3:$B$1009&amp;"",SERVER!$AB$3:$AB$1009,""),""))))</f>
        <v/>
      </c>
      <c r="R534" s="43" t="str">
        <f>IF(tbl_handover[[#This Row],[Asset Code]]="","",COUNTIF(tbl_handover[Asset Code],tbl_handover[[#This Row],[Asset Code]]))</f>
        <v/>
      </c>
    </row>
    <row r="535" spans="1:18" x14ac:dyDescent="0.25">
      <c r="A535" s="43" t="str">
        <f>IF(B535&lt;&gt;"",SUBTOTAL(3,$B$1:B534),"")</f>
        <v/>
      </c>
      <c r="C535" s="74"/>
      <c r="D535" s="74"/>
      <c r="G535" s="1"/>
      <c r="K535" s="42"/>
      <c r="L535" t="str" cm="1">
        <f t="array" ref="L535">IF($K535="","",_xlfn.SWITCH($I535,"Computer",_xlfn.XLOOKUP($K535&amp;"",COMPUTER!$B$3:$B$1009&amp;"",COMPUTER!$I$3:$I$1009,""),"Display",_xlfn.XLOOKUP($K535&amp;"",DISPLAY!$B$3:$B$1000&amp;"",DISPLAY!$J$3:$J$1000,""),"Network Device",_xlfn.XLOOKUP($K535&amp;"",'NETWORK-DEVICES'!$B$3:$B$987&amp;"",'NETWORK-DEVICES'!$I$3:$I$987,""),"Peripheral",_xlfn.XLOOKUP($K535&amp;"",PERIPHERAL!$B$3:$B$954&amp;"",PERIPHERAL!$I$3:$I$954,""),"Utilities",_xlfn.XLOOKUP($K535&amp;"",UTILITIES!$B$3:$B$953&amp;"",UTILITIES!$H$3:$H$953,""),"IOT",_xlfn.XLOOKUP($K535&amp;"",IOT!$B$3:$B$1012&amp;"",IOT!$I$3:$I$1012,""),"SERVER",_xlfn.XLOOKUP($K535&amp;"",SERVER!$B$3:$B$1009&amp;"",SERVER!$I$3:$I$1009,""),""))</f>
        <v/>
      </c>
      <c r="M535" t="str" cm="1">
        <f t="array" ref="M535">IF($K535="","",_xlfn.SWITCH($I535,"Computer",_xlfn.XLOOKUP($K535&amp;"",COMPUTER!$B$3:$B$1009&amp;"",COMPUTER!$J$3:$J$1009,""),"Display",_xlfn.XLOOKUP($K535&amp;"",DISPLAY!$B$3:$B$1000&amp;"",DISPLAY!$K$3:$K$1000,""),"Network Device",_xlfn.XLOOKUP($K535&amp;"",'NETWORK-DEVICES'!$B$3:$B$987&amp;"",'NETWORK-DEVICES'!$I$3:$I$987,""),"Peripheral",_xlfn.XLOOKUP($K535&amp;"",PERIPHERAL!$B$3:$B$954&amp;"",PERIPHERAL!$J$3:$J$954,""),"Utilities",_xlfn.XLOOKUP($K535&amp;"",UTILITIES!$B$3:$B$953&amp;"",UTILITIES!$I$3:$I$953,""),"IOT",_xlfn.XLOOKUP($K535&amp;"",IOT!$B$3:$B$1012&amp;"",IOT!$J$3:$J$1012,""),"Server",_xlfn.XLOOKUP($K535&amp;"",SERVER!$B$3:$B$1009&amp;"",SERVER!$J$3:$J$1009,""),""))</f>
        <v/>
      </c>
      <c r="N535" s="1" t="str" cm="1">
        <f t="array" ref="N535">IF(OR($K535="",$I535="",$J535=""),"",_xlfn.LET(_xlpm.srcCat,_xlfn.SWITCH($I535,"Computer",_xlfn.XLOOKUP($K535&amp;"",COMPUTER!$B$3:$B$1009&amp;"",COMPUTER!$H$3:$H$1009,""),"Display",_xlfn.XLOOKUP($K535&amp;"",DISPLAY!$B$3:$B$1000&amp;"",DISPLAY!$H$3:$H$1000,""),"Network Device",_xlfn.XLOOKUP($K535&amp;"",'NETWORK-DEVICES'!$B$3:$B$987&amp;"",'NETWORK-DEVICES'!$H$3:$H$987,""),"Peripheral",_xlfn.XLOOKUP($K535&amp;"",PERIPHERAL!$B$3:$B$954&amp;"",PERIPHERAL!$H$3:$H$954,""),"Utilities",_xlfn.XLOOKUP($K535&amp;"",UTILITIES!$B$3:$B$953&amp;"",UTILITIES!$G$3:$G$953,""),"IOT",_xlfn.XLOOKUP($K535&amp;"",IOT!$B$3:$B$1012&amp;"",IOT!$H$3:$H$1012,""),"Server",_xlfn.XLOOKUP($K535&amp;"",SERVER!$B$3:$B$1009&amp;"",SERVER!$H$3:$H$1009,""),""),IF(TRIM(_xlpm.srcCat)&lt;&gt;TRIM($J535),"",_xlfn.SWITCH($I535,"Computer",_xlfn.XLOOKUP($K535&amp;"",COMPUTER!$B$3:$B$1009&amp;"",COMPUTER!$K$3:$K$1009,""),"Display",_xlfn.XLOOKUP($K535&amp;"",DISPLAY!$B$3:$B$1000&amp;"",DISPLAY!$L$3:$L$1000,""),"Network Device",_xlfn.XLOOKUP($K535&amp;"",'NETWORK-DEVICES'!$B$3:$B$987&amp;"",'NETWORK-DEVICES'!$K$3:$K$987,""),"Peripheral",_xlfn.XLOOKUP($K535&amp;"",PERIPHERAL!$B$3:$B$954&amp;"",PERIPHERAL!$K$3:$K$954,""),"Utilities",_xlfn.XLOOKUP($K535&amp;"",UTILITIES!$B$3:$B$953&amp;"",UTILITIES!$J$3:$J$953,""),"IOT",_xlfn.XLOOKUP($K535&amp;"",IOT!$B$3:$B$1012&amp;"",IOT!$K$4:$K$1012,""),"Server",_xlfn.XLOOKUP($K535&amp;"",SERVER!$B$3:$B$1009&amp;"",SERVER!$K$3:$K$1009,""),""))))</f>
        <v/>
      </c>
      <c r="O535" s="1" t="str" cm="1">
        <f t="array" ref="O535">IF(OR($K535="",$I535="",$J535=""),"",_xlfn.LET(_xlpm.srcCat,_xlfn.SWITCH($I535,"Computer",_xlfn.XLOOKUP($K535&amp;"",COMPUTER!$B$3:$B$1009&amp;"",COMPUTER!$H$3:$H$1009,""),"Display",_xlfn.XLOOKUP($K535&amp;"",DISPLAY!$B$3:$B$1000&amp;"",DISPLAY!$H$3:$H$1000,""),"Network Device",_xlfn.XLOOKUP($K535&amp;"",'NETWORK-DEVICES'!$B$3:$B$987&amp;"",'NETWORK-DEVICES'!$H$3:$H$987,""),"Peripheral",_xlfn.XLOOKUP($K535&amp;"",PERIPHERAL!$B$3:$B$954&amp;"",PERIPHERAL!$H$3:$H$954,""),"Utilities",_xlfn.XLOOKUP($K535&amp;"",UTILITIES!$B$3:$B$953&amp;"",UTILITIES!$G$3:$G$953,""),"IOT",_xlfn.XLOOKUP($K535&amp;"",IOT!$B$3:$B$1012&amp;"",IOT!$H$3:$H$1012,""),"Server",_xlfn.XLOOKUP($K535&amp;"",SERVER!$B$3:$B$1009&amp;"",SERVER!$H$3:$H$1009,""),""),IF(TRIM(_xlpm.srcCat)&lt;&gt;TRIM($J535),"",_xlfn.SWITCH($I535,"Computer",_xlfn.XLOOKUP($K535&amp;"",COMPUTER!$B$3:$B$1009&amp;"",COMPUTER!$E$3:$E$1009,""),"Display",_xlfn.XLOOKUP($K535&amp;"",DISPLAY!$B$3:$B$1000&amp;"",DISPLAY!$E$3:$E$1000,""),"Network Device",_xlfn.XLOOKUP($K535&amp;"",'NETWORK-DEVICES'!$B$3:$B$987&amp;"",'NETWORK-DEVICES'!$E$3:$E$987,""),"Peripheral",_xlfn.XLOOKUP($K535&amp;"",PERIPHERAL!$B$3:$B$954&amp;"",PERIPHERAL!$E$3:$E$954,""),"Utilities",_xlfn.XLOOKUP($K535&amp;"",UTILITIES!$B$3:$B$953&amp;"",UTILITIES!$E$3:$E$953,""),"IOT",_xlfn.XLOOKUP($K535&amp;"",IOT!$B$3:$B$1012&amp;"",IOT!$E$3:$E$1012,""),"Server",_xlfn.XLOOKUP($K535&amp;"",SERVER!$B$3:$B$1009&amp;"",SERVER!$E$3:$E$1009,""),""))))</f>
        <v/>
      </c>
      <c r="Q535" s="1" t="str" cm="1">
        <f t="array" ref="Q535">IF(OR($K535="",$I535="",$J535=""),"",_xlfn.LET(_xlpm.srcCat,_xlfn.SWITCH($I535,"Computer",_xlfn.XLOOKUP($K535&amp;"",COMPUTER!$B$3:$B$1009&amp;"",COMPUTER!$H$3:$H$1009,""),"Display",_xlfn.XLOOKUP($K535&amp;"",DISPLAY!$B$3:$B$1000&amp;"",DISPLAY!$H$3:$H$1000,""),"Network Device",_xlfn.XLOOKUP($K535&amp;"",'NETWORK-DEVICES'!$B$3:$B$987&amp;"",'NETWORK-DEVICES'!$H$3:$H$987,""),"Peripheral",_xlfn.XLOOKUP($K535&amp;"",PERIPHERAL!$B$3:$B$954&amp;"",PERIPHERAL!$H$3:$H$954,""),"Utilities",_xlfn.XLOOKUP($K535&amp;"",UTILITIES!$B$3:$B$953&amp;"",UTILITIES!$G$3:$G$953,""),"IOT",_xlfn.XLOOKUP($K535&amp;"",IOT!$B$3:$B$1012&amp;"",IOT!$H$3:$H$1012,""),"Server",_xlfn.XLOOKUP($K535&amp;"",SERVER!$B$3:$B$1009&amp;"",SERVER!$H$3:$H$1009,""),""),IF(TRIM(_xlpm.srcCat)&lt;&gt;TRIM($J535),"",_xlfn.SWITCH($I535,"Computer",_xlfn.XLOOKUP($K535&amp;"",COMPUTER!$B$3:$B$1009&amp;"",COMPUTER!$AM$3:$AM$1009,""),"Display",_xlfn.XLOOKUP($K535&amp;"",DISPLAY!$B$3:$B$1000&amp;"",DISPLAY!$V$3:$V$1000,""),"Network Device",_xlfn.XLOOKUP($K535&amp;"",'NETWORK-DEVICES'!$B$3:$B$987&amp;"",'NETWORK-DEVICES'!$AF$3:$AF$987,""),"Peripheral",_xlfn.XLOOKUP($K535&amp;"",PERIPHERAL!$B$3:$B$954&amp;"",PERIPHERAL!$Y$3:$Y$954,""),"Utilities",_xlfn.XLOOKUP($K535&amp;"",UTILITIES!$B$3:$B$953&amp;"",UTILITIES!$O$3:$O$953,""),"IOT",_xlfn.XLOOKUP($K535&amp;"",IOT!$B$3:$B$1012&amp;"",IOT!$AB$3:$AB$1012,""),"Server",_xlfn.XLOOKUP($K535&amp;"",SERVER!$B$3:$B$1009&amp;"",SERVER!$AB$3:$AB$1009,""),""))))</f>
        <v/>
      </c>
      <c r="R535" s="43" t="str">
        <f>IF(tbl_handover[[#This Row],[Asset Code]]="","",COUNTIF(tbl_handover[Asset Code],tbl_handover[[#This Row],[Asset Code]]))</f>
        <v/>
      </c>
    </row>
    <row r="536" spans="1:18" x14ac:dyDescent="0.25">
      <c r="A536" s="43" t="str">
        <f>IF(B536&lt;&gt;"",SUBTOTAL(3,$B$1:B535),"")</f>
        <v/>
      </c>
      <c r="C536" s="74"/>
      <c r="D536" s="74"/>
      <c r="G536" s="1"/>
      <c r="K536" s="42"/>
      <c r="L536" t="str" cm="1">
        <f t="array" ref="L536">IF($K536="","",_xlfn.SWITCH($I536,"Computer",_xlfn.XLOOKUP($K536&amp;"",COMPUTER!$B$3:$B$1009&amp;"",COMPUTER!$I$3:$I$1009,""),"Display",_xlfn.XLOOKUP($K536&amp;"",DISPLAY!$B$3:$B$1000&amp;"",DISPLAY!$J$3:$J$1000,""),"Network Device",_xlfn.XLOOKUP($K536&amp;"",'NETWORK-DEVICES'!$B$3:$B$987&amp;"",'NETWORK-DEVICES'!$I$3:$I$987,""),"Peripheral",_xlfn.XLOOKUP($K536&amp;"",PERIPHERAL!$B$3:$B$954&amp;"",PERIPHERAL!$I$3:$I$954,""),"Utilities",_xlfn.XLOOKUP($K536&amp;"",UTILITIES!$B$3:$B$953&amp;"",UTILITIES!$H$3:$H$953,""),"IOT",_xlfn.XLOOKUP($K536&amp;"",IOT!$B$3:$B$1012&amp;"",IOT!$I$3:$I$1012,""),"SERVER",_xlfn.XLOOKUP($K536&amp;"",SERVER!$B$3:$B$1009&amp;"",SERVER!$I$3:$I$1009,""),""))</f>
        <v/>
      </c>
      <c r="M536" t="str" cm="1">
        <f t="array" ref="M536">IF($K536="","",_xlfn.SWITCH($I536,"Computer",_xlfn.XLOOKUP($K536&amp;"",COMPUTER!$B$3:$B$1009&amp;"",COMPUTER!$J$3:$J$1009,""),"Display",_xlfn.XLOOKUP($K536&amp;"",DISPLAY!$B$3:$B$1000&amp;"",DISPLAY!$K$3:$K$1000,""),"Network Device",_xlfn.XLOOKUP($K536&amp;"",'NETWORK-DEVICES'!$B$3:$B$987&amp;"",'NETWORK-DEVICES'!$I$3:$I$987,""),"Peripheral",_xlfn.XLOOKUP($K536&amp;"",PERIPHERAL!$B$3:$B$954&amp;"",PERIPHERAL!$J$3:$J$954,""),"Utilities",_xlfn.XLOOKUP($K536&amp;"",UTILITIES!$B$3:$B$953&amp;"",UTILITIES!$I$3:$I$953,""),"IOT",_xlfn.XLOOKUP($K536&amp;"",IOT!$B$3:$B$1012&amp;"",IOT!$J$3:$J$1012,""),"Server",_xlfn.XLOOKUP($K536&amp;"",SERVER!$B$3:$B$1009&amp;"",SERVER!$J$3:$J$1009,""),""))</f>
        <v/>
      </c>
      <c r="N536" s="1" t="str" cm="1">
        <f t="array" ref="N536">IF(OR($K536="",$I536="",$J536=""),"",_xlfn.LET(_xlpm.srcCat,_xlfn.SWITCH($I536,"Computer",_xlfn.XLOOKUP($K536&amp;"",COMPUTER!$B$3:$B$1009&amp;"",COMPUTER!$H$3:$H$1009,""),"Display",_xlfn.XLOOKUP($K536&amp;"",DISPLAY!$B$3:$B$1000&amp;"",DISPLAY!$H$3:$H$1000,""),"Network Device",_xlfn.XLOOKUP($K536&amp;"",'NETWORK-DEVICES'!$B$3:$B$987&amp;"",'NETWORK-DEVICES'!$H$3:$H$987,""),"Peripheral",_xlfn.XLOOKUP($K536&amp;"",PERIPHERAL!$B$3:$B$954&amp;"",PERIPHERAL!$H$3:$H$954,""),"Utilities",_xlfn.XLOOKUP($K536&amp;"",UTILITIES!$B$3:$B$953&amp;"",UTILITIES!$G$3:$G$953,""),"IOT",_xlfn.XLOOKUP($K536&amp;"",IOT!$B$3:$B$1012&amp;"",IOT!$H$3:$H$1012,""),"Server",_xlfn.XLOOKUP($K536&amp;"",SERVER!$B$3:$B$1009&amp;"",SERVER!$H$3:$H$1009,""),""),IF(TRIM(_xlpm.srcCat)&lt;&gt;TRIM($J536),"",_xlfn.SWITCH($I536,"Computer",_xlfn.XLOOKUP($K536&amp;"",COMPUTER!$B$3:$B$1009&amp;"",COMPUTER!$K$3:$K$1009,""),"Display",_xlfn.XLOOKUP($K536&amp;"",DISPLAY!$B$3:$B$1000&amp;"",DISPLAY!$L$3:$L$1000,""),"Network Device",_xlfn.XLOOKUP($K536&amp;"",'NETWORK-DEVICES'!$B$3:$B$987&amp;"",'NETWORK-DEVICES'!$K$3:$K$987,""),"Peripheral",_xlfn.XLOOKUP($K536&amp;"",PERIPHERAL!$B$3:$B$954&amp;"",PERIPHERAL!$K$3:$K$954,""),"Utilities",_xlfn.XLOOKUP($K536&amp;"",UTILITIES!$B$3:$B$953&amp;"",UTILITIES!$J$3:$J$953,""),"IOT",_xlfn.XLOOKUP($K536&amp;"",IOT!$B$3:$B$1012&amp;"",IOT!$K$4:$K$1012,""),"Server",_xlfn.XLOOKUP($K536&amp;"",SERVER!$B$3:$B$1009&amp;"",SERVER!$K$3:$K$1009,""),""))))</f>
        <v/>
      </c>
      <c r="O536" s="1" t="str" cm="1">
        <f t="array" ref="O536">IF(OR($K536="",$I536="",$J536=""),"",_xlfn.LET(_xlpm.srcCat,_xlfn.SWITCH($I536,"Computer",_xlfn.XLOOKUP($K536&amp;"",COMPUTER!$B$3:$B$1009&amp;"",COMPUTER!$H$3:$H$1009,""),"Display",_xlfn.XLOOKUP($K536&amp;"",DISPLAY!$B$3:$B$1000&amp;"",DISPLAY!$H$3:$H$1000,""),"Network Device",_xlfn.XLOOKUP($K536&amp;"",'NETWORK-DEVICES'!$B$3:$B$987&amp;"",'NETWORK-DEVICES'!$H$3:$H$987,""),"Peripheral",_xlfn.XLOOKUP($K536&amp;"",PERIPHERAL!$B$3:$B$954&amp;"",PERIPHERAL!$H$3:$H$954,""),"Utilities",_xlfn.XLOOKUP($K536&amp;"",UTILITIES!$B$3:$B$953&amp;"",UTILITIES!$G$3:$G$953,""),"IOT",_xlfn.XLOOKUP($K536&amp;"",IOT!$B$3:$B$1012&amp;"",IOT!$H$3:$H$1012,""),"Server",_xlfn.XLOOKUP($K536&amp;"",SERVER!$B$3:$B$1009&amp;"",SERVER!$H$3:$H$1009,""),""),IF(TRIM(_xlpm.srcCat)&lt;&gt;TRIM($J536),"",_xlfn.SWITCH($I536,"Computer",_xlfn.XLOOKUP($K536&amp;"",COMPUTER!$B$3:$B$1009&amp;"",COMPUTER!$E$3:$E$1009,""),"Display",_xlfn.XLOOKUP($K536&amp;"",DISPLAY!$B$3:$B$1000&amp;"",DISPLAY!$E$3:$E$1000,""),"Network Device",_xlfn.XLOOKUP($K536&amp;"",'NETWORK-DEVICES'!$B$3:$B$987&amp;"",'NETWORK-DEVICES'!$E$3:$E$987,""),"Peripheral",_xlfn.XLOOKUP($K536&amp;"",PERIPHERAL!$B$3:$B$954&amp;"",PERIPHERAL!$E$3:$E$954,""),"Utilities",_xlfn.XLOOKUP($K536&amp;"",UTILITIES!$B$3:$B$953&amp;"",UTILITIES!$E$3:$E$953,""),"IOT",_xlfn.XLOOKUP($K536&amp;"",IOT!$B$3:$B$1012&amp;"",IOT!$E$3:$E$1012,""),"Server",_xlfn.XLOOKUP($K536&amp;"",SERVER!$B$3:$B$1009&amp;"",SERVER!$E$3:$E$1009,""),""))))</f>
        <v/>
      </c>
      <c r="Q536" s="1" t="str" cm="1">
        <f t="array" ref="Q536">IF(OR($K536="",$I536="",$J536=""),"",_xlfn.LET(_xlpm.srcCat,_xlfn.SWITCH($I536,"Computer",_xlfn.XLOOKUP($K536&amp;"",COMPUTER!$B$3:$B$1009&amp;"",COMPUTER!$H$3:$H$1009,""),"Display",_xlfn.XLOOKUP($K536&amp;"",DISPLAY!$B$3:$B$1000&amp;"",DISPLAY!$H$3:$H$1000,""),"Network Device",_xlfn.XLOOKUP($K536&amp;"",'NETWORK-DEVICES'!$B$3:$B$987&amp;"",'NETWORK-DEVICES'!$H$3:$H$987,""),"Peripheral",_xlfn.XLOOKUP($K536&amp;"",PERIPHERAL!$B$3:$B$954&amp;"",PERIPHERAL!$H$3:$H$954,""),"Utilities",_xlfn.XLOOKUP($K536&amp;"",UTILITIES!$B$3:$B$953&amp;"",UTILITIES!$G$3:$G$953,""),"IOT",_xlfn.XLOOKUP($K536&amp;"",IOT!$B$3:$B$1012&amp;"",IOT!$H$3:$H$1012,""),"Server",_xlfn.XLOOKUP($K536&amp;"",SERVER!$B$3:$B$1009&amp;"",SERVER!$H$3:$H$1009,""),""),IF(TRIM(_xlpm.srcCat)&lt;&gt;TRIM($J536),"",_xlfn.SWITCH($I536,"Computer",_xlfn.XLOOKUP($K536&amp;"",COMPUTER!$B$3:$B$1009&amp;"",COMPUTER!$AM$3:$AM$1009,""),"Display",_xlfn.XLOOKUP($K536&amp;"",DISPLAY!$B$3:$B$1000&amp;"",DISPLAY!$V$3:$V$1000,""),"Network Device",_xlfn.XLOOKUP($K536&amp;"",'NETWORK-DEVICES'!$B$3:$B$987&amp;"",'NETWORK-DEVICES'!$AF$3:$AF$987,""),"Peripheral",_xlfn.XLOOKUP($K536&amp;"",PERIPHERAL!$B$3:$B$954&amp;"",PERIPHERAL!$Y$3:$Y$954,""),"Utilities",_xlfn.XLOOKUP($K536&amp;"",UTILITIES!$B$3:$B$953&amp;"",UTILITIES!$O$3:$O$953,""),"IOT",_xlfn.XLOOKUP($K536&amp;"",IOT!$B$3:$B$1012&amp;"",IOT!$AB$3:$AB$1012,""),"Server",_xlfn.XLOOKUP($K536&amp;"",SERVER!$B$3:$B$1009&amp;"",SERVER!$AB$3:$AB$1009,""),""))))</f>
        <v/>
      </c>
      <c r="R536" s="43" t="str">
        <f>IF(tbl_handover[[#This Row],[Asset Code]]="","",COUNTIF(tbl_handover[Asset Code],tbl_handover[[#This Row],[Asset Code]]))</f>
        <v/>
      </c>
    </row>
    <row r="537" spans="1:18" x14ac:dyDescent="0.25">
      <c r="A537" s="43" t="str">
        <f>IF(B537&lt;&gt;"",SUBTOTAL(3,$B$1:B536),"")</f>
        <v/>
      </c>
      <c r="C537" s="74"/>
      <c r="D537" s="74"/>
      <c r="G537" s="1"/>
      <c r="K537" s="42"/>
      <c r="L537" t="str" cm="1">
        <f t="array" ref="L537">IF($K537="","",_xlfn.SWITCH($I537,"Computer",_xlfn.XLOOKUP($K537&amp;"",COMPUTER!$B$3:$B$1009&amp;"",COMPUTER!$I$3:$I$1009,""),"Display",_xlfn.XLOOKUP($K537&amp;"",DISPLAY!$B$3:$B$1000&amp;"",DISPLAY!$J$3:$J$1000,""),"Network Device",_xlfn.XLOOKUP($K537&amp;"",'NETWORK-DEVICES'!$B$3:$B$987&amp;"",'NETWORK-DEVICES'!$I$3:$I$987,""),"Peripheral",_xlfn.XLOOKUP($K537&amp;"",PERIPHERAL!$B$3:$B$954&amp;"",PERIPHERAL!$I$3:$I$954,""),"Utilities",_xlfn.XLOOKUP($K537&amp;"",UTILITIES!$B$3:$B$953&amp;"",UTILITIES!$H$3:$H$953,""),"IOT",_xlfn.XLOOKUP($K537&amp;"",IOT!$B$3:$B$1012&amp;"",IOT!$I$3:$I$1012,""),"SERVER",_xlfn.XLOOKUP($K537&amp;"",SERVER!$B$3:$B$1009&amp;"",SERVER!$I$3:$I$1009,""),""))</f>
        <v/>
      </c>
      <c r="M537" t="str" cm="1">
        <f t="array" ref="M537">IF($K537="","",_xlfn.SWITCH($I537,"Computer",_xlfn.XLOOKUP($K537&amp;"",COMPUTER!$B$3:$B$1009&amp;"",COMPUTER!$J$3:$J$1009,""),"Display",_xlfn.XLOOKUP($K537&amp;"",DISPLAY!$B$3:$B$1000&amp;"",DISPLAY!$K$3:$K$1000,""),"Network Device",_xlfn.XLOOKUP($K537&amp;"",'NETWORK-DEVICES'!$B$3:$B$987&amp;"",'NETWORK-DEVICES'!$I$3:$I$987,""),"Peripheral",_xlfn.XLOOKUP($K537&amp;"",PERIPHERAL!$B$3:$B$954&amp;"",PERIPHERAL!$J$3:$J$954,""),"Utilities",_xlfn.XLOOKUP($K537&amp;"",UTILITIES!$B$3:$B$953&amp;"",UTILITIES!$I$3:$I$953,""),"IOT",_xlfn.XLOOKUP($K537&amp;"",IOT!$B$3:$B$1012&amp;"",IOT!$J$3:$J$1012,""),"Server",_xlfn.XLOOKUP($K537&amp;"",SERVER!$B$3:$B$1009&amp;"",SERVER!$J$3:$J$1009,""),""))</f>
        <v/>
      </c>
      <c r="N537" s="1" t="str" cm="1">
        <f t="array" ref="N537">IF(OR($K537="",$I537="",$J537=""),"",_xlfn.LET(_xlpm.srcCat,_xlfn.SWITCH($I537,"Computer",_xlfn.XLOOKUP($K537&amp;"",COMPUTER!$B$3:$B$1009&amp;"",COMPUTER!$H$3:$H$1009,""),"Display",_xlfn.XLOOKUP($K537&amp;"",DISPLAY!$B$3:$B$1000&amp;"",DISPLAY!$H$3:$H$1000,""),"Network Device",_xlfn.XLOOKUP($K537&amp;"",'NETWORK-DEVICES'!$B$3:$B$987&amp;"",'NETWORK-DEVICES'!$H$3:$H$987,""),"Peripheral",_xlfn.XLOOKUP($K537&amp;"",PERIPHERAL!$B$3:$B$954&amp;"",PERIPHERAL!$H$3:$H$954,""),"Utilities",_xlfn.XLOOKUP($K537&amp;"",UTILITIES!$B$3:$B$953&amp;"",UTILITIES!$G$3:$G$953,""),"IOT",_xlfn.XLOOKUP($K537&amp;"",IOT!$B$3:$B$1012&amp;"",IOT!$H$3:$H$1012,""),"Server",_xlfn.XLOOKUP($K537&amp;"",SERVER!$B$3:$B$1009&amp;"",SERVER!$H$3:$H$1009,""),""),IF(TRIM(_xlpm.srcCat)&lt;&gt;TRIM($J537),"",_xlfn.SWITCH($I537,"Computer",_xlfn.XLOOKUP($K537&amp;"",COMPUTER!$B$3:$B$1009&amp;"",COMPUTER!$K$3:$K$1009,""),"Display",_xlfn.XLOOKUP($K537&amp;"",DISPLAY!$B$3:$B$1000&amp;"",DISPLAY!$L$3:$L$1000,""),"Network Device",_xlfn.XLOOKUP($K537&amp;"",'NETWORK-DEVICES'!$B$3:$B$987&amp;"",'NETWORK-DEVICES'!$K$3:$K$987,""),"Peripheral",_xlfn.XLOOKUP($K537&amp;"",PERIPHERAL!$B$3:$B$954&amp;"",PERIPHERAL!$K$3:$K$954,""),"Utilities",_xlfn.XLOOKUP($K537&amp;"",UTILITIES!$B$3:$B$953&amp;"",UTILITIES!$J$3:$J$953,""),"IOT",_xlfn.XLOOKUP($K537&amp;"",IOT!$B$3:$B$1012&amp;"",IOT!$K$4:$K$1012,""),"Server",_xlfn.XLOOKUP($K537&amp;"",SERVER!$B$3:$B$1009&amp;"",SERVER!$K$3:$K$1009,""),""))))</f>
        <v/>
      </c>
      <c r="O537" s="1" t="str" cm="1">
        <f t="array" ref="O537">IF(OR($K537="",$I537="",$J537=""),"",_xlfn.LET(_xlpm.srcCat,_xlfn.SWITCH($I537,"Computer",_xlfn.XLOOKUP($K537&amp;"",COMPUTER!$B$3:$B$1009&amp;"",COMPUTER!$H$3:$H$1009,""),"Display",_xlfn.XLOOKUP($K537&amp;"",DISPLAY!$B$3:$B$1000&amp;"",DISPLAY!$H$3:$H$1000,""),"Network Device",_xlfn.XLOOKUP($K537&amp;"",'NETWORK-DEVICES'!$B$3:$B$987&amp;"",'NETWORK-DEVICES'!$H$3:$H$987,""),"Peripheral",_xlfn.XLOOKUP($K537&amp;"",PERIPHERAL!$B$3:$B$954&amp;"",PERIPHERAL!$H$3:$H$954,""),"Utilities",_xlfn.XLOOKUP($K537&amp;"",UTILITIES!$B$3:$B$953&amp;"",UTILITIES!$G$3:$G$953,""),"IOT",_xlfn.XLOOKUP($K537&amp;"",IOT!$B$3:$B$1012&amp;"",IOT!$H$3:$H$1012,""),"Server",_xlfn.XLOOKUP($K537&amp;"",SERVER!$B$3:$B$1009&amp;"",SERVER!$H$3:$H$1009,""),""),IF(TRIM(_xlpm.srcCat)&lt;&gt;TRIM($J537),"",_xlfn.SWITCH($I537,"Computer",_xlfn.XLOOKUP($K537&amp;"",COMPUTER!$B$3:$B$1009&amp;"",COMPUTER!$E$3:$E$1009,""),"Display",_xlfn.XLOOKUP($K537&amp;"",DISPLAY!$B$3:$B$1000&amp;"",DISPLAY!$E$3:$E$1000,""),"Network Device",_xlfn.XLOOKUP($K537&amp;"",'NETWORK-DEVICES'!$B$3:$B$987&amp;"",'NETWORK-DEVICES'!$E$3:$E$987,""),"Peripheral",_xlfn.XLOOKUP($K537&amp;"",PERIPHERAL!$B$3:$B$954&amp;"",PERIPHERAL!$E$3:$E$954,""),"Utilities",_xlfn.XLOOKUP($K537&amp;"",UTILITIES!$B$3:$B$953&amp;"",UTILITIES!$E$3:$E$953,""),"IOT",_xlfn.XLOOKUP($K537&amp;"",IOT!$B$3:$B$1012&amp;"",IOT!$E$3:$E$1012,""),"Server",_xlfn.XLOOKUP($K537&amp;"",SERVER!$B$3:$B$1009&amp;"",SERVER!$E$3:$E$1009,""),""))))</f>
        <v/>
      </c>
      <c r="Q537" s="1" t="str" cm="1">
        <f t="array" ref="Q537">IF(OR($K537="",$I537="",$J537=""),"",_xlfn.LET(_xlpm.srcCat,_xlfn.SWITCH($I537,"Computer",_xlfn.XLOOKUP($K537&amp;"",COMPUTER!$B$3:$B$1009&amp;"",COMPUTER!$H$3:$H$1009,""),"Display",_xlfn.XLOOKUP($K537&amp;"",DISPLAY!$B$3:$B$1000&amp;"",DISPLAY!$H$3:$H$1000,""),"Network Device",_xlfn.XLOOKUP($K537&amp;"",'NETWORK-DEVICES'!$B$3:$B$987&amp;"",'NETWORK-DEVICES'!$H$3:$H$987,""),"Peripheral",_xlfn.XLOOKUP($K537&amp;"",PERIPHERAL!$B$3:$B$954&amp;"",PERIPHERAL!$H$3:$H$954,""),"Utilities",_xlfn.XLOOKUP($K537&amp;"",UTILITIES!$B$3:$B$953&amp;"",UTILITIES!$G$3:$G$953,""),"IOT",_xlfn.XLOOKUP($K537&amp;"",IOT!$B$3:$B$1012&amp;"",IOT!$H$3:$H$1012,""),"Server",_xlfn.XLOOKUP($K537&amp;"",SERVER!$B$3:$B$1009&amp;"",SERVER!$H$3:$H$1009,""),""),IF(TRIM(_xlpm.srcCat)&lt;&gt;TRIM($J537),"",_xlfn.SWITCH($I537,"Computer",_xlfn.XLOOKUP($K537&amp;"",COMPUTER!$B$3:$B$1009&amp;"",COMPUTER!$AM$3:$AM$1009,""),"Display",_xlfn.XLOOKUP($K537&amp;"",DISPLAY!$B$3:$B$1000&amp;"",DISPLAY!$V$3:$V$1000,""),"Network Device",_xlfn.XLOOKUP($K537&amp;"",'NETWORK-DEVICES'!$B$3:$B$987&amp;"",'NETWORK-DEVICES'!$AF$3:$AF$987,""),"Peripheral",_xlfn.XLOOKUP($K537&amp;"",PERIPHERAL!$B$3:$B$954&amp;"",PERIPHERAL!$Y$3:$Y$954,""),"Utilities",_xlfn.XLOOKUP($K537&amp;"",UTILITIES!$B$3:$B$953&amp;"",UTILITIES!$O$3:$O$953,""),"IOT",_xlfn.XLOOKUP($K537&amp;"",IOT!$B$3:$B$1012&amp;"",IOT!$AB$3:$AB$1012,""),"Server",_xlfn.XLOOKUP($K537&amp;"",SERVER!$B$3:$B$1009&amp;"",SERVER!$AB$3:$AB$1009,""),""))))</f>
        <v/>
      </c>
      <c r="R537" s="43" t="str">
        <f>IF(tbl_handover[[#This Row],[Asset Code]]="","",COUNTIF(tbl_handover[Asset Code],tbl_handover[[#This Row],[Asset Code]]))</f>
        <v/>
      </c>
    </row>
    <row r="538" spans="1:18" x14ac:dyDescent="0.25">
      <c r="A538" s="43" t="str">
        <f>IF(B538&lt;&gt;"",SUBTOTAL(3,$B$1:B537),"")</f>
        <v/>
      </c>
      <c r="C538" s="74"/>
      <c r="D538" s="74"/>
      <c r="G538" s="1"/>
      <c r="K538" s="42"/>
      <c r="L538" t="str" cm="1">
        <f t="array" ref="L538">IF($K538="","",_xlfn.SWITCH($I538,"Computer",_xlfn.XLOOKUP($K538&amp;"",COMPUTER!$B$3:$B$1009&amp;"",COMPUTER!$I$3:$I$1009,""),"Display",_xlfn.XLOOKUP($K538&amp;"",DISPLAY!$B$3:$B$1000&amp;"",DISPLAY!$J$3:$J$1000,""),"Network Device",_xlfn.XLOOKUP($K538&amp;"",'NETWORK-DEVICES'!$B$3:$B$987&amp;"",'NETWORK-DEVICES'!$I$3:$I$987,""),"Peripheral",_xlfn.XLOOKUP($K538&amp;"",PERIPHERAL!$B$3:$B$954&amp;"",PERIPHERAL!$I$3:$I$954,""),"Utilities",_xlfn.XLOOKUP($K538&amp;"",UTILITIES!$B$3:$B$953&amp;"",UTILITIES!$H$3:$H$953,""),"IOT",_xlfn.XLOOKUP($K538&amp;"",IOT!$B$3:$B$1012&amp;"",IOT!$I$3:$I$1012,""),"SERVER",_xlfn.XLOOKUP($K538&amp;"",SERVER!$B$3:$B$1009&amp;"",SERVER!$I$3:$I$1009,""),""))</f>
        <v/>
      </c>
      <c r="M538" t="str" cm="1">
        <f t="array" ref="M538">IF($K538="","",_xlfn.SWITCH($I538,"Computer",_xlfn.XLOOKUP($K538&amp;"",COMPUTER!$B$3:$B$1009&amp;"",COMPUTER!$J$3:$J$1009,""),"Display",_xlfn.XLOOKUP($K538&amp;"",DISPLAY!$B$3:$B$1000&amp;"",DISPLAY!$K$3:$K$1000,""),"Network Device",_xlfn.XLOOKUP($K538&amp;"",'NETWORK-DEVICES'!$B$3:$B$987&amp;"",'NETWORK-DEVICES'!$I$3:$I$987,""),"Peripheral",_xlfn.XLOOKUP($K538&amp;"",PERIPHERAL!$B$3:$B$954&amp;"",PERIPHERAL!$J$3:$J$954,""),"Utilities",_xlfn.XLOOKUP($K538&amp;"",UTILITIES!$B$3:$B$953&amp;"",UTILITIES!$I$3:$I$953,""),"IOT",_xlfn.XLOOKUP($K538&amp;"",IOT!$B$3:$B$1012&amp;"",IOT!$J$3:$J$1012,""),"Server",_xlfn.XLOOKUP($K538&amp;"",SERVER!$B$3:$B$1009&amp;"",SERVER!$J$3:$J$1009,""),""))</f>
        <v/>
      </c>
      <c r="N538" s="1" t="str" cm="1">
        <f t="array" ref="N538">IF(OR($K538="",$I538="",$J538=""),"",_xlfn.LET(_xlpm.srcCat,_xlfn.SWITCH($I538,"Computer",_xlfn.XLOOKUP($K538&amp;"",COMPUTER!$B$3:$B$1009&amp;"",COMPUTER!$H$3:$H$1009,""),"Display",_xlfn.XLOOKUP($K538&amp;"",DISPLAY!$B$3:$B$1000&amp;"",DISPLAY!$H$3:$H$1000,""),"Network Device",_xlfn.XLOOKUP($K538&amp;"",'NETWORK-DEVICES'!$B$3:$B$987&amp;"",'NETWORK-DEVICES'!$H$3:$H$987,""),"Peripheral",_xlfn.XLOOKUP($K538&amp;"",PERIPHERAL!$B$3:$B$954&amp;"",PERIPHERAL!$H$3:$H$954,""),"Utilities",_xlfn.XLOOKUP($K538&amp;"",UTILITIES!$B$3:$B$953&amp;"",UTILITIES!$G$3:$G$953,""),"IOT",_xlfn.XLOOKUP($K538&amp;"",IOT!$B$3:$B$1012&amp;"",IOT!$H$3:$H$1012,""),"Server",_xlfn.XLOOKUP($K538&amp;"",SERVER!$B$3:$B$1009&amp;"",SERVER!$H$3:$H$1009,""),""),IF(TRIM(_xlpm.srcCat)&lt;&gt;TRIM($J538),"",_xlfn.SWITCH($I538,"Computer",_xlfn.XLOOKUP($K538&amp;"",COMPUTER!$B$3:$B$1009&amp;"",COMPUTER!$K$3:$K$1009,""),"Display",_xlfn.XLOOKUP($K538&amp;"",DISPLAY!$B$3:$B$1000&amp;"",DISPLAY!$L$3:$L$1000,""),"Network Device",_xlfn.XLOOKUP($K538&amp;"",'NETWORK-DEVICES'!$B$3:$B$987&amp;"",'NETWORK-DEVICES'!$K$3:$K$987,""),"Peripheral",_xlfn.XLOOKUP($K538&amp;"",PERIPHERAL!$B$3:$B$954&amp;"",PERIPHERAL!$K$3:$K$954,""),"Utilities",_xlfn.XLOOKUP($K538&amp;"",UTILITIES!$B$3:$B$953&amp;"",UTILITIES!$J$3:$J$953,""),"IOT",_xlfn.XLOOKUP($K538&amp;"",IOT!$B$3:$B$1012&amp;"",IOT!$K$4:$K$1012,""),"Server",_xlfn.XLOOKUP($K538&amp;"",SERVER!$B$3:$B$1009&amp;"",SERVER!$K$3:$K$1009,""),""))))</f>
        <v/>
      </c>
      <c r="O538" s="1" t="str" cm="1">
        <f t="array" ref="O538">IF(OR($K538="",$I538="",$J538=""),"",_xlfn.LET(_xlpm.srcCat,_xlfn.SWITCH($I538,"Computer",_xlfn.XLOOKUP($K538&amp;"",COMPUTER!$B$3:$B$1009&amp;"",COMPUTER!$H$3:$H$1009,""),"Display",_xlfn.XLOOKUP($K538&amp;"",DISPLAY!$B$3:$B$1000&amp;"",DISPLAY!$H$3:$H$1000,""),"Network Device",_xlfn.XLOOKUP($K538&amp;"",'NETWORK-DEVICES'!$B$3:$B$987&amp;"",'NETWORK-DEVICES'!$H$3:$H$987,""),"Peripheral",_xlfn.XLOOKUP($K538&amp;"",PERIPHERAL!$B$3:$B$954&amp;"",PERIPHERAL!$H$3:$H$954,""),"Utilities",_xlfn.XLOOKUP($K538&amp;"",UTILITIES!$B$3:$B$953&amp;"",UTILITIES!$G$3:$G$953,""),"IOT",_xlfn.XLOOKUP($K538&amp;"",IOT!$B$3:$B$1012&amp;"",IOT!$H$3:$H$1012,""),"Server",_xlfn.XLOOKUP($K538&amp;"",SERVER!$B$3:$B$1009&amp;"",SERVER!$H$3:$H$1009,""),""),IF(TRIM(_xlpm.srcCat)&lt;&gt;TRIM($J538),"",_xlfn.SWITCH($I538,"Computer",_xlfn.XLOOKUP($K538&amp;"",COMPUTER!$B$3:$B$1009&amp;"",COMPUTER!$E$3:$E$1009,""),"Display",_xlfn.XLOOKUP($K538&amp;"",DISPLAY!$B$3:$B$1000&amp;"",DISPLAY!$E$3:$E$1000,""),"Network Device",_xlfn.XLOOKUP($K538&amp;"",'NETWORK-DEVICES'!$B$3:$B$987&amp;"",'NETWORK-DEVICES'!$E$3:$E$987,""),"Peripheral",_xlfn.XLOOKUP($K538&amp;"",PERIPHERAL!$B$3:$B$954&amp;"",PERIPHERAL!$E$3:$E$954,""),"Utilities",_xlfn.XLOOKUP($K538&amp;"",UTILITIES!$B$3:$B$953&amp;"",UTILITIES!$E$3:$E$953,""),"IOT",_xlfn.XLOOKUP($K538&amp;"",IOT!$B$3:$B$1012&amp;"",IOT!$E$3:$E$1012,""),"Server",_xlfn.XLOOKUP($K538&amp;"",SERVER!$B$3:$B$1009&amp;"",SERVER!$E$3:$E$1009,""),""))))</f>
        <v/>
      </c>
      <c r="Q538" s="1" t="str" cm="1">
        <f t="array" ref="Q538">IF(OR($K538="",$I538="",$J538=""),"",_xlfn.LET(_xlpm.srcCat,_xlfn.SWITCH($I538,"Computer",_xlfn.XLOOKUP($K538&amp;"",COMPUTER!$B$3:$B$1009&amp;"",COMPUTER!$H$3:$H$1009,""),"Display",_xlfn.XLOOKUP($K538&amp;"",DISPLAY!$B$3:$B$1000&amp;"",DISPLAY!$H$3:$H$1000,""),"Network Device",_xlfn.XLOOKUP($K538&amp;"",'NETWORK-DEVICES'!$B$3:$B$987&amp;"",'NETWORK-DEVICES'!$H$3:$H$987,""),"Peripheral",_xlfn.XLOOKUP($K538&amp;"",PERIPHERAL!$B$3:$B$954&amp;"",PERIPHERAL!$H$3:$H$954,""),"Utilities",_xlfn.XLOOKUP($K538&amp;"",UTILITIES!$B$3:$B$953&amp;"",UTILITIES!$G$3:$G$953,""),"IOT",_xlfn.XLOOKUP($K538&amp;"",IOT!$B$3:$B$1012&amp;"",IOT!$H$3:$H$1012,""),"Server",_xlfn.XLOOKUP($K538&amp;"",SERVER!$B$3:$B$1009&amp;"",SERVER!$H$3:$H$1009,""),""),IF(TRIM(_xlpm.srcCat)&lt;&gt;TRIM($J538),"",_xlfn.SWITCH($I538,"Computer",_xlfn.XLOOKUP($K538&amp;"",COMPUTER!$B$3:$B$1009&amp;"",COMPUTER!$AM$3:$AM$1009,""),"Display",_xlfn.XLOOKUP($K538&amp;"",DISPLAY!$B$3:$B$1000&amp;"",DISPLAY!$V$3:$V$1000,""),"Network Device",_xlfn.XLOOKUP($K538&amp;"",'NETWORK-DEVICES'!$B$3:$B$987&amp;"",'NETWORK-DEVICES'!$AF$3:$AF$987,""),"Peripheral",_xlfn.XLOOKUP($K538&amp;"",PERIPHERAL!$B$3:$B$954&amp;"",PERIPHERAL!$Y$3:$Y$954,""),"Utilities",_xlfn.XLOOKUP($K538&amp;"",UTILITIES!$B$3:$B$953&amp;"",UTILITIES!$O$3:$O$953,""),"IOT",_xlfn.XLOOKUP($K538&amp;"",IOT!$B$3:$B$1012&amp;"",IOT!$AB$3:$AB$1012,""),"Server",_xlfn.XLOOKUP($K538&amp;"",SERVER!$B$3:$B$1009&amp;"",SERVER!$AB$3:$AB$1009,""),""))))</f>
        <v/>
      </c>
      <c r="R538" s="43" t="str">
        <f>IF(tbl_handover[[#This Row],[Asset Code]]="","",COUNTIF(tbl_handover[Asset Code],tbl_handover[[#This Row],[Asset Code]]))</f>
        <v/>
      </c>
    </row>
    <row r="539" spans="1:18" x14ac:dyDescent="0.25">
      <c r="A539" s="43" t="str">
        <f>IF(B539&lt;&gt;"",SUBTOTAL(3,$B$1:B538),"")</f>
        <v/>
      </c>
      <c r="C539" s="74"/>
      <c r="D539" s="74"/>
      <c r="G539" s="1"/>
      <c r="K539" s="42"/>
      <c r="L539" t="str" cm="1">
        <f t="array" ref="L539">IF($K539="","",_xlfn.SWITCH($I539,"Computer",_xlfn.XLOOKUP($K539&amp;"",COMPUTER!$B$3:$B$1009&amp;"",COMPUTER!$I$3:$I$1009,""),"Display",_xlfn.XLOOKUP($K539&amp;"",DISPLAY!$B$3:$B$1000&amp;"",DISPLAY!$J$3:$J$1000,""),"Network Device",_xlfn.XLOOKUP($K539&amp;"",'NETWORK-DEVICES'!$B$3:$B$987&amp;"",'NETWORK-DEVICES'!$I$3:$I$987,""),"Peripheral",_xlfn.XLOOKUP($K539&amp;"",PERIPHERAL!$B$3:$B$954&amp;"",PERIPHERAL!$I$3:$I$954,""),"Utilities",_xlfn.XLOOKUP($K539&amp;"",UTILITIES!$B$3:$B$953&amp;"",UTILITIES!$H$3:$H$953,""),"IOT",_xlfn.XLOOKUP($K539&amp;"",IOT!$B$3:$B$1012&amp;"",IOT!$I$3:$I$1012,""),"SERVER",_xlfn.XLOOKUP($K539&amp;"",SERVER!$B$3:$B$1009&amp;"",SERVER!$I$3:$I$1009,""),""))</f>
        <v/>
      </c>
      <c r="M539" t="str" cm="1">
        <f t="array" ref="M539">IF($K539="","",_xlfn.SWITCH($I539,"Computer",_xlfn.XLOOKUP($K539&amp;"",COMPUTER!$B$3:$B$1009&amp;"",COMPUTER!$J$3:$J$1009,""),"Display",_xlfn.XLOOKUP($K539&amp;"",DISPLAY!$B$3:$B$1000&amp;"",DISPLAY!$K$3:$K$1000,""),"Network Device",_xlfn.XLOOKUP($K539&amp;"",'NETWORK-DEVICES'!$B$3:$B$987&amp;"",'NETWORK-DEVICES'!$I$3:$I$987,""),"Peripheral",_xlfn.XLOOKUP($K539&amp;"",PERIPHERAL!$B$3:$B$954&amp;"",PERIPHERAL!$J$3:$J$954,""),"Utilities",_xlfn.XLOOKUP($K539&amp;"",UTILITIES!$B$3:$B$953&amp;"",UTILITIES!$I$3:$I$953,""),"IOT",_xlfn.XLOOKUP($K539&amp;"",IOT!$B$3:$B$1012&amp;"",IOT!$J$3:$J$1012,""),"Server",_xlfn.XLOOKUP($K539&amp;"",SERVER!$B$3:$B$1009&amp;"",SERVER!$J$3:$J$1009,""),""))</f>
        <v/>
      </c>
      <c r="N539" s="1" t="str" cm="1">
        <f t="array" ref="N539">IF(OR($K539="",$I539="",$J539=""),"",_xlfn.LET(_xlpm.srcCat,_xlfn.SWITCH($I539,"Computer",_xlfn.XLOOKUP($K539&amp;"",COMPUTER!$B$3:$B$1009&amp;"",COMPUTER!$H$3:$H$1009,""),"Display",_xlfn.XLOOKUP($K539&amp;"",DISPLAY!$B$3:$B$1000&amp;"",DISPLAY!$H$3:$H$1000,""),"Network Device",_xlfn.XLOOKUP($K539&amp;"",'NETWORK-DEVICES'!$B$3:$B$987&amp;"",'NETWORK-DEVICES'!$H$3:$H$987,""),"Peripheral",_xlfn.XLOOKUP($K539&amp;"",PERIPHERAL!$B$3:$B$954&amp;"",PERIPHERAL!$H$3:$H$954,""),"Utilities",_xlfn.XLOOKUP($K539&amp;"",UTILITIES!$B$3:$B$953&amp;"",UTILITIES!$G$3:$G$953,""),"IOT",_xlfn.XLOOKUP($K539&amp;"",IOT!$B$3:$B$1012&amp;"",IOT!$H$3:$H$1012,""),"Server",_xlfn.XLOOKUP($K539&amp;"",SERVER!$B$3:$B$1009&amp;"",SERVER!$H$3:$H$1009,""),""),IF(TRIM(_xlpm.srcCat)&lt;&gt;TRIM($J539),"",_xlfn.SWITCH($I539,"Computer",_xlfn.XLOOKUP($K539&amp;"",COMPUTER!$B$3:$B$1009&amp;"",COMPUTER!$K$3:$K$1009,""),"Display",_xlfn.XLOOKUP($K539&amp;"",DISPLAY!$B$3:$B$1000&amp;"",DISPLAY!$L$3:$L$1000,""),"Network Device",_xlfn.XLOOKUP($K539&amp;"",'NETWORK-DEVICES'!$B$3:$B$987&amp;"",'NETWORK-DEVICES'!$K$3:$K$987,""),"Peripheral",_xlfn.XLOOKUP($K539&amp;"",PERIPHERAL!$B$3:$B$954&amp;"",PERIPHERAL!$K$3:$K$954,""),"Utilities",_xlfn.XLOOKUP($K539&amp;"",UTILITIES!$B$3:$B$953&amp;"",UTILITIES!$J$3:$J$953,""),"IOT",_xlfn.XLOOKUP($K539&amp;"",IOT!$B$3:$B$1012&amp;"",IOT!$K$4:$K$1012,""),"Server",_xlfn.XLOOKUP($K539&amp;"",SERVER!$B$3:$B$1009&amp;"",SERVER!$K$3:$K$1009,""),""))))</f>
        <v/>
      </c>
      <c r="O539" s="1" t="str" cm="1">
        <f t="array" ref="O539">IF(OR($K539="",$I539="",$J539=""),"",_xlfn.LET(_xlpm.srcCat,_xlfn.SWITCH($I539,"Computer",_xlfn.XLOOKUP($K539&amp;"",COMPUTER!$B$3:$B$1009&amp;"",COMPUTER!$H$3:$H$1009,""),"Display",_xlfn.XLOOKUP($K539&amp;"",DISPLAY!$B$3:$B$1000&amp;"",DISPLAY!$H$3:$H$1000,""),"Network Device",_xlfn.XLOOKUP($K539&amp;"",'NETWORK-DEVICES'!$B$3:$B$987&amp;"",'NETWORK-DEVICES'!$H$3:$H$987,""),"Peripheral",_xlfn.XLOOKUP($K539&amp;"",PERIPHERAL!$B$3:$B$954&amp;"",PERIPHERAL!$H$3:$H$954,""),"Utilities",_xlfn.XLOOKUP($K539&amp;"",UTILITIES!$B$3:$B$953&amp;"",UTILITIES!$G$3:$G$953,""),"IOT",_xlfn.XLOOKUP($K539&amp;"",IOT!$B$3:$B$1012&amp;"",IOT!$H$3:$H$1012,""),"Server",_xlfn.XLOOKUP($K539&amp;"",SERVER!$B$3:$B$1009&amp;"",SERVER!$H$3:$H$1009,""),""),IF(TRIM(_xlpm.srcCat)&lt;&gt;TRIM($J539),"",_xlfn.SWITCH($I539,"Computer",_xlfn.XLOOKUP($K539&amp;"",COMPUTER!$B$3:$B$1009&amp;"",COMPUTER!$E$3:$E$1009,""),"Display",_xlfn.XLOOKUP($K539&amp;"",DISPLAY!$B$3:$B$1000&amp;"",DISPLAY!$E$3:$E$1000,""),"Network Device",_xlfn.XLOOKUP($K539&amp;"",'NETWORK-DEVICES'!$B$3:$B$987&amp;"",'NETWORK-DEVICES'!$E$3:$E$987,""),"Peripheral",_xlfn.XLOOKUP($K539&amp;"",PERIPHERAL!$B$3:$B$954&amp;"",PERIPHERAL!$E$3:$E$954,""),"Utilities",_xlfn.XLOOKUP($K539&amp;"",UTILITIES!$B$3:$B$953&amp;"",UTILITIES!$E$3:$E$953,""),"IOT",_xlfn.XLOOKUP($K539&amp;"",IOT!$B$3:$B$1012&amp;"",IOT!$E$3:$E$1012,""),"Server",_xlfn.XLOOKUP($K539&amp;"",SERVER!$B$3:$B$1009&amp;"",SERVER!$E$3:$E$1009,""),""))))</f>
        <v/>
      </c>
      <c r="Q539" s="1" t="str" cm="1">
        <f t="array" ref="Q539">IF(OR($K539="",$I539="",$J539=""),"",_xlfn.LET(_xlpm.srcCat,_xlfn.SWITCH($I539,"Computer",_xlfn.XLOOKUP($K539&amp;"",COMPUTER!$B$3:$B$1009&amp;"",COMPUTER!$H$3:$H$1009,""),"Display",_xlfn.XLOOKUP($K539&amp;"",DISPLAY!$B$3:$B$1000&amp;"",DISPLAY!$H$3:$H$1000,""),"Network Device",_xlfn.XLOOKUP($K539&amp;"",'NETWORK-DEVICES'!$B$3:$B$987&amp;"",'NETWORK-DEVICES'!$H$3:$H$987,""),"Peripheral",_xlfn.XLOOKUP($K539&amp;"",PERIPHERAL!$B$3:$B$954&amp;"",PERIPHERAL!$H$3:$H$954,""),"Utilities",_xlfn.XLOOKUP($K539&amp;"",UTILITIES!$B$3:$B$953&amp;"",UTILITIES!$G$3:$G$953,""),"IOT",_xlfn.XLOOKUP($K539&amp;"",IOT!$B$3:$B$1012&amp;"",IOT!$H$3:$H$1012,""),"Server",_xlfn.XLOOKUP($K539&amp;"",SERVER!$B$3:$B$1009&amp;"",SERVER!$H$3:$H$1009,""),""),IF(TRIM(_xlpm.srcCat)&lt;&gt;TRIM($J539),"",_xlfn.SWITCH($I539,"Computer",_xlfn.XLOOKUP($K539&amp;"",COMPUTER!$B$3:$B$1009&amp;"",COMPUTER!$AM$3:$AM$1009,""),"Display",_xlfn.XLOOKUP($K539&amp;"",DISPLAY!$B$3:$B$1000&amp;"",DISPLAY!$V$3:$V$1000,""),"Network Device",_xlfn.XLOOKUP($K539&amp;"",'NETWORK-DEVICES'!$B$3:$B$987&amp;"",'NETWORK-DEVICES'!$AF$3:$AF$987,""),"Peripheral",_xlfn.XLOOKUP($K539&amp;"",PERIPHERAL!$B$3:$B$954&amp;"",PERIPHERAL!$Y$3:$Y$954,""),"Utilities",_xlfn.XLOOKUP($K539&amp;"",UTILITIES!$B$3:$B$953&amp;"",UTILITIES!$O$3:$O$953,""),"IOT",_xlfn.XLOOKUP($K539&amp;"",IOT!$B$3:$B$1012&amp;"",IOT!$AB$3:$AB$1012,""),"Server",_xlfn.XLOOKUP($K539&amp;"",SERVER!$B$3:$B$1009&amp;"",SERVER!$AB$3:$AB$1009,""),""))))</f>
        <v/>
      </c>
      <c r="R539" s="43" t="str">
        <f>IF(tbl_handover[[#This Row],[Asset Code]]="","",COUNTIF(tbl_handover[Asset Code],tbl_handover[[#This Row],[Asset Code]]))</f>
        <v/>
      </c>
    </row>
    <row r="540" spans="1:18" x14ac:dyDescent="0.25">
      <c r="A540" s="43" t="str">
        <f>IF(B540&lt;&gt;"",SUBTOTAL(3,$B$1:B539),"")</f>
        <v/>
      </c>
      <c r="C540" s="74"/>
      <c r="D540" s="74"/>
      <c r="G540" s="1"/>
      <c r="K540" s="42"/>
      <c r="L540" t="str" cm="1">
        <f t="array" ref="L540">IF($K540="","",_xlfn.SWITCH($I540,"Computer",_xlfn.XLOOKUP($K540&amp;"",COMPUTER!$B$3:$B$1009&amp;"",COMPUTER!$I$3:$I$1009,""),"Display",_xlfn.XLOOKUP($K540&amp;"",DISPLAY!$B$3:$B$1000&amp;"",DISPLAY!$J$3:$J$1000,""),"Network Device",_xlfn.XLOOKUP($K540&amp;"",'NETWORK-DEVICES'!$B$3:$B$987&amp;"",'NETWORK-DEVICES'!$I$3:$I$987,""),"Peripheral",_xlfn.XLOOKUP($K540&amp;"",PERIPHERAL!$B$3:$B$954&amp;"",PERIPHERAL!$I$3:$I$954,""),"Utilities",_xlfn.XLOOKUP($K540&amp;"",UTILITIES!$B$3:$B$953&amp;"",UTILITIES!$H$3:$H$953,""),"IOT",_xlfn.XLOOKUP($K540&amp;"",IOT!$B$3:$B$1012&amp;"",IOT!$I$3:$I$1012,""),"SERVER",_xlfn.XLOOKUP($K540&amp;"",SERVER!$B$3:$B$1009&amp;"",SERVER!$I$3:$I$1009,""),""))</f>
        <v/>
      </c>
      <c r="M540" t="str" cm="1">
        <f t="array" ref="M540">IF($K540="","",_xlfn.SWITCH($I540,"Computer",_xlfn.XLOOKUP($K540&amp;"",COMPUTER!$B$3:$B$1009&amp;"",COMPUTER!$J$3:$J$1009,""),"Display",_xlfn.XLOOKUP($K540&amp;"",DISPLAY!$B$3:$B$1000&amp;"",DISPLAY!$K$3:$K$1000,""),"Network Device",_xlfn.XLOOKUP($K540&amp;"",'NETWORK-DEVICES'!$B$3:$B$987&amp;"",'NETWORK-DEVICES'!$I$3:$I$987,""),"Peripheral",_xlfn.XLOOKUP($K540&amp;"",PERIPHERAL!$B$3:$B$954&amp;"",PERIPHERAL!$J$3:$J$954,""),"Utilities",_xlfn.XLOOKUP($K540&amp;"",UTILITIES!$B$3:$B$953&amp;"",UTILITIES!$I$3:$I$953,""),"IOT",_xlfn.XLOOKUP($K540&amp;"",IOT!$B$3:$B$1012&amp;"",IOT!$J$3:$J$1012,""),"Server",_xlfn.XLOOKUP($K540&amp;"",SERVER!$B$3:$B$1009&amp;"",SERVER!$J$3:$J$1009,""),""))</f>
        <v/>
      </c>
      <c r="N540" s="1" t="str" cm="1">
        <f t="array" ref="N540">IF(OR($K540="",$I540="",$J540=""),"",_xlfn.LET(_xlpm.srcCat,_xlfn.SWITCH($I540,"Computer",_xlfn.XLOOKUP($K540&amp;"",COMPUTER!$B$3:$B$1009&amp;"",COMPUTER!$H$3:$H$1009,""),"Display",_xlfn.XLOOKUP($K540&amp;"",DISPLAY!$B$3:$B$1000&amp;"",DISPLAY!$H$3:$H$1000,""),"Network Device",_xlfn.XLOOKUP($K540&amp;"",'NETWORK-DEVICES'!$B$3:$B$987&amp;"",'NETWORK-DEVICES'!$H$3:$H$987,""),"Peripheral",_xlfn.XLOOKUP($K540&amp;"",PERIPHERAL!$B$3:$B$954&amp;"",PERIPHERAL!$H$3:$H$954,""),"Utilities",_xlfn.XLOOKUP($K540&amp;"",UTILITIES!$B$3:$B$953&amp;"",UTILITIES!$G$3:$G$953,""),"IOT",_xlfn.XLOOKUP($K540&amp;"",IOT!$B$3:$B$1012&amp;"",IOT!$H$3:$H$1012,""),"Server",_xlfn.XLOOKUP($K540&amp;"",SERVER!$B$3:$B$1009&amp;"",SERVER!$H$3:$H$1009,""),""),IF(TRIM(_xlpm.srcCat)&lt;&gt;TRIM($J540),"",_xlfn.SWITCH($I540,"Computer",_xlfn.XLOOKUP($K540&amp;"",COMPUTER!$B$3:$B$1009&amp;"",COMPUTER!$K$3:$K$1009,""),"Display",_xlfn.XLOOKUP($K540&amp;"",DISPLAY!$B$3:$B$1000&amp;"",DISPLAY!$L$3:$L$1000,""),"Network Device",_xlfn.XLOOKUP($K540&amp;"",'NETWORK-DEVICES'!$B$3:$B$987&amp;"",'NETWORK-DEVICES'!$K$3:$K$987,""),"Peripheral",_xlfn.XLOOKUP($K540&amp;"",PERIPHERAL!$B$3:$B$954&amp;"",PERIPHERAL!$K$3:$K$954,""),"Utilities",_xlfn.XLOOKUP($K540&amp;"",UTILITIES!$B$3:$B$953&amp;"",UTILITIES!$J$3:$J$953,""),"IOT",_xlfn.XLOOKUP($K540&amp;"",IOT!$B$3:$B$1012&amp;"",IOT!$K$4:$K$1012,""),"Server",_xlfn.XLOOKUP($K540&amp;"",SERVER!$B$3:$B$1009&amp;"",SERVER!$K$3:$K$1009,""),""))))</f>
        <v/>
      </c>
      <c r="O540" s="1" t="str" cm="1">
        <f t="array" ref="O540">IF(OR($K540="",$I540="",$J540=""),"",_xlfn.LET(_xlpm.srcCat,_xlfn.SWITCH($I540,"Computer",_xlfn.XLOOKUP($K540&amp;"",COMPUTER!$B$3:$B$1009&amp;"",COMPUTER!$H$3:$H$1009,""),"Display",_xlfn.XLOOKUP($K540&amp;"",DISPLAY!$B$3:$B$1000&amp;"",DISPLAY!$H$3:$H$1000,""),"Network Device",_xlfn.XLOOKUP($K540&amp;"",'NETWORK-DEVICES'!$B$3:$B$987&amp;"",'NETWORK-DEVICES'!$H$3:$H$987,""),"Peripheral",_xlfn.XLOOKUP($K540&amp;"",PERIPHERAL!$B$3:$B$954&amp;"",PERIPHERAL!$H$3:$H$954,""),"Utilities",_xlfn.XLOOKUP($K540&amp;"",UTILITIES!$B$3:$B$953&amp;"",UTILITIES!$G$3:$G$953,""),"IOT",_xlfn.XLOOKUP($K540&amp;"",IOT!$B$3:$B$1012&amp;"",IOT!$H$3:$H$1012,""),"Server",_xlfn.XLOOKUP($K540&amp;"",SERVER!$B$3:$B$1009&amp;"",SERVER!$H$3:$H$1009,""),""),IF(TRIM(_xlpm.srcCat)&lt;&gt;TRIM($J540),"",_xlfn.SWITCH($I540,"Computer",_xlfn.XLOOKUP($K540&amp;"",COMPUTER!$B$3:$B$1009&amp;"",COMPUTER!$E$3:$E$1009,""),"Display",_xlfn.XLOOKUP($K540&amp;"",DISPLAY!$B$3:$B$1000&amp;"",DISPLAY!$E$3:$E$1000,""),"Network Device",_xlfn.XLOOKUP($K540&amp;"",'NETWORK-DEVICES'!$B$3:$B$987&amp;"",'NETWORK-DEVICES'!$E$3:$E$987,""),"Peripheral",_xlfn.XLOOKUP($K540&amp;"",PERIPHERAL!$B$3:$B$954&amp;"",PERIPHERAL!$E$3:$E$954,""),"Utilities",_xlfn.XLOOKUP($K540&amp;"",UTILITIES!$B$3:$B$953&amp;"",UTILITIES!$E$3:$E$953,""),"IOT",_xlfn.XLOOKUP($K540&amp;"",IOT!$B$3:$B$1012&amp;"",IOT!$E$3:$E$1012,""),"Server",_xlfn.XLOOKUP($K540&amp;"",SERVER!$B$3:$B$1009&amp;"",SERVER!$E$3:$E$1009,""),""))))</f>
        <v/>
      </c>
      <c r="Q540" s="1" t="str" cm="1">
        <f t="array" ref="Q540">IF(OR($K540="",$I540="",$J540=""),"",_xlfn.LET(_xlpm.srcCat,_xlfn.SWITCH($I540,"Computer",_xlfn.XLOOKUP($K540&amp;"",COMPUTER!$B$3:$B$1009&amp;"",COMPUTER!$H$3:$H$1009,""),"Display",_xlfn.XLOOKUP($K540&amp;"",DISPLAY!$B$3:$B$1000&amp;"",DISPLAY!$H$3:$H$1000,""),"Network Device",_xlfn.XLOOKUP($K540&amp;"",'NETWORK-DEVICES'!$B$3:$B$987&amp;"",'NETWORK-DEVICES'!$H$3:$H$987,""),"Peripheral",_xlfn.XLOOKUP($K540&amp;"",PERIPHERAL!$B$3:$B$954&amp;"",PERIPHERAL!$H$3:$H$954,""),"Utilities",_xlfn.XLOOKUP($K540&amp;"",UTILITIES!$B$3:$B$953&amp;"",UTILITIES!$G$3:$G$953,""),"IOT",_xlfn.XLOOKUP($K540&amp;"",IOT!$B$3:$B$1012&amp;"",IOT!$H$3:$H$1012,""),"Server",_xlfn.XLOOKUP($K540&amp;"",SERVER!$B$3:$B$1009&amp;"",SERVER!$H$3:$H$1009,""),""),IF(TRIM(_xlpm.srcCat)&lt;&gt;TRIM($J540),"",_xlfn.SWITCH($I540,"Computer",_xlfn.XLOOKUP($K540&amp;"",COMPUTER!$B$3:$B$1009&amp;"",COMPUTER!$AM$3:$AM$1009,""),"Display",_xlfn.XLOOKUP($K540&amp;"",DISPLAY!$B$3:$B$1000&amp;"",DISPLAY!$V$3:$V$1000,""),"Network Device",_xlfn.XLOOKUP($K540&amp;"",'NETWORK-DEVICES'!$B$3:$B$987&amp;"",'NETWORK-DEVICES'!$AF$3:$AF$987,""),"Peripheral",_xlfn.XLOOKUP($K540&amp;"",PERIPHERAL!$B$3:$B$954&amp;"",PERIPHERAL!$Y$3:$Y$954,""),"Utilities",_xlfn.XLOOKUP($K540&amp;"",UTILITIES!$B$3:$B$953&amp;"",UTILITIES!$O$3:$O$953,""),"IOT",_xlfn.XLOOKUP($K540&amp;"",IOT!$B$3:$B$1012&amp;"",IOT!$AB$3:$AB$1012,""),"Server",_xlfn.XLOOKUP($K540&amp;"",SERVER!$B$3:$B$1009&amp;"",SERVER!$AB$3:$AB$1009,""),""))))</f>
        <v/>
      </c>
      <c r="R540" s="43" t="str">
        <f>IF(tbl_handover[[#This Row],[Asset Code]]="","",COUNTIF(tbl_handover[Asset Code],tbl_handover[[#This Row],[Asset Code]]))</f>
        <v/>
      </c>
    </row>
    <row r="541" spans="1:18" x14ac:dyDescent="0.25">
      <c r="A541" s="43" t="str">
        <f>IF(B541&lt;&gt;"",SUBTOTAL(3,$B$1:B540),"")</f>
        <v/>
      </c>
      <c r="C541" s="74"/>
      <c r="D541" s="74"/>
      <c r="G541" s="1"/>
      <c r="K541" s="42"/>
      <c r="L541" t="str" cm="1">
        <f t="array" ref="L541">IF($K541="","",_xlfn.SWITCH($I541,"Computer",_xlfn.XLOOKUP($K541&amp;"",COMPUTER!$B$3:$B$1009&amp;"",COMPUTER!$I$3:$I$1009,""),"Display",_xlfn.XLOOKUP($K541&amp;"",DISPLAY!$B$3:$B$1000&amp;"",DISPLAY!$J$3:$J$1000,""),"Network Device",_xlfn.XLOOKUP($K541&amp;"",'NETWORK-DEVICES'!$B$3:$B$987&amp;"",'NETWORK-DEVICES'!$I$3:$I$987,""),"Peripheral",_xlfn.XLOOKUP($K541&amp;"",PERIPHERAL!$B$3:$B$954&amp;"",PERIPHERAL!$I$3:$I$954,""),"Utilities",_xlfn.XLOOKUP($K541&amp;"",UTILITIES!$B$3:$B$953&amp;"",UTILITIES!$H$3:$H$953,""),"IOT",_xlfn.XLOOKUP($K541&amp;"",IOT!$B$3:$B$1012&amp;"",IOT!$I$3:$I$1012,""),"SERVER",_xlfn.XLOOKUP($K541&amp;"",SERVER!$B$3:$B$1009&amp;"",SERVER!$I$3:$I$1009,""),""))</f>
        <v/>
      </c>
      <c r="M541" t="str" cm="1">
        <f t="array" ref="M541">IF($K541="","",_xlfn.SWITCH($I541,"Computer",_xlfn.XLOOKUP($K541&amp;"",COMPUTER!$B$3:$B$1009&amp;"",COMPUTER!$J$3:$J$1009,""),"Display",_xlfn.XLOOKUP($K541&amp;"",DISPLAY!$B$3:$B$1000&amp;"",DISPLAY!$K$3:$K$1000,""),"Network Device",_xlfn.XLOOKUP($K541&amp;"",'NETWORK-DEVICES'!$B$3:$B$987&amp;"",'NETWORK-DEVICES'!$I$3:$I$987,""),"Peripheral",_xlfn.XLOOKUP($K541&amp;"",PERIPHERAL!$B$3:$B$954&amp;"",PERIPHERAL!$J$3:$J$954,""),"Utilities",_xlfn.XLOOKUP($K541&amp;"",UTILITIES!$B$3:$B$953&amp;"",UTILITIES!$I$3:$I$953,""),"IOT",_xlfn.XLOOKUP($K541&amp;"",IOT!$B$3:$B$1012&amp;"",IOT!$J$3:$J$1012,""),"Server",_xlfn.XLOOKUP($K541&amp;"",SERVER!$B$3:$B$1009&amp;"",SERVER!$J$3:$J$1009,""),""))</f>
        <v/>
      </c>
      <c r="N541" s="1" t="str" cm="1">
        <f t="array" ref="N541">IF(OR($K541="",$I541="",$J541=""),"",_xlfn.LET(_xlpm.srcCat,_xlfn.SWITCH($I541,"Computer",_xlfn.XLOOKUP($K541&amp;"",COMPUTER!$B$3:$B$1009&amp;"",COMPUTER!$H$3:$H$1009,""),"Display",_xlfn.XLOOKUP($K541&amp;"",DISPLAY!$B$3:$B$1000&amp;"",DISPLAY!$H$3:$H$1000,""),"Network Device",_xlfn.XLOOKUP($K541&amp;"",'NETWORK-DEVICES'!$B$3:$B$987&amp;"",'NETWORK-DEVICES'!$H$3:$H$987,""),"Peripheral",_xlfn.XLOOKUP($K541&amp;"",PERIPHERAL!$B$3:$B$954&amp;"",PERIPHERAL!$H$3:$H$954,""),"Utilities",_xlfn.XLOOKUP($K541&amp;"",UTILITIES!$B$3:$B$953&amp;"",UTILITIES!$G$3:$G$953,""),"IOT",_xlfn.XLOOKUP($K541&amp;"",IOT!$B$3:$B$1012&amp;"",IOT!$H$3:$H$1012,""),"Server",_xlfn.XLOOKUP($K541&amp;"",SERVER!$B$3:$B$1009&amp;"",SERVER!$H$3:$H$1009,""),""),IF(TRIM(_xlpm.srcCat)&lt;&gt;TRIM($J541),"",_xlfn.SWITCH($I541,"Computer",_xlfn.XLOOKUP($K541&amp;"",COMPUTER!$B$3:$B$1009&amp;"",COMPUTER!$K$3:$K$1009,""),"Display",_xlfn.XLOOKUP($K541&amp;"",DISPLAY!$B$3:$B$1000&amp;"",DISPLAY!$L$3:$L$1000,""),"Network Device",_xlfn.XLOOKUP($K541&amp;"",'NETWORK-DEVICES'!$B$3:$B$987&amp;"",'NETWORK-DEVICES'!$K$3:$K$987,""),"Peripheral",_xlfn.XLOOKUP($K541&amp;"",PERIPHERAL!$B$3:$B$954&amp;"",PERIPHERAL!$K$3:$K$954,""),"Utilities",_xlfn.XLOOKUP($K541&amp;"",UTILITIES!$B$3:$B$953&amp;"",UTILITIES!$J$3:$J$953,""),"IOT",_xlfn.XLOOKUP($K541&amp;"",IOT!$B$3:$B$1012&amp;"",IOT!$K$4:$K$1012,""),"Server",_xlfn.XLOOKUP($K541&amp;"",SERVER!$B$3:$B$1009&amp;"",SERVER!$K$3:$K$1009,""),""))))</f>
        <v/>
      </c>
      <c r="O541" s="1" t="str" cm="1">
        <f t="array" ref="O541">IF(OR($K541="",$I541="",$J541=""),"",_xlfn.LET(_xlpm.srcCat,_xlfn.SWITCH($I541,"Computer",_xlfn.XLOOKUP($K541&amp;"",COMPUTER!$B$3:$B$1009&amp;"",COMPUTER!$H$3:$H$1009,""),"Display",_xlfn.XLOOKUP($K541&amp;"",DISPLAY!$B$3:$B$1000&amp;"",DISPLAY!$H$3:$H$1000,""),"Network Device",_xlfn.XLOOKUP($K541&amp;"",'NETWORK-DEVICES'!$B$3:$B$987&amp;"",'NETWORK-DEVICES'!$H$3:$H$987,""),"Peripheral",_xlfn.XLOOKUP($K541&amp;"",PERIPHERAL!$B$3:$B$954&amp;"",PERIPHERAL!$H$3:$H$954,""),"Utilities",_xlfn.XLOOKUP($K541&amp;"",UTILITIES!$B$3:$B$953&amp;"",UTILITIES!$G$3:$G$953,""),"IOT",_xlfn.XLOOKUP($K541&amp;"",IOT!$B$3:$B$1012&amp;"",IOT!$H$3:$H$1012,""),"Server",_xlfn.XLOOKUP($K541&amp;"",SERVER!$B$3:$B$1009&amp;"",SERVER!$H$3:$H$1009,""),""),IF(TRIM(_xlpm.srcCat)&lt;&gt;TRIM($J541),"",_xlfn.SWITCH($I541,"Computer",_xlfn.XLOOKUP($K541&amp;"",COMPUTER!$B$3:$B$1009&amp;"",COMPUTER!$E$3:$E$1009,""),"Display",_xlfn.XLOOKUP($K541&amp;"",DISPLAY!$B$3:$B$1000&amp;"",DISPLAY!$E$3:$E$1000,""),"Network Device",_xlfn.XLOOKUP($K541&amp;"",'NETWORK-DEVICES'!$B$3:$B$987&amp;"",'NETWORK-DEVICES'!$E$3:$E$987,""),"Peripheral",_xlfn.XLOOKUP($K541&amp;"",PERIPHERAL!$B$3:$B$954&amp;"",PERIPHERAL!$E$3:$E$954,""),"Utilities",_xlfn.XLOOKUP($K541&amp;"",UTILITIES!$B$3:$B$953&amp;"",UTILITIES!$E$3:$E$953,""),"IOT",_xlfn.XLOOKUP($K541&amp;"",IOT!$B$3:$B$1012&amp;"",IOT!$E$3:$E$1012,""),"Server",_xlfn.XLOOKUP($K541&amp;"",SERVER!$B$3:$B$1009&amp;"",SERVER!$E$3:$E$1009,""),""))))</f>
        <v/>
      </c>
      <c r="Q541" s="1" t="str" cm="1">
        <f t="array" ref="Q541">IF(OR($K541="",$I541="",$J541=""),"",_xlfn.LET(_xlpm.srcCat,_xlfn.SWITCH($I541,"Computer",_xlfn.XLOOKUP($K541&amp;"",COMPUTER!$B$3:$B$1009&amp;"",COMPUTER!$H$3:$H$1009,""),"Display",_xlfn.XLOOKUP($K541&amp;"",DISPLAY!$B$3:$B$1000&amp;"",DISPLAY!$H$3:$H$1000,""),"Network Device",_xlfn.XLOOKUP($K541&amp;"",'NETWORK-DEVICES'!$B$3:$B$987&amp;"",'NETWORK-DEVICES'!$H$3:$H$987,""),"Peripheral",_xlfn.XLOOKUP($K541&amp;"",PERIPHERAL!$B$3:$B$954&amp;"",PERIPHERAL!$H$3:$H$954,""),"Utilities",_xlfn.XLOOKUP($K541&amp;"",UTILITIES!$B$3:$B$953&amp;"",UTILITIES!$G$3:$G$953,""),"IOT",_xlfn.XLOOKUP($K541&amp;"",IOT!$B$3:$B$1012&amp;"",IOT!$H$3:$H$1012,""),"Server",_xlfn.XLOOKUP($K541&amp;"",SERVER!$B$3:$B$1009&amp;"",SERVER!$H$3:$H$1009,""),""),IF(TRIM(_xlpm.srcCat)&lt;&gt;TRIM($J541),"",_xlfn.SWITCH($I541,"Computer",_xlfn.XLOOKUP($K541&amp;"",COMPUTER!$B$3:$B$1009&amp;"",COMPUTER!$AM$3:$AM$1009,""),"Display",_xlfn.XLOOKUP($K541&amp;"",DISPLAY!$B$3:$B$1000&amp;"",DISPLAY!$V$3:$V$1000,""),"Network Device",_xlfn.XLOOKUP($K541&amp;"",'NETWORK-DEVICES'!$B$3:$B$987&amp;"",'NETWORK-DEVICES'!$AF$3:$AF$987,""),"Peripheral",_xlfn.XLOOKUP($K541&amp;"",PERIPHERAL!$B$3:$B$954&amp;"",PERIPHERAL!$Y$3:$Y$954,""),"Utilities",_xlfn.XLOOKUP($K541&amp;"",UTILITIES!$B$3:$B$953&amp;"",UTILITIES!$O$3:$O$953,""),"IOT",_xlfn.XLOOKUP($K541&amp;"",IOT!$B$3:$B$1012&amp;"",IOT!$AB$3:$AB$1012,""),"Server",_xlfn.XLOOKUP($K541&amp;"",SERVER!$B$3:$B$1009&amp;"",SERVER!$AB$3:$AB$1009,""),""))))</f>
        <v/>
      </c>
      <c r="R541" s="43" t="str">
        <f>IF(tbl_handover[[#This Row],[Asset Code]]="","",COUNTIF(tbl_handover[Asset Code],tbl_handover[[#This Row],[Asset Code]]))</f>
        <v/>
      </c>
    </row>
    <row r="542" spans="1:18" x14ac:dyDescent="0.25">
      <c r="A542" s="43" t="str">
        <f>IF(B542&lt;&gt;"",SUBTOTAL(3,$B$1:B541),"")</f>
        <v/>
      </c>
      <c r="C542" s="74"/>
      <c r="D542" s="74"/>
      <c r="G542" s="1"/>
      <c r="K542" s="42"/>
      <c r="L542" t="str" cm="1">
        <f t="array" ref="L542">IF($K542="","",_xlfn.SWITCH($I542,"Computer",_xlfn.XLOOKUP($K542&amp;"",COMPUTER!$B$3:$B$1009&amp;"",COMPUTER!$I$3:$I$1009,""),"Display",_xlfn.XLOOKUP($K542&amp;"",DISPLAY!$B$3:$B$1000&amp;"",DISPLAY!$J$3:$J$1000,""),"Network Device",_xlfn.XLOOKUP($K542&amp;"",'NETWORK-DEVICES'!$B$3:$B$987&amp;"",'NETWORK-DEVICES'!$I$3:$I$987,""),"Peripheral",_xlfn.XLOOKUP($K542&amp;"",PERIPHERAL!$B$3:$B$954&amp;"",PERIPHERAL!$I$3:$I$954,""),"Utilities",_xlfn.XLOOKUP($K542&amp;"",UTILITIES!$B$3:$B$953&amp;"",UTILITIES!$H$3:$H$953,""),"IOT",_xlfn.XLOOKUP($K542&amp;"",IOT!$B$3:$B$1012&amp;"",IOT!$I$3:$I$1012,""),"SERVER",_xlfn.XLOOKUP($K542&amp;"",SERVER!$B$3:$B$1009&amp;"",SERVER!$I$3:$I$1009,""),""))</f>
        <v/>
      </c>
      <c r="M542" t="str" cm="1">
        <f t="array" ref="M542">IF($K542="","",_xlfn.SWITCH($I542,"Computer",_xlfn.XLOOKUP($K542&amp;"",COMPUTER!$B$3:$B$1009&amp;"",COMPUTER!$J$3:$J$1009,""),"Display",_xlfn.XLOOKUP($K542&amp;"",DISPLAY!$B$3:$B$1000&amp;"",DISPLAY!$K$3:$K$1000,""),"Network Device",_xlfn.XLOOKUP($K542&amp;"",'NETWORK-DEVICES'!$B$3:$B$987&amp;"",'NETWORK-DEVICES'!$I$3:$I$987,""),"Peripheral",_xlfn.XLOOKUP($K542&amp;"",PERIPHERAL!$B$3:$B$954&amp;"",PERIPHERAL!$J$3:$J$954,""),"Utilities",_xlfn.XLOOKUP($K542&amp;"",UTILITIES!$B$3:$B$953&amp;"",UTILITIES!$I$3:$I$953,""),"IOT",_xlfn.XLOOKUP($K542&amp;"",IOT!$B$3:$B$1012&amp;"",IOT!$J$3:$J$1012,""),"Server",_xlfn.XLOOKUP($K542&amp;"",SERVER!$B$3:$B$1009&amp;"",SERVER!$J$3:$J$1009,""),""))</f>
        <v/>
      </c>
      <c r="N542" s="1" t="str" cm="1">
        <f t="array" ref="N542">IF(OR($K542="",$I542="",$J542=""),"",_xlfn.LET(_xlpm.srcCat,_xlfn.SWITCH($I542,"Computer",_xlfn.XLOOKUP($K542&amp;"",COMPUTER!$B$3:$B$1009&amp;"",COMPUTER!$H$3:$H$1009,""),"Display",_xlfn.XLOOKUP($K542&amp;"",DISPLAY!$B$3:$B$1000&amp;"",DISPLAY!$H$3:$H$1000,""),"Network Device",_xlfn.XLOOKUP($K542&amp;"",'NETWORK-DEVICES'!$B$3:$B$987&amp;"",'NETWORK-DEVICES'!$H$3:$H$987,""),"Peripheral",_xlfn.XLOOKUP($K542&amp;"",PERIPHERAL!$B$3:$B$954&amp;"",PERIPHERAL!$H$3:$H$954,""),"Utilities",_xlfn.XLOOKUP($K542&amp;"",UTILITIES!$B$3:$B$953&amp;"",UTILITIES!$G$3:$G$953,""),"IOT",_xlfn.XLOOKUP($K542&amp;"",IOT!$B$3:$B$1012&amp;"",IOT!$H$3:$H$1012,""),"Server",_xlfn.XLOOKUP($K542&amp;"",SERVER!$B$3:$B$1009&amp;"",SERVER!$H$3:$H$1009,""),""),IF(TRIM(_xlpm.srcCat)&lt;&gt;TRIM($J542),"",_xlfn.SWITCH($I542,"Computer",_xlfn.XLOOKUP($K542&amp;"",COMPUTER!$B$3:$B$1009&amp;"",COMPUTER!$K$3:$K$1009,""),"Display",_xlfn.XLOOKUP($K542&amp;"",DISPLAY!$B$3:$B$1000&amp;"",DISPLAY!$L$3:$L$1000,""),"Network Device",_xlfn.XLOOKUP($K542&amp;"",'NETWORK-DEVICES'!$B$3:$B$987&amp;"",'NETWORK-DEVICES'!$K$3:$K$987,""),"Peripheral",_xlfn.XLOOKUP($K542&amp;"",PERIPHERAL!$B$3:$B$954&amp;"",PERIPHERAL!$K$3:$K$954,""),"Utilities",_xlfn.XLOOKUP($K542&amp;"",UTILITIES!$B$3:$B$953&amp;"",UTILITIES!$J$3:$J$953,""),"IOT",_xlfn.XLOOKUP($K542&amp;"",IOT!$B$3:$B$1012&amp;"",IOT!$K$4:$K$1012,""),"Server",_xlfn.XLOOKUP($K542&amp;"",SERVER!$B$3:$B$1009&amp;"",SERVER!$K$3:$K$1009,""),""))))</f>
        <v/>
      </c>
      <c r="O542" s="1" t="str" cm="1">
        <f t="array" ref="O542">IF(OR($K542="",$I542="",$J542=""),"",_xlfn.LET(_xlpm.srcCat,_xlfn.SWITCH($I542,"Computer",_xlfn.XLOOKUP($K542&amp;"",COMPUTER!$B$3:$B$1009&amp;"",COMPUTER!$H$3:$H$1009,""),"Display",_xlfn.XLOOKUP($K542&amp;"",DISPLAY!$B$3:$B$1000&amp;"",DISPLAY!$H$3:$H$1000,""),"Network Device",_xlfn.XLOOKUP($K542&amp;"",'NETWORK-DEVICES'!$B$3:$B$987&amp;"",'NETWORK-DEVICES'!$H$3:$H$987,""),"Peripheral",_xlfn.XLOOKUP($K542&amp;"",PERIPHERAL!$B$3:$B$954&amp;"",PERIPHERAL!$H$3:$H$954,""),"Utilities",_xlfn.XLOOKUP($K542&amp;"",UTILITIES!$B$3:$B$953&amp;"",UTILITIES!$G$3:$G$953,""),"IOT",_xlfn.XLOOKUP($K542&amp;"",IOT!$B$3:$B$1012&amp;"",IOT!$H$3:$H$1012,""),"Server",_xlfn.XLOOKUP($K542&amp;"",SERVER!$B$3:$B$1009&amp;"",SERVER!$H$3:$H$1009,""),""),IF(TRIM(_xlpm.srcCat)&lt;&gt;TRIM($J542),"",_xlfn.SWITCH($I542,"Computer",_xlfn.XLOOKUP($K542&amp;"",COMPUTER!$B$3:$B$1009&amp;"",COMPUTER!$E$3:$E$1009,""),"Display",_xlfn.XLOOKUP($K542&amp;"",DISPLAY!$B$3:$B$1000&amp;"",DISPLAY!$E$3:$E$1000,""),"Network Device",_xlfn.XLOOKUP($K542&amp;"",'NETWORK-DEVICES'!$B$3:$B$987&amp;"",'NETWORK-DEVICES'!$E$3:$E$987,""),"Peripheral",_xlfn.XLOOKUP($K542&amp;"",PERIPHERAL!$B$3:$B$954&amp;"",PERIPHERAL!$E$3:$E$954,""),"Utilities",_xlfn.XLOOKUP($K542&amp;"",UTILITIES!$B$3:$B$953&amp;"",UTILITIES!$E$3:$E$953,""),"IOT",_xlfn.XLOOKUP($K542&amp;"",IOT!$B$3:$B$1012&amp;"",IOT!$E$3:$E$1012,""),"Server",_xlfn.XLOOKUP($K542&amp;"",SERVER!$B$3:$B$1009&amp;"",SERVER!$E$3:$E$1009,""),""))))</f>
        <v/>
      </c>
      <c r="Q542" s="1" t="str" cm="1">
        <f t="array" ref="Q542">IF(OR($K542="",$I542="",$J542=""),"",_xlfn.LET(_xlpm.srcCat,_xlfn.SWITCH($I542,"Computer",_xlfn.XLOOKUP($K542&amp;"",COMPUTER!$B$3:$B$1009&amp;"",COMPUTER!$H$3:$H$1009,""),"Display",_xlfn.XLOOKUP($K542&amp;"",DISPLAY!$B$3:$B$1000&amp;"",DISPLAY!$H$3:$H$1000,""),"Network Device",_xlfn.XLOOKUP($K542&amp;"",'NETWORK-DEVICES'!$B$3:$B$987&amp;"",'NETWORK-DEVICES'!$H$3:$H$987,""),"Peripheral",_xlfn.XLOOKUP($K542&amp;"",PERIPHERAL!$B$3:$B$954&amp;"",PERIPHERAL!$H$3:$H$954,""),"Utilities",_xlfn.XLOOKUP($K542&amp;"",UTILITIES!$B$3:$B$953&amp;"",UTILITIES!$G$3:$G$953,""),"IOT",_xlfn.XLOOKUP($K542&amp;"",IOT!$B$3:$B$1012&amp;"",IOT!$H$3:$H$1012,""),"Server",_xlfn.XLOOKUP($K542&amp;"",SERVER!$B$3:$B$1009&amp;"",SERVER!$H$3:$H$1009,""),""),IF(TRIM(_xlpm.srcCat)&lt;&gt;TRIM($J542),"",_xlfn.SWITCH($I542,"Computer",_xlfn.XLOOKUP($K542&amp;"",COMPUTER!$B$3:$B$1009&amp;"",COMPUTER!$AM$3:$AM$1009,""),"Display",_xlfn.XLOOKUP($K542&amp;"",DISPLAY!$B$3:$B$1000&amp;"",DISPLAY!$V$3:$V$1000,""),"Network Device",_xlfn.XLOOKUP($K542&amp;"",'NETWORK-DEVICES'!$B$3:$B$987&amp;"",'NETWORK-DEVICES'!$AF$3:$AF$987,""),"Peripheral",_xlfn.XLOOKUP($K542&amp;"",PERIPHERAL!$B$3:$B$954&amp;"",PERIPHERAL!$Y$3:$Y$954,""),"Utilities",_xlfn.XLOOKUP($K542&amp;"",UTILITIES!$B$3:$B$953&amp;"",UTILITIES!$O$3:$O$953,""),"IOT",_xlfn.XLOOKUP($K542&amp;"",IOT!$B$3:$B$1012&amp;"",IOT!$AB$3:$AB$1012,""),"Server",_xlfn.XLOOKUP($K542&amp;"",SERVER!$B$3:$B$1009&amp;"",SERVER!$AB$3:$AB$1009,""),""))))</f>
        <v/>
      </c>
      <c r="R542" s="43" t="str">
        <f>IF(tbl_handover[[#This Row],[Asset Code]]="","",COUNTIF(tbl_handover[Asset Code],tbl_handover[[#This Row],[Asset Code]]))</f>
        <v/>
      </c>
    </row>
    <row r="543" spans="1:18" x14ac:dyDescent="0.25">
      <c r="A543" s="43" t="str">
        <f>IF(B543&lt;&gt;"",SUBTOTAL(3,$B$1:B542),"")</f>
        <v/>
      </c>
      <c r="C543" s="74"/>
      <c r="D543" s="74"/>
      <c r="G543" s="1"/>
      <c r="K543" s="42"/>
      <c r="L543" t="str" cm="1">
        <f t="array" ref="L543">IF($K543="","",_xlfn.SWITCH($I543,"Computer",_xlfn.XLOOKUP($K543&amp;"",COMPUTER!$B$3:$B$1009&amp;"",COMPUTER!$I$3:$I$1009,""),"Display",_xlfn.XLOOKUP($K543&amp;"",DISPLAY!$B$3:$B$1000&amp;"",DISPLAY!$J$3:$J$1000,""),"Network Device",_xlfn.XLOOKUP($K543&amp;"",'NETWORK-DEVICES'!$B$3:$B$987&amp;"",'NETWORK-DEVICES'!$I$3:$I$987,""),"Peripheral",_xlfn.XLOOKUP($K543&amp;"",PERIPHERAL!$B$3:$B$954&amp;"",PERIPHERAL!$I$3:$I$954,""),"Utilities",_xlfn.XLOOKUP($K543&amp;"",UTILITIES!$B$3:$B$953&amp;"",UTILITIES!$H$3:$H$953,""),"IOT",_xlfn.XLOOKUP($K543&amp;"",IOT!$B$3:$B$1012&amp;"",IOT!$I$3:$I$1012,""),"SERVER",_xlfn.XLOOKUP($K543&amp;"",SERVER!$B$3:$B$1009&amp;"",SERVER!$I$3:$I$1009,""),""))</f>
        <v/>
      </c>
      <c r="M543" t="str" cm="1">
        <f t="array" ref="M543">IF($K543="","",_xlfn.SWITCH($I543,"Computer",_xlfn.XLOOKUP($K543&amp;"",COMPUTER!$B$3:$B$1009&amp;"",COMPUTER!$J$3:$J$1009,""),"Display",_xlfn.XLOOKUP($K543&amp;"",DISPLAY!$B$3:$B$1000&amp;"",DISPLAY!$K$3:$K$1000,""),"Network Device",_xlfn.XLOOKUP($K543&amp;"",'NETWORK-DEVICES'!$B$3:$B$987&amp;"",'NETWORK-DEVICES'!$I$3:$I$987,""),"Peripheral",_xlfn.XLOOKUP($K543&amp;"",PERIPHERAL!$B$3:$B$954&amp;"",PERIPHERAL!$J$3:$J$954,""),"Utilities",_xlfn.XLOOKUP($K543&amp;"",UTILITIES!$B$3:$B$953&amp;"",UTILITIES!$I$3:$I$953,""),"IOT",_xlfn.XLOOKUP($K543&amp;"",IOT!$B$3:$B$1012&amp;"",IOT!$J$3:$J$1012,""),"Server",_xlfn.XLOOKUP($K543&amp;"",SERVER!$B$3:$B$1009&amp;"",SERVER!$J$3:$J$1009,""),""))</f>
        <v/>
      </c>
      <c r="N543" s="1" t="str" cm="1">
        <f t="array" ref="N543">IF(OR($K543="",$I543="",$J543=""),"",_xlfn.LET(_xlpm.srcCat,_xlfn.SWITCH($I543,"Computer",_xlfn.XLOOKUP($K543&amp;"",COMPUTER!$B$3:$B$1009&amp;"",COMPUTER!$H$3:$H$1009,""),"Display",_xlfn.XLOOKUP($K543&amp;"",DISPLAY!$B$3:$B$1000&amp;"",DISPLAY!$H$3:$H$1000,""),"Network Device",_xlfn.XLOOKUP($K543&amp;"",'NETWORK-DEVICES'!$B$3:$B$987&amp;"",'NETWORK-DEVICES'!$H$3:$H$987,""),"Peripheral",_xlfn.XLOOKUP($K543&amp;"",PERIPHERAL!$B$3:$B$954&amp;"",PERIPHERAL!$H$3:$H$954,""),"Utilities",_xlfn.XLOOKUP($K543&amp;"",UTILITIES!$B$3:$B$953&amp;"",UTILITIES!$G$3:$G$953,""),"IOT",_xlfn.XLOOKUP($K543&amp;"",IOT!$B$3:$B$1012&amp;"",IOT!$H$3:$H$1012,""),"Server",_xlfn.XLOOKUP($K543&amp;"",SERVER!$B$3:$B$1009&amp;"",SERVER!$H$3:$H$1009,""),""),IF(TRIM(_xlpm.srcCat)&lt;&gt;TRIM($J543),"",_xlfn.SWITCH($I543,"Computer",_xlfn.XLOOKUP($K543&amp;"",COMPUTER!$B$3:$B$1009&amp;"",COMPUTER!$K$3:$K$1009,""),"Display",_xlfn.XLOOKUP($K543&amp;"",DISPLAY!$B$3:$B$1000&amp;"",DISPLAY!$L$3:$L$1000,""),"Network Device",_xlfn.XLOOKUP($K543&amp;"",'NETWORK-DEVICES'!$B$3:$B$987&amp;"",'NETWORK-DEVICES'!$K$3:$K$987,""),"Peripheral",_xlfn.XLOOKUP($K543&amp;"",PERIPHERAL!$B$3:$B$954&amp;"",PERIPHERAL!$K$3:$K$954,""),"Utilities",_xlfn.XLOOKUP($K543&amp;"",UTILITIES!$B$3:$B$953&amp;"",UTILITIES!$J$3:$J$953,""),"IOT",_xlfn.XLOOKUP($K543&amp;"",IOT!$B$3:$B$1012&amp;"",IOT!$K$4:$K$1012,""),"Server",_xlfn.XLOOKUP($K543&amp;"",SERVER!$B$3:$B$1009&amp;"",SERVER!$K$3:$K$1009,""),""))))</f>
        <v/>
      </c>
      <c r="O543" s="1" t="str" cm="1">
        <f t="array" ref="O543">IF(OR($K543="",$I543="",$J543=""),"",_xlfn.LET(_xlpm.srcCat,_xlfn.SWITCH($I543,"Computer",_xlfn.XLOOKUP($K543&amp;"",COMPUTER!$B$3:$B$1009&amp;"",COMPUTER!$H$3:$H$1009,""),"Display",_xlfn.XLOOKUP($K543&amp;"",DISPLAY!$B$3:$B$1000&amp;"",DISPLAY!$H$3:$H$1000,""),"Network Device",_xlfn.XLOOKUP($K543&amp;"",'NETWORK-DEVICES'!$B$3:$B$987&amp;"",'NETWORK-DEVICES'!$H$3:$H$987,""),"Peripheral",_xlfn.XLOOKUP($K543&amp;"",PERIPHERAL!$B$3:$B$954&amp;"",PERIPHERAL!$H$3:$H$954,""),"Utilities",_xlfn.XLOOKUP($K543&amp;"",UTILITIES!$B$3:$B$953&amp;"",UTILITIES!$G$3:$G$953,""),"IOT",_xlfn.XLOOKUP($K543&amp;"",IOT!$B$3:$B$1012&amp;"",IOT!$H$3:$H$1012,""),"Server",_xlfn.XLOOKUP($K543&amp;"",SERVER!$B$3:$B$1009&amp;"",SERVER!$H$3:$H$1009,""),""),IF(TRIM(_xlpm.srcCat)&lt;&gt;TRIM($J543),"",_xlfn.SWITCH($I543,"Computer",_xlfn.XLOOKUP($K543&amp;"",COMPUTER!$B$3:$B$1009&amp;"",COMPUTER!$E$3:$E$1009,""),"Display",_xlfn.XLOOKUP($K543&amp;"",DISPLAY!$B$3:$B$1000&amp;"",DISPLAY!$E$3:$E$1000,""),"Network Device",_xlfn.XLOOKUP($K543&amp;"",'NETWORK-DEVICES'!$B$3:$B$987&amp;"",'NETWORK-DEVICES'!$E$3:$E$987,""),"Peripheral",_xlfn.XLOOKUP($K543&amp;"",PERIPHERAL!$B$3:$B$954&amp;"",PERIPHERAL!$E$3:$E$954,""),"Utilities",_xlfn.XLOOKUP($K543&amp;"",UTILITIES!$B$3:$B$953&amp;"",UTILITIES!$E$3:$E$953,""),"IOT",_xlfn.XLOOKUP($K543&amp;"",IOT!$B$3:$B$1012&amp;"",IOT!$E$3:$E$1012,""),"Server",_xlfn.XLOOKUP($K543&amp;"",SERVER!$B$3:$B$1009&amp;"",SERVER!$E$3:$E$1009,""),""))))</f>
        <v/>
      </c>
      <c r="Q543" s="1" t="str" cm="1">
        <f t="array" ref="Q543">IF(OR($K543="",$I543="",$J543=""),"",_xlfn.LET(_xlpm.srcCat,_xlfn.SWITCH($I543,"Computer",_xlfn.XLOOKUP($K543&amp;"",COMPUTER!$B$3:$B$1009&amp;"",COMPUTER!$H$3:$H$1009,""),"Display",_xlfn.XLOOKUP($K543&amp;"",DISPLAY!$B$3:$B$1000&amp;"",DISPLAY!$H$3:$H$1000,""),"Network Device",_xlfn.XLOOKUP($K543&amp;"",'NETWORK-DEVICES'!$B$3:$B$987&amp;"",'NETWORK-DEVICES'!$H$3:$H$987,""),"Peripheral",_xlfn.XLOOKUP($K543&amp;"",PERIPHERAL!$B$3:$B$954&amp;"",PERIPHERAL!$H$3:$H$954,""),"Utilities",_xlfn.XLOOKUP($K543&amp;"",UTILITIES!$B$3:$B$953&amp;"",UTILITIES!$G$3:$G$953,""),"IOT",_xlfn.XLOOKUP($K543&amp;"",IOT!$B$3:$B$1012&amp;"",IOT!$H$3:$H$1012,""),"Server",_xlfn.XLOOKUP($K543&amp;"",SERVER!$B$3:$B$1009&amp;"",SERVER!$H$3:$H$1009,""),""),IF(TRIM(_xlpm.srcCat)&lt;&gt;TRIM($J543),"",_xlfn.SWITCH($I543,"Computer",_xlfn.XLOOKUP($K543&amp;"",COMPUTER!$B$3:$B$1009&amp;"",COMPUTER!$AM$3:$AM$1009,""),"Display",_xlfn.XLOOKUP($K543&amp;"",DISPLAY!$B$3:$B$1000&amp;"",DISPLAY!$V$3:$V$1000,""),"Network Device",_xlfn.XLOOKUP($K543&amp;"",'NETWORK-DEVICES'!$B$3:$B$987&amp;"",'NETWORK-DEVICES'!$AF$3:$AF$987,""),"Peripheral",_xlfn.XLOOKUP($K543&amp;"",PERIPHERAL!$B$3:$B$954&amp;"",PERIPHERAL!$Y$3:$Y$954,""),"Utilities",_xlfn.XLOOKUP($K543&amp;"",UTILITIES!$B$3:$B$953&amp;"",UTILITIES!$O$3:$O$953,""),"IOT",_xlfn.XLOOKUP($K543&amp;"",IOT!$B$3:$B$1012&amp;"",IOT!$AB$3:$AB$1012,""),"Server",_xlfn.XLOOKUP($K543&amp;"",SERVER!$B$3:$B$1009&amp;"",SERVER!$AB$3:$AB$1009,""),""))))</f>
        <v/>
      </c>
      <c r="R543" s="43" t="str">
        <f>IF(tbl_handover[[#This Row],[Asset Code]]="","",COUNTIF(tbl_handover[Asset Code],tbl_handover[[#This Row],[Asset Code]]))</f>
        <v/>
      </c>
    </row>
    <row r="544" spans="1:18" x14ac:dyDescent="0.25">
      <c r="A544" s="43" t="str">
        <f>IF(B544&lt;&gt;"",SUBTOTAL(3,$B$1:B543),"")</f>
        <v/>
      </c>
      <c r="C544" s="74"/>
      <c r="D544" s="74"/>
      <c r="G544" s="1"/>
      <c r="K544" s="42"/>
      <c r="L544" t="str" cm="1">
        <f t="array" ref="L544">IF($K544="","",_xlfn.SWITCH($I544,"Computer",_xlfn.XLOOKUP($K544&amp;"",COMPUTER!$B$3:$B$1009&amp;"",COMPUTER!$I$3:$I$1009,""),"Display",_xlfn.XLOOKUP($K544&amp;"",DISPLAY!$B$3:$B$1000&amp;"",DISPLAY!$J$3:$J$1000,""),"Network Device",_xlfn.XLOOKUP($K544&amp;"",'NETWORK-DEVICES'!$B$3:$B$987&amp;"",'NETWORK-DEVICES'!$I$3:$I$987,""),"Peripheral",_xlfn.XLOOKUP($K544&amp;"",PERIPHERAL!$B$3:$B$954&amp;"",PERIPHERAL!$I$3:$I$954,""),"Utilities",_xlfn.XLOOKUP($K544&amp;"",UTILITIES!$B$3:$B$953&amp;"",UTILITIES!$H$3:$H$953,""),"IOT",_xlfn.XLOOKUP($K544&amp;"",IOT!$B$3:$B$1012&amp;"",IOT!$I$3:$I$1012,""),"SERVER",_xlfn.XLOOKUP($K544&amp;"",SERVER!$B$3:$B$1009&amp;"",SERVER!$I$3:$I$1009,""),""))</f>
        <v/>
      </c>
      <c r="M544" t="str" cm="1">
        <f t="array" ref="M544">IF($K544="","",_xlfn.SWITCH($I544,"Computer",_xlfn.XLOOKUP($K544&amp;"",COMPUTER!$B$3:$B$1009&amp;"",COMPUTER!$J$3:$J$1009,""),"Display",_xlfn.XLOOKUP($K544&amp;"",DISPLAY!$B$3:$B$1000&amp;"",DISPLAY!$K$3:$K$1000,""),"Network Device",_xlfn.XLOOKUP($K544&amp;"",'NETWORK-DEVICES'!$B$3:$B$987&amp;"",'NETWORK-DEVICES'!$I$3:$I$987,""),"Peripheral",_xlfn.XLOOKUP($K544&amp;"",PERIPHERAL!$B$3:$B$954&amp;"",PERIPHERAL!$J$3:$J$954,""),"Utilities",_xlfn.XLOOKUP($K544&amp;"",UTILITIES!$B$3:$B$953&amp;"",UTILITIES!$I$3:$I$953,""),"IOT",_xlfn.XLOOKUP($K544&amp;"",IOT!$B$3:$B$1012&amp;"",IOT!$J$3:$J$1012,""),"Server",_xlfn.XLOOKUP($K544&amp;"",SERVER!$B$3:$B$1009&amp;"",SERVER!$J$3:$J$1009,""),""))</f>
        <v/>
      </c>
      <c r="N544" s="1" t="str" cm="1">
        <f t="array" ref="N544">IF(OR($K544="",$I544="",$J544=""),"",_xlfn.LET(_xlpm.srcCat,_xlfn.SWITCH($I544,"Computer",_xlfn.XLOOKUP($K544&amp;"",COMPUTER!$B$3:$B$1009&amp;"",COMPUTER!$H$3:$H$1009,""),"Display",_xlfn.XLOOKUP($K544&amp;"",DISPLAY!$B$3:$B$1000&amp;"",DISPLAY!$H$3:$H$1000,""),"Network Device",_xlfn.XLOOKUP($K544&amp;"",'NETWORK-DEVICES'!$B$3:$B$987&amp;"",'NETWORK-DEVICES'!$H$3:$H$987,""),"Peripheral",_xlfn.XLOOKUP($K544&amp;"",PERIPHERAL!$B$3:$B$954&amp;"",PERIPHERAL!$H$3:$H$954,""),"Utilities",_xlfn.XLOOKUP($K544&amp;"",UTILITIES!$B$3:$B$953&amp;"",UTILITIES!$G$3:$G$953,""),"IOT",_xlfn.XLOOKUP($K544&amp;"",IOT!$B$3:$B$1012&amp;"",IOT!$H$3:$H$1012,""),"Server",_xlfn.XLOOKUP($K544&amp;"",SERVER!$B$3:$B$1009&amp;"",SERVER!$H$3:$H$1009,""),""),IF(TRIM(_xlpm.srcCat)&lt;&gt;TRIM($J544),"",_xlfn.SWITCH($I544,"Computer",_xlfn.XLOOKUP($K544&amp;"",COMPUTER!$B$3:$B$1009&amp;"",COMPUTER!$K$3:$K$1009,""),"Display",_xlfn.XLOOKUP($K544&amp;"",DISPLAY!$B$3:$B$1000&amp;"",DISPLAY!$L$3:$L$1000,""),"Network Device",_xlfn.XLOOKUP($K544&amp;"",'NETWORK-DEVICES'!$B$3:$B$987&amp;"",'NETWORK-DEVICES'!$K$3:$K$987,""),"Peripheral",_xlfn.XLOOKUP($K544&amp;"",PERIPHERAL!$B$3:$B$954&amp;"",PERIPHERAL!$K$3:$K$954,""),"Utilities",_xlfn.XLOOKUP($K544&amp;"",UTILITIES!$B$3:$B$953&amp;"",UTILITIES!$J$3:$J$953,""),"IOT",_xlfn.XLOOKUP($K544&amp;"",IOT!$B$3:$B$1012&amp;"",IOT!$K$4:$K$1012,""),"Server",_xlfn.XLOOKUP($K544&amp;"",SERVER!$B$3:$B$1009&amp;"",SERVER!$K$3:$K$1009,""),""))))</f>
        <v/>
      </c>
      <c r="O544" s="1" t="str" cm="1">
        <f t="array" ref="O544">IF(OR($K544="",$I544="",$J544=""),"",_xlfn.LET(_xlpm.srcCat,_xlfn.SWITCH($I544,"Computer",_xlfn.XLOOKUP($K544&amp;"",COMPUTER!$B$3:$B$1009&amp;"",COMPUTER!$H$3:$H$1009,""),"Display",_xlfn.XLOOKUP($K544&amp;"",DISPLAY!$B$3:$B$1000&amp;"",DISPLAY!$H$3:$H$1000,""),"Network Device",_xlfn.XLOOKUP($K544&amp;"",'NETWORK-DEVICES'!$B$3:$B$987&amp;"",'NETWORK-DEVICES'!$H$3:$H$987,""),"Peripheral",_xlfn.XLOOKUP($K544&amp;"",PERIPHERAL!$B$3:$B$954&amp;"",PERIPHERAL!$H$3:$H$954,""),"Utilities",_xlfn.XLOOKUP($K544&amp;"",UTILITIES!$B$3:$B$953&amp;"",UTILITIES!$G$3:$G$953,""),"IOT",_xlfn.XLOOKUP($K544&amp;"",IOT!$B$3:$B$1012&amp;"",IOT!$H$3:$H$1012,""),"Server",_xlfn.XLOOKUP($K544&amp;"",SERVER!$B$3:$B$1009&amp;"",SERVER!$H$3:$H$1009,""),""),IF(TRIM(_xlpm.srcCat)&lt;&gt;TRIM($J544),"",_xlfn.SWITCH($I544,"Computer",_xlfn.XLOOKUP($K544&amp;"",COMPUTER!$B$3:$B$1009&amp;"",COMPUTER!$E$3:$E$1009,""),"Display",_xlfn.XLOOKUP($K544&amp;"",DISPLAY!$B$3:$B$1000&amp;"",DISPLAY!$E$3:$E$1000,""),"Network Device",_xlfn.XLOOKUP($K544&amp;"",'NETWORK-DEVICES'!$B$3:$B$987&amp;"",'NETWORK-DEVICES'!$E$3:$E$987,""),"Peripheral",_xlfn.XLOOKUP($K544&amp;"",PERIPHERAL!$B$3:$B$954&amp;"",PERIPHERAL!$E$3:$E$954,""),"Utilities",_xlfn.XLOOKUP($K544&amp;"",UTILITIES!$B$3:$B$953&amp;"",UTILITIES!$E$3:$E$953,""),"IOT",_xlfn.XLOOKUP($K544&amp;"",IOT!$B$3:$B$1012&amp;"",IOT!$E$3:$E$1012,""),"Server",_xlfn.XLOOKUP($K544&amp;"",SERVER!$B$3:$B$1009&amp;"",SERVER!$E$3:$E$1009,""),""))))</f>
        <v/>
      </c>
      <c r="Q544" s="1" t="str" cm="1">
        <f t="array" ref="Q544">IF(OR($K544="",$I544="",$J544=""),"",_xlfn.LET(_xlpm.srcCat,_xlfn.SWITCH($I544,"Computer",_xlfn.XLOOKUP($K544&amp;"",COMPUTER!$B$3:$B$1009&amp;"",COMPUTER!$H$3:$H$1009,""),"Display",_xlfn.XLOOKUP($K544&amp;"",DISPLAY!$B$3:$B$1000&amp;"",DISPLAY!$H$3:$H$1000,""),"Network Device",_xlfn.XLOOKUP($K544&amp;"",'NETWORK-DEVICES'!$B$3:$B$987&amp;"",'NETWORK-DEVICES'!$H$3:$H$987,""),"Peripheral",_xlfn.XLOOKUP($K544&amp;"",PERIPHERAL!$B$3:$B$954&amp;"",PERIPHERAL!$H$3:$H$954,""),"Utilities",_xlfn.XLOOKUP($K544&amp;"",UTILITIES!$B$3:$B$953&amp;"",UTILITIES!$G$3:$G$953,""),"IOT",_xlfn.XLOOKUP($K544&amp;"",IOT!$B$3:$B$1012&amp;"",IOT!$H$3:$H$1012,""),"Server",_xlfn.XLOOKUP($K544&amp;"",SERVER!$B$3:$B$1009&amp;"",SERVER!$H$3:$H$1009,""),""),IF(TRIM(_xlpm.srcCat)&lt;&gt;TRIM($J544),"",_xlfn.SWITCH($I544,"Computer",_xlfn.XLOOKUP($K544&amp;"",COMPUTER!$B$3:$B$1009&amp;"",COMPUTER!$AM$3:$AM$1009,""),"Display",_xlfn.XLOOKUP($K544&amp;"",DISPLAY!$B$3:$B$1000&amp;"",DISPLAY!$V$3:$V$1000,""),"Network Device",_xlfn.XLOOKUP($K544&amp;"",'NETWORK-DEVICES'!$B$3:$B$987&amp;"",'NETWORK-DEVICES'!$AF$3:$AF$987,""),"Peripheral",_xlfn.XLOOKUP($K544&amp;"",PERIPHERAL!$B$3:$B$954&amp;"",PERIPHERAL!$Y$3:$Y$954,""),"Utilities",_xlfn.XLOOKUP($K544&amp;"",UTILITIES!$B$3:$B$953&amp;"",UTILITIES!$O$3:$O$953,""),"IOT",_xlfn.XLOOKUP($K544&amp;"",IOT!$B$3:$B$1012&amp;"",IOT!$AB$3:$AB$1012,""),"Server",_xlfn.XLOOKUP($K544&amp;"",SERVER!$B$3:$B$1009&amp;"",SERVER!$AB$3:$AB$1009,""),""))))</f>
        <v/>
      </c>
      <c r="R544" s="43" t="str">
        <f>IF(tbl_handover[[#This Row],[Asset Code]]="","",COUNTIF(tbl_handover[Asset Code],tbl_handover[[#This Row],[Asset Code]]))</f>
        <v/>
      </c>
    </row>
    <row r="545" spans="1:18" x14ac:dyDescent="0.25">
      <c r="A545" s="43" t="str">
        <f>IF(B545&lt;&gt;"",SUBTOTAL(3,$B$1:B544),"")</f>
        <v/>
      </c>
      <c r="C545" s="74"/>
      <c r="D545" s="74"/>
      <c r="G545" s="1"/>
      <c r="K545" s="42"/>
      <c r="L545" t="str" cm="1">
        <f t="array" ref="L545">IF($K545="","",_xlfn.SWITCH($I545,"Computer",_xlfn.XLOOKUP($K545&amp;"",COMPUTER!$B$3:$B$1009&amp;"",COMPUTER!$I$3:$I$1009,""),"Display",_xlfn.XLOOKUP($K545&amp;"",DISPLAY!$B$3:$B$1000&amp;"",DISPLAY!$J$3:$J$1000,""),"Network Device",_xlfn.XLOOKUP($K545&amp;"",'NETWORK-DEVICES'!$B$3:$B$987&amp;"",'NETWORK-DEVICES'!$I$3:$I$987,""),"Peripheral",_xlfn.XLOOKUP($K545&amp;"",PERIPHERAL!$B$3:$B$954&amp;"",PERIPHERAL!$I$3:$I$954,""),"Utilities",_xlfn.XLOOKUP($K545&amp;"",UTILITIES!$B$3:$B$953&amp;"",UTILITIES!$H$3:$H$953,""),"IOT",_xlfn.XLOOKUP($K545&amp;"",IOT!$B$3:$B$1012&amp;"",IOT!$I$3:$I$1012,""),"SERVER",_xlfn.XLOOKUP($K545&amp;"",SERVER!$B$3:$B$1009&amp;"",SERVER!$I$3:$I$1009,""),""))</f>
        <v/>
      </c>
      <c r="M545" t="str" cm="1">
        <f t="array" ref="M545">IF($K545="","",_xlfn.SWITCH($I545,"Computer",_xlfn.XLOOKUP($K545&amp;"",COMPUTER!$B$3:$B$1009&amp;"",COMPUTER!$J$3:$J$1009,""),"Display",_xlfn.XLOOKUP($K545&amp;"",DISPLAY!$B$3:$B$1000&amp;"",DISPLAY!$K$3:$K$1000,""),"Network Device",_xlfn.XLOOKUP($K545&amp;"",'NETWORK-DEVICES'!$B$3:$B$987&amp;"",'NETWORK-DEVICES'!$I$3:$I$987,""),"Peripheral",_xlfn.XLOOKUP($K545&amp;"",PERIPHERAL!$B$3:$B$954&amp;"",PERIPHERAL!$J$3:$J$954,""),"Utilities",_xlfn.XLOOKUP($K545&amp;"",UTILITIES!$B$3:$B$953&amp;"",UTILITIES!$I$3:$I$953,""),"IOT",_xlfn.XLOOKUP($K545&amp;"",IOT!$B$3:$B$1012&amp;"",IOT!$J$3:$J$1012,""),"Server",_xlfn.XLOOKUP($K545&amp;"",SERVER!$B$3:$B$1009&amp;"",SERVER!$J$3:$J$1009,""),""))</f>
        <v/>
      </c>
      <c r="N545" s="1" t="str" cm="1">
        <f t="array" ref="N545">IF(OR($K545="",$I545="",$J545=""),"",_xlfn.LET(_xlpm.srcCat,_xlfn.SWITCH($I545,"Computer",_xlfn.XLOOKUP($K545&amp;"",COMPUTER!$B$3:$B$1009&amp;"",COMPUTER!$H$3:$H$1009,""),"Display",_xlfn.XLOOKUP($K545&amp;"",DISPLAY!$B$3:$B$1000&amp;"",DISPLAY!$H$3:$H$1000,""),"Network Device",_xlfn.XLOOKUP($K545&amp;"",'NETWORK-DEVICES'!$B$3:$B$987&amp;"",'NETWORK-DEVICES'!$H$3:$H$987,""),"Peripheral",_xlfn.XLOOKUP($K545&amp;"",PERIPHERAL!$B$3:$B$954&amp;"",PERIPHERAL!$H$3:$H$954,""),"Utilities",_xlfn.XLOOKUP($K545&amp;"",UTILITIES!$B$3:$B$953&amp;"",UTILITIES!$G$3:$G$953,""),"IOT",_xlfn.XLOOKUP($K545&amp;"",IOT!$B$3:$B$1012&amp;"",IOT!$H$3:$H$1012,""),"Server",_xlfn.XLOOKUP($K545&amp;"",SERVER!$B$3:$B$1009&amp;"",SERVER!$H$3:$H$1009,""),""),IF(TRIM(_xlpm.srcCat)&lt;&gt;TRIM($J545),"",_xlfn.SWITCH($I545,"Computer",_xlfn.XLOOKUP($K545&amp;"",COMPUTER!$B$3:$B$1009&amp;"",COMPUTER!$K$3:$K$1009,""),"Display",_xlfn.XLOOKUP($K545&amp;"",DISPLAY!$B$3:$B$1000&amp;"",DISPLAY!$L$3:$L$1000,""),"Network Device",_xlfn.XLOOKUP($K545&amp;"",'NETWORK-DEVICES'!$B$3:$B$987&amp;"",'NETWORK-DEVICES'!$K$3:$K$987,""),"Peripheral",_xlfn.XLOOKUP($K545&amp;"",PERIPHERAL!$B$3:$B$954&amp;"",PERIPHERAL!$K$3:$K$954,""),"Utilities",_xlfn.XLOOKUP($K545&amp;"",UTILITIES!$B$3:$B$953&amp;"",UTILITIES!$J$3:$J$953,""),"IOT",_xlfn.XLOOKUP($K545&amp;"",IOT!$B$3:$B$1012&amp;"",IOT!$K$4:$K$1012,""),"Server",_xlfn.XLOOKUP($K545&amp;"",SERVER!$B$3:$B$1009&amp;"",SERVER!$K$3:$K$1009,""),""))))</f>
        <v/>
      </c>
      <c r="O545" s="1" t="str" cm="1">
        <f t="array" ref="O545">IF(OR($K545="",$I545="",$J545=""),"",_xlfn.LET(_xlpm.srcCat,_xlfn.SWITCH($I545,"Computer",_xlfn.XLOOKUP($K545&amp;"",COMPUTER!$B$3:$B$1009&amp;"",COMPUTER!$H$3:$H$1009,""),"Display",_xlfn.XLOOKUP($K545&amp;"",DISPLAY!$B$3:$B$1000&amp;"",DISPLAY!$H$3:$H$1000,""),"Network Device",_xlfn.XLOOKUP($K545&amp;"",'NETWORK-DEVICES'!$B$3:$B$987&amp;"",'NETWORK-DEVICES'!$H$3:$H$987,""),"Peripheral",_xlfn.XLOOKUP($K545&amp;"",PERIPHERAL!$B$3:$B$954&amp;"",PERIPHERAL!$H$3:$H$954,""),"Utilities",_xlfn.XLOOKUP($K545&amp;"",UTILITIES!$B$3:$B$953&amp;"",UTILITIES!$G$3:$G$953,""),"IOT",_xlfn.XLOOKUP($K545&amp;"",IOT!$B$3:$B$1012&amp;"",IOT!$H$3:$H$1012,""),"Server",_xlfn.XLOOKUP($K545&amp;"",SERVER!$B$3:$B$1009&amp;"",SERVER!$H$3:$H$1009,""),""),IF(TRIM(_xlpm.srcCat)&lt;&gt;TRIM($J545),"",_xlfn.SWITCH($I545,"Computer",_xlfn.XLOOKUP($K545&amp;"",COMPUTER!$B$3:$B$1009&amp;"",COMPUTER!$E$3:$E$1009,""),"Display",_xlfn.XLOOKUP($K545&amp;"",DISPLAY!$B$3:$B$1000&amp;"",DISPLAY!$E$3:$E$1000,""),"Network Device",_xlfn.XLOOKUP($K545&amp;"",'NETWORK-DEVICES'!$B$3:$B$987&amp;"",'NETWORK-DEVICES'!$E$3:$E$987,""),"Peripheral",_xlfn.XLOOKUP($K545&amp;"",PERIPHERAL!$B$3:$B$954&amp;"",PERIPHERAL!$E$3:$E$954,""),"Utilities",_xlfn.XLOOKUP($K545&amp;"",UTILITIES!$B$3:$B$953&amp;"",UTILITIES!$E$3:$E$953,""),"IOT",_xlfn.XLOOKUP($K545&amp;"",IOT!$B$3:$B$1012&amp;"",IOT!$E$3:$E$1012,""),"Server",_xlfn.XLOOKUP($K545&amp;"",SERVER!$B$3:$B$1009&amp;"",SERVER!$E$3:$E$1009,""),""))))</f>
        <v/>
      </c>
      <c r="Q545" s="1" t="str" cm="1">
        <f t="array" ref="Q545">IF(OR($K545="",$I545="",$J545=""),"",_xlfn.LET(_xlpm.srcCat,_xlfn.SWITCH($I545,"Computer",_xlfn.XLOOKUP($K545&amp;"",COMPUTER!$B$3:$B$1009&amp;"",COMPUTER!$H$3:$H$1009,""),"Display",_xlfn.XLOOKUP($K545&amp;"",DISPLAY!$B$3:$B$1000&amp;"",DISPLAY!$H$3:$H$1000,""),"Network Device",_xlfn.XLOOKUP($K545&amp;"",'NETWORK-DEVICES'!$B$3:$B$987&amp;"",'NETWORK-DEVICES'!$H$3:$H$987,""),"Peripheral",_xlfn.XLOOKUP($K545&amp;"",PERIPHERAL!$B$3:$B$954&amp;"",PERIPHERAL!$H$3:$H$954,""),"Utilities",_xlfn.XLOOKUP($K545&amp;"",UTILITIES!$B$3:$B$953&amp;"",UTILITIES!$G$3:$G$953,""),"IOT",_xlfn.XLOOKUP($K545&amp;"",IOT!$B$3:$B$1012&amp;"",IOT!$H$3:$H$1012,""),"Server",_xlfn.XLOOKUP($K545&amp;"",SERVER!$B$3:$B$1009&amp;"",SERVER!$H$3:$H$1009,""),""),IF(TRIM(_xlpm.srcCat)&lt;&gt;TRIM($J545),"",_xlfn.SWITCH($I545,"Computer",_xlfn.XLOOKUP($K545&amp;"",COMPUTER!$B$3:$B$1009&amp;"",COMPUTER!$AM$3:$AM$1009,""),"Display",_xlfn.XLOOKUP($K545&amp;"",DISPLAY!$B$3:$B$1000&amp;"",DISPLAY!$V$3:$V$1000,""),"Network Device",_xlfn.XLOOKUP($K545&amp;"",'NETWORK-DEVICES'!$B$3:$B$987&amp;"",'NETWORK-DEVICES'!$AF$3:$AF$987,""),"Peripheral",_xlfn.XLOOKUP($K545&amp;"",PERIPHERAL!$B$3:$B$954&amp;"",PERIPHERAL!$Y$3:$Y$954,""),"Utilities",_xlfn.XLOOKUP($K545&amp;"",UTILITIES!$B$3:$B$953&amp;"",UTILITIES!$O$3:$O$953,""),"IOT",_xlfn.XLOOKUP($K545&amp;"",IOT!$B$3:$B$1012&amp;"",IOT!$AB$3:$AB$1012,""),"Server",_xlfn.XLOOKUP($K545&amp;"",SERVER!$B$3:$B$1009&amp;"",SERVER!$AB$3:$AB$1009,""),""))))</f>
        <v/>
      </c>
      <c r="R545" s="43" t="str">
        <f>IF(tbl_handover[[#This Row],[Asset Code]]="","",COUNTIF(tbl_handover[Asset Code],tbl_handover[[#This Row],[Asset Code]]))</f>
        <v/>
      </c>
    </row>
    <row r="546" spans="1:18" x14ac:dyDescent="0.25">
      <c r="A546" s="43" t="str">
        <f>IF(B546&lt;&gt;"",SUBTOTAL(3,$B$1:B545),"")</f>
        <v/>
      </c>
      <c r="C546" s="74"/>
      <c r="D546" s="74"/>
      <c r="G546" s="1"/>
      <c r="K546" s="42"/>
      <c r="L546" t="str" cm="1">
        <f t="array" ref="L546">IF($K546="","",_xlfn.SWITCH($I546,"Computer",_xlfn.XLOOKUP($K546&amp;"",COMPUTER!$B$3:$B$1009&amp;"",COMPUTER!$I$3:$I$1009,""),"Display",_xlfn.XLOOKUP($K546&amp;"",DISPLAY!$B$3:$B$1000&amp;"",DISPLAY!$J$3:$J$1000,""),"Network Device",_xlfn.XLOOKUP($K546&amp;"",'NETWORK-DEVICES'!$B$3:$B$987&amp;"",'NETWORK-DEVICES'!$I$3:$I$987,""),"Peripheral",_xlfn.XLOOKUP($K546&amp;"",PERIPHERAL!$B$3:$B$954&amp;"",PERIPHERAL!$I$3:$I$954,""),"Utilities",_xlfn.XLOOKUP($K546&amp;"",UTILITIES!$B$3:$B$953&amp;"",UTILITIES!$H$3:$H$953,""),"IOT",_xlfn.XLOOKUP($K546&amp;"",IOT!$B$3:$B$1012&amp;"",IOT!$I$3:$I$1012,""),"SERVER",_xlfn.XLOOKUP($K546&amp;"",SERVER!$B$3:$B$1009&amp;"",SERVER!$I$3:$I$1009,""),""))</f>
        <v/>
      </c>
      <c r="M546" t="str" cm="1">
        <f t="array" ref="M546">IF($K546="","",_xlfn.SWITCH($I546,"Computer",_xlfn.XLOOKUP($K546&amp;"",COMPUTER!$B$3:$B$1009&amp;"",COMPUTER!$J$3:$J$1009,""),"Display",_xlfn.XLOOKUP($K546&amp;"",DISPLAY!$B$3:$B$1000&amp;"",DISPLAY!$K$3:$K$1000,""),"Network Device",_xlfn.XLOOKUP($K546&amp;"",'NETWORK-DEVICES'!$B$3:$B$987&amp;"",'NETWORK-DEVICES'!$I$3:$I$987,""),"Peripheral",_xlfn.XLOOKUP($K546&amp;"",PERIPHERAL!$B$3:$B$954&amp;"",PERIPHERAL!$J$3:$J$954,""),"Utilities",_xlfn.XLOOKUP($K546&amp;"",UTILITIES!$B$3:$B$953&amp;"",UTILITIES!$I$3:$I$953,""),"IOT",_xlfn.XLOOKUP($K546&amp;"",IOT!$B$3:$B$1012&amp;"",IOT!$J$3:$J$1012,""),"Server",_xlfn.XLOOKUP($K546&amp;"",SERVER!$B$3:$B$1009&amp;"",SERVER!$J$3:$J$1009,""),""))</f>
        <v/>
      </c>
      <c r="N546" s="1" t="str" cm="1">
        <f t="array" ref="N546">IF(OR($K546="",$I546="",$J546=""),"",_xlfn.LET(_xlpm.srcCat,_xlfn.SWITCH($I546,"Computer",_xlfn.XLOOKUP($K546&amp;"",COMPUTER!$B$3:$B$1009&amp;"",COMPUTER!$H$3:$H$1009,""),"Display",_xlfn.XLOOKUP($K546&amp;"",DISPLAY!$B$3:$B$1000&amp;"",DISPLAY!$H$3:$H$1000,""),"Network Device",_xlfn.XLOOKUP($K546&amp;"",'NETWORK-DEVICES'!$B$3:$B$987&amp;"",'NETWORK-DEVICES'!$H$3:$H$987,""),"Peripheral",_xlfn.XLOOKUP($K546&amp;"",PERIPHERAL!$B$3:$B$954&amp;"",PERIPHERAL!$H$3:$H$954,""),"Utilities",_xlfn.XLOOKUP($K546&amp;"",UTILITIES!$B$3:$B$953&amp;"",UTILITIES!$G$3:$G$953,""),"IOT",_xlfn.XLOOKUP($K546&amp;"",IOT!$B$3:$B$1012&amp;"",IOT!$H$3:$H$1012,""),"Server",_xlfn.XLOOKUP($K546&amp;"",SERVER!$B$3:$B$1009&amp;"",SERVER!$H$3:$H$1009,""),""),IF(TRIM(_xlpm.srcCat)&lt;&gt;TRIM($J546),"",_xlfn.SWITCH($I546,"Computer",_xlfn.XLOOKUP($K546&amp;"",COMPUTER!$B$3:$B$1009&amp;"",COMPUTER!$K$3:$K$1009,""),"Display",_xlfn.XLOOKUP($K546&amp;"",DISPLAY!$B$3:$B$1000&amp;"",DISPLAY!$L$3:$L$1000,""),"Network Device",_xlfn.XLOOKUP($K546&amp;"",'NETWORK-DEVICES'!$B$3:$B$987&amp;"",'NETWORK-DEVICES'!$K$3:$K$987,""),"Peripheral",_xlfn.XLOOKUP($K546&amp;"",PERIPHERAL!$B$3:$B$954&amp;"",PERIPHERAL!$K$3:$K$954,""),"Utilities",_xlfn.XLOOKUP($K546&amp;"",UTILITIES!$B$3:$B$953&amp;"",UTILITIES!$J$3:$J$953,""),"IOT",_xlfn.XLOOKUP($K546&amp;"",IOT!$B$3:$B$1012&amp;"",IOT!$K$4:$K$1012,""),"Server",_xlfn.XLOOKUP($K546&amp;"",SERVER!$B$3:$B$1009&amp;"",SERVER!$K$3:$K$1009,""),""))))</f>
        <v/>
      </c>
      <c r="O546" s="1" t="str" cm="1">
        <f t="array" ref="O546">IF(OR($K546="",$I546="",$J546=""),"",_xlfn.LET(_xlpm.srcCat,_xlfn.SWITCH($I546,"Computer",_xlfn.XLOOKUP($K546&amp;"",COMPUTER!$B$3:$B$1009&amp;"",COMPUTER!$H$3:$H$1009,""),"Display",_xlfn.XLOOKUP($K546&amp;"",DISPLAY!$B$3:$B$1000&amp;"",DISPLAY!$H$3:$H$1000,""),"Network Device",_xlfn.XLOOKUP($K546&amp;"",'NETWORK-DEVICES'!$B$3:$B$987&amp;"",'NETWORK-DEVICES'!$H$3:$H$987,""),"Peripheral",_xlfn.XLOOKUP($K546&amp;"",PERIPHERAL!$B$3:$B$954&amp;"",PERIPHERAL!$H$3:$H$954,""),"Utilities",_xlfn.XLOOKUP($K546&amp;"",UTILITIES!$B$3:$B$953&amp;"",UTILITIES!$G$3:$G$953,""),"IOT",_xlfn.XLOOKUP($K546&amp;"",IOT!$B$3:$B$1012&amp;"",IOT!$H$3:$H$1012,""),"Server",_xlfn.XLOOKUP($K546&amp;"",SERVER!$B$3:$B$1009&amp;"",SERVER!$H$3:$H$1009,""),""),IF(TRIM(_xlpm.srcCat)&lt;&gt;TRIM($J546),"",_xlfn.SWITCH($I546,"Computer",_xlfn.XLOOKUP($K546&amp;"",COMPUTER!$B$3:$B$1009&amp;"",COMPUTER!$E$3:$E$1009,""),"Display",_xlfn.XLOOKUP($K546&amp;"",DISPLAY!$B$3:$B$1000&amp;"",DISPLAY!$E$3:$E$1000,""),"Network Device",_xlfn.XLOOKUP($K546&amp;"",'NETWORK-DEVICES'!$B$3:$B$987&amp;"",'NETWORK-DEVICES'!$E$3:$E$987,""),"Peripheral",_xlfn.XLOOKUP($K546&amp;"",PERIPHERAL!$B$3:$B$954&amp;"",PERIPHERAL!$E$3:$E$954,""),"Utilities",_xlfn.XLOOKUP($K546&amp;"",UTILITIES!$B$3:$B$953&amp;"",UTILITIES!$E$3:$E$953,""),"IOT",_xlfn.XLOOKUP($K546&amp;"",IOT!$B$3:$B$1012&amp;"",IOT!$E$3:$E$1012,""),"Server",_xlfn.XLOOKUP($K546&amp;"",SERVER!$B$3:$B$1009&amp;"",SERVER!$E$3:$E$1009,""),""))))</f>
        <v/>
      </c>
      <c r="Q546" s="1" t="str" cm="1">
        <f t="array" ref="Q546">IF(OR($K546="",$I546="",$J546=""),"",_xlfn.LET(_xlpm.srcCat,_xlfn.SWITCH($I546,"Computer",_xlfn.XLOOKUP($K546&amp;"",COMPUTER!$B$3:$B$1009&amp;"",COMPUTER!$H$3:$H$1009,""),"Display",_xlfn.XLOOKUP($K546&amp;"",DISPLAY!$B$3:$B$1000&amp;"",DISPLAY!$H$3:$H$1000,""),"Network Device",_xlfn.XLOOKUP($K546&amp;"",'NETWORK-DEVICES'!$B$3:$B$987&amp;"",'NETWORK-DEVICES'!$H$3:$H$987,""),"Peripheral",_xlfn.XLOOKUP($K546&amp;"",PERIPHERAL!$B$3:$B$954&amp;"",PERIPHERAL!$H$3:$H$954,""),"Utilities",_xlfn.XLOOKUP($K546&amp;"",UTILITIES!$B$3:$B$953&amp;"",UTILITIES!$G$3:$G$953,""),"IOT",_xlfn.XLOOKUP($K546&amp;"",IOT!$B$3:$B$1012&amp;"",IOT!$H$3:$H$1012,""),"Server",_xlfn.XLOOKUP($K546&amp;"",SERVER!$B$3:$B$1009&amp;"",SERVER!$H$3:$H$1009,""),""),IF(TRIM(_xlpm.srcCat)&lt;&gt;TRIM($J546),"",_xlfn.SWITCH($I546,"Computer",_xlfn.XLOOKUP($K546&amp;"",COMPUTER!$B$3:$B$1009&amp;"",COMPUTER!$AM$3:$AM$1009,""),"Display",_xlfn.XLOOKUP($K546&amp;"",DISPLAY!$B$3:$B$1000&amp;"",DISPLAY!$V$3:$V$1000,""),"Network Device",_xlfn.XLOOKUP($K546&amp;"",'NETWORK-DEVICES'!$B$3:$B$987&amp;"",'NETWORK-DEVICES'!$AF$3:$AF$987,""),"Peripheral",_xlfn.XLOOKUP($K546&amp;"",PERIPHERAL!$B$3:$B$954&amp;"",PERIPHERAL!$Y$3:$Y$954,""),"Utilities",_xlfn.XLOOKUP($K546&amp;"",UTILITIES!$B$3:$B$953&amp;"",UTILITIES!$O$3:$O$953,""),"IOT",_xlfn.XLOOKUP($K546&amp;"",IOT!$B$3:$B$1012&amp;"",IOT!$AB$3:$AB$1012,""),"Server",_xlfn.XLOOKUP($K546&amp;"",SERVER!$B$3:$B$1009&amp;"",SERVER!$AB$3:$AB$1009,""),""))))</f>
        <v/>
      </c>
      <c r="R546" s="43" t="str">
        <f>IF(tbl_handover[[#This Row],[Asset Code]]="","",COUNTIF(tbl_handover[Asset Code],tbl_handover[[#This Row],[Asset Code]]))</f>
        <v/>
      </c>
    </row>
    <row r="547" spans="1:18" x14ac:dyDescent="0.25">
      <c r="A547" s="43" t="str">
        <f>IF(B547&lt;&gt;"",SUBTOTAL(3,$B$1:B546),"")</f>
        <v/>
      </c>
      <c r="C547" s="74"/>
      <c r="D547" s="74"/>
      <c r="G547" s="1"/>
      <c r="K547" s="42"/>
      <c r="L547" t="str" cm="1">
        <f t="array" ref="L547">IF($K547="","",_xlfn.SWITCH($I547,"Computer",_xlfn.XLOOKUP($K547&amp;"",COMPUTER!$B$3:$B$1009&amp;"",COMPUTER!$I$3:$I$1009,""),"Display",_xlfn.XLOOKUP($K547&amp;"",DISPLAY!$B$3:$B$1000&amp;"",DISPLAY!$J$3:$J$1000,""),"Network Device",_xlfn.XLOOKUP($K547&amp;"",'NETWORK-DEVICES'!$B$3:$B$987&amp;"",'NETWORK-DEVICES'!$I$3:$I$987,""),"Peripheral",_xlfn.XLOOKUP($K547&amp;"",PERIPHERAL!$B$3:$B$954&amp;"",PERIPHERAL!$I$3:$I$954,""),"Utilities",_xlfn.XLOOKUP($K547&amp;"",UTILITIES!$B$3:$B$953&amp;"",UTILITIES!$H$3:$H$953,""),"IOT",_xlfn.XLOOKUP($K547&amp;"",IOT!$B$3:$B$1012&amp;"",IOT!$I$3:$I$1012,""),"SERVER",_xlfn.XLOOKUP($K547&amp;"",SERVER!$B$3:$B$1009&amp;"",SERVER!$I$3:$I$1009,""),""))</f>
        <v/>
      </c>
      <c r="M547" t="str" cm="1">
        <f t="array" ref="M547">IF($K547="","",_xlfn.SWITCH($I547,"Computer",_xlfn.XLOOKUP($K547&amp;"",COMPUTER!$B$3:$B$1009&amp;"",COMPUTER!$J$3:$J$1009,""),"Display",_xlfn.XLOOKUP($K547&amp;"",DISPLAY!$B$3:$B$1000&amp;"",DISPLAY!$K$3:$K$1000,""),"Network Device",_xlfn.XLOOKUP($K547&amp;"",'NETWORK-DEVICES'!$B$3:$B$987&amp;"",'NETWORK-DEVICES'!$I$3:$I$987,""),"Peripheral",_xlfn.XLOOKUP($K547&amp;"",PERIPHERAL!$B$3:$B$954&amp;"",PERIPHERAL!$J$3:$J$954,""),"Utilities",_xlfn.XLOOKUP($K547&amp;"",UTILITIES!$B$3:$B$953&amp;"",UTILITIES!$I$3:$I$953,""),"IOT",_xlfn.XLOOKUP($K547&amp;"",IOT!$B$3:$B$1012&amp;"",IOT!$J$3:$J$1012,""),"Server",_xlfn.XLOOKUP($K547&amp;"",SERVER!$B$3:$B$1009&amp;"",SERVER!$J$3:$J$1009,""),""))</f>
        <v/>
      </c>
      <c r="N547" s="1" t="str" cm="1">
        <f t="array" ref="N547">IF(OR($K547="",$I547="",$J547=""),"",_xlfn.LET(_xlpm.srcCat,_xlfn.SWITCH($I547,"Computer",_xlfn.XLOOKUP($K547&amp;"",COMPUTER!$B$3:$B$1009&amp;"",COMPUTER!$H$3:$H$1009,""),"Display",_xlfn.XLOOKUP($K547&amp;"",DISPLAY!$B$3:$B$1000&amp;"",DISPLAY!$H$3:$H$1000,""),"Network Device",_xlfn.XLOOKUP($K547&amp;"",'NETWORK-DEVICES'!$B$3:$B$987&amp;"",'NETWORK-DEVICES'!$H$3:$H$987,""),"Peripheral",_xlfn.XLOOKUP($K547&amp;"",PERIPHERAL!$B$3:$B$954&amp;"",PERIPHERAL!$H$3:$H$954,""),"Utilities",_xlfn.XLOOKUP($K547&amp;"",UTILITIES!$B$3:$B$953&amp;"",UTILITIES!$G$3:$G$953,""),"IOT",_xlfn.XLOOKUP($K547&amp;"",IOT!$B$3:$B$1012&amp;"",IOT!$H$3:$H$1012,""),"Server",_xlfn.XLOOKUP($K547&amp;"",SERVER!$B$3:$B$1009&amp;"",SERVER!$H$3:$H$1009,""),""),IF(TRIM(_xlpm.srcCat)&lt;&gt;TRIM($J547),"",_xlfn.SWITCH($I547,"Computer",_xlfn.XLOOKUP($K547&amp;"",COMPUTER!$B$3:$B$1009&amp;"",COMPUTER!$K$3:$K$1009,""),"Display",_xlfn.XLOOKUP($K547&amp;"",DISPLAY!$B$3:$B$1000&amp;"",DISPLAY!$L$3:$L$1000,""),"Network Device",_xlfn.XLOOKUP($K547&amp;"",'NETWORK-DEVICES'!$B$3:$B$987&amp;"",'NETWORK-DEVICES'!$K$3:$K$987,""),"Peripheral",_xlfn.XLOOKUP($K547&amp;"",PERIPHERAL!$B$3:$B$954&amp;"",PERIPHERAL!$K$3:$K$954,""),"Utilities",_xlfn.XLOOKUP($K547&amp;"",UTILITIES!$B$3:$B$953&amp;"",UTILITIES!$J$3:$J$953,""),"IOT",_xlfn.XLOOKUP($K547&amp;"",IOT!$B$3:$B$1012&amp;"",IOT!$K$4:$K$1012,""),"Server",_xlfn.XLOOKUP($K547&amp;"",SERVER!$B$3:$B$1009&amp;"",SERVER!$K$3:$K$1009,""),""))))</f>
        <v/>
      </c>
      <c r="O547" s="1" t="str" cm="1">
        <f t="array" ref="O547">IF(OR($K547="",$I547="",$J547=""),"",_xlfn.LET(_xlpm.srcCat,_xlfn.SWITCH($I547,"Computer",_xlfn.XLOOKUP($K547&amp;"",COMPUTER!$B$3:$B$1009&amp;"",COMPUTER!$H$3:$H$1009,""),"Display",_xlfn.XLOOKUP($K547&amp;"",DISPLAY!$B$3:$B$1000&amp;"",DISPLAY!$H$3:$H$1000,""),"Network Device",_xlfn.XLOOKUP($K547&amp;"",'NETWORK-DEVICES'!$B$3:$B$987&amp;"",'NETWORK-DEVICES'!$H$3:$H$987,""),"Peripheral",_xlfn.XLOOKUP($K547&amp;"",PERIPHERAL!$B$3:$B$954&amp;"",PERIPHERAL!$H$3:$H$954,""),"Utilities",_xlfn.XLOOKUP($K547&amp;"",UTILITIES!$B$3:$B$953&amp;"",UTILITIES!$G$3:$G$953,""),"IOT",_xlfn.XLOOKUP($K547&amp;"",IOT!$B$3:$B$1012&amp;"",IOT!$H$3:$H$1012,""),"Server",_xlfn.XLOOKUP($K547&amp;"",SERVER!$B$3:$B$1009&amp;"",SERVER!$H$3:$H$1009,""),""),IF(TRIM(_xlpm.srcCat)&lt;&gt;TRIM($J547),"",_xlfn.SWITCH($I547,"Computer",_xlfn.XLOOKUP($K547&amp;"",COMPUTER!$B$3:$B$1009&amp;"",COMPUTER!$E$3:$E$1009,""),"Display",_xlfn.XLOOKUP($K547&amp;"",DISPLAY!$B$3:$B$1000&amp;"",DISPLAY!$E$3:$E$1000,""),"Network Device",_xlfn.XLOOKUP($K547&amp;"",'NETWORK-DEVICES'!$B$3:$B$987&amp;"",'NETWORK-DEVICES'!$E$3:$E$987,""),"Peripheral",_xlfn.XLOOKUP($K547&amp;"",PERIPHERAL!$B$3:$B$954&amp;"",PERIPHERAL!$E$3:$E$954,""),"Utilities",_xlfn.XLOOKUP($K547&amp;"",UTILITIES!$B$3:$B$953&amp;"",UTILITIES!$E$3:$E$953,""),"IOT",_xlfn.XLOOKUP($K547&amp;"",IOT!$B$3:$B$1012&amp;"",IOT!$E$3:$E$1012,""),"Server",_xlfn.XLOOKUP($K547&amp;"",SERVER!$B$3:$B$1009&amp;"",SERVER!$E$3:$E$1009,""),""))))</f>
        <v/>
      </c>
      <c r="Q547" s="1" t="str" cm="1">
        <f t="array" ref="Q547">IF(OR($K547="",$I547="",$J547=""),"",_xlfn.LET(_xlpm.srcCat,_xlfn.SWITCH($I547,"Computer",_xlfn.XLOOKUP($K547&amp;"",COMPUTER!$B$3:$B$1009&amp;"",COMPUTER!$H$3:$H$1009,""),"Display",_xlfn.XLOOKUP($K547&amp;"",DISPLAY!$B$3:$B$1000&amp;"",DISPLAY!$H$3:$H$1000,""),"Network Device",_xlfn.XLOOKUP($K547&amp;"",'NETWORK-DEVICES'!$B$3:$B$987&amp;"",'NETWORK-DEVICES'!$H$3:$H$987,""),"Peripheral",_xlfn.XLOOKUP($K547&amp;"",PERIPHERAL!$B$3:$B$954&amp;"",PERIPHERAL!$H$3:$H$954,""),"Utilities",_xlfn.XLOOKUP($K547&amp;"",UTILITIES!$B$3:$B$953&amp;"",UTILITIES!$G$3:$G$953,""),"IOT",_xlfn.XLOOKUP($K547&amp;"",IOT!$B$3:$B$1012&amp;"",IOT!$H$3:$H$1012,""),"Server",_xlfn.XLOOKUP($K547&amp;"",SERVER!$B$3:$B$1009&amp;"",SERVER!$H$3:$H$1009,""),""),IF(TRIM(_xlpm.srcCat)&lt;&gt;TRIM($J547),"",_xlfn.SWITCH($I547,"Computer",_xlfn.XLOOKUP($K547&amp;"",COMPUTER!$B$3:$B$1009&amp;"",COMPUTER!$AM$3:$AM$1009,""),"Display",_xlfn.XLOOKUP($K547&amp;"",DISPLAY!$B$3:$B$1000&amp;"",DISPLAY!$V$3:$V$1000,""),"Network Device",_xlfn.XLOOKUP($K547&amp;"",'NETWORK-DEVICES'!$B$3:$B$987&amp;"",'NETWORK-DEVICES'!$AF$3:$AF$987,""),"Peripheral",_xlfn.XLOOKUP($K547&amp;"",PERIPHERAL!$B$3:$B$954&amp;"",PERIPHERAL!$Y$3:$Y$954,""),"Utilities",_xlfn.XLOOKUP($K547&amp;"",UTILITIES!$B$3:$B$953&amp;"",UTILITIES!$O$3:$O$953,""),"IOT",_xlfn.XLOOKUP($K547&amp;"",IOT!$B$3:$B$1012&amp;"",IOT!$AB$3:$AB$1012,""),"Server",_xlfn.XLOOKUP($K547&amp;"",SERVER!$B$3:$B$1009&amp;"",SERVER!$AB$3:$AB$1009,""),""))))</f>
        <v/>
      </c>
      <c r="R547" s="43" t="str">
        <f>IF(tbl_handover[[#This Row],[Asset Code]]="","",COUNTIF(tbl_handover[Asset Code],tbl_handover[[#This Row],[Asset Code]]))</f>
        <v/>
      </c>
    </row>
    <row r="548" spans="1:18" x14ac:dyDescent="0.25">
      <c r="A548" s="43" t="str">
        <f>IF(B548&lt;&gt;"",SUBTOTAL(3,$B$1:B547),"")</f>
        <v/>
      </c>
      <c r="C548" s="74"/>
      <c r="D548" s="74"/>
      <c r="G548" s="1"/>
      <c r="K548" s="42"/>
      <c r="L548" t="str" cm="1">
        <f t="array" ref="L548">IF($K548="","",_xlfn.SWITCH($I548,"Computer",_xlfn.XLOOKUP($K548&amp;"",COMPUTER!$B$3:$B$1009&amp;"",COMPUTER!$I$3:$I$1009,""),"Display",_xlfn.XLOOKUP($K548&amp;"",DISPLAY!$B$3:$B$1000&amp;"",DISPLAY!$J$3:$J$1000,""),"Network Device",_xlfn.XLOOKUP($K548&amp;"",'NETWORK-DEVICES'!$B$3:$B$987&amp;"",'NETWORK-DEVICES'!$I$3:$I$987,""),"Peripheral",_xlfn.XLOOKUP($K548&amp;"",PERIPHERAL!$B$3:$B$954&amp;"",PERIPHERAL!$I$3:$I$954,""),"Utilities",_xlfn.XLOOKUP($K548&amp;"",UTILITIES!$B$3:$B$953&amp;"",UTILITIES!$H$3:$H$953,""),"IOT",_xlfn.XLOOKUP($K548&amp;"",IOT!$B$3:$B$1012&amp;"",IOT!$I$3:$I$1012,""),"SERVER",_xlfn.XLOOKUP($K548&amp;"",SERVER!$B$3:$B$1009&amp;"",SERVER!$I$3:$I$1009,""),""))</f>
        <v/>
      </c>
      <c r="M548" t="str" cm="1">
        <f t="array" ref="M548">IF($K548="","",_xlfn.SWITCH($I548,"Computer",_xlfn.XLOOKUP($K548&amp;"",COMPUTER!$B$3:$B$1009&amp;"",COMPUTER!$J$3:$J$1009,""),"Display",_xlfn.XLOOKUP($K548&amp;"",DISPLAY!$B$3:$B$1000&amp;"",DISPLAY!$K$3:$K$1000,""),"Network Device",_xlfn.XLOOKUP($K548&amp;"",'NETWORK-DEVICES'!$B$3:$B$987&amp;"",'NETWORK-DEVICES'!$I$3:$I$987,""),"Peripheral",_xlfn.XLOOKUP($K548&amp;"",PERIPHERAL!$B$3:$B$954&amp;"",PERIPHERAL!$J$3:$J$954,""),"Utilities",_xlfn.XLOOKUP($K548&amp;"",UTILITIES!$B$3:$B$953&amp;"",UTILITIES!$I$3:$I$953,""),"IOT",_xlfn.XLOOKUP($K548&amp;"",IOT!$B$3:$B$1012&amp;"",IOT!$J$3:$J$1012,""),"Server",_xlfn.XLOOKUP($K548&amp;"",SERVER!$B$3:$B$1009&amp;"",SERVER!$J$3:$J$1009,""),""))</f>
        <v/>
      </c>
      <c r="N548" s="1" t="str" cm="1">
        <f t="array" ref="N548">IF(OR($K548="",$I548="",$J548=""),"",_xlfn.LET(_xlpm.srcCat,_xlfn.SWITCH($I548,"Computer",_xlfn.XLOOKUP($K548&amp;"",COMPUTER!$B$3:$B$1009&amp;"",COMPUTER!$H$3:$H$1009,""),"Display",_xlfn.XLOOKUP($K548&amp;"",DISPLAY!$B$3:$B$1000&amp;"",DISPLAY!$H$3:$H$1000,""),"Network Device",_xlfn.XLOOKUP($K548&amp;"",'NETWORK-DEVICES'!$B$3:$B$987&amp;"",'NETWORK-DEVICES'!$H$3:$H$987,""),"Peripheral",_xlfn.XLOOKUP($K548&amp;"",PERIPHERAL!$B$3:$B$954&amp;"",PERIPHERAL!$H$3:$H$954,""),"Utilities",_xlfn.XLOOKUP($K548&amp;"",UTILITIES!$B$3:$B$953&amp;"",UTILITIES!$G$3:$G$953,""),"IOT",_xlfn.XLOOKUP($K548&amp;"",IOT!$B$3:$B$1012&amp;"",IOT!$H$3:$H$1012,""),"Server",_xlfn.XLOOKUP($K548&amp;"",SERVER!$B$3:$B$1009&amp;"",SERVER!$H$3:$H$1009,""),""),IF(TRIM(_xlpm.srcCat)&lt;&gt;TRIM($J548),"",_xlfn.SWITCH($I548,"Computer",_xlfn.XLOOKUP($K548&amp;"",COMPUTER!$B$3:$B$1009&amp;"",COMPUTER!$K$3:$K$1009,""),"Display",_xlfn.XLOOKUP($K548&amp;"",DISPLAY!$B$3:$B$1000&amp;"",DISPLAY!$L$3:$L$1000,""),"Network Device",_xlfn.XLOOKUP($K548&amp;"",'NETWORK-DEVICES'!$B$3:$B$987&amp;"",'NETWORK-DEVICES'!$K$3:$K$987,""),"Peripheral",_xlfn.XLOOKUP($K548&amp;"",PERIPHERAL!$B$3:$B$954&amp;"",PERIPHERAL!$K$3:$K$954,""),"Utilities",_xlfn.XLOOKUP($K548&amp;"",UTILITIES!$B$3:$B$953&amp;"",UTILITIES!$J$3:$J$953,""),"IOT",_xlfn.XLOOKUP($K548&amp;"",IOT!$B$3:$B$1012&amp;"",IOT!$K$4:$K$1012,""),"Server",_xlfn.XLOOKUP($K548&amp;"",SERVER!$B$3:$B$1009&amp;"",SERVER!$K$3:$K$1009,""),""))))</f>
        <v/>
      </c>
      <c r="O548" s="1" t="str" cm="1">
        <f t="array" ref="O548">IF(OR($K548="",$I548="",$J548=""),"",_xlfn.LET(_xlpm.srcCat,_xlfn.SWITCH($I548,"Computer",_xlfn.XLOOKUP($K548&amp;"",COMPUTER!$B$3:$B$1009&amp;"",COMPUTER!$H$3:$H$1009,""),"Display",_xlfn.XLOOKUP($K548&amp;"",DISPLAY!$B$3:$B$1000&amp;"",DISPLAY!$H$3:$H$1000,""),"Network Device",_xlfn.XLOOKUP($K548&amp;"",'NETWORK-DEVICES'!$B$3:$B$987&amp;"",'NETWORK-DEVICES'!$H$3:$H$987,""),"Peripheral",_xlfn.XLOOKUP($K548&amp;"",PERIPHERAL!$B$3:$B$954&amp;"",PERIPHERAL!$H$3:$H$954,""),"Utilities",_xlfn.XLOOKUP($K548&amp;"",UTILITIES!$B$3:$B$953&amp;"",UTILITIES!$G$3:$G$953,""),"IOT",_xlfn.XLOOKUP($K548&amp;"",IOT!$B$3:$B$1012&amp;"",IOT!$H$3:$H$1012,""),"Server",_xlfn.XLOOKUP($K548&amp;"",SERVER!$B$3:$B$1009&amp;"",SERVER!$H$3:$H$1009,""),""),IF(TRIM(_xlpm.srcCat)&lt;&gt;TRIM($J548),"",_xlfn.SWITCH($I548,"Computer",_xlfn.XLOOKUP($K548&amp;"",COMPUTER!$B$3:$B$1009&amp;"",COMPUTER!$E$3:$E$1009,""),"Display",_xlfn.XLOOKUP($K548&amp;"",DISPLAY!$B$3:$B$1000&amp;"",DISPLAY!$E$3:$E$1000,""),"Network Device",_xlfn.XLOOKUP($K548&amp;"",'NETWORK-DEVICES'!$B$3:$B$987&amp;"",'NETWORK-DEVICES'!$E$3:$E$987,""),"Peripheral",_xlfn.XLOOKUP($K548&amp;"",PERIPHERAL!$B$3:$B$954&amp;"",PERIPHERAL!$E$3:$E$954,""),"Utilities",_xlfn.XLOOKUP($K548&amp;"",UTILITIES!$B$3:$B$953&amp;"",UTILITIES!$E$3:$E$953,""),"IOT",_xlfn.XLOOKUP($K548&amp;"",IOT!$B$3:$B$1012&amp;"",IOT!$E$3:$E$1012,""),"Server",_xlfn.XLOOKUP($K548&amp;"",SERVER!$B$3:$B$1009&amp;"",SERVER!$E$3:$E$1009,""),""))))</f>
        <v/>
      </c>
      <c r="Q548" s="1" t="str" cm="1">
        <f t="array" ref="Q548">IF(OR($K548="",$I548="",$J548=""),"",_xlfn.LET(_xlpm.srcCat,_xlfn.SWITCH($I548,"Computer",_xlfn.XLOOKUP($K548&amp;"",COMPUTER!$B$3:$B$1009&amp;"",COMPUTER!$H$3:$H$1009,""),"Display",_xlfn.XLOOKUP($K548&amp;"",DISPLAY!$B$3:$B$1000&amp;"",DISPLAY!$H$3:$H$1000,""),"Network Device",_xlfn.XLOOKUP($K548&amp;"",'NETWORK-DEVICES'!$B$3:$B$987&amp;"",'NETWORK-DEVICES'!$H$3:$H$987,""),"Peripheral",_xlfn.XLOOKUP($K548&amp;"",PERIPHERAL!$B$3:$B$954&amp;"",PERIPHERAL!$H$3:$H$954,""),"Utilities",_xlfn.XLOOKUP($K548&amp;"",UTILITIES!$B$3:$B$953&amp;"",UTILITIES!$G$3:$G$953,""),"IOT",_xlfn.XLOOKUP($K548&amp;"",IOT!$B$3:$B$1012&amp;"",IOT!$H$3:$H$1012,""),"Server",_xlfn.XLOOKUP($K548&amp;"",SERVER!$B$3:$B$1009&amp;"",SERVER!$H$3:$H$1009,""),""),IF(TRIM(_xlpm.srcCat)&lt;&gt;TRIM($J548),"",_xlfn.SWITCH($I548,"Computer",_xlfn.XLOOKUP($K548&amp;"",COMPUTER!$B$3:$B$1009&amp;"",COMPUTER!$AM$3:$AM$1009,""),"Display",_xlfn.XLOOKUP($K548&amp;"",DISPLAY!$B$3:$B$1000&amp;"",DISPLAY!$V$3:$V$1000,""),"Network Device",_xlfn.XLOOKUP($K548&amp;"",'NETWORK-DEVICES'!$B$3:$B$987&amp;"",'NETWORK-DEVICES'!$AF$3:$AF$987,""),"Peripheral",_xlfn.XLOOKUP($K548&amp;"",PERIPHERAL!$B$3:$B$954&amp;"",PERIPHERAL!$Y$3:$Y$954,""),"Utilities",_xlfn.XLOOKUP($K548&amp;"",UTILITIES!$B$3:$B$953&amp;"",UTILITIES!$O$3:$O$953,""),"IOT",_xlfn.XLOOKUP($K548&amp;"",IOT!$B$3:$B$1012&amp;"",IOT!$AB$3:$AB$1012,""),"Server",_xlfn.XLOOKUP($K548&amp;"",SERVER!$B$3:$B$1009&amp;"",SERVER!$AB$3:$AB$1009,""),""))))</f>
        <v/>
      </c>
      <c r="R548" s="43" t="str">
        <f>IF(tbl_handover[[#This Row],[Asset Code]]="","",COUNTIF(tbl_handover[Asset Code],tbl_handover[[#This Row],[Asset Code]]))</f>
        <v/>
      </c>
    </row>
    <row r="549" spans="1:18" x14ac:dyDescent="0.25">
      <c r="A549" s="43" t="str">
        <f>IF(B549&lt;&gt;"",SUBTOTAL(3,$B$1:B548),"")</f>
        <v/>
      </c>
      <c r="C549" s="74"/>
      <c r="D549" s="74"/>
      <c r="G549" s="1"/>
      <c r="K549" s="42"/>
      <c r="L549" t="str" cm="1">
        <f t="array" ref="L549">IF($K549="","",_xlfn.SWITCH($I549,"Computer",_xlfn.XLOOKUP($K549&amp;"",COMPUTER!$B$3:$B$1009&amp;"",COMPUTER!$I$3:$I$1009,""),"Display",_xlfn.XLOOKUP($K549&amp;"",DISPLAY!$B$3:$B$1000&amp;"",DISPLAY!$J$3:$J$1000,""),"Network Device",_xlfn.XLOOKUP($K549&amp;"",'NETWORK-DEVICES'!$B$3:$B$987&amp;"",'NETWORK-DEVICES'!$I$3:$I$987,""),"Peripheral",_xlfn.XLOOKUP($K549&amp;"",PERIPHERAL!$B$3:$B$954&amp;"",PERIPHERAL!$I$3:$I$954,""),"Utilities",_xlfn.XLOOKUP($K549&amp;"",UTILITIES!$B$3:$B$953&amp;"",UTILITIES!$H$3:$H$953,""),"IOT",_xlfn.XLOOKUP($K549&amp;"",IOT!$B$3:$B$1012&amp;"",IOT!$I$3:$I$1012,""),"SERVER",_xlfn.XLOOKUP($K549&amp;"",SERVER!$B$3:$B$1009&amp;"",SERVER!$I$3:$I$1009,""),""))</f>
        <v/>
      </c>
      <c r="M549" t="str" cm="1">
        <f t="array" ref="M549">IF($K549="","",_xlfn.SWITCH($I549,"Computer",_xlfn.XLOOKUP($K549&amp;"",COMPUTER!$B$3:$B$1009&amp;"",COMPUTER!$J$3:$J$1009,""),"Display",_xlfn.XLOOKUP($K549&amp;"",DISPLAY!$B$3:$B$1000&amp;"",DISPLAY!$K$3:$K$1000,""),"Network Device",_xlfn.XLOOKUP($K549&amp;"",'NETWORK-DEVICES'!$B$3:$B$987&amp;"",'NETWORK-DEVICES'!$I$3:$I$987,""),"Peripheral",_xlfn.XLOOKUP($K549&amp;"",PERIPHERAL!$B$3:$B$954&amp;"",PERIPHERAL!$J$3:$J$954,""),"Utilities",_xlfn.XLOOKUP($K549&amp;"",UTILITIES!$B$3:$B$953&amp;"",UTILITIES!$I$3:$I$953,""),"IOT",_xlfn.XLOOKUP($K549&amp;"",IOT!$B$3:$B$1012&amp;"",IOT!$J$3:$J$1012,""),"Server",_xlfn.XLOOKUP($K549&amp;"",SERVER!$B$3:$B$1009&amp;"",SERVER!$J$3:$J$1009,""),""))</f>
        <v/>
      </c>
      <c r="N549" s="1" t="str" cm="1">
        <f t="array" ref="N549">IF(OR($K549="",$I549="",$J549=""),"",_xlfn.LET(_xlpm.srcCat,_xlfn.SWITCH($I549,"Computer",_xlfn.XLOOKUP($K549&amp;"",COMPUTER!$B$3:$B$1009&amp;"",COMPUTER!$H$3:$H$1009,""),"Display",_xlfn.XLOOKUP($K549&amp;"",DISPLAY!$B$3:$B$1000&amp;"",DISPLAY!$H$3:$H$1000,""),"Network Device",_xlfn.XLOOKUP($K549&amp;"",'NETWORK-DEVICES'!$B$3:$B$987&amp;"",'NETWORK-DEVICES'!$H$3:$H$987,""),"Peripheral",_xlfn.XLOOKUP($K549&amp;"",PERIPHERAL!$B$3:$B$954&amp;"",PERIPHERAL!$H$3:$H$954,""),"Utilities",_xlfn.XLOOKUP($K549&amp;"",UTILITIES!$B$3:$B$953&amp;"",UTILITIES!$G$3:$G$953,""),"IOT",_xlfn.XLOOKUP($K549&amp;"",IOT!$B$3:$B$1012&amp;"",IOT!$H$3:$H$1012,""),"Server",_xlfn.XLOOKUP($K549&amp;"",SERVER!$B$3:$B$1009&amp;"",SERVER!$H$3:$H$1009,""),""),IF(TRIM(_xlpm.srcCat)&lt;&gt;TRIM($J549),"",_xlfn.SWITCH($I549,"Computer",_xlfn.XLOOKUP($K549&amp;"",COMPUTER!$B$3:$B$1009&amp;"",COMPUTER!$K$3:$K$1009,""),"Display",_xlfn.XLOOKUP($K549&amp;"",DISPLAY!$B$3:$B$1000&amp;"",DISPLAY!$L$3:$L$1000,""),"Network Device",_xlfn.XLOOKUP($K549&amp;"",'NETWORK-DEVICES'!$B$3:$B$987&amp;"",'NETWORK-DEVICES'!$K$3:$K$987,""),"Peripheral",_xlfn.XLOOKUP($K549&amp;"",PERIPHERAL!$B$3:$B$954&amp;"",PERIPHERAL!$K$3:$K$954,""),"Utilities",_xlfn.XLOOKUP($K549&amp;"",UTILITIES!$B$3:$B$953&amp;"",UTILITIES!$J$3:$J$953,""),"IOT",_xlfn.XLOOKUP($K549&amp;"",IOT!$B$3:$B$1012&amp;"",IOT!$K$4:$K$1012,""),"Server",_xlfn.XLOOKUP($K549&amp;"",SERVER!$B$3:$B$1009&amp;"",SERVER!$K$3:$K$1009,""),""))))</f>
        <v/>
      </c>
      <c r="O549" s="1" t="str" cm="1">
        <f t="array" ref="O549">IF(OR($K549="",$I549="",$J549=""),"",_xlfn.LET(_xlpm.srcCat,_xlfn.SWITCH($I549,"Computer",_xlfn.XLOOKUP($K549&amp;"",COMPUTER!$B$3:$B$1009&amp;"",COMPUTER!$H$3:$H$1009,""),"Display",_xlfn.XLOOKUP($K549&amp;"",DISPLAY!$B$3:$B$1000&amp;"",DISPLAY!$H$3:$H$1000,""),"Network Device",_xlfn.XLOOKUP($K549&amp;"",'NETWORK-DEVICES'!$B$3:$B$987&amp;"",'NETWORK-DEVICES'!$H$3:$H$987,""),"Peripheral",_xlfn.XLOOKUP($K549&amp;"",PERIPHERAL!$B$3:$B$954&amp;"",PERIPHERAL!$H$3:$H$954,""),"Utilities",_xlfn.XLOOKUP($K549&amp;"",UTILITIES!$B$3:$B$953&amp;"",UTILITIES!$G$3:$G$953,""),"IOT",_xlfn.XLOOKUP($K549&amp;"",IOT!$B$3:$B$1012&amp;"",IOT!$H$3:$H$1012,""),"Server",_xlfn.XLOOKUP($K549&amp;"",SERVER!$B$3:$B$1009&amp;"",SERVER!$H$3:$H$1009,""),""),IF(TRIM(_xlpm.srcCat)&lt;&gt;TRIM($J549),"",_xlfn.SWITCH($I549,"Computer",_xlfn.XLOOKUP($K549&amp;"",COMPUTER!$B$3:$B$1009&amp;"",COMPUTER!$E$3:$E$1009,""),"Display",_xlfn.XLOOKUP($K549&amp;"",DISPLAY!$B$3:$B$1000&amp;"",DISPLAY!$E$3:$E$1000,""),"Network Device",_xlfn.XLOOKUP($K549&amp;"",'NETWORK-DEVICES'!$B$3:$B$987&amp;"",'NETWORK-DEVICES'!$E$3:$E$987,""),"Peripheral",_xlfn.XLOOKUP($K549&amp;"",PERIPHERAL!$B$3:$B$954&amp;"",PERIPHERAL!$E$3:$E$954,""),"Utilities",_xlfn.XLOOKUP($K549&amp;"",UTILITIES!$B$3:$B$953&amp;"",UTILITIES!$E$3:$E$953,""),"IOT",_xlfn.XLOOKUP($K549&amp;"",IOT!$B$3:$B$1012&amp;"",IOT!$E$3:$E$1012,""),"Server",_xlfn.XLOOKUP($K549&amp;"",SERVER!$B$3:$B$1009&amp;"",SERVER!$E$3:$E$1009,""),""))))</f>
        <v/>
      </c>
      <c r="Q549" s="1" t="str" cm="1">
        <f t="array" ref="Q549">IF(OR($K549="",$I549="",$J549=""),"",_xlfn.LET(_xlpm.srcCat,_xlfn.SWITCH($I549,"Computer",_xlfn.XLOOKUP($K549&amp;"",COMPUTER!$B$3:$B$1009&amp;"",COMPUTER!$H$3:$H$1009,""),"Display",_xlfn.XLOOKUP($K549&amp;"",DISPLAY!$B$3:$B$1000&amp;"",DISPLAY!$H$3:$H$1000,""),"Network Device",_xlfn.XLOOKUP($K549&amp;"",'NETWORK-DEVICES'!$B$3:$B$987&amp;"",'NETWORK-DEVICES'!$H$3:$H$987,""),"Peripheral",_xlfn.XLOOKUP($K549&amp;"",PERIPHERAL!$B$3:$B$954&amp;"",PERIPHERAL!$H$3:$H$954,""),"Utilities",_xlfn.XLOOKUP($K549&amp;"",UTILITIES!$B$3:$B$953&amp;"",UTILITIES!$G$3:$G$953,""),"IOT",_xlfn.XLOOKUP($K549&amp;"",IOT!$B$3:$B$1012&amp;"",IOT!$H$3:$H$1012,""),"Server",_xlfn.XLOOKUP($K549&amp;"",SERVER!$B$3:$B$1009&amp;"",SERVER!$H$3:$H$1009,""),""),IF(TRIM(_xlpm.srcCat)&lt;&gt;TRIM($J549),"",_xlfn.SWITCH($I549,"Computer",_xlfn.XLOOKUP($K549&amp;"",COMPUTER!$B$3:$B$1009&amp;"",COMPUTER!$AM$3:$AM$1009,""),"Display",_xlfn.XLOOKUP($K549&amp;"",DISPLAY!$B$3:$B$1000&amp;"",DISPLAY!$V$3:$V$1000,""),"Network Device",_xlfn.XLOOKUP($K549&amp;"",'NETWORK-DEVICES'!$B$3:$B$987&amp;"",'NETWORK-DEVICES'!$AF$3:$AF$987,""),"Peripheral",_xlfn.XLOOKUP($K549&amp;"",PERIPHERAL!$B$3:$B$954&amp;"",PERIPHERAL!$Y$3:$Y$954,""),"Utilities",_xlfn.XLOOKUP($K549&amp;"",UTILITIES!$B$3:$B$953&amp;"",UTILITIES!$O$3:$O$953,""),"IOT",_xlfn.XLOOKUP($K549&amp;"",IOT!$B$3:$B$1012&amp;"",IOT!$AB$3:$AB$1012,""),"Server",_xlfn.XLOOKUP($K549&amp;"",SERVER!$B$3:$B$1009&amp;"",SERVER!$AB$3:$AB$1009,""),""))))</f>
        <v/>
      </c>
      <c r="R549" s="43" t="str">
        <f>IF(tbl_handover[[#This Row],[Asset Code]]="","",COUNTIF(tbl_handover[Asset Code],tbl_handover[[#This Row],[Asset Code]]))</f>
        <v/>
      </c>
    </row>
    <row r="550" spans="1:18" x14ac:dyDescent="0.25">
      <c r="A550" s="43" t="str">
        <f>IF(B550&lt;&gt;"",SUBTOTAL(3,$B$1:B549),"")</f>
        <v/>
      </c>
      <c r="C550" s="74"/>
      <c r="D550" s="74"/>
      <c r="G550" s="1"/>
      <c r="K550" s="42"/>
      <c r="L550" t="str" cm="1">
        <f t="array" ref="L550">IF($K550="","",_xlfn.SWITCH($I550,"Computer",_xlfn.XLOOKUP($K550&amp;"",COMPUTER!$B$3:$B$1009&amp;"",COMPUTER!$I$3:$I$1009,""),"Display",_xlfn.XLOOKUP($K550&amp;"",DISPLAY!$B$3:$B$1000&amp;"",DISPLAY!$J$3:$J$1000,""),"Network Device",_xlfn.XLOOKUP($K550&amp;"",'NETWORK-DEVICES'!$B$3:$B$987&amp;"",'NETWORK-DEVICES'!$I$3:$I$987,""),"Peripheral",_xlfn.XLOOKUP($K550&amp;"",PERIPHERAL!$B$3:$B$954&amp;"",PERIPHERAL!$I$3:$I$954,""),"Utilities",_xlfn.XLOOKUP($K550&amp;"",UTILITIES!$B$3:$B$953&amp;"",UTILITIES!$H$3:$H$953,""),"IOT",_xlfn.XLOOKUP($K550&amp;"",IOT!$B$3:$B$1012&amp;"",IOT!$I$3:$I$1012,""),"SERVER",_xlfn.XLOOKUP($K550&amp;"",SERVER!$B$3:$B$1009&amp;"",SERVER!$I$3:$I$1009,""),""))</f>
        <v/>
      </c>
      <c r="M550" t="str" cm="1">
        <f t="array" ref="M550">IF($K550="","",_xlfn.SWITCH($I550,"Computer",_xlfn.XLOOKUP($K550&amp;"",COMPUTER!$B$3:$B$1009&amp;"",COMPUTER!$J$3:$J$1009,""),"Display",_xlfn.XLOOKUP($K550&amp;"",DISPLAY!$B$3:$B$1000&amp;"",DISPLAY!$K$3:$K$1000,""),"Network Device",_xlfn.XLOOKUP($K550&amp;"",'NETWORK-DEVICES'!$B$3:$B$987&amp;"",'NETWORK-DEVICES'!$I$3:$I$987,""),"Peripheral",_xlfn.XLOOKUP($K550&amp;"",PERIPHERAL!$B$3:$B$954&amp;"",PERIPHERAL!$J$3:$J$954,""),"Utilities",_xlfn.XLOOKUP($K550&amp;"",UTILITIES!$B$3:$B$953&amp;"",UTILITIES!$I$3:$I$953,""),"IOT",_xlfn.XLOOKUP($K550&amp;"",IOT!$B$3:$B$1012&amp;"",IOT!$J$3:$J$1012,""),"Server",_xlfn.XLOOKUP($K550&amp;"",SERVER!$B$3:$B$1009&amp;"",SERVER!$J$3:$J$1009,""),""))</f>
        <v/>
      </c>
      <c r="N550" s="1" t="str" cm="1">
        <f t="array" ref="N550">IF(OR($K550="",$I550="",$J550=""),"",_xlfn.LET(_xlpm.srcCat,_xlfn.SWITCH($I550,"Computer",_xlfn.XLOOKUP($K550&amp;"",COMPUTER!$B$3:$B$1009&amp;"",COMPUTER!$H$3:$H$1009,""),"Display",_xlfn.XLOOKUP($K550&amp;"",DISPLAY!$B$3:$B$1000&amp;"",DISPLAY!$H$3:$H$1000,""),"Network Device",_xlfn.XLOOKUP($K550&amp;"",'NETWORK-DEVICES'!$B$3:$B$987&amp;"",'NETWORK-DEVICES'!$H$3:$H$987,""),"Peripheral",_xlfn.XLOOKUP($K550&amp;"",PERIPHERAL!$B$3:$B$954&amp;"",PERIPHERAL!$H$3:$H$954,""),"Utilities",_xlfn.XLOOKUP($K550&amp;"",UTILITIES!$B$3:$B$953&amp;"",UTILITIES!$G$3:$G$953,""),"IOT",_xlfn.XLOOKUP($K550&amp;"",IOT!$B$3:$B$1012&amp;"",IOT!$H$3:$H$1012,""),"Server",_xlfn.XLOOKUP($K550&amp;"",SERVER!$B$3:$B$1009&amp;"",SERVER!$H$3:$H$1009,""),""),IF(TRIM(_xlpm.srcCat)&lt;&gt;TRIM($J550),"",_xlfn.SWITCH($I550,"Computer",_xlfn.XLOOKUP($K550&amp;"",COMPUTER!$B$3:$B$1009&amp;"",COMPUTER!$K$3:$K$1009,""),"Display",_xlfn.XLOOKUP($K550&amp;"",DISPLAY!$B$3:$B$1000&amp;"",DISPLAY!$L$3:$L$1000,""),"Network Device",_xlfn.XLOOKUP($K550&amp;"",'NETWORK-DEVICES'!$B$3:$B$987&amp;"",'NETWORK-DEVICES'!$K$3:$K$987,""),"Peripheral",_xlfn.XLOOKUP($K550&amp;"",PERIPHERAL!$B$3:$B$954&amp;"",PERIPHERAL!$K$3:$K$954,""),"Utilities",_xlfn.XLOOKUP($K550&amp;"",UTILITIES!$B$3:$B$953&amp;"",UTILITIES!$J$3:$J$953,""),"IOT",_xlfn.XLOOKUP($K550&amp;"",IOT!$B$3:$B$1012&amp;"",IOT!$K$4:$K$1012,""),"Server",_xlfn.XLOOKUP($K550&amp;"",SERVER!$B$3:$B$1009&amp;"",SERVER!$K$3:$K$1009,""),""))))</f>
        <v/>
      </c>
      <c r="O550" s="1" t="str" cm="1">
        <f t="array" ref="O550">IF(OR($K550="",$I550="",$J550=""),"",_xlfn.LET(_xlpm.srcCat,_xlfn.SWITCH($I550,"Computer",_xlfn.XLOOKUP($K550&amp;"",COMPUTER!$B$3:$B$1009&amp;"",COMPUTER!$H$3:$H$1009,""),"Display",_xlfn.XLOOKUP($K550&amp;"",DISPLAY!$B$3:$B$1000&amp;"",DISPLAY!$H$3:$H$1000,""),"Network Device",_xlfn.XLOOKUP($K550&amp;"",'NETWORK-DEVICES'!$B$3:$B$987&amp;"",'NETWORK-DEVICES'!$H$3:$H$987,""),"Peripheral",_xlfn.XLOOKUP($K550&amp;"",PERIPHERAL!$B$3:$B$954&amp;"",PERIPHERAL!$H$3:$H$954,""),"Utilities",_xlfn.XLOOKUP($K550&amp;"",UTILITIES!$B$3:$B$953&amp;"",UTILITIES!$G$3:$G$953,""),"IOT",_xlfn.XLOOKUP($K550&amp;"",IOT!$B$3:$B$1012&amp;"",IOT!$H$3:$H$1012,""),"Server",_xlfn.XLOOKUP($K550&amp;"",SERVER!$B$3:$B$1009&amp;"",SERVER!$H$3:$H$1009,""),""),IF(TRIM(_xlpm.srcCat)&lt;&gt;TRIM($J550),"",_xlfn.SWITCH($I550,"Computer",_xlfn.XLOOKUP($K550&amp;"",COMPUTER!$B$3:$B$1009&amp;"",COMPUTER!$E$3:$E$1009,""),"Display",_xlfn.XLOOKUP($K550&amp;"",DISPLAY!$B$3:$B$1000&amp;"",DISPLAY!$E$3:$E$1000,""),"Network Device",_xlfn.XLOOKUP($K550&amp;"",'NETWORK-DEVICES'!$B$3:$B$987&amp;"",'NETWORK-DEVICES'!$E$3:$E$987,""),"Peripheral",_xlfn.XLOOKUP($K550&amp;"",PERIPHERAL!$B$3:$B$954&amp;"",PERIPHERAL!$E$3:$E$954,""),"Utilities",_xlfn.XLOOKUP($K550&amp;"",UTILITIES!$B$3:$B$953&amp;"",UTILITIES!$E$3:$E$953,""),"IOT",_xlfn.XLOOKUP($K550&amp;"",IOT!$B$3:$B$1012&amp;"",IOT!$E$3:$E$1012,""),"Server",_xlfn.XLOOKUP($K550&amp;"",SERVER!$B$3:$B$1009&amp;"",SERVER!$E$3:$E$1009,""),""))))</f>
        <v/>
      </c>
      <c r="Q550" s="1" t="str" cm="1">
        <f t="array" ref="Q550">IF(OR($K550="",$I550="",$J550=""),"",_xlfn.LET(_xlpm.srcCat,_xlfn.SWITCH($I550,"Computer",_xlfn.XLOOKUP($K550&amp;"",COMPUTER!$B$3:$B$1009&amp;"",COMPUTER!$H$3:$H$1009,""),"Display",_xlfn.XLOOKUP($K550&amp;"",DISPLAY!$B$3:$B$1000&amp;"",DISPLAY!$H$3:$H$1000,""),"Network Device",_xlfn.XLOOKUP($K550&amp;"",'NETWORK-DEVICES'!$B$3:$B$987&amp;"",'NETWORK-DEVICES'!$H$3:$H$987,""),"Peripheral",_xlfn.XLOOKUP($K550&amp;"",PERIPHERAL!$B$3:$B$954&amp;"",PERIPHERAL!$H$3:$H$954,""),"Utilities",_xlfn.XLOOKUP($K550&amp;"",UTILITIES!$B$3:$B$953&amp;"",UTILITIES!$G$3:$G$953,""),"IOT",_xlfn.XLOOKUP($K550&amp;"",IOT!$B$3:$B$1012&amp;"",IOT!$H$3:$H$1012,""),"Server",_xlfn.XLOOKUP($K550&amp;"",SERVER!$B$3:$B$1009&amp;"",SERVER!$H$3:$H$1009,""),""),IF(TRIM(_xlpm.srcCat)&lt;&gt;TRIM($J550),"",_xlfn.SWITCH($I550,"Computer",_xlfn.XLOOKUP($K550&amp;"",COMPUTER!$B$3:$B$1009&amp;"",COMPUTER!$AM$3:$AM$1009,""),"Display",_xlfn.XLOOKUP($K550&amp;"",DISPLAY!$B$3:$B$1000&amp;"",DISPLAY!$V$3:$V$1000,""),"Network Device",_xlfn.XLOOKUP($K550&amp;"",'NETWORK-DEVICES'!$B$3:$B$987&amp;"",'NETWORK-DEVICES'!$AF$3:$AF$987,""),"Peripheral",_xlfn.XLOOKUP($K550&amp;"",PERIPHERAL!$B$3:$B$954&amp;"",PERIPHERAL!$Y$3:$Y$954,""),"Utilities",_xlfn.XLOOKUP($K550&amp;"",UTILITIES!$B$3:$B$953&amp;"",UTILITIES!$O$3:$O$953,""),"IOT",_xlfn.XLOOKUP($K550&amp;"",IOT!$B$3:$B$1012&amp;"",IOT!$AB$3:$AB$1012,""),"Server",_xlfn.XLOOKUP($K550&amp;"",SERVER!$B$3:$B$1009&amp;"",SERVER!$AB$3:$AB$1009,""),""))))</f>
        <v/>
      </c>
      <c r="R550" s="43" t="str">
        <f>IF(tbl_handover[[#This Row],[Asset Code]]="","",COUNTIF(tbl_handover[Asset Code],tbl_handover[[#This Row],[Asset Code]]))</f>
        <v/>
      </c>
    </row>
    <row r="551" spans="1:18" x14ac:dyDescent="0.25">
      <c r="A551" s="43" t="str">
        <f>IF(B551&lt;&gt;"",SUBTOTAL(3,$B$1:B550),"")</f>
        <v/>
      </c>
      <c r="C551" s="74"/>
      <c r="D551" s="74"/>
      <c r="G551" s="1"/>
      <c r="K551" s="42"/>
      <c r="L551" t="str" cm="1">
        <f t="array" ref="L551">IF($K551="","",_xlfn.SWITCH($I551,"Computer",_xlfn.XLOOKUP($K551&amp;"",COMPUTER!$B$3:$B$1009&amp;"",COMPUTER!$I$3:$I$1009,""),"Display",_xlfn.XLOOKUP($K551&amp;"",DISPLAY!$B$3:$B$1000&amp;"",DISPLAY!$J$3:$J$1000,""),"Network Device",_xlfn.XLOOKUP($K551&amp;"",'NETWORK-DEVICES'!$B$3:$B$987&amp;"",'NETWORK-DEVICES'!$I$3:$I$987,""),"Peripheral",_xlfn.XLOOKUP($K551&amp;"",PERIPHERAL!$B$3:$B$954&amp;"",PERIPHERAL!$I$3:$I$954,""),"Utilities",_xlfn.XLOOKUP($K551&amp;"",UTILITIES!$B$3:$B$953&amp;"",UTILITIES!$H$3:$H$953,""),"IOT",_xlfn.XLOOKUP($K551&amp;"",IOT!$B$3:$B$1012&amp;"",IOT!$I$3:$I$1012,""),"SERVER",_xlfn.XLOOKUP($K551&amp;"",SERVER!$B$3:$B$1009&amp;"",SERVER!$I$3:$I$1009,""),""))</f>
        <v/>
      </c>
      <c r="M551" t="str" cm="1">
        <f t="array" ref="M551">IF($K551="","",_xlfn.SWITCH($I551,"Computer",_xlfn.XLOOKUP($K551&amp;"",COMPUTER!$B$3:$B$1009&amp;"",COMPUTER!$J$3:$J$1009,""),"Display",_xlfn.XLOOKUP($K551&amp;"",DISPLAY!$B$3:$B$1000&amp;"",DISPLAY!$K$3:$K$1000,""),"Network Device",_xlfn.XLOOKUP($K551&amp;"",'NETWORK-DEVICES'!$B$3:$B$987&amp;"",'NETWORK-DEVICES'!$I$3:$I$987,""),"Peripheral",_xlfn.XLOOKUP($K551&amp;"",PERIPHERAL!$B$3:$B$954&amp;"",PERIPHERAL!$J$3:$J$954,""),"Utilities",_xlfn.XLOOKUP($K551&amp;"",UTILITIES!$B$3:$B$953&amp;"",UTILITIES!$I$3:$I$953,""),"IOT",_xlfn.XLOOKUP($K551&amp;"",IOT!$B$3:$B$1012&amp;"",IOT!$J$3:$J$1012,""),"Server",_xlfn.XLOOKUP($K551&amp;"",SERVER!$B$3:$B$1009&amp;"",SERVER!$J$3:$J$1009,""),""))</f>
        <v/>
      </c>
      <c r="N551" s="1" t="str" cm="1">
        <f t="array" ref="N551">IF(OR($K551="",$I551="",$J551=""),"",_xlfn.LET(_xlpm.srcCat,_xlfn.SWITCH($I551,"Computer",_xlfn.XLOOKUP($K551&amp;"",COMPUTER!$B$3:$B$1009&amp;"",COMPUTER!$H$3:$H$1009,""),"Display",_xlfn.XLOOKUP($K551&amp;"",DISPLAY!$B$3:$B$1000&amp;"",DISPLAY!$H$3:$H$1000,""),"Network Device",_xlfn.XLOOKUP($K551&amp;"",'NETWORK-DEVICES'!$B$3:$B$987&amp;"",'NETWORK-DEVICES'!$H$3:$H$987,""),"Peripheral",_xlfn.XLOOKUP($K551&amp;"",PERIPHERAL!$B$3:$B$954&amp;"",PERIPHERAL!$H$3:$H$954,""),"Utilities",_xlfn.XLOOKUP($K551&amp;"",UTILITIES!$B$3:$B$953&amp;"",UTILITIES!$G$3:$G$953,""),"IOT",_xlfn.XLOOKUP($K551&amp;"",IOT!$B$3:$B$1012&amp;"",IOT!$H$3:$H$1012,""),"Server",_xlfn.XLOOKUP($K551&amp;"",SERVER!$B$3:$B$1009&amp;"",SERVER!$H$3:$H$1009,""),""),IF(TRIM(_xlpm.srcCat)&lt;&gt;TRIM($J551),"",_xlfn.SWITCH($I551,"Computer",_xlfn.XLOOKUP($K551&amp;"",COMPUTER!$B$3:$B$1009&amp;"",COMPUTER!$K$3:$K$1009,""),"Display",_xlfn.XLOOKUP($K551&amp;"",DISPLAY!$B$3:$B$1000&amp;"",DISPLAY!$L$3:$L$1000,""),"Network Device",_xlfn.XLOOKUP($K551&amp;"",'NETWORK-DEVICES'!$B$3:$B$987&amp;"",'NETWORK-DEVICES'!$K$3:$K$987,""),"Peripheral",_xlfn.XLOOKUP($K551&amp;"",PERIPHERAL!$B$3:$B$954&amp;"",PERIPHERAL!$K$3:$K$954,""),"Utilities",_xlfn.XLOOKUP($K551&amp;"",UTILITIES!$B$3:$B$953&amp;"",UTILITIES!$J$3:$J$953,""),"IOT",_xlfn.XLOOKUP($K551&amp;"",IOT!$B$3:$B$1012&amp;"",IOT!$K$4:$K$1012,""),"Server",_xlfn.XLOOKUP($K551&amp;"",SERVER!$B$3:$B$1009&amp;"",SERVER!$K$3:$K$1009,""),""))))</f>
        <v/>
      </c>
      <c r="O551" s="1" t="str" cm="1">
        <f t="array" ref="O551">IF(OR($K551="",$I551="",$J551=""),"",_xlfn.LET(_xlpm.srcCat,_xlfn.SWITCH($I551,"Computer",_xlfn.XLOOKUP($K551&amp;"",COMPUTER!$B$3:$B$1009&amp;"",COMPUTER!$H$3:$H$1009,""),"Display",_xlfn.XLOOKUP($K551&amp;"",DISPLAY!$B$3:$B$1000&amp;"",DISPLAY!$H$3:$H$1000,""),"Network Device",_xlfn.XLOOKUP($K551&amp;"",'NETWORK-DEVICES'!$B$3:$B$987&amp;"",'NETWORK-DEVICES'!$H$3:$H$987,""),"Peripheral",_xlfn.XLOOKUP($K551&amp;"",PERIPHERAL!$B$3:$B$954&amp;"",PERIPHERAL!$H$3:$H$954,""),"Utilities",_xlfn.XLOOKUP($K551&amp;"",UTILITIES!$B$3:$B$953&amp;"",UTILITIES!$G$3:$G$953,""),"IOT",_xlfn.XLOOKUP($K551&amp;"",IOT!$B$3:$B$1012&amp;"",IOT!$H$3:$H$1012,""),"Server",_xlfn.XLOOKUP($K551&amp;"",SERVER!$B$3:$B$1009&amp;"",SERVER!$H$3:$H$1009,""),""),IF(TRIM(_xlpm.srcCat)&lt;&gt;TRIM($J551),"",_xlfn.SWITCH($I551,"Computer",_xlfn.XLOOKUP($K551&amp;"",COMPUTER!$B$3:$B$1009&amp;"",COMPUTER!$E$3:$E$1009,""),"Display",_xlfn.XLOOKUP($K551&amp;"",DISPLAY!$B$3:$B$1000&amp;"",DISPLAY!$E$3:$E$1000,""),"Network Device",_xlfn.XLOOKUP($K551&amp;"",'NETWORK-DEVICES'!$B$3:$B$987&amp;"",'NETWORK-DEVICES'!$E$3:$E$987,""),"Peripheral",_xlfn.XLOOKUP($K551&amp;"",PERIPHERAL!$B$3:$B$954&amp;"",PERIPHERAL!$E$3:$E$954,""),"Utilities",_xlfn.XLOOKUP($K551&amp;"",UTILITIES!$B$3:$B$953&amp;"",UTILITIES!$E$3:$E$953,""),"IOT",_xlfn.XLOOKUP($K551&amp;"",IOT!$B$3:$B$1012&amp;"",IOT!$E$3:$E$1012,""),"Server",_xlfn.XLOOKUP($K551&amp;"",SERVER!$B$3:$B$1009&amp;"",SERVER!$E$3:$E$1009,""),""))))</f>
        <v/>
      </c>
      <c r="Q551" s="1" t="str" cm="1">
        <f t="array" ref="Q551">IF(OR($K551="",$I551="",$J551=""),"",_xlfn.LET(_xlpm.srcCat,_xlfn.SWITCH($I551,"Computer",_xlfn.XLOOKUP($K551&amp;"",COMPUTER!$B$3:$B$1009&amp;"",COMPUTER!$H$3:$H$1009,""),"Display",_xlfn.XLOOKUP($K551&amp;"",DISPLAY!$B$3:$B$1000&amp;"",DISPLAY!$H$3:$H$1000,""),"Network Device",_xlfn.XLOOKUP($K551&amp;"",'NETWORK-DEVICES'!$B$3:$B$987&amp;"",'NETWORK-DEVICES'!$H$3:$H$987,""),"Peripheral",_xlfn.XLOOKUP($K551&amp;"",PERIPHERAL!$B$3:$B$954&amp;"",PERIPHERAL!$H$3:$H$954,""),"Utilities",_xlfn.XLOOKUP($K551&amp;"",UTILITIES!$B$3:$B$953&amp;"",UTILITIES!$G$3:$G$953,""),"IOT",_xlfn.XLOOKUP($K551&amp;"",IOT!$B$3:$B$1012&amp;"",IOT!$H$3:$H$1012,""),"Server",_xlfn.XLOOKUP($K551&amp;"",SERVER!$B$3:$B$1009&amp;"",SERVER!$H$3:$H$1009,""),""),IF(TRIM(_xlpm.srcCat)&lt;&gt;TRIM($J551),"",_xlfn.SWITCH($I551,"Computer",_xlfn.XLOOKUP($K551&amp;"",COMPUTER!$B$3:$B$1009&amp;"",COMPUTER!$AM$3:$AM$1009,""),"Display",_xlfn.XLOOKUP($K551&amp;"",DISPLAY!$B$3:$B$1000&amp;"",DISPLAY!$V$3:$V$1000,""),"Network Device",_xlfn.XLOOKUP($K551&amp;"",'NETWORK-DEVICES'!$B$3:$B$987&amp;"",'NETWORK-DEVICES'!$AF$3:$AF$987,""),"Peripheral",_xlfn.XLOOKUP($K551&amp;"",PERIPHERAL!$B$3:$B$954&amp;"",PERIPHERAL!$Y$3:$Y$954,""),"Utilities",_xlfn.XLOOKUP($K551&amp;"",UTILITIES!$B$3:$B$953&amp;"",UTILITIES!$O$3:$O$953,""),"IOT",_xlfn.XLOOKUP($K551&amp;"",IOT!$B$3:$B$1012&amp;"",IOT!$AB$3:$AB$1012,""),"Server",_xlfn.XLOOKUP($K551&amp;"",SERVER!$B$3:$B$1009&amp;"",SERVER!$AB$3:$AB$1009,""),""))))</f>
        <v/>
      </c>
      <c r="R551" s="43" t="str">
        <f>IF(tbl_handover[[#This Row],[Asset Code]]="","",COUNTIF(tbl_handover[Asset Code],tbl_handover[[#This Row],[Asset Code]]))</f>
        <v/>
      </c>
    </row>
    <row r="552" spans="1:18" x14ac:dyDescent="0.25">
      <c r="A552" s="43" t="str">
        <f>IF(B552&lt;&gt;"",SUBTOTAL(3,$B$1:B551),"")</f>
        <v/>
      </c>
      <c r="C552" s="74"/>
      <c r="D552" s="74"/>
      <c r="G552" s="1"/>
      <c r="K552" s="42"/>
      <c r="L552" t="str" cm="1">
        <f t="array" ref="L552">IF($K552="","",_xlfn.SWITCH($I552,"Computer",_xlfn.XLOOKUP($K552&amp;"",COMPUTER!$B$3:$B$1009&amp;"",COMPUTER!$I$3:$I$1009,""),"Display",_xlfn.XLOOKUP($K552&amp;"",DISPLAY!$B$3:$B$1000&amp;"",DISPLAY!$J$3:$J$1000,""),"Network Device",_xlfn.XLOOKUP($K552&amp;"",'NETWORK-DEVICES'!$B$3:$B$987&amp;"",'NETWORK-DEVICES'!$I$3:$I$987,""),"Peripheral",_xlfn.XLOOKUP($K552&amp;"",PERIPHERAL!$B$3:$B$954&amp;"",PERIPHERAL!$I$3:$I$954,""),"Utilities",_xlfn.XLOOKUP($K552&amp;"",UTILITIES!$B$3:$B$953&amp;"",UTILITIES!$H$3:$H$953,""),"IOT",_xlfn.XLOOKUP($K552&amp;"",IOT!$B$3:$B$1012&amp;"",IOT!$I$3:$I$1012,""),"SERVER",_xlfn.XLOOKUP($K552&amp;"",SERVER!$B$3:$B$1009&amp;"",SERVER!$I$3:$I$1009,""),""))</f>
        <v/>
      </c>
      <c r="M552" t="str" cm="1">
        <f t="array" ref="M552">IF($K552="","",_xlfn.SWITCH($I552,"Computer",_xlfn.XLOOKUP($K552&amp;"",COMPUTER!$B$3:$B$1009&amp;"",COMPUTER!$J$3:$J$1009,""),"Display",_xlfn.XLOOKUP($K552&amp;"",DISPLAY!$B$3:$B$1000&amp;"",DISPLAY!$K$3:$K$1000,""),"Network Device",_xlfn.XLOOKUP($K552&amp;"",'NETWORK-DEVICES'!$B$3:$B$987&amp;"",'NETWORK-DEVICES'!$I$3:$I$987,""),"Peripheral",_xlfn.XLOOKUP($K552&amp;"",PERIPHERAL!$B$3:$B$954&amp;"",PERIPHERAL!$J$3:$J$954,""),"Utilities",_xlfn.XLOOKUP($K552&amp;"",UTILITIES!$B$3:$B$953&amp;"",UTILITIES!$I$3:$I$953,""),"IOT",_xlfn.XLOOKUP($K552&amp;"",IOT!$B$3:$B$1012&amp;"",IOT!$J$3:$J$1012,""),"Server",_xlfn.XLOOKUP($K552&amp;"",SERVER!$B$3:$B$1009&amp;"",SERVER!$J$3:$J$1009,""),""))</f>
        <v/>
      </c>
      <c r="N552" s="1" t="str" cm="1">
        <f t="array" ref="N552">IF(OR($K552="",$I552="",$J552=""),"",_xlfn.LET(_xlpm.srcCat,_xlfn.SWITCH($I552,"Computer",_xlfn.XLOOKUP($K552&amp;"",COMPUTER!$B$3:$B$1009&amp;"",COMPUTER!$H$3:$H$1009,""),"Display",_xlfn.XLOOKUP($K552&amp;"",DISPLAY!$B$3:$B$1000&amp;"",DISPLAY!$H$3:$H$1000,""),"Network Device",_xlfn.XLOOKUP($K552&amp;"",'NETWORK-DEVICES'!$B$3:$B$987&amp;"",'NETWORK-DEVICES'!$H$3:$H$987,""),"Peripheral",_xlfn.XLOOKUP($K552&amp;"",PERIPHERAL!$B$3:$B$954&amp;"",PERIPHERAL!$H$3:$H$954,""),"Utilities",_xlfn.XLOOKUP($K552&amp;"",UTILITIES!$B$3:$B$953&amp;"",UTILITIES!$G$3:$G$953,""),"IOT",_xlfn.XLOOKUP($K552&amp;"",IOT!$B$3:$B$1012&amp;"",IOT!$H$3:$H$1012,""),"Server",_xlfn.XLOOKUP($K552&amp;"",SERVER!$B$3:$B$1009&amp;"",SERVER!$H$3:$H$1009,""),""),IF(TRIM(_xlpm.srcCat)&lt;&gt;TRIM($J552),"",_xlfn.SWITCH($I552,"Computer",_xlfn.XLOOKUP($K552&amp;"",COMPUTER!$B$3:$B$1009&amp;"",COMPUTER!$K$3:$K$1009,""),"Display",_xlfn.XLOOKUP($K552&amp;"",DISPLAY!$B$3:$B$1000&amp;"",DISPLAY!$L$3:$L$1000,""),"Network Device",_xlfn.XLOOKUP($K552&amp;"",'NETWORK-DEVICES'!$B$3:$B$987&amp;"",'NETWORK-DEVICES'!$K$3:$K$987,""),"Peripheral",_xlfn.XLOOKUP($K552&amp;"",PERIPHERAL!$B$3:$B$954&amp;"",PERIPHERAL!$K$3:$K$954,""),"Utilities",_xlfn.XLOOKUP($K552&amp;"",UTILITIES!$B$3:$B$953&amp;"",UTILITIES!$J$3:$J$953,""),"IOT",_xlfn.XLOOKUP($K552&amp;"",IOT!$B$3:$B$1012&amp;"",IOT!$K$4:$K$1012,""),"Server",_xlfn.XLOOKUP($K552&amp;"",SERVER!$B$3:$B$1009&amp;"",SERVER!$K$3:$K$1009,""),""))))</f>
        <v/>
      </c>
      <c r="O552" s="1" t="str" cm="1">
        <f t="array" ref="O552">IF(OR($K552="",$I552="",$J552=""),"",_xlfn.LET(_xlpm.srcCat,_xlfn.SWITCH($I552,"Computer",_xlfn.XLOOKUP($K552&amp;"",COMPUTER!$B$3:$B$1009&amp;"",COMPUTER!$H$3:$H$1009,""),"Display",_xlfn.XLOOKUP($K552&amp;"",DISPLAY!$B$3:$B$1000&amp;"",DISPLAY!$H$3:$H$1000,""),"Network Device",_xlfn.XLOOKUP($K552&amp;"",'NETWORK-DEVICES'!$B$3:$B$987&amp;"",'NETWORK-DEVICES'!$H$3:$H$987,""),"Peripheral",_xlfn.XLOOKUP($K552&amp;"",PERIPHERAL!$B$3:$B$954&amp;"",PERIPHERAL!$H$3:$H$954,""),"Utilities",_xlfn.XLOOKUP($K552&amp;"",UTILITIES!$B$3:$B$953&amp;"",UTILITIES!$G$3:$G$953,""),"IOT",_xlfn.XLOOKUP($K552&amp;"",IOT!$B$3:$B$1012&amp;"",IOT!$H$3:$H$1012,""),"Server",_xlfn.XLOOKUP($K552&amp;"",SERVER!$B$3:$B$1009&amp;"",SERVER!$H$3:$H$1009,""),""),IF(TRIM(_xlpm.srcCat)&lt;&gt;TRIM($J552),"",_xlfn.SWITCH($I552,"Computer",_xlfn.XLOOKUP($K552&amp;"",COMPUTER!$B$3:$B$1009&amp;"",COMPUTER!$E$3:$E$1009,""),"Display",_xlfn.XLOOKUP($K552&amp;"",DISPLAY!$B$3:$B$1000&amp;"",DISPLAY!$E$3:$E$1000,""),"Network Device",_xlfn.XLOOKUP($K552&amp;"",'NETWORK-DEVICES'!$B$3:$B$987&amp;"",'NETWORK-DEVICES'!$E$3:$E$987,""),"Peripheral",_xlfn.XLOOKUP($K552&amp;"",PERIPHERAL!$B$3:$B$954&amp;"",PERIPHERAL!$E$3:$E$954,""),"Utilities",_xlfn.XLOOKUP($K552&amp;"",UTILITIES!$B$3:$B$953&amp;"",UTILITIES!$E$3:$E$953,""),"IOT",_xlfn.XLOOKUP($K552&amp;"",IOT!$B$3:$B$1012&amp;"",IOT!$E$3:$E$1012,""),"Server",_xlfn.XLOOKUP($K552&amp;"",SERVER!$B$3:$B$1009&amp;"",SERVER!$E$3:$E$1009,""),""))))</f>
        <v/>
      </c>
      <c r="Q552" s="1" t="str" cm="1">
        <f t="array" ref="Q552">IF(OR($K552="",$I552="",$J552=""),"",_xlfn.LET(_xlpm.srcCat,_xlfn.SWITCH($I552,"Computer",_xlfn.XLOOKUP($K552&amp;"",COMPUTER!$B$3:$B$1009&amp;"",COMPUTER!$H$3:$H$1009,""),"Display",_xlfn.XLOOKUP($K552&amp;"",DISPLAY!$B$3:$B$1000&amp;"",DISPLAY!$H$3:$H$1000,""),"Network Device",_xlfn.XLOOKUP($K552&amp;"",'NETWORK-DEVICES'!$B$3:$B$987&amp;"",'NETWORK-DEVICES'!$H$3:$H$987,""),"Peripheral",_xlfn.XLOOKUP($K552&amp;"",PERIPHERAL!$B$3:$B$954&amp;"",PERIPHERAL!$H$3:$H$954,""),"Utilities",_xlfn.XLOOKUP($K552&amp;"",UTILITIES!$B$3:$B$953&amp;"",UTILITIES!$G$3:$G$953,""),"IOT",_xlfn.XLOOKUP($K552&amp;"",IOT!$B$3:$B$1012&amp;"",IOT!$H$3:$H$1012,""),"Server",_xlfn.XLOOKUP($K552&amp;"",SERVER!$B$3:$B$1009&amp;"",SERVER!$H$3:$H$1009,""),""),IF(TRIM(_xlpm.srcCat)&lt;&gt;TRIM($J552),"",_xlfn.SWITCH($I552,"Computer",_xlfn.XLOOKUP($K552&amp;"",COMPUTER!$B$3:$B$1009&amp;"",COMPUTER!$AM$3:$AM$1009,""),"Display",_xlfn.XLOOKUP($K552&amp;"",DISPLAY!$B$3:$B$1000&amp;"",DISPLAY!$V$3:$V$1000,""),"Network Device",_xlfn.XLOOKUP($K552&amp;"",'NETWORK-DEVICES'!$B$3:$B$987&amp;"",'NETWORK-DEVICES'!$AF$3:$AF$987,""),"Peripheral",_xlfn.XLOOKUP($K552&amp;"",PERIPHERAL!$B$3:$B$954&amp;"",PERIPHERAL!$Y$3:$Y$954,""),"Utilities",_xlfn.XLOOKUP($K552&amp;"",UTILITIES!$B$3:$B$953&amp;"",UTILITIES!$O$3:$O$953,""),"IOT",_xlfn.XLOOKUP($K552&amp;"",IOT!$B$3:$B$1012&amp;"",IOT!$AB$3:$AB$1012,""),"Server",_xlfn.XLOOKUP($K552&amp;"",SERVER!$B$3:$B$1009&amp;"",SERVER!$AB$3:$AB$1009,""),""))))</f>
        <v/>
      </c>
      <c r="R552" s="43" t="str">
        <f>IF(tbl_handover[[#This Row],[Asset Code]]="","",COUNTIF(tbl_handover[Asset Code],tbl_handover[[#This Row],[Asset Code]]))</f>
        <v/>
      </c>
    </row>
    <row r="553" spans="1:18" x14ac:dyDescent="0.25">
      <c r="A553" s="43" t="str">
        <f>IF(B553&lt;&gt;"",SUBTOTAL(3,$B$1:B552),"")</f>
        <v/>
      </c>
      <c r="C553" s="74"/>
      <c r="D553" s="74"/>
      <c r="G553" s="1"/>
      <c r="K553" s="42"/>
      <c r="L553" t="str" cm="1">
        <f t="array" ref="L553">IF($K553="","",_xlfn.SWITCH($I553,"Computer",_xlfn.XLOOKUP($K553&amp;"",COMPUTER!$B$3:$B$1009&amp;"",COMPUTER!$I$3:$I$1009,""),"Display",_xlfn.XLOOKUP($K553&amp;"",DISPLAY!$B$3:$B$1000&amp;"",DISPLAY!$J$3:$J$1000,""),"Network Device",_xlfn.XLOOKUP($K553&amp;"",'NETWORK-DEVICES'!$B$3:$B$987&amp;"",'NETWORK-DEVICES'!$I$3:$I$987,""),"Peripheral",_xlfn.XLOOKUP($K553&amp;"",PERIPHERAL!$B$3:$B$954&amp;"",PERIPHERAL!$I$3:$I$954,""),"Utilities",_xlfn.XLOOKUP($K553&amp;"",UTILITIES!$B$3:$B$953&amp;"",UTILITIES!$H$3:$H$953,""),"IOT",_xlfn.XLOOKUP($K553&amp;"",IOT!$B$3:$B$1012&amp;"",IOT!$I$3:$I$1012,""),"SERVER",_xlfn.XLOOKUP($K553&amp;"",SERVER!$B$3:$B$1009&amp;"",SERVER!$I$3:$I$1009,""),""))</f>
        <v/>
      </c>
      <c r="M553" t="str" cm="1">
        <f t="array" ref="M553">IF($K553="","",_xlfn.SWITCH($I553,"Computer",_xlfn.XLOOKUP($K553&amp;"",COMPUTER!$B$3:$B$1009&amp;"",COMPUTER!$J$3:$J$1009,""),"Display",_xlfn.XLOOKUP($K553&amp;"",DISPLAY!$B$3:$B$1000&amp;"",DISPLAY!$K$3:$K$1000,""),"Network Device",_xlfn.XLOOKUP($K553&amp;"",'NETWORK-DEVICES'!$B$3:$B$987&amp;"",'NETWORK-DEVICES'!$I$3:$I$987,""),"Peripheral",_xlfn.XLOOKUP($K553&amp;"",PERIPHERAL!$B$3:$B$954&amp;"",PERIPHERAL!$J$3:$J$954,""),"Utilities",_xlfn.XLOOKUP($K553&amp;"",UTILITIES!$B$3:$B$953&amp;"",UTILITIES!$I$3:$I$953,""),"IOT",_xlfn.XLOOKUP($K553&amp;"",IOT!$B$3:$B$1012&amp;"",IOT!$J$3:$J$1012,""),"Server",_xlfn.XLOOKUP($K553&amp;"",SERVER!$B$3:$B$1009&amp;"",SERVER!$J$3:$J$1009,""),""))</f>
        <v/>
      </c>
      <c r="N553" s="1" t="str" cm="1">
        <f t="array" ref="N553">IF(OR($K553="",$I553="",$J553=""),"",_xlfn.LET(_xlpm.srcCat,_xlfn.SWITCH($I553,"Computer",_xlfn.XLOOKUP($K553&amp;"",COMPUTER!$B$3:$B$1009&amp;"",COMPUTER!$H$3:$H$1009,""),"Display",_xlfn.XLOOKUP($K553&amp;"",DISPLAY!$B$3:$B$1000&amp;"",DISPLAY!$H$3:$H$1000,""),"Network Device",_xlfn.XLOOKUP($K553&amp;"",'NETWORK-DEVICES'!$B$3:$B$987&amp;"",'NETWORK-DEVICES'!$H$3:$H$987,""),"Peripheral",_xlfn.XLOOKUP($K553&amp;"",PERIPHERAL!$B$3:$B$954&amp;"",PERIPHERAL!$H$3:$H$954,""),"Utilities",_xlfn.XLOOKUP($K553&amp;"",UTILITIES!$B$3:$B$953&amp;"",UTILITIES!$G$3:$G$953,""),"IOT",_xlfn.XLOOKUP($K553&amp;"",IOT!$B$3:$B$1012&amp;"",IOT!$H$3:$H$1012,""),"Server",_xlfn.XLOOKUP($K553&amp;"",SERVER!$B$3:$B$1009&amp;"",SERVER!$H$3:$H$1009,""),""),IF(TRIM(_xlpm.srcCat)&lt;&gt;TRIM($J553),"",_xlfn.SWITCH($I553,"Computer",_xlfn.XLOOKUP($K553&amp;"",COMPUTER!$B$3:$B$1009&amp;"",COMPUTER!$K$3:$K$1009,""),"Display",_xlfn.XLOOKUP($K553&amp;"",DISPLAY!$B$3:$B$1000&amp;"",DISPLAY!$L$3:$L$1000,""),"Network Device",_xlfn.XLOOKUP($K553&amp;"",'NETWORK-DEVICES'!$B$3:$B$987&amp;"",'NETWORK-DEVICES'!$K$3:$K$987,""),"Peripheral",_xlfn.XLOOKUP($K553&amp;"",PERIPHERAL!$B$3:$B$954&amp;"",PERIPHERAL!$K$3:$K$954,""),"Utilities",_xlfn.XLOOKUP($K553&amp;"",UTILITIES!$B$3:$B$953&amp;"",UTILITIES!$J$3:$J$953,""),"IOT",_xlfn.XLOOKUP($K553&amp;"",IOT!$B$3:$B$1012&amp;"",IOT!$K$4:$K$1012,""),"Server",_xlfn.XLOOKUP($K553&amp;"",SERVER!$B$3:$B$1009&amp;"",SERVER!$K$3:$K$1009,""),""))))</f>
        <v/>
      </c>
      <c r="O553" s="1" t="str" cm="1">
        <f t="array" ref="O553">IF(OR($K553="",$I553="",$J553=""),"",_xlfn.LET(_xlpm.srcCat,_xlfn.SWITCH($I553,"Computer",_xlfn.XLOOKUP($K553&amp;"",COMPUTER!$B$3:$B$1009&amp;"",COMPUTER!$H$3:$H$1009,""),"Display",_xlfn.XLOOKUP($K553&amp;"",DISPLAY!$B$3:$B$1000&amp;"",DISPLAY!$H$3:$H$1000,""),"Network Device",_xlfn.XLOOKUP($K553&amp;"",'NETWORK-DEVICES'!$B$3:$B$987&amp;"",'NETWORK-DEVICES'!$H$3:$H$987,""),"Peripheral",_xlfn.XLOOKUP($K553&amp;"",PERIPHERAL!$B$3:$B$954&amp;"",PERIPHERAL!$H$3:$H$954,""),"Utilities",_xlfn.XLOOKUP($K553&amp;"",UTILITIES!$B$3:$B$953&amp;"",UTILITIES!$G$3:$G$953,""),"IOT",_xlfn.XLOOKUP($K553&amp;"",IOT!$B$3:$B$1012&amp;"",IOT!$H$3:$H$1012,""),"Server",_xlfn.XLOOKUP($K553&amp;"",SERVER!$B$3:$B$1009&amp;"",SERVER!$H$3:$H$1009,""),""),IF(TRIM(_xlpm.srcCat)&lt;&gt;TRIM($J553),"",_xlfn.SWITCH($I553,"Computer",_xlfn.XLOOKUP($K553&amp;"",COMPUTER!$B$3:$B$1009&amp;"",COMPUTER!$E$3:$E$1009,""),"Display",_xlfn.XLOOKUP($K553&amp;"",DISPLAY!$B$3:$B$1000&amp;"",DISPLAY!$E$3:$E$1000,""),"Network Device",_xlfn.XLOOKUP($K553&amp;"",'NETWORK-DEVICES'!$B$3:$B$987&amp;"",'NETWORK-DEVICES'!$E$3:$E$987,""),"Peripheral",_xlfn.XLOOKUP($K553&amp;"",PERIPHERAL!$B$3:$B$954&amp;"",PERIPHERAL!$E$3:$E$954,""),"Utilities",_xlfn.XLOOKUP($K553&amp;"",UTILITIES!$B$3:$B$953&amp;"",UTILITIES!$E$3:$E$953,""),"IOT",_xlfn.XLOOKUP($K553&amp;"",IOT!$B$3:$B$1012&amp;"",IOT!$E$3:$E$1012,""),"Server",_xlfn.XLOOKUP($K553&amp;"",SERVER!$B$3:$B$1009&amp;"",SERVER!$E$3:$E$1009,""),""))))</f>
        <v/>
      </c>
      <c r="Q553" s="1" t="str" cm="1">
        <f t="array" ref="Q553">IF(OR($K553="",$I553="",$J553=""),"",_xlfn.LET(_xlpm.srcCat,_xlfn.SWITCH($I553,"Computer",_xlfn.XLOOKUP($K553&amp;"",COMPUTER!$B$3:$B$1009&amp;"",COMPUTER!$H$3:$H$1009,""),"Display",_xlfn.XLOOKUP($K553&amp;"",DISPLAY!$B$3:$B$1000&amp;"",DISPLAY!$H$3:$H$1000,""),"Network Device",_xlfn.XLOOKUP($K553&amp;"",'NETWORK-DEVICES'!$B$3:$B$987&amp;"",'NETWORK-DEVICES'!$H$3:$H$987,""),"Peripheral",_xlfn.XLOOKUP($K553&amp;"",PERIPHERAL!$B$3:$B$954&amp;"",PERIPHERAL!$H$3:$H$954,""),"Utilities",_xlfn.XLOOKUP($K553&amp;"",UTILITIES!$B$3:$B$953&amp;"",UTILITIES!$G$3:$G$953,""),"IOT",_xlfn.XLOOKUP($K553&amp;"",IOT!$B$3:$B$1012&amp;"",IOT!$H$3:$H$1012,""),"Server",_xlfn.XLOOKUP($K553&amp;"",SERVER!$B$3:$B$1009&amp;"",SERVER!$H$3:$H$1009,""),""),IF(TRIM(_xlpm.srcCat)&lt;&gt;TRIM($J553),"",_xlfn.SWITCH($I553,"Computer",_xlfn.XLOOKUP($K553&amp;"",COMPUTER!$B$3:$B$1009&amp;"",COMPUTER!$AM$3:$AM$1009,""),"Display",_xlfn.XLOOKUP($K553&amp;"",DISPLAY!$B$3:$B$1000&amp;"",DISPLAY!$V$3:$V$1000,""),"Network Device",_xlfn.XLOOKUP($K553&amp;"",'NETWORK-DEVICES'!$B$3:$B$987&amp;"",'NETWORK-DEVICES'!$AF$3:$AF$987,""),"Peripheral",_xlfn.XLOOKUP($K553&amp;"",PERIPHERAL!$B$3:$B$954&amp;"",PERIPHERAL!$Y$3:$Y$954,""),"Utilities",_xlfn.XLOOKUP($K553&amp;"",UTILITIES!$B$3:$B$953&amp;"",UTILITIES!$O$3:$O$953,""),"IOT",_xlfn.XLOOKUP($K553&amp;"",IOT!$B$3:$B$1012&amp;"",IOT!$AB$3:$AB$1012,""),"Server",_xlfn.XLOOKUP($K553&amp;"",SERVER!$B$3:$B$1009&amp;"",SERVER!$AB$3:$AB$1009,""),""))))</f>
        <v/>
      </c>
      <c r="R553" s="43" t="str">
        <f>IF(tbl_handover[[#This Row],[Asset Code]]="","",COUNTIF(tbl_handover[Asset Code],tbl_handover[[#This Row],[Asset Code]]))</f>
        <v/>
      </c>
    </row>
    <row r="554" spans="1:18" x14ac:dyDescent="0.25">
      <c r="A554" s="43" t="str">
        <f>IF(B554&lt;&gt;"",SUBTOTAL(3,$B$1:B553),"")</f>
        <v/>
      </c>
      <c r="C554" s="74"/>
      <c r="D554" s="74"/>
      <c r="G554" s="1"/>
      <c r="K554" s="42"/>
      <c r="L554" t="str" cm="1">
        <f t="array" ref="L554">IF($K554="","",_xlfn.SWITCH($I554,"Computer",_xlfn.XLOOKUP($K554&amp;"",COMPUTER!$B$3:$B$1009&amp;"",COMPUTER!$I$3:$I$1009,""),"Display",_xlfn.XLOOKUP($K554&amp;"",DISPLAY!$B$3:$B$1000&amp;"",DISPLAY!$J$3:$J$1000,""),"Network Device",_xlfn.XLOOKUP($K554&amp;"",'NETWORK-DEVICES'!$B$3:$B$987&amp;"",'NETWORK-DEVICES'!$I$3:$I$987,""),"Peripheral",_xlfn.XLOOKUP($K554&amp;"",PERIPHERAL!$B$3:$B$954&amp;"",PERIPHERAL!$I$3:$I$954,""),"Utilities",_xlfn.XLOOKUP($K554&amp;"",UTILITIES!$B$3:$B$953&amp;"",UTILITIES!$H$3:$H$953,""),"IOT",_xlfn.XLOOKUP($K554&amp;"",IOT!$B$3:$B$1012&amp;"",IOT!$I$3:$I$1012,""),"SERVER",_xlfn.XLOOKUP($K554&amp;"",SERVER!$B$3:$B$1009&amp;"",SERVER!$I$3:$I$1009,""),""))</f>
        <v/>
      </c>
      <c r="M554" t="str" cm="1">
        <f t="array" ref="M554">IF($K554="","",_xlfn.SWITCH($I554,"Computer",_xlfn.XLOOKUP($K554&amp;"",COMPUTER!$B$3:$B$1009&amp;"",COMPUTER!$J$3:$J$1009,""),"Display",_xlfn.XLOOKUP($K554&amp;"",DISPLAY!$B$3:$B$1000&amp;"",DISPLAY!$K$3:$K$1000,""),"Network Device",_xlfn.XLOOKUP($K554&amp;"",'NETWORK-DEVICES'!$B$3:$B$987&amp;"",'NETWORK-DEVICES'!$I$3:$I$987,""),"Peripheral",_xlfn.XLOOKUP($K554&amp;"",PERIPHERAL!$B$3:$B$954&amp;"",PERIPHERAL!$J$3:$J$954,""),"Utilities",_xlfn.XLOOKUP($K554&amp;"",UTILITIES!$B$3:$B$953&amp;"",UTILITIES!$I$3:$I$953,""),"IOT",_xlfn.XLOOKUP($K554&amp;"",IOT!$B$3:$B$1012&amp;"",IOT!$J$3:$J$1012,""),"Server",_xlfn.XLOOKUP($K554&amp;"",SERVER!$B$3:$B$1009&amp;"",SERVER!$J$3:$J$1009,""),""))</f>
        <v/>
      </c>
      <c r="N554" s="1" t="str" cm="1">
        <f t="array" ref="N554">IF(OR($K554="",$I554="",$J554=""),"",_xlfn.LET(_xlpm.srcCat,_xlfn.SWITCH($I554,"Computer",_xlfn.XLOOKUP($K554&amp;"",COMPUTER!$B$3:$B$1009&amp;"",COMPUTER!$H$3:$H$1009,""),"Display",_xlfn.XLOOKUP($K554&amp;"",DISPLAY!$B$3:$B$1000&amp;"",DISPLAY!$H$3:$H$1000,""),"Network Device",_xlfn.XLOOKUP($K554&amp;"",'NETWORK-DEVICES'!$B$3:$B$987&amp;"",'NETWORK-DEVICES'!$H$3:$H$987,""),"Peripheral",_xlfn.XLOOKUP($K554&amp;"",PERIPHERAL!$B$3:$B$954&amp;"",PERIPHERAL!$H$3:$H$954,""),"Utilities",_xlfn.XLOOKUP($K554&amp;"",UTILITIES!$B$3:$B$953&amp;"",UTILITIES!$G$3:$G$953,""),"IOT",_xlfn.XLOOKUP($K554&amp;"",IOT!$B$3:$B$1012&amp;"",IOT!$H$3:$H$1012,""),"Server",_xlfn.XLOOKUP($K554&amp;"",SERVER!$B$3:$B$1009&amp;"",SERVER!$H$3:$H$1009,""),""),IF(TRIM(_xlpm.srcCat)&lt;&gt;TRIM($J554),"",_xlfn.SWITCH($I554,"Computer",_xlfn.XLOOKUP($K554&amp;"",COMPUTER!$B$3:$B$1009&amp;"",COMPUTER!$K$3:$K$1009,""),"Display",_xlfn.XLOOKUP($K554&amp;"",DISPLAY!$B$3:$B$1000&amp;"",DISPLAY!$L$3:$L$1000,""),"Network Device",_xlfn.XLOOKUP($K554&amp;"",'NETWORK-DEVICES'!$B$3:$B$987&amp;"",'NETWORK-DEVICES'!$K$3:$K$987,""),"Peripheral",_xlfn.XLOOKUP($K554&amp;"",PERIPHERAL!$B$3:$B$954&amp;"",PERIPHERAL!$K$3:$K$954,""),"Utilities",_xlfn.XLOOKUP($K554&amp;"",UTILITIES!$B$3:$B$953&amp;"",UTILITIES!$J$3:$J$953,""),"IOT",_xlfn.XLOOKUP($K554&amp;"",IOT!$B$3:$B$1012&amp;"",IOT!$K$4:$K$1012,""),"Server",_xlfn.XLOOKUP($K554&amp;"",SERVER!$B$3:$B$1009&amp;"",SERVER!$K$3:$K$1009,""),""))))</f>
        <v/>
      </c>
      <c r="O554" s="1" t="str" cm="1">
        <f t="array" ref="O554">IF(OR($K554="",$I554="",$J554=""),"",_xlfn.LET(_xlpm.srcCat,_xlfn.SWITCH($I554,"Computer",_xlfn.XLOOKUP($K554&amp;"",COMPUTER!$B$3:$B$1009&amp;"",COMPUTER!$H$3:$H$1009,""),"Display",_xlfn.XLOOKUP($K554&amp;"",DISPLAY!$B$3:$B$1000&amp;"",DISPLAY!$H$3:$H$1000,""),"Network Device",_xlfn.XLOOKUP($K554&amp;"",'NETWORK-DEVICES'!$B$3:$B$987&amp;"",'NETWORK-DEVICES'!$H$3:$H$987,""),"Peripheral",_xlfn.XLOOKUP($K554&amp;"",PERIPHERAL!$B$3:$B$954&amp;"",PERIPHERAL!$H$3:$H$954,""),"Utilities",_xlfn.XLOOKUP($K554&amp;"",UTILITIES!$B$3:$B$953&amp;"",UTILITIES!$G$3:$G$953,""),"IOT",_xlfn.XLOOKUP($K554&amp;"",IOT!$B$3:$B$1012&amp;"",IOT!$H$3:$H$1012,""),"Server",_xlfn.XLOOKUP($K554&amp;"",SERVER!$B$3:$B$1009&amp;"",SERVER!$H$3:$H$1009,""),""),IF(TRIM(_xlpm.srcCat)&lt;&gt;TRIM($J554),"",_xlfn.SWITCH($I554,"Computer",_xlfn.XLOOKUP($K554&amp;"",COMPUTER!$B$3:$B$1009&amp;"",COMPUTER!$E$3:$E$1009,""),"Display",_xlfn.XLOOKUP($K554&amp;"",DISPLAY!$B$3:$B$1000&amp;"",DISPLAY!$E$3:$E$1000,""),"Network Device",_xlfn.XLOOKUP($K554&amp;"",'NETWORK-DEVICES'!$B$3:$B$987&amp;"",'NETWORK-DEVICES'!$E$3:$E$987,""),"Peripheral",_xlfn.XLOOKUP($K554&amp;"",PERIPHERAL!$B$3:$B$954&amp;"",PERIPHERAL!$E$3:$E$954,""),"Utilities",_xlfn.XLOOKUP($K554&amp;"",UTILITIES!$B$3:$B$953&amp;"",UTILITIES!$E$3:$E$953,""),"IOT",_xlfn.XLOOKUP($K554&amp;"",IOT!$B$3:$B$1012&amp;"",IOT!$E$3:$E$1012,""),"Server",_xlfn.XLOOKUP($K554&amp;"",SERVER!$B$3:$B$1009&amp;"",SERVER!$E$3:$E$1009,""),""))))</f>
        <v/>
      </c>
      <c r="Q554" s="1" t="str" cm="1">
        <f t="array" ref="Q554">IF(OR($K554="",$I554="",$J554=""),"",_xlfn.LET(_xlpm.srcCat,_xlfn.SWITCH($I554,"Computer",_xlfn.XLOOKUP($K554&amp;"",COMPUTER!$B$3:$B$1009&amp;"",COMPUTER!$H$3:$H$1009,""),"Display",_xlfn.XLOOKUP($K554&amp;"",DISPLAY!$B$3:$B$1000&amp;"",DISPLAY!$H$3:$H$1000,""),"Network Device",_xlfn.XLOOKUP($K554&amp;"",'NETWORK-DEVICES'!$B$3:$B$987&amp;"",'NETWORK-DEVICES'!$H$3:$H$987,""),"Peripheral",_xlfn.XLOOKUP($K554&amp;"",PERIPHERAL!$B$3:$B$954&amp;"",PERIPHERAL!$H$3:$H$954,""),"Utilities",_xlfn.XLOOKUP($K554&amp;"",UTILITIES!$B$3:$B$953&amp;"",UTILITIES!$G$3:$G$953,""),"IOT",_xlfn.XLOOKUP($K554&amp;"",IOT!$B$3:$B$1012&amp;"",IOT!$H$3:$H$1012,""),"Server",_xlfn.XLOOKUP($K554&amp;"",SERVER!$B$3:$B$1009&amp;"",SERVER!$H$3:$H$1009,""),""),IF(TRIM(_xlpm.srcCat)&lt;&gt;TRIM($J554),"",_xlfn.SWITCH($I554,"Computer",_xlfn.XLOOKUP($K554&amp;"",COMPUTER!$B$3:$B$1009&amp;"",COMPUTER!$AM$3:$AM$1009,""),"Display",_xlfn.XLOOKUP($K554&amp;"",DISPLAY!$B$3:$B$1000&amp;"",DISPLAY!$V$3:$V$1000,""),"Network Device",_xlfn.XLOOKUP($K554&amp;"",'NETWORK-DEVICES'!$B$3:$B$987&amp;"",'NETWORK-DEVICES'!$AF$3:$AF$987,""),"Peripheral",_xlfn.XLOOKUP($K554&amp;"",PERIPHERAL!$B$3:$B$954&amp;"",PERIPHERAL!$Y$3:$Y$954,""),"Utilities",_xlfn.XLOOKUP($K554&amp;"",UTILITIES!$B$3:$B$953&amp;"",UTILITIES!$O$3:$O$953,""),"IOT",_xlfn.XLOOKUP($K554&amp;"",IOT!$B$3:$B$1012&amp;"",IOT!$AB$3:$AB$1012,""),"Server",_xlfn.XLOOKUP($K554&amp;"",SERVER!$B$3:$B$1009&amp;"",SERVER!$AB$3:$AB$1009,""),""))))</f>
        <v/>
      </c>
      <c r="R554" s="43" t="str">
        <f>IF(tbl_handover[[#This Row],[Asset Code]]="","",COUNTIF(tbl_handover[Asset Code],tbl_handover[[#This Row],[Asset Code]]))</f>
        <v/>
      </c>
    </row>
    <row r="555" spans="1:18" x14ac:dyDescent="0.25">
      <c r="A555" s="43" t="str">
        <f>IF(B555&lt;&gt;"",SUBTOTAL(3,$B$1:B554),"")</f>
        <v/>
      </c>
      <c r="C555" s="74"/>
      <c r="D555" s="74"/>
      <c r="G555" s="1"/>
      <c r="K555" s="42"/>
      <c r="L555" t="str" cm="1">
        <f t="array" ref="L555">IF($K555="","",_xlfn.SWITCH($I555,"Computer",_xlfn.XLOOKUP($K555&amp;"",COMPUTER!$B$3:$B$1009&amp;"",COMPUTER!$I$3:$I$1009,""),"Display",_xlfn.XLOOKUP($K555&amp;"",DISPLAY!$B$3:$B$1000&amp;"",DISPLAY!$J$3:$J$1000,""),"Network Device",_xlfn.XLOOKUP($K555&amp;"",'NETWORK-DEVICES'!$B$3:$B$987&amp;"",'NETWORK-DEVICES'!$I$3:$I$987,""),"Peripheral",_xlfn.XLOOKUP($K555&amp;"",PERIPHERAL!$B$3:$B$954&amp;"",PERIPHERAL!$I$3:$I$954,""),"Utilities",_xlfn.XLOOKUP($K555&amp;"",UTILITIES!$B$3:$B$953&amp;"",UTILITIES!$H$3:$H$953,""),"IOT",_xlfn.XLOOKUP($K555&amp;"",IOT!$B$3:$B$1012&amp;"",IOT!$I$3:$I$1012,""),"SERVER",_xlfn.XLOOKUP($K555&amp;"",SERVER!$B$3:$B$1009&amp;"",SERVER!$I$3:$I$1009,""),""))</f>
        <v/>
      </c>
      <c r="M555" t="str" cm="1">
        <f t="array" ref="M555">IF($K555="","",_xlfn.SWITCH($I555,"Computer",_xlfn.XLOOKUP($K555&amp;"",COMPUTER!$B$3:$B$1009&amp;"",COMPUTER!$J$3:$J$1009,""),"Display",_xlfn.XLOOKUP($K555&amp;"",DISPLAY!$B$3:$B$1000&amp;"",DISPLAY!$K$3:$K$1000,""),"Network Device",_xlfn.XLOOKUP($K555&amp;"",'NETWORK-DEVICES'!$B$3:$B$987&amp;"",'NETWORK-DEVICES'!$I$3:$I$987,""),"Peripheral",_xlfn.XLOOKUP($K555&amp;"",PERIPHERAL!$B$3:$B$954&amp;"",PERIPHERAL!$J$3:$J$954,""),"Utilities",_xlfn.XLOOKUP($K555&amp;"",UTILITIES!$B$3:$B$953&amp;"",UTILITIES!$I$3:$I$953,""),"IOT",_xlfn.XLOOKUP($K555&amp;"",IOT!$B$3:$B$1012&amp;"",IOT!$J$3:$J$1012,""),"Server",_xlfn.XLOOKUP($K555&amp;"",SERVER!$B$3:$B$1009&amp;"",SERVER!$J$3:$J$1009,""),""))</f>
        <v/>
      </c>
      <c r="N555" s="1" t="str" cm="1">
        <f t="array" ref="N555">IF(OR($K555="",$I555="",$J555=""),"",_xlfn.LET(_xlpm.srcCat,_xlfn.SWITCH($I555,"Computer",_xlfn.XLOOKUP($K555&amp;"",COMPUTER!$B$3:$B$1009&amp;"",COMPUTER!$H$3:$H$1009,""),"Display",_xlfn.XLOOKUP($K555&amp;"",DISPLAY!$B$3:$B$1000&amp;"",DISPLAY!$H$3:$H$1000,""),"Network Device",_xlfn.XLOOKUP($K555&amp;"",'NETWORK-DEVICES'!$B$3:$B$987&amp;"",'NETWORK-DEVICES'!$H$3:$H$987,""),"Peripheral",_xlfn.XLOOKUP($K555&amp;"",PERIPHERAL!$B$3:$B$954&amp;"",PERIPHERAL!$H$3:$H$954,""),"Utilities",_xlfn.XLOOKUP($K555&amp;"",UTILITIES!$B$3:$B$953&amp;"",UTILITIES!$G$3:$G$953,""),"IOT",_xlfn.XLOOKUP($K555&amp;"",IOT!$B$3:$B$1012&amp;"",IOT!$H$3:$H$1012,""),"Server",_xlfn.XLOOKUP($K555&amp;"",SERVER!$B$3:$B$1009&amp;"",SERVER!$H$3:$H$1009,""),""),IF(TRIM(_xlpm.srcCat)&lt;&gt;TRIM($J555),"",_xlfn.SWITCH($I555,"Computer",_xlfn.XLOOKUP($K555&amp;"",COMPUTER!$B$3:$B$1009&amp;"",COMPUTER!$K$3:$K$1009,""),"Display",_xlfn.XLOOKUP($K555&amp;"",DISPLAY!$B$3:$B$1000&amp;"",DISPLAY!$L$3:$L$1000,""),"Network Device",_xlfn.XLOOKUP($K555&amp;"",'NETWORK-DEVICES'!$B$3:$B$987&amp;"",'NETWORK-DEVICES'!$K$3:$K$987,""),"Peripheral",_xlfn.XLOOKUP($K555&amp;"",PERIPHERAL!$B$3:$B$954&amp;"",PERIPHERAL!$K$3:$K$954,""),"Utilities",_xlfn.XLOOKUP($K555&amp;"",UTILITIES!$B$3:$B$953&amp;"",UTILITIES!$J$3:$J$953,""),"IOT",_xlfn.XLOOKUP($K555&amp;"",IOT!$B$3:$B$1012&amp;"",IOT!$K$4:$K$1012,""),"Server",_xlfn.XLOOKUP($K555&amp;"",SERVER!$B$3:$B$1009&amp;"",SERVER!$K$3:$K$1009,""),""))))</f>
        <v/>
      </c>
      <c r="O555" s="1" t="str" cm="1">
        <f t="array" ref="O555">IF(OR($K555="",$I555="",$J555=""),"",_xlfn.LET(_xlpm.srcCat,_xlfn.SWITCH($I555,"Computer",_xlfn.XLOOKUP($K555&amp;"",COMPUTER!$B$3:$B$1009&amp;"",COMPUTER!$H$3:$H$1009,""),"Display",_xlfn.XLOOKUP($K555&amp;"",DISPLAY!$B$3:$B$1000&amp;"",DISPLAY!$H$3:$H$1000,""),"Network Device",_xlfn.XLOOKUP($K555&amp;"",'NETWORK-DEVICES'!$B$3:$B$987&amp;"",'NETWORK-DEVICES'!$H$3:$H$987,""),"Peripheral",_xlfn.XLOOKUP($K555&amp;"",PERIPHERAL!$B$3:$B$954&amp;"",PERIPHERAL!$H$3:$H$954,""),"Utilities",_xlfn.XLOOKUP($K555&amp;"",UTILITIES!$B$3:$B$953&amp;"",UTILITIES!$G$3:$G$953,""),"IOT",_xlfn.XLOOKUP($K555&amp;"",IOT!$B$3:$B$1012&amp;"",IOT!$H$3:$H$1012,""),"Server",_xlfn.XLOOKUP($K555&amp;"",SERVER!$B$3:$B$1009&amp;"",SERVER!$H$3:$H$1009,""),""),IF(TRIM(_xlpm.srcCat)&lt;&gt;TRIM($J555),"",_xlfn.SWITCH($I555,"Computer",_xlfn.XLOOKUP($K555&amp;"",COMPUTER!$B$3:$B$1009&amp;"",COMPUTER!$E$3:$E$1009,""),"Display",_xlfn.XLOOKUP($K555&amp;"",DISPLAY!$B$3:$B$1000&amp;"",DISPLAY!$E$3:$E$1000,""),"Network Device",_xlfn.XLOOKUP($K555&amp;"",'NETWORK-DEVICES'!$B$3:$B$987&amp;"",'NETWORK-DEVICES'!$E$3:$E$987,""),"Peripheral",_xlfn.XLOOKUP($K555&amp;"",PERIPHERAL!$B$3:$B$954&amp;"",PERIPHERAL!$E$3:$E$954,""),"Utilities",_xlfn.XLOOKUP($K555&amp;"",UTILITIES!$B$3:$B$953&amp;"",UTILITIES!$E$3:$E$953,""),"IOT",_xlfn.XLOOKUP($K555&amp;"",IOT!$B$3:$B$1012&amp;"",IOT!$E$3:$E$1012,""),"Server",_xlfn.XLOOKUP($K555&amp;"",SERVER!$B$3:$B$1009&amp;"",SERVER!$E$3:$E$1009,""),""))))</f>
        <v/>
      </c>
      <c r="Q555" s="1" t="str" cm="1">
        <f t="array" ref="Q555">IF(OR($K555="",$I555="",$J555=""),"",_xlfn.LET(_xlpm.srcCat,_xlfn.SWITCH($I555,"Computer",_xlfn.XLOOKUP($K555&amp;"",COMPUTER!$B$3:$B$1009&amp;"",COMPUTER!$H$3:$H$1009,""),"Display",_xlfn.XLOOKUP($K555&amp;"",DISPLAY!$B$3:$B$1000&amp;"",DISPLAY!$H$3:$H$1000,""),"Network Device",_xlfn.XLOOKUP($K555&amp;"",'NETWORK-DEVICES'!$B$3:$B$987&amp;"",'NETWORK-DEVICES'!$H$3:$H$987,""),"Peripheral",_xlfn.XLOOKUP($K555&amp;"",PERIPHERAL!$B$3:$B$954&amp;"",PERIPHERAL!$H$3:$H$954,""),"Utilities",_xlfn.XLOOKUP($K555&amp;"",UTILITIES!$B$3:$B$953&amp;"",UTILITIES!$G$3:$G$953,""),"IOT",_xlfn.XLOOKUP($K555&amp;"",IOT!$B$3:$B$1012&amp;"",IOT!$H$3:$H$1012,""),"Server",_xlfn.XLOOKUP($K555&amp;"",SERVER!$B$3:$B$1009&amp;"",SERVER!$H$3:$H$1009,""),""),IF(TRIM(_xlpm.srcCat)&lt;&gt;TRIM($J555),"",_xlfn.SWITCH($I555,"Computer",_xlfn.XLOOKUP($K555&amp;"",COMPUTER!$B$3:$B$1009&amp;"",COMPUTER!$AM$3:$AM$1009,""),"Display",_xlfn.XLOOKUP($K555&amp;"",DISPLAY!$B$3:$B$1000&amp;"",DISPLAY!$V$3:$V$1000,""),"Network Device",_xlfn.XLOOKUP($K555&amp;"",'NETWORK-DEVICES'!$B$3:$B$987&amp;"",'NETWORK-DEVICES'!$AF$3:$AF$987,""),"Peripheral",_xlfn.XLOOKUP($K555&amp;"",PERIPHERAL!$B$3:$B$954&amp;"",PERIPHERAL!$Y$3:$Y$954,""),"Utilities",_xlfn.XLOOKUP($K555&amp;"",UTILITIES!$B$3:$B$953&amp;"",UTILITIES!$O$3:$O$953,""),"IOT",_xlfn.XLOOKUP($K555&amp;"",IOT!$B$3:$B$1012&amp;"",IOT!$AB$3:$AB$1012,""),"Server",_xlfn.XLOOKUP($K555&amp;"",SERVER!$B$3:$B$1009&amp;"",SERVER!$AB$3:$AB$1009,""),""))))</f>
        <v/>
      </c>
      <c r="R555" s="43" t="str">
        <f>IF(tbl_handover[[#This Row],[Asset Code]]="","",COUNTIF(tbl_handover[Asset Code],tbl_handover[[#This Row],[Asset Code]]))</f>
        <v/>
      </c>
    </row>
    <row r="556" spans="1:18" x14ac:dyDescent="0.25">
      <c r="A556" s="43" t="str">
        <f>IF(B556&lt;&gt;"",SUBTOTAL(3,$B$1:B555),"")</f>
        <v/>
      </c>
      <c r="C556" s="74"/>
      <c r="D556" s="74"/>
      <c r="G556" s="1"/>
      <c r="K556" s="42"/>
      <c r="L556" t="str" cm="1">
        <f t="array" ref="L556">IF($K556="","",_xlfn.SWITCH($I556,"Computer",_xlfn.XLOOKUP($K556&amp;"",COMPUTER!$B$3:$B$1009&amp;"",COMPUTER!$I$3:$I$1009,""),"Display",_xlfn.XLOOKUP($K556&amp;"",DISPLAY!$B$3:$B$1000&amp;"",DISPLAY!$J$3:$J$1000,""),"Network Device",_xlfn.XLOOKUP($K556&amp;"",'NETWORK-DEVICES'!$B$3:$B$987&amp;"",'NETWORK-DEVICES'!$I$3:$I$987,""),"Peripheral",_xlfn.XLOOKUP($K556&amp;"",PERIPHERAL!$B$3:$B$954&amp;"",PERIPHERAL!$I$3:$I$954,""),"Utilities",_xlfn.XLOOKUP($K556&amp;"",UTILITIES!$B$3:$B$953&amp;"",UTILITIES!$H$3:$H$953,""),"IOT",_xlfn.XLOOKUP($K556&amp;"",IOT!$B$3:$B$1012&amp;"",IOT!$I$3:$I$1012,""),"SERVER",_xlfn.XLOOKUP($K556&amp;"",SERVER!$B$3:$B$1009&amp;"",SERVER!$I$3:$I$1009,""),""))</f>
        <v/>
      </c>
      <c r="M556" t="str" cm="1">
        <f t="array" ref="M556">IF($K556="","",_xlfn.SWITCH($I556,"Computer",_xlfn.XLOOKUP($K556&amp;"",COMPUTER!$B$3:$B$1009&amp;"",COMPUTER!$J$3:$J$1009,""),"Display",_xlfn.XLOOKUP($K556&amp;"",DISPLAY!$B$3:$B$1000&amp;"",DISPLAY!$K$3:$K$1000,""),"Network Device",_xlfn.XLOOKUP($K556&amp;"",'NETWORK-DEVICES'!$B$3:$B$987&amp;"",'NETWORK-DEVICES'!$I$3:$I$987,""),"Peripheral",_xlfn.XLOOKUP($K556&amp;"",PERIPHERAL!$B$3:$B$954&amp;"",PERIPHERAL!$J$3:$J$954,""),"Utilities",_xlfn.XLOOKUP($K556&amp;"",UTILITIES!$B$3:$B$953&amp;"",UTILITIES!$I$3:$I$953,""),"IOT",_xlfn.XLOOKUP($K556&amp;"",IOT!$B$3:$B$1012&amp;"",IOT!$J$3:$J$1012,""),"Server",_xlfn.XLOOKUP($K556&amp;"",SERVER!$B$3:$B$1009&amp;"",SERVER!$J$3:$J$1009,""),""))</f>
        <v/>
      </c>
      <c r="N556" s="1" t="str" cm="1">
        <f t="array" ref="N556">IF(OR($K556="",$I556="",$J556=""),"",_xlfn.LET(_xlpm.srcCat,_xlfn.SWITCH($I556,"Computer",_xlfn.XLOOKUP($K556&amp;"",COMPUTER!$B$3:$B$1009&amp;"",COMPUTER!$H$3:$H$1009,""),"Display",_xlfn.XLOOKUP($K556&amp;"",DISPLAY!$B$3:$B$1000&amp;"",DISPLAY!$H$3:$H$1000,""),"Network Device",_xlfn.XLOOKUP($K556&amp;"",'NETWORK-DEVICES'!$B$3:$B$987&amp;"",'NETWORK-DEVICES'!$H$3:$H$987,""),"Peripheral",_xlfn.XLOOKUP($K556&amp;"",PERIPHERAL!$B$3:$B$954&amp;"",PERIPHERAL!$H$3:$H$954,""),"Utilities",_xlfn.XLOOKUP($K556&amp;"",UTILITIES!$B$3:$B$953&amp;"",UTILITIES!$G$3:$G$953,""),"IOT",_xlfn.XLOOKUP($K556&amp;"",IOT!$B$3:$B$1012&amp;"",IOT!$H$3:$H$1012,""),"Server",_xlfn.XLOOKUP($K556&amp;"",SERVER!$B$3:$B$1009&amp;"",SERVER!$H$3:$H$1009,""),""),IF(TRIM(_xlpm.srcCat)&lt;&gt;TRIM($J556),"",_xlfn.SWITCH($I556,"Computer",_xlfn.XLOOKUP($K556&amp;"",COMPUTER!$B$3:$B$1009&amp;"",COMPUTER!$K$3:$K$1009,""),"Display",_xlfn.XLOOKUP($K556&amp;"",DISPLAY!$B$3:$B$1000&amp;"",DISPLAY!$L$3:$L$1000,""),"Network Device",_xlfn.XLOOKUP($K556&amp;"",'NETWORK-DEVICES'!$B$3:$B$987&amp;"",'NETWORK-DEVICES'!$K$3:$K$987,""),"Peripheral",_xlfn.XLOOKUP($K556&amp;"",PERIPHERAL!$B$3:$B$954&amp;"",PERIPHERAL!$K$3:$K$954,""),"Utilities",_xlfn.XLOOKUP($K556&amp;"",UTILITIES!$B$3:$B$953&amp;"",UTILITIES!$J$3:$J$953,""),"IOT",_xlfn.XLOOKUP($K556&amp;"",IOT!$B$3:$B$1012&amp;"",IOT!$K$4:$K$1012,""),"Server",_xlfn.XLOOKUP($K556&amp;"",SERVER!$B$3:$B$1009&amp;"",SERVER!$K$3:$K$1009,""),""))))</f>
        <v/>
      </c>
      <c r="O556" s="1" t="str" cm="1">
        <f t="array" ref="O556">IF(OR($K556="",$I556="",$J556=""),"",_xlfn.LET(_xlpm.srcCat,_xlfn.SWITCH($I556,"Computer",_xlfn.XLOOKUP($K556&amp;"",COMPUTER!$B$3:$B$1009&amp;"",COMPUTER!$H$3:$H$1009,""),"Display",_xlfn.XLOOKUP($K556&amp;"",DISPLAY!$B$3:$B$1000&amp;"",DISPLAY!$H$3:$H$1000,""),"Network Device",_xlfn.XLOOKUP($K556&amp;"",'NETWORK-DEVICES'!$B$3:$B$987&amp;"",'NETWORK-DEVICES'!$H$3:$H$987,""),"Peripheral",_xlfn.XLOOKUP($K556&amp;"",PERIPHERAL!$B$3:$B$954&amp;"",PERIPHERAL!$H$3:$H$954,""),"Utilities",_xlfn.XLOOKUP($K556&amp;"",UTILITIES!$B$3:$B$953&amp;"",UTILITIES!$G$3:$G$953,""),"IOT",_xlfn.XLOOKUP($K556&amp;"",IOT!$B$3:$B$1012&amp;"",IOT!$H$3:$H$1012,""),"Server",_xlfn.XLOOKUP($K556&amp;"",SERVER!$B$3:$B$1009&amp;"",SERVER!$H$3:$H$1009,""),""),IF(TRIM(_xlpm.srcCat)&lt;&gt;TRIM($J556),"",_xlfn.SWITCH($I556,"Computer",_xlfn.XLOOKUP($K556&amp;"",COMPUTER!$B$3:$B$1009&amp;"",COMPUTER!$E$3:$E$1009,""),"Display",_xlfn.XLOOKUP($K556&amp;"",DISPLAY!$B$3:$B$1000&amp;"",DISPLAY!$E$3:$E$1000,""),"Network Device",_xlfn.XLOOKUP($K556&amp;"",'NETWORK-DEVICES'!$B$3:$B$987&amp;"",'NETWORK-DEVICES'!$E$3:$E$987,""),"Peripheral",_xlfn.XLOOKUP($K556&amp;"",PERIPHERAL!$B$3:$B$954&amp;"",PERIPHERAL!$E$3:$E$954,""),"Utilities",_xlfn.XLOOKUP($K556&amp;"",UTILITIES!$B$3:$B$953&amp;"",UTILITIES!$E$3:$E$953,""),"IOT",_xlfn.XLOOKUP($K556&amp;"",IOT!$B$3:$B$1012&amp;"",IOT!$E$3:$E$1012,""),"Server",_xlfn.XLOOKUP($K556&amp;"",SERVER!$B$3:$B$1009&amp;"",SERVER!$E$3:$E$1009,""),""))))</f>
        <v/>
      </c>
      <c r="Q556" s="1" t="str" cm="1">
        <f t="array" ref="Q556">IF(OR($K556="",$I556="",$J556=""),"",_xlfn.LET(_xlpm.srcCat,_xlfn.SWITCH($I556,"Computer",_xlfn.XLOOKUP($K556&amp;"",COMPUTER!$B$3:$B$1009&amp;"",COMPUTER!$H$3:$H$1009,""),"Display",_xlfn.XLOOKUP($K556&amp;"",DISPLAY!$B$3:$B$1000&amp;"",DISPLAY!$H$3:$H$1000,""),"Network Device",_xlfn.XLOOKUP($K556&amp;"",'NETWORK-DEVICES'!$B$3:$B$987&amp;"",'NETWORK-DEVICES'!$H$3:$H$987,""),"Peripheral",_xlfn.XLOOKUP($K556&amp;"",PERIPHERAL!$B$3:$B$954&amp;"",PERIPHERAL!$H$3:$H$954,""),"Utilities",_xlfn.XLOOKUP($K556&amp;"",UTILITIES!$B$3:$B$953&amp;"",UTILITIES!$G$3:$G$953,""),"IOT",_xlfn.XLOOKUP($K556&amp;"",IOT!$B$3:$B$1012&amp;"",IOT!$H$3:$H$1012,""),"Server",_xlfn.XLOOKUP($K556&amp;"",SERVER!$B$3:$B$1009&amp;"",SERVER!$H$3:$H$1009,""),""),IF(TRIM(_xlpm.srcCat)&lt;&gt;TRIM($J556),"",_xlfn.SWITCH($I556,"Computer",_xlfn.XLOOKUP($K556&amp;"",COMPUTER!$B$3:$B$1009&amp;"",COMPUTER!$AM$3:$AM$1009,""),"Display",_xlfn.XLOOKUP($K556&amp;"",DISPLAY!$B$3:$B$1000&amp;"",DISPLAY!$V$3:$V$1000,""),"Network Device",_xlfn.XLOOKUP($K556&amp;"",'NETWORK-DEVICES'!$B$3:$B$987&amp;"",'NETWORK-DEVICES'!$AF$3:$AF$987,""),"Peripheral",_xlfn.XLOOKUP($K556&amp;"",PERIPHERAL!$B$3:$B$954&amp;"",PERIPHERAL!$Y$3:$Y$954,""),"Utilities",_xlfn.XLOOKUP($K556&amp;"",UTILITIES!$B$3:$B$953&amp;"",UTILITIES!$O$3:$O$953,""),"IOT",_xlfn.XLOOKUP($K556&amp;"",IOT!$B$3:$B$1012&amp;"",IOT!$AB$3:$AB$1012,""),"Server",_xlfn.XLOOKUP($K556&amp;"",SERVER!$B$3:$B$1009&amp;"",SERVER!$AB$3:$AB$1009,""),""))))</f>
        <v/>
      </c>
      <c r="R556" s="43" t="str">
        <f>IF(tbl_handover[[#This Row],[Asset Code]]="","",COUNTIF(tbl_handover[Asset Code],tbl_handover[[#This Row],[Asset Code]]))</f>
        <v/>
      </c>
    </row>
    <row r="557" spans="1:18" x14ac:dyDescent="0.25">
      <c r="A557" s="43" t="str">
        <f>IF(B557&lt;&gt;"",SUBTOTAL(3,$B$1:B556),"")</f>
        <v/>
      </c>
      <c r="C557" s="74"/>
      <c r="D557" s="74"/>
      <c r="G557" s="1"/>
      <c r="K557" s="42"/>
      <c r="L557" t="str" cm="1">
        <f t="array" ref="L557">IF($K557="","",_xlfn.SWITCH($I557,"Computer",_xlfn.XLOOKUP($K557&amp;"",COMPUTER!$B$3:$B$1009&amp;"",COMPUTER!$I$3:$I$1009,""),"Display",_xlfn.XLOOKUP($K557&amp;"",DISPLAY!$B$3:$B$1000&amp;"",DISPLAY!$J$3:$J$1000,""),"Network Device",_xlfn.XLOOKUP($K557&amp;"",'NETWORK-DEVICES'!$B$3:$B$987&amp;"",'NETWORK-DEVICES'!$I$3:$I$987,""),"Peripheral",_xlfn.XLOOKUP($K557&amp;"",PERIPHERAL!$B$3:$B$954&amp;"",PERIPHERAL!$I$3:$I$954,""),"Utilities",_xlfn.XLOOKUP($K557&amp;"",UTILITIES!$B$3:$B$953&amp;"",UTILITIES!$H$3:$H$953,""),"IOT",_xlfn.XLOOKUP($K557&amp;"",IOT!$B$3:$B$1012&amp;"",IOT!$I$3:$I$1012,""),"SERVER",_xlfn.XLOOKUP($K557&amp;"",SERVER!$B$3:$B$1009&amp;"",SERVER!$I$3:$I$1009,""),""))</f>
        <v/>
      </c>
      <c r="M557" t="str" cm="1">
        <f t="array" ref="M557">IF($K557="","",_xlfn.SWITCH($I557,"Computer",_xlfn.XLOOKUP($K557&amp;"",COMPUTER!$B$3:$B$1009&amp;"",COMPUTER!$J$3:$J$1009,""),"Display",_xlfn.XLOOKUP($K557&amp;"",DISPLAY!$B$3:$B$1000&amp;"",DISPLAY!$K$3:$K$1000,""),"Network Device",_xlfn.XLOOKUP($K557&amp;"",'NETWORK-DEVICES'!$B$3:$B$987&amp;"",'NETWORK-DEVICES'!$I$3:$I$987,""),"Peripheral",_xlfn.XLOOKUP($K557&amp;"",PERIPHERAL!$B$3:$B$954&amp;"",PERIPHERAL!$J$3:$J$954,""),"Utilities",_xlfn.XLOOKUP($K557&amp;"",UTILITIES!$B$3:$B$953&amp;"",UTILITIES!$I$3:$I$953,""),"IOT",_xlfn.XLOOKUP($K557&amp;"",IOT!$B$3:$B$1012&amp;"",IOT!$J$3:$J$1012,""),"Server",_xlfn.XLOOKUP($K557&amp;"",SERVER!$B$3:$B$1009&amp;"",SERVER!$J$3:$J$1009,""),""))</f>
        <v/>
      </c>
      <c r="N557" s="1" t="str" cm="1">
        <f t="array" ref="N557">IF(OR($K557="",$I557="",$J557=""),"",_xlfn.LET(_xlpm.srcCat,_xlfn.SWITCH($I557,"Computer",_xlfn.XLOOKUP($K557&amp;"",COMPUTER!$B$3:$B$1009&amp;"",COMPUTER!$H$3:$H$1009,""),"Display",_xlfn.XLOOKUP($K557&amp;"",DISPLAY!$B$3:$B$1000&amp;"",DISPLAY!$H$3:$H$1000,""),"Network Device",_xlfn.XLOOKUP($K557&amp;"",'NETWORK-DEVICES'!$B$3:$B$987&amp;"",'NETWORK-DEVICES'!$H$3:$H$987,""),"Peripheral",_xlfn.XLOOKUP($K557&amp;"",PERIPHERAL!$B$3:$B$954&amp;"",PERIPHERAL!$H$3:$H$954,""),"Utilities",_xlfn.XLOOKUP($K557&amp;"",UTILITIES!$B$3:$B$953&amp;"",UTILITIES!$G$3:$G$953,""),"IOT",_xlfn.XLOOKUP($K557&amp;"",IOT!$B$3:$B$1012&amp;"",IOT!$H$3:$H$1012,""),"Server",_xlfn.XLOOKUP($K557&amp;"",SERVER!$B$3:$B$1009&amp;"",SERVER!$H$3:$H$1009,""),""),IF(TRIM(_xlpm.srcCat)&lt;&gt;TRIM($J557),"",_xlfn.SWITCH($I557,"Computer",_xlfn.XLOOKUP($K557&amp;"",COMPUTER!$B$3:$B$1009&amp;"",COMPUTER!$K$3:$K$1009,""),"Display",_xlfn.XLOOKUP($K557&amp;"",DISPLAY!$B$3:$B$1000&amp;"",DISPLAY!$L$3:$L$1000,""),"Network Device",_xlfn.XLOOKUP($K557&amp;"",'NETWORK-DEVICES'!$B$3:$B$987&amp;"",'NETWORK-DEVICES'!$K$3:$K$987,""),"Peripheral",_xlfn.XLOOKUP($K557&amp;"",PERIPHERAL!$B$3:$B$954&amp;"",PERIPHERAL!$K$3:$K$954,""),"Utilities",_xlfn.XLOOKUP($K557&amp;"",UTILITIES!$B$3:$B$953&amp;"",UTILITIES!$J$3:$J$953,""),"IOT",_xlfn.XLOOKUP($K557&amp;"",IOT!$B$3:$B$1012&amp;"",IOT!$K$4:$K$1012,""),"Server",_xlfn.XLOOKUP($K557&amp;"",SERVER!$B$3:$B$1009&amp;"",SERVER!$K$3:$K$1009,""),""))))</f>
        <v/>
      </c>
      <c r="O557" s="1" t="str" cm="1">
        <f t="array" ref="O557">IF(OR($K557="",$I557="",$J557=""),"",_xlfn.LET(_xlpm.srcCat,_xlfn.SWITCH($I557,"Computer",_xlfn.XLOOKUP($K557&amp;"",COMPUTER!$B$3:$B$1009&amp;"",COMPUTER!$H$3:$H$1009,""),"Display",_xlfn.XLOOKUP($K557&amp;"",DISPLAY!$B$3:$B$1000&amp;"",DISPLAY!$H$3:$H$1000,""),"Network Device",_xlfn.XLOOKUP($K557&amp;"",'NETWORK-DEVICES'!$B$3:$B$987&amp;"",'NETWORK-DEVICES'!$H$3:$H$987,""),"Peripheral",_xlfn.XLOOKUP($K557&amp;"",PERIPHERAL!$B$3:$B$954&amp;"",PERIPHERAL!$H$3:$H$954,""),"Utilities",_xlfn.XLOOKUP($K557&amp;"",UTILITIES!$B$3:$B$953&amp;"",UTILITIES!$G$3:$G$953,""),"IOT",_xlfn.XLOOKUP($K557&amp;"",IOT!$B$3:$B$1012&amp;"",IOT!$H$3:$H$1012,""),"Server",_xlfn.XLOOKUP($K557&amp;"",SERVER!$B$3:$B$1009&amp;"",SERVER!$H$3:$H$1009,""),""),IF(TRIM(_xlpm.srcCat)&lt;&gt;TRIM($J557),"",_xlfn.SWITCH($I557,"Computer",_xlfn.XLOOKUP($K557&amp;"",COMPUTER!$B$3:$B$1009&amp;"",COMPUTER!$E$3:$E$1009,""),"Display",_xlfn.XLOOKUP($K557&amp;"",DISPLAY!$B$3:$B$1000&amp;"",DISPLAY!$E$3:$E$1000,""),"Network Device",_xlfn.XLOOKUP($K557&amp;"",'NETWORK-DEVICES'!$B$3:$B$987&amp;"",'NETWORK-DEVICES'!$E$3:$E$987,""),"Peripheral",_xlfn.XLOOKUP($K557&amp;"",PERIPHERAL!$B$3:$B$954&amp;"",PERIPHERAL!$E$3:$E$954,""),"Utilities",_xlfn.XLOOKUP($K557&amp;"",UTILITIES!$B$3:$B$953&amp;"",UTILITIES!$E$3:$E$953,""),"IOT",_xlfn.XLOOKUP($K557&amp;"",IOT!$B$3:$B$1012&amp;"",IOT!$E$3:$E$1012,""),"Server",_xlfn.XLOOKUP($K557&amp;"",SERVER!$B$3:$B$1009&amp;"",SERVER!$E$3:$E$1009,""),""))))</f>
        <v/>
      </c>
      <c r="Q557" s="1" t="str" cm="1">
        <f t="array" ref="Q557">IF(OR($K557="",$I557="",$J557=""),"",_xlfn.LET(_xlpm.srcCat,_xlfn.SWITCH($I557,"Computer",_xlfn.XLOOKUP($K557&amp;"",COMPUTER!$B$3:$B$1009&amp;"",COMPUTER!$H$3:$H$1009,""),"Display",_xlfn.XLOOKUP($K557&amp;"",DISPLAY!$B$3:$B$1000&amp;"",DISPLAY!$H$3:$H$1000,""),"Network Device",_xlfn.XLOOKUP($K557&amp;"",'NETWORK-DEVICES'!$B$3:$B$987&amp;"",'NETWORK-DEVICES'!$H$3:$H$987,""),"Peripheral",_xlfn.XLOOKUP($K557&amp;"",PERIPHERAL!$B$3:$B$954&amp;"",PERIPHERAL!$H$3:$H$954,""),"Utilities",_xlfn.XLOOKUP($K557&amp;"",UTILITIES!$B$3:$B$953&amp;"",UTILITIES!$G$3:$G$953,""),"IOT",_xlfn.XLOOKUP($K557&amp;"",IOT!$B$3:$B$1012&amp;"",IOT!$H$3:$H$1012,""),"Server",_xlfn.XLOOKUP($K557&amp;"",SERVER!$B$3:$B$1009&amp;"",SERVER!$H$3:$H$1009,""),""),IF(TRIM(_xlpm.srcCat)&lt;&gt;TRIM($J557),"",_xlfn.SWITCH($I557,"Computer",_xlfn.XLOOKUP($K557&amp;"",COMPUTER!$B$3:$B$1009&amp;"",COMPUTER!$AM$3:$AM$1009,""),"Display",_xlfn.XLOOKUP($K557&amp;"",DISPLAY!$B$3:$B$1000&amp;"",DISPLAY!$V$3:$V$1000,""),"Network Device",_xlfn.XLOOKUP($K557&amp;"",'NETWORK-DEVICES'!$B$3:$B$987&amp;"",'NETWORK-DEVICES'!$AF$3:$AF$987,""),"Peripheral",_xlfn.XLOOKUP($K557&amp;"",PERIPHERAL!$B$3:$B$954&amp;"",PERIPHERAL!$Y$3:$Y$954,""),"Utilities",_xlfn.XLOOKUP($K557&amp;"",UTILITIES!$B$3:$B$953&amp;"",UTILITIES!$O$3:$O$953,""),"IOT",_xlfn.XLOOKUP($K557&amp;"",IOT!$B$3:$B$1012&amp;"",IOT!$AB$3:$AB$1012,""),"Server",_xlfn.XLOOKUP($K557&amp;"",SERVER!$B$3:$B$1009&amp;"",SERVER!$AB$3:$AB$1009,""),""))))</f>
        <v/>
      </c>
      <c r="R557" s="43" t="str">
        <f>IF(tbl_handover[[#This Row],[Asset Code]]="","",COUNTIF(tbl_handover[Asset Code],tbl_handover[[#This Row],[Asset Code]]))</f>
        <v/>
      </c>
    </row>
    <row r="558" spans="1:18" x14ac:dyDescent="0.25">
      <c r="A558" s="43" t="str">
        <f>IF(B558&lt;&gt;"",SUBTOTAL(3,$B$1:B557),"")</f>
        <v/>
      </c>
      <c r="C558" s="74"/>
      <c r="D558" s="74"/>
      <c r="G558" s="1"/>
      <c r="K558" s="42"/>
      <c r="L558" t="str" cm="1">
        <f t="array" ref="L558">IF($K558="","",_xlfn.SWITCH($I558,"Computer",_xlfn.XLOOKUP($K558&amp;"",COMPUTER!$B$3:$B$1009&amp;"",COMPUTER!$I$3:$I$1009,""),"Display",_xlfn.XLOOKUP($K558&amp;"",DISPLAY!$B$3:$B$1000&amp;"",DISPLAY!$J$3:$J$1000,""),"Network Device",_xlfn.XLOOKUP($K558&amp;"",'NETWORK-DEVICES'!$B$3:$B$987&amp;"",'NETWORK-DEVICES'!$I$3:$I$987,""),"Peripheral",_xlfn.XLOOKUP($K558&amp;"",PERIPHERAL!$B$3:$B$954&amp;"",PERIPHERAL!$I$3:$I$954,""),"Utilities",_xlfn.XLOOKUP($K558&amp;"",UTILITIES!$B$3:$B$953&amp;"",UTILITIES!$H$3:$H$953,""),"IOT",_xlfn.XLOOKUP($K558&amp;"",IOT!$B$3:$B$1012&amp;"",IOT!$I$3:$I$1012,""),"SERVER",_xlfn.XLOOKUP($K558&amp;"",SERVER!$B$3:$B$1009&amp;"",SERVER!$I$3:$I$1009,""),""))</f>
        <v/>
      </c>
      <c r="M558" t="str" cm="1">
        <f t="array" ref="M558">IF($K558="","",_xlfn.SWITCH($I558,"Computer",_xlfn.XLOOKUP($K558&amp;"",COMPUTER!$B$3:$B$1009&amp;"",COMPUTER!$J$3:$J$1009,""),"Display",_xlfn.XLOOKUP($K558&amp;"",DISPLAY!$B$3:$B$1000&amp;"",DISPLAY!$K$3:$K$1000,""),"Network Device",_xlfn.XLOOKUP($K558&amp;"",'NETWORK-DEVICES'!$B$3:$B$987&amp;"",'NETWORK-DEVICES'!$I$3:$I$987,""),"Peripheral",_xlfn.XLOOKUP($K558&amp;"",PERIPHERAL!$B$3:$B$954&amp;"",PERIPHERAL!$J$3:$J$954,""),"Utilities",_xlfn.XLOOKUP($K558&amp;"",UTILITIES!$B$3:$B$953&amp;"",UTILITIES!$I$3:$I$953,""),"IOT",_xlfn.XLOOKUP($K558&amp;"",IOT!$B$3:$B$1012&amp;"",IOT!$J$3:$J$1012,""),"Server",_xlfn.XLOOKUP($K558&amp;"",SERVER!$B$3:$B$1009&amp;"",SERVER!$J$3:$J$1009,""),""))</f>
        <v/>
      </c>
      <c r="N558" s="1" t="str" cm="1">
        <f t="array" ref="N558">IF(OR($K558="",$I558="",$J558=""),"",_xlfn.LET(_xlpm.srcCat,_xlfn.SWITCH($I558,"Computer",_xlfn.XLOOKUP($K558&amp;"",COMPUTER!$B$3:$B$1009&amp;"",COMPUTER!$H$3:$H$1009,""),"Display",_xlfn.XLOOKUP($K558&amp;"",DISPLAY!$B$3:$B$1000&amp;"",DISPLAY!$H$3:$H$1000,""),"Network Device",_xlfn.XLOOKUP($K558&amp;"",'NETWORK-DEVICES'!$B$3:$B$987&amp;"",'NETWORK-DEVICES'!$H$3:$H$987,""),"Peripheral",_xlfn.XLOOKUP($K558&amp;"",PERIPHERAL!$B$3:$B$954&amp;"",PERIPHERAL!$H$3:$H$954,""),"Utilities",_xlfn.XLOOKUP($K558&amp;"",UTILITIES!$B$3:$B$953&amp;"",UTILITIES!$G$3:$G$953,""),"IOT",_xlfn.XLOOKUP($K558&amp;"",IOT!$B$3:$B$1012&amp;"",IOT!$H$3:$H$1012,""),"Server",_xlfn.XLOOKUP($K558&amp;"",SERVER!$B$3:$B$1009&amp;"",SERVER!$H$3:$H$1009,""),""),IF(TRIM(_xlpm.srcCat)&lt;&gt;TRIM($J558),"",_xlfn.SWITCH($I558,"Computer",_xlfn.XLOOKUP($K558&amp;"",COMPUTER!$B$3:$B$1009&amp;"",COMPUTER!$K$3:$K$1009,""),"Display",_xlfn.XLOOKUP($K558&amp;"",DISPLAY!$B$3:$B$1000&amp;"",DISPLAY!$L$3:$L$1000,""),"Network Device",_xlfn.XLOOKUP($K558&amp;"",'NETWORK-DEVICES'!$B$3:$B$987&amp;"",'NETWORK-DEVICES'!$K$3:$K$987,""),"Peripheral",_xlfn.XLOOKUP($K558&amp;"",PERIPHERAL!$B$3:$B$954&amp;"",PERIPHERAL!$K$3:$K$954,""),"Utilities",_xlfn.XLOOKUP($K558&amp;"",UTILITIES!$B$3:$B$953&amp;"",UTILITIES!$J$3:$J$953,""),"IOT",_xlfn.XLOOKUP($K558&amp;"",IOT!$B$3:$B$1012&amp;"",IOT!$K$4:$K$1012,""),"Server",_xlfn.XLOOKUP($K558&amp;"",SERVER!$B$3:$B$1009&amp;"",SERVER!$K$3:$K$1009,""),""))))</f>
        <v/>
      </c>
      <c r="O558" s="1" t="str" cm="1">
        <f t="array" ref="O558">IF(OR($K558="",$I558="",$J558=""),"",_xlfn.LET(_xlpm.srcCat,_xlfn.SWITCH($I558,"Computer",_xlfn.XLOOKUP($K558&amp;"",COMPUTER!$B$3:$B$1009&amp;"",COMPUTER!$H$3:$H$1009,""),"Display",_xlfn.XLOOKUP($K558&amp;"",DISPLAY!$B$3:$B$1000&amp;"",DISPLAY!$H$3:$H$1000,""),"Network Device",_xlfn.XLOOKUP($K558&amp;"",'NETWORK-DEVICES'!$B$3:$B$987&amp;"",'NETWORK-DEVICES'!$H$3:$H$987,""),"Peripheral",_xlfn.XLOOKUP($K558&amp;"",PERIPHERAL!$B$3:$B$954&amp;"",PERIPHERAL!$H$3:$H$954,""),"Utilities",_xlfn.XLOOKUP($K558&amp;"",UTILITIES!$B$3:$B$953&amp;"",UTILITIES!$G$3:$G$953,""),"IOT",_xlfn.XLOOKUP($K558&amp;"",IOT!$B$3:$B$1012&amp;"",IOT!$H$3:$H$1012,""),"Server",_xlfn.XLOOKUP($K558&amp;"",SERVER!$B$3:$B$1009&amp;"",SERVER!$H$3:$H$1009,""),""),IF(TRIM(_xlpm.srcCat)&lt;&gt;TRIM($J558),"",_xlfn.SWITCH($I558,"Computer",_xlfn.XLOOKUP($K558&amp;"",COMPUTER!$B$3:$B$1009&amp;"",COMPUTER!$E$3:$E$1009,""),"Display",_xlfn.XLOOKUP($K558&amp;"",DISPLAY!$B$3:$B$1000&amp;"",DISPLAY!$E$3:$E$1000,""),"Network Device",_xlfn.XLOOKUP($K558&amp;"",'NETWORK-DEVICES'!$B$3:$B$987&amp;"",'NETWORK-DEVICES'!$E$3:$E$987,""),"Peripheral",_xlfn.XLOOKUP($K558&amp;"",PERIPHERAL!$B$3:$B$954&amp;"",PERIPHERAL!$E$3:$E$954,""),"Utilities",_xlfn.XLOOKUP($K558&amp;"",UTILITIES!$B$3:$B$953&amp;"",UTILITIES!$E$3:$E$953,""),"IOT",_xlfn.XLOOKUP($K558&amp;"",IOT!$B$3:$B$1012&amp;"",IOT!$E$3:$E$1012,""),"Server",_xlfn.XLOOKUP($K558&amp;"",SERVER!$B$3:$B$1009&amp;"",SERVER!$E$3:$E$1009,""),""))))</f>
        <v/>
      </c>
      <c r="Q558" s="1" t="str" cm="1">
        <f t="array" ref="Q558">IF(OR($K558="",$I558="",$J558=""),"",_xlfn.LET(_xlpm.srcCat,_xlfn.SWITCH($I558,"Computer",_xlfn.XLOOKUP($K558&amp;"",COMPUTER!$B$3:$B$1009&amp;"",COMPUTER!$H$3:$H$1009,""),"Display",_xlfn.XLOOKUP($K558&amp;"",DISPLAY!$B$3:$B$1000&amp;"",DISPLAY!$H$3:$H$1000,""),"Network Device",_xlfn.XLOOKUP($K558&amp;"",'NETWORK-DEVICES'!$B$3:$B$987&amp;"",'NETWORK-DEVICES'!$H$3:$H$987,""),"Peripheral",_xlfn.XLOOKUP($K558&amp;"",PERIPHERAL!$B$3:$B$954&amp;"",PERIPHERAL!$H$3:$H$954,""),"Utilities",_xlfn.XLOOKUP($K558&amp;"",UTILITIES!$B$3:$B$953&amp;"",UTILITIES!$G$3:$G$953,""),"IOT",_xlfn.XLOOKUP($K558&amp;"",IOT!$B$3:$B$1012&amp;"",IOT!$H$3:$H$1012,""),"Server",_xlfn.XLOOKUP($K558&amp;"",SERVER!$B$3:$B$1009&amp;"",SERVER!$H$3:$H$1009,""),""),IF(TRIM(_xlpm.srcCat)&lt;&gt;TRIM($J558),"",_xlfn.SWITCH($I558,"Computer",_xlfn.XLOOKUP($K558&amp;"",COMPUTER!$B$3:$B$1009&amp;"",COMPUTER!$AM$3:$AM$1009,""),"Display",_xlfn.XLOOKUP($K558&amp;"",DISPLAY!$B$3:$B$1000&amp;"",DISPLAY!$V$3:$V$1000,""),"Network Device",_xlfn.XLOOKUP($K558&amp;"",'NETWORK-DEVICES'!$B$3:$B$987&amp;"",'NETWORK-DEVICES'!$AF$3:$AF$987,""),"Peripheral",_xlfn.XLOOKUP($K558&amp;"",PERIPHERAL!$B$3:$B$954&amp;"",PERIPHERAL!$Y$3:$Y$954,""),"Utilities",_xlfn.XLOOKUP($K558&amp;"",UTILITIES!$B$3:$B$953&amp;"",UTILITIES!$O$3:$O$953,""),"IOT",_xlfn.XLOOKUP($K558&amp;"",IOT!$B$3:$B$1012&amp;"",IOT!$AB$3:$AB$1012,""),"Server",_xlfn.XLOOKUP($K558&amp;"",SERVER!$B$3:$B$1009&amp;"",SERVER!$AB$3:$AB$1009,""),""))))</f>
        <v/>
      </c>
      <c r="R558" s="43" t="str">
        <f>IF(tbl_handover[[#This Row],[Asset Code]]="","",COUNTIF(tbl_handover[Asset Code],tbl_handover[[#This Row],[Asset Code]]))</f>
        <v/>
      </c>
    </row>
    <row r="559" spans="1:18" x14ac:dyDescent="0.25">
      <c r="A559" s="43" t="str">
        <f>IF(B559&lt;&gt;"",SUBTOTAL(3,$B$1:B558),"")</f>
        <v/>
      </c>
      <c r="C559" s="74"/>
      <c r="D559" s="74"/>
      <c r="G559" s="1"/>
      <c r="K559" s="42"/>
      <c r="L559" t="str" cm="1">
        <f t="array" ref="L559">IF($K559="","",_xlfn.SWITCH($I559,"Computer",_xlfn.XLOOKUP($K559&amp;"",COMPUTER!$B$3:$B$1009&amp;"",COMPUTER!$I$3:$I$1009,""),"Display",_xlfn.XLOOKUP($K559&amp;"",DISPLAY!$B$3:$B$1000&amp;"",DISPLAY!$J$3:$J$1000,""),"Network Device",_xlfn.XLOOKUP($K559&amp;"",'NETWORK-DEVICES'!$B$3:$B$987&amp;"",'NETWORK-DEVICES'!$I$3:$I$987,""),"Peripheral",_xlfn.XLOOKUP($K559&amp;"",PERIPHERAL!$B$3:$B$954&amp;"",PERIPHERAL!$I$3:$I$954,""),"Utilities",_xlfn.XLOOKUP($K559&amp;"",UTILITIES!$B$3:$B$953&amp;"",UTILITIES!$H$3:$H$953,""),"IOT",_xlfn.XLOOKUP($K559&amp;"",IOT!$B$3:$B$1012&amp;"",IOT!$I$3:$I$1012,""),"SERVER",_xlfn.XLOOKUP($K559&amp;"",SERVER!$B$3:$B$1009&amp;"",SERVER!$I$3:$I$1009,""),""))</f>
        <v/>
      </c>
      <c r="M559" t="str" cm="1">
        <f t="array" ref="M559">IF($K559="","",_xlfn.SWITCH($I559,"Computer",_xlfn.XLOOKUP($K559&amp;"",COMPUTER!$B$3:$B$1009&amp;"",COMPUTER!$J$3:$J$1009,""),"Display",_xlfn.XLOOKUP($K559&amp;"",DISPLAY!$B$3:$B$1000&amp;"",DISPLAY!$K$3:$K$1000,""),"Network Device",_xlfn.XLOOKUP($K559&amp;"",'NETWORK-DEVICES'!$B$3:$B$987&amp;"",'NETWORK-DEVICES'!$I$3:$I$987,""),"Peripheral",_xlfn.XLOOKUP($K559&amp;"",PERIPHERAL!$B$3:$B$954&amp;"",PERIPHERAL!$J$3:$J$954,""),"Utilities",_xlfn.XLOOKUP($K559&amp;"",UTILITIES!$B$3:$B$953&amp;"",UTILITIES!$I$3:$I$953,""),"IOT",_xlfn.XLOOKUP($K559&amp;"",IOT!$B$3:$B$1012&amp;"",IOT!$J$3:$J$1012,""),"Server",_xlfn.XLOOKUP($K559&amp;"",SERVER!$B$3:$B$1009&amp;"",SERVER!$J$3:$J$1009,""),""))</f>
        <v/>
      </c>
      <c r="N559" s="1" t="str" cm="1">
        <f t="array" ref="N559">IF(OR($K559="",$I559="",$J559=""),"",_xlfn.LET(_xlpm.srcCat,_xlfn.SWITCH($I559,"Computer",_xlfn.XLOOKUP($K559&amp;"",COMPUTER!$B$3:$B$1009&amp;"",COMPUTER!$H$3:$H$1009,""),"Display",_xlfn.XLOOKUP($K559&amp;"",DISPLAY!$B$3:$B$1000&amp;"",DISPLAY!$H$3:$H$1000,""),"Network Device",_xlfn.XLOOKUP($K559&amp;"",'NETWORK-DEVICES'!$B$3:$B$987&amp;"",'NETWORK-DEVICES'!$H$3:$H$987,""),"Peripheral",_xlfn.XLOOKUP($K559&amp;"",PERIPHERAL!$B$3:$B$954&amp;"",PERIPHERAL!$H$3:$H$954,""),"Utilities",_xlfn.XLOOKUP($K559&amp;"",UTILITIES!$B$3:$B$953&amp;"",UTILITIES!$G$3:$G$953,""),"IOT",_xlfn.XLOOKUP($K559&amp;"",IOT!$B$3:$B$1012&amp;"",IOT!$H$3:$H$1012,""),"Server",_xlfn.XLOOKUP($K559&amp;"",SERVER!$B$3:$B$1009&amp;"",SERVER!$H$3:$H$1009,""),""),IF(TRIM(_xlpm.srcCat)&lt;&gt;TRIM($J559),"",_xlfn.SWITCH($I559,"Computer",_xlfn.XLOOKUP($K559&amp;"",COMPUTER!$B$3:$B$1009&amp;"",COMPUTER!$K$3:$K$1009,""),"Display",_xlfn.XLOOKUP($K559&amp;"",DISPLAY!$B$3:$B$1000&amp;"",DISPLAY!$L$3:$L$1000,""),"Network Device",_xlfn.XLOOKUP($K559&amp;"",'NETWORK-DEVICES'!$B$3:$B$987&amp;"",'NETWORK-DEVICES'!$K$3:$K$987,""),"Peripheral",_xlfn.XLOOKUP($K559&amp;"",PERIPHERAL!$B$3:$B$954&amp;"",PERIPHERAL!$K$3:$K$954,""),"Utilities",_xlfn.XLOOKUP($K559&amp;"",UTILITIES!$B$3:$B$953&amp;"",UTILITIES!$J$3:$J$953,""),"IOT",_xlfn.XLOOKUP($K559&amp;"",IOT!$B$3:$B$1012&amp;"",IOT!$K$4:$K$1012,""),"Server",_xlfn.XLOOKUP($K559&amp;"",SERVER!$B$3:$B$1009&amp;"",SERVER!$K$3:$K$1009,""),""))))</f>
        <v/>
      </c>
      <c r="O559" s="1" t="str" cm="1">
        <f t="array" ref="O559">IF(OR($K559="",$I559="",$J559=""),"",_xlfn.LET(_xlpm.srcCat,_xlfn.SWITCH($I559,"Computer",_xlfn.XLOOKUP($K559&amp;"",COMPUTER!$B$3:$B$1009&amp;"",COMPUTER!$H$3:$H$1009,""),"Display",_xlfn.XLOOKUP($K559&amp;"",DISPLAY!$B$3:$B$1000&amp;"",DISPLAY!$H$3:$H$1000,""),"Network Device",_xlfn.XLOOKUP($K559&amp;"",'NETWORK-DEVICES'!$B$3:$B$987&amp;"",'NETWORK-DEVICES'!$H$3:$H$987,""),"Peripheral",_xlfn.XLOOKUP($K559&amp;"",PERIPHERAL!$B$3:$B$954&amp;"",PERIPHERAL!$H$3:$H$954,""),"Utilities",_xlfn.XLOOKUP($K559&amp;"",UTILITIES!$B$3:$B$953&amp;"",UTILITIES!$G$3:$G$953,""),"IOT",_xlfn.XLOOKUP($K559&amp;"",IOT!$B$3:$B$1012&amp;"",IOT!$H$3:$H$1012,""),"Server",_xlfn.XLOOKUP($K559&amp;"",SERVER!$B$3:$B$1009&amp;"",SERVER!$H$3:$H$1009,""),""),IF(TRIM(_xlpm.srcCat)&lt;&gt;TRIM($J559),"",_xlfn.SWITCH($I559,"Computer",_xlfn.XLOOKUP($K559&amp;"",COMPUTER!$B$3:$B$1009&amp;"",COMPUTER!$E$3:$E$1009,""),"Display",_xlfn.XLOOKUP($K559&amp;"",DISPLAY!$B$3:$B$1000&amp;"",DISPLAY!$E$3:$E$1000,""),"Network Device",_xlfn.XLOOKUP($K559&amp;"",'NETWORK-DEVICES'!$B$3:$B$987&amp;"",'NETWORK-DEVICES'!$E$3:$E$987,""),"Peripheral",_xlfn.XLOOKUP($K559&amp;"",PERIPHERAL!$B$3:$B$954&amp;"",PERIPHERAL!$E$3:$E$954,""),"Utilities",_xlfn.XLOOKUP($K559&amp;"",UTILITIES!$B$3:$B$953&amp;"",UTILITIES!$E$3:$E$953,""),"IOT",_xlfn.XLOOKUP($K559&amp;"",IOT!$B$3:$B$1012&amp;"",IOT!$E$3:$E$1012,""),"Server",_xlfn.XLOOKUP($K559&amp;"",SERVER!$B$3:$B$1009&amp;"",SERVER!$E$3:$E$1009,""),""))))</f>
        <v/>
      </c>
      <c r="Q559" s="1" t="str" cm="1">
        <f t="array" ref="Q559">IF(OR($K559="",$I559="",$J559=""),"",_xlfn.LET(_xlpm.srcCat,_xlfn.SWITCH($I559,"Computer",_xlfn.XLOOKUP($K559&amp;"",COMPUTER!$B$3:$B$1009&amp;"",COMPUTER!$H$3:$H$1009,""),"Display",_xlfn.XLOOKUP($K559&amp;"",DISPLAY!$B$3:$B$1000&amp;"",DISPLAY!$H$3:$H$1000,""),"Network Device",_xlfn.XLOOKUP($K559&amp;"",'NETWORK-DEVICES'!$B$3:$B$987&amp;"",'NETWORK-DEVICES'!$H$3:$H$987,""),"Peripheral",_xlfn.XLOOKUP($K559&amp;"",PERIPHERAL!$B$3:$B$954&amp;"",PERIPHERAL!$H$3:$H$954,""),"Utilities",_xlfn.XLOOKUP($K559&amp;"",UTILITIES!$B$3:$B$953&amp;"",UTILITIES!$G$3:$G$953,""),"IOT",_xlfn.XLOOKUP($K559&amp;"",IOT!$B$3:$B$1012&amp;"",IOT!$H$3:$H$1012,""),"Server",_xlfn.XLOOKUP($K559&amp;"",SERVER!$B$3:$B$1009&amp;"",SERVER!$H$3:$H$1009,""),""),IF(TRIM(_xlpm.srcCat)&lt;&gt;TRIM($J559),"",_xlfn.SWITCH($I559,"Computer",_xlfn.XLOOKUP($K559&amp;"",COMPUTER!$B$3:$B$1009&amp;"",COMPUTER!$AM$3:$AM$1009,""),"Display",_xlfn.XLOOKUP($K559&amp;"",DISPLAY!$B$3:$B$1000&amp;"",DISPLAY!$V$3:$V$1000,""),"Network Device",_xlfn.XLOOKUP($K559&amp;"",'NETWORK-DEVICES'!$B$3:$B$987&amp;"",'NETWORK-DEVICES'!$AF$3:$AF$987,""),"Peripheral",_xlfn.XLOOKUP($K559&amp;"",PERIPHERAL!$B$3:$B$954&amp;"",PERIPHERAL!$Y$3:$Y$954,""),"Utilities",_xlfn.XLOOKUP($K559&amp;"",UTILITIES!$B$3:$B$953&amp;"",UTILITIES!$O$3:$O$953,""),"IOT",_xlfn.XLOOKUP($K559&amp;"",IOT!$B$3:$B$1012&amp;"",IOT!$AB$3:$AB$1012,""),"Server",_xlfn.XLOOKUP($K559&amp;"",SERVER!$B$3:$B$1009&amp;"",SERVER!$AB$3:$AB$1009,""),""))))</f>
        <v/>
      </c>
      <c r="R559" s="43" t="str">
        <f>IF(tbl_handover[[#This Row],[Asset Code]]="","",COUNTIF(tbl_handover[Asset Code],tbl_handover[[#This Row],[Asset Code]]))</f>
        <v/>
      </c>
    </row>
    <row r="560" spans="1:18" x14ac:dyDescent="0.25">
      <c r="A560" s="43" t="str">
        <f>IF(B560&lt;&gt;"",SUBTOTAL(3,$B$1:B559),"")</f>
        <v/>
      </c>
      <c r="C560" s="74"/>
      <c r="D560" s="74"/>
      <c r="G560" s="1"/>
      <c r="K560" s="42"/>
      <c r="L560" t="str" cm="1">
        <f t="array" ref="L560">IF($K560="","",_xlfn.SWITCH($I560,"Computer",_xlfn.XLOOKUP($K560&amp;"",COMPUTER!$B$3:$B$1009&amp;"",COMPUTER!$I$3:$I$1009,""),"Display",_xlfn.XLOOKUP($K560&amp;"",DISPLAY!$B$3:$B$1000&amp;"",DISPLAY!$J$3:$J$1000,""),"Network Device",_xlfn.XLOOKUP($K560&amp;"",'NETWORK-DEVICES'!$B$3:$B$987&amp;"",'NETWORK-DEVICES'!$I$3:$I$987,""),"Peripheral",_xlfn.XLOOKUP($K560&amp;"",PERIPHERAL!$B$3:$B$954&amp;"",PERIPHERAL!$I$3:$I$954,""),"Utilities",_xlfn.XLOOKUP($K560&amp;"",UTILITIES!$B$3:$B$953&amp;"",UTILITIES!$H$3:$H$953,""),"IOT",_xlfn.XLOOKUP($K560&amp;"",IOT!$B$3:$B$1012&amp;"",IOT!$I$3:$I$1012,""),"SERVER",_xlfn.XLOOKUP($K560&amp;"",SERVER!$B$3:$B$1009&amp;"",SERVER!$I$3:$I$1009,""),""))</f>
        <v/>
      </c>
      <c r="M560" t="str" cm="1">
        <f t="array" ref="M560">IF($K560="","",_xlfn.SWITCH($I560,"Computer",_xlfn.XLOOKUP($K560&amp;"",COMPUTER!$B$3:$B$1009&amp;"",COMPUTER!$J$3:$J$1009,""),"Display",_xlfn.XLOOKUP($K560&amp;"",DISPLAY!$B$3:$B$1000&amp;"",DISPLAY!$K$3:$K$1000,""),"Network Device",_xlfn.XLOOKUP($K560&amp;"",'NETWORK-DEVICES'!$B$3:$B$987&amp;"",'NETWORK-DEVICES'!$I$3:$I$987,""),"Peripheral",_xlfn.XLOOKUP($K560&amp;"",PERIPHERAL!$B$3:$B$954&amp;"",PERIPHERAL!$J$3:$J$954,""),"Utilities",_xlfn.XLOOKUP($K560&amp;"",UTILITIES!$B$3:$B$953&amp;"",UTILITIES!$I$3:$I$953,""),"IOT",_xlfn.XLOOKUP($K560&amp;"",IOT!$B$3:$B$1012&amp;"",IOT!$J$3:$J$1012,""),"Server",_xlfn.XLOOKUP($K560&amp;"",SERVER!$B$3:$B$1009&amp;"",SERVER!$J$3:$J$1009,""),""))</f>
        <v/>
      </c>
      <c r="N560" s="1" t="str" cm="1">
        <f t="array" ref="N560">IF(OR($K560="",$I560="",$J560=""),"",_xlfn.LET(_xlpm.srcCat,_xlfn.SWITCH($I560,"Computer",_xlfn.XLOOKUP($K560&amp;"",COMPUTER!$B$3:$B$1009&amp;"",COMPUTER!$H$3:$H$1009,""),"Display",_xlfn.XLOOKUP($K560&amp;"",DISPLAY!$B$3:$B$1000&amp;"",DISPLAY!$H$3:$H$1000,""),"Network Device",_xlfn.XLOOKUP($K560&amp;"",'NETWORK-DEVICES'!$B$3:$B$987&amp;"",'NETWORK-DEVICES'!$H$3:$H$987,""),"Peripheral",_xlfn.XLOOKUP($K560&amp;"",PERIPHERAL!$B$3:$B$954&amp;"",PERIPHERAL!$H$3:$H$954,""),"Utilities",_xlfn.XLOOKUP($K560&amp;"",UTILITIES!$B$3:$B$953&amp;"",UTILITIES!$G$3:$G$953,""),"IOT",_xlfn.XLOOKUP($K560&amp;"",IOT!$B$3:$B$1012&amp;"",IOT!$H$3:$H$1012,""),"Server",_xlfn.XLOOKUP($K560&amp;"",SERVER!$B$3:$B$1009&amp;"",SERVER!$H$3:$H$1009,""),""),IF(TRIM(_xlpm.srcCat)&lt;&gt;TRIM($J560),"",_xlfn.SWITCH($I560,"Computer",_xlfn.XLOOKUP($K560&amp;"",COMPUTER!$B$3:$B$1009&amp;"",COMPUTER!$K$3:$K$1009,""),"Display",_xlfn.XLOOKUP($K560&amp;"",DISPLAY!$B$3:$B$1000&amp;"",DISPLAY!$L$3:$L$1000,""),"Network Device",_xlfn.XLOOKUP($K560&amp;"",'NETWORK-DEVICES'!$B$3:$B$987&amp;"",'NETWORK-DEVICES'!$K$3:$K$987,""),"Peripheral",_xlfn.XLOOKUP($K560&amp;"",PERIPHERAL!$B$3:$B$954&amp;"",PERIPHERAL!$K$3:$K$954,""),"Utilities",_xlfn.XLOOKUP($K560&amp;"",UTILITIES!$B$3:$B$953&amp;"",UTILITIES!$J$3:$J$953,""),"IOT",_xlfn.XLOOKUP($K560&amp;"",IOT!$B$3:$B$1012&amp;"",IOT!$K$4:$K$1012,""),"Server",_xlfn.XLOOKUP($K560&amp;"",SERVER!$B$3:$B$1009&amp;"",SERVER!$K$3:$K$1009,""),""))))</f>
        <v/>
      </c>
      <c r="O560" s="1" t="str" cm="1">
        <f t="array" ref="O560">IF(OR($K560="",$I560="",$J560=""),"",_xlfn.LET(_xlpm.srcCat,_xlfn.SWITCH($I560,"Computer",_xlfn.XLOOKUP($K560&amp;"",COMPUTER!$B$3:$B$1009&amp;"",COMPUTER!$H$3:$H$1009,""),"Display",_xlfn.XLOOKUP($K560&amp;"",DISPLAY!$B$3:$B$1000&amp;"",DISPLAY!$H$3:$H$1000,""),"Network Device",_xlfn.XLOOKUP($K560&amp;"",'NETWORK-DEVICES'!$B$3:$B$987&amp;"",'NETWORK-DEVICES'!$H$3:$H$987,""),"Peripheral",_xlfn.XLOOKUP($K560&amp;"",PERIPHERAL!$B$3:$B$954&amp;"",PERIPHERAL!$H$3:$H$954,""),"Utilities",_xlfn.XLOOKUP($K560&amp;"",UTILITIES!$B$3:$B$953&amp;"",UTILITIES!$G$3:$G$953,""),"IOT",_xlfn.XLOOKUP($K560&amp;"",IOT!$B$3:$B$1012&amp;"",IOT!$H$3:$H$1012,""),"Server",_xlfn.XLOOKUP($K560&amp;"",SERVER!$B$3:$B$1009&amp;"",SERVER!$H$3:$H$1009,""),""),IF(TRIM(_xlpm.srcCat)&lt;&gt;TRIM($J560),"",_xlfn.SWITCH($I560,"Computer",_xlfn.XLOOKUP($K560&amp;"",COMPUTER!$B$3:$B$1009&amp;"",COMPUTER!$E$3:$E$1009,""),"Display",_xlfn.XLOOKUP($K560&amp;"",DISPLAY!$B$3:$B$1000&amp;"",DISPLAY!$E$3:$E$1000,""),"Network Device",_xlfn.XLOOKUP($K560&amp;"",'NETWORK-DEVICES'!$B$3:$B$987&amp;"",'NETWORK-DEVICES'!$E$3:$E$987,""),"Peripheral",_xlfn.XLOOKUP($K560&amp;"",PERIPHERAL!$B$3:$B$954&amp;"",PERIPHERAL!$E$3:$E$954,""),"Utilities",_xlfn.XLOOKUP($K560&amp;"",UTILITIES!$B$3:$B$953&amp;"",UTILITIES!$E$3:$E$953,""),"IOT",_xlfn.XLOOKUP($K560&amp;"",IOT!$B$3:$B$1012&amp;"",IOT!$E$3:$E$1012,""),"Server",_xlfn.XLOOKUP($K560&amp;"",SERVER!$B$3:$B$1009&amp;"",SERVER!$E$3:$E$1009,""),""))))</f>
        <v/>
      </c>
      <c r="Q560" s="1" t="str" cm="1">
        <f t="array" ref="Q560">IF(OR($K560="",$I560="",$J560=""),"",_xlfn.LET(_xlpm.srcCat,_xlfn.SWITCH($I560,"Computer",_xlfn.XLOOKUP($K560&amp;"",COMPUTER!$B$3:$B$1009&amp;"",COMPUTER!$H$3:$H$1009,""),"Display",_xlfn.XLOOKUP($K560&amp;"",DISPLAY!$B$3:$B$1000&amp;"",DISPLAY!$H$3:$H$1000,""),"Network Device",_xlfn.XLOOKUP($K560&amp;"",'NETWORK-DEVICES'!$B$3:$B$987&amp;"",'NETWORK-DEVICES'!$H$3:$H$987,""),"Peripheral",_xlfn.XLOOKUP($K560&amp;"",PERIPHERAL!$B$3:$B$954&amp;"",PERIPHERAL!$H$3:$H$954,""),"Utilities",_xlfn.XLOOKUP($K560&amp;"",UTILITIES!$B$3:$B$953&amp;"",UTILITIES!$G$3:$G$953,""),"IOT",_xlfn.XLOOKUP($K560&amp;"",IOT!$B$3:$B$1012&amp;"",IOT!$H$3:$H$1012,""),"Server",_xlfn.XLOOKUP($K560&amp;"",SERVER!$B$3:$B$1009&amp;"",SERVER!$H$3:$H$1009,""),""),IF(TRIM(_xlpm.srcCat)&lt;&gt;TRIM($J560),"",_xlfn.SWITCH($I560,"Computer",_xlfn.XLOOKUP($K560&amp;"",COMPUTER!$B$3:$B$1009&amp;"",COMPUTER!$AM$3:$AM$1009,""),"Display",_xlfn.XLOOKUP($K560&amp;"",DISPLAY!$B$3:$B$1000&amp;"",DISPLAY!$V$3:$V$1000,""),"Network Device",_xlfn.XLOOKUP($K560&amp;"",'NETWORK-DEVICES'!$B$3:$B$987&amp;"",'NETWORK-DEVICES'!$AF$3:$AF$987,""),"Peripheral",_xlfn.XLOOKUP($K560&amp;"",PERIPHERAL!$B$3:$B$954&amp;"",PERIPHERAL!$Y$3:$Y$954,""),"Utilities",_xlfn.XLOOKUP($K560&amp;"",UTILITIES!$B$3:$B$953&amp;"",UTILITIES!$O$3:$O$953,""),"IOT",_xlfn.XLOOKUP($K560&amp;"",IOT!$B$3:$B$1012&amp;"",IOT!$AB$3:$AB$1012,""),"Server",_xlfn.XLOOKUP($K560&amp;"",SERVER!$B$3:$B$1009&amp;"",SERVER!$AB$3:$AB$1009,""),""))))</f>
        <v/>
      </c>
      <c r="R560" s="43" t="str">
        <f>IF(tbl_handover[[#This Row],[Asset Code]]="","",COUNTIF(tbl_handover[Asset Code],tbl_handover[[#This Row],[Asset Code]]))</f>
        <v/>
      </c>
    </row>
    <row r="561" spans="1:18" x14ac:dyDescent="0.25">
      <c r="A561" s="43" t="str">
        <f>IF(B561&lt;&gt;"",SUBTOTAL(3,$B$1:B560),"")</f>
        <v/>
      </c>
      <c r="C561" s="74"/>
      <c r="D561" s="74"/>
      <c r="G561" s="1"/>
      <c r="K561" s="42"/>
      <c r="L561" t="str" cm="1">
        <f t="array" ref="L561">IF($K561="","",_xlfn.SWITCH($I561,"Computer",_xlfn.XLOOKUP($K561&amp;"",COMPUTER!$B$3:$B$1009&amp;"",COMPUTER!$I$3:$I$1009,""),"Display",_xlfn.XLOOKUP($K561&amp;"",DISPLAY!$B$3:$B$1000&amp;"",DISPLAY!$J$3:$J$1000,""),"Network Device",_xlfn.XLOOKUP($K561&amp;"",'NETWORK-DEVICES'!$B$3:$B$987&amp;"",'NETWORK-DEVICES'!$I$3:$I$987,""),"Peripheral",_xlfn.XLOOKUP($K561&amp;"",PERIPHERAL!$B$3:$B$954&amp;"",PERIPHERAL!$I$3:$I$954,""),"Utilities",_xlfn.XLOOKUP($K561&amp;"",UTILITIES!$B$3:$B$953&amp;"",UTILITIES!$H$3:$H$953,""),"IOT",_xlfn.XLOOKUP($K561&amp;"",IOT!$B$3:$B$1012&amp;"",IOT!$I$3:$I$1012,""),"SERVER",_xlfn.XLOOKUP($K561&amp;"",SERVER!$B$3:$B$1009&amp;"",SERVER!$I$3:$I$1009,""),""))</f>
        <v/>
      </c>
      <c r="M561" t="str" cm="1">
        <f t="array" ref="M561">IF($K561="","",_xlfn.SWITCH($I561,"Computer",_xlfn.XLOOKUP($K561&amp;"",COMPUTER!$B$3:$B$1009&amp;"",COMPUTER!$J$3:$J$1009,""),"Display",_xlfn.XLOOKUP($K561&amp;"",DISPLAY!$B$3:$B$1000&amp;"",DISPLAY!$K$3:$K$1000,""),"Network Device",_xlfn.XLOOKUP($K561&amp;"",'NETWORK-DEVICES'!$B$3:$B$987&amp;"",'NETWORK-DEVICES'!$I$3:$I$987,""),"Peripheral",_xlfn.XLOOKUP($K561&amp;"",PERIPHERAL!$B$3:$B$954&amp;"",PERIPHERAL!$J$3:$J$954,""),"Utilities",_xlfn.XLOOKUP($K561&amp;"",UTILITIES!$B$3:$B$953&amp;"",UTILITIES!$I$3:$I$953,""),"IOT",_xlfn.XLOOKUP($K561&amp;"",IOT!$B$3:$B$1012&amp;"",IOT!$J$3:$J$1012,""),"Server",_xlfn.XLOOKUP($K561&amp;"",SERVER!$B$3:$B$1009&amp;"",SERVER!$J$3:$J$1009,""),""))</f>
        <v/>
      </c>
      <c r="N561" s="1" t="str" cm="1">
        <f t="array" ref="N561">IF(OR($K561="",$I561="",$J561=""),"",_xlfn.LET(_xlpm.srcCat,_xlfn.SWITCH($I561,"Computer",_xlfn.XLOOKUP($K561&amp;"",COMPUTER!$B$3:$B$1009&amp;"",COMPUTER!$H$3:$H$1009,""),"Display",_xlfn.XLOOKUP($K561&amp;"",DISPLAY!$B$3:$B$1000&amp;"",DISPLAY!$H$3:$H$1000,""),"Network Device",_xlfn.XLOOKUP($K561&amp;"",'NETWORK-DEVICES'!$B$3:$B$987&amp;"",'NETWORK-DEVICES'!$H$3:$H$987,""),"Peripheral",_xlfn.XLOOKUP($K561&amp;"",PERIPHERAL!$B$3:$B$954&amp;"",PERIPHERAL!$H$3:$H$954,""),"Utilities",_xlfn.XLOOKUP($K561&amp;"",UTILITIES!$B$3:$B$953&amp;"",UTILITIES!$G$3:$G$953,""),"IOT",_xlfn.XLOOKUP($K561&amp;"",IOT!$B$3:$B$1012&amp;"",IOT!$H$3:$H$1012,""),"Server",_xlfn.XLOOKUP($K561&amp;"",SERVER!$B$3:$B$1009&amp;"",SERVER!$H$3:$H$1009,""),""),IF(TRIM(_xlpm.srcCat)&lt;&gt;TRIM($J561),"",_xlfn.SWITCH($I561,"Computer",_xlfn.XLOOKUP($K561&amp;"",COMPUTER!$B$3:$B$1009&amp;"",COMPUTER!$K$3:$K$1009,""),"Display",_xlfn.XLOOKUP($K561&amp;"",DISPLAY!$B$3:$B$1000&amp;"",DISPLAY!$L$3:$L$1000,""),"Network Device",_xlfn.XLOOKUP($K561&amp;"",'NETWORK-DEVICES'!$B$3:$B$987&amp;"",'NETWORK-DEVICES'!$K$3:$K$987,""),"Peripheral",_xlfn.XLOOKUP($K561&amp;"",PERIPHERAL!$B$3:$B$954&amp;"",PERIPHERAL!$K$3:$K$954,""),"Utilities",_xlfn.XLOOKUP($K561&amp;"",UTILITIES!$B$3:$B$953&amp;"",UTILITIES!$J$3:$J$953,""),"IOT",_xlfn.XLOOKUP($K561&amp;"",IOT!$B$3:$B$1012&amp;"",IOT!$K$4:$K$1012,""),"Server",_xlfn.XLOOKUP($K561&amp;"",SERVER!$B$3:$B$1009&amp;"",SERVER!$K$3:$K$1009,""),""))))</f>
        <v/>
      </c>
      <c r="O561" s="1" t="str" cm="1">
        <f t="array" ref="O561">IF(OR($K561="",$I561="",$J561=""),"",_xlfn.LET(_xlpm.srcCat,_xlfn.SWITCH($I561,"Computer",_xlfn.XLOOKUP($K561&amp;"",COMPUTER!$B$3:$B$1009&amp;"",COMPUTER!$H$3:$H$1009,""),"Display",_xlfn.XLOOKUP($K561&amp;"",DISPLAY!$B$3:$B$1000&amp;"",DISPLAY!$H$3:$H$1000,""),"Network Device",_xlfn.XLOOKUP($K561&amp;"",'NETWORK-DEVICES'!$B$3:$B$987&amp;"",'NETWORK-DEVICES'!$H$3:$H$987,""),"Peripheral",_xlfn.XLOOKUP($K561&amp;"",PERIPHERAL!$B$3:$B$954&amp;"",PERIPHERAL!$H$3:$H$954,""),"Utilities",_xlfn.XLOOKUP($K561&amp;"",UTILITIES!$B$3:$B$953&amp;"",UTILITIES!$G$3:$G$953,""),"IOT",_xlfn.XLOOKUP($K561&amp;"",IOT!$B$3:$B$1012&amp;"",IOT!$H$3:$H$1012,""),"Server",_xlfn.XLOOKUP($K561&amp;"",SERVER!$B$3:$B$1009&amp;"",SERVER!$H$3:$H$1009,""),""),IF(TRIM(_xlpm.srcCat)&lt;&gt;TRIM($J561),"",_xlfn.SWITCH($I561,"Computer",_xlfn.XLOOKUP($K561&amp;"",COMPUTER!$B$3:$B$1009&amp;"",COMPUTER!$E$3:$E$1009,""),"Display",_xlfn.XLOOKUP($K561&amp;"",DISPLAY!$B$3:$B$1000&amp;"",DISPLAY!$E$3:$E$1000,""),"Network Device",_xlfn.XLOOKUP($K561&amp;"",'NETWORK-DEVICES'!$B$3:$B$987&amp;"",'NETWORK-DEVICES'!$E$3:$E$987,""),"Peripheral",_xlfn.XLOOKUP($K561&amp;"",PERIPHERAL!$B$3:$B$954&amp;"",PERIPHERAL!$E$3:$E$954,""),"Utilities",_xlfn.XLOOKUP($K561&amp;"",UTILITIES!$B$3:$B$953&amp;"",UTILITIES!$E$3:$E$953,""),"IOT",_xlfn.XLOOKUP($K561&amp;"",IOT!$B$3:$B$1012&amp;"",IOT!$E$3:$E$1012,""),"Server",_xlfn.XLOOKUP($K561&amp;"",SERVER!$B$3:$B$1009&amp;"",SERVER!$E$3:$E$1009,""),""))))</f>
        <v/>
      </c>
      <c r="Q561" s="1" t="str" cm="1">
        <f t="array" ref="Q561">IF(OR($K561="",$I561="",$J561=""),"",_xlfn.LET(_xlpm.srcCat,_xlfn.SWITCH($I561,"Computer",_xlfn.XLOOKUP($K561&amp;"",COMPUTER!$B$3:$B$1009&amp;"",COMPUTER!$H$3:$H$1009,""),"Display",_xlfn.XLOOKUP($K561&amp;"",DISPLAY!$B$3:$B$1000&amp;"",DISPLAY!$H$3:$H$1000,""),"Network Device",_xlfn.XLOOKUP($K561&amp;"",'NETWORK-DEVICES'!$B$3:$B$987&amp;"",'NETWORK-DEVICES'!$H$3:$H$987,""),"Peripheral",_xlfn.XLOOKUP($K561&amp;"",PERIPHERAL!$B$3:$B$954&amp;"",PERIPHERAL!$H$3:$H$954,""),"Utilities",_xlfn.XLOOKUP($K561&amp;"",UTILITIES!$B$3:$B$953&amp;"",UTILITIES!$G$3:$G$953,""),"IOT",_xlfn.XLOOKUP($K561&amp;"",IOT!$B$3:$B$1012&amp;"",IOT!$H$3:$H$1012,""),"Server",_xlfn.XLOOKUP($K561&amp;"",SERVER!$B$3:$B$1009&amp;"",SERVER!$H$3:$H$1009,""),""),IF(TRIM(_xlpm.srcCat)&lt;&gt;TRIM($J561),"",_xlfn.SWITCH($I561,"Computer",_xlfn.XLOOKUP($K561&amp;"",COMPUTER!$B$3:$B$1009&amp;"",COMPUTER!$AM$3:$AM$1009,""),"Display",_xlfn.XLOOKUP($K561&amp;"",DISPLAY!$B$3:$B$1000&amp;"",DISPLAY!$V$3:$V$1000,""),"Network Device",_xlfn.XLOOKUP($K561&amp;"",'NETWORK-DEVICES'!$B$3:$B$987&amp;"",'NETWORK-DEVICES'!$AF$3:$AF$987,""),"Peripheral",_xlfn.XLOOKUP($K561&amp;"",PERIPHERAL!$B$3:$B$954&amp;"",PERIPHERAL!$Y$3:$Y$954,""),"Utilities",_xlfn.XLOOKUP($K561&amp;"",UTILITIES!$B$3:$B$953&amp;"",UTILITIES!$O$3:$O$953,""),"IOT",_xlfn.XLOOKUP($K561&amp;"",IOT!$B$3:$B$1012&amp;"",IOT!$AB$3:$AB$1012,""),"Server",_xlfn.XLOOKUP($K561&amp;"",SERVER!$B$3:$B$1009&amp;"",SERVER!$AB$3:$AB$1009,""),""))))</f>
        <v/>
      </c>
      <c r="R561" s="43" t="str">
        <f>IF(tbl_handover[[#This Row],[Asset Code]]="","",COUNTIF(tbl_handover[Asset Code],tbl_handover[[#This Row],[Asset Code]]))</f>
        <v/>
      </c>
    </row>
    <row r="562" spans="1:18" x14ac:dyDescent="0.25">
      <c r="A562" s="43" t="str">
        <f>IF(B562&lt;&gt;"",SUBTOTAL(3,$B$1:B561),"")</f>
        <v/>
      </c>
      <c r="C562" s="74"/>
      <c r="D562" s="74"/>
      <c r="G562" s="1"/>
      <c r="K562" s="42"/>
      <c r="L562" t="str" cm="1">
        <f t="array" ref="L562">IF($K562="","",_xlfn.SWITCH($I562,"Computer",_xlfn.XLOOKUP($K562&amp;"",COMPUTER!$B$3:$B$1009&amp;"",COMPUTER!$I$3:$I$1009,""),"Display",_xlfn.XLOOKUP($K562&amp;"",DISPLAY!$B$3:$B$1000&amp;"",DISPLAY!$J$3:$J$1000,""),"Network Device",_xlfn.XLOOKUP($K562&amp;"",'NETWORK-DEVICES'!$B$3:$B$987&amp;"",'NETWORK-DEVICES'!$I$3:$I$987,""),"Peripheral",_xlfn.XLOOKUP($K562&amp;"",PERIPHERAL!$B$3:$B$954&amp;"",PERIPHERAL!$I$3:$I$954,""),"Utilities",_xlfn.XLOOKUP($K562&amp;"",UTILITIES!$B$3:$B$953&amp;"",UTILITIES!$H$3:$H$953,""),"IOT",_xlfn.XLOOKUP($K562&amp;"",IOT!$B$3:$B$1012&amp;"",IOT!$I$3:$I$1012,""),"SERVER",_xlfn.XLOOKUP($K562&amp;"",SERVER!$B$3:$B$1009&amp;"",SERVER!$I$3:$I$1009,""),""))</f>
        <v/>
      </c>
      <c r="M562" t="str" cm="1">
        <f t="array" ref="M562">IF($K562="","",_xlfn.SWITCH($I562,"Computer",_xlfn.XLOOKUP($K562&amp;"",COMPUTER!$B$3:$B$1009&amp;"",COMPUTER!$J$3:$J$1009,""),"Display",_xlfn.XLOOKUP($K562&amp;"",DISPLAY!$B$3:$B$1000&amp;"",DISPLAY!$K$3:$K$1000,""),"Network Device",_xlfn.XLOOKUP($K562&amp;"",'NETWORK-DEVICES'!$B$3:$B$987&amp;"",'NETWORK-DEVICES'!$I$3:$I$987,""),"Peripheral",_xlfn.XLOOKUP($K562&amp;"",PERIPHERAL!$B$3:$B$954&amp;"",PERIPHERAL!$J$3:$J$954,""),"Utilities",_xlfn.XLOOKUP($K562&amp;"",UTILITIES!$B$3:$B$953&amp;"",UTILITIES!$I$3:$I$953,""),"IOT",_xlfn.XLOOKUP($K562&amp;"",IOT!$B$3:$B$1012&amp;"",IOT!$J$3:$J$1012,""),"Server",_xlfn.XLOOKUP($K562&amp;"",SERVER!$B$3:$B$1009&amp;"",SERVER!$J$3:$J$1009,""),""))</f>
        <v/>
      </c>
      <c r="N562" s="1" t="str" cm="1">
        <f t="array" ref="N562">IF(OR($K562="",$I562="",$J562=""),"",_xlfn.LET(_xlpm.srcCat,_xlfn.SWITCH($I562,"Computer",_xlfn.XLOOKUP($K562&amp;"",COMPUTER!$B$3:$B$1009&amp;"",COMPUTER!$H$3:$H$1009,""),"Display",_xlfn.XLOOKUP($K562&amp;"",DISPLAY!$B$3:$B$1000&amp;"",DISPLAY!$H$3:$H$1000,""),"Network Device",_xlfn.XLOOKUP($K562&amp;"",'NETWORK-DEVICES'!$B$3:$B$987&amp;"",'NETWORK-DEVICES'!$H$3:$H$987,""),"Peripheral",_xlfn.XLOOKUP($K562&amp;"",PERIPHERAL!$B$3:$B$954&amp;"",PERIPHERAL!$H$3:$H$954,""),"Utilities",_xlfn.XLOOKUP($K562&amp;"",UTILITIES!$B$3:$B$953&amp;"",UTILITIES!$G$3:$G$953,""),"IOT",_xlfn.XLOOKUP($K562&amp;"",IOT!$B$3:$B$1012&amp;"",IOT!$H$3:$H$1012,""),"Server",_xlfn.XLOOKUP($K562&amp;"",SERVER!$B$3:$B$1009&amp;"",SERVER!$H$3:$H$1009,""),""),IF(TRIM(_xlpm.srcCat)&lt;&gt;TRIM($J562),"",_xlfn.SWITCH($I562,"Computer",_xlfn.XLOOKUP($K562&amp;"",COMPUTER!$B$3:$B$1009&amp;"",COMPUTER!$K$3:$K$1009,""),"Display",_xlfn.XLOOKUP($K562&amp;"",DISPLAY!$B$3:$B$1000&amp;"",DISPLAY!$L$3:$L$1000,""),"Network Device",_xlfn.XLOOKUP($K562&amp;"",'NETWORK-DEVICES'!$B$3:$B$987&amp;"",'NETWORK-DEVICES'!$K$3:$K$987,""),"Peripheral",_xlfn.XLOOKUP($K562&amp;"",PERIPHERAL!$B$3:$B$954&amp;"",PERIPHERAL!$K$3:$K$954,""),"Utilities",_xlfn.XLOOKUP($K562&amp;"",UTILITIES!$B$3:$B$953&amp;"",UTILITIES!$J$3:$J$953,""),"IOT",_xlfn.XLOOKUP($K562&amp;"",IOT!$B$3:$B$1012&amp;"",IOT!$K$4:$K$1012,""),"Server",_xlfn.XLOOKUP($K562&amp;"",SERVER!$B$3:$B$1009&amp;"",SERVER!$K$3:$K$1009,""),""))))</f>
        <v/>
      </c>
      <c r="O562" s="1" t="str" cm="1">
        <f t="array" ref="O562">IF(OR($K562="",$I562="",$J562=""),"",_xlfn.LET(_xlpm.srcCat,_xlfn.SWITCH($I562,"Computer",_xlfn.XLOOKUP($K562&amp;"",COMPUTER!$B$3:$B$1009&amp;"",COMPUTER!$H$3:$H$1009,""),"Display",_xlfn.XLOOKUP($K562&amp;"",DISPLAY!$B$3:$B$1000&amp;"",DISPLAY!$H$3:$H$1000,""),"Network Device",_xlfn.XLOOKUP($K562&amp;"",'NETWORK-DEVICES'!$B$3:$B$987&amp;"",'NETWORK-DEVICES'!$H$3:$H$987,""),"Peripheral",_xlfn.XLOOKUP($K562&amp;"",PERIPHERAL!$B$3:$B$954&amp;"",PERIPHERAL!$H$3:$H$954,""),"Utilities",_xlfn.XLOOKUP($K562&amp;"",UTILITIES!$B$3:$B$953&amp;"",UTILITIES!$G$3:$G$953,""),"IOT",_xlfn.XLOOKUP($K562&amp;"",IOT!$B$3:$B$1012&amp;"",IOT!$H$3:$H$1012,""),"Server",_xlfn.XLOOKUP($K562&amp;"",SERVER!$B$3:$B$1009&amp;"",SERVER!$H$3:$H$1009,""),""),IF(TRIM(_xlpm.srcCat)&lt;&gt;TRIM($J562),"",_xlfn.SWITCH($I562,"Computer",_xlfn.XLOOKUP($K562&amp;"",COMPUTER!$B$3:$B$1009&amp;"",COMPUTER!$E$3:$E$1009,""),"Display",_xlfn.XLOOKUP($K562&amp;"",DISPLAY!$B$3:$B$1000&amp;"",DISPLAY!$E$3:$E$1000,""),"Network Device",_xlfn.XLOOKUP($K562&amp;"",'NETWORK-DEVICES'!$B$3:$B$987&amp;"",'NETWORK-DEVICES'!$E$3:$E$987,""),"Peripheral",_xlfn.XLOOKUP($K562&amp;"",PERIPHERAL!$B$3:$B$954&amp;"",PERIPHERAL!$E$3:$E$954,""),"Utilities",_xlfn.XLOOKUP($K562&amp;"",UTILITIES!$B$3:$B$953&amp;"",UTILITIES!$E$3:$E$953,""),"IOT",_xlfn.XLOOKUP($K562&amp;"",IOT!$B$3:$B$1012&amp;"",IOT!$E$3:$E$1012,""),"Server",_xlfn.XLOOKUP($K562&amp;"",SERVER!$B$3:$B$1009&amp;"",SERVER!$E$3:$E$1009,""),""))))</f>
        <v/>
      </c>
      <c r="Q562" s="1" t="str" cm="1">
        <f t="array" ref="Q562">IF(OR($K562="",$I562="",$J562=""),"",_xlfn.LET(_xlpm.srcCat,_xlfn.SWITCH($I562,"Computer",_xlfn.XLOOKUP($K562&amp;"",COMPUTER!$B$3:$B$1009&amp;"",COMPUTER!$H$3:$H$1009,""),"Display",_xlfn.XLOOKUP($K562&amp;"",DISPLAY!$B$3:$B$1000&amp;"",DISPLAY!$H$3:$H$1000,""),"Network Device",_xlfn.XLOOKUP($K562&amp;"",'NETWORK-DEVICES'!$B$3:$B$987&amp;"",'NETWORK-DEVICES'!$H$3:$H$987,""),"Peripheral",_xlfn.XLOOKUP($K562&amp;"",PERIPHERAL!$B$3:$B$954&amp;"",PERIPHERAL!$H$3:$H$954,""),"Utilities",_xlfn.XLOOKUP($K562&amp;"",UTILITIES!$B$3:$B$953&amp;"",UTILITIES!$G$3:$G$953,""),"IOT",_xlfn.XLOOKUP($K562&amp;"",IOT!$B$3:$B$1012&amp;"",IOT!$H$3:$H$1012,""),"Server",_xlfn.XLOOKUP($K562&amp;"",SERVER!$B$3:$B$1009&amp;"",SERVER!$H$3:$H$1009,""),""),IF(TRIM(_xlpm.srcCat)&lt;&gt;TRIM($J562),"",_xlfn.SWITCH($I562,"Computer",_xlfn.XLOOKUP($K562&amp;"",COMPUTER!$B$3:$B$1009&amp;"",COMPUTER!$AM$3:$AM$1009,""),"Display",_xlfn.XLOOKUP($K562&amp;"",DISPLAY!$B$3:$B$1000&amp;"",DISPLAY!$V$3:$V$1000,""),"Network Device",_xlfn.XLOOKUP($K562&amp;"",'NETWORK-DEVICES'!$B$3:$B$987&amp;"",'NETWORK-DEVICES'!$AF$3:$AF$987,""),"Peripheral",_xlfn.XLOOKUP($K562&amp;"",PERIPHERAL!$B$3:$B$954&amp;"",PERIPHERAL!$Y$3:$Y$954,""),"Utilities",_xlfn.XLOOKUP($K562&amp;"",UTILITIES!$B$3:$B$953&amp;"",UTILITIES!$O$3:$O$953,""),"IOT",_xlfn.XLOOKUP($K562&amp;"",IOT!$B$3:$B$1012&amp;"",IOT!$AB$3:$AB$1012,""),"Server",_xlfn.XLOOKUP($K562&amp;"",SERVER!$B$3:$B$1009&amp;"",SERVER!$AB$3:$AB$1009,""),""))))</f>
        <v/>
      </c>
      <c r="R562" s="43" t="str">
        <f>IF(tbl_handover[[#This Row],[Asset Code]]="","",COUNTIF(tbl_handover[Asset Code],tbl_handover[[#This Row],[Asset Code]]))</f>
        <v/>
      </c>
    </row>
    <row r="563" spans="1:18" x14ac:dyDescent="0.25">
      <c r="A563" s="43" t="str">
        <f>IF(B563&lt;&gt;"",SUBTOTAL(3,$B$1:B562),"")</f>
        <v/>
      </c>
      <c r="C563" s="74"/>
      <c r="D563" s="74"/>
      <c r="G563" s="1"/>
      <c r="K563" s="42"/>
      <c r="L563" t="str" cm="1">
        <f t="array" ref="L563">IF($K563="","",_xlfn.SWITCH($I563,"Computer",_xlfn.XLOOKUP($K563&amp;"",COMPUTER!$B$3:$B$1009&amp;"",COMPUTER!$I$3:$I$1009,""),"Display",_xlfn.XLOOKUP($K563&amp;"",DISPLAY!$B$3:$B$1000&amp;"",DISPLAY!$J$3:$J$1000,""),"Network Device",_xlfn.XLOOKUP($K563&amp;"",'NETWORK-DEVICES'!$B$3:$B$987&amp;"",'NETWORK-DEVICES'!$I$3:$I$987,""),"Peripheral",_xlfn.XLOOKUP($K563&amp;"",PERIPHERAL!$B$3:$B$954&amp;"",PERIPHERAL!$I$3:$I$954,""),"Utilities",_xlfn.XLOOKUP($K563&amp;"",UTILITIES!$B$3:$B$953&amp;"",UTILITIES!$H$3:$H$953,""),"IOT",_xlfn.XLOOKUP($K563&amp;"",IOT!$B$3:$B$1012&amp;"",IOT!$I$3:$I$1012,""),"SERVER",_xlfn.XLOOKUP($K563&amp;"",SERVER!$B$3:$B$1009&amp;"",SERVER!$I$3:$I$1009,""),""))</f>
        <v/>
      </c>
      <c r="M563" t="str" cm="1">
        <f t="array" ref="M563">IF($K563="","",_xlfn.SWITCH($I563,"Computer",_xlfn.XLOOKUP($K563&amp;"",COMPUTER!$B$3:$B$1009&amp;"",COMPUTER!$J$3:$J$1009,""),"Display",_xlfn.XLOOKUP($K563&amp;"",DISPLAY!$B$3:$B$1000&amp;"",DISPLAY!$K$3:$K$1000,""),"Network Device",_xlfn.XLOOKUP($K563&amp;"",'NETWORK-DEVICES'!$B$3:$B$987&amp;"",'NETWORK-DEVICES'!$I$3:$I$987,""),"Peripheral",_xlfn.XLOOKUP($K563&amp;"",PERIPHERAL!$B$3:$B$954&amp;"",PERIPHERAL!$J$3:$J$954,""),"Utilities",_xlfn.XLOOKUP($K563&amp;"",UTILITIES!$B$3:$B$953&amp;"",UTILITIES!$I$3:$I$953,""),"IOT",_xlfn.XLOOKUP($K563&amp;"",IOT!$B$3:$B$1012&amp;"",IOT!$J$3:$J$1012,""),"Server",_xlfn.XLOOKUP($K563&amp;"",SERVER!$B$3:$B$1009&amp;"",SERVER!$J$3:$J$1009,""),""))</f>
        <v/>
      </c>
      <c r="N563" s="1" t="str" cm="1">
        <f t="array" ref="N563">IF(OR($K563="",$I563="",$J563=""),"",_xlfn.LET(_xlpm.srcCat,_xlfn.SWITCH($I563,"Computer",_xlfn.XLOOKUP($K563&amp;"",COMPUTER!$B$3:$B$1009&amp;"",COMPUTER!$H$3:$H$1009,""),"Display",_xlfn.XLOOKUP($K563&amp;"",DISPLAY!$B$3:$B$1000&amp;"",DISPLAY!$H$3:$H$1000,""),"Network Device",_xlfn.XLOOKUP($K563&amp;"",'NETWORK-DEVICES'!$B$3:$B$987&amp;"",'NETWORK-DEVICES'!$H$3:$H$987,""),"Peripheral",_xlfn.XLOOKUP($K563&amp;"",PERIPHERAL!$B$3:$B$954&amp;"",PERIPHERAL!$H$3:$H$954,""),"Utilities",_xlfn.XLOOKUP($K563&amp;"",UTILITIES!$B$3:$B$953&amp;"",UTILITIES!$G$3:$G$953,""),"IOT",_xlfn.XLOOKUP($K563&amp;"",IOT!$B$3:$B$1012&amp;"",IOT!$H$3:$H$1012,""),"Server",_xlfn.XLOOKUP($K563&amp;"",SERVER!$B$3:$B$1009&amp;"",SERVER!$H$3:$H$1009,""),""),IF(TRIM(_xlpm.srcCat)&lt;&gt;TRIM($J563),"",_xlfn.SWITCH($I563,"Computer",_xlfn.XLOOKUP($K563&amp;"",COMPUTER!$B$3:$B$1009&amp;"",COMPUTER!$K$3:$K$1009,""),"Display",_xlfn.XLOOKUP($K563&amp;"",DISPLAY!$B$3:$B$1000&amp;"",DISPLAY!$L$3:$L$1000,""),"Network Device",_xlfn.XLOOKUP($K563&amp;"",'NETWORK-DEVICES'!$B$3:$B$987&amp;"",'NETWORK-DEVICES'!$K$3:$K$987,""),"Peripheral",_xlfn.XLOOKUP($K563&amp;"",PERIPHERAL!$B$3:$B$954&amp;"",PERIPHERAL!$K$3:$K$954,""),"Utilities",_xlfn.XLOOKUP($K563&amp;"",UTILITIES!$B$3:$B$953&amp;"",UTILITIES!$J$3:$J$953,""),"IOT",_xlfn.XLOOKUP($K563&amp;"",IOT!$B$3:$B$1012&amp;"",IOT!$K$4:$K$1012,""),"Server",_xlfn.XLOOKUP($K563&amp;"",SERVER!$B$3:$B$1009&amp;"",SERVER!$K$3:$K$1009,""),""))))</f>
        <v/>
      </c>
      <c r="O563" s="1" t="str" cm="1">
        <f t="array" ref="O563">IF(OR($K563="",$I563="",$J563=""),"",_xlfn.LET(_xlpm.srcCat,_xlfn.SWITCH($I563,"Computer",_xlfn.XLOOKUP($K563&amp;"",COMPUTER!$B$3:$B$1009&amp;"",COMPUTER!$H$3:$H$1009,""),"Display",_xlfn.XLOOKUP($K563&amp;"",DISPLAY!$B$3:$B$1000&amp;"",DISPLAY!$H$3:$H$1000,""),"Network Device",_xlfn.XLOOKUP($K563&amp;"",'NETWORK-DEVICES'!$B$3:$B$987&amp;"",'NETWORK-DEVICES'!$H$3:$H$987,""),"Peripheral",_xlfn.XLOOKUP($K563&amp;"",PERIPHERAL!$B$3:$B$954&amp;"",PERIPHERAL!$H$3:$H$954,""),"Utilities",_xlfn.XLOOKUP($K563&amp;"",UTILITIES!$B$3:$B$953&amp;"",UTILITIES!$G$3:$G$953,""),"IOT",_xlfn.XLOOKUP($K563&amp;"",IOT!$B$3:$B$1012&amp;"",IOT!$H$3:$H$1012,""),"Server",_xlfn.XLOOKUP($K563&amp;"",SERVER!$B$3:$B$1009&amp;"",SERVER!$H$3:$H$1009,""),""),IF(TRIM(_xlpm.srcCat)&lt;&gt;TRIM($J563),"",_xlfn.SWITCH($I563,"Computer",_xlfn.XLOOKUP($K563&amp;"",COMPUTER!$B$3:$B$1009&amp;"",COMPUTER!$E$3:$E$1009,""),"Display",_xlfn.XLOOKUP($K563&amp;"",DISPLAY!$B$3:$B$1000&amp;"",DISPLAY!$E$3:$E$1000,""),"Network Device",_xlfn.XLOOKUP($K563&amp;"",'NETWORK-DEVICES'!$B$3:$B$987&amp;"",'NETWORK-DEVICES'!$E$3:$E$987,""),"Peripheral",_xlfn.XLOOKUP($K563&amp;"",PERIPHERAL!$B$3:$B$954&amp;"",PERIPHERAL!$E$3:$E$954,""),"Utilities",_xlfn.XLOOKUP($K563&amp;"",UTILITIES!$B$3:$B$953&amp;"",UTILITIES!$E$3:$E$953,""),"IOT",_xlfn.XLOOKUP($K563&amp;"",IOT!$B$3:$B$1012&amp;"",IOT!$E$3:$E$1012,""),"Server",_xlfn.XLOOKUP($K563&amp;"",SERVER!$B$3:$B$1009&amp;"",SERVER!$E$3:$E$1009,""),""))))</f>
        <v/>
      </c>
      <c r="Q563" s="1" t="str" cm="1">
        <f t="array" ref="Q563">IF(OR($K563="",$I563="",$J563=""),"",_xlfn.LET(_xlpm.srcCat,_xlfn.SWITCH($I563,"Computer",_xlfn.XLOOKUP($K563&amp;"",COMPUTER!$B$3:$B$1009&amp;"",COMPUTER!$H$3:$H$1009,""),"Display",_xlfn.XLOOKUP($K563&amp;"",DISPLAY!$B$3:$B$1000&amp;"",DISPLAY!$H$3:$H$1000,""),"Network Device",_xlfn.XLOOKUP($K563&amp;"",'NETWORK-DEVICES'!$B$3:$B$987&amp;"",'NETWORK-DEVICES'!$H$3:$H$987,""),"Peripheral",_xlfn.XLOOKUP($K563&amp;"",PERIPHERAL!$B$3:$B$954&amp;"",PERIPHERAL!$H$3:$H$954,""),"Utilities",_xlfn.XLOOKUP($K563&amp;"",UTILITIES!$B$3:$B$953&amp;"",UTILITIES!$G$3:$G$953,""),"IOT",_xlfn.XLOOKUP($K563&amp;"",IOT!$B$3:$B$1012&amp;"",IOT!$H$3:$H$1012,""),"Server",_xlfn.XLOOKUP($K563&amp;"",SERVER!$B$3:$B$1009&amp;"",SERVER!$H$3:$H$1009,""),""),IF(TRIM(_xlpm.srcCat)&lt;&gt;TRIM($J563),"",_xlfn.SWITCH($I563,"Computer",_xlfn.XLOOKUP($K563&amp;"",COMPUTER!$B$3:$B$1009&amp;"",COMPUTER!$AM$3:$AM$1009,""),"Display",_xlfn.XLOOKUP($K563&amp;"",DISPLAY!$B$3:$B$1000&amp;"",DISPLAY!$V$3:$V$1000,""),"Network Device",_xlfn.XLOOKUP($K563&amp;"",'NETWORK-DEVICES'!$B$3:$B$987&amp;"",'NETWORK-DEVICES'!$AF$3:$AF$987,""),"Peripheral",_xlfn.XLOOKUP($K563&amp;"",PERIPHERAL!$B$3:$B$954&amp;"",PERIPHERAL!$Y$3:$Y$954,""),"Utilities",_xlfn.XLOOKUP($K563&amp;"",UTILITIES!$B$3:$B$953&amp;"",UTILITIES!$O$3:$O$953,""),"IOT",_xlfn.XLOOKUP($K563&amp;"",IOT!$B$3:$B$1012&amp;"",IOT!$AB$3:$AB$1012,""),"Server",_xlfn.XLOOKUP($K563&amp;"",SERVER!$B$3:$B$1009&amp;"",SERVER!$AB$3:$AB$1009,""),""))))</f>
        <v/>
      </c>
      <c r="R563" s="43" t="str">
        <f>IF(tbl_handover[[#This Row],[Asset Code]]="","",COUNTIF(tbl_handover[Asset Code],tbl_handover[[#This Row],[Asset Code]]))</f>
        <v/>
      </c>
    </row>
    <row r="564" spans="1:18" x14ac:dyDescent="0.25">
      <c r="A564" s="43" t="str">
        <f>IF(B564&lt;&gt;"",SUBTOTAL(3,$B$1:B563),"")</f>
        <v/>
      </c>
      <c r="C564" s="74"/>
      <c r="D564" s="74"/>
      <c r="G564" s="1"/>
      <c r="K564" s="42"/>
      <c r="L564" t="str" cm="1">
        <f t="array" ref="L564">IF($K564="","",_xlfn.SWITCH($I564,"Computer",_xlfn.XLOOKUP($K564&amp;"",COMPUTER!$B$3:$B$1009&amp;"",COMPUTER!$I$3:$I$1009,""),"Display",_xlfn.XLOOKUP($K564&amp;"",DISPLAY!$B$3:$B$1000&amp;"",DISPLAY!$J$3:$J$1000,""),"Network Device",_xlfn.XLOOKUP($K564&amp;"",'NETWORK-DEVICES'!$B$3:$B$987&amp;"",'NETWORK-DEVICES'!$I$3:$I$987,""),"Peripheral",_xlfn.XLOOKUP($K564&amp;"",PERIPHERAL!$B$3:$B$954&amp;"",PERIPHERAL!$I$3:$I$954,""),"Utilities",_xlfn.XLOOKUP($K564&amp;"",UTILITIES!$B$3:$B$953&amp;"",UTILITIES!$H$3:$H$953,""),"IOT",_xlfn.XLOOKUP($K564&amp;"",IOT!$B$3:$B$1012&amp;"",IOT!$I$3:$I$1012,""),"SERVER",_xlfn.XLOOKUP($K564&amp;"",SERVER!$B$3:$B$1009&amp;"",SERVER!$I$3:$I$1009,""),""))</f>
        <v/>
      </c>
      <c r="M564" t="str" cm="1">
        <f t="array" ref="M564">IF($K564="","",_xlfn.SWITCH($I564,"Computer",_xlfn.XLOOKUP($K564&amp;"",COMPUTER!$B$3:$B$1009&amp;"",COMPUTER!$J$3:$J$1009,""),"Display",_xlfn.XLOOKUP($K564&amp;"",DISPLAY!$B$3:$B$1000&amp;"",DISPLAY!$K$3:$K$1000,""),"Network Device",_xlfn.XLOOKUP($K564&amp;"",'NETWORK-DEVICES'!$B$3:$B$987&amp;"",'NETWORK-DEVICES'!$I$3:$I$987,""),"Peripheral",_xlfn.XLOOKUP($K564&amp;"",PERIPHERAL!$B$3:$B$954&amp;"",PERIPHERAL!$J$3:$J$954,""),"Utilities",_xlfn.XLOOKUP($K564&amp;"",UTILITIES!$B$3:$B$953&amp;"",UTILITIES!$I$3:$I$953,""),"IOT",_xlfn.XLOOKUP($K564&amp;"",IOT!$B$3:$B$1012&amp;"",IOT!$J$3:$J$1012,""),"Server",_xlfn.XLOOKUP($K564&amp;"",SERVER!$B$3:$B$1009&amp;"",SERVER!$J$3:$J$1009,""),""))</f>
        <v/>
      </c>
      <c r="N564" s="1" t="str" cm="1">
        <f t="array" ref="N564">IF(OR($K564="",$I564="",$J564=""),"",_xlfn.LET(_xlpm.srcCat,_xlfn.SWITCH($I564,"Computer",_xlfn.XLOOKUP($K564&amp;"",COMPUTER!$B$3:$B$1009&amp;"",COMPUTER!$H$3:$H$1009,""),"Display",_xlfn.XLOOKUP($K564&amp;"",DISPLAY!$B$3:$B$1000&amp;"",DISPLAY!$H$3:$H$1000,""),"Network Device",_xlfn.XLOOKUP($K564&amp;"",'NETWORK-DEVICES'!$B$3:$B$987&amp;"",'NETWORK-DEVICES'!$H$3:$H$987,""),"Peripheral",_xlfn.XLOOKUP($K564&amp;"",PERIPHERAL!$B$3:$B$954&amp;"",PERIPHERAL!$H$3:$H$954,""),"Utilities",_xlfn.XLOOKUP($K564&amp;"",UTILITIES!$B$3:$B$953&amp;"",UTILITIES!$G$3:$G$953,""),"IOT",_xlfn.XLOOKUP($K564&amp;"",IOT!$B$3:$B$1012&amp;"",IOT!$H$3:$H$1012,""),"Server",_xlfn.XLOOKUP($K564&amp;"",SERVER!$B$3:$B$1009&amp;"",SERVER!$H$3:$H$1009,""),""),IF(TRIM(_xlpm.srcCat)&lt;&gt;TRIM($J564),"",_xlfn.SWITCH($I564,"Computer",_xlfn.XLOOKUP($K564&amp;"",COMPUTER!$B$3:$B$1009&amp;"",COMPUTER!$K$3:$K$1009,""),"Display",_xlfn.XLOOKUP($K564&amp;"",DISPLAY!$B$3:$B$1000&amp;"",DISPLAY!$L$3:$L$1000,""),"Network Device",_xlfn.XLOOKUP($K564&amp;"",'NETWORK-DEVICES'!$B$3:$B$987&amp;"",'NETWORK-DEVICES'!$K$3:$K$987,""),"Peripheral",_xlfn.XLOOKUP($K564&amp;"",PERIPHERAL!$B$3:$B$954&amp;"",PERIPHERAL!$K$3:$K$954,""),"Utilities",_xlfn.XLOOKUP($K564&amp;"",UTILITIES!$B$3:$B$953&amp;"",UTILITIES!$J$3:$J$953,""),"IOT",_xlfn.XLOOKUP($K564&amp;"",IOT!$B$3:$B$1012&amp;"",IOT!$K$4:$K$1012,""),"Server",_xlfn.XLOOKUP($K564&amp;"",SERVER!$B$3:$B$1009&amp;"",SERVER!$K$3:$K$1009,""),""))))</f>
        <v/>
      </c>
      <c r="O564" s="1" t="str" cm="1">
        <f t="array" ref="O564">IF(OR($K564="",$I564="",$J564=""),"",_xlfn.LET(_xlpm.srcCat,_xlfn.SWITCH($I564,"Computer",_xlfn.XLOOKUP($K564&amp;"",COMPUTER!$B$3:$B$1009&amp;"",COMPUTER!$H$3:$H$1009,""),"Display",_xlfn.XLOOKUP($K564&amp;"",DISPLAY!$B$3:$B$1000&amp;"",DISPLAY!$H$3:$H$1000,""),"Network Device",_xlfn.XLOOKUP($K564&amp;"",'NETWORK-DEVICES'!$B$3:$B$987&amp;"",'NETWORK-DEVICES'!$H$3:$H$987,""),"Peripheral",_xlfn.XLOOKUP($K564&amp;"",PERIPHERAL!$B$3:$B$954&amp;"",PERIPHERAL!$H$3:$H$954,""),"Utilities",_xlfn.XLOOKUP($K564&amp;"",UTILITIES!$B$3:$B$953&amp;"",UTILITIES!$G$3:$G$953,""),"IOT",_xlfn.XLOOKUP($K564&amp;"",IOT!$B$3:$B$1012&amp;"",IOT!$H$3:$H$1012,""),"Server",_xlfn.XLOOKUP($K564&amp;"",SERVER!$B$3:$B$1009&amp;"",SERVER!$H$3:$H$1009,""),""),IF(TRIM(_xlpm.srcCat)&lt;&gt;TRIM($J564),"",_xlfn.SWITCH($I564,"Computer",_xlfn.XLOOKUP($K564&amp;"",COMPUTER!$B$3:$B$1009&amp;"",COMPUTER!$E$3:$E$1009,""),"Display",_xlfn.XLOOKUP($K564&amp;"",DISPLAY!$B$3:$B$1000&amp;"",DISPLAY!$E$3:$E$1000,""),"Network Device",_xlfn.XLOOKUP($K564&amp;"",'NETWORK-DEVICES'!$B$3:$B$987&amp;"",'NETWORK-DEVICES'!$E$3:$E$987,""),"Peripheral",_xlfn.XLOOKUP($K564&amp;"",PERIPHERAL!$B$3:$B$954&amp;"",PERIPHERAL!$E$3:$E$954,""),"Utilities",_xlfn.XLOOKUP($K564&amp;"",UTILITIES!$B$3:$B$953&amp;"",UTILITIES!$E$3:$E$953,""),"IOT",_xlfn.XLOOKUP($K564&amp;"",IOT!$B$3:$B$1012&amp;"",IOT!$E$3:$E$1012,""),"Server",_xlfn.XLOOKUP($K564&amp;"",SERVER!$B$3:$B$1009&amp;"",SERVER!$E$3:$E$1009,""),""))))</f>
        <v/>
      </c>
      <c r="Q564" s="1" t="str" cm="1">
        <f t="array" ref="Q564">IF(OR($K564="",$I564="",$J564=""),"",_xlfn.LET(_xlpm.srcCat,_xlfn.SWITCH($I564,"Computer",_xlfn.XLOOKUP($K564&amp;"",COMPUTER!$B$3:$B$1009&amp;"",COMPUTER!$H$3:$H$1009,""),"Display",_xlfn.XLOOKUP($K564&amp;"",DISPLAY!$B$3:$B$1000&amp;"",DISPLAY!$H$3:$H$1000,""),"Network Device",_xlfn.XLOOKUP($K564&amp;"",'NETWORK-DEVICES'!$B$3:$B$987&amp;"",'NETWORK-DEVICES'!$H$3:$H$987,""),"Peripheral",_xlfn.XLOOKUP($K564&amp;"",PERIPHERAL!$B$3:$B$954&amp;"",PERIPHERAL!$H$3:$H$954,""),"Utilities",_xlfn.XLOOKUP($K564&amp;"",UTILITIES!$B$3:$B$953&amp;"",UTILITIES!$G$3:$G$953,""),"IOT",_xlfn.XLOOKUP($K564&amp;"",IOT!$B$3:$B$1012&amp;"",IOT!$H$3:$H$1012,""),"Server",_xlfn.XLOOKUP($K564&amp;"",SERVER!$B$3:$B$1009&amp;"",SERVER!$H$3:$H$1009,""),""),IF(TRIM(_xlpm.srcCat)&lt;&gt;TRIM($J564),"",_xlfn.SWITCH($I564,"Computer",_xlfn.XLOOKUP($K564&amp;"",COMPUTER!$B$3:$B$1009&amp;"",COMPUTER!$AM$3:$AM$1009,""),"Display",_xlfn.XLOOKUP($K564&amp;"",DISPLAY!$B$3:$B$1000&amp;"",DISPLAY!$V$3:$V$1000,""),"Network Device",_xlfn.XLOOKUP($K564&amp;"",'NETWORK-DEVICES'!$B$3:$B$987&amp;"",'NETWORK-DEVICES'!$AF$3:$AF$987,""),"Peripheral",_xlfn.XLOOKUP($K564&amp;"",PERIPHERAL!$B$3:$B$954&amp;"",PERIPHERAL!$Y$3:$Y$954,""),"Utilities",_xlfn.XLOOKUP($K564&amp;"",UTILITIES!$B$3:$B$953&amp;"",UTILITIES!$O$3:$O$953,""),"IOT",_xlfn.XLOOKUP($K564&amp;"",IOT!$B$3:$B$1012&amp;"",IOT!$AB$3:$AB$1012,""),"Server",_xlfn.XLOOKUP($K564&amp;"",SERVER!$B$3:$B$1009&amp;"",SERVER!$AB$3:$AB$1009,""),""))))</f>
        <v/>
      </c>
      <c r="R564" s="43" t="str">
        <f>IF(tbl_handover[[#This Row],[Asset Code]]="","",COUNTIF(tbl_handover[Asset Code],tbl_handover[[#This Row],[Asset Code]]))</f>
        <v/>
      </c>
    </row>
    <row r="565" spans="1:18" x14ac:dyDescent="0.25">
      <c r="A565" s="43" t="str">
        <f>IF(B565&lt;&gt;"",SUBTOTAL(3,$B$1:B564),"")</f>
        <v/>
      </c>
      <c r="C565" s="74"/>
      <c r="D565" s="74"/>
      <c r="G565" s="1"/>
      <c r="K565" s="42"/>
      <c r="L565" t="str" cm="1">
        <f t="array" ref="L565">IF($K565="","",_xlfn.SWITCH($I565,"Computer",_xlfn.XLOOKUP($K565&amp;"",COMPUTER!$B$3:$B$1009&amp;"",COMPUTER!$I$3:$I$1009,""),"Display",_xlfn.XLOOKUP($K565&amp;"",DISPLAY!$B$3:$B$1000&amp;"",DISPLAY!$J$3:$J$1000,""),"Network Device",_xlfn.XLOOKUP($K565&amp;"",'NETWORK-DEVICES'!$B$3:$B$987&amp;"",'NETWORK-DEVICES'!$I$3:$I$987,""),"Peripheral",_xlfn.XLOOKUP($K565&amp;"",PERIPHERAL!$B$3:$B$954&amp;"",PERIPHERAL!$I$3:$I$954,""),"Utilities",_xlfn.XLOOKUP($K565&amp;"",UTILITIES!$B$3:$B$953&amp;"",UTILITIES!$H$3:$H$953,""),"IOT",_xlfn.XLOOKUP($K565&amp;"",IOT!$B$3:$B$1012&amp;"",IOT!$I$3:$I$1012,""),"SERVER",_xlfn.XLOOKUP($K565&amp;"",SERVER!$B$3:$B$1009&amp;"",SERVER!$I$3:$I$1009,""),""))</f>
        <v/>
      </c>
      <c r="M565" t="str" cm="1">
        <f t="array" ref="M565">IF($K565="","",_xlfn.SWITCH($I565,"Computer",_xlfn.XLOOKUP($K565&amp;"",COMPUTER!$B$3:$B$1009&amp;"",COMPUTER!$J$3:$J$1009,""),"Display",_xlfn.XLOOKUP($K565&amp;"",DISPLAY!$B$3:$B$1000&amp;"",DISPLAY!$K$3:$K$1000,""),"Network Device",_xlfn.XLOOKUP($K565&amp;"",'NETWORK-DEVICES'!$B$3:$B$987&amp;"",'NETWORK-DEVICES'!$I$3:$I$987,""),"Peripheral",_xlfn.XLOOKUP($K565&amp;"",PERIPHERAL!$B$3:$B$954&amp;"",PERIPHERAL!$J$3:$J$954,""),"Utilities",_xlfn.XLOOKUP($K565&amp;"",UTILITIES!$B$3:$B$953&amp;"",UTILITIES!$I$3:$I$953,""),"IOT",_xlfn.XLOOKUP($K565&amp;"",IOT!$B$3:$B$1012&amp;"",IOT!$J$3:$J$1012,""),"Server",_xlfn.XLOOKUP($K565&amp;"",SERVER!$B$3:$B$1009&amp;"",SERVER!$J$3:$J$1009,""),""))</f>
        <v/>
      </c>
      <c r="N565" s="1" t="str" cm="1">
        <f t="array" ref="N565">IF(OR($K565="",$I565="",$J565=""),"",_xlfn.LET(_xlpm.srcCat,_xlfn.SWITCH($I565,"Computer",_xlfn.XLOOKUP($K565&amp;"",COMPUTER!$B$3:$B$1009&amp;"",COMPUTER!$H$3:$H$1009,""),"Display",_xlfn.XLOOKUP($K565&amp;"",DISPLAY!$B$3:$B$1000&amp;"",DISPLAY!$H$3:$H$1000,""),"Network Device",_xlfn.XLOOKUP($K565&amp;"",'NETWORK-DEVICES'!$B$3:$B$987&amp;"",'NETWORK-DEVICES'!$H$3:$H$987,""),"Peripheral",_xlfn.XLOOKUP($K565&amp;"",PERIPHERAL!$B$3:$B$954&amp;"",PERIPHERAL!$H$3:$H$954,""),"Utilities",_xlfn.XLOOKUP($K565&amp;"",UTILITIES!$B$3:$B$953&amp;"",UTILITIES!$G$3:$G$953,""),"IOT",_xlfn.XLOOKUP($K565&amp;"",IOT!$B$3:$B$1012&amp;"",IOT!$H$3:$H$1012,""),"Server",_xlfn.XLOOKUP($K565&amp;"",SERVER!$B$3:$B$1009&amp;"",SERVER!$H$3:$H$1009,""),""),IF(TRIM(_xlpm.srcCat)&lt;&gt;TRIM($J565),"",_xlfn.SWITCH($I565,"Computer",_xlfn.XLOOKUP($K565&amp;"",COMPUTER!$B$3:$B$1009&amp;"",COMPUTER!$K$3:$K$1009,""),"Display",_xlfn.XLOOKUP($K565&amp;"",DISPLAY!$B$3:$B$1000&amp;"",DISPLAY!$L$3:$L$1000,""),"Network Device",_xlfn.XLOOKUP($K565&amp;"",'NETWORK-DEVICES'!$B$3:$B$987&amp;"",'NETWORK-DEVICES'!$K$3:$K$987,""),"Peripheral",_xlfn.XLOOKUP($K565&amp;"",PERIPHERAL!$B$3:$B$954&amp;"",PERIPHERAL!$K$3:$K$954,""),"Utilities",_xlfn.XLOOKUP($K565&amp;"",UTILITIES!$B$3:$B$953&amp;"",UTILITIES!$J$3:$J$953,""),"IOT",_xlfn.XLOOKUP($K565&amp;"",IOT!$B$3:$B$1012&amp;"",IOT!$K$4:$K$1012,""),"Server",_xlfn.XLOOKUP($K565&amp;"",SERVER!$B$3:$B$1009&amp;"",SERVER!$K$3:$K$1009,""),""))))</f>
        <v/>
      </c>
      <c r="O565" s="1" t="str" cm="1">
        <f t="array" ref="O565">IF(OR($K565="",$I565="",$J565=""),"",_xlfn.LET(_xlpm.srcCat,_xlfn.SWITCH($I565,"Computer",_xlfn.XLOOKUP($K565&amp;"",COMPUTER!$B$3:$B$1009&amp;"",COMPUTER!$H$3:$H$1009,""),"Display",_xlfn.XLOOKUP($K565&amp;"",DISPLAY!$B$3:$B$1000&amp;"",DISPLAY!$H$3:$H$1000,""),"Network Device",_xlfn.XLOOKUP($K565&amp;"",'NETWORK-DEVICES'!$B$3:$B$987&amp;"",'NETWORK-DEVICES'!$H$3:$H$987,""),"Peripheral",_xlfn.XLOOKUP($K565&amp;"",PERIPHERAL!$B$3:$B$954&amp;"",PERIPHERAL!$H$3:$H$954,""),"Utilities",_xlfn.XLOOKUP($K565&amp;"",UTILITIES!$B$3:$B$953&amp;"",UTILITIES!$G$3:$G$953,""),"IOT",_xlfn.XLOOKUP($K565&amp;"",IOT!$B$3:$B$1012&amp;"",IOT!$H$3:$H$1012,""),"Server",_xlfn.XLOOKUP($K565&amp;"",SERVER!$B$3:$B$1009&amp;"",SERVER!$H$3:$H$1009,""),""),IF(TRIM(_xlpm.srcCat)&lt;&gt;TRIM($J565),"",_xlfn.SWITCH($I565,"Computer",_xlfn.XLOOKUP($K565&amp;"",COMPUTER!$B$3:$B$1009&amp;"",COMPUTER!$E$3:$E$1009,""),"Display",_xlfn.XLOOKUP($K565&amp;"",DISPLAY!$B$3:$B$1000&amp;"",DISPLAY!$E$3:$E$1000,""),"Network Device",_xlfn.XLOOKUP($K565&amp;"",'NETWORK-DEVICES'!$B$3:$B$987&amp;"",'NETWORK-DEVICES'!$E$3:$E$987,""),"Peripheral",_xlfn.XLOOKUP($K565&amp;"",PERIPHERAL!$B$3:$B$954&amp;"",PERIPHERAL!$E$3:$E$954,""),"Utilities",_xlfn.XLOOKUP($K565&amp;"",UTILITIES!$B$3:$B$953&amp;"",UTILITIES!$E$3:$E$953,""),"IOT",_xlfn.XLOOKUP($K565&amp;"",IOT!$B$3:$B$1012&amp;"",IOT!$E$3:$E$1012,""),"Server",_xlfn.XLOOKUP($K565&amp;"",SERVER!$B$3:$B$1009&amp;"",SERVER!$E$3:$E$1009,""),""))))</f>
        <v/>
      </c>
      <c r="Q565" s="1" t="str" cm="1">
        <f t="array" ref="Q565">IF(OR($K565="",$I565="",$J565=""),"",_xlfn.LET(_xlpm.srcCat,_xlfn.SWITCH($I565,"Computer",_xlfn.XLOOKUP($K565&amp;"",COMPUTER!$B$3:$B$1009&amp;"",COMPUTER!$H$3:$H$1009,""),"Display",_xlfn.XLOOKUP($K565&amp;"",DISPLAY!$B$3:$B$1000&amp;"",DISPLAY!$H$3:$H$1000,""),"Network Device",_xlfn.XLOOKUP($K565&amp;"",'NETWORK-DEVICES'!$B$3:$B$987&amp;"",'NETWORK-DEVICES'!$H$3:$H$987,""),"Peripheral",_xlfn.XLOOKUP($K565&amp;"",PERIPHERAL!$B$3:$B$954&amp;"",PERIPHERAL!$H$3:$H$954,""),"Utilities",_xlfn.XLOOKUP($K565&amp;"",UTILITIES!$B$3:$B$953&amp;"",UTILITIES!$G$3:$G$953,""),"IOT",_xlfn.XLOOKUP($K565&amp;"",IOT!$B$3:$B$1012&amp;"",IOT!$H$3:$H$1012,""),"Server",_xlfn.XLOOKUP($K565&amp;"",SERVER!$B$3:$B$1009&amp;"",SERVER!$H$3:$H$1009,""),""),IF(TRIM(_xlpm.srcCat)&lt;&gt;TRIM($J565),"",_xlfn.SWITCH($I565,"Computer",_xlfn.XLOOKUP($K565&amp;"",COMPUTER!$B$3:$B$1009&amp;"",COMPUTER!$AM$3:$AM$1009,""),"Display",_xlfn.XLOOKUP($K565&amp;"",DISPLAY!$B$3:$B$1000&amp;"",DISPLAY!$V$3:$V$1000,""),"Network Device",_xlfn.XLOOKUP($K565&amp;"",'NETWORK-DEVICES'!$B$3:$B$987&amp;"",'NETWORK-DEVICES'!$AF$3:$AF$987,""),"Peripheral",_xlfn.XLOOKUP($K565&amp;"",PERIPHERAL!$B$3:$B$954&amp;"",PERIPHERAL!$Y$3:$Y$954,""),"Utilities",_xlfn.XLOOKUP($K565&amp;"",UTILITIES!$B$3:$B$953&amp;"",UTILITIES!$O$3:$O$953,""),"IOT",_xlfn.XLOOKUP($K565&amp;"",IOT!$B$3:$B$1012&amp;"",IOT!$AB$3:$AB$1012,""),"Server",_xlfn.XLOOKUP($K565&amp;"",SERVER!$B$3:$B$1009&amp;"",SERVER!$AB$3:$AB$1009,""),""))))</f>
        <v/>
      </c>
      <c r="R565" s="43" t="str">
        <f>IF(tbl_handover[[#This Row],[Asset Code]]="","",COUNTIF(tbl_handover[Asset Code],tbl_handover[[#This Row],[Asset Code]]))</f>
        <v/>
      </c>
    </row>
    <row r="566" spans="1:18" x14ac:dyDescent="0.25">
      <c r="A566" s="43" t="str">
        <f>IF(B566&lt;&gt;"",SUBTOTAL(3,$B$1:B565),"")</f>
        <v/>
      </c>
      <c r="C566" s="74"/>
      <c r="D566" s="74"/>
      <c r="G566" s="1"/>
      <c r="K566" s="42"/>
      <c r="L566" t="str" cm="1">
        <f t="array" ref="L566">IF($K566="","",_xlfn.SWITCH($I566,"Computer",_xlfn.XLOOKUP($K566&amp;"",COMPUTER!$B$3:$B$1009&amp;"",COMPUTER!$I$3:$I$1009,""),"Display",_xlfn.XLOOKUP($K566&amp;"",DISPLAY!$B$3:$B$1000&amp;"",DISPLAY!$J$3:$J$1000,""),"Network Device",_xlfn.XLOOKUP($K566&amp;"",'NETWORK-DEVICES'!$B$3:$B$987&amp;"",'NETWORK-DEVICES'!$I$3:$I$987,""),"Peripheral",_xlfn.XLOOKUP($K566&amp;"",PERIPHERAL!$B$3:$B$954&amp;"",PERIPHERAL!$I$3:$I$954,""),"Utilities",_xlfn.XLOOKUP($K566&amp;"",UTILITIES!$B$3:$B$953&amp;"",UTILITIES!$H$3:$H$953,""),"IOT",_xlfn.XLOOKUP($K566&amp;"",IOT!$B$3:$B$1012&amp;"",IOT!$I$3:$I$1012,""),"SERVER",_xlfn.XLOOKUP($K566&amp;"",SERVER!$B$3:$B$1009&amp;"",SERVER!$I$3:$I$1009,""),""))</f>
        <v/>
      </c>
      <c r="M566" t="str" cm="1">
        <f t="array" ref="M566">IF($K566="","",_xlfn.SWITCH($I566,"Computer",_xlfn.XLOOKUP($K566&amp;"",COMPUTER!$B$3:$B$1009&amp;"",COMPUTER!$J$3:$J$1009,""),"Display",_xlfn.XLOOKUP($K566&amp;"",DISPLAY!$B$3:$B$1000&amp;"",DISPLAY!$K$3:$K$1000,""),"Network Device",_xlfn.XLOOKUP($K566&amp;"",'NETWORK-DEVICES'!$B$3:$B$987&amp;"",'NETWORK-DEVICES'!$I$3:$I$987,""),"Peripheral",_xlfn.XLOOKUP($K566&amp;"",PERIPHERAL!$B$3:$B$954&amp;"",PERIPHERAL!$J$3:$J$954,""),"Utilities",_xlfn.XLOOKUP($K566&amp;"",UTILITIES!$B$3:$B$953&amp;"",UTILITIES!$I$3:$I$953,""),"IOT",_xlfn.XLOOKUP($K566&amp;"",IOT!$B$3:$B$1012&amp;"",IOT!$J$3:$J$1012,""),"Server",_xlfn.XLOOKUP($K566&amp;"",SERVER!$B$3:$B$1009&amp;"",SERVER!$J$3:$J$1009,""),""))</f>
        <v/>
      </c>
      <c r="N566" s="1" t="str" cm="1">
        <f t="array" ref="N566">IF(OR($K566="",$I566="",$J566=""),"",_xlfn.LET(_xlpm.srcCat,_xlfn.SWITCH($I566,"Computer",_xlfn.XLOOKUP($K566&amp;"",COMPUTER!$B$3:$B$1009&amp;"",COMPUTER!$H$3:$H$1009,""),"Display",_xlfn.XLOOKUP($K566&amp;"",DISPLAY!$B$3:$B$1000&amp;"",DISPLAY!$H$3:$H$1000,""),"Network Device",_xlfn.XLOOKUP($K566&amp;"",'NETWORK-DEVICES'!$B$3:$B$987&amp;"",'NETWORK-DEVICES'!$H$3:$H$987,""),"Peripheral",_xlfn.XLOOKUP($K566&amp;"",PERIPHERAL!$B$3:$B$954&amp;"",PERIPHERAL!$H$3:$H$954,""),"Utilities",_xlfn.XLOOKUP($K566&amp;"",UTILITIES!$B$3:$B$953&amp;"",UTILITIES!$G$3:$G$953,""),"IOT",_xlfn.XLOOKUP($K566&amp;"",IOT!$B$3:$B$1012&amp;"",IOT!$H$3:$H$1012,""),"Server",_xlfn.XLOOKUP($K566&amp;"",SERVER!$B$3:$B$1009&amp;"",SERVER!$H$3:$H$1009,""),""),IF(TRIM(_xlpm.srcCat)&lt;&gt;TRIM($J566),"",_xlfn.SWITCH($I566,"Computer",_xlfn.XLOOKUP($K566&amp;"",COMPUTER!$B$3:$B$1009&amp;"",COMPUTER!$K$3:$K$1009,""),"Display",_xlfn.XLOOKUP($K566&amp;"",DISPLAY!$B$3:$B$1000&amp;"",DISPLAY!$L$3:$L$1000,""),"Network Device",_xlfn.XLOOKUP($K566&amp;"",'NETWORK-DEVICES'!$B$3:$B$987&amp;"",'NETWORK-DEVICES'!$K$3:$K$987,""),"Peripheral",_xlfn.XLOOKUP($K566&amp;"",PERIPHERAL!$B$3:$B$954&amp;"",PERIPHERAL!$K$3:$K$954,""),"Utilities",_xlfn.XLOOKUP($K566&amp;"",UTILITIES!$B$3:$B$953&amp;"",UTILITIES!$J$3:$J$953,""),"IOT",_xlfn.XLOOKUP($K566&amp;"",IOT!$B$3:$B$1012&amp;"",IOT!$K$4:$K$1012,""),"Server",_xlfn.XLOOKUP($K566&amp;"",SERVER!$B$3:$B$1009&amp;"",SERVER!$K$3:$K$1009,""),""))))</f>
        <v/>
      </c>
      <c r="O566" s="1" t="str" cm="1">
        <f t="array" ref="O566">IF(OR($K566="",$I566="",$J566=""),"",_xlfn.LET(_xlpm.srcCat,_xlfn.SWITCH($I566,"Computer",_xlfn.XLOOKUP($K566&amp;"",COMPUTER!$B$3:$B$1009&amp;"",COMPUTER!$H$3:$H$1009,""),"Display",_xlfn.XLOOKUP($K566&amp;"",DISPLAY!$B$3:$B$1000&amp;"",DISPLAY!$H$3:$H$1000,""),"Network Device",_xlfn.XLOOKUP($K566&amp;"",'NETWORK-DEVICES'!$B$3:$B$987&amp;"",'NETWORK-DEVICES'!$H$3:$H$987,""),"Peripheral",_xlfn.XLOOKUP($K566&amp;"",PERIPHERAL!$B$3:$B$954&amp;"",PERIPHERAL!$H$3:$H$954,""),"Utilities",_xlfn.XLOOKUP($K566&amp;"",UTILITIES!$B$3:$B$953&amp;"",UTILITIES!$G$3:$G$953,""),"IOT",_xlfn.XLOOKUP($K566&amp;"",IOT!$B$3:$B$1012&amp;"",IOT!$H$3:$H$1012,""),"Server",_xlfn.XLOOKUP($K566&amp;"",SERVER!$B$3:$B$1009&amp;"",SERVER!$H$3:$H$1009,""),""),IF(TRIM(_xlpm.srcCat)&lt;&gt;TRIM($J566),"",_xlfn.SWITCH($I566,"Computer",_xlfn.XLOOKUP($K566&amp;"",COMPUTER!$B$3:$B$1009&amp;"",COMPUTER!$E$3:$E$1009,""),"Display",_xlfn.XLOOKUP($K566&amp;"",DISPLAY!$B$3:$B$1000&amp;"",DISPLAY!$E$3:$E$1000,""),"Network Device",_xlfn.XLOOKUP($K566&amp;"",'NETWORK-DEVICES'!$B$3:$B$987&amp;"",'NETWORK-DEVICES'!$E$3:$E$987,""),"Peripheral",_xlfn.XLOOKUP($K566&amp;"",PERIPHERAL!$B$3:$B$954&amp;"",PERIPHERAL!$E$3:$E$954,""),"Utilities",_xlfn.XLOOKUP($K566&amp;"",UTILITIES!$B$3:$B$953&amp;"",UTILITIES!$E$3:$E$953,""),"IOT",_xlfn.XLOOKUP($K566&amp;"",IOT!$B$3:$B$1012&amp;"",IOT!$E$3:$E$1012,""),"Server",_xlfn.XLOOKUP($K566&amp;"",SERVER!$B$3:$B$1009&amp;"",SERVER!$E$3:$E$1009,""),""))))</f>
        <v/>
      </c>
      <c r="Q566" s="1" t="str" cm="1">
        <f t="array" ref="Q566">IF(OR($K566="",$I566="",$J566=""),"",_xlfn.LET(_xlpm.srcCat,_xlfn.SWITCH($I566,"Computer",_xlfn.XLOOKUP($K566&amp;"",COMPUTER!$B$3:$B$1009&amp;"",COMPUTER!$H$3:$H$1009,""),"Display",_xlfn.XLOOKUP($K566&amp;"",DISPLAY!$B$3:$B$1000&amp;"",DISPLAY!$H$3:$H$1000,""),"Network Device",_xlfn.XLOOKUP($K566&amp;"",'NETWORK-DEVICES'!$B$3:$B$987&amp;"",'NETWORK-DEVICES'!$H$3:$H$987,""),"Peripheral",_xlfn.XLOOKUP($K566&amp;"",PERIPHERAL!$B$3:$B$954&amp;"",PERIPHERAL!$H$3:$H$954,""),"Utilities",_xlfn.XLOOKUP($K566&amp;"",UTILITIES!$B$3:$B$953&amp;"",UTILITIES!$G$3:$G$953,""),"IOT",_xlfn.XLOOKUP($K566&amp;"",IOT!$B$3:$B$1012&amp;"",IOT!$H$3:$H$1012,""),"Server",_xlfn.XLOOKUP($K566&amp;"",SERVER!$B$3:$B$1009&amp;"",SERVER!$H$3:$H$1009,""),""),IF(TRIM(_xlpm.srcCat)&lt;&gt;TRIM($J566),"",_xlfn.SWITCH($I566,"Computer",_xlfn.XLOOKUP($K566&amp;"",COMPUTER!$B$3:$B$1009&amp;"",COMPUTER!$AM$3:$AM$1009,""),"Display",_xlfn.XLOOKUP($K566&amp;"",DISPLAY!$B$3:$B$1000&amp;"",DISPLAY!$V$3:$V$1000,""),"Network Device",_xlfn.XLOOKUP($K566&amp;"",'NETWORK-DEVICES'!$B$3:$B$987&amp;"",'NETWORK-DEVICES'!$AF$3:$AF$987,""),"Peripheral",_xlfn.XLOOKUP($K566&amp;"",PERIPHERAL!$B$3:$B$954&amp;"",PERIPHERAL!$Y$3:$Y$954,""),"Utilities",_xlfn.XLOOKUP($K566&amp;"",UTILITIES!$B$3:$B$953&amp;"",UTILITIES!$O$3:$O$953,""),"IOT",_xlfn.XLOOKUP($K566&amp;"",IOT!$B$3:$B$1012&amp;"",IOT!$AB$3:$AB$1012,""),"Server",_xlfn.XLOOKUP($K566&amp;"",SERVER!$B$3:$B$1009&amp;"",SERVER!$AB$3:$AB$1009,""),""))))</f>
        <v/>
      </c>
      <c r="R566" s="43" t="str">
        <f>IF(tbl_handover[[#This Row],[Asset Code]]="","",COUNTIF(tbl_handover[Asset Code],tbl_handover[[#This Row],[Asset Code]]))</f>
        <v/>
      </c>
    </row>
    <row r="567" spans="1:18" x14ac:dyDescent="0.25">
      <c r="A567" s="43" t="str">
        <f>IF(B567&lt;&gt;"",SUBTOTAL(3,$B$1:B566),"")</f>
        <v/>
      </c>
      <c r="C567" s="74"/>
      <c r="D567" s="74"/>
      <c r="G567" s="1"/>
      <c r="K567" s="42"/>
      <c r="L567" t="str" cm="1">
        <f t="array" ref="L567">IF($K567="","",_xlfn.SWITCH($I567,"Computer",_xlfn.XLOOKUP($K567&amp;"",COMPUTER!$B$3:$B$1009&amp;"",COMPUTER!$I$3:$I$1009,""),"Display",_xlfn.XLOOKUP($K567&amp;"",DISPLAY!$B$3:$B$1000&amp;"",DISPLAY!$J$3:$J$1000,""),"Network Device",_xlfn.XLOOKUP($K567&amp;"",'NETWORK-DEVICES'!$B$3:$B$987&amp;"",'NETWORK-DEVICES'!$I$3:$I$987,""),"Peripheral",_xlfn.XLOOKUP($K567&amp;"",PERIPHERAL!$B$3:$B$954&amp;"",PERIPHERAL!$I$3:$I$954,""),"Utilities",_xlfn.XLOOKUP($K567&amp;"",UTILITIES!$B$3:$B$953&amp;"",UTILITIES!$H$3:$H$953,""),"IOT",_xlfn.XLOOKUP($K567&amp;"",IOT!$B$3:$B$1012&amp;"",IOT!$I$3:$I$1012,""),"SERVER",_xlfn.XLOOKUP($K567&amp;"",SERVER!$B$3:$B$1009&amp;"",SERVER!$I$3:$I$1009,""),""))</f>
        <v/>
      </c>
      <c r="M567" t="str" cm="1">
        <f t="array" ref="M567">IF($K567="","",_xlfn.SWITCH($I567,"Computer",_xlfn.XLOOKUP($K567&amp;"",COMPUTER!$B$3:$B$1009&amp;"",COMPUTER!$J$3:$J$1009,""),"Display",_xlfn.XLOOKUP($K567&amp;"",DISPLAY!$B$3:$B$1000&amp;"",DISPLAY!$K$3:$K$1000,""),"Network Device",_xlfn.XLOOKUP($K567&amp;"",'NETWORK-DEVICES'!$B$3:$B$987&amp;"",'NETWORK-DEVICES'!$I$3:$I$987,""),"Peripheral",_xlfn.XLOOKUP($K567&amp;"",PERIPHERAL!$B$3:$B$954&amp;"",PERIPHERAL!$J$3:$J$954,""),"Utilities",_xlfn.XLOOKUP($K567&amp;"",UTILITIES!$B$3:$B$953&amp;"",UTILITIES!$I$3:$I$953,""),"IOT",_xlfn.XLOOKUP($K567&amp;"",IOT!$B$3:$B$1012&amp;"",IOT!$J$3:$J$1012,""),"Server",_xlfn.XLOOKUP($K567&amp;"",SERVER!$B$3:$B$1009&amp;"",SERVER!$J$3:$J$1009,""),""))</f>
        <v/>
      </c>
      <c r="N567" s="1" t="str" cm="1">
        <f t="array" ref="N567">IF(OR($K567="",$I567="",$J567=""),"",_xlfn.LET(_xlpm.srcCat,_xlfn.SWITCH($I567,"Computer",_xlfn.XLOOKUP($K567&amp;"",COMPUTER!$B$3:$B$1009&amp;"",COMPUTER!$H$3:$H$1009,""),"Display",_xlfn.XLOOKUP($K567&amp;"",DISPLAY!$B$3:$B$1000&amp;"",DISPLAY!$H$3:$H$1000,""),"Network Device",_xlfn.XLOOKUP($K567&amp;"",'NETWORK-DEVICES'!$B$3:$B$987&amp;"",'NETWORK-DEVICES'!$H$3:$H$987,""),"Peripheral",_xlfn.XLOOKUP($K567&amp;"",PERIPHERAL!$B$3:$B$954&amp;"",PERIPHERAL!$H$3:$H$954,""),"Utilities",_xlfn.XLOOKUP($K567&amp;"",UTILITIES!$B$3:$B$953&amp;"",UTILITIES!$G$3:$G$953,""),"IOT",_xlfn.XLOOKUP($K567&amp;"",IOT!$B$3:$B$1012&amp;"",IOT!$H$3:$H$1012,""),"Server",_xlfn.XLOOKUP($K567&amp;"",SERVER!$B$3:$B$1009&amp;"",SERVER!$H$3:$H$1009,""),""),IF(TRIM(_xlpm.srcCat)&lt;&gt;TRIM($J567),"",_xlfn.SWITCH($I567,"Computer",_xlfn.XLOOKUP($K567&amp;"",COMPUTER!$B$3:$B$1009&amp;"",COMPUTER!$K$3:$K$1009,""),"Display",_xlfn.XLOOKUP($K567&amp;"",DISPLAY!$B$3:$B$1000&amp;"",DISPLAY!$L$3:$L$1000,""),"Network Device",_xlfn.XLOOKUP($K567&amp;"",'NETWORK-DEVICES'!$B$3:$B$987&amp;"",'NETWORK-DEVICES'!$K$3:$K$987,""),"Peripheral",_xlfn.XLOOKUP($K567&amp;"",PERIPHERAL!$B$3:$B$954&amp;"",PERIPHERAL!$K$3:$K$954,""),"Utilities",_xlfn.XLOOKUP($K567&amp;"",UTILITIES!$B$3:$B$953&amp;"",UTILITIES!$J$3:$J$953,""),"IOT",_xlfn.XLOOKUP($K567&amp;"",IOT!$B$3:$B$1012&amp;"",IOT!$K$4:$K$1012,""),"Server",_xlfn.XLOOKUP($K567&amp;"",SERVER!$B$3:$B$1009&amp;"",SERVER!$K$3:$K$1009,""),""))))</f>
        <v/>
      </c>
      <c r="O567" s="1" t="str" cm="1">
        <f t="array" ref="O567">IF(OR($K567="",$I567="",$J567=""),"",_xlfn.LET(_xlpm.srcCat,_xlfn.SWITCH($I567,"Computer",_xlfn.XLOOKUP($K567&amp;"",COMPUTER!$B$3:$B$1009&amp;"",COMPUTER!$H$3:$H$1009,""),"Display",_xlfn.XLOOKUP($K567&amp;"",DISPLAY!$B$3:$B$1000&amp;"",DISPLAY!$H$3:$H$1000,""),"Network Device",_xlfn.XLOOKUP($K567&amp;"",'NETWORK-DEVICES'!$B$3:$B$987&amp;"",'NETWORK-DEVICES'!$H$3:$H$987,""),"Peripheral",_xlfn.XLOOKUP($K567&amp;"",PERIPHERAL!$B$3:$B$954&amp;"",PERIPHERAL!$H$3:$H$954,""),"Utilities",_xlfn.XLOOKUP($K567&amp;"",UTILITIES!$B$3:$B$953&amp;"",UTILITIES!$G$3:$G$953,""),"IOT",_xlfn.XLOOKUP($K567&amp;"",IOT!$B$3:$B$1012&amp;"",IOT!$H$3:$H$1012,""),"Server",_xlfn.XLOOKUP($K567&amp;"",SERVER!$B$3:$B$1009&amp;"",SERVER!$H$3:$H$1009,""),""),IF(TRIM(_xlpm.srcCat)&lt;&gt;TRIM($J567),"",_xlfn.SWITCH($I567,"Computer",_xlfn.XLOOKUP($K567&amp;"",COMPUTER!$B$3:$B$1009&amp;"",COMPUTER!$E$3:$E$1009,""),"Display",_xlfn.XLOOKUP($K567&amp;"",DISPLAY!$B$3:$B$1000&amp;"",DISPLAY!$E$3:$E$1000,""),"Network Device",_xlfn.XLOOKUP($K567&amp;"",'NETWORK-DEVICES'!$B$3:$B$987&amp;"",'NETWORK-DEVICES'!$E$3:$E$987,""),"Peripheral",_xlfn.XLOOKUP($K567&amp;"",PERIPHERAL!$B$3:$B$954&amp;"",PERIPHERAL!$E$3:$E$954,""),"Utilities",_xlfn.XLOOKUP($K567&amp;"",UTILITIES!$B$3:$B$953&amp;"",UTILITIES!$E$3:$E$953,""),"IOT",_xlfn.XLOOKUP($K567&amp;"",IOT!$B$3:$B$1012&amp;"",IOT!$E$3:$E$1012,""),"Server",_xlfn.XLOOKUP($K567&amp;"",SERVER!$B$3:$B$1009&amp;"",SERVER!$E$3:$E$1009,""),""))))</f>
        <v/>
      </c>
      <c r="Q567" s="1" t="str" cm="1">
        <f t="array" ref="Q567">IF(OR($K567="",$I567="",$J567=""),"",_xlfn.LET(_xlpm.srcCat,_xlfn.SWITCH($I567,"Computer",_xlfn.XLOOKUP($K567&amp;"",COMPUTER!$B$3:$B$1009&amp;"",COMPUTER!$H$3:$H$1009,""),"Display",_xlfn.XLOOKUP($K567&amp;"",DISPLAY!$B$3:$B$1000&amp;"",DISPLAY!$H$3:$H$1000,""),"Network Device",_xlfn.XLOOKUP($K567&amp;"",'NETWORK-DEVICES'!$B$3:$B$987&amp;"",'NETWORK-DEVICES'!$H$3:$H$987,""),"Peripheral",_xlfn.XLOOKUP($K567&amp;"",PERIPHERAL!$B$3:$B$954&amp;"",PERIPHERAL!$H$3:$H$954,""),"Utilities",_xlfn.XLOOKUP($K567&amp;"",UTILITIES!$B$3:$B$953&amp;"",UTILITIES!$G$3:$G$953,""),"IOT",_xlfn.XLOOKUP($K567&amp;"",IOT!$B$3:$B$1012&amp;"",IOT!$H$3:$H$1012,""),"Server",_xlfn.XLOOKUP($K567&amp;"",SERVER!$B$3:$B$1009&amp;"",SERVER!$H$3:$H$1009,""),""),IF(TRIM(_xlpm.srcCat)&lt;&gt;TRIM($J567),"",_xlfn.SWITCH($I567,"Computer",_xlfn.XLOOKUP($K567&amp;"",COMPUTER!$B$3:$B$1009&amp;"",COMPUTER!$AM$3:$AM$1009,""),"Display",_xlfn.XLOOKUP($K567&amp;"",DISPLAY!$B$3:$B$1000&amp;"",DISPLAY!$V$3:$V$1000,""),"Network Device",_xlfn.XLOOKUP($K567&amp;"",'NETWORK-DEVICES'!$B$3:$B$987&amp;"",'NETWORK-DEVICES'!$AF$3:$AF$987,""),"Peripheral",_xlfn.XLOOKUP($K567&amp;"",PERIPHERAL!$B$3:$B$954&amp;"",PERIPHERAL!$Y$3:$Y$954,""),"Utilities",_xlfn.XLOOKUP($K567&amp;"",UTILITIES!$B$3:$B$953&amp;"",UTILITIES!$O$3:$O$953,""),"IOT",_xlfn.XLOOKUP($K567&amp;"",IOT!$B$3:$B$1012&amp;"",IOT!$AB$3:$AB$1012,""),"Server",_xlfn.XLOOKUP($K567&amp;"",SERVER!$B$3:$B$1009&amp;"",SERVER!$AB$3:$AB$1009,""),""))))</f>
        <v/>
      </c>
      <c r="R567" s="43" t="str">
        <f>IF(tbl_handover[[#This Row],[Asset Code]]="","",COUNTIF(tbl_handover[Asset Code],tbl_handover[[#This Row],[Asset Code]]))</f>
        <v/>
      </c>
    </row>
    <row r="568" spans="1:18" x14ac:dyDescent="0.25">
      <c r="A568" s="43" t="str">
        <f>IF(B568&lt;&gt;"",SUBTOTAL(3,$B$1:B567),"")</f>
        <v/>
      </c>
      <c r="C568" s="74"/>
      <c r="D568" s="74"/>
      <c r="G568" s="1"/>
      <c r="K568" s="42"/>
      <c r="L568" t="str" cm="1">
        <f t="array" ref="L568">IF($K568="","",_xlfn.SWITCH($I568,"Computer",_xlfn.XLOOKUP($K568&amp;"",COMPUTER!$B$3:$B$1009&amp;"",COMPUTER!$I$3:$I$1009,""),"Display",_xlfn.XLOOKUP($K568&amp;"",DISPLAY!$B$3:$B$1000&amp;"",DISPLAY!$J$3:$J$1000,""),"Network Device",_xlfn.XLOOKUP($K568&amp;"",'NETWORK-DEVICES'!$B$3:$B$987&amp;"",'NETWORK-DEVICES'!$I$3:$I$987,""),"Peripheral",_xlfn.XLOOKUP($K568&amp;"",PERIPHERAL!$B$3:$B$954&amp;"",PERIPHERAL!$I$3:$I$954,""),"Utilities",_xlfn.XLOOKUP($K568&amp;"",UTILITIES!$B$3:$B$953&amp;"",UTILITIES!$H$3:$H$953,""),"IOT",_xlfn.XLOOKUP($K568&amp;"",IOT!$B$3:$B$1012&amp;"",IOT!$I$3:$I$1012,""),"SERVER",_xlfn.XLOOKUP($K568&amp;"",SERVER!$B$3:$B$1009&amp;"",SERVER!$I$3:$I$1009,""),""))</f>
        <v/>
      </c>
      <c r="M568" t="str" cm="1">
        <f t="array" ref="M568">IF($K568="","",_xlfn.SWITCH($I568,"Computer",_xlfn.XLOOKUP($K568&amp;"",COMPUTER!$B$3:$B$1009&amp;"",COMPUTER!$J$3:$J$1009,""),"Display",_xlfn.XLOOKUP($K568&amp;"",DISPLAY!$B$3:$B$1000&amp;"",DISPLAY!$K$3:$K$1000,""),"Network Device",_xlfn.XLOOKUP($K568&amp;"",'NETWORK-DEVICES'!$B$3:$B$987&amp;"",'NETWORK-DEVICES'!$I$3:$I$987,""),"Peripheral",_xlfn.XLOOKUP($K568&amp;"",PERIPHERAL!$B$3:$B$954&amp;"",PERIPHERAL!$J$3:$J$954,""),"Utilities",_xlfn.XLOOKUP($K568&amp;"",UTILITIES!$B$3:$B$953&amp;"",UTILITIES!$I$3:$I$953,""),"IOT",_xlfn.XLOOKUP($K568&amp;"",IOT!$B$3:$B$1012&amp;"",IOT!$J$3:$J$1012,""),"Server",_xlfn.XLOOKUP($K568&amp;"",SERVER!$B$3:$B$1009&amp;"",SERVER!$J$3:$J$1009,""),""))</f>
        <v/>
      </c>
      <c r="N568" s="1" t="str" cm="1">
        <f t="array" ref="N568">IF(OR($K568="",$I568="",$J568=""),"",_xlfn.LET(_xlpm.srcCat,_xlfn.SWITCH($I568,"Computer",_xlfn.XLOOKUP($K568&amp;"",COMPUTER!$B$3:$B$1009&amp;"",COMPUTER!$H$3:$H$1009,""),"Display",_xlfn.XLOOKUP($K568&amp;"",DISPLAY!$B$3:$B$1000&amp;"",DISPLAY!$H$3:$H$1000,""),"Network Device",_xlfn.XLOOKUP($K568&amp;"",'NETWORK-DEVICES'!$B$3:$B$987&amp;"",'NETWORK-DEVICES'!$H$3:$H$987,""),"Peripheral",_xlfn.XLOOKUP($K568&amp;"",PERIPHERAL!$B$3:$B$954&amp;"",PERIPHERAL!$H$3:$H$954,""),"Utilities",_xlfn.XLOOKUP($K568&amp;"",UTILITIES!$B$3:$B$953&amp;"",UTILITIES!$G$3:$G$953,""),"IOT",_xlfn.XLOOKUP($K568&amp;"",IOT!$B$3:$B$1012&amp;"",IOT!$H$3:$H$1012,""),"Server",_xlfn.XLOOKUP($K568&amp;"",SERVER!$B$3:$B$1009&amp;"",SERVER!$H$3:$H$1009,""),""),IF(TRIM(_xlpm.srcCat)&lt;&gt;TRIM($J568),"",_xlfn.SWITCH($I568,"Computer",_xlfn.XLOOKUP($K568&amp;"",COMPUTER!$B$3:$B$1009&amp;"",COMPUTER!$K$3:$K$1009,""),"Display",_xlfn.XLOOKUP($K568&amp;"",DISPLAY!$B$3:$B$1000&amp;"",DISPLAY!$L$3:$L$1000,""),"Network Device",_xlfn.XLOOKUP($K568&amp;"",'NETWORK-DEVICES'!$B$3:$B$987&amp;"",'NETWORK-DEVICES'!$K$3:$K$987,""),"Peripheral",_xlfn.XLOOKUP($K568&amp;"",PERIPHERAL!$B$3:$B$954&amp;"",PERIPHERAL!$K$3:$K$954,""),"Utilities",_xlfn.XLOOKUP($K568&amp;"",UTILITIES!$B$3:$B$953&amp;"",UTILITIES!$J$3:$J$953,""),"IOT",_xlfn.XLOOKUP($K568&amp;"",IOT!$B$3:$B$1012&amp;"",IOT!$K$4:$K$1012,""),"Server",_xlfn.XLOOKUP($K568&amp;"",SERVER!$B$3:$B$1009&amp;"",SERVER!$K$3:$K$1009,""),""))))</f>
        <v/>
      </c>
      <c r="O568" s="1" t="str" cm="1">
        <f t="array" ref="O568">IF(OR($K568="",$I568="",$J568=""),"",_xlfn.LET(_xlpm.srcCat,_xlfn.SWITCH($I568,"Computer",_xlfn.XLOOKUP($K568&amp;"",COMPUTER!$B$3:$B$1009&amp;"",COMPUTER!$H$3:$H$1009,""),"Display",_xlfn.XLOOKUP($K568&amp;"",DISPLAY!$B$3:$B$1000&amp;"",DISPLAY!$H$3:$H$1000,""),"Network Device",_xlfn.XLOOKUP($K568&amp;"",'NETWORK-DEVICES'!$B$3:$B$987&amp;"",'NETWORK-DEVICES'!$H$3:$H$987,""),"Peripheral",_xlfn.XLOOKUP($K568&amp;"",PERIPHERAL!$B$3:$B$954&amp;"",PERIPHERAL!$H$3:$H$954,""),"Utilities",_xlfn.XLOOKUP($K568&amp;"",UTILITIES!$B$3:$B$953&amp;"",UTILITIES!$G$3:$G$953,""),"IOT",_xlfn.XLOOKUP($K568&amp;"",IOT!$B$3:$B$1012&amp;"",IOT!$H$3:$H$1012,""),"Server",_xlfn.XLOOKUP($K568&amp;"",SERVER!$B$3:$B$1009&amp;"",SERVER!$H$3:$H$1009,""),""),IF(TRIM(_xlpm.srcCat)&lt;&gt;TRIM($J568),"",_xlfn.SWITCH($I568,"Computer",_xlfn.XLOOKUP($K568&amp;"",COMPUTER!$B$3:$B$1009&amp;"",COMPUTER!$E$3:$E$1009,""),"Display",_xlfn.XLOOKUP($K568&amp;"",DISPLAY!$B$3:$B$1000&amp;"",DISPLAY!$E$3:$E$1000,""),"Network Device",_xlfn.XLOOKUP($K568&amp;"",'NETWORK-DEVICES'!$B$3:$B$987&amp;"",'NETWORK-DEVICES'!$E$3:$E$987,""),"Peripheral",_xlfn.XLOOKUP($K568&amp;"",PERIPHERAL!$B$3:$B$954&amp;"",PERIPHERAL!$E$3:$E$954,""),"Utilities",_xlfn.XLOOKUP($K568&amp;"",UTILITIES!$B$3:$B$953&amp;"",UTILITIES!$E$3:$E$953,""),"IOT",_xlfn.XLOOKUP($K568&amp;"",IOT!$B$3:$B$1012&amp;"",IOT!$E$3:$E$1012,""),"Server",_xlfn.XLOOKUP($K568&amp;"",SERVER!$B$3:$B$1009&amp;"",SERVER!$E$3:$E$1009,""),""))))</f>
        <v/>
      </c>
      <c r="Q568" s="1" t="str" cm="1">
        <f t="array" ref="Q568">IF(OR($K568="",$I568="",$J568=""),"",_xlfn.LET(_xlpm.srcCat,_xlfn.SWITCH($I568,"Computer",_xlfn.XLOOKUP($K568&amp;"",COMPUTER!$B$3:$B$1009&amp;"",COMPUTER!$H$3:$H$1009,""),"Display",_xlfn.XLOOKUP($K568&amp;"",DISPLAY!$B$3:$B$1000&amp;"",DISPLAY!$H$3:$H$1000,""),"Network Device",_xlfn.XLOOKUP($K568&amp;"",'NETWORK-DEVICES'!$B$3:$B$987&amp;"",'NETWORK-DEVICES'!$H$3:$H$987,""),"Peripheral",_xlfn.XLOOKUP($K568&amp;"",PERIPHERAL!$B$3:$B$954&amp;"",PERIPHERAL!$H$3:$H$954,""),"Utilities",_xlfn.XLOOKUP($K568&amp;"",UTILITIES!$B$3:$B$953&amp;"",UTILITIES!$G$3:$G$953,""),"IOT",_xlfn.XLOOKUP($K568&amp;"",IOT!$B$3:$B$1012&amp;"",IOT!$H$3:$H$1012,""),"Server",_xlfn.XLOOKUP($K568&amp;"",SERVER!$B$3:$B$1009&amp;"",SERVER!$H$3:$H$1009,""),""),IF(TRIM(_xlpm.srcCat)&lt;&gt;TRIM($J568),"",_xlfn.SWITCH($I568,"Computer",_xlfn.XLOOKUP($K568&amp;"",COMPUTER!$B$3:$B$1009&amp;"",COMPUTER!$AM$3:$AM$1009,""),"Display",_xlfn.XLOOKUP($K568&amp;"",DISPLAY!$B$3:$B$1000&amp;"",DISPLAY!$V$3:$V$1000,""),"Network Device",_xlfn.XLOOKUP($K568&amp;"",'NETWORK-DEVICES'!$B$3:$B$987&amp;"",'NETWORK-DEVICES'!$AF$3:$AF$987,""),"Peripheral",_xlfn.XLOOKUP($K568&amp;"",PERIPHERAL!$B$3:$B$954&amp;"",PERIPHERAL!$Y$3:$Y$954,""),"Utilities",_xlfn.XLOOKUP($K568&amp;"",UTILITIES!$B$3:$B$953&amp;"",UTILITIES!$O$3:$O$953,""),"IOT",_xlfn.XLOOKUP($K568&amp;"",IOT!$B$3:$B$1012&amp;"",IOT!$AB$3:$AB$1012,""),"Server",_xlfn.XLOOKUP($K568&amp;"",SERVER!$B$3:$B$1009&amp;"",SERVER!$AB$3:$AB$1009,""),""))))</f>
        <v/>
      </c>
      <c r="R568" s="43" t="str">
        <f>IF(tbl_handover[[#This Row],[Asset Code]]="","",COUNTIF(tbl_handover[Asset Code],tbl_handover[[#This Row],[Asset Code]]))</f>
        <v/>
      </c>
    </row>
    <row r="569" spans="1:18" x14ac:dyDescent="0.25">
      <c r="A569" s="43" t="str">
        <f>IF(B569&lt;&gt;"",SUBTOTAL(3,$B$1:B568),"")</f>
        <v/>
      </c>
      <c r="C569" s="74"/>
      <c r="D569" s="74"/>
      <c r="G569" s="1"/>
      <c r="K569" s="42"/>
      <c r="L569" t="str" cm="1">
        <f t="array" ref="L569">IF($K569="","",_xlfn.SWITCH($I569,"Computer",_xlfn.XLOOKUP($K569&amp;"",COMPUTER!$B$3:$B$1009&amp;"",COMPUTER!$I$3:$I$1009,""),"Display",_xlfn.XLOOKUP($K569&amp;"",DISPLAY!$B$3:$B$1000&amp;"",DISPLAY!$J$3:$J$1000,""),"Network Device",_xlfn.XLOOKUP($K569&amp;"",'NETWORK-DEVICES'!$B$3:$B$987&amp;"",'NETWORK-DEVICES'!$I$3:$I$987,""),"Peripheral",_xlfn.XLOOKUP($K569&amp;"",PERIPHERAL!$B$3:$B$954&amp;"",PERIPHERAL!$I$3:$I$954,""),"Utilities",_xlfn.XLOOKUP($K569&amp;"",UTILITIES!$B$3:$B$953&amp;"",UTILITIES!$H$3:$H$953,""),"IOT",_xlfn.XLOOKUP($K569&amp;"",IOT!$B$3:$B$1012&amp;"",IOT!$I$3:$I$1012,""),"SERVER",_xlfn.XLOOKUP($K569&amp;"",SERVER!$B$3:$B$1009&amp;"",SERVER!$I$3:$I$1009,""),""))</f>
        <v/>
      </c>
      <c r="M569" t="str" cm="1">
        <f t="array" ref="M569">IF($K569="","",_xlfn.SWITCH($I569,"Computer",_xlfn.XLOOKUP($K569&amp;"",COMPUTER!$B$3:$B$1009&amp;"",COMPUTER!$J$3:$J$1009,""),"Display",_xlfn.XLOOKUP($K569&amp;"",DISPLAY!$B$3:$B$1000&amp;"",DISPLAY!$K$3:$K$1000,""),"Network Device",_xlfn.XLOOKUP($K569&amp;"",'NETWORK-DEVICES'!$B$3:$B$987&amp;"",'NETWORK-DEVICES'!$I$3:$I$987,""),"Peripheral",_xlfn.XLOOKUP($K569&amp;"",PERIPHERAL!$B$3:$B$954&amp;"",PERIPHERAL!$J$3:$J$954,""),"Utilities",_xlfn.XLOOKUP($K569&amp;"",UTILITIES!$B$3:$B$953&amp;"",UTILITIES!$I$3:$I$953,""),"IOT",_xlfn.XLOOKUP($K569&amp;"",IOT!$B$3:$B$1012&amp;"",IOT!$J$3:$J$1012,""),"Server",_xlfn.XLOOKUP($K569&amp;"",SERVER!$B$3:$B$1009&amp;"",SERVER!$J$3:$J$1009,""),""))</f>
        <v/>
      </c>
      <c r="N569" s="1" t="str" cm="1">
        <f t="array" ref="N569">IF(OR($K569="",$I569="",$J569=""),"",_xlfn.LET(_xlpm.srcCat,_xlfn.SWITCH($I569,"Computer",_xlfn.XLOOKUP($K569&amp;"",COMPUTER!$B$3:$B$1009&amp;"",COMPUTER!$H$3:$H$1009,""),"Display",_xlfn.XLOOKUP($K569&amp;"",DISPLAY!$B$3:$B$1000&amp;"",DISPLAY!$H$3:$H$1000,""),"Network Device",_xlfn.XLOOKUP($K569&amp;"",'NETWORK-DEVICES'!$B$3:$B$987&amp;"",'NETWORK-DEVICES'!$H$3:$H$987,""),"Peripheral",_xlfn.XLOOKUP($K569&amp;"",PERIPHERAL!$B$3:$B$954&amp;"",PERIPHERAL!$H$3:$H$954,""),"Utilities",_xlfn.XLOOKUP($K569&amp;"",UTILITIES!$B$3:$B$953&amp;"",UTILITIES!$G$3:$G$953,""),"IOT",_xlfn.XLOOKUP($K569&amp;"",IOT!$B$3:$B$1012&amp;"",IOT!$H$3:$H$1012,""),"Server",_xlfn.XLOOKUP($K569&amp;"",SERVER!$B$3:$B$1009&amp;"",SERVER!$H$3:$H$1009,""),""),IF(TRIM(_xlpm.srcCat)&lt;&gt;TRIM($J569),"",_xlfn.SWITCH($I569,"Computer",_xlfn.XLOOKUP($K569&amp;"",COMPUTER!$B$3:$B$1009&amp;"",COMPUTER!$K$3:$K$1009,""),"Display",_xlfn.XLOOKUP($K569&amp;"",DISPLAY!$B$3:$B$1000&amp;"",DISPLAY!$L$3:$L$1000,""),"Network Device",_xlfn.XLOOKUP($K569&amp;"",'NETWORK-DEVICES'!$B$3:$B$987&amp;"",'NETWORK-DEVICES'!$K$3:$K$987,""),"Peripheral",_xlfn.XLOOKUP($K569&amp;"",PERIPHERAL!$B$3:$B$954&amp;"",PERIPHERAL!$K$3:$K$954,""),"Utilities",_xlfn.XLOOKUP($K569&amp;"",UTILITIES!$B$3:$B$953&amp;"",UTILITIES!$J$3:$J$953,""),"IOT",_xlfn.XLOOKUP($K569&amp;"",IOT!$B$3:$B$1012&amp;"",IOT!$K$4:$K$1012,""),"Server",_xlfn.XLOOKUP($K569&amp;"",SERVER!$B$3:$B$1009&amp;"",SERVER!$K$3:$K$1009,""),""))))</f>
        <v/>
      </c>
      <c r="O569" s="1" t="str" cm="1">
        <f t="array" ref="O569">IF(OR($K569="",$I569="",$J569=""),"",_xlfn.LET(_xlpm.srcCat,_xlfn.SWITCH($I569,"Computer",_xlfn.XLOOKUP($K569&amp;"",COMPUTER!$B$3:$B$1009&amp;"",COMPUTER!$H$3:$H$1009,""),"Display",_xlfn.XLOOKUP($K569&amp;"",DISPLAY!$B$3:$B$1000&amp;"",DISPLAY!$H$3:$H$1000,""),"Network Device",_xlfn.XLOOKUP($K569&amp;"",'NETWORK-DEVICES'!$B$3:$B$987&amp;"",'NETWORK-DEVICES'!$H$3:$H$987,""),"Peripheral",_xlfn.XLOOKUP($K569&amp;"",PERIPHERAL!$B$3:$B$954&amp;"",PERIPHERAL!$H$3:$H$954,""),"Utilities",_xlfn.XLOOKUP($K569&amp;"",UTILITIES!$B$3:$B$953&amp;"",UTILITIES!$G$3:$G$953,""),"IOT",_xlfn.XLOOKUP($K569&amp;"",IOT!$B$3:$B$1012&amp;"",IOT!$H$3:$H$1012,""),"Server",_xlfn.XLOOKUP($K569&amp;"",SERVER!$B$3:$B$1009&amp;"",SERVER!$H$3:$H$1009,""),""),IF(TRIM(_xlpm.srcCat)&lt;&gt;TRIM($J569),"",_xlfn.SWITCH($I569,"Computer",_xlfn.XLOOKUP($K569&amp;"",COMPUTER!$B$3:$B$1009&amp;"",COMPUTER!$E$3:$E$1009,""),"Display",_xlfn.XLOOKUP($K569&amp;"",DISPLAY!$B$3:$B$1000&amp;"",DISPLAY!$E$3:$E$1000,""),"Network Device",_xlfn.XLOOKUP($K569&amp;"",'NETWORK-DEVICES'!$B$3:$B$987&amp;"",'NETWORK-DEVICES'!$E$3:$E$987,""),"Peripheral",_xlfn.XLOOKUP($K569&amp;"",PERIPHERAL!$B$3:$B$954&amp;"",PERIPHERAL!$E$3:$E$954,""),"Utilities",_xlfn.XLOOKUP($K569&amp;"",UTILITIES!$B$3:$B$953&amp;"",UTILITIES!$E$3:$E$953,""),"IOT",_xlfn.XLOOKUP($K569&amp;"",IOT!$B$3:$B$1012&amp;"",IOT!$E$3:$E$1012,""),"Server",_xlfn.XLOOKUP($K569&amp;"",SERVER!$B$3:$B$1009&amp;"",SERVER!$E$3:$E$1009,""),""))))</f>
        <v/>
      </c>
      <c r="Q569" s="1" t="str" cm="1">
        <f t="array" ref="Q569">IF(OR($K569="",$I569="",$J569=""),"",_xlfn.LET(_xlpm.srcCat,_xlfn.SWITCH($I569,"Computer",_xlfn.XLOOKUP($K569&amp;"",COMPUTER!$B$3:$B$1009&amp;"",COMPUTER!$H$3:$H$1009,""),"Display",_xlfn.XLOOKUP($K569&amp;"",DISPLAY!$B$3:$B$1000&amp;"",DISPLAY!$H$3:$H$1000,""),"Network Device",_xlfn.XLOOKUP($K569&amp;"",'NETWORK-DEVICES'!$B$3:$B$987&amp;"",'NETWORK-DEVICES'!$H$3:$H$987,""),"Peripheral",_xlfn.XLOOKUP($K569&amp;"",PERIPHERAL!$B$3:$B$954&amp;"",PERIPHERAL!$H$3:$H$954,""),"Utilities",_xlfn.XLOOKUP($K569&amp;"",UTILITIES!$B$3:$B$953&amp;"",UTILITIES!$G$3:$G$953,""),"IOT",_xlfn.XLOOKUP($K569&amp;"",IOT!$B$3:$B$1012&amp;"",IOT!$H$3:$H$1012,""),"Server",_xlfn.XLOOKUP($K569&amp;"",SERVER!$B$3:$B$1009&amp;"",SERVER!$H$3:$H$1009,""),""),IF(TRIM(_xlpm.srcCat)&lt;&gt;TRIM($J569),"",_xlfn.SWITCH($I569,"Computer",_xlfn.XLOOKUP($K569&amp;"",COMPUTER!$B$3:$B$1009&amp;"",COMPUTER!$AM$3:$AM$1009,""),"Display",_xlfn.XLOOKUP($K569&amp;"",DISPLAY!$B$3:$B$1000&amp;"",DISPLAY!$V$3:$V$1000,""),"Network Device",_xlfn.XLOOKUP($K569&amp;"",'NETWORK-DEVICES'!$B$3:$B$987&amp;"",'NETWORK-DEVICES'!$AF$3:$AF$987,""),"Peripheral",_xlfn.XLOOKUP($K569&amp;"",PERIPHERAL!$B$3:$B$954&amp;"",PERIPHERAL!$Y$3:$Y$954,""),"Utilities",_xlfn.XLOOKUP($K569&amp;"",UTILITIES!$B$3:$B$953&amp;"",UTILITIES!$O$3:$O$953,""),"IOT",_xlfn.XLOOKUP($K569&amp;"",IOT!$B$3:$B$1012&amp;"",IOT!$AB$3:$AB$1012,""),"Server",_xlfn.XLOOKUP($K569&amp;"",SERVER!$B$3:$B$1009&amp;"",SERVER!$AB$3:$AB$1009,""),""))))</f>
        <v/>
      </c>
      <c r="R569" s="43" t="str">
        <f>IF(tbl_handover[[#This Row],[Asset Code]]="","",COUNTIF(tbl_handover[Asset Code],tbl_handover[[#This Row],[Asset Code]]))</f>
        <v/>
      </c>
    </row>
    <row r="570" spans="1:18" x14ac:dyDescent="0.25">
      <c r="A570" s="43" t="str">
        <f>IF(B570&lt;&gt;"",SUBTOTAL(3,$B$1:B569),"")</f>
        <v/>
      </c>
      <c r="C570" s="74"/>
      <c r="D570" s="74"/>
      <c r="G570" s="1"/>
      <c r="K570" s="42"/>
      <c r="L570" t="str" cm="1">
        <f t="array" ref="L570">IF($K570="","",_xlfn.SWITCH($I570,"Computer",_xlfn.XLOOKUP($K570&amp;"",COMPUTER!$B$3:$B$1009&amp;"",COMPUTER!$I$3:$I$1009,""),"Display",_xlfn.XLOOKUP($K570&amp;"",DISPLAY!$B$3:$B$1000&amp;"",DISPLAY!$J$3:$J$1000,""),"Network Device",_xlfn.XLOOKUP($K570&amp;"",'NETWORK-DEVICES'!$B$3:$B$987&amp;"",'NETWORK-DEVICES'!$I$3:$I$987,""),"Peripheral",_xlfn.XLOOKUP($K570&amp;"",PERIPHERAL!$B$3:$B$954&amp;"",PERIPHERAL!$I$3:$I$954,""),"Utilities",_xlfn.XLOOKUP($K570&amp;"",UTILITIES!$B$3:$B$953&amp;"",UTILITIES!$H$3:$H$953,""),"IOT",_xlfn.XLOOKUP($K570&amp;"",IOT!$B$3:$B$1012&amp;"",IOT!$I$3:$I$1012,""),"SERVER",_xlfn.XLOOKUP($K570&amp;"",SERVER!$B$3:$B$1009&amp;"",SERVER!$I$3:$I$1009,""),""))</f>
        <v/>
      </c>
      <c r="M570" t="str" cm="1">
        <f t="array" ref="M570">IF($K570="","",_xlfn.SWITCH($I570,"Computer",_xlfn.XLOOKUP($K570&amp;"",COMPUTER!$B$3:$B$1009&amp;"",COMPUTER!$J$3:$J$1009,""),"Display",_xlfn.XLOOKUP($K570&amp;"",DISPLAY!$B$3:$B$1000&amp;"",DISPLAY!$K$3:$K$1000,""),"Network Device",_xlfn.XLOOKUP($K570&amp;"",'NETWORK-DEVICES'!$B$3:$B$987&amp;"",'NETWORK-DEVICES'!$I$3:$I$987,""),"Peripheral",_xlfn.XLOOKUP($K570&amp;"",PERIPHERAL!$B$3:$B$954&amp;"",PERIPHERAL!$J$3:$J$954,""),"Utilities",_xlfn.XLOOKUP($K570&amp;"",UTILITIES!$B$3:$B$953&amp;"",UTILITIES!$I$3:$I$953,""),"IOT",_xlfn.XLOOKUP($K570&amp;"",IOT!$B$3:$B$1012&amp;"",IOT!$J$3:$J$1012,""),"Server",_xlfn.XLOOKUP($K570&amp;"",SERVER!$B$3:$B$1009&amp;"",SERVER!$J$3:$J$1009,""),""))</f>
        <v/>
      </c>
      <c r="N570" s="1" t="str" cm="1">
        <f t="array" ref="N570">IF(OR($K570="",$I570="",$J570=""),"",_xlfn.LET(_xlpm.srcCat,_xlfn.SWITCH($I570,"Computer",_xlfn.XLOOKUP($K570&amp;"",COMPUTER!$B$3:$B$1009&amp;"",COMPUTER!$H$3:$H$1009,""),"Display",_xlfn.XLOOKUP($K570&amp;"",DISPLAY!$B$3:$B$1000&amp;"",DISPLAY!$H$3:$H$1000,""),"Network Device",_xlfn.XLOOKUP($K570&amp;"",'NETWORK-DEVICES'!$B$3:$B$987&amp;"",'NETWORK-DEVICES'!$H$3:$H$987,""),"Peripheral",_xlfn.XLOOKUP($K570&amp;"",PERIPHERAL!$B$3:$B$954&amp;"",PERIPHERAL!$H$3:$H$954,""),"Utilities",_xlfn.XLOOKUP($K570&amp;"",UTILITIES!$B$3:$B$953&amp;"",UTILITIES!$G$3:$G$953,""),"IOT",_xlfn.XLOOKUP($K570&amp;"",IOT!$B$3:$B$1012&amp;"",IOT!$H$3:$H$1012,""),"Server",_xlfn.XLOOKUP($K570&amp;"",SERVER!$B$3:$B$1009&amp;"",SERVER!$H$3:$H$1009,""),""),IF(TRIM(_xlpm.srcCat)&lt;&gt;TRIM($J570),"",_xlfn.SWITCH($I570,"Computer",_xlfn.XLOOKUP($K570&amp;"",COMPUTER!$B$3:$B$1009&amp;"",COMPUTER!$K$3:$K$1009,""),"Display",_xlfn.XLOOKUP($K570&amp;"",DISPLAY!$B$3:$B$1000&amp;"",DISPLAY!$L$3:$L$1000,""),"Network Device",_xlfn.XLOOKUP($K570&amp;"",'NETWORK-DEVICES'!$B$3:$B$987&amp;"",'NETWORK-DEVICES'!$K$3:$K$987,""),"Peripheral",_xlfn.XLOOKUP($K570&amp;"",PERIPHERAL!$B$3:$B$954&amp;"",PERIPHERAL!$K$3:$K$954,""),"Utilities",_xlfn.XLOOKUP($K570&amp;"",UTILITIES!$B$3:$B$953&amp;"",UTILITIES!$J$3:$J$953,""),"IOT",_xlfn.XLOOKUP($K570&amp;"",IOT!$B$3:$B$1012&amp;"",IOT!$K$4:$K$1012,""),"Server",_xlfn.XLOOKUP($K570&amp;"",SERVER!$B$3:$B$1009&amp;"",SERVER!$K$3:$K$1009,""),""))))</f>
        <v/>
      </c>
      <c r="O570" s="1" t="str" cm="1">
        <f t="array" ref="O570">IF(OR($K570="",$I570="",$J570=""),"",_xlfn.LET(_xlpm.srcCat,_xlfn.SWITCH($I570,"Computer",_xlfn.XLOOKUP($K570&amp;"",COMPUTER!$B$3:$B$1009&amp;"",COMPUTER!$H$3:$H$1009,""),"Display",_xlfn.XLOOKUP($K570&amp;"",DISPLAY!$B$3:$B$1000&amp;"",DISPLAY!$H$3:$H$1000,""),"Network Device",_xlfn.XLOOKUP($K570&amp;"",'NETWORK-DEVICES'!$B$3:$B$987&amp;"",'NETWORK-DEVICES'!$H$3:$H$987,""),"Peripheral",_xlfn.XLOOKUP($K570&amp;"",PERIPHERAL!$B$3:$B$954&amp;"",PERIPHERAL!$H$3:$H$954,""),"Utilities",_xlfn.XLOOKUP($K570&amp;"",UTILITIES!$B$3:$B$953&amp;"",UTILITIES!$G$3:$G$953,""),"IOT",_xlfn.XLOOKUP($K570&amp;"",IOT!$B$3:$B$1012&amp;"",IOT!$H$3:$H$1012,""),"Server",_xlfn.XLOOKUP($K570&amp;"",SERVER!$B$3:$B$1009&amp;"",SERVER!$H$3:$H$1009,""),""),IF(TRIM(_xlpm.srcCat)&lt;&gt;TRIM($J570),"",_xlfn.SWITCH($I570,"Computer",_xlfn.XLOOKUP($K570&amp;"",COMPUTER!$B$3:$B$1009&amp;"",COMPUTER!$E$3:$E$1009,""),"Display",_xlfn.XLOOKUP($K570&amp;"",DISPLAY!$B$3:$B$1000&amp;"",DISPLAY!$E$3:$E$1000,""),"Network Device",_xlfn.XLOOKUP($K570&amp;"",'NETWORK-DEVICES'!$B$3:$B$987&amp;"",'NETWORK-DEVICES'!$E$3:$E$987,""),"Peripheral",_xlfn.XLOOKUP($K570&amp;"",PERIPHERAL!$B$3:$B$954&amp;"",PERIPHERAL!$E$3:$E$954,""),"Utilities",_xlfn.XLOOKUP($K570&amp;"",UTILITIES!$B$3:$B$953&amp;"",UTILITIES!$E$3:$E$953,""),"IOT",_xlfn.XLOOKUP($K570&amp;"",IOT!$B$3:$B$1012&amp;"",IOT!$E$3:$E$1012,""),"Server",_xlfn.XLOOKUP($K570&amp;"",SERVER!$B$3:$B$1009&amp;"",SERVER!$E$3:$E$1009,""),""))))</f>
        <v/>
      </c>
      <c r="Q570" s="1" t="str" cm="1">
        <f t="array" ref="Q570">IF(OR($K570="",$I570="",$J570=""),"",_xlfn.LET(_xlpm.srcCat,_xlfn.SWITCH($I570,"Computer",_xlfn.XLOOKUP($K570&amp;"",COMPUTER!$B$3:$B$1009&amp;"",COMPUTER!$H$3:$H$1009,""),"Display",_xlfn.XLOOKUP($K570&amp;"",DISPLAY!$B$3:$B$1000&amp;"",DISPLAY!$H$3:$H$1000,""),"Network Device",_xlfn.XLOOKUP($K570&amp;"",'NETWORK-DEVICES'!$B$3:$B$987&amp;"",'NETWORK-DEVICES'!$H$3:$H$987,""),"Peripheral",_xlfn.XLOOKUP($K570&amp;"",PERIPHERAL!$B$3:$B$954&amp;"",PERIPHERAL!$H$3:$H$954,""),"Utilities",_xlfn.XLOOKUP($K570&amp;"",UTILITIES!$B$3:$B$953&amp;"",UTILITIES!$G$3:$G$953,""),"IOT",_xlfn.XLOOKUP($K570&amp;"",IOT!$B$3:$B$1012&amp;"",IOT!$H$3:$H$1012,""),"Server",_xlfn.XLOOKUP($K570&amp;"",SERVER!$B$3:$B$1009&amp;"",SERVER!$H$3:$H$1009,""),""),IF(TRIM(_xlpm.srcCat)&lt;&gt;TRIM($J570),"",_xlfn.SWITCH($I570,"Computer",_xlfn.XLOOKUP($K570&amp;"",COMPUTER!$B$3:$B$1009&amp;"",COMPUTER!$AM$3:$AM$1009,""),"Display",_xlfn.XLOOKUP($K570&amp;"",DISPLAY!$B$3:$B$1000&amp;"",DISPLAY!$V$3:$V$1000,""),"Network Device",_xlfn.XLOOKUP($K570&amp;"",'NETWORK-DEVICES'!$B$3:$B$987&amp;"",'NETWORK-DEVICES'!$AF$3:$AF$987,""),"Peripheral",_xlfn.XLOOKUP($K570&amp;"",PERIPHERAL!$B$3:$B$954&amp;"",PERIPHERAL!$Y$3:$Y$954,""),"Utilities",_xlfn.XLOOKUP($K570&amp;"",UTILITIES!$B$3:$B$953&amp;"",UTILITIES!$O$3:$O$953,""),"IOT",_xlfn.XLOOKUP($K570&amp;"",IOT!$B$3:$B$1012&amp;"",IOT!$AB$3:$AB$1012,""),"Server",_xlfn.XLOOKUP($K570&amp;"",SERVER!$B$3:$B$1009&amp;"",SERVER!$AB$3:$AB$1009,""),""))))</f>
        <v/>
      </c>
      <c r="R570" s="43" t="str">
        <f>IF(tbl_handover[[#This Row],[Asset Code]]="","",COUNTIF(tbl_handover[Asset Code],tbl_handover[[#This Row],[Asset Code]]))</f>
        <v/>
      </c>
    </row>
    <row r="571" spans="1:18" x14ac:dyDescent="0.25">
      <c r="A571" s="43" t="str">
        <f>IF(B571&lt;&gt;"",SUBTOTAL(3,$B$1:B570),"")</f>
        <v/>
      </c>
      <c r="C571" s="74"/>
      <c r="D571" s="74"/>
      <c r="G571" s="1"/>
      <c r="K571" s="42"/>
      <c r="L571" t="str" cm="1">
        <f t="array" ref="L571">IF($K571="","",_xlfn.SWITCH($I571,"Computer",_xlfn.XLOOKUP($K571&amp;"",COMPUTER!$B$3:$B$1009&amp;"",COMPUTER!$I$3:$I$1009,""),"Display",_xlfn.XLOOKUP($K571&amp;"",DISPLAY!$B$3:$B$1000&amp;"",DISPLAY!$J$3:$J$1000,""),"Network Device",_xlfn.XLOOKUP($K571&amp;"",'NETWORK-DEVICES'!$B$3:$B$987&amp;"",'NETWORK-DEVICES'!$I$3:$I$987,""),"Peripheral",_xlfn.XLOOKUP($K571&amp;"",PERIPHERAL!$B$3:$B$954&amp;"",PERIPHERAL!$I$3:$I$954,""),"Utilities",_xlfn.XLOOKUP($K571&amp;"",UTILITIES!$B$3:$B$953&amp;"",UTILITIES!$H$3:$H$953,""),"IOT",_xlfn.XLOOKUP($K571&amp;"",IOT!$B$3:$B$1012&amp;"",IOT!$I$3:$I$1012,""),"SERVER",_xlfn.XLOOKUP($K571&amp;"",SERVER!$B$3:$B$1009&amp;"",SERVER!$I$3:$I$1009,""),""))</f>
        <v/>
      </c>
      <c r="M571" t="str" cm="1">
        <f t="array" ref="M571">IF($K571="","",_xlfn.SWITCH($I571,"Computer",_xlfn.XLOOKUP($K571&amp;"",COMPUTER!$B$3:$B$1009&amp;"",COMPUTER!$J$3:$J$1009,""),"Display",_xlfn.XLOOKUP($K571&amp;"",DISPLAY!$B$3:$B$1000&amp;"",DISPLAY!$K$3:$K$1000,""),"Network Device",_xlfn.XLOOKUP($K571&amp;"",'NETWORK-DEVICES'!$B$3:$B$987&amp;"",'NETWORK-DEVICES'!$I$3:$I$987,""),"Peripheral",_xlfn.XLOOKUP($K571&amp;"",PERIPHERAL!$B$3:$B$954&amp;"",PERIPHERAL!$J$3:$J$954,""),"Utilities",_xlfn.XLOOKUP($K571&amp;"",UTILITIES!$B$3:$B$953&amp;"",UTILITIES!$I$3:$I$953,""),"IOT",_xlfn.XLOOKUP($K571&amp;"",IOT!$B$3:$B$1012&amp;"",IOT!$J$3:$J$1012,""),"Server",_xlfn.XLOOKUP($K571&amp;"",SERVER!$B$3:$B$1009&amp;"",SERVER!$J$3:$J$1009,""),""))</f>
        <v/>
      </c>
      <c r="N571" s="1" t="str" cm="1">
        <f t="array" ref="N571">IF(OR($K571="",$I571="",$J571=""),"",_xlfn.LET(_xlpm.srcCat,_xlfn.SWITCH($I571,"Computer",_xlfn.XLOOKUP($K571&amp;"",COMPUTER!$B$3:$B$1009&amp;"",COMPUTER!$H$3:$H$1009,""),"Display",_xlfn.XLOOKUP($K571&amp;"",DISPLAY!$B$3:$B$1000&amp;"",DISPLAY!$H$3:$H$1000,""),"Network Device",_xlfn.XLOOKUP($K571&amp;"",'NETWORK-DEVICES'!$B$3:$B$987&amp;"",'NETWORK-DEVICES'!$H$3:$H$987,""),"Peripheral",_xlfn.XLOOKUP($K571&amp;"",PERIPHERAL!$B$3:$B$954&amp;"",PERIPHERAL!$H$3:$H$954,""),"Utilities",_xlfn.XLOOKUP($K571&amp;"",UTILITIES!$B$3:$B$953&amp;"",UTILITIES!$G$3:$G$953,""),"IOT",_xlfn.XLOOKUP($K571&amp;"",IOT!$B$3:$B$1012&amp;"",IOT!$H$3:$H$1012,""),"Server",_xlfn.XLOOKUP($K571&amp;"",SERVER!$B$3:$B$1009&amp;"",SERVER!$H$3:$H$1009,""),""),IF(TRIM(_xlpm.srcCat)&lt;&gt;TRIM($J571),"",_xlfn.SWITCH($I571,"Computer",_xlfn.XLOOKUP($K571&amp;"",COMPUTER!$B$3:$B$1009&amp;"",COMPUTER!$K$3:$K$1009,""),"Display",_xlfn.XLOOKUP($K571&amp;"",DISPLAY!$B$3:$B$1000&amp;"",DISPLAY!$L$3:$L$1000,""),"Network Device",_xlfn.XLOOKUP($K571&amp;"",'NETWORK-DEVICES'!$B$3:$B$987&amp;"",'NETWORK-DEVICES'!$K$3:$K$987,""),"Peripheral",_xlfn.XLOOKUP($K571&amp;"",PERIPHERAL!$B$3:$B$954&amp;"",PERIPHERAL!$K$3:$K$954,""),"Utilities",_xlfn.XLOOKUP($K571&amp;"",UTILITIES!$B$3:$B$953&amp;"",UTILITIES!$J$3:$J$953,""),"IOT",_xlfn.XLOOKUP($K571&amp;"",IOT!$B$3:$B$1012&amp;"",IOT!$K$4:$K$1012,""),"Server",_xlfn.XLOOKUP($K571&amp;"",SERVER!$B$3:$B$1009&amp;"",SERVER!$K$3:$K$1009,""),""))))</f>
        <v/>
      </c>
      <c r="O571" s="1" t="str" cm="1">
        <f t="array" ref="O571">IF(OR($K571="",$I571="",$J571=""),"",_xlfn.LET(_xlpm.srcCat,_xlfn.SWITCH($I571,"Computer",_xlfn.XLOOKUP($K571&amp;"",COMPUTER!$B$3:$B$1009&amp;"",COMPUTER!$H$3:$H$1009,""),"Display",_xlfn.XLOOKUP($K571&amp;"",DISPLAY!$B$3:$B$1000&amp;"",DISPLAY!$H$3:$H$1000,""),"Network Device",_xlfn.XLOOKUP($K571&amp;"",'NETWORK-DEVICES'!$B$3:$B$987&amp;"",'NETWORK-DEVICES'!$H$3:$H$987,""),"Peripheral",_xlfn.XLOOKUP($K571&amp;"",PERIPHERAL!$B$3:$B$954&amp;"",PERIPHERAL!$H$3:$H$954,""),"Utilities",_xlfn.XLOOKUP($K571&amp;"",UTILITIES!$B$3:$B$953&amp;"",UTILITIES!$G$3:$G$953,""),"IOT",_xlfn.XLOOKUP($K571&amp;"",IOT!$B$3:$B$1012&amp;"",IOT!$H$3:$H$1012,""),"Server",_xlfn.XLOOKUP($K571&amp;"",SERVER!$B$3:$B$1009&amp;"",SERVER!$H$3:$H$1009,""),""),IF(TRIM(_xlpm.srcCat)&lt;&gt;TRIM($J571),"",_xlfn.SWITCH($I571,"Computer",_xlfn.XLOOKUP($K571&amp;"",COMPUTER!$B$3:$B$1009&amp;"",COMPUTER!$E$3:$E$1009,""),"Display",_xlfn.XLOOKUP($K571&amp;"",DISPLAY!$B$3:$B$1000&amp;"",DISPLAY!$E$3:$E$1000,""),"Network Device",_xlfn.XLOOKUP($K571&amp;"",'NETWORK-DEVICES'!$B$3:$B$987&amp;"",'NETWORK-DEVICES'!$E$3:$E$987,""),"Peripheral",_xlfn.XLOOKUP($K571&amp;"",PERIPHERAL!$B$3:$B$954&amp;"",PERIPHERAL!$E$3:$E$954,""),"Utilities",_xlfn.XLOOKUP($K571&amp;"",UTILITIES!$B$3:$B$953&amp;"",UTILITIES!$E$3:$E$953,""),"IOT",_xlfn.XLOOKUP($K571&amp;"",IOT!$B$3:$B$1012&amp;"",IOT!$E$3:$E$1012,""),"Server",_xlfn.XLOOKUP($K571&amp;"",SERVER!$B$3:$B$1009&amp;"",SERVER!$E$3:$E$1009,""),""))))</f>
        <v/>
      </c>
      <c r="Q571" s="1" t="str" cm="1">
        <f t="array" ref="Q571">IF(OR($K571="",$I571="",$J571=""),"",_xlfn.LET(_xlpm.srcCat,_xlfn.SWITCH($I571,"Computer",_xlfn.XLOOKUP($K571&amp;"",COMPUTER!$B$3:$B$1009&amp;"",COMPUTER!$H$3:$H$1009,""),"Display",_xlfn.XLOOKUP($K571&amp;"",DISPLAY!$B$3:$B$1000&amp;"",DISPLAY!$H$3:$H$1000,""),"Network Device",_xlfn.XLOOKUP($K571&amp;"",'NETWORK-DEVICES'!$B$3:$B$987&amp;"",'NETWORK-DEVICES'!$H$3:$H$987,""),"Peripheral",_xlfn.XLOOKUP($K571&amp;"",PERIPHERAL!$B$3:$B$954&amp;"",PERIPHERAL!$H$3:$H$954,""),"Utilities",_xlfn.XLOOKUP($K571&amp;"",UTILITIES!$B$3:$B$953&amp;"",UTILITIES!$G$3:$G$953,""),"IOT",_xlfn.XLOOKUP($K571&amp;"",IOT!$B$3:$B$1012&amp;"",IOT!$H$3:$H$1012,""),"Server",_xlfn.XLOOKUP($K571&amp;"",SERVER!$B$3:$B$1009&amp;"",SERVER!$H$3:$H$1009,""),""),IF(TRIM(_xlpm.srcCat)&lt;&gt;TRIM($J571),"",_xlfn.SWITCH($I571,"Computer",_xlfn.XLOOKUP($K571&amp;"",COMPUTER!$B$3:$B$1009&amp;"",COMPUTER!$AM$3:$AM$1009,""),"Display",_xlfn.XLOOKUP($K571&amp;"",DISPLAY!$B$3:$B$1000&amp;"",DISPLAY!$V$3:$V$1000,""),"Network Device",_xlfn.XLOOKUP($K571&amp;"",'NETWORK-DEVICES'!$B$3:$B$987&amp;"",'NETWORK-DEVICES'!$AF$3:$AF$987,""),"Peripheral",_xlfn.XLOOKUP($K571&amp;"",PERIPHERAL!$B$3:$B$954&amp;"",PERIPHERAL!$Y$3:$Y$954,""),"Utilities",_xlfn.XLOOKUP($K571&amp;"",UTILITIES!$B$3:$B$953&amp;"",UTILITIES!$O$3:$O$953,""),"IOT",_xlfn.XLOOKUP($K571&amp;"",IOT!$B$3:$B$1012&amp;"",IOT!$AB$3:$AB$1012,""),"Server",_xlfn.XLOOKUP($K571&amp;"",SERVER!$B$3:$B$1009&amp;"",SERVER!$AB$3:$AB$1009,""),""))))</f>
        <v/>
      </c>
      <c r="R571" s="43" t="str">
        <f>IF(tbl_handover[[#This Row],[Asset Code]]="","",COUNTIF(tbl_handover[Asset Code],tbl_handover[[#This Row],[Asset Code]]))</f>
        <v/>
      </c>
    </row>
    <row r="572" spans="1:18" x14ac:dyDescent="0.25">
      <c r="A572" s="43" t="str">
        <f>IF(B572&lt;&gt;"",SUBTOTAL(3,$B$1:B571),"")</f>
        <v/>
      </c>
      <c r="C572" s="74"/>
      <c r="D572" s="74"/>
      <c r="G572" s="1"/>
      <c r="K572" s="42"/>
      <c r="L572" t="str" cm="1">
        <f t="array" ref="L572">IF($K572="","",_xlfn.SWITCH($I572,"Computer",_xlfn.XLOOKUP($K572&amp;"",COMPUTER!$B$3:$B$1009&amp;"",COMPUTER!$I$3:$I$1009,""),"Display",_xlfn.XLOOKUP($K572&amp;"",DISPLAY!$B$3:$B$1000&amp;"",DISPLAY!$J$3:$J$1000,""),"Network Device",_xlfn.XLOOKUP($K572&amp;"",'NETWORK-DEVICES'!$B$3:$B$987&amp;"",'NETWORK-DEVICES'!$I$3:$I$987,""),"Peripheral",_xlfn.XLOOKUP($K572&amp;"",PERIPHERAL!$B$3:$B$954&amp;"",PERIPHERAL!$I$3:$I$954,""),"Utilities",_xlfn.XLOOKUP($K572&amp;"",UTILITIES!$B$3:$B$953&amp;"",UTILITIES!$H$3:$H$953,""),"IOT",_xlfn.XLOOKUP($K572&amp;"",IOT!$B$3:$B$1012&amp;"",IOT!$I$3:$I$1012,""),"SERVER",_xlfn.XLOOKUP($K572&amp;"",SERVER!$B$3:$B$1009&amp;"",SERVER!$I$3:$I$1009,""),""))</f>
        <v/>
      </c>
      <c r="M572" t="str" cm="1">
        <f t="array" ref="M572">IF($K572="","",_xlfn.SWITCH($I572,"Computer",_xlfn.XLOOKUP($K572&amp;"",COMPUTER!$B$3:$B$1009&amp;"",COMPUTER!$J$3:$J$1009,""),"Display",_xlfn.XLOOKUP($K572&amp;"",DISPLAY!$B$3:$B$1000&amp;"",DISPLAY!$K$3:$K$1000,""),"Network Device",_xlfn.XLOOKUP($K572&amp;"",'NETWORK-DEVICES'!$B$3:$B$987&amp;"",'NETWORK-DEVICES'!$I$3:$I$987,""),"Peripheral",_xlfn.XLOOKUP($K572&amp;"",PERIPHERAL!$B$3:$B$954&amp;"",PERIPHERAL!$J$3:$J$954,""),"Utilities",_xlfn.XLOOKUP($K572&amp;"",UTILITIES!$B$3:$B$953&amp;"",UTILITIES!$I$3:$I$953,""),"IOT",_xlfn.XLOOKUP($K572&amp;"",IOT!$B$3:$B$1012&amp;"",IOT!$J$3:$J$1012,""),"Server",_xlfn.XLOOKUP($K572&amp;"",SERVER!$B$3:$B$1009&amp;"",SERVER!$J$3:$J$1009,""),""))</f>
        <v/>
      </c>
      <c r="N572" s="1" t="str" cm="1">
        <f t="array" ref="N572">IF(OR($K572="",$I572="",$J572=""),"",_xlfn.LET(_xlpm.srcCat,_xlfn.SWITCH($I572,"Computer",_xlfn.XLOOKUP($K572&amp;"",COMPUTER!$B$3:$B$1009&amp;"",COMPUTER!$H$3:$H$1009,""),"Display",_xlfn.XLOOKUP($K572&amp;"",DISPLAY!$B$3:$B$1000&amp;"",DISPLAY!$H$3:$H$1000,""),"Network Device",_xlfn.XLOOKUP($K572&amp;"",'NETWORK-DEVICES'!$B$3:$B$987&amp;"",'NETWORK-DEVICES'!$H$3:$H$987,""),"Peripheral",_xlfn.XLOOKUP($K572&amp;"",PERIPHERAL!$B$3:$B$954&amp;"",PERIPHERAL!$H$3:$H$954,""),"Utilities",_xlfn.XLOOKUP($K572&amp;"",UTILITIES!$B$3:$B$953&amp;"",UTILITIES!$G$3:$G$953,""),"IOT",_xlfn.XLOOKUP($K572&amp;"",IOT!$B$3:$B$1012&amp;"",IOT!$H$3:$H$1012,""),"Server",_xlfn.XLOOKUP($K572&amp;"",SERVER!$B$3:$B$1009&amp;"",SERVER!$H$3:$H$1009,""),""),IF(TRIM(_xlpm.srcCat)&lt;&gt;TRIM($J572),"",_xlfn.SWITCH($I572,"Computer",_xlfn.XLOOKUP($K572&amp;"",COMPUTER!$B$3:$B$1009&amp;"",COMPUTER!$K$3:$K$1009,""),"Display",_xlfn.XLOOKUP($K572&amp;"",DISPLAY!$B$3:$B$1000&amp;"",DISPLAY!$L$3:$L$1000,""),"Network Device",_xlfn.XLOOKUP($K572&amp;"",'NETWORK-DEVICES'!$B$3:$B$987&amp;"",'NETWORK-DEVICES'!$K$3:$K$987,""),"Peripheral",_xlfn.XLOOKUP($K572&amp;"",PERIPHERAL!$B$3:$B$954&amp;"",PERIPHERAL!$K$3:$K$954,""),"Utilities",_xlfn.XLOOKUP($K572&amp;"",UTILITIES!$B$3:$B$953&amp;"",UTILITIES!$J$3:$J$953,""),"IOT",_xlfn.XLOOKUP($K572&amp;"",IOT!$B$3:$B$1012&amp;"",IOT!$K$4:$K$1012,""),"Server",_xlfn.XLOOKUP($K572&amp;"",SERVER!$B$3:$B$1009&amp;"",SERVER!$K$3:$K$1009,""),""))))</f>
        <v/>
      </c>
      <c r="O572" s="1" t="str" cm="1">
        <f t="array" ref="O572">IF(OR($K572="",$I572="",$J572=""),"",_xlfn.LET(_xlpm.srcCat,_xlfn.SWITCH($I572,"Computer",_xlfn.XLOOKUP($K572&amp;"",COMPUTER!$B$3:$B$1009&amp;"",COMPUTER!$H$3:$H$1009,""),"Display",_xlfn.XLOOKUP($K572&amp;"",DISPLAY!$B$3:$B$1000&amp;"",DISPLAY!$H$3:$H$1000,""),"Network Device",_xlfn.XLOOKUP($K572&amp;"",'NETWORK-DEVICES'!$B$3:$B$987&amp;"",'NETWORK-DEVICES'!$H$3:$H$987,""),"Peripheral",_xlfn.XLOOKUP($K572&amp;"",PERIPHERAL!$B$3:$B$954&amp;"",PERIPHERAL!$H$3:$H$954,""),"Utilities",_xlfn.XLOOKUP($K572&amp;"",UTILITIES!$B$3:$B$953&amp;"",UTILITIES!$G$3:$G$953,""),"IOT",_xlfn.XLOOKUP($K572&amp;"",IOT!$B$3:$B$1012&amp;"",IOT!$H$3:$H$1012,""),"Server",_xlfn.XLOOKUP($K572&amp;"",SERVER!$B$3:$B$1009&amp;"",SERVER!$H$3:$H$1009,""),""),IF(TRIM(_xlpm.srcCat)&lt;&gt;TRIM($J572),"",_xlfn.SWITCH($I572,"Computer",_xlfn.XLOOKUP($K572&amp;"",COMPUTER!$B$3:$B$1009&amp;"",COMPUTER!$E$3:$E$1009,""),"Display",_xlfn.XLOOKUP($K572&amp;"",DISPLAY!$B$3:$B$1000&amp;"",DISPLAY!$E$3:$E$1000,""),"Network Device",_xlfn.XLOOKUP($K572&amp;"",'NETWORK-DEVICES'!$B$3:$B$987&amp;"",'NETWORK-DEVICES'!$E$3:$E$987,""),"Peripheral",_xlfn.XLOOKUP($K572&amp;"",PERIPHERAL!$B$3:$B$954&amp;"",PERIPHERAL!$E$3:$E$954,""),"Utilities",_xlfn.XLOOKUP($K572&amp;"",UTILITIES!$B$3:$B$953&amp;"",UTILITIES!$E$3:$E$953,""),"IOT",_xlfn.XLOOKUP($K572&amp;"",IOT!$B$3:$B$1012&amp;"",IOT!$E$3:$E$1012,""),"Server",_xlfn.XLOOKUP($K572&amp;"",SERVER!$B$3:$B$1009&amp;"",SERVER!$E$3:$E$1009,""),""))))</f>
        <v/>
      </c>
      <c r="Q572" s="1" t="str" cm="1">
        <f t="array" ref="Q572">IF(OR($K572="",$I572="",$J572=""),"",_xlfn.LET(_xlpm.srcCat,_xlfn.SWITCH($I572,"Computer",_xlfn.XLOOKUP($K572&amp;"",COMPUTER!$B$3:$B$1009&amp;"",COMPUTER!$H$3:$H$1009,""),"Display",_xlfn.XLOOKUP($K572&amp;"",DISPLAY!$B$3:$B$1000&amp;"",DISPLAY!$H$3:$H$1000,""),"Network Device",_xlfn.XLOOKUP($K572&amp;"",'NETWORK-DEVICES'!$B$3:$B$987&amp;"",'NETWORK-DEVICES'!$H$3:$H$987,""),"Peripheral",_xlfn.XLOOKUP($K572&amp;"",PERIPHERAL!$B$3:$B$954&amp;"",PERIPHERAL!$H$3:$H$954,""),"Utilities",_xlfn.XLOOKUP($K572&amp;"",UTILITIES!$B$3:$B$953&amp;"",UTILITIES!$G$3:$G$953,""),"IOT",_xlfn.XLOOKUP($K572&amp;"",IOT!$B$3:$B$1012&amp;"",IOT!$H$3:$H$1012,""),"Server",_xlfn.XLOOKUP($K572&amp;"",SERVER!$B$3:$B$1009&amp;"",SERVER!$H$3:$H$1009,""),""),IF(TRIM(_xlpm.srcCat)&lt;&gt;TRIM($J572),"",_xlfn.SWITCH($I572,"Computer",_xlfn.XLOOKUP($K572&amp;"",COMPUTER!$B$3:$B$1009&amp;"",COMPUTER!$AM$3:$AM$1009,""),"Display",_xlfn.XLOOKUP($K572&amp;"",DISPLAY!$B$3:$B$1000&amp;"",DISPLAY!$V$3:$V$1000,""),"Network Device",_xlfn.XLOOKUP($K572&amp;"",'NETWORK-DEVICES'!$B$3:$B$987&amp;"",'NETWORK-DEVICES'!$AF$3:$AF$987,""),"Peripheral",_xlfn.XLOOKUP($K572&amp;"",PERIPHERAL!$B$3:$B$954&amp;"",PERIPHERAL!$Y$3:$Y$954,""),"Utilities",_xlfn.XLOOKUP($K572&amp;"",UTILITIES!$B$3:$B$953&amp;"",UTILITIES!$O$3:$O$953,""),"IOT",_xlfn.XLOOKUP($K572&amp;"",IOT!$B$3:$B$1012&amp;"",IOT!$AB$3:$AB$1012,""),"Server",_xlfn.XLOOKUP($K572&amp;"",SERVER!$B$3:$B$1009&amp;"",SERVER!$AB$3:$AB$1009,""),""))))</f>
        <v/>
      </c>
      <c r="R572" s="43" t="str">
        <f>IF(tbl_handover[[#This Row],[Asset Code]]="","",COUNTIF(tbl_handover[Asset Code],tbl_handover[[#This Row],[Asset Code]]))</f>
        <v/>
      </c>
    </row>
    <row r="573" spans="1:18" x14ac:dyDescent="0.25">
      <c r="A573" s="43" t="str">
        <f>IF(B573&lt;&gt;"",SUBTOTAL(3,$B$1:B572),"")</f>
        <v/>
      </c>
      <c r="C573" s="74"/>
      <c r="D573" s="74"/>
      <c r="G573" s="1"/>
      <c r="K573" s="42"/>
      <c r="L573" t="str" cm="1">
        <f t="array" ref="L573">IF($K573="","",_xlfn.SWITCH($I573,"Computer",_xlfn.XLOOKUP($K573&amp;"",COMPUTER!$B$3:$B$1009&amp;"",COMPUTER!$I$3:$I$1009,""),"Display",_xlfn.XLOOKUP($K573&amp;"",DISPLAY!$B$3:$B$1000&amp;"",DISPLAY!$J$3:$J$1000,""),"Network Device",_xlfn.XLOOKUP($K573&amp;"",'NETWORK-DEVICES'!$B$3:$B$987&amp;"",'NETWORK-DEVICES'!$I$3:$I$987,""),"Peripheral",_xlfn.XLOOKUP($K573&amp;"",PERIPHERAL!$B$3:$B$954&amp;"",PERIPHERAL!$I$3:$I$954,""),"Utilities",_xlfn.XLOOKUP($K573&amp;"",UTILITIES!$B$3:$B$953&amp;"",UTILITIES!$H$3:$H$953,""),"IOT",_xlfn.XLOOKUP($K573&amp;"",IOT!$B$3:$B$1012&amp;"",IOT!$I$3:$I$1012,""),"SERVER",_xlfn.XLOOKUP($K573&amp;"",SERVER!$B$3:$B$1009&amp;"",SERVER!$I$3:$I$1009,""),""))</f>
        <v/>
      </c>
      <c r="M573" t="str" cm="1">
        <f t="array" ref="M573">IF($K573="","",_xlfn.SWITCH($I573,"Computer",_xlfn.XLOOKUP($K573&amp;"",COMPUTER!$B$3:$B$1009&amp;"",COMPUTER!$J$3:$J$1009,""),"Display",_xlfn.XLOOKUP($K573&amp;"",DISPLAY!$B$3:$B$1000&amp;"",DISPLAY!$K$3:$K$1000,""),"Network Device",_xlfn.XLOOKUP($K573&amp;"",'NETWORK-DEVICES'!$B$3:$B$987&amp;"",'NETWORK-DEVICES'!$I$3:$I$987,""),"Peripheral",_xlfn.XLOOKUP($K573&amp;"",PERIPHERAL!$B$3:$B$954&amp;"",PERIPHERAL!$J$3:$J$954,""),"Utilities",_xlfn.XLOOKUP($K573&amp;"",UTILITIES!$B$3:$B$953&amp;"",UTILITIES!$I$3:$I$953,""),"IOT",_xlfn.XLOOKUP($K573&amp;"",IOT!$B$3:$B$1012&amp;"",IOT!$J$3:$J$1012,""),"Server",_xlfn.XLOOKUP($K573&amp;"",SERVER!$B$3:$B$1009&amp;"",SERVER!$J$3:$J$1009,""),""))</f>
        <v/>
      </c>
      <c r="N573" s="1" t="str" cm="1">
        <f t="array" ref="N573">IF(OR($K573="",$I573="",$J573=""),"",_xlfn.LET(_xlpm.srcCat,_xlfn.SWITCH($I573,"Computer",_xlfn.XLOOKUP($K573&amp;"",COMPUTER!$B$3:$B$1009&amp;"",COMPUTER!$H$3:$H$1009,""),"Display",_xlfn.XLOOKUP($K573&amp;"",DISPLAY!$B$3:$B$1000&amp;"",DISPLAY!$H$3:$H$1000,""),"Network Device",_xlfn.XLOOKUP($K573&amp;"",'NETWORK-DEVICES'!$B$3:$B$987&amp;"",'NETWORK-DEVICES'!$H$3:$H$987,""),"Peripheral",_xlfn.XLOOKUP($K573&amp;"",PERIPHERAL!$B$3:$B$954&amp;"",PERIPHERAL!$H$3:$H$954,""),"Utilities",_xlfn.XLOOKUP($K573&amp;"",UTILITIES!$B$3:$B$953&amp;"",UTILITIES!$G$3:$G$953,""),"IOT",_xlfn.XLOOKUP($K573&amp;"",IOT!$B$3:$B$1012&amp;"",IOT!$H$3:$H$1012,""),"Server",_xlfn.XLOOKUP($K573&amp;"",SERVER!$B$3:$B$1009&amp;"",SERVER!$H$3:$H$1009,""),""),IF(TRIM(_xlpm.srcCat)&lt;&gt;TRIM($J573),"",_xlfn.SWITCH($I573,"Computer",_xlfn.XLOOKUP($K573&amp;"",COMPUTER!$B$3:$B$1009&amp;"",COMPUTER!$K$3:$K$1009,""),"Display",_xlfn.XLOOKUP($K573&amp;"",DISPLAY!$B$3:$B$1000&amp;"",DISPLAY!$L$3:$L$1000,""),"Network Device",_xlfn.XLOOKUP($K573&amp;"",'NETWORK-DEVICES'!$B$3:$B$987&amp;"",'NETWORK-DEVICES'!$K$3:$K$987,""),"Peripheral",_xlfn.XLOOKUP($K573&amp;"",PERIPHERAL!$B$3:$B$954&amp;"",PERIPHERAL!$K$3:$K$954,""),"Utilities",_xlfn.XLOOKUP($K573&amp;"",UTILITIES!$B$3:$B$953&amp;"",UTILITIES!$J$3:$J$953,""),"IOT",_xlfn.XLOOKUP($K573&amp;"",IOT!$B$3:$B$1012&amp;"",IOT!$K$4:$K$1012,""),"Server",_xlfn.XLOOKUP($K573&amp;"",SERVER!$B$3:$B$1009&amp;"",SERVER!$K$3:$K$1009,""),""))))</f>
        <v/>
      </c>
      <c r="O573" s="1" t="str" cm="1">
        <f t="array" ref="O573">IF(OR($K573="",$I573="",$J573=""),"",_xlfn.LET(_xlpm.srcCat,_xlfn.SWITCH($I573,"Computer",_xlfn.XLOOKUP($K573&amp;"",COMPUTER!$B$3:$B$1009&amp;"",COMPUTER!$H$3:$H$1009,""),"Display",_xlfn.XLOOKUP($K573&amp;"",DISPLAY!$B$3:$B$1000&amp;"",DISPLAY!$H$3:$H$1000,""),"Network Device",_xlfn.XLOOKUP($K573&amp;"",'NETWORK-DEVICES'!$B$3:$B$987&amp;"",'NETWORK-DEVICES'!$H$3:$H$987,""),"Peripheral",_xlfn.XLOOKUP($K573&amp;"",PERIPHERAL!$B$3:$B$954&amp;"",PERIPHERAL!$H$3:$H$954,""),"Utilities",_xlfn.XLOOKUP($K573&amp;"",UTILITIES!$B$3:$B$953&amp;"",UTILITIES!$G$3:$G$953,""),"IOT",_xlfn.XLOOKUP($K573&amp;"",IOT!$B$3:$B$1012&amp;"",IOT!$H$3:$H$1012,""),"Server",_xlfn.XLOOKUP($K573&amp;"",SERVER!$B$3:$B$1009&amp;"",SERVER!$H$3:$H$1009,""),""),IF(TRIM(_xlpm.srcCat)&lt;&gt;TRIM($J573),"",_xlfn.SWITCH($I573,"Computer",_xlfn.XLOOKUP($K573&amp;"",COMPUTER!$B$3:$B$1009&amp;"",COMPUTER!$E$3:$E$1009,""),"Display",_xlfn.XLOOKUP($K573&amp;"",DISPLAY!$B$3:$B$1000&amp;"",DISPLAY!$E$3:$E$1000,""),"Network Device",_xlfn.XLOOKUP($K573&amp;"",'NETWORK-DEVICES'!$B$3:$B$987&amp;"",'NETWORK-DEVICES'!$E$3:$E$987,""),"Peripheral",_xlfn.XLOOKUP($K573&amp;"",PERIPHERAL!$B$3:$B$954&amp;"",PERIPHERAL!$E$3:$E$954,""),"Utilities",_xlfn.XLOOKUP($K573&amp;"",UTILITIES!$B$3:$B$953&amp;"",UTILITIES!$E$3:$E$953,""),"IOT",_xlfn.XLOOKUP($K573&amp;"",IOT!$B$3:$B$1012&amp;"",IOT!$E$3:$E$1012,""),"Server",_xlfn.XLOOKUP($K573&amp;"",SERVER!$B$3:$B$1009&amp;"",SERVER!$E$3:$E$1009,""),""))))</f>
        <v/>
      </c>
      <c r="Q573" s="1" t="str" cm="1">
        <f t="array" ref="Q573">IF(OR($K573="",$I573="",$J573=""),"",_xlfn.LET(_xlpm.srcCat,_xlfn.SWITCH($I573,"Computer",_xlfn.XLOOKUP($K573&amp;"",COMPUTER!$B$3:$B$1009&amp;"",COMPUTER!$H$3:$H$1009,""),"Display",_xlfn.XLOOKUP($K573&amp;"",DISPLAY!$B$3:$B$1000&amp;"",DISPLAY!$H$3:$H$1000,""),"Network Device",_xlfn.XLOOKUP($K573&amp;"",'NETWORK-DEVICES'!$B$3:$B$987&amp;"",'NETWORK-DEVICES'!$H$3:$H$987,""),"Peripheral",_xlfn.XLOOKUP($K573&amp;"",PERIPHERAL!$B$3:$B$954&amp;"",PERIPHERAL!$H$3:$H$954,""),"Utilities",_xlfn.XLOOKUP($K573&amp;"",UTILITIES!$B$3:$B$953&amp;"",UTILITIES!$G$3:$G$953,""),"IOT",_xlfn.XLOOKUP($K573&amp;"",IOT!$B$3:$B$1012&amp;"",IOT!$H$3:$H$1012,""),"Server",_xlfn.XLOOKUP($K573&amp;"",SERVER!$B$3:$B$1009&amp;"",SERVER!$H$3:$H$1009,""),""),IF(TRIM(_xlpm.srcCat)&lt;&gt;TRIM($J573),"",_xlfn.SWITCH($I573,"Computer",_xlfn.XLOOKUP($K573&amp;"",COMPUTER!$B$3:$B$1009&amp;"",COMPUTER!$AM$3:$AM$1009,""),"Display",_xlfn.XLOOKUP($K573&amp;"",DISPLAY!$B$3:$B$1000&amp;"",DISPLAY!$V$3:$V$1000,""),"Network Device",_xlfn.XLOOKUP($K573&amp;"",'NETWORK-DEVICES'!$B$3:$B$987&amp;"",'NETWORK-DEVICES'!$AF$3:$AF$987,""),"Peripheral",_xlfn.XLOOKUP($K573&amp;"",PERIPHERAL!$B$3:$B$954&amp;"",PERIPHERAL!$Y$3:$Y$954,""),"Utilities",_xlfn.XLOOKUP($K573&amp;"",UTILITIES!$B$3:$B$953&amp;"",UTILITIES!$O$3:$O$953,""),"IOT",_xlfn.XLOOKUP($K573&amp;"",IOT!$B$3:$B$1012&amp;"",IOT!$AB$3:$AB$1012,""),"Server",_xlfn.XLOOKUP($K573&amp;"",SERVER!$B$3:$B$1009&amp;"",SERVER!$AB$3:$AB$1009,""),""))))</f>
        <v/>
      </c>
      <c r="R573" s="43" t="str">
        <f>IF(tbl_handover[[#This Row],[Asset Code]]="","",COUNTIF(tbl_handover[Asset Code],tbl_handover[[#This Row],[Asset Code]]))</f>
        <v/>
      </c>
    </row>
    <row r="574" spans="1:18" x14ac:dyDescent="0.25">
      <c r="A574" s="43" t="str">
        <f>IF(B574&lt;&gt;"",SUBTOTAL(3,$B$1:B573),"")</f>
        <v/>
      </c>
      <c r="C574" s="74"/>
      <c r="D574" s="74"/>
      <c r="G574" s="1"/>
      <c r="K574" s="42"/>
      <c r="L574" t="str" cm="1">
        <f t="array" ref="L574">IF($K574="","",_xlfn.SWITCH($I574,"Computer",_xlfn.XLOOKUP($K574&amp;"",COMPUTER!$B$3:$B$1009&amp;"",COMPUTER!$I$3:$I$1009,""),"Display",_xlfn.XLOOKUP($K574&amp;"",DISPLAY!$B$3:$B$1000&amp;"",DISPLAY!$J$3:$J$1000,""),"Network Device",_xlfn.XLOOKUP($K574&amp;"",'NETWORK-DEVICES'!$B$3:$B$987&amp;"",'NETWORK-DEVICES'!$I$3:$I$987,""),"Peripheral",_xlfn.XLOOKUP($K574&amp;"",PERIPHERAL!$B$3:$B$954&amp;"",PERIPHERAL!$I$3:$I$954,""),"Utilities",_xlfn.XLOOKUP($K574&amp;"",UTILITIES!$B$3:$B$953&amp;"",UTILITIES!$H$3:$H$953,""),"IOT",_xlfn.XLOOKUP($K574&amp;"",IOT!$B$3:$B$1012&amp;"",IOT!$I$3:$I$1012,""),"SERVER",_xlfn.XLOOKUP($K574&amp;"",SERVER!$B$3:$B$1009&amp;"",SERVER!$I$3:$I$1009,""),""))</f>
        <v/>
      </c>
      <c r="M574" t="str" cm="1">
        <f t="array" ref="M574">IF($K574="","",_xlfn.SWITCH($I574,"Computer",_xlfn.XLOOKUP($K574&amp;"",COMPUTER!$B$3:$B$1009&amp;"",COMPUTER!$J$3:$J$1009,""),"Display",_xlfn.XLOOKUP($K574&amp;"",DISPLAY!$B$3:$B$1000&amp;"",DISPLAY!$K$3:$K$1000,""),"Network Device",_xlfn.XLOOKUP($K574&amp;"",'NETWORK-DEVICES'!$B$3:$B$987&amp;"",'NETWORK-DEVICES'!$I$3:$I$987,""),"Peripheral",_xlfn.XLOOKUP($K574&amp;"",PERIPHERAL!$B$3:$B$954&amp;"",PERIPHERAL!$J$3:$J$954,""),"Utilities",_xlfn.XLOOKUP($K574&amp;"",UTILITIES!$B$3:$B$953&amp;"",UTILITIES!$I$3:$I$953,""),"IOT",_xlfn.XLOOKUP($K574&amp;"",IOT!$B$3:$B$1012&amp;"",IOT!$J$3:$J$1012,""),"Server",_xlfn.XLOOKUP($K574&amp;"",SERVER!$B$3:$B$1009&amp;"",SERVER!$J$3:$J$1009,""),""))</f>
        <v/>
      </c>
      <c r="N574" s="1" t="str" cm="1">
        <f t="array" ref="N574">IF(OR($K574="",$I574="",$J574=""),"",_xlfn.LET(_xlpm.srcCat,_xlfn.SWITCH($I574,"Computer",_xlfn.XLOOKUP($K574&amp;"",COMPUTER!$B$3:$B$1009&amp;"",COMPUTER!$H$3:$H$1009,""),"Display",_xlfn.XLOOKUP($K574&amp;"",DISPLAY!$B$3:$B$1000&amp;"",DISPLAY!$H$3:$H$1000,""),"Network Device",_xlfn.XLOOKUP($K574&amp;"",'NETWORK-DEVICES'!$B$3:$B$987&amp;"",'NETWORK-DEVICES'!$H$3:$H$987,""),"Peripheral",_xlfn.XLOOKUP($K574&amp;"",PERIPHERAL!$B$3:$B$954&amp;"",PERIPHERAL!$H$3:$H$954,""),"Utilities",_xlfn.XLOOKUP($K574&amp;"",UTILITIES!$B$3:$B$953&amp;"",UTILITIES!$G$3:$G$953,""),"IOT",_xlfn.XLOOKUP($K574&amp;"",IOT!$B$3:$B$1012&amp;"",IOT!$H$3:$H$1012,""),"Server",_xlfn.XLOOKUP($K574&amp;"",SERVER!$B$3:$B$1009&amp;"",SERVER!$H$3:$H$1009,""),""),IF(TRIM(_xlpm.srcCat)&lt;&gt;TRIM($J574),"",_xlfn.SWITCH($I574,"Computer",_xlfn.XLOOKUP($K574&amp;"",COMPUTER!$B$3:$B$1009&amp;"",COMPUTER!$K$3:$K$1009,""),"Display",_xlfn.XLOOKUP($K574&amp;"",DISPLAY!$B$3:$B$1000&amp;"",DISPLAY!$L$3:$L$1000,""),"Network Device",_xlfn.XLOOKUP($K574&amp;"",'NETWORK-DEVICES'!$B$3:$B$987&amp;"",'NETWORK-DEVICES'!$K$3:$K$987,""),"Peripheral",_xlfn.XLOOKUP($K574&amp;"",PERIPHERAL!$B$3:$B$954&amp;"",PERIPHERAL!$K$3:$K$954,""),"Utilities",_xlfn.XLOOKUP($K574&amp;"",UTILITIES!$B$3:$B$953&amp;"",UTILITIES!$J$3:$J$953,""),"IOT",_xlfn.XLOOKUP($K574&amp;"",IOT!$B$3:$B$1012&amp;"",IOT!$K$4:$K$1012,""),"Server",_xlfn.XLOOKUP($K574&amp;"",SERVER!$B$3:$B$1009&amp;"",SERVER!$K$3:$K$1009,""),""))))</f>
        <v/>
      </c>
      <c r="O574" s="1" t="str" cm="1">
        <f t="array" ref="O574">IF(OR($K574="",$I574="",$J574=""),"",_xlfn.LET(_xlpm.srcCat,_xlfn.SWITCH($I574,"Computer",_xlfn.XLOOKUP($K574&amp;"",COMPUTER!$B$3:$B$1009&amp;"",COMPUTER!$H$3:$H$1009,""),"Display",_xlfn.XLOOKUP($K574&amp;"",DISPLAY!$B$3:$B$1000&amp;"",DISPLAY!$H$3:$H$1000,""),"Network Device",_xlfn.XLOOKUP($K574&amp;"",'NETWORK-DEVICES'!$B$3:$B$987&amp;"",'NETWORK-DEVICES'!$H$3:$H$987,""),"Peripheral",_xlfn.XLOOKUP($K574&amp;"",PERIPHERAL!$B$3:$B$954&amp;"",PERIPHERAL!$H$3:$H$954,""),"Utilities",_xlfn.XLOOKUP($K574&amp;"",UTILITIES!$B$3:$B$953&amp;"",UTILITIES!$G$3:$G$953,""),"IOT",_xlfn.XLOOKUP($K574&amp;"",IOT!$B$3:$B$1012&amp;"",IOT!$H$3:$H$1012,""),"Server",_xlfn.XLOOKUP($K574&amp;"",SERVER!$B$3:$B$1009&amp;"",SERVER!$H$3:$H$1009,""),""),IF(TRIM(_xlpm.srcCat)&lt;&gt;TRIM($J574),"",_xlfn.SWITCH($I574,"Computer",_xlfn.XLOOKUP($K574&amp;"",COMPUTER!$B$3:$B$1009&amp;"",COMPUTER!$E$3:$E$1009,""),"Display",_xlfn.XLOOKUP($K574&amp;"",DISPLAY!$B$3:$B$1000&amp;"",DISPLAY!$E$3:$E$1000,""),"Network Device",_xlfn.XLOOKUP($K574&amp;"",'NETWORK-DEVICES'!$B$3:$B$987&amp;"",'NETWORK-DEVICES'!$E$3:$E$987,""),"Peripheral",_xlfn.XLOOKUP($K574&amp;"",PERIPHERAL!$B$3:$B$954&amp;"",PERIPHERAL!$E$3:$E$954,""),"Utilities",_xlfn.XLOOKUP($K574&amp;"",UTILITIES!$B$3:$B$953&amp;"",UTILITIES!$E$3:$E$953,""),"IOT",_xlfn.XLOOKUP($K574&amp;"",IOT!$B$3:$B$1012&amp;"",IOT!$E$3:$E$1012,""),"Server",_xlfn.XLOOKUP($K574&amp;"",SERVER!$B$3:$B$1009&amp;"",SERVER!$E$3:$E$1009,""),""))))</f>
        <v/>
      </c>
      <c r="Q574" s="1" t="str" cm="1">
        <f t="array" ref="Q574">IF(OR($K574="",$I574="",$J574=""),"",_xlfn.LET(_xlpm.srcCat,_xlfn.SWITCH($I574,"Computer",_xlfn.XLOOKUP($K574&amp;"",COMPUTER!$B$3:$B$1009&amp;"",COMPUTER!$H$3:$H$1009,""),"Display",_xlfn.XLOOKUP($K574&amp;"",DISPLAY!$B$3:$B$1000&amp;"",DISPLAY!$H$3:$H$1000,""),"Network Device",_xlfn.XLOOKUP($K574&amp;"",'NETWORK-DEVICES'!$B$3:$B$987&amp;"",'NETWORK-DEVICES'!$H$3:$H$987,""),"Peripheral",_xlfn.XLOOKUP($K574&amp;"",PERIPHERAL!$B$3:$B$954&amp;"",PERIPHERAL!$H$3:$H$954,""),"Utilities",_xlfn.XLOOKUP($K574&amp;"",UTILITIES!$B$3:$B$953&amp;"",UTILITIES!$G$3:$G$953,""),"IOT",_xlfn.XLOOKUP($K574&amp;"",IOT!$B$3:$B$1012&amp;"",IOT!$H$3:$H$1012,""),"Server",_xlfn.XLOOKUP($K574&amp;"",SERVER!$B$3:$B$1009&amp;"",SERVER!$H$3:$H$1009,""),""),IF(TRIM(_xlpm.srcCat)&lt;&gt;TRIM($J574),"",_xlfn.SWITCH($I574,"Computer",_xlfn.XLOOKUP($K574&amp;"",COMPUTER!$B$3:$B$1009&amp;"",COMPUTER!$AM$3:$AM$1009,""),"Display",_xlfn.XLOOKUP($K574&amp;"",DISPLAY!$B$3:$B$1000&amp;"",DISPLAY!$V$3:$V$1000,""),"Network Device",_xlfn.XLOOKUP($K574&amp;"",'NETWORK-DEVICES'!$B$3:$B$987&amp;"",'NETWORK-DEVICES'!$AF$3:$AF$987,""),"Peripheral",_xlfn.XLOOKUP($K574&amp;"",PERIPHERAL!$B$3:$B$954&amp;"",PERIPHERAL!$Y$3:$Y$954,""),"Utilities",_xlfn.XLOOKUP($K574&amp;"",UTILITIES!$B$3:$B$953&amp;"",UTILITIES!$O$3:$O$953,""),"IOT",_xlfn.XLOOKUP($K574&amp;"",IOT!$B$3:$B$1012&amp;"",IOT!$AB$3:$AB$1012,""),"Server",_xlfn.XLOOKUP($K574&amp;"",SERVER!$B$3:$B$1009&amp;"",SERVER!$AB$3:$AB$1009,""),""))))</f>
        <v/>
      </c>
      <c r="R574" s="43" t="str">
        <f>IF(tbl_handover[[#This Row],[Asset Code]]="","",COUNTIF(tbl_handover[Asset Code],tbl_handover[[#This Row],[Asset Code]]))</f>
        <v/>
      </c>
    </row>
    <row r="575" spans="1:18" x14ac:dyDescent="0.25">
      <c r="A575" s="43" t="str">
        <f>IF(B575&lt;&gt;"",SUBTOTAL(3,$B$1:B574),"")</f>
        <v/>
      </c>
      <c r="C575" s="74"/>
      <c r="D575" s="74"/>
      <c r="G575" s="1"/>
      <c r="K575" s="42"/>
      <c r="L575" t="str" cm="1">
        <f t="array" ref="L575">IF($K575="","",_xlfn.SWITCH($I575,"Computer",_xlfn.XLOOKUP($K575&amp;"",COMPUTER!$B$3:$B$1009&amp;"",COMPUTER!$I$3:$I$1009,""),"Display",_xlfn.XLOOKUP($K575&amp;"",DISPLAY!$B$3:$B$1000&amp;"",DISPLAY!$J$3:$J$1000,""),"Network Device",_xlfn.XLOOKUP($K575&amp;"",'NETWORK-DEVICES'!$B$3:$B$987&amp;"",'NETWORK-DEVICES'!$I$3:$I$987,""),"Peripheral",_xlfn.XLOOKUP($K575&amp;"",PERIPHERAL!$B$3:$B$954&amp;"",PERIPHERAL!$I$3:$I$954,""),"Utilities",_xlfn.XLOOKUP($K575&amp;"",UTILITIES!$B$3:$B$953&amp;"",UTILITIES!$H$3:$H$953,""),"IOT",_xlfn.XLOOKUP($K575&amp;"",IOT!$B$3:$B$1012&amp;"",IOT!$I$3:$I$1012,""),"SERVER",_xlfn.XLOOKUP($K575&amp;"",SERVER!$B$3:$B$1009&amp;"",SERVER!$I$3:$I$1009,""),""))</f>
        <v/>
      </c>
      <c r="M575" t="str" cm="1">
        <f t="array" ref="M575">IF($K575="","",_xlfn.SWITCH($I575,"Computer",_xlfn.XLOOKUP($K575&amp;"",COMPUTER!$B$3:$B$1009&amp;"",COMPUTER!$J$3:$J$1009,""),"Display",_xlfn.XLOOKUP($K575&amp;"",DISPLAY!$B$3:$B$1000&amp;"",DISPLAY!$K$3:$K$1000,""),"Network Device",_xlfn.XLOOKUP($K575&amp;"",'NETWORK-DEVICES'!$B$3:$B$987&amp;"",'NETWORK-DEVICES'!$I$3:$I$987,""),"Peripheral",_xlfn.XLOOKUP($K575&amp;"",PERIPHERAL!$B$3:$B$954&amp;"",PERIPHERAL!$J$3:$J$954,""),"Utilities",_xlfn.XLOOKUP($K575&amp;"",UTILITIES!$B$3:$B$953&amp;"",UTILITIES!$I$3:$I$953,""),"IOT",_xlfn.XLOOKUP($K575&amp;"",IOT!$B$3:$B$1012&amp;"",IOT!$J$3:$J$1012,""),"Server",_xlfn.XLOOKUP($K575&amp;"",SERVER!$B$3:$B$1009&amp;"",SERVER!$J$3:$J$1009,""),""))</f>
        <v/>
      </c>
      <c r="N575" s="1" t="str" cm="1">
        <f t="array" ref="N575">IF(OR($K575="",$I575="",$J575=""),"",_xlfn.LET(_xlpm.srcCat,_xlfn.SWITCH($I575,"Computer",_xlfn.XLOOKUP($K575&amp;"",COMPUTER!$B$3:$B$1009&amp;"",COMPUTER!$H$3:$H$1009,""),"Display",_xlfn.XLOOKUP($K575&amp;"",DISPLAY!$B$3:$B$1000&amp;"",DISPLAY!$H$3:$H$1000,""),"Network Device",_xlfn.XLOOKUP($K575&amp;"",'NETWORK-DEVICES'!$B$3:$B$987&amp;"",'NETWORK-DEVICES'!$H$3:$H$987,""),"Peripheral",_xlfn.XLOOKUP($K575&amp;"",PERIPHERAL!$B$3:$B$954&amp;"",PERIPHERAL!$H$3:$H$954,""),"Utilities",_xlfn.XLOOKUP($K575&amp;"",UTILITIES!$B$3:$B$953&amp;"",UTILITIES!$G$3:$G$953,""),"IOT",_xlfn.XLOOKUP($K575&amp;"",IOT!$B$3:$B$1012&amp;"",IOT!$H$3:$H$1012,""),"Server",_xlfn.XLOOKUP($K575&amp;"",SERVER!$B$3:$B$1009&amp;"",SERVER!$H$3:$H$1009,""),""),IF(TRIM(_xlpm.srcCat)&lt;&gt;TRIM($J575),"",_xlfn.SWITCH($I575,"Computer",_xlfn.XLOOKUP($K575&amp;"",COMPUTER!$B$3:$B$1009&amp;"",COMPUTER!$K$3:$K$1009,""),"Display",_xlfn.XLOOKUP($K575&amp;"",DISPLAY!$B$3:$B$1000&amp;"",DISPLAY!$L$3:$L$1000,""),"Network Device",_xlfn.XLOOKUP($K575&amp;"",'NETWORK-DEVICES'!$B$3:$B$987&amp;"",'NETWORK-DEVICES'!$K$3:$K$987,""),"Peripheral",_xlfn.XLOOKUP($K575&amp;"",PERIPHERAL!$B$3:$B$954&amp;"",PERIPHERAL!$K$3:$K$954,""),"Utilities",_xlfn.XLOOKUP($K575&amp;"",UTILITIES!$B$3:$B$953&amp;"",UTILITIES!$J$3:$J$953,""),"IOT",_xlfn.XLOOKUP($K575&amp;"",IOT!$B$3:$B$1012&amp;"",IOT!$K$4:$K$1012,""),"Server",_xlfn.XLOOKUP($K575&amp;"",SERVER!$B$3:$B$1009&amp;"",SERVER!$K$3:$K$1009,""),""))))</f>
        <v/>
      </c>
      <c r="O575" s="1" t="str" cm="1">
        <f t="array" ref="O575">IF(OR($K575="",$I575="",$J575=""),"",_xlfn.LET(_xlpm.srcCat,_xlfn.SWITCH($I575,"Computer",_xlfn.XLOOKUP($K575&amp;"",COMPUTER!$B$3:$B$1009&amp;"",COMPUTER!$H$3:$H$1009,""),"Display",_xlfn.XLOOKUP($K575&amp;"",DISPLAY!$B$3:$B$1000&amp;"",DISPLAY!$H$3:$H$1000,""),"Network Device",_xlfn.XLOOKUP($K575&amp;"",'NETWORK-DEVICES'!$B$3:$B$987&amp;"",'NETWORK-DEVICES'!$H$3:$H$987,""),"Peripheral",_xlfn.XLOOKUP($K575&amp;"",PERIPHERAL!$B$3:$B$954&amp;"",PERIPHERAL!$H$3:$H$954,""),"Utilities",_xlfn.XLOOKUP($K575&amp;"",UTILITIES!$B$3:$B$953&amp;"",UTILITIES!$G$3:$G$953,""),"IOT",_xlfn.XLOOKUP($K575&amp;"",IOT!$B$3:$B$1012&amp;"",IOT!$H$3:$H$1012,""),"Server",_xlfn.XLOOKUP($K575&amp;"",SERVER!$B$3:$B$1009&amp;"",SERVER!$H$3:$H$1009,""),""),IF(TRIM(_xlpm.srcCat)&lt;&gt;TRIM($J575),"",_xlfn.SWITCH($I575,"Computer",_xlfn.XLOOKUP($K575&amp;"",COMPUTER!$B$3:$B$1009&amp;"",COMPUTER!$E$3:$E$1009,""),"Display",_xlfn.XLOOKUP($K575&amp;"",DISPLAY!$B$3:$B$1000&amp;"",DISPLAY!$E$3:$E$1000,""),"Network Device",_xlfn.XLOOKUP($K575&amp;"",'NETWORK-DEVICES'!$B$3:$B$987&amp;"",'NETWORK-DEVICES'!$E$3:$E$987,""),"Peripheral",_xlfn.XLOOKUP($K575&amp;"",PERIPHERAL!$B$3:$B$954&amp;"",PERIPHERAL!$E$3:$E$954,""),"Utilities",_xlfn.XLOOKUP($K575&amp;"",UTILITIES!$B$3:$B$953&amp;"",UTILITIES!$E$3:$E$953,""),"IOT",_xlfn.XLOOKUP($K575&amp;"",IOT!$B$3:$B$1012&amp;"",IOT!$E$3:$E$1012,""),"Server",_xlfn.XLOOKUP($K575&amp;"",SERVER!$B$3:$B$1009&amp;"",SERVER!$E$3:$E$1009,""),""))))</f>
        <v/>
      </c>
      <c r="Q575" s="1" t="str" cm="1">
        <f t="array" ref="Q575">IF(OR($K575="",$I575="",$J575=""),"",_xlfn.LET(_xlpm.srcCat,_xlfn.SWITCH($I575,"Computer",_xlfn.XLOOKUP($K575&amp;"",COMPUTER!$B$3:$B$1009&amp;"",COMPUTER!$H$3:$H$1009,""),"Display",_xlfn.XLOOKUP($K575&amp;"",DISPLAY!$B$3:$B$1000&amp;"",DISPLAY!$H$3:$H$1000,""),"Network Device",_xlfn.XLOOKUP($K575&amp;"",'NETWORK-DEVICES'!$B$3:$B$987&amp;"",'NETWORK-DEVICES'!$H$3:$H$987,""),"Peripheral",_xlfn.XLOOKUP($K575&amp;"",PERIPHERAL!$B$3:$B$954&amp;"",PERIPHERAL!$H$3:$H$954,""),"Utilities",_xlfn.XLOOKUP($K575&amp;"",UTILITIES!$B$3:$B$953&amp;"",UTILITIES!$G$3:$G$953,""),"IOT",_xlfn.XLOOKUP($K575&amp;"",IOT!$B$3:$B$1012&amp;"",IOT!$H$3:$H$1012,""),"Server",_xlfn.XLOOKUP($K575&amp;"",SERVER!$B$3:$B$1009&amp;"",SERVER!$H$3:$H$1009,""),""),IF(TRIM(_xlpm.srcCat)&lt;&gt;TRIM($J575),"",_xlfn.SWITCH($I575,"Computer",_xlfn.XLOOKUP($K575&amp;"",COMPUTER!$B$3:$B$1009&amp;"",COMPUTER!$AM$3:$AM$1009,""),"Display",_xlfn.XLOOKUP($K575&amp;"",DISPLAY!$B$3:$B$1000&amp;"",DISPLAY!$V$3:$V$1000,""),"Network Device",_xlfn.XLOOKUP($K575&amp;"",'NETWORK-DEVICES'!$B$3:$B$987&amp;"",'NETWORK-DEVICES'!$AF$3:$AF$987,""),"Peripheral",_xlfn.XLOOKUP($K575&amp;"",PERIPHERAL!$B$3:$B$954&amp;"",PERIPHERAL!$Y$3:$Y$954,""),"Utilities",_xlfn.XLOOKUP($K575&amp;"",UTILITIES!$B$3:$B$953&amp;"",UTILITIES!$O$3:$O$953,""),"IOT",_xlfn.XLOOKUP($K575&amp;"",IOT!$B$3:$B$1012&amp;"",IOT!$AB$3:$AB$1012,""),"Server",_xlfn.XLOOKUP($K575&amp;"",SERVER!$B$3:$B$1009&amp;"",SERVER!$AB$3:$AB$1009,""),""))))</f>
        <v/>
      </c>
      <c r="R575" s="43" t="str">
        <f>IF(tbl_handover[[#This Row],[Asset Code]]="","",COUNTIF(tbl_handover[Asset Code],tbl_handover[[#This Row],[Asset Code]]))</f>
        <v/>
      </c>
    </row>
    <row r="576" spans="1:18" x14ac:dyDescent="0.25">
      <c r="A576" s="43" t="str">
        <f>IF(B576&lt;&gt;"",SUBTOTAL(3,$B$1:B575),"")</f>
        <v/>
      </c>
      <c r="C576" s="74"/>
      <c r="D576" s="74"/>
      <c r="G576" s="1"/>
      <c r="K576" s="42"/>
      <c r="L576" t="str" cm="1">
        <f t="array" ref="L576">IF($K576="","",_xlfn.SWITCH($I576,"Computer",_xlfn.XLOOKUP($K576&amp;"",COMPUTER!$B$3:$B$1009&amp;"",COMPUTER!$I$3:$I$1009,""),"Display",_xlfn.XLOOKUP($K576&amp;"",DISPLAY!$B$3:$B$1000&amp;"",DISPLAY!$J$3:$J$1000,""),"Network Device",_xlfn.XLOOKUP($K576&amp;"",'NETWORK-DEVICES'!$B$3:$B$987&amp;"",'NETWORK-DEVICES'!$I$3:$I$987,""),"Peripheral",_xlfn.XLOOKUP($K576&amp;"",PERIPHERAL!$B$3:$B$954&amp;"",PERIPHERAL!$I$3:$I$954,""),"Utilities",_xlfn.XLOOKUP($K576&amp;"",UTILITIES!$B$3:$B$953&amp;"",UTILITIES!$H$3:$H$953,""),"IOT",_xlfn.XLOOKUP($K576&amp;"",IOT!$B$3:$B$1012&amp;"",IOT!$I$3:$I$1012,""),"SERVER",_xlfn.XLOOKUP($K576&amp;"",SERVER!$B$3:$B$1009&amp;"",SERVER!$I$3:$I$1009,""),""))</f>
        <v/>
      </c>
      <c r="M576" t="str" cm="1">
        <f t="array" ref="M576">IF($K576="","",_xlfn.SWITCH($I576,"Computer",_xlfn.XLOOKUP($K576&amp;"",COMPUTER!$B$3:$B$1009&amp;"",COMPUTER!$J$3:$J$1009,""),"Display",_xlfn.XLOOKUP($K576&amp;"",DISPLAY!$B$3:$B$1000&amp;"",DISPLAY!$K$3:$K$1000,""),"Network Device",_xlfn.XLOOKUP($K576&amp;"",'NETWORK-DEVICES'!$B$3:$B$987&amp;"",'NETWORK-DEVICES'!$I$3:$I$987,""),"Peripheral",_xlfn.XLOOKUP($K576&amp;"",PERIPHERAL!$B$3:$B$954&amp;"",PERIPHERAL!$J$3:$J$954,""),"Utilities",_xlfn.XLOOKUP($K576&amp;"",UTILITIES!$B$3:$B$953&amp;"",UTILITIES!$I$3:$I$953,""),"IOT",_xlfn.XLOOKUP($K576&amp;"",IOT!$B$3:$B$1012&amp;"",IOT!$J$3:$J$1012,""),"Server",_xlfn.XLOOKUP($K576&amp;"",SERVER!$B$3:$B$1009&amp;"",SERVER!$J$3:$J$1009,""),""))</f>
        <v/>
      </c>
      <c r="N576" s="1" t="str" cm="1">
        <f t="array" ref="N576">IF(OR($K576="",$I576="",$J576=""),"",_xlfn.LET(_xlpm.srcCat,_xlfn.SWITCH($I576,"Computer",_xlfn.XLOOKUP($K576&amp;"",COMPUTER!$B$3:$B$1009&amp;"",COMPUTER!$H$3:$H$1009,""),"Display",_xlfn.XLOOKUP($K576&amp;"",DISPLAY!$B$3:$B$1000&amp;"",DISPLAY!$H$3:$H$1000,""),"Network Device",_xlfn.XLOOKUP($K576&amp;"",'NETWORK-DEVICES'!$B$3:$B$987&amp;"",'NETWORK-DEVICES'!$H$3:$H$987,""),"Peripheral",_xlfn.XLOOKUP($K576&amp;"",PERIPHERAL!$B$3:$B$954&amp;"",PERIPHERAL!$H$3:$H$954,""),"Utilities",_xlfn.XLOOKUP($K576&amp;"",UTILITIES!$B$3:$B$953&amp;"",UTILITIES!$G$3:$G$953,""),"IOT",_xlfn.XLOOKUP($K576&amp;"",IOT!$B$3:$B$1012&amp;"",IOT!$H$3:$H$1012,""),"Server",_xlfn.XLOOKUP($K576&amp;"",SERVER!$B$3:$B$1009&amp;"",SERVER!$H$3:$H$1009,""),""),IF(TRIM(_xlpm.srcCat)&lt;&gt;TRIM($J576),"",_xlfn.SWITCH($I576,"Computer",_xlfn.XLOOKUP($K576&amp;"",COMPUTER!$B$3:$B$1009&amp;"",COMPUTER!$K$3:$K$1009,""),"Display",_xlfn.XLOOKUP($K576&amp;"",DISPLAY!$B$3:$B$1000&amp;"",DISPLAY!$L$3:$L$1000,""),"Network Device",_xlfn.XLOOKUP($K576&amp;"",'NETWORK-DEVICES'!$B$3:$B$987&amp;"",'NETWORK-DEVICES'!$K$3:$K$987,""),"Peripheral",_xlfn.XLOOKUP($K576&amp;"",PERIPHERAL!$B$3:$B$954&amp;"",PERIPHERAL!$K$3:$K$954,""),"Utilities",_xlfn.XLOOKUP($K576&amp;"",UTILITIES!$B$3:$B$953&amp;"",UTILITIES!$J$3:$J$953,""),"IOT",_xlfn.XLOOKUP($K576&amp;"",IOT!$B$3:$B$1012&amp;"",IOT!$K$4:$K$1012,""),"Server",_xlfn.XLOOKUP($K576&amp;"",SERVER!$B$3:$B$1009&amp;"",SERVER!$K$3:$K$1009,""),""))))</f>
        <v/>
      </c>
      <c r="O576" s="1" t="str" cm="1">
        <f t="array" ref="O576">IF(OR($K576="",$I576="",$J576=""),"",_xlfn.LET(_xlpm.srcCat,_xlfn.SWITCH($I576,"Computer",_xlfn.XLOOKUP($K576&amp;"",COMPUTER!$B$3:$B$1009&amp;"",COMPUTER!$H$3:$H$1009,""),"Display",_xlfn.XLOOKUP($K576&amp;"",DISPLAY!$B$3:$B$1000&amp;"",DISPLAY!$H$3:$H$1000,""),"Network Device",_xlfn.XLOOKUP($K576&amp;"",'NETWORK-DEVICES'!$B$3:$B$987&amp;"",'NETWORK-DEVICES'!$H$3:$H$987,""),"Peripheral",_xlfn.XLOOKUP($K576&amp;"",PERIPHERAL!$B$3:$B$954&amp;"",PERIPHERAL!$H$3:$H$954,""),"Utilities",_xlfn.XLOOKUP($K576&amp;"",UTILITIES!$B$3:$B$953&amp;"",UTILITIES!$G$3:$G$953,""),"IOT",_xlfn.XLOOKUP($K576&amp;"",IOT!$B$3:$B$1012&amp;"",IOT!$H$3:$H$1012,""),"Server",_xlfn.XLOOKUP($K576&amp;"",SERVER!$B$3:$B$1009&amp;"",SERVER!$H$3:$H$1009,""),""),IF(TRIM(_xlpm.srcCat)&lt;&gt;TRIM($J576),"",_xlfn.SWITCH($I576,"Computer",_xlfn.XLOOKUP($K576&amp;"",COMPUTER!$B$3:$B$1009&amp;"",COMPUTER!$E$3:$E$1009,""),"Display",_xlfn.XLOOKUP($K576&amp;"",DISPLAY!$B$3:$B$1000&amp;"",DISPLAY!$E$3:$E$1000,""),"Network Device",_xlfn.XLOOKUP($K576&amp;"",'NETWORK-DEVICES'!$B$3:$B$987&amp;"",'NETWORK-DEVICES'!$E$3:$E$987,""),"Peripheral",_xlfn.XLOOKUP($K576&amp;"",PERIPHERAL!$B$3:$B$954&amp;"",PERIPHERAL!$E$3:$E$954,""),"Utilities",_xlfn.XLOOKUP($K576&amp;"",UTILITIES!$B$3:$B$953&amp;"",UTILITIES!$E$3:$E$953,""),"IOT",_xlfn.XLOOKUP($K576&amp;"",IOT!$B$3:$B$1012&amp;"",IOT!$E$3:$E$1012,""),"Server",_xlfn.XLOOKUP($K576&amp;"",SERVER!$B$3:$B$1009&amp;"",SERVER!$E$3:$E$1009,""),""))))</f>
        <v/>
      </c>
      <c r="Q576" s="1" t="str" cm="1">
        <f t="array" ref="Q576">IF(OR($K576="",$I576="",$J576=""),"",_xlfn.LET(_xlpm.srcCat,_xlfn.SWITCH($I576,"Computer",_xlfn.XLOOKUP($K576&amp;"",COMPUTER!$B$3:$B$1009&amp;"",COMPUTER!$H$3:$H$1009,""),"Display",_xlfn.XLOOKUP($K576&amp;"",DISPLAY!$B$3:$B$1000&amp;"",DISPLAY!$H$3:$H$1000,""),"Network Device",_xlfn.XLOOKUP($K576&amp;"",'NETWORK-DEVICES'!$B$3:$B$987&amp;"",'NETWORK-DEVICES'!$H$3:$H$987,""),"Peripheral",_xlfn.XLOOKUP($K576&amp;"",PERIPHERAL!$B$3:$B$954&amp;"",PERIPHERAL!$H$3:$H$954,""),"Utilities",_xlfn.XLOOKUP($K576&amp;"",UTILITIES!$B$3:$B$953&amp;"",UTILITIES!$G$3:$G$953,""),"IOT",_xlfn.XLOOKUP($K576&amp;"",IOT!$B$3:$B$1012&amp;"",IOT!$H$3:$H$1012,""),"Server",_xlfn.XLOOKUP($K576&amp;"",SERVER!$B$3:$B$1009&amp;"",SERVER!$H$3:$H$1009,""),""),IF(TRIM(_xlpm.srcCat)&lt;&gt;TRIM($J576),"",_xlfn.SWITCH($I576,"Computer",_xlfn.XLOOKUP($K576&amp;"",COMPUTER!$B$3:$B$1009&amp;"",COMPUTER!$AM$3:$AM$1009,""),"Display",_xlfn.XLOOKUP($K576&amp;"",DISPLAY!$B$3:$B$1000&amp;"",DISPLAY!$V$3:$V$1000,""),"Network Device",_xlfn.XLOOKUP($K576&amp;"",'NETWORK-DEVICES'!$B$3:$B$987&amp;"",'NETWORK-DEVICES'!$AF$3:$AF$987,""),"Peripheral",_xlfn.XLOOKUP($K576&amp;"",PERIPHERAL!$B$3:$B$954&amp;"",PERIPHERAL!$Y$3:$Y$954,""),"Utilities",_xlfn.XLOOKUP($K576&amp;"",UTILITIES!$B$3:$B$953&amp;"",UTILITIES!$O$3:$O$953,""),"IOT",_xlfn.XLOOKUP($K576&amp;"",IOT!$B$3:$B$1012&amp;"",IOT!$AB$3:$AB$1012,""),"Server",_xlfn.XLOOKUP($K576&amp;"",SERVER!$B$3:$B$1009&amp;"",SERVER!$AB$3:$AB$1009,""),""))))</f>
        <v/>
      </c>
      <c r="R576" s="43" t="str">
        <f>IF(tbl_handover[[#This Row],[Asset Code]]="","",COUNTIF(tbl_handover[Asset Code],tbl_handover[[#This Row],[Asset Code]]))</f>
        <v/>
      </c>
    </row>
    <row r="577" spans="1:18" x14ac:dyDescent="0.25">
      <c r="A577" s="43" t="str">
        <f>IF(B577&lt;&gt;"",SUBTOTAL(3,$B$1:B576),"")</f>
        <v/>
      </c>
      <c r="C577" s="74"/>
      <c r="D577" s="74"/>
      <c r="G577" s="1"/>
      <c r="K577" s="42"/>
      <c r="L577" t="str" cm="1">
        <f t="array" ref="L577">IF($K577="","",_xlfn.SWITCH($I577,"Computer",_xlfn.XLOOKUP($K577&amp;"",COMPUTER!$B$3:$B$1009&amp;"",COMPUTER!$I$3:$I$1009,""),"Display",_xlfn.XLOOKUP($K577&amp;"",DISPLAY!$B$3:$B$1000&amp;"",DISPLAY!$J$3:$J$1000,""),"Network Device",_xlfn.XLOOKUP($K577&amp;"",'NETWORK-DEVICES'!$B$3:$B$987&amp;"",'NETWORK-DEVICES'!$I$3:$I$987,""),"Peripheral",_xlfn.XLOOKUP($K577&amp;"",PERIPHERAL!$B$3:$B$954&amp;"",PERIPHERAL!$I$3:$I$954,""),"Utilities",_xlfn.XLOOKUP($K577&amp;"",UTILITIES!$B$3:$B$953&amp;"",UTILITIES!$H$3:$H$953,""),"IOT",_xlfn.XLOOKUP($K577&amp;"",IOT!$B$3:$B$1012&amp;"",IOT!$I$3:$I$1012,""),"SERVER",_xlfn.XLOOKUP($K577&amp;"",SERVER!$B$3:$B$1009&amp;"",SERVER!$I$3:$I$1009,""),""))</f>
        <v/>
      </c>
      <c r="M577" t="str" cm="1">
        <f t="array" ref="M577">IF($K577="","",_xlfn.SWITCH($I577,"Computer",_xlfn.XLOOKUP($K577&amp;"",COMPUTER!$B$3:$B$1009&amp;"",COMPUTER!$J$3:$J$1009,""),"Display",_xlfn.XLOOKUP($K577&amp;"",DISPLAY!$B$3:$B$1000&amp;"",DISPLAY!$K$3:$K$1000,""),"Network Device",_xlfn.XLOOKUP($K577&amp;"",'NETWORK-DEVICES'!$B$3:$B$987&amp;"",'NETWORK-DEVICES'!$I$3:$I$987,""),"Peripheral",_xlfn.XLOOKUP($K577&amp;"",PERIPHERAL!$B$3:$B$954&amp;"",PERIPHERAL!$J$3:$J$954,""),"Utilities",_xlfn.XLOOKUP($K577&amp;"",UTILITIES!$B$3:$B$953&amp;"",UTILITIES!$I$3:$I$953,""),"IOT",_xlfn.XLOOKUP($K577&amp;"",IOT!$B$3:$B$1012&amp;"",IOT!$J$3:$J$1012,""),"Server",_xlfn.XLOOKUP($K577&amp;"",SERVER!$B$3:$B$1009&amp;"",SERVER!$J$3:$J$1009,""),""))</f>
        <v/>
      </c>
      <c r="N577" s="1" t="str" cm="1">
        <f t="array" ref="N577">IF(OR($K577="",$I577="",$J577=""),"",_xlfn.LET(_xlpm.srcCat,_xlfn.SWITCH($I577,"Computer",_xlfn.XLOOKUP($K577&amp;"",COMPUTER!$B$3:$B$1009&amp;"",COMPUTER!$H$3:$H$1009,""),"Display",_xlfn.XLOOKUP($K577&amp;"",DISPLAY!$B$3:$B$1000&amp;"",DISPLAY!$H$3:$H$1000,""),"Network Device",_xlfn.XLOOKUP($K577&amp;"",'NETWORK-DEVICES'!$B$3:$B$987&amp;"",'NETWORK-DEVICES'!$H$3:$H$987,""),"Peripheral",_xlfn.XLOOKUP($K577&amp;"",PERIPHERAL!$B$3:$B$954&amp;"",PERIPHERAL!$H$3:$H$954,""),"Utilities",_xlfn.XLOOKUP($K577&amp;"",UTILITIES!$B$3:$B$953&amp;"",UTILITIES!$G$3:$G$953,""),"IOT",_xlfn.XLOOKUP($K577&amp;"",IOT!$B$3:$B$1012&amp;"",IOT!$H$3:$H$1012,""),"Server",_xlfn.XLOOKUP($K577&amp;"",SERVER!$B$3:$B$1009&amp;"",SERVER!$H$3:$H$1009,""),""),IF(TRIM(_xlpm.srcCat)&lt;&gt;TRIM($J577),"",_xlfn.SWITCH($I577,"Computer",_xlfn.XLOOKUP($K577&amp;"",COMPUTER!$B$3:$B$1009&amp;"",COMPUTER!$K$3:$K$1009,""),"Display",_xlfn.XLOOKUP($K577&amp;"",DISPLAY!$B$3:$B$1000&amp;"",DISPLAY!$L$3:$L$1000,""),"Network Device",_xlfn.XLOOKUP($K577&amp;"",'NETWORK-DEVICES'!$B$3:$B$987&amp;"",'NETWORK-DEVICES'!$K$3:$K$987,""),"Peripheral",_xlfn.XLOOKUP($K577&amp;"",PERIPHERAL!$B$3:$B$954&amp;"",PERIPHERAL!$K$3:$K$954,""),"Utilities",_xlfn.XLOOKUP($K577&amp;"",UTILITIES!$B$3:$B$953&amp;"",UTILITIES!$J$3:$J$953,""),"IOT",_xlfn.XLOOKUP($K577&amp;"",IOT!$B$3:$B$1012&amp;"",IOT!$K$4:$K$1012,""),"Server",_xlfn.XLOOKUP($K577&amp;"",SERVER!$B$3:$B$1009&amp;"",SERVER!$K$3:$K$1009,""),""))))</f>
        <v/>
      </c>
      <c r="O577" s="1" t="str" cm="1">
        <f t="array" ref="O577">IF(OR($K577="",$I577="",$J577=""),"",_xlfn.LET(_xlpm.srcCat,_xlfn.SWITCH($I577,"Computer",_xlfn.XLOOKUP($K577&amp;"",COMPUTER!$B$3:$B$1009&amp;"",COMPUTER!$H$3:$H$1009,""),"Display",_xlfn.XLOOKUP($K577&amp;"",DISPLAY!$B$3:$B$1000&amp;"",DISPLAY!$H$3:$H$1000,""),"Network Device",_xlfn.XLOOKUP($K577&amp;"",'NETWORK-DEVICES'!$B$3:$B$987&amp;"",'NETWORK-DEVICES'!$H$3:$H$987,""),"Peripheral",_xlfn.XLOOKUP($K577&amp;"",PERIPHERAL!$B$3:$B$954&amp;"",PERIPHERAL!$H$3:$H$954,""),"Utilities",_xlfn.XLOOKUP($K577&amp;"",UTILITIES!$B$3:$B$953&amp;"",UTILITIES!$G$3:$G$953,""),"IOT",_xlfn.XLOOKUP($K577&amp;"",IOT!$B$3:$B$1012&amp;"",IOT!$H$3:$H$1012,""),"Server",_xlfn.XLOOKUP($K577&amp;"",SERVER!$B$3:$B$1009&amp;"",SERVER!$H$3:$H$1009,""),""),IF(TRIM(_xlpm.srcCat)&lt;&gt;TRIM($J577),"",_xlfn.SWITCH($I577,"Computer",_xlfn.XLOOKUP($K577&amp;"",COMPUTER!$B$3:$B$1009&amp;"",COMPUTER!$E$3:$E$1009,""),"Display",_xlfn.XLOOKUP($K577&amp;"",DISPLAY!$B$3:$B$1000&amp;"",DISPLAY!$E$3:$E$1000,""),"Network Device",_xlfn.XLOOKUP($K577&amp;"",'NETWORK-DEVICES'!$B$3:$B$987&amp;"",'NETWORK-DEVICES'!$E$3:$E$987,""),"Peripheral",_xlfn.XLOOKUP($K577&amp;"",PERIPHERAL!$B$3:$B$954&amp;"",PERIPHERAL!$E$3:$E$954,""),"Utilities",_xlfn.XLOOKUP($K577&amp;"",UTILITIES!$B$3:$B$953&amp;"",UTILITIES!$E$3:$E$953,""),"IOT",_xlfn.XLOOKUP($K577&amp;"",IOT!$B$3:$B$1012&amp;"",IOT!$E$3:$E$1012,""),"Server",_xlfn.XLOOKUP($K577&amp;"",SERVER!$B$3:$B$1009&amp;"",SERVER!$E$3:$E$1009,""),""))))</f>
        <v/>
      </c>
      <c r="Q577" s="1" t="str" cm="1">
        <f t="array" ref="Q577">IF(OR($K577="",$I577="",$J577=""),"",_xlfn.LET(_xlpm.srcCat,_xlfn.SWITCH($I577,"Computer",_xlfn.XLOOKUP($K577&amp;"",COMPUTER!$B$3:$B$1009&amp;"",COMPUTER!$H$3:$H$1009,""),"Display",_xlfn.XLOOKUP($K577&amp;"",DISPLAY!$B$3:$B$1000&amp;"",DISPLAY!$H$3:$H$1000,""),"Network Device",_xlfn.XLOOKUP($K577&amp;"",'NETWORK-DEVICES'!$B$3:$B$987&amp;"",'NETWORK-DEVICES'!$H$3:$H$987,""),"Peripheral",_xlfn.XLOOKUP($K577&amp;"",PERIPHERAL!$B$3:$B$954&amp;"",PERIPHERAL!$H$3:$H$954,""),"Utilities",_xlfn.XLOOKUP($K577&amp;"",UTILITIES!$B$3:$B$953&amp;"",UTILITIES!$G$3:$G$953,""),"IOT",_xlfn.XLOOKUP($K577&amp;"",IOT!$B$3:$B$1012&amp;"",IOT!$H$3:$H$1012,""),"Server",_xlfn.XLOOKUP($K577&amp;"",SERVER!$B$3:$B$1009&amp;"",SERVER!$H$3:$H$1009,""),""),IF(TRIM(_xlpm.srcCat)&lt;&gt;TRIM($J577),"",_xlfn.SWITCH($I577,"Computer",_xlfn.XLOOKUP($K577&amp;"",COMPUTER!$B$3:$B$1009&amp;"",COMPUTER!$AM$3:$AM$1009,""),"Display",_xlfn.XLOOKUP($K577&amp;"",DISPLAY!$B$3:$B$1000&amp;"",DISPLAY!$V$3:$V$1000,""),"Network Device",_xlfn.XLOOKUP($K577&amp;"",'NETWORK-DEVICES'!$B$3:$B$987&amp;"",'NETWORK-DEVICES'!$AF$3:$AF$987,""),"Peripheral",_xlfn.XLOOKUP($K577&amp;"",PERIPHERAL!$B$3:$B$954&amp;"",PERIPHERAL!$Y$3:$Y$954,""),"Utilities",_xlfn.XLOOKUP($K577&amp;"",UTILITIES!$B$3:$B$953&amp;"",UTILITIES!$O$3:$O$953,""),"IOT",_xlfn.XLOOKUP($K577&amp;"",IOT!$B$3:$B$1012&amp;"",IOT!$AB$3:$AB$1012,""),"Server",_xlfn.XLOOKUP($K577&amp;"",SERVER!$B$3:$B$1009&amp;"",SERVER!$AB$3:$AB$1009,""),""))))</f>
        <v/>
      </c>
      <c r="R577" s="43" t="str">
        <f>IF(tbl_handover[[#This Row],[Asset Code]]="","",COUNTIF(tbl_handover[Asset Code],tbl_handover[[#This Row],[Asset Code]]))</f>
        <v/>
      </c>
    </row>
    <row r="578" spans="1:18" x14ac:dyDescent="0.25">
      <c r="A578" s="43" t="str">
        <f>IF(B578&lt;&gt;"",SUBTOTAL(3,$B$1:B577),"")</f>
        <v/>
      </c>
      <c r="C578" s="74"/>
      <c r="D578" s="74"/>
      <c r="G578" s="1"/>
      <c r="K578" s="42"/>
      <c r="L578" t="str" cm="1">
        <f t="array" ref="L578">IF($K578="","",_xlfn.SWITCH($I578,"Computer",_xlfn.XLOOKUP($K578&amp;"",COMPUTER!$B$3:$B$1009&amp;"",COMPUTER!$I$3:$I$1009,""),"Display",_xlfn.XLOOKUP($K578&amp;"",DISPLAY!$B$3:$B$1000&amp;"",DISPLAY!$J$3:$J$1000,""),"Network Device",_xlfn.XLOOKUP($K578&amp;"",'NETWORK-DEVICES'!$B$3:$B$987&amp;"",'NETWORK-DEVICES'!$I$3:$I$987,""),"Peripheral",_xlfn.XLOOKUP($K578&amp;"",PERIPHERAL!$B$3:$B$954&amp;"",PERIPHERAL!$I$3:$I$954,""),"Utilities",_xlfn.XLOOKUP($K578&amp;"",UTILITIES!$B$3:$B$953&amp;"",UTILITIES!$H$3:$H$953,""),"IOT",_xlfn.XLOOKUP($K578&amp;"",IOT!$B$3:$B$1012&amp;"",IOT!$I$3:$I$1012,""),"SERVER",_xlfn.XLOOKUP($K578&amp;"",SERVER!$B$3:$B$1009&amp;"",SERVER!$I$3:$I$1009,""),""))</f>
        <v/>
      </c>
      <c r="M578" t="str" cm="1">
        <f t="array" ref="M578">IF($K578="","",_xlfn.SWITCH($I578,"Computer",_xlfn.XLOOKUP($K578&amp;"",COMPUTER!$B$3:$B$1009&amp;"",COMPUTER!$J$3:$J$1009,""),"Display",_xlfn.XLOOKUP($K578&amp;"",DISPLAY!$B$3:$B$1000&amp;"",DISPLAY!$K$3:$K$1000,""),"Network Device",_xlfn.XLOOKUP($K578&amp;"",'NETWORK-DEVICES'!$B$3:$B$987&amp;"",'NETWORK-DEVICES'!$I$3:$I$987,""),"Peripheral",_xlfn.XLOOKUP($K578&amp;"",PERIPHERAL!$B$3:$B$954&amp;"",PERIPHERAL!$J$3:$J$954,""),"Utilities",_xlfn.XLOOKUP($K578&amp;"",UTILITIES!$B$3:$B$953&amp;"",UTILITIES!$I$3:$I$953,""),"IOT",_xlfn.XLOOKUP($K578&amp;"",IOT!$B$3:$B$1012&amp;"",IOT!$J$3:$J$1012,""),"Server",_xlfn.XLOOKUP($K578&amp;"",SERVER!$B$3:$B$1009&amp;"",SERVER!$J$3:$J$1009,""),""))</f>
        <v/>
      </c>
      <c r="N578" s="1" t="str" cm="1">
        <f t="array" ref="N578">IF(OR($K578="",$I578="",$J578=""),"",_xlfn.LET(_xlpm.srcCat,_xlfn.SWITCH($I578,"Computer",_xlfn.XLOOKUP($K578&amp;"",COMPUTER!$B$3:$B$1009&amp;"",COMPUTER!$H$3:$H$1009,""),"Display",_xlfn.XLOOKUP($K578&amp;"",DISPLAY!$B$3:$B$1000&amp;"",DISPLAY!$H$3:$H$1000,""),"Network Device",_xlfn.XLOOKUP($K578&amp;"",'NETWORK-DEVICES'!$B$3:$B$987&amp;"",'NETWORK-DEVICES'!$H$3:$H$987,""),"Peripheral",_xlfn.XLOOKUP($K578&amp;"",PERIPHERAL!$B$3:$B$954&amp;"",PERIPHERAL!$H$3:$H$954,""),"Utilities",_xlfn.XLOOKUP($K578&amp;"",UTILITIES!$B$3:$B$953&amp;"",UTILITIES!$G$3:$G$953,""),"IOT",_xlfn.XLOOKUP($K578&amp;"",IOT!$B$3:$B$1012&amp;"",IOT!$H$3:$H$1012,""),"Server",_xlfn.XLOOKUP($K578&amp;"",SERVER!$B$3:$B$1009&amp;"",SERVER!$H$3:$H$1009,""),""),IF(TRIM(_xlpm.srcCat)&lt;&gt;TRIM($J578),"",_xlfn.SWITCH($I578,"Computer",_xlfn.XLOOKUP($K578&amp;"",COMPUTER!$B$3:$B$1009&amp;"",COMPUTER!$K$3:$K$1009,""),"Display",_xlfn.XLOOKUP($K578&amp;"",DISPLAY!$B$3:$B$1000&amp;"",DISPLAY!$L$3:$L$1000,""),"Network Device",_xlfn.XLOOKUP($K578&amp;"",'NETWORK-DEVICES'!$B$3:$B$987&amp;"",'NETWORK-DEVICES'!$K$3:$K$987,""),"Peripheral",_xlfn.XLOOKUP($K578&amp;"",PERIPHERAL!$B$3:$B$954&amp;"",PERIPHERAL!$K$3:$K$954,""),"Utilities",_xlfn.XLOOKUP($K578&amp;"",UTILITIES!$B$3:$B$953&amp;"",UTILITIES!$J$3:$J$953,""),"IOT",_xlfn.XLOOKUP($K578&amp;"",IOT!$B$3:$B$1012&amp;"",IOT!$K$4:$K$1012,""),"Server",_xlfn.XLOOKUP($K578&amp;"",SERVER!$B$3:$B$1009&amp;"",SERVER!$K$3:$K$1009,""),""))))</f>
        <v/>
      </c>
      <c r="O578" s="1" t="str" cm="1">
        <f t="array" ref="O578">IF(OR($K578="",$I578="",$J578=""),"",_xlfn.LET(_xlpm.srcCat,_xlfn.SWITCH($I578,"Computer",_xlfn.XLOOKUP($K578&amp;"",COMPUTER!$B$3:$B$1009&amp;"",COMPUTER!$H$3:$H$1009,""),"Display",_xlfn.XLOOKUP($K578&amp;"",DISPLAY!$B$3:$B$1000&amp;"",DISPLAY!$H$3:$H$1000,""),"Network Device",_xlfn.XLOOKUP($K578&amp;"",'NETWORK-DEVICES'!$B$3:$B$987&amp;"",'NETWORK-DEVICES'!$H$3:$H$987,""),"Peripheral",_xlfn.XLOOKUP($K578&amp;"",PERIPHERAL!$B$3:$B$954&amp;"",PERIPHERAL!$H$3:$H$954,""),"Utilities",_xlfn.XLOOKUP($K578&amp;"",UTILITIES!$B$3:$B$953&amp;"",UTILITIES!$G$3:$G$953,""),"IOT",_xlfn.XLOOKUP($K578&amp;"",IOT!$B$3:$B$1012&amp;"",IOT!$H$3:$H$1012,""),"Server",_xlfn.XLOOKUP($K578&amp;"",SERVER!$B$3:$B$1009&amp;"",SERVER!$H$3:$H$1009,""),""),IF(TRIM(_xlpm.srcCat)&lt;&gt;TRIM($J578),"",_xlfn.SWITCH($I578,"Computer",_xlfn.XLOOKUP($K578&amp;"",COMPUTER!$B$3:$B$1009&amp;"",COMPUTER!$E$3:$E$1009,""),"Display",_xlfn.XLOOKUP($K578&amp;"",DISPLAY!$B$3:$B$1000&amp;"",DISPLAY!$E$3:$E$1000,""),"Network Device",_xlfn.XLOOKUP($K578&amp;"",'NETWORK-DEVICES'!$B$3:$B$987&amp;"",'NETWORK-DEVICES'!$E$3:$E$987,""),"Peripheral",_xlfn.XLOOKUP($K578&amp;"",PERIPHERAL!$B$3:$B$954&amp;"",PERIPHERAL!$E$3:$E$954,""),"Utilities",_xlfn.XLOOKUP($K578&amp;"",UTILITIES!$B$3:$B$953&amp;"",UTILITIES!$E$3:$E$953,""),"IOT",_xlfn.XLOOKUP($K578&amp;"",IOT!$B$3:$B$1012&amp;"",IOT!$E$3:$E$1012,""),"Server",_xlfn.XLOOKUP($K578&amp;"",SERVER!$B$3:$B$1009&amp;"",SERVER!$E$3:$E$1009,""),""))))</f>
        <v/>
      </c>
      <c r="Q578" s="1" t="str" cm="1">
        <f t="array" ref="Q578">IF(OR($K578="",$I578="",$J578=""),"",_xlfn.LET(_xlpm.srcCat,_xlfn.SWITCH($I578,"Computer",_xlfn.XLOOKUP($K578&amp;"",COMPUTER!$B$3:$B$1009&amp;"",COMPUTER!$H$3:$H$1009,""),"Display",_xlfn.XLOOKUP($K578&amp;"",DISPLAY!$B$3:$B$1000&amp;"",DISPLAY!$H$3:$H$1000,""),"Network Device",_xlfn.XLOOKUP($K578&amp;"",'NETWORK-DEVICES'!$B$3:$B$987&amp;"",'NETWORK-DEVICES'!$H$3:$H$987,""),"Peripheral",_xlfn.XLOOKUP($K578&amp;"",PERIPHERAL!$B$3:$B$954&amp;"",PERIPHERAL!$H$3:$H$954,""),"Utilities",_xlfn.XLOOKUP($K578&amp;"",UTILITIES!$B$3:$B$953&amp;"",UTILITIES!$G$3:$G$953,""),"IOT",_xlfn.XLOOKUP($K578&amp;"",IOT!$B$3:$B$1012&amp;"",IOT!$H$3:$H$1012,""),"Server",_xlfn.XLOOKUP($K578&amp;"",SERVER!$B$3:$B$1009&amp;"",SERVER!$H$3:$H$1009,""),""),IF(TRIM(_xlpm.srcCat)&lt;&gt;TRIM($J578),"",_xlfn.SWITCH($I578,"Computer",_xlfn.XLOOKUP($K578&amp;"",COMPUTER!$B$3:$B$1009&amp;"",COMPUTER!$AM$3:$AM$1009,""),"Display",_xlfn.XLOOKUP($K578&amp;"",DISPLAY!$B$3:$B$1000&amp;"",DISPLAY!$V$3:$V$1000,""),"Network Device",_xlfn.XLOOKUP($K578&amp;"",'NETWORK-DEVICES'!$B$3:$B$987&amp;"",'NETWORK-DEVICES'!$AF$3:$AF$987,""),"Peripheral",_xlfn.XLOOKUP($K578&amp;"",PERIPHERAL!$B$3:$B$954&amp;"",PERIPHERAL!$Y$3:$Y$954,""),"Utilities",_xlfn.XLOOKUP($K578&amp;"",UTILITIES!$B$3:$B$953&amp;"",UTILITIES!$O$3:$O$953,""),"IOT",_xlfn.XLOOKUP($K578&amp;"",IOT!$B$3:$B$1012&amp;"",IOT!$AB$3:$AB$1012,""),"Server",_xlfn.XLOOKUP($K578&amp;"",SERVER!$B$3:$B$1009&amp;"",SERVER!$AB$3:$AB$1009,""),""))))</f>
        <v/>
      </c>
      <c r="R578" s="43" t="str">
        <f>IF(tbl_handover[[#This Row],[Asset Code]]="","",COUNTIF(tbl_handover[Asset Code],tbl_handover[[#This Row],[Asset Code]]))</f>
        <v/>
      </c>
    </row>
    <row r="579" spans="1:18" x14ac:dyDescent="0.25">
      <c r="A579" s="43" t="str">
        <f>IF(B579&lt;&gt;"",SUBTOTAL(3,$B$1:B578),"")</f>
        <v/>
      </c>
      <c r="C579" s="74"/>
      <c r="D579" s="74"/>
      <c r="G579" s="1"/>
      <c r="K579" s="42"/>
      <c r="L579" t="str" cm="1">
        <f t="array" ref="L579">IF($K579="","",_xlfn.SWITCH($I579,"Computer",_xlfn.XLOOKUP($K579&amp;"",COMPUTER!$B$3:$B$1009&amp;"",COMPUTER!$I$3:$I$1009,""),"Display",_xlfn.XLOOKUP($K579&amp;"",DISPLAY!$B$3:$B$1000&amp;"",DISPLAY!$J$3:$J$1000,""),"Network Device",_xlfn.XLOOKUP($K579&amp;"",'NETWORK-DEVICES'!$B$3:$B$987&amp;"",'NETWORK-DEVICES'!$I$3:$I$987,""),"Peripheral",_xlfn.XLOOKUP($K579&amp;"",PERIPHERAL!$B$3:$B$954&amp;"",PERIPHERAL!$I$3:$I$954,""),"Utilities",_xlfn.XLOOKUP($K579&amp;"",UTILITIES!$B$3:$B$953&amp;"",UTILITIES!$H$3:$H$953,""),"IOT",_xlfn.XLOOKUP($K579&amp;"",IOT!$B$3:$B$1012&amp;"",IOT!$I$3:$I$1012,""),"SERVER",_xlfn.XLOOKUP($K579&amp;"",SERVER!$B$3:$B$1009&amp;"",SERVER!$I$3:$I$1009,""),""))</f>
        <v/>
      </c>
      <c r="M579" t="str" cm="1">
        <f t="array" ref="M579">IF($K579="","",_xlfn.SWITCH($I579,"Computer",_xlfn.XLOOKUP($K579&amp;"",COMPUTER!$B$3:$B$1009&amp;"",COMPUTER!$J$3:$J$1009,""),"Display",_xlfn.XLOOKUP($K579&amp;"",DISPLAY!$B$3:$B$1000&amp;"",DISPLAY!$K$3:$K$1000,""),"Network Device",_xlfn.XLOOKUP($K579&amp;"",'NETWORK-DEVICES'!$B$3:$B$987&amp;"",'NETWORK-DEVICES'!$I$3:$I$987,""),"Peripheral",_xlfn.XLOOKUP($K579&amp;"",PERIPHERAL!$B$3:$B$954&amp;"",PERIPHERAL!$J$3:$J$954,""),"Utilities",_xlfn.XLOOKUP($K579&amp;"",UTILITIES!$B$3:$B$953&amp;"",UTILITIES!$I$3:$I$953,""),"IOT",_xlfn.XLOOKUP($K579&amp;"",IOT!$B$3:$B$1012&amp;"",IOT!$J$3:$J$1012,""),"Server",_xlfn.XLOOKUP($K579&amp;"",SERVER!$B$3:$B$1009&amp;"",SERVER!$J$3:$J$1009,""),""))</f>
        <v/>
      </c>
      <c r="N579" s="1" t="str" cm="1">
        <f t="array" ref="N579">IF(OR($K579="",$I579="",$J579=""),"",_xlfn.LET(_xlpm.srcCat,_xlfn.SWITCH($I579,"Computer",_xlfn.XLOOKUP($K579&amp;"",COMPUTER!$B$3:$B$1009&amp;"",COMPUTER!$H$3:$H$1009,""),"Display",_xlfn.XLOOKUP($K579&amp;"",DISPLAY!$B$3:$B$1000&amp;"",DISPLAY!$H$3:$H$1000,""),"Network Device",_xlfn.XLOOKUP($K579&amp;"",'NETWORK-DEVICES'!$B$3:$B$987&amp;"",'NETWORK-DEVICES'!$H$3:$H$987,""),"Peripheral",_xlfn.XLOOKUP($K579&amp;"",PERIPHERAL!$B$3:$B$954&amp;"",PERIPHERAL!$H$3:$H$954,""),"Utilities",_xlfn.XLOOKUP($K579&amp;"",UTILITIES!$B$3:$B$953&amp;"",UTILITIES!$G$3:$G$953,""),"IOT",_xlfn.XLOOKUP($K579&amp;"",IOT!$B$3:$B$1012&amp;"",IOT!$H$3:$H$1012,""),"Server",_xlfn.XLOOKUP($K579&amp;"",SERVER!$B$3:$B$1009&amp;"",SERVER!$H$3:$H$1009,""),""),IF(TRIM(_xlpm.srcCat)&lt;&gt;TRIM($J579),"",_xlfn.SWITCH($I579,"Computer",_xlfn.XLOOKUP($K579&amp;"",COMPUTER!$B$3:$B$1009&amp;"",COMPUTER!$K$3:$K$1009,""),"Display",_xlfn.XLOOKUP($K579&amp;"",DISPLAY!$B$3:$B$1000&amp;"",DISPLAY!$L$3:$L$1000,""),"Network Device",_xlfn.XLOOKUP($K579&amp;"",'NETWORK-DEVICES'!$B$3:$B$987&amp;"",'NETWORK-DEVICES'!$K$3:$K$987,""),"Peripheral",_xlfn.XLOOKUP($K579&amp;"",PERIPHERAL!$B$3:$B$954&amp;"",PERIPHERAL!$K$3:$K$954,""),"Utilities",_xlfn.XLOOKUP($K579&amp;"",UTILITIES!$B$3:$B$953&amp;"",UTILITIES!$J$3:$J$953,""),"IOT",_xlfn.XLOOKUP($K579&amp;"",IOT!$B$3:$B$1012&amp;"",IOT!$K$4:$K$1012,""),"Server",_xlfn.XLOOKUP($K579&amp;"",SERVER!$B$3:$B$1009&amp;"",SERVER!$K$3:$K$1009,""),""))))</f>
        <v/>
      </c>
      <c r="O579" s="1" t="str" cm="1">
        <f t="array" ref="O579">IF(OR($K579="",$I579="",$J579=""),"",_xlfn.LET(_xlpm.srcCat,_xlfn.SWITCH($I579,"Computer",_xlfn.XLOOKUP($K579&amp;"",COMPUTER!$B$3:$B$1009&amp;"",COMPUTER!$H$3:$H$1009,""),"Display",_xlfn.XLOOKUP($K579&amp;"",DISPLAY!$B$3:$B$1000&amp;"",DISPLAY!$H$3:$H$1000,""),"Network Device",_xlfn.XLOOKUP($K579&amp;"",'NETWORK-DEVICES'!$B$3:$B$987&amp;"",'NETWORK-DEVICES'!$H$3:$H$987,""),"Peripheral",_xlfn.XLOOKUP($K579&amp;"",PERIPHERAL!$B$3:$B$954&amp;"",PERIPHERAL!$H$3:$H$954,""),"Utilities",_xlfn.XLOOKUP($K579&amp;"",UTILITIES!$B$3:$B$953&amp;"",UTILITIES!$G$3:$G$953,""),"IOT",_xlfn.XLOOKUP($K579&amp;"",IOT!$B$3:$B$1012&amp;"",IOT!$H$3:$H$1012,""),"Server",_xlfn.XLOOKUP($K579&amp;"",SERVER!$B$3:$B$1009&amp;"",SERVER!$H$3:$H$1009,""),""),IF(TRIM(_xlpm.srcCat)&lt;&gt;TRIM($J579),"",_xlfn.SWITCH($I579,"Computer",_xlfn.XLOOKUP($K579&amp;"",COMPUTER!$B$3:$B$1009&amp;"",COMPUTER!$E$3:$E$1009,""),"Display",_xlfn.XLOOKUP($K579&amp;"",DISPLAY!$B$3:$B$1000&amp;"",DISPLAY!$E$3:$E$1000,""),"Network Device",_xlfn.XLOOKUP($K579&amp;"",'NETWORK-DEVICES'!$B$3:$B$987&amp;"",'NETWORK-DEVICES'!$E$3:$E$987,""),"Peripheral",_xlfn.XLOOKUP($K579&amp;"",PERIPHERAL!$B$3:$B$954&amp;"",PERIPHERAL!$E$3:$E$954,""),"Utilities",_xlfn.XLOOKUP($K579&amp;"",UTILITIES!$B$3:$B$953&amp;"",UTILITIES!$E$3:$E$953,""),"IOT",_xlfn.XLOOKUP($K579&amp;"",IOT!$B$3:$B$1012&amp;"",IOT!$E$3:$E$1012,""),"Server",_xlfn.XLOOKUP($K579&amp;"",SERVER!$B$3:$B$1009&amp;"",SERVER!$E$3:$E$1009,""),""))))</f>
        <v/>
      </c>
      <c r="Q579" s="1" t="str" cm="1">
        <f t="array" ref="Q579">IF(OR($K579="",$I579="",$J579=""),"",_xlfn.LET(_xlpm.srcCat,_xlfn.SWITCH($I579,"Computer",_xlfn.XLOOKUP($K579&amp;"",COMPUTER!$B$3:$B$1009&amp;"",COMPUTER!$H$3:$H$1009,""),"Display",_xlfn.XLOOKUP($K579&amp;"",DISPLAY!$B$3:$B$1000&amp;"",DISPLAY!$H$3:$H$1000,""),"Network Device",_xlfn.XLOOKUP($K579&amp;"",'NETWORK-DEVICES'!$B$3:$B$987&amp;"",'NETWORK-DEVICES'!$H$3:$H$987,""),"Peripheral",_xlfn.XLOOKUP($K579&amp;"",PERIPHERAL!$B$3:$B$954&amp;"",PERIPHERAL!$H$3:$H$954,""),"Utilities",_xlfn.XLOOKUP($K579&amp;"",UTILITIES!$B$3:$B$953&amp;"",UTILITIES!$G$3:$G$953,""),"IOT",_xlfn.XLOOKUP($K579&amp;"",IOT!$B$3:$B$1012&amp;"",IOT!$H$3:$H$1012,""),"Server",_xlfn.XLOOKUP($K579&amp;"",SERVER!$B$3:$B$1009&amp;"",SERVER!$H$3:$H$1009,""),""),IF(TRIM(_xlpm.srcCat)&lt;&gt;TRIM($J579),"",_xlfn.SWITCH($I579,"Computer",_xlfn.XLOOKUP($K579&amp;"",COMPUTER!$B$3:$B$1009&amp;"",COMPUTER!$AM$3:$AM$1009,""),"Display",_xlfn.XLOOKUP($K579&amp;"",DISPLAY!$B$3:$B$1000&amp;"",DISPLAY!$V$3:$V$1000,""),"Network Device",_xlfn.XLOOKUP($K579&amp;"",'NETWORK-DEVICES'!$B$3:$B$987&amp;"",'NETWORK-DEVICES'!$AF$3:$AF$987,""),"Peripheral",_xlfn.XLOOKUP($K579&amp;"",PERIPHERAL!$B$3:$B$954&amp;"",PERIPHERAL!$Y$3:$Y$954,""),"Utilities",_xlfn.XLOOKUP($K579&amp;"",UTILITIES!$B$3:$B$953&amp;"",UTILITIES!$O$3:$O$953,""),"IOT",_xlfn.XLOOKUP($K579&amp;"",IOT!$B$3:$B$1012&amp;"",IOT!$AB$3:$AB$1012,""),"Server",_xlfn.XLOOKUP($K579&amp;"",SERVER!$B$3:$B$1009&amp;"",SERVER!$AB$3:$AB$1009,""),""))))</f>
        <v/>
      </c>
      <c r="R579" s="43" t="str">
        <f>IF(tbl_handover[[#This Row],[Asset Code]]="","",COUNTIF(tbl_handover[Asset Code],tbl_handover[[#This Row],[Asset Code]]))</f>
        <v/>
      </c>
    </row>
    <row r="580" spans="1:18" x14ac:dyDescent="0.25">
      <c r="A580" s="43" t="str">
        <f>IF(B580&lt;&gt;"",SUBTOTAL(3,$B$1:B579),"")</f>
        <v/>
      </c>
      <c r="C580" s="74"/>
      <c r="D580" s="74"/>
      <c r="G580" s="1"/>
      <c r="K580" s="42"/>
      <c r="L580" t="str" cm="1">
        <f t="array" ref="L580">IF($K580="","",_xlfn.SWITCH($I580,"Computer",_xlfn.XLOOKUP($K580&amp;"",COMPUTER!$B$3:$B$1009&amp;"",COMPUTER!$I$3:$I$1009,""),"Display",_xlfn.XLOOKUP($K580&amp;"",DISPLAY!$B$3:$B$1000&amp;"",DISPLAY!$J$3:$J$1000,""),"Network Device",_xlfn.XLOOKUP($K580&amp;"",'NETWORK-DEVICES'!$B$3:$B$987&amp;"",'NETWORK-DEVICES'!$I$3:$I$987,""),"Peripheral",_xlfn.XLOOKUP($K580&amp;"",PERIPHERAL!$B$3:$B$954&amp;"",PERIPHERAL!$I$3:$I$954,""),"Utilities",_xlfn.XLOOKUP($K580&amp;"",UTILITIES!$B$3:$B$953&amp;"",UTILITIES!$H$3:$H$953,""),"IOT",_xlfn.XLOOKUP($K580&amp;"",IOT!$B$3:$B$1012&amp;"",IOT!$I$3:$I$1012,""),"SERVER",_xlfn.XLOOKUP($K580&amp;"",SERVER!$B$3:$B$1009&amp;"",SERVER!$I$3:$I$1009,""),""))</f>
        <v/>
      </c>
      <c r="M580" t="str" cm="1">
        <f t="array" ref="M580">IF($K580="","",_xlfn.SWITCH($I580,"Computer",_xlfn.XLOOKUP($K580&amp;"",COMPUTER!$B$3:$B$1009&amp;"",COMPUTER!$J$3:$J$1009,""),"Display",_xlfn.XLOOKUP($K580&amp;"",DISPLAY!$B$3:$B$1000&amp;"",DISPLAY!$K$3:$K$1000,""),"Network Device",_xlfn.XLOOKUP($K580&amp;"",'NETWORK-DEVICES'!$B$3:$B$987&amp;"",'NETWORK-DEVICES'!$I$3:$I$987,""),"Peripheral",_xlfn.XLOOKUP($K580&amp;"",PERIPHERAL!$B$3:$B$954&amp;"",PERIPHERAL!$J$3:$J$954,""),"Utilities",_xlfn.XLOOKUP($K580&amp;"",UTILITIES!$B$3:$B$953&amp;"",UTILITIES!$I$3:$I$953,""),"IOT",_xlfn.XLOOKUP($K580&amp;"",IOT!$B$3:$B$1012&amp;"",IOT!$J$3:$J$1012,""),"Server",_xlfn.XLOOKUP($K580&amp;"",SERVER!$B$3:$B$1009&amp;"",SERVER!$J$3:$J$1009,""),""))</f>
        <v/>
      </c>
      <c r="N580" s="1" t="str" cm="1">
        <f t="array" ref="N580">IF(OR($K580="",$I580="",$J580=""),"",_xlfn.LET(_xlpm.srcCat,_xlfn.SWITCH($I580,"Computer",_xlfn.XLOOKUP($K580&amp;"",COMPUTER!$B$3:$B$1009&amp;"",COMPUTER!$H$3:$H$1009,""),"Display",_xlfn.XLOOKUP($K580&amp;"",DISPLAY!$B$3:$B$1000&amp;"",DISPLAY!$H$3:$H$1000,""),"Network Device",_xlfn.XLOOKUP($K580&amp;"",'NETWORK-DEVICES'!$B$3:$B$987&amp;"",'NETWORK-DEVICES'!$H$3:$H$987,""),"Peripheral",_xlfn.XLOOKUP($K580&amp;"",PERIPHERAL!$B$3:$B$954&amp;"",PERIPHERAL!$H$3:$H$954,""),"Utilities",_xlfn.XLOOKUP($K580&amp;"",UTILITIES!$B$3:$B$953&amp;"",UTILITIES!$G$3:$G$953,""),"IOT",_xlfn.XLOOKUP($K580&amp;"",IOT!$B$3:$B$1012&amp;"",IOT!$H$3:$H$1012,""),"Server",_xlfn.XLOOKUP($K580&amp;"",SERVER!$B$3:$B$1009&amp;"",SERVER!$H$3:$H$1009,""),""),IF(TRIM(_xlpm.srcCat)&lt;&gt;TRIM($J580),"",_xlfn.SWITCH($I580,"Computer",_xlfn.XLOOKUP($K580&amp;"",COMPUTER!$B$3:$B$1009&amp;"",COMPUTER!$K$3:$K$1009,""),"Display",_xlfn.XLOOKUP($K580&amp;"",DISPLAY!$B$3:$B$1000&amp;"",DISPLAY!$L$3:$L$1000,""),"Network Device",_xlfn.XLOOKUP($K580&amp;"",'NETWORK-DEVICES'!$B$3:$B$987&amp;"",'NETWORK-DEVICES'!$K$3:$K$987,""),"Peripheral",_xlfn.XLOOKUP($K580&amp;"",PERIPHERAL!$B$3:$B$954&amp;"",PERIPHERAL!$K$3:$K$954,""),"Utilities",_xlfn.XLOOKUP($K580&amp;"",UTILITIES!$B$3:$B$953&amp;"",UTILITIES!$J$3:$J$953,""),"IOT",_xlfn.XLOOKUP($K580&amp;"",IOT!$B$3:$B$1012&amp;"",IOT!$K$4:$K$1012,""),"Server",_xlfn.XLOOKUP($K580&amp;"",SERVER!$B$3:$B$1009&amp;"",SERVER!$K$3:$K$1009,""),""))))</f>
        <v/>
      </c>
      <c r="O580" s="1" t="str" cm="1">
        <f t="array" ref="O580">IF(OR($K580="",$I580="",$J580=""),"",_xlfn.LET(_xlpm.srcCat,_xlfn.SWITCH($I580,"Computer",_xlfn.XLOOKUP($K580&amp;"",COMPUTER!$B$3:$B$1009&amp;"",COMPUTER!$H$3:$H$1009,""),"Display",_xlfn.XLOOKUP($K580&amp;"",DISPLAY!$B$3:$B$1000&amp;"",DISPLAY!$H$3:$H$1000,""),"Network Device",_xlfn.XLOOKUP($K580&amp;"",'NETWORK-DEVICES'!$B$3:$B$987&amp;"",'NETWORK-DEVICES'!$H$3:$H$987,""),"Peripheral",_xlfn.XLOOKUP($K580&amp;"",PERIPHERAL!$B$3:$B$954&amp;"",PERIPHERAL!$H$3:$H$954,""),"Utilities",_xlfn.XLOOKUP($K580&amp;"",UTILITIES!$B$3:$B$953&amp;"",UTILITIES!$G$3:$G$953,""),"IOT",_xlfn.XLOOKUP($K580&amp;"",IOT!$B$3:$B$1012&amp;"",IOT!$H$3:$H$1012,""),"Server",_xlfn.XLOOKUP($K580&amp;"",SERVER!$B$3:$B$1009&amp;"",SERVER!$H$3:$H$1009,""),""),IF(TRIM(_xlpm.srcCat)&lt;&gt;TRIM($J580),"",_xlfn.SWITCH($I580,"Computer",_xlfn.XLOOKUP($K580&amp;"",COMPUTER!$B$3:$B$1009&amp;"",COMPUTER!$E$3:$E$1009,""),"Display",_xlfn.XLOOKUP($K580&amp;"",DISPLAY!$B$3:$B$1000&amp;"",DISPLAY!$E$3:$E$1000,""),"Network Device",_xlfn.XLOOKUP($K580&amp;"",'NETWORK-DEVICES'!$B$3:$B$987&amp;"",'NETWORK-DEVICES'!$E$3:$E$987,""),"Peripheral",_xlfn.XLOOKUP($K580&amp;"",PERIPHERAL!$B$3:$B$954&amp;"",PERIPHERAL!$E$3:$E$954,""),"Utilities",_xlfn.XLOOKUP($K580&amp;"",UTILITIES!$B$3:$B$953&amp;"",UTILITIES!$E$3:$E$953,""),"IOT",_xlfn.XLOOKUP($K580&amp;"",IOT!$B$3:$B$1012&amp;"",IOT!$E$3:$E$1012,""),"Server",_xlfn.XLOOKUP($K580&amp;"",SERVER!$B$3:$B$1009&amp;"",SERVER!$E$3:$E$1009,""),""))))</f>
        <v/>
      </c>
      <c r="Q580" s="1" t="str" cm="1">
        <f t="array" ref="Q580">IF(OR($K580="",$I580="",$J580=""),"",_xlfn.LET(_xlpm.srcCat,_xlfn.SWITCH($I580,"Computer",_xlfn.XLOOKUP($K580&amp;"",COMPUTER!$B$3:$B$1009&amp;"",COMPUTER!$H$3:$H$1009,""),"Display",_xlfn.XLOOKUP($K580&amp;"",DISPLAY!$B$3:$B$1000&amp;"",DISPLAY!$H$3:$H$1000,""),"Network Device",_xlfn.XLOOKUP($K580&amp;"",'NETWORK-DEVICES'!$B$3:$B$987&amp;"",'NETWORK-DEVICES'!$H$3:$H$987,""),"Peripheral",_xlfn.XLOOKUP($K580&amp;"",PERIPHERAL!$B$3:$B$954&amp;"",PERIPHERAL!$H$3:$H$954,""),"Utilities",_xlfn.XLOOKUP($K580&amp;"",UTILITIES!$B$3:$B$953&amp;"",UTILITIES!$G$3:$G$953,""),"IOT",_xlfn.XLOOKUP($K580&amp;"",IOT!$B$3:$B$1012&amp;"",IOT!$H$3:$H$1012,""),"Server",_xlfn.XLOOKUP($K580&amp;"",SERVER!$B$3:$B$1009&amp;"",SERVER!$H$3:$H$1009,""),""),IF(TRIM(_xlpm.srcCat)&lt;&gt;TRIM($J580),"",_xlfn.SWITCH($I580,"Computer",_xlfn.XLOOKUP($K580&amp;"",COMPUTER!$B$3:$B$1009&amp;"",COMPUTER!$AM$3:$AM$1009,""),"Display",_xlfn.XLOOKUP($K580&amp;"",DISPLAY!$B$3:$B$1000&amp;"",DISPLAY!$V$3:$V$1000,""),"Network Device",_xlfn.XLOOKUP($K580&amp;"",'NETWORK-DEVICES'!$B$3:$B$987&amp;"",'NETWORK-DEVICES'!$AF$3:$AF$987,""),"Peripheral",_xlfn.XLOOKUP($K580&amp;"",PERIPHERAL!$B$3:$B$954&amp;"",PERIPHERAL!$Y$3:$Y$954,""),"Utilities",_xlfn.XLOOKUP($K580&amp;"",UTILITIES!$B$3:$B$953&amp;"",UTILITIES!$O$3:$O$953,""),"IOT",_xlfn.XLOOKUP($K580&amp;"",IOT!$B$3:$B$1012&amp;"",IOT!$AB$3:$AB$1012,""),"Server",_xlfn.XLOOKUP($K580&amp;"",SERVER!$B$3:$B$1009&amp;"",SERVER!$AB$3:$AB$1009,""),""))))</f>
        <v/>
      </c>
      <c r="R580" s="43" t="str">
        <f>IF(tbl_handover[[#This Row],[Asset Code]]="","",COUNTIF(tbl_handover[Asset Code],tbl_handover[[#This Row],[Asset Code]]))</f>
        <v/>
      </c>
    </row>
    <row r="581" spans="1:18" x14ac:dyDescent="0.25">
      <c r="A581" s="43" t="str">
        <f>IF(B581&lt;&gt;"",SUBTOTAL(3,$B$1:B580),"")</f>
        <v/>
      </c>
      <c r="C581" s="74"/>
      <c r="D581" s="74"/>
      <c r="G581" s="1"/>
      <c r="K581" s="42"/>
      <c r="L581" t="str" cm="1">
        <f t="array" ref="L581">IF($K581="","",_xlfn.SWITCH($I581,"Computer",_xlfn.XLOOKUP($K581&amp;"",COMPUTER!$B$3:$B$1009&amp;"",COMPUTER!$I$3:$I$1009,""),"Display",_xlfn.XLOOKUP($K581&amp;"",DISPLAY!$B$3:$B$1000&amp;"",DISPLAY!$J$3:$J$1000,""),"Network Device",_xlfn.XLOOKUP($K581&amp;"",'NETWORK-DEVICES'!$B$3:$B$987&amp;"",'NETWORK-DEVICES'!$I$3:$I$987,""),"Peripheral",_xlfn.XLOOKUP($K581&amp;"",PERIPHERAL!$B$3:$B$954&amp;"",PERIPHERAL!$I$3:$I$954,""),"Utilities",_xlfn.XLOOKUP($K581&amp;"",UTILITIES!$B$3:$B$953&amp;"",UTILITIES!$H$3:$H$953,""),"IOT",_xlfn.XLOOKUP($K581&amp;"",IOT!$B$3:$B$1012&amp;"",IOT!$I$3:$I$1012,""),"SERVER",_xlfn.XLOOKUP($K581&amp;"",SERVER!$B$3:$B$1009&amp;"",SERVER!$I$3:$I$1009,""),""))</f>
        <v/>
      </c>
      <c r="M581" t="str" cm="1">
        <f t="array" ref="M581">IF($K581="","",_xlfn.SWITCH($I581,"Computer",_xlfn.XLOOKUP($K581&amp;"",COMPUTER!$B$3:$B$1009&amp;"",COMPUTER!$J$3:$J$1009,""),"Display",_xlfn.XLOOKUP($K581&amp;"",DISPLAY!$B$3:$B$1000&amp;"",DISPLAY!$K$3:$K$1000,""),"Network Device",_xlfn.XLOOKUP($K581&amp;"",'NETWORK-DEVICES'!$B$3:$B$987&amp;"",'NETWORK-DEVICES'!$I$3:$I$987,""),"Peripheral",_xlfn.XLOOKUP($K581&amp;"",PERIPHERAL!$B$3:$B$954&amp;"",PERIPHERAL!$J$3:$J$954,""),"Utilities",_xlfn.XLOOKUP($K581&amp;"",UTILITIES!$B$3:$B$953&amp;"",UTILITIES!$I$3:$I$953,""),"IOT",_xlfn.XLOOKUP($K581&amp;"",IOT!$B$3:$B$1012&amp;"",IOT!$J$3:$J$1012,""),"Server",_xlfn.XLOOKUP($K581&amp;"",SERVER!$B$3:$B$1009&amp;"",SERVER!$J$3:$J$1009,""),""))</f>
        <v/>
      </c>
      <c r="N581" s="1" t="str" cm="1">
        <f t="array" ref="N581">IF(OR($K581="",$I581="",$J581=""),"",_xlfn.LET(_xlpm.srcCat,_xlfn.SWITCH($I581,"Computer",_xlfn.XLOOKUP($K581&amp;"",COMPUTER!$B$3:$B$1009&amp;"",COMPUTER!$H$3:$H$1009,""),"Display",_xlfn.XLOOKUP($K581&amp;"",DISPLAY!$B$3:$B$1000&amp;"",DISPLAY!$H$3:$H$1000,""),"Network Device",_xlfn.XLOOKUP($K581&amp;"",'NETWORK-DEVICES'!$B$3:$B$987&amp;"",'NETWORK-DEVICES'!$H$3:$H$987,""),"Peripheral",_xlfn.XLOOKUP($K581&amp;"",PERIPHERAL!$B$3:$B$954&amp;"",PERIPHERAL!$H$3:$H$954,""),"Utilities",_xlfn.XLOOKUP($K581&amp;"",UTILITIES!$B$3:$B$953&amp;"",UTILITIES!$G$3:$G$953,""),"IOT",_xlfn.XLOOKUP($K581&amp;"",IOT!$B$3:$B$1012&amp;"",IOT!$H$3:$H$1012,""),"Server",_xlfn.XLOOKUP($K581&amp;"",SERVER!$B$3:$B$1009&amp;"",SERVER!$H$3:$H$1009,""),""),IF(TRIM(_xlpm.srcCat)&lt;&gt;TRIM($J581),"",_xlfn.SWITCH($I581,"Computer",_xlfn.XLOOKUP($K581&amp;"",COMPUTER!$B$3:$B$1009&amp;"",COMPUTER!$K$3:$K$1009,""),"Display",_xlfn.XLOOKUP($K581&amp;"",DISPLAY!$B$3:$B$1000&amp;"",DISPLAY!$L$3:$L$1000,""),"Network Device",_xlfn.XLOOKUP($K581&amp;"",'NETWORK-DEVICES'!$B$3:$B$987&amp;"",'NETWORK-DEVICES'!$K$3:$K$987,""),"Peripheral",_xlfn.XLOOKUP($K581&amp;"",PERIPHERAL!$B$3:$B$954&amp;"",PERIPHERAL!$K$3:$K$954,""),"Utilities",_xlfn.XLOOKUP($K581&amp;"",UTILITIES!$B$3:$B$953&amp;"",UTILITIES!$J$3:$J$953,""),"IOT",_xlfn.XLOOKUP($K581&amp;"",IOT!$B$3:$B$1012&amp;"",IOT!$K$4:$K$1012,""),"Server",_xlfn.XLOOKUP($K581&amp;"",SERVER!$B$3:$B$1009&amp;"",SERVER!$K$3:$K$1009,""),""))))</f>
        <v/>
      </c>
      <c r="O581" s="1" t="str" cm="1">
        <f t="array" ref="O581">IF(OR($K581="",$I581="",$J581=""),"",_xlfn.LET(_xlpm.srcCat,_xlfn.SWITCH($I581,"Computer",_xlfn.XLOOKUP($K581&amp;"",COMPUTER!$B$3:$B$1009&amp;"",COMPUTER!$H$3:$H$1009,""),"Display",_xlfn.XLOOKUP($K581&amp;"",DISPLAY!$B$3:$B$1000&amp;"",DISPLAY!$H$3:$H$1000,""),"Network Device",_xlfn.XLOOKUP($K581&amp;"",'NETWORK-DEVICES'!$B$3:$B$987&amp;"",'NETWORK-DEVICES'!$H$3:$H$987,""),"Peripheral",_xlfn.XLOOKUP($K581&amp;"",PERIPHERAL!$B$3:$B$954&amp;"",PERIPHERAL!$H$3:$H$954,""),"Utilities",_xlfn.XLOOKUP($K581&amp;"",UTILITIES!$B$3:$B$953&amp;"",UTILITIES!$G$3:$G$953,""),"IOT",_xlfn.XLOOKUP($K581&amp;"",IOT!$B$3:$B$1012&amp;"",IOT!$H$3:$H$1012,""),"Server",_xlfn.XLOOKUP($K581&amp;"",SERVER!$B$3:$B$1009&amp;"",SERVER!$H$3:$H$1009,""),""),IF(TRIM(_xlpm.srcCat)&lt;&gt;TRIM($J581),"",_xlfn.SWITCH($I581,"Computer",_xlfn.XLOOKUP($K581&amp;"",COMPUTER!$B$3:$B$1009&amp;"",COMPUTER!$E$3:$E$1009,""),"Display",_xlfn.XLOOKUP($K581&amp;"",DISPLAY!$B$3:$B$1000&amp;"",DISPLAY!$E$3:$E$1000,""),"Network Device",_xlfn.XLOOKUP($K581&amp;"",'NETWORK-DEVICES'!$B$3:$B$987&amp;"",'NETWORK-DEVICES'!$E$3:$E$987,""),"Peripheral",_xlfn.XLOOKUP($K581&amp;"",PERIPHERAL!$B$3:$B$954&amp;"",PERIPHERAL!$E$3:$E$954,""),"Utilities",_xlfn.XLOOKUP($K581&amp;"",UTILITIES!$B$3:$B$953&amp;"",UTILITIES!$E$3:$E$953,""),"IOT",_xlfn.XLOOKUP($K581&amp;"",IOT!$B$3:$B$1012&amp;"",IOT!$E$3:$E$1012,""),"Server",_xlfn.XLOOKUP($K581&amp;"",SERVER!$B$3:$B$1009&amp;"",SERVER!$E$3:$E$1009,""),""))))</f>
        <v/>
      </c>
      <c r="Q581" s="1" t="str" cm="1">
        <f t="array" ref="Q581">IF(OR($K581="",$I581="",$J581=""),"",_xlfn.LET(_xlpm.srcCat,_xlfn.SWITCH($I581,"Computer",_xlfn.XLOOKUP($K581&amp;"",COMPUTER!$B$3:$B$1009&amp;"",COMPUTER!$H$3:$H$1009,""),"Display",_xlfn.XLOOKUP($K581&amp;"",DISPLAY!$B$3:$B$1000&amp;"",DISPLAY!$H$3:$H$1000,""),"Network Device",_xlfn.XLOOKUP($K581&amp;"",'NETWORK-DEVICES'!$B$3:$B$987&amp;"",'NETWORK-DEVICES'!$H$3:$H$987,""),"Peripheral",_xlfn.XLOOKUP($K581&amp;"",PERIPHERAL!$B$3:$B$954&amp;"",PERIPHERAL!$H$3:$H$954,""),"Utilities",_xlfn.XLOOKUP($K581&amp;"",UTILITIES!$B$3:$B$953&amp;"",UTILITIES!$G$3:$G$953,""),"IOT",_xlfn.XLOOKUP($K581&amp;"",IOT!$B$3:$B$1012&amp;"",IOT!$H$3:$H$1012,""),"Server",_xlfn.XLOOKUP($K581&amp;"",SERVER!$B$3:$B$1009&amp;"",SERVER!$H$3:$H$1009,""),""),IF(TRIM(_xlpm.srcCat)&lt;&gt;TRIM($J581),"",_xlfn.SWITCH($I581,"Computer",_xlfn.XLOOKUP($K581&amp;"",COMPUTER!$B$3:$B$1009&amp;"",COMPUTER!$AM$3:$AM$1009,""),"Display",_xlfn.XLOOKUP($K581&amp;"",DISPLAY!$B$3:$B$1000&amp;"",DISPLAY!$V$3:$V$1000,""),"Network Device",_xlfn.XLOOKUP($K581&amp;"",'NETWORK-DEVICES'!$B$3:$B$987&amp;"",'NETWORK-DEVICES'!$AF$3:$AF$987,""),"Peripheral",_xlfn.XLOOKUP($K581&amp;"",PERIPHERAL!$B$3:$B$954&amp;"",PERIPHERAL!$Y$3:$Y$954,""),"Utilities",_xlfn.XLOOKUP($K581&amp;"",UTILITIES!$B$3:$B$953&amp;"",UTILITIES!$O$3:$O$953,""),"IOT",_xlfn.XLOOKUP($K581&amp;"",IOT!$B$3:$B$1012&amp;"",IOT!$AB$3:$AB$1012,""),"Server",_xlfn.XLOOKUP($K581&amp;"",SERVER!$B$3:$B$1009&amp;"",SERVER!$AB$3:$AB$1009,""),""))))</f>
        <v/>
      </c>
      <c r="R581" s="43" t="str">
        <f>IF(tbl_handover[[#This Row],[Asset Code]]="","",COUNTIF(tbl_handover[Asset Code],tbl_handover[[#This Row],[Asset Code]]))</f>
        <v/>
      </c>
    </row>
    <row r="582" spans="1:18" x14ac:dyDescent="0.25">
      <c r="A582" s="43" t="str">
        <f>IF(B582&lt;&gt;"",SUBTOTAL(3,$B$1:B581),"")</f>
        <v/>
      </c>
      <c r="C582" s="74"/>
      <c r="D582" s="74"/>
      <c r="G582" s="1"/>
      <c r="K582" s="42"/>
      <c r="L582" t="str" cm="1">
        <f t="array" ref="L582">IF($K582="","",_xlfn.SWITCH($I582,"Computer",_xlfn.XLOOKUP($K582&amp;"",COMPUTER!$B$3:$B$1009&amp;"",COMPUTER!$I$3:$I$1009,""),"Display",_xlfn.XLOOKUP($K582&amp;"",DISPLAY!$B$3:$B$1000&amp;"",DISPLAY!$J$3:$J$1000,""),"Network Device",_xlfn.XLOOKUP($K582&amp;"",'NETWORK-DEVICES'!$B$3:$B$987&amp;"",'NETWORK-DEVICES'!$I$3:$I$987,""),"Peripheral",_xlfn.XLOOKUP($K582&amp;"",PERIPHERAL!$B$3:$B$954&amp;"",PERIPHERAL!$I$3:$I$954,""),"Utilities",_xlfn.XLOOKUP($K582&amp;"",UTILITIES!$B$3:$B$953&amp;"",UTILITIES!$H$3:$H$953,""),"IOT",_xlfn.XLOOKUP($K582&amp;"",IOT!$B$3:$B$1012&amp;"",IOT!$I$3:$I$1012,""),"SERVER",_xlfn.XLOOKUP($K582&amp;"",SERVER!$B$3:$B$1009&amp;"",SERVER!$I$3:$I$1009,""),""))</f>
        <v/>
      </c>
      <c r="M582" t="str" cm="1">
        <f t="array" ref="M582">IF($K582="","",_xlfn.SWITCH($I582,"Computer",_xlfn.XLOOKUP($K582&amp;"",COMPUTER!$B$3:$B$1009&amp;"",COMPUTER!$J$3:$J$1009,""),"Display",_xlfn.XLOOKUP($K582&amp;"",DISPLAY!$B$3:$B$1000&amp;"",DISPLAY!$K$3:$K$1000,""),"Network Device",_xlfn.XLOOKUP($K582&amp;"",'NETWORK-DEVICES'!$B$3:$B$987&amp;"",'NETWORK-DEVICES'!$I$3:$I$987,""),"Peripheral",_xlfn.XLOOKUP($K582&amp;"",PERIPHERAL!$B$3:$B$954&amp;"",PERIPHERAL!$J$3:$J$954,""),"Utilities",_xlfn.XLOOKUP($K582&amp;"",UTILITIES!$B$3:$B$953&amp;"",UTILITIES!$I$3:$I$953,""),"IOT",_xlfn.XLOOKUP($K582&amp;"",IOT!$B$3:$B$1012&amp;"",IOT!$J$3:$J$1012,""),"Server",_xlfn.XLOOKUP($K582&amp;"",SERVER!$B$3:$B$1009&amp;"",SERVER!$J$3:$J$1009,""),""))</f>
        <v/>
      </c>
      <c r="N582" s="1" t="str" cm="1">
        <f t="array" ref="N582">IF(OR($K582="",$I582="",$J582=""),"",_xlfn.LET(_xlpm.srcCat,_xlfn.SWITCH($I582,"Computer",_xlfn.XLOOKUP($K582&amp;"",COMPUTER!$B$3:$B$1009&amp;"",COMPUTER!$H$3:$H$1009,""),"Display",_xlfn.XLOOKUP($K582&amp;"",DISPLAY!$B$3:$B$1000&amp;"",DISPLAY!$H$3:$H$1000,""),"Network Device",_xlfn.XLOOKUP($K582&amp;"",'NETWORK-DEVICES'!$B$3:$B$987&amp;"",'NETWORK-DEVICES'!$H$3:$H$987,""),"Peripheral",_xlfn.XLOOKUP($K582&amp;"",PERIPHERAL!$B$3:$B$954&amp;"",PERIPHERAL!$H$3:$H$954,""),"Utilities",_xlfn.XLOOKUP($K582&amp;"",UTILITIES!$B$3:$B$953&amp;"",UTILITIES!$G$3:$G$953,""),"IOT",_xlfn.XLOOKUP($K582&amp;"",IOT!$B$3:$B$1012&amp;"",IOT!$H$3:$H$1012,""),"Server",_xlfn.XLOOKUP($K582&amp;"",SERVER!$B$3:$B$1009&amp;"",SERVER!$H$3:$H$1009,""),""),IF(TRIM(_xlpm.srcCat)&lt;&gt;TRIM($J582),"",_xlfn.SWITCH($I582,"Computer",_xlfn.XLOOKUP($K582&amp;"",COMPUTER!$B$3:$B$1009&amp;"",COMPUTER!$K$3:$K$1009,""),"Display",_xlfn.XLOOKUP($K582&amp;"",DISPLAY!$B$3:$B$1000&amp;"",DISPLAY!$L$3:$L$1000,""),"Network Device",_xlfn.XLOOKUP($K582&amp;"",'NETWORK-DEVICES'!$B$3:$B$987&amp;"",'NETWORK-DEVICES'!$K$3:$K$987,""),"Peripheral",_xlfn.XLOOKUP($K582&amp;"",PERIPHERAL!$B$3:$B$954&amp;"",PERIPHERAL!$K$3:$K$954,""),"Utilities",_xlfn.XLOOKUP($K582&amp;"",UTILITIES!$B$3:$B$953&amp;"",UTILITIES!$J$3:$J$953,""),"IOT",_xlfn.XLOOKUP($K582&amp;"",IOT!$B$3:$B$1012&amp;"",IOT!$K$4:$K$1012,""),"Server",_xlfn.XLOOKUP($K582&amp;"",SERVER!$B$3:$B$1009&amp;"",SERVER!$K$3:$K$1009,""),""))))</f>
        <v/>
      </c>
      <c r="O582" s="1" t="str" cm="1">
        <f t="array" ref="O582">IF(OR($K582="",$I582="",$J582=""),"",_xlfn.LET(_xlpm.srcCat,_xlfn.SWITCH($I582,"Computer",_xlfn.XLOOKUP($K582&amp;"",COMPUTER!$B$3:$B$1009&amp;"",COMPUTER!$H$3:$H$1009,""),"Display",_xlfn.XLOOKUP($K582&amp;"",DISPLAY!$B$3:$B$1000&amp;"",DISPLAY!$H$3:$H$1000,""),"Network Device",_xlfn.XLOOKUP($K582&amp;"",'NETWORK-DEVICES'!$B$3:$B$987&amp;"",'NETWORK-DEVICES'!$H$3:$H$987,""),"Peripheral",_xlfn.XLOOKUP($K582&amp;"",PERIPHERAL!$B$3:$B$954&amp;"",PERIPHERAL!$H$3:$H$954,""),"Utilities",_xlfn.XLOOKUP($K582&amp;"",UTILITIES!$B$3:$B$953&amp;"",UTILITIES!$G$3:$G$953,""),"IOT",_xlfn.XLOOKUP($K582&amp;"",IOT!$B$3:$B$1012&amp;"",IOT!$H$3:$H$1012,""),"Server",_xlfn.XLOOKUP($K582&amp;"",SERVER!$B$3:$B$1009&amp;"",SERVER!$H$3:$H$1009,""),""),IF(TRIM(_xlpm.srcCat)&lt;&gt;TRIM($J582),"",_xlfn.SWITCH($I582,"Computer",_xlfn.XLOOKUP($K582&amp;"",COMPUTER!$B$3:$B$1009&amp;"",COMPUTER!$E$3:$E$1009,""),"Display",_xlfn.XLOOKUP($K582&amp;"",DISPLAY!$B$3:$B$1000&amp;"",DISPLAY!$E$3:$E$1000,""),"Network Device",_xlfn.XLOOKUP($K582&amp;"",'NETWORK-DEVICES'!$B$3:$B$987&amp;"",'NETWORK-DEVICES'!$E$3:$E$987,""),"Peripheral",_xlfn.XLOOKUP($K582&amp;"",PERIPHERAL!$B$3:$B$954&amp;"",PERIPHERAL!$E$3:$E$954,""),"Utilities",_xlfn.XLOOKUP($K582&amp;"",UTILITIES!$B$3:$B$953&amp;"",UTILITIES!$E$3:$E$953,""),"IOT",_xlfn.XLOOKUP($K582&amp;"",IOT!$B$3:$B$1012&amp;"",IOT!$E$3:$E$1012,""),"Server",_xlfn.XLOOKUP($K582&amp;"",SERVER!$B$3:$B$1009&amp;"",SERVER!$E$3:$E$1009,""),""))))</f>
        <v/>
      </c>
      <c r="Q582" s="1" t="str" cm="1">
        <f t="array" ref="Q582">IF(OR($K582="",$I582="",$J582=""),"",_xlfn.LET(_xlpm.srcCat,_xlfn.SWITCH($I582,"Computer",_xlfn.XLOOKUP($K582&amp;"",COMPUTER!$B$3:$B$1009&amp;"",COMPUTER!$H$3:$H$1009,""),"Display",_xlfn.XLOOKUP($K582&amp;"",DISPLAY!$B$3:$B$1000&amp;"",DISPLAY!$H$3:$H$1000,""),"Network Device",_xlfn.XLOOKUP($K582&amp;"",'NETWORK-DEVICES'!$B$3:$B$987&amp;"",'NETWORK-DEVICES'!$H$3:$H$987,""),"Peripheral",_xlfn.XLOOKUP($K582&amp;"",PERIPHERAL!$B$3:$B$954&amp;"",PERIPHERAL!$H$3:$H$954,""),"Utilities",_xlfn.XLOOKUP($K582&amp;"",UTILITIES!$B$3:$B$953&amp;"",UTILITIES!$G$3:$G$953,""),"IOT",_xlfn.XLOOKUP($K582&amp;"",IOT!$B$3:$B$1012&amp;"",IOT!$H$3:$H$1012,""),"Server",_xlfn.XLOOKUP($K582&amp;"",SERVER!$B$3:$B$1009&amp;"",SERVER!$H$3:$H$1009,""),""),IF(TRIM(_xlpm.srcCat)&lt;&gt;TRIM($J582),"",_xlfn.SWITCH($I582,"Computer",_xlfn.XLOOKUP($K582&amp;"",COMPUTER!$B$3:$B$1009&amp;"",COMPUTER!$AM$3:$AM$1009,""),"Display",_xlfn.XLOOKUP($K582&amp;"",DISPLAY!$B$3:$B$1000&amp;"",DISPLAY!$V$3:$V$1000,""),"Network Device",_xlfn.XLOOKUP($K582&amp;"",'NETWORK-DEVICES'!$B$3:$B$987&amp;"",'NETWORK-DEVICES'!$AF$3:$AF$987,""),"Peripheral",_xlfn.XLOOKUP($K582&amp;"",PERIPHERAL!$B$3:$B$954&amp;"",PERIPHERAL!$Y$3:$Y$954,""),"Utilities",_xlfn.XLOOKUP($K582&amp;"",UTILITIES!$B$3:$B$953&amp;"",UTILITIES!$O$3:$O$953,""),"IOT",_xlfn.XLOOKUP($K582&amp;"",IOT!$B$3:$B$1012&amp;"",IOT!$AB$3:$AB$1012,""),"Server",_xlfn.XLOOKUP($K582&amp;"",SERVER!$B$3:$B$1009&amp;"",SERVER!$AB$3:$AB$1009,""),""))))</f>
        <v/>
      </c>
      <c r="R582" s="43" t="str">
        <f>IF(tbl_handover[[#This Row],[Asset Code]]="","",COUNTIF(tbl_handover[Asset Code],tbl_handover[[#This Row],[Asset Code]]))</f>
        <v/>
      </c>
    </row>
    <row r="583" spans="1:18" x14ac:dyDescent="0.25">
      <c r="A583" s="43" t="str">
        <f>IF(B583&lt;&gt;"",SUBTOTAL(3,$B$1:B582),"")</f>
        <v/>
      </c>
      <c r="C583" s="74"/>
      <c r="D583" s="74"/>
      <c r="G583" s="1"/>
      <c r="K583" s="42"/>
      <c r="L583" t="str" cm="1">
        <f t="array" ref="L583">IF($K583="","",_xlfn.SWITCH($I583,"Computer",_xlfn.XLOOKUP($K583&amp;"",COMPUTER!$B$3:$B$1009&amp;"",COMPUTER!$I$3:$I$1009,""),"Display",_xlfn.XLOOKUP($K583&amp;"",DISPLAY!$B$3:$B$1000&amp;"",DISPLAY!$J$3:$J$1000,""),"Network Device",_xlfn.XLOOKUP($K583&amp;"",'NETWORK-DEVICES'!$B$3:$B$987&amp;"",'NETWORK-DEVICES'!$I$3:$I$987,""),"Peripheral",_xlfn.XLOOKUP($K583&amp;"",PERIPHERAL!$B$3:$B$954&amp;"",PERIPHERAL!$I$3:$I$954,""),"Utilities",_xlfn.XLOOKUP($K583&amp;"",UTILITIES!$B$3:$B$953&amp;"",UTILITIES!$H$3:$H$953,""),"IOT",_xlfn.XLOOKUP($K583&amp;"",IOT!$B$3:$B$1012&amp;"",IOT!$I$3:$I$1012,""),"SERVER",_xlfn.XLOOKUP($K583&amp;"",SERVER!$B$3:$B$1009&amp;"",SERVER!$I$3:$I$1009,""),""))</f>
        <v/>
      </c>
      <c r="M583" t="str" cm="1">
        <f t="array" ref="M583">IF($K583="","",_xlfn.SWITCH($I583,"Computer",_xlfn.XLOOKUP($K583&amp;"",COMPUTER!$B$3:$B$1009&amp;"",COMPUTER!$J$3:$J$1009,""),"Display",_xlfn.XLOOKUP($K583&amp;"",DISPLAY!$B$3:$B$1000&amp;"",DISPLAY!$K$3:$K$1000,""),"Network Device",_xlfn.XLOOKUP($K583&amp;"",'NETWORK-DEVICES'!$B$3:$B$987&amp;"",'NETWORK-DEVICES'!$I$3:$I$987,""),"Peripheral",_xlfn.XLOOKUP($K583&amp;"",PERIPHERAL!$B$3:$B$954&amp;"",PERIPHERAL!$J$3:$J$954,""),"Utilities",_xlfn.XLOOKUP($K583&amp;"",UTILITIES!$B$3:$B$953&amp;"",UTILITIES!$I$3:$I$953,""),"IOT",_xlfn.XLOOKUP($K583&amp;"",IOT!$B$3:$B$1012&amp;"",IOT!$J$3:$J$1012,""),"Server",_xlfn.XLOOKUP($K583&amp;"",SERVER!$B$3:$B$1009&amp;"",SERVER!$J$3:$J$1009,""),""))</f>
        <v/>
      </c>
      <c r="N583" s="1" t="str" cm="1">
        <f t="array" ref="N583">IF(OR($K583="",$I583="",$J583=""),"",_xlfn.LET(_xlpm.srcCat,_xlfn.SWITCH($I583,"Computer",_xlfn.XLOOKUP($K583&amp;"",COMPUTER!$B$3:$B$1009&amp;"",COMPUTER!$H$3:$H$1009,""),"Display",_xlfn.XLOOKUP($K583&amp;"",DISPLAY!$B$3:$B$1000&amp;"",DISPLAY!$H$3:$H$1000,""),"Network Device",_xlfn.XLOOKUP($K583&amp;"",'NETWORK-DEVICES'!$B$3:$B$987&amp;"",'NETWORK-DEVICES'!$H$3:$H$987,""),"Peripheral",_xlfn.XLOOKUP($K583&amp;"",PERIPHERAL!$B$3:$B$954&amp;"",PERIPHERAL!$H$3:$H$954,""),"Utilities",_xlfn.XLOOKUP($K583&amp;"",UTILITIES!$B$3:$B$953&amp;"",UTILITIES!$G$3:$G$953,""),"IOT",_xlfn.XLOOKUP($K583&amp;"",IOT!$B$3:$B$1012&amp;"",IOT!$H$3:$H$1012,""),"Server",_xlfn.XLOOKUP($K583&amp;"",SERVER!$B$3:$B$1009&amp;"",SERVER!$H$3:$H$1009,""),""),IF(TRIM(_xlpm.srcCat)&lt;&gt;TRIM($J583),"",_xlfn.SWITCH($I583,"Computer",_xlfn.XLOOKUP($K583&amp;"",COMPUTER!$B$3:$B$1009&amp;"",COMPUTER!$K$3:$K$1009,""),"Display",_xlfn.XLOOKUP($K583&amp;"",DISPLAY!$B$3:$B$1000&amp;"",DISPLAY!$L$3:$L$1000,""),"Network Device",_xlfn.XLOOKUP($K583&amp;"",'NETWORK-DEVICES'!$B$3:$B$987&amp;"",'NETWORK-DEVICES'!$K$3:$K$987,""),"Peripheral",_xlfn.XLOOKUP($K583&amp;"",PERIPHERAL!$B$3:$B$954&amp;"",PERIPHERAL!$K$3:$K$954,""),"Utilities",_xlfn.XLOOKUP($K583&amp;"",UTILITIES!$B$3:$B$953&amp;"",UTILITIES!$J$3:$J$953,""),"IOT",_xlfn.XLOOKUP($K583&amp;"",IOT!$B$3:$B$1012&amp;"",IOT!$K$4:$K$1012,""),"Server",_xlfn.XLOOKUP($K583&amp;"",SERVER!$B$3:$B$1009&amp;"",SERVER!$K$3:$K$1009,""),""))))</f>
        <v/>
      </c>
      <c r="O583" s="1" t="str" cm="1">
        <f t="array" ref="O583">IF(OR($K583="",$I583="",$J583=""),"",_xlfn.LET(_xlpm.srcCat,_xlfn.SWITCH($I583,"Computer",_xlfn.XLOOKUP($K583&amp;"",COMPUTER!$B$3:$B$1009&amp;"",COMPUTER!$H$3:$H$1009,""),"Display",_xlfn.XLOOKUP($K583&amp;"",DISPLAY!$B$3:$B$1000&amp;"",DISPLAY!$H$3:$H$1000,""),"Network Device",_xlfn.XLOOKUP($K583&amp;"",'NETWORK-DEVICES'!$B$3:$B$987&amp;"",'NETWORK-DEVICES'!$H$3:$H$987,""),"Peripheral",_xlfn.XLOOKUP($K583&amp;"",PERIPHERAL!$B$3:$B$954&amp;"",PERIPHERAL!$H$3:$H$954,""),"Utilities",_xlfn.XLOOKUP($K583&amp;"",UTILITIES!$B$3:$B$953&amp;"",UTILITIES!$G$3:$G$953,""),"IOT",_xlfn.XLOOKUP($K583&amp;"",IOT!$B$3:$B$1012&amp;"",IOT!$H$3:$H$1012,""),"Server",_xlfn.XLOOKUP($K583&amp;"",SERVER!$B$3:$B$1009&amp;"",SERVER!$H$3:$H$1009,""),""),IF(TRIM(_xlpm.srcCat)&lt;&gt;TRIM($J583),"",_xlfn.SWITCH($I583,"Computer",_xlfn.XLOOKUP($K583&amp;"",COMPUTER!$B$3:$B$1009&amp;"",COMPUTER!$E$3:$E$1009,""),"Display",_xlfn.XLOOKUP($K583&amp;"",DISPLAY!$B$3:$B$1000&amp;"",DISPLAY!$E$3:$E$1000,""),"Network Device",_xlfn.XLOOKUP($K583&amp;"",'NETWORK-DEVICES'!$B$3:$B$987&amp;"",'NETWORK-DEVICES'!$E$3:$E$987,""),"Peripheral",_xlfn.XLOOKUP($K583&amp;"",PERIPHERAL!$B$3:$B$954&amp;"",PERIPHERAL!$E$3:$E$954,""),"Utilities",_xlfn.XLOOKUP($K583&amp;"",UTILITIES!$B$3:$B$953&amp;"",UTILITIES!$E$3:$E$953,""),"IOT",_xlfn.XLOOKUP($K583&amp;"",IOT!$B$3:$B$1012&amp;"",IOT!$E$3:$E$1012,""),"Server",_xlfn.XLOOKUP($K583&amp;"",SERVER!$B$3:$B$1009&amp;"",SERVER!$E$3:$E$1009,""),""))))</f>
        <v/>
      </c>
      <c r="Q583" s="1" t="str" cm="1">
        <f t="array" ref="Q583">IF(OR($K583="",$I583="",$J583=""),"",_xlfn.LET(_xlpm.srcCat,_xlfn.SWITCH($I583,"Computer",_xlfn.XLOOKUP($K583&amp;"",COMPUTER!$B$3:$B$1009&amp;"",COMPUTER!$H$3:$H$1009,""),"Display",_xlfn.XLOOKUP($K583&amp;"",DISPLAY!$B$3:$B$1000&amp;"",DISPLAY!$H$3:$H$1000,""),"Network Device",_xlfn.XLOOKUP($K583&amp;"",'NETWORK-DEVICES'!$B$3:$B$987&amp;"",'NETWORK-DEVICES'!$H$3:$H$987,""),"Peripheral",_xlfn.XLOOKUP($K583&amp;"",PERIPHERAL!$B$3:$B$954&amp;"",PERIPHERAL!$H$3:$H$954,""),"Utilities",_xlfn.XLOOKUP($K583&amp;"",UTILITIES!$B$3:$B$953&amp;"",UTILITIES!$G$3:$G$953,""),"IOT",_xlfn.XLOOKUP($K583&amp;"",IOT!$B$3:$B$1012&amp;"",IOT!$H$3:$H$1012,""),"Server",_xlfn.XLOOKUP($K583&amp;"",SERVER!$B$3:$B$1009&amp;"",SERVER!$H$3:$H$1009,""),""),IF(TRIM(_xlpm.srcCat)&lt;&gt;TRIM($J583),"",_xlfn.SWITCH($I583,"Computer",_xlfn.XLOOKUP($K583&amp;"",COMPUTER!$B$3:$B$1009&amp;"",COMPUTER!$AM$3:$AM$1009,""),"Display",_xlfn.XLOOKUP($K583&amp;"",DISPLAY!$B$3:$B$1000&amp;"",DISPLAY!$V$3:$V$1000,""),"Network Device",_xlfn.XLOOKUP($K583&amp;"",'NETWORK-DEVICES'!$B$3:$B$987&amp;"",'NETWORK-DEVICES'!$AF$3:$AF$987,""),"Peripheral",_xlfn.XLOOKUP($K583&amp;"",PERIPHERAL!$B$3:$B$954&amp;"",PERIPHERAL!$Y$3:$Y$954,""),"Utilities",_xlfn.XLOOKUP($K583&amp;"",UTILITIES!$B$3:$B$953&amp;"",UTILITIES!$O$3:$O$953,""),"IOT",_xlfn.XLOOKUP($K583&amp;"",IOT!$B$3:$B$1012&amp;"",IOT!$AB$3:$AB$1012,""),"Server",_xlfn.XLOOKUP($K583&amp;"",SERVER!$B$3:$B$1009&amp;"",SERVER!$AB$3:$AB$1009,""),""))))</f>
        <v/>
      </c>
      <c r="R583" s="43" t="str">
        <f>IF(tbl_handover[[#This Row],[Asset Code]]="","",COUNTIF(tbl_handover[Asset Code],tbl_handover[[#This Row],[Asset Code]]))</f>
        <v/>
      </c>
    </row>
    <row r="584" spans="1:18" x14ac:dyDescent="0.25">
      <c r="A584" s="43" t="str">
        <f>IF(B584&lt;&gt;"",SUBTOTAL(3,$B$1:B583),"")</f>
        <v/>
      </c>
      <c r="C584" s="74"/>
      <c r="D584" s="74"/>
      <c r="G584" s="1"/>
      <c r="K584" s="42"/>
      <c r="L584" t="str" cm="1">
        <f t="array" ref="L584">IF($K584="","",_xlfn.SWITCH($I584,"Computer",_xlfn.XLOOKUP($K584&amp;"",COMPUTER!$B$3:$B$1009&amp;"",COMPUTER!$I$3:$I$1009,""),"Display",_xlfn.XLOOKUP($K584&amp;"",DISPLAY!$B$3:$B$1000&amp;"",DISPLAY!$J$3:$J$1000,""),"Network Device",_xlfn.XLOOKUP($K584&amp;"",'NETWORK-DEVICES'!$B$3:$B$987&amp;"",'NETWORK-DEVICES'!$I$3:$I$987,""),"Peripheral",_xlfn.XLOOKUP($K584&amp;"",PERIPHERAL!$B$3:$B$954&amp;"",PERIPHERAL!$I$3:$I$954,""),"Utilities",_xlfn.XLOOKUP($K584&amp;"",UTILITIES!$B$3:$B$953&amp;"",UTILITIES!$H$3:$H$953,""),"IOT",_xlfn.XLOOKUP($K584&amp;"",IOT!$B$3:$B$1012&amp;"",IOT!$I$3:$I$1012,""),"SERVER",_xlfn.XLOOKUP($K584&amp;"",SERVER!$B$3:$B$1009&amp;"",SERVER!$I$3:$I$1009,""),""))</f>
        <v/>
      </c>
      <c r="M584" t="str" cm="1">
        <f t="array" ref="M584">IF($K584="","",_xlfn.SWITCH($I584,"Computer",_xlfn.XLOOKUP($K584&amp;"",COMPUTER!$B$3:$B$1009&amp;"",COMPUTER!$J$3:$J$1009,""),"Display",_xlfn.XLOOKUP($K584&amp;"",DISPLAY!$B$3:$B$1000&amp;"",DISPLAY!$K$3:$K$1000,""),"Network Device",_xlfn.XLOOKUP($K584&amp;"",'NETWORK-DEVICES'!$B$3:$B$987&amp;"",'NETWORK-DEVICES'!$I$3:$I$987,""),"Peripheral",_xlfn.XLOOKUP($K584&amp;"",PERIPHERAL!$B$3:$B$954&amp;"",PERIPHERAL!$J$3:$J$954,""),"Utilities",_xlfn.XLOOKUP($K584&amp;"",UTILITIES!$B$3:$B$953&amp;"",UTILITIES!$I$3:$I$953,""),"IOT",_xlfn.XLOOKUP($K584&amp;"",IOT!$B$3:$B$1012&amp;"",IOT!$J$3:$J$1012,""),"Server",_xlfn.XLOOKUP($K584&amp;"",SERVER!$B$3:$B$1009&amp;"",SERVER!$J$3:$J$1009,""),""))</f>
        <v/>
      </c>
      <c r="N584" s="1" t="str" cm="1">
        <f t="array" ref="N584">IF(OR($K584="",$I584="",$J584=""),"",_xlfn.LET(_xlpm.srcCat,_xlfn.SWITCH($I584,"Computer",_xlfn.XLOOKUP($K584&amp;"",COMPUTER!$B$3:$B$1009&amp;"",COMPUTER!$H$3:$H$1009,""),"Display",_xlfn.XLOOKUP($K584&amp;"",DISPLAY!$B$3:$B$1000&amp;"",DISPLAY!$H$3:$H$1000,""),"Network Device",_xlfn.XLOOKUP($K584&amp;"",'NETWORK-DEVICES'!$B$3:$B$987&amp;"",'NETWORK-DEVICES'!$H$3:$H$987,""),"Peripheral",_xlfn.XLOOKUP($K584&amp;"",PERIPHERAL!$B$3:$B$954&amp;"",PERIPHERAL!$H$3:$H$954,""),"Utilities",_xlfn.XLOOKUP($K584&amp;"",UTILITIES!$B$3:$B$953&amp;"",UTILITIES!$G$3:$G$953,""),"IOT",_xlfn.XLOOKUP($K584&amp;"",IOT!$B$3:$B$1012&amp;"",IOT!$H$3:$H$1012,""),"Server",_xlfn.XLOOKUP($K584&amp;"",SERVER!$B$3:$B$1009&amp;"",SERVER!$H$3:$H$1009,""),""),IF(TRIM(_xlpm.srcCat)&lt;&gt;TRIM($J584),"",_xlfn.SWITCH($I584,"Computer",_xlfn.XLOOKUP($K584&amp;"",COMPUTER!$B$3:$B$1009&amp;"",COMPUTER!$K$3:$K$1009,""),"Display",_xlfn.XLOOKUP($K584&amp;"",DISPLAY!$B$3:$B$1000&amp;"",DISPLAY!$L$3:$L$1000,""),"Network Device",_xlfn.XLOOKUP($K584&amp;"",'NETWORK-DEVICES'!$B$3:$B$987&amp;"",'NETWORK-DEVICES'!$K$3:$K$987,""),"Peripheral",_xlfn.XLOOKUP($K584&amp;"",PERIPHERAL!$B$3:$B$954&amp;"",PERIPHERAL!$K$3:$K$954,""),"Utilities",_xlfn.XLOOKUP($K584&amp;"",UTILITIES!$B$3:$B$953&amp;"",UTILITIES!$J$3:$J$953,""),"IOT",_xlfn.XLOOKUP($K584&amp;"",IOT!$B$3:$B$1012&amp;"",IOT!$K$4:$K$1012,""),"Server",_xlfn.XLOOKUP($K584&amp;"",SERVER!$B$3:$B$1009&amp;"",SERVER!$K$3:$K$1009,""),""))))</f>
        <v/>
      </c>
      <c r="O584" s="1" t="str" cm="1">
        <f t="array" ref="O584">IF(OR($K584="",$I584="",$J584=""),"",_xlfn.LET(_xlpm.srcCat,_xlfn.SWITCH($I584,"Computer",_xlfn.XLOOKUP($K584&amp;"",COMPUTER!$B$3:$B$1009&amp;"",COMPUTER!$H$3:$H$1009,""),"Display",_xlfn.XLOOKUP($K584&amp;"",DISPLAY!$B$3:$B$1000&amp;"",DISPLAY!$H$3:$H$1000,""),"Network Device",_xlfn.XLOOKUP($K584&amp;"",'NETWORK-DEVICES'!$B$3:$B$987&amp;"",'NETWORK-DEVICES'!$H$3:$H$987,""),"Peripheral",_xlfn.XLOOKUP($K584&amp;"",PERIPHERAL!$B$3:$B$954&amp;"",PERIPHERAL!$H$3:$H$954,""),"Utilities",_xlfn.XLOOKUP($K584&amp;"",UTILITIES!$B$3:$B$953&amp;"",UTILITIES!$G$3:$G$953,""),"IOT",_xlfn.XLOOKUP($K584&amp;"",IOT!$B$3:$B$1012&amp;"",IOT!$H$3:$H$1012,""),"Server",_xlfn.XLOOKUP($K584&amp;"",SERVER!$B$3:$B$1009&amp;"",SERVER!$H$3:$H$1009,""),""),IF(TRIM(_xlpm.srcCat)&lt;&gt;TRIM($J584),"",_xlfn.SWITCH($I584,"Computer",_xlfn.XLOOKUP($K584&amp;"",COMPUTER!$B$3:$B$1009&amp;"",COMPUTER!$E$3:$E$1009,""),"Display",_xlfn.XLOOKUP($K584&amp;"",DISPLAY!$B$3:$B$1000&amp;"",DISPLAY!$E$3:$E$1000,""),"Network Device",_xlfn.XLOOKUP($K584&amp;"",'NETWORK-DEVICES'!$B$3:$B$987&amp;"",'NETWORK-DEVICES'!$E$3:$E$987,""),"Peripheral",_xlfn.XLOOKUP($K584&amp;"",PERIPHERAL!$B$3:$B$954&amp;"",PERIPHERAL!$E$3:$E$954,""),"Utilities",_xlfn.XLOOKUP($K584&amp;"",UTILITIES!$B$3:$B$953&amp;"",UTILITIES!$E$3:$E$953,""),"IOT",_xlfn.XLOOKUP($K584&amp;"",IOT!$B$3:$B$1012&amp;"",IOT!$E$3:$E$1012,""),"Server",_xlfn.XLOOKUP($K584&amp;"",SERVER!$B$3:$B$1009&amp;"",SERVER!$E$3:$E$1009,""),""))))</f>
        <v/>
      </c>
      <c r="Q584" s="1" t="str" cm="1">
        <f t="array" ref="Q584">IF(OR($K584="",$I584="",$J584=""),"",_xlfn.LET(_xlpm.srcCat,_xlfn.SWITCH($I584,"Computer",_xlfn.XLOOKUP($K584&amp;"",COMPUTER!$B$3:$B$1009&amp;"",COMPUTER!$H$3:$H$1009,""),"Display",_xlfn.XLOOKUP($K584&amp;"",DISPLAY!$B$3:$B$1000&amp;"",DISPLAY!$H$3:$H$1000,""),"Network Device",_xlfn.XLOOKUP($K584&amp;"",'NETWORK-DEVICES'!$B$3:$B$987&amp;"",'NETWORK-DEVICES'!$H$3:$H$987,""),"Peripheral",_xlfn.XLOOKUP($K584&amp;"",PERIPHERAL!$B$3:$B$954&amp;"",PERIPHERAL!$H$3:$H$954,""),"Utilities",_xlfn.XLOOKUP($K584&amp;"",UTILITIES!$B$3:$B$953&amp;"",UTILITIES!$G$3:$G$953,""),"IOT",_xlfn.XLOOKUP($K584&amp;"",IOT!$B$3:$B$1012&amp;"",IOT!$H$3:$H$1012,""),"Server",_xlfn.XLOOKUP($K584&amp;"",SERVER!$B$3:$B$1009&amp;"",SERVER!$H$3:$H$1009,""),""),IF(TRIM(_xlpm.srcCat)&lt;&gt;TRIM($J584),"",_xlfn.SWITCH($I584,"Computer",_xlfn.XLOOKUP($K584&amp;"",COMPUTER!$B$3:$B$1009&amp;"",COMPUTER!$AM$3:$AM$1009,""),"Display",_xlfn.XLOOKUP($K584&amp;"",DISPLAY!$B$3:$B$1000&amp;"",DISPLAY!$V$3:$V$1000,""),"Network Device",_xlfn.XLOOKUP($K584&amp;"",'NETWORK-DEVICES'!$B$3:$B$987&amp;"",'NETWORK-DEVICES'!$AF$3:$AF$987,""),"Peripheral",_xlfn.XLOOKUP($K584&amp;"",PERIPHERAL!$B$3:$B$954&amp;"",PERIPHERAL!$Y$3:$Y$954,""),"Utilities",_xlfn.XLOOKUP($K584&amp;"",UTILITIES!$B$3:$B$953&amp;"",UTILITIES!$O$3:$O$953,""),"IOT",_xlfn.XLOOKUP($K584&amp;"",IOT!$B$3:$B$1012&amp;"",IOT!$AB$3:$AB$1012,""),"Server",_xlfn.XLOOKUP($K584&amp;"",SERVER!$B$3:$B$1009&amp;"",SERVER!$AB$3:$AB$1009,""),""))))</f>
        <v/>
      </c>
      <c r="R584" s="43" t="str">
        <f>IF(tbl_handover[[#This Row],[Asset Code]]="","",COUNTIF(tbl_handover[Asset Code],tbl_handover[[#This Row],[Asset Code]]))</f>
        <v/>
      </c>
    </row>
    <row r="585" spans="1:18" x14ac:dyDescent="0.25">
      <c r="A585" s="43" t="str">
        <f>IF(B585&lt;&gt;"",SUBTOTAL(3,$B$1:B584),"")</f>
        <v/>
      </c>
      <c r="C585" s="74"/>
      <c r="D585" s="74"/>
      <c r="G585" s="1"/>
      <c r="K585" s="42"/>
      <c r="L585" t="str" cm="1">
        <f t="array" ref="L585">IF($K585="","",_xlfn.SWITCH($I585,"Computer",_xlfn.XLOOKUP($K585&amp;"",COMPUTER!$B$3:$B$1009&amp;"",COMPUTER!$I$3:$I$1009,""),"Display",_xlfn.XLOOKUP($K585&amp;"",DISPLAY!$B$3:$B$1000&amp;"",DISPLAY!$J$3:$J$1000,""),"Network Device",_xlfn.XLOOKUP($K585&amp;"",'NETWORK-DEVICES'!$B$3:$B$987&amp;"",'NETWORK-DEVICES'!$I$3:$I$987,""),"Peripheral",_xlfn.XLOOKUP($K585&amp;"",PERIPHERAL!$B$3:$B$954&amp;"",PERIPHERAL!$I$3:$I$954,""),"Utilities",_xlfn.XLOOKUP($K585&amp;"",UTILITIES!$B$3:$B$953&amp;"",UTILITIES!$H$3:$H$953,""),"IOT",_xlfn.XLOOKUP($K585&amp;"",IOT!$B$3:$B$1012&amp;"",IOT!$I$3:$I$1012,""),"SERVER",_xlfn.XLOOKUP($K585&amp;"",SERVER!$B$3:$B$1009&amp;"",SERVER!$I$3:$I$1009,""),""))</f>
        <v/>
      </c>
      <c r="M585" t="str" cm="1">
        <f t="array" ref="M585">IF($K585="","",_xlfn.SWITCH($I585,"Computer",_xlfn.XLOOKUP($K585&amp;"",COMPUTER!$B$3:$B$1009&amp;"",COMPUTER!$J$3:$J$1009,""),"Display",_xlfn.XLOOKUP($K585&amp;"",DISPLAY!$B$3:$B$1000&amp;"",DISPLAY!$K$3:$K$1000,""),"Network Device",_xlfn.XLOOKUP($K585&amp;"",'NETWORK-DEVICES'!$B$3:$B$987&amp;"",'NETWORK-DEVICES'!$I$3:$I$987,""),"Peripheral",_xlfn.XLOOKUP($K585&amp;"",PERIPHERAL!$B$3:$B$954&amp;"",PERIPHERAL!$J$3:$J$954,""),"Utilities",_xlfn.XLOOKUP($K585&amp;"",UTILITIES!$B$3:$B$953&amp;"",UTILITIES!$I$3:$I$953,""),"IOT",_xlfn.XLOOKUP($K585&amp;"",IOT!$B$3:$B$1012&amp;"",IOT!$J$3:$J$1012,""),"Server",_xlfn.XLOOKUP($K585&amp;"",SERVER!$B$3:$B$1009&amp;"",SERVER!$J$3:$J$1009,""),""))</f>
        <v/>
      </c>
      <c r="N585" s="1" t="str" cm="1">
        <f t="array" ref="N585">IF(OR($K585="",$I585="",$J585=""),"",_xlfn.LET(_xlpm.srcCat,_xlfn.SWITCH($I585,"Computer",_xlfn.XLOOKUP($K585&amp;"",COMPUTER!$B$3:$B$1009&amp;"",COMPUTER!$H$3:$H$1009,""),"Display",_xlfn.XLOOKUP($K585&amp;"",DISPLAY!$B$3:$B$1000&amp;"",DISPLAY!$H$3:$H$1000,""),"Network Device",_xlfn.XLOOKUP($K585&amp;"",'NETWORK-DEVICES'!$B$3:$B$987&amp;"",'NETWORK-DEVICES'!$H$3:$H$987,""),"Peripheral",_xlfn.XLOOKUP($K585&amp;"",PERIPHERAL!$B$3:$B$954&amp;"",PERIPHERAL!$H$3:$H$954,""),"Utilities",_xlfn.XLOOKUP($K585&amp;"",UTILITIES!$B$3:$B$953&amp;"",UTILITIES!$G$3:$G$953,""),"IOT",_xlfn.XLOOKUP($K585&amp;"",IOT!$B$3:$B$1012&amp;"",IOT!$H$3:$H$1012,""),"Server",_xlfn.XLOOKUP($K585&amp;"",SERVER!$B$3:$B$1009&amp;"",SERVER!$H$3:$H$1009,""),""),IF(TRIM(_xlpm.srcCat)&lt;&gt;TRIM($J585),"",_xlfn.SWITCH($I585,"Computer",_xlfn.XLOOKUP($K585&amp;"",COMPUTER!$B$3:$B$1009&amp;"",COMPUTER!$K$3:$K$1009,""),"Display",_xlfn.XLOOKUP($K585&amp;"",DISPLAY!$B$3:$B$1000&amp;"",DISPLAY!$L$3:$L$1000,""),"Network Device",_xlfn.XLOOKUP($K585&amp;"",'NETWORK-DEVICES'!$B$3:$B$987&amp;"",'NETWORK-DEVICES'!$K$3:$K$987,""),"Peripheral",_xlfn.XLOOKUP($K585&amp;"",PERIPHERAL!$B$3:$B$954&amp;"",PERIPHERAL!$K$3:$K$954,""),"Utilities",_xlfn.XLOOKUP($K585&amp;"",UTILITIES!$B$3:$B$953&amp;"",UTILITIES!$J$3:$J$953,""),"IOT",_xlfn.XLOOKUP($K585&amp;"",IOT!$B$3:$B$1012&amp;"",IOT!$K$4:$K$1012,""),"Server",_xlfn.XLOOKUP($K585&amp;"",SERVER!$B$3:$B$1009&amp;"",SERVER!$K$3:$K$1009,""),""))))</f>
        <v/>
      </c>
      <c r="O585" s="1" t="str" cm="1">
        <f t="array" ref="O585">IF(OR($K585="",$I585="",$J585=""),"",_xlfn.LET(_xlpm.srcCat,_xlfn.SWITCH($I585,"Computer",_xlfn.XLOOKUP($K585&amp;"",COMPUTER!$B$3:$B$1009&amp;"",COMPUTER!$H$3:$H$1009,""),"Display",_xlfn.XLOOKUP($K585&amp;"",DISPLAY!$B$3:$B$1000&amp;"",DISPLAY!$H$3:$H$1000,""),"Network Device",_xlfn.XLOOKUP($K585&amp;"",'NETWORK-DEVICES'!$B$3:$B$987&amp;"",'NETWORK-DEVICES'!$H$3:$H$987,""),"Peripheral",_xlfn.XLOOKUP($K585&amp;"",PERIPHERAL!$B$3:$B$954&amp;"",PERIPHERAL!$H$3:$H$954,""),"Utilities",_xlfn.XLOOKUP($K585&amp;"",UTILITIES!$B$3:$B$953&amp;"",UTILITIES!$G$3:$G$953,""),"IOT",_xlfn.XLOOKUP($K585&amp;"",IOT!$B$3:$B$1012&amp;"",IOT!$H$3:$H$1012,""),"Server",_xlfn.XLOOKUP($K585&amp;"",SERVER!$B$3:$B$1009&amp;"",SERVER!$H$3:$H$1009,""),""),IF(TRIM(_xlpm.srcCat)&lt;&gt;TRIM($J585),"",_xlfn.SWITCH($I585,"Computer",_xlfn.XLOOKUP($K585&amp;"",COMPUTER!$B$3:$B$1009&amp;"",COMPUTER!$E$3:$E$1009,""),"Display",_xlfn.XLOOKUP($K585&amp;"",DISPLAY!$B$3:$B$1000&amp;"",DISPLAY!$E$3:$E$1000,""),"Network Device",_xlfn.XLOOKUP($K585&amp;"",'NETWORK-DEVICES'!$B$3:$B$987&amp;"",'NETWORK-DEVICES'!$E$3:$E$987,""),"Peripheral",_xlfn.XLOOKUP($K585&amp;"",PERIPHERAL!$B$3:$B$954&amp;"",PERIPHERAL!$E$3:$E$954,""),"Utilities",_xlfn.XLOOKUP($K585&amp;"",UTILITIES!$B$3:$B$953&amp;"",UTILITIES!$E$3:$E$953,""),"IOT",_xlfn.XLOOKUP($K585&amp;"",IOT!$B$3:$B$1012&amp;"",IOT!$E$3:$E$1012,""),"Server",_xlfn.XLOOKUP($K585&amp;"",SERVER!$B$3:$B$1009&amp;"",SERVER!$E$3:$E$1009,""),""))))</f>
        <v/>
      </c>
      <c r="Q585" s="1" t="str" cm="1">
        <f t="array" ref="Q585">IF(OR($K585="",$I585="",$J585=""),"",_xlfn.LET(_xlpm.srcCat,_xlfn.SWITCH($I585,"Computer",_xlfn.XLOOKUP($K585&amp;"",COMPUTER!$B$3:$B$1009&amp;"",COMPUTER!$H$3:$H$1009,""),"Display",_xlfn.XLOOKUP($K585&amp;"",DISPLAY!$B$3:$B$1000&amp;"",DISPLAY!$H$3:$H$1000,""),"Network Device",_xlfn.XLOOKUP($K585&amp;"",'NETWORK-DEVICES'!$B$3:$B$987&amp;"",'NETWORK-DEVICES'!$H$3:$H$987,""),"Peripheral",_xlfn.XLOOKUP($K585&amp;"",PERIPHERAL!$B$3:$B$954&amp;"",PERIPHERAL!$H$3:$H$954,""),"Utilities",_xlfn.XLOOKUP($K585&amp;"",UTILITIES!$B$3:$B$953&amp;"",UTILITIES!$G$3:$G$953,""),"IOT",_xlfn.XLOOKUP($K585&amp;"",IOT!$B$3:$B$1012&amp;"",IOT!$H$3:$H$1012,""),"Server",_xlfn.XLOOKUP($K585&amp;"",SERVER!$B$3:$B$1009&amp;"",SERVER!$H$3:$H$1009,""),""),IF(TRIM(_xlpm.srcCat)&lt;&gt;TRIM($J585),"",_xlfn.SWITCH($I585,"Computer",_xlfn.XLOOKUP($K585&amp;"",COMPUTER!$B$3:$B$1009&amp;"",COMPUTER!$AM$3:$AM$1009,""),"Display",_xlfn.XLOOKUP($K585&amp;"",DISPLAY!$B$3:$B$1000&amp;"",DISPLAY!$V$3:$V$1000,""),"Network Device",_xlfn.XLOOKUP($K585&amp;"",'NETWORK-DEVICES'!$B$3:$B$987&amp;"",'NETWORK-DEVICES'!$AF$3:$AF$987,""),"Peripheral",_xlfn.XLOOKUP($K585&amp;"",PERIPHERAL!$B$3:$B$954&amp;"",PERIPHERAL!$Y$3:$Y$954,""),"Utilities",_xlfn.XLOOKUP($K585&amp;"",UTILITIES!$B$3:$B$953&amp;"",UTILITIES!$O$3:$O$953,""),"IOT",_xlfn.XLOOKUP($K585&amp;"",IOT!$B$3:$B$1012&amp;"",IOT!$AB$3:$AB$1012,""),"Server",_xlfn.XLOOKUP($K585&amp;"",SERVER!$B$3:$B$1009&amp;"",SERVER!$AB$3:$AB$1009,""),""))))</f>
        <v/>
      </c>
      <c r="R585" s="43" t="str">
        <f>IF(tbl_handover[[#This Row],[Asset Code]]="","",COUNTIF(tbl_handover[Asset Code],tbl_handover[[#This Row],[Asset Code]]))</f>
        <v/>
      </c>
    </row>
    <row r="586" spans="1:18" x14ac:dyDescent="0.25">
      <c r="A586" s="43" t="str">
        <f>IF(B586&lt;&gt;"",SUBTOTAL(3,$B$1:B585),"")</f>
        <v/>
      </c>
      <c r="C586" s="74"/>
      <c r="D586" s="74"/>
      <c r="G586" s="1"/>
      <c r="K586" s="42"/>
      <c r="L586" t="str" cm="1">
        <f t="array" ref="L586">IF($K586="","",_xlfn.SWITCH($I586,"Computer",_xlfn.XLOOKUP($K586&amp;"",COMPUTER!$B$3:$B$1009&amp;"",COMPUTER!$I$3:$I$1009,""),"Display",_xlfn.XLOOKUP($K586&amp;"",DISPLAY!$B$3:$B$1000&amp;"",DISPLAY!$J$3:$J$1000,""),"Network Device",_xlfn.XLOOKUP($K586&amp;"",'NETWORK-DEVICES'!$B$3:$B$987&amp;"",'NETWORK-DEVICES'!$I$3:$I$987,""),"Peripheral",_xlfn.XLOOKUP($K586&amp;"",PERIPHERAL!$B$3:$B$954&amp;"",PERIPHERAL!$I$3:$I$954,""),"Utilities",_xlfn.XLOOKUP($K586&amp;"",UTILITIES!$B$3:$B$953&amp;"",UTILITIES!$H$3:$H$953,""),"IOT",_xlfn.XLOOKUP($K586&amp;"",IOT!$B$3:$B$1012&amp;"",IOT!$I$3:$I$1012,""),"SERVER",_xlfn.XLOOKUP($K586&amp;"",SERVER!$B$3:$B$1009&amp;"",SERVER!$I$3:$I$1009,""),""))</f>
        <v/>
      </c>
      <c r="M586" t="str" cm="1">
        <f t="array" ref="M586">IF($K586="","",_xlfn.SWITCH($I586,"Computer",_xlfn.XLOOKUP($K586&amp;"",COMPUTER!$B$3:$B$1009&amp;"",COMPUTER!$J$3:$J$1009,""),"Display",_xlfn.XLOOKUP($K586&amp;"",DISPLAY!$B$3:$B$1000&amp;"",DISPLAY!$K$3:$K$1000,""),"Network Device",_xlfn.XLOOKUP($K586&amp;"",'NETWORK-DEVICES'!$B$3:$B$987&amp;"",'NETWORK-DEVICES'!$I$3:$I$987,""),"Peripheral",_xlfn.XLOOKUP($K586&amp;"",PERIPHERAL!$B$3:$B$954&amp;"",PERIPHERAL!$J$3:$J$954,""),"Utilities",_xlfn.XLOOKUP($K586&amp;"",UTILITIES!$B$3:$B$953&amp;"",UTILITIES!$I$3:$I$953,""),"IOT",_xlfn.XLOOKUP($K586&amp;"",IOT!$B$3:$B$1012&amp;"",IOT!$J$3:$J$1012,""),"Server",_xlfn.XLOOKUP($K586&amp;"",SERVER!$B$3:$B$1009&amp;"",SERVER!$J$3:$J$1009,""),""))</f>
        <v/>
      </c>
      <c r="N586" s="1" t="str" cm="1">
        <f t="array" ref="N586">IF(OR($K586="",$I586="",$J586=""),"",_xlfn.LET(_xlpm.srcCat,_xlfn.SWITCH($I586,"Computer",_xlfn.XLOOKUP($K586&amp;"",COMPUTER!$B$3:$B$1009&amp;"",COMPUTER!$H$3:$H$1009,""),"Display",_xlfn.XLOOKUP($K586&amp;"",DISPLAY!$B$3:$B$1000&amp;"",DISPLAY!$H$3:$H$1000,""),"Network Device",_xlfn.XLOOKUP($K586&amp;"",'NETWORK-DEVICES'!$B$3:$B$987&amp;"",'NETWORK-DEVICES'!$H$3:$H$987,""),"Peripheral",_xlfn.XLOOKUP($K586&amp;"",PERIPHERAL!$B$3:$B$954&amp;"",PERIPHERAL!$H$3:$H$954,""),"Utilities",_xlfn.XLOOKUP($K586&amp;"",UTILITIES!$B$3:$B$953&amp;"",UTILITIES!$G$3:$G$953,""),"IOT",_xlfn.XLOOKUP($K586&amp;"",IOT!$B$3:$B$1012&amp;"",IOT!$H$3:$H$1012,""),"Server",_xlfn.XLOOKUP($K586&amp;"",SERVER!$B$3:$B$1009&amp;"",SERVER!$H$3:$H$1009,""),""),IF(TRIM(_xlpm.srcCat)&lt;&gt;TRIM($J586),"",_xlfn.SWITCH($I586,"Computer",_xlfn.XLOOKUP($K586&amp;"",COMPUTER!$B$3:$B$1009&amp;"",COMPUTER!$K$3:$K$1009,""),"Display",_xlfn.XLOOKUP($K586&amp;"",DISPLAY!$B$3:$B$1000&amp;"",DISPLAY!$L$3:$L$1000,""),"Network Device",_xlfn.XLOOKUP($K586&amp;"",'NETWORK-DEVICES'!$B$3:$B$987&amp;"",'NETWORK-DEVICES'!$K$3:$K$987,""),"Peripheral",_xlfn.XLOOKUP($K586&amp;"",PERIPHERAL!$B$3:$B$954&amp;"",PERIPHERAL!$K$3:$K$954,""),"Utilities",_xlfn.XLOOKUP($K586&amp;"",UTILITIES!$B$3:$B$953&amp;"",UTILITIES!$J$3:$J$953,""),"IOT",_xlfn.XLOOKUP($K586&amp;"",IOT!$B$3:$B$1012&amp;"",IOT!$K$4:$K$1012,""),"Server",_xlfn.XLOOKUP($K586&amp;"",SERVER!$B$3:$B$1009&amp;"",SERVER!$K$3:$K$1009,""),""))))</f>
        <v/>
      </c>
      <c r="O586" s="1" t="str" cm="1">
        <f t="array" ref="O586">IF(OR($K586="",$I586="",$J586=""),"",_xlfn.LET(_xlpm.srcCat,_xlfn.SWITCH($I586,"Computer",_xlfn.XLOOKUP($K586&amp;"",COMPUTER!$B$3:$B$1009&amp;"",COMPUTER!$H$3:$H$1009,""),"Display",_xlfn.XLOOKUP($K586&amp;"",DISPLAY!$B$3:$B$1000&amp;"",DISPLAY!$H$3:$H$1000,""),"Network Device",_xlfn.XLOOKUP($K586&amp;"",'NETWORK-DEVICES'!$B$3:$B$987&amp;"",'NETWORK-DEVICES'!$H$3:$H$987,""),"Peripheral",_xlfn.XLOOKUP($K586&amp;"",PERIPHERAL!$B$3:$B$954&amp;"",PERIPHERAL!$H$3:$H$954,""),"Utilities",_xlfn.XLOOKUP($K586&amp;"",UTILITIES!$B$3:$B$953&amp;"",UTILITIES!$G$3:$G$953,""),"IOT",_xlfn.XLOOKUP($K586&amp;"",IOT!$B$3:$B$1012&amp;"",IOT!$H$3:$H$1012,""),"Server",_xlfn.XLOOKUP($K586&amp;"",SERVER!$B$3:$B$1009&amp;"",SERVER!$H$3:$H$1009,""),""),IF(TRIM(_xlpm.srcCat)&lt;&gt;TRIM($J586),"",_xlfn.SWITCH($I586,"Computer",_xlfn.XLOOKUP($K586&amp;"",COMPUTER!$B$3:$B$1009&amp;"",COMPUTER!$E$3:$E$1009,""),"Display",_xlfn.XLOOKUP($K586&amp;"",DISPLAY!$B$3:$B$1000&amp;"",DISPLAY!$E$3:$E$1000,""),"Network Device",_xlfn.XLOOKUP($K586&amp;"",'NETWORK-DEVICES'!$B$3:$B$987&amp;"",'NETWORK-DEVICES'!$E$3:$E$987,""),"Peripheral",_xlfn.XLOOKUP($K586&amp;"",PERIPHERAL!$B$3:$B$954&amp;"",PERIPHERAL!$E$3:$E$954,""),"Utilities",_xlfn.XLOOKUP($K586&amp;"",UTILITIES!$B$3:$B$953&amp;"",UTILITIES!$E$3:$E$953,""),"IOT",_xlfn.XLOOKUP($K586&amp;"",IOT!$B$3:$B$1012&amp;"",IOT!$E$3:$E$1012,""),"Server",_xlfn.XLOOKUP($K586&amp;"",SERVER!$B$3:$B$1009&amp;"",SERVER!$E$3:$E$1009,""),""))))</f>
        <v/>
      </c>
      <c r="Q586" s="1" t="str" cm="1">
        <f t="array" ref="Q586">IF(OR($K586="",$I586="",$J586=""),"",_xlfn.LET(_xlpm.srcCat,_xlfn.SWITCH($I586,"Computer",_xlfn.XLOOKUP($K586&amp;"",COMPUTER!$B$3:$B$1009&amp;"",COMPUTER!$H$3:$H$1009,""),"Display",_xlfn.XLOOKUP($K586&amp;"",DISPLAY!$B$3:$B$1000&amp;"",DISPLAY!$H$3:$H$1000,""),"Network Device",_xlfn.XLOOKUP($K586&amp;"",'NETWORK-DEVICES'!$B$3:$B$987&amp;"",'NETWORK-DEVICES'!$H$3:$H$987,""),"Peripheral",_xlfn.XLOOKUP($K586&amp;"",PERIPHERAL!$B$3:$B$954&amp;"",PERIPHERAL!$H$3:$H$954,""),"Utilities",_xlfn.XLOOKUP($K586&amp;"",UTILITIES!$B$3:$B$953&amp;"",UTILITIES!$G$3:$G$953,""),"IOT",_xlfn.XLOOKUP($K586&amp;"",IOT!$B$3:$B$1012&amp;"",IOT!$H$3:$H$1012,""),"Server",_xlfn.XLOOKUP($K586&amp;"",SERVER!$B$3:$B$1009&amp;"",SERVER!$H$3:$H$1009,""),""),IF(TRIM(_xlpm.srcCat)&lt;&gt;TRIM($J586),"",_xlfn.SWITCH($I586,"Computer",_xlfn.XLOOKUP($K586&amp;"",COMPUTER!$B$3:$B$1009&amp;"",COMPUTER!$AM$3:$AM$1009,""),"Display",_xlfn.XLOOKUP($K586&amp;"",DISPLAY!$B$3:$B$1000&amp;"",DISPLAY!$V$3:$V$1000,""),"Network Device",_xlfn.XLOOKUP($K586&amp;"",'NETWORK-DEVICES'!$B$3:$B$987&amp;"",'NETWORK-DEVICES'!$AF$3:$AF$987,""),"Peripheral",_xlfn.XLOOKUP($K586&amp;"",PERIPHERAL!$B$3:$B$954&amp;"",PERIPHERAL!$Y$3:$Y$954,""),"Utilities",_xlfn.XLOOKUP($K586&amp;"",UTILITIES!$B$3:$B$953&amp;"",UTILITIES!$O$3:$O$953,""),"IOT",_xlfn.XLOOKUP($K586&amp;"",IOT!$B$3:$B$1012&amp;"",IOT!$AB$3:$AB$1012,""),"Server",_xlfn.XLOOKUP($K586&amp;"",SERVER!$B$3:$B$1009&amp;"",SERVER!$AB$3:$AB$1009,""),""))))</f>
        <v/>
      </c>
      <c r="R586" s="43" t="str">
        <f>IF(tbl_handover[[#This Row],[Asset Code]]="","",COUNTIF(tbl_handover[Asset Code],tbl_handover[[#This Row],[Asset Code]]))</f>
        <v/>
      </c>
    </row>
    <row r="587" spans="1:18" x14ac:dyDescent="0.25">
      <c r="A587" s="43" t="str">
        <f>IF(B587&lt;&gt;"",SUBTOTAL(3,$B$1:B586),"")</f>
        <v/>
      </c>
      <c r="C587" s="74"/>
      <c r="D587" s="74"/>
      <c r="G587" s="1"/>
      <c r="K587" s="42"/>
      <c r="L587" t="str" cm="1">
        <f t="array" ref="L587">IF($K587="","",_xlfn.SWITCH($I587,"Computer",_xlfn.XLOOKUP($K587&amp;"",COMPUTER!$B$3:$B$1009&amp;"",COMPUTER!$I$3:$I$1009,""),"Display",_xlfn.XLOOKUP($K587&amp;"",DISPLAY!$B$3:$B$1000&amp;"",DISPLAY!$J$3:$J$1000,""),"Network Device",_xlfn.XLOOKUP($K587&amp;"",'NETWORK-DEVICES'!$B$3:$B$987&amp;"",'NETWORK-DEVICES'!$I$3:$I$987,""),"Peripheral",_xlfn.XLOOKUP($K587&amp;"",PERIPHERAL!$B$3:$B$954&amp;"",PERIPHERAL!$I$3:$I$954,""),"Utilities",_xlfn.XLOOKUP($K587&amp;"",UTILITIES!$B$3:$B$953&amp;"",UTILITIES!$H$3:$H$953,""),"IOT",_xlfn.XLOOKUP($K587&amp;"",IOT!$B$3:$B$1012&amp;"",IOT!$I$3:$I$1012,""),"SERVER",_xlfn.XLOOKUP($K587&amp;"",SERVER!$B$3:$B$1009&amp;"",SERVER!$I$3:$I$1009,""),""))</f>
        <v/>
      </c>
      <c r="M587" t="str" cm="1">
        <f t="array" ref="M587">IF($K587="","",_xlfn.SWITCH($I587,"Computer",_xlfn.XLOOKUP($K587&amp;"",COMPUTER!$B$3:$B$1009&amp;"",COMPUTER!$J$3:$J$1009,""),"Display",_xlfn.XLOOKUP($K587&amp;"",DISPLAY!$B$3:$B$1000&amp;"",DISPLAY!$K$3:$K$1000,""),"Network Device",_xlfn.XLOOKUP($K587&amp;"",'NETWORK-DEVICES'!$B$3:$B$987&amp;"",'NETWORK-DEVICES'!$I$3:$I$987,""),"Peripheral",_xlfn.XLOOKUP($K587&amp;"",PERIPHERAL!$B$3:$B$954&amp;"",PERIPHERAL!$J$3:$J$954,""),"Utilities",_xlfn.XLOOKUP($K587&amp;"",UTILITIES!$B$3:$B$953&amp;"",UTILITIES!$I$3:$I$953,""),"IOT",_xlfn.XLOOKUP($K587&amp;"",IOT!$B$3:$B$1012&amp;"",IOT!$J$3:$J$1012,""),"Server",_xlfn.XLOOKUP($K587&amp;"",SERVER!$B$3:$B$1009&amp;"",SERVER!$J$3:$J$1009,""),""))</f>
        <v/>
      </c>
      <c r="N587" s="1" t="str" cm="1">
        <f t="array" ref="N587">IF(OR($K587="",$I587="",$J587=""),"",_xlfn.LET(_xlpm.srcCat,_xlfn.SWITCH($I587,"Computer",_xlfn.XLOOKUP($K587&amp;"",COMPUTER!$B$3:$B$1009&amp;"",COMPUTER!$H$3:$H$1009,""),"Display",_xlfn.XLOOKUP($K587&amp;"",DISPLAY!$B$3:$B$1000&amp;"",DISPLAY!$H$3:$H$1000,""),"Network Device",_xlfn.XLOOKUP($K587&amp;"",'NETWORK-DEVICES'!$B$3:$B$987&amp;"",'NETWORK-DEVICES'!$H$3:$H$987,""),"Peripheral",_xlfn.XLOOKUP($K587&amp;"",PERIPHERAL!$B$3:$B$954&amp;"",PERIPHERAL!$H$3:$H$954,""),"Utilities",_xlfn.XLOOKUP($K587&amp;"",UTILITIES!$B$3:$B$953&amp;"",UTILITIES!$G$3:$G$953,""),"IOT",_xlfn.XLOOKUP($K587&amp;"",IOT!$B$3:$B$1012&amp;"",IOT!$H$3:$H$1012,""),"Server",_xlfn.XLOOKUP($K587&amp;"",SERVER!$B$3:$B$1009&amp;"",SERVER!$H$3:$H$1009,""),""),IF(TRIM(_xlpm.srcCat)&lt;&gt;TRIM($J587),"",_xlfn.SWITCH($I587,"Computer",_xlfn.XLOOKUP($K587&amp;"",COMPUTER!$B$3:$B$1009&amp;"",COMPUTER!$K$3:$K$1009,""),"Display",_xlfn.XLOOKUP($K587&amp;"",DISPLAY!$B$3:$B$1000&amp;"",DISPLAY!$L$3:$L$1000,""),"Network Device",_xlfn.XLOOKUP($K587&amp;"",'NETWORK-DEVICES'!$B$3:$B$987&amp;"",'NETWORK-DEVICES'!$K$3:$K$987,""),"Peripheral",_xlfn.XLOOKUP($K587&amp;"",PERIPHERAL!$B$3:$B$954&amp;"",PERIPHERAL!$K$3:$K$954,""),"Utilities",_xlfn.XLOOKUP($K587&amp;"",UTILITIES!$B$3:$B$953&amp;"",UTILITIES!$J$3:$J$953,""),"IOT",_xlfn.XLOOKUP($K587&amp;"",IOT!$B$3:$B$1012&amp;"",IOT!$K$4:$K$1012,""),"Server",_xlfn.XLOOKUP($K587&amp;"",SERVER!$B$3:$B$1009&amp;"",SERVER!$K$3:$K$1009,""),""))))</f>
        <v/>
      </c>
      <c r="O587" s="1" t="str" cm="1">
        <f t="array" ref="O587">IF(OR($K587="",$I587="",$J587=""),"",_xlfn.LET(_xlpm.srcCat,_xlfn.SWITCH($I587,"Computer",_xlfn.XLOOKUP($K587&amp;"",COMPUTER!$B$3:$B$1009&amp;"",COMPUTER!$H$3:$H$1009,""),"Display",_xlfn.XLOOKUP($K587&amp;"",DISPLAY!$B$3:$B$1000&amp;"",DISPLAY!$H$3:$H$1000,""),"Network Device",_xlfn.XLOOKUP($K587&amp;"",'NETWORK-DEVICES'!$B$3:$B$987&amp;"",'NETWORK-DEVICES'!$H$3:$H$987,""),"Peripheral",_xlfn.XLOOKUP($K587&amp;"",PERIPHERAL!$B$3:$B$954&amp;"",PERIPHERAL!$H$3:$H$954,""),"Utilities",_xlfn.XLOOKUP($K587&amp;"",UTILITIES!$B$3:$B$953&amp;"",UTILITIES!$G$3:$G$953,""),"IOT",_xlfn.XLOOKUP($K587&amp;"",IOT!$B$3:$B$1012&amp;"",IOT!$H$3:$H$1012,""),"Server",_xlfn.XLOOKUP($K587&amp;"",SERVER!$B$3:$B$1009&amp;"",SERVER!$H$3:$H$1009,""),""),IF(TRIM(_xlpm.srcCat)&lt;&gt;TRIM($J587),"",_xlfn.SWITCH($I587,"Computer",_xlfn.XLOOKUP($K587&amp;"",COMPUTER!$B$3:$B$1009&amp;"",COMPUTER!$E$3:$E$1009,""),"Display",_xlfn.XLOOKUP($K587&amp;"",DISPLAY!$B$3:$B$1000&amp;"",DISPLAY!$E$3:$E$1000,""),"Network Device",_xlfn.XLOOKUP($K587&amp;"",'NETWORK-DEVICES'!$B$3:$B$987&amp;"",'NETWORK-DEVICES'!$E$3:$E$987,""),"Peripheral",_xlfn.XLOOKUP($K587&amp;"",PERIPHERAL!$B$3:$B$954&amp;"",PERIPHERAL!$E$3:$E$954,""),"Utilities",_xlfn.XLOOKUP($K587&amp;"",UTILITIES!$B$3:$B$953&amp;"",UTILITIES!$E$3:$E$953,""),"IOT",_xlfn.XLOOKUP($K587&amp;"",IOT!$B$3:$B$1012&amp;"",IOT!$E$3:$E$1012,""),"Server",_xlfn.XLOOKUP($K587&amp;"",SERVER!$B$3:$B$1009&amp;"",SERVER!$E$3:$E$1009,""),""))))</f>
        <v/>
      </c>
      <c r="Q587" s="1" t="str" cm="1">
        <f t="array" ref="Q587">IF(OR($K587="",$I587="",$J587=""),"",_xlfn.LET(_xlpm.srcCat,_xlfn.SWITCH($I587,"Computer",_xlfn.XLOOKUP($K587&amp;"",COMPUTER!$B$3:$B$1009&amp;"",COMPUTER!$H$3:$H$1009,""),"Display",_xlfn.XLOOKUP($K587&amp;"",DISPLAY!$B$3:$B$1000&amp;"",DISPLAY!$H$3:$H$1000,""),"Network Device",_xlfn.XLOOKUP($K587&amp;"",'NETWORK-DEVICES'!$B$3:$B$987&amp;"",'NETWORK-DEVICES'!$H$3:$H$987,""),"Peripheral",_xlfn.XLOOKUP($K587&amp;"",PERIPHERAL!$B$3:$B$954&amp;"",PERIPHERAL!$H$3:$H$954,""),"Utilities",_xlfn.XLOOKUP($K587&amp;"",UTILITIES!$B$3:$B$953&amp;"",UTILITIES!$G$3:$G$953,""),"IOT",_xlfn.XLOOKUP($K587&amp;"",IOT!$B$3:$B$1012&amp;"",IOT!$H$3:$H$1012,""),"Server",_xlfn.XLOOKUP($K587&amp;"",SERVER!$B$3:$B$1009&amp;"",SERVER!$H$3:$H$1009,""),""),IF(TRIM(_xlpm.srcCat)&lt;&gt;TRIM($J587),"",_xlfn.SWITCH($I587,"Computer",_xlfn.XLOOKUP($K587&amp;"",COMPUTER!$B$3:$B$1009&amp;"",COMPUTER!$AM$3:$AM$1009,""),"Display",_xlfn.XLOOKUP($K587&amp;"",DISPLAY!$B$3:$B$1000&amp;"",DISPLAY!$V$3:$V$1000,""),"Network Device",_xlfn.XLOOKUP($K587&amp;"",'NETWORK-DEVICES'!$B$3:$B$987&amp;"",'NETWORK-DEVICES'!$AF$3:$AF$987,""),"Peripheral",_xlfn.XLOOKUP($K587&amp;"",PERIPHERAL!$B$3:$B$954&amp;"",PERIPHERAL!$Y$3:$Y$954,""),"Utilities",_xlfn.XLOOKUP($K587&amp;"",UTILITIES!$B$3:$B$953&amp;"",UTILITIES!$O$3:$O$953,""),"IOT",_xlfn.XLOOKUP($K587&amp;"",IOT!$B$3:$B$1012&amp;"",IOT!$AB$3:$AB$1012,""),"Server",_xlfn.XLOOKUP($K587&amp;"",SERVER!$B$3:$B$1009&amp;"",SERVER!$AB$3:$AB$1009,""),""))))</f>
        <v/>
      </c>
      <c r="R587" s="43" t="str">
        <f>IF(tbl_handover[[#This Row],[Asset Code]]="","",COUNTIF(tbl_handover[Asset Code],tbl_handover[[#This Row],[Asset Code]]))</f>
        <v/>
      </c>
    </row>
    <row r="588" spans="1:18" x14ac:dyDescent="0.25">
      <c r="A588" s="43" t="str">
        <f>IF(B588&lt;&gt;"",SUBTOTAL(3,$B$1:B587),"")</f>
        <v/>
      </c>
      <c r="C588" s="74"/>
      <c r="D588" s="74"/>
      <c r="G588" s="1"/>
      <c r="K588" s="42"/>
      <c r="L588" t="str" cm="1">
        <f t="array" ref="L588">IF($K588="","",_xlfn.SWITCH($I588,"Computer",_xlfn.XLOOKUP($K588&amp;"",COMPUTER!$B$3:$B$1009&amp;"",COMPUTER!$I$3:$I$1009,""),"Display",_xlfn.XLOOKUP($K588&amp;"",DISPLAY!$B$3:$B$1000&amp;"",DISPLAY!$J$3:$J$1000,""),"Network Device",_xlfn.XLOOKUP($K588&amp;"",'NETWORK-DEVICES'!$B$3:$B$987&amp;"",'NETWORK-DEVICES'!$I$3:$I$987,""),"Peripheral",_xlfn.XLOOKUP($K588&amp;"",PERIPHERAL!$B$3:$B$954&amp;"",PERIPHERAL!$I$3:$I$954,""),"Utilities",_xlfn.XLOOKUP($K588&amp;"",UTILITIES!$B$3:$B$953&amp;"",UTILITIES!$H$3:$H$953,""),"IOT",_xlfn.XLOOKUP($K588&amp;"",IOT!$B$3:$B$1012&amp;"",IOT!$I$3:$I$1012,""),"SERVER",_xlfn.XLOOKUP($K588&amp;"",SERVER!$B$3:$B$1009&amp;"",SERVER!$I$3:$I$1009,""),""))</f>
        <v/>
      </c>
      <c r="M588" t="str" cm="1">
        <f t="array" ref="M588">IF($K588="","",_xlfn.SWITCH($I588,"Computer",_xlfn.XLOOKUP($K588&amp;"",COMPUTER!$B$3:$B$1009&amp;"",COMPUTER!$J$3:$J$1009,""),"Display",_xlfn.XLOOKUP($K588&amp;"",DISPLAY!$B$3:$B$1000&amp;"",DISPLAY!$K$3:$K$1000,""),"Network Device",_xlfn.XLOOKUP($K588&amp;"",'NETWORK-DEVICES'!$B$3:$B$987&amp;"",'NETWORK-DEVICES'!$I$3:$I$987,""),"Peripheral",_xlfn.XLOOKUP($K588&amp;"",PERIPHERAL!$B$3:$B$954&amp;"",PERIPHERAL!$J$3:$J$954,""),"Utilities",_xlfn.XLOOKUP($K588&amp;"",UTILITIES!$B$3:$B$953&amp;"",UTILITIES!$I$3:$I$953,""),"IOT",_xlfn.XLOOKUP($K588&amp;"",IOT!$B$3:$B$1012&amp;"",IOT!$J$3:$J$1012,""),"Server",_xlfn.XLOOKUP($K588&amp;"",SERVER!$B$3:$B$1009&amp;"",SERVER!$J$3:$J$1009,""),""))</f>
        <v/>
      </c>
      <c r="N588" s="1" t="str" cm="1">
        <f t="array" ref="N588">IF(OR($K588="",$I588="",$J588=""),"",_xlfn.LET(_xlpm.srcCat,_xlfn.SWITCH($I588,"Computer",_xlfn.XLOOKUP($K588&amp;"",COMPUTER!$B$3:$B$1009&amp;"",COMPUTER!$H$3:$H$1009,""),"Display",_xlfn.XLOOKUP($K588&amp;"",DISPLAY!$B$3:$B$1000&amp;"",DISPLAY!$H$3:$H$1000,""),"Network Device",_xlfn.XLOOKUP($K588&amp;"",'NETWORK-DEVICES'!$B$3:$B$987&amp;"",'NETWORK-DEVICES'!$H$3:$H$987,""),"Peripheral",_xlfn.XLOOKUP($K588&amp;"",PERIPHERAL!$B$3:$B$954&amp;"",PERIPHERAL!$H$3:$H$954,""),"Utilities",_xlfn.XLOOKUP($K588&amp;"",UTILITIES!$B$3:$B$953&amp;"",UTILITIES!$G$3:$G$953,""),"IOT",_xlfn.XLOOKUP($K588&amp;"",IOT!$B$3:$B$1012&amp;"",IOT!$H$3:$H$1012,""),"Server",_xlfn.XLOOKUP($K588&amp;"",SERVER!$B$3:$B$1009&amp;"",SERVER!$H$3:$H$1009,""),""),IF(TRIM(_xlpm.srcCat)&lt;&gt;TRIM($J588),"",_xlfn.SWITCH($I588,"Computer",_xlfn.XLOOKUP($K588&amp;"",COMPUTER!$B$3:$B$1009&amp;"",COMPUTER!$K$3:$K$1009,""),"Display",_xlfn.XLOOKUP($K588&amp;"",DISPLAY!$B$3:$B$1000&amp;"",DISPLAY!$L$3:$L$1000,""),"Network Device",_xlfn.XLOOKUP($K588&amp;"",'NETWORK-DEVICES'!$B$3:$B$987&amp;"",'NETWORK-DEVICES'!$K$3:$K$987,""),"Peripheral",_xlfn.XLOOKUP($K588&amp;"",PERIPHERAL!$B$3:$B$954&amp;"",PERIPHERAL!$K$3:$K$954,""),"Utilities",_xlfn.XLOOKUP($K588&amp;"",UTILITIES!$B$3:$B$953&amp;"",UTILITIES!$J$3:$J$953,""),"IOT",_xlfn.XLOOKUP($K588&amp;"",IOT!$B$3:$B$1012&amp;"",IOT!$K$4:$K$1012,""),"Server",_xlfn.XLOOKUP($K588&amp;"",SERVER!$B$3:$B$1009&amp;"",SERVER!$K$3:$K$1009,""),""))))</f>
        <v/>
      </c>
      <c r="O588" s="1" t="str" cm="1">
        <f t="array" ref="O588">IF(OR($K588="",$I588="",$J588=""),"",_xlfn.LET(_xlpm.srcCat,_xlfn.SWITCH($I588,"Computer",_xlfn.XLOOKUP($K588&amp;"",COMPUTER!$B$3:$B$1009&amp;"",COMPUTER!$H$3:$H$1009,""),"Display",_xlfn.XLOOKUP($K588&amp;"",DISPLAY!$B$3:$B$1000&amp;"",DISPLAY!$H$3:$H$1000,""),"Network Device",_xlfn.XLOOKUP($K588&amp;"",'NETWORK-DEVICES'!$B$3:$B$987&amp;"",'NETWORK-DEVICES'!$H$3:$H$987,""),"Peripheral",_xlfn.XLOOKUP($K588&amp;"",PERIPHERAL!$B$3:$B$954&amp;"",PERIPHERAL!$H$3:$H$954,""),"Utilities",_xlfn.XLOOKUP($K588&amp;"",UTILITIES!$B$3:$B$953&amp;"",UTILITIES!$G$3:$G$953,""),"IOT",_xlfn.XLOOKUP($K588&amp;"",IOT!$B$3:$B$1012&amp;"",IOT!$H$3:$H$1012,""),"Server",_xlfn.XLOOKUP($K588&amp;"",SERVER!$B$3:$B$1009&amp;"",SERVER!$H$3:$H$1009,""),""),IF(TRIM(_xlpm.srcCat)&lt;&gt;TRIM($J588),"",_xlfn.SWITCH($I588,"Computer",_xlfn.XLOOKUP($K588&amp;"",COMPUTER!$B$3:$B$1009&amp;"",COMPUTER!$E$3:$E$1009,""),"Display",_xlfn.XLOOKUP($K588&amp;"",DISPLAY!$B$3:$B$1000&amp;"",DISPLAY!$E$3:$E$1000,""),"Network Device",_xlfn.XLOOKUP($K588&amp;"",'NETWORK-DEVICES'!$B$3:$B$987&amp;"",'NETWORK-DEVICES'!$E$3:$E$987,""),"Peripheral",_xlfn.XLOOKUP($K588&amp;"",PERIPHERAL!$B$3:$B$954&amp;"",PERIPHERAL!$E$3:$E$954,""),"Utilities",_xlfn.XLOOKUP($K588&amp;"",UTILITIES!$B$3:$B$953&amp;"",UTILITIES!$E$3:$E$953,""),"IOT",_xlfn.XLOOKUP($K588&amp;"",IOT!$B$3:$B$1012&amp;"",IOT!$E$3:$E$1012,""),"Server",_xlfn.XLOOKUP($K588&amp;"",SERVER!$B$3:$B$1009&amp;"",SERVER!$E$3:$E$1009,""),""))))</f>
        <v/>
      </c>
      <c r="Q588" s="1" t="str" cm="1">
        <f t="array" ref="Q588">IF(OR($K588="",$I588="",$J588=""),"",_xlfn.LET(_xlpm.srcCat,_xlfn.SWITCH($I588,"Computer",_xlfn.XLOOKUP($K588&amp;"",COMPUTER!$B$3:$B$1009&amp;"",COMPUTER!$H$3:$H$1009,""),"Display",_xlfn.XLOOKUP($K588&amp;"",DISPLAY!$B$3:$B$1000&amp;"",DISPLAY!$H$3:$H$1000,""),"Network Device",_xlfn.XLOOKUP($K588&amp;"",'NETWORK-DEVICES'!$B$3:$B$987&amp;"",'NETWORK-DEVICES'!$H$3:$H$987,""),"Peripheral",_xlfn.XLOOKUP($K588&amp;"",PERIPHERAL!$B$3:$B$954&amp;"",PERIPHERAL!$H$3:$H$954,""),"Utilities",_xlfn.XLOOKUP($K588&amp;"",UTILITIES!$B$3:$B$953&amp;"",UTILITIES!$G$3:$G$953,""),"IOT",_xlfn.XLOOKUP($K588&amp;"",IOT!$B$3:$B$1012&amp;"",IOT!$H$3:$H$1012,""),"Server",_xlfn.XLOOKUP($K588&amp;"",SERVER!$B$3:$B$1009&amp;"",SERVER!$H$3:$H$1009,""),""),IF(TRIM(_xlpm.srcCat)&lt;&gt;TRIM($J588),"",_xlfn.SWITCH($I588,"Computer",_xlfn.XLOOKUP($K588&amp;"",COMPUTER!$B$3:$B$1009&amp;"",COMPUTER!$AM$3:$AM$1009,""),"Display",_xlfn.XLOOKUP($K588&amp;"",DISPLAY!$B$3:$B$1000&amp;"",DISPLAY!$V$3:$V$1000,""),"Network Device",_xlfn.XLOOKUP($K588&amp;"",'NETWORK-DEVICES'!$B$3:$B$987&amp;"",'NETWORK-DEVICES'!$AF$3:$AF$987,""),"Peripheral",_xlfn.XLOOKUP($K588&amp;"",PERIPHERAL!$B$3:$B$954&amp;"",PERIPHERAL!$Y$3:$Y$954,""),"Utilities",_xlfn.XLOOKUP($K588&amp;"",UTILITIES!$B$3:$B$953&amp;"",UTILITIES!$O$3:$O$953,""),"IOT",_xlfn.XLOOKUP($K588&amp;"",IOT!$B$3:$B$1012&amp;"",IOT!$AB$3:$AB$1012,""),"Server",_xlfn.XLOOKUP($K588&amp;"",SERVER!$B$3:$B$1009&amp;"",SERVER!$AB$3:$AB$1009,""),""))))</f>
        <v/>
      </c>
      <c r="R588" s="43" t="str">
        <f>IF(tbl_handover[[#This Row],[Asset Code]]="","",COUNTIF(tbl_handover[Asset Code],tbl_handover[[#This Row],[Asset Code]]))</f>
        <v/>
      </c>
    </row>
    <row r="589" spans="1:18" x14ac:dyDescent="0.25">
      <c r="A589" s="43" t="str">
        <f>IF(B589&lt;&gt;"",SUBTOTAL(3,$B$1:B588),"")</f>
        <v/>
      </c>
      <c r="C589" s="74"/>
      <c r="D589" s="74"/>
      <c r="G589" s="1"/>
      <c r="K589" s="42"/>
      <c r="L589" t="str" cm="1">
        <f t="array" ref="L589">IF($K589="","",_xlfn.SWITCH($I589,"Computer",_xlfn.XLOOKUP($K589&amp;"",COMPUTER!$B$3:$B$1009&amp;"",COMPUTER!$I$3:$I$1009,""),"Display",_xlfn.XLOOKUP($K589&amp;"",DISPLAY!$B$3:$B$1000&amp;"",DISPLAY!$J$3:$J$1000,""),"Network Device",_xlfn.XLOOKUP($K589&amp;"",'NETWORK-DEVICES'!$B$3:$B$987&amp;"",'NETWORK-DEVICES'!$I$3:$I$987,""),"Peripheral",_xlfn.XLOOKUP($K589&amp;"",PERIPHERAL!$B$3:$B$954&amp;"",PERIPHERAL!$I$3:$I$954,""),"Utilities",_xlfn.XLOOKUP($K589&amp;"",UTILITIES!$B$3:$B$953&amp;"",UTILITIES!$H$3:$H$953,""),"IOT",_xlfn.XLOOKUP($K589&amp;"",IOT!$B$3:$B$1012&amp;"",IOT!$I$3:$I$1012,""),"SERVER",_xlfn.XLOOKUP($K589&amp;"",SERVER!$B$3:$B$1009&amp;"",SERVER!$I$3:$I$1009,""),""))</f>
        <v/>
      </c>
      <c r="M589" t="str" cm="1">
        <f t="array" ref="M589">IF($K589="","",_xlfn.SWITCH($I589,"Computer",_xlfn.XLOOKUP($K589&amp;"",COMPUTER!$B$3:$B$1009&amp;"",COMPUTER!$J$3:$J$1009,""),"Display",_xlfn.XLOOKUP($K589&amp;"",DISPLAY!$B$3:$B$1000&amp;"",DISPLAY!$K$3:$K$1000,""),"Network Device",_xlfn.XLOOKUP($K589&amp;"",'NETWORK-DEVICES'!$B$3:$B$987&amp;"",'NETWORK-DEVICES'!$I$3:$I$987,""),"Peripheral",_xlfn.XLOOKUP($K589&amp;"",PERIPHERAL!$B$3:$B$954&amp;"",PERIPHERAL!$J$3:$J$954,""),"Utilities",_xlfn.XLOOKUP($K589&amp;"",UTILITIES!$B$3:$B$953&amp;"",UTILITIES!$I$3:$I$953,""),"IOT",_xlfn.XLOOKUP($K589&amp;"",IOT!$B$3:$B$1012&amp;"",IOT!$J$3:$J$1012,""),"Server",_xlfn.XLOOKUP($K589&amp;"",SERVER!$B$3:$B$1009&amp;"",SERVER!$J$3:$J$1009,""),""))</f>
        <v/>
      </c>
      <c r="N589" s="1" t="str" cm="1">
        <f t="array" ref="N589">IF(OR($K589="",$I589="",$J589=""),"",_xlfn.LET(_xlpm.srcCat,_xlfn.SWITCH($I589,"Computer",_xlfn.XLOOKUP($K589&amp;"",COMPUTER!$B$3:$B$1009&amp;"",COMPUTER!$H$3:$H$1009,""),"Display",_xlfn.XLOOKUP($K589&amp;"",DISPLAY!$B$3:$B$1000&amp;"",DISPLAY!$H$3:$H$1000,""),"Network Device",_xlfn.XLOOKUP($K589&amp;"",'NETWORK-DEVICES'!$B$3:$B$987&amp;"",'NETWORK-DEVICES'!$H$3:$H$987,""),"Peripheral",_xlfn.XLOOKUP($K589&amp;"",PERIPHERAL!$B$3:$B$954&amp;"",PERIPHERAL!$H$3:$H$954,""),"Utilities",_xlfn.XLOOKUP($K589&amp;"",UTILITIES!$B$3:$B$953&amp;"",UTILITIES!$G$3:$G$953,""),"IOT",_xlfn.XLOOKUP($K589&amp;"",IOT!$B$3:$B$1012&amp;"",IOT!$H$3:$H$1012,""),"Server",_xlfn.XLOOKUP($K589&amp;"",SERVER!$B$3:$B$1009&amp;"",SERVER!$H$3:$H$1009,""),""),IF(TRIM(_xlpm.srcCat)&lt;&gt;TRIM($J589),"",_xlfn.SWITCH($I589,"Computer",_xlfn.XLOOKUP($K589&amp;"",COMPUTER!$B$3:$B$1009&amp;"",COMPUTER!$K$3:$K$1009,""),"Display",_xlfn.XLOOKUP($K589&amp;"",DISPLAY!$B$3:$B$1000&amp;"",DISPLAY!$L$3:$L$1000,""),"Network Device",_xlfn.XLOOKUP($K589&amp;"",'NETWORK-DEVICES'!$B$3:$B$987&amp;"",'NETWORK-DEVICES'!$K$3:$K$987,""),"Peripheral",_xlfn.XLOOKUP($K589&amp;"",PERIPHERAL!$B$3:$B$954&amp;"",PERIPHERAL!$K$3:$K$954,""),"Utilities",_xlfn.XLOOKUP($K589&amp;"",UTILITIES!$B$3:$B$953&amp;"",UTILITIES!$J$3:$J$953,""),"IOT",_xlfn.XLOOKUP($K589&amp;"",IOT!$B$3:$B$1012&amp;"",IOT!$K$4:$K$1012,""),"Server",_xlfn.XLOOKUP($K589&amp;"",SERVER!$B$3:$B$1009&amp;"",SERVER!$K$3:$K$1009,""),""))))</f>
        <v/>
      </c>
      <c r="O589" s="1" t="str" cm="1">
        <f t="array" ref="O589">IF(OR($K589="",$I589="",$J589=""),"",_xlfn.LET(_xlpm.srcCat,_xlfn.SWITCH($I589,"Computer",_xlfn.XLOOKUP($K589&amp;"",COMPUTER!$B$3:$B$1009&amp;"",COMPUTER!$H$3:$H$1009,""),"Display",_xlfn.XLOOKUP($K589&amp;"",DISPLAY!$B$3:$B$1000&amp;"",DISPLAY!$H$3:$H$1000,""),"Network Device",_xlfn.XLOOKUP($K589&amp;"",'NETWORK-DEVICES'!$B$3:$B$987&amp;"",'NETWORK-DEVICES'!$H$3:$H$987,""),"Peripheral",_xlfn.XLOOKUP($K589&amp;"",PERIPHERAL!$B$3:$B$954&amp;"",PERIPHERAL!$H$3:$H$954,""),"Utilities",_xlfn.XLOOKUP($K589&amp;"",UTILITIES!$B$3:$B$953&amp;"",UTILITIES!$G$3:$G$953,""),"IOT",_xlfn.XLOOKUP($K589&amp;"",IOT!$B$3:$B$1012&amp;"",IOT!$H$3:$H$1012,""),"Server",_xlfn.XLOOKUP($K589&amp;"",SERVER!$B$3:$B$1009&amp;"",SERVER!$H$3:$H$1009,""),""),IF(TRIM(_xlpm.srcCat)&lt;&gt;TRIM($J589),"",_xlfn.SWITCH($I589,"Computer",_xlfn.XLOOKUP($K589&amp;"",COMPUTER!$B$3:$B$1009&amp;"",COMPUTER!$E$3:$E$1009,""),"Display",_xlfn.XLOOKUP($K589&amp;"",DISPLAY!$B$3:$B$1000&amp;"",DISPLAY!$E$3:$E$1000,""),"Network Device",_xlfn.XLOOKUP($K589&amp;"",'NETWORK-DEVICES'!$B$3:$B$987&amp;"",'NETWORK-DEVICES'!$E$3:$E$987,""),"Peripheral",_xlfn.XLOOKUP($K589&amp;"",PERIPHERAL!$B$3:$B$954&amp;"",PERIPHERAL!$E$3:$E$954,""),"Utilities",_xlfn.XLOOKUP($K589&amp;"",UTILITIES!$B$3:$B$953&amp;"",UTILITIES!$E$3:$E$953,""),"IOT",_xlfn.XLOOKUP($K589&amp;"",IOT!$B$3:$B$1012&amp;"",IOT!$E$3:$E$1012,""),"Server",_xlfn.XLOOKUP($K589&amp;"",SERVER!$B$3:$B$1009&amp;"",SERVER!$E$3:$E$1009,""),""))))</f>
        <v/>
      </c>
      <c r="Q589" s="1" t="str" cm="1">
        <f t="array" ref="Q589">IF(OR($K589="",$I589="",$J589=""),"",_xlfn.LET(_xlpm.srcCat,_xlfn.SWITCH($I589,"Computer",_xlfn.XLOOKUP($K589&amp;"",COMPUTER!$B$3:$B$1009&amp;"",COMPUTER!$H$3:$H$1009,""),"Display",_xlfn.XLOOKUP($K589&amp;"",DISPLAY!$B$3:$B$1000&amp;"",DISPLAY!$H$3:$H$1000,""),"Network Device",_xlfn.XLOOKUP($K589&amp;"",'NETWORK-DEVICES'!$B$3:$B$987&amp;"",'NETWORK-DEVICES'!$H$3:$H$987,""),"Peripheral",_xlfn.XLOOKUP($K589&amp;"",PERIPHERAL!$B$3:$B$954&amp;"",PERIPHERAL!$H$3:$H$954,""),"Utilities",_xlfn.XLOOKUP($K589&amp;"",UTILITIES!$B$3:$B$953&amp;"",UTILITIES!$G$3:$G$953,""),"IOT",_xlfn.XLOOKUP($K589&amp;"",IOT!$B$3:$B$1012&amp;"",IOT!$H$3:$H$1012,""),"Server",_xlfn.XLOOKUP($K589&amp;"",SERVER!$B$3:$B$1009&amp;"",SERVER!$H$3:$H$1009,""),""),IF(TRIM(_xlpm.srcCat)&lt;&gt;TRIM($J589),"",_xlfn.SWITCH($I589,"Computer",_xlfn.XLOOKUP($K589&amp;"",COMPUTER!$B$3:$B$1009&amp;"",COMPUTER!$AM$3:$AM$1009,""),"Display",_xlfn.XLOOKUP($K589&amp;"",DISPLAY!$B$3:$B$1000&amp;"",DISPLAY!$V$3:$V$1000,""),"Network Device",_xlfn.XLOOKUP($K589&amp;"",'NETWORK-DEVICES'!$B$3:$B$987&amp;"",'NETWORK-DEVICES'!$AF$3:$AF$987,""),"Peripheral",_xlfn.XLOOKUP($K589&amp;"",PERIPHERAL!$B$3:$B$954&amp;"",PERIPHERAL!$Y$3:$Y$954,""),"Utilities",_xlfn.XLOOKUP($K589&amp;"",UTILITIES!$B$3:$B$953&amp;"",UTILITIES!$O$3:$O$953,""),"IOT",_xlfn.XLOOKUP($K589&amp;"",IOT!$B$3:$B$1012&amp;"",IOT!$AB$3:$AB$1012,""),"Server",_xlfn.XLOOKUP($K589&amp;"",SERVER!$B$3:$B$1009&amp;"",SERVER!$AB$3:$AB$1009,""),""))))</f>
        <v/>
      </c>
      <c r="R589" s="43" t="str">
        <f>IF(tbl_handover[[#This Row],[Asset Code]]="","",COUNTIF(tbl_handover[Asset Code],tbl_handover[[#This Row],[Asset Code]]))</f>
        <v/>
      </c>
    </row>
    <row r="590" spans="1:18" x14ac:dyDescent="0.25">
      <c r="A590" s="43" t="str">
        <f>IF(B590&lt;&gt;"",SUBTOTAL(3,$B$1:B589),"")</f>
        <v/>
      </c>
      <c r="C590" s="74"/>
      <c r="D590" s="74"/>
      <c r="G590" s="1"/>
      <c r="K590" s="42"/>
      <c r="L590" t="str" cm="1">
        <f t="array" ref="L590">IF($K590="","",_xlfn.SWITCH($I590,"Computer",_xlfn.XLOOKUP($K590&amp;"",COMPUTER!$B$3:$B$1009&amp;"",COMPUTER!$I$3:$I$1009,""),"Display",_xlfn.XLOOKUP($K590&amp;"",DISPLAY!$B$3:$B$1000&amp;"",DISPLAY!$J$3:$J$1000,""),"Network Device",_xlfn.XLOOKUP($K590&amp;"",'NETWORK-DEVICES'!$B$3:$B$987&amp;"",'NETWORK-DEVICES'!$I$3:$I$987,""),"Peripheral",_xlfn.XLOOKUP($K590&amp;"",PERIPHERAL!$B$3:$B$954&amp;"",PERIPHERAL!$I$3:$I$954,""),"Utilities",_xlfn.XLOOKUP($K590&amp;"",UTILITIES!$B$3:$B$953&amp;"",UTILITIES!$H$3:$H$953,""),"IOT",_xlfn.XLOOKUP($K590&amp;"",IOT!$B$3:$B$1012&amp;"",IOT!$I$3:$I$1012,""),"SERVER",_xlfn.XLOOKUP($K590&amp;"",SERVER!$B$3:$B$1009&amp;"",SERVER!$I$3:$I$1009,""),""))</f>
        <v/>
      </c>
      <c r="M590" t="str" cm="1">
        <f t="array" ref="M590">IF($K590="","",_xlfn.SWITCH($I590,"Computer",_xlfn.XLOOKUP($K590&amp;"",COMPUTER!$B$3:$B$1009&amp;"",COMPUTER!$J$3:$J$1009,""),"Display",_xlfn.XLOOKUP($K590&amp;"",DISPLAY!$B$3:$B$1000&amp;"",DISPLAY!$K$3:$K$1000,""),"Network Device",_xlfn.XLOOKUP($K590&amp;"",'NETWORK-DEVICES'!$B$3:$B$987&amp;"",'NETWORK-DEVICES'!$I$3:$I$987,""),"Peripheral",_xlfn.XLOOKUP($K590&amp;"",PERIPHERAL!$B$3:$B$954&amp;"",PERIPHERAL!$J$3:$J$954,""),"Utilities",_xlfn.XLOOKUP($K590&amp;"",UTILITIES!$B$3:$B$953&amp;"",UTILITIES!$I$3:$I$953,""),"IOT",_xlfn.XLOOKUP($K590&amp;"",IOT!$B$3:$B$1012&amp;"",IOT!$J$3:$J$1012,""),"Server",_xlfn.XLOOKUP($K590&amp;"",SERVER!$B$3:$B$1009&amp;"",SERVER!$J$3:$J$1009,""),""))</f>
        <v/>
      </c>
      <c r="N590" s="1" t="str" cm="1">
        <f t="array" ref="N590">IF(OR($K590="",$I590="",$J590=""),"",_xlfn.LET(_xlpm.srcCat,_xlfn.SWITCH($I590,"Computer",_xlfn.XLOOKUP($K590&amp;"",COMPUTER!$B$3:$B$1009&amp;"",COMPUTER!$H$3:$H$1009,""),"Display",_xlfn.XLOOKUP($K590&amp;"",DISPLAY!$B$3:$B$1000&amp;"",DISPLAY!$H$3:$H$1000,""),"Network Device",_xlfn.XLOOKUP($K590&amp;"",'NETWORK-DEVICES'!$B$3:$B$987&amp;"",'NETWORK-DEVICES'!$H$3:$H$987,""),"Peripheral",_xlfn.XLOOKUP($K590&amp;"",PERIPHERAL!$B$3:$B$954&amp;"",PERIPHERAL!$H$3:$H$954,""),"Utilities",_xlfn.XLOOKUP($K590&amp;"",UTILITIES!$B$3:$B$953&amp;"",UTILITIES!$G$3:$G$953,""),"IOT",_xlfn.XLOOKUP($K590&amp;"",IOT!$B$3:$B$1012&amp;"",IOT!$H$3:$H$1012,""),"Server",_xlfn.XLOOKUP($K590&amp;"",SERVER!$B$3:$B$1009&amp;"",SERVER!$H$3:$H$1009,""),""),IF(TRIM(_xlpm.srcCat)&lt;&gt;TRIM($J590),"",_xlfn.SWITCH($I590,"Computer",_xlfn.XLOOKUP($K590&amp;"",COMPUTER!$B$3:$B$1009&amp;"",COMPUTER!$K$3:$K$1009,""),"Display",_xlfn.XLOOKUP($K590&amp;"",DISPLAY!$B$3:$B$1000&amp;"",DISPLAY!$L$3:$L$1000,""),"Network Device",_xlfn.XLOOKUP($K590&amp;"",'NETWORK-DEVICES'!$B$3:$B$987&amp;"",'NETWORK-DEVICES'!$K$3:$K$987,""),"Peripheral",_xlfn.XLOOKUP($K590&amp;"",PERIPHERAL!$B$3:$B$954&amp;"",PERIPHERAL!$K$3:$K$954,""),"Utilities",_xlfn.XLOOKUP($K590&amp;"",UTILITIES!$B$3:$B$953&amp;"",UTILITIES!$J$3:$J$953,""),"IOT",_xlfn.XLOOKUP($K590&amp;"",IOT!$B$3:$B$1012&amp;"",IOT!$K$4:$K$1012,""),"Server",_xlfn.XLOOKUP($K590&amp;"",SERVER!$B$3:$B$1009&amp;"",SERVER!$K$3:$K$1009,""),""))))</f>
        <v/>
      </c>
      <c r="O590" s="1" t="str" cm="1">
        <f t="array" ref="O590">IF(OR($K590="",$I590="",$J590=""),"",_xlfn.LET(_xlpm.srcCat,_xlfn.SWITCH($I590,"Computer",_xlfn.XLOOKUP($K590&amp;"",COMPUTER!$B$3:$B$1009&amp;"",COMPUTER!$H$3:$H$1009,""),"Display",_xlfn.XLOOKUP($K590&amp;"",DISPLAY!$B$3:$B$1000&amp;"",DISPLAY!$H$3:$H$1000,""),"Network Device",_xlfn.XLOOKUP($K590&amp;"",'NETWORK-DEVICES'!$B$3:$B$987&amp;"",'NETWORK-DEVICES'!$H$3:$H$987,""),"Peripheral",_xlfn.XLOOKUP($K590&amp;"",PERIPHERAL!$B$3:$B$954&amp;"",PERIPHERAL!$H$3:$H$954,""),"Utilities",_xlfn.XLOOKUP($K590&amp;"",UTILITIES!$B$3:$B$953&amp;"",UTILITIES!$G$3:$G$953,""),"IOT",_xlfn.XLOOKUP($K590&amp;"",IOT!$B$3:$B$1012&amp;"",IOT!$H$3:$H$1012,""),"Server",_xlfn.XLOOKUP($K590&amp;"",SERVER!$B$3:$B$1009&amp;"",SERVER!$H$3:$H$1009,""),""),IF(TRIM(_xlpm.srcCat)&lt;&gt;TRIM($J590),"",_xlfn.SWITCH($I590,"Computer",_xlfn.XLOOKUP($K590&amp;"",COMPUTER!$B$3:$B$1009&amp;"",COMPUTER!$E$3:$E$1009,""),"Display",_xlfn.XLOOKUP($K590&amp;"",DISPLAY!$B$3:$B$1000&amp;"",DISPLAY!$E$3:$E$1000,""),"Network Device",_xlfn.XLOOKUP($K590&amp;"",'NETWORK-DEVICES'!$B$3:$B$987&amp;"",'NETWORK-DEVICES'!$E$3:$E$987,""),"Peripheral",_xlfn.XLOOKUP($K590&amp;"",PERIPHERAL!$B$3:$B$954&amp;"",PERIPHERAL!$E$3:$E$954,""),"Utilities",_xlfn.XLOOKUP($K590&amp;"",UTILITIES!$B$3:$B$953&amp;"",UTILITIES!$E$3:$E$953,""),"IOT",_xlfn.XLOOKUP($K590&amp;"",IOT!$B$3:$B$1012&amp;"",IOT!$E$3:$E$1012,""),"Server",_xlfn.XLOOKUP($K590&amp;"",SERVER!$B$3:$B$1009&amp;"",SERVER!$E$3:$E$1009,""),""))))</f>
        <v/>
      </c>
      <c r="Q590" s="1" t="str" cm="1">
        <f t="array" ref="Q590">IF(OR($K590="",$I590="",$J590=""),"",_xlfn.LET(_xlpm.srcCat,_xlfn.SWITCH($I590,"Computer",_xlfn.XLOOKUP($K590&amp;"",COMPUTER!$B$3:$B$1009&amp;"",COMPUTER!$H$3:$H$1009,""),"Display",_xlfn.XLOOKUP($K590&amp;"",DISPLAY!$B$3:$B$1000&amp;"",DISPLAY!$H$3:$H$1000,""),"Network Device",_xlfn.XLOOKUP($K590&amp;"",'NETWORK-DEVICES'!$B$3:$B$987&amp;"",'NETWORK-DEVICES'!$H$3:$H$987,""),"Peripheral",_xlfn.XLOOKUP($K590&amp;"",PERIPHERAL!$B$3:$B$954&amp;"",PERIPHERAL!$H$3:$H$954,""),"Utilities",_xlfn.XLOOKUP($K590&amp;"",UTILITIES!$B$3:$B$953&amp;"",UTILITIES!$G$3:$G$953,""),"IOT",_xlfn.XLOOKUP($K590&amp;"",IOT!$B$3:$B$1012&amp;"",IOT!$H$3:$H$1012,""),"Server",_xlfn.XLOOKUP($K590&amp;"",SERVER!$B$3:$B$1009&amp;"",SERVER!$H$3:$H$1009,""),""),IF(TRIM(_xlpm.srcCat)&lt;&gt;TRIM($J590),"",_xlfn.SWITCH($I590,"Computer",_xlfn.XLOOKUP($K590&amp;"",COMPUTER!$B$3:$B$1009&amp;"",COMPUTER!$AM$3:$AM$1009,""),"Display",_xlfn.XLOOKUP($K590&amp;"",DISPLAY!$B$3:$B$1000&amp;"",DISPLAY!$V$3:$V$1000,""),"Network Device",_xlfn.XLOOKUP($K590&amp;"",'NETWORK-DEVICES'!$B$3:$B$987&amp;"",'NETWORK-DEVICES'!$AF$3:$AF$987,""),"Peripheral",_xlfn.XLOOKUP($K590&amp;"",PERIPHERAL!$B$3:$B$954&amp;"",PERIPHERAL!$Y$3:$Y$954,""),"Utilities",_xlfn.XLOOKUP($K590&amp;"",UTILITIES!$B$3:$B$953&amp;"",UTILITIES!$O$3:$O$953,""),"IOT",_xlfn.XLOOKUP($K590&amp;"",IOT!$B$3:$B$1012&amp;"",IOT!$AB$3:$AB$1012,""),"Server",_xlfn.XLOOKUP($K590&amp;"",SERVER!$B$3:$B$1009&amp;"",SERVER!$AB$3:$AB$1009,""),""))))</f>
        <v/>
      </c>
      <c r="R590" s="43" t="str">
        <f>IF(tbl_handover[[#This Row],[Asset Code]]="","",COUNTIF(tbl_handover[Asset Code],tbl_handover[[#This Row],[Asset Code]]))</f>
        <v/>
      </c>
    </row>
    <row r="591" spans="1:18" x14ac:dyDescent="0.25">
      <c r="A591" s="43" t="str">
        <f>IF(B591&lt;&gt;"",SUBTOTAL(3,$B$1:B590),"")</f>
        <v/>
      </c>
      <c r="C591" s="74"/>
      <c r="D591" s="74"/>
      <c r="G591" s="1"/>
      <c r="K591" s="42"/>
      <c r="L591" t="str" cm="1">
        <f t="array" ref="L591">IF($K591="","",_xlfn.SWITCH($I591,"Computer",_xlfn.XLOOKUP($K591&amp;"",COMPUTER!$B$3:$B$1009&amp;"",COMPUTER!$I$3:$I$1009,""),"Display",_xlfn.XLOOKUP($K591&amp;"",DISPLAY!$B$3:$B$1000&amp;"",DISPLAY!$J$3:$J$1000,""),"Network Device",_xlfn.XLOOKUP($K591&amp;"",'NETWORK-DEVICES'!$B$3:$B$987&amp;"",'NETWORK-DEVICES'!$I$3:$I$987,""),"Peripheral",_xlfn.XLOOKUP($K591&amp;"",PERIPHERAL!$B$3:$B$954&amp;"",PERIPHERAL!$I$3:$I$954,""),"Utilities",_xlfn.XLOOKUP($K591&amp;"",UTILITIES!$B$3:$B$953&amp;"",UTILITIES!$H$3:$H$953,""),"IOT",_xlfn.XLOOKUP($K591&amp;"",IOT!$B$3:$B$1012&amp;"",IOT!$I$3:$I$1012,""),"SERVER",_xlfn.XLOOKUP($K591&amp;"",SERVER!$B$3:$B$1009&amp;"",SERVER!$I$3:$I$1009,""),""))</f>
        <v/>
      </c>
      <c r="M591" t="str" cm="1">
        <f t="array" ref="M591">IF($K591="","",_xlfn.SWITCH($I591,"Computer",_xlfn.XLOOKUP($K591&amp;"",COMPUTER!$B$3:$B$1009&amp;"",COMPUTER!$J$3:$J$1009,""),"Display",_xlfn.XLOOKUP($K591&amp;"",DISPLAY!$B$3:$B$1000&amp;"",DISPLAY!$K$3:$K$1000,""),"Network Device",_xlfn.XLOOKUP($K591&amp;"",'NETWORK-DEVICES'!$B$3:$B$987&amp;"",'NETWORK-DEVICES'!$I$3:$I$987,""),"Peripheral",_xlfn.XLOOKUP($K591&amp;"",PERIPHERAL!$B$3:$B$954&amp;"",PERIPHERAL!$J$3:$J$954,""),"Utilities",_xlfn.XLOOKUP($K591&amp;"",UTILITIES!$B$3:$B$953&amp;"",UTILITIES!$I$3:$I$953,""),"IOT",_xlfn.XLOOKUP($K591&amp;"",IOT!$B$3:$B$1012&amp;"",IOT!$J$3:$J$1012,""),"Server",_xlfn.XLOOKUP($K591&amp;"",SERVER!$B$3:$B$1009&amp;"",SERVER!$J$3:$J$1009,""),""))</f>
        <v/>
      </c>
      <c r="N591" s="1" t="str" cm="1">
        <f t="array" ref="N591">IF(OR($K591="",$I591="",$J591=""),"",_xlfn.LET(_xlpm.srcCat,_xlfn.SWITCH($I591,"Computer",_xlfn.XLOOKUP($K591&amp;"",COMPUTER!$B$3:$B$1009&amp;"",COMPUTER!$H$3:$H$1009,""),"Display",_xlfn.XLOOKUP($K591&amp;"",DISPLAY!$B$3:$B$1000&amp;"",DISPLAY!$H$3:$H$1000,""),"Network Device",_xlfn.XLOOKUP($K591&amp;"",'NETWORK-DEVICES'!$B$3:$B$987&amp;"",'NETWORK-DEVICES'!$H$3:$H$987,""),"Peripheral",_xlfn.XLOOKUP($K591&amp;"",PERIPHERAL!$B$3:$B$954&amp;"",PERIPHERAL!$H$3:$H$954,""),"Utilities",_xlfn.XLOOKUP($K591&amp;"",UTILITIES!$B$3:$B$953&amp;"",UTILITIES!$G$3:$G$953,""),"IOT",_xlfn.XLOOKUP($K591&amp;"",IOT!$B$3:$B$1012&amp;"",IOT!$H$3:$H$1012,""),"Server",_xlfn.XLOOKUP($K591&amp;"",SERVER!$B$3:$B$1009&amp;"",SERVER!$H$3:$H$1009,""),""),IF(TRIM(_xlpm.srcCat)&lt;&gt;TRIM($J591),"",_xlfn.SWITCH($I591,"Computer",_xlfn.XLOOKUP($K591&amp;"",COMPUTER!$B$3:$B$1009&amp;"",COMPUTER!$K$3:$K$1009,""),"Display",_xlfn.XLOOKUP($K591&amp;"",DISPLAY!$B$3:$B$1000&amp;"",DISPLAY!$L$3:$L$1000,""),"Network Device",_xlfn.XLOOKUP($K591&amp;"",'NETWORK-DEVICES'!$B$3:$B$987&amp;"",'NETWORK-DEVICES'!$K$3:$K$987,""),"Peripheral",_xlfn.XLOOKUP($K591&amp;"",PERIPHERAL!$B$3:$B$954&amp;"",PERIPHERAL!$K$3:$K$954,""),"Utilities",_xlfn.XLOOKUP($K591&amp;"",UTILITIES!$B$3:$B$953&amp;"",UTILITIES!$J$3:$J$953,""),"IOT",_xlfn.XLOOKUP($K591&amp;"",IOT!$B$3:$B$1012&amp;"",IOT!$K$4:$K$1012,""),"Server",_xlfn.XLOOKUP($K591&amp;"",SERVER!$B$3:$B$1009&amp;"",SERVER!$K$3:$K$1009,""),""))))</f>
        <v/>
      </c>
      <c r="O591" s="1" t="str" cm="1">
        <f t="array" ref="O591">IF(OR($K591="",$I591="",$J591=""),"",_xlfn.LET(_xlpm.srcCat,_xlfn.SWITCH($I591,"Computer",_xlfn.XLOOKUP($K591&amp;"",COMPUTER!$B$3:$B$1009&amp;"",COMPUTER!$H$3:$H$1009,""),"Display",_xlfn.XLOOKUP($K591&amp;"",DISPLAY!$B$3:$B$1000&amp;"",DISPLAY!$H$3:$H$1000,""),"Network Device",_xlfn.XLOOKUP($K591&amp;"",'NETWORK-DEVICES'!$B$3:$B$987&amp;"",'NETWORK-DEVICES'!$H$3:$H$987,""),"Peripheral",_xlfn.XLOOKUP($K591&amp;"",PERIPHERAL!$B$3:$B$954&amp;"",PERIPHERAL!$H$3:$H$954,""),"Utilities",_xlfn.XLOOKUP($K591&amp;"",UTILITIES!$B$3:$B$953&amp;"",UTILITIES!$G$3:$G$953,""),"IOT",_xlfn.XLOOKUP($K591&amp;"",IOT!$B$3:$B$1012&amp;"",IOT!$H$3:$H$1012,""),"Server",_xlfn.XLOOKUP($K591&amp;"",SERVER!$B$3:$B$1009&amp;"",SERVER!$H$3:$H$1009,""),""),IF(TRIM(_xlpm.srcCat)&lt;&gt;TRIM($J591),"",_xlfn.SWITCH($I591,"Computer",_xlfn.XLOOKUP($K591&amp;"",COMPUTER!$B$3:$B$1009&amp;"",COMPUTER!$E$3:$E$1009,""),"Display",_xlfn.XLOOKUP($K591&amp;"",DISPLAY!$B$3:$B$1000&amp;"",DISPLAY!$E$3:$E$1000,""),"Network Device",_xlfn.XLOOKUP($K591&amp;"",'NETWORK-DEVICES'!$B$3:$B$987&amp;"",'NETWORK-DEVICES'!$E$3:$E$987,""),"Peripheral",_xlfn.XLOOKUP($K591&amp;"",PERIPHERAL!$B$3:$B$954&amp;"",PERIPHERAL!$E$3:$E$954,""),"Utilities",_xlfn.XLOOKUP($K591&amp;"",UTILITIES!$B$3:$B$953&amp;"",UTILITIES!$E$3:$E$953,""),"IOT",_xlfn.XLOOKUP($K591&amp;"",IOT!$B$3:$B$1012&amp;"",IOT!$E$3:$E$1012,""),"Server",_xlfn.XLOOKUP($K591&amp;"",SERVER!$B$3:$B$1009&amp;"",SERVER!$E$3:$E$1009,""),""))))</f>
        <v/>
      </c>
      <c r="Q591" s="1" t="str" cm="1">
        <f t="array" ref="Q591">IF(OR($K591="",$I591="",$J591=""),"",_xlfn.LET(_xlpm.srcCat,_xlfn.SWITCH($I591,"Computer",_xlfn.XLOOKUP($K591&amp;"",COMPUTER!$B$3:$B$1009&amp;"",COMPUTER!$H$3:$H$1009,""),"Display",_xlfn.XLOOKUP($K591&amp;"",DISPLAY!$B$3:$B$1000&amp;"",DISPLAY!$H$3:$H$1000,""),"Network Device",_xlfn.XLOOKUP($K591&amp;"",'NETWORK-DEVICES'!$B$3:$B$987&amp;"",'NETWORK-DEVICES'!$H$3:$H$987,""),"Peripheral",_xlfn.XLOOKUP($K591&amp;"",PERIPHERAL!$B$3:$B$954&amp;"",PERIPHERAL!$H$3:$H$954,""),"Utilities",_xlfn.XLOOKUP($K591&amp;"",UTILITIES!$B$3:$B$953&amp;"",UTILITIES!$G$3:$G$953,""),"IOT",_xlfn.XLOOKUP($K591&amp;"",IOT!$B$3:$B$1012&amp;"",IOT!$H$3:$H$1012,""),"Server",_xlfn.XLOOKUP($K591&amp;"",SERVER!$B$3:$B$1009&amp;"",SERVER!$H$3:$H$1009,""),""),IF(TRIM(_xlpm.srcCat)&lt;&gt;TRIM($J591),"",_xlfn.SWITCH($I591,"Computer",_xlfn.XLOOKUP($K591&amp;"",COMPUTER!$B$3:$B$1009&amp;"",COMPUTER!$AM$3:$AM$1009,""),"Display",_xlfn.XLOOKUP($K591&amp;"",DISPLAY!$B$3:$B$1000&amp;"",DISPLAY!$V$3:$V$1000,""),"Network Device",_xlfn.XLOOKUP($K591&amp;"",'NETWORK-DEVICES'!$B$3:$B$987&amp;"",'NETWORK-DEVICES'!$AF$3:$AF$987,""),"Peripheral",_xlfn.XLOOKUP($K591&amp;"",PERIPHERAL!$B$3:$B$954&amp;"",PERIPHERAL!$Y$3:$Y$954,""),"Utilities",_xlfn.XLOOKUP($K591&amp;"",UTILITIES!$B$3:$B$953&amp;"",UTILITIES!$O$3:$O$953,""),"IOT",_xlfn.XLOOKUP($K591&amp;"",IOT!$B$3:$B$1012&amp;"",IOT!$AB$3:$AB$1012,""),"Server",_xlfn.XLOOKUP($K591&amp;"",SERVER!$B$3:$B$1009&amp;"",SERVER!$AB$3:$AB$1009,""),""))))</f>
        <v/>
      </c>
      <c r="R591" s="43" t="str">
        <f>IF(tbl_handover[[#This Row],[Asset Code]]="","",COUNTIF(tbl_handover[Asset Code],tbl_handover[[#This Row],[Asset Code]]))</f>
        <v/>
      </c>
    </row>
    <row r="592" spans="1:18" x14ac:dyDescent="0.25">
      <c r="A592" s="43" t="str">
        <f>IF(B592&lt;&gt;"",SUBTOTAL(3,$B$1:B591),"")</f>
        <v/>
      </c>
      <c r="C592" s="74"/>
      <c r="D592" s="74"/>
      <c r="G592" s="1"/>
      <c r="K592" s="42"/>
      <c r="L592" t="str" cm="1">
        <f t="array" ref="L592">IF($K592="","",_xlfn.SWITCH($I592,"Computer",_xlfn.XLOOKUP($K592&amp;"",COMPUTER!$B$3:$B$1009&amp;"",COMPUTER!$I$3:$I$1009,""),"Display",_xlfn.XLOOKUP($K592&amp;"",DISPLAY!$B$3:$B$1000&amp;"",DISPLAY!$J$3:$J$1000,""),"Network Device",_xlfn.XLOOKUP($K592&amp;"",'NETWORK-DEVICES'!$B$3:$B$987&amp;"",'NETWORK-DEVICES'!$I$3:$I$987,""),"Peripheral",_xlfn.XLOOKUP($K592&amp;"",PERIPHERAL!$B$3:$B$954&amp;"",PERIPHERAL!$I$3:$I$954,""),"Utilities",_xlfn.XLOOKUP($K592&amp;"",UTILITIES!$B$3:$B$953&amp;"",UTILITIES!$H$3:$H$953,""),"IOT",_xlfn.XLOOKUP($K592&amp;"",IOT!$B$3:$B$1012&amp;"",IOT!$I$3:$I$1012,""),"SERVER",_xlfn.XLOOKUP($K592&amp;"",SERVER!$B$3:$B$1009&amp;"",SERVER!$I$3:$I$1009,""),""))</f>
        <v/>
      </c>
      <c r="M592" t="str" cm="1">
        <f t="array" ref="M592">IF($K592="","",_xlfn.SWITCH($I592,"Computer",_xlfn.XLOOKUP($K592&amp;"",COMPUTER!$B$3:$B$1009&amp;"",COMPUTER!$J$3:$J$1009,""),"Display",_xlfn.XLOOKUP($K592&amp;"",DISPLAY!$B$3:$B$1000&amp;"",DISPLAY!$K$3:$K$1000,""),"Network Device",_xlfn.XLOOKUP($K592&amp;"",'NETWORK-DEVICES'!$B$3:$B$987&amp;"",'NETWORK-DEVICES'!$I$3:$I$987,""),"Peripheral",_xlfn.XLOOKUP($K592&amp;"",PERIPHERAL!$B$3:$B$954&amp;"",PERIPHERAL!$J$3:$J$954,""),"Utilities",_xlfn.XLOOKUP($K592&amp;"",UTILITIES!$B$3:$B$953&amp;"",UTILITIES!$I$3:$I$953,""),"IOT",_xlfn.XLOOKUP($K592&amp;"",IOT!$B$3:$B$1012&amp;"",IOT!$J$3:$J$1012,""),"Server",_xlfn.XLOOKUP($K592&amp;"",SERVER!$B$3:$B$1009&amp;"",SERVER!$J$3:$J$1009,""),""))</f>
        <v/>
      </c>
      <c r="N592" s="1" t="str" cm="1">
        <f t="array" ref="N592">IF(OR($K592="",$I592="",$J592=""),"",_xlfn.LET(_xlpm.srcCat,_xlfn.SWITCH($I592,"Computer",_xlfn.XLOOKUP($K592&amp;"",COMPUTER!$B$3:$B$1009&amp;"",COMPUTER!$H$3:$H$1009,""),"Display",_xlfn.XLOOKUP($K592&amp;"",DISPLAY!$B$3:$B$1000&amp;"",DISPLAY!$H$3:$H$1000,""),"Network Device",_xlfn.XLOOKUP($K592&amp;"",'NETWORK-DEVICES'!$B$3:$B$987&amp;"",'NETWORK-DEVICES'!$H$3:$H$987,""),"Peripheral",_xlfn.XLOOKUP($K592&amp;"",PERIPHERAL!$B$3:$B$954&amp;"",PERIPHERAL!$H$3:$H$954,""),"Utilities",_xlfn.XLOOKUP($K592&amp;"",UTILITIES!$B$3:$B$953&amp;"",UTILITIES!$G$3:$G$953,""),"IOT",_xlfn.XLOOKUP($K592&amp;"",IOT!$B$3:$B$1012&amp;"",IOT!$H$3:$H$1012,""),"Server",_xlfn.XLOOKUP($K592&amp;"",SERVER!$B$3:$B$1009&amp;"",SERVER!$H$3:$H$1009,""),""),IF(TRIM(_xlpm.srcCat)&lt;&gt;TRIM($J592),"",_xlfn.SWITCH($I592,"Computer",_xlfn.XLOOKUP($K592&amp;"",COMPUTER!$B$3:$B$1009&amp;"",COMPUTER!$K$3:$K$1009,""),"Display",_xlfn.XLOOKUP($K592&amp;"",DISPLAY!$B$3:$B$1000&amp;"",DISPLAY!$L$3:$L$1000,""),"Network Device",_xlfn.XLOOKUP($K592&amp;"",'NETWORK-DEVICES'!$B$3:$B$987&amp;"",'NETWORK-DEVICES'!$K$3:$K$987,""),"Peripheral",_xlfn.XLOOKUP($K592&amp;"",PERIPHERAL!$B$3:$B$954&amp;"",PERIPHERAL!$K$3:$K$954,""),"Utilities",_xlfn.XLOOKUP($K592&amp;"",UTILITIES!$B$3:$B$953&amp;"",UTILITIES!$J$3:$J$953,""),"IOT",_xlfn.XLOOKUP($K592&amp;"",IOT!$B$3:$B$1012&amp;"",IOT!$K$4:$K$1012,""),"Server",_xlfn.XLOOKUP($K592&amp;"",SERVER!$B$3:$B$1009&amp;"",SERVER!$K$3:$K$1009,""),""))))</f>
        <v/>
      </c>
      <c r="O592" s="1" t="str" cm="1">
        <f t="array" ref="O592">IF(OR($K592="",$I592="",$J592=""),"",_xlfn.LET(_xlpm.srcCat,_xlfn.SWITCH($I592,"Computer",_xlfn.XLOOKUP($K592&amp;"",COMPUTER!$B$3:$B$1009&amp;"",COMPUTER!$H$3:$H$1009,""),"Display",_xlfn.XLOOKUP($K592&amp;"",DISPLAY!$B$3:$B$1000&amp;"",DISPLAY!$H$3:$H$1000,""),"Network Device",_xlfn.XLOOKUP($K592&amp;"",'NETWORK-DEVICES'!$B$3:$B$987&amp;"",'NETWORK-DEVICES'!$H$3:$H$987,""),"Peripheral",_xlfn.XLOOKUP($K592&amp;"",PERIPHERAL!$B$3:$B$954&amp;"",PERIPHERAL!$H$3:$H$954,""),"Utilities",_xlfn.XLOOKUP($K592&amp;"",UTILITIES!$B$3:$B$953&amp;"",UTILITIES!$G$3:$G$953,""),"IOT",_xlfn.XLOOKUP($K592&amp;"",IOT!$B$3:$B$1012&amp;"",IOT!$H$3:$H$1012,""),"Server",_xlfn.XLOOKUP($K592&amp;"",SERVER!$B$3:$B$1009&amp;"",SERVER!$H$3:$H$1009,""),""),IF(TRIM(_xlpm.srcCat)&lt;&gt;TRIM($J592),"",_xlfn.SWITCH($I592,"Computer",_xlfn.XLOOKUP($K592&amp;"",COMPUTER!$B$3:$B$1009&amp;"",COMPUTER!$E$3:$E$1009,""),"Display",_xlfn.XLOOKUP($K592&amp;"",DISPLAY!$B$3:$B$1000&amp;"",DISPLAY!$E$3:$E$1000,""),"Network Device",_xlfn.XLOOKUP($K592&amp;"",'NETWORK-DEVICES'!$B$3:$B$987&amp;"",'NETWORK-DEVICES'!$E$3:$E$987,""),"Peripheral",_xlfn.XLOOKUP($K592&amp;"",PERIPHERAL!$B$3:$B$954&amp;"",PERIPHERAL!$E$3:$E$954,""),"Utilities",_xlfn.XLOOKUP($K592&amp;"",UTILITIES!$B$3:$B$953&amp;"",UTILITIES!$E$3:$E$953,""),"IOT",_xlfn.XLOOKUP($K592&amp;"",IOT!$B$3:$B$1012&amp;"",IOT!$E$3:$E$1012,""),"Server",_xlfn.XLOOKUP($K592&amp;"",SERVER!$B$3:$B$1009&amp;"",SERVER!$E$3:$E$1009,""),""))))</f>
        <v/>
      </c>
      <c r="Q592" s="1" t="str" cm="1">
        <f t="array" ref="Q592">IF(OR($K592="",$I592="",$J592=""),"",_xlfn.LET(_xlpm.srcCat,_xlfn.SWITCH($I592,"Computer",_xlfn.XLOOKUP($K592&amp;"",COMPUTER!$B$3:$B$1009&amp;"",COMPUTER!$H$3:$H$1009,""),"Display",_xlfn.XLOOKUP($K592&amp;"",DISPLAY!$B$3:$B$1000&amp;"",DISPLAY!$H$3:$H$1000,""),"Network Device",_xlfn.XLOOKUP($K592&amp;"",'NETWORK-DEVICES'!$B$3:$B$987&amp;"",'NETWORK-DEVICES'!$H$3:$H$987,""),"Peripheral",_xlfn.XLOOKUP($K592&amp;"",PERIPHERAL!$B$3:$B$954&amp;"",PERIPHERAL!$H$3:$H$954,""),"Utilities",_xlfn.XLOOKUP($K592&amp;"",UTILITIES!$B$3:$B$953&amp;"",UTILITIES!$G$3:$G$953,""),"IOT",_xlfn.XLOOKUP($K592&amp;"",IOT!$B$3:$B$1012&amp;"",IOT!$H$3:$H$1012,""),"Server",_xlfn.XLOOKUP($K592&amp;"",SERVER!$B$3:$B$1009&amp;"",SERVER!$H$3:$H$1009,""),""),IF(TRIM(_xlpm.srcCat)&lt;&gt;TRIM($J592),"",_xlfn.SWITCH($I592,"Computer",_xlfn.XLOOKUP($K592&amp;"",COMPUTER!$B$3:$B$1009&amp;"",COMPUTER!$AM$3:$AM$1009,""),"Display",_xlfn.XLOOKUP($K592&amp;"",DISPLAY!$B$3:$B$1000&amp;"",DISPLAY!$V$3:$V$1000,""),"Network Device",_xlfn.XLOOKUP($K592&amp;"",'NETWORK-DEVICES'!$B$3:$B$987&amp;"",'NETWORK-DEVICES'!$AF$3:$AF$987,""),"Peripheral",_xlfn.XLOOKUP($K592&amp;"",PERIPHERAL!$B$3:$B$954&amp;"",PERIPHERAL!$Y$3:$Y$954,""),"Utilities",_xlfn.XLOOKUP($K592&amp;"",UTILITIES!$B$3:$B$953&amp;"",UTILITIES!$O$3:$O$953,""),"IOT",_xlfn.XLOOKUP($K592&amp;"",IOT!$B$3:$B$1012&amp;"",IOT!$AB$3:$AB$1012,""),"Server",_xlfn.XLOOKUP($K592&amp;"",SERVER!$B$3:$B$1009&amp;"",SERVER!$AB$3:$AB$1009,""),""))))</f>
        <v/>
      </c>
      <c r="R592" s="43" t="str">
        <f>IF(tbl_handover[[#This Row],[Asset Code]]="","",COUNTIF(tbl_handover[Asset Code],tbl_handover[[#This Row],[Asset Code]]))</f>
        <v/>
      </c>
    </row>
    <row r="593" spans="1:18" x14ac:dyDescent="0.25">
      <c r="A593" s="43" t="str">
        <f>IF(B593&lt;&gt;"",SUBTOTAL(3,$B$1:B592),"")</f>
        <v/>
      </c>
      <c r="C593" s="74"/>
      <c r="D593" s="74"/>
      <c r="G593" s="1"/>
      <c r="K593" s="42"/>
      <c r="L593" t="str" cm="1">
        <f t="array" ref="L593">IF($K593="","",_xlfn.SWITCH($I593,"Computer",_xlfn.XLOOKUP($K593&amp;"",COMPUTER!$B$3:$B$1009&amp;"",COMPUTER!$I$3:$I$1009,""),"Display",_xlfn.XLOOKUP($K593&amp;"",DISPLAY!$B$3:$B$1000&amp;"",DISPLAY!$J$3:$J$1000,""),"Network Device",_xlfn.XLOOKUP($K593&amp;"",'NETWORK-DEVICES'!$B$3:$B$987&amp;"",'NETWORK-DEVICES'!$I$3:$I$987,""),"Peripheral",_xlfn.XLOOKUP($K593&amp;"",PERIPHERAL!$B$3:$B$954&amp;"",PERIPHERAL!$I$3:$I$954,""),"Utilities",_xlfn.XLOOKUP($K593&amp;"",UTILITIES!$B$3:$B$953&amp;"",UTILITIES!$H$3:$H$953,""),"IOT",_xlfn.XLOOKUP($K593&amp;"",IOT!$B$3:$B$1012&amp;"",IOT!$I$3:$I$1012,""),"SERVER",_xlfn.XLOOKUP($K593&amp;"",SERVER!$B$3:$B$1009&amp;"",SERVER!$I$3:$I$1009,""),""))</f>
        <v/>
      </c>
      <c r="M593" t="str" cm="1">
        <f t="array" ref="M593">IF($K593="","",_xlfn.SWITCH($I593,"Computer",_xlfn.XLOOKUP($K593&amp;"",COMPUTER!$B$3:$B$1009&amp;"",COMPUTER!$J$3:$J$1009,""),"Display",_xlfn.XLOOKUP($K593&amp;"",DISPLAY!$B$3:$B$1000&amp;"",DISPLAY!$K$3:$K$1000,""),"Network Device",_xlfn.XLOOKUP($K593&amp;"",'NETWORK-DEVICES'!$B$3:$B$987&amp;"",'NETWORK-DEVICES'!$I$3:$I$987,""),"Peripheral",_xlfn.XLOOKUP($K593&amp;"",PERIPHERAL!$B$3:$B$954&amp;"",PERIPHERAL!$J$3:$J$954,""),"Utilities",_xlfn.XLOOKUP($K593&amp;"",UTILITIES!$B$3:$B$953&amp;"",UTILITIES!$I$3:$I$953,""),"IOT",_xlfn.XLOOKUP($K593&amp;"",IOT!$B$3:$B$1012&amp;"",IOT!$J$3:$J$1012,""),"Server",_xlfn.XLOOKUP($K593&amp;"",SERVER!$B$3:$B$1009&amp;"",SERVER!$J$3:$J$1009,""),""))</f>
        <v/>
      </c>
      <c r="N593" s="1" t="str" cm="1">
        <f t="array" ref="N593">IF(OR($K593="",$I593="",$J593=""),"",_xlfn.LET(_xlpm.srcCat,_xlfn.SWITCH($I593,"Computer",_xlfn.XLOOKUP($K593&amp;"",COMPUTER!$B$3:$B$1009&amp;"",COMPUTER!$H$3:$H$1009,""),"Display",_xlfn.XLOOKUP($K593&amp;"",DISPLAY!$B$3:$B$1000&amp;"",DISPLAY!$H$3:$H$1000,""),"Network Device",_xlfn.XLOOKUP($K593&amp;"",'NETWORK-DEVICES'!$B$3:$B$987&amp;"",'NETWORK-DEVICES'!$H$3:$H$987,""),"Peripheral",_xlfn.XLOOKUP($K593&amp;"",PERIPHERAL!$B$3:$B$954&amp;"",PERIPHERAL!$H$3:$H$954,""),"Utilities",_xlfn.XLOOKUP($K593&amp;"",UTILITIES!$B$3:$B$953&amp;"",UTILITIES!$G$3:$G$953,""),"IOT",_xlfn.XLOOKUP($K593&amp;"",IOT!$B$3:$B$1012&amp;"",IOT!$H$3:$H$1012,""),"Server",_xlfn.XLOOKUP($K593&amp;"",SERVER!$B$3:$B$1009&amp;"",SERVER!$H$3:$H$1009,""),""),IF(TRIM(_xlpm.srcCat)&lt;&gt;TRIM($J593),"",_xlfn.SWITCH($I593,"Computer",_xlfn.XLOOKUP($K593&amp;"",COMPUTER!$B$3:$B$1009&amp;"",COMPUTER!$K$3:$K$1009,""),"Display",_xlfn.XLOOKUP($K593&amp;"",DISPLAY!$B$3:$B$1000&amp;"",DISPLAY!$L$3:$L$1000,""),"Network Device",_xlfn.XLOOKUP($K593&amp;"",'NETWORK-DEVICES'!$B$3:$B$987&amp;"",'NETWORK-DEVICES'!$K$3:$K$987,""),"Peripheral",_xlfn.XLOOKUP($K593&amp;"",PERIPHERAL!$B$3:$B$954&amp;"",PERIPHERAL!$K$3:$K$954,""),"Utilities",_xlfn.XLOOKUP($K593&amp;"",UTILITIES!$B$3:$B$953&amp;"",UTILITIES!$J$3:$J$953,""),"IOT",_xlfn.XLOOKUP($K593&amp;"",IOT!$B$3:$B$1012&amp;"",IOT!$K$4:$K$1012,""),"Server",_xlfn.XLOOKUP($K593&amp;"",SERVER!$B$3:$B$1009&amp;"",SERVER!$K$3:$K$1009,""),""))))</f>
        <v/>
      </c>
      <c r="O593" s="1" t="str" cm="1">
        <f t="array" ref="O593">IF(OR($K593="",$I593="",$J593=""),"",_xlfn.LET(_xlpm.srcCat,_xlfn.SWITCH($I593,"Computer",_xlfn.XLOOKUP($K593&amp;"",COMPUTER!$B$3:$B$1009&amp;"",COMPUTER!$H$3:$H$1009,""),"Display",_xlfn.XLOOKUP($K593&amp;"",DISPLAY!$B$3:$B$1000&amp;"",DISPLAY!$H$3:$H$1000,""),"Network Device",_xlfn.XLOOKUP($K593&amp;"",'NETWORK-DEVICES'!$B$3:$B$987&amp;"",'NETWORK-DEVICES'!$H$3:$H$987,""),"Peripheral",_xlfn.XLOOKUP($K593&amp;"",PERIPHERAL!$B$3:$B$954&amp;"",PERIPHERAL!$H$3:$H$954,""),"Utilities",_xlfn.XLOOKUP($K593&amp;"",UTILITIES!$B$3:$B$953&amp;"",UTILITIES!$G$3:$G$953,""),"IOT",_xlfn.XLOOKUP($K593&amp;"",IOT!$B$3:$B$1012&amp;"",IOT!$H$3:$H$1012,""),"Server",_xlfn.XLOOKUP($K593&amp;"",SERVER!$B$3:$B$1009&amp;"",SERVER!$H$3:$H$1009,""),""),IF(TRIM(_xlpm.srcCat)&lt;&gt;TRIM($J593),"",_xlfn.SWITCH($I593,"Computer",_xlfn.XLOOKUP($K593&amp;"",COMPUTER!$B$3:$B$1009&amp;"",COMPUTER!$E$3:$E$1009,""),"Display",_xlfn.XLOOKUP($K593&amp;"",DISPLAY!$B$3:$B$1000&amp;"",DISPLAY!$E$3:$E$1000,""),"Network Device",_xlfn.XLOOKUP($K593&amp;"",'NETWORK-DEVICES'!$B$3:$B$987&amp;"",'NETWORK-DEVICES'!$E$3:$E$987,""),"Peripheral",_xlfn.XLOOKUP($K593&amp;"",PERIPHERAL!$B$3:$B$954&amp;"",PERIPHERAL!$E$3:$E$954,""),"Utilities",_xlfn.XLOOKUP($K593&amp;"",UTILITIES!$B$3:$B$953&amp;"",UTILITIES!$E$3:$E$953,""),"IOT",_xlfn.XLOOKUP($K593&amp;"",IOT!$B$3:$B$1012&amp;"",IOT!$E$3:$E$1012,""),"Server",_xlfn.XLOOKUP($K593&amp;"",SERVER!$B$3:$B$1009&amp;"",SERVER!$E$3:$E$1009,""),""))))</f>
        <v/>
      </c>
      <c r="Q593" s="1" t="str" cm="1">
        <f t="array" ref="Q593">IF(OR($K593="",$I593="",$J593=""),"",_xlfn.LET(_xlpm.srcCat,_xlfn.SWITCH($I593,"Computer",_xlfn.XLOOKUP($K593&amp;"",COMPUTER!$B$3:$B$1009&amp;"",COMPUTER!$H$3:$H$1009,""),"Display",_xlfn.XLOOKUP($K593&amp;"",DISPLAY!$B$3:$B$1000&amp;"",DISPLAY!$H$3:$H$1000,""),"Network Device",_xlfn.XLOOKUP($K593&amp;"",'NETWORK-DEVICES'!$B$3:$B$987&amp;"",'NETWORK-DEVICES'!$H$3:$H$987,""),"Peripheral",_xlfn.XLOOKUP($K593&amp;"",PERIPHERAL!$B$3:$B$954&amp;"",PERIPHERAL!$H$3:$H$954,""),"Utilities",_xlfn.XLOOKUP($K593&amp;"",UTILITIES!$B$3:$B$953&amp;"",UTILITIES!$G$3:$G$953,""),"IOT",_xlfn.XLOOKUP($K593&amp;"",IOT!$B$3:$B$1012&amp;"",IOT!$H$3:$H$1012,""),"Server",_xlfn.XLOOKUP($K593&amp;"",SERVER!$B$3:$B$1009&amp;"",SERVER!$H$3:$H$1009,""),""),IF(TRIM(_xlpm.srcCat)&lt;&gt;TRIM($J593),"",_xlfn.SWITCH($I593,"Computer",_xlfn.XLOOKUP($K593&amp;"",COMPUTER!$B$3:$B$1009&amp;"",COMPUTER!$AM$3:$AM$1009,""),"Display",_xlfn.XLOOKUP($K593&amp;"",DISPLAY!$B$3:$B$1000&amp;"",DISPLAY!$V$3:$V$1000,""),"Network Device",_xlfn.XLOOKUP($K593&amp;"",'NETWORK-DEVICES'!$B$3:$B$987&amp;"",'NETWORK-DEVICES'!$AF$3:$AF$987,""),"Peripheral",_xlfn.XLOOKUP($K593&amp;"",PERIPHERAL!$B$3:$B$954&amp;"",PERIPHERAL!$Y$3:$Y$954,""),"Utilities",_xlfn.XLOOKUP($K593&amp;"",UTILITIES!$B$3:$B$953&amp;"",UTILITIES!$O$3:$O$953,""),"IOT",_xlfn.XLOOKUP($K593&amp;"",IOT!$B$3:$B$1012&amp;"",IOT!$AB$3:$AB$1012,""),"Server",_xlfn.XLOOKUP($K593&amp;"",SERVER!$B$3:$B$1009&amp;"",SERVER!$AB$3:$AB$1009,""),""))))</f>
        <v/>
      </c>
      <c r="R593" s="43" t="str">
        <f>IF(tbl_handover[[#This Row],[Asset Code]]="","",COUNTIF(tbl_handover[Asset Code],tbl_handover[[#This Row],[Asset Code]]))</f>
        <v/>
      </c>
    </row>
    <row r="594" spans="1:18" x14ac:dyDescent="0.25">
      <c r="A594" s="43" t="str">
        <f>IF(B594&lt;&gt;"",SUBTOTAL(3,$B$1:B593),"")</f>
        <v/>
      </c>
      <c r="C594" s="74"/>
      <c r="D594" s="74"/>
      <c r="G594" s="1"/>
      <c r="K594" s="42"/>
      <c r="L594" t="str" cm="1">
        <f t="array" ref="L594">IF($K594="","",_xlfn.SWITCH($I594,"Computer",_xlfn.XLOOKUP($K594&amp;"",COMPUTER!$B$3:$B$1009&amp;"",COMPUTER!$I$3:$I$1009,""),"Display",_xlfn.XLOOKUP($K594&amp;"",DISPLAY!$B$3:$B$1000&amp;"",DISPLAY!$J$3:$J$1000,""),"Network Device",_xlfn.XLOOKUP($K594&amp;"",'NETWORK-DEVICES'!$B$3:$B$987&amp;"",'NETWORK-DEVICES'!$I$3:$I$987,""),"Peripheral",_xlfn.XLOOKUP($K594&amp;"",PERIPHERAL!$B$3:$B$954&amp;"",PERIPHERAL!$I$3:$I$954,""),"Utilities",_xlfn.XLOOKUP($K594&amp;"",UTILITIES!$B$3:$B$953&amp;"",UTILITIES!$H$3:$H$953,""),"IOT",_xlfn.XLOOKUP($K594&amp;"",IOT!$B$3:$B$1012&amp;"",IOT!$I$3:$I$1012,""),"SERVER",_xlfn.XLOOKUP($K594&amp;"",SERVER!$B$3:$B$1009&amp;"",SERVER!$I$3:$I$1009,""),""))</f>
        <v/>
      </c>
      <c r="M594" t="str" cm="1">
        <f t="array" ref="M594">IF($K594="","",_xlfn.SWITCH($I594,"Computer",_xlfn.XLOOKUP($K594&amp;"",COMPUTER!$B$3:$B$1009&amp;"",COMPUTER!$J$3:$J$1009,""),"Display",_xlfn.XLOOKUP($K594&amp;"",DISPLAY!$B$3:$B$1000&amp;"",DISPLAY!$K$3:$K$1000,""),"Network Device",_xlfn.XLOOKUP($K594&amp;"",'NETWORK-DEVICES'!$B$3:$B$987&amp;"",'NETWORK-DEVICES'!$I$3:$I$987,""),"Peripheral",_xlfn.XLOOKUP($K594&amp;"",PERIPHERAL!$B$3:$B$954&amp;"",PERIPHERAL!$J$3:$J$954,""),"Utilities",_xlfn.XLOOKUP($K594&amp;"",UTILITIES!$B$3:$B$953&amp;"",UTILITIES!$I$3:$I$953,""),"IOT",_xlfn.XLOOKUP($K594&amp;"",IOT!$B$3:$B$1012&amp;"",IOT!$J$3:$J$1012,""),"Server",_xlfn.XLOOKUP($K594&amp;"",SERVER!$B$3:$B$1009&amp;"",SERVER!$J$3:$J$1009,""),""))</f>
        <v/>
      </c>
      <c r="N594" s="1" t="str" cm="1">
        <f t="array" ref="N594">IF(OR($K594="",$I594="",$J594=""),"",_xlfn.LET(_xlpm.srcCat,_xlfn.SWITCH($I594,"Computer",_xlfn.XLOOKUP($K594&amp;"",COMPUTER!$B$3:$B$1009&amp;"",COMPUTER!$H$3:$H$1009,""),"Display",_xlfn.XLOOKUP($K594&amp;"",DISPLAY!$B$3:$B$1000&amp;"",DISPLAY!$H$3:$H$1000,""),"Network Device",_xlfn.XLOOKUP($K594&amp;"",'NETWORK-DEVICES'!$B$3:$B$987&amp;"",'NETWORK-DEVICES'!$H$3:$H$987,""),"Peripheral",_xlfn.XLOOKUP($K594&amp;"",PERIPHERAL!$B$3:$B$954&amp;"",PERIPHERAL!$H$3:$H$954,""),"Utilities",_xlfn.XLOOKUP($K594&amp;"",UTILITIES!$B$3:$B$953&amp;"",UTILITIES!$G$3:$G$953,""),"IOT",_xlfn.XLOOKUP($K594&amp;"",IOT!$B$3:$B$1012&amp;"",IOT!$H$3:$H$1012,""),"Server",_xlfn.XLOOKUP($K594&amp;"",SERVER!$B$3:$B$1009&amp;"",SERVER!$H$3:$H$1009,""),""),IF(TRIM(_xlpm.srcCat)&lt;&gt;TRIM($J594),"",_xlfn.SWITCH($I594,"Computer",_xlfn.XLOOKUP($K594&amp;"",COMPUTER!$B$3:$B$1009&amp;"",COMPUTER!$K$3:$K$1009,""),"Display",_xlfn.XLOOKUP($K594&amp;"",DISPLAY!$B$3:$B$1000&amp;"",DISPLAY!$L$3:$L$1000,""),"Network Device",_xlfn.XLOOKUP($K594&amp;"",'NETWORK-DEVICES'!$B$3:$B$987&amp;"",'NETWORK-DEVICES'!$K$3:$K$987,""),"Peripheral",_xlfn.XLOOKUP($K594&amp;"",PERIPHERAL!$B$3:$B$954&amp;"",PERIPHERAL!$K$3:$K$954,""),"Utilities",_xlfn.XLOOKUP($K594&amp;"",UTILITIES!$B$3:$B$953&amp;"",UTILITIES!$J$3:$J$953,""),"IOT",_xlfn.XLOOKUP($K594&amp;"",IOT!$B$3:$B$1012&amp;"",IOT!$K$4:$K$1012,""),"Server",_xlfn.XLOOKUP($K594&amp;"",SERVER!$B$3:$B$1009&amp;"",SERVER!$K$3:$K$1009,""),""))))</f>
        <v/>
      </c>
      <c r="O594" s="1" t="str" cm="1">
        <f t="array" ref="O594">IF(OR($K594="",$I594="",$J594=""),"",_xlfn.LET(_xlpm.srcCat,_xlfn.SWITCH($I594,"Computer",_xlfn.XLOOKUP($K594&amp;"",COMPUTER!$B$3:$B$1009&amp;"",COMPUTER!$H$3:$H$1009,""),"Display",_xlfn.XLOOKUP($K594&amp;"",DISPLAY!$B$3:$B$1000&amp;"",DISPLAY!$H$3:$H$1000,""),"Network Device",_xlfn.XLOOKUP($K594&amp;"",'NETWORK-DEVICES'!$B$3:$B$987&amp;"",'NETWORK-DEVICES'!$H$3:$H$987,""),"Peripheral",_xlfn.XLOOKUP($K594&amp;"",PERIPHERAL!$B$3:$B$954&amp;"",PERIPHERAL!$H$3:$H$954,""),"Utilities",_xlfn.XLOOKUP($K594&amp;"",UTILITIES!$B$3:$B$953&amp;"",UTILITIES!$G$3:$G$953,""),"IOT",_xlfn.XLOOKUP($K594&amp;"",IOT!$B$3:$B$1012&amp;"",IOT!$H$3:$H$1012,""),"Server",_xlfn.XLOOKUP($K594&amp;"",SERVER!$B$3:$B$1009&amp;"",SERVER!$H$3:$H$1009,""),""),IF(TRIM(_xlpm.srcCat)&lt;&gt;TRIM($J594),"",_xlfn.SWITCH($I594,"Computer",_xlfn.XLOOKUP($K594&amp;"",COMPUTER!$B$3:$B$1009&amp;"",COMPUTER!$E$3:$E$1009,""),"Display",_xlfn.XLOOKUP($K594&amp;"",DISPLAY!$B$3:$B$1000&amp;"",DISPLAY!$E$3:$E$1000,""),"Network Device",_xlfn.XLOOKUP($K594&amp;"",'NETWORK-DEVICES'!$B$3:$B$987&amp;"",'NETWORK-DEVICES'!$E$3:$E$987,""),"Peripheral",_xlfn.XLOOKUP($K594&amp;"",PERIPHERAL!$B$3:$B$954&amp;"",PERIPHERAL!$E$3:$E$954,""),"Utilities",_xlfn.XLOOKUP($K594&amp;"",UTILITIES!$B$3:$B$953&amp;"",UTILITIES!$E$3:$E$953,""),"IOT",_xlfn.XLOOKUP($K594&amp;"",IOT!$B$3:$B$1012&amp;"",IOT!$E$3:$E$1012,""),"Server",_xlfn.XLOOKUP($K594&amp;"",SERVER!$B$3:$B$1009&amp;"",SERVER!$E$3:$E$1009,""),""))))</f>
        <v/>
      </c>
      <c r="Q594" s="1" t="str" cm="1">
        <f t="array" ref="Q594">IF(OR($K594="",$I594="",$J594=""),"",_xlfn.LET(_xlpm.srcCat,_xlfn.SWITCH($I594,"Computer",_xlfn.XLOOKUP($K594&amp;"",COMPUTER!$B$3:$B$1009&amp;"",COMPUTER!$H$3:$H$1009,""),"Display",_xlfn.XLOOKUP($K594&amp;"",DISPLAY!$B$3:$B$1000&amp;"",DISPLAY!$H$3:$H$1000,""),"Network Device",_xlfn.XLOOKUP($K594&amp;"",'NETWORK-DEVICES'!$B$3:$B$987&amp;"",'NETWORK-DEVICES'!$H$3:$H$987,""),"Peripheral",_xlfn.XLOOKUP($K594&amp;"",PERIPHERAL!$B$3:$B$954&amp;"",PERIPHERAL!$H$3:$H$954,""),"Utilities",_xlfn.XLOOKUP($K594&amp;"",UTILITIES!$B$3:$B$953&amp;"",UTILITIES!$G$3:$G$953,""),"IOT",_xlfn.XLOOKUP($K594&amp;"",IOT!$B$3:$B$1012&amp;"",IOT!$H$3:$H$1012,""),"Server",_xlfn.XLOOKUP($K594&amp;"",SERVER!$B$3:$B$1009&amp;"",SERVER!$H$3:$H$1009,""),""),IF(TRIM(_xlpm.srcCat)&lt;&gt;TRIM($J594),"",_xlfn.SWITCH($I594,"Computer",_xlfn.XLOOKUP($K594&amp;"",COMPUTER!$B$3:$B$1009&amp;"",COMPUTER!$AM$3:$AM$1009,""),"Display",_xlfn.XLOOKUP($K594&amp;"",DISPLAY!$B$3:$B$1000&amp;"",DISPLAY!$V$3:$V$1000,""),"Network Device",_xlfn.XLOOKUP($K594&amp;"",'NETWORK-DEVICES'!$B$3:$B$987&amp;"",'NETWORK-DEVICES'!$AF$3:$AF$987,""),"Peripheral",_xlfn.XLOOKUP($K594&amp;"",PERIPHERAL!$B$3:$B$954&amp;"",PERIPHERAL!$Y$3:$Y$954,""),"Utilities",_xlfn.XLOOKUP($K594&amp;"",UTILITIES!$B$3:$B$953&amp;"",UTILITIES!$O$3:$O$953,""),"IOT",_xlfn.XLOOKUP($K594&amp;"",IOT!$B$3:$B$1012&amp;"",IOT!$AB$3:$AB$1012,""),"Server",_xlfn.XLOOKUP($K594&amp;"",SERVER!$B$3:$B$1009&amp;"",SERVER!$AB$3:$AB$1009,""),""))))</f>
        <v/>
      </c>
      <c r="R594" s="43" t="str">
        <f>IF(tbl_handover[[#This Row],[Asset Code]]="","",COUNTIF(tbl_handover[Asset Code],tbl_handover[[#This Row],[Asset Code]]))</f>
        <v/>
      </c>
    </row>
    <row r="595" spans="1:18" x14ac:dyDescent="0.25">
      <c r="A595" s="43" t="str">
        <f>IF(B595&lt;&gt;"",SUBTOTAL(3,$B$1:B594),"")</f>
        <v/>
      </c>
      <c r="C595" s="74"/>
      <c r="D595" s="74"/>
      <c r="G595" s="1"/>
      <c r="K595" s="42"/>
      <c r="L595" t="str" cm="1">
        <f t="array" ref="L595">IF($K595="","",_xlfn.SWITCH($I595,"Computer",_xlfn.XLOOKUP($K595&amp;"",COMPUTER!$B$3:$B$1009&amp;"",COMPUTER!$I$3:$I$1009,""),"Display",_xlfn.XLOOKUP($K595&amp;"",DISPLAY!$B$3:$B$1000&amp;"",DISPLAY!$J$3:$J$1000,""),"Network Device",_xlfn.XLOOKUP($K595&amp;"",'NETWORK-DEVICES'!$B$3:$B$987&amp;"",'NETWORK-DEVICES'!$I$3:$I$987,""),"Peripheral",_xlfn.XLOOKUP($K595&amp;"",PERIPHERAL!$B$3:$B$954&amp;"",PERIPHERAL!$I$3:$I$954,""),"Utilities",_xlfn.XLOOKUP($K595&amp;"",UTILITIES!$B$3:$B$953&amp;"",UTILITIES!$H$3:$H$953,""),"IOT",_xlfn.XLOOKUP($K595&amp;"",IOT!$B$3:$B$1012&amp;"",IOT!$I$3:$I$1012,""),"SERVER",_xlfn.XLOOKUP($K595&amp;"",SERVER!$B$3:$B$1009&amp;"",SERVER!$I$3:$I$1009,""),""))</f>
        <v/>
      </c>
      <c r="M595" t="str" cm="1">
        <f t="array" ref="M595">IF($K595="","",_xlfn.SWITCH($I595,"Computer",_xlfn.XLOOKUP($K595&amp;"",COMPUTER!$B$3:$B$1009&amp;"",COMPUTER!$J$3:$J$1009,""),"Display",_xlfn.XLOOKUP($K595&amp;"",DISPLAY!$B$3:$B$1000&amp;"",DISPLAY!$K$3:$K$1000,""),"Network Device",_xlfn.XLOOKUP($K595&amp;"",'NETWORK-DEVICES'!$B$3:$B$987&amp;"",'NETWORK-DEVICES'!$I$3:$I$987,""),"Peripheral",_xlfn.XLOOKUP($K595&amp;"",PERIPHERAL!$B$3:$B$954&amp;"",PERIPHERAL!$J$3:$J$954,""),"Utilities",_xlfn.XLOOKUP($K595&amp;"",UTILITIES!$B$3:$B$953&amp;"",UTILITIES!$I$3:$I$953,""),"IOT",_xlfn.XLOOKUP($K595&amp;"",IOT!$B$3:$B$1012&amp;"",IOT!$J$3:$J$1012,""),"Server",_xlfn.XLOOKUP($K595&amp;"",SERVER!$B$3:$B$1009&amp;"",SERVER!$J$3:$J$1009,""),""))</f>
        <v/>
      </c>
      <c r="N595" s="1" t="str" cm="1">
        <f t="array" ref="N595">IF(OR($K595="",$I595="",$J595=""),"",_xlfn.LET(_xlpm.srcCat,_xlfn.SWITCH($I595,"Computer",_xlfn.XLOOKUP($K595&amp;"",COMPUTER!$B$3:$B$1009&amp;"",COMPUTER!$H$3:$H$1009,""),"Display",_xlfn.XLOOKUP($K595&amp;"",DISPLAY!$B$3:$B$1000&amp;"",DISPLAY!$H$3:$H$1000,""),"Network Device",_xlfn.XLOOKUP($K595&amp;"",'NETWORK-DEVICES'!$B$3:$B$987&amp;"",'NETWORK-DEVICES'!$H$3:$H$987,""),"Peripheral",_xlfn.XLOOKUP($K595&amp;"",PERIPHERAL!$B$3:$B$954&amp;"",PERIPHERAL!$H$3:$H$954,""),"Utilities",_xlfn.XLOOKUP($K595&amp;"",UTILITIES!$B$3:$B$953&amp;"",UTILITIES!$G$3:$G$953,""),"IOT",_xlfn.XLOOKUP($K595&amp;"",IOT!$B$3:$B$1012&amp;"",IOT!$H$3:$H$1012,""),"Server",_xlfn.XLOOKUP($K595&amp;"",SERVER!$B$3:$B$1009&amp;"",SERVER!$H$3:$H$1009,""),""),IF(TRIM(_xlpm.srcCat)&lt;&gt;TRIM($J595),"",_xlfn.SWITCH($I595,"Computer",_xlfn.XLOOKUP($K595&amp;"",COMPUTER!$B$3:$B$1009&amp;"",COMPUTER!$K$3:$K$1009,""),"Display",_xlfn.XLOOKUP($K595&amp;"",DISPLAY!$B$3:$B$1000&amp;"",DISPLAY!$L$3:$L$1000,""),"Network Device",_xlfn.XLOOKUP($K595&amp;"",'NETWORK-DEVICES'!$B$3:$B$987&amp;"",'NETWORK-DEVICES'!$K$3:$K$987,""),"Peripheral",_xlfn.XLOOKUP($K595&amp;"",PERIPHERAL!$B$3:$B$954&amp;"",PERIPHERAL!$K$3:$K$954,""),"Utilities",_xlfn.XLOOKUP($K595&amp;"",UTILITIES!$B$3:$B$953&amp;"",UTILITIES!$J$3:$J$953,""),"IOT",_xlfn.XLOOKUP($K595&amp;"",IOT!$B$3:$B$1012&amp;"",IOT!$K$4:$K$1012,""),"Server",_xlfn.XLOOKUP($K595&amp;"",SERVER!$B$3:$B$1009&amp;"",SERVER!$K$3:$K$1009,""),""))))</f>
        <v/>
      </c>
      <c r="O595" s="1" t="str" cm="1">
        <f t="array" ref="O595">IF(OR($K595="",$I595="",$J595=""),"",_xlfn.LET(_xlpm.srcCat,_xlfn.SWITCH($I595,"Computer",_xlfn.XLOOKUP($K595&amp;"",COMPUTER!$B$3:$B$1009&amp;"",COMPUTER!$H$3:$H$1009,""),"Display",_xlfn.XLOOKUP($K595&amp;"",DISPLAY!$B$3:$B$1000&amp;"",DISPLAY!$H$3:$H$1000,""),"Network Device",_xlfn.XLOOKUP($K595&amp;"",'NETWORK-DEVICES'!$B$3:$B$987&amp;"",'NETWORK-DEVICES'!$H$3:$H$987,""),"Peripheral",_xlfn.XLOOKUP($K595&amp;"",PERIPHERAL!$B$3:$B$954&amp;"",PERIPHERAL!$H$3:$H$954,""),"Utilities",_xlfn.XLOOKUP($K595&amp;"",UTILITIES!$B$3:$B$953&amp;"",UTILITIES!$G$3:$G$953,""),"IOT",_xlfn.XLOOKUP($K595&amp;"",IOT!$B$3:$B$1012&amp;"",IOT!$H$3:$H$1012,""),"Server",_xlfn.XLOOKUP($K595&amp;"",SERVER!$B$3:$B$1009&amp;"",SERVER!$H$3:$H$1009,""),""),IF(TRIM(_xlpm.srcCat)&lt;&gt;TRIM($J595),"",_xlfn.SWITCH($I595,"Computer",_xlfn.XLOOKUP($K595&amp;"",COMPUTER!$B$3:$B$1009&amp;"",COMPUTER!$E$3:$E$1009,""),"Display",_xlfn.XLOOKUP($K595&amp;"",DISPLAY!$B$3:$B$1000&amp;"",DISPLAY!$E$3:$E$1000,""),"Network Device",_xlfn.XLOOKUP($K595&amp;"",'NETWORK-DEVICES'!$B$3:$B$987&amp;"",'NETWORK-DEVICES'!$E$3:$E$987,""),"Peripheral",_xlfn.XLOOKUP($K595&amp;"",PERIPHERAL!$B$3:$B$954&amp;"",PERIPHERAL!$E$3:$E$954,""),"Utilities",_xlfn.XLOOKUP($K595&amp;"",UTILITIES!$B$3:$B$953&amp;"",UTILITIES!$E$3:$E$953,""),"IOT",_xlfn.XLOOKUP($K595&amp;"",IOT!$B$3:$B$1012&amp;"",IOT!$E$3:$E$1012,""),"Server",_xlfn.XLOOKUP($K595&amp;"",SERVER!$B$3:$B$1009&amp;"",SERVER!$E$3:$E$1009,""),""))))</f>
        <v/>
      </c>
      <c r="Q595" s="1" t="str" cm="1">
        <f t="array" ref="Q595">IF(OR($K595="",$I595="",$J595=""),"",_xlfn.LET(_xlpm.srcCat,_xlfn.SWITCH($I595,"Computer",_xlfn.XLOOKUP($K595&amp;"",COMPUTER!$B$3:$B$1009&amp;"",COMPUTER!$H$3:$H$1009,""),"Display",_xlfn.XLOOKUP($K595&amp;"",DISPLAY!$B$3:$B$1000&amp;"",DISPLAY!$H$3:$H$1000,""),"Network Device",_xlfn.XLOOKUP($K595&amp;"",'NETWORK-DEVICES'!$B$3:$B$987&amp;"",'NETWORK-DEVICES'!$H$3:$H$987,""),"Peripheral",_xlfn.XLOOKUP($K595&amp;"",PERIPHERAL!$B$3:$B$954&amp;"",PERIPHERAL!$H$3:$H$954,""),"Utilities",_xlfn.XLOOKUP($K595&amp;"",UTILITIES!$B$3:$B$953&amp;"",UTILITIES!$G$3:$G$953,""),"IOT",_xlfn.XLOOKUP($K595&amp;"",IOT!$B$3:$B$1012&amp;"",IOT!$H$3:$H$1012,""),"Server",_xlfn.XLOOKUP($K595&amp;"",SERVER!$B$3:$B$1009&amp;"",SERVER!$H$3:$H$1009,""),""),IF(TRIM(_xlpm.srcCat)&lt;&gt;TRIM($J595),"",_xlfn.SWITCH($I595,"Computer",_xlfn.XLOOKUP($K595&amp;"",COMPUTER!$B$3:$B$1009&amp;"",COMPUTER!$AM$3:$AM$1009,""),"Display",_xlfn.XLOOKUP($K595&amp;"",DISPLAY!$B$3:$B$1000&amp;"",DISPLAY!$V$3:$V$1000,""),"Network Device",_xlfn.XLOOKUP($K595&amp;"",'NETWORK-DEVICES'!$B$3:$B$987&amp;"",'NETWORK-DEVICES'!$AF$3:$AF$987,""),"Peripheral",_xlfn.XLOOKUP($K595&amp;"",PERIPHERAL!$B$3:$B$954&amp;"",PERIPHERAL!$Y$3:$Y$954,""),"Utilities",_xlfn.XLOOKUP($K595&amp;"",UTILITIES!$B$3:$B$953&amp;"",UTILITIES!$O$3:$O$953,""),"IOT",_xlfn.XLOOKUP($K595&amp;"",IOT!$B$3:$B$1012&amp;"",IOT!$AB$3:$AB$1012,""),"Server",_xlfn.XLOOKUP($K595&amp;"",SERVER!$B$3:$B$1009&amp;"",SERVER!$AB$3:$AB$1009,""),""))))</f>
        <v/>
      </c>
      <c r="R595" s="43" t="str">
        <f>IF(tbl_handover[[#This Row],[Asset Code]]="","",COUNTIF(tbl_handover[Asset Code],tbl_handover[[#This Row],[Asset Code]]))</f>
        <v/>
      </c>
    </row>
    <row r="596" spans="1:18" x14ac:dyDescent="0.25">
      <c r="A596" s="43" t="str">
        <f>IF(B596&lt;&gt;"",SUBTOTAL(3,$B$1:B595),"")</f>
        <v/>
      </c>
      <c r="C596" s="74"/>
      <c r="D596" s="74"/>
      <c r="G596" s="1"/>
      <c r="K596" s="42"/>
      <c r="L596" t="str" cm="1">
        <f t="array" ref="L596">IF($K596="","",_xlfn.SWITCH($I596,"Computer",_xlfn.XLOOKUP($K596&amp;"",COMPUTER!$B$3:$B$1009&amp;"",COMPUTER!$I$3:$I$1009,""),"Display",_xlfn.XLOOKUP($K596&amp;"",DISPLAY!$B$3:$B$1000&amp;"",DISPLAY!$J$3:$J$1000,""),"Network Device",_xlfn.XLOOKUP($K596&amp;"",'NETWORK-DEVICES'!$B$3:$B$987&amp;"",'NETWORK-DEVICES'!$I$3:$I$987,""),"Peripheral",_xlfn.XLOOKUP($K596&amp;"",PERIPHERAL!$B$3:$B$954&amp;"",PERIPHERAL!$I$3:$I$954,""),"Utilities",_xlfn.XLOOKUP($K596&amp;"",UTILITIES!$B$3:$B$953&amp;"",UTILITIES!$H$3:$H$953,""),"IOT",_xlfn.XLOOKUP($K596&amp;"",IOT!$B$3:$B$1012&amp;"",IOT!$I$3:$I$1012,""),"SERVER",_xlfn.XLOOKUP($K596&amp;"",SERVER!$B$3:$B$1009&amp;"",SERVER!$I$3:$I$1009,""),""))</f>
        <v/>
      </c>
      <c r="M596" t="str" cm="1">
        <f t="array" ref="M596">IF($K596="","",_xlfn.SWITCH($I596,"Computer",_xlfn.XLOOKUP($K596&amp;"",COMPUTER!$B$3:$B$1009&amp;"",COMPUTER!$J$3:$J$1009,""),"Display",_xlfn.XLOOKUP($K596&amp;"",DISPLAY!$B$3:$B$1000&amp;"",DISPLAY!$K$3:$K$1000,""),"Network Device",_xlfn.XLOOKUP($K596&amp;"",'NETWORK-DEVICES'!$B$3:$B$987&amp;"",'NETWORK-DEVICES'!$I$3:$I$987,""),"Peripheral",_xlfn.XLOOKUP($K596&amp;"",PERIPHERAL!$B$3:$B$954&amp;"",PERIPHERAL!$J$3:$J$954,""),"Utilities",_xlfn.XLOOKUP($K596&amp;"",UTILITIES!$B$3:$B$953&amp;"",UTILITIES!$I$3:$I$953,""),"IOT",_xlfn.XLOOKUP($K596&amp;"",IOT!$B$3:$B$1012&amp;"",IOT!$J$3:$J$1012,""),"Server",_xlfn.XLOOKUP($K596&amp;"",SERVER!$B$3:$B$1009&amp;"",SERVER!$J$3:$J$1009,""),""))</f>
        <v/>
      </c>
      <c r="N596" s="1" t="str" cm="1">
        <f t="array" ref="N596">IF(OR($K596="",$I596="",$J596=""),"",_xlfn.LET(_xlpm.srcCat,_xlfn.SWITCH($I596,"Computer",_xlfn.XLOOKUP($K596&amp;"",COMPUTER!$B$3:$B$1009&amp;"",COMPUTER!$H$3:$H$1009,""),"Display",_xlfn.XLOOKUP($K596&amp;"",DISPLAY!$B$3:$B$1000&amp;"",DISPLAY!$H$3:$H$1000,""),"Network Device",_xlfn.XLOOKUP($K596&amp;"",'NETWORK-DEVICES'!$B$3:$B$987&amp;"",'NETWORK-DEVICES'!$H$3:$H$987,""),"Peripheral",_xlfn.XLOOKUP($K596&amp;"",PERIPHERAL!$B$3:$B$954&amp;"",PERIPHERAL!$H$3:$H$954,""),"Utilities",_xlfn.XLOOKUP($K596&amp;"",UTILITIES!$B$3:$B$953&amp;"",UTILITIES!$G$3:$G$953,""),"IOT",_xlfn.XLOOKUP($K596&amp;"",IOT!$B$3:$B$1012&amp;"",IOT!$H$3:$H$1012,""),"Server",_xlfn.XLOOKUP($K596&amp;"",SERVER!$B$3:$B$1009&amp;"",SERVER!$H$3:$H$1009,""),""),IF(TRIM(_xlpm.srcCat)&lt;&gt;TRIM($J596),"",_xlfn.SWITCH($I596,"Computer",_xlfn.XLOOKUP($K596&amp;"",COMPUTER!$B$3:$B$1009&amp;"",COMPUTER!$K$3:$K$1009,""),"Display",_xlfn.XLOOKUP($K596&amp;"",DISPLAY!$B$3:$B$1000&amp;"",DISPLAY!$L$3:$L$1000,""),"Network Device",_xlfn.XLOOKUP($K596&amp;"",'NETWORK-DEVICES'!$B$3:$B$987&amp;"",'NETWORK-DEVICES'!$K$3:$K$987,""),"Peripheral",_xlfn.XLOOKUP($K596&amp;"",PERIPHERAL!$B$3:$B$954&amp;"",PERIPHERAL!$K$3:$K$954,""),"Utilities",_xlfn.XLOOKUP($K596&amp;"",UTILITIES!$B$3:$B$953&amp;"",UTILITIES!$J$3:$J$953,""),"IOT",_xlfn.XLOOKUP($K596&amp;"",IOT!$B$3:$B$1012&amp;"",IOT!$K$4:$K$1012,""),"Server",_xlfn.XLOOKUP($K596&amp;"",SERVER!$B$3:$B$1009&amp;"",SERVER!$K$3:$K$1009,""),""))))</f>
        <v/>
      </c>
      <c r="O596" s="1" t="str" cm="1">
        <f t="array" ref="O596">IF(OR($K596="",$I596="",$J596=""),"",_xlfn.LET(_xlpm.srcCat,_xlfn.SWITCH($I596,"Computer",_xlfn.XLOOKUP($K596&amp;"",COMPUTER!$B$3:$B$1009&amp;"",COMPUTER!$H$3:$H$1009,""),"Display",_xlfn.XLOOKUP($K596&amp;"",DISPLAY!$B$3:$B$1000&amp;"",DISPLAY!$H$3:$H$1000,""),"Network Device",_xlfn.XLOOKUP($K596&amp;"",'NETWORK-DEVICES'!$B$3:$B$987&amp;"",'NETWORK-DEVICES'!$H$3:$H$987,""),"Peripheral",_xlfn.XLOOKUP($K596&amp;"",PERIPHERAL!$B$3:$B$954&amp;"",PERIPHERAL!$H$3:$H$954,""),"Utilities",_xlfn.XLOOKUP($K596&amp;"",UTILITIES!$B$3:$B$953&amp;"",UTILITIES!$G$3:$G$953,""),"IOT",_xlfn.XLOOKUP($K596&amp;"",IOT!$B$3:$B$1012&amp;"",IOT!$H$3:$H$1012,""),"Server",_xlfn.XLOOKUP($K596&amp;"",SERVER!$B$3:$B$1009&amp;"",SERVER!$H$3:$H$1009,""),""),IF(TRIM(_xlpm.srcCat)&lt;&gt;TRIM($J596),"",_xlfn.SWITCH($I596,"Computer",_xlfn.XLOOKUP($K596&amp;"",COMPUTER!$B$3:$B$1009&amp;"",COMPUTER!$E$3:$E$1009,""),"Display",_xlfn.XLOOKUP($K596&amp;"",DISPLAY!$B$3:$B$1000&amp;"",DISPLAY!$E$3:$E$1000,""),"Network Device",_xlfn.XLOOKUP($K596&amp;"",'NETWORK-DEVICES'!$B$3:$B$987&amp;"",'NETWORK-DEVICES'!$E$3:$E$987,""),"Peripheral",_xlfn.XLOOKUP($K596&amp;"",PERIPHERAL!$B$3:$B$954&amp;"",PERIPHERAL!$E$3:$E$954,""),"Utilities",_xlfn.XLOOKUP($K596&amp;"",UTILITIES!$B$3:$B$953&amp;"",UTILITIES!$E$3:$E$953,""),"IOT",_xlfn.XLOOKUP($K596&amp;"",IOT!$B$3:$B$1012&amp;"",IOT!$E$3:$E$1012,""),"Server",_xlfn.XLOOKUP($K596&amp;"",SERVER!$B$3:$B$1009&amp;"",SERVER!$E$3:$E$1009,""),""))))</f>
        <v/>
      </c>
      <c r="Q596" s="1" t="str" cm="1">
        <f t="array" ref="Q596">IF(OR($K596="",$I596="",$J596=""),"",_xlfn.LET(_xlpm.srcCat,_xlfn.SWITCH($I596,"Computer",_xlfn.XLOOKUP($K596&amp;"",COMPUTER!$B$3:$B$1009&amp;"",COMPUTER!$H$3:$H$1009,""),"Display",_xlfn.XLOOKUP($K596&amp;"",DISPLAY!$B$3:$B$1000&amp;"",DISPLAY!$H$3:$H$1000,""),"Network Device",_xlfn.XLOOKUP($K596&amp;"",'NETWORK-DEVICES'!$B$3:$B$987&amp;"",'NETWORK-DEVICES'!$H$3:$H$987,""),"Peripheral",_xlfn.XLOOKUP($K596&amp;"",PERIPHERAL!$B$3:$B$954&amp;"",PERIPHERAL!$H$3:$H$954,""),"Utilities",_xlfn.XLOOKUP($K596&amp;"",UTILITIES!$B$3:$B$953&amp;"",UTILITIES!$G$3:$G$953,""),"IOT",_xlfn.XLOOKUP($K596&amp;"",IOT!$B$3:$B$1012&amp;"",IOT!$H$3:$H$1012,""),"Server",_xlfn.XLOOKUP($K596&amp;"",SERVER!$B$3:$B$1009&amp;"",SERVER!$H$3:$H$1009,""),""),IF(TRIM(_xlpm.srcCat)&lt;&gt;TRIM($J596),"",_xlfn.SWITCH($I596,"Computer",_xlfn.XLOOKUP($K596&amp;"",COMPUTER!$B$3:$B$1009&amp;"",COMPUTER!$AM$3:$AM$1009,""),"Display",_xlfn.XLOOKUP($K596&amp;"",DISPLAY!$B$3:$B$1000&amp;"",DISPLAY!$V$3:$V$1000,""),"Network Device",_xlfn.XLOOKUP($K596&amp;"",'NETWORK-DEVICES'!$B$3:$B$987&amp;"",'NETWORK-DEVICES'!$AF$3:$AF$987,""),"Peripheral",_xlfn.XLOOKUP($K596&amp;"",PERIPHERAL!$B$3:$B$954&amp;"",PERIPHERAL!$Y$3:$Y$954,""),"Utilities",_xlfn.XLOOKUP($K596&amp;"",UTILITIES!$B$3:$B$953&amp;"",UTILITIES!$O$3:$O$953,""),"IOT",_xlfn.XLOOKUP($K596&amp;"",IOT!$B$3:$B$1012&amp;"",IOT!$AB$3:$AB$1012,""),"Server",_xlfn.XLOOKUP($K596&amp;"",SERVER!$B$3:$B$1009&amp;"",SERVER!$AB$3:$AB$1009,""),""))))</f>
        <v/>
      </c>
      <c r="R596" s="43" t="str">
        <f>IF(tbl_handover[[#This Row],[Asset Code]]="","",COUNTIF(tbl_handover[Asset Code],tbl_handover[[#This Row],[Asset Code]]))</f>
        <v/>
      </c>
    </row>
    <row r="597" spans="1:18" x14ac:dyDescent="0.25">
      <c r="A597" s="43" t="str">
        <f>IF(B597&lt;&gt;"",SUBTOTAL(3,$B$1:B596),"")</f>
        <v/>
      </c>
      <c r="C597" s="74"/>
      <c r="D597" s="74"/>
      <c r="G597" s="1"/>
      <c r="K597" s="42"/>
      <c r="L597" t="str" cm="1">
        <f t="array" ref="L597">IF($K597="","",_xlfn.SWITCH($I597,"Computer",_xlfn.XLOOKUP($K597&amp;"",COMPUTER!$B$3:$B$1009&amp;"",COMPUTER!$I$3:$I$1009,""),"Display",_xlfn.XLOOKUP($K597&amp;"",DISPLAY!$B$3:$B$1000&amp;"",DISPLAY!$J$3:$J$1000,""),"Network Device",_xlfn.XLOOKUP($K597&amp;"",'NETWORK-DEVICES'!$B$3:$B$987&amp;"",'NETWORK-DEVICES'!$I$3:$I$987,""),"Peripheral",_xlfn.XLOOKUP($K597&amp;"",PERIPHERAL!$B$3:$B$954&amp;"",PERIPHERAL!$I$3:$I$954,""),"Utilities",_xlfn.XLOOKUP($K597&amp;"",UTILITIES!$B$3:$B$953&amp;"",UTILITIES!$H$3:$H$953,""),"IOT",_xlfn.XLOOKUP($K597&amp;"",IOT!$B$3:$B$1012&amp;"",IOT!$I$3:$I$1012,""),"SERVER",_xlfn.XLOOKUP($K597&amp;"",SERVER!$B$3:$B$1009&amp;"",SERVER!$I$3:$I$1009,""),""))</f>
        <v/>
      </c>
      <c r="M597" t="str" cm="1">
        <f t="array" ref="M597">IF($K597="","",_xlfn.SWITCH($I597,"Computer",_xlfn.XLOOKUP($K597&amp;"",COMPUTER!$B$3:$B$1009&amp;"",COMPUTER!$J$3:$J$1009,""),"Display",_xlfn.XLOOKUP($K597&amp;"",DISPLAY!$B$3:$B$1000&amp;"",DISPLAY!$K$3:$K$1000,""),"Network Device",_xlfn.XLOOKUP($K597&amp;"",'NETWORK-DEVICES'!$B$3:$B$987&amp;"",'NETWORK-DEVICES'!$I$3:$I$987,""),"Peripheral",_xlfn.XLOOKUP($K597&amp;"",PERIPHERAL!$B$3:$B$954&amp;"",PERIPHERAL!$J$3:$J$954,""),"Utilities",_xlfn.XLOOKUP($K597&amp;"",UTILITIES!$B$3:$B$953&amp;"",UTILITIES!$I$3:$I$953,""),"IOT",_xlfn.XLOOKUP($K597&amp;"",IOT!$B$3:$B$1012&amp;"",IOT!$J$3:$J$1012,""),"Server",_xlfn.XLOOKUP($K597&amp;"",SERVER!$B$3:$B$1009&amp;"",SERVER!$J$3:$J$1009,""),""))</f>
        <v/>
      </c>
      <c r="N597" s="1" t="str" cm="1">
        <f t="array" ref="N597">IF(OR($K597="",$I597="",$J597=""),"",_xlfn.LET(_xlpm.srcCat,_xlfn.SWITCH($I597,"Computer",_xlfn.XLOOKUP($K597&amp;"",COMPUTER!$B$3:$B$1009&amp;"",COMPUTER!$H$3:$H$1009,""),"Display",_xlfn.XLOOKUP($K597&amp;"",DISPLAY!$B$3:$B$1000&amp;"",DISPLAY!$H$3:$H$1000,""),"Network Device",_xlfn.XLOOKUP($K597&amp;"",'NETWORK-DEVICES'!$B$3:$B$987&amp;"",'NETWORK-DEVICES'!$H$3:$H$987,""),"Peripheral",_xlfn.XLOOKUP($K597&amp;"",PERIPHERAL!$B$3:$B$954&amp;"",PERIPHERAL!$H$3:$H$954,""),"Utilities",_xlfn.XLOOKUP($K597&amp;"",UTILITIES!$B$3:$B$953&amp;"",UTILITIES!$G$3:$G$953,""),"IOT",_xlfn.XLOOKUP($K597&amp;"",IOT!$B$3:$B$1012&amp;"",IOT!$H$3:$H$1012,""),"Server",_xlfn.XLOOKUP($K597&amp;"",SERVER!$B$3:$B$1009&amp;"",SERVER!$H$3:$H$1009,""),""),IF(TRIM(_xlpm.srcCat)&lt;&gt;TRIM($J597),"",_xlfn.SWITCH($I597,"Computer",_xlfn.XLOOKUP($K597&amp;"",COMPUTER!$B$3:$B$1009&amp;"",COMPUTER!$K$3:$K$1009,""),"Display",_xlfn.XLOOKUP($K597&amp;"",DISPLAY!$B$3:$B$1000&amp;"",DISPLAY!$L$3:$L$1000,""),"Network Device",_xlfn.XLOOKUP($K597&amp;"",'NETWORK-DEVICES'!$B$3:$B$987&amp;"",'NETWORK-DEVICES'!$K$3:$K$987,""),"Peripheral",_xlfn.XLOOKUP($K597&amp;"",PERIPHERAL!$B$3:$B$954&amp;"",PERIPHERAL!$K$3:$K$954,""),"Utilities",_xlfn.XLOOKUP($K597&amp;"",UTILITIES!$B$3:$B$953&amp;"",UTILITIES!$J$3:$J$953,""),"IOT",_xlfn.XLOOKUP($K597&amp;"",IOT!$B$3:$B$1012&amp;"",IOT!$K$4:$K$1012,""),"Server",_xlfn.XLOOKUP($K597&amp;"",SERVER!$B$3:$B$1009&amp;"",SERVER!$K$3:$K$1009,""),""))))</f>
        <v/>
      </c>
      <c r="O597" s="1" t="str" cm="1">
        <f t="array" ref="O597">IF(OR($K597="",$I597="",$J597=""),"",_xlfn.LET(_xlpm.srcCat,_xlfn.SWITCH($I597,"Computer",_xlfn.XLOOKUP($K597&amp;"",COMPUTER!$B$3:$B$1009&amp;"",COMPUTER!$H$3:$H$1009,""),"Display",_xlfn.XLOOKUP($K597&amp;"",DISPLAY!$B$3:$B$1000&amp;"",DISPLAY!$H$3:$H$1000,""),"Network Device",_xlfn.XLOOKUP($K597&amp;"",'NETWORK-DEVICES'!$B$3:$B$987&amp;"",'NETWORK-DEVICES'!$H$3:$H$987,""),"Peripheral",_xlfn.XLOOKUP($K597&amp;"",PERIPHERAL!$B$3:$B$954&amp;"",PERIPHERAL!$H$3:$H$954,""),"Utilities",_xlfn.XLOOKUP($K597&amp;"",UTILITIES!$B$3:$B$953&amp;"",UTILITIES!$G$3:$G$953,""),"IOT",_xlfn.XLOOKUP($K597&amp;"",IOT!$B$3:$B$1012&amp;"",IOT!$H$3:$H$1012,""),"Server",_xlfn.XLOOKUP($K597&amp;"",SERVER!$B$3:$B$1009&amp;"",SERVER!$H$3:$H$1009,""),""),IF(TRIM(_xlpm.srcCat)&lt;&gt;TRIM($J597),"",_xlfn.SWITCH($I597,"Computer",_xlfn.XLOOKUP($K597&amp;"",COMPUTER!$B$3:$B$1009&amp;"",COMPUTER!$E$3:$E$1009,""),"Display",_xlfn.XLOOKUP($K597&amp;"",DISPLAY!$B$3:$B$1000&amp;"",DISPLAY!$E$3:$E$1000,""),"Network Device",_xlfn.XLOOKUP($K597&amp;"",'NETWORK-DEVICES'!$B$3:$B$987&amp;"",'NETWORK-DEVICES'!$E$3:$E$987,""),"Peripheral",_xlfn.XLOOKUP($K597&amp;"",PERIPHERAL!$B$3:$B$954&amp;"",PERIPHERAL!$E$3:$E$954,""),"Utilities",_xlfn.XLOOKUP($K597&amp;"",UTILITIES!$B$3:$B$953&amp;"",UTILITIES!$E$3:$E$953,""),"IOT",_xlfn.XLOOKUP($K597&amp;"",IOT!$B$3:$B$1012&amp;"",IOT!$E$3:$E$1012,""),"Server",_xlfn.XLOOKUP($K597&amp;"",SERVER!$B$3:$B$1009&amp;"",SERVER!$E$3:$E$1009,""),""))))</f>
        <v/>
      </c>
      <c r="Q597" s="1" t="str" cm="1">
        <f t="array" ref="Q597">IF(OR($K597="",$I597="",$J597=""),"",_xlfn.LET(_xlpm.srcCat,_xlfn.SWITCH($I597,"Computer",_xlfn.XLOOKUP($K597&amp;"",COMPUTER!$B$3:$B$1009&amp;"",COMPUTER!$H$3:$H$1009,""),"Display",_xlfn.XLOOKUP($K597&amp;"",DISPLAY!$B$3:$B$1000&amp;"",DISPLAY!$H$3:$H$1000,""),"Network Device",_xlfn.XLOOKUP($K597&amp;"",'NETWORK-DEVICES'!$B$3:$B$987&amp;"",'NETWORK-DEVICES'!$H$3:$H$987,""),"Peripheral",_xlfn.XLOOKUP($K597&amp;"",PERIPHERAL!$B$3:$B$954&amp;"",PERIPHERAL!$H$3:$H$954,""),"Utilities",_xlfn.XLOOKUP($K597&amp;"",UTILITIES!$B$3:$B$953&amp;"",UTILITIES!$G$3:$G$953,""),"IOT",_xlfn.XLOOKUP($K597&amp;"",IOT!$B$3:$B$1012&amp;"",IOT!$H$3:$H$1012,""),"Server",_xlfn.XLOOKUP($K597&amp;"",SERVER!$B$3:$B$1009&amp;"",SERVER!$H$3:$H$1009,""),""),IF(TRIM(_xlpm.srcCat)&lt;&gt;TRIM($J597),"",_xlfn.SWITCH($I597,"Computer",_xlfn.XLOOKUP($K597&amp;"",COMPUTER!$B$3:$B$1009&amp;"",COMPUTER!$AM$3:$AM$1009,""),"Display",_xlfn.XLOOKUP($K597&amp;"",DISPLAY!$B$3:$B$1000&amp;"",DISPLAY!$V$3:$V$1000,""),"Network Device",_xlfn.XLOOKUP($K597&amp;"",'NETWORK-DEVICES'!$B$3:$B$987&amp;"",'NETWORK-DEVICES'!$AF$3:$AF$987,""),"Peripheral",_xlfn.XLOOKUP($K597&amp;"",PERIPHERAL!$B$3:$B$954&amp;"",PERIPHERAL!$Y$3:$Y$954,""),"Utilities",_xlfn.XLOOKUP($K597&amp;"",UTILITIES!$B$3:$B$953&amp;"",UTILITIES!$O$3:$O$953,""),"IOT",_xlfn.XLOOKUP($K597&amp;"",IOT!$B$3:$B$1012&amp;"",IOT!$AB$3:$AB$1012,""),"Server",_xlfn.XLOOKUP($K597&amp;"",SERVER!$B$3:$B$1009&amp;"",SERVER!$AB$3:$AB$1009,""),""))))</f>
        <v/>
      </c>
      <c r="R597" s="43" t="str">
        <f>IF(tbl_handover[[#This Row],[Asset Code]]="","",COUNTIF(tbl_handover[Asset Code],tbl_handover[[#This Row],[Asset Code]]))</f>
        <v/>
      </c>
    </row>
    <row r="598" spans="1:18" x14ac:dyDescent="0.25">
      <c r="A598" s="43" t="str">
        <f>IF(B598&lt;&gt;"",SUBTOTAL(3,$B$1:B597),"")</f>
        <v/>
      </c>
      <c r="C598" s="74"/>
      <c r="D598" s="74"/>
      <c r="G598" s="1"/>
      <c r="K598" s="42"/>
      <c r="L598" t="str" cm="1">
        <f t="array" ref="L598">IF($K598="","",_xlfn.SWITCH($I598,"Computer",_xlfn.XLOOKUP($K598&amp;"",COMPUTER!$B$3:$B$1009&amp;"",COMPUTER!$I$3:$I$1009,""),"Display",_xlfn.XLOOKUP($K598&amp;"",DISPLAY!$B$3:$B$1000&amp;"",DISPLAY!$J$3:$J$1000,""),"Network Device",_xlfn.XLOOKUP($K598&amp;"",'NETWORK-DEVICES'!$B$3:$B$987&amp;"",'NETWORK-DEVICES'!$I$3:$I$987,""),"Peripheral",_xlfn.XLOOKUP($K598&amp;"",PERIPHERAL!$B$3:$B$954&amp;"",PERIPHERAL!$I$3:$I$954,""),"Utilities",_xlfn.XLOOKUP($K598&amp;"",UTILITIES!$B$3:$B$953&amp;"",UTILITIES!$H$3:$H$953,""),"IOT",_xlfn.XLOOKUP($K598&amp;"",IOT!$B$3:$B$1012&amp;"",IOT!$I$3:$I$1012,""),"SERVER",_xlfn.XLOOKUP($K598&amp;"",SERVER!$B$3:$B$1009&amp;"",SERVER!$I$3:$I$1009,""),""))</f>
        <v/>
      </c>
      <c r="M598" t="str" cm="1">
        <f t="array" ref="M598">IF($K598="","",_xlfn.SWITCH($I598,"Computer",_xlfn.XLOOKUP($K598&amp;"",COMPUTER!$B$3:$B$1009&amp;"",COMPUTER!$J$3:$J$1009,""),"Display",_xlfn.XLOOKUP($K598&amp;"",DISPLAY!$B$3:$B$1000&amp;"",DISPLAY!$K$3:$K$1000,""),"Network Device",_xlfn.XLOOKUP($K598&amp;"",'NETWORK-DEVICES'!$B$3:$B$987&amp;"",'NETWORK-DEVICES'!$I$3:$I$987,""),"Peripheral",_xlfn.XLOOKUP($K598&amp;"",PERIPHERAL!$B$3:$B$954&amp;"",PERIPHERAL!$J$3:$J$954,""),"Utilities",_xlfn.XLOOKUP($K598&amp;"",UTILITIES!$B$3:$B$953&amp;"",UTILITIES!$I$3:$I$953,""),"IOT",_xlfn.XLOOKUP($K598&amp;"",IOT!$B$3:$B$1012&amp;"",IOT!$J$3:$J$1012,""),"Server",_xlfn.XLOOKUP($K598&amp;"",SERVER!$B$3:$B$1009&amp;"",SERVER!$J$3:$J$1009,""),""))</f>
        <v/>
      </c>
      <c r="N598" s="1" t="str" cm="1">
        <f t="array" ref="N598">IF(OR($K598="",$I598="",$J598=""),"",_xlfn.LET(_xlpm.srcCat,_xlfn.SWITCH($I598,"Computer",_xlfn.XLOOKUP($K598&amp;"",COMPUTER!$B$3:$B$1009&amp;"",COMPUTER!$H$3:$H$1009,""),"Display",_xlfn.XLOOKUP($K598&amp;"",DISPLAY!$B$3:$B$1000&amp;"",DISPLAY!$H$3:$H$1000,""),"Network Device",_xlfn.XLOOKUP($K598&amp;"",'NETWORK-DEVICES'!$B$3:$B$987&amp;"",'NETWORK-DEVICES'!$H$3:$H$987,""),"Peripheral",_xlfn.XLOOKUP($K598&amp;"",PERIPHERAL!$B$3:$B$954&amp;"",PERIPHERAL!$H$3:$H$954,""),"Utilities",_xlfn.XLOOKUP($K598&amp;"",UTILITIES!$B$3:$B$953&amp;"",UTILITIES!$G$3:$G$953,""),"IOT",_xlfn.XLOOKUP($K598&amp;"",IOT!$B$3:$B$1012&amp;"",IOT!$H$3:$H$1012,""),"Server",_xlfn.XLOOKUP($K598&amp;"",SERVER!$B$3:$B$1009&amp;"",SERVER!$H$3:$H$1009,""),""),IF(TRIM(_xlpm.srcCat)&lt;&gt;TRIM($J598),"",_xlfn.SWITCH($I598,"Computer",_xlfn.XLOOKUP($K598&amp;"",COMPUTER!$B$3:$B$1009&amp;"",COMPUTER!$K$3:$K$1009,""),"Display",_xlfn.XLOOKUP($K598&amp;"",DISPLAY!$B$3:$B$1000&amp;"",DISPLAY!$L$3:$L$1000,""),"Network Device",_xlfn.XLOOKUP($K598&amp;"",'NETWORK-DEVICES'!$B$3:$B$987&amp;"",'NETWORK-DEVICES'!$K$3:$K$987,""),"Peripheral",_xlfn.XLOOKUP($K598&amp;"",PERIPHERAL!$B$3:$B$954&amp;"",PERIPHERAL!$K$3:$K$954,""),"Utilities",_xlfn.XLOOKUP($K598&amp;"",UTILITIES!$B$3:$B$953&amp;"",UTILITIES!$J$3:$J$953,""),"IOT",_xlfn.XLOOKUP($K598&amp;"",IOT!$B$3:$B$1012&amp;"",IOT!$K$4:$K$1012,""),"Server",_xlfn.XLOOKUP($K598&amp;"",SERVER!$B$3:$B$1009&amp;"",SERVER!$K$3:$K$1009,""),""))))</f>
        <v/>
      </c>
      <c r="O598" s="1" t="str" cm="1">
        <f t="array" ref="O598">IF(OR($K598="",$I598="",$J598=""),"",_xlfn.LET(_xlpm.srcCat,_xlfn.SWITCH($I598,"Computer",_xlfn.XLOOKUP($K598&amp;"",COMPUTER!$B$3:$B$1009&amp;"",COMPUTER!$H$3:$H$1009,""),"Display",_xlfn.XLOOKUP($K598&amp;"",DISPLAY!$B$3:$B$1000&amp;"",DISPLAY!$H$3:$H$1000,""),"Network Device",_xlfn.XLOOKUP($K598&amp;"",'NETWORK-DEVICES'!$B$3:$B$987&amp;"",'NETWORK-DEVICES'!$H$3:$H$987,""),"Peripheral",_xlfn.XLOOKUP($K598&amp;"",PERIPHERAL!$B$3:$B$954&amp;"",PERIPHERAL!$H$3:$H$954,""),"Utilities",_xlfn.XLOOKUP($K598&amp;"",UTILITIES!$B$3:$B$953&amp;"",UTILITIES!$G$3:$G$953,""),"IOT",_xlfn.XLOOKUP($K598&amp;"",IOT!$B$3:$B$1012&amp;"",IOT!$H$3:$H$1012,""),"Server",_xlfn.XLOOKUP($K598&amp;"",SERVER!$B$3:$B$1009&amp;"",SERVER!$H$3:$H$1009,""),""),IF(TRIM(_xlpm.srcCat)&lt;&gt;TRIM($J598),"",_xlfn.SWITCH($I598,"Computer",_xlfn.XLOOKUP($K598&amp;"",COMPUTER!$B$3:$B$1009&amp;"",COMPUTER!$E$3:$E$1009,""),"Display",_xlfn.XLOOKUP($K598&amp;"",DISPLAY!$B$3:$B$1000&amp;"",DISPLAY!$E$3:$E$1000,""),"Network Device",_xlfn.XLOOKUP($K598&amp;"",'NETWORK-DEVICES'!$B$3:$B$987&amp;"",'NETWORK-DEVICES'!$E$3:$E$987,""),"Peripheral",_xlfn.XLOOKUP($K598&amp;"",PERIPHERAL!$B$3:$B$954&amp;"",PERIPHERAL!$E$3:$E$954,""),"Utilities",_xlfn.XLOOKUP($K598&amp;"",UTILITIES!$B$3:$B$953&amp;"",UTILITIES!$E$3:$E$953,""),"IOT",_xlfn.XLOOKUP($K598&amp;"",IOT!$B$3:$B$1012&amp;"",IOT!$E$3:$E$1012,""),"Server",_xlfn.XLOOKUP($K598&amp;"",SERVER!$B$3:$B$1009&amp;"",SERVER!$E$3:$E$1009,""),""))))</f>
        <v/>
      </c>
      <c r="Q598" s="1" t="str" cm="1">
        <f t="array" ref="Q598">IF(OR($K598="",$I598="",$J598=""),"",_xlfn.LET(_xlpm.srcCat,_xlfn.SWITCH($I598,"Computer",_xlfn.XLOOKUP($K598&amp;"",COMPUTER!$B$3:$B$1009&amp;"",COMPUTER!$H$3:$H$1009,""),"Display",_xlfn.XLOOKUP($K598&amp;"",DISPLAY!$B$3:$B$1000&amp;"",DISPLAY!$H$3:$H$1000,""),"Network Device",_xlfn.XLOOKUP($K598&amp;"",'NETWORK-DEVICES'!$B$3:$B$987&amp;"",'NETWORK-DEVICES'!$H$3:$H$987,""),"Peripheral",_xlfn.XLOOKUP($K598&amp;"",PERIPHERAL!$B$3:$B$954&amp;"",PERIPHERAL!$H$3:$H$954,""),"Utilities",_xlfn.XLOOKUP($K598&amp;"",UTILITIES!$B$3:$B$953&amp;"",UTILITIES!$G$3:$G$953,""),"IOT",_xlfn.XLOOKUP($K598&amp;"",IOT!$B$3:$B$1012&amp;"",IOT!$H$3:$H$1012,""),"Server",_xlfn.XLOOKUP($K598&amp;"",SERVER!$B$3:$B$1009&amp;"",SERVER!$H$3:$H$1009,""),""),IF(TRIM(_xlpm.srcCat)&lt;&gt;TRIM($J598),"",_xlfn.SWITCH($I598,"Computer",_xlfn.XLOOKUP($K598&amp;"",COMPUTER!$B$3:$B$1009&amp;"",COMPUTER!$AM$3:$AM$1009,""),"Display",_xlfn.XLOOKUP($K598&amp;"",DISPLAY!$B$3:$B$1000&amp;"",DISPLAY!$V$3:$V$1000,""),"Network Device",_xlfn.XLOOKUP($K598&amp;"",'NETWORK-DEVICES'!$B$3:$B$987&amp;"",'NETWORK-DEVICES'!$AF$3:$AF$987,""),"Peripheral",_xlfn.XLOOKUP($K598&amp;"",PERIPHERAL!$B$3:$B$954&amp;"",PERIPHERAL!$Y$3:$Y$954,""),"Utilities",_xlfn.XLOOKUP($K598&amp;"",UTILITIES!$B$3:$B$953&amp;"",UTILITIES!$O$3:$O$953,""),"IOT",_xlfn.XLOOKUP($K598&amp;"",IOT!$B$3:$B$1012&amp;"",IOT!$AB$3:$AB$1012,""),"Server",_xlfn.XLOOKUP($K598&amp;"",SERVER!$B$3:$B$1009&amp;"",SERVER!$AB$3:$AB$1009,""),""))))</f>
        <v/>
      </c>
      <c r="R598" s="43" t="str">
        <f>IF(tbl_handover[[#This Row],[Asset Code]]="","",COUNTIF(tbl_handover[Asset Code],tbl_handover[[#This Row],[Asset Code]]))</f>
        <v/>
      </c>
    </row>
    <row r="599" spans="1:18" x14ac:dyDescent="0.25">
      <c r="A599" s="43" t="str">
        <f>IF(B599&lt;&gt;"",SUBTOTAL(3,$B$1:B598),"")</f>
        <v/>
      </c>
      <c r="C599" s="74"/>
      <c r="D599" s="74"/>
      <c r="G599" s="1"/>
      <c r="K599" s="42"/>
      <c r="L599" t="str" cm="1">
        <f t="array" ref="L599">IF($K599="","",_xlfn.SWITCH($I599,"Computer",_xlfn.XLOOKUP($K599&amp;"",COMPUTER!$B$3:$B$1009&amp;"",COMPUTER!$I$3:$I$1009,""),"Display",_xlfn.XLOOKUP($K599&amp;"",DISPLAY!$B$3:$B$1000&amp;"",DISPLAY!$J$3:$J$1000,""),"Network Device",_xlfn.XLOOKUP($K599&amp;"",'NETWORK-DEVICES'!$B$3:$B$987&amp;"",'NETWORK-DEVICES'!$I$3:$I$987,""),"Peripheral",_xlfn.XLOOKUP($K599&amp;"",PERIPHERAL!$B$3:$B$954&amp;"",PERIPHERAL!$I$3:$I$954,""),"Utilities",_xlfn.XLOOKUP($K599&amp;"",UTILITIES!$B$3:$B$953&amp;"",UTILITIES!$H$3:$H$953,""),"IOT",_xlfn.XLOOKUP($K599&amp;"",IOT!$B$3:$B$1012&amp;"",IOT!$I$3:$I$1012,""),"SERVER",_xlfn.XLOOKUP($K599&amp;"",SERVER!$B$3:$B$1009&amp;"",SERVER!$I$3:$I$1009,""),""))</f>
        <v/>
      </c>
      <c r="M599" t="str" cm="1">
        <f t="array" ref="M599">IF($K599="","",_xlfn.SWITCH($I599,"Computer",_xlfn.XLOOKUP($K599&amp;"",COMPUTER!$B$3:$B$1009&amp;"",COMPUTER!$J$3:$J$1009,""),"Display",_xlfn.XLOOKUP($K599&amp;"",DISPLAY!$B$3:$B$1000&amp;"",DISPLAY!$K$3:$K$1000,""),"Network Device",_xlfn.XLOOKUP($K599&amp;"",'NETWORK-DEVICES'!$B$3:$B$987&amp;"",'NETWORK-DEVICES'!$I$3:$I$987,""),"Peripheral",_xlfn.XLOOKUP($K599&amp;"",PERIPHERAL!$B$3:$B$954&amp;"",PERIPHERAL!$J$3:$J$954,""),"Utilities",_xlfn.XLOOKUP($K599&amp;"",UTILITIES!$B$3:$B$953&amp;"",UTILITIES!$I$3:$I$953,""),"IOT",_xlfn.XLOOKUP($K599&amp;"",IOT!$B$3:$B$1012&amp;"",IOT!$J$3:$J$1012,""),"Server",_xlfn.XLOOKUP($K599&amp;"",SERVER!$B$3:$B$1009&amp;"",SERVER!$J$3:$J$1009,""),""))</f>
        <v/>
      </c>
      <c r="N599" s="1" t="str" cm="1">
        <f t="array" ref="N599">IF(OR($K599="",$I599="",$J599=""),"",_xlfn.LET(_xlpm.srcCat,_xlfn.SWITCH($I599,"Computer",_xlfn.XLOOKUP($K599&amp;"",COMPUTER!$B$3:$B$1009&amp;"",COMPUTER!$H$3:$H$1009,""),"Display",_xlfn.XLOOKUP($K599&amp;"",DISPLAY!$B$3:$B$1000&amp;"",DISPLAY!$H$3:$H$1000,""),"Network Device",_xlfn.XLOOKUP($K599&amp;"",'NETWORK-DEVICES'!$B$3:$B$987&amp;"",'NETWORK-DEVICES'!$H$3:$H$987,""),"Peripheral",_xlfn.XLOOKUP($K599&amp;"",PERIPHERAL!$B$3:$B$954&amp;"",PERIPHERAL!$H$3:$H$954,""),"Utilities",_xlfn.XLOOKUP($K599&amp;"",UTILITIES!$B$3:$B$953&amp;"",UTILITIES!$G$3:$G$953,""),"IOT",_xlfn.XLOOKUP($K599&amp;"",IOT!$B$3:$B$1012&amp;"",IOT!$H$3:$H$1012,""),"Server",_xlfn.XLOOKUP($K599&amp;"",SERVER!$B$3:$B$1009&amp;"",SERVER!$H$3:$H$1009,""),""),IF(TRIM(_xlpm.srcCat)&lt;&gt;TRIM($J599),"",_xlfn.SWITCH($I599,"Computer",_xlfn.XLOOKUP($K599&amp;"",COMPUTER!$B$3:$B$1009&amp;"",COMPUTER!$K$3:$K$1009,""),"Display",_xlfn.XLOOKUP($K599&amp;"",DISPLAY!$B$3:$B$1000&amp;"",DISPLAY!$L$3:$L$1000,""),"Network Device",_xlfn.XLOOKUP($K599&amp;"",'NETWORK-DEVICES'!$B$3:$B$987&amp;"",'NETWORK-DEVICES'!$K$3:$K$987,""),"Peripheral",_xlfn.XLOOKUP($K599&amp;"",PERIPHERAL!$B$3:$B$954&amp;"",PERIPHERAL!$K$3:$K$954,""),"Utilities",_xlfn.XLOOKUP($K599&amp;"",UTILITIES!$B$3:$B$953&amp;"",UTILITIES!$J$3:$J$953,""),"IOT",_xlfn.XLOOKUP($K599&amp;"",IOT!$B$3:$B$1012&amp;"",IOT!$K$4:$K$1012,""),"Server",_xlfn.XLOOKUP($K599&amp;"",SERVER!$B$3:$B$1009&amp;"",SERVER!$K$3:$K$1009,""),""))))</f>
        <v/>
      </c>
      <c r="O599" s="1" t="str" cm="1">
        <f t="array" ref="O599">IF(OR($K599="",$I599="",$J599=""),"",_xlfn.LET(_xlpm.srcCat,_xlfn.SWITCH($I599,"Computer",_xlfn.XLOOKUP($K599&amp;"",COMPUTER!$B$3:$B$1009&amp;"",COMPUTER!$H$3:$H$1009,""),"Display",_xlfn.XLOOKUP($K599&amp;"",DISPLAY!$B$3:$B$1000&amp;"",DISPLAY!$H$3:$H$1000,""),"Network Device",_xlfn.XLOOKUP($K599&amp;"",'NETWORK-DEVICES'!$B$3:$B$987&amp;"",'NETWORK-DEVICES'!$H$3:$H$987,""),"Peripheral",_xlfn.XLOOKUP($K599&amp;"",PERIPHERAL!$B$3:$B$954&amp;"",PERIPHERAL!$H$3:$H$954,""),"Utilities",_xlfn.XLOOKUP($K599&amp;"",UTILITIES!$B$3:$B$953&amp;"",UTILITIES!$G$3:$G$953,""),"IOT",_xlfn.XLOOKUP($K599&amp;"",IOT!$B$3:$B$1012&amp;"",IOT!$H$3:$H$1012,""),"Server",_xlfn.XLOOKUP($K599&amp;"",SERVER!$B$3:$B$1009&amp;"",SERVER!$H$3:$H$1009,""),""),IF(TRIM(_xlpm.srcCat)&lt;&gt;TRIM($J599),"",_xlfn.SWITCH($I599,"Computer",_xlfn.XLOOKUP($K599&amp;"",COMPUTER!$B$3:$B$1009&amp;"",COMPUTER!$E$3:$E$1009,""),"Display",_xlfn.XLOOKUP($K599&amp;"",DISPLAY!$B$3:$B$1000&amp;"",DISPLAY!$E$3:$E$1000,""),"Network Device",_xlfn.XLOOKUP($K599&amp;"",'NETWORK-DEVICES'!$B$3:$B$987&amp;"",'NETWORK-DEVICES'!$E$3:$E$987,""),"Peripheral",_xlfn.XLOOKUP($K599&amp;"",PERIPHERAL!$B$3:$B$954&amp;"",PERIPHERAL!$E$3:$E$954,""),"Utilities",_xlfn.XLOOKUP($K599&amp;"",UTILITIES!$B$3:$B$953&amp;"",UTILITIES!$E$3:$E$953,""),"IOT",_xlfn.XLOOKUP($K599&amp;"",IOT!$B$3:$B$1012&amp;"",IOT!$E$3:$E$1012,""),"Server",_xlfn.XLOOKUP($K599&amp;"",SERVER!$B$3:$B$1009&amp;"",SERVER!$E$3:$E$1009,""),""))))</f>
        <v/>
      </c>
      <c r="Q599" s="1" t="str" cm="1">
        <f t="array" ref="Q599">IF(OR($K599="",$I599="",$J599=""),"",_xlfn.LET(_xlpm.srcCat,_xlfn.SWITCH($I599,"Computer",_xlfn.XLOOKUP($K599&amp;"",COMPUTER!$B$3:$B$1009&amp;"",COMPUTER!$H$3:$H$1009,""),"Display",_xlfn.XLOOKUP($K599&amp;"",DISPLAY!$B$3:$B$1000&amp;"",DISPLAY!$H$3:$H$1000,""),"Network Device",_xlfn.XLOOKUP($K599&amp;"",'NETWORK-DEVICES'!$B$3:$B$987&amp;"",'NETWORK-DEVICES'!$H$3:$H$987,""),"Peripheral",_xlfn.XLOOKUP($K599&amp;"",PERIPHERAL!$B$3:$B$954&amp;"",PERIPHERAL!$H$3:$H$954,""),"Utilities",_xlfn.XLOOKUP($K599&amp;"",UTILITIES!$B$3:$B$953&amp;"",UTILITIES!$G$3:$G$953,""),"IOT",_xlfn.XLOOKUP($K599&amp;"",IOT!$B$3:$B$1012&amp;"",IOT!$H$3:$H$1012,""),"Server",_xlfn.XLOOKUP($K599&amp;"",SERVER!$B$3:$B$1009&amp;"",SERVER!$H$3:$H$1009,""),""),IF(TRIM(_xlpm.srcCat)&lt;&gt;TRIM($J599),"",_xlfn.SWITCH($I599,"Computer",_xlfn.XLOOKUP($K599&amp;"",COMPUTER!$B$3:$B$1009&amp;"",COMPUTER!$AM$3:$AM$1009,""),"Display",_xlfn.XLOOKUP($K599&amp;"",DISPLAY!$B$3:$B$1000&amp;"",DISPLAY!$V$3:$V$1000,""),"Network Device",_xlfn.XLOOKUP($K599&amp;"",'NETWORK-DEVICES'!$B$3:$B$987&amp;"",'NETWORK-DEVICES'!$AF$3:$AF$987,""),"Peripheral",_xlfn.XLOOKUP($K599&amp;"",PERIPHERAL!$B$3:$B$954&amp;"",PERIPHERAL!$Y$3:$Y$954,""),"Utilities",_xlfn.XLOOKUP($K599&amp;"",UTILITIES!$B$3:$B$953&amp;"",UTILITIES!$O$3:$O$953,""),"IOT",_xlfn.XLOOKUP($K599&amp;"",IOT!$B$3:$B$1012&amp;"",IOT!$AB$3:$AB$1012,""),"Server",_xlfn.XLOOKUP($K599&amp;"",SERVER!$B$3:$B$1009&amp;"",SERVER!$AB$3:$AB$1009,""),""))))</f>
        <v/>
      </c>
      <c r="R599" s="43" t="str">
        <f>IF(tbl_handover[[#This Row],[Asset Code]]="","",COUNTIF(tbl_handover[Asset Code],tbl_handover[[#This Row],[Asset Code]]))</f>
        <v/>
      </c>
    </row>
    <row r="600" spans="1:18" x14ac:dyDescent="0.25">
      <c r="A600" s="43" t="str">
        <f>IF(B600&lt;&gt;"",SUBTOTAL(3,$B$1:B599),"")</f>
        <v/>
      </c>
      <c r="C600" s="74"/>
      <c r="D600" s="74"/>
      <c r="G600" s="1"/>
      <c r="K600" s="42"/>
      <c r="L600" t="str" cm="1">
        <f t="array" ref="L600">IF($K600="","",_xlfn.SWITCH($I600,"Computer",_xlfn.XLOOKUP($K600&amp;"",COMPUTER!$B$3:$B$1009&amp;"",COMPUTER!$I$3:$I$1009,""),"Display",_xlfn.XLOOKUP($K600&amp;"",DISPLAY!$B$3:$B$1000&amp;"",DISPLAY!$J$3:$J$1000,""),"Network Device",_xlfn.XLOOKUP($K600&amp;"",'NETWORK-DEVICES'!$B$3:$B$987&amp;"",'NETWORK-DEVICES'!$I$3:$I$987,""),"Peripheral",_xlfn.XLOOKUP($K600&amp;"",PERIPHERAL!$B$3:$B$954&amp;"",PERIPHERAL!$I$3:$I$954,""),"Utilities",_xlfn.XLOOKUP($K600&amp;"",UTILITIES!$B$3:$B$953&amp;"",UTILITIES!$H$3:$H$953,""),"IOT",_xlfn.XLOOKUP($K600&amp;"",IOT!$B$3:$B$1012&amp;"",IOT!$I$3:$I$1012,""),"SERVER",_xlfn.XLOOKUP($K600&amp;"",SERVER!$B$3:$B$1009&amp;"",SERVER!$I$3:$I$1009,""),""))</f>
        <v/>
      </c>
      <c r="M600" t="str" cm="1">
        <f t="array" ref="M600">IF($K600="","",_xlfn.SWITCH($I600,"Computer",_xlfn.XLOOKUP($K600&amp;"",COMPUTER!$B$3:$B$1009&amp;"",COMPUTER!$J$3:$J$1009,""),"Display",_xlfn.XLOOKUP($K600&amp;"",DISPLAY!$B$3:$B$1000&amp;"",DISPLAY!$K$3:$K$1000,""),"Network Device",_xlfn.XLOOKUP($K600&amp;"",'NETWORK-DEVICES'!$B$3:$B$987&amp;"",'NETWORK-DEVICES'!$I$3:$I$987,""),"Peripheral",_xlfn.XLOOKUP($K600&amp;"",PERIPHERAL!$B$3:$B$954&amp;"",PERIPHERAL!$J$3:$J$954,""),"Utilities",_xlfn.XLOOKUP($K600&amp;"",UTILITIES!$B$3:$B$953&amp;"",UTILITIES!$I$3:$I$953,""),"IOT",_xlfn.XLOOKUP($K600&amp;"",IOT!$B$3:$B$1012&amp;"",IOT!$J$3:$J$1012,""),"Server",_xlfn.XLOOKUP($K600&amp;"",SERVER!$B$3:$B$1009&amp;"",SERVER!$J$3:$J$1009,""),""))</f>
        <v/>
      </c>
      <c r="N600" s="1" t="str" cm="1">
        <f t="array" ref="N600">IF(OR($K600="",$I600="",$J600=""),"",_xlfn.LET(_xlpm.srcCat,_xlfn.SWITCH($I600,"Computer",_xlfn.XLOOKUP($K600&amp;"",COMPUTER!$B$3:$B$1009&amp;"",COMPUTER!$H$3:$H$1009,""),"Display",_xlfn.XLOOKUP($K600&amp;"",DISPLAY!$B$3:$B$1000&amp;"",DISPLAY!$H$3:$H$1000,""),"Network Device",_xlfn.XLOOKUP($K600&amp;"",'NETWORK-DEVICES'!$B$3:$B$987&amp;"",'NETWORK-DEVICES'!$H$3:$H$987,""),"Peripheral",_xlfn.XLOOKUP($K600&amp;"",PERIPHERAL!$B$3:$B$954&amp;"",PERIPHERAL!$H$3:$H$954,""),"Utilities",_xlfn.XLOOKUP($K600&amp;"",UTILITIES!$B$3:$B$953&amp;"",UTILITIES!$G$3:$G$953,""),"IOT",_xlfn.XLOOKUP($K600&amp;"",IOT!$B$3:$B$1012&amp;"",IOT!$H$3:$H$1012,""),"Server",_xlfn.XLOOKUP($K600&amp;"",SERVER!$B$3:$B$1009&amp;"",SERVER!$H$3:$H$1009,""),""),IF(TRIM(_xlpm.srcCat)&lt;&gt;TRIM($J600),"",_xlfn.SWITCH($I600,"Computer",_xlfn.XLOOKUP($K600&amp;"",COMPUTER!$B$3:$B$1009&amp;"",COMPUTER!$K$3:$K$1009,""),"Display",_xlfn.XLOOKUP($K600&amp;"",DISPLAY!$B$3:$B$1000&amp;"",DISPLAY!$L$3:$L$1000,""),"Network Device",_xlfn.XLOOKUP($K600&amp;"",'NETWORK-DEVICES'!$B$3:$B$987&amp;"",'NETWORK-DEVICES'!$K$3:$K$987,""),"Peripheral",_xlfn.XLOOKUP($K600&amp;"",PERIPHERAL!$B$3:$B$954&amp;"",PERIPHERAL!$K$3:$K$954,""),"Utilities",_xlfn.XLOOKUP($K600&amp;"",UTILITIES!$B$3:$B$953&amp;"",UTILITIES!$J$3:$J$953,""),"IOT",_xlfn.XLOOKUP($K600&amp;"",IOT!$B$3:$B$1012&amp;"",IOT!$K$4:$K$1012,""),"Server",_xlfn.XLOOKUP($K600&amp;"",SERVER!$B$3:$B$1009&amp;"",SERVER!$K$3:$K$1009,""),""))))</f>
        <v/>
      </c>
      <c r="O600" s="1" t="str" cm="1">
        <f t="array" ref="O600">IF(OR($K600="",$I600="",$J600=""),"",_xlfn.LET(_xlpm.srcCat,_xlfn.SWITCH($I600,"Computer",_xlfn.XLOOKUP($K600&amp;"",COMPUTER!$B$3:$B$1009&amp;"",COMPUTER!$H$3:$H$1009,""),"Display",_xlfn.XLOOKUP($K600&amp;"",DISPLAY!$B$3:$B$1000&amp;"",DISPLAY!$H$3:$H$1000,""),"Network Device",_xlfn.XLOOKUP($K600&amp;"",'NETWORK-DEVICES'!$B$3:$B$987&amp;"",'NETWORK-DEVICES'!$H$3:$H$987,""),"Peripheral",_xlfn.XLOOKUP($K600&amp;"",PERIPHERAL!$B$3:$B$954&amp;"",PERIPHERAL!$H$3:$H$954,""),"Utilities",_xlfn.XLOOKUP($K600&amp;"",UTILITIES!$B$3:$B$953&amp;"",UTILITIES!$G$3:$G$953,""),"IOT",_xlfn.XLOOKUP($K600&amp;"",IOT!$B$3:$B$1012&amp;"",IOT!$H$3:$H$1012,""),"Server",_xlfn.XLOOKUP($K600&amp;"",SERVER!$B$3:$B$1009&amp;"",SERVER!$H$3:$H$1009,""),""),IF(TRIM(_xlpm.srcCat)&lt;&gt;TRIM($J600),"",_xlfn.SWITCH($I600,"Computer",_xlfn.XLOOKUP($K600&amp;"",COMPUTER!$B$3:$B$1009&amp;"",COMPUTER!$E$3:$E$1009,""),"Display",_xlfn.XLOOKUP($K600&amp;"",DISPLAY!$B$3:$B$1000&amp;"",DISPLAY!$E$3:$E$1000,""),"Network Device",_xlfn.XLOOKUP($K600&amp;"",'NETWORK-DEVICES'!$B$3:$B$987&amp;"",'NETWORK-DEVICES'!$E$3:$E$987,""),"Peripheral",_xlfn.XLOOKUP($K600&amp;"",PERIPHERAL!$B$3:$B$954&amp;"",PERIPHERAL!$E$3:$E$954,""),"Utilities",_xlfn.XLOOKUP($K600&amp;"",UTILITIES!$B$3:$B$953&amp;"",UTILITIES!$E$3:$E$953,""),"IOT",_xlfn.XLOOKUP($K600&amp;"",IOT!$B$3:$B$1012&amp;"",IOT!$E$3:$E$1012,""),"Server",_xlfn.XLOOKUP($K600&amp;"",SERVER!$B$3:$B$1009&amp;"",SERVER!$E$3:$E$1009,""),""))))</f>
        <v/>
      </c>
      <c r="Q600" s="1" t="str" cm="1">
        <f t="array" ref="Q600">IF(OR($K600="",$I600="",$J600=""),"",_xlfn.LET(_xlpm.srcCat,_xlfn.SWITCH($I600,"Computer",_xlfn.XLOOKUP($K600&amp;"",COMPUTER!$B$3:$B$1009&amp;"",COMPUTER!$H$3:$H$1009,""),"Display",_xlfn.XLOOKUP($K600&amp;"",DISPLAY!$B$3:$B$1000&amp;"",DISPLAY!$H$3:$H$1000,""),"Network Device",_xlfn.XLOOKUP($K600&amp;"",'NETWORK-DEVICES'!$B$3:$B$987&amp;"",'NETWORK-DEVICES'!$H$3:$H$987,""),"Peripheral",_xlfn.XLOOKUP($K600&amp;"",PERIPHERAL!$B$3:$B$954&amp;"",PERIPHERAL!$H$3:$H$954,""),"Utilities",_xlfn.XLOOKUP($K600&amp;"",UTILITIES!$B$3:$B$953&amp;"",UTILITIES!$G$3:$G$953,""),"IOT",_xlfn.XLOOKUP($K600&amp;"",IOT!$B$3:$B$1012&amp;"",IOT!$H$3:$H$1012,""),"Server",_xlfn.XLOOKUP($K600&amp;"",SERVER!$B$3:$B$1009&amp;"",SERVER!$H$3:$H$1009,""),""),IF(TRIM(_xlpm.srcCat)&lt;&gt;TRIM($J600),"",_xlfn.SWITCH($I600,"Computer",_xlfn.XLOOKUP($K600&amp;"",COMPUTER!$B$3:$B$1009&amp;"",COMPUTER!$AM$3:$AM$1009,""),"Display",_xlfn.XLOOKUP($K600&amp;"",DISPLAY!$B$3:$B$1000&amp;"",DISPLAY!$V$3:$V$1000,""),"Network Device",_xlfn.XLOOKUP($K600&amp;"",'NETWORK-DEVICES'!$B$3:$B$987&amp;"",'NETWORK-DEVICES'!$AF$3:$AF$987,""),"Peripheral",_xlfn.XLOOKUP($K600&amp;"",PERIPHERAL!$B$3:$B$954&amp;"",PERIPHERAL!$Y$3:$Y$954,""),"Utilities",_xlfn.XLOOKUP($K600&amp;"",UTILITIES!$B$3:$B$953&amp;"",UTILITIES!$O$3:$O$953,""),"IOT",_xlfn.XLOOKUP($K600&amp;"",IOT!$B$3:$B$1012&amp;"",IOT!$AB$3:$AB$1012,""),"Server",_xlfn.XLOOKUP($K600&amp;"",SERVER!$B$3:$B$1009&amp;"",SERVER!$AB$3:$AB$1009,""),""))))</f>
        <v/>
      </c>
      <c r="R600" s="43" t="str">
        <f>IF(tbl_handover[[#This Row],[Asset Code]]="","",COUNTIF(tbl_handover[Asset Code],tbl_handover[[#This Row],[Asset Code]]))</f>
        <v/>
      </c>
    </row>
    <row r="601" spans="1:18" x14ac:dyDescent="0.25">
      <c r="A601" s="43" t="str">
        <f>IF(B601&lt;&gt;"",SUBTOTAL(3,$B$1:B600),"")</f>
        <v/>
      </c>
      <c r="C601" s="74"/>
      <c r="D601" s="74"/>
      <c r="G601" s="1"/>
      <c r="K601" s="42"/>
      <c r="L601" t="str" cm="1">
        <f t="array" ref="L601">IF($K601="","",_xlfn.SWITCH($I601,"Computer",_xlfn.XLOOKUP($K601&amp;"",COMPUTER!$B$3:$B$1009&amp;"",COMPUTER!$I$3:$I$1009,""),"Display",_xlfn.XLOOKUP($K601&amp;"",DISPLAY!$B$3:$B$1000&amp;"",DISPLAY!$J$3:$J$1000,""),"Network Device",_xlfn.XLOOKUP($K601&amp;"",'NETWORK-DEVICES'!$B$3:$B$987&amp;"",'NETWORK-DEVICES'!$I$3:$I$987,""),"Peripheral",_xlfn.XLOOKUP($K601&amp;"",PERIPHERAL!$B$3:$B$954&amp;"",PERIPHERAL!$I$3:$I$954,""),"Utilities",_xlfn.XLOOKUP($K601&amp;"",UTILITIES!$B$3:$B$953&amp;"",UTILITIES!$H$3:$H$953,""),"IOT",_xlfn.XLOOKUP($K601&amp;"",IOT!$B$3:$B$1012&amp;"",IOT!$I$3:$I$1012,""),"SERVER",_xlfn.XLOOKUP($K601&amp;"",SERVER!$B$3:$B$1009&amp;"",SERVER!$I$3:$I$1009,""),""))</f>
        <v/>
      </c>
      <c r="M601" t="str" cm="1">
        <f t="array" ref="M601">IF($K601="","",_xlfn.SWITCH($I601,"Computer",_xlfn.XLOOKUP($K601&amp;"",COMPUTER!$B$3:$B$1009&amp;"",COMPUTER!$J$3:$J$1009,""),"Display",_xlfn.XLOOKUP($K601&amp;"",DISPLAY!$B$3:$B$1000&amp;"",DISPLAY!$K$3:$K$1000,""),"Network Device",_xlfn.XLOOKUP($K601&amp;"",'NETWORK-DEVICES'!$B$3:$B$987&amp;"",'NETWORK-DEVICES'!$I$3:$I$987,""),"Peripheral",_xlfn.XLOOKUP($K601&amp;"",PERIPHERAL!$B$3:$B$954&amp;"",PERIPHERAL!$J$3:$J$954,""),"Utilities",_xlfn.XLOOKUP($K601&amp;"",UTILITIES!$B$3:$B$953&amp;"",UTILITIES!$I$3:$I$953,""),"IOT",_xlfn.XLOOKUP($K601&amp;"",IOT!$B$3:$B$1012&amp;"",IOT!$J$3:$J$1012,""),"Server",_xlfn.XLOOKUP($K601&amp;"",SERVER!$B$3:$B$1009&amp;"",SERVER!$J$3:$J$1009,""),""))</f>
        <v/>
      </c>
      <c r="N601" s="1" t="str" cm="1">
        <f t="array" ref="N601">IF(OR($K601="",$I601="",$J601=""),"",_xlfn.LET(_xlpm.srcCat,_xlfn.SWITCH($I601,"Computer",_xlfn.XLOOKUP($K601&amp;"",COMPUTER!$B$3:$B$1009&amp;"",COMPUTER!$H$3:$H$1009,""),"Display",_xlfn.XLOOKUP($K601&amp;"",DISPLAY!$B$3:$B$1000&amp;"",DISPLAY!$H$3:$H$1000,""),"Network Device",_xlfn.XLOOKUP($K601&amp;"",'NETWORK-DEVICES'!$B$3:$B$987&amp;"",'NETWORK-DEVICES'!$H$3:$H$987,""),"Peripheral",_xlfn.XLOOKUP($K601&amp;"",PERIPHERAL!$B$3:$B$954&amp;"",PERIPHERAL!$H$3:$H$954,""),"Utilities",_xlfn.XLOOKUP($K601&amp;"",UTILITIES!$B$3:$B$953&amp;"",UTILITIES!$G$3:$G$953,""),"IOT",_xlfn.XLOOKUP($K601&amp;"",IOT!$B$3:$B$1012&amp;"",IOT!$H$3:$H$1012,""),"Server",_xlfn.XLOOKUP($K601&amp;"",SERVER!$B$3:$B$1009&amp;"",SERVER!$H$3:$H$1009,""),""),IF(TRIM(_xlpm.srcCat)&lt;&gt;TRIM($J601),"",_xlfn.SWITCH($I601,"Computer",_xlfn.XLOOKUP($K601&amp;"",COMPUTER!$B$3:$B$1009&amp;"",COMPUTER!$K$3:$K$1009,""),"Display",_xlfn.XLOOKUP($K601&amp;"",DISPLAY!$B$3:$B$1000&amp;"",DISPLAY!$L$3:$L$1000,""),"Network Device",_xlfn.XLOOKUP($K601&amp;"",'NETWORK-DEVICES'!$B$3:$B$987&amp;"",'NETWORK-DEVICES'!$K$3:$K$987,""),"Peripheral",_xlfn.XLOOKUP($K601&amp;"",PERIPHERAL!$B$3:$B$954&amp;"",PERIPHERAL!$K$3:$K$954,""),"Utilities",_xlfn.XLOOKUP($K601&amp;"",UTILITIES!$B$3:$B$953&amp;"",UTILITIES!$J$3:$J$953,""),"IOT",_xlfn.XLOOKUP($K601&amp;"",IOT!$B$3:$B$1012&amp;"",IOT!$K$4:$K$1012,""),"Server",_xlfn.XLOOKUP($K601&amp;"",SERVER!$B$3:$B$1009&amp;"",SERVER!$K$3:$K$1009,""),""))))</f>
        <v/>
      </c>
      <c r="O601" s="1" t="str" cm="1">
        <f t="array" ref="O601">IF(OR($K601="",$I601="",$J601=""),"",_xlfn.LET(_xlpm.srcCat,_xlfn.SWITCH($I601,"Computer",_xlfn.XLOOKUP($K601&amp;"",COMPUTER!$B$3:$B$1009&amp;"",COMPUTER!$H$3:$H$1009,""),"Display",_xlfn.XLOOKUP($K601&amp;"",DISPLAY!$B$3:$B$1000&amp;"",DISPLAY!$H$3:$H$1000,""),"Network Device",_xlfn.XLOOKUP($K601&amp;"",'NETWORK-DEVICES'!$B$3:$B$987&amp;"",'NETWORK-DEVICES'!$H$3:$H$987,""),"Peripheral",_xlfn.XLOOKUP($K601&amp;"",PERIPHERAL!$B$3:$B$954&amp;"",PERIPHERAL!$H$3:$H$954,""),"Utilities",_xlfn.XLOOKUP($K601&amp;"",UTILITIES!$B$3:$B$953&amp;"",UTILITIES!$G$3:$G$953,""),"IOT",_xlfn.XLOOKUP($K601&amp;"",IOT!$B$3:$B$1012&amp;"",IOT!$H$3:$H$1012,""),"Server",_xlfn.XLOOKUP($K601&amp;"",SERVER!$B$3:$B$1009&amp;"",SERVER!$H$3:$H$1009,""),""),IF(TRIM(_xlpm.srcCat)&lt;&gt;TRIM($J601),"",_xlfn.SWITCH($I601,"Computer",_xlfn.XLOOKUP($K601&amp;"",COMPUTER!$B$3:$B$1009&amp;"",COMPUTER!$E$3:$E$1009,""),"Display",_xlfn.XLOOKUP($K601&amp;"",DISPLAY!$B$3:$B$1000&amp;"",DISPLAY!$E$3:$E$1000,""),"Network Device",_xlfn.XLOOKUP($K601&amp;"",'NETWORK-DEVICES'!$B$3:$B$987&amp;"",'NETWORK-DEVICES'!$E$3:$E$987,""),"Peripheral",_xlfn.XLOOKUP($K601&amp;"",PERIPHERAL!$B$3:$B$954&amp;"",PERIPHERAL!$E$3:$E$954,""),"Utilities",_xlfn.XLOOKUP($K601&amp;"",UTILITIES!$B$3:$B$953&amp;"",UTILITIES!$E$3:$E$953,""),"IOT",_xlfn.XLOOKUP($K601&amp;"",IOT!$B$3:$B$1012&amp;"",IOT!$E$3:$E$1012,""),"Server",_xlfn.XLOOKUP($K601&amp;"",SERVER!$B$3:$B$1009&amp;"",SERVER!$E$3:$E$1009,""),""))))</f>
        <v/>
      </c>
      <c r="Q601" s="1" t="str" cm="1">
        <f t="array" ref="Q601">IF(OR($K601="",$I601="",$J601=""),"",_xlfn.LET(_xlpm.srcCat,_xlfn.SWITCH($I601,"Computer",_xlfn.XLOOKUP($K601&amp;"",COMPUTER!$B$3:$B$1009&amp;"",COMPUTER!$H$3:$H$1009,""),"Display",_xlfn.XLOOKUP($K601&amp;"",DISPLAY!$B$3:$B$1000&amp;"",DISPLAY!$H$3:$H$1000,""),"Network Device",_xlfn.XLOOKUP($K601&amp;"",'NETWORK-DEVICES'!$B$3:$B$987&amp;"",'NETWORK-DEVICES'!$H$3:$H$987,""),"Peripheral",_xlfn.XLOOKUP($K601&amp;"",PERIPHERAL!$B$3:$B$954&amp;"",PERIPHERAL!$H$3:$H$954,""),"Utilities",_xlfn.XLOOKUP($K601&amp;"",UTILITIES!$B$3:$B$953&amp;"",UTILITIES!$G$3:$G$953,""),"IOT",_xlfn.XLOOKUP($K601&amp;"",IOT!$B$3:$B$1012&amp;"",IOT!$H$3:$H$1012,""),"Server",_xlfn.XLOOKUP($K601&amp;"",SERVER!$B$3:$B$1009&amp;"",SERVER!$H$3:$H$1009,""),""),IF(TRIM(_xlpm.srcCat)&lt;&gt;TRIM($J601),"",_xlfn.SWITCH($I601,"Computer",_xlfn.XLOOKUP($K601&amp;"",COMPUTER!$B$3:$B$1009&amp;"",COMPUTER!$AM$3:$AM$1009,""),"Display",_xlfn.XLOOKUP($K601&amp;"",DISPLAY!$B$3:$B$1000&amp;"",DISPLAY!$V$3:$V$1000,""),"Network Device",_xlfn.XLOOKUP($K601&amp;"",'NETWORK-DEVICES'!$B$3:$B$987&amp;"",'NETWORK-DEVICES'!$AF$3:$AF$987,""),"Peripheral",_xlfn.XLOOKUP($K601&amp;"",PERIPHERAL!$B$3:$B$954&amp;"",PERIPHERAL!$Y$3:$Y$954,""),"Utilities",_xlfn.XLOOKUP($K601&amp;"",UTILITIES!$B$3:$B$953&amp;"",UTILITIES!$O$3:$O$953,""),"IOT",_xlfn.XLOOKUP($K601&amp;"",IOT!$B$3:$B$1012&amp;"",IOT!$AB$3:$AB$1012,""),"Server",_xlfn.XLOOKUP($K601&amp;"",SERVER!$B$3:$B$1009&amp;"",SERVER!$AB$3:$AB$1009,""),""))))</f>
        <v/>
      </c>
      <c r="R601" s="43" t="str">
        <f>IF(tbl_handover[[#This Row],[Asset Code]]="","",COUNTIF(tbl_handover[Asset Code],tbl_handover[[#This Row],[Asset Code]]))</f>
        <v/>
      </c>
    </row>
    <row r="602" spans="1:18" x14ac:dyDescent="0.25">
      <c r="A602" s="43" t="str">
        <f>IF(B602&lt;&gt;"",SUBTOTAL(3,$B$1:B601),"")</f>
        <v/>
      </c>
      <c r="C602" s="74"/>
      <c r="D602" s="74"/>
      <c r="G602" s="1"/>
      <c r="K602" s="42"/>
      <c r="L602" t="str" cm="1">
        <f t="array" ref="L602">IF($K602="","",_xlfn.SWITCH($I602,"Computer",_xlfn.XLOOKUP($K602&amp;"",COMPUTER!$B$3:$B$1009&amp;"",COMPUTER!$I$3:$I$1009,""),"Display",_xlfn.XLOOKUP($K602&amp;"",DISPLAY!$B$3:$B$1000&amp;"",DISPLAY!$J$3:$J$1000,""),"Network Device",_xlfn.XLOOKUP($K602&amp;"",'NETWORK-DEVICES'!$B$3:$B$987&amp;"",'NETWORK-DEVICES'!$I$3:$I$987,""),"Peripheral",_xlfn.XLOOKUP($K602&amp;"",PERIPHERAL!$B$3:$B$954&amp;"",PERIPHERAL!$I$3:$I$954,""),"Utilities",_xlfn.XLOOKUP($K602&amp;"",UTILITIES!$B$3:$B$953&amp;"",UTILITIES!$H$3:$H$953,""),"IOT",_xlfn.XLOOKUP($K602&amp;"",IOT!$B$3:$B$1012&amp;"",IOT!$I$3:$I$1012,""),"SERVER",_xlfn.XLOOKUP($K602&amp;"",SERVER!$B$3:$B$1009&amp;"",SERVER!$I$3:$I$1009,""),""))</f>
        <v/>
      </c>
      <c r="M602" t="str" cm="1">
        <f t="array" ref="M602">IF($K602="","",_xlfn.SWITCH($I602,"Computer",_xlfn.XLOOKUP($K602&amp;"",COMPUTER!$B$3:$B$1009&amp;"",COMPUTER!$J$3:$J$1009,""),"Display",_xlfn.XLOOKUP($K602&amp;"",DISPLAY!$B$3:$B$1000&amp;"",DISPLAY!$K$3:$K$1000,""),"Network Device",_xlfn.XLOOKUP($K602&amp;"",'NETWORK-DEVICES'!$B$3:$B$987&amp;"",'NETWORK-DEVICES'!$I$3:$I$987,""),"Peripheral",_xlfn.XLOOKUP($K602&amp;"",PERIPHERAL!$B$3:$B$954&amp;"",PERIPHERAL!$J$3:$J$954,""),"Utilities",_xlfn.XLOOKUP($K602&amp;"",UTILITIES!$B$3:$B$953&amp;"",UTILITIES!$I$3:$I$953,""),"IOT",_xlfn.XLOOKUP($K602&amp;"",IOT!$B$3:$B$1012&amp;"",IOT!$J$3:$J$1012,""),"Server",_xlfn.XLOOKUP($K602&amp;"",SERVER!$B$3:$B$1009&amp;"",SERVER!$J$3:$J$1009,""),""))</f>
        <v/>
      </c>
      <c r="N602" s="1" t="str" cm="1">
        <f t="array" ref="N602">IF(OR($K602="",$I602="",$J602=""),"",_xlfn.LET(_xlpm.srcCat,_xlfn.SWITCH($I602,"Computer",_xlfn.XLOOKUP($K602&amp;"",COMPUTER!$B$3:$B$1009&amp;"",COMPUTER!$H$3:$H$1009,""),"Display",_xlfn.XLOOKUP($K602&amp;"",DISPLAY!$B$3:$B$1000&amp;"",DISPLAY!$H$3:$H$1000,""),"Network Device",_xlfn.XLOOKUP($K602&amp;"",'NETWORK-DEVICES'!$B$3:$B$987&amp;"",'NETWORK-DEVICES'!$H$3:$H$987,""),"Peripheral",_xlfn.XLOOKUP($K602&amp;"",PERIPHERAL!$B$3:$B$954&amp;"",PERIPHERAL!$H$3:$H$954,""),"Utilities",_xlfn.XLOOKUP($K602&amp;"",UTILITIES!$B$3:$B$953&amp;"",UTILITIES!$G$3:$G$953,""),"IOT",_xlfn.XLOOKUP($K602&amp;"",IOT!$B$3:$B$1012&amp;"",IOT!$H$3:$H$1012,""),"Server",_xlfn.XLOOKUP($K602&amp;"",SERVER!$B$3:$B$1009&amp;"",SERVER!$H$3:$H$1009,""),""),IF(TRIM(_xlpm.srcCat)&lt;&gt;TRIM($J602),"",_xlfn.SWITCH($I602,"Computer",_xlfn.XLOOKUP($K602&amp;"",COMPUTER!$B$3:$B$1009&amp;"",COMPUTER!$K$3:$K$1009,""),"Display",_xlfn.XLOOKUP($K602&amp;"",DISPLAY!$B$3:$B$1000&amp;"",DISPLAY!$L$3:$L$1000,""),"Network Device",_xlfn.XLOOKUP($K602&amp;"",'NETWORK-DEVICES'!$B$3:$B$987&amp;"",'NETWORK-DEVICES'!$K$3:$K$987,""),"Peripheral",_xlfn.XLOOKUP($K602&amp;"",PERIPHERAL!$B$3:$B$954&amp;"",PERIPHERAL!$K$3:$K$954,""),"Utilities",_xlfn.XLOOKUP($K602&amp;"",UTILITIES!$B$3:$B$953&amp;"",UTILITIES!$J$3:$J$953,""),"IOT",_xlfn.XLOOKUP($K602&amp;"",IOT!$B$3:$B$1012&amp;"",IOT!$K$4:$K$1012,""),"Server",_xlfn.XLOOKUP($K602&amp;"",SERVER!$B$3:$B$1009&amp;"",SERVER!$K$3:$K$1009,""),""))))</f>
        <v/>
      </c>
      <c r="O602" s="1" t="str" cm="1">
        <f t="array" ref="O602">IF(OR($K602="",$I602="",$J602=""),"",_xlfn.LET(_xlpm.srcCat,_xlfn.SWITCH($I602,"Computer",_xlfn.XLOOKUP($K602&amp;"",COMPUTER!$B$3:$B$1009&amp;"",COMPUTER!$H$3:$H$1009,""),"Display",_xlfn.XLOOKUP($K602&amp;"",DISPLAY!$B$3:$B$1000&amp;"",DISPLAY!$H$3:$H$1000,""),"Network Device",_xlfn.XLOOKUP($K602&amp;"",'NETWORK-DEVICES'!$B$3:$B$987&amp;"",'NETWORK-DEVICES'!$H$3:$H$987,""),"Peripheral",_xlfn.XLOOKUP($K602&amp;"",PERIPHERAL!$B$3:$B$954&amp;"",PERIPHERAL!$H$3:$H$954,""),"Utilities",_xlfn.XLOOKUP($K602&amp;"",UTILITIES!$B$3:$B$953&amp;"",UTILITIES!$G$3:$G$953,""),"IOT",_xlfn.XLOOKUP($K602&amp;"",IOT!$B$3:$B$1012&amp;"",IOT!$H$3:$H$1012,""),"Server",_xlfn.XLOOKUP($K602&amp;"",SERVER!$B$3:$B$1009&amp;"",SERVER!$H$3:$H$1009,""),""),IF(TRIM(_xlpm.srcCat)&lt;&gt;TRIM($J602),"",_xlfn.SWITCH($I602,"Computer",_xlfn.XLOOKUP($K602&amp;"",COMPUTER!$B$3:$B$1009&amp;"",COMPUTER!$E$3:$E$1009,""),"Display",_xlfn.XLOOKUP($K602&amp;"",DISPLAY!$B$3:$B$1000&amp;"",DISPLAY!$E$3:$E$1000,""),"Network Device",_xlfn.XLOOKUP($K602&amp;"",'NETWORK-DEVICES'!$B$3:$B$987&amp;"",'NETWORK-DEVICES'!$E$3:$E$987,""),"Peripheral",_xlfn.XLOOKUP($K602&amp;"",PERIPHERAL!$B$3:$B$954&amp;"",PERIPHERAL!$E$3:$E$954,""),"Utilities",_xlfn.XLOOKUP($K602&amp;"",UTILITIES!$B$3:$B$953&amp;"",UTILITIES!$E$3:$E$953,""),"IOT",_xlfn.XLOOKUP($K602&amp;"",IOT!$B$3:$B$1012&amp;"",IOT!$E$3:$E$1012,""),"Server",_xlfn.XLOOKUP($K602&amp;"",SERVER!$B$3:$B$1009&amp;"",SERVER!$E$3:$E$1009,""),""))))</f>
        <v/>
      </c>
      <c r="Q602" s="1" t="str" cm="1">
        <f t="array" ref="Q602">IF(OR($K602="",$I602="",$J602=""),"",_xlfn.LET(_xlpm.srcCat,_xlfn.SWITCH($I602,"Computer",_xlfn.XLOOKUP($K602&amp;"",COMPUTER!$B$3:$B$1009&amp;"",COMPUTER!$H$3:$H$1009,""),"Display",_xlfn.XLOOKUP($K602&amp;"",DISPLAY!$B$3:$B$1000&amp;"",DISPLAY!$H$3:$H$1000,""),"Network Device",_xlfn.XLOOKUP($K602&amp;"",'NETWORK-DEVICES'!$B$3:$B$987&amp;"",'NETWORK-DEVICES'!$H$3:$H$987,""),"Peripheral",_xlfn.XLOOKUP($K602&amp;"",PERIPHERAL!$B$3:$B$954&amp;"",PERIPHERAL!$H$3:$H$954,""),"Utilities",_xlfn.XLOOKUP($K602&amp;"",UTILITIES!$B$3:$B$953&amp;"",UTILITIES!$G$3:$G$953,""),"IOT",_xlfn.XLOOKUP($K602&amp;"",IOT!$B$3:$B$1012&amp;"",IOT!$H$3:$H$1012,""),"Server",_xlfn.XLOOKUP($K602&amp;"",SERVER!$B$3:$B$1009&amp;"",SERVER!$H$3:$H$1009,""),""),IF(TRIM(_xlpm.srcCat)&lt;&gt;TRIM($J602),"",_xlfn.SWITCH($I602,"Computer",_xlfn.XLOOKUP($K602&amp;"",COMPUTER!$B$3:$B$1009&amp;"",COMPUTER!$AM$3:$AM$1009,""),"Display",_xlfn.XLOOKUP($K602&amp;"",DISPLAY!$B$3:$B$1000&amp;"",DISPLAY!$V$3:$V$1000,""),"Network Device",_xlfn.XLOOKUP($K602&amp;"",'NETWORK-DEVICES'!$B$3:$B$987&amp;"",'NETWORK-DEVICES'!$AF$3:$AF$987,""),"Peripheral",_xlfn.XLOOKUP($K602&amp;"",PERIPHERAL!$B$3:$B$954&amp;"",PERIPHERAL!$Y$3:$Y$954,""),"Utilities",_xlfn.XLOOKUP($K602&amp;"",UTILITIES!$B$3:$B$953&amp;"",UTILITIES!$O$3:$O$953,""),"IOT",_xlfn.XLOOKUP($K602&amp;"",IOT!$B$3:$B$1012&amp;"",IOT!$AB$3:$AB$1012,""),"Server",_xlfn.XLOOKUP($K602&amp;"",SERVER!$B$3:$B$1009&amp;"",SERVER!$AB$3:$AB$1009,""),""))))</f>
        <v/>
      </c>
      <c r="R602" s="43" t="str">
        <f>IF(tbl_handover[[#This Row],[Asset Code]]="","",COUNTIF(tbl_handover[Asset Code],tbl_handover[[#This Row],[Asset Code]]))</f>
        <v/>
      </c>
    </row>
    <row r="603" spans="1:18" x14ac:dyDescent="0.25">
      <c r="A603" s="43" t="str">
        <f>IF(B603&lt;&gt;"",SUBTOTAL(3,$B$1:B602),"")</f>
        <v/>
      </c>
      <c r="C603" s="74"/>
      <c r="D603" s="74"/>
      <c r="G603" s="1"/>
      <c r="K603" s="42"/>
      <c r="L603" t="str" cm="1">
        <f t="array" ref="L603">IF($K603="","",_xlfn.SWITCH($I603,"Computer",_xlfn.XLOOKUP($K603&amp;"",COMPUTER!$B$3:$B$1009&amp;"",COMPUTER!$I$3:$I$1009,""),"Display",_xlfn.XLOOKUP($K603&amp;"",DISPLAY!$B$3:$B$1000&amp;"",DISPLAY!$J$3:$J$1000,""),"Network Device",_xlfn.XLOOKUP($K603&amp;"",'NETWORK-DEVICES'!$B$3:$B$987&amp;"",'NETWORK-DEVICES'!$I$3:$I$987,""),"Peripheral",_xlfn.XLOOKUP($K603&amp;"",PERIPHERAL!$B$3:$B$954&amp;"",PERIPHERAL!$I$3:$I$954,""),"Utilities",_xlfn.XLOOKUP($K603&amp;"",UTILITIES!$B$3:$B$953&amp;"",UTILITIES!$H$3:$H$953,""),"IOT",_xlfn.XLOOKUP($K603&amp;"",IOT!$B$3:$B$1012&amp;"",IOT!$I$3:$I$1012,""),"SERVER",_xlfn.XLOOKUP($K603&amp;"",SERVER!$B$3:$B$1009&amp;"",SERVER!$I$3:$I$1009,""),""))</f>
        <v/>
      </c>
      <c r="M603" t="str" cm="1">
        <f t="array" ref="M603">IF($K603="","",_xlfn.SWITCH($I603,"Computer",_xlfn.XLOOKUP($K603&amp;"",COMPUTER!$B$3:$B$1009&amp;"",COMPUTER!$J$3:$J$1009,""),"Display",_xlfn.XLOOKUP($K603&amp;"",DISPLAY!$B$3:$B$1000&amp;"",DISPLAY!$K$3:$K$1000,""),"Network Device",_xlfn.XLOOKUP($K603&amp;"",'NETWORK-DEVICES'!$B$3:$B$987&amp;"",'NETWORK-DEVICES'!$I$3:$I$987,""),"Peripheral",_xlfn.XLOOKUP($K603&amp;"",PERIPHERAL!$B$3:$B$954&amp;"",PERIPHERAL!$J$3:$J$954,""),"Utilities",_xlfn.XLOOKUP($K603&amp;"",UTILITIES!$B$3:$B$953&amp;"",UTILITIES!$I$3:$I$953,""),"IOT",_xlfn.XLOOKUP($K603&amp;"",IOT!$B$3:$B$1012&amp;"",IOT!$J$3:$J$1012,""),"Server",_xlfn.XLOOKUP($K603&amp;"",SERVER!$B$3:$B$1009&amp;"",SERVER!$J$3:$J$1009,""),""))</f>
        <v/>
      </c>
      <c r="N603" s="1" t="str" cm="1">
        <f t="array" ref="N603">IF(OR($K603="",$I603="",$J603=""),"",_xlfn.LET(_xlpm.srcCat,_xlfn.SWITCH($I603,"Computer",_xlfn.XLOOKUP($K603&amp;"",COMPUTER!$B$3:$B$1009&amp;"",COMPUTER!$H$3:$H$1009,""),"Display",_xlfn.XLOOKUP($K603&amp;"",DISPLAY!$B$3:$B$1000&amp;"",DISPLAY!$H$3:$H$1000,""),"Network Device",_xlfn.XLOOKUP($K603&amp;"",'NETWORK-DEVICES'!$B$3:$B$987&amp;"",'NETWORK-DEVICES'!$H$3:$H$987,""),"Peripheral",_xlfn.XLOOKUP($K603&amp;"",PERIPHERAL!$B$3:$B$954&amp;"",PERIPHERAL!$H$3:$H$954,""),"Utilities",_xlfn.XLOOKUP($K603&amp;"",UTILITIES!$B$3:$B$953&amp;"",UTILITIES!$G$3:$G$953,""),"IOT",_xlfn.XLOOKUP($K603&amp;"",IOT!$B$3:$B$1012&amp;"",IOT!$H$3:$H$1012,""),"Server",_xlfn.XLOOKUP($K603&amp;"",SERVER!$B$3:$B$1009&amp;"",SERVER!$H$3:$H$1009,""),""),IF(TRIM(_xlpm.srcCat)&lt;&gt;TRIM($J603),"",_xlfn.SWITCH($I603,"Computer",_xlfn.XLOOKUP($K603&amp;"",COMPUTER!$B$3:$B$1009&amp;"",COMPUTER!$K$3:$K$1009,""),"Display",_xlfn.XLOOKUP($K603&amp;"",DISPLAY!$B$3:$B$1000&amp;"",DISPLAY!$L$3:$L$1000,""),"Network Device",_xlfn.XLOOKUP($K603&amp;"",'NETWORK-DEVICES'!$B$3:$B$987&amp;"",'NETWORK-DEVICES'!$K$3:$K$987,""),"Peripheral",_xlfn.XLOOKUP($K603&amp;"",PERIPHERAL!$B$3:$B$954&amp;"",PERIPHERAL!$K$3:$K$954,""),"Utilities",_xlfn.XLOOKUP($K603&amp;"",UTILITIES!$B$3:$B$953&amp;"",UTILITIES!$J$3:$J$953,""),"IOT",_xlfn.XLOOKUP($K603&amp;"",IOT!$B$3:$B$1012&amp;"",IOT!$K$4:$K$1012,""),"Server",_xlfn.XLOOKUP($K603&amp;"",SERVER!$B$3:$B$1009&amp;"",SERVER!$K$3:$K$1009,""),""))))</f>
        <v/>
      </c>
      <c r="O603" s="1" t="str" cm="1">
        <f t="array" ref="O603">IF(OR($K603="",$I603="",$J603=""),"",_xlfn.LET(_xlpm.srcCat,_xlfn.SWITCH($I603,"Computer",_xlfn.XLOOKUP($K603&amp;"",COMPUTER!$B$3:$B$1009&amp;"",COMPUTER!$H$3:$H$1009,""),"Display",_xlfn.XLOOKUP($K603&amp;"",DISPLAY!$B$3:$B$1000&amp;"",DISPLAY!$H$3:$H$1000,""),"Network Device",_xlfn.XLOOKUP($K603&amp;"",'NETWORK-DEVICES'!$B$3:$B$987&amp;"",'NETWORK-DEVICES'!$H$3:$H$987,""),"Peripheral",_xlfn.XLOOKUP($K603&amp;"",PERIPHERAL!$B$3:$B$954&amp;"",PERIPHERAL!$H$3:$H$954,""),"Utilities",_xlfn.XLOOKUP($K603&amp;"",UTILITIES!$B$3:$B$953&amp;"",UTILITIES!$G$3:$G$953,""),"IOT",_xlfn.XLOOKUP($K603&amp;"",IOT!$B$3:$B$1012&amp;"",IOT!$H$3:$H$1012,""),"Server",_xlfn.XLOOKUP($K603&amp;"",SERVER!$B$3:$B$1009&amp;"",SERVER!$H$3:$H$1009,""),""),IF(TRIM(_xlpm.srcCat)&lt;&gt;TRIM($J603),"",_xlfn.SWITCH($I603,"Computer",_xlfn.XLOOKUP($K603&amp;"",COMPUTER!$B$3:$B$1009&amp;"",COMPUTER!$E$3:$E$1009,""),"Display",_xlfn.XLOOKUP($K603&amp;"",DISPLAY!$B$3:$B$1000&amp;"",DISPLAY!$E$3:$E$1000,""),"Network Device",_xlfn.XLOOKUP($K603&amp;"",'NETWORK-DEVICES'!$B$3:$B$987&amp;"",'NETWORK-DEVICES'!$E$3:$E$987,""),"Peripheral",_xlfn.XLOOKUP($K603&amp;"",PERIPHERAL!$B$3:$B$954&amp;"",PERIPHERAL!$E$3:$E$954,""),"Utilities",_xlfn.XLOOKUP($K603&amp;"",UTILITIES!$B$3:$B$953&amp;"",UTILITIES!$E$3:$E$953,""),"IOT",_xlfn.XLOOKUP($K603&amp;"",IOT!$B$3:$B$1012&amp;"",IOT!$E$3:$E$1012,""),"Server",_xlfn.XLOOKUP($K603&amp;"",SERVER!$B$3:$B$1009&amp;"",SERVER!$E$3:$E$1009,""),""))))</f>
        <v/>
      </c>
      <c r="Q603" s="1" t="str" cm="1">
        <f t="array" ref="Q603">IF(OR($K603="",$I603="",$J603=""),"",_xlfn.LET(_xlpm.srcCat,_xlfn.SWITCH($I603,"Computer",_xlfn.XLOOKUP($K603&amp;"",COMPUTER!$B$3:$B$1009&amp;"",COMPUTER!$H$3:$H$1009,""),"Display",_xlfn.XLOOKUP($K603&amp;"",DISPLAY!$B$3:$B$1000&amp;"",DISPLAY!$H$3:$H$1000,""),"Network Device",_xlfn.XLOOKUP($K603&amp;"",'NETWORK-DEVICES'!$B$3:$B$987&amp;"",'NETWORK-DEVICES'!$H$3:$H$987,""),"Peripheral",_xlfn.XLOOKUP($K603&amp;"",PERIPHERAL!$B$3:$B$954&amp;"",PERIPHERAL!$H$3:$H$954,""),"Utilities",_xlfn.XLOOKUP($K603&amp;"",UTILITIES!$B$3:$B$953&amp;"",UTILITIES!$G$3:$G$953,""),"IOT",_xlfn.XLOOKUP($K603&amp;"",IOT!$B$3:$B$1012&amp;"",IOT!$H$3:$H$1012,""),"Server",_xlfn.XLOOKUP($K603&amp;"",SERVER!$B$3:$B$1009&amp;"",SERVER!$H$3:$H$1009,""),""),IF(TRIM(_xlpm.srcCat)&lt;&gt;TRIM($J603),"",_xlfn.SWITCH($I603,"Computer",_xlfn.XLOOKUP($K603&amp;"",COMPUTER!$B$3:$B$1009&amp;"",COMPUTER!$AM$3:$AM$1009,""),"Display",_xlfn.XLOOKUP($K603&amp;"",DISPLAY!$B$3:$B$1000&amp;"",DISPLAY!$V$3:$V$1000,""),"Network Device",_xlfn.XLOOKUP($K603&amp;"",'NETWORK-DEVICES'!$B$3:$B$987&amp;"",'NETWORK-DEVICES'!$AF$3:$AF$987,""),"Peripheral",_xlfn.XLOOKUP($K603&amp;"",PERIPHERAL!$B$3:$B$954&amp;"",PERIPHERAL!$Y$3:$Y$954,""),"Utilities",_xlfn.XLOOKUP($K603&amp;"",UTILITIES!$B$3:$B$953&amp;"",UTILITIES!$O$3:$O$953,""),"IOT",_xlfn.XLOOKUP($K603&amp;"",IOT!$B$3:$B$1012&amp;"",IOT!$AB$3:$AB$1012,""),"Server",_xlfn.XLOOKUP($K603&amp;"",SERVER!$B$3:$B$1009&amp;"",SERVER!$AB$3:$AB$1009,""),""))))</f>
        <v/>
      </c>
      <c r="R603" s="43" t="str">
        <f>IF(tbl_handover[[#This Row],[Asset Code]]="","",COUNTIF(tbl_handover[Asset Code],tbl_handover[[#This Row],[Asset Code]]))</f>
        <v/>
      </c>
    </row>
    <row r="604" spans="1:18" x14ac:dyDescent="0.25">
      <c r="A604" s="43" t="str">
        <f>IF(B604&lt;&gt;"",SUBTOTAL(3,$B$1:B603),"")</f>
        <v/>
      </c>
      <c r="C604" s="74"/>
      <c r="D604" s="74"/>
      <c r="G604" s="1"/>
      <c r="K604" s="42"/>
      <c r="L604" t="str" cm="1">
        <f t="array" ref="L604">IF($K604="","",_xlfn.SWITCH($I604,"Computer",_xlfn.XLOOKUP($K604&amp;"",COMPUTER!$B$3:$B$1009&amp;"",COMPUTER!$I$3:$I$1009,""),"Display",_xlfn.XLOOKUP($K604&amp;"",DISPLAY!$B$3:$B$1000&amp;"",DISPLAY!$J$3:$J$1000,""),"Network Device",_xlfn.XLOOKUP($K604&amp;"",'NETWORK-DEVICES'!$B$3:$B$987&amp;"",'NETWORK-DEVICES'!$I$3:$I$987,""),"Peripheral",_xlfn.XLOOKUP($K604&amp;"",PERIPHERAL!$B$3:$B$954&amp;"",PERIPHERAL!$I$3:$I$954,""),"Utilities",_xlfn.XLOOKUP($K604&amp;"",UTILITIES!$B$3:$B$953&amp;"",UTILITIES!$H$3:$H$953,""),"IOT",_xlfn.XLOOKUP($K604&amp;"",IOT!$B$3:$B$1012&amp;"",IOT!$I$3:$I$1012,""),"SERVER",_xlfn.XLOOKUP($K604&amp;"",SERVER!$B$3:$B$1009&amp;"",SERVER!$I$3:$I$1009,""),""))</f>
        <v/>
      </c>
      <c r="M604" t="str" cm="1">
        <f t="array" ref="M604">IF($K604="","",_xlfn.SWITCH($I604,"Computer",_xlfn.XLOOKUP($K604&amp;"",COMPUTER!$B$3:$B$1009&amp;"",COMPUTER!$J$3:$J$1009,""),"Display",_xlfn.XLOOKUP($K604&amp;"",DISPLAY!$B$3:$B$1000&amp;"",DISPLAY!$K$3:$K$1000,""),"Network Device",_xlfn.XLOOKUP($K604&amp;"",'NETWORK-DEVICES'!$B$3:$B$987&amp;"",'NETWORK-DEVICES'!$I$3:$I$987,""),"Peripheral",_xlfn.XLOOKUP($K604&amp;"",PERIPHERAL!$B$3:$B$954&amp;"",PERIPHERAL!$J$3:$J$954,""),"Utilities",_xlfn.XLOOKUP($K604&amp;"",UTILITIES!$B$3:$B$953&amp;"",UTILITIES!$I$3:$I$953,""),"IOT",_xlfn.XLOOKUP($K604&amp;"",IOT!$B$3:$B$1012&amp;"",IOT!$J$3:$J$1012,""),"Server",_xlfn.XLOOKUP($K604&amp;"",SERVER!$B$3:$B$1009&amp;"",SERVER!$J$3:$J$1009,""),""))</f>
        <v/>
      </c>
      <c r="N604" s="1" t="str" cm="1">
        <f t="array" ref="N604">IF(OR($K604="",$I604="",$J604=""),"",_xlfn.LET(_xlpm.srcCat,_xlfn.SWITCH($I604,"Computer",_xlfn.XLOOKUP($K604&amp;"",COMPUTER!$B$3:$B$1009&amp;"",COMPUTER!$H$3:$H$1009,""),"Display",_xlfn.XLOOKUP($K604&amp;"",DISPLAY!$B$3:$B$1000&amp;"",DISPLAY!$H$3:$H$1000,""),"Network Device",_xlfn.XLOOKUP($K604&amp;"",'NETWORK-DEVICES'!$B$3:$B$987&amp;"",'NETWORK-DEVICES'!$H$3:$H$987,""),"Peripheral",_xlfn.XLOOKUP($K604&amp;"",PERIPHERAL!$B$3:$B$954&amp;"",PERIPHERAL!$H$3:$H$954,""),"Utilities",_xlfn.XLOOKUP($K604&amp;"",UTILITIES!$B$3:$B$953&amp;"",UTILITIES!$G$3:$G$953,""),"IOT",_xlfn.XLOOKUP($K604&amp;"",IOT!$B$3:$B$1012&amp;"",IOT!$H$3:$H$1012,""),"Server",_xlfn.XLOOKUP($K604&amp;"",SERVER!$B$3:$B$1009&amp;"",SERVER!$H$3:$H$1009,""),""),IF(TRIM(_xlpm.srcCat)&lt;&gt;TRIM($J604),"",_xlfn.SWITCH($I604,"Computer",_xlfn.XLOOKUP($K604&amp;"",COMPUTER!$B$3:$B$1009&amp;"",COMPUTER!$K$3:$K$1009,""),"Display",_xlfn.XLOOKUP($K604&amp;"",DISPLAY!$B$3:$B$1000&amp;"",DISPLAY!$L$3:$L$1000,""),"Network Device",_xlfn.XLOOKUP($K604&amp;"",'NETWORK-DEVICES'!$B$3:$B$987&amp;"",'NETWORK-DEVICES'!$K$3:$K$987,""),"Peripheral",_xlfn.XLOOKUP($K604&amp;"",PERIPHERAL!$B$3:$B$954&amp;"",PERIPHERAL!$K$3:$K$954,""),"Utilities",_xlfn.XLOOKUP($K604&amp;"",UTILITIES!$B$3:$B$953&amp;"",UTILITIES!$J$3:$J$953,""),"IOT",_xlfn.XLOOKUP($K604&amp;"",IOT!$B$3:$B$1012&amp;"",IOT!$K$4:$K$1012,""),"Server",_xlfn.XLOOKUP($K604&amp;"",SERVER!$B$3:$B$1009&amp;"",SERVER!$K$3:$K$1009,""),""))))</f>
        <v/>
      </c>
      <c r="O604" s="1" t="str" cm="1">
        <f t="array" ref="O604">IF(OR($K604="",$I604="",$J604=""),"",_xlfn.LET(_xlpm.srcCat,_xlfn.SWITCH($I604,"Computer",_xlfn.XLOOKUP($K604&amp;"",COMPUTER!$B$3:$B$1009&amp;"",COMPUTER!$H$3:$H$1009,""),"Display",_xlfn.XLOOKUP($K604&amp;"",DISPLAY!$B$3:$B$1000&amp;"",DISPLAY!$H$3:$H$1000,""),"Network Device",_xlfn.XLOOKUP($K604&amp;"",'NETWORK-DEVICES'!$B$3:$B$987&amp;"",'NETWORK-DEVICES'!$H$3:$H$987,""),"Peripheral",_xlfn.XLOOKUP($K604&amp;"",PERIPHERAL!$B$3:$B$954&amp;"",PERIPHERAL!$H$3:$H$954,""),"Utilities",_xlfn.XLOOKUP($K604&amp;"",UTILITIES!$B$3:$B$953&amp;"",UTILITIES!$G$3:$G$953,""),"IOT",_xlfn.XLOOKUP($K604&amp;"",IOT!$B$3:$B$1012&amp;"",IOT!$H$3:$H$1012,""),"Server",_xlfn.XLOOKUP($K604&amp;"",SERVER!$B$3:$B$1009&amp;"",SERVER!$H$3:$H$1009,""),""),IF(TRIM(_xlpm.srcCat)&lt;&gt;TRIM($J604),"",_xlfn.SWITCH($I604,"Computer",_xlfn.XLOOKUP($K604&amp;"",COMPUTER!$B$3:$B$1009&amp;"",COMPUTER!$E$3:$E$1009,""),"Display",_xlfn.XLOOKUP($K604&amp;"",DISPLAY!$B$3:$B$1000&amp;"",DISPLAY!$E$3:$E$1000,""),"Network Device",_xlfn.XLOOKUP($K604&amp;"",'NETWORK-DEVICES'!$B$3:$B$987&amp;"",'NETWORK-DEVICES'!$E$3:$E$987,""),"Peripheral",_xlfn.XLOOKUP($K604&amp;"",PERIPHERAL!$B$3:$B$954&amp;"",PERIPHERAL!$E$3:$E$954,""),"Utilities",_xlfn.XLOOKUP($K604&amp;"",UTILITIES!$B$3:$B$953&amp;"",UTILITIES!$E$3:$E$953,""),"IOT",_xlfn.XLOOKUP($K604&amp;"",IOT!$B$3:$B$1012&amp;"",IOT!$E$3:$E$1012,""),"Server",_xlfn.XLOOKUP($K604&amp;"",SERVER!$B$3:$B$1009&amp;"",SERVER!$E$3:$E$1009,""),""))))</f>
        <v/>
      </c>
      <c r="Q604" s="1" t="str" cm="1">
        <f t="array" ref="Q604">IF(OR($K604="",$I604="",$J604=""),"",_xlfn.LET(_xlpm.srcCat,_xlfn.SWITCH($I604,"Computer",_xlfn.XLOOKUP($K604&amp;"",COMPUTER!$B$3:$B$1009&amp;"",COMPUTER!$H$3:$H$1009,""),"Display",_xlfn.XLOOKUP($K604&amp;"",DISPLAY!$B$3:$B$1000&amp;"",DISPLAY!$H$3:$H$1000,""),"Network Device",_xlfn.XLOOKUP($K604&amp;"",'NETWORK-DEVICES'!$B$3:$B$987&amp;"",'NETWORK-DEVICES'!$H$3:$H$987,""),"Peripheral",_xlfn.XLOOKUP($K604&amp;"",PERIPHERAL!$B$3:$B$954&amp;"",PERIPHERAL!$H$3:$H$954,""),"Utilities",_xlfn.XLOOKUP($K604&amp;"",UTILITIES!$B$3:$B$953&amp;"",UTILITIES!$G$3:$G$953,""),"IOT",_xlfn.XLOOKUP($K604&amp;"",IOT!$B$3:$B$1012&amp;"",IOT!$H$3:$H$1012,""),"Server",_xlfn.XLOOKUP($K604&amp;"",SERVER!$B$3:$B$1009&amp;"",SERVER!$H$3:$H$1009,""),""),IF(TRIM(_xlpm.srcCat)&lt;&gt;TRIM($J604),"",_xlfn.SWITCH($I604,"Computer",_xlfn.XLOOKUP($K604&amp;"",COMPUTER!$B$3:$B$1009&amp;"",COMPUTER!$AM$3:$AM$1009,""),"Display",_xlfn.XLOOKUP($K604&amp;"",DISPLAY!$B$3:$B$1000&amp;"",DISPLAY!$V$3:$V$1000,""),"Network Device",_xlfn.XLOOKUP($K604&amp;"",'NETWORK-DEVICES'!$B$3:$B$987&amp;"",'NETWORK-DEVICES'!$AF$3:$AF$987,""),"Peripheral",_xlfn.XLOOKUP($K604&amp;"",PERIPHERAL!$B$3:$B$954&amp;"",PERIPHERAL!$Y$3:$Y$954,""),"Utilities",_xlfn.XLOOKUP($K604&amp;"",UTILITIES!$B$3:$B$953&amp;"",UTILITIES!$O$3:$O$953,""),"IOT",_xlfn.XLOOKUP($K604&amp;"",IOT!$B$3:$B$1012&amp;"",IOT!$AB$3:$AB$1012,""),"Server",_xlfn.XLOOKUP($K604&amp;"",SERVER!$B$3:$B$1009&amp;"",SERVER!$AB$3:$AB$1009,""),""))))</f>
        <v/>
      </c>
      <c r="R604" s="43" t="str">
        <f>IF(tbl_handover[[#This Row],[Asset Code]]="","",COUNTIF(tbl_handover[Asset Code],tbl_handover[[#This Row],[Asset Code]]))</f>
        <v/>
      </c>
    </row>
    <row r="605" spans="1:18" x14ac:dyDescent="0.25">
      <c r="A605" s="43" t="str">
        <f>IF(B605&lt;&gt;"",SUBTOTAL(3,$B$1:B604),"")</f>
        <v/>
      </c>
      <c r="C605" s="74"/>
      <c r="D605" s="74"/>
      <c r="G605" s="1"/>
      <c r="K605" s="42"/>
      <c r="L605" t="str" cm="1">
        <f t="array" ref="L605">IF($K605="","",_xlfn.SWITCH($I605,"Computer",_xlfn.XLOOKUP($K605&amp;"",COMPUTER!$B$3:$B$1009&amp;"",COMPUTER!$I$3:$I$1009,""),"Display",_xlfn.XLOOKUP($K605&amp;"",DISPLAY!$B$3:$B$1000&amp;"",DISPLAY!$J$3:$J$1000,""),"Network Device",_xlfn.XLOOKUP($K605&amp;"",'NETWORK-DEVICES'!$B$3:$B$987&amp;"",'NETWORK-DEVICES'!$I$3:$I$987,""),"Peripheral",_xlfn.XLOOKUP($K605&amp;"",PERIPHERAL!$B$3:$B$954&amp;"",PERIPHERAL!$I$3:$I$954,""),"Utilities",_xlfn.XLOOKUP($K605&amp;"",UTILITIES!$B$3:$B$953&amp;"",UTILITIES!$H$3:$H$953,""),"IOT",_xlfn.XLOOKUP($K605&amp;"",IOT!$B$3:$B$1012&amp;"",IOT!$I$3:$I$1012,""),"SERVER",_xlfn.XLOOKUP($K605&amp;"",SERVER!$B$3:$B$1009&amp;"",SERVER!$I$3:$I$1009,""),""))</f>
        <v/>
      </c>
      <c r="M605" t="str" cm="1">
        <f t="array" ref="M605">IF($K605="","",_xlfn.SWITCH($I605,"Computer",_xlfn.XLOOKUP($K605&amp;"",COMPUTER!$B$3:$B$1009&amp;"",COMPUTER!$J$3:$J$1009,""),"Display",_xlfn.XLOOKUP($K605&amp;"",DISPLAY!$B$3:$B$1000&amp;"",DISPLAY!$K$3:$K$1000,""),"Network Device",_xlfn.XLOOKUP($K605&amp;"",'NETWORK-DEVICES'!$B$3:$B$987&amp;"",'NETWORK-DEVICES'!$I$3:$I$987,""),"Peripheral",_xlfn.XLOOKUP($K605&amp;"",PERIPHERAL!$B$3:$B$954&amp;"",PERIPHERAL!$J$3:$J$954,""),"Utilities",_xlfn.XLOOKUP($K605&amp;"",UTILITIES!$B$3:$B$953&amp;"",UTILITIES!$I$3:$I$953,""),"IOT",_xlfn.XLOOKUP($K605&amp;"",IOT!$B$3:$B$1012&amp;"",IOT!$J$3:$J$1012,""),"Server",_xlfn.XLOOKUP($K605&amp;"",SERVER!$B$3:$B$1009&amp;"",SERVER!$J$3:$J$1009,""),""))</f>
        <v/>
      </c>
      <c r="N605" s="1" t="str" cm="1">
        <f t="array" ref="N605">IF(OR($K605="",$I605="",$J605=""),"",_xlfn.LET(_xlpm.srcCat,_xlfn.SWITCH($I605,"Computer",_xlfn.XLOOKUP($K605&amp;"",COMPUTER!$B$3:$B$1009&amp;"",COMPUTER!$H$3:$H$1009,""),"Display",_xlfn.XLOOKUP($K605&amp;"",DISPLAY!$B$3:$B$1000&amp;"",DISPLAY!$H$3:$H$1000,""),"Network Device",_xlfn.XLOOKUP($K605&amp;"",'NETWORK-DEVICES'!$B$3:$B$987&amp;"",'NETWORK-DEVICES'!$H$3:$H$987,""),"Peripheral",_xlfn.XLOOKUP($K605&amp;"",PERIPHERAL!$B$3:$B$954&amp;"",PERIPHERAL!$H$3:$H$954,""),"Utilities",_xlfn.XLOOKUP($K605&amp;"",UTILITIES!$B$3:$B$953&amp;"",UTILITIES!$G$3:$G$953,""),"IOT",_xlfn.XLOOKUP($K605&amp;"",IOT!$B$3:$B$1012&amp;"",IOT!$H$3:$H$1012,""),"Server",_xlfn.XLOOKUP($K605&amp;"",SERVER!$B$3:$B$1009&amp;"",SERVER!$H$3:$H$1009,""),""),IF(TRIM(_xlpm.srcCat)&lt;&gt;TRIM($J605),"",_xlfn.SWITCH($I605,"Computer",_xlfn.XLOOKUP($K605&amp;"",COMPUTER!$B$3:$B$1009&amp;"",COMPUTER!$K$3:$K$1009,""),"Display",_xlfn.XLOOKUP($K605&amp;"",DISPLAY!$B$3:$B$1000&amp;"",DISPLAY!$L$3:$L$1000,""),"Network Device",_xlfn.XLOOKUP($K605&amp;"",'NETWORK-DEVICES'!$B$3:$B$987&amp;"",'NETWORK-DEVICES'!$K$3:$K$987,""),"Peripheral",_xlfn.XLOOKUP($K605&amp;"",PERIPHERAL!$B$3:$B$954&amp;"",PERIPHERAL!$K$3:$K$954,""),"Utilities",_xlfn.XLOOKUP($K605&amp;"",UTILITIES!$B$3:$B$953&amp;"",UTILITIES!$J$3:$J$953,""),"IOT",_xlfn.XLOOKUP($K605&amp;"",IOT!$B$3:$B$1012&amp;"",IOT!$K$4:$K$1012,""),"Server",_xlfn.XLOOKUP($K605&amp;"",SERVER!$B$3:$B$1009&amp;"",SERVER!$K$3:$K$1009,""),""))))</f>
        <v/>
      </c>
      <c r="O605" s="1" t="str" cm="1">
        <f t="array" ref="O605">IF(OR($K605="",$I605="",$J605=""),"",_xlfn.LET(_xlpm.srcCat,_xlfn.SWITCH($I605,"Computer",_xlfn.XLOOKUP($K605&amp;"",COMPUTER!$B$3:$B$1009&amp;"",COMPUTER!$H$3:$H$1009,""),"Display",_xlfn.XLOOKUP($K605&amp;"",DISPLAY!$B$3:$B$1000&amp;"",DISPLAY!$H$3:$H$1000,""),"Network Device",_xlfn.XLOOKUP($K605&amp;"",'NETWORK-DEVICES'!$B$3:$B$987&amp;"",'NETWORK-DEVICES'!$H$3:$H$987,""),"Peripheral",_xlfn.XLOOKUP($K605&amp;"",PERIPHERAL!$B$3:$B$954&amp;"",PERIPHERAL!$H$3:$H$954,""),"Utilities",_xlfn.XLOOKUP($K605&amp;"",UTILITIES!$B$3:$B$953&amp;"",UTILITIES!$G$3:$G$953,""),"IOT",_xlfn.XLOOKUP($K605&amp;"",IOT!$B$3:$B$1012&amp;"",IOT!$H$3:$H$1012,""),"Server",_xlfn.XLOOKUP($K605&amp;"",SERVER!$B$3:$B$1009&amp;"",SERVER!$H$3:$H$1009,""),""),IF(TRIM(_xlpm.srcCat)&lt;&gt;TRIM($J605),"",_xlfn.SWITCH($I605,"Computer",_xlfn.XLOOKUP($K605&amp;"",COMPUTER!$B$3:$B$1009&amp;"",COMPUTER!$E$3:$E$1009,""),"Display",_xlfn.XLOOKUP($K605&amp;"",DISPLAY!$B$3:$B$1000&amp;"",DISPLAY!$E$3:$E$1000,""),"Network Device",_xlfn.XLOOKUP($K605&amp;"",'NETWORK-DEVICES'!$B$3:$B$987&amp;"",'NETWORK-DEVICES'!$E$3:$E$987,""),"Peripheral",_xlfn.XLOOKUP($K605&amp;"",PERIPHERAL!$B$3:$B$954&amp;"",PERIPHERAL!$E$3:$E$954,""),"Utilities",_xlfn.XLOOKUP($K605&amp;"",UTILITIES!$B$3:$B$953&amp;"",UTILITIES!$E$3:$E$953,""),"IOT",_xlfn.XLOOKUP($K605&amp;"",IOT!$B$3:$B$1012&amp;"",IOT!$E$3:$E$1012,""),"Server",_xlfn.XLOOKUP($K605&amp;"",SERVER!$B$3:$B$1009&amp;"",SERVER!$E$3:$E$1009,""),""))))</f>
        <v/>
      </c>
      <c r="Q605" s="1" t="str" cm="1">
        <f t="array" ref="Q605">IF(OR($K605="",$I605="",$J605=""),"",_xlfn.LET(_xlpm.srcCat,_xlfn.SWITCH($I605,"Computer",_xlfn.XLOOKUP($K605&amp;"",COMPUTER!$B$3:$B$1009&amp;"",COMPUTER!$H$3:$H$1009,""),"Display",_xlfn.XLOOKUP($K605&amp;"",DISPLAY!$B$3:$B$1000&amp;"",DISPLAY!$H$3:$H$1000,""),"Network Device",_xlfn.XLOOKUP($K605&amp;"",'NETWORK-DEVICES'!$B$3:$B$987&amp;"",'NETWORK-DEVICES'!$H$3:$H$987,""),"Peripheral",_xlfn.XLOOKUP($K605&amp;"",PERIPHERAL!$B$3:$B$954&amp;"",PERIPHERAL!$H$3:$H$954,""),"Utilities",_xlfn.XLOOKUP($K605&amp;"",UTILITIES!$B$3:$B$953&amp;"",UTILITIES!$G$3:$G$953,""),"IOT",_xlfn.XLOOKUP($K605&amp;"",IOT!$B$3:$B$1012&amp;"",IOT!$H$3:$H$1012,""),"Server",_xlfn.XLOOKUP($K605&amp;"",SERVER!$B$3:$B$1009&amp;"",SERVER!$H$3:$H$1009,""),""),IF(TRIM(_xlpm.srcCat)&lt;&gt;TRIM($J605),"",_xlfn.SWITCH($I605,"Computer",_xlfn.XLOOKUP($K605&amp;"",COMPUTER!$B$3:$B$1009&amp;"",COMPUTER!$AM$3:$AM$1009,""),"Display",_xlfn.XLOOKUP($K605&amp;"",DISPLAY!$B$3:$B$1000&amp;"",DISPLAY!$V$3:$V$1000,""),"Network Device",_xlfn.XLOOKUP($K605&amp;"",'NETWORK-DEVICES'!$B$3:$B$987&amp;"",'NETWORK-DEVICES'!$AF$3:$AF$987,""),"Peripheral",_xlfn.XLOOKUP($K605&amp;"",PERIPHERAL!$B$3:$B$954&amp;"",PERIPHERAL!$Y$3:$Y$954,""),"Utilities",_xlfn.XLOOKUP($K605&amp;"",UTILITIES!$B$3:$B$953&amp;"",UTILITIES!$O$3:$O$953,""),"IOT",_xlfn.XLOOKUP($K605&amp;"",IOT!$B$3:$B$1012&amp;"",IOT!$AB$3:$AB$1012,""),"Server",_xlfn.XLOOKUP($K605&amp;"",SERVER!$B$3:$B$1009&amp;"",SERVER!$AB$3:$AB$1009,""),""))))</f>
        <v/>
      </c>
      <c r="R605" s="43" t="str">
        <f>IF(tbl_handover[[#This Row],[Asset Code]]="","",COUNTIF(tbl_handover[Asset Code],tbl_handover[[#This Row],[Asset Code]]))</f>
        <v/>
      </c>
    </row>
    <row r="606" spans="1:18" x14ac:dyDescent="0.25">
      <c r="A606" s="43" t="str">
        <f>IF(B606&lt;&gt;"",SUBTOTAL(3,$B$1:B605),"")</f>
        <v/>
      </c>
      <c r="C606" s="74"/>
      <c r="D606" s="74"/>
      <c r="G606" s="1"/>
      <c r="K606" s="42"/>
      <c r="L606" t="str" cm="1">
        <f t="array" ref="L606">IF($K606="","",_xlfn.SWITCH($I606,"Computer",_xlfn.XLOOKUP($K606&amp;"",COMPUTER!$B$3:$B$1009&amp;"",COMPUTER!$I$3:$I$1009,""),"Display",_xlfn.XLOOKUP($K606&amp;"",DISPLAY!$B$3:$B$1000&amp;"",DISPLAY!$J$3:$J$1000,""),"Network Device",_xlfn.XLOOKUP($K606&amp;"",'NETWORK-DEVICES'!$B$3:$B$987&amp;"",'NETWORK-DEVICES'!$I$3:$I$987,""),"Peripheral",_xlfn.XLOOKUP($K606&amp;"",PERIPHERAL!$B$3:$B$954&amp;"",PERIPHERAL!$I$3:$I$954,""),"Utilities",_xlfn.XLOOKUP($K606&amp;"",UTILITIES!$B$3:$B$953&amp;"",UTILITIES!$H$3:$H$953,""),"IOT",_xlfn.XLOOKUP($K606&amp;"",IOT!$B$3:$B$1012&amp;"",IOT!$I$3:$I$1012,""),"SERVER",_xlfn.XLOOKUP($K606&amp;"",SERVER!$B$3:$B$1009&amp;"",SERVER!$I$3:$I$1009,""),""))</f>
        <v/>
      </c>
      <c r="M606" t="str" cm="1">
        <f t="array" ref="M606">IF($K606="","",_xlfn.SWITCH($I606,"Computer",_xlfn.XLOOKUP($K606&amp;"",COMPUTER!$B$3:$B$1009&amp;"",COMPUTER!$J$3:$J$1009,""),"Display",_xlfn.XLOOKUP($K606&amp;"",DISPLAY!$B$3:$B$1000&amp;"",DISPLAY!$K$3:$K$1000,""),"Network Device",_xlfn.XLOOKUP($K606&amp;"",'NETWORK-DEVICES'!$B$3:$B$987&amp;"",'NETWORK-DEVICES'!$I$3:$I$987,""),"Peripheral",_xlfn.XLOOKUP($K606&amp;"",PERIPHERAL!$B$3:$B$954&amp;"",PERIPHERAL!$J$3:$J$954,""),"Utilities",_xlfn.XLOOKUP($K606&amp;"",UTILITIES!$B$3:$B$953&amp;"",UTILITIES!$I$3:$I$953,""),"IOT",_xlfn.XLOOKUP($K606&amp;"",IOT!$B$3:$B$1012&amp;"",IOT!$J$3:$J$1012,""),"Server",_xlfn.XLOOKUP($K606&amp;"",SERVER!$B$3:$B$1009&amp;"",SERVER!$J$3:$J$1009,""),""))</f>
        <v/>
      </c>
      <c r="N606" s="1" t="str" cm="1">
        <f t="array" ref="N606">IF(OR($K606="",$I606="",$J606=""),"",_xlfn.LET(_xlpm.srcCat,_xlfn.SWITCH($I606,"Computer",_xlfn.XLOOKUP($K606&amp;"",COMPUTER!$B$3:$B$1009&amp;"",COMPUTER!$H$3:$H$1009,""),"Display",_xlfn.XLOOKUP($K606&amp;"",DISPLAY!$B$3:$B$1000&amp;"",DISPLAY!$H$3:$H$1000,""),"Network Device",_xlfn.XLOOKUP($K606&amp;"",'NETWORK-DEVICES'!$B$3:$B$987&amp;"",'NETWORK-DEVICES'!$H$3:$H$987,""),"Peripheral",_xlfn.XLOOKUP($K606&amp;"",PERIPHERAL!$B$3:$B$954&amp;"",PERIPHERAL!$H$3:$H$954,""),"Utilities",_xlfn.XLOOKUP($K606&amp;"",UTILITIES!$B$3:$B$953&amp;"",UTILITIES!$G$3:$G$953,""),"IOT",_xlfn.XLOOKUP($K606&amp;"",IOT!$B$3:$B$1012&amp;"",IOT!$H$3:$H$1012,""),"Server",_xlfn.XLOOKUP($K606&amp;"",SERVER!$B$3:$B$1009&amp;"",SERVER!$H$3:$H$1009,""),""),IF(TRIM(_xlpm.srcCat)&lt;&gt;TRIM($J606),"",_xlfn.SWITCH($I606,"Computer",_xlfn.XLOOKUP($K606&amp;"",COMPUTER!$B$3:$B$1009&amp;"",COMPUTER!$K$3:$K$1009,""),"Display",_xlfn.XLOOKUP($K606&amp;"",DISPLAY!$B$3:$B$1000&amp;"",DISPLAY!$L$3:$L$1000,""),"Network Device",_xlfn.XLOOKUP($K606&amp;"",'NETWORK-DEVICES'!$B$3:$B$987&amp;"",'NETWORK-DEVICES'!$K$3:$K$987,""),"Peripheral",_xlfn.XLOOKUP($K606&amp;"",PERIPHERAL!$B$3:$B$954&amp;"",PERIPHERAL!$K$3:$K$954,""),"Utilities",_xlfn.XLOOKUP($K606&amp;"",UTILITIES!$B$3:$B$953&amp;"",UTILITIES!$J$3:$J$953,""),"IOT",_xlfn.XLOOKUP($K606&amp;"",IOT!$B$3:$B$1012&amp;"",IOT!$K$4:$K$1012,""),"Server",_xlfn.XLOOKUP($K606&amp;"",SERVER!$B$3:$B$1009&amp;"",SERVER!$K$3:$K$1009,""),""))))</f>
        <v/>
      </c>
      <c r="O606" s="1" t="str" cm="1">
        <f t="array" ref="O606">IF(OR($K606="",$I606="",$J606=""),"",_xlfn.LET(_xlpm.srcCat,_xlfn.SWITCH($I606,"Computer",_xlfn.XLOOKUP($K606&amp;"",COMPUTER!$B$3:$B$1009&amp;"",COMPUTER!$H$3:$H$1009,""),"Display",_xlfn.XLOOKUP($K606&amp;"",DISPLAY!$B$3:$B$1000&amp;"",DISPLAY!$H$3:$H$1000,""),"Network Device",_xlfn.XLOOKUP($K606&amp;"",'NETWORK-DEVICES'!$B$3:$B$987&amp;"",'NETWORK-DEVICES'!$H$3:$H$987,""),"Peripheral",_xlfn.XLOOKUP($K606&amp;"",PERIPHERAL!$B$3:$B$954&amp;"",PERIPHERAL!$H$3:$H$954,""),"Utilities",_xlfn.XLOOKUP($K606&amp;"",UTILITIES!$B$3:$B$953&amp;"",UTILITIES!$G$3:$G$953,""),"IOT",_xlfn.XLOOKUP($K606&amp;"",IOT!$B$3:$B$1012&amp;"",IOT!$H$3:$H$1012,""),"Server",_xlfn.XLOOKUP($K606&amp;"",SERVER!$B$3:$B$1009&amp;"",SERVER!$H$3:$H$1009,""),""),IF(TRIM(_xlpm.srcCat)&lt;&gt;TRIM($J606),"",_xlfn.SWITCH($I606,"Computer",_xlfn.XLOOKUP($K606&amp;"",COMPUTER!$B$3:$B$1009&amp;"",COMPUTER!$E$3:$E$1009,""),"Display",_xlfn.XLOOKUP($K606&amp;"",DISPLAY!$B$3:$B$1000&amp;"",DISPLAY!$E$3:$E$1000,""),"Network Device",_xlfn.XLOOKUP($K606&amp;"",'NETWORK-DEVICES'!$B$3:$B$987&amp;"",'NETWORK-DEVICES'!$E$3:$E$987,""),"Peripheral",_xlfn.XLOOKUP($K606&amp;"",PERIPHERAL!$B$3:$B$954&amp;"",PERIPHERAL!$E$3:$E$954,""),"Utilities",_xlfn.XLOOKUP($K606&amp;"",UTILITIES!$B$3:$B$953&amp;"",UTILITIES!$E$3:$E$953,""),"IOT",_xlfn.XLOOKUP($K606&amp;"",IOT!$B$3:$B$1012&amp;"",IOT!$E$3:$E$1012,""),"Server",_xlfn.XLOOKUP($K606&amp;"",SERVER!$B$3:$B$1009&amp;"",SERVER!$E$3:$E$1009,""),""))))</f>
        <v/>
      </c>
      <c r="Q606" s="1" t="str" cm="1">
        <f t="array" ref="Q606">IF(OR($K606="",$I606="",$J606=""),"",_xlfn.LET(_xlpm.srcCat,_xlfn.SWITCH($I606,"Computer",_xlfn.XLOOKUP($K606&amp;"",COMPUTER!$B$3:$B$1009&amp;"",COMPUTER!$H$3:$H$1009,""),"Display",_xlfn.XLOOKUP($K606&amp;"",DISPLAY!$B$3:$B$1000&amp;"",DISPLAY!$H$3:$H$1000,""),"Network Device",_xlfn.XLOOKUP($K606&amp;"",'NETWORK-DEVICES'!$B$3:$B$987&amp;"",'NETWORK-DEVICES'!$H$3:$H$987,""),"Peripheral",_xlfn.XLOOKUP($K606&amp;"",PERIPHERAL!$B$3:$B$954&amp;"",PERIPHERAL!$H$3:$H$954,""),"Utilities",_xlfn.XLOOKUP($K606&amp;"",UTILITIES!$B$3:$B$953&amp;"",UTILITIES!$G$3:$G$953,""),"IOT",_xlfn.XLOOKUP($K606&amp;"",IOT!$B$3:$B$1012&amp;"",IOT!$H$3:$H$1012,""),"Server",_xlfn.XLOOKUP($K606&amp;"",SERVER!$B$3:$B$1009&amp;"",SERVER!$H$3:$H$1009,""),""),IF(TRIM(_xlpm.srcCat)&lt;&gt;TRIM($J606),"",_xlfn.SWITCH($I606,"Computer",_xlfn.XLOOKUP($K606&amp;"",COMPUTER!$B$3:$B$1009&amp;"",COMPUTER!$AM$3:$AM$1009,""),"Display",_xlfn.XLOOKUP($K606&amp;"",DISPLAY!$B$3:$B$1000&amp;"",DISPLAY!$V$3:$V$1000,""),"Network Device",_xlfn.XLOOKUP($K606&amp;"",'NETWORK-DEVICES'!$B$3:$B$987&amp;"",'NETWORK-DEVICES'!$AF$3:$AF$987,""),"Peripheral",_xlfn.XLOOKUP($K606&amp;"",PERIPHERAL!$B$3:$B$954&amp;"",PERIPHERAL!$Y$3:$Y$954,""),"Utilities",_xlfn.XLOOKUP($K606&amp;"",UTILITIES!$B$3:$B$953&amp;"",UTILITIES!$O$3:$O$953,""),"IOT",_xlfn.XLOOKUP($K606&amp;"",IOT!$B$3:$B$1012&amp;"",IOT!$AB$3:$AB$1012,""),"Server",_xlfn.XLOOKUP($K606&amp;"",SERVER!$B$3:$B$1009&amp;"",SERVER!$AB$3:$AB$1009,""),""))))</f>
        <v/>
      </c>
      <c r="R606" s="43" t="str">
        <f>IF(tbl_handover[[#This Row],[Asset Code]]="","",COUNTIF(tbl_handover[Asset Code],tbl_handover[[#This Row],[Asset Code]]))</f>
        <v/>
      </c>
    </row>
    <row r="607" spans="1:18" x14ac:dyDescent="0.25">
      <c r="A607" s="43" t="str">
        <f>IF(B607&lt;&gt;"",SUBTOTAL(3,$B$1:B606),"")</f>
        <v/>
      </c>
      <c r="C607" s="74"/>
      <c r="D607" s="74"/>
      <c r="G607" s="1"/>
      <c r="K607" s="42"/>
      <c r="L607" t="str" cm="1">
        <f t="array" ref="L607">IF($K607="","",_xlfn.SWITCH($I607,"Computer",_xlfn.XLOOKUP($K607&amp;"",COMPUTER!$B$3:$B$1009&amp;"",COMPUTER!$I$3:$I$1009,""),"Display",_xlfn.XLOOKUP($K607&amp;"",DISPLAY!$B$3:$B$1000&amp;"",DISPLAY!$J$3:$J$1000,""),"Network Device",_xlfn.XLOOKUP($K607&amp;"",'NETWORK-DEVICES'!$B$3:$B$987&amp;"",'NETWORK-DEVICES'!$I$3:$I$987,""),"Peripheral",_xlfn.XLOOKUP($K607&amp;"",PERIPHERAL!$B$3:$B$954&amp;"",PERIPHERAL!$I$3:$I$954,""),"Utilities",_xlfn.XLOOKUP($K607&amp;"",UTILITIES!$B$3:$B$953&amp;"",UTILITIES!$H$3:$H$953,""),"IOT",_xlfn.XLOOKUP($K607&amp;"",IOT!$B$3:$B$1012&amp;"",IOT!$I$3:$I$1012,""),"SERVER",_xlfn.XLOOKUP($K607&amp;"",SERVER!$B$3:$B$1009&amp;"",SERVER!$I$3:$I$1009,""),""))</f>
        <v/>
      </c>
      <c r="M607" t="str" cm="1">
        <f t="array" ref="M607">IF($K607="","",_xlfn.SWITCH($I607,"Computer",_xlfn.XLOOKUP($K607&amp;"",COMPUTER!$B$3:$B$1009&amp;"",COMPUTER!$J$3:$J$1009,""),"Display",_xlfn.XLOOKUP($K607&amp;"",DISPLAY!$B$3:$B$1000&amp;"",DISPLAY!$K$3:$K$1000,""),"Network Device",_xlfn.XLOOKUP($K607&amp;"",'NETWORK-DEVICES'!$B$3:$B$987&amp;"",'NETWORK-DEVICES'!$I$3:$I$987,""),"Peripheral",_xlfn.XLOOKUP($K607&amp;"",PERIPHERAL!$B$3:$B$954&amp;"",PERIPHERAL!$J$3:$J$954,""),"Utilities",_xlfn.XLOOKUP($K607&amp;"",UTILITIES!$B$3:$B$953&amp;"",UTILITIES!$I$3:$I$953,""),"IOT",_xlfn.XLOOKUP($K607&amp;"",IOT!$B$3:$B$1012&amp;"",IOT!$J$3:$J$1012,""),"Server",_xlfn.XLOOKUP($K607&amp;"",SERVER!$B$3:$B$1009&amp;"",SERVER!$J$3:$J$1009,""),""))</f>
        <v/>
      </c>
      <c r="N607" s="1" t="str" cm="1">
        <f t="array" ref="N607">IF(OR($K607="",$I607="",$J607=""),"",_xlfn.LET(_xlpm.srcCat,_xlfn.SWITCH($I607,"Computer",_xlfn.XLOOKUP($K607&amp;"",COMPUTER!$B$3:$B$1009&amp;"",COMPUTER!$H$3:$H$1009,""),"Display",_xlfn.XLOOKUP($K607&amp;"",DISPLAY!$B$3:$B$1000&amp;"",DISPLAY!$H$3:$H$1000,""),"Network Device",_xlfn.XLOOKUP($K607&amp;"",'NETWORK-DEVICES'!$B$3:$B$987&amp;"",'NETWORK-DEVICES'!$H$3:$H$987,""),"Peripheral",_xlfn.XLOOKUP($K607&amp;"",PERIPHERAL!$B$3:$B$954&amp;"",PERIPHERAL!$H$3:$H$954,""),"Utilities",_xlfn.XLOOKUP($K607&amp;"",UTILITIES!$B$3:$B$953&amp;"",UTILITIES!$G$3:$G$953,""),"IOT",_xlfn.XLOOKUP($K607&amp;"",IOT!$B$3:$B$1012&amp;"",IOT!$H$3:$H$1012,""),"Server",_xlfn.XLOOKUP($K607&amp;"",SERVER!$B$3:$B$1009&amp;"",SERVER!$H$3:$H$1009,""),""),IF(TRIM(_xlpm.srcCat)&lt;&gt;TRIM($J607),"",_xlfn.SWITCH($I607,"Computer",_xlfn.XLOOKUP($K607&amp;"",COMPUTER!$B$3:$B$1009&amp;"",COMPUTER!$K$3:$K$1009,""),"Display",_xlfn.XLOOKUP($K607&amp;"",DISPLAY!$B$3:$B$1000&amp;"",DISPLAY!$L$3:$L$1000,""),"Network Device",_xlfn.XLOOKUP($K607&amp;"",'NETWORK-DEVICES'!$B$3:$B$987&amp;"",'NETWORK-DEVICES'!$K$3:$K$987,""),"Peripheral",_xlfn.XLOOKUP($K607&amp;"",PERIPHERAL!$B$3:$B$954&amp;"",PERIPHERAL!$K$3:$K$954,""),"Utilities",_xlfn.XLOOKUP($K607&amp;"",UTILITIES!$B$3:$B$953&amp;"",UTILITIES!$J$3:$J$953,""),"IOT",_xlfn.XLOOKUP($K607&amp;"",IOT!$B$3:$B$1012&amp;"",IOT!$K$4:$K$1012,""),"Server",_xlfn.XLOOKUP($K607&amp;"",SERVER!$B$3:$B$1009&amp;"",SERVER!$K$3:$K$1009,""),""))))</f>
        <v/>
      </c>
      <c r="O607" s="1" t="str" cm="1">
        <f t="array" ref="O607">IF(OR($K607="",$I607="",$J607=""),"",_xlfn.LET(_xlpm.srcCat,_xlfn.SWITCH($I607,"Computer",_xlfn.XLOOKUP($K607&amp;"",COMPUTER!$B$3:$B$1009&amp;"",COMPUTER!$H$3:$H$1009,""),"Display",_xlfn.XLOOKUP($K607&amp;"",DISPLAY!$B$3:$B$1000&amp;"",DISPLAY!$H$3:$H$1000,""),"Network Device",_xlfn.XLOOKUP($K607&amp;"",'NETWORK-DEVICES'!$B$3:$B$987&amp;"",'NETWORK-DEVICES'!$H$3:$H$987,""),"Peripheral",_xlfn.XLOOKUP($K607&amp;"",PERIPHERAL!$B$3:$B$954&amp;"",PERIPHERAL!$H$3:$H$954,""),"Utilities",_xlfn.XLOOKUP($K607&amp;"",UTILITIES!$B$3:$B$953&amp;"",UTILITIES!$G$3:$G$953,""),"IOT",_xlfn.XLOOKUP($K607&amp;"",IOT!$B$3:$B$1012&amp;"",IOT!$H$3:$H$1012,""),"Server",_xlfn.XLOOKUP($K607&amp;"",SERVER!$B$3:$B$1009&amp;"",SERVER!$H$3:$H$1009,""),""),IF(TRIM(_xlpm.srcCat)&lt;&gt;TRIM($J607),"",_xlfn.SWITCH($I607,"Computer",_xlfn.XLOOKUP($K607&amp;"",COMPUTER!$B$3:$B$1009&amp;"",COMPUTER!$E$3:$E$1009,""),"Display",_xlfn.XLOOKUP($K607&amp;"",DISPLAY!$B$3:$B$1000&amp;"",DISPLAY!$E$3:$E$1000,""),"Network Device",_xlfn.XLOOKUP($K607&amp;"",'NETWORK-DEVICES'!$B$3:$B$987&amp;"",'NETWORK-DEVICES'!$E$3:$E$987,""),"Peripheral",_xlfn.XLOOKUP($K607&amp;"",PERIPHERAL!$B$3:$B$954&amp;"",PERIPHERAL!$E$3:$E$954,""),"Utilities",_xlfn.XLOOKUP($K607&amp;"",UTILITIES!$B$3:$B$953&amp;"",UTILITIES!$E$3:$E$953,""),"IOT",_xlfn.XLOOKUP($K607&amp;"",IOT!$B$3:$B$1012&amp;"",IOT!$E$3:$E$1012,""),"Server",_xlfn.XLOOKUP($K607&amp;"",SERVER!$B$3:$B$1009&amp;"",SERVER!$E$3:$E$1009,""),""))))</f>
        <v/>
      </c>
      <c r="Q607" s="1" t="str" cm="1">
        <f t="array" ref="Q607">IF(OR($K607="",$I607="",$J607=""),"",_xlfn.LET(_xlpm.srcCat,_xlfn.SWITCH($I607,"Computer",_xlfn.XLOOKUP($K607&amp;"",COMPUTER!$B$3:$B$1009&amp;"",COMPUTER!$H$3:$H$1009,""),"Display",_xlfn.XLOOKUP($K607&amp;"",DISPLAY!$B$3:$B$1000&amp;"",DISPLAY!$H$3:$H$1000,""),"Network Device",_xlfn.XLOOKUP($K607&amp;"",'NETWORK-DEVICES'!$B$3:$B$987&amp;"",'NETWORK-DEVICES'!$H$3:$H$987,""),"Peripheral",_xlfn.XLOOKUP($K607&amp;"",PERIPHERAL!$B$3:$B$954&amp;"",PERIPHERAL!$H$3:$H$954,""),"Utilities",_xlfn.XLOOKUP($K607&amp;"",UTILITIES!$B$3:$B$953&amp;"",UTILITIES!$G$3:$G$953,""),"IOT",_xlfn.XLOOKUP($K607&amp;"",IOT!$B$3:$B$1012&amp;"",IOT!$H$3:$H$1012,""),"Server",_xlfn.XLOOKUP($K607&amp;"",SERVER!$B$3:$B$1009&amp;"",SERVER!$H$3:$H$1009,""),""),IF(TRIM(_xlpm.srcCat)&lt;&gt;TRIM($J607),"",_xlfn.SWITCH($I607,"Computer",_xlfn.XLOOKUP($K607&amp;"",COMPUTER!$B$3:$B$1009&amp;"",COMPUTER!$AM$3:$AM$1009,""),"Display",_xlfn.XLOOKUP($K607&amp;"",DISPLAY!$B$3:$B$1000&amp;"",DISPLAY!$V$3:$V$1000,""),"Network Device",_xlfn.XLOOKUP($K607&amp;"",'NETWORK-DEVICES'!$B$3:$B$987&amp;"",'NETWORK-DEVICES'!$AF$3:$AF$987,""),"Peripheral",_xlfn.XLOOKUP($K607&amp;"",PERIPHERAL!$B$3:$B$954&amp;"",PERIPHERAL!$Y$3:$Y$954,""),"Utilities",_xlfn.XLOOKUP($K607&amp;"",UTILITIES!$B$3:$B$953&amp;"",UTILITIES!$O$3:$O$953,""),"IOT",_xlfn.XLOOKUP($K607&amp;"",IOT!$B$3:$B$1012&amp;"",IOT!$AB$3:$AB$1012,""),"Server",_xlfn.XLOOKUP($K607&amp;"",SERVER!$B$3:$B$1009&amp;"",SERVER!$AB$3:$AB$1009,""),""))))</f>
        <v/>
      </c>
      <c r="R607" s="43" t="str">
        <f>IF(tbl_handover[[#This Row],[Asset Code]]="","",COUNTIF(tbl_handover[Asset Code],tbl_handover[[#This Row],[Asset Code]]))</f>
        <v/>
      </c>
    </row>
    <row r="608" spans="1:18" x14ac:dyDescent="0.25">
      <c r="A608" s="43" t="str">
        <f>IF(B608&lt;&gt;"",SUBTOTAL(3,$B$1:B607),"")</f>
        <v/>
      </c>
      <c r="C608" s="74"/>
      <c r="D608" s="74"/>
      <c r="G608" s="1"/>
      <c r="K608" s="42"/>
      <c r="L608" t="str" cm="1">
        <f t="array" ref="L608">IF($K608="","",_xlfn.SWITCH($I608,"Computer",_xlfn.XLOOKUP($K608&amp;"",COMPUTER!$B$3:$B$1009&amp;"",COMPUTER!$I$3:$I$1009,""),"Display",_xlfn.XLOOKUP($K608&amp;"",DISPLAY!$B$3:$B$1000&amp;"",DISPLAY!$J$3:$J$1000,""),"Network Device",_xlfn.XLOOKUP($K608&amp;"",'NETWORK-DEVICES'!$B$3:$B$987&amp;"",'NETWORK-DEVICES'!$I$3:$I$987,""),"Peripheral",_xlfn.XLOOKUP($K608&amp;"",PERIPHERAL!$B$3:$B$954&amp;"",PERIPHERAL!$I$3:$I$954,""),"Utilities",_xlfn.XLOOKUP($K608&amp;"",UTILITIES!$B$3:$B$953&amp;"",UTILITIES!$H$3:$H$953,""),"IOT",_xlfn.XLOOKUP($K608&amp;"",IOT!$B$3:$B$1012&amp;"",IOT!$I$3:$I$1012,""),"SERVER",_xlfn.XLOOKUP($K608&amp;"",SERVER!$B$3:$B$1009&amp;"",SERVER!$I$3:$I$1009,""),""))</f>
        <v/>
      </c>
      <c r="M608" t="str" cm="1">
        <f t="array" ref="M608">IF($K608="","",_xlfn.SWITCH($I608,"Computer",_xlfn.XLOOKUP($K608&amp;"",COMPUTER!$B$3:$B$1009&amp;"",COMPUTER!$J$3:$J$1009,""),"Display",_xlfn.XLOOKUP($K608&amp;"",DISPLAY!$B$3:$B$1000&amp;"",DISPLAY!$K$3:$K$1000,""),"Network Device",_xlfn.XLOOKUP($K608&amp;"",'NETWORK-DEVICES'!$B$3:$B$987&amp;"",'NETWORK-DEVICES'!$I$3:$I$987,""),"Peripheral",_xlfn.XLOOKUP($K608&amp;"",PERIPHERAL!$B$3:$B$954&amp;"",PERIPHERAL!$J$3:$J$954,""),"Utilities",_xlfn.XLOOKUP($K608&amp;"",UTILITIES!$B$3:$B$953&amp;"",UTILITIES!$I$3:$I$953,""),"IOT",_xlfn.XLOOKUP($K608&amp;"",IOT!$B$3:$B$1012&amp;"",IOT!$J$3:$J$1012,""),"Server",_xlfn.XLOOKUP($K608&amp;"",SERVER!$B$3:$B$1009&amp;"",SERVER!$J$3:$J$1009,""),""))</f>
        <v/>
      </c>
      <c r="N608" s="1" t="str" cm="1">
        <f t="array" ref="N608">IF(OR($K608="",$I608="",$J608=""),"",_xlfn.LET(_xlpm.srcCat,_xlfn.SWITCH($I608,"Computer",_xlfn.XLOOKUP($K608&amp;"",COMPUTER!$B$3:$B$1009&amp;"",COMPUTER!$H$3:$H$1009,""),"Display",_xlfn.XLOOKUP($K608&amp;"",DISPLAY!$B$3:$B$1000&amp;"",DISPLAY!$H$3:$H$1000,""),"Network Device",_xlfn.XLOOKUP($K608&amp;"",'NETWORK-DEVICES'!$B$3:$B$987&amp;"",'NETWORK-DEVICES'!$H$3:$H$987,""),"Peripheral",_xlfn.XLOOKUP($K608&amp;"",PERIPHERAL!$B$3:$B$954&amp;"",PERIPHERAL!$H$3:$H$954,""),"Utilities",_xlfn.XLOOKUP($K608&amp;"",UTILITIES!$B$3:$B$953&amp;"",UTILITIES!$G$3:$G$953,""),"IOT",_xlfn.XLOOKUP($K608&amp;"",IOT!$B$3:$B$1012&amp;"",IOT!$H$3:$H$1012,""),"Server",_xlfn.XLOOKUP($K608&amp;"",SERVER!$B$3:$B$1009&amp;"",SERVER!$H$3:$H$1009,""),""),IF(TRIM(_xlpm.srcCat)&lt;&gt;TRIM($J608),"",_xlfn.SWITCH($I608,"Computer",_xlfn.XLOOKUP($K608&amp;"",COMPUTER!$B$3:$B$1009&amp;"",COMPUTER!$K$3:$K$1009,""),"Display",_xlfn.XLOOKUP($K608&amp;"",DISPLAY!$B$3:$B$1000&amp;"",DISPLAY!$L$3:$L$1000,""),"Network Device",_xlfn.XLOOKUP($K608&amp;"",'NETWORK-DEVICES'!$B$3:$B$987&amp;"",'NETWORK-DEVICES'!$K$3:$K$987,""),"Peripheral",_xlfn.XLOOKUP($K608&amp;"",PERIPHERAL!$B$3:$B$954&amp;"",PERIPHERAL!$K$3:$K$954,""),"Utilities",_xlfn.XLOOKUP($K608&amp;"",UTILITIES!$B$3:$B$953&amp;"",UTILITIES!$J$3:$J$953,""),"IOT",_xlfn.XLOOKUP($K608&amp;"",IOT!$B$3:$B$1012&amp;"",IOT!$K$4:$K$1012,""),"Server",_xlfn.XLOOKUP($K608&amp;"",SERVER!$B$3:$B$1009&amp;"",SERVER!$K$3:$K$1009,""),""))))</f>
        <v/>
      </c>
      <c r="O608" s="1" t="str" cm="1">
        <f t="array" ref="O608">IF(OR($K608="",$I608="",$J608=""),"",_xlfn.LET(_xlpm.srcCat,_xlfn.SWITCH($I608,"Computer",_xlfn.XLOOKUP($K608&amp;"",COMPUTER!$B$3:$B$1009&amp;"",COMPUTER!$H$3:$H$1009,""),"Display",_xlfn.XLOOKUP($K608&amp;"",DISPLAY!$B$3:$B$1000&amp;"",DISPLAY!$H$3:$H$1000,""),"Network Device",_xlfn.XLOOKUP($K608&amp;"",'NETWORK-DEVICES'!$B$3:$B$987&amp;"",'NETWORK-DEVICES'!$H$3:$H$987,""),"Peripheral",_xlfn.XLOOKUP($K608&amp;"",PERIPHERAL!$B$3:$B$954&amp;"",PERIPHERAL!$H$3:$H$954,""),"Utilities",_xlfn.XLOOKUP($K608&amp;"",UTILITIES!$B$3:$B$953&amp;"",UTILITIES!$G$3:$G$953,""),"IOT",_xlfn.XLOOKUP($K608&amp;"",IOT!$B$3:$B$1012&amp;"",IOT!$H$3:$H$1012,""),"Server",_xlfn.XLOOKUP($K608&amp;"",SERVER!$B$3:$B$1009&amp;"",SERVER!$H$3:$H$1009,""),""),IF(TRIM(_xlpm.srcCat)&lt;&gt;TRIM($J608),"",_xlfn.SWITCH($I608,"Computer",_xlfn.XLOOKUP($K608&amp;"",COMPUTER!$B$3:$B$1009&amp;"",COMPUTER!$E$3:$E$1009,""),"Display",_xlfn.XLOOKUP($K608&amp;"",DISPLAY!$B$3:$B$1000&amp;"",DISPLAY!$E$3:$E$1000,""),"Network Device",_xlfn.XLOOKUP($K608&amp;"",'NETWORK-DEVICES'!$B$3:$B$987&amp;"",'NETWORK-DEVICES'!$E$3:$E$987,""),"Peripheral",_xlfn.XLOOKUP($K608&amp;"",PERIPHERAL!$B$3:$B$954&amp;"",PERIPHERAL!$E$3:$E$954,""),"Utilities",_xlfn.XLOOKUP($K608&amp;"",UTILITIES!$B$3:$B$953&amp;"",UTILITIES!$E$3:$E$953,""),"IOT",_xlfn.XLOOKUP($K608&amp;"",IOT!$B$3:$B$1012&amp;"",IOT!$E$3:$E$1012,""),"Server",_xlfn.XLOOKUP($K608&amp;"",SERVER!$B$3:$B$1009&amp;"",SERVER!$E$3:$E$1009,""),""))))</f>
        <v/>
      </c>
      <c r="Q608" s="1" t="str" cm="1">
        <f t="array" ref="Q608">IF(OR($K608="",$I608="",$J608=""),"",_xlfn.LET(_xlpm.srcCat,_xlfn.SWITCH($I608,"Computer",_xlfn.XLOOKUP($K608&amp;"",COMPUTER!$B$3:$B$1009&amp;"",COMPUTER!$H$3:$H$1009,""),"Display",_xlfn.XLOOKUP($K608&amp;"",DISPLAY!$B$3:$B$1000&amp;"",DISPLAY!$H$3:$H$1000,""),"Network Device",_xlfn.XLOOKUP($K608&amp;"",'NETWORK-DEVICES'!$B$3:$B$987&amp;"",'NETWORK-DEVICES'!$H$3:$H$987,""),"Peripheral",_xlfn.XLOOKUP($K608&amp;"",PERIPHERAL!$B$3:$B$954&amp;"",PERIPHERAL!$H$3:$H$954,""),"Utilities",_xlfn.XLOOKUP($K608&amp;"",UTILITIES!$B$3:$B$953&amp;"",UTILITIES!$G$3:$G$953,""),"IOT",_xlfn.XLOOKUP($K608&amp;"",IOT!$B$3:$B$1012&amp;"",IOT!$H$3:$H$1012,""),"Server",_xlfn.XLOOKUP($K608&amp;"",SERVER!$B$3:$B$1009&amp;"",SERVER!$H$3:$H$1009,""),""),IF(TRIM(_xlpm.srcCat)&lt;&gt;TRIM($J608),"",_xlfn.SWITCH($I608,"Computer",_xlfn.XLOOKUP($K608&amp;"",COMPUTER!$B$3:$B$1009&amp;"",COMPUTER!$AM$3:$AM$1009,""),"Display",_xlfn.XLOOKUP($K608&amp;"",DISPLAY!$B$3:$B$1000&amp;"",DISPLAY!$V$3:$V$1000,""),"Network Device",_xlfn.XLOOKUP($K608&amp;"",'NETWORK-DEVICES'!$B$3:$B$987&amp;"",'NETWORK-DEVICES'!$AF$3:$AF$987,""),"Peripheral",_xlfn.XLOOKUP($K608&amp;"",PERIPHERAL!$B$3:$B$954&amp;"",PERIPHERAL!$Y$3:$Y$954,""),"Utilities",_xlfn.XLOOKUP($K608&amp;"",UTILITIES!$B$3:$B$953&amp;"",UTILITIES!$O$3:$O$953,""),"IOT",_xlfn.XLOOKUP($K608&amp;"",IOT!$B$3:$B$1012&amp;"",IOT!$AB$3:$AB$1012,""),"Server",_xlfn.XLOOKUP($K608&amp;"",SERVER!$B$3:$B$1009&amp;"",SERVER!$AB$3:$AB$1009,""),""))))</f>
        <v/>
      </c>
      <c r="R608" s="43" t="str">
        <f>IF(tbl_handover[[#This Row],[Asset Code]]="","",COUNTIF(tbl_handover[Asset Code],tbl_handover[[#This Row],[Asset Code]]))</f>
        <v/>
      </c>
    </row>
    <row r="609" spans="1:18" x14ac:dyDescent="0.25">
      <c r="A609" s="43" t="str">
        <f>IF(B609&lt;&gt;"",SUBTOTAL(3,$B$1:B608),"")</f>
        <v/>
      </c>
      <c r="C609" s="74"/>
      <c r="D609" s="74"/>
      <c r="G609" s="1"/>
      <c r="K609" s="42"/>
      <c r="L609" t="str" cm="1">
        <f t="array" ref="L609">IF($K609="","",_xlfn.SWITCH($I609,"Computer",_xlfn.XLOOKUP($K609&amp;"",COMPUTER!$B$3:$B$1009&amp;"",COMPUTER!$I$3:$I$1009,""),"Display",_xlfn.XLOOKUP($K609&amp;"",DISPLAY!$B$3:$B$1000&amp;"",DISPLAY!$J$3:$J$1000,""),"Network Device",_xlfn.XLOOKUP($K609&amp;"",'NETWORK-DEVICES'!$B$3:$B$987&amp;"",'NETWORK-DEVICES'!$I$3:$I$987,""),"Peripheral",_xlfn.XLOOKUP($K609&amp;"",PERIPHERAL!$B$3:$B$954&amp;"",PERIPHERAL!$I$3:$I$954,""),"Utilities",_xlfn.XLOOKUP($K609&amp;"",UTILITIES!$B$3:$B$953&amp;"",UTILITIES!$H$3:$H$953,""),"IOT",_xlfn.XLOOKUP($K609&amp;"",IOT!$B$3:$B$1012&amp;"",IOT!$I$3:$I$1012,""),"SERVER",_xlfn.XLOOKUP($K609&amp;"",SERVER!$B$3:$B$1009&amp;"",SERVER!$I$3:$I$1009,""),""))</f>
        <v/>
      </c>
      <c r="M609" t="str" cm="1">
        <f t="array" ref="M609">IF($K609="","",_xlfn.SWITCH($I609,"Computer",_xlfn.XLOOKUP($K609&amp;"",COMPUTER!$B$3:$B$1009&amp;"",COMPUTER!$J$3:$J$1009,""),"Display",_xlfn.XLOOKUP($K609&amp;"",DISPLAY!$B$3:$B$1000&amp;"",DISPLAY!$K$3:$K$1000,""),"Network Device",_xlfn.XLOOKUP($K609&amp;"",'NETWORK-DEVICES'!$B$3:$B$987&amp;"",'NETWORK-DEVICES'!$I$3:$I$987,""),"Peripheral",_xlfn.XLOOKUP($K609&amp;"",PERIPHERAL!$B$3:$B$954&amp;"",PERIPHERAL!$J$3:$J$954,""),"Utilities",_xlfn.XLOOKUP($K609&amp;"",UTILITIES!$B$3:$B$953&amp;"",UTILITIES!$I$3:$I$953,""),"IOT",_xlfn.XLOOKUP($K609&amp;"",IOT!$B$3:$B$1012&amp;"",IOT!$J$3:$J$1012,""),"Server",_xlfn.XLOOKUP($K609&amp;"",SERVER!$B$3:$B$1009&amp;"",SERVER!$J$3:$J$1009,""),""))</f>
        <v/>
      </c>
      <c r="N609" s="1" t="str" cm="1">
        <f t="array" ref="N609">IF(OR($K609="",$I609="",$J609=""),"",_xlfn.LET(_xlpm.srcCat,_xlfn.SWITCH($I609,"Computer",_xlfn.XLOOKUP($K609&amp;"",COMPUTER!$B$3:$B$1009&amp;"",COMPUTER!$H$3:$H$1009,""),"Display",_xlfn.XLOOKUP($K609&amp;"",DISPLAY!$B$3:$B$1000&amp;"",DISPLAY!$H$3:$H$1000,""),"Network Device",_xlfn.XLOOKUP($K609&amp;"",'NETWORK-DEVICES'!$B$3:$B$987&amp;"",'NETWORK-DEVICES'!$H$3:$H$987,""),"Peripheral",_xlfn.XLOOKUP($K609&amp;"",PERIPHERAL!$B$3:$B$954&amp;"",PERIPHERAL!$H$3:$H$954,""),"Utilities",_xlfn.XLOOKUP($K609&amp;"",UTILITIES!$B$3:$B$953&amp;"",UTILITIES!$G$3:$G$953,""),"IOT",_xlfn.XLOOKUP($K609&amp;"",IOT!$B$3:$B$1012&amp;"",IOT!$H$3:$H$1012,""),"Server",_xlfn.XLOOKUP($K609&amp;"",SERVER!$B$3:$B$1009&amp;"",SERVER!$H$3:$H$1009,""),""),IF(TRIM(_xlpm.srcCat)&lt;&gt;TRIM($J609),"",_xlfn.SWITCH($I609,"Computer",_xlfn.XLOOKUP($K609&amp;"",COMPUTER!$B$3:$B$1009&amp;"",COMPUTER!$K$3:$K$1009,""),"Display",_xlfn.XLOOKUP($K609&amp;"",DISPLAY!$B$3:$B$1000&amp;"",DISPLAY!$L$3:$L$1000,""),"Network Device",_xlfn.XLOOKUP($K609&amp;"",'NETWORK-DEVICES'!$B$3:$B$987&amp;"",'NETWORK-DEVICES'!$K$3:$K$987,""),"Peripheral",_xlfn.XLOOKUP($K609&amp;"",PERIPHERAL!$B$3:$B$954&amp;"",PERIPHERAL!$K$3:$K$954,""),"Utilities",_xlfn.XLOOKUP($K609&amp;"",UTILITIES!$B$3:$B$953&amp;"",UTILITIES!$J$3:$J$953,""),"IOT",_xlfn.XLOOKUP($K609&amp;"",IOT!$B$3:$B$1012&amp;"",IOT!$K$4:$K$1012,""),"Server",_xlfn.XLOOKUP($K609&amp;"",SERVER!$B$3:$B$1009&amp;"",SERVER!$K$3:$K$1009,""),""))))</f>
        <v/>
      </c>
      <c r="O609" s="1" t="str" cm="1">
        <f t="array" ref="O609">IF(OR($K609="",$I609="",$J609=""),"",_xlfn.LET(_xlpm.srcCat,_xlfn.SWITCH($I609,"Computer",_xlfn.XLOOKUP($K609&amp;"",COMPUTER!$B$3:$B$1009&amp;"",COMPUTER!$H$3:$H$1009,""),"Display",_xlfn.XLOOKUP($K609&amp;"",DISPLAY!$B$3:$B$1000&amp;"",DISPLAY!$H$3:$H$1000,""),"Network Device",_xlfn.XLOOKUP($K609&amp;"",'NETWORK-DEVICES'!$B$3:$B$987&amp;"",'NETWORK-DEVICES'!$H$3:$H$987,""),"Peripheral",_xlfn.XLOOKUP($K609&amp;"",PERIPHERAL!$B$3:$B$954&amp;"",PERIPHERAL!$H$3:$H$954,""),"Utilities",_xlfn.XLOOKUP($K609&amp;"",UTILITIES!$B$3:$B$953&amp;"",UTILITIES!$G$3:$G$953,""),"IOT",_xlfn.XLOOKUP($K609&amp;"",IOT!$B$3:$B$1012&amp;"",IOT!$H$3:$H$1012,""),"Server",_xlfn.XLOOKUP($K609&amp;"",SERVER!$B$3:$B$1009&amp;"",SERVER!$H$3:$H$1009,""),""),IF(TRIM(_xlpm.srcCat)&lt;&gt;TRIM($J609),"",_xlfn.SWITCH($I609,"Computer",_xlfn.XLOOKUP($K609&amp;"",COMPUTER!$B$3:$B$1009&amp;"",COMPUTER!$E$3:$E$1009,""),"Display",_xlfn.XLOOKUP($K609&amp;"",DISPLAY!$B$3:$B$1000&amp;"",DISPLAY!$E$3:$E$1000,""),"Network Device",_xlfn.XLOOKUP($K609&amp;"",'NETWORK-DEVICES'!$B$3:$B$987&amp;"",'NETWORK-DEVICES'!$E$3:$E$987,""),"Peripheral",_xlfn.XLOOKUP($K609&amp;"",PERIPHERAL!$B$3:$B$954&amp;"",PERIPHERAL!$E$3:$E$954,""),"Utilities",_xlfn.XLOOKUP($K609&amp;"",UTILITIES!$B$3:$B$953&amp;"",UTILITIES!$E$3:$E$953,""),"IOT",_xlfn.XLOOKUP($K609&amp;"",IOT!$B$3:$B$1012&amp;"",IOT!$E$3:$E$1012,""),"Server",_xlfn.XLOOKUP($K609&amp;"",SERVER!$B$3:$B$1009&amp;"",SERVER!$E$3:$E$1009,""),""))))</f>
        <v/>
      </c>
      <c r="Q609" s="1" t="str" cm="1">
        <f t="array" ref="Q609">IF(OR($K609="",$I609="",$J609=""),"",_xlfn.LET(_xlpm.srcCat,_xlfn.SWITCH($I609,"Computer",_xlfn.XLOOKUP($K609&amp;"",COMPUTER!$B$3:$B$1009&amp;"",COMPUTER!$H$3:$H$1009,""),"Display",_xlfn.XLOOKUP($K609&amp;"",DISPLAY!$B$3:$B$1000&amp;"",DISPLAY!$H$3:$H$1000,""),"Network Device",_xlfn.XLOOKUP($K609&amp;"",'NETWORK-DEVICES'!$B$3:$B$987&amp;"",'NETWORK-DEVICES'!$H$3:$H$987,""),"Peripheral",_xlfn.XLOOKUP($K609&amp;"",PERIPHERAL!$B$3:$B$954&amp;"",PERIPHERAL!$H$3:$H$954,""),"Utilities",_xlfn.XLOOKUP($K609&amp;"",UTILITIES!$B$3:$B$953&amp;"",UTILITIES!$G$3:$G$953,""),"IOT",_xlfn.XLOOKUP($K609&amp;"",IOT!$B$3:$B$1012&amp;"",IOT!$H$3:$H$1012,""),"Server",_xlfn.XLOOKUP($K609&amp;"",SERVER!$B$3:$B$1009&amp;"",SERVER!$H$3:$H$1009,""),""),IF(TRIM(_xlpm.srcCat)&lt;&gt;TRIM($J609),"",_xlfn.SWITCH($I609,"Computer",_xlfn.XLOOKUP($K609&amp;"",COMPUTER!$B$3:$B$1009&amp;"",COMPUTER!$AM$3:$AM$1009,""),"Display",_xlfn.XLOOKUP($K609&amp;"",DISPLAY!$B$3:$B$1000&amp;"",DISPLAY!$V$3:$V$1000,""),"Network Device",_xlfn.XLOOKUP($K609&amp;"",'NETWORK-DEVICES'!$B$3:$B$987&amp;"",'NETWORK-DEVICES'!$AF$3:$AF$987,""),"Peripheral",_xlfn.XLOOKUP($K609&amp;"",PERIPHERAL!$B$3:$B$954&amp;"",PERIPHERAL!$Y$3:$Y$954,""),"Utilities",_xlfn.XLOOKUP($K609&amp;"",UTILITIES!$B$3:$B$953&amp;"",UTILITIES!$O$3:$O$953,""),"IOT",_xlfn.XLOOKUP($K609&amp;"",IOT!$B$3:$B$1012&amp;"",IOT!$AB$3:$AB$1012,""),"Server",_xlfn.XLOOKUP($K609&amp;"",SERVER!$B$3:$B$1009&amp;"",SERVER!$AB$3:$AB$1009,""),""))))</f>
        <v/>
      </c>
      <c r="R609" s="43" t="str">
        <f>IF(tbl_handover[[#This Row],[Asset Code]]="","",COUNTIF(tbl_handover[Asset Code],tbl_handover[[#This Row],[Asset Code]]))</f>
        <v/>
      </c>
    </row>
    <row r="610" spans="1:18" x14ac:dyDescent="0.25">
      <c r="A610" s="43" t="str">
        <f>IF(B610&lt;&gt;"",SUBTOTAL(3,$B$1:B609),"")</f>
        <v/>
      </c>
      <c r="C610" s="74"/>
      <c r="D610" s="74"/>
      <c r="G610" s="1"/>
      <c r="K610" s="42"/>
      <c r="L610" t="str" cm="1">
        <f t="array" ref="L610">IF($K610="","",_xlfn.SWITCH($I610,"Computer",_xlfn.XLOOKUP($K610&amp;"",COMPUTER!$B$3:$B$1009&amp;"",COMPUTER!$I$3:$I$1009,""),"Display",_xlfn.XLOOKUP($K610&amp;"",DISPLAY!$B$3:$B$1000&amp;"",DISPLAY!$J$3:$J$1000,""),"Network Device",_xlfn.XLOOKUP($K610&amp;"",'NETWORK-DEVICES'!$B$3:$B$987&amp;"",'NETWORK-DEVICES'!$I$3:$I$987,""),"Peripheral",_xlfn.XLOOKUP($K610&amp;"",PERIPHERAL!$B$3:$B$954&amp;"",PERIPHERAL!$I$3:$I$954,""),"Utilities",_xlfn.XLOOKUP($K610&amp;"",UTILITIES!$B$3:$B$953&amp;"",UTILITIES!$H$3:$H$953,""),"IOT",_xlfn.XLOOKUP($K610&amp;"",IOT!$B$3:$B$1012&amp;"",IOT!$I$3:$I$1012,""),"SERVER",_xlfn.XLOOKUP($K610&amp;"",SERVER!$B$3:$B$1009&amp;"",SERVER!$I$3:$I$1009,""),""))</f>
        <v/>
      </c>
      <c r="M610" t="str" cm="1">
        <f t="array" ref="M610">IF($K610="","",_xlfn.SWITCH($I610,"Computer",_xlfn.XLOOKUP($K610&amp;"",COMPUTER!$B$3:$B$1009&amp;"",COMPUTER!$J$3:$J$1009,""),"Display",_xlfn.XLOOKUP($K610&amp;"",DISPLAY!$B$3:$B$1000&amp;"",DISPLAY!$K$3:$K$1000,""),"Network Device",_xlfn.XLOOKUP($K610&amp;"",'NETWORK-DEVICES'!$B$3:$B$987&amp;"",'NETWORK-DEVICES'!$I$3:$I$987,""),"Peripheral",_xlfn.XLOOKUP($K610&amp;"",PERIPHERAL!$B$3:$B$954&amp;"",PERIPHERAL!$J$3:$J$954,""),"Utilities",_xlfn.XLOOKUP($K610&amp;"",UTILITIES!$B$3:$B$953&amp;"",UTILITIES!$I$3:$I$953,""),"IOT",_xlfn.XLOOKUP($K610&amp;"",IOT!$B$3:$B$1012&amp;"",IOT!$J$3:$J$1012,""),"Server",_xlfn.XLOOKUP($K610&amp;"",SERVER!$B$3:$B$1009&amp;"",SERVER!$J$3:$J$1009,""),""))</f>
        <v/>
      </c>
      <c r="N610" s="1" t="str" cm="1">
        <f t="array" ref="N610">IF(OR($K610="",$I610="",$J610=""),"",_xlfn.LET(_xlpm.srcCat,_xlfn.SWITCH($I610,"Computer",_xlfn.XLOOKUP($K610&amp;"",COMPUTER!$B$3:$B$1009&amp;"",COMPUTER!$H$3:$H$1009,""),"Display",_xlfn.XLOOKUP($K610&amp;"",DISPLAY!$B$3:$B$1000&amp;"",DISPLAY!$H$3:$H$1000,""),"Network Device",_xlfn.XLOOKUP($K610&amp;"",'NETWORK-DEVICES'!$B$3:$B$987&amp;"",'NETWORK-DEVICES'!$H$3:$H$987,""),"Peripheral",_xlfn.XLOOKUP($K610&amp;"",PERIPHERAL!$B$3:$B$954&amp;"",PERIPHERAL!$H$3:$H$954,""),"Utilities",_xlfn.XLOOKUP($K610&amp;"",UTILITIES!$B$3:$B$953&amp;"",UTILITIES!$G$3:$G$953,""),"IOT",_xlfn.XLOOKUP($K610&amp;"",IOT!$B$3:$B$1012&amp;"",IOT!$H$3:$H$1012,""),"Server",_xlfn.XLOOKUP($K610&amp;"",SERVER!$B$3:$B$1009&amp;"",SERVER!$H$3:$H$1009,""),""),IF(TRIM(_xlpm.srcCat)&lt;&gt;TRIM($J610),"",_xlfn.SWITCH($I610,"Computer",_xlfn.XLOOKUP($K610&amp;"",COMPUTER!$B$3:$B$1009&amp;"",COMPUTER!$K$3:$K$1009,""),"Display",_xlfn.XLOOKUP($K610&amp;"",DISPLAY!$B$3:$B$1000&amp;"",DISPLAY!$L$3:$L$1000,""),"Network Device",_xlfn.XLOOKUP($K610&amp;"",'NETWORK-DEVICES'!$B$3:$B$987&amp;"",'NETWORK-DEVICES'!$K$3:$K$987,""),"Peripheral",_xlfn.XLOOKUP($K610&amp;"",PERIPHERAL!$B$3:$B$954&amp;"",PERIPHERAL!$K$3:$K$954,""),"Utilities",_xlfn.XLOOKUP($K610&amp;"",UTILITIES!$B$3:$B$953&amp;"",UTILITIES!$J$3:$J$953,""),"IOT",_xlfn.XLOOKUP($K610&amp;"",IOT!$B$3:$B$1012&amp;"",IOT!$K$4:$K$1012,""),"Server",_xlfn.XLOOKUP($K610&amp;"",SERVER!$B$3:$B$1009&amp;"",SERVER!$K$3:$K$1009,""),""))))</f>
        <v/>
      </c>
      <c r="O610" s="1" t="str" cm="1">
        <f t="array" ref="O610">IF(OR($K610="",$I610="",$J610=""),"",_xlfn.LET(_xlpm.srcCat,_xlfn.SWITCH($I610,"Computer",_xlfn.XLOOKUP($K610&amp;"",COMPUTER!$B$3:$B$1009&amp;"",COMPUTER!$H$3:$H$1009,""),"Display",_xlfn.XLOOKUP($K610&amp;"",DISPLAY!$B$3:$B$1000&amp;"",DISPLAY!$H$3:$H$1000,""),"Network Device",_xlfn.XLOOKUP($K610&amp;"",'NETWORK-DEVICES'!$B$3:$B$987&amp;"",'NETWORK-DEVICES'!$H$3:$H$987,""),"Peripheral",_xlfn.XLOOKUP($K610&amp;"",PERIPHERAL!$B$3:$B$954&amp;"",PERIPHERAL!$H$3:$H$954,""),"Utilities",_xlfn.XLOOKUP($K610&amp;"",UTILITIES!$B$3:$B$953&amp;"",UTILITIES!$G$3:$G$953,""),"IOT",_xlfn.XLOOKUP($K610&amp;"",IOT!$B$3:$B$1012&amp;"",IOT!$H$3:$H$1012,""),"Server",_xlfn.XLOOKUP($K610&amp;"",SERVER!$B$3:$B$1009&amp;"",SERVER!$H$3:$H$1009,""),""),IF(TRIM(_xlpm.srcCat)&lt;&gt;TRIM($J610),"",_xlfn.SWITCH($I610,"Computer",_xlfn.XLOOKUP($K610&amp;"",COMPUTER!$B$3:$B$1009&amp;"",COMPUTER!$E$3:$E$1009,""),"Display",_xlfn.XLOOKUP($K610&amp;"",DISPLAY!$B$3:$B$1000&amp;"",DISPLAY!$E$3:$E$1000,""),"Network Device",_xlfn.XLOOKUP($K610&amp;"",'NETWORK-DEVICES'!$B$3:$B$987&amp;"",'NETWORK-DEVICES'!$E$3:$E$987,""),"Peripheral",_xlfn.XLOOKUP($K610&amp;"",PERIPHERAL!$B$3:$B$954&amp;"",PERIPHERAL!$E$3:$E$954,""),"Utilities",_xlfn.XLOOKUP($K610&amp;"",UTILITIES!$B$3:$B$953&amp;"",UTILITIES!$E$3:$E$953,""),"IOT",_xlfn.XLOOKUP($K610&amp;"",IOT!$B$3:$B$1012&amp;"",IOT!$E$3:$E$1012,""),"Server",_xlfn.XLOOKUP($K610&amp;"",SERVER!$B$3:$B$1009&amp;"",SERVER!$E$3:$E$1009,""),""))))</f>
        <v/>
      </c>
      <c r="Q610" s="1" t="str" cm="1">
        <f t="array" ref="Q610">IF(OR($K610="",$I610="",$J610=""),"",_xlfn.LET(_xlpm.srcCat,_xlfn.SWITCH($I610,"Computer",_xlfn.XLOOKUP($K610&amp;"",COMPUTER!$B$3:$B$1009&amp;"",COMPUTER!$H$3:$H$1009,""),"Display",_xlfn.XLOOKUP($K610&amp;"",DISPLAY!$B$3:$B$1000&amp;"",DISPLAY!$H$3:$H$1000,""),"Network Device",_xlfn.XLOOKUP($K610&amp;"",'NETWORK-DEVICES'!$B$3:$B$987&amp;"",'NETWORK-DEVICES'!$H$3:$H$987,""),"Peripheral",_xlfn.XLOOKUP($K610&amp;"",PERIPHERAL!$B$3:$B$954&amp;"",PERIPHERAL!$H$3:$H$954,""),"Utilities",_xlfn.XLOOKUP($K610&amp;"",UTILITIES!$B$3:$B$953&amp;"",UTILITIES!$G$3:$G$953,""),"IOT",_xlfn.XLOOKUP($K610&amp;"",IOT!$B$3:$B$1012&amp;"",IOT!$H$3:$H$1012,""),"Server",_xlfn.XLOOKUP($K610&amp;"",SERVER!$B$3:$B$1009&amp;"",SERVER!$H$3:$H$1009,""),""),IF(TRIM(_xlpm.srcCat)&lt;&gt;TRIM($J610),"",_xlfn.SWITCH($I610,"Computer",_xlfn.XLOOKUP($K610&amp;"",COMPUTER!$B$3:$B$1009&amp;"",COMPUTER!$AM$3:$AM$1009,""),"Display",_xlfn.XLOOKUP($K610&amp;"",DISPLAY!$B$3:$B$1000&amp;"",DISPLAY!$V$3:$V$1000,""),"Network Device",_xlfn.XLOOKUP($K610&amp;"",'NETWORK-DEVICES'!$B$3:$B$987&amp;"",'NETWORK-DEVICES'!$AF$3:$AF$987,""),"Peripheral",_xlfn.XLOOKUP($K610&amp;"",PERIPHERAL!$B$3:$B$954&amp;"",PERIPHERAL!$Y$3:$Y$954,""),"Utilities",_xlfn.XLOOKUP($K610&amp;"",UTILITIES!$B$3:$B$953&amp;"",UTILITIES!$O$3:$O$953,""),"IOT",_xlfn.XLOOKUP($K610&amp;"",IOT!$B$3:$B$1012&amp;"",IOT!$AB$3:$AB$1012,""),"Server",_xlfn.XLOOKUP($K610&amp;"",SERVER!$B$3:$B$1009&amp;"",SERVER!$AB$3:$AB$1009,""),""))))</f>
        <v/>
      </c>
      <c r="R610" s="43" t="str">
        <f>IF(tbl_handover[[#This Row],[Asset Code]]="","",COUNTIF(tbl_handover[Asset Code],tbl_handover[[#This Row],[Asset Code]]))</f>
        <v/>
      </c>
    </row>
    <row r="611" spans="1:18" x14ac:dyDescent="0.25">
      <c r="A611" s="43" t="str">
        <f>IF(B611&lt;&gt;"",SUBTOTAL(3,$B$1:B610),"")</f>
        <v/>
      </c>
      <c r="C611" s="74"/>
      <c r="D611" s="74"/>
      <c r="G611" s="1"/>
      <c r="K611" s="42"/>
      <c r="L611" t="str" cm="1">
        <f t="array" ref="L611">IF($K611="","",_xlfn.SWITCH($I611,"Computer",_xlfn.XLOOKUP($K611&amp;"",COMPUTER!$B$3:$B$1009&amp;"",COMPUTER!$I$3:$I$1009,""),"Display",_xlfn.XLOOKUP($K611&amp;"",DISPLAY!$B$3:$B$1000&amp;"",DISPLAY!$J$3:$J$1000,""),"Network Device",_xlfn.XLOOKUP($K611&amp;"",'NETWORK-DEVICES'!$B$3:$B$987&amp;"",'NETWORK-DEVICES'!$I$3:$I$987,""),"Peripheral",_xlfn.XLOOKUP($K611&amp;"",PERIPHERAL!$B$3:$B$954&amp;"",PERIPHERAL!$I$3:$I$954,""),"Utilities",_xlfn.XLOOKUP($K611&amp;"",UTILITIES!$B$3:$B$953&amp;"",UTILITIES!$H$3:$H$953,""),"IOT",_xlfn.XLOOKUP($K611&amp;"",IOT!$B$3:$B$1012&amp;"",IOT!$I$3:$I$1012,""),"SERVER",_xlfn.XLOOKUP($K611&amp;"",SERVER!$B$3:$B$1009&amp;"",SERVER!$I$3:$I$1009,""),""))</f>
        <v/>
      </c>
      <c r="M611" t="str" cm="1">
        <f t="array" ref="M611">IF($K611="","",_xlfn.SWITCH($I611,"Computer",_xlfn.XLOOKUP($K611&amp;"",COMPUTER!$B$3:$B$1009&amp;"",COMPUTER!$J$3:$J$1009,""),"Display",_xlfn.XLOOKUP($K611&amp;"",DISPLAY!$B$3:$B$1000&amp;"",DISPLAY!$K$3:$K$1000,""),"Network Device",_xlfn.XLOOKUP($K611&amp;"",'NETWORK-DEVICES'!$B$3:$B$987&amp;"",'NETWORK-DEVICES'!$I$3:$I$987,""),"Peripheral",_xlfn.XLOOKUP($K611&amp;"",PERIPHERAL!$B$3:$B$954&amp;"",PERIPHERAL!$J$3:$J$954,""),"Utilities",_xlfn.XLOOKUP($K611&amp;"",UTILITIES!$B$3:$B$953&amp;"",UTILITIES!$I$3:$I$953,""),"IOT",_xlfn.XLOOKUP($K611&amp;"",IOT!$B$3:$B$1012&amp;"",IOT!$J$3:$J$1012,""),"Server",_xlfn.XLOOKUP($K611&amp;"",SERVER!$B$3:$B$1009&amp;"",SERVER!$J$3:$J$1009,""),""))</f>
        <v/>
      </c>
      <c r="N611" s="1" t="str" cm="1">
        <f t="array" ref="N611">IF(OR($K611="",$I611="",$J611=""),"",_xlfn.LET(_xlpm.srcCat,_xlfn.SWITCH($I611,"Computer",_xlfn.XLOOKUP($K611&amp;"",COMPUTER!$B$3:$B$1009&amp;"",COMPUTER!$H$3:$H$1009,""),"Display",_xlfn.XLOOKUP($K611&amp;"",DISPLAY!$B$3:$B$1000&amp;"",DISPLAY!$H$3:$H$1000,""),"Network Device",_xlfn.XLOOKUP($K611&amp;"",'NETWORK-DEVICES'!$B$3:$B$987&amp;"",'NETWORK-DEVICES'!$H$3:$H$987,""),"Peripheral",_xlfn.XLOOKUP($K611&amp;"",PERIPHERAL!$B$3:$B$954&amp;"",PERIPHERAL!$H$3:$H$954,""),"Utilities",_xlfn.XLOOKUP($K611&amp;"",UTILITIES!$B$3:$B$953&amp;"",UTILITIES!$G$3:$G$953,""),"IOT",_xlfn.XLOOKUP($K611&amp;"",IOT!$B$3:$B$1012&amp;"",IOT!$H$3:$H$1012,""),"Server",_xlfn.XLOOKUP($K611&amp;"",SERVER!$B$3:$B$1009&amp;"",SERVER!$H$3:$H$1009,""),""),IF(TRIM(_xlpm.srcCat)&lt;&gt;TRIM($J611),"",_xlfn.SWITCH($I611,"Computer",_xlfn.XLOOKUP($K611&amp;"",COMPUTER!$B$3:$B$1009&amp;"",COMPUTER!$K$3:$K$1009,""),"Display",_xlfn.XLOOKUP($K611&amp;"",DISPLAY!$B$3:$B$1000&amp;"",DISPLAY!$L$3:$L$1000,""),"Network Device",_xlfn.XLOOKUP($K611&amp;"",'NETWORK-DEVICES'!$B$3:$B$987&amp;"",'NETWORK-DEVICES'!$K$3:$K$987,""),"Peripheral",_xlfn.XLOOKUP($K611&amp;"",PERIPHERAL!$B$3:$B$954&amp;"",PERIPHERAL!$K$3:$K$954,""),"Utilities",_xlfn.XLOOKUP($K611&amp;"",UTILITIES!$B$3:$B$953&amp;"",UTILITIES!$J$3:$J$953,""),"IOT",_xlfn.XLOOKUP($K611&amp;"",IOT!$B$3:$B$1012&amp;"",IOT!$K$4:$K$1012,""),"Server",_xlfn.XLOOKUP($K611&amp;"",SERVER!$B$3:$B$1009&amp;"",SERVER!$K$3:$K$1009,""),""))))</f>
        <v/>
      </c>
      <c r="O611" s="1" t="str" cm="1">
        <f t="array" ref="O611">IF(OR($K611="",$I611="",$J611=""),"",_xlfn.LET(_xlpm.srcCat,_xlfn.SWITCH($I611,"Computer",_xlfn.XLOOKUP($K611&amp;"",COMPUTER!$B$3:$B$1009&amp;"",COMPUTER!$H$3:$H$1009,""),"Display",_xlfn.XLOOKUP($K611&amp;"",DISPLAY!$B$3:$B$1000&amp;"",DISPLAY!$H$3:$H$1000,""),"Network Device",_xlfn.XLOOKUP($K611&amp;"",'NETWORK-DEVICES'!$B$3:$B$987&amp;"",'NETWORK-DEVICES'!$H$3:$H$987,""),"Peripheral",_xlfn.XLOOKUP($K611&amp;"",PERIPHERAL!$B$3:$B$954&amp;"",PERIPHERAL!$H$3:$H$954,""),"Utilities",_xlfn.XLOOKUP($K611&amp;"",UTILITIES!$B$3:$B$953&amp;"",UTILITIES!$G$3:$G$953,""),"IOT",_xlfn.XLOOKUP($K611&amp;"",IOT!$B$3:$B$1012&amp;"",IOT!$H$3:$H$1012,""),"Server",_xlfn.XLOOKUP($K611&amp;"",SERVER!$B$3:$B$1009&amp;"",SERVER!$H$3:$H$1009,""),""),IF(TRIM(_xlpm.srcCat)&lt;&gt;TRIM($J611),"",_xlfn.SWITCH($I611,"Computer",_xlfn.XLOOKUP($K611&amp;"",COMPUTER!$B$3:$B$1009&amp;"",COMPUTER!$E$3:$E$1009,""),"Display",_xlfn.XLOOKUP($K611&amp;"",DISPLAY!$B$3:$B$1000&amp;"",DISPLAY!$E$3:$E$1000,""),"Network Device",_xlfn.XLOOKUP($K611&amp;"",'NETWORK-DEVICES'!$B$3:$B$987&amp;"",'NETWORK-DEVICES'!$E$3:$E$987,""),"Peripheral",_xlfn.XLOOKUP($K611&amp;"",PERIPHERAL!$B$3:$B$954&amp;"",PERIPHERAL!$E$3:$E$954,""),"Utilities",_xlfn.XLOOKUP($K611&amp;"",UTILITIES!$B$3:$B$953&amp;"",UTILITIES!$E$3:$E$953,""),"IOT",_xlfn.XLOOKUP($K611&amp;"",IOT!$B$3:$B$1012&amp;"",IOT!$E$3:$E$1012,""),"Server",_xlfn.XLOOKUP($K611&amp;"",SERVER!$B$3:$B$1009&amp;"",SERVER!$E$3:$E$1009,""),""))))</f>
        <v/>
      </c>
      <c r="Q611" s="1" t="str" cm="1">
        <f t="array" ref="Q611">IF(OR($K611="",$I611="",$J611=""),"",_xlfn.LET(_xlpm.srcCat,_xlfn.SWITCH($I611,"Computer",_xlfn.XLOOKUP($K611&amp;"",COMPUTER!$B$3:$B$1009&amp;"",COMPUTER!$H$3:$H$1009,""),"Display",_xlfn.XLOOKUP($K611&amp;"",DISPLAY!$B$3:$B$1000&amp;"",DISPLAY!$H$3:$H$1000,""),"Network Device",_xlfn.XLOOKUP($K611&amp;"",'NETWORK-DEVICES'!$B$3:$B$987&amp;"",'NETWORK-DEVICES'!$H$3:$H$987,""),"Peripheral",_xlfn.XLOOKUP($K611&amp;"",PERIPHERAL!$B$3:$B$954&amp;"",PERIPHERAL!$H$3:$H$954,""),"Utilities",_xlfn.XLOOKUP($K611&amp;"",UTILITIES!$B$3:$B$953&amp;"",UTILITIES!$G$3:$G$953,""),"IOT",_xlfn.XLOOKUP($K611&amp;"",IOT!$B$3:$B$1012&amp;"",IOT!$H$3:$H$1012,""),"Server",_xlfn.XLOOKUP($K611&amp;"",SERVER!$B$3:$B$1009&amp;"",SERVER!$H$3:$H$1009,""),""),IF(TRIM(_xlpm.srcCat)&lt;&gt;TRIM($J611),"",_xlfn.SWITCH($I611,"Computer",_xlfn.XLOOKUP($K611&amp;"",COMPUTER!$B$3:$B$1009&amp;"",COMPUTER!$AM$3:$AM$1009,""),"Display",_xlfn.XLOOKUP($K611&amp;"",DISPLAY!$B$3:$B$1000&amp;"",DISPLAY!$V$3:$V$1000,""),"Network Device",_xlfn.XLOOKUP($K611&amp;"",'NETWORK-DEVICES'!$B$3:$B$987&amp;"",'NETWORK-DEVICES'!$AF$3:$AF$987,""),"Peripheral",_xlfn.XLOOKUP($K611&amp;"",PERIPHERAL!$B$3:$B$954&amp;"",PERIPHERAL!$Y$3:$Y$954,""),"Utilities",_xlfn.XLOOKUP($K611&amp;"",UTILITIES!$B$3:$B$953&amp;"",UTILITIES!$O$3:$O$953,""),"IOT",_xlfn.XLOOKUP($K611&amp;"",IOT!$B$3:$B$1012&amp;"",IOT!$AB$3:$AB$1012,""),"Server",_xlfn.XLOOKUP($K611&amp;"",SERVER!$B$3:$B$1009&amp;"",SERVER!$AB$3:$AB$1009,""),""))))</f>
        <v/>
      </c>
      <c r="R611" s="43" t="str">
        <f>IF(tbl_handover[[#This Row],[Asset Code]]="","",COUNTIF(tbl_handover[Asset Code],tbl_handover[[#This Row],[Asset Code]]))</f>
        <v/>
      </c>
    </row>
    <row r="612" spans="1:18" x14ac:dyDescent="0.25">
      <c r="A612" s="43" t="str">
        <f>IF(B612&lt;&gt;"",SUBTOTAL(3,$B$1:B611),"")</f>
        <v/>
      </c>
      <c r="C612" s="74"/>
      <c r="D612" s="74"/>
      <c r="G612" s="1"/>
      <c r="K612" s="42"/>
      <c r="L612" t="str" cm="1">
        <f t="array" ref="L612">IF($K612="","",_xlfn.SWITCH($I612,"Computer",_xlfn.XLOOKUP($K612&amp;"",COMPUTER!$B$3:$B$1009&amp;"",COMPUTER!$I$3:$I$1009,""),"Display",_xlfn.XLOOKUP($K612&amp;"",DISPLAY!$B$3:$B$1000&amp;"",DISPLAY!$J$3:$J$1000,""),"Network Device",_xlfn.XLOOKUP($K612&amp;"",'NETWORK-DEVICES'!$B$3:$B$987&amp;"",'NETWORK-DEVICES'!$I$3:$I$987,""),"Peripheral",_xlfn.XLOOKUP($K612&amp;"",PERIPHERAL!$B$3:$B$954&amp;"",PERIPHERAL!$I$3:$I$954,""),"Utilities",_xlfn.XLOOKUP($K612&amp;"",UTILITIES!$B$3:$B$953&amp;"",UTILITIES!$H$3:$H$953,""),"IOT",_xlfn.XLOOKUP($K612&amp;"",IOT!$B$3:$B$1012&amp;"",IOT!$I$3:$I$1012,""),"SERVER",_xlfn.XLOOKUP($K612&amp;"",SERVER!$B$3:$B$1009&amp;"",SERVER!$I$3:$I$1009,""),""))</f>
        <v/>
      </c>
      <c r="M612" t="str" cm="1">
        <f t="array" ref="M612">IF($K612="","",_xlfn.SWITCH($I612,"Computer",_xlfn.XLOOKUP($K612&amp;"",COMPUTER!$B$3:$B$1009&amp;"",COMPUTER!$J$3:$J$1009,""),"Display",_xlfn.XLOOKUP($K612&amp;"",DISPLAY!$B$3:$B$1000&amp;"",DISPLAY!$K$3:$K$1000,""),"Network Device",_xlfn.XLOOKUP($K612&amp;"",'NETWORK-DEVICES'!$B$3:$B$987&amp;"",'NETWORK-DEVICES'!$I$3:$I$987,""),"Peripheral",_xlfn.XLOOKUP($K612&amp;"",PERIPHERAL!$B$3:$B$954&amp;"",PERIPHERAL!$J$3:$J$954,""),"Utilities",_xlfn.XLOOKUP($K612&amp;"",UTILITIES!$B$3:$B$953&amp;"",UTILITIES!$I$3:$I$953,""),"IOT",_xlfn.XLOOKUP($K612&amp;"",IOT!$B$3:$B$1012&amp;"",IOT!$J$3:$J$1012,""),"Server",_xlfn.XLOOKUP($K612&amp;"",SERVER!$B$3:$B$1009&amp;"",SERVER!$J$3:$J$1009,""),""))</f>
        <v/>
      </c>
      <c r="N612" s="1" t="str" cm="1">
        <f t="array" ref="N612">IF(OR($K612="",$I612="",$J612=""),"",_xlfn.LET(_xlpm.srcCat,_xlfn.SWITCH($I612,"Computer",_xlfn.XLOOKUP($K612&amp;"",COMPUTER!$B$3:$B$1009&amp;"",COMPUTER!$H$3:$H$1009,""),"Display",_xlfn.XLOOKUP($K612&amp;"",DISPLAY!$B$3:$B$1000&amp;"",DISPLAY!$H$3:$H$1000,""),"Network Device",_xlfn.XLOOKUP($K612&amp;"",'NETWORK-DEVICES'!$B$3:$B$987&amp;"",'NETWORK-DEVICES'!$H$3:$H$987,""),"Peripheral",_xlfn.XLOOKUP($K612&amp;"",PERIPHERAL!$B$3:$B$954&amp;"",PERIPHERAL!$H$3:$H$954,""),"Utilities",_xlfn.XLOOKUP($K612&amp;"",UTILITIES!$B$3:$B$953&amp;"",UTILITIES!$G$3:$G$953,""),"IOT",_xlfn.XLOOKUP($K612&amp;"",IOT!$B$3:$B$1012&amp;"",IOT!$H$3:$H$1012,""),"Server",_xlfn.XLOOKUP($K612&amp;"",SERVER!$B$3:$B$1009&amp;"",SERVER!$H$3:$H$1009,""),""),IF(TRIM(_xlpm.srcCat)&lt;&gt;TRIM($J612),"",_xlfn.SWITCH($I612,"Computer",_xlfn.XLOOKUP($K612&amp;"",COMPUTER!$B$3:$B$1009&amp;"",COMPUTER!$K$3:$K$1009,""),"Display",_xlfn.XLOOKUP($K612&amp;"",DISPLAY!$B$3:$B$1000&amp;"",DISPLAY!$L$3:$L$1000,""),"Network Device",_xlfn.XLOOKUP($K612&amp;"",'NETWORK-DEVICES'!$B$3:$B$987&amp;"",'NETWORK-DEVICES'!$K$3:$K$987,""),"Peripheral",_xlfn.XLOOKUP($K612&amp;"",PERIPHERAL!$B$3:$B$954&amp;"",PERIPHERAL!$K$3:$K$954,""),"Utilities",_xlfn.XLOOKUP($K612&amp;"",UTILITIES!$B$3:$B$953&amp;"",UTILITIES!$J$3:$J$953,""),"IOT",_xlfn.XLOOKUP($K612&amp;"",IOT!$B$3:$B$1012&amp;"",IOT!$K$4:$K$1012,""),"Server",_xlfn.XLOOKUP($K612&amp;"",SERVER!$B$3:$B$1009&amp;"",SERVER!$K$3:$K$1009,""),""))))</f>
        <v/>
      </c>
      <c r="O612" s="1" t="str" cm="1">
        <f t="array" ref="O612">IF(OR($K612="",$I612="",$J612=""),"",_xlfn.LET(_xlpm.srcCat,_xlfn.SWITCH($I612,"Computer",_xlfn.XLOOKUP($K612&amp;"",COMPUTER!$B$3:$B$1009&amp;"",COMPUTER!$H$3:$H$1009,""),"Display",_xlfn.XLOOKUP($K612&amp;"",DISPLAY!$B$3:$B$1000&amp;"",DISPLAY!$H$3:$H$1000,""),"Network Device",_xlfn.XLOOKUP($K612&amp;"",'NETWORK-DEVICES'!$B$3:$B$987&amp;"",'NETWORK-DEVICES'!$H$3:$H$987,""),"Peripheral",_xlfn.XLOOKUP($K612&amp;"",PERIPHERAL!$B$3:$B$954&amp;"",PERIPHERAL!$H$3:$H$954,""),"Utilities",_xlfn.XLOOKUP($K612&amp;"",UTILITIES!$B$3:$B$953&amp;"",UTILITIES!$G$3:$G$953,""),"IOT",_xlfn.XLOOKUP($K612&amp;"",IOT!$B$3:$B$1012&amp;"",IOT!$H$3:$H$1012,""),"Server",_xlfn.XLOOKUP($K612&amp;"",SERVER!$B$3:$B$1009&amp;"",SERVER!$H$3:$H$1009,""),""),IF(TRIM(_xlpm.srcCat)&lt;&gt;TRIM($J612),"",_xlfn.SWITCH($I612,"Computer",_xlfn.XLOOKUP($K612&amp;"",COMPUTER!$B$3:$B$1009&amp;"",COMPUTER!$E$3:$E$1009,""),"Display",_xlfn.XLOOKUP($K612&amp;"",DISPLAY!$B$3:$B$1000&amp;"",DISPLAY!$E$3:$E$1000,""),"Network Device",_xlfn.XLOOKUP($K612&amp;"",'NETWORK-DEVICES'!$B$3:$B$987&amp;"",'NETWORK-DEVICES'!$E$3:$E$987,""),"Peripheral",_xlfn.XLOOKUP($K612&amp;"",PERIPHERAL!$B$3:$B$954&amp;"",PERIPHERAL!$E$3:$E$954,""),"Utilities",_xlfn.XLOOKUP($K612&amp;"",UTILITIES!$B$3:$B$953&amp;"",UTILITIES!$E$3:$E$953,""),"IOT",_xlfn.XLOOKUP($K612&amp;"",IOT!$B$3:$B$1012&amp;"",IOT!$E$3:$E$1012,""),"Server",_xlfn.XLOOKUP($K612&amp;"",SERVER!$B$3:$B$1009&amp;"",SERVER!$E$3:$E$1009,""),""))))</f>
        <v/>
      </c>
      <c r="Q612" s="1" t="str" cm="1">
        <f t="array" ref="Q612">IF(OR($K612="",$I612="",$J612=""),"",_xlfn.LET(_xlpm.srcCat,_xlfn.SWITCH($I612,"Computer",_xlfn.XLOOKUP($K612&amp;"",COMPUTER!$B$3:$B$1009&amp;"",COMPUTER!$H$3:$H$1009,""),"Display",_xlfn.XLOOKUP($K612&amp;"",DISPLAY!$B$3:$B$1000&amp;"",DISPLAY!$H$3:$H$1000,""),"Network Device",_xlfn.XLOOKUP($K612&amp;"",'NETWORK-DEVICES'!$B$3:$B$987&amp;"",'NETWORK-DEVICES'!$H$3:$H$987,""),"Peripheral",_xlfn.XLOOKUP($K612&amp;"",PERIPHERAL!$B$3:$B$954&amp;"",PERIPHERAL!$H$3:$H$954,""),"Utilities",_xlfn.XLOOKUP($K612&amp;"",UTILITIES!$B$3:$B$953&amp;"",UTILITIES!$G$3:$G$953,""),"IOT",_xlfn.XLOOKUP($K612&amp;"",IOT!$B$3:$B$1012&amp;"",IOT!$H$3:$H$1012,""),"Server",_xlfn.XLOOKUP($K612&amp;"",SERVER!$B$3:$B$1009&amp;"",SERVER!$H$3:$H$1009,""),""),IF(TRIM(_xlpm.srcCat)&lt;&gt;TRIM($J612),"",_xlfn.SWITCH($I612,"Computer",_xlfn.XLOOKUP($K612&amp;"",COMPUTER!$B$3:$B$1009&amp;"",COMPUTER!$AM$3:$AM$1009,""),"Display",_xlfn.XLOOKUP($K612&amp;"",DISPLAY!$B$3:$B$1000&amp;"",DISPLAY!$V$3:$V$1000,""),"Network Device",_xlfn.XLOOKUP($K612&amp;"",'NETWORK-DEVICES'!$B$3:$B$987&amp;"",'NETWORK-DEVICES'!$AF$3:$AF$987,""),"Peripheral",_xlfn.XLOOKUP($K612&amp;"",PERIPHERAL!$B$3:$B$954&amp;"",PERIPHERAL!$Y$3:$Y$954,""),"Utilities",_xlfn.XLOOKUP($K612&amp;"",UTILITIES!$B$3:$B$953&amp;"",UTILITIES!$O$3:$O$953,""),"IOT",_xlfn.XLOOKUP($K612&amp;"",IOT!$B$3:$B$1012&amp;"",IOT!$AB$3:$AB$1012,""),"Server",_xlfn.XLOOKUP($K612&amp;"",SERVER!$B$3:$B$1009&amp;"",SERVER!$AB$3:$AB$1009,""),""))))</f>
        <v/>
      </c>
      <c r="R612" s="43" t="str">
        <f>IF(tbl_handover[[#This Row],[Asset Code]]="","",COUNTIF(tbl_handover[Asset Code],tbl_handover[[#This Row],[Asset Code]]))</f>
        <v/>
      </c>
    </row>
    <row r="613" spans="1:18" x14ac:dyDescent="0.25">
      <c r="A613" s="43" t="str">
        <f>IF(B613&lt;&gt;"",SUBTOTAL(3,$B$1:B612),"")</f>
        <v/>
      </c>
      <c r="C613" s="74"/>
      <c r="D613" s="74"/>
      <c r="G613" s="1"/>
      <c r="K613" s="42"/>
      <c r="L613" t="str" cm="1">
        <f t="array" ref="L613">IF($K613="","",_xlfn.SWITCH($I613,"Computer",_xlfn.XLOOKUP($K613&amp;"",COMPUTER!$B$3:$B$1009&amp;"",COMPUTER!$I$3:$I$1009,""),"Display",_xlfn.XLOOKUP($K613&amp;"",DISPLAY!$B$3:$B$1000&amp;"",DISPLAY!$J$3:$J$1000,""),"Network Device",_xlfn.XLOOKUP($K613&amp;"",'NETWORK-DEVICES'!$B$3:$B$987&amp;"",'NETWORK-DEVICES'!$I$3:$I$987,""),"Peripheral",_xlfn.XLOOKUP($K613&amp;"",PERIPHERAL!$B$3:$B$954&amp;"",PERIPHERAL!$I$3:$I$954,""),"Utilities",_xlfn.XLOOKUP($K613&amp;"",UTILITIES!$B$3:$B$953&amp;"",UTILITIES!$H$3:$H$953,""),"IOT",_xlfn.XLOOKUP($K613&amp;"",IOT!$B$3:$B$1012&amp;"",IOT!$I$3:$I$1012,""),"SERVER",_xlfn.XLOOKUP($K613&amp;"",SERVER!$B$3:$B$1009&amp;"",SERVER!$I$3:$I$1009,""),""))</f>
        <v/>
      </c>
      <c r="M613" t="str" cm="1">
        <f t="array" ref="M613">IF($K613="","",_xlfn.SWITCH($I613,"Computer",_xlfn.XLOOKUP($K613&amp;"",COMPUTER!$B$3:$B$1009&amp;"",COMPUTER!$J$3:$J$1009,""),"Display",_xlfn.XLOOKUP($K613&amp;"",DISPLAY!$B$3:$B$1000&amp;"",DISPLAY!$K$3:$K$1000,""),"Network Device",_xlfn.XLOOKUP($K613&amp;"",'NETWORK-DEVICES'!$B$3:$B$987&amp;"",'NETWORK-DEVICES'!$I$3:$I$987,""),"Peripheral",_xlfn.XLOOKUP($K613&amp;"",PERIPHERAL!$B$3:$B$954&amp;"",PERIPHERAL!$J$3:$J$954,""),"Utilities",_xlfn.XLOOKUP($K613&amp;"",UTILITIES!$B$3:$B$953&amp;"",UTILITIES!$I$3:$I$953,""),"IOT",_xlfn.XLOOKUP($K613&amp;"",IOT!$B$3:$B$1012&amp;"",IOT!$J$3:$J$1012,""),"Server",_xlfn.XLOOKUP($K613&amp;"",SERVER!$B$3:$B$1009&amp;"",SERVER!$J$3:$J$1009,""),""))</f>
        <v/>
      </c>
      <c r="N613" s="1" t="str" cm="1">
        <f t="array" ref="N613">IF(OR($K613="",$I613="",$J613=""),"",_xlfn.LET(_xlpm.srcCat,_xlfn.SWITCH($I613,"Computer",_xlfn.XLOOKUP($K613&amp;"",COMPUTER!$B$3:$B$1009&amp;"",COMPUTER!$H$3:$H$1009,""),"Display",_xlfn.XLOOKUP($K613&amp;"",DISPLAY!$B$3:$B$1000&amp;"",DISPLAY!$H$3:$H$1000,""),"Network Device",_xlfn.XLOOKUP($K613&amp;"",'NETWORK-DEVICES'!$B$3:$B$987&amp;"",'NETWORK-DEVICES'!$H$3:$H$987,""),"Peripheral",_xlfn.XLOOKUP($K613&amp;"",PERIPHERAL!$B$3:$B$954&amp;"",PERIPHERAL!$H$3:$H$954,""),"Utilities",_xlfn.XLOOKUP($K613&amp;"",UTILITIES!$B$3:$B$953&amp;"",UTILITIES!$G$3:$G$953,""),"IOT",_xlfn.XLOOKUP($K613&amp;"",IOT!$B$3:$B$1012&amp;"",IOT!$H$3:$H$1012,""),"Server",_xlfn.XLOOKUP($K613&amp;"",SERVER!$B$3:$B$1009&amp;"",SERVER!$H$3:$H$1009,""),""),IF(TRIM(_xlpm.srcCat)&lt;&gt;TRIM($J613),"",_xlfn.SWITCH($I613,"Computer",_xlfn.XLOOKUP($K613&amp;"",COMPUTER!$B$3:$B$1009&amp;"",COMPUTER!$K$3:$K$1009,""),"Display",_xlfn.XLOOKUP($K613&amp;"",DISPLAY!$B$3:$B$1000&amp;"",DISPLAY!$L$3:$L$1000,""),"Network Device",_xlfn.XLOOKUP($K613&amp;"",'NETWORK-DEVICES'!$B$3:$B$987&amp;"",'NETWORK-DEVICES'!$K$3:$K$987,""),"Peripheral",_xlfn.XLOOKUP($K613&amp;"",PERIPHERAL!$B$3:$B$954&amp;"",PERIPHERAL!$K$3:$K$954,""),"Utilities",_xlfn.XLOOKUP($K613&amp;"",UTILITIES!$B$3:$B$953&amp;"",UTILITIES!$J$3:$J$953,""),"IOT",_xlfn.XLOOKUP($K613&amp;"",IOT!$B$3:$B$1012&amp;"",IOT!$K$4:$K$1012,""),"Server",_xlfn.XLOOKUP($K613&amp;"",SERVER!$B$3:$B$1009&amp;"",SERVER!$K$3:$K$1009,""),""))))</f>
        <v/>
      </c>
      <c r="O613" s="1" t="str" cm="1">
        <f t="array" ref="O613">IF(OR($K613="",$I613="",$J613=""),"",_xlfn.LET(_xlpm.srcCat,_xlfn.SWITCH($I613,"Computer",_xlfn.XLOOKUP($K613&amp;"",COMPUTER!$B$3:$B$1009&amp;"",COMPUTER!$H$3:$H$1009,""),"Display",_xlfn.XLOOKUP($K613&amp;"",DISPLAY!$B$3:$B$1000&amp;"",DISPLAY!$H$3:$H$1000,""),"Network Device",_xlfn.XLOOKUP($K613&amp;"",'NETWORK-DEVICES'!$B$3:$B$987&amp;"",'NETWORK-DEVICES'!$H$3:$H$987,""),"Peripheral",_xlfn.XLOOKUP($K613&amp;"",PERIPHERAL!$B$3:$B$954&amp;"",PERIPHERAL!$H$3:$H$954,""),"Utilities",_xlfn.XLOOKUP($K613&amp;"",UTILITIES!$B$3:$B$953&amp;"",UTILITIES!$G$3:$G$953,""),"IOT",_xlfn.XLOOKUP($K613&amp;"",IOT!$B$3:$B$1012&amp;"",IOT!$H$3:$H$1012,""),"Server",_xlfn.XLOOKUP($K613&amp;"",SERVER!$B$3:$B$1009&amp;"",SERVER!$H$3:$H$1009,""),""),IF(TRIM(_xlpm.srcCat)&lt;&gt;TRIM($J613),"",_xlfn.SWITCH($I613,"Computer",_xlfn.XLOOKUP($K613&amp;"",COMPUTER!$B$3:$B$1009&amp;"",COMPUTER!$E$3:$E$1009,""),"Display",_xlfn.XLOOKUP($K613&amp;"",DISPLAY!$B$3:$B$1000&amp;"",DISPLAY!$E$3:$E$1000,""),"Network Device",_xlfn.XLOOKUP($K613&amp;"",'NETWORK-DEVICES'!$B$3:$B$987&amp;"",'NETWORK-DEVICES'!$E$3:$E$987,""),"Peripheral",_xlfn.XLOOKUP($K613&amp;"",PERIPHERAL!$B$3:$B$954&amp;"",PERIPHERAL!$E$3:$E$954,""),"Utilities",_xlfn.XLOOKUP($K613&amp;"",UTILITIES!$B$3:$B$953&amp;"",UTILITIES!$E$3:$E$953,""),"IOT",_xlfn.XLOOKUP($K613&amp;"",IOT!$B$3:$B$1012&amp;"",IOT!$E$3:$E$1012,""),"Server",_xlfn.XLOOKUP($K613&amp;"",SERVER!$B$3:$B$1009&amp;"",SERVER!$E$3:$E$1009,""),""))))</f>
        <v/>
      </c>
      <c r="Q613" s="1" t="str" cm="1">
        <f t="array" ref="Q613">IF(OR($K613="",$I613="",$J613=""),"",_xlfn.LET(_xlpm.srcCat,_xlfn.SWITCH($I613,"Computer",_xlfn.XLOOKUP($K613&amp;"",COMPUTER!$B$3:$B$1009&amp;"",COMPUTER!$H$3:$H$1009,""),"Display",_xlfn.XLOOKUP($K613&amp;"",DISPLAY!$B$3:$B$1000&amp;"",DISPLAY!$H$3:$H$1000,""),"Network Device",_xlfn.XLOOKUP($K613&amp;"",'NETWORK-DEVICES'!$B$3:$B$987&amp;"",'NETWORK-DEVICES'!$H$3:$H$987,""),"Peripheral",_xlfn.XLOOKUP($K613&amp;"",PERIPHERAL!$B$3:$B$954&amp;"",PERIPHERAL!$H$3:$H$954,""),"Utilities",_xlfn.XLOOKUP($K613&amp;"",UTILITIES!$B$3:$B$953&amp;"",UTILITIES!$G$3:$G$953,""),"IOT",_xlfn.XLOOKUP($K613&amp;"",IOT!$B$3:$B$1012&amp;"",IOT!$H$3:$H$1012,""),"Server",_xlfn.XLOOKUP($K613&amp;"",SERVER!$B$3:$B$1009&amp;"",SERVER!$H$3:$H$1009,""),""),IF(TRIM(_xlpm.srcCat)&lt;&gt;TRIM($J613),"",_xlfn.SWITCH($I613,"Computer",_xlfn.XLOOKUP($K613&amp;"",COMPUTER!$B$3:$B$1009&amp;"",COMPUTER!$AM$3:$AM$1009,""),"Display",_xlfn.XLOOKUP($K613&amp;"",DISPLAY!$B$3:$B$1000&amp;"",DISPLAY!$V$3:$V$1000,""),"Network Device",_xlfn.XLOOKUP($K613&amp;"",'NETWORK-DEVICES'!$B$3:$B$987&amp;"",'NETWORK-DEVICES'!$AF$3:$AF$987,""),"Peripheral",_xlfn.XLOOKUP($K613&amp;"",PERIPHERAL!$B$3:$B$954&amp;"",PERIPHERAL!$Y$3:$Y$954,""),"Utilities",_xlfn.XLOOKUP($K613&amp;"",UTILITIES!$B$3:$B$953&amp;"",UTILITIES!$O$3:$O$953,""),"IOT",_xlfn.XLOOKUP($K613&amp;"",IOT!$B$3:$B$1012&amp;"",IOT!$AB$3:$AB$1012,""),"Server",_xlfn.XLOOKUP($K613&amp;"",SERVER!$B$3:$B$1009&amp;"",SERVER!$AB$3:$AB$1009,""),""))))</f>
        <v/>
      </c>
      <c r="R613" s="43" t="str">
        <f>IF(tbl_handover[[#This Row],[Asset Code]]="","",COUNTIF(tbl_handover[Asset Code],tbl_handover[[#This Row],[Asset Code]]))</f>
        <v/>
      </c>
    </row>
    <row r="614" spans="1:18" x14ac:dyDescent="0.25">
      <c r="A614" s="43" t="str">
        <f>IF(B614&lt;&gt;"",SUBTOTAL(3,$B$1:B613),"")</f>
        <v/>
      </c>
      <c r="C614" s="74"/>
      <c r="D614" s="74"/>
      <c r="G614" s="1"/>
      <c r="K614" s="42"/>
      <c r="L614" t="str" cm="1">
        <f t="array" ref="L614">IF($K614="","",_xlfn.SWITCH($I614,"Computer",_xlfn.XLOOKUP($K614&amp;"",COMPUTER!$B$3:$B$1009&amp;"",COMPUTER!$I$3:$I$1009,""),"Display",_xlfn.XLOOKUP($K614&amp;"",DISPLAY!$B$3:$B$1000&amp;"",DISPLAY!$J$3:$J$1000,""),"Network Device",_xlfn.XLOOKUP($K614&amp;"",'NETWORK-DEVICES'!$B$3:$B$987&amp;"",'NETWORK-DEVICES'!$I$3:$I$987,""),"Peripheral",_xlfn.XLOOKUP($K614&amp;"",PERIPHERAL!$B$3:$B$954&amp;"",PERIPHERAL!$I$3:$I$954,""),"Utilities",_xlfn.XLOOKUP($K614&amp;"",UTILITIES!$B$3:$B$953&amp;"",UTILITIES!$H$3:$H$953,""),"IOT",_xlfn.XLOOKUP($K614&amp;"",IOT!$B$3:$B$1012&amp;"",IOT!$I$3:$I$1012,""),"SERVER",_xlfn.XLOOKUP($K614&amp;"",SERVER!$B$3:$B$1009&amp;"",SERVER!$I$3:$I$1009,""),""))</f>
        <v/>
      </c>
      <c r="M614" t="str" cm="1">
        <f t="array" ref="M614">IF($K614="","",_xlfn.SWITCH($I614,"Computer",_xlfn.XLOOKUP($K614&amp;"",COMPUTER!$B$3:$B$1009&amp;"",COMPUTER!$J$3:$J$1009,""),"Display",_xlfn.XLOOKUP($K614&amp;"",DISPLAY!$B$3:$B$1000&amp;"",DISPLAY!$K$3:$K$1000,""),"Network Device",_xlfn.XLOOKUP($K614&amp;"",'NETWORK-DEVICES'!$B$3:$B$987&amp;"",'NETWORK-DEVICES'!$I$3:$I$987,""),"Peripheral",_xlfn.XLOOKUP($K614&amp;"",PERIPHERAL!$B$3:$B$954&amp;"",PERIPHERAL!$J$3:$J$954,""),"Utilities",_xlfn.XLOOKUP($K614&amp;"",UTILITIES!$B$3:$B$953&amp;"",UTILITIES!$I$3:$I$953,""),"IOT",_xlfn.XLOOKUP($K614&amp;"",IOT!$B$3:$B$1012&amp;"",IOT!$J$3:$J$1012,""),"Server",_xlfn.XLOOKUP($K614&amp;"",SERVER!$B$3:$B$1009&amp;"",SERVER!$J$3:$J$1009,""),""))</f>
        <v/>
      </c>
      <c r="N614" s="1" t="str" cm="1">
        <f t="array" ref="N614">IF(OR($K614="",$I614="",$J614=""),"",_xlfn.LET(_xlpm.srcCat,_xlfn.SWITCH($I614,"Computer",_xlfn.XLOOKUP($K614&amp;"",COMPUTER!$B$3:$B$1009&amp;"",COMPUTER!$H$3:$H$1009,""),"Display",_xlfn.XLOOKUP($K614&amp;"",DISPLAY!$B$3:$B$1000&amp;"",DISPLAY!$H$3:$H$1000,""),"Network Device",_xlfn.XLOOKUP($K614&amp;"",'NETWORK-DEVICES'!$B$3:$B$987&amp;"",'NETWORK-DEVICES'!$H$3:$H$987,""),"Peripheral",_xlfn.XLOOKUP($K614&amp;"",PERIPHERAL!$B$3:$B$954&amp;"",PERIPHERAL!$H$3:$H$954,""),"Utilities",_xlfn.XLOOKUP($K614&amp;"",UTILITIES!$B$3:$B$953&amp;"",UTILITIES!$G$3:$G$953,""),"IOT",_xlfn.XLOOKUP($K614&amp;"",IOT!$B$3:$B$1012&amp;"",IOT!$H$3:$H$1012,""),"Server",_xlfn.XLOOKUP($K614&amp;"",SERVER!$B$3:$B$1009&amp;"",SERVER!$H$3:$H$1009,""),""),IF(TRIM(_xlpm.srcCat)&lt;&gt;TRIM($J614),"",_xlfn.SWITCH($I614,"Computer",_xlfn.XLOOKUP($K614&amp;"",COMPUTER!$B$3:$B$1009&amp;"",COMPUTER!$K$3:$K$1009,""),"Display",_xlfn.XLOOKUP($K614&amp;"",DISPLAY!$B$3:$B$1000&amp;"",DISPLAY!$L$3:$L$1000,""),"Network Device",_xlfn.XLOOKUP($K614&amp;"",'NETWORK-DEVICES'!$B$3:$B$987&amp;"",'NETWORK-DEVICES'!$K$3:$K$987,""),"Peripheral",_xlfn.XLOOKUP($K614&amp;"",PERIPHERAL!$B$3:$B$954&amp;"",PERIPHERAL!$K$3:$K$954,""),"Utilities",_xlfn.XLOOKUP($K614&amp;"",UTILITIES!$B$3:$B$953&amp;"",UTILITIES!$J$3:$J$953,""),"IOT",_xlfn.XLOOKUP($K614&amp;"",IOT!$B$3:$B$1012&amp;"",IOT!$K$4:$K$1012,""),"Server",_xlfn.XLOOKUP($K614&amp;"",SERVER!$B$3:$B$1009&amp;"",SERVER!$K$3:$K$1009,""),""))))</f>
        <v/>
      </c>
      <c r="O614" s="1" t="str" cm="1">
        <f t="array" ref="O614">IF(OR($K614="",$I614="",$J614=""),"",_xlfn.LET(_xlpm.srcCat,_xlfn.SWITCH($I614,"Computer",_xlfn.XLOOKUP($K614&amp;"",COMPUTER!$B$3:$B$1009&amp;"",COMPUTER!$H$3:$H$1009,""),"Display",_xlfn.XLOOKUP($K614&amp;"",DISPLAY!$B$3:$B$1000&amp;"",DISPLAY!$H$3:$H$1000,""),"Network Device",_xlfn.XLOOKUP($K614&amp;"",'NETWORK-DEVICES'!$B$3:$B$987&amp;"",'NETWORK-DEVICES'!$H$3:$H$987,""),"Peripheral",_xlfn.XLOOKUP($K614&amp;"",PERIPHERAL!$B$3:$B$954&amp;"",PERIPHERAL!$H$3:$H$954,""),"Utilities",_xlfn.XLOOKUP($K614&amp;"",UTILITIES!$B$3:$B$953&amp;"",UTILITIES!$G$3:$G$953,""),"IOT",_xlfn.XLOOKUP($K614&amp;"",IOT!$B$3:$B$1012&amp;"",IOT!$H$3:$H$1012,""),"Server",_xlfn.XLOOKUP($K614&amp;"",SERVER!$B$3:$B$1009&amp;"",SERVER!$H$3:$H$1009,""),""),IF(TRIM(_xlpm.srcCat)&lt;&gt;TRIM($J614),"",_xlfn.SWITCH($I614,"Computer",_xlfn.XLOOKUP($K614&amp;"",COMPUTER!$B$3:$B$1009&amp;"",COMPUTER!$E$3:$E$1009,""),"Display",_xlfn.XLOOKUP($K614&amp;"",DISPLAY!$B$3:$B$1000&amp;"",DISPLAY!$E$3:$E$1000,""),"Network Device",_xlfn.XLOOKUP($K614&amp;"",'NETWORK-DEVICES'!$B$3:$B$987&amp;"",'NETWORK-DEVICES'!$E$3:$E$987,""),"Peripheral",_xlfn.XLOOKUP($K614&amp;"",PERIPHERAL!$B$3:$B$954&amp;"",PERIPHERAL!$E$3:$E$954,""),"Utilities",_xlfn.XLOOKUP($K614&amp;"",UTILITIES!$B$3:$B$953&amp;"",UTILITIES!$E$3:$E$953,""),"IOT",_xlfn.XLOOKUP($K614&amp;"",IOT!$B$3:$B$1012&amp;"",IOT!$E$3:$E$1012,""),"Server",_xlfn.XLOOKUP($K614&amp;"",SERVER!$B$3:$B$1009&amp;"",SERVER!$E$3:$E$1009,""),""))))</f>
        <v/>
      </c>
      <c r="Q614" s="1" t="str" cm="1">
        <f t="array" ref="Q614">IF(OR($K614="",$I614="",$J614=""),"",_xlfn.LET(_xlpm.srcCat,_xlfn.SWITCH($I614,"Computer",_xlfn.XLOOKUP($K614&amp;"",COMPUTER!$B$3:$B$1009&amp;"",COMPUTER!$H$3:$H$1009,""),"Display",_xlfn.XLOOKUP($K614&amp;"",DISPLAY!$B$3:$B$1000&amp;"",DISPLAY!$H$3:$H$1000,""),"Network Device",_xlfn.XLOOKUP($K614&amp;"",'NETWORK-DEVICES'!$B$3:$B$987&amp;"",'NETWORK-DEVICES'!$H$3:$H$987,""),"Peripheral",_xlfn.XLOOKUP($K614&amp;"",PERIPHERAL!$B$3:$B$954&amp;"",PERIPHERAL!$H$3:$H$954,""),"Utilities",_xlfn.XLOOKUP($K614&amp;"",UTILITIES!$B$3:$B$953&amp;"",UTILITIES!$G$3:$G$953,""),"IOT",_xlfn.XLOOKUP($K614&amp;"",IOT!$B$3:$B$1012&amp;"",IOT!$H$3:$H$1012,""),"Server",_xlfn.XLOOKUP($K614&amp;"",SERVER!$B$3:$B$1009&amp;"",SERVER!$H$3:$H$1009,""),""),IF(TRIM(_xlpm.srcCat)&lt;&gt;TRIM($J614),"",_xlfn.SWITCH($I614,"Computer",_xlfn.XLOOKUP($K614&amp;"",COMPUTER!$B$3:$B$1009&amp;"",COMPUTER!$AM$3:$AM$1009,""),"Display",_xlfn.XLOOKUP($K614&amp;"",DISPLAY!$B$3:$B$1000&amp;"",DISPLAY!$V$3:$V$1000,""),"Network Device",_xlfn.XLOOKUP($K614&amp;"",'NETWORK-DEVICES'!$B$3:$B$987&amp;"",'NETWORK-DEVICES'!$AF$3:$AF$987,""),"Peripheral",_xlfn.XLOOKUP($K614&amp;"",PERIPHERAL!$B$3:$B$954&amp;"",PERIPHERAL!$Y$3:$Y$954,""),"Utilities",_xlfn.XLOOKUP($K614&amp;"",UTILITIES!$B$3:$B$953&amp;"",UTILITIES!$O$3:$O$953,""),"IOT",_xlfn.XLOOKUP($K614&amp;"",IOT!$B$3:$B$1012&amp;"",IOT!$AB$3:$AB$1012,""),"Server",_xlfn.XLOOKUP($K614&amp;"",SERVER!$B$3:$B$1009&amp;"",SERVER!$AB$3:$AB$1009,""),""))))</f>
        <v/>
      </c>
      <c r="R614" s="43" t="str">
        <f>IF(tbl_handover[[#This Row],[Asset Code]]="","",COUNTIF(tbl_handover[Asset Code],tbl_handover[[#This Row],[Asset Code]]))</f>
        <v/>
      </c>
    </row>
    <row r="615" spans="1:18" x14ac:dyDescent="0.25">
      <c r="A615" s="43" t="str">
        <f>IF(B615&lt;&gt;"",SUBTOTAL(3,$B$1:B614),"")</f>
        <v/>
      </c>
      <c r="C615" s="74"/>
      <c r="D615" s="74"/>
      <c r="G615" s="1"/>
      <c r="K615" s="42"/>
      <c r="L615" t="str" cm="1">
        <f t="array" ref="L615">IF($K615="","",_xlfn.SWITCH($I615,"Computer",_xlfn.XLOOKUP($K615&amp;"",COMPUTER!$B$3:$B$1009&amp;"",COMPUTER!$I$3:$I$1009,""),"Display",_xlfn.XLOOKUP($K615&amp;"",DISPLAY!$B$3:$B$1000&amp;"",DISPLAY!$J$3:$J$1000,""),"Network Device",_xlfn.XLOOKUP($K615&amp;"",'NETWORK-DEVICES'!$B$3:$B$987&amp;"",'NETWORK-DEVICES'!$I$3:$I$987,""),"Peripheral",_xlfn.XLOOKUP($K615&amp;"",PERIPHERAL!$B$3:$B$954&amp;"",PERIPHERAL!$I$3:$I$954,""),"Utilities",_xlfn.XLOOKUP($K615&amp;"",UTILITIES!$B$3:$B$953&amp;"",UTILITIES!$H$3:$H$953,""),"IOT",_xlfn.XLOOKUP($K615&amp;"",IOT!$B$3:$B$1012&amp;"",IOT!$I$3:$I$1012,""),"SERVER",_xlfn.XLOOKUP($K615&amp;"",SERVER!$B$3:$B$1009&amp;"",SERVER!$I$3:$I$1009,""),""))</f>
        <v/>
      </c>
      <c r="M615" t="str" cm="1">
        <f t="array" ref="M615">IF($K615="","",_xlfn.SWITCH($I615,"Computer",_xlfn.XLOOKUP($K615&amp;"",COMPUTER!$B$3:$B$1009&amp;"",COMPUTER!$J$3:$J$1009,""),"Display",_xlfn.XLOOKUP($K615&amp;"",DISPLAY!$B$3:$B$1000&amp;"",DISPLAY!$K$3:$K$1000,""),"Network Device",_xlfn.XLOOKUP($K615&amp;"",'NETWORK-DEVICES'!$B$3:$B$987&amp;"",'NETWORK-DEVICES'!$I$3:$I$987,""),"Peripheral",_xlfn.XLOOKUP($K615&amp;"",PERIPHERAL!$B$3:$B$954&amp;"",PERIPHERAL!$J$3:$J$954,""),"Utilities",_xlfn.XLOOKUP($K615&amp;"",UTILITIES!$B$3:$B$953&amp;"",UTILITIES!$I$3:$I$953,""),"IOT",_xlfn.XLOOKUP($K615&amp;"",IOT!$B$3:$B$1012&amp;"",IOT!$J$3:$J$1012,""),"Server",_xlfn.XLOOKUP($K615&amp;"",SERVER!$B$3:$B$1009&amp;"",SERVER!$J$3:$J$1009,""),""))</f>
        <v/>
      </c>
      <c r="N615" s="1" t="str" cm="1">
        <f t="array" ref="N615">IF(OR($K615="",$I615="",$J615=""),"",_xlfn.LET(_xlpm.srcCat,_xlfn.SWITCH($I615,"Computer",_xlfn.XLOOKUP($K615&amp;"",COMPUTER!$B$3:$B$1009&amp;"",COMPUTER!$H$3:$H$1009,""),"Display",_xlfn.XLOOKUP($K615&amp;"",DISPLAY!$B$3:$B$1000&amp;"",DISPLAY!$H$3:$H$1000,""),"Network Device",_xlfn.XLOOKUP($K615&amp;"",'NETWORK-DEVICES'!$B$3:$B$987&amp;"",'NETWORK-DEVICES'!$H$3:$H$987,""),"Peripheral",_xlfn.XLOOKUP($K615&amp;"",PERIPHERAL!$B$3:$B$954&amp;"",PERIPHERAL!$H$3:$H$954,""),"Utilities",_xlfn.XLOOKUP($K615&amp;"",UTILITIES!$B$3:$B$953&amp;"",UTILITIES!$G$3:$G$953,""),"IOT",_xlfn.XLOOKUP($K615&amp;"",IOT!$B$3:$B$1012&amp;"",IOT!$H$3:$H$1012,""),"Server",_xlfn.XLOOKUP($K615&amp;"",SERVER!$B$3:$B$1009&amp;"",SERVER!$H$3:$H$1009,""),""),IF(TRIM(_xlpm.srcCat)&lt;&gt;TRIM($J615),"",_xlfn.SWITCH($I615,"Computer",_xlfn.XLOOKUP($K615&amp;"",COMPUTER!$B$3:$B$1009&amp;"",COMPUTER!$K$3:$K$1009,""),"Display",_xlfn.XLOOKUP($K615&amp;"",DISPLAY!$B$3:$B$1000&amp;"",DISPLAY!$L$3:$L$1000,""),"Network Device",_xlfn.XLOOKUP($K615&amp;"",'NETWORK-DEVICES'!$B$3:$B$987&amp;"",'NETWORK-DEVICES'!$K$3:$K$987,""),"Peripheral",_xlfn.XLOOKUP($K615&amp;"",PERIPHERAL!$B$3:$B$954&amp;"",PERIPHERAL!$K$3:$K$954,""),"Utilities",_xlfn.XLOOKUP($K615&amp;"",UTILITIES!$B$3:$B$953&amp;"",UTILITIES!$J$3:$J$953,""),"IOT",_xlfn.XLOOKUP($K615&amp;"",IOT!$B$3:$B$1012&amp;"",IOT!$K$4:$K$1012,""),"Server",_xlfn.XLOOKUP($K615&amp;"",SERVER!$B$3:$B$1009&amp;"",SERVER!$K$3:$K$1009,""),""))))</f>
        <v/>
      </c>
      <c r="O615" s="1" t="str" cm="1">
        <f t="array" ref="O615">IF(OR($K615="",$I615="",$J615=""),"",_xlfn.LET(_xlpm.srcCat,_xlfn.SWITCH($I615,"Computer",_xlfn.XLOOKUP($K615&amp;"",COMPUTER!$B$3:$B$1009&amp;"",COMPUTER!$H$3:$H$1009,""),"Display",_xlfn.XLOOKUP($K615&amp;"",DISPLAY!$B$3:$B$1000&amp;"",DISPLAY!$H$3:$H$1000,""),"Network Device",_xlfn.XLOOKUP($K615&amp;"",'NETWORK-DEVICES'!$B$3:$B$987&amp;"",'NETWORK-DEVICES'!$H$3:$H$987,""),"Peripheral",_xlfn.XLOOKUP($K615&amp;"",PERIPHERAL!$B$3:$B$954&amp;"",PERIPHERAL!$H$3:$H$954,""),"Utilities",_xlfn.XLOOKUP($K615&amp;"",UTILITIES!$B$3:$B$953&amp;"",UTILITIES!$G$3:$G$953,""),"IOT",_xlfn.XLOOKUP($K615&amp;"",IOT!$B$3:$B$1012&amp;"",IOT!$H$3:$H$1012,""),"Server",_xlfn.XLOOKUP($K615&amp;"",SERVER!$B$3:$B$1009&amp;"",SERVER!$H$3:$H$1009,""),""),IF(TRIM(_xlpm.srcCat)&lt;&gt;TRIM($J615),"",_xlfn.SWITCH($I615,"Computer",_xlfn.XLOOKUP($K615&amp;"",COMPUTER!$B$3:$B$1009&amp;"",COMPUTER!$E$3:$E$1009,""),"Display",_xlfn.XLOOKUP($K615&amp;"",DISPLAY!$B$3:$B$1000&amp;"",DISPLAY!$E$3:$E$1000,""),"Network Device",_xlfn.XLOOKUP($K615&amp;"",'NETWORK-DEVICES'!$B$3:$B$987&amp;"",'NETWORK-DEVICES'!$E$3:$E$987,""),"Peripheral",_xlfn.XLOOKUP($K615&amp;"",PERIPHERAL!$B$3:$B$954&amp;"",PERIPHERAL!$E$3:$E$954,""),"Utilities",_xlfn.XLOOKUP($K615&amp;"",UTILITIES!$B$3:$B$953&amp;"",UTILITIES!$E$3:$E$953,""),"IOT",_xlfn.XLOOKUP($K615&amp;"",IOT!$B$3:$B$1012&amp;"",IOT!$E$3:$E$1012,""),"Server",_xlfn.XLOOKUP($K615&amp;"",SERVER!$B$3:$B$1009&amp;"",SERVER!$E$3:$E$1009,""),""))))</f>
        <v/>
      </c>
      <c r="Q615" s="1" t="str" cm="1">
        <f t="array" ref="Q615">IF(OR($K615="",$I615="",$J615=""),"",_xlfn.LET(_xlpm.srcCat,_xlfn.SWITCH($I615,"Computer",_xlfn.XLOOKUP($K615&amp;"",COMPUTER!$B$3:$B$1009&amp;"",COMPUTER!$H$3:$H$1009,""),"Display",_xlfn.XLOOKUP($K615&amp;"",DISPLAY!$B$3:$B$1000&amp;"",DISPLAY!$H$3:$H$1000,""),"Network Device",_xlfn.XLOOKUP($K615&amp;"",'NETWORK-DEVICES'!$B$3:$B$987&amp;"",'NETWORK-DEVICES'!$H$3:$H$987,""),"Peripheral",_xlfn.XLOOKUP($K615&amp;"",PERIPHERAL!$B$3:$B$954&amp;"",PERIPHERAL!$H$3:$H$954,""),"Utilities",_xlfn.XLOOKUP($K615&amp;"",UTILITIES!$B$3:$B$953&amp;"",UTILITIES!$G$3:$G$953,""),"IOT",_xlfn.XLOOKUP($K615&amp;"",IOT!$B$3:$B$1012&amp;"",IOT!$H$3:$H$1012,""),"Server",_xlfn.XLOOKUP($K615&amp;"",SERVER!$B$3:$B$1009&amp;"",SERVER!$H$3:$H$1009,""),""),IF(TRIM(_xlpm.srcCat)&lt;&gt;TRIM($J615),"",_xlfn.SWITCH($I615,"Computer",_xlfn.XLOOKUP($K615&amp;"",COMPUTER!$B$3:$B$1009&amp;"",COMPUTER!$AM$3:$AM$1009,""),"Display",_xlfn.XLOOKUP($K615&amp;"",DISPLAY!$B$3:$B$1000&amp;"",DISPLAY!$V$3:$V$1000,""),"Network Device",_xlfn.XLOOKUP($K615&amp;"",'NETWORK-DEVICES'!$B$3:$B$987&amp;"",'NETWORK-DEVICES'!$AF$3:$AF$987,""),"Peripheral",_xlfn.XLOOKUP($K615&amp;"",PERIPHERAL!$B$3:$B$954&amp;"",PERIPHERAL!$Y$3:$Y$954,""),"Utilities",_xlfn.XLOOKUP($K615&amp;"",UTILITIES!$B$3:$B$953&amp;"",UTILITIES!$O$3:$O$953,""),"IOT",_xlfn.XLOOKUP($K615&amp;"",IOT!$B$3:$B$1012&amp;"",IOT!$AB$3:$AB$1012,""),"Server",_xlfn.XLOOKUP($K615&amp;"",SERVER!$B$3:$B$1009&amp;"",SERVER!$AB$3:$AB$1009,""),""))))</f>
        <v/>
      </c>
      <c r="R615" s="43" t="str">
        <f>IF(tbl_handover[[#This Row],[Asset Code]]="","",COUNTIF(tbl_handover[Asset Code],tbl_handover[[#This Row],[Asset Code]]))</f>
        <v/>
      </c>
    </row>
    <row r="616" spans="1:18" x14ac:dyDescent="0.25">
      <c r="A616" s="43" t="str">
        <f>IF(B616&lt;&gt;"",SUBTOTAL(3,$B$1:B615),"")</f>
        <v/>
      </c>
      <c r="C616" s="74"/>
      <c r="D616" s="74"/>
      <c r="G616" s="1"/>
      <c r="K616" s="42"/>
      <c r="L616" t="str" cm="1">
        <f t="array" ref="L616">IF($K616="","",_xlfn.SWITCH($I616,"Computer",_xlfn.XLOOKUP($K616&amp;"",COMPUTER!$B$3:$B$1009&amp;"",COMPUTER!$I$3:$I$1009,""),"Display",_xlfn.XLOOKUP($K616&amp;"",DISPLAY!$B$3:$B$1000&amp;"",DISPLAY!$J$3:$J$1000,""),"Network Device",_xlfn.XLOOKUP($K616&amp;"",'NETWORK-DEVICES'!$B$3:$B$987&amp;"",'NETWORK-DEVICES'!$I$3:$I$987,""),"Peripheral",_xlfn.XLOOKUP($K616&amp;"",PERIPHERAL!$B$3:$B$954&amp;"",PERIPHERAL!$I$3:$I$954,""),"Utilities",_xlfn.XLOOKUP($K616&amp;"",UTILITIES!$B$3:$B$953&amp;"",UTILITIES!$H$3:$H$953,""),"IOT",_xlfn.XLOOKUP($K616&amp;"",IOT!$B$3:$B$1012&amp;"",IOT!$I$3:$I$1012,""),"SERVER",_xlfn.XLOOKUP($K616&amp;"",SERVER!$B$3:$B$1009&amp;"",SERVER!$I$3:$I$1009,""),""))</f>
        <v/>
      </c>
      <c r="M616" t="str" cm="1">
        <f t="array" ref="M616">IF($K616="","",_xlfn.SWITCH($I616,"Computer",_xlfn.XLOOKUP($K616&amp;"",COMPUTER!$B$3:$B$1009&amp;"",COMPUTER!$J$3:$J$1009,""),"Display",_xlfn.XLOOKUP($K616&amp;"",DISPLAY!$B$3:$B$1000&amp;"",DISPLAY!$K$3:$K$1000,""),"Network Device",_xlfn.XLOOKUP($K616&amp;"",'NETWORK-DEVICES'!$B$3:$B$987&amp;"",'NETWORK-DEVICES'!$I$3:$I$987,""),"Peripheral",_xlfn.XLOOKUP($K616&amp;"",PERIPHERAL!$B$3:$B$954&amp;"",PERIPHERAL!$J$3:$J$954,""),"Utilities",_xlfn.XLOOKUP($K616&amp;"",UTILITIES!$B$3:$B$953&amp;"",UTILITIES!$I$3:$I$953,""),"IOT",_xlfn.XLOOKUP($K616&amp;"",IOT!$B$3:$B$1012&amp;"",IOT!$J$3:$J$1012,""),"Server",_xlfn.XLOOKUP($K616&amp;"",SERVER!$B$3:$B$1009&amp;"",SERVER!$J$3:$J$1009,""),""))</f>
        <v/>
      </c>
      <c r="N616" s="1" t="str" cm="1">
        <f t="array" ref="N616">IF(OR($K616="",$I616="",$J616=""),"",_xlfn.LET(_xlpm.srcCat,_xlfn.SWITCH($I616,"Computer",_xlfn.XLOOKUP($K616&amp;"",COMPUTER!$B$3:$B$1009&amp;"",COMPUTER!$H$3:$H$1009,""),"Display",_xlfn.XLOOKUP($K616&amp;"",DISPLAY!$B$3:$B$1000&amp;"",DISPLAY!$H$3:$H$1000,""),"Network Device",_xlfn.XLOOKUP($K616&amp;"",'NETWORK-DEVICES'!$B$3:$B$987&amp;"",'NETWORK-DEVICES'!$H$3:$H$987,""),"Peripheral",_xlfn.XLOOKUP($K616&amp;"",PERIPHERAL!$B$3:$B$954&amp;"",PERIPHERAL!$H$3:$H$954,""),"Utilities",_xlfn.XLOOKUP($K616&amp;"",UTILITIES!$B$3:$B$953&amp;"",UTILITIES!$G$3:$G$953,""),"IOT",_xlfn.XLOOKUP($K616&amp;"",IOT!$B$3:$B$1012&amp;"",IOT!$H$3:$H$1012,""),"Server",_xlfn.XLOOKUP($K616&amp;"",SERVER!$B$3:$B$1009&amp;"",SERVER!$H$3:$H$1009,""),""),IF(TRIM(_xlpm.srcCat)&lt;&gt;TRIM($J616),"",_xlfn.SWITCH($I616,"Computer",_xlfn.XLOOKUP($K616&amp;"",COMPUTER!$B$3:$B$1009&amp;"",COMPUTER!$K$3:$K$1009,""),"Display",_xlfn.XLOOKUP($K616&amp;"",DISPLAY!$B$3:$B$1000&amp;"",DISPLAY!$L$3:$L$1000,""),"Network Device",_xlfn.XLOOKUP($K616&amp;"",'NETWORK-DEVICES'!$B$3:$B$987&amp;"",'NETWORK-DEVICES'!$K$3:$K$987,""),"Peripheral",_xlfn.XLOOKUP($K616&amp;"",PERIPHERAL!$B$3:$B$954&amp;"",PERIPHERAL!$K$3:$K$954,""),"Utilities",_xlfn.XLOOKUP($K616&amp;"",UTILITIES!$B$3:$B$953&amp;"",UTILITIES!$J$3:$J$953,""),"IOT",_xlfn.XLOOKUP($K616&amp;"",IOT!$B$3:$B$1012&amp;"",IOT!$K$4:$K$1012,""),"Server",_xlfn.XLOOKUP($K616&amp;"",SERVER!$B$3:$B$1009&amp;"",SERVER!$K$3:$K$1009,""),""))))</f>
        <v/>
      </c>
      <c r="O616" s="1" t="str" cm="1">
        <f t="array" ref="O616">IF(OR($K616="",$I616="",$J616=""),"",_xlfn.LET(_xlpm.srcCat,_xlfn.SWITCH($I616,"Computer",_xlfn.XLOOKUP($K616&amp;"",COMPUTER!$B$3:$B$1009&amp;"",COMPUTER!$H$3:$H$1009,""),"Display",_xlfn.XLOOKUP($K616&amp;"",DISPLAY!$B$3:$B$1000&amp;"",DISPLAY!$H$3:$H$1000,""),"Network Device",_xlfn.XLOOKUP($K616&amp;"",'NETWORK-DEVICES'!$B$3:$B$987&amp;"",'NETWORK-DEVICES'!$H$3:$H$987,""),"Peripheral",_xlfn.XLOOKUP($K616&amp;"",PERIPHERAL!$B$3:$B$954&amp;"",PERIPHERAL!$H$3:$H$954,""),"Utilities",_xlfn.XLOOKUP($K616&amp;"",UTILITIES!$B$3:$B$953&amp;"",UTILITIES!$G$3:$G$953,""),"IOT",_xlfn.XLOOKUP($K616&amp;"",IOT!$B$3:$B$1012&amp;"",IOT!$H$3:$H$1012,""),"Server",_xlfn.XLOOKUP($K616&amp;"",SERVER!$B$3:$B$1009&amp;"",SERVER!$H$3:$H$1009,""),""),IF(TRIM(_xlpm.srcCat)&lt;&gt;TRIM($J616),"",_xlfn.SWITCH($I616,"Computer",_xlfn.XLOOKUP($K616&amp;"",COMPUTER!$B$3:$B$1009&amp;"",COMPUTER!$E$3:$E$1009,""),"Display",_xlfn.XLOOKUP($K616&amp;"",DISPLAY!$B$3:$B$1000&amp;"",DISPLAY!$E$3:$E$1000,""),"Network Device",_xlfn.XLOOKUP($K616&amp;"",'NETWORK-DEVICES'!$B$3:$B$987&amp;"",'NETWORK-DEVICES'!$E$3:$E$987,""),"Peripheral",_xlfn.XLOOKUP($K616&amp;"",PERIPHERAL!$B$3:$B$954&amp;"",PERIPHERAL!$E$3:$E$954,""),"Utilities",_xlfn.XLOOKUP($K616&amp;"",UTILITIES!$B$3:$B$953&amp;"",UTILITIES!$E$3:$E$953,""),"IOT",_xlfn.XLOOKUP($K616&amp;"",IOT!$B$3:$B$1012&amp;"",IOT!$E$3:$E$1012,""),"Server",_xlfn.XLOOKUP($K616&amp;"",SERVER!$B$3:$B$1009&amp;"",SERVER!$E$3:$E$1009,""),""))))</f>
        <v/>
      </c>
      <c r="Q616" s="1" t="str" cm="1">
        <f t="array" ref="Q616">IF(OR($K616="",$I616="",$J616=""),"",_xlfn.LET(_xlpm.srcCat,_xlfn.SWITCH($I616,"Computer",_xlfn.XLOOKUP($K616&amp;"",COMPUTER!$B$3:$B$1009&amp;"",COMPUTER!$H$3:$H$1009,""),"Display",_xlfn.XLOOKUP($K616&amp;"",DISPLAY!$B$3:$B$1000&amp;"",DISPLAY!$H$3:$H$1000,""),"Network Device",_xlfn.XLOOKUP($K616&amp;"",'NETWORK-DEVICES'!$B$3:$B$987&amp;"",'NETWORK-DEVICES'!$H$3:$H$987,""),"Peripheral",_xlfn.XLOOKUP($K616&amp;"",PERIPHERAL!$B$3:$B$954&amp;"",PERIPHERAL!$H$3:$H$954,""),"Utilities",_xlfn.XLOOKUP($K616&amp;"",UTILITIES!$B$3:$B$953&amp;"",UTILITIES!$G$3:$G$953,""),"IOT",_xlfn.XLOOKUP($K616&amp;"",IOT!$B$3:$B$1012&amp;"",IOT!$H$3:$H$1012,""),"Server",_xlfn.XLOOKUP($K616&amp;"",SERVER!$B$3:$B$1009&amp;"",SERVER!$H$3:$H$1009,""),""),IF(TRIM(_xlpm.srcCat)&lt;&gt;TRIM($J616),"",_xlfn.SWITCH($I616,"Computer",_xlfn.XLOOKUP($K616&amp;"",COMPUTER!$B$3:$B$1009&amp;"",COMPUTER!$AM$3:$AM$1009,""),"Display",_xlfn.XLOOKUP($K616&amp;"",DISPLAY!$B$3:$B$1000&amp;"",DISPLAY!$V$3:$V$1000,""),"Network Device",_xlfn.XLOOKUP($K616&amp;"",'NETWORK-DEVICES'!$B$3:$B$987&amp;"",'NETWORK-DEVICES'!$AF$3:$AF$987,""),"Peripheral",_xlfn.XLOOKUP($K616&amp;"",PERIPHERAL!$B$3:$B$954&amp;"",PERIPHERAL!$Y$3:$Y$954,""),"Utilities",_xlfn.XLOOKUP($K616&amp;"",UTILITIES!$B$3:$B$953&amp;"",UTILITIES!$O$3:$O$953,""),"IOT",_xlfn.XLOOKUP($K616&amp;"",IOT!$B$3:$B$1012&amp;"",IOT!$AB$3:$AB$1012,""),"Server",_xlfn.XLOOKUP($K616&amp;"",SERVER!$B$3:$B$1009&amp;"",SERVER!$AB$3:$AB$1009,""),""))))</f>
        <v/>
      </c>
      <c r="R616" s="43" t="str">
        <f>IF(tbl_handover[[#This Row],[Asset Code]]="","",COUNTIF(tbl_handover[Asset Code],tbl_handover[[#This Row],[Asset Code]]))</f>
        <v/>
      </c>
    </row>
    <row r="617" spans="1:18" x14ac:dyDescent="0.25">
      <c r="A617" s="43" t="str">
        <f>IF(B617&lt;&gt;"",SUBTOTAL(3,$B$1:B616),"")</f>
        <v/>
      </c>
      <c r="C617" s="74"/>
      <c r="D617" s="74"/>
      <c r="G617" s="1"/>
      <c r="K617" s="42"/>
      <c r="L617" t="str" cm="1">
        <f t="array" ref="L617">IF($K617="","",_xlfn.SWITCH($I617,"Computer",_xlfn.XLOOKUP($K617&amp;"",COMPUTER!$B$3:$B$1009&amp;"",COMPUTER!$I$3:$I$1009,""),"Display",_xlfn.XLOOKUP($K617&amp;"",DISPLAY!$B$3:$B$1000&amp;"",DISPLAY!$J$3:$J$1000,""),"Network Device",_xlfn.XLOOKUP($K617&amp;"",'NETWORK-DEVICES'!$B$3:$B$987&amp;"",'NETWORK-DEVICES'!$I$3:$I$987,""),"Peripheral",_xlfn.XLOOKUP($K617&amp;"",PERIPHERAL!$B$3:$B$954&amp;"",PERIPHERAL!$I$3:$I$954,""),"Utilities",_xlfn.XLOOKUP($K617&amp;"",UTILITIES!$B$3:$B$953&amp;"",UTILITIES!$H$3:$H$953,""),"IOT",_xlfn.XLOOKUP($K617&amp;"",IOT!$B$3:$B$1012&amp;"",IOT!$I$3:$I$1012,""),"SERVER",_xlfn.XLOOKUP($K617&amp;"",SERVER!$B$3:$B$1009&amp;"",SERVER!$I$3:$I$1009,""),""))</f>
        <v/>
      </c>
      <c r="M617" t="str" cm="1">
        <f t="array" ref="M617">IF($K617="","",_xlfn.SWITCH($I617,"Computer",_xlfn.XLOOKUP($K617&amp;"",COMPUTER!$B$3:$B$1009&amp;"",COMPUTER!$J$3:$J$1009,""),"Display",_xlfn.XLOOKUP($K617&amp;"",DISPLAY!$B$3:$B$1000&amp;"",DISPLAY!$K$3:$K$1000,""),"Network Device",_xlfn.XLOOKUP($K617&amp;"",'NETWORK-DEVICES'!$B$3:$B$987&amp;"",'NETWORK-DEVICES'!$I$3:$I$987,""),"Peripheral",_xlfn.XLOOKUP($K617&amp;"",PERIPHERAL!$B$3:$B$954&amp;"",PERIPHERAL!$J$3:$J$954,""),"Utilities",_xlfn.XLOOKUP($K617&amp;"",UTILITIES!$B$3:$B$953&amp;"",UTILITIES!$I$3:$I$953,""),"IOT",_xlfn.XLOOKUP($K617&amp;"",IOT!$B$3:$B$1012&amp;"",IOT!$J$3:$J$1012,""),"Server",_xlfn.XLOOKUP($K617&amp;"",SERVER!$B$3:$B$1009&amp;"",SERVER!$J$3:$J$1009,""),""))</f>
        <v/>
      </c>
      <c r="N617" s="1" t="str" cm="1">
        <f t="array" ref="N617">IF(OR($K617="",$I617="",$J617=""),"",_xlfn.LET(_xlpm.srcCat,_xlfn.SWITCH($I617,"Computer",_xlfn.XLOOKUP($K617&amp;"",COMPUTER!$B$3:$B$1009&amp;"",COMPUTER!$H$3:$H$1009,""),"Display",_xlfn.XLOOKUP($K617&amp;"",DISPLAY!$B$3:$B$1000&amp;"",DISPLAY!$H$3:$H$1000,""),"Network Device",_xlfn.XLOOKUP($K617&amp;"",'NETWORK-DEVICES'!$B$3:$B$987&amp;"",'NETWORK-DEVICES'!$H$3:$H$987,""),"Peripheral",_xlfn.XLOOKUP($K617&amp;"",PERIPHERAL!$B$3:$B$954&amp;"",PERIPHERAL!$H$3:$H$954,""),"Utilities",_xlfn.XLOOKUP($K617&amp;"",UTILITIES!$B$3:$B$953&amp;"",UTILITIES!$G$3:$G$953,""),"IOT",_xlfn.XLOOKUP($K617&amp;"",IOT!$B$3:$B$1012&amp;"",IOT!$H$3:$H$1012,""),"Server",_xlfn.XLOOKUP($K617&amp;"",SERVER!$B$3:$B$1009&amp;"",SERVER!$H$3:$H$1009,""),""),IF(TRIM(_xlpm.srcCat)&lt;&gt;TRIM($J617),"",_xlfn.SWITCH($I617,"Computer",_xlfn.XLOOKUP($K617&amp;"",COMPUTER!$B$3:$B$1009&amp;"",COMPUTER!$K$3:$K$1009,""),"Display",_xlfn.XLOOKUP($K617&amp;"",DISPLAY!$B$3:$B$1000&amp;"",DISPLAY!$L$3:$L$1000,""),"Network Device",_xlfn.XLOOKUP($K617&amp;"",'NETWORK-DEVICES'!$B$3:$B$987&amp;"",'NETWORK-DEVICES'!$K$3:$K$987,""),"Peripheral",_xlfn.XLOOKUP($K617&amp;"",PERIPHERAL!$B$3:$B$954&amp;"",PERIPHERAL!$K$3:$K$954,""),"Utilities",_xlfn.XLOOKUP($K617&amp;"",UTILITIES!$B$3:$B$953&amp;"",UTILITIES!$J$3:$J$953,""),"IOT",_xlfn.XLOOKUP($K617&amp;"",IOT!$B$3:$B$1012&amp;"",IOT!$K$4:$K$1012,""),"Server",_xlfn.XLOOKUP($K617&amp;"",SERVER!$B$3:$B$1009&amp;"",SERVER!$K$3:$K$1009,""),""))))</f>
        <v/>
      </c>
      <c r="O617" s="1" t="str" cm="1">
        <f t="array" ref="O617">IF(OR($K617="",$I617="",$J617=""),"",_xlfn.LET(_xlpm.srcCat,_xlfn.SWITCH($I617,"Computer",_xlfn.XLOOKUP($K617&amp;"",COMPUTER!$B$3:$B$1009&amp;"",COMPUTER!$H$3:$H$1009,""),"Display",_xlfn.XLOOKUP($K617&amp;"",DISPLAY!$B$3:$B$1000&amp;"",DISPLAY!$H$3:$H$1000,""),"Network Device",_xlfn.XLOOKUP($K617&amp;"",'NETWORK-DEVICES'!$B$3:$B$987&amp;"",'NETWORK-DEVICES'!$H$3:$H$987,""),"Peripheral",_xlfn.XLOOKUP($K617&amp;"",PERIPHERAL!$B$3:$B$954&amp;"",PERIPHERAL!$H$3:$H$954,""),"Utilities",_xlfn.XLOOKUP($K617&amp;"",UTILITIES!$B$3:$B$953&amp;"",UTILITIES!$G$3:$G$953,""),"IOT",_xlfn.XLOOKUP($K617&amp;"",IOT!$B$3:$B$1012&amp;"",IOT!$H$3:$H$1012,""),"Server",_xlfn.XLOOKUP($K617&amp;"",SERVER!$B$3:$B$1009&amp;"",SERVER!$H$3:$H$1009,""),""),IF(TRIM(_xlpm.srcCat)&lt;&gt;TRIM($J617),"",_xlfn.SWITCH($I617,"Computer",_xlfn.XLOOKUP($K617&amp;"",COMPUTER!$B$3:$B$1009&amp;"",COMPUTER!$E$3:$E$1009,""),"Display",_xlfn.XLOOKUP($K617&amp;"",DISPLAY!$B$3:$B$1000&amp;"",DISPLAY!$E$3:$E$1000,""),"Network Device",_xlfn.XLOOKUP($K617&amp;"",'NETWORK-DEVICES'!$B$3:$B$987&amp;"",'NETWORK-DEVICES'!$E$3:$E$987,""),"Peripheral",_xlfn.XLOOKUP($K617&amp;"",PERIPHERAL!$B$3:$B$954&amp;"",PERIPHERAL!$E$3:$E$954,""),"Utilities",_xlfn.XLOOKUP($K617&amp;"",UTILITIES!$B$3:$B$953&amp;"",UTILITIES!$E$3:$E$953,""),"IOT",_xlfn.XLOOKUP($K617&amp;"",IOT!$B$3:$B$1012&amp;"",IOT!$E$3:$E$1012,""),"Server",_xlfn.XLOOKUP($K617&amp;"",SERVER!$B$3:$B$1009&amp;"",SERVER!$E$3:$E$1009,""),""))))</f>
        <v/>
      </c>
      <c r="Q617" s="1" t="str" cm="1">
        <f t="array" ref="Q617">IF(OR($K617="",$I617="",$J617=""),"",_xlfn.LET(_xlpm.srcCat,_xlfn.SWITCH($I617,"Computer",_xlfn.XLOOKUP($K617&amp;"",COMPUTER!$B$3:$B$1009&amp;"",COMPUTER!$H$3:$H$1009,""),"Display",_xlfn.XLOOKUP($K617&amp;"",DISPLAY!$B$3:$B$1000&amp;"",DISPLAY!$H$3:$H$1000,""),"Network Device",_xlfn.XLOOKUP($K617&amp;"",'NETWORK-DEVICES'!$B$3:$B$987&amp;"",'NETWORK-DEVICES'!$H$3:$H$987,""),"Peripheral",_xlfn.XLOOKUP($K617&amp;"",PERIPHERAL!$B$3:$B$954&amp;"",PERIPHERAL!$H$3:$H$954,""),"Utilities",_xlfn.XLOOKUP($K617&amp;"",UTILITIES!$B$3:$B$953&amp;"",UTILITIES!$G$3:$G$953,""),"IOT",_xlfn.XLOOKUP($K617&amp;"",IOT!$B$3:$B$1012&amp;"",IOT!$H$3:$H$1012,""),"Server",_xlfn.XLOOKUP($K617&amp;"",SERVER!$B$3:$B$1009&amp;"",SERVER!$H$3:$H$1009,""),""),IF(TRIM(_xlpm.srcCat)&lt;&gt;TRIM($J617),"",_xlfn.SWITCH($I617,"Computer",_xlfn.XLOOKUP($K617&amp;"",COMPUTER!$B$3:$B$1009&amp;"",COMPUTER!$AM$3:$AM$1009,""),"Display",_xlfn.XLOOKUP($K617&amp;"",DISPLAY!$B$3:$B$1000&amp;"",DISPLAY!$V$3:$V$1000,""),"Network Device",_xlfn.XLOOKUP($K617&amp;"",'NETWORK-DEVICES'!$B$3:$B$987&amp;"",'NETWORK-DEVICES'!$AF$3:$AF$987,""),"Peripheral",_xlfn.XLOOKUP($K617&amp;"",PERIPHERAL!$B$3:$B$954&amp;"",PERIPHERAL!$Y$3:$Y$954,""),"Utilities",_xlfn.XLOOKUP($K617&amp;"",UTILITIES!$B$3:$B$953&amp;"",UTILITIES!$O$3:$O$953,""),"IOT",_xlfn.XLOOKUP($K617&amp;"",IOT!$B$3:$B$1012&amp;"",IOT!$AB$3:$AB$1012,""),"Server",_xlfn.XLOOKUP($K617&amp;"",SERVER!$B$3:$B$1009&amp;"",SERVER!$AB$3:$AB$1009,""),""))))</f>
        <v/>
      </c>
      <c r="R617" s="43" t="str">
        <f>IF(tbl_handover[[#This Row],[Asset Code]]="","",COUNTIF(tbl_handover[Asset Code],tbl_handover[[#This Row],[Asset Code]]))</f>
        <v/>
      </c>
    </row>
    <row r="618" spans="1:18" x14ac:dyDescent="0.25">
      <c r="A618" s="43" t="str">
        <f>IF(B618&lt;&gt;"",SUBTOTAL(3,$B$1:B617),"")</f>
        <v/>
      </c>
      <c r="C618" s="74"/>
      <c r="D618" s="74"/>
      <c r="G618" s="1"/>
      <c r="K618" s="42"/>
      <c r="L618" t="str" cm="1">
        <f t="array" ref="L618">IF($K618="","",_xlfn.SWITCH($I618,"Computer",_xlfn.XLOOKUP($K618&amp;"",COMPUTER!$B$3:$B$1009&amp;"",COMPUTER!$I$3:$I$1009,""),"Display",_xlfn.XLOOKUP($K618&amp;"",DISPLAY!$B$3:$B$1000&amp;"",DISPLAY!$J$3:$J$1000,""),"Network Device",_xlfn.XLOOKUP($K618&amp;"",'NETWORK-DEVICES'!$B$3:$B$987&amp;"",'NETWORK-DEVICES'!$I$3:$I$987,""),"Peripheral",_xlfn.XLOOKUP($K618&amp;"",PERIPHERAL!$B$3:$B$954&amp;"",PERIPHERAL!$I$3:$I$954,""),"Utilities",_xlfn.XLOOKUP($K618&amp;"",UTILITIES!$B$3:$B$953&amp;"",UTILITIES!$H$3:$H$953,""),"IOT",_xlfn.XLOOKUP($K618&amp;"",IOT!$B$3:$B$1012&amp;"",IOT!$I$3:$I$1012,""),"SERVER",_xlfn.XLOOKUP($K618&amp;"",SERVER!$B$3:$B$1009&amp;"",SERVER!$I$3:$I$1009,""),""))</f>
        <v/>
      </c>
      <c r="M618" t="str" cm="1">
        <f t="array" ref="M618">IF($K618="","",_xlfn.SWITCH($I618,"Computer",_xlfn.XLOOKUP($K618&amp;"",COMPUTER!$B$3:$B$1009&amp;"",COMPUTER!$J$3:$J$1009,""),"Display",_xlfn.XLOOKUP($K618&amp;"",DISPLAY!$B$3:$B$1000&amp;"",DISPLAY!$K$3:$K$1000,""),"Network Device",_xlfn.XLOOKUP($K618&amp;"",'NETWORK-DEVICES'!$B$3:$B$987&amp;"",'NETWORK-DEVICES'!$I$3:$I$987,""),"Peripheral",_xlfn.XLOOKUP($K618&amp;"",PERIPHERAL!$B$3:$B$954&amp;"",PERIPHERAL!$J$3:$J$954,""),"Utilities",_xlfn.XLOOKUP($K618&amp;"",UTILITIES!$B$3:$B$953&amp;"",UTILITIES!$I$3:$I$953,""),"IOT",_xlfn.XLOOKUP($K618&amp;"",IOT!$B$3:$B$1012&amp;"",IOT!$J$3:$J$1012,""),"Server",_xlfn.XLOOKUP($K618&amp;"",SERVER!$B$3:$B$1009&amp;"",SERVER!$J$3:$J$1009,""),""))</f>
        <v/>
      </c>
      <c r="N618" s="1" t="str" cm="1">
        <f t="array" ref="N618">IF(OR($K618="",$I618="",$J618=""),"",_xlfn.LET(_xlpm.srcCat,_xlfn.SWITCH($I618,"Computer",_xlfn.XLOOKUP($K618&amp;"",COMPUTER!$B$3:$B$1009&amp;"",COMPUTER!$H$3:$H$1009,""),"Display",_xlfn.XLOOKUP($K618&amp;"",DISPLAY!$B$3:$B$1000&amp;"",DISPLAY!$H$3:$H$1000,""),"Network Device",_xlfn.XLOOKUP($K618&amp;"",'NETWORK-DEVICES'!$B$3:$B$987&amp;"",'NETWORK-DEVICES'!$H$3:$H$987,""),"Peripheral",_xlfn.XLOOKUP($K618&amp;"",PERIPHERAL!$B$3:$B$954&amp;"",PERIPHERAL!$H$3:$H$954,""),"Utilities",_xlfn.XLOOKUP($K618&amp;"",UTILITIES!$B$3:$B$953&amp;"",UTILITIES!$G$3:$G$953,""),"IOT",_xlfn.XLOOKUP($K618&amp;"",IOT!$B$3:$B$1012&amp;"",IOT!$H$3:$H$1012,""),"Server",_xlfn.XLOOKUP($K618&amp;"",SERVER!$B$3:$B$1009&amp;"",SERVER!$H$3:$H$1009,""),""),IF(TRIM(_xlpm.srcCat)&lt;&gt;TRIM($J618),"",_xlfn.SWITCH($I618,"Computer",_xlfn.XLOOKUP($K618&amp;"",COMPUTER!$B$3:$B$1009&amp;"",COMPUTER!$K$3:$K$1009,""),"Display",_xlfn.XLOOKUP($K618&amp;"",DISPLAY!$B$3:$B$1000&amp;"",DISPLAY!$L$3:$L$1000,""),"Network Device",_xlfn.XLOOKUP($K618&amp;"",'NETWORK-DEVICES'!$B$3:$B$987&amp;"",'NETWORK-DEVICES'!$K$3:$K$987,""),"Peripheral",_xlfn.XLOOKUP($K618&amp;"",PERIPHERAL!$B$3:$B$954&amp;"",PERIPHERAL!$K$3:$K$954,""),"Utilities",_xlfn.XLOOKUP($K618&amp;"",UTILITIES!$B$3:$B$953&amp;"",UTILITIES!$J$3:$J$953,""),"IOT",_xlfn.XLOOKUP($K618&amp;"",IOT!$B$3:$B$1012&amp;"",IOT!$K$4:$K$1012,""),"Server",_xlfn.XLOOKUP($K618&amp;"",SERVER!$B$3:$B$1009&amp;"",SERVER!$K$3:$K$1009,""),""))))</f>
        <v/>
      </c>
      <c r="O618" s="1" t="str" cm="1">
        <f t="array" ref="O618">IF(OR($K618="",$I618="",$J618=""),"",_xlfn.LET(_xlpm.srcCat,_xlfn.SWITCH($I618,"Computer",_xlfn.XLOOKUP($K618&amp;"",COMPUTER!$B$3:$B$1009&amp;"",COMPUTER!$H$3:$H$1009,""),"Display",_xlfn.XLOOKUP($K618&amp;"",DISPLAY!$B$3:$B$1000&amp;"",DISPLAY!$H$3:$H$1000,""),"Network Device",_xlfn.XLOOKUP($K618&amp;"",'NETWORK-DEVICES'!$B$3:$B$987&amp;"",'NETWORK-DEVICES'!$H$3:$H$987,""),"Peripheral",_xlfn.XLOOKUP($K618&amp;"",PERIPHERAL!$B$3:$B$954&amp;"",PERIPHERAL!$H$3:$H$954,""),"Utilities",_xlfn.XLOOKUP($K618&amp;"",UTILITIES!$B$3:$B$953&amp;"",UTILITIES!$G$3:$G$953,""),"IOT",_xlfn.XLOOKUP($K618&amp;"",IOT!$B$3:$B$1012&amp;"",IOT!$H$3:$H$1012,""),"Server",_xlfn.XLOOKUP($K618&amp;"",SERVER!$B$3:$B$1009&amp;"",SERVER!$H$3:$H$1009,""),""),IF(TRIM(_xlpm.srcCat)&lt;&gt;TRIM($J618),"",_xlfn.SWITCH($I618,"Computer",_xlfn.XLOOKUP($K618&amp;"",COMPUTER!$B$3:$B$1009&amp;"",COMPUTER!$E$3:$E$1009,""),"Display",_xlfn.XLOOKUP($K618&amp;"",DISPLAY!$B$3:$B$1000&amp;"",DISPLAY!$E$3:$E$1000,""),"Network Device",_xlfn.XLOOKUP($K618&amp;"",'NETWORK-DEVICES'!$B$3:$B$987&amp;"",'NETWORK-DEVICES'!$E$3:$E$987,""),"Peripheral",_xlfn.XLOOKUP($K618&amp;"",PERIPHERAL!$B$3:$B$954&amp;"",PERIPHERAL!$E$3:$E$954,""),"Utilities",_xlfn.XLOOKUP($K618&amp;"",UTILITIES!$B$3:$B$953&amp;"",UTILITIES!$E$3:$E$953,""),"IOT",_xlfn.XLOOKUP($K618&amp;"",IOT!$B$3:$B$1012&amp;"",IOT!$E$3:$E$1012,""),"Server",_xlfn.XLOOKUP($K618&amp;"",SERVER!$B$3:$B$1009&amp;"",SERVER!$E$3:$E$1009,""),""))))</f>
        <v/>
      </c>
      <c r="Q618" s="1" t="str" cm="1">
        <f t="array" ref="Q618">IF(OR($K618="",$I618="",$J618=""),"",_xlfn.LET(_xlpm.srcCat,_xlfn.SWITCH($I618,"Computer",_xlfn.XLOOKUP($K618&amp;"",COMPUTER!$B$3:$B$1009&amp;"",COMPUTER!$H$3:$H$1009,""),"Display",_xlfn.XLOOKUP($K618&amp;"",DISPLAY!$B$3:$B$1000&amp;"",DISPLAY!$H$3:$H$1000,""),"Network Device",_xlfn.XLOOKUP($K618&amp;"",'NETWORK-DEVICES'!$B$3:$B$987&amp;"",'NETWORK-DEVICES'!$H$3:$H$987,""),"Peripheral",_xlfn.XLOOKUP($K618&amp;"",PERIPHERAL!$B$3:$B$954&amp;"",PERIPHERAL!$H$3:$H$954,""),"Utilities",_xlfn.XLOOKUP($K618&amp;"",UTILITIES!$B$3:$B$953&amp;"",UTILITIES!$G$3:$G$953,""),"IOT",_xlfn.XLOOKUP($K618&amp;"",IOT!$B$3:$B$1012&amp;"",IOT!$H$3:$H$1012,""),"Server",_xlfn.XLOOKUP($K618&amp;"",SERVER!$B$3:$B$1009&amp;"",SERVER!$H$3:$H$1009,""),""),IF(TRIM(_xlpm.srcCat)&lt;&gt;TRIM($J618),"",_xlfn.SWITCH($I618,"Computer",_xlfn.XLOOKUP($K618&amp;"",COMPUTER!$B$3:$B$1009&amp;"",COMPUTER!$AM$3:$AM$1009,""),"Display",_xlfn.XLOOKUP($K618&amp;"",DISPLAY!$B$3:$B$1000&amp;"",DISPLAY!$V$3:$V$1000,""),"Network Device",_xlfn.XLOOKUP($K618&amp;"",'NETWORK-DEVICES'!$B$3:$B$987&amp;"",'NETWORK-DEVICES'!$AF$3:$AF$987,""),"Peripheral",_xlfn.XLOOKUP($K618&amp;"",PERIPHERAL!$B$3:$B$954&amp;"",PERIPHERAL!$Y$3:$Y$954,""),"Utilities",_xlfn.XLOOKUP($K618&amp;"",UTILITIES!$B$3:$B$953&amp;"",UTILITIES!$O$3:$O$953,""),"IOT",_xlfn.XLOOKUP($K618&amp;"",IOT!$B$3:$B$1012&amp;"",IOT!$AB$3:$AB$1012,""),"Server",_xlfn.XLOOKUP($K618&amp;"",SERVER!$B$3:$B$1009&amp;"",SERVER!$AB$3:$AB$1009,""),""))))</f>
        <v/>
      </c>
      <c r="R618" s="43" t="str">
        <f>IF(tbl_handover[[#This Row],[Asset Code]]="","",COUNTIF(tbl_handover[Asset Code],tbl_handover[[#This Row],[Asset Code]]))</f>
        <v/>
      </c>
    </row>
    <row r="619" spans="1:18" x14ac:dyDescent="0.25">
      <c r="A619" s="43" t="str">
        <f>IF(B619&lt;&gt;"",SUBTOTAL(3,$B$1:B618),"")</f>
        <v/>
      </c>
      <c r="C619" s="74"/>
      <c r="D619" s="74"/>
      <c r="G619" s="1"/>
      <c r="K619" s="42"/>
      <c r="L619" t="str" cm="1">
        <f t="array" ref="L619">IF($K619="","",_xlfn.SWITCH($I619,"Computer",_xlfn.XLOOKUP($K619&amp;"",COMPUTER!$B$3:$B$1009&amp;"",COMPUTER!$I$3:$I$1009,""),"Display",_xlfn.XLOOKUP($K619&amp;"",DISPLAY!$B$3:$B$1000&amp;"",DISPLAY!$J$3:$J$1000,""),"Network Device",_xlfn.XLOOKUP($K619&amp;"",'NETWORK-DEVICES'!$B$3:$B$987&amp;"",'NETWORK-DEVICES'!$I$3:$I$987,""),"Peripheral",_xlfn.XLOOKUP($K619&amp;"",PERIPHERAL!$B$3:$B$954&amp;"",PERIPHERAL!$I$3:$I$954,""),"Utilities",_xlfn.XLOOKUP($K619&amp;"",UTILITIES!$B$3:$B$953&amp;"",UTILITIES!$H$3:$H$953,""),"IOT",_xlfn.XLOOKUP($K619&amp;"",IOT!$B$3:$B$1012&amp;"",IOT!$I$3:$I$1012,""),"SERVER",_xlfn.XLOOKUP($K619&amp;"",SERVER!$B$3:$B$1009&amp;"",SERVER!$I$3:$I$1009,""),""))</f>
        <v/>
      </c>
      <c r="M619" t="str" cm="1">
        <f t="array" ref="M619">IF($K619="","",_xlfn.SWITCH($I619,"Computer",_xlfn.XLOOKUP($K619&amp;"",COMPUTER!$B$3:$B$1009&amp;"",COMPUTER!$J$3:$J$1009,""),"Display",_xlfn.XLOOKUP($K619&amp;"",DISPLAY!$B$3:$B$1000&amp;"",DISPLAY!$K$3:$K$1000,""),"Network Device",_xlfn.XLOOKUP($K619&amp;"",'NETWORK-DEVICES'!$B$3:$B$987&amp;"",'NETWORK-DEVICES'!$I$3:$I$987,""),"Peripheral",_xlfn.XLOOKUP($K619&amp;"",PERIPHERAL!$B$3:$B$954&amp;"",PERIPHERAL!$J$3:$J$954,""),"Utilities",_xlfn.XLOOKUP($K619&amp;"",UTILITIES!$B$3:$B$953&amp;"",UTILITIES!$I$3:$I$953,""),"IOT",_xlfn.XLOOKUP($K619&amp;"",IOT!$B$3:$B$1012&amp;"",IOT!$J$3:$J$1012,""),"Server",_xlfn.XLOOKUP($K619&amp;"",SERVER!$B$3:$B$1009&amp;"",SERVER!$J$3:$J$1009,""),""))</f>
        <v/>
      </c>
      <c r="N619" s="1" t="str" cm="1">
        <f t="array" ref="N619">IF(OR($K619="",$I619="",$J619=""),"",_xlfn.LET(_xlpm.srcCat,_xlfn.SWITCH($I619,"Computer",_xlfn.XLOOKUP($K619&amp;"",COMPUTER!$B$3:$B$1009&amp;"",COMPUTER!$H$3:$H$1009,""),"Display",_xlfn.XLOOKUP($K619&amp;"",DISPLAY!$B$3:$B$1000&amp;"",DISPLAY!$H$3:$H$1000,""),"Network Device",_xlfn.XLOOKUP($K619&amp;"",'NETWORK-DEVICES'!$B$3:$B$987&amp;"",'NETWORK-DEVICES'!$H$3:$H$987,""),"Peripheral",_xlfn.XLOOKUP($K619&amp;"",PERIPHERAL!$B$3:$B$954&amp;"",PERIPHERAL!$H$3:$H$954,""),"Utilities",_xlfn.XLOOKUP($K619&amp;"",UTILITIES!$B$3:$B$953&amp;"",UTILITIES!$G$3:$G$953,""),"IOT",_xlfn.XLOOKUP($K619&amp;"",IOT!$B$3:$B$1012&amp;"",IOT!$H$3:$H$1012,""),"Server",_xlfn.XLOOKUP($K619&amp;"",SERVER!$B$3:$B$1009&amp;"",SERVER!$H$3:$H$1009,""),""),IF(TRIM(_xlpm.srcCat)&lt;&gt;TRIM($J619),"",_xlfn.SWITCH($I619,"Computer",_xlfn.XLOOKUP($K619&amp;"",COMPUTER!$B$3:$B$1009&amp;"",COMPUTER!$K$3:$K$1009,""),"Display",_xlfn.XLOOKUP($K619&amp;"",DISPLAY!$B$3:$B$1000&amp;"",DISPLAY!$L$3:$L$1000,""),"Network Device",_xlfn.XLOOKUP($K619&amp;"",'NETWORK-DEVICES'!$B$3:$B$987&amp;"",'NETWORK-DEVICES'!$K$3:$K$987,""),"Peripheral",_xlfn.XLOOKUP($K619&amp;"",PERIPHERAL!$B$3:$B$954&amp;"",PERIPHERAL!$K$3:$K$954,""),"Utilities",_xlfn.XLOOKUP($K619&amp;"",UTILITIES!$B$3:$B$953&amp;"",UTILITIES!$J$3:$J$953,""),"IOT",_xlfn.XLOOKUP($K619&amp;"",IOT!$B$3:$B$1012&amp;"",IOT!$K$4:$K$1012,""),"Server",_xlfn.XLOOKUP($K619&amp;"",SERVER!$B$3:$B$1009&amp;"",SERVER!$K$3:$K$1009,""),""))))</f>
        <v/>
      </c>
      <c r="O619" s="1" t="str" cm="1">
        <f t="array" ref="O619">IF(OR($K619="",$I619="",$J619=""),"",_xlfn.LET(_xlpm.srcCat,_xlfn.SWITCH($I619,"Computer",_xlfn.XLOOKUP($K619&amp;"",COMPUTER!$B$3:$B$1009&amp;"",COMPUTER!$H$3:$H$1009,""),"Display",_xlfn.XLOOKUP($K619&amp;"",DISPLAY!$B$3:$B$1000&amp;"",DISPLAY!$H$3:$H$1000,""),"Network Device",_xlfn.XLOOKUP($K619&amp;"",'NETWORK-DEVICES'!$B$3:$B$987&amp;"",'NETWORK-DEVICES'!$H$3:$H$987,""),"Peripheral",_xlfn.XLOOKUP($K619&amp;"",PERIPHERAL!$B$3:$B$954&amp;"",PERIPHERAL!$H$3:$H$954,""),"Utilities",_xlfn.XLOOKUP($K619&amp;"",UTILITIES!$B$3:$B$953&amp;"",UTILITIES!$G$3:$G$953,""),"IOT",_xlfn.XLOOKUP($K619&amp;"",IOT!$B$3:$B$1012&amp;"",IOT!$H$3:$H$1012,""),"Server",_xlfn.XLOOKUP($K619&amp;"",SERVER!$B$3:$B$1009&amp;"",SERVER!$H$3:$H$1009,""),""),IF(TRIM(_xlpm.srcCat)&lt;&gt;TRIM($J619),"",_xlfn.SWITCH($I619,"Computer",_xlfn.XLOOKUP($K619&amp;"",COMPUTER!$B$3:$B$1009&amp;"",COMPUTER!$E$3:$E$1009,""),"Display",_xlfn.XLOOKUP($K619&amp;"",DISPLAY!$B$3:$B$1000&amp;"",DISPLAY!$E$3:$E$1000,""),"Network Device",_xlfn.XLOOKUP($K619&amp;"",'NETWORK-DEVICES'!$B$3:$B$987&amp;"",'NETWORK-DEVICES'!$E$3:$E$987,""),"Peripheral",_xlfn.XLOOKUP($K619&amp;"",PERIPHERAL!$B$3:$B$954&amp;"",PERIPHERAL!$E$3:$E$954,""),"Utilities",_xlfn.XLOOKUP($K619&amp;"",UTILITIES!$B$3:$B$953&amp;"",UTILITIES!$E$3:$E$953,""),"IOT",_xlfn.XLOOKUP($K619&amp;"",IOT!$B$3:$B$1012&amp;"",IOT!$E$3:$E$1012,""),"Server",_xlfn.XLOOKUP($K619&amp;"",SERVER!$B$3:$B$1009&amp;"",SERVER!$E$3:$E$1009,""),""))))</f>
        <v/>
      </c>
      <c r="Q619" s="1" t="str" cm="1">
        <f t="array" ref="Q619">IF(OR($K619="",$I619="",$J619=""),"",_xlfn.LET(_xlpm.srcCat,_xlfn.SWITCH($I619,"Computer",_xlfn.XLOOKUP($K619&amp;"",COMPUTER!$B$3:$B$1009&amp;"",COMPUTER!$H$3:$H$1009,""),"Display",_xlfn.XLOOKUP($K619&amp;"",DISPLAY!$B$3:$B$1000&amp;"",DISPLAY!$H$3:$H$1000,""),"Network Device",_xlfn.XLOOKUP($K619&amp;"",'NETWORK-DEVICES'!$B$3:$B$987&amp;"",'NETWORK-DEVICES'!$H$3:$H$987,""),"Peripheral",_xlfn.XLOOKUP($K619&amp;"",PERIPHERAL!$B$3:$B$954&amp;"",PERIPHERAL!$H$3:$H$954,""),"Utilities",_xlfn.XLOOKUP($K619&amp;"",UTILITIES!$B$3:$B$953&amp;"",UTILITIES!$G$3:$G$953,""),"IOT",_xlfn.XLOOKUP($K619&amp;"",IOT!$B$3:$B$1012&amp;"",IOT!$H$3:$H$1012,""),"Server",_xlfn.XLOOKUP($K619&amp;"",SERVER!$B$3:$B$1009&amp;"",SERVER!$H$3:$H$1009,""),""),IF(TRIM(_xlpm.srcCat)&lt;&gt;TRIM($J619),"",_xlfn.SWITCH($I619,"Computer",_xlfn.XLOOKUP($K619&amp;"",COMPUTER!$B$3:$B$1009&amp;"",COMPUTER!$AM$3:$AM$1009,""),"Display",_xlfn.XLOOKUP($K619&amp;"",DISPLAY!$B$3:$B$1000&amp;"",DISPLAY!$V$3:$V$1000,""),"Network Device",_xlfn.XLOOKUP($K619&amp;"",'NETWORK-DEVICES'!$B$3:$B$987&amp;"",'NETWORK-DEVICES'!$AF$3:$AF$987,""),"Peripheral",_xlfn.XLOOKUP($K619&amp;"",PERIPHERAL!$B$3:$B$954&amp;"",PERIPHERAL!$Y$3:$Y$954,""),"Utilities",_xlfn.XLOOKUP($K619&amp;"",UTILITIES!$B$3:$B$953&amp;"",UTILITIES!$O$3:$O$953,""),"IOT",_xlfn.XLOOKUP($K619&amp;"",IOT!$B$3:$B$1012&amp;"",IOT!$AB$3:$AB$1012,""),"Server",_xlfn.XLOOKUP($K619&amp;"",SERVER!$B$3:$B$1009&amp;"",SERVER!$AB$3:$AB$1009,""),""))))</f>
        <v/>
      </c>
      <c r="R619" s="43" t="str">
        <f>IF(tbl_handover[[#This Row],[Asset Code]]="","",COUNTIF(tbl_handover[Asset Code],tbl_handover[[#This Row],[Asset Code]]))</f>
        <v/>
      </c>
    </row>
    <row r="620" spans="1:18" x14ac:dyDescent="0.25">
      <c r="A620" s="43" t="str">
        <f>IF(B620&lt;&gt;"",SUBTOTAL(3,$B$1:B619),"")</f>
        <v/>
      </c>
      <c r="C620" s="74"/>
      <c r="D620" s="74"/>
      <c r="G620" s="1"/>
      <c r="K620" s="42"/>
      <c r="L620" t="str" cm="1">
        <f t="array" ref="L620">IF($K620="","",_xlfn.SWITCH($I620,"Computer",_xlfn.XLOOKUP($K620&amp;"",COMPUTER!$B$3:$B$1009&amp;"",COMPUTER!$I$3:$I$1009,""),"Display",_xlfn.XLOOKUP($K620&amp;"",DISPLAY!$B$3:$B$1000&amp;"",DISPLAY!$J$3:$J$1000,""),"Network Device",_xlfn.XLOOKUP($K620&amp;"",'NETWORK-DEVICES'!$B$3:$B$987&amp;"",'NETWORK-DEVICES'!$I$3:$I$987,""),"Peripheral",_xlfn.XLOOKUP($K620&amp;"",PERIPHERAL!$B$3:$B$954&amp;"",PERIPHERAL!$I$3:$I$954,""),"Utilities",_xlfn.XLOOKUP($K620&amp;"",UTILITIES!$B$3:$B$953&amp;"",UTILITIES!$H$3:$H$953,""),"IOT",_xlfn.XLOOKUP($K620&amp;"",IOT!$B$3:$B$1012&amp;"",IOT!$I$3:$I$1012,""),"SERVER",_xlfn.XLOOKUP($K620&amp;"",SERVER!$B$3:$B$1009&amp;"",SERVER!$I$3:$I$1009,""),""))</f>
        <v/>
      </c>
      <c r="M620" t="str" cm="1">
        <f t="array" ref="M620">IF($K620="","",_xlfn.SWITCH($I620,"Computer",_xlfn.XLOOKUP($K620&amp;"",COMPUTER!$B$3:$B$1009&amp;"",COMPUTER!$J$3:$J$1009,""),"Display",_xlfn.XLOOKUP($K620&amp;"",DISPLAY!$B$3:$B$1000&amp;"",DISPLAY!$K$3:$K$1000,""),"Network Device",_xlfn.XLOOKUP($K620&amp;"",'NETWORK-DEVICES'!$B$3:$B$987&amp;"",'NETWORK-DEVICES'!$I$3:$I$987,""),"Peripheral",_xlfn.XLOOKUP($K620&amp;"",PERIPHERAL!$B$3:$B$954&amp;"",PERIPHERAL!$J$3:$J$954,""),"Utilities",_xlfn.XLOOKUP($K620&amp;"",UTILITIES!$B$3:$B$953&amp;"",UTILITIES!$I$3:$I$953,""),"IOT",_xlfn.XLOOKUP($K620&amp;"",IOT!$B$3:$B$1012&amp;"",IOT!$J$3:$J$1012,""),"Server",_xlfn.XLOOKUP($K620&amp;"",SERVER!$B$3:$B$1009&amp;"",SERVER!$J$3:$J$1009,""),""))</f>
        <v/>
      </c>
      <c r="N620" s="1" t="str" cm="1">
        <f t="array" ref="N620">IF(OR($K620="",$I620="",$J620=""),"",_xlfn.LET(_xlpm.srcCat,_xlfn.SWITCH($I620,"Computer",_xlfn.XLOOKUP($K620&amp;"",COMPUTER!$B$3:$B$1009&amp;"",COMPUTER!$H$3:$H$1009,""),"Display",_xlfn.XLOOKUP($K620&amp;"",DISPLAY!$B$3:$B$1000&amp;"",DISPLAY!$H$3:$H$1000,""),"Network Device",_xlfn.XLOOKUP($K620&amp;"",'NETWORK-DEVICES'!$B$3:$B$987&amp;"",'NETWORK-DEVICES'!$H$3:$H$987,""),"Peripheral",_xlfn.XLOOKUP($K620&amp;"",PERIPHERAL!$B$3:$B$954&amp;"",PERIPHERAL!$H$3:$H$954,""),"Utilities",_xlfn.XLOOKUP($K620&amp;"",UTILITIES!$B$3:$B$953&amp;"",UTILITIES!$G$3:$G$953,""),"IOT",_xlfn.XLOOKUP($K620&amp;"",IOT!$B$3:$B$1012&amp;"",IOT!$H$3:$H$1012,""),"Server",_xlfn.XLOOKUP($K620&amp;"",SERVER!$B$3:$B$1009&amp;"",SERVER!$H$3:$H$1009,""),""),IF(TRIM(_xlpm.srcCat)&lt;&gt;TRIM($J620),"",_xlfn.SWITCH($I620,"Computer",_xlfn.XLOOKUP($K620&amp;"",COMPUTER!$B$3:$B$1009&amp;"",COMPUTER!$K$3:$K$1009,""),"Display",_xlfn.XLOOKUP($K620&amp;"",DISPLAY!$B$3:$B$1000&amp;"",DISPLAY!$L$3:$L$1000,""),"Network Device",_xlfn.XLOOKUP($K620&amp;"",'NETWORK-DEVICES'!$B$3:$B$987&amp;"",'NETWORK-DEVICES'!$K$3:$K$987,""),"Peripheral",_xlfn.XLOOKUP($K620&amp;"",PERIPHERAL!$B$3:$B$954&amp;"",PERIPHERAL!$K$3:$K$954,""),"Utilities",_xlfn.XLOOKUP($K620&amp;"",UTILITIES!$B$3:$B$953&amp;"",UTILITIES!$J$3:$J$953,""),"IOT",_xlfn.XLOOKUP($K620&amp;"",IOT!$B$3:$B$1012&amp;"",IOT!$K$4:$K$1012,""),"Server",_xlfn.XLOOKUP($K620&amp;"",SERVER!$B$3:$B$1009&amp;"",SERVER!$K$3:$K$1009,""),""))))</f>
        <v/>
      </c>
      <c r="O620" s="1" t="str" cm="1">
        <f t="array" ref="O620">IF(OR($K620="",$I620="",$J620=""),"",_xlfn.LET(_xlpm.srcCat,_xlfn.SWITCH($I620,"Computer",_xlfn.XLOOKUP($K620&amp;"",COMPUTER!$B$3:$B$1009&amp;"",COMPUTER!$H$3:$H$1009,""),"Display",_xlfn.XLOOKUP($K620&amp;"",DISPLAY!$B$3:$B$1000&amp;"",DISPLAY!$H$3:$H$1000,""),"Network Device",_xlfn.XLOOKUP($K620&amp;"",'NETWORK-DEVICES'!$B$3:$B$987&amp;"",'NETWORK-DEVICES'!$H$3:$H$987,""),"Peripheral",_xlfn.XLOOKUP($K620&amp;"",PERIPHERAL!$B$3:$B$954&amp;"",PERIPHERAL!$H$3:$H$954,""),"Utilities",_xlfn.XLOOKUP($K620&amp;"",UTILITIES!$B$3:$B$953&amp;"",UTILITIES!$G$3:$G$953,""),"IOT",_xlfn.XLOOKUP($K620&amp;"",IOT!$B$3:$B$1012&amp;"",IOT!$H$3:$H$1012,""),"Server",_xlfn.XLOOKUP($K620&amp;"",SERVER!$B$3:$B$1009&amp;"",SERVER!$H$3:$H$1009,""),""),IF(TRIM(_xlpm.srcCat)&lt;&gt;TRIM($J620),"",_xlfn.SWITCH($I620,"Computer",_xlfn.XLOOKUP($K620&amp;"",COMPUTER!$B$3:$B$1009&amp;"",COMPUTER!$E$3:$E$1009,""),"Display",_xlfn.XLOOKUP($K620&amp;"",DISPLAY!$B$3:$B$1000&amp;"",DISPLAY!$E$3:$E$1000,""),"Network Device",_xlfn.XLOOKUP($K620&amp;"",'NETWORK-DEVICES'!$B$3:$B$987&amp;"",'NETWORK-DEVICES'!$E$3:$E$987,""),"Peripheral",_xlfn.XLOOKUP($K620&amp;"",PERIPHERAL!$B$3:$B$954&amp;"",PERIPHERAL!$E$3:$E$954,""),"Utilities",_xlfn.XLOOKUP($K620&amp;"",UTILITIES!$B$3:$B$953&amp;"",UTILITIES!$E$3:$E$953,""),"IOT",_xlfn.XLOOKUP($K620&amp;"",IOT!$B$3:$B$1012&amp;"",IOT!$E$3:$E$1012,""),"Server",_xlfn.XLOOKUP($K620&amp;"",SERVER!$B$3:$B$1009&amp;"",SERVER!$E$3:$E$1009,""),""))))</f>
        <v/>
      </c>
      <c r="Q620" s="1" t="str" cm="1">
        <f t="array" ref="Q620">IF(OR($K620="",$I620="",$J620=""),"",_xlfn.LET(_xlpm.srcCat,_xlfn.SWITCH($I620,"Computer",_xlfn.XLOOKUP($K620&amp;"",COMPUTER!$B$3:$B$1009&amp;"",COMPUTER!$H$3:$H$1009,""),"Display",_xlfn.XLOOKUP($K620&amp;"",DISPLAY!$B$3:$B$1000&amp;"",DISPLAY!$H$3:$H$1000,""),"Network Device",_xlfn.XLOOKUP($K620&amp;"",'NETWORK-DEVICES'!$B$3:$B$987&amp;"",'NETWORK-DEVICES'!$H$3:$H$987,""),"Peripheral",_xlfn.XLOOKUP($K620&amp;"",PERIPHERAL!$B$3:$B$954&amp;"",PERIPHERAL!$H$3:$H$954,""),"Utilities",_xlfn.XLOOKUP($K620&amp;"",UTILITIES!$B$3:$B$953&amp;"",UTILITIES!$G$3:$G$953,""),"IOT",_xlfn.XLOOKUP($K620&amp;"",IOT!$B$3:$B$1012&amp;"",IOT!$H$3:$H$1012,""),"Server",_xlfn.XLOOKUP($K620&amp;"",SERVER!$B$3:$B$1009&amp;"",SERVER!$H$3:$H$1009,""),""),IF(TRIM(_xlpm.srcCat)&lt;&gt;TRIM($J620),"",_xlfn.SWITCH($I620,"Computer",_xlfn.XLOOKUP($K620&amp;"",COMPUTER!$B$3:$B$1009&amp;"",COMPUTER!$AM$3:$AM$1009,""),"Display",_xlfn.XLOOKUP($K620&amp;"",DISPLAY!$B$3:$B$1000&amp;"",DISPLAY!$V$3:$V$1000,""),"Network Device",_xlfn.XLOOKUP($K620&amp;"",'NETWORK-DEVICES'!$B$3:$B$987&amp;"",'NETWORK-DEVICES'!$AF$3:$AF$987,""),"Peripheral",_xlfn.XLOOKUP($K620&amp;"",PERIPHERAL!$B$3:$B$954&amp;"",PERIPHERAL!$Y$3:$Y$954,""),"Utilities",_xlfn.XLOOKUP($K620&amp;"",UTILITIES!$B$3:$B$953&amp;"",UTILITIES!$O$3:$O$953,""),"IOT",_xlfn.XLOOKUP($K620&amp;"",IOT!$B$3:$B$1012&amp;"",IOT!$AB$3:$AB$1012,""),"Server",_xlfn.XLOOKUP($K620&amp;"",SERVER!$B$3:$B$1009&amp;"",SERVER!$AB$3:$AB$1009,""),""))))</f>
        <v/>
      </c>
      <c r="R620" s="43" t="str">
        <f>IF(tbl_handover[[#This Row],[Asset Code]]="","",COUNTIF(tbl_handover[Asset Code],tbl_handover[[#This Row],[Asset Code]]))</f>
        <v/>
      </c>
    </row>
    <row r="621" spans="1:18" x14ac:dyDescent="0.25">
      <c r="A621" s="43" t="str">
        <f>IF(B621&lt;&gt;"",SUBTOTAL(3,$B$1:B620),"")</f>
        <v/>
      </c>
      <c r="C621" s="74"/>
      <c r="D621" s="74"/>
      <c r="G621" s="1"/>
      <c r="K621" s="42"/>
      <c r="L621" t="str" cm="1">
        <f t="array" ref="L621">IF($K621="","",_xlfn.SWITCH($I621,"Computer",_xlfn.XLOOKUP($K621&amp;"",COMPUTER!$B$3:$B$1009&amp;"",COMPUTER!$I$3:$I$1009,""),"Display",_xlfn.XLOOKUP($K621&amp;"",DISPLAY!$B$3:$B$1000&amp;"",DISPLAY!$J$3:$J$1000,""),"Network Device",_xlfn.XLOOKUP($K621&amp;"",'NETWORK-DEVICES'!$B$3:$B$987&amp;"",'NETWORK-DEVICES'!$I$3:$I$987,""),"Peripheral",_xlfn.XLOOKUP($K621&amp;"",PERIPHERAL!$B$3:$B$954&amp;"",PERIPHERAL!$I$3:$I$954,""),"Utilities",_xlfn.XLOOKUP($K621&amp;"",UTILITIES!$B$3:$B$953&amp;"",UTILITIES!$H$3:$H$953,""),"IOT",_xlfn.XLOOKUP($K621&amp;"",IOT!$B$3:$B$1012&amp;"",IOT!$I$3:$I$1012,""),"SERVER",_xlfn.XLOOKUP($K621&amp;"",SERVER!$B$3:$B$1009&amp;"",SERVER!$I$3:$I$1009,""),""))</f>
        <v/>
      </c>
      <c r="M621" t="str" cm="1">
        <f t="array" ref="M621">IF($K621="","",_xlfn.SWITCH($I621,"Computer",_xlfn.XLOOKUP($K621&amp;"",COMPUTER!$B$3:$B$1009&amp;"",COMPUTER!$J$3:$J$1009,""),"Display",_xlfn.XLOOKUP($K621&amp;"",DISPLAY!$B$3:$B$1000&amp;"",DISPLAY!$K$3:$K$1000,""),"Network Device",_xlfn.XLOOKUP($K621&amp;"",'NETWORK-DEVICES'!$B$3:$B$987&amp;"",'NETWORK-DEVICES'!$I$3:$I$987,""),"Peripheral",_xlfn.XLOOKUP($K621&amp;"",PERIPHERAL!$B$3:$B$954&amp;"",PERIPHERAL!$J$3:$J$954,""),"Utilities",_xlfn.XLOOKUP($K621&amp;"",UTILITIES!$B$3:$B$953&amp;"",UTILITIES!$I$3:$I$953,""),"IOT",_xlfn.XLOOKUP($K621&amp;"",IOT!$B$3:$B$1012&amp;"",IOT!$J$3:$J$1012,""),"Server",_xlfn.XLOOKUP($K621&amp;"",SERVER!$B$3:$B$1009&amp;"",SERVER!$J$3:$J$1009,""),""))</f>
        <v/>
      </c>
      <c r="N621" s="1" t="str" cm="1">
        <f t="array" ref="N621">IF(OR($K621="",$I621="",$J621=""),"",_xlfn.LET(_xlpm.srcCat,_xlfn.SWITCH($I621,"Computer",_xlfn.XLOOKUP($K621&amp;"",COMPUTER!$B$3:$B$1009&amp;"",COMPUTER!$H$3:$H$1009,""),"Display",_xlfn.XLOOKUP($K621&amp;"",DISPLAY!$B$3:$B$1000&amp;"",DISPLAY!$H$3:$H$1000,""),"Network Device",_xlfn.XLOOKUP($K621&amp;"",'NETWORK-DEVICES'!$B$3:$B$987&amp;"",'NETWORK-DEVICES'!$H$3:$H$987,""),"Peripheral",_xlfn.XLOOKUP($K621&amp;"",PERIPHERAL!$B$3:$B$954&amp;"",PERIPHERAL!$H$3:$H$954,""),"Utilities",_xlfn.XLOOKUP($K621&amp;"",UTILITIES!$B$3:$B$953&amp;"",UTILITIES!$G$3:$G$953,""),"IOT",_xlfn.XLOOKUP($K621&amp;"",IOT!$B$3:$B$1012&amp;"",IOT!$H$3:$H$1012,""),"Server",_xlfn.XLOOKUP($K621&amp;"",SERVER!$B$3:$B$1009&amp;"",SERVER!$H$3:$H$1009,""),""),IF(TRIM(_xlpm.srcCat)&lt;&gt;TRIM($J621),"",_xlfn.SWITCH($I621,"Computer",_xlfn.XLOOKUP($K621&amp;"",COMPUTER!$B$3:$B$1009&amp;"",COMPUTER!$K$3:$K$1009,""),"Display",_xlfn.XLOOKUP($K621&amp;"",DISPLAY!$B$3:$B$1000&amp;"",DISPLAY!$L$3:$L$1000,""),"Network Device",_xlfn.XLOOKUP($K621&amp;"",'NETWORK-DEVICES'!$B$3:$B$987&amp;"",'NETWORK-DEVICES'!$K$3:$K$987,""),"Peripheral",_xlfn.XLOOKUP($K621&amp;"",PERIPHERAL!$B$3:$B$954&amp;"",PERIPHERAL!$K$3:$K$954,""),"Utilities",_xlfn.XLOOKUP($K621&amp;"",UTILITIES!$B$3:$B$953&amp;"",UTILITIES!$J$3:$J$953,""),"IOT",_xlfn.XLOOKUP($K621&amp;"",IOT!$B$3:$B$1012&amp;"",IOT!$K$4:$K$1012,""),"Server",_xlfn.XLOOKUP($K621&amp;"",SERVER!$B$3:$B$1009&amp;"",SERVER!$K$3:$K$1009,""),""))))</f>
        <v/>
      </c>
      <c r="O621" s="1" t="str" cm="1">
        <f t="array" ref="O621">IF(OR($K621="",$I621="",$J621=""),"",_xlfn.LET(_xlpm.srcCat,_xlfn.SWITCH($I621,"Computer",_xlfn.XLOOKUP($K621&amp;"",COMPUTER!$B$3:$B$1009&amp;"",COMPUTER!$H$3:$H$1009,""),"Display",_xlfn.XLOOKUP($K621&amp;"",DISPLAY!$B$3:$B$1000&amp;"",DISPLAY!$H$3:$H$1000,""),"Network Device",_xlfn.XLOOKUP($K621&amp;"",'NETWORK-DEVICES'!$B$3:$B$987&amp;"",'NETWORK-DEVICES'!$H$3:$H$987,""),"Peripheral",_xlfn.XLOOKUP($K621&amp;"",PERIPHERAL!$B$3:$B$954&amp;"",PERIPHERAL!$H$3:$H$954,""),"Utilities",_xlfn.XLOOKUP($K621&amp;"",UTILITIES!$B$3:$B$953&amp;"",UTILITIES!$G$3:$G$953,""),"IOT",_xlfn.XLOOKUP($K621&amp;"",IOT!$B$3:$B$1012&amp;"",IOT!$H$3:$H$1012,""),"Server",_xlfn.XLOOKUP($K621&amp;"",SERVER!$B$3:$B$1009&amp;"",SERVER!$H$3:$H$1009,""),""),IF(TRIM(_xlpm.srcCat)&lt;&gt;TRIM($J621),"",_xlfn.SWITCH($I621,"Computer",_xlfn.XLOOKUP($K621&amp;"",COMPUTER!$B$3:$B$1009&amp;"",COMPUTER!$E$3:$E$1009,""),"Display",_xlfn.XLOOKUP($K621&amp;"",DISPLAY!$B$3:$B$1000&amp;"",DISPLAY!$E$3:$E$1000,""),"Network Device",_xlfn.XLOOKUP($K621&amp;"",'NETWORK-DEVICES'!$B$3:$B$987&amp;"",'NETWORK-DEVICES'!$E$3:$E$987,""),"Peripheral",_xlfn.XLOOKUP($K621&amp;"",PERIPHERAL!$B$3:$B$954&amp;"",PERIPHERAL!$E$3:$E$954,""),"Utilities",_xlfn.XLOOKUP($K621&amp;"",UTILITIES!$B$3:$B$953&amp;"",UTILITIES!$E$3:$E$953,""),"IOT",_xlfn.XLOOKUP($K621&amp;"",IOT!$B$3:$B$1012&amp;"",IOT!$E$3:$E$1012,""),"Server",_xlfn.XLOOKUP($K621&amp;"",SERVER!$B$3:$B$1009&amp;"",SERVER!$E$3:$E$1009,""),""))))</f>
        <v/>
      </c>
      <c r="Q621" s="1" t="str" cm="1">
        <f t="array" ref="Q621">IF(OR($K621="",$I621="",$J621=""),"",_xlfn.LET(_xlpm.srcCat,_xlfn.SWITCH($I621,"Computer",_xlfn.XLOOKUP($K621&amp;"",COMPUTER!$B$3:$B$1009&amp;"",COMPUTER!$H$3:$H$1009,""),"Display",_xlfn.XLOOKUP($K621&amp;"",DISPLAY!$B$3:$B$1000&amp;"",DISPLAY!$H$3:$H$1000,""),"Network Device",_xlfn.XLOOKUP($K621&amp;"",'NETWORK-DEVICES'!$B$3:$B$987&amp;"",'NETWORK-DEVICES'!$H$3:$H$987,""),"Peripheral",_xlfn.XLOOKUP($K621&amp;"",PERIPHERAL!$B$3:$B$954&amp;"",PERIPHERAL!$H$3:$H$954,""),"Utilities",_xlfn.XLOOKUP($K621&amp;"",UTILITIES!$B$3:$B$953&amp;"",UTILITIES!$G$3:$G$953,""),"IOT",_xlfn.XLOOKUP($K621&amp;"",IOT!$B$3:$B$1012&amp;"",IOT!$H$3:$H$1012,""),"Server",_xlfn.XLOOKUP($K621&amp;"",SERVER!$B$3:$B$1009&amp;"",SERVER!$H$3:$H$1009,""),""),IF(TRIM(_xlpm.srcCat)&lt;&gt;TRIM($J621),"",_xlfn.SWITCH($I621,"Computer",_xlfn.XLOOKUP($K621&amp;"",COMPUTER!$B$3:$B$1009&amp;"",COMPUTER!$AM$3:$AM$1009,""),"Display",_xlfn.XLOOKUP($K621&amp;"",DISPLAY!$B$3:$B$1000&amp;"",DISPLAY!$V$3:$V$1000,""),"Network Device",_xlfn.XLOOKUP($K621&amp;"",'NETWORK-DEVICES'!$B$3:$B$987&amp;"",'NETWORK-DEVICES'!$AF$3:$AF$987,""),"Peripheral",_xlfn.XLOOKUP($K621&amp;"",PERIPHERAL!$B$3:$B$954&amp;"",PERIPHERAL!$Y$3:$Y$954,""),"Utilities",_xlfn.XLOOKUP($K621&amp;"",UTILITIES!$B$3:$B$953&amp;"",UTILITIES!$O$3:$O$953,""),"IOT",_xlfn.XLOOKUP($K621&amp;"",IOT!$B$3:$B$1012&amp;"",IOT!$AB$3:$AB$1012,""),"Server",_xlfn.XLOOKUP($K621&amp;"",SERVER!$B$3:$B$1009&amp;"",SERVER!$AB$3:$AB$1009,""),""))))</f>
        <v/>
      </c>
      <c r="R621" s="43" t="str">
        <f>IF(tbl_handover[[#This Row],[Asset Code]]="","",COUNTIF(tbl_handover[Asset Code],tbl_handover[[#This Row],[Asset Code]]))</f>
        <v/>
      </c>
    </row>
    <row r="622" spans="1:18" x14ac:dyDescent="0.25">
      <c r="A622" s="43" t="str">
        <f>IF(B622&lt;&gt;"",SUBTOTAL(3,$B$1:B621),"")</f>
        <v/>
      </c>
      <c r="C622" s="74"/>
      <c r="D622" s="74"/>
      <c r="G622" s="1"/>
      <c r="K622" s="42"/>
      <c r="L622" t="str" cm="1">
        <f t="array" ref="L622">IF($K622="","",_xlfn.SWITCH($I622,"Computer",_xlfn.XLOOKUP($K622&amp;"",COMPUTER!$B$3:$B$1009&amp;"",COMPUTER!$I$3:$I$1009,""),"Display",_xlfn.XLOOKUP($K622&amp;"",DISPLAY!$B$3:$B$1000&amp;"",DISPLAY!$J$3:$J$1000,""),"Network Device",_xlfn.XLOOKUP($K622&amp;"",'NETWORK-DEVICES'!$B$3:$B$987&amp;"",'NETWORK-DEVICES'!$I$3:$I$987,""),"Peripheral",_xlfn.XLOOKUP($K622&amp;"",PERIPHERAL!$B$3:$B$954&amp;"",PERIPHERAL!$I$3:$I$954,""),"Utilities",_xlfn.XLOOKUP($K622&amp;"",UTILITIES!$B$3:$B$953&amp;"",UTILITIES!$H$3:$H$953,""),"IOT",_xlfn.XLOOKUP($K622&amp;"",IOT!$B$3:$B$1012&amp;"",IOT!$I$3:$I$1012,""),"SERVER",_xlfn.XLOOKUP($K622&amp;"",SERVER!$B$3:$B$1009&amp;"",SERVER!$I$3:$I$1009,""),""))</f>
        <v/>
      </c>
      <c r="M622" t="str" cm="1">
        <f t="array" ref="M622">IF($K622="","",_xlfn.SWITCH($I622,"Computer",_xlfn.XLOOKUP($K622&amp;"",COMPUTER!$B$3:$B$1009&amp;"",COMPUTER!$J$3:$J$1009,""),"Display",_xlfn.XLOOKUP($K622&amp;"",DISPLAY!$B$3:$B$1000&amp;"",DISPLAY!$K$3:$K$1000,""),"Network Device",_xlfn.XLOOKUP($K622&amp;"",'NETWORK-DEVICES'!$B$3:$B$987&amp;"",'NETWORK-DEVICES'!$I$3:$I$987,""),"Peripheral",_xlfn.XLOOKUP($K622&amp;"",PERIPHERAL!$B$3:$B$954&amp;"",PERIPHERAL!$J$3:$J$954,""),"Utilities",_xlfn.XLOOKUP($K622&amp;"",UTILITIES!$B$3:$B$953&amp;"",UTILITIES!$I$3:$I$953,""),"IOT",_xlfn.XLOOKUP($K622&amp;"",IOT!$B$3:$B$1012&amp;"",IOT!$J$3:$J$1012,""),"Server",_xlfn.XLOOKUP($K622&amp;"",SERVER!$B$3:$B$1009&amp;"",SERVER!$J$3:$J$1009,""),""))</f>
        <v/>
      </c>
      <c r="N622" s="1" t="str" cm="1">
        <f t="array" ref="N622">IF(OR($K622="",$I622="",$J622=""),"",_xlfn.LET(_xlpm.srcCat,_xlfn.SWITCH($I622,"Computer",_xlfn.XLOOKUP($K622&amp;"",COMPUTER!$B$3:$B$1009&amp;"",COMPUTER!$H$3:$H$1009,""),"Display",_xlfn.XLOOKUP($K622&amp;"",DISPLAY!$B$3:$B$1000&amp;"",DISPLAY!$H$3:$H$1000,""),"Network Device",_xlfn.XLOOKUP($K622&amp;"",'NETWORK-DEVICES'!$B$3:$B$987&amp;"",'NETWORK-DEVICES'!$H$3:$H$987,""),"Peripheral",_xlfn.XLOOKUP($K622&amp;"",PERIPHERAL!$B$3:$B$954&amp;"",PERIPHERAL!$H$3:$H$954,""),"Utilities",_xlfn.XLOOKUP($K622&amp;"",UTILITIES!$B$3:$B$953&amp;"",UTILITIES!$G$3:$G$953,""),"IOT",_xlfn.XLOOKUP($K622&amp;"",IOT!$B$3:$B$1012&amp;"",IOT!$H$3:$H$1012,""),"Server",_xlfn.XLOOKUP($K622&amp;"",SERVER!$B$3:$B$1009&amp;"",SERVER!$H$3:$H$1009,""),""),IF(TRIM(_xlpm.srcCat)&lt;&gt;TRIM($J622),"",_xlfn.SWITCH($I622,"Computer",_xlfn.XLOOKUP($K622&amp;"",COMPUTER!$B$3:$B$1009&amp;"",COMPUTER!$K$3:$K$1009,""),"Display",_xlfn.XLOOKUP($K622&amp;"",DISPLAY!$B$3:$B$1000&amp;"",DISPLAY!$L$3:$L$1000,""),"Network Device",_xlfn.XLOOKUP($K622&amp;"",'NETWORK-DEVICES'!$B$3:$B$987&amp;"",'NETWORK-DEVICES'!$K$3:$K$987,""),"Peripheral",_xlfn.XLOOKUP($K622&amp;"",PERIPHERAL!$B$3:$B$954&amp;"",PERIPHERAL!$K$3:$K$954,""),"Utilities",_xlfn.XLOOKUP($K622&amp;"",UTILITIES!$B$3:$B$953&amp;"",UTILITIES!$J$3:$J$953,""),"IOT",_xlfn.XLOOKUP($K622&amp;"",IOT!$B$3:$B$1012&amp;"",IOT!$K$4:$K$1012,""),"Server",_xlfn.XLOOKUP($K622&amp;"",SERVER!$B$3:$B$1009&amp;"",SERVER!$K$3:$K$1009,""),""))))</f>
        <v/>
      </c>
      <c r="O622" s="1" t="str" cm="1">
        <f t="array" ref="O622">IF(OR($K622="",$I622="",$J622=""),"",_xlfn.LET(_xlpm.srcCat,_xlfn.SWITCH($I622,"Computer",_xlfn.XLOOKUP($K622&amp;"",COMPUTER!$B$3:$B$1009&amp;"",COMPUTER!$H$3:$H$1009,""),"Display",_xlfn.XLOOKUP($K622&amp;"",DISPLAY!$B$3:$B$1000&amp;"",DISPLAY!$H$3:$H$1000,""),"Network Device",_xlfn.XLOOKUP($K622&amp;"",'NETWORK-DEVICES'!$B$3:$B$987&amp;"",'NETWORK-DEVICES'!$H$3:$H$987,""),"Peripheral",_xlfn.XLOOKUP($K622&amp;"",PERIPHERAL!$B$3:$B$954&amp;"",PERIPHERAL!$H$3:$H$954,""),"Utilities",_xlfn.XLOOKUP($K622&amp;"",UTILITIES!$B$3:$B$953&amp;"",UTILITIES!$G$3:$G$953,""),"IOT",_xlfn.XLOOKUP($K622&amp;"",IOT!$B$3:$B$1012&amp;"",IOT!$H$3:$H$1012,""),"Server",_xlfn.XLOOKUP($K622&amp;"",SERVER!$B$3:$B$1009&amp;"",SERVER!$H$3:$H$1009,""),""),IF(TRIM(_xlpm.srcCat)&lt;&gt;TRIM($J622),"",_xlfn.SWITCH($I622,"Computer",_xlfn.XLOOKUP($K622&amp;"",COMPUTER!$B$3:$B$1009&amp;"",COMPUTER!$E$3:$E$1009,""),"Display",_xlfn.XLOOKUP($K622&amp;"",DISPLAY!$B$3:$B$1000&amp;"",DISPLAY!$E$3:$E$1000,""),"Network Device",_xlfn.XLOOKUP($K622&amp;"",'NETWORK-DEVICES'!$B$3:$B$987&amp;"",'NETWORK-DEVICES'!$E$3:$E$987,""),"Peripheral",_xlfn.XLOOKUP($K622&amp;"",PERIPHERAL!$B$3:$B$954&amp;"",PERIPHERAL!$E$3:$E$954,""),"Utilities",_xlfn.XLOOKUP($K622&amp;"",UTILITIES!$B$3:$B$953&amp;"",UTILITIES!$E$3:$E$953,""),"IOT",_xlfn.XLOOKUP($K622&amp;"",IOT!$B$3:$B$1012&amp;"",IOT!$E$3:$E$1012,""),"Server",_xlfn.XLOOKUP($K622&amp;"",SERVER!$B$3:$B$1009&amp;"",SERVER!$E$3:$E$1009,""),""))))</f>
        <v/>
      </c>
      <c r="Q622" s="1" t="str" cm="1">
        <f t="array" ref="Q622">IF(OR($K622="",$I622="",$J622=""),"",_xlfn.LET(_xlpm.srcCat,_xlfn.SWITCH($I622,"Computer",_xlfn.XLOOKUP($K622&amp;"",COMPUTER!$B$3:$B$1009&amp;"",COMPUTER!$H$3:$H$1009,""),"Display",_xlfn.XLOOKUP($K622&amp;"",DISPLAY!$B$3:$B$1000&amp;"",DISPLAY!$H$3:$H$1000,""),"Network Device",_xlfn.XLOOKUP($K622&amp;"",'NETWORK-DEVICES'!$B$3:$B$987&amp;"",'NETWORK-DEVICES'!$H$3:$H$987,""),"Peripheral",_xlfn.XLOOKUP($K622&amp;"",PERIPHERAL!$B$3:$B$954&amp;"",PERIPHERAL!$H$3:$H$954,""),"Utilities",_xlfn.XLOOKUP($K622&amp;"",UTILITIES!$B$3:$B$953&amp;"",UTILITIES!$G$3:$G$953,""),"IOT",_xlfn.XLOOKUP($K622&amp;"",IOT!$B$3:$B$1012&amp;"",IOT!$H$3:$H$1012,""),"Server",_xlfn.XLOOKUP($K622&amp;"",SERVER!$B$3:$B$1009&amp;"",SERVER!$H$3:$H$1009,""),""),IF(TRIM(_xlpm.srcCat)&lt;&gt;TRIM($J622),"",_xlfn.SWITCH($I622,"Computer",_xlfn.XLOOKUP($K622&amp;"",COMPUTER!$B$3:$B$1009&amp;"",COMPUTER!$AM$3:$AM$1009,""),"Display",_xlfn.XLOOKUP($K622&amp;"",DISPLAY!$B$3:$B$1000&amp;"",DISPLAY!$V$3:$V$1000,""),"Network Device",_xlfn.XLOOKUP($K622&amp;"",'NETWORK-DEVICES'!$B$3:$B$987&amp;"",'NETWORK-DEVICES'!$AF$3:$AF$987,""),"Peripheral",_xlfn.XLOOKUP($K622&amp;"",PERIPHERAL!$B$3:$B$954&amp;"",PERIPHERAL!$Y$3:$Y$954,""),"Utilities",_xlfn.XLOOKUP($K622&amp;"",UTILITIES!$B$3:$B$953&amp;"",UTILITIES!$O$3:$O$953,""),"IOT",_xlfn.XLOOKUP($K622&amp;"",IOT!$B$3:$B$1012&amp;"",IOT!$AB$3:$AB$1012,""),"Server",_xlfn.XLOOKUP($K622&amp;"",SERVER!$B$3:$B$1009&amp;"",SERVER!$AB$3:$AB$1009,""),""))))</f>
        <v/>
      </c>
      <c r="R622" s="43" t="str">
        <f>IF(tbl_handover[[#This Row],[Asset Code]]="","",COUNTIF(tbl_handover[Asset Code],tbl_handover[[#This Row],[Asset Code]]))</f>
        <v/>
      </c>
    </row>
    <row r="623" spans="1:18" x14ac:dyDescent="0.25">
      <c r="A623" s="43" t="str">
        <f>IF(B623&lt;&gt;"",SUBTOTAL(3,$B$1:B622),"")</f>
        <v/>
      </c>
      <c r="C623" s="74"/>
      <c r="D623" s="74"/>
      <c r="G623" s="1"/>
      <c r="K623" s="42"/>
      <c r="L623" t="str" cm="1">
        <f t="array" ref="L623">IF($K623="","",_xlfn.SWITCH($I623,"Computer",_xlfn.XLOOKUP($K623&amp;"",COMPUTER!$B$3:$B$1009&amp;"",COMPUTER!$I$3:$I$1009,""),"Display",_xlfn.XLOOKUP($K623&amp;"",DISPLAY!$B$3:$B$1000&amp;"",DISPLAY!$J$3:$J$1000,""),"Network Device",_xlfn.XLOOKUP($K623&amp;"",'NETWORK-DEVICES'!$B$3:$B$987&amp;"",'NETWORK-DEVICES'!$I$3:$I$987,""),"Peripheral",_xlfn.XLOOKUP($K623&amp;"",PERIPHERAL!$B$3:$B$954&amp;"",PERIPHERAL!$I$3:$I$954,""),"Utilities",_xlfn.XLOOKUP($K623&amp;"",UTILITIES!$B$3:$B$953&amp;"",UTILITIES!$H$3:$H$953,""),"IOT",_xlfn.XLOOKUP($K623&amp;"",IOT!$B$3:$B$1012&amp;"",IOT!$I$3:$I$1012,""),"SERVER",_xlfn.XLOOKUP($K623&amp;"",SERVER!$B$3:$B$1009&amp;"",SERVER!$I$3:$I$1009,""),""))</f>
        <v/>
      </c>
      <c r="M623" t="str" cm="1">
        <f t="array" ref="M623">IF($K623="","",_xlfn.SWITCH($I623,"Computer",_xlfn.XLOOKUP($K623&amp;"",COMPUTER!$B$3:$B$1009&amp;"",COMPUTER!$J$3:$J$1009,""),"Display",_xlfn.XLOOKUP($K623&amp;"",DISPLAY!$B$3:$B$1000&amp;"",DISPLAY!$K$3:$K$1000,""),"Network Device",_xlfn.XLOOKUP($K623&amp;"",'NETWORK-DEVICES'!$B$3:$B$987&amp;"",'NETWORK-DEVICES'!$I$3:$I$987,""),"Peripheral",_xlfn.XLOOKUP($K623&amp;"",PERIPHERAL!$B$3:$B$954&amp;"",PERIPHERAL!$J$3:$J$954,""),"Utilities",_xlfn.XLOOKUP($K623&amp;"",UTILITIES!$B$3:$B$953&amp;"",UTILITIES!$I$3:$I$953,""),"IOT",_xlfn.XLOOKUP($K623&amp;"",IOT!$B$3:$B$1012&amp;"",IOT!$J$3:$J$1012,""),"Server",_xlfn.XLOOKUP($K623&amp;"",SERVER!$B$3:$B$1009&amp;"",SERVER!$J$3:$J$1009,""),""))</f>
        <v/>
      </c>
      <c r="N623" s="1" t="str" cm="1">
        <f t="array" ref="N623">IF(OR($K623="",$I623="",$J623=""),"",_xlfn.LET(_xlpm.srcCat,_xlfn.SWITCH($I623,"Computer",_xlfn.XLOOKUP($K623&amp;"",COMPUTER!$B$3:$B$1009&amp;"",COMPUTER!$H$3:$H$1009,""),"Display",_xlfn.XLOOKUP($K623&amp;"",DISPLAY!$B$3:$B$1000&amp;"",DISPLAY!$H$3:$H$1000,""),"Network Device",_xlfn.XLOOKUP($K623&amp;"",'NETWORK-DEVICES'!$B$3:$B$987&amp;"",'NETWORK-DEVICES'!$H$3:$H$987,""),"Peripheral",_xlfn.XLOOKUP($K623&amp;"",PERIPHERAL!$B$3:$B$954&amp;"",PERIPHERAL!$H$3:$H$954,""),"Utilities",_xlfn.XLOOKUP($K623&amp;"",UTILITIES!$B$3:$B$953&amp;"",UTILITIES!$G$3:$G$953,""),"IOT",_xlfn.XLOOKUP($K623&amp;"",IOT!$B$3:$B$1012&amp;"",IOT!$H$3:$H$1012,""),"Server",_xlfn.XLOOKUP($K623&amp;"",SERVER!$B$3:$B$1009&amp;"",SERVER!$H$3:$H$1009,""),""),IF(TRIM(_xlpm.srcCat)&lt;&gt;TRIM($J623),"",_xlfn.SWITCH($I623,"Computer",_xlfn.XLOOKUP($K623&amp;"",COMPUTER!$B$3:$B$1009&amp;"",COMPUTER!$K$3:$K$1009,""),"Display",_xlfn.XLOOKUP($K623&amp;"",DISPLAY!$B$3:$B$1000&amp;"",DISPLAY!$L$3:$L$1000,""),"Network Device",_xlfn.XLOOKUP($K623&amp;"",'NETWORK-DEVICES'!$B$3:$B$987&amp;"",'NETWORK-DEVICES'!$K$3:$K$987,""),"Peripheral",_xlfn.XLOOKUP($K623&amp;"",PERIPHERAL!$B$3:$B$954&amp;"",PERIPHERAL!$K$3:$K$954,""),"Utilities",_xlfn.XLOOKUP($K623&amp;"",UTILITIES!$B$3:$B$953&amp;"",UTILITIES!$J$3:$J$953,""),"IOT",_xlfn.XLOOKUP($K623&amp;"",IOT!$B$3:$B$1012&amp;"",IOT!$K$4:$K$1012,""),"Server",_xlfn.XLOOKUP($K623&amp;"",SERVER!$B$3:$B$1009&amp;"",SERVER!$K$3:$K$1009,""),""))))</f>
        <v/>
      </c>
      <c r="O623" s="1" t="str" cm="1">
        <f t="array" ref="O623">IF(OR($K623="",$I623="",$J623=""),"",_xlfn.LET(_xlpm.srcCat,_xlfn.SWITCH($I623,"Computer",_xlfn.XLOOKUP($K623&amp;"",COMPUTER!$B$3:$B$1009&amp;"",COMPUTER!$H$3:$H$1009,""),"Display",_xlfn.XLOOKUP($K623&amp;"",DISPLAY!$B$3:$B$1000&amp;"",DISPLAY!$H$3:$H$1000,""),"Network Device",_xlfn.XLOOKUP($K623&amp;"",'NETWORK-DEVICES'!$B$3:$B$987&amp;"",'NETWORK-DEVICES'!$H$3:$H$987,""),"Peripheral",_xlfn.XLOOKUP($K623&amp;"",PERIPHERAL!$B$3:$B$954&amp;"",PERIPHERAL!$H$3:$H$954,""),"Utilities",_xlfn.XLOOKUP($K623&amp;"",UTILITIES!$B$3:$B$953&amp;"",UTILITIES!$G$3:$G$953,""),"IOT",_xlfn.XLOOKUP($K623&amp;"",IOT!$B$3:$B$1012&amp;"",IOT!$H$3:$H$1012,""),"Server",_xlfn.XLOOKUP($K623&amp;"",SERVER!$B$3:$B$1009&amp;"",SERVER!$H$3:$H$1009,""),""),IF(TRIM(_xlpm.srcCat)&lt;&gt;TRIM($J623),"",_xlfn.SWITCH($I623,"Computer",_xlfn.XLOOKUP($K623&amp;"",COMPUTER!$B$3:$B$1009&amp;"",COMPUTER!$E$3:$E$1009,""),"Display",_xlfn.XLOOKUP($K623&amp;"",DISPLAY!$B$3:$B$1000&amp;"",DISPLAY!$E$3:$E$1000,""),"Network Device",_xlfn.XLOOKUP($K623&amp;"",'NETWORK-DEVICES'!$B$3:$B$987&amp;"",'NETWORK-DEVICES'!$E$3:$E$987,""),"Peripheral",_xlfn.XLOOKUP($K623&amp;"",PERIPHERAL!$B$3:$B$954&amp;"",PERIPHERAL!$E$3:$E$954,""),"Utilities",_xlfn.XLOOKUP($K623&amp;"",UTILITIES!$B$3:$B$953&amp;"",UTILITIES!$E$3:$E$953,""),"IOT",_xlfn.XLOOKUP($K623&amp;"",IOT!$B$3:$B$1012&amp;"",IOT!$E$3:$E$1012,""),"Server",_xlfn.XLOOKUP($K623&amp;"",SERVER!$B$3:$B$1009&amp;"",SERVER!$E$3:$E$1009,""),""))))</f>
        <v/>
      </c>
      <c r="Q623" s="1" t="str" cm="1">
        <f t="array" ref="Q623">IF(OR($K623="",$I623="",$J623=""),"",_xlfn.LET(_xlpm.srcCat,_xlfn.SWITCH($I623,"Computer",_xlfn.XLOOKUP($K623&amp;"",COMPUTER!$B$3:$B$1009&amp;"",COMPUTER!$H$3:$H$1009,""),"Display",_xlfn.XLOOKUP($K623&amp;"",DISPLAY!$B$3:$B$1000&amp;"",DISPLAY!$H$3:$H$1000,""),"Network Device",_xlfn.XLOOKUP($K623&amp;"",'NETWORK-DEVICES'!$B$3:$B$987&amp;"",'NETWORK-DEVICES'!$H$3:$H$987,""),"Peripheral",_xlfn.XLOOKUP($K623&amp;"",PERIPHERAL!$B$3:$B$954&amp;"",PERIPHERAL!$H$3:$H$954,""),"Utilities",_xlfn.XLOOKUP($K623&amp;"",UTILITIES!$B$3:$B$953&amp;"",UTILITIES!$G$3:$G$953,""),"IOT",_xlfn.XLOOKUP($K623&amp;"",IOT!$B$3:$B$1012&amp;"",IOT!$H$3:$H$1012,""),"Server",_xlfn.XLOOKUP($K623&amp;"",SERVER!$B$3:$B$1009&amp;"",SERVER!$H$3:$H$1009,""),""),IF(TRIM(_xlpm.srcCat)&lt;&gt;TRIM($J623),"",_xlfn.SWITCH($I623,"Computer",_xlfn.XLOOKUP($K623&amp;"",COMPUTER!$B$3:$B$1009&amp;"",COMPUTER!$AM$3:$AM$1009,""),"Display",_xlfn.XLOOKUP($K623&amp;"",DISPLAY!$B$3:$B$1000&amp;"",DISPLAY!$V$3:$V$1000,""),"Network Device",_xlfn.XLOOKUP($K623&amp;"",'NETWORK-DEVICES'!$B$3:$B$987&amp;"",'NETWORK-DEVICES'!$AF$3:$AF$987,""),"Peripheral",_xlfn.XLOOKUP($K623&amp;"",PERIPHERAL!$B$3:$B$954&amp;"",PERIPHERAL!$Y$3:$Y$954,""),"Utilities",_xlfn.XLOOKUP($K623&amp;"",UTILITIES!$B$3:$B$953&amp;"",UTILITIES!$O$3:$O$953,""),"IOT",_xlfn.XLOOKUP($K623&amp;"",IOT!$B$3:$B$1012&amp;"",IOT!$AB$3:$AB$1012,""),"Server",_xlfn.XLOOKUP($K623&amp;"",SERVER!$B$3:$B$1009&amp;"",SERVER!$AB$3:$AB$1009,""),""))))</f>
        <v/>
      </c>
      <c r="R623" s="43" t="str">
        <f>IF(tbl_handover[[#This Row],[Asset Code]]="","",COUNTIF(tbl_handover[Asset Code],tbl_handover[[#This Row],[Asset Code]]))</f>
        <v/>
      </c>
    </row>
    <row r="624" spans="1:18" x14ac:dyDescent="0.25">
      <c r="A624" s="43" t="str">
        <f>IF(B624&lt;&gt;"",SUBTOTAL(3,$B$1:B623),"")</f>
        <v/>
      </c>
      <c r="C624" s="74"/>
      <c r="D624" s="74"/>
      <c r="G624" s="1"/>
      <c r="K624" s="42"/>
      <c r="L624" t="str" cm="1">
        <f t="array" ref="L624">IF($K624="","",_xlfn.SWITCH($I624,"Computer",_xlfn.XLOOKUP($K624&amp;"",COMPUTER!$B$3:$B$1009&amp;"",COMPUTER!$I$3:$I$1009,""),"Display",_xlfn.XLOOKUP($K624&amp;"",DISPLAY!$B$3:$B$1000&amp;"",DISPLAY!$J$3:$J$1000,""),"Network Device",_xlfn.XLOOKUP($K624&amp;"",'NETWORK-DEVICES'!$B$3:$B$987&amp;"",'NETWORK-DEVICES'!$I$3:$I$987,""),"Peripheral",_xlfn.XLOOKUP($K624&amp;"",PERIPHERAL!$B$3:$B$954&amp;"",PERIPHERAL!$I$3:$I$954,""),"Utilities",_xlfn.XLOOKUP($K624&amp;"",UTILITIES!$B$3:$B$953&amp;"",UTILITIES!$H$3:$H$953,""),"IOT",_xlfn.XLOOKUP($K624&amp;"",IOT!$B$3:$B$1012&amp;"",IOT!$I$3:$I$1012,""),"SERVER",_xlfn.XLOOKUP($K624&amp;"",SERVER!$B$3:$B$1009&amp;"",SERVER!$I$3:$I$1009,""),""))</f>
        <v/>
      </c>
      <c r="M624" t="str" cm="1">
        <f t="array" ref="M624">IF($K624="","",_xlfn.SWITCH($I624,"Computer",_xlfn.XLOOKUP($K624&amp;"",COMPUTER!$B$3:$B$1009&amp;"",COMPUTER!$J$3:$J$1009,""),"Display",_xlfn.XLOOKUP($K624&amp;"",DISPLAY!$B$3:$B$1000&amp;"",DISPLAY!$K$3:$K$1000,""),"Network Device",_xlfn.XLOOKUP($K624&amp;"",'NETWORK-DEVICES'!$B$3:$B$987&amp;"",'NETWORK-DEVICES'!$I$3:$I$987,""),"Peripheral",_xlfn.XLOOKUP($K624&amp;"",PERIPHERAL!$B$3:$B$954&amp;"",PERIPHERAL!$J$3:$J$954,""),"Utilities",_xlfn.XLOOKUP($K624&amp;"",UTILITIES!$B$3:$B$953&amp;"",UTILITIES!$I$3:$I$953,""),"IOT",_xlfn.XLOOKUP($K624&amp;"",IOT!$B$3:$B$1012&amp;"",IOT!$J$3:$J$1012,""),"Server",_xlfn.XLOOKUP($K624&amp;"",SERVER!$B$3:$B$1009&amp;"",SERVER!$J$3:$J$1009,""),""))</f>
        <v/>
      </c>
      <c r="N624" s="1" t="str" cm="1">
        <f t="array" ref="N624">IF(OR($K624="",$I624="",$J624=""),"",_xlfn.LET(_xlpm.srcCat,_xlfn.SWITCH($I624,"Computer",_xlfn.XLOOKUP($K624&amp;"",COMPUTER!$B$3:$B$1009&amp;"",COMPUTER!$H$3:$H$1009,""),"Display",_xlfn.XLOOKUP($K624&amp;"",DISPLAY!$B$3:$B$1000&amp;"",DISPLAY!$H$3:$H$1000,""),"Network Device",_xlfn.XLOOKUP($K624&amp;"",'NETWORK-DEVICES'!$B$3:$B$987&amp;"",'NETWORK-DEVICES'!$H$3:$H$987,""),"Peripheral",_xlfn.XLOOKUP($K624&amp;"",PERIPHERAL!$B$3:$B$954&amp;"",PERIPHERAL!$H$3:$H$954,""),"Utilities",_xlfn.XLOOKUP($K624&amp;"",UTILITIES!$B$3:$B$953&amp;"",UTILITIES!$G$3:$G$953,""),"IOT",_xlfn.XLOOKUP($K624&amp;"",IOT!$B$3:$B$1012&amp;"",IOT!$H$3:$H$1012,""),"Server",_xlfn.XLOOKUP($K624&amp;"",SERVER!$B$3:$B$1009&amp;"",SERVER!$H$3:$H$1009,""),""),IF(TRIM(_xlpm.srcCat)&lt;&gt;TRIM($J624),"",_xlfn.SWITCH($I624,"Computer",_xlfn.XLOOKUP($K624&amp;"",COMPUTER!$B$3:$B$1009&amp;"",COMPUTER!$K$3:$K$1009,""),"Display",_xlfn.XLOOKUP($K624&amp;"",DISPLAY!$B$3:$B$1000&amp;"",DISPLAY!$L$3:$L$1000,""),"Network Device",_xlfn.XLOOKUP($K624&amp;"",'NETWORK-DEVICES'!$B$3:$B$987&amp;"",'NETWORK-DEVICES'!$K$3:$K$987,""),"Peripheral",_xlfn.XLOOKUP($K624&amp;"",PERIPHERAL!$B$3:$B$954&amp;"",PERIPHERAL!$K$3:$K$954,""),"Utilities",_xlfn.XLOOKUP($K624&amp;"",UTILITIES!$B$3:$B$953&amp;"",UTILITIES!$J$3:$J$953,""),"IOT",_xlfn.XLOOKUP($K624&amp;"",IOT!$B$3:$B$1012&amp;"",IOT!$K$4:$K$1012,""),"Server",_xlfn.XLOOKUP($K624&amp;"",SERVER!$B$3:$B$1009&amp;"",SERVER!$K$3:$K$1009,""),""))))</f>
        <v/>
      </c>
      <c r="O624" s="1" t="str" cm="1">
        <f t="array" ref="O624">IF(OR($K624="",$I624="",$J624=""),"",_xlfn.LET(_xlpm.srcCat,_xlfn.SWITCH($I624,"Computer",_xlfn.XLOOKUP($K624&amp;"",COMPUTER!$B$3:$B$1009&amp;"",COMPUTER!$H$3:$H$1009,""),"Display",_xlfn.XLOOKUP($K624&amp;"",DISPLAY!$B$3:$B$1000&amp;"",DISPLAY!$H$3:$H$1000,""),"Network Device",_xlfn.XLOOKUP($K624&amp;"",'NETWORK-DEVICES'!$B$3:$B$987&amp;"",'NETWORK-DEVICES'!$H$3:$H$987,""),"Peripheral",_xlfn.XLOOKUP($K624&amp;"",PERIPHERAL!$B$3:$B$954&amp;"",PERIPHERAL!$H$3:$H$954,""),"Utilities",_xlfn.XLOOKUP($K624&amp;"",UTILITIES!$B$3:$B$953&amp;"",UTILITIES!$G$3:$G$953,""),"IOT",_xlfn.XLOOKUP($K624&amp;"",IOT!$B$3:$B$1012&amp;"",IOT!$H$3:$H$1012,""),"Server",_xlfn.XLOOKUP($K624&amp;"",SERVER!$B$3:$B$1009&amp;"",SERVER!$H$3:$H$1009,""),""),IF(TRIM(_xlpm.srcCat)&lt;&gt;TRIM($J624),"",_xlfn.SWITCH($I624,"Computer",_xlfn.XLOOKUP($K624&amp;"",COMPUTER!$B$3:$B$1009&amp;"",COMPUTER!$E$3:$E$1009,""),"Display",_xlfn.XLOOKUP($K624&amp;"",DISPLAY!$B$3:$B$1000&amp;"",DISPLAY!$E$3:$E$1000,""),"Network Device",_xlfn.XLOOKUP($K624&amp;"",'NETWORK-DEVICES'!$B$3:$B$987&amp;"",'NETWORK-DEVICES'!$E$3:$E$987,""),"Peripheral",_xlfn.XLOOKUP($K624&amp;"",PERIPHERAL!$B$3:$B$954&amp;"",PERIPHERAL!$E$3:$E$954,""),"Utilities",_xlfn.XLOOKUP($K624&amp;"",UTILITIES!$B$3:$B$953&amp;"",UTILITIES!$E$3:$E$953,""),"IOT",_xlfn.XLOOKUP($K624&amp;"",IOT!$B$3:$B$1012&amp;"",IOT!$E$3:$E$1012,""),"Server",_xlfn.XLOOKUP($K624&amp;"",SERVER!$B$3:$B$1009&amp;"",SERVER!$E$3:$E$1009,""),""))))</f>
        <v/>
      </c>
      <c r="Q624" s="1" t="str" cm="1">
        <f t="array" ref="Q624">IF(OR($K624="",$I624="",$J624=""),"",_xlfn.LET(_xlpm.srcCat,_xlfn.SWITCH($I624,"Computer",_xlfn.XLOOKUP($K624&amp;"",COMPUTER!$B$3:$B$1009&amp;"",COMPUTER!$H$3:$H$1009,""),"Display",_xlfn.XLOOKUP($K624&amp;"",DISPLAY!$B$3:$B$1000&amp;"",DISPLAY!$H$3:$H$1000,""),"Network Device",_xlfn.XLOOKUP($K624&amp;"",'NETWORK-DEVICES'!$B$3:$B$987&amp;"",'NETWORK-DEVICES'!$H$3:$H$987,""),"Peripheral",_xlfn.XLOOKUP($K624&amp;"",PERIPHERAL!$B$3:$B$954&amp;"",PERIPHERAL!$H$3:$H$954,""),"Utilities",_xlfn.XLOOKUP($K624&amp;"",UTILITIES!$B$3:$B$953&amp;"",UTILITIES!$G$3:$G$953,""),"IOT",_xlfn.XLOOKUP($K624&amp;"",IOT!$B$3:$B$1012&amp;"",IOT!$H$3:$H$1012,""),"Server",_xlfn.XLOOKUP($K624&amp;"",SERVER!$B$3:$B$1009&amp;"",SERVER!$H$3:$H$1009,""),""),IF(TRIM(_xlpm.srcCat)&lt;&gt;TRIM($J624),"",_xlfn.SWITCH($I624,"Computer",_xlfn.XLOOKUP($K624&amp;"",COMPUTER!$B$3:$B$1009&amp;"",COMPUTER!$AM$3:$AM$1009,""),"Display",_xlfn.XLOOKUP($K624&amp;"",DISPLAY!$B$3:$B$1000&amp;"",DISPLAY!$V$3:$V$1000,""),"Network Device",_xlfn.XLOOKUP($K624&amp;"",'NETWORK-DEVICES'!$B$3:$B$987&amp;"",'NETWORK-DEVICES'!$AF$3:$AF$987,""),"Peripheral",_xlfn.XLOOKUP($K624&amp;"",PERIPHERAL!$B$3:$B$954&amp;"",PERIPHERAL!$Y$3:$Y$954,""),"Utilities",_xlfn.XLOOKUP($K624&amp;"",UTILITIES!$B$3:$B$953&amp;"",UTILITIES!$O$3:$O$953,""),"IOT",_xlfn.XLOOKUP($K624&amp;"",IOT!$B$3:$B$1012&amp;"",IOT!$AB$3:$AB$1012,""),"Server",_xlfn.XLOOKUP($K624&amp;"",SERVER!$B$3:$B$1009&amp;"",SERVER!$AB$3:$AB$1009,""),""))))</f>
        <v/>
      </c>
      <c r="R624" s="43" t="str">
        <f>IF(tbl_handover[[#This Row],[Asset Code]]="","",COUNTIF(tbl_handover[Asset Code],tbl_handover[[#This Row],[Asset Code]]))</f>
        <v/>
      </c>
    </row>
    <row r="625" spans="1:18" x14ac:dyDescent="0.25">
      <c r="A625" s="43" t="str">
        <f>IF(B625&lt;&gt;"",SUBTOTAL(3,$B$1:B624),"")</f>
        <v/>
      </c>
      <c r="C625" s="74"/>
      <c r="D625" s="74"/>
      <c r="G625" s="1"/>
      <c r="K625" s="42"/>
      <c r="L625" t="str" cm="1">
        <f t="array" ref="L625">IF($K625="","",_xlfn.SWITCH($I625,"Computer",_xlfn.XLOOKUP($K625&amp;"",COMPUTER!$B$3:$B$1009&amp;"",COMPUTER!$I$3:$I$1009,""),"Display",_xlfn.XLOOKUP($K625&amp;"",DISPLAY!$B$3:$B$1000&amp;"",DISPLAY!$J$3:$J$1000,""),"Network Device",_xlfn.XLOOKUP($K625&amp;"",'NETWORK-DEVICES'!$B$3:$B$987&amp;"",'NETWORK-DEVICES'!$I$3:$I$987,""),"Peripheral",_xlfn.XLOOKUP($K625&amp;"",PERIPHERAL!$B$3:$B$954&amp;"",PERIPHERAL!$I$3:$I$954,""),"Utilities",_xlfn.XLOOKUP($K625&amp;"",UTILITIES!$B$3:$B$953&amp;"",UTILITIES!$H$3:$H$953,""),"IOT",_xlfn.XLOOKUP($K625&amp;"",IOT!$B$3:$B$1012&amp;"",IOT!$I$3:$I$1012,""),"SERVER",_xlfn.XLOOKUP($K625&amp;"",SERVER!$B$3:$B$1009&amp;"",SERVER!$I$3:$I$1009,""),""))</f>
        <v/>
      </c>
      <c r="M625" t="str" cm="1">
        <f t="array" ref="M625">IF($K625="","",_xlfn.SWITCH($I625,"Computer",_xlfn.XLOOKUP($K625&amp;"",COMPUTER!$B$3:$B$1009&amp;"",COMPUTER!$J$3:$J$1009,""),"Display",_xlfn.XLOOKUP($K625&amp;"",DISPLAY!$B$3:$B$1000&amp;"",DISPLAY!$K$3:$K$1000,""),"Network Device",_xlfn.XLOOKUP($K625&amp;"",'NETWORK-DEVICES'!$B$3:$B$987&amp;"",'NETWORK-DEVICES'!$I$3:$I$987,""),"Peripheral",_xlfn.XLOOKUP($K625&amp;"",PERIPHERAL!$B$3:$B$954&amp;"",PERIPHERAL!$J$3:$J$954,""),"Utilities",_xlfn.XLOOKUP($K625&amp;"",UTILITIES!$B$3:$B$953&amp;"",UTILITIES!$I$3:$I$953,""),"IOT",_xlfn.XLOOKUP($K625&amp;"",IOT!$B$3:$B$1012&amp;"",IOT!$J$3:$J$1012,""),"Server",_xlfn.XLOOKUP($K625&amp;"",SERVER!$B$3:$B$1009&amp;"",SERVER!$J$3:$J$1009,""),""))</f>
        <v/>
      </c>
      <c r="N625" s="1" t="str" cm="1">
        <f t="array" ref="N625">IF(OR($K625="",$I625="",$J625=""),"",_xlfn.LET(_xlpm.srcCat,_xlfn.SWITCH($I625,"Computer",_xlfn.XLOOKUP($K625&amp;"",COMPUTER!$B$3:$B$1009&amp;"",COMPUTER!$H$3:$H$1009,""),"Display",_xlfn.XLOOKUP($K625&amp;"",DISPLAY!$B$3:$B$1000&amp;"",DISPLAY!$H$3:$H$1000,""),"Network Device",_xlfn.XLOOKUP($K625&amp;"",'NETWORK-DEVICES'!$B$3:$B$987&amp;"",'NETWORK-DEVICES'!$H$3:$H$987,""),"Peripheral",_xlfn.XLOOKUP($K625&amp;"",PERIPHERAL!$B$3:$B$954&amp;"",PERIPHERAL!$H$3:$H$954,""),"Utilities",_xlfn.XLOOKUP($K625&amp;"",UTILITIES!$B$3:$B$953&amp;"",UTILITIES!$G$3:$G$953,""),"IOT",_xlfn.XLOOKUP($K625&amp;"",IOT!$B$3:$B$1012&amp;"",IOT!$H$3:$H$1012,""),"Server",_xlfn.XLOOKUP($K625&amp;"",SERVER!$B$3:$B$1009&amp;"",SERVER!$H$3:$H$1009,""),""),IF(TRIM(_xlpm.srcCat)&lt;&gt;TRIM($J625),"",_xlfn.SWITCH($I625,"Computer",_xlfn.XLOOKUP($K625&amp;"",COMPUTER!$B$3:$B$1009&amp;"",COMPUTER!$K$3:$K$1009,""),"Display",_xlfn.XLOOKUP($K625&amp;"",DISPLAY!$B$3:$B$1000&amp;"",DISPLAY!$L$3:$L$1000,""),"Network Device",_xlfn.XLOOKUP($K625&amp;"",'NETWORK-DEVICES'!$B$3:$B$987&amp;"",'NETWORK-DEVICES'!$K$3:$K$987,""),"Peripheral",_xlfn.XLOOKUP($K625&amp;"",PERIPHERAL!$B$3:$B$954&amp;"",PERIPHERAL!$K$3:$K$954,""),"Utilities",_xlfn.XLOOKUP($K625&amp;"",UTILITIES!$B$3:$B$953&amp;"",UTILITIES!$J$3:$J$953,""),"IOT",_xlfn.XLOOKUP($K625&amp;"",IOT!$B$3:$B$1012&amp;"",IOT!$K$4:$K$1012,""),"Server",_xlfn.XLOOKUP($K625&amp;"",SERVER!$B$3:$B$1009&amp;"",SERVER!$K$3:$K$1009,""),""))))</f>
        <v/>
      </c>
      <c r="O625" s="1" t="str" cm="1">
        <f t="array" ref="O625">IF(OR($K625="",$I625="",$J625=""),"",_xlfn.LET(_xlpm.srcCat,_xlfn.SWITCH($I625,"Computer",_xlfn.XLOOKUP($K625&amp;"",COMPUTER!$B$3:$B$1009&amp;"",COMPUTER!$H$3:$H$1009,""),"Display",_xlfn.XLOOKUP($K625&amp;"",DISPLAY!$B$3:$B$1000&amp;"",DISPLAY!$H$3:$H$1000,""),"Network Device",_xlfn.XLOOKUP($K625&amp;"",'NETWORK-DEVICES'!$B$3:$B$987&amp;"",'NETWORK-DEVICES'!$H$3:$H$987,""),"Peripheral",_xlfn.XLOOKUP($K625&amp;"",PERIPHERAL!$B$3:$B$954&amp;"",PERIPHERAL!$H$3:$H$954,""),"Utilities",_xlfn.XLOOKUP($K625&amp;"",UTILITIES!$B$3:$B$953&amp;"",UTILITIES!$G$3:$G$953,""),"IOT",_xlfn.XLOOKUP($K625&amp;"",IOT!$B$3:$B$1012&amp;"",IOT!$H$3:$H$1012,""),"Server",_xlfn.XLOOKUP($K625&amp;"",SERVER!$B$3:$B$1009&amp;"",SERVER!$H$3:$H$1009,""),""),IF(TRIM(_xlpm.srcCat)&lt;&gt;TRIM($J625),"",_xlfn.SWITCH($I625,"Computer",_xlfn.XLOOKUP($K625&amp;"",COMPUTER!$B$3:$B$1009&amp;"",COMPUTER!$E$3:$E$1009,""),"Display",_xlfn.XLOOKUP($K625&amp;"",DISPLAY!$B$3:$B$1000&amp;"",DISPLAY!$E$3:$E$1000,""),"Network Device",_xlfn.XLOOKUP($K625&amp;"",'NETWORK-DEVICES'!$B$3:$B$987&amp;"",'NETWORK-DEVICES'!$E$3:$E$987,""),"Peripheral",_xlfn.XLOOKUP($K625&amp;"",PERIPHERAL!$B$3:$B$954&amp;"",PERIPHERAL!$E$3:$E$954,""),"Utilities",_xlfn.XLOOKUP($K625&amp;"",UTILITIES!$B$3:$B$953&amp;"",UTILITIES!$E$3:$E$953,""),"IOT",_xlfn.XLOOKUP($K625&amp;"",IOT!$B$3:$B$1012&amp;"",IOT!$E$3:$E$1012,""),"Server",_xlfn.XLOOKUP($K625&amp;"",SERVER!$B$3:$B$1009&amp;"",SERVER!$E$3:$E$1009,""),""))))</f>
        <v/>
      </c>
      <c r="Q625" s="1" t="str" cm="1">
        <f t="array" ref="Q625">IF(OR($K625="",$I625="",$J625=""),"",_xlfn.LET(_xlpm.srcCat,_xlfn.SWITCH($I625,"Computer",_xlfn.XLOOKUP($K625&amp;"",COMPUTER!$B$3:$B$1009&amp;"",COMPUTER!$H$3:$H$1009,""),"Display",_xlfn.XLOOKUP($K625&amp;"",DISPLAY!$B$3:$B$1000&amp;"",DISPLAY!$H$3:$H$1000,""),"Network Device",_xlfn.XLOOKUP($K625&amp;"",'NETWORK-DEVICES'!$B$3:$B$987&amp;"",'NETWORK-DEVICES'!$H$3:$H$987,""),"Peripheral",_xlfn.XLOOKUP($K625&amp;"",PERIPHERAL!$B$3:$B$954&amp;"",PERIPHERAL!$H$3:$H$954,""),"Utilities",_xlfn.XLOOKUP($K625&amp;"",UTILITIES!$B$3:$B$953&amp;"",UTILITIES!$G$3:$G$953,""),"IOT",_xlfn.XLOOKUP($K625&amp;"",IOT!$B$3:$B$1012&amp;"",IOT!$H$3:$H$1012,""),"Server",_xlfn.XLOOKUP($K625&amp;"",SERVER!$B$3:$B$1009&amp;"",SERVER!$H$3:$H$1009,""),""),IF(TRIM(_xlpm.srcCat)&lt;&gt;TRIM($J625),"",_xlfn.SWITCH($I625,"Computer",_xlfn.XLOOKUP($K625&amp;"",COMPUTER!$B$3:$B$1009&amp;"",COMPUTER!$AM$3:$AM$1009,""),"Display",_xlfn.XLOOKUP($K625&amp;"",DISPLAY!$B$3:$B$1000&amp;"",DISPLAY!$V$3:$V$1000,""),"Network Device",_xlfn.XLOOKUP($K625&amp;"",'NETWORK-DEVICES'!$B$3:$B$987&amp;"",'NETWORK-DEVICES'!$AF$3:$AF$987,""),"Peripheral",_xlfn.XLOOKUP($K625&amp;"",PERIPHERAL!$B$3:$B$954&amp;"",PERIPHERAL!$Y$3:$Y$954,""),"Utilities",_xlfn.XLOOKUP($K625&amp;"",UTILITIES!$B$3:$B$953&amp;"",UTILITIES!$O$3:$O$953,""),"IOT",_xlfn.XLOOKUP($K625&amp;"",IOT!$B$3:$B$1012&amp;"",IOT!$AB$3:$AB$1012,""),"Server",_xlfn.XLOOKUP($K625&amp;"",SERVER!$B$3:$B$1009&amp;"",SERVER!$AB$3:$AB$1009,""),""))))</f>
        <v/>
      </c>
      <c r="R625" s="43" t="str">
        <f>IF(tbl_handover[[#This Row],[Asset Code]]="","",COUNTIF(tbl_handover[Asset Code],tbl_handover[[#This Row],[Asset Code]]))</f>
        <v/>
      </c>
    </row>
    <row r="626" spans="1:18" x14ac:dyDescent="0.25">
      <c r="A626" s="43" t="str">
        <f>IF(B626&lt;&gt;"",SUBTOTAL(3,$B$1:B625),"")</f>
        <v/>
      </c>
      <c r="C626" s="74"/>
      <c r="D626" s="74"/>
      <c r="G626" s="1"/>
      <c r="K626" s="42"/>
      <c r="L626" t="str" cm="1">
        <f t="array" ref="L626">IF($K626="","",_xlfn.SWITCH($I626,"Computer",_xlfn.XLOOKUP($K626&amp;"",COMPUTER!$B$3:$B$1009&amp;"",COMPUTER!$I$3:$I$1009,""),"Display",_xlfn.XLOOKUP($K626&amp;"",DISPLAY!$B$3:$B$1000&amp;"",DISPLAY!$J$3:$J$1000,""),"Network Device",_xlfn.XLOOKUP($K626&amp;"",'NETWORK-DEVICES'!$B$3:$B$987&amp;"",'NETWORK-DEVICES'!$I$3:$I$987,""),"Peripheral",_xlfn.XLOOKUP($K626&amp;"",PERIPHERAL!$B$3:$B$954&amp;"",PERIPHERAL!$I$3:$I$954,""),"Utilities",_xlfn.XLOOKUP($K626&amp;"",UTILITIES!$B$3:$B$953&amp;"",UTILITIES!$H$3:$H$953,""),"IOT",_xlfn.XLOOKUP($K626&amp;"",IOT!$B$3:$B$1012&amp;"",IOT!$I$3:$I$1012,""),"SERVER",_xlfn.XLOOKUP($K626&amp;"",SERVER!$B$3:$B$1009&amp;"",SERVER!$I$3:$I$1009,""),""))</f>
        <v/>
      </c>
      <c r="M626" t="str" cm="1">
        <f t="array" ref="M626">IF($K626="","",_xlfn.SWITCH($I626,"Computer",_xlfn.XLOOKUP($K626&amp;"",COMPUTER!$B$3:$B$1009&amp;"",COMPUTER!$J$3:$J$1009,""),"Display",_xlfn.XLOOKUP($K626&amp;"",DISPLAY!$B$3:$B$1000&amp;"",DISPLAY!$K$3:$K$1000,""),"Network Device",_xlfn.XLOOKUP($K626&amp;"",'NETWORK-DEVICES'!$B$3:$B$987&amp;"",'NETWORK-DEVICES'!$I$3:$I$987,""),"Peripheral",_xlfn.XLOOKUP($K626&amp;"",PERIPHERAL!$B$3:$B$954&amp;"",PERIPHERAL!$J$3:$J$954,""),"Utilities",_xlfn.XLOOKUP($K626&amp;"",UTILITIES!$B$3:$B$953&amp;"",UTILITIES!$I$3:$I$953,""),"IOT",_xlfn.XLOOKUP($K626&amp;"",IOT!$B$3:$B$1012&amp;"",IOT!$J$3:$J$1012,""),"Server",_xlfn.XLOOKUP($K626&amp;"",SERVER!$B$3:$B$1009&amp;"",SERVER!$J$3:$J$1009,""),""))</f>
        <v/>
      </c>
      <c r="N626" s="1" t="str" cm="1">
        <f t="array" ref="N626">IF(OR($K626="",$I626="",$J626=""),"",_xlfn.LET(_xlpm.srcCat,_xlfn.SWITCH($I626,"Computer",_xlfn.XLOOKUP($K626&amp;"",COMPUTER!$B$3:$B$1009&amp;"",COMPUTER!$H$3:$H$1009,""),"Display",_xlfn.XLOOKUP($K626&amp;"",DISPLAY!$B$3:$B$1000&amp;"",DISPLAY!$H$3:$H$1000,""),"Network Device",_xlfn.XLOOKUP($K626&amp;"",'NETWORK-DEVICES'!$B$3:$B$987&amp;"",'NETWORK-DEVICES'!$H$3:$H$987,""),"Peripheral",_xlfn.XLOOKUP($K626&amp;"",PERIPHERAL!$B$3:$B$954&amp;"",PERIPHERAL!$H$3:$H$954,""),"Utilities",_xlfn.XLOOKUP($K626&amp;"",UTILITIES!$B$3:$B$953&amp;"",UTILITIES!$G$3:$G$953,""),"IOT",_xlfn.XLOOKUP($K626&amp;"",IOT!$B$3:$B$1012&amp;"",IOT!$H$3:$H$1012,""),"Server",_xlfn.XLOOKUP($K626&amp;"",SERVER!$B$3:$B$1009&amp;"",SERVER!$H$3:$H$1009,""),""),IF(TRIM(_xlpm.srcCat)&lt;&gt;TRIM($J626),"",_xlfn.SWITCH($I626,"Computer",_xlfn.XLOOKUP($K626&amp;"",COMPUTER!$B$3:$B$1009&amp;"",COMPUTER!$K$3:$K$1009,""),"Display",_xlfn.XLOOKUP($K626&amp;"",DISPLAY!$B$3:$B$1000&amp;"",DISPLAY!$L$3:$L$1000,""),"Network Device",_xlfn.XLOOKUP($K626&amp;"",'NETWORK-DEVICES'!$B$3:$B$987&amp;"",'NETWORK-DEVICES'!$K$3:$K$987,""),"Peripheral",_xlfn.XLOOKUP($K626&amp;"",PERIPHERAL!$B$3:$B$954&amp;"",PERIPHERAL!$K$3:$K$954,""),"Utilities",_xlfn.XLOOKUP($K626&amp;"",UTILITIES!$B$3:$B$953&amp;"",UTILITIES!$J$3:$J$953,""),"IOT",_xlfn.XLOOKUP($K626&amp;"",IOT!$B$3:$B$1012&amp;"",IOT!$K$4:$K$1012,""),"Server",_xlfn.XLOOKUP($K626&amp;"",SERVER!$B$3:$B$1009&amp;"",SERVER!$K$3:$K$1009,""),""))))</f>
        <v/>
      </c>
      <c r="O626" s="1" t="str" cm="1">
        <f t="array" ref="O626">IF(OR($K626="",$I626="",$J626=""),"",_xlfn.LET(_xlpm.srcCat,_xlfn.SWITCH($I626,"Computer",_xlfn.XLOOKUP($K626&amp;"",COMPUTER!$B$3:$B$1009&amp;"",COMPUTER!$H$3:$H$1009,""),"Display",_xlfn.XLOOKUP($K626&amp;"",DISPLAY!$B$3:$B$1000&amp;"",DISPLAY!$H$3:$H$1000,""),"Network Device",_xlfn.XLOOKUP($K626&amp;"",'NETWORK-DEVICES'!$B$3:$B$987&amp;"",'NETWORK-DEVICES'!$H$3:$H$987,""),"Peripheral",_xlfn.XLOOKUP($K626&amp;"",PERIPHERAL!$B$3:$B$954&amp;"",PERIPHERAL!$H$3:$H$954,""),"Utilities",_xlfn.XLOOKUP($K626&amp;"",UTILITIES!$B$3:$B$953&amp;"",UTILITIES!$G$3:$G$953,""),"IOT",_xlfn.XLOOKUP($K626&amp;"",IOT!$B$3:$B$1012&amp;"",IOT!$H$3:$H$1012,""),"Server",_xlfn.XLOOKUP($K626&amp;"",SERVER!$B$3:$B$1009&amp;"",SERVER!$H$3:$H$1009,""),""),IF(TRIM(_xlpm.srcCat)&lt;&gt;TRIM($J626),"",_xlfn.SWITCH($I626,"Computer",_xlfn.XLOOKUP($K626&amp;"",COMPUTER!$B$3:$B$1009&amp;"",COMPUTER!$E$3:$E$1009,""),"Display",_xlfn.XLOOKUP($K626&amp;"",DISPLAY!$B$3:$B$1000&amp;"",DISPLAY!$E$3:$E$1000,""),"Network Device",_xlfn.XLOOKUP($K626&amp;"",'NETWORK-DEVICES'!$B$3:$B$987&amp;"",'NETWORK-DEVICES'!$E$3:$E$987,""),"Peripheral",_xlfn.XLOOKUP($K626&amp;"",PERIPHERAL!$B$3:$B$954&amp;"",PERIPHERAL!$E$3:$E$954,""),"Utilities",_xlfn.XLOOKUP($K626&amp;"",UTILITIES!$B$3:$B$953&amp;"",UTILITIES!$E$3:$E$953,""),"IOT",_xlfn.XLOOKUP($K626&amp;"",IOT!$B$3:$B$1012&amp;"",IOT!$E$3:$E$1012,""),"Server",_xlfn.XLOOKUP($K626&amp;"",SERVER!$B$3:$B$1009&amp;"",SERVER!$E$3:$E$1009,""),""))))</f>
        <v/>
      </c>
      <c r="Q626" s="1" t="str" cm="1">
        <f t="array" ref="Q626">IF(OR($K626="",$I626="",$J626=""),"",_xlfn.LET(_xlpm.srcCat,_xlfn.SWITCH($I626,"Computer",_xlfn.XLOOKUP($K626&amp;"",COMPUTER!$B$3:$B$1009&amp;"",COMPUTER!$H$3:$H$1009,""),"Display",_xlfn.XLOOKUP($K626&amp;"",DISPLAY!$B$3:$B$1000&amp;"",DISPLAY!$H$3:$H$1000,""),"Network Device",_xlfn.XLOOKUP($K626&amp;"",'NETWORK-DEVICES'!$B$3:$B$987&amp;"",'NETWORK-DEVICES'!$H$3:$H$987,""),"Peripheral",_xlfn.XLOOKUP($K626&amp;"",PERIPHERAL!$B$3:$B$954&amp;"",PERIPHERAL!$H$3:$H$954,""),"Utilities",_xlfn.XLOOKUP($K626&amp;"",UTILITIES!$B$3:$B$953&amp;"",UTILITIES!$G$3:$G$953,""),"IOT",_xlfn.XLOOKUP($K626&amp;"",IOT!$B$3:$B$1012&amp;"",IOT!$H$3:$H$1012,""),"Server",_xlfn.XLOOKUP($K626&amp;"",SERVER!$B$3:$B$1009&amp;"",SERVER!$H$3:$H$1009,""),""),IF(TRIM(_xlpm.srcCat)&lt;&gt;TRIM($J626),"",_xlfn.SWITCH($I626,"Computer",_xlfn.XLOOKUP($K626&amp;"",COMPUTER!$B$3:$B$1009&amp;"",COMPUTER!$AM$3:$AM$1009,""),"Display",_xlfn.XLOOKUP($K626&amp;"",DISPLAY!$B$3:$B$1000&amp;"",DISPLAY!$V$3:$V$1000,""),"Network Device",_xlfn.XLOOKUP($K626&amp;"",'NETWORK-DEVICES'!$B$3:$B$987&amp;"",'NETWORK-DEVICES'!$AF$3:$AF$987,""),"Peripheral",_xlfn.XLOOKUP($K626&amp;"",PERIPHERAL!$B$3:$B$954&amp;"",PERIPHERAL!$Y$3:$Y$954,""),"Utilities",_xlfn.XLOOKUP($K626&amp;"",UTILITIES!$B$3:$B$953&amp;"",UTILITIES!$O$3:$O$953,""),"IOT",_xlfn.XLOOKUP($K626&amp;"",IOT!$B$3:$B$1012&amp;"",IOT!$AB$3:$AB$1012,""),"Server",_xlfn.XLOOKUP($K626&amp;"",SERVER!$B$3:$B$1009&amp;"",SERVER!$AB$3:$AB$1009,""),""))))</f>
        <v/>
      </c>
      <c r="R626" s="43" t="str">
        <f>IF(tbl_handover[[#This Row],[Asset Code]]="","",COUNTIF(tbl_handover[Asset Code],tbl_handover[[#This Row],[Asset Code]]))</f>
        <v/>
      </c>
    </row>
    <row r="627" spans="1:18" x14ac:dyDescent="0.25">
      <c r="A627" s="43" t="str">
        <f>IF(B627&lt;&gt;"",SUBTOTAL(3,$B$1:B626),"")</f>
        <v/>
      </c>
      <c r="C627" s="74"/>
      <c r="D627" s="74"/>
      <c r="G627" s="1"/>
      <c r="K627" s="42"/>
      <c r="L627" t="str" cm="1">
        <f t="array" ref="L627">IF($K627="","",_xlfn.SWITCH($I627,"Computer",_xlfn.XLOOKUP($K627&amp;"",COMPUTER!$B$3:$B$1009&amp;"",COMPUTER!$I$3:$I$1009,""),"Display",_xlfn.XLOOKUP($K627&amp;"",DISPLAY!$B$3:$B$1000&amp;"",DISPLAY!$J$3:$J$1000,""),"Network Device",_xlfn.XLOOKUP($K627&amp;"",'NETWORK-DEVICES'!$B$3:$B$987&amp;"",'NETWORK-DEVICES'!$I$3:$I$987,""),"Peripheral",_xlfn.XLOOKUP($K627&amp;"",PERIPHERAL!$B$3:$B$954&amp;"",PERIPHERAL!$I$3:$I$954,""),"Utilities",_xlfn.XLOOKUP($K627&amp;"",UTILITIES!$B$3:$B$953&amp;"",UTILITIES!$H$3:$H$953,""),"IOT",_xlfn.XLOOKUP($K627&amp;"",IOT!$B$3:$B$1012&amp;"",IOT!$I$3:$I$1012,""),"SERVER",_xlfn.XLOOKUP($K627&amp;"",SERVER!$B$3:$B$1009&amp;"",SERVER!$I$3:$I$1009,""),""))</f>
        <v/>
      </c>
      <c r="M627" t="str" cm="1">
        <f t="array" ref="M627">IF($K627="","",_xlfn.SWITCH($I627,"Computer",_xlfn.XLOOKUP($K627&amp;"",COMPUTER!$B$3:$B$1009&amp;"",COMPUTER!$J$3:$J$1009,""),"Display",_xlfn.XLOOKUP($K627&amp;"",DISPLAY!$B$3:$B$1000&amp;"",DISPLAY!$K$3:$K$1000,""),"Network Device",_xlfn.XLOOKUP($K627&amp;"",'NETWORK-DEVICES'!$B$3:$B$987&amp;"",'NETWORK-DEVICES'!$I$3:$I$987,""),"Peripheral",_xlfn.XLOOKUP($K627&amp;"",PERIPHERAL!$B$3:$B$954&amp;"",PERIPHERAL!$J$3:$J$954,""),"Utilities",_xlfn.XLOOKUP($K627&amp;"",UTILITIES!$B$3:$B$953&amp;"",UTILITIES!$I$3:$I$953,""),"IOT",_xlfn.XLOOKUP($K627&amp;"",IOT!$B$3:$B$1012&amp;"",IOT!$J$3:$J$1012,""),"Server",_xlfn.XLOOKUP($K627&amp;"",SERVER!$B$3:$B$1009&amp;"",SERVER!$J$3:$J$1009,""),""))</f>
        <v/>
      </c>
      <c r="N627" s="1" t="str" cm="1">
        <f t="array" ref="N627">IF(OR($K627="",$I627="",$J627=""),"",_xlfn.LET(_xlpm.srcCat,_xlfn.SWITCH($I627,"Computer",_xlfn.XLOOKUP($K627&amp;"",COMPUTER!$B$3:$B$1009&amp;"",COMPUTER!$H$3:$H$1009,""),"Display",_xlfn.XLOOKUP($K627&amp;"",DISPLAY!$B$3:$B$1000&amp;"",DISPLAY!$H$3:$H$1000,""),"Network Device",_xlfn.XLOOKUP($K627&amp;"",'NETWORK-DEVICES'!$B$3:$B$987&amp;"",'NETWORK-DEVICES'!$H$3:$H$987,""),"Peripheral",_xlfn.XLOOKUP($K627&amp;"",PERIPHERAL!$B$3:$B$954&amp;"",PERIPHERAL!$H$3:$H$954,""),"Utilities",_xlfn.XLOOKUP($K627&amp;"",UTILITIES!$B$3:$B$953&amp;"",UTILITIES!$G$3:$G$953,""),"IOT",_xlfn.XLOOKUP($K627&amp;"",IOT!$B$3:$B$1012&amp;"",IOT!$H$3:$H$1012,""),"Server",_xlfn.XLOOKUP($K627&amp;"",SERVER!$B$3:$B$1009&amp;"",SERVER!$H$3:$H$1009,""),""),IF(TRIM(_xlpm.srcCat)&lt;&gt;TRIM($J627),"",_xlfn.SWITCH($I627,"Computer",_xlfn.XLOOKUP($K627&amp;"",COMPUTER!$B$3:$B$1009&amp;"",COMPUTER!$K$3:$K$1009,""),"Display",_xlfn.XLOOKUP($K627&amp;"",DISPLAY!$B$3:$B$1000&amp;"",DISPLAY!$L$3:$L$1000,""),"Network Device",_xlfn.XLOOKUP($K627&amp;"",'NETWORK-DEVICES'!$B$3:$B$987&amp;"",'NETWORK-DEVICES'!$K$3:$K$987,""),"Peripheral",_xlfn.XLOOKUP($K627&amp;"",PERIPHERAL!$B$3:$B$954&amp;"",PERIPHERAL!$K$3:$K$954,""),"Utilities",_xlfn.XLOOKUP($K627&amp;"",UTILITIES!$B$3:$B$953&amp;"",UTILITIES!$J$3:$J$953,""),"IOT",_xlfn.XLOOKUP($K627&amp;"",IOT!$B$3:$B$1012&amp;"",IOT!$K$4:$K$1012,""),"Server",_xlfn.XLOOKUP($K627&amp;"",SERVER!$B$3:$B$1009&amp;"",SERVER!$K$3:$K$1009,""),""))))</f>
        <v/>
      </c>
      <c r="O627" s="1" t="str" cm="1">
        <f t="array" ref="O627">IF(OR($K627="",$I627="",$J627=""),"",_xlfn.LET(_xlpm.srcCat,_xlfn.SWITCH($I627,"Computer",_xlfn.XLOOKUP($K627&amp;"",COMPUTER!$B$3:$B$1009&amp;"",COMPUTER!$H$3:$H$1009,""),"Display",_xlfn.XLOOKUP($K627&amp;"",DISPLAY!$B$3:$B$1000&amp;"",DISPLAY!$H$3:$H$1000,""),"Network Device",_xlfn.XLOOKUP($K627&amp;"",'NETWORK-DEVICES'!$B$3:$B$987&amp;"",'NETWORK-DEVICES'!$H$3:$H$987,""),"Peripheral",_xlfn.XLOOKUP($K627&amp;"",PERIPHERAL!$B$3:$B$954&amp;"",PERIPHERAL!$H$3:$H$954,""),"Utilities",_xlfn.XLOOKUP($K627&amp;"",UTILITIES!$B$3:$B$953&amp;"",UTILITIES!$G$3:$G$953,""),"IOT",_xlfn.XLOOKUP($K627&amp;"",IOT!$B$3:$B$1012&amp;"",IOT!$H$3:$H$1012,""),"Server",_xlfn.XLOOKUP($K627&amp;"",SERVER!$B$3:$B$1009&amp;"",SERVER!$H$3:$H$1009,""),""),IF(TRIM(_xlpm.srcCat)&lt;&gt;TRIM($J627),"",_xlfn.SWITCH($I627,"Computer",_xlfn.XLOOKUP($K627&amp;"",COMPUTER!$B$3:$B$1009&amp;"",COMPUTER!$E$3:$E$1009,""),"Display",_xlfn.XLOOKUP($K627&amp;"",DISPLAY!$B$3:$B$1000&amp;"",DISPLAY!$E$3:$E$1000,""),"Network Device",_xlfn.XLOOKUP($K627&amp;"",'NETWORK-DEVICES'!$B$3:$B$987&amp;"",'NETWORK-DEVICES'!$E$3:$E$987,""),"Peripheral",_xlfn.XLOOKUP($K627&amp;"",PERIPHERAL!$B$3:$B$954&amp;"",PERIPHERAL!$E$3:$E$954,""),"Utilities",_xlfn.XLOOKUP($K627&amp;"",UTILITIES!$B$3:$B$953&amp;"",UTILITIES!$E$3:$E$953,""),"IOT",_xlfn.XLOOKUP($K627&amp;"",IOT!$B$3:$B$1012&amp;"",IOT!$E$3:$E$1012,""),"Server",_xlfn.XLOOKUP($K627&amp;"",SERVER!$B$3:$B$1009&amp;"",SERVER!$E$3:$E$1009,""),""))))</f>
        <v/>
      </c>
      <c r="Q627" s="1" t="str" cm="1">
        <f t="array" ref="Q627">IF(OR($K627="",$I627="",$J627=""),"",_xlfn.LET(_xlpm.srcCat,_xlfn.SWITCH($I627,"Computer",_xlfn.XLOOKUP($K627&amp;"",COMPUTER!$B$3:$B$1009&amp;"",COMPUTER!$H$3:$H$1009,""),"Display",_xlfn.XLOOKUP($K627&amp;"",DISPLAY!$B$3:$B$1000&amp;"",DISPLAY!$H$3:$H$1000,""),"Network Device",_xlfn.XLOOKUP($K627&amp;"",'NETWORK-DEVICES'!$B$3:$B$987&amp;"",'NETWORK-DEVICES'!$H$3:$H$987,""),"Peripheral",_xlfn.XLOOKUP($K627&amp;"",PERIPHERAL!$B$3:$B$954&amp;"",PERIPHERAL!$H$3:$H$954,""),"Utilities",_xlfn.XLOOKUP($K627&amp;"",UTILITIES!$B$3:$B$953&amp;"",UTILITIES!$G$3:$G$953,""),"IOT",_xlfn.XLOOKUP($K627&amp;"",IOT!$B$3:$B$1012&amp;"",IOT!$H$3:$H$1012,""),"Server",_xlfn.XLOOKUP($K627&amp;"",SERVER!$B$3:$B$1009&amp;"",SERVER!$H$3:$H$1009,""),""),IF(TRIM(_xlpm.srcCat)&lt;&gt;TRIM($J627),"",_xlfn.SWITCH($I627,"Computer",_xlfn.XLOOKUP($K627&amp;"",COMPUTER!$B$3:$B$1009&amp;"",COMPUTER!$AM$3:$AM$1009,""),"Display",_xlfn.XLOOKUP($K627&amp;"",DISPLAY!$B$3:$B$1000&amp;"",DISPLAY!$V$3:$V$1000,""),"Network Device",_xlfn.XLOOKUP($K627&amp;"",'NETWORK-DEVICES'!$B$3:$B$987&amp;"",'NETWORK-DEVICES'!$AF$3:$AF$987,""),"Peripheral",_xlfn.XLOOKUP($K627&amp;"",PERIPHERAL!$B$3:$B$954&amp;"",PERIPHERAL!$Y$3:$Y$954,""),"Utilities",_xlfn.XLOOKUP($K627&amp;"",UTILITIES!$B$3:$B$953&amp;"",UTILITIES!$O$3:$O$953,""),"IOT",_xlfn.XLOOKUP($K627&amp;"",IOT!$B$3:$B$1012&amp;"",IOT!$AB$3:$AB$1012,""),"Server",_xlfn.XLOOKUP($K627&amp;"",SERVER!$B$3:$B$1009&amp;"",SERVER!$AB$3:$AB$1009,""),""))))</f>
        <v/>
      </c>
      <c r="R627" s="43" t="str">
        <f>IF(tbl_handover[[#This Row],[Asset Code]]="","",COUNTIF(tbl_handover[Asset Code],tbl_handover[[#This Row],[Asset Code]]))</f>
        <v/>
      </c>
    </row>
    <row r="628" spans="1:18" x14ac:dyDescent="0.25">
      <c r="A628" s="43" t="str">
        <f>IF(B628&lt;&gt;"",SUBTOTAL(3,$B$1:B627),"")</f>
        <v/>
      </c>
      <c r="C628" s="74"/>
      <c r="D628" s="74"/>
      <c r="G628" s="1"/>
      <c r="K628" s="42"/>
      <c r="L628" t="str" cm="1">
        <f t="array" ref="L628">IF($K628="","",_xlfn.SWITCH($I628,"Computer",_xlfn.XLOOKUP($K628&amp;"",COMPUTER!$B$3:$B$1009&amp;"",COMPUTER!$I$3:$I$1009,""),"Display",_xlfn.XLOOKUP($K628&amp;"",DISPLAY!$B$3:$B$1000&amp;"",DISPLAY!$J$3:$J$1000,""),"Network Device",_xlfn.XLOOKUP($K628&amp;"",'NETWORK-DEVICES'!$B$3:$B$987&amp;"",'NETWORK-DEVICES'!$I$3:$I$987,""),"Peripheral",_xlfn.XLOOKUP($K628&amp;"",PERIPHERAL!$B$3:$B$954&amp;"",PERIPHERAL!$I$3:$I$954,""),"Utilities",_xlfn.XLOOKUP($K628&amp;"",UTILITIES!$B$3:$B$953&amp;"",UTILITIES!$H$3:$H$953,""),"IOT",_xlfn.XLOOKUP($K628&amp;"",IOT!$B$3:$B$1012&amp;"",IOT!$I$3:$I$1012,""),"SERVER",_xlfn.XLOOKUP($K628&amp;"",SERVER!$B$3:$B$1009&amp;"",SERVER!$I$3:$I$1009,""),""))</f>
        <v/>
      </c>
      <c r="M628" t="str" cm="1">
        <f t="array" ref="M628">IF($K628="","",_xlfn.SWITCH($I628,"Computer",_xlfn.XLOOKUP($K628&amp;"",COMPUTER!$B$3:$B$1009&amp;"",COMPUTER!$J$3:$J$1009,""),"Display",_xlfn.XLOOKUP($K628&amp;"",DISPLAY!$B$3:$B$1000&amp;"",DISPLAY!$K$3:$K$1000,""),"Network Device",_xlfn.XLOOKUP($K628&amp;"",'NETWORK-DEVICES'!$B$3:$B$987&amp;"",'NETWORK-DEVICES'!$I$3:$I$987,""),"Peripheral",_xlfn.XLOOKUP($K628&amp;"",PERIPHERAL!$B$3:$B$954&amp;"",PERIPHERAL!$J$3:$J$954,""),"Utilities",_xlfn.XLOOKUP($K628&amp;"",UTILITIES!$B$3:$B$953&amp;"",UTILITIES!$I$3:$I$953,""),"IOT",_xlfn.XLOOKUP($K628&amp;"",IOT!$B$3:$B$1012&amp;"",IOT!$J$3:$J$1012,""),"Server",_xlfn.XLOOKUP($K628&amp;"",SERVER!$B$3:$B$1009&amp;"",SERVER!$J$3:$J$1009,""),""))</f>
        <v/>
      </c>
      <c r="N628" s="1" t="str" cm="1">
        <f t="array" ref="N628">IF(OR($K628="",$I628="",$J628=""),"",_xlfn.LET(_xlpm.srcCat,_xlfn.SWITCH($I628,"Computer",_xlfn.XLOOKUP($K628&amp;"",COMPUTER!$B$3:$B$1009&amp;"",COMPUTER!$H$3:$H$1009,""),"Display",_xlfn.XLOOKUP($K628&amp;"",DISPLAY!$B$3:$B$1000&amp;"",DISPLAY!$H$3:$H$1000,""),"Network Device",_xlfn.XLOOKUP($K628&amp;"",'NETWORK-DEVICES'!$B$3:$B$987&amp;"",'NETWORK-DEVICES'!$H$3:$H$987,""),"Peripheral",_xlfn.XLOOKUP($K628&amp;"",PERIPHERAL!$B$3:$B$954&amp;"",PERIPHERAL!$H$3:$H$954,""),"Utilities",_xlfn.XLOOKUP($K628&amp;"",UTILITIES!$B$3:$B$953&amp;"",UTILITIES!$G$3:$G$953,""),"IOT",_xlfn.XLOOKUP($K628&amp;"",IOT!$B$3:$B$1012&amp;"",IOT!$H$3:$H$1012,""),"Server",_xlfn.XLOOKUP($K628&amp;"",SERVER!$B$3:$B$1009&amp;"",SERVER!$H$3:$H$1009,""),""),IF(TRIM(_xlpm.srcCat)&lt;&gt;TRIM($J628),"",_xlfn.SWITCH($I628,"Computer",_xlfn.XLOOKUP($K628&amp;"",COMPUTER!$B$3:$B$1009&amp;"",COMPUTER!$K$3:$K$1009,""),"Display",_xlfn.XLOOKUP($K628&amp;"",DISPLAY!$B$3:$B$1000&amp;"",DISPLAY!$L$3:$L$1000,""),"Network Device",_xlfn.XLOOKUP($K628&amp;"",'NETWORK-DEVICES'!$B$3:$B$987&amp;"",'NETWORK-DEVICES'!$K$3:$K$987,""),"Peripheral",_xlfn.XLOOKUP($K628&amp;"",PERIPHERAL!$B$3:$B$954&amp;"",PERIPHERAL!$K$3:$K$954,""),"Utilities",_xlfn.XLOOKUP($K628&amp;"",UTILITIES!$B$3:$B$953&amp;"",UTILITIES!$J$3:$J$953,""),"IOT",_xlfn.XLOOKUP($K628&amp;"",IOT!$B$3:$B$1012&amp;"",IOT!$K$4:$K$1012,""),"Server",_xlfn.XLOOKUP($K628&amp;"",SERVER!$B$3:$B$1009&amp;"",SERVER!$K$3:$K$1009,""),""))))</f>
        <v/>
      </c>
      <c r="O628" s="1" t="str" cm="1">
        <f t="array" ref="O628">IF(OR($K628="",$I628="",$J628=""),"",_xlfn.LET(_xlpm.srcCat,_xlfn.SWITCH($I628,"Computer",_xlfn.XLOOKUP($K628&amp;"",COMPUTER!$B$3:$B$1009&amp;"",COMPUTER!$H$3:$H$1009,""),"Display",_xlfn.XLOOKUP($K628&amp;"",DISPLAY!$B$3:$B$1000&amp;"",DISPLAY!$H$3:$H$1000,""),"Network Device",_xlfn.XLOOKUP($K628&amp;"",'NETWORK-DEVICES'!$B$3:$B$987&amp;"",'NETWORK-DEVICES'!$H$3:$H$987,""),"Peripheral",_xlfn.XLOOKUP($K628&amp;"",PERIPHERAL!$B$3:$B$954&amp;"",PERIPHERAL!$H$3:$H$954,""),"Utilities",_xlfn.XLOOKUP($K628&amp;"",UTILITIES!$B$3:$B$953&amp;"",UTILITIES!$G$3:$G$953,""),"IOT",_xlfn.XLOOKUP($K628&amp;"",IOT!$B$3:$B$1012&amp;"",IOT!$H$3:$H$1012,""),"Server",_xlfn.XLOOKUP($K628&amp;"",SERVER!$B$3:$B$1009&amp;"",SERVER!$H$3:$H$1009,""),""),IF(TRIM(_xlpm.srcCat)&lt;&gt;TRIM($J628),"",_xlfn.SWITCH($I628,"Computer",_xlfn.XLOOKUP($K628&amp;"",COMPUTER!$B$3:$B$1009&amp;"",COMPUTER!$E$3:$E$1009,""),"Display",_xlfn.XLOOKUP($K628&amp;"",DISPLAY!$B$3:$B$1000&amp;"",DISPLAY!$E$3:$E$1000,""),"Network Device",_xlfn.XLOOKUP($K628&amp;"",'NETWORK-DEVICES'!$B$3:$B$987&amp;"",'NETWORK-DEVICES'!$E$3:$E$987,""),"Peripheral",_xlfn.XLOOKUP($K628&amp;"",PERIPHERAL!$B$3:$B$954&amp;"",PERIPHERAL!$E$3:$E$954,""),"Utilities",_xlfn.XLOOKUP($K628&amp;"",UTILITIES!$B$3:$B$953&amp;"",UTILITIES!$E$3:$E$953,""),"IOT",_xlfn.XLOOKUP($K628&amp;"",IOT!$B$3:$B$1012&amp;"",IOT!$E$3:$E$1012,""),"Server",_xlfn.XLOOKUP($K628&amp;"",SERVER!$B$3:$B$1009&amp;"",SERVER!$E$3:$E$1009,""),""))))</f>
        <v/>
      </c>
      <c r="Q628" s="1" t="str" cm="1">
        <f t="array" ref="Q628">IF(OR($K628="",$I628="",$J628=""),"",_xlfn.LET(_xlpm.srcCat,_xlfn.SWITCH($I628,"Computer",_xlfn.XLOOKUP($K628&amp;"",COMPUTER!$B$3:$B$1009&amp;"",COMPUTER!$H$3:$H$1009,""),"Display",_xlfn.XLOOKUP($K628&amp;"",DISPLAY!$B$3:$B$1000&amp;"",DISPLAY!$H$3:$H$1000,""),"Network Device",_xlfn.XLOOKUP($K628&amp;"",'NETWORK-DEVICES'!$B$3:$B$987&amp;"",'NETWORK-DEVICES'!$H$3:$H$987,""),"Peripheral",_xlfn.XLOOKUP($K628&amp;"",PERIPHERAL!$B$3:$B$954&amp;"",PERIPHERAL!$H$3:$H$954,""),"Utilities",_xlfn.XLOOKUP($K628&amp;"",UTILITIES!$B$3:$B$953&amp;"",UTILITIES!$G$3:$G$953,""),"IOT",_xlfn.XLOOKUP($K628&amp;"",IOT!$B$3:$B$1012&amp;"",IOT!$H$3:$H$1012,""),"Server",_xlfn.XLOOKUP($K628&amp;"",SERVER!$B$3:$B$1009&amp;"",SERVER!$H$3:$H$1009,""),""),IF(TRIM(_xlpm.srcCat)&lt;&gt;TRIM($J628),"",_xlfn.SWITCH($I628,"Computer",_xlfn.XLOOKUP($K628&amp;"",COMPUTER!$B$3:$B$1009&amp;"",COMPUTER!$AM$3:$AM$1009,""),"Display",_xlfn.XLOOKUP($K628&amp;"",DISPLAY!$B$3:$B$1000&amp;"",DISPLAY!$V$3:$V$1000,""),"Network Device",_xlfn.XLOOKUP($K628&amp;"",'NETWORK-DEVICES'!$B$3:$B$987&amp;"",'NETWORK-DEVICES'!$AF$3:$AF$987,""),"Peripheral",_xlfn.XLOOKUP($K628&amp;"",PERIPHERAL!$B$3:$B$954&amp;"",PERIPHERAL!$Y$3:$Y$954,""),"Utilities",_xlfn.XLOOKUP($K628&amp;"",UTILITIES!$B$3:$B$953&amp;"",UTILITIES!$O$3:$O$953,""),"IOT",_xlfn.XLOOKUP($K628&amp;"",IOT!$B$3:$B$1012&amp;"",IOT!$AB$3:$AB$1012,""),"Server",_xlfn.XLOOKUP($K628&amp;"",SERVER!$B$3:$B$1009&amp;"",SERVER!$AB$3:$AB$1009,""),""))))</f>
        <v/>
      </c>
      <c r="R628" s="43" t="str">
        <f>IF(tbl_handover[[#This Row],[Asset Code]]="","",COUNTIF(tbl_handover[Asset Code],tbl_handover[[#This Row],[Asset Code]]))</f>
        <v/>
      </c>
    </row>
    <row r="629" spans="1:18" x14ac:dyDescent="0.25">
      <c r="A629" s="43" t="str">
        <f>IF(B629&lt;&gt;"",SUBTOTAL(3,$B$1:B628),"")</f>
        <v/>
      </c>
      <c r="C629" s="74"/>
      <c r="D629" s="74"/>
      <c r="G629" s="1"/>
      <c r="K629" s="42"/>
      <c r="L629" t="str" cm="1">
        <f t="array" ref="L629">IF($K629="","",_xlfn.SWITCH($I629,"Computer",_xlfn.XLOOKUP($K629&amp;"",COMPUTER!$B$3:$B$1009&amp;"",COMPUTER!$I$3:$I$1009,""),"Display",_xlfn.XLOOKUP($K629&amp;"",DISPLAY!$B$3:$B$1000&amp;"",DISPLAY!$J$3:$J$1000,""),"Network Device",_xlfn.XLOOKUP($K629&amp;"",'NETWORK-DEVICES'!$B$3:$B$987&amp;"",'NETWORK-DEVICES'!$I$3:$I$987,""),"Peripheral",_xlfn.XLOOKUP($K629&amp;"",PERIPHERAL!$B$3:$B$954&amp;"",PERIPHERAL!$I$3:$I$954,""),"Utilities",_xlfn.XLOOKUP($K629&amp;"",UTILITIES!$B$3:$B$953&amp;"",UTILITIES!$H$3:$H$953,""),"IOT",_xlfn.XLOOKUP($K629&amp;"",IOT!$B$3:$B$1012&amp;"",IOT!$I$3:$I$1012,""),"SERVER",_xlfn.XLOOKUP($K629&amp;"",SERVER!$B$3:$B$1009&amp;"",SERVER!$I$3:$I$1009,""),""))</f>
        <v/>
      </c>
      <c r="M629" t="str" cm="1">
        <f t="array" ref="M629">IF($K629="","",_xlfn.SWITCH($I629,"Computer",_xlfn.XLOOKUP($K629&amp;"",COMPUTER!$B$3:$B$1009&amp;"",COMPUTER!$J$3:$J$1009,""),"Display",_xlfn.XLOOKUP($K629&amp;"",DISPLAY!$B$3:$B$1000&amp;"",DISPLAY!$K$3:$K$1000,""),"Network Device",_xlfn.XLOOKUP($K629&amp;"",'NETWORK-DEVICES'!$B$3:$B$987&amp;"",'NETWORK-DEVICES'!$I$3:$I$987,""),"Peripheral",_xlfn.XLOOKUP($K629&amp;"",PERIPHERAL!$B$3:$B$954&amp;"",PERIPHERAL!$J$3:$J$954,""),"Utilities",_xlfn.XLOOKUP($K629&amp;"",UTILITIES!$B$3:$B$953&amp;"",UTILITIES!$I$3:$I$953,""),"IOT",_xlfn.XLOOKUP($K629&amp;"",IOT!$B$3:$B$1012&amp;"",IOT!$J$3:$J$1012,""),"Server",_xlfn.XLOOKUP($K629&amp;"",SERVER!$B$3:$B$1009&amp;"",SERVER!$J$3:$J$1009,""),""))</f>
        <v/>
      </c>
      <c r="N629" s="1" t="str" cm="1">
        <f t="array" ref="N629">IF(OR($K629="",$I629="",$J629=""),"",_xlfn.LET(_xlpm.srcCat,_xlfn.SWITCH($I629,"Computer",_xlfn.XLOOKUP($K629&amp;"",COMPUTER!$B$3:$B$1009&amp;"",COMPUTER!$H$3:$H$1009,""),"Display",_xlfn.XLOOKUP($K629&amp;"",DISPLAY!$B$3:$B$1000&amp;"",DISPLAY!$H$3:$H$1000,""),"Network Device",_xlfn.XLOOKUP($K629&amp;"",'NETWORK-DEVICES'!$B$3:$B$987&amp;"",'NETWORK-DEVICES'!$H$3:$H$987,""),"Peripheral",_xlfn.XLOOKUP($K629&amp;"",PERIPHERAL!$B$3:$B$954&amp;"",PERIPHERAL!$H$3:$H$954,""),"Utilities",_xlfn.XLOOKUP($K629&amp;"",UTILITIES!$B$3:$B$953&amp;"",UTILITIES!$G$3:$G$953,""),"IOT",_xlfn.XLOOKUP($K629&amp;"",IOT!$B$3:$B$1012&amp;"",IOT!$H$3:$H$1012,""),"Server",_xlfn.XLOOKUP($K629&amp;"",SERVER!$B$3:$B$1009&amp;"",SERVER!$H$3:$H$1009,""),""),IF(TRIM(_xlpm.srcCat)&lt;&gt;TRIM($J629),"",_xlfn.SWITCH($I629,"Computer",_xlfn.XLOOKUP($K629&amp;"",COMPUTER!$B$3:$B$1009&amp;"",COMPUTER!$K$3:$K$1009,""),"Display",_xlfn.XLOOKUP($K629&amp;"",DISPLAY!$B$3:$B$1000&amp;"",DISPLAY!$L$3:$L$1000,""),"Network Device",_xlfn.XLOOKUP($K629&amp;"",'NETWORK-DEVICES'!$B$3:$B$987&amp;"",'NETWORK-DEVICES'!$K$3:$K$987,""),"Peripheral",_xlfn.XLOOKUP($K629&amp;"",PERIPHERAL!$B$3:$B$954&amp;"",PERIPHERAL!$K$3:$K$954,""),"Utilities",_xlfn.XLOOKUP($K629&amp;"",UTILITIES!$B$3:$B$953&amp;"",UTILITIES!$J$3:$J$953,""),"IOT",_xlfn.XLOOKUP($K629&amp;"",IOT!$B$3:$B$1012&amp;"",IOT!$K$4:$K$1012,""),"Server",_xlfn.XLOOKUP($K629&amp;"",SERVER!$B$3:$B$1009&amp;"",SERVER!$K$3:$K$1009,""),""))))</f>
        <v/>
      </c>
      <c r="O629" s="1" t="str" cm="1">
        <f t="array" ref="O629">IF(OR($K629="",$I629="",$J629=""),"",_xlfn.LET(_xlpm.srcCat,_xlfn.SWITCH($I629,"Computer",_xlfn.XLOOKUP($K629&amp;"",COMPUTER!$B$3:$B$1009&amp;"",COMPUTER!$H$3:$H$1009,""),"Display",_xlfn.XLOOKUP($K629&amp;"",DISPLAY!$B$3:$B$1000&amp;"",DISPLAY!$H$3:$H$1000,""),"Network Device",_xlfn.XLOOKUP($K629&amp;"",'NETWORK-DEVICES'!$B$3:$B$987&amp;"",'NETWORK-DEVICES'!$H$3:$H$987,""),"Peripheral",_xlfn.XLOOKUP($K629&amp;"",PERIPHERAL!$B$3:$B$954&amp;"",PERIPHERAL!$H$3:$H$954,""),"Utilities",_xlfn.XLOOKUP($K629&amp;"",UTILITIES!$B$3:$B$953&amp;"",UTILITIES!$G$3:$G$953,""),"IOT",_xlfn.XLOOKUP($K629&amp;"",IOT!$B$3:$B$1012&amp;"",IOT!$H$3:$H$1012,""),"Server",_xlfn.XLOOKUP($K629&amp;"",SERVER!$B$3:$B$1009&amp;"",SERVER!$H$3:$H$1009,""),""),IF(TRIM(_xlpm.srcCat)&lt;&gt;TRIM($J629),"",_xlfn.SWITCH($I629,"Computer",_xlfn.XLOOKUP($K629&amp;"",COMPUTER!$B$3:$B$1009&amp;"",COMPUTER!$E$3:$E$1009,""),"Display",_xlfn.XLOOKUP($K629&amp;"",DISPLAY!$B$3:$B$1000&amp;"",DISPLAY!$E$3:$E$1000,""),"Network Device",_xlfn.XLOOKUP($K629&amp;"",'NETWORK-DEVICES'!$B$3:$B$987&amp;"",'NETWORK-DEVICES'!$E$3:$E$987,""),"Peripheral",_xlfn.XLOOKUP($K629&amp;"",PERIPHERAL!$B$3:$B$954&amp;"",PERIPHERAL!$E$3:$E$954,""),"Utilities",_xlfn.XLOOKUP($K629&amp;"",UTILITIES!$B$3:$B$953&amp;"",UTILITIES!$E$3:$E$953,""),"IOT",_xlfn.XLOOKUP($K629&amp;"",IOT!$B$3:$B$1012&amp;"",IOT!$E$3:$E$1012,""),"Server",_xlfn.XLOOKUP($K629&amp;"",SERVER!$B$3:$B$1009&amp;"",SERVER!$E$3:$E$1009,""),""))))</f>
        <v/>
      </c>
      <c r="Q629" s="1" t="str" cm="1">
        <f t="array" ref="Q629">IF(OR($K629="",$I629="",$J629=""),"",_xlfn.LET(_xlpm.srcCat,_xlfn.SWITCH($I629,"Computer",_xlfn.XLOOKUP($K629&amp;"",COMPUTER!$B$3:$B$1009&amp;"",COMPUTER!$H$3:$H$1009,""),"Display",_xlfn.XLOOKUP($K629&amp;"",DISPLAY!$B$3:$B$1000&amp;"",DISPLAY!$H$3:$H$1000,""),"Network Device",_xlfn.XLOOKUP($K629&amp;"",'NETWORK-DEVICES'!$B$3:$B$987&amp;"",'NETWORK-DEVICES'!$H$3:$H$987,""),"Peripheral",_xlfn.XLOOKUP($K629&amp;"",PERIPHERAL!$B$3:$B$954&amp;"",PERIPHERAL!$H$3:$H$954,""),"Utilities",_xlfn.XLOOKUP($K629&amp;"",UTILITIES!$B$3:$B$953&amp;"",UTILITIES!$G$3:$G$953,""),"IOT",_xlfn.XLOOKUP($K629&amp;"",IOT!$B$3:$B$1012&amp;"",IOT!$H$3:$H$1012,""),"Server",_xlfn.XLOOKUP($K629&amp;"",SERVER!$B$3:$B$1009&amp;"",SERVER!$H$3:$H$1009,""),""),IF(TRIM(_xlpm.srcCat)&lt;&gt;TRIM($J629),"",_xlfn.SWITCH($I629,"Computer",_xlfn.XLOOKUP($K629&amp;"",COMPUTER!$B$3:$B$1009&amp;"",COMPUTER!$AM$3:$AM$1009,""),"Display",_xlfn.XLOOKUP($K629&amp;"",DISPLAY!$B$3:$B$1000&amp;"",DISPLAY!$V$3:$V$1000,""),"Network Device",_xlfn.XLOOKUP($K629&amp;"",'NETWORK-DEVICES'!$B$3:$B$987&amp;"",'NETWORK-DEVICES'!$AF$3:$AF$987,""),"Peripheral",_xlfn.XLOOKUP($K629&amp;"",PERIPHERAL!$B$3:$B$954&amp;"",PERIPHERAL!$Y$3:$Y$954,""),"Utilities",_xlfn.XLOOKUP($K629&amp;"",UTILITIES!$B$3:$B$953&amp;"",UTILITIES!$O$3:$O$953,""),"IOT",_xlfn.XLOOKUP($K629&amp;"",IOT!$B$3:$B$1012&amp;"",IOT!$AB$3:$AB$1012,""),"Server",_xlfn.XLOOKUP($K629&amp;"",SERVER!$B$3:$B$1009&amp;"",SERVER!$AB$3:$AB$1009,""),""))))</f>
        <v/>
      </c>
      <c r="R629" s="43" t="str">
        <f>IF(tbl_handover[[#This Row],[Asset Code]]="","",COUNTIF(tbl_handover[Asset Code],tbl_handover[[#This Row],[Asset Code]]))</f>
        <v/>
      </c>
    </row>
    <row r="630" spans="1:18" x14ac:dyDescent="0.25">
      <c r="A630" s="43" t="str">
        <f>IF(B630&lt;&gt;"",SUBTOTAL(3,$B$1:B629),"")</f>
        <v/>
      </c>
      <c r="C630" s="74"/>
      <c r="D630" s="74"/>
      <c r="G630" s="1"/>
      <c r="K630" s="42"/>
      <c r="L630" t="str" cm="1">
        <f t="array" ref="L630">IF($K630="","",_xlfn.SWITCH($I630,"Computer",_xlfn.XLOOKUP($K630&amp;"",COMPUTER!$B$3:$B$1009&amp;"",COMPUTER!$I$3:$I$1009,""),"Display",_xlfn.XLOOKUP($K630&amp;"",DISPLAY!$B$3:$B$1000&amp;"",DISPLAY!$J$3:$J$1000,""),"Network Device",_xlfn.XLOOKUP($K630&amp;"",'NETWORK-DEVICES'!$B$3:$B$987&amp;"",'NETWORK-DEVICES'!$I$3:$I$987,""),"Peripheral",_xlfn.XLOOKUP($K630&amp;"",PERIPHERAL!$B$3:$B$954&amp;"",PERIPHERAL!$I$3:$I$954,""),"Utilities",_xlfn.XLOOKUP($K630&amp;"",UTILITIES!$B$3:$B$953&amp;"",UTILITIES!$H$3:$H$953,""),"IOT",_xlfn.XLOOKUP($K630&amp;"",IOT!$B$3:$B$1012&amp;"",IOT!$I$3:$I$1012,""),"SERVER",_xlfn.XLOOKUP($K630&amp;"",SERVER!$B$3:$B$1009&amp;"",SERVER!$I$3:$I$1009,""),""))</f>
        <v/>
      </c>
      <c r="M630" t="str" cm="1">
        <f t="array" ref="M630">IF($K630="","",_xlfn.SWITCH($I630,"Computer",_xlfn.XLOOKUP($K630&amp;"",COMPUTER!$B$3:$B$1009&amp;"",COMPUTER!$J$3:$J$1009,""),"Display",_xlfn.XLOOKUP($K630&amp;"",DISPLAY!$B$3:$B$1000&amp;"",DISPLAY!$K$3:$K$1000,""),"Network Device",_xlfn.XLOOKUP($K630&amp;"",'NETWORK-DEVICES'!$B$3:$B$987&amp;"",'NETWORK-DEVICES'!$I$3:$I$987,""),"Peripheral",_xlfn.XLOOKUP($K630&amp;"",PERIPHERAL!$B$3:$B$954&amp;"",PERIPHERAL!$J$3:$J$954,""),"Utilities",_xlfn.XLOOKUP($K630&amp;"",UTILITIES!$B$3:$B$953&amp;"",UTILITIES!$I$3:$I$953,""),"IOT",_xlfn.XLOOKUP($K630&amp;"",IOT!$B$3:$B$1012&amp;"",IOT!$J$3:$J$1012,""),"Server",_xlfn.XLOOKUP($K630&amp;"",SERVER!$B$3:$B$1009&amp;"",SERVER!$J$3:$J$1009,""),""))</f>
        <v/>
      </c>
      <c r="N630" s="1" t="str" cm="1">
        <f t="array" ref="N630">IF(OR($K630="",$I630="",$J630=""),"",_xlfn.LET(_xlpm.srcCat,_xlfn.SWITCH($I630,"Computer",_xlfn.XLOOKUP($K630&amp;"",COMPUTER!$B$3:$B$1009&amp;"",COMPUTER!$H$3:$H$1009,""),"Display",_xlfn.XLOOKUP($K630&amp;"",DISPLAY!$B$3:$B$1000&amp;"",DISPLAY!$H$3:$H$1000,""),"Network Device",_xlfn.XLOOKUP($K630&amp;"",'NETWORK-DEVICES'!$B$3:$B$987&amp;"",'NETWORK-DEVICES'!$H$3:$H$987,""),"Peripheral",_xlfn.XLOOKUP($K630&amp;"",PERIPHERAL!$B$3:$B$954&amp;"",PERIPHERAL!$H$3:$H$954,""),"Utilities",_xlfn.XLOOKUP($K630&amp;"",UTILITIES!$B$3:$B$953&amp;"",UTILITIES!$G$3:$G$953,""),"IOT",_xlfn.XLOOKUP($K630&amp;"",IOT!$B$3:$B$1012&amp;"",IOT!$H$3:$H$1012,""),"Server",_xlfn.XLOOKUP($K630&amp;"",SERVER!$B$3:$B$1009&amp;"",SERVER!$H$3:$H$1009,""),""),IF(TRIM(_xlpm.srcCat)&lt;&gt;TRIM($J630),"",_xlfn.SWITCH($I630,"Computer",_xlfn.XLOOKUP($K630&amp;"",COMPUTER!$B$3:$B$1009&amp;"",COMPUTER!$K$3:$K$1009,""),"Display",_xlfn.XLOOKUP($K630&amp;"",DISPLAY!$B$3:$B$1000&amp;"",DISPLAY!$L$3:$L$1000,""),"Network Device",_xlfn.XLOOKUP($K630&amp;"",'NETWORK-DEVICES'!$B$3:$B$987&amp;"",'NETWORK-DEVICES'!$K$3:$K$987,""),"Peripheral",_xlfn.XLOOKUP($K630&amp;"",PERIPHERAL!$B$3:$B$954&amp;"",PERIPHERAL!$K$3:$K$954,""),"Utilities",_xlfn.XLOOKUP($K630&amp;"",UTILITIES!$B$3:$B$953&amp;"",UTILITIES!$J$3:$J$953,""),"IOT",_xlfn.XLOOKUP($K630&amp;"",IOT!$B$3:$B$1012&amp;"",IOT!$K$4:$K$1012,""),"Server",_xlfn.XLOOKUP($K630&amp;"",SERVER!$B$3:$B$1009&amp;"",SERVER!$K$3:$K$1009,""),""))))</f>
        <v/>
      </c>
      <c r="O630" s="1" t="str" cm="1">
        <f t="array" ref="O630">IF(OR($K630="",$I630="",$J630=""),"",_xlfn.LET(_xlpm.srcCat,_xlfn.SWITCH($I630,"Computer",_xlfn.XLOOKUP($K630&amp;"",COMPUTER!$B$3:$B$1009&amp;"",COMPUTER!$H$3:$H$1009,""),"Display",_xlfn.XLOOKUP($K630&amp;"",DISPLAY!$B$3:$B$1000&amp;"",DISPLAY!$H$3:$H$1000,""),"Network Device",_xlfn.XLOOKUP($K630&amp;"",'NETWORK-DEVICES'!$B$3:$B$987&amp;"",'NETWORK-DEVICES'!$H$3:$H$987,""),"Peripheral",_xlfn.XLOOKUP($K630&amp;"",PERIPHERAL!$B$3:$B$954&amp;"",PERIPHERAL!$H$3:$H$954,""),"Utilities",_xlfn.XLOOKUP($K630&amp;"",UTILITIES!$B$3:$B$953&amp;"",UTILITIES!$G$3:$G$953,""),"IOT",_xlfn.XLOOKUP($K630&amp;"",IOT!$B$3:$B$1012&amp;"",IOT!$H$3:$H$1012,""),"Server",_xlfn.XLOOKUP($K630&amp;"",SERVER!$B$3:$B$1009&amp;"",SERVER!$H$3:$H$1009,""),""),IF(TRIM(_xlpm.srcCat)&lt;&gt;TRIM($J630),"",_xlfn.SWITCH($I630,"Computer",_xlfn.XLOOKUP($K630&amp;"",COMPUTER!$B$3:$B$1009&amp;"",COMPUTER!$E$3:$E$1009,""),"Display",_xlfn.XLOOKUP($K630&amp;"",DISPLAY!$B$3:$B$1000&amp;"",DISPLAY!$E$3:$E$1000,""),"Network Device",_xlfn.XLOOKUP($K630&amp;"",'NETWORK-DEVICES'!$B$3:$B$987&amp;"",'NETWORK-DEVICES'!$E$3:$E$987,""),"Peripheral",_xlfn.XLOOKUP($K630&amp;"",PERIPHERAL!$B$3:$B$954&amp;"",PERIPHERAL!$E$3:$E$954,""),"Utilities",_xlfn.XLOOKUP($K630&amp;"",UTILITIES!$B$3:$B$953&amp;"",UTILITIES!$E$3:$E$953,""),"IOT",_xlfn.XLOOKUP($K630&amp;"",IOT!$B$3:$B$1012&amp;"",IOT!$E$3:$E$1012,""),"Server",_xlfn.XLOOKUP($K630&amp;"",SERVER!$B$3:$B$1009&amp;"",SERVER!$E$3:$E$1009,""),""))))</f>
        <v/>
      </c>
      <c r="Q630" s="1" t="str" cm="1">
        <f t="array" ref="Q630">IF(OR($K630="",$I630="",$J630=""),"",_xlfn.LET(_xlpm.srcCat,_xlfn.SWITCH($I630,"Computer",_xlfn.XLOOKUP($K630&amp;"",COMPUTER!$B$3:$B$1009&amp;"",COMPUTER!$H$3:$H$1009,""),"Display",_xlfn.XLOOKUP($K630&amp;"",DISPLAY!$B$3:$B$1000&amp;"",DISPLAY!$H$3:$H$1000,""),"Network Device",_xlfn.XLOOKUP($K630&amp;"",'NETWORK-DEVICES'!$B$3:$B$987&amp;"",'NETWORK-DEVICES'!$H$3:$H$987,""),"Peripheral",_xlfn.XLOOKUP($K630&amp;"",PERIPHERAL!$B$3:$B$954&amp;"",PERIPHERAL!$H$3:$H$954,""),"Utilities",_xlfn.XLOOKUP($K630&amp;"",UTILITIES!$B$3:$B$953&amp;"",UTILITIES!$G$3:$G$953,""),"IOT",_xlfn.XLOOKUP($K630&amp;"",IOT!$B$3:$B$1012&amp;"",IOT!$H$3:$H$1012,""),"Server",_xlfn.XLOOKUP($K630&amp;"",SERVER!$B$3:$B$1009&amp;"",SERVER!$H$3:$H$1009,""),""),IF(TRIM(_xlpm.srcCat)&lt;&gt;TRIM($J630),"",_xlfn.SWITCH($I630,"Computer",_xlfn.XLOOKUP($K630&amp;"",COMPUTER!$B$3:$B$1009&amp;"",COMPUTER!$AM$3:$AM$1009,""),"Display",_xlfn.XLOOKUP($K630&amp;"",DISPLAY!$B$3:$B$1000&amp;"",DISPLAY!$V$3:$V$1000,""),"Network Device",_xlfn.XLOOKUP($K630&amp;"",'NETWORK-DEVICES'!$B$3:$B$987&amp;"",'NETWORK-DEVICES'!$AF$3:$AF$987,""),"Peripheral",_xlfn.XLOOKUP($K630&amp;"",PERIPHERAL!$B$3:$B$954&amp;"",PERIPHERAL!$Y$3:$Y$954,""),"Utilities",_xlfn.XLOOKUP($K630&amp;"",UTILITIES!$B$3:$B$953&amp;"",UTILITIES!$O$3:$O$953,""),"IOT",_xlfn.XLOOKUP($K630&amp;"",IOT!$B$3:$B$1012&amp;"",IOT!$AB$3:$AB$1012,""),"Server",_xlfn.XLOOKUP($K630&amp;"",SERVER!$B$3:$B$1009&amp;"",SERVER!$AB$3:$AB$1009,""),""))))</f>
        <v/>
      </c>
      <c r="R630" s="43" t="str">
        <f>IF(tbl_handover[[#This Row],[Asset Code]]="","",COUNTIF(tbl_handover[Asset Code],tbl_handover[[#This Row],[Asset Code]]))</f>
        <v/>
      </c>
    </row>
    <row r="631" spans="1:18" x14ac:dyDescent="0.25">
      <c r="A631" s="43" t="str">
        <f>IF(B631&lt;&gt;"",SUBTOTAL(3,$B$1:B630),"")</f>
        <v/>
      </c>
      <c r="C631" s="74"/>
      <c r="D631" s="74"/>
      <c r="G631" s="1"/>
      <c r="K631" s="42"/>
      <c r="L631" t="str" cm="1">
        <f t="array" ref="L631">IF($K631="","",_xlfn.SWITCH($I631,"Computer",_xlfn.XLOOKUP($K631&amp;"",COMPUTER!$B$3:$B$1009&amp;"",COMPUTER!$I$3:$I$1009,""),"Display",_xlfn.XLOOKUP($K631&amp;"",DISPLAY!$B$3:$B$1000&amp;"",DISPLAY!$J$3:$J$1000,""),"Network Device",_xlfn.XLOOKUP($K631&amp;"",'NETWORK-DEVICES'!$B$3:$B$987&amp;"",'NETWORK-DEVICES'!$I$3:$I$987,""),"Peripheral",_xlfn.XLOOKUP($K631&amp;"",PERIPHERAL!$B$3:$B$954&amp;"",PERIPHERAL!$I$3:$I$954,""),"Utilities",_xlfn.XLOOKUP($K631&amp;"",UTILITIES!$B$3:$B$953&amp;"",UTILITIES!$H$3:$H$953,""),"IOT",_xlfn.XLOOKUP($K631&amp;"",IOT!$B$3:$B$1012&amp;"",IOT!$I$3:$I$1012,""),"SERVER",_xlfn.XLOOKUP($K631&amp;"",SERVER!$B$3:$B$1009&amp;"",SERVER!$I$3:$I$1009,""),""))</f>
        <v/>
      </c>
      <c r="M631" t="str" cm="1">
        <f t="array" ref="M631">IF($K631="","",_xlfn.SWITCH($I631,"Computer",_xlfn.XLOOKUP($K631&amp;"",COMPUTER!$B$3:$B$1009&amp;"",COMPUTER!$J$3:$J$1009,""),"Display",_xlfn.XLOOKUP($K631&amp;"",DISPLAY!$B$3:$B$1000&amp;"",DISPLAY!$K$3:$K$1000,""),"Network Device",_xlfn.XLOOKUP($K631&amp;"",'NETWORK-DEVICES'!$B$3:$B$987&amp;"",'NETWORK-DEVICES'!$I$3:$I$987,""),"Peripheral",_xlfn.XLOOKUP($K631&amp;"",PERIPHERAL!$B$3:$B$954&amp;"",PERIPHERAL!$J$3:$J$954,""),"Utilities",_xlfn.XLOOKUP($K631&amp;"",UTILITIES!$B$3:$B$953&amp;"",UTILITIES!$I$3:$I$953,""),"IOT",_xlfn.XLOOKUP($K631&amp;"",IOT!$B$3:$B$1012&amp;"",IOT!$J$3:$J$1012,""),"Server",_xlfn.XLOOKUP($K631&amp;"",SERVER!$B$3:$B$1009&amp;"",SERVER!$J$3:$J$1009,""),""))</f>
        <v/>
      </c>
      <c r="N631" s="1" t="str" cm="1">
        <f t="array" ref="N631">IF(OR($K631="",$I631="",$J631=""),"",_xlfn.LET(_xlpm.srcCat,_xlfn.SWITCH($I631,"Computer",_xlfn.XLOOKUP($K631&amp;"",COMPUTER!$B$3:$B$1009&amp;"",COMPUTER!$H$3:$H$1009,""),"Display",_xlfn.XLOOKUP($K631&amp;"",DISPLAY!$B$3:$B$1000&amp;"",DISPLAY!$H$3:$H$1000,""),"Network Device",_xlfn.XLOOKUP($K631&amp;"",'NETWORK-DEVICES'!$B$3:$B$987&amp;"",'NETWORK-DEVICES'!$H$3:$H$987,""),"Peripheral",_xlfn.XLOOKUP($K631&amp;"",PERIPHERAL!$B$3:$B$954&amp;"",PERIPHERAL!$H$3:$H$954,""),"Utilities",_xlfn.XLOOKUP($K631&amp;"",UTILITIES!$B$3:$B$953&amp;"",UTILITIES!$G$3:$G$953,""),"IOT",_xlfn.XLOOKUP($K631&amp;"",IOT!$B$3:$B$1012&amp;"",IOT!$H$3:$H$1012,""),"Server",_xlfn.XLOOKUP($K631&amp;"",SERVER!$B$3:$B$1009&amp;"",SERVER!$H$3:$H$1009,""),""),IF(TRIM(_xlpm.srcCat)&lt;&gt;TRIM($J631),"",_xlfn.SWITCH($I631,"Computer",_xlfn.XLOOKUP($K631&amp;"",COMPUTER!$B$3:$B$1009&amp;"",COMPUTER!$K$3:$K$1009,""),"Display",_xlfn.XLOOKUP($K631&amp;"",DISPLAY!$B$3:$B$1000&amp;"",DISPLAY!$L$3:$L$1000,""),"Network Device",_xlfn.XLOOKUP($K631&amp;"",'NETWORK-DEVICES'!$B$3:$B$987&amp;"",'NETWORK-DEVICES'!$K$3:$K$987,""),"Peripheral",_xlfn.XLOOKUP($K631&amp;"",PERIPHERAL!$B$3:$B$954&amp;"",PERIPHERAL!$K$3:$K$954,""),"Utilities",_xlfn.XLOOKUP($K631&amp;"",UTILITIES!$B$3:$B$953&amp;"",UTILITIES!$J$3:$J$953,""),"IOT",_xlfn.XLOOKUP($K631&amp;"",IOT!$B$3:$B$1012&amp;"",IOT!$K$4:$K$1012,""),"Server",_xlfn.XLOOKUP($K631&amp;"",SERVER!$B$3:$B$1009&amp;"",SERVER!$K$3:$K$1009,""),""))))</f>
        <v/>
      </c>
      <c r="O631" s="1" t="str" cm="1">
        <f t="array" ref="O631">IF(OR($K631="",$I631="",$J631=""),"",_xlfn.LET(_xlpm.srcCat,_xlfn.SWITCH($I631,"Computer",_xlfn.XLOOKUP($K631&amp;"",COMPUTER!$B$3:$B$1009&amp;"",COMPUTER!$H$3:$H$1009,""),"Display",_xlfn.XLOOKUP($K631&amp;"",DISPLAY!$B$3:$B$1000&amp;"",DISPLAY!$H$3:$H$1000,""),"Network Device",_xlfn.XLOOKUP($K631&amp;"",'NETWORK-DEVICES'!$B$3:$B$987&amp;"",'NETWORK-DEVICES'!$H$3:$H$987,""),"Peripheral",_xlfn.XLOOKUP($K631&amp;"",PERIPHERAL!$B$3:$B$954&amp;"",PERIPHERAL!$H$3:$H$954,""),"Utilities",_xlfn.XLOOKUP($K631&amp;"",UTILITIES!$B$3:$B$953&amp;"",UTILITIES!$G$3:$G$953,""),"IOT",_xlfn.XLOOKUP($K631&amp;"",IOT!$B$3:$B$1012&amp;"",IOT!$H$3:$H$1012,""),"Server",_xlfn.XLOOKUP($K631&amp;"",SERVER!$B$3:$B$1009&amp;"",SERVER!$H$3:$H$1009,""),""),IF(TRIM(_xlpm.srcCat)&lt;&gt;TRIM($J631),"",_xlfn.SWITCH($I631,"Computer",_xlfn.XLOOKUP($K631&amp;"",COMPUTER!$B$3:$B$1009&amp;"",COMPUTER!$E$3:$E$1009,""),"Display",_xlfn.XLOOKUP($K631&amp;"",DISPLAY!$B$3:$B$1000&amp;"",DISPLAY!$E$3:$E$1000,""),"Network Device",_xlfn.XLOOKUP($K631&amp;"",'NETWORK-DEVICES'!$B$3:$B$987&amp;"",'NETWORK-DEVICES'!$E$3:$E$987,""),"Peripheral",_xlfn.XLOOKUP($K631&amp;"",PERIPHERAL!$B$3:$B$954&amp;"",PERIPHERAL!$E$3:$E$954,""),"Utilities",_xlfn.XLOOKUP($K631&amp;"",UTILITIES!$B$3:$B$953&amp;"",UTILITIES!$E$3:$E$953,""),"IOT",_xlfn.XLOOKUP($K631&amp;"",IOT!$B$3:$B$1012&amp;"",IOT!$E$3:$E$1012,""),"Server",_xlfn.XLOOKUP($K631&amp;"",SERVER!$B$3:$B$1009&amp;"",SERVER!$E$3:$E$1009,""),""))))</f>
        <v/>
      </c>
      <c r="Q631" s="1" t="str" cm="1">
        <f t="array" ref="Q631">IF(OR($K631="",$I631="",$J631=""),"",_xlfn.LET(_xlpm.srcCat,_xlfn.SWITCH($I631,"Computer",_xlfn.XLOOKUP($K631&amp;"",COMPUTER!$B$3:$B$1009&amp;"",COMPUTER!$H$3:$H$1009,""),"Display",_xlfn.XLOOKUP($K631&amp;"",DISPLAY!$B$3:$B$1000&amp;"",DISPLAY!$H$3:$H$1000,""),"Network Device",_xlfn.XLOOKUP($K631&amp;"",'NETWORK-DEVICES'!$B$3:$B$987&amp;"",'NETWORK-DEVICES'!$H$3:$H$987,""),"Peripheral",_xlfn.XLOOKUP($K631&amp;"",PERIPHERAL!$B$3:$B$954&amp;"",PERIPHERAL!$H$3:$H$954,""),"Utilities",_xlfn.XLOOKUP($K631&amp;"",UTILITIES!$B$3:$B$953&amp;"",UTILITIES!$G$3:$G$953,""),"IOT",_xlfn.XLOOKUP($K631&amp;"",IOT!$B$3:$B$1012&amp;"",IOT!$H$3:$H$1012,""),"Server",_xlfn.XLOOKUP($K631&amp;"",SERVER!$B$3:$B$1009&amp;"",SERVER!$H$3:$H$1009,""),""),IF(TRIM(_xlpm.srcCat)&lt;&gt;TRIM($J631),"",_xlfn.SWITCH($I631,"Computer",_xlfn.XLOOKUP($K631&amp;"",COMPUTER!$B$3:$B$1009&amp;"",COMPUTER!$AM$3:$AM$1009,""),"Display",_xlfn.XLOOKUP($K631&amp;"",DISPLAY!$B$3:$B$1000&amp;"",DISPLAY!$V$3:$V$1000,""),"Network Device",_xlfn.XLOOKUP($K631&amp;"",'NETWORK-DEVICES'!$B$3:$B$987&amp;"",'NETWORK-DEVICES'!$AF$3:$AF$987,""),"Peripheral",_xlfn.XLOOKUP($K631&amp;"",PERIPHERAL!$B$3:$B$954&amp;"",PERIPHERAL!$Y$3:$Y$954,""),"Utilities",_xlfn.XLOOKUP($K631&amp;"",UTILITIES!$B$3:$B$953&amp;"",UTILITIES!$O$3:$O$953,""),"IOT",_xlfn.XLOOKUP($K631&amp;"",IOT!$B$3:$B$1012&amp;"",IOT!$AB$3:$AB$1012,""),"Server",_xlfn.XLOOKUP($K631&amp;"",SERVER!$B$3:$B$1009&amp;"",SERVER!$AB$3:$AB$1009,""),""))))</f>
        <v/>
      </c>
      <c r="R631" s="43" t="str">
        <f>IF(tbl_handover[[#This Row],[Asset Code]]="","",COUNTIF(tbl_handover[Asset Code],tbl_handover[[#This Row],[Asset Code]]))</f>
        <v/>
      </c>
    </row>
    <row r="632" spans="1:18" x14ac:dyDescent="0.25">
      <c r="A632" s="43" t="str">
        <f>IF(B632&lt;&gt;"",SUBTOTAL(3,$B$1:B631),"")</f>
        <v/>
      </c>
      <c r="C632" s="74"/>
      <c r="D632" s="74"/>
      <c r="G632" s="1"/>
      <c r="K632" s="42"/>
      <c r="L632" t="str" cm="1">
        <f t="array" ref="L632">IF($K632="","",_xlfn.SWITCH($I632,"Computer",_xlfn.XLOOKUP($K632&amp;"",COMPUTER!$B$3:$B$1009&amp;"",COMPUTER!$I$3:$I$1009,""),"Display",_xlfn.XLOOKUP($K632&amp;"",DISPLAY!$B$3:$B$1000&amp;"",DISPLAY!$J$3:$J$1000,""),"Network Device",_xlfn.XLOOKUP($K632&amp;"",'NETWORK-DEVICES'!$B$3:$B$987&amp;"",'NETWORK-DEVICES'!$I$3:$I$987,""),"Peripheral",_xlfn.XLOOKUP($K632&amp;"",PERIPHERAL!$B$3:$B$954&amp;"",PERIPHERAL!$I$3:$I$954,""),"Utilities",_xlfn.XLOOKUP($K632&amp;"",UTILITIES!$B$3:$B$953&amp;"",UTILITIES!$H$3:$H$953,""),"IOT",_xlfn.XLOOKUP($K632&amp;"",IOT!$B$3:$B$1012&amp;"",IOT!$I$3:$I$1012,""),"SERVER",_xlfn.XLOOKUP($K632&amp;"",SERVER!$B$3:$B$1009&amp;"",SERVER!$I$3:$I$1009,""),""))</f>
        <v/>
      </c>
      <c r="M632" t="str" cm="1">
        <f t="array" ref="M632">IF($K632="","",_xlfn.SWITCH($I632,"Computer",_xlfn.XLOOKUP($K632&amp;"",COMPUTER!$B$3:$B$1009&amp;"",COMPUTER!$J$3:$J$1009,""),"Display",_xlfn.XLOOKUP($K632&amp;"",DISPLAY!$B$3:$B$1000&amp;"",DISPLAY!$K$3:$K$1000,""),"Network Device",_xlfn.XLOOKUP($K632&amp;"",'NETWORK-DEVICES'!$B$3:$B$987&amp;"",'NETWORK-DEVICES'!$I$3:$I$987,""),"Peripheral",_xlfn.XLOOKUP($K632&amp;"",PERIPHERAL!$B$3:$B$954&amp;"",PERIPHERAL!$J$3:$J$954,""),"Utilities",_xlfn.XLOOKUP($K632&amp;"",UTILITIES!$B$3:$B$953&amp;"",UTILITIES!$I$3:$I$953,""),"IOT",_xlfn.XLOOKUP($K632&amp;"",IOT!$B$3:$B$1012&amp;"",IOT!$J$3:$J$1012,""),"Server",_xlfn.XLOOKUP($K632&amp;"",SERVER!$B$3:$B$1009&amp;"",SERVER!$J$3:$J$1009,""),""))</f>
        <v/>
      </c>
      <c r="N632" s="1" t="str" cm="1">
        <f t="array" ref="N632">IF(OR($K632="",$I632="",$J632=""),"",_xlfn.LET(_xlpm.srcCat,_xlfn.SWITCH($I632,"Computer",_xlfn.XLOOKUP($K632&amp;"",COMPUTER!$B$3:$B$1009&amp;"",COMPUTER!$H$3:$H$1009,""),"Display",_xlfn.XLOOKUP($K632&amp;"",DISPLAY!$B$3:$B$1000&amp;"",DISPLAY!$H$3:$H$1000,""),"Network Device",_xlfn.XLOOKUP($K632&amp;"",'NETWORK-DEVICES'!$B$3:$B$987&amp;"",'NETWORK-DEVICES'!$H$3:$H$987,""),"Peripheral",_xlfn.XLOOKUP($K632&amp;"",PERIPHERAL!$B$3:$B$954&amp;"",PERIPHERAL!$H$3:$H$954,""),"Utilities",_xlfn.XLOOKUP($K632&amp;"",UTILITIES!$B$3:$B$953&amp;"",UTILITIES!$G$3:$G$953,""),"IOT",_xlfn.XLOOKUP($K632&amp;"",IOT!$B$3:$B$1012&amp;"",IOT!$H$3:$H$1012,""),"Server",_xlfn.XLOOKUP($K632&amp;"",SERVER!$B$3:$B$1009&amp;"",SERVER!$H$3:$H$1009,""),""),IF(TRIM(_xlpm.srcCat)&lt;&gt;TRIM($J632),"",_xlfn.SWITCH($I632,"Computer",_xlfn.XLOOKUP($K632&amp;"",COMPUTER!$B$3:$B$1009&amp;"",COMPUTER!$K$3:$K$1009,""),"Display",_xlfn.XLOOKUP($K632&amp;"",DISPLAY!$B$3:$B$1000&amp;"",DISPLAY!$L$3:$L$1000,""),"Network Device",_xlfn.XLOOKUP($K632&amp;"",'NETWORK-DEVICES'!$B$3:$B$987&amp;"",'NETWORK-DEVICES'!$K$3:$K$987,""),"Peripheral",_xlfn.XLOOKUP($K632&amp;"",PERIPHERAL!$B$3:$B$954&amp;"",PERIPHERAL!$K$3:$K$954,""),"Utilities",_xlfn.XLOOKUP($K632&amp;"",UTILITIES!$B$3:$B$953&amp;"",UTILITIES!$J$3:$J$953,""),"IOT",_xlfn.XLOOKUP($K632&amp;"",IOT!$B$3:$B$1012&amp;"",IOT!$K$4:$K$1012,""),"Server",_xlfn.XLOOKUP($K632&amp;"",SERVER!$B$3:$B$1009&amp;"",SERVER!$K$3:$K$1009,""),""))))</f>
        <v/>
      </c>
      <c r="O632" s="1" t="str" cm="1">
        <f t="array" ref="O632">IF(OR($K632="",$I632="",$J632=""),"",_xlfn.LET(_xlpm.srcCat,_xlfn.SWITCH($I632,"Computer",_xlfn.XLOOKUP($K632&amp;"",COMPUTER!$B$3:$B$1009&amp;"",COMPUTER!$H$3:$H$1009,""),"Display",_xlfn.XLOOKUP($K632&amp;"",DISPLAY!$B$3:$B$1000&amp;"",DISPLAY!$H$3:$H$1000,""),"Network Device",_xlfn.XLOOKUP($K632&amp;"",'NETWORK-DEVICES'!$B$3:$B$987&amp;"",'NETWORK-DEVICES'!$H$3:$H$987,""),"Peripheral",_xlfn.XLOOKUP($K632&amp;"",PERIPHERAL!$B$3:$B$954&amp;"",PERIPHERAL!$H$3:$H$954,""),"Utilities",_xlfn.XLOOKUP($K632&amp;"",UTILITIES!$B$3:$B$953&amp;"",UTILITIES!$G$3:$G$953,""),"IOT",_xlfn.XLOOKUP($K632&amp;"",IOT!$B$3:$B$1012&amp;"",IOT!$H$3:$H$1012,""),"Server",_xlfn.XLOOKUP($K632&amp;"",SERVER!$B$3:$B$1009&amp;"",SERVER!$H$3:$H$1009,""),""),IF(TRIM(_xlpm.srcCat)&lt;&gt;TRIM($J632),"",_xlfn.SWITCH($I632,"Computer",_xlfn.XLOOKUP($K632&amp;"",COMPUTER!$B$3:$B$1009&amp;"",COMPUTER!$E$3:$E$1009,""),"Display",_xlfn.XLOOKUP($K632&amp;"",DISPLAY!$B$3:$B$1000&amp;"",DISPLAY!$E$3:$E$1000,""),"Network Device",_xlfn.XLOOKUP($K632&amp;"",'NETWORK-DEVICES'!$B$3:$B$987&amp;"",'NETWORK-DEVICES'!$E$3:$E$987,""),"Peripheral",_xlfn.XLOOKUP($K632&amp;"",PERIPHERAL!$B$3:$B$954&amp;"",PERIPHERAL!$E$3:$E$954,""),"Utilities",_xlfn.XLOOKUP($K632&amp;"",UTILITIES!$B$3:$B$953&amp;"",UTILITIES!$E$3:$E$953,""),"IOT",_xlfn.XLOOKUP($K632&amp;"",IOT!$B$3:$B$1012&amp;"",IOT!$E$3:$E$1012,""),"Server",_xlfn.XLOOKUP($K632&amp;"",SERVER!$B$3:$B$1009&amp;"",SERVER!$E$3:$E$1009,""),""))))</f>
        <v/>
      </c>
      <c r="Q632" s="1" t="str" cm="1">
        <f t="array" ref="Q632">IF(OR($K632="",$I632="",$J632=""),"",_xlfn.LET(_xlpm.srcCat,_xlfn.SWITCH($I632,"Computer",_xlfn.XLOOKUP($K632&amp;"",COMPUTER!$B$3:$B$1009&amp;"",COMPUTER!$H$3:$H$1009,""),"Display",_xlfn.XLOOKUP($K632&amp;"",DISPLAY!$B$3:$B$1000&amp;"",DISPLAY!$H$3:$H$1000,""),"Network Device",_xlfn.XLOOKUP($K632&amp;"",'NETWORK-DEVICES'!$B$3:$B$987&amp;"",'NETWORK-DEVICES'!$H$3:$H$987,""),"Peripheral",_xlfn.XLOOKUP($K632&amp;"",PERIPHERAL!$B$3:$B$954&amp;"",PERIPHERAL!$H$3:$H$954,""),"Utilities",_xlfn.XLOOKUP($K632&amp;"",UTILITIES!$B$3:$B$953&amp;"",UTILITIES!$G$3:$G$953,""),"IOT",_xlfn.XLOOKUP($K632&amp;"",IOT!$B$3:$B$1012&amp;"",IOT!$H$3:$H$1012,""),"Server",_xlfn.XLOOKUP($K632&amp;"",SERVER!$B$3:$B$1009&amp;"",SERVER!$H$3:$H$1009,""),""),IF(TRIM(_xlpm.srcCat)&lt;&gt;TRIM($J632),"",_xlfn.SWITCH($I632,"Computer",_xlfn.XLOOKUP($K632&amp;"",COMPUTER!$B$3:$B$1009&amp;"",COMPUTER!$AM$3:$AM$1009,""),"Display",_xlfn.XLOOKUP($K632&amp;"",DISPLAY!$B$3:$B$1000&amp;"",DISPLAY!$V$3:$V$1000,""),"Network Device",_xlfn.XLOOKUP($K632&amp;"",'NETWORK-DEVICES'!$B$3:$B$987&amp;"",'NETWORK-DEVICES'!$AF$3:$AF$987,""),"Peripheral",_xlfn.XLOOKUP($K632&amp;"",PERIPHERAL!$B$3:$B$954&amp;"",PERIPHERAL!$Y$3:$Y$954,""),"Utilities",_xlfn.XLOOKUP($K632&amp;"",UTILITIES!$B$3:$B$953&amp;"",UTILITIES!$O$3:$O$953,""),"IOT",_xlfn.XLOOKUP($K632&amp;"",IOT!$B$3:$B$1012&amp;"",IOT!$AB$3:$AB$1012,""),"Server",_xlfn.XLOOKUP($K632&amp;"",SERVER!$B$3:$B$1009&amp;"",SERVER!$AB$3:$AB$1009,""),""))))</f>
        <v/>
      </c>
      <c r="R632" s="43" t="str">
        <f>IF(tbl_handover[[#This Row],[Asset Code]]="","",COUNTIF(tbl_handover[Asset Code],tbl_handover[[#This Row],[Asset Code]]))</f>
        <v/>
      </c>
    </row>
    <row r="633" spans="1:18" x14ac:dyDescent="0.25">
      <c r="A633" s="43" t="str">
        <f>IF(B633&lt;&gt;"",SUBTOTAL(3,$B$1:B632),"")</f>
        <v/>
      </c>
      <c r="C633" s="74"/>
      <c r="D633" s="74"/>
      <c r="G633" s="1"/>
      <c r="K633" s="42"/>
      <c r="L633" t="str" cm="1">
        <f t="array" ref="L633">IF($K633="","",_xlfn.SWITCH($I633,"Computer",_xlfn.XLOOKUP($K633&amp;"",COMPUTER!$B$3:$B$1009&amp;"",COMPUTER!$I$3:$I$1009,""),"Display",_xlfn.XLOOKUP($K633&amp;"",DISPLAY!$B$3:$B$1000&amp;"",DISPLAY!$J$3:$J$1000,""),"Network Device",_xlfn.XLOOKUP($K633&amp;"",'NETWORK-DEVICES'!$B$3:$B$987&amp;"",'NETWORK-DEVICES'!$I$3:$I$987,""),"Peripheral",_xlfn.XLOOKUP($K633&amp;"",PERIPHERAL!$B$3:$B$954&amp;"",PERIPHERAL!$I$3:$I$954,""),"Utilities",_xlfn.XLOOKUP($K633&amp;"",UTILITIES!$B$3:$B$953&amp;"",UTILITIES!$H$3:$H$953,""),"IOT",_xlfn.XLOOKUP($K633&amp;"",IOT!$B$3:$B$1012&amp;"",IOT!$I$3:$I$1012,""),"SERVER",_xlfn.XLOOKUP($K633&amp;"",SERVER!$B$3:$B$1009&amp;"",SERVER!$I$3:$I$1009,""),""))</f>
        <v/>
      </c>
      <c r="M633" t="str" cm="1">
        <f t="array" ref="M633">IF($K633="","",_xlfn.SWITCH($I633,"Computer",_xlfn.XLOOKUP($K633&amp;"",COMPUTER!$B$3:$B$1009&amp;"",COMPUTER!$J$3:$J$1009,""),"Display",_xlfn.XLOOKUP($K633&amp;"",DISPLAY!$B$3:$B$1000&amp;"",DISPLAY!$K$3:$K$1000,""),"Network Device",_xlfn.XLOOKUP($K633&amp;"",'NETWORK-DEVICES'!$B$3:$B$987&amp;"",'NETWORK-DEVICES'!$I$3:$I$987,""),"Peripheral",_xlfn.XLOOKUP($K633&amp;"",PERIPHERAL!$B$3:$B$954&amp;"",PERIPHERAL!$J$3:$J$954,""),"Utilities",_xlfn.XLOOKUP($K633&amp;"",UTILITIES!$B$3:$B$953&amp;"",UTILITIES!$I$3:$I$953,""),"IOT",_xlfn.XLOOKUP($K633&amp;"",IOT!$B$3:$B$1012&amp;"",IOT!$J$3:$J$1012,""),"Server",_xlfn.XLOOKUP($K633&amp;"",SERVER!$B$3:$B$1009&amp;"",SERVER!$J$3:$J$1009,""),""))</f>
        <v/>
      </c>
      <c r="N633" s="1" t="str" cm="1">
        <f t="array" ref="N633">IF(OR($K633="",$I633="",$J633=""),"",_xlfn.LET(_xlpm.srcCat,_xlfn.SWITCH($I633,"Computer",_xlfn.XLOOKUP($K633&amp;"",COMPUTER!$B$3:$B$1009&amp;"",COMPUTER!$H$3:$H$1009,""),"Display",_xlfn.XLOOKUP($K633&amp;"",DISPLAY!$B$3:$B$1000&amp;"",DISPLAY!$H$3:$H$1000,""),"Network Device",_xlfn.XLOOKUP($K633&amp;"",'NETWORK-DEVICES'!$B$3:$B$987&amp;"",'NETWORK-DEVICES'!$H$3:$H$987,""),"Peripheral",_xlfn.XLOOKUP($K633&amp;"",PERIPHERAL!$B$3:$B$954&amp;"",PERIPHERAL!$H$3:$H$954,""),"Utilities",_xlfn.XLOOKUP($K633&amp;"",UTILITIES!$B$3:$B$953&amp;"",UTILITIES!$G$3:$G$953,""),"IOT",_xlfn.XLOOKUP($K633&amp;"",IOT!$B$3:$B$1012&amp;"",IOT!$H$3:$H$1012,""),"Server",_xlfn.XLOOKUP($K633&amp;"",SERVER!$B$3:$B$1009&amp;"",SERVER!$H$3:$H$1009,""),""),IF(TRIM(_xlpm.srcCat)&lt;&gt;TRIM($J633),"",_xlfn.SWITCH($I633,"Computer",_xlfn.XLOOKUP($K633&amp;"",COMPUTER!$B$3:$B$1009&amp;"",COMPUTER!$K$3:$K$1009,""),"Display",_xlfn.XLOOKUP($K633&amp;"",DISPLAY!$B$3:$B$1000&amp;"",DISPLAY!$L$3:$L$1000,""),"Network Device",_xlfn.XLOOKUP($K633&amp;"",'NETWORK-DEVICES'!$B$3:$B$987&amp;"",'NETWORK-DEVICES'!$K$3:$K$987,""),"Peripheral",_xlfn.XLOOKUP($K633&amp;"",PERIPHERAL!$B$3:$B$954&amp;"",PERIPHERAL!$K$3:$K$954,""),"Utilities",_xlfn.XLOOKUP($K633&amp;"",UTILITIES!$B$3:$B$953&amp;"",UTILITIES!$J$3:$J$953,""),"IOT",_xlfn.XLOOKUP($K633&amp;"",IOT!$B$3:$B$1012&amp;"",IOT!$K$4:$K$1012,""),"Server",_xlfn.XLOOKUP($K633&amp;"",SERVER!$B$3:$B$1009&amp;"",SERVER!$K$3:$K$1009,""),""))))</f>
        <v/>
      </c>
      <c r="O633" s="1" t="str" cm="1">
        <f t="array" ref="O633">IF(OR($K633="",$I633="",$J633=""),"",_xlfn.LET(_xlpm.srcCat,_xlfn.SWITCH($I633,"Computer",_xlfn.XLOOKUP($K633&amp;"",COMPUTER!$B$3:$B$1009&amp;"",COMPUTER!$H$3:$H$1009,""),"Display",_xlfn.XLOOKUP($K633&amp;"",DISPLAY!$B$3:$B$1000&amp;"",DISPLAY!$H$3:$H$1000,""),"Network Device",_xlfn.XLOOKUP($K633&amp;"",'NETWORK-DEVICES'!$B$3:$B$987&amp;"",'NETWORK-DEVICES'!$H$3:$H$987,""),"Peripheral",_xlfn.XLOOKUP($K633&amp;"",PERIPHERAL!$B$3:$B$954&amp;"",PERIPHERAL!$H$3:$H$954,""),"Utilities",_xlfn.XLOOKUP($K633&amp;"",UTILITIES!$B$3:$B$953&amp;"",UTILITIES!$G$3:$G$953,""),"IOT",_xlfn.XLOOKUP($K633&amp;"",IOT!$B$3:$B$1012&amp;"",IOT!$H$3:$H$1012,""),"Server",_xlfn.XLOOKUP($K633&amp;"",SERVER!$B$3:$B$1009&amp;"",SERVER!$H$3:$H$1009,""),""),IF(TRIM(_xlpm.srcCat)&lt;&gt;TRIM($J633),"",_xlfn.SWITCH($I633,"Computer",_xlfn.XLOOKUP($K633&amp;"",COMPUTER!$B$3:$B$1009&amp;"",COMPUTER!$E$3:$E$1009,""),"Display",_xlfn.XLOOKUP($K633&amp;"",DISPLAY!$B$3:$B$1000&amp;"",DISPLAY!$E$3:$E$1000,""),"Network Device",_xlfn.XLOOKUP($K633&amp;"",'NETWORK-DEVICES'!$B$3:$B$987&amp;"",'NETWORK-DEVICES'!$E$3:$E$987,""),"Peripheral",_xlfn.XLOOKUP($K633&amp;"",PERIPHERAL!$B$3:$B$954&amp;"",PERIPHERAL!$E$3:$E$954,""),"Utilities",_xlfn.XLOOKUP($K633&amp;"",UTILITIES!$B$3:$B$953&amp;"",UTILITIES!$E$3:$E$953,""),"IOT",_xlfn.XLOOKUP($K633&amp;"",IOT!$B$3:$B$1012&amp;"",IOT!$E$3:$E$1012,""),"Server",_xlfn.XLOOKUP($K633&amp;"",SERVER!$B$3:$B$1009&amp;"",SERVER!$E$3:$E$1009,""),""))))</f>
        <v/>
      </c>
      <c r="Q633" s="1" t="str" cm="1">
        <f t="array" ref="Q633">IF(OR($K633="",$I633="",$J633=""),"",_xlfn.LET(_xlpm.srcCat,_xlfn.SWITCH($I633,"Computer",_xlfn.XLOOKUP($K633&amp;"",COMPUTER!$B$3:$B$1009&amp;"",COMPUTER!$H$3:$H$1009,""),"Display",_xlfn.XLOOKUP($K633&amp;"",DISPLAY!$B$3:$B$1000&amp;"",DISPLAY!$H$3:$H$1000,""),"Network Device",_xlfn.XLOOKUP($K633&amp;"",'NETWORK-DEVICES'!$B$3:$B$987&amp;"",'NETWORK-DEVICES'!$H$3:$H$987,""),"Peripheral",_xlfn.XLOOKUP($K633&amp;"",PERIPHERAL!$B$3:$B$954&amp;"",PERIPHERAL!$H$3:$H$954,""),"Utilities",_xlfn.XLOOKUP($K633&amp;"",UTILITIES!$B$3:$B$953&amp;"",UTILITIES!$G$3:$G$953,""),"IOT",_xlfn.XLOOKUP($K633&amp;"",IOT!$B$3:$B$1012&amp;"",IOT!$H$3:$H$1012,""),"Server",_xlfn.XLOOKUP($K633&amp;"",SERVER!$B$3:$B$1009&amp;"",SERVER!$H$3:$H$1009,""),""),IF(TRIM(_xlpm.srcCat)&lt;&gt;TRIM($J633),"",_xlfn.SWITCH($I633,"Computer",_xlfn.XLOOKUP($K633&amp;"",COMPUTER!$B$3:$B$1009&amp;"",COMPUTER!$AM$3:$AM$1009,""),"Display",_xlfn.XLOOKUP($K633&amp;"",DISPLAY!$B$3:$B$1000&amp;"",DISPLAY!$V$3:$V$1000,""),"Network Device",_xlfn.XLOOKUP($K633&amp;"",'NETWORK-DEVICES'!$B$3:$B$987&amp;"",'NETWORK-DEVICES'!$AF$3:$AF$987,""),"Peripheral",_xlfn.XLOOKUP($K633&amp;"",PERIPHERAL!$B$3:$B$954&amp;"",PERIPHERAL!$Y$3:$Y$954,""),"Utilities",_xlfn.XLOOKUP($K633&amp;"",UTILITIES!$B$3:$B$953&amp;"",UTILITIES!$O$3:$O$953,""),"IOT",_xlfn.XLOOKUP($K633&amp;"",IOT!$B$3:$B$1012&amp;"",IOT!$AB$3:$AB$1012,""),"Server",_xlfn.XLOOKUP($K633&amp;"",SERVER!$B$3:$B$1009&amp;"",SERVER!$AB$3:$AB$1009,""),""))))</f>
        <v/>
      </c>
      <c r="R633" s="43" t="str">
        <f>IF(tbl_handover[[#This Row],[Asset Code]]="","",COUNTIF(tbl_handover[Asset Code],tbl_handover[[#This Row],[Asset Code]]))</f>
        <v/>
      </c>
    </row>
    <row r="634" spans="1:18" x14ac:dyDescent="0.25">
      <c r="A634" s="43" t="str">
        <f>IF(B634&lt;&gt;"",SUBTOTAL(3,$B$1:B633),"")</f>
        <v/>
      </c>
      <c r="C634" s="74"/>
      <c r="D634" s="74"/>
      <c r="G634" s="1"/>
      <c r="K634" s="42"/>
      <c r="L634" t="str" cm="1">
        <f t="array" ref="L634">IF($K634="","",_xlfn.SWITCH($I634,"Computer",_xlfn.XLOOKUP($K634&amp;"",COMPUTER!$B$3:$B$1009&amp;"",COMPUTER!$I$3:$I$1009,""),"Display",_xlfn.XLOOKUP($K634&amp;"",DISPLAY!$B$3:$B$1000&amp;"",DISPLAY!$J$3:$J$1000,""),"Network Device",_xlfn.XLOOKUP($K634&amp;"",'NETWORK-DEVICES'!$B$3:$B$987&amp;"",'NETWORK-DEVICES'!$I$3:$I$987,""),"Peripheral",_xlfn.XLOOKUP($K634&amp;"",PERIPHERAL!$B$3:$B$954&amp;"",PERIPHERAL!$I$3:$I$954,""),"Utilities",_xlfn.XLOOKUP($K634&amp;"",UTILITIES!$B$3:$B$953&amp;"",UTILITIES!$H$3:$H$953,""),"IOT",_xlfn.XLOOKUP($K634&amp;"",IOT!$B$3:$B$1012&amp;"",IOT!$I$3:$I$1012,""),"SERVER",_xlfn.XLOOKUP($K634&amp;"",SERVER!$B$3:$B$1009&amp;"",SERVER!$I$3:$I$1009,""),""))</f>
        <v/>
      </c>
      <c r="M634" t="str" cm="1">
        <f t="array" ref="M634">IF($K634="","",_xlfn.SWITCH($I634,"Computer",_xlfn.XLOOKUP($K634&amp;"",COMPUTER!$B$3:$B$1009&amp;"",COMPUTER!$J$3:$J$1009,""),"Display",_xlfn.XLOOKUP($K634&amp;"",DISPLAY!$B$3:$B$1000&amp;"",DISPLAY!$K$3:$K$1000,""),"Network Device",_xlfn.XLOOKUP($K634&amp;"",'NETWORK-DEVICES'!$B$3:$B$987&amp;"",'NETWORK-DEVICES'!$I$3:$I$987,""),"Peripheral",_xlfn.XLOOKUP($K634&amp;"",PERIPHERAL!$B$3:$B$954&amp;"",PERIPHERAL!$J$3:$J$954,""),"Utilities",_xlfn.XLOOKUP($K634&amp;"",UTILITIES!$B$3:$B$953&amp;"",UTILITIES!$I$3:$I$953,""),"IOT",_xlfn.XLOOKUP($K634&amp;"",IOT!$B$3:$B$1012&amp;"",IOT!$J$3:$J$1012,""),"Server",_xlfn.XLOOKUP($K634&amp;"",SERVER!$B$3:$B$1009&amp;"",SERVER!$J$3:$J$1009,""),""))</f>
        <v/>
      </c>
      <c r="N634" s="1" t="str" cm="1">
        <f t="array" ref="N634">IF(OR($K634="",$I634="",$J634=""),"",_xlfn.LET(_xlpm.srcCat,_xlfn.SWITCH($I634,"Computer",_xlfn.XLOOKUP($K634&amp;"",COMPUTER!$B$3:$B$1009&amp;"",COMPUTER!$H$3:$H$1009,""),"Display",_xlfn.XLOOKUP($K634&amp;"",DISPLAY!$B$3:$B$1000&amp;"",DISPLAY!$H$3:$H$1000,""),"Network Device",_xlfn.XLOOKUP($K634&amp;"",'NETWORK-DEVICES'!$B$3:$B$987&amp;"",'NETWORK-DEVICES'!$H$3:$H$987,""),"Peripheral",_xlfn.XLOOKUP($K634&amp;"",PERIPHERAL!$B$3:$B$954&amp;"",PERIPHERAL!$H$3:$H$954,""),"Utilities",_xlfn.XLOOKUP($K634&amp;"",UTILITIES!$B$3:$B$953&amp;"",UTILITIES!$G$3:$G$953,""),"IOT",_xlfn.XLOOKUP($K634&amp;"",IOT!$B$3:$B$1012&amp;"",IOT!$H$3:$H$1012,""),"Server",_xlfn.XLOOKUP($K634&amp;"",SERVER!$B$3:$B$1009&amp;"",SERVER!$H$3:$H$1009,""),""),IF(TRIM(_xlpm.srcCat)&lt;&gt;TRIM($J634),"",_xlfn.SWITCH($I634,"Computer",_xlfn.XLOOKUP($K634&amp;"",COMPUTER!$B$3:$B$1009&amp;"",COMPUTER!$K$3:$K$1009,""),"Display",_xlfn.XLOOKUP($K634&amp;"",DISPLAY!$B$3:$B$1000&amp;"",DISPLAY!$L$3:$L$1000,""),"Network Device",_xlfn.XLOOKUP($K634&amp;"",'NETWORK-DEVICES'!$B$3:$B$987&amp;"",'NETWORK-DEVICES'!$K$3:$K$987,""),"Peripheral",_xlfn.XLOOKUP($K634&amp;"",PERIPHERAL!$B$3:$B$954&amp;"",PERIPHERAL!$K$3:$K$954,""),"Utilities",_xlfn.XLOOKUP($K634&amp;"",UTILITIES!$B$3:$B$953&amp;"",UTILITIES!$J$3:$J$953,""),"IOT",_xlfn.XLOOKUP($K634&amp;"",IOT!$B$3:$B$1012&amp;"",IOT!$K$4:$K$1012,""),"Server",_xlfn.XLOOKUP($K634&amp;"",SERVER!$B$3:$B$1009&amp;"",SERVER!$K$3:$K$1009,""),""))))</f>
        <v/>
      </c>
      <c r="O634" s="1" t="str" cm="1">
        <f t="array" ref="O634">IF(OR($K634="",$I634="",$J634=""),"",_xlfn.LET(_xlpm.srcCat,_xlfn.SWITCH($I634,"Computer",_xlfn.XLOOKUP($K634&amp;"",COMPUTER!$B$3:$B$1009&amp;"",COMPUTER!$H$3:$H$1009,""),"Display",_xlfn.XLOOKUP($K634&amp;"",DISPLAY!$B$3:$B$1000&amp;"",DISPLAY!$H$3:$H$1000,""),"Network Device",_xlfn.XLOOKUP($K634&amp;"",'NETWORK-DEVICES'!$B$3:$B$987&amp;"",'NETWORK-DEVICES'!$H$3:$H$987,""),"Peripheral",_xlfn.XLOOKUP($K634&amp;"",PERIPHERAL!$B$3:$B$954&amp;"",PERIPHERAL!$H$3:$H$954,""),"Utilities",_xlfn.XLOOKUP($K634&amp;"",UTILITIES!$B$3:$B$953&amp;"",UTILITIES!$G$3:$G$953,""),"IOT",_xlfn.XLOOKUP($K634&amp;"",IOT!$B$3:$B$1012&amp;"",IOT!$H$3:$H$1012,""),"Server",_xlfn.XLOOKUP($K634&amp;"",SERVER!$B$3:$B$1009&amp;"",SERVER!$H$3:$H$1009,""),""),IF(TRIM(_xlpm.srcCat)&lt;&gt;TRIM($J634),"",_xlfn.SWITCH($I634,"Computer",_xlfn.XLOOKUP($K634&amp;"",COMPUTER!$B$3:$B$1009&amp;"",COMPUTER!$E$3:$E$1009,""),"Display",_xlfn.XLOOKUP($K634&amp;"",DISPLAY!$B$3:$B$1000&amp;"",DISPLAY!$E$3:$E$1000,""),"Network Device",_xlfn.XLOOKUP($K634&amp;"",'NETWORK-DEVICES'!$B$3:$B$987&amp;"",'NETWORK-DEVICES'!$E$3:$E$987,""),"Peripheral",_xlfn.XLOOKUP($K634&amp;"",PERIPHERAL!$B$3:$B$954&amp;"",PERIPHERAL!$E$3:$E$954,""),"Utilities",_xlfn.XLOOKUP($K634&amp;"",UTILITIES!$B$3:$B$953&amp;"",UTILITIES!$E$3:$E$953,""),"IOT",_xlfn.XLOOKUP($K634&amp;"",IOT!$B$3:$B$1012&amp;"",IOT!$E$3:$E$1012,""),"Server",_xlfn.XLOOKUP($K634&amp;"",SERVER!$B$3:$B$1009&amp;"",SERVER!$E$3:$E$1009,""),""))))</f>
        <v/>
      </c>
      <c r="Q634" s="1" t="str" cm="1">
        <f t="array" ref="Q634">IF(OR($K634="",$I634="",$J634=""),"",_xlfn.LET(_xlpm.srcCat,_xlfn.SWITCH($I634,"Computer",_xlfn.XLOOKUP($K634&amp;"",COMPUTER!$B$3:$B$1009&amp;"",COMPUTER!$H$3:$H$1009,""),"Display",_xlfn.XLOOKUP($K634&amp;"",DISPLAY!$B$3:$B$1000&amp;"",DISPLAY!$H$3:$H$1000,""),"Network Device",_xlfn.XLOOKUP($K634&amp;"",'NETWORK-DEVICES'!$B$3:$B$987&amp;"",'NETWORK-DEVICES'!$H$3:$H$987,""),"Peripheral",_xlfn.XLOOKUP($K634&amp;"",PERIPHERAL!$B$3:$B$954&amp;"",PERIPHERAL!$H$3:$H$954,""),"Utilities",_xlfn.XLOOKUP($K634&amp;"",UTILITIES!$B$3:$B$953&amp;"",UTILITIES!$G$3:$G$953,""),"IOT",_xlfn.XLOOKUP($K634&amp;"",IOT!$B$3:$B$1012&amp;"",IOT!$H$3:$H$1012,""),"Server",_xlfn.XLOOKUP($K634&amp;"",SERVER!$B$3:$B$1009&amp;"",SERVER!$H$3:$H$1009,""),""),IF(TRIM(_xlpm.srcCat)&lt;&gt;TRIM($J634),"",_xlfn.SWITCH($I634,"Computer",_xlfn.XLOOKUP($K634&amp;"",COMPUTER!$B$3:$B$1009&amp;"",COMPUTER!$AM$3:$AM$1009,""),"Display",_xlfn.XLOOKUP($K634&amp;"",DISPLAY!$B$3:$B$1000&amp;"",DISPLAY!$V$3:$V$1000,""),"Network Device",_xlfn.XLOOKUP($K634&amp;"",'NETWORK-DEVICES'!$B$3:$B$987&amp;"",'NETWORK-DEVICES'!$AF$3:$AF$987,""),"Peripheral",_xlfn.XLOOKUP($K634&amp;"",PERIPHERAL!$B$3:$B$954&amp;"",PERIPHERAL!$Y$3:$Y$954,""),"Utilities",_xlfn.XLOOKUP($K634&amp;"",UTILITIES!$B$3:$B$953&amp;"",UTILITIES!$O$3:$O$953,""),"IOT",_xlfn.XLOOKUP($K634&amp;"",IOT!$B$3:$B$1012&amp;"",IOT!$AB$3:$AB$1012,""),"Server",_xlfn.XLOOKUP($K634&amp;"",SERVER!$B$3:$B$1009&amp;"",SERVER!$AB$3:$AB$1009,""),""))))</f>
        <v/>
      </c>
      <c r="R634" s="43" t="str">
        <f>IF(tbl_handover[[#This Row],[Asset Code]]="","",COUNTIF(tbl_handover[Asset Code],tbl_handover[[#This Row],[Asset Code]]))</f>
        <v/>
      </c>
    </row>
    <row r="635" spans="1:18" x14ac:dyDescent="0.25">
      <c r="A635" s="43" t="str">
        <f>IF(B635&lt;&gt;"",SUBTOTAL(3,$B$1:B634),"")</f>
        <v/>
      </c>
      <c r="C635" s="74"/>
      <c r="D635" s="74"/>
      <c r="G635" s="1"/>
      <c r="K635" s="42"/>
      <c r="L635" t="str" cm="1">
        <f t="array" ref="L635">IF($K635="","",_xlfn.SWITCH($I635,"Computer",_xlfn.XLOOKUP($K635&amp;"",COMPUTER!$B$3:$B$1009&amp;"",COMPUTER!$I$3:$I$1009,""),"Display",_xlfn.XLOOKUP($K635&amp;"",DISPLAY!$B$3:$B$1000&amp;"",DISPLAY!$J$3:$J$1000,""),"Network Device",_xlfn.XLOOKUP($K635&amp;"",'NETWORK-DEVICES'!$B$3:$B$987&amp;"",'NETWORK-DEVICES'!$I$3:$I$987,""),"Peripheral",_xlfn.XLOOKUP($K635&amp;"",PERIPHERAL!$B$3:$B$954&amp;"",PERIPHERAL!$I$3:$I$954,""),"Utilities",_xlfn.XLOOKUP($K635&amp;"",UTILITIES!$B$3:$B$953&amp;"",UTILITIES!$H$3:$H$953,""),"IOT",_xlfn.XLOOKUP($K635&amp;"",IOT!$B$3:$B$1012&amp;"",IOT!$I$3:$I$1012,""),"SERVER",_xlfn.XLOOKUP($K635&amp;"",SERVER!$B$3:$B$1009&amp;"",SERVER!$I$3:$I$1009,""),""))</f>
        <v/>
      </c>
      <c r="M635" t="str" cm="1">
        <f t="array" ref="M635">IF($K635="","",_xlfn.SWITCH($I635,"Computer",_xlfn.XLOOKUP($K635&amp;"",COMPUTER!$B$3:$B$1009&amp;"",COMPUTER!$J$3:$J$1009,""),"Display",_xlfn.XLOOKUP($K635&amp;"",DISPLAY!$B$3:$B$1000&amp;"",DISPLAY!$K$3:$K$1000,""),"Network Device",_xlfn.XLOOKUP($K635&amp;"",'NETWORK-DEVICES'!$B$3:$B$987&amp;"",'NETWORK-DEVICES'!$I$3:$I$987,""),"Peripheral",_xlfn.XLOOKUP($K635&amp;"",PERIPHERAL!$B$3:$B$954&amp;"",PERIPHERAL!$J$3:$J$954,""),"Utilities",_xlfn.XLOOKUP($K635&amp;"",UTILITIES!$B$3:$B$953&amp;"",UTILITIES!$I$3:$I$953,""),"IOT",_xlfn.XLOOKUP($K635&amp;"",IOT!$B$3:$B$1012&amp;"",IOT!$J$3:$J$1012,""),"Server",_xlfn.XLOOKUP($K635&amp;"",SERVER!$B$3:$B$1009&amp;"",SERVER!$J$3:$J$1009,""),""))</f>
        <v/>
      </c>
      <c r="N635" s="1" t="str" cm="1">
        <f t="array" ref="N635">IF(OR($K635="",$I635="",$J635=""),"",_xlfn.LET(_xlpm.srcCat,_xlfn.SWITCH($I635,"Computer",_xlfn.XLOOKUP($K635&amp;"",COMPUTER!$B$3:$B$1009&amp;"",COMPUTER!$H$3:$H$1009,""),"Display",_xlfn.XLOOKUP($K635&amp;"",DISPLAY!$B$3:$B$1000&amp;"",DISPLAY!$H$3:$H$1000,""),"Network Device",_xlfn.XLOOKUP($K635&amp;"",'NETWORK-DEVICES'!$B$3:$B$987&amp;"",'NETWORK-DEVICES'!$H$3:$H$987,""),"Peripheral",_xlfn.XLOOKUP($K635&amp;"",PERIPHERAL!$B$3:$B$954&amp;"",PERIPHERAL!$H$3:$H$954,""),"Utilities",_xlfn.XLOOKUP($K635&amp;"",UTILITIES!$B$3:$B$953&amp;"",UTILITIES!$G$3:$G$953,""),"IOT",_xlfn.XLOOKUP($K635&amp;"",IOT!$B$3:$B$1012&amp;"",IOT!$H$3:$H$1012,""),"Server",_xlfn.XLOOKUP($K635&amp;"",SERVER!$B$3:$B$1009&amp;"",SERVER!$H$3:$H$1009,""),""),IF(TRIM(_xlpm.srcCat)&lt;&gt;TRIM($J635),"",_xlfn.SWITCH($I635,"Computer",_xlfn.XLOOKUP($K635&amp;"",COMPUTER!$B$3:$B$1009&amp;"",COMPUTER!$K$3:$K$1009,""),"Display",_xlfn.XLOOKUP($K635&amp;"",DISPLAY!$B$3:$B$1000&amp;"",DISPLAY!$L$3:$L$1000,""),"Network Device",_xlfn.XLOOKUP($K635&amp;"",'NETWORK-DEVICES'!$B$3:$B$987&amp;"",'NETWORK-DEVICES'!$K$3:$K$987,""),"Peripheral",_xlfn.XLOOKUP($K635&amp;"",PERIPHERAL!$B$3:$B$954&amp;"",PERIPHERAL!$K$3:$K$954,""),"Utilities",_xlfn.XLOOKUP($K635&amp;"",UTILITIES!$B$3:$B$953&amp;"",UTILITIES!$J$3:$J$953,""),"IOT",_xlfn.XLOOKUP($K635&amp;"",IOT!$B$3:$B$1012&amp;"",IOT!$K$4:$K$1012,""),"Server",_xlfn.XLOOKUP($K635&amp;"",SERVER!$B$3:$B$1009&amp;"",SERVER!$K$3:$K$1009,""),""))))</f>
        <v/>
      </c>
      <c r="O635" s="1" t="str" cm="1">
        <f t="array" ref="O635">IF(OR($K635="",$I635="",$J635=""),"",_xlfn.LET(_xlpm.srcCat,_xlfn.SWITCH($I635,"Computer",_xlfn.XLOOKUP($K635&amp;"",COMPUTER!$B$3:$B$1009&amp;"",COMPUTER!$H$3:$H$1009,""),"Display",_xlfn.XLOOKUP($K635&amp;"",DISPLAY!$B$3:$B$1000&amp;"",DISPLAY!$H$3:$H$1000,""),"Network Device",_xlfn.XLOOKUP($K635&amp;"",'NETWORK-DEVICES'!$B$3:$B$987&amp;"",'NETWORK-DEVICES'!$H$3:$H$987,""),"Peripheral",_xlfn.XLOOKUP($K635&amp;"",PERIPHERAL!$B$3:$B$954&amp;"",PERIPHERAL!$H$3:$H$954,""),"Utilities",_xlfn.XLOOKUP($K635&amp;"",UTILITIES!$B$3:$B$953&amp;"",UTILITIES!$G$3:$G$953,""),"IOT",_xlfn.XLOOKUP($K635&amp;"",IOT!$B$3:$B$1012&amp;"",IOT!$H$3:$H$1012,""),"Server",_xlfn.XLOOKUP($K635&amp;"",SERVER!$B$3:$B$1009&amp;"",SERVER!$H$3:$H$1009,""),""),IF(TRIM(_xlpm.srcCat)&lt;&gt;TRIM($J635),"",_xlfn.SWITCH($I635,"Computer",_xlfn.XLOOKUP($K635&amp;"",COMPUTER!$B$3:$B$1009&amp;"",COMPUTER!$E$3:$E$1009,""),"Display",_xlfn.XLOOKUP($K635&amp;"",DISPLAY!$B$3:$B$1000&amp;"",DISPLAY!$E$3:$E$1000,""),"Network Device",_xlfn.XLOOKUP($K635&amp;"",'NETWORK-DEVICES'!$B$3:$B$987&amp;"",'NETWORK-DEVICES'!$E$3:$E$987,""),"Peripheral",_xlfn.XLOOKUP($K635&amp;"",PERIPHERAL!$B$3:$B$954&amp;"",PERIPHERAL!$E$3:$E$954,""),"Utilities",_xlfn.XLOOKUP($K635&amp;"",UTILITIES!$B$3:$B$953&amp;"",UTILITIES!$E$3:$E$953,""),"IOT",_xlfn.XLOOKUP($K635&amp;"",IOT!$B$3:$B$1012&amp;"",IOT!$E$3:$E$1012,""),"Server",_xlfn.XLOOKUP($K635&amp;"",SERVER!$B$3:$B$1009&amp;"",SERVER!$E$3:$E$1009,""),""))))</f>
        <v/>
      </c>
      <c r="Q635" s="1" t="str" cm="1">
        <f t="array" ref="Q635">IF(OR($K635="",$I635="",$J635=""),"",_xlfn.LET(_xlpm.srcCat,_xlfn.SWITCH($I635,"Computer",_xlfn.XLOOKUP($K635&amp;"",COMPUTER!$B$3:$B$1009&amp;"",COMPUTER!$H$3:$H$1009,""),"Display",_xlfn.XLOOKUP($K635&amp;"",DISPLAY!$B$3:$B$1000&amp;"",DISPLAY!$H$3:$H$1000,""),"Network Device",_xlfn.XLOOKUP($K635&amp;"",'NETWORK-DEVICES'!$B$3:$B$987&amp;"",'NETWORK-DEVICES'!$H$3:$H$987,""),"Peripheral",_xlfn.XLOOKUP($K635&amp;"",PERIPHERAL!$B$3:$B$954&amp;"",PERIPHERAL!$H$3:$H$954,""),"Utilities",_xlfn.XLOOKUP($K635&amp;"",UTILITIES!$B$3:$B$953&amp;"",UTILITIES!$G$3:$G$953,""),"IOT",_xlfn.XLOOKUP($K635&amp;"",IOT!$B$3:$B$1012&amp;"",IOT!$H$3:$H$1012,""),"Server",_xlfn.XLOOKUP($K635&amp;"",SERVER!$B$3:$B$1009&amp;"",SERVER!$H$3:$H$1009,""),""),IF(TRIM(_xlpm.srcCat)&lt;&gt;TRIM($J635),"",_xlfn.SWITCH($I635,"Computer",_xlfn.XLOOKUP($K635&amp;"",COMPUTER!$B$3:$B$1009&amp;"",COMPUTER!$AM$3:$AM$1009,""),"Display",_xlfn.XLOOKUP($K635&amp;"",DISPLAY!$B$3:$B$1000&amp;"",DISPLAY!$V$3:$V$1000,""),"Network Device",_xlfn.XLOOKUP($K635&amp;"",'NETWORK-DEVICES'!$B$3:$B$987&amp;"",'NETWORK-DEVICES'!$AF$3:$AF$987,""),"Peripheral",_xlfn.XLOOKUP($K635&amp;"",PERIPHERAL!$B$3:$B$954&amp;"",PERIPHERAL!$Y$3:$Y$954,""),"Utilities",_xlfn.XLOOKUP($K635&amp;"",UTILITIES!$B$3:$B$953&amp;"",UTILITIES!$O$3:$O$953,""),"IOT",_xlfn.XLOOKUP($K635&amp;"",IOT!$B$3:$B$1012&amp;"",IOT!$AB$3:$AB$1012,""),"Server",_xlfn.XLOOKUP($K635&amp;"",SERVER!$B$3:$B$1009&amp;"",SERVER!$AB$3:$AB$1009,""),""))))</f>
        <v/>
      </c>
      <c r="R635" s="43" t="str">
        <f>IF(tbl_handover[[#This Row],[Asset Code]]="","",COUNTIF(tbl_handover[Asset Code],tbl_handover[[#This Row],[Asset Code]]))</f>
        <v/>
      </c>
    </row>
    <row r="636" spans="1:18" x14ac:dyDescent="0.25">
      <c r="A636" s="43" t="str">
        <f>IF(B636&lt;&gt;"",SUBTOTAL(3,$B$1:B635),"")</f>
        <v/>
      </c>
      <c r="C636" s="74"/>
      <c r="D636" s="74"/>
      <c r="G636" s="1"/>
      <c r="K636" s="42"/>
      <c r="L636" t="str" cm="1">
        <f t="array" ref="L636">IF($K636="","",_xlfn.SWITCH($I636,"Computer",_xlfn.XLOOKUP($K636&amp;"",COMPUTER!$B$3:$B$1009&amp;"",COMPUTER!$I$3:$I$1009,""),"Display",_xlfn.XLOOKUP($K636&amp;"",DISPLAY!$B$3:$B$1000&amp;"",DISPLAY!$J$3:$J$1000,""),"Network Device",_xlfn.XLOOKUP($K636&amp;"",'NETWORK-DEVICES'!$B$3:$B$987&amp;"",'NETWORK-DEVICES'!$I$3:$I$987,""),"Peripheral",_xlfn.XLOOKUP($K636&amp;"",PERIPHERAL!$B$3:$B$954&amp;"",PERIPHERAL!$I$3:$I$954,""),"Utilities",_xlfn.XLOOKUP($K636&amp;"",UTILITIES!$B$3:$B$953&amp;"",UTILITIES!$H$3:$H$953,""),"IOT",_xlfn.XLOOKUP($K636&amp;"",IOT!$B$3:$B$1012&amp;"",IOT!$I$3:$I$1012,""),"SERVER",_xlfn.XLOOKUP($K636&amp;"",SERVER!$B$3:$B$1009&amp;"",SERVER!$I$3:$I$1009,""),""))</f>
        <v/>
      </c>
      <c r="M636" t="str" cm="1">
        <f t="array" ref="M636">IF($K636="","",_xlfn.SWITCH($I636,"Computer",_xlfn.XLOOKUP($K636&amp;"",COMPUTER!$B$3:$B$1009&amp;"",COMPUTER!$J$3:$J$1009,""),"Display",_xlfn.XLOOKUP($K636&amp;"",DISPLAY!$B$3:$B$1000&amp;"",DISPLAY!$K$3:$K$1000,""),"Network Device",_xlfn.XLOOKUP($K636&amp;"",'NETWORK-DEVICES'!$B$3:$B$987&amp;"",'NETWORK-DEVICES'!$I$3:$I$987,""),"Peripheral",_xlfn.XLOOKUP($K636&amp;"",PERIPHERAL!$B$3:$B$954&amp;"",PERIPHERAL!$J$3:$J$954,""),"Utilities",_xlfn.XLOOKUP($K636&amp;"",UTILITIES!$B$3:$B$953&amp;"",UTILITIES!$I$3:$I$953,""),"IOT",_xlfn.XLOOKUP($K636&amp;"",IOT!$B$3:$B$1012&amp;"",IOT!$J$3:$J$1012,""),"Server",_xlfn.XLOOKUP($K636&amp;"",SERVER!$B$3:$B$1009&amp;"",SERVER!$J$3:$J$1009,""),""))</f>
        <v/>
      </c>
      <c r="N636" s="1" t="str" cm="1">
        <f t="array" ref="N636">IF(OR($K636="",$I636="",$J636=""),"",_xlfn.LET(_xlpm.srcCat,_xlfn.SWITCH($I636,"Computer",_xlfn.XLOOKUP($K636&amp;"",COMPUTER!$B$3:$B$1009&amp;"",COMPUTER!$H$3:$H$1009,""),"Display",_xlfn.XLOOKUP($K636&amp;"",DISPLAY!$B$3:$B$1000&amp;"",DISPLAY!$H$3:$H$1000,""),"Network Device",_xlfn.XLOOKUP($K636&amp;"",'NETWORK-DEVICES'!$B$3:$B$987&amp;"",'NETWORK-DEVICES'!$H$3:$H$987,""),"Peripheral",_xlfn.XLOOKUP($K636&amp;"",PERIPHERAL!$B$3:$B$954&amp;"",PERIPHERAL!$H$3:$H$954,""),"Utilities",_xlfn.XLOOKUP($K636&amp;"",UTILITIES!$B$3:$B$953&amp;"",UTILITIES!$G$3:$G$953,""),"IOT",_xlfn.XLOOKUP($K636&amp;"",IOT!$B$3:$B$1012&amp;"",IOT!$H$3:$H$1012,""),"Server",_xlfn.XLOOKUP($K636&amp;"",SERVER!$B$3:$B$1009&amp;"",SERVER!$H$3:$H$1009,""),""),IF(TRIM(_xlpm.srcCat)&lt;&gt;TRIM($J636),"",_xlfn.SWITCH($I636,"Computer",_xlfn.XLOOKUP($K636&amp;"",COMPUTER!$B$3:$B$1009&amp;"",COMPUTER!$K$3:$K$1009,""),"Display",_xlfn.XLOOKUP($K636&amp;"",DISPLAY!$B$3:$B$1000&amp;"",DISPLAY!$L$3:$L$1000,""),"Network Device",_xlfn.XLOOKUP($K636&amp;"",'NETWORK-DEVICES'!$B$3:$B$987&amp;"",'NETWORK-DEVICES'!$K$3:$K$987,""),"Peripheral",_xlfn.XLOOKUP($K636&amp;"",PERIPHERAL!$B$3:$B$954&amp;"",PERIPHERAL!$K$3:$K$954,""),"Utilities",_xlfn.XLOOKUP($K636&amp;"",UTILITIES!$B$3:$B$953&amp;"",UTILITIES!$J$3:$J$953,""),"IOT",_xlfn.XLOOKUP($K636&amp;"",IOT!$B$3:$B$1012&amp;"",IOT!$K$4:$K$1012,""),"Server",_xlfn.XLOOKUP($K636&amp;"",SERVER!$B$3:$B$1009&amp;"",SERVER!$K$3:$K$1009,""),""))))</f>
        <v/>
      </c>
      <c r="O636" s="1" t="str" cm="1">
        <f t="array" ref="O636">IF(OR($K636="",$I636="",$J636=""),"",_xlfn.LET(_xlpm.srcCat,_xlfn.SWITCH($I636,"Computer",_xlfn.XLOOKUP($K636&amp;"",COMPUTER!$B$3:$B$1009&amp;"",COMPUTER!$H$3:$H$1009,""),"Display",_xlfn.XLOOKUP($K636&amp;"",DISPLAY!$B$3:$B$1000&amp;"",DISPLAY!$H$3:$H$1000,""),"Network Device",_xlfn.XLOOKUP($K636&amp;"",'NETWORK-DEVICES'!$B$3:$B$987&amp;"",'NETWORK-DEVICES'!$H$3:$H$987,""),"Peripheral",_xlfn.XLOOKUP($K636&amp;"",PERIPHERAL!$B$3:$B$954&amp;"",PERIPHERAL!$H$3:$H$954,""),"Utilities",_xlfn.XLOOKUP($K636&amp;"",UTILITIES!$B$3:$B$953&amp;"",UTILITIES!$G$3:$G$953,""),"IOT",_xlfn.XLOOKUP($K636&amp;"",IOT!$B$3:$B$1012&amp;"",IOT!$H$3:$H$1012,""),"Server",_xlfn.XLOOKUP($K636&amp;"",SERVER!$B$3:$B$1009&amp;"",SERVER!$H$3:$H$1009,""),""),IF(TRIM(_xlpm.srcCat)&lt;&gt;TRIM($J636),"",_xlfn.SWITCH($I636,"Computer",_xlfn.XLOOKUP($K636&amp;"",COMPUTER!$B$3:$B$1009&amp;"",COMPUTER!$E$3:$E$1009,""),"Display",_xlfn.XLOOKUP($K636&amp;"",DISPLAY!$B$3:$B$1000&amp;"",DISPLAY!$E$3:$E$1000,""),"Network Device",_xlfn.XLOOKUP($K636&amp;"",'NETWORK-DEVICES'!$B$3:$B$987&amp;"",'NETWORK-DEVICES'!$E$3:$E$987,""),"Peripheral",_xlfn.XLOOKUP($K636&amp;"",PERIPHERAL!$B$3:$B$954&amp;"",PERIPHERAL!$E$3:$E$954,""),"Utilities",_xlfn.XLOOKUP($K636&amp;"",UTILITIES!$B$3:$B$953&amp;"",UTILITIES!$E$3:$E$953,""),"IOT",_xlfn.XLOOKUP($K636&amp;"",IOT!$B$3:$B$1012&amp;"",IOT!$E$3:$E$1012,""),"Server",_xlfn.XLOOKUP($K636&amp;"",SERVER!$B$3:$B$1009&amp;"",SERVER!$E$3:$E$1009,""),""))))</f>
        <v/>
      </c>
      <c r="Q636" s="1" t="str" cm="1">
        <f t="array" ref="Q636">IF(OR($K636="",$I636="",$J636=""),"",_xlfn.LET(_xlpm.srcCat,_xlfn.SWITCH($I636,"Computer",_xlfn.XLOOKUP($K636&amp;"",COMPUTER!$B$3:$B$1009&amp;"",COMPUTER!$H$3:$H$1009,""),"Display",_xlfn.XLOOKUP($K636&amp;"",DISPLAY!$B$3:$B$1000&amp;"",DISPLAY!$H$3:$H$1000,""),"Network Device",_xlfn.XLOOKUP($K636&amp;"",'NETWORK-DEVICES'!$B$3:$B$987&amp;"",'NETWORK-DEVICES'!$H$3:$H$987,""),"Peripheral",_xlfn.XLOOKUP($K636&amp;"",PERIPHERAL!$B$3:$B$954&amp;"",PERIPHERAL!$H$3:$H$954,""),"Utilities",_xlfn.XLOOKUP($K636&amp;"",UTILITIES!$B$3:$B$953&amp;"",UTILITIES!$G$3:$G$953,""),"IOT",_xlfn.XLOOKUP($K636&amp;"",IOT!$B$3:$B$1012&amp;"",IOT!$H$3:$H$1012,""),"Server",_xlfn.XLOOKUP($K636&amp;"",SERVER!$B$3:$B$1009&amp;"",SERVER!$H$3:$H$1009,""),""),IF(TRIM(_xlpm.srcCat)&lt;&gt;TRIM($J636),"",_xlfn.SWITCH($I636,"Computer",_xlfn.XLOOKUP($K636&amp;"",COMPUTER!$B$3:$B$1009&amp;"",COMPUTER!$AM$3:$AM$1009,""),"Display",_xlfn.XLOOKUP($K636&amp;"",DISPLAY!$B$3:$B$1000&amp;"",DISPLAY!$V$3:$V$1000,""),"Network Device",_xlfn.XLOOKUP($K636&amp;"",'NETWORK-DEVICES'!$B$3:$B$987&amp;"",'NETWORK-DEVICES'!$AF$3:$AF$987,""),"Peripheral",_xlfn.XLOOKUP($K636&amp;"",PERIPHERAL!$B$3:$B$954&amp;"",PERIPHERAL!$Y$3:$Y$954,""),"Utilities",_xlfn.XLOOKUP($K636&amp;"",UTILITIES!$B$3:$B$953&amp;"",UTILITIES!$O$3:$O$953,""),"IOT",_xlfn.XLOOKUP($K636&amp;"",IOT!$B$3:$B$1012&amp;"",IOT!$AB$3:$AB$1012,""),"Server",_xlfn.XLOOKUP($K636&amp;"",SERVER!$B$3:$B$1009&amp;"",SERVER!$AB$3:$AB$1009,""),""))))</f>
        <v/>
      </c>
      <c r="R636" s="43" t="str">
        <f>IF(tbl_handover[[#This Row],[Asset Code]]="","",COUNTIF(tbl_handover[Asset Code],tbl_handover[[#This Row],[Asset Code]]))</f>
        <v/>
      </c>
    </row>
    <row r="637" spans="1:18" x14ac:dyDescent="0.25">
      <c r="A637" s="43" t="str">
        <f>IF(B637&lt;&gt;"",SUBTOTAL(3,$B$1:B636),"")</f>
        <v/>
      </c>
      <c r="C637" s="74"/>
      <c r="D637" s="74"/>
      <c r="G637" s="1"/>
      <c r="K637" s="42"/>
      <c r="L637" t="str" cm="1">
        <f t="array" ref="L637">IF($K637="","",_xlfn.SWITCH($I637,"Computer",_xlfn.XLOOKUP($K637&amp;"",COMPUTER!$B$3:$B$1009&amp;"",COMPUTER!$I$3:$I$1009,""),"Display",_xlfn.XLOOKUP($K637&amp;"",DISPLAY!$B$3:$B$1000&amp;"",DISPLAY!$J$3:$J$1000,""),"Network Device",_xlfn.XLOOKUP($K637&amp;"",'NETWORK-DEVICES'!$B$3:$B$987&amp;"",'NETWORK-DEVICES'!$I$3:$I$987,""),"Peripheral",_xlfn.XLOOKUP($K637&amp;"",PERIPHERAL!$B$3:$B$954&amp;"",PERIPHERAL!$I$3:$I$954,""),"Utilities",_xlfn.XLOOKUP($K637&amp;"",UTILITIES!$B$3:$B$953&amp;"",UTILITIES!$H$3:$H$953,""),"IOT",_xlfn.XLOOKUP($K637&amp;"",IOT!$B$3:$B$1012&amp;"",IOT!$I$3:$I$1012,""),"SERVER",_xlfn.XLOOKUP($K637&amp;"",SERVER!$B$3:$B$1009&amp;"",SERVER!$I$3:$I$1009,""),""))</f>
        <v/>
      </c>
      <c r="M637" t="str" cm="1">
        <f t="array" ref="M637">IF($K637="","",_xlfn.SWITCH($I637,"Computer",_xlfn.XLOOKUP($K637&amp;"",COMPUTER!$B$3:$B$1009&amp;"",COMPUTER!$J$3:$J$1009,""),"Display",_xlfn.XLOOKUP($K637&amp;"",DISPLAY!$B$3:$B$1000&amp;"",DISPLAY!$K$3:$K$1000,""),"Network Device",_xlfn.XLOOKUP($K637&amp;"",'NETWORK-DEVICES'!$B$3:$B$987&amp;"",'NETWORK-DEVICES'!$I$3:$I$987,""),"Peripheral",_xlfn.XLOOKUP($K637&amp;"",PERIPHERAL!$B$3:$B$954&amp;"",PERIPHERAL!$J$3:$J$954,""),"Utilities",_xlfn.XLOOKUP($K637&amp;"",UTILITIES!$B$3:$B$953&amp;"",UTILITIES!$I$3:$I$953,""),"IOT",_xlfn.XLOOKUP($K637&amp;"",IOT!$B$3:$B$1012&amp;"",IOT!$J$3:$J$1012,""),"Server",_xlfn.XLOOKUP($K637&amp;"",SERVER!$B$3:$B$1009&amp;"",SERVER!$J$3:$J$1009,""),""))</f>
        <v/>
      </c>
      <c r="N637" s="1" t="str" cm="1">
        <f t="array" ref="N637">IF(OR($K637="",$I637="",$J637=""),"",_xlfn.LET(_xlpm.srcCat,_xlfn.SWITCH($I637,"Computer",_xlfn.XLOOKUP($K637&amp;"",COMPUTER!$B$3:$B$1009&amp;"",COMPUTER!$H$3:$H$1009,""),"Display",_xlfn.XLOOKUP($K637&amp;"",DISPLAY!$B$3:$B$1000&amp;"",DISPLAY!$H$3:$H$1000,""),"Network Device",_xlfn.XLOOKUP($K637&amp;"",'NETWORK-DEVICES'!$B$3:$B$987&amp;"",'NETWORK-DEVICES'!$H$3:$H$987,""),"Peripheral",_xlfn.XLOOKUP($K637&amp;"",PERIPHERAL!$B$3:$B$954&amp;"",PERIPHERAL!$H$3:$H$954,""),"Utilities",_xlfn.XLOOKUP($K637&amp;"",UTILITIES!$B$3:$B$953&amp;"",UTILITIES!$G$3:$G$953,""),"IOT",_xlfn.XLOOKUP($K637&amp;"",IOT!$B$3:$B$1012&amp;"",IOT!$H$3:$H$1012,""),"Server",_xlfn.XLOOKUP($K637&amp;"",SERVER!$B$3:$B$1009&amp;"",SERVER!$H$3:$H$1009,""),""),IF(TRIM(_xlpm.srcCat)&lt;&gt;TRIM($J637),"",_xlfn.SWITCH($I637,"Computer",_xlfn.XLOOKUP($K637&amp;"",COMPUTER!$B$3:$B$1009&amp;"",COMPUTER!$K$3:$K$1009,""),"Display",_xlfn.XLOOKUP($K637&amp;"",DISPLAY!$B$3:$B$1000&amp;"",DISPLAY!$L$3:$L$1000,""),"Network Device",_xlfn.XLOOKUP($K637&amp;"",'NETWORK-DEVICES'!$B$3:$B$987&amp;"",'NETWORK-DEVICES'!$K$3:$K$987,""),"Peripheral",_xlfn.XLOOKUP($K637&amp;"",PERIPHERAL!$B$3:$B$954&amp;"",PERIPHERAL!$K$3:$K$954,""),"Utilities",_xlfn.XLOOKUP($K637&amp;"",UTILITIES!$B$3:$B$953&amp;"",UTILITIES!$J$3:$J$953,""),"IOT",_xlfn.XLOOKUP($K637&amp;"",IOT!$B$3:$B$1012&amp;"",IOT!$K$4:$K$1012,""),"Server",_xlfn.XLOOKUP($K637&amp;"",SERVER!$B$3:$B$1009&amp;"",SERVER!$K$3:$K$1009,""),""))))</f>
        <v/>
      </c>
      <c r="O637" s="1" t="str" cm="1">
        <f t="array" ref="O637">IF(OR($K637="",$I637="",$J637=""),"",_xlfn.LET(_xlpm.srcCat,_xlfn.SWITCH($I637,"Computer",_xlfn.XLOOKUP($K637&amp;"",COMPUTER!$B$3:$B$1009&amp;"",COMPUTER!$H$3:$H$1009,""),"Display",_xlfn.XLOOKUP($K637&amp;"",DISPLAY!$B$3:$B$1000&amp;"",DISPLAY!$H$3:$H$1000,""),"Network Device",_xlfn.XLOOKUP($K637&amp;"",'NETWORK-DEVICES'!$B$3:$B$987&amp;"",'NETWORK-DEVICES'!$H$3:$H$987,""),"Peripheral",_xlfn.XLOOKUP($K637&amp;"",PERIPHERAL!$B$3:$B$954&amp;"",PERIPHERAL!$H$3:$H$954,""),"Utilities",_xlfn.XLOOKUP($K637&amp;"",UTILITIES!$B$3:$B$953&amp;"",UTILITIES!$G$3:$G$953,""),"IOT",_xlfn.XLOOKUP($K637&amp;"",IOT!$B$3:$B$1012&amp;"",IOT!$H$3:$H$1012,""),"Server",_xlfn.XLOOKUP($K637&amp;"",SERVER!$B$3:$B$1009&amp;"",SERVER!$H$3:$H$1009,""),""),IF(TRIM(_xlpm.srcCat)&lt;&gt;TRIM($J637),"",_xlfn.SWITCH($I637,"Computer",_xlfn.XLOOKUP($K637&amp;"",COMPUTER!$B$3:$B$1009&amp;"",COMPUTER!$E$3:$E$1009,""),"Display",_xlfn.XLOOKUP($K637&amp;"",DISPLAY!$B$3:$B$1000&amp;"",DISPLAY!$E$3:$E$1000,""),"Network Device",_xlfn.XLOOKUP($K637&amp;"",'NETWORK-DEVICES'!$B$3:$B$987&amp;"",'NETWORK-DEVICES'!$E$3:$E$987,""),"Peripheral",_xlfn.XLOOKUP($K637&amp;"",PERIPHERAL!$B$3:$B$954&amp;"",PERIPHERAL!$E$3:$E$954,""),"Utilities",_xlfn.XLOOKUP($K637&amp;"",UTILITIES!$B$3:$B$953&amp;"",UTILITIES!$E$3:$E$953,""),"IOT",_xlfn.XLOOKUP($K637&amp;"",IOT!$B$3:$B$1012&amp;"",IOT!$E$3:$E$1012,""),"Server",_xlfn.XLOOKUP($K637&amp;"",SERVER!$B$3:$B$1009&amp;"",SERVER!$E$3:$E$1009,""),""))))</f>
        <v/>
      </c>
      <c r="Q637" s="1" t="str" cm="1">
        <f t="array" ref="Q637">IF(OR($K637="",$I637="",$J637=""),"",_xlfn.LET(_xlpm.srcCat,_xlfn.SWITCH($I637,"Computer",_xlfn.XLOOKUP($K637&amp;"",COMPUTER!$B$3:$B$1009&amp;"",COMPUTER!$H$3:$H$1009,""),"Display",_xlfn.XLOOKUP($K637&amp;"",DISPLAY!$B$3:$B$1000&amp;"",DISPLAY!$H$3:$H$1000,""),"Network Device",_xlfn.XLOOKUP($K637&amp;"",'NETWORK-DEVICES'!$B$3:$B$987&amp;"",'NETWORK-DEVICES'!$H$3:$H$987,""),"Peripheral",_xlfn.XLOOKUP($K637&amp;"",PERIPHERAL!$B$3:$B$954&amp;"",PERIPHERAL!$H$3:$H$954,""),"Utilities",_xlfn.XLOOKUP($K637&amp;"",UTILITIES!$B$3:$B$953&amp;"",UTILITIES!$G$3:$G$953,""),"IOT",_xlfn.XLOOKUP($K637&amp;"",IOT!$B$3:$B$1012&amp;"",IOT!$H$3:$H$1012,""),"Server",_xlfn.XLOOKUP($K637&amp;"",SERVER!$B$3:$B$1009&amp;"",SERVER!$H$3:$H$1009,""),""),IF(TRIM(_xlpm.srcCat)&lt;&gt;TRIM($J637),"",_xlfn.SWITCH($I637,"Computer",_xlfn.XLOOKUP($K637&amp;"",COMPUTER!$B$3:$B$1009&amp;"",COMPUTER!$AM$3:$AM$1009,""),"Display",_xlfn.XLOOKUP($K637&amp;"",DISPLAY!$B$3:$B$1000&amp;"",DISPLAY!$V$3:$V$1000,""),"Network Device",_xlfn.XLOOKUP($K637&amp;"",'NETWORK-DEVICES'!$B$3:$B$987&amp;"",'NETWORK-DEVICES'!$AF$3:$AF$987,""),"Peripheral",_xlfn.XLOOKUP($K637&amp;"",PERIPHERAL!$B$3:$B$954&amp;"",PERIPHERAL!$Y$3:$Y$954,""),"Utilities",_xlfn.XLOOKUP($K637&amp;"",UTILITIES!$B$3:$B$953&amp;"",UTILITIES!$O$3:$O$953,""),"IOT",_xlfn.XLOOKUP($K637&amp;"",IOT!$B$3:$B$1012&amp;"",IOT!$AB$3:$AB$1012,""),"Server",_xlfn.XLOOKUP($K637&amp;"",SERVER!$B$3:$B$1009&amp;"",SERVER!$AB$3:$AB$1009,""),""))))</f>
        <v/>
      </c>
      <c r="R637" s="43" t="str">
        <f>IF(tbl_handover[[#This Row],[Asset Code]]="","",COUNTIF(tbl_handover[Asset Code],tbl_handover[[#This Row],[Asset Code]]))</f>
        <v/>
      </c>
    </row>
    <row r="638" spans="1:18" x14ac:dyDescent="0.25">
      <c r="A638" s="43" t="str">
        <f>IF(B638&lt;&gt;"",SUBTOTAL(3,$B$1:B637),"")</f>
        <v/>
      </c>
      <c r="C638" s="74"/>
      <c r="D638" s="74"/>
      <c r="G638" s="1"/>
      <c r="K638" s="42"/>
      <c r="L638" t="str" cm="1">
        <f t="array" ref="L638">IF($K638="","",_xlfn.SWITCH($I638,"Computer",_xlfn.XLOOKUP($K638&amp;"",COMPUTER!$B$3:$B$1009&amp;"",COMPUTER!$I$3:$I$1009,""),"Display",_xlfn.XLOOKUP($K638&amp;"",DISPLAY!$B$3:$B$1000&amp;"",DISPLAY!$J$3:$J$1000,""),"Network Device",_xlfn.XLOOKUP($K638&amp;"",'NETWORK-DEVICES'!$B$3:$B$987&amp;"",'NETWORK-DEVICES'!$I$3:$I$987,""),"Peripheral",_xlfn.XLOOKUP($K638&amp;"",PERIPHERAL!$B$3:$B$954&amp;"",PERIPHERAL!$I$3:$I$954,""),"Utilities",_xlfn.XLOOKUP($K638&amp;"",UTILITIES!$B$3:$B$953&amp;"",UTILITIES!$H$3:$H$953,""),"IOT",_xlfn.XLOOKUP($K638&amp;"",IOT!$B$3:$B$1012&amp;"",IOT!$I$3:$I$1012,""),"SERVER",_xlfn.XLOOKUP($K638&amp;"",SERVER!$B$3:$B$1009&amp;"",SERVER!$I$3:$I$1009,""),""))</f>
        <v/>
      </c>
      <c r="M638" t="str" cm="1">
        <f t="array" ref="M638">IF($K638="","",_xlfn.SWITCH($I638,"Computer",_xlfn.XLOOKUP($K638&amp;"",COMPUTER!$B$3:$B$1009&amp;"",COMPUTER!$J$3:$J$1009,""),"Display",_xlfn.XLOOKUP($K638&amp;"",DISPLAY!$B$3:$B$1000&amp;"",DISPLAY!$K$3:$K$1000,""),"Network Device",_xlfn.XLOOKUP($K638&amp;"",'NETWORK-DEVICES'!$B$3:$B$987&amp;"",'NETWORK-DEVICES'!$I$3:$I$987,""),"Peripheral",_xlfn.XLOOKUP($K638&amp;"",PERIPHERAL!$B$3:$B$954&amp;"",PERIPHERAL!$J$3:$J$954,""),"Utilities",_xlfn.XLOOKUP($K638&amp;"",UTILITIES!$B$3:$B$953&amp;"",UTILITIES!$I$3:$I$953,""),"IOT",_xlfn.XLOOKUP($K638&amp;"",IOT!$B$3:$B$1012&amp;"",IOT!$J$3:$J$1012,""),"Server",_xlfn.XLOOKUP($K638&amp;"",SERVER!$B$3:$B$1009&amp;"",SERVER!$J$3:$J$1009,""),""))</f>
        <v/>
      </c>
      <c r="N638" s="1" t="str" cm="1">
        <f t="array" ref="N638">IF(OR($K638="",$I638="",$J638=""),"",_xlfn.LET(_xlpm.srcCat,_xlfn.SWITCH($I638,"Computer",_xlfn.XLOOKUP($K638&amp;"",COMPUTER!$B$3:$B$1009&amp;"",COMPUTER!$H$3:$H$1009,""),"Display",_xlfn.XLOOKUP($K638&amp;"",DISPLAY!$B$3:$B$1000&amp;"",DISPLAY!$H$3:$H$1000,""),"Network Device",_xlfn.XLOOKUP($K638&amp;"",'NETWORK-DEVICES'!$B$3:$B$987&amp;"",'NETWORK-DEVICES'!$H$3:$H$987,""),"Peripheral",_xlfn.XLOOKUP($K638&amp;"",PERIPHERAL!$B$3:$B$954&amp;"",PERIPHERAL!$H$3:$H$954,""),"Utilities",_xlfn.XLOOKUP($K638&amp;"",UTILITIES!$B$3:$B$953&amp;"",UTILITIES!$G$3:$G$953,""),"IOT",_xlfn.XLOOKUP($K638&amp;"",IOT!$B$3:$B$1012&amp;"",IOT!$H$3:$H$1012,""),"Server",_xlfn.XLOOKUP($K638&amp;"",SERVER!$B$3:$B$1009&amp;"",SERVER!$H$3:$H$1009,""),""),IF(TRIM(_xlpm.srcCat)&lt;&gt;TRIM($J638),"",_xlfn.SWITCH($I638,"Computer",_xlfn.XLOOKUP($K638&amp;"",COMPUTER!$B$3:$B$1009&amp;"",COMPUTER!$K$3:$K$1009,""),"Display",_xlfn.XLOOKUP($K638&amp;"",DISPLAY!$B$3:$B$1000&amp;"",DISPLAY!$L$3:$L$1000,""),"Network Device",_xlfn.XLOOKUP($K638&amp;"",'NETWORK-DEVICES'!$B$3:$B$987&amp;"",'NETWORK-DEVICES'!$K$3:$K$987,""),"Peripheral",_xlfn.XLOOKUP($K638&amp;"",PERIPHERAL!$B$3:$B$954&amp;"",PERIPHERAL!$K$3:$K$954,""),"Utilities",_xlfn.XLOOKUP($K638&amp;"",UTILITIES!$B$3:$B$953&amp;"",UTILITIES!$J$3:$J$953,""),"IOT",_xlfn.XLOOKUP($K638&amp;"",IOT!$B$3:$B$1012&amp;"",IOT!$K$4:$K$1012,""),"Server",_xlfn.XLOOKUP($K638&amp;"",SERVER!$B$3:$B$1009&amp;"",SERVER!$K$3:$K$1009,""),""))))</f>
        <v/>
      </c>
      <c r="O638" s="1" t="str" cm="1">
        <f t="array" ref="O638">IF(OR($K638="",$I638="",$J638=""),"",_xlfn.LET(_xlpm.srcCat,_xlfn.SWITCH($I638,"Computer",_xlfn.XLOOKUP($K638&amp;"",COMPUTER!$B$3:$B$1009&amp;"",COMPUTER!$H$3:$H$1009,""),"Display",_xlfn.XLOOKUP($K638&amp;"",DISPLAY!$B$3:$B$1000&amp;"",DISPLAY!$H$3:$H$1000,""),"Network Device",_xlfn.XLOOKUP($K638&amp;"",'NETWORK-DEVICES'!$B$3:$B$987&amp;"",'NETWORK-DEVICES'!$H$3:$H$987,""),"Peripheral",_xlfn.XLOOKUP($K638&amp;"",PERIPHERAL!$B$3:$B$954&amp;"",PERIPHERAL!$H$3:$H$954,""),"Utilities",_xlfn.XLOOKUP($K638&amp;"",UTILITIES!$B$3:$B$953&amp;"",UTILITIES!$G$3:$G$953,""),"IOT",_xlfn.XLOOKUP($K638&amp;"",IOT!$B$3:$B$1012&amp;"",IOT!$H$3:$H$1012,""),"Server",_xlfn.XLOOKUP($K638&amp;"",SERVER!$B$3:$B$1009&amp;"",SERVER!$H$3:$H$1009,""),""),IF(TRIM(_xlpm.srcCat)&lt;&gt;TRIM($J638),"",_xlfn.SWITCH($I638,"Computer",_xlfn.XLOOKUP($K638&amp;"",COMPUTER!$B$3:$B$1009&amp;"",COMPUTER!$E$3:$E$1009,""),"Display",_xlfn.XLOOKUP($K638&amp;"",DISPLAY!$B$3:$B$1000&amp;"",DISPLAY!$E$3:$E$1000,""),"Network Device",_xlfn.XLOOKUP($K638&amp;"",'NETWORK-DEVICES'!$B$3:$B$987&amp;"",'NETWORK-DEVICES'!$E$3:$E$987,""),"Peripheral",_xlfn.XLOOKUP($K638&amp;"",PERIPHERAL!$B$3:$B$954&amp;"",PERIPHERAL!$E$3:$E$954,""),"Utilities",_xlfn.XLOOKUP($K638&amp;"",UTILITIES!$B$3:$B$953&amp;"",UTILITIES!$E$3:$E$953,""),"IOT",_xlfn.XLOOKUP($K638&amp;"",IOT!$B$3:$B$1012&amp;"",IOT!$E$3:$E$1012,""),"Server",_xlfn.XLOOKUP($K638&amp;"",SERVER!$B$3:$B$1009&amp;"",SERVER!$E$3:$E$1009,""),""))))</f>
        <v/>
      </c>
      <c r="Q638" s="1" t="str" cm="1">
        <f t="array" ref="Q638">IF(OR($K638="",$I638="",$J638=""),"",_xlfn.LET(_xlpm.srcCat,_xlfn.SWITCH($I638,"Computer",_xlfn.XLOOKUP($K638&amp;"",COMPUTER!$B$3:$B$1009&amp;"",COMPUTER!$H$3:$H$1009,""),"Display",_xlfn.XLOOKUP($K638&amp;"",DISPLAY!$B$3:$B$1000&amp;"",DISPLAY!$H$3:$H$1000,""),"Network Device",_xlfn.XLOOKUP($K638&amp;"",'NETWORK-DEVICES'!$B$3:$B$987&amp;"",'NETWORK-DEVICES'!$H$3:$H$987,""),"Peripheral",_xlfn.XLOOKUP($K638&amp;"",PERIPHERAL!$B$3:$B$954&amp;"",PERIPHERAL!$H$3:$H$954,""),"Utilities",_xlfn.XLOOKUP($K638&amp;"",UTILITIES!$B$3:$B$953&amp;"",UTILITIES!$G$3:$G$953,""),"IOT",_xlfn.XLOOKUP($K638&amp;"",IOT!$B$3:$B$1012&amp;"",IOT!$H$3:$H$1012,""),"Server",_xlfn.XLOOKUP($K638&amp;"",SERVER!$B$3:$B$1009&amp;"",SERVER!$H$3:$H$1009,""),""),IF(TRIM(_xlpm.srcCat)&lt;&gt;TRIM($J638),"",_xlfn.SWITCH($I638,"Computer",_xlfn.XLOOKUP($K638&amp;"",COMPUTER!$B$3:$B$1009&amp;"",COMPUTER!$AM$3:$AM$1009,""),"Display",_xlfn.XLOOKUP($K638&amp;"",DISPLAY!$B$3:$B$1000&amp;"",DISPLAY!$V$3:$V$1000,""),"Network Device",_xlfn.XLOOKUP($K638&amp;"",'NETWORK-DEVICES'!$B$3:$B$987&amp;"",'NETWORK-DEVICES'!$AF$3:$AF$987,""),"Peripheral",_xlfn.XLOOKUP($K638&amp;"",PERIPHERAL!$B$3:$B$954&amp;"",PERIPHERAL!$Y$3:$Y$954,""),"Utilities",_xlfn.XLOOKUP($K638&amp;"",UTILITIES!$B$3:$B$953&amp;"",UTILITIES!$O$3:$O$953,""),"IOT",_xlfn.XLOOKUP($K638&amp;"",IOT!$B$3:$B$1012&amp;"",IOT!$AB$3:$AB$1012,""),"Server",_xlfn.XLOOKUP($K638&amp;"",SERVER!$B$3:$B$1009&amp;"",SERVER!$AB$3:$AB$1009,""),""))))</f>
        <v/>
      </c>
      <c r="R638" s="43" t="str">
        <f>IF(tbl_handover[[#This Row],[Asset Code]]="","",COUNTIF(tbl_handover[Asset Code],tbl_handover[[#This Row],[Asset Code]]))</f>
        <v/>
      </c>
    </row>
    <row r="639" spans="1:18" x14ac:dyDescent="0.25">
      <c r="A639" s="43" t="str">
        <f>IF(B639&lt;&gt;"",SUBTOTAL(3,$B$1:B638),"")</f>
        <v/>
      </c>
      <c r="C639" s="74"/>
      <c r="D639" s="74"/>
      <c r="G639" s="1"/>
      <c r="K639" s="42"/>
      <c r="L639" t="str" cm="1">
        <f t="array" ref="L639">IF($K639="","",_xlfn.SWITCH($I639,"Computer",_xlfn.XLOOKUP($K639&amp;"",COMPUTER!$B$3:$B$1009&amp;"",COMPUTER!$I$3:$I$1009,""),"Display",_xlfn.XLOOKUP($K639&amp;"",DISPLAY!$B$3:$B$1000&amp;"",DISPLAY!$J$3:$J$1000,""),"Network Device",_xlfn.XLOOKUP($K639&amp;"",'NETWORK-DEVICES'!$B$3:$B$987&amp;"",'NETWORK-DEVICES'!$I$3:$I$987,""),"Peripheral",_xlfn.XLOOKUP($K639&amp;"",PERIPHERAL!$B$3:$B$954&amp;"",PERIPHERAL!$I$3:$I$954,""),"Utilities",_xlfn.XLOOKUP($K639&amp;"",UTILITIES!$B$3:$B$953&amp;"",UTILITIES!$H$3:$H$953,""),"IOT",_xlfn.XLOOKUP($K639&amp;"",IOT!$B$3:$B$1012&amp;"",IOT!$I$3:$I$1012,""),"SERVER",_xlfn.XLOOKUP($K639&amp;"",SERVER!$B$3:$B$1009&amp;"",SERVER!$I$3:$I$1009,""),""))</f>
        <v/>
      </c>
      <c r="M639" t="str" cm="1">
        <f t="array" ref="M639">IF($K639="","",_xlfn.SWITCH($I639,"Computer",_xlfn.XLOOKUP($K639&amp;"",COMPUTER!$B$3:$B$1009&amp;"",COMPUTER!$J$3:$J$1009,""),"Display",_xlfn.XLOOKUP($K639&amp;"",DISPLAY!$B$3:$B$1000&amp;"",DISPLAY!$K$3:$K$1000,""),"Network Device",_xlfn.XLOOKUP($K639&amp;"",'NETWORK-DEVICES'!$B$3:$B$987&amp;"",'NETWORK-DEVICES'!$I$3:$I$987,""),"Peripheral",_xlfn.XLOOKUP($K639&amp;"",PERIPHERAL!$B$3:$B$954&amp;"",PERIPHERAL!$J$3:$J$954,""),"Utilities",_xlfn.XLOOKUP($K639&amp;"",UTILITIES!$B$3:$B$953&amp;"",UTILITIES!$I$3:$I$953,""),"IOT",_xlfn.XLOOKUP($K639&amp;"",IOT!$B$3:$B$1012&amp;"",IOT!$J$3:$J$1012,""),"Server",_xlfn.XLOOKUP($K639&amp;"",SERVER!$B$3:$B$1009&amp;"",SERVER!$J$3:$J$1009,""),""))</f>
        <v/>
      </c>
      <c r="N639" s="1" t="str" cm="1">
        <f t="array" ref="N639">IF(OR($K639="",$I639="",$J639=""),"",_xlfn.LET(_xlpm.srcCat,_xlfn.SWITCH($I639,"Computer",_xlfn.XLOOKUP($K639&amp;"",COMPUTER!$B$3:$B$1009&amp;"",COMPUTER!$H$3:$H$1009,""),"Display",_xlfn.XLOOKUP($K639&amp;"",DISPLAY!$B$3:$B$1000&amp;"",DISPLAY!$H$3:$H$1000,""),"Network Device",_xlfn.XLOOKUP($K639&amp;"",'NETWORK-DEVICES'!$B$3:$B$987&amp;"",'NETWORK-DEVICES'!$H$3:$H$987,""),"Peripheral",_xlfn.XLOOKUP($K639&amp;"",PERIPHERAL!$B$3:$B$954&amp;"",PERIPHERAL!$H$3:$H$954,""),"Utilities",_xlfn.XLOOKUP($K639&amp;"",UTILITIES!$B$3:$B$953&amp;"",UTILITIES!$G$3:$G$953,""),"IOT",_xlfn.XLOOKUP($K639&amp;"",IOT!$B$3:$B$1012&amp;"",IOT!$H$3:$H$1012,""),"Server",_xlfn.XLOOKUP($K639&amp;"",SERVER!$B$3:$B$1009&amp;"",SERVER!$H$3:$H$1009,""),""),IF(TRIM(_xlpm.srcCat)&lt;&gt;TRIM($J639),"",_xlfn.SWITCH($I639,"Computer",_xlfn.XLOOKUP($K639&amp;"",COMPUTER!$B$3:$B$1009&amp;"",COMPUTER!$K$3:$K$1009,""),"Display",_xlfn.XLOOKUP($K639&amp;"",DISPLAY!$B$3:$B$1000&amp;"",DISPLAY!$L$3:$L$1000,""),"Network Device",_xlfn.XLOOKUP($K639&amp;"",'NETWORK-DEVICES'!$B$3:$B$987&amp;"",'NETWORK-DEVICES'!$K$3:$K$987,""),"Peripheral",_xlfn.XLOOKUP($K639&amp;"",PERIPHERAL!$B$3:$B$954&amp;"",PERIPHERAL!$K$3:$K$954,""),"Utilities",_xlfn.XLOOKUP($K639&amp;"",UTILITIES!$B$3:$B$953&amp;"",UTILITIES!$J$3:$J$953,""),"IOT",_xlfn.XLOOKUP($K639&amp;"",IOT!$B$3:$B$1012&amp;"",IOT!$K$4:$K$1012,""),"Server",_xlfn.XLOOKUP($K639&amp;"",SERVER!$B$3:$B$1009&amp;"",SERVER!$K$3:$K$1009,""),""))))</f>
        <v/>
      </c>
      <c r="O639" s="1" t="str" cm="1">
        <f t="array" ref="O639">IF(OR($K639="",$I639="",$J639=""),"",_xlfn.LET(_xlpm.srcCat,_xlfn.SWITCH($I639,"Computer",_xlfn.XLOOKUP($K639&amp;"",COMPUTER!$B$3:$B$1009&amp;"",COMPUTER!$H$3:$H$1009,""),"Display",_xlfn.XLOOKUP($K639&amp;"",DISPLAY!$B$3:$B$1000&amp;"",DISPLAY!$H$3:$H$1000,""),"Network Device",_xlfn.XLOOKUP($K639&amp;"",'NETWORK-DEVICES'!$B$3:$B$987&amp;"",'NETWORK-DEVICES'!$H$3:$H$987,""),"Peripheral",_xlfn.XLOOKUP($K639&amp;"",PERIPHERAL!$B$3:$B$954&amp;"",PERIPHERAL!$H$3:$H$954,""),"Utilities",_xlfn.XLOOKUP($K639&amp;"",UTILITIES!$B$3:$B$953&amp;"",UTILITIES!$G$3:$G$953,""),"IOT",_xlfn.XLOOKUP($K639&amp;"",IOT!$B$3:$B$1012&amp;"",IOT!$H$3:$H$1012,""),"Server",_xlfn.XLOOKUP($K639&amp;"",SERVER!$B$3:$B$1009&amp;"",SERVER!$H$3:$H$1009,""),""),IF(TRIM(_xlpm.srcCat)&lt;&gt;TRIM($J639),"",_xlfn.SWITCH($I639,"Computer",_xlfn.XLOOKUP($K639&amp;"",COMPUTER!$B$3:$B$1009&amp;"",COMPUTER!$E$3:$E$1009,""),"Display",_xlfn.XLOOKUP($K639&amp;"",DISPLAY!$B$3:$B$1000&amp;"",DISPLAY!$E$3:$E$1000,""),"Network Device",_xlfn.XLOOKUP($K639&amp;"",'NETWORK-DEVICES'!$B$3:$B$987&amp;"",'NETWORK-DEVICES'!$E$3:$E$987,""),"Peripheral",_xlfn.XLOOKUP($K639&amp;"",PERIPHERAL!$B$3:$B$954&amp;"",PERIPHERAL!$E$3:$E$954,""),"Utilities",_xlfn.XLOOKUP($K639&amp;"",UTILITIES!$B$3:$B$953&amp;"",UTILITIES!$E$3:$E$953,""),"IOT",_xlfn.XLOOKUP($K639&amp;"",IOT!$B$3:$B$1012&amp;"",IOT!$E$3:$E$1012,""),"Server",_xlfn.XLOOKUP($K639&amp;"",SERVER!$B$3:$B$1009&amp;"",SERVER!$E$3:$E$1009,""),""))))</f>
        <v/>
      </c>
      <c r="Q639" s="1" t="str" cm="1">
        <f t="array" ref="Q639">IF(OR($K639="",$I639="",$J639=""),"",_xlfn.LET(_xlpm.srcCat,_xlfn.SWITCH($I639,"Computer",_xlfn.XLOOKUP($K639&amp;"",COMPUTER!$B$3:$B$1009&amp;"",COMPUTER!$H$3:$H$1009,""),"Display",_xlfn.XLOOKUP($K639&amp;"",DISPLAY!$B$3:$B$1000&amp;"",DISPLAY!$H$3:$H$1000,""),"Network Device",_xlfn.XLOOKUP($K639&amp;"",'NETWORK-DEVICES'!$B$3:$B$987&amp;"",'NETWORK-DEVICES'!$H$3:$H$987,""),"Peripheral",_xlfn.XLOOKUP($K639&amp;"",PERIPHERAL!$B$3:$B$954&amp;"",PERIPHERAL!$H$3:$H$954,""),"Utilities",_xlfn.XLOOKUP($K639&amp;"",UTILITIES!$B$3:$B$953&amp;"",UTILITIES!$G$3:$G$953,""),"IOT",_xlfn.XLOOKUP($K639&amp;"",IOT!$B$3:$B$1012&amp;"",IOT!$H$3:$H$1012,""),"Server",_xlfn.XLOOKUP($K639&amp;"",SERVER!$B$3:$B$1009&amp;"",SERVER!$H$3:$H$1009,""),""),IF(TRIM(_xlpm.srcCat)&lt;&gt;TRIM($J639),"",_xlfn.SWITCH($I639,"Computer",_xlfn.XLOOKUP($K639&amp;"",COMPUTER!$B$3:$B$1009&amp;"",COMPUTER!$AM$3:$AM$1009,""),"Display",_xlfn.XLOOKUP($K639&amp;"",DISPLAY!$B$3:$B$1000&amp;"",DISPLAY!$V$3:$V$1000,""),"Network Device",_xlfn.XLOOKUP($K639&amp;"",'NETWORK-DEVICES'!$B$3:$B$987&amp;"",'NETWORK-DEVICES'!$AF$3:$AF$987,""),"Peripheral",_xlfn.XLOOKUP($K639&amp;"",PERIPHERAL!$B$3:$B$954&amp;"",PERIPHERAL!$Y$3:$Y$954,""),"Utilities",_xlfn.XLOOKUP($K639&amp;"",UTILITIES!$B$3:$B$953&amp;"",UTILITIES!$O$3:$O$953,""),"IOT",_xlfn.XLOOKUP($K639&amp;"",IOT!$B$3:$B$1012&amp;"",IOT!$AB$3:$AB$1012,""),"Server",_xlfn.XLOOKUP($K639&amp;"",SERVER!$B$3:$B$1009&amp;"",SERVER!$AB$3:$AB$1009,""),""))))</f>
        <v/>
      </c>
      <c r="R639" s="43" t="str">
        <f>IF(tbl_handover[[#This Row],[Asset Code]]="","",COUNTIF(tbl_handover[Asset Code],tbl_handover[[#This Row],[Asset Code]]))</f>
        <v/>
      </c>
    </row>
    <row r="640" spans="1:18" x14ac:dyDescent="0.25">
      <c r="A640" s="43" t="str">
        <f>IF(B640&lt;&gt;"",SUBTOTAL(3,$B$1:B639),"")</f>
        <v/>
      </c>
      <c r="C640" s="74"/>
      <c r="D640" s="74"/>
      <c r="G640" s="1"/>
      <c r="K640" s="42"/>
      <c r="L640" t="str" cm="1">
        <f t="array" ref="L640">IF($K640="","",_xlfn.SWITCH($I640,"Computer",_xlfn.XLOOKUP($K640&amp;"",COMPUTER!$B$3:$B$1009&amp;"",COMPUTER!$I$3:$I$1009,""),"Display",_xlfn.XLOOKUP($K640&amp;"",DISPLAY!$B$3:$B$1000&amp;"",DISPLAY!$J$3:$J$1000,""),"Network Device",_xlfn.XLOOKUP($K640&amp;"",'NETWORK-DEVICES'!$B$3:$B$987&amp;"",'NETWORK-DEVICES'!$I$3:$I$987,""),"Peripheral",_xlfn.XLOOKUP($K640&amp;"",PERIPHERAL!$B$3:$B$954&amp;"",PERIPHERAL!$I$3:$I$954,""),"Utilities",_xlfn.XLOOKUP($K640&amp;"",UTILITIES!$B$3:$B$953&amp;"",UTILITIES!$H$3:$H$953,""),"IOT",_xlfn.XLOOKUP($K640&amp;"",IOT!$B$3:$B$1012&amp;"",IOT!$I$3:$I$1012,""),"SERVER",_xlfn.XLOOKUP($K640&amp;"",SERVER!$B$3:$B$1009&amp;"",SERVER!$I$3:$I$1009,""),""))</f>
        <v/>
      </c>
      <c r="M640" t="str" cm="1">
        <f t="array" ref="M640">IF($K640="","",_xlfn.SWITCH($I640,"Computer",_xlfn.XLOOKUP($K640&amp;"",COMPUTER!$B$3:$B$1009&amp;"",COMPUTER!$J$3:$J$1009,""),"Display",_xlfn.XLOOKUP($K640&amp;"",DISPLAY!$B$3:$B$1000&amp;"",DISPLAY!$K$3:$K$1000,""),"Network Device",_xlfn.XLOOKUP($K640&amp;"",'NETWORK-DEVICES'!$B$3:$B$987&amp;"",'NETWORK-DEVICES'!$I$3:$I$987,""),"Peripheral",_xlfn.XLOOKUP($K640&amp;"",PERIPHERAL!$B$3:$B$954&amp;"",PERIPHERAL!$J$3:$J$954,""),"Utilities",_xlfn.XLOOKUP($K640&amp;"",UTILITIES!$B$3:$B$953&amp;"",UTILITIES!$I$3:$I$953,""),"IOT",_xlfn.XLOOKUP($K640&amp;"",IOT!$B$3:$B$1012&amp;"",IOT!$J$3:$J$1012,""),"Server",_xlfn.XLOOKUP($K640&amp;"",SERVER!$B$3:$B$1009&amp;"",SERVER!$J$3:$J$1009,""),""))</f>
        <v/>
      </c>
      <c r="N640" s="1" t="str" cm="1">
        <f t="array" ref="N640">IF(OR($K640="",$I640="",$J640=""),"",_xlfn.LET(_xlpm.srcCat,_xlfn.SWITCH($I640,"Computer",_xlfn.XLOOKUP($K640&amp;"",COMPUTER!$B$3:$B$1009&amp;"",COMPUTER!$H$3:$H$1009,""),"Display",_xlfn.XLOOKUP($K640&amp;"",DISPLAY!$B$3:$B$1000&amp;"",DISPLAY!$H$3:$H$1000,""),"Network Device",_xlfn.XLOOKUP($K640&amp;"",'NETWORK-DEVICES'!$B$3:$B$987&amp;"",'NETWORK-DEVICES'!$H$3:$H$987,""),"Peripheral",_xlfn.XLOOKUP($K640&amp;"",PERIPHERAL!$B$3:$B$954&amp;"",PERIPHERAL!$H$3:$H$954,""),"Utilities",_xlfn.XLOOKUP($K640&amp;"",UTILITIES!$B$3:$B$953&amp;"",UTILITIES!$G$3:$G$953,""),"IOT",_xlfn.XLOOKUP($K640&amp;"",IOT!$B$3:$B$1012&amp;"",IOT!$H$3:$H$1012,""),"Server",_xlfn.XLOOKUP($K640&amp;"",SERVER!$B$3:$B$1009&amp;"",SERVER!$H$3:$H$1009,""),""),IF(TRIM(_xlpm.srcCat)&lt;&gt;TRIM($J640),"",_xlfn.SWITCH($I640,"Computer",_xlfn.XLOOKUP($K640&amp;"",COMPUTER!$B$3:$B$1009&amp;"",COMPUTER!$K$3:$K$1009,""),"Display",_xlfn.XLOOKUP($K640&amp;"",DISPLAY!$B$3:$B$1000&amp;"",DISPLAY!$L$3:$L$1000,""),"Network Device",_xlfn.XLOOKUP($K640&amp;"",'NETWORK-DEVICES'!$B$3:$B$987&amp;"",'NETWORK-DEVICES'!$K$3:$K$987,""),"Peripheral",_xlfn.XLOOKUP($K640&amp;"",PERIPHERAL!$B$3:$B$954&amp;"",PERIPHERAL!$K$3:$K$954,""),"Utilities",_xlfn.XLOOKUP($K640&amp;"",UTILITIES!$B$3:$B$953&amp;"",UTILITIES!$J$3:$J$953,""),"IOT",_xlfn.XLOOKUP($K640&amp;"",IOT!$B$3:$B$1012&amp;"",IOT!$K$4:$K$1012,""),"Server",_xlfn.XLOOKUP($K640&amp;"",SERVER!$B$3:$B$1009&amp;"",SERVER!$K$3:$K$1009,""),""))))</f>
        <v/>
      </c>
      <c r="O640" s="1" t="str" cm="1">
        <f t="array" ref="O640">IF(OR($K640="",$I640="",$J640=""),"",_xlfn.LET(_xlpm.srcCat,_xlfn.SWITCH($I640,"Computer",_xlfn.XLOOKUP($K640&amp;"",COMPUTER!$B$3:$B$1009&amp;"",COMPUTER!$H$3:$H$1009,""),"Display",_xlfn.XLOOKUP($K640&amp;"",DISPLAY!$B$3:$B$1000&amp;"",DISPLAY!$H$3:$H$1000,""),"Network Device",_xlfn.XLOOKUP($K640&amp;"",'NETWORK-DEVICES'!$B$3:$B$987&amp;"",'NETWORK-DEVICES'!$H$3:$H$987,""),"Peripheral",_xlfn.XLOOKUP($K640&amp;"",PERIPHERAL!$B$3:$B$954&amp;"",PERIPHERAL!$H$3:$H$954,""),"Utilities",_xlfn.XLOOKUP($K640&amp;"",UTILITIES!$B$3:$B$953&amp;"",UTILITIES!$G$3:$G$953,""),"IOT",_xlfn.XLOOKUP($K640&amp;"",IOT!$B$3:$B$1012&amp;"",IOT!$H$3:$H$1012,""),"Server",_xlfn.XLOOKUP($K640&amp;"",SERVER!$B$3:$B$1009&amp;"",SERVER!$H$3:$H$1009,""),""),IF(TRIM(_xlpm.srcCat)&lt;&gt;TRIM($J640),"",_xlfn.SWITCH($I640,"Computer",_xlfn.XLOOKUP($K640&amp;"",COMPUTER!$B$3:$B$1009&amp;"",COMPUTER!$E$3:$E$1009,""),"Display",_xlfn.XLOOKUP($K640&amp;"",DISPLAY!$B$3:$B$1000&amp;"",DISPLAY!$E$3:$E$1000,""),"Network Device",_xlfn.XLOOKUP($K640&amp;"",'NETWORK-DEVICES'!$B$3:$B$987&amp;"",'NETWORK-DEVICES'!$E$3:$E$987,""),"Peripheral",_xlfn.XLOOKUP($K640&amp;"",PERIPHERAL!$B$3:$B$954&amp;"",PERIPHERAL!$E$3:$E$954,""),"Utilities",_xlfn.XLOOKUP($K640&amp;"",UTILITIES!$B$3:$B$953&amp;"",UTILITIES!$E$3:$E$953,""),"IOT",_xlfn.XLOOKUP($K640&amp;"",IOT!$B$3:$B$1012&amp;"",IOT!$E$3:$E$1012,""),"Server",_xlfn.XLOOKUP($K640&amp;"",SERVER!$B$3:$B$1009&amp;"",SERVER!$E$3:$E$1009,""),""))))</f>
        <v/>
      </c>
      <c r="Q640" s="1" t="str" cm="1">
        <f t="array" ref="Q640">IF(OR($K640="",$I640="",$J640=""),"",_xlfn.LET(_xlpm.srcCat,_xlfn.SWITCH($I640,"Computer",_xlfn.XLOOKUP($K640&amp;"",COMPUTER!$B$3:$B$1009&amp;"",COMPUTER!$H$3:$H$1009,""),"Display",_xlfn.XLOOKUP($K640&amp;"",DISPLAY!$B$3:$B$1000&amp;"",DISPLAY!$H$3:$H$1000,""),"Network Device",_xlfn.XLOOKUP($K640&amp;"",'NETWORK-DEVICES'!$B$3:$B$987&amp;"",'NETWORK-DEVICES'!$H$3:$H$987,""),"Peripheral",_xlfn.XLOOKUP($K640&amp;"",PERIPHERAL!$B$3:$B$954&amp;"",PERIPHERAL!$H$3:$H$954,""),"Utilities",_xlfn.XLOOKUP($K640&amp;"",UTILITIES!$B$3:$B$953&amp;"",UTILITIES!$G$3:$G$953,""),"IOT",_xlfn.XLOOKUP($K640&amp;"",IOT!$B$3:$B$1012&amp;"",IOT!$H$3:$H$1012,""),"Server",_xlfn.XLOOKUP($K640&amp;"",SERVER!$B$3:$B$1009&amp;"",SERVER!$H$3:$H$1009,""),""),IF(TRIM(_xlpm.srcCat)&lt;&gt;TRIM($J640),"",_xlfn.SWITCH($I640,"Computer",_xlfn.XLOOKUP($K640&amp;"",COMPUTER!$B$3:$B$1009&amp;"",COMPUTER!$AM$3:$AM$1009,""),"Display",_xlfn.XLOOKUP($K640&amp;"",DISPLAY!$B$3:$B$1000&amp;"",DISPLAY!$V$3:$V$1000,""),"Network Device",_xlfn.XLOOKUP($K640&amp;"",'NETWORK-DEVICES'!$B$3:$B$987&amp;"",'NETWORK-DEVICES'!$AF$3:$AF$987,""),"Peripheral",_xlfn.XLOOKUP($K640&amp;"",PERIPHERAL!$B$3:$B$954&amp;"",PERIPHERAL!$Y$3:$Y$954,""),"Utilities",_xlfn.XLOOKUP($K640&amp;"",UTILITIES!$B$3:$B$953&amp;"",UTILITIES!$O$3:$O$953,""),"IOT",_xlfn.XLOOKUP($K640&amp;"",IOT!$B$3:$B$1012&amp;"",IOT!$AB$3:$AB$1012,""),"Server",_xlfn.XLOOKUP($K640&amp;"",SERVER!$B$3:$B$1009&amp;"",SERVER!$AB$3:$AB$1009,""),""))))</f>
        <v/>
      </c>
      <c r="R640" s="43" t="str">
        <f>IF(tbl_handover[[#This Row],[Asset Code]]="","",COUNTIF(tbl_handover[Asset Code],tbl_handover[[#This Row],[Asset Code]]))</f>
        <v/>
      </c>
    </row>
    <row r="641" spans="1:18" x14ac:dyDescent="0.25">
      <c r="A641" s="43" t="str">
        <f>IF(B641&lt;&gt;"",SUBTOTAL(3,$B$1:B640),"")</f>
        <v/>
      </c>
      <c r="C641" s="74"/>
      <c r="D641" s="74"/>
      <c r="G641" s="1"/>
      <c r="K641" s="42"/>
      <c r="L641" t="str" cm="1">
        <f t="array" ref="L641">IF($K641="","",_xlfn.SWITCH($I641,"Computer",_xlfn.XLOOKUP($K641&amp;"",COMPUTER!$B$3:$B$1009&amp;"",COMPUTER!$I$3:$I$1009,""),"Display",_xlfn.XLOOKUP($K641&amp;"",DISPLAY!$B$3:$B$1000&amp;"",DISPLAY!$J$3:$J$1000,""),"Network Device",_xlfn.XLOOKUP($K641&amp;"",'NETWORK-DEVICES'!$B$3:$B$987&amp;"",'NETWORK-DEVICES'!$I$3:$I$987,""),"Peripheral",_xlfn.XLOOKUP($K641&amp;"",PERIPHERAL!$B$3:$B$954&amp;"",PERIPHERAL!$I$3:$I$954,""),"Utilities",_xlfn.XLOOKUP($K641&amp;"",UTILITIES!$B$3:$B$953&amp;"",UTILITIES!$H$3:$H$953,""),"IOT",_xlfn.XLOOKUP($K641&amp;"",IOT!$B$3:$B$1012&amp;"",IOT!$I$3:$I$1012,""),"SERVER",_xlfn.XLOOKUP($K641&amp;"",SERVER!$B$3:$B$1009&amp;"",SERVER!$I$3:$I$1009,""),""))</f>
        <v/>
      </c>
      <c r="M641" t="str" cm="1">
        <f t="array" ref="M641">IF($K641="","",_xlfn.SWITCH($I641,"Computer",_xlfn.XLOOKUP($K641&amp;"",COMPUTER!$B$3:$B$1009&amp;"",COMPUTER!$J$3:$J$1009,""),"Display",_xlfn.XLOOKUP($K641&amp;"",DISPLAY!$B$3:$B$1000&amp;"",DISPLAY!$K$3:$K$1000,""),"Network Device",_xlfn.XLOOKUP($K641&amp;"",'NETWORK-DEVICES'!$B$3:$B$987&amp;"",'NETWORK-DEVICES'!$I$3:$I$987,""),"Peripheral",_xlfn.XLOOKUP($K641&amp;"",PERIPHERAL!$B$3:$B$954&amp;"",PERIPHERAL!$J$3:$J$954,""),"Utilities",_xlfn.XLOOKUP($K641&amp;"",UTILITIES!$B$3:$B$953&amp;"",UTILITIES!$I$3:$I$953,""),"IOT",_xlfn.XLOOKUP($K641&amp;"",IOT!$B$3:$B$1012&amp;"",IOT!$J$3:$J$1012,""),"Server",_xlfn.XLOOKUP($K641&amp;"",SERVER!$B$3:$B$1009&amp;"",SERVER!$J$3:$J$1009,""),""))</f>
        <v/>
      </c>
      <c r="N641" s="1" t="str" cm="1">
        <f t="array" ref="N641">IF(OR($K641="",$I641="",$J641=""),"",_xlfn.LET(_xlpm.srcCat,_xlfn.SWITCH($I641,"Computer",_xlfn.XLOOKUP($K641&amp;"",COMPUTER!$B$3:$B$1009&amp;"",COMPUTER!$H$3:$H$1009,""),"Display",_xlfn.XLOOKUP($K641&amp;"",DISPLAY!$B$3:$B$1000&amp;"",DISPLAY!$H$3:$H$1000,""),"Network Device",_xlfn.XLOOKUP($K641&amp;"",'NETWORK-DEVICES'!$B$3:$B$987&amp;"",'NETWORK-DEVICES'!$H$3:$H$987,""),"Peripheral",_xlfn.XLOOKUP($K641&amp;"",PERIPHERAL!$B$3:$B$954&amp;"",PERIPHERAL!$H$3:$H$954,""),"Utilities",_xlfn.XLOOKUP($K641&amp;"",UTILITIES!$B$3:$B$953&amp;"",UTILITIES!$G$3:$G$953,""),"IOT",_xlfn.XLOOKUP($K641&amp;"",IOT!$B$3:$B$1012&amp;"",IOT!$H$3:$H$1012,""),"Server",_xlfn.XLOOKUP($K641&amp;"",SERVER!$B$3:$B$1009&amp;"",SERVER!$H$3:$H$1009,""),""),IF(TRIM(_xlpm.srcCat)&lt;&gt;TRIM($J641),"",_xlfn.SWITCH($I641,"Computer",_xlfn.XLOOKUP($K641&amp;"",COMPUTER!$B$3:$B$1009&amp;"",COMPUTER!$K$3:$K$1009,""),"Display",_xlfn.XLOOKUP($K641&amp;"",DISPLAY!$B$3:$B$1000&amp;"",DISPLAY!$L$3:$L$1000,""),"Network Device",_xlfn.XLOOKUP($K641&amp;"",'NETWORK-DEVICES'!$B$3:$B$987&amp;"",'NETWORK-DEVICES'!$K$3:$K$987,""),"Peripheral",_xlfn.XLOOKUP($K641&amp;"",PERIPHERAL!$B$3:$B$954&amp;"",PERIPHERAL!$K$3:$K$954,""),"Utilities",_xlfn.XLOOKUP($K641&amp;"",UTILITIES!$B$3:$B$953&amp;"",UTILITIES!$J$3:$J$953,""),"IOT",_xlfn.XLOOKUP($K641&amp;"",IOT!$B$3:$B$1012&amp;"",IOT!$K$4:$K$1012,""),"Server",_xlfn.XLOOKUP($K641&amp;"",SERVER!$B$3:$B$1009&amp;"",SERVER!$K$3:$K$1009,""),""))))</f>
        <v/>
      </c>
      <c r="O641" s="1" t="str" cm="1">
        <f t="array" ref="O641">IF(OR($K641="",$I641="",$J641=""),"",_xlfn.LET(_xlpm.srcCat,_xlfn.SWITCH($I641,"Computer",_xlfn.XLOOKUP($K641&amp;"",COMPUTER!$B$3:$B$1009&amp;"",COMPUTER!$H$3:$H$1009,""),"Display",_xlfn.XLOOKUP($K641&amp;"",DISPLAY!$B$3:$B$1000&amp;"",DISPLAY!$H$3:$H$1000,""),"Network Device",_xlfn.XLOOKUP($K641&amp;"",'NETWORK-DEVICES'!$B$3:$B$987&amp;"",'NETWORK-DEVICES'!$H$3:$H$987,""),"Peripheral",_xlfn.XLOOKUP($K641&amp;"",PERIPHERAL!$B$3:$B$954&amp;"",PERIPHERAL!$H$3:$H$954,""),"Utilities",_xlfn.XLOOKUP($K641&amp;"",UTILITIES!$B$3:$B$953&amp;"",UTILITIES!$G$3:$G$953,""),"IOT",_xlfn.XLOOKUP($K641&amp;"",IOT!$B$3:$B$1012&amp;"",IOT!$H$3:$H$1012,""),"Server",_xlfn.XLOOKUP($K641&amp;"",SERVER!$B$3:$B$1009&amp;"",SERVER!$H$3:$H$1009,""),""),IF(TRIM(_xlpm.srcCat)&lt;&gt;TRIM($J641),"",_xlfn.SWITCH($I641,"Computer",_xlfn.XLOOKUP($K641&amp;"",COMPUTER!$B$3:$B$1009&amp;"",COMPUTER!$E$3:$E$1009,""),"Display",_xlfn.XLOOKUP($K641&amp;"",DISPLAY!$B$3:$B$1000&amp;"",DISPLAY!$E$3:$E$1000,""),"Network Device",_xlfn.XLOOKUP($K641&amp;"",'NETWORK-DEVICES'!$B$3:$B$987&amp;"",'NETWORK-DEVICES'!$E$3:$E$987,""),"Peripheral",_xlfn.XLOOKUP($K641&amp;"",PERIPHERAL!$B$3:$B$954&amp;"",PERIPHERAL!$E$3:$E$954,""),"Utilities",_xlfn.XLOOKUP($K641&amp;"",UTILITIES!$B$3:$B$953&amp;"",UTILITIES!$E$3:$E$953,""),"IOT",_xlfn.XLOOKUP($K641&amp;"",IOT!$B$3:$B$1012&amp;"",IOT!$E$3:$E$1012,""),"Server",_xlfn.XLOOKUP($K641&amp;"",SERVER!$B$3:$B$1009&amp;"",SERVER!$E$3:$E$1009,""),""))))</f>
        <v/>
      </c>
      <c r="Q641" s="1" t="str" cm="1">
        <f t="array" ref="Q641">IF(OR($K641="",$I641="",$J641=""),"",_xlfn.LET(_xlpm.srcCat,_xlfn.SWITCH($I641,"Computer",_xlfn.XLOOKUP($K641&amp;"",COMPUTER!$B$3:$B$1009&amp;"",COMPUTER!$H$3:$H$1009,""),"Display",_xlfn.XLOOKUP($K641&amp;"",DISPLAY!$B$3:$B$1000&amp;"",DISPLAY!$H$3:$H$1000,""),"Network Device",_xlfn.XLOOKUP($K641&amp;"",'NETWORK-DEVICES'!$B$3:$B$987&amp;"",'NETWORK-DEVICES'!$H$3:$H$987,""),"Peripheral",_xlfn.XLOOKUP($K641&amp;"",PERIPHERAL!$B$3:$B$954&amp;"",PERIPHERAL!$H$3:$H$954,""),"Utilities",_xlfn.XLOOKUP($K641&amp;"",UTILITIES!$B$3:$B$953&amp;"",UTILITIES!$G$3:$G$953,""),"IOT",_xlfn.XLOOKUP($K641&amp;"",IOT!$B$3:$B$1012&amp;"",IOT!$H$3:$H$1012,""),"Server",_xlfn.XLOOKUP($K641&amp;"",SERVER!$B$3:$B$1009&amp;"",SERVER!$H$3:$H$1009,""),""),IF(TRIM(_xlpm.srcCat)&lt;&gt;TRIM($J641),"",_xlfn.SWITCH($I641,"Computer",_xlfn.XLOOKUP($K641&amp;"",COMPUTER!$B$3:$B$1009&amp;"",COMPUTER!$AM$3:$AM$1009,""),"Display",_xlfn.XLOOKUP($K641&amp;"",DISPLAY!$B$3:$B$1000&amp;"",DISPLAY!$V$3:$V$1000,""),"Network Device",_xlfn.XLOOKUP($K641&amp;"",'NETWORK-DEVICES'!$B$3:$B$987&amp;"",'NETWORK-DEVICES'!$AF$3:$AF$987,""),"Peripheral",_xlfn.XLOOKUP($K641&amp;"",PERIPHERAL!$B$3:$B$954&amp;"",PERIPHERAL!$Y$3:$Y$954,""),"Utilities",_xlfn.XLOOKUP($K641&amp;"",UTILITIES!$B$3:$B$953&amp;"",UTILITIES!$O$3:$O$953,""),"IOT",_xlfn.XLOOKUP($K641&amp;"",IOT!$B$3:$B$1012&amp;"",IOT!$AB$3:$AB$1012,""),"Server",_xlfn.XLOOKUP($K641&amp;"",SERVER!$B$3:$B$1009&amp;"",SERVER!$AB$3:$AB$1009,""),""))))</f>
        <v/>
      </c>
      <c r="R641" s="43" t="str">
        <f>IF(tbl_handover[[#This Row],[Asset Code]]="","",COUNTIF(tbl_handover[Asset Code],tbl_handover[[#This Row],[Asset Code]]))</f>
        <v/>
      </c>
    </row>
    <row r="642" spans="1:18" x14ac:dyDescent="0.25">
      <c r="A642" s="43" t="str">
        <f>IF(B642&lt;&gt;"",SUBTOTAL(3,$B$1:B641),"")</f>
        <v/>
      </c>
      <c r="C642" s="74"/>
      <c r="D642" s="74"/>
      <c r="G642" s="1"/>
      <c r="K642" s="42"/>
      <c r="L642" t="str" cm="1">
        <f t="array" ref="L642">IF($K642="","",_xlfn.SWITCH($I642,"Computer",_xlfn.XLOOKUP($K642&amp;"",COMPUTER!$B$3:$B$1009&amp;"",COMPUTER!$I$3:$I$1009,""),"Display",_xlfn.XLOOKUP($K642&amp;"",DISPLAY!$B$3:$B$1000&amp;"",DISPLAY!$J$3:$J$1000,""),"Network Device",_xlfn.XLOOKUP($K642&amp;"",'NETWORK-DEVICES'!$B$3:$B$987&amp;"",'NETWORK-DEVICES'!$I$3:$I$987,""),"Peripheral",_xlfn.XLOOKUP($K642&amp;"",PERIPHERAL!$B$3:$B$954&amp;"",PERIPHERAL!$I$3:$I$954,""),"Utilities",_xlfn.XLOOKUP($K642&amp;"",UTILITIES!$B$3:$B$953&amp;"",UTILITIES!$H$3:$H$953,""),"IOT",_xlfn.XLOOKUP($K642&amp;"",IOT!$B$3:$B$1012&amp;"",IOT!$I$3:$I$1012,""),"SERVER",_xlfn.XLOOKUP($K642&amp;"",SERVER!$B$3:$B$1009&amp;"",SERVER!$I$3:$I$1009,""),""))</f>
        <v/>
      </c>
      <c r="M642" t="str" cm="1">
        <f t="array" ref="M642">IF($K642="","",_xlfn.SWITCH($I642,"Computer",_xlfn.XLOOKUP($K642&amp;"",COMPUTER!$B$3:$B$1009&amp;"",COMPUTER!$J$3:$J$1009,""),"Display",_xlfn.XLOOKUP($K642&amp;"",DISPLAY!$B$3:$B$1000&amp;"",DISPLAY!$K$3:$K$1000,""),"Network Device",_xlfn.XLOOKUP($K642&amp;"",'NETWORK-DEVICES'!$B$3:$B$987&amp;"",'NETWORK-DEVICES'!$I$3:$I$987,""),"Peripheral",_xlfn.XLOOKUP($K642&amp;"",PERIPHERAL!$B$3:$B$954&amp;"",PERIPHERAL!$J$3:$J$954,""),"Utilities",_xlfn.XLOOKUP($K642&amp;"",UTILITIES!$B$3:$B$953&amp;"",UTILITIES!$I$3:$I$953,""),"IOT",_xlfn.XLOOKUP($K642&amp;"",IOT!$B$3:$B$1012&amp;"",IOT!$J$3:$J$1012,""),"Server",_xlfn.XLOOKUP($K642&amp;"",SERVER!$B$3:$B$1009&amp;"",SERVER!$J$3:$J$1009,""),""))</f>
        <v/>
      </c>
      <c r="N642" s="1" t="str" cm="1">
        <f t="array" ref="N642">IF(OR($K642="",$I642="",$J642=""),"",_xlfn.LET(_xlpm.srcCat,_xlfn.SWITCH($I642,"Computer",_xlfn.XLOOKUP($K642&amp;"",COMPUTER!$B$3:$B$1009&amp;"",COMPUTER!$H$3:$H$1009,""),"Display",_xlfn.XLOOKUP($K642&amp;"",DISPLAY!$B$3:$B$1000&amp;"",DISPLAY!$H$3:$H$1000,""),"Network Device",_xlfn.XLOOKUP($K642&amp;"",'NETWORK-DEVICES'!$B$3:$B$987&amp;"",'NETWORK-DEVICES'!$H$3:$H$987,""),"Peripheral",_xlfn.XLOOKUP($K642&amp;"",PERIPHERAL!$B$3:$B$954&amp;"",PERIPHERAL!$H$3:$H$954,""),"Utilities",_xlfn.XLOOKUP($K642&amp;"",UTILITIES!$B$3:$B$953&amp;"",UTILITIES!$G$3:$G$953,""),"IOT",_xlfn.XLOOKUP($K642&amp;"",IOT!$B$3:$B$1012&amp;"",IOT!$H$3:$H$1012,""),"Server",_xlfn.XLOOKUP($K642&amp;"",SERVER!$B$3:$B$1009&amp;"",SERVER!$H$3:$H$1009,""),""),IF(TRIM(_xlpm.srcCat)&lt;&gt;TRIM($J642),"",_xlfn.SWITCH($I642,"Computer",_xlfn.XLOOKUP($K642&amp;"",COMPUTER!$B$3:$B$1009&amp;"",COMPUTER!$K$3:$K$1009,""),"Display",_xlfn.XLOOKUP($K642&amp;"",DISPLAY!$B$3:$B$1000&amp;"",DISPLAY!$L$3:$L$1000,""),"Network Device",_xlfn.XLOOKUP($K642&amp;"",'NETWORK-DEVICES'!$B$3:$B$987&amp;"",'NETWORK-DEVICES'!$K$3:$K$987,""),"Peripheral",_xlfn.XLOOKUP($K642&amp;"",PERIPHERAL!$B$3:$B$954&amp;"",PERIPHERAL!$K$3:$K$954,""),"Utilities",_xlfn.XLOOKUP($K642&amp;"",UTILITIES!$B$3:$B$953&amp;"",UTILITIES!$J$3:$J$953,""),"IOT",_xlfn.XLOOKUP($K642&amp;"",IOT!$B$3:$B$1012&amp;"",IOT!$K$4:$K$1012,""),"Server",_xlfn.XLOOKUP($K642&amp;"",SERVER!$B$3:$B$1009&amp;"",SERVER!$K$3:$K$1009,""),""))))</f>
        <v/>
      </c>
      <c r="O642" s="1" t="str" cm="1">
        <f t="array" ref="O642">IF(OR($K642="",$I642="",$J642=""),"",_xlfn.LET(_xlpm.srcCat,_xlfn.SWITCH($I642,"Computer",_xlfn.XLOOKUP($K642&amp;"",COMPUTER!$B$3:$B$1009&amp;"",COMPUTER!$H$3:$H$1009,""),"Display",_xlfn.XLOOKUP($K642&amp;"",DISPLAY!$B$3:$B$1000&amp;"",DISPLAY!$H$3:$H$1000,""),"Network Device",_xlfn.XLOOKUP($K642&amp;"",'NETWORK-DEVICES'!$B$3:$B$987&amp;"",'NETWORK-DEVICES'!$H$3:$H$987,""),"Peripheral",_xlfn.XLOOKUP($K642&amp;"",PERIPHERAL!$B$3:$B$954&amp;"",PERIPHERAL!$H$3:$H$954,""),"Utilities",_xlfn.XLOOKUP($K642&amp;"",UTILITIES!$B$3:$B$953&amp;"",UTILITIES!$G$3:$G$953,""),"IOT",_xlfn.XLOOKUP($K642&amp;"",IOT!$B$3:$B$1012&amp;"",IOT!$H$3:$H$1012,""),"Server",_xlfn.XLOOKUP($K642&amp;"",SERVER!$B$3:$B$1009&amp;"",SERVER!$H$3:$H$1009,""),""),IF(TRIM(_xlpm.srcCat)&lt;&gt;TRIM($J642),"",_xlfn.SWITCH($I642,"Computer",_xlfn.XLOOKUP($K642&amp;"",COMPUTER!$B$3:$B$1009&amp;"",COMPUTER!$E$3:$E$1009,""),"Display",_xlfn.XLOOKUP($K642&amp;"",DISPLAY!$B$3:$B$1000&amp;"",DISPLAY!$E$3:$E$1000,""),"Network Device",_xlfn.XLOOKUP($K642&amp;"",'NETWORK-DEVICES'!$B$3:$B$987&amp;"",'NETWORK-DEVICES'!$E$3:$E$987,""),"Peripheral",_xlfn.XLOOKUP($K642&amp;"",PERIPHERAL!$B$3:$B$954&amp;"",PERIPHERAL!$E$3:$E$954,""),"Utilities",_xlfn.XLOOKUP($K642&amp;"",UTILITIES!$B$3:$B$953&amp;"",UTILITIES!$E$3:$E$953,""),"IOT",_xlfn.XLOOKUP($K642&amp;"",IOT!$B$3:$B$1012&amp;"",IOT!$E$3:$E$1012,""),"Server",_xlfn.XLOOKUP($K642&amp;"",SERVER!$B$3:$B$1009&amp;"",SERVER!$E$3:$E$1009,""),""))))</f>
        <v/>
      </c>
      <c r="Q642" s="1" t="str" cm="1">
        <f t="array" ref="Q642">IF(OR($K642="",$I642="",$J642=""),"",_xlfn.LET(_xlpm.srcCat,_xlfn.SWITCH($I642,"Computer",_xlfn.XLOOKUP($K642&amp;"",COMPUTER!$B$3:$B$1009&amp;"",COMPUTER!$H$3:$H$1009,""),"Display",_xlfn.XLOOKUP($K642&amp;"",DISPLAY!$B$3:$B$1000&amp;"",DISPLAY!$H$3:$H$1000,""),"Network Device",_xlfn.XLOOKUP($K642&amp;"",'NETWORK-DEVICES'!$B$3:$B$987&amp;"",'NETWORK-DEVICES'!$H$3:$H$987,""),"Peripheral",_xlfn.XLOOKUP($K642&amp;"",PERIPHERAL!$B$3:$B$954&amp;"",PERIPHERAL!$H$3:$H$954,""),"Utilities",_xlfn.XLOOKUP($K642&amp;"",UTILITIES!$B$3:$B$953&amp;"",UTILITIES!$G$3:$G$953,""),"IOT",_xlfn.XLOOKUP($K642&amp;"",IOT!$B$3:$B$1012&amp;"",IOT!$H$3:$H$1012,""),"Server",_xlfn.XLOOKUP($K642&amp;"",SERVER!$B$3:$B$1009&amp;"",SERVER!$H$3:$H$1009,""),""),IF(TRIM(_xlpm.srcCat)&lt;&gt;TRIM($J642),"",_xlfn.SWITCH($I642,"Computer",_xlfn.XLOOKUP($K642&amp;"",COMPUTER!$B$3:$B$1009&amp;"",COMPUTER!$AM$3:$AM$1009,""),"Display",_xlfn.XLOOKUP($K642&amp;"",DISPLAY!$B$3:$B$1000&amp;"",DISPLAY!$V$3:$V$1000,""),"Network Device",_xlfn.XLOOKUP($K642&amp;"",'NETWORK-DEVICES'!$B$3:$B$987&amp;"",'NETWORK-DEVICES'!$AF$3:$AF$987,""),"Peripheral",_xlfn.XLOOKUP($K642&amp;"",PERIPHERAL!$B$3:$B$954&amp;"",PERIPHERAL!$Y$3:$Y$954,""),"Utilities",_xlfn.XLOOKUP($K642&amp;"",UTILITIES!$B$3:$B$953&amp;"",UTILITIES!$O$3:$O$953,""),"IOT",_xlfn.XLOOKUP($K642&amp;"",IOT!$B$3:$B$1012&amp;"",IOT!$AB$3:$AB$1012,""),"Server",_xlfn.XLOOKUP($K642&amp;"",SERVER!$B$3:$B$1009&amp;"",SERVER!$AB$3:$AB$1009,""),""))))</f>
        <v/>
      </c>
      <c r="R642" s="43" t="str">
        <f>IF(tbl_handover[[#This Row],[Asset Code]]="","",COUNTIF(tbl_handover[Asset Code],tbl_handover[[#This Row],[Asset Code]]))</f>
        <v/>
      </c>
    </row>
    <row r="643" spans="1:18" x14ac:dyDescent="0.25">
      <c r="A643" s="43" t="str">
        <f>IF(B643&lt;&gt;"",SUBTOTAL(3,$B$1:B642),"")</f>
        <v/>
      </c>
      <c r="C643" s="74"/>
      <c r="D643" s="74"/>
      <c r="G643" s="1"/>
      <c r="K643" s="42"/>
      <c r="L643" t="str" cm="1">
        <f t="array" ref="L643">IF($K643="","",_xlfn.SWITCH($I643,"Computer",_xlfn.XLOOKUP($K643&amp;"",COMPUTER!$B$3:$B$1009&amp;"",COMPUTER!$I$3:$I$1009,""),"Display",_xlfn.XLOOKUP($K643&amp;"",DISPLAY!$B$3:$B$1000&amp;"",DISPLAY!$J$3:$J$1000,""),"Network Device",_xlfn.XLOOKUP($K643&amp;"",'NETWORK-DEVICES'!$B$3:$B$987&amp;"",'NETWORK-DEVICES'!$I$3:$I$987,""),"Peripheral",_xlfn.XLOOKUP($K643&amp;"",PERIPHERAL!$B$3:$B$954&amp;"",PERIPHERAL!$I$3:$I$954,""),"Utilities",_xlfn.XLOOKUP($K643&amp;"",UTILITIES!$B$3:$B$953&amp;"",UTILITIES!$H$3:$H$953,""),"IOT",_xlfn.XLOOKUP($K643&amp;"",IOT!$B$3:$B$1012&amp;"",IOT!$I$3:$I$1012,""),"SERVER",_xlfn.XLOOKUP($K643&amp;"",SERVER!$B$3:$B$1009&amp;"",SERVER!$I$3:$I$1009,""),""))</f>
        <v/>
      </c>
      <c r="M643" t="str" cm="1">
        <f t="array" ref="M643">IF($K643="","",_xlfn.SWITCH($I643,"Computer",_xlfn.XLOOKUP($K643&amp;"",COMPUTER!$B$3:$B$1009&amp;"",COMPUTER!$J$3:$J$1009,""),"Display",_xlfn.XLOOKUP($K643&amp;"",DISPLAY!$B$3:$B$1000&amp;"",DISPLAY!$K$3:$K$1000,""),"Network Device",_xlfn.XLOOKUP($K643&amp;"",'NETWORK-DEVICES'!$B$3:$B$987&amp;"",'NETWORK-DEVICES'!$I$3:$I$987,""),"Peripheral",_xlfn.XLOOKUP($K643&amp;"",PERIPHERAL!$B$3:$B$954&amp;"",PERIPHERAL!$J$3:$J$954,""),"Utilities",_xlfn.XLOOKUP($K643&amp;"",UTILITIES!$B$3:$B$953&amp;"",UTILITIES!$I$3:$I$953,""),"IOT",_xlfn.XLOOKUP($K643&amp;"",IOT!$B$3:$B$1012&amp;"",IOT!$J$3:$J$1012,""),"Server",_xlfn.XLOOKUP($K643&amp;"",SERVER!$B$3:$B$1009&amp;"",SERVER!$J$3:$J$1009,""),""))</f>
        <v/>
      </c>
      <c r="N643" s="1" t="str" cm="1">
        <f t="array" ref="N643">IF(OR($K643="",$I643="",$J643=""),"",_xlfn.LET(_xlpm.srcCat,_xlfn.SWITCH($I643,"Computer",_xlfn.XLOOKUP($K643&amp;"",COMPUTER!$B$3:$B$1009&amp;"",COMPUTER!$H$3:$H$1009,""),"Display",_xlfn.XLOOKUP($K643&amp;"",DISPLAY!$B$3:$B$1000&amp;"",DISPLAY!$H$3:$H$1000,""),"Network Device",_xlfn.XLOOKUP($K643&amp;"",'NETWORK-DEVICES'!$B$3:$B$987&amp;"",'NETWORK-DEVICES'!$H$3:$H$987,""),"Peripheral",_xlfn.XLOOKUP($K643&amp;"",PERIPHERAL!$B$3:$B$954&amp;"",PERIPHERAL!$H$3:$H$954,""),"Utilities",_xlfn.XLOOKUP($K643&amp;"",UTILITIES!$B$3:$B$953&amp;"",UTILITIES!$G$3:$G$953,""),"IOT",_xlfn.XLOOKUP($K643&amp;"",IOT!$B$3:$B$1012&amp;"",IOT!$H$3:$H$1012,""),"Server",_xlfn.XLOOKUP($K643&amp;"",SERVER!$B$3:$B$1009&amp;"",SERVER!$H$3:$H$1009,""),""),IF(TRIM(_xlpm.srcCat)&lt;&gt;TRIM($J643),"",_xlfn.SWITCH($I643,"Computer",_xlfn.XLOOKUP($K643&amp;"",COMPUTER!$B$3:$B$1009&amp;"",COMPUTER!$K$3:$K$1009,""),"Display",_xlfn.XLOOKUP($K643&amp;"",DISPLAY!$B$3:$B$1000&amp;"",DISPLAY!$L$3:$L$1000,""),"Network Device",_xlfn.XLOOKUP($K643&amp;"",'NETWORK-DEVICES'!$B$3:$B$987&amp;"",'NETWORK-DEVICES'!$K$3:$K$987,""),"Peripheral",_xlfn.XLOOKUP($K643&amp;"",PERIPHERAL!$B$3:$B$954&amp;"",PERIPHERAL!$K$3:$K$954,""),"Utilities",_xlfn.XLOOKUP($K643&amp;"",UTILITIES!$B$3:$B$953&amp;"",UTILITIES!$J$3:$J$953,""),"IOT",_xlfn.XLOOKUP($K643&amp;"",IOT!$B$3:$B$1012&amp;"",IOT!$K$4:$K$1012,""),"Server",_xlfn.XLOOKUP($K643&amp;"",SERVER!$B$3:$B$1009&amp;"",SERVER!$K$3:$K$1009,""),""))))</f>
        <v/>
      </c>
      <c r="O643" s="1" t="str" cm="1">
        <f t="array" ref="O643">IF(OR($K643="",$I643="",$J643=""),"",_xlfn.LET(_xlpm.srcCat,_xlfn.SWITCH($I643,"Computer",_xlfn.XLOOKUP($K643&amp;"",COMPUTER!$B$3:$B$1009&amp;"",COMPUTER!$H$3:$H$1009,""),"Display",_xlfn.XLOOKUP($K643&amp;"",DISPLAY!$B$3:$B$1000&amp;"",DISPLAY!$H$3:$H$1000,""),"Network Device",_xlfn.XLOOKUP($K643&amp;"",'NETWORK-DEVICES'!$B$3:$B$987&amp;"",'NETWORK-DEVICES'!$H$3:$H$987,""),"Peripheral",_xlfn.XLOOKUP($K643&amp;"",PERIPHERAL!$B$3:$B$954&amp;"",PERIPHERAL!$H$3:$H$954,""),"Utilities",_xlfn.XLOOKUP($K643&amp;"",UTILITIES!$B$3:$B$953&amp;"",UTILITIES!$G$3:$G$953,""),"IOT",_xlfn.XLOOKUP($K643&amp;"",IOT!$B$3:$B$1012&amp;"",IOT!$H$3:$H$1012,""),"Server",_xlfn.XLOOKUP($K643&amp;"",SERVER!$B$3:$B$1009&amp;"",SERVER!$H$3:$H$1009,""),""),IF(TRIM(_xlpm.srcCat)&lt;&gt;TRIM($J643),"",_xlfn.SWITCH($I643,"Computer",_xlfn.XLOOKUP($K643&amp;"",COMPUTER!$B$3:$B$1009&amp;"",COMPUTER!$E$3:$E$1009,""),"Display",_xlfn.XLOOKUP($K643&amp;"",DISPLAY!$B$3:$B$1000&amp;"",DISPLAY!$E$3:$E$1000,""),"Network Device",_xlfn.XLOOKUP($K643&amp;"",'NETWORK-DEVICES'!$B$3:$B$987&amp;"",'NETWORK-DEVICES'!$E$3:$E$987,""),"Peripheral",_xlfn.XLOOKUP($K643&amp;"",PERIPHERAL!$B$3:$B$954&amp;"",PERIPHERAL!$E$3:$E$954,""),"Utilities",_xlfn.XLOOKUP($K643&amp;"",UTILITIES!$B$3:$B$953&amp;"",UTILITIES!$E$3:$E$953,""),"IOT",_xlfn.XLOOKUP($K643&amp;"",IOT!$B$3:$B$1012&amp;"",IOT!$E$3:$E$1012,""),"Server",_xlfn.XLOOKUP($K643&amp;"",SERVER!$B$3:$B$1009&amp;"",SERVER!$E$3:$E$1009,""),""))))</f>
        <v/>
      </c>
      <c r="Q643" s="1" t="str" cm="1">
        <f t="array" ref="Q643">IF(OR($K643="",$I643="",$J643=""),"",_xlfn.LET(_xlpm.srcCat,_xlfn.SWITCH($I643,"Computer",_xlfn.XLOOKUP($K643&amp;"",COMPUTER!$B$3:$B$1009&amp;"",COMPUTER!$H$3:$H$1009,""),"Display",_xlfn.XLOOKUP($K643&amp;"",DISPLAY!$B$3:$B$1000&amp;"",DISPLAY!$H$3:$H$1000,""),"Network Device",_xlfn.XLOOKUP($K643&amp;"",'NETWORK-DEVICES'!$B$3:$B$987&amp;"",'NETWORK-DEVICES'!$H$3:$H$987,""),"Peripheral",_xlfn.XLOOKUP($K643&amp;"",PERIPHERAL!$B$3:$B$954&amp;"",PERIPHERAL!$H$3:$H$954,""),"Utilities",_xlfn.XLOOKUP($K643&amp;"",UTILITIES!$B$3:$B$953&amp;"",UTILITIES!$G$3:$G$953,""),"IOT",_xlfn.XLOOKUP($K643&amp;"",IOT!$B$3:$B$1012&amp;"",IOT!$H$3:$H$1012,""),"Server",_xlfn.XLOOKUP($K643&amp;"",SERVER!$B$3:$B$1009&amp;"",SERVER!$H$3:$H$1009,""),""),IF(TRIM(_xlpm.srcCat)&lt;&gt;TRIM($J643),"",_xlfn.SWITCH($I643,"Computer",_xlfn.XLOOKUP($K643&amp;"",COMPUTER!$B$3:$B$1009&amp;"",COMPUTER!$AM$3:$AM$1009,""),"Display",_xlfn.XLOOKUP($K643&amp;"",DISPLAY!$B$3:$B$1000&amp;"",DISPLAY!$V$3:$V$1000,""),"Network Device",_xlfn.XLOOKUP($K643&amp;"",'NETWORK-DEVICES'!$B$3:$B$987&amp;"",'NETWORK-DEVICES'!$AF$3:$AF$987,""),"Peripheral",_xlfn.XLOOKUP($K643&amp;"",PERIPHERAL!$B$3:$B$954&amp;"",PERIPHERAL!$Y$3:$Y$954,""),"Utilities",_xlfn.XLOOKUP($K643&amp;"",UTILITIES!$B$3:$B$953&amp;"",UTILITIES!$O$3:$O$953,""),"IOT",_xlfn.XLOOKUP($K643&amp;"",IOT!$B$3:$B$1012&amp;"",IOT!$AB$3:$AB$1012,""),"Server",_xlfn.XLOOKUP($K643&amp;"",SERVER!$B$3:$B$1009&amp;"",SERVER!$AB$3:$AB$1009,""),""))))</f>
        <v/>
      </c>
      <c r="R643" s="43" t="str">
        <f>IF(tbl_handover[[#This Row],[Asset Code]]="","",COUNTIF(tbl_handover[Asset Code],tbl_handover[[#This Row],[Asset Code]]))</f>
        <v/>
      </c>
    </row>
    <row r="644" spans="1:18" x14ac:dyDescent="0.25">
      <c r="A644" s="43" t="str">
        <f>IF(B644&lt;&gt;"",SUBTOTAL(3,$B$1:B643),"")</f>
        <v/>
      </c>
      <c r="C644" s="74"/>
      <c r="D644" s="74"/>
      <c r="G644" s="1"/>
      <c r="K644" s="42"/>
      <c r="L644" t="str" cm="1">
        <f t="array" ref="L644">IF($K644="","",_xlfn.SWITCH($I644,"Computer",_xlfn.XLOOKUP($K644&amp;"",COMPUTER!$B$3:$B$1009&amp;"",COMPUTER!$I$3:$I$1009,""),"Display",_xlfn.XLOOKUP($K644&amp;"",DISPLAY!$B$3:$B$1000&amp;"",DISPLAY!$J$3:$J$1000,""),"Network Device",_xlfn.XLOOKUP($K644&amp;"",'NETWORK-DEVICES'!$B$3:$B$987&amp;"",'NETWORK-DEVICES'!$I$3:$I$987,""),"Peripheral",_xlfn.XLOOKUP($K644&amp;"",PERIPHERAL!$B$3:$B$954&amp;"",PERIPHERAL!$I$3:$I$954,""),"Utilities",_xlfn.XLOOKUP($K644&amp;"",UTILITIES!$B$3:$B$953&amp;"",UTILITIES!$H$3:$H$953,""),"IOT",_xlfn.XLOOKUP($K644&amp;"",IOT!$B$3:$B$1012&amp;"",IOT!$I$3:$I$1012,""),"SERVER",_xlfn.XLOOKUP($K644&amp;"",SERVER!$B$3:$B$1009&amp;"",SERVER!$I$3:$I$1009,""),""))</f>
        <v/>
      </c>
      <c r="M644" t="str" cm="1">
        <f t="array" ref="M644">IF($K644="","",_xlfn.SWITCH($I644,"Computer",_xlfn.XLOOKUP($K644&amp;"",COMPUTER!$B$3:$B$1009&amp;"",COMPUTER!$J$3:$J$1009,""),"Display",_xlfn.XLOOKUP($K644&amp;"",DISPLAY!$B$3:$B$1000&amp;"",DISPLAY!$K$3:$K$1000,""),"Network Device",_xlfn.XLOOKUP($K644&amp;"",'NETWORK-DEVICES'!$B$3:$B$987&amp;"",'NETWORK-DEVICES'!$I$3:$I$987,""),"Peripheral",_xlfn.XLOOKUP($K644&amp;"",PERIPHERAL!$B$3:$B$954&amp;"",PERIPHERAL!$J$3:$J$954,""),"Utilities",_xlfn.XLOOKUP($K644&amp;"",UTILITIES!$B$3:$B$953&amp;"",UTILITIES!$I$3:$I$953,""),"IOT",_xlfn.XLOOKUP($K644&amp;"",IOT!$B$3:$B$1012&amp;"",IOT!$J$3:$J$1012,""),"Server",_xlfn.XLOOKUP($K644&amp;"",SERVER!$B$3:$B$1009&amp;"",SERVER!$J$3:$J$1009,""),""))</f>
        <v/>
      </c>
      <c r="N644" s="1" t="str" cm="1">
        <f t="array" ref="N644">IF(OR($K644="",$I644="",$J644=""),"",_xlfn.LET(_xlpm.srcCat,_xlfn.SWITCH($I644,"Computer",_xlfn.XLOOKUP($K644&amp;"",COMPUTER!$B$3:$B$1009&amp;"",COMPUTER!$H$3:$H$1009,""),"Display",_xlfn.XLOOKUP($K644&amp;"",DISPLAY!$B$3:$B$1000&amp;"",DISPLAY!$H$3:$H$1000,""),"Network Device",_xlfn.XLOOKUP($K644&amp;"",'NETWORK-DEVICES'!$B$3:$B$987&amp;"",'NETWORK-DEVICES'!$H$3:$H$987,""),"Peripheral",_xlfn.XLOOKUP($K644&amp;"",PERIPHERAL!$B$3:$B$954&amp;"",PERIPHERAL!$H$3:$H$954,""),"Utilities",_xlfn.XLOOKUP($K644&amp;"",UTILITIES!$B$3:$B$953&amp;"",UTILITIES!$G$3:$G$953,""),"IOT",_xlfn.XLOOKUP($K644&amp;"",IOT!$B$3:$B$1012&amp;"",IOT!$H$3:$H$1012,""),"Server",_xlfn.XLOOKUP($K644&amp;"",SERVER!$B$3:$B$1009&amp;"",SERVER!$H$3:$H$1009,""),""),IF(TRIM(_xlpm.srcCat)&lt;&gt;TRIM($J644),"",_xlfn.SWITCH($I644,"Computer",_xlfn.XLOOKUP($K644&amp;"",COMPUTER!$B$3:$B$1009&amp;"",COMPUTER!$K$3:$K$1009,""),"Display",_xlfn.XLOOKUP($K644&amp;"",DISPLAY!$B$3:$B$1000&amp;"",DISPLAY!$L$3:$L$1000,""),"Network Device",_xlfn.XLOOKUP($K644&amp;"",'NETWORK-DEVICES'!$B$3:$B$987&amp;"",'NETWORK-DEVICES'!$K$3:$K$987,""),"Peripheral",_xlfn.XLOOKUP($K644&amp;"",PERIPHERAL!$B$3:$B$954&amp;"",PERIPHERAL!$K$3:$K$954,""),"Utilities",_xlfn.XLOOKUP($K644&amp;"",UTILITIES!$B$3:$B$953&amp;"",UTILITIES!$J$3:$J$953,""),"IOT",_xlfn.XLOOKUP($K644&amp;"",IOT!$B$3:$B$1012&amp;"",IOT!$K$4:$K$1012,""),"Server",_xlfn.XLOOKUP($K644&amp;"",SERVER!$B$3:$B$1009&amp;"",SERVER!$K$3:$K$1009,""),""))))</f>
        <v/>
      </c>
      <c r="O644" s="1" t="str" cm="1">
        <f t="array" ref="O644">IF(OR($K644="",$I644="",$J644=""),"",_xlfn.LET(_xlpm.srcCat,_xlfn.SWITCH($I644,"Computer",_xlfn.XLOOKUP($K644&amp;"",COMPUTER!$B$3:$B$1009&amp;"",COMPUTER!$H$3:$H$1009,""),"Display",_xlfn.XLOOKUP($K644&amp;"",DISPLAY!$B$3:$B$1000&amp;"",DISPLAY!$H$3:$H$1000,""),"Network Device",_xlfn.XLOOKUP($K644&amp;"",'NETWORK-DEVICES'!$B$3:$B$987&amp;"",'NETWORK-DEVICES'!$H$3:$H$987,""),"Peripheral",_xlfn.XLOOKUP($K644&amp;"",PERIPHERAL!$B$3:$B$954&amp;"",PERIPHERAL!$H$3:$H$954,""),"Utilities",_xlfn.XLOOKUP($K644&amp;"",UTILITIES!$B$3:$B$953&amp;"",UTILITIES!$G$3:$G$953,""),"IOT",_xlfn.XLOOKUP($K644&amp;"",IOT!$B$3:$B$1012&amp;"",IOT!$H$3:$H$1012,""),"Server",_xlfn.XLOOKUP($K644&amp;"",SERVER!$B$3:$B$1009&amp;"",SERVER!$H$3:$H$1009,""),""),IF(TRIM(_xlpm.srcCat)&lt;&gt;TRIM($J644),"",_xlfn.SWITCH($I644,"Computer",_xlfn.XLOOKUP($K644&amp;"",COMPUTER!$B$3:$B$1009&amp;"",COMPUTER!$E$3:$E$1009,""),"Display",_xlfn.XLOOKUP($K644&amp;"",DISPLAY!$B$3:$B$1000&amp;"",DISPLAY!$E$3:$E$1000,""),"Network Device",_xlfn.XLOOKUP($K644&amp;"",'NETWORK-DEVICES'!$B$3:$B$987&amp;"",'NETWORK-DEVICES'!$E$3:$E$987,""),"Peripheral",_xlfn.XLOOKUP($K644&amp;"",PERIPHERAL!$B$3:$B$954&amp;"",PERIPHERAL!$E$3:$E$954,""),"Utilities",_xlfn.XLOOKUP($K644&amp;"",UTILITIES!$B$3:$B$953&amp;"",UTILITIES!$E$3:$E$953,""),"IOT",_xlfn.XLOOKUP($K644&amp;"",IOT!$B$3:$B$1012&amp;"",IOT!$E$3:$E$1012,""),"Server",_xlfn.XLOOKUP($K644&amp;"",SERVER!$B$3:$B$1009&amp;"",SERVER!$E$3:$E$1009,""),""))))</f>
        <v/>
      </c>
      <c r="Q644" s="1" t="str" cm="1">
        <f t="array" ref="Q644">IF(OR($K644="",$I644="",$J644=""),"",_xlfn.LET(_xlpm.srcCat,_xlfn.SWITCH($I644,"Computer",_xlfn.XLOOKUP($K644&amp;"",COMPUTER!$B$3:$B$1009&amp;"",COMPUTER!$H$3:$H$1009,""),"Display",_xlfn.XLOOKUP($K644&amp;"",DISPLAY!$B$3:$B$1000&amp;"",DISPLAY!$H$3:$H$1000,""),"Network Device",_xlfn.XLOOKUP($K644&amp;"",'NETWORK-DEVICES'!$B$3:$B$987&amp;"",'NETWORK-DEVICES'!$H$3:$H$987,""),"Peripheral",_xlfn.XLOOKUP($K644&amp;"",PERIPHERAL!$B$3:$B$954&amp;"",PERIPHERAL!$H$3:$H$954,""),"Utilities",_xlfn.XLOOKUP($K644&amp;"",UTILITIES!$B$3:$B$953&amp;"",UTILITIES!$G$3:$G$953,""),"IOT",_xlfn.XLOOKUP($K644&amp;"",IOT!$B$3:$B$1012&amp;"",IOT!$H$3:$H$1012,""),"Server",_xlfn.XLOOKUP($K644&amp;"",SERVER!$B$3:$B$1009&amp;"",SERVER!$H$3:$H$1009,""),""),IF(TRIM(_xlpm.srcCat)&lt;&gt;TRIM($J644),"",_xlfn.SWITCH($I644,"Computer",_xlfn.XLOOKUP($K644&amp;"",COMPUTER!$B$3:$B$1009&amp;"",COMPUTER!$AM$3:$AM$1009,""),"Display",_xlfn.XLOOKUP($K644&amp;"",DISPLAY!$B$3:$B$1000&amp;"",DISPLAY!$V$3:$V$1000,""),"Network Device",_xlfn.XLOOKUP($K644&amp;"",'NETWORK-DEVICES'!$B$3:$B$987&amp;"",'NETWORK-DEVICES'!$AF$3:$AF$987,""),"Peripheral",_xlfn.XLOOKUP($K644&amp;"",PERIPHERAL!$B$3:$B$954&amp;"",PERIPHERAL!$Y$3:$Y$954,""),"Utilities",_xlfn.XLOOKUP($K644&amp;"",UTILITIES!$B$3:$B$953&amp;"",UTILITIES!$O$3:$O$953,""),"IOT",_xlfn.XLOOKUP($K644&amp;"",IOT!$B$3:$B$1012&amp;"",IOT!$AB$3:$AB$1012,""),"Server",_xlfn.XLOOKUP($K644&amp;"",SERVER!$B$3:$B$1009&amp;"",SERVER!$AB$3:$AB$1009,""),""))))</f>
        <v/>
      </c>
      <c r="R644" s="43" t="str">
        <f>IF(tbl_handover[[#This Row],[Asset Code]]="","",COUNTIF(tbl_handover[Asset Code],tbl_handover[[#This Row],[Asset Code]]))</f>
        <v/>
      </c>
    </row>
    <row r="645" spans="1:18" x14ac:dyDescent="0.25">
      <c r="A645" s="43" t="str">
        <f>IF(B645&lt;&gt;"",SUBTOTAL(3,$B$1:B644),"")</f>
        <v/>
      </c>
      <c r="C645" s="74"/>
      <c r="D645" s="74"/>
      <c r="G645" s="1"/>
      <c r="K645" s="42"/>
      <c r="L645" t="str" cm="1">
        <f t="array" ref="L645">IF($K645="","",_xlfn.SWITCH($I645,"Computer",_xlfn.XLOOKUP($K645&amp;"",COMPUTER!$B$3:$B$1009&amp;"",COMPUTER!$I$3:$I$1009,""),"Display",_xlfn.XLOOKUP($K645&amp;"",DISPLAY!$B$3:$B$1000&amp;"",DISPLAY!$J$3:$J$1000,""),"Network Device",_xlfn.XLOOKUP($K645&amp;"",'NETWORK-DEVICES'!$B$3:$B$987&amp;"",'NETWORK-DEVICES'!$I$3:$I$987,""),"Peripheral",_xlfn.XLOOKUP($K645&amp;"",PERIPHERAL!$B$3:$B$954&amp;"",PERIPHERAL!$I$3:$I$954,""),"Utilities",_xlfn.XLOOKUP($K645&amp;"",UTILITIES!$B$3:$B$953&amp;"",UTILITIES!$H$3:$H$953,""),"IOT",_xlfn.XLOOKUP($K645&amp;"",IOT!$B$3:$B$1012&amp;"",IOT!$I$3:$I$1012,""),"SERVER",_xlfn.XLOOKUP($K645&amp;"",SERVER!$B$3:$B$1009&amp;"",SERVER!$I$3:$I$1009,""),""))</f>
        <v/>
      </c>
      <c r="M645" t="str" cm="1">
        <f t="array" ref="M645">IF($K645="","",_xlfn.SWITCH($I645,"Computer",_xlfn.XLOOKUP($K645&amp;"",COMPUTER!$B$3:$B$1009&amp;"",COMPUTER!$J$3:$J$1009,""),"Display",_xlfn.XLOOKUP($K645&amp;"",DISPLAY!$B$3:$B$1000&amp;"",DISPLAY!$K$3:$K$1000,""),"Network Device",_xlfn.XLOOKUP($K645&amp;"",'NETWORK-DEVICES'!$B$3:$B$987&amp;"",'NETWORK-DEVICES'!$I$3:$I$987,""),"Peripheral",_xlfn.XLOOKUP($K645&amp;"",PERIPHERAL!$B$3:$B$954&amp;"",PERIPHERAL!$J$3:$J$954,""),"Utilities",_xlfn.XLOOKUP($K645&amp;"",UTILITIES!$B$3:$B$953&amp;"",UTILITIES!$I$3:$I$953,""),"IOT",_xlfn.XLOOKUP($K645&amp;"",IOT!$B$3:$B$1012&amp;"",IOT!$J$3:$J$1012,""),"Server",_xlfn.XLOOKUP($K645&amp;"",SERVER!$B$3:$B$1009&amp;"",SERVER!$J$3:$J$1009,""),""))</f>
        <v/>
      </c>
      <c r="N645" s="1" t="str" cm="1">
        <f t="array" ref="N645">IF(OR($K645="",$I645="",$J645=""),"",_xlfn.LET(_xlpm.srcCat,_xlfn.SWITCH($I645,"Computer",_xlfn.XLOOKUP($K645&amp;"",COMPUTER!$B$3:$B$1009&amp;"",COMPUTER!$H$3:$H$1009,""),"Display",_xlfn.XLOOKUP($K645&amp;"",DISPLAY!$B$3:$B$1000&amp;"",DISPLAY!$H$3:$H$1000,""),"Network Device",_xlfn.XLOOKUP($K645&amp;"",'NETWORK-DEVICES'!$B$3:$B$987&amp;"",'NETWORK-DEVICES'!$H$3:$H$987,""),"Peripheral",_xlfn.XLOOKUP($K645&amp;"",PERIPHERAL!$B$3:$B$954&amp;"",PERIPHERAL!$H$3:$H$954,""),"Utilities",_xlfn.XLOOKUP($K645&amp;"",UTILITIES!$B$3:$B$953&amp;"",UTILITIES!$G$3:$G$953,""),"IOT",_xlfn.XLOOKUP($K645&amp;"",IOT!$B$3:$B$1012&amp;"",IOT!$H$3:$H$1012,""),"Server",_xlfn.XLOOKUP($K645&amp;"",SERVER!$B$3:$B$1009&amp;"",SERVER!$H$3:$H$1009,""),""),IF(TRIM(_xlpm.srcCat)&lt;&gt;TRIM($J645),"",_xlfn.SWITCH($I645,"Computer",_xlfn.XLOOKUP($K645&amp;"",COMPUTER!$B$3:$B$1009&amp;"",COMPUTER!$K$3:$K$1009,""),"Display",_xlfn.XLOOKUP($K645&amp;"",DISPLAY!$B$3:$B$1000&amp;"",DISPLAY!$L$3:$L$1000,""),"Network Device",_xlfn.XLOOKUP($K645&amp;"",'NETWORK-DEVICES'!$B$3:$B$987&amp;"",'NETWORK-DEVICES'!$K$3:$K$987,""),"Peripheral",_xlfn.XLOOKUP($K645&amp;"",PERIPHERAL!$B$3:$B$954&amp;"",PERIPHERAL!$K$3:$K$954,""),"Utilities",_xlfn.XLOOKUP($K645&amp;"",UTILITIES!$B$3:$B$953&amp;"",UTILITIES!$J$3:$J$953,""),"IOT",_xlfn.XLOOKUP($K645&amp;"",IOT!$B$3:$B$1012&amp;"",IOT!$K$4:$K$1012,""),"Server",_xlfn.XLOOKUP($K645&amp;"",SERVER!$B$3:$B$1009&amp;"",SERVER!$K$3:$K$1009,""),""))))</f>
        <v/>
      </c>
      <c r="O645" s="1" t="str" cm="1">
        <f t="array" ref="O645">IF(OR($K645="",$I645="",$J645=""),"",_xlfn.LET(_xlpm.srcCat,_xlfn.SWITCH($I645,"Computer",_xlfn.XLOOKUP($K645&amp;"",COMPUTER!$B$3:$B$1009&amp;"",COMPUTER!$H$3:$H$1009,""),"Display",_xlfn.XLOOKUP($K645&amp;"",DISPLAY!$B$3:$B$1000&amp;"",DISPLAY!$H$3:$H$1000,""),"Network Device",_xlfn.XLOOKUP($K645&amp;"",'NETWORK-DEVICES'!$B$3:$B$987&amp;"",'NETWORK-DEVICES'!$H$3:$H$987,""),"Peripheral",_xlfn.XLOOKUP($K645&amp;"",PERIPHERAL!$B$3:$B$954&amp;"",PERIPHERAL!$H$3:$H$954,""),"Utilities",_xlfn.XLOOKUP($K645&amp;"",UTILITIES!$B$3:$B$953&amp;"",UTILITIES!$G$3:$G$953,""),"IOT",_xlfn.XLOOKUP($K645&amp;"",IOT!$B$3:$B$1012&amp;"",IOT!$H$3:$H$1012,""),"Server",_xlfn.XLOOKUP($K645&amp;"",SERVER!$B$3:$B$1009&amp;"",SERVER!$H$3:$H$1009,""),""),IF(TRIM(_xlpm.srcCat)&lt;&gt;TRIM($J645),"",_xlfn.SWITCH($I645,"Computer",_xlfn.XLOOKUP($K645&amp;"",COMPUTER!$B$3:$B$1009&amp;"",COMPUTER!$E$3:$E$1009,""),"Display",_xlfn.XLOOKUP($K645&amp;"",DISPLAY!$B$3:$B$1000&amp;"",DISPLAY!$E$3:$E$1000,""),"Network Device",_xlfn.XLOOKUP($K645&amp;"",'NETWORK-DEVICES'!$B$3:$B$987&amp;"",'NETWORK-DEVICES'!$E$3:$E$987,""),"Peripheral",_xlfn.XLOOKUP($K645&amp;"",PERIPHERAL!$B$3:$B$954&amp;"",PERIPHERAL!$E$3:$E$954,""),"Utilities",_xlfn.XLOOKUP($K645&amp;"",UTILITIES!$B$3:$B$953&amp;"",UTILITIES!$E$3:$E$953,""),"IOT",_xlfn.XLOOKUP($K645&amp;"",IOT!$B$3:$B$1012&amp;"",IOT!$E$3:$E$1012,""),"Server",_xlfn.XLOOKUP($K645&amp;"",SERVER!$B$3:$B$1009&amp;"",SERVER!$E$3:$E$1009,""),""))))</f>
        <v/>
      </c>
      <c r="Q645" s="1" t="str" cm="1">
        <f t="array" ref="Q645">IF(OR($K645="",$I645="",$J645=""),"",_xlfn.LET(_xlpm.srcCat,_xlfn.SWITCH($I645,"Computer",_xlfn.XLOOKUP($K645&amp;"",COMPUTER!$B$3:$B$1009&amp;"",COMPUTER!$H$3:$H$1009,""),"Display",_xlfn.XLOOKUP($K645&amp;"",DISPLAY!$B$3:$B$1000&amp;"",DISPLAY!$H$3:$H$1000,""),"Network Device",_xlfn.XLOOKUP($K645&amp;"",'NETWORK-DEVICES'!$B$3:$B$987&amp;"",'NETWORK-DEVICES'!$H$3:$H$987,""),"Peripheral",_xlfn.XLOOKUP($K645&amp;"",PERIPHERAL!$B$3:$B$954&amp;"",PERIPHERAL!$H$3:$H$954,""),"Utilities",_xlfn.XLOOKUP($K645&amp;"",UTILITIES!$B$3:$B$953&amp;"",UTILITIES!$G$3:$G$953,""),"IOT",_xlfn.XLOOKUP($K645&amp;"",IOT!$B$3:$B$1012&amp;"",IOT!$H$3:$H$1012,""),"Server",_xlfn.XLOOKUP($K645&amp;"",SERVER!$B$3:$B$1009&amp;"",SERVER!$H$3:$H$1009,""),""),IF(TRIM(_xlpm.srcCat)&lt;&gt;TRIM($J645),"",_xlfn.SWITCH($I645,"Computer",_xlfn.XLOOKUP($K645&amp;"",COMPUTER!$B$3:$B$1009&amp;"",COMPUTER!$AM$3:$AM$1009,""),"Display",_xlfn.XLOOKUP($K645&amp;"",DISPLAY!$B$3:$B$1000&amp;"",DISPLAY!$V$3:$V$1000,""),"Network Device",_xlfn.XLOOKUP($K645&amp;"",'NETWORK-DEVICES'!$B$3:$B$987&amp;"",'NETWORK-DEVICES'!$AF$3:$AF$987,""),"Peripheral",_xlfn.XLOOKUP($K645&amp;"",PERIPHERAL!$B$3:$B$954&amp;"",PERIPHERAL!$Y$3:$Y$954,""),"Utilities",_xlfn.XLOOKUP($K645&amp;"",UTILITIES!$B$3:$B$953&amp;"",UTILITIES!$O$3:$O$953,""),"IOT",_xlfn.XLOOKUP($K645&amp;"",IOT!$B$3:$B$1012&amp;"",IOT!$AB$3:$AB$1012,""),"Server",_xlfn.XLOOKUP($K645&amp;"",SERVER!$B$3:$B$1009&amp;"",SERVER!$AB$3:$AB$1009,""),""))))</f>
        <v/>
      </c>
      <c r="R645" s="43" t="str">
        <f>IF(tbl_handover[[#This Row],[Asset Code]]="","",COUNTIF(tbl_handover[Asset Code],tbl_handover[[#This Row],[Asset Code]]))</f>
        <v/>
      </c>
    </row>
    <row r="646" spans="1:18" x14ac:dyDescent="0.25">
      <c r="A646" s="43" t="str">
        <f>IF(B646&lt;&gt;"",SUBTOTAL(3,$B$1:B645),"")</f>
        <v/>
      </c>
      <c r="C646" s="74"/>
      <c r="D646" s="74"/>
      <c r="G646" s="1"/>
      <c r="K646" s="42"/>
      <c r="L646" t="str" cm="1">
        <f t="array" ref="L646">IF($K646="","",_xlfn.SWITCH($I646,"Computer",_xlfn.XLOOKUP($K646&amp;"",COMPUTER!$B$3:$B$1009&amp;"",COMPUTER!$I$3:$I$1009,""),"Display",_xlfn.XLOOKUP($K646&amp;"",DISPLAY!$B$3:$B$1000&amp;"",DISPLAY!$J$3:$J$1000,""),"Network Device",_xlfn.XLOOKUP($K646&amp;"",'NETWORK-DEVICES'!$B$3:$B$987&amp;"",'NETWORK-DEVICES'!$I$3:$I$987,""),"Peripheral",_xlfn.XLOOKUP($K646&amp;"",PERIPHERAL!$B$3:$B$954&amp;"",PERIPHERAL!$I$3:$I$954,""),"Utilities",_xlfn.XLOOKUP($K646&amp;"",UTILITIES!$B$3:$B$953&amp;"",UTILITIES!$H$3:$H$953,""),"IOT",_xlfn.XLOOKUP($K646&amp;"",IOT!$B$3:$B$1012&amp;"",IOT!$I$3:$I$1012,""),"SERVER",_xlfn.XLOOKUP($K646&amp;"",SERVER!$B$3:$B$1009&amp;"",SERVER!$I$3:$I$1009,""),""))</f>
        <v/>
      </c>
      <c r="M646" t="str" cm="1">
        <f t="array" ref="M646">IF($K646="","",_xlfn.SWITCH($I646,"Computer",_xlfn.XLOOKUP($K646&amp;"",COMPUTER!$B$3:$B$1009&amp;"",COMPUTER!$J$3:$J$1009,""),"Display",_xlfn.XLOOKUP($K646&amp;"",DISPLAY!$B$3:$B$1000&amp;"",DISPLAY!$K$3:$K$1000,""),"Network Device",_xlfn.XLOOKUP($K646&amp;"",'NETWORK-DEVICES'!$B$3:$B$987&amp;"",'NETWORK-DEVICES'!$I$3:$I$987,""),"Peripheral",_xlfn.XLOOKUP($K646&amp;"",PERIPHERAL!$B$3:$B$954&amp;"",PERIPHERAL!$J$3:$J$954,""),"Utilities",_xlfn.XLOOKUP($K646&amp;"",UTILITIES!$B$3:$B$953&amp;"",UTILITIES!$I$3:$I$953,""),"IOT",_xlfn.XLOOKUP($K646&amp;"",IOT!$B$3:$B$1012&amp;"",IOT!$J$3:$J$1012,""),"Server",_xlfn.XLOOKUP($K646&amp;"",SERVER!$B$3:$B$1009&amp;"",SERVER!$J$3:$J$1009,""),""))</f>
        <v/>
      </c>
      <c r="N646" s="1" t="str" cm="1">
        <f t="array" ref="N646">IF(OR($K646="",$I646="",$J646=""),"",_xlfn.LET(_xlpm.srcCat,_xlfn.SWITCH($I646,"Computer",_xlfn.XLOOKUP($K646&amp;"",COMPUTER!$B$3:$B$1009&amp;"",COMPUTER!$H$3:$H$1009,""),"Display",_xlfn.XLOOKUP($K646&amp;"",DISPLAY!$B$3:$B$1000&amp;"",DISPLAY!$H$3:$H$1000,""),"Network Device",_xlfn.XLOOKUP($K646&amp;"",'NETWORK-DEVICES'!$B$3:$B$987&amp;"",'NETWORK-DEVICES'!$H$3:$H$987,""),"Peripheral",_xlfn.XLOOKUP($K646&amp;"",PERIPHERAL!$B$3:$B$954&amp;"",PERIPHERAL!$H$3:$H$954,""),"Utilities",_xlfn.XLOOKUP($K646&amp;"",UTILITIES!$B$3:$B$953&amp;"",UTILITIES!$G$3:$G$953,""),"IOT",_xlfn.XLOOKUP($K646&amp;"",IOT!$B$3:$B$1012&amp;"",IOT!$H$3:$H$1012,""),"Server",_xlfn.XLOOKUP($K646&amp;"",SERVER!$B$3:$B$1009&amp;"",SERVER!$H$3:$H$1009,""),""),IF(TRIM(_xlpm.srcCat)&lt;&gt;TRIM($J646),"",_xlfn.SWITCH($I646,"Computer",_xlfn.XLOOKUP($K646&amp;"",COMPUTER!$B$3:$B$1009&amp;"",COMPUTER!$K$3:$K$1009,""),"Display",_xlfn.XLOOKUP($K646&amp;"",DISPLAY!$B$3:$B$1000&amp;"",DISPLAY!$L$3:$L$1000,""),"Network Device",_xlfn.XLOOKUP($K646&amp;"",'NETWORK-DEVICES'!$B$3:$B$987&amp;"",'NETWORK-DEVICES'!$K$3:$K$987,""),"Peripheral",_xlfn.XLOOKUP($K646&amp;"",PERIPHERAL!$B$3:$B$954&amp;"",PERIPHERAL!$K$3:$K$954,""),"Utilities",_xlfn.XLOOKUP($K646&amp;"",UTILITIES!$B$3:$B$953&amp;"",UTILITIES!$J$3:$J$953,""),"IOT",_xlfn.XLOOKUP($K646&amp;"",IOT!$B$3:$B$1012&amp;"",IOT!$K$4:$K$1012,""),"Server",_xlfn.XLOOKUP($K646&amp;"",SERVER!$B$3:$B$1009&amp;"",SERVER!$K$3:$K$1009,""),""))))</f>
        <v/>
      </c>
      <c r="O646" s="1" t="str" cm="1">
        <f t="array" ref="O646">IF(OR($K646="",$I646="",$J646=""),"",_xlfn.LET(_xlpm.srcCat,_xlfn.SWITCH($I646,"Computer",_xlfn.XLOOKUP($K646&amp;"",COMPUTER!$B$3:$B$1009&amp;"",COMPUTER!$H$3:$H$1009,""),"Display",_xlfn.XLOOKUP($K646&amp;"",DISPLAY!$B$3:$B$1000&amp;"",DISPLAY!$H$3:$H$1000,""),"Network Device",_xlfn.XLOOKUP($K646&amp;"",'NETWORK-DEVICES'!$B$3:$B$987&amp;"",'NETWORK-DEVICES'!$H$3:$H$987,""),"Peripheral",_xlfn.XLOOKUP($K646&amp;"",PERIPHERAL!$B$3:$B$954&amp;"",PERIPHERAL!$H$3:$H$954,""),"Utilities",_xlfn.XLOOKUP($K646&amp;"",UTILITIES!$B$3:$B$953&amp;"",UTILITIES!$G$3:$G$953,""),"IOT",_xlfn.XLOOKUP($K646&amp;"",IOT!$B$3:$B$1012&amp;"",IOT!$H$3:$H$1012,""),"Server",_xlfn.XLOOKUP($K646&amp;"",SERVER!$B$3:$B$1009&amp;"",SERVER!$H$3:$H$1009,""),""),IF(TRIM(_xlpm.srcCat)&lt;&gt;TRIM($J646),"",_xlfn.SWITCH($I646,"Computer",_xlfn.XLOOKUP($K646&amp;"",COMPUTER!$B$3:$B$1009&amp;"",COMPUTER!$E$3:$E$1009,""),"Display",_xlfn.XLOOKUP($K646&amp;"",DISPLAY!$B$3:$B$1000&amp;"",DISPLAY!$E$3:$E$1000,""),"Network Device",_xlfn.XLOOKUP($K646&amp;"",'NETWORK-DEVICES'!$B$3:$B$987&amp;"",'NETWORK-DEVICES'!$E$3:$E$987,""),"Peripheral",_xlfn.XLOOKUP($K646&amp;"",PERIPHERAL!$B$3:$B$954&amp;"",PERIPHERAL!$E$3:$E$954,""),"Utilities",_xlfn.XLOOKUP($K646&amp;"",UTILITIES!$B$3:$B$953&amp;"",UTILITIES!$E$3:$E$953,""),"IOT",_xlfn.XLOOKUP($K646&amp;"",IOT!$B$3:$B$1012&amp;"",IOT!$E$3:$E$1012,""),"Server",_xlfn.XLOOKUP($K646&amp;"",SERVER!$B$3:$B$1009&amp;"",SERVER!$E$3:$E$1009,""),""))))</f>
        <v/>
      </c>
      <c r="Q646" s="1" t="str" cm="1">
        <f t="array" ref="Q646">IF(OR($K646="",$I646="",$J646=""),"",_xlfn.LET(_xlpm.srcCat,_xlfn.SWITCH($I646,"Computer",_xlfn.XLOOKUP($K646&amp;"",COMPUTER!$B$3:$B$1009&amp;"",COMPUTER!$H$3:$H$1009,""),"Display",_xlfn.XLOOKUP($K646&amp;"",DISPLAY!$B$3:$B$1000&amp;"",DISPLAY!$H$3:$H$1000,""),"Network Device",_xlfn.XLOOKUP($K646&amp;"",'NETWORK-DEVICES'!$B$3:$B$987&amp;"",'NETWORK-DEVICES'!$H$3:$H$987,""),"Peripheral",_xlfn.XLOOKUP($K646&amp;"",PERIPHERAL!$B$3:$B$954&amp;"",PERIPHERAL!$H$3:$H$954,""),"Utilities",_xlfn.XLOOKUP($K646&amp;"",UTILITIES!$B$3:$B$953&amp;"",UTILITIES!$G$3:$G$953,""),"IOT",_xlfn.XLOOKUP($K646&amp;"",IOT!$B$3:$B$1012&amp;"",IOT!$H$3:$H$1012,""),"Server",_xlfn.XLOOKUP($K646&amp;"",SERVER!$B$3:$B$1009&amp;"",SERVER!$H$3:$H$1009,""),""),IF(TRIM(_xlpm.srcCat)&lt;&gt;TRIM($J646),"",_xlfn.SWITCH($I646,"Computer",_xlfn.XLOOKUP($K646&amp;"",COMPUTER!$B$3:$B$1009&amp;"",COMPUTER!$AM$3:$AM$1009,""),"Display",_xlfn.XLOOKUP($K646&amp;"",DISPLAY!$B$3:$B$1000&amp;"",DISPLAY!$V$3:$V$1000,""),"Network Device",_xlfn.XLOOKUP($K646&amp;"",'NETWORK-DEVICES'!$B$3:$B$987&amp;"",'NETWORK-DEVICES'!$AF$3:$AF$987,""),"Peripheral",_xlfn.XLOOKUP($K646&amp;"",PERIPHERAL!$B$3:$B$954&amp;"",PERIPHERAL!$Y$3:$Y$954,""),"Utilities",_xlfn.XLOOKUP($K646&amp;"",UTILITIES!$B$3:$B$953&amp;"",UTILITIES!$O$3:$O$953,""),"IOT",_xlfn.XLOOKUP($K646&amp;"",IOT!$B$3:$B$1012&amp;"",IOT!$AB$3:$AB$1012,""),"Server",_xlfn.XLOOKUP($K646&amp;"",SERVER!$B$3:$B$1009&amp;"",SERVER!$AB$3:$AB$1009,""),""))))</f>
        <v/>
      </c>
      <c r="R646" s="43" t="str">
        <f>IF(tbl_handover[[#This Row],[Asset Code]]="","",COUNTIF(tbl_handover[Asset Code],tbl_handover[[#This Row],[Asset Code]]))</f>
        <v/>
      </c>
    </row>
    <row r="647" spans="1:18" x14ac:dyDescent="0.25">
      <c r="A647" s="43" t="str">
        <f>IF(B647&lt;&gt;"",SUBTOTAL(3,$B$1:B646),"")</f>
        <v/>
      </c>
      <c r="C647" s="74"/>
      <c r="D647" s="74"/>
      <c r="G647" s="1"/>
      <c r="K647" s="42"/>
      <c r="L647" t="str" cm="1">
        <f t="array" ref="L647">IF($K647="","",_xlfn.SWITCH($I647,"Computer",_xlfn.XLOOKUP($K647&amp;"",COMPUTER!$B$3:$B$1009&amp;"",COMPUTER!$I$3:$I$1009,""),"Display",_xlfn.XLOOKUP($K647&amp;"",DISPLAY!$B$3:$B$1000&amp;"",DISPLAY!$J$3:$J$1000,""),"Network Device",_xlfn.XLOOKUP($K647&amp;"",'NETWORK-DEVICES'!$B$3:$B$987&amp;"",'NETWORK-DEVICES'!$I$3:$I$987,""),"Peripheral",_xlfn.XLOOKUP($K647&amp;"",PERIPHERAL!$B$3:$B$954&amp;"",PERIPHERAL!$I$3:$I$954,""),"Utilities",_xlfn.XLOOKUP($K647&amp;"",UTILITIES!$B$3:$B$953&amp;"",UTILITIES!$H$3:$H$953,""),"IOT",_xlfn.XLOOKUP($K647&amp;"",IOT!$B$3:$B$1012&amp;"",IOT!$I$3:$I$1012,""),"SERVER",_xlfn.XLOOKUP($K647&amp;"",SERVER!$B$3:$B$1009&amp;"",SERVER!$I$3:$I$1009,""),""))</f>
        <v/>
      </c>
      <c r="M647" t="str" cm="1">
        <f t="array" ref="M647">IF($K647="","",_xlfn.SWITCH($I647,"Computer",_xlfn.XLOOKUP($K647&amp;"",COMPUTER!$B$3:$B$1009&amp;"",COMPUTER!$J$3:$J$1009,""),"Display",_xlfn.XLOOKUP($K647&amp;"",DISPLAY!$B$3:$B$1000&amp;"",DISPLAY!$K$3:$K$1000,""),"Network Device",_xlfn.XLOOKUP($K647&amp;"",'NETWORK-DEVICES'!$B$3:$B$987&amp;"",'NETWORK-DEVICES'!$I$3:$I$987,""),"Peripheral",_xlfn.XLOOKUP($K647&amp;"",PERIPHERAL!$B$3:$B$954&amp;"",PERIPHERAL!$J$3:$J$954,""),"Utilities",_xlfn.XLOOKUP($K647&amp;"",UTILITIES!$B$3:$B$953&amp;"",UTILITIES!$I$3:$I$953,""),"IOT",_xlfn.XLOOKUP($K647&amp;"",IOT!$B$3:$B$1012&amp;"",IOT!$J$3:$J$1012,""),"Server",_xlfn.XLOOKUP($K647&amp;"",SERVER!$B$3:$B$1009&amp;"",SERVER!$J$3:$J$1009,""),""))</f>
        <v/>
      </c>
      <c r="N647" s="1" t="str" cm="1">
        <f t="array" ref="N647">IF(OR($K647="",$I647="",$J647=""),"",_xlfn.LET(_xlpm.srcCat,_xlfn.SWITCH($I647,"Computer",_xlfn.XLOOKUP($K647&amp;"",COMPUTER!$B$3:$B$1009&amp;"",COMPUTER!$H$3:$H$1009,""),"Display",_xlfn.XLOOKUP($K647&amp;"",DISPLAY!$B$3:$B$1000&amp;"",DISPLAY!$H$3:$H$1000,""),"Network Device",_xlfn.XLOOKUP($K647&amp;"",'NETWORK-DEVICES'!$B$3:$B$987&amp;"",'NETWORK-DEVICES'!$H$3:$H$987,""),"Peripheral",_xlfn.XLOOKUP($K647&amp;"",PERIPHERAL!$B$3:$B$954&amp;"",PERIPHERAL!$H$3:$H$954,""),"Utilities",_xlfn.XLOOKUP($K647&amp;"",UTILITIES!$B$3:$B$953&amp;"",UTILITIES!$G$3:$G$953,""),"IOT",_xlfn.XLOOKUP($K647&amp;"",IOT!$B$3:$B$1012&amp;"",IOT!$H$3:$H$1012,""),"Server",_xlfn.XLOOKUP($K647&amp;"",SERVER!$B$3:$B$1009&amp;"",SERVER!$H$3:$H$1009,""),""),IF(TRIM(_xlpm.srcCat)&lt;&gt;TRIM($J647),"",_xlfn.SWITCH($I647,"Computer",_xlfn.XLOOKUP($K647&amp;"",COMPUTER!$B$3:$B$1009&amp;"",COMPUTER!$K$3:$K$1009,""),"Display",_xlfn.XLOOKUP($K647&amp;"",DISPLAY!$B$3:$B$1000&amp;"",DISPLAY!$L$3:$L$1000,""),"Network Device",_xlfn.XLOOKUP($K647&amp;"",'NETWORK-DEVICES'!$B$3:$B$987&amp;"",'NETWORK-DEVICES'!$K$3:$K$987,""),"Peripheral",_xlfn.XLOOKUP($K647&amp;"",PERIPHERAL!$B$3:$B$954&amp;"",PERIPHERAL!$K$3:$K$954,""),"Utilities",_xlfn.XLOOKUP($K647&amp;"",UTILITIES!$B$3:$B$953&amp;"",UTILITIES!$J$3:$J$953,""),"IOT",_xlfn.XLOOKUP($K647&amp;"",IOT!$B$3:$B$1012&amp;"",IOT!$K$4:$K$1012,""),"Server",_xlfn.XLOOKUP($K647&amp;"",SERVER!$B$3:$B$1009&amp;"",SERVER!$K$3:$K$1009,""),""))))</f>
        <v/>
      </c>
      <c r="O647" s="1" t="str" cm="1">
        <f t="array" ref="O647">IF(OR($K647="",$I647="",$J647=""),"",_xlfn.LET(_xlpm.srcCat,_xlfn.SWITCH($I647,"Computer",_xlfn.XLOOKUP($K647&amp;"",COMPUTER!$B$3:$B$1009&amp;"",COMPUTER!$H$3:$H$1009,""),"Display",_xlfn.XLOOKUP($K647&amp;"",DISPLAY!$B$3:$B$1000&amp;"",DISPLAY!$H$3:$H$1000,""),"Network Device",_xlfn.XLOOKUP($K647&amp;"",'NETWORK-DEVICES'!$B$3:$B$987&amp;"",'NETWORK-DEVICES'!$H$3:$H$987,""),"Peripheral",_xlfn.XLOOKUP($K647&amp;"",PERIPHERAL!$B$3:$B$954&amp;"",PERIPHERAL!$H$3:$H$954,""),"Utilities",_xlfn.XLOOKUP($K647&amp;"",UTILITIES!$B$3:$B$953&amp;"",UTILITIES!$G$3:$G$953,""),"IOT",_xlfn.XLOOKUP($K647&amp;"",IOT!$B$3:$B$1012&amp;"",IOT!$H$3:$H$1012,""),"Server",_xlfn.XLOOKUP($K647&amp;"",SERVER!$B$3:$B$1009&amp;"",SERVER!$H$3:$H$1009,""),""),IF(TRIM(_xlpm.srcCat)&lt;&gt;TRIM($J647),"",_xlfn.SWITCH($I647,"Computer",_xlfn.XLOOKUP($K647&amp;"",COMPUTER!$B$3:$B$1009&amp;"",COMPUTER!$E$3:$E$1009,""),"Display",_xlfn.XLOOKUP($K647&amp;"",DISPLAY!$B$3:$B$1000&amp;"",DISPLAY!$E$3:$E$1000,""),"Network Device",_xlfn.XLOOKUP($K647&amp;"",'NETWORK-DEVICES'!$B$3:$B$987&amp;"",'NETWORK-DEVICES'!$E$3:$E$987,""),"Peripheral",_xlfn.XLOOKUP($K647&amp;"",PERIPHERAL!$B$3:$B$954&amp;"",PERIPHERAL!$E$3:$E$954,""),"Utilities",_xlfn.XLOOKUP($K647&amp;"",UTILITIES!$B$3:$B$953&amp;"",UTILITIES!$E$3:$E$953,""),"IOT",_xlfn.XLOOKUP($K647&amp;"",IOT!$B$3:$B$1012&amp;"",IOT!$E$3:$E$1012,""),"Server",_xlfn.XLOOKUP($K647&amp;"",SERVER!$B$3:$B$1009&amp;"",SERVER!$E$3:$E$1009,""),""))))</f>
        <v/>
      </c>
      <c r="Q647" s="1" t="str" cm="1">
        <f t="array" ref="Q647">IF(OR($K647="",$I647="",$J647=""),"",_xlfn.LET(_xlpm.srcCat,_xlfn.SWITCH($I647,"Computer",_xlfn.XLOOKUP($K647&amp;"",COMPUTER!$B$3:$B$1009&amp;"",COMPUTER!$H$3:$H$1009,""),"Display",_xlfn.XLOOKUP($K647&amp;"",DISPLAY!$B$3:$B$1000&amp;"",DISPLAY!$H$3:$H$1000,""),"Network Device",_xlfn.XLOOKUP($K647&amp;"",'NETWORK-DEVICES'!$B$3:$B$987&amp;"",'NETWORK-DEVICES'!$H$3:$H$987,""),"Peripheral",_xlfn.XLOOKUP($K647&amp;"",PERIPHERAL!$B$3:$B$954&amp;"",PERIPHERAL!$H$3:$H$954,""),"Utilities",_xlfn.XLOOKUP($K647&amp;"",UTILITIES!$B$3:$B$953&amp;"",UTILITIES!$G$3:$G$953,""),"IOT",_xlfn.XLOOKUP($K647&amp;"",IOT!$B$3:$B$1012&amp;"",IOT!$H$3:$H$1012,""),"Server",_xlfn.XLOOKUP($K647&amp;"",SERVER!$B$3:$B$1009&amp;"",SERVER!$H$3:$H$1009,""),""),IF(TRIM(_xlpm.srcCat)&lt;&gt;TRIM($J647),"",_xlfn.SWITCH($I647,"Computer",_xlfn.XLOOKUP($K647&amp;"",COMPUTER!$B$3:$B$1009&amp;"",COMPUTER!$AM$3:$AM$1009,""),"Display",_xlfn.XLOOKUP($K647&amp;"",DISPLAY!$B$3:$B$1000&amp;"",DISPLAY!$V$3:$V$1000,""),"Network Device",_xlfn.XLOOKUP($K647&amp;"",'NETWORK-DEVICES'!$B$3:$B$987&amp;"",'NETWORK-DEVICES'!$AF$3:$AF$987,""),"Peripheral",_xlfn.XLOOKUP($K647&amp;"",PERIPHERAL!$B$3:$B$954&amp;"",PERIPHERAL!$Y$3:$Y$954,""),"Utilities",_xlfn.XLOOKUP($K647&amp;"",UTILITIES!$B$3:$B$953&amp;"",UTILITIES!$O$3:$O$953,""),"IOT",_xlfn.XLOOKUP($K647&amp;"",IOT!$B$3:$B$1012&amp;"",IOT!$AB$3:$AB$1012,""),"Server",_xlfn.XLOOKUP($K647&amp;"",SERVER!$B$3:$B$1009&amp;"",SERVER!$AB$3:$AB$1009,""),""))))</f>
        <v/>
      </c>
      <c r="R647" s="43" t="str">
        <f>IF(tbl_handover[[#This Row],[Asset Code]]="","",COUNTIF(tbl_handover[Asset Code],tbl_handover[[#This Row],[Asset Code]]))</f>
        <v/>
      </c>
    </row>
    <row r="648" spans="1:18" x14ac:dyDescent="0.25">
      <c r="A648" s="43" t="str">
        <f>IF(B648&lt;&gt;"",SUBTOTAL(3,$B$1:B647),"")</f>
        <v/>
      </c>
      <c r="C648" s="74"/>
      <c r="D648" s="74"/>
      <c r="G648" s="1"/>
      <c r="K648" s="42"/>
      <c r="L648" t="str" cm="1">
        <f t="array" ref="L648">IF($K648="","",_xlfn.SWITCH($I648,"Computer",_xlfn.XLOOKUP($K648&amp;"",COMPUTER!$B$3:$B$1009&amp;"",COMPUTER!$I$3:$I$1009,""),"Display",_xlfn.XLOOKUP($K648&amp;"",DISPLAY!$B$3:$B$1000&amp;"",DISPLAY!$J$3:$J$1000,""),"Network Device",_xlfn.XLOOKUP($K648&amp;"",'NETWORK-DEVICES'!$B$3:$B$987&amp;"",'NETWORK-DEVICES'!$I$3:$I$987,""),"Peripheral",_xlfn.XLOOKUP($K648&amp;"",PERIPHERAL!$B$3:$B$954&amp;"",PERIPHERAL!$I$3:$I$954,""),"Utilities",_xlfn.XLOOKUP($K648&amp;"",UTILITIES!$B$3:$B$953&amp;"",UTILITIES!$H$3:$H$953,""),"IOT",_xlfn.XLOOKUP($K648&amp;"",IOT!$B$3:$B$1012&amp;"",IOT!$I$3:$I$1012,""),"SERVER",_xlfn.XLOOKUP($K648&amp;"",SERVER!$B$3:$B$1009&amp;"",SERVER!$I$3:$I$1009,""),""))</f>
        <v/>
      </c>
      <c r="M648" t="str" cm="1">
        <f t="array" ref="M648">IF($K648="","",_xlfn.SWITCH($I648,"Computer",_xlfn.XLOOKUP($K648&amp;"",COMPUTER!$B$3:$B$1009&amp;"",COMPUTER!$J$3:$J$1009,""),"Display",_xlfn.XLOOKUP($K648&amp;"",DISPLAY!$B$3:$B$1000&amp;"",DISPLAY!$K$3:$K$1000,""),"Network Device",_xlfn.XLOOKUP($K648&amp;"",'NETWORK-DEVICES'!$B$3:$B$987&amp;"",'NETWORK-DEVICES'!$I$3:$I$987,""),"Peripheral",_xlfn.XLOOKUP($K648&amp;"",PERIPHERAL!$B$3:$B$954&amp;"",PERIPHERAL!$J$3:$J$954,""),"Utilities",_xlfn.XLOOKUP($K648&amp;"",UTILITIES!$B$3:$B$953&amp;"",UTILITIES!$I$3:$I$953,""),"IOT",_xlfn.XLOOKUP($K648&amp;"",IOT!$B$3:$B$1012&amp;"",IOT!$J$3:$J$1012,""),"Server",_xlfn.XLOOKUP($K648&amp;"",SERVER!$B$3:$B$1009&amp;"",SERVER!$J$3:$J$1009,""),""))</f>
        <v/>
      </c>
      <c r="N648" s="1" t="str" cm="1">
        <f t="array" ref="N648">IF(OR($K648="",$I648="",$J648=""),"",_xlfn.LET(_xlpm.srcCat,_xlfn.SWITCH($I648,"Computer",_xlfn.XLOOKUP($K648&amp;"",COMPUTER!$B$3:$B$1009&amp;"",COMPUTER!$H$3:$H$1009,""),"Display",_xlfn.XLOOKUP($K648&amp;"",DISPLAY!$B$3:$B$1000&amp;"",DISPLAY!$H$3:$H$1000,""),"Network Device",_xlfn.XLOOKUP($K648&amp;"",'NETWORK-DEVICES'!$B$3:$B$987&amp;"",'NETWORK-DEVICES'!$H$3:$H$987,""),"Peripheral",_xlfn.XLOOKUP($K648&amp;"",PERIPHERAL!$B$3:$B$954&amp;"",PERIPHERAL!$H$3:$H$954,""),"Utilities",_xlfn.XLOOKUP($K648&amp;"",UTILITIES!$B$3:$B$953&amp;"",UTILITIES!$G$3:$G$953,""),"IOT",_xlfn.XLOOKUP($K648&amp;"",IOT!$B$3:$B$1012&amp;"",IOT!$H$3:$H$1012,""),"Server",_xlfn.XLOOKUP($K648&amp;"",SERVER!$B$3:$B$1009&amp;"",SERVER!$H$3:$H$1009,""),""),IF(TRIM(_xlpm.srcCat)&lt;&gt;TRIM($J648),"",_xlfn.SWITCH($I648,"Computer",_xlfn.XLOOKUP($K648&amp;"",COMPUTER!$B$3:$B$1009&amp;"",COMPUTER!$K$3:$K$1009,""),"Display",_xlfn.XLOOKUP($K648&amp;"",DISPLAY!$B$3:$B$1000&amp;"",DISPLAY!$L$3:$L$1000,""),"Network Device",_xlfn.XLOOKUP($K648&amp;"",'NETWORK-DEVICES'!$B$3:$B$987&amp;"",'NETWORK-DEVICES'!$K$3:$K$987,""),"Peripheral",_xlfn.XLOOKUP($K648&amp;"",PERIPHERAL!$B$3:$B$954&amp;"",PERIPHERAL!$K$3:$K$954,""),"Utilities",_xlfn.XLOOKUP($K648&amp;"",UTILITIES!$B$3:$B$953&amp;"",UTILITIES!$J$3:$J$953,""),"IOT",_xlfn.XLOOKUP($K648&amp;"",IOT!$B$3:$B$1012&amp;"",IOT!$K$4:$K$1012,""),"Server",_xlfn.XLOOKUP($K648&amp;"",SERVER!$B$3:$B$1009&amp;"",SERVER!$K$3:$K$1009,""),""))))</f>
        <v/>
      </c>
      <c r="O648" s="1" t="str" cm="1">
        <f t="array" ref="O648">IF(OR($K648="",$I648="",$J648=""),"",_xlfn.LET(_xlpm.srcCat,_xlfn.SWITCH($I648,"Computer",_xlfn.XLOOKUP($K648&amp;"",COMPUTER!$B$3:$B$1009&amp;"",COMPUTER!$H$3:$H$1009,""),"Display",_xlfn.XLOOKUP($K648&amp;"",DISPLAY!$B$3:$B$1000&amp;"",DISPLAY!$H$3:$H$1000,""),"Network Device",_xlfn.XLOOKUP($K648&amp;"",'NETWORK-DEVICES'!$B$3:$B$987&amp;"",'NETWORK-DEVICES'!$H$3:$H$987,""),"Peripheral",_xlfn.XLOOKUP($K648&amp;"",PERIPHERAL!$B$3:$B$954&amp;"",PERIPHERAL!$H$3:$H$954,""),"Utilities",_xlfn.XLOOKUP($K648&amp;"",UTILITIES!$B$3:$B$953&amp;"",UTILITIES!$G$3:$G$953,""),"IOT",_xlfn.XLOOKUP($K648&amp;"",IOT!$B$3:$B$1012&amp;"",IOT!$H$3:$H$1012,""),"Server",_xlfn.XLOOKUP($K648&amp;"",SERVER!$B$3:$B$1009&amp;"",SERVER!$H$3:$H$1009,""),""),IF(TRIM(_xlpm.srcCat)&lt;&gt;TRIM($J648),"",_xlfn.SWITCH($I648,"Computer",_xlfn.XLOOKUP($K648&amp;"",COMPUTER!$B$3:$B$1009&amp;"",COMPUTER!$E$3:$E$1009,""),"Display",_xlfn.XLOOKUP($K648&amp;"",DISPLAY!$B$3:$B$1000&amp;"",DISPLAY!$E$3:$E$1000,""),"Network Device",_xlfn.XLOOKUP($K648&amp;"",'NETWORK-DEVICES'!$B$3:$B$987&amp;"",'NETWORK-DEVICES'!$E$3:$E$987,""),"Peripheral",_xlfn.XLOOKUP($K648&amp;"",PERIPHERAL!$B$3:$B$954&amp;"",PERIPHERAL!$E$3:$E$954,""),"Utilities",_xlfn.XLOOKUP($K648&amp;"",UTILITIES!$B$3:$B$953&amp;"",UTILITIES!$E$3:$E$953,""),"IOT",_xlfn.XLOOKUP($K648&amp;"",IOT!$B$3:$B$1012&amp;"",IOT!$E$3:$E$1012,""),"Server",_xlfn.XLOOKUP($K648&amp;"",SERVER!$B$3:$B$1009&amp;"",SERVER!$E$3:$E$1009,""),""))))</f>
        <v/>
      </c>
      <c r="Q648" s="1" t="str" cm="1">
        <f t="array" ref="Q648">IF(OR($K648="",$I648="",$J648=""),"",_xlfn.LET(_xlpm.srcCat,_xlfn.SWITCH($I648,"Computer",_xlfn.XLOOKUP($K648&amp;"",COMPUTER!$B$3:$B$1009&amp;"",COMPUTER!$H$3:$H$1009,""),"Display",_xlfn.XLOOKUP($K648&amp;"",DISPLAY!$B$3:$B$1000&amp;"",DISPLAY!$H$3:$H$1000,""),"Network Device",_xlfn.XLOOKUP($K648&amp;"",'NETWORK-DEVICES'!$B$3:$B$987&amp;"",'NETWORK-DEVICES'!$H$3:$H$987,""),"Peripheral",_xlfn.XLOOKUP($K648&amp;"",PERIPHERAL!$B$3:$B$954&amp;"",PERIPHERAL!$H$3:$H$954,""),"Utilities",_xlfn.XLOOKUP($K648&amp;"",UTILITIES!$B$3:$B$953&amp;"",UTILITIES!$G$3:$G$953,""),"IOT",_xlfn.XLOOKUP($K648&amp;"",IOT!$B$3:$B$1012&amp;"",IOT!$H$3:$H$1012,""),"Server",_xlfn.XLOOKUP($K648&amp;"",SERVER!$B$3:$B$1009&amp;"",SERVER!$H$3:$H$1009,""),""),IF(TRIM(_xlpm.srcCat)&lt;&gt;TRIM($J648),"",_xlfn.SWITCH($I648,"Computer",_xlfn.XLOOKUP($K648&amp;"",COMPUTER!$B$3:$B$1009&amp;"",COMPUTER!$AM$3:$AM$1009,""),"Display",_xlfn.XLOOKUP($K648&amp;"",DISPLAY!$B$3:$B$1000&amp;"",DISPLAY!$V$3:$V$1000,""),"Network Device",_xlfn.XLOOKUP($K648&amp;"",'NETWORK-DEVICES'!$B$3:$B$987&amp;"",'NETWORK-DEVICES'!$AF$3:$AF$987,""),"Peripheral",_xlfn.XLOOKUP($K648&amp;"",PERIPHERAL!$B$3:$B$954&amp;"",PERIPHERAL!$Y$3:$Y$954,""),"Utilities",_xlfn.XLOOKUP($K648&amp;"",UTILITIES!$B$3:$B$953&amp;"",UTILITIES!$O$3:$O$953,""),"IOT",_xlfn.XLOOKUP($K648&amp;"",IOT!$B$3:$B$1012&amp;"",IOT!$AB$3:$AB$1012,""),"Server",_xlfn.XLOOKUP($K648&amp;"",SERVER!$B$3:$B$1009&amp;"",SERVER!$AB$3:$AB$1009,""),""))))</f>
        <v/>
      </c>
      <c r="R648" s="43" t="str">
        <f>IF(tbl_handover[[#This Row],[Asset Code]]="","",COUNTIF(tbl_handover[Asset Code],tbl_handover[[#This Row],[Asset Code]]))</f>
        <v/>
      </c>
    </row>
    <row r="649" spans="1:18" x14ac:dyDescent="0.25">
      <c r="A649" s="43" t="str">
        <f>IF(B649&lt;&gt;"",SUBTOTAL(3,$B$1:B648),"")</f>
        <v/>
      </c>
      <c r="C649" s="74"/>
      <c r="D649" s="74"/>
      <c r="G649" s="1"/>
      <c r="K649" s="42"/>
      <c r="L649" t="str" cm="1">
        <f t="array" ref="L649">IF($K649="","",_xlfn.SWITCH($I649,"Computer",_xlfn.XLOOKUP($K649&amp;"",COMPUTER!$B$3:$B$1009&amp;"",COMPUTER!$I$3:$I$1009,""),"Display",_xlfn.XLOOKUP($K649&amp;"",DISPLAY!$B$3:$B$1000&amp;"",DISPLAY!$J$3:$J$1000,""),"Network Device",_xlfn.XLOOKUP($K649&amp;"",'NETWORK-DEVICES'!$B$3:$B$987&amp;"",'NETWORK-DEVICES'!$I$3:$I$987,""),"Peripheral",_xlfn.XLOOKUP($K649&amp;"",PERIPHERAL!$B$3:$B$954&amp;"",PERIPHERAL!$I$3:$I$954,""),"Utilities",_xlfn.XLOOKUP($K649&amp;"",UTILITIES!$B$3:$B$953&amp;"",UTILITIES!$H$3:$H$953,""),"IOT",_xlfn.XLOOKUP($K649&amp;"",IOT!$B$3:$B$1012&amp;"",IOT!$I$3:$I$1012,""),"SERVER",_xlfn.XLOOKUP($K649&amp;"",SERVER!$B$3:$B$1009&amp;"",SERVER!$I$3:$I$1009,""),""))</f>
        <v/>
      </c>
      <c r="M649" t="str" cm="1">
        <f t="array" ref="M649">IF($K649="","",_xlfn.SWITCH($I649,"Computer",_xlfn.XLOOKUP($K649&amp;"",COMPUTER!$B$3:$B$1009&amp;"",COMPUTER!$J$3:$J$1009,""),"Display",_xlfn.XLOOKUP($K649&amp;"",DISPLAY!$B$3:$B$1000&amp;"",DISPLAY!$K$3:$K$1000,""),"Network Device",_xlfn.XLOOKUP($K649&amp;"",'NETWORK-DEVICES'!$B$3:$B$987&amp;"",'NETWORK-DEVICES'!$I$3:$I$987,""),"Peripheral",_xlfn.XLOOKUP($K649&amp;"",PERIPHERAL!$B$3:$B$954&amp;"",PERIPHERAL!$J$3:$J$954,""),"Utilities",_xlfn.XLOOKUP($K649&amp;"",UTILITIES!$B$3:$B$953&amp;"",UTILITIES!$I$3:$I$953,""),"IOT",_xlfn.XLOOKUP($K649&amp;"",IOT!$B$3:$B$1012&amp;"",IOT!$J$3:$J$1012,""),"Server",_xlfn.XLOOKUP($K649&amp;"",SERVER!$B$3:$B$1009&amp;"",SERVER!$J$3:$J$1009,""),""))</f>
        <v/>
      </c>
      <c r="N649" s="1" t="str" cm="1">
        <f t="array" ref="N649">IF(OR($K649="",$I649="",$J649=""),"",_xlfn.LET(_xlpm.srcCat,_xlfn.SWITCH($I649,"Computer",_xlfn.XLOOKUP($K649&amp;"",COMPUTER!$B$3:$B$1009&amp;"",COMPUTER!$H$3:$H$1009,""),"Display",_xlfn.XLOOKUP($K649&amp;"",DISPLAY!$B$3:$B$1000&amp;"",DISPLAY!$H$3:$H$1000,""),"Network Device",_xlfn.XLOOKUP($K649&amp;"",'NETWORK-DEVICES'!$B$3:$B$987&amp;"",'NETWORK-DEVICES'!$H$3:$H$987,""),"Peripheral",_xlfn.XLOOKUP($K649&amp;"",PERIPHERAL!$B$3:$B$954&amp;"",PERIPHERAL!$H$3:$H$954,""),"Utilities",_xlfn.XLOOKUP($K649&amp;"",UTILITIES!$B$3:$B$953&amp;"",UTILITIES!$G$3:$G$953,""),"IOT",_xlfn.XLOOKUP($K649&amp;"",IOT!$B$3:$B$1012&amp;"",IOT!$H$3:$H$1012,""),"Server",_xlfn.XLOOKUP($K649&amp;"",SERVER!$B$3:$B$1009&amp;"",SERVER!$H$3:$H$1009,""),""),IF(TRIM(_xlpm.srcCat)&lt;&gt;TRIM($J649),"",_xlfn.SWITCH($I649,"Computer",_xlfn.XLOOKUP($K649&amp;"",COMPUTER!$B$3:$B$1009&amp;"",COMPUTER!$K$3:$K$1009,""),"Display",_xlfn.XLOOKUP($K649&amp;"",DISPLAY!$B$3:$B$1000&amp;"",DISPLAY!$L$3:$L$1000,""),"Network Device",_xlfn.XLOOKUP($K649&amp;"",'NETWORK-DEVICES'!$B$3:$B$987&amp;"",'NETWORK-DEVICES'!$K$3:$K$987,""),"Peripheral",_xlfn.XLOOKUP($K649&amp;"",PERIPHERAL!$B$3:$B$954&amp;"",PERIPHERAL!$K$3:$K$954,""),"Utilities",_xlfn.XLOOKUP($K649&amp;"",UTILITIES!$B$3:$B$953&amp;"",UTILITIES!$J$3:$J$953,""),"IOT",_xlfn.XLOOKUP($K649&amp;"",IOT!$B$3:$B$1012&amp;"",IOT!$K$4:$K$1012,""),"Server",_xlfn.XLOOKUP($K649&amp;"",SERVER!$B$3:$B$1009&amp;"",SERVER!$K$3:$K$1009,""),""))))</f>
        <v/>
      </c>
      <c r="O649" s="1" t="str" cm="1">
        <f t="array" ref="O649">IF(OR($K649="",$I649="",$J649=""),"",_xlfn.LET(_xlpm.srcCat,_xlfn.SWITCH($I649,"Computer",_xlfn.XLOOKUP($K649&amp;"",COMPUTER!$B$3:$B$1009&amp;"",COMPUTER!$H$3:$H$1009,""),"Display",_xlfn.XLOOKUP($K649&amp;"",DISPLAY!$B$3:$B$1000&amp;"",DISPLAY!$H$3:$H$1000,""),"Network Device",_xlfn.XLOOKUP($K649&amp;"",'NETWORK-DEVICES'!$B$3:$B$987&amp;"",'NETWORK-DEVICES'!$H$3:$H$987,""),"Peripheral",_xlfn.XLOOKUP($K649&amp;"",PERIPHERAL!$B$3:$B$954&amp;"",PERIPHERAL!$H$3:$H$954,""),"Utilities",_xlfn.XLOOKUP($K649&amp;"",UTILITIES!$B$3:$B$953&amp;"",UTILITIES!$G$3:$G$953,""),"IOT",_xlfn.XLOOKUP($K649&amp;"",IOT!$B$3:$B$1012&amp;"",IOT!$H$3:$H$1012,""),"Server",_xlfn.XLOOKUP($K649&amp;"",SERVER!$B$3:$B$1009&amp;"",SERVER!$H$3:$H$1009,""),""),IF(TRIM(_xlpm.srcCat)&lt;&gt;TRIM($J649),"",_xlfn.SWITCH($I649,"Computer",_xlfn.XLOOKUP($K649&amp;"",COMPUTER!$B$3:$B$1009&amp;"",COMPUTER!$E$3:$E$1009,""),"Display",_xlfn.XLOOKUP($K649&amp;"",DISPLAY!$B$3:$B$1000&amp;"",DISPLAY!$E$3:$E$1000,""),"Network Device",_xlfn.XLOOKUP($K649&amp;"",'NETWORK-DEVICES'!$B$3:$B$987&amp;"",'NETWORK-DEVICES'!$E$3:$E$987,""),"Peripheral",_xlfn.XLOOKUP($K649&amp;"",PERIPHERAL!$B$3:$B$954&amp;"",PERIPHERAL!$E$3:$E$954,""),"Utilities",_xlfn.XLOOKUP($K649&amp;"",UTILITIES!$B$3:$B$953&amp;"",UTILITIES!$E$3:$E$953,""),"IOT",_xlfn.XLOOKUP($K649&amp;"",IOT!$B$3:$B$1012&amp;"",IOT!$E$3:$E$1012,""),"Server",_xlfn.XLOOKUP($K649&amp;"",SERVER!$B$3:$B$1009&amp;"",SERVER!$E$3:$E$1009,""),""))))</f>
        <v/>
      </c>
      <c r="Q649" s="1" t="str" cm="1">
        <f t="array" ref="Q649">IF(OR($K649="",$I649="",$J649=""),"",_xlfn.LET(_xlpm.srcCat,_xlfn.SWITCH($I649,"Computer",_xlfn.XLOOKUP($K649&amp;"",COMPUTER!$B$3:$B$1009&amp;"",COMPUTER!$H$3:$H$1009,""),"Display",_xlfn.XLOOKUP($K649&amp;"",DISPLAY!$B$3:$B$1000&amp;"",DISPLAY!$H$3:$H$1000,""),"Network Device",_xlfn.XLOOKUP($K649&amp;"",'NETWORK-DEVICES'!$B$3:$B$987&amp;"",'NETWORK-DEVICES'!$H$3:$H$987,""),"Peripheral",_xlfn.XLOOKUP($K649&amp;"",PERIPHERAL!$B$3:$B$954&amp;"",PERIPHERAL!$H$3:$H$954,""),"Utilities",_xlfn.XLOOKUP($K649&amp;"",UTILITIES!$B$3:$B$953&amp;"",UTILITIES!$G$3:$G$953,""),"IOT",_xlfn.XLOOKUP($K649&amp;"",IOT!$B$3:$B$1012&amp;"",IOT!$H$3:$H$1012,""),"Server",_xlfn.XLOOKUP($K649&amp;"",SERVER!$B$3:$B$1009&amp;"",SERVER!$H$3:$H$1009,""),""),IF(TRIM(_xlpm.srcCat)&lt;&gt;TRIM($J649),"",_xlfn.SWITCH($I649,"Computer",_xlfn.XLOOKUP($K649&amp;"",COMPUTER!$B$3:$B$1009&amp;"",COMPUTER!$AM$3:$AM$1009,""),"Display",_xlfn.XLOOKUP($K649&amp;"",DISPLAY!$B$3:$B$1000&amp;"",DISPLAY!$V$3:$V$1000,""),"Network Device",_xlfn.XLOOKUP($K649&amp;"",'NETWORK-DEVICES'!$B$3:$B$987&amp;"",'NETWORK-DEVICES'!$AF$3:$AF$987,""),"Peripheral",_xlfn.XLOOKUP($K649&amp;"",PERIPHERAL!$B$3:$B$954&amp;"",PERIPHERAL!$Y$3:$Y$954,""),"Utilities",_xlfn.XLOOKUP($K649&amp;"",UTILITIES!$B$3:$B$953&amp;"",UTILITIES!$O$3:$O$953,""),"IOT",_xlfn.XLOOKUP($K649&amp;"",IOT!$B$3:$B$1012&amp;"",IOT!$AB$3:$AB$1012,""),"Server",_xlfn.XLOOKUP($K649&amp;"",SERVER!$B$3:$B$1009&amp;"",SERVER!$AB$3:$AB$1009,""),""))))</f>
        <v/>
      </c>
      <c r="R649" s="43" t="str">
        <f>IF(tbl_handover[[#This Row],[Asset Code]]="","",COUNTIF(tbl_handover[Asset Code],tbl_handover[[#This Row],[Asset Code]]))</f>
        <v/>
      </c>
    </row>
    <row r="650" spans="1:18" x14ac:dyDescent="0.25">
      <c r="A650" s="43" t="str">
        <f>IF(B650&lt;&gt;"",SUBTOTAL(3,$B$1:B649),"")</f>
        <v/>
      </c>
      <c r="C650" s="74"/>
      <c r="D650" s="74"/>
      <c r="G650" s="1"/>
      <c r="K650" s="42"/>
      <c r="L650" t="str" cm="1">
        <f t="array" ref="L650">IF($K650="","",_xlfn.SWITCH($I650,"Computer",_xlfn.XLOOKUP($K650&amp;"",COMPUTER!$B$3:$B$1009&amp;"",COMPUTER!$I$3:$I$1009,""),"Display",_xlfn.XLOOKUP($K650&amp;"",DISPLAY!$B$3:$B$1000&amp;"",DISPLAY!$J$3:$J$1000,""),"Network Device",_xlfn.XLOOKUP($K650&amp;"",'NETWORK-DEVICES'!$B$3:$B$987&amp;"",'NETWORK-DEVICES'!$I$3:$I$987,""),"Peripheral",_xlfn.XLOOKUP($K650&amp;"",PERIPHERAL!$B$3:$B$954&amp;"",PERIPHERAL!$I$3:$I$954,""),"Utilities",_xlfn.XLOOKUP($K650&amp;"",UTILITIES!$B$3:$B$953&amp;"",UTILITIES!$H$3:$H$953,""),"IOT",_xlfn.XLOOKUP($K650&amp;"",IOT!$B$3:$B$1012&amp;"",IOT!$I$3:$I$1012,""),"SERVER",_xlfn.XLOOKUP($K650&amp;"",SERVER!$B$3:$B$1009&amp;"",SERVER!$I$3:$I$1009,""),""))</f>
        <v/>
      </c>
      <c r="M650" t="str" cm="1">
        <f t="array" ref="M650">IF($K650="","",_xlfn.SWITCH($I650,"Computer",_xlfn.XLOOKUP($K650&amp;"",COMPUTER!$B$3:$B$1009&amp;"",COMPUTER!$J$3:$J$1009,""),"Display",_xlfn.XLOOKUP($K650&amp;"",DISPLAY!$B$3:$B$1000&amp;"",DISPLAY!$K$3:$K$1000,""),"Network Device",_xlfn.XLOOKUP($K650&amp;"",'NETWORK-DEVICES'!$B$3:$B$987&amp;"",'NETWORK-DEVICES'!$I$3:$I$987,""),"Peripheral",_xlfn.XLOOKUP($K650&amp;"",PERIPHERAL!$B$3:$B$954&amp;"",PERIPHERAL!$J$3:$J$954,""),"Utilities",_xlfn.XLOOKUP($K650&amp;"",UTILITIES!$B$3:$B$953&amp;"",UTILITIES!$I$3:$I$953,""),"IOT",_xlfn.XLOOKUP($K650&amp;"",IOT!$B$3:$B$1012&amp;"",IOT!$J$3:$J$1012,""),"Server",_xlfn.XLOOKUP($K650&amp;"",SERVER!$B$3:$B$1009&amp;"",SERVER!$J$3:$J$1009,""),""))</f>
        <v/>
      </c>
      <c r="N650" s="1" t="str" cm="1">
        <f t="array" ref="N650">IF(OR($K650="",$I650="",$J650=""),"",_xlfn.LET(_xlpm.srcCat,_xlfn.SWITCH($I650,"Computer",_xlfn.XLOOKUP($K650&amp;"",COMPUTER!$B$3:$B$1009&amp;"",COMPUTER!$H$3:$H$1009,""),"Display",_xlfn.XLOOKUP($K650&amp;"",DISPLAY!$B$3:$B$1000&amp;"",DISPLAY!$H$3:$H$1000,""),"Network Device",_xlfn.XLOOKUP($K650&amp;"",'NETWORK-DEVICES'!$B$3:$B$987&amp;"",'NETWORK-DEVICES'!$H$3:$H$987,""),"Peripheral",_xlfn.XLOOKUP($K650&amp;"",PERIPHERAL!$B$3:$B$954&amp;"",PERIPHERAL!$H$3:$H$954,""),"Utilities",_xlfn.XLOOKUP($K650&amp;"",UTILITIES!$B$3:$B$953&amp;"",UTILITIES!$G$3:$G$953,""),"IOT",_xlfn.XLOOKUP($K650&amp;"",IOT!$B$3:$B$1012&amp;"",IOT!$H$3:$H$1012,""),"Server",_xlfn.XLOOKUP($K650&amp;"",SERVER!$B$3:$B$1009&amp;"",SERVER!$H$3:$H$1009,""),""),IF(TRIM(_xlpm.srcCat)&lt;&gt;TRIM($J650),"",_xlfn.SWITCH($I650,"Computer",_xlfn.XLOOKUP($K650&amp;"",COMPUTER!$B$3:$B$1009&amp;"",COMPUTER!$K$3:$K$1009,""),"Display",_xlfn.XLOOKUP($K650&amp;"",DISPLAY!$B$3:$B$1000&amp;"",DISPLAY!$L$3:$L$1000,""),"Network Device",_xlfn.XLOOKUP($K650&amp;"",'NETWORK-DEVICES'!$B$3:$B$987&amp;"",'NETWORK-DEVICES'!$K$3:$K$987,""),"Peripheral",_xlfn.XLOOKUP($K650&amp;"",PERIPHERAL!$B$3:$B$954&amp;"",PERIPHERAL!$K$3:$K$954,""),"Utilities",_xlfn.XLOOKUP($K650&amp;"",UTILITIES!$B$3:$B$953&amp;"",UTILITIES!$J$3:$J$953,""),"IOT",_xlfn.XLOOKUP($K650&amp;"",IOT!$B$3:$B$1012&amp;"",IOT!$K$4:$K$1012,""),"Server",_xlfn.XLOOKUP($K650&amp;"",SERVER!$B$3:$B$1009&amp;"",SERVER!$K$3:$K$1009,""),""))))</f>
        <v/>
      </c>
      <c r="O650" s="1" t="str" cm="1">
        <f t="array" ref="O650">IF(OR($K650="",$I650="",$J650=""),"",_xlfn.LET(_xlpm.srcCat,_xlfn.SWITCH($I650,"Computer",_xlfn.XLOOKUP($K650&amp;"",COMPUTER!$B$3:$B$1009&amp;"",COMPUTER!$H$3:$H$1009,""),"Display",_xlfn.XLOOKUP($K650&amp;"",DISPLAY!$B$3:$B$1000&amp;"",DISPLAY!$H$3:$H$1000,""),"Network Device",_xlfn.XLOOKUP($K650&amp;"",'NETWORK-DEVICES'!$B$3:$B$987&amp;"",'NETWORK-DEVICES'!$H$3:$H$987,""),"Peripheral",_xlfn.XLOOKUP($K650&amp;"",PERIPHERAL!$B$3:$B$954&amp;"",PERIPHERAL!$H$3:$H$954,""),"Utilities",_xlfn.XLOOKUP($K650&amp;"",UTILITIES!$B$3:$B$953&amp;"",UTILITIES!$G$3:$G$953,""),"IOT",_xlfn.XLOOKUP($K650&amp;"",IOT!$B$3:$B$1012&amp;"",IOT!$H$3:$H$1012,""),"Server",_xlfn.XLOOKUP($K650&amp;"",SERVER!$B$3:$B$1009&amp;"",SERVER!$H$3:$H$1009,""),""),IF(TRIM(_xlpm.srcCat)&lt;&gt;TRIM($J650),"",_xlfn.SWITCH($I650,"Computer",_xlfn.XLOOKUP($K650&amp;"",COMPUTER!$B$3:$B$1009&amp;"",COMPUTER!$E$3:$E$1009,""),"Display",_xlfn.XLOOKUP($K650&amp;"",DISPLAY!$B$3:$B$1000&amp;"",DISPLAY!$E$3:$E$1000,""),"Network Device",_xlfn.XLOOKUP($K650&amp;"",'NETWORK-DEVICES'!$B$3:$B$987&amp;"",'NETWORK-DEVICES'!$E$3:$E$987,""),"Peripheral",_xlfn.XLOOKUP($K650&amp;"",PERIPHERAL!$B$3:$B$954&amp;"",PERIPHERAL!$E$3:$E$954,""),"Utilities",_xlfn.XLOOKUP($K650&amp;"",UTILITIES!$B$3:$B$953&amp;"",UTILITIES!$E$3:$E$953,""),"IOT",_xlfn.XLOOKUP($K650&amp;"",IOT!$B$3:$B$1012&amp;"",IOT!$E$3:$E$1012,""),"Server",_xlfn.XLOOKUP($K650&amp;"",SERVER!$B$3:$B$1009&amp;"",SERVER!$E$3:$E$1009,""),""))))</f>
        <v/>
      </c>
      <c r="Q650" s="1" t="str" cm="1">
        <f t="array" ref="Q650">IF(OR($K650="",$I650="",$J650=""),"",_xlfn.LET(_xlpm.srcCat,_xlfn.SWITCH($I650,"Computer",_xlfn.XLOOKUP($K650&amp;"",COMPUTER!$B$3:$B$1009&amp;"",COMPUTER!$H$3:$H$1009,""),"Display",_xlfn.XLOOKUP($K650&amp;"",DISPLAY!$B$3:$B$1000&amp;"",DISPLAY!$H$3:$H$1000,""),"Network Device",_xlfn.XLOOKUP($K650&amp;"",'NETWORK-DEVICES'!$B$3:$B$987&amp;"",'NETWORK-DEVICES'!$H$3:$H$987,""),"Peripheral",_xlfn.XLOOKUP($K650&amp;"",PERIPHERAL!$B$3:$B$954&amp;"",PERIPHERAL!$H$3:$H$954,""),"Utilities",_xlfn.XLOOKUP($K650&amp;"",UTILITIES!$B$3:$B$953&amp;"",UTILITIES!$G$3:$G$953,""),"IOT",_xlfn.XLOOKUP($K650&amp;"",IOT!$B$3:$B$1012&amp;"",IOT!$H$3:$H$1012,""),"Server",_xlfn.XLOOKUP($K650&amp;"",SERVER!$B$3:$B$1009&amp;"",SERVER!$H$3:$H$1009,""),""),IF(TRIM(_xlpm.srcCat)&lt;&gt;TRIM($J650),"",_xlfn.SWITCH($I650,"Computer",_xlfn.XLOOKUP($K650&amp;"",COMPUTER!$B$3:$B$1009&amp;"",COMPUTER!$AM$3:$AM$1009,""),"Display",_xlfn.XLOOKUP($K650&amp;"",DISPLAY!$B$3:$B$1000&amp;"",DISPLAY!$V$3:$V$1000,""),"Network Device",_xlfn.XLOOKUP($K650&amp;"",'NETWORK-DEVICES'!$B$3:$B$987&amp;"",'NETWORK-DEVICES'!$AF$3:$AF$987,""),"Peripheral",_xlfn.XLOOKUP($K650&amp;"",PERIPHERAL!$B$3:$B$954&amp;"",PERIPHERAL!$Y$3:$Y$954,""),"Utilities",_xlfn.XLOOKUP($K650&amp;"",UTILITIES!$B$3:$B$953&amp;"",UTILITIES!$O$3:$O$953,""),"IOT",_xlfn.XLOOKUP($K650&amp;"",IOT!$B$3:$B$1012&amp;"",IOT!$AB$3:$AB$1012,""),"Server",_xlfn.XLOOKUP($K650&amp;"",SERVER!$B$3:$B$1009&amp;"",SERVER!$AB$3:$AB$1009,""),""))))</f>
        <v/>
      </c>
      <c r="R650" s="43" t="str">
        <f>IF(tbl_handover[[#This Row],[Asset Code]]="","",COUNTIF(tbl_handover[Asset Code],tbl_handover[[#This Row],[Asset Code]]))</f>
        <v/>
      </c>
    </row>
    <row r="651" spans="1:18" x14ac:dyDescent="0.25">
      <c r="A651" s="43" t="str">
        <f>IF(B651&lt;&gt;"",SUBTOTAL(3,$B$1:B650),"")</f>
        <v/>
      </c>
      <c r="C651" s="74"/>
      <c r="D651" s="74"/>
      <c r="G651" s="1"/>
      <c r="K651" s="42"/>
      <c r="L651" t="str" cm="1">
        <f t="array" ref="L651">IF($K651="","",_xlfn.SWITCH($I651,"Computer",_xlfn.XLOOKUP($K651&amp;"",COMPUTER!$B$3:$B$1009&amp;"",COMPUTER!$I$3:$I$1009,""),"Display",_xlfn.XLOOKUP($K651&amp;"",DISPLAY!$B$3:$B$1000&amp;"",DISPLAY!$J$3:$J$1000,""),"Network Device",_xlfn.XLOOKUP($K651&amp;"",'NETWORK-DEVICES'!$B$3:$B$987&amp;"",'NETWORK-DEVICES'!$I$3:$I$987,""),"Peripheral",_xlfn.XLOOKUP($K651&amp;"",PERIPHERAL!$B$3:$B$954&amp;"",PERIPHERAL!$I$3:$I$954,""),"Utilities",_xlfn.XLOOKUP($K651&amp;"",UTILITIES!$B$3:$B$953&amp;"",UTILITIES!$H$3:$H$953,""),"IOT",_xlfn.XLOOKUP($K651&amp;"",IOT!$B$3:$B$1012&amp;"",IOT!$I$3:$I$1012,""),"SERVER",_xlfn.XLOOKUP($K651&amp;"",SERVER!$B$3:$B$1009&amp;"",SERVER!$I$3:$I$1009,""),""))</f>
        <v/>
      </c>
      <c r="M651" t="str" cm="1">
        <f t="array" ref="M651">IF($K651="","",_xlfn.SWITCH($I651,"Computer",_xlfn.XLOOKUP($K651&amp;"",COMPUTER!$B$3:$B$1009&amp;"",COMPUTER!$J$3:$J$1009,""),"Display",_xlfn.XLOOKUP($K651&amp;"",DISPLAY!$B$3:$B$1000&amp;"",DISPLAY!$K$3:$K$1000,""),"Network Device",_xlfn.XLOOKUP($K651&amp;"",'NETWORK-DEVICES'!$B$3:$B$987&amp;"",'NETWORK-DEVICES'!$I$3:$I$987,""),"Peripheral",_xlfn.XLOOKUP($K651&amp;"",PERIPHERAL!$B$3:$B$954&amp;"",PERIPHERAL!$J$3:$J$954,""),"Utilities",_xlfn.XLOOKUP($K651&amp;"",UTILITIES!$B$3:$B$953&amp;"",UTILITIES!$I$3:$I$953,""),"IOT",_xlfn.XLOOKUP($K651&amp;"",IOT!$B$3:$B$1012&amp;"",IOT!$J$3:$J$1012,""),"Server",_xlfn.XLOOKUP($K651&amp;"",SERVER!$B$3:$B$1009&amp;"",SERVER!$J$3:$J$1009,""),""))</f>
        <v/>
      </c>
      <c r="N651" s="1" t="str" cm="1">
        <f t="array" ref="N651">IF(OR($K651="",$I651="",$J651=""),"",_xlfn.LET(_xlpm.srcCat,_xlfn.SWITCH($I651,"Computer",_xlfn.XLOOKUP($K651&amp;"",COMPUTER!$B$3:$B$1009&amp;"",COMPUTER!$H$3:$H$1009,""),"Display",_xlfn.XLOOKUP($K651&amp;"",DISPLAY!$B$3:$B$1000&amp;"",DISPLAY!$H$3:$H$1000,""),"Network Device",_xlfn.XLOOKUP($K651&amp;"",'NETWORK-DEVICES'!$B$3:$B$987&amp;"",'NETWORK-DEVICES'!$H$3:$H$987,""),"Peripheral",_xlfn.XLOOKUP($K651&amp;"",PERIPHERAL!$B$3:$B$954&amp;"",PERIPHERAL!$H$3:$H$954,""),"Utilities",_xlfn.XLOOKUP($K651&amp;"",UTILITIES!$B$3:$B$953&amp;"",UTILITIES!$G$3:$G$953,""),"IOT",_xlfn.XLOOKUP($K651&amp;"",IOT!$B$3:$B$1012&amp;"",IOT!$H$3:$H$1012,""),"Server",_xlfn.XLOOKUP($K651&amp;"",SERVER!$B$3:$B$1009&amp;"",SERVER!$H$3:$H$1009,""),""),IF(TRIM(_xlpm.srcCat)&lt;&gt;TRIM($J651),"",_xlfn.SWITCH($I651,"Computer",_xlfn.XLOOKUP($K651&amp;"",COMPUTER!$B$3:$B$1009&amp;"",COMPUTER!$K$3:$K$1009,""),"Display",_xlfn.XLOOKUP($K651&amp;"",DISPLAY!$B$3:$B$1000&amp;"",DISPLAY!$L$3:$L$1000,""),"Network Device",_xlfn.XLOOKUP($K651&amp;"",'NETWORK-DEVICES'!$B$3:$B$987&amp;"",'NETWORK-DEVICES'!$K$3:$K$987,""),"Peripheral",_xlfn.XLOOKUP($K651&amp;"",PERIPHERAL!$B$3:$B$954&amp;"",PERIPHERAL!$K$3:$K$954,""),"Utilities",_xlfn.XLOOKUP($K651&amp;"",UTILITIES!$B$3:$B$953&amp;"",UTILITIES!$J$3:$J$953,""),"IOT",_xlfn.XLOOKUP($K651&amp;"",IOT!$B$3:$B$1012&amp;"",IOT!$K$4:$K$1012,""),"Server",_xlfn.XLOOKUP($K651&amp;"",SERVER!$B$3:$B$1009&amp;"",SERVER!$K$3:$K$1009,""),""))))</f>
        <v/>
      </c>
      <c r="O651" s="1" t="str" cm="1">
        <f t="array" ref="O651">IF(OR($K651="",$I651="",$J651=""),"",_xlfn.LET(_xlpm.srcCat,_xlfn.SWITCH($I651,"Computer",_xlfn.XLOOKUP($K651&amp;"",COMPUTER!$B$3:$B$1009&amp;"",COMPUTER!$H$3:$H$1009,""),"Display",_xlfn.XLOOKUP($K651&amp;"",DISPLAY!$B$3:$B$1000&amp;"",DISPLAY!$H$3:$H$1000,""),"Network Device",_xlfn.XLOOKUP($K651&amp;"",'NETWORK-DEVICES'!$B$3:$B$987&amp;"",'NETWORK-DEVICES'!$H$3:$H$987,""),"Peripheral",_xlfn.XLOOKUP($K651&amp;"",PERIPHERAL!$B$3:$B$954&amp;"",PERIPHERAL!$H$3:$H$954,""),"Utilities",_xlfn.XLOOKUP($K651&amp;"",UTILITIES!$B$3:$B$953&amp;"",UTILITIES!$G$3:$G$953,""),"IOT",_xlfn.XLOOKUP($K651&amp;"",IOT!$B$3:$B$1012&amp;"",IOT!$H$3:$H$1012,""),"Server",_xlfn.XLOOKUP($K651&amp;"",SERVER!$B$3:$B$1009&amp;"",SERVER!$H$3:$H$1009,""),""),IF(TRIM(_xlpm.srcCat)&lt;&gt;TRIM($J651),"",_xlfn.SWITCH($I651,"Computer",_xlfn.XLOOKUP($K651&amp;"",COMPUTER!$B$3:$B$1009&amp;"",COMPUTER!$E$3:$E$1009,""),"Display",_xlfn.XLOOKUP($K651&amp;"",DISPLAY!$B$3:$B$1000&amp;"",DISPLAY!$E$3:$E$1000,""),"Network Device",_xlfn.XLOOKUP($K651&amp;"",'NETWORK-DEVICES'!$B$3:$B$987&amp;"",'NETWORK-DEVICES'!$E$3:$E$987,""),"Peripheral",_xlfn.XLOOKUP($K651&amp;"",PERIPHERAL!$B$3:$B$954&amp;"",PERIPHERAL!$E$3:$E$954,""),"Utilities",_xlfn.XLOOKUP($K651&amp;"",UTILITIES!$B$3:$B$953&amp;"",UTILITIES!$E$3:$E$953,""),"IOT",_xlfn.XLOOKUP($K651&amp;"",IOT!$B$3:$B$1012&amp;"",IOT!$E$3:$E$1012,""),"Server",_xlfn.XLOOKUP($K651&amp;"",SERVER!$B$3:$B$1009&amp;"",SERVER!$E$3:$E$1009,""),""))))</f>
        <v/>
      </c>
      <c r="Q651" s="1" t="str" cm="1">
        <f t="array" ref="Q651">IF(OR($K651="",$I651="",$J651=""),"",_xlfn.LET(_xlpm.srcCat,_xlfn.SWITCH($I651,"Computer",_xlfn.XLOOKUP($K651&amp;"",COMPUTER!$B$3:$B$1009&amp;"",COMPUTER!$H$3:$H$1009,""),"Display",_xlfn.XLOOKUP($K651&amp;"",DISPLAY!$B$3:$B$1000&amp;"",DISPLAY!$H$3:$H$1000,""),"Network Device",_xlfn.XLOOKUP($K651&amp;"",'NETWORK-DEVICES'!$B$3:$B$987&amp;"",'NETWORK-DEVICES'!$H$3:$H$987,""),"Peripheral",_xlfn.XLOOKUP($K651&amp;"",PERIPHERAL!$B$3:$B$954&amp;"",PERIPHERAL!$H$3:$H$954,""),"Utilities",_xlfn.XLOOKUP($K651&amp;"",UTILITIES!$B$3:$B$953&amp;"",UTILITIES!$G$3:$G$953,""),"IOT",_xlfn.XLOOKUP($K651&amp;"",IOT!$B$3:$B$1012&amp;"",IOT!$H$3:$H$1012,""),"Server",_xlfn.XLOOKUP($K651&amp;"",SERVER!$B$3:$B$1009&amp;"",SERVER!$H$3:$H$1009,""),""),IF(TRIM(_xlpm.srcCat)&lt;&gt;TRIM($J651),"",_xlfn.SWITCH($I651,"Computer",_xlfn.XLOOKUP($K651&amp;"",COMPUTER!$B$3:$B$1009&amp;"",COMPUTER!$AM$3:$AM$1009,""),"Display",_xlfn.XLOOKUP($K651&amp;"",DISPLAY!$B$3:$B$1000&amp;"",DISPLAY!$V$3:$V$1000,""),"Network Device",_xlfn.XLOOKUP($K651&amp;"",'NETWORK-DEVICES'!$B$3:$B$987&amp;"",'NETWORK-DEVICES'!$AF$3:$AF$987,""),"Peripheral",_xlfn.XLOOKUP($K651&amp;"",PERIPHERAL!$B$3:$B$954&amp;"",PERIPHERAL!$Y$3:$Y$954,""),"Utilities",_xlfn.XLOOKUP($K651&amp;"",UTILITIES!$B$3:$B$953&amp;"",UTILITIES!$O$3:$O$953,""),"IOT",_xlfn.XLOOKUP($K651&amp;"",IOT!$B$3:$B$1012&amp;"",IOT!$AB$3:$AB$1012,""),"Server",_xlfn.XLOOKUP($K651&amp;"",SERVER!$B$3:$B$1009&amp;"",SERVER!$AB$3:$AB$1009,""),""))))</f>
        <v/>
      </c>
      <c r="R651" s="43" t="str">
        <f>IF(tbl_handover[[#This Row],[Asset Code]]="","",COUNTIF(tbl_handover[Asset Code],tbl_handover[[#This Row],[Asset Code]]))</f>
        <v/>
      </c>
    </row>
    <row r="652" spans="1:18" x14ac:dyDescent="0.25">
      <c r="A652" s="43" t="str">
        <f>IF(B652&lt;&gt;"",SUBTOTAL(3,$B$1:B651),"")</f>
        <v/>
      </c>
      <c r="C652" s="74"/>
      <c r="D652" s="74"/>
      <c r="G652" s="1"/>
      <c r="K652" s="42"/>
      <c r="L652" t="str" cm="1">
        <f t="array" ref="L652">IF($K652="","",_xlfn.SWITCH($I652,"Computer",_xlfn.XLOOKUP($K652&amp;"",COMPUTER!$B$3:$B$1009&amp;"",COMPUTER!$I$3:$I$1009,""),"Display",_xlfn.XLOOKUP($K652&amp;"",DISPLAY!$B$3:$B$1000&amp;"",DISPLAY!$J$3:$J$1000,""),"Network Device",_xlfn.XLOOKUP($K652&amp;"",'NETWORK-DEVICES'!$B$3:$B$987&amp;"",'NETWORK-DEVICES'!$I$3:$I$987,""),"Peripheral",_xlfn.XLOOKUP($K652&amp;"",PERIPHERAL!$B$3:$B$954&amp;"",PERIPHERAL!$I$3:$I$954,""),"Utilities",_xlfn.XLOOKUP($K652&amp;"",UTILITIES!$B$3:$B$953&amp;"",UTILITIES!$H$3:$H$953,""),"IOT",_xlfn.XLOOKUP($K652&amp;"",IOT!$B$3:$B$1012&amp;"",IOT!$I$3:$I$1012,""),"SERVER",_xlfn.XLOOKUP($K652&amp;"",SERVER!$B$3:$B$1009&amp;"",SERVER!$I$3:$I$1009,""),""))</f>
        <v/>
      </c>
      <c r="M652" t="str" cm="1">
        <f t="array" ref="M652">IF($K652="","",_xlfn.SWITCH($I652,"Computer",_xlfn.XLOOKUP($K652&amp;"",COMPUTER!$B$3:$B$1009&amp;"",COMPUTER!$J$3:$J$1009,""),"Display",_xlfn.XLOOKUP($K652&amp;"",DISPLAY!$B$3:$B$1000&amp;"",DISPLAY!$K$3:$K$1000,""),"Network Device",_xlfn.XLOOKUP($K652&amp;"",'NETWORK-DEVICES'!$B$3:$B$987&amp;"",'NETWORK-DEVICES'!$I$3:$I$987,""),"Peripheral",_xlfn.XLOOKUP($K652&amp;"",PERIPHERAL!$B$3:$B$954&amp;"",PERIPHERAL!$J$3:$J$954,""),"Utilities",_xlfn.XLOOKUP($K652&amp;"",UTILITIES!$B$3:$B$953&amp;"",UTILITIES!$I$3:$I$953,""),"IOT",_xlfn.XLOOKUP($K652&amp;"",IOT!$B$3:$B$1012&amp;"",IOT!$J$3:$J$1012,""),"Server",_xlfn.XLOOKUP($K652&amp;"",SERVER!$B$3:$B$1009&amp;"",SERVER!$J$3:$J$1009,""),""))</f>
        <v/>
      </c>
      <c r="N652" s="1" t="str" cm="1">
        <f t="array" ref="N652">IF(OR($K652="",$I652="",$J652=""),"",_xlfn.LET(_xlpm.srcCat,_xlfn.SWITCH($I652,"Computer",_xlfn.XLOOKUP($K652&amp;"",COMPUTER!$B$3:$B$1009&amp;"",COMPUTER!$H$3:$H$1009,""),"Display",_xlfn.XLOOKUP($K652&amp;"",DISPLAY!$B$3:$B$1000&amp;"",DISPLAY!$H$3:$H$1000,""),"Network Device",_xlfn.XLOOKUP($K652&amp;"",'NETWORK-DEVICES'!$B$3:$B$987&amp;"",'NETWORK-DEVICES'!$H$3:$H$987,""),"Peripheral",_xlfn.XLOOKUP($K652&amp;"",PERIPHERAL!$B$3:$B$954&amp;"",PERIPHERAL!$H$3:$H$954,""),"Utilities",_xlfn.XLOOKUP($K652&amp;"",UTILITIES!$B$3:$B$953&amp;"",UTILITIES!$G$3:$G$953,""),"IOT",_xlfn.XLOOKUP($K652&amp;"",IOT!$B$3:$B$1012&amp;"",IOT!$H$3:$H$1012,""),"Server",_xlfn.XLOOKUP($K652&amp;"",SERVER!$B$3:$B$1009&amp;"",SERVER!$H$3:$H$1009,""),""),IF(TRIM(_xlpm.srcCat)&lt;&gt;TRIM($J652),"",_xlfn.SWITCH($I652,"Computer",_xlfn.XLOOKUP($K652&amp;"",COMPUTER!$B$3:$B$1009&amp;"",COMPUTER!$K$3:$K$1009,""),"Display",_xlfn.XLOOKUP($K652&amp;"",DISPLAY!$B$3:$B$1000&amp;"",DISPLAY!$L$3:$L$1000,""),"Network Device",_xlfn.XLOOKUP($K652&amp;"",'NETWORK-DEVICES'!$B$3:$B$987&amp;"",'NETWORK-DEVICES'!$K$3:$K$987,""),"Peripheral",_xlfn.XLOOKUP($K652&amp;"",PERIPHERAL!$B$3:$B$954&amp;"",PERIPHERAL!$K$3:$K$954,""),"Utilities",_xlfn.XLOOKUP($K652&amp;"",UTILITIES!$B$3:$B$953&amp;"",UTILITIES!$J$3:$J$953,""),"IOT",_xlfn.XLOOKUP($K652&amp;"",IOT!$B$3:$B$1012&amp;"",IOT!$K$4:$K$1012,""),"Server",_xlfn.XLOOKUP($K652&amp;"",SERVER!$B$3:$B$1009&amp;"",SERVER!$K$3:$K$1009,""),""))))</f>
        <v/>
      </c>
      <c r="O652" s="1" t="str" cm="1">
        <f t="array" ref="O652">IF(OR($K652="",$I652="",$J652=""),"",_xlfn.LET(_xlpm.srcCat,_xlfn.SWITCH($I652,"Computer",_xlfn.XLOOKUP($K652&amp;"",COMPUTER!$B$3:$B$1009&amp;"",COMPUTER!$H$3:$H$1009,""),"Display",_xlfn.XLOOKUP($K652&amp;"",DISPLAY!$B$3:$B$1000&amp;"",DISPLAY!$H$3:$H$1000,""),"Network Device",_xlfn.XLOOKUP($K652&amp;"",'NETWORK-DEVICES'!$B$3:$B$987&amp;"",'NETWORK-DEVICES'!$H$3:$H$987,""),"Peripheral",_xlfn.XLOOKUP($K652&amp;"",PERIPHERAL!$B$3:$B$954&amp;"",PERIPHERAL!$H$3:$H$954,""),"Utilities",_xlfn.XLOOKUP($K652&amp;"",UTILITIES!$B$3:$B$953&amp;"",UTILITIES!$G$3:$G$953,""),"IOT",_xlfn.XLOOKUP($K652&amp;"",IOT!$B$3:$B$1012&amp;"",IOT!$H$3:$H$1012,""),"Server",_xlfn.XLOOKUP($K652&amp;"",SERVER!$B$3:$B$1009&amp;"",SERVER!$H$3:$H$1009,""),""),IF(TRIM(_xlpm.srcCat)&lt;&gt;TRIM($J652),"",_xlfn.SWITCH($I652,"Computer",_xlfn.XLOOKUP($K652&amp;"",COMPUTER!$B$3:$B$1009&amp;"",COMPUTER!$E$3:$E$1009,""),"Display",_xlfn.XLOOKUP($K652&amp;"",DISPLAY!$B$3:$B$1000&amp;"",DISPLAY!$E$3:$E$1000,""),"Network Device",_xlfn.XLOOKUP($K652&amp;"",'NETWORK-DEVICES'!$B$3:$B$987&amp;"",'NETWORK-DEVICES'!$E$3:$E$987,""),"Peripheral",_xlfn.XLOOKUP($K652&amp;"",PERIPHERAL!$B$3:$B$954&amp;"",PERIPHERAL!$E$3:$E$954,""),"Utilities",_xlfn.XLOOKUP($K652&amp;"",UTILITIES!$B$3:$B$953&amp;"",UTILITIES!$E$3:$E$953,""),"IOT",_xlfn.XLOOKUP($K652&amp;"",IOT!$B$3:$B$1012&amp;"",IOT!$E$3:$E$1012,""),"Server",_xlfn.XLOOKUP($K652&amp;"",SERVER!$B$3:$B$1009&amp;"",SERVER!$E$3:$E$1009,""),""))))</f>
        <v/>
      </c>
      <c r="Q652" s="1" t="str" cm="1">
        <f t="array" ref="Q652">IF(OR($K652="",$I652="",$J652=""),"",_xlfn.LET(_xlpm.srcCat,_xlfn.SWITCH($I652,"Computer",_xlfn.XLOOKUP($K652&amp;"",COMPUTER!$B$3:$B$1009&amp;"",COMPUTER!$H$3:$H$1009,""),"Display",_xlfn.XLOOKUP($K652&amp;"",DISPLAY!$B$3:$B$1000&amp;"",DISPLAY!$H$3:$H$1000,""),"Network Device",_xlfn.XLOOKUP($K652&amp;"",'NETWORK-DEVICES'!$B$3:$B$987&amp;"",'NETWORK-DEVICES'!$H$3:$H$987,""),"Peripheral",_xlfn.XLOOKUP($K652&amp;"",PERIPHERAL!$B$3:$B$954&amp;"",PERIPHERAL!$H$3:$H$954,""),"Utilities",_xlfn.XLOOKUP($K652&amp;"",UTILITIES!$B$3:$B$953&amp;"",UTILITIES!$G$3:$G$953,""),"IOT",_xlfn.XLOOKUP($K652&amp;"",IOT!$B$3:$B$1012&amp;"",IOT!$H$3:$H$1012,""),"Server",_xlfn.XLOOKUP($K652&amp;"",SERVER!$B$3:$B$1009&amp;"",SERVER!$H$3:$H$1009,""),""),IF(TRIM(_xlpm.srcCat)&lt;&gt;TRIM($J652),"",_xlfn.SWITCH($I652,"Computer",_xlfn.XLOOKUP($K652&amp;"",COMPUTER!$B$3:$B$1009&amp;"",COMPUTER!$AM$3:$AM$1009,""),"Display",_xlfn.XLOOKUP($K652&amp;"",DISPLAY!$B$3:$B$1000&amp;"",DISPLAY!$V$3:$V$1000,""),"Network Device",_xlfn.XLOOKUP($K652&amp;"",'NETWORK-DEVICES'!$B$3:$B$987&amp;"",'NETWORK-DEVICES'!$AF$3:$AF$987,""),"Peripheral",_xlfn.XLOOKUP($K652&amp;"",PERIPHERAL!$B$3:$B$954&amp;"",PERIPHERAL!$Y$3:$Y$954,""),"Utilities",_xlfn.XLOOKUP($K652&amp;"",UTILITIES!$B$3:$B$953&amp;"",UTILITIES!$O$3:$O$953,""),"IOT",_xlfn.XLOOKUP($K652&amp;"",IOT!$B$3:$B$1012&amp;"",IOT!$AB$3:$AB$1012,""),"Server",_xlfn.XLOOKUP($K652&amp;"",SERVER!$B$3:$B$1009&amp;"",SERVER!$AB$3:$AB$1009,""),""))))</f>
        <v/>
      </c>
      <c r="R652" s="43" t="str">
        <f>IF(tbl_handover[[#This Row],[Asset Code]]="","",COUNTIF(tbl_handover[Asset Code],tbl_handover[[#This Row],[Asset Code]]))</f>
        <v/>
      </c>
    </row>
    <row r="653" spans="1:18" x14ac:dyDescent="0.25">
      <c r="A653" s="43" t="str">
        <f>IF(B653&lt;&gt;"",SUBTOTAL(3,$B$1:B652),"")</f>
        <v/>
      </c>
      <c r="C653" s="74"/>
      <c r="D653" s="74"/>
      <c r="G653" s="1"/>
      <c r="K653" s="42"/>
      <c r="L653" t="str" cm="1">
        <f t="array" ref="L653">IF($K653="","",_xlfn.SWITCH($I653,"Computer",_xlfn.XLOOKUP($K653&amp;"",COMPUTER!$B$3:$B$1009&amp;"",COMPUTER!$I$3:$I$1009,""),"Display",_xlfn.XLOOKUP($K653&amp;"",DISPLAY!$B$3:$B$1000&amp;"",DISPLAY!$J$3:$J$1000,""),"Network Device",_xlfn.XLOOKUP($K653&amp;"",'NETWORK-DEVICES'!$B$3:$B$987&amp;"",'NETWORK-DEVICES'!$I$3:$I$987,""),"Peripheral",_xlfn.XLOOKUP($K653&amp;"",PERIPHERAL!$B$3:$B$954&amp;"",PERIPHERAL!$I$3:$I$954,""),"Utilities",_xlfn.XLOOKUP($K653&amp;"",UTILITIES!$B$3:$B$953&amp;"",UTILITIES!$H$3:$H$953,""),"IOT",_xlfn.XLOOKUP($K653&amp;"",IOT!$B$3:$B$1012&amp;"",IOT!$I$3:$I$1012,""),"SERVER",_xlfn.XLOOKUP($K653&amp;"",SERVER!$B$3:$B$1009&amp;"",SERVER!$I$3:$I$1009,""),""))</f>
        <v/>
      </c>
      <c r="M653" t="str" cm="1">
        <f t="array" ref="M653">IF($K653="","",_xlfn.SWITCH($I653,"Computer",_xlfn.XLOOKUP($K653&amp;"",COMPUTER!$B$3:$B$1009&amp;"",COMPUTER!$J$3:$J$1009,""),"Display",_xlfn.XLOOKUP($K653&amp;"",DISPLAY!$B$3:$B$1000&amp;"",DISPLAY!$K$3:$K$1000,""),"Network Device",_xlfn.XLOOKUP($K653&amp;"",'NETWORK-DEVICES'!$B$3:$B$987&amp;"",'NETWORK-DEVICES'!$I$3:$I$987,""),"Peripheral",_xlfn.XLOOKUP($K653&amp;"",PERIPHERAL!$B$3:$B$954&amp;"",PERIPHERAL!$J$3:$J$954,""),"Utilities",_xlfn.XLOOKUP($K653&amp;"",UTILITIES!$B$3:$B$953&amp;"",UTILITIES!$I$3:$I$953,""),"IOT",_xlfn.XLOOKUP($K653&amp;"",IOT!$B$3:$B$1012&amp;"",IOT!$J$3:$J$1012,""),"Server",_xlfn.XLOOKUP($K653&amp;"",SERVER!$B$3:$B$1009&amp;"",SERVER!$J$3:$J$1009,""),""))</f>
        <v/>
      </c>
      <c r="N653" s="1" t="str" cm="1">
        <f t="array" ref="N653">IF(OR($K653="",$I653="",$J653=""),"",_xlfn.LET(_xlpm.srcCat,_xlfn.SWITCH($I653,"Computer",_xlfn.XLOOKUP($K653&amp;"",COMPUTER!$B$3:$B$1009&amp;"",COMPUTER!$H$3:$H$1009,""),"Display",_xlfn.XLOOKUP($K653&amp;"",DISPLAY!$B$3:$B$1000&amp;"",DISPLAY!$H$3:$H$1000,""),"Network Device",_xlfn.XLOOKUP($K653&amp;"",'NETWORK-DEVICES'!$B$3:$B$987&amp;"",'NETWORK-DEVICES'!$H$3:$H$987,""),"Peripheral",_xlfn.XLOOKUP($K653&amp;"",PERIPHERAL!$B$3:$B$954&amp;"",PERIPHERAL!$H$3:$H$954,""),"Utilities",_xlfn.XLOOKUP($K653&amp;"",UTILITIES!$B$3:$B$953&amp;"",UTILITIES!$G$3:$G$953,""),"IOT",_xlfn.XLOOKUP($K653&amp;"",IOT!$B$3:$B$1012&amp;"",IOT!$H$3:$H$1012,""),"Server",_xlfn.XLOOKUP($K653&amp;"",SERVER!$B$3:$B$1009&amp;"",SERVER!$H$3:$H$1009,""),""),IF(TRIM(_xlpm.srcCat)&lt;&gt;TRIM($J653),"",_xlfn.SWITCH($I653,"Computer",_xlfn.XLOOKUP($K653&amp;"",COMPUTER!$B$3:$B$1009&amp;"",COMPUTER!$K$3:$K$1009,""),"Display",_xlfn.XLOOKUP($K653&amp;"",DISPLAY!$B$3:$B$1000&amp;"",DISPLAY!$L$3:$L$1000,""),"Network Device",_xlfn.XLOOKUP($K653&amp;"",'NETWORK-DEVICES'!$B$3:$B$987&amp;"",'NETWORK-DEVICES'!$K$3:$K$987,""),"Peripheral",_xlfn.XLOOKUP($K653&amp;"",PERIPHERAL!$B$3:$B$954&amp;"",PERIPHERAL!$K$3:$K$954,""),"Utilities",_xlfn.XLOOKUP($K653&amp;"",UTILITIES!$B$3:$B$953&amp;"",UTILITIES!$J$3:$J$953,""),"IOT",_xlfn.XLOOKUP($K653&amp;"",IOT!$B$3:$B$1012&amp;"",IOT!$K$4:$K$1012,""),"Server",_xlfn.XLOOKUP($K653&amp;"",SERVER!$B$3:$B$1009&amp;"",SERVER!$K$3:$K$1009,""),""))))</f>
        <v/>
      </c>
      <c r="O653" s="1" t="str" cm="1">
        <f t="array" ref="O653">IF(OR($K653="",$I653="",$J653=""),"",_xlfn.LET(_xlpm.srcCat,_xlfn.SWITCH($I653,"Computer",_xlfn.XLOOKUP($K653&amp;"",COMPUTER!$B$3:$B$1009&amp;"",COMPUTER!$H$3:$H$1009,""),"Display",_xlfn.XLOOKUP($K653&amp;"",DISPLAY!$B$3:$B$1000&amp;"",DISPLAY!$H$3:$H$1000,""),"Network Device",_xlfn.XLOOKUP($K653&amp;"",'NETWORK-DEVICES'!$B$3:$B$987&amp;"",'NETWORK-DEVICES'!$H$3:$H$987,""),"Peripheral",_xlfn.XLOOKUP($K653&amp;"",PERIPHERAL!$B$3:$B$954&amp;"",PERIPHERAL!$H$3:$H$954,""),"Utilities",_xlfn.XLOOKUP($K653&amp;"",UTILITIES!$B$3:$B$953&amp;"",UTILITIES!$G$3:$G$953,""),"IOT",_xlfn.XLOOKUP($K653&amp;"",IOT!$B$3:$B$1012&amp;"",IOT!$H$3:$H$1012,""),"Server",_xlfn.XLOOKUP($K653&amp;"",SERVER!$B$3:$B$1009&amp;"",SERVER!$H$3:$H$1009,""),""),IF(TRIM(_xlpm.srcCat)&lt;&gt;TRIM($J653),"",_xlfn.SWITCH($I653,"Computer",_xlfn.XLOOKUP($K653&amp;"",COMPUTER!$B$3:$B$1009&amp;"",COMPUTER!$E$3:$E$1009,""),"Display",_xlfn.XLOOKUP($K653&amp;"",DISPLAY!$B$3:$B$1000&amp;"",DISPLAY!$E$3:$E$1000,""),"Network Device",_xlfn.XLOOKUP($K653&amp;"",'NETWORK-DEVICES'!$B$3:$B$987&amp;"",'NETWORK-DEVICES'!$E$3:$E$987,""),"Peripheral",_xlfn.XLOOKUP($K653&amp;"",PERIPHERAL!$B$3:$B$954&amp;"",PERIPHERAL!$E$3:$E$954,""),"Utilities",_xlfn.XLOOKUP($K653&amp;"",UTILITIES!$B$3:$B$953&amp;"",UTILITIES!$E$3:$E$953,""),"IOT",_xlfn.XLOOKUP($K653&amp;"",IOT!$B$3:$B$1012&amp;"",IOT!$E$3:$E$1012,""),"Server",_xlfn.XLOOKUP($K653&amp;"",SERVER!$B$3:$B$1009&amp;"",SERVER!$E$3:$E$1009,""),""))))</f>
        <v/>
      </c>
      <c r="Q653" s="1" t="str" cm="1">
        <f t="array" ref="Q653">IF(OR($K653="",$I653="",$J653=""),"",_xlfn.LET(_xlpm.srcCat,_xlfn.SWITCH($I653,"Computer",_xlfn.XLOOKUP($K653&amp;"",COMPUTER!$B$3:$B$1009&amp;"",COMPUTER!$H$3:$H$1009,""),"Display",_xlfn.XLOOKUP($K653&amp;"",DISPLAY!$B$3:$B$1000&amp;"",DISPLAY!$H$3:$H$1000,""),"Network Device",_xlfn.XLOOKUP($K653&amp;"",'NETWORK-DEVICES'!$B$3:$B$987&amp;"",'NETWORK-DEVICES'!$H$3:$H$987,""),"Peripheral",_xlfn.XLOOKUP($K653&amp;"",PERIPHERAL!$B$3:$B$954&amp;"",PERIPHERAL!$H$3:$H$954,""),"Utilities",_xlfn.XLOOKUP($K653&amp;"",UTILITIES!$B$3:$B$953&amp;"",UTILITIES!$G$3:$G$953,""),"IOT",_xlfn.XLOOKUP($K653&amp;"",IOT!$B$3:$B$1012&amp;"",IOT!$H$3:$H$1012,""),"Server",_xlfn.XLOOKUP($K653&amp;"",SERVER!$B$3:$B$1009&amp;"",SERVER!$H$3:$H$1009,""),""),IF(TRIM(_xlpm.srcCat)&lt;&gt;TRIM($J653),"",_xlfn.SWITCH($I653,"Computer",_xlfn.XLOOKUP($K653&amp;"",COMPUTER!$B$3:$B$1009&amp;"",COMPUTER!$AM$3:$AM$1009,""),"Display",_xlfn.XLOOKUP($K653&amp;"",DISPLAY!$B$3:$B$1000&amp;"",DISPLAY!$V$3:$V$1000,""),"Network Device",_xlfn.XLOOKUP($K653&amp;"",'NETWORK-DEVICES'!$B$3:$B$987&amp;"",'NETWORK-DEVICES'!$AF$3:$AF$987,""),"Peripheral",_xlfn.XLOOKUP($K653&amp;"",PERIPHERAL!$B$3:$B$954&amp;"",PERIPHERAL!$Y$3:$Y$954,""),"Utilities",_xlfn.XLOOKUP($K653&amp;"",UTILITIES!$B$3:$B$953&amp;"",UTILITIES!$O$3:$O$953,""),"IOT",_xlfn.XLOOKUP($K653&amp;"",IOT!$B$3:$B$1012&amp;"",IOT!$AB$3:$AB$1012,""),"Server",_xlfn.XLOOKUP($K653&amp;"",SERVER!$B$3:$B$1009&amp;"",SERVER!$AB$3:$AB$1009,""),""))))</f>
        <v/>
      </c>
      <c r="R653" s="43" t="str">
        <f>IF(tbl_handover[[#This Row],[Asset Code]]="","",COUNTIF(tbl_handover[Asset Code],tbl_handover[[#This Row],[Asset Code]]))</f>
        <v/>
      </c>
    </row>
    <row r="654" spans="1:18" x14ac:dyDescent="0.25">
      <c r="A654" s="43" t="str">
        <f>IF(B654&lt;&gt;"",SUBTOTAL(3,$B$1:B653),"")</f>
        <v/>
      </c>
      <c r="C654" s="74"/>
      <c r="D654" s="74"/>
      <c r="G654" s="1"/>
      <c r="K654" s="42"/>
      <c r="L654" t="str" cm="1">
        <f t="array" ref="L654">IF($K654="","",_xlfn.SWITCH($I654,"Computer",_xlfn.XLOOKUP($K654&amp;"",COMPUTER!$B$3:$B$1009&amp;"",COMPUTER!$I$3:$I$1009,""),"Display",_xlfn.XLOOKUP($K654&amp;"",DISPLAY!$B$3:$B$1000&amp;"",DISPLAY!$J$3:$J$1000,""),"Network Device",_xlfn.XLOOKUP($K654&amp;"",'NETWORK-DEVICES'!$B$3:$B$987&amp;"",'NETWORK-DEVICES'!$I$3:$I$987,""),"Peripheral",_xlfn.XLOOKUP($K654&amp;"",PERIPHERAL!$B$3:$B$954&amp;"",PERIPHERAL!$I$3:$I$954,""),"Utilities",_xlfn.XLOOKUP($K654&amp;"",UTILITIES!$B$3:$B$953&amp;"",UTILITIES!$H$3:$H$953,""),"IOT",_xlfn.XLOOKUP($K654&amp;"",IOT!$B$3:$B$1012&amp;"",IOT!$I$3:$I$1012,""),"SERVER",_xlfn.XLOOKUP($K654&amp;"",SERVER!$B$3:$B$1009&amp;"",SERVER!$I$3:$I$1009,""),""))</f>
        <v/>
      </c>
      <c r="M654" t="str" cm="1">
        <f t="array" ref="M654">IF($K654="","",_xlfn.SWITCH($I654,"Computer",_xlfn.XLOOKUP($K654&amp;"",COMPUTER!$B$3:$B$1009&amp;"",COMPUTER!$J$3:$J$1009,""),"Display",_xlfn.XLOOKUP($K654&amp;"",DISPLAY!$B$3:$B$1000&amp;"",DISPLAY!$K$3:$K$1000,""),"Network Device",_xlfn.XLOOKUP($K654&amp;"",'NETWORK-DEVICES'!$B$3:$B$987&amp;"",'NETWORK-DEVICES'!$I$3:$I$987,""),"Peripheral",_xlfn.XLOOKUP($K654&amp;"",PERIPHERAL!$B$3:$B$954&amp;"",PERIPHERAL!$J$3:$J$954,""),"Utilities",_xlfn.XLOOKUP($K654&amp;"",UTILITIES!$B$3:$B$953&amp;"",UTILITIES!$I$3:$I$953,""),"IOT",_xlfn.XLOOKUP($K654&amp;"",IOT!$B$3:$B$1012&amp;"",IOT!$J$3:$J$1012,""),"Server",_xlfn.XLOOKUP($K654&amp;"",SERVER!$B$3:$B$1009&amp;"",SERVER!$J$3:$J$1009,""),""))</f>
        <v/>
      </c>
      <c r="N654" s="1" t="str" cm="1">
        <f t="array" ref="N654">IF(OR($K654="",$I654="",$J654=""),"",_xlfn.LET(_xlpm.srcCat,_xlfn.SWITCH($I654,"Computer",_xlfn.XLOOKUP($K654&amp;"",COMPUTER!$B$3:$B$1009&amp;"",COMPUTER!$H$3:$H$1009,""),"Display",_xlfn.XLOOKUP($K654&amp;"",DISPLAY!$B$3:$B$1000&amp;"",DISPLAY!$H$3:$H$1000,""),"Network Device",_xlfn.XLOOKUP($K654&amp;"",'NETWORK-DEVICES'!$B$3:$B$987&amp;"",'NETWORK-DEVICES'!$H$3:$H$987,""),"Peripheral",_xlfn.XLOOKUP($K654&amp;"",PERIPHERAL!$B$3:$B$954&amp;"",PERIPHERAL!$H$3:$H$954,""),"Utilities",_xlfn.XLOOKUP($K654&amp;"",UTILITIES!$B$3:$B$953&amp;"",UTILITIES!$G$3:$G$953,""),"IOT",_xlfn.XLOOKUP($K654&amp;"",IOT!$B$3:$B$1012&amp;"",IOT!$H$3:$H$1012,""),"Server",_xlfn.XLOOKUP($K654&amp;"",SERVER!$B$3:$B$1009&amp;"",SERVER!$H$3:$H$1009,""),""),IF(TRIM(_xlpm.srcCat)&lt;&gt;TRIM($J654),"",_xlfn.SWITCH($I654,"Computer",_xlfn.XLOOKUP($K654&amp;"",COMPUTER!$B$3:$B$1009&amp;"",COMPUTER!$K$3:$K$1009,""),"Display",_xlfn.XLOOKUP($K654&amp;"",DISPLAY!$B$3:$B$1000&amp;"",DISPLAY!$L$3:$L$1000,""),"Network Device",_xlfn.XLOOKUP($K654&amp;"",'NETWORK-DEVICES'!$B$3:$B$987&amp;"",'NETWORK-DEVICES'!$K$3:$K$987,""),"Peripheral",_xlfn.XLOOKUP($K654&amp;"",PERIPHERAL!$B$3:$B$954&amp;"",PERIPHERAL!$K$3:$K$954,""),"Utilities",_xlfn.XLOOKUP($K654&amp;"",UTILITIES!$B$3:$B$953&amp;"",UTILITIES!$J$3:$J$953,""),"IOT",_xlfn.XLOOKUP($K654&amp;"",IOT!$B$3:$B$1012&amp;"",IOT!$K$4:$K$1012,""),"Server",_xlfn.XLOOKUP($K654&amp;"",SERVER!$B$3:$B$1009&amp;"",SERVER!$K$3:$K$1009,""),""))))</f>
        <v/>
      </c>
      <c r="O654" s="1" t="str" cm="1">
        <f t="array" ref="O654">IF(OR($K654="",$I654="",$J654=""),"",_xlfn.LET(_xlpm.srcCat,_xlfn.SWITCH($I654,"Computer",_xlfn.XLOOKUP($K654&amp;"",COMPUTER!$B$3:$B$1009&amp;"",COMPUTER!$H$3:$H$1009,""),"Display",_xlfn.XLOOKUP($K654&amp;"",DISPLAY!$B$3:$B$1000&amp;"",DISPLAY!$H$3:$H$1000,""),"Network Device",_xlfn.XLOOKUP($K654&amp;"",'NETWORK-DEVICES'!$B$3:$B$987&amp;"",'NETWORK-DEVICES'!$H$3:$H$987,""),"Peripheral",_xlfn.XLOOKUP($K654&amp;"",PERIPHERAL!$B$3:$B$954&amp;"",PERIPHERAL!$H$3:$H$954,""),"Utilities",_xlfn.XLOOKUP($K654&amp;"",UTILITIES!$B$3:$B$953&amp;"",UTILITIES!$G$3:$G$953,""),"IOT",_xlfn.XLOOKUP($K654&amp;"",IOT!$B$3:$B$1012&amp;"",IOT!$H$3:$H$1012,""),"Server",_xlfn.XLOOKUP($K654&amp;"",SERVER!$B$3:$B$1009&amp;"",SERVER!$H$3:$H$1009,""),""),IF(TRIM(_xlpm.srcCat)&lt;&gt;TRIM($J654),"",_xlfn.SWITCH($I654,"Computer",_xlfn.XLOOKUP($K654&amp;"",COMPUTER!$B$3:$B$1009&amp;"",COMPUTER!$E$3:$E$1009,""),"Display",_xlfn.XLOOKUP($K654&amp;"",DISPLAY!$B$3:$B$1000&amp;"",DISPLAY!$E$3:$E$1000,""),"Network Device",_xlfn.XLOOKUP($K654&amp;"",'NETWORK-DEVICES'!$B$3:$B$987&amp;"",'NETWORK-DEVICES'!$E$3:$E$987,""),"Peripheral",_xlfn.XLOOKUP($K654&amp;"",PERIPHERAL!$B$3:$B$954&amp;"",PERIPHERAL!$E$3:$E$954,""),"Utilities",_xlfn.XLOOKUP($K654&amp;"",UTILITIES!$B$3:$B$953&amp;"",UTILITIES!$E$3:$E$953,""),"IOT",_xlfn.XLOOKUP($K654&amp;"",IOT!$B$3:$B$1012&amp;"",IOT!$E$3:$E$1012,""),"Server",_xlfn.XLOOKUP($K654&amp;"",SERVER!$B$3:$B$1009&amp;"",SERVER!$E$3:$E$1009,""),""))))</f>
        <v/>
      </c>
      <c r="Q654" s="1" t="str" cm="1">
        <f t="array" ref="Q654">IF(OR($K654="",$I654="",$J654=""),"",_xlfn.LET(_xlpm.srcCat,_xlfn.SWITCH($I654,"Computer",_xlfn.XLOOKUP($K654&amp;"",COMPUTER!$B$3:$B$1009&amp;"",COMPUTER!$H$3:$H$1009,""),"Display",_xlfn.XLOOKUP($K654&amp;"",DISPLAY!$B$3:$B$1000&amp;"",DISPLAY!$H$3:$H$1000,""),"Network Device",_xlfn.XLOOKUP($K654&amp;"",'NETWORK-DEVICES'!$B$3:$B$987&amp;"",'NETWORK-DEVICES'!$H$3:$H$987,""),"Peripheral",_xlfn.XLOOKUP($K654&amp;"",PERIPHERAL!$B$3:$B$954&amp;"",PERIPHERAL!$H$3:$H$954,""),"Utilities",_xlfn.XLOOKUP($K654&amp;"",UTILITIES!$B$3:$B$953&amp;"",UTILITIES!$G$3:$G$953,""),"IOT",_xlfn.XLOOKUP($K654&amp;"",IOT!$B$3:$B$1012&amp;"",IOT!$H$3:$H$1012,""),"Server",_xlfn.XLOOKUP($K654&amp;"",SERVER!$B$3:$B$1009&amp;"",SERVER!$H$3:$H$1009,""),""),IF(TRIM(_xlpm.srcCat)&lt;&gt;TRIM($J654),"",_xlfn.SWITCH($I654,"Computer",_xlfn.XLOOKUP($K654&amp;"",COMPUTER!$B$3:$B$1009&amp;"",COMPUTER!$AM$3:$AM$1009,""),"Display",_xlfn.XLOOKUP($K654&amp;"",DISPLAY!$B$3:$B$1000&amp;"",DISPLAY!$V$3:$V$1000,""),"Network Device",_xlfn.XLOOKUP($K654&amp;"",'NETWORK-DEVICES'!$B$3:$B$987&amp;"",'NETWORK-DEVICES'!$AF$3:$AF$987,""),"Peripheral",_xlfn.XLOOKUP($K654&amp;"",PERIPHERAL!$B$3:$B$954&amp;"",PERIPHERAL!$Y$3:$Y$954,""),"Utilities",_xlfn.XLOOKUP($K654&amp;"",UTILITIES!$B$3:$B$953&amp;"",UTILITIES!$O$3:$O$953,""),"IOT",_xlfn.XLOOKUP($K654&amp;"",IOT!$B$3:$B$1012&amp;"",IOT!$AB$3:$AB$1012,""),"Server",_xlfn.XLOOKUP($K654&amp;"",SERVER!$B$3:$B$1009&amp;"",SERVER!$AB$3:$AB$1009,""),""))))</f>
        <v/>
      </c>
      <c r="R654" s="43" t="str">
        <f>IF(tbl_handover[[#This Row],[Asset Code]]="","",COUNTIF(tbl_handover[Asset Code],tbl_handover[[#This Row],[Asset Code]]))</f>
        <v/>
      </c>
    </row>
    <row r="655" spans="1:18" x14ac:dyDescent="0.25">
      <c r="A655" s="43" t="str">
        <f>IF(B655&lt;&gt;"",SUBTOTAL(3,$B$1:B654),"")</f>
        <v/>
      </c>
      <c r="C655" s="74"/>
      <c r="D655" s="74"/>
      <c r="G655" s="1"/>
      <c r="K655" s="42"/>
      <c r="L655" t="str" cm="1">
        <f t="array" ref="L655">IF($K655="","",_xlfn.SWITCH($I655,"Computer",_xlfn.XLOOKUP($K655&amp;"",COMPUTER!$B$3:$B$1009&amp;"",COMPUTER!$I$3:$I$1009,""),"Display",_xlfn.XLOOKUP($K655&amp;"",DISPLAY!$B$3:$B$1000&amp;"",DISPLAY!$J$3:$J$1000,""),"Network Device",_xlfn.XLOOKUP($K655&amp;"",'NETWORK-DEVICES'!$B$3:$B$987&amp;"",'NETWORK-DEVICES'!$I$3:$I$987,""),"Peripheral",_xlfn.XLOOKUP($K655&amp;"",PERIPHERAL!$B$3:$B$954&amp;"",PERIPHERAL!$I$3:$I$954,""),"Utilities",_xlfn.XLOOKUP($K655&amp;"",UTILITIES!$B$3:$B$953&amp;"",UTILITIES!$H$3:$H$953,""),"IOT",_xlfn.XLOOKUP($K655&amp;"",IOT!$B$3:$B$1012&amp;"",IOT!$I$3:$I$1012,""),"SERVER",_xlfn.XLOOKUP($K655&amp;"",SERVER!$B$3:$B$1009&amp;"",SERVER!$I$3:$I$1009,""),""))</f>
        <v/>
      </c>
      <c r="M655" t="str" cm="1">
        <f t="array" ref="M655">IF($K655="","",_xlfn.SWITCH($I655,"Computer",_xlfn.XLOOKUP($K655&amp;"",COMPUTER!$B$3:$B$1009&amp;"",COMPUTER!$J$3:$J$1009,""),"Display",_xlfn.XLOOKUP($K655&amp;"",DISPLAY!$B$3:$B$1000&amp;"",DISPLAY!$K$3:$K$1000,""),"Network Device",_xlfn.XLOOKUP($K655&amp;"",'NETWORK-DEVICES'!$B$3:$B$987&amp;"",'NETWORK-DEVICES'!$I$3:$I$987,""),"Peripheral",_xlfn.XLOOKUP($K655&amp;"",PERIPHERAL!$B$3:$B$954&amp;"",PERIPHERAL!$J$3:$J$954,""),"Utilities",_xlfn.XLOOKUP($K655&amp;"",UTILITIES!$B$3:$B$953&amp;"",UTILITIES!$I$3:$I$953,""),"IOT",_xlfn.XLOOKUP($K655&amp;"",IOT!$B$3:$B$1012&amp;"",IOT!$J$3:$J$1012,""),"Server",_xlfn.XLOOKUP($K655&amp;"",SERVER!$B$3:$B$1009&amp;"",SERVER!$J$3:$J$1009,""),""))</f>
        <v/>
      </c>
      <c r="N655" s="1" t="str" cm="1">
        <f t="array" ref="N655">IF(OR($K655="",$I655="",$J655=""),"",_xlfn.LET(_xlpm.srcCat,_xlfn.SWITCH($I655,"Computer",_xlfn.XLOOKUP($K655&amp;"",COMPUTER!$B$3:$B$1009&amp;"",COMPUTER!$H$3:$H$1009,""),"Display",_xlfn.XLOOKUP($K655&amp;"",DISPLAY!$B$3:$B$1000&amp;"",DISPLAY!$H$3:$H$1000,""),"Network Device",_xlfn.XLOOKUP($K655&amp;"",'NETWORK-DEVICES'!$B$3:$B$987&amp;"",'NETWORK-DEVICES'!$H$3:$H$987,""),"Peripheral",_xlfn.XLOOKUP($K655&amp;"",PERIPHERAL!$B$3:$B$954&amp;"",PERIPHERAL!$H$3:$H$954,""),"Utilities",_xlfn.XLOOKUP($K655&amp;"",UTILITIES!$B$3:$B$953&amp;"",UTILITIES!$G$3:$G$953,""),"IOT",_xlfn.XLOOKUP($K655&amp;"",IOT!$B$3:$B$1012&amp;"",IOT!$H$3:$H$1012,""),"Server",_xlfn.XLOOKUP($K655&amp;"",SERVER!$B$3:$B$1009&amp;"",SERVER!$H$3:$H$1009,""),""),IF(TRIM(_xlpm.srcCat)&lt;&gt;TRIM($J655),"",_xlfn.SWITCH($I655,"Computer",_xlfn.XLOOKUP($K655&amp;"",COMPUTER!$B$3:$B$1009&amp;"",COMPUTER!$K$3:$K$1009,""),"Display",_xlfn.XLOOKUP($K655&amp;"",DISPLAY!$B$3:$B$1000&amp;"",DISPLAY!$L$3:$L$1000,""),"Network Device",_xlfn.XLOOKUP($K655&amp;"",'NETWORK-DEVICES'!$B$3:$B$987&amp;"",'NETWORK-DEVICES'!$K$3:$K$987,""),"Peripheral",_xlfn.XLOOKUP($K655&amp;"",PERIPHERAL!$B$3:$B$954&amp;"",PERIPHERAL!$K$3:$K$954,""),"Utilities",_xlfn.XLOOKUP($K655&amp;"",UTILITIES!$B$3:$B$953&amp;"",UTILITIES!$J$3:$J$953,""),"IOT",_xlfn.XLOOKUP($K655&amp;"",IOT!$B$3:$B$1012&amp;"",IOT!$K$4:$K$1012,""),"Server",_xlfn.XLOOKUP($K655&amp;"",SERVER!$B$3:$B$1009&amp;"",SERVER!$K$3:$K$1009,""),""))))</f>
        <v/>
      </c>
      <c r="O655" s="1" t="str" cm="1">
        <f t="array" ref="O655">IF(OR($K655="",$I655="",$J655=""),"",_xlfn.LET(_xlpm.srcCat,_xlfn.SWITCH($I655,"Computer",_xlfn.XLOOKUP($K655&amp;"",COMPUTER!$B$3:$B$1009&amp;"",COMPUTER!$H$3:$H$1009,""),"Display",_xlfn.XLOOKUP($K655&amp;"",DISPLAY!$B$3:$B$1000&amp;"",DISPLAY!$H$3:$H$1000,""),"Network Device",_xlfn.XLOOKUP($K655&amp;"",'NETWORK-DEVICES'!$B$3:$B$987&amp;"",'NETWORK-DEVICES'!$H$3:$H$987,""),"Peripheral",_xlfn.XLOOKUP($K655&amp;"",PERIPHERAL!$B$3:$B$954&amp;"",PERIPHERAL!$H$3:$H$954,""),"Utilities",_xlfn.XLOOKUP($K655&amp;"",UTILITIES!$B$3:$B$953&amp;"",UTILITIES!$G$3:$G$953,""),"IOT",_xlfn.XLOOKUP($K655&amp;"",IOT!$B$3:$B$1012&amp;"",IOT!$H$3:$H$1012,""),"Server",_xlfn.XLOOKUP($K655&amp;"",SERVER!$B$3:$B$1009&amp;"",SERVER!$H$3:$H$1009,""),""),IF(TRIM(_xlpm.srcCat)&lt;&gt;TRIM($J655),"",_xlfn.SWITCH($I655,"Computer",_xlfn.XLOOKUP($K655&amp;"",COMPUTER!$B$3:$B$1009&amp;"",COMPUTER!$E$3:$E$1009,""),"Display",_xlfn.XLOOKUP($K655&amp;"",DISPLAY!$B$3:$B$1000&amp;"",DISPLAY!$E$3:$E$1000,""),"Network Device",_xlfn.XLOOKUP($K655&amp;"",'NETWORK-DEVICES'!$B$3:$B$987&amp;"",'NETWORK-DEVICES'!$E$3:$E$987,""),"Peripheral",_xlfn.XLOOKUP($K655&amp;"",PERIPHERAL!$B$3:$B$954&amp;"",PERIPHERAL!$E$3:$E$954,""),"Utilities",_xlfn.XLOOKUP($K655&amp;"",UTILITIES!$B$3:$B$953&amp;"",UTILITIES!$E$3:$E$953,""),"IOT",_xlfn.XLOOKUP($K655&amp;"",IOT!$B$3:$B$1012&amp;"",IOT!$E$3:$E$1012,""),"Server",_xlfn.XLOOKUP($K655&amp;"",SERVER!$B$3:$B$1009&amp;"",SERVER!$E$3:$E$1009,""),""))))</f>
        <v/>
      </c>
      <c r="Q655" s="1" t="str" cm="1">
        <f t="array" ref="Q655">IF(OR($K655="",$I655="",$J655=""),"",_xlfn.LET(_xlpm.srcCat,_xlfn.SWITCH($I655,"Computer",_xlfn.XLOOKUP($K655&amp;"",COMPUTER!$B$3:$B$1009&amp;"",COMPUTER!$H$3:$H$1009,""),"Display",_xlfn.XLOOKUP($K655&amp;"",DISPLAY!$B$3:$B$1000&amp;"",DISPLAY!$H$3:$H$1000,""),"Network Device",_xlfn.XLOOKUP($K655&amp;"",'NETWORK-DEVICES'!$B$3:$B$987&amp;"",'NETWORK-DEVICES'!$H$3:$H$987,""),"Peripheral",_xlfn.XLOOKUP($K655&amp;"",PERIPHERAL!$B$3:$B$954&amp;"",PERIPHERAL!$H$3:$H$954,""),"Utilities",_xlfn.XLOOKUP($K655&amp;"",UTILITIES!$B$3:$B$953&amp;"",UTILITIES!$G$3:$G$953,""),"IOT",_xlfn.XLOOKUP($K655&amp;"",IOT!$B$3:$B$1012&amp;"",IOT!$H$3:$H$1012,""),"Server",_xlfn.XLOOKUP($K655&amp;"",SERVER!$B$3:$B$1009&amp;"",SERVER!$H$3:$H$1009,""),""),IF(TRIM(_xlpm.srcCat)&lt;&gt;TRIM($J655),"",_xlfn.SWITCH($I655,"Computer",_xlfn.XLOOKUP($K655&amp;"",COMPUTER!$B$3:$B$1009&amp;"",COMPUTER!$AM$3:$AM$1009,""),"Display",_xlfn.XLOOKUP($K655&amp;"",DISPLAY!$B$3:$B$1000&amp;"",DISPLAY!$V$3:$V$1000,""),"Network Device",_xlfn.XLOOKUP($K655&amp;"",'NETWORK-DEVICES'!$B$3:$B$987&amp;"",'NETWORK-DEVICES'!$AF$3:$AF$987,""),"Peripheral",_xlfn.XLOOKUP($K655&amp;"",PERIPHERAL!$B$3:$B$954&amp;"",PERIPHERAL!$Y$3:$Y$954,""),"Utilities",_xlfn.XLOOKUP($K655&amp;"",UTILITIES!$B$3:$B$953&amp;"",UTILITIES!$O$3:$O$953,""),"IOT",_xlfn.XLOOKUP($K655&amp;"",IOT!$B$3:$B$1012&amp;"",IOT!$AB$3:$AB$1012,""),"Server",_xlfn.XLOOKUP($K655&amp;"",SERVER!$B$3:$B$1009&amp;"",SERVER!$AB$3:$AB$1009,""),""))))</f>
        <v/>
      </c>
      <c r="R655" s="43" t="str">
        <f>IF(tbl_handover[[#This Row],[Asset Code]]="","",COUNTIF(tbl_handover[Asset Code],tbl_handover[[#This Row],[Asset Code]]))</f>
        <v/>
      </c>
    </row>
    <row r="656" spans="1:18" x14ac:dyDescent="0.25">
      <c r="A656" s="43" t="str">
        <f>IF(B656&lt;&gt;"",SUBTOTAL(3,$B$1:B655),"")</f>
        <v/>
      </c>
      <c r="C656" s="74"/>
      <c r="D656" s="74"/>
      <c r="G656" s="1"/>
      <c r="K656" s="42"/>
      <c r="L656" t="str" cm="1">
        <f t="array" ref="L656">IF($K656="","",_xlfn.SWITCH($I656,"Computer",_xlfn.XLOOKUP($K656&amp;"",COMPUTER!$B$3:$B$1009&amp;"",COMPUTER!$I$3:$I$1009,""),"Display",_xlfn.XLOOKUP($K656&amp;"",DISPLAY!$B$3:$B$1000&amp;"",DISPLAY!$J$3:$J$1000,""),"Network Device",_xlfn.XLOOKUP($K656&amp;"",'NETWORK-DEVICES'!$B$3:$B$987&amp;"",'NETWORK-DEVICES'!$I$3:$I$987,""),"Peripheral",_xlfn.XLOOKUP($K656&amp;"",PERIPHERAL!$B$3:$B$954&amp;"",PERIPHERAL!$I$3:$I$954,""),"Utilities",_xlfn.XLOOKUP($K656&amp;"",UTILITIES!$B$3:$B$953&amp;"",UTILITIES!$H$3:$H$953,""),"IOT",_xlfn.XLOOKUP($K656&amp;"",IOT!$B$3:$B$1012&amp;"",IOT!$I$3:$I$1012,""),"SERVER",_xlfn.XLOOKUP($K656&amp;"",SERVER!$B$3:$B$1009&amp;"",SERVER!$I$3:$I$1009,""),""))</f>
        <v/>
      </c>
      <c r="M656" t="str" cm="1">
        <f t="array" ref="M656">IF($K656="","",_xlfn.SWITCH($I656,"Computer",_xlfn.XLOOKUP($K656&amp;"",COMPUTER!$B$3:$B$1009&amp;"",COMPUTER!$J$3:$J$1009,""),"Display",_xlfn.XLOOKUP($K656&amp;"",DISPLAY!$B$3:$B$1000&amp;"",DISPLAY!$K$3:$K$1000,""),"Network Device",_xlfn.XLOOKUP($K656&amp;"",'NETWORK-DEVICES'!$B$3:$B$987&amp;"",'NETWORK-DEVICES'!$I$3:$I$987,""),"Peripheral",_xlfn.XLOOKUP($K656&amp;"",PERIPHERAL!$B$3:$B$954&amp;"",PERIPHERAL!$J$3:$J$954,""),"Utilities",_xlfn.XLOOKUP($K656&amp;"",UTILITIES!$B$3:$B$953&amp;"",UTILITIES!$I$3:$I$953,""),"IOT",_xlfn.XLOOKUP($K656&amp;"",IOT!$B$3:$B$1012&amp;"",IOT!$J$3:$J$1012,""),"Server",_xlfn.XLOOKUP($K656&amp;"",SERVER!$B$3:$B$1009&amp;"",SERVER!$J$3:$J$1009,""),""))</f>
        <v/>
      </c>
      <c r="N656" s="1" t="str" cm="1">
        <f t="array" ref="N656">IF(OR($K656="",$I656="",$J656=""),"",_xlfn.LET(_xlpm.srcCat,_xlfn.SWITCH($I656,"Computer",_xlfn.XLOOKUP($K656&amp;"",COMPUTER!$B$3:$B$1009&amp;"",COMPUTER!$H$3:$H$1009,""),"Display",_xlfn.XLOOKUP($K656&amp;"",DISPLAY!$B$3:$B$1000&amp;"",DISPLAY!$H$3:$H$1000,""),"Network Device",_xlfn.XLOOKUP($K656&amp;"",'NETWORK-DEVICES'!$B$3:$B$987&amp;"",'NETWORK-DEVICES'!$H$3:$H$987,""),"Peripheral",_xlfn.XLOOKUP($K656&amp;"",PERIPHERAL!$B$3:$B$954&amp;"",PERIPHERAL!$H$3:$H$954,""),"Utilities",_xlfn.XLOOKUP($K656&amp;"",UTILITIES!$B$3:$B$953&amp;"",UTILITIES!$G$3:$G$953,""),"IOT",_xlfn.XLOOKUP($K656&amp;"",IOT!$B$3:$B$1012&amp;"",IOT!$H$3:$H$1012,""),"Server",_xlfn.XLOOKUP($K656&amp;"",SERVER!$B$3:$B$1009&amp;"",SERVER!$H$3:$H$1009,""),""),IF(TRIM(_xlpm.srcCat)&lt;&gt;TRIM($J656),"",_xlfn.SWITCH($I656,"Computer",_xlfn.XLOOKUP($K656&amp;"",COMPUTER!$B$3:$B$1009&amp;"",COMPUTER!$K$3:$K$1009,""),"Display",_xlfn.XLOOKUP($K656&amp;"",DISPLAY!$B$3:$B$1000&amp;"",DISPLAY!$L$3:$L$1000,""),"Network Device",_xlfn.XLOOKUP($K656&amp;"",'NETWORK-DEVICES'!$B$3:$B$987&amp;"",'NETWORK-DEVICES'!$K$3:$K$987,""),"Peripheral",_xlfn.XLOOKUP($K656&amp;"",PERIPHERAL!$B$3:$B$954&amp;"",PERIPHERAL!$K$3:$K$954,""),"Utilities",_xlfn.XLOOKUP($K656&amp;"",UTILITIES!$B$3:$B$953&amp;"",UTILITIES!$J$3:$J$953,""),"IOT",_xlfn.XLOOKUP($K656&amp;"",IOT!$B$3:$B$1012&amp;"",IOT!$K$4:$K$1012,""),"Server",_xlfn.XLOOKUP($K656&amp;"",SERVER!$B$3:$B$1009&amp;"",SERVER!$K$3:$K$1009,""),""))))</f>
        <v/>
      </c>
      <c r="O656" s="1" t="str" cm="1">
        <f t="array" ref="O656">IF(OR($K656="",$I656="",$J656=""),"",_xlfn.LET(_xlpm.srcCat,_xlfn.SWITCH($I656,"Computer",_xlfn.XLOOKUP($K656&amp;"",COMPUTER!$B$3:$B$1009&amp;"",COMPUTER!$H$3:$H$1009,""),"Display",_xlfn.XLOOKUP($K656&amp;"",DISPLAY!$B$3:$B$1000&amp;"",DISPLAY!$H$3:$H$1000,""),"Network Device",_xlfn.XLOOKUP($K656&amp;"",'NETWORK-DEVICES'!$B$3:$B$987&amp;"",'NETWORK-DEVICES'!$H$3:$H$987,""),"Peripheral",_xlfn.XLOOKUP($K656&amp;"",PERIPHERAL!$B$3:$B$954&amp;"",PERIPHERAL!$H$3:$H$954,""),"Utilities",_xlfn.XLOOKUP($K656&amp;"",UTILITIES!$B$3:$B$953&amp;"",UTILITIES!$G$3:$G$953,""),"IOT",_xlfn.XLOOKUP($K656&amp;"",IOT!$B$3:$B$1012&amp;"",IOT!$H$3:$H$1012,""),"Server",_xlfn.XLOOKUP($K656&amp;"",SERVER!$B$3:$B$1009&amp;"",SERVER!$H$3:$H$1009,""),""),IF(TRIM(_xlpm.srcCat)&lt;&gt;TRIM($J656),"",_xlfn.SWITCH($I656,"Computer",_xlfn.XLOOKUP($K656&amp;"",COMPUTER!$B$3:$B$1009&amp;"",COMPUTER!$E$3:$E$1009,""),"Display",_xlfn.XLOOKUP($K656&amp;"",DISPLAY!$B$3:$B$1000&amp;"",DISPLAY!$E$3:$E$1000,""),"Network Device",_xlfn.XLOOKUP($K656&amp;"",'NETWORK-DEVICES'!$B$3:$B$987&amp;"",'NETWORK-DEVICES'!$E$3:$E$987,""),"Peripheral",_xlfn.XLOOKUP($K656&amp;"",PERIPHERAL!$B$3:$B$954&amp;"",PERIPHERAL!$E$3:$E$954,""),"Utilities",_xlfn.XLOOKUP($K656&amp;"",UTILITIES!$B$3:$B$953&amp;"",UTILITIES!$E$3:$E$953,""),"IOT",_xlfn.XLOOKUP($K656&amp;"",IOT!$B$3:$B$1012&amp;"",IOT!$E$3:$E$1012,""),"Server",_xlfn.XLOOKUP($K656&amp;"",SERVER!$B$3:$B$1009&amp;"",SERVER!$E$3:$E$1009,""),""))))</f>
        <v/>
      </c>
      <c r="Q656" s="1" t="str" cm="1">
        <f t="array" ref="Q656">IF(OR($K656="",$I656="",$J656=""),"",_xlfn.LET(_xlpm.srcCat,_xlfn.SWITCH($I656,"Computer",_xlfn.XLOOKUP($K656&amp;"",COMPUTER!$B$3:$B$1009&amp;"",COMPUTER!$H$3:$H$1009,""),"Display",_xlfn.XLOOKUP($K656&amp;"",DISPLAY!$B$3:$B$1000&amp;"",DISPLAY!$H$3:$H$1000,""),"Network Device",_xlfn.XLOOKUP($K656&amp;"",'NETWORK-DEVICES'!$B$3:$B$987&amp;"",'NETWORK-DEVICES'!$H$3:$H$987,""),"Peripheral",_xlfn.XLOOKUP($K656&amp;"",PERIPHERAL!$B$3:$B$954&amp;"",PERIPHERAL!$H$3:$H$954,""),"Utilities",_xlfn.XLOOKUP($K656&amp;"",UTILITIES!$B$3:$B$953&amp;"",UTILITIES!$G$3:$G$953,""),"IOT",_xlfn.XLOOKUP($K656&amp;"",IOT!$B$3:$B$1012&amp;"",IOT!$H$3:$H$1012,""),"Server",_xlfn.XLOOKUP($K656&amp;"",SERVER!$B$3:$B$1009&amp;"",SERVER!$H$3:$H$1009,""),""),IF(TRIM(_xlpm.srcCat)&lt;&gt;TRIM($J656),"",_xlfn.SWITCH($I656,"Computer",_xlfn.XLOOKUP($K656&amp;"",COMPUTER!$B$3:$B$1009&amp;"",COMPUTER!$AM$3:$AM$1009,""),"Display",_xlfn.XLOOKUP($K656&amp;"",DISPLAY!$B$3:$B$1000&amp;"",DISPLAY!$V$3:$V$1000,""),"Network Device",_xlfn.XLOOKUP($K656&amp;"",'NETWORK-DEVICES'!$B$3:$B$987&amp;"",'NETWORK-DEVICES'!$AF$3:$AF$987,""),"Peripheral",_xlfn.XLOOKUP($K656&amp;"",PERIPHERAL!$B$3:$B$954&amp;"",PERIPHERAL!$Y$3:$Y$954,""),"Utilities",_xlfn.XLOOKUP($K656&amp;"",UTILITIES!$B$3:$B$953&amp;"",UTILITIES!$O$3:$O$953,""),"IOT",_xlfn.XLOOKUP($K656&amp;"",IOT!$B$3:$B$1012&amp;"",IOT!$AB$3:$AB$1012,""),"Server",_xlfn.XLOOKUP($K656&amp;"",SERVER!$B$3:$B$1009&amp;"",SERVER!$AB$3:$AB$1009,""),""))))</f>
        <v/>
      </c>
      <c r="R656" s="43" t="str">
        <f>IF(tbl_handover[[#This Row],[Asset Code]]="","",COUNTIF(tbl_handover[Asset Code],tbl_handover[[#This Row],[Asset Code]]))</f>
        <v/>
      </c>
    </row>
    <row r="657" spans="1:18" x14ac:dyDescent="0.25">
      <c r="A657" s="43" t="str">
        <f>IF(B657&lt;&gt;"",SUBTOTAL(3,$B$1:B656),"")</f>
        <v/>
      </c>
      <c r="C657" s="74"/>
      <c r="D657" s="74"/>
      <c r="G657" s="1"/>
      <c r="K657" s="42"/>
      <c r="L657" t="str" cm="1">
        <f t="array" ref="L657">IF($K657="","",_xlfn.SWITCH($I657,"Computer",_xlfn.XLOOKUP($K657&amp;"",COMPUTER!$B$3:$B$1009&amp;"",COMPUTER!$I$3:$I$1009,""),"Display",_xlfn.XLOOKUP($K657&amp;"",DISPLAY!$B$3:$B$1000&amp;"",DISPLAY!$J$3:$J$1000,""),"Network Device",_xlfn.XLOOKUP($K657&amp;"",'NETWORK-DEVICES'!$B$3:$B$987&amp;"",'NETWORK-DEVICES'!$I$3:$I$987,""),"Peripheral",_xlfn.XLOOKUP($K657&amp;"",PERIPHERAL!$B$3:$B$954&amp;"",PERIPHERAL!$I$3:$I$954,""),"Utilities",_xlfn.XLOOKUP($K657&amp;"",UTILITIES!$B$3:$B$953&amp;"",UTILITIES!$H$3:$H$953,""),"IOT",_xlfn.XLOOKUP($K657&amp;"",IOT!$B$3:$B$1012&amp;"",IOT!$I$3:$I$1012,""),"SERVER",_xlfn.XLOOKUP($K657&amp;"",SERVER!$B$3:$B$1009&amp;"",SERVER!$I$3:$I$1009,""),""))</f>
        <v/>
      </c>
      <c r="M657" t="str" cm="1">
        <f t="array" ref="M657">IF($K657="","",_xlfn.SWITCH($I657,"Computer",_xlfn.XLOOKUP($K657&amp;"",COMPUTER!$B$3:$B$1009&amp;"",COMPUTER!$J$3:$J$1009,""),"Display",_xlfn.XLOOKUP($K657&amp;"",DISPLAY!$B$3:$B$1000&amp;"",DISPLAY!$K$3:$K$1000,""),"Network Device",_xlfn.XLOOKUP($K657&amp;"",'NETWORK-DEVICES'!$B$3:$B$987&amp;"",'NETWORK-DEVICES'!$I$3:$I$987,""),"Peripheral",_xlfn.XLOOKUP($K657&amp;"",PERIPHERAL!$B$3:$B$954&amp;"",PERIPHERAL!$J$3:$J$954,""),"Utilities",_xlfn.XLOOKUP($K657&amp;"",UTILITIES!$B$3:$B$953&amp;"",UTILITIES!$I$3:$I$953,""),"IOT",_xlfn.XLOOKUP($K657&amp;"",IOT!$B$3:$B$1012&amp;"",IOT!$J$3:$J$1012,""),"Server",_xlfn.XLOOKUP($K657&amp;"",SERVER!$B$3:$B$1009&amp;"",SERVER!$J$3:$J$1009,""),""))</f>
        <v/>
      </c>
      <c r="N657" s="1" t="str" cm="1">
        <f t="array" ref="N657">IF(OR($K657="",$I657="",$J657=""),"",_xlfn.LET(_xlpm.srcCat,_xlfn.SWITCH($I657,"Computer",_xlfn.XLOOKUP($K657&amp;"",COMPUTER!$B$3:$B$1009&amp;"",COMPUTER!$H$3:$H$1009,""),"Display",_xlfn.XLOOKUP($K657&amp;"",DISPLAY!$B$3:$B$1000&amp;"",DISPLAY!$H$3:$H$1000,""),"Network Device",_xlfn.XLOOKUP($K657&amp;"",'NETWORK-DEVICES'!$B$3:$B$987&amp;"",'NETWORK-DEVICES'!$H$3:$H$987,""),"Peripheral",_xlfn.XLOOKUP($K657&amp;"",PERIPHERAL!$B$3:$B$954&amp;"",PERIPHERAL!$H$3:$H$954,""),"Utilities",_xlfn.XLOOKUP($K657&amp;"",UTILITIES!$B$3:$B$953&amp;"",UTILITIES!$G$3:$G$953,""),"IOT",_xlfn.XLOOKUP($K657&amp;"",IOT!$B$3:$B$1012&amp;"",IOT!$H$3:$H$1012,""),"Server",_xlfn.XLOOKUP($K657&amp;"",SERVER!$B$3:$B$1009&amp;"",SERVER!$H$3:$H$1009,""),""),IF(TRIM(_xlpm.srcCat)&lt;&gt;TRIM($J657),"",_xlfn.SWITCH($I657,"Computer",_xlfn.XLOOKUP($K657&amp;"",COMPUTER!$B$3:$B$1009&amp;"",COMPUTER!$K$3:$K$1009,""),"Display",_xlfn.XLOOKUP($K657&amp;"",DISPLAY!$B$3:$B$1000&amp;"",DISPLAY!$L$3:$L$1000,""),"Network Device",_xlfn.XLOOKUP($K657&amp;"",'NETWORK-DEVICES'!$B$3:$B$987&amp;"",'NETWORK-DEVICES'!$K$3:$K$987,""),"Peripheral",_xlfn.XLOOKUP($K657&amp;"",PERIPHERAL!$B$3:$B$954&amp;"",PERIPHERAL!$K$3:$K$954,""),"Utilities",_xlfn.XLOOKUP($K657&amp;"",UTILITIES!$B$3:$B$953&amp;"",UTILITIES!$J$3:$J$953,""),"IOT",_xlfn.XLOOKUP($K657&amp;"",IOT!$B$3:$B$1012&amp;"",IOT!$K$4:$K$1012,""),"Server",_xlfn.XLOOKUP($K657&amp;"",SERVER!$B$3:$B$1009&amp;"",SERVER!$K$3:$K$1009,""),""))))</f>
        <v/>
      </c>
      <c r="O657" s="1" t="str" cm="1">
        <f t="array" ref="O657">IF(OR($K657="",$I657="",$J657=""),"",_xlfn.LET(_xlpm.srcCat,_xlfn.SWITCH($I657,"Computer",_xlfn.XLOOKUP($K657&amp;"",COMPUTER!$B$3:$B$1009&amp;"",COMPUTER!$H$3:$H$1009,""),"Display",_xlfn.XLOOKUP($K657&amp;"",DISPLAY!$B$3:$B$1000&amp;"",DISPLAY!$H$3:$H$1000,""),"Network Device",_xlfn.XLOOKUP($K657&amp;"",'NETWORK-DEVICES'!$B$3:$B$987&amp;"",'NETWORK-DEVICES'!$H$3:$H$987,""),"Peripheral",_xlfn.XLOOKUP($K657&amp;"",PERIPHERAL!$B$3:$B$954&amp;"",PERIPHERAL!$H$3:$H$954,""),"Utilities",_xlfn.XLOOKUP($K657&amp;"",UTILITIES!$B$3:$B$953&amp;"",UTILITIES!$G$3:$G$953,""),"IOT",_xlfn.XLOOKUP($K657&amp;"",IOT!$B$3:$B$1012&amp;"",IOT!$H$3:$H$1012,""),"Server",_xlfn.XLOOKUP($K657&amp;"",SERVER!$B$3:$B$1009&amp;"",SERVER!$H$3:$H$1009,""),""),IF(TRIM(_xlpm.srcCat)&lt;&gt;TRIM($J657),"",_xlfn.SWITCH($I657,"Computer",_xlfn.XLOOKUP($K657&amp;"",COMPUTER!$B$3:$B$1009&amp;"",COMPUTER!$E$3:$E$1009,""),"Display",_xlfn.XLOOKUP($K657&amp;"",DISPLAY!$B$3:$B$1000&amp;"",DISPLAY!$E$3:$E$1000,""),"Network Device",_xlfn.XLOOKUP($K657&amp;"",'NETWORK-DEVICES'!$B$3:$B$987&amp;"",'NETWORK-DEVICES'!$E$3:$E$987,""),"Peripheral",_xlfn.XLOOKUP($K657&amp;"",PERIPHERAL!$B$3:$B$954&amp;"",PERIPHERAL!$E$3:$E$954,""),"Utilities",_xlfn.XLOOKUP($K657&amp;"",UTILITIES!$B$3:$B$953&amp;"",UTILITIES!$E$3:$E$953,""),"IOT",_xlfn.XLOOKUP($K657&amp;"",IOT!$B$3:$B$1012&amp;"",IOT!$E$3:$E$1012,""),"Server",_xlfn.XLOOKUP($K657&amp;"",SERVER!$B$3:$B$1009&amp;"",SERVER!$E$3:$E$1009,""),""))))</f>
        <v/>
      </c>
      <c r="Q657" s="1" t="str" cm="1">
        <f t="array" ref="Q657">IF(OR($K657="",$I657="",$J657=""),"",_xlfn.LET(_xlpm.srcCat,_xlfn.SWITCH($I657,"Computer",_xlfn.XLOOKUP($K657&amp;"",COMPUTER!$B$3:$B$1009&amp;"",COMPUTER!$H$3:$H$1009,""),"Display",_xlfn.XLOOKUP($K657&amp;"",DISPLAY!$B$3:$B$1000&amp;"",DISPLAY!$H$3:$H$1000,""),"Network Device",_xlfn.XLOOKUP($K657&amp;"",'NETWORK-DEVICES'!$B$3:$B$987&amp;"",'NETWORK-DEVICES'!$H$3:$H$987,""),"Peripheral",_xlfn.XLOOKUP($K657&amp;"",PERIPHERAL!$B$3:$B$954&amp;"",PERIPHERAL!$H$3:$H$954,""),"Utilities",_xlfn.XLOOKUP($K657&amp;"",UTILITIES!$B$3:$B$953&amp;"",UTILITIES!$G$3:$G$953,""),"IOT",_xlfn.XLOOKUP($K657&amp;"",IOT!$B$3:$B$1012&amp;"",IOT!$H$3:$H$1012,""),"Server",_xlfn.XLOOKUP($K657&amp;"",SERVER!$B$3:$B$1009&amp;"",SERVER!$H$3:$H$1009,""),""),IF(TRIM(_xlpm.srcCat)&lt;&gt;TRIM($J657),"",_xlfn.SWITCH($I657,"Computer",_xlfn.XLOOKUP($K657&amp;"",COMPUTER!$B$3:$B$1009&amp;"",COMPUTER!$AM$3:$AM$1009,""),"Display",_xlfn.XLOOKUP($K657&amp;"",DISPLAY!$B$3:$B$1000&amp;"",DISPLAY!$V$3:$V$1000,""),"Network Device",_xlfn.XLOOKUP($K657&amp;"",'NETWORK-DEVICES'!$B$3:$B$987&amp;"",'NETWORK-DEVICES'!$AF$3:$AF$987,""),"Peripheral",_xlfn.XLOOKUP($K657&amp;"",PERIPHERAL!$B$3:$B$954&amp;"",PERIPHERAL!$Y$3:$Y$954,""),"Utilities",_xlfn.XLOOKUP($K657&amp;"",UTILITIES!$B$3:$B$953&amp;"",UTILITIES!$O$3:$O$953,""),"IOT",_xlfn.XLOOKUP($K657&amp;"",IOT!$B$3:$B$1012&amp;"",IOT!$AB$3:$AB$1012,""),"Server",_xlfn.XLOOKUP($K657&amp;"",SERVER!$B$3:$B$1009&amp;"",SERVER!$AB$3:$AB$1009,""),""))))</f>
        <v/>
      </c>
      <c r="R657" s="43" t="str">
        <f>IF(tbl_handover[[#This Row],[Asset Code]]="","",COUNTIF(tbl_handover[Asset Code],tbl_handover[[#This Row],[Asset Code]]))</f>
        <v/>
      </c>
    </row>
    <row r="658" spans="1:18" x14ac:dyDescent="0.25">
      <c r="A658" s="43" t="str">
        <f>IF(B658&lt;&gt;"",SUBTOTAL(3,$B$1:B657),"")</f>
        <v/>
      </c>
      <c r="C658" s="74"/>
      <c r="D658" s="74"/>
      <c r="G658" s="1"/>
      <c r="K658" s="42"/>
      <c r="L658" t="str" cm="1">
        <f t="array" ref="L658">IF($K658="","",_xlfn.SWITCH($I658,"Computer",_xlfn.XLOOKUP($K658&amp;"",COMPUTER!$B$3:$B$1009&amp;"",COMPUTER!$I$3:$I$1009,""),"Display",_xlfn.XLOOKUP($K658&amp;"",DISPLAY!$B$3:$B$1000&amp;"",DISPLAY!$J$3:$J$1000,""),"Network Device",_xlfn.XLOOKUP($K658&amp;"",'NETWORK-DEVICES'!$B$3:$B$987&amp;"",'NETWORK-DEVICES'!$I$3:$I$987,""),"Peripheral",_xlfn.XLOOKUP($K658&amp;"",PERIPHERAL!$B$3:$B$954&amp;"",PERIPHERAL!$I$3:$I$954,""),"Utilities",_xlfn.XLOOKUP($K658&amp;"",UTILITIES!$B$3:$B$953&amp;"",UTILITIES!$H$3:$H$953,""),"IOT",_xlfn.XLOOKUP($K658&amp;"",IOT!$B$3:$B$1012&amp;"",IOT!$I$3:$I$1012,""),"SERVER",_xlfn.XLOOKUP($K658&amp;"",SERVER!$B$3:$B$1009&amp;"",SERVER!$I$3:$I$1009,""),""))</f>
        <v/>
      </c>
      <c r="M658" t="str" cm="1">
        <f t="array" ref="M658">IF($K658="","",_xlfn.SWITCH($I658,"Computer",_xlfn.XLOOKUP($K658&amp;"",COMPUTER!$B$3:$B$1009&amp;"",COMPUTER!$J$3:$J$1009,""),"Display",_xlfn.XLOOKUP($K658&amp;"",DISPLAY!$B$3:$B$1000&amp;"",DISPLAY!$K$3:$K$1000,""),"Network Device",_xlfn.XLOOKUP($K658&amp;"",'NETWORK-DEVICES'!$B$3:$B$987&amp;"",'NETWORK-DEVICES'!$I$3:$I$987,""),"Peripheral",_xlfn.XLOOKUP($K658&amp;"",PERIPHERAL!$B$3:$B$954&amp;"",PERIPHERAL!$J$3:$J$954,""),"Utilities",_xlfn.XLOOKUP($K658&amp;"",UTILITIES!$B$3:$B$953&amp;"",UTILITIES!$I$3:$I$953,""),"IOT",_xlfn.XLOOKUP($K658&amp;"",IOT!$B$3:$B$1012&amp;"",IOT!$J$3:$J$1012,""),"Server",_xlfn.XLOOKUP($K658&amp;"",SERVER!$B$3:$B$1009&amp;"",SERVER!$J$3:$J$1009,""),""))</f>
        <v/>
      </c>
      <c r="N658" s="1" t="str" cm="1">
        <f t="array" ref="N658">IF(OR($K658="",$I658="",$J658=""),"",_xlfn.LET(_xlpm.srcCat,_xlfn.SWITCH($I658,"Computer",_xlfn.XLOOKUP($K658&amp;"",COMPUTER!$B$3:$B$1009&amp;"",COMPUTER!$H$3:$H$1009,""),"Display",_xlfn.XLOOKUP($K658&amp;"",DISPLAY!$B$3:$B$1000&amp;"",DISPLAY!$H$3:$H$1000,""),"Network Device",_xlfn.XLOOKUP($K658&amp;"",'NETWORK-DEVICES'!$B$3:$B$987&amp;"",'NETWORK-DEVICES'!$H$3:$H$987,""),"Peripheral",_xlfn.XLOOKUP($K658&amp;"",PERIPHERAL!$B$3:$B$954&amp;"",PERIPHERAL!$H$3:$H$954,""),"Utilities",_xlfn.XLOOKUP($K658&amp;"",UTILITIES!$B$3:$B$953&amp;"",UTILITIES!$G$3:$G$953,""),"IOT",_xlfn.XLOOKUP($K658&amp;"",IOT!$B$3:$B$1012&amp;"",IOT!$H$3:$H$1012,""),"Server",_xlfn.XLOOKUP($K658&amp;"",SERVER!$B$3:$B$1009&amp;"",SERVER!$H$3:$H$1009,""),""),IF(TRIM(_xlpm.srcCat)&lt;&gt;TRIM($J658),"",_xlfn.SWITCH($I658,"Computer",_xlfn.XLOOKUP($K658&amp;"",COMPUTER!$B$3:$B$1009&amp;"",COMPUTER!$K$3:$K$1009,""),"Display",_xlfn.XLOOKUP($K658&amp;"",DISPLAY!$B$3:$B$1000&amp;"",DISPLAY!$L$3:$L$1000,""),"Network Device",_xlfn.XLOOKUP($K658&amp;"",'NETWORK-DEVICES'!$B$3:$B$987&amp;"",'NETWORK-DEVICES'!$K$3:$K$987,""),"Peripheral",_xlfn.XLOOKUP($K658&amp;"",PERIPHERAL!$B$3:$B$954&amp;"",PERIPHERAL!$K$3:$K$954,""),"Utilities",_xlfn.XLOOKUP($K658&amp;"",UTILITIES!$B$3:$B$953&amp;"",UTILITIES!$J$3:$J$953,""),"IOT",_xlfn.XLOOKUP($K658&amp;"",IOT!$B$3:$B$1012&amp;"",IOT!$K$4:$K$1012,""),"Server",_xlfn.XLOOKUP($K658&amp;"",SERVER!$B$3:$B$1009&amp;"",SERVER!$K$3:$K$1009,""),""))))</f>
        <v/>
      </c>
      <c r="O658" s="1" t="str" cm="1">
        <f t="array" ref="O658">IF(OR($K658="",$I658="",$J658=""),"",_xlfn.LET(_xlpm.srcCat,_xlfn.SWITCH($I658,"Computer",_xlfn.XLOOKUP($K658&amp;"",COMPUTER!$B$3:$B$1009&amp;"",COMPUTER!$H$3:$H$1009,""),"Display",_xlfn.XLOOKUP($K658&amp;"",DISPLAY!$B$3:$B$1000&amp;"",DISPLAY!$H$3:$H$1000,""),"Network Device",_xlfn.XLOOKUP($K658&amp;"",'NETWORK-DEVICES'!$B$3:$B$987&amp;"",'NETWORK-DEVICES'!$H$3:$H$987,""),"Peripheral",_xlfn.XLOOKUP($K658&amp;"",PERIPHERAL!$B$3:$B$954&amp;"",PERIPHERAL!$H$3:$H$954,""),"Utilities",_xlfn.XLOOKUP($K658&amp;"",UTILITIES!$B$3:$B$953&amp;"",UTILITIES!$G$3:$G$953,""),"IOT",_xlfn.XLOOKUP($K658&amp;"",IOT!$B$3:$B$1012&amp;"",IOT!$H$3:$H$1012,""),"Server",_xlfn.XLOOKUP($K658&amp;"",SERVER!$B$3:$B$1009&amp;"",SERVER!$H$3:$H$1009,""),""),IF(TRIM(_xlpm.srcCat)&lt;&gt;TRIM($J658),"",_xlfn.SWITCH($I658,"Computer",_xlfn.XLOOKUP($K658&amp;"",COMPUTER!$B$3:$B$1009&amp;"",COMPUTER!$E$3:$E$1009,""),"Display",_xlfn.XLOOKUP($K658&amp;"",DISPLAY!$B$3:$B$1000&amp;"",DISPLAY!$E$3:$E$1000,""),"Network Device",_xlfn.XLOOKUP($K658&amp;"",'NETWORK-DEVICES'!$B$3:$B$987&amp;"",'NETWORK-DEVICES'!$E$3:$E$987,""),"Peripheral",_xlfn.XLOOKUP($K658&amp;"",PERIPHERAL!$B$3:$B$954&amp;"",PERIPHERAL!$E$3:$E$954,""),"Utilities",_xlfn.XLOOKUP($K658&amp;"",UTILITIES!$B$3:$B$953&amp;"",UTILITIES!$E$3:$E$953,""),"IOT",_xlfn.XLOOKUP($K658&amp;"",IOT!$B$3:$B$1012&amp;"",IOT!$E$3:$E$1012,""),"Server",_xlfn.XLOOKUP($K658&amp;"",SERVER!$B$3:$B$1009&amp;"",SERVER!$E$3:$E$1009,""),""))))</f>
        <v/>
      </c>
      <c r="Q658" s="1" t="str" cm="1">
        <f t="array" ref="Q658">IF(OR($K658="",$I658="",$J658=""),"",_xlfn.LET(_xlpm.srcCat,_xlfn.SWITCH($I658,"Computer",_xlfn.XLOOKUP($K658&amp;"",COMPUTER!$B$3:$B$1009&amp;"",COMPUTER!$H$3:$H$1009,""),"Display",_xlfn.XLOOKUP($K658&amp;"",DISPLAY!$B$3:$B$1000&amp;"",DISPLAY!$H$3:$H$1000,""),"Network Device",_xlfn.XLOOKUP($K658&amp;"",'NETWORK-DEVICES'!$B$3:$B$987&amp;"",'NETWORK-DEVICES'!$H$3:$H$987,""),"Peripheral",_xlfn.XLOOKUP($K658&amp;"",PERIPHERAL!$B$3:$B$954&amp;"",PERIPHERAL!$H$3:$H$954,""),"Utilities",_xlfn.XLOOKUP($K658&amp;"",UTILITIES!$B$3:$B$953&amp;"",UTILITIES!$G$3:$G$953,""),"IOT",_xlfn.XLOOKUP($K658&amp;"",IOT!$B$3:$B$1012&amp;"",IOT!$H$3:$H$1012,""),"Server",_xlfn.XLOOKUP($K658&amp;"",SERVER!$B$3:$B$1009&amp;"",SERVER!$H$3:$H$1009,""),""),IF(TRIM(_xlpm.srcCat)&lt;&gt;TRIM($J658),"",_xlfn.SWITCH($I658,"Computer",_xlfn.XLOOKUP($K658&amp;"",COMPUTER!$B$3:$B$1009&amp;"",COMPUTER!$AM$3:$AM$1009,""),"Display",_xlfn.XLOOKUP($K658&amp;"",DISPLAY!$B$3:$B$1000&amp;"",DISPLAY!$V$3:$V$1000,""),"Network Device",_xlfn.XLOOKUP($K658&amp;"",'NETWORK-DEVICES'!$B$3:$B$987&amp;"",'NETWORK-DEVICES'!$AF$3:$AF$987,""),"Peripheral",_xlfn.XLOOKUP($K658&amp;"",PERIPHERAL!$B$3:$B$954&amp;"",PERIPHERAL!$Y$3:$Y$954,""),"Utilities",_xlfn.XLOOKUP($K658&amp;"",UTILITIES!$B$3:$B$953&amp;"",UTILITIES!$O$3:$O$953,""),"IOT",_xlfn.XLOOKUP($K658&amp;"",IOT!$B$3:$B$1012&amp;"",IOT!$AB$3:$AB$1012,""),"Server",_xlfn.XLOOKUP($K658&amp;"",SERVER!$B$3:$B$1009&amp;"",SERVER!$AB$3:$AB$1009,""),""))))</f>
        <v/>
      </c>
      <c r="R658" s="43" t="str">
        <f>IF(tbl_handover[[#This Row],[Asset Code]]="","",COUNTIF(tbl_handover[Asset Code],tbl_handover[[#This Row],[Asset Code]]))</f>
        <v/>
      </c>
    </row>
    <row r="659" spans="1:18" x14ac:dyDescent="0.25">
      <c r="A659" s="43" t="str">
        <f>IF(B659&lt;&gt;"",SUBTOTAL(3,$B$1:B658),"")</f>
        <v/>
      </c>
      <c r="C659" s="74"/>
      <c r="D659" s="74"/>
      <c r="G659" s="1"/>
      <c r="K659" s="42"/>
      <c r="L659" t="str" cm="1">
        <f t="array" ref="L659">IF($K659="","",_xlfn.SWITCH($I659,"Computer",_xlfn.XLOOKUP($K659&amp;"",COMPUTER!$B$3:$B$1009&amp;"",COMPUTER!$I$3:$I$1009,""),"Display",_xlfn.XLOOKUP($K659&amp;"",DISPLAY!$B$3:$B$1000&amp;"",DISPLAY!$J$3:$J$1000,""),"Network Device",_xlfn.XLOOKUP($K659&amp;"",'NETWORK-DEVICES'!$B$3:$B$987&amp;"",'NETWORK-DEVICES'!$I$3:$I$987,""),"Peripheral",_xlfn.XLOOKUP($K659&amp;"",PERIPHERAL!$B$3:$B$954&amp;"",PERIPHERAL!$I$3:$I$954,""),"Utilities",_xlfn.XLOOKUP($K659&amp;"",UTILITIES!$B$3:$B$953&amp;"",UTILITIES!$H$3:$H$953,""),"IOT",_xlfn.XLOOKUP($K659&amp;"",IOT!$B$3:$B$1012&amp;"",IOT!$I$3:$I$1012,""),"SERVER",_xlfn.XLOOKUP($K659&amp;"",SERVER!$B$3:$B$1009&amp;"",SERVER!$I$3:$I$1009,""),""))</f>
        <v/>
      </c>
      <c r="M659" t="str" cm="1">
        <f t="array" ref="M659">IF($K659="","",_xlfn.SWITCH($I659,"Computer",_xlfn.XLOOKUP($K659&amp;"",COMPUTER!$B$3:$B$1009&amp;"",COMPUTER!$J$3:$J$1009,""),"Display",_xlfn.XLOOKUP($K659&amp;"",DISPLAY!$B$3:$B$1000&amp;"",DISPLAY!$K$3:$K$1000,""),"Network Device",_xlfn.XLOOKUP($K659&amp;"",'NETWORK-DEVICES'!$B$3:$B$987&amp;"",'NETWORK-DEVICES'!$I$3:$I$987,""),"Peripheral",_xlfn.XLOOKUP($K659&amp;"",PERIPHERAL!$B$3:$B$954&amp;"",PERIPHERAL!$J$3:$J$954,""),"Utilities",_xlfn.XLOOKUP($K659&amp;"",UTILITIES!$B$3:$B$953&amp;"",UTILITIES!$I$3:$I$953,""),"IOT",_xlfn.XLOOKUP($K659&amp;"",IOT!$B$3:$B$1012&amp;"",IOT!$J$3:$J$1012,""),"Server",_xlfn.XLOOKUP($K659&amp;"",SERVER!$B$3:$B$1009&amp;"",SERVER!$J$3:$J$1009,""),""))</f>
        <v/>
      </c>
      <c r="N659" s="1" t="str" cm="1">
        <f t="array" ref="N659">IF(OR($K659="",$I659="",$J659=""),"",_xlfn.LET(_xlpm.srcCat,_xlfn.SWITCH($I659,"Computer",_xlfn.XLOOKUP($K659&amp;"",COMPUTER!$B$3:$B$1009&amp;"",COMPUTER!$H$3:$H$1009,""),"Display",_xlfn.XLOOKUP($K659&amp;"",DISPLAY!$B$3:$B$1000&amp;"",DISPLAY!$H$3:$H$1000,""),"Network Device",_xlfn.XLOOKUP($K659&amp;"",'NETWORK-DEVICES'!$B$3:$B$987&amp;"",'NETWORK-DEVICES'!$H$3:$H$987,""),"Peripheral",_xlfn.XLOOKUP($K659&amp;"",PERIPHERAL!$B$3:$B$954&amp;"",PERIPHERAL!$H$3:$H$954,""),"Utilities",_xlfn.XLOOKUP($K659&amp;"",UTILITIES!$B$3:$B$953&amp;"",UTILITIES!$G$3:$G$953,""),"IOT",_xlfn.XLOOKUP($K659&amp;"",IOT!$B$3:$B$1012&amp;"",IOT!$H$3:$H$1012,""),"Server",_xlfn.XLOOKUP($K659&amp;"",SERVER!$B$3:$B$1009&amp;"",SERVER!$H$3:$H$1009,""),""),IF(TRIM(_xlpm.srcCat)&lt;&gt;TRIM($J659),"",_xlfn.SWITCH($I659,"Computer",_xlfn.XLOOKUP($K659&amp;"",COMPUTER!$B$3:$B$1009&amp;"",COMPUTER!$K$3:$K$1009,""),"Display",_xlfn.XLOOKUP($K659&amp;"",DISPLAY!$B$3:$B$1000&amp;"",DISPLAY!$L$3:$L$1000,""),"Network Device",_xlfn.XLOOKUP($K659&amp;"",'NETWORK-DEVICES'!$B$3:$B$987&amp;"",'NETWORK-DEVICES'!$K$3:$K$987,""),"Peripheral",_xlfn.XLOOKUP($K659&amp;"",PERIPHERAL!$B$3:$B$954&amp;"",PERIPHERAL!$K$3:$K$954,""),"Utilities",_xlfn.XLOOKUP($K659&amp;"",UTILITIES!$B$3:$B$953&amp;"",UTILITIES!$J$3:$J$953,""),"IOT",_xlfn.XLOOKUP($K659&amp;"",IOT!$B$3:$B$1012&amp;"",IOT!$K$4:$K$1012,""),"Server",_xlfn.XLOOKUP($K659&amp;"",SERVER!$B$3:$B$1009&amp;"",SERVER!$K$3:$K$1009,""),""))))</f>
        <v/>
      </c>
      <c r="O659" s="1" t="str" cm="1">
        <f t="array" ref="O659">IF(OR($K659="",$I659="",$J659=""),"",_xlfn.LET(_xlpm.srcCat,_xlfn.SWITCH($I659,"Computer",_xlfn.XLOOKUP($K659&amp;"",COMPUTER!$B$3:$B$1009&amp;"",COMPUTER!$H$3:$H$1009,""),"Display",_xlfn.XLOOKUP($K659&amp;"",DISPLAY!$B$3:$B$1000&amp;"",DISPLAY!$H$3:$H$1000,""),"Network Device",_xlfn.XLOOKUP($K659&amp;"",'NETWORK-DEVICES'!$B$3:$B$987&amp;"",'NETWORK-DEVICES'!$H$3:$H$987,""),"Peripheral",_xlfn.XLOOKUP($K659&amp;"",PERIPHERAL!$B$3:$B$954&amp;"",PERIPHERAL!$H$3:$H$954,""),"Utilities",_xlfn.XLOOKUP($K659&amp;"",UTILITIES!$B$3:$B$953&amp;"",UTILITIES!$G$3:$G$953,""),"IOT",_xlfn.XLOOKUP($K659&amp;"",IOT!$B$3:$B$1012&amp;"",IOT!$H$3:$H$1012,""),"Server",_xlfn.XLOOKUP($K659&amp;"",SERVER!$B$3:$B$1009&amp;"",SERVER!$H$3:$H$1009,""),""),IF(TRIM(_xlpm.srcCat)&lt;&gt;TRIM($J659),"",_xlfn.SWITCH($I659,"Computer",_xlfn.XLOOKUP($K659&amp;"",COMPUTER!$B$3:$B$1009&amp;"",COMPUTER!$E$3:$E$1009,""),"Display",_xlfn.XLOOKUP($K659&amp;"",DISPLAY!$B$3:$B$1000&amp;"",DISPLAY!$E$3:$E$1000,""),"Network Device",_xlfn.XLOOKUP($K659&amp;"",'NETWORK-DEVICES'!$B$3:$B$987&amp;"",'NETWORK-DEVICES'!$E$3:$E$987,""),"Peripheral",_xlfn.XLOOKUP($K659&amp;"",PERIPHERAL!$B$3:$B$954&amp;"",PERIPHERAL!$E$3:$E$954,""),"Utilities",_xlfn.XLOOKUP($K659&amp;"",UTILITIES!$B$3:$B$953&amp;"",UTILITIES!$E$3:$E$953,""),"IOT",_xlfn.XLOOKUP($K659&amp;"",IOT!$B$3:$B$1012&amp;"",IOT!$E$3:$E$1012,""),"Server",_xlfn.XLOOKUP($K659&amp;"",SERVER!$B$3:$B$1009&amp;"",SERVER!$E$3:$E$1009,""),""))))</f>
        <v/>
      </c>
      <c r="Q659" s="1" t="str" cm="1">
        <f t="array" ref="Q659">IF(OR($K659="",$I659="",$J659=""),"",_xlfn.LET(_xlpm.srcCat,_xlfn.SWITCH($I659,"Computer",_xlfn.XLOOKUP($K659&amp;"",COMPUTER!$B$3:$B$1009&amp;"",COMPUTER!$H$3:$H$1009,""),"Display",_xlfn.XLOOKUP($K659&amp;"",DISPLAY!$B$3:$B$1000&amp;"",DISPLAY!$H$3:$H$1000,""),"Network Device",_xlfn.XLOOKUP($K659&amp;"",'NETWORK-DEVICES'!$B$3:$B$987&amp;"",'NETWORK-DEVICES'!$H$3:$H$987,""),"Peripheral",_xlfn.XLOOKUP($K659&amp;"",PERIPHERAL!$B$3:$B$954&amp;"",PERIPHERAL!$H$3:$H$954,""),"Utilities",_xlfn.XLOOKUP($K659&amp;"",UTILITIES!$B$3:$B$953&amp;"",UTILITIES!$G$3:$G$953,""),"IOT",_xlfn.XLOOKUP($K659&amp;"",IOT!$B$3:$B$1012&amp;"",IOT!$H$3:$H$1012,""),"Server",_xlfn.XLOOKUP($K659&amp;"",SERVER!$B$3:$B$1009&amp;"",SERVER!$H$3:$H$1009,""),""),IF(TRIM(_xlpm.srcCat)&lt;&gt;TRIM($J659),"",_xlfn.SWITCH($I659,"Computer",_xlfn.XLOOKUP($K659&amp;"",COMPUTER!$B$3:$B$1009&amp;"",COMPUTER!$AM$3:$AM$1009,""),"Display",_xlfn.XLOOKUP($K659&amp;"",DISPLAY!$B$3:$B$1000&amp;"",DISPLAY!$V$3:$V$1000,""),"Network Device",_xlfn.XLOOKUP($K659&amp;"",'NETWORK-DEVICES'!$B$3:$B$987&amp;"",'NETWORK-DEVICES'!$AF$3:$AF$987,""),"Peripheral",_xlfn.XLOOKUP($K659&amp;"",PERIPHERAL!$B$3:$B$954&amp;"",PERIPHERAL!$Y$3:$Y$954,""),"Utilities",_xlfn.XLOOKUP($K659&amp;"",UTILITIES!$B$3:$B$953&amp;"",UTILITIES!$O$3:$O$953,""),"IOT",_xlfn.XLOOKUP($K659&amp;"",IOT!$B$3:$B$1012&amp;"",IOT!$AB$3:$AB$1012,""),"Server",_xlfn.XLOOKUP($K659&amp;"",SERVER!$B$3:$B$1009&amp;"",SERVER!$AB$3:$AB$1009,""),""))))</f>
        <v/>
      </c>
      <c r="R659" s="43" t="str">
        <f>IF(tbl_handover[[#This Row],[Asset Code]]="","",COUNTIF(tbl_handover[Asset Code],tbl_handover[[#This Row],[Asset Code]]))</f>
        <v/>
      </c>
    </row>
    <row r="660" spans="1:18" x14ac:dyDescent="0.25">
      <c r="A660" s="43" t="str">
        <f>IF(B660&lt;&gt;"",SUBTOTAL(3,$B$1:B659),"")</f>
        <v/>
      </c>
      <c r="C660" s="74"/>
      <c r="D660" s="74"/>
      <c r="G660" s="1"/>
      <c r="K660" s="42"/>
      <c r="L660" t="str" cm="1">
        <f t="array" ref="L660">IF($K660="","",_xlfn.SWITCH($I660,"Computer",_xlfn.XLOOKUP($K660&amp;"",COMPUTER!$B$3:$B$1009&amp;"",COMPUTER!$I$3:$I$1009,""),"Display",_xlfn.XLOOKUP($K660&amp;"",DISPLAY!$B$3:$B$1000&amp;"",DISPLAY!$J$3:$J$1000,""),"Network Device",_xlfn.XLOOKUP($K660&amp;"",'NETWORK-DEVICES'!$B$3:$B$987&amp;"",'NETWORK-DEVICES'!$I$3:$I$987,""),"Peripheral",_xlfn.XLOOKUP($K660&amp;"",PERIPHERAL!$B$3:$B$954&amp;"",PERIPHERAL!$I$3:$I$954,""),"Utilities",_xlfn.XLOOKUP($K660&amp;"",UTILITIES!$B$3:$B$953&amp;"",UTILITIES!$H$3:$H$953,""),"IOT",_xlfn.XLOOKUP($K660&amp;"",IOT!$B$3:$B$1012&amp;"",IOT!$I$3:$I$1012,""),"SERVER",_xlfn.XLOOKUP($K660&amp;"",SERVER!$B$3:$B$1009&amp;"",SERVER!$I$3:$I$1009,""),""))</f>
        <v/>
      </c>
      <c r="M660" t="str" cm="1">
        <f t="array" ref="M660">IF($K660="","",_xlfn.SWITCH($I660,"Computer",_xlfn.XLOOKUP($K660&amp;"",COMPUTER!$B$3:$B$1009&amp;"",COMPUTER!$J$3:$J$1009,""),"Display",_xlfn.XLOOKUP($K660&amp;"",DISPLAY!$B$3:$B$1000&amp;"",DISPLAY!$K$3:$K$1000,""),"Network Device",_xlfn.XLOOKUP($K660&amp;"",'NETWORK-DEVICES'!$B$3:$B$987&amp;"",'NETWORK-DEVICES'!$I$3:$I$987,""),"Peripheral",_xlfn.XLOOKUP($K660&amp;"",PERIPHERAL!$B$3:$B$954&amp;"",PERIPHERAL!$J$3:$J$954,""),"Utilities",_xlfn.XLOOKUP($K660&amp;"",UTILITIES!$B$3:$B$953&amp;"",UTILITIES!$I$3:$I$953,""),"IOT",_xlfn.XLOOKUP($K660&amp;"",IOT!$B$3:$B$1012&amp;"",IOT!$J$3:$J$1012,""),"Server",_xlfn.XLOOKUP($K660&amp;"",SERVER!$B$3:$B$1009&amp;"",SERVER!$J$3:$J$1009,""),""))</f>
        <v/>
      </c>
      <c r="N660" s="1" t="str" cm="1">
        <f t="array" ref="N660">IF(OR($K660="",$I660="",$J660=""),"",_xlfn.LET(_xlpm.srcCat,_xlfn.SWITCH($I660,"Computer",_xlfn.XLOOKUP($K660&amp;"",COMPUTER!$B$3:$B$1009&amp;"",COMPUTER!$H$3:$H$1009,""),"Display",_xlfn.XLOOKUP($K660&amp;"",DISPLAY!$B$3:$B$1000&amp;"",DISPLAY!$H$3:$H$1000,""),"Network Device",_xlfn.XLOOKUP($K660&amp;"",'NETWORK-DEVICES'!$B$3:$B$987&amp;"",'NETWORK-DEVICES'!$H$3:$H$987,""),"Peripheral",_xlfn.XLOOKUP($K660&amp;"",PERIPHERAL!$B$3:$B$954&amp;"",PERIPHERAL!$H$3:$H$954,""),"Utilities",_xlfn.XLOOKUP($K660&amp;"",UTILITIES!$B$3:$B$953&amp;"",UTILITIES!$G$3:$G$953,""),"IOT",_xlfn.XLOOKUP($K660&amp;"",IOT!$B$3:$B$1012&amp;"",IOT!$H$3:$H$1012,""),"Server",_xlfn.XLOOKUP($K660&amp;"",SERVER!$B$3:$B$1009&amp;"",SERVER!$H$3:$H$1009,""),""),IF(TRIM(_xlpm.srcCat)&lt;&gt;TRIM($J660),"",_xlfn.SWITCH($I660,"Computer",_xlfn.XLOOKUP($K660&amp;"",COMPUTER!$B$3:$B$1009&amp;"",COMPUTER!$K$3:$K$1009,""),"Display",_xlfn.XLOOKUP($K660&amp;"",DISPLAY!$B$3:$B$1000&amp;"",DISPLAY!$L$3:$L$1000,""),"Network Device",_xlfn.XLOOKUP($K660&amp;"",'NETWORK-DEVICES'!$B$3:$B$987&amp;"",'NETWORK-DEVICES'!$K$3:$K$987,""),"Peripheral",_xlfn.XLOOKUP($K660&amp;"",PERIPHERAL!$B$3:$B$954&amp;"",PERIPHERAL!$K$3:$K$954,""),"Utilities",_xlfn.XLOOKUP($K660&amp;"",UTILITIES!$B$3:$B$953&amp;"",UTILITIES!$J$3:$J$953,""),"IOT",_xlfn.XLOOKUP($K660&amp;"",IOT!$B$3:$B$1012&amp;"",IOT!$K$4:$K$1012,""),"Server",_xlfn.XLOOKUP($K660&amp;"",SERVER!$B$3:$B$1009&amp;"",SERVER!$K$3:$K$1009,""),""))))</f>
        <v/>
      </c>
      <c r="O660" s="1" t="str" cm="1">
        <f t="array" ref="O660">IF(OR($K660="",$I660="",$J660=""),"",_xlfn.LET(_xlpm.srcCat,_xlfn.SWITCH($I660,"Computer",_xlfn.XLOOKUP($K660&amp;"",COMPUTER!$B$3:$B$1009&amp;"",COMPUTER!$H$3:$H$1009,""),"Display",_xlfn.XLOOKUP($K660&amp;"",DISPLAY!$B$3:$B$1000&amp;"",DISPLAY!$H$3:$H$1000,""),"Network Device",_xlfn.XLOOKUP($K660&amp;"",'NETWORK-DEVICES'!$B$3:$B$987&amp;"",'NETWORK-DEVICES'!$H$3:$H$987,""),"Peripheral",_xlfn.XLOOKUP($K660&amp;"",PERIPHERAL!$B$3:$B$954&amp;"",PERIPHERAL!$H$3:$H$954,""),"Utilities",_xlfn.XLOOKUP($K660&amp;"",UTILITIES!$B$3:$B$953&amp;"",UTILITIES!$G$3:$G$953,""),"IOT",_xlfn.XLOOKUP($K660&amp;"",IOT!$B$3:$B$1012&amp;"",IOT!$H$3:$H$1012,""),"Server",_xlfn.XLOOKUP($K660&amp;"",SERVER!$B$3:$B$1009&amp;"",SERVER!$H$3:$H$1009,""),""),IF(TRIM(_xlpm.srcCat)&lt;&gt;TRIM($J660),"",_xlfn.SWITCH($I660,"Computer",_xlfn.XLOOKUP($K660&amp;"",COMPUTER!$B$3:$B$1009&amp;"",COMPUTER!$E$3:$E$1009,""),"Display",_xlfn.XLOOKUP($K660&amp;"",DISPLAY!$B$3:$B$1000&amp;"",DISPLAY!$E$3:$E$1000,""),"Network Device",_xlfn.XLOOKUP($K660&amp;"",'NETWORK-DEVICES'!$B$3:$B$987&amp;"",'NETWORK-DEVICES'!$E$3:$E$987,""),"Peripheral",_xlfn.XLOOKUP($K660&amp;"",PERIPHERAL!$B$3:$B$954&amp;"",PERIPHERAL!$E$3:$E$954,""),"Utilities",_xlfn.XLOOKUP($K660&amp;"",UTILITIES!$B$3:$B$953&amp;"",UTILITIES!$E$3:$E$953,""),"IOT",_xlfn.XLOOKUP($K660&amp;"",IOT!$B$3:$B$1012&amp;"",IOT!$E$3:$E$1012,""),"Server",_xlfn.XLOOKUP($K660&amp;"",SERVER!$B$3:$B$1009&amp;"",SERVER!$E$3:$E$1009,""),""))))</f>
        <v/>
      </c>
      <c r="Q660" s="1" t="str" cm="1">
        <f t="array" ref="Q660">IF(OR($K660="",$I660="",$J660=""),"",_xlfn.LET(_xlpm.srcCat,_xlfn.SWITCH($I660,"Computer",_xlfn.XLOOKUP($K660&amp;"",COMPUTER!$B$3:$B$1009&amp;"",COMPUTER!$H$3:$H$1009,""),"Display",_xlfn.XLOOKUP($K660&amp;"",DISPLAY!$B$3:$B$1000&amp;"",DISPLAY!$H$3:$H$1000,""),"Network Device",_xlfn.XLOOKUP($K660&amp;"",'NETWORK-DEVICES'!$B$3:$B$987&amp;"",'NETWORK-DEVICES'!$H$3:$H$987,""),"Peripheral",_xlfn.XLOOKUP($K660&amp;"",PERIPHERAL!$B$3:$B$954&amp;"",PERIPHERAL!$H$3:$H$954,""),"Utilities",_xlfn.XLOOKUP($K660&amp;"",UTILITIES!$B$3:$B$953&amp;"",UTILITIES!$G$3:$G$953,""),"IOT",_xlfn.XLOOKUP($K660&amp;"",IOT!$B$3:$B$1012&amp;"",IOT!$H$3:$H$1012,""),"Server",_xlfn.XLOOKUP($K660&amp;"",SERVER!$B$3:$B$1009&amp;"",SERVER!$H$3:$H$1009,""),""),IF(TRIM(_xlpm.srcCat)&lt;&gt;TRIM($J660),"",_xlfn.SWITCH($I660,"Computer",_xlfn.XLOOKUP($K660&amp;"",COMPUTER!$B$3:$B$1009&amp;"",COMPUTER!$AM$3:$AM$1009,""),"Display",_xlfn.XLOOKUP($K660&amp;"",DISPLAY!$B$3:$B$1000&amp;"",DISPLAY!$V$3:$V$1000,""),"Network Device",_xlfn.XLOOKUP($K660&amp;"",'NETWORK-DEVICES'!$B$3:$B$987&amp;"",'NETWORK-DEVICES'!$AF$3:$AF$987,""),"Peripheral",_xlfn.XLOOKUP($K660&amp;"",PERIPHERAL!$B$3:$B$954&amp;"",PERIPHERAL!$Y$3:$Y$954,""),"Utilities",_xlfn.XLOOKUP($K660&amp;"",UTILITIES!$B$3:$B$953&amp;"",UTILITIES!$O$3:$O$953,""),"IOT",_xlfn.XLOOKUP($K660&amp;"",IOT!$B$3:$B$1012&amp;"",IOT!$AB$3:$AB$1012,""),"Server",_xlfn.XLOOKUP($K660&amp;"",SERVER!$B$3:$B$1009&amp;"",SERVER!$AB$3:$AB$1009,""),""))))</f>
        <v/>
      </c>
      <c r="R660" s="43" t="str">
        <f>IF(tbl_handover[[#This Row],[Asset Code]]="","",COUNTIF(tbl_handover[Asset Code],tbl_handover[[#This Row],[Asset Code]]))</f>
        <v/>
      </c>
    </row>
    <row r="661" spans="1:18" x14ac:dyDescent="0.25">
      <c r="A661" s="43" t="str">
        <f>IF(B661&lt;&gt;"",SUBTOTAL(3,$B$1:B660),"")</f>
        <v/>
      </c>
      <c r="C661" s="74"/>
      <c r="D661" s="74"/>
      <c r="G661" s="1"/>
      <c r="K661" s="42"/>
      <c r="L661" t="str" cm="1">
        <f t="array" ref="L661">IF($K661="","",_xlfn.SWITCH($I661,"Computer",_xlfn.XLOOKUP($K661&amp;"",COMPUTER!$B$3:$B$1009&amp;"",COMPUTER!$I$3:$I$1009,""),"Display",_xlfn.XLOOKUP($K661&amp;"",DISPLAY!$B$3:$B$1000&amp;"",DISPLAY!$J$3:$J$1000,""),"Network Device",_xlfn.XLOOKUP($K661&amp;"",'NETWORK-DEVICES'!$B$3:$B$987&amp;"",'NETWORK-DEVICES'!$I$3:$I$987,""),"Peripheral",_xlfn.XLOOKUP($K661&amp;"",PERIPHERAL!$B$3:$B$954&amp;"",PERIPHERAL!$I$3:$I$954,""),"Utilities",_xlfn.XLOOKUP($K661&amp;"",UTILITIES!$B$3:$B$953&amp;"",UTILITIES!$H$3:$H$953,""),"IOT",_xlfn.XLOOKUP($K661&amp;"",IOT!$B$3:$B$1012&amp;"",IOT!$I$3:$I$1012,""),"SERVER",_xlfn.XLOOKUP($K661&amp;"",SERVER!$B$3:$B$1009&amp;"",SERVER!$I$3:$I$1009,""),""))</f>
        <v/>
      </c>
      <c r="M661" t="str" cm="1">
        <f t="array" ref="M661">IF($K661="","",_xlfn.SWITCH($I661,"Computer",_xlfn.XLOOKUP($K661&amp;"",COMPUTER!$B$3:$B$1009&amp;"",COMPUTER!$J$3:$J$1009,""),"Display",_xlfn.XLOOKUP($K661&amp;"",DISPLAY!$B$3:$B$1000&amp;"",DISPLAY!$K$3:$K$1000,""),"Network Device",_xlfn.XLOOKUP($K661&amp;"",'NETWORK-DEVICES'!$B$3:$B$987&amp;"",'NETWORK-DEVICES'!$I$3:$I$987,""),"Peripheral",_xlfn.XLOOKUP($K661&amp;"",PERIPHERAL!$B$3:$B$954&amp;"",PERIPHERAL!$J$3:$J$954,""),"Utilities",_xlfn.XLOOKUP($K661&amp;"",UTILITIES!$B$3:$B$953&amp;"",UTILITIES!$I$3:$I$953,""),"IOT",_xlfn.XLOOKUP($K661&amp;"",IOT!$B$3:$B$1012&amp;"",IOT!$J$3:$J$1012,""),"Server",_xlfn.XLOOKUP($K661&amp;"",SERVER!$B$3:$B$1009&amp;"",SERVER!$J$3:$J$1009,""),""))</f>
        <v/>
      </c>
      <c r="N661" s="1" t="str" cm="1">
        <f t="array" ref="N661">IF(OR($K661="",$I661="",$J661=""),"",_xlfn.LET(_xlpm.srcCat,_xlfn.SWITCH($I661,"Computer",_xlfn.XLOOKUP($K661&amp;"",COMPUTER!$B$3:$B$1009&amp;"",COMPUTER!$H$3:$H$1009,""),"Display",_xlfn.XLOOKUP($K661&amp;"",DISPLAY!$B$3:$B$1000&amp;"",DISPLAY!$H$3:$H$1000,""),"Network Device",_xlfn.XLOOKUP($K661&amp;"",'NETWORK-DEVICES'!$B$3:$B$987&amp;"",'NETWORK-DEVICES'!$H$3:$H$987,""),"Peripheral",_xlfn.XLOOKUP($K661&amp;"",PERIPHERAL!$B$3:$B$954&amp;"",PERIPHERAL!$H$3:$H$954,""),"Utilities",_xlfn.XLOOKUP($K661&amp;"",UTILITIES!$B$3:$B$953&amp;"",UTILITIES!$G$3:$G$953,""),"IOT",_xlfn.XLOOKUP($K661&amp;"",IOT!$B$3:$B$1012&amp;"",IOT!$H$3:$H$1012,""),"Server",_xlfn.XLOOKUP($K661&amp;"",SERVER!$B$3:$B$1009&amp;"",SERVER!$H$3:$H$1009,""),""),IF(TRIM(_xlpm.srcCat)&lt;&gt;TRIM($J661),"",_xlfn.SWITCH($I661,"Computer",_xlfn.XLOOKUP($K661&amp;"",COMPUTER!$B$3:$B$1009&amp;"",COMPUTER!$K$3:$K$1009,""),"Display",_xlfn.XLOOKUP($K661&amp;"",DISPLAY!$B$3:$B$1000&amp;"",DISPLAY!$L$3:$L$1000,""),"Network Device",_xlfn.XLOOKUP($K661&amp;"",'NETWORK-DEVICES'!$B$3:$B$987&amp;"",'NETWORK-DEVICES'!$K$3:$K$987,""),"Peripheral",_xlfn.XLOOKUP($K661&amp;"",PERIPHERAL!$B$3:$B$954&amp;"",PERIPHERAL!$K$3:$K$954,""),"Utilities",_xlfn.XLOOKUP($K661&amp;"",UTILITIES!$B$3:$B$953&amp;"",UTILITIES!$J$3:$J$953,""),"IOT",_xlfn.XLOOKUP($K661&amp;"",IOT!$B$3:$B$1012&amp;"",IOT!$K$4:$K$1012,""),"Server",_xlfn.XLOOKUP($K661&amp;"",SERVER!$B$3:$B$1009&amp;"",SERVER!$K$3:$K$1009,""),""))))</f>
        <v/>
      </c>
      <c r="O661" s="1" t="str" cm="1">
        <f t="array" ref="O661">IF(OR($K661="",$I661="",$J661=""),"",_xlfn.LET(_xlpm.srcCat,_xlfn.SWITCH($I661,"Computer",_xlfn.XLOOKUP($K661&amp;"",COMPUTER!$B$3:$B$1009&amp;"",COMPUTER!$H$3:$H$1009,""),"Display",_xlfn.XLOOKUP($K661&amp;"",DISPLAY!$B$3:$B$1000&amp;"",DISPLAY!$H$3:$H$1000,""),"Network Device",_xlfn.XLOOKUP($K661&amp;"",'NETWORK-DEVICES'!$B$3:$B$987&amp;"",'NETWORK-DEVICES'!$H$3:$H$987,""),"Peripheral",_xlfn.XLOOKUP($K661&amp;"",PERIPHERAL!$B$3:$B$954&amp;"",PERIPHERAL!$H$3:$H$954,""),"Utilities",_xlfn.XLOOKUP($K661&amp;"",UTILITIES!$B$3:$B$953&amp;"",UTILITIES!$G$3:$G$953,""),"IOT",_xlfn.XLOOKUP($K661&amp;"",IOT!$B$3:$B$1012&amp;"",IOT!$H$3:$H$1012,""),"Server",_xlfn.XLOOKUP($K661&amp;"",SERVER!$B$3:$B$1009&amp;"",SERVER!$H$3:$H$1009,""),""),IF(TRIM(_xlpm.srcCat)&lt;&gt;TRIM($J661),"",_xlfn.SWITCH($I661,"Computer",_xlfn.XLOOKUP($K661&amp;"",COMPUTER!$B$3:$B$1009&amp;"",COMPUTER!$E$3:$E$1009,""),"Display",_xlfn.XLOOKUP($K661&amp;"",DISPLAY!$B$3:$B$1000&amp;"",DISPLAY!$E$3:$E$1000,""),"Network Device",_xlfn.XLOOKUP($K661&amp;"",'NETWORK-DEVICES'!$B$3:$B$987&amp;"",'NETWORK-DEVICES'!$E$3:$E$987,""),"Peripheral",_xlfn.XLOOKUP($K661&amp;"",PERIPHERAL!$B$3:$B$954&amp;"",PERIPHERAL!$E$3:$E$954,""),"Utilities",_xlfn.XLOOKUP($K661&amp;"",UTILITIES!$B$3:$B$953&amp;"",UTILITIES!$E$3:$E$953,""),"IOT",_xlfn.XLOOKUP($K661&amp;"",IOT!$B$3:$B$1012&amp;"",IOT!$E$3:$E$1012,""),"Server",_xlfn.XLOOKUP($K661&amp;"",SERVER!$B$3:$B$1009&amp;"",SERVER!$E$3:$E$1009,""),""))))</f>
        <v/>
      </c>
      <c r="Q661" s="1" t="str" cm="1">
        <f t="array" ref="Q661">IF(OR($K661="",$I661="",$J661=""),"",_xlfn.LET(_xlpm.srcCat,_xlfn.SWITCH($I661,"Computer",_xlfn.XLOOKUP($K661&amp;"",COMPUTER!$B$3:$B$1009&amp;"",COMPUTER!$H$3:$H$1009,""),"Display",_xlfn.XLOOKUP($K661&amp;"",DISPLAY!$B$3:$B$1000&amp;"",DISPLAY!$H$3:$H$1000,""),"Network Device",_xlfn.XLOOKUP($K661&amp;"",'NETWORK-DEVICES'!$B$3:$B$987&amp;"",'NETWORK-DEVICES'!$H$3:$H$987,""),"Peripheral",_xlfn.XLOOKUP($K661&amp;"",PERIPHERAL!$B$3:$B$954&amp;"",PERIPHERAL!$H$3:$H$954,""),"Utilities",_xlfn.XLOOKUP($K661&amp;"",UTILITIES!$B$3:$B$953&amp;"",UTILITIES!$G$3:$G$953,""),"IOT",_xlfn.XLOOKUP($K661&amp;"",IOT!$B$3:$B$1012&amp;"",IOT!$H$3:$H$1012,""),"Server",_xlfn.XLOOKUP($K661&amp;"",SERVER!$B$3:$B$1009&amp;"",SERVER!$H$3:$H$1009,""),""),IF(TRIM(_xlpm.srcCat)&lt;&gt;TRIM($J661),"",_xlfn.SWITCH($I661,"Computer",_xlfn.XLOOKUP($K661&amp;"",COMPUTER!$B$3:$B$1009&amp;"",COMPUTER!$AM$3:$AM$1009,""),"Display",_xlfn.XLOOKUP($K661&amp;"",DISPLAY!$B$3:$B$1000&amp;"",DISPLAY!$V$3:$V$1000,""),"Network Device",_xlfn.XLOOKUP($K661&amp;"",'NETWORK-DEVICES'!$B$3:$B$987&amp;"",'NETWORK-DEVICES'!$AF$3:$AF$987,""),"Peripheral",_xlfn.XLOOKUP($K661&amp;"",PERIPHERAL!$B$3:$B$954&amp;"",PERIPHERAL!$Y$3:$Y$954,""),"Utilities",_xlfn.XLOOKUP($K661&amp;"",UTILITIES!$B$3:$B$953&amp;"",UTILITIES!$O$3:$O$953,""),"IOT",_xlfn.XLOOKUP($K661&amp;"",IOT!$B$3:$B$1012&amp;"",IOT!$AB$3:$AB$1012,""),"Server",_xlfn.XLOOKUP($K661&amp;"",SERVER!$B$3:$B$1009&amp;"",SERVER!$AB$3:$AB$1009,""),""))))</f>
        <v/>
      </c>
      <c r="R661" s="43" t="str">
        <f>IF(tbl_handover[[#This Row],[Asset Code]]="","",COUNTIF(tbl_handover[Asset Code],tbl_handover[[#This Row],[Asset Code]]))</f>
        <v/>
      </c>
    </row>
    <row r="662" spans="1:18" x14ac:dyDescent="0.25">
      <c r="A662" s="43" t="str">
        <f>IF(B662&lt;&gt;"",SUBTOTAL(3,$B$1:B661),"")</f>
        <v/>
      </c>
      <c r="C662" s="74"/>
      <c r="D662" s="74"/>
      <c r="G662" s="1"/>
      <c r="K662" s="42"/>
      <c r="L662" t="str" cm="1">
        <f t="array" ref="L662">IF($K662="","",_xlfn.SWITCH($I662,"Computer",_xlfn.XLOOKUP($K662&amp;"",COMPUTER!$B$3:$B$1009&amp;"",COMPUTER!$I$3:$I$1009,""),"Display",_xlfn.XLOOKUP($K662&amp;"",DISPLAY!$B$3:$B$1000&amp;"",DISPLAY!$J$3:$J$1000,""),"Network Device",_xlfn.XLOOKUP($K662&amp;"",'NETWORK-DEVICES'!$B$3:$B$987&amp;"",'NETWORK-DEVICES'!$I$3:$I$987,""),"Peripheral",_xlfn.XLOOKUP($K662&amp;"",PERIPHERAL!$B$3:$B$954&amp;"",PERIPHERAL!$I$3:$I$954,""),"Utilities",_xlfn.XLOOKUP($K662&amp;"",UTILITIES!$B$3:$B$953&amp;"",UTILITIES!$H$3:$H$953,""),"IOT",_xlfn.XLOOKUP($K662&amp;"",IOT!$B$3:$B$1012&amp;"",IOT!$I$3:$I$1012,""),"SERVER",_xlfn.XLOOKUP($K662&amp;"",SERVER!$B$3:$B$1009&amp;"",SERVER!$I$3:$I$1009,""),""))</f>
        <v/>
      </c>
      <c r="M662" t="str" cm="1">
        <f t="array" ref="M662">IF($K662="","",_xlfn.SWITCH($I662,"Computer",_xlfn.XLOOKUP($K662&amp;"",COMPUTER!$B$3:$B$1009&amp;"",COMPUTER!$J$3:$J$1009,""),"Display",_xlfn.XLOOKUP($K662&amp;"",DISPLAY!$B$3:$B$1000&amp;"",DISPLAY!$K$3:$K$1000,""),"Network Device",_xlfn.XLOOKUP($K662&amp;"",'NETWORK-DEVICES'!$B$3:$B$987&amp;"",'NETWORK-DEVICES'!$I$3:$I$987,""),"Peripheral",_xlfn.XLOOKUP($K662&amp;"",PERIPHERAL!$B$3:$B$954&amp;"",PERIPHERAL!$J$3:$J$954,""),"Utilities",_xlfn.XLOOKUP($K662&amp;"",UTILITIES!$B$3:$B$953&amp;"",UTILITIES!$I$3:$I$953,""),"IOT",_xlfn.XLOOKUP($K662&amp;"",IOT!$B$3:$B$1012&amp;"",IOT!$J$3:$J$1012,""),"Server",_xlfn.XLOOKUP($K662&amp;"",SERVER!$B$3:$B$1009&amp;"",SERVER!$J$3:$J$1009,""),""))</f>
        <v/>
      </c>
      <c r="N662" s="1" t="str" cm="1">
        <f t="array" ref="N662">IF(OR($K662="",$I662="",$J662=""),"",_xlfn.LET(_xlpm.srcCat,_xlfn.SWITCH($I662,"Computer",_xlfn.XLOOKUP($K662&amp;"",COMPUTER!$B$3:$B$1009&amp;"",COMPUTER!$H$3:$H$1009,""),"Display",_xlfn.XLOOKUP($K662&amp;"",DISPLAY!$B$3:$B$1000&amp;"",DISPLAY!$H$3:$H$1000,""),"Network Device",_xlfn.XLOOKUP($K662&amp;"",'NETWORK-DEVICES'!$B$3:$B$987&amp;"",'NETWORK-DEVICES'!$H$3:$H$987,""),"Peripheral",_xlfn.XLOOKUP($K662&amp;"",PERIPHERAL!$B$3:$B$954&amp;"",PERIPHERAL!$H$3:$H$954,""),"Utilities",_xlfn.XLOOKUP($K662&amp;"",UTILITIES!$B$3:$B$953&amp;"",UTILITIES!$G$3:$G$953,""),"IOT",_xlfn.XLOOKUP($K662&amp;"",IOT!$B$3:$B$1012&amp;"",IOT!$H$3:$H$1012,""),"Server",_xlfn.XLOOKUP($K662&amp;"",SERVER!$B$3:$B$1009&amp;"",SERVER!$H$3:$H$1009,""),""),IF(TRIM(_xlpm.srcCat)&lt;&gt;TRIM($J662),"",_xlfn.SWITCH($I662,"Computer",_xlfn.XLOOKUP($K662&amp;"",COMPUTER!$B$3:$B$1009&amp;"",COMPUTER!$K$3:$K$1009,""),"Display",_xlfn.XLOOKUP($K662&amp;"",DISPLAY!$B$3:$B$1000&amp;"",DISPLAY!$L$3:$L$1000,""),"Network Device",_xlfn.XLOOKUP($K662&amp;"",'NETWORK-DEVICES'!$B$3:$B$987&amp;"",'NETWORK-DEVICES'!$K$3:$K$987,""),"Peripheral",_xlfn.XLOOKUP($K662&amp;"",PERIPHERAL!$B$3:$B$954&amp;"",PERIPHERAL!$K$3:$K$954,""),"Utilities",_xlfn.XLOOKUP($K662&amp;"",UTILITIES!$B$3:$B$953&amp;"",UTILITIES!$J$3:$J$953,""),"IOT",_xlfn.XLOOKUP($K662&amp;"",IOT!$B$3:$B$1012&amp;"",IOT!$K$4:$K$1012,""),"Server",_xlfn.XLOOKUP($K662&amp;"",SERVER!$B$3:$B$1009&amp;"",SERVER!$K$3:$K$1009,""),""))))</f>
        <v/>
      </c>
      <c r="O662" s="1" t="str" cm="1">
        <f t="array" ref="O662">IF(OR($K662="",$I662="",$J662=""),"",_xlfn.LET(_xlpm.srcCat,_xlfn.SWITCH($I662,"Computer",_xlfn.XLOOKUP($K662&amp;"",COMPUTER!$B$3:$B$1009&amp;"",COMPUTER!$H$3:$H$1009,""),"Display",_xlfn.XLOOKUP($K662&amp;"",DISPLAY!$B$3:$B$1000&amp;"",DISPLAY!$H$3:$H$1000,""),"Network Device",_xlfn.XLOOKUP($K662&amp;"",'NETWORK-DEVICES'!$B$3:$B$987&amp;"",'NETWORK-DEVICES'!$H$3:$H$987,""),"Peripheral",_xlfn.XLOOKUP($K662&amp;"",PERIPHERAL!$B$3:$B$954&amp;"",PERIPHERAL!$H$3:$H$954,""),"Utilities",_xlfn.XLOOKUP($K662&amp;"",UTILITIES!$B$3:$B$953&amp;"",UTILITIES!$G$3:$G$953,""),"IOT",_xlfn.XLOOKUP($K662&amp;"",IOT!$B$3:$B$1012&amp;"",IOT!$H$3:$H$1012,""),"Server",_xlfn.XLOOKUP($K662&amp;"",SERVER!$B$3:$B$1009&amp;"",SERVER!$H$3:$H$1009,""),""),IF(TRIM(_xlpm.srcCat)&lt;&gt;TRIM($J662),"",_xlfn.SWITCH($I662,"Computer",_xlfn.XLOOKUP($K662&amp;"",COMPUTER!$B$3:$B$1009&amp;"",COMPUTER!$E$3:$E$1009,""),"Display",_xlfn.XLOOKUP($K662&amp;"",DISPLAY!$B$3:$B$1000&amp;"",DISPLAY!$E$3:$E$1000,""),"Network Device",_xlfn.XLOOKUP($K662&amp;"",'NETWORK-DEVICES'!$B$3:$B$987&amp;"",'NETWORK-DEVICES'!$E$3:$E$987,""),"Peripheral",_xlfn.XLOOKUP($K662&amp;"",PERIPHERAL!$B$3:$B$954&amp;"",PERIPHERAL!$E$3:$E$954,""),"Utilities",_xlfn.XLOOKUP($K662&amp;"",UTILITIES!$B$3:$B$953&amp;"",UTILITIES!$E$3:$E$953,""),"IOT",_xlfn.XLOOKUP($K662&amp;"",IOT!$B$3:$B$1012&amp;"",IOT!$E$3:$E$1012,""),"Server",_xlfn.XLOOKUP($K662&amp;"",SERVER!$B$3:$B$1009&amp;"",SERVER!$E$3:$E$1009,""),""))))</f>
        <v/>
      </c>
      <c r="Q662" s="1" t="str" cm="1">
        <f t="array" ref="Q662">IF(OR($K662="",$I662="",$J662=""),"",_xlfn.LET(_xlpm.srcCat,_xlfn.SWITCH($I662,"Computer",_xlfn.XLOOKUP($K662&amp;"",COMPUTER!$B$3:$B$1009&amp;"",COMPUTER!$H$3:$H$1009,""),"Display",_xlfn.XLOOKUP($K662&amp;"",DISPLAY!$B$3:$B$1000&amp;"",DISPLAY!$H$3:$H$1000,""),"Network Device",_xlfn.XLOOKUP($K662&amp;"",'NETWORK-DEVICES'!$B$3:$B$987&amp;"",'NETWORK-DEVICES'!$H$3:$H$987,""),"Peripheral",_xlfn.XLOOKUP($K662&amp;"",PERIPHERAL!$B$3:$B$954&amp;"",PERIPHERAL!$H$3:$H$954,""),"Utilities",_xlfn.XLOOKUP($K662&amp;"",UTILITIES!$B$3:$B$953&amp;"",UTILITIES!$G$3:$G$953,""),"IOT",_xlfn.XLOOKUP($K662&amp;"",IOT!$B$3:$B$1012&amp;"",IOT!$H$3:$H$1012,""),"Server",_xlfn.XLOOKUP($K662&amp;"",SERVER!$B$3:$B$1009&amp;"",SERVER!$H$3:$H$1009,""),""),IF(TRIM(_xlpm.srcCat)&lt;&gt;TRIM($J662),"",_xlfn.SWITCH($I662,"Computer",_xlfn.XLOOKUP($K662&amp;"",COMPUTER!$B$3:$B$1009&amp;"",COMPUTER!$AM$3:$AM$1009,""),"Display",_xlfn.XLOOKUP($K662&amp;"",DISPLAY!$B$3:$B$1000&amp;"",DISPLAY!$V$3:$V$1000,""),"Network Device",_xlfn.XLOOKUP($K662&amp;"",'NETWORK-DEVICES'!$B$3:$B$987&amp;"",'NETWORK-DEVICES'!$AF$3:$AF$987,""),"Peripheral",_xlfn.XLOOKUP($K662&amp;"",PERIPHERAL!$B$3:$B$954&amp;"",PERIPHERAL!$Y$3:$Y$954,""),"Utilities",_xlfn.XLOOKUP($K662&amp;"",UTILITIES!$B$3:$B$953&amp;"",UTILITIES!$O$3:$O$953,""),"IOT",_xlfn.XLOOKUP($K662&amp;"",IOT!$B$3:$B$1012&amp;"",IOT!$AB$3:$AB$1012,""),"Server",_xlfn.XLOOKUP($K662&amp;"",SERVER!$B$3:$B$1009&amp;"",SERVER!$AB$3:$AB$1009,""),""))))</f>
        <v/>
      </c>
      <c r="R662" s="43" t="str">
        <f>IF(tbl_handover[[#This Row],[Asset Code]]="","",COUNTIF(tbl_handover[Asset Code],tbl_handover[[#This Row],[Asset Code]]))</f>
        <v/>
      </c>
    </row>
    <row r="663" spans="1:18" x14ac:dyDescent="0.25">
      <c r="A663" s="43" t="str">
        <f>IF(B663&lt;&gt;"",SUBTOTAL(3,$B$1:B662),"")</f>
        <v/>
      </c>
      <c r="C663" s="74"/>
      <c r="D663" s="74"/>
      <c r="G663" s="1"/>
      <c r="K663" s="42"/>
      <c r="L663" t="str" cm="1">
        <f t="array" ref="L663">IF($K663="","",_xlfn.SWITCH($I663,"Computer",_xlfn.XLOOKUP($K663&amp;"",COMPUTER!$B$3:$B$1009&amp;"",COMPUTER!$I$3:$I$1009,""),"Display",_xlfn.XLOOKUP($K663&amp;"",DISPLAY!$B$3:$B$1000&amp;"",DISPLAY!$J$3:$J$1000,""),"Network Device",_xlfn.XLOOKUP($K663&amp;"",'NETWORK-DEVICES'!$B$3:$B$987&amp;"",'NETWORK-DEVICES'!$I$3:$I$987,""),"Peripheral",_xlfn.XLOOKUP($K663&amp;"",PERIPHERAL!$B$3:$B$954&amp;"",PERIPHERAL!$I$3:$I$954,""),"Utilities",_xlfn.XLOOKUP($K663&amp;"",UTILITIES!$B$3:$B$953&amp;"",UTILITIES!$H$3:$H$953,""),"IOT",_xlfn.XLOOKUP($K663&amp;"",IOT!$B$3:$B$1012&amp;"",IOT!$I$3:$I$1012,""),"SERVER",_xlfn.XLOOKUP($K663&amp;"",SERVER!$B$3:$B$1009&amp;"",SERVER!$I$3:$I$1009,""),""))</f>
        <v/>
      </c>
      <c r="M663" t="str" cm="1">
        <f t="array" ref="M663">IF($K663="","",_xlfn.SWITCH($I663,"Computer",_xlfn.XLOOKUP($K663&amp;"",COMPUTER!$B$3:$B$1009&amp;"",COMPUTER!$J$3:$J$1009,""),"Display",_xlfn.XLOOKUP($K663&amp;"",DISPLAY!$B$3:$B$1000&amp;"",DISPLAY!$K$3:$K$1000,""),"Network Device",_xlfn.XLOOKUP($K663&amp;"",'NETWORK-DEVICES'!$B$3:$B$987&amp;"",'NETWORK-DEVICES'!$I$3:$I$987,""),"Peripheral",_xlfn.XLOOKUP($K663&amp;"",PERIPHERAL!$B$3:$B$954&amp;"",PERIPHERAL!$J$3:$J$954,""),"Utilities",_xlfn.XLOOKUP($K663&amp;"",UTILITIES!$B$3:$B$953&amp;"",UTILITIES!$I$3:$I$953,""),"IOT",_xlfn.XLOOKUP($K663&amp;"",IOT!$B$3:$B$1012&amp;"",IOT!$J$3:$J$1012,""),"Server",_xlfn.XLOOKUP($K663&amp;"",SERVER!$B$3:$B$1009&amp;"",SERVER!$J$3:$J$1009,""),""))</f>
        <v/>
      </c>
      <c r="N663" s="1" t="str" cm="1">
        <f t="array" ref="N663">IF(OR($K663="",$I663="",$J663=""),"",_xlfn.LET(_xlpm.srcCat,_xlfn.SWITCH($I663,"Computer",_xlfn.XLOOKUP($K663&amp;"",COMPUTER!$B$3:$B$1009&amp;"",COMPUTER!$H$3:$H$1009,""),"Display",_xlfn.XLOOKUP($K663&amp;"",DISPLAY!$B$3:$B$1000&amp;"",DISPLAY!$H$3:$H$1000,""),"Network Device",_xlfn.XLOOKUP($K663&amp;"",'NETWORK-DEVICES'!$B$3:$B$987&amp;"",'NETWORK-DEVICES'!$H$3:$H$987,""),"Peripheral",_xlfn.XLOOKUP($K663&amp;"",PERIPHERAL!$B$3:$B$954&amp;"",PERIPHERAL!$H$3:$H$954,""),"Utilities",_xlfn.XLOOKUP($K663&amp;"",UTILITIES!$B$3:$B$953&amp;"",UTILITIES!$G$3:$G$953,""),"IOT",_xlfn.XLOOKUP($K663&amp;"",IOT!$B$3:$B$1012&amp;"",IOT!$H$3:$H$1012,""),"Server",_xlfn.XLOOKUP($K663&amp;"",SERVER!$B$3:$B$1009&amp;"",SERVER!$H$3:$H$1009,""),""),IF(TRIM(_xlpm.srcCat)&lt;&gt;TRIM($J663),"",_xlfn.SWITCH($I663,"Computer",_xlfn.XLOOKUP($K663&amp;"",COMPUTER!$B$3:$B$1009&amp;"",COMPUTER!$K$3:$K$1009,""),"Display",_xlfn.XLOOKUP($K663&amp;"",DISPLAY!$B$3:$B$1000&amp;"",DISPLAY!$L$3:$L$1000,""),"Network Device",_xlfn.XLOOKUP($K663&amp;"",'NETWORK-DEVICES'!$B$3:$B$987&amp;"",'NETWORK-DEVICES'!$K$3:$K$987,""),"Peripheral",_xlfn.XLOOKUP($K663&amp;"",PERIPHERAL!$B$3:$B$954&amp;"",PERIPHERAL!$K$3:$K$954,""),"Utilities",_xlfn.XLOOKUP($K663&amp;"",UTILITIES!$B$3:$B$953&amp;"",UTILITIES!$J$3:$J$953,""),"IOT",_xlfn.XLOOKUP($K663&amp;"",IOT!$B$3:$B$1012&amp;"",IOT!$K$4:$K$1012,""),"Server",_xlfn.XLOOKUP($K663&amp;"",SERVER!$B$3:$B$1009&amp;"",SERVER!$K$3:$K$1009,""),""))))</f>
        <v/>
      </c>
      <c r="O663" s="1" t="str" cm="1">
        <f t="array" ref="O663">IF(OR($K663="",$I663="",$J663=""),"",_xlfn.LET(_xlpm.srcCat,_xlfn.SWITCH($I663,"Computer",_xlfn.XLOOKUP($K663&amp;"",COMPUTER!$B$3:$B$1009&amp;"",COMPUTER!$H$3:$H$1009,""),"Display",_xlfn.XLOOKUP($K663&amp;"",DISPLAY!$B$3:$B$1000&amp;"",DISPLAY!$H$3:$H$1000,""),"Network Device",_xlfn.XLOOKUP($K663&amp;"",'NETWORK-DEVICES'!$B$3:$B$987&amp;"",'NETWORK-DEVICES'!$H$3:$H$987,""),"Peripheral",_xlfn.XLOOKUP($K663&amp;"",PERIPHERAL!$B$3:$B$954&amp;"",PERIPHERAL!$H$3:$H$954,""),"Utilities",_xlfn.XLOOKUP($K663&amp;"",UTILITIES!$B$3:$B$953&amp;"",UTILITIES!$G$3:$G$953,""),"IOT",_xlfn.XLOOKUP($K663&amp;"",IOT!$B$3:$B$1012&amp;"",IOT!$H$3:$H$1012,""),"Server",_xlfn.XLOOKUP($K663&amp;"",SERVER!$B$3:$B$1009&amp;"",SERVER!$H$3:$H$1009,""),""),IF(TRIM(_xlpm.srcCat)&lt;&gt;TRIM($J663),"",_xlfn.SWITCH($I663,"Computer",_xlfn.XLOOKUP($K663&amp;"",COMPUTER!$B$3:$B$1009&amp;"",COMPUTER!$E$3:$E$1009,""),"Display",_xlfn.XLOOKUP($K663&amp;"",DISPLAY!$B$3:$B$1000&amp;"",DISPLAY!$E$3:$E$1000,""),"Network Device",_xlfn.XLOOKUP($K663&amp;"",'NETWORK-DEVICES'!$B$3:$B$987&amp;"",'NETWORK-DEVICES'!$E$3:$E$987,""),"Peripheral",_xlfn.XLOOKUP($K663&amp;"",PERIPHERAL!$B$3:$B$954&amp;"",PERIPHERAL!$E$3:$E$954,""),"Utilities",_xlfn.XLOOKUP($K663&amp;"",UTILITIES!$B$3:$B$953&amp;"",UTILITIES!$E$3:$E$953,""),"IOT",_xlfn.XLOOKUP($K663&amp;"",IOT!$B$3:$B$1012&amp;"",IOT!$E$3:$E$1012,""),"Server",_xlfn.XLOOKUP($K663&amp;"",SERVER!$B$3:$B$1009&amp;"",SERVER!$E$3:$E$1009,""),""))))</f>
        <v/>
      </c>
      <c r="Q663" s="1" t="str" cm="1">
        <f t="array" ref="Q663">IF(OR($K663="",$I663="",$J663=""),"",_xlfn.LET(_xlpm.srcCat,_xlfn.SWITCH($I663,"Computer",_xlfn.XLOOKUP($K663&amp;"",COMPUTER!$B$3:$B$1009&amp;"",COMPUTER!$H$3:$H$1009,""),"Display",_xlfn.XLOOKUP($K663&amp;"",DISPLAY!$B$3:$B$1000&amp;"",DISPLAY!$H$3:$H$1000,""),"Network Device",_xlfn.XLOOKUP($K663&amp;"",'NETWORK-DEVICES'!$B$3:$B$987&amp;"",'NETWORK-DEVICES'!$H$3:$H$987,""),"Peripheral",_xlfn.XLOOKUP($K663&amp;"",PERIPHERAL!$B$3:$B$954&amp;"",PERIPHERAL!$H$3:$H$954,""),"Utilities",_xlfn.XLOOKUP($K663&amp;"",UTILITIES!$B$3:$B$953&amp;"",UTILITIES!$G$3:$G$953,""),"IOT",_xlfn.XLOOKUP($K663&amp;"",IOT!$B$3:$B$1012&amp;"",IOT!$H$3:$H$1012,""),"Server",_xlfn.XLOOKUP($K663&amp;"",SERVER!$B$3:$B$1009&amp;"",SERVER!$H$3:$H$1009,""),""),IF(TRIM(_xlpm.srcCat)&lt;&gt;TRIM($J663),"",_xlfn.SWITCH($I663,"Computer",_xlfn.XLOOKUP($K663&amp;"",COMPUTER!$B$3:$B$1009&amp;"",COMPUTER!$AM$3:$AM$1009,""),"Display",_xlfn.XLOOKUP($K663&amp;"",DISPLAY!$B$3:$B$1000&amp;"",DISPLAY!$V$3:$V$1000,""),"Network Device",_xlfn.XLOOKUP($K663&amp;"",'NETWORK-DEVICES'!$B$3:$B$987&amp;"",'NETWORK-DEVICES'!$AF$3:$AF$987,""),"Peripheral",_xlfn.XLOOKUP($K663&amp;"",PERIPHERAL!$B$3:$B$954&amp;"",PERIPHERAL!$Y$3:$Y$954,""),"Utilities",_xlfn.XLOOKUP($K663&amp;"",UTILITIES!$B$3:$B$953&amp;"",UTILITIES!$O$3:$O$953,""),"IOT",_xlfn.XLOOKUP($K663&amp;"",IOT!$B$3:$B$1012&amp;"",IOT!$AB$3:$AB$1012,""),"Server",_xlfn.XLOOKUP($K663&amp;"",SERVER!$B$3:$B$1009&amp;"",SERVER!$AB$3:$AB$1009,""),""))))</f>
        <v/>
      </c>
      <c r="R663" s="43" t="str">
        <f>IF(tbl_handover[[#This Row],[Asset Code]]="","",COUNTIF(tbl_handover[Asset Code],tbl_handover[[#This Row],[Asset Code]]))</f>
        <v/>
      </c>
    </row>
    <row r="664" spans="1:18" x14ac:dyDescent="0.25">
      <c r="A664" s="43" t="str">
        <f>IF(B664&lt;&gt;"",SUBTOTAL(3,$B$1:B663),"")</f>
        <v/>
      </c>
      <c r="C664" s="74"/>
      <c r="D664" s="74"/>
      <c r="G664" s="1"/>
      <c r="K664" s="42"/>
      <c r="L664" t="str" cm="1">
        <f t="array" ref="L664">IF($K664="","",_xlfn.SWITCH($I664,"Computer",_xlfn.XLOOKUP($K664&amp;"",COMPUTER!$B$3:$B$1009&amp;"",COMPUTER!$I$3:$I$1009,""),"Display",_xlfn.XLOOKUP($K664&amp;"",DISPLAY!$B$3:$B$1000&amp;"",DISPLAY!$J$3:$J$1000,""),"Network Device",_xlfn.XLOOKUP($K664&amp;"",'NETWORK-DEVICES'!$B$3:$B$987&amp;"",'NETWORK-DEVICES'!$I$3:$I$987,""),"Peripheral",_xlfn.XLOOKUP($K664&amp;"",PERIPHERAL!$B$3:$B$954&amp;"",PERIPHERAL!$I$3:$I$954,""),"Utilities",_xlfn.XLOOKUP($K664&amp;"",UTILITIES!$B$3:$B$953&amp;"",UTILITIES!$H$3:$H$953,""),"IOT",_xlfn.XLOOKUP($K664&amp;"",IOT!$B$3:$B$1012&amp;"",IOT!$I$3:$I$1012,""),"SERVER",_xlfn.XLOOKUP($K664&amp;"",SERVER!$B$3:$B$1009&amp;"",SERVER!$I$3:$I$1009,""),""))</f>
        <v/>
      </c>
      <c r="M664" t="str" cm="1">
        <f t="array" ref="M664">IF($K664="","",_xlfn.SWITCH($I664,"Computer",_xlfn.XLOOKUP($K664&amp;"",COMPUTER!$B$3:$B$1009&amp;"",COMPUTER!$J$3:$J$1009,""),"Display",_xlfn.XLOOKUP($K664&amp;"",DISPLAY!$B$3:$B$1000&amp;"",DISPLAY!$K$3:$K$1000,""),"Network Device",_xlfn.XLOOKUP($K664&amp;"",'NETWORK-DEVICES'!$B$3:$B$987&amp;"",'NETWORK-DEVICES'!$I$3:$I$987,""),"Peripheral",_xlfn.XLOOKUP($K664&amp;"",PERIPHERAL!$B$3:$B$954&amp;"",PERIPHERAL!$J$3:$J$954,""),"Utilities",_xlfn.XLOOKUP($K664&amp;"",UTILITIES!$B$3:$B$953&amp;"",UTILITIES!$I$3:$I$953,""),"IOT",_xlfn.XLOOKUP($K664&amp;"",IOT!$B$3:$B$1012&amp;"",IOT!$J$3:$J$1012,""),"Server",_xlfn.XLOOKUP($K664&amp;"",SERVER!$B$3:$B$1009&amp;"",SERVER!$J$3:$J$1009,""),""))</f>
        <v/>
      </c>
      <c r="N664" s="1" t="str" cm="1">
        <f t="array" ref="N664">IF(OR($K664="",$I664="",$J664=""),"",_xlfn.LET(_xlpm.srcCat,_xlfn.SWITCH($I664,"Computer",_xlfn.XLOOKUP($K664&amp;"",COMPUTER!$B$3:$B$1009&amp;"",COMPUTER!$H$3:$H$1009,""),"Display",_xlfn.XLOOKUP($K664&amp;"",DISPLAY!$B$3:$B$1000&amp;"",DISPLAY!$H$3:$H$1000,""),"Network Device",_xlfn.XLOOKUP($K664&amp;"",'NETWORK-DEVICES'!$B$3:$B$987&amp;"",'NETWORK-DEVICES'!$H$3:$H$987,""),"Peripheral",_xlfn.XLOOKUP($K664&amp;"",PERIPHERAL!$B$3:$B$954&amp;"",PERIPHERAL!$H$3:$H$954,""),"Utilities",_xlfn.XLOOKUP($K664&amp;"",UTILITIES!$B$3:$B$953&amp;"",UTILITIES!$G$3:$G$953,""),"IOT",_xlfn.XLOOKUP($K664&amp;"",IOT!$B$3:$B$1012&amp;"",IOT!$H$3:$H$1012,""),"Server",_xlfn.XLOOKUP($K664&amp;"",SERVER!$B$3:$B$1009&amp;"",SERVER!$H$3:$H$1009,""),""),IF(TRIM(_xlpm.srcCat)&lt;&gt;TRIM($J664),"",_xlfn.SWITCH($I664,"Computer",_xlfn.XLOOKUP($K664&amp;"",COMPUTER!$B$3:$B$1009&amp;"",COMPUTER!$K$3:$K$1009,""),"Display",_xlfn.XLOOKUP($K664&amp;"",DISPLAY!$B$3:$B$1000&amp;"",DISPLAY!$L$3:$L$1000,""),"Network Device",_xlfn.XLOOKUP($K664&amp;"",'NETWORK-DEVICES'!$B$3:$B$987&amp;"",'NETWORK-DEVICES'!$K$3:$K$987,""),"Peripheral",_xlfn.XLOOKUP($K664&amp;"",PERIPHERAL!$B$3:$B$954&amp;"",PERIPHERAL!$K$3:$K$954,""),"Utilities",_xlfn.XLOOKUP($K664&amp;"",UTILITIES!$B$3:$B$953&amp;"",UTILITIES!$J$3:$J$953,""),"IOT",_xlfn.XLOOKUP($K664&amp;"",IOT!$B$3:$B$1012&amp;"",IOT!$K$4:$K$1012,""),"Server",_xlfn.XLOOKUP($K664&amp;"",SERVER!$B$3:$B$1009&amp;"",SERVER!$K$3:$K$1009,""),""))))</f>
        <v/>
      </c>
      <c r="O664" s="1" t="str" cm="1">
        <f t="array" ref="O664">IF(OR($K664="",$I664="",$J664=""),"",_xlfn.LET(_xlpm.srcCat,_xlfn.SWITCH($I664,"Computer",_xlfn.XLOOKUP($K664&amp;"",COMPUTER!$B$3:$B$1009&amp;"",COMPUTER!$H$3:$H$1009,""),"Display",_xlfn.XLOOKUP($K664&amp;"",DISPLAY!$B$3:$B$1000&amp;"",DISPLAY!$H$3:$H$1000,""),"Network Device",_xlfn.XLOOKUP($K664&amp;"",'NETWORK-DEVICES'!$B$3:$B$987&amp;"",'NETWORK-DEVICES'!$H$3:$H$987,""),"Peripheral",_xlfn.XLOOKUP($K664&amp;"",PERIPHERAL!$B$3:$B$954&amp;"",PERIPHERAL!$H$3:$H$954,""),"Utilities",_xlfn.XLOOKUP($K664&amp;"",UTILITIES!$B$3:$B$953&amp;"",UTILITIES!$G$3:$G$953,""),"IOT",_xlfn.XLOOKUP($K664&amp;"",IOT!$B$3:$B$1012&amp;"",IOT!$H$3:$H$1012,""),"Server",_xlfn.XLOOKUP($K664&amp;"",SERVER!$B$3:$B$1009&amp;"",SERVER!$H$3:$H$1009,""),""),IF(TRIM(_xlpm.srcCat)&lt;&gt;TRIM($J664),"",_xlfn.SWITCH($I664,"Computer",_xlfn.XLOOKUP($K664&amp;"",COMPUTER!$B$3:$B$1009&amp;"",COMPUTER!$E$3:$E$1009,""),"Display",_xlfn.XLOOKUP($K664&amp;"",DISPLAY!$B$3:$B$1000&amp;"",DISPLAY!$E$3:$E$1000,""),"Network Device",_xlfn.XLOOKUP($K664&amp;"",'NETWORK-DEVICES'!$B$3:$B$987&amp;"",'NETWORK-DEVICES'!$E$3:$E$987,""),"Peripheral",_xlfn.XLOOKUP($K664&amp;"",PERIPHERAL!$B$3:$B$954&amp;"",PERIPHERAL!$E$3:$E$954,""),"Utilities",_xlfn.XLOOKUP($K664&amp;"",UTILITIES!$B$3:$B$953&amp;"",UTILITIES!$E$3:$E$953,""),"IOT",_xlfn.XLOOKUP($K664&amp;"",IOT!$B$3:$B$1012&amp;"",IOT!$E$3:$E$1012,""),"Server",_xlfn.XLOOKUP($K664&amp;"",SERVER!$B$3:$B$1009&amp;"",SERVER!$E$3:$E$1009,""),""))))</f>
        <v/>
      </c>
      <c r="Q664" s="1" t="str" cm="1">
        <f t="array" ref="Q664">IF(OR($K664="",$I664="",$J664=""),"",_xlfn.LET(_xlpm.srcCat,_xlfn.SWITCH($I664,"Computer",_xlfn.XLOOKUP($K664&amp;"",COMPUTER!$B$3:$B$1009&amp;"",COMPUTER!$H$3:$H$1009,""),"Display",_xlfn.XLOOKUP($K664&amp;"",DISPLAY!$B$3:$B$1000&amp;"",DISPLAY!$H$3:$H$1000,""),"Network Device",_xlfn.XLOOKUP($K664&amp;"",'NETWORK-DEVICES'!$B$3:$B$987&amp;"",'NETWORK-DEVICES'!$H$3:$H$987,""),"Peripheral",_xlfn.XLOOKUP($K664&amp;"",PERIPHERAL!$B$3:$B$954&amp;"",PERIPHERAL!$H$3:$H$954,""),"Utilities",_xlfn.XLOOKUP($K664&amp;"",UTILITIES!$B$3:$B$953&amp;"",UTILITIES!$G$3:$G$953,""),"IOT",_xlfn.XLOOKUP($K664&amp;"",IOT!$B$3:$B$1012&amp;"",IOT!$H$3:$H$1012,""),"Server",_xlfn.XLOOKUP($K664&amp;"",SERVER!$B$3:$B$1009&amp;"",SERVER!$H$3:$H$1009,""),""),IF(TRIM(_xlpm.srcCat)&lt;&gt;TRIM($J664),"",_xlfn.SWITCH($I664,"Computer",_xlfn.XLOOKUP($K664&amp;"",COMPUTER!$B$3:$B$1009&amp;"",COMPUTER!$AM$3:$AM$1009,""),"Display",_xlfn.XLOOKUP($K664&amp;"",DISPLAY!$B$3:$B$1000&amp;"",DISPLAY!$V$3:$V$1000,""),"Network Device",_xlfn.XLOOKUP($K664&amp;"",'NETWORK-DEVICES'!$B$3:$B$987&amp;"",'NETWORK-DEVICES'!$AF$3:$AF$987,""),"Peripheral",_xlfn.XLOOKUP($K664&amp;"",PERIPHERAL!$B$3:$B$954&amp;"",PERIPHERAL!$Y$3:$Y$954,""),"Utilities",_xlfn.XLOOKUP($K664&amp;"",UTILITIES!$B$3:$B$953&amp;"",UTILITIES!$O$3:$O$953,""),"IOT",_xlfn.XLOOKUP($K664&amp;"",IOT!$B$3:$B$1012&amp;"",IOT!$AB$3:$AB$1012,""),"Server",_xlfn.XLOOKUP($K664&amp;"",SERVER!$B$3:$B$1009&amp;"",SERVER!$AB$3:$AB$1009,""),""))))</f>
        <v/>
      </c>
      <c r="R664" s="43" t="str">
        <f>IF(tbl_handover[[#This Row],[Asset Code]]="","",COUNTIF(tbl_handover[Asset Code],tbl_handover[[#This Row],[Asset Code]]))</f>
        <v/>
      </c>
    </row>
    <row r="665" spans="1:18" x14ac:dyDescent="0.25">
      <c r="A665" s="43" t="str">
        <f>IF(B665&lt;&gt;"",SUBTOTAL(3,$B$1:B664),"")</f>
        <v/>
      </c>
      <c r="C665" s="74"/>
      <c r="D665" s="74"/>
      <c r="G665" s="1"/>
      <c r="K665" s="42"/>
      <c r="L665" t="str" cm="1">
        <f t="array" ref="L665">IF($K665="","",_xlfn.SWITCH($I665,"Computer",_xlfn.XLOOKUP($K665&amp;"",COMPUTER!$B$3:$B$1009&amp;"",COMPUTER!$I$3:$I$1009,""),"Display",_xlfn.XLOOKUP($K665&amp;"",DISPLAY!$B$3:$B$1000&amp;"",DISPLAY!$J$3:$J$1000,""),"Network Device",_xlfn.XLOOKUP($K665&amp;"",'NETWORK-DEVICES'!$B$3:$B$987&amp;"",'NETWORK-DEVICES'!$I$3:$I$987,""),"Peripheral",_xlfn.XLOOKUP($K665&amp;"",PERIPHERAL!$B$3:$B$954&amp;"",PERIPHERAL!$I$3:$I$954,""),"Utilities",_xlfn.XLOOKUP($K665&amp;"",UTILITIES!$B$3:$B$953&amp;"",UTILITIES!$H$3:$H$953,""),"IOT",_xlfn.XLOOKUP($K665&amp;"",IOT!$B$3:$B$1012&amp;"",IOT!$I$3:$I$1012,""),"SERVER",_xlfn.XLOOKUP($K665&amp;"",SERVER!$B$3:$B$1009&amp;"",SERVER!$I$3:$I$1009,""),""))</f>
        <v/>
      </c>
      <c r="M665" t="str" cm="1">
        <f t="array" ref="M665">IF($K665="","",_xlfn.SWITCH($I665,"Computer",_xlfn.XLOOKUP($K665&amp;"",COMPUTER!$B$3:$B$1009&amp;"",COMPUTER!$J$3:$J$1009,""),"Display",_xlfn.XLOOKUP($K665&amp;"",DISPLAY!$B$3:$B$1000&amp;"",DISPLAY!$K$3:$K$1000,""),"Network Device",_xlfn.XLOOKUP($K665&amp;"",'NETWORK-DEVICES'!$B$3:$B$987&amp;"",'NETWORK-DEVICES'!$I$3:$I$987,""),"Peripheral",_xlfn.XLOOKUP($K665&amp;"",PERIPHERAL!$B$3:$B$954&amp;"",PERIPHERAL!$J$3:$J$954,""),"Utilities",_xlfn.XLOOKUP($K665&amp;"",UTILITIES!$B$3:$B$953&amp;"",UTILITIES!$I$3:$I$953,""),"IOT",_xlfn.XLOOKUP($K665&amp;"",IOT!$B$3:$B$1012&amp;"",IOT!$J$3:$J$1012,""),"Server",_xlfn.XLOOKUP($K665&amp;"",SERVER!$B$3:$B$1009&amp;"",SERVER!$J$3:$J$1009,""),""))</f>
        <v/>
      </c>
      <c r="N665" s="1" t="str" cm="1">
        <f t="array" ref="N665">IF(OR($K665="",$I665="",$J665=""),"",_xlfn.LET(_xlpm.srcCat,_xlfn.SWITCH($I665,"Computer",_xlfn.XLOOKUP($K665&amp;"",COMPUTER!$B$3:$B$1009&amp;"",COMPUTER!$H$3:$H$1009,""),"Display",_xlfn.XLOOKUP($K665&amp;"",DISPLAY!$B$3:$B$1000&amp;"",DISPLAY!$H$3:$H$1000,""),"Network Device",_xlfn.XLOOKUP($K665&amp;"",'NETWORK-DEVICES'!$B$3:$B$987&amp;"",'NETWORK-DEVICES'!$H$3:$H$987,""),"Peripheral",_xlfn.XLOOKUP($K665&amp;"",PERIPHERAL!$B$3:$B$954&amp;"",PERIPHERAL!$H$3:$H$954,""),"Utilities",_xlfn.XLOOKUP($K665&amp;"",UTILITIES!$B$3:$B$953&amp;"",UTILITIES!$G$3:$G$953,""),"IOT",_xlfn.XLOOKUP($K665&amp;"",IOT!$B$3:$B$1012&amp;"",IOT!$H$3:$H$1012,""),"Server",_xlfn.XLOOKUP($K665&amp;"",SERVER!$B$3:$B$1009&amp;"",SERVER!$H$3:$H$1009,""),""),IF(TRIM(_xlpm.srcCat)&lt;&gt;TRIM($J665),"",_xlfn.SWITCH($I665,"Computer",_xlfn.XLOOKUP($K665&amp;"",COMPUTER!$B$3:$B$1009&amp;"",COMPUTER!$K$3:$K$1009,""),"Display",_xlfn.XLOOKUP($K665&amp;"",DISPLAY!$B$3:$B$1000&amp;"",DISPLAY!$L$3:$L$1000,""),"Network Device",_xlfn.XLOOKUP($K665&amp;"",'NETWORK-DEVICES'!$B$3:$B$987&amp;"",'NETWORK-DEVICES'!$K$3:$K$987,""),"Peripheral",_xlfn.XLOOKUP($K665&amp;"",PERIPHERAL!$B$3:$B$954&amp;"",PERIPHERAL!$K$3:$K$954,""),"Utilities",_xlfn.XLOOKUP($K665&amp;"",UTILITIES!$B$3:$B$953&amp;"",UTILITIES!$J$3:$J$953,""),"IOT",_xlfn.XLOOKUP($K665&amp;"",IOT!$B$3:$B$1012&amp;"",IOT!$K$4:$K$1012,""),"Server",_xlfn.XLOOKUP($K665&amp;"",SERVER!$B$3:$B$1009&amp;"",SERVER!$K$3:$K$1009,""),""))))</f>
        <v/>
      </c>
      <c r="O665" s="1" t="str" cm="1">
        <f t="array" ref="O665">IF(OR($K665="",$I665="",$J665=""),"",_xlfn.LET(_xlpm.srcCat,_xlfn.SWITCH($I665,"Computer",_xlfn.XLOOKUP($K665&amp;"",COMPUTER!$B$3:$B$1009&amp;"",COMPUTER!$H$3:$H$1009,""),"Display",_xlfn.XLOOKUP($K665&amp;"",DISPLAY!$B$3:$B$1000&amp;"",DISPLAY!$H$3:$H$1000,""),"Network Device",_xlfn.XLOOKUP($K665&amp;"",'NETWORK-DEVICES'!$B$3:$B$987&amp;"",'NETWORK-DEVICES'!$H$3:$H$987,""),"Peripheral",_xlfn.XLOOKUP($K665&amp;"",PERIPHERAL!$B$3:$B$954&amp;"",PERIPHERAL!$H$3:$H$954,""),"Utilities",_xlfn.XLOOKUP($K665&amp;"",UTILITIES!$B$3:$B$953&amp;"",UTILITIES!$G$3:$G$953,""),"IOT",_xlfn.XLOOKUP($K665&amp;"",IOT!$B$3:$B$1012&amp;"",IOT!$H$3:$H$1012,""),"Server",_xlfn.XLOOKUP($K665&amp;"",SERVER!$B$3:$B$1009&amp;"",SERVER!$H$3:$H$1009,""),""),IF(TRIM(_xlpm.srcCat)&lt;&gt;TRIM($J665),"",_xlfn.SWITCH($I665,"Computer",_xlfn.XLOOKUP($K665&amp;"",COMPUTER!$B$3:$B$1009&amp;"",COMPUTER!$E$3:$E$1009,""),"Display",_xlfn.XLOOKUP($K665&amp;"",DISPLAY!$B$3:$B$1000&amp;"",DISPLAY!$E$3:$E$1000,""),"Network Device",_xlfn.XLOOKUP($K665&amp;"",'NETWORK-DEVICES'!$B$3:$B$987&amp;"",'NETWORK-DEVICES'!$E$3:$E$987,""),"Peripheral",_xlfn.XLOOKUP($K665&amp;"",PERIPHERAL!$B$3:$B$954&amp;"",PERIPHERAL!$E$3:$E$954,""),"Utilities",_xlfn.XLOOKUP($K665&amp;"",UTILITIES!$B$3:$B$953&amp;"",UTILITIES!$E$3:$E$953,""),"IOT",_xlfn.XLOOKUP($K665&amp;"",IOT!$B$3:$B$1012&amp;"",IOT!$E$3:$E$1012,""),"Server",_xlfn.XLOOKUP($K665&amp;"",SERVER!$B$3:$B$1009&amp;"",SERVER!$E$3:$E$1009,""),""))))</f>
        <v/>
      </c>
      <c r="Q665" s="1" t="str" cm="1">
        <f t="array" ref="Q665">IF(OR($K665="",$I665="",$J665=""),"",_xlfn.LET(_xlpm.srcCat,_xlfn.SWITCH($I665,"Computer",_xlfn.XLOOKUP($K665&amp;"",COMPUTER!$B$3:$B$1009&amp;"",COMPUTER!$H$3:$H$1009,""),"Display",_xlfn.XLOOKUP($K665&amp;"",DISPLAY!$B$3:$B$1000&amp;"",DISPLAY!$H$3:$H$1000,""),"Network Device",_xlfn.XLOOKUP($K665&amp;"",'NETWORK-DEVICES'!$B$3:$B$987&amp;"",'NETWORK-DEVICES'!$H$3:$H$987,""),"Peripheral",_xlfn.XLOOKUP($K665&amp;"",PERIPHERAL!$B$3:$B$954&amp;"",PERIPHERAL!$H$3:$H$954,""),"Utilities",_xlfn.XLOOKUP($K665&amp;"",UTILITIES!$B$3:$B$953&amp;"",UTILITIES!$G$3:$G$953,""),"IOT",_xlfn.XLOOKUP($K665&amp;"",IOT!$B$3:$B$1012&amp;"",IOT!$H$3:$H$1012,""),"Server",_xlfn.XLOOKUP($K665&amp;"",SERVER!$B$3:$B$1009&amp;"",SERVER!$H$3:$H$1009,""),""),IF(TRIM(_xlpm.srcCat)&lt;&gt;TRIM($J665),"",_xlfn.SWITCH($I665,"Computer",_xlfn.XLOOKUP($K665&amp;"",COMPUTER!$B$3:$B$1009&amp;"",COMPUTER!$AM$3:$AM$1009,""),"Display",_xlfn.XLOOKUP($K665&amp;"",DISPLAY!$B$3:$B$1000&amp;"",DISPLAY!$V$3:$V$1000,""),"Network Device",_xlfn.XLOOKUP($K665&amp;"",'NETWORK-DEVICES'!$B$3:$B$987&amp;"",'NETWORK-DEVICES'!$AF$3:$AF$987,""),"Peripheral",_xlfn.XLOOKUP($K665&amp;"",PERIPHERAL!$B$3:$B$954&amp;"",PERIPHERAL!$Y$3:$Y$954,""),"Utilities",_xlfn.XLOOKUP($K665&amp;"",UTILITIES!$B$3:$B$953&amp;"",UTILITIES!$O$3:$O$953,""),"IOT",_xlfn.XLOOKUP($K665&amp;"",IOT!$B$3:$B$1012&amp;"",IOT!$AB$3:$AB$1012,""),"Server",_xlfn.XLOOKUP($K665&amp;"",SERVER!$B$3:$B$1009&amp;"",SERVER!$AB$3:$AB$1009,""),""))))</f>
        <v/>
      </c>
      <c r="R665" s="43" t="str">
        <f>IF(tbl_handover[[#This Row],[Asset Code]]="","",COUNTIF(tbl_handover[Asset Code],tbl_handover[[#This Row],[Asset Code]]))</f>
        <v/>
      </c>
    </row>
    <row r="666" spans="1:18" x14ac:dyDescent="0.25">
      <c r="A666" s="43" t="str">
        <f>IF(B666&lt;&gt;"",SUBTOTAL(3,$B$1:B665),"")</f>
        <v/>
      </c>
      <c r="C666" s="74"/>
      <c r="D666" s="74"/>
      <c r="G666" s="1"/>
      <c r="K666" s="42"/>
      <c r="L666" t="str" cm="1">
        <f t="array" ref="L666">IF($K666="","",_xlfn.SWITCH($I666,"Computer",_xlfn.XLOOKUP($K666&amp;"",COMPUTER!$B$3:$B$1009&amp;"",COMPUTER!$I$3:$I$1009,""),"Display",_xlfn.XLOOKUP($K666&amp;"",DISPLAY!$B$3:$B$1000&amp;"",DISPLAY!$J$3:$J$1000,""),"Network Device",_xlfn.XLOOKUP($K666&amp;"",'NETWORK-DEVICES'!$B$3:$B$987&amp;"",'NETWORK-DEVICES'!$I$3:$I$987,""),"Peripheral",_xlfn.XLOOKUP($K666&amp;"",PERIPHERAL!$B$3:$B$954&amp;"",PERIPHERAL!$I$3:$I$954,""),"Utilities",_xlfn.XLOOKUP($K666&amp;"",UTILITIES!$B$3:$B$953&amp;"",UTILITIES!$H$3:$H$953,""),"IOT",_xlfn.XLOOKUP($K666&amp;"",IOT!$B$3:$B$1012&amp;"",IOT!$I$3:$I$1012,""),"SERVER",_xlfn.XLOOKUP($K666&amp;"",SERVER!$B$3:$B$1009&amp;"",SERVER!$I$3:$I$1009,""),""))</f>
        <v/>
      </c>
      <c r="M666" t="str" cm="1">
        <f t="array" ref="M666">IF($K666="","",_xlfn.SWITCH($I666,"Computer",_xlfn.XLOOKUP($K666&amp;"",COMPUTER!$B$3:$B$1009&amp;"",COMPUTER!$J$3:$J$1009,""),"Display",_xlfn.XLOOKUP($K666&amp;"",DISPLAY!$B$3:$B$1000&amp;"",DISPLAY!$K$3:$K$1000,""),"Network Device",_xlfn.XLOOKUP($K666&amp;"",'NETWORK-DEVICES'!$B$3:$B$987&amp;"",'NETWORK-DEVICES'!$I$3:$I$987,""),"Peripheral",_xlfn.XLOOKUP($K666&amp;"",PERIPHERAL!$B$3:$B$954&amp;"",PERIPHERAL!$J$3:$J$954,""),"Utilities",_xlfn.XLOOKUP($K666&amp;"",UTILITIES!$B$3:$B$953&amp;"",UTILITIES!$I$3:$I$953,""),"IOT",_xlfn.XLOOKUP($K666&amp;"",IOT!$B$3:$B$1012&amp;"",IOT!$J$3:$J$1012,""),"Server",_xlfn.XLOOKUP($K666&amp;"",SERVER!$B$3:$B$1009&amp;"",SERVER!$J$3:$J$1009,""),""))</f>
        <v/>
      </c>
      <c r="N666" s="1" t="str" cm="1">
        <f t="array" ref="N666">IF(OR($K666="",$I666="",$J666=""),"",_xlfn.LET(_xlpm.srcCat,_xlfn.SWITCH($I666,"Computer",_xlfn.XLOOKUP($K666&amp;"",COMPUTER!$B$3:$B$1009&amp;"",COMPUTER!$H$3:$H$1009,""),"Display",_xlfn.XLOOKUP($K666&amp;"",DISPLAY!$B$3:$B$1000&amp;"",DISPLAY!$H$3:$H$1000,""),"Network Device",_xlfn.XLOOKUP($K666&amp;"",'NETWORK-DEVICES'!$B$3:$B$987&amp;"",'NETWORK-DEVICES'!$H$3:$H$987,""),"Peripheral",_xlfn.XLOOKUP($K666&amp;"",PERIPHERAL!$B$3:$B$954&amp;"",PERIPHERAL!$H$3:$H$954,""),"Utilities",_xlfn.XLOOKUP($K666&amp;"",UTILITIES!$B$3:$B$953&amp;"",UTILITIES!$G$3:$G$953,""),"IOT",_xlfn.XLOOKUP($K666&amp;"",IOT!$B$3:$B$1012&amp;"",IOT!$H$3:$H$1012,""),"Server",_xlfn.XLOOKUP($K666&amp;"",SERVER!$B$3:$B$1009&amp;"",SERVER!$H$3:$H$1009,""),""),IF(TRIM(_xlpm.srcCat)&lt;&gt;TRIM($J666),"",_xlfn.SWITCH($I666,"Computer",_xlfn.XLOOKUP($K666&amp;"",COMPUTER!$B$3:$B$1009&amp;"",COMPUTER!$K$3:$K$1009,""),"Display",_xlfn.XLOOKUP($K666&amp;"",DISPLAY!$B$3:$B$1000&amp;"",DISPLAY!$L$3:$L$1000,""),"Network Device",_xlfn.XLOOKUP($K666&amp;"",'NETWORK-DEVICES'!$B$3:$B$987&amp;"",'NETWORK-DEVICES'!$K$3:$K$987,""),"Peripheral",_xlfn.XLOOKUP($K666&amp;"",PERIPHERAL!$B$3:$B$954&amp;"",PERIPHERAL!$K$3:$K$954,""),"Utilities",_xlfn.XLOOKUP($K666&amp;"",UTILITIES!$B$3:$B$953&amp;"",UTILITIES!$J$3:$J$953,""),"IOT",_xlfn.XLOOKUP($K666&amp;"",IOT!$B$3:$B$1012&amp;"",IOT!$K$4:$K$1012,""),"Server",_xlfn.XLOOKUP($K666&amp;"",SERVER!$B$3:$B$1009&amp;"",SERVER!$K$3:$K$1009,""),""))))</f>
        <v/>
      </c>
      <c r="O666" s="1" t="str" cm="1">
        <f t="array" ref="O666">IF(OR($K666="",$I666="",$J666=""),"",_xlfn.LET(_xlpm.srcCat,_xlfn.SWITCH($I666,"Computer",_xlfn.XLOOKUP($K666&amp;"",COMPUTER!$B$3:$B$1009&amp;"",COMPUTER!$H$3:$H$1009,""),"Display",_xlfn.XLOOKUP($K666&amp;"",DISPLAY!$B$3:$B$1000&amp;"",DISPLAY!$H$3:$H$1000,""),"Network Device",_xlfn.XLOOKUP($K666&amp;"",'NETWORK-DEVICES'!$B$3:$B$987&amp;"",'NETWORK-DEVICES'!$H$3:$H$987,""),"Peripheral",_xlfn.XLOOKUP($K666&amp;"",PERIPHERAL!$B$3:$B$954&amp;"",PERIPHERAL!$H$3:$H$954,""),"Utilities",_xlfn.XLOOKUP($K666&amp;"",UTILITIES!$B$3:$B$953&amp;"",UTILITIES!$G$3:$G$953,""),"IOT",_xlfn.XLOOKUP($K666&amp;"",IOT!$B$3:$B$1012&amp;"",IOT!$H$3:$H$1012,""),"Server",_xlfn.XLOOKUP($K666&amp;"",SERVER!$B$3:$B$1009&amp;"",SERVER!$H$3:$H$1009,""),""),IF(TRIM(_xlpm.srcCat)&lt;&gt;TRIM($J666),"",_xlfn.SWITCH($I666,"Computer",_xlfn.XLOOKUP($K666&amp;"",COMPUTER!$B$3:$B$1009&amp;"",COMPUTER!$E$3:$E$1009,""),"Display",_xlfn.XLOOKUP($K666&amp;"",DISPLAY!$B$3:$B$1000&amp;"",DISPLAY!$E$3:$E$1000,""),"Network Device",_xlfn.XLOOKUP($K666&amp;"",'NETWORK-DEVICES'!$B$3:$B$987&amp;"",'NETWORK-DEVICES'!$E$3:$E$987,""),"Peripheral",_xlfn.XLOOKUP($K666&amp;"",PERIPHERAL!$B$3:$B$954&amp;"",PERIPHERAL!$E$3:$E$954,""),"Utilities",_xlfn.XLOOKUP($K666&amp;"",UTILITIES!$B$3:$B$953&amp;"",UTILITIES!$E$3:$E$953,""),"IOT",_xlfn.XLOOKUP($K666&amp;"",IOT!$B$3:$B$1012&amp;"",IOT!$E$3:$E$1012,""),"Server",_xlfn.XLOOKUP($K666&amp;"",SERVER!$B$3:$B$1009&amp;"",SERVER!$E$3:$E$1009,""),""))))</f>
        <v/>
      </c>
      <c r="Q666" s="1" t="str" cm="1">
        <f t="array" ref="Q666">IF(OR($K666="",$I666="",$J666=""),"",_xlfn.LET(_xlpm.srcCat,_xlfn.SWITCH($I666,"Computer",_xlfn.XLOOKUP($K666&amp;"",COMPUTER!$B$3:$B$1009&amp;"",COMPUTER!$H$3:$H$1009,""),"Display",_xlfn.XLOOKUP($K666&amp;"",DISPLAY!$B$3:$B$1000&amp;"",DISPLAY!$H$3:$H$1000,""),"Network Device",_xlfn.XLOOKUP($K666&amp;"",'NETWORK-DEVICES'!$B$3:$B$987&amp;"",'NETWORK-DEVICES'!$H$3:$H$987,""),"Peripheral",_xlfn.XLOOKUP($K666&amp;"",PERIPHERAL!$B$3:$B$954&amp;"",PERIPHERAL!$H$3:$H$954,""),"Utilities",_xlfn.XLOOKUP($K666&amp;"",UTILITIES!$B$3:$B$953&amp;"",UTILITIES!$G$3:$G$953,""),"IOT",_xlfn.XLOOKUP($K666&amp;"",IOT!$B$3:$B$1012&amp;"",IOT!$H$3:$H$1012,""),"Server",_xlfn.XLOOKUP($K666&amp;"",SERVER!$B$3:$B$1009&amp;"",SERVER!$H$3:$H$1009,""),""),IF(TRIM(_xlpm.srcCat)&lt;&gt;TRIM($J666),"",_xlfn.SWITCH($I666,"Computer",_xlfn.XLOOKUP($K666&amp;"",COMPUTER!$B$3:$B$1009&amp;"",COMPUTER!$AM$3:$AM$1009,""),"Display",_xlfn.XLOOKUP($K666&amp;"",DISPLAY!$B$3:$B$1000&amp;"",DISPLAY!$V$3:$V$1000,""),"Network Device",_xlfn.XLOOKUP($K666&amp;"",'NETWORK-DEVICES'!$B$3:$B$987&amp;"",'NETWORK-DEVICES'!$AF$3:$AF$987,""),"Peripheral",_xlfn.XLOOKUP($K666&amp;"",PERIPHERAL!$B$3:$B$954&amp;"",PERIPHERAL!$Y$3:$Y$954,""),"Utilities",_xlfn.XLOOKUP($K666&amp;"",UTILITIES!$B$3:$B$953&amp;"",UTILITIES!$O$3:$O$953,""),"IOT",_xlfn.XLOOKUP($K666&amp;"",IOT!$B$3:$B$1012&amp;"",IOT!$AB$3:$AB$1012,""),"Server",_xlfn.XLOOKUP($K666&amp;"",SERVER!$B$3:$B$1009&amp;"",SERVER!$AB$3:$AB$1009,""),""))))</f>
        <v/>
      </c>
      <c r="R666" s="43" t="str">
        <f>IF(tbl_handover[[#This Row],[Asset Code]]="","",COUNTIF(tbl_handover[Asset Code],tbl_handover[[#This Row],[Asset Code]]))</f>
        <v/>
      </c>
    </row>
    <row r="667" spans="1:18" x14ac:dyDescent="0.25">
      <c r="A667" s="43" t="str">
        <f>IF(B667&lt;&gt;"",SUBTOTAL(3,$B$1:B666),"")</f>
        <v/>
      </c>
      <c r="C667" s="74"/>
      <c r="D667" s="74"/>
      <c r="G667" s="1"/>
      <c r="K667" s="42"/>
      <c r="L667" t="str" cm="1">
        <f t="array" ref="L667">IF($K667="","",_xlfn.SWITCH($I667,"Computer",_xlfn.XLOOKUP($K667&amp;"",COMPUTER!$B$3:$B$1009&amp;"",COMPUTER!$I$3:$I$1009,""),"Display",_xlfn.XLOOKUP($K667&amp;"",DISPLAY!$B$3:$B$1000&amp;"",DISPLAY!$J$3:$J$1000,""),"Network Device",_xlfn.XLOOKUP($K667&amp;"",'NETWORK-DEVICES'!$B$3:$B$987&amp;"",'NETWORK-DEVICES'!$I$3:$I$987,""),"Peripheral",_xlfn.XLOOKUP($K667&amp;"",PERIPHERAL!$B$3:$B$954&amp;"",PERIPHERAL!$I$3:$I$954,""),"Utilities",_xlfn.XLOOKUP($K667&amp;"",UTILITIES!$B$3:$B$953&amp;"",UTILITIES!$H$3:$H$953,""),"IOT",_xlfn.XLOOKUP($K667&amp;"",IOT!$B$3:$B$1012&amp;"",IOT!$I$3:$I$1012,""),"SERVER",_xlfn.XLOOKUP($K667&amp;"",SERVER!$B$3:$B$1009&amp;"",SERVER!$I$3:$I$1009,""),""))</f>
        <v/>
      </c>
      <c r="M667" t="str" cm="1">
        <f t="array" ref="M667">IF($K667="","",_xlfn.SWITCH($I667,"Computer",_xlfn.XLOOKUP($K667&amp;"",COMPUTER!$B$3:$B$1009&amp;"",COMPUTER!$J$3:$J$1009,""),"Display",_xlfn.XLOOKUP($K667&amp;"",DISPLAY!$B$3:$B$1000&amp;"",DISPLAY!$K$3:$K$1000,""),"Network Device",_xlfn.XLOOKUP($K667&amp;"",'NETWORK-DEVICES'!$B$3:$B$987&amp;"",'NETWORK-DEVICES'!$I$3:$I$987,""),"Peripheral",_xlfn.XLOOKUP($K667&amp;"",PERIPHERAL!$B$3:$B$954&amp;"",PERIPHERAL!$J$3:$J$954,""),"Utilities",_xlfn.XLOOKUP($K667&amp;"",UTILITIES!$B$3:$B$953&amp;"",UTILITIES!$I$3:$I$953,""),"IOT",_xlfn.XLOOKUP($K667&amp;"",IOT!$B$3:$B$1012&amp;"",IOT!$J$3:$J$1012,""),"Server",_xlfn.XLOOKUP($K667&amp;"",SERVER!$B$3:$B$1009&amp;"",SERVER!$J$3:$J$1009,""),""))</f>
        <v/>
      </c>
      <c r="N667" s="1" t="str" cm="1">
        <f t="array" ref="N667">IF(OR($K667="",$I667="",$J667=""),"",_xlfn.LET(_xlpm.srcCat,_xlfn.SWITCH($I667,"Computer",_xlfn.XLOOKUP($K667&amp;"",COMPUTER!$B$3:$B$1009&amp;"",COMPUTER!$H$3:$H$1009,""),"Display",_xlfn.XLOOKUP($K667&amp;"",DISPLAY!$B$3:$B$1000&amp;"",DISPLAY!$H$3:$H$1000,""),"Network Device",_xlfn.XLOOKUP($K667&amp;"",'NETWORK-DEVICES'!$B$3:$B$987&amp;"",'NETWORK-DEVICES'!$H$3:$H$987,""),"Peripheral",_xlfn.XLOOKUP($K667&amp;"",PERIPHERAL!$B$3:$B$954&amp;"",PERIPHERAL!$H$3:$H$954,""),"Utilities",_xlfn.XLOOKUP($K667&amp;"",UTILITIES!$B$3:$B$953&amp;"",UTILITIES!$G$3:$G$953,""),"IOT",_xlfn.XLOOKUP($K667&amp;"",IOT!$B$3:$B$1012&amp;"",IOT!$H$3:$H$1012,""),"Server",_xlfn.XLOOKUP($K667&amp;"",SERVER!$B$3:$B$1009&amp;"",SERVER!$H$3:$H$1009,""),""),IF(TRIM(_xlpm.srcCat)&lt;&gt;TRIM($J667),"",_xlfn.SWITCH($I667,"Computer",_xlfn.XLOOKUP($K667&amp;"",COMPUTER!$B$3:$B$1009&amp;"",COMPUTER!$K$3:$K$1009,""),"Display",_xlfn.XLOOKUP($K667&amp;"",DISPLAY!$B$3:$B$1000&amp;"",DISPLAY!$L$3:$L$1000,""),"Network Device",_xlfn.XLOOKUP($K667&amp;"",'NETWORK-DEVICES'!$B$3:$B$987&amp;"",'NETWORK-DEVICES'!$K$3:$K$987,""),"Peripheral",_xlfn.XLOOKUP($K667&amp;"",PERIPHERAL!$B$3:$B$954&amp;"",PERIPHERAL!$K$3:$K$954,""),"Utilities",_xlfn.XLOOKUP($K667&amp;"",UTILITIES!$B$3:$B$953&amp;"",UTILITIES!$J$3:$J$953,""),"IOT",_xlfn.XLOOKUP($K667&amp;"",IOT!$B$3:$B$1012&amp;"",IOT!$K$4:$K$1012,""),"Server",_xlfn.XLOOKUP($K667&amp;"",SERVER!$B$3:$B$1009&amp;"",SERVER!$K$3:$K$1009,""),""))))</f>
        <v/>
      </c>
      <c r="O667" s="1" t="str" cm="1">
        <f t="array" ref="O667">IF(OR($K667="",$I667="",$J667=""),"",_xlfn.LET(_xlpm.srcCat,_xlfn.SWITCH($I667,"Computer",_xlfn.XLOOKUP($K667&amp;"",COMPUTER!$B$3:$B$1009&amp;"",COMPUTER!$H$3:$H$1009,""),"Display",_xlfn.XLOOKUP($K667&amp;"",DISPLAY!$B$3:$B$1000&amp;"",DISPLAY!$H$3:$H$1000,""),"Network Device",_xlfn.XLOOKUP($K667&amp;"",'NETWORK-DEVICES'!$B$3:$B$987&amp;"",'NETWORK-DEVICES'!$H$3:$H$987,""),"Peripheral",_xlfn.XLOOKUP($K667&amp;"",PERIPHERAL!$B$3:$B$954&amp;"",PERIPHERAL!$H$3:$H$954,""),"Utilities",_xlfn.XLOOKUP($K667&amp;"",UTILITIES!$B$3:$B$953&amp;"",UTILITIES!$G$3:$G$953,""),"IOT",_xlfn.XLOOKUP($K667&amp;"",IOT!$B$3:$B$1012&amp;"",IOT!$H$3:$H$1012,""),"Server",_xlfn.XLOOKUP($K667&amp;"",SERVER!$B$3:$B$1009&amp;"",SERVER!$H$3:$H$1009,""),""),IF(TRIM(_xlpm.srcCat)&lt;&gt;TRIM($J667),"",_xlfn.SWITCH($I667,"Computer",_xlfn.XLOOKUP($K667&amp;"",COMPUTER!$B$3:$B$1009&amp;"",COMPUTER!$E$3:$E$1009,""),"Display",_xlfn.XLOOKUP($K667&amp;"",DISPLAY!$B$3:$B$1000&amp;"",DISPLAY!$E$3:$E$1000,""),"Network Device",_xlfn.XLOOKUP($K667&amp;"",'NETWORK-DEVICES'!$B$3:$B$987&amp;"",'NETWORK-DEVICES'!$E$3:$E$987,""),"Peripheral",_xlfn.XLOOKUP($K667&amp;"",PERIPHERAL!$B$3:$B$954&amp;"",PERIPHERAL!$E$3:$E$954,""),"Utilities",_xlfn.XLOOKUP($K667&amp;"",UTILITIES!$B$3:$B$953&amp;"",UTILITIES!$E$3:$E$953,""),"IOT",_xlfn.XLOOKUP($K667&amp;"",IOT!$B$3:$B$1012&amp;"",IOT!$E$3:$E$1012,""),"Server",_xlfn.XLOOKUP($K667&amp;"",SERVER!$B$3:$B$1009&amp;"",SERVER!$E$3:$E$1009,""),""))))</f>
        <v/>
      </c>
      <c r="Q667" s="1" t="str" cm="1">
        <f t="array" ref="Q667">IF(OR($K667="",$I667="",$J667=""),"",_xlfn.LET(_xlpm.srcCat,_xlfn.SWITCH($I667,"Computer",_xlfn.XLOOKUP($K667&amp;"",COMPUTER!$B$3:$B$1009&amp;"",COMPUTER!$H$3:$H$1009,""),"Display",_xlfn.XLOOKUP($K667&amp;"",DISPLAY!$B$3:$B$1000&amp;"",DISPLAY!$H$3:$H$1000,""),"Network Device",_xlfn.XLOOKUP($K667&amp;"",'NETWORK-DEVICES'!$B$3:$B$987&amp;"",'NETWORK-DEVICES'!$H$3:$H$987,""),"Peripheral",_xlfn.XLOOKUP($K667&amp;"",PERIPHERAL!$B$3:$B$954&amp;"",PERIPHERAL!$H$3:$H$954,""),"Utilities",_xlfn.XLOOKUP($K667&amp;"",UTILITIES!$B$3:$B$953&amp;"",UTILITIES!$G$3:$G$953,""),"IOT",_xlfn.XLOOKUP($K667&amp;"",IOT!$B$3:$B$1012&amp;"",IOT!$H$3:$H$1012,""),"Server",_xlfn.XLOOKUP($K667&amp;"",SERVER!$B$3:$B$1009&amp;"",SERVER!$H$3:$H$1009,""),""),IF(TRIM(_xlpm.srcCat)&lt;&gt;TRIM($J667),"",_xlfn.SWITCH($I667,"Computer",_xlfn.XLOOKUP($K667&amp;"",COMPUTER!$B$3:$B$1009&amp;"",COMPUTER!$AM$3:$AM$1009,""),"Display",_xlfn.XLOOKUP($K667&amp;"",DISPLAY!$B$3:$B$1000&amp;"",DISPLAY!$V$3:$V$1000,""),"Network Device",_xlfn.XLOOKUP($K667&amp;"",'NETWORK-DEVICES'!$B$3:$B$987&amp;"",'NETWORK-DEVICES'!$AF$3:$AF$987,""),"Peripheral",_xlfn.XLOOKUP($K667&amp;"",PERIPHERAL!$B$3:$B$954&amp;"",PERIPHERAL!$Y$3:$Y$954,""),"Utilities",_xlfn.XLOOKUP($K667&amp;"",UTILITIES!$B$3:$B$953&amp;"",UTILITIES!$O$3:$O$953,""),"IOT",_xlfn.XLOOKUP($K667&amp;"",IOT!$B$3:$B$1012&amp;"",IOT!$AB$3:$AB$1012,""),"Server",_xlfn.XLOOKUP($K667&amp;"",SERVER!$B$3:$B$1009&amp;"",SERVER!$AB$3:$AB$1009,""),""))))</f>
        <v/>
      </c>
      <c r="R667" s="43" t="str">
        <f>IF(tbl_handover[[#This Row],[Asset Code]]="","",COUNTIF(tbl_handover[Asset Code],tbl_handover[[#This Row],[Asset Code]]))</f>
        <v/>
      </c>
    </row>
    <row r="668" spans="1:18" x14ac:dyDescent="0.25">
      <c r="A668" s="43" t="str">
        <f>IF(B668&lt;&gt;"",SUBTOTAL(3,$B$1:B667),"")</f>
        <v/>
      </c>
      <c r="C668" s="74"/>
      <c r="D668" s="74"/>
      <c r="G668" s="1"/>
      <c r="K668" s="42"/>
      <c r="L668" t="str" cm="1">
        <f t="array" ref="L668">IF($K668="","",_xlfn.SWITCH($I668,"Computer",_xlfn.XLOOKUP($K668&amp;"",COMPUTER!$B$3:$B$1009&amp;"",COMPUTER!$I$3:$I$1009,""),"Display",_xlfn.XLOOKUP($K668&amp;"",DISPLAY!$B$3:$B$1000&amp;"",DISPLAY!$J$3:$J$1000,""),"Network Device",_xlfn.XLOOKUP($K668&amp;"",'NETWORK-DEVICES'!$B$3:$B$987&amp;"",'NETWORK-DEVICES'!$I$3:$I$987,""),"Peripheral",_xlfn.XLOOKUP($K668&amp;"",PERIPHERAL!$B$3:$B$954&amp;"",PERIPHERAL!$I$3:$I$954,""),"Utilities",_xlfn.XLOOKUP($K668&amp;"",UTILITIES!$B$3:$B$953&amp;"",UTILITIES!$H$3:$H$953,""),"IOT",_xlfn.XLOOKUP($K668&amp;"",IOT!$B$3:$B$1012&amp;"",IOT!$I$3:$I$1012,""),"SERVER",_xlfn.XLOOKUP($K668&amp;"",SERVER!$B$3:$B$1009&amp;"",SERVER!$I$3:$I$1009,""),""))</f>
        <v/>
      </c>
      <c r="M668" t="str" cm="1">
        <f t="array" ref="M668">IF($K668="","",_xlfn.SWITCH($I668,"Computer",_xlfn.XLOOKUP($K668&amp;"",COMPUTER!$B$3:$B$1009&amp;"",COMPUTER!$J$3:$J$1009,""),"Display",_xlfn.XLOOKUP($K668&amp;"",DISPLAY!$B$3:$B$1000&amp;"",DISPLAY!$K$3:$K$1000,""),"Network Device",_xlfn.XLOOKUP($K668&amp;"",'NETWORK-DEVICES'!$B$3:$B$987&amp;"",'NETWORK-DEVICES'!$I$3:$I$987,""),"Peripheral",_xlfn.XLOOKUP($K668&amp;"",PERIPHERAL!$B$3:$B$954&amp;"",PERIPHERAL!$J$3:$J$954,""),"Utilities",_xlfn.XLOOKUP($K668&amp;"",UTILITIES!$B$3:$B$953&amp;"",UTILITIES!$I$3:$I$953,""),"IOT",_xlfn.XLOOKUP($K668&amp;"",IOT!$B$3:$B$1012&amp;"",IOT!$J$3:$J$1012,""),"Server",_xlfn.XLOOKUP($K668&amp;"",SERVER!$B$3:$B$1009&amp;"",SERVER!$J$3:$J$1009,""),""))</f>
        <v/>
      </c>
      <c r="N668" s="1" t="str" cm="1">
        <f t="array" ref="N668">IF(OR($K668="",$I668="",$J668=""),"",_xlfn.LET(_xlpm.srcCat,_xlfn.SWITCH($I668,"Computer",_xlfn.XLOOKUP($K668&amp;"",COMPUTER!$B$3:$B$1009&amp;"",COMPUTER!$H$3:$H$1009,""),"Display",_xlfn.XLOOKUP($K668&amp;"",DISPLAY!$B$3:$B$1000&amp;"",DISPLAY!$H$3:$H$1000,""),"Network Device",_xlfn.XLOOKUP($K668&amp;"",'NETWORK-DEVICES'!$B$3:$B$987&amp;"",'NETWORK-DEVICES'!$H$3:$H$987,""),"Peripheral",_xlfn.XLOOKUP($K668&amp;"",PERIPHERAL!$B$3:$B$954&amp;"",PERIPHERAL!$H$3:$H$954,""),"Utilities",_xlfn.XLOOKUP($K668&amp;"",UTILITIES!$B$3:$B$953&amp;"",UTILITIES!$G$3:$G$953,""),"IOT",_xlfn.XLOOKUP($K668&amp;"",IOT!$B$3:$B$1012&amp;"",IOT!$H$3:$H$1012,""),"Server",_xlfn.XLOOKUP($K668&amp;"",SERVER!$B$3:$B$1009&amp;"",SERVER!$H$3:$H$1009,""),""),IF(TRIM(_xlpm.srcCat)&lt;&gt;TRIM($J668),"",_xlfn.SWITCH($I668,"Computer",_xlfn.XLOOKUP($K668&amp;"",COMPUTER!$B$3:$B$1009&amp;"",COMPUTER!$K$3:$K$1009,""),"Display",_xlfn.XLOOKUP($K668&amp;"",DISPLAY!$B$3:$B$1000&amp;"",DISPLAY!$L$3:$L$1000,""),"Network Device",_xlfn.XLOOKUP($K668&amp;"",'NETWORK-DEVICES'!$B$3:$B$987&amp;"",'NETWORK-DEVICES'!$K$3:$K$987,""),"Peripheral",_xlfn.XLOOKUP($K668&amp;"",PERIPHERAL!$B$3:$B$954&amp;"",PERIPHERAL!$K$3:$K$954,""),"Utilities",_xlfn.XLOOKUP($K668&amp;"",UTILITIES!$B$3:$B$953&amp;"",UTILITIES!$J$3:$J$953,""),"IOT",_xlfn.XLOOKUP($K668&amp;"",IOT!$B$3:$B$1012&amp;"",IOT!$K$4:$K$1012,""),"Server",_xlfn.XLOOKUP($K668&amp;"",SERVER!$B$3:$B$1009&amp;"",SERVER!$K$3:$K$1009,""),""))))</f>
        <v/>
      </c>
      <c r="O668" s="1" t="str" cm="1">
        <f t="array" ref="O668">IF(OR($K668="",$I668="",$J668=""),"",_xlfn.LET(_xlpm.srcCat,_xlfn.SWITCH($I668,"Computer",_xlfn.XLOOKUP($K668&amp;"",COMPUTER!$B$3:$B$1009&amp;"",COMPUTER!$H$3:$H$1009,""),"Display",_xlfn.XLOOKUP($K668&amp;"",DISPLAY!$B$3:$B$1000&amp;"",DISPLAY!$H$3:$H$1000,""),"Network Device",_xlfn.XLOOKUP($K668&amp;"",'NETWORK-DEVICES'!$B$3:$B$987&amp;"",'NETWORK-DEVICES'!$H$3:$H$987,""),"Peripheral",_xlfn.XLOOKUP($K668&amp;"",PERIPHERAL!$B$3:$B$954&amp;"",PERIPHERAL!$H$3:$H$954,""),"Utilities",_xlfn.XLOOKUP($K668&amp;"",UTILITIES!$B$3:$B$953&amp;"",UTILITIES!$G$3:$G$953,""),"IOT",_xlfn.XLOOKUP($K668&amp;"",IOT!$B$3:$B$1012&amp;"",IOT!$H$3:$H$1012,""),"Server",_xlfn.XLOOKUP($K668&amp;"",SERVER!$B$3:$B$1009&amp;"",SERVER!$H$3:$H$1009,""),""),IF(TRIM(_xlpm.srcCat)&lt;&gt;TRIM($J668),"",_xlfn.SWITCH($I668,"Computer",_xlfn.XLOOKUP($K668&amp;"",COMPUTER!$B$3:$B$1009&amp;"",COMPUTER!$E$3:$E$1009,""),"Display",_xlfn.XLOOKUP($K668&amp;"",DISPLAY!$B$3:$B$1000&amp;"",DISPLAY!$E$3:$E$1000,""),"Network Device",_xlfn.XLOOKUP($K668&amp;"",'NETWORK-DEVICES'!$B$3:$B$987&amp;"",'NETWORK-DEVICES'!$E$3:$E$987,""),"Peripheral",_xlfn.XLOOKUP($K668&amp;"",PERIPHERAL!$B$3:$B$954&amp;"",PERIPHERAL!$E$3:$E$954,""),"Utilities",_xlfn.XLOOKUP($K668&amp;"",UTILITIES!$B$3:$B$953&amp;"",UTILITIES!$E$3:$E$953,""),"IOT",_xlfn.XLOOKUP($K668&amp;"",IOT!$B$3:$B$1012&amp;"",IOT!$E$3:$E$1012,""),"Server",_xlfn.XLOOKUP($K668&amp;"",SERVER!$B$3:$B$1009&amp;"",SERVER!$E$3:$E$1009,""),""))))</f>
        <v/>
      </c>
      <c r="Q668" s="1" t="str" cm="1">
        <f t="array" ref="Q668">IF(OR($K668="",$I668="",$J668=""),"",_xlfn.LET(_xlpm.srcCat,_xlfn.SWITCH($I668,"Computer",_xlfn.XLOOKUP($K668&amp;"",COMPUTER!$B$3:$B$1009&amp;"",COMPUTER!$H$3:$H$1009,""),"Display",_xlfn.XLOOKUP($K668&amp;"",DISPLAY!$B$3:$B$1000&amp;"",DISPLAY!$H$3:$H$1000,""),"Network Device",_xlfn.XLOOKUP($K668&amp;"",'NETWORK-DEVICES'!$B$3:$B$987&amp;"",'NETWORK-DEVICES'!$H$3:$H$987,""),"Peripheral",_xlfn.XLOOKUP($K668&amp;"",PERIPHERAL!$B$3:$B$954&amp;"",PERIPHERAL!$H$3:$H$954,""),"Utilities",_xlfn.XLOOKUP($K668&amp;"",UTILITIES!$B$3:$B$953&amp;"",UTILITIES!$G$3:$G$953,""),"IOT",_xlfn.XLOOKUP($K668&amp;"",IOT!$B$3:$B$1012&amp;"",IOT!$H$3:$H$1012,""),"Server",_xlfn.XLOOKUP($K668&amp;"",SERVER!$B$3:$B$1009&amp;"",SERVER!$H$3:$H$1009,""),""),IF(TRIM(_xlpm.srcCat)&lt;&gt;TRIM($J668),"",_xlfn.SWITCH($I668,"Computer",_xlfn.XLOOKUP($K668&amp;"",COMPUTER!$B$3:$B$1009&amp;"",COMPUTER!$AM$3:$AM$1009,""),"Display",_xlfn.XLOOKUP($K668&amp;"",DISPLAY!$B$3:$B$1000&amp;"",DISPLAY!$V$3:$V$1000,""),"Network Device",_xlfn.XLOOKUP($K668&amp;"",'NETWORK-DEVICES'!$B$3:$B$987&amp;"",'NETWORK-DEVICES'!$AF$3:$AF$987,""),"Peripheral",_xlfn.XLOOKUP($K668&amp;"",PERIPHERAL!$B$3:$B$954&amp;"",PERIPHERAL!$Y$3:$Y$954,""),"Utilities",_xlfn.XLOOKUP($K668&amp;"",UTILITIES!$B$3:$B$953&amp;"",UTILITIES!$O$3:$O$953,""),"IOT",_xlfn.XLOOKUP($K668&amp;"",IOT!$B$3:$B$1012&amp;"",IOT!$AB$3:$AB$1012,""),"Server",_xlfn.XLOOKUP($K668&amp;"",SERVER!$B$3:$B$1009&amp;"",SERVER!$AB$3:$AB$1009,""),""))))</f>
        <v/>
      </c>
      <c r="R668" s="43" t="str">
        <f>IF(tbl_handover[[#This Row],[Asset Code]]="","",COUNTIF(tbl_handover[Asset Code],tbl_handover[[#This Row],[Asset Code]]))</f>
        <v/>
      </c>
    </row>
    <row r="669" spans="1:18" x14ac:dyDescent="0.25">
      <c r="A669" s="43" t="str">
        <f>IF(B669&lt;&gt;"",SUBTOTAL(3,$B$1:B668),"")</f>
        <v/>
      </c>
      <c r="C669" s="74"/>
      <c r="D669" s="74"/>
      <c r="G669" s="1"/>
      <c r="K669" s="42"/>
      <c r="L669" t="str" cm="1">
        <f t="array" ref="L669">IF($K669="","",_xlfn.SWITCH($I669,"Computer",_xlfn.XLOOKUP($K669&amp;"",COMPUTER!$B$3:$B$1009&amp;"",COMPUTER!$I$3:$I$1009,""),"Display",_xlfn.XLOOKUP($K669&amp;"",DISPLAY!$B$3:$B$1000&amp;"",DISPLAY!$J$3:$J$1000,""),"Network Device",_xlfn.XLOOKUP($K669&amp;"",'NETWORK-DEVICES'!$B$3:$B$987&amp;"",'NETWORK-DEVICES'!$I$3:$I$987,""),"Peripheral",_xlfn.XLOOKUP($K669&amp;"",PERIPHERAL!$B$3:$B$954&amp;"",PERIPHERAL!$I$3:$I$954,""),"Utilities",_xlfn.XLOOKUP($K669&amp;"",UTILITIES!$B$3:$B$953&amp;"",UTILITIES!$H$3:$H$953,""),"IOT",_xlfn.XLOOKUP($K669&amp;"",IOT!$B$3:$B$1012&amp;"",IOT!$I$3:$I$1012,""),"SERVER",_xlfn.XLOOKUP($K669&amp;"",SERVER!$B$3:$B$1009&amp;"",SERVER!$I$3:$I$1009,""),""))</f>
        <v/>
      </c>
      <c r="M669" t="str" cm="1">
        <f t="array" ref="M669">IF($K669="","",_xlfn.SWITCH($I669,"Computer",_xlfn.XLOOKUP($K669&amp;"",COMPUTER!$B$3:$B$1009&amp;"",COMPUTER!$J$3:$J$1009,""),"Display",_xlfn.XLOOKUP($K669&amp;"",DISPLAY!$B$3:$B$1000&amp;"",DISPLAY!$K$3:$K$1000,""),"Network Device",_xlfn.XLOOKUP($K669&amp;"",'NETWORK-DEVICES'!$B$3:$B$987&amp;"",'NETWORK-DEVICES'!$I$3:$I$987,""),"Peripheral",_xlfn.XLOOKUP($K669&amp;"",PERIPHERAL!$B$3:$B$954&amp;"",PERIPHERAL!$J$3:$J$954,""),"Utilities",_xlfn.XLOOKUP($K669&amp;"",UTILITIES!$B$3:$B$953&amp;"",UTILITIES!$I$3:$I$953,""),"IOT",_xlfn.XLOOKUP($K669&amp;"",IOT!$B$3:$B$1012&amp;"",IOT!$J$3:$J$1012,""),"Server",_xlfn.XLOOKUP($K669&amp;"",SERVER!$B$3:$B$1009&amp;"",SERVER!$J$3:$J$1009,""),""))</f>
        <v/>
      </c>
      <c r="N669" s="1" t="str" cm="1">
        <f t="array" ref="N669">IF(OR($K669="",$I669="",$J669=""),"",_xlfn.LET(_xlpm.srcCat,_xlfn.SWITCH($I669,"Computer",_xlfn.XLOOKUP($K669&amp;"",COMPUTER!$B$3:$B$1009&amp;"",COMPUTER!$H$3:$H$1009,""),"Display",_xlfn.XLOOKUP($K669&amp;"",DISPLAY!$B$3:$B$1000&amp;"",DISPLAY!$H$3:$H$1000,""),"Network Device",_xlfn.XLOOKUP($K669&amp;"",'NETWORK-DEVICES'!$B$3:$B$987&amp;"",'NETWORK-DEVICES'!$H$3:$H$987,""),"Peripheral",_xlfn.XLOOKUP($K669&amp;"",PERIPHERAL!$B$3:$B$954&amp;"",PERIPHERAL!$H$3:$H$954,""),"Utilities",_xlfn.XLOOKUP($K669&amp;"",UTILITIES!$B$3:$B$953&amp;"",UTILITIES!$G$3:$G$953,""),"IOT",_xlfn.XLOOKUP($K669&amp;"",IOT!$B$3:$B$1012&amp;"",IOT!$H$3:$H$1012,""),"Server",_xlfn.XLOOKUP($K669&amp;"",SERVER!$B$3:$B$1009&amp;"",SERVER!$H$3:$H$1009,""),""),IF(TRIM(_xlpm.srcCat)&lt;&gt;TRIM($J669),"",_xlfn.SWITCH($I669,"Computer",_xlfn.XLOOKUP($K669&amp;"",COMPUTER!$B$3:$B$1009&amp;"",COMPUTER!$K$3:$K$1009,""),"Display",_xlfn.XLOOKUP($K669&amp;"",DISPLAY!$B$3:$B$1000&amp;"",DISPLAY!$L$3:$L$1000,""),"Network Device",_xlfn.XLOOKUP($K669&amp;"",'NETWORK-DEVICES'!$B$3:$B$987&amp;"",'NETWORK-DEVICES'!$K$3:$K$987,""),"Peripheral",_xlfn.XLOOKUP($K669&amp;"",PERIPHERAL!$B$3:$B$954&amp;"",PERIPHERAL!$K$3:$K$954,""),"Utilities",_xlfn.XLOOKUP($K669&amp;"",UTILITIES!$B$3:$B$953&amp;"",UTILITIES!$J$3:$J$953,""),"IOT",_xlfn.XLOOKUP($K669&amp;"",IOT!$B$3:$B$1012&amp;"",IOT!$K$4:$K$1012,""),"Server",_xlfn.XLOOKUP($K669&amp;"",SERVER!$B$3:$B$1009&amp;"",SERVER!$K$3:$K$1009,""),""))))</f>
        <v/>
      </c>
      <c r="O669" s="1" t="str" cm="1">
        <f t="array" ref="O669">IF(OR($K669="",$I669="",$J669=""),"",_xlfn.LET(_xlpm.srcCat,_xlfn.SWITCH($I669,"Computer",_xlfn.XLOOKUP($K669&amp;"",COMPUTER!$B$3:$B$1009&amp;"",COMPUTER!$H$3:$H$1009,""),"Display",_xlfn.XLOOKUP($K669&amp;"",DISPLAY!$B$3:$B$1000&amp;"",DISPLAY!$H$3:$H$1000,""),"Network Device",_xlfn.XLOOKUP($K669&amp;"",'NETWORK-DEVICES'!$B$3:$B$987&amp;"",'NETWORK-DEVICES'!$H$3:$H$987,""),"Peripheral",_xlfn.XLOOKUP($K669&amp;"",PERIPHERAL!$B$3:$B$954&amp;"",PERIPHERAL!$H$3:$H$954,""),"Utilities",_xlfn.XLOOKUP($K669&amp;"",UTILITIES!$B$3:$B$953&amp;"",UTILITIES!$G$3:$G$953,""),"IOT",_xlfn.XLOOKUP($K669&amp;"",IOT!$B$3:$B$1012&amp;"",IOT!$H$3:$H$1012,""),"Server",_xlfn.XLOOKUP($K669&amp;"",SERVER!$B$3:$B$1009&amp;"",SERVER!$H$3:$H$1009,""),""),IF(TRIM(_xlpm.srcCat)&lt;&gt;TRIM($J669),"",_xlfn.SWITCH($I669,"Computer",_xlfn.XLOOKUP($K669&amp;"",COMPUTER!$B$3:$B$1009&amp;"",COMPUTER!$E$3:$E$1009,""),"Display",_xlfn.XLOOKUP($K669&amp;"",DISPLAY!$B$3:$B$1000&amp;"",DISPLAY!$E$3:$E$1000,""),"Network Device",_xlfn.XLOOKUP($K669&amp;"",'NETWORK-DEVICES'!$B$3:$B$987&amp;"",'NETWORK-DEVICES'!$E$3:$E$987,""),"Peripheral",_xlfn.XLOOKUP($K669&amp;"",PERIPHERAL!$B$3:$B$954&amp;"",PERIPHERAL!$E$3:$E$954,""),"Utilities",_xlfn.XLOOKUP($K669&amp;"",UTILITIES!$B$3:$B$953&amp;"",UTILITIES!$E$3:$E$953,""),"IOT",_xlfn.XLOOKUP($K669&amp;"",IOT!$B$3:$B$1012&amp;"",IOT!$E$3:$E$1012,""),"Server",_xlfn.XLOOKUP($K669&amp;"",SERVER!$B$3:$B$1009&amp;"",SERVER!$E$3:$E$1009,""),""))))</f>
        <v/>
      </c>
      <c r="Q669" s="1" t="str" cm="1">
        <f t="array" ref="Q669">IF(OR($K669="",$I669="",$J669=""),"",_xlfn.LET(_xlpm.srcCat,_xlfn.SWITCH($I669,"Computer",_xlfn.XLOOKUP($K669&amp;"",COMPUTER!$B$3:$B$1009&amp;"",COMPUTER!$H$3:$H$1009,""),"Display",_xlfn.XLOOKUP($K669&amp;"",DISPLAY!$B$3:$B$1000&amp;"",DISPLAY!$H$3:$H$1000,""),"Network Device",_xlfn.XLOOKUP($K669&amp;"",'NETWORK-DEVICES'!$B$3:$B$987&amp;"",'NETWORK-DEVICES'!$H$3:$H$987,""),"Peripheral",_xlfn.XLOOKUP($K669&amp;"",PERIPHERAL!$B$3:$B$954&amp;"",PERIPHERAL!$H$3:$H$954,""),"Utilities",_xlfn.XLOOKUP($K669&amp;"",UTILITIES!$B$3:$B$953&amp;"",UTILITIES!$G$3:$G$953,""),"IOT",_xlfn.XLOOKUP($K669&amp;"",IOT!$B$3:$B$1012&amp;"",IOT!$H$3:$H$1012,""),"Server",_xlfn.XLOOKUP($K669&amp;"",SERVER!$B$3:$B$1009&amp;"",SERVER!$H$3:$H$1009,""),""),IF(TRIM(_xlpm.srcCat)&lt;&gt;TRIM($J669),"",_xlfn.SWITCH($I669,"Computer",_xlfn.XLOOKUP($K669&amp;"",COMPUTER!$B$3:$B$1009&amp;"",COMPUTER!$AM$3:$AM$1009,""),"Display",_xlfn.XLOOKUP($K669&amp;"",DISPLAY!$B$3:$B$1000&amp;"",DISPLAY!$V$3:$V$1000,""),"Network Device",_xlfn.XLOOKUP($K669&amp;"",'NETWORK-DEVICES'!$B$3:$B$987&amp;"",'NETWORK-DEVICES'!$AF$3:$AF$987,""),"Peripheral",_xlfn.XLOOKUP($K669&amp;"",PERIPHERAL!$B$3:$B$954&amp;"",PERIPHERAL!$Y$3:$Y$954,""),"Utilities",_xlfn.XLOOKUP($K669&amp;"",UTILITIES!$B$3:$B$953&amp;"",UTILITIES!$O$3:$O$953,""),"IOT",_xlfn.XLOOKUP($K669&amp;"",IOT!$B$3:$B$1012&amp;"",IOT!$AB$3:$AB$1012,""),"Server",_xlfn.XLOOKUP($K669&amp;"",SERVER!$B$3:$B$1009&amp;"",SERVER!$AB$3:$AB$1009,""),""))))</f>
        <v/>
      </c>
      <c r="R669" s="43" t="str">
        <f>IF(tbl_handover[[#This Row],[Asset Code]]="","",COUNTIF(tbl_handover[Asset Code],tbl_handover[[#This Row],[Asset Code]]))</f>
        <v/>
      </c>
    </row>
    <row r="670" spans="1:18" x14ac:dyDescent="0.25">
      <c r="A670" s="43" t="str">
        <f>IF(B670&lt;&gt;"",SUBTOTAL(3,$B$1:B669),"")</f>
        <v/>
      </c>
      <c r="C670" s="74"/>
      <c r="D670" s="74"/>
      <c r="G670" s="1"/>
      <c r="K670" s="42"/>
      <c r="L670" t="str" cm="1">
        <f t="array" ref="L670">IF($K670="","",_xlfn.SWITCH($I670,"Computer",_xlfn.XLOOKUP($K670&amp;"",COMPUTER!$B$3:$B$1009&amp;"",COMPUTER!$I$3:$I$1009,""),"Display",_xlfn.XLOOKUP($K670&amp;"",DISPLAY!$B$3:$B$1000&amp;"",DISPLAY!$J$3:$J$1000,""),"Network Device",_xlfn.XLOOKUP($K670&amp;"",'NETWORK-DEVICES'!$B$3:$B$987&amp;"",'NETWORK-DEVICES'!$I$3:$I$987,""),"Peripheral",_xlfn.XLOOKUP($K670&amp;"",PERIPHERAL!$B$3:$B$954&amp;"",PERIPHERAL!$I$3:$I$954,""),"Utilities",_xlfn.XLOOKUP($K670&amp;"",UTILITIES!$B$3:$B$953&amp;"",UTILITIES!$H$3:$H$953,""),"IOT",_xlfn.XLOOKUP($K670&amp;"",IOT!$B$3:$B$1012&amp;"",IOT!$I$3:$I$1012,""),"SERVER",_xlfn.XLOOKUP($K670&amp;"",SERVER!$B$3:$B$1009&amp;"",SERVER!$I$3:$I$1009,""),""))</f>
        <v/>
      </c>
      <c r="M670" t="str" cm="1">
        <f t="array" ref="M670">IF($K670="","",_xlfn.SWITCH($I670,"Computer",_xlfn.XLOOKUP($K670&amp;"",COMPUTER!$B$3:$B$1009&amp;"",COMPUTER!$J$3:$J$1009,""),"Display",_xlfn.XLOOKUP($K670&amp;"",DISPLAY!$B$3:$B$1000&amp;"",DISPLAY!$K$3:$K$1000,""),"Network Device",_xlfn.XLOOKUP($K670&amp;"",'NETWORK-DEVICES'!$B$3:$B$987&amp;"",'NETWORK-DEVICES'!$I$3:$I$987,""),"Peripheral",_xlfn.XLOOKUP($K670&amp;"",PERIPHERAL!$B$3:$B$954&amp;"",PERIPHERAL!$J$3:$J$954,""),"Utilities",_xlfn.XLOOKUP($K670&amp;"",UTILITIES!$B$3:$B$953&amp;"",UTILITIES!$I$3:$I$953,""),"IOT",_xlfn.XLOOKUP($K670&amp;"",IOT!$B$3:$B$1012&amp;"",IOT!$J$3:$J$1012,""),"Server",_xlfn.XLOOKUP($K670&amp;"",SERVER!$B$3:$B$1009&amp;"",SERVER!$J$3:$J$1009,""),""))</f>
        <v/>
      </c>
      <c r="N670" s="1" t="str" cm="1">
        <f t="array" ref="N670">IF(OR($K670="",$I670="",$J670=""),"",_xlfn.LET(_xlpm.srcCat,_xlfn.SWITCH($I670,"Computer",_xlfn.XLOOKUP($K670&amp;"",COMPUTER!$B$3:$B$1009&amp;"",COMPUTER!$H$3:$H$1009,""),"Display",_xlfn.XLOOKUP($K670&amp;"",DISPLAY!$B$3:$B$1000&amp;"",DISPLAY!$H$3:$H$1000,""),"Network Device",_xlfn.XLOOKUP($K670&amp;"",'NETWORK-DEVICES'!$B$3:$B$987&amp;"",'NETWORK-DEVICES'!$H$3:$H$987,""),"Peripheral",_xlfn.XLOOKUP($K670&amp;"",PERIPHERAL!$B$3:$B$954&amp;"",PERIPHERAL!$H$3:$H$954,""),"Utilities",_xlfn.XLOOKUP($K670&amp;"",UTILITIES!$B$3:$B$953&amp;"",UTILITIES!$G$3:$G$953,""),"IOT",_xlfn.XLOOKUP($K670&amp;"",IOT!$B$3:$B$1012&amp;"",IOT!$H$3:$H$1012,""),"Server",_xlfn.XLOOKUP($K670&amp;"",SERVER!$B$3:$B$1009&amp;"",SERVER!$H$3:$H$1009,""),""),IF(TRIM(_xlpm.srcCat)&lt;&gt;TRIM($J670),"",_xlfn.SWITCH($I670,"Computer",_xlfn.XLOOKUP($K670&amp;"",COMPUTER!$B$3:$B$1009&amp;"",COMPUTER!$K$3:$K$1009,""),"Display",_xlfn.XLOOKUP($K670&amp;"",DISPLAY!$B$3:$B$1000&amp;"",DISPLAY!$L$3:$L$1000,""),"Network Device",_xlfn.XLOOKUP($K670&amp;"",'NETWORK-DEVICES'!$B$3:$B$987&amp;"",'NETWORK-DEVICES'!$K$3:$K$987,""),"Peripheral",_xlfn.XLOOKUP($K670&amp;"",PERIPHERAL!$B$3:$B$954&amp;"",PERIPHERAL!$K$3:$K$954,""),"Utilities",_xlfn.XLOOKUP($K670&amp;"",UTILITIES!$B$3:$B$953&amp;"",UTILITIES!$J$3:$J$953,""),"IOT",_xlfn.XLOOKUP($K670&amp;"",IOT!$B$3:$B$1012&amp;"",IOT!$K$4:$K$1012,""),"Server",_xlfn.XLOOKUP($K670&amp;"",SERVER!$B$3:$B$1009&amp;"",SERVER!$K$3:$K$1009,""),""))))</f>
        <v/>
      </c>
      <c r="O670" s="1" t="str" cm="1">
        <f t="array" ref="O670">IF(OR($K670="",$I670="",$J670=""),"",_xlfn.LET(_xlpm.srcCat,_xlfn.SWITCH($I670,"Computer",_xlfn.XLOOKUP($K670&amp;"",COMPUTER!$B$3:$B$1009&amp;"",COMPUTER!$H$3:$H$1009,""),"Display",_xlfn.XLOOKUP($K670&amp;"",DISPLAY!$B$3:$B$1000&amp;"",DISPLAY!$H$3:$H$1000,""),"Network Device",_xlfn.XLOOKUP($K670&amp;"",'NETWORK-DEVICES'!$B$3:$B$987&amp;"",'NETWORK-DEVICES'!$H$3:$H$987,""),"Peripheral",_xlfn.XLOOKUP($K670&amp;"",PERIPHERAL!$B$3:$B$954&amp;"",PERIPHERAL!$H$3:$H$954,""),"Utilities",_xlfn.XLOOKUP($K670&amp;"",UTILITIES!$B$3:$B$953&amp;"",UTILITIES!$G$3:$G$953,""),"IOT",_xlfn.XLOOKUP($K670&amp;"",IOT!$B$3:$B$1012&amp;"",IOT!$H$3:$H$1012,""),"Server",_xlfn.XLOOKUP($K670&amp;"",SERVER!$B$3:$B$1009&amp;"",SERVER!$H$3:$H$1009,""),""),IF(TRIM(_xlpm.srcCat)&lt;&gt;TRIM($J670),"",_xlfn.SWITCH($I670,"Computer",_xlfn.XLOOKUP($K670&amp;"",COMPUTER!$B$3:$B$1009&amp;"",COMPUTER!$E$3:$E$1009,""),"Display",_xlfn.XLOOKUP($K670&amp;"",DISPLAY!$B$3:$B$1000&amp;"",DISPLAY!$E$3:$E$1000,""),"Network Device",_xlfn.XLOOKUP($K670&amp;"",'NETWORK-DEVICES'!$B$3:$B$987&amp;"",'NETWORK-DEVICES'!$E$3:$E$987,""),"Peripheral",_xlfn.XLOOKUP($K670&amp;"",PERIPHERAL!$B$3:$B$954&amp;"",PERIPHERAL!$E$3:$E$954,""),"Utilities",_xlfn.XLOOKUP($K670&amp;"",UTILITIES!$B$3:$B$953&amp;"",UTILITIES!$E$3:$E$953,""),"IOT",_xlfn.XLOOKUP($K670&amp;"",IOT!$B$3:$B$1012&amp;"",IOT!$E$3:$E$1012,""),"Server",_xlfn.XLOOKUP($K670&amp;"",SERVER!$B$3:$B$1009&amp;"",SERVER!$E$3:$E$1009,""),""))))</f>
        <v/>
      </c>
      <c r="Q670" s="1" t="str" cm="1">
        <f t="array" ref="Q670">IF(OR($K670="",$I670="",$J670=""),"",_xlfn.LET(_xlpm.srcCat,_xlfn.SWITCH($I670,"Computer",_xlfn.XLOOKUP($K670&amp;"",COMPUTER!$B$3:$B$1009&amp;"",COMPUTER!$H$3:$H$1009,""),"Display",_xlfn.XLOOKUP($K670&amp;"",DISPLAY!$B$3:$B$1000&amp;"",DISPLAY!$H$3:$H$1000,""),"Network Device",_xlfn.XLOOKUP($K670&amp;"",'NETWORK-DEVICES'!$B$3:$B$987&amp;"",'NETWORK-DEVICES'!$H$3:$H$987,""),"Peripheral",_xlfn.XLOOKUP($K670&amp;"",PERIPHERAL!$B$3:$B$954&amp;"",PERIPHERAL!$H$3:$H$954,""),"Utilities",_xlfn.XLOOKUP($K670&amp;"",UTILITIES!$B$3:$B$953&amp;"",UTILITIES!$G$3:$G$953,""),"IOT",_xlfn.XLOOKUP($K670&amp;"",IOT!$B$3:$B$1012&amp;"",IOT!$H$3:$H$1012,""),"Server",_xlfn.XLOOKUP($K670&amp;"",SERVER!$B$3:$B$1009&amp;"",SERVER!$H$3:$H$1009,""),""),IF(TRIM(_xlpm.srcCat)&lt;&gt;TRIM($J670),"",_xlfn.SWITCH($I670,"Computer",_xlfn.XLOOKUP($K670&amp;"",COMPUTER!$B$3:$B$1009&amp;"",COMPUTER!$AM$3:$AM$1009,""),"Display",_xlfn.XLOOKUP($K670&amp;"",DISPLAY!$B$3:$B$1000&amp;"",DISPLAY!$V$3:$V$1000,""),"Network Device",_xlfn.XLOOKUP($K670&amp;"",'NETWORK-DEVICES'!$B$3:$B$987&amp;"",'NETWORK-DEVICES'!$AF$3:$AF$987,""),"Peripheral",_xlfn.XLOOKUP($K670&amp;"",PERIPHERAL!$B$3:$B$954&amp;"",PERIPHERAL!$Y$3:$Y$954,""),"Utilities",_xlfn.XLOOKUP($K670&amp;"",UTILITIES!$B$3:$B$953&amp;"",UTILITIES!$O$3:$O$953,""),"IOT",_xlfn.XLOOKUP($K670&amp;"",IOT!$B$3:$B$1012&amp;"",IOT!$AB$3:$AB$1012,""),"Server",_xlfn.XLOOKUP($K670&amp;"",SERVER!$B$3:$B$1009&amp;"",SERVER!$AB$3:$AB$1009,""),""))))</f>
        <v/>
      </c>
      <c r="R670" s="43" t="str">
        <f>IF(tbl_handover[[#This Row],[Asset Code]]="","",COUNTIF(tbl_handover[Asset Code],tbl_handover[[#This Row],[Asset Code]]))</f>
        <v/>
      </c>
    </row>
    <row r="671" spans="1:18" x14ac:dyDescent="0.25">
      <c r="A671" s="43" t="str">
        <f>IF(B671&lt;&gt;"",SUBTOTAL(3,$B$1:B670),"")</f>
        <v/>
      </c>
      <c r="C671" s="74"/>
      <c r="D671" s="74"/>
      <c r="G671" s="1"/>
      <c r="K671" s="42"/>
      <c r="L671" t="str" cm="1">
        <f t="array" ref="L671">IF($K671="","",_xlfn.SWITCH($I671,"Computer",_xlfn.XLOOKUP($K671&amp;"",COMPUTER!$B$3:$B$1009&amp;"",COMPUTER!$I$3:$I$1009,""),"Display",_xlfn.XLOOKUP($K671&amp;"",DISPLAY!$B$3:$B$1000&amp;"",DISPLAY!$J$3:$J$1000,""),"Network Device",_xlfn.XLOOKUP($K671&amp;"",'NETWORK-DEVICES'!$B$3:$B$987&amp;"",'NETWORK-DEVICES'!$I$3:$I$987,""),"Peripheral",_xlfn.XLOOKUP($K671&amp;"",PERIPHERAL!$B$3:$B$954&amp;"",PERIPHERAL!$I$3:$I$954,""),"Utilities",_xlfn.XLOOKUP($K671&amp;"",UTILITIES!$B$3:$B$953&amp;"",UTILITIES!$H$3:$H$953,""),"IOT",_xlfn.XLOOKUP($K671&amp;"",IOT!$B$3:$B$1012&amp;"",IOT!$I$3:$I$1012,""),"SERVER",_xlfn.XLOOKUP($K671&amp;"",SERVER!$B$3:$B$1009&amp;"",SERVER!$I$3:$I$1009,""),""))</f>
        <v/>
      </c>
      <c r="M671" t="str" cm="1">
        <f t="array" ref="M671">IF($K671="","",_xlfn.SWITCH($I671,"Computer",_xlfn.XLOOKUP($K671&amp;"",COMPUTER!$B$3:$B$1009&amp;"",COMPUTER!$J$3:$J$1009,""),"Display",_xlfn.XLOOKUP($K671&amp;"",DISPLAY!$B$3:$B$1000&amp;"",DISPLAY!$K$3:$K$1000,""),"Network Device",_xlfn.XLOOKUP($K671&amp;"",'NETWORK-DEVICES'!$B$3:$B$987&amp;"",'NETWORK-DEVICES'!$I$3:$I$987,""),"Peripheral",_xlfn.XLOOKUP($K671&amp;"",PERIPHERAL!$B$3:$B$954&amp;"",PERIPHERAL!$J$3:$J$954,""),"Utilities",_xlfn.XLOOKUP($K671&amp;"",UTILITIES!$B$3:$B$953&amp;"",UTILITIES!$I$3:$I$953,""),"IOT",_xlfn.XLOOKUP($K671&amp;"",IOT!$B$3:$B$1012&amp;"",IOT!$J$3:$J$1012,""),"Server",_xlfn.XLOOKUP($K671&amp;"",SERVER!$B$3:$B$1009&amp;"",SERVER!$J$3:$J$1009,""),""))</f>
        <v/>
      </c>
      <c r="N671" s="1" t="str" cm="1">
        <f t="array" ref="N671">IF(OR($K671="",$I671="",$J671=""),"",_xlfn.LET(_xlpm.srcCat,_xlfn.SWITCH($I671,"Computer",_xlfn.XLOOKUP($K671&amp;"",COMPUTER!$B$3:$B$1009&amp;"",COMPUTER!$H$3:$H$1009,""),"Display",_xlfn.XLOOKUP($K671&amp;"",DISPLAY!$B$3:$B$1000&amp;"",DISPLAY!$H$3:$H$1000,""),"Network Device",_xlfn.XLOOKUP($K671&amp;"",'NETWORK-DEVICES'!$B$3:$B$987&amp;"",'NETWORK-DEVICES'!$H$3:$H$987,""),"Peripheral",_xlfn.XLOOKUP($K671&amp;"",PERIPHERAL!$B$3:$B$954&amp;"",PERIPHERAL!$H$3:$H$954,""),"Utilities",_xlfn.XLOOKUP($K671&amp;"",UTILITIES!$B$3:$B$953&amp;"",UTILITIES!$G$3:$G$953,""),"IOT",_xlfn.XLOOKUP($K671&amp;"",IOT!$B$3:$B$1012&amp;"",IOT!$H$3:$H$1012,""),"Server",_xlfn.XLOOKUP($K671&amp;"",SERVER!$B$3:$B$1009&amp;"",SERVER!$H$3:$H$1009,""),""),IF(TRIM(_xlpm.srcCat)&lt;&gt;TRIM($J671),"",_xlfn.SWITCH($I671,"Computer",_xlfn.XLOOKUP($K671&amp;"",COMPUTER!$B$3:$B$1009&amp;"",COMPUTER!$K$3:$K$1009,""),"Display",_xlfn.XLOOKUP($K671&amp;"",DISPLAY!$B$3:$B$1000&amp;"",DISPLAY!$L$3:$L$1000,""),"Network Device",_xlfn.XLOOKUP($K671&amp;"",'NETWORK-DEVICES'!$B$3:$B$987&amp;"",'NETWORK-DEVICES'!$K$3:$K$987,""),"Peripheral",_xlfn.XLOOKUP($K671&amp;"",PERIPHERAL!$B$3:$B$954&amp;"",PERIPHERAL!$K$3:$K$954,""),"Utilities",_xlfn.XLOOKUP($K671&amp;"",UTILITIES!$B$3:$B$953&amp;"",UTILITIES!$J$3:$J$953,""),"IOT",_xlfn.XLOOKUP($K671&amp;"",IOT!$B$3:$B$1012&amp;"",IOT!$K$4:$K$1012,""),"Server",_xlfn.XLOOKUP($K671&amp;"",SERVER!$B$3:$B$1009&amp;"",SERVER!$K$3:$K$1009,""),""))))</f>
        <v/>
      </c>
      <c r="O671" s="1" t="str" cm="1">
        <f t="array" ref="O671">IF(OR($K671="",$I671="",$J671=""),"",_xlfn.LET(_xlpm.srcCat,_xlfn.SWITCH($I671,"Computer",_xlfn.XLOOKUP($K671&amp;"",COMPUTER!$B$3:$B$1009&amp;"",COMPUTER!$H$3:$H$1009,""),"Display",_xlfn.XLOOKUP($K671&amp;"",DISPLAY!$B$3:$B$1000&amp;"",DISPLAY!$H$3:$H$1000,""),"Network Device",_xlfn.XLOOKUP($K671&amp;"",'NETWORK-DEVICES'!$B$3:$B$987&amp;"",'NETWORK-DEVICES'!$H$3:$H$987,""),"Peripheral",_xlfn.XLOOKUP($K671&amp;"",PERIPHERAL!$B$3:$B$954&amp;"",PERIPHERAL!$H$3:$H$954,""),"Utilities",_xlfn.XLOOKUP($K671&amp;"",UTILITIES!$B$3:$B$953&amp;"",UTILITIES!$G$3:$G$953,""),"IOT",_xlfn.XLOOKUP($K671&amp;"",IOT!$B$3:$B$1012&amp;"",IOT!$H$3:$H$1012,""),"Server",_xlfn.XLOOKUP($K671&amp;"",SERVER!$B$3:$B$1009&amp;"",SERVER!$H$3:$H$1009,""),""),IF(TRIM(_xlpm.srcCat)&lt;&gt;TRIM($J671),"",_xlfn.SWITCH($I671,"Computer",_xlfn.XLOOKUP($K671&amp;"",COMPUTER!$B$3:$B$1009&amp;"",COMPUTER!$E$3:$E$1009,""),"Display",_xlfn.XLOOKUP($K671&amp;"",DISPLAY!$B$3:$B$1000&amp;"",DISPLAY!$E$3:$E$1000,""),"Network Device",_xlfn.XLOOKUP($K671&amp;"",'NETWORK-DEVICES'!$B$3:$B$987&amp;"",'NETWORK-DEVICES'!$E$3:$E$987,""),"Peripheral",_xlfn.XLOOKUP($K671&amp;"",PERIPHERAL!$B$3:$B$954&amp;"",PERIPHERAL!$E$3:$E$954,""),"Utilities",_xlfn.XLOOKUP($K671&amp;"",UTILITIES!$B$3:$B$953&amp;"",UTILITIES!$E$3:$E$953,""),"IOT",_xlfn.XLOOKUP($K671&amp;"",IOT!$B$3:$B$1012&amp;"",IOT!$E$3:$E$1012,""),"Server",_xlfn.XLOOKUP($K671&amp;"",SERVER!$B$3:$B$1009&amp;"",SERVER!$E$3:$E$1009,""),""))))</f>
        <v/>
      </c>
      <c r="Q671" s="1" t="str" cm="1">
        <f t="array" ref="Q671">IF(OR($K671="",$I671="",$J671=""),"",_xlfn.LET(_xlpm.srcCat,_xlfn.SWITCH($I671,"Computer",_xlfn.XLOOKUP($K671&amp;"",COMPUTER!$B$3:$B$1009&amp;"",COMPUTER!$H$3:$H$1009,""),"Display",_xlfn.XLOOKUP($K671&amp;"",DISPLAY!$B$3:$B$1000&amp;"",DISPLAY!$H$3:$H$1000,""),"Network Device",_xlfn.XLOOKUP($K671&amp;"",'NETWORK-DEVICES'!$B$3:$B$987&amp;"",'NETWORK-DEVICES'!$H$3:$H$987,""),"Peripheral",_xlfn.XLOOKUP($K671&amp;"",PERIPHERAL!$B$3:$B$954&amp;"",PERIPHERAL!$H$3:$H$954,""),"Utilities",_xlfn.XLOOKUP($K671&amp;"",UTILITIES!$B$3:$B$953&amp;"",UTILITIES!$G$3:$G$953,""),"IOT",_xlfn.XLOOKUP($K671&amp;"",IOT!$B$3:$B$1012&amp;"",IOT!$H$3:$H$1012,""),"Server",_xlfn.XLOOKUP($K671&amp;"",SERVER!$B$3:$B$1009&amp;"",SERVER!$H$3:$H$1009,""),""),IF(TRIM(_xlpm.srcCat)&lt;&gt;TRIM($J671),"",_xlfn.SWITCH($I671,"Computer",_xlfn.XLOOKUP($K671&amp;"",COMPUTER!$B$3:$B$1009&amp;"",COMPUTER!$AM$3:$AM$1009,""),"Display",_xlfn.XLOOKUP($K671&amp;"",DISPLAY!$B$3:$B$1000&amp;"",DISPLAY!$V$3:$V$1000,""),"Network Device",_xlfn.XLOOKUP($K671&amp;"",'NETWORK-DEVICES'!$B$3:$B$987&amp;"",'NETWORK-DEVICES'!$AF$3:$AF$987,""),"Peripheral",_xlfn.XLOOKUP($K671&amp;"",PERIPHERAL!$B$3:$B$954&amp;"",PERIPHERAL!$Y$3:$Y$954,""),"Utilities",_xlfn.XLOOKUP($K671&amp;"",UTILITIES!$B$3:$B$953&amp;"",UTILITIES!$O$3:$O$953,""),"IOT",_xlfn.XLOOKUP($K671&amp;"",IOT!$B$3:$B$1012&amp;"",IOT!$AB$3:$AB$1012,""),"Server",_xlfn.XLOOKUP($K671&amp;"",SERVER!$B$3:$B$1009&amp;"",SERVER!$AB$3:$AB$1009,""),""))))</f>
        <v/>
      </c>
      <c r="R671" s="43" t="str">
        <f>IF(tbl_handover[[#This Row],[Asset Code]]="","",COUNTIF(tbl_handover[Asset Code],tbl_handover[[#This Row],[Asset Code]]))</f>
        <v/>
      </c>
    </row>
    <row r="672" spans="1:18" x14ac:dyDescent="0.25">
      <c r="A672" s="43" t="str">
        <f>IF(B672&lt;&gt;"",SUBTOTAL(3,$B$1:B671),"")</f>
        <v/>
      </c>
      <c r="C672" s="74"/>
      <c r="D672" s="74"/>
      <c r="G672" s="1"/>
      <c r="K672" s="42"/>
      <c r="L672" t="str" cm="1">
        <f t="array" ref="L672">IF($K672="","",_xlfn.SWITCH($I672,"Computer",_xlfn.XLOOKUP($K672&amp;"",COMPUTER!$B$3:$B$1009&amp;"",COMPUTER!$I$3:$I$1009,""),"Display",_xlfn.XLOOKUP($K672&amp;"",DISPLAY!$B$3:$B$1000&amp;"",DISPLAY!$J$3:$J$1000,""),"Network Device",_xlfn.XLOOKUP($K672&amp;"",'NETWORK-DEVICES'!$B$3:$B$987&amp;"",'NETWORK-DEVICES'!$I$3:$I$987,""),"Peripheral",_xlfn.XLOOKUP($K672&amp;"",PERIPHERAL!$B$3:$B$954&amp;"",PERIPHERAL!$I$3:$I$954,""),"Utilities",_xlfn.XLOOKUP($K672&amp;"",UTILITIES!$B$3:$B$953&amp;"",UTILITIES!$H$3:$H$953,""),"IOT",_xlfn.XLOOKUP($K672&amp;"",IOT!$B$3:$B$1012&amp;"",IOT!$I$3:$I$1012,""),"SERVER",_xlfn.XLOOKUP($K672&amp;"",SERVER!$B$3:$B$1009&amp;"",SERVER!$I$3:$I$1009,""),""))</f>
        <v/>
      </c>
      <c r="M672" t="str" cm="1">
        <f t="array" ref="M672">IF($K672="","",_xlfn.SWITCH($I672,"Computer",_xlfn.XLOOKUP($K672&amp;"",COMPUTER!$B$3:$B$1009&amp;"",COMPUTER!$J$3:$J$1009,""),"Display",_xlfn.XLOOKUP($K672&amp;"",DISPLAY!$B$3:$B$1000&amp;"",DISPLAY!$K$3:$K$1000,""),"Network Device",_xlfn.XLOOKUP($K672&amp;"",'NETWORK-DEVICES'!$B$3:$B$987&amp;"",'NETWORK-DEVICES'!$I$3:$I$987,""),"Peripheral",_xlfn.XLOOKUP($K672&amp;"",PERIPHERAL!$B$3:$B$954&amp;"",PERIPHERAL!$J$3:$J$954,""),"Utilities",_xlfn.XLOOKUP($K672&amp;"",UTILITIES!$B$3:$B$953&amp;"",UTILITIES!$I$3:$I$953,""),"IOT",_xlfn.XLOOKUP($K672&amp;"",IOT!$B$3:$B$1012&amp;"",IOT!$J$3:$J$1012,""),"Server",_xlfn.XLOOKUP($K672&amp;"",SERVER!$B$3:$B$1009&amp;"",SERVER!$J$3:$J$1009,""),""))</f>
        <v/>
      </c>
      <c r="N672" s="1" t="str" cm="1">
        <f t="array" ref="N672">IF(OR($K672="",$I672="",$J672=""),"",_xlfn.LET(_xlpm.srcCat,_xlfn.SWITCH($I672,"Computer",_xlfn.XLOOKUP($K672&amp;"",COMPUTER!$B$3:$B$1009&amp;"",COMPUTER!$H$3:$H$1009,""),"Display",_xlfn.XLOOKUP($K672&amp;"",DISPLAY!$B$3:$B$1000&amp;"",DISPLAY!$H$3:$H$1000,""),"Network Device",_xlfn.XLOOKUP($K672&amp;"",'NETWORK-DEVICES'!$B$3:$B$987&amp;"",'NETWORK-DEVICES'!$H$3:$H$987,""),"Peripheral",_xlfn.XLOOKUP($K672&amp;"",PERIPHERAL!$B$3:$B$954&amp;"",PERIPHERAL!$H$3:$H$954,""),"Utilities",_xlfn.XLOOKUP($K672&amp;"",UTILITIES!$B$3:$B$953&amp;"",UTILITIES!$G$3:$G$953,""),"IOT",_xlfn.XLOOKUP($K672&amp;"",IOT!$B$3:$B$1012&amp;"",IOT!$H$3:$H$1012,""),"Server",_xlfn.XLOOKUP($K672&amp;"",SERVER!$B$3:$B$1009&amp;"",SERVER!$H$3:$H$1009,""),""),IF(TRIM(_xlpm.srcCat)&lt;&gt;TRIM($J672),"",_xlfn.SWITCH($I672,"Computer",_xlfn.XLOOKUP($K672&amp;"",COMPUTER!$B$3:$B$1009&amp;"",COMPUTER!$K$3:$K$1009,""),"Display",_xlfn.XLOOKUP($K672&amp;"",DISPLAY!$B$3:$B$1000&amp;"",DISPLAY!$L$3:$L$1000,""),"Network Device",_xlfn.XLOOKUP($K672&amp;"",'NETWORK-DEVICES'!$B$3:$B$987&amp;"",'NETWORK-DEVICES'!$K$3:$K$987,""),"Peripheral",_xlfn.XLOOKUP($K672&amp;"",PERIPHERAL!$B$3:$B$954&amp;"",PERIPHERAL!$K$3:$K$954,""),"Utilities",_xlfn.XLOOKUP($K672&amp;"",UTILITIES!$B$3:$B$953&amp;"",UTILITIES!$J$3:$J$953,""),"IOT",_xlfn.XLOOKUP($K672&amp;"",IOT!$B$3:$B$1012&amp;"",IOT!$K$4:$K$1012,""),"Server",_xlfn.XLOOKUP($K672&amp;"",SERVER!$B$3:$B$1009&amp;"",SERVER!$K$3:$K$1009,""),""))))</f>
        <v/>
      </c>
      <c r="O672" s="1" t="str" cm="1">
        <f t="array" ref="O672">IF(OR($K672="",$I672="",$J672=""),"",_xlfn.LET(_xlpm.srcCat,_xlfn.SWITCH($I672,"Computer",_xlfn.XLOOKUP($K672&amp;"",COMPUTER!$B$3:$B$1009&amp;"",COMPUTER!$H$3:$H$1009,""),"Display",_xlfn.XLOOKUP($K672&amp;"",DISPLAY!$B$3:$B$1000&amp;"",DISPLAY!$H$3:$H$1000,""),"Network Device",_xlfn.XLOOKUP($K672&amp;"",'NETWORK-DEVICES'!$B$3:$B$987&amp;"",'NETWORK-DEVICES'!$H$3:$H$987,""),"Peripheral",_xlfn.XLOOKUP($K672&amp;"",PERIPHERAL!$B$3:$B$954&amp;"",PERIPHERAL!$H$3:$H$954,""),"Utilities",_xlfn.XLOOKUP($K672&amp;"",UTILITIES!$B$3:$B$953&amp;"",UTILITIES!$G$3:$G$953,""),"IOT",_xlfn.XLOOKUP($K672&amp;"",IOT!$B$3:$B$1012&amp;"",IOT!$H$3:$H$1012,""),"Server",_xlfn.XLOOKUP($K672&amp;"",SERVER!$B$3:$B$1009&amp;"",SERVER!$H$3:$H$1009,""),""),IF(TRIM(_xlpm.srcCat)&lt;&gt;TRIM($J672),"",_xlfn.SWITCH($I672,"Computer",_xlfn.XLOOKUP($K672&amp;"",COMPUTER!$B$3:$B$1009&amp;"",COMPUTER!$E$3:$E$1009,""),"Display",_xlfn.XLOOKUP($K672&amp;"",DISPLAY!$B$3:$B$1000&amp;"",DISPLAY!$E$3:$E$1000,""),"Network Device",_xlfn.XLOOKUP($K672&amp;"",'NETWORK-DEVICES'!$B$3:$B$987&amp;"",'NETWORK-DEVICES'!$E$3:$E$987,""),"Peripheral",_xlfn.XLOOKUP($K672&amp;"",PERIPHERAL!$B$3:$B$954&amp;"",PERIPHERAL!$E$3:$E$954,""),"Utilities",_xlfn.XLOOKUP($K672&amp;"",UTILITIES!$B$3:$B$953&amp;"",UTILITIES!$E$3:$E$953,""),"IOT",_xlfn.XLOOKUP($K672&amp;"",IOT!$B$3:$B$1012&amp;"",IOT!$E$3:$E$1012,""),"Server",_xlfn.XLOOKUP($K672&amp;"",SERVER!$B$3:$B$1009&amp;"",SERVER!$E$3:$E$1009,""),""))))</f>
        <v/>
      </c>
      <c r="Q672" s="1" t="str" cm="1">
        <f t="array" ref="Q672">IF(OR($K672="",$I672="",$J672=""),"",_xlfn.LET(_xlpm.srcCat,_xlfn.SWITCH($I672,"Computer",_xlfn.XLOOKUP($K672&amp;"",COMPUTER!$B$3:$B$1009&amp;"",COMPUTER!$H$3:$H$1009,""),"Display",_xlfn.XLOOKUP($K672&amp;"",DISPLAY!$B$3:$B$1000&amp;"",DISPLAY!$H$3:$H$1000,""),"Network Device",_xlfn.XLOOKUP($K672&amp;"",'NETWORK-DEVICES'!$B$3:$B$987&amp;"",'NETWORK-DEVICES'!$H$3:$H$987,""),"Peripheral",_xlfn.XLOOKUP($K672&amp;"",PERIPHERAL!$B$3:$B$954&amp;"",PERIPHERAL!$H$3:$H$954,""),"Utilities",_xlfn.XLOOKUP($K672&amp;"",UTILITIES!$B$3:$B$953&amp;"",UTILITIES!$G$3:$G$953,""),"IOT",_xlfn.XLOOKUP($K672&amp;"",IOT!$B$3:$B$1012&amp;"",IOT!$H$3:$H$1012,""),"Server",_xlfn.XLOOKUP($K672&amp;"",SERVER!$B$3:$B$1009&amp;"",SERVER!$H$3:$H$1009,""),""),IF(TRIM(_xlpm.srcCat)&lt;&gt;TRIM($J672),"",_xlfn.SWITCH($I672,"Computer",_xlfn.XLOOKUP($K672&amp;"",COMPUTER!$B$3:$B$1009&amp;"",COMPUTER!$AM$3:$AM$1009,""),"Display",_xlfn.XLOOKUP($K672&amp;"",DISPLAY!$B$3:$B$1000&amp;"",DISPLAY!$V$3:$V$1000,""),"Network Device",_xlfn.XLOOKUP($K672&amp;"",'NETWORK-DEVICES'!$B$3:$B$987&amp;"",'NETWORK-DEVICES'!$AF$3:$AF$987,""),"Peripheral",_xlfn.XLOOKUP($K672&amp;"",PERIPHERAL!$B$3:$B$954&amp;"",PERIPHERAL!$Y$3:$Y$954,""),"Utilities",_xlfn.XLOOKUP($K672&amp;"",UTILITIES!$B$3:$B$953&amp;"",UTILITIES!$O$3:$O$953,""),"IOT",_xlfn.XLOOKUP($K672&amp;"",IOT!$B$3:$B$1012&amp;"",IOT!$AB$3:$AB$1012,""),"Server",_xlfn.XLOOKUP($K672&amp;"",SERVER!$B$3:$B$1009&amp;"",SERVER!$AB$3:$AB$1009,""),""))))</f>
        <v/>
      </c>
      <c r="R672" s="43" t="str">
        <f>IF(tbl_handover[[#This Row],[Asset Code]]="","",COUNTIF(tbl_handover[Asset Code],tbl_handover[[#This Row],[Asset Code]]))</f>
        <v/>
      </c>
    </row>
    <row r="673" spans="1:18" x14ac:dyDescent="0.25">
      <c r="A673" s="43" t="str">
        <f>IF(B673&lt;&gt;"",SUBTOTAL(3,$B$1:B672),"")</f>
        <v/>
      </c>
      <c r="C673" s="74"/>
      <c r="D673" s="74"/>
      <c r="G673" s="1"/>
      <c r="K673" s="42"/>
      <c r="L673" t="str" cm="1">
        <f t="array" ref="L673">IF($K673="","",_xlfn.SWITCH($I673,"Computer",_xlfn.XLOOKUP($K673&amp;"",COMPUTER!$B$3:$B$1009&amp;"",COMPUTER!$I$3:$I$1009,""),"Display",_xlfn.XLOOKUP($K673&amp;"",DISPLAY!$B$3:$B$1000&amp;"",DISPLAY!$J$3:$J$1000,""),"Network Device",_xlfn.XLOOKUP($K673&amp;"",'NETWORK-DEVICES'!$B$3:$B$987&amp;"",'NETWORK-DEVICES'!$I$3:$I$987,""),"Peripheral",_xlfn.XLOOKUP($K673&amp;"",PERIPHERAL!$B$3:$B$954&amp;"",PERIPHERAL!$I$3:$I$954,""),"Utilities",_xlfn.XLOOKUP($K673&amp;"",UTILITIES!$B$3:$B$953&amp;"",UTILITIES!$H$3:$H$953,""),"IOT",_xlfn.XLOOKUP($K673&amp;"",IOT!$B$3:$B$1012&amp;"",IOT!$I$3:$I$1012,""),"SERVER",_xlfn.XLOOKUP($K673&amp;"",SERVER!$B$3:$B$1009&amp;"",SERVER!$I$3:$I$1009,""),""))</f>
        <v/>
      </c>
      <c r="M673" t="str" cm="1">
        <f t="array" ref="M673">IF($K673="","",_xlfn.SWITCH($I673,"Computer",_xlfn.XLOOKUP($K673&amp;"",COMPUTER!$B$3:$B$1009&amp;"",COMPUTER!$J$3:$J$1009,""),"Display",_xlfn.XLOOKUP($K673&amp;"",DISPLAY!$B$3:$B$1000&amp;"",DISPLAY!$K$3:$K$1000,""),"Network Device",_xlfn.XLOOKUP($K673&amp;"",'NETWORK-DEVICES'!$B$3:$B$987&amp;"",'NETWORK-DEVICES'!$I$3:$I$987,""),"Peripheral",_xlfn.XLOOKUP($K673&amp;"",PERIPHERAL!$B$3:$B$954&amp;"",PERIPHERAL!$J$3:$J$954,""),"Utilities",_xlfn.XLOOKUP($K673&amp;"",UTILITIES!$B$3:$B$953&amp;"",UTILITIES!$I$3:$I$953,""),"IOT",_xlfn.XLOOKUP($K673&amp;"",IOT!$B$3:$B$1012&amp;"",IOT!$J$3:$J$1012,""),"Server",_xlfn.XLOOKUP($K673&amp;"",SERVER!$B$3:$B$1009&amp;"",SERVER!$J$3:$J$1009,""),""))</f>
        <v/>
      </c>
      <c r="N673" s="1" t="str" cm="1">
        <f t="array" ref="N673">IF(OR($K673="",$I673="",$J673=""),"",_xlfn.LET(_xlpm.srcCat,_xlfn.SWITCH($I673,"Computer",_xlfn.XLOOKUP($K673&amp;"",COMPUTER!$B$3:$B$1009&amp;"",COMPUTER!$H$3:$H$1009,""),"Display",_xlfn.XLOOKUP($K673&amp;"",DISPLAY!$B$3:$B$1000&amp;"",DISPLAY!$H$3:$H$1000,""),"Network Device",_xlfn.XLOOKUP($K673&amp;"",'NETWORK-DEVICES'!$B$3:$B$987&amp;"",'NETWORK-DEVICES'!$H$3:$H$987,""),"Peripheral",_xlfn.XLOOKUP($K673&amp;"",PERIPHERAL!$B$3:$B$954&amp;"",PERIPHERAL!$H$3:$H$954,""),"Utilities",_xlfn.XLOOKUP($K673&amp;"",UTILITIES!$B$3:$B$953&amp;"",UTILITIES!$G$3:$G$953,""),"IOT",_xlfn.XLOOKUP($K673&amp;"",IOT!$B$3:$B$1012&amp;"",IOT!$H$3:$H$1012,""),"Server",_xlfn.XLOOKUP($K673&amp;"",SERVER!$B$3:$B$1009&amp;"",SERVER!$H$3:$H$1009,""),""),IF(TRIM(_xlpm.srcCat)&lt;&gt;TRIM($J673),"",_xlfn.SWITCH($I673,"Computer",_xlfn.XLOOKUP($K673&amp;"",COMPUTER!$B$3:$B$1009&amp;"",COMPUTER!$K$3:$K$1009,""),"Display",_xlfn.XLOOKUP($K673&amp;"",DISPLAY!$B$3:$B$1000&amp;"",DISPLAY!$L$3:$L$1000,""),"Network Device",_xlfn.XLOOKUP($K673&amp;"",'NETWORK-DEVICES'!$B$3:$B$987&amp;"",'NETWORK-DEVICES'!$K$3:$K$987,""),"Peripheral",_xlfn.XLOOKUP($K673&amp;"",PERIPHERAL!$B$3:$B$954&amp;"",PERIPHERAL!$K$3:$K$954,""),"Utilities",_xlfn.XLOOKUP($K673&amp;"",UTILITIES!$B$3:$B$953&amp;"",UTILITIES!$J$3:$J$953,""),"IOT",_xlfn.XLOOKUP($K673&amp;"",IOT!$B$3:$B$1012&amp;"",IOT!$K$4:$K$1012,""),"Server",_xlfn.XLOOKUP($K673&amp;"",SERVER!$B$3:$B$1009&amp;"",SERVER!$K$3:$K$1009,""),""))))</f>
        <v/>
      </c>
      <c r="O673" s="1" t="str" cm="1">
        <f t="array" ref="O673">IF(OR($K673="",$I673="",$J673=""),"",_xlfn.LET(_xlpm.srcCat,_xlfn.SWITCH($I673,"Computer",_xlfn.XLOOKUP($K673&amp;"",COMPUTER!$B$3:$B$1009&amp;"",COMPUTER!$H$3:$H$1009,""),"Display",_xlfn.XLOOKUP($K673&amp;"",DISPLAY!$B$3:$B$1000&amp;"",DISPLAY!$H$3:$H$1000,""),"Network Device",_xlfn.XLOOKUP($K673&amp;"",'NETWORK-DEVICES'!$B$3:$B$987&amp;"",'NETWORK-DEVICES'!$H$3:$H$987,""),"Peripheral",_xlfn.XLOOKUP($K673&amp;"",PERIPHERAL!$B$3:$B$954&amp;"",PERIPHERAL!$H$3:$H$954,""),"Utilities",_xlfn.XLOOKUP($K673&amp;"",UTILITIES!$B$3:$B$953&amp;"",UTILITIES!$G$3:$G$953,""),"IOT",_xlfn.XLOOKUP($K673&amp;"",IOT!$B$3:$B$1012&amp;"",IOT!$H$3:$H$1012,""),"Server",_xlfn.XLOOKUP($K673&amp;"",SERVER!$B$3:$B$1009&amp;"",SERVER!$H$3:$H$1009,""),""),IF(TRIM(_xlpm.srcCat)&lt;&gt;TRIM($J673),"",_xlfn.SWITCH($I673,"Computer",_xlfn.XLOOKUP($K673&amp;"",COMPUTER!$B$3:$B$1009&amp;"",COMPUTER!$E$3:$E$1009,""),"Display",_xlfn.XLOOKUP($K673&amp;"",DISPLAY!$B$3:$B$1000&amp;"",DISPLAY!$E$3:$E$1000,""),"Network Device",_xlfn.XLOOKUP($K673&amp;"",'NETWORK-DEVICES'!$B$3:$B$987&amp;"",'NETWORK-DEVICES'!$E$3:$E$987,""),"Peripheral",_xlfn.XLOOKUP($K673&amp;"",PERIPHERAL!$B$3:$B$954&amp;"",PERIPHERAL!$E$3:$E$954,""),"Utilities",_xlfn.XLOOKUP($K673&amp;"",UTILITIES!$B$3:$B$953&amp;"",UTILITIES!$E$3:$E$953,""),"IOT",_xlfn.XLOOKUP($K673&amp;"",IOT!$B$3:$B$1012&amp;"",IOT!$E$3:$E$1012,""),"Server",_xlfn.XLOOKUP($K673&amp;"",SERVER!$B$3:$B$1009&amp;"",SERVER!$E$3:$E$1009,""),""))))</f>
        <v/>
      </c>
      <c r="Q673" s="1" t="str" cm="1">
        <f t="array" ref="Q673">IF(OR($K673="",$I673="",$J673=""),"",_xlfn.LET(_xlpm.srcCat,_xlfn.SWITCH($I673,"Computer",_xlfn.XLOOKUP($K673&amp;"",COMPUTER!$B$3:$B$1009&amp;"",COMPUTER!$H$3:$H$1009,""),"Display",_xlfn.XLOOKUP($K673&amp;"",DISPLAY!$B$3:$B$1000&amp;"",DISPLAY!$H$3:$H$1000,""),"Network Device",_xlfn.XLOOKUP($K673&amp;"",'NETWORK-DEVICES'!$B$3:$B$987&amp;"",'NETWORK-DEVICES'!$H$3:$H$987,""),"Peripheral",_xlfn.XLOOKUP($K673&amp;"",PERIPHERAL!$B$3:$B$954&amp;"",PERIPHERAL!$H$3:$H$954,""),"Utilities",_xlfn.XLOOKUP($K673&amp;"",UTILITIES!$B$3:$B$953&amp;"",UTILITIES!$G$3:$G$953,""),"IOT",_xlfn.XLOOKUP($K673&amp;"",IOT!$B$3:$B$1012&amp;"",IOT!$H$3:$H$1012,""),"Server",_xlfn.XLOOKUP($K673&amp;"",SERVER!$B$3:$B$1009&amp;"",SERVER!$H$3:$H$1009,""),""),IF(TRIM(_xlpm.srcCat)&lt;&gt;TRIM($J673),"",_xlfn.SWITCH($I673,"Computer",_xlfn.XLOOKUP($K673&amp;"",COMPUTER!$B$3:$B$1009&amp;"",COMPUTER!$AM$3:$AM$1009,""),"Display",_xlfn.XLOOKUP($K673&amp;"",DISPLAY!$B$3:$B$1000&amp;"",DISPLAY!$V$3:$V$1000,""),"Network Device",_xlfn.XLOOKUP($K673&amp;"",'NETWORK-DEVICES'!$B$3:$B$987&amp;"",'NETWORK-DEVICES'!$AF$3:$AF$987,""),"Peripheral",_xlfn.XLOOKUP($K673&amp;"",PERIPHERAL!$B$3:$B$954&amp;"",PERIPHERAL!$Y$3:$Y$954,""),"Utilities",_xlfn.XLOOKUP($K673&amp;"",UTILITIES!$B$3:$B$953&amp;"",UTILITIES!$O$3:$O$953,""),"IOT",_xlfn.XLOOKUP($K673&amp;"",IOT!$B$3:$B$1012&amp;"",IOT!$AB$3:$AB$1012,""),"Server",_xlfn.XLOOKUP($K673&amp;"",SERVER!$B$3:$B$1009&amp;"",SERVER!$AB$3:$AB$1009,""),""))))</f>
        <v/>
      </c>
      <c r="R673" s="43" t="str">
        <f>IF(tbl_handover[[#This Row],[Asset Code]]="","",COUNTIF(tbl_handover[Asset Code],tbl_handover[[#This Row],[Asset Code]]))</f>
        <v/>
      </c>
    </row>
    <row r="674" spans="1:18" x14ac:dyDescent="0.25">
      <c r="A674" s="43" t="str">
        <f>IF(B674&lt;&gt;"",SUBTOTAL(3,$B$1:B673),"")</f>
        <v/>
      </c>
      <c r="C674" s="74"/>
      <c r="D674" s="74"/>
      <c r="G674" s="1"/>
      <c r="K674" s="42"/>
      <c r="L674" t="str" cm="1">
        <f t="array" ref="L674">IF($K674="","",_xlfn.SWITCH($I674,"Computer",_xlfn.XLOOKUP($K674&amp;"",COMPUTER!$B$3:$B$1009&amp;"",COMPUTER!$I$3:$I$1009,""),"Display",_xlfn.XLOOKUP($K674&amp;"",DISPLAY!$B$3:$B$1000&amp;"",DISPLAY!$J$3:$J$1000,""),"Network Device",_xlfn.XLOOKUP($K674&amp;"",'NETWORK-DEVICES'!$B$3:$B$987&amp;"",'NETWORK-DEVICES'!$I$3:$I$987,""),"Peripheral",_xlfn.XLOOKUP($K674&amp;"",PERIPHERAL!$B$3:$B$954&amp;"",PERIPHERAL!$I$3:$I$954,""),"Utilities",_xlfn.XLOOKUP($K674&amp;"",UTILITIES!$B$3:$B$953&amp;"",UTILITIES!$H$3:$H$953,""),"IOT",_xlfn.XLOOKUP($K674&amp;"",IOT!$B$3:$B$1012&amp;"",IOT!$I$3:$I$1012,""),"SERVER",_xlfn.XLOOKUP($K674&amp;"",SERVER!$B$3:$B$1009&amp;"",SERVER!$I$3:$I$1009,""),""))</f>
        <v/>
      </c>
      <c r="M674" t="str" cm="1">
        <f t="array" ref="M674">IF($K674="","",_xlfn.SWITCH($I674,"Computer",_xlfn.XLOOKUP($K674&amp;"",COMPUTER!$B$3:$B$1009&amp;"",COMPUTER!$J$3:$J$1009,""),"Display",_xlfn.XLOOKUP($K674&amp;"",DISPLAY!$B$3:$B$1000&amp;"",DISPLAY!$K$3:$K$1000,""),"Network Device",_xlfn.XLOOKUP($K674&amp;"",'NETWORK-DEVICES'!$B$3:$B$987&amp;"",'NETWORK-DEVICES'!$I$3:$I$987,""),"Peripheral",_xlfn.XLOOKUP($K674&amp;"",PERIPHERAL!$B$3:$B$954&amp;"",PERIPHERAL!$J$3:$J$954,""),"Utilities",_xlfn.XLOOKUP($K674&amp;"",UTILITIES!$B$3:$B$953&amp;"",UTILITIES!$I$3:$I$953,""),"IOT",_xlfn.XLOOKUP($K674&amp;"",IOT!$B$3:$B$1012&amp;"",IOT!$J$3:$J$1012,""),"Server",_xlfn.XLOOKUP($K674&amp;"",SERVER!$B$3:$B$1009&amp;"",SERVER!$J$3:$J$1009,""),""))</f>
        <v/>
      </c>
      <c r="N674" s="1" t="str" cm="1">
        <f t="array" ref="N674">IF(OR($K674="",$I674="",$J674=""),"",_xlfn.LET(_xlpm.srcCat,_xlfn.SWITCH($I674,"Computer",_xlfn.XLOOKUP($K674&amp;"",COMPUTER!$B$3:$B$1009&amp;"",COMPUTER!$H$3:$H$1009,""),"Display",_xlfn.XLOOKUP($K674&amp;"",DISPLAY!$B$3:$B$1000&amp;"",DISPLAY!$H$3:$H$1000,""),"Network Device",_xlfn.XLOOKUP($K674&amp;"",'NETWORK-DEVICES'!$B$3:$B$987&amp;"",'NETWORK-DEVICES'!$H$3:$H$987,""),"Peripheral",_xlfn.XLOOKUP($K674&amp;"",PERIPHERAL!$B$3:$B$954&amp;"",PERIPHERAL!$H$3:$H$954,""),"Utilities",_xlfn.XLOOKUP($K674&amp;"",UTILITIES!$B$3:$B$953&amp;"",UTILITIES!$G$3:$G$953,""),"IOT",_xlfn.XLOOKUP($K674&amp;"",IOT!$B$3:$B$1012&amp;"",IOT!$H$3:$H$1012,""),"Server",_xlfn.XLOOKUP($K674&amp;"",SERVER!$B$3:$B$1009&amp;"",SERVER!$H$3:$H$1009,""),""),IF(TRIM(_xlpm.srcCat)&lt;&gt;TRIM($J674),"",_xlfn.SWITCH($I674,"Computer",_xlfn.XLOOKUP($K674&amp;"",COMPUTER!$B$3:$B$1009&amp;"",COMPUTER!$K$3:$K$1009,""),"Display",_xlfn.XLOOKUP($K674&amp;"",DISPLAY!$B$3:$B$1000&amp;"",DISPLAY!$L$3:$L$1000,""),"Network Device",_xlfn.XLOOKUP($K674&amp;"",'NETWORK-DEVICES'!$B$3:$B$987&amp;"",'NETWORK-DEVICES'!$K$3:$K$987,""),"Peripheral",_xlfn.XLOOKUP($K674&amp;"",PERIPHERAL!$B$3:$B$954&amp;"",PERIPHERAL!$K$3:$K$954,""),"Utilities",_xlfn.XLOOKUP($K674&amp;"",UTILITIES!$B$3:$B$953&amp;"",UTILITIES!$J$3:$J$953,""),"IOT",_xlfn.XLOOKUP($K674&amp;"",IOT!$B$3:$B$1012&amp;"",IOT!$K$4:$K$1012,""),"Server",_xlfn.XLOOKUP($K674&amp;"",SERVER!$B$3:$B$1009&amp;"",SERVER!$K$3:$K$1009,""),""))))</f>
        <v/>
      </c>
      <c r="O674" s="1" t="str" cm="1">
        <f t="array" ref="O674">IF(OR($K674="",$I674="",$J674=""),"",_xlfn.LET(_xlpm.srcCat,_xlfn.SWITCH($I674,"Computer",_xlfn.XLOOKUP($K674&amp;"",COMPUTER!$B$3:$B$1009&amp;"",COMPUTER!$H$3:$H$1009,""),"Display",_xlfn.XLOOKUP($K674&amp;"",DISPLAY!$B$3:$B$1000&amp;"",DISPLAY!$H$3:$H$1000,""),"Network Device",_xlfn.XLOOKUP($K674&amp;"",'NETWORK-DEVICES'!$B$3:$B$987&amp;"",'NETWORK-DEVICES'!$H$3:$H$987,""),"Peripheral",_xlfn.XLOOKUP($K674&amp;"",PERIPHERAL!$B$3:$B$954&amp;"",PERIPHERAL!$H$3:$H$954,""),"Utilities",_xlfn.XLOOKUP($K674&amp;"",UTILITIES!$B$3:$B$953&amp;"",UTILITIES!$G$3:$G$953,""),"IOT",_xlfn.XLOOKUP($K674&amp;"",IOT!$B$3:$B$1012&amp;"",IOT!$H$3:$H$1012,""),"Server",_xlfn.XLOOKUP($K674&amp;"",SERVER!$B$3:$B$1009&amp;"",SERVER!$H$3:$H$1009,""),""),IF(TRIM(_xlpm.srcCat)&lt;&gt;TRIM($J674),"",_xlfn.SWITCH($I674,"Computer",_xlfn.XLOOKUP($K674&amp;"",COMPUTER!$B$3:$B$1009&amp;"",COMPUTER!$E$3:$E$1009,""),"Display",_xlfn.XLOOKUP($K674&amp;"",DISPLAY!$B$3:$B$1000&amp;"",DISPLAY!$E$3:$E$1000,""),"Network Device",_xlfn.XLOOKUP($K674&amp;"",'NETWORK-DEVICES'!$B$3:$B$987&amp;"",'NETWORK-DEVICES'!$E$3:$E$987,""),"Peripheral",_xlfn.XLOOKUP($K674&amp;"",PERIPHERAL!$B$3:$B$954&amp;"",PERIPHERAL!$E$3:$E$954,""),"Utilities",_xlfn.XLOOKUP($K674&amp;"",UTILITIES!$B$3:$B$953&amp;"",UTILITIES!$E$3:$E$953,""),"IOT",_xlfn.XLOOKUP($K674&amp;"",IOT!$B$3:$B$1012&amp;"",IOT!$E$3:$E$1012,""),"Server",_xlfn.XLOOKUP($K674&amp;"",SERVER!$B$3:$B$1009&amp;"",SERVER!$E$3:$E$1009,""),""))))</f>
        <v/>
      </c>
      <c r="Q674" s="1" t="str" cm="1">
        <f t="array" ref="Q674">IF(OR($K674="",$I674="",$J674=""),"",_xlfn.LET(_xlpm.srcCat,_xlfn.SWITCH($I674,"Computer",_xlfn.XLOOKUP($K674&amp;"",COMPUTER!$B$3:$B$1009&amp;"",COMPUTER!$H$3:$H$1009,""),"Display",_xlfn.XLOOKUP($K674&amp;"",DISPLAY!$B$3:$B$1000&amp;"",DISPLAY!$H$3:$H$1000,""),"Network Device",_xlfn.XLOOKUP($K674&amp;"",'NETWORK-DEVICES'!$B$3:$B$987&amp;"",'NETWORK-DEVICES'!$H$3:$H$987,""),"Peripheral",_xlfn.XLOOKUP($K674&amp;"",PERIPHERAL!$B$3:$B$954&amp;"",PERIPHERAL!$H$3:$H$954,""),"Utilities",_xlfn.XLOOKUP($K674&amp;"",UTILITIES!$B$3:$B$953&amp;"",UTILITIES!$G$3:$G$953,""),"IOT",_xlfn.XLOOKUP($K674&amp;"",IOT!$B$3:$B$1012&amp;"",IOT!$H$3:$H$1012,""),"Server",_xlfn.XLOOKUP($K674&amp;"",SERVER!$B$3:$B$1009&amp;"",SERVER!$H$3:$H$1009,""),""),IF(TRIM(_xlpm.srcCat)&lt;&gt;TRIM($J674),"",_xlfn.SWITCH($I674,"Computer",_xlfn.XLOOKUP($K674&amp;"",COMPUTER!$B$3:$B$1009&amp;"",COMPUTER!$AM$3:$AM$1009,""),"Display",_xlfn.XLOOKUP($K674&amp;"",DISPLAY!$B$3:$B$1000&amp;"",DISPLAY!$V$3:$V$1000,""),"Network Device",_xlfn.XLOOKUP($K674&amp;"",'NETWORK-DEVICES'!$B$3:$B$987&amp;"",'NETWORK-DEVICES'!$AF$3:$AF$987,""),"Peripheral",_xlfn.XLOOKUP($K674&amp;"",PERIPHERAL!$B$3:$B$954&amp;"",PERIPHERAL!$Y$3:$Y$954,""),"Utilities",_xlfn.XLOOKUP($K674&amp;"",UTILITIES!$B$3:$B$953&amp;"",UTILITIES!$O$3:$O$953,""),"IOT",_xlfn.XLOOKUP($K674&amp;"",IOT!$B$3:$B$1012&amp;"",IOT!$AB$3:$AB$1012,""),"Server",_xlfn.XLOOKUP($K674&amp;"",SERVER!$B$3:$B$1009&amp;"",SERVER!$AB$3:$AB$1009,""),""))))</f>
        <v/>
      </c>
      <c r="R674" s="43" t="str">
        <f>IF(tbl_handover[[#This Row],[Asset Code]]="","",COUNTIF(tbl_handover[Asset Code],tbl_handover[[#This Row],[Asset Code]]))</f>
        <v/>
      </c>
    </row>
    <row r="675" spans="1:18" x14ac:dyDescent="0.25">
      <c r="A675" s="43" t="str">
        <f>IF(B675&lt;&gt;"",SUBTOTAL(3,$B$1:B674),"")</f>
        <v/>
      </c>
      <c r="C675" s="74"/>
      <c r="D675" s="74"/>
      <c r="G675" s="1"/>
      <c r="K675" s="42"/>
      <c r="L675" t="str" cm="1">
        <f t="array" ref="L675">IF($K675="","",_xlfn.SWITCH($I675,"Computer",_xlfn.XLOOKUP($K675&amp;"",COMPUTER!$B$3:$B$1009&amp;"",COMPUTER!$I$3:$I$1009,""),"Display",_xlfn.XLOOKUP($K675&amp;"",DISPLAY!$B$3:$B$1000&amp;"",DISPLAY!$J$3:$J$1000,""),"Network Device",_xlfn.XLOOKUP($K675&amp;"",'NETWORK-DEVICES'!$B$3:$B$987&amp;"",'NETWORK-DEVICES'!$I$3:$I$987,""),"Peripheral",_xlfn.XLOOKUP($K675&amp;"",PERIPHERAL!$B$3:$B$954&amp;"",PERIPHERAL!$I$3:$I$954,""),"Utilities",_xlfn.XLOOKUP($K675&amp;"",UTILITIES!$B$3:$B$953&amp;"",UTILITIES!$H$3:$H$953,""),"IOT",_xlfn.XLOOKUP($K675&amp;"",IOT!$B$3:$B$1012&amp;"",IOT!$I$3:$I$1012,""),"SERVER",_xlfn.XLOOKUP($K675&amp;"",SERVER!$B$3:$B$1009&amp;"",SERVER!$I$3:$I$1009,""),""))</f>
        <v/>
      </c>
      <c r="M675" t="str" cm="1">
        <f t="array" ref="M675">IF($K675="","",_xlfn.SWITCH($I675,"Computer",_xlfn.XLOOKUP($K675&amp;"",COMPUTER!$B$3:$B$1009&amp;"",COMPUTER!$J$3:$J$1009,""),"Display",_xlfn.XLOOKUP($K675&amp;"",DISPLAY!$B$3:$B$1000&amp;"",DISPLAY!$K$3:$K$1000,""),"Network Device",_xlfn.XLOOKUP($K675&amp;"",'NETWORK-DEVICES'!$B$3:$B$987&amp;"",'NETWORK-DEVICES'!$I$3:$I$987,""),"Peripheral",_xlfn.XLOOKUP($K675&amp;"",PERIPHERAL!$B$3:$B$954&amp;"",PERIPHERAL!$J$3:$J$954,""),"Utilities",_xlfn.XLOOKUP($K675&amp;"",UTILITIES!$B$3:$B$953&amp;"",UTILITIES!$I$3:$I$953,""),"IOT",_xlfn.XLOOKUP($K675&amp;"",IOT!$B$3:$B$1012&amp;"",IOT!$J$3:$J$1012,""),"Server",_xlfn.XLOOKUP($K675&amp;"",SERVER!$B$3:$B$1009&amp;"",SERVER!$J$3:$J$1009,""),""))</f>
        <v/>
      </c>
      <c r="N675" s="1" t="str" cm="1">
        <f t="array" ref="N675">IF(OR($K675="",$I675="",$J675=""),"",_xlfn.LET(_xlpm.srcCat,_xlfn.SWITCH($I675,"Computer",_xlfn.XLOOKUP($K675&amp;"",COMPUTER!$B$3:$B$1009&amp;"",COMPUTER!$H$3:$H$1009,""),"Display",_xlfn.XLOOKUP($K675&amp;"",DISPLAY!$B$3:$B$1000&amp;"",DISPLAY!$H$3:$H$1000,""),"Network Device",_xlfn.XLOOKUP($K675&amp;"",'NETWORK-DEVICES'!$B$3:$B$987&amp;"",'NETWORK-DEVICES'!$H$3:$H$987,""),"Peripheral",_xlfn.XLOOKUP($K675&amp;"",PERIPHERAL!$B$3:$B$954&amp;"",PERIPHERAL!$H$3:$H$954,""),"Utilities",_xlfn.XLOOKUP($K675&amp;"",UTILITIES!$B$3:$B$953&amp;"",UTILITIES!$G$3:$G$953,""),"IOT",_xlfn.XLOOKUP($K675&amp;"",IOT!$B$3:$B$1012&amp;"",IOT!$H$3:$H$1012,""),"Server",_xlfn.XLOOKUP($K675&amp;"",SERVER!$B$3:$B$1009&amp;"",SERVER!$H$3:$H$1009,""),""),IF(TRIM(_xlpm.srcCat)&lt;&gt;TRIM($J675),"",_xlfn.SWITCH($I675,"Computer",_xlfn.XLOOKUP($K675&amp;"",COMPUTER!$B$3:$B$1009&amp;"",COMPUTER!$K$3:$K$1009,""),"Display",_xlfn.XLOOKUP($K675&amp;"",DISPLAY!$B$3:$B$1000&amp;"",DISPLAY!$L$3:$L$1000,""),"Network Device",_xlfn.XLOOKUP($K675&amp;"",'NETWORK-DEVICES'!$B$3:$B$987&amp;"",'NETWORK-DEVICES'!$K$3:$K$987,""),"Peripheral",_xlfn.XLOOKUP($K675&amp;"",PERIPHERAL!$B$3:$B$954&amp;"",PERIPHERAL!$K$3:$K$954,""),"Utilities",_xlfn.XLOOKUP($K675&amp;"",UTILITIES!$B$3:$B$953&amp;"",UTILITIES!$J$3:$J$953,""),"IOT",_xlfn.XLOOKUP($K675&amp;"",IOT!$B$3:$B$1012&amp;"",IOT!$K$4:$K$1012,""),"Server",_xlfn.XLOOKUP($K675&amp;"",SERVER!$B$3:$B$1009&amp;"",SERVER!$K$3:$K$1009,""),""))))</f>
        <v/>
      </c>
      <c r="O675" s="1" t="str" cm="1">
        <f t="array" ref="O675">IF(OR($K675="",$I675="",$J675=""),"",_xlfn.LET(_xlpm.srcCat,_xlfn.SWITCH($I675,"Computer",_xlfn.XLOOKUP($K675&amp;"",COMPUTER!$B$3:$B$1009&amp;"",COMPUTER!$H$3:$H$1009,""),"Display",_xlfn.XLOOKUP($K675&amp;"",DISPLAY!$B$3:$B$1000&amp;"",DISPLAY!$H$3:$H$1000,""),"Network Device",_xlfn.XLOOKUP($K675&amp;"",'NETWORK-DEVICES'!$B$3:$B$987&amp;"",'NETWORK-DEVICES'!$H$3:$H$987,""),"Peripheral",_xlfn.XLOOKUP($K675&amp;"",PERIPHERAL!$B$3:$B$954&amp;"",PERIPHERAL!$H$3:$H$954,""),"Utilities",_xlfn.XLOOKUP($K675&amp;"",UTILITIES!$B$3:$B$953&amp;"",UTILITIES!$G$3:$G$953,""),"IOT",_xlfn.XLOOKUP($K675&amp;"",IOT!$B$3:$B$1012&amp;"",IOT!$H$3:$H$1012,""),"Server",_xlfn.XLOOKUP($K675&amp;"",SERVER!$B$3:$B$1009&amp;"",SERVER!$H$3:$H$1009,""),""),IF(TRIM(_xlpm.srcCat)&lt;&gt;TRIM($J675),"",_xlfn.SWITCH($I675,"Computer",_xlfn.XLOOKUP($K675&amp;"",COMPUTER!$B$3:$B$1009&amp;"",COMPUTER!$E$3:$E$1009,""),"Display",_xlfn.XLOOKUP($K675&amp;"",DISPLAY!$B$3:$B$1000&amp;"",DISPLAY!$E$3:$E$1000,""),"Network Device",_xlfn.XLOOKUP($K675&amp;"",'NETWORK-DEVICES'!$B$3:$B$987&amp;"",'NETWORK-DEVICES'!$E$3:$E$987,""),"Peripheral",_xlfn.XLOOKUP($K675&amp;"",PERIPHERAL!$B$3:$B$954&amp;"",PERIPHERAL!$E$3:$E$954,""),"Utilities",_xlfn.XLOOKUP($K675&amp;"",UTILITIES!$B$3:$B$953&amp;"",UTILITIES!$E$3:$E$953,""),"IOT",_xlfn.XLOOKUP($K675&amp;"",IOT!$B$3:$B$1012&amp;"",IOT!$E$3:$E$1012,""),"Server",_xlfn.XLOOKUP($K675&amp;"",SERVER!$B$3:$B$1009&amp;"",SERVER!$E$3:$E$1009,""),""))))</f>
        <v/>
      </c>
      <c r="Q675" s="1" t="str" cm="1">
        <f t="array" ref="Q675">IF(OR($K675="",$I675="",$J675=""),"",_xlfn.LET(_xlpm.srcCat,_xlfn.SWITCH($I675,"Computer",_xlfn.XLOOKUP($K675&amp;"",COMPUTER!$B$3:$B$1009&amp;"",COMPUTER!$H$3:$H$1009,""),"Display",_xlfn.XLOOKUP($K675&amp;"",DISPLAY!$B$3:$B$1000&amp;"",DISPLAY!$H$3:$H$1000,""),"Network Device",_xlfn.XLOOKUP($K675&amp;"",'NETWORK-DEVICES'!$B$3:$B$987&amp;"",'NETWORK-DEVICES'!$H$3:$H$987,""),"Peripheral",_xlfn.XLOOKUP($K675&amp;"",PERIPHERAL!$B$3:$B$954&amp;"",PERIPHERAL!$H$3:$H$954,""),"Utilities",_xlfn.XLOOKUP($K675&amp;"",UTILITIES!$B$3:$B$953&amp;"",UTILITIES!$G$3:$G$953,""),"IOT",_xlfn.XLOOKUP($K675&amp;"",IOT!$B$3:$B$1012&amp;"",IOT!$H$3:$H$1012,""),"Server",_xlfn.XLOOKUP($K675&amp;"",SERVER!$B$3:$B$1009&amp;"",SERVER!$H$3:$H$1009,""),""),IF(TRIM(_xlpm.srcCat)&lt;&gt;TRIM($J675),"",_xlfn.SWITCH($I675,"Computer",_xlfn.XLOOKUP($K675&amp;"",COMPUTER!$B$3:$B$1009&amp;"",COMPUTER!$AM$3:$AM$1009,""),"Display",_xlfn.XLOOKUP($K675&amp;"",DISPLAY!$B$3:$B$1000&amp;"",DISPLAY!$V$3:$V$1000,""),"Network Device",_xlfn.XLOOKUP($K675&amp;"",'NETWORK-DEVICES'!$B$3:$B$987&amp;"",'NETWORK-DEVICES'!$AF$3:$AF$987,""),"Peripheral",_xlfn.XLOOKUP($K675&amp;"",PERIPHERAL!$B$3:$B$954&amp;"",PERIPHERAL!$Y$3:$Y$954,""),"Utilities",_xlfn.XLOOKUP($K675&amp;"",UTILITIES!$B$3:$B$953&amp;"",UTILITIES!$O$3:$O$953,""),"IOT",_xlfn.XLOOKUP($K675&amp;"",IOT!$B$3:$B$1012&amp;"",IOT!$AB$3:$AB$1012,""),"Server",_xlfn.XLOOKUP($K675&amp;"",SERVER!$B$3:$B$1009&amp;"",SERVER!$AB$3:$AB$1009,""),""))))</f>
        <v/>
      </c>
      <c r="R675" s="43" t="str">
        <f>IF(tbl_handover[[#This Row],[Asset Code]]="","",COUNTIF(tbl_handover[Asset Code],tbl_handover[[#This Row],[Asset Code]]))</f>
        <v/>
      </c>
    </row>
    <row r="676" spans="1:18" x14ac:dyDescent="0.25">
      <c r="A676" s="43" t="str">
        <f>IF(B676&lt;&gt;"",SUBTOTAL(3,$B$1:B675),"")</f>
        <v/>
      </c>
      <c r="C676" s="74"/>
      <c r="D676" s="74"/>
      <c r="G676" s="1"/>
      <c r="K676" s="42"/>
      <c r="L676" t="str" cm="1">
        <f t="array" ref="L676">IF($K676="","",_xlfn.SWITCH($I676,"Computer",_xlfn.XLOOKUP($K676&amp;"",COMPUTER!$B$3:$B$1009&amp;"",COMPUTER!$I$3:$I$1009,""),"Display",_xlfn.XLOOKUP($K676&amp;"",DISPLAY!$B$3:$B$1000&amp;"",DISPLAY!$J$3:$J$1000,""),"Network Device",_xlfn.XLOOKUP($K676&amp;"",'NETWORK-DEVICES'!$B$3:$B$987&amp;"",'NETWORK-DEVICES'!$I$3:$I$987,""),"Peripheral",_xlfn.XLOOKUP($K676&amp;"",PERIPHERAL!$B$3:$B$954&amp;"",PERIPHERAL!$I$3:$I$954,""),"Utilities",_xlfn.XLOOKUP($K676&amp;"",UTILITIES!$B$3:$B$953&amp;"",UTILITIES!$H$3:$H$953,""),"IOT",_xlfn.XLOOKUP($K676&amp;"",IOT!$B$3:$B$1012&amp;"",IOT!$I$3:$I$1012,""),"SERVER",_xlfn.XLOOKUP($K676&amp;"",SERVER!$B$3:$B$1009&amp;"",SERVER!$I$3:$I$1009,""),""))</f>
        <v/>
      </c>
      <c r="M676" t="str" cm="1">
        <f t="array" ref="M676">IF($K676="","",_xlfn.SWITCH($I676,"Computer",_xlfn.XLOOKUP($K676&amp;"",COMPUTER!$B$3:$B$1009&amp;"",COMPUTER!$J$3:$J$1009,""),"Display",_xlfn.XLOOKUP($K676&amp;"",DISPLAY!$B$3:$B$1000&amp;"",DISPLAY!$K$3:$K$1000,""),"Network Device",_xlfn.XLOOKUP($K676&amp;"",'NETWORK-DEVICES'!$B$3:$B$987&amp;"",'NETWORK-DEVICES'!$I$3:$I$987,""),"Peripheral",_xlfn.XLOOKUP($K676&amp;"",PERIPHERAL!$B$3:$B$954&amp;"",PERIPHERAL!$J$3:$J$954,""),"Utilities",_xlfn.XLOOKUP($K676&amp;"",UTILITIES!$B$3:$B$953&amp;"",UTILITIES!$I$3:$I$953,""),"IOT",_xlfn.XLOOKUP($K676&amp;"",IOT!$B$3:$B$1012&amp;"",IOT!$J$3:$J$1012,""),"Server",_xlfn.XLOOKUP($K676&amp;"",SERVER!$B$3:$B$1009&amp;"",SERVER!$J$3:$J$1009,""),""))</f>
        <v/>
      </c>
      <c r="N676" s="1" t="str" cm="1">
        <f t="array" ref="N676">IF(OR($K676="",$I676="",$J676=""),"",_xlfn.LET(_xlpm.srcCat,_xlfn.SWITCH($I676,"Computer",_xlfn.XLOOKUP($K676&amp;"",COMPUTER!$B$3:$B$1009&amp;"",COMPUTER!$H$3:$H$1009,""),"Display",_xlfn.XLOOKUP($K676&amp;"",DISPLAY!$B$3:$B$1000&amp;"",DISPLAY!$H$3:$H$1000,""),"Network Device",_xlfn.XLOOKUP($K676&amp;"",'NETWORK-DEVICES'!$B$3:$B$987&amp;"",'NETWORK-DEVICES'!$H$3:$H$987,""),"Peripheral",_xlfn.XLOOKUP($K676&amp;"",PERIPHERAL!$B$3:$B$954&amp;"",PERIPHERAL!$H$3:$H$954,""),"Utilities",_xlfn.XLOOKUP($K676&amp;"",UTILITIES!$B$3:$B$953&amp;"",UTILITIES!$G$3:$G$953,""),"IOT",_xlfn.XLOOKUP($K676&amp;"",IOT!$B$3:$B$1012&amp;"",IOT!$H$3:$H$1012,""),"Server",_xlfn.XLOOKUP($K676&amp;"",SERVER!$B$3:$B$1009&amp;"",SERVER!$H$3:$H$1009,""),""),IF(TRIM(_xlpm.srcCat)&lt;&gt;TRIM($J676),"",_xlfn.SWITCH($I676,"Computer",_xlfn.XLOOKUP($K676&amp;"",COMPUTER!$B$3:$B$1009&amp;"",COMPUTER!$K$3:$K$1009,""),"Display",_xlfn.XLOOKUP($K676&amp;"",DISPLAY!$B$3:$B$1000&amp;"",DISPLAY!$L$3:$L$1000,""),"Network Device",_xlfn.XLOOKUP($K676&amp;"",'NETWORK-DEVICES'!$B$3:$B$987&amp;"",'NETWORK-DEVICES'!$K$3:$K$987,""),"Peripheral",_xlfn.XLOOKUP($K676&amp;"",PERIPHERAL!$B$3:$B$954&amp;"",PERIPHERAL!$K$3:$K$954,""),"Utilities",_xlfn.XLOOKUP($K676&amp;"",UTILITIES!$B$3:$B$953&amp;"",UTILITIES!$J$3:$J$953,""),"IOT",_xlfn.XLOOKUP($K676&amp;"",IOT!$B$3:$B$1012&amp;"",IOT!$K$4:$K$1012,""),"Server",_xlfn.XLOOKUP($K676&amp;"",SERVER!$B$3:$B$1009&amp;"",SERVER!$K$3:$K$1009,""),""))))</f>
        <v/>
      </c>
      <c r="O676" s="1" t="str" cm="1">
        <f t="array" ref="O676">IF(OR($K676="",$I676="",$J676=""),"",_xlfn.LET(_xlpm.srcCat,_xlfn.SWITCH($I676,"Computer",_xlfn.XLOOKUP($K676&amp;"",COMPUTER!$B$3:$B$1009&amp;"",COMPUTER!$H$3:$H$1009,""),"Display",_xlfn.XLOOKUP($K676&amp;"",DISPLAY!$B$3:$B$1000&amp;"",DISPLAY!$H$3:$H$1000,""),"Network Device",_xlfn.XLOOKUP($K676&amp;"",'NETWORK-DEVICES'!$B$3:$B$987&amp;"",'NETWORK-DEVICES'!$H$3:$H$987,""),"Peripheral",_xlfn.XLOOKUP($K676&amp;"",PERIPHERAL!$B$3:$B$954&amp;"",PERIPHERAL!$H$3:$H$954,""),"Utilities",_xlfn.XLOOKUP($K676&amp;"",UTILITIES!$B$3:$B$953&amp;"",UTILITIES!$G$3:$G$953,""),"IOT",_xlfn.XLOOKUP($K676&amp;"",IOT!$B$3:$B$1012&amp;"",IOT!$H$3:$H$1012,""),"Server",_xlfn.XLOOKUP($K676&amp;"",SERVER!$B$3:$B$1009&amp;"",SERVER!$H$3:$H$1009,""),""),IF(TRIM(_xlpm.srcCat)&lt;&gt;TRIM($J676),"",_xlfn.SWITCH($I676,"Computer",_xlfn.XLOOKUP($K676&amp;"",COMPUTER!$B$3:$B$1009&amp;"",COMPUTER!$E$3:$E$1009,""),"Display",_xlfn.XLOOKUP($K676&amp;"",DISPLAY!$B$3:$B$1000&amp;"",DISPLAY!$E$3:$E$1000,""),"Network Device",_xlfn.XLOOKUP($K676&amp;"",'NETWORK-DEVICES'!$B$3:$B$987&amp;"",'NETWORK-DEVICES'!$E$3:$E$987,""),"Peripheral",_xlfn.XLOOKUP($K676&amp;"",PERIPHERAL!$B$3:$B$954&amp;"",PERIPHERAL!$E$3:$E$954,""),"Utilities",_xlfn.XLOOKUP($K676&amp;"",UTILITIES!$B$3:$B$953&amp;"",UTILITIES!$E$3:$E$953,""),"IOT",_xlfn.XLOOKUP($K676&amp;"",IOT!$B$3:$B$1012&amp;"",IOT!$E$3:$E$1012,""),"Server",_xlfn.XLOOKUP($K676&amp;"",SERVER!$B$3:$B$1009&amp;"",SERVER!$E$3:$E$1009,""),""))))</f>
        <v/>
      </c>
      <c r="Q676" s="1" t="str" cm="1">
        <f t="array" ref="Q676">IF(OR($K676="",$I676="",$J676=""),"",_xlfn.LET(_xlpm.srcCat,_xlfn.SWITCH($I676,"Computer",_xlfn.XLOOKUP($K676&amp;"",COMPUTER!$B$3:$B$1009&amp;"",COMPUTER!$H$3:$H$1009,""),"Display",_xlfn.XLOOKUP($K676&amp;"",DISPLAY!$B$3:$B$1000&amp;"",DISPLAY!$H$3:$H$1000,""),"Network Device",_xlfn.XLOOKUP($K676&amp;"",'NETWORK-DEVICES'!$B$3:$B$987&amp;"",'NETWORK-DEVICES'!$H$3:$H$987,""),"Peripheral",_xlfn.XLOOKUP($K676&amp;"",PERIPHERAL!$B$3:$B$954&amp;"",PERIPHERAL!$H$3:$H$954,""),"Utilities",_xlfn.XLOOKUP($K676&amp;"",UTILITIES!$B$3:$B$953&amp;"",UTILITIES!$G$3:$G$953,""),"IOT",_xlfn.XLOOKUP($K676&amp;"",IOT!$B$3:$B$1012&amp;"",IOT!$H$3:$H$1012,""),"Server",_xlfn.XLOOKUP($K676&amp;"",SERVER!$B$3:$B$1009&amp;"",SERVER!$H$3:$H$1009,""),""),IF(TRIM(_xlpm.srcCat)&lt;&gt;TRIM($J676),"",_xlfn.SWITCH($I676,"Computer",_xlfn.XLOOKUP($K676&amp;"",COMPUTER!$B$3:$B$1009&amp;"",COMPUTER!$AM$3:$AM$1009,""),"Display",_xlfn.XLOOKUP($K676&amp;"",DISPLAY!$B$3:$B$1000&amp;"",DISPLAY!$V$3:$V$1000,""),"Network Device",_xlfn.XLOOKUP($K676&amp;"",'NETWORK-DEVICES'!$B$3:$B$987&amp;"",'NETWORK-DEVICES'!$AF$3:$AF$987,""),"Peripheral",_xlfn.XLOOKUP($K676&amp;"",PERIPHERAL!$B$3:$B$954&amp;"",PERIPHERAL!$Y$3:$Y$954,""),"Utilities",_xlfn.XLOOKUP($K676&amp;"",UTILITIES!$B$3:$B$953&amp;"",UTILITIES!$O$3:$O$953,""),"IOT",_xlfn.XLOOKUP($K676&amp;"",IOT!$B$3:$B$1012&amp;"",IOT!$AB$3:$AB$1012,""),"Server",_xlfn.XLOOKUP($K676&amp;"",SERVER!$B$3:$B$1009&amp;"",SERVER!$AB$3:$AB$1009,""),""))))</f>
        <v/>
      </c>
      <c r="R676" s="43" t="str">
        <f>IF(tbl_handover[[#This Row],[Asset Code]]="","",COUNTIF(tbl_handover[Asset Code],tbl_handover[[#This Row],[Asset Code]]))</f>
        <v/>
      </c>
    </row>
    <row r="677" spans="1:18" x14ac:dyDescent="0.25">
      <c r="A677" s="43" t="str">
        <f>IF(B677&lt;&gt;"",SUBTOTAL(3,$B$1:B676),"")</f>
        <v/>
      </c>
      <c r="C677" s="74"/>
      <c r="D677" s="74"/>
      <c r="G677" s="1"/>
      <c r="K677" s="42"/>
      <c r="L677" t="str" cm="1">
        <f t="array" ref="L677">IF($K677="","",_xlfn.SWITCH($I677,"Computer",_xlfn.XLOOKUP($K677&amp;"",COMPUTER!$B$3:$B$1009&amp;"",COMPUTER!$I$3:$I$1009,""),"Display",_xlfn.XLOOKUP($K677&amp;"",DISPLAY!$B$3:$B$1000&amp;"",DISPLAY!$J$3:$J$1000,""),"Network Device",_xlfn.XLOOKUP($K677&amp;"",'NETWORK-DEVICES'!$B$3:$B$987&amp;"",'NETWORK-DEVICES'!$I$3:$I$987,""),"Peripheral",_xlfn.XLOOKUP($K677&amp;"",PERIPHERAL!$B$3:$B$954&amp;"",PERIPHERAL!$I$3:$I$954,""),"Utilities",_xlfn.XLOOKUP($K677&amp;"",UTILITIES!$B$3:$B$953&amp;"",UTILITIES!$H$3:$H$953,""),"IOT",_xlfn.XLOOKUP($K677&amp;"",IOT!$B$3:$B$1012&amp;"",IOT!$I$3:$I$1012,""),"SERVER",_xlfn.XLOOKUP($K677&amp;"",SERVER!$B$3:$B$1009&amp;"",SERVER!$I$3:$I$1009,""),""))</f>
        <v/>
      </c>
      <c r="M677" t="str" cm="1">
        <f t="array" ref="M677">IF($K677="","",_xlfn.SWITCH($I677,"Computer",_xlfn.XLOOKUP($K677&amp;"",COMPUTER!$B$3:$B$1009&amp;"",COMPUTER!$J$3:$J$1009,""),"Display",_xlfn.XLOOKUP($K677&amp;"",DISPLAY!$B$3:$B$1000&amp;"",DISPLAY!$K$3:$K$1000,""),"Network Device",_xlfn.XLOOKUP($K677&amp;"",'NETWORK-DEVICES'!$B$3:$B$987&amp;"",'NETWORK-DEVICES'!$I$3:$I$987,""),"Peripheral",_xlfn.XLOOKUP($K677&amp;"",PERIPHERAL!$B$3:$B$954&amp;"",PERIPHERAL!$J$3:$J$954,""),"Utilities",_xlfn.XLOOKUP($K677&amp;"",UTILITIES!$B$3:$B$953&amp;"",UTILITIES!$I$3:$I$953,""),"IOT",_xlfn.XLOOKUP($K677&amp;"",IOT!$B$3:$B$1012&amp;"",IOT!$J$3:$J$1012,""),"Server",_xlfn.XLOOKUP($K677&amp;"",SERVER!$B$3:$B$1009&amp;"",SERVER!$J$3:$J$1009,""),""))</f>
        <v/>
      </c>
      <c r="N677" s="1" t="str" cm="1">
        <f t="array" ref="N677">IF(OR($K677="",$I677="",$J677=""),"",_xlfn.LET(_xlpm.srcCat,_xlfn.SWITCH($I677,"Computer",_xlfn.XLOOKUP($K677&amp;"",COMPUTER!$B$3:$B$1009&amp;"",COMPUTER!$H$3:$H$1009,""),"Display",_xlfn.XLOOKUP($K677&amp;"",DISPLAY!$B$3:$B$1000&amp;"",DISPLAY!$H$3:$H$1000,""),"Network Device",_xlfn.XLOOKUP($K677&amp;"",'NETWORK-DEVICES'!$B$3:$B$987&amp;"",'NETWORK-DEVICES'!$H$3:$H$987,""),"Peripheral",_xlfn.XLOOKUP($K677&amp;"",PERIPHERAL!$B$3:$B$954&amp;"",PERIPHERAL!$H$3:$H$954,""),"Utilities",_xlfn.XLOOKUP($K677&amp;"",UTILITIES!$B$3:$B$953&amp;"",UTILITIES!$G$3:$G$953,""),"IOT",_xlfn.XLOOKUP($K677&amp;"",IOT!$B$3:$B$1012&amp;"",IOT!$H$3:$H$1012,""),"Server",_xlfn.XLOOKUP($K677&amp;"",SERVER!$B$3:$B$1009&amp;"",SERVER!$H$3:$H$1009,""),""),IF(TRIM(_xlpm.srcCat)&lt;&gt;TRIM($J677),"",_xlfn.SWITCH($I677,"Computer",_xlfn.XLOOKUP($K677&amp;"",COMPUTER!$B$3:$B$1009&amp;"",COMPUTER!$K$3:$K$1009,""),"Display",_xlfn.XLOOKUP($K677&amp;"",DISPLAY!$B$3:$B$1000&amp;"",DISPLAY!$L$3:$L$1000,""),"Network Device",_xlfn.XLOOKUP($K677&amp;"",'NETWORK-DEVICES'!$B$3:$B$987&amp;"",'NETWORK-DEVICES'!$K$3:$K$987,""),"Peripheral",_xlfn.XLOOKUP($K677&amp;"",PERIPHERAL!$B$3:$B$954&amp;"",PERIPHERAL!$K$3:$K$954,""),"Utilities",_xlfn.XLOOKUP($K677&amp;"",UTILITIES!$B$3:$B$953&amp;"",UTILITIES!$J$3:$J$953,""),"IOT",_xlfn.XLOOKUP($K677&amp;"",IOT!$B$3:$B$1012&amp;"",IOT!$K$4:$K$1012,""),"Server",_xlfn.XLOOKUP($K677&amp;"",SERVER!$B$3:$B$1009&amp;"",SERVER!$K$3:$K$1009,""),""))))</f>
        <v/>
      </c>
      <c r="O677" s="1" t="str" cm="1">
        <f t="array" ref="O677">IF(OR($K677="",$I677="",$J677=""),"",_xlfn.LET(_xlpm.srcCat,_xlfn.SWITCH($I677,"Computer",_xlfn.XLOOKUP($K677&amp;"",COMPUTER!$B$3:$B$1009&amp;"",COMPUTER!$H$3:$H$1009,""),"Display",_xlfn.XLOOKUP($K677&amp;"",DISPLAY!$B$3:$B$1000&amp;"",DISPLAY!$H$3:$H$1000,""),"Network Device",_xlfn.XLOOKUP($K677&amp;"",'NETWORK-DEVICES'!$B$3:$B$987&amp;"",'NETWORK-DEVICES'!$H$3:$H$987,""),"Peripheral",_xlfn.XLOOKUP($K677&amp;"",PERIPHERAL!$B$3:$B$954&amp;"",PERIPHERAL!$H$3:$H$954,""),"Utilities",_xlfn.XLOOKUP($K677&amp;"",UTILITIES!$B$3:$B$953&amp;"",UTILITIES!$G$3:$G$953,""),"IOT",_xlfn.XLOOKUP($K677&amp;"",IOT!$B$3:$B$1012&amp;"",IOT!$H$3:$H$1012,""),"Server",_xlfn.XLOOKUP($K677&amp;"",SERVER!$B$3:$B$1009&amp;"",SERVER!$H$3:$H$1009,""),""),IF(TRIM(_xlpm.srcCat)&lt;&gt;TRIM($J677),"",_xlfn.SWITCH($I677,"Computer",_xlfn.XLOOKUP($K677&amp;"",COMPUTER!$B$3:$B$1009&amp;"",COMPUTER!$E$3:$E$1009,""),"Display",_xlfn.XLOOKUP($K677&amp;"",DISPLAY!$B$3:$B$1000&amp;"",DISPLAY!$E$3:$E$1000,""),"Network Device",_xlfn.XLOOKUP($K677&amp;"",'NETWORK-DEVICES'!$B$3:$B$987&amp;"",'NETWORK-DEVICES'!$E$3:$E$987,""),"Peripheral",_xlfn.XLOOKUP($K677&amp;"",PERIPHERAL!$B$3:$B$954&amp;"",PERIPHERAL!$E$3:$E$954,""),"Utilities",_xlfn.XLOOKUP($K677&amp;"",UTILITIES!$B$3:$B$953&amp;"",UTILITIES!$E$3:$E$953,""),"IOT",_xlfn.XLOOKUP($K677&amp;"",IOT!$B$3:$B$1012&amp;"",IOT!$E$3:$E$1012,""),"Server",_xlfn.XLOOKUP($K677&amp;"",SERVER!$B$3:$B$1009&amp;"",SERVER!$E$3:$E$1009,""),""))))</f>
        <v/>
      </c>
      <c r="Q677" s="1" t="str" cm="1">
        <f t="array" ref="Q677">IF(OR($K677="",$I677="",$J677=""),"",_xlfn.LET(_xlpm.srcCat,_xlfn.SWITCH($I677,"Computer",_xlfn.XLOOKUP($K677&amp;"",COMPUTER!$B$3:$B$1009&amp;"",COMPUTER!$H$3:$H$1009,""),"Display",_xlfn.XLOOKUP($K677&amp;"",DISPLAY!$B$3:$B$1000&amp;"",DISPLAY!$H$3:$H$1000,""),"Network Device",_xlfn.XLOOKUP($K677&amp;"",'NETWORK-DEVICES'!$B$3:$B$987&amp;"",'NETWORK-DEVICES'!$H$3:$H$987,""),"Peripheral",_xlfn.XLOOKUP($K677&amp;"",PERIPHERAL!$B$3:$B$954&amp;"",PERIPHERAL!$H$3:$H$954,""),"Utilities",_xlfn.XLOOKUP($K677&amp;"",UTILITIES!$B$3:$B$953&amp;"",UTILITIES!$G$3:$G$953,""),"IOT",_xlfn.XLOOKUP($K677&amp;"",IOT!$B$3:$B$1012&amp;"",IOT!$H$3:$H$1012,""),"Server",_xlfn.XLOOKUP($K677&amp;"",SERVER!$B$3:$B$1009&amp;"",SERVER!$H$3:$H$1009,""),""),IF(TRIM(_xlpm.srcCat)&lt;&gt;TRIM($J677),"",_xlfn.SWITCH($I677,"Computer",_xlfn.XLOOKUP($K677&amp;"",COMPUTER!$B$3:$B$1009&amp;"",COMPUTER!$AM$3:$AM$1009,""),"Display",_xlfn.XLOOKUP($K677&amp;"",DISPLAY!$B$3:$B$1000&amp;"",DISPLAY!$V$3:$V$1000,""),"Network Device",_xlfn.XLOOKUP($K677&amp;"",'NETWORK-DEVICES'!$B$3:$B$987&amp;"",'NETWORK-DEVICES'!$AF$3:$AF$987,""),"Peripheral",_xlfn.XLOOKUP($K677&amp;"",PERIPHERAL!$B$3:$B$954&amp;"",PERIPHERAL!$Y$3:$Y$954,""),"Utilities",_xlfn.XLOOKUP($K677&amp;"",UTILITIES!$B$3:$B$953&amp;"",UTILITIES!$O$3:$O$953,""),"IOT",_xlfn.XLOOKUP($K677&amp;"",IOT!$B$3:$B$1012&amp;"",IOT!$AB$3:$AB$1012,""),"Server",_xlfn.XLOOKUP($K677&amp;"",SERVER!$B$3:$B$1009&amp;"",SERVER!$AB$3:$AB$1009,""),""))))</f>
        <v/>
      </c>
      <c r="R677" s="43" t="str">
        <f>IF(tbl_handover[[#This Row],[Asset Code]]="","",COUNTIF(tbl_handover[Asset Code],tbl_handover[[#This Row],[Asset Code]]))</f>
        <v/>
      </c>
    </row>
    <row r="678" spans="1:18" x14ac:dyDescent="0.25">
      <c r="A678" s="43" t="str">
        <f>IF(B678&lt;&gt;"",SUBTOTAL(3,$B$1:B677),"")</f>
        <v/>
      </c>
      <c r="C678" s="74"/>
      <c r="D678" s="74"/>
      <c r="G678" s="1"/>
      <c r="K678" s="42"/>
      <c r="L678" t="str" cm="1">
        <f t="array" ref="L678">IF($K678="","",_xlfn.SWITCH($I678,"Computer",_xlfn.XLOOKUP($K678&amp;"",COMPUTER!$B$3:$B$1009&amp;"",COMPUTER!$I$3:$I$1009,""),"Display",_xlfn.XLOOKUP($K678&amp;"",DISPLAY!$B$3:$B$1000&amp;"",DISPLAY!$J$3:$J$1000,""),"Network Device",_xlfn.XLOOKUP($K678&amp;"",'NETWORK-DEVICES'!$B$3:$B$987&amp;"",'NETWORK-DEVICES'!$I$3:$I$987,""),"Peripheral",_xlfn.XLOOKUP($K678&amp;"",PERIPHERAL!$B$3:$B$954&amp;"",PERIPHERAL!$I$3:$I$954,""),"Utilities",_xlfn.XLOOKUP($K678&amp;"",UTILITIES!$B$3:$B$953&amp;"",UTILITIES!$H$3:$H$953,""),"IOT",_xlfn.XLOOKUP($K678&amp;"",IOT!$B$3:$B$1012&amp;"",IOT!$I$3:$I$1012,""),"SERVER",_xlfn.XLOOKUP($K678&amp;"",SERVER!$B$3:$B$1009&amp;"",SERVER!$I$3:$I$1009,""),""))</f>
        <v/>
      </c>
      <c r="M678" t="str" cm="1">
        <f t="array" ref="M678">IF($K678="","",_xlfn.SWITCH($I678,"Computer",_xlfn.XLOOKUP($K678&amp;"",COMPUTER!$B$3:$B$1009&amp;"",COMPUTER!$J$3:$J$1009,""),"Display",_xlfn.XLOOKUP($K678&amp;"",DISPLAY!$B$3:$B$1000&amp;"",DISPLAY!$K$3:$K$1000,""),"Network Device",_xlfn.XLOOKUP($K678&amp;"",'NETWORK-DEVICES'!$B$3:$B$987&amp;"",'NETWORK-DEVICES'!$I$3:$I$987,""),"Peripheral",_xlfn.XLOOKUP($K678&amp;"",PERIPHERAL!$B$3:$B$954&amp;"",PERIPHERAL!$J$3:$J$954,""),"Utilities",_xlfn.XLOOKUP($K678&amp;"",UTILITIES!$B$3:$B$953&amp;"",UTILITIES!$I$3:$I$953,""),"IOT",_xlfn.XLOOKUP($K678&amp;"",IOT!$B$3:$B$1012&amp;"",IOT!$J$3:$J$1012,""),"Server",_xlfn.XLOOKUP($K678&amp;"",SERVER!$B$3:$B$1009&amp;"",SERVER!$J$3:$J$1009,""),""))</f>
        <v/>
      </c>
      <c r="N678" s="1" t="str" cm="1">
        <f t="array" ref="N678">IF(OR($K678="",$I678="",$J678=""),"",_xlfn.LET(_xlpm.srcCat,_xlfn.SWITCH($I678,"Computer",_xlfn.XLOOKUP($K678&amp;"",COMPUTER!$B$3:$B$1009&amp;"",COMPUTER!$H$3:$H$1009,""),"Display",_xlfn.XLOOKUP($K678&amp;"",DISPLAY!$B$3:$B$1000&amp;"",DISPLAY!$H$3:$H$1000,""),"Network Device",_xlfn.XLOOKUP($K678&amp;"",'NETWORK-DEVICES'!$B$3:$B$987&amp;"",'NETWORK-DEVICES'!$H$3:$H$987,""),"Peripheral",_xlfn.XLOOKUP($K678&amp;"",PERIPHERAL!$B$3:$B$954&amp;"",PERIPHERAL!$H$3:$H$954,""),"Utilities",_xlfn.XLOOKUP($K678&amp;"",UTILITIES!$B$3:$B$953&amp;"",UTILITIES!$G$3:$G$953,""),"IOT",_xlfn.XLOOKUP($K678&amp;"",IOT!$B$3:$B$1012&amp;"",IOT!$H$3:$H$1012,""),"Server",_xlfn.XLOOKUP($K678&amp;"",SERVER!$B$3:$B$1009&amp;"",SERVER!$H$3:$H$1009,""),""),IF(TRIM(_xlpm.srcCat)&lt;&gt;TRIM($J678),"",_xlfn.SWITCH($I678,"Computer",_xlfn.XLOOKUP($K678&amp;"",COMPUTER!$B$3:$B$1009&amp;"",COMPUTER!$K$3:$K$1009,""),"Display",_xlfn.XLOOKUP($K678&amp;"",DISPLAY!$B$3:$B$1000&amp;"",DISPLAY!$L$3:$L$1000,""),"Network Device",_xlfn.XLOOKUP($K678&amp;"",'NETWORK-DEVICES'!$B$3:$B$987&amp;"",'NETWORK-DEVICES'!$K$3:$K$987,""),"Peripheral",_xlfn.XLOOKUP($K678&amp;"",PERIPHERAL!$B$3:$B$954&amp;"",PERIPHERAL!$K$3:$K$954,""),"Utilities",_xlfn.XLOOKUP($K678&amp;"",UTILITIES!$B$3:$B$953&amp;"",UTILITIES!$J$3:$J$953,""),"IOT",_xlfn.XLOOKUP($K678&amp;"",IOT!$B$3:$B$1012&amp;"",IOT!$K$4:$K$1012,""),"Server",_xlfn.XLOOKUP($K678&amp;"",SERVER!$B$3:$B$1009&amp;"",SERVER!$K$3:$K$1009,""),""))))</f>
        <v/>
      </c>
      <c r="O678" s="1" t="str" cm="1">
        <f t="array" ref="O678">IF(OR($K678="",$I678="",$J678=""),"",_xlfn.LET(_xlpm.srcCat,_xlfn.SWITCH($I678,"Computer",_xlfn.XLOOKUP($K678&amp;"",COMPUTER!$B$3:$B$1009&amp;"",COMPUTER!$H$3:$H$1009,""),"Display",_xlfn.XLOOKUP($K678&amp;"",DISPLAY!$B$3:$B$1000&amp;"",DISPLAY!$H$3:$H$1000,""),"Network Device",_xlfn.XLOOKUP($K678&amp;"",'NETWORK-DEVICES'!$B$3:$B$987&amp;"",'NETWORK-DEVICES'!$H$3:$H$987,""),"Peripheral",_xlfn.XLOOKUP($K678&amp;"",PERIPHERAL!$B$3:$B$954&amp;"",PERIPHERAL!$H$3:$H$954,""),"Utilities",_xlfn.XLOOKUP($K678&amp;"",UTILITIES!$B$3:$B$953&amp;"",UTILITIES!$G$3:$G$953,""),"IOT",_xlfn.XLOOKUP($K678&amp;"",IOT!$B$3:$B$1012&amp;"",IOT!$H$3:$H$1012,""),"Server",_xlfn.XLOOKUP($K678&amp;"",SERVER!$B$3:$B$1009&amp;"",SERVER!$H$3:$H$1009,""),""),IF(TRIM(_xlpm.srcCat)&lt;&gt;TRIM($J678),"",_xlfn.SWITCH($I678,"Computer",_xlfn.XLOOKUP($K678&amp;"",COMPUTER!$B$3:$B$1009&amp;"",COMPUTER!$E$3:$E$1009,""),"Display",_xlfn.XLOOKUP($K678&amp;"",DISPLAY!$B$3:$B$1000&amp;"",DISPLAY!$E$3:$E$1000,""),"Network Device",_xlfn.XLOOKUP($K678&amp;"",'NETWORK-DEVICES'!$B$3:$B$987&amp;"",'NETWORK-DEVICES'!$E$3:$E$987,""),"Peripheral",_xlfn.XLOOKUP($K678&amp;"",PERIPHERAL!$B$3:$B$954&amp;"",PERIPHERAL!$E$3:$E$954,""),"Utilities",_xlfn.XLOOKUP($K678&amp;"",UTILITIES!$B$3:$B$953&amp;"",UTILITIES!$E$3:$E$953,""),"IOT",_xlfn.XLOOKUP($K678&amp;"",IOT!$B$3:$B$1012&amp;"",IOT!$E$3:$E$1012,""),"Server",_xlfn.XLOOKUP($K678&amp;"",SERVER!$B$3:$B$1009&amp;"",SERVER!$E$3:$E$1009,""),""))))</f>
        <v/>
      </c>
      <c r="Q678" s="1" t="str" cm="1">
        <f t="array" ref="Q678">IF(OR($K678="",$I678="",$J678=""),"",_xlfn.LET(_xlpm.srcCat,_xlfn.SWITCH($I678,"Computer",_xlfn.XLOOKUP($K678&amp;"",COMPUTER!$B$3:$B$1009&amp;"",COMPUTER!$H$3:$H$1009,""),"Display",_xlfn.XLOOKUP($K678&amp;"",DISPLAY!$B$3:$B$1000&amp;"",DISPLAY!$H$3:$H$1000,""),"Network Device",_xlfn.XLOOKUP($K678&amp;"",'NETWORK-DEVICES'!$B$3:$B$987&amp;"",'NETWORK-DEVICES'!$H$3:$H$987,""),"Peripheral",_xlfn.XLOOKUP($K678&amp;"",PERIPHERAL!$B$3:$B$954&amp;"",PERIPHERAL!$H$3:$H$954,""),"Utilities",_xlfn.XLOOKUP($K678&amp;"",UTILITIES!$B$3:$B$953&amp;"",UTILITIES!$G$3:$G$953,""),"IOT",_xlfn.XLOOKUP($K678&amp;"",IOT!$B$3:$B$1012&amp;"",IOT!$H$3:$H$1012,""),"Server",_xlfn.XLOOKUP($K678&amp;"",SERVER!$B$3:$B$1009&amp;"",SERVER!$H$3:$H$1009,""),""),IF(TRIM(_xlpm.srcCat)&lt;&gt;TRIM($J678),"",_xlfn.SWITCH($I678,"Computer",_xlfn.XLOOKUP($K678&amp;"",COMPUTER!$B$3:$B$1009&amp;"",COMPUTER!$AM$3:$AM$1009,""),"Display",_xlfn.XLOOKUP($K678&amp;"",DISPLAY!$B$3:$B$1000&amp;"",DISPLAY!$V$3:$V$1000,""),"Network Device",_xlfn.XLOOKUP($K678&amp;"",'NETWORK-DEVICES'!$B$3:$B$987&amp;"",'NETWORK-DEVICES'!$AF$3:$AF$987,""),"Peripheral",_xlfn.XLOOKUP($K678&amp;"",PERIPHERAL!$B$3:$B$954&amp;"",PERIPHERAL!$Y$3:$Y$954,""),"Utilities",_xlfn.XLOOKUP($K678&amp;"",UTILITIES!$B$3:$B$953&amp;"",UTILITIES!$O$3:$O$953,""),"IOT",_xlfn.XLOOKUP($K678&amp;"",IOT!$B$3:$B$1012&amp;"",IOT!$AB$3:$AB$1012,""),"Server",_xlfn.XLOOKUP($K678&amp;"",SERVER!$B$3:$B$1009&amp;"",SERVER!$AB$3:$AB$1009,""),""))))</f>
        <v/>
      </c>
      <c r="R678" s="43" t="str">
        <f>IF(tbl_handover[[#This Row],[Asset Code]]="","",COUNTIF(tbl_handover[Asset Code],tbl_handover[[#This Row],[Asset Code]]))</f>
        <v/>
      </c>
    </row>
    <row r="679" spans="1:18" x14ac:dyDescent="0.25">
      <c r="A679" s="43" t="str">
        <f>IF(B679&lt;&gt;"",SUBTOTAL(3,$B$1:B678),"")</f>
        <v/>
      </c>
      <c r="C679" s="74"/>
      <c r="D679" s="74"/>
      <c r="G679" s="1"/>
      <c r="K679" s="42"/>
      <c r="L679" t="str" cm="1">
        <f t="array" ref="L679">IF($K679="","",_xlfn.SWITCH($I679,"Computer",_xlfn.XLOOKUP($K679&amp;"",COMPUTER!$B$3:$B$1009&amp;"",COMPUTER!$I$3:$I$1009,""),"Display",_xlfn.XLOOKUP($K679&amp;"",DISPLAY!$B$3:$B$1000&amp;"",DISPLAY!$J$3:$J$1000,""),"Network Device",_xlfn.XLOOKUP($K679&amp;"",'NETWORK-DEVICES'!$B$3:$B$987&amp;"",'NETWORK-DEVICES'!$I$3:$I$987,""),"Peripheral",_xlfn.XLOOKUP($K679&amp;"",PERIPHERAL!$B$3:$B$954&amp;"",PERIPHERAL!$I$3:$I$954,""),"Utilities",_xlfn.XLOOKUP($K679&amp;"",UTILITIES!$B$3:$B$953&amp;"",UTILITIES!$H$3:$H$953,""),"IOT",_xlfn.XLOOKUP($K679&amp;"",IOT!$B$3:$B$1012&amp;"",IOT!$I$3:$I$1012,""),"SERVER",_xlfn.XLOOKUP($K679&amp;"",SERVER!$B$3:$B$1009&amp;"",SERVER!$I$3:$I$1009,""),""))</f>
        <v/>
      </c>
      <c r="M679" t="str" cm="1">
        <f t="array" ref="M679">IF($K679="","",_xlfn.SWITCH($I679,"Computer",_xlfn.XLOOKUP($K679&amp;"",COMPUTER!$B$3:$B$1009&amp;"",COMPUTER!$J$3:$J$1009,""),"Display",_xlfn.XLOOKUP($K679&amp;"",DISPLAY!$B$3:$B$1000&amp;"",DISPLAY!$K$3:$K$1000,""),"Network Device",_xlfn.XLOOKUP($K679&amp;"",'NETWORK-DEVICES'!$B$3:$B$987&amp;"",'NETWORK-DEVICES'!$I$3:$I$987,""),"Peripheral",_xlfn.XLOOKUP($K679&amp;"",PERIPHERAL!$B$3:$B$954&amp;"",PERIPHERAL!$J$3:$J$954,""),"Utilities",_xlfn.XLOOKUP($K679&amp;"",UTILITIES!$B$3:$B$953&amp;"",UTILITIES!$I$3:$I$953,""),"IOT",_xlfn.XLOOKUP($K679&amp;"",IOT!$B$3:$B$1012&amp;"",IOT!$J$3:$J$1012,""),"Server",_xlfn.XLOOKUP($K679&amp;"",SERVER!$B$3:$B$1009&amp;"",SERVER!$J$3:$J$1009,""),""))</f>
        <v/>
      </c>
      <c r="N679" s="1" t="str" cm="1">
        <f t="array" ref="N679">IF(OR($K679="",$I679="",$J679=""),"",_xlfn.LET(_xlpm.srcCat,_xlfn.SWITCH($I679,"Computer",_xlfn.XLOOKUP($K679&amp;"",COMPUTER!$B$3:$B$1009&amp;"",COMPUTER!$H$3:$H$1009,""),"Display",_xlfn.XLOOKUP($K679&amp;"",DISPLAY!$B$3:$B$1000&amp;"",DISPLAY!$H$3:$H$1000,""),"Network Device",_xlfn.XLOOKUP($K679&amp;"",'NETWORK-DEVICES'!$B$3:$B$987&amp;"",'NETWORK-DEVICES'!$H$3:$H$987,""),"Peripheral",_xlfn.XLOOKUP($K679&amp;"",PERIPHERAL!$B$3:$B$954&amp;"",PERIPHERAL!$H$3:$H$954,""),"Utilities",_xlfn.XLOOKUP($K679&amp;"",UTILITIES!$B$3:$B$953&amp;"",UTILITIES!$G$3:$G$953,""),"IOT",_xlfn.XLOOKUP($K679&amp;"",IOT!$B$3:$B$1012&amp;"",IOT!$H$3:$H$1012,""),"Server",_xlfn.XLOOKUP($K679&amp;"",SERVER!$B$3:$B$1009&amp;"",SERVER!$H$3:$H$1009,""),""),IF(TRIM(_xlpm.srcCat)&lt;&gt;TRIM($J679),"",_xlfn.SWITCH($I679,"Computer",_xlfn.XLOOKUP($K679&amp;"",COMPUTER!$B$3:$B$1009&amp;"",COMPUTER!$K$3:$K$1009,""),"Display",_xlfn.XLOOKUP($K679&amp;"",DISPLAY!$B$3:$B$1000&amp;"",DISPLAY!$L$3:$L$1000,""),"Network Device",_xlfn.XLOOKUP($K679&amp;"",'NETWORK-DEVICES'!$B$3:$B$987&amp;"",'NETWORK-DEVICES'!$K$3:$K$987,""),"Peripheral",_xlfn.XLOOKUP($K679&amp;"",PERIPHERAL!$B$3:$B$954&amp;"",PERIPHERAL!$K$3:$K$954,""),"Utilities",_xlfn.XLOOKUP($K679&amp;"",UTILITIES!$B$3:$B$953&amp;"",UTILITIES!$J$3:$J$953,""),"IOT",_xlfn.XLOOKUP($K679&amp;"",IOT!$B$3:$B$1012&amp;"",IOT!$K$4:$K$1012,""),"Server",_xlfn.XLOOKUP($K679&amp;"",SERVER!$B$3:$B$1009&amp;"",SERVER!$K$3:$K$1009,""),""))))</f>
        <v/>
      </c>
      <c r="O679" s="1" t="str" cm="1">
        <f t="array" ref="O679">IF(OR($K679="",$I679="",$J679=""),"",_xlfn.LET(_xlpm.srcCat,_xlfn.SWITCH($I679,"Computer",_xlfn.XLOOKUP($K679&amp;"",COMPUTER!$B$3:$B$1009&amp;"",COMPUTER!$H$3:$H$1009,""),"Display",_xlfn.XLOOKUP($K679&amp;"",DISPLAY!$B$3:$B$1000&amp;"",DISPLAY!$H$3:$H$1000,""),"Network Device",_xlfn.XLOOKUP($K679&amp;"",'NETWORK-DEVICES'!$B$3:$B$987&amp;"",'NETWORK-DEVICES'!$H$3:$H$987,""),"Peripheral",_xlfn.XLOOKUP($K679&amp;"",PERIPHERAL!$B$3:$B$954&amp;"",PERIPHERAL!$H$3:$H$954,""),"Utilities",_xlfn.XLOOKUP($K679&amp;"",UTILITIES!$B$3:$B$953&amp;"",UTILITIES!$G$3:$G$953,""),"IOT",_xlfn.XLOOKUP($K679&amp;"",IOT!$B$3:$B$1012&amp;"",IOT!$H$3:$H$1012,""),"Server",_xlfn.XLOOKUP($K679&amp;"",SERVER!$B$3:$B$1009&amp;"",SERVER!$H$3:$H$1009,""),""),IF(TRIM(_xlpm.srcCat)&lt;&gt;TRIM($J679),"",_xlfn.SWITCH($I679,"Computer",_xlfn.XLOOKUP($K679&amp;"",COMPUTER!$B$3:$B$1009&amp;"",COMPUTER!$E$3:$E$1009,""),"Display",_xlfn.XLOOKUP($K679&amp;"",DISPLAY!$B$3:$B$1000&amp;"",DISPLAY!$E$3:$E$1000,""),"Network Device",_xlfn.XLOOKUP($K679&amp;"",'NETWORK-DEVICES'!$B$3:$B$987&amp;"",'NETWORK-DEVICES'!$E$3:$E$987,""),"Peripheral",_xlfn.XLOOKUP($K679&amp;"",PERIPHERAL!$B$3:$B$954&amp;"",PERIPHERAL!$E$3:$E$954,""),"Utilities",_xlfn.XLOOKUP($K679&amp;"",UTILITIES!$B$3:$B$953&amp;"",UTILITIES!$E$3:$E$953,""),"IOT",_xlfn.XLOOKUP($K679&amp;"",IOT!$B$3:$B$1012&amp;"",IOT!$E$3:$E$1012,""),"Server",_xlfn.XLOOKUP($K679&amp;"",SERVER!$B$3:$B$1009&amp;"",SERVER!$E$3:$E$1009,""),""))))</f>
        <v/>
      </c>
      <c r="Q679" s="1" t="str" cm="1">
        <f t="array" ref="Q679">IF(OR($K679="",$I679="",$J679=""),"",_xlfn.LET(_xlpm.srcCat,_xlfn.SWITCH($I679,"Computer",_xlfn.XLOOKUP($K679&amp;"",COMPUTER!$B$3:$B$1009&amp;"",COMPUTER!$H$3:$H$1009,""),"Display",_xlfn.XLOOKUP($K679&amp;"",DISPLAY!$B$3:$B$1000&amp;"",DISPLAY!$H$3:$H$1000,""),"Network Device",_xlfn.XLOOKUP($K679&amp;"",'NETWORK-DEVICES'!$B$3:$B$987&amp;"",'NETWORK-DEVICES'!$H$3:$H$987,""),"Peripheral",_xlfn.XLOOKUP($K679&amp;"",PERIPHERAL!$B$3:$B$954&amp;"",PERIPHERAL!$H$3:$H$954,""),"Utilities",_xlfn.XLOOKUP($K679&amp;"",UTILITIES!$B$3:$B$953&amp;"",UTILITIES!$G$3:$G$953,""),"IOT",_xlfn.XLOOKUP($K679&amp;"",IOT!$B$3:$B$1012&amp;"",IOT!$H$3:$H$1012,""),"Server",_xlfn.XLOOKUP($K679&amp;"",SERVER!$B$3:$B$1009&amp;"",SERVER!$H$3:$H$1009,""),""),IF(TRIM(_xlpm.srcCat)&lt;&gt;TRIM($J679),"",_xlfn.SWITCH($I679,"Computer",_xlfn.XLOOKUP($K679&amp;"",COMPUTER!$B$3:$B$1009&amp;"",COMPUTER!$AM$3:$AM$1009,""),"Display",_xlfn.XLOOKUP($K679&amp;"",DISPLAY!$B$3:$B$1000&amp;"",DISPLAY!$V$3:$V$1000,""),"Network Device",_xlfn.XLOOKUP($K679&amp;"",'NETWORK-DEVICES'!$B$3:$B$987&amp;"",'NETWORK-DEVICES'!$AF$3:$AF$987,""),"Peripheral",_xlfn.XLOOKUP($K679&amp;"",PERIPHERAL!$B$3:$B$954&amp;"",PERIPHERAL!$Y$3:$Y$954,""),"Utilities",_xlfn.XLOOKUP($K679&amp;"",UTILITIES!$B$3:$B$953&amp;"",UTILITIES!$O$3:$O$953,""),"IOT",_xlfn.XLOOKUP($K679&amp;"",IOT!$B$3:$B$1012&amp;"",IOT!$AB$3:$AB$1012,""),"Server",_xlfn.XLOOKUP($K679&amp;"",SERVER!$B$3:$B$1009&amp;"",SERVER!$AB$3:$AB$1009,""),""))))</f>
        <v/>
      </c>
      <c r="R679" s="43" t="str">
        <f>IF(tbl_handover[[#This Row],[Asset Code]]="","",COUNTIF(tbl_handover[Asset Code],tbl_handover[[#This Row],[Asset Code]]))</f>
        <v/>
      </c>
    </row>
    <row r="680" spans="1:18" x14ac:dyDescent="0.25">
      <c r="A680" s="43" t="str">
        <f>IF(B680&lt;&gt;"",SUBTOTAL(3,$B$1:B679),"")</f>
        <v/>
      </c>
      <c r="C680" s="74"/>
      <c r="D680" s="74"/>
      <c r="G680" s="1"/>
      <c r="K680" s="42"/>
      <c r="L680" t="str" cm="1">
        <f t="array" ref="L680">IF($K680="","",_xlfn.SWITCH($I680,"Computer",_xlfn.XLOOKUP($K680&amp;"",COMPUTER!$B$3:$B$1009&amp;"",COMPUTER!$I$3:$I$1009,""),"Display",_xlfn.XLOOKUP($K680&amp;"",DISPLAY!$B$3:$B$1000&amp;"",DISPLAY!$J$3:$J$1000,""),"Network Device",_xlfn.XLOOKUP($K680&amp;"",'NETWORK-DEVICES'!$B$3:$B$987&amp;"",'NETWORK-DEVICES'!$I$3:$I$987,""),"Peripheral",_xlfn.XLOOKUP($K680&amp;"",PERIPHERAL!$B$3:$B$954&amp;"",PERIPHERAL!$I$3:$I$954,""),"Utilities",_xlfn.XLOOKUP($K680&amp;"",UTILITIES!$B$3:$B$953&amp;"",UTILITIES!$H$3:$H$953,""),"IOT",_xlfn.XLOOKUP($K680&amp;"",IOT!$B$3:$B$1012&amp;"",IOT!$I$3:$I$1012,""),"SERVER",_xlfn.XLOOKUP($K680&amp;"",SERVER!$B$3:$B$1009&amp;"",SERVER!$I$3:$I$1009,""),""))</f>
        <v/>
      </c>
      <c r="M680" t="str" cm="1">
        <f t="array" ref="M680">IF($K680="","",_xlfn.SWITCH($I680,"Computer",_xlfn.XLOOKUP($K680&amp;"",COMPUTER!$B$3:$B$1009&amp;"",COMPUTER!$J$3:$J$1009,""),"Display",_xlfn.XLOOKUP($K680&amp;"",DISPLAY!$B$3:$B$1000&amp;"",DISPLAY!$K$3:$K$1000,""),"Network Device",_xlfn.XLOOKUP($K680&amp;"",'NETWORK-DEVICES'!$B$3:$B$987&amp;"",'NETWORK-DEVICES'!$I$3:$I$987,""),"Peripheral",_xlfn.XLOOKUP($K680&amp;"",PERIPHERAL!$B$3:$B$954&amp;"",PERIPHERAL!$J$3:$J$954,""),"Utilities",_xlfn.XLOOKUP($K680&amp;"",UTILITIES!$B$3:$B$953&amp;"",UTILITIES!$I$3:$I$953,""),"IOT",_xlfn.XLOOKUP($K680&amp;"",IOT!$B$3:$B$1012&amp;"",IOT!$J$3:$J$1012,""),"Server",_xlfn.XLOOKUP($K680&amp;"",SERVER!$B$3:$B$1009&amp;"",SERVER!$J$3:$J$1009,""),""))</f>
        <v/>
      </c>
      <c r="N680" s="1" t="str" cm="1">
        <f t="array" ref="N680">IF(OR($K680="",$I680="",$J680=""),"",_xlfn.LET(_xlpm.srcCat,_xlfn.SWITCH($I680,"Computer",_xlfn.XLOOKUP($K680&amp;"",COMPUTER!$B$3:$B$1009&amp;"",COMPUTER!$H$3:$H$1009,""),"Display",_xlfn.XLOOKUP($K680&amp;"",DISPLAY!$B$3:$B$1000&amp;"",DISPLAY!$H$3:$H$1000,""),"Network Device",_xlfn.XLOOKUP($K680&amp;"",'NETWORK-DEVICES'!$B$3:$B$987&amp;"",'NETWORK-DEVICES'!$H$3:$H$987,""),"Peripheral",_xlfn.XLOOKUP($K680&amp;"",PERIPHERAL!$B$3:$B$954&amp;"",PERIPHERAL!$H$3:$H$954,""),"Utilities",_xlfn.XLOOKUP($K680&amp;"",UTILITIES!$B$3:$B$953&amp;"",UTILITIES!$G$3:$G$953,""),"IOT",_xlfn.XLOOKUP($K680&amp;"",IOT!$B$3:$B$1012&amp;"",IOT!$H$3:$H$1012,""),"Server",_xlfn.XLOOKUP($K680&amp;"",SERVER!$B$3:$B$1009&amp;"",SERVER!$H$3:$H$1009,""),""),IF(TRIM(_xlpm.srcCat)&lt;&gt;TRIM($J680),"",_xlfn.SWITCH($I680,"Computer",_xlfn.XLOOKUP($K680&amp;"",COMPUTER!$B$3:$B$1009&amp;"",COMPUTER!$K$3:$K$1009,""),"Display",_xlfn.XLOOKUP($K680&amp;"",DISPLAY!$B$3:$B$1000&amp;"",DISPLAY!$L$3:$L$1000,""),"Network Device",_xlfn.XLOOKUP($K680&amp;"",'NETWORK-DEVICES'!$B$3:$B$987&amp;"",'NETWORK-DEVICES'!$K$3:$K$987,""),"Peripheral",_xlfn.XLOOKUP($K680&amp;"",PERIPHERAL!$B$3:$B$954&amp;"",PERIPHERAL!$K$3:$K$954,""),"Utilities",_xlfn.XLOOKUP($K680&amp;"",UTILITIES!$B$3:$B$953&amp;"",UTILITIES!$J$3:$J$953,""),"IOT",_xlfn.XLOOKUP($K680&amp;"",IOT!$B$3:$B$1012&amp;"",IOT!$K$4:$K$1012,""),"Server",_xlfn.XLOOKUP($K680&amp;"",SERVER!$B$3:$B$1009&amp;"",SERVER!$K$3:$K$1009,""),""))))</f>
        <v/>
      </c>
      <c r="O680" s="1" t="str" cm="1">
        <f t="array" ref="O680">IF(OR($K680="",$I680="",$J680=""),"",_xlfn.LET(_xlpm.srcCat,_xlfn.SWITCH($I680,"Computer",_xlfn.XLOOKUP($K680&amp;"",COMPUTER!$B$3:$B$1009&amp;"",COMPUTER!$H$3:$H$1009,""),"Display",_xlfn.XLOOKUP($K680&amp;"",DISPLAY!$B$3:$B$1000&amp;"",DISPLAY!$H$3:$H$1000,""),"Network Device",_xlfn.XLOOKUP($K680&amp;"",'NETWORK-DEVICES'!$B$3:$B$987&amp;"",'NETWORK-DEVICES'!$H$3:$H$987,""),"Peripheral",_xlfn.XLOOKUP($K680&amp;"",PERIPHERAL!$B$3:$B$954&amp;"",PERIPHERAL!$H$3:$H$954,""),"Utilities",_xlfn.XLOOKUP($K680&amp;"",UTILITIES!$B$3:$B$953&amp;"",UTILITIES!$G$3:$G$953,""),"IOT",_xlfn.XLOOKUP($K680&amp;"",IOT!$B$3:$B$1012&amp;"",IOT!$H$3:$H$1012,""),"Server",_xlfn.XLOOKUP($K680&amp;"",SERVER!$B$3:$B$1009&amp;"",SERVER!$H$3:$H$1009,""),""),IF(TRIM(_xlpm.srcCat)&lt;&gt;TRIM($J680),"",_xlfn.SWITCH($I680,"Computer",_xlfn.XLOOKUP($K680&amp;"",COMPUTER!$B$3:$B$1009&amp;"",COMPUTER!$E$3:$E$1009,""),"Display",_xlfn.XLOOKUP($K680&amp;"",DISPLAY!$B$3:$B$1000&amp;"",DISPLAY!$E$3:$E$1000,""),"Network Device",_xlfn.XLOOKUP($K680&amp;"",'NETWORK-DEVICES'!$B$3:$B$987&amp;"",'NETWORK-DEVICES'!$E$3:$E$987,""),"Peripheral",_xlfn.XLOOKUP($K680&amp;"",PERIPHERAL!$B$3:$B$954&amp;"",PERIPHERAL!$E$3:$E$954,""),"Utilities",_xlfn.XLOOKUP($K680&amp;"",UTILITIES!$B$3:$B$953&amp;"",UTILITIES!$E$3:$E$953,""),"IOT",_xlfn.XLOOKUP($K680&amp;"",IOT!$B$3:$B$1012&amp;"",IOT!$E$3:$E$1012,""),"Server",_xlfn.XLOOKUP($K680&amp;"",SERVER!$B$3:$B$1009&amp;"",SERVER!$E$3:$E$1009,""),""))))</f>
        <v/>
      </c>
      <c r="Q680" s="1" t="str" cm="1">
        <f t="array" ref="Q680">IF(OR($K680="",$I680="",$J680=""),"",_xlfn.LET(_xlpm.srcCat,_xlfn.SWITCH($I680,"Computer",_xlfn.XLOOKUP($K680&amp;"",COMPUTER!$B$3:$B$1009&amp;"",COMPUTER!$H$3:$H$1009,""),"Display",_xlfn.XLOOKUP($K680&amp;"",DISPLAY!$B$3:$B$1000&amp;"",DISPLAY!$H$3:$H$1000,""),"Network Device",_xlfn.XLOOKUP($K680&amp;"",'NETWORK-DEVICES'!$B$3:$B$987&amp;"",'NETWORK-DEVICES'!$H$3:$H$987,""),"Peripheral",_xlfn.XLOOKUP($K680&amp;"",PERIPHERAL!$B$3:$B$954&amp;"",PERIPHERAL!$H$3:$H$954,""),"Utilities",_xlfn.XLOOKUP($K680&amp;"",UTILITIES!$B$3:$B$953&amp;"",UTILITIES!$G$3:$G$953,""),"IOT",_xlfn.XLOOKUP($K680&amp;"",IOT!$B$3:$B$1012&amp;"",IOT!$H$3:$H$1012,""),"Server",_xlfn.XLOOKUP($K680&amp;"",SERVER!$B$3:$B$1009&amp;"",SERVER!$H$3:$H$1009,""),""),IF(TRIM(_xlpm.srcCat)&lt;&gt;TRIM($J680),"",_xlfn.SWITCH($I680,"Computer",_xlfn.XLOOKUP($K680&amp;"",COMPUTER!$B$3:$B$1009&amp;"",COMPUTER!$AM$3:$AM$1009,""),"Display",_xlfn.XLOOKUP($K680&amp;"",DISPLAY!$B$3:$B$1000&amp;"",DISPLAY!$V$3:$V$1000,""),"Network Device",_xlfn.XLOOKUP($K680&amp;"",'NETWORK-DEVICES'!$B$3:$B$987&amp;"",'NETWORK-DEVICES'!$AF$3:$AF$987,""),"Peripheral",_xlfn.XLOOKUP($K680&amp;"",PERIPHERAL!$B$3:$B$954&amp;"",PERIPHERAL!$Y$3:$Y$954,""),"Utilities",_xlfn.XLOOKUP($K680&amp;"",UTILITIES!$B$3:$B$953&amp;"",UTILITIES!$O$3:$O$953,""),"IOT",_xlfn.XLOOKUP($K680&amp;"",IOT!$B$3:$B$1012&amp;"",IOT!$AB$3:$AB$1012,""),"Server",_xlfn.XLOOKUP($K680&amp;"",SERVER!$B$3:$B$1009&amp;"",SERVER!$AB$3:$AB$1009,""),""))))</f>
        <v/>
      </c>
      <c r="R680" s="43" t="str">
        <f>IF(tbl_handover[[#This Row],[Asset Code]]="","",COUNTIF(tbl_handover[Asset Code],tbl_handover[[#This Row],[Asset Code]]))</f>
        <v/>
      </c>
    </row>
    <row r="681" spans="1:18" x14ac:dyDescent="0.25">
      <c r="A681" s="43" t="str">
        <f>IF(B681&lt;&gt;"",SUBTOTAL(3,$B$1:B680),"")</f>
        <v/>
      </c>
      <c r="C681" s="74"/>
      <c r="D681" s="74"/>
      <c r="G681" s="1"/>
      <c r="K681" s="42"/>
      <c r="L681" t="str" cm="1">
        <f t="array" ref="L681">IF($K681="","",_xlfn.SWITCH($I681,"Computer",_xlfn.XLOOKUP($K681&amp;"",COMPUTER!$B$3:$B$1009&amp;"",COMPUTER!$I$3:$I$1009,""),"Display",_xlfn.XLOOKUP($K681&amp;"",DISPLAY!$B$3:$B$1000&amp;"",DISPLAY!$J$3:$J$1000,""),"Network Device",_xlfn.XLOOKUP($K681&amp;"",'NETWORK-DEVICES'!$B$3:$B$987&amp;"",'NETWORK-DEVICES'!$I$3:$I$987,""),"Peripheral",_xlfn.XLOOKUP($K681&amp;"",PERIPHERAL!$B$3:$B$954&amp;"",PERIPHERAL!$I$3:$I$954,""),"Utilities",_xlfn.XLOOKUP($K681&amp;"",UTILITIES!$B$3:$B$953&amp;"",UTILITIES!$H$3:$H$953,""),"IOT",_xlfn.XLOOKUP($K681&amp;"",IOT!$B$3:$B$1012&amp;"",IOT!$I$3:$I$1012,""),"SERVER",_xlfn.XLOOKUP($K681&amp;"",SERVER!$B$3:$B$1009&amp;"",SERVER!$I$3:$I$1009,""),""))</f>
        <v/>
      </c>
      <c r="M681" t="str" cm="1">
        <f t="array" ref="M681">IF($K681="","",_xlfn.SWITCH($I681,"Computer",_xlfn.XLOOKUP($K681&amp;"",COMPUTER!$B$3:$B$1009&amp;"",COMPUTER!$J$3:$J$1009,""),"Display",_xlfn.XLOOKUP($K681&amp;"",DISPLAY!$B$3:$B$1000&amp;"",DISPLAY!$K$3:$K$1000,""),"Network Device",_xlfn.XLOOKUP($K681&amp;"",'NETWORK-DEVICES'!$B$3:$B$987&amp;"",'NETWORK-DEVICES'!$I$3:$I$987,""),"Peripheral",_xlfn.XLOOKUP($K681&amp;"",PERIPHERAL!$B$3:$B$954&amp;"",PERIPHERAL!$J$3:$J$954,""),"Utilities",_xlfn.XLOOKUP($K681&amp;"",UTILITIES!$B$3:$B$953&amp;"",UTILITIES!$I$3:$I$953,""),"IOT",_xlfn.XLOOKUP($K681&amp;"",IOT!$B$3:$B$1012&amp;"",IOT!$J$3:$J$1012,""),"Server",_xlfn.XLOOKUP($K681&amp;"",SERVER!$B$3:$B$1009&amp;"",SERVER!$J$3:$J$1009,""),""))</f>
        <v/>
      </c>
      <c r="N681" s="1" t="str" cm="1">
        <f t="array" ref="N681">IF(OR($K681="",$I681="",$J681=""),"",_xlfn.LET(_xlpm.srcCat,_xlfn.SWITCH($I681,"Computer",_xlfn.XLOOKUP($K681&amp;"",COMPUTER!$B$3:$B$1009&amp;"",COMPUTER!$H$3:$H$1009,""),"Display",_xlfn.XLOOKUP($K681&amp;"",DISPLAY!$B$3:$B$1000&amp;"",DISPLAY!$H$3:$H$1000,""),"Network Device",_xlfn.XLOOKUP($K681&amp;"",'NETWORK-DEVICES'!$B$3:$B$987&amp;"",'NETWORK-DEVICES'!$H$3:$H$987,""),"Peripheral",_xlfn.XLOOKUP($K681&amp;"",PERIPHERAL!$B$3:$B$954&amp;"",PERIPHERAL!$H$3:$H$954,""),"Utilities",_xlfn.XLOOKUP($K681&amp;"",UTILITIES!$B$3:$B$953&amp;"",UTILITIES!$G$3:$G$953,""),"IOT",_xlfn.XLOOKUP($K681&amp;"",IOT!$B$3:$B$1012&amp;"",IOT!$H$3:$H$1012,""),"Server",_xlfn.XLOOKUP($K681&amp;"",SERVER!$B$3:$B$1009&amp;"",SERVER!$H$3:$H$1009,""),""),IF(TRIM(_xlpm.srcCat)&lt;&gt;TRIM($J681),"",_xlfn.SWITCH($I681,"Computer",_xlfn.XLOOKUP($K681&amp;"",COMPUTER!$B$3:$B$1009&amp;"",COMPUTER!$K$3:$K$1009,""),"Display",_xlfn.XLOOKUP($K681&amp;"",DISPLAY!$B$3:$B$1000&amp;"",DISPLAY!$L$3:$L$1000,""),"Network Device",_xlfn.XLOOKUP($K681&amp;"",'NETWORK-DEVICES'!$B$3:$B$987&amp;"",'NETWORK-DEVICES'!$K$3:$K$987,""),"Peripheral",_xlfn.XLOOKUP($K681&amp;"",PERIPHERAL!$B$3:$B$954&amp;"",PERIPHERAL!$K$3:$K$954,""),"Utilities",_xlfn.XLOOKUP($K681&amp;"",UTILITIES!$B$3:$B$953&amp;"",UTILITIES!$J$3:$J$953,""),"IOT",_xlfn.XLOOKUP($K681&amp;"",IOT!$B$3:$B$1012&amp;"",IOT!$K$4:$K$1012,""),"Server",_xlfn.XLOOKUP($K681&amp;"",SERVER!$B$3:$B$1009&amp;"",SERVER!$K$3:$K$1009,""),""))))</f>
        <v/>
      </c>
      <c r="O681" s="1" t="str" cm="1">
        <f t="array" ref="O681">IF(OR($K681="",$I681="",$J681=""),"",_xlfn.LET(_xlpm.srcCat,_xlfn.SWITCH($I681,"Computer",_xlfn.XLOOKUP($K681&amp;"",COMPUTER!$B$3:$B$1009&amp;"",COMPUTER!$H$3:$H$1009,""),"Display",_xlfn.XLOOKUP($K681&amp;"",DISPLAY!$B$3:$B$1000&amp;"",DISPLAY!$H$3:$H$1000,""),"Network Device",_xlfn.XLOOKUP($K681&amp;"",'NETWORK-DEVICES'!$B$3:$B$987&amp;"",'NETWORK-DEVICES'!$H$3:$H$987,""),"Peripheral",_xlfn.XLOOKUP($K681&amp;"",PERIPHERAL!$B$3:$B$954&amp;"",PERIPHERAL!$H$3:$H$954,""),"Utilities",_xlfn.XLOOKUP($K681&amp;"",UTILITIES!$B$3:$B$953&amp;"",UTILITIES!$G$3:$G$953,""),"IOT",_xlfn.XLOOKUP($K681&amp;"",IOT!$B$3:$B$1012&amp;"",IOT!$H$3:$H$1012,""),"Server",_xlfn.XLOOKUP($K681&amp;"",SERVER!$B$3:$B$1009&amp;"",SERVER!$H$3:$H$1009,""),""),IF(TRIM(_xlpm.srcCat)&lt;&gt;TRIM($J681),"",_xlfn.SWITCH($I681,"Computer",_xlfn.XLOOKUP($K681&amp;"",COMPUTER!$B$3:$B$1009&amp;"",COMPUTER!$E$3:$E$1009,""),"Display",_xlfn.XLOOKUP($K681&amp;"",DISPLAY!$B$3:$B$1000&amp;"",DISPLAY!$E$3:$E$1000,""),"Network Device",_xlfn.XLOOKUP($K681&amp;"",'NETWORK-DEVICES'!$B$3:$B$987&amp;"",'NETWORK-DEVICES'!$E$3:$E$987,""),"Peripheral",_xlfn.XLOOKUP($K681&amp;"",PERIPHERAL!$B$3:$B$954&amp;"",PERIPHERAL!$E$3:$E$954,""),"Utilities",_xlfn.XLOOKUP($K681&amp;"",UTILITIES!$B$3:$B$953&amp;"",UTILITIES!$E$3:$E$953,""),"IOT",_xlfn.XLOOKUP($K681&amp;"",IOT!$B$3:$B$1012&amp;"",IOT!$E$3:$E$1012,""),"Server",_xlfn.XLOOKUP($K681&amp;"",SERVER!$B$3:$B$1009&amp;"",SERVER!$E$3:$E$1009,""),""))))</f>
        <v/>
      </c>
      <c r="Q681" s="1" t="str" cm="1">
        <f t="array" ref="Q681">IF(OR($K681="",$I681="",$J681=""),"",_xlfn.LET(_xlpm.srcCat,_xlfn.SWITCH($I681,"Computer",_xlfn.XLOOKUP($K681&amp;"",COMPUTER!$B$3:$B$1009&amp;"",COMPUTER!$H$3:$H$1009,""),"Display",_xlfn.XLOOKUP($K681&amp;"",DISPLAY!$B$3:$B$1000&amp;"",DISPLAY!$H$3:$H$1000,""),"Network Device",_xlfn.XLOOKUP($K681&amp;"",'NETWORK-DEVICES'!$B$3:$B$987&amp;"",'NETWORK-DEVICES'!$H$3:$H$987,""),"Peripheral",_xlfn.XLOOKUP($K681&amp;"",PERIPHERAL!$B$3:$B$954&amp;"",PERIPHERAL!$H$3:$H$954,""),"Utilities",_xlfn.XLOOKUP($K681&amp;"",UTILITIES!$B$3:$B$953&amp;"",UTILITIES!$G$3:$G$953,""),"IOT",_xlfn.XLOOKUP($K681&amp;"",IOT!$B$3:$B$1012&amp;"",IOT!$H$3:$H$1012,""),"Server",_xlfn.XLOOKUP($K681&amp;"",SERVER!$B$3:$B$1009&amp;"",SERVER!$H$3:$H$1009,""),""),IF(TRIM(_xlpm.srcCat)&lt;&gt;TRIM($J681),"",_xlfn.SWITCH($I681,"Computer",_xlfn.XLOOKUP($K681&amp;"",COMPUTER!$B$3:$B$1009&amp;"",COMPUTER!$AM$3:$AM$1009,""),"Display",_xlfn.XLOOKUP($K681&amp;"",DISPLAY!$B$3:$B$1000&amp;"",DISPLAY!$V$3:$V$1000,""),"Network Device",_xlfn.XLOOKUP($K681&amp;"",'NETWORK-DEVICES'!$B$3:$B$987&amp;"",'NETWORK-DEVICES'!$AF$3:$AF$987,""),"Peripheral",_xlfn.XLOOKUP($K681&amp;"",PERIPHERAL!$B$3:$B$954&amp;"",PERIPHERAL!$Y$3:$Y$954,""),"Utilities",_xlfn.XLOOKUP($K681&amp;"",UTILITIES!$B$3:$B$953&amp;"",UTILITIES!$O$3:$O$953,""),"IOT",_xlfn.XLOOKUP($K681&amp;"",IOT!$B$3:$B$1012&amp;"",IOT!$AB$3:$AB$1012,""),"Server",_xlfn.XLOOKUP($K681&amp;"",SERVER!$B$3:$B$1009&amp;"",SERVER!$AB$3:$AB$1009,""),""))))</f>
        <v/>
      </c>
      <c r="R681" s="43" t="str">
        <f>IF(tbl_handover[[#This Row],[Asset Code]]="","",COUNTIF(tbl_handover[Asset Code],tbl_handover[[#This Row],[Asset Code]]))</f>
        <v/>
      </c>
    </row>
    <row r="682" spans="1:18" x14ac:dyDescent="0.25">
      <c r="A682" s="43" t="str">
        <f>IF(B682&lt;&gt;"",SUBTOTAL(3,$B$1:B681),"")</f>
        <v/>
      </c>
      <c r="C682" s="74"/>
      <c r="D682" s="74"/>
      <c r="G682" s="1"/>
      <c r="K682" s="42"/>
      <c r="L682" t="str" cm="1">
        <f t="array" ref="L682">IF($K682="","",_xlfn.SWITCH($I682,"Computer",_xlfn.XLOOKUP($K682&amp;"",COMPUTER!$B$3:$B$1009&amp;"",COMPUTER!$I$3:$I$1009,""),"Display",_xlfn.XLOOKUP($K682&amp;"",DISPLAY!$B$3:$B$1000&amp;"",DISPLAY!$J$3:$J$1000,""),"Network Device",_xlfn.XLOOKUP($K682&amp;"",'NETWORK-DEVICES'!$B$3:$B$987&amp;"",'NETWORK-DEVICES'!$I$3:$I$987,""),"Peripheral",_xlfn.XLOOKUP($K682&amp;"",PERIPHERAL!$B$3:$B$954&amp;"",PERIPHERAL!$I$3:$I$954,""),"Utilities",_xlfn.XLOOKUP($K682&amp;"",UTILITIES!$B$3:$B$953&amp;"",UTILITIES!$H$3:$H$953,""),"IOT",_xlfn.XLOOKUP($K682&amp;"",IOT!$B$3:$B$1012&amp;"",IOT!$I$3:$I$1012,""),"SERVER",_xlfn.XLOOKUP($K682&amp;"",SERVER!$B$3:$B$1009&amp;"",SERVER!$I$3:$I$1009,""),""))</f>
        <v/>
      </c>
      <c r="M682" t="str" cm="1">
        <f t="array" ref="M682">IF($K682="","",_xlfn.SWITCH($I682,"Computer",_xlfn.XLOOKUP($K682&amp;"",COMPUTER!$B$3:$B$1009&amp;"",COMPUTER!$J$3:$J$1009,""),"Display",_xlfn.XLOOKUP($K682&amp;"",DISPLAY!$B$3:$B$1000&amp;"",DISPLAY!$K$3:$K$1000,""),"Network Device",_xlfn.XLOOKUP($K682&amp;"",'NETWORK-DEVICES'!$B$3:$B$987&amp;"",'NETWORK-DEVICES'!$I$3:$I$987,""),"Peripheral",_xlfn.XLOOKUP($K682&amp;"",PERIPHERAL!$B$3:$B$954&amp;"",PERIPHERAL!$J$3:$J$954,""),"Utilities",_xlfn.XLOOKUP($K682&amp;"",UTILITIES!$B$3:$B$953&amp;"",UTILITIES!$I$3:$I$953,""),"IOT",_xlfn.XLOOKUP($K682&amp;"",IOT!$B$3:$B$1012&amp;"",IOT!$J$3:$J$1012,""),"Server",_xlfn.XLOOKUP($K682&amp;"",SERVER!$B$3:$B$1009&amp;"",SERVER!$J$3:$J$1009,""),""))</f>
        <v/>
      </c>
      <c r="N682" s="1" t="str" cm="1">
        <f t="array" ref="N682">IF(OR($K682="",$I682="",$J682=""),"",_xlfn.LET(_xlpm.srcCat,_xlfn.SWITCH($I682,"Computer",_xlfn.XLOOKUP($K682&amp;"",COMPUTER!$B$3:$B$1009&amp;"",COMPUTER!$H$3:$H$1009,""),"Display",_xlfn.XLOOKUP($K682&amp;"",DISPLAY!$B$3:$B$1000&amp;"",DISPLAY!$H$3:$H$1000,""),"Network Device",_xlfn.XLOOKUP($K682&amp;"",'NETWORK-DEVICES'!$B$3:$B$987&amp;"",'NETWORK-DEVICES'!$H$3:$H$987,""),"Peripheral",_xlfn.XLOOKUP($K682&amp;"",PERIPHERAL!$B$3:$B$954&amp;"",PERIPHERAL!$H$3:$H$954,""),"Utilities",_xlfn.XLOOKUP($K682&amp;"",UTILITIES!$B$3:$B$953&amp;"",UTILITIES!$G$3:$G$953,""),"IOT",_xlfn.XLOOKUP($K682&amp;"",IOT!$B$3:$B$1012&amp;"",IOT!$H$3:$H$1012,""),"Server",_xlfn.XLOOKUP($K682&amp;"",SERVER!$B$3:$B$1009&amp;"",SERVER!$H$3:$H$1009,""),""),IF(TRIM(_xlpm.srcCat)&lt;&gt;TRIM($J682),"",_xlfn.SWITCH($I682,"Computer",_xlfn.XLOOKUP($K682&amp;"",COMPUTER!$B$3:$B$1009&amp;"",COMPUTER!$K$3:$K$1009,""),"Display",_xlfn.XLOOKUP($K682&amp;"",DISPLAY!$B$3:$B$1000&amp;"",DISPLAY!$L$3:$L$1000,""),"Network Device",_xlfn.XLOOKUP($K682&amp;"",'NETWORK-DEVICES'!$B$3:$B$987&amp;"",'NETWORK-DEVICES'!$K$3:$K$987,""),"Peripheral",_xlfn.XLOOKUP($K682&amp;"",PERIPHERAL!$B$3:$B$954&amp;"",PERIPHERAL!$K$3:$K$954,""),"Utilities",_xlfn.XLOOKUP($K682&amp;"",UTILITIES!$B$3:$B$953&amp;"",UTILITIES!$J$3:$J$953,""),"IOT",_xlfn.XLOOKUP($K682&amp;"",IOT!$B$3:$B$1012&amp;"",IOT!$K$4:$K$1012,""),"Server",_xlfn.XLOOKUP($K682&amp;"",SERVER!$B$3:$B$1009&amp;"",SERVER!$K$3:$K$1009,""),""))))</f>
        <v/>
      </c>
      <c r="O682" s="1" t="str" cm="1">
        <f t="array" ref="O682">IF(OR($K682="",$I682="",$J682=""),"",_xlfn.LET(_xlpm.srcCat,_xlfn.SWITCH($I682,"Computer",_xlfn.XLOOKUP($K682&amp;"",COMPUTER!$B$3:$B$1009&amp;"",COMPUTER!$H$3:$H$1009,""),"Display",_xlfn.XLOOKUP($K682&amp;"",DISPLAY!$B$3:$B$1000&amp;"",DISPLAY!$H$3:$H$1000,""),"Network Device",_xlfn.XLOOKUP($K682&amp;"",'NETWORK-DEVICES'!$B$3:$B$987&amp;"",'NETWORK-DEVICES'!$H$3:$H$987,""),"Peripheral",_xlfn.XLOOKUP($K682&amp;"",PERIPHERAL!$B$3:$B$954&amp;"",PERIPHERAL!$H$3:$H$954,""),"Utilities",_xlfn.XLOOKUP($K682&amp;"",UTILITIES!$B$3:$B$953&amp;"",UTILITIES!$G$3:$G$953,""),"IOT",_xlfn.XLOOKUP($K682&amp;"",IOT!$B$3:$B$1012&amp;"",IOT!$H$3:$H$1012,""),"Server",_xlfn.XLOOKUP($K682&amp;"",SERVER!$B$3:$B$1009&amp;"",SERVER!$H$3:$H$1009,""),""),IF(TRIM(_xlpm.srcCat)&lt;&gt;TRIM($J682),"",_xlfn.SWITCH($I682,"Computer",_xlfn.XLOOKUP($K682&amp;"",COMPUTER!$B$3:$B$1009&amp;"",COMPUTER!$E$3:$E$1009,""),"Display",_xlfn.XLOOKUP($K682&amp;"",DISPLAY!$B$3:$B$1000&amp;"",DISPLAY!$E$3:$E$1000,""),"Network Device",_xlfn.XLOOKUP($K682&amp;"",'NETWORK-DEVICES'!$B$3:$B$987&amp;"",'NETWORK-DEVICES'!$E$3:$E$987,""),"Peripheral",_xlfn.XLOOKUP($K682&amp;"",PERIPHERAL!$B$3:$B$954&amp;"",PERIPHERAL!$E$3:$E$954,""),"Utilities",_xlfn.XLOOKUP($K682&amp;"",UTILITIES!$B$3:$B$953&amp;"",UTILITIES!$E$3:$E$953,""),"IOT",_xlfn.XLOOKUP($K682&amp;"",IOT!$B$3:$B$1012&amp;"",IOT!$E$3:$E$1012,""),"Server",_xlfn.XLOOKUP($K682&amp;"",SERVER!$B$3:$B$1009&amp;"",SERVER!$E$3:$E$1009,""),""))))</f>
        <v/>
      </c>
      <c r="Q682" s="1" t="str" cm="1">
        <f t="array" ref="Q682">IF(OR($K682="",$I682="",$J682=""),"",_xlfn.LET(_xlpm.srcCat,_xlfn.SWITCH($I682,"Computer",_xlfn.XLOOKUP($K682&amp;"",COMPUTER!$B$3:$B$1009&amp;"",COMPUTER!$H$3:$H$1009,""),"Display",_xlfn.XLOOKUP($K682&amp;"",DISPLAY!$B$3:$B$1000&amp;"",DISPLAY!$H$3:$H$1000,""),"Network Device",_xlfn.XLOOKUP($K682&amp;"",'NETWORK-DEVICES'!$B$3:$B$987&amp;"",'NETWORK-DEVICES'!$H$3:$H$987,""),"Peripheral",_xlfn.XLOOKUP($K682&amp;"",PERIPHERAL!$B$3:$B$954&amp;"",PERIPHERAL!$H$3:$H$954,""),"Utilities",_xlfn.XLOOKUP($K682&amp;"",UTILITIES!$B$3:$B$953&amp;"",UTILITIES!$G$3:$G$953,""),"IOT",_xlfn.XLOOKUP($K682&amp;"",IOT!$B$3:$B$1012&amp;"",IOT!$H$3:$H$1012,""),"Server",_xlfn.XLOOKUP($K682&amp;"",SERVER!$B$3:$B$1009&amp;"",SERVER!$H$3:$H$1009,""),""),IF(TRIM(_xlpm.srcCat)&lt;&gt;TRIM($J682),"",_xlfn.SWITCH($I682,"Computer",_xlfn.XLOOKUP($K682&amp;"",COMPUTER!$B$3:$B$1009&amp;"",COMPUTER!$AM$3:$AM$1009,""),"Display",_xlfn.XLOOKUP($K682&amp;"",DISPLAY!$B$3:$B$1000&amp;"",DISPLAY!$V$3:$V$1000,""),"Network Device",_xlfn.XLOOKUP($K682&amp;"",'NETWORK-DEVICES'!$B$3:$B$987&amp;"",'NETWORK-DEVICES'!$AF$3:$AF$987,""),"Peripheral",_xlfn.XLOOKUP($K682&amp;"",PERIPHERAL!$B$3:$B$954&amp;"",PERIPHERAL!$Y$3:$Y$954,""),"Utilities",_xlfn.XLOOKUP($K682&amp;"",UTILITIES!$B$3:$B$953&amp;"",UTILITIES!$O$3:$O$953,""),"IOT",_xlfn.XLOOKUP($K682&amp;"",IOT!$B$3:$B$1012&amp;"",IOT!$AB$3:$AB$1012,""),"Server",_xlfn.XLOOKUP($K682&amp;"",SERVER!$B$3:$B$1009&amp;"",SERVER!$AB$3:$AB$1009,""),""))))</f>
        <v/>
      </c>
      <c r="R682" s="43" t="str">
        <f>IF(tbl_handover[[#This Row],[Asset Code]]="","",COUNTIF(tbl_handover[Asset Code],tbl_handover[[#This Row],[Asset Code]]))</f>
        <v/>
      </c>
    </row>
    <row r="683" spans="1:18" x14ac:dyDescent="0.25">
      <c r="A683" s="43" t="str">
        <f>IF(B683&lt;&gt;"",SUBTOTAL(3,$B$1:B682),"")</f>
        <v/>
      </c>
      <c r="C683" s="74"/>
      <c r="D683" s="74"/>
      <c r="G683" s="1"/>
      <c r="K683" s="42"/>
      <c r="L683" t="str" cm="1">
        <f t="array" ref="L683">IF($K683="","",_xlfn.SWITCH($I683,"Computer",_xlfn.XLOOKUP($K683&amp;"",COMPUTER!$B$3:$B$1009&amp;"",COMPUTER!$I$3:$I$1009,""),"Display",_xlfn.XLOOKUP($K683&amp;"",DISPLAY!$B$3:$B$1000&amp;"",DISPLAY!$J$3:$J$1000,""),"Network Device",_xlfn.XLOOKUP($K683&amp;"",'NETWORK-DEVICES'!$B$3:$B$987&amp;"",'NETWORK-DEVICES'!$I$3:$I$987,""),"Peripheral",_xlfn.XLOOKUP($K683&amp;"",PERIPHERAL!$B$3:$B$954&amp;"",PERIPHERAL!$I$3:$I$954,""),"Utilities",_xlfn.XLOOKUP($K683&amp;"",UTILITIES!$B$3:$B$953&amp;"",UTILITIES!$H$3:$H$953,""),"IOT",_xlfn.XLOOKUP($K683&amp;"",IOT!$B$3:$B$1012&amp;"",IOT!$I$3:$I$1012,""),"SERVER",_xlfn.XLOOKUP($K683&amp;"",SERVER!$B$3:$B$1009&amp;"",SERVER!$I$3:$I$1009,""),""))</f>
        <v/>
      </c>
      <c r="M683" t="str" cm="1">
        <f t="array" ref="M683">IF($K683="","",_xlfn.SWITCH($I683,"Computer",_xlfn.XLOOKUP($K683&amp;"",COMPUTER!$B$3:$B$1009&amp;"",COMPUTER!$J$3:$J$1009,""),"Display",_xlfn.XLOOKUP($K683&amp;"",DISPLAY!$B$3:$B$1000&amp;"",DISPLAY!$K$3:$K$1000,""),"Network Device",_xlfn.XLOOKUP($K683&amp;"",'NETWORK-DEVICES'!$B$3:$B$987&amp;"",'NETWORK-DEVICES'!$I$3:$I$987,""),"Peripheral",_xlfn.XLOOKUP($K683&amp;"",PERIPHERAL!$B$3:$B$954&amp;"",PERIPHERAL!$J$3:$J$954,""),"Utilities",_xlfn.XLOOKUP($K683&amp;"",UTILITIES!$B$3:$B$953&amp;"",UTILITIES!$I$3:$I$953,""),"IOT",_xlfn.XLOOKUP($K683&amp;"",IOT!$B$3:$B$1012&amp;"",IOT!$J$3:$J$1012,""),"Server",_xlfn.XLOOKUP($K683&amp;"",SERVER!$B$3:$B$1009&amp;"",SERVER!$J$3:$J$1009,""),""))</f>
        <v/>
      </c>
      <c r="N683" s="1" t="str" cm="1">
        <f t="array" ref="N683">IF(OR($K683="",$I683="",$J683=""),"",_xlfn.LET(_xlpm.srcCat,_xlfn.SWITCH($I683,"Computer",_xlfn.XLOOKUP($K683&amp;"",COMPUTER!$B$3:$B$1009&amp;"",COMPUTER!$H$3:$H$1009,""),"Display",_xlfn.XLOOKUP($K683&amp;"",DISPLAY!$B$3:$B$1000&amp;"",DISPLAY!$H$3:$H$1000,""),"Network Device",_xlfn.XLOOKUP($K683&amp;"",'NETWORK-DEVICES'!$B$3:$B$987&amp;"",'NETWORK-DEVICES'!$H$3:$H$987,""),"Peripheral",_xlfn.XLOOKUP($K683&amp;"",PERIPHERAL!$B$3:$B$954&amp;"",PERIPHERAL!$H$3:$H$954,""),"Utilities",_xlfn.XLOOKUP($K683&amp;"",UTILITIES!$B$3:$B$953&amp;"",UTILITIES!$G$3:$G$953,""),"IOT",_xlfn.XLOOKUP($K683&amp;"",IOT!$B$3:$B$1012&amp;"",IOT!$H$3:$H$1012,""),"Server",_xlfn.XLOOKUP($K683&amp;"",SERVER!$B$3:$B$1009&amp;"",SERVER!$H$3:$H$1009,""),""),IF(TRIM(_xlpm.srcCat)&lt;&gt;TRIM($J683),"",_xlfn.SWITCH($I683,"Computer",_xlfn.XLOOKUP($K683&amp;"",COMPUTER!$B$3:$B$1009&amp;"",COMPUTER!$K$3:$K$1009,""),"Display",_xlfn.XLOOKUP($K683&amp;"",DISPLAY!$B$3:$B$1000&amp;"",DISPLAY!$L$3:$L$1000,""),"Network Device",_xlfn.XLOOKUP($K683&amp;"",'NETWORK-DEVICES'!$B$3:$B$987&amp;"",'NETWORK-DEVICES'!$K$3:$K$987,""),"Peripheral",_xlfn.XLOOKUP($K683&amp;"",PERIPHERAL!$B$3:$B$954&amp;"",PERIPHERAL!$K$3:$K$954,""),"Utilities",_xlfn.XLOOKUP($K683&amp;"",UTILITIES!$B$3:$B$953&amp;"",UTILITIES!$J$3:$J$953,""),"IOT",_xlfn.XLOOKUP($K683&amp;"",IOT!$B$3:$B$1012&amp;"",IOT!$K$4:$K$1012,""),"Server",_xlfn.XLOOKUP($K683&amp;"",SERVER!$B$3:$B$1009&amp;"",SERVER!$K$3:$K$1009,""),""))))</f>
        <v/>
      </c>
      <c r="O683" s="1" t="str" cm="1">
        <f t="array" ref="O683">IF(OR($K683="",$I683="",$J683=""),"",_xlfn.LET(_xlpm.srcCat,_xlfn.SWITCH($I683,"Computer",_xlfn.XLOOKUP($K683&amp;"",COMPUTER!$B$3:$B$1009&amp;"",COMPUTER!$H$3:$H$1009,""),"Display",_xlfn.XLOOKUP($K683&amp;"",DISPLAY!$B$3:$B$1000&amp;"",DISPLAY!$H$3:$H$1000,""),"Network Device",_xlfn.XLOOKUP($K683&amp;"",'NETWORK-DEVICES'!$B$3:$B$987&amp;"",'NETWORK-DEVICES'!$H$3:$H$987,""),"Peripheral",_xlfn.XLOOKUP($K683&amp;"",PERIPHERAL!$B$3:$B$954&amp;"",PERIPHERAL!$H$3:$H$954,""),"Utilities",_xlfn.XLOOKUP($K683&amp;"",UTILITIES!$B$3:$B$953&amp;"",UTILITIES!$G$3:$G$953,""),"IOT",_xlfn.XLOOKUP($K683&amp;"",IOT!$B$3:$B$1012&amp;"",IOT!$H$3:$H$1012,""),"Server",_xlfn.XLOOKUP($K683&amp;"",SERVER!$B$3:$B$1009&amp;"",SERVER!$H$3:$H$1009,""),""),IF(TRIM(_xlpm.srcCat)&lt;&gt;TRIM($J683),"",_xlfn.SWITCH($I683,"Computer",_xlfn.XLOOKUP($K683&amp;"",COMPUTER!$B$3:$B$1009&amp;"",COMPUTER!$E$3:$E$1009,""),"Display",_xlfn.XLOOKUP($K683&amp;"",DISPLAY!$B$3:$B$1000&amp;"",DISPLAY!$E$3:$E$1000,""),"Network Device",_xlfn.XLOOKUP($K683&amp;"",'NETWORK-DEVICES'!$B$3:$B$987&amp;"",'NETWORK-DEVICES'!$E$3:$E$987,""),"Peripheral",_xlfn.XLOOKUP($K683&amp;"",PERIPHERAL!$B$3:$B$954&amp;"",PERIPHERAL!$E$3:$E$954,""),"Utilities",_xlfn.XLOOKUP($K683&amp;"",UTILITIES!$B$3:$B$953&amp;"",UTILITIES!$E$3:$E$953,""),"IOT",_xlfn.XLOOKUP($K683&amp;"",IOT!$B$3:$B$1012&amp;"",IOT!$E$3:$E$1012,""),"Server",_xlfn.XLOOKUP($K683&amp;"",SERVER!$B$3:$B$1009&amp;"",SERVER!$E$3:$E$1009,""),""))))</f>
        <v/>
      </c>
      <c r="Q683" s="1" t="str" cm="1">
        <f t="array" ref="Q683">IF(OR($K683="",$I683="",$J683=""),"",_xlfn.LET(_xlpm.srcCat,_xlfn.SWITCH($I683,"Computer",_xlfn.XLOOKUP($K683&amp;"",COMPUTER!$B$3:$B$1009&amp;"",COMPUTER!$H$3:$H$1009,""),"Display",_xlfn.XLOOKUP($K683&amp;"",DISPLAY!$B$3:$B$1000&amp;"",DISPLAY!$H$3:$H$1000,""),"Network Device",_xlfn.XLOOKUP($K683&amp;"",'NETWORK-DEVICES'!$B$3:$B$987&amp;"",'NETWORK-DEVICES'!$H$3:$H$987,""),"Peripheral",_xlfn.XLOOKUP($K683&amp;"",PERIPHERAL!$B$3:$B$954&amp;"",PERIPHERAL!$H$3:$H$954,""),"Utilities",_xlfn.XLOOKUP($K683&amp;"",UTILITIES!$B$3:$B$953&amp;"",UTILITIES!$G$3:$G$953,""),"IOT",_xlfn.XLOOKUP($K683&amp;"",IOT!$B$3:$B$1012&amp;"",IOT!$H$3:$H$1012,""),"Server",_xlfn.XLOOKUP($K683&amp;"",SERVER!$B$3:$B$1009&amp;"",SERVER!$H$3:$H$1009,""),""),IF(TRIM(_xlpm.srcCat)&lt;&gt;TRIM($J683),"",_xlfn.SWITCH($I683,"Computer",_xlfn.XLOOKUP($K683&amp;"",COMPUTER!$B$3:$B$1009&amp;"",COMPUTER!$AM$3:$AM$1009,""),"Display",_xlfn.XLOOKUP($K683&amp;"",DISPLAY!$B$3:$B$1000&amp;"",DISPLAY!$V$3:$V$1000,""),"Network Device",_xlfn.XLOOKUP($K683&amp;"",'NETWORK-DEVICES'!$B$3:$B$987&amp;"",'NETWORK-DEVICES'!$AF$3:$AF$987,""),"Peripheral",_xlfn.XLOOKUP($K683&amp;"",PERIPHERAL!$B$3:$B$954&amp;"",PERIPHERAL!$Y$3:$Y$954,""),"Utilities",_xlfn.XLOOKUP($K683&amp;"",UTILITIES!$B$3:$B$953&amp;"",UTILITIES!$O$3:$O$953,""),"IOT",_xlfn.XLOOKUP($K683&amp;"",IOT!$B$3:$B$1012&amp;"",IOT!$AB$3:$AB$1012,""),"Server",_xlfn.XLOOKUP($K683&amp;"",SERVER!$B$3:$B$1009&amp;"",SERVER!$AB$3:$AB$1009,""),""))))</f>
        <v/>
      </c>
      <c r="R683" s="43" t="str">
        <f>IF(tbl_handover[[#This Row],[Asset Code]]="","",COUNTIF(tbl_handover[Asset Code],tbl_handover[[#This Row],[Asset Code]]))</f>
        <v/>
      </c>
    </row>
    <row r="684" spans="1:18" x14ac:dyDescent="0.25">
      <c r="A684" s="43" t="str">
        <f>IF(B684&lt;&gt;"",SUBTOTAL(3,$B$1:B683),"")</f>
        <v/>
      </c>
      <c r="C684" s="74"/>
      <c r="D684" s="74"/>
      <c r="G684" s="1"/>
      <c r="K684" s="42"/>
      <c r="L684" t="str" cm="1">
        <f t="array" ref="L684">IF($K684="","",_xlfn.SWITCH($I684,"Computer",_xlfn.XLOOKUP($K684&amp;"",COMPUTER!$B$3:$B$1009&amp;"",COMPUTER!$I$3:$I$1009,""),"Display",_xlfn.XLOOKUP($K684&amp;"",DISPLAY!$B$3:$B$1000&amp;"",DISPLAY!$J$3:$J$1000,""),"Network Device",_xlfn.XLOOKUP($K684&amp;"",'NETWORK-DEVICES'!$B$3:$B$987&amp;"",'NETWORK-DEVICES'!$I$3:$I$987,""),"Peripheral",_xlfn.XLOOKUP($K684&amp;"",PERIPHERAL!$B$3:$B$954&amp;"",PERIPHERAL!$I$3:$I$954,""),"Utilities",_xlfn.XLOOKUP($K684&amp;"",UTILITIES!$B$3:$B$953&amp;"",UTILITIES!$H$3:$H$953,""),"IOT",_xlfn.XLOOKUP($K684&amp;"",IOT!$B$3:$B$1012&amp;"",IOT!$I$3:$I$1012,""),"SERVER",_xlfn.XLOOKUP($K684&amp;"",SERVER!$B$3:$B$1009&amp;"",SERVER!$I$3:$I$1009,""),""))</f>
        <v/>
      </c>
      <c r="M684" t="str" cm="1">
        <f t="array" ref="M684">IF($K684="","",_xlfn.SWITCH($I684,"Computer",_xlfn.XLOOKUP($K684&amp;"",COMPUTER!$B$3:$B$1009&amp;"",COMPUTER!$J$3:$J$1009,""),"Display",_xlfn.XLOOKUP($K684&amp;"",DISPLAY!$B$3:$B$1000&amp;"",DISPLAY!$K$3:$K$1000,""),"Network Device",_xlfn.XLOOKUP($K684&amp;"",'NETWORK-DEVICES'!$B$3:$B$987&amp;"",'NETWORK-DEVICES'!$I$3:$I$987,""),"Peripheral",_xlfn.XLOOKUP($K684&amp;"",PERIPHERAL!$B$3:$B$954&amp;"",PERIPHERAL!$J$3:$J$954,""),"Utilities",_xlfn.XLOOKUP($K684&amp;"",UTILITIES!$B$3:$B$953&amp;"",UTILITIES!$I$3:$I$953,""),"IOT",_xlfn.XLOOKUP($K684&amp;"",IOT!$B$3:$B$1012&amp;"",IOT!$J$3:$J$1012,""),"Server",_xlfn.XLOOKUP($K684&amp;"",SERVER!$B$3:$B$1009&amp;"",SERVER!$J$3:$J$1009,""),""))</f>
        <v/>
      </c>
      <c r="N684" s="1" t="str" cm="1">
        <f t="array" ref="N684">IF(OR($K684="",$I684="",$J684=""),"",_xlfn.LET(_xlpm.srcCat,_xlfn.SWITCH($I684,"Computer",_xlfn.XLOOKUP($K684&amp;"",COMPUTER!$B$3:$B$1009&amp;"",COMPUTER!$H$3:$H$1009,""),"Display",_xlfn.XLOOKUP($K684&amp;"",DISPLAY!$B$3:$B$1000&amp;"",DISPLAY!$H$3:$H$1000,""),"Network Device",_xlfn.XLOOKUP($K684&amp;"",'NETWORK-DEVICES'!$B$3:$B$987&amp;"",'NETWORK-DEVICES'!$H$3:$H$987,""),"Peripheral",_xlfn.XLOOKUP($K684&amp;"",PERIPHERAL!$B$3:$B$954&amp;"",PERIPHERAL!$H$3:$H$954,""),"Utilities",_xlfn.XLOOKUP($K684&amp;"",UTILITIES!$B$3:$B$953&amp;"",UTILITIES!$G$3:$G$953,""),"IOT",_xlfn.XLOOKUP($K684&amp;"",IOT!$B$3:$B$1012&amp;"",IOT!$H$3:$H$1012,""),"Server",_xlfn.XLOOKUP($K684&amp;"",SERVER!$B$3:$B$1009&amp;"",SERVER!$H$3:$H$1009,""),""),IF(TRIM(_xlpm.srcCat)&lt;&gt;TRIM($J684),"",_xlfn.SWITCH($I684,"Computer",_xlfn.XLOOKUP($K684&amp;"",COMPUTER!$B$3:$B$1009&amp;"",COMPUTER!$K$3:$K$1009,""),"Display",_xlfn.XLOOKUP($K684&amp;"",DISPLAY!$B$3:$B$1000&amp;"",DISPLAY!$L$3:$L$1000,""),"Network Device",_xlfn.XLOOKUP($K684&amp;"",'NETWORK-DEVICES'!$B$3:$B$987&amp;"",'NETWORK-DEVICES'!$K$3:$K$987,""),"Peripheral",_xlfn.XLOOKUP($K684&amp;"",PERIPHERAL!$B$3:$B$954&amp;"",PERIPHERAL!$K$3:$K$954,""),"Utilities",_xlfn.XLOOKUP($K684&amp;"",UTILITIES!$B$3:$B$953&amp;"",UTILITIES!$J$3:$J$953,""),"IOT",_xlfn.XLOOKUP($K684&amp;"",IOT!$B$3:$B$1012&amp;"",IOT!$K$4:$K$1012,""),"Server",_xlfn.XLOOKUP($K684&amp;"",SERVER!$B$3:$B$1009&amp;"",SERVER!$K$3:$K$1009,""),""))))</f>
        <v/>
      </c>
      <c r="O684" s="1" t="str" cm="1">
        <f t="array" ref="O684">IF(OR($K684="",$I684="",$J684=""),"",_xlfn.LET(_xlpm.srcCat,_xlfn.SWITCH($I684,"Computer",_xlfn.XLOOKUP($K684&amp;"",COMPUTER!$B$3:$B$1009&amp;"",COMPUTER!$H$3:$H$1009,""),"Display",_xlfn.XLOOKUP($K684&amp;"",DISPLAY!$B$3:$B$1000&amp;"",DISPLAY!$H$3:$H$1000,""),"Network Device",_xlfn.XLOOKUP($K684&amp;"",'NETWORK-DEVICES'!$B$3:$B$987&amp;"",'NETWORK-DEVICES'!$H$3:$H$987,""),"Peripheral",_xlfn.XLOOKUP($K684&amp;"",PERIPHERAL!$B$3:$B$954&amp;"",PERIPHERAL!$H$3:$H$954,""),"Utilities",_xlfn.XLOOKUP($K684&amp;"",UTILITIES!$B$3:$B$953&amp;"",UTILITIES!$G$3:$G$953,""),"IOT",_xlfn.XLOOKUP($K684&amp;"",IOT!$B$3:$B$1012&amp;"",IOT!$H$3:$H$1012,""),"Server",_xlfn.XLOOKUP($K684&amp;"",SERVER!$B$3:$B$1009&amp;"",SERVER!$H$3:$H$1009,""),""),IF(TRIM(_xlpm.srcCat)&lt;&gt;TRIM($J684),"",_xlfn.SWITCH($I684,"Computer",_xlfn.XLOOKUP($K684&amp;"",COMPUTER!$B$3:$B$1009&amp;"",COMPUTER!$E$3:$E$1009,""),"Display",_xlfn.XLOOKUP($K684&amp;"",DISPLAY!$B$3:$B$1000&amp;"",DISPLAY!$E$3:$E$1000,""),"Network Device",_xlfn.XLOOKUP($K684&amp;"",'NETWORK-DEVICES'!$B$3:$B$987&amp;"",'NETWORK-DEVICES'!$E$3:$E$987,""),"Peripheral",_xlfn.XLOOKUP($K684&amp;"",PERIPHERAL!$B$3:$B$954&amp;"",PERIPHERAL!$E$3:$E$954,""),"Utilities",_xlfn.XLOOKUP($K684&amp;"",UTILITIES!$B$3:$B$953&amp;"",UTILITIES!$E$3:$E$953,""),"IOT",_xlfn.XLOOKUP($K684&amp;"",IOT!$B$3:$B$1012&amp;"",IOT!$E$3:$E$1012,""),"Server",_xlfn.XLOOKUP($K684&amp;"",SERVER!$B$3:$B$1009&amp;"",SERVER!$E$3:$E$1009,""),""))))</f>
        <v/>
      </c>
      <c r="Q684" s="1" t="str" cm="1">
        <f t="array" ref="Q684">IF(OR($K684="",$I684="",$J684=""),"",_xlfn.LET(_xlpm.srcCat,_xlfn.SWITCH($I684,"Computer",_xlfn.XLOOKUP($K684&amp;"",COMPUTER!$B$3:$B$1009&amp;"",COMPUTER!$H$3:$H$1009,""),"Display",_xlfn.XLOOKUP($K684&amp;"",DISPLAY!$B$3:$B$1000&amp;"",DISPLAY!$H$3:$H$1000,""),"Network Device",_xlfn.XLOOKUP($K684&amp;"",'NETWORK-DEVICES'!$B$3:$B$987&amp;"",'NETWORK-DEVICES'!$H$3:$H$987,""),"Peripheral",_xlfn.XLOOKUP($K684&amp;"",PERIPHERAL!$B$3:$B$954&amp;"",PERIPHERAL!$H$3:$H$954,""),"Utilities",_xlfn.XLOOKUP($K684&amp;"",UTILITIES!$B$3:$B$953&amp;"",UTILITIES!$G$3:$G$953,""),"IOT",_xlfn.XLOOKUP($K684&amp;"",IOT!$B$3:$B$1012&amp;"",IOT!$H$3:$H$1012,""),"Server",_xlfn.XLOOKUP($K684&amp;"",SERVER!$B$3:$B$1009&amp;"",SERVER!$H$3:$H$1009,""),""),IF(TRIM(_xlpm.srcCat)&lt;&gt;TRIM($J684),"",_xlfn.SWITCH($I684,"Computer",_xlfn.XLOOKUP($K684&amp;"",COMPUTER!$B$3:$B$1009&amp;"",COMPUTER!$AM$3:$AM$1009,""),"Display",_xlfn.XLOOKUP($K684&amp;"",DISPLAY!$B$3:$B$1000&amp;"",DISPLAY!$V$3:$V$1000,""),"Network Device",_xlfn.XLOOKUP($K684&amp;"",'NETWORK-DEVICES'!$B$3:$B$987&amp;"",'NETWORK-DEVICES'!$AF$3:$AF$987,""),"Peripheral",_xlfn.XLOOKUP($K684&amp;"",PERIPHERAL!$B$3:$B$954&amp;"",PERIPHERAL!$Y$3:$Y$954,""),"Utilities",_xlfn.XLOOKUP($K684&amp;"",UTILITIES!$B$3:$B$953&amp;"",UTILITIES!$O$3:$O$953,""),"IOT",_xlfn.XLOOKUP($K684&amp;"",IOT!$B$3:$B$1012&amp;"",IOT!$AB$3:$AB$1012,""),"Server",_xlfn.XLOOKUP($K684&amp;"",SERVER!$B$3:$B$1009&amp;"",SERVER!$AB$3:$AB$1009,""),""))))</f>
        <v/>
      </c>
      <c r="R684" s="43" t="str">
        <f>IF(tbl_handover[[#This Row],[Asset Code]]="","",COUNTIF(tbl_handover[Asset Code],tbl_handover[[#This Row],[Asset Code]]))</f>
        <v/>
      </c>
    </row>
    <row r="685" spans="1:18" x14ac:dyDescent="0.25">
      <c r="A685" s="43" t="str">
        <f>IF(B685&lt;&gt;"",SUBTOTAL(3,$B$1:B684),"")</f>
        <v/>
      </c>
      <c r="C685" s="74"/>
      <c r="D685" s="74"/>
      <c r="G685" s="1"/>
      <c r="K685" s="42"/>
      <c r="L685" t="str" cm="1">
        <f t="array" ref="L685">IF($K685="","",_xlfn.SWITCH($I685,"Computer",_xlfn.XLOOKUP($K685&amp;"",COMPUTER!$B$3:$B$1009&amp;"",COMPUTER!$I$3:$I$1009,""),"Display",_xlfn.XLOOKUP($K685&amp;"",DISPLAY!$B$3:$B$1000&amp;"",DISPLAY!$J$3:$J$1000,""),"Network Device",_xlfn.XLOOKUP($K685&amp;"",'NETWORK-DEVICES'!$B$3:$B$987&amp;"",'NETWORK-DEVICES'!$I$3:$I$987,""),"Peripheral",_xlfn.XLOOKUP($K685&amp;"",PERIPHERAL!$B$3:$B$954&amp;"",PERIPHERAL!$I$3:$I$954,""),"Utilities",_xlfn.XLOOKUP($K685&amp;"",UTILITIES!$B$3:$B$953&amp;"",UTILITIES!$H$3:$H$953,""),"IOT",_xlfn.XLOOKUP($K685&amp;"",IOT!$B$3:$B$1012&amp;"",IOT!$I$3:$I$1012,""),"SERVER",_xlfn.XLOOKUP($K685&amp;"",SERVER!$B$3:$B$1009&amp;"",SERVER!$I$3:$I$1009,""),""))</f>
        <v/>
      </c>
      <c r="M685" t="str" cm="1">
        <f t="array" ref="M685">IF($K685="","",_xlfn.SWITCH($I685,"Computer",_xlfn.XLOOKUP($K685&amp;"",COMPUTER!$B$3:$B$1009&amp;"",COMPUTER!$J$3:$J$1009,""),"Display",_xlfn.XLOOKUP($K685&amp;"",DISPLAY!$B$3:$B$1000&amp;"",DISPLAY!$K$3:$K$1000,""),"Network Device",_xlfn.XLOOKUP($K685&amp;"",'NETWORK-DEVICES'!$B$3:$B$987&amp;"",'NETWORK-DEVICES'!$I$3:$I$987,""),"Peripheral",_xlfn.XLOOKUP($K685&amp;"",PERIPHERAL!$B$3:$B$954&amp;"",PERIPHERAL!$J$3:$J$954,""),"Utilities",_xlfn.XLOOKUP($K685&amp;"",UTILITIES!$B$3:$B$953&amp;"",UTILITIES!$I$3:$I$953,""),"IOT",_xlfn.XLOOKUP($K685&amp;"",IOT!$B$3:$B$1012&amp;"",IOT!$J$3:$J$1012,""),"Server",_xlfn.XLOOKUP($K685&amp;"",SERVER!$B$3:$B$1009&amp;"",SERVER!$J$3:$J$1009,""),""))</f>
        <v/>
      </c>
      <c r="N685" s="1" t="str" cm="1">
        <f t="array" ref="N685">IF(OR($K685="",$I685="",$J685=""),"",_xlfn.LET(_xlpm.srcCat,_xlfn.SWITCH($I685,"Computer",_xlfn.XLOOKUP($K685&amp;"",COMPUTER!$B$3:$B$1009&amp;"",COMPUTER!$H$3:$H$1009,""),"Display",_xlfn.XLOOKUP($K685&amp;"",DISPLAY!$B$3:$B$1000&amp;"",DISPLAY!$H$3:$H$1000,""),"Network Device",_xlfn.XLOOKUP($K685&amp;"",'NETWORK-DEVICES'!$B$3:$B$987&amp;"",'NETWORK-DEVICES'!$H$3:$H$987,""),"Peripheral",_xlfn.XLOOKUP($K685&amp;"",PERIPHERAL!$B$3:$B$954&amp;"",PERIPHERAL!$H$3:$H$954,""),"Utilities",_xlfn.XLOOKUP($K685&amp;"",UTILITIES!$B$3:$B$953&amp;"",UTILITIES!$G$3:$G$953,""),"IOT",_xlfn.XLOOKUP($K685&amp;"",IOT!$B$3:$B$1012&amp;"",IOT!$H$3:$H$1012,""),"Server",_xlfn.XLOOKUP($K685&amp;"",SERVER!$B$3:$B$1009&amp;"",SERVER!$H$3:$H$1009,""),""),IF(TRIM(_xlpm.srcCat)&lt;&gt;TRIM($J685),"",_xlfn.SWITCH($I685,"Computer",_xlfn.XLOOKUP($K685&amp;"",COMPUTER!$B$3:$B$1009&amp;"",COMPUTER!$K$3:$K$1009,""),"Display",_xlfn.XLOOKUP($K685&amp;"",DISPLAY!$B$3:$B$1000&amp;"",DISPLAY!$L$3:$L$1000,""),"Network Device",_xlfn.XLOOKUP($K685&amp;"",'NETWORK-DEVICES'!$B$3:$B$987&amp;"",'NETWORK-DEVICES'!$K$3:$K$987,""),"Peripheral",_xlfn.XLOOKUP($K685&amp;"",PERIPHERAL!$B$3:$B$954&amp;"",PERIPHERAL!$K$3:$K$954,""),"Utilities",_xlfn.XLOOKUP($K685&amp;"",UTILITIES!$B$3:$B$953&amp;"",UTILITIES!$J$3:$J$953,""),"IOT",_xlfn.XLOOKUP($K685&amp;"",IOT!$B$3:$B$1012&amp;"",IOT!$K$4:$K$1012,""),"Server",_xlfn.XLOOKUP($K685&amp;"",SERVER!$B$3:$B$1009&amp;"",SERVER!$K$3:$K$1009,""),""))))</f>
        <v/>
      </c>
      <c r="O685" s="1" t="str" cm="1">
        <f t="array" ref="O685">IF(OR($K685="",$I685="",$J685=""),"",_xlfn.LET(_xlpm.srcCat,_xlfn.SWITCH($I685,"Computer",_xlfn.XLOOKUP($K685&amp;"",COMPUTER!$B$3:$B$1009&amp;"",COMPUTER!$H$3:$H$1009,""),"Display",_xlfn.XLOOKUP($K685&amp;"",DISPLAY!$B$3:$B$1000&amp;"",DISPLAY!$H$3:$H$1000,""),"Network Device",_xlfn.XLOOKUP($K685&amp;"",'NETWORK-DEVICES'!$B$3:$B$987&amp;"",'NETWORK-DEVICES'!$H$3:$H$987,""),"Peripheral",_xlfn.XLOOKUP($K685&amp;"",PERIPHERAL!$B$3:$B$954&amp;"",PERIPHERAL!$H$3:$H$954,""),"Utilities",_xlfn.XLOOKUP($K685&amp;"",UTILITIES!$B$3:$B$953&amp;"",UTILITIES!$G$3:$G$953,""),"IOT",_xlfn.XLOOKUP($K685&amp;"",IOT!$B$3:$B$1012&amp;"",IOT!$H$3:$H$1012,""),"Server",_xlfn.XLOOKUP($K685&amp;"",SERVER!$B$3:$B$1009&amp;"",SERVER!$H$3:$H$1009,""),""),IF(TRIM(_xlpm.srcCat)&lt;&gt;TRIM($J685),"",_xlfn.SWITCH($I685,"Computer",_xlfn.XLOOKUP($K685&amp;"",COMPUTER!$B$3:$B$1009&amp;"",COMPUTER!$E$3:$E$1009,""),"Display",_xlfn.XLOOKUP($K685&amp;"",DISPLAY!$B$3:$B$1000&amp;"",DISPLAY!$E$3:$E$1000,""),"Network Device",_xlfn.XLOOKUP($K685&amp;"",'NETWORK-DEVICES'!$B$3:$B$987&amp;"",'NETWORK-DEVICES'!$E$3:$E$987,""),"Peripheral",_xlfn.XLOOKUP($K685&amp;"",PERIPHERAL!$B$3:$B$954&amp;"",PERIPHERAL!$E$3:$E$954,""),"Utilities",_xlfn.XLOOKUP($K685&amp;"",UTILITIES!$B$3:$B$953&amp;"",UTILITIES!$E$3:$E$953,""),"IOT",_xlfn.XLOOKUP($K685&amp;"",IOT!$B$3:$B$1012&amp;"",IOT!$E$3:$E$1012,""),"Server",_xlfn.XLOOKUP($K685&amp;"",SERVER!$B$3:$B$1009&amp;"",SERVER!$E$3:$E$1009,""),""))))</f>
        <v/>
      </c>
      <c r="Q685" s="1" t="str" cm="1">
        <f t="array" ref="Q685">IF(OR($K685="",$I685="",$J685=""),"",_xlfn.LET(_xlpm.srcCat,_xlfn.SWITCH($I685,"Computer",_xlfn.XLOOKUP($K685&amp;"",COMPUTER!$B$3:$B$1009&amp;"",COMPUTER!$H$3:$H$1009,""),"Display",_xlfn.XLOOKUP($K685&amp;"",DISPLAY!$B$3:$B$1000&amp;"",DISPLAY!$H$3:$H$1000,""),"Network Device",_xlfn.XLOOKUP($K685&amp;"",'NETWORK-DEVICES'!$B$3:$B$987&amp;"",'NETWORK-DEVICES'!$H$3:$H$987,""),"Peripheral",_xlfn.XLOOKUP($K685&amp;"",PERIPHERAL!$B$3:$B$954&amp;"",PERIPHERAL!$H$3:$H$954,""),"Utilities",_xlfn.XLOOKUP($K685&amp;"",UTILITIES!$B$3:$B$953&amp;"",UTILITIES!$G$3:$G$953,""),"IOT",_xlfn.XLOOKUP($K685&amp;"",IOT!$B$3:$B$1012&amp;"",IOT!$H$3:$H$1012,""),"Server",_xlfn.XLOOKUP($K685&amp;"",SERVER!$B$3:$B$1009&amp;"",SERVER!$H$3:$H$1009,""),""),IF(TRIM(_xlpm.srcCat)&lt;&gt;TRIM($J685),"",_xlfn.SWITCH($I685,"Computer",_xlfn.XLOOKUP($K685&amp;"",COMPUTER!$B$3:$B$1009&amp;"",COMPUTER!$AM$3:$AM$1009,""),"Display",_xlfn.XLOOKUP($K685&amp;"",DISPLAY!$B$3:$B$1000&amp;"",DISPLAY!$V$3:$V$1000,""),"Network Device",_xlfn.XLOOKUP($K685&amp;"",'NETWORK-DEVICES'!$B$3:$B$987&amp;"",'NETWORK-DEVICES'!$AF$3:$AF$987,""),"Peripheral",_xlfn.XLOOKUP($K685&amp;"",PERIPHERAL!$B$3:$B$954&amp;"",PERIPHERAL!$Y$3:$Y$954,""),"Utilities",_xlfn.XLOOKUP($K685&amp;"",UTILITIES!$B$3:$B$953&amp;"",UTILITIES!$O$3:$O$953,""),"IOT",_xlfn.XLOOKUP($K685&amp;"",IOT!$B$3:$B$1012&amp;"",IOT!$AB$3:$AB$1012,""),"Server",_xlfn.XLOOKUP($K685&amp;"",SERVER!$B$3:$B$1009&amp;"",SERVER!$AB$3:$AB$1009,""),""))))</f>
        <v/>
      </c>
      <c r="R685" s="43" t="str">
        <f>IF(tbl_handover[[#This Row],[Asset Code]]="","",COUNTIF(tbl_handover[Asset Code],tbl_handover[[#This Row],[Asset Code]]))</f>
        <v/>
      </c>
    </row>
    <row r="686" spans="1:18" x14ac:dyDescent="0.25">
      <c r="A686" s="43" t="str">
        <f>IF(B686&lt;&gt;"",SUBTOTAL(3,$B$1:B685),"")</f>
        <v/>
      </c>
      <c r="C686" s="74"/>
      <c r="D686" s="74"/>
      <c r="G686" s="1"/>
      <c r="K686" s="42"/>
      <c r="L686" t="str" cm="1">
        <f t="array" ref="L686">IF($K686="","",_xlfn.SWITCH($I686,"Computer",_xlfn.XLOOKUP($K686&amp;"",COMPUTER!$B$3:$B$1009&amp;"",COMPUTER!$I$3:$I$1009,""),"Display",_xlfn.XLOOKUP($K686&amp;"",DISPLAY!$B$3:$B$1000&amp;"",DISPLAY!$J$3:$J$1000,""),"Network Device",_xlfn.XLOOKUP($K686&amp;"",'NETWORK-DEVICES'!$B$3:$B$987&amp;"",'NETWORK-DEVICES'!$I$3:$I$987,""),"Peripheral",_xlfn.XLOOKUP($K686&amp;"",PERIPHERAL!$B$3:$B$954&amp;"",PERIPHERAL!$I$3:$I$954,""),"Utilities",_xlfn.XLOOKUP($K686&amp;"",UTILITIES!$B$3:$B$953&amp;"",UTILITIES!$H$3:$H$953,""),"IOT",_xlfn.XLOOKUP($K686&amp;"",IOT!$B$3:$B$1012&amp;"",IOT!$I$3:$I$1012,""),"SERVER",_xlfn.XLOOKUP($K686&amp;"",SERVER!$B$3:$B$1009&amp;"",SERVER!$I$3:$I$1009,""),""))</f>
        <v/>
      </c>
      <c r="M686" t="str" cm="1">
        <f t="array" ref="M686">IF($K686="","",_xlfn.SWITCH($I686,"Computer",_xlfn.XLOOKUP($K686&amp;"",COMPUTER!$B$3:$B$1009&amp;"",COMPUTER!$J$3:$J$1009,""),"Display",_xlfn.XLOOKUP($K686&amp;"",DISPLAY!$B$3:$B$1000&amp;"",DISPLAY!$K$3:$K$1000,""),"Network Device",_xlfn.XLOOKUP($K686&amp;"",'NETWORK-DEVICES'!$B$3:$B$987&amp;"",'NETWORK-DEVICES'!$I$3:$I$987,""),"Peripheral",_xlfn.XLOOKUP($K686&amp;"",PERIPHERAL!$B$3:$B$954&amp;"",PERIPHERAL!$J$3:$J$954,""),"Utilities",_xlfn.XLOOKUP($K686&amp;"",UTILITIES!$B$3:$B$953&amp;"",UTILITIES!$I$3:$I$953,""),"IOT",_xlfn.XLOOKUP($K686&amp;"",IOT!$B$3:$B$1012&amp;"",IOT!$J$3:$J$1012,""),"Server",_xlfn.XLOOKUP($K686&amp;"",SERVER!$B$3:$B$1009&amp;"",SERVER!$J$3:$J$1009,""),""))</f>
        <v/>
      </c>
      <c r="N686" s="1" t="str" cm="1">
        <f t="array" ref="N686">IF(OR($K686="",$I686="",$J686=""),"",_xlfn.LET(_xlpm.srcCat,_xlfn.SWITCH($I686,"Computer",_xlfn.XLOOKUP($K686&amp;"",COMPUTER!$B$3:$B$1009&amp;"",COMPUTER!$H$3:$H$1009,""),"Display",_xlfn.XLOOKUP($K686&amp;"",DISPLAY!$B$3:$B$1000&amp;"",DISPLAY!$H$3:$H$1000,""),"Network Device",_xlfn.XLOOKUP($K686&amp;"",'NETWORK-DEVICES'!$B$3:$B$987&amp;"",'NETWORK-DEVICES'!$H$3:$H$987,""),"Peripheral",_xlfn.XLOOKUP($K686&amp;"",PERIPHERAL!$B$3:$B$954&amp;"",PERIPHERAL!$H$3:$H$954,""),"Utilities",_xlfn.XLOOKUP($K686&amp;"",UTILITIES!$B$3:$B$953&amp;"",UTILITIES!$G$3:$G$953,""),"IOT",_xlfn.XLOOKUP($K686&amp;"",IOT!$B$3:$B$1012&amp;"",IOT!$H$3:$H$1012,""),"Server",_xlfn.XLOOKUP($K686&amp;"",SERVER!$B$3:$B$1009&amp;"",SERVER!$H$3:$H$1009,""),""),IF(TRIM(_xlpm.srcCat)&lt;&gt;TRIM($J686),"",_xlfn.SWITCH($I686,"Computer",_xlfn.XLOOKUP($K686&amp;"",COMPUTER!$B$3:$B$1009&amp;"",COMPUTER!$K$3:$K$1009,""),"Display",_xlfn.XLOOKUP($K686&amp;"",DISPLAY!$B$3:$B$1000&amp;"",DISPLAY!$L$3:$L$1000,""),"Network Device",_xlfn.XLOOKUP($K686&amp;"",'NETWORK-DEVICES'!$B$3:$B$987&amp;"",'NETWORK-DEVICES'!$K$3:$K$987,""),"Peripheral",_xlfn.XLOOKUP($K686&amp;"",PERIPHERAL!$B$3:$B$954&amp;"",PERIPHERAL!$K$3:$K$954,""),"Utilities",_xlfn.XLOOKUP($K686&amp;"",UTILITIES!$B$3:$B$953&amp;"",UTILITIES!$J$3:$J$953,""),"IOT",_xlfn.XLOOKUP($K686&amp;"",IOT!$B$3:$B$1012&amp;"",IOT!$K$4:$K$1012,""),"Server",_xlfn.XLOOKUP($K686&amp;"",SERVER!$B$3:$B$1009&amp;"",SERVER!$K$3:$K$1009,""),""))))</f>
        <v/>
      </c>
      <c r="O686" s="1" t="str" cm="1">
        <f t="array" ref="O686">IF(OR($K686="",$I686="",$J686=""),"",_xlfn.LET(_xlpm.srcCat,_xlfn.SWITCH($I686,"Computer",_xlfn.XLOOKUP($K686&amp;"",COMPUTER!$B$3:$B$1009&amp;"",COMPUTER!$H$3:$H$1009,""),"Display",_xlfn.XLOOKUP($K686&amp;"",DISPLAY!$B$3:$B$1000&amp;"",DISPLAY!$H$3:$H$1000,""),"Network Device",_xlfn.XLOOKUP($K686&amp;"",'NETWORK-DEVICES'!$B$3:$B$987&amp;"",'NETWORK-DEVICES'!$H$3:$H$987,""),"Peripheral",_xlfn.XLOOKUP($K686&amp;"",PERIPHERAL!$B$3:$B$954&amp;"",PERIPHERAL!$H$3:$H$954,""),"Utilities",_xlfn.XLOOKUP($K686&amp;"",UTILITIES!$B$3:$B$953&amp;"",UTILITIES!$G$3:$G$953,""),"IOT",_xlfn.XLOOKUP($K686&amp;"",IOT!$B$3:$B$1012&amp;"",IOT!$H$3:$H$1012,""),"Server",_xlfn.XLOOKUP($K686&amp;"",SERVER!$B$3:$B$1009&amp;"",SERVER!$H$3:$H$1009,""),""),IF(TRIM(_xlpm.srcCat)&lt;&gt;TRIM($J686),"",_xlfn.SWITCH($I686,"Computer",_xlfn.XLOOKUP($K686&amp;"",COMPUTER!$B$3:$B$1009&amp;"",COMPUTER!$E$3:$E$1009,""),"Display",_xlfn.XLOOKUP($K686&amp;"",DISPLAY!$B$3:$B$1000&amp;"",DISPLAY!$E$3:$E$1000,""),"Network Device",_xlfn.XLOOKUP($K686&amp;"",'NETWORK-DEVICES'!$B$3:$B$987&amp;"",'NETWORK-DEVICES'!$E$3:$E$987,""),"Peripheral",_xlfn.XLOOKUP($K686&amp;"",PERIPHERAL!$B$3:$B$954&amp;"",PERIPHERAL!$E$3:$E$954,""),"Utilities",_xlfn.XLOOKUP($K686&amp;"",UTILITIES!$B$3:$B$953&amp;"",UTILITIES!$E$3:$E$953,""),"IOT",_xlfn.XLOOKUP($K686&amp;"",IOT!$B$3:$B$1012&amp;"",IOT!$E$3:$E$1012,""),"Server",_xlfn.XLOOKUP($K686&amp;"",SERVER!$B$3:$B$1009&amp;"",SERVER!$E$3:$E$1009,""),""))))</f>
        <v/>
      </c>
      <c r="Q686" s="1" t="str" cm="1">
        <f t="array" ref="Q686">IF(OR($K686="",$I686="",$J686=""),"",_xlfn.LET(_xlpm.srcCat,_xlfn.SWITCH($I686,"Computer",_xlfn.XLOOKUP($K686&amp;"",COMPUTER!$B$3:$B$1009&amp;"",COMPUTER!$H$3:$H$1009,""),"Display",_xlfn.XLOOKUP($K686&amp;"",DISPLAY!$B$3:$B$1000&amp;"",DISPLAY!$H$3:$H$1000,""),"Network Device",_xlfn.XLOOKUP($K686&amp;"",'NETWORK-DEVICES'!$B$3:$B$987&amp;"",'NETWORK-DEVICES'!$H$3:$H$987,""),"Peripheral",_xlfn.XLOOKUP($K686&amp;"",PERIPHERAL!$B$3:$B$954&amp;"",PERIPHERAL!$H$3:$H$954,""),"Utilities",_xlfn.XLOOKUP($K686&amp;"",UTILITIES!$B$3:$B$953&amp;"",UTILITIES!$G$3:$G$953,""),"IOT",_xlfn.XLOOKUP($K686&amp;"",IOT!$B$3:$B$1012&amp;"",IOT!$H$3:$H$1012,""),"Server",_xlfn.XLOOKUP($K686&amp;"",SERVER!$B$3:$B$1009&amp;"",SERVER!$H$3:$H$1009,""),""),IF(TRIM(_xlpm.srcCat)&lt;&gt;TRIM($J686),"",_xlfn.SWITCH($I686,"Computer",_xlfn.XLOOKUP($K686&amp;"",COMPUTER!$B$3:$B$1009&amp;"",COMPUTER!$AM$3:$AM$1009,""),"Display",_xlfn.XLOOKUP($K686&amp;"",DISPLAY!$B$3:$B$1000&amp;"",DISPLAY!$V$3:$V$1000,""),"Network Device",_xlfn.XLOOKUP($K686&amp;"",'NETWORK-DEVICES'!$B$3:$B$987&amp;"",'NETWORK-DEVICES'!$AF$3:$AF$987,""),"Peripheral",_xlfn.XLOOKUP($K686&amp;"",PERIPHERAL!$B$3:$B$954&amp;"",PERIPHERAL!$Y$3:$Y$954,""),"Utilities",_xlfn.XLOOKUP($K686&amp;"",UTILITIES!$B$3:$B$953&amp;"",UTILITIES!$O$3:$O$953,""),"IOT",_xlfn.XLOOKUP($K686&amp;"",IOT!$B$3:$B$1012&amp;"",IOT!$AB$3:$AB$1012,""),"Server",_xlfn.XLOOKUP($K686&amp;"",SERVER!$B$3:$B$1009&amp;"",SERVER!$AB$3:$AB$1009,""),""))))</f>
        <v/>
      </c>
      <c r="R686" s="43" t="str">
        <f>IF(tbl_handover[[#This Row],[Asset Code]]="","",COUNTIF(tbl_handover[Asset Code],tbl_handover[[#This Row],[Asset Code]]))</f>
        <v/>
      </c>
    </row>
    <row r="687" spans="1:18" x14ac:dyDescent="0.25">
      <c r="A687" s="43" t="str">
        <f>IF(B687&lt;&gt;"",SUBTOTAL(3,$B$1:B686),"")</f>
        <v/>
      </c>
      <c r="C687" s="74"/>
      <c r="D687" s="74"/>
      <c r="G687" s="1"/>
      <c r="K687" s="42"/>
      <c r="L687" t="str" cm="1">
        <f t="array" ref="L687">IF($K687="","",_xlfn.SWITCH($I687,"Computer",_xlfn.XLOOKUP($K687&amp;"",COMPUTER!$B$3:$B$1009&amp;"",COMPUTER!$I$3:$I$1009,""),"Display",_xlfn.XLOOKUP($K687&amp;"",DISPLAY!$B$3:$B$1000&amp;"",DISPLAY!$J$3:$J$1000,""),"Network Device",_xlfn.XLOOKUP($K687&amp;"",'NETWORK-DEVICES'!$B$3:$B$987&amp;"",'NETWORK-DEVICES'!$I$3:$I$987,""),"Peripheral",_xlfn.XLOOKUP($K687&amp;"",PERIPHERAL!$B$3:$B$954&amp;"",PERIPHERAL!$I$3:$I$954,""),"Utilities",_xlfn.XLOOKUP($K687&amp;"",UTILITIES!$B$3:$B$953&amp;"",UTILITIES!$H$3:$H$953,""),"IOT",_xlfn.XLOOKUP($K687&amp;"",IOT!$B$3:$B$1012&amp;"",IOT!$I$3:$I$1012,""),"SERVER",_xlfn.XLOOKUP($K687&amp;"",SERVER!$B$3:$B$1009&amp;"",SERVER!$I$3:$I$1009,""),""))</f>
        <v/>
      </c>
      <c r="M687" t="str" cm="1">
        <f t="array" ref="M687">IF($K687="","",_xlfn.SWITCH($I687,"Computer",_xlfn.XLOOKUP($K687&amp;"",COMPUTER!$B$3:$B$1009&amp;"",COMPUTER!$J$3:$J$1009,""),"Display",_xlfn.XLOOKUP($K687&amp;"",DISPLAY!$B$3:$B$1000&amp;"",DISPLAY!$K$3:$K$1000,""),"Network Device",_xlfn.XLOOKUP($K687&amp;"",'NETWORK-DEVICES'!$B$3:$B$987&amp;"",'NETWORK-DEVICES'!$I$3:$I$987,""),"Peripheral",_xlfn.XLOOKUP($K687&amp;"",PERIPHERAL!$B$3:$B$954&amp;"",PERIPHERAL!$J$3:$J$954,""),"Utilities",_xlfn.XLOOKUP($K687&amp;"",UTILITIES!$B$3:$B$953&amp;"",UTILITIES!$I$3:$I$953,""),"IOT",_xlfn.XLOOKUP($K687&amp;"",IOT!$B$3:$B$1012&amp;"",IOT!$J$3:$J$1012,""),"Server",_xlfn.XLOOKUP($K687&amp;"",SERVER!$B$3:$B$1009&amp;"",SERVER!$J$3:$J$1009,""),""))</f>
        <v/>
      </c>
      <c r="N687" s="1" t="str" cm="1">
        <f t="array" ref="N687">IF(OR($K687="",$I687="",$J687=""),"",_xlfn.LET(_xlpm.srcCat,_xlfn.SWITCH($I687,"Computer",_xlfn.XLOOKUP($K687&amp;"",COMPUTER!$B$3:$B$1009&amp;"",COMPUTER!$H$3:$H$1009,""),"Display",_xlfn.XLOOKUP($K687&amp;"",DISPLAY!$B$3:$B$1000&amp;"",DISPLAY!$H$3:$H$1000,""),"Network Device",_xlfn.XLOOKUP($K687&amp;"",'NETWORK-DEVICES'!$B$3:$B$987&amp;"",'NETWORK-DEVICES'!$H$3:$H$987,""),"Peripheral",_xlfn.XLOOKUP($K687&amp;"",PERIPHERAL!$B$3:$B$954&amp;"",PERIPHERAL!$H$3:$H$954,""),"Utilities",_xlfn.XLOOKUP($K687&amp;"",UTILITIES!$B$3:$B$953&amp;"",UTILITIES!$G$3:$G$953,""),"IOT",_xlfn.XLOOKUP($K687&amp;"",IOT!$B$3:$B$1012&amp;"",IOT!$H$3:$H$1012,""),"Server",_xlfn.XLOOKUP($K687&amp;"",SERVER!$B$3:$B$1009&amp;"",SERVER!$H$3:$H$1009,""),""),IF(TRIM(_xlpm.srcCat)&lt;&gt;TRIM($J687),"",_xlfn.SWITCH($I687,"Computer",_xlfn.XLOOKUP($K687&amp;"",COMPUTER!$B$3:$B$1009&amp;"",COMPUTER!$K$3:$K$1009,""),"Display",_xlfn.XLOOKUP($K687&amp;"",DISPLAY!$B$3:$B$1000&amp;"",DISPLAY!$L$3:$L$1000,""),"Network Device",_xlfn.XLOOKUP($K687&amp;"",'NETWORK-DEVICES'!$B$3:$B$987&amp;"",'NETWORK-DEVICES'!$K$3:$K$987,""),"Peripheral",_xlfn.XLOOKUP($K687&amp;"",PERIPHERAL!$B$3:$B$954&amp;"",PERIPHERAL!$K$3:$K$954,""),"Utilities",_xlfn.XLOOKUP($K687&amp;"",UTILITIES!$B$3:$B$953&amp;"",UTILITIES!$J$3:$J$953,""),"IOT",_xlfn.XLOOKUP($K687&amp;"",IOT!$B$3:$B$1012&amp;"",IOT!$K$4:$K$1012,""),"Server",_xlfn.XLOOKUP($K687&amp;"",SERVER!$B$3:$B$1009&amp;"",SERVER!$K$3:$K$1009,""),""))))</f>
        <v/>
      </c>
      <c r="O687" s="1" t="str" cm="1">
        <f t="array" ref="O687">IF(OR($K687="",$I687="",$J687=""),"",_xlfn.LET(_xlpm.srcCat,_xlfn.SWITCH($I687,"Computer",_xlfn.XLOOKUP($K687&amp;"",COMPUTER!$B$3:$B$1009&amp;"",COMPUTER!$H$3:$H$1009,""),"Display",_xlfn.XLOOKUP($K687&amp;"",DISPLAY!$B$3:$B$1000&amp;"",DISPLAY!$H$3:$H$1000,""),"Network Device",_xlfn.XLOOKUP($K687&amp;"",'NETWORK-DEVICES'!$B$3:$B$987&amp;"",'NETWORK-DEVICES'!$H$3:$H$987,""),"Peripheral",_xlfn.XLOOKUP($K687&amp;"",PERIPHERAL!$B$3:$B$954&amp;"",PERIPHERAL!$H$3:$H$954,""),"Utilities",_xlfn.XLOOKUP($K687&amp;"",UTILITIES!$B$3:$B$953&amp;"",UTILITIES!$G$3:$G$953,""),"IOT",_xlfn.XLOOKUP($K687&amp;"",IOT!$B$3:$B$1012&amp;"",IOT!$H$3:$H$1012,""),"Server",_xlfn.XLOOKUP($K687&amp;"",SERVER!$B$3:$B$1009&amp;"",SERVER!$H$3:$H$1009,""),""),IF(TRIM(_xlpm.srcCat)&lt;&gt;TRIM($J687),"",_xlfn.SWITCH($I687,"Computer",_xlfn.XLOOKUP($K687&amp;"",COMPUTER!$B$3:$B$1009&amp;"",COMPUTER!$E$3:$E$1009,""),"Display",_xlfn.XLOOKUP($K687&amp;"",DISPLAY!$B$3:$B$1000&amp;"",DISPLAY!$E$3:$E$1000,""),"Network Device",_xlfn.XLOOKUP($K687&amp;"",'NETWORK-DEVICES'!$B$3:$B$987&amp;"",'NETWORK-DEVICES'!$E$3:$E$987,""),"Peripheral",_xlfn.XLOOKUP($K687&amp;"",PERIPHERAL!$B$3:$B$954&amp;"",PERIPHERAL!$E$3:$E$954,""),"Utilities",_xlfn.XLOOKUP($K687&amp;"",UTILITIES!$B$3:$B$953&amp;"",UTILITIES!$E$3:$E$953,""),"IOT",_xlfn.XLOOKUP($K687&amp;"",IOT!$B$3:$B$1012&amp;"",IOT!$E$3:$E$1012,""),"Server",_xlfn.XLOOKUP($K687&amp;"",SERVER!$B$3:$B$1009&amp;"",SERVER!$E$3:$E$1009,""),""))))</f>
        <v/>
      </c>
      <c r="Q687" s="1" t="str" cm="1">
        <f t="array" ref="Q687">IF(OR($K687="",$I687="",$J687=""),"",_xlfn.LET(_xlpm.srcCat,_xlfn.SWITCH($I687,"Computer",_xlfn.XLOOKUP($K687&amp;"",COMPUTER!$B$3:$B$1009&amp;"",COMPUTER!$H$3:$H$1009,""),"Display",_xlfn.XLOOKUP($K687&amp;"",DISPLAY!$B$3:$B$1000&amp;"",DISPLAY!$H$3:$H$1000,""),"Network Device",_xlfn.XLOOKUP($K687&amp;"",'NETWORK-DEVICES'!$B$3:$B$987&amp;"",'NETWORK-DEVICES'!$H$3:$H$987,""),"Peripheral",_xlfn.XLOOKUP($K687&amp;"",PERIPHERAL!$B$3:$B$954&amp;"",PERIPHERAL!$H$3:$H$954,""),"Utilities",_xlfn.XLOOKUP($K687&amp;"",UTILITIES!$B$3:$B$953&amp;"",UTILITIES!$G$3:$G$953,""),"IOT",_xlfn.XLOOKUP($K687&amp;"",IOT!$B$3:$B$1012&amp;"",IOT!$H$3:$H$1012,""),"Server",_xlfn.XLOOKUP($K687&amp;"",SERVER!$B$3:$B$1009&amp;"",SERVER!$H$3:$H$1009,""),""),IF(TRIM(_xlpm.srcCat)&lt;&gt;TRIM($J687),"",_xlfn.SWITCH($I687,"Computer",_xlfn.XLOOKUP($K687&amp;"",COMPUTER!$B$3:$B$1009&amp;"",COMPUTER!$AM$3:$AM$1009,""),"Display",_xlfn.XLOOKUP($K687&amp;"",DISPLAY!$B$3:$B$1000&amp;"",DISPLAY!$V$3:$V$1000,""),"Network Device",_xlfn.XLOOKUP($K687&amp;"",'NETWORK-DEVICES'!$B$3:$B$987&amp;"",'NETWORK-DEVICES'!$AF$3:$AF$987,""),"Peripheral",_xlfn.XLOOKUP($K687&amp;"",PERIPHERAL!$B$3:$B$954&amp;"",PERIPHERAL!$Y$3:$Y$954,""),"Utilities",_xlfn.XLOOKUP($K687&amp;"",UTILITIES!$B$3:$B$953&amp;"",UTILITIES!$O$3:$O$953,""),"IOT",_xlfn.XLOOKUP($K687&amp;"",IOT!$B$3:$B$1012&amp;"",IOT!$AB$3:$AB$1012,""),"Server",_xlfn.XLOOKUP($K687&amp;"",SERVER!$B$3:$B$1009&amp;"",SERVER!$AB$3:$AB$1009,""),""))))</f>
        <v/>
      </c>
      <c r="R687" s="43" t="str">
        <f>IF(tbl_handover[[#This Row],[Asset Code]]="","",COUNTIF(tbl_handover[Asset Code],tbl_handover[[#This Row],[Asset Code]]))</f>
        <v/>
      </c>
    </row>
    <row r="688" spans="1:18" x14ac:dyDescent="0.25">
      <c r="A688" s="43" t="str">
        <f>IF(B688&lt;&gt;"",SUBTOTAL(3,$B$1:B687),"")</f>
        <v/>
      </c>
      <c r="C688" s="74"/>
      <c r="D688" s="74"/>
      <c r="G688" s="1"/>
      <c r="K688" s="42"/>
      <c r="L688" t="str" cm="1">
        <f t="array" ref="L688">IF($K688="","",_xlfn.SWITCH($I688,"Computer",_xlfn.XLOOKUP($K688&amp;"",COMPUTER!$B$3:$B$1009&amp;"",COMPUTER!$I$3:$I$1009,""),"Display",_xlfn.XLOOKUP($K688&amp;"",DISPLAY!$B$3:$B$1000&amp;"",DISPLAY!$J$3:$J$1000,""),"Network Device",_xlfn.XLOOKUP($K688&amp;"",'NETWORK-DEVICES'!$B$3:$B$987&amp;"",'NETWORK-DEVICES'!$I$3:$I$987,""),"Peripheral",_xlfn.XLOOKUP($K688&amp;"",PERIPHERAL!$B$3:$B$954&amp;"",PERIPHERAL!$I$3:$I$954,""),"Utilities",_xlfn.XLOOKUP($K688&amp;"",UTILITIES!$B$3:$B$953&amp;"",UTILITIES!$H$3:$H$953,""),"IOT",_xlfn.XLOOKUP($K688&amp;"",IOT!$B$3:$B$1012&amp;"",IOT!$I$3:$I$1012,""),"SERVER",_xlfn.XLOOKUP($K688&amp;"",SERVER!$B$3:$B$1009&amp;"",SERVER!$I$3:$I$1009,""),""))</f>
        <v/>
      </c>
      <c r="M688" t="str" cm="1">
        <f t="array" ref="M688">IF($K688="","",_xlfn.SWITCH($I688,"Computer",_xlfn.XLOOKUP($K688&amp;"",COMPUTER!$B$3:$B$1009&amp;"",COMPUTER!$J$3:$J$1009,""),"Display",_xlfn.XLOOKUP($K688&amp;"",DISPLAY!$B$3:$B$1000&amp;"",DISPLAY!$K$3:$K$1000,""),"Network Device",_xlfn.XLOOKUP($K688&amp;"",'NETWORK-DEVICES'!$B$3:$B$987&amp;"",'NETWORK-DEVICES'!$I$3:$I$987,""),"Peripheral",_xlfn.XLOOKUP($K688&amp;"",PERIPHERAL!$B$3:$B$954&amp;"",PERIPHERAL!$J$3:$J$954,""),"Utilities",_xlfn.XLOOKUP($K688&amp;"",UTILITIES!$B$3:$B$953&amp;"",UTILITIES!$I$3:$I$953,""),"IOT",_xlfn.XLOOKUP($K688&amp;"",IOT!$B$3:$B$1012&amp;"",IOT!$J$3:$J$1012,""),"Server",_xlfn.XLOOKUP($K688&amp;"",SERVER!$B$3:$B$1009&amp;"",SERVER!$J$3:$J$1009,""),""))</f>
        <v/>
      </c>
      <c r="N688" s="1" t="str" cm="1">
        <f t="array" ref="N688">IF(OR($K688="",$I688="",$J688=""),"",_xlfn.LET(_xlpm.srcCat,_xlfn.SWITCH($I688,"Computer",_xlfn.XLOOKUP($K688&amp;"",COMPUTER!$B$3:$B$1009&amp;"",COMPUTER!$H$3:$H$1009,""),"Display",_xlfn.XLOOKUP($K688&amp;"",DISPLAY!$B$3:$B$1000&amp;"",DISPLAY!$H$3:$H$1000,""),"Network Device",_xlfn.XLOOKUP($K688&amp;"",'NETWORK-DEVICES'!$B$3:$B$987&amp;"",'NETWORK-DEVICES'!$H$3:$H$987,""),"Peripheral",_xlfn.XLOOKUP($K688&amp;"",PERIPHERAL!$B$3:$B$954&amp;"",PERIPHERAL!$H$3:$H$954,""),"Utilities",_xlfn.XLOOKUP($K688&amp;"",UTILITIES!$B$3:$B$953&amp;"",UTILITIES!$G$3:$G$953,""),"IOT",_xlfn.XLOOKUP($K688&amp;"",IOT!$B$3:$B$1012&amp;"",IOT!$H$3:$H$1012,""),"Server",_xlfn.XLOOKUP($K688&amp;"",SERVER!$B$3:$B$1009&amp;"",SERVER!$H$3:$H$1009,""),""),IF(TRIM(_xlpm.srcCat)&lt;&gt;TRIM($J688),"",_xlfn.SWITCH($I688,"Computer",_xlfn.XLOOKUP($K688&amp;"",COMPUTER!$B$3:$B$1009&amp;"",COMPUTER!$K$3:$K$1009,""),"Display",_xlfn.XLOOKUP($K688&amp;"",DISPLAY!$B$3:$B$1000&amp;"",DISPLAY!$L$3:$L$1000,""),"Network Device",_xlfn.XLOOKUP($K688&amp;"",'NETWORK-DEVICES'!$B$3:$B$987&amp;"",'NETWORK-DEVICES'!$K$3:$K$987,""),"Peripheral",_xlfn.XLOOKUP($K688&amp;"",PERIPHERAL!$B$3:$B$954&amp;"",PERIPHERAL!$K$3:$K$954,""),"Utilities",_xlfn.XLOOKUP($K688&amp;"",UTILITIES!$B$3:$B$953&amp;"",UTILITIES!$J$3:$J$953,""),"IOT",_xlfn.XLOOKUP($K688&amp;"",IOT!$B$3:$B$1012&amp;"",IOT!$K$4:$K$1012,""),"Server",_xlfn.XLOOKUP($K688&amp;"",SERVER!$B$3:$B$1009&amp;"",SERVER!$K$3:$K$1009,""),""))))</f>
        <v/>
      </c>
      <c r="O688" s="1" t="str" cm="1">
        <f t="array" ref="O688">IF(OR($K688="",$I688="",$J688=""),"",_xlfn.LET(_xlpm.srcCat,_xlfn.SWITCH($I688,"Computer",_xlfn.XLOOKUP($K688&amp;"",COMPUTER!$B$3:$B$1009&amp;"",COMPUTER!$H$3:$H$1009,""),"Display",_xlfn.XLOOKUP($K688&amp;"",DISPLAY!$B$3:$B$1000&amp;"",DISPLAY!$H$3:$H$1000,""),"Network Device",_xlfn.XLOOKUP($K688&amp;"",'NETWORK-DEVICES'!$B$3:$B$987&amp;"",'NETWORK-DEVICES'!$H$3:$H$987,""),"Peripheral",_xlfn.XLOOKUP($K688&amp;"",PERIPHERAL!$B$3:$B$954&amp;"",PERIPHERAL!$H$3:$H$954,""),"Utilities",_xlfn.XLOOKUP($K688&amp;"",UTILITIES!$B$3:$B$953&amp;"",UTILITIES!$G$3:$G$953,""),"IOT",_xlfn.XLOOKUP($K688&amp;"",IOT!$B$3:$B$1012&amp;"",IOT!$H$3:$H$1012,""),"Server",_xlfn.XLOOKUP($K688&amp;"",SERVER!$B$3:$B$1009&amp;"",SERVER!$H$3:$H$1009,""),""),IF(TRIM(_xlpm.srcCat)&lt;&gt;TRIM($J688),"",_xlfn.SWITCH($I688,"Computer",_xlfn.XLOOKUP($K688&amp;"",COMPUTER!$B$3:$B$1009&amp;"",COMPUTER!$E$3:$E$1009,""),"Display",_xlfn.XLOOKUP($K688&amp;"",DISPLAY!$B$3:$B$1000&amp;"",DISPLAY!$E$3:$E$1000,""),"Network Device",_xlfn.XLOOKUP($K688&amp;"",'NETWORK-DEVICES'!$B$3:$B$987&amp;"",'NETWORK-DEVICES'!$E$3:$E$987,""),"Peripheral",_xlfn.XLOOKUP($K688&amp;"",PERIPHERAL!$B$3:$B$954&amp;"",PERIPHERAL!$E$3:$E$954,""),"Utilities",_xlfn.XLOOKUP($K688&amp;"",UTILITIES!$B$3:$B$953&amp;"",UTILITIES!$E$3:$E$953,""),"IOT",_xlfn.XLOOKUP($K688&amp;"",IOT!$B$3:$B$1012&amp;"",IOT!$E$3:$E$1012,""),"Server",_xlfn.XLOOKUP($K688&amp;"",SERVER!$B$3:$B$1009&amp;"",SERVER!$E$3:$E$1009,""),""))))</f>
        <v/>
      </c>
      <c r="Q688" s="1" t="str" cm="1">
        <f t="array" ref="Q688">IF(OR($K688="",$I688="",$J688=""),"",_xlfn.LET(_xlpm.srcCat,_xlfn.SWITCH($I688,"Computer",_xlfn.XLOOKUP($K688&amp;"",COMPUTER!$B$3:$B$1009&amp;"",COMPUTER!$H$3:$H$1009,""),"Display",_xlfn.XLOOKUP($K688&amp;"",DISPLAY!$B$3:$B$1000&amp;"",DISPLAY!$H$3:$H$1000,""),"Network Device",_xlfn.XLOOKUP($K688&amp;"",'NETWORK-DEVICES'!$B$3:$B$987&amp;"",'NETWORK-DEVICES'!$H$3:$H$987,""),"Peripheral",_xlfn.XLOOKUP($K688&amp;"",PERIPHERAL!$B$3:$B$954&amp;"",PERIPHERAL!$H$3:$H$954,""),"Utilities",_xlfn.XLOOKUP($K688&amp;"",UTILITIES!$B$3:$B$953&amp;"",UTILITIES!$G$3:$G$953,""),"IOT",_xlfn.XLOOKUP($K688&amp;"",IOT!$B$3:$B$1012&amp;"",IOT!$H$3:$H$1012,""),"Server",_xlfn.XLOOKUP($K688&amp;"",SERVER!$B$3:$B$1009&amp;"",SERVER!$H$3:$H$1009,""),""),IF(TRIM(_xlpm.srcCat)&lt;&gt;TRIM($J688),"",_xlfn.SWITCH($I688,"Computer",_xlfn.XLOOKUP($K688&amp;"",COMPUTER!$B$3:$B$1009&amp;"",COMPUTER!$AM$3:$AM$1009,""),"Display",_xlfn.XLOOKUP($K688&amp;"",DISPLAY!$B$3:$B$1000&amp;"",DISPLAY!$V$3:$V$1000,""),"Network Device",_xlfn.XLOOKUP($K688&amp;"",'NETWORK-DEVICES'!$B$3:$B$987&amp;"",'NETWORK-DEVICES'!$AF$3:$AF$987,""),"Peripheral",_xlfn.XLOOKUP($K688&amp;"",PERIPHERAL!$B$3:$B$954&amp;"",PERIPHERAL!$Y$3:$Y$954,""),"Utilities",_xlfn.XLOOKUP($K688&amp;"",UTILITIES!$B$3:$B$953&amp;"",UTILITIES!$O$3:$O$953,""),"IOT",_xlfn.XLOOKUP($K688&amp;"",IOT!$B$3:$B$1012&amp;"",IOT!$AB$3:$AB$1012,""),"Server",_xlfn.XLOOKUP($K688&amp;"",SERVER!$B$3:$B$1009&amp;"",SERVER!$AB$3:$AB$1009,""),""))))</f>
        <v/>
      </c>
      <c r="R688" s="43" t="str">
        <f>IF(tbl_handover[[#This Row],[Asset Code]]="","",COUNTIF(tbl_handover[Asset Code],tbl_handover[[#This Row],[Asset Code]]))</f>
        <v/>
      </c>
    </row>
    <row r="689" spans="1:18" x14ac:dyDescent="0.25">
      <c r="A689" s="43" t="str">
        <f>IF(B689&lt;&gt;"",SUBTOTAL(3,$B$1:B688),"")</f>
        <v/>
      </c>
      <c r="C689" s="74"/>
      <c r="D689" s="74"/>
      <c r="G689" s="1"/>
      <c r="K689" s="42"/>
      <c r="L689" t="str" cm="1">
        <f t="array" ref="L689">IF($K689="","",_xlfn.SWITCH($I689,"Computer",_xlfn.XLOOKUP($K689&amp;"",COMPUTER!$B$3:$B$1009&amp;"",COMPUTER!$I$3:$I$1009,""),"Display",_xlfn.XLOOKUP($K689&amp;"",DISPLAY!$B$3:$B$1000&amp;"",DISPLAY!$J$3:$J$1000,""),"Network Device",_xlfn.XLOOKUP($K689&amp;"",'NETWORK-DEVICES'!$B$3:$B$987&amp;"",'NETWORK-DEVICES'!$I$3:$I$987,""),"Peripheral",_xlfn.XLOOKUP($K689&amp;"",PERIPHERAL!$B$3:$B$954&amp;"",PERIPHERAL!$I$3:$I$954,""),"Utilities",_xlfn.XLOOKUP($K689&amp;"",UTILITIES!$B$3:$B$953&amp;"",UTILITIES!$H$3:$H$953,""),"IOT",_xlfn.XLOOKUP($K689&amp;"",IOT!$B$3:$B$1012&amp;"",IOT!$I$3:$I$1012,""),"SERVER",_xlfn.XLOOKUP($K689&amp;"",SERVER!$B$3:$B$1009&amp;"",SERVER!$I$3:$I$1009,""),""))</f>
        <v/>
      </c>
      <c r="M689" t="str" cm="1">
        <f t="array" ref="M689">IF($K689="","",_xlfn.SWITCH($I689,"Computer",_xlfn.XLOOKUP($K689&amp;"",COMPUTER!$B$3:$B$1009&amp;"",COMPUTER!$J$3:$J$1009,""),"Display",_xlfn.XLOOKUP($K689&amp;"",DISPLAY!$B$3:$B$1000&amp;"",DISPLAY!$K$3:$K$1000,""),"Network Device",_xlfn.XLOOKUP($K689&amp;"",'NETWORK-DEVICES'!$B$3:$B$987&amp;"",'NETWORK-DEVICES'!$I$3:$I$987,""),"Peripheral",_xlfn.XLOOKUP($K689&amp;"",PERIPHERAL!$B$3:$B$954&amp;"",PERIPHERAL!$J$3:$J$954,""),"Utilities",_xlfn.XLOOKUP($K689&amp;"",UTILITIES!$B$3:$B$953&amp;"",UTILITIES!$I$3:$I$953,""),"IOT",_xlfn.XLOOKUP($K689&amp;"",IOT!$B$3:$B$1012&amp;"",IOT!$J$3:$J$1012,""),"Server",_xlfn.XLOOKUP($K689&amp;"",SERVER!$B$3:$B$1009&amp;"",SERVER!$J$3:$J$1009,""),""))</f>
        <v/>
      </c>
      <c r="N689" s="1" t="str" cm="1">
        <f t="array" ref="N689">IF(OR($K689="",$I689="",$J689=""),"",_xlfn.LET(_xlpm.srcCat,_xlfn.SWITCH($I689,"Computer",_xlfn.XLOOKUP($K689&amp;"",COMPUTER!$B$3:$B$1009&amp;"",COMPUTER!$H$3:$H$1009,""),"Display",_xlfn.XLOOKUP($K689&amp;"",DISPLAY!$B$3:$B$1000&amp;"",DISPLAY!$H$3:$H$1000,""),"Network Device",_xlfn.XLOOKUP($K689&amp;"",'NETWORK-DEVICES'!$B$3:$B$987&amp;"",'NETWORK-DEVICES'!$H$3:$H$987,""),"Peripheral",_xlfn.XLOOKUP($K689&amp;"",PERIPHERAL!$B$3:$B$954&amp;"",PERIPHERAL!$H$3:$H$954,""),"Utilities",_xlfn.XLOOKUP($K689&amp;"",UTILITIES!$B$3:$B$953&amp;"",UTILITIES!$G$3:$G$953,""),"IOT",_xlfn.XLOOKUP($K689&amp;"",IOT!$B$3:$B$1012&amp;"",IOT!$H$3:$H$1012,""),"Server",_xlfn.XLOOKUP($K689&amp;"",SERVER!$B$3:$B$1009&amp;"",SERVER!$H$3:$H$1009,""),""),IF(TRIM(_xlpm.srcCat)&lt;&gt;TRIM($J689),"",_xlfn.SWITCH($I689,"Computer",_xlfn.XLOOKUP($K689&amp;"",COMPUTER!$B$3:$B$1009&amp;"",COMPUTER!$K$3:$K$1009,""),"Display",_xlfn.XLOOKUP($K689&amp;"",DISPLAY!$B$3:$B$1000&amp;"",DISPLAY!$L$3:$L$1000,""),"Network Device",_xlfn.XLOOKUP($K689&amp;"",'NETWORK-DEVICES'!$B$3:$B$987&amp;"",'NETWORK-DEVICES'!$K$3:$K$987,""),"Peripheral",_xlfn.XLOOKUP($K689&amp;"",PERIPHERAL!$B$3:$B$954&amp;"",PERIPHERAL!$K$3:$K$954,""),"Utilities",_xlfn.XLOOKUP($K689&amp;"",UTILITIES!$B$3:$B$953&amp;"",UTILITIES!$J$3:$J$953,""),"IOT",_xlfn.XLOOKUP($K689&amp;"",IOT!$B$3:$B$1012&amp;"",IOT!$K$4:$K$1012,""),"Server",_xlfn.XLOOKUP($K689&amp;"",SERVER!$B$3:$B$1009&amp;"",SERVER!$K$3:$K$1009,""),""))))</f>
        <v/>
      </c>
      <c r="O689" s="1" t="str" cm="1">
        <f t="array" ref="O689">IF(OR($K689="",$I689="",$J689=""),"",_xlfn.LET(_xlpm.srcCat,_xlfn.SWITCH($I689,"Computer",_xlfn.XLOOKUP($K689&amp;"",COMPUTER!$B$3:$B$1009&amp;"",COMPUTER!$H$3:$H$1009,""),"Display",_xlfn.XLOOKUP($K689&amp;"",DISPLAY!$B$3:$B$1000&amp;"",DISPLAY!$H$3:$H$1000,""),"Network Device",_xlfn.XLOOKUP($K689&amp;"",'NETWORK-DEVICES'!$B$3:$B$987&amp;"",'NETWORK-DEVICES'!$H$3:$H$987,""),"Peripheral",_xlfn.XLOOKUP($K689&amp;"",PERIPHERAL!$B$3:$B$954&amp;"",PERIPHERAL!$H$3:$H$954,""),"Utilities",_xlfn.XLOOKUP($K689&amp;"",UTILITIES!$B$3:$B$953&amp;"",UTILITIES!$G$3:$G$953,""),"IOT",_xlfn.XLOOKUP($K689&amp;"",IOT!$B$3:$B$1012&amp;"",IOT!$H$3:$H$1012,""),"Server",_xlfn.XLOOKUP($K689&amp;"",SERVER!$B$3:$B$1009&amp;"",SERVER!$H$3:$H$1009,""),""),IF(TRIM(_xlpm.srcCat)&lt;&gt;TRIM($J689),"",_xlfn.SWITCH($I689,"Computer",_xlfn.XLOOKUP($K689&amp;"",COMPUTER!$B$3:$B$1009&amp;"",COMPUTER!$E$3:$E$1009,""),"Display",_xlfn.XLOOKUP($K689&amp;"",DISPLAY!$B$3:$B$1000&amp;"",DISPLAY!$E$3:$E$1000,""),"Network Device",_xlfn.XLOOKUP($K689&amp;"",'NETWORK-DEVICES'!$B$3:$B$987&amp;"",'NETWORK-DEVICES'!$E$3:$E$987,""),"Peripheral",_xlfn.XLOOKUP($K689&amp;"",PERIPHERAL!$B$3:$B$954&amp;"",PERIPHERAL!$E$3:$E$954,""),"Utilities",_xlfn.XLOOKUP($K689&amp;"",UTILITIES!$B$3:$B$953&amp;"",UTILITIES!$E$3:$E$953,""),"IOT",_xlfn.XLOOKUP($K689&amp;"",IOT!$B$3:$B$1012&amp;"",IOT!$E$3:$E$1012,""),"Server",_xlfn.XLOOKUP($K689&amp;"",SERVER!$B$3:$B$1009&amp;"",SERVER!$E$3:$E$1009,""),""))))</f>
        <v/>
      </c>
      <c r="Q689" s="1" t="str" cm="1">
        <f t="array" ref="Q689">IF(OR($K689="",$I689="",$J689=""),"",_xlfn.LET(_xlpm.srcCat,_xlfn.SWITCH($I689,"Computer",_xlfn.XLOOKUP($K689&amp;"",COMPUTER!$B$3:$B$1009&amp;"",COMPUTER!$H$3:$H$1009,""),"Display",_xlfn.XLOOKUP($K689&amp;"",DISPLAY!$B$3:$B$1000&amp;"",DISPLAY!$H$3:$H$1000,""),"Network Device",_xlfn.XLOOKUP($K689&amp;"",'NETWORK-DEVICES'!$B$3:$B$987&amp;"",'NETWORK-DEVICES'!$H$3:$H$987,""),"Peripheral",_xlfn.XLOOKUP($K689&amp;"",PERIPHERAL!$B$3:$B$954&amp;"",PERIPHERAL!$H$3:$H$954,""),"Utilities",_xlfn.XLOOKUP($K689&amp;"",UTILITIES!$B$3:$B$953&amp;"",UTILITIES!$G$3:$G$953,""),"IOT",_xlfn.XLOOKUP($K689&amp;"",IOT!$B$3:$B$1012&amp;"",IOT!$H$3:$H$1012,""),"Server",_xlfn.XLOOKUP($K689&amp;"",SERVER!$B$3:$B$1009&amp;"",SERVER!$H$3:$H$1009,""),""),IF(TRIM(_xlpm.srcCat)&lt;&gt;TRIM($J689),"",_xlfn.SWITCH($I689,"Computer",_xlfn.XLOOKUP($K689&amp;"",COMPUTER!$B$3:$B$1009&amp;"",COMPUTER!$AM$3:$AM$1009,""),"Display",_xlfn.XLOOKUP($K689&amp;"",DISPLAY!$B$3:$B$1000&amp;"",DISPLAY!$V$3:$V$1000,""),"Network Device",_xlfn.XLOOKUP($K689&amp;"",'NETWORK-DEVICES'!$B$3:$B$987&amp;"",'NETWORK-DEVICES'!$AF$3:$AF$987,""),"Peripheral",_xlfn.XLOOKUP($K689&amp;"",PERIPHERAL!$B$3:$B$954&amp;"",PERIPHERAL!$Y$3:$Y$954,""),"Utilities",_xlfn.XLOOKUP($K689&amp;"",UTILITIES!$B$3:$B$953&amp;"",UTILITIES!$O$3:$O$953,""),"IOT",_xlfn.XLOOKUP($K689&amp;"",IOT!$B$3:$B$1012&amp;"",IOT!$AB$3:$AB$1012,""),"Server",_xlfn.XLOOKUP($K689&amp;"",SERVER!$B$3:$B$1009&amp;"",SERVER!$AB$3:$AB$1009,""),""))))</f>
        <v/>
      </c>
      <c r="R689" s="43" t="str">
        <f>IF(tbl_handover[[#This Row],[Asset Code]]="","",COUNTIF(tbl_handover[Asset Code],tbl_handover[[#This Row],[Asset Code]]))</f>
        <v/>
      </c>
    </row>
    <row r="690" spans="1:18" x14ac:dyDescent="0.25">
      <c r="A690" s="43" t="str">
        <f>IF(B690&lt;&gt;"",SUBTOTAL(3,$B$1:B689),"")</f>
        <v/>
      </c>
      <c r="C690" s="74"/>
      <c r="D690" s="74"/>
      <c r="G690" s="1"/>
      <c r="K690" s="42"/>
      <c r="L690" t="str" cm="1">
        <f t="array" ref="L690">IF($K690="","",_xlfn.SWITCH($I690,"Computer",_xlfn.XLOOKUP($K690&amp;"",COMPUTER!$B$3:$B$1009&amp;"",COMPUTER!$I$3:$I$1009,""),"Display",_xlfn.XLOOKUP($K690&amp;"",DISPLAY!$B$3:$B$1000&amp;"",DISPLAY!$J$3:$J$1000,""),"Network Device",_xlfn.XLOOKUP($K690&amp;"",'NETWORK-DEVICES'!$B$3:$B$987&amp;"",'NETWORK-DEVICES'!$I$3:$I$987,""),"Peripheral",_xlfn.XLOOKUP($K690&amp;"",PERIPHERAL!$B$3:$B$954&amp;"",PERIPHERAL!$I$3:$I$954,""),"Utilities",_xlfn.XLOOKUP($K690&amp;"",UTILITIES!$B$3:$B$953&amp;"",UTILITIES!$H$3:$H$953,""),"IOT",_xlfn.XLOOKUP($K690&amp;"",IOT!$B$3:$B$1012&amp;"",IOT!$I$3:$I$1012,""),"SERVER",_xlfn.XLOOKUP($K690&amp;"",SERVER!$B$3:$B$1009&amp;"",SERVER!$I$3:$I$1009,""),""))</f>
        <v/>
      </c>
      <c r="M690" t="str" cm="1">
        <f t="array" ref="M690">IF($K690="","",_xlfn.SWITCH($I690,"Computer",_xlfn.XLOOKUP($K690&amp;"",COMPUTER!$B$3:$B$1009&amp;"",COMPUTER!$J$3:$J$1009,""),"Display",_xlfn.XLOOKUP($K690&amp;"",DISPLAY!$B$3:$B$1000&amp;"",DISPLAY!$K$3:$K$1000,""),"Network Device",_xlfn.XLOOKUP($K690&amp;"",'NETWORK-DEVICES'!$B$3:$B$987&amp;"",'NETWORK-DEVICES'!$I$3:$I$987,""),"Peripheral",_xlfn.XLOOKUP($K690&amp;"",PERIPHERAL!$B$3:$B$954&amp;"",PERIPHERAL!$J$3:$J$954,""),"Utilities",_xlfn.XLOOKUP($K690&amp;"",UTILITIES!$B$3:$B$953&amp;"",UTILITIES!$I$3:$I$953,""),"IOT",_xlfn.XLOOKUP($K690&amp;"",IOT!$B$3:$B$1012&amp;"",IOT!$J$3:$J$1012,""),"Server",_xlfn.XLOOKUP($K690&amp;"",SERVER!$B$3:$B$1009&amp;"",SERVER!$J$3:$J$1009,""),""))</f>
        <v/>
      </c>
      <c r="N690" s="1" t="str" cm="1">
        <f t="array" ref="N690">IF(OR($K690="",$I690="",$J690=""),"",_xlfn.LET(_xlpm.srcCat,_xlfn.SWITCH($I690,"Computer",_xlfn.XLOOKUP($K690&amp;"",COMPUTER!$B$3:$B$1009&amp;"",COMPUTER!$H$3:$H$1009,""),"Display",_xlfn.XLOOKUP($K690&amp;"",DISPLAY!$B$3:$B$1000&amp;"",DISPLAY!$H$3:$H$1000,""),"Network Device",_xlfn.XLOOKUP($K690&amp;"",'NETWORK-DEVICES'!$B$3:$B$987&amp;"",'NETWORK-DEVICES'!$H$3:$H$987,""),"Peripheral",_xlfn.XLOOKUP($K690&amp;"",PERIPHERAL!$B$3:$B$954&amp;"",PERIPHERAL!$H$3:$H$954,""),"Utilities",_xlfn.XLOOKUP($K690&amp;"",UTILITIES!$B$3:$B$953&amp;"",UTILITIES!$G$3:$G$953,""),"IOT",_xlfn.XLOOKUP($K690&amp;"",IOT!$B$3:$B$1012&amp;"",IOT!$H$3:$H$1012,""),"Server",_xlfn.XLOOKUP($K690&amp;"",SERVER!$B$3:$B$1009&amp;"",SERVER!$H$3:$H$1009,""),""),IF(TRIM(_xlpm.srcCat)&lt;&gt;TRIM($J690),"",_xlfn.SWITCH($I690,"Computer",_xlfn.XLOOKUP($K690&amp;"",COMPUTER!$B$3:$B$1009&amp;"",COMPUTER!$K$3:$K$1009,""),"Display",_xlfn.XLOOKUP($K690&amp;"",DISPLAY!$B$3:$B$1000&amp;"",DISPLAY!$L$3:$L$1000,""),"Network Device",_xlfn.XLOOKUP($K690&amp;"",'NETWORK-DEVICES'!$B$3:$B$987&amp;"",'NETWORK-DEVICES'!$K$3:$K$987,""),"Peripheral",_xlfn.XLOOKUP($K690&amp;"",PERIPHERAL!$B$3:$B$954&amp;"",PERIPHERAL!$K$3:$K$954,""),"Utilities",_xlfn.XLOOKUP($K690&amp;"",UTILITIES!$B$3:$B$953&amp;"",UTILITIES!$J$3:$J$953,""),"IOT",_xlfn.XLOOKUP($K690&amp;"",IOT!$B$3:$B$1012&amp;"",IOT!$K$4:$K$1012,""),"Server",_xlfn.XLOOKUP($K690&amp;"",SERVER!$B$3:$B$1009&amp;"",SERVER!$K$3:$K$1009,""),""))))</f>
        <v/>
      </c>
      <c r="O690" s="1" t="str" cm="1">
        <f t="array" ref="O690">IF(OR($K690="",$I690="",$J690=""),"",_xlfn.LET(_xlpm.srcCat,_xlfn.SWITCH($I690,"Computer",_xlfn.XLOOKUP($K690&amp;"",COMPUTER!$B$3:$B$1009&amp;"",COMPUTER!$H$3:$H$1009,""),"Display",_xlfn.XLOOKUP($K690&amp;"",DISPLAY!$B$3:$B$1000&amp;"",DISPLAY!$H$3:$H$1000,""),"Network Device",_xlfn.XLOOKUP($K690&amp;"",'NETWORK-DEVICES'!$B$3:$B$987&amp;"",'NETWORK-DEVICES'!$H$3:$H$987,""),"Peripheral",_xlfn.XLOOKUP($K690&amp;"",PERIPHERAL!$B$3:$B$954&amp;"",PERIPHERAL!$H$3:$H$954,""),"Utilities",_xlfn.XLOOKUP($K690&amp;"",UTILITIES!$B$3:$B$953&amp;"",UTILITIES!$G$3:$G$953,""),"IOT",_xlfn.XLOOKUP($K690&amp;"",IOT!$B$3:$B$1012&amp;"",IOT!$H$3:$H$1012,""),"Server",_xlfn.XLOOKUP($K690&amp;"",SERVER!$B$3:$B$1009&amp;"",SERVER!$H$3:$H$1009,""),""),IF(TRIM(_xlpm.srcCat)&lt;&gt;TRIM($J690),"",_xlfn.SWITCH($I690,"Computer",_xlfn.XLOOKUP($K690&amp;"",COMPUTER!$B$3:$B$1009&amp;"",COMPUTER!$E$3:$E$1009,""),"Display",_xlfn.XLOOKUP($K690&amp;"",DISPLAY!$B$3:$B$1000&amp;"",DISPLAY!$E$3:$E$1000,""),"Network Device",_xlfn.XLOOKUP($K690&amp;"",'NETWORK-DEVICES'!$B$3:$B$987&amp;"",'NETWORK-DEVICES'!$E$3:$E$987,""),"Peripheral",_xlfn.XLOOKUP($K690&amp;"",PERIPHERAL!$B$3:$B$954&amp;"",PERIPHERAL!$E$3:$E$954,""),"Utilities",_xlfn.XLOOKUP($K690&amp;"",UTILITIES!$B$3:$B$953&amp;"",UTILITIES!$E$3:$E$953,""),"IOT",_xlfn.XLOOKUP($K690&amp;"",IOT!$B$3:$B$1012&amp;"",IOT!$E$3:$E$1012,""),"Server",_xlfn.XLOOKUP($K690&amp;"",SERVER!$B$3:$B$1009&amp;"",SERVER!$E$3:$E$1009,""),""))))</f>
        <v/>
      </c>
      <c r="Q690" s="1" t="str" cm="1">
        <f t="array" ref="Q690">IF(OR($K690="",$I690="",$J690=""),"",_xlfn.LET(_xlpm.srcCat,_xlfn.SWITCH($I690,"Computer",_xlfn.XLOOKUP($K690&amp;"",COMPUTER!$B$3:$B$1009&amp;"",COMPUTER!$H$3:$H$1009,""),"Display",_xlfn.XLOOKUP($K690&amp;"",DISPLAY!$B$3:$B$1000&amp;"",DISPLAY!$H$3:$H$1000,""),"Network Device",_xlfn.XLOOKUP($K690&amp;"",'NETWORK-DEVICES'!$B$3:$B$987&amp;"",'NETWORK-DEVICES'!$H$3:$H$987,""),"Peripheral",_xlfn.XLOOKUP($K690&amp;"",PERIPHERAL!$B$3:$B$954&amp;"",PERIPHERAL!$H$3:$H$954,""),"Utilities",_xlfn.XLOOKUP($K690&amp;"",UTILITIES!$B$3:$B$953&amp;"",UTILITIES!$G$3:$G$953,""),"IOT",_xlfn.XLOOKUP($K690&amp;"",IOT!$B$3:$B$1012&amp;"",IOT!$H$3:$H$1012,""),"Server",_xlfn.XLOOKUP($K690&amp;"",SERVER!$B$3:$B$1009&amp;"",SERVER!$H$3:$H$1009,""),""),IF(TRIM(_xlpm.srcCat)&lt;&gt;TRIM($J690),"",_xlfn.SWITCH($I690,"Computer",_xlfn.XLOOKUP($K690&amp;"",COMPUTER!$B$3:$B$1009&amp;"",COMPUTER!$AM$3:$AM$1009,""),"Display",_xlfn.XLOOKUP($K690&amp;"",DISPLAY!$B$3:$B$1000&amp;"",DISPLAY!$V$3:$V$1000,""),"Network Device",_xlfn.XLOOKUP($K690&amp;"",'NETWORK-DEVICES'!$B$3:$B$987&amp;"",'NETWORK-DEVICES'!$AF$3:$AF$987,""),"Peripheral",_xlfn.XLOOKUP($K690&amp;"",PERIPHERAL!$B$3:$B$954&amp;"",PERIPHERAL!$Y$3:$Y$954,""),"Utilities",_xlfn.XLOOKUP($K690&amp;"",UTILITIES!$B$3:$B$953&amp;"",UTILITIES!$O$3:$O$953,""),"IOT",_xlfn.XLOOKUP($K690&amp;"",IOT!$B$3:$B$1012&amp;"",IOT!$AB$3:$AB$1012,""),"Server",_xlfn.XLOOKUP($K690&amp;"",SERVER!$B$3:$B$1009&amp;"",SERVER!$AB$3:$AB$1009,""),""))))</f>
        <v/>
      </c>
      <c r="R690" s="43" t="str">
        <f>IF(tbl_handover[[#This Row],[Asset Code]]="","",COUNTIF(tbl_handover[Asset Code],tbl_handover[[#This Row],[Asset Code]]))</f>
        <v/>
      </c>
    </row>
    <row r="691" spans="1:18" x14ac:dyDescent="0.25">
      <c r="A691" s="43" t="str">
        <f>IF(B691&lt;&gt;"",SUBTOTAL(3,$B$1:B690),"")</f>
        <v/>
      </c>
      <c r="C691" s="74"/>
      <c r="D691" s="74"/>
      <c r="G691" s="1"/>
      <c r="K691" s="42"/>
      <c r="L691" t="str" cm="1">
        <f t="array" ref="L691">IF($K691="","",_xlfn.SWITCH($I691,"Computer",_xlfn.XLOOKUP($K691&amp;"",COMPUTER!$B$3:$B$1009&amp;"",COMPUTER!$I$3:$I$1009,""),"Display",_xlfn.XLOOKUP($K691&amp;"",DISPLAY!$B$3:$B$1000&amp;"",DISPLAY!$J$3:$J$1000,""),"Network Device",_xlfn.XLOOKUP($K691&amp;"",'NETWORK-DEVICES'!$B$3:$B$987&amp;"",'NETWORK-DEVICES'!$I$3:$I$987,""),"Peripheral",_xlfn.XLOOKUP($K691&amp;"",PERIPHERAL!$B$3:$B$954&amp;"",PERIPHERAL!$I$3:$I$954,""),"Utilities",_xlfn.XLOOKUP($K691&amp;"",UTILITIES!$B$3:$B$953&amp;"",UTILITIES!$H$3:$H$953,""),"IOT",_xlfn.XLOOKUP($K691&amp;"",IOT!$B$3:$B$1012&amp;"",IOT!$I$3:$I$1012,""),"SERVER",_xlfn.XLOOKUP($K691&amp;"",SERVER!$B$3:$B$1009&amp;"",SERVER!$I$3:$I$1009,""),""))</f>
        <v/>
      </c>
      <c r="M691" t="str" cm="1">
        <f t="array" ref="M691">IF($K691="","",_xlfn.SWITCH($I691,"Computer",_xlfn.XLOOKUP($K691&amp;"",COMPUTER!$B$3:$B$1009&amp;"",COMPUTER!$J$3:$J$1009,""),"Display",_xlfn.XLOOKUP($K691&amp;"",DISPLAY!$B$3:$B$1000&amp;"",DISPLAY!$K$3:$K$1000,""),"Network Device",_xlfn.XLOOKUP($K691&amp;"",'NETWORK-DEVICES'!$B$3:$B$987&amp;"",'NETWORK-DEVICES'!$I$3:$I$987,""),"Peripheral",_xlfn.XLOOKUP($K691&amp;"",PERIPHERAL!$B$3:$B$954&amp;"",PERIPHERAL!$J$3:$J$954,""),"Utilities",_xlfn.XLOOKUP($K691&amp;"",UTILITIES!$B$3:$B$953&amp;"",UTILITIES!$I$3:$I$953,""),"IOT",_xlfn.XLOOKUP($K691&amp;"",IOT!$B$3:$B$1012&amp;"",IOT!$J$3:$J$1012,""),"Server",_xlfn.XLOOKUP($K691&amp;"",SERVER!$B$3:$B$1009&amp;"",SERVER!$J$3:$J$1009,""),""))</f>
        <v/>
      </c>
      <c r="N691" s="1" t="str" cm="1">
        <f t="array" ref="N691">IF(OR($K691="",$I691="",$J691=""),"",_xlfn.LET(_xlpm.srcCat,_xlfn.SWITCH($I691,"Computer",_xlfn.XLOOKUP($K691&amp;"",COMPUTER!$B$3:$B$1009&amp;"",COMPUTER!$H$3:$H$1009,""),"Display",_xlfn.XLOOKUP($K691&amp;"",DISPLAY!$B$3:$B$1000&amp;"",DISPLAY!$H$3:$H$1000,""),"Network Device",_xlfn.XLOOKUP($K691&amp;"",'NETWORK-DEVICES'!$B$3:$B$987&amp;"",'NETWORK-DEVICES'!$H$3:$H$987,""),"Peripheral",_xlfn.XLOOKUP($K691&amp;"",PERIPHERAL!$B$3:$B$954&amp;"",PERIPHERAL!$H$3:$H$954,""),"Utilities",_xlfn.XLOOKUP($K691&amp;"",UTILITIES!$B$3:$B$953&amp;"",UTILITIES!$G$3:$G$953,""),"IOT",_xlfn.XLOOKUP($K691&amp;"",IOT!$B$3:$B$1012&amp;"",IOT!$H$3:$H$1012,""),"Server",_xlfn.XLOOKUP($K691&amp;"",SERVER!$B$3:$B$1009&amp;"",SERVER!$H$3:$H$1009,""),""),IF(TRIM(_xlpm.srcCat)&lt;&gt;TRIM($J691),"",_xlfn.SWITCH($I691,"Computer",_xlfn.XLOOKUP($K691&amp;"",COMPUTER!$B$3:$B$1009&amp;"",COMPUTER!$K$3:$K$1009,""),"Display",_xlfn.XLOOKUP($K691&amp;"",DISPLAY!$B$3:$B$1000&amp;"",DISPLAY!$L$3:$L$1000,""),"Network Device",_xlfn.XLOOKUP($K691&amp;"",'NETWORK-DEVICES'!$B$3:$B$987&amp;"",'NETWORK-DEVICES'!$K$3:$K$987,""),"Peripheral",_xlfn.XLOOKUP($K691&amp;"",PERIPHERAL!$B$3:$B$954&amp;"",PERIPHERAL!$K$3:$K$954,""),"Utilities",_xlfn.XLOOKUP($K691&amp;"",UTILITIES!$B$3:$B$953&amp;"",UTILITIES!$J$3:$J$953,""),"IOT",_xlfn.XLOOKUP($K691&amp;"",IOT!$B$3:$B$1012&amp;"",IOT!$K$4:$K$1012,""),"Server",_xlfn.XLOOKUP($K691&amp;"",SERVER!$B$3:$B$1009&amp;"",SERVER!$K$3:$K$1009,""),""))))</f>
        <v/>
      </c>
      <c r="O691" s="1" t="str" cm="1">
        <f t="array" ref="O691">IF(OR($K691="",$I691="",$J691=""),"",_xlfn.LET(_xlpm.srcCat,_xlfn.SWITCH($I691,"Computer",_xlfn.XLOOKUP($K691&amp;"",COMPUTER!$B$3:$B$1009&amp;"",COMPUTER!$H$3:$H$1009,""),"Display",_xlfn.XLOOKUP($K691&amp;"",DISPLAY!$B$3:$B$1000&amp;"",DISPLAY!$H$3:$H$1000,""),"Network Device",_xlfn.XLOOKUP($K691&amp;"",'NETWORK-DEVICES'!$B$3:$B$987&amp;"",'NETWORK-DEVICES'!$H$3:$H$987,""),"Peripheral",_xlfn.XLOOKUP($K691&amp;"",PERIPHERAL!$B$3:$B$954&amp;"",PERIPHERAL!$H$3:$H$954,""),"Utilities",_xlfn.XLOOKUP($K691&amp;"",UTILITIES!$B$3:$B$953&amp;"",UTILITIES!$G$3:$G$953,""),"IOT",_xlfn.XLOOKUP($K691&amp;"",IOT!$B$3:$B$1012&amp;"",IOT!$H$3:$H$1012,""),"Server",_xlfn.XLOOKUP($K691&amp;"",SERVER!$B$3:$B$1009&amp;"",SERVER!$H$3:$H$1009,""),""),IF(TRIM(_xlpm.srcCat)&lt;&gt;TRIM($J691),"",_xlfn.SWITCH($I691,"Computer",_xlfn.XLOOKUP($K691&amp;"",COMPUTER!$B$3:$B$1009&amp;"",COMPUTER!$E$3:$E$1009,""),"Display",_xlfn.XLOOKUP($K691&amp;"",DISPLAY!$B$3:$B$1000&amp;"",DISPLAY!$E$3:$E$1000,""),"Network Device",_xlfn.XLOOKUP($K691&amp;"",'NETWORK-DEVICES'!$B$3:$B$987&amp;"",'NETWORK-DEVICES'!$E$3:$E$987,""),"Peripheral",_xlfn.XLOOKUP($K691&amp;"",PERIPHERAL!$B$3:$B$954&amp;"",PERIPHERAL!$E$3:$E$954,""),"Utilities",_xlfn.XLOOKUP($K691&amp;"",UTILITIES!$B$3:$B$953&amp;"",UTILITIES!$E$3:$E$953,""),"IOT",_xlfn.XLOOKUP($K691&amp;"",IOT!$B$3:$B$1012&amp;"",IOT!$E$3:$E$1012,""),"Server",_xlfn.XLOOKUP($K691&amp;"",SERVER!$B$3:$B$1009&amp;"",SERVER!$E$3:$E$1009,""),""))))</f>
        <v/>
      </c>
      <c r="Q691" s="1" t="str" cm="1">
        <f t="array" ref="Q691">IF(OR($K691="",$I691="",$J691=""),"",_xlfn.LET(_xlpm.srcCat,_xlfn.SWITCH($I691,"Computer",_xlfn.XLOOKUP($K691&amp;"",COMPUTER!$B$3:$B$1009&amp;"",COMPUTER!$H$3:$H$1009,""),"Display",_xlfn.XLOOKUP($K691&amp;"",DISPLAY!$B$3:$B$1000&amp;"",DISPLAY!$H$3:$H$1000,""),"Network Device",_xlfn.XLOOKUP($K691&amp;"",'NETWORK-DEVICES'!$B$3:$B$987&amp;"",'NETWORK-DEVICES'!$H$3:$H$987,""),"Peripheral",_xlfn.XLOOKUP($K691&amp;"",PERIPHERAL!$B$3:$B$954&amp;"",PERIPHERAL!$H$3:$H$954,""),"Utilities",_xlfn.XLOOKUP($K691&amp;"",UTILITIES!$B$3:$B$953&amp;"",UTILITIES!$G$3:$G$953,""),"IOT",_xlfn.XLOOKUP($K691&amp;"",IOT!$B$3:$B$1012&amp;"",IOT!$H$3:$H$1012,""),"Server",_xlfn.XLOOKUP($K691&amp;"",SERVER!$B$3:$B$1009&amp;"",SERVER!$H$3:$H$1009,""),""),IF(TRIM(_xlpm.srcCat)&lt;&gt;TRIM($J691),"",_xlfn.SWITCH($I691,"Computer",_xlfn.XLOOKUP($K691&amp;"",COMPUTER!$B$3:$B$1009&amp;"",COMPUTER!$AM$3:$AM$1009,""),"Display",_xlfn.XLOOKUP($K691&amp;"",DISPLAY!$B$3:$B$1000&amp;"",DISPLAY!$V$3:$V$1000,""),"Network Device",_xlfn.XLOOKUP($K691&amp;"",'NETWORK-DEVICES'!$B$3:$B$987&amp;"",'NETWORK-DEVICES'!$AF$3:$AF$987,""),"Peripheral",_xlfn.XLOOKUP($K691&amp;"",PERIPHERAL!$B$3:$B$954&amp;"",PERIPHERAL!$Y$3:$Y$954,""),"Utilities",_xlfn.XLOOKUP($K691&amp;"",UTILITIES!$B$3:$B$953&amp;"",UTILITIES!$O$3:$O$953,""),"IOT",_xlfn.XLOOKUP($K691&amp;"",IOT!$B$3:$B$1012&amp;"",IOT!$AB$3:$AB$1012,""),"Server",_xlfn.XLOOKUP($K691&amp;"",SERVER!$B$3:$B$1009&amp;"",SERVER!$AB$3:$AB$1009,""),""))))</f>
        <v/>
      </c>
      <c r="R691" s="43" t="str">
        <f>IF(tbl_handover[[#This Row],[Asset Code]]="","",COUNTIF(tbl_handover[Asset Code],tbl_handover[[#This Row],[Asset Code]]))</f>
        <v/>
      </c>
    </row>
    <row r="692" spans="1:18" x14ac:dyDescent="0.25">
      <c r="A692" s="43" t="str">
        <f>IF(B692&lt;&gt;"",SUBTOTAL(3,$B$1:B691),"")</f>
        <v/>
      </c>
      <c r="C692" s="74"/>
      <c r="D692" s="74"/>
      <c r="G692" s="1"/>
      <c r="K692" s="42"/>
      <c r="L692" t="str" cm="1">
        <f t="array" ref="L692">IF($K692="","",_xlfn.SWITCH($I692,"Computer",_xlfn.XLOOKUP($K692&amp;"",COMPUTER!$B$3:$B$1009&amp;"",COMPUTER!$I$3:$I$1009,""),"Display",_xlfn.XLOOKUP($K692&amp;"",DISPLAY!$B$3:$B$1000&amp;"",DISPLAY!$J$3:$J$1000,""),"Network Device",_xlfn.XLOOKUP($K692&amp;"",'NETWORK-DEVICES'!$B$3:$B$987&amp;"",'NETWORK-DEVICES'!$I$3:$I$987,""),"Peripheral",_xlfn.XLOOKUP($K692&amp;"",PERIPHERAL!$B$3:$B$954&amp;"",PERIPHERAL!$I$3:$I$954,""),"Utilities",_xlfn.XLOOKUP($K692&amp;"",UTILITIES!$B$3:$B$953&amp;"",UTILITIES!$H$3:$H$953,""),"IOT",_xlfn.XLOOKUP($K692&amp;"",IOT!$B$3:$B$1012&amp;"",IOT!$I$3:$I$1012,""),"SERVER",_xlfn.XLOOKUP($K692&amp;"",SERVER!$B$3:$B$1009&amp;"",SERVER!$I$3:$I$1009,""),""))</f>
        <v/>
      </c>
      <c r="M692" t="str" cm="1">
        <f t="array" ref="M692">IF($K692="","",_xlfn.SWITCH($I692,"Computer",_xlfn.XLOOKUP($K692&amp;"",COMPUTER!$B$3:$B$1009&amp;"",COMPUTER!$J$3:$J$1009,""),"Display",_xlfn.XLOOKUP($K692&amp;"",DISPLAY!$B$3:$B$1000&amp;"",DISPLAY!$K$3:$K$1000,""),"Network Device",_xlfn.XLOOKUP($K692&amp;"",'NETWORK-DEVICES'!$B$3:$B$987&amp;"",'NETWORK-DEVICES'!$I$3:$I$987,""),"Peripheral",_xlfn.XLOOKUP($K692&amp;"",PERIPHERAL!$B$3:$B$954&amp;"",PERIPHERAL!$J$3:$J$954,""),"Utilities",_xlfn.XLOOKUP($K692&amp;"",UTILITIES!$B$3:$B$953&amp;"",UTILITIES!$I$3:$I$953,""),"IOT",_xlfn.XLOOKUP($K692&amp;"",IOT!$B$3:$B$1012&amp;"",IOT!$J$3:$J$1012,""),"Server",_xlfn.XLOOKUP($K692&amp;"",SERVER!$B$3:$B$1009&amp;"",SERVER!$J$3:$J$1009,""),""))</f>
        <v/>
      </c>
      <c r="N692" s="1" t="str" cm="1">
        <f t="array" ref="N692">IF(OR($K692="",$I692="",$J692=""),"",_xlfn.LET(_xlpm.srcCat,_xlfn.SWITCH($I692,"Computer",_xlfn.XLOOKUP($K692&amp;"",COMPUTER!$B$3:$B$1009&amp;"",COMPUTER!$H$3:$H$1009,""),"Display",_xlfn.XLOOKUP($K692&amp;"",DISPLAY!$B$3:$B$1000&amp;"",DISPLAY!$H$3:$H$1000,""),"Network Device",_xlfn.XLOOKUP($K692&amp;"",'NETWORK-DEVICES'!$B$3:$B$987&amp;"",'NETWORK-DEVICES'!$H$3:$H$987,""),"Peripheral",_xlfn.XLOOKUP($K692&amp;"",PERIPHERAL!$B$3:$B$954&amp;"",PERIPHERAL!$H$3:$H$954,""),"Utilities",_xlfn.XLOOKUP($K692&amp;"",UTILITIES!$B$3:$B$953&amp;"",UTILITIES!$G$3:$G$953,""),"IOT",_xlfn.XLOOKUP($K692&amp;"",IOT!$B$3:$B$1012&amp;"",IOT!$H$3:$H$1012,""),"Server",_xlfn.XLOOKUP($K692&amp;"",SERVER!$B$3:$B$1009&amp;"",SERVER!$H$3:$H$1009,""),""),IF(TRIM(_xlpm.srcCat)&lt;&gt;TRIM($J692),"",_xlfn.SWITCH($I692,"Computer",_xlfn.XLOOKUP($K692&amp;"",COMPUTER!$B$3:$B$1009&amp;"",COMPUTER!$K$3:$K$1009,""),"Display",_xlfn.XLOOKUP($K692&amp;"",DISPLAY!$B$3:$B$1000&amp;"",DISPLAY!$L$3:$L$1000,""),"Network Device",_xlfn.XLOOKUP($K692&amp;"",'NETWORK-DEVICES'!$B$3:$B$987&amp;"",'NETWORK-DEVICES'!$K$3:$K$987,""),"Peripheral",_xlfn.XLOOKUP($K692&amp;"",PERIPHERAL!$B$3:$B$954&amp;"",PERIPHERAL!$K$3:$K$954,""),"Utilities",_xlfn.XLOOKUP($K692&amp;"",UTILITIES!$B$3:$B$953&amp;"",UTILITIES!$J$3:$J$953,""),"IOT",_xlfn.XLOOKUP($K692&amp;"",IOT!$B$3:$B$1012&amp;"",IOT!$K$4:$K$1012,""),"Server",_xlfn.XLOOKUP($K692&amp;"",SERVER!$B$3:$B$1009&amp;"",SERVER!$K$3:$K$1009,""),""))))</f>
        <v/>
      </c>
      <c r="O692" s="1" t="str" cm="1">
        <f t="array" ref="O692">IF(OR($K692="",$I692="",$J692=""),"",_xlfn.LET(_xlpm.srcCat,_xlfn.SWITCH($I692,"Computer",_xlfn.XLOOKUP($K692&amp;"",COMPUTER!$B$3:$B$1009&amp;"",COMPUTER!$H$3:$H$1009,""),"Display",_xlfn.XLOOKUP($K692&amp;"",DISPLAY!$B$3:$B$1000&amp;"",DISPLAY!$H$3:$H$1000,""),"Network Device",_xlfn.XLOOKUP($K692&amp;"",'NETWORK-DEVICES'!$B$3:$B$987&amp;"",'NETWORK-DEVICES'!$H$3:$H$987,""),"Peripheral",_xlfn.XLOOKUP($K692&amp;"",PERIPHERAL!$B$3:$B$954&amp;"",PERIPHERAL!$H$3:$H$954,""),"Utilities",_xlfn.XLOOKUP($K692&amp;"",UTILITIES!$B$3:$B$953&amp;"",UTILITIES!$G$3:$G$953,""),"IOT",_xlfn.XLOOKUP($K692&amp;"",IOT!$B$3:$B$1012&amp;"",IOT!$H$3:$H$1012,""),"Server",_xlfn.XLOOKUP($K692&amp;"",SERVER!$B$3:$B$1009&amp;"",SERVER!$H$3:$H$1009,""),""),IF(TRIM(_xlpm.srcCat)&lt;&gt;TRIM($J692),"",_xlfn.SWITCH($I692,"Computer",_xlfn.XLOOKUP($K692&amp;"",COMPUTER!$B$3:$B$1009&amp;"",COMPUTER!$E$3:$E$1009,""),"Display",_xlfn.XLOOKUP($K692&amp;"",DISPLAY!$B$3:$B$1000&amp;"",DISPLAY!$E$3:$E$1000,""),"Network Device",_xlfn.XLOOKUP($K692&amp;"",'NETWORK-DEVICES'!$B$3:$B$987&amp;"",'NETWORK-DEVICES'!$E$3:$E$987,""),"Peripheral",_xlfn.XLOOKUP($K692&amp;"",PERIPHERAL!$B$3:$B$954&amp;"",PERIPHERAL!$E$3:$E$954,""),"Utilities",_xlfn.XLOOKUP($K692&amp;"",UTILITIES!$B$3:$B$953&amp;"",UTILITIES!$E$3:$E$953,""),"IOT",_xlfn.XLOOKUP($K692&amp;"",IOT!$B$3:$B$1012&amp;"",IOT!$E$3:$E$1012,""),"Server",_xlfn.XLOOKUP($K692&amp;"",SERVER!$B$3:$B$1009&amp;"",SERVER!$E$3:$E$1009,""),""))))</f>
        <v/>
      </c>
      <c r="Q692" s="1" t="str" cm="1">
        <f t="array" ref="Q692">IF(OR($K692="",$I692="",$J692=""),"",_xlfn.LET(_xlpm.srcCat,_xlfn.SWITCH($I692,"Computer",_xlfn.XLOOKUP($K692&amp;"",COMPUTER!$B$3:$B$1009&amp;"",COMPUTER!$H$3:$H$1009,""),"Display",_xlfn.XLOOKUP($K692&amp;"",DISPLAY!$B$3:$B$1000&amp;"",DISPLAY!$H$3:$H$1000,""),"Network Device",_xlfn.XLOOKUP($K692&amp;"",'NETWORK-DEVICES'!$B$3:$B$987&amp;"",'NETWORK-DEVICES'!$H$3:$H$987,""),"Peripheral",_xlfn.XLOOKUP($K692&amp;"",PERIPHERAL!$B$3:$B$954&amp;"",PERIPHERAL!$H$3:$H$954,""),"Utilities",_xlfn.XLOOKUP($K692&amp;"",UTILITIES!$B$3:$B$953&amp;"",UTILITIES!$G$3:$G$953,""),"IOT",_xlfn.XLOOKUP($K692&amp;"",IOT!$B$3:$B$1012&amp;"",IOT!$H$3:$H$1012,""),"Server",_xlfn.XLOOKUP($K692&amp;"",SERVER!$B$3:$B$1009&amp;"",SERVER!$H$3:$H$1009,""),""),IF(TRIM(_xlpm.srcCat)&lt;&gt;TRIM($J692),"",_xlfn.SWITCH($I692,"Computer",_xlfn.XLOOKUP($K692&amp;"",COMPUTER!$B$3:$B$1009&amp;"",COMPUTER!$AM$3:$AM$1009,""),"Display",_xlfn.XLOOKUP($K692&amp;"",DISPLAY!$B$3:$B$1000&amp;"",DISPLAY!$V$3:$V$1000,""),"Network Device",_xlfn.XLOOKUP($K692&amp;"",'NETWORK-DEVICES'!$B$3:$B$987&amp;"",'NETWORK-DEVICES'!$AF$3:$AF$987,""),"Peripheral",_xlfn.XLOOKUP($K692&amp;"",PERIPHERAL!$B$3:$B$954&amp;"",PERIPHERAL!$Y$3:$Y$954,""),"Utilities",_xlfn.XLOOKUP($K692&amp;"",UTILITIES!$B$3:$B$953&amp;"",UTILITIES!$O$3:$O$953,""),"IOT",_xlfn.XLOOKUP($K692&amp;"",IOT!$B$3:$B$1012&amp;"",IOT!$AB$3:$AB$1012,""),"Server",_xlfn.XLOOKUP($K692&amp;"",SERVER!$B$3:$B$1009&amp;"",SERVER!$AB$3:$AB$1009,""),""))))</f>
        <v/>
      </c>
      <c r="R692" s="43" t="str">
        <f>IF(tbl_handover[[#This Row],[Asset Code]]="","",COUNTIF(tbl_handover[Asset Code],tbl_handover[[#This Row],[Asset Code]]))</f>
        <v/>
      </c>
    </row>
    <row r="693" spans="1:18" x14ac:dyDescent="0.25">
      <c r="A693" s="43" t="str">
        <f>IF(B693&lt;&gt;"",SUBTOTAL(3,$B$1:B692),"")</f>
        <v/>
      </c>
      <c r="C693" s="74"/>
      <c r="D693" s="74"/>
      <c r="G693" s="1"/>
      <c r="K693" s="42"/>
      <c r="L693" t="str" cm="1">
        <f t="array" ref="L693">IF($K693="","",_xlfn.SWITCH($I693,"Computer",_xlfn.XLOOKUP($K693&amp;"",COMPUTER!$B$3:$B$1009&amp;"",COMPUTER!$I$3:$I$1009,""),"Display",_xlfn.XLOOKUP($K693&amp;"",DISPLAY!$B$3:$B$1000&amp;"",DISPLAY!$J$3:$J$1000,""),"Network Device",_xlfn.XLOOKUP($K693&amp;"",'NETWORK-DEVICES'!$B$3:$B$987&amp;"",'NETWORK-DEVICES'!$I$3:$I$987,""),"Peripheral",_xlfn.XLOOKUP($K693&amp;"",PERIPHERAL!$B$3:$B$954&amp;"",PERIPHERAL!$I$3:$I$954,""),"Utilities",_xlfn.XLOOKUP($K693&amp;"",UTILITIES!$B$3:$B$953&amp;"",UTILITIES!$H$3:$H$953,""),"IOT",_xlfn.XLOOKUP($K693&amp;"",IOT!$B$3:$B$1012&amp;"",IOT!$I$3:$I$1012,""),"SERVER",_xlfn.XLOOKUP($K693&amp;"",SERVER!$B$3:$B$1009&amp;"",SERVER!$I$3:$I$1009,""),""))</f>
        <v/>
      </c>
      <c r="M693" t="str" cm="1">
        <f t="array" ref="M693">IF($K693="","",_xlfn.SWITCH($I693,"Computer",_xlfn.XLOOKUP($K693&amp;"",COMPUTER!$B$3:$B$1009&amp;"",COMPUTER!$J$3:$J$1009,""),"Display",_xlfn.XLOOKUP($K693&amp;"",DISPLAY!$B$3:$B$1000&amp;"",DISPLAY!$K$3:$K$1000,""),"Network Device",_xlfn.XLOOKUP($K693&amp;"",'NETWORK-DEVICES'!$B$3:$B$987&amp;"",'NETWORK-DEVICES'!$I$3:$I$987,""),"Peripheral",_xlfn.XLOOKUP($K693&amp;"",PERIPHERAL!$B$3:$B$954&amp;"",PERIPHERAL!$J$3:$J$954,""),"Utilities",_xlfn.XLOOKUP($K693&amp;"",UTILITIES!$B$3:$B$953&amp;"",UTILITIES!$I$3:$I$953,""),"IOT",_xlfn.XLOOKUP($K693&amp;"",IOT!$B$3:$B$1012&amp;"",IOT!$J$3:$J$1012,""),"Server",_xlfn.XLOOKUP($K693&amp;"",SERVER!$B$3:$B$1009&amp;"",SERVER!$J$3:$J$1009,""),""))</f>
        <v/>
      </c>
      <c r="N693" s="1" t="str" cm="1">
        <f t="array" ref="N693">IF(OR($K693="",$I693="",$J693=""),"",_xlfn.LET(_xlpm.srcCat,_xlfn.SWITCH($I693,"Computer",_xlfn.XLOOKUP($K693&amp;"",COMPUTER!$B$3:$B$1009&amp;"",COMPUTER!$H$3:$H$1009,""),"Display",_xlfn.XLOOKUP($K693&amp;"",DISPLAY!$B$3:$B$1000&amp;"",DISPLAY!$H$3:$H$1000,""),"Network Device",_xlfn.XLOOKUP($K693&amp;"",'NETWORK-DEVICES'!$B$3:$B$987&amp;"",'NETWORK-DEVICES'!$H$3:$H$987,""),"Peripheral",_xlfn.XLOOKUP($K693&amp;"",PERIPHERAL!$B$3:$B$954&amp;"",PERIPHERAL!$H$3:$H$954,""),"Utilities",_xlfn.XLOOKUP($K693&amp;"",UTILITIES!$B$3:$B$953&amp;"",UTILITIES!$G$3:$G$953,""),"IOT",_xlfn.XLOOKUP($K693&amp;"",IOT!$B$3:$B$1012&amp;"",IOT!$H$3:$H$1012,""),"Server",_xlfn.XLOOKUP($K693&amp;"",SERVER!$B$3:$B$1009&amp;"",SERVER!$H$3:$H$1009,""),""),IF(TRIM(_xlpm.srcCat)&lt;&gt;TRIM($J693),"",_xlfn.SWITCH($I693,"Computer",_xlfn.XLOOKUP($K693&amp;"",COMPUTER!$B$3:$B$1009&amp;"",COMPUTER!$K$3:$K$1009,""),"Display",_xlfn.XLOOKUP($K693&amp;"",DISPLAY!$B$3:$B$1000&amp;"",DISPLAY!$L$3:$L$1000,""),"Network Device",_xlfn.XLOOKUP($K693&amp;"",'NETWORK-DEVICES'!$B$3:$B$987&amp;"",'NETWORK-DEVICES'!$K$3:$K$987,""),"Peripheral",_xlfn.XLOOKUP($K693&amp;"",PERIPHERAL!$B$3:$B$954&amp;"",PERIPHERAL!$K$3:$K$954,""),"Utilities",_xlfn.XLOOKUP($K693&amp;"",UTILITIES!$B$3:$B$953&amp;"",UTILITIES!$J$3:$J$953,""),"IOT",_xlfn.XLOOKUP($K693&amp;"",IOT!$B$3:$B$1012&amp;"",IOT!$K$4:$K$1012,""),"Server",_xlfn.XLOOKUP($K693&amp;"",SERVER!$B$3:$B$1009&amp;"",SERVER!$K$3:$K$1009,""),""))))</f>
        <v/>
      </c>
      <c r="O693" s="1" t="str" cm="1">
        <f t="array" ref="O693">IF(OR($K693="",$I693="",$J693=""),"",_xlfn.LET(_xlpm.srcCat,_xlfn.SWITCH($I693,"Computer",_xlfn.XLOOKUP($K693&amp;"",COMPUTER!$B$3:$B$1009&amp;"",COMPUTER!$H$3:$H$1009,""),"Display",_xlfn.XLOOKUP($K693&amp;"",DISPLAY!$B$3:$B$1000&amp;"",DISPLAY!$H$3:$H$1000,""),"Network Device",_xlfn.XLOOKUP($K693&amp;"",'NETWORK-DEVICES'!$B$3:$B$987&amp;"",'NETWORK-DEVICES'!$H$3:$H$987,""),"Peripheral",_xlfn.XLOOKUP($K693&amp;"",PERIPHERAL!$B$3:$B$954&amp;"",PERIPHERAL!$H$3:$H$954,""),"Utilities",_xlfn.XLOOKUP($K693&amp;"",UTILITIES!$B$3:$B$953&amp;"",UTILITIES!$G$3:$G$953,""),"IOT",_xlfn.XLOOKUP($K693&amp;"",IOT!$B$3:$B$1012&amp;"",IOT!$H$3:$H$1012,""),"Server",_xlfn.XLOOKUP($K693&amp;"",SERVER!$B$3:$B$1009&amp;"",SERVER!$H$3:$H$1009,""),""),IF(TRIM(_xlpm.srcCat)&lt;&gt;TRIM($J693),"",_xlfn.SWITCH($I693,"Computer",_xlfn.XLOOKUP($K693&amp;"",COMPUTER!$B$3:$B$1009&amp;"",COMPUTER!$E$3:$E$1009,""),"Display",_xlfn.XLOOKUP($K693&amp;"",DISPLAY!$B$3:$B$1000&amp;"",DISPLAY!$E$3:$E$1000,""),"Network Device",_xlfn.XLOOKUP($K693&amp;"",'NETWORK-DEVICES'!$B$3:$B$987&amp;"",'NETWORK-DEVICES'!$E$3:$E$987,""),"Peripheral",_xlfn.XLOOKUP($K693&amp;"",PERIPHERAL!$B$3:$B$954&amp;"",PERIPHERAL!$E$3:$E$954,""),"Utilities",_xlfn.XLOOKUP($K693&amp;"",UTILITIES!$B$3:$B$953&amp;"",UTILITIES!$E$3:$E$953,""),"IOT",_xlfn.XLOOKUP($K693&amp;"",IOT!$B$3:$B$1012&amp;"",IOT!$E$3:$E$1012,""),"Server",_xlfn.XLOOKUP($K693&amp;"",SERVER!$B$3:$B$1009&amp;"",SERVER!$E$3:$E$1009,""),""))))</f>
        <v/>
      </c>
      <c r="Q693" s="1" t="str" cm="1">
        <f t="array" ref="Q693">IF(OR($K693="",$I693="",$J693=""),"",_xlfn.LET(_xlpm.srcCat,_xlfn.SWITCH($I693,"Computer",_xlfn.XLOOKUP($K693&amp;"",COMPUTER!$B$3:$B$1009&amp;"",COMPUTER!$H$3:$H$1009,""),"Display",_xlfn.XLOOKUP($K693&amp;"",DISPLAY!$B$3:$B$1000&amp;"",DISPLAY!$H$3:$H$1000,""),"Network Device",_xlfn.XLOOKUP($K693&amp;"",'NETWORK-DEVICES'!$B$3:$B$987&amp;"",'NETWORK-DEVICES'!$H$3:$H$987,""),"Peripheral",_xlfn.XLOOKUP($K693&amp;"",PERIPHERAL!$B$3:$B$954&amp;"",PERIPHERAL!$H$3:$H$954,""),"Utilities",_xlfn.XLOOKUP($K693&amp;"",UTILITIES!$B$3:$B$953&amp;"",UTILITIES!$G$3:$G$953,""),"IOT",_xlfn.XLOOKUP($K693&amp;"",IOT!$B$3:$B$1012&amp;"",IOT!$H$3:$H$1012,""),"Server",_xlfn.XLOOKUP($K693&amp;"",SERVER!$B$3:$B$1009&amp;"",SERVER!$H$3:$H$1009,""),""),IF(TRIM(_xlpm.srcCat)&lt;&gt;TRIM($J693),"",_xlfn.SWITCH($I693,"Computer",_xlfn.XLOOKUP($K693&amp;"",COMPUTER!$B$3:$B$1009&amp;"",COMPUTER!$AM$3:$AM$1009,""),"Display",_xlfn.XLOOKUP($K693&amp;"",DISPLAY!$B$3:$B$1000&amp;"",DISPLAY!$V$3:$V$1000,""),"Network Device",_xlfn.XLOOKUP($K693&amp;"",'NETWORK-DEVICES'!$B$3:$B$987&amp;"",'NETWORK-DEVICES'!$AF$3:$AF$987,""),"Peripheral",_xlfn.XLOOKUP($K693&amp;"",PERIPHERAL!$B$3:$B$954&amp;"",PERIPHERAL!$Y$3:$Y$954,""),"Utilities",_xlfn.XLOOKUP($K693&amp;"",UTILITIES!$B$3:$B$953&amp;"",UTILITIES!$O$3:$O$953,""),"IOT",_xlfn.XLOOKUP($K693&amp;"",IOT!$B$3:$B$1012&amp;"",IOT!$AB$3:$AB$1012,""),"Server",_xlfn.XLOOKUP($K693&amp;"",SERVER!$B$3:$B$1009&amp;"",SERVER!$AB$3:$AB$1009,""),""))))</f>
        <v/>
      </c>
      <c r="R693" s="43" t="str">
        <f>IF(tbl_handover[[#This Row],[Asset Code]]="","",COUNTIF(tbl_handover[Asset Code],tbl_handover[[#This Row],[Asset Code]]))</f>
        <v/>
      </c>
    </row>
    <row r="694" spans="1:18" x14ac:dyDescent="0.25">
      <c r="A694" s="43" t="str">
        <f>IF(B694&lt;&gt;"",SUBTOTAL(3,$B$1:B693),"")</f>
        <v/>
      </c>
      <c r="C694" s="74"/>
      <c r="D694" s="74"/>
      <c r="G694" s="1"/>
      <c r="K694" s="42"/>
      <c r="L694" t="str" cm="1">
        <f t="array" ref="L694">IF($K694="","",_xlfn.SWITCH($I694,"Computer",_xlfn.XLOOKUP($K694&amp;"",COMPUTER!$B$3:$B$1009&amp;"",COMPUTER!$I$3:$I$1009,""),"Display",_xlfn.XLOOKUP($K694&amp;"",DISPLAY!$B$3:$B$1000&amp;"",DISPLAY!$J$3:$J$1000,""),"Network Device",_xlfn.XLOOKUP($K694&amp;"",'NETWORK-DEVICES'!$B$3:$B$987&amp;"",'NETWORK-DEVICES'!$I$3:$I$987,""),"Peripheral",_xlfn.XLOOKUP($K694&amp;"",PERIPHERAL!$B$3:$B$954&amp;"",PERIPHERAL!$I$3:$I$954,""),"Utilities",_xlfn.XLOOKUP($K694&amp;"",UTILITIES!$B$3:$B$953&amp;"",UTILITIES!$H$3:$H$953,""),"IOT",_xlfn.XLOOKUP($K694&amp;"",IOT!$B$3:$B$1012&amp;"",IOT!$I$3:$I$1012,""),"SERVER",_xlfn.XLOOKUP($K694&amp;"",SERVER!$B$3:$B$1009&amp;"",SERVER!$I$3:$I$1009,""),""))</f>
        <v/>
      </c>
      <c r="M694" t="str" cm="1">
        <f t="array" ref="M694">IF($K694="","",_xlfn.SWITCH($I694,"Computer",_xlfn.XLOOKUP($K694&amp;"",COMPUTER!$B$3:$B$1009&amp;"",COMPUTER!$J$3:$J$1009,""),"Display",_xlfn.XLOOKUP($K694&amp;"",DISPLAY!$B$3:$B$1000&amp;"",DISPLAY!$K$3:$K$1000,""),"Network Device",_xlfn.XLOOKUP($K694&amp;"",'NETWORK-DEVICES'!$B$3:$B$987&amp;"",'NETWORK-DEVICES'!$I$3:$I$987,""),"Peripheral",_xlfn.XLOOKUP($K694&amp;"",PERIPHERAL!$B$3:$B$954&amp;"",PERIPHERAL!$J$3:$J$954,""),"Utilities",_xlfn.XLOOKUP($K694&amp;"",UTILITIES!$B$3:$B$953&amp;"",UTILITIES!$I$3:$I$953,""),"IOT",_xlfn.XLOOKUP($K694&amp;"",IOT!$B$3:$B$1012&amp;"",IOT!$J$3:$J$1012,""),"Server",_xlfn.XLOOKUP($K694&amp;"",SERVER!$B$3:$B$1009&amp;"",SERVER!$J$3:$J$1009,""),""))</f>
        <v/>
      </c>
      <c r="N694" s="1" t="str" cm="1">
        <f t="array" ref="N694">IF(OR($K694="",$I694="",$J694=""),"",_xlfn.LET(_xlpm.srcCat,_xlfn.SWITCH($I694,"Computer",_xlfn.XLOOKUP($K694&amp;"",COMPUTER!$B$3:$B$1009&amp;"",COMPUTER!$H$3:$H$1009,""),"Display",_xlfn.XLOOKUP($K694&amp;"",DISPLAY!$B$3:$B$1000&amp;"",DISPLAY!$H$3:$H$1000,""),"Network Device",_xlfn.XLOOKUP($K694&amp;"",'NETWORK-DEVICES'!$B$3:$B$987&amp;"",'NETWORK-DEVICES'!$H$3:$H$987,""),"Peripheral",_xlfn.XLOOKUP($K694&amp;"",PERIPHERAL!$B$3:$B$954&amp;"",PERIPHERAL!$H$3:$H$954,""),"Utilities",_xlfn.XLOOKUP($K694&amp;"",UTILITIES!$B$3:$B$953&amp;"",UTILITIES!$G$3:$G$953,""),"IOT",_xlfn.XLOOKUP($K694&amp;"",IOT!$B$3:$B$1012&amp;"",IOT!$H$3:$H$1012,""),"Server",_xlfn.XLOOKUP($K694&amp;"",SERVER!$B$3:$B$1009&amp;"",SERVER!$H$3:$H$1009,""),""),IF(TRIM(_xlpm.srcCat)&lt;&gt;TRIM($J694),"",_xlfn.SWITCH($I694,"Computer",_xlfn.XLOOKUP($K694&amp;"",COMPUTER!$B$3:$B$1009&amp;"",COMPUTER!$K$3:$K$1009,""),"Display",_xlfn.XLOOKUP($K694&amp;"",DISPLAY!$B$3:$B$1000&amp;"",DISPLAY!$L$3:$L$1000,""),"Network Device",_xlfn.XLOOKUP($K694&amp;"",'NETWORK-DEVICES'!$B$3:$B$987&amp;"",'NETWORK-DEVICES'!$K$3:$K$987,""),"Peripheral",_xlfn.XLOOKUP($K694&amp;"",PERIPHERAL!$B$3:$B$954&amp;"",PERIPHERAL!$K$3:$K$954,""),"Utilities",_xlfn.XLOOKUP($K694&amp;"",UTILITIES!$B$3:$B$953&amp;"",UTILITIES!$J$3:$J$953,""),"IOT",_xlfn.XLOOKUP($K694&amp;"",IOT!$B$3:$B$1012&amp;"",IOT!$K$4:$K$1012,""),"Server",_xlfn.XLOOKUP($K694&amp;"",SERVER!$B$3:$B$1009&amp;"",SERVER!$K$3:$K$1009,""),""))))</f>
        <v/>
      </c>
      <c r="O694" s="1" t="str" cm="1">
        <f t="array" ref="O694">IF(OR($K694="",$I694="",$J694=""),"",_xlfn.LET(_xlpm.srcCat,_xlfn.SWITCH($I694,"Computer",_xlfn.XLOOKUP($K694&amp;"",COMPUTER!$B$3:$B$1009&amp;"",COMPUTER!$H$3:$H$1009,""),"Display",_xlfn.XLOOKUP($K694&amp;"",DISPLAY!$B$3:$B$1000&amp;"",DISPLAY!$H$3:$H$1000,""),"Network Device",_xlfn.XLOOKUP($K694&amp;"",'NETWORK-DEVICES'!$B$3:$B$987&amp;"",'NETWORK-DEVICES'!$H$3:$H$987,""),"Peripheral",_xlfn.XLOOKUP($K694&amp;"",PERIPHERAL!$B$3:$B$954&amp;"",PERIPHERAL!$H$3:$H$954,""),"Utilities",_xlfn.XLOOKUP($K694&amp;"",UTILITIES!$B$3:$B$953&amp;"",UTILITIES!$G$3:$G$953,""),"IOT",_xlfn.XLOOKUP($K694&amp;"",IOT!$B$3:$B$1012&amp;"",IOT!$H$3:$H$1012,""),"Server",_xlfn.XLOOKUP($K694&amp;"",SERVER!$B$3:$B$1009&amp;"",SERVER!$H$3:$H$1009,""),""),IF(TRIM(_xlpm.srcCat)&lt;&gt;TRIM($J694),"",_xlfn.SWITCH($I694,"Computer",_xlfn.XLOOKUP($K694&amp;"",COMPUTER!$B$3:$B$1009&amp;"",COMPUTER!$E$3:$E$1009,""),"Display",_xlfn.XLOOKUP($K694&amp;"",DISPLAY!$B$3:$B$1000&amp;"",DISPLAY!$E$3:$E$1000,""),"Network Device",_xlfn.XLOOKUP($K694&amp;"",'NETWORK-DEVICES'!$B$3:$B$987&amp;"",'NETWORK-DEVICES'!$E$3:$E$987,""),"Peripheral",_xlfn.XLOOKUP($K694&amp;"",PERIPHERAL!$B$3:$B$954&amp;"",PERIPHERAL!$E$3:$E$954,""),"Utilities",_xlfn.XLOOKUP($K694&amp;"",UTILITIES!$B$3:$B$953&amp;"",UTILITIES!$E$3:$E$953,""),"IOT",_xlfn.XLOOKUP($K694&amp;"",IOT!$B$3:$B$1012&amp;"",IOT!$E$3:$E$1012,""),"Server",_xlfn.XLOOKUP($K694&amp;"",SERVER!$B$3:$B$1009&amp;"",SERVER!$E$3:$E$1009,""),""))))</f>
        <v/>
      </c>
      <c r="Q694" s="1" t="str" cm="1">
        <f t="array" ref="Q694">IF(OR($K694="",$I694="",$J694=""),"",_xlfn.LET(_xlpm.srcCat,_xlfn.SWITCH($I694,"Computer",_xlfn.XLOOKUP($K694&amp;"",COMPUTER!$B$3:$B$1009&amp;"",COMPUTER!$H$3:$H$1009,""),"Display",_xlfn.XLOOKUP($K694&amp;"",DISPLAY!$B$3:$B$1000&amp;"",DISPLAY!$H$3:$H$1000,""),"Network Device",_xlfn.XLOOKUP($K694&amp;"",'NETWORK-DEVICES'!$B$3:$B$987&amp;"",'NETWORK-DEVICES'!$H$3:$H$987,""),"Peripheral",_xlfn.XLOOKUP($K694&amp;"",PERIPHERAL!$B$3:$B$954&amp;"",PERIPHERAL!$H$3:$H$954,""),"Utilities",_xlfn.XLOOKUP($K694&amp;"",UTILITIES!$B$3:$B$953&amp;"",UTILITIES!$G$3:$G$953,""),"IOT",_xlfn.XLOOKUP($K694&amp;"",IOT!$B$3:$B$1012&amp;"",IOT!$H$3:$H$1012,""),"Server",_xlfn.XLOOKUP($K694&amp;"",SERVER!$B$3:$B$1009&amp;"",SERVER!$H$3:$H$1009,""),""),IF(TRIM(_xlpm.srcCat)&lt;&gt;TRIM($J694),"",_xlfn.SWITCH($I694,"Computer",_xlfn.XLOOKUP($K694&amp;"",COMPUTER!$B$3:$B$1009&amp;"",COMPUTER!$AM$3:$AM$1009,""),"Display",_xlfn.XLOOKUP($K694&amp;"",DISPLAY!$B$3:$B$1000&amp;"",DISPLAY!$V$3:$V$1000,""),"Network Device",_xlfn.XLOOKUP($K694&amp;"",'NETWORK-DEVICES'!$B$3:$B$987&amp;"",'NETWORK-DEVICES'!$AF$3:$AF$987,""),"Peripheral",_xlfn.XLOOKUP($K694&amp;"",PERIPHERAL!$B$3:$B$954&amp;"",PERIPHERAL!$Y$3:$Y$954,""),"Utilities",_xlfn.XLOOKUP($K694&amp;"",UTILITIES!$B$3:$B$953&amp;"",UTILITIES!$O$3:$O$953,""),"IOT",_xlfn.XLOOKUP($K694&amp;"",IOT!$B$3:$B$1012&amp;"",IOT!$AB$3:$AB$1012,""),"Server",_xlfn.XLOOKUP($K694&amp;"",SERVER!$B$3:$B$1009&amp;"",SERVER!$AB$3:$AB$1009,""),""))))</f>
        <v/>
      </c>
      <c r="R694" s="43" t="str">
        <f>IF(tbl_handover[[#This Row],[Asset Code]]="","",COUNTIF(tbl_handover[Asset Code],tbl_handover[[#This Row],[Asset Code]]))</f>
        <v/>
      </c>
    </row>
    <row r="695" spans="1:18" x14ac:dyDescent="0.25">
      <c r="A695" s="43" t="str">
        <f>IF(B695&lt;&gt;"",SUBTOTAL(3,$B$1:B694),"")</f>
        <v/>
      </c>
      <c r="C695" s="74"/>
      <c r="D695" s="74"/>
      <c r="G695" s="1"/>
      <c r="K695" s="42"/>
      <c r="L695" t="str" cm="1">
        <f t="array" ref="L695">IF($K695="","",_xlfn.SWITCH($I695,"Computer",_xlfn.XLOOKUP($K695&amp;"",COMPUTER!$B$3:$B$1009&amp;"",COMPUTER!$I$3:$I$1009,""),"Display",_xlfn.XLOOKUP($K695&amp;"",DISPLAY!$B$3:$B$1000&amp;"",DISPLAY!$J$3:$J$1000,""),"Network Device",_xlfn.XLOOKUP($K695&amp;"",'NETWORK-DEVICES'!$B$3:$B$987&amp;"",'NETWORK-DEVICES'!$I$3:$I$987,""),"Peripheral",_xlfn.XLOOKUP($K695&amp;"",PERIPHERAL!$B$3:$B$954&amp;"",PERIPHERAL!$I$3:$I$954,""),"Utilities",_xlfn.XLOOKUP($K695&amp;"",UTILITIES!$B$3:$B$953&amp;"",UTILITIES!$H$3:$H$953,""),"IOT",_xlfn.XLOOKUP($K695&amp;"",IOT!$B$3:$B$1012&amp;"",IOT!$I$3:$I$1012,""),"SERVER",_xlfn.XLOOKUP($K695&amp;"",SERVER!$B$3:$B$1009&amp;"",SERVER!$I$3:$I$1009,""),""))</f>
        <v/>
      </c>
      <c r="M695" t="str" cm="1">
        <f t="array" ref="M695">IF($K695="","",_xlfn.SWITCH($I695,"Computer",_xlfn.XLOOKUP($K695&amp;"",COMPUTER!$B$3:$B$1009&amp;"",COMPUTER!$J$3:$J$1009,""),"Display",_xlfn.XLOOKUP($K695&amp;"",DISPLAY!$B$3:$B$1000&amp;"",DISPLAY!$K$3:$K$1000,""),"Network Device",_xlfn.XLOOKUP($K695&amp;"",'NETWORK-DEVICES'!$B$3:$B$987&amp;"",'NETWORK-DEVICES'!$I$3:$I$987,""),"Peripheral",_xlfn.XLOOKUP($K695&amp;"",PERIPHERAL!$B$3:$B$954&amp;"",PERIPHERAL!$J$3:$J$954,""),"Utilities",_xlfn.XLOOKUP($K695&amp;"",UTILITIES!$B$3:$B$953&amp;"",UTILITIES!$I$3:$I$953,""),"IOT",_xlfn.XLOOKUP($K695&amp;"",IOT!$B$3:$B$1012&amp;"",IOT!$J$3:$J$1012,""),"Server",_xlfn.XLOOKUP($K695&amp;"",SERVER!$B$3:$B$1009&amp;"",SERVER!$J$3:$J$1009,""),""))</f>
        <v/>
      </c>
      <c r="N695" s="1" t="str" cm="1">
        <f t="array" ref="N695">IF(OR($K695="",$I695="",$J695=""),"",_xlfn.LET(_xlpm.srcCat,_xlfn.SWITCH($I695,"Computer",_xlfn.XLOOKUP($K695&amp;"",COMPUTER!$B$3:$B$1009&amp;"",COMPUTER!$H$3:$H$1009,""),"Display",_xlfn.XLOOKUP($K695&amp;"",DISPLAY!$B$3:$B$1000&amp;"",DISPLAY!$H$3:$H$1000,""),"Network Device",_xlfn.XLOOKUP($K695&amp;"",'NETWORK-DEVICES'!$B$3:$B$987&amp;"",'NETWORK-DEVICES'!$H$3:$H$987,""),"Peripheral",_xlfn.XLOOKUP($K695&amp;"",PERIPHERAL!$B$3:$B$954&amp;"",PERIPHERAL!$H$3:$H$954,""),"Utilities",_xlfn.XLOOKUP($K695&amp;"",UTILITIES!$B$3:$B$953&amp;"",UTILITIES!$G$3:$G$953,""),"IOT",_xlfn.XLOOKUP($K695&amp;"",IOT!$B$3:$B$1012&amp;"",IOT!$H$3:$H$1012,""),"Server",_xlfn.XLOOKUP($K695&amp;"",SERVER!$B$3:$B$1009&amp;"",SERVER!$H$3:$H$1009,""),""),IF(TRIM(_xlpm.srcCat)&lt;&gt;TRIM($J695),"",_xlfn.SWITCH($I695,"Computer",_xlfn.XLOOKUP($K695&amp;"",COMPUTER!$B$3:$B$1009&amp;"",COMPUTER!$K$3:$K$1009,""),"Display",_xlfn.XLOOKUP($K695&amp;"",DISPLAY!$B$3:$B$1000&amp;"",DISPLAY!$L$3:$L$1000,""),"Network Device",_xlfn.XLOOKUP($K695&amp;"",'NETWORK-DEVICES'!$B$3:$B$987&amp;"",'NETWORK-DEVICES'!$K$3:$K$987,""),"Peripheral",_xlfn.XLOOKUP($K695&amp;"",PERIPHERAL!$B$3:$B$954&amp;"",PERIPHERAL!$K$3:$K$954,""),"Utilities",_xlfn.XLOOKUP($K695&amp;"",UTILITIES!$B$3:$B$953&amp;"",UTILITIES!$J$3:$J$953,""),"IOT",_xlfn.XLOOKUP($K695&amp;"",IOT!$B$3:$B$1012&amp;"",IOT!$K$4:$K$1012,""),"Server",_xlfn.XLOOKUP($K695&amp;"",SERVER!$B$3:$B$1009&amp;"",SERVER!$K$3:$K$1009,""),""))))</f>
        <v/>
      </c>
      <c r="O695" s="1" t="str" cm="1">
        <f t="array" ref="O695">IF(OR($K695="",$I695="",$J695=""),"",_xlfn.LET(_xlpm.srcCat,_xlfn.SWITCH($I695,"Computer",_xlfn.XLOOKUP($K695&amp;"",COMPUTER!$B$3:$B$1009&amp;"",COMPUTER!$H$3:$H$1009,""),"Display",_xlfn.XLOOKUP($K695&amp;"",DISPLAY!$B$3:$B$1000&amp;"",DISPLAY!$H$3:$H$1000,""),"Network Device",_xlfn.XLOOKUP($K695&amp;"",'NETWORK-DEVICES'!$B$3:$B$987&amp;"",'NETWORK-DEVICES'!$H$3:$H$987,""),"Peripheral",_xlfn.XLOOKUP($K695&amp;"",PERIPHERAL!$B$3:$B$954&amp;"",PERIPHERAL!$H$3:$H$954,""),"Utilities",_xlfn.XLOOKUP($K695&amp;"",UTILITIES!$B$3:$B$953&amp;"",UTILITIES!$G$3:$G$953,""),"IOT",_xlfn.XLOOKUP($K695&amp;"",IOT!$B$3:$B$1012&amp;"",IOT!$H$3:$H$1012,""),"Server",_xlfn.XLOOKUP($K695&amp;"",SERVER!$B$3:$B$1009&amp;"",SERVER!$H$3:$H$1009,""),""),IF(TRIM(_xlpm.srcCat)&lt;&gt;TRIM($J695),"",_xlfn.SWITCH($I695,"Computer",_xlfn.XLOOKUP($K695&amp;"",COMPUTER!$B$3:$B$1009&amp;"",COMPUTER!$E$3:$E$1009,""),"Display",_xlfn.XLOOKUP($K695&amp;"",DISPLAY!$B$3:$B$1000&amp;"",DISPLAY!$E$3:$E$1000,""),"Network Device",_xlfn.XLOOKUP($K695&amp;"",'NETWORK-DEVICES'!$B$3:$B$987&amp;"",'NETWORK-DEVICES'!$E$3:$E$987,""),"Peripheral",_xlfn.XLOOKUP($K695&amp;"",PERIPHERAL!$B$3:$B$954&amp;"",PERIPHERAL!$E$3:$E$954,""),"Utilities",_xlfn.XLOOKUP($K695&amp;"",UTILITIES!$B$3:$B$953&amp;"",UTILITIES!$E$3:$E$953,""),"IOT",_xlfn.XLOOKUP($K695&amp;"",IOT!$B$3:$B$1012&amp;"",IOT!$E$3:$E$1012,""),"Server",_xlfn.XLOOKUP($K695&amp;"",SERVER!$B$3:$B$1009&amp;"",SERVER!$E$3:$E$1009,""),""))))</f>
        <v/>
      </c>
      <c r="Q695" s="1" t="str" cm="1">
        <f t="array" ref="Q695">IF(OR($K695="",$I695="",$J695=""),"",_xlfn.LET(_xlpm.srcCat,_xlfn.SWITCH($I695,"Computer",_xlfn.XLOOKUP($K695&amp;"",COMPUTER!$B$3:$B$1009&amp;"",COMPUTER!$H$3:$H$1009,""),"Display",_xlfn.XLOOKUP($K695&amp;"",DISPLAY!$B$3:$B$1000&amp;"",DISPLAY!$H$3:$H$1000,""),"Network Device",_xlfn.XLOOKUP($K695&amp;"",'NETWORK-DEVICES'!$B$3:$B$987&amp;"",'NETWORK-DEVICES'!$H$3:$H$987,""),"Peripheral",_xlfn.XLOOKUP($K695&amp;"",PERIPHERAL!$B$3:$B$954&amp;"",PERIPHERAL!$H$3:$H$954,""),"Utilities",_xlfn.XLOOKUP($K695&amp;"",UTILITIES!$B$3:$B$953&amp;"",UTILITIES!$G$3:$G$953,""),"IOT",_xlfn.XLOOKUP($K695&amp;"",IOT!$B$3:$B$1012&amp;"",IOT!$H$3:$H$1012,""),"Server",_xlfn.XLOOKUP($K695&amp;"",SERVER!$B$3:$B$1009&amp;"",SERVER!$H$3:$H$1009,""),""),IF(TRIM(_xlpm.srcCat)&lt;&gt;TRIM($J695),"",_xlfn.SWITCH($I695,"Computer",_xlfn.XLOOKUP($K695&amp;"",COMPUTER!$B$3:$B$1009&amp;"",COMPUTER!$AM$3:$AM$1009,""),"Display",_xlfn.XLOOKUP($K695&amp;"",DISPLAY!$B$3:$B$1000&amp;"",DISPLAY!$V$3:$V$1000,""),"Network Device",_xlfn.XLOOKUP($K695&amp;"",'NETWORK-DEVICES'!$B$3:$B$987&amp;"",'NETWORK-DEVICES'!$AF$3:$AF$987,""),"Peripheral",_xlfn.XLOOKUP($K695&amp;"",PERIPHERAL!$B$3:$B$954&amp;"",PERIPHERAL!$Y$3:$Y$954,""),"Utilities",_xlfn.XLOOKUP($K695&amp;"",UTILITIES!$B$3:$B$953&amp;"",UTILITIES!$O$3:$O$953,""),"IOT",_xlfn.XLOOKUP($K695&amp;"",IOT!$B$3:$B$1012&amp;"",IOT!$AB$3:$AB$1012,""),"Server",_xlfn.XLOOKUP($K695&amp;"",SERVER!$B$3:$B$1009&amp;"",SERVER!$AB$3:$AB$1009,""),""))))</f>
        <v/>
      </c>
      <c r="R695" s="43" t="str">
        <f>IF(tbl_handover[[#This Row],[Asset Code]]="","",COUNTIF(tbl_handover[Asset Code],tbl_handover[[#This Row],[Asset Code]]))</f>
        <v/>
      </c>
    </row>
    <row r="696" spans="1:18" x14ac:dyDescent="0.25">
      <c r="A696" s="43" t="str">
        <f>IF(B696&lt;&gt;"",SUBTOTAL(3,$B$1:B695),"")</f>
        <v/>
      </c>
      <c r="C696" s="74"/>
      <c r="D696" s="74"/>
      <c r="G696" s="1"/>
      <c r="K696" s="42"/>
      <c r="L696" t="str" cm="1">
        <f t="array" ref="L696">IF($K696="","",_xlfn.SWITCH($I696,"Computer",_xlfn.XLOOKUP($K696&amp;"",COMPUTER!$B$3:$B$1009&amp;"",COMPUTER!$I$3:$I$1009,""),"Display",_xlfn.XLOOKUP($K696&amp;"",DISPLAY!$B$3:$B$1000&amp;"",DISPLAY!$J$3:$J$1000,""),"Network Device",_xlfn.XLOOKUP($K696&amp;"",'NETWORK-DEVICES'!$B$3:$B$987&amp;"",'NETWORK-DEVICES'!$I$3:$I$987,""),"Peripheral",_xlfn.XLOOKUP($K696&amp;"",PERIPHERAL!$B$3:$B$954&amp;"",PERIPHERAL!$I$3:$I$954,""),"Utilities",_xlfn.XLOOKUP($K696&amp;"",UTILITIES!$B$3:$B$953&amp;"",UTILITIES!$H$3:$H$953,""),"IOT",_xlfn.XLOOKUP($K696&amp;"",IOT!$B$3:$B$1012&amp;"",IOT!$I$3:$I$1012,""),"SERVER",_xlfn.XLOOKUP($K696&amp;"",SERVER!$B$3:$B$1009&amp;"",SERVER!$I$3:$I$1009,""),""))</f>
        <v/>
      </c>
      <c r="M696" t="str" cm="1">
        <f t="array" ref="M696">IF($K696="","",_xlfn.SWITCH($I696,"Computer",_xlfn.XLOOKUP($K696&amp;"",COMPUTER!$B$3:$B$1009&amp;"",COMPUTER!$J$3:$J$1009,""),"Display",_xlfn.XLOOKUP($K696&amp;"",DISPLAY!$B$3:$B$1000&amp;"",DISPLAY!$K$3:$K$1000,""),"Network Device",_xlfn.XLOOKUP($K696&amp;"",'NETWORK-DEVICES'!$B$3:$B$987&amp;"",'NETWORK-DEVICES'!$I$3:$I$987,""),"Peripheral",_xlfn.XLOOKUP($K696&amp;"",PERIPHERAL!$B$3:$B$954&amp;"",PERIPHERAL!$J$3:$J$954,""),"Utilities",_xlfn.XLOOKUP($K696&amp;"",UTILITIES!$B$3:$B$953&amp;"",UTILITIES!$I$3:$I$953,""),"IOT",_xlfn.XLOOKUP($K696&amp;"",IOT!$B$3:$B$1012&amp;"",IOT!$J$3:$J$1012,""),"Server",_xlfn.XLOOKUP($K696&amp;"",SERVER!$B$3:$B$1009&amp;"",SERVER!$J$3:$J$1009,""),""))</f>
        <v/>
      </c>
      <c r="N696" s="1" t="str" cm="1">
        <f t="array" ref="N696">IF(OR($K696="",$I696="",$J696=""),"",_xlfn.LET(_xlpm.srcCat,_xlfn.SWITCH($I696,"Computer",_xlfn.XLOOKUP($K696&amp;"",COMPUTER!$B$3:$B$1009&amp;"",COMPUTER!$H$3:$H$1009,""),"Display",_xlfn.XLOOKUP($K696&amp;"",DISPLAY!$B$3:$B$1000&amp;"",DISPLAY!$H$3:$H$1000,""),"Network Device",_xlfn.XLOOKUP($K696&amp;"",'NETWORK-DEVICES'!$B$3:$B$987&amp;"",'NETWORK-DEVICES'!$H$3:$H$987,""),"Peripheral",_xlfn.XLOOKUP($K696&amp;"",PERIPHERAL!$B$3:$B$954&amp;"",PERIPHERAL!$H$3:$H$954,""),"Utilities",_xlfn.XLOOKUP($K696&amp;"",UTILITIES!$B$3:$B$953&amp;"",UTILITIES!$G$3:$G$953,""),"IOT",_xlfn.XLOOKUP($K696&amp;"",IOT!$B$3:$B$1012&amp;"",IOT!$H$3:$H$1012,""),"Server",_xlfn.XLOOKUP($K696&amp;"",SERVER!$B$3:$B$1009&amp;"",SERVER!$H$3:$H$1009,""),""),IF(TRIM(_xlpm.srcCat)&lt;&gt;TRIM($J696),"",_xlfn.SWITCH($I696,"Computer",_xlfn.XLOOKUP($K696&amp;"",COMPUTER!$B$3:$B$1009&amp;"",COMPUTER!$K$3:$K$1009,""),"Display",_xlfn.XLOOKUP($K696&amp;"",DISPLAY!$B$3:$B$1000&amp;"",DISPLAY!$L$3:$L$1000,""),"Network Device",_xlfn.XLOOKUP($K696&amp;"",'NETWORK-DEVICES'!$B$3:$B$987&amp;"",'NETWORK-DEVICES'!$K$3:$K$987,""),"Peripheral",_xlfn.XLOOKUP($K696&amp;"",PERIPHERAL!$B$3:$B$954&amp;"",PERIPHERAL!$K$3:$K$954,""),"Utilities",_xlfn.XLOOKUP($K696&amp;"",UTILITIES!$B$3:$B$953&amp;"",UTILITIES!$J$3:$J$953,""),"IOT",_xlfn.XLOOKUP($K696&amp;"",IOT!$B$3:$B$1012&amp;"",IOT!$K$4:$K$1012,""),"Server",_xlfn.XLOOKUP($K696&amp;"",SERVER!$B$3:$B$1009&amp;"",SERVER!$K$3:$K$1009,""),""))))</f>
        <v/>
      </c>
      <c r="O696" s="1" t="str" cm="1">
        <f t="array" ref="O696">IF(OR($K696="",$I696="",$J696=""),"",_xlfn.LET(_xlpm.srcCat,_xlfn.SWITCH($I696,"Computer",_xlfn.XLOOKUP($K696&amp;"",COMPUTER!$B$3:$B$1009&amp;"",COMPUTER!$H$3:$H$1009,""),"Display",_xlfn.XLOOKUP($K696&amp;"",DISPLAY!$B$3:$B$1000&amp;"",DISPLAY!$H$3:$H$1000,""),"Network Device",_xlfn.XLOOKUP($K696&amp;"",'NETWORK-DEVICES'!$B$3:$B$987&amp;"",'NETWORK-DEVICES'!$H$3:$H$987,""),"Peripheral",_xlfn.XLOOKUP($K696&amp;"",PERIPHERAL!$B$3:$B$954&amp;"",PERIPHERAL!$H$3:$H$954,""),"Utilities",_xlfn.XLOOKUP($K696&amp;"",UTILITIES!$B$3:$B$953&amp;"",UTILITIES!$G$3:$G$953,""),"IOT",_xlfn.XLOOKUP($K696&amp;"",IOT!$B$3:$B$1012&amp;"",IOT!$H$3:$H$1012,""),"Server",_xlfn.XLOOKUP($K696&amp;"",SERVER!$B$3:$B$1009&amp;"",SERVER!$H$3:$H$1009,""),""),IF(TRIM(_xlpm.srcCat)&lt;&gt;TRIM($J696),"",_xlfn.SWITCH($I696,"Computer",_xlfn.XLOOKUP($K696&amp;"",COMPUTER!$B$3:$B$1009&amp;"",COMPUTER!$E$3:$E$1009,""),"Display",_xlfn.XLOOKUP($K696&amp;"",DISPLAY!$B$3:$B$1000&amp;"",DISPLAY!$E$3:$E$1000,""),"Network Device",_xlfn.XLOOKUP($K696&amp;"",'NETWORK-DEVICES'!$B$3:$B$987&amp;"",'NETWORK-DEVICES'!$E$3:$E$987,""),"Peripheral",_xlfn.XLOOKUP($K696&amp;"",PERIPHERAL!$B$3:$B$954&amp;"",PERIPHERAL!$E$3:$E$954,""),"Utilities",_xlfn.XLOOKUP($K696&amp;"",UTILITIES!$B$3:$B$953&amp;"",UTILITIES!$E$3:$E$953,""),"IOT",_xlfn.XLOOKUP($K696&amp;"",IOT!$B$3:$B$1012&amp;"",IOT!$E$3:$E$1012,""),"Server",_xlfn.XLOOKUP($K696&amp;"",SERVER!$B$3:$B$1009&amp;"",SERVER!$E$3:$E$1009,""),""))))</f>
        <v/>
      </c>
      <c r="Q696" s="1" t="str" cm="1">
        <f t="array" ref="Q696">IF(OR($K696="",$I696="",$J696=""),"",_xlfn.LET(_xlpm.srcCat,_xlfn.SWITCH($I696,"Computer",_xlfn.XLOOKUP($K696&amp;"",COMPUTER!$B$3:$B$1009&amp;"",COMPUTER!$H$3:$H$1009,""),"Display",_xlfn.XLOOKUP($K696&amp;"",DISPLAY!$B$3:$B$1000&amp;"",DISPLAY!$H$3:$H$1000,""),"Network Device",_xlfn.XLOOKUP($K696&amp;"",'NETWORK-DEVICES'!$B$3:$B$987&amp;"",'NETWORK-DEVICES'!$H$3:$H$987,""),"Peripheral",_xlfn.XLOOKUP($K696&amp;"",PERIPHERAL!$B$3:$B$954&amp;"",PERIPHERAL!$H$3:$H$954,""),"Utilities",_xlfn.XLOOKUP($K696&amp;"",UTILITIES!$B$3:$B$953&amp;"",UTILITIES!$G$3:$G$953,""),"IOT",_xlfn.XLOOKUP($K696&amp;"",IOT!$B$3:$B$1012&amp;"",IOT!$H$3:$H$1012,""),"Server",_xlfn.XLOOKUP($K696&amp;"",SERVER!$B$3:$B$1009&amp;"",SERVER!$H$3:$H$1009,""),""),IF(TRIM(_xlpm.srcCat)&lt;&gt;TRIM($J696),"",_xlfn.SWITCH($I696,"Computer",_xlfn.XLOOKUP($K696&amp;"",COMPUTER!$B$3:$B$1009&amp;"",COMPUTER!$AM$3:$AM$1009,""),"Display",_xlfn.XLOOKUP($K696&amp;"",DISPLAY!$B$3:$B$1000&amp;"",DISPLAY!$V$3:$V$1000,""),"Network Device",_xlfn.XLOOKUP($K696&amp;"",'NETWORK-DEVICES'!$B$3:$B$987&amp;"",'NETWORK-DEVICES'!$AF$3:$AF$987,""),"Peripheral",_xlfn.XLOOKUP($K696&amp;"",PERIPHERAL!$B$3:$B$954&amp;"",PERIPHERAL!$Y$3:$Y$954,""),"Utilities",_xlfn.XLOOKUP($K696&amp;"",UTILITIES!$B$3:$B$953&amp;"",UTILITIES!$O$3:$O$953,""),"IOT",_xlfn.XLOOKUP($K696&amp;"",IOT!$B$3:$B$1012&amp;"",IOT!$AB$3:$AB$1012,""),"Server",_xlfn.XLOOKUP($K696&amp;"",SERVER!$B$3:$B$1009&amp;"",SERVER!$AB$3:$AB$1009,""),""))))</f>
        <v/>
      </c>
      <c r="R696" s="43" t="str">
        <f>IF(tbl_handover[[#This Row],[Asset Code]]="","",COUNTIF(tbl_handover[Asset Code],tbl_handover[[#This Row],[Asset Code]]))</f>
        <v/>
      </c>
    </row>
    <row r="697" spans="1:18" x14ac:dyDescent="0.25">
      <c r="A697" s="43" t="str">
        <f>IF(B697&lt;&gt;"",SUBTOTAL(3,$B$1:B696),"")</f>
        <v/>
      </c>
      <c r="C697" s="74"/>
      <c r="D697" s="74"/>
      <c r="G697" s="1"/>
      <c r="K697" s="42"/>
      <c r="L697" t="str" cm="1">
        <f t="array" ref="L697">IF($K697="","",_xlfn.SWITCH($I697,"Computer",_xlfn.XLOOKUP($K697&amp;"",COMPUTER!$B$3:$B$1009&amp;"",COMPUTER!$I$3:$I$1009,""),"Display",_xlfn.XLOOKUP($K697&amp;"",DISPLAY!$B$3:$B$1000&amp;"",DISPLAY!$J$3:$J$1000,""),"Network Device",_xlfn.XLOOKUP($K697&amp;"",'NETWORK-DEVICES'!$B$3:$B$987&amp;"",'NETWORK-DEVICES'!$I$3:$I$987,""),"Peripheral",_xlfn.XLOOKUP($K697&amp;"",PERIPHERAL!$B$3:$B$954&amp;"",PERIPHERAL!$I$3:$I$954,""),"Utilities",_xlfn.XLOOKUP($K697&amp;"",UTILITIES!$B$3:$B$953&amp;"",UTILITIES!$H$3:$H$953,""),"IOT",_xlfn.XLOOKUP($K697&amp;"",IOT!$B$3:$B$1012&amp;"",IOT!$I$3:$I$1012,""),"SERVER",_xlfn.XLOOKUP($K697&amp;"",SERVER!$B$3:$B$1009&amp;"",SERVER!$I$3:$I$1009,""),""))</f>
        <v/>
      </c>
      <c r="M697" t="str" cm="1">
        <f t="array" ref="M697">IF($K697="","",_xlfn.SWITCH($I697,"Computer",_xlfn.XLOOKUP($K697&amp;"",COMPUTER!$B$3:$B$1009&amp;"",COMPUTER!$J$3:$J$1009,""),"Display",_xlfn.XLOOKUP($K697&amp;"",DISPLAY!$B$3:$B$1000&amp;"",DISPLAY!$K$3:$K$1000,""),"Network Device",_xlfn.XLOOKUP($K697&amp;"",'NETWORK-DEVICES'!$B$3:$B$987&amp;"",'NETWORK-DEVICES'!$I$3:$I$987,""),"Peripheral",_xlfn.XLOOKUP($K697&amp;"",PERIPHERAL!$B$3:$B$954&amp;"",PERIPHERAL!$J$3:$J$954,""),"Utilities",_xlfn.XLOOKUP($K697&amp;"",UTILITIES!$B$3:$B$953&amp;"",UTILITIES!$I$3:$I$953,""),"IOT",_xlfn.XLOOKUP($K697&amp;"",IOT!$B$3:$B$1012&amp;"",IOT!$J$3:$J$1012,""),"Server",_xlfn.XLOOKUP($K697&amp;"",SERVER!$B$3:$B$1009&amp;"",SERVER!$J$3:$J$1009,""),""))</f>
        <v/>
      </c>
      <c r="N697" s="1" t="str" cm="1">
        <f t="array" ref="N697">IF(OR($K697="",$I697="",$J697=""),"",_xlfn.LET(_xlpm.srcCat,_xlfn.SWITCH($I697,"Computer",_xlfn.XLOOKUP($K697&amp;"",COMPUTER!$B$3:$B$1009&amp;"",COMPUTER!$H$3:$H$1009,""),"Display",_xlfn.XLOOKUP($K697&amp;"",DISPLAY!$B$3:$B$1000&amp;"",DISPLAY!$H$3:$H$1000,""),"Network Device",_xlfn.XLOOKUP($K697&amp;"",'NETWORK-DEVICES'!$B$3:$B$987&amp;"",'NETWORK-DEVICES'!$H$3:$H$987,""),"Peripheral",_xlfn.XLOOKUP($K697&amp;"",PERIPHERAL!$B$3:$B$954&amp;"",PERIPHERAL!$H$3:$H$954,""),"Utilities",_xlfn.XLOOKUP($K697&amp;"",UTILITIES!$B$3:$B$953&amp;"",UTILITIES!$G$3:$G$953,""),"IOT",_xlfn.XLOOKUP($K697&amp;"",IOT!$B$3:$B$1012&amp;"",IOT!$H$3:$H$1012,""),"Server",_xlfn.XLOOKUP($K697&amp;"",SERVER!$B$3:$B$1009&amp;"",SERVER!$H$3:$H$1009,""),""),IF(TRIM(_xlpm.srcCat)&lt;&gt;TRIM($J697),"",_xlfn.SWITCH($I697,"Computer",_xlfn.XLOOKUP($K697&amp;"",COMPUTER!$B$3:$B$1009&amp;"",COMPUTER!$K$3:$K$1009,""),"Display",_xlfn.XLOOKUP($K697&amp;"",DISPLAY!$B$3:$B$1000&amp;"",DISPLAY!$L$3:$L$1000,""),"Network Device",_xlfn.XLOOKUP($K697&amp;"",'NETWORK-DEVICES'!$B$3:$B$987&amp;"",'NETWORK-DEVICES'!$K$3:$K$987,""),"Peripheral",_xlfn.XLOOKUP($K697&amp;"",PERIPHERAL!$B$3:$B$954&amp;"",PERIPHERAL!$K$3:$K$954,""),"Utilities",_xlfn.XLOOKUP($K697&amp;"",UTILITIES!$B$3:$B$953&amp;"",UTILITIES!$J$3:$J$953,""),"IOT",_xlfn.XLOOKUP($K697&amp;"",IOT!$B$3:$B$1012&amp;"",IOT!$K$4:$K$1012,""),"Server",_xlfn.XLOOKUP($K697&amp;"",SERVER!$B$3:$B$1009&amp;"",SERVER!$K$3:$K$1009,""),""))))</f>
        <v/>
      </c>
      <c r="O697" s="1" t="str" cm="1">
        <f t="array" ref="O697">IF(OR($K697="",$I697="",$J697=""),"",_xlfn.LET(_xlpm.srcCat,_xlfn.SWITCH($I697,"Computer",_xlfn.XLOOKUP($K697&amp;"",COMPUTER!$B$3:$B$1009&amp;"",COMPUTER!$H$3:$H$1009,""),"Display",_xlfn.XLOOKUP($K697&amp;"",DISPLAY!$B$3:$B$1000&amp;"",DISPLAY!$H$3:$H$1000,""),"Network Device",_xlfn.XLOOKUP($K697&amp;"",'NETWORK-DEVICES'!$B$3:$B$987&amp;"",'NETWORK-DEVICES'!$H$3:$H$987,""),"Peripheral",_xlfn.XLOOKUP($K697&amp;"",PERIPHERAL!$B$3:$B$954&amp;"",PERIPHERAL!$H$3:$H$954,""),"Utilities",_xlfn.XLOOKUP($K697&amp;"",UTILITIES!$B$3:$B$953&amp;"",UTILITIES!$G$3:$G$953,""),"IOT",_xlfn.XLOOKUP($K697&amp;"",IOT!$B$3:$B$1012&amp;"",IOT!$H$3:$H$1012,""),"Server",_xlfn.XLOOKUP($K697&amp;"",SERVER!$B$3:$B$1009&amp;"",SERVER!$H$3:$H$1009,""),""),IF(TRIM(_xlpm.srcCat)&lt;&gt;TRIM($J697),"",_xlfn.SWITCH($I697,"Computer",_xlfn.XLOOKUP($K697&amp;"",COMPUTER!$B$3:$B$1009&amp;"",COMPUTER!$E$3:$E$1009,""),"Display",_xlfn.XLOOKUP($K697&amp;"",DISPLAY!$B$3:$B$1000&amp;"",DISPLAY!$E$3:$E$1000,""),"Network Device",_xlfn.XLOOKUP($K697&amp;"",'NETWORK-DEVICES'!$B$3:$B$987&amp;"",'NETWORK-DEVICES'!$E$3:$E$987,""),"Peripheral",_xlfn.XLOOKUP($K697&amp;"",PERIPHERAL!$B$3:$B$954&amp;"",PERIPHERAL!$E$3:$E$954,""),"Utilities",_xlfn.XLOOKUP($K697&amp;"",UTILITIES!$B$3:$B$953&amp;"",UTILITIES!$E$3:$E$953,""),"IOT",_xlfn.XLOOKUP($K697&amp;"",IOT!$B$3:$B$1012&amp;"",IOT!$E$3:$E$1012,""),"Server",_xlfn.XLOOKUP($K697&amp;"",SERVER!$B$3:$B$1009&amp;"",SERVER!$E$3:$E$1009,""),""))))</f>
        <v/>
      </c>
      <c r="Q697" s="1" t="str" cm="1">
        <f t="array" ref="Q697">IF(OR($K697="",$I697="",$J697=""),"",_xlfn.LET(_xlpm.srcCat,_xlfn.SWITCH($I697,"Computer",_xlfn.XLOOKUP($K697&amp;"",COMPUTER!$B$3:$B$1009&amp;"",COMPUTER!$H$3:$H$1009,""),"Display",_xlfn.XLOOKUP($K697&amp;"",DISPLAY!$B$3:$B$1000&amp;"",DISPLAY!$H$3:$H$1000,""),"Network Device",_xlfn.XLOOKUP($K697&amp;"",'NETWORK-DEVICES'!$B$3:$B$987&amp;"",'NETWORK-DEVICES'!$H$3:$H$987,""),"Peripheral",_xlfn.XLOOKUP($K697&amp;"",PERIPHERAL!$B$3:$B$954&amp;"",PERIPHERAL!$H$3:$H$954,""),"Utilities",_xlfn.XLOOKUP($K697&amp;"",UTILITIES!$B$3:$B$953&amp;"",UTILITIES!$G$3:$G$953,""),"IOT",_xlfn.XLOOKUP($K697&amp;"",IOT!$B$3:$B$1012&amp;"",IOT!$H$3:$H$1012,""),"Server",_xlfn.XLOOKUP($K697&amp;"",SERVER!$B$3:$B$1009&amp;"",SERVER!$H$3:$H$1009,""),""),IF(TRIM(_xlpm.srcCat)&lt;&gt;TRIM($J697),"",_xlfn.SWITCH($I697,"Computer",_xlfn.XLOOKUP($K697&amp;"",COMPUTER!$B$3:$B$1009&amp;"",COMPUTER!$AM$3:$AM$1009,""),"Display",_xlfn.XLOOKUP($K697&amp;"",DISPLAY!$B$3:$B$1000&amp;"",DISPLAY!$V$3:$V$1000,""),"Network Device",_xlfn.XLOOKUP($K697&amp;"",'NETWORK-DEVICES'!$B$3:$B$987&amp;"",'NETWORK-DEVICES'!$AF$3:$AF$987,""),"Peripheral",_xlfn.XLOOKUP($K697&amp;"",PERIPHERAL!$B$3:$B$954&amp;"",PERIPHERAL!$Y$3:$Y$954,""),"Utilities",_xlfn.XLOOKUP($K697&amp;"",UTILITIES!$B$3:$B$953&amp;"",UTILITIES!$O$3:$O$953,""),"IOT",_xlfn.XLOOKUP($K697&amp;"",IOT!$B$3:$B$1012&amp;"",IOT!$AB$3:$AB$1012,""),"Server",_xlfn.XLOOKUP($K697&amp;"",SERVER!$B$3:$B$1009&amp;"",SERVER!$AB$3:$AB$1009,""),""))))</f>
        <v/>
      </c>
      <c r="R697" s="43" t="str">
        <f>IF(tbl_handover[[#This Row],[Asset Code]]="","",COUNTIF(tbl_handover[Asset Code],tbl_handover[[#This Row],[Asset Code]]))</f>
        <v/>
      </c>
    </row>
    <row r="698" spans="1:18" x14ac:dyDescent="0.25">
      <c r="A698" s="43" t="str">
        <f>IF(B698&lt;&gt;"",SUBTOTAL(3,$B$1:B697),"")</f>
        <v/>
      </c>
      <c r="C698" s="74"/>
      <c r="D698" s="74"/>
      <c r="G698" s="1"/>
      <c r="K698" s="42"/>
      <c r="L698" t="str" cm="1">
        <f t="array" ref="L698">IF($K698="","",_xlfn.SWITCH($I698,"Computer",_xlfn.XLOOKUP($K698&amp;"",COMPUTER!$B$3:$B$1009&amp;"",COMPUTER!$I$3:$I$1009,""),"Display",_xlfn.XLOOKUP($K698&amp;"",DISPLAY!$B$3:$B$1000&amp;"",DISPLAY!$J$3:$J$1000,""),"Network Device",_xlfn.XLOOKUP($K698&amp;"",'NETWORK-DEVICES'!$B$3:$B$987&amp;"",'NETWORK-DEVICES'!$I$3:$I$987,""),"Peripheral",_xlfn.XLOOKUP($K698&amp;"",PERIPHERAL!$B$3:$B$954&amp;"",PERIPHERAL!$I$3:$I$954,""),"Utilities",_xlfn.XLOOKUP($K698&amp;"",UTILITIES!$B$3:$B$953&amp;"",UTILITIES!$H$3:$H$953,""),"IOT",_xlfn.XLOOKUP($K698&amp;"",IOT!$B$3:$B$1012&amp;"",IOT!$I$3:$I$1012,""),"SERVER",_xlfn.XLOOKUP($K698&amp;"",SERVER!$B$3:$B$1009&amp;"",SERVER!$I$3:$I$1009,""),""))</f>
        <v/>
      </c>
      <c r="M698" t="str" cm="1">
        <f t="array" ref="M698">IF($K698="","",_xlfn.SWITCH($I698,"Computer",_xlfn.XLOOKUP($K698&amp;"",COMPUTER!$B$3:$B$1009&amp;"",COMPUTER!$J$3:$J$1009,""),"Display",_xlfn.XLOOKUP($K698&amp;"",DISPLAY!$B$3:$B$1000&amp;"",DISPLAY!$K$3:$K$1000,""),"Network Device",_xlfn.XLOOKUP($K698&amp;"",'NETWORK-DEVICES'!$B$3:$B$987&amp;"",'NETWORK-DEVICES'!$I$3:$I$987,""),"Peripheral",_xlfn.XLOOKUP($K698&amp;"",PERIPHERAL!$B$3:$B$954&amp;"",PERIPHERAL!$J$3:$J$954,""),"Utilities",_xlfn.XLOOKUP($K698&amp;"",UTILITIES!$B$3:$B$953&amp;"",UTILITIES!$I$3:$I$953,""),"IOT",_xlfn.XLOOKUP($K698&amp;"",IOT!$B$3:$B$1012&amp;"",IOT!$J$3:$J$1012,""),"Server",_xlfn.XLOOKUP($K698&amp;"",SERVER!$B$3:$B$1009&amp;"",SERVER!$J$3:$J$1009,""),""))</f>
        <v/>
      </c>
      <c r="N698" s="1" t="str" cm="1">
        <f t="array" ref="N698">IF(OR($K698="",$I698="",$J698=""),"",_xlfn.LET(_xlpm.srcCat,_xlfn.SWITCH($I698,"Computer",_xlfn.XLOOKUP($K698&amp;"",COMPUTER!$B$3:$B$1009&amp;"",COMPUTER!$H$3:$H$1009,""),"Display",_xlfn.XLOOKUP($K698&amp;"",DISPLAY!$B$3:$B$1000&amp;"",DISPLAY!$H$3:$H$1000,""),"Network Device",_xlfn.XLOOKUP($K698&amp;"",'NETWORK-DEVICES'!$B$3:$B$987&amp;"",'NETWORK-DEVICES'!$H$3:$H$987,""),"Peripheral",_xlfn.XLOOKUP($K698&amp;"",PERIPHERAL!$B$3:$B$954&amp;"",PERIPHERAL!$H$3:$H$954,""),"Utilities",_xlfn.XLOOKUP($K698&amp;"",UTILITIES!$B$3:$B$953&amp;"",UTILITIES!$G$3:$G$953,""),"IOT",_xlfn.XLOOKUP($K698&amp;"",IOT!$B$3:$B$1012&amp;"",IOT!$H$3:$H$1012,""),"Server",_xlfn.XLOOKUP($K698&amp;"",SERVER!$B$3:$B$1009&amp;"",SERVER!$H$3:$H$1009,""),""),IF(TRIM(_xlpm.srcCat)&lt;&gt;TRIM($J698),"",_xlfn.SWITCH($I698,"Computer",_xlfn.XLOOKUP($K698&amp;"",COMPUTER!$B$3:$B$1009&amp;"",COMPUTER!$K$3:$K$1009,""),"Display",_xlfn.XLOOKUP($K698&amp;"",DISPLAY!$B$3:$B$1000&amp;"",DISPLAY!$L$3:$L$1000,""),"Network Device",_xlfn.XLOOKUP($K698&amp;"",'NETWORK-DEVICES'!$B$3:$B$987&amp;"",'NETWORK-DEVICES'!$K$3:$K$987,""),"Peripheral",_xlfn.XLOOKUP($K698&amp;"",PERIPHERAL!$B$3:$B$954&amp;"",PERIPHERAL!$K$3:$K$954,""),"Utilities",_xlfn.XLOOKUP($K698&amp;"",UTILITIES!$B$3:$B$953&amp;"",UTILITIES!$J$3:$J$953,""),"IOT",_xlfn.XLOOKUP($K698&amp;"",IOT!$B$3:$B$1012&amp;"",IOT!$K$4:$K$1012,""),"Server",_xlfn.XLOOKUP($K698&amp;"",SERVER!$B$3:$B$1009&amp;"",SERVER!$K$3:$K$1009,""),""))))</f>
        <v/>
      </c>
      <c r="O698" s="1" t="str" cm="1">
        <f t="array" ref="O698">IF(OR($K698="",$I698="",$J698=""),"",_xlfn.LET(_xlpm.srcCat,_xlfn.SWITCH($I698,"Computer",_xlfn.XLOOKUP($K698&amp;"",COMPUTER!$B$3:$B$1009&amp;"",COMPUTER!$H$3:$H$1009,""),"Display",_xlfn.XLOOKUP($K698&amp;"",DISPLAY!$B$3:$B$1000&amp;"",DISPLAY!$H$3:$H$1000,""),"Network Device",_xlfn.XLOOKUP($K698&amp;"",'NETWORK-DEVICES'!$B$3:$B$987&amp;"",'NETWORK-DEVICES'!$H$3:$H$987,""),"Peripheral",_xlfn.XLOOKUP($K698&amp;"",PERIPHERAL!$B$3:$B$954&amp;"",PERIPHERAL!$H$3:$H$954,""),"Utilities",_xlfn.XLOOKUP($K698&amp;"",UTILITIES!$B$3:$B$953&amp;"",UTILITIES!$G$3:$G$953,""),"IOT",_xlfn.XLOOKUP($K698&amp;"",IOT!$B$3:$B$1012&amp;"",IOT!$H$3:$H$1012,""),"Server",_xlfn.XLOOKUP($K698&amp;"",SERVER!$B$3:$B$1009&amp;"",SERVER!$H$3:$H$1009,""),""),IF(TRIM(_xlpm.srcCat)&lt;&gt;TRIM($J698),"",_xlfn.SWITCH($I698,"Computer",_xlfn.XLOOKUP($K698&amp;"",COMPUTER!$B$3:$B$1009&amp;"",COMPUTER!$E$3:$E$1009,""),"Display",_xlfn.XLOOKUP($K698&amp;"",DISPLAY!$B$3:$B$1000&amp;"",DISPLAY!$E$3:$E$1000,""),"Network Device",_xlfn.XLOOKUP($K698&amp;"",'NETWORK-DEVICES'!$B$3:$B$987&amp;"",'NETWORK-DEVICES'!$E$3:$E$987,""),"Peripheral",_xlfn.XLOOKUP($K698&amp;"",PERIPHERAL!$B$3:$B$954&amp;"",PERIPHERAL!$E$3:$E$954,""),"Utilities",_xlfn.XLOOKUP($K698&amp;"",UTILITIES!$B$3:$B$953&amp;"",UTILITIES!$E$3:$E$953,""),"IOT",_xlfn.XLOOKUP($K698&amp;"",IOT!$B$3:$B$1012&amp;"",IOT!$E$3:$E$1012,""),"Server",_xlfn.XLOOKUP($K698&amp;"",SERVER!$B$3:$B$1009&amp;"",SERVER!$E$3:$E$1009,""),""))))</f>
        <v/>
      </c>
      <c r="Q698" s="1" t="str" cm="1">
        <f t="array" ref="Q698">IF(OR($K698="",$I698="",$J698=""),"",_xlfn.LET(_xlpm.srcCat,_xlfn.SWITCH($I698,"Computer",_xlfn.XLOOKUP($K698&amp;"",COMPUTER!$B$3:$B$1009&amp;"",COMPUTER!$H$3:$H$1009,""),"Display",_xlfn.XLOOKUP($K698&amp;"",DISPLAY!$B$3:$B$1000&amp;"",DISPLAY!$H$3:$H$1000,""),"Network Device",_xlfn.XLOOKUP($K698&amp;"",'NETWORK-DEVICES'!$B$3:$B$987&amp;"",'NETWORK-DEVICES'!$H$3:$H$987,""),"Peripheral",_xlfn.XLOOKUP($K698&amp;"",PERIPHERAL!$B$3:$B$954&amp;"",PERIPHERAL!$H$3:$H$954,""),"Utilities",_xlfn.XLOOKUP($K698&amp;"",UTILITIES!$B$3:$B$953&amp;"",UTILITIES!$G$3:$G$953,""),"IOT",_xlfn.XLOOKUP($K698&amp;"",IOT!$B$3:$B$1012&amp;"",IOT!$H$3:$H$1012,""),"Server",_xlfn.XLOOKUP($K698&amp;"",SERVER!$B$3:$B$1009&amp;"",SERVER!$H$3:$H$1009,""),""),IF(TRIM(_xlpm.srcCat)&lt;&gt;TRIM($J698),"",_xlfn.SWITCH($I698,"Computer",_xlfn.XLOOKUP($K698&amp;"",COMPUTER!$B$3:$B$1009&amp;"",COMPUTER!$AM$3:$AM$1009,""),"Display",_xlfn.XLOOKUP($K698&amp;"",DISPLAY!$B$3:$B$1000&amp;"",DISPLAY!$V$3:$V$1000,""),"Network Device",_xlfn.XLOOKUP($K698&amp;"",'NETWORK-DEVICES'!$B$3:$B$987&amp;"",'NETWORK-DEVICES'!$AF$3:$AF$987,""),"Peripheral",_xlfn.XLOOKUP($K698&amp;"",PERIPHERAL!$B$3:$B$954&amp;"",PERIPHERAL!$Y$3:$Y$954,""),"Utilities",_xlfn.XLOOKUP($K698&amp;"",UTILITIES!$B$3:$B$953&amp;"",UTILITIES!$O$3:$O$953,""),"IOT",_xlfn.XLOOKUP($K698&amp;"",IOT!$B$3:$B$1012&amp;"",IOT!$AB$3:$AB$1012,""),"Server",_xlfn.XLOOKUP($K698&amp;"",SERVER!$B$3:$B$1009&amp;"",SERVER!$AB$3:$AB$1009,""),""))))</f>
        <v/>
      </c>
      <c r="R698" s="43" t="str">
        <f>IF(tbl_handover[[#This Row],[Asset Code]]="","",COUNTIF(tbl_handover[Asset Code],tbl_handover[[#This Row],[Asset Code]]))</f>
        <v/>
      </c>
    </row>
    <row r="699" spans="1:18" x14ac:dyDescent="0.25">
      <c r="A699" s="43" t="str">
        <f>IF(B699&lt;&gt;"",SUBTOTAL(3,$B$1:B698),"")</f>
        <v/>
      </c>
      <c r="C699" s="74"/>
      <c r="D699" s="74"/>
      <c r="G699" s="1"/>
      <c r="K699" s="42"/>
      <c r="L699" t="str" cm="1">
        <f t="array" ref="L699">IF($K699="","",_xlfn.SWITCH($I699,"Computer",_xlfn.XLOOKUP($K699&amp;"",COMPUTER!$B$3:$B$1009&amp;"",COMPUTER!$I$3:$I$1009,""),"Display",_xlfn.XLOOKUP($K699&amp;"",DISPLAY!$B$3:$B$1000&amp;"",DISPLAY!$J$3:$J$1000,""),"Network Device",_xlfn.XLOOKUP($K699&amp;"",'NETWORK-DEVICES'!$B$3:$B$987&amp;"",'NETWORK-DEVICES'!$I$3:$I$987,""),"Peripheral",_xlfn.XLOOKUP($K699&amp;"",PERIPHERAL!$B$3:$B$954&amp;"",PERIPHERAL!$I$3:$I$954,""),"Utilities",_xlfn.XLOOKUP($K699&amp;"",UTILITIES!$B$3:$B$953&amp;"",UTILITIES!$H$3:$H$953,""),"IOT",_xlfn.XLOOKUP($K699&amp;"",IOT!$B$3:$B$1012&amp;"",IOT!$I$3:$I$1012,""),"SERVER",_xlfn.XLOOKUP($K699&amp;"",SERVER!$B$3:$B$1009&amp;"",SERVER!$I$3:$I$1009,""),""))</f>
        <v/>
      </c>
      <c r="M699" t="str" cm="1">
        <f t="array" ref="M699">IF($K699="","",_xlfn.SWITCH($I699,"Computer",_xlfn.XLOOKUP($K699&amp;"",COMPUTER!$B$3:$B$1009&amp;"",COMPUTER!$J$3:$J$1009,""),"Display",_xlfn.XLOOKUP($K699&amp;"",DISPLAY!$B$3:$B$1000&amp;"",DISPLAY!$K$3:$K$1000,""),"Network Device",_xlfn.XLOOKUP($K699&amp;"",'NETWORK-DEVICES'!$B$3:$B$987&amp;"",'NETWORK-DEVICES'!$I$3:$I$987,""),"Peripheral",_xlfn.XLOOKUP($K699&amp;"",PERIPHERAL!$B$3:$B$954&amp;"",PERIPHERAL!$J$3:$J$954,""),"Utilities",_xlfn.XLOOKUP($K699&amp;"",UTILITIES!$B$3:$B$953&amp;"",UTILITIES!$I$3:$I$953,""),"IOT",_xlfn.XLOOKUP($K699&amp;"",IOT!$B$3:$B$1012&amp;"",IOT!$J$3:$J$1012,""),"Server",_xlfn.XLOOKUP($K699&amp;"",SERVER!$B$3:$B$1009&amp;"",SERVER!$J$3:$J$1009,""),""))</f>
        <v/>
      </c>
      <c r="N699" s="1" t="str" cm="1">
        <f t="array" ref="N699">IF(OR($K699="",$I699="",$J699=""),"",_xlfn.LET(_xlpm.srcCat,_xlfn.SWITCH($I699,"Computer",_xlfn.XLOOKUP($K699&amp;"",COMPUTER!$B$3:$B$1009&amp;"",COMPUTER!$H$3:$H$1009,""),"Display",_xlfn.XLOOKUP($K699&amp;"",DISPLAY!$B$3:$B$1000&amp;"",DISPLAY!$H$3:$H$1000,""),"Network Device",_xlfn.XLOOKUP($K699&amp;"",'NETWORK-DEVICES'!$B$3:$B$987&amp;"",'NETWORK-DEVICES'!$H$3:$H$987,""),"Peripheral",_xlfn.XLOOKUP($K699&amp;"",PERIPHERAL!$B$3:$B$954&amp;"",PERIPHERAL!$H$3:$H$954,""),"Utilities",_xlfn.XLOOKUP($K699&amp;"",UTILITIES!$B$3:$B$953&amp;"",UTILITIES!$G$3:$G$953,""),"IOT",_xlfn.XLOOKUP($K699&amp;"",IOT!$B$3:$B$1012&amp;"",IOT!$H$3:$H$1012,""),"Server",_xlfn.XLOOKUP($K699&amp;"",SERVER!$B$3:$B$1009&amp;"",SERVER!$H$3:$H$1009,""),""),IF(TRIM(_xlpm.srcCat)&lt;&gt;TRIM($J699),"",_xlfn.SWITCH($I699,"Computer",_xlfn.XLOOKUP($K699&amp;"",COMPUTER!$B$3:$B$1009&amp;"",COMPUTER!$K$3:$K$1009,""),"Display",_xlfn.XLOOKUP($K699&amp;"",DISPLAY!$B$3:$B$1000&amp;"",DISPLAY!$L$3:$L$1000,""),"Network Device",_xlfn.XLOOKUP($K699&amp;"",'NETWORK-DEVICES'!$B$3:$B$987&amp;"",'NETWORK-DEVICES'!$K$3:$K$987,""),"Peripheral",_xlfn.XLOOKUP($K699&amp;"",PERIPHERAL!$B$3:$B$954&amp;"",PERIPHERAL!$K$3:$K$954,""),"Utilities",_xlfn.XLOOKUP($K699&amp;"",UTILITIES!$B$3:$B$953&amp;"",UTILITIES!$J$3:$J$953,""),"IOT",_xlfn.XLOOKUP($K699&amp;"",IOT!$B$3:$B$1012&amp;"",IOT!$K$4:$K$1012,""),"Server",_xlfn.XLOOKUP($K699&amp;"",SERVER!$B$3:$B$1009&amp;"",SERVER!$K$3:$K$1009,""),""))))</f>
        <v/>
      </c>
      <c r="O699" s="1" t="str" cm="1">
        <f t="array" ref="O699">IF(OR($K699="",$I699="",$J699=""),"",_xlfn.LET(_xlpm.srcCat,_xlfn.SWITCH($I699,"Computer",_xlfn.XLOOKUP($K699&amp;"",COMPUTER!$B$3:$B$1009&amp;"",COMPUTER!$H$3:$H$1009,""),"Display",_xlfn.XLOOKUP($K699&amp;"",DISPLAY!$B$3:$B$1000&amp;"",DISPLAY!$H$3:$H$1000,""),"Network Device",_xlfn.XLOOKUP($K699&amp;"",'NETWORK-DEVICES'!$B$3:$B$987&amp;"",'NETWORK-DEVICES'!$H$3:$H$987,""),"Peripheral",_xlfn.XLOOKUP($K699&amp;"",PERIPHERAL!$B$3:$B$954&amp;"",PERIPHERAL!$H$3:$H$954,""),"Utilities",_xlfn.XLOOKUP($K699&amp;"",UTILITIES!$B$3:$B$953&amp;"",UTILITIES!$G$3:$G$953,""),"IOT",_xlfn.XLOOKUP($K699&amp;"",IOT!$B$3:$B$1012&amp;"",IOT!$H$3:$H$1012,""),"Server",_xlfn.XLOOKUP($K699&amp;"",SERVER!$B$3:$B$1009&amp;"",SERVER!$H$3:$H$1009,""),""),IF(TRIM(_xlpm.srcCat)&lt;&gt;TRIM($J699),"",_xlfn.SWITCH($I699,"Computer",_xlfn.XLOOKUP($K699&amp;"",COMPUTER!$B$3:$B$1009&amp;"",COMPUTER!$E$3:$E$1009,""),"Display",_xlfn.XLOOKUP($K699&amp;"",DISPLAY!$B$3:$B$1000&amp;"",DISPLAY!$E$3:$E$1000,""),"Network Device",_xlfn.XLOOKUP($K699&amp;"",'NETWORK-DEVICES'!$B$3:$B$987&amp;"",'NETWORK-DEVICES'!$E$3:$E$987,""),"Peripheral",_xlfn.XLOOKUP($K699&amp;"",PERIPHERAL!$B$3:$B$954&amp;"",PERIPHERAL!$E$3:$E$954,""),"Utilities",_xlfn.XLOOKUP($K699&amp;"",UTILITIES!$B$3:$B$953&amp;"",UTILITIES!$E$3:$E$953,""),"IOT",_xlfn.XLOOKUP($K699&amp;"",IOT!$B$3:$B$1012&amp;"",IOT!$E$3:$E$1012,""),"Server",_xlfn.XLOOKUP($K699&amp;"",SERVER!$B$3:$B$1009&amp;"",SERVER!$E$3:$E$1009,""),""))))</f>
        <v/>
      </c>
      <c r="Q699" s="1" t="str" cm="1">
        <f t="array" ref="Q699">IF(OR($K699="",$I699="",$J699=""),"",_xlfn.LET(_xlpm.srcCat,_xlfn.SWITCH($I699,"Computer",_xlfn.XLOOKUP($K699&amp;"",COMPUTER!$B$3:$B$1009&amp;"",COMPUTER!$H$3:$H$1009,""),"Display",_xlfn.XLOOKUP($K699&amp;"",DISPLAY!$B$3:$B$1000&amp;"",DISPLAY!$H$3:$H$1000,""),"Network Device",_xlfn.XLOOKUP($K699&amp;"",'NETWORK-DEVICES'!$B$3:$B$987&amp;"",'NETWORK-DEVICES'!$H$3:$H$987,""),"Peripheral",_xlfn.XLOOKUP($K699&amp;"",PERIPHERAL!$B$3:$B$954&amp;"",PERIPHERAL!$H$3:$H$954,""),"Utilities",_xlfn.XLOOKUP($K699&amp;"",UTILITIES!$B$3:$B$953&amp;"",UTILITIES!$G$3:$G$953,""),"IOT",_xlfn.XLOOKUP($K699&amp;"",IOT!$B$3:$B$1012&amp;"",IOT!$H$3:$H$1012,""),"Server",_xlfn.XLOOKUP($K699&amp;"",SERVER!$B$3:$B$1009&amp;"",SERVER!$H$3:$H$1009,""),""),IF(TRIM(_xlpm.srcCat)&lt;&gt;TRIM($J699),"",_xlfn.SWITCH($I699,"Computer",_xlfn.XLOOKUP($K699&amp;"",COMPUTER!$B$3:$B$1009&amp;"",COMPUTER!$AM$3:$AM$1009,""),"Display",_xlfn.XLOOKUP($K699&amp;"",DISPLAY!$B$3:$B$1000&amp;"",DISPLAY!$V$3:$V$1000,""),"Network Device",_xlfn.XLOOKUP($K699&amp;"",'NETWORK-DEVICES'!$B$3:$B$987&amp;"",'NETWORK-DEVICES'!$AF$3:$AF$987,""),"Peripheral",_xlfn.XLOOKUP($K699&amp;"",PERIPHERAL!$B$3:$B$954&amp;"",PERIPHERAL!$Y$3:$Y$954,""),"Utilities",_xlfn.XLOOKUP($K699&amp;"",UTILITIES!$B$3:$B$953&amp;"",UTILITIES!$O$3:$O$953,""),"IOT",_xlfn.XLOOKUP($K699&amp;"",IOT!$B$3:$B$1012&amp;"",IOT!$AB$3:$AB$1012,""),"Server",_xlfn.XLOOKUP($K699&amp;"",SERVER!$B$3:$B$1009&amp;"",SERVER!$AB$3:$AB$1009,""),""))))</f>
        <v/>
      </c>
      <c r="R699" s="43" t="str">
        <f>IF(tbl_handover[[#This Row],[Asset Code]]="","",COUNTIF(tbl_handover[Asset Code],tbl_handover[[#This Row],[Asset Code]]))</f>
        <v/>
      </c>
    </row>
    <row r="700" spans="1:18" x14ac:dyDescent="0.25">
      <c r="A700" s="43" t="str">
        <f>IF(B700&lt;&gt;"",SUBTOTAL(3,$B$1:B699),"")</f>
        <v/>
      </c>
      <c r="C700" s="74"/>
      <c r="D700" s="74"/>
      <c r="G700" s="1"/>
      <c r="K700" s="42"/>
      <c r="L700" t="str" cm="1">
        <f t="array" ref="L700">IF($K700="","",_xlfn.SWITCH($I700,"Computer",_xlfn.XLOOKUP($K700&amp;"",COMPUTER!$B$3:$B$1009&amp;"",COMPUTER!$I$3:$I$1009,""),"Display",_xlfn.XLOOKUP($K700&amp;"",DISPLAY!$B$3:$B$1000&amp;"",DISPLAY!$J$3:$J$1000,""),"Network Device",_xlfn.XLOOKUP($K700&amp;"",'NETWORK-DEVICES'!$B$3:$B$987&amp;"",'NETWORK-DEVICES'!$I$3:$I$987,""),"Peripheral",_xlfn.XLOOKUP($K700&amp;"",PERIPHERAL!$B$3:$B$954&amp;"",PERIPHERAL!$I$3:$I$954,""),"Utilities",_xlfn.XLOOKUP($K700&amp;"",UTILITIES!$B$3:$B$953&amp;"",UTILITIES!$H$3:$H$953,""),"IOT",_xlfn.XLOOKUP($K700&amp;"",IOT!$B$3:$B$1012&amp;"",IOT!$I$3:$I$1012,""),"SERVER",_xlfn.XLOOKUP($K700&amp;"",SERVER!$B$3:$B$1009&amp;"",SERVER!$I$3:$I$1009,""),""))</f>
        <v/>
      </c>
      <c r="M700" t="str" cm="1">
        <f t="array" ref="M700">IF($K700="","",_xlfn.SWITCH($I700,"Computer",_xlfn.XLOOKUP($K700&amp;"",COMPUTER!$B$3:$B$1009&amp;"",COMPUTER!$J$3:$J$1009,""),"Display",_xlfn.XLOOKUP($K700&amp;"",DISPLAY!$B$3:$B$1000&amp;"",DISPLAY!$K$3:$K$1000,""),"Network Device",_xlfn.XLOOKUP($K700&amp;"",'NETWORK-DEVICES'!$B$3:$B$987&amp;"",'NETWORK-DEVICES'!$I$3:$I$987,""),"Peripheral",_xlfn.XLOOKUP($K700&amp;"",PERIPHERAL!$B$3:$B$954&amp;"",PERIPHERAL!$J$3:$J$954,""),"Utilities",_xlfn.XLOOKUP($K700&amp;"",UTILITIES!$B$3:$B$953&amp;"",UTILITIES!$I$3:$I$953,""),"IOT",_xlfn.XLOOKUP($K700&amp;"",IOT!$B$3:$B$1012&amp;"",IOT!$J$3:$J$1012,""),"Server",_xlfn.XLOOKUP($K700&amp;"",SERVER!$B$3:$B$1009&amp;"",SERVER!$J$3:$J$1009,""),""))</f>
        <v/>
      </c>
      <c r="N700" s="1" t="str" cm="1">
        <f t="array" ref="N700">IF(OR($K700="",$I700="",$J700=""),"",_xlfn.LET(_xlpm.srcCat,_xlfn.SWITCH($I700,"Computer",_xlfn.XLOOKUP($K700&amp;"",COMPUTER!$B$3:$B$1009&amp;"",COMPUTER!$H$3:$H$1009,""),"Display",_xlfn.XLOOKUP($K700&amp;"",DISPLAY!$B$3:$B$1000&amp;"",DISPLAY!$H$3:$H$1000,""),"Network Device",_xlfn.XLOOKUP($K700&amp;"",'NETWORK-DEVICES'!$B$3:$B$987&amp;"",'NETWORK-DEVICES'!$H$3:$H$987,""),"Peripheral",_xlfn.XLOOKUP($K700&amp;"",PERIPHERAL!$B$3:$B$954&amp;"",PERIPHERAL!$H$3:$H$954,""),"Utilities",_xlfn.XLOOKUP($K700&amp;"",UTILITIES!$B$3:$B$953&amp;"",UTILITIES!$G$3:$G$953,""),"IOT",_xlfn.XLOOKUP($K700&amp;"",IOT!$B$3:$B$1012&amp;"",IOT!$H$3:$H$1012,""),"Server",_xlfn.XLOOKUP($K700&amp;"",SERVER!$B$3:$B$1009&amp;"",SERVER!$H$3:$H$1009,""),""),IF(TRIM(_xlpm.srcCat)&lt;&gt;TRIM($J700),"",_xlfn.SWITCH($I700,"Computer",_xlfn.XLOOKUP($K700&amp;"",COMPUTER!$B$3:$B$1009&amp;"",COMPUTER!$K$3:$K$1009,""),"Display",_xlfn.XLOOKUP($K700&amp;"",DISPLAY!$B$3:$B$1000&amp;"",DISPLAY!$L$3:$L$1000,""),"Network Device",_xlfn.XLOOKUP($K700&amp;"",'NETWORK-DEVICES'!$B$3:$B$987&amp;"",'NETWORK-DEVICES'!$K$3:$K$987,""),"Peripheral",_xlfn.XLOOKUP($K700&amp;"",PERIPHERAL!$B$3:$B$954&amp;"",PERIPHERAL!$K$3:$K$954,""),"Utilities",_xlfn.XLOOKUP($K700&amp;"",UTILITIES!$B$3:$B$953&amp;"",UTILITIES!$J$3:$J$953,""),"IOT",_xlfn.XLOOKUP($K700&amp;"",IOT!$B$3:$B$1012&amp;"",IOT!$K$4:$K$1012,""),"Server",_xlfn.XLOOKUP($K700&amp;"",SERVER!$B$3:$B$1009&amp;"",SERVER!$K$3:$K$1009,""),""))))</f>
        <v/>
      </c>
      <c r="O700" s="1" t="str" cm="1">
        <f t="array" ref="O700">IF(OR($K700="",$I700="",$J700=""),"",_xlfn.LET(_xlpm.srcCat,_xlfn.SWITCH($I700,"Computer",_xlfn.XLOOKUP($K700&amp;"",COMPUTER!$B$3:$B$1009&amp;"",COMPUTER!$H$3:$H$1009,""),"Display",_xlfn.XLOOKUP($K700&amp;"",DISPLAY!$B$3:$B$1000&amp;"",DISPLAY!$H$3:$H$1000,""),"Network Device",_xlfn.XLOOKUP($K700&amp;"",'NETWORK-DEVICES'!$B$3:$B$987&amp;"",'NETWORK-DEVICES'!$H$3:$H$987,""),"Peripheral",_xlfn.XLOOKUP($K700&amp;"",PERIPHERAL!$B$3:$B$954&amp;"",PERIPHERAL!$H$3:$H$954,""),"Utilities",_xlfn.XLOOKUP($K700&amp;"",UTILITIES!$B$3:$B$953&amp;"",UTILITIES!$G$3:$G$953,""),"IOT",_xlfn.XLOOKUP($K700&amp;"",IOT!$B$3:$B$1012&amp;"",IOT!$H$3:$H$1012,""),"Server",_xlfn.XLOOKUP($K700&amp;"",SERVER!$B$3:$B$1009&amp;"",SERVER!$H$3:$H$1009,""),""),IF(TRIM(_xlpm.srcCat)&lt;&gt;TRIM($J700),"",_xlfn.SWITCH($I700,"Computer",_xlfn.XLOOKUP($K700&amp;"",COMPUTER!$B$3:$B$1009&amp;"",COMPUTER!$E$3:$E$1009,""),"Display",_xlfn.XLOOKUP($K700&amp;"",DISPLAY!$B$3:$B$1000&amp;"",DISPLAY!$E$3:$E$1000,""),"Network Device",_xlfn.XLOOKUP($K700&amp;"",'NETWORK-DEVICES'!$B$3:$B$987&amp;"",'NETWORK-DEVICES'!$E$3:$E$987,""),"Peripheral",_xlfn.XLOOKUP($K700&amp;"",PERIPHERAL!$B$3:$B$954&amp;"",PERIPHERAL!$E$3:$E$954,""),"Utilities",_xlfn.XLOOKUP($K700&amp;"",UTILITIES!$B$3:$B$953&amp;"",UTILITIES!$E$3:$E$953,""),"IOT",_xlfn.XLOOKUP($K700&amp;"",IOT!$B$3:$B$1012&amp;"",IOT!$E$3:$E$1012,""),"Server",_xlfn.XLOOKUP($K700&amp;"",SERVER!$B$3:$B$1009&amp;"",SERVER!$E$3:$E$1009,""),""))))</f>
        <v/>
      </c>
      <c r="Q700" s="1" t="str" cm="1">
        <f t="array" ref="Q700">IF(OR($K700="",$I700="",$J700=""),"",_xlfn.LET(_xlpm.srcCat,_xlfn.SWITCH($I700,"Computer",_xlfn.XLOOKUP($K700&amp;"",COMPUTER!$B$3:$B$1009&amp;"",COMPUTER!$H$3:$H$1009,""),"Display",_xlfn.XLOOKUP($K700&amp;"",DISPLAY!$B$3:$B$1000&amp;"",DISPLAY!$H$3:$H$1000,""),"Network Device",_xlfn.XLOOKUP($K700&amp;"",'NETWORK-DEVICES'!$B$3:$B$987&amp;"",'NETWORK-DEVICES'!$H$3:$H$987,""),"Peripheral",_xlfn.XLOOKUP($K700&amp;"",PERIPHERAL!$B$3:$B$954&amp;"",PERIPHERAL!$H$3:$H$954,""),"Utilities",_xlfn.XLOOKUP($K700&amp;"",UTILITIES!$B$3:$B$953&amp;"",UTILITIES!$G$3:$G$953,""),"IOT",_xlfn.XLOOKUP($K700&amp;"",IOT!$B$3:$B$1012&amp;"",IOT!$H$3:$H$1012,""),"Server",_xlfn.XLOOKUP($K700&amp;"",SERVER!$B$3:$B$1009&amp;"",SERVER!$H$3:$H$1009,""),""),IF(TRIM(_xlpm.srcCat)&lt;&gt;TRIM($J700),"",_xlfn.SWITCH($I700,"Computer",_xlfn.XLOOKUP($K700&amp;"",COMPUTER!$B$3:$B$1009&amp;"",COMPUTER!$AM$3:$AM$1009,""),"Display",_xlfn.XLOOKUP($K700&amp;"",DISPLAY!$B$3:$B$1000&amp;"",DISPLAY!$V$3:$V$1000,""),"Network Device",_xlfn.XLOOKUP($K700&amp;"",'NETWORK-DEVICES'!$B$3:$B$987&amp;"",'NETWORK-DEVICES'!$AF$3:$AF$987,""),"Peripheral",_xlfn.XLOOKUP($K700&amp;"",PERIPHERAL!$B$3:$B$954&amp;"",PERIPHERAL!$Y$3:$Y$954,""),"Utilities",_xlfn.XLOOKUP($K700&amp;"",UTILITIES!$B$3:$B$953&amp;"",UTILITIES!$O$3:$O$953,""),"IOT",_xlfn.XLOOKUP($K700&amp;"",IOT!$B$3:$B$1012&amp;"",IOT!$AB$3:$AB$1012,""),"Server",_xlfn.XLOOKUP($K700&amp;"",SERVER!$B$3:$B$1009&amp;"",SERVER!$AB$3:$AB$1009,""),""))))</f>
        <v/>
      </c>
      <c r="R700" s="43" t="str">
        <f>IF(tbl_handover[[#This Row],[Asset Code]]="","",COUNTIF(tbl_handover[Asset Code],tbl_handover[[#This Row],[Asset Code]]))</f>
        <v/>
      </c>
    </row>
    <row r="701" spans="1:18" x14ac:dyDescent="0.25">
      <c r="A701" s="43" t="str">
        <f>IF(B701&lt;&gt;"",SUBTOTAL(3,$B$1:B700),"")</f>
        <v/>
      </c>
      <c r="C701" s="74"/>
      <c r="D701" s="74"/>
      <c r="G701" s="1"/>
      <c r="K701" s="42"/>
      <c r="L701" t="str" cm="1">
        <f t="array" ref="L701">IF($K701="","",_xlfn.SWITCH($I701,"Computer",_xlfn.XLOOKUP($K701&amp;"",COMPUTER!$B$3:$B$1009&amp;"",COMPUTER!$I$3:$I$1009,""),"Display",_xlfn.XLOOKUP($K701&amp;"",DISPLAY!$B$3:$B$1000&amp;"",DISPLAY!$J$3:$J$1000,""),"Network Device",_xlfn.XLOOKUP($K701&amp;"",'NETWORK-DEVICES'!$B$3:$B$987&amp;"",'NETWORK-DEVICES'!$I$3:$I$987,""),"Peripheral",_xlfn.XLOOKUP($K701&amp;"",PERIPHERAL!$B$3:$B$954&amp;"",PERIPHERAL!$I$3:$I$954,""),"Utilities",_xlfn.XLOOKUP($K701&amp;"",UTILITIES!$B$3:$B$953&amp;"",UTILITIES!$H$3:$H$953,""),"IOT",_xlfn.XLOOKUP($K701&amp;"",IOT!$B$3:$B$1012&amp;"",IOT!$I$3:$I$1012,""),"SERVER",_xlfn.XLOOKUP($K701&amp;"",SERVER!$B$3:$B$1009&amp;"",SERVER!$I$3:$I$1009,""),""))</f>
        <v/>
      </c>
      <c r="M701" t="str" cm="1">
        <f t="array" ref="M701">IF($K701="","",_xlfn.SWITCH($I701,"Computer",_xlfn.XLOOKUP($K701&amp;"",COMPUTER!$B$3:$B$1009&amp;"",COMPUTER!$J$3:$J$1009,""),"Display",_xlfn.XLOOKUP($K701&amp;"",DISPLAY!$B$3:$B$1000&amp;"",DISPLAY!$K$3:$K$1000,""),"Network Device",_xlfn.XLOOKUP($K701&amp;"",'NETWORK-DEVICES'!$B$3:$B$987&amp;"",'NETWORK-DEVICES'!$I$3:$I$987,""),"Peripheral",_xlfn.XLOOKUP($K701&amp;"",PERIPHERAL!$B$3:$B$954&amp;"",PERIPHERAL!$J$3:$J$954,""),"Utilities",_xlfn.XLOOKUP($K701&amp;"",UTILITIES!$B$3:$B$953&amp;"",UTILITIES!$I$3:$I$953,""),"IOT",_xlfn.XLOOKUP($K701&amp;"",IOT!$B$3:$B$1012&amp;"",IOT!$J$3:$J$1012,""),"Server",_xlfn.XLOOKUP($K701&amp;"",SERVER!$B$3:$B$1009&amp;"",SERVER!$J$3:$J$1009,""),""))</f>
        <v/>
      </c>
      <c r="N701" s="1" t="str" cm="1">
        <f t="array" ref="N701">IF(OR($K701="",$I701="",$J701=""),"",_xlfn.LET(_xlpm.srcCat,_xlfn.SWITCH($I701,"Computer",_xlfn.XLOOKUP($K701&amp;"",COMPUTER!$B$3:$B$1009&amp;"",COMPUTER!$H$3:$H$1009,""),"Display",_xlfn.XLOOKUP($K701&amp;"",DISPLAY!$B$3:$B$1000&amp;"",DISPLAY!$H$3:$H$1000,""),"Network Device",_xlfn.XLOOKUP($K701&amp;"",'NETWORK-DEVICES'!$B$3:$B$987&amp;"",'NETWORK-DEVICES'!$H$3:$H$987,""),"Peripheral",_xlfn.XLOOKUP($K701&amp;"",PERIPHERAL!$B$3:$B$954&amp;"",PERIPHERAL!$H$3:$H$954,""),"Utilities",_xlfn.XLOOKUP($K701&amp;"",UTILITIES!$B$3:$B$953&amp;"",UTILITIES!$G$3:$G$953,""),"IOT",_xlfn.XLOOKUP($K701&amp;"",IOT!$B$3:$B$1012&amp;"",IOT!$H$3:$H$1012,""),"Server",_xlfn.XLOOKUP($K701&amp;"",SERVER!$B$3:$B$1009&amp;"",SERVER!$H$3:$H$1009,""),""),IF(TRIM(_xlpm.srcCat)&lt;&gt;TRIM($J701),"",_xlfn.SWITCH($I701,"Computer",_xlfn.XLOOKUP($K701&amp;"",COMPUTER!$B$3:$B$1009&amp;"",COMPUTER!$K$3:$K$1009,""),"Display",_xlfn.XLOOKUP($K701&amp;"",DISPLAY!$B$3:$B$1000&amp;"",DISPLAY!$L$3:$L$1000,""),"Network Device",_xlfn.XLOOKUP($K701&amp;"",'NETWORK-DEVICES'!$B$3:$B$987&amp;"",'NETWORK-DEVICES'!$K$3:$K$987,""),"Peripheral",_xlfn.XLOOKUP($K701&amp;"",PERIPHERAL!$B$3:$B$954&amp;"",PERIPHERAL!$K$3:$K$954,""),"Utilities",_xlfn.XLOOKUP($K701&amp;"",UTILITIES!$B$3:$B$953&amp;"",UTILITIES!$J$3:$J$953,""),"IOT",_xlfn.XLOOKUP($K701&amp;"",IOT!$B$3:$B$1012&amp;"",IOT!$K$4:$K$1012,""),"Server",_xlfn.XLOOKUP($K701&amp;"",SERVER!$B$3:$B$1009&amp;"",SERVER!$K$3:$K$1009,""),""))))</f>
        <v/>
      </c>
      <c r="O701" s="1" t="str" cm="1">
        <f t="array" ref="O701">IF(OR($K701="",$I701="",$J701=""),"",_xlfn.LET(_xlpm.srcCat,_xlfn.SWITCH($I701,"Computer",_xlfn.XLOOKUP($K701&amp;"",COMPUTER!$B$3:$B$1009&amp;"",COMPUTER!$H$3:$H$1009,""),"Display",_xlfn.XLOOKUP($K701&amp;"",DISPLAY!$B$3:$B$1000&amp;"",DISPLAY!$H$3:$H$1000,""),"Network Device",_xlfn.XLOOKUP($K701&amp;"",'NETWORK-DEVICES'!$B$3:$B$987&amp;"",'NETWORK-DEVICES'!$H$3:$H$987,""),"Peripheral",_xlfn.XLOOKUP($K701&amp;"",PERIPHERAL!$B$3:$B$954&amp;"",PERIPHERAL!$H$3:$H$954,""),"Utilities",_xlfn.XLOOKUP($K701&amp;"",UTILITIES!$B$3:$B$953&amp;"",UTILITIES!$G$3:$G$953,""),"IOT",_xlfn.XLOOKUP($K701&amp;"",IOT!$B$3:$B$1012&amp;"",IOT!$H$3:$H$1012,""),"Server",_xlfn.XLOOKUP($K701&amp;"",SERVER!$B$3:$B$1009&amp;"",SERVER!$H$3:$H$1009,""),""),IF(TRIM(_xlpm.srcCat)&lt;&gt;TRIM($J701),"",_xlfn.SWITCH($I701,"Computer",_xlfn.XLOOKUP($K701&amp;"",COMPUTER!$B$3:$B$1009&amp;"",COMPUTER!$E$3:$E$1009,""),"Display",_xlfn.XLOOKUP($K701&amp;"",DISPLAY!$B$3:$B$1000&amp;"",DISPLAY!$E$3:$E$1000,""),"Network Device",_xlfn.XLOOKUP($K701&amp;"",'NETWORK-DEVICES'!$B$3:$B$987&amp;"",'NETWORK-DEVICES'!$E$3:$E$987,""),"Peripheral",_xlfn.XLOOKUP($K701&amp;"",PERIPHERAL!$B$3:$B$954&amp;"",PERIPHERAL!$E$3:$E$954,""),"Utilities",_xlfn.XLOOKUP($K701&amp;"",UTILITIES!$B$3:$B$953&amp;"",UTILITIES!$E$3:$E$953,""),"IOT",_xlfn.XLOOKUP($K701&amp;"",IOT!$B$3:$B$1012&amp;"",IOT!$E$3:$E$1012,""),"Server",_xlfn.XLOOKUP($K701&amp;"",SERVER!$B$3:$B$1009&amp;"",SERVER!$E$3:$E$1009,""),""))))</f>
        <v/>
      </c>
      <c r="Q701" s="1" t="str" cm="1">
        <f t="array" ref="Q701">IF(OR($K701="",$I701="",$J701=""),"",_xlfn.LET(_xlpm.srcCat,_xlfn.SWITCH($I701,"Computer",_xlfn.XLOOKUP($K701&amp;"",COMPUTER!$B$3:$B$1009&amp;"",COMPUTER!$H$3:$H$1009,""),"Display",_xlfn.XLOOKUP($K701&amp;"",DISPLAY!$B$3:$B$1000&amp;"",DISPLAY!$H$3:$H$1000,""),"Network Device",_xlfn.XLOOKUP($K701&amp;"",'NETWORK-DEVICES'!$B$3:$B$987&amp;"",'NETWORK-DEVICES'!$H$3:$H$987,""),"Peripheral",_xlfn.XLOOKUP($K701&amp;"",PERIPHERAL!$B$3:$B$954&amp;"",PERIPHERAL!$H$3:$H$954,""),"Utilities",_xlfn.XLOOKUP($K701&amp;"",UTILITIES!$B$3:$B$953&amp;"",UTILITIES!$G$3:$G$953,""),"IOT",_xlfn.XLOOKUP($K701&amp;"",IOT!$B$3:$B$1012&amp;"",IOT!$H$3:$H$1012,""),"Server",_xlfn.XLOOKUP($K701&amp;"",SERVER!$B$3:$B$1009&amp;"",SERVER!$H$3:$H$1009,""),""),IF(TRIM(_xlpm.srcCat)&lt;&gt;TRIM($J701),"",_xlfn.SWITCH($I701,"Computer",_xlfn.XLOOKUP($K701&amp;"",COMPUTER!$B$3:$B$1009&amp;"",COMPUTER!$AM$3:$AM$1009,""),"Display",_xlfn.XLOOKUP($K701&amp;"",DISPLAY!$B$3:$B$1000&amp;"",DISPLAY!$V$3:$V$1000,""),"Network Device",_xlfn.XLOOKUP($K701&amp;"",'NETWORK-DEVICES'!$B$3:$B$987&amp;"",'NETWORK-DEVICES'!$AF$3:$AF$987,""),"Peripheral",_xlfn.XLOOKUP($K701&amp;"",PERIPHERAL!$B$3:$B$954&amp;"",PERIPHERAL!$Y$3:$Y$954,""),"Utilities",_xlfn.XLOOKUP($K701&amp;"",UTILITIES!$B$3:$B$953&amp;"",UTILITIES!$O$3:$O$953,""),"IOT",_xlfn.XLOOKUP($K701&amp;"",IOT!$B$3:$B$1012&amp;"",IOT!$AB$3:$AB$1012,""),"Server",_xlfn.XLOOKUP($K701&amp;"",SERVER!$B$3:$B$1009&amp;"",SERVER!$AB$3:$AB$1009,""),""))))</f>
        <v/>
      </c>
      <c r="R701" s="43" t="str">
        <f>IF(tbl_handover[[#This Row],[Asset Code]]="","",COUNTIF(tbl_handover[Asset Code],tbl_handover[[#This Row],[Asset Code]]))</f>
        <v/>
      </c>
    </row>
    <row r="702" spans="1:18" x14ac:dyDescent="0.25">
      <c r="A702" s="43" t="str">
        <f>IF(B702&lt;&gt;"",SUBTOTAL(3,$B$1:B701),"")</f>
        <v/>
      </c>
      <c r="C702" s="74"/>
      <c r="D702" s="74"/>
      <c r="G702" s="1"/>
      <c r="K702" s="42"/>
      <c r="L702" t="str" cm="1">
        <f t="array" ref="L702">IF($K702="","",_xlfn.SWITCH($I702,"Computer",_xlfn.XLOOKUP($K702&amp;"",COMPUTER!$B$3:$B$1009&amp;"",COMPUTER!$I$3:$I$1009,""),"Display",_xlfn.XLOOKUP($K702&amp;"",DISPLAY!$B$3:$B$1000&amp;"",DISPLAY!$J$3:$J$1000,""),"Network Device",_xlfn.XLOOKUP($K702&amp;"",'NETWORK-DEVICES'!$B$3:$B$987&amp;"",'NETWORK-DEVICES'!$I$3:$I$987,""),"Peripheral",_xlfn.XLOOKUP($K702&amp;"",PERIPHERAL!$B$3:$B$954&amp;"",PERIPHERAL!$I$3:$I$954,""),"Utilities",_xlfn.XLOOKUP($K702&amp;"",UTILITIES!$B$3:$B$953&amp;"",UTILITIES!$H$3:$H$953,""),"IOT",_xlfn.XLOOKUP($K702&amp;"",IOT!$B$3:$B$1012&amp;"",IOT!$I$3:$I$1012,""),"SERVER",_xlfn.XLOOKUP($K702&amp;"",SERVER!$B$3:$B$1009&amp;"",SERVER!$I$3:$I$1009,""),""))</f>
        <v/>
      </c>
      <c r="M702" t="str" cm="1">
        <f t="array" ref="M702">IF($K702="","",_xlfn.SWITCH($I702,"Computer",_xlfn.XLOOKUP($K702&amp;"",COMPUTER!$B$3:$B$1009&amp;"",COMPUTER!$J$3:$J$1009,""),"Display",_xlfn.XLOOKUP($K702&amp;"",DISPLAY!$B$3:$B$1000&amp;"",DISPLAY!$K$3:$K$1000,""),"Network Device",_xlfn.XLOOKUP($K702&amp;"",'NETWORK-DEVICES'!$B$3:$B$987&amp;"",'NETWORK-DEVICES'!$I$3:$I$987,""),"Peripheral",_xlfn.XLOOKUP($K702&amp;"",PERIPHERAL!$B$3:$B$954&amp;"",PERIPHERAL!$J$3:$J$954,""),"Utilities",_xlfn.XLOOKUP($K702&amp;"",UTILITIES!$B$3:$B$953&amp;"",UTILITIES!$I$3:$I$953,""),"IOT",_xlfn.XLOOKUP($K702&amp;"",IOT!$B$3:$B$1012&amp;"",IOT!$J$3:$J$1012,""),"Server",_xlfn.XLOOKUP($K702&amp;"",SERVER!$B$3:$B$1009&amp;"",SERVER!$J$3:$J$1009,""),""))</f>
        <v/>
      </c>
      <c r="N702" s="1" t="str" cm="1">
        <f t="array" ref="N702">IF(OR($K702="",$I702="",$J702=""),"",_xlfn.LET(_xlpm.srcCat,_xlfn.SWITCH($I702,"Computer",_xlfn.XLOOKUP($K702&amp;"",COMPUTER!$B$3:$B$1009&amp;"",COMPUTER!$H$3:$H$1009,""),"Display",_xlfn.XLOOKUP($K702&amp;"",DISPLAY!$B$3:$B$1000&amp;"",DISPLAY!$H$3:$H$1000,""),"Network Device",_xlfn.XLOOKUP($K702&amp;"",'NETWORK-DEVICES'!$B$3:$B$987&amp;"",'NETWORK-DEVICES'!$H$3:$H$987,""),"Peripheral",_xlfn.XLOOKUP($K702&amp;"",PERIPHERAL!$B$3:$B$954&amp;"",PERIPHERAL!$H$3:$H$954,""),"Utilities",_xlfn.XLOOKUP($K702&amp;"",UTILITIES!$B$3:$B$953&amp;"",UTILITIES!$G$3:$G$953,""),"IOT",_xlfn.XLOOKUP($K702&amp;"",IOT!$B$3:$B$1012&amp;"",IOT!$H$3:$H$1012,""),"Server",_xlfn.XLOOKUP($K702&amp;"",SERVER!$B$3:$B$1009&amp;"",SERVER!$H$3:$H$1009,""),""),IF(TRIM(_xlpm.srcCat)&lt;&gt;TRIM($J702),"",_xlfn.SWITCH($I702,"Computer",_xlfn.XLOOKUP($K702&amp;"",COMPUTER!$B$3:$B$1009&amp;"",COMPUTER!$K$3:$K$1009,""),"Display",_xlfn.XLOOKUP($K702&amp;"",DISPLAY!$B$3:$B$1000&amp;"",DISPLAY!$L$3:$L$1000,""),"Network Device",_xlfn.XLOOKUP($K702&amp;"",'NETWORK-DEVICES'!$B$3:$B$987&amp;"",'NETWORK-DEVICES'!$K$3:$K$987,""),"Peripheral",_xlfn.XLOOKUP($K702&amp;"",PERIPHERAL!$B$3:$B$954&amp;"",PERIPHERAL!$K$3:$K$954,""),"Utilities",_xlfn.XLOOKUP($K702&amp;"",UTILITIES!$B$3:$B$953&amp;"",UTILITIES!$J$3:$J$953,""),"IOT",_xlfn.XLOOKUP($K702&amp;"",IOT!$B$3:$B$1012&amp;"",IOT!$K$4:$K$1012,""),"Server",_xlfn.XLOOKUP($K702&amp;"",SERVER!$B$3:$B$1009&amp;"",SERVER!$K$3:$K$1009,""),""))))</f>
        <v/>
      </c>
      <c r="O702" s="1" t="str" cm="1">
        <f t="array" ref="O702">IF(OR($K702="",$I702="",$J702=""),"",_xlfn.LET(_xlpm.srcCat,_xlfn.SWITCH($I702,"Computer",_xlfn.XLOOKUP($K702&amp;"",COMPUTER!$B$3:$B$1009&amp;"",COMPUTER!$H$3:$H$1009,""),"Display",_xlfn.XLOOKUP($K702&amp;"",DISPLAY!$B$3:$B$1000&amp;"",DISPLAY!$H$3:$H$1000,""),"Network Device",_xlfn.XLOOKUP($K702&amp;"",'NETWORK-DEVICES'!$B$3:$B$987&amp;"",'NETWORK-DEVICES'!$H$3:$H$987,""),"Peripheral",_xlfn.XLOOKUP($K702&amp;"",PERIPHERAL!$B$3:$B$954&amp;"",PERIPHERAL!$H$3:$H$954,""),"Utilities",_xlfn.XLOOKUP($K702&amp;"",UTILITIES!$B$3:$B$953&amp;"",UTILITIES!$G$3:$G$953,""),"IOT",_xlfn.XLOOKUP($K702&amp;"",IOT!$B$3:$B$1012&amp;"",IOT!$H$3:$H$1012,""),"Server",_xlfn.XLOOKUP($K702&amp;"",SERVER!$B$3:$B$1009&amp;"",SERVER!$H$3:$H$1009,""),""),IF(TRIM(_xlpm.srcCat)&lt;&gt;TRIM($J702),"",_xlfn.SWITCH($I702,"Computer",_xlfn.XLOOKUP($K702&amp;"",COMPUTER!$B$3:$B$1009&amp;"",COMPUTER!$E$3:$E$1009,""),"Display",_xlfn.XLOOKUP($K702&amp;"",DISPLAY!$B$3:$B$1000&amp;"",DISPLAY!$E$3:$E$1000,""),"Network Device",_xlfn.XLOOKUP($K702&amp;"",'NETWORK-DEVICES'!$B$3:$B$987&amp;"",'NETWORK-DEVICES'!$E$3:$E$987,""),"Peripheral",_xlfn.XLOOKUP($K702&amp;"",PERIPHERAL!$B$3:$B$954&amp;"",PERIPHERAL!$E$3:$E$954,""),"Utilities",_xlfn.XLOOKUP($K702&amp;"",UTILITIES!$B$3:$B$953&amp;"",UTILITIES!$E$3:$E$953,""),"IOT",_xlfn.XLOOKUP($K702&amp;"",IOT!$B$3:$B$1012&amp;"",IOT!$E$3:$E$1012,""),"Server",_xlfn.XLOOKUP($K702&amp;"",SERVER!$B$3:$B$1009&amp;"",SERVER!$E$3:$E$1009,""),""))))</f>
        <v/>
      </c>
      <c r="Q702" s="1" t="str" cm="1">
        <f t="array" ref="Q702">IF(OR($K702="",$I702="",$J702=""),"",_xlfn.LET(_xlpm.srcCat,_xlfn.SWITCH($I702,"Computer",_xlfn.XLOOKUP($K702&amp;"",COMPUTER!$B$3:$B$1009&amp;"",COMPUTER!$H$3:$H$1009,""),"Display",_xlfn.XLOOKUP($K702&amp;"",DISPLAY!$B$3:$B$1000&amp;"",DISPLAY!$H$3:$H$1000,""),"Network Device",_xlfn.XLOOKUP($K702&amp;"",'NETWORK-DEVICES'!$B$3:$B$987&amp;"",'NETWORK-DEVICES'!$H$3:$H$987,""),"Peripheral",_xlfn.XLOOKUP($K702&amp;"",PERIPHERAL!$B$3:$B$954&amp;"",PERIPHERAL!$H$3:$H$954,""),"Utilities",_xlfn.XLOOKUP($K702&amp;"",UTILITIES!$B$3:$B$953&amp;"",UTILITIES!$G$3:$G$953,""),"IOT",_xlfn.XLOOKUP($K702&amp;"",IOT!$B$3:$B$1012&amp;"",IOT!$H$3:$H$1012,""),"Server",_xlfn.XLOOKUP($K702&amp;"",SERVER!$B$3:$B$1009&amp;"",SERVER!$H$3:$H$1009,""),""),IF(TRIM(_xlpm.srcCat)&lt;&gt;TRIM($J702),"",_xlfn.SWITCH($I702,"Computer",_xlfn.XLOOKUP($K702&amp;"",COMPUTER!$B$3:$B$1009&amp;"",COMPUTER!$AM$3:$AM$1009,""),"Display",_xlfn.XLOOKUP($K702&amp;"",DISPLAY!$B$3:$B$1000&amp;"",DISPLAY!$V$3:$V$1000,""),"Network Device",_xlfn.XLOOKUP($K702&amp;"",'NETWORK-DEVICES'!$B$3:$B$987&amp;"",'NETWORK-DEVICES'!$AF$3:$AF$987,""),"Peripheral",_xlfn.XLOOKUP($K702&amp;"",PERIPHERAL!$B$3:$B$954&amp;"",PERIPHERAL!$Y$3:$Y$954,""),"Utilities",_xlfn.XLOOKUP($K702&amp;"",UTILITIES!$B$3:$B$953&amp;"",UTILITIES!$O$3:$O$953,""),"IOT",_xlfn.XLOOKUP($K702&amp;"",IOT!$B$3:$B$1012&amp;"",IOT!$AB$3:$AB$1012,""),"Server",_xlfn.XLOOKUP($K702&amp;"",SERVER!$B$3:$B$1009&amp;"",SERVER!$AB$3:$AB$1009,""),""))))</f>
        <v/>
      </c>
      <c r="R702" s="43" t="str">
        <f>IF(tbl_handover[[#This Row],[Asset Code]]="","",COUNTIF(tbl_handover[Asset Code],tbl_handover[[#This Row],[Asset Code]]))</f>
        <v/>
      </c>
    </row>
    <row r="703" spans="1:18" x14ac:dyDescent="0.25">
      <c r="A703" s="43" t="str">
        <f>IF(B703&lt;&gt;"",SUBTOTAL(3,$B$1:B702),"")</f>
        <v/>
      </c>
      <c r="C703" s="74"/>
      <c r="D703" s="74"/>
      <c r="G703" s="1"/>
      <c r="K703" s="42"/>
      <c r="L703" t="str" cm="1">
        <f t="array" ref="L703">IF($K703="","",_xlfn.SWITCH($I703,"Computer",_xlfn.XLOOKUP($K703&amp;"",COMPUTER!$B$3:$B$1009&amp;"",COMPUTER!$I$3:$I$1009,""),"Display",_xlfn.XLOOKUP($K703&amp;"",DISPLAY!$B$3:$B$1000&amp;"",DISPLAY!$J$3:$J$1000,""),"Network Device",_xlfn.XLOOKUP($K703&amp;"",'NETWORK-DEVICES'!$B$3:$B$987&amp;"",'NETWORK-DEVICES'!$I$3:$I$987,""),"Peripheral",_xlfn.XLOOKUP($K703&amp;"",PERIPHERAL!$B$3:$B$954&amp;"",PERIPHERAL!$I$3:$I$954,""),"Utilities",_xlfn.XLOOKUP($K703&amp;"",UTILITIES!$B$3:$B$953&amp;"",UTILITIES!$H$3:$H$953,""),"IOT",_xlfn.XLOOKUP($K703&amp;"",IOT!$B$3:$B$1012&amp;"",IOT!$I$3:$I$1012,""),"SERVER",_xlfn.XLOOKUP($K703&amp;"",SERVER!$B$3:$B$1009&amp;"",SERVER!$I$3:$I$1009,""),""))</f>
        <v/>
      </c>
      <c r="M703" t="str" cm="1">
        <f t="array" ref="M703">IF($K703="","",_xlfn.SWITCH($I703,"Computer",_xlfn.XLOOKUP($K703&amp;"",COMPUTER!$B$3:$B$1009&amp;"",COMPUTER!$J$3:$J$1009,""),"Display",_xlfn.XLOOKUP($K703&amp;"",DISPLAY!$B$3:$B$1000&amp;"",DISPLAY!$K$3:$K$1000,""),"Network Device",_xlfn.XLOOKUP($K703&amp;"",'NETWORK-DEVICES'!$B$3:$B$987&amp;"",'NETWORK-DEVICES'!$I$3:$I$987,""),"Peripheral",_xlfn.XLOOKUP($K703&amp;"",PERIPHERAL!$B$3:$B$954&amp;"",PERIPHERAL!$J$3:$J$954,""),"Utilities",_xlfn.XLOOKUP($K703&amp;"",UTILITIES!$B$3:$B$953&amp;"",UTILITIES!$I$3:$I$953,""),"IOT",_xlfn.XLOOKUP($K703&amp;"",IOT!$B$3:$B$1012&amp;"",IOT!$J$3:$J$1012,""),"Server",_xlfn.XLOOKUP($K703&amp;"",SERVER!$B$3:$B$1009&amp;"",SERVER!$J$3:$J$1009,""),""))</f>
        <v/>
      </c>
      <c r="N703" s="1" t="str" cm="1">
        <f t="array" ref="N703">IF(OR($K703="",$I703="",$J703=""),"",_xlfn.LET(_xlpm.srcCat,_xlfn.SWITCH($I703,"Computer",_xlfn.XLOOKUP($K703&amp;"",COMPUTER!$B$3:$B$1009&amp;"",COMPUTER!$H$3:$H$1009,""),"Display",_xlfn.XLOOKUP($K703&amp;"",DISPLAY!$B$3:$B$1000&amp;"",DISPLAY!$H$3:$H$1000,""),"Network Device",_xlfn.XLOOKUP($K703&amp;"",'NETWORK-DEVICES'!$B$3:$B$987&amp;"",'NETWORK-DEVICES'!$H$3:$H$987,""),"Peripheral",_xlfn.XLOOKUP($K703&amp;"",PERIPHERAL!$B$3:$B$954&amp;"",PERIPHERAL!$H$3:$H$954,""),"Utilities",_xlfn.XLOOKUP($K703&amp;"",UTILITIES!$B$3:$B$953&amp;"",UTILITIES!$G$3:$G$953,""),"IOT",_xlfn.XLOOKUP($K703&amp;"",IOT!$B$3:$B$1012&amp;"",IOT!$H$3:$H$1012,""),"Server",_xlfn.XLOOKUP($K703&amp;"",SERVER!$B$3:$B$1009&amp;"",SERVER!$H$3:$H$1009,""),""),IF(TRIM(_xlpm.srcCat)&lt;&gt;TRIM($J703),"",_xlfn.SWITCH($I703,"Computer",_xlfn.XLOOKUP($K703&amp;"",COMPUTER!$B$3:$B$1009&amp;"",COMPUTER!$K$3:$K$1009,""),"Display",_xlfn.XLOOKUP($K703&amp;"",DISPLAY!$B$3:$B$1000&amp;"",DISPLAY!$L$3:$L$1000,""),"Network Device",_xlfn.XLOOKUP($K703&amp;"",'NETWORK-DEVICES'!$B$3:$B$987&amp;"",'NETWORK-DEVICES'!$K$3:$K$987,""),"Peripheral",_xlfn.XLOOKUP($K703&amp;"",PERIPHERAL!$B$3:$B$954&amp;"",PERIPHERAL!$K$3:$K$954,""),"Utilities",_xlfn.XLOOKUP($K703&amp;"",UTILITIES!$B$3:$B$953&amp;"",UTILITIES!$J$3:$J$953,""),"IOT",_xlfn.XLOOKUP($K703&amp;"",IOT!$B$3:$B$1012&amp;"",IOT!$K$4:$K$1012,""),"Server",_xlfn.XLOOKUP($K703&amp;"",SERVER!$B$3:$B$1009&amp;"",SERVER!$K$3:$K$1009,""),""))))</f>
        <v/>
      </c>
      <c r="O703" s="1" t="str" cm="1">
        <f t="array" ref="O703">IF(OR($K703="",$I703="",$J703=""),"",_xlfn.LET(_xlpm.srcCat,_xlfn.SWITCH($I703,"Computer",_xlfn.XLOOKUP($K703&amp;"",COMPUTER!$B$3:$B$1009&amp;"",COMPUTER!$H$3:$H$1009,""),"Display",_xlfn.XLOOKUP($K703&amp;"",DISPLAY!$B$3:$B$1000&amp;"",DISPLAY!$H$3:$H$1000,""),"Network Device",_xlfn.XLOOKUP($K703&amp;"",'NETWORK-DEVICES'!$B$3:$B$987&amp;"",'NETWORK-DEVICES'!$H$3:$H$987,""),"Peripheral",_xlfn.XLOOKUP($K703&amp;"",PERIPHERAL!$B$3:$B$954&amp;"",PERIPHERAL!$H$3:$H$954,""),"Utilities",_xlfn.XLOOKUP($K703&amp;"",UTILITIES!$B$3:$B$953&amp;"",UTILITIES!$G$3:$G$953,""),"IOT",_xlfn.XLOOKUP($K703&amp;"",IOT!$B$3:$B$1012&amp;"",IOT!$H$3:$H$1012,""),"Server",_xlfn.XLOOKUP($K703&amp;"",SERVER!$B$3:$B$1009&amp;"",SERVER!$H$3:$H$1009,""),""),IF(TRIM(_xlpm.srcCat)&lt;&gt;TRIM($J703),"",_xlfn.SWITCH($I703,"Computer",_xlfn.XLOOKUP($K703&amp;"",COMPUTER!$B$3:$B$1009&amp;"",COMPUTER!$E$3:$E$1009,""),"Display",_xlfn.XLOOKUP($K703&amp;"",DISPLAY!$B$3:$B$1000&amp;"",DISPLAY!$E$3:$E$1000,""),"Network Device",_xlfn.XLOOKUP($K703&amp;"",'NETWORK-DEVICES'!$B$3:$B$987&amp;"",'NETWORK-DEVICES'!$E$3:$E$987,""),"Peripheral",_xlfn.XLOOKUP($K703&amp;"",PERIPHERAL!$B$3:$B$954&amp;"",PERIPHERAL!$E$3:$E$954,""),"Utilities",_xlfn.XLOOKUP($K703&amp;"",UTILITIES!$B$3:$B$953&amp;"",UTILITIES!$E$3:$E$953,""),"IOT",_xlfn.XLOOKUP($K703&amp;"",IOT!$B$3:$B$1012&amp;"",IOT!$E$3:$E$1012,""),"Server",_xlfn.XLOOKUP($K703&amp;"",SERVER!$B$3:$B$1009&amp;"",SERVER!$E$3:$E$1009,""),""))))</f>
        <v/>
      </c>
      <c r="Q703" s="1" t="str" cm="1">
        <f t="array" ref="Q703">IF(OR($K703="",$I703="",$J703=""),"",_xlfn.LET(_xlpm.srcCat,_xlfn.SWITCH($I703,"Computer",_xlfn.XLOOKUP($K703&amp;"",COMPUTER!$B$3:$B$1009&amp;"",COMPUTER!$H$3:$H$1009,""),"Display",_xlfn.XLOOKUP($K703&amp;"",DISPLAY!$B$3:$B$1000&amp;"",DISPLAY!$H$3:$H$1000,""),"Network Device",_xlfn.XLOOKUP($K703&amp;"",'NETWORK-DEVICES'!$B$3:$B$987&amp;"",'NETWORK-DEVICES'!$H$3:$H$987,""),"Peripheral",_xlfn.XLOOKUP($K703&amp;"",PERIPHERAL!$B$3:$B$954&amp;"",PERIPHERAL!$H$3:$H$954,""),"Utilities",_xlfn.XLOOKUP($K703&amp;"",UTILITIES!$B$3:$B$953&amp;"",UTILITIES!$G$3:$G$953,""),"IOT",_xlfn.XLOOKUP($K703&amp;"",IOT!$B$3:$B$1012&amp;"",IOT!$H$3:$H$1012,""),"Server",_xlfn.XLOOKUP($K703&amp;"",SERVER!$B$3:$B$1009&amp;"",SERVER!$H$3:$H$1009,""),""),IF(TRIM(_xlpm.srcCat)&lt;&gt;TRIM($J703),"",_xlfn.SWITCH($I703,"Computer",_xlfn.XLOOKUP($K703&amp;"",COMPUTER!$B$3:$B$1009&amp;"",COMPUTER!$AM$3:$AM$1009,""),"Display",_xlfn.XLOOKUP($K703&amp;"",DISPLAY!$B$3:$B$1000&amp;"",DISPLAY!$V$3:$V$1000,""),"Network Device",_xlfn.XLOOKUP($K703&amp;"",'NETWORK-DEVICES'!$B$3:$B$987&amp;"",'NETWORK-DEVICES'!$AF$3:$AF$987,""),"Peripheral",_xlfn.XLOOKUP($K703&amp;"",PERIPHERAL!$B$3:$B$954&amp;"",PERIPHERAL!$Y$3:$Y$954,""),"Utilities",_xlfn.XLOOKUP($K703&amp;"",UTILITIES!$B$3:$B$953&amp;"",UTILITIES!$O$3:$O$953,""),"IOT",_xlfn.XLOOKUP($K703&amp;"",IOT!$B$3:$B$1012&amp;"",IOT!$AB$3:$AB$1012,""),"Server",_xlfn.XLOOKUP($K703&amp;"",SERVER!$B$3:$B$1009&amp;"",SERVER!$AB$3:$AB$1009,""),""))))</f>
        <v/>
      </c>
      <c r="R703" s="43" t="str">
        <f>IF(tbl_handover[[#This Row],[Asset Code]]="","",COUNTIF(tbl_handover[Asset Code],tbl_handover[[#This Row],[Asset Code]]))</f>
        <v/>
      </c>
    </row>
    <row r="704" spans="1:18" x14ac:dyDescent="0.25">
      <c r="A704" s="43" t="str">
        <f>IF(B704&lt;&gt;"",SUBTOTAL(3,$B$1:B703),"")</f>
        <v/>
      </c>
      <c r="C704" s="74"/>
      <c r="D704" s="74"/>
      <c r="G704" s="1"/>
      <c r="K704" s="42"/>
      <c r="L704" t="str" cm="1">
        <f t="array" ref="L704">IF($K704="","",_xlfn.SWITCH($I704,"Computer",_xlfn.XLOOKUP($K704&amp;"",COMPUTER!$B$3:$B$1009&amp;"",COMPUTER!$I$3:$I$1009,""),"Display",_xlfn.XLOOKUP($K704&amp;"",DISPLAY!$B$3:$B$1000&amp;"",DISPLAY!$J$3:$J$1000,""),"Network Device",_xlfn.XLOOKUP($K704&amp;"",'NETWORK-DEVICES'!$B$3:$B$987&amp;"",'NETWORK-DEVICES'!$I$3:$I$987,""),"Peripheral",_xlfn.XLOOKUP($K704&amp;"",PERIPHERAL!$B$3:$B$954&amp;"",PERIPHERAL!$I$3:$I$954,""),"Utilities",_xlfn.XLOOKUP($K704&amp;"",UTILITIES!$B$3:$B$953&amp;"",UTILITIES!$H$3:$H$953,""),"IOT",_xlfn.XLOOKUP($K704&amp;"",IOT!$B$3:$B$1012&amp;"",IOT!$I$3:$I$1012,""),"SERVER",_xlfn.XLOOKUP($K704&amp;"",SERVER!$B$3:$B$1009&amp;"",SERVER!$I$3:$I$1009,""),""))</f>
        <v/>
      </c>
      <c r="M704" t="str" cm="1">
        <f t="array" ref="M704">IF($K704="","",_xlfn.SWITCH($I704,"Computer",_xlfn.XLOOKUP($K704&amp;"",COMPUTER!$B$3:$B$1009&amp;"",COMPUTER!$J$3:$J$1009,""),"Display",_xlfn.XLOOKUP($K704&amp;"",DISPLAY!$B$3:$B$1000&amp;"",DISPLAY!$K$3:$K$1000,""),"Network Device",_xlfn.XLOOKUP($K704&amp;"",'NETWORK-DEVICES'!$B$3:$B$987&amp;"",'NETWORK-DEVICES'!$I$3:$I$987,""),"Peripheral",_xlfn.XLOOKUP($K704&amp;"",PERIPHERAL!$B$3:$B$954&amp;"",PERIPHERAL!$J$3:$J$954,""),"Utilities",_xlfn.XLOOKUP($K704&amp;"",UTILITIES!$B$3:$B$953&amp;"",UTILITIES!$I$3:$I$953,""),"IOT",_xlfn.XLOOKUP($K704&amp;"",IOT!$B$3:$B$1012&amp;"",IOT!$J$3:$J$1012,""),"Server",_xlfn.XLOOKUP($K704&amp;"",SERVER!$B$3:$B$1009&amp;"",SERVER!$J$3:$J$1009,""),""))</f>
        <v/>
      </c>
      <c r="N704" s="1" t="str" cm="1">
        <f t="array" ref="N704">IF(OR($K704="",$I704="",$J704=""),"",_xlfn.LET(_xlpm.srcCat,_xlfn.SWITCH($I704,"Computer",_xlfn.XLOOKUP($K704&amp;"",COMPUTER!$B$3:$B$1009&amp;"",COMPUTER!$H$3:$H$1009,""),"Display",_xlfn.XLOOKUP($K704&amp;"",DISPLAY!$B$3:$B$1000&amp;"",DISPLAY!$H$3:$H$1000,""),"Network Device",_xlfn.XLOOKUP($K704&amp;"",'NETWORK-DEVICES'!$B$3:$B$987&amp;"",'NETWORK-DEVICES'!$H$3:$H$987,""),"Peripheral",_xlfn.XLOOKUP($K704&amp;"",PERIPHERAL!$B$3:$B$954&amp;"",PERIPHERAL!$H$3:$H$954,""),"Utilities",_xlfn.XLOOKUP($K704&amp;"",UTILITIES!$B$3:$B$953&amp;"",UTILITIES!$G$3:$G$953,""),"IOT",_xlfn.XLOOKUP($K704&amp;"",IOT!$B$3:$B$1012&amp;"",IOT!$H$3:$H$1012,""),"Server",_xlfn.XLOOKUP($K704&amp;"",SERVER!$B$3:$B$1009&amp;"",SERVER!$H$3:$H$1009,""),""),IF(TRIM(_xlpm.srcCat)&lt;&gt;TRIM($J704),"",_xlfn.SWITCH($I704,"Computer",_xlfn.XLOOKUP($K704&amp;"",COMPUTER!$B$3:$B$1009&amp;"",COMPUTER!$K$3:$K$1009,""),"Display",_xlfn.XLOOKUP($K704&amp;"",DISPLAY!$B$3:$B$1000&amp;"",DISPLAY!$L$3:$L$1000,""),"Network Device",_xlfn.XLOOKUP($K704&amp;"",'NETWORK-DEVICES'!$B$3:$B$987&amp;"",'NETWORK-DEVICES'!$K$3:$K$987,""),"Peripheral",_xlfn.XLOOKUP($K704&amp;"",PERIPHERAL!$B$3:$B$954&amp;"",PERIPHERAL!$K$3:$K$954,""),"Utilities",_xlfn.XLOOKUP($K704&amp;"",UTILITIES!$B$3:$B$953&amp;"",UTILITIES!$J$3:$J$953,""),"IOT",_xlfn.XLOOKUP($K704&amp;"",IOT!$B$3:$B$1012&amp;"",IOT!$K$4:$K$1012,""),"Server",_xlfn.XLOOKUP($K704&amp;"",SERVER!$B$3:$B$1009&amp;"",SERVER!$K$3:$K$1009,""),""))))</f>
        <v/>
      </c>
      <c r="O704" s="1" t="str" cm="1">
        <f t="array" ref="O704">IF(OR($K704="",$I704="",$J704=""),"",_xlfn.LET(_xlpm.srcCat,_xlfn.SWITCH($I704,"Computer",_xlfn.XLOOKUP($K704&amp;"",COMPUTER!$B$3:$B$1009&amp;"",COMPUTER!$H$3:$H$1009,""),"Display",_xlfn.XLOOKUP($K704&amp;"",DISPLAY!$B$3:$B$1000&amp;"",DISPLAY!$H$3:$H$1000,""),"Network Device",_xlfn.XLOOKUP($K704&amp;"",'NETWORK-DEVICES'!$B$3:$B$987&amp;"",'NETWORK-DEVICES'!$H$3:$H$987,""),"Peripheral",_xlfn.XLOOKUP($K704&amp;"",PERIPHERAL!$B$3:$B$954&amp;"",PERIPHERAL!$H$3:$H$954,""),"Utilities",_xlfn.XLOOKUP($K704&amp;"",UTILITIES!$B$3:$B$953&amp;"",UTILITIES!$G$3:$G$953,""),"IOT",_xlfn.XLOOKUP($K704&amp;"",IOT!$B$3:$B$1012&amp;"",IOT!$H$3:$H$1012,""),"Server",_xlfn.XLOOKUP($K704&amp;"",SERVER!$B$3:$B$1009&amp;"",SERVER!$H$3:$H$1009,""),""),IF(TRIM(_xlpm.srcCat)&lt;&gt;TRIM($J704),"",_xlfn.SWITCH($I704,"Computer",_xlfn.XLOOKUP($K704&amp;"",COMPUTER!$B$3:$B$1009&amp;"",COMPUTER!$E$3:$E$1009,""),"Display",_xlfn.XLOOKUP($K704&amp;"",DISPLAY!$B$3:$B$1000&amp;"",DISPLAY!$E$3:$E$1000,""),"Network Device",_xlfn.XLOOKUP($K704&amp;"",'NETWORK-DEVICES'!$B$3:$B$987&amp;"",'NETWORK-DEVICES'!$E$3:$E$987,""),"Peripheral",_xlfn.XLOOKUP($K704&amp;"",PERIPHERAL!$B$3:$B$954&amp;"",PERIPHERAL!$E$3:$E$954,""),"Utilities",_xlfn.XLOOKUP($K704&amp;"",UTILITIES!$B$3:$B$953&amp;"",UTILITIES!$E$3:$E$953,""),"IOT",_xlfn.XLOOKUP($K704&amp;"",IOT!$B$3:$B$1012&amp;"",IOT!$E$3:$E$1012,""),"Server",_xlfn.XLOOKUP($K704&amp;"",SERVER!$B$3:$B$1009&amp;"",SERVER!$E$3:$E$1009,""),""))))</f>
        <v/>
      </c>
      <c r="Q704" s="1" t="str" cm="1">
        <f t="array" ref="Q704">IF(OR($K704="",$I704="",$J704=""),"",_xlfn.LET(_xlpm.srcCat,_xlfn.SWITCH($I704,"Computer",_xlfn.XLOOKUP($K704&amp;"",COMPUTER!$B$3:$B$1009&amp;"",COMPUTER!$H$3:$H$1009,""),"Display",_xlfn.XLOOKUP($K704&amp;"",DISPLAY!$B$3:$B$1000&amp;"",DISPLAY!$H$3:$H$1000,""),"Network Device",_xlfn.XLOOKUP($K704&amp;"",'NETWORK-DEVICES'!$B$3:$B$987&amp;"",'NETWORK-DEVICES'!$H$3:$H$987,""),"Peripheral",_xlfn.XLOOKUP($K704&amp;"",PERIPHERAL!$B$3:$B$954&amp;"",PERIPHERAL!$H$3:$H$954,""),"Utilities",_xlfn.XLOOKUP($K704&amp;"",UTILITIES!$B$3:$B$953&amp;"",UTILITIES!$G$3:$G$953,""),"IOT",_xlfn.XLOOKUP($K704&amp;"",IOT!$B$3:$B$1012&amp;"",IOT!$H$3:$H$1012,""),"Server",_xlfn.XLOOKUP($K704&amp;"",SERVER!$B$3:$B$1009&amp;"",SERVER!$H$3:$H$1009,""),""),IF(TRIM(_xlpm.srcCat)&lt;&gt;TRIM($J704),"",_xlfn.SWITCH($I704,"Computer",_xlfn.XLOOKUP($K704&amp;"",COMPUTER!$B$3:$B$1009&amp;"",COMPUTER!$AM$3:$AM$1009,""),"Display",_xlfn.XLOOKUP($K704&amp;"",DISPLAY!$B$3:$B$1000&amp;"",DISPLAY!$V$3:$V$1000,""),"Network Device",_xlfn.XLOOKUP($K704&amp;"",'NETWORK-DEVICES'!$B$3:$B$987&amp;"",'NETWORK-DEVICES'!$AF$3:$AF$987,""),"Peripheral",_xlfn.XLOOKUP($K704&amp;"",PERIPHERAL!$B$3:$B$954&amp;"",PERIPHERAL!$Y$3:$Y$954,""),"Utilities",_xlfn.XLOOKUP($K704&amp;"",UTILITIES!$B$3:$B$953&amp;"",UTILITIES!$O$3:$O$953,""),"IOT",_xlfn.XLOOKUP($K704&amp;"",IOT!$B$3:$B$1012&amp;"",IOT!$AB$3:$AB$1012,""),"Server",_xlfn.XLOOKUP($K704&amp;"",SERVER!$B$3:$B$1009&amp;"",SERVER!$AB$3:$AB$1009,""),""))))</f>
        <v/>
      </c>
      <c r="R704" s="43" t="str">
        <f>IF(tbl_handover[[#This Row],[Asset Code]]="","",COUNTIF(tbl_handover[Asset Code],tbl_handover[[#This Row],[Asset Code]]))</f>
        <v/>
      </c>
    </row>
    <row r="705" spans="1:18" x14ac:dyDescent="0.25">
      <c r="A705" s="43" t="str">
        <f>IF(B705&lt;&gt;"",SUBTOTAL(3,$B$1:B704),"")</f>
        <v/>
      </c>
      <c r="C705" s="74"/>
      <c r="D705" s="74"/>
      <c r="G705" s="1"/>
      <c r="K705" s="42"/>
      <c r="L705" t="str" cm="1">
        <f t="array" ref="L705">IF($K705="","",_xlfn.SWITCH($I705,"Computer",_xlfn.XLOOKUP($K705&amp;"",COMPUTER!$B$3:$B$1009&amp;"",COMPUTER!$I$3:$I$1009,""),"Display",_xlfn.XLOOKUP($K705&amp;"",DISPLAY!$B$3:$B$1000&amp;"",DISPLAY!$J$3:$J$1000,""),"Network Device",_xlfn.XLOOKUP($K705&amp;"",'NETWORK-DEVICES'!$B$3:$B$987&amp;"",'NETWORK-DEVICES'!$I$3:$I$987,""),"Peripheral",_xlfn.XLOOKUP($K705&amp;"",PERIPHERAL!$B$3:$B$954&amp;"",PERIPHERAL!$I$3:$I$954,""),"Utilities",_xlfn.XLOOKUP($K705&amp;"",UTILITIES!$B$3:$B$953&amp;"",UTILITIES!$H$3:$H$953,""),"IOT",_xlfn.XLOOKUP($K705&amp;"",IOT!$B$3:$B$1012&amp;"",IOT!$I$3:$I$1012,""),"SERVER",_xlfn.XLOOKUP($K705&amp;"",SERVER!$B$3:$B$1009&amp;"",SERVER!$I$3:$I$1009,""),""))</f>
        <v/>
      </c>
      <c r="M705" t="str" cm="1">
        <f t="array" ref="M705">IF($K705="","",_xlfn.SWITCH($I705,"Computer",_xlfn.XLOOKUP($K705&amp;"",COMPUTER!$B$3:$B$1009&amp;"",COMPUTER!$J$3:$J$1009,""),"Display",_xlfn.XLOOKUP($K705&amp;"",DISPLAY!$B$3:$B$1000&amp;"",DISPLAY!$K$3:$K$1000,""),"Network Device",_xlfn.XLOOKUP($K705&amp;"",'NETWORK-DEVICES'!$B$3:$B$987&amp;"",'NETWORK-DEVICES'!$I$3:$I$987,""),"Peripheral",_xlfn.XLOOKUP($K705&amp;"",PERIPHERAL!$B$3:$B$954&amp;"",PERIPHERAL!$J$3:$J$954,""),"Utilities",_xlfn.XLOOKUP($K705&amp;"",UTILITIES!$B$3:$B$953&amp;"",UTILITIES!$I$3:$I$953,""),"IOT",_xlfn.XLOOKUP($K705&amp;"",IOT!$B$3:$B$1012&amp;"",IOT!$J$3:$J$1012,""),"Server",_xlfn.XLOOKUP($K705&amp;"",SERVER!$B$3:$B$1009&amp;"",SERVER!$J$3:$J$1009,""),""))</f>
        <v/>
      </c>
      <c r="N705" s="1" t="str" cm="1">
        <f t="array" ref="N705">IF(OR($K705="",$I705="",$J705=""),"",_xlfn.LET(_xlpm.srcCat,_xlfn.SWITCH($I705,"Computer",_xlfn.XLOOKUP($K705&amp;"",COMPUTER!$B$3:$B$1009&amp;"",COMPUTER!$H$3:$H$1009,""),"Display",_xlfn.XLOOKUP($K705&amp;"",DISPLAY!$B$3:$B$1000&amp;"",DISPLAY!$H$3:$H$1000,""),"Network Device",_xlfn.XLOOKUP($K705&amp;"",'NETWORK-DEVICES'!$B$3:$B$987&amp;"",'NETWORK-DEVICES'!$H$3:$H$987,""),"Peripheral",_xlfn.XLOOKUP($K705&amp;"",PERIPHERAL!$B$3:$B$954&amp;"",PERIPHERAL!$H$3:$H$954,""),"Utilities",_xlfn.XLOOKUP($K705&amp;"",UTILITIES!$B$3:$B$953&amp;"",UTILITIES!$G$3:$G$953,""),"IOT",_xlfn.XLOOKUP($K705&amp;"",IOT!$B$3:$B$1012&amp;"",IOT!$H$3:$H$1012,""),"Server",_xlfn.XLOOKUP($K705&amp;"",SERVER!$B$3:$B$1009&amp;"",SERVER!$H$3:$H$1009,""),""),IF(TRIM(_xlpm.srcCat)&lt;&gt;TRIM($J705),"",_xlfn.SWITCH($I705,"Computer",_xlfn.XLOOKUP($K705&amp;"",COMPUTER!$B$3:$B$1009&amp;"",COMPUTER!$K$3:$K$1009,""),"Display",_xlfn.XLOOKUP($K705&amp;"",DISPLAY!$B$3:$B$1000&amp;"",DISPLAY!$L$3:$L$1000,""),"Network Device",_xlfn.XLOOKUP($K705&amp;"",'NETWORK-DEVICES'!$B$3:$B$987&amp;"",'NETWORK-DEVICES'!$K$3:$K$987,""),"Peripheral",_xlfn.XLOOKUP($K705&amp;"",PERIPHERAL!$B$3:$B$954&amp;"",PERIPHERAL!$K$3:$K$954,""),"Utilities",_xlfn.XLOOKUP($K705&amp;"",UTILITIES!$B$3:$B$953&amp;"",UTILITIES!$J$3:$J$953,""),"IOT",_xlfn.XLOOKUP($K705&amp;"",IOT!$B$3:$B$1012&amp;"",IOT!$K$4:$K$1012,""),"Server",_xlfn.XLOOKUP($K705&amp;"",SERVER!$B$3:$B$1009&amp;"",SERVER!$K$3:$K$1009,""),""))))</f>
        <v/>
      </c>
      <c r="O705" s="1" t="str" cm="1">
        <f t="array" ref="O705">IF(OR($K705="",$I705="",$J705=""),"",_xlfn.LET(_xlpm.srcCat,_xlfn.SWITCH($I705,"Computer",_xlfn.XLOOKUP($K705&amp;"",COMPUTER!$B$3:$B$1009&amp;"",COMPUTER!$H$3:$H$1009,""),"Display",_xlfn.XLOOKUP($K705&amp;"",DISPLAY!$B$3:$B$1000&amp;"",DISPLAY!$H$3:$H$1000,""),"Network Device",_xlfn.XLOOKUP($K705&amp;"",'NETWORK-DEVICES'!$B$3:$B$987&amp;"",'NETWORK-DEVICES'!$H$3:$H$987,""),"Peripheral",_xlfn.XLOOKUP($K705&amp;"",PERIPHERAL!$B$3:$B$954&amp;"",PERIPHERAL!$H$3:$H$954,""),"Utilities",_xlfn.XLOOKUP($K705&amp;"",UTILITIES!$B$3:$B$953&amp;"",UTILITIES!$G$3:$G$953,""),"IOT",_xlfn.XLOOKUP($K705&amp;"",IOT!$B$3:$B$1012&amp;"",IOT!$H$3:$H$1012,""),"Server",_xlfn.XLOOKUP($K705&amp;"",SERVER!$B$3:$B$1009&amp;"",SERVER!$H$3:$H$1009,""),""),IF(TRIM(_xlpm.srcCat)&lt;&gt;TRIM($J705),"",_xlfn.SWITCH($I705,"Computer",_xlfn.XLOOKUP($K705&amp;"",COMPUTER!$B$3:$B$1009&amp;"",COMPUTER!$E$3:$E$1009,""),"Display",_xlfn.XLOOKUP($K705&amp;"",DISPLAY!$B$3:$B$1000&amp;"",DISPLAY!$E$3:$E$1000,""),"Network Device",_xlfn.XLOOKUP($K705&amp;"",'NETWORK-DEVICES'!$B$3:$B$987&amp;"",'NETWORK-DEVICES'!$E$3:$E$987,""),"Peripheral",_xlfn.XLOOKUP($K705&amp;"",PERIPHERAL!$B$3:$B$954&amp;"",PERIPHERAL!$E$3:$E$954,""),"Utilities",_xlfn.XLOOKUP($K705&amp;"",UTILITIES!$B$3:$B$953&amp;"",UTILITIES!$E$3:$E$953,""),"IOT",_xlfn.XLOOKUP($K705&amp;"",IOT!$B$3:$B$1012&amp;"",IOT!$E$3:$E$1012,""),"Server",_xlfn.XLOOKUP($K705&amp;"",SERVER!$B$3:$B$1009&amp;"",SERVER!$E$3:$E$1009,""),""))))</f>
        <v/>
      </c>
      <c r="Q705" s="1" t="str" cm="1">
        <f t="array" ref="Q705">IF(OR($K705="",$I705="",$J705=""),"",_xlfn.LET(_xlpm.srcCat,_xlfn.SWITCH($I705,"Computer",_xlfn.XLOOKUP($K705&amp;"",COMPUTER!$B$3:$B$1009&amp;"",COMPUTER!$H$3:$H$1009,""),"Display",_xlfn.XLOOKUP($K705&amp;"",DISPLAY!$B$3:$B$1000&amp;"",DISPLAY!$H$3:$H$1000,""),"Network Device",_xlfn.XLOOKUP($K705&amp;"",'NETWORK-DEVICES'!$B$3:$B$987&amp;"",'NETWORK-DEVICES'!$H$3:$H$987,""),"Peripheral",_xlfn.XLOOKUP($K705&amp;"",PERIPHERAL!$B$3:$B$954&amp;"",PERIPHERAL!$H$3:$H$954,""),"Utilities",_xlfn.XLOOKUP($K705&amp;"",UTILITIES!$B$3:$B$953&amp;"",UTILITIES!$G$3:$G$953,""),"IOT",_xlfn.XLOOKUP($K705&amp;"",IOT!$B$3:$B$1012&amp;"",IOT!$H$3:$H$1012,""),"Server",_xlfn.XLOOKUP($K705&amp;"",SERVER!$B$3:$B$1009&amp;"",SERVER!$H$3:$H$1009,""),""),IF(TRIM(_xlpm.srcCat)&lt;&gt;TRIM($J705),"",_xlfn.SWITCH($I705,"Computer",_xlfn.XLOOKUP($K705&amp;"",COMPUTER!$B$3:$B$1009&amp;"",COMPUTER!$AM$3:$AM$1009,""),"Display",_xlfn.XLOOKUP($K705&amp;"",DISPLAY!$B$3:$B$1000&amp;"",DISPLAY!$V$3:$V$1000,""),"Network Device",_xlfn.XLOOKUP($K705&amp;"",'NETWORK-DEVICES'!$B$3:$B$987&amp;"",'NETWORK-DEVICES'!$AF$3:$AF$987,""),"Peripheral",_xlfn.XLOOKUP($K705&amp;"",PERIPHERAL!$B$3:$B$954&amp;"",PERIPHERAL!$Y$3:$Y$954,""),"Utilities",_xlfn.XLOOKUP($K705&amp;"",UTILITIES!$B$3:$B$953&amp;"",UTILITIES!$O$3:$O$953,""),"IOT",_xlfn.XLOOKUP($K705&amp;"",IOT!$B$3:$B$1012&amp;"",IOT!$AB$3:$AB$1012,""),"Server",_xlfn.XLOOKUP($K705&amp;"",SERVER!$B$3:$B$1009&amp;"",SERVER!$AB$3:$AB$1009,""),""))))</f>
        <v/>
      </c>
      <c r="R705" s="43" t="str">
        <f>IF(tbl_handover[[#This Row],[Asset Code]]="","",COUNTIF(tbl_handover[Asset Code],tbl_handover[[#This Row],[Asset Code]]))</f>
        <v/>
      </c>
    </row>
    <row r="706" spans="1:18" x14ac:dyDescent="0.25">
      <c r="A706" s="43" t="str">
        <f>IF(B706&lt;&gt;"",SUBTOTAL(3,$B$1:B705),"")</f>
        <v/>
      </c>
      <c r="C706" s="74"/>
      <c r="D706" s="74"/>
      <c r="G706" s="1"/>
      <c r="K706" s="42"/>
      <c r="L706" t="str" cm="1">
        <f t="array" ref="L706">IF($K706="","",_xlfn.SWITCH($I706,"Computer",_xlfn.XLOOKUP($K706&amp;"",COMPUTER!$B$3:$B$1009&amp;"",COMPUTER!$I$3:$I$1009,""),"Display",_xlfn.XLOOKUP($K706&amp;"",DISPLAY!$B$3:$B$1000&amp;"",DISPLAY!$J$3:$J$1000,""),"Network Device",_xlfn.XLOOKUP($K706&amp;"",'NETWORK-DEVICES'!$B$3:$B$987&amp;"",'NETWORK-DEVICES'!$I$3:$I$987,""),"Peripheral",_xlfn.XLOOKUP($K706&amp;"",PERIPHERAL!$B$3:$B$954&amp;"",PERIPHERAL!$I$3:$I$954,""),"Utilities",_xlfn.XLOOKUP($K706&amp;"",UTILITIES!$B$3:$B$953&amp;"",UTILITIES!$H$3:$H$953,""),"IOT",_xlfn.XLOOKUP($K706&amp;"",IOT!$B$3:$B$1012&amp;"",IOT!$I$3:$I$1012,""),"SERVER",_xlfn.XLOOKUP($K706&amp;"",SERVER!$B$3:$B$1009&amp;"",SERVER!$I$3:$I$1009,""),""))</f>
        <v/>
      </c>
      <c r="M706" t="str" cm="1">
        <f t="array" ref="M706">IF($K706="","",_xlfn.SWITCH($I706,"Computer",_xlfn.XLOOKUP($K706&amp;"",COMPUTER!$B$3:$B$1009&amp;"",COMPUTER!$J$3:$J$1009,""),"Display",_xlfn.XLOOKUP($K706&amp;"",DISPLAY!$B$3:$B$1000&amp;"",DISPLAY!$K$3:$K$1000,""),"Network Device",_xlfn.XLOOKUP($K706&amp;"",'NETWORK-DEVICES'!$B$3:$B$987&amp;"",'NETWORK-DEVICES'!$I$3:$I$987,""),"Peripheral",_xlfn.XLOOKUP($K706&amp;"",PERIPHERAL!$B$3:$B$954&amp;"",PERIPHERAL!$J$3:$J$954,""),"Utilities",_xlfn.XLOOKUP($K706&amp;"",UTILITIES!$B$3:$B$953&amp;"",UTILITIES!$I$3:$I$953,""),"IOT",_xlfn.XLOOKUP($K706&amp;"",IOT!$B$3:$B$1012&amp;"",IOT!$J$3:$J$1012,""),"Server",_xlfn.XLOOKUP($K706&amp;"",SERVER!$B$3:$B$1009&amp;"",SERVER!$J$3:$J$1009,""),""))</f>
        <v/>
      </c>
      <c r="N706" s="1" t="str" cm="1">
        <f t="array" ref="N706">IF(OR($K706="",$I706="",$J706=""),"",_xlfn.LET(_xlpm.srcCat,_xlfn.SWITCH($I706,"Computer",_xlfn.XLOOKUP($K706&amp;"",COMPUTER!$B$3:$B$1009&amp;"",COMPUTER!$H$3:$H$1009,""),"Display",_xlfn.XLOOKUP($K706&amp;"",DISPLAY!$B$3:$B$1000&amp;"",DISPLAY!$H$3:$H$1000,""),"Network Device",_xlfn.XLOOKUP($K706&amp;"",'NETWORK-DEVICES'!$B$3:$B$987&amp;"",'NETWORK-DEVICES'!$H$3:$H$987,""),"Peripheral",_xlfn.XLOOKUP($K706&amp;"",PERIPHERAL!$B$3:$B$954&amp;"",PERIPHERAL!$H$3:$H$954,""),"Utilities",_xlfn.XLOOKUP($K706&amp;"",UTILITIES!$B$3:$B$953&amp;"",UTILITIES!$G$3:$G$953,""),"IOT",_xlfn.XLOOKUP($K706&amp;"",IOT!$B$3:$B$1012&amp;"",IOT!$H$3:$H$1012,""),"Server",_xlfn.XLOOKUP($K706&amp;"",SERVER!$B$3:$B$1009&amp;"",SERVER!$H$3:$H$1009,""),""),IF(TRIM(_xlpm.srcCat)&lt;&gt;TRIM($J706),"",_xlfn.SWITCH($I706,"Computer",_xlfn.XLOOKUP($K706&amp;"",COMPUTER!$B$3:$B$1009&amp;"",COMPUTER!$K$3:$K$1009,""),"Display",_xlfn.XLOOKUP($K706&amp;"",DISPLAY!$B$3:$B$1000&amp;"",DISPLAY!$L$3:$L$1000,""),"Network Device",_xlfn.XLOOKUP($K706&amp;"",'NETWORK-DEVICES'!$B$3:$B$987&amp;"",'NETWORK-DEVICES'!$K$3:$K$987,""),"Peripheral",_xlfn.XLOOKUP($K706&amp;"",PERIPHERAL!$B$3:$B$954&amp;"",PERIPHERAL!$K$3:$K$954,""),"Utilities",_xlfn.XLOOKUP($K706&amp;"",UTILITIES!$B$3:$B$953&amp;"",UTILITIES!$J$3:$J$953,""),"IOT",_xlfn.XLOOKUP($K706&amp;"",IOT!$B$3:$B$1012&amp;"",IOT!$K$4:$K$1012,""),"Server",_xlfn.XLOOKUP($K706&amp;"",SERVER!$B$3:$B$1009&amp;"",SERVER!$K$3:$K$1009,""),""))))</f>
        <v/>
      </c>
      <c r="O706" s="1" t="str" cm="1">
        <f t="array" ref="O706">IF(OR($K706="",$I706="",$J706=""),"",_xlfn.LET(_xlpm.srcCat,_xlfn.SWITCH($I706,"Computer",_xlfn.XLOOKUP($K706&amp;"",COMPUTER!$B$3:$B$1009&amp;"",COMPUTER!$H$3:$H$1009,""),"Display",_xlfn.XLOOKUP($K706&amp;"",DISPLAY!$B$3:$B$1000&amp;"",DISPLAY!$H$3:$H$1000,""),"Network Device",_xlfn.XLOOKUP($K706&amp;"",'NETWORK-DEVICES'!$B$3:$B$987&amp;"",'NETWORK-DEVICES'!$H$3:$H$987,""),"Peripheral",_xlfn.XLOOKUP($K706&amp;"",PERIPHERAL!$B$3:$B$954&amp;"",PERIPHERAL!$H$3:$H$954,""),"Utilities",_xlfn.XLOOKUP($K706&amp;"",UTILITIES!$B$3:$B$953&amp;"",UTILITIES!$G$3:$G$953,""),"IOT",_xlfn.XLOOKUP($K706&amp;"",IOT!$B$3:$B$1012&amp;"",IOT!$H$3:$H$1012,""),"Server",_xlfn.XLOOKUP($K706&amp;"",SERVER!$B$3:$B$1009&amp;"",SERVER!$H$3:$H$1009,""),""),IF(TRIM(_xlpm.srcCat)&lt;&gt;TRIM($J706),"",_xlfn.SWITCH($I706,"Computer",_xlfn.XLOOKUP($K706&amp;"",COMPUTER!$B$3:$B$1009&amp;"",COMPUTER!$E$3:$E$1009,""),"Display",_xlfn.XLOOKUP($K706&amp;"",DISPLAY!$B$3:$B$1000&amp;"",DISPLAY!$E$3:$E$1000,""),"Network Device",_xlfn.XLOOKUP($K706&amp;"",'NETWORK-DEVICES'!$B$3:$B$987&amp;"",'NETWORK-DEVICES'!$E$3:$E$987,""),"Peripheral",_xlfn.XLOOKUP($K706&amp;"",PERIPHERAL!$B$3:$B$954&amp;"",PERIPHERAL!$E$3:$E$954,""),"Utilities",_xlfn.XLOOKUP($K706&amp;"",UTILITIES!$B$3:$B$953&amp;"",UTILITIES!$E$3:$E$953,""),"IOT",_xlfn.XLOOKUP($K706&amp;"",IOT!$B$3:$B$1012&amp;"",IOT!$E$3:$E$1012,""),"Server",_xlfn.XLOOKUP($K706&amp;"",SERVER!$B$3:$B$1009&amp;"",SERVER!$E$3:$E$1009,""),""))))</f>
        <v/>
      </c>
      <c r="Q706" s="1" t="str" cm="1">
        <f t="array" ref="Q706">IF(OR($K706="",$I706="",$J706=""),"",_xlfn.LET(_xlpm.srcCat,_xlfn.SWITCH($I706,"Computer",_xlfn.XLOOKUP($K706&amp;"",COMPUTER!$B$3:$B$1009&amp;"",COMPUTER!$H$3:$H$1009,""),"Display",_xlfn.XLOOKUP($K706&amp;"",DISPLAY!$B$3:$B$1000&amp;"",DISPLAY!$H$3:$H$1000,""),"Network Device",_xlfn.XLOOKUP($K706&amp;"",'NETWORK-DEVICES'!$B$3:$B$987&amp;"",'NETWORK-DEVICES'!$H$3:$H$987,""),"Peripheral",_xlfn.XLOOKUP($K706&amp;"",PERIPHERAL!$B$3:$B$954&amp;"",PERIPHERAL!$H$3:$H$954,""),"Utilities",_xlfn.XLOOKUP($K706&amp;"",UTILITIES!$B$3:$B$953&amp;"",UTILITIES!$G$3:$G$953,""),"IOT",_xlfn.XLOOKUP($K706&amp;"",IOT!$B$3:$B$1012&amp;"",IOT!$H$3:$H$1012,""),"Server",_xlfn.XLOOKUP($K706&amp;"",SERVER!$B$3:$B$1009&amp;"",SERVER!$H$3:$H$1009,""),""),IF(TRIM(_xlpm.srcCat)&lt;&gt;TRIM($J706),"",_xlfn.SWITCH($I706,"Computer",_xlfn.XLOOKUP($K706&amp;"",COMPUTER!$B$3:$B$1009&amp;"",COMPUTER!$AM$3:$AM$1009,""),"Display",_xlfn.XLOOKUP($K706&amp;"",DISPLAY!$B$3:$B$1000&amp;"",DISPLAY!$V$3:$V$1000,""),"Network Device",_xlfn.XLOOKUP($K706&amp;"",'NETWORK-DEVICES'!$B$3:$B$987&amp;"",'NETWORK-DEVICES'!$AF$3:$AF$987,""),"Peripheral",_xlfn.XLOOKUP($K706&amp;"",PERIPHERAL!$B$3:$B$954&amp;"",PERIPHERAL!$Y$3:$Y$954,""),"Utilities",_xlfn.XLOOKUP($K706&amp;"",UTILITIES!$B$3:$B$953&amp;"",UTILITIES!$O$3:$O$953,""),"IOT",_xlfn.XLOOKUP($K706&amp;"",IOT!$B$3:$B$1012&amp;"",IOT!$AB$3:$AB$1012,""),"Server",_xlfn.XLOOKUP($K706&amp;"",SERVER!$B$3:$B$1009&amp;"",SERVER!$AB$3:$AB$1009,""),""))))</f>
        <v/>
      </c>
      <c r="R706" s="43" t="str">
        <f>IF(tbl_handover[[#This Row],[Asset Code]]="","",COUNTIF(tbl_handover[Asset Code],tbl_handover[[#This Row],[Asset Code]]))</f>
        <v/>
      </c>
    </row>
    <row r="707" spans="1:18" x14ac:dyDescent="0.25">
      <c r="A707" s="43" t="str">
        <f>IF(B707&lt;&gt;"",SUBTOTAL(3,$B$1:B706),"")</f>
        <v/>
      </c>
      <c r="C707" s="74"/>
      <c r="D707" s="74"/>
      <c r="G707" s="1"/>
      <c r="K707" s="42"/>
      <c r="L707" t="str" cm="1">
        <f t="array" ref="L707">IF($K707="","",_xlfn.SWITCH($I707,"Computer",_xlfn.XLOOKUP($K707&amp;"",COMPUTER!$B$3:$B$1009&amp;"",COMPUTER!$I$3:$I$1009,""),"Display",_xlfn.XLOOKUP($K707&amp;"",DISPLAY!$B$3:$B$1000&amp;"",DISPLAY!$J$3:$J$1000,""),"Network Device",_xlfn.XLOOKUP($K707&amp;"",'NETWORK-DEVICES'!$B$3:$B$987&amp;"",'NETWORK-DEVICES'!$I$3:$I$987,""),"Peripheral",_xlfn.XLOOKUP($K707&amp;"",PERIPHERAL!$B$3:$B$954&amp;"",PERIPHERAL!$I$3:$I$954,""),"Utilities",_xlfn.XLOOKUP($K707&amp;"",UTILITIES!$B$3:$B$953&amp;"",UTILITIES!$H$3:$H$953,""),"IOT",_xlfn.XLOOKUP($K707&amp;"",IOT!$B$3:$B$1012&amp;"",IOT!$I$3:$I$1012,""),"SERVER",_xlfn.XLOOKUP($K707&amp;"",SERVER!$B$3:$B$1009&amp;"",SERVER!$I$3:$I$1009,""),""))</f>
        <v/>
      </c>
      <c r="M707" t="str" cm="1">
        <f t="array" ref="M707">IF($K707="","",_xlfn.SWITCH($I707,"Computer",_xlfn.XLOOKUP($K707&amp;"",COMPUTER!$B$3:$B$1009&amp;"",COMPUTER!$J$3:$J$1009,""),"Display",_xlfn.XLOOKUP($K707&amp;"",DISPLAY!$B$3:$B$1000&amp;"",DISPLAY!$K$3:$K$1000,""),"Network Device",_xlfn.XLOOKUP($K707&amp;"",'NETWORK-DEVICES'!$B$3:$B$987&amp;"",'NETWORK-DEVICES'!$I$3:$I$987,""),"Peripheral",_xlfn.XLOOKUP($K707&amp;"",PERIPHERAL!$B$3:$B$954&amp;"",PERIPHERAL!$J$3:$J$954,""),"Utilities",_xlfn.XLOOKUP($K707&amp;"",UTILITIES!$B$3:$B$953&amp;"",UTILITIES!$I$3:$I$953,""),"IOT",_xlfn.XLOOKUP($K707&amp;"",IOT!$B$3:$B$1012&amp;"",IOT!$J$3:$J$1012,""),"Server",_xlfn.XLOOKUP($K707&amp;"",SERVER!$B$3:$B$1009&amp;"",SERVER!$J$3:$J$1009,""),""))</f>
        <v/>
      </c>
      <c r="N707" s="1" t="str" cm="1">
        <f t="array" ref="N707">IF(OR($K707="",$I707="",$J707=""),"",_xlfn.LET(_xlpm.srcCat,_xlfn.SWITCH($I707,"Computer",_xlfn.XLOOKUP($K707&amp;"",COMPUTER!$B$3:$B$1009&amp;"",COMPUTER!$H$3:$H$1009,""),"Display",_xlfn.XLOOKUP($K707&amp;"",DISPLAY!$B$3:$B$1000&amp;"",DISPLAY!$H$3:$H$1000,""),"Network Device",_xlfn.XLOOKUP($K707&amp;"",'NETWORK-DEVICES'!$B$3:$B$987&amp;"",'NETWORK-DEVICES'!$H$3:$H$987,""),"Peripheral",_xlfn.XLOOKUP($K707&amp;"",PERIPHERAL!$B$3:$B$954&amp;"",PERIPHERAL!$H$3:$H$954,""),"Utilities",_xlfn.XLOOKUP($K707&amp;"",UTILITIES!$B$3:$B$953&amp;"",UTILITIES!$G$3:$G$953,""),"IOT",_xlfn.XLOOKUP($K707&amp;"",IOT!$B$3:$B$1012&amp;"",IOT!$H$3:$H$1012,""),"Server",_xlfn.XLOOKUP($K707&amp;"",SERVER!$B$3:$B$1009&amp;"",SERVER!$H$3:$H$1009,""),""),IF(TRIM(_xlpm.srcCat)&lt;&gt;TRIM($J707),"",_xlfn.SWITCH($I707,"Computer",_xlfn.XLOOKUP($K707&amp;"",COMPUTER!$B$3:$B$1009&amp;"",COMPUTER!$K$3:$K$1009,""),"Display",_xlfn.XLOOKUP($K707&amp;"",DISPLAY!$B$3:$B$1000&amp;"",DISPLAY!$L$3:$L$1000,""),"Network Device",_xlfn.XLOOKUP($K707&amp;"",'NETWORK-DEVICES'!$B$3:$B$987&amp;"",'NETWORK-DEVICES'!$K$3:$K$987,""),"Peripheral",_xlfn.XLOOKUP($K707&amp;"",PERIPHERAL!$B$3:$B$954&amp;"",PERIPHERAL!$K$3:$K$954,""),"Utilities",_xlfn.XLOOKUP($K707&amp;"",UTILITIES!$B$3:$B$953&amp;"",UTILITIES!$J$3:$J$953,""),"IOT",_xlfn.XLOOKUP($K707&amp;"",IOT!$B$3:$B$1012&amp;"",IOT!$K$4:$K$1012,""),"Server",_xlfn.XLOOKUP($K707&amp;"",SERVER!$B$3:$B$1009&amp;"",SERVER!$K$3:$K$1009,""),""))))</f>
        <v/>
      </c>
      <c r="O707" s="1" t="str" cm="1">
        <f t="array" ref="O707">IF(OR($K707="",$I707="",$J707=""),"",_xlfn.LET(_xlpm.srcCat,_xlfn.SWITCH($I707,"Computer",_xlfn.XLOOKUP($K707&amp;"",COMPUTER!$B$3:$B$1009&amp;"",COMPUTER!$H$3:$H$1009,""),"Display",_xlfn.XLOOKUP($K707&amp;"",DISPLAY!$B$3:$B$1000&amp;"",DISPLAY!$H$3:$H$1000,""),"Network Device",_xlfn.XLOOKUP($K707&amp;"",'NETWORK-DEVICES'!$B$3:$B$987&amp;"",'NETWORK-DEVICES'!$H$3:$H$987,""),"Peripheral",_xlfn.XLOOKUP($K707&amp;"",PERIPHERAL!$B$3:$B$954&amp;"",PERIPHERAL!$H$3:$H$954,""),"Utilities",_xlfn.XLOOKUP($K707&amp;"",UTILITIES!$B$3:$B$953&amp;"",UTILITIES!$G$3:$G$953,""),"IOT",_xlfn.XLOOKUP($K707&amp;"",IOT!$B$3:$B$1012&amp;"",IOT!$H$3:$H$1012,""),"Server",_xlfn.XLOOKUP($K707&amp;"",SERVER!$B$3:$B$1009&amp;"",SERVER!$H$3:$H$1009,""),""),IF(TRIM(_xlpm.srcCat)&lt;&gt;TRIM($J707),"",_xlfn.SWITCH($I707,"Computer",_xlfn.XLOOKUP($K707&amp;"",COMPUTER!$B$3:$B$1009&amp;"",COMPUTER!$E$3:$E$1009,""),"Display",_xlfn.XLOOKUP($K707&amp;"",DISPLAY!$B$3:$B$1000&amp;"",DISPLAY!$E$3:$E$1000,""),"Network Device",_xlfn.XLOOKUP($K707&amp;"",'NETWORK-DEVICES'!$B$3:$B$987&amp;"",'NETWORK-DEVICES'!$E$3:$E$987,""),"Peripheral",_xlfn.XLOOKUP($K707&amp;"",PERIPHERAL!$B$3:$B$954&amp;"",PERIPHERAL!$E$3:$E$954,""),"Utilities",_xlfn.XLOOKUP($K707&amp;"",UTILITIES!$B$3:$B$953&amp;"",UTILITIES!$E$3:$E$953,""),"IOT",_xlfn.XLOOKUP($K707&amp;"",IOT!$B$3:$B$1012&amp;"",IOT!$E$3:$E$1012,""),"Server",_xlfn.XLOOKUP($K707&amp;"",SERVER!$B$3:$B$1009&amp;"",SERVER!$E$3:$E$1009,""),""))))</f>
        <v/>
      </c>
      <c r="Q707" s="1" t="str" cm="1">
        <f t="array" ref="Q707">IF(OR($K707="",$I707="",$J707=""),"",_xlfn.LET(_xlpm.srcCat,_xlfn.SWITCH($I707,"Computer",_xlfn.XLOOKUP($K707&amp;"",COMPUTER!$B$3:$B$1009&amp;"",COMPUTER!$H$3:$H$1009,""),"Display",_xlfn.XLOOKUP($K707&amp;"",DISPLAY!$B$3:$B$1000&amp;"",DISPLAY!$H$3:$H$1000,""),"Network Device",_xlfn.XLOOKUP($K707&amp;"",'NETWORK-DEVICES'!$B$3:$B$987&amp;"",'NETWORK-DEVICES'!$H$3:$H$987,""),"Peripheral",_xlfn.XLOOKUP($K707&amp;"",PERIPHERAL!$B$3:$B$954&amp;"",PERIPHERAL!$H$3:$H$954,""),"Utilities",_xlfn.XLOOKUP($K707&amp;"",UTILITIES!$B$3:$B$953&amp;"",UTILITIES!$G$3:$G$953,""),"IOT",_xlfn.XLOOKUP($K707&amp;"",IOT!$B$3:$B$1012&amp;"",IOT!$H$3:$H$1012,""),"Server",_xlfn.XLOOKUP($K707&amp;"",SERVER!$B$3:$B$1009&amp;"",SERVER!$H$3:$H$1009,""),""),IF(TRIM(_xlpm.srcCat)&lt;&gt;TRIM($J707),"",_xlfn.SWITCH($I707,"Computer",_xlfn.XLOOKUP($K707&amp;"",COMPUTER!$B$3:$B$1009&amp;"",COMPUTER!$AM$3:$AM$1009,""),"Display",_xlfn.XLOOKUP($K707&amp;"",DISPLAY!$B$3:$B$1000&amp;"",DISPLAY!$V$3:$V$1000,""),"Network Device",_xlfn.XLOOKUP($K707&amp;"",'NETWORK-DEVICES'!$B$3:$B$987&amp;"",'NETWORK-DEVICES'!$AF$3:$AF$987,""),"Peripheral",_xlfn.XLOOKUP($K707&amp;"",PERIPHERAL!$B$3:$B$954&amp;"",PERIPHERAL!$Y$3:$Y$954,""),"Utilities",_xlfn.XLOOKUP($K707&amp;"",UTILITIES!$B$3:$B$953&amp;"",UTILITIES!$O$3:$O$953,""),"IOT",_xlfn.XLOOKUP($K707&amp;"",IOT!$B$3:$B$1012&amp;"",IOT!$AB$3:$AB$1012,""),"Server",_xlfn.XLOOKUP($K707&amp;"",SERVER!$B$3:$B$1009&amp;"",SERVER!$AB$3:$AB$1009,""),""))))</f>
        <v/>
      </c>
      <c r="R707" s="43" t="str">
        <f>IF(tbl_handover[[#This Row],[Asset Code]]="","",COUNTIF(tbl_handover[Asset Code],tbl_handover[[#This Row],[Asset Code]]))</f>
        <v/>
      </c>
    </row>
    <row r="708" spans="1:18" x14ac:dyDescent="0.25">
      <c r="A708" s="43" t="str">
        <f>IF(B708&lt;&gt;"",SUBTOTAL(3,$B$1:B707),"")</f>
        <v/>
      </c>
      <c r="C708" s="74"/>
      <c r="D708" s="74"/>
      <c r="G708" s="1"/>
      <c r="K708" s="42"/>
      <c r="L708" t="str" cm="1">
        <f t="array" ref="L708">IF($K708="","",_xlfn.SWITCH($I708,"Computer",_xlfn.XLOOKUP($K708&amp;"",COMPUTER!$B$3:$B$1009&amp;"",COMPUTER!$I$3:$I$1009,""),"Display",_xlfn.XLOOKUP($K708&amp;"",DISPLAY!$B$3:$B$1000&amp;"",DISPLAY!$J$3:$J$1000,""),"Network Device",_xlfn.XLOOKUP($K708&amp;"",'NETWORK-DEVICES'!$B$3:$B$987&amp;"",'NETWORK-DEVICES'!$I$3:$I$987,""),"Peripheral",_xlfn.XLOOKUP($K708&amp;"",PERIPHERAL!$B$3:$B$954&amp;"",PERIPHERAL!$I$3:$I$954,""),"Utilities",_xlfn.XLOOKUP($K708&amp;"",UTILITIES!$B$3:$B$953&amp;"",UTILITIES!$H$3:$H$953,""),"IOT",_xlfn.XLOOKUP($K708&amp;"",IOT!$B$3:$B$1012&amp;"",IOT!$I$3:$I$1012,""),"SERVER",_xlfn.XLOOKUP($K708&amp;"",SERVER!$B$3:$B$1009&amp;"",SERVER!$I$3:$I$1009,""),""))</f>
        <v/>
      </c>
      <c r="M708" t="str" cm="1">
        <f t="array" ref="M708">IF($K708="","",_xlfn.SWITCH($I708,"Computer",_xlfn.XLOOKUP($K708&amp;"",COMPUTER!$B$3:$B$1009&amp;"",COMPUTER!$J$3:$J$1009,""),"Display",_xlfn.XLOOKUP($K708&amp;"",DISPLAY!$B$3:$B$1000&amp;"",DISPLAY!$K$3:$K$1000,""),"Network Device",_xlfn.XLOOKUP($K708&amp;"",'NETWORK-DEVICES'!$B$3:$B$987&amp;"",'NETWORK-DEVICES'!$I$3:$I$987,""),"Peripheral",_xlfn.XLOOKUP($K708&amp;"",PERIPHERAL!$B$3:$B$954&amp;"",PERIPHERAL!$J$3:$J$954,""),"Utilities",_xlfn.XLOOKUP($K708&amp;"",UTILITIES!$B$3:$B$953&amp;"",UTILITIES!$I$3:$I$953,""),"IOT",_xlfn.XLOOKUP($K708&amp;"",IOT!$B$3:$B$1012&amp;"",IOT!$J$3:$J$1012,""),"Server",_xlfn.XLOOKUP($K708&amp;"",SERVER!$B$3:$B$1009&amp;"",SERVER!$J$3:$J$1009,""),""))</f>
        <v/>
      </c>
      <c r="N708" s="1" t="str" cm="1">
        <f t="array" ref="N708">IF(OR($K708="",$I708="",$J708=""),"",_xlfn.LET(_xlpm.srcCat,_xlfn.SWITCH($I708,"Computer",_xlfn.XLOOKUP($K708&amp;"",COMPUTER!$B$3:$B$1009&amp;"",COMPUTER!$H$3:$H$1009,""),"Display",_xlfn.XLOOKUP($K708&amp;"",DISPLAY!$B$3:$B$1000&amp;"",DISPLAY!$H$3:$H$1000,""),"Network Device",_xlfn.XLOOKUP($K708&amp;"",'NETWORK-DEVICES'!$B$3:$B$987&amp;"",'NETWORK-DEVICES'!$H$3:$H$987,""),"Peripheral",_xlfn.XLOOKUP($K708&amp;"",PERIPHERAL!$B$3:$B$954&amp;"",PERIPHERAL!$H$3:$H$954,""),"Utilities",_xlfn.XLOOKUP($K708&amp;"",UTILITIES!$B$3:$B$953&amp;"",UTILITIES!$G$3:$G$953,""),"IOT",_xlfn.XLOOKUP($K708&amp;"",IOT!$B$3:$B$1012&amp;"",IOT!$H$3:$H$1012,""),"Server",_xlfn.XLOOKUP($K708&amp;"",SERVER!$B$3:$B$1009&amp;"",SERVER!$H$3:$H$1009,""),""),IF(TRIM(_xlpm.srcCat)&lt;&gt;TRIM($J708),"",_xlfn.SWITCH($I708,"Computer",_xlfn.XLOOKUP($K708&amp;"",COMPUTER!$B$3:$B$1009&amp;"",COMPUTER!$K$3:$K$1009,""),"Display",_xlfn.XLOOKUP($K708&amp;"",DISPLAY!$B$3:$B$1000&amp;"",DISPLAY!$L$3:$L$1000,""),"Network Device",_xlfn.XLOOKUP($K708&amp;"",'NETWORK-DEVICES'!$B$3:$B$987&amp;"",'NETWORK-DEVICES'!$K$3:$K$987,""),"Peripheral",_xlfn.XLOOKUP($K708&amp;"",PERIPHERAL!$B$3:$B$954&amp;"",PERIPHERAL!$K$3:$K$954,""),"Utilities",_xlfn.XLOOKUP($K708&amp;"",UTILITIES!$B$3:$B$953&amp;"",UTILITIES!$J$3:$J$953,""),"IOT",_xlfn.XLOOKUP($K708&amp;"",IOT!$B$3:$B$1012&amp;"",IOT!$K$4:$K$1012,""),"Server",_xlfn.XLOOKUP($K708&amp;"",SERVER!$B$3:$B$1009&amp;"",SERVER!$K$3:$K$1009,""),""))))</f>
        <v/>
      </c>
      <c r="O708" s="1" t="str" cm="1">
        <f t="array" ref="O708">IF(OR($K708="",$I708="",$J708=""),"",_xlfn.LET(_xlpm.srcCat,_xlfn.SWITCH($I708,"Computer",_xlfn.XLOOKUP($K708&amp;"",COMPUTER!$B$3:$B$1009&amp;"",COMPUTER!$H$3:$H$1009,""),"Display",_xlfn.XLOOKUP($K708&amp;"",DISPLAY!$B$3:$B$1000&amp;"",DISPLAY!$H$3:$H$1000,""),"Network Device",_xlfn.XLOOKUP($K708&amp;"",'NETWORK-DEVICES'!$B$3:$B$987&amp;"",'NETWORK-DEVICES'!$H$3:$H$987,""),"Peripheral",_xlfn.XLOOKUP($K708&amp;"",PERIPHERAL!$B$3:$B$954&amp;"",PERIPHERAL!$H$3:$H$954,""),"Utilities",_xlfn.XLOOKUP($K708&amp;"",UTILITIES!$B$3:$B$953&amp;"",UTILITIES!$G$3:$G$953,""),"IOT",_xlfn.XLOOKUP($K708&amp;"",IOT!$B$3:$B$1012&amp;"",IOT!$H$3:$H$1012,""),"Server",_xlfn.XLOOKUP($K708&amp;"",SERVER!$B$3:$B$1009&amp;"",SERVER!$H$3:$H$1009,""),""),IF(TRIM(_xlpm.srcCat)&lt;&gt;TRIM($J708),"",_xlfn.SWITCH($I708,"Computer",_xlfn.XLOOKUP($K708&amp;"",COMPUTER!$B$3:$B$1009&amp;"",COMPUTER!$E$3:$E$1009,""),"Display",_xlfn.XLOOKUP($K708&amp;"",DISPLAY!$B$3:$B$1000&amp;"",DISPLAY!$E$3:$E$1000,""),"Network Device",_xlfn.XLOOKUP($K708&amp;"",'NETWORK-DEVICES'!$B$3:$B$987&amp;"",'NETWORK-DEVICES'!$E$3:$E$987,""),"Peripheral",_xlfn.XLOOKUP($K708&amp;"",PERIPHERAL!$B$3:$B$954&amp;"",PERIPHERAL!$E$3:$E$954,""),"Utilities",_xlfn.XLOOKUP($K708&amp;"",UTILITIES!$B$3:$B$953&amp;"",UTILITIES!$E$3:$E$953,""),"IOT",_xlfn.XLOOKUP($K708&amp;"",IOT!$B$3:$B$1012&amp;"",IOT!$E$3:$E$1012,""),"Server",_xlfn.XLOOKUP($K708&amp;"",SERVER!$B$3:$B$1009&amp;"",SERVER!$E$3:$E$1009,""),""))))</f>
        <v/>
      </c>
      <c r="Q708" s="1" t="str" cm="1">
        <f t="array" ref="Q708">IF(OR($K708="",$I708="",$J708=""),"",_xlfn.LET(_xlpm.srcCat,_xlfn.SWITCH($I708,"Computer",_xlfn.XLOOKUP($K708&amp;"",COMPUTER!$B$3:$B$1009&amp;"",COMPUTER!$H$3:$H$1009,""),"Display",_xlfn.XLOOKUP($K708&amp;"",DISPLAY!$B$3:$B$1000&amp;"",DISPLAY!$H$3:$H$1000,""),"Network Device",_xlfn.XLOOKUP($K708&amp;"",'NETWORK-DEVICES'!$B$3:$B$987&amp;"",'NETWORK-DEVICES'!$H$3:$H$987,""),"Peripheral",_xlfn.XLOOKUP($K708&amp;"",PERIPHERAL!$B$3:$B$954&amp;"",PERIPHERAL!$H$3:$H$954,""),"Utilities",_xlfn.XLOOKUP($K708&amp;"",UTILITIES!$B$3:$B$953&amp;"",UTILITIES!$G$3:$G$953,""),"IOT",_xlfn.XLOOKUP($K708&amp;"",IOT!$B$3:$B$1012&amp;"",IOT!$H$3:$H$1012,""),"Server",_xlfn.XLOOKUP($K708&amp;"",SERVER!$B$3:$B$1009&amp;"",SERVER!$H$3:$H$1009,""),""),IF(TRIM(_xlpm.srcCat)&lt;&gt;TRIM($J708),"",_xlfn.SWITCH($I708,"Computer",_xlfn.XLOOKUP($K708&amp;"",COMPUTER!$B$3:$B$1009&amp;"",COMPUTER!$AM$3:$AM$1009,""),"Display",_xlfn.XLOOKUP($K708&amp;"",DISPLAY!$B$3:$B$1000&amp;"",DISPLAY!$V$3:$V$1000,""),"Network Device",_xlfn.XLOOKUP($K708&amp;"",'NETWORK-DEVICES'!$B$3:$B$987&amp;"",'NETWORK-DEVICES'!$AF$3:$AF$987,""),"Peripheral",_xlfn.XLOOKUP($K708&amp;"",PERIPHERAL!$B$3:$B$954&amp;"",PERIPHERAL!$Y$3:$Y$954,""),"Utilities",_xlfn.XLOOKUP($K708&amp;"",UTILITIES!$B$3:$B$953&amp;"",UTILITIES!$O$3:$O$953,""),"IOT",_xlfn.XLOOKUP($K708&amp;"",IOT!$B$3:$B$1012&amp;"",IOT!$AB$3:$AB$1012,""),"Server",_xlfn.XLOOKUP($K708&amp;"",SERVER!$B$3:$B$1009&amp;"",SERVER!$AB$3:$AB$1009,""),""))))</f>
        <v/>
      </c>
      <c r="R708" s="43" t="str">
        <f>IF(tbl_handover[[#This Row],[Asset Code]]="","",COUNTIF(tbl_handover[Asset Code],tbl_handover[[#This Row],[Asset Code]]))</f>
        <v/>
      </c>
    </row>
    <row r="709" spans="1:18" x14ac:dyDescent="0.25">
      <c r="A709" s="43" t="str">
        <f>IF(B709&lt;&gt;"",SUBTOTAL(3,$B$1:B708),"")</f>
        <v/>
      </c>
      <c r="C709" s="74"/>
      <c r="D709" s="74"/>
      <c r="G709" s="1"/>
      <c r="K709" s="42"/>
      <c r="L709" t="str" cm="1">
        <f t="array" ref="L709">IF($K709="","",_xlfn.SWITCH($I709,"Computer",_xlfn.XLOOKUP($K709&amp;"",COMPUTER!$B$3:$B$1009&amp;"",COMPUTER!$I$3:$I$1009,""),"Display",_xlfn.XLOOKUP($K709&amp;"",DISPLAY!$B$3:$B$1000&amp;"",DISPLAY!$J$3:$J$1000,""),"Network Device",_xlfn.XLOOKUP($K709&amp;"",'NETWORK-DEVICES'!$B$3:$B$987&amp;"",'NETWORK-DEVICES'!$I$3:$I$987,""),"Peripheral",_xlfn.XLOOKUP($K709&amp;"",PERIPHERAL!$B$3:$B$954&amp;"",PERIPHERAL!$I$3:$I$954,""),"Utilities",_xlfn.XLOOKUP($K709&amp;"",UTILITIES!$B$3:$B$953&amp;"",UTILITIES!$H$3:$H$953,""),"IOT",_xlfn.XLOOKUP($K709&amp;"",IOT!$B$3:$B$1012&amp;"",IOT!$I$3:$I$1012,""),"SERVER",_xlfn.XLOOKUP($K709&amp;"",SERVER!$B$3:$B$1009&amp;"",SERVER!$I$3:$I$1009,""),""))</f>
        <v/>
      </c>
      <c r="M709" t="str" cm="1">
        <f t="array" ref="M709">IF($K709="","",_xlfn.SWITCH($I709,"Computer",_xlfn.XLOOKUP($K709&amp;"",COMPUTER!$B$3:$B$1009&amp;"",COMPUTER!$J$3:$J$1009,""),"Display",_xlfn.XLOOKUP($K709&amp;"",DISPLAY!$B$3:$B$1000&amp;"",DISPLAY!$K$3:$K$1000,""),"Network Device",_xlfn.XLOOKUP($K709&amp;"",'NETWORK-DEVICES'!$B$3:$B$987&amp;"",'NETWORK-DEVICES'!$I$3:$I$987,""),"Peripheral",_xlfn.XLOOKUP($K709&amp;"",PERIPHERAL!$B$3:$B$954&amp;"",PERIPHERAL!$J$3:$J$954,""),"Utilities",_xlfn.XLOOKUP($K709&amp;"",UTILITIES!$B$3:$B$953&amp;"",UTILITIES!$I$3:$I$953,""),"IOT",_xlfn.XLOOKUP($K709&amp;"",IOT!$B$3:$B$1012&amp;"",IOT!$J$3:$J$1012,""),"Server",_xlfn.XLOOKUP($K709&amp;"",SERVER!$B$3:$B$1009&amp;"",SERVER!$J$3:$J$1009,""),""))</f>
        <v/>
      </c>
      <c r="N709" s="1" t="str" cm="1">
        <f t="array" ref="N709">IF(OR($K709="",$I709="",$J709=""),"",_xlfn.LET(_xlpm.srcCat,_xlfn.SWITCH($I709,"Computer",_xlfn.XLOOKUP($K709&amp;"",COMPUTER!$B$3:$B$1009&amp;"",COMPUTER!$H$3:$H$1009,""),"Display",_xlfn.XLOOKUP($K709&amp;"",DISPLAY!$B$3:$B$1000&amp;"",DISPLAY!$H$3:$H$1000,""),"Network Device",_xlfn.XLOOKUP($K709&amp;"",'NETWORK-DEVICES'!$B$3:$B$987&amp;"",'NETWORK-DEVICES'!$H$3:$H$987,""),"Peripheral",_xlfn.XLOOKUP($K709&amp;"",PERIPHERAL!$B$3:$B$954&amp;"",PERIPHERAL!$H$3:$H$954,""),"Utilities",_xlfn.XLOOKUP($K709&amp;"",UTILITIES!$B$3:$B$953&amp;"",UTILITIES!$G$3:$G$953,""),"IOT",_xlfn.XLOOKUP($K709&amp;"",IOT!$B$3:$B$1012&amp;"",IOT!$H$3:$H$1012,""),"Server",_xlfn.XLOOKUP($K709&amp;"",SERVER!$B$3:$B$1009&amp;"",SERVER!$H$3:$H$1009,""),""),IF(TRIM(_xlpm.srcCat)&lt;&gt;TRIM($J709),"",_xlfn.SWITCH($I709,"Computer",_xlfn.XLOOKUP($K709&amp;"",COMPUTER!$B$3:$B$1009&amp;"",COMPUTER!$K$3:$K$1009,""),"Display",_xlfn.XLOOKUP($K709&amp;"",DISPLAY!$B$3:$B$1000&amp;"",DISPLAY!$L$3:$L$1000,""),"Network Device",_xlfn.XLOOKUP($K709&amp;"",'NETWORK-DEVICES'!$B$3:$B$987&amp;"",'NETWORK-DEVICES'!$K$3:$K$987,""),"Peripheral",_xlfn.XLOOKUP($K709&amp;"",PERIPHERAL!$B$3:$B$954&amp;"",PERIPHERAL!$K$3:$K$954,""),"Utilities",_xlfn.XLOOKUP($K709&amp;"",UTILITIES!$B$3:$B$953&amp;"",UTILITIES!$J$3:$J$953,""),"IOT",_xlfn.XLOOKUP($K709&amp;"",IOT!$B$3:$B$1012&amp;"",IOT!$K$4:$K$1012,""),"Server",_xlfn.XLOOKUP($K709&amp;"",SERVER!$B$3:$B$1009&amp;"",SERVER!$K$3:$K$1009,""),""))))</f>
        <v/>
      </c>
      <c r="O709" s="1" t="str" cm="1">
        <f t="array" ref="O709">IF(OR($K709="",$I709="",$J709=""),"",_xlfn.LET(_xlpm.srcCat,_xlfn.SWITCH($I709,"Computer",_xlfn.XLOOKUP($K709&amp;"",COMPUTER!$B$3:$B$1009&amp;"",COMPUTER!$H$3:$H$1009,""),"Display",_xlfn.XLOOKUP($K709&amp;"",DISPLAY!$B$3:$B$1000&amp;"",DISPLAY!$H$3:$H$1000,""),"Network Device",_xlfn.XLOOKUP($K709&amp;"",'NETWORK-DEVICES'!$B$3:$B$987&amp;"",'NETWORK-DEVICES'!$H$3:$H$987,""),"Peripheral",_xlfn.XLOOKUP($K709&amp;"",PERIPHERAL!$B$3:$B$954&amp;"",PERIPHERAL!$H$3:$H$954,""),"Utilities",_xlfn.XLOOKUP($K709&amp;"",UTILITIES!$B$3:$B$953&amp;"",UTILITIES!$G$3:$G$953,""),"IOT",_xlfn.XLOOKUP($K709&amp;"",IOT!$B$3:$B$1012&amp;"",IOT!$H$3:$H$1012,""),"Server",_xlfn.XLOOKUP($K709&amp;"",SERVER!$B$3:$B$1009&amp;"",SERVER!$H$3:$H$1009,""),""),IF(TRIM(_xlpm.srcCat)&lt;&gt;TRIM($J709),"",_xlfn.SWITCH($I709,"Computer",_xlfn.XLOOKUP($K709&amp;"",COMPUTER!$B$3:$B$1009&amp;"",COMPUTER!$E$3:$E$1009,""),"Display",_xlfn.XLOOKUP($K709&amp;"",DISPLAY!$B$3:$B$1000&amp;"",DISPLAY!$E$3:$E$1000,""),"Network Device",_xlfn.XLOOKUP($K709&amp;"",'NETWORK-DEVICES'!$B$3:$B$987&amp;"",'NETWORK-DEVICES'!$E$3:$E$987,""),"Peripheral",_xlfn.XLOOKUP($K709&amp;"",PERIPHERAL!$B$3:$B$954&amp;"",PERIPHERAL!$E$3:$E$954,""),"Utilities",_xlfn.XLOOKUP($K709&amp;"",UTILITIES!$B$3:$B$953&amp;"",UTILITIES!$E$3:$E$953,""),"IOT",_xlfn.XLOOKUP($K709&amp;"",IOT!$B$3:$B$1012&amp;"",IOT!$E$3:$E$1012,""),"Server",_xlfn.XLOOKUP($K709&amp;"",SERVER!$B$3:$B$1009&amp;"",SERVER!$E$3:$E$1009,""),""))))</f>
        <v/>
      </c>
      <c r="Q709" s="1" t="str" cm="1">
        <f t="array" ref="Q709">IF(OR($K709="",$I709="",$J709=""),"",_xlfn.LET(_xlpm.srcCat,_xlfn.SWITCH($I709,"Computer",_xlfn.XLOOKUP($K709&amp;"",COMPUTER!$B$3:$B$1009&amp;"",COMPUTER!$H$3:$H$1009,""),"Display",_xlfn.XLOOKUP($K709&amp;"",DISPLAY!$B$3:$B$1000&amp;"",DISPLAY!$H$3:$H$1000,""),"Network Device",_xlfn.XLOOKUP($K709&amp;"",'NETWORK-DEVICES'!$B$3:$B$987&amp;"",'NETWORK-DEVICES'!$H$3:$H$987,""),"Peripheral",_xlfn.XLOOKUP($K709&amp;"",PERIPHERAL!$B$3:$B$954&amp;"",PERIPHERAL!$H$3:$H$954,""),"Utilities",_xlfn.XLOOKUP($K709&amp;"",UTILITIES!$B$3:$B$953&amp;"",UTILITIES!$G$3:$G$953,""),"IOT",_xlfn.XLOOKUP($K709&amp;"",IOT!$B$3:$B$1012&amp;"",IOT!$H$3:$H$1012,""),"Server",_xlfn.XLOOKUP($K709&amp;"",SERVER!$B$3:$B$1009&amp;"",SERVER!$H$3:$H$1009,""),""),IF(TRIM(_xlpm.srcCat)&lt;&gt;TRIM($J709),"",_xlfn.SWITCH($I709,"Computer",_xlfn.XLOOKUP($K709&amp;"",COMPUTER!$B$3:$B$1009&amp;"",COMPUTER!$AM$3:$AM$1009,""),"Display",_xlfn.XLOOKUP($K709&amp;"",DISPLAY!$B$3:$B$1000&amp;"",DISPLAY!$V$3:$V$1000,""),"Network Device",_xlfn.XLOOKUP($K709&amp;"",'NETWORK-DEVICES'!$B$3:$B$987&amp;"",'NETWORK-DEVICES'!$AF$3:$AF$987,""),"Peripheral",_xlfn.XLOOKUP($K709&amp;"",PERIPHERAL!$B$3:$B$954&amp;"",PERIPHERAL!$Y$3:$Y$954,""),"Utilities",_xlfn.XLOOKUP($K709&amp;"",UTILITIES!$B$3:$B$953&amp;"",UTILITIES!$O$3:$O$953,""),"IOT",_xlfn.XLOOKUP($K709&amp;"",IOT!$B$3:$B$1012&amp;"",IOT!$AB$3:$AB$1012,""),"Server",_xlfn.XLOOKUP($K709&amp;"",SERVER!$B$3:$B$1009&amp;"",SERVER!$AB$3:$AB$1009,""),""))))</f>
        <v/>
      </c>
      <c r="R709" s="43" t="str">
        <f>IF(tbl_handover[[#This Row],[Asset Code]]="","",COUNTIF(tbl_handover[Asset Code],tbl_handover[[#This Row],[Asset Code]]))</f>
        <v/>
      </c>
    </row>
    <row r="710" spans="1:18" x14ac:dyDescent="0.25">
      <c r="A710" s="43" t="str">
        <f>IF(B710&lt;&gt;"",SUBTOTAL(3,$B$1:B709),"")</f>
        <v/>
      </c>
      <c r="C710" s="74"/>
      <c r="D710" s="74"/>
      <c r="G710" s="1"/>
      <c r="K710" s="42"/>
      <c r="L710" t="str" cm="1">
        <f t="array" ref="L710">IF($K710="","",_xlfn.SWITCH($I710,"Computer",_xlfn.XLOOKUP($K710&amp;"",COMPUTER!$B$3:$B$1009&amp;"",COMPUTER!$I$3:$I$1009,""),"Display",_xlfn.XLOOKUP($K710&amp;"",DISPLAY!$B$3:$B$1000&amp;"",DISPLAY!$J$3:$J$1000,""),"Network Device",_xlfn.XLOOKUP($K710&amp;"",'NETWORK-DEVICES'!$B$3:$B$987&amp;"",'NETWORK-DEVICES'!$I$3:$I$987,""),"Peripheral",_xlfn.XLOOKUP($K710&amp;"",PERIPHERAL!$B$3:$B$954&amp;"",PERIPHERAL!$I$3:$I$954,""),"Utilities",_xlfn.XLOOKUP($K710&amp;"",UTILITIES!$B$3:$B$953&amp;"",UTILITIES!$H$3:$H$953,""),"IOT",_xlfn.XLOOKUP($K710&amp;"",IOT!$B$3:$B$1012&amp;"",IOT!$I$3:$I$1012,""),"SERVER",_xlfn.XLOOKUP($K710&amp;"",SERVER!$B$3:$B$1009&amp;"",SERVER!$I$3:$I$1009,""),""))</f>
        <v/>
      </c>
      <c r="M710" t="str" cm="1">
        <f t="array" ref="M710">IF($K710="","",_xlfn.SWITCH($I710,"Computer",_xlfn.XLOOKUP($K710&amp;"",COMPUTER!$B$3:$B$1009&amp;"",COMPUTER!$J$3:$J$1009,""),"Display",_xlfn.XLOOKUP($K710&amp;"",DISPLAY!$B$3:$B$1000&amp;"",DISPLAY!$K$3:$K$1000,""),"Network Device",_xlfn.XLOOKUP($K710&amp;"",'NETWORK-DEVICES'!$B$3:$B$987&amp;"",'NETWORK-DEVICES'!$I$3:$I$987,""),"Peripheral",_xlfn.XLOOKUP($K710&amp;"",PERIPHERAL!$B$3:$B$954&amp;"",PERIPHERAL!$J$3:$J$954,""),"Utilities",_xlfn.XLOOKUP($K710&amp;"",UTILITIES!$B$3:$B$953&amp;"",UTILITIES!$I$3:$I$953,""),"IOT",_xlfn.XLOOKUP($K710&amp;"",IOT!$B$3:$B$1012&amp;"",IOT!$J$3:$J$1012,""),"Server",_xlfn.XLOOKUP($K710&amp;"",SERVER!$B$3:$B$1009&amp;"",SERVER!$J$3:$J$1009,""),""))</f>
        <v/>
      </c>
      <c r="N710" s="1" t="str" cm="1">
        <f t="array" ref="N710">IF(OR($K710="",$I710="",$J710=""),"",_xlfn.LET(_xlpm.srcCat,_xlfn.SWITCH($I710,"Computer",_xlfn.XLOOKUP($K710&amp;"",COMPUTER!$B$3:$B$1009&amp;"",COMPUTER!$H$3:$H$1009,""),"Display",_xlfn.XLOOKUP($K710&amp;"",DISPLAY!$B$3:$B$1000&amp;"",DISPLAY!$H$3:$H$1000,""),"Network Device",_xlfn.XLOOKUP($K710&amp;"",'NETWORK-DEVICES'!$B$3:$B$987&amp;"",'NETWORK-DEVICES'!$H$3:$H$987,""),"Peripheral",_xlfn.XLOOKUP($K710&amp;"",PERIPHERAL!$B$3:$B$954&amp;"",PERIPHERAL!$H$3:$H$954,""),"Utilities",_xlfn.XLOOKUP($K710&amp;"",UTILITIES!$B$3:$B$953&amp;"",UTILITIES!$G$3:$G$953,""),"IOT",_xlfn.XLOOKUP($K710&amp;"",IOT!$B$3:$B$1012&amp;"",IOT!$H$3:$H$1012,""),"Server",_xlfn.XLOOKUP($K710&amp;"",SERVER!$B$3:$B$1009&amp;"",SERVER!$H$3:$H$1009,""),""),IF(TRIM(_xlpm.srcCat)&lt;&gt;TRIM($J710),"",_xlfn.SWITCH($I710,"Computer",_xlfn.XLOOKUP($K710&amp;"",COMPUTER!$B$3:$B$1009&amp;"",COMPUTER!$K$3:$K$1009,""),"Display",_xlfn.XLOOKUP($K710&amp;"",DISPLAY!$B$3:$B$1000&amp;"",DISPLAY!$L$3:$L$1000,""),"Network Device",_xlfn.XLOOKUP($K710&amp;"",'NETWORK-DEVICES'!$B$3:$B$987&amp;"",'NETWORK-DEVICES'!$K$3:$K$987,""),"Peripheral",_xlfn.XLOOKUP($K710&amp;"",PERIPHERAL!$B$3:$B$954&amp;"",PERIPHERAL!$K$3:$K$954,""),"Utilities",_xlfn.XLOOKUP($K710&amp;"",UTILITIES!$B$3:$B$953&amp;"",UTILITIES!$J$3:$J$953,""),"IOT",_xlfn.XLOOKUP($K710&amp;"",IOT!$B$3:$B$1012&amp;"",IOT!$K$4:$K$1012,""),"Server",_xlfn.XLOOKUP($K710&amp;"",SERVER!$B$3:$B$1009&amp;"",SERVER!$K$3:$K$1009,""),""))))</f>
        <v/>
      </c>
      <c r="O710" s="1" t="str" cm="1">
        <f t="array" ref="O710">IF(OR($K710="",$I710="",$J710=""),"",_xlfn.LET(_xlpm.srcCat,_xlfn.SWITCH($I710,"Computer",_xlfn.XLOOKUP($K710&amp;"",COMPUTER!$B$3:$B$1009&amp;"",COMPUTER!$H$3:$H$1009,""),"Display",_xlfn.XLOOKUP($K710&amp;"",DISPLAY!$B$3:$B$1000&amp;"",DISPLAY!$H$3:$H$1000,""),"Network Device",_xlfn.XLOOKUP($K710&amp;"",'NETWORK-DEVICES'!$B$3:$B$987&amp;"",'NETWORK-DEVICES'!$H$3:$H$987,""),"Peripheral",_xlfn.XLOOKUP($K710&amp;"",PERIPHERAL!$B$3:$B$954&amp;"",PERIPHERAL!$H$3:$H$954,""),"Utilities",_xlfn.XLOOKUP($K710&amp;"",UTILITIES!$B$3:$B$953&amp;"",UTILITIES!$G$3:$G$953,""),"IOT",_xlfn.XLOOKUP($K710&amp;"",IOT!$B$3:$B$1012&amp;"",IOT!$H$3:$H$1012,""),"Server",_xlfn.XLOOKUP($K710&amp;"",SERVER!$B$3:$B$1009&amp;"",SERVER!$H$3:$H$1009,""),""),IF(TRIM(_xlpm.srcCat)&lt;&gt;TRIM($J710),"",_xlfn.SWITCH($I710,"Computer",_xlfn.XLOOKUP($K710&amp;"",COMPUTER!$B$3:$B$1009&amp;"",COMPUTER!$E$3:$E$1009,""),"Display",_xlfn.XLOOKUP($K710&amp;"",DISPLAY!$B$3:$B$1000&amp;"",DISPLAY!$E$3:$E$1000,""),"Network Device",_xlfn.XLOOKUP($K710&amp;"",'NETWORK-DEVICES'!$B$3:$B$987&amp;"",'NETWORK-DEVICES'!$E$3:$E$987,""),"Peripheral",_xlfn.XLOOKUP($K710&amp;"",PERIPHERAL!$B$3:$B$954&amp;"",PERIPHERAL!$E$3:$E$954,""),"Utilities",_xlfn.XLOOKUP($K710&amp;"",UTILITIES!$B$3:$B$953&amp;"",UTILITIES!$E$3:$E$953,""),"IOT",_xlfn.XLOOKUP($K710&amp;"",IOT!$B$3:$B$1012&amp;"",IOT!$E$3:$E$1012,""),"Server",_xlfn.XLOOKUP($K710&amp;"",SERVER!$B$3:$B$1009&amp;"",SERVER!$E$3:$E$1009,""),""))))</f>
        <v/>
      </c>
      <c r="Q710" s="1" t="str" cm="1">
        <f t="array" ref="Q710">IF(OR($K710="",$I710="",$J710=""),"",_xlfn.LET(_xlpm.srcCat,_xlfn.SWITCH($I710,"Computer",_xlfn.XLOOKUP($K710&amp;"",COMPUTER!$B$3:$B$1009&amp;"",COMPUTER!$H$3:$H$1009,""),"Display",_xlfn.XLOOKUP($K710&amp;"",DISPLAY!$B$3:$B$1000&amp;"",DISPLAY!$H$3:$H$1000,""),"Network Device",_xlfn.XLOOKUP($K710&amp;"",'NETWORK-DEVICES'!$B$3:$B$987&amp;"",'NETWORK-DEVICES'!$H$3:$H$987,""),"Peripheral",_xlfn.XLOOKUP($K710&amp;"",PERIPHERAL!$B$3:$B$954&amp;"",PERIPHERAL!$H$3:$H$954,""),"Utilities",_xlfn.XLOOKUP($K710&amp;"",UTILITIES!$B$3:$B$953&amp;"",UTILITIES!$G$3:$G$953,""),"IOT",_xlfn.XLOOKUP($K710&amp;"",IOT!$B$3:$B$1012&amp;"",IOT!$H$3:$H$1012,""),"Server",_xlfn.XLOOKUP($K710&amp;"",SERVER!$B$3:$B$1009&amp;"",SERVER!$H$3:$H$1009,""),""),IF(TRIM(_xlpm.srcCat)&lt;&gt;TRIM($J710),"",_xlfn.SWITCH($I710,"Computer",_xlfn.XLOOKUP($K710&amp;"",COMPUTER!$B$3:$B$1009&amp;"",COMPUTER!$AM$3:$AM$1009,""),"Display",_xlfn.XLOOKUP($K710&amp;"",DISPLAY!$B$3:$B$1000&amp;"",DISPLAY!$V$3:$V$1000,""),"Network Device",_xlfn.XLOOKUP($K710&amp;"",'NETWORK-DEVICES'!$B$3:$B$987&amp;"",'NETWORK-DEVICES'!$AF$3:$AF$987,""),"Peripheral",_xlfn.XLOOKUP($K710&amp;"",PERIPHERAL!$B$3:$B$954&amp;"",PERIPHERAL!$Y$3:$Y$954,""),"Utilities",_xlfn.XLOOKUP($K710&amp;"",UTILITIES!$B$3:$B$953&amp;"",UTILITIES!$O$3:$O$953,""),"IOT",_xlfn.XLOOKUP($K710&amp;"",IOT!$B$3:$B$1012&amp;"",IOT!$AB$3:$AB$1012,""),"Server",_xlfn.XLOOKUP($K710&amp;"",SERVER!$B$3:$B$1009&amp;"",SERVER!$AB$3:$AB$1009,""),""))))</f>
        <v/>
      </c>
      <c r="R710" s="43" t="str">
        <f>IF(tbl_handover[[#This Row],[Asset Code]]="","",COUNTIF(tbl_handover[Asset Code],tbl_handover[[#This Row],[Asset Code]]))</f>
        <v/>
      </c>
    </row>
    <row r="711" spans="1:18" x14ac:dyDescent="0.25">
      <c r="A711" s="43" t="str">
        <f>IF(B711&lt;&gt;"",SUBTOTAL(3,$B$1:B710),"")</f>
        <v/>
      </c>
      <c r="C711" s="74"/>
      <c r="D711" s="74"/>
      <c r="G711" s="1"/>
      <c r="K711" s="42"/>
      <c r="L711" t="str" cm="1">
        <f t="array" ref="L711">IF($K711="","",_xlfn.SWITCH($I711,"Computer",_xlfn.XLOOKUP($K711&amp;"",COMPUTER!$B$3:$B$1009&amp;"",COMPUTER!$I$3:$I$1009,""),"Display",_xlfn.XLOOKUP($K711&amp;"",DISPLAY!$B$3:$B$1000&amp;"",DISPLAY!$J$3:$J$1000,""),"Network Device",_xlfn.XLOOKUP($K711&amp;"",'NETWORK-DEVICES'!$B$3:$B$987&amp;"",'NETWORK-DEVICES'!$I$3:$I$987,""),"Peripheral",_xlfn.XLOOKUP($K711&amp;"",PERIPHERAL!$B$3:$B$954&amp;"",PERIPHERAL!$I$3:$I$954,""),"Utilities",_xlfn.XLOOKUP($K711&amp;"",UTILITIES!$B$3:$B$953&amp;"",UTILITIES!$H$3:$H$953,""),"IOT",_xlfn.XLOOKUP($K711&amp;"",IOT!$B$3:$B$1012&amp;"",IOT!$I$3:$I$1012,""),"SERVER",_xlfn.XLOOKUP($K711&amp;"",SERVER!$B$3:$B$1009&amp;"",SERVER!$I$3:$I$1009,""),""))</f>
        <v/>
      </c>
      <c r="M711" t="str" cm="1">
        <f t="array" ref="M711">IF($K711="","",_xlfn.SWITCH($I711,"Computer",_xlfn.XLOOKUP($K711&amp;"",COMPUTER!$B$3:$B$1009&amp;"",COMPUTER!$J$3:$J$1009,""),"Display",_xlfn.XLOOKUP($K711&amp;"",DISPLAY!$B$3:$B$1000&amp;"",DISPLAY!$K$3:$K$1000,""),"Network Device",_xlfn.XLOOKUP($K711&amp;"",'NETWORK-DEVICES'!$B$3:$B$987&amp;"",'NETWORK-DEVICES'!$I$3:$I$987,""),"Peripheral",_xlfn.XLOOKUP($K711&amp;"",PERIPHERAL!$B$3:$B$954&amp;"",PERIPHERAL!$J$3:$J$954,""),"Utilities",_xlfn.XLOOKUP($K711&amp;"",UTILITIES!$B$3:$B$953&amp;"",UTILITIES!$I$3:$I$953,""),"IOT",_xlfn.XLOOKUP($K711&amp;"",IOT!$B$3:$B$1012&amp;"",IOT!$J$3:$J$1012,""),"Server",_xlfn.XLOOKUP($K711&amp;"",SERVER!$B$3:$B$1009&amp;"",SERVER!$J$3:$J$1009,""),""))</f>
        <v/>
      </c>
      <c r="N711" s="1" t="str" cm="1">
        <f t="array" ref="N711">IF(OR($K711="",$I711="",$J711=""),"",_xlfn.LET(_xlpm.srcCat,_xlfn.SWITCH($I711,"Computer",_xlfn.XLOOKUP($K711&amp;"",COMPUTER!$B$3:$B$1009&amp;"",COMPUTER!$H$3:$H$1009,""),"Display",_xlfn.XLOOKUP($K711&amp;"",DISPLAY!$B$3:$B$1000&amp;"",DISPLAY!$H$3:$H$1000,""),"Network Device",_xlfn.XLOOKUP($K711&amp;"",'NETWORK-DEVICES'!$B$3:$B$987&amp;"",'NETWORK-DEVICES'!$H$3:$H$987,""),"Peripheral",_xlfn.XLOOKUP($K711&amp;"",PERIPHERAL!$B$3:$B$954&amp;"",PERIPHERAL!$H$3:$H$954,""),"Utilities",_xlfn.XLOOKUP($K711&amp;"",UTILITIES!$B$3:$B$953&amp;"",UTILITIES!$G$3:$G$953,""),"IOT",_xlfn.XLOOKUP($K711&amp;"",IOT!$B$3:$B$1012&amp;"",IOT!$H$3:$H$1012,""),"Server",_xlfn.XLOOKUP($K711&amp;"",SERVER!$B$3:$B$1009&amp;"",SERVER!$H$3:$H$1009,""),""),IF(TRIM(_xlpm.srcCat)&lt;&gt;TRIM($J711),"",_xlfn.SWITCH($I711,"Computer",_xlfn.XLOOKUP($K711&amp;"",COMPUTER!$B$3:$B$1009&amp;"",COMPUTER!$K$3:$K$1009,""),"Display",_xlfn.XLOOKUP($K711&amp;"",DISPLAY!$B$3:$B$1000&amp;"",DISPLAY!$L$3:$L$1000,""),"Network Device",_xlfn.XLOOKUP($K711&amp;"",'NETWORK-DEVICES'!$B$3:$B$987&amp;"",'NETWORK-DEVICES'!$K$3:$K$987,""),"Peripheral",_xlfn.XLOOKUP($K711&amp;"",PERIPHERAL!$B$3:$B$954&amp;"",PERIPHERAL!$K$3:$K$954,""),"Utilities",_xlfn.XLOOKUP($K711&amp;"",UTILITIES!$B$3:$B$953&amp;"",UTILITIES!$J$3:$J$953,""),"IOT",_xlfn.XLOOKUP($K711&amp;"",IOT!$B$3:$B$1012&amp;"",IOT!$K$4:$K$1012,""),"Server",_xlfn.XLOOKUP($K711&amp;"",SERVER!$B$3:$B$1009&amp;"",SERVER!$K$3:$K$1009,""),""))))</f>
        <v/>
      </c>
      <c r="O711" s="1" t="str" cm="1">
        <f t="array" ref="O711">IF(OR($K711="",$I711="",$J711=""),"",_xlfn.LET(_xlpm.srcCat,_xlfn.SWITCH($I711,"Computer",_xlfn.XLOOKUP($K711&amp;"",COMPUTER!$B$3:$B$1009&amp;"",COMPUTER!$H$3:$H$1009,""),"Display",_xlfn.XLOOKUP($K711&amp;"",DISPLAY!$B$3:$B$1000&amp;"",DISPLAY!$H$3:$H$1000,""),"Network Device",_xlfn.XLOOKUP($K711&amp;"",'NETWORK-DEVICES'!$B$3:$B$987&amp;"",'NETWORK-DEVICES'!$H$3:$H$987,""),"Peripheral",_xlfn.XLOOKUP($K711&amp;"",PERIPHERAL!$B$3:$B$954&amp;"",PERIPHERAL!$H$3:$H$954,""),"Utilities",_xlfn.XLOOKUP($K711&amp;"",UTILITIES!$B$3:$B$953&amp;"",UTILITIES!$G$3:$G$953,""),"IOT",_xlfn.XLOOKUP($K711&amp;"",IOT!$B$3:$B$1012&amp;"",IOT!$H$3:$H$1012,""),"Server",_xlfn.XLOOKUP($K711&amp;"",SERVER!$B$3:$B$1009&amp;"",SERVER!$H$3:$H$1009,""),""),IF(TRIM(_xlpm.srcCat)&lt;&gt;TRIM($J711),"",_xlfn.SWITCH($I711,"Computer",_xlfn.XLOOKUP($K711&amp;"",COMPUTER!$B$3:$B$1009&amp;"",COMPUTER!$E$3:$E$1009,""),"Display",_xlfn.XLOOKUP($K711&amp;"",DISPLAY!$B$3:$B$1000&amp;"",DISPLAY!$E$3:$E$1000,""),"Network Device",_xlfn.XLOOKUP($K711&amp;"",'NETWORK-DEVICES'!$B$3:$B$987&amp;"",'NETWORK-DEVICES'!$E$3:$E$987,""),"Peripheral",_xlfn.XLOOKUP($K711&amp;"",PERIPHERAL!$B$3:$B$954&amp;"",PERIPHERAL!$E$3:$E$954,""),"Utilities",_xlfn.XLOOKUP($K711&amp;"",UTILITIES!$B$3:$B$953&amp;"",UTILITIES!$E$3:$E$953,""),"IOT",_xlfn.XLOOKUP($K711&amp;"",IOT!$B$3:$B$1012&amp;"",IOT!$E$3:$E$1012,""),"Server",_xlfn.XLOOKUP($K711&amp;"",SERVER!$B$3:$B$1009&amp;"",SERVER!$E$3:$E$1009,""),""))))</f>
        <v/>
      </c>
      <c r="Q711" s="1" t="str" cm="1">
        <f t="array" ref="Q711">IF(OR($K711="",$I711="",$J711=""),"",_xlfn.LET(_xlpm.srcCat,_xlfn.SWITCH($I711,"Computer",_xlfn.XLOOKUP($K711&amp;"",COMPUTER!$B$3:$B$1009&amp;"",COMPUTER!$H$3:$H$1009,""),"Display",_xlfn.XLOOKUP($K711&amp;"",DISPLAY!$B$3:$B$1000&amp;"",DISPLAY!$H$3:$H$1000,""),"Network Device",_xlfn.XLOOKUP($K711&amp;"",'NETWORK-DEVICES'!$B$3:$B$987&amp;"",'NETWORK-DEVICES'!$H$3:$H$987,""),"Peripheral",_xlfn.XLOOKUP($K711&amp;"",PERIPHERAL!$B$3:$B$954&amp;"",PERIPHERAL!$H$3:$H$954,""),"Utilities",_xlfn.XLOOKUP($K711&amp;"",UTILITIES!$B$3:$B$953&amp;"",UTILITIES!$G$3:$G$953,""),"IOT",_xlfn.XLOOKUP($K711&amp;"",IOT!$B$3:$B$1012&amp;"",IOT!$H$3:$H$1012,""),"Server",_xlfn.XLOOKUP($K711&amp;"",SERVER!$B$3:$B$1009&amp;"",SERVER!$H$3:$H$1009,""),""),IF(TRIM(_xlpm.srcCat)&lt;&gt;TRIM($J711),"",_xlfn.SWITCH($I711,"Computer",_xlfn.XLOOKUP($K711&amp;"",COMPUTER!$B$3:$B$1009&amp;"",COMPUTER!$AM$3:$AM$1009,""),"Display",_xlfn.XLOOKUP($K711&amp;"",DISPLAY!$B$3:$B$1000&amp;"",DISPLAY!$V$3:$V$1000,""),"Network Device",_xlfn.XLOOKUP($K711&amp;"",'NETWORK-DEVICES'!$B$3:$B$987&amp;"",'NETWORK-DEVICES'!$AF$3:$AF$987,""),"Peripheral",_xlfn.XLOOKUP($K711&amp;"",PERIPHERAL!$B$3:$B$954&amp;"",PERIPHERAL!$Y$3:$Y$954,""),"Utilities",_xlfn.XLOOKUP($K711&amp;"",UTILITIES!$B$3:$B$953&amp;"",UTILITIES!$O$3:$O$953,""),"IOT",_xlfn.XLOOKUP($K711&amp;"",IOT!$B$3:$B$1012&amp;"",IOT!$AB$3:$AB$1012,""),"Server",_xlfn.XLOOKUP($K711&amp;"",SERVER!$B$3:$B$1009&amp;"",SERVER!$AB$3:$AB$1009,""),""))))</f>
        <v/>
      </c>
      <c r="R711" s="43" t="str">
        <f>IF(tbl_handover[[#This Row],[Asset Code]]="","",COUNTIF(tbl_handover[Asset Code],tbl_handover[[#This Row],[Asset Code]]))</f>
        <v/>
      </c>
    </row>
    <row r="712" spans="1:18" x14ac:dyDescent="0.25">
      <c r="A712" s="43" t="str">
        <f>IF(B712&lt;&gt;"",SUBTOTAL(3,$B$1:B711),"")</f>
        <v/>
      </c>
      <c r="C712" s="74"/>
      <c r="D712" s="74"/>
      <c r="G712" s="1"/>
      <c r="K712" s="42"/>
      <c r="L712" t="str" cm="1">
        <f t="array" ref="L712">IF($K712="","",_xlfn.SWITCH($I712,"Computer",_xlfn.XLOOKUP($K712&amp;"",COMPUTER!$B$3:$B$1009&amp;"",COMPUTER!$I$3:$I$1009,""),"Display",_xlfn.XLOOKUP($K712&amp;"",DISPLAY!$B$3:$B$1000&amp;"",DISPLAY!$J$3:$J$1000,""),"Network Device",_xlfn.XLOOKUP($K712&amp;"",'NETWORK-DEVICES'!$B$3:$B$987&amp;"",'NETWORK-DEVICES'!$I$3:$I$987,""),"Peripheral",_xlfn.XLOOKUP($K712&amp;"",PERIPHERAL!$B$3:$B$954&amp;"",PERIPHERAL!$I$3:$I$954,""),"Utilities",_xlfn.XLOOKUP($K712&amp;"",UTILITIES!$B$3:$B$953&amp;"",UTILITIES!$H$3:$H$953,""),"IOT",_xlfn.XLOOKUP($K712&amp;"",IOT!$B$3:$B$1012&amp;"",IOT!$I$3:$I$1012,""),"SERVER",_xlfn.XLOOKUP($K712&amp;"",SERVER!$B$3:$B$1009&amp;"",SERVER!$I$3:$I$1009,""),""))</f>
        <v/>
      </c>
      <c r="M712" t="str" cm="1">
        <f t="array" ref="M712">IF($K712="","",_xlfn.SWITCH($I712,"Computer",_xlfn.XLOOKUP($K712&amp;"",COMPUTER!$B$3:$B$1009&amp;"",COMPUTER!$J$3:$J$1009,""),"Display",_xlfn.XLOOKUP($K712&amp;"",DISPLAY!$B$3:$B$1000&amp;"",DISPLAY!$K$3:$K$1000,""),"Network Device",_xlfn.XLOOKUP($K712&amp;"",'NETWORK-DEVICES'!$B$3:$B$987&amp;"",'NETWORK-DEVICES'!$I$3:$I$987,""),"Peripheral",_xlfn.XLOOKUP($K712&amp;"",PERIPHERAL!$B$3:$B$954&amp;"",PERIPHERAL!$J$3:$J$954,""),"Utilities",_xlfn.XLOOKUP($K712&amp;"",UTILITIES!$B$3:$B$953&amp;"",UTILITIES!$I$3:$I$953,""),"IOT",_xlfn.XLOOKUP($K712&amp;"",IOT!$B$3:$B$1012&amp;"",IOT!$J$3:$J$1012,""),"Server",_xlfn.XLOOKUP($K712&amp;"",SERVER!$B$3:$B$1009&amp;"",SERVER!$J$3:$J$1009,""),""))</f>
        <v/>
      </c>
      <c r="N712" s="1" t="str" cm="1">
        <f t="array" ref="N712">IF(OR($K712="",$I712="",$J712=""),"",_xlfn.LET(_xlpm.srcCat,_xlfn.SWITCH($I712,"Computer",_xlfn.XLOOKUP($K712&amp;"",COMPUTER!$B$3:$B$1009&amp;"",COMPUTER!$H$3:$H$1009,""),"Display",_xlfn.XLOOKUP($K712&amp;"",DISPLAY!$B$3:$B$1000&amp;"",DISPLAY!$H$3:$H$1000,""),"Network Device",_xlfn.XLOOKUP($K712&amp;"",'NETWORK-DEVICES'!$B$3:$B$987&amp;"",'NETWORK-DEVICES'!$H$3:$H$987,""),"Peripheral",_xlfn.XLOOKUP($K712&amp;"",PERIPHERAL!$B$3:$B$954&amp;"",PERIPHERAL!$H$3:$H$954,""),"Utilities",_xlfn.XLOOKUP($K712&amp;"",UTILITIES!$B$3:$B$953&amp;"",UTILITIES!$G$3:$G$953,""),"IOT",_xlfn.XLOOKUP($K712&amp;"",IOT!$B$3:$B$1012&amp;"",IOT!$H$3:$H$1012,""),"Server",_xlfn.XLOOKUP($K712&amp;"",SERVER!$B$3:$B$1009&amp;"",SERVER!$H$3:$H$1009,""),""),IF(TRIM(_xlpm.srcCat)&lt;&gt;TRIM($J712),"",_xlfn.SWITCH($I712,"Computer",_xlfn.XLOOKUP($K712&amp;"",COMPUTER!$B$3:$B$1009&amp;"",COMPUTER!$K$3:$K$1009,""),"Display",_xlfn.XLOOKUP($K712&amp;"",DISPLAY!$B$3:$B$1000&amp;"",DISPLAY!$L$3:$L$1000,""),"Network Device",_xlfn.XLOOKUP($K712&amp;"",'NETWORK-DEVICES'!$B$3:$B$987&amp;"",'NETWORK-DEVICES'!$K$3:$K$987,""),"Peripheral",_xlfn.XLOOKUP($K712&amp;"",PERIPHERAL!$B$3:$B$954&amp;"",PERIPHERAL!$K$3:$K$954,""),"Utilities",_xlfn.XLOOKUP($K712&amp;"",UTILITIES!$B$3:$B$953&amp;"",UTILITIES!$J$3:$J$953,""),"IOT",_xlfn.XLOOKUP($K712&amp;"",IOT!$B$3:$B$1012&amp;"",IOT!$K$4:$K$1012,""),"Server",_xlfn.XLOOKUP($K712&amp;"",SERVER!$B$3:$B$1009&amp;"",SERVER!$K$3:$K$1009,""),""))))</f>
        <v/>
      </c>
      <c r="O712" s="1" t="str" cm="1">
        <f t="array" ref="O712">IF(OR($K712="",$I712="",$J712=""),"",_xlfn.LET(_xlpm.srcCat,_xlfn.SWITCH($I712,"Computer",_xlfn.XLOOKUP($K712&amp;"",COMPUTER!$B$3:$B$1009&amp;"",COMPUTER!$H$3:$H$1009,""),"Display",_xlfn.XLOOKUP($K712&amp;"",DISPLAY!$B$3:$B$1000&amp;"",DISPLAY!$H$3:$H$1000,""),"Network Device",_xlfn.XLOOKUP($K712&amp;"",'NETWORK-DEVICES'!$B$3:$B$987&amp;"",'NETWORK-DEVICES'!$H$3:$H$987,""),"Peripheral",_xlfn.XLOOKUP($K712&amp;"",PERIPHERAL!$B$3:$B$954&amp;"",PERIPHERAL!$H$3:$H$954,""),"Utilities",_xlfn.XLOOKUP($K712&amp;"",UTILITIES!$B$3:$B$953&amp;"",UTILITIES!$G$3:$G$953,""),"IOT",_xlfn.XLOOKUP($K712&amp;"",IOT!$B$3:$B$1012&amp;"",IOT!$H$3:$H$1012,""),"Server",_xlfn.XLOOKUP($K712&amp;"",SERVER!$B$3:$B$1009&amp;"",SERVER!$H$3:$H$1009,""),""),IF(TRIM(_xlpm.srcCat)&lt;&gt;TRIM($J712),"",_xlfn.SWITCH($I712,"Computer",_xlfn.XLOOKUP($K712&amp;"",COMPUTER!$B$3:$B$1009&amp;"",COMPUTER!$E$3:$E$1009,""),"Display",_xlfn.XLOOKUP($K712&amp;"",DISPLAY!$B$3:$B$1000&amp;"",DISPLAY!$E$3:$E$1000,""),"Network Device",_xlfn.XLOOKUP($K712&amp;"",'NETWORK-DEVICES'!$B$3:$B$987&amp;"",'NETWORK-DEVICES'!$E$3:$E$987,""),"Peripheral",_xlfn.XLOOKUP($K712&amp;"",PERIPHERAL!$B$3:$B$954&amp;"",PERIPHERAL!$E$3:$E$954,""),"Utilities",_xlfn.XLOOKUP($K712&amp;"",UTILITIES!$B$3:$B$953&amp;"",UTILITIES!$E$3:$E$953,""),"IOT",_xlfn.XLOOKUP($K712&amp;"",IOT!$B$3:$B$1012&amp;"",IOT!$E$3:$E$1012,""),"Server",_xlfn.XLOOKUP($K712&amp;"",SERVER!$B$3:$B$1009&amp;"",SERVER!$E$3:$E$1009,""),""))))</f>
        <v/>
      </c>
      <c r="Q712" s="1" t="str" cm="1">
        <f t="array" ref="Q712">IF(OR($K712="",$I712="",$J712=""),"",_xlfn.LET(_xlpm.srcCat,_xlfn.SWITCH($I712,"Computer",_xlfn.XLOOKUP($K712&amp;"",COMPUTER!$B$3:$B$1009&amp;"",COMPUTER!$H$3:$H$1009,""),"Display",_xlfn.XLOOKUP($K712&amp;"",DISPLAY!$B$3:$B$1000&amp;"",DISPLAY!$H$3:$H$1000,""),"Network Device",_xlfn.XLOOKUP($K712&amp;"",'NETWORK-DEVICES'!$B$3:$B$987&amp;"",'NETWORK-DEVICES'!$H$3:$H$987,""),"Peripheral",_xlfn.XLOOKUP($K712&amp;"",PERIPHERAL!$B$3:$B$954&amp;"",PERIPHERAL!$H$3:$H$954,""),"Utilities",_xlfn.XLOOKUP($K712&amp;"",UTILITIES!$B$3:$B$953&amp;"",UTILITIES!$G$3:$G$953,""),"IOT",_xlfn.XLOOKUP($K712&amp;"",IOT!$B$3:$B$1012&amp;"",IOT!$H$3:$H$1012,""),"Server",_xlfn.XLOOKUP($K712&amp;"",SERVER!$B$3:$B$1009&amp;"",SERVER!$H$3:$H$1009,""),""),IF(TRIM(_xlpm.srcCat)&lt;&gt;TRIM($J712),"",_xlfn.SWITCH($I712,"Computer",_xlfn.XLOOKUP($K712&amp;"",COMPUTER!$B$3:$B$1009&amp;"",COMPUTER!$AM$3:$AM$1009,""),"Display",_xlfn.XLOOKUP($K712&amp;"",DISPLAY!$B$3:$B$1000&amp;"",DISPLAY!$V$3:$V$1000,""),"Network Device",_xlfn.XLOOKUP($K712&amp;"",'NETWORK-DEVICES'!$B$3:$B$987&amp;"",'NETWORK-DEVICES'!$AF$3:$AF$987,""),"Peripheral",_xlfn.XLOOKUP($K712&amp;"",PERIPHERAL!$B$3:$B$954&amp;"",PERIPHERAL!$Y$3:$Y$954,""),"Utilities",_xlfn.XLOOKUP($K712&amp;"",UTILITIES!$B$3:$B$953&amp;"",UTILITIES!$O$3:$O$953,""),"IOT",_xlfn.XLOOKUP($K712&amp;"",IOT!$B$3:$B$1012&amp;"",IOT!$AB$3:$AB$1012,""),"Server",_xlfn.XLOOKUP($K712&amp;"",SERVER!$B$3:$B$1009&amp;"",SERVER!$AB$3:$AB$1009,""),""))))</f>
        <v/>
      </c>
      <c r="R712" s="43" t="str">
        <f>IF(tbl_handover[[#This Row],[Asset Code]]="","",COUNTIF(tbl_handover[Asset Code],tbl_handover[[#This Row],[Asset Code]]))</f>
        <v/>
      </c>
    </row>
    <row r="713" spans="1:18" x14ac:dyDescent="0.25">
      <c r="A713" s="43" t="str">
        <f>IF(B713&lt;&gt;"",SUBTOTAL(3,$B$1:B712),"")</f>
        <v/>
      </c>
      <c r="C713" s="74"/>
      <c r="D713" s="74"/>
      <c r="G713" s="1"/>
      <c r="K713" s="42"/>
      <c r="L713" t="str" cm="1">
        <f t="array" ref="L713">IF($K713="","",_xlfn.SWITCH($I713,"Computer",_xlfn.XLOOKUP($K713&amp;"",COMPUTER!$B$3:$B$1009&amp;"",COMPUTER!$I$3:$I$1009,""),"Display",_xlfn.XLOOKUP($K713&amp;"",DISPLAY!$B$3:$B$1000&amp;"",DISPLAY!$J$3:$J$1000,""),"Network Device",_xlfn.XLOOKUP($K713&amp;"",'NETWORK-DEVICES'!$B$3:$B$987&amp;"",'NETWORK-DEVICES'!$I$3:$I$987,""),"Peripheral",_xlfn.XLOOKUP($K713&amp;"",PERIPHERAL!$B$3:$B$954&amp;"",PERIPHERAL!$I$3:$I$954,""),"Utilities",_xlfn.XLOOKUP($K713&amp;"",UTILITIES!$B$3:$B$953&amp;"",UTILITIES!$H$3:$H$953,""),"IOT",_xlfn.XLOOKUP($K713&amp;"",IOT!$B$3:$B$1012&amp;"",IOT!$I$3:$I$1012,""),"SERVER",_xlfn.XLOOKUP($K713&amp;"",SERVER!$B$3:$B$1009&amp;"",SERVER!$I$3:$I$1009,""),""))</f>
        <v/>
      </c>
      <c r="M713" t="str" cm="1">
        <f t="array" ref="M713">IF($K713="","",_xlfn.SWITCH($I713,"Computer",_xlfn.XLOOKUP($K713&amp;"",COMPUTER!$B$3:$B$1009&amp;"",COMPUTER!$J$3:$J$1009,""),"Display",_xlfn.XLOOKUP($K713&amp;"",DISPLAY!$B$3:$B$1000&amp;"",DISPLAY!$K$3:$K$1000,""),"Network Device",_xlfn.XLOOKUP($K713&amp;"",'NETWORK-DEVICES'!$B$3:$B$987&amp;"",'NETWORK-DEVICES'!$I$3:$I$987,""),"Peripheral",_xlfn.XLOOKUP($K713&amp;"",PERIPHERAL!$B$3:$B$954&amp;"",PERIPHERAL!$J$3:$J$954,""),"Utilities",_xlfn.XLOOKUP($K713&amp;"",UTILITIES!$B$3:$B$953&amp;"",UTILITIES!$I$3:$I$953,""),"IOT",_xlfn.XLOOKUP($K713&amp;"",IOT!$B$3:$B$1012&amp;"",IOT!$J$3:$J$1012,""),"Server",_xlfn.XLOOKUP($K713&amp;"",SERVER!$B$3:$B$1009&amp;"",SERVER!$J$3:$J$1009,""),""))</f>
        <v/>
      </c>
      <c r="N713" s="1" t="str" cm="1">
        <f t="array" ref="N713">IF(OR($K713="",$I713="",$J713=""),"",_xlfn.LET(_xlpm.srcCat,_xlfn.SWITCH($I713,"Computer",_xlfn.XLOOKUP($K713&amp;"",COMPUTER!$B$3:$B$1009&amp;"",COMPUTER!$H$3:$H$1009,""),"Display",_xlfn.XLOOKUP($K713&amp;"",DISPLAY!$B$3:$B$1000&amp;"",DISPLAY!$H$3:$H$1000,""),"Network Device",_xlfn.XLOOKUP($K713&amp;"",'NETWORK-DEVICES'!$B$3:$B$987&amp;"",'NETWORK-DEVICES'!$H$3:$H$987,""),"Peripheral",_xlfn.XLOOKUP($K713&amp;"",PERIPHERAL!$B$3:$B$954&amp;"",PERIPHERAL!$H$3:$H$954,""),"Utilities",_xlfn.XLOOKUP($K713&amp;"",UTILITIES!$B$3:$B$953&amp;"",UTILITIES!$G$3:$G$953,""),"IOT",_xlfn.XLOOKUP($K713&amp;"",IOT!$B$3:$B$1012&amp;"",IOT!$H$3:$H$1012,""),"Server",_xlfn.XLOOKUP($K713&amp;"",SERVER!$B$3:$B$1009&amp;"",SERVER!$H$3:$H$1009,""),""),IF(TRIM(_xlpm.srcCat)&lt;&gt;TRIM($J713),"",_xlfn.SWITCH($I713,"Computer",_xlfn.XLOOKUP($K713&amp;"",COMPUTER!$B$3:$B$1009&amp;"",COMPUTER!$K$3:$K$1009,""),"Display",_xlfn.XLOOKUP($K713&amp;"",DISPLAY!$B$3:$B$1000&amp;"",DISPLAY!$L$3:$L$1000,""),"Network Device",_xlfn.XLOOKUP($K713&amp;"",'NETWORK-DEVICES'!$B$3:$B$987&amp;"",'NETWORK-DEVICES'!$K$3:$K$987,""),"Peripheral",_xlfn.XLOOKUP($K713&amp;"",PERIPHERAL!$B$3:$B$954&amp;"",PERIPHERAL!$K$3:$K$954,""),"Utilities",_xlfn.XLOOKUP($K713&amp;"",UTILITIES!$B$3:$B$953&amp;"",UTILITIES!$J$3:$J$953,""),"IOT",_xlfn.XLOOKUP($K713&amp;"",IOT!$B$3:$B$1012&amp;"",IOT!$K$4:$K$1012,""),"Server",_xlfn.XLOOKUP($K713&amp;"",SERVER!$B$3:$B$1009&amp;"",SERVER!$K$3:$K$1009,""),""))))</f>
        <v/>
      </c>
      <c r="O713" s="1" t="str" cm="1">
        <f t="array" ref="O713">IF(OR($K713="",$I713="",$J713=""),"",_xlfn.LET(_xlpm.srcCat,_xlfn.SWITCH($I713,"Computer",_xlfn.XLOOKUP($K713&amp;"",COMPUTER!$B$3:$B$1009&amp;"",COMPUTER!$H$3:$H$1009,""),"Display",_xlfn.XLOOKUP($K713&amp;"",DISPLAY!$B$3:$B$1000&amp;"",DISPLAY!$H$3:$H$1000,""),"Network Device",_xlfn.XLOOKUP($K713&amp;"",'NETWORK-DEVICES'!$B$3:$B$987&amp;"",'NETWORK-DEVICES'!$H$3:$H$987,""),"Peripheral",_xlfn.XLOOKUP($K713&amp;"",PERIPHERAL!$B$3:$B$954&amp;"",PERIPHERAL!$H$3:$H$954,""),"Utilities",_xlfn.XLOOKUP($K713&amp;"",UTILITIES!$B$3:$B$953&amp;"",UTILITIES!$G$3:$G$953,""),"IOT",_xlfn.XLOOKUP($K713&amp;"",IOT!$B$3:$B$1012&amp;"",IOT!$H$3:$H$1012,""),"Server",_xlfn.XLOOKUP($K713&amp;"",SERVER!$B$3:$B$1009&amp;"",SERVER!$H$3:$H$1009,""),""),IF(TRIM(_xlpm.srcCat)&lt;&gt;TRIM($J713),"",_xlfn.SWITCH($I713,"Computer",_xlfn.XLOOKUP($K713&amp;"",COMPUTER!$B$3:$B$1009&amp;"",COMPUTER!$E$3:$E$1009,""),"Display",_xlfn.XLOOKUP($K713&amp;"",DISPLAY!$B$3:$B$1000&amp;"",DISPLAY!$E$3:$E$1000,""),"Network Device",_xlfn.XLOOKUP($K713&amp;"",'NETWORK-DEVICES'!$B$3:$B$987&amp;"",'NETWORK-DEVICES'!$E$3:$E$987,""),"Peripheral",_xlfn.XLOOKUP($K713&amp;"",PERIPHERAL!$B$3:$B$954&amp;"",PERIPHERAL!$E$3:$E$954,""),"Utilities",_xlfn.XLOOKUP($K713&amp;"",UTILITIES!$B$3:$B$953&amp;"",UTILITIES!$E$3:$E$953,""),"IOT",_xlfn.XLOOKUP($K713&amp;"",IOT!$B$3:$B$1012&amp;"",IOT!$E$3:$E$1012,""),"Server",_xlfn.XLOOKUP($K713&amp;"",SERVER!$B$3:$B$1009&amp;"",SERVER!$E$3:$E$1009,""),""))))</f>
        <v/>
      </c>
      <c r="Q713" s="1" t="str" cm="1">
        <f t="array" ref="Q713">IF(OR($K713="",$I713="",$J713=""),"",_xlfn.LET(_xlpm.srcCat,_xlfn.SWITCH($I713,"Computer",_xlfn.XLOOKUP($K713&amp;"",COMPUTER!$B$3:$B$1009&amp;"",COMPUTER!$H$3:$H$1009,""),"Display",_xlfn.XLOOKUP($K713&amp;"",DISPLAY!$B$3:$B$1000&amp;"",DISPLAY!$H$3:$H$1000,""),"Network Device",_xlfn.XLOOKUP($K713&amp;"",'NETWORK-DEVICES'!$B$3:$B$987&amp;"",'NETWORK-DEVICES'!$H$3:$H$987,""),"Peripheral",_xlfn.XLOOKUP($K713&amp;"",PERIPHERAL!$B$3:$B$954&amp;"",PERIPHERAL!$H$3:$H$954,""),"Utilities",_xlfn.XLOOKUP($K713&amp;"",UTILITIES!$B$3:$B$953&amp;"",UTILITIES!$G$3:$G$953,""),"IOT",_xlfn.XLOOKUP($K713&amp;"",IOT!$B$3:$B$1012&amp;"",IOT!$H$3:$H$1012,""),"Server",_xlfn.XLOOKUP($K713&amp;"",SERVER!$B$3:$B$1009&amp;"",SERVER!$H$3:$H$1009,""),""),IF(TRIM(_xlpm.srcCat)&lt;&gt;TRIM($J713),"",_xlfn.SWITCH($I713,"Computer",_xlfn.XLOOKUP($K713&amp;"",COMPUTER!$B$3:$B$1009&amp;"",COMPUTER!$AM$3:$AM$1009,""),"Display",_xlfn.XLOOKUP($K713&amp;"",DISPLAY!$B$3:$B$1000&amp;"",DISPLAY!$V$3:$V$1000,""),"Network Device",_xlfn.XLOOKUP($K713&amp;"",'NETWORK-DEVICES'!$B$3:$B$987&amp;"",'NETWORK-DEVICES'!$AF$3:$AF$987,""),"Peripheral",_xlfn.XLOOKUP($K713&amp;"",PERIPHERAL!$B$3:$B$954&amp;"",PERIPHERAL!$Y$3:$Y$954,""),"Utilities",_xlfn.XLOOKUP($K713&amp;"",UTILITIES!$B$3:$B$953&amp;"",UTILITIES!$O$3:$O$953,""),"IOT",_xlfn.XLOOKUP($K713&amp;"",IOT!$B$3:$B$1012&amp;"",IOT!$AB$3:$AB$1012,""),"Server",_xlfn.XLOOKUP($K713&amp;"",SERVER!$B$3:$B$1009&amp;"",SERVER!$AB$3:$AB$1009,""),""))))</f>
        <v/>
      </c>
      <c r="R713" s="43" t="str">
        <f>IF(tbl_handover[[#This Row],[Asset Code]]="","",COUNTIF(tbl_handover[Asset Code],tbl_handover[[#This Row],[Asset Code]]))</f>
        <v/>
      </c>
    </row>
    <row r="714" spans="1:18" x14ac:dyDescent="0.25">
      <c r="A714" s="43" t="str">
        <f>IF(B714&lt;&gt;"",SUBTOTAL(3,$B$1:B713),"")</f>
        <v/>
      </c>
      <c r="C714" s="74"/>
      <c r="D714" s="74"/>
      <c r="G714" s="1"/>
      <c r="K714" s="42"/>
      <c r="L714" t="str" cm="1">
        <f t="array" ref="L714">IF($K714="","",_xlfn.SWITCH($I714,"Computer",_xlfn.XLOOKUP($K714&amp;"",COMPUTER!$B$3:$B$1009&amp;"",COMPUTER!$I$3:$I$1009,""),"Display",_xlfn.XLOOKUP($K714&amp;"",DISPLAY!$B$3:$B$1000&amp;"",DISPLAY!$J$3:$J$1000,""),"Network Device",_xlfn.XLOOKUP($K714&amp;"",'NETWORK-DEVICES'!$B$3:$B$987&amp;"",'NETWORK-DEVICES'!$I$3:$I$987,""),"Peripheral",_xlfn.XLOOKUP($K714&amp;"",PERIPHERAL!$B$3:$B$954&amp;"",PERIPHERAL!$I$3:$I$954,""),"Utilities",_xlfn.XLOOKUP($K714&amp;"",UTILITIES!$B$3:$B$953&amp;"",UTILITIES!$H$3:$H$953,""),"IOT",_xlfn.XLOOKUP($K714&amp;"",IOT!$B$3:$B$1012&amp;"",IOT!$I$3:$I$1012,""),"SERVER",_xlfn.XLOOKUP($K714&amp;"",SERVER!$B$3:$B$1009&amp;"",SERVER!$I$3:$I$1009,""),""))</f>
        <v/>
      </c>
      <c r="M714" t="str" cm="1">
        <f t="array" ref="M714">IF($K714="","",_xlfn.SWITCH($I714,"Computer",_xlfn.XLOOKUP($K714&amp;"",COMPUTER!$B$3:$B$1009&amp;"",COMPUTER!$J$3:$J$1009,""),"Display",_xlfn.XLOOKUP($K714&amp;"",DISPLAY!$B$3:$B$1000&amp;"",DISPLAY!$K$3:$K$1000,""),"Network Device",_xlfn.XLOOKUP($K714&amp;"",'NETWORK-DEVICES'!$B$3:$B$987&amp;"",'NETWORK-DEVICES'!$I$3:$I$987,""),"Peripheral",_xlfn.XLOOKUP($K714&amp;"",PERIPHERAL!$B$3:$B$954&amp;"",PERIPHERAL!$J$3:$J$954,""),"Utilities",_xlfn.XLOOKUP($K714&amp;"",UTILITIES!$B$3:$B$953&amp;"",UTILITIES!$I$3:$I$953,""),"IOT",_xlfn.XLOOKUP($K714&amp;"",IOT!$B$3:$B$1012&amp;"",IOT!$J$3:$J$1012,""),"Server",_xlfn.XLOOKUP($K714&amp;"",SERVER!$B$3:$B$1009&amp;"",SERVER!$J$3:$J$1009,""),""))</f>
        <v/>
      </c>
      <c r="N714" s="1" t="str" cm="1">
        <f t="array" ref="N714">IF(OR($K714="",$I714="",$J714=""),"",_xlfn.LET(_xlpm.srcCat,_xlfn.SWITCH($I714,"Computer",_xlfn.XLOOKUP($K714&amp;"",COMPUTER!$B$3:$B$1009&amp;"",COMPUTER!$H$3:$H$1009,""),"Display",_xlfn.XLOOKUP($K714&amp;"",DISPLAY!$B$3:$B$1000&amp;"",DISPLAY!$H$3:$H$1000,""),"Network Device",_xlfn.XLOOKUP($K714&amp;"",'NETWORK-DEVICES'!$B$3:$B$987&amp;"",'NETWORK-DEVICES'!$H$3:$H$987,""),"Peripheral",_xlfn.XLOOKUP($K714&amp;"",PERIPHERAL!$B$3:$B$954&amp;"",PERIPHERAL!$H$3:$H$954,""),"Utilities",_xlfn.XLOOKUP($K714&amp;"",UTILITIES!$B$3:$B$953&amp;"",UTILITIES!$G$3:$G$953,""),"IOT",_xlfn.XLOOKUP($K714&amp;"",IOT!$B$3:$B$1012&amp;"",IOT!$H$3:$H$1012,""),"Server",_xlfn.XLOOKUP($K714&amp;"",SERVER!$B$3:$B$1009&amp;"",SERVER!$H$3:$H$1009,""),""),IF(TRIM(_xlpm.srcCat)&lt;&gt;TRIM($J714),"",_xlfn.SWITCH($I714,"Computer",_xlfn.XLOOKUP($K714&amp;"",COMPUTER!$B$3:$B$1009&amp;"",COMPUTER!$K$3:$K$1009,""),"Display",_xlfn.XLOOKUP($K714&amp;"",DISPLAY!$B$3:$B$1000&amp;"",DISPLAY!$L$3:$L$1000,""),"Network Device",_xlfn.XLOOKUP($K714&amp;"",'NETWORK-DEVICES'!$B$3:$B$987&amp;"",'NETWORK-DEVICES'!$K$3:$K$987,""),"Peripheral",_xlfn.XLOOKUP($K714&amp;"",PERIPHERAL!$B$3:$B$954&amp;"",PERIPHERAL!$K$3:$K$954,""),"Utilities",_xlfn.XLOOKUP($K714&amp;"",UTILITIES!$B$3:$B$953&amp;"",UTILITIES!$J$3:$J$953,""),"IOT",_xlfn.XLOOKUP($K714&amp;"",IOT!$B$3:$B$1012&amp;"",IOT!$K$4:$K$1012,""),"Server",_xlfn.XLOOKUP($K714&amp;"",SERVER!$B$3:$B$1009&amp;"",SERVER!$K$3:$K$1009,""),""))))</f>
        <v/>
      </c>
      <c r="O714" s="1" t="str" cm="1">
        <f t="array" ref="O714">IF(OR($K714="",$I714="",$J714=""),"",_xlfn.LET(_xlpm.srcCat,_xlfn.SWITCH($I714,"Computer",_xlfn.XLOOKUP($K714&amp;"",COMPUTER!$B$3:$B$1009&amp;"",COMPUTER!$H$3:$H$1009,""),"Display",_xlfn.XLOOKUP($K714&amp;"",DISPLAY!$B$3:$B$1000&amp;"",DISPLAY!$H$3:$H$1000,""),"Network Device",_xlfn.XLOOKUP($K714&amp;"",'NETWORK-DEVICES'!$B$3:$B$987&amp;"",'NETWORK-DEVICES'!$H$3:$H$987,""),"Peripheral",_xlfn.XLOOKUP($K714&amp;"",PERIPHERAL!$B$3:$B$954&amp;"",PERIPHERAL!$H$3:$H$954,""),"Utilities",_xlfn.XLOOKUP($K714&amp;"",UTILITIES!$B$3:$B$953&amp;"",UTILITIES!$G$3:$G$953,""),"IOT",_xlfn.XLOOKUP($K714&amp;"",IOT!$B$3:$B$1012&amp;"",IOT!$H$3:$H$1012,""),"Server",_xlfn.XLOOKUP($K714&amp;"",SERVER!$B$3:$B$1009&amp;"",SERVER!$H$3:$H$1009,""),""),IF(TRIM(_xlpm.srcCat)&lt;&gt;TRIM($J714),"",_xlfn.SWITCH($I714,"Computer",_xlfn.XLOOKUP($K714&amp;"",COMPUTER!$B$3:$B$1009&amp;"",COMPUTER!$E$3:$E$1009,""),"Display",_xlfn.XLOOKUP($K714&amp;"",DISPLAY!$B$3:$B$1000&amp;"",DISPLAY!$E$3:$E$1000,""),"Network Device",_xlfn.XLOOKUP($K714&amp;"",'NETWORK-DEVICES'!$B$3:$B$987&amp;"",'NETWORK-DEVICES'!$E$3:$E$987,""),"Peripheral",_xlfn.XLOOKUP($K714&amp;"",PERIPHERAL!$B$3:$B$954&amp;"",PERIPHERAL!$E$3:$E$954,""),"Utilities",_xlfn.XLOOKUP($K714&amp;"",UTILITIES!$B$3:$B$953&amp;"",UTILITIES!$E$3:$E$953,""),"IOT",_xlfn.XLOOKUP($K714&amp;"",IOT!$B$3:$B$1012&amp;"",IOT!$E$3:$E$1012,""),"Server",_xlfn.XLOOKUP($K714&amp;"",SERVER!$B$3:$B$1009&amp;"",SERVER!$E$3:$E$1009,""),""))))</f>
        <v/>
      </c>
      <c r="Q714" s="1" t="str" cm="1">
        <f t="array" ref="Q714">IF(OR($K714="",$I714="",$J714=""),"",_xlfn.LET(_xlpm.srcCat,_xlfn.SWITCH($I714,"Computer",_xlfn.XLOOKUP($K714&amp;"",COMPUTER!$B$3:$B$1009&amp;"",COMPUTER!$H$3:$H$1009,""),"Display",_xlfn.XLOOKUP($K714&amp;"",DISPLAY!$B$3:$B$1000&amp;"",DISPLAY!$H$3:$H$1000,""),"Network Device",_xlfn.XLOOKUP($K714&amp;"",'NETWORK-DEVICES'!$B$3:$B$987&amp;"",'NETWORK-DEVICES'!$H$3:$H$987,""),"Peripheral",_xlfn.XLOOKUP($K714&amp;"",PERIPHERAL!$B$3:$B$954&amp;"",PERIPHERAL!$H$3:$H$954,""),"Utilities",_xlfn.XLOOKUP($K714&amp;"",UTILITIES!$B$3:$B$953&amp;"",UTILITIES!$G$3:$G$953,""),"IOT",_xlfn.XLOOKUP($K714&amp;"",IOT!$B$3:$B$1012&amp;"",IOT!$H$3:$H$1012,""),"Server",_xlfn.XLOOKUP($K714&amp;"",SERVER!$B$3:$B$1009&amp;"",SERVER!$H$3:$H$1009,""),""),IF(TRIM(_xlpm.srcCat)&lt;&gt;TRIM($J714),"",_xlfn.SWITCH($I714,"Computer",_xlfn.XLOOKUP($K714&amp;"",COMPUTER!$B$3:$B$1009&amp;"",COMPUTER!$AM$3:$AM$1009,""),"Display",_xlfn.XLOOKUP($K714&amp;"",DISPLAY!$B$3:$B$1000&amp;"",DISPLAY!$V$3:$V$1000,""),"Network Device",_xlfn.XLOOKUP($K714&amp;"",'NETWORK-DEVICES'!$B$3:$B$987&amp;"",'NETWORK-DEVICES'!$AF$3:$AF$987,""),"Peripheral",_xlfn.XLOOKUP($K714&amp;"",PERIPHERAL!$B$3:$B$954&amp;"",PERIPHERAL!$Y$3:$Y$954,""),"Utilities",_xlfn.XLOOKUP($K714&amp;"",UTILITIES!$B$3:$B$953&amp;"",UTILITIES!$O$3:$O$953,""),"IOT",_xlfn.XLOOKUP($K714&amp;"",IOT!$B$3:$B$1012&amp;"",IOT!$AB$3:$AB$1012,""),"Server",_xlfn.XLOOKUP($K714&amp;"",SERVER!$B$3:$B$1009&amp;"",SERVER!$AB$3:$AB$1009,""),""))))</f>
        <v/>
      </c>
      <c r="R714" s="43" t="str">
        <f>IF(tbl_handover[[#This Row],[Asset Code]]="","",COUNTIF(tbl_handover[Asset Code],tbl_handover[[#This Row],[Asset Code]]))</f>
        <v/>
      </c>
    </row>
    <row r="715" spans="1:18" x14ac:dyDescent="0.25">
      <c r="A715" s="43" t="str">
        <f>IF(B715&lt;&gt;"",SUBTOTAL(3,$B$1:B714),"")</f>
        <v/>
      </c>
      <c r="C715" s="74"/>
      <c r="D715" s="74"/>
      <c r="G715" s="1"/>
      <c r="K715" s="42"/>
      <c r="L715" t="str" cm="1">
        <f t="array" ref="L715">IF($K715="","",_xlfn.SWITCH($I715,"Computer",_xlfn.XLOOKUP($K715&amp;"",COMPUTER!$B$3:$B$1009&amp;"",COMPUTER!$I$3:$I$1009,""),"Display",_xlfn.XLOOKUP($K715&amp;"",DISPLAY!$B$3:$B$1000&amp;"",DISPLAY!$J$3:$J$1000,""),"Network Device",_xlfn.XLOOKUP($K715&amp;"",'NETWORK-DEVICES'!$B$3:$B$987&amp;"",'NETWORK-DEVICES'!$I$3:$I$987,""),"Peripheral",_xlfn.XLOOKUP($K715&amp;"",PERIPHERAL!$B$3:$B$954&amp;"",PERIPHERAL!$I$3:$I$954,""),"Utilities",_xlfn.XLOOKUP($K715&amp;"",UTILITIES!$B$3:$B$953&amp;"",UTILITIES!$H$3:$H$953,""),"IOT",_xlfn.XLOOKUP($K715&amp;"",IOT!$B$3:$B$1012&amp;"",IOT!$I$3:$I$1012,""),"SERVER",_xlfn.XLOOKUP($K715&amp;"",SERVER!$B$3:$B$1009&amp;"",SERVER!$I$3:$I$1009,""),""))</f>
        <v/>
      </c>
      <c r="M715" t="str" cm="1">
        <f t="array" ref="M715">IF($K715="","",_xlfn.SWITCH($I715,"Computer",_xlfn.XLOOKUP($K715&amp;"",COMPUTER!$B$3:$B$1009&amp;"",COMPUTER!$J$3:$J$1009,""),"Display",_xlfn.XLOOKUP($K715&amp;"",DISPLAY!$B$3:$B$1000&amp;"",DISPLAY!$K$3:$K$1000,""),"Network Device",_xlfn.XLOOKUP($K715&amp;"",'NETWORK-DEVICES'!$B$3:$B$987&amp;"",'NETWORK-DEVICES'!$I$3:$I$987,""),"Peripheral",_xlfn.XLOOKUP($K715&amp;"",PERIPHERAL!$B$3:$B$954&amp;"",PERIPHERAL!$J$3:$J$954,""),"Utilities",_xlfn.XLOOKUP($K715&amp;"",UTILITIES!$B$3:$B$953&amp;"",UTILITIES!$I$3:$I$953,""),"IOT",_xlfn.XLOOKUP($K715&amp;"",IOT!$B$3:$B$1012&amp;"",IOT!$J$3:$J$1012,""),"Server",_xlfn.XLOOKUP($K715&amp;"",SERVER!$B$3:$B$1009&amp;"",SERVER!$J$3:$J$1009,""),""))</f>
        <v/>
      </c>
      <c r="N715" s="1" t="str" cm="1">
        <f t="array" ref="N715">IF(OR($K715="",$I715="",$J715=""),"",_xlfn.LET(_xlpm.srcCat,_xlfn.SWITCH($I715,"Computer",_xlfn.XLOOKUP($K715&amp;"",COMPUTER!$B$3:$B$1009&amp;"",COMPUTER!$H$3:$H$1009,""),"Display",_xlfn.XLOOKUP($K715&amp;"",DISPLAY!$B$3:$B$1000&amp;"",DISPLAY!$H$3:$H$1000,""),"Network Device",_xlfn.XLOOKUP($K715&amp;"",'NETWORK-DEVICES'!$B$3:$B$987&amp;"",'NETWORK-DEVICES'!$H$3:$H$987,""),"Peripheral",_xlfn.XLOOKUP($K715&amp;"",PERIPHERAL!$B$3:$B$954&amp;"",PERIPHERAL!$H$3:$H$954,""),"Utilities",_xlfn.XLOOKUP($K715&amp;"",UTILITIES!$B$3:$B$953&amp;"",UTILITIES!$G$3:$G$953,""),"IOT",_xlfn.XLOOKUP($K715&amp;"",IOT!$B$3:$B$1012&amp;"",IOT!$H$3:$H$1012,""),"Server",_xlfn.XLOOKUP($K715&amp;"",SERVER!$B$3:$B$1009&amp;"",SERVER!$H$3:$H$1009,""),""),IF(TRIM(_xlpm.srcCat)&lt;&gt;TRIM($J715),"",_xlfn.SWITCH($I715,"Computer",_xlfn.XLOOKUP($K715&amp;"",COMPUTER!$B$3:$B$1009&amp;"",COMPUTER!$K$3:$K$1009,""),"Display",_xlfn.XLOOKUP($K715&amp;"",DISPLAY!$B$3:$B$1000&amp;"",DISPLAY!$L$3:$L$1000,""),"Network Device",_xlfn.XLOOKUP($K715&amp;"",'NETWORK-DEVICES'!$B$3:$B$987&amp;"",'NETWORK-DEVICES'!$K$3:$K$987,""),"Peripheral",_xlfn.XLOOKUP($K715&amp;"",PERIPHERAL!$B$3:$B$954&amp;"",PERIPHERAL!$K$3:$K$954,""),"Utilities",_xlfn.XLOOKUP($K715&amp;"",UTILITIES!$B$3:$B$953&amp;"",UTILITIES!$J$3:$J$953,""),"IOT",_xlfn.XLOOKUP($K715&amp;"",IOT!$B$3:$B$1012&amp;"",IOT!$K$4:$K$1012,""),"Server",_xlfn.XLOOKUP($K715&amp;"",SERVER!$B$3:$B$1009&amp;"",SERVER!$K$3:$K$1009,""),""))))</f>
        <v/>
      </c>
      <c r="O715" s="1" t="str" cm="1">
        <f t="array" ref="O715">IF(OR($K715="",$I715="",$J715=""),"",_xlfn.LET(_xlpm.srcCat,_xlfn.SWITCH($I715,"Computer",_xlfn.XLOOKUP($K715&amp;"",COMPUTER!$B$3:$B$1009&amp;"",COMPUTER!$H$3:$H$1009,""),"Display",_xlfn.XLOOKUP($K715&amp;"",DISPLAY!$B$3:$B$1000&amp;"",DISPLAY!$H$3:$H$1000,""),"Network Device",_xlfn.XLOOKUP($K715&amp;"",'NETWORK-DEVICES'!$B$3:$B$987&amp;"",'NETWORK-DEVICES'!$H$3:$H$987,""),"Peripheral",_xlfn.XLOOKUP($K715&amp;"",PERIPHERAL!$B$3:$B$954&amp;"",PERIPHERAL!$H$3:$H$954,""),"Utilities",_xlfn.XLOOKUP($K715&amp;"",UTILITIES!$B$3:$B$953&amp;"",UTILITIES!$G$3:$G$953,""),"IOT",_xlfn.XLOOKUP($K715&amp;"",IOT!$B$3:$B$1012&amp;"",IOT!$H$3:$H$1012,""),"Server",_xlfn.XLOOKUP($K715&amp;"",SERVER!$B$3:$B$1009&amp;"",SERVER!$H$3:$H$1009,""),""),IF(TRIM(_xlpm.srcCat)&lt;&gt;TRIM($J715),"",_xlfn.SWITCH($I715,"Computer",_xlfn.XLOOKUP($K715&amp;"",COMPUTER!$B$3:$B$1009&amp;"",COMPUTER!$E$3:$E$1009,""),"Display",_xlfn.XLOOKUP($K715&amp;"",DISPLAY!$B$3:$B$1000&amp;"",DISPLAY!$E$3:$E$1000,""),"Network Device",_xlfn.XLOOKUP($K715&amp;"",'NETWORK-DEVICES'!$B$3:$B$987&amp;"",'NETWORK-DEVICES'!$E$3:$E$987,""),"Peripheral",_xlfn.XLOOKUP($K715&amp;"",PERIPHERAL!$B$3:$B$954&amp;"",PERIPHERAL!$E$3:$E$954,""),"Utilities",_xlfn.XLOOKUP($K715&amp;"",UTILITIES!$B$3:$B$953&amp;"",UTILITIES!$E$3:$E$953,""),"IOT",_xlfn.XLOOKUP($K715&amp;"",IOT!$B$3:$B$1012&amp;"",IOT!$E$3:$E$1012,""),"Server",_xlfn.XLOOKUP($K715&amp;"",SERVER!$B$3:$B$1009&amp;"",SERVER!$E$3:$E$1009,""),""))))</f>
        <v/>
      </c>
      <c r="Q715" s="1" t="str" cm="1">
        <f t="array" ref="Q715">IF(OR($K715="",$I715="",$J715=""),"",_xlfn.LET(_xlpm.srcCat,_xlfn.SWITCH($I715,"Computer",_xlfn.XLOOKUP($K715&amp;"",COMPUTER!$B$3:$B$1009&amp;"",COMPUTER!$H$3:$H$1009,""),"Display",_xlfn.XLOOKUP($K715&amp;"",DISPLAY!$B$3:$B$1000&amp;"",DISPLAY!$H$3:$H$1000,""),"Network Device",_xlfn.XLOOKUP($K715&amp;"",'NETWORK-DEVICES'!$B$3:$B$987&amp;"",'NETWORK-DEVICES'!$H$3:$H$987,""),"Peripheral",_xlfn.XLOOKUP($K715&amp;"",PERIPHERAL!$B$3:$B$954&amp;"",PERIPHERAL!$H$3:$H$954,""),"Utilities",_xlfn.XLOOKUP($K715&amp;"",UTILITIES!$B$3:$B$953&amp;"",UTILITIES!$G$3:$G$953,""),"IOT",_xlfn.XLOOKUP($K715&amp;"",IOT!$B$3:$B$1012&amp;"",IOT!$H$3:$H$1012,""),"Server",_xlfn.XLOOKUP($K715&amp;"",SERVER!$B$3:$B$1009&amp;"",SERVER!$H$3:$H$1009,""),""),IF(TRIM(_xlpm.srcCat)&lt;&gt;TRIM($J715),"",_xlfn.SWITCH($I715,"Computer",_xlfn.XLOOKUP($K715&amp;"",COMPUTER!$B$3:$B$1009&amp;"",COMPUTER!$AM$3:$AM$1009,""),"Display",_xlfn.XLOOKUP($K715&amp;"",DISPLAY!$B$3:$B$1000&amp;"",DISPLAY!$V$3:$V$1000,""),"Network Device",_xlfn.XLOOKUP($K715&amp;"",'NETWORK-DEVICES'!$B$3:$B$987&amp;"",'NETWORK-DEVICES'!$AF$3:$AF$987,""),"Peripheral",_xlfn.XLOOKUP($K715&amp;"",PERIPHERAL!$B$3:$B$954&amp;"",PERIPHERAL!$Y$3:$Y$954,""),"Utilities",_xlfn.XLOOKUP($K715&amp;"",UTILITIES!$B$3:$B$953&amp;"",UTILITIES!$O$3:$O$953,""),"IOT",_xlfn.XLOOKUP($K715&amp;"",IOT!$B$3:$B$1012&amp;"",IOT!$AB$3:$AB$1012,""),"Server",_xlfn.XLOOKUP($K715&amp;"",SERVER!$B$3:$B$1009&amp;"",SERVER!$AB$3:$AB$1009,""),""))))</f>
        <v/>
      </c>
      <c r="R715" s="43" t="str">
        <f>IF(tbl_handover[[#This Row],[Asset Code]]="","",COUNTIF(tbl_handover[Asset Code],tbl_handover[[#This Row],[Asset Code]]))</f>
        <v/>
      </c>
    </row>
    <row r="716" spans="1:18" x14ac:dyDescent="0.25">
      <c r="A716" s="43" t="str">
        <f>IF(B716&lt;&gt;"",SUBTOTAL(3,$B$1:B715),"")</f>
        <v/>
      </c>
      <c r="C716" s="74"/>
      <c r="D716" s="74"/>
      <c r="G716" s="1"/>
      <c r="K716" s="42"/>
      <c r="L716" t="str" cm="1">
        <f t="array" ref="L716">IF($K716="","",_xlfn.SWITCH($I716,"Computer",_xlfn.XLOOKUP($K716&amp;"",COMPUTER!$B$3:$B$1009&amp;"",COMPUTER!$I$3:$I$1009,""),"Display",_xlfn.XLOOKUP($K716&amp;"",DISPLAY!$B$3:$B$1000&amp;"",DISPLAY!$J$3:$J$1000,""),"Network Device",_xlfn.XLOOKUP($K716&amp;"",'NETWORK-DEVICES'!$B$3:$B$987&amp;"",'NETWORK-DEVICES'!$I$3:$I$987,""),"Peripheral",_xlfn.XLOOKUP($K716&amp;"",PERIPHERAL!$B$3:$B$954&amp;"",PERIPHERAL!$I$3:$I$954,""),"Utilities",_xlfn.XLOOKUP($K716&amp;"",UTILITIES!$B$3:$B$953&amp;"",UTILITIES!$H$3:$H$953,""),"IOT",_xlfn.XLOOKUP($K716&amp;"",IOT!$B$3:$B$1012&amp;"",IOT!$I$3:$I$1012,""),"SERVER",_xlfn.XLOOKUP($K716&amp;"",SERVER!$B$3:$B$1009&amp;"",SERVER!$I$3:$I$1009,""),""))</f>
        <v/>
      </c>
      <c r="M716" t="str" cm="1">
        <f t="array" ref="M716">IF($K716="","",_xlfn.SWITCH($I716,"Computer",_xlfn.XLOOKUP($K716&amp;"",COMPUTER!$B$3:$B$1009&amp;"",COMPUTER!$J$3:$J$1009,""),"Display",_xlfn.XLOOKUP($K716&amp;"",DISPLAY!$B$3:$B$1000&amp;"",DISPLAY!$K$3:$K$1000,""),"Network Device",_xlfn.XLOOKUP($K716&amp;"",'NETWORK-DEVICES'!$B$3:$B$987&amp;"",'NETWORK-DEVICES'!$I$3:$I$987,""),"Peripheral",_xlfn.XLOOKUP($K716&amp;"",PERIPHERAL!$B$3:$B$954&amp;"",PERIPHERAL!$J$3:$J$954,""),"Utilities",_xlfn.XLOOKUP($K716&amp;"",UTILITIES!$B$3:$B$953&amp;"",UTILITIES!$I$3:$I$953,""),"IOT",_xlfn.XLOOKUP($K716&amp;"",IOT!$B$3:$B$1012&amp;"",IOT!$J$3:$J$1012,""),"Server",_xlfn.XLOOKUP($K716&amp;"",SERVER!$B$3:$B$1009&amp;"",SERVER!$J$3:$J$1009,""),""))</f>
        <v/>
      </c>
      <c r="N716" s="1" t="str" cm="1">
        <f t="array" ref="N716">IF(OR($K716="",$I716="",$J716=""),"",_xlfn.LET(_xlpm.srcCat,_xlfn.SWITCH($I716,"Computer",_xlfn.XLOOKUP($K716&amp;"",COMPUTER!$B$3:$B$1009&amp;"",COMPUTER!$H$3:$H$1009,""),"Display",_xlfn.XLOOKUP($K716&amp;"",DISPLAY!$B$3:$B$1000&amp;"",DISPLAY!$H$3:$H$1000,""),"Network Device",_xlfn.XLOOKUP($K716&amp;"",'NETWORK-DEVICES'!$B$3:$B$987&amp;"",'NETWORK-DEVICES'!$H$3:$H$987,""),"Peripheral",_xlfn.XLOOKUP($K716&amp;"",PERIPHERAL!$B$3:$B$954&amp;"",PERIPHERAL!$H$3:$H$954,""),"Utilities",_xlfn.XLOOKUP($K716&amp;"",UTILITIES!$B$3:$B$953&amp;"",UTILITIES!$G$3:$G$953,""),"IOT",_xlfn.XLOOKUP($K716&amp;"",IOT!$B$3:$B$1012&amp;"",IOT!$H$3:$H$1012,""),"Server",_xlfn.XLOOKUP($K716&amp;"",SERVER!$B$3:$B$1009&amp;"",SERVER!$H$3:$H$1009,""),""),IF(TRIM(_xlpm.srcCat)&lt;&gt;TRIM($J716),"",_xlfn.SWITCH($I716,"Computer",_xlfn.XLOOKUP($K716&amp;"",COMPUTER!$B$3:$B$1009&amp;"",COMPUTER!$K$3:$K$1009,""),"Display",_xlfn.XLOOKUP($K716&amp;"",DISPLAY!$B$3:$B$1000&amp;"",DISPLAY!$L$3:$L$1000,""),"Network Device",_xlfn.XLOOKUP($K716&amp;"",'NETWORK-DEVICES'!$B$3:$B$987&amp;"",'NETWORK-DEVICES'!$K$3:$K$987,""),"Peripheral",_xlfn.XLOOKUP($K716&amp;"",PERIPHERAL!$B$3:$B$954&amp;"",PERIPHERAL!$K$3:$K$954,""),"Utilities",_xlfn.XLOOKUP($K716&amp;"",UTILITIES!$B$3:$B$953&amp;"",UTILITIES!$J$3:$J$953,""),"IOT",_xlfn.XLOOKUP($K716&amp;"",IOT!$B$3:$B$1012&amp;"",IOT!$K$4:$K$1012,""),"Server",_xlfn.XLOOKUP($K716&amp;"",SERVER!$B$3:$B$1009&amp;"",SERVER!$K$3:$K$1009,""),""))))</f>
        <v/>
      </c>
      <c r="O716" s="1" t="str" cm="1">
        <f t="array" ref="O716">IF(OR($K716="",$I716="",$J716=""),"",_xlfn.LET(_xlpm.srcCat,_xlfn.SWITCH($I716,"Computer",_xlfn.XLOOKUP($K716&amp;"",COMPUTER!$B$3:$B$1009&amp;"",COMPUTER!$H$3:$H$1009,""),"Display",_xlfn.XLOOKUP($K716&amp;"",DISPLAY!$B$3:$B$1000&amp;"",DISPLAY!$H$3:$H$1000,""),"Network Device",_xlfn.XLOOKUP($K716&amp;"",'NETWORK-DEVICES'!$B$3:$B$987&amp;"",'NETWORK-DEVICES'!$H$3:$H$987,""),"Peripheral",_xlfn.XLOOKUP($K716&amp;"",PERIPHERAL!$B$3:$B$954&amp;"",PERIPHERAL!$H$3:$H$954,""),"Utilities",_xlfn.XLOOKUP($K716&amp;"",UTILITIES!$B$3:$B$953&amp;"",UTILITIES!$G$3:$G$953,""),"IOT",_xlfn.XLOOKUP($K716&amp;"",IOT!$B$3:$B$1012&amp;"",IOT!$H$3:$H$1012,""),"Server",_xlfn.XLOOKUP($K716&amp;"",SERVER!$B$3:$B$1009&amp;"",SERVER!$H$3:$H$1009,""),""),IF(TRIM(_xlpm.srcCat)&lt;&gt;TRIM($J716),"",_xlfn.SWITCH($I716,"Computer",_xlfn.XLOOKUP($K716&amp;"",COMPUTER!$B$3:$B$1009&amp;"",COMPUTER!$E$3:$E$1009,""),"Display",_xlfn.XLOOKUP($K716&amp;"",DISPLAY!$B$3:$B$1000&amp;"",DISPLAY!$E$3:$E$1000,""),"Network Device",_xlfn.XLOOKUP($K716&amp;"",'NETWORK-DEVICES'!$B$3:$B$987&amp;"",'NETWORK-DEVICES'!$E$3:$E$987,""),"Peripheral",_xlfn.XLOOKUP($K716&amp;"",PERIPHERAL!$B$3:$B$954&amp;"",PERIPHERAL!$E$3:$E$954,""),"Utilities",_xlfn.XLOOKUP($K716&amp;"",UTILITIES!$B$3:$B$953&amp;"",UTILITIES!$E$3:$E$953,""),"IOT",_xlfn.XLOOKUP($K716&amp;"",IOT!$B$3:$B$1012&amp;"",IOT!$E$3:$E$1012,""),"Server",_xlfn.XLOOKUP($K716&amp;"",SERVER!$B$3:$B$1009&amp;"",SERVER!$E$3:$E$1009,""),""))))</f>
        <v/>
      </c>
      <c r="Q716" s="1" t="str" cm="1">
        <f t="array" ref="Q716">IF(OR($K716="",$I716="",$J716=""),"",_xlfn.LET(_xlpm.srcCat,_xlfn.SWITCH($I716,"Computer",_xlfn.XLOOKUP($K716&amp;"",COMPUTER!$B$3:$B$1009&amp;"",COMPUTER!$H$3:$H$1009,""),"Display",_xlfn.XLOOKUP($K716&amp;"",DISPLAY!$B$3:$B$1000&amp;"",DISPLAY!$H$3:$H$1000,""),"Network Device",_xlfn.XLOOKUP($K716&amp;"",'NETWORK-DEVICES'!$B$3:$B$987&amp;"",'NETWORK-DEVICES'!$H$3:$H$987,""),"Peripheral",_xlfn.XLOOKUP($K716&amp;"",PERIPHERAL!$B$3:$B$954&amp;"",PERIPHERAL!$H$3:$H$954,""),"Utilities",_xlfn.XLOOKUP($K716&amp;"",UTILITIES!$B$3:$B$953&amp;"",UTILITIES!$G$3:$G$953,""),"IOT",_xlfn.XLOOKUP($K716&amp;"",IOT!$B$3:$B$1012&amp;"",IOT!$H$3:$H$1012,""),"Server",_xlfn.XLOOKUP($K716&amp;"",SERVER!$B$3:$B$1009&amp;"",SERVER!$H$3:$H$1009,""),""),IF(TRIM(_xlpm.srcCat)&lt;&gt;TRIM($J716),"",_xlfn.SWITCH($I716,"Computer",_xlfn.XLOOKUP($K716&amp;"",COMPUTER!$B$3:$B$1009&amp;"",COMPUTER!$AM$3:$AM$1009,""),"Display",_xlfn.XLOOKUP($K716&amp;"",DISPLAY!$B$3:$B$1000&amp;"",DISPLAY!$V$3:$V$1000,""),"Network Device",_xlfn.XLOOKUP($K716&amp;"",'NETWORK-DEVICES'!$B$3:$B$987&amp;"",'NETWORK-DEVICES'!$AF$3:$AF$987,""),"Peripheral",_xlfn.XLOOKUP($K716&amp;"",PERIPHERAL!$B$3:$B$954&amp;"",PERIPHERAL!$Y$3:$Y$954,""),"Utilities",_xlfn.XLOOKUP($K716&amp;"",UTILITIES!$B$3:$B$953&amp;"",UTILITIES!$O$3:$O$953,""),"IOT",_xlfn.XLOOKUP($K716&amp;"",IOT!$B$3:$B$1012&amp;"",IOT!$AB$3:$AB$1012,""),"Server",_xlfn.XLOOKUP($K716&amp;"",SERVER!$B$3:$B$1009&amp;"",SERVER!$AB$3:$AB$1009,""),""))))</f>
        <v/>
      </c>
      <c r="R716" s="43" t="str">
        <f>IF(tbl_handover[[#This Row],[Asset Code]]="","",COUNTIF(tbl_handover[Asset Code],tbl_handover[[#This Row],[Asset Code]]))</f>
        <v/>
      </c>
    </row>
    <row r="717" spans="1:18" x14ac:dyDescent="0.25">
      <c r="A717" s="43" t="str">
        <f>IF(B717&lt;&gt;"",SUBTOTAL(3,$B$1:B716),"")</f>
        <v/>
      </c>
      <c r="C717" s="74"/>
      <c r="D717" s="74"/>
      <c r="G717" s="1"/>
      <c r="K717" s="42"/>
      <c r="L717" t="str" cm="1">
        <f t="array" ref="L717">IF($K717="","",_xlfn.SWITCH($I717,"Computer",_xlfn.XLOOKUP($K717&amp;"",COMPUTER!$B$3:$B$1009&amp;"",COMPUTER!$I$3:$I$1009,""),"Display",_xlfn.XLOOKUP($K717&amp;"",DISPLAY!$B$3:$B$1000&amp;"",DISPLAY!$J$3:$J$1000,""),"Network Device",_xlfn.XLOOKUP($K717&amp;"",'NETWORK-DEVICES'!$B$3:$B$987&amp;"",'NETWORK-DEVICES'!$I$3:$I$987,""),"Peripheral",_xlfn.XLOOKUP($K717&amp;"",PERIPHERAL!$B$3:$B$954&amp;"",PERIPHERAL!$I$3:$I$954,""),"Utilities",_xlfn.XLOOKUP($K717&amp;"",UTILITIES!$B$3:$B$953&amp;"",UTILITIES!$H$3:$H$953,""),"IOT",_xlfn.XLOOKUP($K717&amp;"",IOT!$B$3:$B$1012&amp;"",IOT!$I$3:$I$1012,""),"SERVER",_xlfn.XLOOKUP($K717&amp;"",SERVER!$B$3:$B$1009&amp;"",SERVER!$I$3:$I$1009,""),""))</f>
        <v/>
      </c>
      <c r="M717" t="str" cm="1">
        <f t="array" ref="M717">IF($K717="","",_xlfn.SWITCH($I717,"Computer",_xlfn.XLOOKUP($K717&amp;"",COMPUTER!$B$3:$B$1009&amp;"",COMPUTER!$J$3:$J$1009,""),"Display",_xlfn.XLOOKUP($K717&amp;"",DISPLAY!$B$3:$B$1000&amp;"",DISPLAY!$K$3:$K$1000,""),"Network Device",_xlfn.XLOOKUP($K717&amp;"",'NETWORK-DEVICES'!$B$3:$B$987&amp;"",'NETWORK-DEVICES'!$I$3:$I$987,""),"Peripheral",_xlfn.XLOOKUP($K717&amp;"",PERIPHERAL!$B$3:$B$954&amp;"",PERIPHERAL!$J$3:$J$954,""),"Utilities",_xlfn.XLOOKUP($K717&amp;"",UTILITIES!$B$3:$B$953&amp;"",UTILITIES!$I$3:$I$953,""),"IOT",_xlfn.XLOOKUP($K717&amp;"",IOT!$B$3:$B$1012&amp;"",IOT!$J$3:$J$1012,""),"Server",_xlfn.XLOOKUP($K717&amp;"",SERVER!$B$3:$B$1009&amp;"",SERVER!$J$3:$J$1009,""),""))</f>
        <v/>
      </c>
      <c r="N717" s="1" t="str" cm="1">
        <f t="array" ref="N717">IF(OR($K717="",$I717="",$J717=""),"",_xlfn.LET(_xlpm.srcCat,_xlfn.SWITCH($I717,"Computer",_xlfn.XLOOKUP($K717&amp;"",COMPUTER!$B$3:$B$1009&amp;"",COMPUTER!$H$3:$H$1009,""),"Display",_xlfn.XLOOKUP($K717&amp;"",DISPLAY!$B$3:$B$1000&amp;"",DISPLAY!$H$3:$H$1000,""),"Network Device",_xlfn.XLOOKUP($K717&amp;"",'NETWORK-DEVICES'!$B$3:$B$987&amp;"",'NETWORK-DEVICES'!$H$3:$H$987,""),"Peripheral",_xlfn.XLOOKUP($K717&amp;"",PERIPHERAL!$B$3:$B$954&amp;"",PERIPHERAL!$H$3:$H$954,""),"Utilities",_xlfn.XLOOKUP($K717&amp;"",UTILITIES!$B$3:$B$953&amp;"",UTILITIES!$G$3:$G$953,""),"IOT",_xlfn.XLOOKUP($K717&amp;"",IOT!$B$3:$B$1012&amp;"",IOT!$H$3:$H$1012,""),"Server",_xlfn.XLOOKUP($K717&amp;"",SERVER!$B$3:$B$1009&amp;"",SERVER!$H$3:$H$1009,""),""),IF(TRIM(_xlpm.srcCat)&lt;&gt;TRIM($J717),"",_xlfn.SWITCH($I717,"Computer",_xlfn.XLOOKUP($K717&amp;"",COMPUTER!$B$3:$B$1009&amp;"",COMPUTER!$K$3:$K$1009,""),"Display",_xlfn.XLOOKUP($K717&amp;"",DISPLAY!$B$3:$B$1000&amp;"",DISPLAY!$L$3:$L$1000,""),"Network Device",_xlfn.XLOOKUP($K717&amp;"",'NETWORK-DEVICES'!$B$3:$B$987&amp;"",'NETWORK-DEVICES'!$K$3:$K$987,""),"Peripheral",_xlfn.XLOOKUP($K717&amp;"",PERIPHERAL!$B$3:$B$954&amp;"",PERIPHERAL!$K$3:$K$954,""),"Utilities",_xlfn.XLOOKUP($K717&amp;"",UTILITIES!$B$3:$B$953&amp;"",UTILITIES!$J$3:$J$953,""),"IOT",_xlfn.XLOOKUP($K717&amp;"",IOT!$B$3:$B$1012&amp;"",IOT!$K$4:$K$1012,""),"Server",_xlfn.XLOOKUP($K717&amp;"",SERVER!$B$3:$B$1009&amp;"",SERVER!$K$3:$K$1009,""),""))))</f>
        <v/>
      </c>
      <c r="O717" s="1" t="str" cm="1">
        <f t="array" ref="O717">IF(OR($K717="",$I717="",$J717=""),"",_xlfn.LET(_xlpm.srcCat,_xlfn.SWITCH($I717,"Computer",_xlfn.XLOOKUP($K717&amp;"",COMPUTER!$B$3:$B$1009&amp;"",COMPUTER!$H$3:$H$1009,""),"Display",_xlfn.XLOOKUP($K717&amp;"",DISPLAY!$B$3:$B$1000&amp;"",DISPLAY!$H$3:$H$1000,""),"Network Device",_xlfn.XLOOKUP($K717&amp;"",'NETWORK-DEVICES'!$B$3:$B$987&amp;"",'NETWORK-DEVICES'!$H$3:$H$987,""),"Peripheral",_xlfn.XLOOKUP($K717&amp;"",PERIPHERAL!$B$3:$B$954&amp;"",PERIPHERAL!$H$3:$H$954,""),"Utilities",_xlfn.XLOOKUP($K717&amp;"",UTILITIES!$B$3:$B$953&amp;"",UTILITIES!$G$3:$G$953,""),"IOT",_xlfn.XLOOKUP($K717&amp;"",IOT!$B$3:$B$1012&amp;"",IOT!$H$3:$H$1012,""),"Server",_xlfn.XLOOKUP($K717&amp;"",SERVER!$B$3:$B$1009&amp;"",SERVER!$H$3:$H$1009,""),""),IF(TRIM(_xlpm.srcCat)&lt;&gt;TRIM($J717),"",_xlfn.SWITCH($I717,"Computer",_xlfn.XLOOKUP($K717&amp;"",COMPUTER!$B$3:$B$1009&amp;"",COMPUTER!$E$3:$E$1009,""),"Display",_xlfn.XLOOKUP($K717&amp;"",DISPLAY!$B$3:$B$1000&amp;"",DISPLAY!$E$3:$E$1000,""),"Network Device",_xlfn.XLOOKUP($K717&amp;"",'NETWORK-DEVICES'!$B$3:$B$987&amp;"",'NETWORK-DEVICES'!$E$3:$E$987,""),"Peripheral",_xlfn.XLOOKUP($K717&amp;"",PERIPHERAL!$B$3:$B$954&amp;"",PERIPHERAL!$E$3:$E$954,""),"Utilities",_xlfn.XLOOKUP($K717&amp;"",UTILITIES!$B$3:$B$953&amp;"",UTILITIES!$E$3:$E$953,""),"IOT",_xlfn.XLOOKUP($K717&amp;"",IOT!$B$3:$B$1012&amp;"",IOT!$E$3:$E$1012,""),"Server",_xlfn.XLOOKUP($K717&amp;"",SERVER!$B$3:$B$1009&amp;"",SERVER!$E$3:$E$1009,""),""))))</f>
        <v/>
      </c>
      <c r="Q717" s="1" t="str" cm="1">
        <f t="array" ref="Q717">IF(OR($K717="",$I717="",$J717=""),"",_xlfn.LET(_xlpm.srcCat,_xlfn.SWITCH($I717,"Computer",_xlfn.XLOOKUP($K717&amp;"",COMPUTER!$B$3:$B$1009&amp;"",COMPUTER!$H$3:$H$1009,""),"Display",_xlfn.XLOOKUP($K717&amp;"",DISPLAY!$B$3:$B$1000&amp;"",DISPLAY!$H$3:$H$1000,""),"Network Device",_xlfn.XLOOKUP($K717&amp;"",'NETWORK-DEVICES'!$B$3:$B$987&amp;"",'NETWORK-DEVICES'!$H$3:$H$987,""),"Peripheral",_xlfn.XLOOKUP($K717&amp;"",PERIPHERAL!$B$3:$B$954&amp;"",PERIPHERAL!$H$3:$H$954,""),"Utilities",_xlfn.XLOOKUP($K717&amp;"",UTILITIES!$B$3:$B$953&amp;"",UTILITIES!$G$3:$G$953,""),"IOT",_xlfn.XLOOKUP($K717&amp;"",IOT!$B$3:$B$1012&amp;"",IOT!$H$3:$H$1012,""),"Server",_xlfn.XLOOKUP($K717&amp;"",SERVER!$B$3:$B$1009&amp;"",SERVER!$H$3:$H$1009,""),""),IF(TRIM(_xlpm.srcCat)&lt;&gt;TRIM($J717),"",_xlfn.SWITCH($I717,"Computer",_xlfn.XLOOKUP($K717&amp;"",COMPUTER!$B$3:$B$1009&amp;"",COMPUTER!$AM$3:$AM$1009,""),"Display",_xlfn.XLOOKUP($K717&amp;"",DISPLAY!$B$3:$B$1000&amp;"",DISPLAY!$V$3:$V$1000,""),"Network Device",_xlfn.XLOOKUP($K717&amp;"",'NETWORK-DEVICES'!$B$3:$B$987&amp;"",'NETWORK-DEVICES'!$AF$3:$AF$987,""),"Peripheral",_xlfn.XLOOKUP($K717&amp;"",PERIPHERAL!$B$3:$B$954&amp;"",PERIPHERAL!$Y$3:$Y$954,""),"Utilities",_xlfn.XLOOKUP($K717&amp;"",UTILITIES!$B$3:$B$953&amp;"",UTILITIES!$O$3:$O$953,""),"IOT",_xlfn.XLOOKUP($K717&amp;"",IOT!$B$3:$B$1012&amp;"",IOT!$AB$3:$AB$1012,""),"Server",_xlfn.XLOOKUP($K717&amp;"",SERVER!$B$3:$B$1009&amp;"",SERVER!$AB$3:$AB$1009,""),""))))</f>
        <v/>
      </c>
      <c r="R717" s="43" t="str">
        <f>IF(tbl_handover[[#This Row],[Asset Code]]="","",COUNTIF(tbl_handover[Asset Code],tbl_handover[[#This Row],[Asset Code]]))</f>
        <v/>
      </c>
    </row>
    <row r="718" spans="1:18" x14ac:dyDescent="0.25">
      <c r="A718" s="43" t="str">
        <f>IF(B718&lt;&gt;"",SUBTOTAL(3,$B$1:B717),"")</f>
        <v/>
      </c>
      <c r="C718" s="74"/>
      <c r="D718" s="74"/>
      <c r="G718" s="1"/>
      <c r="K718" s="42"/>
      <c r="L718" t="str" cm="1">
        <f t="array" ref="L718">IF($K718="","",_xlfn.SWITCH($I718,"Computer",_xlfn.XLOOKUP($K718&amp;"",COMPUTER!$B$3:$B$1009&amp;"",COMPUTER!$I$3:$I$1009,""),"Display",_xlfn.XLOOKUP($K718&amp;"",DISPLAY!$B$3:$B$1000&amp;"",DISPLAY!$J$3:$J$1000,""),"Network Device",_xlfn.XLOOKUP($K718&amp;"",'NETWORK-DEVICES'!$B$3:$B$987&amp;"",'NETWORK-DEVICES'!$I$3:$I$987,""),"Peripheral",_xlfn.XLOOKUP($K718&amp;"",PERIPHERAL!$B$3:$B$954&amp;"",PERIPHERAL!$I$3:$I$954,""),"Utilities",_xlfn.XLOOKUP($K718&amp;"",UTILITIES!$B$3:$B$953&amp;"",UTILITIES!$H$3:$H$953,""),"IOT",_xlfn.XLOOKUP($K718&amp;"",IOT!$B$3:$B$1012&amp;"",IOT!$I$3:$I$1012,""),"SERVER",_xlfn.XLOOKUP($K718&amp;"",SERVER!$B$3:$B$1009&amp;"",SERVER!$I$3:$I$1009,""),""))</f>
        <v/>
      </c>
      <c r="M718" t="str" cm="1">
        <f t="array" ref="M718">IF($K718="","",_xlfn.SWITCH($I718,"Computer",_xlfn.XLOOKUP($K718&amp;"",COMPUTER!$B$3:$B$1009&amp;"",COMPUTER!$J$3:$J$1009,""),"Display",_xlfn.XLOOKUP($K718&amp;"",DISPLAY!$B$3:$B$1000&amp;"",DISPLAY!$K$3:$K$1000,""),"Network Device",_xlfn.XLOOKUP($K718&amp;"",'NETWORK-DEVICES'!$B$3:$B$987&amp;"",'NETWORK-DEVICES'!$I$3:$I$987,""),"Peripheral",_xlfn.XLOOKUP($K718&amp;"",PERIPHERAL!$B$3:$B$954&amp;"",PERIPHERAL!$J$3:$J$954,""),"Utilities",_xlfn.XLOOKUP($K718&amp;"",UTILITIES!$B$3:$B$953&amp;"",UTILITIES!$I$3:$I$953,""),"IOT",_xlfn.XLOOKUP($K718&amp;"",IOT!$B$3:$B$1012&amp;"",IOT!$J$3:$J$1012,""),"Server",_xlfn.XLOOKUP($K718&amp;"",SERVER!$B$3:$B$1009&amp;"",SERVER!$J$3:$J$1009,""),""))</f>
        <v/>
      </c>
      <c r="N718" s="1" t="str" cm="1">
        <f t="array" ref="N718">IF(OR($K718="",$I718="",$J718=""),"",_xlfn.LET(_xlpm.srcCat,_xlfn.SWITCH($I718,"Computer",_xlfn.XLOOKUP($K718&amp;"",COMPUTER!$B$3:$B$1009&amp;"",COMPUTER!$H$3:$H$1009,""),"Display",_xlfn.XLOOKUP($K718&amp;"",DISPLAY!$B$3:$B$1000&amp;"",DISPLAY!$H$3:$H$1000,""),"Network Device",_xlfn.XLOOKUP($K718&amp;"",'NETWORK-DEVICES'!$B$3:$B$987&amp;"",'NETWORK-DEVICES'!$H$3:$H$987,""),"Peripheral",_xlfn.XLOOKUP($K718&amp;"",PERIPHERAL!$B$3:$B$954&amp;"",PERIPHERAL!$H$3:$H$954,""),"Utilities",_xlfn.XLOOKUP($K718&amp;"",UTILITIES!$B$3:$B$953&amp;"",UTILITIES!$G$3:$G$953,""),"IOT",_xlfn.XLOOKUP($K718&amp;"",IOT!$B$3:$B$1012&amp;"",IOT!$H$3:$H$1012,""),"Server",_xlfn.XLOOKUP($K718&amp;"",SERVER!$B$3:$B$1009&amp;"",SERVER!$H$3:$H$1009,""),""),IF(TRIM(_xlpm.srcCat)&lt;&gt;TRIM($J718),"",_xlfn.SWITCH($I718,"Computer",_xlfn.XLOOKUP($K718&amp;"",COMPUTER!$B$3:$B$1009&amp;"",COMPUTER!$K$3:$K$1009,""),"Display",_xlfn.XLOOKUP($K718&amp;"",DISPLAY!$B$3:$B$1000&amp;"",DISPLAY!$L$3:$L$1000,""),"Network Device",_xlfn.XLOOKUP($K718&amp;"",'NETWORK-DEVICES'!$B$3:$B$987&amp;"",'NETWORK-DEVICES'!$K$3:$K$987,""),"Peripheral",_xlfn.XLOOKUP($K718&amp;"",PERIPHERAL!$B$3:$B$954&amp;"",PERIPHERAL!$K$3:$K$954,""),"Utilities",_xlfn.XLOOKUP($K718&amp;"",UTILITIES!$B$3:$B$953&amp;"",UTILITIES!$J$3:$J$953,""),"IOT",_xlfn.XLOOKUP($K718&amp;"",IOT!$B$3:$B$1012&amp;"",IOT!$K$4:$K$1012,""),"Server",_xlfn.XLOOKUP($K718&amp;"",SERVER!$B$3:$B$1009&amp;"",SERVER!$K$3:$K$1009,""),""))))</f>
        <v/>
      </c>
      <c r="O718" s="1" t="str" cm="1">
        <f t="array" ref="O718">IF(OR($K718="",$I718="",$J718=""),"",_xlfn.LET(_xlpm.srcCat,_xlfn.SWITCH($I718,"Computer",_xlfn.XLOOKUP($K718&amp;"",COMPUTER!$B$3:$B$1009&amp;"",COMPUTER!$H$3:$H$1009,""),"Display",_xlfn.XLOOKUP($K718&amp;"",DISPLAY!$B$3:$B$1000&amp;"",DISPLAY!$H$3:$H$1000,""),"Network Device",_xlfn.XLOOKUP($K718&amp;"",'NETWORK-DEVICES'!$B$3:$B$987&amp;"",'NETWORK-DEVICES'!$H$3:$H$987,""),"Peripheral",_xlfn.XLOOKUP($K718&amp;"",PERIPHERAL!$B$3:$B$954&amp;"",PERIPHERAL!$H$3:$H$954,""),"Utilities",_xlfn.XLOOKUP($K718&amp;"",UTILITIES!$B$3:$B$953&amp;"",UTILITIES!$G$3:$G$953,""),"IOT",_xlfn.XLOOKUP($K718&amp;"",IOT!$B$3:$B$1012&amp;"",IOT!$H$3:$H$1012,""),"Server",_xlfn.XLOOKUP($K718&amp;"",SERVER!$B$3:$B$1009&amp;"",SERVER!$H$3:$H$1009,""),""),IF(TRIM(_xlpm.srcCat)&lt;&gt;TRIM($J718),"",_xlfn.SWITCH($I718,"Computer",_xlfn.XLOOKUP($K718&amp;"",COMPUTER!$B$3:$B$1009&amp;"",COMPUTER!$E$3:$E$1009,""),"Display",_xlfn.XLOOKUP($K718&amp;"",DISPLAY!$B$3:$B$1000&amp;"",DISPLAY!$E$3:$E$1000,""),"Network Device",_xlfn.XLOOKUP($K718&amp;"",'NETWORK-DEVICES'!$B$3:$B$987&amp;"",'NETWORK-DEVICES'!$E$3:$E$987,""),"Peripheral",_xlfn.XLOOKUP($K718&amp;"",PERIPHERAL!$B$3:$B$954&amp;"",PERIPHERAL!$E$3:$E$954,""),"Utilities",_xlfn.XLOOKUP($K718&amp;"",UTILITIES!$B$3:$B$953&amp;"",UTILITIES!$E$3:$E$953,""),"IOT",_xlfn.XLOOKUP($K718&amp;"",IOT!$B$3:$B$1012&amp;"",IOT!$E$3:$E$1012,""),"Server",_xlfn.XLOOKUP($K718&amp;"",SERVER!$B$3:$B$1009&amp;"",SERVER!$E$3:$E$1009,""),""))))</f>
        <v/>
      </c>
      <c r="Q718" s="1" t="str" cm="1">
        <f t="array" ref="Q718">IF(OR($K718="",$I718="",$J718=""),"",_xlfn.LET(_xlpm.srcCat,_xlfn.SWITCH($I718,"Computer",_xlfn.XLOOKUP($K718&amp;"",COMPUTER!$B$3:$B$1009&amp;"",COMPUTER!$H$3:$H$1009,""),"Display",_xlfn.XLOOKUP($K718&amp;"",DISPLAY!$B$3:$B$1000&amp;"",DISPLAY!$H$3:$H$1000,""),"Network Device",_xlfn.XLOOKUP($K718&amp;"",'NETWORK-DEVICES'!$B$3:$B$987&amp;"",'NETWORK-DEVICES'!$H$3:$H$987,""),"Peripheral",_xlfn.XLOOKUP($K718&amp;"",PERIPHERAL!$B$3:$B$954&amp;"",PERIPHERAL!$H$3:$H$954,""),"Utilities",_xlfn.XLOOKUP($K718&amp;"",UTILITIES!$B$3:$B$953&amp;"",UTILITIES!$G$3:$G$953,""),"IOT",_xlfn.XLOOKUP($K718&amp;"",IOT!$B$3:$B$1012&amp;"",IOT!$H$3:$H$1012,""),"Server",_xlfn.XLOOKUP($K718&amp;"",SERVER!$B$3:$B$1009&amp;"",SERVER!$H$3:$H$1009,""),""),IF(TRIM(_xlpm.srcCat)&lt;&gt;TRIM($J718),"",_xlfn.SWITCH($I718,"Computer",_xlfn.XLOOKUP($K718&amp;"",COMPUTER!$B$3:$B$1009&amp;"",COMPUTER!$AM$3:$AM$1009,""),"Display",_xlfn.XLOOKUP($K718&amp;"",DISPLAY!$B$3:$B$1000&amp;"",DISPLAY!$V$3:$V$1000,""),"Network Device",_xlfn.XLOOKUP($K718&amp;"",'NETWORK-DEVICES'!$B$3:$B$987&amp;"",'NETWORK-DEVICES'!$AF$3:$AF$987,""),"Peripheral",_xlfn.XLOOKUP($K718&amp;"",PERIPHERAL!$B$3:$B$954&amp;"",PERIPHERAL!$Y$3:$Y$954,""),"Utilities",_xlfn.XLOOKUP($K718&amp;"",UTILITIES!$B$3:$B$953&amp;"",UTILITIES!$O$3:$O$953,""),"IOT",_xlfn.XLOOKUP($K718&amp;"",IOT!$B$3:$B$1012&amp;"",IOT!$AB$3:$AB$1012,""),"Server",_xlfn.XLOOKUP($K718&amp;"",SERVER!$B$3:$B$1009&amp;"",SERVER!$AB$3:$AB$1009,""),""))))</f>
        <v/>
      </c>
      <c r="R718" s="43" t="str">
        <f>IF(tbl_handover[[#This Row],[Asset Code]]="","",COUNTIF(tbl_handover[Asset Code],tbl_handover[[#This Row],[Asset Code]]))</f>
        <v/>
      </c>
    </row>
    <row r="719" spans="1:18" x14ac:dyDescent="0.25">
      <c r="A719" s="43" t="str">
        <f>IF(B719&lt;&gt;"",SUBTOTAL(3,$B$1:B718),"")</f>
        <v/>
      </c>
      <c r="C719" s="74"/>
      <c r="D719" s="74"/>
      <c r="G719" s="1"/>
      <c r="K719" s="42"/>
      <c r="L719" t="str" cm="1">
        <f t="array" ref="L719">IF($K719="","",_xlfn.SWITCH($I719,"Computer",_xlfn.XLOOKUP($K719&amp;"",COMPUTER!$B$3:$B$1009&amp;"",COMPUTER!$I$3:$I$1009,""),"Display",_xlfn.XLOOKUP($K719&amp;"",DISPLAY!$B$3:$B$1000&amp;"",DISPLAY!$J$3:$J$1000,""),"Network Device",_xlfn.XLOOKUP($K719&amp;"",'NETWORK-DEVICES'!$B$3:$B$987&amp;"",'NETWORK-DEVICES'!$I$3:$I$987,""),"Peripheral",_xlfn.XLOOKUP($K719&amp;"",PERIPHERAL!$B$3:$B$954&amp;"",PERIPHERAL!$I$3:$I$954,""),"Utilities",_xlfn.XLOOKUP($K719&amp;"",UTILITIES!$B$3:$B$953&amp;"",UTILITIES!$H$3:$H$953,""),"IOT",_xlfn.XLOOKUP($K719&amp;"",IOT!$B$3:$B$1012&amp;"",IOT!$I$3:$I$1012,""),"SERVER",_xlfn.XLOOKUP($K719&amp;"",SERVER!$B$3:$B$1009&amp;"",SERVER!$I$3:$I$1009,""),""))</f>
        <v/>
      </c>
      <c r="M719" t="str" cm="1">
        <f t="array" ref="M719">IF($K719="","",_xlfn.SWITCH($I719,"Computer",_xlfn.XLOOKUP($K719&amp;"",COMPUTER!$B$3:$B$1009&amp;"",COMPUTER!$J$3:$J$1009,""),"Display",_xlfn.XLOOKUP($K719&amp;"",DISPLAY!$B$3:$B$1000&amp;"",DISPLAY!$K$3:$K$1000,""),"Network Device",_xlfn.XLOOKUP($K719&amp;"",'NETWORK-DEVICES'!$B$3:$B$987&amp;"",'NETWORK-DEVICES'!$I$3:$I$987,""),"Peripheral",_xlfn.XLOOKUP($K719&amp;"",PERIPHERAL!$B$3:$B$954&amp;"",PERIPHERAL!$J$3:$J$954,""),"Utilities",_xlfn.XLOOKUP($K719&amp;"",UTILITIES!$B$3:$B$953&amp;"",UTILITIES!$I$3:$I$953,""),"IOT",_xlfn.XLOOKUP($K719&amp;"",IOT!$B$3:$B$1012&amp;"",IOT!$J$3:$J$1012,""),"Server",_xlfn.XLOOKUP($K719&amp;"",SERVER!$B$3:$B$1009&amp;"",SERVER!$J$3:$J$1009,""),""))</f>
        <v/>
      </c>
      <c r="N719" s="1" t="str" cm="1">
        <f t="array" ref="N719">IF(OR($K719="",$I719="",$J719=""),"",_xlfn.LET(_xlpm.srcCat,_xlfn.SWITCH($I719,"Computer",_xlfn.XLOOKUP($K719&amp;"",COMPUTER!$B$3:$B$1009&amp;"",COMPUTER!$H$3:$H$1009,""),"Display",_xlfn.XLOOKUP($K719&amp;"",DISPLAY!$B$3:$B$1000&amp;"",DISPLAY!$H$3:$H$1000,""),"Network Device",_xlfn.XLOOKUP($K719&amp;"",'NETWORK-DEVICES'!$B$3:$B$987&amp;"",'NETWORK-DEVICES'!$H$3:$H$987,""),"Peripheral",_xlfn.XLOOKUP($K719&amp;"",PERIPHERAL!$B$3:$B$954&amp;"",PERIPHERAL!$H$3:$H$954,""),"Utilities",_xlfn.XLOOKUP($K719&amp;"",UTILITIES!$B$3:$B$953&amp;"",UTILITIES!$G$3:$G$953,""),"IOT",_xlfn.XLOOKUP($K719&amp;"",IOT!$B$3:$B$1012&amp;"",IOT!$H$3:$H$1012,""),"Server",_xlfn.XLOOKUP($K719&amp;"",SERVER!$B$3:$B$1009&amp;"",SERVER!$H$3:$H$1009,""),""),IF(TRIM(_xlpm.srcCat)&lt;&gt;TRIM($J719),"",_xlfn.SWITCH($I719,"Computer",_xlfn.XLOOKUP($K719&amp;"",COMPUTER!$B$3:$B$1009&amp;"",COMPUTER!$K$3:$K$1009,""),"Display",_xlfn.XLOOKUP($K719&amp;"",DISPLAY!$B$3:$B$1000&amp;"",DISPLAY!$L$3:$L$1000,""),"Network Device",_xlfn.XLOOKUP($K719&amp;"",'NETWORK-DEVICES'!$B$3:$B$987&amp;"",'NETWORK-DEVICES'!$K$3:$K$987,""),"Peripheral",_xlfn.XLOOKUP($K719&amp;"",PERIPHERAL!$B$3:$B$954&amp;"",PERIPHERAL!$K$3:$K$954,""),"Utilities",_xlfn.XLOOKUP($K719&amp;"",UTILITIES!$B$3:$B$953&amp;"",UTILITIES!$J$3:$J$953,""),"IOT",_xlfn.XLOOKUP($K719&amp;"",IOT!$B$3:$B$1012&amp;"",IOT!$K$4:$K$1012,""),"Server",_xlfn.XLOOKUP($K719&amp;"",SERVER!$B$3:$B$1009&amp;"",SERVER!$K$3:$K$1009,""),""))))</f>
        <v/>
      </c>
      <c r="O719" s="1" t="str" cm="1">
        <f t="array" ref="O719">IF(OR($K719="",$I719="",$J719=""),"",_xlfn.LET(_xlpm.srcCat,_xlfn.SWITCH($I719,"Computer",_xlfn.XLOOKUP($K719&amp;"",COMPUTER!$B$3:$B$1009&amp;"",COMPUTER!$H$3:$H$1009,""),"Display",_xlfn.XLOOKUP($K719&amp;"",DISPLAY!$B$3:$B$1000&amp;"",DISPLAY!$H$3:$H$1000,""),"Network Device",_xlfn.XLOOKUP($K719&amp;"",'NETWORK-DEVICES'!$B$3:$B$987&amp;"",'NETWORK-DEVICES'!$H$3:$H$987,""),"Peripheral",_xlfn.XLOOKUP($K719&amp;"",PERIPHERAL!$B$3:$B$954&amp;"",PERIPHERAL!$H$3:$H$954,""),"Utilities",_xlfn.XLOOKUP($K719&amp;"",UTILITIES!$B$3:$B$953&amp;"",UTILITIES!$G$3:$G$953,""),"IOT",_xlfn.XLOOKUP($K719&amp;"",IOT!$B$3:$B$1012&amp;"",IOT!$H$3:$H$1012,""),"Server",_xlfn.XLOOKUP($K719&amp;"",SERVER!$B$3:$B$1009&amp;"",SERVER!$H$3:$H$1009,""),""),IF(TRIM(_xlpm.srcCat)&lt;&gt;TRIM($J719),"",_xlfn.SWITCH($I719,"Computer",_xlfn.XLOOKUP($K719&amp;"",COMPUTER!$B$3:$B$1009&amp;"",COMPUTER!$E$3:$E$1009,""),"Display",_xlfn.XLOOKUP($K719&amp;"",DISPLAY!$B$3:$B$1000&amp;"",DISPLAY!$E$3:$E$1000,""),"Network Device",_xlfn.XLOOKUP($K719&amp;"",'NETWORK-DEVICES'!$B$3:$B$987&amp;"",'NETWORK-DEVICES'!$E$3:$E$987,""),"Peripheral",_xlfn.XLOOKUP($K719&amp;"",PERIPHERAL!$B$3:$B$954&amp;"",PERIPHERAL!$E$3:$E$954,""),"Utilities",_xlfn.XLOOKUP($K719&amp;"",UTILITIES!$B$3:$B$953&amp;"",UTILITIES!$E$3:$E$953,""),"IOT",_xlfn.XLOOKUP($K719&amp;"",IOT!$B$3:$B$1012&amp;"",IOT!$E$3:$E$1012,""),"Server",_xlfn.XLOOKUP($K719&amp;"",SERVER!$B$3:$B$1009&amp;"",SERVER!$E$3:$E$1009,""),""))))</f>
        <v/>
      </c>
      <c r="Q719" s="1" t="str" cm="1">
        <f t="array" ref="Q719">IF(OR($K719="",$I719="",$J719=""),"",_xlfn.LET(_xlpm.srcCat,_xlfn.SWITCH($I719,"Computer",_xlfn.XLOOKUP($K719&amp;"",COMPUTER!$B$3:$B$1009&amp;"",COMPUTER!$H$3:$H$1009,""),"Display",_xlfn.XLOOKUP($K719&amp;"",DISPLAY!$B$3:$B$1000&amp;"",DISPLAY!$H$3:$H$1000,""),"Network Device",_xlfn.XLOOKUP($K719&amp;"",'NETWORK-DEVICES'!$B$3:$B$987&amp;"",'NETWORK-DEVICES'!$H$3:$H$987,""),"Peripheral",_xlfn.XLOOKUP($K719&amp;"",PERIPHERAL!$B$3:$B$954&amp;"",PERIPHERAL!$H$3:$H$954,""),"Utilities",_xlfn.XLOOKUP($K719&amp;"",UTILITIES!$B$3:$B$953&amp;"",UTILITIES!$G$3:$G$953,""),"IOT",_xlfn.XLOOKUP($K719&amp;"",IOT!$B$3:$B$1012&amp;"",IOT!$H$3:$H$1012,""),"Server",_xlfn.XLOOKUP($K719&amp;"",SERVER!$B$3:$B$1009&amp;"",SERVER!$H$3:$H$1009,""),""),IF(TRIM(_xlpm.srcCat)&lt;&gt;TRIM($J719),"",_xlfn.SWITCH($I719,"Computer",_xlfn.XLOOKUP($K719&amp;"",COMPUTER!$B$3:$B$1009&amp;"",COMPUTER!$AM$3:$AM$1009,""),"Display",_xlfn.XLOOKUP($K719&amp;"",DISPLAY!$B$3:$B$1000&amp;"",DISPLAY!$V$3:$V$1000,""),"Network Device",_xlfn.XLOOKUP($K719&amp;"",'NETWORK-DEVICES'!$B$3:$B$987&amp;"",'NETWORK-DEVICES'!$AF$3:$AF$987,""),"Peripheral",_xlfn.XLOOKUP($K719&amp;"",PERIPHERAL!$B$3:$B$954&amp;"",PERIPHERAL!$Y$3:$Y$954,""),"Utilities",_xlfn.XLOOKUP($K719&amp;"",UTILITIES!$B$3:$B$953&amp;"",UTILITIES!$O$3:$O$953,""),"IOT",_xlfn.XLOOKUP($K719&amp;"",IOT!$B$3:$B$1012&amp;"",IOT!$AB$3:$AB$1012,""),"Server",_xlfn.XLOOKUP($K719&amp;"",SERVER!$B$3:$B$1009&amp;"",SERVER!$AB$3:$AB$1009,""),""))))</f>
        <v/>
      </c>
      <c r="R719" s="43" t="str">
        <f>IF(tbl_handover[[#This Row],[Asset Code]]="","",COUNTIF(tbl_handover[Asset Code],tbl_handover[[#This Row],[Asset Code]]))</f>
        <v/>
      </c>
    </row>
    <row r="720" spans="1:18" x14ac:dyDescent="0.25">
      <c r="A720" s="43" t="str">
        <f>IF(B720&lt;&gt;"",SUBTOTAL(3,$B$1:B719),"")</f>
        <v/>
      </c>
      <c r="C720" s="74"/>
      <c r="D720" s="74"/>
      <c r="G720" s="1"/>
      <c r="K720" s="42"/>
      <c r="L720" t="str" cm="1">
        <f t="array" ref="L720">IF($K720="","",_xlfn.SWITCH($I720,"Computer",_xlfn.XLOOKUP($K720&amp;"",COMPUTER!$B$3:$B$1009&amp;"",COMPUTER!$I$3:$I$1009,""),"Display",_xlfn.XLOOKUP($K720&amp;"",DISPLAY!$B$3:$B$1000&amp;"",DISPLAY!$J$3:$J$1000,""),"Network Device",_xlfn.XLOOKUP($K720&amp;"",'NETWORK-DEVICES'!$B$3:$B$987&amp;"",'NETWORK-DEVICES'!$I$3:$I$987,""),"Peripheral",_xlfn.XLOOKUP($K720&amp;"",PERIPHERAL!$B$3:$B$954&amp;"",PERIPHERAL!$I$3:$I$954,""),"Utilities",_xlfn.XLOOKUP($K720&amp;"",UTILITIES!$B$3:$B$953&amp;"",UTILITIES!$H$3:$H$953,""),"IOT",_xlfn.XLOOKUP($K720&amp;"",IOT!$B$3:$B$1012&amp;"",IOT!$I$3:$I$1012,""),"SERVER",_xlfn.XLOOKUP($K720&amp;"",SERVER!$B$3:$B$1009&amp;"",SERVER!$I$3:$I$1009,""),""))</f>
        <v/>
      </c>
      <c r="M720" t="str" cm="1">
        <f t="array" ref="M720">IF($K720="","",_xlfn.SWITCH($I720,"Computer",_xlfn.XLOOKUP($K720&amp;"",COMPUTER!$B$3:$B$1009&amp;"",COMPUTER!$J$3:$J$1009,""),"Display",_xlfn.XLOOKUP($K720&amp;"",DISPLAY!$B$3:$B$1000&amp;"",DISPLAY!$K$3:$K$1000,""),"Network Device",_xlfn.XLOOKUP($K720&amp;"",'NETWORK-DEVICES'!$B$3:$B$987&amp;"",'NETWORK-DEVICES'!$I$3:$I$987,""),"Peripheral",_xlfn.XLOOKUP($K720&amp;"",PERIPHERAL!$B$3:$B$954&amp;"",PERIPHERAL!$J$3:$J$954,""),"Utilities",_xlfn.XLOOKUP($K720&amp;"",UTILITIES!$B$3:$B$953&amp;"",UTILITIES!$I$3:$I$953,""),"IOT",_xlfn.XLOOKUP($K720&amp;"",IOT!$B$3:$B$1012&amp;"",IOT!$J$3:$J$1012,""),"Server",_xlfn.XLOOKUP($K720&amp;"",SERVER!$B$3:$B$1009&amp;"",SERVER!$J$3:$J$1009,""),""))</f>
        <v/>
      </c>
      <c r="N720" s="1" t="str" cm="1">
        <f t="array" ref="N720">IF(OR($K720="",$I720="",$J720=""),"",_xlfn.LET(_xlpm.srcCat,_xlfn.SWITCH($I720,"Computer",_xlfn.XLOOKUP($K720&amp;"",COMPUTER!$B$3:$B$1009&amp;"",COMPUTER!$H$3:$H$1009,""),"Display",_xlfn.XLOOKUP($K720&amp;"",DISPLAY!$B$3:$B$1000&amp;"",DISPLAY!$H$3:$H$1000,""),"Network Device",_xlfn.XLOOKUP($K720&amp;"",'NETWORK-DEVICES'!$B$3:$B$987&amp;"",'NETWORK-DEVICES'!$H$3:$H$987,""),"Peripheral",_xlfn.XLOOKUP($K720&amp;"",PERIPHERAL!$B$3:$B$954&amp;"",PERIPHERAL!$H$3:$H$954,""),"Utilities",_xlfn.XLOOKUP($K720&amp;"",UTILITIES!$B$3:$B$953&amp;"",UTILITIES!$G$3:$G$953,""),"IOT",_xlfn.XLOOKUP($K720&amp;"",IOT!$B$3:$B$1012&amp;"",IOT!$H$3:$H$1012,""),"Server",_xlfn.XLOOKUP($K720&amp;"",SERVER!$B$3:$B$1009&amp;"",SERVER!$H$3:$H$1009,""),""),IF(TRIM(_xlpm.srcCat)&lt;&gt;TRIM($J720),"",_xlfn.SWITCH($I720,"Computer",_xlfn.XLOOKUP($K720&amp;"",COMPUTER!$B$3:$B$1009&amp;"",COMPUTER!$K$3:$K$1009,""),"Display",_xlfn.XLOOKUP($K720&amp;"",DISPLAY!$B$3:$B$1000&amp;"",DISPLAY!$L$3:$L$1000,""),"Network Device",_xlfn.XLOOKUP($K720&amp;"",'NETWORK-DEVICES'!$B$3:$B$987&amp;"",'NETWORK-DEVICES'!$K$3:$K$987,""),"Peripheral",_xlfn.XLOOKUP($K720&amp;"",PERIPHERAL!$B$3:$B$954&amp;"",PERIPHERAL!$K$3:$K$954,""),"Utilities",_xlfn.XLOOKUP($K720&amp;"",UTILITIES!$B$3:$B$953&amp;"",UTILITIES!$J$3:$J$953,""),"IOT",_xlfn.XLOOKUP($K720&amp;"",IOT!$B$3:$B$1012&amp;"",IOT!$K$4:$K$1012,""),"Server",_xlfn.XLOOKUP($K720&amp;"",SERVER!$B$3:$B$1009&amp;"",SERVER!$K$3:$K$1009,""),""))))</f>
        <v/>
      </c>
      <c r="O720" s="1" t="str" cm="1">
        <f t="array" ref="O720">IF(OR($K720="",$I720="",$J720=""),"",_xlfn.LET(_xlpm.srcCat,_xlfn.SWITCH($I720,"Computer",_xlfn.XLOOKUP($K720&amp;"",COMPUTER!$B$3:$B$1009&amp;"",COMPUTER!$H$3:$H$1009,""),"Display",_xlfn.XLOOKUP($K720&amp;"",DISPLAY!$B$3:$B$1000&amp;"",DISPLAY!$H$3:$H$1000,""),"Network Device",_xlfn.XLOOKUP($K720&amp;"",'NETWORK-DEVICES'!$B$3:$B$987&amp;"",'NETWORK-DEVICES'!$H$3:$H$987,""),"Peripheral",_xlfn.XLOOKUP($K720&amp;"",PERIPHERAL!$B$3:$B$954&amp;"",PERIPHERAL!$H$3:$H$954,""),"Utilities",_xlfn.XLOOKUP($K720&amp;"",UTILITIES!$B$3:$B$953&amp;"",UTILITIES!$G$3:$G$953,""),"IOT",_xlfn.XLOOKUP($K720&amp;"",IOT!$B$3:$B$1012&amp;"",IOT!$H$3:$H$1012,""),"Server",_xlfn.XLOOKUP($K720&amp;"",SERVER!$B$3:$B$1009&amp;"",SERVER!$H$3:$H$1009,""),""),IF(TRIM(_xlpm.srcCat)&lt;&gt;TRIM($J720),"",_xlfn.SWITCH($I720,"Computer",_xlfn.XLOOKUP($K720&amp;"",COMPUTER!$B$3:$B$1009&amp;"",COMPUTER!$E$3:$E$1009,""),"Display",_xlfn.XLOOKUP($K720&amp;"",DISPLAY!$B$3:$B$1000&amp;"",DISPLAY!$E$3:$E$1000,""),"Network Device",_xlfn.XLOOKUP($K720&amp;"",'NETWORK-DEVICES'!$B$3:$B$987&amp;"",'NETWORK-DEVICES'!$E$3:$E$987,""),"Peripheral",_xlfn.XLOOKUP($K720&amp;"",PERIPHERAL!$B$3:$B$954&amp;"",PERIPHERAL!$E$3:$E$954,""),"Utilities",_xlfn.XLOOKUP($K720&amp;"",UTILITIES!$B$3:$B$953&amp;"",UTILITIES!$E$3:$E$953,""),"IOT",_xlfn.XLOOKUP($K720&amp;"",IOT!$B$3:$B$1012&amp;"",IOT!$E$3:$E$1012,""),"Server",_xlfn.XLOOKUP($K720&amp;"",SERVER!$B$3:$B$1009&amp;"",SERVER!$E$3:$E$1009,""),""))))</f>
        <v/>
      </c>
      <c r="Q720" s="1" t="str" cm="1">
        <f t="array" ref="Q720">IF(OR($K720="",$I720="",$J720=""),"",_xlfn.LET(_xlpm.srcCat,_xlfn.SWITCH($I720,"Computer",_xlfn.XLOOKUP($K720&amp;"",COMPUTER!$B$3:$B$1009&amp;"",COMPUTER!$H$3:$H$1009,""),"Display",_xlfn.XLOOKUP($K720&amp;"",DISPLAY!$B$3:$B$1000&amp;"",DISPLAY!$H$3:$H$1000,""),"Network Device",_xlfn.XLOOKUP($K720&amp;"",'NETWORK-DEVICES'!$B$3:$B$987&amp;"",'NETWORK-DEVICES'!$H$3:$H$987,""),"Peripheral",_xlfn.XLOOKUP($K720&amp;"",PERIPHERAL!$B$3:$B$954&amp;"",PERIPHERAL!$H$3:$H$954,""),"Utilities",_xlfn.XLOOKUP($K720&amp;"",UTILITIES!$B$3:$B$953&amp;"",UTILITIES!$G$3:$G$953,""),"IOT",_xlfn.XLOOKUP($K720&amp;"",IOT!$B$3:$B$1012&amp;"",IOT!$H$3:$H$1012,""),"Server",_xlfn.XLOOKUP($K720&amp;"",SERVER!$B$3:$B$1009&amp;"",SERVER!$H$3:$H$1009,""),""),IF(TRIM(_xlpm.srcCat)&lt;&gt;TRIM($J720),"",_xlfn.SWITCH($I720,"Computer",_xlfn.XLOOKUP($K720&amp;"",COMPUTER!$B$3:$B$1009&amp;"",COMPUTER!$AM$3:$AM$1009,""),"Display",_xlfn.XLOOKUP($K720&amp;"",DISPLAY!$B$3:$B$1000&amp;"",DISPLAY!$V$3:$V$1000,""),"Network Device",_xlfn.XLOOKUP($K720&amp;"",'NETWORK-DEVICES'!$B$3:$B$987&amp;"",'NETWORK-DEVICES'!$AF$3:$AF$987,""),"Peripheral",_xlfn.XLOOKUP($K720&amp;"",PERIPHERAL!$B$3:$B$954&amp;"",PERIPHERAL!$Y$3:$Y$954,""),"Utilities",_xlfn.XLOOKUP($K720&amp;"",UTILITIES!$B$3:$B$953&amp;"",UTILITIES!$O$3:$O$953,""),"IOT",_xlfn.XLOOKUP($K720&amp;"",IOT!$B$3:$B$1012&amp;"",IOT!$AB$3:$AB$1012,""),"Server",_xlfn.XLOOKUP($K720&amp;"",SERVER!$B$3:$B$1009&amp;"",SERVER!$AB$3:$AB$1009,""),""))))</f>
        <v/>
      </c>
      <c r="R720" s="43" t="str">
        <f>IF(tbl_handover[[#This Row],[Asset Code]]="","",COUNTIF(tbl_handover[Asset Code],tbl_handover[[#This Row],[Asset Code]]))</f>
        <v/>
      </c>
    </row>
    <row r="721" spans="1:18" x14ac:dyDescent="0.25">
      <c r="A721" s="43" t="str">
        <f>IF(B721&lt;&gt;"",SUBTOTAL(3,$B$1:B720),"")</f>
        <v/>
      </c>
      <c r="C721" s="74"/>
      <c r="D721" s="74"/>
      <c r="G721" s="1"/>
      <c r="K721" s="42"/>
      <c r="L721" t="str" cm="1">
        <f t="array" ref="L721">IF($K721="","",_xlfn.SWITCH($I721,"Computer",_xlfn.XLOOKUP($K721&amp;"",COMPUTER!$B$3:$B$1009&amp;"",COMPUTER!$I$3:$I$1009,""),"Display",_xlfn.XLOOKUP($K721&amp;"",DISPLAY!$B$3:$B$1000&amp;"",DISPLAY!$J$3:$J$1000,""),"Network Device",_xlfn.XLOOKUP($K721&amp;"",'NETWORK-DEVICES'!$B$3:$B$987&amp;"",'NETWORK-DEVICES'!$I$3:$I$987,""),"Peripheral",_xlfn.XLOOKUP($K721&amp;"",PERIPHERAL!$B$3:$B$954&amp;"",PERIPHERAL!$I$3:$I$954,""),"Utilities",_xlfn.XLOOKUP($K721&amp;"",UTILITIES!$B$3:$B$953&amp;"",UTILITIES!$H$3:$H$953,""),"IOT",_xlfn.XLOOKUP($K721&amp;"",IOT!$B$3:$B$1012&amp;"",IOT!$I$3:$I$1012,""),"SERVER",_xlfn.XLOOKUP($K721&amp;"",SERVER!$B$3:$B$1009&amp;"",SERVER!$I$3:$I$1009,""),""))</f>
        <v/>
      </c>
      <c r="M721" t="str" cm="1">
        <f t="array" ref="M721">IF($K721="","",_xlfn.SWITCH($I721,"Computer",_xlfn.XLOOKUP($K721&amp;"",COMPUTER!$B$3:$B$1009&amp;"",COMPUTER!$J$3:$J$1009,""),"Display",_xlfn.XLOOKUP($K721&amp;"",DISPLAY!$B$3:$B$1000&amp;"",DISPLAY!$K$3:$K$1000,""),"Network Device",_xlfn.XLOOKUP($K721&amp;"",'NETWORK-DEVICES'!$B$3:$B$987&amp;"",'NETWORK-DEVICES'!$I$3:$I$987,""),"Peripheral",_xlfn.XLOOKUP($K721&amp;"",PERIPHERAL!$B$3:$B$954&amp;"",PERIPHERAL!$J$3:$J$954,""),"Utilities",_xlfn.XLOOKUP($K721&amp;"",UTILITIES!$B$3:$B$953&amp;"",UTILITIES!$I$3:$I$953,""),"IOT",_xlfn.XLOOKUP($K721&amp;"",IOT!$B$3:$B$1012&amp;"",IOT!$J$3:$J$1012,""),"Server",_xlfn.XLOOKUP($K721&amp;"",SERVER!$B$3:$B$1009&amp;"",SERVER!$J$3:$J$1009,""),""))</f>
        <v/>
      </c>
      <c r="N721" s="1" t="str" cm="1">
        <f t="array" ref="N721">IF(OR($K721="",$I721="",$J721=""),"",_xlfn.LET(_xlpm.srcCat,_xlfn.SWITCH($I721,"Computer",_xlfn.XLOOKUP($K721&amp;"",COMPUTER!$B$3:$B$1009&amp;"",COMPUTER!$H$3:$H$1009,""),"Display",_xlfn.XLOOKUP($K721&amp;"",DISPLAY!$B$3:$B$1000&amp;"",DISPLAY!$H$3:$H$1000,""),"Network Device",_xlfn.XLOOKUP($K721&amp;"",'NETWORK-DEVICES'!$B$3:$B$987&amp;"",'NETWORK-DEVICES'!$H$3:$H$987,""),"Peripheral",_xlfn.XLOOKUP($K721&amp;"",PERIPHERAL!$B$3:$B$954&amp;"",PERIPHERAL!$H$3:$H$954,""),"Utilities",_xlfn.XLOOKUP($K721&amp;"",UTILITIES!$B$3:$B$953&amp;"",UTILITIES!$G$3:$G$953,""),"IOT",_xlfn.XLOOKUP($K721&amp;"",IOT!$B$3:$B$1012&amp;"",IOT!$H$3:$H$1012,""),"Server",_xlfn.XLOOKUP($K721&amp;"",SERVER!$B$3:$B$1009&amp;"",SERVER!$H$3:$H$1009,""),""),IF(TRIM(_xlpm.srcCat)&lt;&gt;TRIM($J721),"",_xlfn.SWITCH($I721,"Computer",_xlfn.XLOOKUP($K721&amp;"",COMPUTER!$B$3:$B$1009&amp;"",COMPUTER!$K$3:$K$1009,""),"Display",_xlfn.XLOOKUP($K721&amp;"",DISPLAY!$B$3:$B$1000&amp;"",DISPLAY!$L$3:$L$1000,""),"Network Device",_xlfn.XLOOKUP($K721&amp;"",'NETWORK-DEVICES'!$B$3:$B$987&amp;"",'NETWORK-DEVICES'!$K$3:$K$987,""),"Peripheral",_xlfn.XLOOKUP($K721&amp;"",PERIPHERAL!$B$3:$B$954&amp;"",PERIPHERAL!$K$3:$K$954,""),"Utilities",_xlfn.XLOOKUP($K721&amp;"",UTILITIES!$B$3:$B$953&amp;"",UTILITIES!$J$3:$J$953,""),"IOT",_xlfn.XLOOKUP($K721&amp;"",IOT!$B$3:$B$1012&amp;"",IOT!$K$4:$K$1012,""),"Server",_xlfn.XLOOKUP($K721&amp;"",SERVER!$B$3:$B$1009&amp;"",SERVER!$K$3:$K$1009,""),""))))</f>
        <v/>
      </c>
      <c r="O721" s="1" t="str" cm="1">
        <f t="array" ref="O721">IF(OR($K721="",$I721="",$J721=""),"",_xlfn.LET(_xlpm.srcCat,_xlfn.SWITCH($I721,"Computer",_xlfn.XLOOKUP($K721&amp;"",COMPUTER!$B$3:$B$1009&amp;"",COMPUTER!$H$3:$H$1009,""),"Display",_xlfn.XLOOKUP($K721&amp;"",DISPLAY!$B$3:$B$1000&amp;"",DISPLAY!$H$3:$H$1000,""),"Network Device",_xlfn.XLOOKUP($K721&amp;"",'NETWORK-DEVICES'!$B$3:$B$987&amp;"",'NETWORK-DEVICES'!$H$3:$H$987,""),"Peripheral",_xlfn.XLOOKUP($K721&amp;"",PERIPHERAL!$B$3:$B$954&amp;"",PERIPHERAL!$H$3:$H$954,""),"Utilities",_xlfn.XLOOKUP($K721&amp;"",UTILITIES!$B$3:$B$953&amp;"",UTILITIES!$G$3:$G$953,""),"IOT",_xlfn.XLOOKUP($K721&amp;"",IOT!$B$3:$B$1012&amp;"",IOT!$H$3:$H$1012,""),"Server",_xlfn.XLOOKUP($K721&amp;"",SERVER!$B$3:$B$1009&amp;"",SERVER!$H$3:$H$1009,""),""),IF(TRIM(_xlpm.srcCat)&lt;&gt;TRIM($J721),"",_xlfn.SWITCH($I721,"Computer",_xlfn.XLOOKUP($K721&amp;"",COMPUTER!$B$3:$B$1009&amp;"",COMPUTER!$E$3:$E$1009,""),"Display",_xlfn.XLOOKUP($K721&amp;"",DISPLAY!$B$3:$B$1000&amp;"",DISPLAY!$E$3:$E$1000,""),"Network Device",_xlfn.XLOOKUP($K721&amp;"",'NETWORK-DEVICES'!$B$3:$B$987&amp;"",'NETWORK-DEVICES'!$E$3:$E$987,""),"Peripheral",_xlfn.XLOOKUP($K721&amp;"",PERIPHERAL!$B$3:$B$954&amp;"",PERIPHERAL!$E$3:$E$954,""),"Utilities",_xlfn.XLOOKUP($K721&amp;"",UTILITIES!$B$3:$B$953&amp;"",UTILITIES!$E$3:$E$953,""),"IOT",_xlfn.XLOOKUP($K721&amp;"",IOT!$B$3:$B$1012&amp;"",IOT!$E$3:$E$1012,""),"Server",_xlfn.XLOOKUP($K721&amp;"",SERVER!$B$3:$B$1009&amp;"",SERVER!$E$3:$E$1009,""),""))))</f>
        <v/>
      </c>
      <c r="Q721" s="1" t="str" cm="1">
        <f t="array" ref="Q721">IF(OR($K721="",$I721="",$J721=""),"",_xlfn.LET(_xlpm.srcCat,_xlfn.SWITCH($I721,"Computer",_xlfn.XLOOKUP($K721&amp;"",COMPUTER!$B$3:$B$1009&amp;"",COMPUTER!$H$3:$H$1009,""),"Display",_xlfn.XLOOKUP($K721&amp;"",DISPLAY!$B$3:$B$1000&amp;"",DISPLAY!$H$3:$H$1000,""),"Network Device",_xlfn.XLOOKUP($K721&amp;"",'NETWORK-DEVICES'!$B$3:$B$987&amp;"",'NETWORK-DEVICES'!$H$3:$H$987,""),"Peripheral",_xlfn.XLOOKUP($K721&amp;"",PERIPHERAL!$B$3:$B$954&amp;"",PERIPHERAL!$H$3:$H$954,""),"Utilities",_xlfn.XLOOKUP($K721&amp;"",UTILITIES!$B$3:$B$953&amp;"",UTILITIES!$G$3:$G$953,""),"IOT",_xlfn.XLOOKUP($K721&amp;"",IOT!$B$3:$B$1012&amp;"",IOT!$H$3:$H$1012,""),"Server",_xlfn.XLOOKUP($K721&amp;"",SERVER!$B$3:$B$1009&amp;"",SERVER!$H$3:$H$1009,""),""),IF(TRIM(_xlpm.srcCat)&lt;&gt;TRIM($J721),"",_xlfn.SWITCH($I721,"Computer",_xlfn.XLOOKUP($K721&amp;"",COMPUTER!$B$3:$B$1009&amp;"",COMPUTER!$AM$3:$AM$1009,""),"Display",_xlfn.XLOOKUP($K721&amp;"",DISPLAY!$B$3:$B$1000&amp;"",DISPLAY!$V$3:$V$1000,""),"Network Device",_xlfn.XLOOKUP($K721&amp;"",'NETWORK-DEVICES'!$B$3:$B$987&amp;"",'NETWORK-DEVICES'!$AF$3:$AF$987,""),"Peripheral",_xlfn.XLOOKUP($K721&amp;"",PERIPHERAL!$B$3:$B$954&amp;"",PERIPHERAL!$Y$3:$Y$954,""),"Utilities",_xlfn.XLOOKUP($K721&amp;"",UTILITIES!$B$3:$B$953&amp;"",UTILITIES!$O$3:$O$953,""),"IOT",_xlfn.XLOOKUP($K721&amp;"",IOT!$B$3:$B$1012&amp;"",IOT!$AB$3:$AB$1012,""),"Server",_xlfn.XLOOKUP($K721&amp;"",SERVER!$B$3:$B$1009&amp;"",SERVER!$AB$3:$AB$1009,""),""))))</f>
        <v/>
      </c>
      <c r="R721" s="43" t="str">
        <f>IF(tbl_handover[[#This Row],[Asset Code]]="","",COUNTIF(tbl_handover[Asset Code],tbl_handover[[#This Row],[Asset Code]]))</f>
        <v/>
      </c>
    </row>
    <row r="722" spans="1:18" x14ac:dyDescent="0.25">
      <c r="A722" s="43" t="str">
        <f>IF(B722&lt;&gt;"",SUBTOTAL(3,$B$1:B721),"")</f>
        <v/>
      </c>
      <c r="C722" s="74"/>
      <c r="D722" s="74"/>
      <c r="G722" s="1"/>
      <c r="K722" s="42"/>
      <c r="L722" t="str" cm="1">
        <f t="array" ref="L722">IF($K722="","",_xlfn.SWITCH($I722,"Computer",_xlfn.XLOOKUP($K722&amp;"",COMPUTER!$B$3:$B$1009&amp;"",COMPUTER!$I$3:$I$1009,""),"Display",_xlfn.XLOOKUP($K722&amp;"",DISPLAY!$B$3:$B$1000&amp;"",DISPLAY!$J$3:$J$1000,""),"Network Device",_xlfn.XLOOKUP($K722&amp;"",'NETWORK-DEVICES'!$B$3:$B$987&amp;"",'NETWORK-DEVICES'!$I$3:$I$987,""),"Peripheral",_xlfn.XLOOKUP($K722&amp;"",PERIPHERAL!$B$3:$B$954&amp;"",PERIPHERAL!$I$3:$I$954,""),"Utilities",_xlfn.XLOOKUP($K722&amp;"",UTILITIES!$B$3:$B$953&amp;"",UTILITIES!$H$3:$H$953,""),"IOT",_xlfn.XLOOKUP($K722&amp;"",IOT!$B$3:$B$1012&amp;"",IOT!$I$3:$I$1012,""),"SERVER",_xlfn.XLOOKUP($K722&amp;"",SERVER!$B$3:$B$1009&amp;"",SERVER!$I$3:$I$1009,""),""))</f>
        <v/>
      </c>
      <c r="M722" t="str" cm="1">
        <f t="array" ref="M722">IF($K722="","",_xlfn.SWITCH($I722,"Computer",_xlfn.XLOOKUP($K722&amp;"",COMPUTER!$B$3:$B$1009&amp;"",COMPUTER!$J$3:$J$1009,""),"Display",_xlfn.XLOOKUP($K722&amp;"",DISPLAY!$B$3:$B$1000&amp;"",DISPLAY!$K$3:$K$1000,""),"Network Device",_xlfn.XLOOKUP($K722&amp;"",'NETWORK-DEVICES'!$B$3:$B$987&amp;"",'NETWORK-DEVICES'!$I$3:$I$987,""),"Peripheral",_xlfn.XLOOKUP($K722&amp;"",PERIPHERAL!$B$3:$B$954&amp;"",PERIPHERAL!$J$3:$J$954,""),"Utilities",_xlfn.XLOOKUP($K722&amp;"",UTILITIES!$B$3:$B$953&amp;"",UTILITIES!$I$3:$I$953,""),"IOT",_xlfn.XLOOKUP($K722&amp;"",IOT!$B$3:$B$1012&amp;"",IOT!$J$3:$J$1012,""),"Server",_xlfn.XLOOKUP($K722&amp;"",SERVER!$B$3:$B$1009&amp;"",SERVER!$J$3:$J$1009,""),""))</f>
        <v/>
      </c>
      <c r="N722" s="1" t="str" cm="1">
        <f t="array" ref="N722">IF(OR($K722="",$I722="",$J722=""),"",_xlfn.LET(_xlpm.srcCat,_xlfn.SWITCH($I722,"Computer",_xlfn.XLOOKUP($K722&amp;"",COMPUTER!$B$3:$B$1009&amp;"",COMPUTER!$H$3:$H$1009,""),"Display",_xlfn.XLOOKUP($K722&amp;"",DISPLAY!$B$3:$B$1000&amp;"",DISPLAY!$H$3:$H$1000,""),"Network Device",_xlfn.XLOOKUP($K722&amp;"",'NETWORK-DEVICES'!$B$3:$B$987&amp;"",'NETWORK-DEVICES'!$H$3:$H$987,""),"Peripheral",_xlfn.XLOOKUP($K722&amp;"",PERIPHERAL!$B$3:$B$954&amp;"",PERIPHERAL!$H$3:$H$954,""),"Utilities",_xlfn.XLOOKUP($K722&amp;"",UTILITIES!$B$3:$B$953&amp;"",UTILITIES!$G$3:$G$953,""),"IOT",_xlfn.XLOOKUP($K722&amp;"",IOT!$B$3:$B$1012&amp;"",IOT!$H$3:$H$1012,""),"Server",_xlfn.XLOOKUP($K722&amp;"",SERVER!$B$3:$B$1009&amp;"",SERVER!$H$3:$H$1009,""),""),IF(TRIM(_xlpm.srcCat)&lt;&gt;TRIM($J722),"",_xlfn.SWITCH($I722,"Computer",_xlfn.XLOOKUP($K722&amp;"",COMPUTER!$B$3:$B$1009&amp;"",COMPUTER!$K$3:$K$1009,""),"Display",_xlfn.XLOOKUP($K722&amp;"",DISPLAY!$B$3:$B$1000&amp;"",DISPLAY!$L$3:$L$1000,""),"Network Device",_xlfn.XLOOKUP($K722&amp;"",'NETWORK-DEVICES'!$B$3:$B$987&amp;"",'NETWORK-DEVICES'!$K$3:$K$987,""),"Peripheral",_xlfn.XLOOKUP($K722&amp;"",PERIPHERAL!$B$3:$B$954&amp;"",PERIPHERAL!$K$3:$K$954,""),"Utilities",_xlfn.XLOOKUP($K722&amp;"",UTILITIES!$B$3:$B$953&amp;"",UTILITIES!$J$3:$J$953,""),"IOT",_xlfn.XLOOKUP($K722&amp;"",IOT!$B$3:$B$1012&amp;"",IOT!$K$4:$K$1012,""),"Server",_xlfn.XLOOKUP($K722&amp;"",SERVER!$B$3:$B$1009&amp;"",SERVER!$K$3:$K$1009,""),""))))</f>
        <v/>
      </c>
      <c r="O722" s="1" t="str" cm="1">
        <f t="array" ref="O722">IF(OR($K722="",$I722="",$J722=""),"",_xlfn.LET(_xlpm.srcCat,_xlfn.SWITCH($I722,"Computer",_xlfn.XLOOKUP($K722&amp;"",COMPUTER!$B$3:$B$1009&amp;"",COMPUTER!$H$3:$H$1009,""),"Display",_xlfn.XLOOKUP($K722&amp;"",DISPLAY!$B$3:$B$1000&amp;"",DISPLAY!$H$3:$H$1000,""),"Network Device",_xlfn.XLOOKUP($K722&amp;"",'NETWORK-DEVICES'!$B$3:$B$987&amp;"",'NETWORK-DEVICES'!$H$3:$H$987,""),"Peripheral",_xlfn.XLOOKUP($K722&amp;"",PERIPHERAL!$B$3:$B$954&amp;"",PERIPHERAL!$H$3:$H$954,""),"Utilities",_xlfn.XLOOKUP($K722&amp;"",UTILITIES!$B$3:$B$953&amp;"",UTILITIES!$G$3:$G$953,""),"IOT",_xlfn.XLOOKUP($K722&amp;"",IOT!$B$3:$B$1012&amp;"",IOT!$H$3:$H$1012,""),"Server",_xlfn.XLOOKUP($K722&amp;"",SERVER!$B$3:$B$1009&amp;"",SERVER!$H$3:$H$1009,""),""),IF(TRIM(_xlpm.srcCat)&lt;&gt;TRIM($J722),"",_xlfn.SWITCH($I722,"Computer",_xlfn.XLOOKUP($K722&amp;"",COMPUTER!$B$3:$B$1009&amp;"",COMPUTER!$E$3:$E$1009,""),"Display",_xlfn.XLOOKUP($K722&amp;"",DISPLAY!$B$3:$B$1000&amp;"",DISPLAY!$E$3:$E$1000,""),"Network Device",_xlfn.XLOOKUP($K722&amp;"",'NETWORK-DEVICES'!$B$3:$B$987&amp;"",'NETWORK-DEVICES'!$E$3:$E$987,""),"Peripheral",_xlfn.XLOOKUP($K722&amp;"",PERIPHERAL!$B$3:$B$954&amp;"",PERIPHERAL!$E$3:$E$954,""),"Utilities",_xlfn.XLOOKUP($K722&amp;"",UTILITIES!$B$3:$B$953&amp;"",UTILITIES!$E$3:$E$953,""),"IOT",_xlfn.XLOOKUP($K722&amp;"",IOT!$B$3:$B$1012&amp;"",IOT!$E$3:$E$1012,""),"Server",_xlfn.XLOOKUP($K722&amp;"",SERVER!$B$3:$B$1009&amp;"",SERVER!$E$3:$E$1009,""),""))))</f>
        <v/>
      </c>
      <c r="Q722" s="1" t="str" cm="1">
        <f t="array" ref="Q722">IF(OR($K722="",$I722="",$J722=""),"",_xlfn.LET(_xlpm.srcCat,_xlfn.SWITCH($I722,"Computer",_xlfn.XLOOKUP($K722&amp;"",COMPUTER!$B$3:$B$1009&amp;"",COMPUTER!$H$3:$H$1009,""),"Display",_xlfn.XLOOKUP($K722&amp;"",DISPLAY!$B$3:$B$1000&amp;"",DISPLAY!$H$3:$H$1000,""),"Network Device",_xlfn.XLOOKUP($K722&amp;"",'NETWORK-DEVICES'!$B$3:$B$987&amp;"",'NETWORK-DEVICES'!$H$3:$H$987,""),"Peripheral",_xlfn.XLOOKUP($K722&amp;"",PERIPHERAL!$B$3:$B$954&amp;"",PERIPHERAL!$H$3:$H$954,""),"Utilities",_xlfn.XLOOKUP($K722&amp;"",UTILITIES!$B$3:$B$953&amp;"",UTILITIES!$G$3:$G$953,""),"IOT",_xlfn.XLOOKUP($K722&amp;"",IOT!$B$3:$B$1012&amp;"",IOT!$H$3:$H$1012,""),"Server",_xlfn.XLOOKUP($K722&amp;"",SERVER!$B$3:$B$1009&amp;"",SERVER!$H$3:$H$1009,""),""),IF(TRIM(_xlpm.srcCat)&lt;&gt;TRIM($J722),"",_xlfn.SWITCH($I722,"Computer",_xlfn.XLOOKUP($K722&amp;"",COMPUTER!$B$3:$B$1009&amp;"",COMPUTER!$AM$3:$AM$1009,""),"Display",_xlfn.XLOOKUP($K722&amp;"",DISPLAY!$B$3:$B$1000&amp;"",DISPLAY!$V$3:$V$1000,""),"Network Device",_xlfn.XLOOKUP($K722&amp;"",'NETWORK-DEVICES'!$B$3:$B$987&amp;"",'NETWORK-DEVICES'!$AF$3:$AF$987,""),"Peripheral",_xlfn.XLOOKUP($K722&amp;"",PERIPHERAL!$B$3:$B$954&amp;"",PERIPHERAL!$Y$3:$Y$954,""),"Utilities",_xlfn.XLOOKUP($K722&amp;"",UTILITIES!$B$3:$B$953&amp;"",UTILITIES!$O$3:$O$953,""),"IOT",_xlfn.XLOOKUP($K722&amp;"",IOT!$B$3:$B$1012&amp;"",IOT!$AB$3:$AB$1012,""),"Server",_xlfn.XLOOKUP($K722&amp;"",SERVER!$B$3:$B$1009&amp;"",SERVER!$AB$3:$AB$1009,""),""))))</f>
        <v/>
      </c>
      <c r="R722" s="43" t="str">
        <f>IF(tbl_handover[[#This Row],[Asset Code]]="","",COUNTIF(tbl_handover[Asset Code],tbl_handover[[#This Row],[Asset Code]]))</f>
        <v/>
      </c>
    </row>
    <row r="723" spans="1:18" x14ac:dyDescent="0.25">
      <c r="A723" s="43" t="str">
        <f>IF(B723&lt;&gt;"",SUBTOTAL(3,$B$1:B722),"")</f>
        <v/>
      </c>
      <c r="C723" s="74"/>
      <c r="D723" s="74"/>
      <c r="G723" s="1"/>
      <c r="K723" s="42"/>
      <c r="L723" t="str" cm="1">
        <f t="array" ref="L723">IF($K723="","",_xlfn.SWITCH($I723,"Computer",_xlfn.XLOOKUP($K723&amp;"",COMPUTER!$B$3:$B$1009&amp;"",COMPUTER!$I$3:$I$1009,""),"Display",_xlfn.XLOOKUP($K723&amp;"",DISPLAY!$B$3:$B$1000&amp;"",DISPLAY!$J$3:$J$1000,""),"Network Device",_xlfn.XLOOKUP($K723&amp;"",'NETWORK-DEVICES'!$B$3:$B$987&amp;"",'NETWORK-DEVICES'!$I$3:$I$987,""),"Peripheral",_xlfn.XLOOKUP($K723&amp;"",PERIPHERAL!$B$3:$B$954&amp;"",PERIPHERAL!$I$3:$I$954,""),"Utilities",_xlfn.XLOOKUP($K723&amp;"",UTILITIES!$B$3:$B$953&amp;"",UTILITIES!$H$3:$H$953,""),"IOT",_xlfn.XLOOKUP($K723&amp;"",IOT!$B$3:$B$1012&amp;"",IOT!$I$3:$I$1012,""),"SERVER",_xlfn.XLOOKUP($K723&amp;"",SERVER!$B$3:$B$1009&amp;"",SERVER!$I$3:$I$1009,""),""))</f>
        <v/>
      </c>
      <c r="M723" t="str" cm="1">
        <f t="array" ref="M723">IF($K723="","",_xlfn.SWITCH($I723,"Computer",_xlfn.XLOOKUP($K723&amp;"",COMPUTER!$B$3:$B$1009&amp;"",COMPUTER!$J$3:$J$1009,""),"Display",_xlfn.XLOOKUP($K723&amp;"",DISPLAY!$B$3:$B$1000&amp;"",DISPLAY!$K$3:$K$1000,""),"Network Device",_xlfn.XLOOKUP($K723&amp;"",'NETWORK-DEVICES'!$B$3:$B$987&amp;"",'NETWORK-DEVICES'!$I$3:$I$987,""),"Peripheral",_xlfn.XLOOKUP($K723&amp;"",PERIPHERAL!$B$3:$B$954&amp;"",PERIPHERAL!$J$3:$J$954,""),"Utilities",_xlfn.XLOOKUP($K723&amp;"",UTILITIES!$B$3:$B$953&amp;"",UTILITIES!$I$3:$I$953,""),"IOT",_xlfn.XLOOKUP($K723&amp;"",IOT!$B$3:$B$1012&amp;"",IOT!$J$3:$J$1012,""),"Server",_xlfn.XLOOKUP($K723&amp;"",SERVER!$B$3:$B$1009&amp;"",SERVER!$J$3:$J$1009,""),""))</f>
        <v/>
      </c>
      <c r="N723" s="1" t="str" cm="1">
        <f t="array" ref="N723">IF(OR($K723="",$I723="",$J723=""),"",_xlfn.LET(_xlpm.srcCat,_xlfn.SWITCH($I723,"Computer",_xlfn.XLOOKUP($K723&amp;"",COMPUTER!$B$3:$B$1009&amp;"",COMPUTER!$H$3:$H$1009,""),"Display",_xlfn.XLOOKUP($K723&amp;"",DISPLAY!$B$3:$B$1000&amp;"",DISPLAY!$H$3:$H$1000,""),"Network Device",_xlfn.XLOOKUP($K723&amp;"",'NETWORK-DEVICES'!$B$3:$B$987&amp;"",'NETWORK-DEVICES'!$H$3:$H$987,""),"Peripheral",_xlfn.XLOOKUP($K723&amp;"",PERIPHERAL!$B$3:$B$954&amp;"",PERIPHERAL!$H$3:$H$954,""),"Utilities",_xlfn.XLOOKUP($K723&amp;"",UTILITIES!$B$3:$B$953&amp;"",UTILITIES!$G$3:$G$953,""),"IOT",_xlfn.XLOOKUP($K723&amp;"",IOT!$B$3:$B$1012&amp;"",IOT!$H$3:$H$1012,""),"Server",_xlfn.XLOOKUP($K723&amp;"",SERVER!$B$3:$B$1009&amp;"",SERVER!$H$3:$H$1009,""),""),IF(TRIM(_xlpm.srcCat)&lt;&gt;TRIM($J723),"",_xlfn.SWITCH($I723,"Computer",_xlfn.XLOOKUP($K723&amp;"",COMPUTER!$B$3:$B$1009&amp;"",COMPUTER!$K$3:$K$1009,""),"Display",_xlfn.XLOOKUP($K723&amp;"",DISPLAY!$B$3:$B$1000&amp;"",DISPLAY!$L$3:$L$1000,""),"Network Device",_xlfn.XLOOKUP($K723&amp;"",'NETWORK-DEVICES'!$B$3:$B$987&amp;"",'NETWORK-DEVICES'!$K$3:$K$987,""),"Peripheral",_xlfn.XLOOKUP($K723&amp;"",PERIPHERAL!$B$3:$B$954&amp;"",PERIPHERAL!$K$3:$K$954,""),"Utilities",_xlfn.XLOOKUP($K723&amp;"",UTILITIES!$B$3:$B$953&amp;"",UTILITIES!$J$3:$J$953,""),"IOT",_xlfn.XLOOKUP($K723&amp;"",IOT!$B$3:$B$1012&amp;"",IOT!$K$4:$K$1012,""),"Server",_xlfn.XLOOKUP($K723&amp;"",SERVER!$B$3:$B$1009&amp;"",SERVER!$K$3:$K$1009,""),""))))</f>
        <v/>
      </c>
      <c r="O723" s="1" t="str" cm="1">
        <f t="array" ref="O723">IF(OR($K723="",$I723="",$J723=""),"",_xlfn.LET(_xlpm.srcCat,_xlfn.SWITCH($I723,"Computer",_xlfn.XLOOKUP($K723&amp;"",COMPUTER!$B$3:$B$1009&amp;"",COMPUTER!$H$3:$H$1009,""),"Display",_xlfn.XLOOKUP($K723&amp;"",DISPLAY!$B$3:$B$1000&amp;"",DISPLAY!$H$3:$H$1000,""),"Network Device",_xlfn.XLOOKUP($K723&amp;"",'NETWORK-DEVICES'!$B$3:$B$987&amp;"",'NETWORK-DEVICES'!$H$3:$H$987,""),"Peripheral",_xlfn.XLOOKUP($K723&amp;"",PERIPHERAL!$B$3:$B$954&amp;"",PERIPHERAL!$H$3:$H$954,""),"Utilities",_xlfn.XLOOKUP($K723&amp;"",UTILITIES!$B$3:$B$953&amp;"",UTILITIES!$G$3:$G$953,""),"IOT",_xlfn.XLOOKUP($K723&amp;"",IOT!$B$3:$B$1012&amp;"",IOT!$H$3:$H$1012,""),"Server",_xlfn.XLOOKUP($K723&amp;"",SERVER!$B$3:$B$1009&amp;"",SERVER!$H$3:$H$1009,""),""),IF(TRIM(_xlpm.srcCat)&lt;&gt;TRIM($J723),"",_xlfn.SWITCH($I723,"Computer",_xlfn.XLOOKUP($K723&amp;"",COMPUTER!$B$3:$B$1009&amp;"",COMPUTER!$E$3:$E$1009,""),"Display",_xlfn.XLOOKUP($K723&amp;"",DISPLAY!$B$3:$B$1000&amp;"",DISPLAY!$E$3:$E$1000,""),"Network Device",_xlfn.XLOOKUP($K723&amp;"",'NETWORK-DEVICES'!$B$3:$B$987&amp;"",'NETWORK-DEVICES'!$E$3:$E$987,""),"Peripheral",_xlfn.XLOOKUP($K723&amp;"",PERIPHERAL!$B$3:$B$954&amp;"",PERIPHERAL!$E$3:$E$954,""),"Utilities",_xlfn.XLOOKUP($K723&amp;"",UTILITIES!$B$3:$B$953&amp;"",UTILITIES!$E$3:$E$953,""),"IOT",_xlfn.XLOOKUP($K723&amp;"",IOT!$B$3:$B$1012&amp;"",IOT!$E$3:$E$1012,""),"Server",_xlfn.XLOOKUP($K723&amp;"",SERVER!$B$3:$B$1009&amp;"",SERVER!$E$3:$E$1009,""),""))))</f>
        <v/>
      </c>
      <c r="Q723" s="1" t="str" cm="1">
        <f t="array" ref="Q723">IF(OR($K723="",$I723="",$J723=""),"",_xlfn.LET(_xlpm.srcCat,_xlfn.SWITCH($I723,"Computer",_xlfn.XLOOKUP($K723&amp;"",COMPUTER!$B$3:$B$1009&amp;"",COMPUTER!$H$3:$H$1009,""),"Display",_xlfn.XLOOKUP($K723&amp;"",DISPLAY!$B$3:$B$1000&amp;"",DISPLAY!$H$3:$H$1000,""),"Network Device",_xlfn.XLOOKUP($K723&amp;"",'NETWORK-DEVICES'!$B$3:$B$987&amp;"",'NETWORK-DEVICES'!$H$3:$H$987,""),"Peripheral",_xlfn.XLOOKUP($K723&amp;"",PERIPHERAL!$B$3:$B$954&amp;"",PERIPHERAL!$H$3:$H$954,""),"Utilities",_xlfn.XLOOKUP($K723&amp;"",UTILITIES!$B$3:$B$953&amp;"",UTILITIES!$G$3:$G$953,""),"IOT",_xlfn.XLOOKUP($K723&amp;"",IOT!$B$3:$B$1012&amp;"",IOT!$H$3:$H$1012,""),"Server",_xlfn.XLOOKUP($K723&amp;"",SERVER!$B$3:$B$1009&amp;"",SERVER!$H$3:$H$1009,""),""),IF(TRIM(_xlpm.srcCat)&lt;&gt;TRIM($J723),"",_xlfn.SWITCH($I723,"Computer",_xlfn.XLOOKUP($K723&amp;"",COMPUTER!$B$3:$B$1009&amp;"",COMPUTER!$AM$3:$AM$1009,""),"Display",_xlfn.XLOOKUP($K723&amp;"",DISPLAY!$B$3:$B$1000&amp;"",DISPLAY!$V$3:$V$1000,""),"Network Device",_xlfn.XLOOKUP($K723&amp;"",'NETWORK-DEVICES'!$B$3:$B$987&amp;"",'NETWORK-DEVICES'!$AF$3:$AF$987,""),"Peripheral",_xlfn.XLOOKUP($K723&amp;"",PERIPHERAL!$B$3:$B$954&amp;"",PERIPHERAL!$Y$3:$Y$954,""),"Utilities",_xlfn.XLOOKUP($K723&amp;"",UTILITIES!$B$3:$B$953&amp;"",UTILITIES!$O$3:$O$953,""),"IOT",_xlfn.XLOOKUP($K723&amp;"",IOT!$B$3:$B$1012&amp;"",IOT!$AB$3:$AB$1012,""),"Server",_xlfn.XLOOKUP($K723&amp;"",SERVER!$B$3:$B$1009&amp;"",SERVER!$AB$3:$AB$1009,""),""))))</f>
        <v/>
      </c>
      <c r="R723" s="43" t="str">
        <f>IF(tbl_handover[[#This Row],[Asset Code]]="","",COUNTIF(tbl_handover[Asset Code],tbl_handover[[#This Row],[Asset Code]]))</f>
        <v/>
      </c>
    </row>
    <row r="724" spans="1:18" x14ac:dyDescent="0.25">
      <c r="A724" s="43" t="str">
        <f>IF(B724&lt;&gt;"",SUBTOTAL(3,$B$1:B723),"")</f>
        <v/>
      </c>
      <c r="C724" s="74"/>
      <c r="D724" s="74"/>
      <c r="G724" s="1"/>
      <c r="K724" s="42"/>
      <c r="L724" t="str" cm="1">
        <f t="array" ref="L724">IF($K724="","",_xlfn.SWITCH($I724,"Computer",_xlfn.XLOOKUP($K724&amp;"",COMPUTER!$B$3:$B$1009&amp;"",COMPUTER!$I$3:$I$1009,""),"Display",_xlfn.XLOOKUP($K724&amp;"",DISPLAY!$B$3:$B$1000&amp;"",DISPLAY!$J$3:$J$1000,""),"Network Device",_xlfn.XLOOKUP($K724&amp;"",'NETWORK-DEVICES'!$B$3:$B$987&amp;"",'NETWORK-DEVICES'!$I$3:$I$987,""),"Peripheral",_xlfn.XLOOKUP($K724&amp;"",PERIPHERAL!$B$3:$B$954&amp;"",PERIPHERAL!$I$3:$I$954,""),"Utilities",_xlfn.XLOOKUP($K724&amp;"",UTILITIES!$B$3:$B$953&amp;"",UTILITIES!$H$3:$H$953,""),"IOT",_xlfn.XLOOKUP($K724&amp;"",IOT!$B$3:$B$1012&amp;"",IOT!$I$3:$I$1012,""),"SERVER",_xlfn.XLOOKUP($K724&amp;"",SERVER!$B$3:$B$1009&amp;"",SERVER!$I$3:$I$1009,""),""))</f>
        <v/>
      </c>
      <c r="M724" t="str" cm="1">
        <f t="array" ref="M724">IF($K724="","",_xlfn.SWITCH($I724,"Computer",_xlfn.XLOOKUP($K724&amp;"",COMPUTER!$B$3:$B$1009&amp;"",COMPUTER!$J$3:$J$1009,""),"Display",_xlfn.XLOOKUP($K724&amp;"",DISPLAY!$B$3:$B$1000&amp;"",DISPLAY!$K$3:$K$1000,""),"Network Device",_xlfn.XLOOKUP($K724&amp;"",'NETWORK-DEVICES'!$B$3:$B$987&amp;"",'NETWORK-DEVICES'!$I$3:$I$987,""),"Peripheral",_xlfn.XLOOKUP($K724&amp;"",PERIPHERAL!$B$3:$B$954&amp;"",PERIPHERAL!$J$3:$J$954,""),"Utilities",_xlfn.XLOOKUP($K724&amp;"",UTILITIES!$B$3:$B$953&amp;"",UTILITIES!$I$3:$I$953,""),"IOT",_xlfn.XLOOKUP($K724&amp;"",IOT!$B$3:$B$1012&amp;"",IOT!$J$3:$J$1012,""),"Server",_xlfn.XLOOKUP($K724&amp;"",SERVER!$B$3:$B$1009&amp;"",SERVER!$J$3:$J$1009,""),""))</f>
        <v/>
      </c>
      <c r="N724" s="1" t="str" cm="1">
        <f t="array" ref="N724">IF(OR($K724="",$I724="",$J724=""),"",_xlfn.LET(_xlpm.srcCat,_xlfn.SWITCH($I724,"Computer",_xlfn.XLOOKUP($K724&amp;"",COMPUTER!$B$3:$B$1009&amp;"",COMPUTER!$H$3:$H$1009,""),"Display",_xlfn.XLOOKUP($K724&amp;"",DISPLAY!$B$3:$B$1000&amp;"",DISPLAY!$H$3:$H$1000,""),"Network Device",_xlfn.XLOOKUP($K724&amp;"",'NETWORK-DEVICES'!$B$3:$B$987&amp;"",'NETWORK-DEVICES'!$H$3:$H$987,""),"Peripheral",_xlfn.XLOOKUP($K724&amp;"",PERIPHERAL!$B$3:$B$954&amp;"",PERIPHERAL!$H$3:$H$954,""),"Utilities",_xlfn.XLOOKUP($K724&amp;"",UTILITIES!$B$3:$B$953&amp;"",UTILITIES!$G$3:$G$953,""),"IOT",_xlfn.XLOOKUP($K724&amp;"",IOT!$B$3:$B$1012&amp;"",IOT!$H$3:$H$1012,""),"Server",_xlfn.XLOOKUP($K724&amp;"",SERVER!$B$3:$B$1009&amp;"",SERVER!$H$3:$H$1009,""),""),IF(TRIM(_xlpm.srcCat)&lt;&gt;TRIM($J724),"",_xlfn.SWITCH($I724,"Computer",_xlfn.XLOOKUP($K724&amp;"",COMPUTER!$B$3:$B$1009&amp;"",COMPUTER!$K$3:$K$1009,""),"Display",_xlfn.XLOOKUP($K724&amp;"",DISPLAY!$B$3:$B$1000&amp;"",DISPLAY!$L$3:$L$1000,""),"Network Device",_xlfn.XLOOKUP($K724&amp;"",'NETWORK-DEVICES'!$B$3:$B$987&amp;"",'NETWORK-DEVICES'!$K$3:$K$987,""),"Peripheral",_xlfn.XLOOKUP($K724&amp;"",PERIPHERAL!$B$3:$B$954&amp;"",PERIPHERAL!$K$3:$K$954,""),"Utilities",_xlfn.XLOOKUP($K724&amp;"",UTILITIES!$B$3:$B$953&amp;"",UTILITIES!$J$3:$J$953,""),"IOT",_xlfn.XLOOKUP($K724&amp;"",IOT!$B$3:$B$1012&amp;"",IOT!$K$4:$K$1012,""),"Server",_xlfn.XLOOKUP($K724&amp;"",SERVER!$B$3:$B$1009&amp;"",SERVER!$K$3:$K$1009,""),""))))</f>
        <v/>
      </c>
      <c r="O724" s="1" t="str" cm="1">
        <f t="array" ref="O724">IF(OR($K724="",$I724="",$J724=""),"",_xlfn.LET(_xlpm.srcCat,_xlfn.SWITCH($I724,"Computer",_xlfn.XLOOKUP($K724&amp;"",COMPUTER!$B$3:$B$1009&amp;"",COMPUTER!$H$3:$H$1009,""),"Display",_xlfn.XLOOKUP($K724&amp;"",DISPLAY!$B$3:$B$1000&amp;"",DISPLAY!$H$3:$H$1000,""),"Network Device",_xlfn.XLOOKUP($K724&amp;"",'NETWORK-DEVICES'!$B$3:$B$987&amp;"",'NETWORK-DEVICES'!$H$3:$H$987,""),"Peripheral",_xlfn.XLOOKUP($K724&amp;"",PERIPHERAL!$B$3:$B$954&amp;"",PERIPHERAL!$H$3:$H$954,""),"Utilities",_xlfn.XLOOKUP($K724&amp;"",UTILITIES!$B$3:$B$953&amp;"",UTILITIES!$G$3:$G$953,""),"IOT",_xlfn.XLOOKUP($K724&amp;"",IOT!$B$3:$B$1012&amp;"",IOT!$H$3:$H$1012,""),"Server",_xlfn.XLOOKUP($K724&amp;"",SERVER!$B$3:$B$1009&amp;"",SERVER!$H$3:$H$1009,""),""),IF(TRIM(_xlpm.srcCat)&lt;&gt;TRIM($J724),"",_xlfn.SWITCH($I724,"Computer",_xlfn.XLOOKUP($K724&amp;"",COMPUTER!$B$3:$B$1009&amp;"",COMPUTER!$E$3:$E$1009,""),"Display",_xlfn.XLOOKUP($K724&amp;"",DISPLAY!$B$3:$B$1000&amp;"",DISPLAY!$E$3:$E$1000,""),"Network Device",_xlfn.XLOOKUP($K724&amp;"",'NETWORK-DEVICES'!$B$3:$B$987&amp;"",'NETWORK-DEVICES'!$E$3:$E$987,""),"Peripheral",_xlfn.XLOOKUP($K724&amp;"",PERIPHERAL!$B$3:$B$954&amp;"",PERIPHERAL!$E$3:$E$954,""),"Utilities",_xlfn.XLOOKUP($K724&amp;"",UTILITIES!$B$3:$B$953&amp;"",UTILITIES!$E$3:$E$953,""),"IOT",_xlfn.XLOOKUP($K724&amp;"",IOT!$B$3:$B$1012&amp;"",IOT!$E$3:$E$1012,""),"Server",_xlfn.XLOOKUP($K724&amp;"",SERVER!$B$3:$B$1009&amp;"",SERVER!$E$3:$E$1009,""),""))))</f>
        <v/>
      </c>
      <c r="Q724" s="1" t="str" cm="1">
        <f t="array" ref="Q724">IF(OR($K724="",$I724="",$J724=""),"",_xlfn.LET(_xlpm.srcCat,_xlfn.SWITCH($I724,"Computer",_xlfn.XLOOKUP($K724&amp;"",COMPUTER!$B$3:$B$1009&amp;"",COMPUTER!$H$3:$H$1009,""),"Display",_xlfn.XLOOKUP($K724&amp;"",DISPLAY!$B$3:$B$1000&amp;"",DISPLAY!$H$3:$H$1000,""),"Network Device",_xlfn.XLOOKUP($K724&amp;"",'NETWORK-DEVICES'!$B$3:$B$987&amp;"",'NETWORK-DEVICES'!$H$3:$H$987,""),"Peripheral",_xlfn.XLOOKUP($K724&amp;"",PERIPHERAL!$B$3:$B$954&amp;"",PERIPHERAL!$H$3:$H$954,""),"Utilities",_xlfn.XLOOKUP($K724&amp;"",UTILITIES!$B$3:$B$953&amp;"",UTILITIES!$G$3:$G$953,""),"IOT",_xlfn.XLOOKUP($K724&amp;"",IOT!$B$3:$B$1012&amp;"",IOT!$H$3:$H$1012,""),"Server",_xlfn.XLOOKUP($K724&amp;"",SERVER!$B$3:$B$1009&amp;"",SERVER!$H$3:$H$1009,""),""),IF(TRIM(_xlpm.srcCat)&lt;&gt;TRIM($J724),"",_xlfn.SWITCH($I724,"Computer",_xlfn.XLOOKUP($K724&amp;"",COMPUTER!$B$3:$B$1009&amp;"",COMPUTER!$AM$3:$AM$1009,""),"Display",_xlfn.XLOOKUP($K724&amp;"",DISPLAY!$B$3:$B$1000&amp;"",DISPLAY!$V$3:$V$1000,""),"Network Device",_xlfn.XLOOKUP($K724&amp;"",'NETWORK-DEVICES'!$B$3:$B$987&amp;"",'NETWORK-DEVICES'!$AF$3:$AF$987,""),"Peripheral",_xlfn.XLOOKUP($K724&amp;"",PERIPHERAL!$B$3:$B$954&amp;"",PERIPHERAL!$Y$3:$Y$954,""),"Utilities",_xlfn.XLOOKUP($K724&amp;"",UTILITIES!$B$3:$B$953&amp;"",UTILITIES!$O$3:$O$953,""),"IOT",_xlfn.XLOOKUP($K724&amp;"",IOT!$B$3:$B$1012&amp;"",IOT!$AB$3:$AB$1012,""),"Server",_xlfn.XLOOKUP($K724&amp;"",SERVER!$B$3:$B$1009&amp;"",SERVER!$AB$3:$AB$1009,""),""))))</f>
        <v/>
      </c>
      <c r="R724" s="43" t="str">
        <f>IF(tbl_handover[[#This Row],[Asset Code]]="","",COUNTIF(tbl_handover[Asset Code],tbl_handover[[#This Row],[Asset Code]]))</f>
        <v/>
      </c>
    </row>
    <row r="725" spans="1:18" x14ac:dyDescent="0.25">
      <c r="A725" s="43" t="str">
        <f>IF(B725&lt;&gt;"",SUBTOTAL(3,$B$1:B724),"")</f>
        <v/>
      </c>
      <c r="C725" s="74"/>
      <c r="D725" s="74"/>
      <c r="G725" s="1"/>
      <c r="K725" s="42"/>
      <c r="L725" t="str" cm="1">
        <f t="array" ref="L725">IF($K725="","",_xlfn.SWITCH($I725,"Computer",_xlfn.XLOOKUP($K725&amp;"",COMPUTER!$B$3:$B$1009&amp;"",COMPUTER!$I$3:$I$1009,""),"Display",_xlfn.XLOOKUP($K725&amp;"",DISPLAY!$B$3:$B$1000&amp;"",DISPLAY!$J$3:$J$1000,""),"Network Device",_xlfn.XLOOKUP($K725&amp;"",'NETWORK-DEVICES'!$B$3:$B$987&amp;"",'NETWORK-DEVICES'!$I$3:$I$987,""),"Peripheral",_xlfn.XLOOKUP($K725&amp;"",PERIPHERAL!$B$3:$B$954&amp;"",PERIPHERAL!$I$3:$I$954,""),"Utilities",_xlfn.XLOOKUP($K725&amp;"",UTILITIES!$B$3:$B$953&amp;"",UTILITIES!$H$3:$H$953,""),"IOT",_xlfn.XLOOKUP($K725&amp;"",IOT!$B$3:$B$1012&amp;"",IOT!$I$3:$I$1012,""),"SERVER",_xlfn.XLOOKUP($K725&amp;"",SERVER!$B$3:$B$1009&amp;"",SERVER!$I$3:$I$1009,""),""))</f>
        <v/>
      </c>
      <c r="M725" t="str" cm="1">
        <f t="array" ref="M725">IF($K725="","",_xlfn.SWITCH($I725,"Computer",_xlfn.XLOOKUP($K725&amp;"",COMPUTER!$B$3:$B$1009&amp;"",COMPUTER!$J$3:$J$1009,""),"Display",_xlfn.XLOOKUP($K725&amp;"",DISPLAY!$B$3:$B$1000&amp;"",DISPLAY!$K$3:$K$1000,""),"Network Device",_xlfn.XLOOKUP($K725&amp;"",'NETWORK-DEVICES'!$B$3:$B$987&amp;"",'NETWORK-DEVICES'!$I$3:$I$987,""),"Peripheral",_xlfn.XLOOKUP($K725&amp;"",PERIPHERAL!$B$3:$B$954&amp;"",PERIPHERAL!$J$3:$J$954,""),"Utilities",_xlfn.XLOOKUP($K725&amp;"",UTILITIES!$B$3:$B$953&amp;"",UTILITIES!$I$3:$I$953,""),"IOT",_xlfn.XLOOKUP($K725&amp;"",IOT!$B$3:$B$1012&amp;"",IOT!$J$3:$J$1012,""),"Server",_xlfn.XLOOKUP($K725&amp;"",SERVER!$B$3:$B$1009&amp;"",SERVER!$J$3:$J$1009,""),""))</f>
        <v/>
      </c>
      <c r="N725" s="1" t="str" cm="1">
        <f t="array" ref="N725">IF(OR($K725="",$I725="",$J725=""),"",_xlfn.LET(_xlpm.srcCat,_xlfn.SWITCH($I725,"Computer",_xlfn.XLOOKUP($K725&amp;"",COMPUTER!$B$3:$B$1009&amp;"",COMPUTER!$H$3:$H$1009,""),"Display",_xlfn.XLOOKUP($K725&amp;"",DISPLAY!$B$3:$B$1000&amp;"",DISPLAY!$H$3:$H$1000,""),"Network Device",_xlfn.XLOOKUP($K725&amp;"",'NETWORK-DEVICES'!$B$3:$B$987&amp;"",'NETWORK-DEVICES'!$H$3:$H$987,""),"Peripheral",_xlfn.XLOOKUP($K725&amp;"",PERIPHERAL!$B$3:$B$954&amp;"",PERIPHERAL!$H$3:$H$954,""),"Utilities",_xlfn.XLOOKUP($K725&amp;"",UTILITIES!$B$3:$B$953&amp;"",UTILITIES!$G$3:$G$953,""),"IOT",_xlfn.XLOOKUP($K725&amp;"",IOT!$B$3:$B$1012&amp;"",IOT!$H$3:$H$1012,""),"Server",_xlfn.XLOOKUP($K725&amp;"",SERVER!$B$3:$B$1009&amp;"",SERVER!$H$3:$H$1009,""),""),IF(TRIM(_xlpm.srcCat)&lt;&gt;TRIM($J725),"",_xlfn.SWITCH($I725,"Computer",_xlfn.XLOOKUP($K725&amp;"",COMPUTER!$B$3:$B$1009&amp;"",COMPUTER!$K$3:$K$1009,""),"Display",_xlfn.XLOOKUP($K725&amp;"",DISPLAY!$B$3:$B$1000&amp;"",DISPLAY!$L$3:$L$1000,""),"Network Device",_xlfn.XLOOKUP($K725&amp;"",'NETWORK-DEVICES'!$B$3:$B$987&amp;"",'NETWORK-DEVICES'!$K$3:$K$987,""),"Peripheral",_xlfn.XLOOKUP($K725&amp;"",PERIPHERAL!$B$3:$B$954&amp;"",PERIPHERAL!$K$3:$K$954,""),"Utilities",_xlfn.XLOOKUP($K725&amp;"",UTILITIES!$B$3:$B$953&amp;"",UTILITIES!$J$3:$J$953,""),"IOT",_xlfn.XLOOKUP($K725&amp;"",IOT!$B$3:$B$1012&amp;"",IOT!$K$4:$K$1012,""),"Server",_xlfn.XLOOKUP($K725&amp;"",SERVER!$B$3:$B$1009&amp;"",SERVER!$K$3:$K$1009,""),""))))</f>
        <v/>
      </c>
      <c r="O725" s="1" t="str" cm="1">
        <f t="array" ref="O725">IF(OR($K725="",$I725="",$J725=""),"",_xlfn.LET(_xlpm.srcCat,_xlfn.SWITCH($I725,"Computer",_xlfn.XLOOKUP($K725&amp;"",COMPUTER!$B$3:$B$1009&amp;"",COMPUTER!$H$3:$H$1009,""),"Display",_xlfn.XLOOKUP($K725&amp;"",DISPLAY!$B$3:$B$1000&amp;"",DISPLAY!$H$3:$H$1000,""),"Network Device",_xlfn.XLOOKUP($K725&amp;"",'NETWORK-DEVICES'!$B$3:$B$987&amp;"",'NETWORK-DEVICES'!$H$3:$H$987,""),"Peripheral",_xlfn.XLOOKUP($K725&amp;"",PERIPHERAL!$B$3:$B$954&amp;"",PERIPHERAL!$H$3:$H$954,""),"Utilities",_xlfn.XLOOKUP($K725&amp;"",UTILITIES!$B$3:$B$953&amp;"",UTILITIES!$G$3:$G$953,""),"IOT",_xlfn.XLOOKUP($K725&amp;"",IOT!$B$3:$B$1012&amp;"",IOT!$H$3:$H$1012,""),"Server",_xlfn.XLOOKUP($K725&amp;"",SERVER!$B$3:$B$1009&amp;"",SERVER!$H$3:$H$1009,""),""),IF(TRIM(_xlpm.srcCat)&lt;&gt;TRIM($J725),"",_xlfn.SWITCH($I725,"Computer",_xlfn.XLOOKUP($K725&amp;"",COMPUTER!$B$3:$B$1009&amp;"",COMPUTER!$E$3:$E$1009,""),"Display",_xlfn.XLOOKUP($K725&amp;"",DISPLAY!$B$3:$B$1000&amp;"",DISPLAY!$E$3:$E$1000,""),"Network Device",_xlfn.XLOOKUP($K725&amp;"",'NETWORK-DEVICES'!$B$3:$B$987&amp;"",'NETWORK-DEVICES'!$E$3:$E$987,""),"Peripheral",_xlfn.XLOOKUP($K725&amp;"",PERIPHERAL!$B$3:$B$954&amp;"",PERIPHERAL!$E$3:$E$954,""),"Utilities",_xlfn.XLOOKUP($K725&amp;"",UTILITIES!$B$3:$B$953&amp;"",UTILITIES!$E$3:$E$953,""),"IOT",_xlfn.XLOOKUP($K725&amp;"",IOT!$B$3:$B$1012&amp;"",IOT!$E$3:$E$1012,""),"Server",_xlfn.XLOOKUP($K725&amp;"",SERVER!$B$3:$B$1009&amp;"",SERVER!$E$3:$E$1009,""),""))))</f>
        <v/>
      </c>
      <c r="Q725" s="1" t="str" cm="1">
        <f t="array" ref="Q725">IF(OR($K725="",$I725="",$J725=""),"",_xlfn.LET(_xlpm.srcCat,_xlfn.SWITCH($I725,"Computer",_xlfn.XLOOKUP($K725&amp;"",COMPUTER!$B$3:$B$1009&amp;"",COMPUTER!$H$3:$H$1009,""),"Display",_xlfn.XLOOKUP($K725&amp;"",DISPLAY!$B$3:$B$1000&amp;"",DISPLAY!$H$3:$H$1000,""),"Network Device",_xlfn.XLOOKUP($K725&amp;"",'NETWORK-DEVICES'!$B$3:$B$987&amp;"",'NETWORK-DEVICES'!$H$3:$H$987,""),"Peripheral",_xlfn.XLOOKUP($K725&amp;"",PERIPHERAL!$B$3:$B$954&amp;"",PERIPHERAL!$H$3:$H$954,""),"Utilities",_xlfn.XLOOKUP($K725&amp;"",UTILITIES!$B$3:$B$953&amp;"",UTILITIES!$G$3:$G$953,""),"IOT",_xlfn.XLOOKUP($K725&amp;"",IOT!$B$3:$B$1012&amp;"",IOT!$H$3:$H$1012,""),"Server",_xlfn.XLOOKUP($K725&amp;"",SERVER!$B$3:$B$1009&amp;"",SERVER!$H$3:$H$1009,""),""),IF(TRIM(_xlpm.srcCat)&lt;&gt;TRIM($J725),"",_xlfn.SWITCH($I725,"Computer",_xlfn.XLOOKUP($K725&amp;"",COMPUTER!$B$3:$B$1009&amp;"",COMPUTER!$AM$3:$AM$1009,""),"Display",_xlfn.XLOOKUP($K725&amp;"",DISPLAY!$B$3:$B$1000&amp;"",DISPLAY!$V$3:$V$1000,""),"Network Device",_xlfn.XLOOKUP($K725&amp;"",'NETWORK-DEVICES'!$B$3:$B$987&amp;"",'NETWORK-DEVICES'!$AF$3:$AF$987,""),"Peripheral",_xlfn.XLOOKUP($K725&amp;"",PERIPHERAL!$B$3:$B$954&amp;"",PERIPHERAL!$Y$3:$Y$954,""),"Utilities",_xlfn.XLOOKUP($K725&amp;"",UTILITIES!$B$3:$B$953&amp;"",UTILITIES!$O$3:$O$953,""),"IOT",_xlfn.XLOOKUP($K725&amp;"",IOT!$B$3:$B$1012&amp;"",IOT!$AB$3:$AB$1012,""),"Server",_xlfn.XLOOKUP($K725&amp;"",SERVER!$B$3:$B$1009&amp;"",SERVER!$AB$3:$AB$1009,""),""))))</f>
        <v/>
      </c>
      <c r="R725" s="43" t="str">
        <f>IF(tbl_handover[[#This Row],[Asset Code]]="","",COUNTIF(tbl_handover[Asset Code],tbl_handover[[#This Row],[Asset Code]]))</f>
        <v/>
      </c>
    </row>
    <row r="726" spans="1:18" x14ac:dyDescent="0.25">
      <c r="A726" s="43" t="str">
        <f>IF(B726&lt;&gt;"",SUBTOTAL(3,$B$1:B725),"")</f>
        <v/>
      </c>
      <c r="C726" s="74"/>
      <c r="D726" s="74"/>
      <c r="G726" s="1"/>
      <c r="K726" s="42"/>
      <c r="L726" t="str" cm="1">
        <f t="array" ref="L726">IF($K726="","",_xlfn.SWITCH($I726,"Computer",_xlfn.XLOOKUP($K726&amp;"",COMPUTER!$B$3:$B$1009&amp;"",COMPUTER!$I$3:$I$1009,""),"Display",_xlfn.XLOOKUP($K726&amp;"",DISPLAY!$B$3:$B$1000&amp;"",DISPLAY!$J$3:$J$1000,""),"Network Device",_xlfn.XLOOKUP($K726&amp;"",'NETWORK-DEVICES'!$B$3:$B$987&amp;"",'NETWORK-DEVICES'!$I$3:$I$987,""),"Peripheral",_xlfn.XLOOKUP($K726&amp;"",PERIPHERAL!$B$3:$B$954&amp;"",PERIPHERAL!$I$3:$I$954,""),"Utilities",_xlfn.XLOOKUP($K726&amp;"",UTILITIES!$B$3:$B$953&amp;"",UTILITIES!$H$3:$H$953,""),"IOT",_xlfn.XLOOKUP($K726&amp;"",IOT!$B$3:$B$1012&amp;"",IOT!$I$3:$I$1012,""),"SERVER",_xlfn.XLOOKUP($K726&amp;"",SERVER!$B$3:$B$1009&amp;"",SERVER!$I$3:$I$1009,""),""))</f>
        <v/>
      </c>
      <c r="M726" t="str" cm="1">
        <f t="array" ref="M726">IF($K726="","",_xlfn.SWITCH($I726,"Computer",_xlfn.XLOOKUP($K726&amp;"",COMPUTER!$B$3:$B$1009&amp;"",COMPUTER!$J$3:$J$1009,""),"Display",_xlfn.XLOOKUP($K726&amp;"",DISPLAY!$B$3:$B$1000&amp;"",DISPLAY!$K$3:$K$1000,""),"Network Device",_xlfn.XLOOKUP($K726&amp;"",'NETWORK-DEVICES'!$B$3:$B$987&amp;"",'NETWORK-DEVICES'!$I$3:$I$987,""),"Peripheral",_xlfn.XLOOKUP($K726&amp;"",PERIPHERAL!$B$3:$B$954&amp;"",PERIPHERAL!$J$3:$J$954,""),"Utilities",_xlfn.XLOOKUP($K726&amp;"",UTILITIES!$B$3:$B$953&amp;"",UTILITIES!$I$3:$I$953,""),"IOT",_xlfn.XLOOKUP($K726&amp;"",IOT!$B$3:$B$1012&amp;"",IOT!$J$3:$J$1012,""),"Server",_xlfn.XLOOKUP($K726&amp;"",SERVER!$B$3:$B$1009&amp;"",SERVER!$J$3:$J$1009,""),""))</f>
        <v/>
      </c>
      <c r="N726" s="1" t="str" cm="1">
        <f t="array" ref="N726">IF(OR($K726="",$I726="",$J726=""),"",_xlfn.LET(_xlpm.srcCat,_xlfn.SWITCH($I726,"Computer",_xlfn.XLOOKUP($K726&amp;"",COMPUTER!$B$3:$B$1009&amp;"",COMPUTER!$H$3:$H$1009,""),"Display",_xlfn.XLOOKUP($K726&amp;"",DISPLAY!$B$3:$B$1000&amp;"",DISPLAY!$H$3:$H$1000,""),"Network Device",_xlfn.XLOOKUP($K726&amp;"",'NETWORK-DEVICES'!$B$3:$B$987&amp;"",'NETWORK-DEVICES'!$H$3:$H$987,""),"Peripheral",_xlfn.XLOOKUP($K726&amp;"",PERIPHERAL!$B$3:$B$954&amp;"",PERIPHERAL!$H$3:$H$954,""),"Utilities",_xlfn.XLOOKUP($K726&amp;"",UTILITIES!$B$3:$B$953&amp;"",UTILITIES!$G$3:$G$953,""),"IOT",_xlfn.XLOOKUP($K726&amp;"",IOT!$B$3:$B$1012&amp;"",IOT!$H$3:$H$1012,""),"Server",_xlfn.XLOOKUP($K726&amp;"",SERVER!$B$3:$B$1009&amp;"",SERVER!$H$3:$H$1009,""),""),IF(TRIM(_xlpm.srcCat)&lt;&gt;TRIM($J726),"",_xlfn.SWITCH($I726,"Computer",_xlfn.XLOOKUP($K726&amp;"",COMPUTER!$B$3:$B$1009&amp;"",COMPUTER!$K$3:$K$1009,""),"Display",_xlfn.XLOOKUP($K726&amp;"",DISPLAY!$B$3:$B$1000&amp;"",DISPLAY!$L$3:$L$1000,""),"Network Device",_xlfn.XLOOKUP($K726&amp;"",'NETWORK-DEVICES'!$B$3:$B$987&amp;"",'NETWORK-DEVICES'!$K$3:$K$987,""),"Peripheral",_xlfn.XLOOKUP($K726&amp;"",PERIPHERAL!$B$3:$B$954&amp;"",PERIPHERAL!$K$3:$K$954,""),"Utilities",_xlfn.XLOOKUP($K726&amp;"",UTILITIES!$B$3:$B$953&amp;"",UTILITIES!$J$3:$J$953,""),"IOT",_xlfn.XLOOKUP($K726&amp;"",IOT!$B$3:$B$1012&amp;"",IOT!$K$4:$K$1012,""),"Server",_xlfn.XLOOKUP($K726&amp;"",SERVER!$B$3:$B$1009&amp;"",SERVER!$K$3:$K$1009,""),""))))</f>
        <v/>
      </c>
      <c r="O726" s="1" t="str" cm="1">
        <f t="array" ref="O726">IF(OR($K726="",$I726="",$J726=""),"",_xlfn.LET(_xlpm.srcCat,_xlfn.SWITCH($I726,"Computer",_xlfn.XLOOKUP($K726&amp;"",COMPUTER!$B$3:$B$1009&amp;"",COMPUTER!$H$3:$H$1009,""),"Display",_xlfn.XLOOKUP($K726&amp;"",DISPLAY!$B$3:$B$1000&amp;"",DISPLAY!$H$3:$H$1000,""),"Network Device",_xlfn.XLOOKUP($K726&amp;"",'NETWORK-DEVICES'!$B$3:$B$987&amp;"",'NETWORK-DEVICES'!$H$3:$H$987,""),"Peripheral",_xlfn.XLOOKUP($K726&amp;"",PERIPHERAL!$B$3:$B$954&amp;"",PERIPHERAL!$H$3:$H$954,""),"Utilities",_xlfn.XLOOKUP($K726&amp;"",UTILITIES!$B$3:$B$953&amp;"",UTILITIES!$G$3:$G$953,""),"IOT",_xlfn.XLOOKUP($K726&amp;"",IOT!$B$3:$B$1012&amp;"",IOT!$H$3:$H$1012,""),"Server",_xlfn.XLOOKUP($K726&amp;"",SERVER!$B$3:$B$1009&amp;"",SERVER!$H$3:$H$1009,""),""),IF(TRIM(_xlpm.srcCat)&lt;&gt;TRIM($J726),"",_xlfn.SWITCH($I726,"Computer",_xlfn.XLOOKUP($K726&amp;"",COMPUTER!$B$3:$B$1009&amp;"",COMPUTER!$E$3:$E$1009,""),"Display",_xlfn.XLOOKUP($K726&amp;"",DISPLAY!$B$3:$B$1000&amp;"",DISPLAY!$E$3:$E$1000,""),"Network Device",_xlfn.XLOOKUP($K726&amp;"",'NETWORK-DEVICES'!$B$3:$B$987&amp;"",'NETWORK-DEVICES'!$E$3:$E$987,""),"Peripheral",_xlfn.XLOOKUP($K726&amp;"",PERIPHERAL!$B$3:$B$954&amp;"",PERIPHERAL!$E$3:$E$954,""),"Utilities",_xlfn.XLOOKUP($K726&amp;"",UTILITIES!$B$3:$B$953&amp;"",UTILITIES!$E$3:$E$953,""),"IOT",_xlfn.XLOOKUP($K726&amp;"",IOT!$B$3:$B$1012&amp;"",IOT!$E$3:$E$1012,""),"Server",_xlfn.XLOOKUP($K726&amp;"",SERVER!$B$3:$B$1009&amp;"",SERVER!$E$3:$E$1009,""),""))))</f>
        <v/>
      </c>
      <c r="Q726" s="1" t="str" cm="1">
        <f t="array" ref="Q726">IF(OR($K726="",$I726="",$J726=""),"",_xlfn.LET(_xlpm.srcCat,_xlfn.SWITCH($I726,"Computer",_xlfn.XLOOKUP($K726&amp;"",COMPUTER!$B$3:$B$1009&amp;"",COMPUTER!$H$3:$H$1009,""),"Display",_xlfn.XLOOKUP($K726&amp;"",DISPLAY!$B$3:$B$1000&amp;"",DISPLAY!$H$3:$H$1000,""),"Network Device",_xlfn.XLOOKUP($K726&amp;"",'NETWORK-DEVICES'!$B$3:$B$987&amp;"",'NETWORK-DEVICES'!$H$3:$H$987,""),"Peripheral",_xlfn.XLOOKUP($K726&amp;"",PERIPHERAL!$B$3:$B$954&amp;"",PERIPHERAL!$H$3:$H$954,""),"Utilities",_xlfn.XLOOKUP($K726&amp;"",UTILITIES!$B$3:$B$953&amp;"",UTILITIES!$G$3:$G$953,""),"IOT",_xlfn.XLOOKUP($K726&amp;"",IOT!$B$3:$B$1012&amp;"",IOT!$H$3:$H$1012,""),"Server",_xlfn.XLOOKUP($K726&amp;"",SERVER!$B$3:$B$1009&amp;"",SERVER!$H$3:$H$1009,""),""),IF(TRIM(_xlpm.srcCat)&lt;&gt;TRIM($J726),"",_xlfn.SWITCH($I726,"Computer",_xlfn.XLOOKUP($K726&amp;"",COMPUTER!$B$3:$B$1009&amp;"",COMPUTER!$AM$3:$AM$1009,""),"Display",_xlfn.XLOOKUP($K726&amp;"",DISPLAY!$B$3:$B$1000&amp;"",DISPLAY!$V$3:$V$1000,""),"Network Device",_xlfn.XLOOKUP($K726&amp;"",'NETWORK-DEVICES'!$B$3:$B$987&amp;"",'NETWORK-DEVICES'!$AF$3:$AF$987,""),"Peripheral",_xlfn.XLOOKUP($K726&amp;"",PERIPHERAL!$B$3:$B$954&amp;"",PERIPHERAL!$Y$3:$Y$954,""),"Utilities",_xlfn.XLOOKUP($K726&amp;"",UTILITIES!$B$3:$B$953&amp;"",UTILITIES!$O$3:$O$953,""),"IOT",_xlfn.XLOOKUP($K726&amp;"",IOT!$B$3:$B$1012&amp;"",IOT!$AB$3:$AB$1012,""),"Server",_xlfn.XLOOKUP($K726&amp;"",SERVER!$B$3:$B$1009&amp;"",SERVER!$AB$3:$AB$1009,""),""))))</f>
        <v/>
      </c>
      <c r="R726" s="43" t="str">
        <f>IF(tbl_handover[[#This Row],[Asset Code]]="","",COUNTIF(tbl_handover[Asset Code],tbl_handover[[#This Row],[Asset Code]]))</f>
        <v/>
      </c>
    </row>
    <row r="727" spans="1:18" x14ac:dyDescent="0.25">
      <c r="A727" s="43" t="str">
        <f>IF(B727&lt;&gt;"",SUBTOTAL(3,$B$1:B726),"")</f>
        <v/>
      </c>
      <c r="C727" s="74"/>
      <c r="D727" s="74"/>
      <c r="G727" s="1"/>
      <c r="K727" s="42"/>
      <c r="L727" t="str" cm="1">
        <f t="array" ref="L727">IF($K727="","",_xlfn.SWITCH($I727,"Computer",_xlfn.XLOOKUP($K727&amp;"",COMPUTER!$B$3:$B$1009&amp;"",COMPUTER!$I$3:$I$1009,""),"Display",_xlfn.XLOOKUP($K727&amp;"",DISPLAY!$B$3:$B$1000&amp;"",DISPLAY!$J$3:$J$1000,""),"Network Device",_xlfn.XLOOKUP($K727&amp;"",'NETWORK-DEVICES'!$B$3:$B$987&amp;"",'NETWORK-DEVICES'!$I$3:$I$987,""),"Peripheral",_xlfn.XLOOKUP($K727&amp;"",PERIPHERAL!$B$3:$B$954&amp;"",PERIPHERAL!$I$3:$I$954,""),"Utilities",_xlfn.XLOOKUP($K727&amp;"",UTILITIES!$B$3:$B$953&amp;"",UTILITIES!$H$3:$H$953,""),"IOT",_xlfn.XLOOKUP($K727&amp;"",IOT!$B$3:$B$1012&amp;"",IOT!$I$3:$I$1012,""),"SERVER",_xlfn.XLOOKUP($K727&amp;"",SERVER!$B$3:$B$1009&amp;"",SERVER!$I$3:$I$1009,""),""))</f>
        <v/>
      </c>
      <c r="M727" t="str" cm="1">
        <f t="array" ref="M727">IF($K727="","",_xlfn.SWITCH($I727,"Computer",_xlfn.XLOOKUP($K727&amp;"",COMPUTER!$B$3:$B$1009&amp;"",COMPUTER!$J$3:$J$1009,""),"Display",_xlfn.XLOOKUP($K727&amp;"",DISPLAY!$B$3:$B$1000&amp;"",DISPLAY!$K$3:$K$1000,""),"Network Device",_xlfn.XLOOKUP($K727&amp;"",'NETWORK-DEVICES'!$B$3:$B$987&amp;"",'NETWORK-DEVICES'!$I$3:$I$987,""),"Peripheral",_xlfn.XLOOKUP($K727&amp;"",PERIPHERAL!$B$3:$B$954&amp;"",PERIPHERAL!$J$3:$J$954,""),"Utilities",_xlfn.XLOOKUP($K727&amp;"",UTILITIES!$B$3:$B$953&amp;"",UTILITIES!$I$3:$I$953,""),"IOT",_xlfn.XLOOKUP($K727&amp;"",IOT!$B$3:$B$1012&amp;"",IOT!$J$3:$J$1012,""),"Server",_xlfn.XLOOKUP($K727&amp;"",SERVER!$B$3:$B$1009&amp;"",SERVER!$J$3:$J$1009,""),""))</f>
        <v/>
      </c>
      <c r="N727" s="1" t="str" cm="1">
        <f t="array" ref="N727">IF(OR($K727="",$I727="",$J727=""),"",_xlfn.LET(_xlpm.srcCat,_xlfn.SWITCH($I727,"Computer",_xlfn.XLOOKUP($K727&amp;"",COMPUTER!$B$3:$B$1009&amp;"",COMPUTER!$H$3:$H$1009,""),"Display",_xlfn.XLOOKUP($K727&amp;"",DISPLAY!$B$3:$B$1000&amp;"",DISPLAY!$H$3:$H$1000,""),"Network Device",_xlfn.XLOOKUP($K727&amp;"",'NETWORK-DEVICES'!$B$3:$B$987&amp;"",'NETWORK-DEVICES'!$H$3:$H$987,""),"Peripheral",_xlfn.XLOOKUP($K727&amp;"",PERIPHERAL!$B$3:$B$954&amp;"",PERIPHERAL!$H$3:$H$954,""),"Utilities",_xlfn.XLOOKUP($K727&amp;"",UTILITIES!$B$3:$B$953&amp;"",UTILITIES!$G$3:$G$953,""),"IOT",_xlfn.XLOOKUP($K727&amp;"",IOT!$B$3:$B$1012&amp;"",IOT!$H$3:$H$1012,""),"Server",_xlfn.XLOOKUP($K727&amp;"",SERVER!$B$3:$B$1009&amp;"",SERVER!$H$3:$H$1009,""),""),IF(TRIM(_xlpm.srcCat)&lt;&gt;TRIM($J727),"",_xlfn.SWITCH($I727,"Computer",_xlfn.XLOOKUP($K727&amp;"",COMPUTER!$B$3:$B$1009&amp;"",COMPUTER!$K$3:$K$1009,""),"Display",_xlfn.XLOOKUP($K727&amp;"",DISPLAY!$B$3:$B$1000&amp;"",DISPLAY!$L$3:$L$1000,""),"Network Device",_xlfn.XLOOKUP($K727&amp;"",'NETWORK-DEVICES'!$B$3:$B$987&amp;"",'NETWORK-DEVICES'!$K$3:$K$987,""),"Peripheral",_xlfn.XLOOKUP($K727&amp;"",PERIPHERAL!$B$3:$B$954&amp;"",PERIPHERAL!$K$3:$K$954,""),"Utilities",_xlfn.XLOOKUP($K727&amp;"",UTILITIES!$B$3:$B$953&amp;"",UTILITIES!$J$3:$J$953,""),"IOT",_xlfn.XLOOKUP($K727&amp;"",IOT!$B$3:$B$1012&amp;"",IOT!$K$4:$K$1012,""),"Server",_xlfn.XLOOKUP($K727&amp;"",SERVER!$B$3:$B$1009&amp;"",SERVER!$K$3:$K$1009,""),""))))</f>
        <v/>
      </c>
      <c r="O727" s="1" t="str" cm="1">
        <f t="array" ref="O727">IF(OR($K727="",$I727="",$J727=""),"",_xlfn.LET(_xlpm.srcCat,_xlfn.SWITCH($I727,"Computer",_xlfn.XLOOKUP($K727&amp;"",COMPUTER!$B$3:$B$1009&amp;"",COMPUTER!$H$3:$H$1009,""),"Display",_xlfn.XLOOKUP($K727&amp;"",DISPLAY!$B$3:$B$1000&amp;"",DISPLAY!$H$3:$H$1000,""),"Network Device",_xlfn.XLOOKUP($K727&amp;"",'NETWORK-DEVICES'!$B$3:$B$987&amp;"",'NETWORK-DEVICES'!$H$3:$H$987,""),"Peripheral",_xlfn.XLOOKUP($K727&amp;"",PERIPHERAL!$B$3:$B$954&amp;"",PERIPHERAL!$H$3:$H$954,""),"Utilities",_xlfn.XLOOKUP($K727&amp;"",UTILITIES!$B$3:$B$953&amp;"",UTILITIES!$G$3:$G$953,""),"IOT",_xlfn.XLOOKUP($K727&amp;"",IOT!$B$3:$B$1012&amp;"",IOT!$H$3:$H$1012,""),"Server",_xlfn.XLOOKUP($K727&amp;"",SERVER!$B$3:$B$1009&amp;"",SERVER!$H$3:$H$1009,""),""),IF(TRIM(_xlpm.srcCat)&lt;&gt;TRIM($J727),"",_xlfn.SWITCH($I727,"Computer",_xlfn.XLOOKUP($K727&amp;"",COMPUTER!$B$3:$B$1009&amp;"",COMPUTER!$E$3:$E$1009,""),"Display",_xlfn.XLOOKUP($K727&amp;"",DISPLAY!$B$3:$B$1000&amp;"",DISPLAY!$E$3:$E$1000,""),"Network Device",_xlfn.XLOOKUP($K727&amp;"",'NETWORK-DEVICES'!$B$3:$B$987&amp;"",'NETWORK-DEVICES'!$E$3:$E$987,""),"Peripheral",_xlfn.XLOOKUP($K727&amp;"",PERIPHERAL!$B$3:$B$954&amp;"",PERIPHERAL!$E$3:$E$954,""),"Utilities",_xlfn.XLOOKUP($K727&amp;"",UTILITIES!$B$3:$B$953&amp;"",UTILITIES!$E$3:$E$953,""),"IOT",_xlfn.XLOOKUP($K727&amp;"",IOT!$B$3:$B$1012&amp;"",IOT!$E$3:$E$1012,""),"Server",_xlfn.XLOOKUP($K727&amp;"",SERVER!$B$3:$B$1009&amp;"",SERVER!$E$3:$E$1009,""),""))))</f>
        <v/>
      </c>
      <c r="Q727" s="1" t="str" cm="1">
        <f t="array" ref="Q727">IF(OR($K727="",$I727="",$J727=""),"",_xlfn.LET(_xlpm.srcCat,_xlfn.SWITCH($I727,"Computer",_xlfn.XLOOKUP($K727&amp;"",COMPUTER!$B$3:$B$1009&amp;"",COMPUTER!$H$3:$H$1009,""),"Display",_xlfn.XLOOKUP($K727&amp;"",DISPLAY!$B$3:$B$1000&amp;"",DISPLAY!$H$3:$H$1000,""),"Network Device",_xlfn.XLOOKUP($K727&amp;"",'NETWORK-DEVICES'!$B$3:$B$987&amp;"",'NETWORK-DEVICES'!$H$3:$H$987,""),"Peripheral",_xlfn.XLOOKUP($K727&amp;"",PERIPHERAL!$B$3:$B$954&amp;"",PERIPHERAL!$H$3:$H$954,""),"Utilities",_xlfn.XLOOKUP($K727&amp;"",UTILITIES!$B$3:$B$953&amp;"",UTILITIES!$G$3:$G$953,""),"IOT",_xlfn.XLOOKUP($K727&amp;"",IOT!$B$3:$B$1012&amp;"",IOT!$H$3:$H$1012,""),"Server",_xlfn.XLOOKUP($K727&amp;"",SERVER!$B$3:$B$1009&amp;"",SERVER!$H$3:$H$1009,""),""),IF(TRIM(_xlpm.srcCat)&lt;&gt;TRIM($J727),"",_xlfn.SWITCH($I727,"Computer",_xlfn.XLOOKUP($K727&amp;"",COMPUTER!$B$3:$B$1009&amp;"",COMPUTER!$AM$3:$AM$1009,""),"Display",_xlfn.XLOOKUP($K727&amp;"",DISPLAY!$B$3:$B$1000&amp;"",DISPLAY!$V$3:$V$1000,""),"Network Device",_xlfn.XLOOKUP($K727&amp;"",'NETWORK-DEVICES'!$B$3:$B$987&amp;"",'NETWORK-DEVICES'!$AF$3:$AF$987,""),"Peripheral",_xlfn.XLOOKUP($K727&amp;"",PERIPHERAL!$B$3:$B$954&amp;"",PERIPHERAL!$Y$3:$Y$954,""),"Utilities",_xlfn.XLOOKUP($K727&amp;"",UTILITIES!$B$3:$B$953&amp;"",UTILITIES!$O$3:$O$953,""),"IOT",_xlfn.XLOOKUP($K727&amp;"",IOT!$B$3:$B$1012&amp;"",IOT!$AB$3:$AB$1012,""),"Server",_xlfn.XLOOKUP($K727&amp;"",SERVER!$B$3:$B$1009&amp;"",SERVER!$AB$3:$AB$1009,""),""))))</f>
        <v/>
      </c>
      <c r="R727" s="43" t="str">
        <f>IF(tbl_handover[[#This Row],[Asset Code]]="","",COUNTIF(tbl_handover[Asset Code],tbl_handover[[#This Row],[Asset Code]]))</f>
        <v/>
      </c>
    </row>
    <row r="728" spans="1:18" x14ac:dyDescent="0.25">
      <c r="A728" s="43" t="str">
        <f>IF(B728&lt;&gt;"",SUBTOTAL(3,$B$1:B727),"")</f>
        <v/>
      </c>
      <c r="C728" s="74"/>
      <c r="D728" s="74"/>
      <c r="G728" s="1"/>
      <c r="K728" s="42"/>
      <c r="L728" t="str" cm="1">
        <f t="array" ref="L728">IF($K728="","",_xlfn.SWITCH($I728,"Computer",_xlfn.XLOOKUP($K728&amp;"",COMPUTER!$B$3:$B$1009&amp;"",COMPUTER!$I$3:$I$1009,""),"Display",_xlfn.XLOOKUP($K728&amp;"",DISPLAY!$B$3:$B$1000&amp;"",DISPLAY!$J$3:$J$1000,""),"Network Device",_xlfn.XLOOKUP($K728&amp;"",'NETWORK-DEVICES'!$B$3:$B$987&amp;"",'NETWORK-DEVICES'!$I$3:$I$987,""),"Peripheral",_xlfn.XLOOKUP($K728&amp;"",PERIPHERAL!$B$3:$B$954&amp;"",PERIPHERAL!$I$3:$I$954,""),"Utilities",_xlfn.XLOOKUP($K728&amp;"",UTILITIES!$B$3:$B$953&amp;"",UTILITIES!$H$3:$H$953,""),"IOT",_xlfn.XLOOKUP($K728&amp;"",IOT!$B$3:$B$1012&amp;"",IOT!$I$3:$I$1012,""),"SERVER",_xlfn.XLOOKUP($K728&amp;"",SERVER!$B$3:$B$1009&amp;"",SERVER!$I$3:$I$1009,""),""))</f>
        <v/>
      </c>
      <c r="M728" t="str" cm="1">
        <f t="array" ref="M728">IF($K728="","",_xlfn.SWITCH($I728,"Computer",_xlfn.XLOOKUP($K728&amp;"",COMPUTER!$B$3:$B$1009&amp;"",COMPUTER!$J$3:$J$1009,""),"Display",_xlfn.XLOOKUP($K728&amp;"",DISPLAY!$B$3:$B$1000&amp;"",DISPLAY!$K$3:$K$1000,""),"Network Device",_xlfn.XLOOKUP($K728&amp;"",'NETWORK-DEVICES'!$B$3:$B$987&amp;"",'NETWORK-DEVICES'!$I$3:$I$987,""),"Peripheral",_xlfn.XLOOKUP($K728&amp;"",PERIPHERAL!$B$3:$B$954&amp;"",PERIPHERAL!$J$3:$J$954,""),"Utilities",_xlfn.XLOOKUP($K728&amp;"",UTILITIES!$B$3:$B$953&amp;"",UTILITIES!$I$3:$I$953,""),"IOT",_xlfn.XLOOKUP($K728&amp;"",IOT!$B$3:$B$1012&amp;"",IOT!$J$3:$J$1012,""),"Server",_xlfn.XLOOKUP($K728&amp;"",SERVER!$B$3:$B$1009&amp;"",SERVER!$J$3:$J$1009,""),""))</f>
        <v/>
      </c>
      <c r="N728" s="1" t="str" cm="1">
        <f t="array" ref="N728">IF(OR($K728="",$I728="",$J728=""),"",_xlfn.LET(_xlpm.srcCat,_xlfn.SWITCH($I728,"Computer",_xlfn.XLOOKUP($K728&amp;"",COMPUTER!$B$3:$B$1009&amp;"",COMPUTER!$H$3:$H$1009,""),"Display",_xlfn.XLOOKUP($K728&amp;"",DISPLAY!$B$3:$B$1000&amp;"",DISPLAY!$H$3:$H$1000,""),"Network Device",_xlfn.XLOOKUP($K728&amp;"",'NETWORK-DEVICES'!$B$3:$B$987&amp;"",'NETWORK-DEVICES'!$H$3:$H$987,""),"Peripheral",_xlfn.XLOOKUP($K728&amp;"",PERIPHERAL!$B$3:$B$954&amp;"",PERIPHERAL!$H$3:$H$954,""),"Utilities",_xlfn.XLOOKUP($K728&amp;"",UTILITIES!$B$3:$B$953&amp;"",UTILITIES!$G$3:$G$953,""),"IOT",_xlfn.XLOOKUP($K728&amp;"",IOT!$B$3:$B$1012&amp;"",IOT!$H$3:$H$1012,""),"Server",_xlfn.XLOOKUP($K728&amp;"",SERVER!$B$3:$B$1009&amp;"",SERVER!$H$3:$H$1009,""),""),IF(TRIM(_xlpm.srcCat)&lt;&gt;TRIM($J728),"",_xlfn.SWITCH($I728,"Computer",_xlfn.XLOOKUP($K728&amp;"",COMPUTER!$B$3:$B$1009&amp;"",COMPUTER!$K$3:$K$1009,""),"Display",_xlfn.XLOOKUP($K728&amp;"",DISPLAY!$B$3:$B$1000&amp;"",DISPLAY!$L$3:$L$1000,""),"Network Device",_xlfn.XLOOKUP($K728&amp;"",'NETWORK-DEVICES'!$B$3:$B$987&amp;"",'NETWORK-DEVICES'!$K$3:$K$987,""),"Peripheral",_xlfn.XLOOKUP($K728&amp;"",PERIPHERAL!$B$3:$B$954&amp;"",PERIPHERAL!$K$3:$K$954,""),"Utilities",_xlfn.XLOOKUP($K728&amp;"",UTILITIES!$B$3:$B$953&amp;"",UTILITIES!$J$3:$J$953,""),"IOT",_xlfn.XLOOKUP($K728&amp;"",IOT!$B$3:$B$1012&amp;"",IOT!$K$4:$K$1012,""),"Server",_xlfn.XLOOKUP($K728&amp;"",SERVER!$B$3:$B$1009&amp;"",SERVER!$K$3:$K$1009,""),""))))</f>
        <v/>
      </c>
      <c r="O728" s="1" t="str" cm="1">
        <f t="array" ref="O728">IF(OR($K728="",$I728="",$J728=""),"",_xlfn.LET(_xlpm.srcCat,_xlfn.SWITCH($I728,"Computer",_xlfn.XLOOKUP($K728&amp;"",COMPUTER!$B$3:$B$1009&amp;"",COMPUTER!$H$3:$H$1009,""),"Display",_xlfn.XLOOKUP($K728&amp;"",DISPLAY!$B$3:$B$1000&amp;"",DISPLAY!$H$3:$H$1000,""),"Network Device",_xlfn.XLOOKUP($K728&amp;"",'NETWORK-DEVICES'!$B$3:$B$987&amp;"",'NETWORK-DEVICES'!$H$3:$H$987,""),"Peripheral",_xlfn.XLOOKUP($K728&amp;"",PERIPHERAL!$B$3:$B$954&amp;"",PERIPHERAL!$H$3:$H$954,""),"Utilities",_xlfn.XLOOKUP($K728&amp;"",UTILITIES!$B$3:$B$953&amp;"",UTILITIES!$G$3:$G$953,""),"IOT",_xlfn.XLOOKUP($K728&amp;"",IOT!$B$3:$B$1012&amp;"",IOT!$H$3:$H$1012,""),"Server",_xlfn.XLOOKUP($K728&amp;"",SERVER!$B$3:$B$1009&amp;"",SERVER!$H$3:$H$1009,""),""),IF(TRIM(_xlpm.srcCat)&lt;&gt;TRIM($J728),"",_xlfn.SWITCH($I728,"Computer",_xlfn.XLOOKUP($K728&amp;"",COMPUTER!$B$3:$B$1009&amp;"",COMPUTER!$E$3:$E$1009,""),"Display",_xlfn.XLOOKUP($K728&amp;"",DISPLAY!$B$3:$B$1000&amp;"",DISPLAY!$E$3:$E$1000,""),"Network Device",_xlfn.XLOOKUP($K728&amp;"",'NETWORK-DEVICES'!$B$3:$B$987&amp;"",'NETWORK-DEVICES'!$E$3:$E$987,""),"Peripheral",_xlfn.XLOOKUP($K728&amp;"",PERIPHERAL!$B$3:$B$954&amp;"",PERIPHERAL!$E$3:$E$954,""),"Utilities",_xlfn.XLOOKUP($K728&amp;"",UTILITIES!$B$3:$B$953&amp;"",UTILITIES!$E$3:$E$953,""),"IOT",_xlfn.XLOOKUP($K728&amp;"",IOT!$B$3:$B$1012&amp;"",IOT!$E$3:$E$1012,""),"Server",_xlfn.XLOOKUP($K728&amp;"",SERVER!$B$3:$B$1009&amp;"",SERVER!$E$3:$E$1009,""),""))))</f>
        <v/>
      </c>
      <c r="Q728" s="1" t="str" cm="1">
        <f t="array" ref="Q728">IF(OR($K728="",$I728="",$J728=""),"",_xlfn.LET(_xlpm.srcCat,_xlfn.SWITCH($I728,"Computer",_xlfn.XLOOKUP($K728&amp;"",COMPUTER!$B$3:$B$1009&amp;"",COMPUTER!$H$3:$H$1009,""),"Display",_xlfn.XLOOKUP($K728&amp;"",DISPLAY!$B$3:$B$1000&amp;"",DISPLAY!$H$3:$H$1000,""),"Network Device",_xlfn.XLOOKUP($K728&amp;"",'NETWORK-DEVICES'!$B$3:$B$987&amp;"",'NETWORK-DEVICES'!$H$3:$H$987,""),"Peripheral",_xlfn.XLOOKUP($K728&amp;"",PERIPHERAL!$B$3:$B$954&amp;"",PERIPHERAL!$H$3:$H$954,""),"Utilities",_xlfn.XLOOKUP($K728&amp;"",UTILITIES!$B$3:$B$953&amp;"",UTILITIES!$G$3:$G$953,""),"IOT",_xlfn.XLOOKUP($K728&amp;"",IOT!$B$3:$B$1012&amp;"",IOT!$H$3:$H$1012,""),"Server",_xlfn.XLOOKUP($K728&amp;"",SERVER!$B$3:$B$1009&amp;"",SERVER!$H$3:$H$1009,""),""),IF(TRIM(_xlpm.srcCat)&lt;&gt;TRIM($J728),"",_xlfn.SWITCH($I728,"Computer",_xlfn.XLOOKUP($K728&amp;"",COMPUTER!$B$3:$B$1009&amp;"",COMPUTER!$AM$3:$AM$1009,""),"Display",_xlfn.XLOOKUP($K728&amp;"",DISPLAY!$B$3:$B$1000&amp;"",DISPLAY!$V$3:$V$1000,""),"Network Device",_xlfn.XLOOKUP($K728&amp;"",'NETWORK-DEVICES'!$B$3:$B$987&amp;"",'NETWORK-DEVICES'!$AF$3:$AF$987,""),"Peripheral",_xlfn.XLOOKUP($K728&amp;"",PERIPHERAL!$B$3:$B$954&amp;"",PERIPHERAL!$Y$3:$Y$954,""),"Utilities",_xlfn.XLOOKUP($K728&amp;"",UTILITIES!$B$3:$B$953&amp;"",UTILITIES!$O$3:$O$953,""),"IOT",_xlfn.XLOOKUP($K728&amp;"",IOT!$B$3:$B$1012&amp;"",IOT!$AB$3:$AB$1012,""),"Server",_xlfn.XLOOKUP($K728&amp;"",SERVER!$B$3:$B$1009&amp;"",SERVER!$AB$3:$AB$1009,""),""))))</f>
        <v/>
      </c>
      <c r="R728" s="43" t="str">
        <f>IF(tbl_handover[[#This Row],[Asset Code]]="","",COUNTIF(tbl_handover[Asset Code],tbl_handover[[#This Row],[Asset Code]]))</f>
        <v/>
      </c>
    </row>
    <row r="729" spans="1:18" x14ac:dyDescent="0.25">
      <c r="A729" s="43" t="str">
        <f>IF(B729&lt;&gt;"",SUBTOTAL(3,$B$1:B728),"")</f>
        <v/>
      </c>
      <c r="C729" s="74"/>
      <c r="D729" s="74"/>
      <c r="G729" s="1"/>
      <c r="K729" s="42"/>
      <c r="L729" t="str" cm="1">
        <f t="array" ref="L729">IF($K729="","",_xlfn.SWITCH($I729,"Computer",_xlfn.XLOOKUP($K729&amp;"",COMPUTER!$B$3:$B$1009&amp;"",COMPUTER!$I$3:$I$1009,""),"Display",_xlfn.XLOOKUP($K729&amp;"",DISPLAY!$B$3:$B$1000&amp;"",DISPLAY!$J$3:$J$1000,""),"Network Device",_xlfn.XLOOKUP($K729&amp;"",'NETWORK-DEVICES'!$B$3:$B$987&amp;"",'NETWORK-DEVICES'!$I$3:$I$987,""),"Peripheral",_xlfn.XLOOKUP($K729&amp;"",PERIPHERAL!$B$3:$B$954&amp;"",PERIPHERAL!$I$3:$I$954,""),"Utilities",_xlfn.XLOOKUP($K729&amp;"",UTILITIES!$B$3:$B$953&amp;"",UTILITIES!$H$3:$H$953,""),"IOT",_xlfn.XLOOKUP($K729&amp;"",IOT!$B$3:$B$1012&amp;"",IOT!$I$3:$I$1012,""),"SERVER",_xlfn.XLOOKUP($K729&amp;"",SERVER!$B$3:$B$1009&amp;"",SERVER!$I$3:$I$1009,""),""))</f>
        <v/>
      </c>
      <c r="M729" t="str" cm="1">
        <f t="array" ref="M729">IF($K729="","",_xlfn.SWITCH($I729,"Computer",_xlfn.XLOOKUP($K729&amp;"",COMPUTER!$B$3:$B$1009&amp;"",COMPUTER!$J$3:$J$1009,""),"Display",_xlfn.XLOOKUP($K729&amp;"",DISPLAY!$B$3:$B$1000&amp;"",DISPLAY!$K$3:$K$1000,""),"Network Device",_xlfn.XLOOKUP($K729&amp;"",'NETWORK-DEVICES'!$B$3:$B$987&amp;"",'NETWORK-DEVICES'!$I$3:$I$987,""),"Peripheral",_xlfn.XLOOKUP($K729&amp;"",PERIPHERAL!$B$3:$B$954&amp;"",PERIPHERAL!$J$3:$J$954,""),"Utilities",_xlfn.XLOOKUP($K729&amp;"",UTILITIES!$B$3:$B$953&amp;"",UTILITIES!$I$3:$I$953,""),"IOT",_xlfn.XLOOKUP($K729&amp;"",IOT!$B$3:$B$1012&amp;"",IOT!$J$3:$J$1012,""),"Server",_xlfn.XLOOKUP($K729&amp;"",SERVER!$B$3:$B$1009&amp;"",SERVER!$J$3:$J$1009,""),""))</f>
        <v/>
      </c>
      <c r="N729" s="1" t="str" cm="1">
        <f t="array" ref="N729">IF(OR($K729="",$I729="",$J729=""),"",_xlfn.LET(_xlpm.srcCat,_xlfn.SWITCH($I729,"Computer",_xlfn.XLOOKUP($K729&amp;"",COMPUTER!$B$3:$B$1009&amp;"",COMPUTER!$H$3:$H$1009,""),"Display",_xlfn.XLOOKUP($K729&amp;"",DISPLAY!$B$3:$B$1000&amp;"",DISPLAY!$H$3:$H$1000,""),"Network Device",_xlfn.XLOOKUP($K729&amp;"",'NETWORK-DEVICES'!$B$3:$B$987&amp;"",'NETWORK-DEVICES'!$H$3:$H$987,""),"Peripheral",_xlfn.XLOOKUP($K729&amp;"",PERIPHERAL!$B$3:$B$954&amp;"",PERIPHERAL!$H$3:$H$954,""),"Utilities",_xlfn.XLOOKUP($K729&amp;"",UTILITIES!$B$3:$B$953&amp;"",UTILITIES!$G$3:$G$953,""),"IOT",_xlfn.XLOOKUP($K729&amp;"",IOT!$B$3:$B$1012&amp;"",IOT!$H$3:$H$1012,""),"Server",_xlfn.XLOOKUP($K729&amp;"",SERVER!$B$3:$B$1009&amp;"",SERVER!$H$3:$H$1009,""),""),IF(TRIM(_xlpm.srcCat)&lt;&gt;TRIM($J729),"",_xlfn.SWITCH($I729,"Computer",_xlfn.XLOOKUP($K729&amp;"",COMPUTER!$B$3:$B$1009&amp;"",COMPUTER!$K$3:$K$1009,""),"Display",_xlfn.XLOOKUP($K729&amp;"",DISPLAY!$B$3:$B$1000&amp;"",DISPLAY!$L$3:$L$1000,""),"Network Device",_xlfn.XLOOKUP($K729&amp;"",'NETWORK-DEVICES'!$B$3:$B$987&amp;"",'NETWORK-DEVICES'!$K$3:$K$987,""),"Peripheral",_xlfn.XLOOKUP($K729&amp;"",PERIPHERAL!$B$3:$B$954&amp;"",PERIPHERAL!$K$3:$K$954,""),"Utilities",_xlfn.XLOOKUP($K729&amp;"",UTILITIES!$B$3:$B$953&amp;"",UTILITIES!$J$3:$J$953,""),"IOT",_xlfn.XLOOKUP($K729&amp;"",IOT!$B$3:$B$1012&amp;"",IOT!$K$4:$K$1012,""),"Server",_xlfn.XLOOKUP($K729&amp;"",SERVER!$B$3:$B$1009&amp;"",SERVER!$K$3:$K$1009,""),""))))</f>
        <v/>
      </c>
      <c r="O729" s="1" t="str" cm="1">
        <f t="array" ref="O729">IF(OR($K729="",$I729="",$J729=""),"",_xlfn.LET(_xlpm.srcCat,_xlfn.SWITCH($I729,"Computer",_xlfn.XLOOKUP($K729&amp;"",COMPUTER!$B$3:$B$1009&amp;"",COMPUTER!$H$3:$H$1009,""),"Display",_xlfn.XLOOKUP($K729&amp;"",DISPLAY!$B$3:$B$1000&amp;"",DISPLAY!$H$3:$H$1000,""),"Network Device",_xlfn.XLOOKUP($K729&amp;"",'NETWORK-DEVICES'!$B$3:$B$987&amp;"",'NETWORK-DEVICES'!$H$3:$H$987,""),"Peripheral",_xlfn.XLOOKUP($K729&amp;"",PERIPHERAL!$B$3:$B$954&amp;"",PERIPHERAL!$H$3:$H$954,""),"Utilities",_xlfn.XLOOKUP($K729&amp;"",UTILITIES!$B$3:$B$953&amp;"",UTILITIES!$G$3:$G$953,""),"IOT",_xlfn.XLOOKUP($K729&amp;"",IOT!$B$3:$B$1012&amp;"",IOT!$H$3:$H$1012,""),"Server",_xlfn.XLOOKUP($K729&amp;"",SERVER!$B$3:$B$1009&amp;"",SERVER!$H$3:$H$1009,""),""),IF(TRIM(_xlpm.srcCat)&lt;&gt;TRIM($J729),"",_xlfn.SWITCH($I729,"Computer",_xlfn.XLOOKUP($K729&amp;"",COMPUTER!$B$3:$B$1009&amp;"",COMPUTER!$E$3:$E$1009,""),"Display",_xlfn.XLOOKUP($K729&amp;"",DISPLAY!$B$3:$B$1000&amp;"",DISPLAY!$E$3:$E$1000,""),"Network Device",_xlfn.XLOOKUP($K729&amp;"",'NETWORK-DEVICES'!$B$3:$B$987&amp;"",'NETWORK-DEVICES'!$E$3:$E$987,""),"Peripheral",_xlfn.XLOOKUP($K729&amp;"",PERIPHERAL!$B$3:$B$954&amp;"",PERIPHERAL!$E$3:$E$954,""),"Utilities",_xlfn.XLOOKUP($K729&amp;"",UTILITIES!$B$3:$B$953&amp;"",UTILITIES!$E$3:$E$953,""),"IOT",_xlfn.XLOOKUP($K729&amp;"",IOT!$B$3:$B$1012&amp;"",IOT!$E$3:$E$1012,""),"Server",_xlfn.XLOOKUP($K729&amp;"",SERVER!$B$3:$B$1009&amp;"",SERVER!$E$3:$E$1009,""),""))))</f>
        <v/>
      </c>
      <c r="Q729" s="1" t="str" cm="1">
        <f t="array" ref="Q729">IF(OR($K729="",$I729="",$J729=""),"",_xlfn.LET(_xlpm.srcCat,_xlfn.SWITCH($I729,"Computer",_xlfn.XLOOKUP($K729&amp;"",COMPUTER!$B$3:$B$1009&amp;"",COMPUTER!$H$3:$H$1009,""),"Display",_xlfn.XLOOKUP($K729&amp;"",DISPLAY!$B$3:$B$1000&amp;"",DISPLAY!$H$3:$H$1000,""),"Network Device",_xlfn.XLOOKUP($K729&amp;"",'NETWORK-DEVICES'!$B$3:$B$987&amp;"",'NETWORK-DEVICES'!$H$3:$H$987,""),"Peripheral",_xlfn.XLOOKUP($K729&amp;"",PERIPHERAL!$B$3:$B$954&amp;"",PERIPHERAL!$H$3:$H$954,""),"Utilities",_xlfn.XLOOKUP($K729&amp;"",UTILITIES!$B$3:$B$953&amp;"",UTILITIES!$G$3:$G$953,""),"IOT",_xlfn.XLOOKUP($K729&amp;"",IOT!$B$3:$B$1012&amp;"",IOT!$H$3:$H$1012,""),"Server",_xlfn.XLOOKUP($K729&amp;"",SERVER!$B$3:$B$1009&amp;"",SERVER!$H$3:$H$1009,""),""),IF(TRIM(_xlpm.srcCat)&lt;&gt;TRIM($J729),"",_xlfn.SWITCH($I729,"Computer",_xlfn.XLOOKUP($K729&amp;"",COMPUTER!$B$3:$B$1009&amp;"",COMPUTER!$AM$3:$AM$1009,""),"Display",_xlfn.XLOOKUP($K729&amp;"",DISPLAY!$B$3:$B$1000&amp;"",DISPLAY!$V$3:$V$1000,""),"Network Device",_xlfn.XLOOKUP($K729&amp;"",'NETWORK-DEVICES'!$B$3:$B$987&amp;"",'NETWORK-DEVICES'!$AF$3:$AF$987,""),"Peripheral",_xlfn.XLOOKUP($K729&amp;"",PERIPHERAL!$B$3:$B$954&amp;"",PERIPHERAL!$Y$3:$Y$954,""),"Utilities",_xlfn.XLOOKUP($K729&amp;"",UTILITIES!$B$3:$B$953&amp;"",UTILITIES!$O$3:$O$953,""),"IOT",_xlfn.XLOOKUP($K729&amp;"",IOT!$B$3:$B$1012&amp;"",IOT!$AB$3:$AB$1012,""),"Server",_xlfn.XLOOKUP($K729&amp;"",SERVER!$B$3:$B$1009&amp;"",SERVER!$AB$3:$AB$1009,""),""))))</f>
        <v/>
      </c>
      <c r="R729" s="43" t="str">
        <f>IF(tbl_handover[[#This Row],[Asset Code]]="","",COUNTIF(tbl_handover[Asset Code],tbl_handover[[#This Row],[Asset Code]]))</f>
        <v/>
      </c>
    </row>
    <row r="730" spans="1:18" x14ac:dyDescent="0.25">
      <c r="A730" s="43" t="str">
        <f>IF(B730&lt;&gt;"",SUBTOTAL(3,$B$1:B729),"")</f>
        <v/>
      </c>
      <c r="C730" s="74"/>
      <c r="D730" s="74"/>
      <c r="G730" s="1"/>
      <c r="K730" s="42"/>
      <c r="L730" t="str" cm="1">
        <f t="array" ref="L730">IF($K730="","",_xlfn.SWITCH($I730,"Computer",_xlfn.XLOOKUP($K730&amp;"",COMPUTER!$B$3:$B$1009&amp;"",COMPUTER!$I$3:$I$1009,""),"Display",_xlfn.XLOOKUP($K730&amp;"",DISPLAY!$B$3:$B$1000&amp;"",DISPLAY!$J$3:$J$1000,""),"Network Device",_xlfn.XLOOKUP($K730&amp;"",'NETWORK-DEVICES'!$B$3:$B$987&amp;"",'NETWORK-DEVICES'!$I$3:$I$987,""),"Peripheral",_xlfn.XLOOKUP($K730&amp;"",PERIPHERAL!$B$3:$B$954&amp;"",PERIPHERAL!$I$3:$I$954,""),"Utilities",_xlfn.XLOOKUP($K730&amp;"",UTILITIES!$B$3:$B$953&amp;"",UTILITIES!$H$3:$H$953,""),"IOT",_xlfn.XLOOKUP($K730&amp;"",IOT!$B$3:$B$1012&amp;"",IOT!$I$3:$I$1012,""),"SERVER",_xlfn.XLOOKUP($K730&amp;"",SERVER!$B$3:$B$1009&amp;"",SERVER!$I$3:$I$1009,""),""))</f>
        <v/>
      </c>
      <c r="M730" t="str" cm="1">
        <f t="array" ref="M730">IF($K730="","",_xlfn.SWITCH($I730,"Computer",_xlfn.XLOOKUP($K730&amp;"",COMPUTER!$B$3:$B$1009&amp;"",COMPUTER!$J$3:$J$1009,""),"Display",_xlfn.XLOOKUP($K730&amp;"",DISPLAY!$B$3:$B$1000&amp;"",DISPLAY!$K$3:$K$1000,""),"Network Device",_xlfn.XLOOKUP($K730&amp;"",'NETWORK-DEVICES'!$B$3:$B$987&amp;"",'NETWORK-DEVICES'!$I$3:$I$987,""),"Peripheral",_xlfn.XLOOKUP($K730&amp;"",PERIPHERAL!$B$3:$B$954&amp;"",PERIPHERAL!$J$3:$J$954,""),"Utilities",_xlfn.XLOOKUP($K730&amp;"",UTILITIES!$B$3:$B$953&amp;"",UTILITIES!$I$3:$I$953,""),"IOT",_xlfn.XLOOKUP($K730&amp;"",IOT!$B$3:$B$1012&amp;"",IOT!$J$3:$J$1012,""),"Server",_xlfn.XLOOKUP($K730&amp;"",SERVER!$B$3:$B$1009&amp;"",SERVER!$J$3:$J$1009,""),""))</f>
        <v/>
      </c>
      <c r="N730" s="1" t="str" cm="1">
        <f t="array" ref="N730">IF(OR($K730="",$I730="",$J730=""),"",_xlfn.LET(_xlpm.srcCat,_xlfn.SWITCH($I730,"Computer",_xlfn.XLOOKUP($K730&amp;"",COMPUTER!$B$3:$B$1009&amp;"",COMPUTER!$H$3:$H$1009,""),"Display",_xlfn.XLOOKUP($K730&amp;"",DISPLAY!$B$3:$B$1000&amp;"",DISPLAY!$H$3:$H$1000,""),"Network Device",_xlfn.XLOOKUP($K730&amp;"",'NETWORK-DEVICES'!$B$3:$B$987&amp;"",'NETWORK-DEVICES'!$H$3:$H$987,""),"Peripheral",_xlfn.XLOOKUP($K730&amp;"",PERIPHERAL!$B$3:$B$954&amp;"",PERIPHERAL!$H$3:$H$954,""),"Utilities",_xlfn.XLOOKUP($K730&amp;"",UTILITIES!$B$3:$B$953&amp;"",UTILITIES!$G$3:$G$953,""),"IOT",_xlfn.XLOOKUP($K730&amp;"",IOT!$B$3:$B$1012&amp;"",IOT!$H$3:$H$1012,""),"Server",_xlfn.XLOOKUP($K730&amp;"",SERVER!$B$3:$B$1009&amp;"",SERVER!$H$3:$H$1009,""),""),IF(TRIM(_xlpm.srcCat)&lt;&gt;TRIM($J730),"",_xlfn.SWITCH($I730,"Computer",_xlfn.XLOOKUP($K730&amp;"",COMPUTER!$B$3:$B$1009&amp;"",COMPUTER!$K$3:$K$1009,""),"Display",_xlfn.XLOOKUP($K730&amp;"",DISPLAY!$B$3:$B$1000&amp;"",DISPLAY!$L$3:$L$1000,""),"Network Device",_xlfn.XLOOKUP($K730&amp;"",'NETWORK-DEVICES'!$B$3:$B$987&amp;"",'NETWORK-DEVICES'!$K$3:$K$987,""),"Peripheral",_xlfn.XLOOKUP($K730&amp;"",PERIPHERAL!$B$3:$B$954&amp;"",PERIPHERAL!$K$3:$K$954,""),"Utilities",_xlfn.XLOOKUP($K730&amp;"",UTILITIES!$B$3:$B$953&amp;"",UTILITIES!$J$3:$J$953,""),"IOT",_xlfn.XLOOKUP($K730&amp;"",IOT!$B$3:$B$1012&amp;"",IOT!$K$4:$K$1012,""),"Server",_xlfn.XLOOKUP($K730&amp;"",SERVER!$B$3:$B$1009&amp;"",SERVER!$K$3:$K$1009,""),""))))</f>
        <v/>
      </c>
      <c r="O730" s="1" t="str" cm="1">
        <f t="array" ref="O730">IF(OR($K730="",$I730="",$J730=""),"",_xlfn.LET(_xlpm.srcCat,_xlfn.SWITCH($I730,"Computer",_xlfn.XLOOKUP($K730&amp;"",COMPUTER!$B$3:$B$1009&amp;"",COMPUTER!$H$3:$H$1009,""),"Display",_xlfn.XLOOKUP($K730&amp;"",DISPLAY!$B$3:$B$1000&amp;"",DISPLAY!$H$3:$H$1000,""),"Network Device",_xlfn.XLOOKUP($K730&amp;"",'NETWORK-DEVICES'!$B$3:$B$987&amp;"",'NETWORK-DEVICES'!$H$3:$H$987,""),"Peripheral",_xlfn.XLOOKUP($K730&amp;"",PERIPHERAL!$B$3:$B$954&amp;"",PERIPHERAL!$H$3:$H$954,""),"Utilities",_xlfn.XLOOKUP($K730&amp;"",UTILITIES!$B$3:$B$953&amp;"",UTILITIES!$G$3:$G$953,""),"IOT",_xlfn.XLOOKUP($K730&amp;"",IOT!$B$3:$B$1012&amp;"",IOT!$H$3:$H$1012,""),"Server",_xlfn.XLOOKUP($K730&amp;"",SERVER!$B$3:$B$1009&amp;"",SERVER!$H$3:$H$1009,""),""),IF(TRIM(_xlpm.srcCat)&lt;&gt;TRIM($J730),"",_xlfn.SWITCH($I730,"Computer",_xlfn.XLOOKUP($K730&amp;"",COMPUTER!$B$3:$B$1009&amp;"",COMPUTER!$E$3:$E$1009,""),"Display",_xlfn.XLOOKUP($K730&amp;"",DISPLAY!$B$3:$B$1000&amp;"",DISPLAY!$E$3:$E$1000,""),"Network Device",_xlfn.XLOOKUP($K730&amp;"",'NETWORK-DEVICES'!$B$3:$B$987&amp;"",'NETWORK-DEVICES'!$E$3:$E$987,""),"Peripheral",_xlfn.XLOOKUP($K730&amp;"",PERIPHERAL!$B$3:$B$954&amp;"",PERIPHERAL!$E$3:$E$954,""),"Utilities",_xlfn.XLOOKUP($K730&amp;"",UTILITIES!$B$3:$B$953&amp;"",UTILITIES!$E$3:$E$953,""),"IOT",_xlfn.XLOOKUP($K730&amp;"",IOT!$B$3:$B$1012&amp;"",IOT!$E$3:$E$1012,""),"Server",_xlfn.XLOOKUP($K730&amp;"",SERVER!$B$3:$B$1009&amp;"",SERVER!$E$3:$E$1009,""),""))))</f>
        <v/>
      </c>
      <c r="Q730" s="1" t="str" cm="1">
        <f t="array" ref="Q730">IF(OR($K730="",$I730="",$J730=""),"",_xlfn.LET(_xlpm.srcCat,_xlfn.SWITCH($I730,"Computer",_xlfn.XLOOKUP($K730&amp;"",COMPUTER!$B$3:$B$1009&amp;"",COMPUTER!$H$3:$H$1009,""),"Display",_xlfn.XLOOKUP($K730&amp;"",DISPLAY!$B$3:$B$1000&amp;"",DISPLAY!$H$3:$H$1000,""),"Network Device",_xlfn.XLOOKUP($K730&amp;"",'NETWORK-DEVICES'!$B$3:$B$987&amp;"",'NETWORK-DEVICES'!$H$3:$H$987,""),"Peripheral",_xlfn.XLOOKUP($K730&amp;"",PERIPHERAL!$B$3:$B$954&amp;"",PERIPHERAL!$H$3:$H$954,""),"Utilities",_xlfn.XLOOKUP($K730&amp;"",UTILITIES!$B$3:$B$953&amp;"",UTILITIES!$G$3:$G$953,""),"IOT",_xlfn.XLOOKUP($K730&amp;"",IOT!$B$3:$B$1012&amp;"",IOT!$H$3:$H$1012,""),"Server",_xlfn.XLOOKUP($K730&amp;"",SERVER!$B$3:$B$1009&amp;"",SERVER!$H$3:$H$1009,""),""),IF(TRIM(_xlpm.srcCat)&lt;&gt;TRIM($J730),"",_xlfn.SWITCH($I730,"Computer",_xlfn.XLOOKUP($K730&amp;"",COMPUTER!$B$3:$B$1009&amp;"",COMPUTER!$AM$3:$AM$1009,""),"Display",_xlfn.XLOOKUP($K730&amp;"",DISPLAY!$B$3:$B$1000&amp;"",DISPLAY!$V$3:$V$1000,""),"Network Device",_xlfn.XLOOKUP($K730&amp;"",'NETWORK-DEVICES'!$B$3:$B$987&amp;"",'NETWORK-DEVICES'!$AF$3:$AF$987,""),"Peripheral",_xlfn.XLOOKUP($K730&amp;"",PERIPHERAL!$B$3:$B$954&amp;"",PERIPHERAL!$Y$3:$Y$954,""),"Utilities",_xlfn.XLOOKUP($K730&amp;"",UTILITIES!$B$3:$B$953&amp;"",UTILITIES!$O$3:$O$953,""),"IOT",_xlfn.XLOOKUP($K730&amp;"",IOT!$B$3:$B$1012&amp;"",IOT!$AB$3:$AB$1012,""),"Server",_xlfn.XLOOKUP($K730&amp;"",SERVER!$B$3:$B$1009&amp;"",SERVER!$AB$3:$AB$1009,""),""))))</f>
        <v/>
      </c>
      <c r="R730" s="43" t="str">
        <f>IF(tbl_handover[[#This Row],[Asset Code]]="","",COUNTIF(tbl_handover[Asset Code],tbl_handover[[#This Row],[Asset Code]]))</f>
        <v/>
      </c>
    </row>
    <row r="731" spans="1:18" x14ac:dyDescent="0.25">
      <c r="A731" s="43" t="str">
        <f>IF(B731&lt;&gt;"",SUBTOTAL(3,$B$1:B730),"")</f>
        <v/>
      </c>
      <c r="C731" s="74"/>
      <c r="D731" s="74"/>
      <c r="G731" s="1"/>
      <c r="K731" s="42"/>
      <c r="L731" t="str" cm="1">
        <f t="array" ref="L731">IF($K731="","",_xlfn.SWITCH($I731,"Computer",_xlfn.XLOOKUP($K731&amp;"",COMPUTER!$B$3:$B$1009&amp;"",COMPUTER!$I$3:$I$1009,""),"Display",_xlfn.XLOOKUP($K731&amp;"",DISPLAY!$B$3:$B$1000&amp;"",DISPLAY!$J$3:$J$1000,""),"Network Device",_xlfn.XLOOKUP($K731&amp;"",'NETWORK-DEVICES'!$B$3:$B$987&amp;"",'NETWORK-DEVICES'!$I$3:$I$987,""),"Peripheral",_xlfn.XLOOKUP($K731&amp;"",PERIPHERAL!$B$3:$B$954&amp;"",PERIPHERAL!$I$3:$I$954,""),"Utilities",_xlfn.XLOOKUP($K731&amp;"",UTILITIES!$B$3:$B$953&amp;"",UTILITIES!$H$3:$H$953,""),"IOT",_xlfn.XLOOKUP($K731&amp;"",IOT!$B$3:$B$1012&amp;"",IOT!$I$3:$I$1012,""),"SERVER",_xlfn.XLOOKUP($K731&amp;"",SERVER!$B$3:$B$1009&amp;"",SERVER!$I$3:$I$1009,""),""))</f>
        <v/>
      </c>
      <c r="M731" t="str" cm="1">
        <f t="array" ref="M731">IF($K731="","",_xlfn.SWITCH($I731,"Computer",_xlfn.XLOOKUP($K731&amp;"",COMPUTER!$B$3:$B$1009&amp;"",COMPUTER!$J$3:$J$1009,""),"Display",_xlfn.XLOOKUP($K731&amp;"",DISPLAY!$B$3:$B$1000&amp;"",DISPLAY!$K$3:$K$1000,""),"Network Device",_xlfn.XLOOKUP($K731&amp;"",'NETWORK-DEVICES'!$B$3:$B$987&amp;"",'NETWORK-DEVICES'!$I$3:$I$987,""),"Peripheral",_xlfn.XLOOKUP($K731&amp;"",PERIPHERAL!$B$3:$B$954&amp;"",PERIPHERAL!$J$3:$J$954,""),"Utilities",_xlfn.XLOOKUP($K731&amp;"",UTILITIES!$B$3:$B$953&amp;"",UTILITIES!$I$3:$I$953,""),"IOT",_xlfn.XLOOKUP($K731&amp;"",IOT!$B$3:$B$1012&amp;"",IOT!$J$3:$J$1012,""),"Server",_xlfn.XLOOKUP($K731&amp;"",SERVER!$B$3:$B$1009&amp;"",SERVER!$J$3:$J$1009,""),""))</f>
        <v/>
      </c>
      <c r="N731" s="1" t="str" cm="1">
        <f t="array" ref="N731">IF(OR($K731="",$I731="",$J731=""),"",_xlfn.LET(_xlpm.srcCat,_xlfn.SWITCH($I731,"Computer",_xlfn.XLOOKUP($K731&amp;"",COMPUTER!$B$3:$B$1009&amp;"",COMPUTER!$H$3:$H$1009,""),"Display",_xlfn.XLOOKUP($K731&amp;"",DISPLAY!$B$3:$B$1000&amp;"",DISPLAY!$H$3:$H$1000,""),"Network Device",_xlfn.XLOOKUP($K731&amp;"",'NETWORK-DEVICES'!$B$3:$B$987&amp;"",'NETWORK-DEVICES'!$H$3:$H$987,""),"Peripheral",_xlfn.XLOOKUP($K731&amp;"",PERIPHERAL!$B$3:$B$954&amp;"",PERIPHERAL!$H$3:$H$954,""),"Utilities",_xlfn.XLOOKUP($K731&amp;"",UTILITIES!$B$3:$B$953&amp;"",UTILITIES!$G$3:$G$953,""),"IOT",_xlfn.XLOOKUP($K731&amp;"",IOT!$B$3:$B$1012&amp;"",IOT!$H$3:$H$1012,""),"Server",_xlfn.XLOOKUP($K731&amp;"",SERVER!$B$3:$B$1009&amp;"",SERVER!$H$3:$H$1009,""),""),IF(TRIM(_xlpm.srcCat)&lt;&gt;TRIM($J731),"",_xlfn.SWITCH($I731,"Computer",_xlfn.XLOOKUP($K731&amp;"",COMPUTER!$B$3:$B$1009&amp;"",COMPUTER!$K$3:$K$1009,""),"Display",_xlfn.XLOOKUP($K731&amp;"",DISPLAY!$B$3:$B$1000&amp;"",DISPLAY!$L$3:$L$1000,""),"Network Device",_xlfn.XLOOKUP($K731&amp;"",'NETWORK-DEVICES'!$B$3:$B$987&amp;"",'NETWORK-DEVICES'!$K$3:$K$987,""),"Peripheral",_xlfn.XLOOKUP($K731&amp;"",PERIPHERAL!$B$3:$B$954&amp;"",PERIPHERAL!$K$3:$K$954,""),"Utilities",_xlfn.XLOOKUP($K731&amp;"",UTILITIES!$B$3:$B$953&amp;"",UTILITIES!$J$3:$J$953,""),"IOT",_xlfn.XLOOKUP($K731&amp;"",IOT!$B$3:$B$1012&amp;"",IOT!$K$4:$K$1012,""),"Server",_xlfn.XLOOKUP($K731&amp;"",SERVER!$B$3:$B$1009&amp;"",SERVER!$K$3:$K$1009,""),""))))</f>
        <v/>
      </c>
      <c r="O731" s="1" t="str" cm="1">
        <f t="array" ref="O731">IF(OR($K731="",$I731="",$J731=""),"",_xlfn.LET(_xlpm.srcCat,_xlfn.SWITCH($I731,"Computer",_xlfn.XLOOKUP($K731&amp;"",COMPUTER!$B$3:$B$1009&amp;"",COMPUTER!$H$3:$H$1009,""),"Display",_xlfn.XLOOKUP($K731&amp;"",DISPLAY!$B$3:$B$1000&amp;"",DISPLAY!$H$3:$H$1000,""),"Network Device",_xlfn.XLOOKUP($K731&amp;"",'NETWORK-DEVICES'!$B$3:$B$987&amp;"",'NETWORK-DEVICES'!$H$3:$H$987,""),"Peripheral",_xlfn.XLOOKUP($K731&amp;"",PERIPHERAL!$B$3:$B$954&amp;"",PERIPHERAL!$H$3:$H$954,""),"Utilities",_xlfn.XLOOKUP($K731&amp;"",UTILITIES!$B$3:$B$953&amp;"",UTILITIES!$G$3:$G$953,""),"IOT",_xlfn.XLOOKUP($K731&amp;"",IOT!$B$3:$B$1012&amp;"",IOT!$H$3:$H$1012,""),"Server",_xlfn.XLOOKUP($K731&amp;"",SERVER!$B$3:$B$1009&amp;"",SERVER!$H$3:$H$1009,""),""),IF(TRIM(_xlpm.srcCat)&lt;&gt;TRIM($J731),"",_xlfn.SWITCH($I731,"Computer",_xlfn.XLOOKUP($K731&amp;"",COMPUTER!$B$3:$B$1009&amp;"",COMPUTER!$E$3:$E$1009,""),"Display",_xlfn.XLOOKUP($K731&amp;"",DISPLAY!$B$3:$B$1000&amp;"",DISPLAY!$E$3:$E$1000,""),"Network Device",_xlfn.XLOOKUP($K731&amp;"",'NETWORK-DEVICES'!$B$3:$B$987&amp;"",'NETWORK-DEVICES'!$E$3:$E$987,""),"Peripheral",_xlfn.XLOOKUP($K731&amp;"",PERIPHERAL!$B$3:$B$954&amp;"",PERIPHERAL!$E$3:$E$954,""),"Utilities",_xlfn.XLOOKUP($K731&amp;"",UTILITIES!$B$3:$B$953&amp;"",UTILITIES!$E$3:$E$953,""),"IOT",_xlfn.XLOOKUP($K731&amp;"",IOT!$B$3:$B$1012&amp;"",IOT!$E$3:$E$1012,""),"Server",_xlfn.XLOOKUP($K731&amp;"",SERVER!$B$3:$B$1009&amp;"",SERVER!$E$3:$E$1009,""),""))))</f>
        <v/>
      </c>
      <c r="Q731" s="1" t="str" cm="1">
        <f t="array" ref="Q731">IF(OR($K731="",$I731="",$J731=""),"",_xlfn.LET(_xlpm.srcCat,_xlfn.SWITCH($I731,"Computer",_xlfn.XLOOKUP($K731&amp;"",COMPUTER!$B$3:$B$1009&amp;"",COMPUTER!$H$3:$H$1009,""),"Display",_xlfn.XLOOKUP($K731&amp;"",DISPLAY!$B$3:$B$1000&amp;"",DISPLAY!$H$3:$H$1000,""),"Network Device",_xlfn.XLOOKUP($K731&amp;"",'NETWORK-DEVICES'!$B$3:$B$987&amp;"",'NETWORK-DEVICES'!$H$3:$H$987,""),"Peripheral",_xlfn.XLOOKUP($K731&amp;"",PERIPHERAL!$B$3:$B$954&amp;"",PERIPHERAL!$H$3:$H$954,""),"Utilities",_xlfn.XLOOKUP($K731&amp;"",UTILITIES!$B$3:$B$953&amp;"",UTILITIES!$G$3:$G$953,""),"IOT",_xlfn.XLOOKUP($K731&amp;"",IOT!$B$3:$B$1012&amp;"",IOT!$H$3:$H$1012,""),"Server",_xlfn.XLOOKUP($K731&amp;"",SERVER!$B$3:$B$1009&amp;"",SERVER!$H$3:$H$1009,""),""),IF(TRIM(_xlpm.srcCat)&lt;&gt;TRIM($J731),"",_xlfn.SWITCH($I731,"Computer",_xlfn.XLOOKUP($K731&amp;"",COMPUTER!$B$3:$B$1009&amp;"",COMPUTER!$AM$3:$AM$1009,""),"Display",_xlfn.XLOOKUP($K731&amp;"",DISPLAY!$B$3:$B$1000&amp;"",DISPLAY!$V$3:$V$1000,""),"Network Device",_xlfn.XLOOKUP($K731&amp;"",'NETWORK-DEVICES'!$B$3:$B$987&amp;"",'NETWORK-DEVICES'!$AF$3:$AF$987,""),"Peripheral",_xlfn.XLOOKUP($K731&amp;"",PERIPHERAL!$B$3:$B$954&amp;"",PERIPHERAL!$Y$3:$Y$954,""),"Utilities",_xlfn.XLOOKUP($K731&amp;"",UTILITIES!$B$3:$B$953&amp;"",UTILITIES!$O$3:$O$953,""),"IOT",_xlfn.XLOOKUP($K731&amp;"",IOT!$B$3:$B$1012&amp;"",IOT!$AB$3:$AB$1012,""),"Server",_xlfn.XLOOKUP($K731&amp;"",SERVER!$B$3:$B$1009&amp;"",SERVER!$AB$3:$AB$1009,""),""))))</f>
        <v/>
      </c>
      <c r="R731" s="43" t="str">
        <f>IF(tbl_handover[[#This Row],[Asset Code]]="","",COUNTIF(tbl_handover[Asset Code],tbl_handover[[#This Row],[Asset Code]]))</f>
        <v/>
      </c>
    </row>
    <row r="732" spans="1:18" x14ac:dyDescent="0.25">
      <c r="A732" s="43" t="str">
        <f>IF(B732&lt;&gt;"",SUBTOTAL(3,$B$1:B731),"")</f>
        <v/>
      </c>
      <c r="C732" s="74"/>
      <c r="D732" s="74"/>
      <c r="G732" s="1"/>
      <c r="K732" s="42"/>
      <c r="L732" t="str" cm="1">
        <f t="array" ref="L732">IF($K732="","",_xlfn.SWITCH($I732,"Computer",_xlfn.XLOOKUP($K732&amp;"",COMPUTER!$B$3:$B$1009&amp;"",COMPUTER!$I$3:$I$1009,""),"Display",_xlfn.XLOOKUP($K732&amp;"",DISPLAY!$B$3:$B$1000&amp;"",DISPLAY!$J$3:$J$1000,""),"Network Device",_xlfn.XLOOKUP($K732&amp;"",'NETWORK-DEVICES'!$B$3:$B$987&amp;"",'NETWORK-DEVICES'!$I$3:$I$987,""),"Peripheral",_xlfn.XLOOKUP($K732&amp;"",PERIPHERAL!$B$3:$B$954&amp;"",PERIPHERAL!$I$3:$I$954,""),"Utilities",_xlfn.XLOOKUP($K732&amp;"",UTILITIES!$B$3:$B$953&amp;"",UTILITIES!$H$3:$H$953,""),"IOT",_xlfn.XLOOKUP($K732&amp;"",IOT!$B$3:$B$1012&amp;"",IOT!$I$3:$I$1012,""),"SERVER",_xlfn.XLOOKUP($K732&amp;"",SERVER!$B$3:$B$1009&amp;"",SERVER!$I$3:$I$1009,""),""))</f>
        <v/>
      </c>
      <c r="M732" t="str" cm="1">
        <f t="array" ref="M732">IF($K732="","",_xlfn.SWITCH($I732,"Computer",_xlfn.XLOOKUP($K732&amp;"",COMPUTER!$B$3:$B$1009&amp;"",COMPUTER!$J$3:$J$1009,""),"Display",_xlfn.XLOOKUP($K732&amp;"",DISPLAY!$B$3:$B$1000&amp;"",DISPLAY!$K$3:$K$1000,""),"Network Device",_xlfn.XLOOKUP($K732&amp;"",'NETWORK-DEVICES'!$B$3:$B$987&amp;"",'NETWORK-DEVICES'!$I$3:$I$987,""),"Peripheral",_xlfn.XLOOKUP($K732&amp;"",PERIPHERAL!$B$3:$B$954&amp;"",PERIPHERAL!$J$3:$J$954,""),"Utilities",_xlfn.XLOOKUP($K732&amp;"",UTILITIES!$B$3:$B$953&amp;"",UTILITIES!$I$3:$I$953,""),"IOT",_xlfn.XLOOKUP($K732&amp;"",IOT!$B$3:$B$1012&amp;"",IOT!$J$3:$J$1012,""),"Server",_xlfn.XLOOKUP($K732&amp;"",SERVER!$B$3:$B$1009&amp;"",SERVER!$J$3:$J$1009,""),""))</f>
        <v/>
      </c>
      <c r="N732" s="1" t="str" cm="1">
        <f t="array" ref="N732">IF(OR($K732="",$I732="",$J732=""),"",_xlfn.LET(_xlpm.srcCat,_xlfn.SWITCH($I732,"Computer",_xlfn.XLOOKUP($K732&amp;"",COMPUTER!$B$3:$B$1009&amp;"",COMPUTER!$H$3:$H$1009,""),"Display",_xlfn.XLOOKUP($K732&amp;"",DISPLAY!$B$3:$B$1000&amp;"",DISPLAY!$H$3:$H$1000,""),"Network Device",_xlfn.XLOOKUP($K732&amp;"",'NETWORK-DEVICES'!$B$3:$B$987&amp;"",'NETWORK-DEVICES'!$H$3:$H$987,""),"Peripheral",_xlfn.XLOOKUP($K732&amp;"",PERIPHERAL!$B$3:$B$954&amp;"",PERIPHERAL!$H$3:$H$954,""),"Utilities",_xlfn.XLOOKUP($K732&amp;"",UTILITIES!$B$3:$B$953&amp;"",UTILITIES!$G$3:$G$953,""),"IOT",_xlfn.XLOOKUP($K732&amp;"",IOT!$B$3:$B$1012&amp;"",IOT!$H$3:$H$1012,""),"Server",_xlfn.XLOOKUP($K732&amp;"",SERVER!$B$3:$B$1009&amp;"",SERVER!$H$3:$H$1009,""),""),IF(TRIM(_xlpm.srcCat)&lt;&gt;TRIM($J732),"",_xlfn.SWITCH($I732,"Computer",_xlfn.XLOOKUP($K732&amp;"",COMPUTER!$B$3:$B$1009&amp;"",COMPUTER!$K$3:$K$1009,""),"Display",_xlfn.XLOOKUP($K732&amp;"",DISPLAY!$B$3:$B$1000&amp;"",DISPLAY!$L$3:$L$1000,""),"Network Device",_xlfn.XLOOKUP($K732&amp;"",'NETWORK-DEVICES'!$B$3:$B$987&amp;"",'NETWORK-DEVICES'!$K$3:$K$987,""),"Peripheral",_xlfn.XLOOKUP($K732&amp;"",PERIPHERAL!$B$3:$B$954&amp;"",PERIPHERAL!$K$3:$K$954,""),"Utilities",_xlfn.XLOOKUP($K732&amp;"",UTILITIES!$B$3:$B$953&amp;"",UTILITIES!$J$3:$J$953,""),"IOT",_xlfn.XLOOKUP($K732&amp;"",IOT!$B$3:$B$1012&amp;"",IOT!$K$4:$K$1012,""),"Server",_xlfn.XLOOKUP($K732&amp;"",SERVER!$B$3:$B$1009&amp;"",SERVER!$K$3:$K$1009,""),""))))</f>
        <v/>
      </c>
      <c r="O732" s="1" t="str" cm="1">
        <f t="array" ref="O732">IF(OR($K732="",$I732="",$J732=""),"",_xlfn.LET(_xlpm.srcCat,_xlfn.SWITCH($I732,"Computer",_xlfn.XLOOKUP($K732&amp;"",COMPUTER!$B$3:$B$1009&amp;"",COMPUTER!$H$3:$H$1009,""),"Display",_xlfn.XLOOKUP($K732&amp;"",DISPLAY!$B$3:$B$1000&amp;"",DISPLAY!$H$3:$H$1000,""),"Network Device",_xlfn.XLOOKUP($K732&amp;"",'NETWORK-DEVICES'!$B$3:$B$987&amp;"",'NETWORK-DEVICES'!$H$3:$H$987,""),"Peripheral",_xlfn.XLOOKUP($K732&amp;"",PERIPHERAL!$B$3:$B$954&amp;"",PERIPHERAL!$H$3:$H$954,""),"Utilities",_xlfn.XLOOKUP($K732&amp;"",UTILITIES!$B$3:$B$953&amp;"",UTILITIES!$G$3:$G$953,""),"IOT",_xlfn.XLOOKUP($K732&amp;"",IOT!$B$3:$B$1012&amp;"",IOT!$H$3:$H$1012,""),"Server",_xlfn.XLOOKUP($K732&amp;"",SERVER!$B$3:$B$1009&amp;"",SERVER!$H$3:$H$1009,""),""),IF(TRIM(_xlpm.srcCat)&lt;&gt;TRIM($J732),"",_xlfn.SWITCH($I732,"Computer",_xlfn.XLOOKUP($K732&amp;"",COMPUTER!$B$3:$B$1009&amp;"",COMPUTER!$E$3:$E$1009,""),"Display",_xlfn.XLOOKUP($K732&amp;"",DISPLAY!$B$3:$B$1000&amp;"",DISPLAY!$E$3:$E$1000,""),"Network Device",_xlfn.XLOOKUP($K732&amp;"",'NETWORK-DEVICES'!$B$3:$B$987&amp;"",'NETWORK-DEVICES'!$E$3:$E$987,""),"Peripheral",_xlfn.XLOOKUP($K732&amp;"",PERIPHERAL!$B$3:$B$954&amp;"",PERIPHERAL!$E$3:$E$954,""),"Utilities",_xlfn.XLOOKUP($K732&amp;"",UTILITIES!$B$3:$B$953&amp;"",UTILITIES!$E$3:$E$953,""),"IOT",_xlfn.XLOOKUP($K732&amp;"",IOT!$B$3:$B$1012&amp;"",IOT!$E$3:$E$1012,""),"Server",_xlfn.XLOOKUP($K732&amp;"",SERVER!$B$3:$B$1009&amp;"",SERVER!$E$3:$E$1009,""),""))))</f>
        <v/>
      </c>
      <c r="Q732" s="1" t="str" cm="1">
        <f t="array" ref="Q732">IF(OR($K732="",$I732="",$J732=""),"",_xlfn.LET(_xlpm.srcCat,_xlfn.SWITCH($I732,"Computer",_xlfn.XLOOKUP($K732&amp;"",COMPUTER!$B$3:$B$1009&amp;"",COMPUTER!$H$3:$H$1009,""),"Display",_xlfn.XLOOKUP($K732&amp;"",DISPLAY!$B$3:$B$1000&amp;"",DISPLAY!$H$3:$H$1000,""),"Network Device",_xlfn.XLOOKUP($K732&amp;"",'NETWORK-DEVICES'!$B$3:$B$987&amp;"",'NETWORK-DEVICES'!$H$3:$H$987,""),"Peripheral",_xlfn.XLOOKUP($K732&amp;"",PERIPHERAL!$B$3:$B$954&amp;"",PERIPHERAL!$H$3:$H$954,""),"Utilities",_xlfn.XLOOKUP($K732&amp;"",UTILITIES!$B$3:$B$953&amp;"",UTILITIES!$G$3:$G$953,""),"IOT",_xlfn.XLOOKUP($K732&amp;"",IOT!$B$3:$B$1012&amp;"",IOT!$H$3:$H$1012,""),"Server",_xlfn.XLOOKUP($K732&amp;"",SERVER!$B$3:$B$1009&amp;"",SERVER!$H$3:$H$1009,""),""),IF(TRIM(_xlpm.srcCat)&lt;&gt;TRIM($J732),"",_xlfn.SWITCH($I732,"Computer",_xlfn.XLOOKUP($K732&amp;"",COMPUTER!$B$3:$B$1009&amp;"",COMPUTER!$AM$3:$AM$1009,""),"Display",_xlfn.XLOOKUP($K732&amp;"",DISPLAY!$B$3:$B$1000&amp;"",DISPLAY!$V$3:$V$1000,""),"Network Device",_xlfn.XLOOKUP($K732&amp;"",'NETWORK-DEVICES'!$B$3:$B$987&amp;"",'NETWORK-DEVICES'!$AF$3:$AF$987,""),"Peripheral",_xlfn.XLOOKUP($K732&amp;"",PERIPHERAL!$B$3:$B$954&amp;"",PERIPHERAL!$Y$3:$Y$954,""),"Utilities",_xlfn.XLOOKUP($K732&amp;"",UTILITIES!$B$3:$B$953&amp;"",UTILITIES!$O$3:$O$953,""),"IOT",_xlfn.XLOOKUP($K732&amp;"",IOT!$B$3:$B$1012&amp;"",IOT!$AB$3:$AB$1012,""),"Server",_xlfn.XLOOKUP($K732&amp;"",SERVER!$B$3:$B$1009&amp;"",SERVER!$AB$3:$AB$1009,""),""))))</f>
        <v/>
      </c>
      <c r="R732" s="43" t="str">
        <f>IF(tbl_handover[[#This Row],[Asset Code]]="","",COUNTIF(tbl_handover[Asset Code],tbl_handover[[#This Row],[Asset Code]]))</f>
        <v/>
      </c>
    </row>
    <row r="733" spans="1:18" x14ac:dyDescent="0.25">
      <c r="A733" s="43" t="str">
        <f>IF(B733&lt;&gt;"",SUBTOTAL(3,$B$1:B732),"")</f>
        <v/>
      </c>
      <c r="C733" s="74"/>
      <c r="D733" s="74"/>
      <c r="G733" s="1"/>
      <c r="K733" s="42"/>
      <c r="L733" t="str" cm="1">
        <f t="array" ref="L733">IF($K733="","",_xlfn.SWITCH($I733,"Computer",_xlfn.XLOOKUP($K733&amp;"",COMPUTER!$B$3:$B$1009&amp;"",COMPUTER!$I$3:$I$1009,""),"Display",_xlfn.XLOOKUP($K733&amp;"",DISPLAY!$B$3:$B$1000&amp;"",DISPLAY!$J$3:$J$1000,""),"Network Device",_xlfn.XLOOKUP($K733&amp;"",'NETWORK-DEVICES'!$B$3:$B$987&amp;"",'NETWORK-DEVICES'!$I$3:$I$987,""),"Peripheral",_xlfn.XLOOKUP($K733&amp;"",PERIPHERAL!$B$3:$B$954&amp;"",PERIPHERAL!$I$3:$I$954,""),"Utilities",_xlfn.XLOOKUP($K733&amp;"",UTILITIES!$B$3:$B$953&amp;"",UTILITIES!$H$3:$H$953,""),"IOT",_xlfn.XLOOKUP($K733&amp;"",IOT!$B$3:$B$1012&amp;"",IOT!$I$3:$I$1012,""),"SERVER",_xlfn.XLOOKUP($K733&amp;"",SERVER!$B$3:$B$1009&amp;"",SERVER!$I$3:$I$1009,""),""))</f>
        <v/>
      </c>
      <c r="M733" t="str" cm="1">
        <f t="array" ref="M733">IF($K733="","",_xlfn.SWITCH($I733,"Computer",_xlfn.XLOOKUP($K733&amp;"",COMPUTER!$B$3:$B$1009&amp;"",COMPUTER!$J$3:$J$1009,""),"Display",_xlfn.XLOOKUP($K733&amp;"",DISPLAY!$B$3:$B$1000&amp;"",DISPLAY!$K$3:$K$1000,""),"Network Device",_xlfn.XLOOKUP($K733&amp;"",'NETWORK-DEVICES'!$B$3:$B$987&amp;"",'NETWORK-DEVICES'!$I$3:$I$987,""),"Peripheral",_xlfn.XLOOKUP($K733&amp;"",PERIPHERAL!$B$3:$B$954&amp;"",PERIPHERAL!$J$3:$J$954,""),"Utilities",_xlfn.XLOOKUP($K733&amp;"",UTILITIES!$B$3:$B$953&amp;"",UTILITIES!$I$3:$I$953,""),"IOT",_xlfn.XLOOKUP($K733&amp;"",IOT!$B$3:$B$1012&amp;"",IOT!$J$3:$J$1012,""),"Server",_xlfn.XLOOKUP($K733&amp;"",SERVER!$B$3:$B$1009&amp;"",SERVER!$J$3:$J$1009,""),""))</f>
        <v/>
      </c>
      <c r="N733" s="1" t="str" cm="1">
        <f t="array" ref="N733">IF(OR($K733="",$I733="",$J733=""),"",_xlfn.LET(_xlpm.srcCat,_xlfn.SWITCH($I733,"Computer",_xlfn.XLOOKUP($K733&amp;"",COMPUTER!$B$3:$B$1009&amp;"",COMPUTER!$H$3:$H$1009,""),"Display",_xlfn.XLOOKUP($K733&amp;"",DISPLAY!$B$3:$B$1000&amp;"",DISPLAY!$H$3:$H$1000,""),"Network Device",_xlfn.XLOOKUP($K733&amp;"",'NETWORK-DEVICES'!$B$3:$B$987&amp;"",'NETWORK-DEVICES'!$H$3:$H$987,""),"Peripheral",_xlfn.XLOOKUP($K733&amp;"",PERIPHERAL!$B$3:$B$954&amp;"",PERIPHERAL!$H$3:$H$954,""),"Utilities",_xlfn.XLOOKUP($K733&amp;"",UTILITIES!$B$3:$B$953&amp;"",UTILITIES!$G$3:$G$953,""),"IOT",_xlfn.XLOOKUP($K733&amp;"",IOT!$B$3:$B$1012&amp;"",IOT!$H$3:$H$1012,""),"Server",_xlfn.XLOOKUP($K733&amp;"",SERVER!$B$3:$B$1009&amp;"",SERVER!$H$3:$H$1009,""),""),IF(TRIM(_xlpm.srcCat)&lt;&gt;TRIM($J733),"",_xlfn.SWITCH($I733,"Computer",_xlfn.XLOOKUP($K733&amp;"",COMPUTER!$B$3:$B$1009&amp;"",COMPUTER!$K$3:$K$1009,""),"Display",_xlfn.XLOOKUP($K733&amp;"",DISPLAY!$B$3:$B$1000&amp;"",DISPLAY!$L$3:$L$1000,""),"Network Device",_xlfn.XLOOKUP($K733&amp;"",'NETWORK-DEVICES'!$B$3:$B$987&amp;"",'NETWORK-DEVICES'!$K$3:$K$987,""),"Peripheral",_xlfn.XLOOKUP($K733&amp;"",PERIPHERAL!$B$3:$B$954&amp;"",PERIPHERAL!$K$3:$K$954,""),"Utilities",_xlfn.XLOOKUP($K733&amp;"",UTILITIES!$B$3:$B$953&amp;"",UTILITIES!$J$3:$J$953,""),"IOT",_xlfn.XLOOKUP($K733&amp;"",IOT!$B$3:$B$1012&amp;"",IOT!$K$4:$K$1012,""),"Server",_xlfn.XLOOKUP($K733&amp;"",SERVER!$B$3:$B$1009&amp;"",SERVER!$K$3:$K$1009,""),""))))</f>
        <v/>
      </c>
      <c r="O733" s="1" t="str" cm="1">
        <f t="array" ref="O733">IF(OR($K733="",$I733="",$J733=""),"",_xlfn.LET(_xlpm.srcCat,_xlfn.SWITCH($I733,"Computer",_xlfn.XLOOKUP($K733&amp;"",COMPUTER!$B$3:$B$1009&amp;"",COMPUTER!$H$3:$H$1009,""),"Display",_xlfn.XLOOKUP($K733&amp;"",DISPLAY!$B$3:$B$1000&amp;"",DISPLAY!$H$3:$H$1000,""),"Network Device",_xlfn.XLOOKUP($K733&amp;"",'NETWORK-DEVICES'!$B$3:$B$987&amp;"",'NETWORK-DEVICES'!$H$3:$H$987,""),"Peripheral",_xlfn.XLOOKUP($K733&amp;"",PERIPHERAL!$B$3:$B$954&amp;"",PERIPHERAL!$H$3:$H$954,""),"Utilities",_xlfn.XLOOKUP($K733&amp;"",UTILITIES!$B$3:$B$953&amp;"",UTILITIES!$G$3:$G$953,""),"IOT",_xlfn.XLOOKUP($K733&amp;"",IOT!$B$3:$B$1012&amp;"",IOT!$H$3:$H$1012,""),"Server",_xlfn.XLOOKUP($K733&amp;"",SERVER!$B$3:$B$1009&amp;"",SERVER!$H$3:$H$1009,""),""),IF(TRIM(_xlpm.srcCat)&lt;&gt;TRIM($J733),"",_xlfn.SWITCH($I733,"Computer",_xlfn.XLOOKUP($K733&amp;"",COMPUTER!$B$3:$B$1009&amp;"",COMPUTER!$E$3:$E$1009,""),"Display",_xlfn.XLOOKUP($K733&amp;"",DISPLAY!$B$3:$B$1000&amp;"",DISPLAY!$E$3:$E$1000,""),"Network Device",_xlfn.XLOOKUP($K733&amp;"",'NETWORK-DEVICES'!$B$3:$B$987&amp;"",'NETWORK-DEVICES'!$E$3:$E$987,""),"Peripheral",_xlfn.XLOOKUP($K733&amp;"",PERIPHERAL!$B$3:$B$954&amp;"",PERIPHERAL!$E$3:$E$954,""),"Utilities",_xlfn.XLOOKUP($K733&amp;"",UTILITIES!$B$3:$B$953&amp;"",UTILITIES!$E$3:$E$953,""),"IOT",_xlfn.XLOOKUP($K733&amp;"",IOT!$B$3:$B$1012&amp;"",IOT!$E$3:$E$1012,""),"Server",_xlfn.XLOOKUP($K733&amp;"",SERVER!$B$3:$B$1009&amp;"",SERVER!$E$3:$E$1009,""),""))))</f>
        <v/>
      </c>
      <c r="Q733" s="1" t="str" cm="1">
        <f t="array" ref="Q733">IF(OR($K733="",$I733="",$J733=""),"",_xlfn.LET(_xlpm.srcCat,_xlfn.SWITCH($I733,"Computer",_xlfn.XLOOKUP($K733&amp;"",COMPUTER!$B$3:$B$1009&amp;"",COMPUTER!$H$3:$H$1009,""),"Display",_xlfn.XLOOKUP($K733&amp;"",DISPLAY!$B$3:$B$1000&amp;"",DISPLAY!$H$3:$H$1000,""),"Network Device",_xlfn.XLOOKUP($K733&amp;"",'NETWORK-DEVICES'!$B$3:$B$987&amp;"",'NETWORK-DEVICES'!$H$3:$H$987,""),"Peripheral",_xlfn.XLOOKUP($K733&amp;"",PERIPHERAL!$B$3:$B$954&amp;"",PERIPHERAL!$H$3:$H$954,""),"Utilities",_xlfn.XLOOKUP($K733&amp;"",UTILITIES!$B$3:$B$953&amp;"",UTILITIES!$G$3:$G$953,""),"IOT",_xlfn.XLOOKUP($K733&amp;"",IOT!$B$3:$B$1012&amp;"",IOT!$H$3:$H$1012,""),"Server",_xlfn.XLOOKUP($K733&amp;"",SERVER!$B$3:$B$1009&amp;"",SERVER!$H$3:$H$1009,""),""),IF(TRIM(_xlpm.srcCat)&lt;&gt;TRIM($J733),"",_xlfn.SWITCH($I733,"Computer",_xlfn.XLOOKUP($K733&amp;"",COMPUTER!$B$3:$B$1009&amp;"",COMPUTER!$AM$3:$AM$1009,""),"Display",_xlfn.XLOOKUP($K733&amp;"",DISPLAY!$B$3:$B$1000&amp;"",DISPLAY!$V$3:$V$1000,""),"Network Device",_xlfn.XLOOKUP($K733&amp;"",'NETWORK-DEVICES'!$B$3:$B$987&amp;"",'NETWORK-DEVICES'!$AF$3:$AF$987,""),"Peripheral",_xlfn.XLOOKUP($K733&amp;"",PERIPHERAL!$B$3:$B$954&amp;"",PERIPHERAL!$Y$3:$Y$954,""),"Utilities",_xlfn.XLOOKUP($K733&amp;"",UTILITIES!$B$3:$B$953&amp;"",UTILITIES!$O$3:$O$953,""),"IOT",_xlfn.XLOOKUP($K733&amp;"",IOT!$B$3:$B$1012&amp;"",IOT!$AB$3:$AB$1012,""),"Server",_xlfn.XLOOKUP($K733&amp;"",SERVER!$B$3:$B$1009&amp;"",SERVER!$AB$3:$AB$1009,""),""))))</f>
        <v/>
      </c>
      <c r="R733" s="43" t="str">
        <f>IF(tbl_handover[[#This Row],[Asset Code]]="","",COUNTIF(tbl_handover[Asset Code],tbl_handover[[#This Row],[Asset Code]]))</f>
        <v/>
      </c>
    </row>
    <row r="734" spans="1:18" x14ac:dyDescent="0.25">
      <c r="A734" s="43" t="str">
        <f>IF(B734&lt;&gt;"",SUBTOTAL(3,$B$1:B733),"")</f>
        <v/>
      </c>
      <c r="C734" s="74"/>
      <c r="D734" s="74"/>
      <c r="G734" s="1"/>
      <c r="K734" s="42"/>
      <c r="L734" t="str" cm="1">
        <f t="array" ref="L734">IF($K734="","",_xlfn.SWITCH($I734,"Computer",_xlfn.XLOOKUP($K734&amp;"",COMPUTER!$B$3:$B$1009&amp;"",COMPUTER!$I$3:$I$1009,""),"Display",_xlfn.XLOOKUP($K734&amp;"",DISPLAY!$B$3:$B$1000&amp;"",DISPLAY!$J$3:$J$1000,""),"Network Device",_xlfn.XLOOKUP($K734&amp;"",'NETWORK-DEVICES'!$B$3:$B$987&amp;"",'NETWORK-DEVICES'!$I$3:$I$987,""),"Peripheral",_xlfn.XLOOKUP($K734&amp;"",PERIPHERAL!$B$3:$B$954&amp;"",PERIPHERAL!$I$3:$I$954,""),"Utilities",_xlfn.XLOOKUP($K734&amp;"",UTILITIES!$B$3:$B$953&amp;"",UTILITIES!$H$3:$H$953,""),"IOT",_xlfn.XLOOKUP($K734&amp;"",IOT!$B$3:$B$1012&amp;"",IOT!$I$3:$I$1012,""),"SERVER",_xlfn.XLOOKUP($K734&amp;"",SERVER!$B$3:$B$1009&amp;"",SERVER!$I$3:$I$1009,""),""))</f>
        <v/>
      </c>
      <c r="M734" t="str" cm="1">
        <f t="array" ref="M734">IF($K734="","",_xlfn.SWITCH($I734,"Computer",_xlfn.XLOOKUP($K734&amp;"",COMPUTER!$B$3:$B$1009&amp;"",COMPUTER!$J$3:$J$1009,""),"Display",_xlfn.XLOOKUP($K734&amp;"",DISPLAY!$B$3:$B$1000&amp;"",DISPLAY!$K$3:$K$1000,""),"Network Device",_xlfn.XLOOKUP($K734&amp;"",'NETWORK-DEVICES'!$B$3:$B$987&amp;"",'NETWORK-DEVICES'!$I$3:$I$987,""),"Peripheral",_xlfn.XLOOKUP($K734&amp;"",PERIPHERAL!$B$3:$B$954&amp;"",PERIPHERAL!$J$3:$J$954,""),"Utilities",_xlfn.XLOOKUP($K734&amp;"",UTILITIES!$B$3:$B$953&amp;"",UTILITIES!$I$3:$I$953,""),"IOT",_xlfn.XLOOKUP($K734&amp;"",IOT!$B$3:$B$1012&amp;"",IOT!$J$3:$J$1012,""),"Server",_xlfn.XLOOKUP($K734&amp;"",SERVER!$B$3:$B$1009&amp;"",SERVER!$J$3:$J$1009,""),""))</f>
        <v/>
      </c>
      <c r="N734" s="1" t="str" cm="1">
        <f t="array" ref="N734">IF(OR($K734="",$I734="",$J734=""),"",_xlfn.LET(_xlpm.srcCat,_xlfn.SWITCH($I734,"Computer",_xlfn.XLOOKUP($K734&amp;"",COMPUTER!$B$3:$B$1009&amp;"",COMPUTER!$H$3:$H$1009,""),"Display",_xlfn.XLOOKUP($K734&amp;"",DISPLAY!$B$3:$B$1000&amp;"",DISPLAY!$H$3:$H$1000,""),"Network Device",_xlfn.XLOOKUP($K734&amp;"",'NETWORK-DEVICES'!$B$3:$B$987&amp;"",'NETWORK-DEVICES'!$H$3:$H$987,""),"Peripheral",_xlfn.XLOOKUP($K734&amp;"",PERIPHERAL!$B$3:$B$954&amp;"",PERIPHERAL!$H$3:$H$954,""),"Utilities",_xlfn.XLOOKUP($K734&amp;"",UTILITIES!$B$3:$B$953&amp;"",UTILITIES!$G$3:$G$953,""),"IOT",_xlfn.XLOOKUP($K734&amp;"",IOT!$B$3:$B$1012&amp;"",IOT!$H$3:$H$1012,""),"Server",_xlfn.XLOOKUP($K734&amp;"",SERVER!$B$3:$B$1009&amp;"",SERVER!$H$3:$H$1009,""),""),IF(TRIM(_xlpm.srcCat)&lt;&gt;TRIM($J734),"",_xlfn.SWITCH($I734,"Computer",_xlfn.XLOOKUP($K734&amp;"",COMPUTER!$B$3:$B$1009&amp;"",COMPUTER!$K$3:$K$1009,""),"Display",_xlfn.XLOOKUP($K734&amp;"",DISPLAY!$B$3:$B$1000&amp;"",DISPLAY!$L$3:$L$1000,""),"Network Device",_xlfn.XLOOKUP($K734&amp;"",'NETWORK-DEVICES'!$B$3:$B$987&amp;"",'NETWORK-DEVICES'!$K$3:$K$987,""),"Peripheral",_xlfn.XLOOKUP($K734&amp;"",PERIPHERAL!$B$3:$B$954&amp;"",PERIPHERAL!$K$3:$K$954,""),"Utilities",_xlfn.XLOOKUP($K734&amp;"",UTILITIES!$B$3:$B$953&amp;"",UTILITIES!$J$3:$J$953,""),"IOT",_xlfn.XLOOKUP($K734&amp;"",IOT!$B$3:$B$1012&amp;"",IOT!$K$4:$K$1012,""),"Server",_xlfn.XLOOKUP($K734&amp;"",SERVER!$B$3:$B$1009&amp;"",SERVER!$K$3:$K$1009,""),""))))</f>
        <v/>
      </c>
      <c r="O734" s="1" t="str" cm="1">
        <f t="array" ref="O734">IF(OR($K734="",$I734="",$J734=""),"",_xlfn.LET(_xlpm.srcCat,_xlfn.SWITCH($I734,"Computer",_xlfn.XLOOKUP($K734&amp;"",COMPUTER!$B$3:$B$1009&amp;"",COMPUTER!$H$3:$H$1009,""),"Display",_xlfn.XLOOKUP($K734&amp;"",DISPLAY!$B$3:$B$1000&amp;"",DISPLAY!$H$3:$H$1000,""),"Network Device",_xlfn.XLOOKUP($K734&amp;"",'NETWORK-DEVICES'!$B$3:$B$987&amp;"",'NETWORK-DEVICES'!$H$3:$H$987,""),"Peripheral",_xlfn.XLOOKUP($K734&amp;"",PERIPHERAL!$B$3:$B$954&amp;"",PERIPHERAL!$H$3:$H$954,""),"Utilities",_xlfn.XLOOKUP($K734&amp;"",UTILITIES!$B$3:$B$953&amp;"",UTILITIES!$G$3:$G$953,""),"IOT",_xlfn.XLOOKUP($K734&amp;"",IOT!$B$3:$B$1012&amp;"",IOT!$H$3:$H$1012,""),"Server",_xlfn.XLOOKUP($K734&amp;"",SERVER!$B$3:$B$1009&amp;"",SERVER!$H$3:$H$1009,""),""),IF(TRIM(_xlpm.srcCat)&lt;&gt;TRIM($J734),"",_xlfn.SWITCH($I734,"Computer",_xlfn.XLOOKUP($K734&amp;"",COMPUTER!$B$3:$B$1009&amp;"",COMPUTER!$E$3:$E$1009,""),"Display",_xlfn.XLOOKUP($K734&amp;"",DISPLAY!$B$3:$B$1000&amp;"",DISPLAY!$E$3:$E$1000,""),"Network Device",_xlfn.XLOOKUP($K734&amp;"",'NETWORK-DEVICES'!$B$3:$B$987&amp;"",'NETWORK-DEVICES'!$E$3:$E$987,""),"Peripheral",_xlfn.XLOOKUP($K734&amp;"",PERIPHERAL!$B$3:$B$954&amp;"",PERIPHERAL!$E$3:$E$954,""),"Utilities",_xlfn.XLOOKUP($K734&amp;"",UTILITIES!$B$3:$B$953&amp;"",UTILITIES!$E$3:$E$953,""),"IOT",_xlfn.XLOOKUP($K734&amp;"",IOT!$B$3:$B$1012&amp;"",IOT!$E$3:$E$1012,""),"Server",_xlfn.XLOOKUP($K734&amp;"",SERVER!$B$3:$B$1009&amp;"",SERVER!$E$3:$E$1009,""),""))))</f>
        <v/>
      </c>
      <c r="Q734" s="1" t="str" cm="1">
        <f t="array" ref="Q734">IF(OR($K734="",$I734="",$J734=""),"",_xlfn.LET(_xlpm.srcCat,_xlfn.SWITCH($I734,"Computer",_xlfn.XLOOKUP($K734&amp;"",COMPUTER!$B$3:$B$1009&amp;"",COMPUTER!$H$3:$H$1009,""),"Display",_xlfn.XLOOKUP($K734&amp;"",DISPLAY!$B$3:$B$1000&amp;"",DISPLAY!$H$3:$H$1000,""),"Network Device",_xlfn.XLOOKUP($K734&amp;"",'NETWORK-DEVICES'!$B$3:$B$987&amp;"",'NETWORK-DEVICES'!$H$3:$H$987,""),"Peripheral",_xlfn.XLOOKUP($K734&amp;"",PERIPHERAL!$B$3:$B$954&amp;"",PERIPHERAL!$H$3:$H$954,""),"Utilities",_xlfn.XLOOKUP($K734&amp;"",UTILITIES!$B$3:$B$953&amp;"",UTILITIES!$G$3:$G$953,""),"IOT",_xlfn.XLOOKUP($K734&amp;"",IOT!$B$3:$B$1012&amp;"",IOT!$H$3:$H$1012,""),"Server",_xlfn.XLOOKUP($K734&amp;"",SERVER!$B$3:$B$1009&amp;"",SERVER!$H$3:$H$1009,""),""),IF(TRIM(_xlpm.srcCat)&lt;&gt;TRIM($J734),"",_xlfn.SWITCH($I734,"Computer",_xlfn.XLOOKUP($K734&amp;"",COMPUTER!$B$3:$B$1009&amp;"",COMPUTER!$AM$3:$AM$1009,""),"Display",_xlfn.XLOOKUP($K734&amp;"",DISPLAY!$B$3:$B$1000&amp;"",DISPLAY!$V$3:$V$1000,""),"Network Device",_xlfn.XLOOKUP($K734&amp;"",'NETWORK-DEVICES'!$B$3:$B$987&amp;"",'NETWORK-DEVICES'!$AF$3:$AF$987,""),"Peripheral",_xlfn.XLOOKUP($K734&amp;"",PERIPHERAL!$B$3:$B$954&amp;"",PERIPHERAL!$Y$3:$Y$954,""),"Utilities",_xlfn.XLOOKUP($K734&amp;"",UTILITIES!$B$3:$B$953&amp;"",UTILITIES!$O$3:$O$953,""),"IOT",_xlfn.XLOOKUP($K734&amp;"",IOT!$B$3:$B$1012&amp;"",IOT!$AB$3:$AB$1012,""),"Server",_xlfn.XLOOKUP($K734&amp;"",SERVER!$B$3:$B$1009&amp;"",SERVER!$AB$3:$AB$1009,""),""))))</f>
        <v/>
      </c>
      <c r="R734" s="43" t="str">
        <f>IF(tbl_handover[[#This Row],[Asset Code]]="","",COUNTIF(tbl_handover[Asset Code],tbl_handover[[#This Row],[Asset Code]]))</f>
        <v/>
      </c>
    </row>
    <row r="735" spans="1:18" x14ac:dyDescent="0.25">
      <c r="A735" s="43" t="str">
        <f>IF(B735&lt;&gt;"",SUBTOTAL(3,$B$1:B734),"")</f>
        <v/>
      </c>
      <c r="C735" s="74"/>
      <c r="D735" s="74"/>
      <c r="G735" s="1"/>
      <c r="K735" s="42"/>
      <c r="L735" t="str" cm="1">
        <f t="array" ref="L735">IF($K735="","",_xlfn.SWITCH($I735,"Computer",_xlfn.XLOOKUP($K735&amp;"",COMPUTER!$B$3:$B$1009&amp;"",COMPUTER!$I$3:$I$1009,""),"Display",_xlfn.XLOOKUP($K735&amp;"",DISPLAY!$B$3:$B$1000&amp;"",DISPLAY!$J$3:$J$1000,""),"Network Device",_xlfn.XLOOKUP($K735&amp;"",'NETWORK-DEVICES'!$B$3:$B$987&amp;"",'NETWORK-DEVICES'!$I$3:$I$987,""),"Peripheral",_xlfn.XLOOKUP($K735&amp;"",PERIPHERAL!$B$3:$B$954&amp;"",PERIPHERAL!$I$3:$I$954,""),"Utilities",_xlfn.XLOOKUP($K735&amp;"",UTILITIES!$B$3:$B$953&amp;"",UTILITIES!$H$3:$H$953,""),"IOT",_xlfn.XLOOKUP($K735&amp;"",IOT!$B$3:$B$1012&amp;"",IOT!$I$3:$I$1012,""),"SERVER",_xlfn.XLOOKUP($K735&amp;"",SERVER!$B$3:$B$1009&amp;"",SERVER!$I$3:$I$1009,""),""))</f>
        <v/>
      </c>
      <c r="M735" t="str" cm="1">
        <f t="array" ref="M735">IF($K735="","",_xlfn.SWITCH($I735,"Computer",_xlfn.XLOOKUP($K735&amp;"",COMPUTER!$B$3:$B$1009&amp;"",COMPUTER!$J$3:$J$1009,""),"Display",_xlfn.XLOOKUP($K735&amp;"",DISPLAY!$B$3:$B$1000&amp;"",DISPLAY!$K$3:$K$1000,""),"Network Device",_xlfn.XLOOKUP($K735&amp;"",'NETWORK-DEVICES'!$B$3:$B$987&amp;"",'NETWORK-DEVICES'!$I$3:$I$987,""),"Peripheral",_xlfn.XLOOKUP($K735&amp;"",PERIPHERAL!$B$3:$B$954&amp;"",PERIPHERAL!$J$3:$J$954,""),"Utilities",_xlfn.XLOOKUP($K735&amp;"",UTILITIES!$B$3:$B$953&amp;"",UTILITIES!$I$3:$I$953,""),"IOT",_xlfn.XLOOKUP($K735&amp;"",IOT!$B$3:$B$1012&amp;"",IOT!$J$3:$J$1012,""),"Server",_xlfn.XLOOKUP($K735&amp;"",SERVER!$B$3:$B$1009&amp;"",SERVER!$J$3:$J$1009,""),""))</f>
        <v/>
      </c>
      <c r="N735" s="1" t="str" cm="1">
        <f t="array" ref="N735">IF(OR($K735="",$I735="",$J735=""),"",_xlfn.LET(_xlpm.srcCat,_xlfn.SWITCH($I735,"Computer",_xlfn.XLOOKUP($K735&amp;"",COMPUTER!$B$3:$B$1009&amp;"",COMPUTER!$H$3:$H$1009,""),"Display",_xlfn.XLOOKUP($K735&amp;"",DISPLAY!$B$3:$B$1000&amp;"",DISPLAY!$H$3:$H$1000,""),"Network Device",_xlfn.XLOOKUP($K735&amp;"",'NETWORK-DEVICES'!$B$3:$B$987&amp;"",'NETWORK-DEVICES'!$H$3:$H$987,""),"Peripheral",_xlfn.XLOOKUP($K735&amp;"",PERIPHERAL!$B$3:$B$954&amp;"",PERIPHERAL!$H$3:$H$954,""),"Utilities",_xlfn.XLOOKUP($K735&amp;"",UTILITIES!$B$3:$B$953&amp;"",UTILITIES!$G$3:$G$953,""),"IOT",_xlfn.XLOOKUP($K735&amp;"",IOT!$B$3:$B$1012&amp;"",IOT!$H$3:$H$1012,""),"Server",_xlfn.XLOOKUP($K735&amp;"",SERVER!$B$3:$B$1009&amp;"",SERVER!$H$3:$H$1009,""),""),IF(TRIM(_xlpm.srcCat)&lt;&gt;TRIM($J735),"",_xlfn.SWITCH($I735,"Computer",_xlfn.XLOOKUP($K735&amp;"",COMPUTER!$B$3:$B$1009&amp;"",COMPUTER!$K$3:$K$1009,""),"Display",_xlfn.XLOOKUP($K735&amp;"",DISPLAY!$B$3:$B$1000&amp;"",DISPLAY!$L$3:$L$1000,""),"Network Device",_xlfn.XLOOKUP($K735&amp;"",'NETWORK-DEVICES'!$B$3:$B$987&amp;"",'NETWORK-DEVICES'!$K$3:$K$987,""),"Peripheral",_xlfn.XLOOKUP($K735&amp;"",PERIPHERAL!$B$3:$B$954&amp;"",PERIPHERAL!$K$3:$K$954,""),"Utilities",_xlfn.XLOOKUP($K735&amp;"",UTILITIES!$B$3:$B$953&amp;"",UTILITIES!$J$3:$J$953,""),"IOT",_xlfn.XLOOKUP($K735&amp;"",IOT!$B$3:$B$1012&amp;"",IOT!$K$4:$K$1012,""),"Server",_xlfn.XLOOKUP($K735&amp;"",SERVER!$B$3:$B$1009&amp;"",SERVER!$K$3:$K$1009,""),""))))</f>
        <v/>
      </c>
      <c r="O735" s="1" t="str" cm="1">
        <f t="array" ref="O735">IF(OR($K735="",$I735="",$J735=""),"",_xlfn.LET(_xlpm.srcCat,_xlfn.SWITCH($I735,"Computer",_xlfn.XLOOKUP($K735&amp;"",COMPUTER!$B$3:$B$1009&amp;"",COMPUTER!$H$3:$H$1009,""),"Display",_xlfn.XLOOKUP($K735&amp;"",DISPLAY!$B$3:$B$1000&amp;"",DISPLAY!$H$3:$H$1000,""),"Network Device",_xlfn.XLOOKUP($K735&amp;"",'NETWORK-DEVICES'!$B$3:$B$987&amp;"",'NETWORK-DEVICES'!$H$3:$H$987,""),"Peripheral",_xlfn.XLOOKUP($K735&amp;"",PERIPHERAL!$B$3:$B$954&amp;"",PERIPHERAL!$H$3:$H$954,""),"Utilities",_xlfn.XLOOKUP($K735&amp;"",UTILITIES!$B$3:$B$953&amp;"",UTILITIES!$G$3:$G$953,""),"IOT",_xlfn.XLOOKUP($K735&amp;"",IOT!$B$3:$B$1012&amp;"",IOT!$H$3:$H$1012,""),"Server",_xlfn.XLOOKUP($K735&amp;"",SERVER!$B$3:$B$1009&amp;"",SERVER!$H$3:$H$1009,""),""),IF(TRIM(_xlpm.srcCat)&lt;&gt;TRIM($J735),"",_xlfn.SWITCH($I735,"Computer",_xlfn.XLOOKUP($K735&amp;"",COMPUTER!$B$3:$B$1009&amp;"",COMPUTER!$E$3:$E$1009,""),"Display",_xlfn.XLOOKUP($K735&amp;"",DISPLAY!$B$3:$B$1000&amp;"",DISPLAY!$E$3:$E$1000,""),"Network Device",_xlfn.XLOOKUP($K735&amp;"",'NETWORK-DEVICES'!$B$3:$B$987&amp;"",'NETWORK-DEVICES'!$E$3:$E$987,""),"Peripheral",_xlfn.XLOOKUP($K735&amp;"",PERIPHERAL!$B$3:$B$954&amp;"",PERIPHERAL!$E$3:$E$954,""),"Utilities",_xlfn.XLOOKUP($K735&amp;"",UTILITIES!$B$3:$B$953&amp;"",UTILITIES!$E$3:$E$953,""),"IOT",_xlfn.XLOOKUP($K735&amp;"",IOT!$B$3:$B$1012&amp;"",IOT!$E$3:$E$1012,""),"Server",_xlfn.XLOOKUP($K735&amp;"",SERVER!$B$3:$B$1009&amp;"",SERVER!$E$3:$E$1009,""),""))))</f>
        <v/>
      </c>
      <c r="Q735" s="1" t="str" cm="1">
        <f t="array" ref="Q735">IF(OR($K735="",$I735="",$J735=""),"",_xlfn.LET(_xlpm.srcCat,_xlfn.SWITCH($I735,"Computer",_xlfn.XLOOKUP($K735&amp;"",COMPUTER!$B$3:$B$1009&amp;"",COMPUTER!$H$3:$H$1009,""),"Display",_xlfn.XLOOKUP($K735&amp;"",DISPLAY!$B$3:$B$1000&amp;"",DISPLAY!$H$3:$H$1000,""),"Network Device",_xlfn.XLOOKUP($K735&amp;"",'NETWORK-DEVICES'!$B$3:$B$987&amp;"",'NETWORK-DEVICES'!$H$3:$H$987,""),"Peripheral",_xlfn.XLOOKUP($K735&amp;"",PERIPHERAL!$B$3:$B$954&amp;"",PERIPHERAL!$H$3:$H$954,""),"Utilities",_xlfn.XLOOKUP($K735&amp;"",UTILITIES!$B$3:$B$953&amp;"",UTILITIES!$G$3:$G$953,""),"IOT",_xlfn.XLOOKUP($K735&amp;"",IOT!$B$3:$B$1012&amp;"",IOT!$H$3:$H$1012,""),"Server",_xlfn.XLOOKUP($K735&amp;"",SERVER!$B$3:$B$1009&amp;"",SERVER!$H$3:$H$1009,""),""),IF(TRIM(_xlpm.srcCat)&lt;&gt;TRIM($J735),"",_xlfn.SWITCH($I735,"Computer",_xlfn.XLOOKUP($K735&amp;"",COMPUTER!$B$3:$B$1009&amp;"",COMPUTER!$AM$3:$AM$1009,""),"Display",_xlfn.XLOOKUP($K735&amp;"",DISPLAY!$B$3:$B$1000&amp;"",DISPLAY!$V$3:$V$1000,""),"Network Device",_xlfn.XLOOKUP($K735&amp;"",'NETWORK-DEVICES'!$B$3:$B$987&amp;"",'NETWORK-DEVICES'!$AF$3:$AF$987,""),"Peripheral",_xlfn.XLOOKUP($K735&amp;"",PERIPHERAL!$B$3:$B$954&amp;"",PERIPHERAL!$Y$3:$Y$954,""),"Utilities",_xlfn.XLOOKUP($K735&amp;"",UTILITIES!$B$3:$B$953&amp;"",UTILITIES!$O$3:$O$953,""),"IOT",_xlfn.XLOOKUP($K735&amp;"",IOT!$B$3:$B$1012&amp;"",IOT!$AB$3:$AB$1012,""),"Server",_xlfn.XLOOKUP($K735&amp;"",SERVER!$B$3:$B$1009&amp;"",SERVER!$AB$3:$AB$1009,""),""))))</f>
        <v/>
      </c>
      <c r="R735" s="43" t="str">
        <f>IF(tbl_handover[[#This Row],[Asset Code]]="","",COUNTIF(tbl_handover[Asset Code],tbl_handover[[#This Row],[Asset Code]]))</f>
        <v/>
      </c>
    </row>
    <row r="736" spans="1:18" x14ac:dyDescent="0.25">
      <c r="A736" s="43" t="str">
        <f>IF(B736&lt;&gt;"",SUBTOTAL(3,$B$1:B735),"")</f>
        <v/>
      </c>
      <c r="C736" s="74"/>
      <c r="D736" s="74"/>
      <c r="G736" s="1"/>
      <c r="K736" s="42"/>
      <c r="L736" t="str" cm="1">
        <f t="array" ref="L736">IF($K736="","",_xlfn.SWITCH($I736,"Computer",_xlfn.XLOOKUP($K736&amp;"",COMPUTER!$B$3:$B$1009&amp;"",COMPUTER!$I$3:$I$1009,""),"Display",_xlfn.XLOOKUP($K736&amp;"",DISPLAY!$B$3:$B$1000&amp;"",DISPLAY!$J$3:$J$1000,""),"Network Device",_xlfn.XLOOKUP($K736&amp;"",'NETWORK-DEVICES'!$B$3:$B$987&amp;"",'NETWORK-DEVICES'!$I$3:$I$987,""),"Peripheral",_xlfn.XLOOKUP($K736&amp;"",PERIPHERAL!$B$3:$B$954&amp;"",PERIPHERAL!$I$3:$I$954,""),"Utilities",_xlfn.XLOOKUP($K736&amp;"",UTILITIES!$B$3:$B$953&amp;"",UTILITIES!$H$3:$H$953,""),"IOT",_xlfn.XLOOKUP($K736&amp;"",IOT!$B$3:$B$1012&amp;"",IOT!$I$3:$I$1012,""),"SERVER",_xlfn.XLOOKUP($K736&amp;"",SERVER!$B$3:$B$1009&amp;"",SERVER!$I$3:$I$1009,""),""))</f>
        <v/>
      </c>
      <c r="M736" t="str" cm="1">
        <f t="array" ref="M736">IF($K736="","",_xlfn.SWITCH($I736,"Computer",_xlfn.XLOOKUP($K736&amp;"",COMPUTER!$B$3:$B$1009&amp;"",COMPUTER!$J$3:$J$1009,""),"Display",_xlfn.XLOOKUP($K736&amp;"",DISPLAY!$B$3:$B$1000&amp;"",DISPLAY!$K$3:$K$1000,""),"Network Device",_xlfn.XLOOKUP($K736&amp;"",'NETWORK-DEVICES'!$B$3:$B$987&amp;"",'NETWORK-DEVICES'!$I$3:$I$987,""),"Peripheral",_xlfn.XLOOKUP($K736&amp;"",PERIPHERAL!$B$3:$B$954&amp;"",PERIPHERAL!$J$3:$J$954,""),"Utilities",_xlfn.XLOOKUP($K736&amp;"",UTILITIES!$B$3:$B$953&amp;"",UTILITIES!$I$3:$I$953,""),"IOT",_xlfn.XLOOKUP($K736&amp;"",IOT!$B$3:$B$1012&amp;"",IOT!$J$3:$J$1012,""),"Server",_xlfn.XLOOKUP($K736&amp;"",SERVER!$B$3:$B$1009&amp;"",SERVER!$J$3:$J$1009,""),""))</f>
        <v/>
      </c>
      <c r="N736" s="1" t="str" cm="1">
        <f t="array" ref="N736">IF(OR($K736="",$I736="",$J736=""),"",_xlfn.LET(_xlpm.srcCat,_xlfn.SWITCH($I736,"Computer",_xlfn.XLOOKUP($K736&amp;"",COMPUTER!$B$3:$B$1009&amp;"",COMPUTER!$H$3:$H$1009,""),"Display",_xlfn.XLOOKUP($K736&amp;"",DISPLAY!$B$3:$B$1000&amp;"",DISPLAY!$H$3:$H$1000,""),"Network Device",_xlfn.XLOOKUP($K736&amp;"",'NETWORK-DEVICES'!$B$3:$B$987&amp;"",'NETWORK-DEVICES'!$H$3:$H$987,""),"Peripheral",_xlfn.XLOOKUP($K736&amp;"",PERIPHERAL!$B$3:$B$954&amp;"",PERIPHERAL!$H$3:$H$954,""),"Utilities",_xlfn.XLOOKUP($K736&amp;"",UTILITIES!$B$3:$B$953&amp;"",UTILITIES!$G$3:$G$953,""),"IOT",_xlfn.XLOOKUP($K736&amp;"",IOT!$B$3:$B$1012&amp;"",IOT!$H$3:$H$1012,""),"Server",_xlfn.XLOOKUP($K736&amp;"",SERVER!$B$3:$B$1009&amp;"",SERVER!$H$3:$H$1009,""),""),IF(TRIM(_xlpm.srcCat)&lt;&gt;TRIM($J736),"",_xlfn.SWITCH($I736,"Computer",_xlfn.XLOOKUP($K736&amp;"",COMPUTER!$B$3:$B$1009&amp;"",COMPUTER!$K$3:$K$1009,""),"Display",_xlfn.XLOOKUP($K736&amp;"",DISPLAY!$B$3:$B$1000&amp;"",DISPLAY!$L$3:$L$1000,""),"Network Device",_xlfn.XLOOKUP($K736&amp;"",'NETWORK-DEVICES'!$B$3:$B$987&amp;"",'NETWORK-DEVICES'!$K$3:$K$987,""),"Peripheral",_xlfn.XLOOKUP($K736&amp;"",PERIPHERAL!$B$3:$B$954&amp;"",PERIPHERAL!$K$3:$K$954,""),"Utilities",_xlfn.XLOOKUP($K736&amp;"",UTILITIES!$B$3:$B$953&amp;"",UTILITIES!$J$3:$J$953,""),"IOT",_xlfn.XLOOKUP($K736&amp;"",IOT!$B$3:$B$1012&amp;"",IOT!$K$4:$K$1012,""),"Server",_xlfn.XLOOKUP($K736&amp;"",SERVER!$B$3:$B$1009&amp;"",SERVER!$K$3:$K$1009,""),""))))</f>
        <v/>
      </c>
      <c r="O736" s="1" t="str" cm="1">
        <f t="array" ref="O736">IF(OR($K736="",$I736="",$J736=""),"",_xlfn.LET(_xlpm.srcCat,_xlfn.SWITCH($I736,"Computer",_xlfn.XLOOKUP($K736&amp;"",COMPUTER!$B$3:$B$1009&amp;"",COMPUTER!$H$3:$H$1009,""),"Display",_xlfn.XLOOKUP($K736&amp;"",DISPLAY!$B$3:$B$1000&amp;"",DISPLAY!$H$3:$H$1000,""),"Network Device",_xlfn.XLOOKUP($K736&amp;"",'NETWORK-DEVICES'!$B$3:$B$987&amp;"",'NETWORK-DEVICES'!$H$3:$H$987,""),"Peripheral",_xlfn.XLOOKUP($K736&amp;"",PERIPHERAL!$B$3:$B$954&amp;"",PERIPHERAL!$H$3:$H$954,""),"Utilities",_xlfn.XLOOKUP($K736&amp;"",UTILITIES!$B$3:$B$953&amp;"",UTILITIES!$G$3:$G$953,""),"IOT",_xlfn.XLOOKUP($K736&amp;"",IOT!$B$3:$B$1012&amp;"",IOT!$H$3:$H$1012,""),"Server",_xlfn.XLOOKUP($K736&amp;"",SERVER!$B$3:$B$1009&amp;"",SERVER!$H$3:$H$1009,""),""),IF(TRIM(_xlpm.srcCat)&lt;&gt;TRIM($J736),"",_xlfn.SWITCH($I736,"Computer",_xlfn.XLOOKUP($K736&amp;"",COMPUTER!$B$3:$B$1009&amp;"",COMPUTER!$E$3:$E$1009,""),"Display",_xlfn.XLOOKUP($K736&amp;"",DISPLAY!$B$3:$B$1000&amp;"",DISPLAY!$E$3:$E$1000,""),"Network Device",_xlfn.XLOOKUP($K736&amp;"",'NETWORK-DEVICES'!$B$3:$B$987&amp;"",'NETWORK-DEVICES'!$E$3:$E$987,""),"Peripheral",_xlfn.XLOOKUP($K736&amp;"",PERIPHERAL!$B$3:$B$954&amp;"",PERIPHERAL!$E$3:$E$954,""),"Utilities",_xlfn.XLOOKUP($K736&amp;"",UTILITIES!$B$3:$B$953&amp;"",UTILITIES!$E$3:$E$953,""),"IOT",_xlfn.XLOOKUP($K736&amp;"",IOT!$B$3:$B$1012&amp;"",IOT!$E$3:$E$1012,""),"Server",_xlfn.XLOOKUP($K736&amp;"",SERVER!$B$3:$B$1009&amp;"",SERVER!$E$3:$E$1009,""),""))))</f>
        <v/>
      </c>
      <c r="Q736" s="1" t="str" cm="1">
        <f t="array" ref="Q736">IF(OR($K736="",$I736="",$J736=""),"",_xlfn.LET(_xlpm.srcCat,_xlfn.SWITCH($I736,"Computer",_xlfn.XLOOKUP($K736&amp;"",COMPUTER!$B$3:$B$1009&amp;"",COMPUTER!$H$3:$H$1009,""),"Display",_xlfn.XLOOKUP($K736&amp;"",DISPLAY!$B$3:$B$1000&amp;"",DISPLAY!$H$3:$H$1000,""),"Network Device",_xlfn.XLOOKUP($K736&amp;"",'NETWORK-DEVICES'!$B$3:$B$987&amp;"",'NETWORK-DEVICES'!$H$3:$H$987,""),"Peripheral",_xlfn.XLOOKUP($K736&amp;"",PERIPHERAL!$B$3:$B$954&amp;"",PERIPHERAL!$H$3:$H$954,""),"Utilities",_xlfn.XLOOKUP($K736&amp;"",UTILITIES!$B$3:$B$953&amp;"",UTILITIES!$G$3:$G$953,""),"IOT",_xlfn.XLOOKUP($K736&amp;"",IOT!$B$3:$B$1012&amp;"",IOT!$H$3:$H$1012,""),"Server",_xlfn.XLOOKUP($K736&amp;"",SERVER!$B$3:$B$1009&amp;"",SERVER!$H$3:$H$1009,""),""),IF(TRIM(_xlpm.srcCat)&lt;&gt;TRIM($J736),"",_xlfn.SWITCH($I736,"Computer",_xlfn.XLOOKUP($K736&amp;"",COMPUTER!$B$3:$B$1009&amp;"",COMPUTER!$AM$3:$AM$1009,""),"Display",_xlfn.XLOOKUP($K736&amp;"",DISPLAY!$B$3:$B$1000&amp;"",DISPLAY!$V$3:$V$1000,""),"Network Device",_xlfn.XLOOKUP($K736&amp;"",'NETWORK-DEVICES'!$B$3:$B$987&amp;"",'NETWORK-DEVICES'!$AF$3:$AF$987,""),"Peripheral",_xlfn.XLOOKUP($K736&amp;"",PERIPHERAL!$B$3:$B$954&amp;"",PERIPHERAL!$Y$3:$Y$954,""),"Utilities",_xlfn.XLOOKUP($K736&amp;"",UTILITIES!$B$3:$B$953&amp;"",UTILITIES!$O$3:$O$953,""),"IOT",_xlfn.XLOOKUP($K736&amp;"",IOT!$B$3:$B$1012&amp;"",IOT!$AB$3:$AB$1012,""),"Server",_xlfn.XLOOKUP($K736&amp;"",SERVER!$B$3:$B$1009&amp;"",SERVER!$AB$3:$AB$1009,""),""))))</f>
        <v/>
      </c>
      <c r="R736" s="43" t="str">
        <f>IF(tbl_handover[[#This Row],[Asset Code]]="","",COUNTIF(tbl_handover[Asset Code],tbl_handover[[#This Row],[Asset Code]]))</f>
        <v/>
      </c>
    </row>
    <row r="737" spans="1:18" x14ac:dyDescent="0.25">
      <c r="A737" s="43" t="str">
        <f>IF(B737&lt;&gt;"",SUBTOTAL(3,$B$1:B736),"")</f>
        <v/>
      </c>
      <c r="C737" s="74"/>
      <c r="D737" s="74"/>
      <c r="G737" s="1"/>
      <c r="K737" s="42"/>
      <c r="L737" t="str" cm="1">
        <f t="array" ref="L737">IF($K737="","",_xlfn.SWITCH($I737,"Computer",_xlfn.XLOOKUP($K737&amp;"",COMPUTER!$B$3:$B$1009&amp;"",COMPUTER!$I$3:$I$1009,""),"Display",_xlfn.XLOOKUP($K737&amp;"",DISPLAY!$B$3:$B$1000&amp;"",DISPLAY!$J$3:$J$1000,""),"Network Device",_xlfn.XLOOKUP($K737&amp;"",'NETWORK-DEVICES'!$B$3:$B$987&amp;"",'NETWORK-DEVICES'!$I$3:$I$987,""),"Peripheral",_xlfn.XLOOKUP($K737&amp;"",PERIPHERAL!$B$3:$B$954&amp;"",PERIPHERAL!$I$3:$I$954,""),"Utilities",_xlfn.XLOOKUP($K737&amp;"",UTILITIES!$B$3:$B$953&amp;"",UTILITIES!$H$3:$H$953,""),"IOT",_xlfn.XLOOKUP($K737&amp;"",IOT!$B$3:$B$1012&amp;"",IOT!$I$3:$I$1012,""),"SERVER",_xlfn.XLOOKUP($K737&amp;"",SERVER!$B$3:$B$1009&amp;"",SERVER!$I$3:$I$1009,""),""))</f>
        <v/>
      </c>
      <c r="M737" t="str" cm="1">
        <f t="array" ref="M737">IF($K737="","",_xlfn.SWITCH($I737,"Computer",_xlfn.XLOOKUP($K737&amp;"",COMPUTER!$B$3:$B$1009&amp;"",COMPUTER!$J$3:$J$1009,""),"Display",_xlfn.XLOOKUP($K737&amp;"",DISPLAY!$B$3:$B$1000&amp;"",DISPLAY!$K$3:$K$1000,""),"Network Device",_xlfn.XLOOKUP($K737&amp;"",'NETWORK-DEVICES'!$B$3:$B$987&amp;"",'NETWORK-DEVICES'!$I$3:$I$987,""),"Peripheral",_xlfn.XLOOKUP($K737&amp;"",PERIPHERAL!$B$3:$B$954&amp;"",PERIPHERAL!$J$3:$J$954,""),"Utilities",_xlfn.XLOOKUP($K737&amp;"",UTILITIES!$B$3:$B$953&amp;"",UTILITIES!$I$3:$I$953,""),"IOT",_xlfn.XLOOKUP($K737&amp;"",IOT!$B$3:$B$1012&amp;"",IOT!$J$3:$J$1012,""),"Server",_xlfn.XLOOKUP($K737&amp;"",SERVER!$B$3:$B$1009&amp;"",SERVER!$J$3:$J$1009,""),""))</f>
        <v/>
      </c>
      <c r="N737" s="1" t="str" cm="1">
        <f t="array" ref="N737">IF(OR($K737="",$I737="",$J737=""),"",_xlfn.LET(_xlpm.srcCat,_xlfn.SWITCH($I737,"Computer",_xlfn.XLOOKUP($K737&amp;"",COMPUTER!$B$3:$B$1009&amp;"",COMPUTER!$H$3:$H$1009,""),"Display",_xlfn.XLOOKUP($K737&amp;"",DISPLAY!$B$3:$B$1000&amp;"",DISPLAY!$H$3:$H$1000,""),"Network Device",_xlfn.XLOOKUP($K737&amp;"",'NETWORK-DEVICES'!$B$3:$B$987&amp;"",'NETWORK-DEVICES'!$H$3:$H$987,""),"Peripheral",_xlfn.XLOOKUP($K737&amp;"",PERIPHERAL!$B$3:$B$954&amp;"",PERIPHERAL!$H$3:$H$954,""),"Utilities",_xlfn.XLOOKUP($K737&amp;"",UTILITIES!$B$3:$B$953&amp;"",UTILITIES!$G$3:$G$953,""),"IOT",_xlfn.XLOOKUP($K737&amp;"",IOT!$B$3:$B$1012&amp;"",IOT!$H$3:$H$1012,""),"Server",_xlfn.XLOOKUP($K737&amp;"",SERVER!$B$3:$B$1009&amp;"",SERVER!$H$3:$H$1009,""),""),IF(TRIM(_xlpm.srcCat)&lt;&gt;TRIM($J737),"",_xlfn.SWITCH($I737,"Computer",_xlfn.XLOOKUP($K737&amp;"",COMPUTER!$B$3:$B$1009&amp;"",COMPUTER!$K$3:$K$1009,""),"Display",_xlfn.XLOOKUP($K737&amp;"",DISPLAY!$B$3:$B$1000&amp;"",DISPLAY!$L$3:$L$1000,""),"Network Device",_xlfn.XLOOKUP($K737&amp;"",'NETWORK-DEVICES'!$B$3:$B$987&amp;"",'NETWORK-DEVICES'!$K$3:$K$987,""),"Peripheral",_xlfn.XLOOKUP($K737&amp;"",PERIPHERAL!$B$3:$B$954&amp;"",PERIPHERAL!$K$3:$K$954,""),"Utilities",_xlfn.XLOOKUP($K737&amp;"",UTILITIES!$B$3:$B$953&amp;"",UTILITIES!$J$3:$J$953,""),"IOT",_xlfn.XLOOKUP($K737&amp;"",IOT!$B$3:$B$1012&amp;"",IOT!$K$4:$K$1012,""),"Server",_xlfn.XLOOKUP($K737&amp;"",SERVER!$B$3:$B$1009&amp;"",SERVER!$K$3:$K$1009,""),""))))</f>
        <v/>
      </c>
      <c r="O737" s="1" t="str" cm="1">
        <f t="array" ref="O737">IF(OR($K737="",$I737="",$J737=""),"",_xlfn.LET(_xlpm.srcCat,_xlfn.SWITCH($I737,"Computer",_xlfn.XLOOKUP($K737&amp;"",COMPUTER!$B$3:$B$1009&amp;"",COMPUTER!$H$3:$H$1009,""),"Display",_xlfn.XLOOKUP($K737&amp;"",DISPLAY!$B$3:$B$1000&amp;"",DISPLAY!$H$3:$H$1000,""),"Network Device",_xlfn.XLOOKUP($K737&amp;"",'NETWORK-DEVICES'!$B$3:$B$987&amp;"",'NETWORK-DEVICES'!$H$3:$H$987,""),"Peripheral",_xlfn.XLOOKUP($K737&amp;"",PERIPHERAL!$B$3:$B$954&amp;"",PERIPHERAL!$H$3:$H$954,""),"Utilities",_xlfn.XLOOKUP($K737&amp;"",UTILITIES!$B$3:$B$953&amp;"",UTILITIES!$G$3:$G$953,""),"IOT",_xlfn.XLOOKUP($K737&amp;"",IOT!$B$3:$B$1012&amp;"",IOT!$H$3:$H$1012,""),"Server",_xlfn.XLOOKUP($K737&amp;"",SERVER!$B$3:$B$1009&amp;"",SERVER!$H$3:$H$1009,""),""),IF(TRIM(_xlpm.srcCat)&lt;&gt;TRIM($J737),"",_xlfn.SWITCH($I737,"Computer",_xlfn.XLOOKUP($K737&amp;"",COMPUTER!$B$3:$B$1009&amp;"",COMPUTER!$E$3:$E$1009,""),"Display",_xlfn.XLOOKUP($K737&amp;"",DISPLAY!$B$3:$B$1000&amp;"",DISPLAY!$E$3:$E$1000,""),"Network Device",_xlfn.XLOOKUP($K737&amp;"",'NETWORK-DEVICES'!$B$3:$B$987&amp;"",'NETWORK-DEVICES'!$E$3:$E$987,""),"Peripheral",_xlfn.XLOOKUP($K737&amp;"",PERIPHERAL!$B$3:$B$954&amp;"",PERIPHERAL!$E$3:$E$954,""),"Utilities",_xlfn.XLOOKUP($K737&amp;"",UTILITIES!$B$3:$B$953&amp;"",UTILITIES!$E$3:$E$953,""),"IOT",_xlfn.XLOOKUP($K737&amp;"",IOT!$B$3:$B$1012&amp;"",IOT!$E$3:$E$1012,""),"Server",_xlfn.XLOOKUP($K737&amp;"",SERVER!$B$3:$B$1009&amp;"",SERVER!$E$3:$E$1009,""),""))))</f>
        <v/>
      </c>
      <c r="Q737" s="1" t="str" cm="1">
        <f t="array" ref="Q737">IF(OR($K737="",$I737="",$J737=""),"",_xlfn.LET(_xlpm.srcCat,_xlfn.SWITCH($I737,"Computer",_xlfn.XLOOKUP($K737&amp;"",COMPUTER!$B$3:$B$1009&amp;"",COMPUTER!$H$3:$H$1009,""),"Display",_xlfn.XLOOKUP($K737&amp;"",DISPLAY!$B$3:$B$1000&amp;"",DISPLAY!$H$3:$H$1000,""),"Network Device",_xlfn.XLOOKUP($K737&amp;"",'NETWORK-DEVICES'!$B$3:$B$987&amp;"",'NETWORK-DEVICES'!$H$3:$H$987,""),"Peripheral",_xlfn.XLOOKUP($K737&amp;"",PERIPHERAL!$B$3:$B$954&amp;"",PERIPHERAL!$H$3:$H$954,""),"Utilities",_xlfn.XLOOKUP($K737&amp;"",UTILITIES!$B$3:$B$953&amp;"",UTILITIES!$G$3:$G$953,""),"IOT",_xlfn.XLOOKUP($K737&amp;"",IOT!$B$3:$B$1012&amp;"",IOT!$H$3:$H$1012,""),"Server",_xlfn.XLOOKUP($K737&amp;"",SERVER!$B$3:$B$1009&amp;"",SERVER!$H$3:$H$1009,""),""),IF(TRIM(_xlpm.srcCat)&lt;&gt;TRIM($J737),"",_xlfn.SWITCH($I737,"Computer",_xlfn.XLOOKUP($K737&amp;"",COMPUTER!$B$3:$B$1009&amp;"",COMPUTER!$AM$3:$AM$1009,""),"Display",_xlfn.XLOOKUP($K737&amp;"",DISPLAY!$B$3:$B$1000&amp;"",DISPLAY!$V$3:$V$1000,""),"Network Device",_xlfn.XLOOKUP($K737&amp;"",'NETWORK-DEVICES'!$B$3:$B$987&amp;"",'NETWORK-DEVICES'!$AF$3:$AF$987,""),"Peripheral",_xlfn.XLOOKUP($K737&amp;"",PERIPHERAL!$B$3:$B$954&amp;"",PERIPHERAL!$Y$3:$Y$954,""),"Utilities",_xlfn.XLOOKUP($K737&amp;"",UTILITIES!$B$3:$B$953&amp;"",UTILITIES!$O$3:$O$953,""),"IOT",_xlfn.XLOOKUP($K737&amp;"",IOT!$B$3:$B$1012&amp;"",IOT!$AB$3:$AB$1012,""),"Server",_xlfn.XLOOKUP($K737&amp;"",SERVER!$B$3:$B$1009&amp;"",SERVER!$AB$3:$AB$1009,""),""))))</f>
        <v/>
      </c>
      <c r="R737" s="43" t="str">
        <f>IF(tbl_handover[[#This Row],[Asset Code]]="","",COUNTIF(tbl_handover[Asset Code],tbl_handover[[#This Row],[Asset Code]]))</f>
        <v/>
      </c>
    </row>
    <row r="738" spans="1:18" x14ac:dyDescent="0.25">
      <c r="A738" s="43" t="str">
        <f>IF(B738&lt;&gt;"",SUBTOTAL(3,$B$1:B737),"")</f>
        <v/>
      </c>
      <c r="C738" s="74"/>
      <c r="D738" s="74"/>
      <c r="G738" s="1"/>
      <c r="K738" s="42"/>
      <c r="L738" t="str" cm="1">
        <f t="array" ref="L738">IF($K738="","",_xlfn.SWITCH($I738,"Computer",_xlfn.XLOOKUP($K738&amp;"",COMPUTER!$B$3:$B$1009&amp;"",COMPUTER!$I$3:$I$1009,""),"Display",_xlfn.XLOOKUP($K738&amp;"",DISPLAY!$B$3:$B$1000&amp;"",DISPLAY!$J$3:$J$1000,""),"Network Device",_xlfn.XLOOKUP($K738&amp;"",'NETWORK-DEVICES'!$B$3:$B$987&amp;"",'NETWORK-DEVICES'!$I$3:$I$987,""),"Peripheral",_xlfn.XLOOKUP($K738&amp;"",PERIPHERAL!$B$3:$B$954&amp;"",PERIPHERAL!$I$3:$I$954,""),"Utilities",_xlfn.XLOOKUP($K738&amp;"",UTILITIES!$B$3:$B$953&amp;"",UTILITIES!$H$3:$H$953,""),"IOT",_xlfn.XLOOKUP($K738&amp;"",IOT!$B$3:$B$1012&amp;"",IOT!$I$3:$I$1012,""),"SERVER",_xlfn.XLOOKUP($K738&amp;"",SERVER!$B$3:$B$1009&amp;"",SERVER!$I$3:$I$1009,""),""))</f>
        <v/>
      </c>
      <c r="M738" t="str" cm="1">
        <f t="array" ref="M738">IF($K738="","",_xlfn.SWITCH($I738,"Computer",_xlfn.XLOOKUP($K738&amp;"",COMPUTER!$B$3:$B$1009&amp;"",COMPUTER!$J$3:$J$1009,""),"Display",_xlfn.XLOOKUP($K738&amp;"",DISPLAY!$B$3:$B$1000&amp;"",DISPLAY!$K$3:$K$1000,""),"Network Device",_xlfn.XLOOKUP($K738&amp;"",'NETWORK-DEVICES'!$B$3:$B$987&amp;"",'NETWORK-DEVICES'!$I$3:$I$987,""),"Peripheral",_xlfn.XLOOKUP($K738&amp;"",PERIPHERAL!$B$3:$B$954&amp;"",PERIPHERAL!$J$3:$J$954,""),"Utilities",_xlfn.XLOOKUP($K738&amp;"",UTILITIES!$B$3:$B$953&amp;"",UTILITIES!$I$3:$I$953,""),"IOT",_xlfn.XLOOKUP($K738&amp;"",IOT!$B$3:$B$1012&amp;"",IOT!$J$3:$J$1012,""),"Server",_xlfn.XLOOKUP($K738&amp;"",SERVER!$B$3:$B$1009&amp;"",SERVER!$J$3:$J$1009,""),""))</f>
        <v/>
      </c>
      <c r="N738" s="1" t="str" cm="1">
        <f t="array" ref="N738">IF(OR($K738="",$I738="",$J738=""),"",_xlfn.LET(_xlpm.srcCat,_xlfn.SWITCH($I738,"Computer",_xlfn.XLOOKUP($K738&amp;"",COMPUTER!$B$3:$B$1009&amp;"",COMPUTER!$H$3:$H$1009,""),"Display",_xlfn.XLOOKUP($K738&amp;"",DISPLAY!$B$3:$B$1000&amp;"",DISPLAY!$H$3:$H$1000,""),"Network Device",_xlfn.XLOOKUP($K738&amp;"",'NETWORK-DEVICES'!$B$3:$B$987&amp;"",'NETWORK-DEVICES'!$H$3:$H$987,""),"Peripheral",_xlfn.XLOOKUP($K738&amp;"",PERIPHERAL!$B$3:$B$954&amp;"",PERIPHERAL!$H$3:$H$954,""),"Utilities",_xlfn.XLOOKUP($K738&amp;"",UTILITIES!$B$3:$B$953&amp;"",UTILITIES!$G$3:$G$953,""),"IOT",_xlfn.XLOOKUP($K738&amp;"",IOT!$B$3:$B$1012&amp;"",IOT!$H$3:$H$1012,""),"Server",_xlfn.XLOOKUP($K738&amp;"",SERVER!$B$3:$B$1009&amp;"",SERVER!$H$3:$H$1009,""),""),IF(TRIM(_xlpm.srcCat)&lt;&gt;TRIM($J738),"",_xlfn.SWITCH($I738,"Computer",_xlfn.XLOOKUP($K738&amp;"",COMPUTER!$B$3:$B$1009&amp;"",COMPUTER!$K$3:$K$1009,""),"Display",_xlfn.XLOOKUP($K738&amp;"",DISPLAY!$B$3:$B$1000&amp;"",DISPLAY!$L$3:$L$1000,""),"Network Device",_xlfn.XLOOKUP($K738&amp;"",'NETWORK-DEVICES'!$B$3:$B$987&amp;"",'NETWORK-DEVICES'!$K$3:$K$987,""),"Peripheral",_xlfn.XLOOKUP($K738&amp;"",PERIPHERAL!$B$3:$B$954&amp;"",PERIPHERAL!$K$3:$K$954,""),"Utilities",_xlfn.XLOOKUP($K738&amp;"",UTILITIES!$B$3:$B$953&amp;"",UTILITIES!$J$3:$J$953,""),"IOT",_xlfn.XLOOKUP($K738&amp;"",IOT!$B$3:$B$1012&amp;"",IOT!$K$4:$K$1012,""),"Server",_xlfn.XLOOKUP($K738&amp;"",SERVER!$B$3:$B$1009&amp;"",SERVER!$K$3:$K$1009,""),""))))</f>
        <v/>
      </c>
      <c r="O738" s="1" t="str" cm="1">
        <f t="array" ref="O738">IF(OR($K738="",$I738="",$J738=""),"",_xlfn.LET(_xlpm.srcCat,_xlfn.SWITCH($I738,"Computer",_xlfn.XLOOKUP($K738&amp;"",COMPUTER!$B$3:$B$1009&amp;"",COMPUTER!$H$3:$H$1009,""),"Display",_xlfn.XLOOKUP($K738&amp;"",DISPLAY!$B$3:$B$1000&amp;"",DISPLAY!$H$3:$H$1000,""),"Network Device",_xlfn.XLOOKUP($K738&amp;"",'NETWORK-DEVICES'!$B$3:$B$987&amp;"",'NETWORK-DEVICES'!$H$3:$H$987,""),"Peripheral",_xlfn.XLOOKUP($K738&amp;"",PERIPHERAL!$B$3:$B$954&amp;"",PERIPHERAL!$H$3:$H$954,""),"Utilities",_xlfn.XLOOKUP($K738&amp;"",UTILITIES!$B$3:$B$953&amp;"",UTILITIES!$G$3:$G$953,""),"IOT",_xlfn.XLOOKUP($K738&amp;"",IOT!$B$3:$B$1012&amp;"",IOT!$H$3:$H$1012,""),"Server",_xlfn.XLOOKUP($K738&amp;"",SERVER!$B$3:$B$1009&amp;"",SERVER!$H$3:$H$1009,""),""),IF(TRIM(_xlpm.srcCat)&lt;&gt;TRIM($J738),"",_xlfn.SWITCH($I738,"Computer",_xlfn.XLOOKUP($K738&amp;"",COMPUTER!$B$3:$B$1009&amp;"",COMPUTER!$E$3:$E$1009,""),"Display",_xlfn.XLOOKUP($K738&amp;"",DISPLAY!$B$3:$B$1000&amp;"",DISPLAY!$E$3:$E$1000,""),"Network Device",_xlfn.XLOOKUP($K738&amp;"",'NETWORK-DEVICES'!$B$3:$B$987&amp;"",'NETWORK-DEVICES'!$E$3:$E$987,""),"Peripheral",_xlfn.XLOOKUP($K738&amp;"",PERIPHERAL!$B$3:$B$954&amp;"",PERIPHERAL!$E$3:$E$954,""),"Utilities",_xlfn.XLOOKUP($K738&amp;"",UTILITIES!$B$3:$B$953&amp;"",UTILITIES!$E$3:$E$953,""),"IOT",_xlfn.XLOOKUP($K738&amp;"",IOT!$B$3:$B$1012&amp;"",IOT!$E$3:$E$1012,""),"Server",_xlfn.XLOOKUP($K738&amp;"",SERVER!$B$3:$B$1009&amp;"",SERVER!$E$3:$E$1009,""),""))))</f>
        <v/>
      </c>
      <c r="Q738" s="1" t="str" cm="1">
        <f t="array" ref="Q738">IF(OR($K738="",$I738="",$J738=""),"",_xlfn.LET(_xlpm.srcCat,_xlfn.SWITCH($I738,"Computer",_xlfn.XLOOKUP($K738&amp;"",COMPUTER!$B$3:$B$1009&amp;"",COMPUTER!$H$3:$H$1009,""),"Display",_xlfn.XLOOKUP($K738&amp;"",DISPLAY!$B$3:$B$1000&amp;"",DISPLAY!$H$3:$H$1000,""),"Network Device",_xlfn.XLOOKUP($K738&amp;"",'NETWORK-DEVICES'!$B$3:$B$987&amp;"",'NETWORK-DEVICES'!$H$3:$H$987,""),"Peripheral",_xlfn.XLOOKUP($K738&amp;"",PERIPHERAL!$B$3:$B$954&amp;"",PERIPHERAL!$H$3:$H$954,""),"Utilities",_xlfn.XLOOKUP($K738&amp;"",UTILITIES!$B$3:$B$953&amp;"",UTILITIES!$G$3:$G$953,""),"IOT",_xlfn.XLOOKUP($K738&amp;"",IOT!$B$3:$B$1012&amp;"",IOT!$H$3:$H$1012,""),"Server",_xlfn.XLOOKUP($K738&amp;"",SERVER!$B$3:$B$1009&amp;"",SERVER!$H$3:$H$1009,""),""),IF(TRIM(_xlpm.srcCat)&lt;&gt;TRIM($J738),"",_xlfn.SWITCH($I738,"Computer",_xlfn.XLOOKUP($K738&amp;"",COMPUTER!$B$3:$B$1009&amp;"",COMPUTER!$AM$3:$AM$1009,""),"Display",_xlfn.XLOOKUP($K738&amp;"",DISPLAY!$B$3:$B$1000&amp;"",DISPLAY!$V$3:$V$1000,""),"Network Device",_xlfn.XLOOKUP($K738&amp;"",'NETWORK-DEVICES'!$B$3:$B$987&amp;"",'NETWORK-DEVICES'!$AF$3:$AF$987,""),"Peripheral",_xlfn.XLOOKUP($K738&amp;"",PERIPHERAL!$B$3:$B$954&amp;"",PERIPHERAL!$Y$3:$Y$954,""),"Utilities",_xlfn.XLOOKUP($K738&amp;"",UTILITIES!$B$3:$B$953&amp;"",UTILITIES!$O$3:$O$953,""),"IOT",_xlfn.XLOOKUP($K738&amp;"",IOT!$B$3:$B$1012&amp;"",IOT!$AB$3:$AB$1012,""),"Server",_xlfn.XLOOKUP($K738&amp;"",SERVER!$B$3:$B$1009&amp;"",SERVER!$AB$3:$AB$1009,""),""))))</f>
        <v/>
      </c>
      <c r="R738" s="43" t="str">
        <f>IF(tbl_handover[[#This Row],[Asset Code]]="","",COUNTIF(tbl_handover[Asset Code],tbl_handover[[#This Row],[Asset Code]]))</f>
        <v/>
      </c>
    </row>
    <row r="739" spans="1:18" x14ac:dyDescent="0.25">
      <c r="A739" s="43" t="str">
        <f>IF(B739&lt;&gt;"",SUBTOTAL(3,$B$1:B738),"")</f>
        <v/>
      </c>
      <c r="C739" s="74"/>
      <c r="D739" s="74"/>
      <c r="G739" s="1"/>
      <c r="K739" s="42"/>
      <c r="L739" t="str" cm="1">
        <f t="array" ref="L739">IF($K739="","",_xlfn.SWITCH($I739,"Computer",_xlfn.XLOOKUP($K739&amp;"",COMPUTER!$B$3:$B$1009&amp;"",COMPUTER!$I$3:$I$1009,""),"Display",_xlfn.XLOOKUP($K739&amp;"",DISPLAY!$B$3:$B$1000&amp;"",DISPLAY!$J$3:$J$1000,""),"Network Device",_xlfn.XLOOKUP($K739&amp;"",'NETWORK-DEVICES'!$B$3:$B$987&amp;"",'NETWORK-DEVICES'!$I$3:$I$987,""),"Peripheral",_xlfn.XLOOKUP($K739&amp;"",PERIPHERAL!$B$3:$B$954&amp;"",PERIPHERAL!$I$3:$I$954,""),"Utilities",_xlfn.XLOOKUP($K739&amp;"",UTILITIES!$B$3:$B$953&amp;"",UTILITIES!$H$3:$H$953,""),"IOT",_xlfn.XLOOKUP($K739&amp;"",IOT!$B$3:$B$1012&amp;"",IOT!$I$3:$I$1012,""),"SERVER",_xlfn.XLOOKUP($K739&amp;"",SERVER!$B$3:$B$1009&amp;"",SERVER!$I$3:$I$1009,""),""))</f>
        <v/>
      </c>
      <c r="M739" t="str" cm="1">
        <f t="array" ref="M739">IF($K739="","",_xlfn.SWITCH($I739,"Computer",_xlfn.XLOOKUP($K739&amp;"",COMPUTER!$B$3:$B$1009&amp;"",COMPUTER!$J$3:$J$1009,""),"Display",_xlfn.XLOOKUP($K739&amp;"",DISPLAY!$B$3:$B$1000&amp;"",DISPLAY!$K$3:$K$1000,""),"Network Device",_xlfn.XLOOKUP($K739&amp;"",'NETWORK-DEVICES'!$B$3:$B$987&amp;"",'NETWORK-DEVICES'!$I$3:$I$987,""),"Peripheral",_xlfn.XLOOKUP($K739&amp;"",PERIPHERAL!$B$3:$B$954&amp;"",PERIPHERAL!$J$3:$J$954,""),"Utilities",_xlfn.XLOOKUP($K739&amp;"",UTILITIES!$B$3:$B$953&amp;"",UTILITIES!$I$3:$I$953,""),"IOT",_xlfn.XLOOKUP($K739&amp;"",IOT!$B$3:$B$1012&amp;"",IOT!$J$3:$J$1012,""),"Server",_xlfn.XLOOKUP($K739&amp;"",SERVER!$B$3:$B$1009&amp;"",SERVER!$J$3:$J$1009,""),""))</f>
        <v/>
      </c>
      <c r="N739" s="1" t="str" cm="1">
        <f t="array" ref="N739">IF(OR($K739="",$I739="",$J739=""),"",_xlfn.LET(_xlpm.srcCat,_xlfn.SWITCH($I739,"Computer",_xlfn.XLOOKUP($K739&amp;"",COMPUTER!$B$3:$B$1009&amp;"",COMPUTER!$H$3:$H$1009,""),"Display",_xlfn.XLOOKUP($K739&amp;"",DISPLAY!$B$3:$B$1000&amp;"",DISPLAY!$H$3:$H$1000,""),"Network Device",_xlfn.XLOOKUP($K739&amp;"",'NETWORK-DEVICES'!$B$3:$B$987&amp;"",'NETWORK-DEVICES'!$H$3:$H$987,""),"Peripheral",_xlfn.XLOOKUP($K739&amp;"",PERIPHERAL!$B$3:$B$954&amp;"",PERIPHERAL!$H$3:$H$954,""),"Utilities",_xlfn.XLOOKUP($K739&amp;"",UTILITIES!$B$3:$B$953&amp;"",UTILITIES!$G$3:$G$953,""),"IOT",_xlfn.XLOOKUP($K739&amp;"",IOT!$B$3:$B$1012&amp;"",IOT!$H$3:$H$1012,""),"Server",_xlfn.XLOOKUP($K739&amp;"",SERVER!$B$3:$B$1009&amp;"",SERVER!$H$3:$H$1009,""),""),IF(TRIM(_xlpm.srcCat)&lt;&gt;TRIM($J739),"",_xlfn.SWITCH($I739,"Computer",_xlfn.XLOOKUP($K739&amp;"",COMPUTER!$B$3:$B$1009&amp;"",COMPUTER!$K$3:$K$1009,""),"Display",_xlfn.XLOOKUP($K739&amp;"",DISPLAY!$B$3:$B$1000&amp;"",DISPLAY!$L$3:$L$1000,""),"Network Device",_xlfn.XLOOKUP($K739&amp;"",'NETWORK-DEVICES'!$B$3:$B$987&amp;"",'NETWORK-DEVICES'!$K$3:$K$987,""),"Peripheral",_xlfn.XLOOKUP($K739&amp;"",PERIPHERAL!$B$3:$B$954&amp;"",PERIPHERAL!$K$3:$K$954,""),"Utilities",_xlfn.XLOOKUP($K739&amp;"",UTILITIES!$B$3:$B$953&amp;"",UTILITIES!$J$3:$J$953,""),"IOT",_xlfn.XLOOKUP($K739&amp;"",IOT!$B$3:$B$1012&amp;"",IOT!$K$4:$K$1012,""),"Server",_xlfn.XLOOKUP($K739&amp;"",SERVER!$B$3:$B$1009&amp;"",SERVER!$K$3:$K$1009,""),""))))</f>
        <v/>
      </c>
      <c r="O739" s="1" t="str" cm="1">
        <f t="array" ref="O739">IF(OR($K739="",$I739="",$J739=""),"",_xlfn.LET(_xlpm.srcCat,_xlfn.SWITCH($I739,"Computer",_xlfn.XLOOKUP($K739&amp;"",COMPUTER!$B$3:$B$1009&amp;"",COMPUTER!$H$3:$H$1009,""),"Display",_xlfn.XLOOKUP($K739&amp;"",DISPLAY!$B$3:$B$1000&amp;"",DISPLAY!$H$3:$H$1000,""),"Network Device",_xlfn.XLOOKUP($K739&amp;"",'NETWORK-DEVICES'!$B$3:$B$987&amp;"",'NETWORK-DEVICES'!$H$3:$H$987,""),"Peripheral",_xlfn.XLOOKUP($K739&amp;"",PERIPHERAL!$B$3:$B$954&amp;"",PERIPHERAL!$H$3:$H$954,""),"Utilities",_xlfn.XLOOKUP($K739&amp;"",UTILITIES!$B$3:$B$953&amp;"",UTILITIES!$G$3:$G$953,""),"IOT",_xlfn.XLOOKUP($K739&amp;"",IOT!$B$3:$B$1012&amp;"",IOT!$H$3:$H$1012,""),"Server",_xlfn.XLOOKUP($K739&amp;"",SERVER!$B$3:$B$1009&amp;"",SERVER!$H$3:$H$1009,""),""),IF(TRIM(_xlpm.srcCat)&lt;&gt;TRIM($J739),"",_xlfn.SWITCH($I739,"Computer",_xlfn.XLOOKUP($K739&amp;"",COMPUTER!$B$3:$B$1009&amp;"",COMPUTER!$E$3:$E$1009,""),"Display",_xlfn.XLOOKUP($K739&amp;"",DISPLAY!$B$3:$B$1000&amp;"",DISPLAY!$E$3:$E$1000,""),"Network Device",_xlfn.XLOOKUP($K739&amp;"",'NETWORK-DEVICES'!$B$3:$B$987&amp;"",'NETWORK-DEVICES'!$E$3:$E$987,""),"Peripheral",_xlfn.XLOOKUP($K739&amp;"",PERIPHERAL!$B$3:$B$954&amp;"",PERIPHERAL!$E$3:$E$954,""),"Utilities",_xlfn.XLOOKUP($K739&amp;"",UTILITIES!$B$3:$B$953&amp;"",UTILITIES!$E$3:$E$953,""),"IOT",_xlfn.XLOOKUP($K739&amp;"",IOT!$B$3:$B$1012&amp;"",IOT!$E$3:$E$1012,""),"Server",_xlfn.XLOOKUP($K739&amp;"",SERVER!$B$3:$B$1009&amp;"",SERVER!$E$3:$E$1009,""),""))))</f>
        <v/>
      </c>
      <c r="Q739" s="1" t="str" cm="1">
        <f t="array" ref="Q739">IF(OR($K739="",$I739="",$J739=""),"",_xlfn.LET(_xlpm.srcCat,_xlfn.SWITCH($I739,"Computer",_xlfn.XLOOKUP($K739&amp;"",COMPUTER!$B$3:$B$1009&amp;"",COMPUTER!$H$3:$H$1009,""),"Display",_xlfn.XLOOKUP($K739&amp;"",DISPLAY!$B$3:$B$1000&amp;"",DISPLAY!$H$3:$H$1000,""),"Network Device",_xlfn.XLOOKUP($K739&amp;"",'NETWORK-DEVICES'!$B$3:$B$987&amp;"",'NETWORK-DEVICES'!$H$3:$H$987,""),"Peripheral",_xlfn.XLOOKUP($K739&amp;"",PERIPHERAL!$B$3:$B$954&amp;"",PERIPHERAL!$H$3:$H$954,""),"Utilities",_xlfn.XLOOKUP($K739&amp;"",UTILITIES!$B$3:$B$953&amp;"",UTILITIES!$G$3:$G$953,""),"IOT",_xlfn.XLOOKUP($K739&amp;"",IOT!$B$3:$B$1012&amp;"",IOT!$H$3:$H$1012,""),"Server",_xlfn.XLOOKUP($K739&amp;"",SERVER!$B$3:$B$1009&amp;"",SERVER!$H$3:$H$1009,""),""),IF(TRIM(_xlpm.srcCat)&lt;&gt;TRIM($J739),"",_xlfn.SWITCH($I739,"Computer",_xlfn.XLOOKUP($K739&amp;"",COMPUTER!$B$3:$B$1009&amp;"",COMPUTER!$AM$3:$AM$1009,""),"Display",_xlfn.XLOOKUP($K739&amp;"",DISPLAY!$B$3:$B$1000&amp;"",DISPLAY!$V$3:$V$1000,""),"Network Device",_xlfn.XLOOKUP($K739&amp;"",'NETWORK-DEVICES'!$B$3:$B$987&amp;"",'NETWORK-DEVICES'!$AF$3:$AF$987,""),"Peripheral",_xlfn.XLOOKUP($K739&amp;"",PERIPHERAL!$B$3:$B$954&amp;"",PERIPHERAL!$Y$3:$Y$954,""),"Utilities",_xlfn.XLOOKUP($K739&amp;"",UTILITIES!$B$3:$B$953&amp;"",UTILITIES!$O$3:$O$953,""),"IOT",_xlfn.XLOOKUP($K739&amp;"",IOT!$B$3:$B$1012&amp;"",IOT!$AB$3:$AB$1012,""),"Server",_xlfn.XLOOKUP($K739&amp;"",SERVER!$B$3:$B$1009&amp;"",SERVER!$AB$3:$AB$1009,""),""))))</f>
        <v/>
      </c>
      <c r="R739" s="43" t="str">
        <f>IF(tbl_handover[[#This Row],[Asset Code]]="","",COUNTIF(tbl_handover[Asset Code],tbl_handover[[#This Row],[Asset Code]]))</f>
        <v/>
      </c>
    </row>
    <row r="740" spans="1:18" x14ac:dyDescent="0.25">
      <c r="A740" s="43" t="str">
        <f>IF(B740&lt;&gt;"",SUBTOTAL(3,$B$1:B739),"")</f>
        <v/>
      </c>
      <c r="C740" s="74"/>
      <c r="D740" s="74"/>
      <c r="G740" s="1"/>
      <c r="K740" s="42"/>
      <c r="L740" t="str" cm="1">
        <f t="array" ref="L740">IF($K740="","",_xlfn.SWITCH($I740,"Computer",_xlfn.XLOOKUP($K740&amp;"",COMPUTER!$B$3:$B$1009&amp;"",COMPUTER!$I$3:$I$1009,""),"Display",_xlfn.XLOOKUP($K740&amp;"",DISPLAY!$B$3:$B$1000&amp;"",DISPLAY!$J$3:$J$1000,""),"Network Device",_xlfn.XLOOKUP($K740&amp;"",'NETWORK-DEVICES'!$B$3:$B$987&amp;"",'NETWORK-DEVICES'!$I$3:$I$987,""),"Peripheral",_xlfn.XLOOKUP($K740&amp;"",PERIPHERAL!$B$3:$B$954&amp;"",PERIPHERAL!$I$3:$I$954,""),"Utilities",_xlfn.XLOOKUP($K740&amp;"",UTILITIES!$B$3:$B$953&amp;"",UTILITIES!$H$3:$H$953,""),"IOT",_xlfn.XLOOKUP($K740&amp;"",IOT!$B$3:$B$1012&amp;"",IOT!$I$3:$I$1012,""),"SERVER",_xlfn.XLOOKUP($K740&amp;"",SERVER!$B$3:$B$1009&amp;"",SERVER!$I$3:$I$1009,""),""))</f>
        <v/>
      </c>
      <c r="M740" t="str" cm="1">
        <f t="array" ref="M740">IF($K740="","",_xlfn.SWITCH($I740,"Computer",_xlfn.XLOOKUP($K740&amp;"",COMPUTER!$B$3:$B$1009&amp;"",COMPUTER!$J$3:$J$1009,""),"Display",_xlfn.XLOOKUP($K740&amp;"",DISPLAY!$B$3:$B$1000&amp;"",DISPLAY!$K$3:$K$1000,""),"Network Device",_xlfn.XLOOKUP($K740&amp;"",'NETWORK-DEVICES'!$B$3:$B$987&amp;"",'NETWORK-DEVICES'!$I$3:$I$987,""),"Peripheral",_xlfn.XLOOKUP($K740&amp;"",PERIPHERAL!$B$3:$B$954&amp;"",PERIPHERAL!$J$3:$J$954,""),"Utilities",_xlfn.XLOOKUP($K740&amp;"",UTILITIES!$B$3:$B$953&amp;"",UTILITIES!$I$3:$I$953,""),"IOT",_xlfn.XLOOKUP($K740&amp;"",IOT!$B$3:$B$1012&amp;"",IOT!$J$3:$J$1012,""),"Server",_xlfn.XLOOKUP($K740&amp;"",SERVER!$B$3:$B$1009&amp;"",SERVER!$J$3:$J$1009,""),""))</f>
        <v/>
      </c>
      <c r="N740" s="1" t="str" cm="1">
        <f t="array" ref="N740">IF(OR($K740="",$I740="",$J740=""),"",_xlfn.LET(_xlpm.srcCat,_xlfn.SWITCH($I740,"Computer",_xlfn.XLOOKUP($K740&amp;"",COMPUTER!$B$3:$B$1009&amp;"",COMPUTER!$H$3:$H$1009,""),"Display",_xlfn.XLOOKUP($K740&amp;"",DISPLAY!$B$3:$B$1000&amp;"",DISPLAY!$H$3:$H$1000,""),"Network Device",_xlfn.XLOOKUP($K740&amp;"",'NETWORK-DEVICES'!$B$3:$B$987&amp;"",'NETWORK-DEVICES'!$H$3:$H$987,""),"Peripheral",_xlfn.XLOOKUP($K740&amp;"",PERIPHERAL!$B$3:$B$954&amp;"",PERIPHERAL!$H$3:$H$954,""),"Utilities",_xlfn.XLOOKUP($K740&amp;"",UTILITIES!$B$3:$B$953&amp;"",UTILITIES!$G$3:$G$953,""),"IOT",_xlfn.XLOOKUP($K740&amp;"",IOT!$B$3:$B$1012&amp;"",IOT!$H$3:$H$1012,""),"Server",_xlfn.XLOOKUP($K740&amp;"",SERVER!$B$3:$B$1009&amp;"",SERVER!$H$3:$H$1009,""),""),IF(TRIM(_xlpm.srcCat)&lt;&gt;TRIM($J740),"",_xlfn.SWITCH($I740,"Computer",_xlfn.XLOOKUP($K740&amp;"",COMPUTER!$B$3:$B$1009&amp;"",COMPUTER!$K$3:$K$1009,""),"Display",_xlfn.XLOOKUP($K740&amp;"",DISPLAY!$B$3:$B$1000&amp;"",DISPLAY!$L$3:$L$1000,""),"Network Device",_xlfn.XLOOKUP($K740&amp;"",'NETWORK-DEVICES'!$B$3:$B$987&amp;"",'NETWORK-DEVICES'!$K$3:$K$987,""),"Peripheral",_xlfn.XLOOKUP($K740&amp;"",PERIPHERAL!$B$3:$B$954&amp;"",PERIPHERAL!$K$3:$K$954,""),"Utilities",_xlfn.XLOOKUP($K740&amp;"",UTILITIES!$B$3:$B$953&amp;"",UTILITIES!$J$3:$J$953,""),"IOT",_xlfn.XLOOKUP($K740&amp;"",IOT!$B$3:$B$1012&amp;"",IOT!$K$4:$K$1012,""),"Server",_xlfn.XLOOKUP($K740&amp;"",SERVER!$B$3:$B$1009&amp;"",SERVER!$K$3:$K$1009,""),""))))</f>
        <v/>
      </c>
      <c r="O740" s="1" t="str" cm="1">
        <f t="array" ref="O740">IF(OR($K740="",$I740="",$J740=""),"",_xlfn.LET(_xlpm.srcCat,_xlfn.SWITCH($I740,"Computer",_xlfn.XLOOKUP($K740&amp;"",COMPUTER!$B$3:$B$1009&amp;"",COMPUTER!$H$3:$H$1009,""),"Display",_xlfn.XLOOKUP($K740&amp;"",DISPLAY!$B$3:$B$1000&amp;"",DISPLAY!$H$3:$H$1000,""),"Network Device",_xlfn.XLOOKUP($K740&amp;"",'NETWORK-DEVICES'!$B$3:$B$987&amp;"",'NETWORK-DEVICES'!$H$3:$H$987,""),"Peripheral",_xlfn.XLOOKUP($K740&amp;"",PERIPHERAL!$B$3:$B$954&amp;"",PERIPHERAL!$H$3:$H$954,""),"Utilities",_xlfn.XLOOKUP($K740&amp;"",UTILITIES!$B$3:$B$953&amp;"",UTILITIES!$G$3:$G$953,""),"IOT",_xlfn.XLOOKUP($K740&amp;"",IOT!$B$3:$B$1012&amp;"",IOT!$H$3:$H$1012,""),"Server",_xlfn.XLOOKUP($K740&amp;"",SERVER!$B$3:$B$1009&amp;"",SERVER!$H$3:$H$1009,""),""),IF(TRIM(_xlpm.srcCat)&lt;&gt;TRIM($J740),"",_xlfn.SWITCH($I740,"Computer",_xlfn.XLOOKUP($K740&amp;"",COMPUTER!$B$3:$B$1009&amp;"",COMPUTER!$E$3:$E$1009,""),"Display",_xlfn.XLOOKUP($K740&amp;"",DISPLAY!$B$3:$B$1000&amp;"",DISPLAY!$E$3:$E$1000,""),"Network Device",_xlfn.XLOOKUP($K740&amp;"",'NETWORK-DEVICES'!$B$3:$B$987&amp;"",'NETWORK-DEVICES'!$E$3:$E$987,""),"Peripheral",_xlfn.XLOOKUP($K740&amp;"",PERIPHERAL!$B$3:$B$954&amp;"",PERIPHERAL!$E$3:$E$954,""),"Utilities",_xlfn.XLOOKUP($K740&amp;"",UTILITIES!$B$3:$B$953&amp;"",UTILITIES!$E$3:$E$953,""),"IOT",_xlfn.XLOOKUP($K740&amp;"",IOT!$B$3:$B$1012&amp;"",IOT!$E$3:$E$1012,""),"Server",_xlfn.XLOOKUP($K740&amp;"",SERVER!$B$3:$B$1009&amp;"",SERVER!$E$3:$E$1009,""),""))))</f>
        <v/>
      </c>
      <c r="Q740" s="1" t="str" cm="1">
        <f t="array" ref="Q740">IF(OR($K740="",$I740="",$J740=""),"",_xlfn.LET(_xlpm.srcCat,_xlfn.SWITCH($I740,"Computer",_xlfn.XLOOKUP($K740&amp;"",COMPUTER!$B$3:$B$1009&amp;"",COMPUTER!$H$3:$H$1009,""),"Display",_xlfn.XLOOKUP($K740&amp;"",DISPLAY!$B$3:$B$1000&amp;"",DISPLAY!$H$3:$H$1000,""),"Network Device",_xlfn.XLOOKUP($K740&amp;"",'NETWORK-DEVICES'!$B$3:$B$987&amp;"",'NETWORK-DEVICES'!$H$3:$H$987,""),"Peripheral",_xlfn.XLOOKUP($K740&amp;"",PERIPHERAL!$B$3:$B$954&amp;"",PERIPHERAL!$H$3:$H$954,""),"Utilities",_xlfn.XLOOKUP($K740&amp;"",UTILITIES!$B$3:$B$953&amp;"",UTILITIES!$G$3:$G$953,""),"IOT",_xlfn.XLOOKUP($K740&amp;"",IOT!$B$3:$B$1012&amp;"",IOT!$H$3:$H$1012,""),"Server",_xlfn.XLOOKUP($K740&amp;"",SERVER!$B$3:$B$1009&amp;"",SERVER!$H$3:$H$1009,""),""),IF(TRIM(_xlpm.srcCat)&lt;&gt;TRIM($J740),"",_xlfn.SWITCH($I740,"Computer",_xlfn.XLOOKUP($K740&amp;"",COMPUTER!$B$3:$B$1009&amp;"",COMPUTER!$AM$3:$AM$1009,""),"Display",_xlfn.XLOOKUP($K740&amp;"",DISPLAY!$B$3:$B$1000&amp;"",DISPLAY!$V$3:$V$1000,""),"Network Device",_xlfn.XLOOKUP($K740&amp;"",'NETWORK-DEVICES'!$B$3:$B$987&amp;"",'NETWORK-DEVICES'!$AF$3:$AF$987,""),"Peripheral",_xlfn.XLOOKUP($K740&amp;"",PERIPHERAL!$B$3:$B$954&amp;"",PERIPHERAL!$Y$3:$Y$954,""),"Utilities",_xlfn.XLOOKUP($K740&amp;"",UTILITIES!$B$3:$B$953&amp;"",UTILITIES!$O$3:$O$953,""),"IOT",_xlfn.XLOOKUP($K740&amp;"",IOT!$B$3:$B$1012&amp;"",IOT!$AB$3:$AB$1012,""),"Server",_xlfn.XLOOKUP($K740&amp;"",SERVER!$B$3:$B$1009&amp;"",SERVER!$AB$3:$AB$1009,""),""))))</f>
        <v/>
      </c>
      <c r="R740" s="43" t="str">
        <f>IF(tbl_handover[[#This Row],[Asset Code]]="","",COUNTIF(tbl_handover[Asset Code],tbl_handover[[#This Row],[Asset Code]]))</f>
        <v/>
      </c>
    </row>
    <row r="741" spans="1:18" x14ac:dyDescent="0.25">
      <c r="A741" s="43" t="str">
        <f>IF(B741&lt;&gt;"",SUBTOTAL(3,$B$1:B740),"")</f>
        <v/>
      </c>
      <c r="C741" s="74"/>
      <c r="D741" s="74"/>
      <c r="G741" s="1"/>
      <c r="K741" s="42"/>
      <c r="L741" t="str" cm="1">
        <f t="array" ref="L741">IF($K741="","",_xlfn.SWITCH($I741,"Computer",_xlfn.XLOOKUP($K741&amp;"",COMPUTER!$B$3:$B$1009&amp;"",COMPUTER!$I$3:$I$1009,""),"Display",_xlfn.XLOOKUP($K741&amp;"",DISPLAY!$B$3:$B$1000&amp;"",DISPLAY!$J$3:$J$1000,""),"Network Device",_xlfn.XLOOKUP($K741&amp;"",'NETWORK-DEVICES'!$B$3:$B$987&amp;"",'NETWORK-DEVICES'!$I$3:$I$987,""),"Peripheral",_xlfn.XLOOKUP($K741&amp;"",PERIPHERAL!$B$3:$B$954&amp;"",PERIPHERAL!$I$3:$I$954,""),"Utilities",_xlfn.XLOOKUP($K741&amp;"",UTILITIES!$B$3:$B$953&amp;"",UTILITIES!$H$3:$H$953,""),"IOT",_xlfn.XLOOKUP($K741&amp;"",IOT!$B$3:$B$1012&amp;"",IOT!$I$3:$I$1012,""),"SERVER",_xlfn.XLOOKUP($K741&amp;"",SERVER!$B$3:$B$1009&amp;"",SERVER!$I$3:$I$1009,""),""))</f>
        <v/>
      </c>
      <c r="M741" t="str" cm="1">
        <f t="array" ref="M741">IF($K741="","",_xlfn.SWITCH($I741,"Computer",_xlfn.XLOOKUP($K741&amp;"",COMPUTER!$B$3:$B$1009&amp;"",COMPUTER!$J$3:$J$1009,""),"Display",_xlfn.XLOOKUP($K741&amp;"",DISPLAY!$B$3:$B$1000&amp;"",DISPLAY!$K$3:$K$1000,""),"Network Device",_xlfn.XLOOKUP($K741&amp;"",'NETWORK-DEVICES'!$B$3:$B$987&amp;"",'NETWORK-DEVICES'!$I$3:$I$987,""),"Peripheral",_xlfn.XLOOKUP($K741&amp;"",PERIPHERAL!$B$3:$B$954&amp;"",PERIPHERAL!$J$3:$J$954,""),"Utilities",_xlfn.XLOOKUP($K741&amp;"",UTILITIES!$B$3:$B$953&amp;"",UTILITIES!$I$3:$I$953,""),"IOT",_xlfn.XLOOKUP($K741&amp;"",IOT!$B$3:$B$1012&amp;"",IOT!$J$3:$J$1012,""),"Server",_xlfn.XLOOKUP($K741&amp;"",SERVER!$B$3:$B$1009&amp;"",SERVER!$J$3:$J$1009,""),""))</f>
        <v/>
      </c>
      <c r="N741" s="1" t="str" cm="1">
        <f t="array" ref="N741">IF(OR($K741="",$I741="",$J741=""),"",_xlfn.LET(_xlpm.srcCat,_xlfn.SWITCH($I741,"Computer",_xlfn.XLOOKUP($K741&amp;"",COMPUTER!$B$3:$B$1009&amp;"",COMPUTER!$H$3:$H$1009,""),"Display",_xlfn.XLOOKUP($K741&amp;"",DISPLAY!$B$3:$B$1000&amp;"",DISPLAY!$H$3:$H$1000,""),"Network Device",_xlfn.XLOOKUP($K741&amp;"",'NETWORK-DEVICES'!$B$3:$B$987&amp;"",'NETWORK-DEVICES'!$H$3:$H$987,""),"Peripheral",_xlfn.XLOOKUP($K741&amp;"",PERIPHERAL!$B$3:$B$954&amp;"",PERIPHERAL!$H$3:$H$954,""),"Utilities",_xlfn.XLOOKUP($K741&amp;"",UTILITIES!$B$3:$B$953&amp;"",UTILITIES!$G$3:$G$953,""),"IOT",_xlfn.XLOOKUP($K741&amp;"",IOT!$B$3:$B$1012&amp;"",IOT!$H$3:$H$1012,""),"Server",_xlfn.XLOOKUP($K741&amp;"",SERVER!$B$3:$B$1009&amp;"",SERVER!$H$3:$H$1009,""),""),IF(TRIM(_xlpm.srcCat)&lt;&gt;TRIM($J741),"",_xlfn.SWITCH($I741,"Computer",_xlfn.XLOOKUP($K741&amp;"",COMPUTER!$B$3:$B$1009&amp;"",COMPUTER!$K$3:$K$1009,""),"Display",_xlfn.XLOOKUP($K741&amp;"",DISPLAY!$B$3:$B$1000&amp;"",DISPLAY!$L$3:$L$1000,""),"Network Device",_xlfn.XLOOKUP($K741&amp;"",'NETWORK-DEVICES'!$B$3:$B$987&amp;"",'NETWORK-DEVICES'!$K$3:$K$987,""),"Peripheral",_xlfn.XLOOKUP($K741&amp;"",PERIPHERAL!$B$3:$B$954&amp;"",PERIPHERAL!$K$3:$K$954,""),"Utilities",_xlfn.XLOOKUP($K741&amp;"",UTILITIES!$B$3:$B$953&amp;"",UTILITIES!$J$3:$J$953,""),"IOT",_xlfn.XLOOKUP($K741&amp;"",IOT!$B$3:$B$1012&amp;"",IOT!$K$4:$K$1012,""),"Server",_xlfn.XLOOKUP($K741&amp;"",SERVER!$B$3:$B$1009&amp;"",SERVER!$K$3:$K$1009,""),""))))</f>
        <v/>
      </c>
      <c r="O741" s="1" t="str" cm="1">
        <f t="array" ref="O741">IF(OR($K741="",$I741="",$J741=""),"",_xlfn.LET(_xlpm.srcCat,_xlfn.SWITCH($I741,"Computer",_xlfn.XLOOKUP($K741&amp;"",COMPUTER!$B$3:$B$1009&amp;"",COMPUTER!$H$3:$H$1009,""),"Display",_xlfn.XLOOKUP($K741&amp;"",DISPLAY!$B$3:$B$1000&amp;"",DISPLAY!$H$3:$H$1000,""),"Network Device",_xlfn.XLOOKUP($K741&amp;"",'NETWORK-DEVICES'!$B$3:$B$987&amp;"",'NETWORK-DEVICES'!$H$3:$H$987,""),"Peripheral",_xlfn.XLOOKUP($K741&amp;"",PERIPHERAL!$B$3:$B$954&amp;"",PERIPHERAL!$H$3:$H$954,""),"Utilities",_xlfn.XLOOKUP($K741&amp;"",UTILITIES!$B$3:$B$953&amp;"",UTILITIES!$G$3:$G$953,""),"IOT",_xlfn.XLOOKUP($K741&amp;"",IOT!$B$3:$B$1012&amp;"",IOT!$H$3:$H$1012,""),"Server",_xlfn.XLOOKUP($K741&amp;"",SERVER!$B$3:$B$1009&amp;"",SERVER!$H$3:$H$1009,""),""),IF(TRIM(_xlpm.srcCat)&lt;&gt;TRIM($J741),"",_xlfn.SWITCH($I741,"Computer",_xlfn.XLOOKUP($K741&amp;"",COMPUTER!$B$3:$B$1009&amp;"",COMPUTER!$E$3:$E$1009,""),"Display",_xlfn.XLOOKUP($K741&amp;"",DISPLAY!$B$3:$B$1000&amp;"",DISPLAY!$E$3:$E$1000,""),"Network Device",_xlfn.XLOOKUP($K741&amp;"",'NETWORK-DEVICES'!$B$3:$B$987&amp;"",'NETWORK-DEVICES'!$E$3:$E$987,""),"Peripheral",_xlfn.XLOOKUP($K741&amp;"",PERIPHERAL!$B$3:$B$954&amp;"",PERIPHERAL!$E$3:$E$954,""),"Utilities",_xlfn.XLOOKUP($K741&amp;"",UTILITIES!$B$3:$B$953&amp;"",UTILITIES!$E$3:$E$953,""),"IOT",_xlfn.XLOOKUP($K741&amp;"",IOT!$B$3:$B$1012&amp;"",IOT!$E$3:$E$1012,""),"Server",_xlfn.XLOOKUP($K741&amp;"",SERVER!$B$3:$B$1009&amp;"",SERVER!$E$3:$E$1009,""),""))))</f>
        <v/>
      </c>
      <c r="Q741" s="1" t="str" cm="1">
        <f t="array" ref="Q741">IF(OR($K741="",$I741="",$J741=""),"",_xlfn.LET(_xlpm.srcCat,_xlfn.SWITCH($I741,"Computer",_xlfn.XLOOKUP($K741&amp;"",COMPUTER!$B$3:$B$1009&amp;"",COMPUTER!$H$3:$H$1009,""),"Display",_xlfn.XLOOKUP($K741&amp;"",DISPLAY!$B$3:$B$1000&amp;"",DISPLAY!$H$3:$H$1000,""),"Network Device",_xlfn.XLOOKUP($K741&amp;"",'NETWORK-DEVICES'!$B$3:$B$987&amp;"",'NETWORK-DEVICES'!$H$3:$H$987,""),"Peripheral",_xlfn.XLOOKUP($K741&amp;"",PERIPHERAL!$B$3:$B$954&amp;"",PERIPHERAL!$H$3:$H$954,""),"Utilities",_xlfn.XLOOKUP($K741&amp;"",UTILITIES!$B$3:$B$953&amp;"",UTILITIES!$G$3:$G$953,""),"IOT",_xlfn.XLOOKUP($K741&amp;"",IOT!$B$3:$B$1012&amp;"",IOT!$H$3:$H$1012,""),"Server",_xlfn.XLOOKUP($K741&amp;"",SERVER!$B$3:$B$1009&amp;"",SERVER!$H$3:$H$1009,""),""),IF(TRIM(_xlpm.srcCat)&lt;&gt;TRIM($J741),"",_xlfn.SWITCH($I741,"Computer",_xlfn.XLOOKUP($K741&amp;"",COMPUTER!$B$3:$B$1009&amp;"",COMPUTER!$AM$3:$AM$1009,""),"Display",_xlfn.XLOOKUP($K741&amp;"",DISPLAY!$B$3:$B$1000&amp;"",DISPLAY!$V$3:$V$1000,""),"Network Device",_xlfn.XLOOKUP($K741&amp;"",'NETWORK-DEVICES'!$B$3:$B$987&amp;"",'NETWORK-DEVICES'!$AF$3:$AF$987,""),"Peripheral",_xlfn.XLOOKUP($K741&amp;"",PERIPHERAL!$B$3:$B$954&amp;"",PERIPHERAL!$Y$3:$Y$954,""),"Utilities",_xlfn.XLOOKUP($K741&amp;"",UTILITIES!$B$3:$B$953&amp;"",UTILITIES!$O$3:$O$953,""),"IOT",_xlfn.XLOOKUP($K741&amp;"",IOT!$B$3:$B$1012&amp;"",IOT!$AB$3:$AB$1012,""),"Server",_xlfn.XLOOKUP($K741&amp;"",SERVER!$B$3:$B$1009&amp;"",SERVER!$AB$3:$AB$1009,""),""))))</f>
        <v/>
      </c>
      <c r="R741" s="43" t="str">
        <f>IF(tbl_handover[[#This Row],[Asset Code]]="","",COUNTIF(tbl_handover[Asset Code],tbl_handover[[#This Row],[Asset Code]]))</f>
        <v/>
      </c>
    </row>
    <row r="742" spans="1:18" x14ac:dyDescent="0.25">
      <c r="A742" s="43" t="str">
        <f>IF(B742&lt;&gt;"",SUBTOTAL(3,$B$1:B741),"")</f>
        <v/>
      </c>
      <c r="C742" s="74"/>
      <c r="D742" s="74"/>
      <c r="G742" s="1"/>
      <c r="K742" s="42"/>
      <c r="L742" t="str" cm="1">
        <f t="array" ref="L742">IF($K742="","",_xlfn.SWITCH($I742,"Computer",_xlfn.XLOOKUP($K742&amp;"",COMPUTER!$B$3:$B$1009&amp;"",COMPUTER!$I$3:$I$1009,""),"Display",_xlfn.XLOOKUP($K742&amp;"",DISPLAY!$B$3:$B$1000&amp;"",DISPLAY!$J$3:$J$1000,""),"Network Device",_xlfn.XLOOKUP($K742&amp;"",'NETWORK-DEVICES'!$B$3:$B$987&amp;"",'NETWORK-DEVICES'!$I$3:$I$987,""),"Peripheral",_xlfn.XLOOKUP($K742&amp;"",PERIPHERAL!$B$3:$B$954&amp;"",PERIPHERAL!$I$3:$I$954,""),"Utilities",_xlfn.XLOOKUP($K742&amp;"",UTILITIES!$B$3:$B$953&amp;"",UTILITIES!$H$3:$H$953,""),"IOT",_xlfn.XLOOKUP($K742&amp;"",IOT!$B$3:$B$1012&amp;"",IOT!$I$3:$I$1012,""),"SERVER",_xlfn.XLOOKUP($K742&amp;"",SERVER!$B$3:$B$1009&amp;"",SERVER!$I$3:$I$1009,""),""))</f>
        <v/>
      </c>
      <c r="M742" t="str" cm="1">
        <f t="array" ref="M742">IF($K742="","",_xlfn.SWITCH($I742,"Computer",_xlfn.XLOOKUP($K742&amp;"",COMPUTER!$B$3:$B$1009&amp;"",COMPUTER!$J$3:$J$1009,""),"Display",_xlfn.XLOOKUP($K742&amp;"",DISPLAY!$B$3:$B$1000&amp;"",DISPLAY!$K$3:$K$1000,""),"Network Device",_xlfn.XLOOKUP($K742&amp;"",'NETWORK-DEVICES'!$B$3:$B$987&amp;"",'NETWORK-DEVICES'!$I$3:$I$987,""),"Peripheral",_xlfn.XLOOKUP($K742&amp;"",PERIPHERAL!$B$3:$B$954&amp;"",PERIPHERAL!$J$3:$J$954,""),"Utilities",_xlfn.XLOOKUP($K742&amp;"",UTILITIES!$B$3:$B$953&amp;"",UTILITIES!$I$3:$I$953,""),"IOT",_xlfn.XLOOKUP($K742&amp;"",IOT!$B$3:$B$1012&amp;"",IOT!$J$3:$J$1012,""),"Server",_xlfn.XLOOKUP($K742&amp;"",SERVER!$B$3:$B$1009&amp;"",SERVER!$J$3:$J$1009,""),""))</f>
        <v/>
      </c>
      <c r="N742" s="1" t="str" cm="1">
        <f t="array" ref="N742">IF(OR($K742="",$I742="",$J742=""),"",_xlfn.LET(_xlpm.srcCat,_xlfn.SWITCH($I742,"Computer",_xlfn.XLOOKUP($K742&amp;"",COMPUTER!$B$3:$B$1009&amp;"",COMPUTER!$H$3:$H$1009,""),"Display",_xlfn.XLOOKUP($K742&amp;"",DISPLAY!$B$3:$B$1000&amp;"",DISPLAY!$H$3:$H$1000,""),"Network Device",_xlfn.XLOOKUP($K742&amp;"",'NETWORK-DEVICES'!$B$3:$B$987&amp;"",'NETWORK-DEVICES'!$H$3:$H$987,""),"Peripheral",_xlfn.XLOOKUP($K742&amp;"",PERIPHERAL!$B$3:$B$954&amp;"",PERIPHERAL!$H$3:$H$954,""),"Utilities",_xlfn.XLOOKUP($K742&amp;"",UTILITIES!$B$3:$B$953&amp;"",UTILITIES!$G$3:$G$953,""),"IOT",_xlfn.XLOOKUP($K742&amp;"",IOT!$B$3:$B$1012&amp;"",IOT!$H$3:$H$1012,""),"Server",_xlfn.XLOOKUP($K742&amp;"",SERVER!$B$3:$B$1009&amp;"",SERVER!$H$3:$H$1009,""),""),IF(TRIM(_xlpm.srcCat)&lt;&gt;TRIM($J742),"",_xlfn.SWITCH($I742,"Computer",_xlfn.XLOOKUP($K742&amp;"",COMPUTER!$B$3:$B$1009&amp;"",COMPUTER!$K$3:$K$1009,""),"Display",_xlfn.XLOOKUP($K742&amp;"",DISPLAY!$B$3:$B$1000&amp;"",DISPLAY!$L$3:$L$1000,""),"Network Device",_xlfn.XLOOKUP($K742&amp;"",'NETWORK-DEVICES'!$B$3:$B$987&amp;"",'NETWORK-DEVICES'!$K$3:$K$987,""),"Peripheral",_xlfn.XLOOKUP($K742&amp;"",PERIPHERAL!$B$3:$B$954&amp;"",PERIPHERAL!$K$3:$K$954,""),"Utilities",_xlfn.XLOOKUP($K742&amp;"",UTILITIES!$B$3:$B$953&amp;"",UTILITIES!$J$3:$J$953,""),"IOT",_xlfn.XLOOKUP($K742&amp;"",IOT!$B$3:$B$1012&amp;"",IOT!$K$4:$K$1012,""),"Server",_xlfn.XLOOKUP($K742&amp;"",SERVER!$B$3:$B$1009&amp;"",SERVER!$K$3:$K$1009,""),""))))</f>
        <v/>
      </c>
      <c r="O742" s="1" t="str" cm="1">
        <f t="array" ref="O742">IF(OR($K742="",$I742="",$J742=""),"",_xlfn.LET(_xlpm.srcCat,_xlfn.SWITCH($I742,"Computer",_xlfn.XLOOKUP($K742&amp;"",COMPUTER!$B$3:$B$1009&amp;"",COMPUTER!$H$3:$H$1009,""),"Display",_xlfn.XLOOKUP($K742&amp;"",DISPLAY!$B$3:$B$1000&amp;"",DISPLAY!$H$3:$H$1000,""),"Network Device",_xlfn.XLOOKUP($K742&amp;"",'NETWORK-DEVICES'!$B$3:$B$987&amp;"",'NETWORK-DEVICES'!$H$3:$H$987,""),"Peripheral",_xlfn.XLOOKUP($K742&amp;"",PERIPHERAL!$B$3:$B$954&amp;"",PERIPHERAL!$H$3:$H$954,""),"Utilities",_xlfn.XLOOKUP($K742&amp;"",UTILITIES!$B$3:$B$953&amp;"",UTILITIES!$G$3:$G$953,""),"IOT",_xlfn.XLOOKUP($K742&amp;"",IOT!$B$3:$B$1012&amp;"",IOT!$H$3:$H$1012,""),"Server",_xlfn.XLOOKUP($K742&amp;"",SERVER!$B$3:$B$1009&amp;"",SERVER!$H$3:$H$1009,""),""),IF(TRIM(_xlpm.srcCat)&lt;&gt;TRIM($J742),"",_xlfn.SWITCH($I742,"Computer",_xlfn.XLOOKUP($K742&amp;"",COMPUTER!$B$3:$B$1009&amp;"",COMPUTER!$E$3:$E$1009,""),"Display",_xlfn.XLOOKUP($K742&amp;"",DISPLAY!$B$3:$B$1000&amp;"",DISPLAY!$E$3:$E$1000,""),"Network Device",_xlfn.XLOOKUP($K742&amp;"",'NETWORK-DEVICES'!$B$3:$B$987&amp;"",'NETWORK-DEVICES'!$E$3:$E$987,""),"Peripheral",_xlfn.XLOOKUP($K742&amp;"",PERIPHERAL!$B$3:$B$954&amp;"",PERIPHERAL!$E$3:$E$954,""),"Utilities",_xlfn.XLOOKUP($K742&amp;"",UTILITIES!$B$3:$B$953&amp;"",UTILITIES!$E$3:$E$953,""),"IOT",_xlfn.XLOOKUP($K742&amp;"",IOT!$B$3:$B$1012&amp;"",IOT!$E$3:$E$1012,""),"Server",_xlfn.XLOOKUP($K742&amp;"",SERVER!$B$3:$B$1009&amp;"",SERVER!$E$3:$E$1009,""),""))))</f>
        <v/>
      </c>
      <c r="Q742" s="1" t="str" cm="1">
        <f t="array" ref="Q742">IF(OR($K742="",$I742="",$J742=""),"",_xlfn.LET(_xlpm.srcCat,_xlfn.SWITCH($I742,"Computer",_xlfn.XLOOKUP($K742&amp;"",COMPUTER!$B$3:$B$1009&amp;"",COMPUTER!$H$3:$H$1009,""),"Display",_xlfn.XLOOKUP($K742&amp;"",DISPLAY!$B$3:$B$1000&amp;"",DISPLAY!$H$3:$H$1000,""),"Network Device",_xlfn.XLOOKUP($K742&amp;"",'NETWORK-DEVICES'!$B$3:$B$987&amp;"",'NETWORK-DEVICES'!$H$3:$H$987,""),"Peripheral",_xlfn.XLOOKUP($K742&amp;"",PERIPHERAL!$B$3:$B$954&amp;"",PERIPHERAL!$H$3:$H$954,""),"Utilities",_xlfn.XLOOKUP($K742&amp;"",UTILITIES!$B$3:$B$953&amp;"",UTILITIES!$G$3:$G$953,""),"IOT",_xlfn.XLOOKUP($K742&amp;"",IOT!$B$3:$B$1012&amp;"",IOT!$H$3:$H$1012,""),"Server",_xlfn.XLOOKUP($K742&amp;"",SERVER!$B$3:$B$1009&amp;"",SERVER!$H$3:$H$1009,""),""),IF(TRIM(_xlpm.srcCat)&lt;&gt;TRIM($J742),"",_xlfn.SWITCH($I742,"Computer",_xlfn.XLOOKUP($K742&amp;"",COMPUTER!$B$3:$B$1009&amp;"",COMPUTER!$AM$3:$AM$1009,""),"Display",_xlfn.XLOOKUP($K742&amp;"",DISPLAY!$B$3:$B$1000&amp;"",DISPLAY!$V$3:$V$1000,""),"Network Device",_xlfn.XLOOKUP($K742&amp;"",'NETWORK-DEVICES'!$B$3:$B$987&amp;"",'NETWORK-DEVICES'!$AF$3:$AF$987,""),"Peripheral",_xlfn.XLOOKUP($K742&amp;"",PERIPHERAL!$B$3:$B$954&amp;"",PERIPHERAL!$Y$3:$Y$954,""),"Utilities",_xlfn.XLOOKUP($K742&amp;"",UTILITIES!$B$3:$B$953&amp;"",UTILITIES!$O$3:$O$953,""),"IOT",_xlfn.XLOOKUP($K742&amp;"",IOT!$B$3:$B$1012&amp;"",IOT!$AB$3:$AB$1012,""),"Server",_xlfn.XLOOKUP($K742&amp;"",SERVER!$B$3:$B$1009&amp;"",SERVER!$AB$3:$AB$1009,""),""))))</f>
        <v/>
      </c>
      <c r="R742" s="43" t="str">
        <f>IF(tbl_handover[[#This Row],[Asset Code]]="","",COUNTIF(tbl_handover[Asset Code],tbl_handover[[#This Row],[Asset Code]]))</f>
        <v/>
      </c>
    </row>
    <row r="743" spans="1:18" x14ac:dyDescent="0.25">
      <c r="A743" s="43" t="str">
        <f>IF(B743&lt;&gt;"",SUBTOTAL(3,$B$1:B742),"")</f>
        <v/>
      </c>
      <c r="C743" s="74"/>
      <c r="D743" s="74"/>
      <c r="G743" s="1"/>
      <c r="K743" s="42"/>
      <c r="L743" t="str" cm="1">
        <f t="array" ref="L743">IF($K743="","",_xlfn.SWITCH($I743,"Computer",_xlfn.XLOOKUP($K743&amp;"",COMPUTER!$B$3:$B$1009&amp;"",COMPUTER!$I$3:$I$1009,""),"Display",_xlfn.XLOOKUP($K743&amp;"",DISPLAY!$B$3:$B$1000&amp;"",DISPLAY!$J$3:$J$1000,""),"Network Device",_xlfn.XLOOKUP($K743&amp;"",'NETWORK-DEVICES'!$B$3:$B$987&amp;"",'NETWORK-DEVICES'!$I$3:$I$987,""),"Peripheral",_xlfn.XLOOKUP($K743&amp;"",PERIPHERAL!$B$3:$B$954&amp;"",PERIPHERAL!$I$3:$I$954,""),"Utilities",_xlfn.XLOOKUP($K743&amp;"",UTILITIES!$B$3:$B$953&amp;"",UTILITIES!$H$3:$H$953,""),"IOT",_xlfn.XLOOKUP($K743&amp;"",IOT!$B$3:$B$1012&amp;"",IOT!$I$3:$I$1012,""),"SERVER",_xlfn.XLOOKUP($K743&amp;"",SERVER!$B$3:$B$1009&amp;"",SERVER!$I$3:$I$1009,""),""))</f>
        <v/>
      </c>
      <c r="M743" t="str" cm="1">
        <f t="array" ref="M743">IF($K743="","",_xlfn.SWITCH($I743,"Computer",_xlfn.XLOOKUP($K743&amp;"",COMPUTER!$B$3:$B$1009&amp;"",COMPUTER!$J$3:$J$1009,""),"Display",_xlfn.XLOOKUP($K743&amp;"",DISPLAY!$B$3:$B$1000&amp;"",DISPLAY!$K$3:$K$1000,""),"Network Device",_xlfn.XLOOKUP($K743&amp;"",'NETWORK-DEVICES'!$B$3:$B$987&amp;"",'NETWORK-DEVICES'!$I$3:$I$987,""),"Peripheral",_xlfn.XLOOKUP($K743&amp;"",PERIPHERAL!$B$3:$B$954&amp;"",PERIPHERAL!$J$3:$J$954,""),"Utilities",_xlfn.XLOOKUP($K743&amp;"",UTILITIES!$B$3:$B$953&amp;"",UTILITIES!$I$3:$I$953,""),"IOT",_xlfn.XLOOKUP($K743&amp;"",IOT!$B$3:$B$1012&amp;"",IOT!$J$3:$J$1012,""),"Server",_xlfn.XLOOKUP($K743&amp;"",SERVER!$B$3:$B$1009&amp;"",SERVER!$J$3:$J$1009,""),""))</f>
        <v/>
      </c>
      <c r="N743" s="1" t="str" cm="1">
        <f t="array" ref="N743">IF(OR($K743="",$I743="",$J743=""),"",_xlfn.LET(_xlpm.srcCat,_xlfn.SWITCH($I743,"Computer",_xlfn.XLOOKUP($K743&amp;"",COMPUTER!$B$3:$B$1009&amp;"",COMPUTER!$H$3:$H$1009,""),"Display",_xlfn.XLOOKUP($K743&amp;"",DISPLAY!$B$3:$B$1000&amp;"",DISPLAY!$H$3:$H$1000,""),"Network Device",_xlfn.XLOOKUP($K743&amp;"",'NETWORK-DEVICES'!$B$3:$B$987&amp;"",'NETWORK-DEVICES'!$H$3:$H$987,""),"Peripheral",_xlfn.XLOOKUP($K743&amp;"",PERIPHERAL!$B$3:$B$954&amp;"",PERIPHERAL!$H$3:$H$954,""),"Utilities",_xlfn.XLOOKUP($K743&amp;"",UTILITIES!$B$3:$B$953&amp;"",UTILITIES!$G$3:$G$953,""),"IOT",_xlfn.XLOOKUP($K743&amp;"",IOT!$B$3:$B$1012&amp;"",IOT!$H$3:$H$1012,""),"Server",_xlfn.XLOOKUP($K743&amp;"",SERVER!$B$3:$B$1009&amp;"",SERVER!$H$3:$H$1009,""),""),IF(TRIM(_xlpm.srcCat)&lt;&gt;TRIM($J743),"",_xlfn.SWITCH($I743,"Computer",_xlfn.XLOOKUP($K743&amp;"",COMPUTER!$B$3:$B$1009&amp;"",COMPUTER!$K$3:$K$1009,""),"Display",_xlfn.XLOOKUP($K743&amp;"",DISPLAY!$B$3:$B$1000&amp;"",DISPLAY!$L$3:$L$1000,""),"Network Device",_xlfn.XLOOKUP($K743&amp;"",'NETWORK-DEVICES'!$B$3:$B$987&amp;"",'NETWORK-DEVICES'!$K$3:$K$987,""),"Peripheral",_xlfn.XLOOKUP($K743&amp;"",PERIPHERAL!$B$3:$B$954&amp;"",PERIPHERAL!$K$3:$K$954,""),"Utilities",_xlfn.XLOOKUP($K743&amp;"",UTILITIES!$B$3:$B$953&amp;"",UTILITIES!$J$3:$J$953,""),"IOT",_xlfn.XLOOKUP($K743&amp;"",IOT!$B$3:$B$1012&amp;"",IOT!$K$4:$K$1012,""),"Server",_xlfn.XLOOKUP($K743&amp;"",SERVER!$B$3:$B$1009&amp;"",SERVER!$K$3:$K$1009,""),""))))</f>
        <v/>
      </c>
      <c r="O743" s="1" t="str" cm="1">
        <f t="array" ref="O743">IF(OR($K743="",$I743="",$J743=""),"",_xlfn.LET(_xlpm.srcCat,_xlfn.SWITCH($I743,"Computer",_xlfn.XLOOKUP($K743&amp;"",COMPUTER!$B$3:$B$1009&amp;"",COMPUTER!$H$3:$H$1009,""),"Display",_xlfn.XLOOKUP($K743&amp;"",DISPLAY!$B$3:$B$1000&amp;"",DISPLAY!$H$3:$H$1000,""),"Network Device",_xlfn.XLOOKUP($K743&amp;"",'NETWORK-DEVICES'!$B$3:$B$987&amp;"",'NETWORK-DEVICES'!$H$3:$H$987,""),"Peripheral",_xlfn.XLOOKUP($K743&amp;"",PERIPHERAL!$B$3:$B$954&amp;"",PERIPHERAL!$H$3:$H$954,""),"Utilities",_xlfn.XLOOKUP($K743&amp;"",UTILITIES!$B$3:$B$953&amp;"",UTILITIES!$G$3:$G$953,""),"IOT",_xlfn.XLOOKUP($K743&amp;"",IOT!$B$3:$B$1012&amp;"",IOT!$H$3:$H$1012,""),"Server",_xlfn.XLOOKUP($K743&amp;"",SERVER!$B$3:$B$1009&amp;"",SERVER!$H$3:$H$1009,""),""),IF(TRIM(_xlpm.srcCat)&lt;&gt;TRIM($J743),"",_xlfn.SWITCH($I743,"Computer",_xlfn.XLOOKUP($K743&amp;"",COMPUTER!$B$3:$B$1009&amp;"",COMPUTER!$E$3:$E$1009,""),"Display",_xlfn.XLOOKUP($K743&amp;"",DISPLAY!$B$3:$B$1000&amp;"",DISPLAY!$E$3:$E$1000,""),"Network Device",_xlfn.XLOOKUP($K743&amp;"",'NETWORK-DEVICES'!$B$3:$B$987&amp;"",'NETWORK-DEVICES'!$E$3:$E$987,""),"Peripheral",_xlfn.XLOOKUP($K743&amp;"",PERIPHERAL!$B$3:$B$954&amp;"",PERIPHERAL!$E$3:$E$954,""),"Utilities",_xlfn.XLOOKUP($K743&amp;"",UTILITIES!$B$3:$B$953&amp;"",UTILITIES!$E$3:$E$953,""),"IOT",_xlfn.XLOOKUP($K743&amp;"",IOT!$B$3:$B$1012&amp;"",IOT!$E$3:$E$1012,""),"Server",_xlfn.XLOOKUP($K743&amp;"",SERVER!$B$3:$B$1009&amp;"",SERVER!$E$3:$E$1009,""),""))))</f>
        <v/>
      </c>
      <c r="Q743" s="1" t="str" cm="1">
        <f t="array" ref="Q743">IF(OR($K743="",$I743="",$J743=""),"",_xlfn.LET(_xlpm.srcCat,_xlfn.SWITCH($I743,"Computer",_xlfn.XLOOKUP($K743&amp;"",COMPUTER!$B$3:$B$1009&amp;"",COMPUTER!$H$3:$H$1009,""),"Display",_xlfn.XLOOKUP($K743&amp;"",DISPLAY!$B$3:$B$1000&amp;"",DISPLAY!$H$3:$H$1000,""),"Network Device",_xlfn.XLOOKUP($K743&amp;"",'NETWORK-DEVICES'!$B$3:$B$987&amp;"",'NETWORK-DEVICES'!$H$3:$H$987,""),"Peripheral",_xlfn.XLOOKUP($K743&amp;"",PERIPHERAL!$B$3:$B$954&amp;"",PERIPHERAL!$H$3:$H$954,""),"Utilities",_xlfn.XLOOKUP($K743&amp;"",UTILITIES!$B$3:$B$953&amp;"",UTILITIES!$G$3:$G$953,""),"IOT",_xlfn.XLOOKUP($K743&amp;"",IOT!$B$3:$B$1012&amp;"",IOT!$H$3:$H$1012,""),"Server",_xlfn.XLOOKUP($K743&amp;"",SERVER!$B$3:$B$1009&amp;"",SERVER!$H$3:$H$1009,""),""),IF(TRIM(_xlpm.srcCat)&lt;&gt;TRIM($J743),"",_xlfn.SWITCH($I743,"Computer",_xlfn.XLOOKUP($K743&amp;"",COMPUTER!$B$3:$B$1009&amp;"",COMPUTER!$AM$3:$AM$1009,""),"Display",_xlfn.XLOOKUP($K743&amp;"",DISPLAY!$B$3:$B$1000&amp;"",DISPLAY!$V$3:$V$1000,""),"Network Device",_xlfn.XLOOKUP($K743&amp;"",'NETWORK-DEVICES'!$B$3:$B$987&amp;"",'NETWORK-DEVICES'!$AF$3:$AF$987,""),"Peripheral",_xlfn.XLOOKUP($K743&amp;"",PERIPHERAL!$B$3:$B$954&amp;"",PERIPHERAL!$Y$3:$Y$954,""),"Utilities",_xlfn.XLOOKUP($K743&amp;"",UTILITIES!$B$3:$B$953&amp;"",UTILITIES!$O$3:$O$953,""),"IOT",_xlfn.XLOOKUP($K743&amp;"",IOT!$B$3:$B$1012&amp;"",IOT!$AB$3:$AB$1012,""),"Server",_xlfn.XLOOKUP($K743&amp;"",SERVER!$B$3:$B$1009&amp;"",SERVER!$AB$3:$AB$1009,""),""))))</f>
        <v/>
      </c>
      <c r="R743" s="43" t="str">
        <f>IF(tbl_handover[[#This Row],[Asset Code]]="","",COUNTIF(tbl_handover[Asset Code],tbl_handover[[#This Row],[Asset Code]]))</f>
        <v/>
      </c>
    </row>
    <row r="744" spans="1:18" x14ac:dyDescent="0.25">
      <c r="A744" s="43" t="str">
        <f>IF(B744&lt;&gt;"",SUBTOTAL(3,$B$1:B743),"")</f>
        <v/>
      </c>
      <c r="C744" s="74"/>
      <c r="D744" s="74"/>
      <c r="G744" s="1"/>
      <c r="K744" s="42"/>
      <c r="L744" t="str" cm="1">
        <f t="array" ref="L744">IF($K744="","",_xlfn.SWITCH($I744,"Computer",_xlfn.XLOOKUP($K744&amp;"",COMPUTER!$B$3:$B$1009&amp;"",COMPUTER!$I$3:$I$1009,""),"Display",_xlfn.XLOOKUP($K744&amp;"",DISPLAY!$B$3:$B$1000&amp;"",DISPLAY!$J$3:$J$1000,""),"Network Device",_xlfn.XLOOKUP($K744&amp;"",'NETWORK-DEVICES'!$B$3:$B$987&amp;"",'NETWORK-DEVICES'!$I$3:$I$987,""),"Peripheral",_xlfn.XLOOKUP($K744&amp;"",PERIPHERAL!$B$3:$B$954&amp;"",PERIPHERAL!$I$3:$I$954,""),"Utilities",_xlfn.XLOOKUP($K744&amp;"",UTILITIES!$B$3:$B$953&amp;"",UTILITIES!$H$3:$H$953,""),"IOT",_xlfn.XLOOKUP($K744&amp;"",IOT!$B$3:$B$1012&amp;"",IOT!$I$3:$I$1012,""),"SERVER",_xlfn.XLOOKUP($K744&amp;"",SERVER!$B$3:$B$1009&amp;"",SERVER!$I$3:$I$1009,""),""))</f>
        <v/>
      </c>
      <c r="M744" t="str" cm="1">
        <f t="array" ref="M744">IF($K744="","",_xlfn.SWITCH($I744,"Computer",_xlfn.XLOOKUP($K744&amp;"",COMPUTER!$B$3:$B$1009&amp;"",COMPUTER!$J$3:$J$1009,""),"Display",_xlfn.XLOOKUP($K744&amp;"",DISPLAY!$B$3:$B$1000&amp;"",DISPLAY!$K$3:$K$1000,""),"Network Device",_xlfn.XLOOKUP($K744&amp;"",'NETWORK-DEVICES'!$B$3:$B$987&amp;"",'NETWORK-DEVICES'!$I$3:$I$987,""),"Peripheral",_xlfn.XLOOKUP($K744&amp;"",PERIPHERAL!$B$3:$B$954&amp;"",PERIPHERAL!$J$3:$J$954,""),"Utilities",_xlfn.XLOOKUP($K744&amp;"",UTILITIES!$B$3:$B$953&amp;"",UTILITIES!$I$3:$I$953,""),"IOT",_xlfn.XLOOKUP($K744&amp;"",IOT!$B$3:$B$1012&amp;"",IOT!$J$3:$J$1012,""),"Server",_xlfn.XLOOKUP($K744&amp;"",SERVER!$B$3:$B$1009&amp;"",SERVER!$J$3:$J$1009,""),""))</f>
        <v/>
      </c>
      <c r="N744" s="1" t="str" cm="1">
        <f t="array" ref="N744">IF(OR($K744="",$I744="",$J744=""),"",_xlfn.LET(_xlpm.srcCat,_xlfn.SWITCH($I744,"Computer",_xlfn.XLOOKUP($K744&amp;"",COMPUTER!$B$3:$B$1009&amp;"",COMPUTER!$H$3:$H$1009,""),"Display",_xlfn.XLOOKUP($K744&amp;"",DISPLAY!$B$3:$B$1000&amp;"",DISPLAY!$H$3:$H$1000,""),"Network Device",_xlfn.XLOOKUP($K744&amp;"",'NETWORK-DEVICES'!$B$3:$B$987&amp;"",'NETWORK-DEVICES'!$H$3:$H$987,""),"Peripheral",_xlfn.XLOOKUP($K744&amp;"",PERIPHERAL!$B$3:$B$954&amp;"",PERIPHERAL!$H$3:$H$954,""),"Utilities",_xlfn.XLOOKUP($K744&amp;"",UTILITIES!$B$3:$B$953&amp;"",UTILITIES!$G$3:$G$953,""),"IOT",_xlfn.XLOOKUP($K744&amp;"",IOT!$B$3:$B$1012&amp;"",IOT!$H$3:$H$1012,""),"Server",_xlfn.XLOOKUP($K744&amp;"",SERVER!$B$3:$B$1009&amp;"",SERVER!$H$3:$H$1009,""),""),IF(TRIM(_xlpm.srcCat)&lt;&gt;TRIM($J744),"",_xlfn.SWITCH($I744,"Computer",_xlfn.XLOOKUP($K744&amp;"",COMPUTER!$B$3:$B$1009&amp;"",COMPUTER!$K$3:$K$1009,""),"Display",_xlfn.XLOOKUP($K744&amp;"",DISPLAY!$B$3:$B$1000&amp;"",DISPLAY!$L$3:$L$1000,""),"Network Device",_xlfn.XLOOKUP($K744&amp;"",'NETWORK-DEVICES'!$B$3:$B$987&amp;"",'NETWORK-DEVICES'!$K$3:$K$987,""),"Peripheral",_xlfn.XLOOKUP($K744&amp;"",PERIPHERAL!$B$3:$B$954&amp;"",PERIPHERAL!$K$3:$K$954,""),"Utilities",_xlfn.XLOOKUP($K744&amp;"",UTILITIES!$B$3:$B$953&amp;"",UTILITIES!$J$3:$J$953,""),"IOT",_xlfn.XLOOKUP($K744&amp;"",IOT!$B$3:$B$1012&amp;"",IOT!$K$4:$K$1012,""),"Server",_xlfn.XLOOKUP($K744&amp;"",SERVER!$B$3:$B$1009&amp;"",SERVER!$K$3:$K$1009,""),""))))</f>
        <v/>
      </c>
      <c r="O744" s="1" t="str" cm="1">
        <f t="array" ref="O744">IF(OR($K744="",$I744="",$J744=""),"",_xlfn.LET(_xlpm.srcCat,_xlfn.SWITCH($I744,"Computer",_xlfn.XLOOKUP($K744&amp;"",COMPUTER!$B$3:$B$1009&amp;"",COMPUTER!$H$3:$H$1009,""),"Display",_xlfn.XLOOKUP($K744&amp;"",DISPLAY!$B$3:$B$1000&amp;"",DISPLAY!$H$3:$H$1000,""),"Network Device",_xlfn.XLOOKUP($K744&amp;"",'NETWORK-DEVICES'!$B$3:$B$987&amp;"",'NETWORK-DEVICES'!$H$3:$H$987,""),"Peripheral",_xlfn.XLOOKUP($K744&amp;"",PERIPHERAL!$B$3:$B$954&amp;"",PERIPHERAL!$H$3:$H$954,""),"Utilities",_xlfn.XLOOKUP($K744&amp;"",UTILITIES!$B$3:$B$953&amp;"",UTILITIES!$G$3:$G$953,""),"IOT",_xlfn.XLOOKUP($K744&amp;"",IOT!$B$3:$B$1012&amp;"",IOT!$H$3:$H$1012,""),"Server",_xlfn.XLOOKUP($K744&amp;"",SERVER!$B$3:$B$1009&amp;"",SERVER!$H$3:$H$1009,""),""),IF(TRIM(_xlpm.srcCat)&lt;&gt;TRIM($J744),"",_xlfn.SWITCH($I744,"Computer",_xlfn.XLOOKUP($K744&amp;"",COMPUTER!$B$3:$B$1009&amp;"",COMPUTER!$E$3:$E$1009,""),"Display",_xlfn.XLOOKUP($K744&amp;"",DISPLAY!$B$3:$B$1000&amp;"",DISPLAY!$E$3:$E$1000,""),"Network Device",_xlfn.XLOOKUP($K744&amp;"",'NETWORK-DEVICES'!$B$3:$B$987&amp;"",'NETWORK-DEVICES'!$E$3:$E$987,""),"Peripheral",_xlfn.XLOOKUP($K744&amp;"",PERIPHERAL!$B$3:$B$954&amp;"",PERIPHERAL!$E$3:$E$954,""),"Utilities",_xlfn.XLOOKUP($K744&amp;"",UTILITIES!$B$3:$B$953&amp;"",UTILITIES!$E$3:$E$953,""),"IOT",_xlfn.XLOOKUP($K744&amp;"",IOT!$B$3:$B$1012&amp;"",IOT!$E$3:$E$1012,""),"Server",_xlfn.XLOOKUP($K744&amp;"",SERVER!$B$3:$B$1009&amp;"",SERVER!$E$3:$E$1009,""),""))))</f>
        <v/>
      </c>
      <c r="Q744" s="1" t="str" cm="1">
        <f t="array" ref="Q744">IF(OR($K744="",$I744="",$J744=""),"",_xlfn.LET(_xlpm.srcCat,_xlfn.SWITCH($I744,"Computer",_xlfn.XLOOKUP($K744&amp;"",COMPUTER!$B$3:$B$1009&amp;"",COMPUTER!$H$3:$H$1009,""),"Display",_xlfn.XLOOKUP($K744&amp;"",DISPLAY!$B$3:$B$1000&amp;"",DISPLAY!$H$3:$H$1000,""),"Network Device",_xlfn.XLOOKUP($K744&amp;"",'NETWORK-DEVICES'!$B$3:$B$987&amp;"",'NETWORK-DEVICES'!$H$3:$H$987,""),"Peripheral",_xlfn.XLOOKUP($K744&amp;"",PERIPHERAL!$B$3:$B$954&amp;"",PERIPHERAL!$H$3:$H$954,""),"Utilities",_xlfn.XLOOKUP($K744&amp;"",UTILITIES!$B$3:$B$953&amp;"",UTILITIES!$G$3:$G$953,""),"IOT",_xlfn.XLOOKUP($K744&amp;"",IOT!$B$3:$B$1012&amp;"",IOT!$H$3:$H$1012,""),"Server",_xlfn.XLOOKUP($K744&amp;"",SERVER!$B$3:$B$1009&amp;"",SERVER!$H$3:$H$1009,""),""),IF(TRIM(_xlpm.srcCat)&lt;&gt;TRIM($J744),"",_xlfn.SWITCH($I744,"Computer",_xlfn.XLOOKUP($K744&amp;"",COMPUTER!$B$3:$B$1009&amp;"",COMPUTER!$AM$3:$AM$1009,""),"Display",_xlfn.XLOOKUP($K744&amp;"",DISPLAY!$B$3:$B$1000&amp;"",DISPLAY!$V$3:$V$1000,""),"Network Device",_xlfn.XLOOKUP($K744&amp;"",'NETWORK-DEVICES'!$B$3:$B$987&amp;"",'NETWORK-DEVICES'!$AF$3:$AF$987,""),"Peripheral",_xlfn.XLOOKUP($K744&amp;"",PERIPHERAL!$B$3:$B$954&amp;"",PERIPHERAL!$Y$3:$Y$954,""),"Utilities",_xlfn.XLOOKUP($K744&amp;"",UTILITIES!$B$3:$B$953&amp;"",UTILITIES!$O$3:$O$953,""),"IOT",_xlfn.XLOOKUP($K744&amp;"",IOT!$B$3:$B$1012&amp;"",IOT!$AB$3:$AB$1012,""),"Server",_xlfn.XLOOKUP($K744&amp;"",SERVER!$B$3:$B$1009&amp;"",SERVER!$AB$3:$AB$1009,""),""))))</f>
        <v/>
      </c>
      <c r="R744" s="43" t="str">
        <f>IF(tbl_handover[[#This Row],[Asset Code]]="","",COUNTIF(tbl_handover[Asset Code],tbl_handover[[#This Row],[Asset Code]]))</f>
        <v/>
      </c>
    </row>
    <row r="745" spans="1:18" x14ac:dyDescent="0.25">
      <c r="A745" s="43" t="str">
        <f>IF(B745&lt;&gt;"",SUBTOTAL(3,$B$1:B744),"")</f>
        <v/>
      </c>
      <c r="C745" s="74"/>
      <c r="D745" s="74"/>
      <c r="G745" s="1"/>
      <c r="K745" s="42"/>
      <c r="L745" t="str" cm="1">
        <f t="array" ref="L745">IF($K745="","",_xlfn.SWITCH($I745,"Computer",_xlfn.XLOOKUP($K745&amp;"",COMPUTER!$B$3:$B$1009&amp;"",COMPUTER!$I$3:$I$1009,""),"Display",_xlfn.XLOOKUP($K745&amp;"",DISPLAY!$B$3:$B$1000&amp;"",DISPLAY!$J$3:$J$1000,""),"Network Device",_xlfn.XLOOKUP($K745&amp;"",'NETWORK-DEVICES'!$B$3:$B$987&amp;"",'NETWORK-DEVICES'!$I$3:$I$987,""),"Peripheral",_xlfn.XLOOKUP($K745&amp;"",PERIPHERAL!$B$3:$B$954&amp;"",PERIPHERAL!$I$3:$I$954,""),"Utilities",_xlfn.XLOOKUP($K745&amp;"",UTILITIES!$B$3:$B$953&amp;"",UTILITIES!$H$3:$H$953,""),"IOT",_xlfn.XLOOKUP($K745&amp;"",IOT!$B$3:$B$1012&amp;"",IOT!$I$3:$I$1012,""),"SERVER",_xlfn.XLOOKUP($K745&amp;"",SERVER!$B$3:$B$1009&amp;"",SERVER!$I$3:$I$1009,""),""))</f>
        <v/>
      </c>
      <c r="M745" t="str" cm="1">
        <f t="array" ref="M745">IF($K745="","",_xlfn.SWITCH($I745,"Computer",_xlfn.XLOOKUP($K745&amp;"",COMPUTER!$B$3:$B$1009&amp;"",COMPUTER!$J$3:$J$1009,""),"Display",_xlfn.XLOOKUP($K745&amp;"",DISPLAY!$B$3:$B$1000&amp;"",DISPLAY!$K$3:$K$1000,""),"Network Device",_xlfn.XLOOKUP($K745&amp;"",'NETWORK-DEVICES'!$B$3:$B$987&amp;"",'NETWORK-DEVICES'!$I$3:$I$987,""),"Peripheral",_xlfn.XLOOKUP($K745&amp;"",PERIPHERAL!$B$3:$B$954&amp;"",PERIPHERAL!$J$3:$J$954,""),"Utilities",_xlfn.XLOOKUP($K745&amp;"",UTILITIES!$B$3:$B$953&amp;"",UTILITIES!$I$3:$I$953,""),"IOT",_xlfn.XLOOKUP($K745&amp;"",IOT!$B$3:$B$1012&amp;"",IOT!$J$3:$J$1012,""),"Server",_xlfn.XLOOKUP($K745&amp;"",SERVER!$B$3:$B$1009&amp;"",SERVER!$J$3:$J$1009,""),""))</f>
        <v/>
      </c>
      <c r="N745" s="1" t="str" cm="1">
        <f t="array" ref="N745">IF(OR($K745="",$I745="",$J745=""),"",_xlfn.LET(_xlpm.srcCat,_xlfn.SWITCH($I745,"Computer",_xlfn.XLOOKUP($K745&amp;"",COMPUTER!$B$3:$B$1009&amp;"",COMPUTER!$H$3:$H$1009,""),"Display",_xlfn.XLOOKUP($K745&amp;"",DISPLAY!$B$3:$B$1000&amp;"",DISPLAY!$H$3:$H$1000,""),"Network Device",_xlfn.XLOOKUP($K745&amp;"",'NETWORK-DEVICES'!$B$3:$B$987&amp;"",'NETWORK-DEVICES'!$H$3:$H$987,""),"Peripheral",_xlfn.XLOOKUP($K745&amp;"",PERIPHERAL!$B$3:$B$954&amp;"",PERIPHERAL!$H$3:$H$954,""),"Utilities",_xlfn.XLOOKUP($K745&amp;"",UTILITIES!$B$3:$B$953&amp;"",UTILITIES!$G$3:$G$953,""),"IOT",_xlfn.XLOOKUP($K745&amp;"",IOT!$B$3:$B$1012&amp;"",IOT!$H$3:$H$1012,""),"Server",_xlfn.XLOOKUP($K745&amp;"",SERVER!$B$3:$B$1009&amp;"",SERVER!$H$3:$H$1009,""),""),IF(TRIM(_xlpm.srcCat)&lt;&gt;TRIM($J745),"",_xlfn.SWITCH($I745,"Computer",_xlfn.XLOOKUP($K745&amp;"",COMPUTER!$B$3:$B$1009&amp;"",COMPUTER!$K$3:$K$1009,""),"Display",_xlfn.XLOOKUP($K745&amp;"",DISPLAY!$B$3:$B$1000&amp;"",DISPLAY!$L$3:$L$1000,""),"Network Device",_xlfn.XLOOKUP($K745&amp;"",'NETWORK-DEVICES'!$B$3:$B$987&amp;"",'NETWORK-DEVICES'!$K$3:$K$987,""),"Peripheral",_xlfn.XLOOKUP($K745&amp;"",PERIPHERAL!$B$3:$B$954&amp;"",PERIPHERAL!$K$3:$K$954,""),"Utilities",_xlfn.XLOOKUP($K745&amp;"",UTILITIES!$B$3:$B$953&amp;"",UTILITIES!$J$3:$J$953,""),"IOT",_xlfn.XLOOKUP($K745&amp;"",IOT!$B$3:$B$1012&amp;"",IOT!$K$4:$K$1012,""),"Server",_xlfn.XLOOKUP($K745&amp;"",SERVER!$B$3:$B$1009&amp;"",SERVER!$K$3:$K$1009,""),""))))</f>
        <v/>
      </c>
      <c r="O745" s="1" t="str" cm="1">
        <f t="array" ref="O745">IF(OR($K745="",$I745="",$J745=""),"",_xlfn.LET(_xlpm.srcCat,_xlfn.SWITCH($I745,"Computer",_xlfn.XLOOKUP($K745&amp;"",COMPUTER!$B$3:$B$1009&amp;"",COMPUTER!$H$3:$H$1009,""),"Display",_xlfn.XLOOKUP($K745&amp;"",DISPLAY!$B$3:$B$1000&amp;"",DISPLAY!$H$3:$H$1000,""),"Network Device",_xlfn.XLOOKUP($K745&amp;"",'NETWORK-DEVICES'!$B$3:$B$987&amp;"",'NETWORK-DEVICES'!$H$3:$H$987,""),"Peripheral",_xlfn.XLOOKUP($K745&amp;"",PERIPHERAL!$B$3:$B$954&amp;"",PERIPHERAL!$H$3:$H$954,""),"Utilities",_xlfn.XLOOKUP($K745&amp;"",UTILITIES!$B$3:$B$953&amp;"",UTILITIES!$G$3:$G$953,""),"IOT",_xlfn.XLOOKUP($K745&amp;"",IOT!$B$3:$B$1012&amp;"",IOT!$H$3:$H$1012,""),"Server",_xlfn.XLOOKUP($K745&amp;"",SERVER!$B$3:$B$1009&amp;"",SERVER!$H$3:$H$1009,""),""),IF(TRIM(_xlpm.srcCat)&lt;&gt;TRIM($J745),"",_xlfn.SWITCH($I745,"Computer",_xlfn.XLOOKUP($K745&amp;"",COMPUTER!$B$3:$B$1009&amp;"",COMPUTER!$E$3:$E$1009,""),"Display",_xlfn.XLOOKUP($K745&amp;"",DISPLAY!$B$3:$B$1000&amp;"",DISPLAY!$E$3:$E$1000,""),"Network Device",_xlfn.XLOOKUP($K745&amp;"",'NETWORK-DEVICES'!$B$3:$B$987&amp;"",'NETWORK-DEVICES'!$E$3:$E$987,""),"Peripheral",_xlfn.XLOOKUP($K745&amp;"",PERIPHERAL!$B$3:$B$954&amp;"",PERIPHERAL!$E$3:$E$954,""),"Utilities",_xlfn.XLOOKUP($K745&amp;"",UTILITIES!$B$3:$B$953&amp;"",UTILITIES!$E$3:$E$953,""),"IOT",_xlfn.XLOOKUP($K745&amp;"",IOT!$B$3:$B$1012&amp;"",IOT!$E$3:$E$1012,""),"Server",_xlfn.XLOOKUP($K745&amp;"",SERVER!$B$3:$B$1009&amp;"",SERVER!$E$3:$E$1009,""),""))))</f>
        <v/>
      </c>
      <c r="Q745" s="1" t="str" cm="1">
        <f t="array" ref="Q745">IF(OR($K745="",$I745="",$J745=""),"",_xlfn.LET(_xlpm.srcCat,_xlfn.SWITCH($I745,"Computer",_xlfn.XLOOKUP($K745&amp;"",COMPUTER!$B$3:$B$1009&amp;"",COMPUTER!$H$3:$H$1009,""),"Display",_xlfn.XLOOKUP($K745&amp;"",DISPLAY!$B$3:$B$1000&amp;"",DISPLAY!$H$3:$H$1000,""),"Network Device",_xlfn.XLOOKUP($K745&amp;"",'NETWORK-DEVICES'!$B$3:$B$987&amp;"",'NETWORK-DEVICES'!$H$3:$H$987,""),"Peripheral",_xlfn.XLOOKUP($K745&amp;"",PERIPHERAL!$B$3:$B$954&amp;"",PERIPHERAL!$H$3:$H$954,""),"Utilities",_xlfn.XLOOKUP($K745&amp;"",UTILITIES!$B$3:$B$953&amp;"",UTILITIES!$G$3:$G$953,""),"IOT",_xlfn.XLOOKUP($K745&amp;"",IOT!$B$3:$B$1012&amp;"",IOT!$H$3:$H$1012,""),"Server",_xlfn.XLOOKUP($K745&amp;"",SERVER!$B$3:$B$1009&amp;"",SERVER!$H$3:$H$1009,""),""),IF(TRIM(_xlpm.srcCat)&lt;&gt;TRIM($J745),"",_xlfn.SWITCH($I745,"Computer",_xlfn.XLOOKUP($K745&amp;"",COMPUTER!$B$3:$B$1009&amp;"",COMPUTER!$AM$3:$AM$1009,""),"Display",_xlfn.XLOOKUP($K745&amp;"",DISPLAY!$B$3:$B$1000&amp;"",DISPLAY!$V$3:$V$1000,""),"Network Device",_xlfn.XLOOKUP($K745&amp;"",'NETWORK-DEVICES'!$B$3:$B$987&amp;"",'NETWORK-DEVICES'!$AF$3:$AF$987,""),"Peripheral",_xlfn.XLOOKUP($K745&amp;"",PERIPHERAL!$B$3:$B$954&amp;"",PERIPHERAL!$Y$3:$Y$954,""),"Utilities",_xlfn.XLOOKUP($K745&amp;"",UTILITIES!$B$3:$B$953&amp;"",UTILITIES!$O$3:$O$953,""),"IOT",_xlfn.XLOOKUP($K745&amp;"",IOT!$B$3:$B$1012&amp;"",IOT!$AB$3:$AB$1012,""),"Server",_xlfn.XLOOKUP($K745&amp;"",SERVER!$B$3:$B$1009&amp;"",SERVER!$AB$3:$AB$1009,""),""))))</f>
        <v/>
      </c>
      <c r="R745" s="43" t="str">
        <f>IF(tbl_handover[[#This Row],[Asset Code]]="","",COUNTIF(tbl_handover[Asset Code],tbl_handover[[#This Row],[Asset Code]]))</f>
        <v/>
      </c>
    </row>
    <row r="746" spans="1:18" x14ac:dyDescent="0.25">
      <c r="A746" s="43" t="str">
        <f>IF(B746&lt;&gt;"",SUBTOTAL(3,$B$1:B745),"")</f>
        <v/>
      </c>
      <c r="C746" s="74"/>
      <c r="D746" s="74"/>
      <c r="G746" s="1"/>
      <c r="K746" s="42"/>
      <c r="L746" t="str" cm="1">
        <f t="array" ref="L746">IF($K746="","",_xlfn.SWITCH($I746,"Computer",_xlfn.XLOOKUP($K746&amp;"",COMPUTER!$B$3:$B$1009&amp;"",COMPUTER!$I$3:$I$1009,""),"Display",_xlfn.XLOOKUP($K746&amp;"",DISPLAY!$B$3:$B$1000&amp;"",DISPLAY!$J$3:$J$1000,""),"Network Device",_xlfn.XLOOKUP($K746&amp;"",'NETWORK-DEVICES'!$B$3:$B$987&amp;"",'NETWORK-DEVICES'!$I$3:$I$987,""),"Peripheral",_xlfn.XLOOKUP($K746&amp;"",PERIPHERAL!$B$3:$B$954&amp;"",PERIPHERAL!$I$3:$I$954,""),"Utilities",_xlfn.XLOOKUP($K746&amp;"",UTILITIES!$B$3:$B$953&amp;"",UTILITIES!$H$3:$H$953,""),"IOT",_xlfn.XLOOKUP($K746&amp;"",IOT!$B$3:$B$1012&amp;"",IOT!$I$3:$I$1012,""),"SERVER",_xlfn.XLOOKUP($K746&amp;"",SERVER!$B$3:$B$1009&amp;"",SERVER!$I$3:$I$1009,""),""))</f>
        <v/>
      </c>
      <c r="M746" t="str" cm="1">
        <f t="array" ref="M746">IF($K746="","",_xlfn.SWITCH($I746,"Computer",_xlfn.XLOOKUP($K746&amp;"",COMPUTER!$B$3:$B$1009&amp;"",COMPUTER!$J$3:$J$1009,""),"Display",_xlfn.XLOOKUP($K746&amp;"",DISPLAY!$B$3:$B$1000&amp;"",DISPLAY!$K$3:$K$1000,""),"Network Device",_xlfn.XLOOKUP($K746&amp;"",'NETWORK-DEVICES'!$B$3:$B$987&amp;"",'NETWORK-DEVICES'!$I$3:$I$987,""),"Peripheral",_xlfn.XLOOKUP($K746&amp;"",PERIPHERAL!$B$3:$B$954&amp;"",PERIPHERAL!$J$3:$J$954,""),"Utilities",_xlfn.XLOOKUP($K746&amp;"",UTILITIES!$B$3:$B$953&amp;"",UTILITIES!$I$3:$I$953,""),"IOT",_xlfn.XLOOKUP($K746&amp;"",IOT!$B$3:$B$1012&amp;"",IOT!$J$3:$J$1012,""),"Server",_xlfn.XLOOKUP($K746&amp;"",SERVER!$B$3:$B$1009&amp;"",SERVER!$J$3:$J$1009,""),""))</f>
        <v/>
      </c>
      <c r="N746" s="1" t="str" cm="1">
        <f t="array" ref="N746">IF(OR($K746="",$I746="",$J746=""),"",_xlfn.LET(_xlpm.srcCat,_xlfn.SWITCH($I746,"Computer",_xlfn.XLOOKUP($K746&amp;"",COMPUTER!$B$3:$B$1009&amp;"",COMPUTER!$H$3:$H$1009,""),"Display",_xlfn.XLOOKUP($K746&amp;"",DISPLAY!$B$3:$B$1000&amp;"",DISPLAY!$H$3:$H$1000,""),"Network Device",_xlfn.XLOOKUP($K746&amp;"",'NETWORK-DEVICES'!$B$3:$B$987&amp;"",'NETWORK-DEVICES'!$H$3:$H$987,""),"Peripheral",_xlfn.XLOOKUP($K746&amp;"",PERIPHERAL!$B$3:$B$954&amp;"",PERIPHERAL!$H$3:$H$954,""),"Utilities",_xlfn.XLOOKUP($K746&amp;"",UTILITIES!$B$3:$B$953&amp;"",UTILITIES!$G$3:$G$953,""),"IOT",_xlfn.XLOOKUP($K746&amp;"",IOT!$B$3:$B$1012&amp;"",IOT!$H$3:$H$1012,""),"Server",_xlfn.XLOOKUP($K746&amp;"",SERVER!$B$3:$B$1009&amp;"",SERVER!$H$3:$H$1009,""),""),IF(TRIM(_xlpm.srcCat)&lt;&gt;TRIM($J746),"",_xlfn.SWITCH($I746,"Computer",_xlfn.XLOOKUP($K746&amp;"",COMPUTER!$B$3:$B$1009&amp;"",COMPUTER!$K$3:$K$1009,""),"Display",_xlfn.XLOOKUP($K746&amp;"",DISPLAY!$B$3:$B$1000&amp;"",DISPLAY!$L$3:$L$1000,""),"Network Device",_xlfn.XLOOKUP($K746&amp;"",'NETWORK-DEVICES'!$B$3:$B$987&amp;"",'NETWORK-DEVICES'!$K$3:$K$987,""),"Peripheral",_xlfn.XLOOKUP($K746&amp;"",PERIPHERAL!$B$3:$B$954&amp;"",PERIPHERAL!$K$3:$K$954,""),"Utilities",_xlfn.XLOOKUP($K746&amp;"",UTILITIES!$B$3:$B$953&amp;"",UTILITIES!$J$3:$J$953,""),"IOT",_xlfn.XLOOKUP($K746&amp;"",IOT!$B$3:$B$1012&amp;"",IOT!$K$4:$K$1012,""),"Server",_xlfn.XLOOKUP($K746&amp;"",SERVER!$B$3:$B$1009&amp;"",SERVER!$K$3:$K$1009,""),""))))</f>
        <v/>
      </c>
      <c r="O746" s="1" t="str" cm="1">
        <f t="array" ref="O746">IF(OR($K746="",$I746="",$J746=""),"",_xlfn.LET(_xlpm.srcCat,_xlfn.SWITCH($I746,"Computer",_xlfn.XLOOKUP($K746&amp;"",COMPUTER!$B$3:$B$1009&amp;"",COMPUTER!$H$3:$H$1009,""),"Display",_xlfn.XLOOKUP($K746&amp;"",DISPLAY!$B$3:$B$1000&amp;"",DISPLAY!$H$3:$H$1000,""),"Network Device",_xlfn.XLOOKUP($K746&amp;"",'NETWORK-DEVICES'!$B$3:$B$987&amp;"",'NETWORK-DEVICES'!$H$3:$H$987,""),"Peripheral",_xlfn.XLOOKUP($K746&amp;"",PERIPHERAL!$B$3:$B$954&amp;"",PERIPHERAL!$H$3:$H$954,""),"Utilities",_xlfn.XLOOKUP($K746&amp;"",UTILITIES!$B$3:$B$953&amp;"",UTILITIES!$G$3:$G$953,""),"IOT",_xlfn.XLOOKUP($K746&amp;"",IOT!$B$3:$B$1012&amp;"",IOT!$H$3:$H$1012,""),"Server",_xlfn.XLOOKUP($K746&amp;"",SERVER!$B$3:$B$1009&amp;"",SERVER!$H$3:$H$1009,""),""),IF(TRIM(_xlpm.srcCat)&lt;&gt;TRIM($J746),"",_xlfn.SWITCH($I746,"Computer",_xlfn.XLOOKUP($K746&amp;"",COMPUTER!$B$3:$B$1009&amp;"",COMPUTER!$E$3:$E$1009,""),"Display",_xlfn.XLOOKUP($K746&amp;"",DISPLAY!$B$3:$B$1000&amp;"",DISPLAY!$E$3:$E$1000,""),"Network Device",_xlfn.XLOOKUP($K746&amp;"",'NETWORK-DEVICES'!$B$3:$B$987&amp;"",'NETWORK-DEVICES'!$E$3:$E$987,""),"Peripheral",_xlfn.XLOOKUP($K746&amp;"",PERIPHERAL!$B$3:$B$954&amp;"",PERIPHERAL!$E$3:$E$954,""),"Utilities",_xlfn.XLOOKUP($K746&amp;"",UTILITIES!$B$3:$B$953&amp;"",UTILITIES!$E$3:$E$953,""),"IOT",_xlfn.XLOOKUP($K746&amp;"",IOT!$B$3:$B$1012&amp;"",IOT!$E$3:$E$1012,""),"Server",_xlfn.XLOOKUP($K746&amp;"",SERVER!$B$3:$B$1009&amp;"",SERVER!$E$3:$E$1009,""),""))))</f>
        <v/>
      </c>
      <c r="Q746" s="1" t="str" cm="1">
        <f t="array" ref="Q746">IF(OR($K746="",$I746="",$J746=""),"",_xlfn.LET(_xlpm.srcCat,_xlfn.SWITCH($I746,"Computer",_xlfn.XLOOKUP($K746&amp;"",COMPUTER!$B$3:$B$1009&amp;"",COMPUTER!$H$3:$H$1009,""),"Display",_xlfn.XLOOKUP($K746&amp;"",DISPLAY!$B$3:$B$1000&amp;"",DISPLAY!$H$3:$H$1000,""),"Network Device",_xlfn.XLOOKUP($K746&amp;"",'NETWORK-DEVICES'!$B$3:$B$987&amp;"",'NETWORK-DEVICES'!$H$3:$H$987,""),"Peripheral",_xlfn.XLOOKUP($K746&amp;"",PERIPHERAL!$B$3:$B$954&amp;"",PERIPHERAL!$H$3:$H$954,""),"Utilities",_xlfn.XLOOKUP($K746&amp;"",UTILITIES!$B$3:$B$953&amp;"",UTILITIES!$G$3:$G$953,""),"IOT",_xlfn.XLOOKUP($K746&amp;"",IOT!$B$3:$B$1012&amp;"",IOT!$H$3:$H$1012,""),"Server",_xlfn.XLOOKUP($K746&amp;"",SERVER!$B$3:$B$1009&amp;"",SERVER!$H$3:$H$1009,""),""),IF(TRIM(_xlpm.srcCat)&lt;&gt;TRIM($J746),"",_xlfn.SWITCH($I746,"Computer",_xlfn.XLOOKUP($K746&amp;"",COMPUTER!$B$3:$B$1009&amp;"",COMPUTER!$AM$3:$AM$1009,""),"Display",_xlfn.XLOOKUP($K746&amp;"",DISPLAY!$B$3:$B$1000&amp;"",DISPLAY!$V$3:$V$1000,""),"Network Device",_xlfn.XLOOKUP($K746&amp;"",'NETWORK-DEVICES'!$B$3:$B$987&amp;"",'NETWORK-DEVICES'!$AF$3:$AF$987,""),"Peripheral",_xlfn.XLOOKUP($K746&amp;"",PERIPHERAL!$B$3:$B$954&amp;"",PERIPHERAL!$Y$3:$Y$954,""),"Utilities",_xlfn.XLOOKUP($K746&amp;"",UTILITIES!$B$3:$B$953&amp;"",UTILITIES!$O$3:$O$953,""),"IOT",_xlfn.XLOOKUP($K746&amp;"",IOT!$B$3:$B$1012&amp;"",IOT!$AB$3:$AB$1012,""),"Server",_xlfn.XLOOKUP($K746&amp;"",SERVER!$B$3:$B$1009&amp;"",SERVER!$AB$3:$AB$1009,""),""))))</f>
        <v/>
      </c>
      <c r="R746" s="43" t="str">
        <f>IF(tbl_handover[[#This Row],[Asset Code]]="","",COUNTIF(tbl_handover[Asset Code],tbl_handover[[#This Row],[Asset Code]]))</f>
        <v/>
      </c>
    </row>
    <row r="747" spans="1:18" x14ac:dyDescent="0.25">
      <c r="A747" s="43" t="str">
        <f>IF(B747&lt;&gt;"",SUBTOTAL(3,$B$1:B746),"")</f>
        <v/>
      </c>
      <c r="C747" s="74"/>
      <c r="D747" s="74"/>
      <c r="G747" s="1"/>
      <c r="K747" s="42"/>
      <c r="L747" t="str" cm="1">
        <f t="array" ref="L747">IF($K747="","",_xlfn.SWITCH($I747,"Computer",_xlfn.XLOOKUP($K747&amp;"",COMPUTER!$B$3:$B$1009&amp;"",COMPUTER!$I$3:$I$1009,""),"Display",_xlfn.XLOOKUP($K747&amp;"",DISPLAY!$B$3:$B$1000&amp;"",DISPLAY!$J$3:$J$1000,""),"Network Device",_xlfn.XLOOKUP($K747&amp;"",'NETWORK-DEVICES'!$B$3:$B$987&amp;"",'NETWORK-DEVICES'!$I$3:$I$987,""),"Peripheral",_xlfn.XLOOKUP($K747&amp;"",PERIPHERAL!$B$3:$B$954&amp;"",PERIPHERAL!$I$3:$I$954,""),"Utilities",_xlfn.XLOOKUP($K747&amp;"",UTILITIES!$B$3:$B$953&amp;"",UTILITIES!$H$3:$H$953,""),"IOT",_xlfn.XLOOKUP($K747&amp;"",IOT!$B$3:$B$1012&amp;"",IOT!$I$3:$I$1012,""),"SERVER",_xlfn.XLOOKUP($K747&amp;"",SERVER!$B$3:$B$1009&amp;"",SERVER!$I$3:$I$1009,""),""))</f>
        <v/>
      </c>
      <c r="M747" t="str" cm="1">
        <f t="array" ref="M747">IF($K747="","",_xlfn.SWITCH($I747,"Computer",_xlfn.XLOOKUP($K747&amp;"",COMPUTER!$B$3:$B$1009&amp;"",COMPUTER!$J$3:$J$1009,""),"Display",_xlfn.XLOOKUP($K747&amp;"",DISPLAY!$B$3:$B$1000&amp;"",DISPLAY!$K$3:$K$1000,""),"Network Device",_xlfn.XLOOKUP($K747&amp;"",'NETWORK-DEVICES'!$B$3:$B$987&amp;"",'NETWORK-DEVICES'!$I$3:$I$987,""),"Peripheral",_xlfn.XLOOKUP($K747&amp;"",PERIPHERAL!$B$3:$B$954&amp;"",PERIPHERAL!$J$3:$J$954,""),"Utilities",_xlfn.XLOOKUP($K747&amp;"",UTILITIES!$B$3:$B$953&amp;"",UTILITIES!$I$3:$I$953,""),"IOT",_xlfn.XLOOKUP($K747&amp;"",IOT!$B$3:$B$1012&amp;"",IOT!$J$3:$J$1012,""),"Server",_xlfn.XLOOKUP($K747&amp;"",SERVER!$B$3:$B$1009&amp;"",SERVER!$J$3:$J$1009,""),""))</f>
        <v/>
      </c>
      <c r="N747" s="1" t="str" cm="1">
        <f t="array" ref="N747">IF(OR($K747="",$I747="",$J747=""),"",_xlfn.LET(_xlpm.srcCat,_xlfn.SWITCH($I747,"Computer",_xlfn.XLOOKUP($K747&amp;"",COMPUTER!$B$3:$B$1009&amp;"",COMPUTER!$H$3:$H$1009,""),"Display",_xlfn.XLOOKUP($K747&amp;"",DISPLAY!$B$3:$B$1000&amp;"",DISPLAY!$H$3:$H$1000,""),"Network Device",_xlfn.XLOOKUP($K747&amp;"",'NETWORK-DEVICES'!$B$3:$B$987&amp;"",'NETWORK-DEVICES'!$H$3:$H$987,""),"Peripheral",_xlfn.XLOOKUP($K747&amp;"",PERIPHERAL!$B$3:$B$954&amp;"",PERIPHERAL!$H$3:$H$954,""),"Utilities",_xlfn.XLOOKUP($K747&amp;"",UTILITIES!$B$3:$B$953&amp;"",UTILITIES!$G$3:$G$953,""),"IOT",_xlfn.XLOOKUP($K747&amp;"",IOT!$B$3:$B$1012&amp;"",IOT!$H$3:$H$1012,""),"Server",_xlfn.XLOOKUP($K747&amp;"",SERVER!$B$3:$B$1009&amp;"",SERVER!$H$3:$H$1009,""),""),IF(TRIM(_xlpm.srcCat)&lt;&gt;TRIM($J747),"",_xlfn.SWITCH($I747,"Computer",_xlfn.XLOOKUP($K747&amp;"",COMPUTER!$B$3:$B$1009&amp;"",COMPUTER!$K$3:$K$1009,""),"Display",_xlfn.XLOOKUP($K747&amp;"",DISPLAY!$B$3:$B$1000&amp;"",DISPLAY!$L$3:$L$1000,""),"Network Device",_xlfn.XLOOKUP($K747&amp;"",'NETWORK-DEVICES'!$B$3:$B$987&amp;"",'NETWORK-DEVICES'!$K$3:$K$987,""),"Peripheral",_xlfn.XLOOKUP($K747&amp;"",PERIPHERAL!$B$3:$B$954&amp;"",PERIPHERAL!$K$3:$K$954,""),"Utilities",_xlfn.XLOOKUP($K747&amp;"",UTILITIES!$B$3:$B$953&amp;"",UTILITIES!$J$3:$J$953,""),"IOT",_xlfn.XLOOKUP($K747&amp;"",IOT!$B$3:$B$1012&amp;"",IOT!$K$4:$K$1012,""),"Server",_xlfn.XLOOKUP($K747&amp;"",SERVER!$B$3:$B$1009&amp;"",SERVER!$K$3:$K$1009,""),""))))</f>
        <v/>
      </c>
      <c r="O747" s="1" t="str" cm="1">
        <f t="array" ref="O747">IF(OR($K747="",$I747="",$J747=""),"",_xlfn.LET(_xlpm.srcCat,_xlfn.SWITCH($I747,"Computer",_xlfn.XLOOKUP($K747&amp;"",COMPUTER!$B$3:$B$1009&amp;"",COMPUTER!$H$3:$H$1009,""),"Display",_xlfn.XLOOKUP($K747&amp;"",DISPLAY!$B$3:$B$1000&amp;"",DISPLAY!$H$3:$H$1000,""),"Network Device",_xlfn.XLOOKUP($K747&amp;"",'NETWORK-DEVICES'!$B$3:$B$987&amp;"",'NETWORK-DEVICES'!$H$3:$H$987,""),"Peripheral",_xlfn.XLOOKUP($K747&amp;"",PERIPHERAL!$B$3:$B$954&amp;"",PERIPHERAL!$H$3:$H$954,""),"Utilities",_xlfn.XLOOKUP($K747&amp;"",UTILITIES!$B$3:$B$953&amp;"",UTILITIES!$G$3:$G$953,""),"IOT",_xlfn.XLOOKUP($K747&amp;"",IOT!$B$3:$B$1012&amp;"",IOT!$H$3:$H$1012,""),"Server",_xlfn.XLOOKUP($K747&amp;"",SERVER!$B$3:$B$1009&amp;"",SERVER!$H$3:$H$1009,""),""),IF(TRIM(_xlpm.srcCat)&lt;&gt;TRIM($J747),"",_xlfn.SWITCH($I747,"Computer",_xlfn.XLOOKUP($K747&amp;"",COMPUTER!$B$3:$B$1009&amp;"",COMPUTER!$E$3:$E$1009,""),"Display",_xlfn.XLOOKUP($K747&amp;"",DISPLAY!$B$3:$B$1000&amp;"",DISPLAY!$E$3:$E$1000,""),"Network Device",_xlfn.XLOOKUP($K747&amp;"",'NETWORK-DEVICES'!$B$3:$B$987&amp;"",'NETWORK-DEVICES'!$E$3:$E$987,""),"Peripheral",_xlfn.XLOOKUP($K747&amp;"",PERIPHERAL!$B$3:$B$954&amp;"",PERIPHERAL!$E$3:$E$954,""),"Utilities",_xlfn.XLOOKUP($K747&amp;"",UTILITIES!$B$3:$B$953&amp;"",UTILITIES!$E$3:$E$953,""),"IOT",_xlfn.XLOOKUP($K747&amp;"",IOT!$B$3:$B$1012&amp;"",IOT!$E$3:$E$1012,""),"Server",_xlfn.XLOOKUP($K747&amp;"",SERVER!$B$3:$B$1009&amp;"",SERVER!$E$3:$E$1009,""),""))))</f>
        <v/>
      </c>
      <c r="Q747" s="1" t="str" cm="1">
        <f t="array" ref="Q747">IF(OR($K747="",$I747="",$J747=""),"",_xlfn.LET(_xlpm.srcCat,_xlfn.SWITCH($I747,"Computer",_xlfn.XLOOKUP($K747&amp;"",COMPUTER!$B$3:$B$1009&amp;"",COMPUTER!$H$3:$H$1009,""),"Display",_xlfn.XLOOKUP($K747&amp;"",DISPLAY!$B$3:$B$1000&amp;"",DISPLAY!$H$3:$H$1000,""),"Network Device",_xlfn.XLOOKUP($K747&amp;"",'NETWORK-DEVICES'!$B$3:$B$987&amp;"",'NETWORK-DEVICES'!$H$3:$H$987,""),"Peripheral",_xlfn.XLOOKUP($K747&amp;"",PERIPHERAL!$B$3:$B$954&amp;"",PERIPHERAL!$H$3:$H$954,""),"Utilities",_xlfn.XLOOKUP($K747&amp;"",UTILITIES!$B$3:$B$953&amp;"",UTILITIES!$G$3:$G$953,""),"IOT",_xlfn.XLOOKUP($K747&amp;"",IOT!$B$3:$B$1012&amp;"",IOT!$H$3:$H$1012,""),"Server",_xlfn.XLOOKUP($K747&amp;"",SERVER!$B$3:$B$1009&amp;"",SERVER!$H$3:$H$1009,""),""),IF(TRIM(_xlpm.srcCat)&lt;&gt;TRIM($J747),"",_xlfn.SWITCH($I747,"Computer",_xlfn.XLOOKUP($K747&amp;"",COMPUTER!$B$3:$B$1009&amp;"",COMPUTER!$AM$3:$AM$1009,""),"Display",_xlfn.XLOOKUP($K747&amp;"",DISPLAY!$B$3:$B$1000&amp;"",DISPLAY!$V$3:$V$1000,""),"Network Device",_xlfn.XLOOKUP($K747&amp;"",'NETWORK-DEVICES'!$B$3:$B$987&amp;"",'NETWORK-DEVICES'!$AF$3:$AF$987,""),"Peripheral",_xlfn.XLOOKUP($K747&amp;"",PERIPHERAL!$B$3:$B$954&amp;"",PERIPHERAL!$Y$3:$Y$954,""),"Utilities",_xlfn.XLOOKUP($K747&amp;"",UTILITIES!$B$3:$B$953&amp;"",UTILITIES!$O$3:$O$953,""),"IOT",_xlfn.XLOOKUP($K747&amp;"",IOT!$B$3:$B$1012&amp;"",IOT!$AB$3:$AB$1012,""),"Server",_xlfn.XLOOKUP($K747&amp;"",SERVER!$B$3:$B$1009&amp;"",SERVER!$AB$3:$AB$1009,""),""))))</f>
        <v/>
      </c>
      <c r="R747" s="43" t="str">
        <f>IF(tbl_handover[[#This Row],[Asset Code]]="","",COUNTIF(tbl_handover[Asset Code],tbl_handover[[#This Row],[Asset Code]]))</f>
        <v/>
      </c>
    </row>
    <row r="748" spans="1:18" x14ac:dyDescent="0.25">
      <c r="A748" s="43" t="str">
        <f>IF(B748&lt;&gt;"",SUBTOTAL(3,$B$1:B747),"")</f>
        <v/>
      </c>
      <c r="C748" s="74"/>
      <c r="D748" s="74"/>
      <c r="G748" s="1"/>
      <c r="K748" s="42"/>
      <c r="L748" t="str" cm="1">
        <f t="array" ref="L748">IF($K748="","",_xlfn.SWITCH($I748,"Computer",_xlfn.XLOOKUP($K748&amp;"",COMPUTER!$B$3:$B$1009&amp;"",COMPUTER!$I$3:$I$1009,""),"Display",_xlfn.XLOOKUP($K748&amp;"",DISPLAY!$B$3:$B$1000&amp;"",DISPLAY!$J$3:$J$1000,""),"Network Device",_xlfn.XLOOKUP($K748&amp;"",'NETWORK-DEVICES'!$B$3:$B$987&amp;"",'NETWORK-DEVICES'!$I$3:$I$987,""),"Peripheral",_xlfn.XLOOKUP($K748&amp;"",PERIPHERAL!$B$3:$B$954&amp;"",PERIPHERAL!$I$3:$I$954,""),"Utilities",_xlfn.XLOOKUP($K748&amp;"",UTILITIES!$B$3:$B$953&amp;"",UTILITIES!$H$3:$H$953,""),"IOT",_xlfn.XLOOKUP($K748&amp;"",IOT!$B$3:$B$1012&amp;"",IOT!$I$3:$I$1012,""),"SERVER",_xlfn.XLOOKUP($K748&amp;"",SERVER!$B$3:$B$1009&amp;"",SERVER!$I$3:$I$1009,""),""))</f>
        <v/>
      </c>
      <c r="M748" t="str" cm="1">
        <f t="array" ref="M748">IF($K748="","",_xlfn.SWITCH($I748,"Computer",_xlfn.XLOOKUP($K748&amp;"",COMPUTER!$B$3:$B$1009&amp;"",COMPUTER!$J$3:$J$1009,""),"Display",_xlfn.XLOOKUP($K748&amp;"",DISPLAY!$B$3:$B$1000&amp;"",DISPLAY!$K$3:$K$1000,""),"Network Device",_xlfn.XLOOKUP($K748&amp;"",'NETWORK-DEVICES'!$B$3:$B$987&amp;"",'NETWORK-DEVICES'!$I$3:$I$987,""),"Peripheral",_xlfn.XLOOKUP($K748&amp;"",PERIPHERAL!$B$3:$B$954&amp;"",PERIPHERAL!$J$3:$J$954,""),"Utilities",_xlfn.XLOOKUP($K748&amp;"",UTILITIES!$B$3:$B$953&amp;"",UTILITIES!$I$3:$I$953,""),"IOT",_xlfn.XLOOKUP($K748&amp;"",IOT!$B$3:$B$1012&amp;"",IOT!$J$3:$J$1012,""),"Server",_xlfn.XLOOKUP($K748&amp;"",SERVER!$B$3:$B$1009&amp;"",SERVER!$J$3:$J$1009,""),""))</f>
        <v/>
      </c>
      <c r="N748" s="1" t="str" cm="1">
        <f t="array" ref="N748">IF(OR($K748="",$I748="",$J748=""),"",_xlfn.LET(_xlpm.srcCat,_xlfn.SWITCH($I748,"Computer",_xlfn.XLOOKUP($K748&amp;"",COMPUTER!$B$3:$B$1009&amp;"",COMPUTER!$H$3:$H$1009,""),"Display",_xlfn.XLOOKUP($K748&amp;"",DISPLAY!$B$3:$B$1000&amp;"",DISPLAY!$H$3:$H$1000,""),"Network Device",_xlfn.XLOOKUP($K748&amp;"",'NETWORK-DEVICES'!$B$3:$B$987&amp;"",'NETWORK-DEVICES'!$H$3:$H$987,""),"Peripheral",_xlfn.XLOOKUP($K748&amp;"",PERIPHERAL!$B$3:$B$954&amp;"",PERIPHERAL!$H$3:$H$954,""),"Utilities",_xlfn.XLOOKUP($K748&amp;"",UTILITIES!$B$3:$B$953&amp;"",UTILITIES!$G$3:$G$953,""),"IOT",_xlfn.XLOOKUP($K748&amp;"",IOT!$B$3:$B$1012&amp;"",IOT!$H$3:$H$1012,""),"Server",_xlfn.XLOOKUP($K748&amp;"",SERVER!$B$3:$B$1009&amp;"",SERVER!$H$3:$H$1009,""),""),IF(TRIM(_xlpm.srcCat)&lt;&gt;TRIM($J748),"",_xlfn.SWITCH($I748,"Computer",_xlfn.XLOOKUP($K748&amp;"",COMPUTER!$B$3:$B$1009&amp;"",COMPUTER!$K$3:$K$1009,""),"Display",_xlfn.XLOOKUP($K748&amp;"",DISPLAY!$B$3:$B$1000&amp;"",DISPLAY!$L$3:$L$1000,""),"Network Device",_xlfn.XLOOKUP($K748&amp;"",'NETWORK-DEVICES'!$B$3:$B$987&amp;"",'NETWORK-DEVICES'!$K$3:$K$987,""),"Peripheral",_xlfn.XLOOKUP($K748&amp;"",PERIPHERAL!$B$3:$B$954&amp;"",PERIPHERAL!$K$3:$K$954,""),"Utilities",_xlfn.XLOOKUP($K748&amp;"",UTILITIES!$B$3:$B$953&amp;"",UTILITIES!$J$3:$J$953,""),"IOT",_xlfn.XLOOKUP($K748&amp;"",IOT!$B$3:$B$1012&amp;"",IOT!$K$4:$K$1012,""),"Server",_xlfn.XLOOKUP($K748&amp;"",SERVER!$B$3:$B$1009&amp;"",SERVER!$K$3:$K$1009,""),""))))</f>
        <v/>
      </c>
      <c r="O748" s="1" t="str" cm="1">
        <f t="array" ref="O748">IF(OR($K748="",$I748="",$J748=""),"",_xlfn.LET(_xlpm.srcCat,_xlfn.SWITCH($I748,"Computer",_xlfn.XLOOKUP($K748&amp;"",COMPUTER!$B$3:$B$1009&amp;"",COMPUTER!$H$3:$H$1009,""),"Display",_xlfn.XLOOKUP($K748&amp;"",DISPLAY!$B$3:$B$1000&amp;"",DISPLAY!$H$3:$H$1000,""),"Network Device",_xlfn.XLOOKUP($K748&amp;"",'NETWORK-DEVICES'!$B$3:$B$987&amp;"",'NETWORK-DEVICES'!$H$3:$H$987,""),"Peripheral",_xlfn.XLOOKUP($K748&amp;"",PERIPHERAL!$B$3:$B$954&amp;"",PERIPHERAL!$H$3:$H$954,""),"Utilities",_xlfn.XLOOKUP($K748&amp;"",UTILITIES!$B$3:$B$953&amp;"",UTILITIES!$G$3:$G$953,""),"IOT",_xlfn.XLOOKUP($K748&amp;"",IOT!$B$3:$B$1012&amp;"",IOT!$H$3:$H$1012,""),"Server",_xlfn.XLOOKUP($K748&amp;"",SERVER!$B$3:$B$1009&amp;"",SERVER!$H$3:$H$1009,""),""),IF(TRIM(_xlpm.srcCat)&lt;&gt;TRIM($J748),"",_xlfn.SWITCH($I748,"Computer",_xlfn.XLOOKUP($K748&amp;"",COMPUTER!$B$3:$B$1009&amp;"",COMPUTER!$E$3:$E$1009,""),"Display",_xlfn.XLOOKUP($K748&amp;"",DISPLAY!$B$3:$B$1000&amp;"",DISPLAY!$E$3:$E$1000,""),"Network Device",_xlfn.XLOOKUP($K748&amp;"",'NETWORK-DEVICES'!$B$3:$B$987&amp;"",'NETWORK-DEVICES'!$E$3:$E$987,""),"Peripheral",_xlfn.XLOOKUP($K748&amp;"",PERIPHERAL!$B$3:$B$954&amp;"",PERIPHERAL!$E$3:$E$954,""),"Utilities",_xlfn.XLOOKUP($K748&amp;"",UTILITIES!$B$3:$B$953&amp;"",UTILITIES!$E$3:$E$953,""),"IOT",_xlfn.XLOOKUP($K748&amp;"",IOT!$B$3:$B$1012&amp;"",IOT!$E$3:$E$1012,""),"Server",_xlfn.XLOOKUP($K748&amp;"",SERVER!$B$3:$B$1009&amp;"",SERVER!$E$3:$E$1009,""),""))))</f>
        <v/>
      </c>
      <c r="Q748" s="1" t="str" cm="1">
        <f t="array" ref="Q748">IF(OR($K748="",$I748="",$J748=""),"",_xlfn.LET(_xlpm.srcCat,_xlfn.SWITCH($I748,"Computer",_xlfn.XLOOKUP($K748&amp;"",COMPUTER!$B$3:$B$1009&amp;"",COMPUTER!$H$3:$H$1009,""),"Display",_xlfn.XLOOKUP($K748&amp;"",DISPLAY!$B$3:$B$1000&amp;"",DISPLAY!$H$3:$H$1000,""),"Network Device",_xlfn.XLOOKUP($K748&amp;"",'NETWORK-DEVICES'!$B$3:$B$987&amp;"",'NETWORK-DEVICES'!$H$3:$H$987,""),"Peripheral",_xlfn.XLOOKUP($K748&amp;"",PERIPHERAL!$B$3:$B$954&amp;"",PERIPHERAL!$H$3:$H$954,""),"Utilities",_xlfn.XLOOKUP($K748&amp;"",UTILITIES!$B$3:$B$953&amp;"",UTILITIES!$G$3:$G$953,""),"IOT",_xlfn.XLOOKUP($K748&amp;"",IOT!$B$3:$B$1012&amp;"",IOT!$H$3:$H$1012,""),"Server",_xlfn.XLOOKUP($K748&amp;"",SERVER!$B$3:$B$1009&amp;"",SERVER!$H$3:$H$1009,""),""),IF(TRIM(_xlpm.srcCat)&lt;&gt;TRIM($J748),"",_xlfn.SWITCH($I748,"Computer",_xlfn.XLOOKUP($K748&amp;"",COMPUTER!$B$3:$B$1009&amp;"",COMPUTER!$AM$3:$AM$1009,""),"Display",_xlfn.XLOOKUP($K748&amp;"",DISPLAY!$B$3:$B$1000&amp;"",DISPLAY!$V$3:$V$1000,""),"Network Device",_xlfn.XLOOKUP($K748&amp;"",'NETWORK-DEVICES'!$B$3:$B$987&amp;"",'NETWORK-DEVICES'!$AF$3:$AF$987,""),"Peripheral",_xlfn.XLOOKUP($K748&amp;"",PERIPHERAL!$B$3:$B$954&amp;"",PERIPHERAL!$Y$3:$Y$954,""),"Utilities",_xlfn.XLOOKUP($K748&amp;"",UTILITIES!$B$3:$B$953&amp;"",UTILITIES!$O$3:$O$953,""),"IOT",_xlfn.XLOOKUP($K748&amp;"",IOT!$B$3:$B$1012&amp;"",IOT!$AB$3:$AB$1012,""),"Server",_xlfn.XLOOKUP($K748&amp;"",SERVER!$B$3:$B$1009&amp;"",SERVER!$AB$3:$AB$1009,""),""))))</f>
        <v/>
      </c>
      <c r="R748" s="43" t="str">
        <f>IF(tbl_handover[[#This Row],[Asset Code]]="","",COUNTIF(tbl_handover[Asset Code],tbl_handover[[#This Row],[Asset Code]]))</f>
        <v/>
      </c>
    </row>
    <row r="749" spans="1:18" x14ac:dyDescent="0.25">
      <c r="A749" s="43" t="str">
        <f>IF(B749&lt;&gt;"",SUBTOTAL(3,$B$1:B748),"")</f>
        <v/>
      </c>
      <c r="C749" s="74"/>
      <c r="D749" s="74"/>
      <c r="G749" s="1"/>
      <c r="K749" s="42"/>
      <c r="L749" t="str" cm="1">
        <f t="array" ref="L749">IF($K749="","",_xlfn.SWITCH($I749,"Computer",_xlfn.XLOOKUP($K749&amp;"",COMPUTER!$B$3:$B$1009&amp;"",COMPUTER!$I$3:$I$1009,""),"Display",_xlfn.XLOOKUP($K749&amp;"",DISPLAY!$B$3:$B$1000&amp;"",DISPLAY!$J$3:$J$1000,""),"Network Device",_xlfn.XLOOKUP($K749&amp;"",'NETWORK-DEVICES'!$B$3:$B$987&amp;"",'NETWORK-DEVICES'!$I$3:$I$987,""),"Peripheral",_xlfn.XLOOKUP($K749&amp;"",PERIPHERAL!$B$3:$B$954&amp;"",PERIPHERAL!$I$3:$I$954,""),"Utilities",_xlfn.XLOOKUP($K749&amp;"",UTILITIES!$B$3:$B$953&amp;"",UTILITIES!$H$3:$H$953,""),"IOT",_xlfn.XLOOKUP($K749&amp;"",IOT!$B$3:$B$1012&amp;"",IOT!$I$3:$I$1012,""),"SERVER",_xlfn.XLOOKUP($K749&amp;"",SERVER!$B$3:$B$1009&amp;"",SERVER!$I$3:$I$1009,""),""))</f>
        <v/>
      </c>
      <c r="M749" t="str" cm="1">
        <f t="array" ref="M749">IF($K749="","",_xlfn.SWITCH($I749,"Computer",_xlfn.XLOOKUP($K749&amp;"",COMPUTER!$B$3:$B$1009&amp;"",COMPUTER!$J$3:$J$1009,""),"Display",_xlfn.XLOOKUP($K749&amp;"",DISPLAY!$B$3:$B$1000&amp;"",DISPLAY!$K$3:$K$1000,""),"Network Device",_xlfn.XLOOKUP($K749&amp;"",'NETWORK-DEVICES'!$B$3:$B$987&amp;"",'NETWORK-DEVICES'!$I$3:$I$987,""),"Peripheral",_xlfn.XLOOKUP($K749&amp;"",PERIPHERAL!$B$3:$B$954&amp;"",PERIPHERAL!$J$3:$J$954,""),"Utilities",_xlfn.XLOOKUP($K749&amp;"",UTILITIES!$B$3:$B$953&amp;"",UTILITIES!$I$3:$I$953,""),"IOT",_xlfn.XLOOKUP($K749&amp;"",IOT!$B$3:$B$1012&amp;"",IOT!$J$3:$J$1012,""),"Server",_xlfn.XLOOKUP($K749&amp;"",SERVER!$B$3:$B$1009&amp;"",SERVER!$J$3:$J$1009,""),""))</f>
        <v/>
      </c>
      <c r="N749" s="1" t="str" cm="1">
        <f t="array" ref="N749">IF(OR($K749="",$I749="",$J749=""),"",_xlfn.LET(_xlpm.srcCat,_xlfn.SWITCH($I749,"Computer",_xlfn.XLOOKUP($K749&amp;"",COMPUTER!$B$3:$B$1009&amp;"",COMPUTER!$H$3:$H$1009,""),"Display",_xlfn.XLOOKUP($K749&amp;"",DISPLAY!$B$3:$B$1000&amp;"",DISPLAY!$H$3:$H$1000,""),"Network Device",_xlfn.XLOOKUP($K749&amp;"",'NETWORK-DEVICES'!$B$3:$B$987&amp;"",'NETWORK-DEVICES'!$H$3:$H$987,""),"Peripheral",_xlfn.XLOOKUP($K749&amp;"",PERIPHERAL!$B$3:$B$954&amp;"",PERIPHERAL!$H$3:$H$954,""),"Utilities",_xlfn.XLOOKUP($K749&amp;"",UTILITIES!$B$3:$B$953&amp;"",UTILITIES!$G$3:$G$953,""),"IOT",_xlfn.XLOOKUP($K749&amp;"",IOT!$B$3:$B$1012&amp;"",IOT!$H$3:$H$1012,""),"Server",_xlfn.XLOOKUP($K749&amp;"",SERVER!$B$3:$B$1009&amp;"",SERVER!$H$3:$H$1009,""),""),IF(TRIM(_xlpm.srcCat)&lt;&gt;TRIM($J749),"",_xlfn.SWITCH($I749,"Computer",_xlfn.XLOOKUP($K749&amp;"",COMPUTER!$B$3:$B$1009&amp;"",COMPUTER!$K$3:$K$1009,""),"Display",_xlfn.XLOOKUP($K749&amp;"",DISPLAY!$B$3:$B$1000&amp;"",DISPLAY!$L$3:$L$1000,""),"Network Device",_xlfn.XLOOKUP($K749&amp;"",'NETWORK-DEVICES'!$B$3:$B$987&amp;"",'NETWORK-DEVICES'!$K$3:$K$987,""),"Peripheral",_xlfn.XLOOKUP($K749&amp;"",PERIPHERAL!$B$3:$B$954&amp;"",PERIPHERAL!$K$3:$K$954,""),"Utilities",_xlfn.XLOOKUP($K749&amp;"",UTILITIES!$B$3:$B$953&amp;"",UTILITIES!$J$3:$J$953,""),"IOT",_xlfn.XLOOKUP($K749&amp;"",IOT!$B$3:$B$1012&amp;"",IOT!$K$4:$K$1012,""),"Server",_xlfn.XLOOKUP($K749&amp;"",SERVER!$B$3:$B$1009&amp;"",SERVER!$K$3:$K$1009,""),""))))</f>
        <v/>
      </c>
      <c r="O749" s="1" t="str" cm="1">
        <f t="array" ref="O749">IF(OR($K749="",$I749="",$J749=""),"",_xlfn.LET(_xlpm.srcCat,_xlfn.SWITCH($I749,"Computer",_xlfn.XLOOKUP($K749&amp;"",COMPUTER!$B$3:$B$1009&amp;"",COMPUTER!$H$3:$H$1009,""),"Display",_xlfn.XLOOKUP($K749&amp;"",DISPLAY!$B$3:$B$1000&amp;"",DISPLAY!$H$3:$H$1000,""),"Network Device",_xlfn.XLOOKUP($K749&amp;"",'NETWORK-DEVICES'!$B$3:$B$987&amp;"",'NETWORK-DEVICES'!$H$3:$H$987,""),"Peripheral",_xlfn.XLOOKUP($K749&amp;"",PERIPHERAL!$B$3:$B$954&amp;"",PERIPHERAL!$H$3:$H$954,""),"Utilities",_xlfn.XLOOKUP($K749&amp;"",UTILITIES!$B$3:$B$953&amp;"",UTILITIES!$G$3:$G$953,""),"IOT",_xlfn.XLOOKUP($K749&amp;"",IOT!$B$3:$B$1012&amp;"",IOT!$H$3:$H$1012,""),"Server",_xlfn.XLOOKUP($K749&amp;"",SERVER!$B$3:$B$1009&amp;"",SERVER!$H$3:$H$1009,""),""),IF(TRIM(_xlpm.srcCat)&lt;&gt;TRIM($J749),"",_xlfn.SWITCH($I749,"Computer",_xlfn.XLOOKUP($K749&amp;"",COMPUTER!$B$3:$B$1009&amp;"",COMPUTER!$E$3:$E$1009,""),"Display",_xlfn.XLOOKUP($K749&amp;"",DISPLAY!$B$3:$B$1000&amp;"",DISPLAY!$E$3:$E$1000,""),"Network Device",_xlfn.XLOOKUP($K749&amp;"",'NETWORK-DEVICES'!$B$3:$B$987&amp;"",'NETWORK-DEVICES'!$E$3:$E$987,""),"Peripheral",_xlfn.XLOOKUP($K749&amp;"",PERIPHERAL!$B$3:$B$954&amp;"",PERIPHERAL!$E$3:$E$954,""),"Utilities",_xlfn.XLOOKUP($K749&amp;"",UTILITIES!$B$3:$B$953&amp;"",UTILITIES!$E$3:$E$953,""),"IOT",_xlfn.XLOOKUP($K749&amp;"",IOT!$B$3:$B$1012&amp;"",IOT!$E$3:$E$1012,""),"Server",_xlfn.XLOOKUP($K749&amp;"",SERVER!$B$3:$B$1009&amp;"",SERVER!$E$3:$E$1009,""),""))))</f>
        <v/>
      </c>
      <c r="Q749" s="1" t="str" cm="1">
        <f t="array" ref="Q749">IF(OR($K749="",$I749="",$J749=""),"",_xlfn.LET(_xlpm.srcCat,_xlfn.SWITCH($I749,"Computer",_xlfn.XLOOKUP($K749&amp;"",COMPUTER!$B$3:$B$1009&amp;"",COMPUTER!$H$3:$H$1009,""),"Display",_xlfn.XLOOKUP($K749&amp;"",DISPLAY!$B$3:$B$1000&amp;"",DISPLAY!$H$3:$H$1000,""),"Network Device",_xlfn.XLOOKUP($K749&amp;"",'NETWORK-DEVICES'!$B$3:$B$987&amp;"",'NETWORK-DEVICES'!$H$3:$H$987,""),"Peripheral",_xlfn.XLOOKUP($K749&amp;"",PERIPHERAL!$B$3:$B$954&amp;"",PERIPHERAL!$H$3:$H$954,""),"Utilities",_xlfn.XLOOKUP($K749&amp;"",UTILITIES!$B$3:$B$953&amp;"",UTILITIES!$G$3:$G$953,""),"IOT",_xlfn.XLOOKUP($K749&amp;"",IOT!$B$3:$B$1012&amp;"",IOT!$H$3:$H$1012,""),"Server",_xlfn.XLOOKUP($K749&amp;"",SERVER!$B$3:$B$1009&amp;"",SERVER!$H$3:$H$1009,""),""),IF(TRIM(_xlpm.srcCat)&lt;&gt;TRIM($J749),"",_xlfn.SWITCH($I749,"Computer",_xlfn.XLOOKUP($K749&amp;"",COMPUTER!$B$3:$B$1009&amp;"",COMPUTER!$AM$3:$AM$1009,""),"Display",_xlfn.XLOOKUP($K749&amp;"",DISPLAY!$B$3:$B$1000&amp;"",DISPLAY!$V$3:$V$1000,""),"Network Device",_xlfn.XLOOKUP($K749&amp;"",'NETWORK-DEVICES'!$B$3:$B$987&amp;"",'NETWORK-DEVICES'!$AF$3:$AF$987,""),"Peripheral",_xlfn.XLOOKUP($K749&amp;"",PERIPHERAL!$B$3:$B$954&amp;"",PERIPHERAL!$Y$3:$Y$954,""),"Utilities",_xlfn.XLOOKUP($K749&amp;"",UTILITIES!$B$3:$B$953&amp;"",UTILITIES!$O$3:$O$953,""),"IOT",_xlfn.XLOOKUP($K749&amp;"",IOT!$B$3:$B$1012&amp;"",IOT!$AB$3:$AB$1012,""),"Server",_xlfn.XLOOKUP($K749&amp;"",SERVER!$B$3:$B$1009&amp;"",SERVER!$AB$3:$AB$1009,""),""))))</f>
        <v/>
      </c>
      <c r="R749" s="43" t="str">
        <f>IF(tbl_handover[[#This Row],[Asset Code]]="","",COUNTIF(tbl_handover[Asset Code],tbl_handover[[#This Row],[Asset Code]]))</f>
        <v/>
      </c>
    </row>
    <row r="750" spans="1:18" x14ac:dyDescent="0.25">
      <c r="A750" s="43" t="str">
        <f>IF(B750&lt;&gt;"",SUBTOTAL(3,$B$1:B749),"")</f>
        <v/>
      </c>
      <c r="C750" s="74"/>
      <c r="D750" s="74"/>
      <c r="G750" s="1"/>
      <c r="K750" s="42"/>
      <c r="L750" t="str" cm="1">
        <f t="array" ref="L750">IF($K750="","",_xlfn.SWITCH($I750,"Computer",_xlfn.XLOOKUP($K750&amp;"",COMPUTER!$B$3:$B$1009&amp;"",COMPUTER!$I$3:$I$1009,""),"Display",_xlfn.XLOOKUP($K750&amp;"",DISPLAY!$B$3:$B$1000&amp;"",DISPLAY!$J$3:$J$1000,""),"Network Device",_xlfn.XLOOKUP($K750&amp;"",'NETWORK-DEVICES'!$B$3:$B$987&amp;"",'NETWORK-DEVICES'!$I$3:$I$987,""),"Peripheral",_xlfn.XLOOKUP($K750&amp;"",PERIPHERAL!$B$3:$B$954&amp;"",PERIPHERAL!$I$3:$I$954,""),"Utilities",_xlfn.XLOOKUP($K750&amp;"",UTILITIES!$B$3:$B$953&amp;"",UTILITIES!$H$3:$H$953,""),"IOT",_xlfn.XLOOKUP($K750&amp;"",IOT!$B$3:$B$1012&amp;"",IOT!$I$3:$I$1012,""),"SERVER",_xlfn.XLOOKUP($K750&amp;"",SERVER!$B$3:$B$1009&amp;"",SERVER!$I$3:$I$1009,""),""))</f>
        <v/>
      </c>
      <c r="M750" t="str" cm="1">
        <f t="array" ref="M750">IF($K750="","",_xlfn.SWITCH($I750,"Computer",_xlfn.XLOOKUP($K750&amp;"",COMPUTER!$B$3:$B$1009&amp;"",COMPUTER!$J$3:$J$1009,""),"Display",_xlfn.XLOOKUP($K750&amp;"",DISPLAY!$B$3:$B$1000&amp;"",DISPLAY!$K$3:$K$1000,""),"Network Device",_xlfn.XLOOKUP($K750&amp;"",'NETWORK-DEVICES'!$B$3:$B$987&amp;"",'NETWORK-DEVICES'!$I$3:$I$987,""),"Peripheral",_xlfn.XLOOKUP($K750&amp;"",PERIPHERAL!$B$3:$B$954&amp;"",PERIPHERAL!$J$3:$J$954,""),"Utilities",_xlfn.XLOOKUP($K750&amp;"",UTILITIES!$B$3:$B$953&amp;"",UTILITIES!$I$3:$I$953,""),"IOT",_xlfn.XLOOKUP($K750&amp;"",IOT!$B$3:$B$1012&amp;"",IOT!$J$3:$J$1012,""),"Server",_xlfn.XLOOKUP($K750&amp;"",SERVER!$B$3:$B$1009&amp;"",SERVER!$J$3:$J$1009,""),""))</f>
        <v/>
      </c>
      <c r="N750" s="1" t="str" cm="1">
        <f t="array" ref="N750">IF(OR($K750="",$I750="",$J750=""),"",_xlfn.LET(_xlpm.srcCat,_xlfn.SWITCH($I750,"Computer",_xlfn.XLOOKUP($K750&amp;"",COMPUTER!$B$3:$B$1009&amp;"",COMPUTER!$H$3:$H$1009,""),"Display",_xlfn.XLOOKUP($K750&amp;"",DISPLAY!$B$3:$B$1000&amp;"",DISPLAY!$H$3:$H$1000,""),"Network Device",_xlfn.XLOOKUP($K750&amp;"",'NETWORK-DEVICES'!$B$3:$B$987&amp;"",'NETWORK-DEVICES'!$H$3:$H$987,""),"Peripheral",_xlfn.XLOOKUP($K750&amp;"",PERIPHERAL!$B$3:$B$954&amp;"",PERIPHERAL!$H$3:$H$954,""),"Utilities",_xlfn.XLOOKUP($K750&amp;"",UTILITIES!$B$3:$B$953&amp;"",UTILITIES!$G$3:$G$953,""),"IOT",_xlfn.XLOOKUP($K750&amp;"",IOT!$B$3:$B$1012&amp;"",IOT!$H$3:$H$1012,""),"Server",_xlfn.XLOOKUP($K750&amp;"",SERVER!$B$3:$B$1009&amp;"",SERVER!$H$3:$H$1009,""),""),IF(TRIM(_xlpm.srcCat)&lt;&gt;TRIM($J750),"",_xlfn.SWITCH($I750,"Computer",_xlfn.XLOOKUP($K750&amp;"",COMPUTER!$B$3:$B$1009&amp;"",COMPUTER!$K$3:$K$1009,""),"Display",_xlfn.XLOOKUP($K750&amp;"",DISPLAY!$B$3:$B$1000&amp;"",DISPLAY!$L$3:$L$1000,""),"Network Device",_xlfn.XLOOKUP($K750&amp;"",'NETWORK-DEVICES'!$B$3:$B$987&amp;"",'NETWORK-DEVICES'!$K$3:$K$987,""),"Peripheral",_xlfn.XLOOKUP($K750&amp;"",PERIPHERAL!$B$3:$B$954&amp;"",PERIPHERAL!$K$3:$K$954,""),"Utilities",_xlfn.XLOOKUP($K750&amp;"",UTILITIES!$B$3:$B$953&amp;"",UTILITIES!$J$3:$J$953,""),"IOT",_xlfn.XLOOKUP($K750&amp;"",IOT!$B$3:$B$1012&amp;"",IOT!$K$4:$K$1012,""),"Server",_xlfn.XLOOKUP($K750&amp;"",SERVER!$B$3:$B$1009&amp;"",SERVER!$K$3:$K$1009,""),""))))</f>
        <v/>
      </c>
      <c r="O750" s="1" t="str" cm="1">
        <f t="array" ref="O750">IF(OR($K750="",$I750="",$J750=""),"",_xlfn.LET(_xlpm.srcCat,_xlfn.SWITCH($I750,"Computer",_xlfn.XLOOKUP($K750&amp;"",COMPUTER!$B$3:$B$1009&amp;"",COMPUTER!$H$3:$H$1009,""),"Display",_xlfn.XLOOKUP($K750&amp;"",DISPLAY!$B$3:$B$1000&amp;"",DISPLAY!$H$3:$H$1000,""),"Network Device",_xlfn.XLOOKUP($K750&amp;"",'NETWORK-DEVICES'!$B$3:$B$987&amp;"",'NETWORK-DEVICES'!$H$3:$H$987,""),"Peripheral",_xlfn.XLOOKUP($K750&amp;"",PERIPHERAL!$B$3:$B$954&amp;"",PERIPHERAL!$H$3:$H$954,""),"Utilities",_xlfn.XLOOKUP($K750&amp;"",UTILITIES!$B$3:$B$953&amp;"",UTILITIES!$G$3:$G$953,""),"IOT",_xlfn.XLOOKUP($K750&amp;"",IOT!$B$3:$B$1012&amp;"",IOT!$H$3:$H$1012,""),"Server",_xlfn.XLOOKUP($K750&amp;"",SERVER!$B$3:$B$1009&amp;"",SERVER!$H$3:$H$1009,""),""),IF(TRIM(_xlpm.srcCat)&lt;&gt;TRIM($J750),"",_xlfn.SWITCH($I750,"Computer",_xlfn.XLOOKUP($K750&amp;"",COMPUTER!$B$3:$B$1009&amp;"",COMPUTER!$E$3:$E$1009,""),"Display",_xlfn.XLOOKUP($K750&amp;"",DISPLAY!$B$3:$B$1000&amp;"",DISPLAY!$E$3:$E$1000,""),"Network Device",_xlfn.XLOOKUP($K750&amp;"",'NETWORK-DEVICES'!$B$3:$B$987&amp;"",'NETWORK-DEVICES'!$E$3:$E$987,""),"Peripheral",_xlfn.XLOOKUP($K750&amp;"",PERIPHERAL!$B$3:$B$954&amp;"",PERIPHERAL!$E$3:$E$954,""),"Utilities",_xlfn.XLOOKUP($K750&amp;"",UTILITIES!$B$3:$B$953&amp;"",UTILITIES!$E$3:$E$953,""),"IOT",_xlfn.XLOOKUP($K750&amp;"",IOT!$B$3:$B$1012&amp;"",IOT!$E$3:$E$1012,""),"Server",_xlfn.XLOOKUP($K750&amp;"",SERVER!$B$3:$B$1009&amp;"",SERVER!$E$3:$E$1009,""),""))))</f>
        <v/>
      </c>
      <c r="Q750" s="1" t="str" cm="1">
        <f t="array" ref="Q750">IF(OR($K750="",$I750="",$J750=""),"",_xlfn.LET(_xlpm.srcCat,_xlfn.SWITCH($I750,"Computer",_xlfn.XLOOKUP($K750&amp;"",COMPUTER!$B$3:$B$1009&amp;"",COMPUTER!$H$3:$H$1009,""),"Display",_xlfn.XLOOKUP($K750&amp;"",DISPLAY!$B$3:$B$1000&amp;"",DISPLAY!$H$3:$H$1000,""),"Network Device",_xlfn.XLOOKUP($K750&amp;"",'NETWORK-DEVICES'!$B$3:$B$987&amp;"",'NETWORK-DEVICES'!$H$3:$H$987,""),"Peripheral",_xlfn.XLOOKUP($K750&amp;"",PERIPHERAL!$B$3:$B$954&amp;"",PERIPHERAL!$H$3:$H$954,""),"Utilities",_xlfn.XLOOKUP($K750&amp;"",UTILITIES!$B$3:$B$953&amp;"",UTILITIES!$G$3:$G$953,""),"IOT",_xlfn.XLOOKUP($K750&amp;"",IOT!$B$3:$B$1012&amp;"",IOT!$H$3:$H$1012,""),"Server",_xlfn.XLOOKUP($K750&amp;"",SERVER!$B$3:$B$1009&amp;"",SERVER!$H$3:$H$1009,""),""),IF(TRIM(_xlpm.srcCat)&lt;&gt;TRIM($J750),"",_xlfn.SWITCH($I750,"Computer",_xlfn.XLOOKUP($K750&amp;"",COMPUTER!$B$3:$B$1009&amp;"",COMPUTER!$AM$3:$AM$1009,""),"Display",_xlfn.XLOOKUP($K750&amp;"",DISPLAY!$B$3:$B$1000&amp;"",DISPLAY!$V$3:$V$1000,""),"Network Device",_xlfn.XLOOKUP($K750&amp;"",'NETWORK-DEVICES'!$B$3:$B$987&amp;"",'NETWORK-DEVICES'!$AF$3:$AF$987,""),"Peripheral",_xlfn.XLOOKUP($K750&amp;"",PERIPHERAL!$B$3:$B$954&amp;"",PERIPHERAL!$Y$3:$Y$954,""),"Utilities",_xlfn.XLOOKUP($K750&amp;"",UTILITIES!$B$3:$B$953&amp;"",UTILITIES!$O$3:$O$953,""),"IOT",_xlfn.XLOOKUP($K750&amp;"",IOT!$B$3:$B$1012&amp;"",IOT!$AB$3:$AB$1012,""),"Server",_xlfn.XLOOKUP($K750&amp;"",SERVER!$B$3:$B$1009&amp;"",SERVER!$AB$3:$AB$1009,""),""))))</f>
        <v/>
      </c>
      <c r="R750" s="43" t="str">
        <f>IF(tbl_handover[[#This Row],[Asset Code]]="","",COUNTIF(tbl_handover[Asset Code],tbl_handover[[#This Row],[Asset Code]]))</f>
        <v/>
      </c>
    </row>
    <row r="751" spans="1:18" x14ac:dyDescent="0.25">
      <c r="A751" s="43" t="str">
        <f>IF(B751&lt;&gt;"",SUBTOTAL(3,$B$1:B750),"")</f>
        <v/>
      </c>
      <c r="C751" s="74"/>
      <c r="D751" s="74"/>
      <c r="G751" s="1"/>
      <c r="K751" s="42"/>
      <c r="L751" t="str" cm="1">
        <f t="array" ref="L751">IF($K751="","",_xlfn.SWITCH($I751,"Computer",_xlfn.XLOOKUP($K751&amp;"",COMPUTER!$B$3:$B$1009&amp;"",COMPUTER!$I$3:$I$1009,""),"Display",_xlfn.XLOOKUP($K751&amp;"",DISPLAY!$B$3:$B$1000&amp;"",DISPLAY!$J$3:$J$1000,""),"Network Device",_xlfn.XLOOKUP($K751&amp;"",'NETWORK-DEVICES'!$B$3:$B$987&amp;"",'NETWORK-DEVICES'!$I$3:$I$987,""),"Peripheral",_xlfn.XLOOKUP($K751&amp;"",PERIPHERAL!$B$3:$B$954&amp;"",PERIPHERAL!$I$3:$I$954,""),"Utilities",_xlfn.XLOOKUP($K751&amp;"",UTILITIES!$B$3:$B$953&amp;"",UTILITIES!$H$3:$H$953,""),"IOT",_xlfn.XLOOKUP($K751&amp;"",IOT!$B$3:$B$1012&amp;"",IOT!$I$3:$I$1012,""),"SERVER",_xlfn.XLOOKUP($K751&amp;"",SERVER!$B$3:$B$1009&amp;"",SERVER!$I$3:$I$1009,""),""))</f>
        <v/>
      </c>
      <c r="M751" t="str" cm="1">
        <f t="array" ref="M751">IF($K751="","",_xlfn.SWITCH($I751,"Computer",_xlfn.XLOOKUP($K751&amp;"",COMPUTER!$B$3:$B$1009&amp;"",COMPUTER!$J$3:$J$1009,""),"Display",_xlfn.XLOOKUP($K751&amp;"",DISPLAY!$B$3:$B$1000&amp;"",DISPLAY!$K$3:$K$1000,""),"Network Device",_xlfn.XLOOKUP($K751&amp;"",'NETWORK-DEVICES'!$B$3:$B$987&amp;"",'NETWORK-DEVICES'!$I$3:$I$987,""),"Peripheral",_xlfn.XLOOKUP($K751&amp;"",PERIPHERAL!$B$3:$B$954&amp;"",PERIPHERAL!$J$3:$J$954,""),"Utilities",_xlfn.XLOOKUP($K751&amp;"",UTILITIES!$B$3:$B$953&amp;"",UTILITIES!$I$3:$I$953,""),"IOT",_xlfn.XLOOKUP($K751&amp;"",IOT!$B$3:$B$1012&amp;"",IOT!$J$3:$J$1012,""),"Server",_xlfn.XLOOKUP($K751&amp;"",SERVER!$B$3:$B$1009&amp;"",SERVER!$J$3:$J$1009,""),""))</f>
        <v/>
      </c>
      <c r="N751" s="1" t="str" cm="1">
        <f t="array" ref="N751">IF(OR($K751="",$I751="",$J751=""),"",_xlfn.LET(_xlpm.srcCat,_xlfn.SWITCH($I751,"Computer",_xlfn.XLOOKUP($K751&amp;"",COMPUTER!$B$3:$B$1009&amp;"",COMPUTER!$H$3:$H$1009,""),"Display",_xlfn.XLOOKUP($K751&amp;"",DISPLAY!$B$3:$B$1000&amp;"",DISPLAY!$H$3:$H$1000,""),"Network Device",_xlfn.XLOOKUP($K751&amp;"",'NETWORK-DEVICES'!$B$3:$B$987&amp;"",'NETWORK-DEVICES'!$H$3:$H$987,""),"Peripheral",_xlfn.XLOOKUP($K751&amp;"",PERIPHERAL!$B$3:$B$954&amp;"",PERIPHERAL!$H$3:$H$954,""),"Utilities",_xlfn.XLOOKUP($K751&amp;"",UTILITIES!$B$3:$B$953&amp;"",UTILITIES!$G$3:$G$953,""),"IOT",_xlfn.XLOOKUP($K751&amp;"",IOT!$B$3:$B$1012&amp;"",IOT!$H$3:$H$1012,""),"Server",_xlfn.XLOOKUP($K751&amp;"",SERVER!$B$3:$B$1009&amp;"",SERVER!$H$3:$H$1009,""),""),IF(TRIM(_xlpm.srcCat)&lt;&gt;TRIM($J751),"",_xlfn.SWITCH($I751,"Computer",_xlfn.XLOOKUP($K751&amp;"",COMPUTER!$B$3:$B$1009&amp;"",COMPUTER!$K$3:$K$1009,""),"Display",_xlfn.XLOOKUP($K751&amp;"",DISPLAY!$B$3:$B$1000&amp;"",DISPLAY!$L$3:$L$1000,""),"Network Device",_xlfn.XLOOKUP($K751&amp;"",'NETWORK-DEVICES'!$B$3:$B$987&amp;"",'NETWORK-DEVICES'!$K$3:$K$987,""),"Peripheral",_xlfn.XLOOKUP($K751&amp;"",PERIPHERAL!$B$3:$B$954&amp;"",PERIPHERAL!$K$3:$K$954,""),"Utilities",_xlfn.XLOOKUP($K751&amp;"",UTILITIES!$B$3:$B$953&amp;"",UTILITIES!$J$3:$J$953,""),"IOT",_xlfn.XLOOKUP($K751&amp;"",IOT!$B$3:$B$1012&amp;"",IOT!$K$4:$K$1012,""),"Server",_xlfn.XLOOKUP($K751&amp;"",SERVER!$B$3:$B$1009&amp;"",SERVER!$K$3:$K$1009,""),""))))</f>
        <v/>
      </c>
      <c r="O751" s="1" t="str" cm="1">
        <f t="array" ref="O751">IF(OR($K751="",$I751="",$J751=""),"",_xlfn.LET(_xlpm.srcCat,_xlfn.SWITCH($I751,"Computer",_xlfn.XLOOKUP($K751&amp;"",COMPUTER!$B$3:$B$1009&amp;"",COMPUTER!$H$3:$H$1009,""),"Display",_xlfn.XLOOKUP($K751&amp;"",DISPLAY!$B$3:$B$1000&amp;"",DISPLAY!$H$3:$H$1000,""),"Network Device",_xlfn.XLOOKUP($K751&amp;"",'NETWORK-DEVICES'!$B$3:$B$987&amp;"",'NETWORK-DEVICES'!$H$3:$H$987,""),"Peripheral",_xlfn.XLOOKUP($K751&amp;"",PERIPHERAL!$B$3:$B$954&amp;"",PERIPHERAL!$H$3:$H$954,""),"Utilities",_xlfn.XLOOKUP($K751&amp;"",UTILITIES!$B$3:$B$953&amp;"",UTILITIES!$G$3:$G$953,""),"IOT",_xlfn.XLOOKUP($K751&amp;"",IOT!$B$3:$B$1012&amp;"",IOT!$H$3:$H$1012,""),"Server",_xlfn.XLOOKUP($K751&amp;"",SERVER!$B$3:$B$1009&amp;"",SERVER!$H$3:$H$1009,""),""),IF(TRIM(_xlpm.srcCat)&lt;&gt;TRIM($J751),"",_xlfn.SWITCH($I751,"Computer",_xlfn.XLOOKUP($K751&amp;"",COMPUTER!$B$3:$B$1009&amp;"",COMPUTER!$E$3:$E$1009,""),"Display",_xlfn.XLOOKUP($K751&amp;"",DISPLAY!$B$3:$B$1000&amp;"",DISPLAY!$E$3:$E$1000,""),"Network Device",_xlfn.XLOOKUP($K751&amp;"",'NETWORK-DEVICES'!$B$3:$B$987&amp;"",'NETWORK-DEVICES'!$E$3:$E$987,""),"Peripheral",_xlfn.XLOOKUP($K751&amp;"",PERIPHERAL!$B$3:$B$954&amp;"",PERIPHERAL!$E$3:$E$954,""),"Utilities",_xlfn.XLOOKUP($K751&amp;"",UTILITIES!$B$3:$B$953&amp;"",UTILITIES!$E$3:$E$953,""),"IOT",_xlfn.XLOOKUP($K751&amp;"",IOT!$B$3:$B$1012&amp;"",IOT!$E$3:$E$1012,""),"Server",_xlfn.XLOOKUP($K751&amp;"",SERVER!$B$3:$B$1009&amp;"",SERVER!$E$3:$E$1009,""),""))))</f>
        <v/>
      </c>
      <c r="Q751" s="1" t="str" cm="1">
        <f t="array" ref="Q751">IF(OR($K751="",$I751="",$J751=""),"",_xlfn.LET(_xlpm.srcCat,_xlfn.SWITCH($I751,"Computer",_xlfn.XLOOKUP($K751&amp;"",COMPUTER!$B$3:$B$1009&amp;"",COMPUTER!$H$3:$H$1009,""),"Display",_xlfn.XLOOKUP($K751&amp;"",DISPLAY!$B$3:$B$1000&amp;"",DISPLAY!$H$3:$H$1000,""),"Network Device",_xlfn.XLOOKUP($K751&amp;"",'NETWORK-DEVICES'!$B$3:$B$987&amp;"",'NETWORK-DEVICES'!$H$3:$H$987,""),"Peripheral",_xlfn.XLOOKUP($K751&amp;"",PERIPHERAL!$B$3:$B$954&amp;"",PERIPHERAL!$H$3:$H$954,""),"Utilities",_xlfn.XLOOKUP($K751&amp;"",UTILITIES!$B$3:$B$953&amp;"",UTILITIES!$G$3:$G$953,""),"IOT",_xlfn.XLOOKUP($K751&amp;"",IOT!$B$3:$B$1012&amp;"",IOT!$H$3:$H$1012,""),"Server",_xlfn.XLOOKUP($K751&amp;"",SERVER!$B$3:$B$1009&amp;"",SERVER!$H$3:$H$1009,""),""),IF(TRIM(_xlpm.srcCat)&lt;&gt;TRIM($J751),"",_xlfn.SWITCH($I751,"Computer",_xlfn.XLOOKUP($K751&amp;"",COMPUTER!$B$3:$B$1009&amp;"",COMPUTER!$AM$3:$AM$1009,""),"Display",_xlfn.XLOOKUP($K751&amp;"",DISPLAY!$B$3:$B$1000&amp;"",DISPLAY!$V$3:$V$1000,""),"Network Device",_xlfn.XLOOKUP($K751&amp;"",'NETWORK-DEVICES'!$B$3:$B$987&amp;"",'NETWORK-DEVICES'!$AF$3:$AF$987,""),"Peripheral",_xlfn.XLOOKUP($K751&amp;"",PERIPHERAL!$B$3:$B$954&amp;"",PERIPHERAL!$Y$3:$Y$954,""),"Utilities",_xlfn.XLOOKUP($K751&amp;"",UTILITIES!$B$3:$B$953&amp;"",UTILITIES!$O$3:$O$953,""),"IOT",_xlfn.XLOOKUP($K751&amp;"",IOT!$B$3:$B$1012&amp;"",IOT!$AB$3:$AB$1012,""),"Server",_xlfn.XLOOKUP($K751&amp;"",SERVER!$B$3:$B$1009&amp;"",SERVER!$AB$3:$AB$1009,""),""))))</f>
        <v/>
      </c>
      <c r="R751" s="43" t="str">
        <f>IF(tbl_handover[[#This Row],[Asset Code]]="","",COUNTIF(tbl_handover[Asset Code],tbl_handover[[#This Row],[Asset Code]]))</f>
        <v/>
      </c>
    </row>
    <row r="752" spans="1:18" x14ac:dyDescent="0.25">
      <c r="A752" s="43" t="str">
        <f>IF(B752&lt;&gt;"",SUBTOTAL(3,$B$1:B751),"")</f>
        <v/>
      </c>
      <c r="C752" s="74"/>
      <c r="D752" s="74"/>
      <c r="G752" s="1"/>
      <c r="K752" s="42"/>
      <c r="L752" t="str" cm="1">
        <f t="array" ref="L752">IF($K752="","",_xlfn.SWITCH($I752,"Computer",_xlfn.XLOOKUP($K752&amp;"",COMPUTER!$B$3:$B$1009&amp;"",COMPUTER!$I$3:$I$1009,""),"Display",_xlfn.XLOOKUP($K752&amp;"",DISPLAY!$B$3:$B$1000&amp;"",DISPLAY!$J$3:$J$1000,""),"Network Device",_xlfn.XLOOKUP($K752&amp;"",'NETWORK-DEVICES'!$B$3:$B$987&amp;"",'NETWORK-DEVICES'!$I$3:$I$987,""),"Peripheral",_xlfn.XLOOKUP($K752&amp;"",PERIPHERAL!$B$3:$B$954&amp;"",PERIPHERAL!$I$3:$I$954,""),"Utilities",_xlfn.XLOOKUP($K752&amp;"",UTILITIES!$B$3:$B$953&amp;"",UTILITIES!$H$3:$H$953,""),"IOT",_xlfn.XLOOKUP($K752&amp;"",IOT!$B$3:$B$1012&amp;"",IOT!$I$3:$I$1012,""),"SERVER",_xlfn.XLOOKUP($K752&amp;"",SERVER!$B$3:$B$1009&amp;"",SERVER!$I$3:$I$1009,""),""))</f>
        <v/>
      </c>
      <c r="M752" t="str" cm="1">
        <f t="array" ref="M752">IF($K752="","",_xlfn.SWITCH($I752,"Computer",_xlfn.XLOOKUP($K752&amp;"",COMPUTER!$B$3:$B$1009&amp;"",COMPUTER!$J$3:$J$1009,""),"Display",_xlfn.XLOOKUP($K752&amp;"",DISPLAY!$B$3:$B$1000&amp;"",DISPLAY!$K$3:$K$1000,""),"Network Device",_xlfn.XLOOKUP($K752&amp;"",'NETWORK-DEVICES'!$B$3:$B$987&amp;"",'NETWORK-DEVICES'!$I$3:$I$987,""),"Peripheral",_xlfn.XLOOKUP($K752&amp;"",PERIPHERAL!$B$3:$B$954&amp;"",PERIPHERAL!$J$3:$J$954,""),"Utilities",_xlfn.XLOOKUP($K752&amp;"",UTILITIES!$B$3:$B$953&amp;"",UTILITIES!$I$3:$I$953,""),"IOT",_xlfn.XLOOKUP($K752&amp;"",IOT!$B$3:$B$1012&amp;"",IOT!$J$3:$J$1012,""),"Server",_xlfn.XLOOKUP($K752&amp;"",SERVER!$B$3:$B$1009&amp;"",SERVER!$J$3:$J$1009,""),""))</f>
        <v/>
      </c>
      <c r="N752" s="1" t="str" cm="1">
        <f t="array" ref="N752">IF(OR($K752="",$I752="",$J752=""),"",_xlfn.LET(_xlpm.srcCat,_xlfn.SWITCH($I752,"Computer",_xlfn.XLOOKUP($K752&amp;"",COMPUTER!$B$3:$B$1009&amp;"",COMPUTER!$H$3:$H$1009,""),"Display",_xlfn.XLOOKUP($K752&amp;"",DISPLAY!$B$3:$B$1000&amp;"",DISPLAY!$H$3:$H$1000,""),"Network Device",_xlfn.XLOOKUP($K752&amp;"",'NETWORK-DEVICES'!$B$3:$B$987&amp;"",'NETWORK-DEVICES'!$H$3:$H$987,""),"Peripheral",_xlfn.XLOOKUP($K752&amp;"",PERIPHERAL!$B$3:$B$954&amp;"",PERIPHERAL!$H$3:$H$954,""),"Utilities",_xlfn.XLOOKUP($K752&amp;"",UTILITIES!$B$3:$B$953&amp;"",UTILITIES!$G$3:$G$953,""),"IOT",_xlfn.XLOOKUP($K752&amp;"",IOT!$B$3:$B$1012&amp;"",IOT!$H$3:$H$1012,""),"Server",_xlfn.XLOOKUP($K752&amp;"",SERVER!$B$3:$B$1009&amp;"",SERVER!$H$3:$H$1009,""),""),IF(TRIM(_xlpm.srcCat)&lt;&gt;TRIM($J752),"",_xlfn.SWITCH($I752,"Computer",_xlfn.XLOOKUP($K752&amp;"",COMPUTER!$B$3:$B$1009&amp;"",COMPUTER!$K$3:$K$1009,""),"Display",_xlfn.XLOOKUP($K752&amp;"",DISPLAY!$B$3:$B$1000&amp;"",DISPLAY!$L$3:$L$1000,""),"Network Device",_xlfn.XLOOKUP($K752&amp;"",'NETWORK-DEVICES'!$B$3:$B$987&amp;"",'NETWORK-DEVICES'!$K$3:$K$987,""),"Peripheral",_xlfn.XLOOKUP($K752&amp;"",PERIPHERAL!$B$3:$B$954&amp;"",PERIPHERAL!$K$3:$K$954,""),"Utilities",_xlfn.XLOOKUP($K752&amp;"",UTILITIES!$B$3:$B$953&amp;"",UTILITIES!$J$3:$J$953,""),"IOT",_xlfn.XLOOKUP($K752&amp;"",IOT!$B$3:$B$1012&amp;"",IOT!$K$4:$K$1012,""),"Server",_xlfn.XLOOKUP($K752&amp;"",SERVER!$B$3:$B$1009&amp;"",SERVER!$K$3:$K$1009,""),""))))</f>
        <v/>
      </c>
      <c r="O752" s="1" t="str" cm="1">
        <f t="array" ref="O752">IF(OR($K752="",$I752="",$J752=""),"",_xlfn.LET(_xlpm.srcCat,_xlfn.SWITCH($I752,"Computer",_xlfn.XLOOKUP($K752&amp;"",COMPUTER!$B$3:$B$1009&amp;"",COMPUTER!$H$3:$H$1009,""),"Display",_xlfn.XLOOKUP($K752&amp;"",DISPLAY!$B$3:$B$1000&amp;"",DISPLAY!$H$3:$H$1000,""),"Network Device",_xlfn.XLOOKUP($K752&amp;"",'NETWORK-DEVICES'!$B$3:$B$987&amp;"",'NETWORK-DEVICES'!$H$3:$H$987,""),"Peripheral",_xlfn.XLOOKUP($K752&amp;"",PERIPHERAL!$B$3:$B$954&amp;"",PERIPHERAL!$H$3:$H$954,""),"Utilities",_xlfn.XLOOKUP($K752&amp;"",UTILITIES!$B$3:$B$953&amp;"",UTILITIES!$G$3:$G$953,""),"IOT",_xlfn.XLOOKUP($K752&amp;"",IOT!$B$3:$B$1012&amp;"",IOT!$H$3:$H$1012,""),"Server",_xlfn.XLOOKUP($K752&amp;"",SERVER!$B$3:$B$1009&amp;"",SERVER!$H$3:$H$1009,""),""),IF(TRIM(_xlpm.srcCat)&lt;&gt;TRIM($J752),"",_xlfn.SWITCH($I752,"Computer",_xlfn.XLOOKUP($K752&amp;"",COMPUTER!$B$3:$B$1009&amp;"",COMPUTER!$E$3:$E$1009,""),"Display",_xlfn.XLOOKUP($K752&amp;"",DISPLAY!$B$3:$B$1000&amp;"",DISPLAY!$E$3:$E$1000,""),"Network Device",_xlfn.XLOOKUP($K752&amp;"",'NETWORK-DEVICES'!$B$3:$B$987&amp;"",'NETWORK-DEVICES'!$E$3:$E$987,""),"Peripheral",_xlfn.XLOOKUP($K752&amp;"",PERIPHERAL!$B$3:$B$954&amp;"",PERIPHERAL!$E$3:$E$954,""),"Utilities",_xlfn.XLOOKUP($K752&amp;"",UTILITIES!$B$3:$B$953&amp;"",UTILITIES!$E$3:$E$953,""),"IOT",_xlfn.XLOOKUP($K752&amp;"",IOT!$B$3:$B$1012&amp;"",IOT!$E$3:$E$1012,""),"Server",_xlfn.XLOOKUP($K752&amp;"",SERVER!$B$3:$B$1009&amp;"",SERVER!$E$3:$E$1009,""),""))))</f>
        <v/>
      </c>
      <c r="Q752" s="1" t="str" cm="1">
        <f t="array" ref="Q752">IF(OR($K752="",$I752="",$J752=""),"",_xlfn.LET(_xlpm.srcCat,_xlfn.SWITCH($I752,"Computer",_xlfn.XLOOKUP($K752&amp;"",COMPUTER!$B$3:$B$1009&amp;"",COMPUTER!$H$3:$H$1009,""),"Display",_xlfn.XLOOKUP($K752&amp;"",DISPLAY!$B$3:$B$1000&amp;"",DISPLAY!$H$3:$H$1000,""),"Network Device",_xlfn.XLOOKUP($K752&amp;"",'NETWORK-DEVICES'!$B$3:$B$987&amp;"",'NETWORK-DEVICES'!$H$3:$H$987,""),"Peripheral",_xlfn.XLOOKUP($K752&amp;"",PERIPHERAL!$B$3:$B$954&amp;"",PERIPHERAL!$H$3:$H$954,""),"Utilities",_xlfn.XLOOKUP($K752&amp;"",UTILITIES!$B$3:$B$953&amp;"",UTILITIES!$G$3:$G$953,""),"IOT",_xlfn.XLOOKUP($K752&amp;"",IOT!$B$3:$B$1012&amp;"",IOT!$H$3:$H$1012,""),"Server",_xlfn.XLOOKUP($K752&amp;"",SERVER!$B$3:$B$1009&amp;"",SERVER!$H$3:$H$1009,""),""),IF(TRIM(_xlpm.srcCat)&lt;&gt;TRIM($J752),"",_xlfn.SWITCH($I752,"Computer",_xlfn.XLOOKUP($K752&amp;"",COMPUTER!$B$3:$B$1009&amp;"",COMPUTER!$AM$3:$AM$1009,""),"Display",_xlfn.XLOOKUP($K752&amp;"",DISPLAY!$B$3:$B$1000&amp;"",DISPLAY!$V$3:$V$1000,""),"Network Device",_xlfn.XLOOKUP($K752&amp;"",'NETWORK-DEVICES'!$B$3:$B$987&amp;"",'NETWORK-DEVICES'!$AF$3:$AF$987,""),"Peripheral",_xlfn.XLOOKUP($K752&amp;"",PERIPHERAL!$B$3:$B$954&amp;"",PERIPHERAL!$Y$3:$Y$954,""),"Utilities",_xlfn.XLOOKUP($K752&amp;"",UTILITIES!$B$3:$B$953&amp;"",UTILITIES!$O$3:$O$953,""),"IOT",_xlfn.XLOOKUP($K752&amp;"",IOT!$B$3:$B$1012&amp;"",IOT!$AB$3:$AB$1012,""),"Server",_xlfn.XLOOKUP($K752&amp;"",SERVER!$B$3:$B$1009&amp;"",SERVER!$AB$3:$AB$1009,""),""))))</f>
        <v/>
      </c>
      <c r="R752" s="43" t="str">
        <f>IF(tbl_handover[[#This Row],[Asset Code]]="","",COUNTIF(tbl_handover[Asset Code],tbl_handover[[#This Row],[Asset Code]]))</f>
        <v/>
      </c>
    </row>
    <row r="753" spans="1:18" x14ac:dyDescent="0.25">
      <c r="A753" s="43" t="str">
        <f>IF(B753&lt;&gt;"",SUBTOTAL(3,$B$1:B752),"")</f>
        <v/>
      </c>
      <c r="C753" s="74"/>
      <c r="D753" s="74"/>
      <c r="G753" s="1"/>
      <c r="K753" s="42"/>
      <c r="L753" t="str" cm="1">
        <f t="array" ref="L753">IF($K753="","",_xlfn.SWITCH($I753,"Computer",_xlfn.XLOOKUP($K753&amp;"",COMPUTER!$B$3:$B$1009&amp;"",COMPUTER!$I$3:$I$1009,""),"Display",_xlfn.XLOOKUP($K753&amp;"",DISPLAY!$B$3:$B$1000&amp;"",DISPLAY!$J$3:$J$1000,""),"Network Device",_xlfn.XLOOKUP($K753&amp;"",'NETWORK-DEVICES'!$B$3:$B$987&amp;"",'NETWORK-DEVICES'!$I$3:$I$987,""),"Peripheral",_xlfn.XLOOKUP($K753&amp;"",PERIPHERAL!$B$3:$B$954&amp;"",PERIPHERAL!$I$3:$I$954,""),"Utilities",_xlfn.XLOOKUP($K753&amp;"",UTILITIES!$B$3:$B$953&amp;"",UTILITIES!$H$3:$H$953,""),"IOT",_xlfn.XLOOKUP($K753&amp;"",IOT!$B$3:$B$1012&amp;"",IOT!$I$3:$I$1012,""),"SERVER",_xlfn.XLOOKUP($K753&amp;"",SERVER!$B$3:$B$1009&amp;"",SERVER!$I$3:$I$1009,""),""))</f>
        <v/>
      </c>
      <c r="M753" t="str" cm="1">
        <f t="array" ref="M753">IF($K753="","",_xlfn.SWITCH($I753,"Computer",_xlfn.XLOOKUP($K753&amp;"",COMPUTER!$B$3:$B$1009&amp;"",COMPUTER!$J$3:$J$1009,""),"Display",_xlfn.XLOOKUP($K753&amp;"",DISPLAY!$B$3:$B$1000&amp;"",DISPLAY!$K$3:$K$1000,""),"Network Device",_xlfn.XLOOKUP($K753&amp;"",'NETWORK-DEVICES'!$B$3:$B$987&amp;"",'NETWORK-DEVICES'!$I$3:$I$987,""),"Peripheral",_xlfn.XLOOKUP($K753&amp;"",PERIPHERAL!$B$3:$B$954&amp;"",PERIPHERAL!$J$3:$J$954,""),"Utilities",_xlfn.XLOOKUP($K753&amp;"",UTILITIES!$B$3:$B$953&amp;"",UTILITIES!$I$3:$I$953,""),"IOT",_xlfn.XLOOKUP($K753&amp;"",IOT!$B$3:$B$1012&amp;"",IOT!$J$3:$J$1012,""),"Server",_xlfn.XLOOKUP($K753&amp;"",SERVER!$B$3:$B$1009&amp;"",SERVER!$J$3:$J$1009,""),""))</f>
        <v/>
      </c>
      <c r="N753" s="1" t="str" cm="1">
        <f t="array" ref="N753">IF(OR($K753="",$I753="",$J753=""),"",_xlfn.LET(_xlpm.srcCat,_xlfn.SWITCH($I753,"Computer",_xlfn.XLOOKUP($K753&amp;"",COMPUTER!$B$3:$B$1009&amp;"",COMPUTER!$H$3:$H$1009,""),"Display",_xlfn.XLOOKUP($K753&amp;"",DISPLAY!$B$3:$B$1000&amp;"",DISPLAY!$H$3:$H$1000,""),"Network Device",_xlfn.XLOOKUP($K753&amp;"",'NETWORK-DEVICES'!$B$3:$B$987&amp;"",'NETWORK-DEVICES'!$H$3:$H$987,""),"Peripheral",_xlfn.XLOOKUP($K753&amp;"",PERIPHERAL!$B$3:$B$954&amp;"",PERIPHERAL!$H$3:$H$954,""),"Utilities",_xlfn.XLOOKUP($K753&amp;"",UTILITIES!$B$3:$B$953&amp;"",UTILITIES!$G$3:$G$953,""),"IOT",_xlfn.XLOOKUP($K753&amp;"",IOT!$B$3:$B$1012&amp;"",IOT!$H$3:$H$1012,""),"Server",_xlfn.XLOOKUP($K753&amp;"",SERVER!$B$3:$B$1009&amp;"",SERVER!$H$3:$H$1009,""),""),IF(TRIM(_xlpm.srcCat)&lt;&gt;TRIM($J753),"",_xlfn.SWITCH($I753,"Computer",_xlfn.XLOOKUP($K753&amp;"",COMPUTER!$B$3:$B$1009&amp;"",COMPUTER!$K$3:$K$1009,""),"Display",_xlfn.XLOOKUP($K753&amp;"",DISPLAY!$B$3:$B$1000&amp;"",DISPLAY!$L$3:$L$1000,""),"Network Device",_xlfn.XLOOKUP($K753&amp;"",'NETWORK-DEVICES'!$B$3:$B$987&amp;"",'NETWORK-DEVICES'!$K$3:$K$987,""),"Peripheral",_xlfn.XLOOKUP($K753&amp;"",PERIPHERAL!$B$3:$B$954&amp;"",PERIPHERAL!$K$3:$K$954,""),"Utilities",_xlfn.XLOOKUP($K753&amp;"",UTILITIES!$B$3:$B$953&amp;"",UTILITIES!$J$3:$J$953,""),"IOT",_xlfn.XLOOKUP($K753&amp;"",IOT!$B$3:$B$1012&amp;"",IOT!$K$4:$K$1012,""),"Server",_xlfn.XLOOKUP($K753&amp;"",SERVER!$B$3:$B$1009&amp;"",SERVER!$K$3:$K$1009,""),""))))</f>
        <v/>
      </c>
      <c r="O753" s="1" t="str" cm="1">
        <f t="array" ref="O753">IF(OR($K753="",$I753="",$J753=""),"",_xlfn.LET(_xlpm.srcCat,_xlfn.SWITCH($I753,"Computer",_xlfn.XLOOKUP($K753&amp;"",COMPUTER!$B$3:$B$1009&amp;"",COMPUTER!$H$3:$H$1009,""),"Display",_xlfn.XLOOKUP($K753&amp;"",DISPLAY!$B$3:$B$1000&amp;"",DISPLAY!$H$3:$H$1000,""),"Network Device",_xlfn.XLOOKUP($K753&amp;"",'NETWORK-DEVICES'!$B$3:$B$987&amp;"",'NETWORK-DEVICES'!$H$3:$H$987,""),"Peripheral",_xlfn.XLOOKUP($K753&amp;"",PERIPHERAL!$B$3:$B$954&amp;"",PERIPHERAL!$H$3:$H$954,""),"Utilities",_xlfn.XLOOKUP($K753&amp;"",UTILITIES!$B$3:$B$953&amp;"",UTILITIES!$G$3:$G$953,""),"IOT",_xlfn.XLOOKUP($K753&amp;"",IOT!$B$3:$B$1012&amp;"",IOT!$H$3:$H$1012,""),"Server",_xlfn.XLOOKUP($K753&amp;"",SERVER!$B$3:$B$1009&amp;"",SERVER!$H$3:$H$1009,""),""),IF(TRIM(_xlpm.srcCat)&lt;&gt;TRIM($J753),"",_xlfn.SWITCH($I753,"Computer",_xlfn.XLOOKUP($K753&amp;"",COMPUTER!$B$3:$B$1009&amp;"",COMPUTER!$E$3:$E$1009,""),"Display",_xlfn.XLOOKUP($K753&amp;"",DISPLAY!$B$3:$B$1000&amp;"",DISPLAY!$E$3:$E$1000,""),"Network Device",_xlfn.XLOOKUP($K753&amp;"",'NETWORK-DEVICES'!$B$3:$B$987&amp;"",'NETWORK-DEVICES'!$E$3:$E$987,""),"Peripheral",_xlfn.XLOOKUP($K753&amp;"",PERIPHERAL!$B$3:$B$954&amp;"",PERIPHERAL!$E$3:$E$954,""),"Utilities",_xlfn.XLOOKUP($K753&amp;"",UTILITIES!$B$3:$B$953&amp;"",UTILITIES!$E$3:$E$953,""),"IOT",_xlfn.XLOOKUP($K753&amp;"",IOT!$B$3:$B$1012&amp;"",IOT!$E$3:$E$1012,""),"Server",_xlfn.XLOOKUP($K753&amp;"",SERVER!$B$3:$B$1009&amp;"",SERVER!$E$3:$E$1009,""),""))))</f>
        <v/>
      </c>
      <c r="Q753" s="1" t="str" cm="1">
        <f t="array" ref="Q753">IF(OR($K753="",$I753="",$J753=""),"",_xlfn.LET(_xlpm.srcCat,_xlfn.SWITCH($I753,"Computer",_xlfn.XLOOKUP($K753&amp;"",COMPUTER!$B$3:$B$1009&amp;"",COMPUTER!$H$3:$H$1009,""),"Display",_xlfn.XLOOKUP($K753&amp;"",DISPLAY!$B$3:$B$1000&amp;"",DISPLAY!$H$3:$H$1000,""),"Network Device",_xlfn.XLOOKUP($K753&amp;"",'NETWORK-DEVICES'!$B$3:$B$987&amp;"",'NETWORK-DEVICES'!$H$3:$H$987,""),"Peripheral",_xlfn.XLOOKUP($K753&amp;"",PERIPHERAL!$B$3:$B$954&amp;"",PERIPHERAL!$H$3:$H$954,""),"Utilities",_xlfn.XLOOKUP($K753&amp;"",UTILITIES!$B$3:$B$953&amp;"",UTILITIES!$G$3:$G$953,""),"IOT",_xlfn.XLOOKUP($K753&amp;"",IOT!$B$3:$B$1012&amp;"",IOT!$H$3:$H$1012,""),"Server",_xlfn.XLOOKUP($K753&amp;"",SERVER!$B$3:$B$1009&amp;"",SERVER!$H$3:$H$1009,""),""),IF(TRIM(_xlpm.srcCat)&lt;&gt;TRIM($J753),"",_xlfn.SWITCH($I753,"Computer",_xlfn.XLOOKUP($K753&amp;"",COMPUTER!$B$3:$B$1009&amp;"",COMPUTER!$AM$3:$AM$1009,""),"Display",_xlfn.XLOOKUP($K753&amp;"",DISPLAY!$B$3:$B$1000&amp;"",DISPLAY!$V$3:$V$1000,""),"Network Device",_xlfn.XLOOKUP($K753&amp;"",'NETWORK-DEVICES'!$B$3:$B$987&amp;"",'NETWORK-DEVICES'!$AF$3:$AF$987,""),"Peripheral",_xlfn.XLOOKUP($K753&amp;"",PERIPHERAL!$B$3:$B$954&amp;"",PERIPHERAL!$Y$3:$Y$954,""),"Utilities",_xlfn.XLOOKUP($K753&amp;"",UTILITIES!$B$3:$B$953&amp;"",UTILITIES!$O$3:$O$953,""),"IOT",_xlfn.XLOOKUP($K753&amp;"",IOT!$B$3:$B$1012&amp;"",IOT!$AB$3:$AB$1012,""),"Server",_xlfn.XLOOKUP($K753&amp;"",SERVER!$B$3:$B$1009&amp;"",SERVER!$AB$3:$AB$1009,""),""))))</f>
        <v/>
      </c>
      <c r="R753" s="43" t="str">
        <f>IF(tbl_handover[[#This Row],[Asset Code]]="","",COUNTIF(tbl_handover[Asset Code],tbl_handover[[#This Row],[Asset Code]]))</f>
        <v/>
      </c>
    </row>
    <row r="754" spans="1:18" x14ac:dyDescent="0.25">
      <c r="A754" s="43" t="str">
        <f>IF(B754&lt;&gt;"",SUBTOTAL(3,$B$1:B753),"")</f>
        <v/>
      </c>
      <c r="C754" s="74"/>
      <c r="D754" s="74"/>
      <c r="G754" s="1"/>
      <c r="K754" s="42"/>
      <c r="L754" t="str" cm="1">
        <f t="array" ref="L754">IF($K754="","",_xlfn.SWITCH($I754,"Computer",_xlfn.XLOOKUP($K754&amp;"",COMPUTER!$B$3:$B$1009&amp;"",COMPUTER!$I$3:$I$1009,""),"Display",_xlfn.XLOOKUP($K754&amp;"",DISPLAY!$B$3:$B$1000&amp;"",DISPLAY!$J$3:$J$1000,""),"Network Device",_xlfn.XLOOKUP($K754&amp;"",'NETWORK-DEVICES'!$B$3:$B$987&amp;"",'NETWORK-DEVICES'!$I$3:$I$987,""),"Peripheral",_xlfn.XLOOKUP($K754&amp;"",PERIPHERAL!$B$3:$B$954&amp;"",PERIPHERAL!$I$3:$I$954,""),"Utilities",_xlfn.XLOOKUP($K754&amp;"",UTILITIES!$B$3:$B$953&amp;"",UTILITIES!$H$3:$H$953,""),"IOT",_xlfn.XLOOKUP($K754&amp;"",IOT!$B$3:$B$1012&amp;"",IOT!$I$3:$I$1012,""),"SERVER",_xlfn.XLOOKUP($K754&amp;"",SERVER!$B$3:$B$1009&amp;"",SERVER!$I$3:$I$1009,""),""))</f>
        <v/>
      </c>
      <c r="M754" t="str" cm="1">
        <f t="array" ref="M754">IF($K754="","",_xlfn.SWITCH($I754,"Computer",_xlfn.XLOOKUP($K754&amp;"",COMPUTER!$B$3:$B$1009&amp;"",COMPUTER!$J$3:$J$1009,""),"Display",_xlfn.XLOOKUP($K754&amp;"",DISPLAY!$B$3:$B$1000&amp;"",DISPLAY!$K$3:$K$1000,""),"Network Device",_xlfn.XLOOKUP($K754&amp;"",'NETWORK-DEVICES'!$B$3:$B$987&amp;"",'NETWORK-DEVICES'!$I$3:$I$987,""),"Peripheral",_xlfn.XLOOKUP($K754&amp;"",PERIPHERAL!$B$3:$B$954&amp;"",PERIPHERAL!$J$3:$J$954,""),"Utilities",_xlfn.XLOOKUP($K754&amp;"",UTILITIES!$B$3:$B$953&amp;"",UTILITIES!$I$3:$I$953,""),"IOT",_xlfn.XLOOKUP($K754&amp;"",IOT!$B$3:$B$1012&amp;"",IOT!$J$3:$J$1012,""),"Server",_xlfn.XLOOKUP($K754&amp;"",SERVER!$B$3:$B$1009&amp;"",SERVER!$J$3:$J$1009,""),""))</f>
        <v/>
      </c>
      <c r="N754" s="1" t="str" cm="1">
        <f t="array" ref="N754">IF(OR($K754="",$I754="",$J754=""),"",_xlfn.LET(_xlpm.srcCat,_xlfn.SWITCH($I754,"Computer",_xlfn.XLOOKUP($K754&amp;"",COMPUTER!$B$3:$B$1009&amp;"",COMPUTER!$H$3:$H$1009,""),"Display",_xlfn.XLOOKUP($K754&amp;"",DISPLAY!$B$3:$B$1000&amp;"",DISPLAY!$H$3:$H$1000,""),"Network Device",_xlfn.XLOOKUP($K754&amp;"",'NETWORK-DEVICES'!$B$3:$B$987&amp;"",'NETWORK-DEVICES'!$H$3:$H$987,""),"Peripheral",_xlfn.XLOOKUP($K754&amp;"",PERIPHERAL!$B$3:$B$954&amp;"",PERIPHERAL!$H$3:$H$954,""),"Utilities",_xlfn.XLOOKUP($K754&amp;"",UTILITIES!$B$3:$B$953&amp;"",UTILITIES!$G$3:$G$953,""),"IOT",_xlfn.XLOOKUP($K754&amp;"",IOT!$B$3:$B$1012&amp;"",IOT!$H$3:$H$1012,""),"Server",_xlfn.XLOOKUP($K754&amp;"",SERVER!$B$3:$B$1009&amp;"",SERVER!$H$3:$H$1009,""),""),IF(TRIM(_xlpm.srcCat)&lt;&gt;TRIM($J754),"",_xlfn.SWITCH($I754,"Computer",_xlfn.XLOOKUP($K754&amp;"",COMPUTER!$B$3:$B$1009&amp;"",COMPUTER!$K$3:$K$1009,""),"Display",_xlfn.XLOOKUP($K754&amp;"",DISPLAY!$B$3:$B$1000&amp;"",DISPLAY!$L$3:$L$1000,""),"Network Device",_xlfn.XLOOKUP($K754&amp;"",'NETWORK-DEVICES'!$B$3:$B$987&amp;"",'NETWORK-DEVICES'!$K$3:$K$987,""),"Peripheral",_xlfn.XLOOKUP($K754&amp;"",PERIPHERAL!$B$3:$B$954&amp;"",PERIPHERAL!$K$3:$K$954,""),"Utilities",_xlfn.XLOOKUP($K754&amp;"",UTILITIES!$B$3:$B$953&amp;"",UTILITIES!$J$3:$J$953,""),"IOT",_xlfn.XLOOKUP($K754&amp;"",IOT!$B$3:$B$1012&amp;"",IOT!$K$4:$K$1012,""),"Server",_xlfn.XLOOKUP($K754&amp;"",SERVER!$B$3:$B$1009&amp;"",SERVER!$K$3:$K$1009,""),""))))</f>
        <v/>
      </c>
      <c r="O754" s="1" t="str" cm="1">
        <f t="array" ref="O754">IF(OR($K754="",$I754="",$J754=""),"",_xlfn.LET(_xlpm.srcCat,_xlfn.SWITCH($I754,"Computer",_xlfn.XLOOKUP($K754&amp;"",COMPUTER!$B$3:$B$1009&amp;"",COMPUTER!$H$3:$H$1009,""),"Display",_xlfn.XLOOKUP($K754&amp;"",DISPLAY!$B$3:$B$1000&amp;"",DISPLAY!$H$3:$H$1000,""),"Network Device",_xlfn.XLOOKUP($K754&amp;"",'NETWORK-DEVICES'!$B$3:$B$987&amp;"",'NETWORK-DEVICES'!$H$3:$H$987,""),"Peripheral",_xlfn.XLOOKUP($K754&amp;"",PERIPHERAL!$B$3:$B$954&amp;"",PERIPHERAL!$H$3:$H$954,""),"Utilities",_xlfn.XLOOKUP($K754&amp;"",UTILITIES!$B$3:$B$953&amp;"",UTILITIES!$G$3:$G$953,""),"IOT",_xlfn.XLOOKUP($K754&amp;"",IOT!$B$3:$B$1012&amp;"",IOT!$H$3:$H$1012,""),"Server",_xlfn.XLOOKUP($K754&amp;"",SERVER!$B$3:$B$1009&amp;"",SERVER!$H$3:$H$1009,""),""),IF(TRIM(_xlpm.srcCat)&lt;&gt;TRIM($J754),"",_xlfn.SWITCH($I754,"Computer",_xlfn.XLOOKUP($K754&amp;"",COMPUTER!$B$3:$B$1009&amp;"",COMPUTER!$E$3:$E$1009,""),"Display",_xlfn.XLOOKUP($K754&amp;"",DISPLAY!$B$3:$B$1000&amp;"",DISPLAY!$E$3:$E$1000,""),"Network Device",_xlfn.XLOOKUP($K754&amp;"",'NETWORK-DEVICES'!$B$3:$B$987&amp;"",'NETWORK-DEVICES'!$E$3:$E$987,""),"Peripheral",_xlfn.XLOOKUP($K754&amp;"",PERIPHERAL!$B$3:$B$954&amp;"",PERIPHERAL!$E$3:$E$954,""),"Utilities",_xlfn.XLOOKUP($K754&amp;"",UTILITIES!$B$3:$B$953&amp;"",UTILITIES!$E$3:$E$953,""),"IOT",_xlfn.XLOOKUP($K754&amp;"",IOT!$B$3:$B$1012&amp;"",IOT!$E$3:$E$1012,""),"Server",_xlfn.XLOOKUP($K754&amp;"",SERVER!$B$3:$B$1009&amp;"",SERVER!$E$3:$E$1009,""),""))))</f>
        <v/>
      </c>
      <c r="Q754" s="1" t="str" cm="1">
        <f t="array" ref="Q754">IF(OR($K754="",$I754="",$J754=""),"",_xlfn.LET(_xlpm.srcCat,_xlfn.SWITCH($I754,"Computer",_xlfn.XLOOKUP($K754&amp;"",COMPUTER!$B$3:$B$1009&amp;"",COMPUTER!$H$3:$H$1009,""),"Display",_xlfn.XLOOKUP($K754&amp;"",DISPLAY!$B$3:$B$1000&amp;"",DISPLAY!$H$3:$H$1000,""),"Network Device",_xlfn.XLOOKUP($K754&amp;"",'NETWORK-DEVICES'!$B$3:$B$987&amp;"",'NETWORK-DEVICES'!$H$3:$H$987,""),"Peripheral",_xlfn.XLOOKUP($K754&amp;"",PERIPHERAL!$B$3:$B$954&amp;"",PERIPHERAL!$H$3:$H$954,""),"Utilities",_xlfn.XLOOKUP($K754&amp;"",UTILITIES!$B$3:$B$953&amp;"",UTILITIES!$G$3:$G$953,""),"IOT",_xlfn.XLOOKUP($K754&amp;"",IOT!$B$3:$B$1012&amp;"",IOT!$H$3:$H$1012,""),"Server",_xlfn.XLOOKUP($K754&amp;"",SERVER!$B$3:$B$1009&amp;"",SERVER!$H$3:$H$1009,""),""),IF(TRIM(_xlpm.srcCat)&lt;&gt;TRIM($J754),"",_xlfn.SWITCH($I754,"Computer",_xlfn.XLOOKUP($K754&amp;"",COMPUTER!$B$3:$B$1009&amp;"",COMPUTER!$AM$3:$AM$1009,""),"Display",_xlfn.XLOOKUP($K754&amp;"",DISPLAY!$B$3:$B$1000&amp;"",DISPLAY!$V$3:$V$1000,""),"Network Device",_xlfn.XLOOKUP($K754&amp;"",'NETWORK-DEVICES'!$B$3:$B$987&amp;"",'NETWORK-DEVICES'!$AF$3:$AF$987,""),"Peripheral",_xlfn.XLOOKUP($K754&amp;"",PERIPHERAL!$B$3:$B$954&amp;"",PERIPHERAL!$Y$3:$Y$954,""),"Utilities",_xlfn.XLOOKUP($K754&amp;"",UTILITIES!$B$3:$B$953&amp;"",UTILITIES!$O$3:$O$953,""),"IOT",_xlfn.XLOOKUP($K754&amp;"",IOT!$B$3:$B$1012&amp;"",IOT!$AB$3:$AB$1012,""),"Server",_xlfn.XLOOKUP($K754&amp;"",SERVER!$B$3:$B$1009&amp;"",SERVER!$AB$3:$AB$1009,""),""))))</f>
        <v/>
      </c>
      <c r="R754" s="43" t="str">
        <f>IF(tbl_handover[[#This Row],[Asset Code]]="","",COUNTIF(tbl_handover[Asset Code],tbl_handover[[#This Row],[Asset Code]]))</f>
        <v/>
      </c>
    </row>
    <row r="755" spans="1:18" x14ac:dyDescent="0.25">
      <c r="A755" s="43" t="str">
        <f>IF(B755&lt;&gt;"",SUBTOTAL(3,$B$1:B754),"")</f>
        <v/>
      </c>
      <c r="C755" s="74"/>
      <c r="D755" s="74"/>
      <c r="G755" s="1"/>
      <c r="K755" s="42"/>
      <c r="L755" t="str" cm="1">
        <f t="array" ref="L755">IF($K755="","",_xlfn.SWITCH($I755,"Computer",_xlfn.XLOOKUP($K755&amp;"",COMPUTER!$B$3:$B$1009&amp;"",COMPUTER!$I$3:$I$1009,""),"Display",_xlfn.XLOOKUP($K755&amp;"",DISPLAY!$B$3:$B$1000&amp;"",DISPLAY!$J$3:$J$1000,""),"Network Device",_xlfn.XLOOKUP($K755&amp;"",'NETWORK-DEVICES'!$B$3:$B$987&amp;"",'NETWORK-DEVICES'!$I$3:$I$987,""),"Peripheral",_xlfn.XLOOKUP($K755&amp;"",PERIPHERAL!$B$3:$B$954&amp;"",PERIPHERAL!$I$3:$I$954,""),"Utilities",_xlfn.XLOOKUP($K755&amp;"",UTILITIES!$B$3:$B$953&amp;"",UTILITIES!$H$3:$H$953,""),"IOT",_xlfn.XLOOKUP($K755&amp;"",IOT!$B$3:$B$1012&amp;"",IOT!$I$3:$I$1012,""),"SERVER",_xlfn.XLOOKUP($K755&amp;"",SERVER!$B$3:$B$1009&amp;"",SERVER!$I$3:$I$1009,""),""))</f>
        <v/>
      </c>
      <c r="M755" t="str" cm="1">
        <f t="array" ref="M755">IF($K755="","",_xlfn.SWITCH($I755,"Computer",_xlfn.XLOOKUP($K755&amp;"",COMPUTER!$B$3:$B$1009&amp;"",COMPUTER!$J$3:$J$1009,""),"Display",_xlfn.XLOOKUP($K755&amp;"",DISPLAY!$B$3:$B$1000&amp;"",DISPLAY!$K$3:$K$1000,""),"Network Device",_xlfn.XLOOKUP($K755&amp;"",'NETWORK-DEVICES'!$B$3:$B$987&amp;"",'NETWORK-DEVICES'!$I$3:$I$987,""),"Peripheral",_xlfn.XLOOKUP($K755&amp;"",PERIPHERAL!$B$3:$B$954&amp;"",PERIPHERAL!$J$3:$J$954,""),"Utilities",_xlfn.XLOOKUP($K755&amp;"",UTILITIES!$B$3:$B$953&amp;"",UTILITIES!$I$3:$I$953,""),"IOT",_xlfn.XLOOKUP($K755&amp;"",IOT!$B$3:$B$1012&amp;"",IOT!$J$3:$J$1012,""),"Server",_xlfn.XLOOKUP($K755&amp;"",SERVER!$B$3:$B$1009&amp;"",SERVER!$J$3:$J$1009,""),""))</f>
        <v/>
      </c>
      <c r="N755" s="1" t="str" cm="1">
        <f t="array" ref="N755">IF(OR($K755="",$I755="",$J755=""),"",_xlfn.LET(_xlpm.srcCat,_xlfn.SWITCH($I755,"Computer",_xlfn.XLOOKUP($K755&amp;"",COMPUTER!$B$3:$B$1009&amp;"",COMPUTER!$H$3:$H$1009,""),"Display",_xlfn.XLOOKUP($K755&amp;"",DISPLAY!$B$3:$B$1000&amp;"",DISPLAY!$H$3:$H$1000,""),"Network Device",_xlfn.XLOOKUP($K755&amp;"",'NETWORK-DEVICES'!$B$3:$B$987&amp;"",'NETWORK-DEVICES'!$H$3:$H$987,""),"Peripheral",_xlfn.XLOOKUP($K755&amp;"",PERIPHERAL!$B$3:$B$954&amp;"",PERIPHERAL!$H$3:$H$954,""),"Utilities",_xlfn.XLOOKUP($K755&amp;"",UTILITIES!$B$3:$B$953&amp;"",UTILITIES!$G$3:$G$953,""),"IOT",_xlfn.XLOOKUP($K755&amp;"",IOT!$B$3:$B$1012&amp;"",IOT!$H$3:$H$1012,""),"Server",_xlfn.XLOOKUP($K755&amp;"",SERVER!$B$3:$B$1009&amp;"",SERVER!$H$3:$H$1009,""),""),IF(TRIM(_xlpm.srcCat)&lt;&gt;TRIM($J755),"",_xlfn.SWITCH($I755,"Computer",_xlfn.XLOOKUP($K755&amp;"",COMPUTER!$B$3:$B$1009&amp;"",COMPUTER!$K$3:$K$1009,""),"Display",_xlfn.XLOOKUP($K755&amp;"",DISPLAY!$B$3:$B$1000&amp;"",DISPLAY!$L$3:$L$1000,""),"Network Device",_xlfn.XLOOKUP($K755&amp;"",'NETWORK-DEVICES'!$B$3:$B$987&amp;"",'NETWORK-DEVICES'!$K$3:$K$987,""),"Peripheral",_xlfn.XLOOKUP($K755&amp;"",PERIPHERAL!$B$3:$B$954&amp;"",PERIPHERAL!$K$3:$K$954,""),"Utilities",_xlfn.XLOOKUP($K755&amp;"",UTILITIES!$B$3:$B$953&amp;"",UTILITIES!$J$3:$J$953,""),"IOT",_xlfn.XLOOKUP($K755&amp;"",IOT!$B$3:$B$1012&amp;"",IOT!$K$4:$K$1012,""),"Server",_xlfn.XLOOKUP($K755&amp;"",SERVER!$B$3:$B$1009&amp;"",SERVER!$K$3:$K$1009,""),""))))</f>
        <v/>
      </c>
      <c r="O755" s="1" t="str" cm="1">
        <f t="array" ref="O755">IF(OR($K755="",$I755="",$J755=""),"",_xlfn.LET(_xlpm.srcCat,_xlfn.SWITCH($I755,"Computer",_xlfn.XLOOKUP($K755&amp;"",COMPUTER!$B$3:$B$1009&amp;"",COMPUTER!$H$3:$H$1009,""),"Display",_xlfn.XLOOKUP($K755&amp;"",DISPLAY!$B$3:$B$1000&amp;"",DISPLAY!$H$3:$H$1000,""),"Network Device",_xlfn.XLOOKUP($K755&amp;"",'NETWORK-DEVICES'!$B$3:$B$987&amp;"",'NETWORK-DEVICES'!$H$3:$H$987,""),"Peripheral",_xlfn.XLOOKUP($K755&amp;"",PERIPHERAL!$B$3:$B$954&amp;"",PERIPHERAL!$H$3:$H$954,""),"Utilities",_xlfn.XLOOKUP($K755&amp;"",UTILITIES!$B$3:$B$953&amp;"",UTILITIES!$G$3:$G$953,""),"IOT",_xlfn.XLOOKUP($K755&amp;"",IOT!$B$3:$B$1012&amp;"",IOT!$H$3:$H$1012,""),"Server",_xlfn.XLOOKUP($K755&amp;"",SERVER!$B$3:$B$1009&amp;"",SERVER!$H$3:$H$1009,""),""),IF(TRIM(_xlpm.srcCat)&lt;&gt;TRIM($J755),"",_xlfn.SWITCH($I755,"Computer",_xlfn.XLOOKUP($K755&amp;"",COMPUTER!$B$3:$B$1009&amp;"",COMPUTER!$E$3:$E$1009,""),"Display",_xlfn.XLOOKUP($K755&amp;"",DISPLAY!$B$3:$B$1000&amp;"",DISPLAY!$E$3:$E$1000,""),"Network Device",_xlfn.XLOOKUP($K755&amp;"",'NETWORK-DEVICES'!$B$3:$B$987&amp;"",'NETWORK-DEVICES'!$E$3:$E$987,""),"Peripheral",_xlfn.XLOOKUP($K755&amp;"",PERIPHERAL!$B$3:$B$954&amp;"",PERIPHERAL!$E$3:$E$954,""),"Utilities",_xlfn.XLOOKUP($K755&amp;"",UTILITIES!$B$3:$B$953&amp;"",UTILITIES!$E$3:$E$953,""),"IOT",_xlfn.XLOOKUP($K755&amp;"",IOT!$B$3:$B$1012&amp;"",IOT!$E$3:$E$1012,""),"Server",_xlfn.XLOOKUP($K755&amp;"",SERVER!$B$3:$B$1009&amp;"",SERVER!$E$3:$E$1009,""),""))))</f>
        <v/>
      </c>
      <c r="Q755" s="1" t="str" cm="1">
        <f t="array" ref="Q755">IF(OR($K755="",$I755="",$J755=""),"",_xlfn.LET(_xlpm.srcCat,_xlfn.SWITCH($I755,"Computer",_xlfn.XLOOKUP($K755&amp;"",COMPUTER!$B$3:$B$1009&amp;"",COMPUTER!$H$3:$H$1009,""),"Display",_xlfn.XLOOKUP($K755&amp;"",DISPLAY!$B$3:$B$1000&amp;"",DISPLAY!$H$3:$H$1000,""),"Network Device",_xlfn.XLOOKUP($K755&amp;"",'NETWORK-DEVICES'!$B$3:$B$987&amp;"",'NETWORK-DEVICES'!$H$3:$H$987,""),"Peripheral",_xlfn.XLOOKUP($K755&amp;"",PERIPHERAL!$B$3:$B$954&amp;"",PERIPHERAL!$H$3:$H$954,""),"Utilities",_xlfn.XLOOKUP($K755&amp;"",UTILITIES!$B$3:$B$953&amp;"",UTILITIES!$G$3:$G$953,""),"IOT",_xlfn.XLOOKUP($K755&amp;"",IOT!$B$3:$B$1012&amp;"",IOT!$H$3:$H$1012,""),"Server",_xlfn.XLOOKUP($K755&amp;"",SERVER!$B$3:$B$1009&amp;"",SERVER!$H$3:$H$1009,""),""),IF(TRIM(_xlpm.srcCat)&lt;&gt;TRIM($J755),"",_xlfn.SWITCH($I755,"Computer",_xlfn.XLOOKUP($K755&amp;"",COMPUTER!$B$3:$B$1009&amp;"",COMPUTER!$AM$3:$AM$1009,""),"Display",_xlfn.XLOOKUP($K755&amp;"",DISPLAY!$B$3:$B$1000&amp;"",DISPLAY!$V$3:$V$1000,""),"Network Device",_xlfn.XLOOKUP($K755&amp;"",'NETWORK-DEVICES'!$B$3:$B$987&amp;"",'NETWORK-DEVICES'!$AF$3:$AF$987,""),"Peripheral",_xlfn.XLOOKUP($K755&amp;"",PERIPHERAL!$B$3:$B$954&amp;"",PERIPHERAL!$Y$3:$Y$954,""),"Utilities",_xlfn.XLOOKUP($K755&amp;"",UTILITIES!$B$3:$B$953&amp;"",UTILITIES!$O$3:$O$953,""),"IOT",_xlfn.XLOOKUP($K755&amp;"",IOT!$B$3:$B$1012&amp;"",IOT!$AB$3:$AB$1012,""),"Server",_xlfn.XLOOKUP($K755&amp;"",SERVER!$B$3:$B$1009&amp;"",SERVER!$AB$3:$AB$1009,""),""))))</f>
        <v/>
      </c>
      <c r="R755" s="43" t="str">
        <f>IF(tbl_handover[[#This Row],[Asset Code]]="","",COUNTIF(tbl_handover[Asset Code],tbl_handover[[#This Row],[Asset Code]]))</f>
        <v/>
      </c>
    </row>
    <row r="756" spans="1:18" x14ac:dyDescent="0.25">
      <c r="A756" s="43" t="str">
        <f>IF(B756&lt;&gt;"",SUBTOTAL(3,$B$1:B755),"")</f>
        <v/>
      </c>
      <c r="C756" s="74"/>
      <c r="D756" s="74"/>
      <c r="G756" s="1"/>
      <c r="K756" s="42"/>
      <c r="L756" t="str" cm="1">
        <f t="array" ref="L756">IF($K756="","",_xlfn.SWITCH($I756,"Computer",_xlfn.XLOOKUP($K756&amp;"",COMPUTER!$B$3:$B$1009&amp;"",COMPUTER!$I$3:$I$1009,""),"Display",_xlfn.XLOOKUP($K756&amp;"",DISPLAY!$B$3:$B$1000&amp;"",DISPLAY!$J$3:$J$1000,""),"Network Device",_xlfn.XLOOKUP($K756&amp;"",'NETWORK-DEVICES'!$B$3:$B$987&amp;"",'NETWORK-DEVICES'!$I$3:$I$987,""),"Peripheral",_xlfn.XLOOKUP($K756&amp;"",PERIPHERAL!$B$3:$B$954&amp;"",PERIPHERAL!$I$3:$I$954,""),"Utilities",_xlfn.XLOOKUP($K756&amp;"",UTILITIES!$B$3:$B$953&amp;"",UTILITIES!$H$3:$H$953,""),"IOT",_xlfn.XLOOKUP($K756&amp;"",IOT!$B$3:$B$1012&amp;"",IOT!$I$3:$I$1012,""),"SERVER",_xlfn.XLOOKUP($K756&amp;"",SERVER!$B$3:$B$1009&amp;"",SERVER!$I$3:$I$1009,""),""))</f>
        <v/>
      </c>
      <c r="M756" t="str" cm="1">
        <f t="array" ref="M756">IF($K756="","",_xlfn.SWITCH($I756,"Computer",_xlfn.XLOOKUP($K756&amp;"",COMPUTER!$B$3:$B$1009&amp;"",COMPUTER!$J$3:$J$1009,""),"Display",_xlfn.XLOOKUP($K756&amp;"",DISPLAY!$B$3:$B$1000&amp;"",DISPLAY!$K$3:$K$1000,""),"Network Device",_xlfn.XLOOKUP($K756&amp;"",'NETWORK-DEVICES'!$B$3:$B$987&amp;"",'NETWORK-DEVICES'!$I$3:$I$987,""),"Peripheral",_xlfn.XLOOKUP($K756&amp;"",PERIPHERAL!$B$3:$B$954&amp;"",PERIPHERAL!$J$3:$J$954,""),"Utilities",_xlfn.XLOOKUP($K756&amp;"",UTILITIES!$B$3:$B$953&amp;"",UTILITIES!$I$3:$I$953,""),"IOT",_xlfn.XLOOKUP($K756&amp;"",IOT!$B$3:$B$1012&amp;"",IOT!$J$3:$J$1012,""),"Server",_xlfn.XLOOKUP($K756&amp;"",SERVER!$B$3:$B$1009&amp;"",SERVER!$J$3:$J$1009,""),""))</f>
        <v/>
      </c>
      <c r="N756" s="1" t="str" cm="1">
        <f t="array" ref="N756">IF(OR($K756="",$I756="",$J756=""),"",_xlfn.LET(_xlpm.srcCat,_xlfn.SWITCH($I756,"Computer",_xlfn.XLOOKUP($K756&amp;"",COMPUTER!$B$3:$B$1009&amp;"",COMPUTER!$H$3:$H$1009,""),"Display",_xlfn.XLOOKUP($K756&amp;"",DISPLAY!$B$3:$B$1000&amp;"",DISPLAY!$H$3:$H$1000,""),"Network Device",_xlfn.XLOOKUP($K756&amp;"",'NETWORK-DEVICES'!$B$3:$B$987&amp;"",'NETWORK-DEVICES'!$H$3:$H$987,""),"Peripheral",_xlfn.XLOOKUP($K756&amp;"",PERIPHERAL!$B$3:$B$954&amp;"",PERIPHERAL!$H$3:$H$954,""),"Utilities",_xlfn.XLOOKUP($K756&amp;"",UTILITIES!$B$3:$B$953&amp;"",UTILITIES!$G$3:$G$953,""),"IOT",_xlfn.XLOOKUP($K756&amp;"",IOT!$B$3:$B$1012&amp;"",IOT!$H$3:$H$1012,""),"Server",_xlfn.XLOOKUP($K756&amp;"",SERVER!$B$3:$B$1009&amp;"",SERVER!$H$3:$H$1009,""),""),IF(TRIM(_xlpm.srcCat)&lt;&gt;TRIM($J756),"",_xlfn.SWITCH($I756,"Computer",_xlfn.XLOOKUP($K756&amp;"",COMPUTER!$B$3:$B$1009&amp;"",COMPUTER!$K$3:$K$1009,""),"Display",_xlfn.XLOOKUP($K756&amp;"",DISPLAY!$B$3:$B$1000&amp;"",DISPLAY!$L$3:$L$1000,""),"Network Device",_xlfn.XLOOKUP($K756&amp;"",'NETWORK-DEVICES'!$B$3:$B$987&amp;"",'NETWORK-DEVICES'!$K$3:$K$987,""),"Peripheral",_xlfn.XLOOKUP($K756&amp;"",PERIPHERAL!$B$3:$B$954&amp;"",PERIPHERAL!$K$3:$K$954,""),"Utilities",_xlfn.XLOOKUP($K756&amp;"",UTILITIES!$B$3:$B$953&amp;"",UTILITIES!$J$3:$J$953,""),"IOT",_xlfn.XLOOKUP($K756&amp;"",IOT!$B$3:$B$1012&amp;"",IOT!$K$4:$K$1012,""),"Server",_xlfn.XLOOKUP($K756&amp;"",SERVER!$B$3:$B$1009&amp;"",SERVER!$K$3:$K$1009,""),""))))</f>
        <v/>
      </c>
      <c r="O756" s="1" t="str" cm="1">
        <f t="array" ref="O756">IF(OR($K756="",$I756="",$J756=""),"",_xlfn.LET(_xlpm.srcCat,_xlfn.SWITCH($I756,"Computer",_xlfn.XLOOKUP($K756&amp;"",COMPUTER!$B$3:$B$1009&amp;"",COMPUTER!$H$3:$H$1009,""),"Display",_xlfn.XLOOKUP($K756&amp;"",DISPLAY!$B$3:$B$1000&amp;"",DISPLAY!$H$3:$H$1000,""),"Network Device",_xlfn.XLOOKUP($K756&amp;"",'NETWORK-DEVICES'!$B$3:$B$987&amp;"",'NETWORK-DEVICES'!$H$3:$H$987,""),"Peripheral",_xlfn.XLOOKUP($K756&amp;"",PERIPHERAL!$B$3:$B$954&amp;"",PERIPHERAL!$H$3:$H$954,""),"Utilities",_xlfn.XLOOKUP($K756&amp;"",UTILITIES!$B$3:$B$953&amp;"",UTILITIES!$G$3:$G$953,""),"IOT",_xlfn.XLOOKUP($K756&amp;"",IOT!$B$3:$B$1012&amp;"",IOT!$H$3:$H$1012,""),"Server",_xlfn.XLOOKUP($K756&amp;"",SERVER!$B$3:$B$1009&amp;"",SERVER!$H$3:$H$1009,""),""),IF(TRIM(_xlpm.srcCat)&lt;&gt;TRIM($J756),"",_xlfn.SWITCH($I756,"Computer",_xlfn.XLOOKUP($K756&amp;"",COMPUTER!$B$3:$B$1009&amp;"",COMPUTER!$E$3:$E$1009,""),"Display",_xlfn.XLOOKUP($K756&amp;"",DISPLAY!$B$3:$B$1000&amp;"",DISPLAY!$E$3:$E$1000,""),"Network Device",_xlfn.XLOOKUP($K756&amp;"",'NETWORK-DEVICES'!$B$3:$B$987&amp;"",'NETWORK-DEVICES'!$E$3:$E$987,""),"Peripheral",_xlfn.XLOOKUP($K756&amp;"",PERIPHERAL!$B$3:$B$954&amp;"",PERIPHERAL!$E$3:$E$954,""),"Utilities",_xlfn.XLOOKUP($K756&amp;"",UTILITIES!$B$3:$B$953&amp;"",UTILITIES!$E$3:$E$953,""),"IOT",_xlfn.XLOOKUP($K756&amp;"",IOT!$B$3:$B$1012&amp;"",IOT!$E$3:$E$1012,""),"Server",_xlfn.XLOOKUP($K756&amp;"",SERVER!$B$3:$B$1009&amp;"",SERVER!$E$3:$E$1009,""),""))))</f>
        <v/>
      </c>
      <c r="Q756" s="1" t="str" cm="1">
        <f t="array" ref="Q756">IF(OR($K756="",$I756="",$J756=""),"",_xlfn.LET(_xlpm.srcCat,_xlfn.SWITCH($I756,"Computer",_xlfn.XLOOKUP($K756&amp;"",COMPUTER!$B$3:$B$1009&amp;"",COMPUTER!$H$3:$H$1009,""),"Display",_xlfn.XLOOKUP($K756&amp;"",DISPLAY!$B$3:$B$1000&amp;"",DISPLAY!$H$3:$H$1000,""),"Network Device",_xlfn.XLOOKUP($K756&amp;"",'NETWORK-DEVICES'!$B$3:$B$987&amp;"",'NETWORK-DEVICES'!$H$3:$H$987,""),"Peripheral",_xlfn.XLOOKUP($K756&amp;"",PERIPHERAL!$B$3:$B$954&amp;"",PERIPHERAL!$H$3:$H$954,""),"Utilities",_xlfn.XLOOKUP($K756&amp;"",UTILITIES!$B$3:$B$953&amp;"",UTILITIES!$G$3:$G$953,""),"IOT",_xlfn.XLOOKUP($K756&amp;"",IOT!$B$3:$B$1012&amp;"",IOT!$H$3:$H$1012,""),"Server",_xlfn.XLOOKUP($K756&amp;"",SERVER!$B$3:$B$1009&amp;"",SERVER!$H$3:$H$1009,""),""),IF(TRIM(_xlpm.srcCat)&lt;&gt;TRIM($J756),"",_xlfn.SWITCH($I756,"Computer",_xlfn.XLOOKUP($K756&amp;"",COMPUTER!$B$3:$B$1009&amp;"",COMPUTER!$AM$3:$AM$1009,""),"Display",_xlfn.XLOOKUP($K756&amp;"",DISPLAY!$B$3:$B$1000&amp;"",DISPLAY!$V$3:$V$1000,""),"Network Device",_xlfn.XLOOKUP($K756&amp;"",'NETWORK-DEVICES'!$B$3:$B$987&amp;"",'NETWORK-DEVICES'!$AF$3:$AF$987,""),"Peripheral",_xlfn.XLOOKUP($K756&amp;"",PERIPHERAL!$B$3:$B$954&amp;"",PERIPHERAL!$Y$3:$Y$954,""),"Utilities",_xlfn.XLOOKUP($K756&amp;"",UTILITIES!$B$3:$B$953&amp;"",UTILITIES!$O$3:$O$953,""),"IOT",_xlfn.XLOOKUP($K756&amp;"",IOT!$B$3:$B$1012&amp;"",IOT!$AB$3:$AB$1012,""),"Server",_xlfn.XLOOKUP($K756&amp;"",SERVER!$B$3:$B$1009&amp;"",SERVER!$AB$3:$AB$1009,""),""))))</f>
        <v/>
      </c>
      <c r="R756" s="43" t="str">
        <f>IF(tbl_handover[[#This Row],[Asset Code]]="","",COUNTIF(tbl_handover[Asset Code],tbl_handover[[#This Row],[Asset Code]]))</f>
        <v/>
      </c>
    </row>
    <row r="757" spans="1:18" x14ac:dyDescent="0.25">
      <c r="A757" s="43" t="str">
        <f>IF(B757&lt;&gt;"",SUBTOTAL(3,$B$1:B756),"")</f>
        <v/>
      </c>
      <c r="C757" s="74"/>
      <c r="D757" s="74"/>
      <c r="G757" s="1"/>
      <c r="K757" s="42"/>
      <c r="L757" t="str" cm="1">
        <f t="array" ref="L757">IF($K757="","",_xlfn.SWITCH($I757,"Computer",_xlfn.XLOOKUP($K757&amp;"",COMPUTER!$B$3:$B$1009&amp;"",COMPUTER!$I$3:$I$1009,""),"Display",_xlfn.XLOOKUP($K757&amp;"",DISPLAY!$B$3:$B$1000&amp;"",DISPLAY!$J$3:$J$1000,""),"Network Device",_xlfn.XLOOKUP($K757&amp;"",'NETWORK-DEVICES'!$B$3:$B$987&amp;"",'NETWORK-DEVICES'!$I$3:$I$987,""),"Peripheral",_xlfn.XLOOKUP($K757&amp;"",PERIPHERAL!$B$3:$B$954&amp;"",PERIPHERAL!$I$3:$I$954,""),"Utilities",_xlfn.XLOOKUP($K757&amp;"",UTILITIES!$B$3:$B$953&amp;"",UTILITIES!$H$3:$H$953,""),"IOT",_xlfn.XLOOKUP($K757&amp;"",IOT!$B$3:$B$1012&amp;"",IOT!$I$3:$I$1012,""),"SERVER",_xlfn.XLOOKUP($K757&amp;"",SERVER!$B$3:$B$1009&amp;"",SERVER!$I$3:$I$1009,""),""))</f>
        <v/>
      </c>
      <c r="M757" t="str" cm="1">
        <f t="array" ref="M757">IF($K757="","",_xlfn.SWITCH($I757,"Computer",_xlfn.XLOOKUP($K757&amp;"",COMPUTER!$B$3:$B$1009&amp;"",COMPUTER!$J$3:$J$1009,""),"Display",_xlfn.XLOOKUP($K757&amp;"",DISPLAY!$B$3:$B$1000&amp;"",DISPLAY!$K$3:$K$1000,""),"Network Device",_xlfn.XLOOKUP($K757&amp;"",'NETWORK-DEVICES'!$B$3:$B$987&amp;"",'NETWORK-DEVICES'!$I$3:$I$987,""),"Peripheral",_xlfn.XLOOKUP($K757&amp;"",PERIPHERAL!$B$3:$B$954&amp;"",PERIPHERAL!$J$3:$J$954,""),"Utilities",_xlfn.XLOOKUP($K757&amp;"",UTILITIES!$B$3:$B$953&amp;"",UTILITIES!$I$3:$I$953,""),"IOT",_xlfn.XLOOKUP($K757&amp;"",IOT!$B$3:$B$1012&amp;"",IOT!$J$3:$J$1012,""),"Server",_xlfn.XLOOKUP($K757&amp;"",SERVER!$B$3:$B$1009&amp;"",SERVER!$J$3:$J$1009,""),""))</f>
        <v/>
      </c>
      <c r="N757" s="1" t="str" cm="1">
        <f t="array" ref="N757">IF(OR($K757="",$I757="",$J757=""),"",_xlfn.LET(_xlpm.srcCat,_xlfn.SWITCH($I757,"Computer",_xlfn.XLOOKUP($K757&amp;"",COMPUTER!$B$3:$B$1009&amp;"",COMPUTER!$H$3:$H$1009,""),"Display",_xlfn.XLOOKUP($K757&amp;"",DISPLAY!$B$3:$B$1000&amp;"",DISPLAY!$H$3:$H$1000,""),"Network Device",_xlfn.XLOOKUP($K757&amp;"",'NETWORK-DEVICES'!$B$3:$B$987&amp;"",'NETWORK-DEVICES'!$H$3:$H$987,""),"Peripheral",_xlfn.XLOOKUP($K757&amp;"",PERIPHERAL!$B$3:$B$954&amp;"",PERIPHERAL!$H$3:$H$954,""),"Utilities",_xlfn.XLOOKUP($K757&amp;"",UTILITIES!$B$3:$B$953&amp;"",UTILITIES!$G$3:$G$953,""),"IOT",_xlfn.XLOOKUP($K757&amp;"",IOT!$B$3:$B$1012&amp;"",IOT!$H$3:$H$1012,""),"Server",_xlfn.XLOOKUP($K757&amp;"",SERVER!$B$3:$B$1009&amp;"",SERVER!$H$3:$H$1009,""),""),IF(TRIM(_xlpm.srcCat)&lt;&gt;TRIM($J757),"",_xlfn.SWITCH($I757,"Computer",_xlfn.XLOOKUP($K757&amp;"",COMPUTER!$B$3:$B$1009&amp;"",COMPUTER!$K$3:$K$1009,""),"Display",_xlfn.XLOOKUP($K757&amp;"",DISPLAY!$B$3:$B$1000&amp;"",DISPLAY!$L$3:$L$1000,""),"Network Device",_xlfn.XLOOKUP($K757&amp;"",'NETWORK-DEVICES'!$B$3:$B$987&amp;"",'NETWORK-DEVICES'!$K$3:$K$987,""),"Peripheral",_xlfn.XLOOKUP($K757&amp;"",PERIPHERAL!$B$3:$B$954&amp;"",PERIPHERAL!$K$3:$K$954,""),"Utilities",_xlfn.XLOOKUP($K757&amp;"",UTILITIES!$B$3:$B$953&amp;"",UTILITIES!$J$3:$J$953,""),"IOT",_xlfn.XLOOKUP($K757&amp;"",IOT!$B$3:$B$1012&amp;"",IOT!$K$4:$K$1012,""),"Server",_xlfn.XLOOKUP($K757&amp;"",SERVER!$B$3:$B$1009&amp;"",SERVER!$K$3:$K$1009,""),""))))</f>
        <v/>
      </c>
      <c r="O757" s="1" t="str" cm="1">
        <f t="array" ref="O757">IF(OR($K757="",$I757="",$J757=""),"",_xlfn.LET(_xlpm.srcCat,_xlfn.SWITCH($I757,"Computer",_xlfn.XLOOKUP($K757&amp;"",COMPUTER!$B$3:$B$1009&amp;"",COMPUTER!$H$3:$H$1009,""),"Display",_xlfn.XLOOKUP($K757&amp;"",DISPLAY!$B$3:$B$1000&amp;"",DISPLAY!$H$3:$H$1000,""),"Network Device",_xlfn.XLOOKUP($K757&amp;"",'NETWORK-DEVICES'!$B$3:$B$987&amp;"",'NETWORK-DEVICES'!$H$3:$H$987,""),"Peripheral",_xlfn.XLOOKUP($K757&amp;"",PERIPHERAL!$B$3:$B$954&amp;"",PERIPHERAL!$H$3:$H$954,""),"Utilities",_xlfn.XLOOKUP($K757&amp;"",UTILITIES!$B$3:$B$953&amp;"",UTILITIES!$G$3:$G$953,""),"IOT",_xlfn.XLOOKUP($K757&amp;"",IOT!$B$3:$B$1012&amp;"",IOT!$H$3:$H$1012,""),"Server",_xlfn.XLOOKUP($K757&amp;"",SERVER!$B$3:$B$1009&amp;"",SERVER!$H$3:$H$1009,""),""),IF(TRIM(_xlpm.srcCat)&lt;&gt;TRIM($J757),"",_xlfn.SWITCH($I757,"Computer",_xlfn.XLOOKUP($K757&amp;"",COMPUTER!$B$3:$B$1009&amp;"",COMPUTER!$E$3:$E$1009,""),"Display",_xlfn.XLOOKUP($K757&amp;"",DISPLAY!$B$3:$B$1000&amp;"",DISPLAY!$E$3:$E$1000,""),"Network Device",_xlfn.XLOOKUP($K757&amp;"",'NETWORK-DEVICES'!$B$3:$B$987&amp;"",'NETWORK-DEVICES'!$E$3:$E$987,""),"Peripheral",_xlfn.XLOOKUP($K757&amp;"",PERIPHERAL!$B$3:$B$954&amp;"",PERIPHERAL!$E$3:$E$954,""),"Utilities",_xlfn.XLOOKUP($K757&amp;"",UTILITIES!$B$3:$B$953&amp;"",UTILITIES!$E$3:$E$953,""),"IOT",_xlfn.XLOOKUP($K757&amp;"",IOT!$B$3:$B$1012&amp;"",IOT!$E$3:$E$1012,""),"Server",_xlfn.XLOOKUP($K757&amp;"",SERVER!$B$3:$B$1009&amp;"",SERVER!$E$3:$E$1009,""),""))))</f>
        <v/>
      </c>
      <c r="Q757" s="1" t="str" cm="1">
        <f t="array" ref="Q757">IF(OR($K757="",$I757="",$J757=""),"",_xlfn.LET(_xlpm.srcCat,_xlfn.SWITCH($I757,"Computer",_xlfn.XLOOKUP($K757&amp;"",COMPUTER!$B$3:$B$1009&amp;"",COMPUTER!$H$3:$H$1009,""),"Display",_xlfn.XLOOKUP($K757&amp;"",DISPLAY!$B$3:$B$1000&amp;"",DISPLAY!$H$3:$H$1000,""),"Network Device",_xlfn.XLOOKUP($K757&amp;"",'NETWORK-DEVICES'!$B$3:$B$987&amp;"",'NETWORK-DEVICES'!$H$3:$H$987,""),"Peripheral",_xlfn.XLOOKUP($K757&amp;"",PERIPHERAL!$B$3:$B$954&amp;"",PERIPHERAL!$H$3:$H$954,""),"Utilities",_xlfn.XLOOKUP($K757&amp;"",UTILITIES!$B$3:$B$953&amp;"",UTILITIES!$G$3:$G$953,""),"IOT",_xlfn.XLOOKUP($K757&amp;"",IOT!$B$3:$B$1012&amp;"",IOT!$H$3:$H$1012,""),"Server",_xlfn.XLOOKUP($K757&amp;"",SERVER!$B$3:$B$1009&amp;"",SERVER!$H$3:$H$1009,""),""),IF(TRIM(_xlpm.srcCat)&lt;&gt;TRIM($J757),"",_xlfn.SWITCH($I757,"Computer",_xlfn.XLOOKUP($K757&amp;"",COMPUTER!$B$3:$B$1009&amp;"",COMPUTER!$AM$3:$AM$1009,""),"Display",_xlfn.XLOOKUP($K757&amp;"",DISPLAY!$B$3:$B$1000&amp;"",DISPLAY!$V$3:$V$1000,""),"Network Device",_xlfn.XLOOKUP($K757&amp;"",'NETWORK-DEVICES'!$B$3:$B$987&amp;"",'NETWORK-DEVICES'!$AF$3:$AF$987,""),"Peripheral",_xlfn.XLOOKUP($K757&amp;"",PERIPHERAL!$B$3:$B$954&amp;"",PERIPHERAL!$Y$3:$Y$954,""),"Utilities",_xlfn.XLOOKUP($K757&amp;"",UTILITIES!$B$3:$B$953&amp;"",UTILITIES!$O$3:$O$953,""),"IOT",_xlfn.XLOOKUP($K757&amp;"",IOT!$B$3:$B$1012&amp;"",IOT!$AB$3:$AB$1012,""),"Server",_xlfn.XLOOKUP($K757&amp;"",SERVER!$B$3:$B$1009&amp;"",SERVER!$AB$3:$AB$1009,""),""))))</f>
        <v/>
      </c>
      <c r="R757" s="43" t="str">
        <f>IF(tbl_handover[[#This Row],[Asset Code]]="","",COUNTIF(tbl_handover[Asset Code],tbl_handover[[#This Row],[Asset Code]]))</f>
        <v/>
      </c>
    </row>
    <row r="758" spans="1:18" x14ac:dyDescent="0.25">
      <c r="A758" s="43" t="str">
        <f>IF(B758&lt;&gt;"",SUBTOTAL(3,$B$1:B757),"")</f>
        <v/>
      </c>
      <c r="C758" s="74"/>
      <c r="D758" s="74"/>
      <c r="G758" s="1"/>
      <c r="K758" s="42"/>
      <c r="L758" t="str" cm="1">
        <f t="array" ref="L758">IF($K758="","",_xlfn.SWITCH($I758,"Computer",_xlfn.XLOOKUP($K758&amp;"",COMPUTER!$B$3:$B$1009&amp;"",COMPUTER!$I$3:$I$1009,""),"Display",_xlfn.XLOOKUP($K758&amp;"",DISPLAY!$B$3:$B$1000&amp;"",DISPLAY!$J$3:$J$1000,""),"Network Device",_xlfn.XLOOKUP($K758&amp;"",'NETWORK-DEVICES'!$B$3:$B$987&amp;"",'NETWORK-DEVICES'!$I$3:$I$987,""),"Peripheral",_xlfn.XLOOKUP($K758&amp;"",PERIPHERAL!$B$3:$B$954&amp;"",PERIPHERAL!$I$3:$I$954,""),"Utilities",_xlfn.XLOOKUP($K758&amp;"",UTILITIES!$B$3:$B$953&amp;"",UTILITIES!$H$3:$H$953,""),"IOT",_xlfn.XLOOKUP($K758&amp;"",IOT!$B$3:$B$1012&amp;"",IOT!$I$3:$I$1012,""),"SERVER",_xlfn.XLOOKUP($K758&amp;"",SERVER!$B$3:$B$1009&amp;"",SERVER!$I$3:$I$1009,""),""))</f>
        <v/>
      </c>
      <c r="M758" t="str" cm="1">
        <f t="array" ref="M758">IF($K758="","",_xlfn.SWITCH($I758,"Computer",_xlfn.XLOOKUP($K758&amp;"",COMPUTER!$B$3:$B$1009&amp;"",COMPUTER!$J$3:$J$1009,""),"Display",_xlfn.XLOOKUP($K758&amp;"",DISPLAY!$B$3:$B$1000&amp;"",DISPLAY!$K$3:$K$1000,""),"Network Device",_xlfn.XLOOKUP($K758&amp;"",'NETWORK-DEVICES'!$B$3:$B$987&amp;"",'NETWORK-DEVICES'!$I$3:$I$987,""),"Peripheral",_xlfn.XLOOKUP($K758&amp;"",PERIPHERAL!$B$3:$B$954&amp;"",PERIPHERAL!$J$3:$J$954,""),"Utilities",_xlfn.XLOOKUP($K758&amp;"",UTILITIES!$B$3:$B$953&amp;"",UTILITIES!$I$3:$I$953,""),"IOT",_xlfn.XLOOKUP($K758&amp;"",IOT!$B$3:$B$1012&amp;"",IOT!$J$3:$J$1012,""),"Server",_xlfn.XLOOKUP($K758&amp;"",SERVER!$B$3:$B$1009&amp;"",SERVER!$J$3:$J$1009,""),""))</f>
        <v/>
      </c>
      <c r="N758" s="1" t="str" cm="1">
        <f t="array" ref="N758">IF(OR($K758="",$I758="",$J758=""),"",_xlfn.LET(_xlpm.srcCat,_xlfn.SWITCH($I758,"Computer",_xlfn.XLOOKUP($K758&amp;"",COMPUTER!$B$3:$B$1009&amp;"",COMPUTER!$H$3:$H$1009,""),"Display",_xlfn.XLOOKUP($K758&amp;"",DISPLAY!$B$3:$B$1000&amp;"",DISPLAY!$H$3:$H$1000,""),"Network Device",_xlfn.XLOOKUP($K758&amp;"",'NETWORK-DEVICES'!$B$3:$B$987&amp;"",'NETWORK-DEVICES'!$H$3:$H$987,""),"Peripheral",_xlfn.XLOOKUP($K758&amp;"",PERIPHERAL!$B$3:$B$954&amp;"",PERIPHERAL!$H$3:$H$954,""),"Utilities",_xlfn.XLOOKUP($K758&amp;"",UTILITIES!$B$3:$B$953&amp;"",UTILITIES!$G$3:$G$953,""),"IOT",_xlfn.XLOOKUP($K758&amp;"",IOT!$B$3:$B$1012&amp;"",IOT!$H$3:$H$1012,""),"Server",_xlfn.XLOOKUP($K758&amp;"",SERVER!$B$3:$B$1009&amp;"",SERVER!$H$3:$H$1009,""),""),IF(TRIM(_xlpm.srcCat)&lt;&gt;TRIM($J758),"",_xlfn.SWITCH($I758,"Computer",_xlfn.XLOOKUP($K758&amp;"",COMPUTER!$B$3:$B$1009&amp;"",COMPUTER!$K$3:$K$1009,""),"Display",_xlfn.XLOOKUP($K758&amp;"",DISPLAY!$B$3:$B$1000&amp;"",DISPLAY!$L$3:$L$1000,""),"Network Device",_xlfn.XLOOKUP($K758&amp;"",'NETWORK-DEVICES'!$B$3:$B$987&amp;"",'NETWORK-DEVICES'!$K$3:$K$987,""),"Peripheral",_xlfn.XLOOKUP($K758&amp;"",PERIPHERAL!$B$3:$B$954&amp;"",PERIPHERAL!$K$3:$K$954,""),"Utilities",_xlfn.XLOOKUP($K758&amp;"",UTILITIES!$B$3:$B$953&amp;"",UTILITIES!$J$3:$J$953,""),"IOT",_xlfn.XLOOKUP($K758&amp;"",IOT!$B$3:$B$1012&amp;"",IOT!$K$4:$K$1012,""),"Server",_xlfn.XLOOKUP($K758&amp;"",SERVER!$B$3:$B$1009&amp;"",SERVER!$K$3:$K$1009,""),""))))</f>
        <v/>
      </c>
      <c r="O758" s="1" t="str" cm="1">
        <f t="array" ref="O758">IF(OR($K758="",$I758="",$J758=""),"",_xlfn.LET(_xlpm.srcCat,_xlfn.SWITCH($I758,"Computer",_xlfn.XLOOKUP($K758&amp;"",COMPUTER!$B$3:$B$1009&amp;"",COMPUTER!$H$3:$H$1009,""),"Display",_xlfn.XLOOKUP($K758&amp;"",DISPLAY!$B$3:$B$1000&amp;"",DISPLAY!$H$3:$H$1000,""),"Network Device",_xlfn.XLOOKUP($K758&amp;"",'NETWORK-DEVICES'!$B$3:$B$987&amp;"",'NETWORK-DEVICES'!$H$3:$H$987,""),"Peripheral",_xlfn.XLOOKUP($K758&amp;"",PERIPHERAL!$B$3:$B$954&amp;"",PERIPHERAL!$H$3:$H$954,""),"Utilities",_xlfn.XLOOKUP($K758&amp;"",UTILITIES!$B$3:$B$953&amp;"",UTILITIES!$G$3:$G$953,""),"IOT",_xlfn.XLOOKUP($K758&amp;"",IOT!$B$3:$B$1012&amp;"",IOT!$H$3:$H$1012,""),"Server",_xlfn.XLOOKUP($K758&amp;"",SERVER!$B$3:$B$1009&amp;"",SERVER!$H$3:$H$1009,""),""),IF(TRIM(_xlpm.srcCat)&lt;&gt;TRIM($J758),"",_xlfn.SWITCH($I758,"Computer",_xlfn.XLOOKUP($K758&amp;"",COMPUTER!$B$3:$B$1009&amp;"",COMPUTER!$E$3:$E$1009,""),"Display",_xlfn.XLOOKUP($K758&amp;"",DISPLAY!$B$3:$B$1000&amp;"",DISPLAY!$E$3:$E$1000,""),"Network Device",_xlfn.XLOOKUP($K758&amp;"",'NETWORK-DEVICES'!$B$3:$B$987&amp;"",'NETWORK-DEVICES'!$E$3:$E$987,""),"Peripheral",_xlfn.XLOOKUP($K758&amp;"",PERIPHERAL!$B$3:$B$954&amp;"",PERIPHERAL!$E$3:$E$954,""),"Utilities",_xlfn.XLOOKUP($K758&amp;"",UTILITIES!$B$3:$B$953&amp;"",UTILITIES!$E$3:$E$953,""),"IOT",_xlfn.XLOOKUP($K758&amp;"",IOT!$B$3:$B$1012&amp;"",IOT!$E$3:$E$1012,""),"Server",_xlfn.XLOOKUP($K758&amp;"",SERVER!$B$3:$B$1009&amp;"",SERVER!$E$3:$E$1009,""),""))))</f>
        <v/>
      </c>
      <c r="Q758" s="1" t="str" cm="1">
        <f t="array" ref="Q758">IF(OR($K758="",$I758="",$J758=""),"",_xlfn.LET(_xlpm.srcCat,_xlfn.SWITCH($I758,"Computer",_xlfn.XLOOKUP($K758&amp;"",COMPUTER!$B$3:$B$1009&amp;"",COMPUTER!$H$3:$H$1009,""),"Display",_xlfn.XLOOKUP($K758&amp;"",DISPLAY!$B$3:$B$1000&amp;"",DISPLAY!$H$3:$H$1000,""),"Network Device",_xlfn.XLOOKUP($K758&amp;"",'NETWORK-DEVICES'!$B$3:$B$987&amp;"",'NETWORK-DEVICES'!$H$3:$H$987,""),"Peripheral",_xlfn.XLOOKUP($K758&amp;"",PERIPHERAL!$B$3:$B$954&amp;"",PERIPHERAL!$H$3:$H$954,""),"Utilities",_xlfn.XLOOKUP($K758&amp;"",UTILITIES!$B$3:$B$953&amp;"",UTILITIES!$G$3:$G$953,""),"IOT",_xlfn.XLOOKUP($K758&amp;"",IOT!$B$3:$B$1012&amp;"",IOT!$H$3:$H$1012,""),"Server",_xlfn.XLOOKUP($K758&amp;"",SERVER!$B$3:$B$1009&amp;"",SERVER!$H$3:$H$1009,""),""),IF(TRIM(_xlpm.srcCat)&lt;&gt;TRIM($J758),"",_xlfn.SWITCH($I758,"Computer",_xlfn.XLOOKUP($K758&amp;"",COMPUTER!$B$3:$B$1009&amp;"",COMPUTER!$AM$3:$AM$1009,""),"Display",_xlfn.XLOOKUP($K758&amp;"",DISPLAY!$B$3:$B$1000&amp;"",DISPLAY!$V$3:$V$1000,""),"Network Device",_xlfn.XLOOKUP($K758&amp;"",'NETWORK-DEVICES'!$B$3:$B$987&amp;"",'NETWORK-DEVICES'!$AF$3:$AF$987,""),"Peripheral",_xlfn.XLOOKUP($K758&amp;"",PERIPHERAL!$B$3:$B$954&amp;"",PERIPHERAL!$Y$3:$Y$954,""),"Utilities",_xlfn.XLOOKUP($K758&amp;"",UTILITIES!$B$3:$B$953&amp;"",UTILITIES!$O$3:$O$953,""),"IOT",_xlfn.XLOOKUP($K758&amp;"",IOT!$B$3:$B$1012&amp;"",IOT!$AB$3:$AB$1012,""),"Server",_xlfn.XLOOKUP($K758&amp;"",SERVER!$B$3:$B$1009&amp;"",SERVER!$AB$3:$AB$1009,""),""))))</f>
        <v/>
      </c>
      <c r="R758" s="43" t="str">
        <f>IF(tbl_handover[[#This Row],[Asset Code]]="","",COUNTIF(tbl_handover[Asset Code],tbl_handover[[#This Row],[Asset Code]]))</f>
        <v/>
      </c>
    </row>
    <row r="759" spans="1:18" x14ac:dyDescent="0.25">
      <c r="A759" s="43" t="str">
        <f>IF(B759&lt;&gt;"",SUBTOTAL(3,$B$1:B758),"")</f>
        <v/>
      </c>
      <c r="C759" s="74"/>
      <c r="D759" s="74"/>
      <c r="G759" s="1"/>
      <c r="K759" s="42"/>
      <c r="L759" t="str" cm="1">
        <f t="array" ref="L759">IF($K759="","",_xlfn.SWITCH($I759,"Computer",_xlfn.XLOOKUP($K759&amp;"",COMPUTER!$B$3:$B$1009&amp;"",COMPUTER!$I$3:$I$1009,""),"Display",_xlfn.XLOOKUP($K759&amp;"",DISPLAY!$B$3:$B$1000&amp;"",DISPLAY!$J$3:$J$1000,""),"Network Device",_xlfn.XLOOKUP($K759&amp;"",'NETWORK-DEVICES'!$B$3:$B$987&amp;"",'NETWORK-DEVICES'!$I$3:$I$987,""),"Peripheral",_xlfn.XLOOKUP($K759&amp;"",PERIPHERAL!$B$3:$B$954&amp;"",PERIPHERAL!$I$3:$I$954,""),"Utilities",_xlfn.XLOOKUP($K759&amp;"",UTILITIES!$B$3:$B$953&amp;"",UTILITIES!$H$3:$H$953,""),"IOT",_xlfn.XLOOKUP($K759&amp;"",IOT!$B$3:$B$1012&amp;"",IOT!$I$3:$I$1012,""),"SERVER",_xlfn.XLOOKUP($K759&amp;"",SERVER!$B$3:$B$1009&amp;"",SERVER!$I$3:$I$1009,""),""))</f>
        <v/>
      </c>
      <c r="M759" t="str" cm="1">
        <f t="array" ref="M759">IF($K759="","",_xlfn.SWITCH($I759,"Computer",_xlfn.XLOOKUP($K759&amp;"",COMPUTER!$B$3:$B$1009&amp;"",COMPUTER!$J$3:$J$1009,""),"Display",_xlfn.XLOOKUP($K759&amp;"",DISPLAY!$B$3:$B$1000&amp;"",DISPLAY!$K$3:$K$1000,""),"Network Device",_xlfn.XLOOKUP($K759&amp;"",'NETWORK-DEVICES'!$B$3:$B$987&amp;"",'NETWORK-DEVICES'!$I$3:$I$987,""),"Peripheral",_xlfn.XLOOKUP($K759&amp;"",PERIPHERAL!$B$3:$B$954&amp;"",PERIPHERAL!$J$3:$J$954,""),"Utilities",_xlfn.XLOOKUP($K759&amp;"",UTILITIES!$B$3:$B$953&amp;"",UTILITIES!$I$3:$I$953,""),"IOT",_xlfn.XLOOKUP($K759&amp;"",IOT!$B$3:$B$1012&amp;"",IOT!$J$3:$J$1012,""),"Server",_xlfn.XLOOKUP($K759&amp;"",SERVER!$B$3:$B$1009&amp;"",SERVER!$J$3:$J$1009,""),""))</f>
        <v/>
      </c>
      <c r="N759" s="1" t="str" cm="1">
        <f t="array" ref="N759">IF(OR($K759="",$I759="",$J759=""),"",_xlfn.LET(_xlpm.srcCat,_xlfn.SWITCH($I759,"Computer",_xlfn.XLOOKUP($K759&amp;"",COMPUTER!$B$3:$B$1009&amp;"",COMPUTER!$H$3:$H$1009,""),"Display",_xlfn.XLOOKUP($K759&amp;"",DISPLAY!$B$3:$B$1000&amp;"",DISPLAY!$H$3:$H$1000,""),"Network Device",_xlfn.XLOOKUP($K759&amp;"",'NETWORK-DEVICES'!$B$3:$B$987&amp;"",'NETWORK-DEVICES'!$H$3:$H$987,""),"Peripheral",_xlfn.XLOOKUP($K759&amp;"",PERIPHERAL!$B$3:$B$954&amp;"",PERIPHERAL!$H$3:$H$954,""),"Utilities",_xlfn.XLOOKUP($K759&amp;"",UTILITIES!$B$3:$B$953&amp;"",UTILITIES!$G$3:$G$953,""),"IOT",_xlfn.XLOOKUP($K759&amp;"",IOT!$B$3:$B$1012&amp;"",IOT!$H$3:$H$1012,""),"Server",_xlfn.XLOOKUP($K759&amp;"",SERVER!$B$3:$B$1009&amp;"",SERVER!$H$3:$H$1009,""),""),IF(TRIM(_xlpm.srcCat)&lt;&gt;TRIM($J759),"",_xlfn.SWITCH($I759,"Computer",_xlfn.XLOOKUP($K759&amp;"",COMPUTER!$B$3:$B$1009&amp;"",COMPUTER!$K$3:$K$1009,""),"Display",_xlfn.XLOOKUP($K759&amp;"",DISPLAY!$B$3:$B$1000&amp;"",DISPLAY!$L$3:$L$1000,""),"Network Device",_xlfn.XLOOKUP($K759&amp;"",'NETWORK-DEVICES'!$B$3:$B$987&amp;"",'NETWORK-DEVICES'!$K$3:$K$987,""),"Peripheral",_xlfn.XLOOKUP($K759&amp;"",PERIPHERAL!$B$3:$B$954&amp;"",PERIPHERAL!$K$3:$K$954,""),"Utilities",_xlfn.XLOOKUP($K759&amp;"",UTILITIES!$B$3:$B$953&amp;"",UTILITIES!$J$3:$J$953,""),"IOT",_xlfn.XLOOKUP($K759&amp;"",IOT!$B$3:$B$1012&amp;"",IOT!$K$4:$K$1012,""),"Server",_xlfn.XLOOKUP($K759&amp;"",SERVER!$B$3:$B$1009&amp;"",SERVER!$K$3:$K$1009,""),""))))</f>
        <v/>
      </c>
      <c r="O759" s="1" t="str" cm="1">
        <f t="array" ref="O759">IF(OR($K759="",$I759="",$J759=""),"",_xlfn.LET(_xlpm.srcCat,_xlfn.SWITCH($I759,"Computer",_xlfn.XLOOKUP($K759&amp;"",COMPUTER!$B$3:$B$1009&amp;"",COMPUTER!$H$3:$H$1009,""),"Display",_xlfn.XLOOKUP($K759&amp;"",DISPLAY!$B$3:$B$1000&amp;"",DISPLAY!$H$3:$H$1000,""),"Network Device",_xlfn.XLOOKUP($K759&amp;"",'NETWORK-DEVICES'!$B$3:$B$987&amp;"",'NETWORK-DEVICES'!$H$3:$H$987,""),"Peripheral",_xlfn.XLOOKUP($K759&amp;"",PERIPHERAL!$B$3:$B$954&amp;"",PERIPHERAL!$H$3:$H$954,""),"Utilities",_xlfn.XLOOKUP($K759&amp;"",UTILITIES!$B$3:$B$953&amp;"",UTILITIES!$G$3:$G$953,""),"IOT",_xlfn.XLOOKUP($K759&amp;"",IOT!$B$3:$B$1012&amp;"",IOT!$H$3:$H$1012,""),"Server",_xlfn.XLOOKUP($K759&amp;"",SERVER!$B$3:$B$1009&amp;"",SERVER!$H$3:$H$1009,""),""),IF(TRIM(_xlpm.srcCat)&lt;&gt;TRIM($J759),"",_xlfn.SWITCH($I759,"Computer",_xlfn.XLOOKUP($K759&amp;"",COMPUTER!$B$3:$B$1009&amp;"",COMPUTER!$E$3:$E$1009,""),"Display",_xlfn.XLOOKUP($K759&amp;"",DISPLAY!$B$3:$B$1000&amp;"",DISPLAY!$E$3:$E$1000,""),"Network Device",_xlfn.XLOOKUP($K759&amp;"",'NETWORK-DEVICES'!$B$3:$B$987&amp;"",'NETWORK-DEVICES'!$E$3:$E$987,""),"Peripheral",_xlfn.XLOOKUP($K759&amp;"",PERIPHERAL!$B$3:$B$954&amp;"",PERIPHERAL!$E$3:$E$954,""),"Utilities",_xlfn.XLOOKUP($K759&amp;"",UTILITIES!$B$3:$B$953&amp;"",UTILITIES!$E$3:$E$953,""),"IOT",_xlfn.XLOOKUP($K759&amp;"",IOT!$B$3:$B$1012&amp;"",IOT!$E$3:$E$1012,""),"Server",_xlfn.XLOOKUP($K759&amp;"",SERVER!$B$3:$B$1009&amp;"",SERVER!$E$3:$E$1009,""),""))))</f>
        <v/>
      </c>
      <c r="Q759" s="1" t="str" cm="1">
        <f t="array" ref="Q759">IF(OR($K759="",$I759="",$J759=""),"",_xlfn.LET(_xlpm.srcCat,_xlfn.SWITCH($I759,"Computer",_xlfn.XLOOKUP($K759&amp;"",COMPUTER!$B$3:$B$1009&amp;"",COMPUTER!$H$3:$H$1009,""),"Display",_xlfn.XLOOKUP($K759&amp;"",DISPLAY!$B$3:$B$1000&amp;"",DISPLAY!$H$3:$H$1000,""),"Network Device",_xlfn.XLOOKUP($K759&amp;"",'NETWORK-DEVICES'!$B$3:$B$987&amp;"",'NETWORK-DEVICES'!$H$3:$H$987,""),"Peripheral",_xlfn.XLOOKUP($K759&amp;"",PERIPHERAL!$B$3:$B$954&amp;"",PERIPHERAL!$H$3:$H$954,""),"Utilities",_xlfn.XLOOKUP($K759&amp;"",UTILITIES!$B$3:$B$953&amp;"",UTILITIES!$G$3:$G$953,""),"IOT",_xlfn.XLOOKUP($K759&amp;"",IOT!$B$3:$B$1012&amp;"",IOT!$H$3:$H$1012,""),"Server",_xlfn.XLOOKUP($K759&amp;"",SERVER!$B$3:$B$1009&amp;"",SERVER!$H$3:$H$1009,""),""),IF(TRIM(_xlpm.srcCat)&lt;&gt;TRIM($J759),"",_xlfn.SWITCH($I759,"Computer",_xlfn.XLOOKUP($K759&amp;"",COMPUTER!$B$3:$B$1009&amp;"",COMPUTER!$AM$3:$AM$1009,""),"Display",_xlfn.XLOOKUP($K759&amp;"",DISPLAY!$B$3:$B$1000&amp;"",DISPLAY!$V$3:$V$1000,""),"Network Device",_xlfn.XLOOKUP($K759&amp;"",'NETWORK-DEVICES'!$B$3:$B$987&amp;"",'NETWORK-DEVICES'!$AF$3:$AF$987,""),"Peripheral",_xlfn.XLOOKUP($K759&amp;"",PERIPHERAL!$B$3:$B$954&amp;"",PERIPHERAL!$Y$3:$Y$954,""),"Utilities",_xlfn.XLOOKUP($K759&amp;"",UTILITIES!$B$3:$B$953&amp;"",UTILITIES!$O$3:$O$953,""),"IOT",_xlfn.XLOOKUP($K759&amp;"",IOT!$B$3:$B$1012&amp;"",IOT!$AB$3:$AB$1012,""),"Server",_xlfn.XLOOKUP($K759&amp;"",SERVER!$B$3:$B$1009&amp;"",SERVER!$AB$3:$AB$1009,""),""))))</f>
        <v/>
      </c>
      <c r="R759" s="43" t="str">
        <f>IF(tbl_handover[[#This Row],[Asset Code]]="","",COUNTIF(tbl_handover[Asset Code],tbl_handover[[#This Row],[Asset Code]]))</f>
        <v/>
      </c>
    </row>
    <row r="760" spans="1:18" x14ac:dyDescent="0.25">
      <c r="A760" s="43" t="str">
        <f>IF(B760&lt;&gt;"",SUBTOTAL(3,$B$1:B759),"")</f>
        <v/>
      </c>
      <c r="C760" s="74"/>
      <c r="D760" s="74"/>
      <c r="G760" s="1"/>
      <c r="K760" s="42"/>
      <c r="L760" t="str" cm="1">
        <f t="array" ref="L760">IF($K760="","",_xlfn.SWITCH($I760,"Computer",_xlfn.XLOOKUP($K760&amp;"",COMPUTER!$B$3:$B$1009&amp;"",COMPUTER!$I$3:$I$1009,""),"Display",_xlfn.XLOOKUP($K760&amp;"",DISPLAY!$B$3:$B$1000&amp;"",DISPLAY!$J$3:$J$1000,""),"Network Device",_xlfn.XLOOKUP($K760&amp;"",'NETWORK-DEVICES'!$B$3:$B$987&amp;"",'NETWORK-DEVICES'!$I$3:$I$987,""),"Peripheral",_xlfn.XLOOKUP($K760&amp;"",PERIPHERAL!$B$3:$B$954&amp;"",PERIPHERAL!$I$3:$I$954,""),"Utilities",_xlfn.XLOOKUP($K760&amp;"",UTILITIES!$B$3:$B$953&amp;"",UTILITIES!$H$3:$H$953,""),"IOT",_xlfn.XLOOKUP($K760&amp;"",IOT!$B$3:$B$1012&amp;"",IOT!$I$3:$I$1012,""),"SERVER",_xlfn.XLOOKUP($K760&amp;"",SERVER!$B$3:$B$1009&amp;"",SERVER!$I$3:$I$1009,""),""))</f>
        <v/>
      </c>
      <c r="M760" t="str" cm="1">
        <f t="array" ref="M760">IF($K760="","",_xlfn.SWITCH($I760,"Computer",_xlfn.XLOOKUP($K760&amp;"",COMPUTER!$B$3:$B$1009&amp;"",COMPUTER!$J$3:$J$1009,""),"Display",_xlfn.XLOOKUP($K760&amp;"",DISPLAY!$B$3:$B$1000&amp;"",DISPLAY!$K$3:$K$1000,""),"Network Device",_xlfn.XLOOKUP($K760&amp;"",'NETWORK-DEVICES'!$B$3:$B$987&amp;"",'NETWORK-DEVICES'!$I$3:$I$987,""),"Peripheral",_xlfn.XLOOKUP($K760&amp;"",PERIPHERAL!$B$3:$B$954&amp;"",PERIPHERAL!$J$3:$J$954,""),"Utilities",_xlfn.XLOOKUP($K760&amp;"",UTILITIES!$B$3:$B$953&amp;"",UTILITIES!$I$3:$I$953,""),"IOT",_xlfn.XLOOKUP($K760&amp;"",IOT!$B$3:$B$1012&amp;"",IOT!$J$3:$J$1012,""),"Server",_xlfn.XLOOKUP($K760&amp;"",SERVER!$B$3:$B$1009&amp;"",SERVER!$J$3:$J$1009,""),""))</f>
        <v/>
      </c>
      <c r="N760" s="1" t="str" cm="1">
        <f t="array" ref="N760">IF(OR($K760="",$I760="",$J760=""),"",_xlfn.LET(_xlpm.srcCat,_xlfn.SWITCH($I760,"Computer",_xlfn.XLOOKUP($K760&amp;"",COMPUTER!$B$3:$B$1009&amp;"",COMPUTER!$H$3:$H$1009,""),"Display",_xlfn.XLOOKUP($K760&amp;"",DISPLAY!$B$3:$B$1000&amp;"",DISPLAY!$H$3:$H$1000,""),"Network Device",_xlfn.XLOOKUP($K760&amp;"",'NETWORK-DEVICES'!$B$3:$B$987&amp;"",'NETWORK-DEVICES'!$H$3:$H$987,""),"Peripheral",_xlfn.XLOOKUP($K760&amp;"",PERIPHERAL!$B$3:$B$954&amp;"",PERIPHERAL!$H$3:$H$954,""),"Utilities",_xlfn.XLOOKUP($K760&amp;"",UTILITIES!$B$3:$B$953&amp;"",UTILITIES!$G$3:$G$953,""),"IOT",_xlfn.XLOOKUP($K760&amp;"",IOT!$B$3:$B$1012&amp;"",IOT!$H$3:$H$1012,""),"Server",_xlfn.XLOOKUP($K760&amp;"",SERVER!$B$3:$B$1009&amp;"",SERVER!$H$3:$H$1009,""),""),IF(TRIM(_xlpm.srcCat)&lt;&gt;TRIM($J760),"",_xlfn.SWITCH($I760,"Computer",_xlfn.XLOOKUP($K760&amp;"",COMPUTER!$B$3:$B$1009&amp;"",COMPUTER!$K$3:$K$1009,""),"Display",_xlfn.XLOOKUP($K760&amp;"",DISPLAY!$B$3:$B$1000&amp;"",DISPLAY!$L$3:$L$1000,""),"Network Device",_xlfn.XLOOKUP($K760&amp;"",'NETWORK-DEVICES'!$B$3:$B$987&amp;"",'NETWORK-DEVICES'!$K$3:$K$987,""),"Peripheral",_xlfn.XLOOKUP($K760&amp;"",PERIPHERAL!$B$3:$B$954&amp;"",PERIPHERAL!$K$3:$K$954,""),"Utilities",_xlfn.XLOOKUP($K760&amp;"",UTILITIES!$B$3:$B$953&amp;"",UTILITIES!$J$3:$J$953,""),"IOT",_xlfn.XLOOKUP($K760&amp;"",IOT!$B$3:$B$1012&amp;"",IOT!$K$4:$K$1012,""),"Server",_xlfn.XLOOKUP($K760&amp;"",SERVER!$B$3:$B$1009&amp;"",SERVER!$K$3:$K$1009,""),""))))</f>
        <v/>
      </c>
      <c r="O760" s="1" t="str" cm="1">
        <f t="array" ref="O760">IF(OR($K760="",$I760="",$J760=""),"",_xlfn.LET(_xlpm.srcCat,_xlfn.SWITCH($I760,"Computer",_xlfn.XLOOKUP($K760&amp;"",COMPUTER!$B$3:$B$1009&amp;"",COMPUTER!$H$3:$H$1009,""),"Display",_xlfn.XLOOKUP($K760&amp;"",DISPLAY!$B$3:$B$1000&amp;"",DISPLAY!$H$3:$H$1000,""),"Network Device",_xlfn.XLOOKUP($K760&amp;"",'NETWORK-DEVICES'!$B$3:$B$987&amp;"",'NETWORK-DEVICES'!$H$3:$H$987,""),"Peripheral",_xlfn.XLOOKUP($K760&amp;"",PERIPHERAL!$B$3:$B$954&amp;"",PERIPHERAL!$H$3:$H$954,""),"Utilities",_xlfn.XLOOKUP($K760&amp;"",UTILITIES!$B$3:$B$953&amp;"",UTILITIES!$G$3:$G$953,""),"IOT",_xlfn.XLOOKUP($K760&amp;"",IOT!$B$3:$B$1012&amp;"",IOT!$H$3:$H$1012,""),"Server",_xlfn.XLOOKUP($K760&amp;"",SERVER!$B$3:$B$1009&amp;"",SERVER!$H$3:$H$1009,""),""),IF(TRIM(_xlpm.srcCat)&lt;&gt;TRIM($J760),"",_xlfn.SWITCH($I760,"Computer",_xlfn.XLOOKUP($K760&amp;"",COMPUTER!$B$3:$B$1009&amp;"",COMPUTER!$E$3:$E$1009,""),"Display",_xlfn.XLOOKUP($K760&amp;"",DISPLAY!$B$3:$B$1000&amp;"",DISPLAY!$E$3:$E$1000,""),"Network Device",_xlfn.XLOOKUP($K760&amp;"",'NETWORK-DEVICES'!$B$3:$B$987&amp;"",'NETWORK-DEVICES'!$E$3:$E$987,""),"Peripheral",_xlfn.XLOOKUP($K760&amp;"",PERIPHERAL!$B$3:$B$954&amp;"",PERIPHERAL!$E$3:$E$954,""),"Utilities",_xlfn.XLOOKUP($K760&amp;"",UTILITIES!$B$3:$B$953&amp;"",UTILITIES!$E$3:$E$953,""),"IOT",_xlfn.XLOOKUP($K760&amp;"",IOT!$B$3:$B$1012&amp;"",IOT!$E$3:$E$1012,""),"Server",_xlfn.XLOOKUP($K760&amp;"",SERVER!$B$3:$B$1009&amp;"",SERVER!$E$3:$E$1009,""),""))))</f>
        <v/>
      </c>
      <c r="Q760" s="1" t="str" cm="1">
        <f t="array" ref="Q760">IF(OR($K760="",$I760="",$J760=""),"",_xlfn.LET(_xlpm.srcCat,_xlfn.SWITCH($I760,"Computer",_xlfn.XLOOKUP($K760&amp;"",COMPUTER!$B$3:$B$1009&amp;"",COMPUTER!$H$3:$H$1009,""),"Display",_xlfn.XLOOKUP($K760&amp;"",DISPLAY!$B$3:$B$1000&amp;"",DISPLAY!$H$3:$H$1000,""),"Network Device",_xlfn.XLOOKUP($K760&amp;"",'NETWORK-DEVICES'!$B$3:$B$987&amp;"",'NETWORK-DEVICES'!$H$3:$H$987,""),"Peripheral",_xlfn.XLOOKUP($K760&amp;"",PERIPHERAL!$B$3:$B$954&amp;"",PERIPHERAL!$H$3:$H$954,""),"Utilities",_xlfn.XLOOKUP($K760&amp;"",UTILITIES!$B$3:$B$953&amp;"",UTILITIES!$G$3:$G$953,""),"IOT",_xlfn.XLOOKUP($K760&amp;"",IOT!$B$3:$B$1012&amp;"",IOT!$H$3:$H$1012,""),"Server",_xlfn.XLOOKUP($K760&amp;"",SERVER!$B$3:$B$1009&amp;"",SERVER!$H$3:$H$1009,""),""),IF(TRIM(_xlpm.srcCat)&lt;&gt;TRIM($J760),"",_xlfn.SWITCH($I760,"Computer",_xlfn.XLOOKUP($K760&amp;"",COMPUTER!$B$3:$B$1009&amp;"",COMPUTER!$AM$3:$AM$1009,""),"Display",_xlfn.XLOOKUP($K760&amp;"",DISPLAY!$B$3:$B$1000&amp;"",DISPLAY!$V$3:$V$1000,""),"Network Device",_xlfn.XLOOKUP($K760&amp;"",'NETWORK-DEVICES'!$B$3:$B$987&amp;"",'NETWORK-DEVICES'!$AF$3:$AF$987,""),"Peripheral",_xlfn.XLOOKUP($K760&amp;"",PERIPHERAL!$B$3:$B$954&amp;"",PERIPHERAL!$Y$3:$Y$954,""),"Utilities",_xlfn.XLOOKUP($K760&amp;"",UTILITIES!$B$3:$B$953&amp;"",UTILITIES!$O$3:$O$953,""),"IOT",_xlfn.XLOOKUP($K760&amp;"",IOT!$B$3:$B$1012&amp;"",IOT!$AB$3:$AB$1012,""),"Server",_xlfn.XLOOKUP($K760&amp;"",SERVER!$B$3:$B$1009&amp;"",SERVER!$AB$3:$AB$1009,""),""))))</f>
        <v/>
      </c>
      <c r="R760" s="43" t="str">
        <f>IF(tbl_handover[[#This Row],[Asset Code]]="","",COUNTIF(tbl_handover[Asset Code],tbl_handover[[#This Row],[Asset Code]]))</f>
        <v/>
      </c>
    </row>
    <row r="761" spans="1:18" x14ac:dyDescent="0.25">
      <c r="A761" s="43" t="str">
        <f>IF(B761&lt;&gt;"",SUBTOTAL(3,$B$1:B760),"")</f>
        <v/>
      </c>
      <c r="C761" s="74"/>
      <c r="D761" s="74"/>
      <c r="G761" s="1"/>
      <c r="K761" s="42"/>
      <c r="L761" t="str" cm="1">
        <f t="array" ref="L761">IF($K761="","",_xlfn.SWITCH($I761,"Computer",_xlfn.XLOOKUP($K761&amp;"",COMPUTER!$B$3:$B$1009&amp;"",COMPUTER!$I$3:$I$1009,""),"Display",_xlfn.XLOOKUP($K761&amp;"",DISPLAY!$B$3:$B$1000&amp;"",DISPLAY!$J$3:$J$1000,""),"Network Device",_xlfn.XLOOKUP($K761&amp;"",'NETWORK-DEVICES'!$B$3:$B$987&amp;"",'NETWORK-DEVICES'!$I$3:$I$987,""),"Peripheral",_xlfn.XLOOKUP($K761&amp;"",PERIPHERAL!$B$3:$B$954&amp;"",PERIPHERAL!$I$3:$I$954,""),"Utilities",_xlfn.XLOOKUP($K761&amp;"",UTILITIES!$B$3:$B$953&amp;"",UTILITIES!$H$3:$H$953,""),"IOT",_xlfn.XLOOKUP($K761&amp;"",IOT!$B$3:$B$1012&amp;"",IOT!$I$3:$I$1012,""),"SERVER",_xlfn.XLOOKUP($K761&amp;"",SERVER!$B$3:$B$1009&amp;"",SERVER!$I$3:$I$1009,""),""))</f>
        <v/>
      </c>
      <c r="M761" t="str" cm="1">
        <f t="array" ref="M761">IF($K761="","",_xlfn.SWITCH($I761,"Computer",_xlfn.XLOOKUP($K761&amp;"",COMPUTER!$B$3:$B$1009&amp;"",COMPUTER!$J$3:$J$1009,""),"Display",_xlfn.XLOOKUP($K761&amp;"",DISPLAY!$B$3:$B$1000&amp;"",DISPLAY!$K$3:$K$1000,""),"Network Device",_xlfn.XLOOKUP($K761&amp;"",'NETWORK-DEVICES'!$B$3:$B$987&amp;"",'NETWORK-DEVICES'!$I$3:$I$987,""),"Peripheral",_xlfn.XLOOKUP($K761&amp;"",PERIPHERAL!$B$3:$B$954&amp;"",PERIPHERAL!$J$3:$J$954,""),"Utilities",_xlfn.XLOOKUP($K761&amp;"",UTILITIES!$B$3:$B$953&amp;"",UTILITIES!$I$3:$I$953,""),"IOT",_xlfn.XLOOKUP($K761&amp;"",IOT!$B$3:$B$1012&amp;"",IOT!$J$3:$J$1012,""),"Server",_xlfn.XLOOKUP($K761&amp;"",SERVER!$B$3:$B$1009&amp;"",SERVER!$J$3:$J$1009,""),""))</f>
        <v/>
      </c>
      <c r="N761" s="1" t="str" cm="1">
        <f t="array" ref="N761">IF(OR($K761="",$I761="",$J761=""),"",_xlfn.LET(_xlpm.srcCat,_xlfn.SWITCH($I761,"Computer",_xlfn.XLOOKUP($K761&amp;"",COMPUTER!$B$3:$B$1009&amp;"",COMPUTER!$H$3:$H$1009,""),"Display",_xlfn.XLOOKUP($K761&amp;"",DISPLAY!$B$3:$B$1000&amp;"",DISPLAY!$H$3:$H$1000,""),"Network Device",_xlfn.XLOOKUP($K761&amp;"",'NETWORK-DEVICES'!$B$3:$B$987&amp;"",'NETWORK-DEVICES'!$H$3:$H$987,""),"Peripheral",_xlfn.XLOOKUP($K761&amp;"",PERIPHERAL!$B$3:$B$954&amp;"",PERIPHERAL!$H$3:$H$954,""),"Utilities",_xlfn.XLOOKUP($K761&amp;"",UTILITIES!$B$3:$B$953&amp;"",UTILITIES!$G$3:$G$953,""),"IOT",_xlfn.XLOOKUP($K761&amp;"",IOT!$B$3:$B$1012&amp;"",IOT!$H$3:$H$1012,""),"Server",_xlfn.XLOOKUP($K761&amp;"",SERVER!$B$3:$B$1009&amp;"",SERVER!$H$3:$H$1009,""),""),IF(TRIM(_xlpm.srcCat)&lt;&gt;TRIM($J761),"",_xlfn.SWITCH($I761,"Computer",_xlfn.XLOOKUP($K761&amp;"",COMPUTER!$B$3:$B$1009&amp;"",COMPUTER!$K$3:$K$1009,""),"Display",_xlfn.XLOOKUP($K761&amp;"",DISPLAY!$B$3:$B$1000&amp;"",DISPLAY!$L$3:$L$1000,""),"Network Device",_xlfn.XLOOKUP($K761&amp;"",'NETWORK-DEVICES'!$B$3:$B$987&amp;"",'NETWORK-DEVICES'!$K$3:$K$987,""),"Peripheral",_xlfn.XLOOKUP($K761&amp;"",PERIPHERAL!$B$3:$B$954&amp;"",PERIPHERAL!$K$3:$K$954,""),"Utilities",_xlfn.XLOOKUP($K761&amp;"",UTILITIES!$B$3:$B$953&amp;"",UTILITIES!$J$3:$J$953,""),"IOT",_xlfn.XLOOKUP($K761&amp;"",IOT!$B$3:$B$1012&amp;"",IOT!$K$4:$K$1012,""),"Server",_xlfn.XLOOKUP($K761&amp;"",SERVER!$B$3:$B$1009&amp;"",SERVER!$K$3:$K$1009,""),""))))</f>
        <v/>
      </c>
      <c r="O761" s="1" t="str" cm="1">
        <f t="array" ref="O761">IF(OR($K761="",$I761="",$J761=""),"",_xlfn.LET(_xlpm.srcCat,_xlfn.SWITCH($I761,"Computer",_xlfn.XLOOKUP($K761&amp;"",COMPUTER!$B$3:$B$1009&amp;"",COMPUTER!$H$3:$H$1009,""),"Display",_xlfn.XLOOKUP($K761&amp;"",DISPLAY!$B$3:$B$1000&amp;"",DISPLAY!$H$3:$H$1000,""),"Network Device",_xlfn.XLOOKUP($K761&amp;"",'NETWORK-DEVICES'!$B$3:$B$987&amp;"",'NETWORK-DEVICES'!$H$3:$H$987,""),"Peripheral",_xlfn.XLOOKUP($K761&amp;"",PERIPHERAL!$B$3:$B$954&amp;"",PERIPHERAL!$H$3:$H$954,""),"Utilities",_xlfn.XLOOKUP($K761&amp;"",UTILITIES!$B$3:$B$953&amp;"",UTILITIES!$G$3:$G$953,""),"IOT",_xlfn.XLOOKUP($K761&amp;"",IOT!$B$3:$B$1012&amp;"",IOT!$H$3:$H$1012,""),"Server",_xlfn.XLOOKUP($K761&amp;"",SERVER!$B$3:$B$1009&amp;"",SERVER!$H$3:$H$1009,""),""),IF(TRIM(_xlpm.srcCat)&lt;&gt;TRIM($J761),"",_xlfn.SWITCH($I761,"Computer",_xlfn.XLOOKUP($K761&amp;"",COMPUTER!$B$3:$B$1009&amp;"",COMPUTER!$E$3:$E$1009,""),"Display",_xlfn.XLOOKUP($K761&amp;"",DISPLAY!$B$3:$B$1000&amp;"",DISPLAY!$E$3:$E$1000,""),"Network Device",_xlfn.XLOOKUP($K761&amp;"",'NETWORK-DEVICES'!$B$3:$B$987&amp;"",'NETWORK-DEVICES'!$E$3:$E$987,""),"Peripheral",_xlfn.XLOOKUP($K761&amp;"",PERIPHERAL!$B$3:$B$954&amp;"",PERIPHERAL!$E$3:$E$954,""),"Utilities",_xlfn.XLOOKUP($K761&amp;"",UTILITIES!$B$3:$B$953&amp;"",UTILITIES!$E$3:$E$953,""),"IOT",_xlfn.XLOOKUP($K761&amp;"",IOT!$B$3:$B$1012&amp;"",IOT!$E$3:$E$1012,""),"Server",_xlfn.XLOOKUP($K761&amp;"",SERVER!$B$3:$B$1009&amp;"",SERVER!$E$3:$E$1009,""),""))))</f>
        <v/>
      </c>
      <c r="Q761" s="1" t="str" cm="1">
        <f t="array" ref="Q761">IF(OR($K761="",$I761="",$J761=""),"",_xlfn.LET(_xlpm.srcCat,_xlfn.SWITCH($I761,"Computer",_xlfn.XLOOKUP($K761&amp;"",COMPUTER!$B$3:$B$1009&amp;"",COMPUTER!$H$3:$H$1009,""),"Display",_xlfn.XLOOKUP($K761&amp;"",DISPLAY!$B$3:$B$1000&amp;"",DISPLAY!$H$3:$H$1000,""),"Network Device",_xlfn.XLOOKUP($K761&amp;"",'NETWORK-DEVICES'!$B$3:$B$987&amp;"",'NETWORK-DEVICES'!$H$3:$H$987,""),"Peripheral",_xlfn.XLOOKUP($K761&amp;"",PERIPHERAL!$B$3:$B$954&amp;"",PERIPHERAL!$H$3:$H$954,""),"Utilities",_xlfn.XLOOKUP($K761&amp;"",UTILITIES!$B$3:$B$953&amp;"",UTILITIES!$G$3:$G$953,""),"IOT",_xlfn.XLOOKUP($K761&amp;"",IOT!$B$3:$B$1012&amp;"",IOT!$H$3:$H$1012,""),"Server",_xlfn.XLOOKUP($K761&amp;"",SERVER!$B$3:$B$1009&amp;"",SERVER!$H$3:$H$1009,""),""),IF(TRIM(_xlpm.srcCat)&lt;&gt;TRIM($J761),"",_xlfn.SWITCH($I761,"Computer",_xlfn.XLOOKUP($K761&amp;"",COMPUTER!$B$3:$B$1009&amp;"",COMPUTER!$AM$3:$AM$1009,""),"Display",_xlfn.XLOOKUP($K761&amp;"",DISPLAY!$B$3:$B$1000&amp;"",DISPLAY!$V$3:$V$1000,""),"Network Device",_xlfn.XLOOKUP($K761&amp;"",'NETWORK-DEVICES'!$B$3:$B$987&amp;"",'NETWORK-DEVICES'!$AF$3:$AF$987,""),"Peripheral",_xlfn.XLOOKUP($K761&amp;"",PERIPHERAL!$B$3:$B$954&amp;"",PERIPHERAL!$Y$3:$Y$954,""),"Utilities",_xlfn.XLOOKUP($K761&amp;"",UTILITIES!$B$3:$B$953&amp;"",UTILITIES!$O$3:$O$953,""),"IOT",_xlfn.XLOOKUP($K761&amp;"",IOT!$B$3:$B$1012&amp;"",IOT!$AB$3:$AB$1012,""),"Server",_xlfn.XLOOKUP($K761&amp;"",SERVER!$B$3:$B$1009&amp;"",SERVER!$AB$3:$AB$1009,""),""))))</f>
        <v/>
      </c>
      <c r="R761" s="43" t="str">
        <f>IF(tbl_handover[[#This Row],[Asset Code]]="","",COUNTIF(tbl_handover[Asset Code],tbl_handover[[#This Row],[Asset Code]]))</f>
        <v/>
      </c>
    </row>
    <row r="762" spans="1:18" x14ac:dyDescent="0.25">
      <c r="A762" s="43" t="str">
        <f>IF(B762&lt;&gt;"",SUBTOTAL(3,$B$1:B761),"")</f>
        <v/>
      </c>
      <c r="C762" s="74"/>
      <c r="D762" s="74"/>
      <c r="G762" s="1"/>
      <c r="K762" s="42"/>
      <c r="L762" t="str" cm="1">
        <f t="array" ref="L762">IF($K762="","",_xlfn.SWITCH($I762,"Computer",_xlfn.XLOOKUP($K762&amp;"",COMPUTER!$B$3:$B$1009&amp;"",COMPUTER!$I$3:$I$1009,""),"Display",_xlfn.XLOOKUP($K762&amp;"",DISPLAY!$B$3:$B$1000&amp;"",DISPLAY!$J$3:$J$1000,""),"Network Device",_xlfn.XLOOKUP($K762&amp;"",'NETWORK-DEVICES'!$B$3:$B$987&amp;"",'NETWORK-DEVICES'!$I$3:$I$987,""),"Peripheral",_xlfn.XLOOKUP($K762&amp;"",PERIPHERAL!$B$3:$B$954&amp;"",PERIPHERAL!$I$3:$I$954,""),"Utilities",_xlfn.XLOOKUP($K762&amp;"",UTILITIES!$B$3:$B$953&amp;"",UTILITIES!$H$3:$H$953,""),"IOT",_xlfn.XLOOKUP($K762&amp;"",IOT!$B$3:$B$1012&amp;"",IOT!$I$3:$I$1012,""),"SERVER",_xlfn.XLOOKUP($K762&amp;"",SERVER!$B$3:$B$1009&amp;"",SERVER!$I$3:$I$1009,""),""))</f>
        <v/>
      </c>
      <c r="M762" t="str" cm="1">
        <f t="array" ref="M762">IF($K762="","",_xlfn.SWITCH($I762,"Computer",_xlfn.XLOOKUP($K762&amp;"",COMPUTER!$B$3:$B$1009&amp;"",COMPUTER!$J$3:$J$1009,""),"Display",_xlfn.XLOOKUP($K762&amp;"",DISPLAY!$B$3:$B$1000&amp;"",DISPLAY!$K$3:$K$1000,""),"Network Device",_xlfn.XLOOKUP($K762&amp;"",'NETWORK-DEVICES'!$B$3:$B$987&amp;"",'NETWORK-DEVICES'!$I$3:$I$987,""),"Peripheral",_xlfn.XLOOKUP($K762&amp;"",PERIPHERAL!$B$3:$B$954&amp;"",PERIPHERAL!$J$3:$J$954,""),"Utilities",_xlfn.XLOOKUP($K762&amp;"",UTILITIES!$B$3:$B$953&amp;"",UTILITIES!$I$3:$I$953,""),"IOT",_xlfn.XLOOKUP($K762&amp;"",IOT!$B$3:$B$1012&amp;"",IOT!$J$3:$J$1012,""),"Server",_xlfn.XLOOKUP($K762&amp;"",SERVER!$B$3:$B$1009&amp;"",SERVER!$J$3:$J$1009,""),""))</f>
        <v/>
      </c>
      <c r="N762" s="1" t="str" cm="1">
        <f t="array" ref="N762">IF(OR($K762="",$I762="",$J762=""),"",_xlfn.LET(_xlpm.srcCat,_xlfn.SWITCH($I762,"Computer",_xlfn.XLOOKUP($K762&amp;"",COMPUTER!$B$3:$B$1009&amp;"",COMPUTER!$H$3:$H$1009,""),"Display",_xlfn.XLOOKUP($K762&amp;"",DISPLAY!$B$3:$B$1000&amp;"",DISPLAY!$H$3:$H$1000,""),"Network Device",_xlfn.XLOOKUP($K762&amp;"",'NETWORK-DEVICES'!$B$3:$B$987&amp;"",'NETWORK-DEVICES'!$H$3:$H$987,""),"Peripheral",_xlfn.XLOOKUP($K762&amp;"",PERIPHERAL!$B$3:$B$954&amp;"",PERIPHERAL!$H$3:$H$954,""),"Utilities",_xlfn.XLOOKUP($K762&amp;"",UTILITIES!$B$3:$B$953&amp;"",UTILITIES!$G$3:$G$953,""),"IOT",_xlfn.XLOOKUP($K762&amp;"",IOT!$B$3:$B$1012&amp;"",IOT!$H$3:$H$1012,""),"Server",_xlfn.XLOOKUP($K762&amp;"",SERVER!$B$3:$B$1009&amp;"",SERVER!$H$3:$H$1009,""),""),IF(TRIM(_xlpm.srcCat)&lt;&gt;TRIM($J762),"",_xlfn.SWITCH($I762,"Computer",_xlfn.XLOOKUP($K762&amp;"",COMPUTER!$B$3:$B$1009&amp;"",COMPUTER!$K$3:$K$1009,""),"Display",_xlfn.XLOOKUP($K762&amp;"",DISPLAY!$B$3:$B$1000&amp;"",DISPLAY!$L$3:$L$1000,""),"Network Device",_xlfn.XLOOKUP($K762&amp;"",'NETWORK-DEVICES'!$B$3:$B$987&amp;"",'NETWORK-DEVICES'!$K$3:$K$987,""),"Peripheral",_xlfn.XLOOKUP($K762&amp;"",PERIPHERAL!$B$3:$B$954&amp;"",PERIPHERAL!$K$3:$K$954,""),"Utilities",_xlfn.XLOOKUP($K762&amp;"",UTILITIES!$B$3:$B$953&amp;"",UTILITIES!$J$3:$J$953,""),"IOT",_xlfn.XLOOKUP($K762&amp;"",IOT!$B$3:$B$1012&amp;"",IOT!$K$4:$K$1012,""),"Server",_xlfn.XLOOKUP($K762&amp;"",SERVER!$B$3:$B$1009&amp;"",SERVER!$K$3:$K$1009,""),""))))</f>
        <v/>
      </c>
      <c r="O762" s="1" t="str" cm="1">
        <f t="array" ref="O762">IF(OR($K762="",$I762="",$J762=""),"",_xlfn.LET(_xlpm.srcCat,_xlfn.SWITCH($I762,"Computer",_xlfn.XLOOKUP($K762&amp;"",COMPUTER!$B$3:$B$1009&amp;"",COMPUTER!$H$3:$H$1009,""),"Display",_xlfn.XLOOKUP($K762&amp;"",DISPLAY!$B$3:$B$1000&amp;"",DISPLAY!$H$3:$H$1000,""),"Network Device",_xlfn.XLOOKUP($K762&amp;"",'NETWORK-DEVICES'!$B$3:$B$987&amp;"",'NETWORK-DEVICES'!$H$3:$H$987,""),"Peripheral",_xlfn.XLOOKUP($K762&amp;"",PERIPHERAL!$B$3:$B$954&amp;"",PERIPHERAL!$H$3:$H$954,""),"Utilities",_xlfn.XLOOKUP($K762&amp;"",UTILITIES!$B$3:$B$953&amp;"",UTILITIES!$G$3:$G$953,""),"IOT",_xlfn.XLOOKUP($K762&amp;"",IOT!$B$3:$B$1012&amp;"",IOT!$H$3:$H$1012,""),"Server",_xlfn.XLOOKUP($K762&amp;"",SERVER!$B$3:$B$1009&amp;"",SERVER!$H$3:$H$1009,""),""),IF(TRIM(_xlpm.srcCat)&lt;&gt;TRIM($J762),"",_xlfn.SWITCH($I762,"Computer",_xlfn.XLOOKUP($K762&amp;"",COMPUTER!$B$3:$B$1009&amp;"",COMPUTER!$E$3:$E$1009,""),"Display",_xlfn.XLOOKUP($K762&amp;"",DISPLAY!$B$3:$B$1000&amp;"",DISPLAY!$E$3:$E$1000,""),"Network Device",_xlfn.XLOOKUP($K762&amp;"",'NETWORK-DEVICES'!$B$3:$B$987&amp;"",'NETWORK-DEVICES'!$E$3:$E$987,""),"Peripheral",_xlfn.XLOOKUP($K762&amp;"",PERIPHERAL!$B$3:$B$954&amp;"",PERIPHERAL!$E$3:$E$954,""),"Utilities",_xlfn.XLOOKUP($K762&amp;"",UTILITIES!$B$3:$B$953&amp;"",UTILITIES!$E$3:$E$953,""),"IOT",_xlfn.XLOOKUP($K762&amp;"",IOT!$B$3:$B$1012&amp;"",IOT!$E$3:$E$1012,""),"Server",_xlfn.XLOOKUP($K762&amp;"",SERVER!$B$3:$B$1009&amp;"",SERVER!$E$3:$E$1009,""),""))))</f>
        <v/>
      </c>
      <c r="Q762" s="1" t="str" cm="1">
        <f t="array" ref="Q762">IF(OR($K762="",$I762="",$J762=""),"",_xlfn.LET(_xlpm.srcCat,_xlfn.SWITCH($I762,"Computer",_xlfn.XLOOKUP($K762&amp;"",COMPUTER!$B$3:$B$1009&amp;"",COMPUTER!$H$3:$H$1009,""),"Display",_xlfn.XLOOKUP($K762&amp;"",DISPLAY!$B$3:$B$1000&amp;"",DISPLAY!$H$3:$H$1000,""),"Network Device",_xlfn.XLOOKUP($K762&amp;"",'NETWORK-DEVICES'!$B$3:$B$987&amp;"",'NETWORK-DEVICES'!$H$3:$H$987,""),"Peripheral",_xlfn.XLOOKUP($K762&amp;"",PERIPHERAL!$B$3:$B$954&amp;"",PERIPHERAL!$H$3:$H$954,""),"Utilities",_xlfn.XLOOKUP($K762&amp;"",UTILITIES!$B$3:$B$953&amp;"",UTILITIES!$G$3:$G$953,""),"IOT",_xlfn.XLOOKUP($K762&amp;"",IOT!$B$3:$B$1012&amp;"",IOT!$H$3:$H$1012,""),"Server",_xlfn.XLOOKUP($K762&amp;"",SERVER!$B$3:$B$1009&amp;"",SERVER!$H$3:$H$1009,""),""),IF(TRIM(_xlpm.srcCat)&lt;&gt;TRIM($J762),"",_xlfn.SWITCH($I762,"Computer",_xlfn.XLOOKUP($K762&amp;"",COMPUTER!$B$3:$B$1009&amp;"",COMPUTER!$AM$3:$AM$1009,""),"Display",_xlfn.XLOOKUP($K762&amp;"",DISPLAY!$B$3:$B$1000&amp;"",DISPLAY!$V$3:$V$1000,""),"Network Device",_xlfn.XLOOKUP($K762&amp;"",'NETWORK-DEVICES'!$B$3:$B$987&amp;"",'NETWORK-DEVICES'!$AF$3:$AF$987,""),"Peripheral",_xlfn.XLOOKUP($K762&amp;"",PERIPHERAL!$B$3:$B$954&amp;"",PERIPHERAL!$Y$3:$Y$954,""),"Utilities",_xlfn.XLOOKUP($K762&amp;"",UTILITIES!$B$3:$B$953&amp;"",UTILITIES!$O$3:$O$953,""),"IOT",_xlfn.XLOOKUP($K762&amp;"",IOT!$B$3:$B$1012&amp;"",IOT!$AB$3:$AB$1012,""),"Server",_xlfn.XLOOKUP($K762&amp;"",SERVER!$B$3:$B$1009&amp;"",SERVER!$AB$3:$AB$1009,""),""))))</f>
        <v/>
      </c>
      <c r="R762" s="43" t="str">
        <f>IF(tbl_handover[[#This Row],[Asset Code]]="","",COUNTIF(tbl_handover[Asset Code],tbl_handover[[#This Row],[Asset Code]]))</f>
        <v/>
      </c>
    </row>
    <row r="763" spans="1:18" x14ac:dyDescent="0.25">
      <c r="A763" s="43" t="str">
        <f>IF(B763&lt;&gt;"",SUBTOTAL(3,$B$1:B762),"")</f>
        <v/>
      </c>
      <c r="C763" s="74"/>
      <c r="D763" s="74"/>
      <c r="G763" s="1"/>
      <c r="K763" s="42"/>
      <c r="L763" t="str" cm="1">
        <f t="array" ref="L763">IF($K763="","",_xlfn.SWITCH($I763,"Computer",_xlfn.XLOOKUP($K763&amp;"",COMPUTER!$B$3:$B$1009&amp;"",COMPUTER!$I$3:$I$1009,""),"Display",_xlfn.XLOOKUP($K763&amp;"",DISPLAY!$B$3:$B$1000&amp;"",DISPLAY!$J$3:$J$1000,""),"Network Device",_xlfn.XLOOKUP($K763&amp;"",'NETWORK-DEVICES'!$B$3:$B$987&amp;"",'NETWORK-DEVICES'!$I$3:$I$987,""),"Peripheral",_xlfn.XLOOKUP($K763&amp;"",PERIPHERAL!$B$3:$B$954&amp;"",PERIPHERAL!$I$3:$I$954,""),"Utilities",_xlfn.XLOOKUP($K763&amp;"",UTILITIES!$B$3:$B$953&amp;"",UTILITIES!$H$3:$H$953,""),"IOT",_xlfn.XLOOKUP($K763&amp;"",IOT!$B$3:$B$1012&amp;"",IOT!$I$3:$I$1012,""),"SERVER",_xlfn.XLOOKUP($K763&amp;"",SERVER!$B$3:$B$1009&amp;"",SERVER!$I$3:$I$1009,""),""))</f>
        <v/>
      </c>
      <c r="M763" t="str" cm="1">
        <f t="array" ref="M763">IF($K763="","",_xlfn.SWITCH($I763,"Computer",_xlfn.XLOOKUP($K763&amp;"",COMPUTER!$B$3:$B$1009&amp;"",COMPUTER!$J$3:$J$1009,""),"Display",_xlfn.XLOOKUP($K763&amp;"",DISPLAY!$B$3:$B$1000&amp;"",DISPLAY!$K$3:$K$1000,""),"Network Device",_xlfn.XLOOKUP($K763&amp;"",'NETWORK-DEVICES'!$B$3:$B$987&amp;"",'NETWORK-DEVICES'!$I$3:$I$987,""),"Peripheral",_xlfn.XLOOKUP($K763&amp;"",PERIPHERAL!$B$3:$B$954&amp;"",PERIPHERAL!$J$3:$J$954,""),"Utilities",_xlfn.XLOOKUP($K763&amp;"",UTILITIES!$B$3:$B$953&amp;"",UTILITIES!$I$3:$I$953,""),"IOT",_xlfn.XLOOKUP($K763&amp;"",IOT!$B$3:$B$1012&amp;"",IOT!$J$3:$J$1012,""),"Server",_xlfn.XLOOKUP($K763&amp;"",SERVER!$B$3:$B$1009&amp;"",SERVER!$J$3:$J$1009,""),""))</f>
        <v/>
      </c>
      <c r="N763" s="1" t="str" cm="1">
        <f t="array" ref="N763">IF(OR($K763="",$I763="",$J763=""),"",_xlfn.LET(_xlpm.srcCat,_xlfn.SWITCH($I763,"Computer",_xlfn.XLOOKUP($K763&amp;"",COMPUTER!$B$3:$B$1009&amp;"",COMPUTER!$H$3:$H$1009,""),"Display",_xlfn.XLOOKUP($K763&amp;"",DISPLAY!$B$3:$B$1000&amp;"",DISPLAY!$H$3:$H$1000,""),"Network Device",_xlfn.XLOOKUP($K763&amp;"",'NETWORK-DEVICES'!$B$3:$B$987&amp;"",'NETWORK-DEVICES'!$H$3:$H$987,""),"Peripheral",_xlfn.XLOOKUP($K763&amp;"",PERIPHERAL!$B$3:$B$954&amp;"",PERIPHERAL!$H$3:$H$954,""),"Utilities",_xlfn.XLOOKUP($K763&amp;"",UTILITIES!$B$3:$B$953&amp;"",UTILITIES!$G$3:$G$953,""),"IOT",_xlfn.XLOOKUP($K763&amp;"",IOT!$B$3:$B$1012&amp;"",IOT!$H$3:$H$1012,""),"Server",_xlfn.XLOOKUP($K763&amp;"",SERVER!$B$3:$B$1009&amp;"",SERVER!$H$3:$H$1009,""),""),IF(TRIM(_xlpm.srcCat)&lt;&gt;TRIM($J763),"",_xlfn.SWITCH($I763,"Computer",_xlfn.XLOOKUP($K763&amp;"",COMPUTER!$B$3:$B$1009&amp;"",COMPUTER!$K$3:$K$1009,""),"Display",_xlfn.XLOOKUP($K763&amp;"",DISPLAY!$B$3:$B$1000&amp;"",DISPLAY!$L$3:$L$1000,""),"Network Device",_xlfn.XLOOKUP($K763&amp;"",'NETWORK-DEVICES'!$B$3:$B$987&amp;"",'NETWORK-DEVICES'!$K$3:$K$987,""),"Peripheral",_xlfn.XLOOKUP($K763&amp;"",PERIPHERAL!$B$3:$B$954&amp;"",PERIPHERAL!$K$3:$K$954,""),"Utilities",_xlfn.XLOOKUP($K763&amp;"",UTILITIES!$B$3:$B$953&amp;"",UTILITIES!$J$3:$J$953,""),"IOT",_xlfn.XLOOKUP($K763&amp;"",IOT!$B$3:$B$1012&amp;"",IOT!$K$4:$K$1012,""),"Server",_xlfn.XLOOKUP($K763&amp;"",SERVER!$B$3:$B$1009&amp;"",SERVER!$K$3:$K$1009,""),""))))</f>
        <v/>
      </c>
      <c r="O763" s="1" t="str" cm="1">
        <f t="array" ref="O763">IF(OR($K763="",$I763="",$J763=""),"",_xlfn.LET(_xlpm.srcCat,_xlfn.SWITCH($I763,"Computer",_xlfn.XLOOKUP($K763&amp;"",COMPUTER!$B$3:$B$1009&amp;"",COMPUTER!$H$3:$H$1009,""),"Display",_xlfn.XLOOKUP($K763&amp;"",DISPLAY!$B$3:$B$1000&amp;"",DISPLAY!$H$3:$H$1000,""),"Network Device",_xlfn.XLOOKUP($K763&amp;"",'NETWORK-DEVICES'!$B$3:$B$987&amp;"",'NETWORK-DEVICES'!$H$3:$H$987,""),"Peripheral",_xlfn.XLOOKUP($K763&amp;"",PERIPHERAL!$B$3:$B$954&amp;"",PERIPHERAL!$H$3:$H$954,""),"Utilities",_xlfn.XLOOKUP($K763&amp;"",UTILITIES!$B$3:$B$953&amp;"",UTILITIES!$G$3:$G$953,""),"IOT",_xlfn.XLOOKUP($K763&amp;"",IOT!$B$3:$B$1012&amp;"",IOT!$H$3:$H$1012,""),"Server",_xlfn.XLOOKUP($K763&amp;"",SERVER!$B$3:$B$1009&amp;"",SERVER!$H$3:$H$1009,""),""),IF(TRIM(_xlpm.srcCat)&lt;&gt;TRIM($J763),"",_xlfn.SWITCH($I763,"Computer",_xlfn.XLOOKUP($K763&amp;"",COMPUTER!$B$3:$B$1009&amp;"",COMPUTER!$E$3:$E$1009,""),"Display",_xlfn.XLOOKUP($K763&amp;"",DISPLAY!$B$3:$B$1000&amp;"",DISPLAY!$E$3:$E$1000,""),"Network Device",_xlfn.XLOOKUP($K763&amp;"",'NETWORK-DEVICES'!$B$3:$B$987&amp;"",'NETWORK-DEVICES'!$E$3:$E$987,""),"Peripheral",_xlfn.XLOOKUP($K763&amp;"",PERIPHERAL!$B$3:$B$954&amp;"",PERIPHERAL!$E$3:$E$954,""),"Utilities",_xlfn.XLOOKUP($K763&amp;"",UTILITIES!$B$3:$B$953&amp;"",UTILITIES!$E$3:$E$953,""),"IOT",_xlfn.XLOOKUP($K763&amp;"",IOT!$B$3:$B$1012&amp;"",IOT!$E$3:$E$1012,""),"Server",_xlfn.XLOOKUP($K763&amp;"",SERVER!$B$3:$B$1009&amp;"",SERVER!$E$3:$E$1009,""),""))))</f>
        <v/>
      </c>
      <c r="Q763" s="1" t="str" cm="1">
        <f t="array" ref="Q763">IF(OR($K763="",$I763="",$J763=""),"",_xlfn.LET(_xlpm.srcCat,_xlfn.SWITCH($I763,"Computer",_xlfn.XLOOKUP($K763&amp;"",COMPUTER!$B$3:$B$1009&amp;"",COMPUTER!$H$3:$H$1009,""),"Display",_xlfn.XLOOKUP($K763&amp;"",DISPLAY!$B$3:$B$1000&amp;"",DISPLAY!$H$3:$H$1000,""),"Network Device",_xlfn.XLOOKUP($K763&amp;"",'NETWORK-DEVICES'!$B$3:$B$987&amp;"",'NETWORK-DEVICES'!$H$3:$H$987,""),"Peripheral",_xlfn.XLOOKUP($K763&amp;"",PERIPHERAL!$B$3:$B$954&amp;"",PERIPHERAL!$H$3:$H$954,""),"Utilities",_xlfn.XLOOKUP($K763&amp;"",UTILITIES!$B$3:$B$953&amp;"",UTILITIES!$G$3:$G$953,""),"IOT",_xlfn.XLOOKUP($K763&amp;"",IOT!$B$3:$B$1012&amp;"",IOT!$H$3:$H$1012,""),"Server",_xlfn.XLOOKUP($K763&amp;"",SERVER!$B$3:$B$1009&amp;"",SERVER!$H$3:$H$1009,""),""),IF(TRIM(_xlpm.srcCat)&lt;&gt;TRIM($J763),"",_xlfn.SWITCH($I763,"Computer",_xlfn.XLOOKUP($K763&amp;"",COMPUTER!$B$3:$B$1009&amp;"",COMPUTER!$AM$3:$AM$1009,""),"Display",_xlfn.XLOOKUP($K763&amp;"",DISPLAY!$B$3:$B$1000&amp;"",DISPLAY!$V$3:$V$1000,""),"Network Device",_xlfn.XLOOKUP($K763&amp;"",'NETWORK-DEVICES'!$B$3:$B$987&amp;"",'NETWORK-DEVICES'!$AF$3:$AF$987,""),"Peripheral",_xlfn.XLOOKUP($K763&amp;"",PERIPHERAL!$B$3:$B$954&amp;"",PERIPHERAL!$Y$3:$Y$954,""),"Utilities",_xlfn.XLOOKUP($K763&amp;"",UTILITIES!$B$3:$B$953&amp;"",UTILITIES!$O$3:$O$953,""),"IOT",_xlfn.XLOOKUP($K763&amp;"",IOT!$B$3:$B$1012&amp;"",IOT!$AB$3:$AB$1012,""),"Server",_xlfn.XLOOKUP($K763&amp;"",SERVER!$B$3:$B$1009&amp;"",SERVER!$AB$3:$AB$1009,""),""))))</f>
        <v/>
      </c>
      <c r="R763" s="43" t="str">
        <f>IF(tbl_handover[[#This Row],[Asset Code]]="","",COUNTIF(tbl_handover[Asset Code],tbl_handover[[#This Row],[Asset Code]]))</f>
        <v/>
      </c>
    </row>
    <row r="764" spans="1:18" x14ac:dyDescent="0.25">
      <c r="A764" s="43" t="str">
        <f>IF(B764&lt;&gt;"",SUBTOTAL(3,$B$1:B763),"")</f>
        <v/>
      </c>
      <c r="C764" s="74"/>
      <c r="D764" s="74"/>
      <c r="G764" s="1"/>
      <c r="K764" s="42"/>
      <c r="L764" t="str" cm="1">
        <f t="array" ref="L764">IF($K764="","",_xlfn.SWITCH($I764,"Computer",_xlfn.XLOOKUP($K764&amp;"",COMPUTER!$B$3:$B$1009&amp;"",COMPUTER!$I$3:$I$1009,""),"Display",_xlfn.XLOOKUP($K764&amp;"",DISPLAY!$B$3:$B$1000&amp;"",DISPLAY!$J$3:$J$1000,""),"Network Device",_xlfn.XLOOKUP($K764&amp;"",'NETWORK-DEVICES'!$B$3:$B$987&amp;"",'NETWORK-DEVICES'!$I$3:$I$987,""),"Peripheral",_xlfn.XLOOKUP($K764&amp;"",PERIPHERAL!$B$3:$B$954&amp;"",PERIPHERAL!$I$3:$I$954,""),"Utilities",_xlfn.XLOOKUP($K764&amp;"",UTILITIES!$B$3:$B$953&amp;"",UTILITIES!$H$3:$H$953,""),"IOT",_xlfn.XLOOKUP($K764&amp;"",IOT!$B$3:$B$1012&amp;"",IOT!$I$3:$I$1012,""),"SERVER",_xlfn.XLOOKUP($K764&amp;"",SERVER!$B$3:$B$1009&amp;"",SERVER!$I$3:$I$1009,""),""))</f>
        <v/>
      </c>
      <c r="M764" t="str" cm="1">
        <f t="array" ref="M764">IF($K764="","",_xlfn.SWITCH($I764,"Computer",_xlfn.XLOOKUP($K764&amp;"",COMPUTER!$B$3:$B$1009&amp;"",COMPUTER!$J$3:$J$1009,""),"Display",_xlfn.XLOOKUP($K764&amp;"",DISPLAY!$B$3:$B$1000&amp;"",DISPLAY!$K$3:$K$1000,""),"Network Device",_xlfn.XLOOKUP($K764&amp;"",'NETWORK-DEVICES'!$B$3:$B$987&amp;"",'NETWORK-DEVICES'!$I$3:$I$987,""),"Peripheral",_xlfn.XLOOKUP($K764&amp;"",PERIPHERAL!$B$3:$B$954&amp;"",PERIPHERAL!$J$3:$J$954,""),"Utilities",_xlfn.XLOOKUP($K764&amp;"",UTILITIES!$B$3:$B$953&amp;"",UTILITIES!$I$3:$I$953,""),"IOT",_xlfn.XLOOKUP($K764&amp;"",IOT!$B$3:$B$1012&amp;"",IOT!$J$3:$J$1012,""),"Server",_xlfn.XLOOKUP($K764&amp;"",SERVER!$B$3:$B$1009&amp;"",SERVER!$J$3:$J$1009,""),""))</f>
        <v/>
      </c>
      <c r="N764" s="1" t="str" cm="1">
        <f t="array" ref="N764">IF(OR($K764="",$I764="",$J764=""),"",_xlfn.LET(_xlpm.srcCat,_xlfn.SWITCH($I764,"Computer",_xlfn.XLOOKUP($K764&amp;"",COMPUTER!$B$3:$B$1009&amp;"",COMPUTER!$H$3:$H$1009,""),"Display",_xlfn.XLOOKUP($K764&amp;"",DISPLAY!$B$3:$B$1000&amp;"",DISPLAY!$H$3:$H$1000,""),"Network Device",_xlfn.XLOOKUP($K764&amp;"",'NETWORK-DEVICES'!$B$3:$B$987&amp;"",'NETWORK-DEVICES'!$H$3:$H$987,""),"Peripheral",_xlfn.XLOOKUP($K764&amp;"",PERIPHERAL!$B$3:$B$954&amp;"",PERIPHERAL!$H$3:$H$954,""),"Utilities",_xlfn.XLOOKUP($K764&amp;"",UTILITIES!$B$3:$B$953&amp;"",UTILITIES!$G$3:$G$953,""),"IOT",_xlfn.XLOOKUP($K764&amp;"",IOT!$B$3:$B$1012&amp;"",IOT!$H$3:$H$1012,""),"Server",_xlfn.XLOOKUP($K764&amp;"",SERVER!$B$3:$B$1009&amp;"",SERVER!$H$3:$H$1009,""),""),IF(TRIM(_xlpm.srcCat)&lt;&gt;TRIM($J764),"",_xlfn.SWITCH($I764,"Computer",_xlfn.XLOOKUP($K764&amp;"",COMPUTER!$B$3:$B$1009&amp;"",COMPUTER!$K$3:$K$1009,""),"Display",_xlfn.XLOOKUP($K764&amp;"",DISPLAY!$B$3:$B$1000&amp;"",DISPLAY!$L$3:$L$1000,""),"Network Device",_xlfn.XLOOKUP($K764&amp;"",'NETWORK-DEVICES'!$B$3:$B$987&amp;"",'NETWORK-DEVICES'!$K$3:$K$987,""),"Peripheral",_xlfn.XLOOKUP($K764&amp;"",PERIPHERAL!$B$3:$B$954&amp;"",PERIPHERAL!$K$3:$K$954,""),"Utilities",_xlfn.XLOOKUP($K764&amp;"",UTILITIES!$B$3:$B$953&amp;"",UTILITIES!$J$3:$J$953,""),"IOT",_xlfn.XLOOKUP($K764&amp;"",IOT!$B$3:$B$1012&amp;"",IOT!$K$4:$K$1012,""),"Server",_xlfn.XLOOKUP($K764&amp;"",SERVER!$B$3:$B$1009&amp;"",SERVER!$K$3:$K$1009,""),""))))</f>
        <v/>
      </c>
      <c r="O764" s="1" t="str" cm="1">
        <f t="array" ref="O764">IF(OR($K764="",$I764="",$J764=""),"",_xlfn.LET(_xlpm.srcCat,_xlfn.SWITCH($I764,"Computer",_xlfn.XLOOKUP($K764&amp;"",COMPUTER!$B$3:$B$1009&amp;"",COMPUTER!$H$3:$H$1009,""),"Display",_xlfn.XLOOKUP($K764&amp;"",DISPLAY!$B$3:$B$1000&amp;"",DISPLAY!$H$3:$H$1000,""),"Network Device",_xlfn.XLOOKUP($K764&amp;"",'NETWORK-DEVICES'!$B$3:$B$987&amp;"",'NETWORK-DEVICES'!$H$3:$H$987,""),"Peripheral",_xlfn.XLOOKUP($K764&amp;"",PERIPHERAL!$B$3:$B$954&amp;"",PERIPHERAL!$H$3:$H$954,""),"Utilities",_xlfn.XLOOKUP($K764&amp;"",UTILITIES!$B$3:$B$953&amp;"",UTILITIES!$G$3:$G$953,""),"IOT",_xlfn.XLOOKUP($K764&amp;"",IOT!$B$3:$B$1012&amp;"",IOT!$H$3:$H$1012,""),"Server",_xlfn.XLOOKUP($K764&amp;"",SERVER!$B$3:$B$1009&amp;"",SERVER!$H$3:$H$1009,""),""),IF(TRIM(_xlpm.srcCat)&lt;&gt;TRIM($J764),"",_xlfn.SWITCH($I764,"Computer",_xlfn.XLOOKUP($K764&amp;"",COMPUTER!$B$3:$B$1009&amp;"",COMPUTER!$E$3:$E$1009,""),"Display",_xlfn.XLOOKUP($K764&amp;"",DISPLAY!$B$3:$B$1000&amp;"",DISPLAY!$E$3:$E$1000,""),"Network Device",_xlfn.XLOOKUP($K764&amp;"",'NETWORK-DEVICES'!$B$3:$B$987&amp;"",'NETWORK-DEVICES'!$E$3:$E$987,""),"Peripheral",_xlfn.XLOOKUP($K764&amp;"",PERIPHERAL!$B$3:$B$954&amp;"",PERIPHERAL!$E$3:$E$954,""),"Utilities",_xlfn.XLOOKUP($K764&amp;"",UTILITIES!$B$3:$B$953&amp;"",UTILITIES!$E$3:$E$953,""),"IOT",_xlfn.XLOOKUP($K764&amp;"",IOT!$B$3:$B$1012&amp;"",IOT!$E$3:$E$1012,""),"Server",_xlfn.XLOOKUP($K764&amp;"",SERVER!$B$3:$B$1009&amp;"",SERVER!$E$3:$E$1009,""),""))))</f>
        <v/>
      </c>
      <c r="Q764" s="1" t="str" cm="1">
        <f t="array" ref="Q764">IF(OR($K764="",$I764="",$J764=""),"",_xlfn.LET(_xlpm.srcCat,_xlfn.SWITCH($I764,"Computer",_xlfn.XLOOKUP($K764&amp;"",COMPUTER!$B$3:$B$1009&amp;"",COMPUTER!$H$3:$H$1009,""),"Display",_xlfn.XLOOKUP($K764&amp;"",DISPLAY!$B$3:$B$1000&amp;"",DISPLAY!$H$3:$H$1000,""),"Network Device",_xlfn.XLOOKUP($K764&amp;"",'NETWORK-DEVICES'!$B$3:$B$987&amp;"",'NETWORK-DEVICES'!$H$3:$H$987,""),"Peripheral",_xlfn.XLOOKUP($K764&amp;"",PERIPHERAL!$B$3:$B$954&amp;"",PERIPHERAL!$H$3:$H$954,""),"Utilities",_xlfn.XLOOKUP($K764&amp;"",UTILITIES!$B$3:$B$953&amp;"",UTILITIES!$G$3:$G$953,""),"IOT",_xlfn.XLOOKUP($K764&amp;"",IOT!$B$3:$B$1012&amp;"",IOT!$H$3:$H$1012,""),"Server",_xlfn.XLOOKUP($K764&amp;"",SERVER!$B$3:$B$1009&amp;"",SERVER!$H$3:$H$1009,""),""),IF(TRIM(_xlpm.srcCat)&lt;&gt;TRIM($J764),"",_xlfn.SWITCH($I764,"Computer",_xlfn.XLOOKUP($K764&amp;"",COMPUTER!$B$3:$B$1009&amp;"",COMPUTER!$AM$3:$AM$1009,""),"Display",_xlfn.XLOOKUP($K764&amp;"",DISPLAY!$B$3:$B$1000&amp;"",DISPLAY!$V$3:$V$1000,""),"Network Device",_xlfn.XLOOKUP($K764&amp;"",'NETWORK-DEVICES'!$B$3:$B$987&amp;"",'NETWORK-DEVICES'!$AF$3:$AF$987,""),"Peripheral",_xlfn.XLOOKUP($K764&amp;"",PERIPHERAL!$B$3:$B$954&amp;"",PERIPHERAL!$Y$3:$Y$954,""),"Utilities",_xlfn.XLOOKUP($K764&amp;"",UTILITIES!$B$3:$B$953&amp;"",UTILITIES!$O$3:$O$953,""),"IOT",_xlfn.XLOOKUP($K764&amp;"",IOT!$B$3:$B$1012&amp;"",IOT!$AB$3:$AB$1012,""),"Server",_xlfn.XLOOKUP($K764&amp;"",SERVER!$B$3:$B$1009&amp;"",SERVER!$AB$3:$AB$1009,""),""))))</f>
        <v/>
      </c>
      <c r="R764" s="43" t="str">
        <f>IF(tbl_handover[[#This Row],[Asset Code]]="","",COUNTIF(tbl_handover[Asset Code],tbl_handover[[#This Row],[Asset Code]]))</f>
        <v/>
      </c>
    </row>
    <row r="765" spans="1:18" x14ac:dyDescent="0.25">
      <c r="A765" s="43" t="str">
        <f>IF(B765&lt;&gt;"",SUBTOTAL(3,$B$1:B764),"")</f>
        <v/>
      </c>
      <c r="C765" s="74"/>
      <c r="D765" s="74"/>
      <c r="G765" s="1"/>
      <c r="K765" s="42"/>
      <c r="L765" t="str" cm="1">
        <f t="array" ref="L765">IF($K765="","",_xlfn.SWITCH($I765,"Computer",_xlfn.XLOOKUP($K765&amp;"",COMPUTER!$B$3:$B$1009&amp;"",COMPUTER!$I$3:$I$1009,""),"Display",_xlfn.XLOOKUP($K765&amp;"",DISPLAY!$B$3:$B$1000&amp;"",DISPLAY!$J$3:$J$1000,""),"Network Device",_xlfn.XLOOKUP($K765&amp;"",'NETWORK-DEVICES'!$B$3:$B$987&amp;"",'NETWORK-DEVICES'!$I$3:$I$987,""),"Peripheral",_xlfn.XLOOKUP($K765&amp;"",PERIPHERAL!$B$3:$B$954&amp;"",PERIPHERAL!$I$3:$I$954,""),"Utilities",_xlfn.XLOOKUP($K765&amp;"",UTILITIES!$B$3:$B$953&amp;"",UTILITIES!$H$3:$H$953,""),"IOT",_xlfn.XLOOKUP($K765&amp;"",IOT!$B$3:$B$1012&amp;"",IOT!$I$3:$I$1012,""),"SERVER",_xlfn.XLOOKUP($K765&amp;"",SERVER!$B$3:$B$1009&amp;"",SERVER!$I$3:$I$1009,""),""))</f>
        <v/>
      </c>
      <c r="M765" t="str" cm="1">
        <f t="array" ref="M765">IF($K765="","",_xlfn.SWITCH($I765,"Computer",_xlfn.XLOOKUP($K765&amp;"",COMPUTER!$B$3:$B$1009&amp;"",COMPUTER!$J$3:$J$1009,""),"Display",_xlfn.XLOOKUP($K765&amp;"",DISPLAY!$B$3:$B$1000&amp;"",DISPLAY!$K$3:$K$1000,""),"Network Device",_xlfn.XLOOKUP($K765&amp;"",'NETWORK-DEVICES'!$B$3:$B$987&amp;"",'NETWORK-DEVICES'!$I$3:$I$987,""),"Peripheral",_xlfn.XLOOKUP($K765&amp;"",PERIPHERAL!$B$3:$B$954&amp;"",PERIPHERAL!$J$3:$J$954,""),"Utilities",_xlfn.XLOOKUP($K765&amp;"",UTILITIES!$B$3:$B$953&amp;"",UTILITIES!$I$3:$I$953,""),"IOT",_xlfn.XLOOKUP($K765&amp;"",IOT!$B$3:$B$1012&amp;"",IOT!$J$3:$J$1012,""),"Server",_xlfn.XLOOKUP($K765&amp;"",SERVER!$B$3:$B$1009&amp;"",SERVER!$J$3:$J$1009,""),""))</f>
        <v/>
      </c>
      <c r="N765" s="1" t="str" cm="1">
        <f t="array" ref="N765">IF(OR($K765="",$I765="",$J765=""),"",_xlfn.LET(_xlpm.srcCat,_xlfn.SWITCH($I765,"Computer",_xlfn.XLOOKUP($K765&amp;"",COMPUTER!$B$3:$B$1009&amp;"",COMPUTER!$H$3:$H$1009,""),"Display",_xlfn.XLOOKUP($K765&amp;"",DISPLAY!$B$3:$B$1000&amp;"",DISPLAY!$H$3:$H$1000,""),"Network Device",_xlfn.XLOOKUP($K765&amp;"",'NETWORK-DEVICES'!$B$3:$B$987&amp;"",'NETWORK-DEVICES'!$H$3:$H$987,""),"Peripheral",_xlfn.XLOOKUP($K765&amp;"",PERIPHERAL!$B$3:$B$954&amp;"",PERIPHERAL!$H$3:$H$954,""),"Utilities",_xlfn.XLOOKUP($K765&amp;"",UTILITIES!$B$3:$B$953&amp;"",UTILITIES!$G$3:$G$953,""),"IOT",_xlfn.XLOOKUP($K765&amp;"",IOT!$B$3:$B$1012&amp;"",IOT!$H$3:$H$1012,""),"Server",_xlfn.XLOOKUP($K765&amp;"",SERVER!$B$3:$B$1009&amp;"",SERVER!$H$3:$H$1009,""),""),IF(TRIM(_xlpm.srcCat)&lt;&gt;TRIM($J765),"",_xlfn.SWITCH($I765,"Computer",_xlfn.XLOOKUP($K765&amp;"",COMPUTER!$B$3:$B$1009&amp;"",COMPUTER!$K$3:$K$1009,""),"Display",_xlfn.XLOOKUP($K765&amp;"",DISPLAY!$B$3:$B$1000&amp;"",DISPLAY!$L$3:$L$1000,""),"Network Device",_xlfn.XLOOKUP($K765&amp;"",'NETWORK-DEVICES'!$B$3:$B$987&amp;"",'NETWORK-DEVICES'!$K$3:$K$987,""),"Peripheral",_xlfn.XLOOKUP($K765&amp;"",PERIPHERAL!$B$3:$B$954&amp;"",PERIPHERAL!$K$3:$K$954,""),"Utilities",_xlfn.XLOOKUP($K765&amp;"",UTILITIES!$B$3:$B$953&amp;"",UTILITIES!$J$3:$J$953,""),"IOT",_xlfn.XLOOKUP($K765&amp;"",IOT!$B$3:$B$1012&amp;"",IOT!$K$4:$K$1012,""),"Server",_xlfn.XLOOKUP($K765&amp;"",SERVER!$B$3:$B$1009&amp;"",SERVER!$K$3:$K$1009,""),""))))</f>
        <v/>
      </c>
      <c r="O765" s="1" t="str" cm="1">
        <f t="array" ref="O765">IF(OR($K765="",$I765="",$J765=""),"",_xlfn.LET(_xlpm.srcCat,_xlfn.SWITCH($I765,"Computer",_xlfn.XLOOKUP($K765&amp;"",COMPUTER!$B$3:$B$1009&amp;"",COMPUTER!$H$3:$H$1009,""),"Display",_xlfn.XLOOKUP($K765&amp;"",DISPLAY!$B$3:$B$1000&amp;"",DISPLAY!$H$3:$H$1000,""),"Network Device",_xlfn.XLOOKUP($K765&amp;"",'NETWORK-DEVICES'!$B$3:$B$987&amp;"",'NETWORK-DEVICES'!$H$3:$H$987,""),"Peripheral",_xlfn.XLOOKUP($K765&amp;"",PERIPHERAL!$B$3:$B$954&amp;"",PERIPHERAL!$H$3:$H$954,""),"Utilities",_xlfn.XLOOKUP($K765&amp;"",UTILITIES!$B$3:$B$953&amp;"",UTILITIES!$G$3:$G$953,""),"IOT",_xlfn.XLOOKUP($K765&amp;"",IOT!$B$3:$B$1012&amp;"",IOT!$H$3:$H$1012,""),"Server",_xlfn.XLOOKUP($K765&amp;"",SERVER!$B$3:$B$1009&amp;"",SERVER!$H$3:$H$1009,""),""),IF(TRIM(_xlpm.srcCat)&lt;&gt;TRIM($J765),"",_xlfn.SWITCH($I765,"Computer",_xlfn.XLOOKUP($K765&amp;"",COMPUTER!$B$3:$B$1009&amp;"",COMPUTER!$E$3:$E$1009,""),"Display",_xlfn.XLOOKUP($K765&amp;"",DISPLAY!$B$3:$B$1000&amp;"",DISPLAY!$E$3:$E$1000,""),"Network Device",_xlfn.XLOOKUP($K765&amp;"",'NETWORK-DEVICES'!$B$3:$B$987&amp;"",'NETWORK-DEVICES'!$E$3:$E$987,""),"Peripheral",_xlfn.XLOOKUP($K765&amp;"",PERIPHERAL!$B$3:$B$954&amp;"",PERIPHERAL!$E$3:$E$954,""),"Utilities",_xlfn.XLOOKUP($K765&amp;"",UTILITIES!$B$3:$B$953&amp;"",UTILITIES!$E$3:$E$953,""),"IOT",_xlfn.XLOOKUP($K765&amp;"",IOT!$B$3:$B$1012&amp;"",IOT!$E$3:$E$1012,""),"Server",_xlfn.XLOOKUP($K765&amp;"",SERVER!$B$3:$B$1009&amp;"",SERVER!$E$3:$E$1009,""),""))))</f>
        <v/>
      </c>
      <c r="Q765" s="1" t="str" cm="1">
        <f t="array" ref="Q765">IF(OR($K765="",$I765="",$J765=""),"",_xlfn.LET(_xlpm.srcCat,_xlfn.SWITCH($I765,"Computer",_xlfn.XLOOKUP($K765&amp;"",COMPUTER!$B$3:$B$1009&amp;"",COMPUTER!$H$3:$H$1009,""),"Display",_xlfn.XLOOKUP($K765&amp;"",DISPLAY!$B$3:$B$1000&amp;"",DISPLAY!$H$3:$H$1000,""),"Network Device",_xlfn.XLOOKUP($K765&amp;"",'NETWORK-DEVICES'!$B$3:$B$987&amp;"",'NETWORK-DEVICES'!$H$3:$H$987,""),"Peripheral",_xlfn.XLOOKUP($K765&amp;"",PERIPHERAL!$B$3:$B$954&amp;"",PERIPHERAL!$H$3:$H$954,""),"Utilities",_xlfn.XLOOKUP($K765&amp;"",UTILITIES!$B$3:$B$953&amp;"",UTILITIES!$G$3:$G$953,""),"IOT",_xlfn.XLOOKUP($K765&amp;"",IOT!$B$3:$B$1012&amp;"",IOT!$H$3:$H$1012,""),"Server",_xlfn.XLOOKUP($K765&amp;"",SERVER!$B$3:$B$1009&amp;"",SERVER!$H$3:$H$1009,""),""),IF(TRIM(_xlpm.srcCat)&lt;&gt;TRIM($J765),"",_xlfn.SWITCH($I765,"Computer",_xlfn.XLOOKUP($K765&amp;"",COMPUTER!$B$3:$B$1009&amp;"",COMPUTER!$AM$3:$AM$1009,""),"Display",_xlfn.XLOOKUP($K765&amp;"",DISPLAY!$B$3:$B$1000&amp;"",DISPLAY!$V$3:$V$1000,""),"Network Device",_xlfn.XLOOKUP($K765&amp;"",'NETWORK-DEVICES'!$B$3:$B$987&amp;"",'NETWORK-DEVICES'!$AF$3:$AF$987,""),"Peripheral",_xlfn.XLOOKUP($K765&amp;"",PERIPHERAL!$B$3:$B$954&amp;"",PERIPHERAL!$Y$3:$Y$954,""),"Utilities",_xlfn.XLOOKUP($K765&amp;"",UTILITIES!$B$3:$B$953&amp;"",UTILITIES!$O$3:$O$953,""),"IOT",_xlfn.XLOOKUP($K765&amp;"",IOT!$B$3:$B$1012&amp;"",IOT!$AB$3:$AB$1012,""),"Server",_xlfn.XLOOKUP($K765&amp;"",SERVER!$B$3:$B$1009&amp;"",SERVER!$AB$3:$AB$1009,""),""))))</f>
        <v/>
      </c>
      <c r="R765" s="43" t="str">
        <f>IF(tbl_handover[[#This Row],[Asset Code]]="","",COUNTIF(tbl_handover[Asset Code],tbl_handover[[#This Row],[Asset Code]]))</f>
        <v/>
      </c>
    </row>
    <row r="766" spans="1:18" x14ac:dyDescent="0.25">
      <c r="A766" s="43" t="str">
        <f>IF(B766&lt;&gt;"",SUBTOTAL(3,$B$1:B765),"")</f>
        <v/>
      </c>
      <c r="C766" s="74"/>
      <c r="D766" s="74"/>
      <c r="G766" s="1"/>
      <c r="K766" s="42"/>
      <c r="L766" t="str" cm="1">
        <f t="array" ref="L766">IF($K766="","",_xlfn.SWITCH($I766,"Computer",_xlfn.XLOOKUP($K766&amp;"",COMPUTER!$B$3:$B$1009&amp;"",COMPUTER!$I$3:$I$1009,""),"Display",_xlfn.XLOOKUP($K766&amp;"",DISPLAY!$B$3:$B$1000&amp;"",DISPLAY!$J$3:$J$1000,""),"Network Device",_xlfn.XLOOKUP($K766&amp;"",'NETWORK-DEVICES'!$B$3:$B$987&amp;"",'NETWORK-DEVICES'!$I$3:$I$987,""),"Peripheral",_xlfn.XLOOKUP($K766&amp;"",PERIPHERAL!$B$3:$B$954&amp;"",PERIPHERAL!$I$3:$I$954,""),"Utilities",_xlfn.XLOOKUP($K766&amp;"",UTILITIES!$B$3:$B$953&amp;"",UTILITIES!$H$3:$H$953,""),"IOT",_xlfn.XLOOKUP($K766&amp;"",IOT!$B$3:$B$1012&amp;"",IOT!$I$3:$I$1012,""),"SERVER",_xlfn.XLOOKUP($K766&amp;"",SERVER!$B$3:$B$1009&amp;"",SERVER!$I$3:$I$1009,""),""))</f>
        <v/>
      </c>
      <c r="M766" t="str" cm="1">
        <f t="array" ref="M766">IF($K766="","",_xlfn.SWITCH($I766,"Computer",_xlfn.XLOOKUP($K766&amp;"",COMPUTER!$B$3:$B$1009&amp;"",COMPUTER!$J$3:$J$1009,""),"Display",_xlfn.XLOOKUP($K766&amp;"",DISPLAY!$B$3:$B$1000&amp;"",DISPLAY!$K$3:$K$1000,""),"Network Device",_xlfn.XLOOKUP($K766&amp;"",'NETWORK-DEVICES'!$B$3:$B$987&amp;"",'NETWORK-DEVICES'!$I$3:$I$987,""),"Peripheral",_xlfn.XLOOKUP($K766&amp;"",PERIPHERAL!$B$3:$B$954&amp;"",PERIPHERAL!$J$3:$J$954,""),"Utilities",_xlfn.XLOOKUP($K766&amp;"",UTILITIES!$B$3:$B$953&amp;"",UTILITIES!$I$3:$I$953,""),"IOT",_xlfn.XLOOKUP($K766&amp;"",IOT!$B$3:$B$1012&amp;"",IOT!$J$3:$J$1012,""),"Server",_xlfn.XLOOKUP($K766&amp;"",SERVER!$B$3:$B$1009&amp;"",SERVER!$J$3:$J$1009,""),""))</f>
        <v/>
      </c>
      <c r="N766" s="1" t="str" cm="1">
        <f t="array" ref="N766">IF(OR($K766="",$I766="",$J766=""),"",_xlfn.LET(_xlpm.srcCat,_xlfn.SWITCH($I766,"Computer",_xlfn.XLOOKUP($K766&amp;"",COMPUTER!$B$3:$B$1009&amp;"",COMPUTER!$H$3:$H$1009,""),"Display",_xlfn.XLOOKUP($K766&amp;"",DISPLAY!$B$3:$B$1000&amp;"",DISPLAY!$H$3:$H$1000,""),"Network Device",_xlfn.XLOOKUP($K766&amp;"",'NETWORK-DEVICES'!$B$3:$B$987&amp;"",'NETWORK-DEVICES'!$H$3:$H$987,""),"Peripheral",_xlfn.XLOOKUP($K766&amp;"",PERIPHERAL!$B$3:$B$954&amp;"",PERIPHERAL!$H$3:$H$954,""),"Utilities",_xlfn.XLOOKUP($K766&amp;"",UTILITIES!$B$3:$B$953&amp;"",UTILITIES!$G$3:$G$953,""),"IOT",_xlfn.XLOOKUP($K766&amp;"",IOT!$B$3:$B$1012&amp;"",IOT!$H$3:$H$1012,""),"Server",_xlfn.XLOOKUP($K766&amp;"",SERVER!$B$3:$B$1009&amp;"",SERVER!$H$3:$H$1009,""),""),IF(TRIM(_xlpm.srcCat)&lt;&gt;TRIM($J766),"",_xlfn.SWITCH($I766,"Computer",_xlfn.XLOOKUP($K766&amp;"",COMPUTER!$B$3:$B$1009&amp;"",COMPUTER!$K$3:$K$1009,""),"Display",_xlfn.XLOOKUP($K766&amp;"",DISPLAY!$B$3:$B$1000&amp;"",DISPLAY!$L$3:$L$1000,""),"Network Device",_xlfn.XLOOKUP($K766&amp;"",'NETWORK-DEVICES'!$B$3:$B$987&amp;"",'NETWORK-DEVICES'!$K$3:$K$987,""),"Peripheral",_xlfn.XLOOKUP($K766&amp;"",PERIPHERAL!$B$3:$B$954&amp;"",PERIPHERAL!$K$3:$K$954,""),"Utilities",_xlfn.XLOOKUP($K766&amp;"",UTILITIES!$B$3:$B$953&amp;"",UTILITIES!$J$3:$J$953,""),"IOT",_xlfn.XLOOKUP($K766&amp;"",IOT!$B$3:$B$1012&amp;"",IOT!$K$4:$K$1012,""),"Server",_xlfn.XLOOKUP($K766&amp;"",SERVER!$B$3:$B$1009&amp;"",SERVER!$K$3:$K$1009,""),""))))</f>
        <v/>
      </c>
      <c r="O766" s="1" t="str" cm="1">
        <f t="array" ref="O766">IF(OR($K766="",$I766="",$J766=""),"",_xlfn.LET(_xlpm.srcCat,_xlfn.SWITCH($I766,"Computer",_xlfn.XLOOKUP($K766&amp;"",COMPUTER!$B$3:$B$1009&amp;"",COMPUTER!$H$3:$H$1009,""),"Display",_xlfn.XLOOKUP($K766&amp;"",DISPLAY!$B$3:$B$1000&amp;"",DISPLAY!$H$3:$H$1000,""),"Network Device",_xlfn.XLOOKUP($K766&amp;"",'NETWORK-DEVICES'!$B$3:$B$987&amp;"",'NETWORK-DEVICES'!$H$3:$H$987,""),"Peripheral",_xlfn.XLOOKUP($K766&amp;"",PERIPHERAL!$B$3:$B$954&amp;"",PERIPHERAL!$H$3:$H$954,""),"Utilities",_xlfn.XLOOKUP($K766&amp;"",UTILITIES!$B$3:$B$953&amp;"",UTILITIES!$G$3:$G$953,""),"IOT",_xlfn.XLOOKUP($K766&amp;"",IOT!$B$3:$B$1012&amp;"",IOT!$H$3:$H$1012,""),"Server",_xlfn.XLOOKUP($K766&amp;"",SERVER!$B$3:$B$1009&amp;"",SERVER!$H$3:$H$1009,""),""),IF(TRIM(_xlpm.srcCat)&lt;&gt;TRIM($J766),"",_xlfn.SWITCH($I766,"Computer",_xlfn.XLOOKUP($K766&amp;"",COMPUTER!$B$3:$B$1009&amp;"",COMPUTER!$E$3:$E$1009,""),"Display",_xlfn.XLOOKUP($K766&amp;"",DISPLAY!$B$3:$B$1000&amp;"",DISPLAY!$E$3:$E$1000,""),"Network Device",_xlfn.XLOOKUP($K766&amp;"",'NETWORK-DEVICES'!$B$3:$B$987&amp;"",'NETWORK-DEVICES'!$E$3:$E$987,""),"Peripheral",_xlfn.XLOOKUP($K766&amp;"",PERIPHERAL!$B$3:$B$954&amp;"",PERIPHERAL!$E$3:$E$954,""),"Utilities",_xlfn.XLOOKUP($K766&amp;"",UTILITIES!$B$3:$B$953&amp;"",UTILITIES!$E$3:$E$953,""),"IOT",_xlfn.XLOOKUP($K766&amp;"",IOT!$B$3:$B$1012&amp;"",IOT!$E$3:$E$1012,""),"Server",_xlfn.XLOOKUP($K766&amp;"",SERVER!$B$3:$B$1009&amp;"",SERVER!$E$3:$E$1009,""),""))))</f>
        <v/>
      </c>
      <c r="Q766" s="1" t="str" cm="1">
        <f t="array" ref="Q766">IF(OR($K766="",$I766="",$J766=""),"",_xlfn.LET(_xlpm.srcCat,_xlfn.SWITCH($I766,"Computer",_xlfn.XLOOKUP($K766&amp;"",COMPUTER!$B$3:$B$1009&amp;"",COMPUTER!$H$3:$H$1009,""),"Display",_xlfn.XLOOKUP($K766&amp;"",DISPLAY!$B$3:$B$1000&amp;"",DISPLAY!$H$3:$H$1000,""),"Network Device",_xlfn.XLOOKUP($K766&amp;"",'NETWORK-DEVICES'!$B$3:$B$987&amp;"",'NETWORK-DEVICES'!$H$3:$H$987,""),"Peripheral",_xlfn.XLOOKUP($K766&amp;"",PERIPHERAL!$B$3:$B$954&amp;"",PERIPHERAL!$H$3:$H$954,""),"Utilities",_xlfn.XLOOKUP($K766&amp;"",UTILITIES!$B$3:$B$953&amp;"",UTILITIES!$G$3:$G$953,""),"IOT",_xlfn.XLOOKUP($K766&amp;"",IOT!$B$3:$B$1012&amp;"",IOT!$H$3:$H$1012,""),"Server",_xlfn.XLOOKUP($K766&amp;"",SERVER!$B$3:$B$1009&amp;"",SERVER!$H$3:$H$1009,""),""),IF(TRIM(_xlpm.srcCat)&lt;&gt;TRIM($J766),"",_xlfn.SWITCH($I766,"Computer",_xlfn.XLOOKUP($K766&amp;"",COMPUTER!$B$3:$B$1009&amp;"",COMPUTER!$AM$3:$AM$1009,""),"Display",_xlfn.XLOOKUP($K766&amp;"",DISPLAY!$B$3:$B$1000&amp;"",DISPLAY!$V$3:$V$1000,""),"Network Device",_xlfn.XLOOKUP($K766&amp;"",'NETWORK-DEVICES'!$B$3:$B$987&amp;"",'NETWORK-DEVICES'!$AF$3:$AF$987,""),"Peripheral",_xlfn.XLOOKUP($K766&amp;"",PERIPHERAL!$B$3:$B$954&amp;"",PERIPHERAL!$Y$3:$Y$954,""),"Utilities",_xlfn.XLOOKUP($K766&amp;"",UTILITIES!$B$3:$B$953&amp;"",UTILITIES!$O$3:$O$953,""),"IOT",_xlfn.XLOOKUP($K766&amp;"",IOT!$B$3:$B$1012&amp;"",IOT!$AB$3:$AB$1012,""),"Server",_xlfn.XLOOKUP($K766&amp;"",SERVER!$B$3:$B$1009&amp;"",SERVER!$AB$3:$AB$1009,""),""))))</f>
        <v/>
      </c>
      <c r="R766" s="43" t="str">
        <f>IF(tbl_handover[[#This Row],[Asset Code]]="","",COUNTIF(tbl_handover[Asset Code],tbl_handover[[#This Row],[Asset Code]]))</f>
        <v/>
      </c>
    </row>
    <row r="767" spans="1:18" x14ac:dyDescent="0.25">
      <c r="A767" s="43" t="str">
        <f>IF(B767&lt;&gt;"",SUBTOTAL(3,$B$1:B766),"")</f>
        <v/>
      </c>
      <c r="C767" s="74"/>
      <c r="D767" s="74"/>
      <c r="G767" s="1"/>
      <c r="K767" s="42"/>
      <c r="L767" t="str" cm="1">
        <f t="array" ref="L767">IF($K767="","",_xlfn.SWITCH($I767,"Computer",_xlfn.XLOOKUP($K767&amp;"",COMPUTER!$B$3:$B$1009&amp;"",COMPUTER!$I$3:$I$1009,""),"Display",_xlfn.XLOOKUP($K767&amp;"",DISPLAY!$B$3:$B$1000&amp;"",DISPLAY!$J$3:$J$1000,""),"Network Device",_xlfn.XLOOKUP($K767&amp;"",'NETWORK-DEVICES'!$B$3:$B$987&amp;"",'NETWORK-DEVICES'!$I$3:$I$987,""),"Peripheral",_xlfn.XLOOKUP($K767&amp;"",PERIPHERAL!$B$3:$B$954&amp;"",PERIPHERAL!$I$3:$I$954,""),"Utilities",_xlfn.XLOOKUP($K767&amp;"",UTILITIES!$B$3:$B$953&amp;"",UTILITIES!$H$3:$H$953,""),"IOT",_xlfn.XLOOKUP($K767&amp;"",IOT!$B$3:$B$1012&amp;"",IOT!$I$3:$I$1012,""),"SERVER",_xlfn.XLOOKUP($K767&amp;"",SERVER!$B$3:$B$1009&amp;"",SERVER!$I$3:$I$1009,""),""))</f>
        <v/>
      </c>
      <c r="M767" t="str" cm="1">
        <f t="array" ref="M767">IF($K767="","",_xlfn.SWITCH($I767,"Computer",_xlfn.XLOOKUP($K767&amp;"",COMPUTER!$B$3:$B$1009&amp;"",COMPUTER!$J$3:$J$1009,""),"Display",_xlfn.XLOOKUP($K767&amp;"",DISPLAY!$B$3:$B$1000&amp;"",DISPLAY!$K$3:$K$1000,""),"Network Device",_xlfn.XLOOKUP($K767&amp;"",'NETWORK-DEVICES'!$B$3:$B$987&amp;"",'NETWORK-DEVICES'!$I$3:$I$987,""),"Peripheral",_xlfn.XLOOKUP($K767&amp;"",PERIPHERAL!$B$3:$B$954&amp;"",PERIPHERAL!$J$3:$J$954,""),"Utilities",_xlfn.XLOOKUP($K767&amp;"",UTILITIES!$B$3:$B$953&amp;"",UTILITIES!$I$3:$I$953,""),"IOT",_xlfn.XLOOKUP($K767&amp;"",IOT!$B$3:$B$1012&amp;"",IOT!$J$3:$J$1012,""),"Server",_xlfn.XLOOKUP($K767&amp;"",SERVER!$B$3:$B$1009&amp;"",SERVER!$J$3:$J$1009,""),""))</f>
        <v/>
      </c>
      <c r="N767" s="1" t="str" cm="1">
        <f t="array" ref="N767">IF(OR($K767="",$I767="",$J767=""),"",_xlfn.LET(_xlpm.srcCat,_xlfn.SWITCH($I767,"Computer",_xlfn.XLOOKUP($K767&amp;"",COMPUTER!$B$3:$B$1009&amp;"",COMPUTER!$H$3:$H$1009,""),"Display",_xlfn.XLOOKUP($K767&amp;"",DISPLAY!$B$3:$B$1000&amp;"",DISPLAY!$H$3:$H$1000,""),"Network Device",_xlfn.XLOOKUP($K767&amp;"",'NETWORK-DEVICES'!$B$3:$B$987&amp;"",'NETWORK-DEVICES'!$H$3:$H$987,""),"Peripheral",_xlfn.XLOOKUP($K767&amp;"",PERIPHERAL!$B$3:$B$954&amp;"",PERIPHERAL!$H$3:$H$954,""),"Utilities",_xlfn.XLOOKUP($K767&amp;"",UTILITIES!$B$3:$B$953&amp;"",UTILITIES!$G$3:$G$953,""),"IOT",_xlfn.XLOOKUP($K767&amp;"",IOT!$B$3:$B$1012&amp;"",IOT!$H$3:$H$1012,""),"Server",_xlfn.XLOOKUP($K767&amp;"",SERVER!$B$3:$B$1009&amp;"",SERVER!$H$3:$H$1009,""),""),IF(TRIM(_xlpm.srcCat)&lt;&gt;TRIM($J767),"",_xlfn.SWITCH($I767,"Computer",_xlfn.XLOOKUP($K767&amp;"",COMPUTER!$B$3:$B$1009&amp;"",COMPUTER!$K$3:$K$1009,""),"Display",_xlfn.XLOOKUP($K767&amp;"",DISPLAY!$B$3:$B$1000&amp;"",DISPLAY!$L$3:$L$1000,""),"Network Device",_xlfn.XLOOKUP($K767&amp;"",'NETWORK-DEVICES'!$B$3:$B$987&amp;"",'NETWORK-DEVICES'!$K$3:$K$987,""),"Peripheral",_xlfn.XLOOKUP($K767&amp;"",PERIPHERAL!$B$3:$B$954&amp;"",PERIPHERAL!$K$3:$K$954,""),"Utilities",_xlfn.XLOOKUP($K767&amp;"",UTILITIES!$B$3:$B$953&amp;"",UTILITIES!$J$3:$J$953,""),"IOT",_xlfn.XLOOKUP($K767&amp;"",IOT!$B$3:$B$1012&amp;"",IOT!$K$4:$K$1012,""),"Server",_xlfn.XLOOKUP($K767&amp;"",SERVER!$B$3:$B$1009&amp;"",SERVER!$K$3:$K$1009,""),""))))</f>
        <v/>
      </c>
      <c r="O767" s="1" t="str" cm="1">
        <f t="array" ref="O767">IF(OR($K767="",$I767="",$J767=""),"",_xlfn.LET(_xlpm.srcCat,_xlfn.SWITCH($I767,"Computer",_xlfn.XLOOKUP($K767&amp;"",COMPUTER!$B$3:$B$1009&amp;"",COMPUTER!$H$3:$H$1009,""),"Display",_xlfn.XLOOKUP($K767&amp;"",DISPLAY!$B$3:$B$1000&amp;"",DISPLAY!$H$3:$H$1000,""),"Network Device",_xlfn.XLOOKUP($K767&amp;"",'NETWORK-DEVICES'!$B$3:$B$987&amp;"",'NETWORK-DEVICES'!$H$3:$H$987,""),"Peripheral",_xlfn.XLOOKUP($K767&amp;"",PERIPHERAL!$B$3:$B$954&amp;"",PERIPHERAL!$H$3:$H$954,""),"Utilities",_xlfn.XLOOKUP($K767&amp;"",UTILITIES!$B$3:$B$953&amp;"",UTILITIES!$G$3:$G$953,""),"IOT",_xlfn.XLOOKUP($K767&amp;"",IOT!$B$3:$B$1012&amp;"",IOT!$H$3:$H$1012,""),"Server",_xlfn.XLOOKUP($K767&amp;"",SERVER!$B$3:$B$1009&amp;"",SERVER!$H$3:$H$1009,""),""),IF(TRIM(_xlpm.srcCat)&lt;&gt;TRIM($J767),"",_xlfn.SWITCH($I767,"Computer",_xlfn.XLOOKUP($K767&amp;"",COMPUTER!$B$3:$B$1009&amp;"",COMPUTER!$E$3:$E$1009,""),"Display",_xlfn.XLOOKUP($K767&amp;"",DISPLAY!$B$3:$B$1000&amp;"",DISPLAY!$E$3:$E$1000,""),"Network Device",_xlfn.XLOOKUP($K767&amp;"",'NETWORK-DEVICES'!$B$3:$B$987&amp;"",'NETWORK-DEVICES'!$E$3:$E$987,""),"Peripheral",_xlfn.XLOOKUP($K767&amp;"",PERIPHERAL!$B$3:$B$954&amp;"",PERIPHERAL!$E$3:$E$954,""),"Utilities",_xlfn.XLOOKUP($K767&amp;"",UTILITIES!$B$3:$B$953&amp;"",UTILITIES!$E$3:$E$953,""),"IOT",_xlfn.XLOOKUP($K767&amp;"",IOT!$B$3:$B$1012&amp;"",IOT!$E$3:$E$1012,""),"Server",_xlfn.XLOOKUP($K767&amp;"",SERVER!$B$3:$B$1009&amp;"",SERVER!$E$3:$E$1009,""),""))))</f>
        <v/>
      </c>
      <c r="Q767" s="1" t="str" cm="1">
        <f t="array" ref="Q767">IF(OR($K767="",$I767="",$J767=""),"",_xlfn.LET(_xlpm.srcCat,_xlfn.SWITCH($I767,"Computer",_xlfn.XLOOKUP($K767&amp;"",COMPUTER!$B$3:$B$1009&amp;"",COMPUTER!$H$3:$H$1009,""),"Display",_xlfn.XLOOKUP($K767&amp;"",DISPLAY!$B$3:$B$1000&amp;"",DISPLAY!$H$3:$H$1000,""),"Network Device",_xlfn.XLOOKUP($K767&amp;"",'NETWORK-DEVICES'!$B$3:$B$987&amp;"",'NETWORK-DEVICES'!$H$3:$H$987,""),"Peripheral",_xlfn.XLOOKUP($K767&amp;"",PERIPHERAL!$B$3:$B$954&amp;"",PERIPHERAL!$H$3:$H$954,""),"Utilities",_xlfn.XLOOKUP($K767&amp;"",UTILITIES!$B$3:$B$953&amp;"",UTILITIES!$G$3:$G$953,""),"IOT",_xlfn.XLOOKUP($K767&amp;"",IOT!$B$3:$B$1012&amp;"",IOT!$H$3:$H$1012,""),"Server",_xlfn.XLOOKUP($K767&amp;"",SERVER!$B$3:$B$1009&amp;"",SERVER!$H$3:$H$1009,""),""),IF(TRIM(_xlpm.srcCat)&lt;&gt;TRIM($J767),"",_xlfn.SWITCH($I767,"Computer",_xlfn.XLOOKUP($K767&amp;"",COMPUTER!$B$3:$B$1009&amp;"",COMPUTER!$AM$3:$AM$1009,""),"Display",_xlfn.XLOOKUP($K767&amp;"",DISPLAY!$B$3:$B$1000&amp;"",DISPLAY!$V$3:$V$1000,""),"Network Device",_xlfn.XLOOKUP($K767&amp;"",'NETWORK-DEVICES'!$B$3:$B$987&amp;"",'NETWORK-DEVICES'!$AF$3:$AF$987,""),"Peripheral",_xlfn.XLOOKUP($K767&amp;"",PERIPHERAL!$B$3:$B$954&amp;"",PERIPHERAL!$Y$3:$Y$954,""),"Utilities",_xlfn.XLOOKUP($K767&amp;"",UTILITIES!$B$3:$B$953&amp;"",UTILITIES!$O$3:$O$953,""),"IOT",_xlfn.XLOOKUP($K767&amp;"",IOT!$B$3:$B$1012&amp;"",IOT!$AB$3:$AB$1012,""),"Server",_xlfn.XLOOKUP($K767&amp;"",SERVER!$B$3:$B$1009&amp;"",SERVER!$AB$3:$AB$1009,""),""))))</f>
        <v/>
      </c>
      <c r="R767" s="43" t="str">
        <f>IF(tbl_handover[[#This Row],[Asset Code]]="","",COUNTIF(tbl_handover[Asset Code],tbl_handover[[#This Row],[Asset Code]]))</f>
        <v/>
      </c>
    </row>
    <row r="768" spans="1:18" x14ac:dyDescent="0.25">
      <c r="A768" s="43" t="str">
        <f>IF(B768&lt;&gt;"",SUBTOTAL(3,$B$1:B767),"")</f>
        <v/>
      </c>
      <c r="C768" s="74"/>
      <c r="D768" s="74"/>
      <c r="G768" s="1"/>
      <c r="K768" s="42"/>
      <c r="L768" t="str" cm="1">
        <f t="array" ref="L768">IF($K768="","",_xlfn.SWITCH($I768,"Computer",_xlfn.XLOOKUP($K768&amp;"",COMPUTER!$B$3:$B$1009&amp;"",COMPUTER!$I$3:$I$1009,""),"Display",_xlfn.XLOOKUP($K768&amp;"",DISPLAY!$B$3:$B$1000&amp;"",DISPLAY!$J$3:$J$1000,""),"Network Device",_xlfn.XLOOKUP($K768&amp;"",'NETWORK-DEVICES'!$B$3:$B$987&amp;"",'NETWORK-DEVICES'!$I$3:$I$987,""),"Peripheral",_xlfn.XLOOKUP($K768&amp;"",PERIPHERAL!$B$3:$B$954&amp;"",PERIPHERAL!$I$3:$I$954,""),"Utilities",_xlfn.XLOOKUP($K768&amp;"",UTILITIES!$B$3:$B$953&amp;"",UTILITIES!$H$3:$H$953,""),"IOT",_xlfn.XLOOKUP($K768&amp;"",IOT!$B$3:$B$1012&amp;"",IOT!$I$3:$I$1012,""),"SERVER",_xlfn.XLOOKUP($K768&amp;"",SERVER!$B$3:$B$1009&amp;"",SERVER!$I$3:$I$1009,""),""))</f>
        <v/>
      </c>
      <c r="M768" t="str" cm="1">
        <f t="array" ref="M768">IF($K768="","",_xlfn.SWITCH($I768,"Computer",_xlfn.XLOOKUP($K768&amp;"",COMPUTER!$B$3:$B$1009&amp;"",COMPUTER!$J$3:$J$1009,""),"Display",_xlfn.XLOOKUP($K768&amp;"",DISPLAY!$B$3:$B$1000&amp;"",DISPLAY!$K$3:$K$1000,""),"Network Device",_xlfn.XLOOKUP($K768&amp;"",'NETWORK-DEVICES'!$B$3:$B$987&amp;"",'NETWORK-DEVICES'!$I$3:$I$987,""),"Peripheral",_xlfn.XLOOKUP($K768&amp;"",PERIPHERAL!$B$3:$B$954&amp;"",PERIPHERAL!$J$3:$J$954,""),"Utilities",_xlfn.XLOOKUP($K768&amp;"",UTILITIES!$B$3:$B$953&amp;"",UTILITIES!$I$3:$I$953,""),"IOT",_xlfn.XLOOKUP($K768&amp;"",IOT!$B$3:$B$1012&amp;"",IOT!$J$3:$J$1012,""),"Server",_xlfn.XLOOKUP($K768&amp;"",SERVER!$B$3:$B$1009&amp;"",SERVER!$J$3:$J$1009,""),""))</f>
        <v/>
      </c>
      <c r="N768" s="1" t="str" cm="1">
        <f t="array" ref="N768">IF(OR($K768="",$I768="",$J768=""),"",_xlfn.LET(_xlpm.srcCat,_xlfn.SWITCH($I768,"Computer",_xlfn.XLOOKUP($K768&amp;"",COMPUTER!$B$3:$B$1009&amp;"",COMPUTER!$H$3:$H$1009,""),"Display",_xlfn.XLOOKUP($K768&amp;"",DISPLAY!$B$3:$B$1000&amp;"",DISPLAY!$H$3:$H$1000,""),"Network Device",_xlfn.XLOOKUP($K768&amp;"",'NETWORK-DEVICES'!$B$3:$B$987&amp;"",'NETWORK-DEVICES'!$H$3:$H$987,""),"Peripheral",_xlfn.XLOOKUP($K768&amp;"",PERIPHERAL!$B$3:$B$954&amp;"",PERIPHERAL!$H$3:$H$954,""),"Utilities",_xlfn.XLOOKUP($K768&amp;"",UTILITIES!$B$3:$B$953&amp;"",UTILITIES!$G$3:$G$953,""),"IOT",_xlfn.XLOOKUP($K768&amp;"",IOT!$B$3:$B$1012&amp;"",IOT!$H$3:$H$1012,""),"Server",_xlfn.XLOOKUP($K768&amp;"",SERVER!$B$3:$B$1009&amp;"",SERVER!$H$3:$H$1009,""),""),IF(TRIM(_xlpm.srcCat)&lt;&gt;TRIM($J768),"",_xlfn.SWITCH($I768,"Computer",_xlfn.XLOOKUP($K768&amp;"",COMPUTER!$B$3:$B$1009&amp;"",COMPUTER!$K$3:$K$1009,""),"Display",_xlfn.XLOOKUP($K768&amp;"",DISPLAY!$B$3:$B$1000&amp;"",DISPLAY!$L$3:$L$1000,""),"Network Device",_xlfn.XLOOKUP($K768&amp;"",'NETWORK-DEVICES'!$B$3:$B$987&amp;"",'NETWORK-DEVICES'!$K$3:$K$987,""),"Peripheral",_xlfn.XLOOKUP($K768&amp;"",PERIPHERAL!$B$3:$B$954&amp;"",PERIPHERAL!$K$3:$K$954,""),"Utilities",_xlfn.XLOOKUP($K768&amp;"",UTILITIES!$B$3:$B$953&amp;"",UTILITIES!$J$3:$J$953,""),"IOT",_xlfn.XLOOKUP($K768&amp;"",IOT!$B$3:$B$1012&amp;"",IOT!$K$4:$K$1012,""),"Server",_xlfn.XLOOKUP($K768&amp;"",SERVER!$B$3:$B$1009&amp;"",SERVER!$K$3:$K$1009,""),""))))</f>
        <v/>
      </c>
      <c r="O768" s="1" t="str" cm="1">
        <f t="array" ref="O768">IF(OR($K768="",$I768="",$J768=""),"",_xlfn.LET(_xlpm.srcCat,_xlfn.SWITCH($I768,"Computer",_xlfn.XLOOKUP($K768&amp;"",COMPUTER!$B$3:$B$1009&amp;"",COMPUTER!$H$3:$H$1009,""),"Display",_xlfn.XLOOKUP($K768&amp;"",DISPLAY!$B$3:$B$1000&amp;"",DISPLAY!$H$3:$H$1000,""),"Network Device",_xlfn.XLOOKUP($K768&amp;"",'NETWORK-DEVICES'!$B$3:$B$987&amp;"",'NETWORK-DEVICES'!$H$3:$H$987,""),"Peripheral",_xlfn.XLOOKUP($K768&amp;"",PERIPHERAL!$B$3:$B$954&amp;"",PERIPHERAL!$H$3:$H$954,""),"Utilities",_xlfn.XLOOKUP($K768&amp;"",UTILITIES!$B$3:$B$953&amp;"",UTILITIES!$G$3:$G$953,""),"IOT",_xlfn.XLOOKUP($K768&amp;"",IOT!$B$3:$B$1012&amp;"",IOT!$H$3:$H$1012,""),"Server",_xlfn.XLOOKUP($K768&amp;"",SERVER!$B$3:$B$1009&amp;"",SERVER!$H$3:$H$1009,""),""),IF(TRIM(_xlpm.srcCat)&lt;&gt;TRIM($J768),"",_xlfn.SWITCH($I768,"Computer",_xlfn.XLOOKUP($K768&amp;"",COMPUTER!$B$3:$B$1009&amp;"",COMPUTER!$E$3:$E$1009,""),"Display",_xlfn.XLOOKUP($K768&amp;"",DISPLAY!$B$3:$B$1000&amp;"",DISPLAY!$E$3:$E$1000,""),"Network Device",_xlfn.XLOOKUP($K768&amp;"",'NETWORK-DEVICES'!$B$3:$B$987&amp;"",'NETWORK-DEVICES'!$E$3:$E$987,""),"Peripheral",_xlfn.XLOOKUP($K768&amp;"",PERIPHERAL!$B$3:$B$954&amp;"",PERIPHERAL!$E$3:$E$954,""),"Utilities",_xlfn.XLOOKUP($K768&amp;"",UTILITIES!$B$3:$B$953&amp;"",UTILITIES!$E$3:$E$953,""),"IOT",_xlfn.XLOOKUP($K768&amp;"",IOT!$B$3:$B$1012&amp;"",IOT!$E$3:$E$1012,""),"Server",_xlfn.XLOOKUP($K768&amp;"",SERVER!$B$3:$B$1009&amp;"",SERVER!$E$3:$E$1009,""),""))))</f>
        <v/>
      </c>
      <c r="Q768" s="1" t="str" cm="1">
        <f t="array" ref="Q768">IF(OR($K768="",$I768="",$J768=""),"",_xlfn.LET(_xlpm.srcCat,_xlfn.SWITCH($I768,"Computer",_xlfn.XLOOKUP($K768&amp;"",COMPUTER!$B$3:$B$1009&amp;"",COMPUTER!$H$3:$H$1009,""),"Display",_xlfn.XLOOKUP($K768&amp;"",DISPLAY!$B$3:$B$1000&amp;"",DISPLAY!$H$3:$H$1000,""),"Network Device",_xlfn.XLOOKUP($K768&amp;"",'NETWORK-DEVICES'!$B$3:$B$987&amp;"",'NETWORK-DEVICES'!$H$3:$H$987,""),"Peripheral",_xlfn.XLOOKUP($K768&amp;"",PERIPHERAL!$B$3:$B$954&amp;"",PERIPHERAL!$H$3:$H$954,""),"Utilities",_xlfn.XLOOKUP($K768&amp;"",UTILITIES!$B$3:$B$953&amp;"",UTILITIES!$G$3:$G$953,""),"IOT",_xlfn.XLOOKUP($K768&amp;"",IOT!$B$3:$B$1012&amp;"",IOT!$H$3:$H$1012,""),"Server",_xlfn.XLOOKUP($K768&amp;"",SERVER!$B$3:$B$1009&amp;"",SERVER!$H$3:$H$1009,""),""),IF(TRIM(_xlpm.srcCat)&lt;&gt;TRIM($J768),"",_xlfn.SWITCH($I768,"Computer",_xlfn.XLOOKUP($K768&amp;"",COMPUTER!$B$3:$B$1009&amp;"",COMPUTER!$AM$3:$AM$1009,""),"Display",_xlfn.XLOOKUP($K768&amp;"",DISPLAY!$B$3:$B$1000&amp;"",DISPLAY!$V$3:$V$1000,""),"Network Device",_xlfn.XLOOKUP($K768&amp;"",'NETWORK-DEVICES'!$B$3:$B$987&amp;"",'NETWORK-DEVICES'!$AF$3:$AF$987,""),"Peripheral",_xlfn.XLOOKUP($K768&amp;"",PERIPHERAL!$B$3:$B$954&amp;"",PERIPHERAL!$Y$3:$Y$954,""),"Utilities",_xlfn.XLOOKUP($K768&amp;"",UTILITIES!$B$3:$B$953&amp;"",UTILITIES!$O$3:$O$953,""),"IOT",_xlfn.XLOOKUP($K768&amp;"",IOT!$B$3:$B$1012&amp;"",IOT!$AB$3:$AB$1012,""),"Server",_xlfn.XLOOKUP($K768&amp;"",SERVER!$B$3:$B$1009&amp;"",SERVER!$AB$3:$AB$1009,""),""))))</f>
        <v/>
      </c>
      <c r="R768" s="43" t="str">
        <f>IF(tbl_handover[[#This Row],[Asset Code]]="","",COUNTIF(tbl_handover[Asset Code],tbl_handover[[#This Row],[Asset Code]]))</f>
        <v/>
      </c>
    </row>
    <row r="769" spans="1:18" x14ac:dyDescent="0.25">
      <c r="A769" s="43" t="str">
        <f>IF(B769&lt;&gt;"",SUBTOTAL(3,$B$1:B768),"")</f>
        <v/>
      </c>
      <c r="C769" s="74"/>
      <c r="D769" s="74"/>
      <c r="G769" s="1"/>
      <c r="K769" s="42"/>
      <c r="L769" t="str" cm="1">
        <f t="array" ref="L769">IF($K769="","",_xlfn.SWITCH($I769,"Computer",_xlfn.XLOOKUP($K769&amp;"",COMPUTER!$B$3:$B$1009&amp;"",COMPUTER!$I$3:$I$1009,""),"Display",_xlfn.XLOOKUP($K769&amp;"",DISPLAY!$B$3:$B$1000&amp;"",DISPLAY!$J$3:$J$1000,""),"Network Device",_xlfn.XLOOKUP($K769&amp;"",'NETWORK-DEVICES'!$B$3:$B$987&amp;"",'NETWORK-DEVICES'!$I$3:$I$987,""),"Peripheral",_xlfn.XLOOKUP($K769&amp;"",PERIPHERAL!$B$3:$B$954&amp;"",PERIPHERAL!$I$3:$I$954,""),"Utilities",_xlfn.XLOOKUP($K769&amp;"",UTILITIES!$B$3:$B$953&amp;"",UTILITIES!$H$3:$H$953,""),"IOT",_xlfn.XLOOKUP($K769&amp;"",IOT!$B$3:$B$1012&amp;"",IOT!$I$3:$I$1012,""),"SERVER",_xlfn.XLOOKUP($K769&amp;"",SERVER!$B$3:$B$1009&amp;"",SERVER!$I$3:$I$1009,""),""))</f>
        <v/>
      </c>
      <c r="M769" t="str" cm="1">
        <f t="array" ref="M769">IF($K769="","",_xlfn.SWITCH($I769,"Computer",_xlfn.XLOOKUP($K769&amp;"",COMPUTER!$B$3:$B$1009&amp;"",COMPUTER!$J$3:$J$1009,""),"Display",_xlfn.XLOOKUP($K769&amp;"",DISPLAY!$B$3:$B$1000&amp;"",DISPLAY!$K$3:$K$1000,""),"Network Device",_xlfn.XLOOKUP($K769&amp;"",'NETWORK-DEVICES'!$B$3:$B$987&amp;"",'NETWORK-DEVICES'!$I$3:$I$987,""),"Peripheral",_xlfn.XLOOKUP($K769&amp;"",PERIPHERAL!$B$3:$B$954&amp;"",PERIPHERAL!$J$3:$J$954,""),"Utilities",_xlfn.XLOOKUP($K769&amp;"",UTILITIES!$B$3:$B$953&amp;"",UTILITIES!$I$3:$I$953,""),"IOT",_xlfn.XLOOKUP($K769&amp;"",IOT!$B$3:$B$1012&amp;"",IOT!$J$3:$J$1012,""),"Server",_xlfn.XLOOKUP($K769&amp;"",SERVER!$B$3:$B$1009&amp;"",SERVER!$J$3:$J$1009,""),""))</f>
        <v/>
      </c>
      <c r="N769" s="1" t="str" cm="1">
        <f t="array" ref="N769">IF(OR($K769="",$I769="",$J769=""),"",_xlfn.LET(_xlpm.srcCat,_xlfn.SWITCH($I769,"Computer",_xlfn.XLOOKUP($K769&amp;"",COMPUTER!$B$3:$B$1009&amp;"",COMPUTER!$H$3:$H$1009,""),"Display",_xlfn.XLOOKUP($K769&amp;"",DISPLAY!$B$3:$B$1000&amp;"",DISPLAY!$H$3:$H$1000,""),"Network Device",_xlfn.XLOOKUP($K769&amp;"",'NETWORK-DEVICES'!$B$3:$B$987&amp;"",'NETWORK-DEVICES'!$H$3:$H$987,""),"Peripheral",_xlfn.XLOOKUP($K769&amp;"",PERIPHERAL!$B$3:$B$954&amp;"",PERIPHERAL!$H$3:$H$954,""),"Utilities",_xlfn.XLOOKUP($K769&amp;"",UTILITIES!$B$3:$B$953&amp;"",UTILITIES!$G$3:$G$953,""),"IOT",_xlfn.XLOOKUP($K769&amp;"",IOT!$B$3:$B$1012&amp;"",IOT!$H$3:$H$1012,""),"Server",_xlfn.XLOOKUP($K769&amp;"",SERVER!$B$3:$B$1009&amp;"",SERVER!$H$3:$H$1009,""),""),IF(TRIM(_xlpm.srcCat)&lt;&gt;TRIM($J769),"",_xlfn.SWITCH($I769,"Computer",_xlfn.XLOOKUP($K769&amp;"",COMPUTER!$B$3:$B$1009&amp;"",COMPUTER!$K$3:$K$1009,""),"Display",_xlfn.XLOOKUP($K769&amp;"",DISPLAY!$B$3:$B$1000&amp;"",DISPLAY!$L$3:$L$1000,""),"Network Device",_xlfn.XLOOKUP($K769&amp;"",'NETWORK-DEVICES'!$B$3:$B$987&amp;"",'NETWORK-DEVICES'!$K$3:$K$987,""),"Peripheral",_xlfn.XLOOKUP($K769&amp;"",PERIPHERAL!$B$3:$B$954&amp;"",PERIPHERAL!$K$3:$K$954,""),"Utilities",_xlfn.XLOOKUP($K769&amp;"",UTILITIES!$B$3:$B$953&amp;"",UTILITIES!$J$3:$J$953,""),"IOT",_xlfn.XLOOKUP($K769&amp;"",IOT!$B$3:$B$1012&amp;"",IOT!$K$4:$K$1012,""),"Server",_xlfn.XLOOKUP($K769&amp;"",SERVER!$B$3:$B$1009&amp;"",SERVER!$K$3:$K$1009,""),""))))</f>
        <v/>
      </c>
      <c r="O769" s="1" t="str" cm="1">
        <f t="array" ref="O769">IF(OR($K769="",$I769="",$J769=""),"",_xlfn.LET(_xlpm.srcCat,_xlfn.SWITCH($I769,"Computer",_xlfn.XLOOKUP($K769&amp;"",COMPUTER!$B$3:$B$1009&amp;"",COMPUTER!$H$3:$H$1009,""),"Display",_xlfn.XLOOKUP($K769&amp;"",DISPLAY!$B$3:$B$1000&amp;"",DISPLAY!$H$3:$H$1000,""),"Network Device",_xlfn.XLOOKUP($K769&amp;"",'NETWORK-DEVICES'!$B$3:$B$987&amp;"",'NETWORK-DEVICES'!$H$3:$H$987,""),"Peripheral",_xlfn.XLOOKUP($K769&amp;"",PERIPHERAL!$B$3:$B$954&amp;"",PERIPHERAL!$H$3:$H$954,""),"Utilities",_xlfn.XLOOKUP($K769&amp;"",UTILITIES!$B$3:$B$953&amp;"",UTILITIES!$G$3:$G$953,""),"IOT",_xlfn.XLOOKUP($K769&amp;"",IOT!$B$3:$B$1012&amp;"",IOT!$H$3:$H$1012,""),"Server",_xlfn.XLOOKUP($K769&amp;"",SERVER!$B$3:$B$1009&amp;"",SERVER!$H$3:$H$1009,""),""),IF(TRIM(_xlpm.srcCat)&lt;&gt;TRIM($J769),"",_xlfn.SWITCH($I769,"Computer",_xlfn.XLOOKUP($K769&amp;"",COMPUTER!$B$3:$B$1009&amp;"",COMPUTER!$E$3:$E$1009,""),"Display",_xlfn.XLOOKUP($K769&amp;"",DISPLAY!$B$3:$B$1000&amp;"",DISPLAY!$E$3:$E$1000,""),"Network Device",_xlfn.XLOOKUP($K769&amp;"",'NETWORK-DEVICES'!$B$3:$B$987&amp;"",'NETWORK-DEVICES'!$E$3:$E$987,""),"Peripheral",_xlfn.XLOOKUP($K769&amp;"",PERIPHERAL!$B$3:$B$954&amp;"",PERIPHERAL!$E$3:$E$954,""),"Utilities",_xlfn.XLOOKUP($K769&amp;"",UTILITIES!$B$3:$B$953&amp;"",UTILITIES!$E$3:$E$953,""),"IOT",_xlfn.XLOOKUP($K769&amp;"",IOT!$B$3:$B$1012&amp;"",IOT!$E$3:$E$1012,""),"Server",_xlfn.XLOOKUP($K769&amp;"",SERVER!$B$3:$B$1009&amp;"",SERVER!$E$3:$E$1009,""),""))))</f>
        <v/>
      </c>
      <c r="Q769" s="1" t="str" cm="1">
        <f t="array" ref="Q769">IF(OR($K769="",$I769="",$J769=""),"",_xlfn.LET(_xlpm.srcCat,_xlfn.SWITCH($I769,"Computer",_xlfn.XLOOKUP($K769&amp;"",COMPUTER!$B$3:$B$1009&amp;"",COMPUTER!$H$3:$H$1009,""),"Display",_xlfn.XLOOKUP($K769&amp;"",DISPLAY!$B$3:$B$1000&amp;"",DISPLAY!$H$3:$H$1000,""),"Network Device",_xlfn.XLOOKUP($K769&amp;"",'NETWORK-DEVICES'!$B$3:$B$987&amp;"",'NETWORK-DEVICES'!$H$3:$H$987,""),"Peripheral",_xlfn.XLOOKUP($K769&amp;"",PERIPHERAL!$B$3:$B$954&amp;"",PERIPHERAL!$H$3:$H$954,""),"Utilities",_xlfn.XLOOKUP($K769&amp;"",UTILITIES!$B$3:$B$953&amp;"",UTILITIES!$G$3:$G$953,""),"IOT",_xlfn.XLOOKUP($K769&amp;"",IOT!$B$3:$B$1012&amp;"",IOT!$H$3:$H$1012,""),"Server",_xlfn.XLOOKUP($K769&amp;"",SERVER!$B$3:$B$1009&amp;"",SERVER!$H$3:$H$1009,""),""),IF(TRIM(_xlpm.srcCat)&lt;&gt;TRIM($J769),"",_xlfn.SWITCH($I769,"Computer",_xlfn.XLOOKUP($K769&amp;"",COMPUTER!$B$3:$B$1009&amp;"",COMPUTER!$AM$3:$AM$1009,""),"Display",_xlfn.XLOOKUP($K769&amp;"",DISPLAY!$B$3:$B$1000&amp;"",DISPLAY!$V$3:$V$1000,""),"Network Device",_xlfn.XLOOKUP($K769&amp;"",'NETWORK-DEVICES'!$B$3:$B$987&amp;"",'NETWORK-DEVICES'!$AF$3:$AF$987,""),"Peripheral",_xlfn.XLOOKUP($K769&amp;"",PERIPHERAL!$B$3:$B$954&amp;"",PERIPHERAL!$Y$3:$Y$954,""),"Utilities",_xlfn.XLOOKUP($K769&amp;"",UTILITIES!$B$3:$B$953&amp;"",UTILITIES!$O$3:$O$953,""),"IOT",_xlfn.XLOOKUP($K769&amp;"",IOT!$B$3:$B$1012&amp;"",IOT!$AB$3:$AB$1012,""),"Server",_xlfn.XLOOKUP($K769&amp;"",SERVER!$B$3:$B$1009&amp;"",SERVER!$AB$3:$AB$1009,""),""))))</f>
        <v/>
      </c>
      <c r="R769" s="43" t="str">
        <f>IF(tbl_handover[[#This Row],[Asset Code]]="","",COUNTIF(tbl_handover[Asset Code],tbl_handover[[#This Row],[Asset Code]]))</f>
        <v/>
      </c>
    </row>
    <row r="770" spans="1:18" x14ac:dyDescent="0.25">
      <c r="A770" s="43" t="str">
        <f>IF(B770&lt;&gt;"",SUBTOTAL(3,$B$1:B769),"")</f>
        <v/>
      </c>
      <c r="C770" s="74"/>
      <c r="D770" s="74"/>
      <c r="G770" s="1"/>
      <c r="K770" s="42"/>
      <c r="L770" t="str" cm="1">
        <f t="array" ref="L770">IF($K770="","",_xlfn.SWITCH($I770,"Computer",_xlfn.XLOOKUP($K770&amp;"",COMPUTER!$B$3:$B$1009&amp;"",COMPUTER!$I$3:$I$1009,""),"Display",_xlfn.XLOOKUP($K770&amp;"",DISPLAY!$B$3:$B$1000&amp;"",DISPLAY!$J$3:$J$1000,""),"Network Device",_xlfn.XLOOKUP($K770&amp;"",'NETWORK-DEVICES'!$B$3:$B$987&amp;"",'NETWORK-DEVICES'!$I$3:$I$987,""),"Peripheral",_xlfn.XLOOKUP($K770&amp;"",PERIPHERAL!$B$3:$B$954&amp;"",PERIPHERAL!$I$3:$I$954,""),"Utilities",_xlfn.XLOOKUP($K770&amp;"",UTILITIES!$B$3:$B$953&amp;"",UTILITIES!$H$3:$H$953,""),"IOT",_xlfn.XLOOKUP($K770&amp;"",IOT!$B$3:$B$1012&amp;"",IOT!$I$3:$I$1012,""),"SERVER",_xlfn.XLOOKUP($K770&amp;"",SERVER!$B$3:$B$1009&amp;"",SERVER!$I$3:$I$1009,""),""))</f>
        <v/>
      </c>
      <c r="M770" t="str" cm="1">
        <f t="array" ref="M770">IF($K770="","",_xlfn.SWITCH($I770,"Computer",_xlfn.XLOOKUP($K770&amp;"",COMPUTER!$B$3:$B$1009&amp;"",COMPUTER!$J$3:$J$1009,""),"Display",_xlfn.XLOOKUP($K770&amp;"",DISPLAY!$B$3:$B$1000&amp;"",DISPLAY!$K$3:$K$1000,""),"Network Device",_xlfn.XLOOKUP($K770&amp;"",'NETWORK-DEVICES'!$B$3:$B$987&amp;"",'NETWORK-DEVICES'!$I$3:$I$987,""),"Peripheral",_xlfn.XLOOKUP($K770&amp;"",PERIPHERAL!$B$3:$B$954&amp;"",PERIPHERAL!$J$3:$J$954,""),"Utilities",_xlfn.XLOOKUP($K770&amp;"",UTILITIES!$B$3:$B$953&amp;"",UTILITIES!$I$3:$I$953,""),"IOT",_xlfn.XLOOKUP($K770&amp;"",IOT!$B$3:$B$1012&amp;"",IOT!$J$3:$J$1012,""),"Server",_xlfn.XLOOKUP($K770&amp;"",SERVER!$B$3:$B$1009&amp;"",SERVER!$J$3:$J$1009,""),""))</f>
        <v/>
      </c>
      <c r="N770" s="1" t="str" cm="1">
        <f t="array" ref="N770">IF(OR($K770="",$I770="",$J770=""),"",_xlfn.LET(_xlpm.srcCat,_xlfn.SWITCH($I770,"Computer",_xlfn.XLOOKUP($K770&amp;"",COMPUTER!$B$3:$B$1009&amp;"",COMPUTER!$H$3:$H$1009,""),"Display",_xlfn.XLOOKUP($K770&amp;"",DISPLAY!$B$3:$B$1000&amp;"",DISPLAY!$H$3:$H$1000,""),"Network Device",_xlfn.XLOOKUP($K770&amp;"",'NETWORK-DEVICES'!$B$3:$B$987&amp;"",'NETWORK-DEVICES'!$H$3:$H$987,""),"Peripheral",_xlfn.XLOOKUP($K770&amp;"",PERIPHERAL!$B$3:$B$954&amp;"",PERIPHERAL!$H$3:$H$954,""),"Utilities",_xlfn.XLOOKUP($K770&amp;"",UTILITIES!$B$3:$B$953&amp;"",UTILITIES!$G$3:$G$953,""),"IOT",_xlfn.XLOOKUP($K770&amp;"",IOT!$B$3:$B$1012&amp;"",IOT!$H$3:$H$1012,""),"Server",_xlfn.XLOOKUP($K770&amp;"",SERVER!$B$3:$B$1009&amp;"",SERVER!$H$3:$H$1009,""),""),IF(TRIM(_xlpm.srcCat)&lt;&gt;TRIM($J770),"",_xlfn.SWITCH($I770,"Computer",_xlfn.XLOOKUP($K770&amp;"",COMPUTER!$B$3:$B$1009&amp;"",COMPUTER!$K$3:$K$1009,""),"Display",_xlfn.XLOOKUP($K770&amp;"",DISPLAY!$B$3:$B$1000&amp;"",DISPLAY!$L$3:$L$1000,""),"Network Device",_xlfn.XLOOKUP($K770&amp;"",'NETWORK-DEVICES'!$B$3:$B$987&amp;"",'NETWORK-DEVICES'!$K$3:$K$987,""),"Peripheral",_xlfn.XLOOKUP($K770&amp;"",PERIPHERAL!$B$3:$B$954&amp;"",PERIPHERAL!$K$3:$K$954,""),"Utilities",_xlfn.XLOOKUP($K770&amp;"",UTILITIES!$B$3:$B$953&amp;"",UTILITIES!$J$3:$J$953,""),"IOT",_xlfn.XLOOKUP($K770&amp;"",IOT!$B$3:$B$1012&amp;"",IOT!$K$4:$K$1012,""),"Server",_xlfn.XLOOKUP($K770&amp;"",SERVER!$B$3:$B$1009&amp;"",SERVER!$K$3:$K$1009,""),""))))</f>
        <v/>
      </c>
      <c r="O770" s="1" t="str" cm="1">
        <f t="array" ref="O770">IF(OR($K770="",$I770="",$J770=""),"",_xlfn.LET(_xlpm.srcCat,_xlfn.SWITCH($I770,"Computer",_xlfn.XLOOKUP($K770&amp;"",COMPUTER!$B$3:$B$1009&amp;"",COMPUTER!$H$3:$H$1009,""),"Display",_xlfn.XLOOKUP($K770&amp;"",DISPLAY!$B$3:$B$1000&amp;"",DISPLAY!$H$3:$H$1000,""),"Network Device",_xlfn.XLOOKUP($K770&amp;"",'NETWORK-DEVICES'!$B$3:$B$987&amp;"",'NETWORK-DEVICES'!$H$3:$H$987,""),"Peripheral",_xlfn.XLOOKUP($K770&amp;"",PERIPHERAL!$B$3:$B$954&amp;"",PERIPHERAL!$H$3:$H$954,""),"Utilities",_xlfn.XLOOKUP($K770&amp;"",UTILITIES!$B$3:$B$953&amp;"",UTILITIES!$G$3:$G$953,""),"IOT",_xlfn.XLOOKUP($K770&amp;"",IOT!$B$3:$B$1012&amp;"",IOT!$H$3:$H$1012,""),"Server",_xlfn.XLOOKUP($K770&amp;"",SERVER!$B$3:$B$1009&amp;"",SERVER!$H$3:$H$1009,""),""),IF(TRIM(_xlpm.srcCat)&lt;&gt;TRIM($J770),"",_xlfn.SWITCH($I770,"Computer",_xlfn.XLOOKUP($K770&amp;"",COMPUTER!$B$3:$B$1009&amp;"",COMPUTER!$E$3:$E$1009,""),"Display",_xlfn.XLOOKUP($K770&amp;"",DISPLAY!$B$3:$B$1000&amp;"",DISPLAY!$E$3:$E$1000,""),"Network Device",_xlfn.XLOOKUP($K770&amp;"",'NETWORK-DEVICES'!$B$3:$B$987&amp;"",'NETWORK-DEVICES'!$E$3:$E$987,""),"Peripheral",_xlfn.XLOOKUP($K770&amp;"",PERIPHERAL!$B$3:$B$954&amp;"",PERIPHERAL!$E$3:$E$954,""),"Utilities",_xlfn.XLOOKUP($K770&amp;"",UTILITIES!$B$3:$B$953&amp;"",UTILITIES!$E$3:$E$953,""),"IOT",_xlfn.XLOOKUP($K770&amp;"",IOT!$B$3:$B$1012&amp;"",IOT!$E$3:$E$1012,""),"Server",_xlfn.XLOOKUP($K770&amp;"",SERVER!$B$3:$B$1009&amp;"",SERVER!$E$3:$E$1009,""),""))))</f>
        <v/>
      </c>
      <c r="Q770" s="1" t="str" cm="1">
        <f t="array" ref="Q770">IF(OR($K770="",$I770="",$J770=""),"",_xlfn.LET(_xlpm.srcCat,_xlfn.SWITCH($I770,"Computer",_xlfn.XLOOKUP($K770&amp;"",COMPUTER!$B$3:$B$1009&amp;"",COMPUTER!$H$3:$H$1009,""),"Display",_xlfn.XLOOKUP($K770&amp;"",DISPLAY!$B$3:$B$1000&amp;"",DISPLAY!$H$3:$H$1000,""),"Network Device",_xlfn.XLOOKUP($K770&amp;"",'NETWORK-DEVICES'!$B$3:$B$987&amp;"",'NETWORK-DEVICES'!$H$3:$H$987,""),"Peripheral",_xlfn.XLOOKUP($K770&amp;"",PERIPHERAL!$B$3:$B$954&amp;"",PERIPHERAL!$H$3:$H$954,""),"Utilities",_xlfn.XLOOKUP($K770&amp;"",UTILITIES!$B$3:$B$953&amp;"",UTILITIES!$G$3:$G$953,""),"IOT",_xlfn.XLOOKUP($K770&amp;"",IOT!$B$3:$B$1012&amp;"",IOT!$H$3:$H$1012,""),"Server",_xlfn.XLOOKUP($K770&amp;"",SERVER!$B$3:$B$1009&amp;"",SERVER!$H$3:$H$1009,""),""),IF(TRIM(_xlpm.srcCat)&lt;&gt;TRIM($J770),"",_xlfn.SWITCH($I770,"Computer",_xlfn.XLOOKUP($K770&amp;"",COMPUTER!$B$3:$B$1009&amp;"",COMPUTER!$AM$3:$AM$1009,""),"Display",_xlfn.XLOOKUP($K770&amp;"",DISPLAY!$B$3:$B$1000&amp;"",DISPLAY!$V$3:$V$1000,""),"Network Device",_xlfn.XLOOKUP($K770&amp;"",'NETWORK-DEVICES'!$B$3:$B$987&amp;"",'NETWORK-DEVICES'!$AF$3:$AF$987,""),"Peripheral",_xlfn.XLOOKUP($K770&amp;"",PERIPHERAL!$B$3:$B$954&amp;"",PERIPHERAL!$Y$3:$Y$954,""),"Utilities",_xlfn.XLOOKUP($K770&amp;"",UTILITIES!$B$3:$B$953&amp;"",UTILITIES!$O$3:$O$953,""),"IOT",_xlfn.XLOOKUP($K770&amp;"",IOT!$B$3:$B$1012&amp;"",IOT!$AB$3:$AB$1012,""),"Server",_xlfn.XLOOKUP($K770&amp;"",SERVER!$B$3:$B$1009&amp;"",SERVER!$AB$3:$AB$1009,""),""))))</f>
        <v/>
      </c>
      <c r="R770" s="43" t="str">
        <f>IF(tbl_handover[[#This Row],[Asset Code]]="","",COUNTIF(tbl_handover[Asset Code],tbl_handover[[#This Row],[Asset Code]]))</f>
        <v/>
      </c>
    </row>
    <row r="771" spans="1:18" x14ac:dyDescent="0.25">
      <c r="A771" s="43" t="str">
        <f>IF(B771&lt;&gt;"",SUBTOTAL(3,$B$1:B770),"")</f>
        <v/>
      </c>
      <c r="C771" s="74"/>
      <c r="D771" s="74"/>
      <c r="G771" s="1"/>
      <c r="K771" s="42"/>
      <c r="L771" t="str" cm="1">
        <f t="array" ref="L771">IF($K771="","",_xlfn.SWITCH($I771,"Computer",_xlfn.XLOOKUP($K771&amp;"",COMPUTER!$B$3:$B$1009&amp;"",COMPUTER!$I$3:$I$1009,""),"Display",_xlfn.XLOOKUP($K771&amp;"",DISPLAY!$B$3:$B$1000&amp;"",DISPLAY!$J$3:$J$1000,""),"Network Device",_xlfn.XLOOKUP($K771&amp;"",'NETWORK-DEVICES'!$B$3:$B$987&amp;"",'NETWORK-DEVICES'!$I$3:$I$987,""),"Peripheral",_xlfn.XLOOKUP($K771&amp;"",PERIPHERAL!$B$3:$B$954&amp;"",PERIPHERAL!$I$3:$I$954,""),"Utilities",_xlfn.XLOOKUP($K771&amp;"",UTILITIES!$B$3:$B$953&amp;"",UTILITIES!$H$3:$H$953,""),"IOT",_xlfn.XLOOKUP($K771&amp;"",IOT!$B$3:$B$1012&amp;"",IOT!$I$3:$I$1012,""),"SERVER",_xlfn.XLOOKUP($K771&amp;"",SERVER!$B$3:$B$1009&amp;"",SERVER!$I$3:$I$1009,""),""))</f>
        <v/>
      </c>
      <c r="M771" t="str" cm="1">
        <f t="array" ref="M771">IF($K771="","",_xlfn.SWITCH($I771,"Computer",_xlfn.XLOOKUP($K771&amp;"",COMPUTER!$B$3:$B$1009&amp;"",COMPUTER!$J$3:$J$1009,""),"Display",_xlfn.XLOOKUP($K771&amp;"",DISPLAY!$B$3:$B$1000&amp;"",DISPLAY!$K$3:$K$1000,""),"Network Device",_xlfn.XLOOKUP($K771&amp;"",'NETWORK-DEVICES'!$B$3:$B$987&amp;"",'NETWORK-DEVICES'!$I$3:$I$987,""),"Peripheral",_xlfn.XLOOKUP($K771&amp;"",PERIPHERAL!$B$3:$B$954&amp;"",PERIPHERAL!$J$3:$J$954,""),"Utilities",_xlfn.XLOOKUP($K771&amp;"",UTILITIES!$B$3:$B$953&amp;"",UTILITIES!$I$3:$I$953,""),"IOT",_xlfn.XLOOKUP($K771&amp;"",IOT!$B$3:$B$1012&amp;"",IOT!$J$3:$J$1012,""),"Server",_xlfn.XLOOKUP($K771&amp;"",SERVER!$B$3:$B$1009&amp;"",SERVER!$J$3:$J$1009,""),""))</f>
        <v/>
      </c>
      <c r="N771" s="1" t="str" cm="1">
        <f t="array" ref="N771">IF(OR($K771="",$I771="",$J771=""),"",_xlfn.LET(_xlpm.srcCat,_xlfn.SWITCH($I771,"Computer",_xlfn.XLOOKUP($K771&amp;"",COMPUTER!$B$3:$B$1009&amp;"",COMPUTER!$H$3:$H$1009,""),"Display",_xlfn.XLOOKUP($K771&amp;"",DISPLAY!$B$3:$B$1000&amp;"",DISPLAY!$H$3:$H$1000,""),"Network Device",_xlfn.XLOOKUP($K771&amp;"",'NETWORK-DEVICES'!$B$3:$B$987&amp;"",'NETWORK-DEVICES'!$H$3:$H$987,""),"Peripheral",_xlfn.XLOOKUP($K771&amp;"",PERIPHERAL!$B$3:$B$954&amp;"",PERIPHERAL!$H$3:$H$954,""),"Utilities",_xlfn.XLOOKUP($K771&amp;"",UTILITIES!$B$3:$B$953&amp;"",UTILITIES!$G$3:$G$953,""),"IOT",_xlfn.XLOOKUP($K771&amp;"",IOT!$B$3:$B$1012&amp;"",IOT!$H$3:$H$1012,""),"Server",_xlfn.XLOOKUP($K771&amp;"",SERVER!$B$3:$B$1009&amp;"",SERVER!$H$3:$H$1009,""),""),IF(TRIM(_xlpm.srcCat)&lt;&gt;TRIM($J771),"",_xlfn.SWITCH($I771,"Computer",_xlfn.XLOOKUP($K771&amp;"",COMPUTER!$B$3:$B$1009&amp;"",COMPUTER!$K$3:$K$1009,""),"Display",_xlfn.XLOOKUP($K771&amp;"",DISPLAY!$B$3:$B$1000&amp;"",DISPLAY!$L$3:$L$1000,""),"Network Device",_xlfn.XLOOKUP($K771&amp;"",'NETWORK-DEVICES'!$B$3:$B$987&amp;"",'NETWORK-DEVICES'!$K$3:$K$987,""),"Peripheral",_xlfn.XLOOKUP($K771&amp;"",PERIPHERAL!$B$3:$B$954&amp;"",PERIPHERAL!$K$3:$K$954,""),"Utilities",_xlfn.XLOOKUP($K771&amp;"",UTILITIES!$B$3:$B$953&amp;"",UTILITIES!$J$3:$J$953,""),"IOT",_xlfn.XLOOKUP($K771&amp;"",IOT!$B$3:$B$1012&amp;"",IOT!$K$4:$K$1012,""),"Server",_xlfn.XLOOKUP($K771&amp;"",SERVER!$B$3:$B$1009&amp;"",SERVER!$K$3:$K$1009,""),""))))</f>
        <v/>
      </c>
      <c r="O771" s="1" t="str" cm="1">
        <f t="array" ref="O771">IF(OR($K771="",$I771="",$J771=""),"",_xlfn.LET(_xlpm.srcCat,_xlfn.SWITCH($I771,"Computer",_xlfn.XLOOKUP($K771&amp;"",COMPUTER!$B$3:$B$1009&amp;"",COMPUTER!$H$3:$H$1009,""),"Display",_xlfn.XLOOKUP($K771&amp;"",DISPLAY!$B$3:$B$1000&amp;"",DISPLAY!$H$3:$H$1000,""),"Network Device",_xlfn.XLOOKUP($K771&amp;"",'NETWORK-DEVICES'!$B$3:$B$987&amp;"",'NETWORK-DEVICES'!$H$3:$H$987,""),"Peripheral",_xlfn.XLOOKUP($K771&amp;"",PERIPHERAL!$B$3:$B$954&amp;"",PERIPHERAL!$H$3:$H$954,""),"Utilities",_xlfn.XLOOKUP($K771&amp;"",UTILITIES!$B$3:$B$953&amp;"",UTILITIES!$G$3:$G$953,""),"IOT",_xlfn.XLOOKUP($K771&amp;"",IOT!$B$3:$B$1012&amp;"",IOT!$H$3:$H$1012,""),"Server",_xlfn.XLOOKUP($K771&amp;"",SERVER!$B$3:$B$1009&amp;"",SERVER!$H$3:$H$1009,""),""),IF(TRIM(_xlpm.srcCat)&lt;&gt;TRIM($J771),"",_xlfn.SWITCH($I771,"Computer",_xlfn.XLOOKUP($K771&amp;"",COMPUTER!$B$3:$B$1009&amp;"",COMPUTER!$E$3:$E$1009,""),"Display",_xlfn.XLOOKUP($K771&amp;"",DISPLAY!$B$3:$B$1000&amp;"",DISPLAY!$E$3:$E$1000,""),"Network Device",_xlfn.XLOOKUP($K771&amp;"",'NETWORK-DEVICES'!$B$3:$B$987&amp;"",'NETWORK-DEVICES'!$E$3:$E$987,""),"Peripheral",_xlfn.XLOOKUP($K771&amp;"",PERIPHERAL!$B$3:$B$954&amp;"",PERIPHERAL!$E$3:$E$954,""),"Utilities",_xlfn.XLOOKUP($K771&amp;"",UTILITIES!$B$3:$B$953&amp;"",UTILITIES!$E$3:$E$953,""),"IOT",_xlfn.XLOOKUP($K771&amp;"",IOT!$B$3:$B$1012&amp;"",IOT!$E$3:$E$1012,""),"Server",_xlfn.XLOOKUP($K771&amp;"",SERVER!$B$3:$B$1009&amp;"",SERVER!$E$3:$E$1009,""),""))))</f>
        <v/>
      </c>
      <c r="Q771" s="1" t="str" cm="1">
        <f t="array" ref="Q771">IF(OR($K771="",$I771="",$J771=""),"",_xlfn.LET(_xlpm.srcCat,_xlfn.SWITCH($I771,"Computer",_xlfn.XLOOKUP($K771&amp;"",COMPUTER!$B$3:$B$1009&amp;"",COMPUTER!$H$3:$H$1009,""),"Display",_xlfn.XLOOKUP($K771&amp;"",DISPLAY!$B$3:$B$1000&amp;"",DISPLAY!$H$3:$H$1000,""),"Network Device",_xlfn.XLOOKUP($K771&amp;"",'NETWORK-DEVICES'!$B$3:$B$987&amp;"",'NETWORK-DEVICES'!$H$3:$H$987,""),"Peripheral",_xlfn.XLOOKUP($K771&amp;"",PERIPHERAL!$B$3:$B$954&amp;"",PERIPHERAL!$H$3:$H$954,""),"Utilities",_xlfn.XLOOKUP($K771&amp;"",UTILITIES!$B$3:$B$953&amp;"",UTILITIES!$G$3:$G$953,""),"IOT",_xlfn.XLOOKUP($K771&amp;"",IOT!$B$3:$B$1012&amp;"",IOT!$H$3:$H$1012,""),"Server",_xlfn.XLOOKUP($K771&amp;"",SERVER!$B$3:$B$1009&amp;"",SERVER!$H$3:$H$1009,""),""),IF(TRIM(_xlpm.srcCat)&lt;&gt;TRIM($J771),"",_xlfn.SWITCH($I771,"Computer",_xlfn.XLOOKUP($K771&amp;"",COMPUTER!$B$3:$B$1009&amp;"",COMPUTER!$AM$3:$AM$1009,""),"Display",_xlfn.XLOOKUP($K771&amp;"",DISPLAY!$B$3:$B$1000&amp;"",DISPLAY!$V$3:$V$1000,""),"Network Device",_xlfn.XLOOKUP($K771&amp;"",'NETWORK-DEVICES'!$B$3:$B$987&amp;"",'NETWORK-DEVICES'!$AF$3:$AF$987,""),"Peripheral",_xlfn.XLOOKUP($K771&amp;"",PERIPHERAL!$B$3:$B$954&amp;"",PERIPHERAL!$Y$3:$Y$954,""),"Utilities",_xlfn.XLOOKUP($K771&amp;"",UTILITIES!$B$3:$B$953&amp;"",UTILITIES!$O$3:$O$953,""),"IOT",_xlfn.XLOOKUP($K771&amp;"",IOT!$B$3:$B$1012&amp;"",IOT!$AB$3:$AB$1012,""),"Server",_xlfn.XLOOKUP($K771&amp;"",SERVER!$B$3:$B$1009&amp;"",SERVER!$AB$3:$AB$1009,""),""))))</f>
        <v/>
      </c>
      <c r="R771" s="43" t="str">
        <f>IF(tbl_handover[[#This Row],[Asset Code]]="","",COUNTIF(tbl_handover[Asset Code],tbl_handover[[#This Row],[Asset Code]]))</f>
        <v/>
      </c>
    </row>
    <row r="772" spans="1:18" x14ac:dyDescent="0.25">
      <c r="A772" s="43" t="str">
        <f>IF(B772&lt;&gt;"",SUBTOTAL(3,$B$1:B771),"")</f>
        <v/>
      </c>
      <c r="C772" s="74"/>
      <c r="D772" s="74"/>
      <c r="G772" s="1"/>
      <c r="K772" s="42"/>
      <c r="L772" t="str" cm="1">
        <f t="array" ref="L772">IF($K772="","",_xlfn.SWITCH($I772,"Computer",_xlfn.XLOOKUP($K772&amp;"",COMPUTER!$B$3:$B$1009&amp;"",COMPUTER!$I$3:$I$1009,""),"Display",_xlfn.XLOOKUP($K772&amp;"",DISPLAY!$B$3:$B$1000&amp;"",DISPLAY!$J$3:$J$1000,""),"Network Device",_xlfn.XLOOKUP($K772&amp;"",'NETWORK-DEVICES'!$B$3:$B$987&amp;"",'NETWORK-DEVICES'!$I$3:$I$987,""),"Peripheral",_xlfn.XLOOKUP($K772&amp;"",PERIPHERAL!$B$3:$B$954&amp;"",PERIPHERAL!$I$3:$I$954,""),"Utilities",_xlfn.XLOOKUP($K772&amp;"",UTILITIES!$B$3:$B$953&amp;"",UTILITIES!$H$3:$H$953,""),"IOT",_xlfn.XLOOKUP($K772&amp;"",IOT!$B$3:$B$1012&amp;"",IOT!$I$3:$I$1012,""),"SERVER",_xlfn.XLOOKUP($K772&amp;"",SERVER!$B$3:$B$1009&amp;"",SERVER!$I$3:$I$1009,""),""))</f>
        <v/>
      </c>
      <c r="M772" t="str" cm="1">
        <f t="array" ref="M772">IF($K772="","",_xlfn.SWITCH($I772,"Computer",_xlfn.XLOOKUP($K772&amp;"",COMPUTER!$B$3:$B$1009&amp;"",COMPUTER!$J$3:$J$1009,""),"Display",_xlfn.XLOOKUP($K772&amp;"",DISPLAY!$B$3:$B$1000&amp;"",DISPLAY!$K$3:$K$1000,""),"Network Device",_xlfn.XLOOKUP($K772&amp;"",'NETWORK-DEVICES'!$B$3:$B$987&amp;"",'NETWORK-DEVICES'!$I$3:$I$987,""),"Peripheral",_xlfn.XLOOKUP($K772&amp;"",PERIPHERAL!$B$3:$B$954&amp;"",PERIPHERAL!$J$3:$J$954,""),"Utilities",_xlfn.XLOOKUP($K772&amp;"",UTILITIES!$B$3:$B$953&amp;"",UTILITIES!$I$3:$I$953,""),"IOT",_xlfn.XLOOKUP($K772&amp;"",IOT!$B$3:$B$1012&amp;"",IOT!$J$3:$J$1012,""),"Server",_xlfn.XLOOKUP($K772&amp;"",SERVER!$B$3:$B$1009&amp;"",SERVER!$J$3:$J$1009,""),""))</f>
        <v/>
      </c>
      <c r="N772" s="1" t="str" cm="1">
        <f t="array" ref="N772">IF(OR($K772="",$I772="",$J772=""),"",_xlfn.LET(_xlpm.srcCat,_xlfn.SWITCH($I772,"Computer",_xlfn.XLOOKUP($K772&amp;"",COMPUTER!$B$3:$B$1009&amp;"",COMPUTER!$H$3:$H$1009,""),"Display",_xlfn.XLOOKUP($K772&amp;"",DISPLAY!$B$3:$B$1000&amp;"",DISPLAY!$H$3:$H$1000,""),"Network Device",_xlfn.XLOOKUP($K772&amp;"",'NETWORK-DEVICES'!$B$3:$B$987&amp;"",'NETWORK-DEVICES'!$H$3:$H$987,""),"Peripheral",_xlfn.XLOOKUP($K772&amp;"",PERIPHERAL!$B$3:$B$954&amp;"",PERIPHERAL!$H$3:$H$954,""),"Utilities",_xlfn.XLOOKUP($K772&amp;"",UTILITIES!$B$3:$B$953&amp;"",UTILITIES!$G$3:$G$953,""),"IOT",_xlfn.XLOOKUP($K772&amp;"",IOT!$B$3:$B$1012&amp;"",IOT!$H$3:$H$1012,""),"Server",_xlfn.XLOOKUP($K772&amp;"",SERVER!$B$3:$B$1009&amp;"",SERVER!$H$3:$H$1009,""),""),IF(TRIM(_xlpm.srcCat)&lt;&gt;TRIM($J772),"",_xlfn.SWITCH($I772,"Computer",_xlfn.XLOOKUP($K772&amp;"",COMPUTER!$B$3:$B$1009&amp;"",COMPUTER!$K$3:$K$1009,""),"Display",_xlfn.XLOOKUP($K772&amp;"",DISPLAY!$B$3:$B$1000&amp;"",DISPLAY!$L$3:$L$1000,""),"Network Device",_xlfn.XLOOKUP($K772&amp;"",'NETWORK-DEVICES'!$B$3:$B$987&amp;"",'NETWORK-DEVICES'!$K$3:$K$987,""),"Peripheral",_xlfn.XLOOKUP($K772&amp;"",PERIPHERAL!$B$3:$B$954&amp;"",PERIPHERAL!$K$3:$K$954,""),"Utilities",_xlfn.XLOOKUP($K772&amp;"",UTILITIES!$B$3:$B$953&amp;"",UTILITIES!$J$3:$J$953,""),"IOT",_xlfn.XLOOKUP($K772&amp;"",IOT!$B$3:$B$1012&amp;"",IOT!$K$4:$K$1012,""),"Server",_xlfn.XLOOKUP($K772&amp;"",SERVER!$B$3:$B$1009&amp;"",SERVER!$K$3:$K$1009,""),""))))</f>
        <v/>
      </c>
      <c r="O772" s="1" t="str" cm="1">
        <f t="array" ref="O772">IF(OR($K772="",$I772="",$J772=""),"",_xlfn.LET(_xlpm.srcCat,_xlfn.SWITCH($I772,"Computer",_xlfn.XLOOKUP($K772&amp;"",COMPUTER!$B$3:$B$1009&amp;"",COMPUTER!$H$3:$H$1009,""),"Display",_xlfn.XLOOKUP($K772&amp;"",DISPLAY!$B$3:$B$1000&amp;"",DISPLAY!$H$3:$H$1000,""),"Network Device",_xlfn.XLOOKUP($K772&amp;"",'NETWORK-DEVICES'!$B$3:$B$987&amp;"",'NETWORK-DEVICES'!$H$3:$H$987,""),"Peripheral",_xlfn.XLOOKUP($K772&amp;"",PERIPHERAL!$B$3:$B$954&amp;"",PERIPHERAL!$H$3:$H$954,""),"Utilities",_xlfn.XLOOKUP($K772&amp;"",UTILITIES!$B$3:$B$953&amp;"",UTILITIES!$G$3:$G$953,""),"IOT",_xlfn.XLOOKUP($K772&amp;"",IOT!$B$3:$B$1012&amp;"",IOT!$H$3:$H$1012,""),"Server",_xlfn.XLOOKUP($K772&amp;"",SERVER!$B$3:$B$1009&amp;"",SERVER!$H$3:$H$1009,""),""),IF(TRIM(_xlpm.srcCat)&lt;&gt;TRIM($J772),"",_xlfn.SWITCH($I772,"Computer",_xlfn.XLOOKUP($K772&amp;"",COMPUTER!$B$3:$B$1009&amp;"",COMPUTER!$E$3:$E$1009,""),"Display",_xlfn.XLOOKUP($K772&amp;"",DISPLAY!$B$3:$B$1000&amp;"",DISPLAY!$E$3:$E$1000,""),"Network Device",_xlfn.XLOOKUP($K772&amp;"",'NETWORK-DEVICES'!$B$3:$B$987&amp;"",'NETWORK-DEVICES'!$E$3:$E$987,""),"Peripheral",_xlfn.XLOOKUP($K772&amp;"",PERIPHERAL!$B$3:$B$954&amp;"",PERIPHERAL!$E$3:$E$954,""),"Utilities",_xlfn.XLOOKUP($K772&amp;"",UTILITIES!$B$3:$B$953&amp;"",UTILITIES!$E$3:$E$953,""),"IOT",_xlfn.XLOOKUP($K772&amp;"",IOT!$B$3:$B$1012&amp;"",IOT!$E$3:$E$1012,""),"Server",_xlfn.XLOOKUP($K772&amp;"",SERVER!$B$3:$B$1009&amp;"",SERVER!$E$3:$E$1009,""),""))))</f>
        <v/>
      </c>
      <c r="Q772" s="1" t="str" cm="1">
        <f t="array" ref="Q772">IF(OR($K772="",$I772="",$J772=""),"",_xlfn.LET(_xlpm.srcCat,_xlfn.SWITCH($I772,"Computer",_xlfn.XLOOKUP($K772&amp;"",COMPUTER!$B$3:$B$1009&amp;"",COMPUTER!$H$3:$H$1009,""),"Display",_xlfn.XLOOKUP($K772&amp;"",DISPLAY!$B$3:$B$1000&amp;"",DISPLAY!$H$3:$H$1000,""),"Network Device",_xlfn.XLOOKUP($K772&amp;"",'NETWORK-DEVICES'!$B$3:$B$987&amp;"",'NETWORK-DEVICES'!$H$3:$H$987,""),"Peripheral",_xlfn.XLOOKUP($K772&amp;"",PERIPHERAL!$B$3:$B$954&amp;"",PERIPHERAL!$H$3:$H$954,""),"Utilities",_xlfn.XLOOKUP($K772&amp;"",UTILITIES!$B$3:$B$953&amp;"",UTILITIES!$G$3:$G$953,""),"IOT",_xlfn.XLOOKUP($K772&amp;"",IOT!$B$3:$B$1012&amp;"",IOT!$H$3:$H$1012,""),"Server",_xlfn.XLOOKUP($K772&amp;"",SERVER!$B$3:$B$1009&amp;"",SERVER!$H$3:$H$1009,""),""),IF(TRIM(_xlpm.srcCat)&lt;&gt;TRIM($J772),"",_xlfn.SWITCH($I772,"Computer",_xlfn.XLOOKUP($K772&amp;"",COMPUTER!$B$3:$B$1009&amp;"",COMPUTER!$AM$3:$AM$1009,""),"Display",_xlfn.XLOOKUP($K772&amp;"",DISPLAY!$B$3:$B$1000&amp;"",DISPLAY!$V$3:$V$1000,""),"Network Device",_xlfn.XLOOKUP($K772&amp;"",'NETWORK-DEVICES'!$B$3:$B$987&amp;"",'NETWORK-DEVICES'!$AF$3:$AF$987,""),"Peripheral",_xlfn.XLOOKUP($K772&amp;"",PERIPHERAL!$B$3:$B$954&amp;"",PERIPHERAL!$Y$3:$Y$954,""),"Utilities",_xlfn.XLOOKUP($K772&amp;"",UTILITIES!$B$3:$B$953&amp;"",UTILITIES!$O$3:$O$953,""),"IOT",_xlfn.XLOOKUP($K772&amp;"",IOT!$B$3:$B$1012&amp;"",IOT!$AB$3:$AB$1012,""),"Server",_xlfn.XLOOKUP($K772&amp;"",SERVER!$B$3:$B$1009&amp;"",SERVER!$AB$3:$AB$1009,""),""))))</f>
        <v/>
      </c>
      <c r="R772" s="43" t="str">
        <f>IF(tbl_handover[[#This Row],[Asset Code]]="","",COUNTIF(tbl_handover[Asset Code],tbl_handover[[#This Row],[Asset Code]]))</f>
        <v/>
      </c>
    </row>
    <row r="773" spans="1:18" x14ac:dyDescent="0.25">
      <c r="A773" s="43" t="str">
        <f>IF(B773&lt;&gt;"",SUBTOTAL(3,$B$1:B772),"")</f>
        <v/>
      </c>
      <c r="C773" s="74"/>
      <c r="D773" s="74"/>
      <c r="G773" s="1"/>
      <c r="K773" s="42"/>
      <c r="L773" t="str" cm="1">
        <f t="array" ref="L773">IF($K773="","",_xlfn.SWITCH($I773,"Computer",_xlfn.XLOOKUP($K773&amp;"",COMPUTER!$B$3:$B$1009&amp;"",COMPUTER!$I$3:$I$1009,""),"Display",_xlfn.XLOOKUP($K773&amp;"",DISPLAY!$B$3:$B$1000&amp;"",DISPLAY!$J$3:$J$1000,""),"Network Device",_xlfn.XLOOKUP($K773&amp;"",'NETWORK-DEVICES'!$B$3:$B$987&amp;"",'NETWORK-DEVICES'!$I$3:$I$987,""),"Peripheral",_xlfn.XLOOKUP($K773&amp;"",PERIPHERAL!$B$3:$B$954&amp;"",PERIPHERAL!$I$3:$I$954,""),"Utilities",_xlfn.XLOOKUP($K773&amp;"",UTILITIES!$B$3:$B$953&amp;"",UTILITIES!$H$3:$H$953,""),"IOT",_xlfn.XLOOKUP($K773&amp;"",IOT!$B$3:$B$1012&amp;"",IOT!$I$3:$I$1012,""),"SERVER",_xlfn.XLOOKUP($K773&amp;"",SERVER!$B$3:$B$1009&amp;"",SERVER!$I$3:$I$1009,""),""))</f>
        <v/>
      </c>
      <c r="M773" t="str" cm="1">
        <f t="array" ref="M773">IF($K773="","",_xlfn.SWITCH($I773,"Computer",_xlfn.XLOOKUP($K773&amp;"",COMPUTER!$B$3:$B$1009&amp;"",COMPUTER!$J$3:$J$1009,""),"Display",_xlfn.XLOOKUP($K773&amp;"",DISPLAY!$B$3:$B$1000&amp;"",DISPLAY!$K$3:$K$1000,""),"Network Device",_xlfn.XLOOKUP($K773&amp;"",'NETWORK-DEVICES'!$B$3:$B$987&amp;"",'NETWORK-DEVICES'!$I$3:$I$987,""),"Peripheral",_xlfn.XLOOKUP($K773&amp;"",PERIPHERAL!$B$3:$B$954&amp;"",PERIPHERAL!$J$3:$J$954,""),"Utilities",_xlfn.XLOOKUP($K773&amp;"",UTILITIES!$B$3:$B$953&amp;"",UTILITIES!$I$3:$I$953,""),"IOT",_xlfn.XLOOKUP($K773&amp;"",IOT!$B$3:$B$1012&amp;"",IOT!$J$3:$J$1012,""),"Server",_xlfn.XLOOKUP($K773&amp;"",SERVER!$B$3:$B$1009&amp;"",SERVER!$J$3:$J$1009,""),""))</f>
        <v/>
      </c>
      <c r="N773" s="1" t="str" cm="1">
        <f t="array" ref="N773">IF(OR($K773="",$I773="",$J773=""),"",_xlfn.LET(_xlpm.srcCat,_xlfn.SWITCH($I773,"Computer",_xlfn.XLOOKUP($K773&amp;"",COMPUTER!$B$3:$B$1009&amp;"",COMPUTER!$H$3:$H$1009,""),"Display",_xlfn.XLOOKUP($K773&amp;"",DISPLAY!$B$3:$B$1000&amp;"",DISPLAY!$H$3:$H$1000,""),"Network Device",_xlfn.XLOOKUP($K773&amp;"",'NETWORK-DEVICES'!$B$3:$B$987&amp;"",'NETWORK-DEVICES'!$H$3:$H$987,""),"Peripheral",_xlfn.XLOOKUP($K773&amp;"",PERIPHERAL!$B$3:$B$954&amp;"",PERIPHERAL!$H$3:$H$954,""),"Utilities",_xlfn.XLOOKUP($K773&amp;"",UTILITIES!$B$3:$B$953&amp;"",UTILITIES!$G$3:$G$953,""),"IOT",_xlfn.XLOOKUP($K773&amp;"",IOT!$B$3:$B$1012&amp;"",IOT!$H$3:$H$1012,""),"Server",_xlfn.XLOOKUP($K773&amp;"",SERVER!$B$3:$B$1009&amp;"",SERVER!$H$3:$H$1009,""),""),IF(TRIM(_xlpm.srcCat)&lt;&gt;TRIM($J773),"",_xlfn.SWITCH($I773,"Computer",_xlfn.XLOOKUP($K773&amp;"",COMPUTER!$B$3:$B$1009&amp;"",COMPUTER!$K$3:$K$1009,""),"Display",_xlfn.XLOOKUP($K773&amp;"",DISPLAY!$B$3:$B$1000&amp;"",DISPLAY!$L$3:$L$1000,""),"Network Device",_xlfn.XLOOKUP($K773&amp;"",'NETWORK-DEVICES'!$B$3:$B$987&amp;"",'NETWORK-DEVICES'!$K$3:$K$987,""),"Peripheral",_xlfn.XLOOKUP($K773&amp;"",PERIPHERAL!$B$3:$B$954&amp;"",PERIPHERAL!$K$3:$K$954,""),"Utilities",_xlfn.XLOOKUP($K773&amp;"",UTILITIES!$B$3:$B$953&amp;"",UTILITIES!$J$3:$J$953,""),"IOT",_xlfn.XLOOKUP($K773&amp;"",IOT!$B$3:$B$1012&amp;"",IOT!$K$4:$K$1012,""),"Server",_xlfn.XLOOKUP($K773&amp;"",SERVER!$B$3:$B$1009&amp;"",SERVER!$K$3:$K$1009,""),""))))</f>
        <v/>
      </c>
      <c r="O773" s="1" t="str" cm="1">
        <f t="array" ref="O773">IF(OR($K773="",$I773="",$J773=""),"",_xlfn.LET(_xlpm.srcCat,_xlfn.SWITCH($I773,"Computer",_xlfn.XLOOKUP($K773&amp;"",COMPUTER!$B$3:$B$1009&amp;"",COMPUTER!$H$3:$H$1009,""),"Display",_xlfn.XLOOKUP($K773&amp;"",DISPLAY!$B$3:$B$1000&amp;"",DISPLAY!$H$3:$H$1000,""),"Network Device",_xlfn.XLOOKUP($K773&amp;"",'NETWORK-DEVICES'!$B$3:$B$987&amp;"",'NETWORK-DEVICES'!$H$3:$H$987,""),"Peripheral",_xlfn.XLOOKUP($K773&amp;"",PERIPHERAL!$B$3:$B$954&amp;"",PERIPHERAL!$H$3:$H$954,""),"Utilities",_xlfn.XLOOKUP($K773&amp;"",UTILITIES!$B$3:$B$953&amp;"",UTILITIES!$G$3:$G$953,""),"IOT",_xlfn.XLOOKUP($K773&amp;"",IOT!$B$3:$B$1012&amp;"",IOT!$H$3:$H$1012,""),"Server",_xlfn.XLOOKUP($K773&amp;"",SERVER!$B$3:$B$1009&amp;"",SERVER!$H$3:$H$1009,""),""),IF(TRIM(_xlpm.srcCat)&lt;&gt;TRIM($J773),"",_xlfn.SWITCH($I773,"Computer",_xlfn.XLOOKUP($K773&amp;"",COMPUTER!$B$3:$B$1009&amp;"",COMPUTER!$E$3:$E$1009,""),"Display",_xlfn.XLOOKUP($K773&amp;"",DISPLAY!$B$3:$B$1000&amp;"",DISPLAY!$E$3:$E$1000,""),"Network Device",_xlfn.XLOOKUP($K773&amp;"",'NETWORK-DEVICES'!$B$3:$B$987&amp;"",'NETWORK-DEVICES'!$E$3:$E$987,""),"Peripheral",_xlfn.XLOOKUP($K773&amp;"",PERIPHERAL!$B$3:$B$954&amp;"",PERIPHERAL!$E$3:$E$954,""),"Utilities",_xlfn.XLOOKUP($K773&amp;"",UTILITIES!$B$3:$B$953&amp;"",UTILITIES!$E$3:$E$953,""),"IOT",_xlfn.XLOOKUP($K773&amp;"",IOT!$B$3:$B$1012&amp;"",IOT!$E$3:$E$1012,""),"Server",_xlfn.XLOOKUP($K773&amp;"",SERVER!$B$3:$B$1009&amp;"",SERVER!$E$3:$E$1009,""),""))))</f>
        <v/>
      </c>
      <c r="Q773" s="1" t="str" cm="1">
        <f t="array" ref="Q773">IF(OR($K773="",$I773="",$J773=""),"",_xlfn.LET(_xlpm.srcCat,_xlfn.SWITCH($I773,"Computer",_xlfn.XLOOKUP($K773&amp;"",COMPUTER!$B$3:$B$1009&amp;"",COMPUTER!$H$3:$H$1009,""),"Display",_xlfn.XLOOKUP($K773&amp;"",DISPLAY!$B$3:$B$1000&amp;"",DISPLAY!$H$3:$H$1000,""),"Network Device",_xlfn.XLOOKUP($K773&amp;"",'NETWORK-DEVICES'!$B$3:$B$987&amp;"",'NETWORK-DEVICES'!$H$3:$H$987,""),"Peripheral",_xlfn.XLOOKUP($K773&amp;"",PERIPHERAL!$B$3:$B$954&amp;"",PERIPHERAL!$H$3:$H$954,""),"Utilities",_xlfn.XLOOKUP($K773&amp;"",UTILITIES!$B$3:$B$953&amp;"",UTILITIES!$G$3:$G$953,""),"IOT",_xlfn.XLOOKUP($K773&amp;"",IOT!$B$3:$B$1012&amp;"",IOT!$H$3:$H$1012,""),"Server",_xlfn.XLOOKUP($K773&amp;"",SERVER!$B$3:$B$1009&amp;"",SERVER!$H$3:$H$1009,""),""),IF(TRIM(_xlpm.srcCat)&lt;&gt;TRIM($J773),"",_xlfn.SWITCH($I773,"Computer",_xlfn.XLOOKUP($K773&amp;"",COMPUTER!$B$3:$B$1009&amp;"",COMPUTER!$AM$3:$AM$1009,""),"Display",_xlfn.XLOOKUP($K773&amp;"",DISPLAY!$B$3:$B$1000&amp;"",DISPLAY!$V$3:$V$1000,""),"Network Device",_xlfn.XLOOKUP($K773&amp;"",'NETWORK-DEVICES'!$B$3:$B$987&amp;"",'NETWORK-DEVICES'!$AF$3:$AF$987,""),"Peripheral",_xlfn.XLOOKUP($K773&amp;"",PERIPHERAL!$B$3:$B$954&amp;"",PERIPHERAL!$Y$3:$Y$954,""),"Utilities",_xlfn.XLOOKUP($K773&amp;"",UTILITIES!$B$3:$B$953&amp;"",UTILITIES!$O$3:$O$953,""),"IOT",_xlfn.XLOOKUP($K773&amp;"",IOT!$B$3:$B$1012&amp;"",IOT!$AB$3:$AB$1012,""),"Server",_xlfn.XLOOKUP($K773&amp;"",SERVER!$B$3:$B$1009&amp;"",SERVER!$AB$3:$AB$1009,""),""))))</f>
        <v/>
      </c>
      <c r="R773" s="43" t="str">
        <f>IF(tbl_handover[[#This Row],[Asset Code]]="","",COUNTIF(tbl_handover[Asset Code],tbl_handover[[#This Row],[Asset Code]]))</f>
        <v/>
      </c>
    </row>
    <row r="774" spans="1:18" x14ac:dyDescent="0.25">
      <c r="A774" s="43" t="str">
        <f>IF(B774&lt;&gt;"",SUBTOTAL(3,$B$1:B773),"")</f>
        <v/>
      </c>
      <c r="C774" s="74"/>
      <c r="D774" s="74"/>
      <c r="G774" s="1"/>
      <c r="K774" s="42"/>
      <c r="L774" t="str" cm="1">
        <f t="array" ref="L774">IF($K774="","",_xlfn.SWITCH($I774,"Computer",_xlfn.XLOOKUP($K774&amp;"",COMPUTER!$B$3:$B$1009&amp;"",COMPUTER!$I$3:$I$1009,""),"Display",_xlfn.XLOOKUP($K774&amp;"",DISPLAY!$B$3:$B$1000&amp;"",DISPLAY!$J$3:$J$1000,""),"Network Device",_xlfn.XLOOKUP($K774&amp;"",'NETWORK-DEVICES'!$B$3:$B$987&amp;"",'NETWORK-DEVICES'!$I$3:$I$987,""),"Peripheral",_xlfn.XLOOKUP($K774&amp;"",PERIPHERAL!$B$3:$B$954&amp;"",PERIPHERAL!$I$3:$I$954,""),"Utilities",_xlfn.XLOOKUP($K774&amp;"",UTILITIES!$B$3:$B$953&amp;"",UTILITIES!$H$3:$H$953,""),"IOT",_xlfn.XLOOKUP($K774&amp;"",IOT!$B$3:$B$1012&amp;"",IOT!$I$3:$I$1012,""),"SERVER",_xlfn.XLOOKUP($K774&amp;"",SERVER!$B$3:$B$1009&amp;"",SERVER!$I$3:$I$1009,""),""))</f>
        <v/>
      </c>
      <c r="M774" t="str" cm="1">
        <f t="array" ref="M774">IF($K774="","",_xlfn.SWITCH($I774,"Computer",_xlfn.XLOOKUP($K774&amp;"",COMPUTER!$B$3:$B$1009&amp;"",COMPUTER!$J$3:$J$1009,""),"Display",_xlfn.XLOOKUP($K774&amp;"",DISPLAY!$B$3:$B$1000&amp;"",DISPLAY!$K$3:$K$1000,""),"Network Device",_xlfn.XLOOKUP($K774&amp;"",'NETWORK-DEVICES'!$B$3:$B$987&amp;"",'NETWORK-DEVICES'!$I$3:$I$987,""),"Peripheral",_xlfn.XLOOKUP($K774&amp;"",PERIPHERAL!$B$3:$B$954&amp;"",PERIPHERAL!$J$3:$J$954,""),"Utilities",_xlfn.XLOOKUP($K774&amp;"",UTILITIES!$B$3:$B$953&amp;"",UTILITIES!$I$3:$I$953,""),"IOT",_xlfn.XLOOKUP($K774&amp;"",IOT!$B$3:$B$1012&amp;"",IOT!$J$3:$J$1012,""),"Server",_xlfn.XLOOKUP($K774&amp;"",SERVER!$B$3:$B$1009&amp;"",SERVER!$J$3:$J$1009,""),""))</f>
        <v/>
      </c>
      <c r="N774" s="1" t="str" cm="1">
        <f t="array" ref="N774">IF(OR($K774="",$I774="",$J774=""),"",_xlfn.LET(_xlpm.srcCat,_xlfn.SWITCH($I774,"Computer",_xlfn.XLOOKUP($K774&amp;"",COMPUTER!$B$3:$B$1009&amp;"",COMPUTER!$H$3:$H$1009,""),"Display",_xlfn.XLOOKUP($K774&amp;"",DISPLAY!$B$3:$B$1000&amp;"",DISPLAY!$H$3:$H$1000,""),"Network Device",_xlfn.XLOOKUP($K774&amp;"",'NETWORK-DEVICES'!$B$3:$B$987&amp;"",'NETWORK-DEVICES'!$H$3:$H$987,""),"Peripheral",_xlfn.XLOOKUP($K774&amp;"",PERIPHERAL!$B$3:$B$954&amp;"",PERIPHERAL!$H$3:$H$954,""),"Utilities",_xlfn.XLOOKUP($K774&amp;"",UTILITIES!$B$3:$B$953&amp;"",UTILITIES!$G$3:$G$953,""),"IOT",_xlfn.XLOOKUP($K774&amp;"",IOT!$B$3:$B$1012&amp;"",IOT!$H$3:$H$1012,""),"Server",_xlfn.XLOOKUP($K774&amp;"",SERVER!$B$3:$B$1009&amp;"",SERVER!$H$3:$H$1009,""),""),IF(TRIM(_xlpm.srcCat)&lt;&gt;TRIM($J774),"",_xlfn.SWITCH($I774,"Computer",_xlfn.XLOOKUP($K774&amp;"",COMPUTER!$B$3:$B$1009&amp;"",COMPUTER!$K$3:$K$1009,""),"Display",_xlfn.XLOOKUP($K774&amp;"",DISPLAY!$B$3:$B$1000&amp;"",DISPLAY!$L$3:$L$1000,""),"Network Device",_xlfn.XLOOKUP($K774&amp;"",'NETWORK-DEVICES'!$B$3:$B$987&amp;"",'NETWORK-DEVICES'!$K$3:$K$987,""),"Peripheral",_xlfn.XLOOKUP($K774&amp;"",PERIPHERAL!$B$3:$B$954&amp;"",PERIPHERAL!$K$3:$K$954,""),"Utilities",_xlfn.XLOOKUP($K774&amp;"",UTILITIES!$B$3:$B$953&amp;"",UTILITIES!$J$3:$J$953,""),"IOT",_xlfn.XLOOKUP($K774&amp;"",IOT!$B$3:$B$1012&amp;"",IOT!$K$4:$K$1012,""),"Server",_xlfn.XLOOKUP($K774&amp;"",SERVER!$B$3:$B$1009&amp;"",SERVER!$K$3:$K$1009,""),""))))</f>
        <v/>
      </c>
      <c r="O774" s="1" t="str" cm="1">
        <f t="array" ref="O774">IF(OR($K774="",$I774="",$J774=""),"",_xlfn.LET(_xlpm.srcCat,_xlfn.SWITCH($I774,"Computer",_xlfn.XLOOKUP($K774&amp;"",COMPUTER!$B$3:$B$1009&amp;"",COMPUTER!$H$3:$H$1009,""),"Display",_xlfn.XLOOKUP($K774&amp;"",DISPLAY!$B$3:$B$1000&amp;"",DISPLAY!$H$3:$H$1000,""),"Network Device",_xlfn.XLOOKUP($K774&amp;"",'NETWORK-DEVICES'!$B$3:$B$987&amp;"",'NETWORK-DEVICES'!$H$3:$H$987,""),"Peripheral",_xlfn.XLOOKUP($K774&amp;"",PERIPHERAL!$B$3:$B$954&amp;"",PERIPHERAL!$H$3:$H$954,""),"Utilities",_xlfn.XLOOKUP($K774&amp;"",UTILITIES!$B$3:$B$953&amp;"",UTILITIES!$G$3:$G$953,""),"IOT",_xlfn.XLOOKUP($K774&amp;"",IOT!$B$3:$B$1012&amp;"",IOT!$H$3:$H$1012,""),"Server",_xlfn.XLOOKUP($K774&amp;"",SERVER!$B$3:$B$1009&amp;"",SERVER!$H$3:$H$1009,""),""),IF(TRIM(_xlpm.srcCat)&lt;&gt;TRIM($J774),"",_xlfn.SWITCH($I774,"Computer",_xlfn.XLOOKUP($K774&amp;"",COMPUTER!$B$3:$B$1009&amp;"",COMPUTER!$E$3:$E$1009,""),"Display",_xlfn.XLOOKUP($K774&amp;"",DISPLAY!$B$3:$B$1000&amp;"",DISPLAY!$E$3:$E$1000,""),"Network Device",_xlfn.XLOOKUP($K774&amp;"",'NETWORK-DEVICES'!$B$3:$B$987&amp;"",'NETWORK-DEVICES'!$E$3:$E$987,""),"Peripheral",_xlfn.XLOOKUP($K774&amp;"",PERIPHERAL!$B$3:$B$954&amp;"",PERIPHERAL!$E$3:$E$954,""),"Utilities",_xlfn.XLOOKUP($K774&amp;"",UTILITIES!$B$3:$B$953&amp;"",UTILITIES!$E$3:$E$953,""),"IOT",_xlfn.XLOOKUP($K774&amp;"",IOT!$B$3:$B$1012&amp;"",IOT!$E$3:$E$1012,""),"Server",_xlfn.XLOOKUP($K774&amp;"",SERVER!$B$3:$B$1009&amp;"",SERVER!$E$3:$E$1009,""),""))))</f>
        <v/>
      </c>
      <c r="Q774" s="1" t="str" cm="1">
        <f t="array" ref="Q774">IF(OR($K774="",$I774="",$J774=""),"",_xlfn.LET(_xlpm.srcCat,_xlfn.SWITCH($I774,"Computer",_xlfn.XLOOKUP($K774&amp;"",COMPUTER!$B$3:$B$1009&amp;"",COMPUTER!$H$3:$H$1009,""),"Display",_xlfn.XLOOKUP($K774&amp;"",DISPLAY!$B$3:$B$1000&amp;"",DISPLAY!$H$3:$H$1000,""),"Network Device",_xlfn.XLOOKUP($K774&amp;"",'NETWORK-DEVICES'!$B$3:$B$987&amp;"",'NETWORK-DEVICES'!$H$3:$H$987,""),"Peripheral",_xlfn.XLOOKUP($K774&amp;"",PERIPHERAL!$B$3:$B$954&amp;"",PERIPHERAL!$H$3:$H$954,""),"Utilities",_xlfn.XLOOKUP($K774&amp;"",UTILITIES!$B$3:$B$953&amp;"",UTILITIES!$G$3:$G$953,""),"IOT",_xlfn.XLOOKUP($K774&amp;"",IOT!$B$3:$B$1012&amp;"",IOT!$H$3:$H$1012,""),"Server",_xlfn.XLOOKUP($K774&amp;"",SERVER!$B$3:$B$1009&amp;"",SERVER!$H$3:$H$1009,""),""),IF(TRIM(_xlpm.srcCat)&lt;&gt;TRIM($J774),"",_xlfn.SWITCH($I774,"Computer",_xlfn.XLOOKUP($K774&amp;"",COMPUTER!$B$3:$B$1009&amp;"",COMPUTER!$AM$3:$AM$1009,""),"Display",_xlfn.XLOOKUP($K774&amp;"",DISPLAY!$B$3:$B$1000&amp;"",DISPLAY!$V$3:$V$1000,""),"Network Device",_xlfn.XLOOKUP($K774&amp;"",'NETWORK-DEVICES'!$B$3:$B$987&amp;"",'NETWORK-DEVICES'!$AF$3:$AF$987,""),"Peripheral",_xlfn.XLOOKUP($K774&amp;"",PERIPHERAL!$B$3:$B$954&amp;"",PERIPHERAL!$Y$3:$Y$954,""),"Utilities",_xlfn.XLOOKUP($K774&amp;"",UTILITIES!$B$3:$B$953&amp;"",UTILITIES!$O$3:$O$953,""),"IOT",_xlfn.XLOOKUP($K774&amp;"",IOT!$B$3:$B$1012&amp;"",IOT!$AB$3:$AB$1012,""),"Server",_xlfn.XLOOKUP($K774&amp;"",SERVER!$B$3:$B$1009&amp;"",SERVER!$AB$3:$AB$1009,""),""))))</f>
        <v/>
      </c>
      <c r="R774" s="43" t="str">
        <f>IF(tbl_handover[[#This Row],[Asset Code]]="","",COUNTIF(tbl_handover[Asset Code],tbl_handover[[#This Row],[Asset Code]]))</f>
        <v/>
      </c>
    </row>
    <row r="775" spans="1:18" x14ac:dyDescent="0.25">
      <c r="A775" s="43" t="str">
        <f>IF(B775&lt;&gt;"",SUBTOTAL(3,$B$1:B774),"")</f>
        <v/>
      </c>
      <c r="C775" s="74"/>
      <c r="D775" s="74"/>
      <c r="G775" s="1"/>
      <c r="K775" s="42"/>
      <c r="L775" t="str" cm="1">
        <f t="array" ref="L775">IF($K775="","",_xlfn.SWITCH($I775,"Computer",_xlfn.XLOOKUP($K775&amp;"",COMPUTER!$B$3:$B$1009&amp;"",COMPUTER!$I$3:$I$1009,""),"Display",_xlfn.XLOOKUP($K775&amp;"",DISPLAY!$B$3:$B$1000&amp;"",DISPLAY!$J$3:$J$1000,""),"Network Device",_xlfn.XLOOKUP($K775&amp;"",'NETWORK-DEVICES'!$B$3:$B$987&amp;"",'NETWORK-DEVICES'!$I$3:$I$987,""),"Peripheral",_xlfn.XLOOKUP($K775&amp;"",PERIPHERAL!$B$3:$B$954&amp;"",PERIPHERAL!$I$3:$I$954,""),"Utilities",_xlfn.XLOOKUP($K775&amp;"",UTILITIES!$B$3:$B$953&amp;"",UTILITIES!$H$3:$H$953,""),"IOT",_xlfn.XLOOKUP($K775&amp;"",IOT!$B$3:$B$1012&amp;"",IOT!$I$3:$I$1012,""),"SERVER",_xlfn.XLOOKUP($K775&amp;"",SERVER!$B$3:$B$1009&amp;"",SERVER!$I$3:$I$1009,""),""))</f>
        <v/>
      </c>
      <c r="M775" t="str" cm="1">
        <f t="array" ref="M775">IF($K775="","",_xlfn.SWITCH($I775,"Computer",_xlfn.XLOOKUP($K775&amp;"",COMPUTER!$B$3:$B$1009&amp;"",COMPUTER!$J$3:$J$1009,""),"Display",_xlfn.XLOOKUP($K775&amp;"",DISPLAY!$B$3:$B$1000&amp;"",DISPLAY!$K$3:$K$1000,""),"Network Device",_xlfn.XLOOKUP($K775&amp;"",'NETWORK-DEVICES'!$B$3:$B$987&amp;"",'NETWORK-DEVICES'!$I$3:$I$987,""),"Peripheral",_xlfn.XLOOKUP($K775&amp;"",PERIPHERAL!$B$3:$B$954&amp;"",PERIPHERAL!$J$3:$J$954,""),"Utilities",_xlfn.XLOOKUP($K775&amp;"",UTILITIES!$B$3:$B$953&amp;"",UTILITIES!$I$3:$I$953,""),"IOT",_xlfn.XLOOKUP($K775&amp;"",IOT!$B$3:$B$1012&amp;"",IOT!$J$3:$J$1012,""),"Server",_xlfn.XLOOKUP($K775&amp;"",SERVER!$B$3:$B$1009&amp;"",SERVER!$J$3:$J$1009,""),""))</f>
        <v/>
      </c>
      <c r="N775" s="1" t="str" cm="1">
        <f t="array" ref="N775">IF(OR($K775="",$I775="",$J775=""),"",_xlfn.LET(_xlpm.srcCat,_xlfn.SWITCH($I775,"Computer",_xlfn.XLOOKUP($K775&amp;"",COMPUTER!$B$3:$B$1009&amp;"",COMPUTER!$H$3:$H$1009,""),"Display",_xlfn.XLOOKUP($K775&amp;"",DISPLAY!$B$3:$B$1000&amp;"",DISPLAY!$H$3:$H$1000,""),"Network Device",_xlfn.XLOOKUP($K775&amp;"",'NETWORK-DEVICES'!$B$3:$B$987&amp;"",'NETWORK-DEVICES'!$H$3:$H$987,""),"Peripheral",_xlfn.XLOOKUP($K775&amp;"",PERIPHERAL!$B$3:$B$954&amp;"",PERIPHERAL!$H$3:$H$954,""),"Utilities",_xlfn.XLOOKUP($K775&amp;"",UTILITIES!$B$3:$B$953&amp;"",UTILITIES!$G$3:$G$953,""),"IOT",_xlfn.XLOOKUP($K775&amp;"",IOT!$B$3:$B$1012&amp;"",IOT!$H$3:$H$1012,""),"Server",_xlfn.XLOOKUP($K775&amp;"",SERVER!$B$3:$B$1009&amp;"",SERVER!$H$3:$H$1009,""),""),IF(TRIM(_xlpm.srcCat)&lt;&gt;TRIM($J775),"",_xlfn.SWITCH($I775,"Computer",_xlfn.XLOOKUP($K775&amp;"",COMPUTER!$B$3:$B$1009&amp;"",COMPUTER!$K$3:$K$1009,""),"Display",_xlfn.XLOOKUP($K775&amp;"",DISPLAY!$B$3:$B$1000&amp;"",DISPLAY!$L$3:$L$1000,""),"Network Device",_xlfn.XLOOKUP($K775&amp;"",'NETWORK-DEVICES'!$B$3:$B$987&amp;"",'NETWORK-DEVICES'!$K$3:$K$987,""),"Peripheral",_xlfn.XLOOKUP($K775&amp;"",PERIPHERAL!$B$3:$B$954&amp;"",PERIPHERAL!$K$3:$K$954,""),"Utilities",_xlfn.XLOOKUP($K775&amp;"",UTILITIES!$B$3:$B$953&amp;"",UTILITIES!$J$3:$J$953,""),"IOT",_xlfn.XLOOKUP($K775&amp;"",IOT!$B$3:$B$1012&amp;"",IOT!$K$4:$K$1012,""),"Server",_xlfn.XLOOKUP($K775&amp;"",SERVER!$B$3:$B$1009&amp;"",SERVER!$K$3:$K$1009,""),""))))</f>
        <v/>
      </c>
      <c r="O775" s="1" t="str" cm="1">
        <f t="array" ref="O775">IF(OR($K775="",$I775="",$J775=""),"",_xlfn.LET(_xlpm.srcCat,_xlfn.SWITCH($I775,"Computer",_xlfn.XLOOKUP($K775&amp;"",COMPUTER!$B$3:$B$1009&amp;"",COMPUTER!$H$3:$H$1009,""),"Display",_xlfn.XLOOKUP($K775&amp;"",DISPLAY!$B$3:$B$1000&amp;"",DISPLAY!$H$3:$H$1000,""),"Network Device",_xlfn.XLOOKUP($K775&amp;"",'NETWORK-DEVICES'!$B$3:$B$987&amp;"",'NETWORK-DEVICES'!$H$3:$H$987,""),"Peripheral",_xlfn.XLOOKUP($K775&amp;"",PERIPHERAL!$B$3:$B$954&amp;"",PERIPHERAL!$H$3:$H$954,""),"Utilities",_xlfn.XLOOKUP($K775&amp;"",UTILITIES!$B$3:$B$953&amp;"",UTILITIES!$G$3:$G$953,""),"IOT",_xlfn.XLOOKUP($K775&amp;"",IOT!$B$3:$B$1012&amp;"",IOT!$H$3:$H$1012,""),"Server",_xlfn.XLOOKUP($K775&amp;"",SERVER!$B$3:$B$1009&amp;"",SERVER!$H$3:$H$1009,""),""),IF(TRIM(_xlpm.srcCat)&lt;&gt;TRIM($J775),"",_xlfn.SWITCH($I775,"Computer",_xlfn.XLOOKUP($K775&amp;"",COMPUTER!$B$3:$B$1009&amp;"",COMPUTER!$E$3:$E$1009,""),"Display",_xlfn.XLOOKUP($K775&amp;"",DISPLAY!$B$3:$B$1000&amp;"",DISPLAY!$E$3:$E$1000,""),"Network Device",_xlfn.XLOOKUP($K775&amp;"",'NETWORK-DEVICES'!$B$3:$B$987&amp;"",'NETWORK-DEVICES'!$E$3:$E$987,""),"Peripheral",_xlfn.XLOOKUP($K775&amp;"",PERIPHERAL!$B$3:$B$954&amp;"",PERIPHERAL!$E$3:$E$954,""),"Utilities",_xlfn.XLOOKUP($K775&amp;"",UTILITIES!$B$3:$B$953&amp;"",UTILITIES!$E$3:$E$953,""),"IOT",_xlfn.XLOOKUP($K775&amp;"",IOT!$B$3:$B$1012&amp;"",IOT!$E$3:$E$1012,""),"Server",_xlfn.XLOOKUP($K775&amp;"",SERVER!$B$3:$B$1009&amp;"",SERVER!$E$3:$E$1009,""),""))))</f>
        <v/>
      </c>
      <c r="Q775" s="1" t="str" cm="1">
        <f t="array" ref="Q775">IF(OR($K775="",$I775="",$J775=""),"",_xlfn.LET(_xlpm.srcCat,_xlfn.SWITCH($I775,"Computer",_xlfn.XLOOKUP($K775&amp;"",COMPUTER!$B$3:$B$1009&amp;"",COMPUTER!$H$3:$H$1009,""),"Display",_xlfn.XLOOKUP($K775&amp;"",DISPLAY!$B$3:$B$1000&amp;"",DISPLAY!$H$3:$H$1000,""),"Network Device",_xlfn.XLOOKUP($K775&amp;"",'NETWORK-DEVICES'!$B$3:$B$987&amp;"",'NETWORK-DEVICES'!$H$3:$H$987,""),"Peripheral",_xlfn.XLOOKUP($K775&amp;"",PERIPHERAL!$B$3:$B$954&amp;"",PERIPHERAL!$H$3:$H$954,""),"Utilities",_xlfn.XLOOKUP($K775&amp;"",UTILITIES!$B$3:$B$953&amp;"",UTILITIES!$G$3:$G$953,""),"IOT",_xlfn.XLOOKUP($K775&amp;"",IOT!$B$3:$B$1012&amp;"",IOT!$H$3:$H$1012,""),"Server",_xlfn.XLOOKUP($K775&amp;"",SERVER!$B$3:$B$1009&amp;"",SERVER!$H$3:$H$1009,""),""),IF(TRIM(_xlpm.srcCat)&lt;&gt;TRIM($J775),"",_xlfn.SWITCH($I775,"Computer",_xlfn.XLOOKUP($K775&amp;"",COMPUTER!$B$3:$B$1009&amp;"",COMPUTER!$AM$3:$AM$1009,""),"Display",_xlfn.XLOOKUP($K775&amp;"",DISPLAY!$B$3:$B$1000&amp;"",DISPLAY!$V$3:$V$1000,""),"Network Device",_xlfn.XLOOKUP($K775&amp;"",'NETWORK-DEVICES'!$B$3:$B$987&amp;"",'NETWORK-DEVICES'!$AF$3:$AF$987,""),"Peripheral",_xlfn.XLOOKUP($K775&amp;"",PERIPHERAL!$B$3:$B$954&amp;"",PERIPHERAL!$Y$3:$Y$954,""),"Utilities",_xlfn.XLOOKUP($K775&amp;"",UTILITIES!$B$3:$B$953&amp;"",UTILITIES!$O$3:$O$953,""),"IOT",_xlfn.XLOOKUP($K775&amp;"",IOT!$B$3:$B$1012&amp;"",IOT!$AB$3:$AB$1012,""),"Server",_xlfn.XLOOKUP($K775&amp;"",SERVER!$B$3:$B$1009&amp;"",SERVER!$AB$3:$AB$1009,""),""))))</f>
        <v/>
      </c>
      <c r="R775" s="43" t="str">
        <f>IF(tbl_handover[[#This Row],[Asset Code]]="","",COUNTIF(tbl_handover[Asset Code],tbl_handover[[#This Row],[Asset Code]]))</f>
        <v/>
      </c>
    </row>
    <row r="776" spans="1:18" x14ac:dyDescent="0.25">
      <c r="A776" s="43" t="str">
        <f>IF(B776&lt;&gt;"",SUBTOTAL(3,$B$1:B775),"")</f>
        <v/>
      </c>
      <c r="C776" s="74"/>
      <c r="D776" s="74"/>
      <c r="G776" s="1"/>
      <c r="K776" s="42"/>
      <c r="L776" t="str" cm="1">
        <f t="array" ref="L776">IF($K776="","",_xlfn.SWITCH($I776,"Computer",_xlfn.XLOOKUP($K776&amp;"",COMPUTER!$B$3:$B$1009&amp;"",COMPUTER!$I$3:$I$1009,""),"Display",_xlfn.XLOOKUP($K776&amp;"",DISPLAY!$B$3:$B$1000&amp;"",DISPLAY!$J$3:$J$1000,""),"Network Device",_xlfn.XLOOKUP($K776&amp;"",'NETWORK-DEVICES'!$B$3:$B$987&amp;"",'NETWORK-DEVICES'!$I$3:$I$987,""),"Peripheral",_xlfn.XLOOKUP($K776&amp;"",PERIPHERAL!$B$3:$B$954&amp;"",PERIPHERAL!$I$3:$I$954,""),"Utilities",_xlfn.XLOOKUP($K776&amp;"",UTILITIES!$B$3:$B$953&amp;"",UTILITIES!$H$3:$H$953,""),"IOT",_xlfn.XLOOKUP($K776&amp;"",IOT!$B$3:$B$1012&amp;"",IOT!$I$3:$I$1012,""),"SERVER",_xlfn.XLOOKUP($K776&amp;"",SERVER!$B$3:$B$1009&amp;"",SERVER!$I$3:$I$1009,""),""))</f>
        <v/>
      </c>
      <c r="M776" t="str" cm="1">
        <f t="array" ref="M776">IF($K776="","",_xlfn.SWITCH($I776,"Computer",_xlfn.XLOOKUP($K776&amp;"",COMPUTER!$B$3:$B$1009&amp;"",COMPUTER!$J$3:$J$1009,""),"Display",_xlfn.XLOOKUP($K776&amp;"",DISPLAY!$B$3:$B$1000&amp;"",DISPLAY!$K$3:$K$1000,""),"Network Device",_xlfn.XLOOKUP($K776&amp;"",'NETWORK-DEVICES'!$B$3:$B$987&amp;"",'NETWORK-DEVICES'!$I$3:$I$987,""),"Peripheral",_xlfn.XLOOKUP($K776&amp;"",PERIPHERAL!$B$3:$B$954&amp;"",PERIPHERAL!$J$3:$J$954,""),"Utilities",_xlfn.XLOOKUP($K776&amp;"",UTILITIES!$B$3:$B$953&amp;"",UTILITIES!$I$3:$I$953,""),"IOT",_xlfn.XLOOKUP($K776&amp;"",IOT!$B$3:$B$1012&amp;"",IOT!$J$3:$J$1012,""),"Server",_xlfn.XLOOKUP($K776&amp;"",SERVER!$B$3:$B$1009&amp;"",SERVER!$J$3:$J$1009,""),""))</f>
        <v/>
      </c>
      <c r="N776" s="1" t="str" cm="1">
        <f t="array" ref="N776">IF(OR($K776="",$I776="",$J776=""),"",_xlfn.LET(_xlpm.srcCat,_xlfn.SWITCH($I776,"Computer",_xlfn.XLOOKUP($K776&amp;"",COMPUTER!$B$3:$B$1009&amp;"",COMPUTER!$H$3:$H$1009,""),"Display",_xlfn.XLOOKUP($K776&amp;"",DISPLAY!$B$3:$B$1000&amp;"",DISPLAY!$H$3:$H$1000,""),"Network Device",_xlfn.XLOOKUP($K776&amp;"",'NETWORK-DEVICES'!$B$3:$B$987&amp;"",'NETWORK-DEVICES'!$H$3:$H$987,""),"Peripheral",_xlfn.XLOOKUP($K776&amp;"",PERIPHERAL!$B$3:$B$954&amp;"",PERIPHERAL!$H$3:$H$954,""),"Utilities",_xlfn.XLOOKUP($K776&amp;"",UTILITIES!$B$3:$B$953&amp;"",UTILITIES!$G$3:$G$953,""),"IOT",_xlfn.XLOOKUP($K776&amp;"",IOT!$B$3:$B$1012&amp;"",IOT!$H$3:$H$1012,""),"Server",_xlfn.XLOOKUP($K776&amp;"",SERVER!$B$3:$B$1009&amp;"",SERVER!$H$3:$H$1009,""),""),IF(TRIM(_xlpm.srcCat)&lt;&gt;TRIM($J776),"",_xlfn.SWITCH($I776,"Computer",_xlfn.XLOOKUP($K776&amp;"",COMPUTER!$B$3:$B$1009&amp;"",COMPUTER!$K$3:$K$1009,""),"Display",_xlfn.XLOOKUP($K776&amp;"",DISPLAY!$B$3:$B$1000&amp;"",DISPLAY!$L$3:$L$1000,""),"Network Device",_xlfn.XLOOKUP($K776&amp;"",'NETWORK-DEVICES'!$B$3:$B$987&amp;"",'NETWORK-DEVICES'!$K$3:$K$987,""),"Peripheral",_xlfn.XLOOKUP($K776&amp;"",PERIPHERAL!$B$3:$B$954&amp;"",PERIPHERAL!$K$3:$K$954,""),"Utilities",_xlfn.XLOOKUP($K776&amp;"",UTILITIES!$B$3:$B$953&amp;"",UTILITIES!$J$3:$J$953,""),"IOT",_xlfn.XLOOKUP($K776&amp;"",IOT!$B$3:$B$1012&amp;"",IOT!$K$4:$K$1012,""),"Server",_xlfn.XLOOKUP($K776&amp;"",SERVER!$B$3:$B$1009&amp;"",SERVER!$K$3:$K$1009,""),""))))</f>
        <v/>
      </c>
      <c r="O776" s="1" t="str" cm="1">
        <f t="array" ref="O776">IF(OR($K776="",$I776="",$J776=""),"",_xlfn.LET(_xlpm.srcCat,_xlfn.SWITCH($I776,"Computer",_xlfn.XLOOKUP($K776&amp;"",COMPUTER!$B$3:$B$1009&amp;"",COMPUTER!$H$3:$H$1009,""),"Display",_xlfn.XLOOKUP($K776&amp;"",DISPLAY!$B$3:$B$1000&amp;"",DISPLAY!$H$3:$H$1000,""),"Network Device",_xlfn.XLOOKUP($K776&amp;"",'NETWORK-DEVICES'!$B$3:$B$987&amp;"",'NETWORK-DEVICES'!$H$3:$H$987,""),"Peripheral",_xlfn.XLOOKUP($K776&amp;"",PERIPHERAL!$B$3:$B$954&amp;"",PERIPHERAL!$H$3:$H$954,""),"Utilities",_xlfn.XLOOKUP($K776&amp;"",UTILITIES!$B$3:$B$953&amp;"",UTILITIES!$G$3:$G$953,""),"IOT",_xlfn.XLOOKUP($K776&amp;"",IOT!$B$3:$B$1012&amp;"",IOT!$H$3:$H$1012,""),"Server",_xlfn.XLOOKUP($K776&amp;"",SERVER!$B$3:$B$1009&amp;"",SERVER!$H$3:$H$1009,""),""),IF(TRIM(_xlpm.srcCat)&lt;&gt;TRIM($J776),"",_xlfn.SWITCH($I776,"Computer",_xlfn.XLOOKUP($K776&amp;"",COMPUTER!$B$3:$B$1009&amp;"",COMPUTER!$E$3:$E$1009,""),"Display",_xlfn.XLOOKUP($K776&amp;"",DISPLAY!$B$3:$B$1000&amp;"",DISPLAY!$E$3:$E$1000,""),"Network Device",_xlfn.XLOOKUP($K776&amp;"",'NETWORK-DEVICES'!$B$3:$B$987&amp;"",'NETWORK-DEVICES'!$E$3:$E$987,""),"Peripheral",_xlfn.XLOOKUP($K776&amp;"",PERIPHERAL!$B$3:$B$954&amp;"",PERIPHERAL!$E$3:$E$954,""),"Utilities",_xlfn.XLOOKUP($K776&amp;"",UTILITIES!$B$3:$B$953&amp;"",UTILITIES!$E$3:$E$953,""),"IOT",_xlfn.XLOOKUP($K776&amp;"",IOT!$B$3:$B$1012&amp;"",IOT!$E$3:$E$1012,""),"Server",_xlfn.XLOOKUP($K776&amp;"",SERVER!$B$3:$B$1009&amp;"",SERVER!$E$3:$E$1009,""),""))))</f>
        <v/>
      </c>
      <c r="Q776" s="1" t="str" cm="1">
        <f t="array" ref="Q776">IF(OR($K776="",$I776="",$J776=""),"",_xlfn.LET(_xlpm.srcCat,_xlfn.SWITCH($I776,"Computer",_xlfn.XLOOKUP($K776&amp;"",COMPUTER!$B$3:$B$1009&amp;"",COMPUTER!$H$3:$H$1009,""),"Display",_xlfn.XLOOKUP($K776&amp;"",DISPLAY!$B$3:$B$1000&amp;"",DISPLAY!$H$3:$H$1000,""),"Network Device",_xlfn.XLOOKUP($K776&amp;"",'NETWORK-DEVICES'!$B$3:$B$987&amp;"",'NETWORK-DEVICES'!$H$3:$H$987,""),"Peripheral",_xlfn.XLOOKUP($K776&amp;"",PERIPHERAL!$B$3:$B$954&amp;"",PERIPHERAL!$H$3:$H$954,""),"Utilities",_xlfn.XLOOKUP($K776&amp;"",UTILITIES!$B$3:$B$953&amp;"",UTILITIES!$G$3:$G$953,""),"IOT",_xlfn.XLOOKUP($K776&amp;"",IOT!$B$3:$B$1012&amp;"",IOT!$H$3:$H$1012,""),"Server",_xlfn.XLOOKUP($K776&amp;"",SERVER!$B$3:$B$1009&amp;"",SERVER!$H$3:$H$1009,""),""),IF(TRIM(_xlpm.srcCat)&lt;&gt;TRIM($J776),"",_xlfn.SWITCH($I776,"Computer",_xlfn.XLOOKUP($K776&amp;"",COMPUTER!$B$3:$B$1009&amp;"",COMPUTER!$AM$3:$AM$1009,""),"Display",_xlfn.XLOOKUP($K776&amp;"",DISPLAY!$B$3:$B$1000&amp;"",DISPLAY!$V$3:$V$1000,""),"Network Device",_xlfn.XLOOKUP($K776&amp;"",'NETWORK-DEVICES'!$B$3:$B$987&amp;"",'NETWORK-DEVICES'!$AF$3:$AF$987,""),"Peripheral",_xlfn.XLOOKUP($K776&amp;"",PERIPHERAL!$B$3:$B$954&amp;"",PERIPHERAL!$Y$3:$Y$954,""),"Utilities",_xlfn.XLOOKUP($K776&amp;"",UTILITIES!$B$3:$B$953&amp;"",UTILITIES!$O$3:$O$953,""),"IOT",_xlfn.XLOOKUP($K776&amp;"",IOT!$B$3:$B$1012&amp;"",IOT!$AB$3:$AB$1012,""),"Server",_xlfn.XLOOKUP($K776&amp;"",SERVER!$B$3:$B$1009&amp;"",SERVER!$AB$3:$AB$1009,""),""))))</f>
        <v/>
      </c>
      <c r="R776" s="43" t="str">
        <f>IF(tbl_handover[[#This Row],[Asset Code]]="","",COUNTIF(tbl_handover[Asset Code],tbl_handover[[#This Row],[Asset Code]]))</f>
        <v/>
      </c>
    </row>
    <row r="777" spans="1:18" x14ac:dyDescent="0.25">
      <c r="A777" s="43" t="str">
        <f>IF(B777&lt;&gt;"",SUBTOTAL(3,$B$1:B776),"")</f>
        <v/>
      </c>
      <c r="C777" s="74"/>
      <c r="D777" s="74"/>
      <c r="G777" s="1"/>
      <c r="K777" s="42"/>
      <c r="L777" t="str" cm="1">
        <f t="array" ref="L777">IF($K777="","",_xlfn.SWITCH($I777,"Computer",_xlfn.XLOOKUP($K777&amp;"",COMPUTER!$B$3:$B$1009&amp;"",COMPUTER!$I$3:$I$1009,""),"Display",_xlfn.XLOOKUP($K777&amp;"",DISPLAY!$B$3:$B$1000&amp;"",DISPLAY!$J$3:$J$1000,""),"Network Device",_xlfn.XLOOKUP($K777&amp;"",'NETWORK-DEVICES'!$B$3:$B$987&amp;"",'NETWORK-DEVICES'!$I$3:$I$987,""),"Peripheral",_xlfn.XLOOKUP($K777&amp;"",PERIPHERAL!$B$3:$B$954&amp;"",PERIPHERAL!$I$3:$I$954,""),"Utilities",_xlfn.XLOOKUP($K777&amp;"",UTILITIES!$B$3:$B$953&amp;"",UTILITIES!$H$3:$H$953,""),"IOT",_xlfn.XLOOKUP($K777&amp;"",IOT!$B$3:$B$1012&amp;"",IOT!$I$3:$I$1012,""),"SERVER",_xlfn.XLOOKUP($K777&amp;"",SERVER!$B$3:$B$1009&amp;"",SERVER!$I$3:$I$1009,""),""))</f>
        <v/>
      </c>
      <c r="M777" t="str" cm="1">
        <f t="array" ref="M777">IF($K777="","",_xlfn.SWITCH($I777,"Computer",_xlfn.XLOOKUP($K777&amp;"",COMPUTER!$B$3:$B$1009&amp;"",COMPUTER!$J$3:$J$1009,""),"Display",_xlfn.XLOOKUP($K777&amp;"",DISPLAY!$B$3:$B$1000&amp;"",DISPLAY!$K$3:$K$1000,""),"Network Device",_xlfn.XLOOKUP($K777&amp;"",'NETWORK-DEVICES'!$B$3:$B$987&amp;"",'NETWORK-DEVICES'!$I$3:$I$987,""),"Peripheral",_xlfn.XLOOKUP($K777&amp;"",PERIPHERAL!$B$3:$B$954&amp;"",PERIPHERAL!$J$3:$J$954,""),"Utilities",_xlfn.XLOOKUP($K777&amp;"",UTILITIES!$B$3:$B$953&amp;"",UTILITIES!$I$3:$I$953,""),"IOT",_xlfn.XLOOKUP($K777&amp;"",IOT!$B$3:$B$1012&amp;"",IOT!$J$3:$J$1012,""),"Server",_xlfn.XLOOKUP($K777&amp;"",SERVER!$B$3:$B$1009&amp;"",SERVER!$J$3:$J$1009,""),""))</f>
        <v/>
      </c>
      <c r="N777" s="1" t="str" cm="1">
        <f t="array" ref="N777">IF(OR($K777="",$I777="",$J777=""),"",_xlfn.LET(_xlpm.srcCat,_xlfn.SWITCH($I777,"Computer",_xlfn.XLOOKUP($K777&amp;"",COMPUTER!$B$3:$B$1009&amp;"",COMPUTER!$H$3:$H$1009,""),"Display",_xlfn.XLOOKUP($K777&amp;"",DISPLAY!$B$3:$B$1000&amp;"",DISPLAY!$H$3:$H$1000,""),"Network Device",_xlfn.XLOOKUP($K777&amp;"",'NETWORK-DEVICES'!$B$3:$B$987&amp;"",'NETWORK-DEVICES'!$H$3:$H$987,""),"Peripheral",_xlfn.XLOOKUP($K777&amp;"",PERIPHERAL!$B$3:$B$954&amp;"",PERIPHERAL!$H$3:$H$954,""),"Utilities",_xlfn.XLOOKUP($K777&amp;"",UTILITIES!$B$3:$B$953&amp;"",UTILITIES!$G$3:$G$953,""),"IOT",_xlfn.XLOOKUP($K777&amp;"",IOT!$B$3:$B$1012&amp;"",IOT!$H$3:$H$1012,""),"Server",_xlfn.XLOOKUP($K777&amp;"",SERVER!$B$3:$B$1009&amp;"",SERVER!$H$3:$H$1009,""),""),IF(TRIM(_xlpm.srcCat)&lt;&gt;TRIM($J777),"",_xlfn.SWITCH($I777,"Computer",_xlfn.XLOOKUP($K777&amp;"",COMPUTER!$B$3:$B$1009&amp;"",COMPUTER!$K$3:$K$1009,""),"Display",_xlfn.XLOOKUP($K777&amp;"",DISPLAY!$B$3:$B$1000&amp;"",DISPLAY!$L$3:$L$1000,""),"Network Device",_xlfn.XLOOKUP($K777&amp;"",'NETWORK-DEVICES'!$B$3:$B$987&amp;"",'NETWORK-DEVICES'!$K$3:$K$987,""),"Peripheral",_xlfn.XLOOKUP($K777&amp;"",PERIPHERAL!$B$3:$B$954&amp;"",PERIPHERAL!$K$3:$K$954,""),"Utilities",_xlfn.XLOOKUP($K777&amp;"",UTILITIES!$B$3:$B$953&amp;"",UTILITIES!$J$3:$J$953,""),"IOT",_xlfn.XLOOKUP($K777&amp;"",IOT!$B$3:$B$1012&amp;"",IOT!$K$4:$K$1012,""),"Server",_xlfn.XLOOKUP($K777&amp;"",SERVER!$B$3:$B$1009&amp;"",SERVER!$K$3:$K$1009,""),""))))</f>
        <v/>
      </c>
      <c r="O777" s="1" t="str" cm="1">
        <f t="array" ref="O777">IF(OR($K777="",$I777="",$J777=""),"",_xlfn.LET(_xlpm.srcCat,_xlfn.SWITCH($I777,"Computer",_xlfn.XLOOKUP($K777&amp;"",COMPUTER!$B$3:$B$1009&amp;"",COMPUTER!$H$3:$H$1009,""),"Display",_xlfn.XLOOKUP($K777&amp;"",DISPLAY!$B$3:$B$1000&amp;"",DISPLAY!$H$3:$H$1000,""),"Network Device",_xlfn.XLOOKUP($K777&amp;"",'NETWORK-DEVICES'!$B$3:$B$987&amp;"",'NETWORK-DEVICES'!$H$3:$H$987,""),"Peripheral",_xlfn.XLOOKUP($K777&amp;"",PERIPHERAL!$B$3:$B$954&amp;"",PERIPHERAL!$H$3:$H$954,""),"Utilities",_xlfn.XLOOKUP($K777&amp;"",UTILITIES!$B$3:$B$953&amp;"",UTILITIES!$G$3:$G$953,""),"IOT",_xlfn.XLOOKUP($K777&amp;"",IOT!$B$3:$B$1012&amp;"",IOT!$H$3:$H$1012,""),"Server",_xlfn.XLOOKUP($K777&amp;"",SERVER!$B$3:$B$1009&amp;"",SERVER!$H$3:$H$1009,""),""),IF(TRIM(_xlpm.srcCat)&lt;&gt;TRIM($J777),"",_xlfn.SWITCH($I777,"Computer",_xlfn.XLOOKUP($K777&amp;"",COMPUTER!$B$3:$B$1009&amp;"",COMPUTER!$E$3:$E$1009,""),"Display",_xlfn.XLOOKUP($K777&amp;"",DISPLAY!$B$3:$B$1000&amp;"",DISPLAY!$E$3:$E$1000,""),"Network Device",_xlfn.XLOOKUP($K777&amp;"",'NETWORK-DEVICES'!$B$3:$B$987&amp;"",'NETWORK-DEVICES'!$E$3:$E$987,""),"Peripheral",_xlfn.XLOOKUP($K777&amp;"",PERIPHERAL!$B$3:$B$954&amp;"",PERIPHERAL!$E$3:$E$954,""),"Utilities",_xlfn.XLOOKUP($K777&amp;"",UTILITIES!$B$3:$B$953&amp;"",UTILITIES!$E$3:$E$953,""),"IOT",_xlfn.XLOOKUP($K777&amp;"",IOT!$B$3:$B$1012&amp;"",IOT!$E$3:$E$1012,""),"Server",_xlfn.XLOOKUP($K777&amp;"",SERVER!$B$3:$B$1009&amp;"",SERVER!$E$3:$E$1009,""),""))))</f>
        <v/>
      </c>
      <c r="Q777" s="1" t="str" cm="1">
        <f t="array" ref="Q777">IF(OR($K777="",$I777="",$J777=""),"",_xlfn.LET(_xlpm.srcCat,_xlfn.SWITCH($I777,"Computer",_xlfn.XLOOKUP($K777&amp;"",COMPUTER!$B$3:$B$1009&amp;"",COMPUTER!$H$3:$H$1009,""),"Display",_xlfn.XLOOKUP($K777&amp;"",DISPLAY!$B$3:$B$1000&amp;"",DISPLAY!$H$3:$H$1000,""),"Network Device",_xlfn.XLOOKUP($K777&amp;"",'NETWORK-DEVICES'!$B$3:$B$987&amp;"",'NETWORK-DEVICES'!$H$3:$H$987,""),"Peripheral",_xlfn.XLOOKUP($K777&amp;"",PERIPHERAL!$B$3:$B$954&amp;"",PERIPHERAL!$H$3:$H$954,""),"Utilities",_xlfn.XLOOKUP($K777&amp;"",UTILITIES!$B$3:$B$953&amp;"",UTILITIES!$G$3:$G$953,""),"IOT",_xlfn.XLOOKUP($K777&amp;"",IOT!$B$3:$B$1012&amp;"",IOT!$H$3:$H$1012,""),"Server",_xlfn.XLOOKUP($K777&amp;"",SERVER!$B$3:$B$1009&amp;"",SERVER!$H$3:$H$1009,""),""),IF(TRIM(_xlpm.srcCat)&lt;&gt;TRIM($J777),"",_xlfn.SWITCH($I777,"Computer",_xlfn.XLOOKUP($K777&amp;"",COMPUTER!$B$3:$B$1009&amp;"",COMPUTER!$AM$3:$AM$1009,""),"Display",_xlfn.XLOOKUP($K777&amp;"",DISPLAY!$B$3:$B$1000&amp;"",DISPLAY!$V$3:$V$1000,""),"Network Device",_xlfn.XLOOKUP($K777&amp;"",'NETWORK-DEVICES'!$B$3:$B$987&amp;"",'NETWORK-DEVICES'!$AF$3:$AF$987,""),"Peripheral",_xlfn.XLOOKUP($K777&amp;"",PERIPHERAL!$B$3:$B$954&amp;"",PERIPHERAL!$Y$3:$Y$954,""),"Utilities",_xlfn.XLOOKUP($K777&amp;"",UTILITIES!$B$3:$B$953&amp;"",UTILITIES!$O$3:$O$953,""),"IOT",_xlfn.XLOOKUP($K777&amp;"",IOT!$B$3:$B$1012&amp;"",IOT!$AB$3:$AB$1012,""),"Server",_xlfn.XLOOKUP($K777&amp;"",SERVER!$B$3:$B$1009&amp;"",SERVER!$AB$3:$AB$1009,""),""))))</f>
        <v/>
      </c>
      <c r="R777" s="43" t="str">
        <f>IF(tbl_handover[[#This Row],[Asset Code]]="","",COUNTIF(tbl_handover[Asset Code],tbl_handover[[#This Row],[Asset Code]]))</f>
        <v/>
      </c>
    </row>
    <row r="778" spans="1:18" x14ac:dyDescent="0.25">
      <c r="A778" s="43" t="str">
        <f>IF(B778&lt;&gt;"",SUBTOTAL(3,$B$1:B777),"")</f>
        <v/>
      </c>
      <c r="C778" s="74"/>
      <c r="D778" s="74"/>
      <c r="G778" s="1"/>
      <c r="K778" s="42"/>
      <c r="L778" t="str" cm="1">
        <f t="array" ref="L778">IF($K778="","",_xlfn.SWITCH($I778,"Computer",_xlfn.XLOOKUP($K778&amp;"",COMPUTER!$B$3:$B$1009&amp;"",COMPUTER!$I$3:$I$1009,""),"Display",_xlfn.XLOOKUP($K778&amp;"",DISPLAY!$B$3:$B$1000&amp;"",DISPLAY!$J$3:$J$1000,""),"Network Device",_xlfn.XLOOKUP($K778&amp;"",'NETWORK-DEVICES'!$B$3:$B$987&amp;"",'NETWORK-DEVICES'!$I$3:$I$987,""),"Peripheral",_xlfn.XLOOKUP($K778&amp;"",PERIPHERAL!$B$3:$B$954&amp;"",PERIPHERAL!$I$3:$I$954,""),"Utilities",_xlfn.XLOOKUP($K778&amp;"",UTILITIES!$B$3:$B$953&amp;"",UTILITIES!$H$3:$H$953,""),"IOT",_xlfn.XLOOKUP($K778&amp;"",IOT!$B$3:$B$1012&amp;"",IOT!$I$3:$I$1012,""),"SERVER",_xlfn.XLOOKUP($K778&amp;"",SERVER!$B$3:$B$1009&amp;"",SERVER!$I$3:$I$1009,""),""))</f>
        <v/>
      </c>
      <c r="M778" t="str" cm="1">
        <f t="array" ref="M778">IF($K778="","",_xlfn.SWITCH($I778,"Computer",_xlfn.XLOOKUP($K778&amp;"",COMPUTER!$B$3:$B$1009&amp;"",COMPUTER!$J$3:$J$1009,""),"Display",_xlfn.XLOOKUP($K778&amp;"",DISPLAY!$B$3:$B$1000&amp;"",DISPLAY!$K$3:$K$1000,""),"Network Device",_xlfn.XLOOKUP($K778&amp;"",'NETWORK-DEVICES'!$B$3:$B$987&amp;"",'NETWORK-DEVICES'!$I$3:$I$987,""),"Peripheral",_xlfn.XLOOKUP($K778&amp;"",PERIPHERAL!$B$3:$B$954&amp;"",PERIPHERAL!$J$3:$J$954,""),"Utilities",_xlfn.XLOOKUP($K778&amp;"",UTILITIES!$B$3:$B$953&amp;"",UTILITIES!$I$3:$I$953,""),"IOT",_xlfn.XLOOKUP($K778&amp;"",IOT!$B$3:$B$1012&amp;"",IOT!$J$3:$J$1012,""),"Server",_xlfn.XLOOKUP($K778&amp;"",SERVER!$B$3:$B$1009&amp;"",SERVER!$J$3:$J$1009,""),""))</f>
        <v/>
      </c>
      <c r="N778" s="1" t="str" cm="1">
        <f t="array" ref="N778">IF(OR($K778="",$I778="",$J778=""),"",_xlfn.LET(_xlpm.srcCat,_xlfn.SWITCH($I778,"Computer",_xlfn.XLOOKUP($K778&amp;"",COMPUTER!$B$3:$B$1009&amp;"",COMPUTER!$H$3:$H$1009,""),"Display",_xlfn.XLOOKUP($K778&amp;"",DISPLAY!$B$3:$B$1000&amp;"",DISPLAY!$H$3:$H$1000,""),"Network Device",_xlfn.XLOOKUP($K778&amp;"",'NETWORK-DEVICES'!$B$3:$B$987&amp;"",'NETWORK-DEVICES'!$H$3:$H$987,""),"Peripheral",_xlfn.XLOOKUP($K778&amp;"",PERIPHERAL!$B$3:$B$954&amp;"",PERIPHERAL!$H$3:$H$954,""),"Utilities",_xlfn.XLOOKUP($K778&amp;"",UTILITIES!$B$3:$B$953&amp;"",UTILITIES!$G$3:$G$953,""),"IOT",_xlfn.XLOOKUP($K778&amp;"",IOT!$B$3:$B$1012&amp;"",IOT!$H$3:$H$1012,""),"Server",_xlfn.XLOOKUP($K778&amp;"",SERVER!$B$3:$B$1009&amp;"",SERVER!$H$3:$H$1009,""),""),IF(TRIM(_xlpm.srcCat)&lt;&gt;TRIM($J778),"",_xlfn.SWITCH($I778,"Computer",_xlfn.XLOOKUP($K778&amp;"",COMPUTER!$B$3:$B$1009&amp;"",COMPUTER!$K$3:$K$1009,""),"Display",_xlfn.XLOOKUP($K778&amp;"",DISPLAY!$B$3:$B$1000&amp;"",DISPLAY!$L$3:$L$1000,""),"Network Device",_xlfn.XLOOKUP($K778&amp;"",'NETWORK-DEVICES'!$B$3:$B$987&amp;"",'NETWORK-DEVICES'!$K$3:$K$987,""),"Peripheral",_xlfn.XLOOKUP($K778&amp;"",PERIPHERAL!$B$3:$B$954&amp;"",PERIPHERAL!$K$3:$K$954,""),"Utilities",_xlfn.XLOOKUP($K778&amp;"",UTILITIES!$B$3:$B$953&amp;"",UTILITIES!$J$3:$J$953,""),"IOT",_xlfn.XLOOKUP($K778&amp;"",IOT!$B$3:$B$1012&amp;"",IOT!$K$4:$K$1012,""),"Server",_xlfn.XLOOKUP($K778&amp;"",SERVER!$B$3:$B$1009&amp;"",SERVER!$K$3:$K$1009,""),""))))</f>
        <v/>
      </c>
      <c r="O778" s="1" t="str" cm="1">
        <f t="array" ref="O778">IF(OR($K778="",$I778="",$J778=""),"",_xlfn.LET(_xlpm.srcCat,_xlfn.SWITCH($I778,"Computer",_xlfn.XLOOKUP($K778&amp;"",COMPUTER!$B$3:$B$1009&amp;"",COMPUTER!$H$3:$H$1009,""),"Display",_xlfn.XLOOKUP($K778&amp;"",DISPLAY!$B$3:$B$1000&amp;"",DISPLAY!$H$3:$H$1000,""),"Network Device",_xlfn.XLOOKUP($K778&amp;"",'NETWORK-DEVICES'!$B$3:$B$987&amp;"",'NETWORK-DEVICES'!$H$3:$H$987,""),"Peripheral",_xlfn.XLOOKUP($K778&amp;"",PERIPHERAL!$B$3:$B$954&amp;"",PERIPHERAL!$H$3:$H$954,""),"Utilities",_xlfn.XLOOKUP($K778&amp;"",UTILITIES!$B$3:$B$953&amp;"",UTILITIES!$G$3:$G$953,""),"IOT",_xlfn.XLOOKUP($K778&amp;"",IOT!$B$3:$B$1012&amp;"",IOT!$H$3:$H$1012,""),"Server",_xlfn.XLOOKUP($K778&amp;"",SERVER!$B$3:$B$1009&amp;"",SERVER!$H$3:$H$1009,""),""),IF(TRIM(_xlpm.srcCat)&lt;&gt;TRIM($J778),"",_xlfn.SWITCH($I778,"Computer",_xlfn.XLOOKUP($K778&amp;"",COMPUTER!$B$3:$B$1009&amp;"",COMPUTER!$E$3:$E$1009,""),"Display",_xlfn.XLOOKUP($K778&amp;"",DISPLAY!$B$3:$B$1000&amp;"",DISPLAY!$E$3:$E$1000,""),"Network Device",_xlfn.XLOOKUP($K778&amp;"",'NETWORK-DEVICES'!$B$3:$B$987&amp;"",'NETWORK-DEVICES'!$E$3:$E$987,""),"Peripheral",_xlfn.XLOOKUP($K778&amp;"",PERIPHERAL!$B$3:$B$954&amp;"",PERIPHERAL!$E$3:$E$954,""),"Utilities",_xlfn.XLOOKUP($K778&amp;"",UTILITIES!$B$3:$B$953&amp;"",UTILITIES!$E$3:$E$953,""),"IOT",_xlfn.XLOOKUP($K778&amp;"",IOT!$B$3:$B$1012&amp;"",IOT!$E$3:$E$1012,""),"Server",_xlfn.XLOOKUP($K778&amp;"",SERVER!$B$3:$B$1009&amp;"",SERVER!$E$3:$E$1009,""),""))))</f>
        <v/>
      </c>
      <c r="Q778" s="1" t="str" cm="1">
        <f t="array" ref="Q778">IF(OR($K778="",$I778="",$J778=""),"",_xlfn.LET(_xlpm.srcCat,_xlfn.SWITCH($I778,"Computer",_xlfn.XLOOKUP($K778&amp;"",COMPUTER!$B$3:$B$1009&amp;"",COMPUTER!$H$3:$H$1009,""),"Display",_xlfn.XLOOKUP($K778&amp;"",DISPLAY!$B$3:$B$1000&amp;"",DISPLAY!$H$3:$H$1000,""),"Network Device",_xlfn.XLOOKUP($K778&amp;"",'NETWORK-DEVICES'!$B$3:$B$987&amp;"",'NETWORK-DEVICES'!$H$3:$H$987,""),"Peripheral",_xlfn.XLOOKUP($K778&amp;"",PERIPHERAL!$B$3:$B$954&amp;"",PERIPHERAL!$H$3:$H$954,""),"Utilities",_xlfn.XLOOKUP($K778&amp;"",UTILITIES!$B$3:$B$953&amp;"",UTILITIES!$G$3:$G$953,""),"IOT",_xlfn.XLOOKUP($K778&amp;"",IOT!$B$3:$B$1012&amp;"",IOT!$H$3:$H$1012,""),"Server",_xlfn.XLOOKUP($K778&amp;"",SERVER!$B$3:$B$1009&amp;"",SERVER!$H$3:$H$1009,""),""),IF(TRIM(_xlpm.srcCat)&lt;&gt;TRIM($J778),"",_xlfn.SWITCH($I778,"Computer",_xlfn.XLOOKUP($K778&amp;"",COMPUTER!$B$3:$B$1009&amp;"",COMPUTER!$AM$3:$AM$1009,""),"Display",_xlfn.XLOOKUP($K778&amp;"",DISPLAY!$B$3:$B$1000&amp;"",DISPLAY!$V$3:$V$1000,""),"Network Device",_xlfn.XLOOKUP($K778&amp;"",'NETWORK-DEVICES'!$B$3:$B$987&amp;"",'NETWORK-DEVICES'!$AF$3:$AF$987,""),"Peripheral",_xlfn.XLOOKUP($K778&amp;"",PERIPHERAL!$B$3:$B$954&amp;"",PERIPHERAL!$Y$3:$Y$954,""),"Utilities",_xlfn.XLOOKUP($K778&amp;"",UTILITIES!$B$3:$B$953&amp;"",UTILITIES!$O$3:$O$953,""),"IOT",_xlfn.XLOOKUP($K778&amp;"",IOT!$B$3:$B$1012&amp;"",IOT!$AB$3:$AB$1012,""),"Server",_xlfn.XLOOKUP($K778&amp;"",SERVER!$B$3:$B$1009&amp;"",SERVER!$AB$3:$AB$1009,""),""))))</f>
        <v/>
      </c>
      <c r="R778" s="43" t="str">
        <f>IF(tbl_handover[[#This Row],[Asset Code]]="","",COUNTIF(tbl_handover[Asset Code],tbl_handover[[#This Row],[Asset Code]]))</f>
        <v/>
      </c>
    </row>
    <row r="779" spans="1:18" x14ac:dyDescent="0.25">
      <c r="A779" s="43" t="str">
        <f>IF(B779&lt;&gt;"",SUBTOTAL(3,$B$1:B778),"")</f>
        <v/>
      </c>
      <c r="C779" s="74"/>
      <c r="D779" s="74"/>
      <c r="G779" s="1"/>
      <c r="K779" s="42"/>
      <c r="L779" t="str" cm="1">
        <f t="array" ref="L779">IF($K779="","",_xlfn.SWITCH($I779,"Computer",_xlfn.XLOOKUP($K779&amp;"",COMPUTER!$B$3:$B$1009&amp;"",COMPUTER!$I$3:$I$1009,""),"Display",_xlfn.XLOOKUP($K779&amp;"",DISPLAY!$B$3:$B$1000&amp;"",DISPLAY!$J$3:$J$1000,""),"Network Device",_xlfn.XLOOKUP($K779&amp;"",'NETWORK-DEVICES'!$B$3:$B$987&amp;"",'NETWORK-DEVICES'!$I$3:$I$987,""),"Peripheral",_xlfn.XLOOKUP($K779&amp;"",PERIPHERAL!$B$3:$B$954&amp;"",PERIPHERAL!$I$3:$I$954,""),"Utilities",_xlfn.XLOOKUP($K779&amp;"",UTILITIES!$B$3:$B$953&amp;"",UTILITIES!$H$3:$H$953,""),"IOT",_xlfn.XLOOKUP($K779&amp;"",IOT!$B$3:$B$1012&amp;"",IOT!$I$3:$I$1012,""),"SERVER",_xlfn.XLOOKUP($K779&amp;"",SERVER!$B$3:$B$1009&amp;"",SERVER!$I$3:$I$1009,""),""))</f>
        <v/>
      </c>
      <c r="M779" t="str" cm="1">
        <f t="array" ref="M779">IF($K779="","",_xlfn.SWITCH($I779,"Computer",_xlfn.XLOOKUP($K779&amp;"",COMPUTER!$B$3:$B$1009&amp;"",COMPUTER!$J$3:$J$1009,""),"Display",_xlfn.XLOOKUP($K779&amp;"",DISPLAY!$B$3:$B$1000&amp;"",DISPLAY!$K$3:$K$1000,""),"Network Device",_xlfn.XLOOKUP($K779&amp;"",'NETWORK-DEVICES'!$B$3:$B$987&amp;"",'NETWORK-DEVICES'!$I$3:$I$987,""),"Peripheral",_xlfn.XLOOKUP($K779&amp;"",PERIPHERAL!$B$3:$B$954&amp;"",PERIPHERAL!$J$3:$J$954,""),"Utilities",_xlfn.XLOOKUP($K779&amp;"",UTILITIES!$B$3:$B$953&amp;"",UTILITIES!$I$3:$I$953,""),"IOT",_xlfn.XLOOKUP($K779&amp;"",IOT!$B$3:$B$1012&amp;"",IOT!$J$3:$J$1012,""),"Server",_xlfn.XLOOKUP($K779&amp;"",SERVER!$B$3:$B$1009&amp;"",SERVER!$J$3:$J$1009,""),""))</f>
        <v/>
      </c>
      <c r="N779" s="1" t="str" cm="1">
        <f t="array" ref="N779">IF(OR($K779="",$I779="",$J779=""),"",_xlfn.LET(_xlpm.srcCat,_xlfn.SWITCH($I779,"Computer",_xlfn.XLOOKUP($K779&amp;"",COMPUTER!$B$3:$B$1009&amp;"",COMPUTER!$H$3:$H$1009,""),"Display",_xlfn.XLOOKUP($K779&amp;"",DISPLAY!$B$3:$B$1000&amp;"",DISPLAY!$H$3:$H$1000,""),"Network Device",_xlfn.XLOOKUP($K779&amp;"",'NETWORK-DEVICES'!$B$3:$B$987&amp;"",'NETWORK-DEVICES'!$H$3:$H$987,""),"Peripheral",_xlfn.XLOOKUP($K779&amp;"",PERIPHERAL!$B$3:$B$954&amp;"",PERIPHERAL!$H$3:$H$954,""),"Utilities",_xlfn.XLOOKUP($K779&amp;"",UTILITIES!$B$3:$B$953&amp;"",UTILITIES!$G$3:$G$953,""),"IOT",_xlfn.XLOOKUP($K779&amp;"",IOT!$B$3:$B$1012&amp;"",IOT!$H$3:$H$1012,""),"Server",_xlfn.XLOOKUP($K779&amp;"",SERVER!$B$3:$B$1009&amp;"",SERVER!$H$3:$H$1009,""),""),IF(TRIM(_xlpm.srcCat)&lt;&gt;TRIM($J779),"",_xlfn.SWITCH($I779,"Computer",_xlfn.XLOOKUP($K779&amp;"",COMPUTER!$B$3:$B$1009&amp;"",COMPUTER!$K$3:$K$1009,""),"Display",_xlfn.XLOOKUP($K779&amp;"",DISPLAY!$B$3:$B$1000&amp;"",DISPLAY!$L$3:$L$1000,""),"Network Device",_xlfn.XLOOKUP($K779&amp;"",'NETWORK-DEVICES'!$B$3:$B$987&amp;"",'NETWORK-DEVICES'!$K$3:$K$987,""),"Peripheral",_xlfn.XLOOKUP($K779&amp;"",PERIPHERAL!$B$3:$B$954&amp;"",PERIPHERAL!$K$3:$K$954,""),"Utilities",_xlfn.XLOOKUP($K779&amp;"",UTILITIES!$B$3:$B$953&amp;"",UTILITIES!$J$3:$J$953,""),"IOT",_xlfn.XLOOKUP($K779&amp;"",IOT!$B$3:$B$1012&amp;"",IOT!$K$4:$K$1012,""),"Server",_xlfn.XLOOKUP($K779&amp;"",SERVER!$B$3:$B$1009&amp;"",SERVER!$K$3:$K$1009,""),""))))</f>
        <v/>
      </c>
      <c r="O779" s="1" t="str" cm="1">
        <f t="array" ref="O779">IF(OR($K779="",$I779="",$J779=""),"",_xlfn.LET(_xlpm.srcCat,_xlfn.SWITCH($I779,"Computer",_xlfn.XLOOKUP($K779&amp;"",COMPUTER!$B$3:$B$1009&amp;"",COMPUTER!$H$3:$H$1009,""),"Display",_xlfn.XLOOKUP($K779&amp;"",DISPLAY!$B$3:$B$1000&amp;"",DISPLAY!$H$3:$H$1000,""),"Network Device",_xlfn.XLOOKUP($K779&amp;"",'NETWORK-DEVICES'!$B$3:$B$987&amp;"",'NETWORK-DEVICES'!$H$3:$H$987,""),"Peripheral",_xlfn.XLOOKUP($K779&amp;"",PERIPHERAL!$B$3:$B$954&amp;"",PERIPHERAL!$H$3:$H$954,""),"Utilities",_xlfn.XLOOKUP($K779&amp;"",UTILITIES!$B$3:$B$953&amp;"",UTILITIES!$G$3:$G$953,""),"IOT",_xlfn.XLOOKUP($K779&amp;"",IOT!$B$3:$B$1012&amp;"",IOT!$H$3:$H$1012,""),"Server",_xlfn.XLOOKUP($K779&amp;"",SERVER!$B$3:$B$1009&amp;"",SERVER!$H$3:$H$1009,""),""),IF(TRIM(_xlpm.srcCat)&lt;&gt;TRIM($J779),"",_xlfn.SWITCH($I779,"Computer",_xlfn.XLOOKUP($K779&amp;"",COMPUTER!$B$3:$B$1009&amp;"",COMPUTER!$E$3:$E$1009,""),"Display",_xlfn.XLOOKUP($K779&amp;"",DISPLAY!$B$3:$B$1000&amp;"",DISPLAY!$E$3:$E$1000,""),"Network Device",_xlfn.XLOOKUP($K779&amp;"",'NETWORK-DEVICES'!$B$3:$B$987&amp;"",'NETWORK-DEVICES'!$E$3:$E$987,""),"Peripheral",_xlfn.XLOOKUP($K779&amp;"",PERIPHERAL!$B$3:$B$954&amp;"",PERIPHERAL!$E$3:$E$954,""),"Utilities",_xlfn.XLOOKUP($K779&amp;"",UTILITIES!$B$3:$B$953&amp;"",UTILITIES!$E$3:$E$953,""),"IOT",_xlfn.XLOOKUP($K779&amp;"",IOT!$B$3:$B$1012&amp;"",IOT!$E$3:$E$1012,""),"Server",_xlfn.XLOOKUP($K779&amp;"",SERVER!$B$3:$B$1009&amp;"",SERVER!$E$3:$E$1009,""),""))))</f>
        <v/>
      </c>
      <c r="Q779" s="1" t="str" cm="1">
        <f t="array" ref="Q779">IF(OR($K779="",$I779="",$J779=""),"",_xlfn.LET(_xlpm.srcCat,_xlfn.SWITCH($I779,"Computer",_xlfn.XLOOKUP($K779&amp;"",COMPUTER!$B$3:$B$1009&amp;"",COMPUTER!$H$3:$H$1009,""),"Display",_xlfn.XLOOKUP($K779&amp;"",DISPLAY!$B$3:$B$1000&amp;"",DISPLAY!$H$3:$H$1000,""),"Network Device",_xlfn.XLOOKUP($K779&amp;"",'NETWORK-DEVICES'!$B$3:$B$987&amp;"",'NETWORK-DEVICES'!$H$3:$H$987,""),"Peripheral",_xlfn.XLOOKUP($K779&amp;"",PERIPHERAL!$B$3:$B$954&amp;"",PERIPHERAL!$H$3:$H$954,""),"Utilities",_xlfn.XLOOKUP($K779&amp;"",UTILITIES!$B$3:$B$953&amp;"",UTILITIES!$G$3:$G$953,""),"IOT",_xlfn.XLOOKUP($K779&amp;"",IOT!$B$3:$B$1012&amp;"",IOT!$H$3:$H$1012,""),"Server",_xlfn.XLOOKUP($K779&amp;"",SERVER!$B$3:$B$1009&amp;"",SERVER!$H$3:$H$1009,""),""),IF(TRIM(_xlpm.srcCat)&lt;&gt;TRIM($J779),"",_xlfn.SWITCH($I779,"Computer",_xlfn.XLOOKUP($K779&amp;"",COMPUTER!$B$3:$B$1009&amp;"",COMPUTER!$AM$3:$AM$1009,""),"Display",_xlfn.XLOOKUP($K779&amp;"",DISPLAY!$B$3:$B$1000&amp;"",DISPLAY!$V$3:$V$1000,""),"Network Device",_xlfn.XLOOKUP($K779&amp;"",'NETWORK-DEVICES'!$B$3:$B$987&amp;"",'NETWORK-DEVICES'!$AF$3:$AF$987,""),"Peripheral",_xlfn.XLOOKUP($K779&amp;"",PERIPHERAL!$B$3:$B$954&amp;"",PERIPHERAL!$Y$3:$Y$954,""),"Utilities",_xlfn.XLOOKUP($K779&amp;"",UTILITIES!$B$3:$B$953&amp;"",UTILITIES!$O$3:$O$953,""),"IOT",_xlfn.XLOOKUP($K779&amp;"",IOT!$B$3:$B$1012&amp;"",IOT!$AB$3:$AB$1012,""),"Server",_xlfn.XLOOKUP($K779&amp;"",SERVER!$B$3:$B$1009&amp;"",SERVER!$AB$3:$AB$1009,""),""))))</f>
        <v/>
      </c>
      <c r="R779" s="43" t="str">
        <f>IF(tbl_handover[[#This Row],[Asset Code]]="","",COUNTIF(tbl_handover[Asset Code],tbl_handover[[#This Row],[Asset Code]]))</f>
        <v/>
      </c>
    </row>
    <row r="780" spans="1:18" x14ac:dyDescent="0.25">
      <c r="A780" s="43" t="str">
        <f>IF(B780&lt;&gt;"",SUBTOTAL(3,$B$1:B779),"")</f>
        <v/>
      </c>
      <c r="C780" s="74"/>
      <c r="D780" s="74"/>
      <c r="G780" s="1"/>
      <c r="K780" s="42"/>
      <c r="L780" t="str" cm="1">
        <f t="array" ref="L780">IF($K780="","",_xlfn.SWITCH($I780,"Computer",_xlfn.XLOOKUP($K780&amp;"",COMPUTER!$B$3:$B$1009&amp;"",COMPUTER!$I$3:$I$1009,""),"Display",_xlfn.XLOOKUP($K780&amp;"",DISPLAY!$B$3:$B$1000&amp;"",DISPLAY!$J$3:$J$1000,""),"Network Device",_xlfn.XLOOKUP($K780&amp;"",'NETWORK-DEVICES'!$B$3:$B$987&amp;"",'NETWORK-DEVICES'!$I$3:$I$987,""),"Peripheral",_xlfn.XLOOKUP($K780&amp;"",PERIPHERAL!$B$3:$B$954&amp;"",PERIPHERAL!$I$3:$I$954,""),"Utilities",_xlfn.XLOOKUP($K780&amp;"",UTILITIES!$B$3:$B$953&amp;"",UTILITIES!$H$3:$H$953,""),"IOT",_xlfn.XLOOKUP($K780&amp;"",IOT!$B$3:$B$1012&amp;"",IOT!$I$3:$I$1012,""),"SERVER",_xlfn.XLOOKUP($K780&amp;"",SERVER!$B$3:$B$1009&amp;"",SERVER!$I$3:$I$1009,""),""))</f>
        <v/>
      </c>
      <c r="M780" t="str" cm="1">
        <f t="array" ref="M780">IF($K780="","",_xlfn.SWITCH($I780,"Computer",_xlfn.XLOOKUP($K780&amp;"",COMPUTER!$B$3:$B$1009&amp;"",COMPUTER!$J$3:$J$1009,""),"Display",_xlfn.XLOOKUP($K780&amp;"",DISPLAY!$B$3:$B$1000&amp;"",DISPLAY!$K$3:$K$1000,""),"Network Device",_xlfn.XLOOKUP($K780&amp;"",'NETWORK-DEVICES'!$B$3:$B$987&amp;"",'NETWORK-DEVICES'!$I$3:$I$987,""),"Peripheral",_xlfn.XLOOKUP($K780&amp;"",PERIPHERAL!$B$3:$B$954&amp;"",PERIPHERAL!$J$3:$J$954,""),"Utilities",_xlfn.XLOOKUP($K780&amp;"",UTILITIES!$B$3:$B$953&amp;"",UTILITIES!$I$3:$I$953,""),"IOT",_xlfn.XLOOKUP($K780&amp;"",IOT!$B$3:$B$1012&amp;"",IOT!$J$3:$J$1012,""),"Server",_xlfn.XLOOKUP($K780&amp;"",SERVER!$B$3:$B$1009&amp;"",SERVER!$J$3:$J$1009,""),""))</f>
        <v/>
      </c>
      <c r="N780" s="1" t="str" cm="1">
        <f t="array" ref="N780">IF(OR($K780="",$I780="",$J780=""),"",_xlfn.LET(_xlpm.srcCat,_xlfn.SWITCH($I780,"Computer",_xlfn.XLOOKUP($K780&amp;"",COMPUTER!$B$3:$B$1009&amp;"",COMPUTER!$H$3:$H$1009,""),"Display",_xlfn.XLOOKUP($K780&amp;"",DISPLAY!$B$3:$B$1000&amp;"",DISPLAY!$H$3:$H$1000,""),"Network Device",_xlfn.XLOOKUP($K780&amp;"",'NETWORK-DEVICES'!$B$3:$B$987&amp;"",'NETWORK-DEVICES'!$H$3:$H$987,""),"Peripheral",_xlfn.XLOOKUP($K780&amp;"",PERIPHERAL!$B$3:$B$954&amp;"",PERIPHERAL!$H$3:$H$954,""),"Utilities",_xlfn.XLOOKUP($K780&amp;"",UTILITIES!$B$3:$B$953&amp;"",UTILITIES!$G$3:$G$953,""),"IOT",_xlfn.XLOOKUP($K780&amp;"",IOT!$B$3:$B$1012&amp;"",IOT!$H$3:$H$1012,""),"Server",_xlfn.XLOOKUP($K780&amp;"",SERVER!$B$3:$B$1009&amp;"",SERVER!$H$3:$H$1009,""),""),IF(TRIM(_xlpm.srcCat)&lt;&gt;TRIM($J780),"",_xlfn.SWITCH($I780,"Computer",_xlfn.XLOOKUP($K780&amp;"",COMPUTER!$B$3:$B$1009&amp;"",COMPUTER!$K$3:$K$1009,""),"Display",_xlfn.XLOOKUP($K780&amp;"",DISPLAY!$B$3:$B$1000&amp;"",DISPLAY!$L$3:$L$1000,""),"Network Device",_xlfn.XLOOKUP($K780&amp;"",'NETWORK-DEVICES'!$B$3:$B$987&amp;"",'NETWORK-DEVICES'!$K$3:$K$987,""),"Peripheral",_xlfn.XLOOKUP($K780&amp;"",PERIPHERAL!$B$3:$B$954&amp;"",PERIPHERAL!$K$3:$K$954,""),"Utilities",_xlfn.XLOOKUP($K780&amp;"",UTILITIES!$B$3:$B$953&amp;"",UTILITIES!$J$3:$J$953,""),"IOT",_xlfn.XLOOKUP($K780&amp;"",IOT!$B$3:$B$1012&amp;"",IOT!$K$4:$K$1012,""),"Server",_xlfn.XLOOKUP($K780&amp;"",SERVER!$B$3:$B$1009&amp;"",SERVER!$K$3:$K$1009,""),""))))</f>
        <v/>
      </c>
      <c r="O780" s="1" t="str" cm="1">
        <f t="array" ref="O780">IF(OR($K780="",$I780="",$J780=""),"",_xlfn.LET(_xlpm.srcCat,_xlfn.SWITCH($I780,"Computer",_xlfn.XLOOKUP($K780&amp;"",COMPUTER!$B$3:$B$1009&amp;"",COMPUTER!$H$3:$H$1009,""),"Display",_xlfn.XLOOKUP($K780&amp;"",DISPLAY!$B$3:$B$1000&amp;"",DISPLAY!$H$3:$H$1000,""),"Network Device",_xlfn.XLOOKUP($K780&amp;"",'NETWORK-DEVICES'!$B$3:$B$987&amp;"",'NETWORK-DEVICES'!$H$3:$H$987,""),"Peripheral",_xlfn.XLOOKUP($K780&amp;"",PERIPHERAL!$B$3:$B$954&amp;"",PERIPHERAL!$H$3:$H$954,""),"Utilities",_xlfn.XLOOKUP($K780&amp;"",UTILITIES!$B$3:$B$953&amp;"",UTILITIES!$G$3:$G$953,""),"IOT",_xlfn.XLOOKUP($K780&amp;"",IOT!$B$3:$B$1012&amp;"",IOT!$H$3:$H$1012,""),"Server",_xlfn.XLOOKUP($K780&amp;"",SERVER!$B$3:$B$1009&amp;"",SERVER!$H$3:$H$1009,""),""),IF(TRIM(_xlpm.srcCat)&lt;&gt;TRIM($J780),"",_xlfn.SWITCH($I780,"Computer",_xlfn.XLOOKUP($K780&amp;"",COMPUTER!$B$3:$B$1009&amp;"",COMPUTER!$E$3:$E$1009,""),"Display",_xlfn.XLOOKUP($K780&amp;"",DISPLAY!$B$3:$B$1000&amp;"",DISPLAY!$E$3:$E$1000,""),"Network Device",_xlfn.XLOOKUP($K780&amp;"",'NETWORK-DEVICES'!$B$3:$B$987&amp;"",'NETWORK-DEVICES'!$E$3:$E$987,""),"Peripheral",_xlfn.XLOOKUP($K780&amp;"",PERIPHERAL!$B$3:$B$954&amp;"",PERIPHERAL!$E$3:$E$954,""),"Utilities",_xlfn.XLOOKUP($K780&amp;"",UTILITIES!$B$3:$B$953&amp;"",UTILITIES!$E$3:$E$953,""),"IOT",_xlfn.XLOOKUP($K780&amp;"",IOT!$B$3:$B$1012&amp;"",IOT!$E$3:$E$1012,""),"Server",_xlfn.XLOOKUP($K780&amp;"",SERVER!$B$3:$B$1009&amp;"",SERVER!$E$3:$E$1009,""),""))))</f>
        <v/>
      </c>
      <c r="Q780" s="1" t="str" cm="1">
        <f t="array" ref="Q780">IF(OR($K780="",$I780="",$J780=""),"",_xlfn.LET(_xlpm.srcCat,_xlfn.SWITCH($I780,"Computer",_xlfn.XLOOKUP($K780&amp;"",COMPUTER!$B$3:$B$1009&amp;"",COMPUTER!$H$3:$H$1009,""),"Display",_xlfn.XLOOKUP($K780&amp;"",DISPLAY!$B$3:$B$1000&amp;"",DISPLAY!$H$3:$H$1000,""),"Network Device",_xlfn.XLOOKUP($K780&amp;"",'NETWORK-DEVICES'!$B$3:$B$987&amp;"",'NETWORK-DEVICES'!$H$3:$H$987,""),"Peripheral",_xlfn.XLOOKUP($K780&amp;"",PERIPHERAL!$B$3:$B$954&amp;"",PERIPHERAL!$H$3:$H$954,""),"Utilities",_xlfn.XLOOKUP($K780&amp;"",UTILITIES!$B$3:$B$953&amp;"",UTILITIES!$G$3:$G$953,""),"IOT",_xlfn.XLOOKUP($K780&amp;"",IOT!$B$3:$B$1012&amp;"",IOT!$H$3:$H$1012,""),"Server",_xlfn.XLOOKUP($K780&amp;"",SERVER!$B$3:$B$1009&amp;"",SERVER!$H$3:$H$1009,""),""),IF(TRIM(_xlpm.srcCat)&lt;&gt;TRIM($J780),"",_xlfn.SWITCH($I780,"Computer",_xlfn.XLOOKUP($K780&amp;"",COMPUTER!$B$3:$B$1009&amp;"",COMPUTER!$AM$3:$AM$1009,""),"Display",_xlfn.XLOOKUP($K780&amp;"",DISPLAY!$B$3:$B$1000&amp;"",DISPLAY!$V$3:$V$1000,""),"Network Device",_xlfn.XLOOKUP($K780&amp;"",'NETWORK-DEVICES'!$B$3:$B$987&amp;"",'NETWORK-DEVICES'!$AF$3:$AF$987,""),"Peripheral",_xlfn.XLOOKUP($K780&amp;"",PERIPHERAL!$B$3:$B$954&amp;"",PERIPHERAL!$Y$3:$Y$954,""),"Utilities",_xlfn.XLOOKUP($K780&amp;"",UTILITIES!$B$3:$B$953&amp;"",UTILITIES!$O$3:$O$953,""),"IOT",_xlfn.XLOOKUP($K780&amp;"",IOT!$B$3:$B$1012&amp;"",IOT!$AB$3:$AB$1012,""),"Server",_xlfn.XLOOKUP($K780&amp;"",SERVER!$B$3:$B$1009&amp;"",SERVER!$AB$3:$AB$1009,""),""))))</f>
        <v/>
      </c>
      <c r="R780" s="43" t="str">
        <f>IF(tbl_handover[[#This Row],[Asset Code]]="","",COUNTIF(tbl_handover[Asset Code],tbl_handover[[#This Row],[Asset Code]]))</f>
        <v/>
      </c>
    </row>
    <row r="781" spans="1:18" x14ac:dyDescent="0.25">
      <c r="A781" s="43" t="str">
        <f>IF(B781&lt;&gt;"",SUBTOTAL(3,$B$1:B780),"")</f>
        <v/>
      </c>
      <c r="C781" s="74"/>
      <c r="D781" s="74"/>
      <c r="G781" s="1"/>
      <c r="K781" s="42"/>
      <c r="L781" t="str" cm="1">
        <f t="array" ref="L781">IF($K781="","",_xlfn.SWITCH($I781,"Computer",_xlfn.XLOOKUP($K781&amp;"",COMPUTER!$B$3:$B$1009&amp;"",COMPUTER!$I$3:$I$1009,""),"Display",_xlfn.XLOOKUP($K781&amp;"",DISPLAY!$B$3:$B$1000&amp;"",DISPLAY!$J$3:$J$1000,""),"Network Device",_xlfn.XLOOKUP($K781&amp;"",'NETWORK-DEVICES'!$B$3:$B$987&amp;"",'NETWORK-DEVICES'!$I$3:$I$987,""),"Peripheral",_xlfn.XLOOKUP($K781&amp;"",PERIPHERAL!$B$3:$B$954&amp;"",PERIPHERAL!$I$3:$I$954,""),"Utilities",_xlfn.XLOOKUP($K781&amp;"",UTILITIES!$B$3:$B$953&amp;"",UTILITIES!$H$3:$H$953,""),"IOT",_xlfn.XLOOKUP($K781&amp;"",IOT!$B$3:$B$1012&amp;"",IOT!$I$3:$I$1012,""),"SERVER",_xlfn.XLOOKUP($K781&amp;"",SERVER!$B$3:$B$1009&amp;"",SERVER!$I$3:$I$1009,""),""))</f>
        <v/>
      </c>
      <c r="M781" t="str" cm="1">
        <f t="array" ref="M781">IF($K781="","",_xlfn.SWITCH($I781,"Computer",_xlfn.XLOOKUP($K781&amp;"",COMPUTER!$B$3:$B$1009&amp;"",COMPUTER!$J$3:$J$1009,""),"Display",_xlfn.XLOOKUP($K781&amp;"",DISPLAY!$B$3:$B$1000&amp;"",DISPLAY!$K$3:$K$1000,""),"Network Device",_xlfn.XLOOKUP($K781&amp;"",'NETWORK-DEVICES'!$B$3:$B$987&amp;"",'NETWORK-DEVICES'!$I$3:$I$987,""),"Peripheral",_xlfn.XLOOKUP($K781&amp;"",PERIPHERAL!$B$3:$B$954&amp;"",PERIPHERAL!$J$3:$J$954,""),"Utilities",_xlfn.XLOOKUP($K781&amp;"",UTILITIES!$B$3:$B$953&amp;"",UTILITIES!$I$3:$I$953,""),"IOT",_xlfn.XLOOKUP($K781&amp;"",IOT!$B$3:$B$1012&amp;"",IOT!$J$3:$J$1012,""),"Server",_xlfn.XLOOKUP($K781&amp;"",SERVER!$B$3:$B$1009&amp;"",SERVER!$J$3:$J$1009,""),""))</f>
        <v/>
      </c>
      <c r="N781" s="1" t="str" cm="1">
        <f t="array" ref="N781">IF(OR($K781="",$I781="",$J781=""),"",_xlfn.LET(_xlpm.srcCat,_xlfn.SWITCH($I781,"Computer",_xlfn.XLOOKUP($K781&amp;"",COMPUTER!$B$3:$B$1009&amp;"",COMPUTER!$H$3:$H$1009,""),"Display",_xlfn.XLOOKUP($K781&amp;"",DISPLAY!$B$3:$B$1000&amp;"",DISPLAY!$H$3:$H$1000,""),"Network Device",_xlfn.XLOOKUP($K781&amp;"",'NETWORK-DEVICES'!$B$3:$B$987&amp;"",'NETWORK-DEVICES'!$H$3:$H$987,""),"Peripheral",_xlfn.XLOOKUP($K781&amp;"",PERIPHERAL!$B$3:$B$954&amp;"",PERIPHERAL!$H$3:$H$954,""),"Utilities",_xlfn.XLOOKUP($K781&amp;"",UTILITIES!$B$3:$B$953&amp;"",UTILITIES!$G$3:$G$953,""),"IOT",_xlfn.XLOOKUP($K781&amp;"",IOT!$B$3:$B$1012&amp;"",IOT!$H$3:$H$1012,""),"Server",_xlfn.XLOOKUP($K781&amp;"",SERVER!$B$3:$B$1009&amp;"",SERVER!$H$3:$H$1009,""),""),IF(TRIM(_xlpm.srcCat)&lt;&gt;TRIM($J781),"",_xlfn.SWITCH($I781,"Computer",_xlfn.XLOOKUP($K781&amp;"",COMPUTER!$B$3:$B$1009&amp;"",COMPUTER!$K$3:$K$1009,""),"Display",_xlfn.XLOOKUP($K781&amp;"",DISPLAY!$B$3:$B$1000&amp;"",DISPLAY!$L$3:$L$1000,""),"Network Device",_xlfn.XLOOKUP($K781&amp;"",'NETWORK-DEVICES'!$B$3:$B$987&amp;"",'NETWORK-DEVICES'!$K$3:$K$987,""),"Peripheral",_xlfn.XLOOKUP($K781&amp;"",PERIPHERAL!$B$3:$B$954&amp;"",PERIPHERAL!$K$3:$K$954,""),"Utilities",_xlfn.XLOOKUP($K781&amp;"",UTILITIES!$B$3:$B$953&amp;"",UTILITIES!$J$3:$J$953,""),"IOT",_xlfn.XLOOKUP($K781&amp;"",IOT!$B$3:$B$1012&amp;"",IOT!$K$4:$K$1012,""),"Server",_xlfn.XLOOKUP($K781&amp;"",SERVER!$B$3:$B$1009&amp;"",SERVER!$K$3:$K$1009,""),""))))</f>
        <v/>
      </c>
      <c r="O781" s="1" t="str" cm="1">
        <f t="array" ref="O781">IF(OR($K781="",$I781="",$J781=""),"",_xlfn.LET(_xlpm.srcCat,_xlfn.SWITCH($I781,"Computer",_xlfn.XLOOKUP($K781&amp;"",COMPUTER!$B$3:$B$1009&amp;"",COMPUTER!$H$3:$H$1009,""),"Display",_xlfn.XLOOKUP($K781&amp;"",DISPLAY!$B$3:$B$1000&amp;"",DISPLAY!$H$3:$H$1000,""),"Network Device",_xlfn.XLOOKUP($K781&amp;"",'NETWORK-DEVICES'!$B$3:$B$987&amp;"",'NETWORK-DEVICES'!$H$3:$H$987,""),"Peripheral",_xlfn.XLOOKUP($K781&amp;"",PERIPHERAL!$B$3:$B$954&amp;"",PERIPHERAL!$H$3:$H$954,""),"Utilities",_xlfn.XLOOKUP($K781&amp;"",UTILITIES!$B$3:$B$953&amp;"",UTILITIES!$G$3:$G$953,""),"IOT",_xlfn.XLOOKUP($K781&amp;"",IOT!$B$3:$B$1012&amp;"",IOT!$H$3:$H$1012,""),"Server",_xlfn.XLOOKUP($K781&amp;"",SERVER!$B$3:$B$1009&amp;"",SERVER!$H$3:$H$1009,""),""),IF(TRIM(_xlpm.srcCat)&lt;&gt;TRIM($J781),"",_xlfn.SWITCH($I781,"Computer",_xlfn.XLOOKUP($K781&amp;"",COMPUTER!$B$3:$B$1009&amp;"",COMPUTER!$E$3:$E$1009,""),"Display",_xlfn.XLOOKUP($K781&amp;"",DISPLAY!$B$3:$B$1000&amp;"",DISPLAY!$E$3:$E$1000,""),"Network Device",_xlfn.XLOOKUP($K781&amp;"",'NETWORK-DEVICES'!$B$3:$B$987&amp;"",'NETWORK-DEVICES'!$E$3:$E$987,""),"Peripheral",_xlfn.XLOOKUP($K781&amp;"",PERIPHERAL!$B$3:$B$954&amp;"",PERIPHERAL!$E$3:$E$954,""),"Utilities",_xlfn.XLOOKUP($K781&amp;"",UTILITIES!$B$3:$B$953&amp;"",UTILITIES!$E$3:$E$953,""),"IOT",_xlfn.XLOOKUP($K781&amp;"",IOT!$B$3:$B$1012&amp;"",IOT!$E$3:$E$1012,""),"Server",_xlfn.XLOOKUP($K781&amp;"",SERVER!$B$3:$B$1009&amp;"",SERVER!$E$3:$E$1009,""),""))))</f>
        <v/>
      </c>
      <c r="Q781" s="1" t="str" cm="1">
        <f t="array" ref="Q781">IF(OR($K781="",$I781="",$J781=""),"",_xlfn.LET(_xlpm.srcCat,_xlfn.SWITCH($I781,"Computer",_xlfn.XLOOKUP($K781&amp;"",COMPUTER!$B$3:$B$1009&amp;"",COMPUTER!$H$3:$H$1009,""),"Display",_xlfn.XLOOKUP($K781&amp;"",DISPLAY!$B$3:$B$1000&amp;"",DISPLAY!$H$3:$H$1000,""),"Network Device",_xlfn.XLOOKUP($K781&amp;"",'NETWORK-DEVICES'!$B$3:$B$987&amp;"",'NETWORK-DEVICES'!$H$3:$H$987,""),"Peripheral",_xlfn.XLOOKUP($K781&amp;"",PERIPHERAL!$B$3:$B$954&amp;"",PERIPHERAL!$H$3:$H$954,""),"Utilities",_xlfn.XLOOKUP($K781&amp;"",UTILITIES!$B$3:$B$953&amp;"",UTILITIES!$G$3:$G$953,""),"IOT",_xlfn.XLOOKUP($K781&amp;"",IOT!$B$3:$B$1012&amp;"",IOT!$H$3:$H$1012,""),"Server",_xlfn.XLOOKUP($K781&amp;"",SERVER!$B$3:$B$1009&amp;"",SERVER!$H$3:$H$1009,""),""),IF(TRIM(_xlpm.srcCat)&lt;&gt;TRIM($J781),"",_xlfn.SWITCH($I781,"Computer",_xlfn.XLOOKUP($K781&amp;"",COMPUTER!$B$3:$B$1009&amp;"",COMPUTER!$AM$3:$AM$1009,""),"Display",_xlfn.XLOOKUP($K781&amp;"",DISPLAY!$B$3:$B$1000&amp;"",DISPLAY!$V$3:$V$1000,""),"Network Device",_xlfn.XLOOKUP($K781&amp;"",'NETWORK-DEVICES'!$B$3:$B$987&amp;"",'NETWORK-DEVICES'!$AF$3:$AF$987,""),"Peripheral",_xlfn.XLOOKUP($K781&amp;"",PERIPHERAL!$B$3:$B$954&amp;"",PERIPHERAL!$Y$3:$Y$954,""),"Utilities",_xlfn.XLOOKUP($K781&amp;"",UTILITIES!$B$3:$B$953&amp;"",UTILITIES!$O$3:$O$953,""),"IOT",_xlfn.XLOOKUP($K781&amp;"",IOT!$B$3:$B$1012&amp;"",IOT!$AB$3:$AB$1012,""),"Server",_xlfn.XLOOKUP($K781&amp;"",SERVER!$B$3:$B$1009&amp;"",SERVER!$AB$3:$AB$1009,""),""))))</f>
        <v/>
      </c>
      <c r="R781" s="43" t="str">
        <f>IF(tbl_handover[[#This Row],[Asset Code]]="","",COUNTIF(tbl_handover[Asset Code],tbl_handover[[#This Row],[Asset Code]]))</f>
        <v/>
      </c>
    </row>
    <row r="782" spans="1:18" x14ac:dyDescent="0.25">
      <c r="A782" s="43" t="str">
        <f>IF(B782&lt;&gt;"",SUBTOTAL(3,$B$1:B781),"")</f>
        <v/>
      </c>
      <c r="C782" s="74"/>
      <c r="D782" s="74"/>
      <c r="G782" s="1"/>
      <c r="K782" s="42"/>
      <c r="L782" t="str" cm="1">
        <f t="array" ref="L782">IF($K782="","",_xlfn.SWITCH($I782,"Computer",_xlfn.XLOOKUP($K782&amp;"",COMPUTER!$B$3:$B$1009&amp;"",COMPUTER!$I$3:$I$1009,""),"Display",_xlfn.XLOOKUP($K782&amp;"",DISPLAY!$B$3:$B$1000&amp;"",DISPLAY!$J$3:$J$1000,""),"Network Device",_xlfn.XLOOKUP($K782&amp;"",'NETWORK-DEVICES'!$B$3:$B$987&amp;"",'NETWORK-DEVICES'!$I$3:$I$987,""),"Peripheral",_xlfn.XLOOKUP($K782&amp;"",PERIPHERAL!$B$3:$B$954&amp;"",PERIPHERAL!$I$3:$I$954,""),"Utilities",_xlfn.XLOOKUP($K782&amp;"",UTILITIES!$B$3:$B$953&amp;"",UTILITIES!$H$3:$H$953,""),"IOT",_xlfn.XLOOKUP($K782&amp;"",IOT!$B$3:$B$1012&amp;"",IOT!$I$3:$I$1012,""),"SERVER",_xlfn.XLOOKUP($K782&amp;"",SERVER!$B$3:$B$1009&amp;"",SERVER!$I$3:$I$1009,""),""))</f>
        <v/>
      </c>
      <c r="M782" t="str" cm="1">
        <f t="array" ref="M782">IF($K782="","",_xlfn.SWITCH($I782,"Computer",_xlfn.XLOOKUP($K782&amp;"",COMPUTER!$B$3:$B$1009&amp;"",COMPUTER!$J$3:$J$1009,""),"Display",_xlfn.XLOOKUP($K782&amp;"",DISPLAY!$B$3:$B$1000&amp;"",DISPLAY!$K$3:$K$1000,""),"Network Device",_xlfn.XLOOKUP($K782&amp;"",'NETWORK-DEVICES'!$B$3:$B$987&amp;"",'NETWORK-DEVICES'!$I$3:$I$987,""),"Peripheral",_xlfn.XLOOKUP($K782&amp;"",PERIPHERAL!$B$3:$B$954&amp;"",PERIPHERAL!$J$3:$J$954,""),"Utilities",_xlfn.XLOOKUP($K782&amp;"",UTILITIES!$B$3:$B$953&amp;"",UTILITIES!$I$3:$I$953,""),"IOT",_xlfn.XLOOKUP($K782&amp;"",IOT!$B$3:$B$1012&amp;"",IOT!$J$3:$J$1012,""),"Server",_xlfn.XLOOKUP($K782&amp;"",SERVER!$B$3:$B$1009&amp;"",SERVER!$J$3:$J$1009,""),""))</f>
        <v/>
      </c>
      <c r="N782" s="1" t="str" cm="1">
        <f t="array" ref="N782">IF(OR($K782="",$I782="",$J782=""),"",_xlfn.LET(_xlpm.srcCat,_xlfn.SWITCH($I782,"Computer",_xlfn.XLOOKUP($K782&amp;"",COMPUTER!$B$3:$B$1009&amp;"",COMPUTER!$H$3:$H$1009,""),"Display",_xlfn.XLOOKUP($K782&amp;"",DISPLAY!$B$3:$B$1000&amp;"",DISPLAY!$H$3:$H$1000,""),"Network Device",_xlfn.XLOOKUP($K782&amp;"",'NETWORK-DEVICES'!$B$3:$B$987&amp;"",'NETWORK-DEVICES'!$H$3:$H$987,""),"Peripheral",_xlfn.XLOOKUP($K782&amp;"",PERIPHERAL!$B$3:$B$954&amp;"",PERIPHERAL!$H$3:$H$954,""),"Utilities",_xlfn.XLOOKUP($K782&amp;"",UTILITIES!$B$3:$B$953&amp;"",UTILITIES!$G$3:$G$953,""),"IOT",_xlfn.XLOOKUP($K782&amp;"",IOT!$B$3:$B$1012&amp;"",IOT!$H$3:$H$1012,""),"Server",_xlfn.XLOOKUP($K782&amp;"",SERVER!$B$3:$B$1009&amp;"",SERVER!$H$3:$H$1009,""),""),IF(TRIM(_xlpm.srcCat)&lt;&gt;TRIM($J782),"",_xlfn.SWITCH($I782,"Computer",_xlfn.XLOOKUP($K782&amp;"",COMPUTER!$B$3:$B$1009&amp;"",COMPUTER!$K$3:$K$1009,""),"Display",_xlfn.XLOOKUP($K782&amp;"",DISPLAY!$B$3:$B$1000&amp;"",DISPLAY!$L$3:$L$1000,""),"Network Device",_xlfn.XLOOKUP($K782&amp;"",'NETWORK-DEVICES'!$B$3:$B$987&amp;"",'NETWORK-DEVICES'!$K$3:$K$987,""),"Peripheral",_xlfn.XLOOKUP($K782&amp;"",PERIPHERAL!$B$3:$B$954&amp;"",PERIPHERAL!$K$3:$K$954,""),"Utilities",_xlfn.XLOOKUP($K782&amp;"",UTILITIES!$B$3:$B$953&amp;"",UTILITIES!$J$3:$J$953,""),"IOT",_xlfn.XLOOKUP($K782&amp;"",IOT!$B$3:$B$1012&amp;"",IOT!$K$4:$K$1012,""),"Server",_xlfn.XLOOKUP($K782&amp;"",SERVER!$B$3:$B$1009&amp;"",SERVER!$K$3:$K$1009,""),""))))</f>
        <v/>
      </c>
      <c r="O782" s="1" t="str" cm="1">
        <f t="array" ref="O782">IF(OR($K782="",$I782="",$J782=""),"",_xlfn.LET(_xlpm.srcCat,_xlfn.SWITCH($I782,"Computer",_xlfn.XLOOKUP($K782&amp;"",COMPUTER!$B$3:$B$1009&amp;"",COMPUTER!$H$3:$H$1009,""),"Display",_xlfn.XLOOKUP($K782&amp;"",DISPLAY!$B$3:$B$1000&amp;"",DISPLAY!$H$3:$H$1000,""),"Network Device",_xlfn.XLOOKUP($K782&amp;"",'NETWORK-DEVICES'!$B$3:$B$987&amp;"",'NETWORK-DEVICES'!$H$3:$H$987,""),"Peripheral",_xlfn.XLOOKUP($K782&amp;"",PERIPHERAL!$B$3:$B$954&amp;"",PERIPHERAL!$H$3:$H$954,""),"Utilities",_xlfn.XLOOKUP($K782&amp;"",UTILITIES!$B$3:$B$953&amp;"",UTILITIES!$G$3:$G$953,""),"IOT",_xlfn.XLOOKUP($K782&amp;"",IOT!$B$3:$B$1012&amp;"",IOT!$H$3:$H$1012,""),"Server",_xlfn.XLOOKUP($K782&amp;"",SERVER!$B$3:$B$1009&amp;"",SERVER!$H$3:$H$1009,""),""),IF(TRIM(_xlpm.srcCat)&lt;&gt;TRIM($J782),"",_xlfn.SWITCH($I782,"Computer",_xlfn.XLOOKUP($K782&amp;"",COMPUTER!$B$3:$B$1009&amp;"",COMPUTER!$E$3:$E$1009,""),"Display",_xlfn.XLOOKUP($K782&amp;"",DISPLAY!$B$3:$B$1000&amp;"",DISPLAY!$E$3:$E$1000,""),"Network Device",_xlfn.XLOOKUP($K782&amp;"",'NETWORK-DEVICES'!$B$3:$B$987&amp;"",'NETWORK-DEVICES'!$E$3:$E$987,""),"Peripheral",_xlfn.XLOOKUP($K782&amp;"",PERIPHERAL!$B$3:$B$954&amp;"",PERIPHERAL!$E$3:$E$954,""),"Utilities",_xlfn.XLOOKUP($K782&amp;"",UTILITIES!$B$3:$B$953&amp;"",UTILITIES!$E$3:$E$953,""),"IOT",_xlfn.XLOOKUP($K782&amp;"",IOT!$B$3:$B$1012&amp;"",IOT!$E$3:$E$1012,""),"Server",_xlfn.XLOOKUP($K782&amp;"",SERVER!$B$3:$B$1009&amp;"",SERVER!$E$3:$E$1009,""),""))))</f>
        <v/>
      </c>
      <c r="Q782" s="1" t="str" cm="1">
        <f t="array" ref="Q782">IF(OR($K782="",$I782="",$J782=""),"",_xlfn.LET(_xlpm.srcCat,_xlfn.SWITCH($I782,"Computer",_xlfn.XLOOKUP($K782&amp;"",COMPUTER!$B$3:$B$1009&amp;"",COMPUTER!$H$3:$H$1009,""),"Display",_xlfn.XLOOKUP($K782&amp;"",DISPLAY!$B$3:$B$1000&amp;"",DISPLAY!$H$3:$H$1000,""),"Network Device",_xlfn.XLOOKUP($K782&amp;"",'NETWORK-DEVICES'!$B$3:$B$987&amp;"",'NETWORK-DEVICES'!$H$3:$H$987,""),"Peripheral",_xlfn.XLOOKUP($K782&amp;"",PERIPHERAL!$B$3:$B$954&amp;"",PERIPHERAL!$H$3:$H$954,""),"Utilities",_xlfn.XLOOKUP($K782&amp;"",UTILITIES!$B$3:$B$953&amp;"",UTILITIES!$G$3:$G$953,""),"IOT",_xlfn.XLOOKUP($K782&amp;"",IOT!$B$3:$B$1012&amp;"",IOT!$H$3:$H$1012,""),"Server",_xlfn.XLOOKUP($K782&amp;"",SERVER!$B$3:$B$1009&amp;"",SERVER!$H$3:$H$1009,""),""),IF(TRIM(_xlpm.srcCat)&lt;&gt;TRIM($J782),"",_xlfn.SWITCH($I782,"Computer",_xlfn.XLOOKUP($K782&amp;"",COMPUTER!$B$3:$B$1009&amp;"",COMPUTER!$AM$3:$AM$1009,""),"Display",_xlfn.XLOOKUP($K782&amp;"",DISPLAY!$B$3:$B$1000&amp;"",DISPLAY!$V$3:$V$1000,""),"Network Device",_xlfn.XLOOKUP($K782&amp;"",'NETWORK-DEVICES'!$B$3:$B$987&amp;"",'NETWORK-DEVICES'!$AF$3:$AF$987,""),"Peripheral",_xlfn.XLOOKUP($K782&amp;"",PERIPHERAL!$B$3:$B$954&amp;"",PERIPHERAL!$Y$3:$Y$954,""),"Utilities",_xlfn.XLOOKUP($K782&amp;"",UTILITIES!$B$3:$B$953&amp;"",UTILITIES!$O$3:$O$953,""),"IOT",_xlfn.XLOOKUP($K782&amp;"",IOT!$B$3:$B$1012&amp;"",IOT!$AB$3:$AB$1012,""),"Server",_xlfn.XLOOKUP($K782&amp;"",SERVER!$B$3:$B$1009&amp;"",SERVER!$AB$3:$AB$1009,""),""))))</f>
        <v/>
      </c>
      <c r="R782" s="43" t="str">
        <f>IF(tbl_handover[[#This Row],[Asset Code]]="","",COUNTIF(tbl_handover[Asset Code],tbl_handover[[#This Row],[Asset Code]]))</f>
        <v/>
      </c>
    </row>
    <row r="783" spans="1:18" x14ac:dyDescent="0.25">
      <c r="A783" s="43" t="str">
        <f>IF(B783&lt;&gt;"",SUBTOTAL(3,$B$1:B782),"")</f>
        <v/>
      </c>
      <c r="C783" s="74"/>
      <c r="D783" s="74"/>
      <c r="G783" s="1"/>
      <c r="K783" s="42"/>
      <c r="L783" t="str" cm="1">
        <f t="array" ref="L783">IF($K783="","",_xlfn.SWITCH($I783,"Computer",_xlfn.XLOOKUP($K783&amp;"",COMPUTER!$B$3:$B$1009&amp;"",COMPUTER!$I$3:$I$1009,""),"Display",_xlfn.XLOOKUP($K783&amp;"",DISPLAY!$B$3:$B$1000&amp;"",DISPLAY!$J$3:$J$1000,""),"Network Device",_xlfn.XLOOKUP($K783&amp;"",'NETWORK-DEVICES'!$B$3:$B$987&amp;"",'NETWORK-DEVICES'!$I$3:$I$987,""),"Peripheral",_xlfn.XLOOKUP($K783&amp;"",PERIPHERAL!$B$3:$B$954&amp;"",PERIPHERAL!$I$3:$I$954,""),"Utilities",_xlfn.XLOOKUP($K783&amp;"",UTILITIES!$B$3:$B$953&amp;"",UTILITIES!$H$3:$H$953,""),"IOT",_xlfn.XLOOKUP($K783&amp;"",IOT!$B$3:$B$1012&amp;"",IOT!$I$3:$I$1012,""),"SERVER",_xlfn.XLOOKUP($K783&amp;"",SERVER!$B$3:$B$1009&amp;"",SERVER!$I$3:$I$1009,""),""))</f>
        <v/>
      </c>
      <c r="M783" t="str" cm="1">
        <f t="array" ref="M783">IF($K783="","",_xlfn.SWITCH($I783,"Computer",_xlfn.XLOOKUP($K783&amp;"",COMPUTER!$B$3:$B$1009&amp;"",COMPUTER!$J$3:$J$1009,""),"Display",_xlfn.XLOOKUP($K783&amp;"",DISPLAY!$B$3:$B$1000&amp;"",DISPLAY!$K$3:$K$1000,""),"Network Device",_xlfn.XLOOKUP($K783&amp;"",'NETWORK-DEVICES'!$B$3:$B$987&amp;"",'NETWORK-DEVICES'!$I$3:$I$987,""),"Peripheral",_xlfn.XLOOKUP($K783&amp;"",PERIPHERAL!$B$3:$B$954&amp;"",PERIPHERAL!$J$3:$J$954,""),"Utilities",_xlfn.XLOOKUP($K783&amp;"",UTILITIES!$B$3:$B$953&amp;"",UTILITIES!$I$3:$I$953,""),"IOT",_xlfn.XLOOKUP($K783&amp;"",IOT!$B$3:$B$1012&amp;"",IOT!$J$3:$J$1012,""),"Server",_xlfn.XLOOKUP($K783&amp;"",SERVER!$B$3:$B$1009&amp;"",SERVER!$J$3:$J$1009,""),""))</f>
        <v/>
      </c>
      <c r="N783" s="1" t="str" cm="1">
        <f t="array" ref="N783">IF(OR($K783="",$I783="",$J783=""),"",_xlfn.LET(_xlpm.srcCat,_xlfn.SWITCH($I783,"Computer",_xlfn.XLOOKUP($K783&amp;"",COMPUTER!$B$3:$B$1009&amp;"",COMPUTER!$H$3:$H$1009,""),"Display",_xlfn.XLOOKUP($K783&amp;"",DISPLAY!$B$3:$B$1000&amp;"",DISPLAY!$H$3:$H$1000,""),"Network Device",_xlfn.XLOOKUP($K783&amp;"",'NETWORK-DEVICES'!$B$3:$B$987&amp;"",'NETWORK-DEVICES'!$H$3:$H$987,""),"Peripheral",_xlfn.XLOOKUP($K783&amp;"",PERIPHERAL!$B$3:$B$954&amp;"",PERIPHERAL!$H$3:$H$954,""),"Utilities",_xlfn.XLOOKUP($K783&amp;"",UTILITIES!$B$3:$B$953&amp;"",UTILITIES!$G$3:$G$953,""),"IOT",_xlfn.XLOOKUP($K783&amp;"",IOT!$B$3:$B$1012&amp;"",IOT!$H$3:$H$1012,""),"Server",_xlfn.XLOOKUP($K783&amp;"",SERVER!$B$3:$B$1009&amp;"",SERVER!$H$3:$H$1009,""),""),IF(TRIM(_xlpm.srcCat)&lt;&gt;TRIM($J783),"",_xlfn.SWITCH($I783,"Computer",_xlfn.XLOOKUP($K783&amp;"",COMPUTER!$B$3:$B$1009&amp;"",COMPUTER!$K$3:$K$1009,""),"Display",_xlfn.XLOOKUP($K783&amp;"",DISPLAY!$B$3:$B$1000&amp;"",DISPLAY!$L$3:$L$1000,""),"Network Device",_xlfn.XLOOKUP($K783&amp;"",'NETWORK-DEVICES'!$B$3:$B$987&amp;"",'NETWORK-DEVICES'!$K$3:$K$987,""),"Peripheral",_xlfn.XLOOKUP($K783&amp;"",PERIPHERAL!$B$3:$B$954&amp;"",PERIPHERAL!$K$3:$K$954,""),"Utilities",_xlfn.XLOOKUP($K783&amp;"",UTILITIES!$B$3:$B$953&amp;"",UTILITIES!$J$3:$J$953,""),"IOT",_xlfn.XLOOKUP($K783&amp;"",IOT!$B$3:$B$1012&amp;"",IOT!$K$4:$K$1012,""),"Server",_xlfn.XLOOKUP($K783&amp;"",SERVER!$B$3:$B$1009&amp;"",SERVER!$K$3:$K$1009,""),""))))</f>
        <v/>
      </c>
      <c r="O783" s="1" t="str" cm="1">
        <f t="array" ref="O783">IF(OR($K783="",$I783="",$J783=""),"",_xlfn.LET(_xlpm.srcCat,_xlfn.SWITCH($I783,"Computer",_xlfn.XLOOKUP($K783&amp;"",COMPUTER!$B$3:$B$1009&amp;"",COMPUTER!$H$3:$H$1009,""),"Display",_xlfn.XLOOKUP($K783&amp;"",DISPLAY!$B$3:$B$1000&amp;"",DISPLAY!$H$3:$H$1000,""),"Network Device",_xlfn.XLOOKUP($K783&amp;"",'NETWORK-DEVICES'!$B$3:$B$987&amp;"",'NETWORK-DEVICES'!$H$3:$H$987,""),"Peripheral",_xlfn.XLOOKUP($K783&amp;"",PERIPHERAL!$B$3:$B$954&amp;"",PERIPHERAL!$H$3:$H$954,""),"Utilities",_xlfn.XLOOKUP($K783&amp;"",UTILITIES!$B$3:$B$953&amp;"",UTILITIES!$G$3:$G$953,""),"IOT",_xlfn.XLOOKUP($K783&amp;"",IOT!$B$3:$B$1012&amp;"",IOT!$H$3:$H$1012,""),"Server",_xlfn.XLOOKUP($K783&amp;"",SERVER!$B$3:$B$1009&amp;"",SERVER!$H$3:$H$1009,""),""),IF(TRIM(_xlpm.srcCat)&lt;&gt;TRIM($J783),"",_xlfn.SWITCH($I783,"Computer",_xlfn.XLOOKUP($K783&amp;"",COMPUTER!$B$3:$B$1009&amp;"",COMPUTER!$E$3:$E$1009,""),"Display",_xlfn.XLOOKUP($K783&amp;"",DISPLAY!$B$3:$B$1000&amp;"",DISPLAY!$E$3:$E$1000,""),"Network Device",_xlfn.XLOOKUP($K783&amp;"",'NETWORK-DEVICES'!$B$3:$B$987&amp;"",'NETWORK-DEVICES'!$E$3:$E$987,""),"Peripheral",_xlfn.XLOOKUP($K783&amp;"",PERIPHERAL!$B$3:$B$954&amp;"",PERIPHERAL!$E$3:$E$954,""),"Utilities",_xlfn.XLOOKUP($K783&amp;"",UTILITIES!$B$3:$B$953&amp;"",UTILITIES!$E$3:$E$953,""),"IOT",_xlfn.XLOOKUP($K783&amp;"",IOT!$B$3:$B$1012&amp;"",IOT!$E$3:$E$1012,""),"Server",_xlfn.XLOOKUP($K783&amp;"",SERVER!$B$3:$B$1009&amp;"",SERVER!$E$3:$E$1009,""),""))))</f>
        <v/>
      </c>
      <c r="Q783" s="1" t="str" cm="1">
        <f t="array" ref="Q783">IF(OR($K783="",$I783="",$J783=""),"",_xlfn.LET(_xlpm.srcCat,_xlfn.SWITCH($I783,"Computer",_xlfn.XLOOKUP($K783&amp;"",COMPUTER!$B$3:$B$1009&amp;"",COMPUTER!$H$3:$H$1009,""),"Display",_xlfn.XLOOKUP($K783&amp;"",DISPLAY!$B$3:$B$1000&amp;"",DISPLAY!$H$3:$H$1000,""),"Network Device",_xlfn.XLOOKUP($K783&amp;"",'NETWORK-DEVICES'!$B$3:$B$987&amp;"",'NETWORK-DEVICES'!$H$3:$H$987,""),"Peripheral",_xlfn.XLOOKUP($K783&amp;"",PERIPHERAL!$B$3:$B$954&amp;"",PERIPHERAL!$H$3:$H$954,""),"Utilities",_xlfn.XLOOKUP($K783&amp;"",UTILITIES!$B$3:$B$953&amp;"",UTILITIES!$G$3:$G$953,""),"IOT",_xlfn.XLOOKUP($K783&amp;"",IOT!$B$3:$B$1012&amp;"",IOT!$H$3:$H$1012,""),"Server",_xlfn.XLOOKUP($K783&amp;"",SERVER!$B$3:$B$1009&amp;"",SERVER!$H$3:$H$1009,""),""),IF(TRIM(_xlpm.srcCat)&lt;&gt;TRIM($J783),"",_xlfn.SWITCH($I783,"Computer",_xlfn.XLOOKUP($K783&amp;"",COMPUTER!$B$3:$B$1009&amp;"",COMPUTER!$AM$3:$AM$1009,""),"Display",_xlfn.XLOOKUP($K783&amp;"",DISPLAY!$B$3:$B$1000&amp;"",DISPLAY!$V$3:$V$1000,""),"Network Device",_xlfn.XLOOKUP($K783&amp;"",'NETWORK-DEVICES'!$B$3:$B$987&amp;"",'NETWORK-DEVICES'!$AF$3:$AF$987,""),"Peripheral",_xlfn.XLOOKUP($K783&amp;"",PERIPHERAL!$B$3:$B$954&amp;"",PERIPHERAL!$Y$3:$Y$954,""),"Utilities",_xlfn.XLOOKUP($K783&amp;"",UTILITIES!$B$3:$B$953&amp;"",UTILITIES!$O$3:$O$953,""),"IOT",_xlfn.XLOOKUP($K783&amp;"",IOT!$B$3:$B$1012&amp;"",IOT!$AB$3:$AB$1012,""),"Server",_xlfn.XLOOKUP($K783&amp;"",SERVER!$B$3:$B$1009&amp;"",SERVER!$AB$3:$AB$1009,""),""))))</f>
        <v/>
      </c>
      <c r="R783" s="43" t="str">
        <f>IF(tbl_handover[[#This Row],[Asset Code]]="","",COUNTIF(tbl_handover[Asset Code],tbl_handover[[#This Row],[Asset Code]]))</f>
        <v/>
      </c>
    </row>
    <row r="784" spans="1:18" x14ac:dyDescent="0.25">
      <c r="A784" s="43" t="str">
        <f>IF(B784&lt;&gt;"",SUBTOTAL(3,$B$1:B783),"")</f>
        <v/>
      </c>
      <c r="C784" s="74"/>
      <c r="D784" s="74"/>
      <c r="G784" s="1"/>
      <c r="K784" s="42"/>
      <c r="L784" t="str" cm="1">
        <f t="array" ref="L784">IF($K784="","",_xlfn.SWITCH($I784,"Computer",_xlfn.XLOOKUP($K784&amp;"",COMPUTER!$B$3:$B$1009&amp;"",COMPUTER!$I$3:$I$1009,""),"Display",_xlfn.XLOOKUP($K784&amp;"",DISPLAY!$B$3:$B$1000&amp;"",DISPLAY!$J$3:$J$1000,""),"Network Device",_xlfn.XLOOKUP($K784&amp;"",'NETWORK-DEVICES'!$B$3:$B$987&amp;"",'NETWORK-DEVICES'!$I$3:$I$987,""),"Peripheral",_xlfn.XLOOKUP($K784&amp;"",PERIPHERAL!$B$3:$B$954&amp;"",PERIPHERAL!$I$3:$I$954,""),"Utilities",_xlfn.XLOOKUP($K784&amp;"",UTILITIES!$B$3:$B$953&amp;"",UTILITIES!$H$3:$H$953,""),"IOT",_xlfn.XLOOKUP($K784&amp;"",IOT!$B$3:$B$1012&amp;"",IOT!$I$3:$I$1012,""),"SERVER",_xlfn.XLOOKUP($K784&amp;"",SERVER!$B$3:$B$1009&amp;"",SERVER!$I$3:$I$1009,""),""))</f>
        <v/>
      </c>
      <c r="M784" t="str" cm="1">
        <f t="array" ref="M784">IF($K784="","",_xlfn.SWITCH($I784,"Computer",_xlfn.XLOOKUP($K784&amp;"",COMPUTER!$B$3:$B$1009&amp;"",COMPUTER!$J$3:$J$1009,""),"Display",_xlfn.XLOOKUP($K784&amp;"",DISPLAY!$B$3:$B$1000&amp;"",DISPLAY!$K$3:$K$1000,""),"Network Device",_xlfn.XLOOKUP($K784&amp;"",'NETWORK-DEVICES'!$B$3:$B$987&amp;"",'NETWORK-DEVICES'!$I$3:$I$987,""),"Peripheral",_xlfn.XLOOKUP($K784&amp;"",PERIPHERAL!$B$3:$B$954&amp;"",PERIPHERAL!$J$3:$J$954,""),"Utilities",_xlfn.XLOOKUP($K784&amp;"",UTILITIES!$B$3:$B$953&amp;"",UTILITIES!$I$3:$I$953,""),"IOT",_xlfn.XLOOKUP($K784&amp;"",IOT!$B$3:$B$1012&amp;"",IOT!$J$3:$J$1012,""),"Server",_xlfn.XLOOKUP($K784&amp;"",SERVER!$B$3:$B$1009&amp;"",SERVER!$J$3:$J$1009,""),""))</f>
        <v/>
      </c>
      <c r="N784" s="1" t="str" cm="1">
        <f t="array" ref="N784">IF(OR($K784="",$I784="",$J784=""),"",_xlfn.LET(_xlpm.srcCat,_xlfn.SWITCH($I784,"Computer",_xlfn.XLOOKUP($K784&amp;"",COMPUTER!$B$3:$B$1009&amp;"",COMPUTER!$H$3:$H$1009,""),"Display",_xlfn.XLOOKUP($K784&amp;"",DISPLAY!$B$3:$B$1000&amp;"",DISPLAY!$H$3:$H$1000,""),"Network Device",_xlfn.XLOOKUP($K784&amp;"",'NETWORK-DEVICES'!$B$3:$B$987&amp;"",'NETWORK-DEVICES'!$H$3:$H$987,""),"Peripheral",_xlfn.XLOOKUP($K784&amp;"",PERIPHERAL!$B$3:$B$954&amp;"",PERIPHERAL!$H$3:$H$954,""),"Utilities",_xlfn.XLOOKUP($K784&amp;"",UTILITIES!$B$3:$B$953&amp;"",UTILITIES!$G$3:$G$953,""),"IOT",_xlfn.XLOOKUP($K784&amp;"",IOT!$B$3:$B$1012&amp;"",IOT!$H$3:$H$1012,""),"Server",_xlfn.XLOOKUP($K784&amp;"",SERVER!$B$3:$B$1009&amp;"",SERVER!$H$3:$H$1009,""),""),IF(TRIM(_xlpm.srcCat)&lt;&gt;TRIM($J784),"",_xlfn.SWITCH($I784,"Computer",_xlfn.XLOOKUP($K784&amp;"",COMPUTER!$B$3:$B$1009&amp;"",COMPUTER!$K$3:$K$1009,""),"Display",_xlfn.XLOOKUP($K784&amp;"",DISPLAY!$B$3:$B$1000&amp;"",DISPLAY!$L$3:$L$1000,""),"Network Device",_xlfn.XLOOKUP($K784&amp;"",'NETWORK-DEVICES'!$B$3:$B$987&amp;"",'NETWORK-DEVICES'!$K$3:$K$987,""),"Peripheral",_xlfn.XLOOKUP($K784&amp;"",PERIPHERAL!$B$3:$B$954&amp;"",PERIPHERAL!$K$3:$K$954,""),"Utilities",_xlfn.XLOOKUP($K784&amp;"",UTILITIES!$B$3:$B$953&amp;"",UTILITIES!$J$3:$J$953,""),"IOT",_xlfn.XLOOKUP($K784&amp;"",IOT!$B$3:$B$1012&amp;"",IOT!$K$4:$K$1012,""),"Server",_xlfn.XLOOKUP($K784&amp;"",SERVER!$B$3:$B$1009&amp;"",SERVER!$K$3:$K$1009,""),""))))</f>
        <v/>
      </c>
      <c r="O784" s="1" t="str" cm="1">
        <f t="array" ref="O784">IF(OR($K784="",$I784="",$J784=""),"",_xlfn.LET(_xlpm.srcCat,_xlfn.SWITCH($I784,"Computer",_xlfn.XLOOKUP($K784&amp;"",COMPUTER!$B$3:$B$1009&amp;"",COMPUTER!$H$3:$H$1009,""),"Display",_xlfn.XLOOKUP($K784&amp;"",DISPLAY!$B$3:$B$1000&amp;"",DISPLAY!$H$3:$H$1000,""),"Network Device",_xlfn.XLOOKUP($K784&amp;"",'NETWORK-DEVICES'!$B$3:$B$987&amp;"",'NETWORK-DEVICES'!$H$3:$H$987,""),"Peripheral",_xlfn.XLOOKUP($K784&amp;"",PERIPHERAL!$B$3:$B$954&amp;"",PERIPHERAL!$H$3:$H$954,""),"Utilities",_xlfn.XLOOKUP($K784&amp;"",UTILITIES!$B$3:$B$953&amp;"",UTILITIES!$G$3:$G$953,""),"IOT",_xlfn.XLOOKUP($K784&amp;"",IOT!$B$3:$B$1012&amp;"",IOT!$H$3:$H$1012,""),"Server",_xlfn.XLOOKUP($K784&amp;"",SERVER!$B$3:$B$1009&amp;"",SERVER!$H$3:$H$1009,""),""),IF(TRIM(_xlpm.srcCat)&lt;&gt;TRIM($J784),"",_xlfn.SWITCH($I784,"Computer",_xlfn.XLOOKUP($K784&amp;"",COMPUTER!$B$3:$B$1009&amp;"",COMPUTER!$E$3:$E$1009,""),"Display",_xlfn.XLOOKUP($K784&amp;"",DISPLAY!$B$3:$B$1000&amp;"",DISPLAY!$E$3:$E$1000,""),"Network Device",_xlfn.XLOOKUP($K784&amp;"",'NETWORK-DEVICES'!$B$3:$B$987&amp;"",'NETWORK-DEVICES'!$E$3:$E$987,""),"Peripheral",_xlfn.XLOOKUP($K784&amp;"",PERIPHERAL!$B$3:$B$954&amp;"",PERIPHERAL!$E$3:$E$954,""),"Utilities",_xlfn.XLOOKUP($K784&amp;"",UTILITIES!$B$3:$B$953&amp;"",UTILITIES!$E$3:$E$953,""),"IOT",_xlfn.XLOOKUP($K784&amp;"",IOT!$B$3:$B$1012&amp;"",IOT!$E$3:$E$1012,""),"Server",_xlfn.XLOOKUP($K784&amp;"",SERVER!$B$3:$B$1009&amp;"",SERVER!$E$3:$E$1009,""),""))))</f>
        <v/>
      </c>
      <c r="Q784" s="1" t="str" cm="1">
        <f t="array" ref="Q784">IF(OR($K784="",$I784="",$J784=""),"",_xlfn.LET(_xlpm.srcCat,_xlfn.SWITCH($I784,"Computer",_xlfn.XLOOKUP($K784&amp;"",COMPUTER!$B$3:$B$1009&amp;"",COMPUTER!$H$3:$H$1009,""),"Display",_xlfn.XLOOKUP($K784&amp;"",DISPLAY!$B$3:$B$1000&amp;"",DISPLAY!$H$3:$H$1000,""),"Network Device",_xlfn.XLOOKUP($K784&amp;"",'NETWORK-DEVICES'!$B$3:$B$987&amp;"",'NETWORK-DEVICES'!$H$3:$H$987,""),"Peripheral",_xlfn.XLOOKUP($K784&amp;"",PERIPHERAL!$B$3:$B$954&amp;"",PERIPHERAL!$H$3:$H$954,""),"Utilities",_xlfn.XLOOKUP($K784&amp;"",UTILITIES!$B$3:$B$953&amp;"",UTILITIES!$G$3:$G$953,""),"IOT",_xlfn.XLOOKUP($K784&amp;"",IOT!$B$3:$B$1012&amp;"",IOT!$H$3:$H$1012,""),"Server",_xlfn.XLOOKUP($K784&amp;"",SERVER!$B$3:$B$1009&amp;"",SERVER!$H$3:$H$1009,""),""),IF(TRIM(_xlpm.srcCat)&lt;&gt;TRIM($J784),"",_xlfn.SWITCH($I784,"Computer",_xlfn.XLOOKUP($K784&amp;"",COMPUTER!$B$3:$B$1009&amp;"",COMPUTER!$AM$3:$AM$1009,""),"Display",_xlfn.XLOOKUP($K784&amp;"",DISPLAY!$B$3:$B$1000&amp;"",DISPLAY!$V$3:$V$1000,""),"Network Device",_xlfn.XLOOKUP($K784&amp;"",'NETWORK-DEVICES'!$B$3:$B$987&amp;"",'NETWORK-DEVICES'!$AF$3:$AF$987,""),"Peripheral",_xlfn.XLOOKUP($K784&amp;"",PERIPHERAL!$B$3:$B$954&amp;"",PERIPHERAL!$Y$3:$Y$954,""),"Utilities",_xlfn.XLOOKUP($K784&amp;"",UTILITIES!$B$3:$B$953&amp;"",UTILITIES!$O$3:$O$953,""),"IOT",_xlfn.XLOOKUP($K784&amp;"",IOT!$B$3:$B$1012&amp;"",IOT!$AB$3:$AB$1012,""),"Server",_xlfn.XLOOKUP($K784&amp;"",SERVER!$B$3:$B$1009&amp;"",SERVER!$AB$3:$AB$1009,""),""))))</f>
        <v/>
      </c>
      <c r="R784" s="43" t="str">
        <f>IF(tbl_handover[[#This Row],[Asset Code]]="","",COUNTIF(tbl_handover[Asset Code],tbl_handover[[#This Row],[Asset Code]]))</f>
        <v/>
      </c>
    </row>
    <row r="785" spans="1:18" x14ac:dyDescent="0.25">
      <c r="A785" s="43" t="str">
        <f>IF(B785&lt;&gt;"",SUBTOTAL(3,$B$1:B784),"")</f>
        <v/>
      </c>
      <c r="C785" s="74"/>
      <c r="D785" s="74"/>
      <c r="G785" s="1"/>
      <c r="K785" s="42"/>
      <c r="L785" t="str" cm="1">
        <f t="array" ref="L785">IF($K785="","",_xlfn.SWITCH($I785,"Computer",_xlfn.XLOOKUP($K785&amp;"",COMPUTER!$B$3:$B$1009&amp;"",COMPUTER!$I$3:$I$1009,""),"Display",_xlfn.XLOOKUP($K785&amp;"",DISPLAY!$B$3:$B$1000&amp;"",DISPLAY!$J$3:$J$1000,""),"Network Device",_xlfn.XLOOKUP($K785&amp;"",'NETWORK-DEVICES'!$B$3:$B$987&amp;"",'NETWORK-DEVICES'!$I$3:$I$987,""),"Peripheral",_xlfn.XLOOKUP($K785&amp;"",PERIPHERAL!$B$3:$B$954&amp;"",PERIPHERAL!$I$3:$I$954,""),"Utilities",_xlfn.XLOOKUP($K785&amp;"",UTILITIES!$B$3:$B$953&amp;"",UTILITIES!$H$3:$H$953,""),"IOT",_xlfn.XLOOKUP($K785&amp;"",IOT!$B$3:$B$1012&amp;"",IOT!$I$3:$I$1012,""),"SERVER",_xlfn.XLOOKUP($K785&amp;"",SERVER!$B$3:$B$1009&amp;"",SERVER!$I$3:$I$1009,""),""))</f>
        <v/>
      </c>
      <c r="M785" t="str" cm="1">
        <f t="array" ref="M785">IF($K785="","",_xlfn.SWITCH($I785,"Computer",_xlfn.XLOOKUP($K785&amp;"",COMPUTER!$B$3:$B$1009&amp;"",COMPUTER!$J$3:$J$1009,""),"Display",_xlfn.XLOOKUP($K785&amp;"",DISPLAY!$B$3:$B$1000&amp;"",DISPLAY!$K$3:$K$1000,""),"Network Device",_xlfn.XLOOKUP($K785&amp;"",'NETWORK-DEVICES'!$B$3:$B$987&amp;"",'NETWORK-DEVICES'!$I$3:$I$987,""),"Peripheral",_xlfn.XLOOKUP($K785&amp;"",PERIPHERAL!$B$3:$B$954&amp;"",PERIPHERAL!$J$3:$J$954,""),"Utilities",_xlfn.XLOOKUP($K785&amp;"",UTILITIES!$B$3:$B$953&amp;"",UTILITIES!$I$3:$I$953,""),"IOT",_xlfn.XLOOKUP($K785&amp;"",IOT!$B$3:$B$1012&amp;"",IOT!$J$3:$J$1012,""),"Server",_xlfn.XLOOKUP($K785&amp;"",SERVER!$B$3:$B$1009&amp;"",SERVER!$J$3:$J$1009,""),""))</f>
        <v/>
      </c>
      <c r="N785" s="1" t="str" cm="1">
        <f t="array" ref="N785">IF(OR($K785="",$I785="",$J785=""),"",_xlfn.LET(_xlpm.srcCat,_xlfn.SWITCH($I785,"Computer",_xlfn.XLOOKUP($K785&amp;"",COMPUTER!$B$3:$B$1009&amp;"",COMPUTER!$H$3:$H$1009,""),"Display",_xlfn.XLOOKUP($K785&amp;"",DISPLAY!$B$3:$B$1000&amp;"",DISPLAY!$H$3:$H$1000,""),"Network Device",_xlfn.XLOOKUP($K785&amp;"",'NETWORK-DEVICES'!$B$3:$B$987&amp;"",'NETWORK-DEVICES'!$H$3:$H$987,""),"Peripheral",_xlfn.XLOOKUP($K785&amp;"",PERIPHERAL!$B$3:$B$954&amp;"",PERIPHERAL!$H$3:$H$954,""),"Utilities",_xlfn.XLOOKUP($K785&amp;"",UTILITIES!$B$3:$B$953&amp;"",UTILITIES!$G$3:$G$953,""),"IOT",_xlfn.XLOOKUP($K785&amp;"",IOT!$B$3:$B$1012&amp;"",IOT!$H$3:$H$1012,""),"Server",_xlfn.XLOOKUP($K785&amp;"",SERVER!$B$3:$B$1009&amp;"",SERVER!$H$3:$H$1009,""),""),IF(TRIM(_xlpm.srcCat)&lt;&gt;TRIM($J785),"",_xlfn.SWITCH($I785,"Computer",_xlfn.XLOOKUP($K785&amp;"",COMPUTER!$B$3:$B$1009&amp;"",COMPUTER!$K$3:$K$1009,""),"Display",_xlfn.XLOOKUP($K785&amp;"",DISPLAY!$B$3:$B$1000&amp;"",DISPLAY!$L$3:$L$1000,""),"Network Device",_xlfn.XLOOKUP($K785&amp;"",'NETWORK-DEVICES'!$B$3:$B$987&amp;"",'NETWORK-DEVICES'!$K$3:$K$987,""),"Peripheral",_xlfn.XLOOKUP($K785&amp;"",PERIPHERAL!$B$3:$B$954&amp;"",PERIPHERAL!$K$3:$K$954,""),"Utilities",_xlfn.XLOOKUP($K785&amp;"",UTILITIES!$B$3:$B$953&amp;"",UTILITIES!$J$3:$J$953,""),"IOT",_xlfn.XLOOKUP($K785&amp;"",IOT!$B$3:$B$1012&amp;"",IOT!$K$4:$K$1012,""),"Server",_xlfn.XLOOKUP($K785&amp;"",SERVER!$B$3:$B$1009&amp;"",SERVER!$K$3:$K$1009,""),""))))</f>
        <v/>
      </c>
      <c r="O785" s="1" t="str" cm="1">
        <f t="array" ref="O785">IF(OR($K785="",$I785="",$J785=""),"",_xlfn.LET(_xlpm.srcCat,_xlfn.SWITCH($I785,"Computer",_xlfn.XLOOKUP($K785&amp;"",COMPUTER!$B$3:$B$1009&amp;"",COMPUTER!$H$3:$H$1009,""),"Display",_xlfn.XLOOKUP($K785&amp;"",DISPLAY!$B$3:$B$1000&amp;"",DISPLAY!$H$3:$H$1000,""),"Network Device",_xlfn.XLOOKUP($K785&amp;"",'NETWORK-DEVICES'!$B$3:$B$987&amp;"",'NETWORK-DEVICES'!$H$3:$H$987,""),"Peripheral",_xlfn.XLOOKUP($K785&amp;"",PERIPHERAL!$B$3:$B$954&amp;"",PERIPHERAL!$H$3:$H$954,""),"Utilities",_xlfn.XLOOKUP($K785&amp;"",UTILITIES!$B$3:$B$953&amp;"",UTILITIES!$G$3:$G$953,""),"IOT",_xlfn.XLOOKUP($K785&amp;"",IOT!$B$3:$B$1012&amp;"",IOT!$H$3:$H$1012,""),"Server",_xlfn.XLOOKUP($K785&amp;"",SERVER!$B$3:$B$1009&amp;"",SERVER!$H$3:$H$1009,""),""),IF(TRIM(_xlpm.srcCat)&lt;&gt;TRIM($J785),"",_xlfn.SWITCH($I785,"Computer",_xlfn.XLOOKUP($K785&amp;"",COMPUTER!$B$3:$B$1009&amp;"",COMPUTER!$E$3:$E$1009,""),"Display",_xlfn.XLOOKUP($K785&amp;"",DISPLAY!$B$3:$B$1000&amp;"",DISPLAY!$E$3:$E$1000,""),"Network Device",_xlfn.XLOOKUP($K785&amp;"",'NETWORK-DEVICES'!$B$3:$B$987&amp;"",'NETWORK-DEVICES'!$E$3:$E$987,""),"Peripheral",_xlfn.XLOOKUP($K785&amp;"",PERIPHERAL!$B$3:$B$954&amp;"",PERIPHERAL!$E$3:$E$954,""),"Utilities",_xlfn.XLOOKUP($K785&amp;"",UTILITIES!$B$3:$B$953&amp;"",UTILITIES!$E$3:$E$953,""),"IOT",_xlfn.XLOOKUP($K785&amp;"",IOT!$B$3:$B$1012&amp;"",IOT!$E$3:$E$1012,""),"Server",_xlfn.XLOOKUP($K785&amp;"",SERVER!$B$3:$B$1009&amp;"",SERVER!$E$3:$E$1009,""),""))))</f>
        <v/>
      </c>
      <c r="Q785" s="1" t="str" cm="1">
        <f t="array" ref="Q785">IF(OR($K785="",$I785="",$J785=""),"",_xlfn.LET(_xlpm.srcCat,_xlfn.SWITCH($I785,"Computer",_xlfn.XLOOKUP($K785&amp;"",COMPUTER!$B$3:$B$1009&amp;"",COMPUTER!$H$3:$H$1009,""),"Display",_xlfn.XLOOKUP($K785&amp;"",DISPLAY!$B$3:$B$1000&amp;"",DISPLAY!$H$3:$H$1000,""),"Network Device",_xlfn.XLOOKUP($K785&amp;"",'NETWORK-DEVICES'!$B$3:$B$987&amp;"",'NETWORK-DEVICES'!$H$3:$H$987,""),"Peripheral",_xlfn.XLOOKUP($K785&amp;"",PERIPHERAL!$B$3:$B$954&amp;"",PERIPHERAL!$H$3:$H$954,""),"Utilities",_xlfn.XLOOKUP($K785&amp;"",UTILITIES!$B$3:$B$953&amp;"",UTILITIES!$G$3:$G$953,""),"IOT",_xlfn.XLOOKUP($K785&amp;"",IOT!$B$3:$B$1012&amp;"",IOT!$H$3:$H$1012,""),"Server",_xlfn.XLOOKUP($K785&amp;"",SERVER!$B$3:$B$1009&amp;"",SERVER!$H$3:$H$1009,""),""),IF(TRIM(_xlpm.srcCat)&lt;&gt;TRIM($J785),"",_xlfn.SWITCH($I785,"Computer",_xlfn.XLOOKUP($K785&amp;"",COMPUTER!$B$3:$B$1009&amp;"",COMPUTER!$AM$3:$AM$1009,""),"Display",_xlfn.XLOOKUP($K785&amp;"",DISPLAY!$B$3:$B$1000&amp;"",DISPLAY!$V$3:$V$1000,""),"Network Device",_xlfn.XLOOKUP($K785&amp;"",'NETWORK-DEVICES'!$B$3:$B$987&amp;"",'NETWORK-DEVICES'!$AF$3:$AF$987,""),"Peripheral",_xlfn.XLOOKUP($K785&amp;"",PERIPHERAL!$B$3:$B$954&amp;"",PERIPHERAL!$Y$3:$Y$954,""),"Utilities",_xlfn.XLOOKUP($K785&amp;"",UTILITIES!$B$3:$B$953&amp;"",UTILITIES!$O$3:$O$953,""),"IOT",_xlfn.XLOOKUP($K785&amp;"",IOT!$B$3:$B$1012&amp;"",IOT!$AB$3:$AB$1012,""),"Server",_xlfn.XLOOKUP($K785&amp;"",SERVER!$B$3:$B$1009&amp;"",SERVER!$AB$3:$AB$1009,""),""))))</f>
        <v/>
      </c>
      <c r="R785" s="43" t="str">
        <f>IF(tbl_handover[[#This Row],[Asset Code]]="","",COUNTIF(tbl_handover[Asset Code],tbl_handover[[#This Row],[Asset Code]]))</f>
        <v/>
      </c>
    </row>
    <row r="786" spans="1:18" x14ac:dyDescent="0.25">
      <c r="A786" s="43" t="str">
        <f>IF(B786&lt;&gt;"",SUBTOTAL(3,$B$1:B785),"")</f>
        <v/>
      </c>
      <c r="C786" s="74"/>
      <c r="D786" s="74"/>
      <c r="G786" s="1"/>
      <c r="K786" s="42"/>
      <c r="L786" t="str" cm="1">
        <f t="array" ref="L786">IF($K786="","",_xlfn.SWITCH($I786,"Computer",_xlfn.XLOOKUP($K786&amp;"",COMPUTER!$B$3:$B$1009&amp;"",COMPUTER!$I$3:$I$1009,""),"Display",_xlfn.XLOOKUP($K786&amp;"",DISPLAY!$B$3:$B$1000&amp;"",DISPLAY!$J$3:$J$1000,""),"Network Device",_xlfn.XLOOKUP($K786&amp;"",'NETWORK-DEVICES'!$B$3:$B$987&amp;"",'NETWORK-DEVICES'!$I$3:$I$987,""),"Peripheral",_xlfn.XLOOKUP($K786&amp;"",PERIPHERAL!$B$3:$B$954&amp;"",PERIPHERAL!$I$3:$I$954,""),"Utilities",_xlfn.XLOOKUP($K786&amp;"",UTILITIES!$B$3:$B$953&amp;"",UTILITIES!$H$3:$H$953,""),"IOT",_xlfn.XLOOKUP($K786&amp;"",IOT!$B$3:$B$1012&amp;"",IOT!$I$3:$I$1012,""),"SERVER",_xlfn.XLOOKUP($K786&amp;"",SERVER!$B$3:$B$1009&amp;"",SERVER!$I$3:$I$1009,""),""))</f>
        <v/>
      </c>
      <c r="M786" t="str" cm="1">
        <f t="array" ref="M786">IF($K786="","",_xlfn.SWITCH($I786,"Computer",_xlfn.XLOOKUP($K786&amp;"",COMPUTER!$B$3:$B$1009&amp;"",COMPUTER!$J$3:$J$1009,""),"Display",_xlfn.XLOOKUP($K786&amp;"",DISPLAY!$B$3:$B$1000&amp;"",DISPLAY!$K$3:$K$1000,""),"Network Device",_xlfn.XLOOKUP($K786&amp;"",'NETWORK-DEVICES'!$B$3:$B$987&amp;"",'NETWORK-DEVICES'!$I$3:$I$987,""),"Peripheral",_xlfn.XLOOKUP($K786&amp;"",PERIPHERAL!$B$3:$B$954&amp;"",PERIPHERAL!$J$3:$J$954,""),"Utilities",_xlfn.XLOOKUP($K786&amp;"",UTILITIES!$B$3:$B$953&amp;"",UTILITIES!$I$3:$I$953,""),"IOT",_xlfn.XLOOKUP($K786&amp;"",IOT!$B$3:$B$1012&amp;"",IOT!$J$3:$J$1012,""),"Server",_xlfn.XLOOKUP($K786&amp;"",SERVER!$B$3:$B$1009&amp;"",SERVER!$J$3:$J$1009,""),""))</f>
        <v/>
      </c>
      <c r="N786" s="1" t="str" cm="1">
        <f t="array" ref="N786">IF(OR($K786="",$I786="",$J786=""),"",_xlfn.LET(_xlpm.srcCat,_xlfn.SWITCH($I786,"Computer",_xlfn.XLOOKUP($K786&amp;"",COMPUTER!$B$3:$B$1009&amp;"",COMPUTER!$H$3:$H$1009,""),"Display",_xlfn.XLOOKUP($K786&amp;"",DISPLAY!$B$3:$B$1000&amp;"",DISPLAY!$H$3:$H$1000,""),"Network Device",_xlfn.XLOOKUP($K786&amp;"",'NETWORK-DEVICES'!$B$3:$B$987&amp;"",'NETWORK-DEVICES'!$H$3:$H$987,""),"Peripheral",_xlfn.XLOOKUP($K786&amp;"",PERIPHERAL!$B$3:$B$954&amp;"",PERIPHERAL!$H$3:$H$954,""),"Utilities",_xlfn.XLOOKUP($K786&amp;"",UTILITIES!$B$3:$B$953&amp;"",UTILITIES!$G$3:$G$953,""),"IOT",_xlfn.XLOOKUP($K786&amp;"",IOT!$B$3:$B$1012&amp;"",IOT!$H$3:$H$1012,""),"Server",_xlfn.XLOOKUP($K786&amp;"",SERVER!$B$3:$B$1009&amp;"",SERVER!$H$3:$H$1009,""),""),IF(TRIM(_xlpm.srcCat)&lt;&gt;TRIM($J786),"",_xlfn.SWITCH($I786,"Computer",_xlfn.XLOOKUP($K786&amp;"",COMPUTER!$B$3:$B$1009&amp;"",COMPUTER!$K$3:$K$1009,""),"Display",_xlfn.XLOOKUP($K786&amp;"",DISPLAY!$B$3:$B$1000&amp;"",DISPLAY!$L$3:$L$1000,""),"Network Device",_xlfn.XLOOKUP($K786&amp;"",'NETWORK-DEVICES'!$B$3:$B$987&amp;"",'NETWORK-DEVICES'!$K$3:$K$987,""),"Peripheral",_xlfn.XLOOKUP($K786&amp;"",PERIPHERAL!$B$3:$B$954&amp;"",PERIPHERAL!$K$3:$K$954,""),"Utilities",_xlfn.XLOOKUP($K786&amp;"",UTILITIES!$B$3:$B$953&amp;"",UTILITIES!$J$3:$J$953,""),"IOT",_xlfn.XLOOKUP($K786&amp;"",IOT!$B$3:$B$1012&amp;"",IOT!$K$4:$K$1012,""),"Server",_xlfn.XLOOKUP($K786&amp;"",SERVER!$B$3:$B$1009&amp;"",SERVER!$K$3:$K$1009,""),""))))</f>
        <v/>
      </c>
      <c r="O786" s="1" t="str" cm="1">
        <f t="array" ref="O786">IF(OR($K786="",$I786="",$J786=""),"",_xlfn.LET(_xlpm.srcCat,_xlfn.SWITCH($I786,"Computer",_xlfn.XLOOKUP($K786&amp;"",COMPUTER!$B$3:$B$1009&amp;"",COMPUTER!$H$3:$H$1009,""),"Display",_xlfn.XLOOKUP($K786&amp;"",DISPLAY!$B$3:$B$1000&amp;"",DISPLAY!$H$3:$H$1000,""),"Network Device",_xlfn.XLOOKUP($K786&amp;"",'NETWORK-DEVICES'!$B$3:$B$987&amp;"",'NETWORK-DEVICES'!$H$3:$H$987,""),"Peripheral",_xlfn.XLOOKUP($K786&amp;"",PERIPHERAL!$B$3:$B$954&amp;"",PERIPHERAL!$H$3:$H$954,""),"Utilities",_xlfn.XLOOKUP($K786&amp;"",UTILITIES!$B$3:$B$953&amp;"",UTILITIES!$G$3:$G$953,""),"IOT",_xlfn.XLOOKUP($K786&amp;"",IOT!$B$3:$B$1012&amp;"",IOT!$H$3:$H$1012,""),"Server",_xlfn.XLOOKUP($K786&amp;"",SERVER!$B$3:$B$1009&amp;"",SERVER!$H$3:$H$1009,""),""),IF(TRIM(_xlpm.srcCat)&lt;&gt;TRIM($J786),"",_xlfn.SWITCH($I786,"Computer",_xlfn.XLOOKUP($K786&amp;"",COMPUTER!$B$3:$B$1009&amp;"",COMPUTER!$E$3:$E$1009,""),"Display",_xlfn.XLOOKUP($K786&amp;"",DISPLAY!$B$3:$B$1000&amp;"",DISPLAY!$E$3:$E$1000,""),"Network Device",_xlfn.XLOOKUP($K786&amp;"",'NETWORK-DEVICES'!$B$3:$B$987&amp;"",'NETWORK-DEVICES'!$E$3:$E$987,""),"Peripheral",_xlfn.XLOOKUP($K786&amp;"",PERIPHERAL!$B$3:$B$954&amp;"",PERIPHERAL!$E$3:$E$954,""),"Utilities",_xlfn.XLOOKUP($K786&amp;"",UTILITIES!$B$3:$B$953&amp;"",UTILITIES!$E$3:$E$953,""),"IOT",_xlfn.XLOOKUP($K786&amp;"",IOT!$B$3:$B$1012&amp;"",IOT!$E$3:$E$1012,""),"Server",_xlfn.XLOOKUP($K786&amp;"",SERVER!$B$3:$B$1009&amp;"",SERVER!$E$3:$E$1009,""),""))))</f>
        <v/>
      </c>
      <c r="Q786" s="1" t="str" cm="1">
        <f t="array" ref="Q786">IF(OR($K786="",$I786="",$J786=""),"",_xlfn.LET(_xlpm.srcCat,_xlfn.SWITCH($I786,"Computer",_xlfn.XLOOKUP($K786&amp;"",COMPUTER!$B$3:$B$1009&amp;"",COMPUTER!$H$3:$H$1009,""),"Display",_xlfn.XLOOKUP($K786&amp;"",DISPLAY!$B$3:$B$1000&amp;"",DISPLAY!$H$3:$H$1000,""),"Network Device",_xlfn.XLOOKUP($K786&amp;"",'NETWORK-DEVICES'!$B$3:$B$987&amp;"",'NETWORK-DEVICES'!$H$3:$H$987,""),"Peripheral",_xlfn.XLOOKUP($K786&amp;"",PERIPHERAL!$B$3:$B$954&amp;"",PERIPHERAL!$H$3:$H$954,""),"Utilities",_xlfn.XLOOKUP($K786&amp;"",UTILITIES!$B$3:$B$953&amp;"",UTILITIES!$G$3:$G$953,""),"IOT",_xlfn.XLOOKUP($K786&amp;"",IOT!$B$3:$B$1012&amp;"",IOT!$H$3:$H$1012,""),"Server",_xlfn.XLOOKUP($K786&amp;"",SERVER!$B$3:$B$1009&amp;"",SERVER!$H$3:$H$1009,""),""),IF(TRIM(_xlpm.srcCat)&lt;&gt;TRIM($J786),"",_xlfn.SWITCH($I786,"Computer",_xlfn.XLOOKUP($K786&amp;"",COMPUTER!$B$3:$B$1009&amp;"",COMPUTER!$AM$3:$AM$1009,""),"Display",_xlfn.XLOOKUP($K786&amp;"",DISPLAY!$B$3:$B$1000&amp;"",DISPLAY!$V$3:$V$1000,""),"Network Device",_xlfn.XLOOKUP($K786&amp;"",'NETWORK-DEVICES'!$B$3:$B$987&amp;"",'NETWORK-DEVICES'!$AF$3:$AF$987,""),"Peripheral",_xlfn.XLOOKUP($K786&amp;"",PERIPHERAL!$B$3:$B$954&amp;"",PERIPHERAL!$Y$3:$Y$954,""),"Utilities",_xlfn.XLOOKUP($K786&amp;"",UTILITIES!$B$3:$B$953&amp;"",UTILITIES!$O$3:$O$953,""),"IOT",_xlfn.XLOOKUP($K786&amp;"",IOT!$B$3:$B$1012&amp;"",IOT!$AB$3:$AB$1012,""),"Server",_xlfn.XLOOKUP($K786&amp;"",SERVER!$B$3:$B$1009&amp;"",SERVER!$AB$3:$AB$1009,""),""))))</f>
        <v/>
      </c>
      <c r="R786" s="43" t="str">
        <f>IF(tbl_handover[[#This Row],[Asset Code]]="","",COUNTIF(tbl_handover[Asset Code],tbl_handover[[#This Row],[Asset Code]]))</f>
        <v/>
      </c>
    </row>
    <row r="787" spans="1:18" x14ac:dyDescent="0.25">
      <c r="A787" s="43" t="str">
        <f>IF(B787&lt;&gt;"",SUBTOTAL(3,$B$1:B786),"")</f>
        <v/>
      </c>
      <c r="C787" s="74"/>
      <c r="D787" s="74"/>
      <c r="G787" s="1"/>
      <c r="K787" s="42"/>
      <c r="L787" t="str" cm="1">
        <f t="array" ref="L787">IF($K787="","",_xlfn.SWITCH($I787,"Computer",_xlfn.XLOOKUP($K787&amp;"",COMPUTER!$B$3:$B$1009&amp;"",COMPUTER!$I$3:$I$1009,""),"Display",_xlfn.XLOOKUP($K787&amp;"",DISPLAY!$B$3:$B$1000&amp;"",DISPLAY!$J$3:$J$1000,""),"Network Device",_xlfn.XLOOKUP($K787&amp;"",'NETWORK-DEVICES'!$B$3:$B$987&amp;"",'NETWORK-DEVICES'!$I$3:$I$987,""),"Peripheral",_xlfn.XLOOKUP($K787&amp;"",PERIPHERAL!$B$3:$B$954&amp;"",PERIPHERAL!$I$3:$I$954,""),"Utilities",_xlfn.XLOOKUP($K787&amp;"",UTILITIES!$B$3:$B$953&amp;"",UTILITIES!$H$3:$H$953,""),"IOT",_xlfn.XLOOKUP($K787&amp;"",IOT!$B$3:$B$1012&amp;"",IOT!$I$3:$I$1012,""),"SERVER",_xlfn.XLOOKUP($K787&amp;"",SERVER!$B$3:$B$1009&amp;"",SERVER!$I$3:$I$1009,""),""))</f>
        <v/>
      </c>
      <c r="M787" t="str" cm="1">
        <f t="array" ref="M787">IF($K787="","",_xlfn.SWITCH($I787,"Computer",_xlfn.XLOOKUP($K787&amp;"",COMPUTER!$B$3:$B$1009&amp;"",COMPUTER!$J$3:$J$1009,""),"Display",_xlfn.XLOOKUP($K787&amp;"",DISPLAY!$B$3:$B$1000&amp;"",DISPLAY!$K$3:$K$1000,""),"Network Device",_xlfn.XLOOKUP($K787&amp;"",'NETWORK-DEVICES'!$B$3:$B$987&amp;"",'NETWORK-DEVICES'!$I$3:$I$987,""),"Peripheral",_xlfn.XLOOKUP($K787&amp;"",PERIPHERAL!$B$3:$B$954&amp;"",PERIPHERAL!$J$3:$J$954,""),"Utilities",_xlfn.XLOOKUP($K787&amp;"",UTILITIES!$B$3:$B$953&amp;"",UTILITIES!$I$3:$I$953,""),"IOT",_xlfn.XLOOKUP($K787&amp;"",IOT!$B$3:$B$1012&amp;"",IOT!$J$3:$J$1012,""),"Server",_xlfn.XLOOKUP($K787&amp;"",SERVER!$B$3:$B$1009&amp;"",SERVER!$J$3:$J$1009,""),""))</f>
        <v/>
      </c>
      <c r="N787" s="1" t="str" cm="1">
        <f t="array" ref="N787">IF(OR($K787="",$I787="",$J787=""),"",_xlfn.LET(_xlpm.srcCat,_xlfn.SWITCH($I787,"Computer",_xlfn.XLOOKUP($K787&amp;"",COMPUTER!$B$3:$B$1009&amp;"",COMPUTER!$H$3:$H$1009,""),"Display",_xlfn.XLOOKUP($K787&amp;"",DISPLAY!$B$3:$B$1000&amp;"",DISPLAY!$H$3:$H$1000,""),"Network Device",_xlfn.XLOOKUP($K787&amp;"",'NETWORK-DEVICES'!$B$3:$B$987&amp;"",'NETWORK-DEVICES'!$H$3:$H$987,""),"Peripheral",_xlfn.XLOOKUP($K787&amp;"",PERIPHERAL!$B$3:$B$954&amp;"",PERIPHERAL!$H$3:$H$954,""),"Utilities",_xlfn.XLOOKUP($K787&amp;"",UTILITIES!$B$3:$B$953&amp;"",UTILITIES!$G$3:$G$953,""),"IOT",_xlfn.XLOOKUP($K787&amp;"",IOT!$B$3:$B$1012&amp;"",IOT!$H$3:$H$1012,""),"Server",_xlfn.XLOOKUP($K787&amp;"",SERVER!$B$3:$B$1009&amp;"",SERVER!$H$3:$H$1009,""),""),IF(TRIM(_xlpm.srcCat)&lt;&gt;TRIM($J787),"",_xlfn.SWITCH($I787,"Computer",_xlfn.XLOOKUP($K787&amp;"",COMPUTER!$B$3:$B$1009&amp;"",COMPUTER!$K$3:$K$1009,""),"Display",_xlfn.XLOOKUP($K787&amp;"",DISPLAY!$B$3:$B$1000&amp;"",DISPLAY!$L$3:$L$1000,""),"Network Device",_xlfn.XLOOKUP($K787&amp;"",'NETWORK-DEVICES'!$B$3:$B$987&amp;"",'NETWORK-DEVICES'!$K$3:$K$987,""),"Peripheral",_xlfn.XLOOKUP($K787&amp;"",PERIPHERAL!$B$3:$B$954&amp;"",PERIPHERAL!$K$3:$K$954,""),"Utilities",_xlfn.XLOOKUP($K787&amp;"",UTILITIES!$B$3:$B$953&amp;"",UTILITIES!$J$3:$J$953,""),"IOT",_xlfn.XLOOKUP($K787&amp;"",IOT!$B$3:$B$1012&amp;"",IOT!$K$4:$K$1012,""),"Server",_xlfn.XLOOKUP($K787&amp;"",SERVER!$B$3:$B$1009&amp;"",SERVER!$K$3:$K$1009,""),""))))</f>
        <v/>
      </c>
      <c r="O787" s="1" t="str" cm="1">
        <f t="array" ref="O787">IF(OR($K787="",$I787="",$J787=""),"",_xlfn.LET(_xlpm.srcCat,_xlfn.SWITCH($I787,"Computer",_xlfn.XLOOKUP($K787&amp;"",COMPUTER!$B$3:$B$1009&amp;"",COMPUTER!$H$3:$H$1009,""),"Display",_xlfn.XLOOKUP($K787&amp;"",DISPLAY!$B$3:$B$1000&amp;"",DISPLAY!$H$3:$H$1000,""),"Network Device",_xlfn.XLOOKUP($K787&amp;"",'NETWORK-DEVICES'!$B$3:$B$987&amp;"",'NETWORK-DEVICES'!$H$3:$H$987,""),"Peripheral",_xlfn.XLOOKUP($K787&amp;"",PERIPHERAL!$B$3:$B$954&amp;"",PERIPHERAL!$H$3:$H$954,""),"Utilities",_xlfn.XLOOKUP($K787&amp;"",UTILITIES!$B$3:$B$953&amp;"",UTILITIES!$G$3:$G$953,""),"IOT",_xlfn.XLOOKUP($K787&amp;"",IOT!$B$3:$B$1012&amp;"",IOT!$H$3:$H$1012,""),"Server",_xlfn.XLOOKUP($K787&amp;"",SERVER!$B$3:$B$1009&amp;"",SERVER!$H$3:$H$1009,""),""),IF(TRIM(_xlpm.srcCat)&lt;&gt;TRIM($J787),"",_xlfn.SWITCH($I787,"Computer",_xlfn.XLOOKUP($K787&amp;"",COMPUTER!$B$3:$B$1009&amp;"",COMPUTER!$E$3:$E$1009,""),"Display",_xlfn.XLOOKUP($K787&amp;"",DISPLAY!$B$3:$B$1000&amp;"",DISPLAY!$E$3:$E$1000,""),"Network Device",_xlfn.XLOOKUP($K787&amp;"",'NETWORK-DEVICES'!$B$3:$B$987&amp;"",'NETWORK-DEVICES'!$E$3:$E$987,""),"Peripheral",_xlfn.XLOOKUP($K787&amp;"",PERIPHERAL!$B$3:$B$954&amp;"",PERIPHERAL!$E$3:$E$954,""),"Utilities",_xlfn.XLOOKUP($K787&amp;"",UTILITIES!$B$3:$B$953&amp;"",UTILITIES!$E$3:$E$953,""),"IOT",_xlfn.XLOOKUP($K787&amp;"",IOT!$B$3:$B$1012&amp;"",IOT!$E$3:$E$1012,""),"Server",_xlfn.XLOOKUP($K787&amp;"",SERVER!$B$3:$B$1009&amp;"",SERVER!$E$3:$E$1009,""),""))))</f>
        <v/>
      </c>
      <c r="Q787" s="1" t="str" cm="1">
        <f t="array" ref="Q787">IF(OR($K787="",$I787="",$J787=""),"",_xlfn.LET(_xlpm.srcCat,_xlfn.SWITCH($I787,"Computer",_xlfn.XLOOKUP($K787&amp;"",COMPUTER!$B$3:$B$1009&amp;"",COMPUTER!$H$3:$H$1009,""),"Display",_xlfn.XLOOKUP($K787&amp;"",DISPLAY!$B$3:$B$1000&amp;"",DISPLAY!$H$3:$H$1000,""),"Network Device",_xlfn.XLOOKUP($K787&amp;"",'NETWORK-DEVICES'!$B$3:$B$987&amp;"",'NETWORK-DEVICES'!$H$3:$H$987,""),"Peripheral",_xlfn.XLOOKUP($K787&amp;"",PERIPHERAL!$B$3:$B$954&amp;"",PERIPHERAL!$H$3:$H$954,""),"Utilities",_xlfn.XLOOKUP($K787&amp;"",UTILITIES!$B$3:$B$953&amp;"",UTILITIES!$G$3:$G$953,""),"IOT",_xlfn.XLOOKUP($K787&amp;"",IOT!$B$3:$B$1012&amp;"",IOT!$H$3:$H$1012,""),"Server",_xlfn.XLOOKUP($K787&amp;"",SERVER!$B$3:$B$1009&amp;"",SERVER!$H$3:$H$1009,""),""),IF(TRIM(_xlpm.srcCat)&lt;&gt;TRIM($J787),"",_xlfn.SWITCH($I787,"Computer",_xlfn.XLOOKUP($K787&amp;"",COMPUTER!$B$3:$B$1009&amp;"",COMPUTER!$AM$3:$AM$1009,""),"Display",_xlfn.XLOOKUP($K787&amp;"",DISPLAY!$B$3:$B$1000&amp;"",DISPLAY!$V$3:$V$1000,""),"Network Device",_xlfn.XLOOKUP($K787&amp;"",'NETWORK-DEVICES'!$B$3:$B$987&amp;"",'NETWORK-DEVICES'!$AF$3:$AF$987,""),"Peripheral",_xlfn.XLOOKUP($K787&amp;"",PERIPHERAL!$B$3:$B$954&amp;"",PERIPHERAL!$Y$3:$Y$954,""),"Utilities",_xlfn.XLOOKUP($K787&amp;"",UTILITIES!$B$3:$B$953&amp;"",UTILITIES!$O$3:$O$953,""),"IOT",_xlfn.XLOOKUP($K787&amp;"",IOT!$B$3:$B$1012&amp;"",IOT!$AB$3:$AB$1012,""),"Server",_xlfn.XLOOKUP($K787&amp;"",SERVER!$B$3:$B$1009&amp;"",SERVER!$AB$3:$AB$1009,""),""))))</f>
        <v/>
      </c>
      <c r="R787" s="43" t="str">
        <f>IF(tbl_handover[[#This Row],[Asset Code]]="","",COUNTIF(tbl_handover[Asset Code],tbl_handover[[#This Row],[Asset Code]]))</f>
        <v/>
      </c>
    </row>
    <row r="788" spans="1:18" x14ac:dyDescent="0.25">
      <c r="A788" s="43" t="str">
        <f>IF(B788&lt;&gt;"",SUBTOTAL(3,$B$1:B787),"")</f>
        <v/>
      </c>
      <c r="C788" s="74"/>
      <c r="D788" s="74"/>
      <c r="G788" s="1"/>
      <c r="K788" s="42"/>
      <c r="L788" t="str" cm="1">
        <f t="array" ref="L788">IF($K788="","",_xlfn.SWITCH($I788,"Computer",_xlfn.XLOOKUP($K788&amp;"",COMPUTER!$B$3:$B$1009&amp;"",COMPUTER!$I$3:$I$1009,""),"Display",_xlfn.XLOOKUP($K788&amp;"",DISPLAY!$B$3:$B$1000&amp;"",DISPLAY!$J$3:$J$1000,""),"Network Device",_xlfn.XLOOKUP($K788&amp;"",'NETWORK-DEVICES'!$B$3:$B$987&amp;"",'NETWORK-DEVICES'!$I$3:$I$987,""),"Peripheral",_xlfn.XLOOKUP($K788&amp;"",PERIPHERAL!$B$3:$B$954&amp;"",PERIPHERAL!$I$3:$I$954,""),"Utilities",_xlfn.XLOOKUP($K788&amp;"",UTILITIES!$B$3:$B$953&amp;"",UTILITIES!$H$3:$H$953,""),"IOT",_xlfn.XLOOKUP($K788&amp;"",IOT!$B$3:$B$1012&amp;"",IOT!$I$3:$I$1012,""),"SERVER",_xlfn.XLOOKUP($K788&amp;"",SERVER!$B$3:$B$1009&amp;"",SERVER!$I$3:$I$1009,""),""))</f>
        <v/>
      </c>
      <c r="M788" t="str" cm="1">
        <f t="array" ref="M788">IF($K788="","",_xlfn.SWITCH($I788,"Computer",_xlfn.XLOOKUP($K788&amp;"",COMPUTER!$B$3:$B$1009&amp;"",COMPUTER!$J$3:$J$1009,""),"Display",_xlfn.XLOOKUP($K788&amp;"",DISPLAY!$B$3:$B$1000&amp;"",DISPLAY!$K$3:$K$1000,""),"Network Device",_xlfn.XLOOKUP($K788&amp;"",'NETWORK-DEVICES'!$B$3:$B$987&amp;"",'NETWORK-DEVICES'!$I$3:$I$987,""),"Peripheral",_xlfn.XLOOKUP($K788&amp;"",PERIPHERAL!$B$3:$B$954&amp;"",PERIPHERAL!$J$3:$J$954,""),"Utilities",_xlfn.XLOOKUP($K788&amp;"",UTILITIES!$B$3:$B$953&amp;"",UTILITIES!$I$3:$I$953,""),"IOT",_xlfn.XLOOKUP($K788&amp;"",IOT!$B$3:$B$1012&amp;"",IOT!$J$3:$J$1012,""),"Server",_xlfn.XLOOKUP($K788&amp;"",SERVER!$B$3:$B$1009&amp;"",SERVER!$J$3:$J$1009,""),""))</f>
        <v/>
      </c>
      <c r="N788" s="1" t="str" cm="1">
        <f t="array" ref="N788">IF(OR($K788="",$I788="",$J788=""),"",_xlfn.LET(_xlpm.srcCat,_xlfn.SWITCH($I788,"Computer",_xlfn.XLOOKUP($K788&amp;"",COMPUTER!$B$3:$B$1009&amp;"",COMPUTER!$H$3:$H$1009,""),"Display",_xlfn.XLOOKUP($K788&amp;"",DISPLAY!$B$3:$B$1000&amp;"",DISPLAY!$H$3:$H$1000,""),"Network Device",_xlfn.XLOOKUP($K788&amp;"",'NETWORK-DEVICES'!$B$3:$B$987&amp;"",'NETWORK-DEVICES'!$H$3:$H$987,""),"Peripheral",_xlfn.XLOOKUP($K788&amp;"",PERIPHERAL!$B$3:$B$954&amp;"",PERIPHERAL!$H$3:$H$954,""),"Utilities",_xlfn.XLOOKUP($K788&amp;"",UTILITIES!$B$3:$B$953&amp;"",UTILITIES!$G$3:$G$953,""),"IOT",_xlfn.XLOOKUP($K788&amp;"",IOT!$B$3:$B$1012&amp;"",IOT!$H$3:$H$1012,""),"Server",_xlfn.XLOOKUP($K788&amp;"",SERVER!$B$3:$B$1009&amp;"",SERVER!$H$3:$H$1009,""),""),IF(TRIM(_xlpm.srcCat)&lt;&gt;TRIM($J788),"",_xlfn.SWITCH($I788,"Computer",_xlfn.XLOOKUP($K788&amp;"",COMPUTER!$B$3:$B$1009&amp;"",COMPUTER!$K$3:$K$1009,""),"Display",_xlfn.XLOOKUP($K788&amp;"",DISPLAY!$B$3:$B$1000&amp;"",DISPLAY!$L$3:$L$1000,""),"Network Device",_xlfn.XLOOKUP($K788&amp;"",'NETWORK-DEVICES'!$B$3:$B$987&amp;"",'NETWORK-DEVICES'!$K$3:$K$987,""),"Peripheral",_xlfn.XLOOKUP($K788&amp;"",PERIPHERAL!$B$3:$B$954&amp;"",PERIPHERAL!$K$3:$K$954,""),"Utilities",_xlfn.XLOOKUP($K788&amp;"",UTILITIES!$B$3:$B$953&amp;"",UTILITIES!$J$3:$J$953,""),"IOT",_xlfn.XLOOKUP($K788&amp;"",IOT!$B$3:$B$1012&amp;"",IOT!$K$4:$K$1012,""),"Server",_xlfn.XLOOKUP($K788&amp;"",SERVER!$B$3:$B$1009&amp;"",SERVER!$K$3:$K$1009,""),""))))</f>
        <v/>
      </c>
      <c r="O788" s="1" t="str" cm="1">
        <f t="array" ref="O788">IF(OR($K788="",$I788="",$J788=""),"",_xlfn.LET(_xlpm.srcCat,_xlfn.SWITCH($I788,"Computer",_xlfn.XLOOKUP($K788&amp;"",COMPUTER!$B$3:$B$1009&amp;"",COMPUTER!$H$3:$H$1009,""),"Display",_xlfn.XLOOKUP($K788&amp;"",DISPLAY!$B$3:$B$1000&amp;"",DISPLAY!$H$3:$H$1000,""),"Network Device",_xlfn.XLOOKUP($K788&amp;"",'NETWORK-DEVICES'!$B$3:$B$987&amp;"",'NETWORK-DEVICES'!$H$3:$H$987,""),"Peripheral",_xlfn.XLOOKUP($K788&amp;"",PERIPHERAL!$B$3:$B$954&amp;"",PERIPHERAL!$H$3:$H$954,""),"Utilities",_xlfn.XLOOKUP($K788&amp;"",UTILITIES!$B$3:$B$953&amp;"",UTILITIES!$G$3:$G$953,""),"IOT",_xlfn.XLOOKUP($K788&amp;"",IOT!$B$3:$B$1012&amp;"",IOT!$H$3:$H$1012,""),"Server",_xlfn.XLOOKUP($K788&amp;"",SERVER!$B$3:$B$1009&amp;"",SERVER!$H$3:$H$1009,""),""),IF(TRIM(_xlpm.srcCat)&lt;&gt;TRIM($J788),"",_xlfn.SWITCH($I788,"Computer",_xlfn.XLOOKUP($K788&amp;"",COMPUTER!$B$3:$B$1009&amp;"",COMPUTER!$E$3:$E$1009,""),"Display",_xlfn.XLOOKUP($K788&amp;"",DISPLAY!$B$3:$B$1000&amp;"",DISPLAY!$E$3:$E$1000,""),"Network Device",_xlfn.XLOOKUP($K788&amp;"",'NETWORK-DEVICES'!$B$3:$B$987&amp;"",'NETWORK-DEVICES'!$E$3:$E$987,""),"Peripheral",_xlfn.XLOOKUP($K788&amp;"",PERIPHERAL!$B$3:$B$954&amp;"",PERIPHERAL!$E$3:$E$954,""),"Utilities",_xlfn.XLOOKUP($K788&amp;"",UTILITIES!$B$3:$B$953&amp;"",UTILITIES!$E$3:$E$953,""),"IOT",_xlfn.XLOOKUP($K788&amp;"",IOT!$B$3:$B$1012&amp;"",IOT!$E$3:$E$1012,""),"Server",_xlfn.XLOOKUP($K788&amp;"",SERVER!$B$3:$B$1009&amp;"",SERVER!$E$3:$E$1009,""),""))))</f>
        <v/>
      </c>
      <c r="Q788" s="1" t="str" cm="1">
        <f t="array" ref="Q788">IF(OR($K788="",$I788="",$J788=""),"",_xlfn.LET(_xlpm.srcCat,_xlfn.SWITCH($I788,"Computer",_xlfn.XLOOKUP($K788&amp;"",COMPUTER!$B$3:$B$1009&amp;"",COMPUTER!$H$3:$H$1009,""),"Display",_xlfn.XLOOKUP($K788&amp;"",DISPLAY!$B$3:$B$1000&amp;"",DISPLAY!$H$3:$H$1000,""),"Network Device",_xlfn.XLOOKUP($K788&amp;"",'NETWORK-DEVICES'!$B$3:$B$987&amp;"",'NETWORK-DEVICES'!$H$3:$H$987,""),"Peripheral",_xlfn.XLOOKUP($K788&amp;"",PERIPHERAL!$B$3:$B$954&amp;"",PERIPHERAL!$H$3:$H$954,""),"Utilities",_xlfn.XLOOKUP($K788&amp;"",UTILITIES!$B$3:$B$953&amp;"",UTILITIES!$G$3:$G$953,""),"IOT",_xlfn.XLOOKUP($K788&amp;"",IOT!$B$3:$B$1012&amp;"",IOT!$H$3:$H$1012,""),"Server",_xlfn.XLOOKUP($K788&amp;"",SERVER!$B$3:$B$1009&amp;"",SERVER!$H$3:$H$1009,""),""),IF(TRIM(_xlpm.srcCat)&lt;&gt;TRIM($J788),"",_xlfn.SWITCH($I788,"Computer",_xlfn.XLOOKUP($K788&amp;"",COMPUTER!$B$3:$B$1009&amp;"",COMPUTER!$AM$3:$AM$1009,""),"Display",_xlfn.XLOOKUP($K788&amp;"",DISPLAY!$B$3:$B$1000&amp;"",DISPLAY!$V$3:$V$1000,""),"Network Device",_xlfn.XLOOKUP($K788&amp;"",'NETWORK-DEVICES'!$B$3:$B$987&amp;"",'NETWORK-DEVICES'!$AF$3:$AF$987,""),"Peripheral",_xlfn.XLOOKUP($K788&amp;"",PERIPHERAL!$B$3:$B$954&amp;"",PERIPHERAL!$Y$3:$Y$954,""),"Utilities",_xlfn.XLOOKUP($K788&amp;"",UTILITIES!$B$3:$B$953&amp;"",UTILITIES!$O$3:$O$953,""),"IOT",_xlfn.XLOOKUP($K788&amp;"",IOT!$B$3:$B$1012&amp;"",IOT!$AB$3:$AB$1012,""),"Server",_xlfn.XLOOKUP($K788&amp;"",SERVER!$B$3:$B$1009&amp;"",SERVER!$AB$3:$AB$1009,""),""))))</f>
        <v/>
      </c>
      <c r="R788" s="43" t="str">
        <f>IF(tbl_handover[[#This Row],[Asset Code]]="","",COUNTIF(tbl_handover[Asset Code],tbl_handover[[#This Row],[Asset Code]]))</f>
        <v/>
      </c>
    </row>
    <row r="789" spans="1:18" x14ac:dyDescent="0.25">
      <c r="A789" s="43" t="str">
        <f>IF(B789&lt;&gt;"",SUBTOTAL(3,$B$1:B788),"")</f>
        <v/>
      </c>
      <c r="C789" s="74"/>
      <c r="D789" s="74"/>
      <c r="G789" s="1"/>
      <c r="K789" s="42"/>
      <c r="L789" t="str" cm="1">
        <f t="array" ref="L789">IF($K789="","",_xlfn.SWITCH($I789,"Computer",_xlfn.XLOOKUP($K789&amp;"",COMPUTER!$B$3:$B$1009&amp;"",COMPUTER!$I$3:$I$1009,""),"Display",_xlfn.XLOOKUP($K789&amp;"",DISPLAY!$B$3:$B$1000&amp;"",DISPLAY!$J$3:$J$1000,""),"Network Device",_xlfn.XLOOKUP($K789&amp;"",'NETWORK-DEVICES'!$B$3:$B$987&amp;"",'NETWORK-DEVICES'!$I$3:$I$987,""),"Peripheral",_xlfn.XLOOKUP($K789&amp;"",PERIPHERAL!$B$3:$B$954&amp;"",PERIPHERAL!$I$3:$I$954,""),"Utilities",_xlfn.XLOOKUP($K789&amp;"",UTILITIES!$B$3:$B$953&amp;"",UTILITIES!$H$3:$H$953,""),"IOT",_xlfn.XLOOKUP($K789&amp;"",IOT!$B$3:$B$1012&amp;"",IOT!$I$3:$I$1012,""),"SERVER",_xlfn.XLOOKUP($K789&amp;"",SERVER!$B$3:$B$1009&amp;"",SERVER!$I$3:$I$1009,""),""))</f>
        <v/>
      </c>
      <c r="M789" t="str" cm="1">
        <f t="array" ref="M789">IF($K789="","",_xlfn.SWITCH($I789,"Computer",_xlfn.XLOOKUP($K789&amp;"",COMPUTER!$B$3:$B$1009&amp;"",COMPUTER!$J$3:$J$1009,""),"Display",_xlfn.XLOOKUP($K789&amp;"",DISPLAY!$B$3:$B$1000&amp;"",DISPLAY!$K$3:$K$1000,""),"Network Device",_xlfn.XLOOKUP($K789&amp;"",'NETWORK-DEVICES'!$B$3:$B$987&amp;"",'NETWORK-DEVICES'!$I$3:$I$987,""),"Peripheral",_xlfn.XLOOKUP($K789&amp;"",PERIPHERAL!$B$3:$B$954&amp;"",PERIPHERAL!$J$3:$J$954,""),"Utilities",_xlfn.XLOOKUP($K789&amp;"",UTILITIES!$B$3:$B$953&amp;"",UTILITIES!$I$3:$I$953,""),"IOT",_xlfn.XLOOKUP($K789&amp;"",IOT!$B$3:$B$1012&amp;"",IOT!$J$3:$J$1012,""),"Server",_xlfn.XLOOKUP($K789&amp;"",SERVER!$B$3:$B$1009&amp;"",SERVER!$J$3:$J$1009,""),""))</f>
        <v/>
      </c>
      <c r="N789" s="1" t="str" cm="1">
        <f t="array" ref="N789">IF(OR($K789="",$I789="",$J789=""),"",_xlfn.LET(_xlpm.srcCat,_xlfn.SWITCH($I789,"Computer",_xlfn.XLOOKUP($K789&amp;"",COMPUTER!$B$3:$B$1009&amp;"",COMPUTER!$H$3:$H$1009,""),"Display",_xlfn.XLOOKUP($K789&amp;"",DISPLAY!$B$3:$B$1000&amp;"",DISPLAY!$H$3:$H$1000,""),"Network Device",_xlfn.XLOOKUP($K789&amp;"",'NETWORK-DEVICES'!$B$3:$B$987&amp;"",'NETWORK-DEVICES'!$H$3:$H$987,""),"Peripheral",_xlfn.XLOOKUP($K789&amp;"",PERIPHERAL!$B$3:$B$954&amp;"",PERIPHERAL!$H$3:$H$954,""),"Utilities",_xlfn.XLOOKUP($K789&amp;"",UTILITIES!$B$3:$B$953&amp;"",UTILITIES!$G$3:$G$953,""),"IOT",_xlfn.XLOOKUP($K789&amp;"",IOT!$B$3:$B$1012&amp;"",IOT!$H$3:$H$1012,""),"Server",_xlfn.XLOOKUP($K789&amp;"",SERVER!$B$3:$B$1009&amp;"",SERVER!$H$3:$H$1009,""),""),IF(TRIM(_xlpm.srcCat)&lt;&gt;TRIM($J789),"",_xlfn.SWITCH($I789,"Computer",_xlfn.XLOOKUP($K789&amp;"",COMPUTER!$B$3:$B$1009&amp;"",COMPUTER!$K$3:$K$1009,""),"Display",_xlfn.XLOOKUP($K789&amp;"",DISPLAY!$B$3:$B$1000&amp;"",DISPLAY!$L$3:$L$1000,""),"Network Device",_xlfn.XLOOKUP($K789&amp;"",'NETWORK-DEVICES'!$B$3:$B$987&amp;"",'NETWORK-DEVICES'!$K$3:$K$987,""),"Peripheral",_xlfn.XLOOKUP($K789&amp;"",PERIPHERAL!$B$3:$B$954&amp;"",PERIPHERAL!$K$3:$K$954,""),"Utilities",_xlfn.XLOOKUP($K789&amp;"",UTILITIES!$B$3:$B$953&amp;"",UTILITIES!$J$3:$J$953,""),"IOT",_xlfn.XLOOKUP($K789&amp;"",IOT!$B$3:$B$1012&amp;"",IOT!$K$4:$K$1012,""),"Server",_xlfn.XLOOKUP($K789&amp;"",SERVER!$B$3:$B$1009&amp;"",SERVER!$K$3:$K$1009,""),""))))</f>
        <v/>
      </c>
      <c r="O789" s="1" t="str" cm="1">
        <f t="array" ref="O789">IF(OR($K789="",$I789="",$J789=""),"",_xlfn.LET(_xlpm.srcCat,_xlfn.SWITCH($I789,"Computer",_xlfn.XLOOKUP($K789&amp;"",COMPUTER!$B$3:$B$1009&amp;"",COMPUTER!$H$3:$H$1009,""),"Display",_xlfn.XLOOKUP($K789&amp;"",DISPLAY!$B$3:$B$1000&amp;"",DISPLAY!$H$3:$H$1000,""),"Network Device",_xlfn.XLOOKUP($K789&amp;"",'NETWORK-DEVICES'!$B$3:$B$987&amp;"",'NETWORK-DEVICES'!$H$3:$H$987,""),"Peripheral",_xlfn.XLOOKUP($K789&amp;"",PERIPHERAL!$B$3:$B$954&amp;"",PERIPHERAL!$H$3:$H$954,""),"Utilities",_xlfn.XLOOKUP($K789&amp;"",UTILITIES!$B$3:$B$953&amp;"",UTILITIES!$G$3:$G$953,""),"IOT",_xlfn.XLOOKUP($K789&amp;"",IOT!$B$3:$B$1012&amp;"",IOT!$H$3:$H$1012,""),"Server",_xlfn.XLOOKUP($K789&amp;"",SERVER!$B$3:$B$1009&amp;"",SERVER!$H$3:$H$1009,""),""),IF(TRIM(_xlpm.srcCat)&lt;&gt;TRIM($J789),"",_xlfn.SWITCH($I789,"Computer",_xlfn.XLOOKUP($K789&amp;"",COMPUTER!$B$3:$B$1009&amp;"",COMPUTER!$E$3:$E$1009,""),"Display",_xlfn.XLOOKUP($K789&amp;"",DISPLAY!$B$3:$B$1000&amp;"",DISPLAY!$E$3:$E$1000,""),"Network Device",_xlfn.XLOOKUP($K789&amp;"",'NETWORK-DEVICES'!$B$3:$B$987&amp;"",'NETWORK-DEVICES'!$E$3:$E$987,""),"Peripheral",_xlfn.XLOOKUP($K789&amp;"",PERIPHERAL!$B$3:$B$954&amp;"",PERIPHERAL!$E$3:$E$954,""),"Utilities",_xlfn.XLOOKUP($K789&amp;"",UTILITIES!$B$3:$B$953&amp;"",UTILITIES!$E$3:$E$953,""),"IOT",_xlfn.XLOOKUP($K789&amp;"",IOT!$B$3:$B$1012&amp;"",IOT!$E$3:$E$1012,""),"Server",_xlfn.XLOOKUP($K789&amp;"",SERVER!$B$3:$B$1009&amp;"",SERVER!$E$3:$E$1009,""),""))))</f>
        <v/>
      </c>
      <c r="Q789" s="1" t="str" cm="1">
        <f t="array" ref="Q789">IF(OR($K789="",$I789="",$J789=""),"",_xlfn.LET(_xlpm.srcCat,_xlfn.SWITCH($I789,"Computer",_xlfn.XLOOKUP($K789&amp;"",COMPUTER!$B$3:$B$1009&amp;"",COMPUTER!$H$3:$H$1009,""),"Display",_xlfn.XLOOKUP($K789&amp;"",DISPLAY!$B$3:$B$1000&amp;"",DISPLAY!$H$3:$H$1000,""),"Network Device",_xlfn.XLOOKUP($K789&amp;"",'NETWORK-DEVICES'!$B$3:$B$987&amp;"",'NETWORK-DEVICES'!$H$3:$H$987,""),"Peripheral",_xlfn.XLOOKUP($K789&amp;"",PERIPHERAL!$B$3:$B$954&amp;"",PERIPHERAL!$H$3:$H$954,""),"Utilities",_xlfn.XLOOKUP($K789&amp;"",UTILITIES!$B$3:$B$953&amp;"",UTILITIES!$G$3:$G$953,""),"IOT",_xlfn.XLOOKUP($K789&amp;"",IOT!$B$3:$B$1012&amp;"",IOT!$H$3:$H$1012,""),"Server",_xlfn.XLOOKUP($K789&amp;"",SERVER!$B$3:$B$1009&amp;"",SERVER!$H$3:$H$1009,""),""),IF(TRIM(_xlpm.srcCat)&lt;&gt;TRIM($J789),"",_xlfn.SWITCH($I789,"Computer",_xlfn.XLOOKUP($K789&amp;"",COMPUTER!$B$3:$B$1009&amp;"",COMPUTER!$AM$3:$AM$1009,""),"Display",_xlfn.XLOOKUP($K789&amp;"",DISPLAY!$B$3:$B$1000&amp;"",DISPLAY!$V$3:$V$1000,""),"Network Device",_xlfn.XLOOKUP($K789&amp;"",'NETWORK-DEVICES'!$B$3:$B$987&amp;"",'NETWORK-DEVICES'!$AF$3:$AF$987,""),"Peripheral",_xlfn.XLOOKUP($K789&amp;"",PERIPHERAL!$B$3:$B$954&amp;"",PERIPHERAL!$Y$3:$Y$954,""),"Utilities",_xlfn.XLOOKUP($K789&amp;"",UTILITIES!$B$3:$B$953&amp;"",UTILITIES!$O$3:$O$953,""),"IOT",_xlfn.XLOOKUP($K789&amp;"",IOT!$B$3:$B$1012&amp;"",IOT!$AB$3:$AB$1012,""),"Server",_xlfn.XLOOKUP($K789&amp;"",SERVER!$B$3:$B$1009&amp;"",SERVER!$AB$3:$AB$1009,""),""))))</f>
        <v/>
      </c>
      <c r="R789" s="43" t="str">
        <f>IF(tbl_handover[[#This Row],[Asset Code]]="","",COUNTIF(tbl_handover[Asset Code],tbl_handover[[#This Row],[Asset Code]]))</f>
        <v/>
      </c>
    </row>
    <row r="790" spans="1:18" x14ac:dyDescent="0.25">
      <c r="A790" s="43" t="str">
        <f>IF(B790&lt;&gt;"",SUBTOTAL(3,$B$1:B789),"")</f>
        <v/>
      </c>
      <c r="C790" s="74"/>
      <c r="D790" s="74"/>
      <c r="G790" s="1"/>
      <c r="K790" s="42"/>
      <c r="L790" t="str" cm="1">
        <f t="array" ref="L790">IF($K790="","",_xlfn.SWITCH($I790,"Computer",_xlfn.XLOOKUP($K790&amp;"",COMPUTER!$B$3:$B$1009&amp;"",COMPUTER!$I$3:$I$1009,""),"Display",_xlfn.XLOOKUP($K790&amp;"",DISPLAY!$B$3:$B$1000&amp;"",DISPLAY!$J$3:$J$1000,""),"Network Device",_xlfn.XLOOKUP($K790&amp;"",'NETWORK-DEVICES'!$B$3:$B$987&amp;"",'NETWORK-DEVICES'!$I$3:$I$987,""),"Peripheral",_xlfn.XLOOKUP($K790&amp;"",PERIPHERAL!$B$3:$B$954&amp;"",PERIPHERAL!$I$3:$I$954,""),"Utilities",_xlfn.XLOOKUP($K790&amp;"",UTILITIES!$B$3:$B$953&amp;"",UTILITIES!$H$3:$H$953,""),"IOT",_xlfn.XLOOKUP($K790&amp;"",IOT!$B$3:$B$1012&amp;"",IOT!$I$3:$I$1012,""),"SERVER",_xlfn.XLOOKUP($K790&amp;"",SERVER!$B$3:$B$1009&amp;"",SERVER!$I$3:$I$1009,""),""))</f>
        <v/>
      </c>
      <c r="M790" t="str" cm="1">
        <f t="array" ref="M790">IF($K790="","",_xlfn.SWITCH($I790,"Computer",_xlfn.XLOOKUP($K790&amp;"",COMPUTER!$B$3:$B$1009&amp;"",COMPUTER!$J$3:$J$1009,""),"Display",_xlfn.XLOOKUP($K790&amp;"",DISPLAY!$B$3:$B$1000&amp;"",DISPLAY!$K$3:$K$1000,""),"Network Device",_xlfn.XLOOKUP($K790&amp;"",'NETWORK-DEVICES'!$B$3:$B$987&amp;"",'NETWORK-DEVICES'!$I$3:$I$987,""),"Peripheral",_xlfn.XLOOKUP($K790&amp;"",PERIPHERAL!$B$3:$B$954&amp;"",PERIPHERAL!$J$3:$J$954,""),"Utilities",_xlfn.XLOOKUP($K790&amp;"",UTILITIES!$B$3:$B$953&amp;"",UTILITIES!$I$3:$I$953,""),"IOT",_xlfn.XLOOKUP($K790&amp;"",IOT!$B$3:$B$1012&amp;"",IOT!$J$3:$J$1012,""),"Server",_xlfn.XLOOKUP($K790&amp;"",SERVER!$B$3:$B$1009&amp;"",SERVER!$J$3:$J$1009,""),""))</f>
        <v/>
      </c>
      <c r="N790" s="1" t="str" cm="1">
        <f t="array" ref="N790">IF(OR($K790="",$I790="",$J790=""),"",_xlfn.LET(_xlpm.srcCat,_xlfn.SWITCH($I790,"Computer",_xlfn.XLOOKUP($K790&amp;"",COMPUTER!$B$3:$B$1009&amp;"",COMPUTER!$H$3:$H$1009,""),"Display",_xlfn.XLOOKUP($K790&amp;"",DISPLAY!$B$3:$B$1000&amp;"",DISPLAY!$H$3:$H$1000,""),"Network Device",_xlfn.XLOOKUP($K790&amp;"",'NETWORK-DEVICES'!$B$3:$B$987&amp;"",'NETWORK-DEVICES'!$H$3:$H$987,""),"Peripheral",_xlfn.XLOOKUP($K790&amp;"",PERIPHERAL!$B$3:$B$954&amp;"",PERIPHERAL!$H$3:$H$954,""),"Utilities",_xlfn.XLOOKUP($K790&amp;"",UTILITIES!$B$3:$B$953&amp;"",UTILITIES!$G$3:$G$953,""),"IOT",_xlfn.XLOOKUP($K790&amp;"",IOT!$B$3:$B$1012&amp;"",IOT!$H$3:$H$1012,""),"Server",_xlfn.XLOOKUP($K790&amp;"",SERVER!$B$3:$B$1009&amp;"",SERVER!$H$3:$H$1009,""),""),IF(TRIM(_xlpm.srcCat)&lt;&gt;TRIM($J790),"",_xlfn.SWITCH($I790,"Computer",_xlfn.XLOOKUP($K790&amp;"",COMPUTER!$B$3:$B$1009&amp;"",COMPUTER!$K$3:$K$1009,""),"Display",_xlfn.XLOOKUP($K790&amp;"",DISPLAY!$B$3:$B$1000&amp;"",DISPLAY!$L$3:$L$1000,""),"Network Device",_xlfn.XLOOKUP($K790&amp;"",'NETWORK-DEVICES'!$B$3:$B$987&amp;"",'NETWORK-DEVICES'!$K$3:$K$987,""),"Peripheral",_xlfn.XLOOKUP($K790&amp;"",PERIPHERAL!$B$3:$B$954&amp;"",PERIPHERAL!$K$3:$K$954,""),"Utilities",_xlfn.XLOOKUP($K790&amp;"",UTILITIES!$B$3:$B$953&amp;"",UTILITIES!$J$3:$J$953,""),"IOT",_xlfn.XLOOKUP($K790&amp;"",IOT!$B$3:$B$1012&amp;"",IOT!$K$4:$K$1012,""),"Server",_xlfn.XLOOKUP($K790&amp;"",SERVER!$B$3:$B$1009&amp;"",SERVER!$K$3:$K$1009,""),""))))</f>
        <v/>
      </c>
      <c r="O790" s="1" t="str" cm="1">
        <f t="array" ref="O790">IF(OR($K790="",$I790="",$J790=""),"",_xlfn.LET(_xlpm.srcCat,_xlfn.SWITCH($I790,"Computer",_xlfn.XLOOKUP($K790&amp;"",COMPUTER!$B$3:$B$1009&amp;"",COMPUTER!$H$3:$H$1009,""),"Display",_xlfn.XLOOKUP($K790&amp;"",DISPLAY!$B$3:$B$1000&amp;"",DISPLAY!$H$3:$H$1000,""),"Network Device",_xlfn.XLOOKUP($K790&amp;"",'NETWORK-DEVICES'!$B$3:$B$987&amp;"",'NETWORK-DEVICES'!$H$3:$H$987,""),"Peripheral",_xlfn.XLOOKUP($K790&amp;"",PERIPHERAL!$B$3:$B$954&amp;"",PERIPHERAL!$H$3:$H$954,""),"Utilities",_xlfn.XLOOKUP($K790&amp;"",UTILITIES!$B$3:$B$953&amp;"",UTILITIES!$G$3:$G$953,""),"IOT",_xlfn.XLOOKUP($K790&amp;"",IOT!$B$3:$B$1012&amp;"",IOT!$H$3:$H$1012,""),"Server",_xlfn.XLOOKUP($K790&amp;"",SERVER!$B$3:$B$1009&amp;"",SERVER!$H$3:$H$1009,""),""),IF(TRIM(_xlpm.srcCat)&lt;&gt;TRIM($J790),"",_xlfn.SWITCH($I790,"Computer",_xlfn.XLOOKUP($K790&amp;"",COMPUTER!$B$3:$B$1009&amp;"",COMPUTER!$E$3:$E$1009,""),"Display",_xlfn.XLOOKUP($K790&amp;"",DISPLAY!$B$3:$B$1000&amp;"",DISPLAY!$E$3:$E$1000,""),"Network Device",_xlfn.XLOOKUP($K790&amp;"",'NETWORK-DEVICES'!$B$3:$B$987&amp;"",'NETWORK-DEVICES'!$E$3:$E$987,""),"Peripheral",_xlfn.XLOOKUP($K790&amp;"",PERIPHERAL!$B$3:$B$954&amp;"",PERIPHERAL!$E$3:$E$954,""),"Utilities",_xlfn.XLOOKUP($K790&amp;"",UTILITIES!$B$3:$B$953&amp;"",UTILITIES!$E$3:$E$953,""),"IOT",_xlfn.XLOOKUP($K790&amp;"",IOT!$B$3:$B$1012&amp;"",IOT!$E$3:$E$1012,""),"Server",_xlfn.XLOOKUP($K790&amp;"",SERVER!$B$3:$B$1009&amp;"",SERVER!$E$3:$E$1009,""),""))))</f>
        <v/>
      </c>
      <c r="Q790" s="1" t="str" cm="1">
        <f t="array" ref="Q790">IF(OR($K790="",$I790="",$J790=""),"",_xlfn.LET(_xlpm.srcCat,_xlfn.SWITCH($I790,"Computer",_xlfn.XLOOKUP($K790&amp;"",COMPUTER!$B$3:$B$1009&amp;"",COMPUTER!$H$3:$H$1009,""),"Display",_xlfn.XLOOKUP($K790&amp;"",DISPLAY!$B$3:$B$1000&amp;"",DISPLAY!$H$3:$H$1000,""),"Network Device",_xlfn.XLOOKUP($K790&amp;"",'NETWORK-DEVICES'!$B$3:$B$987&amp;"",'NETWORK-DEVICES'!$H$3:$H$987,""),"Peripheral",_xlfn.XLOOKUP($K790&amp;"",PERIPHERAL!$B$3:$B$954&amp;"",PERIPHERAL!$H$3:$H$954,""),"Utilities",_xlfn.XLOOKUP($K790&amp;"",UTILITIES!$B$3:$B$953&amp;"",UTILITIES!$G$3:$G$953,""),"IOT",_xlfn.XLOOKUP($K790&amp;"",IOT!$B$3:$B$1012&amp;"",IOT!$H$3:$H$1012,""),"Server",_xlfn.XLOOKUP($K790&amp;"",SERVER!$B$3:$B$1009&amp;"",SERVER!$H$3:$H$1009,""),""),IF(TRIM(_xlpm.srcCat)&lt;&gt;TRIM($J790),"",_xlfn.SWITCH($I790,"Computer",_xlfn.XLOOKUP($K790&amp;"",COMPUTER!$B$3:$B$1009&amp;"",COMPUTER!$AM$3:$AM$1009,""),"Display",_xlfn.XLOOKUP($K790&amp;"",DISPLAY!$B$3:$B$1000&amp;"",DISPLAY!$V$3:$V$1000,""),"Network Device",_xlfn.XLOOKUP($K790&amp;"",'NETWORK-DEVICES'!$B$3:$B$987&amp;"",'NETWORK-DEVICES'!$AF$3:$AF$987,""),"Peripheral",_xlfn.XLOOKUP($K790&amp;"",PERIPHERAL!$B$3:$B$954&amp;"",PERIPHERAL!$Y$3:$Y$954,""),"Utilities",_xlfn.XLOOKUP($K790&amp;"",UTILITIES!$B$3:$B$953&amp;"",UTILITIES!$O$3:$O$953,""),"IOT",_xlfn.XLOOKUP($K790&amp;"",IOT!$B$3:$B$1012&amp;"",IOT!$AB$3:$AB$1012,""),"Server",_xlfn.XLOOKUP($K790&amp;"",SERVER!$B$3:$B$1009&amp;"",SERVER!$AB$3:$AB$1009,""),""))))</f>
        <v/>
      </c>
      <c r="R790" s="43" t="str">
        <f>IF(tbl_handover[[#This Row],[Asset Code]]="","",COUNTIF(tbl_handover[Asset Code],tbl_handover[[#This Row],[Asset Code]]))</f>
        <v/>
      </c>
    </row>
    <row r="791" spans="1:18" x14ac:dyDescent="0.25">
      <c r="A791" s="43" t="str">
        <f>IF(B791&lt;&gt;"",SUBTOTAL(3,$B$1:B790),"")</f>
        <v/>
      </c>
      <c r="C791" s="74"/>
      <c r="D791" s="74"/>
      <c r="G791" s="1"/>
      <c r="K791" s="42"/>
      <c r="L791" t="str" cm="1">
        <f t="array" ref="L791">IF($K791="","",_xlfn.SWITCH($I791,"Computer",_xlfn.XLOOKUP($K791&amp;"",COMPUTER!$B$3:$B$1009&amp;"",COMPUTER!$I$3:$I$1009,""),"Display",_xlfn.XLOOKUP($K791&amp;"",DISPLAY!$B$3:$B$1000&amp;"",DISPLAY!$J$3:$J$1000,""),"Network Device",_xlfn.XLOOKUP($K791&amp;"",'NETWORK-DEVICES'!$B$3:$B$987&amp;"",'NETWORK-DEVICES'!$I$3:$I$987,""),"Peripheral",_xlfn.XLOOKUP($K791&amp;"",PERIPHERAL!$B$3:$B$954&amp;"",PERIPHERAL!$I$3:$I$954,""),"Utilities",_xlfn.XLOOKUP($K791&amp;"",UTILITIES!$B$3:$B$953&amp;"",UTILITIES!$H$3:$H$953,""),"IOT",_xlfn.XLOOKUP($K791&amp;"",IOT!$B$3:$B$1012&amp;"",IOT!$I$3:$I$1012,""),"SERVER",_xlfn.XLOOKUP($K791&amp;"",SERVER!$B$3:$B$1009&amp;"",SERVER!$I$3:$I$1009,""),""))</f>
        <v/>
      </c>
      <c r="M791" t="str" cm="1">
        <f t="array" ref="M791">IF($K791="","",_xlfn.SWITCH($I791,"Computer",_xlfn.XLOOKUP($K791&amp;"",COMPUTER!$B$3:$B$1009&amp;"",COMPUTER!$J$3:$J$1009,""),"Display",_xlfn.XLOOKUP($K791&amp;"",DISPLAY!$B$3:$B$1000&amp;"",DISPLAY!$K$3:$K$1000,""),"Network Device",_xlfn.XLOOKUP($K791&amp;"",'NETWORK-DEVICES'!$B$3:$B$987&amp;"",'NETWORK-DEVICES'!$I$3:$I$987,""),"Peripheral",_xlfn.XLOOKUP($K791&amp;"",PERIPHERAL!$B$3:$B$954&amp;"",PERIPHERAL!$J$3:$J$954,""),"Utilities",_xlfn.XLOOKUP($K791&amp;"",UTILITIES!$B$3:$B$953&amp;"",UTILITIES!$I$3:$I$953,""),"IOT",_xlfn.XLOOKUP($K791&amp;"",IOT!$B$3:$B$1012&amp;"",IOT!$J$3:$J$1012,""),"Server",_xlfn.XLOOKUP($K791&amp;"",SERVER!$B$3:$B$1009&amp;"",SERVER!$J$3:$J$1009,""),""))</f>
        <v/>
      </c>
      <c r="N791" s="1" t="str" cm="1">
        <f t="array" ref="N791">IF(OR($K791="",$I791="",$J791=""),"",_xlfn.LET(_xlpm.srcCat,_xlfn.SWITCH($I791,"Computer",_xlfn.XLOOKUP($K791&amp;"",COMPUTER!$B$3:$B$1009&amp;"",COMPUTER!$H$3:$H$1009,""),"Display",_xlfn.XLOOKUP($K791&amp;"",DISPLAY!$B$3:$B$1000&amp;"",DISPLAY!$H$3:$H$1000,""),"Network Device",_xlfn.XLOOKUP($K791&amp;"",'NETWORK-DEVICES'!$B$3:$B$987&amp;"",'NETWORK-DEVICES'!$H$3:$H$987,""),"Peripheral",_xlfn.XLOOKUP($K791&amp;"",PERIPHERAL!$B$3:$B$954&amp;"",PERIPHERAL!$H$3:$H$954,""),"Utilities",_xlfn.XLOOKUP($K791&amp;"",UTILITIES!$B$3:$B$953&amp;"",UTILITIES!$G$3:$G$953,""),"IOT",_xlfn.XLOOKUP($K791&amp;"",IOT!$B$3:$B$1012&amp;"",IOT!$H$3:$H$1012,""),"Server",_xlfn.XLOOKUP($K791&amp;"",SERVER!$B$3:$B$1009&amp;"",SERVER!$H$3:$H$1009,""),""),IF(TRIM(_xlpm.srcCat)&lt;&gt;TRIM($J791),"",_xlfn.SWITCH($I791,"Computer",_xlfn.XLOOKUP($K791&amp;"",COMPUTER!$B$3:$B$1009&amp;"",COMPUTER!$K$3:$K$1009,""),"Display",_xlfn.XLOOKUP($K791&amp;"",DISPLAY!$B$3:$B$1000&amp;"",DISPLAY!$L$3:$L$1000,""),"Network Device",_xlfn.XLOOKUP($K791&amp;"",'NETWORK-DEVICES'!$B$3:$B$987&amp;"",'NETWORK-DEVICES'!$K$3:$K$987,""),"Peripheral",_xlfn.XLOOKUP($K791&amp;"",PERIPHERAL!$B$3:$B$954&amp;"",PERIPHERAL!$K$3:$K$954,""),"Utilities",_xlfn.XLOOKUP($K791&amp;"",UTILITIES!$B$3:$B$953&amp;"",UTILITIES!$J$3:$J$953,""),"IOT",_xlfn.XLOOKUP($K791&amp;"",IOT!$B$3:$B$1012&amp;"",IOT!$K$4:$K$1012,""),"Server",_xlfn.XLOOKUP($K791&amp;"",SERVER!$B$3:$B$1009&amp;"",SERVER!$K$3:$K$1009,""),""))))</f>
        <v/>
      </c>
      <c r="O791" s="1" t="str" cm="1">
        <f t="array" ref="O791">IF(OR($K791="",$I791="",$J791=""),"",_xlfn.LET(_xlpm.srcCat,_xlfn.SWITCH($I791,"Computer",_xlfn.XLOOKUP($K791&amp;"",COMPUTER!$B$3:$B$1009&amp;"",COMPUTER!$H$3:$H$1009,""),"Display",_xlfn.XLOOKUP($K791&amp;"",DISPLAY!$B$3:$B$1000&amp;"",DISPLAY!$H$3:$H$1000,""),"Network Device",_xlfn.XLOOKUP($K791&amp;"",'NETWORK-DEVICES'!$B$3:$B$987&amp;"",'NETWORK-DEVICES'!$H$3:$H$987,""),"Peripheral",_xlfn.XLOOKUP($K791&amp;"",PERIPHERAL!$B$3:$B$954&amp;"",PERIPHERAL!$H$3:$H$954,""),"Utilities",_xlfn.XLOOKUP($K791&amp;"",UTILITIES!$B$3:$B$953&amp;"",UTILITIES!$G$3:$G$953,""),"IOT",_xlfn.XLOOKUP($K791&amp;"",IOT!$B$3:$B$1012&amp;"",IOT!$H$3:$H$1012,""),"Server",_xlfn.XLOOKUP($K791&amp;"",SERVER!$B$3:$B$1009&amp;"",SERVER!$H$3:$H$1009,""),""),IF(TRIM(_xlpm.srcCat)&lt;&gt;TRIM($J791),"",_xlfn.SWITCH($I791,"Computer",_xlfn.XLOOKUP($K791&amp;"",COMPUTER!$B$3:$B$1009&amp;"",COMPUTER!$E$3:$E$1009,""),"Display",_xlfn.XLOOKUP($K791&amp;"",DISPLAY!$B$3:$B$1000&amp;"",DISPLAY!$E$3:$E$1000,""),"Network Device",_xlfn.XLOOKUP($K791&amp;"",'NETWORK-DEVICES'!$B$3:$B$987&amp;"",'NETWORK-DEVICES'!$E$3:$E$987,""),"Peripheral",_xlfn.XLOOKUP($K791&amp;"",PERIPHERAL!$B$3:$B$954&amp;"",PERIPHERAL!$E$3:$E$954,""),"Utilities",_xlfn.XLOOKUP($K791&amp;"",UTILITIES!$B$3:$B$953&amp;"",UTILITIES!$E$3:$E$953,""),"IOT",_xlfn.XLOOKUP($K791&amp;"",IOT!$B$3:$B$1012&amp;"",IOT!$E$3:$E$1012,""),"Server",_xlfn.XLOOKUP($K791&amp;"",SERVER!$B$3:$B$1009&amp;"",SERVER!$E$3:$E$1009,""),""))))</f>
        <v/>
      </c>
      <c r="Q791" s="1" t="str" cm="1">
        <f t="array" ref="Q791">IF(OR($K791="",$I791="",$J791=""),"",_xlfn.LET(_xlpm.srcCat,_xlfn.SWITCH($I791,"Computer",_xlfn.XLOOKUP($K791&amp;"",COMPUTER!$B$3:$B$1009&amp;"",COMPUTER!$H$3:$H$1009,""),"Display",_xlfn.XLOOKUP($K791&amp;"",DISPLAY!$B$3:$B$1000&amp;"",DISPLAY!$H$3:$H$1000,""),"Network Device",_xlfn.XLOOKUP($K791&amp;"",'NETWORK-DEVICES'!$B$3:$B$987&amp;"",'NETWORK-DEVICES'!$H$3:$H$987,""),"Peripheral",_xlfn.XLOOKUP($K791&amp;"",PERIPHERAL!$B$3:$B$954&amp;"",PERIPHERAL!$H$3:$H$954,""),"Utilities",_xlfn.XLOOKUP($K791&amp;"",UTILITIES!$B$3:$B$953&amp;"",UTILITIES!$G$3:$G$953,""),"IOT",_xlfn.XLOOKUP($K791&amp;"",IOT!$B$3:$B$1012&amp;"",IOT!$H$3:$H$1012,""),"Server",_xlfn.XLOOKUP($K791&amp;"",SERVER!$B$3:$B$1009&amp;"",SERVER!$H$3:$H$1009,""),""),IF(TRIM(_xlpm.srcCat)&lt;&gt;TRIM($J791),"",_xlfn.SWITCH($I791,"Computer",_xlfn.XLOOKUP($K791&amp;"",COMPUTER!$B$3:$B$1009&amp;"",COMPUTER!$AM$3:$AM$1009,""),"Display",_xlfn.XLOOKUP($K791&amp;"",DISPLAY!$B$3:$B$1000&amp;"",DISPLAY!$V$3:$V$1000,""),"Network Device",_xlfn.XLOOKUP($K791&amp;"",'NETWORK-DEVICES'!$B$3:$B$987&amp;"",'NETWORK-DEVICES'!$AF$3:$AF$987,""),"Peripheral",_xlfn.XLOOKUP($K791&amp;"",PERIPHERAL!$B$3:$B$954&amp;"",PERIPHERAL!$Y$3:$Y$954,""),"Utilities",_xlfn.XLOOKUP($K791&amp;"",UTILITIES!$B$3:$B$953&amp;"",UTILITIES!$O$3:$O$953,""),"IOT",_xlfn.XLOOKUP($K791&amp;"",IOT!$B$3:$B$1012&amp;"",IOT!$AB$3:$AB$1012,""),"Server",_xlfn.XLOOKUP($K791&amp;"",SERVER!$B$3:$B$1009&amp;"",SERVER!$AB$3:$AB$1009,""),""))))</f>
        <v/>
      </c>
      <c r="R791" s="43" t="str">
        <f>IF(tbl_handover[[#This Row],[Asset Code]]="","",COUNTIF(tbl_handover[Asset Code],tbl_handover[[#This Row],[Asset Code]]))</f>
        <v/>
      </c>
    </row>
    <row r="792" spans="1:18" x14ac:dyDescent="0.25">
      <c r="A792" s="43" t="str">
        <f>IF(B792&lt;&gt;"",SUBTOTAL(3,$B$1:B791),"")</f>
        <v/>
      </c>
      <c r="C792" s="74"/>
      <c r="D792" s="74"/>
      <c r="G792" s="1"/>
      <c r="K792" s="42"/>
      <c r="L792" t="str" cm="1">
        <f t="array" ref="L792">IF($K792="","",_xlfn.SWITCH($I792,"Computer",_xlfn.XLOOKUP($K792&amp;"",COMPUTER!$B$3:$B$1009&amp;"",COMPUTER!$I$3:$I$1009,""),"Display",_xlfn.XLOOKUP($K792&amp;"",DISPLAY!$B$3:$B$1000&amp;"",DISPLAY!$J$3:$J$1000,""),"Network Device",_xlfn.XLOOKUP($K792&amp;"",'NETWORK-DEVICES'!$B$3:$B$987&amp;"",'NETWORK-DEVICES'!$I$3:$I$987,""),"Peripheral",_xlfn.XLOOKUP($K792&amp;"",PERIPHERAL!$B$3:$B$954&amp;"",PERIPHERAL!$I$3:$I$954,""),"Utilities",_xlfn.XLOOKUP($K792&amp;"",UTILITIES!$B$3:$B$953&amp;"",UTILITIES!$H$3:$H$953,""),"IOT",_xlfn.XLOOKUP($K792&amp;"",IOT!$B$3:$B$1012&amp;"",IOT!$I$3:$I$1012,""),"SERVER",_xlfn.XLOOKUP($K792&amp;"",SERVER!$B$3:$B$1009&amp;"",SERVER!$I$3:$I$1009,""),""))</f>
        <v/>
      </c>
      <c r="M792" t="str" cm="1">
        <f t="array" ref="M792">IF($K792="","",_xlfn.SWITCH($I792,"Computer",_xlfn.XLOOKUP($K792&amp;"",COMPUTER!$B$3:$B$1009&amp;"",COMPUTER!$J$3:$J$1009,""),"Display",_xlfn.XLOOKUP($K792&amp;"",DISPLAY!$B$3:$B$1000&amp;"",DISPLAY!$K$3:$K$1000,""),"Network Device",_xlfn.XLOOKUP($K792&amp;"",'NETWORK-DEVICES'!$B$3:$B$987&amp;"",'NETWORK-DEVICES'!$I$3:$I$987,""),"Peripheral",_xlfn.XLOOKUP($K792&amp;"",PERIPHERAL!$B$3:$B$954&amp;"",PERIPHERAL!$J$3:$J$954,""),"Utilities",_xlfn.XLOOKUP($K792&amp;"",UTILITIES!$B$3:$B$953&amp;"",UTILITIES!$I$3:$I$953,""),"IOT",_xlfn.XLOOKUP($K792&amp;"",IOT!$B$3:$B$1012&amp;"",IOT!$J$3:$J$1012,""),"Server",_xlfn.XLOOKUP($K792&amp;"",SERVER!$B$3:$B$1009&amp;"",SERVER!$J$3:$J$1009,""),""))</f>
        <v/>
      </c>
      <c r="N792" s="1" t="str" cm="1">
        <f t="array" ref="N792">IF(OR($K792="",$I792="",$J792=""),"",_xlfn.LET(_xlpm.srcCat,_xlfn.SWITCH($I792,"Computer",_xlfn.XLOOKUP($K792&amp;"",COMPUTER!$B$3:$B$1009&amp;"",COMPUTER!$H$3:$H$1009,""),"Display",_xlfn.XLOOKUP($K792&amp;"",DISPLAY!$B$3:$B$1000&amp;"",DISPLAY!$H$3:$H$1000,""),"Network Device",_xlfn.XLOOKUP($K792&amp;"",'NETWORK-DEVICES'!$B$3:$B$987&amp;"",'NETWORK-DEVICES'!$H$3:$H$987,""),"Peripheral",_xlfn.XLOOKUP($K792&amp;"",PERIPHERAL!$B$3:$B$954&amp;"",PERIPHERAL!$H$3:$H$954,""),"Utilities",_xlfn.XLOOKUP($K792&amp;"",UTILITIES!$B$3:$B$953&amp;"",UTILITIES!$G$3:$G$953,""),"IOT",_xlfn.XLOOKUP($K792&amp;"",IOT!$B$3:$B$1012&amp;"",IOT!$H$3:$H$1012,""),"Server",_xlfn.XLOOKUP($K792&amp;"",SERVER!$B$3:$B$1009&amp;"",SERVER!$H$3:$H$1009,""),""),IF(TRIM(_xlpm.srcCat)&lt;&gt;TRIM($J792),"",_xlfn.SWITCH($I792,"Computer",_xlfn.XLOOKUP($K792&amp;"",COMPUTER!$B$3:$B$1009&amp;"",COMPUTER!$K$3:$K$1009,""),"Display",_xlfn.XLOOKUP($K792&amp;"",DISPLAY!$B$3:$B$1000&amp;"",DISPLAY!$L$3:$L$1000,""),"Network Device",_xlfn.XLOOKUP($K792&amp;"",'NETWORK-DEVICES'!$B$3:$B$987&amp;"",'NETWORK-DEVICES'!$K$3:$K$987,""),"Peripheral",_xlfn.XLOOKUP($K792&amp;"",PERIPHERAL!$B$3:$B$954&amp;"",PERIPHERAL!$K$3:$K$954,""),"Utilities",_xlfn.XLOOKUP($K792&amp;"",UTILITIES!$B$3:$B$953&amp;"",UTILITIES!$J$3:$J$953,""),"IOT",_xlfn.XLOOKUP($K792&amp;"",IOT!$B$3:$B$1012&amp;"",IOT!$K$4:$K$1012,""),"Server",_xlfn.XLOOKUP($K792&amp;"",SERVER!$B$3:$B$1009&amp;"",SERVER!$K$3:$K$1009,""),""))))</f>
        <v/>
      </c>
      <c r="O792" s="1" t="str" cm="1">
        <f t="array" ref="O792">IF(OR($K792="",$I792="",$J792=""),"",_xlfn.LET(_xlpm.srcCat,_xlfn.SWITCH($I792,"Computer",_xlfn.XLOOKUP($K792&amp;"",COMPUTER!$B$3:$B$1009&amp;"",COMPUTER!$H$3:$H$1009,""),"Display",_xlfn.XLOOKUP($K792&amp;"",DISPLAY!$B$3:$B$1000&amp;"",DISPLAY!$H$3:$H$1000,""),"Network Device",_xlfn.XLOOKUP($K792&amp;"",'NETWORK-DEVICES'!$B$3:$B$987&amp;"",'NETWORK-DEVICES'!$H$3:$H$987,""),"Peripheral",_xlfn.XLOOKUP($K792&amp;"",PERIPHERAL!$B$3:$B$954&amp;"",PERIPHERAL!$H$3:$H$954,""),"Utilities",_xlfn.XLOOKUP($K792&amp;"",UTILITIES!$B$3:$B$953&amp;"",UTILITIES!$G$3:$G$953,""),"IOT",_xlfn.XLOOKUP($K792&amp;"",IOT!$B$3:$B$1012&amp;"",IOT!$H$3:$H$1012,""),"Server",_xlfn.XLOOKUP($K792&amp;"",SERVER!$B$3:$B$1009&amp;"",SERVER!$H$3:$H$1009,""),""),IF(TRIM(_xlpm.srcCat)&lt;&gt;TRIM($J792),"",_xlfn.SWITCH($I792,"Computer",_xlfn.XLOOKUP($K792&amp;"",COMPUTER!$B$3:$B$1009&amp;"",COMPUTER!$E$3:$E$1009,""),"Display",_xlfn.XLOOKUP($K792&amp;"",DISPLAY!$B$3:$B$1000&amp;"",DISPLAY!$E$3:$E$1000,""),"Network Device",_xlfn.XLOOKUP($K792&amp;"",'NETWORK-DEVICES'!$B$3:$B$987&amp;"",'NETWORK-DEVICES'!$E$3:$E$987,""),"Peripheral",_xlfn.XLOOKUP($K792&amp;"",PERIPHERAL!$B$3:$B$954&amp;"",PERIPHERAL!$E$3:$E$954,""),"Utilities",_xlfn.XLOOKUP($K792&amp;"",UTILITIES!$B$3:$B$953&amp;"",UTILITIES!$E$3:$E$953,""),"IOT",_xlfn.XLOOKUP($K792&amp;"",IOT!$B$3:$B$1012&amp;"",IOT!$E$3:$E$1012,""),"Server",_xlfn.XLOOKUP($K792&amp;"",SERVER!$B$3:$B$1009&amp;"",SERVER!$E$3:$E$1009,""),""))))</f>
        <v/>
      </c>
      <c r="Q792" s="1" t="str" cm="1">
        <f t="array" ref="Q792">IF(OR($K792="",$I792="",$J792=""),"",_xlfn.LET(_xlpm.srcCat,_xlfn.SWITCH($I792,"Computer",_xlfn.XLOOKUP($K792&amp;"",COMPUTER!$B$3:$B$1009&amp;"",COMPUTER!$H$3:$H$1009,""),"Display",_xlfn.XLOOKUP($K792&amp;"",DISPLAY!$B$3:$B$1000&amp;"",DISPLAY!$H$3:$H$1000,""),"Network Device",_xlfn.XLOOKUP($K792&amp;"",'NETWORK-DEVICES'!$B$3:$B$987&amp;"",'NETWORK-DEVICES'!$H$3:$H$987,""),"Peripheral",_xlfn.XLOOKUP($K792&amp;"",PERIPHERAL!$B$3:$B$954&amp;"",PERIPHERAL!$H$3:$H$954,""),"Utilities",_xlfn.XLOOKUP($K792&amp;"",UTILITIES!$B$3:$B$953&amp;"",UTILITIES!$G$3:$G$953,""),"IOT",_xlfn.XLOOKUP($K792&amp;"",IOT!$B$3:$B$1012&amp;"",IOT!$H$3:$H$1012,""),"Server",_xlfn.XLOOKUP($K792&amp;"",SERVER!$B$3:$B$1009&amp;"",SERVER!$H$3:$H$1009,""),""),IF(TRIM(_xlpm.srcCat)&lt;&gt;TRIM($J792),"",_xlfn.SWITCH($I792,"Computer",_xlfn.XLOOKUP($K792&amp;"",COMPUTER!$B$3:$B$1009&amp;"",COMPUTER!$AM$3:$AM$1009,""),"Display",_xlfn.XLOOKUP($K792&amp;"",DISPLAY!$B$3:$B$1000&amp;"",DISPLAY!$V$3:$V$1000,""),"Network Device",_xlfn.XLOOKUP($K792&amp;"",'NETWORK-DEVICES'!$B$3:$B$987&amp;"",'NETWORK-DEVICES'!$AF$3:$AF$987,""),"Peripheral",_xlfn.XLOOKUP($K792&amp;"",PERIPHERAL!$B$3:$B$954&amp;"",PERIPHERAL!$Y$3:$Y$954,""),"Utilities",_xlfn.XLOOKUP($K792&amp;"",UTILITIES!$B$3:$B$953&amp;"",UTILITIES!$O$3:$O$953,""),"IOT",_xlfn.XLOOKUP($K792&amp;"",IOT!$B$3:$B$1012&amp;"",IOT!$AB$3:$AB$1012,""),"Server",_xlfn.XLOOKUP($K792&amp;"",SERVER!$B$3:$B$1009&amp;"",SERVER!$AB$3:$AB$1009,""),""))))</f>
        <v/>
      </c>
      <c r="R792" s="43" t="str">
        <f>IF(tbl_handover[[#This Row],[Asset Code]]="","",COUNTIF(tbl_handover[Asset Code],tbl_handover[[#This Row],[Asset Code]]))</f>
        <v/>
      </c>
    </row>
    <row r="793" spans="1:18" x14ac:dyDescent="0.25">
      <c r="A793" s="43" t="str">
        <f>IF(B793&lt;&gt;"",SUBTOTAL(3,$B$1:B792),"")</f>
        <v/>
      </c>
      <c r="C793" s="74"/>
      <c r="D793" s="74"/>
      <c r="G793" s="1"/>
      <c r="K793" s="42"/>
      <c r="L793" t="str" cm="1">
        <f t="array" ref="L793">IF($K793="","",_xlfn.SWITCH($I793,"Computer",_xlfn.XLOOKUP($K793&amp;"",COMPUTER!$B$3:$B$1009&amp;"",COMPUTER!$I$3:$I$1009,""),"Display",_xlfn.XLOOKUP($K793&amp;"",DISPLAY!$B$3:$B$1000&amp;"",DISPLAY!$J$3:$J$1000,""),"Network Device",_xlfn.XLOOKUP($K793&amp;"",'NETWORK-DEVICES'!$B$3:$B$987&amp;"",'NETWORK-DEVICES'!$I$3:$I$987,""),"Peripheral",_xlfn.XLOOKUP($K793&amp;"",PERIPHERAL!$B$3:$B$954&amp;"",PERIPHERAL!$I$3:$I$954,""),"Utilities",_xlfn.XLOOKUP($K793&amp;"",UTILITIES!$B$3:$B$953&amp;"",UTILITIES!$H$3:$H$953,""),"IOT",_xlfn.XLOOKUP($K793&amp;"",IOT!$B$3:$B$1012&amp;"",IOT!$I$3:$I$1012,""),"SERVER",_xlfn.XLOOKUP($K793&amp;"",SERVER!$B$3:$B$1009&amp;"",SERVER!$I$3:$I$1009,""),""))</f>
        <v/>
      </c>
      <c r="M793" t="str" cm="1">
        <f t="array" ref="M793">IF($K793="","",_xlfn.SWITCH($I793,"Computer",_xlfn.XLOOKUP($K793&amp;"",COMPUTER!$B$3:$B$1009&amp;"",COMPUTER!$J$3:$J$1009,""),"Display",_xlfn.XLOOKUP($K793&amp;"",DISPLAY!$B$3:$B$1000&amp;"",DISPLAY!$K$3:$K$1000,""),"Network Device",_xlfn.XLOOKUP($K793&amp;"",'NETWORK-DEVICES'!$B$3:$B$987&amp;"",'NETWORK-DEVICES'!$I$3:$I$987,""),"Peripheral",_xlfn.XLOOKUP($K793&amp;"",PERIPHERAL!$B$3:$B$954&amp;"",PERIPHERAL!$J$3:$J$954,""),"Utilities",_xlfn.XLOOKUP($K793&amp;"",UTILITIES!$B$3:$B$953&amp;"",UTILITIES!$I$3:$I$953,""),"IOT",_xlfn.XLOOKUP($K793&amp;"",IOT!$B$3:$B$1012&amp;"",IOT!$J$3:$J$1012,""),"Server",_xlfn.XLOOKUP($K793&amp;"",SERVER!$B$3:$B$1009&amp;"",SERVER!$J$3:$J$1009,""),""))</f>
        <v/>
      </c>
      <c r="N793" s="1" t="str" cm="1">
        <f t="array" ref="N793">IF(OR($K793="",$I793="",$J793=""),"",_xlfn.LET(_xlpm.srcCat,_xlfn.SWITCH($I793,"Computer",_xlfn.XLOOKUP($K793&amp;"",COMPUTER!$B$3:$B$1009&amp;"",COMPUTER!$H$3:$H$1009,""),"Display",_xlfn.XLOOKUP($K793&amp;"",DISPLAY!$B$3:$B$1000&amp;"",DISPLAY!$H$3:$H$1000,""),"Network Device",_xlfn.XLOOKUP($K793&amp;"",'NETWORK-DEVICES'!$B$3:$B$987&amp;"",'NETWORK-DEVICES'!$H$3:$H$987,""),"Peripheral",_xlfn.XLOOKUP($K793&amp;"",PERIPHERAL!$B$3:$B$954&amp;"",PERIPHERAL!$H$3:$H$954,""),"Utilities",_xlfn.XLOOKUP($K793&amp;"",UTILITIES!$B$3:$B$953&amp;"",UTILITIES!$G$3:$G$953,""),"IOT",_xlfn.XLOOKUP($K793&amp;"",IOT!$B$3:$B$1012&amp;"",IOT!$H$3:$H$1012,""),"Server",_xlfn.XLOOKUP($K793&amp;"",SERVER!$B$3:$B$1009&amp;"",SERVER!$H$3:$H$1009,""),""),IF(TRIM(_xlpm.srcCat)&lt;&gt;TRIM($J793),"",_xlfn.SWITCH($I793,"Computer",_xlfn.XLOOKUP($K793&amp;"",COMPUTER!$B$3:$B$1009&amp;"",COMPUTER!$K$3:$K$1009,""),"Display",_xlfn.XLOOKUP($K793&amp;"",DISPLAY!$B$3:$B$1000&amp;"",DISPLAY!$L$3:$L$1000,""),"Network Device",_xlfn.XLOOKUP($K793&amp;"",'NETWORK-DEVICES'!$B$3:$B$987&amp;"",'NETWORK-DEVICES'!$K$3:$K$987,""),"Peripheral",_xlfn.XLOOKUP($K793&amp;"",PERIPHERAL!$B$3:$B$954&amp;"",PERIPHERAL!$K$3:$K$954,""),"Utilities",_xlfn.XLOOKUP($K793&amp;"",UTILITIES!$B$3:$B$953&amp;"",UTILITIES!$J$3:$J$953,""),"IOT",_xlfn.XLOOKUP($K793&amp;"",IOT!$B$3:$B$1012&amp;"",IOT!$K$4:$K$1012,""),"Server",_xlfn.XLOOKUP($K793&amp;"",SERVER!$B$3:$B$1009&amp;"",SERVER!$K$3:$K$1009,""),""))))</f>
        <v/>
      </c>
      <c r="O793" s="1" t="str" cm="1">
        <f t="array" ref="O793">IF(OR($K793="",$I793="",$J793=""),"",_xlfn.LET(_xlpm.srcCat,_xlfn.SWITCH($I793,"Computer",_xlfn.XLOOKUP($K793&amp;"",COMPUTER!$B$3:$B$1009&amp;"",COMPUTER!$H$3:$H$1009,""),"Display",_xlfn.XLOOKUP($K793&amp;"",DISPLAY!$B$3:$B$1000&amp;"",DISPLAY!$H$3:$H$1000,""),"Network Device",_xlfn.XLOOKUP($K793&amp;"",'NETWORK-DEVICES'!$B$3:$B$987&amp;"",'NETWORK-DEVICES'!$H$3:$H$987,""),"Peripheral",_xlfn.XLOOKUP($K793&amp;"",PERIPHERAL!$B$3:$B$954&amp;"",PERIPHERAL!$H$3:$H$954,""),"Utilities",_xlfn.XLOOKUP($K793&amp;"",UTILITIES!$B$3:$B$953&amp;"",UTILITIES!$G$3:$G$953,""),"IOT",_xlfn.XLOOKUP($K793&amp;"",IOT!$B$3:$B$1012&amp;"",IOT!$H$3:$H$1012,""),"Server",_xlfn.XLOOKUP($K793&amp;"",SERVER!$B$3:$B$1009&amp;"",SERVER!$H$3:$H$1009,""),""),IF(TRIM(_xlpm.srcCat)&lt;&gt;TRIM($J793),"",_xlfn.SWITCH($I793,"Computer",_xlfn.XLOOKUP($K793&amp;"",COMPUTER!$B$3:$B$1009&amp;"",COMPUTER!$E$3:$E$1009,""),"Display",_xlfn.XLOOKUP($K793&amp;"",DISPLAY!$B$3:$B$1000&amp;"",DISPLAY!$E$3:$E$1000,""),"Network Device",_xlfn.XLOOKUP($K793&amp;"",'NETWORK-DEVICES'!$B$3:$B$987&amp;"",'NETWORK-DEVICES'!$E$3:$E$987,""),"Peripheral",_xlfn.XLOOKUP($K793&amp;"",PERIPHERAL!$B$3:$B$954&amp;"",PERIPHERAL!$E$3:$E$954,""),"Utilities",_xlfn.XLOOKUP($K793&amp;"",UTILITIES!$B$3:$B$953&amp;"",UTILITIES!$E$3:$E$953,""),"IOT",_xlfn.XLOOKUP($K793&amp;"",IOT!$B$3:$B$1012&amp;"",IOT!$E$3:$E$1012,""),"Server",_xlfn.XLOOKUP($K793&amp;"",SERVER!$B$3:$B$1009&amp;"",SERVER!$E$3:$E$1009,""),""))))</f>
        <v/>
      </c>
      <c r="Q793" s="1" t="str" cm="1">
        <f t="array" ref="Q793">IF(OR($K793="",$I793="",$J793=""),"",_xlfn.LET(_xlpm.srcCat,_xlfn.SWITCH($I793,"Computer",_xlfn.XLOOKUP($K793&amp;"",COMPUTER!$B$3:$B$1009&amp;"",COMPUTER!$H$3:$H$1009,""),"Display",_xlfn.XLOOKUP($K793&amp;"",DISPLAY!$B$3:$B$1000&amp;"",DISPLAY!$H$3:$H$1000,""),"Network Device",_xlfn.XLOOKUP($K793&amp;"",'NETWORK-DEVICES'!$B$3:$B$987&amp;"",'NETWORK-DEVICES'!$H$3:$H$987,""),"Peripheral",_xlfn.XLOOKUP($K793&amp;"",PERIPHERAL!$B$3:$B$954&amp;"",PERIPHERAL!$H$3:$H$954,""),"Utilities",_xlfn.XLOOKUP($K793&amp;"",UTILITIES!$B$3:$B$953&amp;"",UTILITIES!$G$3:$G$953,""),"IOT",_xlfn.XLOOKUP($K793&amp;"",IOT!$B$3:$B$1012&amp;"",IOT!$H$3:$H$1012,""),"Server",_xlfn.XLOOKUP($K793&amp;"",SERVER!$B$3:$B$1009&amp;"",SERVER!$H$3:$H$1009,""),""),IF(TRIM(_xlpm.srcCat)&lt;&gt;TRIM($J793),"",_xlfn.SWITCH($I793,"Computer",_xlfn.XLOOKUP($K793&amp;"",COMPUTER!$B$3:$B$1009&amp;"",COMPUTER!$AM$3:$AM$1009,""),"Display",_xlfn.XLOOKUP($K793&amp;"",DISPLAY!$B$3:$B$1000&amp;"",DISPLAY!$V$3:$V$1000,""),"Network Device",_xlfn.XLOOKUP($K793&amp;"",'NETWORK-DEVICES'!$B$3:$B$987&amp;"",'NETWORK-DEVICES'!$AF$3:$AF$987,""),"Peripheral",_xlfn.XLOOKUP($K793&amp;"",PERIPHERAL!$B$3:$B$954&amp;"",PERIPHERAL!$Y$3:$Y$954,""),"Utilities",_xlfn.XLOOKUP($K793&amp;"",UTILITIES!$B$3:$B$953&amp;"",UTILITIES!$O$3:$O$953,""),"IOT",_xlfn.XLOOKUP($K793&amp;"",IOT!$B$3:$B$1012&amp;"",IOT!$AB$3:$AB$1012,""),"Server",_xlfn.XLOOKUP($K793&amp;"",SERVER!$B$3:$B$1009&amp;"",SERVER!$AB$3:$AB$1009,""),""))))</f>
        <v/>
      </c>
      <c r="R793" s="43" t="str">
        <f>IF(tbl_handover[[#This Row],[Asset Code]]="","",COUNTIF(tbl_handover[Asset Code],tbl_handover[[#This Row],[Asset Code]]))</f>
        <v/>
      </c>
    </row>
    <row r="794" spans="1:18" x14ac:dyDescent="0.25">
      <c r="A794" s="43" t="str">
        <f>IF(B794&lt;&gt;"",SUBTOTAL(3,$B$1:B793),"")</f>
        <v/>
      </c>
      <c r="C794" s="74"/>
      <c r="D794" s="74"/>
      <c r="G794" s="1"/>
      <c r="K794" s="42"/>
      <c r="L794" t="str" cm="1">
        <f t="array" ref="L794">IF($K794="","",_xlfn.SWITCH($I794,"Computer",_xlfn.XLOOKUP($K794&amp;"",COMPUTER!$B$3:$B$1009&amp;"",COMPUTER!$I$3:$I$1009,""),"Display",_xlfn.XLOOKUP($K794&amp;"",DISPLAY!$B$3:$B$1000&amp;"",DISPLAY!$J$3:$J$1000,""),"Network Device",_xlfn.XLOOKUP($K794&amp;"",'NETWORK-DEVICES'!$B$3:$B$987&amp;"",'NETWORK-DEVICES'!$I$3:$I$987,""),"Peripheral",_xlfn.XLOOKUP($K794&amp;"",PERIPHERAL!$B$3:$B$954&amp;"",PERIPHERAL!$I$3:$I$954,""),"Utilities",_xlfn.XLOOKUP($K794&amp;"",UTILITIES!$B$3:$B$953&amp;"",UTILITIES!$H$3:$H$953,""),"IOT",_xlfn.XLOOKUP($K794&amp;"",IOT!$B$3:$B$1012&amp;"",IOT!$I$3:$I$1012,""),"SERVER",_xlfn.XLOOKUP($K794&amp;"",SERVER!$B$3:$B$1009&amp;"",SERVER!$I$3:$I$1009,""),""))</f>
        <v/>
      </c>
      <c r="M794" t="str" cm="1">
        <f t="array" ref="M794">IF($K794="","",_xlfn.SWITCH($I794,"Computer",_xlfn.XLOOKUP($K794&amp;"",COMPUTER!$B$3:$B$1009&amp;"",COMPUTER!$J$3:$J$1009,""),"Display",_xlfn.XLOOKUP($K794&amp;"",DISPLAY!$B$3:$B$1000&amp;"",DISPLAY!$K$3:$K$1000,""),"Network Device",_xlfn.XLOOKUP($K794&amp;"",'NETWORK-DEVICES'!$B$3:$B$987&amp;"",'NETWORK-DEVICES'!$I$3:$I$987,""),"Peripheral",_xlfn.XLOOKUP($K794&amp;"",PERIPHERAL!$B$3:$B$954&amp;"",PERIPHERAL!$J$3:$J$954,""),"Utilities",_xlfn.XLOOKUP($K794&amp;"",UTILITIES!$B$3:$B$953&amp;"",UTILITIES!$I$3:$I$953,""),"IOT",_xlfn.XLOOKUP($K794&amp;"",IOT!$B$3:$B$1012&amp;"",IOT!$J$3:$J$1012,""),"Server",_xlfn.XLOOKUP($K794&amp;"",SERVER!$B$3:$B$1009&amp;"",SERVER!$J$3:$J$1009,""),""))</f>
        <v/>
      </c>
      <c r="N794" s="1" t="str" cm="1">
        <f t="array" ref="N794">IF(OR($K794="",$I794="",$J794=""),"",_xlfn.LET(_xlpm.srcCat,_xlfn.SWITCH($I794,"Computer",_xlfn.XLOOKUP($K794&amp;"",COMPUTER!$B$3:$B$1009&amp;"",COMPUTER!$H$3:$H$1009,""),"Display",_xlfn.XLOOKUP($K794&amp;"",DISPLAY!$B$3:$B$1000&amp;"",DISPLAY!$H$3:$H$1000,""),"Network Device",_xlfn.XLOOKUP($K794&amp;"",'NETWORK-DEVICES'!$B$3:$B$987&amp;"",'NETWORK-DEVICES'!$H$3:$H$987,""),"Peripheral",_xlfn.XLOOKUP($K794&amp;"",PERIPHERAL!$B$3:$B$954&amp;"",PERIPHERAL!$H$3:$H$954,""),"Utilities",_xlfn.XLOOKUP($K794&amp;"",UTILITIES!$B$3:$B$953&amp;"",UTILITIES!$G$3:$G$953,""),"IOT",_xlfn.XLOOKUP($K794&amp;"",IOT!$B$3:$B$1012&amp;"",IOT!$H$3:$H$1012,""),"Server",_xlfn.XLOOKUP($K794&amp;"",SERVER!$B$3:$B$1009&amp;"",SERVER!$H$3:$H$1009,""),""),IF(TRIM(_xlpm.srcCat)&lt;&gt;TRIM($J794),"",_xlfn.SWITCH($I794,"Computer",_xlfn.XLOOKUP($K794&amp;"",COMPUTER!$B$3:$B$1009&amp;"",COMPUTER!$K$3:$K$1009,""),"Display",_xlfn.XLOOKUP($K794&amp;"",DISPLAY!$B$3:$B$1000&amp;"",DISPLAY!$L$3:$L$1000,""),"Network Device",_xlfn.XLOOKUP($K794&amp;"",'NETWORK-DEVICES'!$B$3:$B$987&amp;"",'NETWORK-DEVICES'!$K$3:$K$987,""),"Peripheral",_xlfn.XLOOKUP($K794&amp;"",PERIPHERAL!$B$3:$B$954&amp;"",PERIPHERAL!$K$3:$K$954,""),"Utilities",_xlfn.XLOOKUP($K794&amp;"",UTILITIES!$B$3:$B$953&amp;"",UTILITIES!$J$3:$J$953,""),"IOT",_xlfn.XLOOKUP($K794&amp;"",IOT!$B$3:$B$1012&amp;"",IOT!$K$4:$K$1012,""),"Server",_xlfn.XLOOKUP($K794&amp;"",SERVER!$B$3:$B$1009&amp;"",SERVER!$K$3:$K$1009,""),""))))</f>
        <v/>
      </c>
      <c r="O794" s="1" t="str" cm="1">
        <f t="array" ref="O794">IF(OR($K794="",$I794="",$J794=""),"",_xlfn.LET(_xlpm.srcCat,_xlfn.SWITCH($I794,"Computer",_xlfn.XLOOKUP($K794&amp;"",COMPUTER!$B$3:$B$1009&amp;"",COMPUTER!$H$3:$H$1009,""),"Display",_xlfn.XLOOKUP($K794&amp;"",DISPLAY!$B$3:$B$1000&amp;"",DISPLAY!$H$3:$H$1000,""),"Network Device",_xlfn.XLOOKUP($K794&amp;"",'NETWORK-DEVICES'!$B$3:$B$987&amp;"",'NETWORK-DEVICES'!$H$3:$H$987,""),"Peripheral",_xlfn.XLOOKUP($K794&amp;"",PERIPHERAL!$B$3:$B$954&amp;"",PERIPHERAL!$H$3:$H$954,""),"Utilities",_xlfn.XLOOKUP($K794&amp;"",UTILITIES!$B$3:$B$953&amp;"",UTILITIES!$G$3:$G$953,""),"IOT",_xlfn.XLOOKUP($K794&amp;"",IOT!$B$3:$B$1012&amp;"",IOT!$H$3:$H$1012,""),"Server",_xlfn.XLOOKUP($K794&amp;"",SERVER!$B$3:$B$1009&amp;"",SERVER!$H$3:$H$1009,""),""),IF(TRIM(_xlpm.srcCat)&lt;&gt;TRIM($J794),"",_xlfn.SWITCH($I794,"Computer",_xlfn.XLOOKUP($K794&amp;"",COMPUTER!$B$3:$B$1009&amp;"",COMPUTER!$E$3:$E$1009,""),"Display",_xlfn.XLOOKUP($K794&amp;"",DISPLAY!$B$3:$B$1000&amp;"",DISPLAY!$E$3:$E$1000,""),"Network Device",_xlfn.XLOOKUP($K794&amp;"",'NETWORK-DEVICES'!$B$3:$B$987&amp;"",'NETWORK-DEVICES'!$E$3:$E$987,""),"Peripheral",_xlfn.XLOOKUP($K794&amp;"",PERIPHERAL!$B$3:$B$954&amp;"",PERIPHERAL!$E$3:$E$954,""),"Utilities",_xlfn.XLOOKUP($K794&amp;"",UTILITIES!$B$3:$B$953&amp;"",UTILITIES!$E$3:$E$953,""),"IOT",_xlfn.XLOOKUP($K794&amp;"",IOT!$B$3:$B$1012&amp;"",IOT!$E$3:$E$1012,""),"Server",_xlfn.XLOOKUP($K794&amp;"",SERVER!$B$3:$B$1009&amp;"",SERVER!$E$3:$E$1009,""),""))))</f>
        <v/>
      </c>
      <c r="Q794" s="1" t="str" cm="1">
        <f t="array" ref="Q794">IF(OR($K794="",$I794="",$J794=""),"",_xlfn.LET(_xlpm.srcCat,_xlfn.SWITCH($I794,"Computer",_xlfn.XLOOKUP($K794&amp;"",COMPUTER!$B$3:$B$1009&amp;"",COMPUTER!$H$3:$H$1009,""),"Display",_xlfn.XLOOKUP($K794&amp;"",DISPLAY!$B$3:$B$1000&amp;"",DISPLAY!$H$3:$H$1000,""),"Network Device",_xlfn.XLOOKUP($K794&amp;"",'NETWORK-DEVICES'!$B$3:$B$987&amp;"",'NETWORK-DEVICES'!$H$3:$H$987,""),"Peripheral",_xlfn.XLOOKUP($K794&amp;"",PERIPHERAL!$B$3:$B$954&amp;"",PERIPHERAL!$H$3:$H$954,""),"Utilities",_xlfn.XLOOKUP($K794&amp;"",UTILITIES!$B$3:$B$953&amp;"",UTILITIES!$G$3:$G$953,""),"IOT",_xlfn.XLOOKUP($K794&amp;"",IOT!$B$3:$B$1012&amp;"",IOT!$H$3:$H$1012,""),"Server",_xlfn.XLOOKUP($K794&amp;"",SERVER!$B$3:$B$1009&amp;"",SERVER!$H$3:$H$1009,""),""),IF(TRIM(_xlpm.srcCat)&lt;&gt;TRIM($J794),"",_xlfn.SWITCH($I794,"Computer",_xlfn.XLOOKUP($K794&amp;"",COMPUTER!$B$3:$B$1009&amp;"",COMPUTER!$AM$3:$AM$1009,""),"Display",_xlfn.XLOOKUP($K794&amp;"",DISPLAY!$B$3:$B$1000&amp;"",DISPLAY!$V$3:$V$1000,""),"Network Device",_xlfn.XLOOKUP($K794&amp;"",'NETWORK-DEVICES'!$B$3:$B$987&amp;"",'NETWORK-DEVICES'!$AF$3:$AF$987,""),"Peripheral",_xlfn.XLOOKUP($K794&amp;"",PERIPHERAL!$B$3:$B$954&amp;"",PERIPHERAL!$Y$3:$Y$954,""),"Utilities",_xlfn.XLOOKUP($K794&amp;"",UTILITIES!$B$3:$B$953&amp;"",UTILITIES!$O$3:$O$953,""),"IOT",_xlfn.XLOOKUP($K794&amp;"",IOT!$B$3:$B$1012&amp;"",IOT!$AB$3:$AB$1012,""),"Server",_xlfn.XLOOKUP($K794&amp;"",SERVER!$B$3:$B$1009&amp;"",SERVER!$AB$3:$AB$1009,""),""))))</f>
        <v/>
      </c>
      <c r="R794" s="43" t="str">
        <f>IF(tbl_handover[[#This Row],[Asset Code]]="","",COUNTIF(tbl_handover[Asset Code],tbl_handover[[#This Row],[Asset Code]]))</f>
        <v/>
      </c>
    </row>
    <row r="795" spans="1:18" x14ac:dyDescent="0.25">
      <c r="A795" s="43" t="str">
        <f>IF(B795&lt;&gt;"",SUBTOTAL(3,$B$1:B794),"")</f>
        <v/>
      </c>
      <c r="C795" s="74"/>
      <c r="D795" s="74"/>
      <c r="G795" s="1"/>
      <c r="K795" s="42"/>
      <c r="L795" t="str" cm="1">
        <f t="array" ref="L795">IF($K795="","",_xlfn.SWITCH($I795,"Computer",_xlfn.XLOOKUP($K795&amp;"",COMPUTER!$B$3:$B$1009&amp;"",COMPUTER!$I$3:$I$1009,""),"Display",_xlfn.XLOOKUP($K795&amp;"",DISPLAY!$B$3:$B$1000&amp;"",DISPLAY!$J$3:$J$1000,""),"Network Device",_xlfn.XLOOKUP($K795&amp;"",'NETWORK-DEVICES'!$B$3:$B$987&amp;"",'NETWORK-DEVICES'!$I$3:$I$987,""),"Peripheral",_xlfn.XLOOKUP($K795&amp;"",PERIPHERAL!$B$3:$B$954&amp;"",PERIPHERAL!$I$3:$I$954,""),"Utilities",_xlfn.XLOOKUP($K795&amp;"",UTILITIES!$B$3:$B$953&amp;"",UTILITIES!$H$3:$H$953,""),"IOT",_xlfn.XLOOKUP($K795&amp;"",IOT!$B$3:$B$1012&amp;"",IOT!$I$3:$I$1012,""),"SERVER",_xlfn.XLOOKUP($K795&amp;"",SERVER!$B$3:$B$1009&amp;"",SERVER!$I$3:$I$1009,""),""))</f>
        <v/>
      </c>
      <c r="M795" t="str" cm="1">
        <f t="array" ref="M795">IF($K795="","",_xlfn.SWITCH($I795,"Computer",_xlfn.XLOOKUP($K795&amp;"",COMPUTER!$B$3:$B$1009&amp;"",COMPUTER!$J$3:$J$1009,""),"Display",_xlfn.XLOOKUP($K795&amp;"",DISPLAY!$B$3:$B$1000&amp;"",DISPLAY!$K$3:$K$1000,""),"Network Device",_xlfn.XLOOKUP($K795&amp;"",'NETWORK-DEVICES'!$B$3:$B$987&amp;"",'NETWORK-DEVICES'!$I$3:$I$987,""),"Peripheral",_xlfn.XLOOKUP($K795&amp;"",PERIPHERAL!$B$3:$B$954&amp;"",PERIPHERAL!$J$3:$J$954,""),"Utilities",_xlfn.XLOOKUP($K795&amp;"",UTILITIES!$B$3:$B$953&amp;"",UTILITIES!$I$3:$I$953,""),"IOT",_xlfn.XLOOKUP($K795&amp;"",IOT!$B$3:$B$1012&amp;"",IOT!$J$3:$J$1012,""),"Server",_xlfn.XLOOKUP($K795&amp;"",SERVER!$B$3:$B$1009&amp;"",SERVER!$J$3:$J$1009,""),""))</f>
        <v/>
      </c>
      <c r="N795" s="1" t="str" cm="1">
        <f t="array" ref="N795">IF(OR($K795="",$I795="",$J795=""),"",_xlfn.LET(_xlpm.srcCat,_xlfn.SWITCH($I795,"Computer",_xlfn.XLOOKUP($K795&amp;"",COMPUTER!$B$3:$B$1009&amp;"",COMPUTER!$H$3:$H$1009,""),"Display",_xlfn.XLOOKUP($K795&amp;"",DISPLAY!$B$3:$B$1000&amp;"",DISPLAY!$H$3:$H$1000,""),"Network Device",_xlfn.XLOOKUP($K795&amp;"",'NETWORK-DEVICES'!$B$3:$B$987&amp;"",'NETWORK-DEVICES'!$H$3:$H$987,""),"Peripheral",_xlfn.XLOOKUP($K795&amp;"",PERIPHERAL!$B$3:$B$954&amp;"",PERIPHERAL!$H$3:$H$954,""),"Utilities",_xlfn.XLOOKUP($K795&amp;"",UTILITIES!$B$3:$B$953&amp;"",UTILITIES!$G$3:$G$953,""),"IOT",_xlfn.XLOOKUP($K795&amp;"",IOT!$B$3:$B$1012&amp;"",IOT!$H$3:$H$1012,""),"Server",_xlfn.XLOOKUP($K795&amp;"",SERVER!$B$3:$B$1009&amp;"",SERVER!$H$3:$H$1009,""),""),IF(TRIM(_xlpm.srcCat)&lt;&gt;TRIM($J795),"",_xlfn.SWITCH($I795,"Computer",_xlfn.XLOOKUP($K795&amp;"",COMPUTER!$B$3:$B$1009&amp;"",COMPUTER!$K$3:$K$1009,""),"Display",_xlfn.XLOOKUP($K795&amp;"",DISPLAY!$B$3:$B$1000&amp;"",DISPLAY!$L$3:$L$1000,""),"Network Device",_xlfn.XLOOKUP($K795&amp;"",'NETWORK-DEVICES'!$B$3:$B$987&amp;"",'NETWORK-DEVICES'!$K$3:$K$987,""),"Peripheral",_xlfn.XLOOKUP($K795&amp;"",PERIPHERAL!$B$3:$B$954&amp;"",PERIPHERAL!$K$3:$K$954,""),"Utilities",_xlfn.XLOOKUP($K795&amp;"",UTILITIES!$B$3:$B$953&amp;"",UTILITIES!$J$3:$J$953,""),"IOT",_xlfn.XLOOKUP($K795&amp;"",IOT!$B$3:$B$1012&amp;"",IOT!$K$4:$K$1012,""),"Server",_xlfn.XLOOKUP($K795&amp;"",SERVER!$B$3:$B$1009&amp;"",SERVER!$K$3:$K$1009,""),""))))</f>
        <v/>
      </c>
      <c r="O795" s="1" t="str" cm="1">
        <f t="array" ref="O795">IF(OR($K795="",$I795="",$J795=""),"",_xlfn.LET(_xlpm.srcCat,_xlfn.SWITCH($I795,"Computer",_xlfn.XLOOKUP($K795&amp;"",COMPUTER!$B$3:$B$1009&amp;"",COMPUTER!$H$3:$H$1009,""),"Display",_xlfn.XLOOKUP($K795&amp;"",DISPLAY!$B$3:$B$1000&amp;"",DISPLAY!$H$3:$H$1000,""),"Network Device",_xlfn.XLOOKUP($K795&amp;"",'NETWORK-DEVICES'!$B$3:$B$987&amp;"",'NETWORK-DEVICES'!$H$3:$H$987,""),"Peripheral",_xlfn.XLOOKUP($K795&amp;"",PERIPHERAL!$B$3:$B$954&amp;"",PERIPHERAL!$H$3:$H$954,""),"Utilities",_xlfn.XLOOKUP($K795&amp;"",UTILITIES!$B$3:$B$953&amp;"",UTILITIES!$G$3:$G$953,""),"IOT",_xlfn.XLOOKUP($K795&amp;"",IOT!$B$3:$B$1012&amp;"",IOT!$H$3:$H$1012,""),"Server",_xlfn.XLOOKUP($K795&amp;"",SERVER!$B$3:$B$1009&amp;"",SERVER!$H$3:$H$1009,""),""),IF(TRIM(_xlpm.srcCat)&lt;&gt;TRIM($J795),"",_xlfn.SWITCH($I795,"Computer",_xlfn.XLOOKUP($K795&amp;"",COMPUTER!$B$3:$B$1009&amp;"",COMPUTER!$E$3:$E$1009,""),"Display",_xlfn.XLOOKUP($K795&amp;"",DISPLAY!$B$3:$B$1000&amp;"",DISPLAY!$E$3:$E$1000,""),"Network Device",_xlfn.XLOOKUP($K795&amp;"",'NETWORK-DEVICES'!$B$3:$B$987&amp;"",'NETWORK-DEVICES'!$E$3:$E$987,""),"Peripheral",_xlfn.XLOOKUP($K795&amp;"",PERIPHERAL!$B$3:$B$954&amp;"",PERIPHERAL!$E$3:$E$954,""),"Utilities",_xlfn.XLOOKUP($K795&amp;"",UTILITIES!$B$3:$B$953&amp;"",UTILITIES!$E$3:$E$953,""),"IOT",_xlfn.XLOOKUP($K795&amp;"",IOT!$B$3:$B$1012&amp;"",IOT!$E$3:$E$1012,""),"Server",_xlfn.XLOOKUP($K795&amp;"",SERVER!$B$3:$B$1009&amp;"",SERVER!$E$3:$E$1009,""),""))))</f>
        <v/>
      </c>
      <c r="Q795" s="1" t="str" cm="1">
        <f t="array" ref="Q795">IF(OR($K795="",$I795="",$J795=""),"",_xlfn.LET(_xlpm.srcCat,_xlfn.SWITCH($I795,"Computer",_xlfn.XLOOKUP($K795&amp;"",COMPUTER!$B$3:$B$1009&amp;"",COMPUTER!$H$3:$H$1009,""),"Display",_xlfn.XLOOKUP($K795&amp;"",DISPLAY!$B$3:$B$1000&amp;"",DISPLAY!$H$3:$H$1000,""),"Network Device",_xlfn.XLOOKUP($K795&amp;"",'NETWORK-DEVICES'!$B$3:$B$987&amp;"",'NETWORK-DEVICES'!$H$3:$H$987,""),"Peripheral",_xlfn.XLOOKUP($K795&amp;"",PERIPHERAL!$B$3:$B$954&amp;"",PERIPHERAL!$H$3:$H$954,""),"Utilities",_xlfn.XLOOKUP($K795&amp;"",UTILITIES!$B$3:$B$953&amp;"",UTILITIES!$G$3:$G$953,""),"IOT",_xlfn.XLOOKUP($K795&amp;"",IOT!$B$3:$B$1012&amp;"",IOT!$H$3:$H$1012,""),"Server",_xlfn.XLOOKUP($K795&amp;"",SERVER!$B$3:$B$1009&amp;"",SERVER!$H$3:$H$1009,""),""),IF(TRIM(_xlpm.srcCat)&lt;&gt;TRIM($J795),"",_xlfn.SWITCH($I795,"Computer",_xlfn.XLOOKUP($K795&amp;"",COMPUTER!$B$3:$B$1009&amp;"",COMPUTER!$AM$3:$AM$1009,""),"Display",_xlfn.XLOOKUP($K795&amp;"",DISPLAY!$B$3:$B$1000&amp;"",DISPLAY!$V$3:$V$1000,""),"Network Device",_xlfn.XLOOKUP($K795&amp;"",'NETWORK-DEVICES'!$B$3:$B$987&amp;"",'NETWORK-DEVICES'!$AF$3:$AF$987,""),"Peripheral",_xlfn.XLOOKUP($K795&amp;"",PERIPHERAL!$B$3:$B$954&amp;"",PERIPHERAL!$Y$3:$Y$954,""),"Utilities",_xlfn.XLOOKUP($K795&amp;"",UTILITIES!$B$3:$B$953&amp;"",UTILITIES!$O$3:$O$953,""),"IOT",_xlfn.XLOOKUP($K795&amp;"",IOT!$B$3:$B$1012&amp;"",IOT!$AB$3:$AB$1012,""),"Server",_xlfn.XLOOKUP($K795&amp;"",SERVER!$B$3:$B$1009&amp;"",SERVER!$AB$3:$AB$1009,""),""))))</f>
        <v/>
      </c>
      <c r="R795" s="43" t="str">
        <f>IF(tbl_handover[[#This Row],[Asset Code]]="","",COUNTIF(tbl_handover[Asset Code],tbl_handover[[#This Row],[Asset Code]]))</f>
        <v/>
      </c>
    </row>
    <row r="796" spans="1:18" x14ac:dyDescent="0.25">
      <c r="A796" s="43" t="str">
        <f>IF(B796&lt;&gt;"",SUBTOTAL(3,$B$1:B795),"")</f>
        <v/>
      </c>
      <c r="C796" s="74"/>
      <c r="D796" s="74"/>
      <c r="G796" s="1"/>
      <c r="K796" s="42"/>
      <c r="L796" t="str" cm="1">
        <f t="array" ref="L796">IF($K796="","",_xlfn.SWITCH($I796,"Computer",_xlfn.XLOOKUP($K796&amp;"",COMPUTER!$B$3:$B$1009&amp;"",COMPUTER!$I$3:$I$1009,""),"Display",_xlfn.XLOOKUP($K796&amp;"",DISPLAY!$B$3:$B$1000&amp;"",DISPLAY!$J$3:$J$1000,""),"Network Device",_xlfn.XLOOKUP($K796&amp;"",'NETWORK-DEVICES'!$B$3:$B$987&amp;"",'NETWORK-DEVICES'!$I$3:$I$987,""),"Peripheral",_xlfn.XLOOKUP($K796&amp;"",PERIPHERAL!$B$3:$B$954&amp;"",PERIPHERAL!$I$3:$I$954,""),"Utilities",_xlfn.XLOOKUP($K796&amp;"",UTILITIES!$B$3:$B$953&amp;"",UTILITIES!$H$3:$H$953,""),"IOT",_xlfn.XLOOKUP($K796&amp;"",IOT!$B$3:$B$1012&amp;"",IOT!$I$3:$I$1012,""),"SERVER",_xlfn.XLOOKUP($K796&amp;"",SERVER!$B$3:$B$1009&amp;"",SERVER!$I$3:$I$1009,""),""))</f>
        <v/>
      </c>
      <c r="M796" t="str" cm="1">
        <f t="array" ref="M796">IF($K796="","",_xlfn.SWITCH($I796,"Computer",_xlfn.XLOOKUP($K796&amp;"",COMPUTER!$B$3:$B$1009&amp;"",COMPUTER!$J$3:$J$1009,""),"Display",_xlfn.XLOOKUP($K796&amp;"",DISPLAY!$B$3:$B$1000&amp;"",DISPLAY!$K$3:$K$1000,""),"Network Device",_xlfn.XLOOKUP($K796&amp;"",'NETWORK-DEVICES'!$B$3:$B$987&amp;"",'NETWORK-DEVICES'!$I$3:$I$987,""),"Peripheral",_xlfn.XLOOKUP($K796&amp;"",PERIPHERAL!$B$3:$B$954&amp;"",PERIPHERAL!$J$3:$J$954,""),"Utilities",_xlfn.XLOOKUP($K796&amp;"",UTILITIES!$B$3:$B$953&amp;"",UTILITIES!$I$3:$I$953,""),"IOT",_xlfn.XLOOKUP($K796&amp;"",IOT!$B$3:$B$1012&amp;"",IOT!$J$3:$J$1012,""),"Server",_xlfn.XLOOKUP($K796&amp;"",SERVER!$B$3:$B$1009&amp;"",SERVER!$J$3:$J$1009,""),""))</f>
        <v/>
      </c>
      <c r="N796" s="1" t="str" cm="1">
        <f t="array" ref="N796">IF(OR($K796="",$I796="",$J796=""),"",_xlfn.LET(_xlpm.srcCat,_xlfn.SWITCH($I796,"Computer",_xlfn.XLOOKUP($K796&amp;"",COMPUTER!$B$3:$B$1009&amp;"",COMPUTER!$H$3:$H$1009,""),"Display",_xlfn.XLOOKUP($K796&amp;"",DISPLAY!$B$3:$B$1000&amp;"",DISPLAY!$H$3:$H$1000,""),"Network Device",_xlfn.XLOOKUP($K796&amp;"",'NETWORK-DEVICES'!$B$3:$B$987&amp;"",'NETWORK-DEVICES'!$H$3:$H$987,""),"Peripheral",_xlfn.XLOOKUP($K796&amp;"",PERIPHERAL!$B$3:$B$954&amp;"",PERIPHERAL!$H$3:$H$954,""),"Utilities",_xlfn.XLOOKUP($K796&amp;"",UTILITIES!$B$3:$B$953&amp;"",UTILITIES!$G$3:$G$953,""),"IOT",_xlfn.XLOOKUP($K796&amp;"",IOT!$B$3:$B$1012&amp;"",IOT!$H$3:$H$1012,""),"Server",_xlfn.XLOOKUP($K796&amp;"",SERVER!$B$3:$B$1009&amp;"",SERVER!$H$3:$H$1009,""),""),IF(TRIM(_xlpm.srcCat)&lt;&gt;TRIM($J796),"",_xlfn.SWITCH($I796,"Computer",_xlfn.XLOOKUP($K796&amp;"",COMPUTER!$B$3:$B$1009&amp;"",COMPUTER!$K$3:$K$1009,""),"Display",_xlfn.XLOOKUP($K796&amp;"",DISPLAY!$B$3:$B$1000&amp;"",DISPLAY!$L$3:$L$1000,""),"Network Device",_xlfn.XLOOKUP($K796&amp;"",'NETWORK-DEVICES'!$B$3:$B$987&amp;"",'NETWORK-DEVICES'!$K$3:$K$987,""),"Peripheral",_xlfn.XLOOKUP($K796&amp;"",PERIPHERAL!$B$3:$B$954&amp;"",PERIPHERAL!$K$3:$K$954,""),"Utilities",_xlfn.XLOOKUP($K796&amp;"",UTILITIES!$B$3:$B$953&amp;"",UTILITIES!$J$3:$J$953,""),"IOT",_xlfn.XLOOKUP($K796&amp;"",IOT!$B$3:$B$1012&amp;"",IOT!$K$4:$K$1012,""),"Server",_xlfn.XLOOKUP($K796&amp;"",SERVER!$B$3:$B$1009&amp;"",SERVER!$K$3:$K$1009,""),""))))</f>
        <v/>
      </c>
      <c r="O796" s="1" t="str" cm="1">
        <f t="array" ref="O796">IF(OR($K796="",$I796="",$J796=""),"",_xlfn.LET(_xlpm.srcCat,_xlfn.SWITCH($I796,"Computer",_xlfn.XLOOKUP($K796&amp;"",COMPUTER!$B$3:$B$1009&amp;"",COMPUTER!$H$3:$H$1009,""),"Display",_xlfn.XLOOKUP($K796&amp;"",DISPLAY!$B$3:$B$1000&amp;"",DISPLAY!$H$3:$H$1000,""),"Network Device",_xlfn.XLOOKUP($K796&amp;"",'NETWORK-DEVICES'!$B$3:$B$987&amp;"",'NETWORK-DEVICES'!$H$3:$H$987,""),"Peripheral",_xlfn.XLOOKUP($K796&amp;"",PERIPHERAL!$B$3:$B$954&amp;"",PERIPHERAL!$H$3:$H$954,""),"Utilities",_xlfn.XLOOKUP($K796&amp;"",UTILITIES!$B$3:$B$953&amp;"",UTILITIES!$G$3:$G$953,""),"IOT",_xlfn.XLOOKUP($K796&amp;"",IOT!$B$3:$B$1012&amp;"",IOT!$H$3:$H$1012,""),"Server",_xlfn.XLOOKUP($K796&amp;"",SERVER!$B$3:$B$1009&amp;"",SERVER!$H$3:$H$1009,""),""),IF(TRIM(_xlpm.srcCat)&lt;&gt;TRIM($J796),"",_xlfn.SWITCH($I796,"Computer",_xlfn.XLOOKUP($K796&amp;"",COMPUTER!$B$3:$B$1009&amp;"",COMPUTER!$E$3:$E$1009,""),"Display",_xlfn.XLOOKUP($K796&amp;"",DISPLAY!$B$3:$B$1000&amp;"",DISPLAY!$E$3:$E$1000,""),"Network Device",_xlfn.XLOOKUP($K796&amp;"",'NETWORK-DEVICES'!$B$3:$B$987&amp;"",'NETWORK-DEVICES'!$E$3:$E$987,""),"Peripheral",_xlfn.XLOOKUP($K796&amp;"",PERIPHERAL!$B$3:$B$954&amp;"",PERIPHERAL!$E$3:$E$954,""),"Utilities",_xlfn.XLOOKUP($K796&amp;"",UTILITIES!$B$3:$B$953&amp;"",UTILITIES!$E$3:$E$953,""),"IOT",_xlfn.XLOOKUP($K796&amp;"",IOT!$B$3:$B$1012&amp;"",IOT!$E$3:$E$1012,""),"Server",_xlfn.XLOOKUP($K796&amp;"",SERVER!$B$3:$B$1009&amp;"",SERVER!$E$3:$E$1009,""),""))))</f>
        <v/>
      </c>
      <c r="Q796" s="1" t="str" cm="1">
        <f t="array" ref="Q796">IF(OR($K796="",$I796="",$J796=""),"",_xlfn.LET(_xlpm.srcCat,_xlfn.SWITCH($I796,"Computer",_xlfn.XLOOKUP($K796&amp;"",COMPUTER!$B$3:$B$1009&amp;"",COMPUTER!$H$3:$H$1009,""),"Display",_xlfn.XLOOKUP($K796&amp;"",DISPLAY!$B$3:$B$1000&amp;"",DISPLAY!$H$3:$H$1000,""),"Network Device",_xlfn.XLOOKUP($K796&amp;"",'NETWORK-DEVICES'!$B$3:$B$987&amp;"",'NETWORK-DEVICES'!$H$3:$H$987,""),"Peripheral",_xlfn.XLOOKUP($K796&amp;"",PERIPHERAL!$B$3:$B$954&amp;"",PERIPHERAL!$H$3:$H$954,""),"Utilities",_xlfn.XLOOKUP($K796&amp;"",UTILITIES!$B$3:$B$953&amp;"",UTILITIES!$G$3:$G$953,""),"IOT",_xlfn.XLOOKUP($K796&amp;"",IOT!$B$3:$B$1012&amp;"",IOT!$H$3:$H$1012,""),"Server",_xlfn.XLOOKUP($K796&amp;"",SERVER!$B$3:$B$1009&amp;"",SERVER!$H$3:$H$1009,""),""),IF(TRIM(_xlpm.srcCat)&lt;&gt;TRIM($J796),"",_xlfn.SWITCH($I796,"Computer",_xlfn.XLOOKUP($K796&amp;"",COMPUTER!$B$3:$B$1009&amp;"",COMPUTER!$AM$3:$AM$1009,""),"Display",_xlfn.XLOOKUP($K796&amp;"",DISPLAY!$B$3:$B$1000&amp;"",DISPLAY!$V$3:$V$1000,""),"Network Device",_xlfn.XLOOKUP($K796&amp;"",'NETWORK-DEVICES'!$B$3:$B$987&amp;"",'NETWORK-DEVICES'!$AF$3:$AF$987,""),"Peripheral",_xlfn.XLOOKUP($K796&amp;"",PERIPHERAL!$B$3:$B$954&amp;"",PERIPHERAL!$Y$3:$Y$954,""),"Utilities",_xlfn.XLOOKUP($K796&amp;"",UTILITIES!$B$3:$B$953&amp;"",UTILITIES!$O$3:$O$953,""),"IOT",_xlfn.XLOOKUP($K796&amp;"",IOT!$B$3:$B$1012&amp;"",IOT!$AB$3:$AB$1012,""),"Server",_xlfn.XLOOKUP($K796&amp;"",SERVER!$B$3:$B$1009&amp;"",SERVER!$AB$3:$AB$1009,""),""))))</f>
        <v/>
      </c>
      <c r="R796" s="43" t="str">
        <f>IF(tbl_handover[[#This Row],[Asset Code]]="","",COUNTIF(tbl_handover[Asset Code],tbl_handover[[#This Row],[Asset Code]]))</f>
        <v/>
      </c>
    </row>
    <row r="797" spans="1:18" x14ac:dyDescent="0.25">
      <c r="A797" s="43" t="str">
        <f>IF(B797&lt;&gt;"",SUBTOTAL(3,$B$1:B796),"")</f>
        <v/>
      </c>
      <c r="C797" s="74"/>
      <c r="D797" s="74"/>
      <c r="G797" s="1"/>
      <c r="K797" s="42"/>
      <c r="L797" t="str" cm="1">
        <f t="array" ref="L797">IF($K797="","",_xlfn.SWITCH($I797,"Computer",_xlfn.XLOOKUP($K797&amp;"",COMPUTER!$B$3:$B$1009&amp;"",COMPUTER!$I$3:$I$1009,""),"Display",_xlfn.XLOOKUP($K797&amp;"",DISPLAY!$B$3:$B$1000&amp;"",DISPLAY!$J$3:$J$1000,""),"Network Device",_xlfn.XLOOKUP($K797&amp;"",'NETWORK-DEVICES'!$B$3:$B$987&amp;"",'NETWORK-DEVICES'!$I$3:$I$987,""),"Peripheral",_xlfn.XLOOKUP($K797&amp;"",PERIPHERAL!$B$3:$B$954&amp;"",PERIPHERAL!$I$3:$I$954,""),"Utilities",_xlfn.XLOOKUP($K797&amp;"",UTILITIES!$B$3:$B$953&amp;"",UTILITIES!$H$3:$H$953,""),"IOT",_xlfn.XLOOKUP($K797&amp;"",IOT!$B$3:$B$1012&amp;"",IOT!$I$3:$I$1012,""),"SERVER",_xlfn.XLOOKUP($K797&amp;"",SERVER!$B$3:$B$1009&amp;"",SERVER!$I$3:$I$1009,""),""))</f>
        <v/>
      </c>
      <c r="M797" t="str" cm="1">
        <f t="array" ref="M797">IF($K797="","",_xlfn.SWITCH($I797,"Computer",_xlfn.XLOOKUP($K797&amp;"",COMPUTER!$B$3:$B$1009&amp;"",COMPUTER!$J$3:$J$1009,""),"Display",_xlfn.XLOOKUP($K797&amp;"",DISPLAY!$B$3:$B$1000&amp;"",DISPLAY!$K$3:$K$1000,""),"Network Device",_xlfn.XLOOKUP($K797&amp;"",'NETWORK-DEVICES'!$B$3:$B$987&amp;"",'NETWORK-DEVICES'!$I$3:$I$987,""),"Peripheral",_xlfn.XLOOKUP($K797&amp;"",PERIPHERAL!$B$3:$B$954&amp;"",PERIPHERAL!$J$3:$J$954,""),"Utilities",_xlfn.XLOOKUP($K797&amp;"",UTILITIES!$B$3:$B$953&amp;"",UTILITIES!$I$3:$I$953,""),"IOT",_xlfn.XLOOKUP($K797&amp;"",IOT!$B$3:$B$1012&amp;"",IOT!$J$3:$J$1012,""),"Server",_xlfn.XLOOKUP($K797&amp;"",SERVER!$B$3:$B$1009&amp;"",SERVER!$J$3:$J$1009,""),""))</f>
        <v/>
      </c>
      <c r="N797" s="1" t="str" cm="1">
        <f t="array" ref="N797">IF(OR($K797="",$I797="",$J797=""),"",_xlfn.LET(_xlpm.srcCat,_xlfn.SWITCH($I797,"Computer",_xlfn.XLOOKUP($K797&amp;"",COMPUTER!$B$3:$B$1009&amp;"",COMPUTER!$H$3:$H$1009,""),"Display",_xlfn.XLOOKUP($K797&amp;"",DISPLAY!$B$3:$B$1000&amp;"",DISPLAY!$H$3:$H$1000,""),"Network Device",_xlfn.XLOOKUP($K797&amp;"",'NETWORK-DEVICES'!$B$3:$B$987&amp;"",'NETWORK-DEVICES'!$H$3:$H$987,""),"Peripheral",_xlfn.XLOOKUP($K797&amp;"",PERIPHERAL!$B$3:$B$954&amp;"",PERIPHERAL!$H$3:$H$954,""),"Utilities",_xlfn.XLOOKUP($K797&amp;"",UTILITIES!$B$3:$B$953&amp;"",UTILITIES!$G$3:$G$953,""),"IOT",_xlfn.XLOOKUP($K797&amp;"",IOT!$B$3:$B$1012&amp;"",IOT!$H$3:$H$1012,""),"Server",_xlfn.XLOOKUP($K797&amp;"",SERVER!$B$3:$B$1009&amp;"",SERVER!$H$3:$H$1009,""),""),IF(TRIM(_xlpm.srcCat)&lt;&gt;TRIM($J797),"",_xlfn.SWITCH($I797,"Computer",_xlfn.XLOOKUP($K797&amp;"",COMPUTER!$B$3:$B$1009&amp;"",COMPUTER!$K$3:$K$1009,""),"Display",_xlfn.XLOOKUP($K797&amp;"",DISPLAY!$B$3:$B$1000&amp;"",DISPLAY!$L$3:$L$1000,""),"Network Device",_xlfn.XLOOKUP($K797&amp;"",'NETWORK-DEVICES'!$B$3:$B$987&amp;"",'NETWORK-DEVICES'!$K$3:$K$987,""),"Peripheral",_xlfn.XLOOKUP($K797&amp;"",PERIPHERAL!$B$3:$B$954&amp;"",PERIPHERAL!$K$3:$K$954,""),"Utilities",_xlfn.XLOOKUP($K797&amp;"",UTILITIES!$B$3:$B$953&amp;"",UTILITIES!$J$3:$J$953,""),"IOT",_xlfn.XLOOKUP($K797&amp;"",IOT!$B$3:$B$1012&amp;"",IOT!$K$4:$K$1012,""),"Server",_xlfn.XLOOKUP($K797&amp;"",SERVER!$B$3:$B$1009&amp;"",SERVER!$K$3:$K$1009,""),""))))</f>
        <v/>
      </c>
      <c r="O797" s="1" t="str" cm="1">
        <f t="array" ref="O797">IF(OR($K797="",$I797="",$J797=""),"",_xlfn.LET(_xlpm.srcCat,_xlfn.SWITCH($I797,"Computer",_xlfn.XLOOKUP($K797&amp;"",COMPUTER!$B$3:$B$1009&amp;"",COMPUTER!$H$3:$H$1009,""),"Display",_xlfn.XLOOKUP($K797&amp;"",DISPLAY!$B$3:$B$1000&amp;"",DISPLAY!$H$3:$H$1000,""),"Network Device",_xlfn.XLOOKUP($K797&amp;"",'NETWORK-DEVICES'!$B$3:$B$987&amp;"",'NETWORK-DEVICES'!$H$3:$H$987,""),"Peripheral",_xlfn.XLOOKUP($K797&amp;"",PERIPHERAL!$B$3:$B$954&amp;"",PERIPHERAL!$H$3:$H$954,""),"Utilities",_xlfn.XLOOKUP($K797&amp;"",UTILITIES!$B$3:$B$953&amp;"",UTILITIES!$G$3:$G$953,""),"IOT",_xlfn.XLOOKUP($K797&amp;"",IOT!$B$3:$B$1012&amp;"",IOT!$H$3:$H$1012,""),"Server",_xlfn.XLOOKUP($K797&amp;"",SERVER!$B$3:$B$1009&amp;"",SERVER!$H$3:$H$1009,""),""),IF(TRIM(_xlpm.srcCat)&lt;&gt;TRIM($J797),"",_xlfn.SWITCH($I797,"Computer",_xlfn.XLOOKUP($K797&amp;"",COMPUTER!$B$3:$B$1009&amp;"",COMPUTER!$E$3:$E$1009,""),"Display",_xlfn.XLOOKUP($K797&amp;"",DISPLAY!$B$3:$B$1000&amp;"",DISPLAY!$E$3:$E$1000,""),"Network Device",_xlfn.XLOOKUP($K797&amp;"",'NETWORK-DEVICES'!$B$3:$B$987&amp;"",'NETWORK-DEVICES'!$E$3:$E$987,""),"Peripheral",_xlfn.XLOOKUP($K797&amp;"",PERIPHERAL!$B$3:$B$954&amp;"",PERIPHERAL!$E$3:$E$954,""),"Utilities",_xlfn.XLOOKUP($K797&amp;"",UTILITIES!$B$3:$B$953&amp;"",UTILITIES!$E$3:$E$953,""),"IOT",_xlfn.XLOOKUP($K797&amp;"",IOT!$B$3:$B$1012&amp;"",IOT!$E$3:$E$1012,""),"Server",_xlfn.XLOOKUP($K797&amp;"",SERVER!$B$3:$B$1009&amp;"",SERVER!$E$3:$E$1009,""),""))))</f>
        <v/>
      </c>
      <c r="Q797" s="1" t="str" cm="1">
        <f t="array" ref="Q797">IF(OR($K797="",$I797="",$J797=""),"",_xlfn.LET(_xlpm.srcCat,_xlfn.SWITCH($I797,"Computer",_xlfn.XLOOKUP($K797&amp;"",COMPUTER!$B$3:$B$1009&amp;"",COMPUTER!$H$3:$H$1009,""),"Display",_xlfn.XLOOKUP($K797&amp;"",DISPLAY!$B$3:$B$1000&amp;"",DISPLAY!$H$3:$H$1000,""),"Network Device",_xlfn.XLOOKUP($K797&amp;"",'NETWORK-DEVICES'!$B$3:$B$987&amp;"",'NETWORK-DEVICES'!$H$3:$H$987,""),"Peripheral",_xlfn.XLOOKUP($K797&amp;"",PERIPHERAL!$B$3:$B$954&amp;"",PERIPHERAL!$H$3:$H$954,""),"Utilities",_xlfn.XLOOKUP($K797&amp;"",UTILITIES!$B$3:$B$953&amp;"",UTILITIES!$G$3:$G$953,""),"IOT",_xlfn.XLOOKUP($K797&amp;"",IOT!$B$3:$B$1012&amp;"",IOT!$H$3:$H$1012,""),"Server",_xlfn.XLOOKUP($K797&amp;"",SERVER!$B$3:$B$1009&amp;"",SERVER!$H$3:$H$1009,""),""),IF(TRIM(_xlpm.srcCat)&lt;&gt;TRIM($J797),"",_xlfn.SWITCH($I797,"Computer",_xlfn.XLOOKUP($K797&amp;"",COMPUTER!$B$3:$B$1009&amp;"",COMPUTER!$AM$3:$AM$1009,""),"Display",_xlfn.XLOOKUP($K797&amp;"",DISPLAY!$B$3:$B$1000&amp;"",DISPLAY!$V$3:$V$1000,""),"Network Device",_xlfn.XLOOKUP($K797&amp;"",'NETWORK-DEVICES'!$B$3:$B$987&amp;"",'NETWORK-DEVICES'!$AF$3:$AF$987,""),"Peripheral",_xlfn.XLOOKUP($K797&amp;"",PERIPHERAL!$B$3:$B$954&amp;"",PERIPHERAL!$Y$3:$Y$954,""),"Utilities",_xlfn.XLOOKUP($K797&amp;"",UTILITIES!$B$3:$B$953&amp;"",UTILITIES!$O$3:$O$953,""),"IOT",_xlfn.XLOOKUP($K797&amp;"",IOT!$B$3:$B$1012&amp;"",IOT!$AB$3:$AB$1012,""),"Server",_xlfn.XLOOKUP($K797&amp;"",SERVER!$B$3:$B$1009&amp;"",SERVER!$AB$3:$AB$1009,""),""))))</f>
        <v/>
      </c>
      <c r="R797" s="43" t="str">
        <f>IF(tbl_handover[[#This Row],[Asset Code]]="","",COUNTIF(tbl_handover[Asset Code],tbl_handover[[#This Row],[Asset Code]]))</f>
        <v/>
      </c>
    </row>
    <row r="798" spans="1:18" x14ac:dyDescent="0.25">
      <c r="A798" s="43" t="str">
        <f>IF(B798&lt;&gt;"",SUBTOTAL(3,$B$1:B797),"")</f>
        <v/>
      </c>
      <c r="C798" s="74"/>
      <c r="D798" s="74"/>
      <c r="G798" s="1"/>
      <c r="K798" s="42"/>
      <c r="L798" t="str" cm="1">
        <f t="array" ref="L798">IF($K798="","",_xlfn.SWITCH($I798,"Computer",_xlfn.XLOOKUP($K798&amp;"",COMPUTER!$B$3:$B$1009&amp;"",COMPUTER!$I$3:$I$1009,""),"Display",_xlfn.XLOOKUP($K798&amp;"",DISPLAY!$B$3:$B$1000&amp;"",DISPLAY!$J$3:$J$1000,""),"Network Device",_xlfn.XLOOKUP($K798&amp;"",'NETWORK-DEVICES'!$B$3:$B$987&amp;"",'NETWORK-DEVICES'!$I$3:$I$987,""),"Peripheral",_xlfn.XLOOKUP($K798&amp;"",PERIPHERAL!$B$3:$B$954&amp;"",PERIPHERAL!$I$3:$I$954,""),"Utilities",_xlfn.XLOOKUP($K798&amp;"",UTILITIES!$B$3:$B$953&amp;"",UTILITIES!$H$3:$H$953,""),"IOT",_xlfn.XLOOKUP($K798&amp;"",IOT!$B$3:$B$1012&amp;"",IOT!$I$3:$I$1012,""),"SERVER",_xlfn.XLOOKUP($K798&amp;"",SERVER!$B$3:$B$1009&amp;"",SERVER!$I$3:$I$1009,""),""))</f>
        <v/>
      </c>
      <c r="M798" t="str" cm="1">
        <f t="array" ref="M798">IF($K798="","",_xlfn.SWITCH($I798,"Computer",_xlfn.XLOOKUP($K798&amp;"",COMPUTER!$B$3:$B$1009&amp;"",COMPUTER!$J$3:$J$1009,""),"Display",_xlfn.XLOOKUP($K798&amp;"",DISPLAY!$B$3:$B$1000&amp;"",DISPLAY!$K$3:$K$1000,""),"Network Device",_xlfn.XLOOKUP($K798&amp;"",'NETWORK-DEVICES'!$B$3:$B$987&amp;"",'NETWORK-DEVICES'!$I$3:$I$987,""),"Peripheral",_xlfn.XLOOKUP($K798&amp;"",PERIPHERAL!$B$3:$B$954&amp;"",PERIPHERAL!$J$3:$J$954,""),"Utilities",_xlfn.XLOOKUP($K798&amp;"",UTILITIES!$B$3:$B$953&amp;"",UTILITIES!$I$3:$I$953,""),"IOT",_xlfn.XLOOKUP($K798&amp;"",IOT!$B$3:$B$1012&amp;"",IOT!$J$3:$J$1012,""),"Server",_xlfn.XLOOKUP($K798&amp;"",SERVER!$B$3:$B$1009&amp;"",SERVER!$J$3:$J$1009,""),""))</f>
        <v/>
      </c>
      <c r="N798" s="1" t="str" cm="1">
        <f t="array" ref="N798">IF(OR($K798="",$I798="",$J798=""),"",_xlfn.LET(_xlpm.srcCat,_xlfn.SWITCH($I798,"Computer",_xlfn.XLOOKUP($K798&amp;"",COMPUTER!$B$3:$B$1009&amp;"",COMPUTER!$H$3:$H$1009,""),"Display",_xlfn.XLOOKUP($K798&amp;"",DISPLAY!$B$3:$B$1000&amp;"",DISPLAY!$H$3:$H$1000,""),"Network Device",_xlfn.XLOOKUP($K798&amp;"",'NETWORK-DEVICES'!$B$3:$B$987&amp;"",'NETWORK-DEVICES'!$H$3:$H$987,""),"Peripheral",_xlfn.XLOOKUP($K798&amp;"",PERIPHERAL!$B$3:$B$954&amp;"",PERIPHERAL!$H$3:$H$954,""),"Utilities",_xlfn.XLOOKUP($K798&amp;"",UTILITIES!$B$3:$B$953&amp;"",UTILITIES!$G$3:$G$953,""),"IOT",_xlfn.XLOOKUP($K798&amp;"",IOT!$B$3:$B$1012&amp;"",IOT!$H$3:$H$1012,""),"Server",_xlfn.XLOOKUP($K798&amp;"",SERVER!$B$3:$B$1009&amp;"",SERVER!$H$3:$H$1009,""),""),IF(TRIM(_xlpm.srcCat)&lt;&gt;TRIM($J798),"",_xlfn.SWITCH($I798,"Computer",_xlfn.XLOOKUP($K798&amp;"",COMPUTER!$B$3:$B$1009&amp;"",COMPUTER!$K$3:$K$1009,""),"Display",_xlfn.XLOOKUP($K798&amp;"",DISPLAY!$B$3:$B$1000&amp;"",DISPLAY!$L$3:$L$1000,""),"Network Device",_xlfn.XLOOKUP($K798&amp;"",'NETWORK-DEVICES'!$B$3:$B$987&amp;"",'NETWORK-DEVICES'!$K$3:$K$987,""),"Peripheral",_xlfn.XLOOKUP($K798&amp;"",PERIPHERAL!$B$3:$B$954&amp;"",PERIPHERAL!$K$3:$K$954,""),"Utilities",_xlfn.XLOOKUP($K798&amp;"",UTILITIES!$B$3:$B$953&amp;"",UTILITIES!$J$3:$J$953,""),"IOT",_xlfn.XLOOKUP($K798&amp;"",IOT!$B$3:$B$1012&amp;"",IOT!$K$4:$K$1012,""),"Server",_xlfn.XLOOKUP($K798&amp;"",SERVER!$B$3:$B$1009&amp;"",SERVER!$K$3:$K$1009,""),""))))</f>
        <v/>
      </c>
      <c r="O798" s="1" t="str" cm="1">
        <f t="array" ref="O798">IF(OR($K798="",$I798="",$J798=""),"",_xlfn.LET(_xlpm.srcCat,_xlfn.SWITCH($I798,"Computer",_xlfn.XLOOKUP($K798&amp;"",COMPUTER!$B$3:$B$1009&amp;"",COMPUTER!$H$3:$H$1009,""),"Display",_xlfn.XLOOKUP($K798&amp;"",DISPLAY!$B$3:$B$1000&amp;"",DISPLAY!$H$3:$H$1000,""),"Network Device",_xlfn.XLOOKUP($K798&amp;"",'NETWORK-DEVICES'!$B$3:$B$987&amp;"",'NETWORK-DEVICES'!$H$3:$H$987,""),"Peripheral",_xlfn.XLOOKUP($K798&amp;"",PERIPHERAL!$B$3:$B$954&amp;"",PERIPHERAL!$H$3:$H$954,""),"Utilities",_xlfn.XLOOKUP($K798&amp;"",UTILITIES!$B$3:$B$953&amp;"",UTILITIES!$G$3:$G$953,""),"IOT",_xlfn.XLOOKUP($K798&amp;"",IOT!$B$3:$B$1012&amp;"",IOT!$H$3:$H$1012,""),"Server",_xlfn.XLOOKUP($K798&amp;"",SERVER!$B$3:$B$1009&amp;"",SERVER!$H$3:$H$1009,""),""),IF(TRIM(_xlpm.srcCat)&lt;&gt;TRIM($J798),"",_xlfn.SWITCH($I798,"Computer",_xlfn.XLOOKUP($K798&amp;"",COMPUTER!$B$3:$B$1009&amp;"",COMPUTER!$E$3:$E$1009,""),"Display",_xlfn.XLOOKUP($K798&amp;"",DISPLAY!$B$3:$B$1000&amp;"",DISPLAY!$E$3:$E$1000,""),"Network Device",_xlfn.XLOOKUP($K798&amp;"",'NETWORK-DEVICES'!$B$3:$B$987&amp;"",'NETWORK-DEVICES'!$E$3:$E$987,""),"Peripheral",_xlfn.XLOOKUP($K798&amp;"",PERIPHERAL!$B$3:$B$954&amp;"",PERIPHERAL!$E$3:$E$954,""),"Utilities",_xlfn.XLOOKUP($K798&amp;"",UTILITIES!$B$3:$B$953&amp;"",UTILITIES!$E$3:$E$953,""),"IOT",_xlfn.XLOOKUP($K798&amp;"",IOT!$B$3:$B$1012&amp;"",IOT!$E$3:$E$1012,""),"Server",_xlfn.XLOOKUP($K798&amp;"",SERVER!$B$3:$B$1009&amp;"",SERVER!$E$3:$E$1009,""),""))))</f>
        <v/>
      </c>
      <c r="Q798" s="1" t="str" cm="1">
        <f t="array" ref="Q798">IF(OR($K798="",$I798="",$J798=""),"",_xlfn.LET(_xlpm.srcCat,_xlfn.SWITCH($I798,"Computer",_xlfn.XLOOKUP($K798&amp;"",COMPUTER!$B$3:$B$1009&amp;"",COMPUTER!$H$3:$H$1009,""),"Display",_xlfn.XLOOKUP($K798&amp;"",DISPLAY!$B$3:$B$1000&amp;"",DISPLAY!$H$3:$H$1000,""),"Network Device",_xlfn.XLOOKUP($K798&amp;"",'NETWORK-DEVICES'!$B$3:$B$987&amp;"",'NETWORK-DEVICES'!$H$3:$H$987,""),"Peripheral",_xlfn.XLOOKUP($K798&amp;"",PERIPHERAL!$B$3:$B$954&amp;"",PERIPHERAL!$H$3:$H$954,""),"Utilities",_xlfn.XLOOKUP($K798&amp;"",UTILITIES!$B$3:$B$953&amp;"",UTILITIES!$G$3:$G$953,""),"IOT",_xlfn.XLOOKUP($K798&amp;"",IOT!$B$3:$B$1012&amp;"",IOT!$H$3:$H$1012,""),"Server",_xlfn.XLOOKUP($K798&amp;"",SERVER!$B$3:$B$1009&amp;"",SERVER!$H$3:$H$1009,""),""),IF(TRIM(_xlpm.srcCat)&lt;&gt;TRIM($J798),"",_xlfn.SWITCH($I798,"Computer",_xlfn.XLOOKUP($K798&amp;"",COMPUTER!$B$3:$B$1009&amp;"",COMPUTER!$AM$3:$AM$1009,""),"Display",_xlfn.XLOOKUP($K798&amp;"",DISPLAY!$B$3:$B$1000&amp;"",DISPLAY!$V$3:$V$1000,""),"Network Device",_xlfn.XLOOKUP($K798&amp;"",'NETWORK-DEVICES'!$B$3:$B$987&amp;"",'NETWORK-DEVICES'!$AF$3:$AF$987,""),"Peripheral",_xlfn.XLOOKUP($K798&amp;"",PERIPHERAL!$B$3:$B$954&amp;"",PERIPHERAL!$Y$3:$Y$954,""),"Utilities",_xlfn.XLOOKUP($K798&amp;"",UTILITIES!$B$3:$B$953&amp;"",UTILITIES!$O$3:$O$953,""),"IOT",_xlfn.XLOOKUP($K798&amp;"",IOT!$B$3:$B$1012&amp;"",IOT!$AB$3:$AB$1012,""),"Server",_xlfn.XLOOKUP($K798&amp;"",SERVER!$B$3:$B$1009&amp;"",SERVER!$AB$3:$AB$1009,""),""))))</f>
        <v/>
      </c>
      <c r="R798" s="43" t="str">
        <f>IF(tbl_handover[[#This Row],[Asset Code]]="","",COUNTIF(tbl_handover[Asset Code],tbl_handover[[#This Row],[Asset Code]]))</f>
        <v/>
      </c>
    </row>
    <row r="799" spans="1:18" x14ac:dyDescent="0.25">
      <c r="A799" s="43" t="str">
        <f>IF(B799&lt;&gt;"",SUBTOTAL(3,$B$1:B798),"")</f>
        <v/>
      </c>
      <c r="C799" s="74"/>
      <c r="D799" s="74"/>
      <c r="G799" s="1"/>
      <c r="K799" s="42"/>
      <c r="L799" t="str" cm="1">
        <f t="array" ref="L799">IF($K799="","",_xlfn.SWITCH($I799,"Computer",_xlfn.XLOOKUP($K799&amp;"",COMPUTER!$B$3:$B$1009&amp;"",COMPUTER!$I$3:$I$1009,""),"Display",_xlfn.XLOOKUP($K799&amp;"",DISPLAY!$B$3:$B$1000&amp;"",DISPLAY!$J$3:$J$1000,""),"Network Device",_xlfn.XLOOKUP($K799&amp;"",'NETWORK-DEVICES'!$B$3:$B$987&amp;"",'NETWORK-DEVICES'!$I$3:$I$987,""),"Peripheral",_xlfn.XLOOKUP($K799&amp;"",PERIPHERAL!$B$3:$B$954&amp;"",PERIPHERAL!$I$3:$I$954,""),"Utilities",_xlfn.XLOOKUP($K799&amp;"",UTILITIES!$B$3:$B$953&amp;"",UTILITIES!$H$3:$H$953,""),"IOT",_xlfn.XLOOKUP($K799&amp;"",IOT!$B$3:$B$1012&amp;"",IOT!$I$3:$I$1012,""),"SERVER",_xlfn.XLOOKUP($K799&amp;"",SERVER!$B$3:$B$1009&amp;"",SERVER!$I$3:$I$1009,""),""))</f>
        <v/>
      </c>
      <c r="M799" t="str" cm="1">
        <f t="array" ref="M799">IF($K799="","",_xlfn.SWITCH($I799,"Computer",_xlfn.XLOOKUP($K799&amp;"",COMPUTER!$B$3:$B$1009&amp;"",COMPUTER!$J$3:$J$1009,""),"Display",_xlfn.XLOOKUP($K799&amp;"",DISPLAY!$B$3:$B$1000&amp;"",DISPLAY!$K$3:$K$1000,""),"Network Device",_xlfn.XLOOKUP($K799&amp;"",'NETWORK-DEVICES'!$B$3:$B$987&amp;"",'NETWORK-DEVICES'!$I$3:$I$987,""),"Peripheral",_xlfn.XLOOKUP($K799&amp;"",PERIPHERAL!$B$3:$B$954&amp;"",PERIPHERAL!$J$3:$J$954,""),"Utilities",_xlfn.XLOOKUP($K799&amp;"",UTILITIES!$B$3:$B$953&amp;"",UTILITIES!$I$3:$I$953,""),"IOT",_xlfn.XLOOKUP($K799&amp;"",IOT!$B$3:$B$1012&amp;"",IOT!$J$3:$J$1012,""),"Server",_xlfn.XLOOKUP($K799&amp;"",SERVER!$B$3:$B$1009&amp;"",SERVER!$J$3:$J$1009,""),""))</f>
        <v/>
      </c>
      <c r="N799" s="1" t="str" cm="1">
        <f t="array" ref="N799">IF(OR($K799="",$I799="",$J799=""),"",_xlfn.LET(_xlpm.srcCat,_xlfn.SWITCH($I799,"Computer",_xlfn.XLOOKUP($K799&amp;"",COMPUTER!$B$3:$B$1009&amp;"",COMPUTER!$H$3:$H$1009,""),"Display",_xlfn.XLOOKUP($K799&amp;"",DISPLAY!$B$3:$B$1000&amp;"",DISPLAY!$H$3:$H$1000,""),"Network Device",_xlfn.XLOOKUP($K799&amp;"",'NETWORK-DEVICES'!$B$3:$B$987&amp;"",'NETWORK-DEVICES'!$H$3:$H$987,""),"Peripheral",_xlfn.XLOOKUP($K799&amp;"",PERIPHERAL!$B$3:$B$954&amp;"",PERIPHERAL!$H$3:$H$954,""),"Utilities",_xlfn.XLOOKUP($K799&amp;"",UTILITIES!$B$3:$B$953&amp;"",UTILITIES!$G$3:$G$953,""),"IOT",_xlfn.XLOOKUP($K799&amp;"",IOT!$B$3:$B$1012&amp;"",IOT!$H$3:$H$1012,""),"Server",_xlfn.XLOOKUP($K799&amp;"",SERVER!$B$3:$B$1009&amp;"",SERVER!$H$3:$H$1009,""),""),IF(TRIM(_xlpm.srcCat)&lt;&gt;TRIM($J799),"",_xlfn.SWITCH($I799,"Computer",_xlfn.XLOOKUP($K799&amp;"",COMPUTER!$B$3:$B$1009&amp;"",COMPUTER!$K$3:$K$1009,""),"Display",_xlfn.XLOOKUP($K799&amp;"",DISPLAY!$B$3:$B$1000&amp;"",DISPLAY!$L$3:$L$1000,""),"Network Device",_xlfn.XLOOKUP($K799&amp;"",'NETWORK-DEVICES'!$B$3:$B$987&amp;"",'NETWORK-DEVICES'!$K$3:$K$987,""),"Peripheral",_xlfn.XLOOKUP($K799&amp;"",PERIPHERAL!$B$3:$B$954&amp;"",PERIPHERAL!$K$3:$K$954,""),"Utilities",_xlfn.XLOOKUP($K799&amp;"",UTILITIES!$B$3:$B$953&amp;"",UTILITIES!$J$3:$J$953,""),"IOT",_xlfn.XLOOKUP($K799&amp;"",IOT!$B$3:$B$1012&amp;"",IOT!$K$4:$K$1012,""),"Server",_xlfn.XLOOKUP($K799&amp;"",SERVER!$B$3:$B$1009&amp;"",SERVER!$K$3:$K$1009,""),""))))</f>
        <v/>
      </c>
      <c r="O799" s="1" t="str" cm="1">
        <f t="array" ref="O799">IF(OR($K799="",$I799="",$J799=""),"",_xlfn.LET(_xlpm.srcCat,_xlfn.SWITCH($I799,"Computer",_xlfn.XLOOKUP($K799&amp;"",COMPUTER!$B$3:$B$1009&amp;"",COMPUTER!$H$3:$H$1009,""),"Display",_xlfn.XLOOKUP($K799&amp;"",DISPLAY!$B$3:$B$1000&amp;"",DISPLAY!$H$3:$H$1000,""),"Network Device",_xlfn.XLOOKUP($K799&amp;"",'NETWORK-DEVICES'!$B$3:$B$987&amp;"",'NETWORK-DEVICES'!$H$3:$H$987,""),"Peripheral",_xlfn.XLOOKUP($K799&amp;"",PERIPHERAL!$B$3:$B$954&amp;"",PERIPHERAL!$H$3:$H$954,""),"Utilities",_xlfn.XLOOKUP($K799&amp;"",UTILITIES!$B$3:$B$953&amp;"",UTILITIES!$G$3:$G$953,""),"IOT",_xlfn.XLOOKUP($K799&amp;"",IOT!$B$3:$B$1012&amp;"",IOT!$H$3:$H$1012,""),"Server",_xlfn.XLOOKUP($K799&amp;"",SERVER!$B$3:$B$1009&amp;"",SERVER!$H$3:$H$1009,""),""),IF(TRIM(_xlpm.srcCat)&lt;&gt;TRIM($J799),"",_xlfn.SWITCH($I799,"Computer",_xlfn.XLOOKUP($K799&amp;"",COMPUTER!$B$3:$B$1009&amp;"",COMPUTER!$E$3:$E$1009,""),"Display",_xlfn.XLOOKUP($K799&amp;"",DISPLAY!$B$3:$B$1000&amp;"",DISPLAY!$E$3:$E$1000,""),"Network Device",_xlfn.XLOOKUP($K799&amp;"",'NETWORK-DEVICES'!$B$3:$B$987&amp;"",'NETWORK-DEVICES'!$E$3:$E$987,""),"Peripheral",_xlfn.XLOOKUP($K799&amp;"",PERIPHERAL!$B$3:$B$954&amp;"",PERIPHERAL!$E$3:$E$954,""),"Utilities",_xlfn.XLOOKUP($K799&amp;"",UTILITIES!$B$3:$B$953&amp;"",UTILITIES!$E$3:$E$953,""),"IOT",_xlfn.XLOOKUP($K799&amp;"",IOT!$B$3:$B$1012&amp;"",IOT!$E$3:$E$1012,""),"Server",_xlfn.XLOOKUP($K799&amp;"",SERVER!$B$3:$B$1009&amp;"",SERVER!$E$3:$E$1009,""),""))))</f>
        <v/>
      </c>
      <c r="Q799" s="1" t="str" cm="1">
        <f t="array" ref="Q799">IF(OR($K799="",$I799="",$J799=""),"",_xlfn.LET(_xlpm.srcCat,_xlfn.SWITCH($I799,"Computer",_xlfn.XLOOKUP($K799&amp;"",COMPUTER!$B$3:$B$1009&amp;"",COMPUTER!$H$3:$H$1009,""),"Display",_xlfn.XLOOKUP($K799&amp;"",DISPLAY!$B$3:$B$1000&amp;"",DISPLAY!$H$3:$H$1000,""),"Network Device",_xlfn.XLOOKUP($K799&amp;"",'NETWORK-DEVICES'!$B$3:$B$987&amp;"",'NETWORK-DEVICES'!$H$3:$H$987,""),"Peripheral",_xlfn.XLOOKUP($K799&amp;"",PERIPHERAL!$B$3:$B$954&amp;"",PERIPHERAL!$H$3:$H$954,""),"Utilities",_xlfn.XLOOKUP($K799&amp;"",UTILITIES!$B$3:$B$953&amp;"",UTILITIES!$G$3:$G$953,""),"IOT",_xlfn.XLOOKUP($K799&amp;"",IOT!$B$3:$B$1012&amp;"",IOT!$H$3:$H$1012,""),"Server",_xlfn.XLOOKUP($K799&amp;"",SERVER!$B$3:$B$1009&amp;"",SERVER!$H$3:$H$1009,""),""),IF(TRIM(_xlpm.srcCat)&lt;&gt;TRIM($J799),"",_xlfn.SWITCH($I799,"Computer",_xlfn.XLOOKUP($K799&amp;"",COMPUTER!$B$3:$B$1009&amp;"",COMPUTER!$AM$3:$AM$1009,""),"Display",_xlfn.XLOOKUP($K799&amp;"",DISPLAY!$B$3:$B$1000&amp;"",DISPLAY!$V$3:$V$1000,""),"Network Device",_xlfn.XLOOKUP($K799&amp;"",'NETWORK-DEVICES'!$B$3:$B$987&amp;"",'NETWORK-DEVICES'!$AF$3:$AF$987,""),"Peripheral",_xlfn.XLOOKUP($K799&amp;"",PERIPHERAL!$B$3:$B$954&amp;"",PERIPHERAL!$Y$3:$Y$954,""),"Utilities",_xlfn.XLOOKUP($K799&amp;"",UTILITIES!$B$3:$B$953&amp;"",UTILITIES!$O$3:$O$953,""),"IOT",_xlfn.XLOOKUP($K799&amp;"",IOT!$B$3:$B$1012&amp;"",IOT!$AB$3:$AB$1012,""),"Server",_xlfn.XLOOKUP($K799&amp;"",SERVER!$B$3:$B$1009&amp;"",SERVER!$AB$3:$AB$1009,""),""))))</f>
        <v/>
      </c>
      <c r="R799" s="43" t="str">
        <f>IF(tbl_handover[[#This Row],[Asset Code]]="","",COUNTIF(tbl_handover[Asset Code],tbl_handover[[#This Row],[Asset Code]]))</f>
        <v/>
      </c>
    </row>
    <row r="800" spans="1:18" x14ac:dyDescent="0.25">
      <c r="A800" s="43" t="str">
        <f>IF(B800&lt;&gt;"",SUBTOTAL(3,$B$1:B799),"")</f>
        <v/>
      </c>
      <c r="C800" s="74"/>
      <c r="D800" s="74"/>
      <c r="G800" s="1"/>
      <c r="K800" s="42"/>
      <c r="L800" t="str" cm="1">
        <f t="array" ref="L800">IF($K800="","",_xlfn.SWITCH($I800,"Computer",_xlfn.XLOOKUP($K800&amp;"",COMPUTER!$B$3:$B$1009&amp;"",COMPUTER!$I$3:$I$1009,""),"Display",_xlfn.XLOOKUP($K800&amp;"",DISPLAY!$B$3:$B$1000&amp;"",DISPLAY!$J$3:$J$1000,""),"Network Device",_xlfn.XLOOKUP($K800&amp;"",'NETWORK-DEVICES'!$B$3:$B$987&amp;"",'NETWORK-DEVICES'!$I$3:$I$987,""),"Peripheral",_xlfn.XLOOKUP($K800&amp;"",PERIPHERAL!$B$3:$B$954&amp;"",PERIPHERAL!$I$3:$I$954,""),"Utilities",_xlfn.XLOOKUP($K800&amp;"",UTILITIES!$B$3:$B$953&amp;"",UTILITIES!$H$3:$H$953,""),"IOT",_xlfn.XLOOKUP($K800&amp;"",IOT!$B$3:$B$1012&amp;"",IOT!$I$3:$I$1012,""),"SERVER",_xlfn.XLOOKUP($K800&amp;"",SERVER!$B$3:$B$1009&amp;"",SERVER!$I$3:$I$1009,""),""))</f>
        <v/>
      </c>
      <c r="M800" t="str" cm="1">
        <f t="array" ref="M800">IF($K800="","",_xlfn.SWITCH($I800,"Computer",_xlfn.XLOOKUP($K800&amp;"",COMPUTER!$B$3:$B$1009&amp;"",COMPUTER!$J$3:$J$1009,""),"Display",_xlfn.XLOOKUP($K800&amp;"",DISPLAY!$B$3:$B$1000&amp;"",DISPLAY!$K$3:$K$1000,""),"Network Device",_xlfn.XLOOKUP($K800&amp;"",'NETWORK-DEVICES'!$B$3:$B$987&amp;"",'NETWORK-DEVICES'!$I$3:$I$987,""),"Peripheral",_xlfn.XLOOKUP($K800&amp;"",PERIPHERAL!$B$3:$B$954&amp;"",PERIPHERAL!$J$3:$J$954,""),"Utilities",_xlfn.XLOOKUP($K800&amp;"",UTILITIES!$B$3:$B$953&amp;"",UTILITIES!$I$3:$I$953,""),"IOT",_xlfn.XLOOKUP($K800&amp;"",IOT!$B$3:$B$1012&amp;"",IOT!$J$3:$J$1012,""),"Server",_xlfn.XLOOKUP($K800&amp;"",SERVER!$B$3:$B$1009&amp;"",SERVER!$J$3:$J$1009,""),""))</f>
        <v/>
      </c>
      <c r="N800" s="1" t="str" cm="1">
        <f t="array" ref="N800">IF(OR($K800="",$I800="",$J800=""),"",_xlfn.LET(_xlpm.srcCat,_xlfn.SWITCH($I800,"Computer",_xlfn.XLOOKUP($K800&amp;"",COMPUTER!$B$3:$B$1009&amp;"",COMPUTER!$H$3:$H$1009,""),"Display",_xlfn.XLOOKUP($K800&amp;"",DISPLAY!$B$3:$B$1000&amp;"",DISPLAY!$H$3:$H$1000,""),"Network Device",_xlfn.XLOOKUP($K800&amp;"",'NETWORK-DEVICES'!$B$3:$B$987&amp;"",'NETWORK-DEVICES'!$H$3:$H$987,""),"Peripheral",_xlfn.XLOOKUP($K800&amp;"",PERIPHERAL!$B$3:$B$954&amp;"",PERIPHERAL!$H$3:$H$954,""),"Utilities",_xlfn.XLOOKUP($K800&amp;"",UTILITIES!$B$3:$B$953&amp;"",UTILITIES!$G$3:$G$953,""),"IOT",_xlfn.XLOOKUP($K800&amp;"",IOT!$B$3:$B$1012&amp;"",IOT!$H$3:$H$1012,""),"Server",_xlfn.XLOOKUP($K800&amp;"",SERVER!$B$3:$B$1009&amp;"",SERVER!$H$3:$H$1009,""),""),IF(TRIM(_xlpm.srcCat)&lt;&gt;TRIM($J800),"",_xlfn.SWITCH($I800,"Computer",_xlfn.XLOOKUP($K800&amp;"",COMPUTER!$B$3:$B$1009&amp;"",COMPUTER!$K$3:$K$1009,""),"Display",_xlfn.XLOOKUP($K800&amp;"",DISPLAY!$B$3:$B$1000&amp;"",DISPLAY!$L$3:$L$1000,""),"Network Device",_xlfn.XLOOKUP($K800&amp;"",'NETWORK-DEVICES'!$B$3:$B$987&amp;"",'NETWORK-DEVICES'!$K$3:$K$987,""),"Peripheral",_xlfn.XLOOKUP($K800&amp;"",PERIPHERAL!$B$3:$B$954&amp;"",PERIPHERAL!$K$3:$K$954,""),"Utilities",_xlfn.XLOOKUP($K800&amp;"",UTILITIES!$B$3:$B$953&amp;"",UTILITIES!$J$3:$J$953,""),"IOT",_xlfn.XLOOKUP($K800&amp;"",IOT!$B$3:$B$1012&amp;"",IOT!$K$4:$K$1012,""),"Server",_xlfn.XLOOKUP($K800&amp;"",SERVER!$B$3:$B$1009&amp;"",SERVER!$K$3:$K$1009,""),""))))</f>
        <v/>
      </c>
      <c r="O800" s="1" t="str" cm="1">
        <f t="array" ref="O800">IF(OR($K800="",$I800="",$J800=""),"",_xlfn.LET(_xlpm.srcCat,_xlfn.SWITCH($I800,"Computer",_xlfn.XLOOKUP($K800&amp;"",COMPUTER!$B$3:$B$1009&amp;"",COMPUTER!$H$3:$H$1009,""),"Display",_xlfn.XLOOKUP($K800&amp;"",DISPLAY!$B$3:$B$1000&amp;"",DISPLAY!$H$3:$H$1000,""),"Network Device",_xlfn.XLOOKUP($K800&amp;"",'NETWORK-DEVICES'!$B$3:$B$987&amp;"",'NETWORK-DEVICES'!$H$3:$H$987,""),"Peripheral",_xlfn.XLOOKUP($K800&amp;"",PERIPHERAL!$B$3:$B$954&amp;"",PERIPHERAL!$H$3:$H$954,""),"Utilities",_xlfn.XLOOKUP($K800&amp;"",UTILITIES!$B$3:$B$953&amp;"",UTILITIES!$G$3:$G$953,""),"IOT",_xlfn.XLOOKUP($K800&amp;"",IOT!$B$3:$B$1012&amp;"",IOT!$H$3:$H$1012,""),"Server",_xlfn.XLOOKUP($K800&amp;"",SERVER!$B$3:$B$1009&amp;"",SERVER!$H$3:$H$1009,""),""),IF(TRIM(_xlpm.srcCat)&lt;&gt;TRIM($J800),"",_xlfn.SWITCH($I800,"Computer",_xlfn.XLOOKUP($K800&amp;"",COMPUTER!$B$3:$B$1009&amp;"",COMPUTER!$E$3:$E$1009,""),"Display",_xlfn.XLOOKUP($K800&amp;"",DISPLAY!$B$3:$B$1000&amp;"",DISPLAY!$E$3:$E$1000,""),"Network Device",_xlfn.XLOOKUP($K800&amp;"",'NETWORK-DEVICES'!$B$3:$B$987&amp;"",'NETWORK-DEVICES'!$E$3:$E$987,""),"Peripheral",_xlfn.XLOOKUP($K800&amp;"",PERIPHERAL!$B$3:$B$954&amp;"",PERIPHERAL!$E$3:$E$954,""),"Utilities",_xlfn.XLOOKUP($K800&amp;"",UTILITIES!$B$3:$B$953&amp;"",UTILITIES!$E$3:$E$953,""),"IOT",_xlfn.XLOOKUP($K800&amp;"",IOT!$B$3:$B$1012&amp;"",IOT!$E$3:$E$1012,""),"Server",_xlfn.XLOOKUP($K800&amp;"",SERVER!$B$3:$B$1009&amp;"",SERVER!$E$3:$E$1009,""),""))))</f>
        <v/>
      </c>
      <c r="Q800" s="1" t="str" cm="1">
        <f t="array" ref="Q800">IF(OR($K800="",$I800="",$J800=""),"",_xlfn.LET(_xlpm.srcCat,_xlfn.SWITCH($I800,"Computer",_xlfn.XLOOKUP($K800&amp;"",COMPUTER!$B$3:$B$1009&amp;"",COMPUTER!$H$3:$H$1009,""),"Display",_xlfn.XLOOKUP($K800&amp;"",DISPLAY!$B$3:$B$1000&amp;"",DISPLAY!$H$3:$H$1000,""),"Network Device",_xlfn.XLOOKUP($K800&amp;"",'NETWORK-DEVICES'!$B$3:$B$987&amp;"",'NETWORK-DEVICES'!$H$3:$H$987,""),"Peripheral",_xlfn.XLOOKUP($K800&amp;"",PERIPHERAL!$B$3:$B$954&amp;"",PERIPHERAL!$H$3:$H$954,""),"Utilities",_xlfn.XLOOKUP($K800&amp;"",UTILITIES!$B$3:$B$953&amp;"",UTILITIES!$G$3:$G$953,""),"IOT",_xlfn.XLOOKUP($K800&amp;"",IOT!$B$3:$B$1012&amp;"",IOT!$H$3:$H$1012,""),"Server",_xlfn.XLOOKUP($K800&amp;"",SERVER!$B$3:$B$1009&amp;"",SERVER!$H$3:$H$1009,""),""),IF(TRIM(_xlpm.srcCat)&lt;&gt;TRIM($J800),"",_xlfn.SWITCH($I800,"Computer",_xlfn.XLOOKUP($K800&amp;"",COMPUTER!$B$3:$B$1009&amp;"",COMPUTER!$AM$3:$AM$1009,""),"Display",_xlfn.XLOOKUP($K800&amp;"",DISPLAY!$B$3:$B$1000&amp;"",DISPLAY!$V$3:$V$1000,""),"Network Device",_xlfn.XLOOKUP($K800&amp;"",'NETWORK-DEVICES'!$B$3:$B$987&amp;"",'NETWORK-DEVICES'!$AF$3:$AF$987,""),"Peripheral",_xlfn.XLOOKUP($K800&amp;"",PERIPHERAL!$B$3:$B$954&amp;"",PERIPHERAL!$Y$3:$Y$954,""),"Utilities",_xlfn.XLOOKUP($K800&amp;"",UTILITIES!$B$3:$B$953&amp;"",UTILITIES!$O$3:$O$953,""),"IOT",_xlfn.XLOOKUP($K800&amp;"",IOT!$B$3:$B$1012&amp;"",IOT!$AB$3:$AB$1012,""),"Server",_xlfn.XLOOKUP($K800&amp;"",SERVER!$B$3:$B$1009&amp;"",SERVER!$AB$3:$AB$1009,""),""))))</f>
        <v/>
      </c>
      <c r="R800" s="43" t="str">
        <f>IF(tbl_handover[[#This Row],[Asset Code]]="","",COUNTIF(tbl_handover[Asset Code],tbl_handover[[#This Row],[Asset Code]]))</f>
        <v/>
      </c>
    </row>
    <row r="801" spans="1:18" x14ac:dyDescent="0.25">
      <c r="A801" s="43" t="str">
        <f>IF(B801&lt;&gt;"",SUBTOTAL(3,$B$1:B800),"")</f>
        <v/>
      </c>
      <c r="C801" s="74"/>
      <c r="D801" s="74"/>
      <c r="G801" s="1"/>
      <c r="K801" s="42"/>
      <c r="L801" t="str" cm="1">
        <f t="array" ref="L801">IF($K801="","",_xlfn.SWITCH($I801,"Computer",_xlfn.XLOOKUP($K801&amp;"",COMPUTER!$B$3:$B$1009&amp;"",COMPUTER!$I$3:$I$1009,""),"Display",_xlfn.XLOOKUP($K801&amp;"",DISPLAY!$B$3:$B$1000&amp;"",DISPLAY!$J$3:$J$1000,""),"Network Device",_xlfn.XLOOKUP($K801&amp;"",'NETWORK-DEVICES'!$B$3:$B$987&amp;"",'NETWORK-DEVICES'!$I$3:$I$987,""),"Peripheral",_xlfn.XLOOKUP($K801&amp;"",PERIPHERAL!$B$3:$B$954&amp;"",PERIPHERAL!$I$3:$I$954,""),"Utilities",_xlfn.XLOOKUP($K801&amp;"",UTILITIES!$B$3:$B$953&amp;"",UTILITIES!$H$3:$H$953,""),"IOT",_xlfn.XLOOKUP($K801&amp;"",IOT!$B$3:$B$1012&amp;"",IOT!$I$3:$I$1012,""),"SERVER",_xlfn.XLOOKUP($K801&amp;"",SERVER!$B$3:$B$1009&amp;"",SERVER!$I$3:$I$1009,""),""))</f>
        <v/>
      </c>
      <c r="M801" t="str" cm="1">
        <f t="array" ref="M801">IF($K801="","",_xlfn.SWITCH($I801,"Computer",_xlfn.XLOOKUP($K801&amp;"",COMPUTER!$B$3:$B$1009&amp;"",COMPUTER!$J$3:$J$1009,""),"Display",_xlfn.XLOOKUP($K801&amp;"",DISPLAY!$B$3:$B$1000&amp;"",DISPLAY!$K$3:$K$1000,""),"Network Device",_xlfn.XLOOKUP($K801&amp;"",'NETWORK-DEVICES'!$B$3:$B$987&amp;"",'NETWORK-DEVICES'!$I$3:$I$987,""),"Peripheral",_xlfn.XLOOKUP($K801&amp;"",PERIPHERAL!$B$3:$B$954&amp;"",PERIPHERAL!$J$3:$J$954,""),"Utilities",_xlfn.XLOOKUP($K801&amp;"",UTILITIES!$B$3:$B$953&amp;"",UTILITIES!$I$3:$I$953,""),"IOT",_xlfn.XLOOKUP($K801&amp;"",IOT!$B$3:$B$1012&amp;"",IOT!$J$3:$J$1012,""),"Server",_xlfn.XLOOKUP($K801&amp;"",SERVER!$B$3:$B$1009&amp;"",SERVER!$J$3:$J$1009,""),""))</f>
        <v/>
      </c>
      <c r="N801" s="1" t="str" cm="1">
        <f t="array" ref="N801">IF(OR($K801="",$I801="",$J801=""),"",_xlfn.LET(_xlpm.srcCat,_xlfn.SWITCH($I801,"Computer",_xlfn.XLOOKUP($K801&amp;"",COMPUTER!$B$3:$B$1009&amp;"",COMPUTER!$H$3:$H$1009,""),"Display",_xlfn.XLOOKUP($K801&amp;"",DISPLAY!$B$3:$B$1000&amp;"",DISPLAY!$H$3:$H$1000,""),"Network Device",_xlfn.XLOOKUP($K801&amp;"",'NETWORK-DEVICES'!$B$3:$B$987&amp;"",'NETWORK-DEVICES'!$H$3:$H$987,""),"Peripheral",_xlfn.XLOOKUP($K801&amp;"",PERIPHERAL!$B$3:$B$954&amp;"",PERIPHERAL!$H$3:$H$954,""),"Utilities",_xlfn.XLOOKUP($K801&amp;"",UTILITIES!$B$3:$B$953&amp;"",UTILITIES!$G$3:$G$953,""),"IOT",_xlfn.XLOOKUP($K801&amp;"",IOT!$B$3:$B$1012&amp;"",IOT!$H$3:$H$1012,""),"Server",_xlfn.XLOOKUP($K801&amp;"",SERVER!$B$3:$B$1009&amp;"",SERVER!$H$3:$H$1009,""),""),IF(TRIM(_xlpm.srcCat)&lt;&gt;TRIM($J801),"",_xlfn.SWITCH($I801,"Computer",_xlfn.XLOOKUP($K801&amp;"",COMPUTER!$B$3:$B$1009&amp;"",COMPUTER!$K$3:$K$1009,""),"Display",_xlfn.XLOOKUP($K801&amp;"",DISPLAY!$B$3:$B$1000&amp;"",DISPLAY!$L$3:$L$1000,""),"Network Device",_xlfn.XLOOKUP($K801&amp;"",'NETWORK-DEVICES'!$B$3:$B$987&amp;"",'NETWORK-DEVICES'!$K$3:$K$987,""),"Peripheral",_xlfn.XLOOKUP($K801&amp;"",PERIPHERAL!$B$3:$B$954&amp;"",PERIPHERAL!$K$3:$K$954,""),"Utilities",_xlfn.XLOOKUP($K801&amp;"",UTILITIES!$B$3:$B$953&amp;"",UTILITIES!$J$3:$J$953,""),"IOT",_xlfn.XLOOKUP($K801&amp;"",IOT!$B$3:$B$1012&amp;"",IOT!$K$4:$K$1012,""),"Server",_xlfn.XLOOKUP($K801&amp;"",SERVER!$B$3:$B$1009&amp;"",SERVER!$K$3:$K$1009,""),""))))</f>
        <v/>
      </c>
      <c r="O801" s="1" t="str" cm="1">
        <f t="array" ref="O801">IF(OR($K801="",$I801="",$J801=""),"",_xlfn.LET(_xlpm.srcCat,_xlfn.SWITCH($I801,"Computer",_xlfn.XLOOKUP($K801&amp;"",COMPUTER!$B$3:$B$1009&amp;"",COMPUTER!$H$3:$H$1009,""),"Display",_xlfn.XLOOKUP($K801&amp;"",DISPLAY!$B$3:$B$1000&amp;"",DISPLAY!$H$3:$H$1000,""),"Network Device",_xlfn.XLOOKUP($K801&amp;"",'NETWORK-DEVICES'!$B$3:$B$987&amp;"",'NETWORK-DEVICES'!$H$3:$H$987,""),"Peripheral",_xlfn.XLOOKUP($K801&amp;"",PERIPHERAL!$B$3:$B$954&amp;"",PERIPHERAL!$H$3:$H$954,""),"Utilities",_xlfn.XLOOKUP($K801&amp;"",UTILITIES!$B$3:$B$953&amp;"",UTILITIES!$G$3:$G$953,""),"IOT",_xlfn.XLOOKUP($K801&amp;"",IOT!$B$3:$B$1012&amp;"",IOT!$H$3:$H$1012,""),"Server",_xlfn.XLOOKUP($K801&amp;"",SERVER!$B$3:$B$1009&amp;"",SERVER!$H$3:$H$1009,""),""),IF(TRIM(_xlpm.srcCat)&lt;&gt;TRIM($J801),"",_xlfn.SWITCH($I801,"Computer",_xlfn.XLOOKUP($K801&amp;"",COMPUTER!$B$3:$B$1009&amp;"",COMPUTER!$E$3:$E$1009,""),"Display",_xlfn.XLOOKUP($K801&amp;"",DISPLAY!$B$3:$B$1000&amp;"",DISPLAY!$E$3:$E$1000,""),"Network Device",_xlfn.XLOOKUP($K801&amp;"",'NETWORK-DEVICES'!$B$3:$B$987&amp;"",'NETWORK-DEVICES'!$E$3:$E$987,""),"Peripheral",_xlfn.XLOOKUP($K801&amp;"",PERIPHERAL!$B$3:$B$954&amp;"",PERIPHERAL!$E$3:$E$954,""),"Utilities",_xlfn.XLOOKUP($K801&amp;"",UTILITIES!$B$3:$B$953&amp;"",UTILITIES!$E$3:$E$953,""),"IOT",_xlfn.XLOOKUP($K801&amp;"",IOT!$B$3:$B$1012&amp;"",IOT!$E$3:$E$1012,""),"Server",_xlfn.XLOOKUP($K801&amp;"",SERVER!$B$3:$B$1009&amp;"",SERVER!$E$3:$E$1009,""),""))))</f>
        <v/>
      </c>
      <c r="Q801" s="1" t="str" cm="1">
        <f t="array" ref="Q801">IF(OR($K801="",$I801="",$J801=""),"",_xlfn.LET(_xlpm.srcCat,_xlfn.SWITCH($I801,"Computer",_xlfn.XLOOKUP($K801&amp;"",COMPUTER!$B$3:$B$1009&amp;"",COMPUTER!$H$3:$H$1009,""),"Display",_xlfn.XLOOKUP($K801&amp;"",DISPLAY!$B$3:$B$1000&amp;"",DISPLAY!$H$3:$H$1000,""),"Network Device",_xlfn.XLOOKUP($K801&amp;"",'NETWORK-DEVICES'!$B$3:$B$987&amp;"",'NETWORK-DEVICES'!$H$3:$H$987,""),"Peripheral",_xlfn.XLOOKUP($K801&amp;"",PERIPHERAL!$B$3:$B$954&amp;"",PERIPHERAL!$H$3:$H$954,""),"Utilities",_xlfn.XLOOKUP($K801&amp;"",UTILITIES!$B$3:$B$953&amp;"",UTILITIES!$G$3:$G$953,""),"IOT",_xlfn.XLOOKUP($K801&amp;"",IOT!$B$3:$B$1012&amp;"",IOT!$H$3:$H$1012,""),"Server",_xlfn.XLOOKUP($K801&amp;"",SERVER!$B$3:$B$1009&amp;"",SERVER!$H$3:$H$1009,""),""),IF(TRIM(_xlpm.srcCat)&lt;&gt;TRIM($J801),"",_xlfn.SWITCH($I801,"Computer",_xlfn.XLOOKUP($K801&amp;"",COMPUTER!$B$3:$B$1009&amp;"",COMPUTER!$AM$3:$AM$1009,""),"Display",_xlfn.XLOOKUP($K801&amp;"",DISPLAY!$B$3:$B$1000&amp;"",DISPLAY!$V$3:$V$1000,""),"Network Device",_xlfn.XLOOKUP($K801&amp;"",'NETWORK-DEVICES'!$B$3:$B$987&amp;"",'NETWORK-DEVICES'!$AF$3:$AF$987,""),"Peripheral",_xlfn.XLOOKUP($K801&amp;"",PERIPHERAL!$B$3:$B$954&amp;"",PERIPHERAL!$Y$3:$Y$954,""),"Utilities",_xlfn.XLOOKUP($K801&amp;"",UTILITIES!$B$3:$B$953&amp;"",UTILITIES!$O$3:$O$953,""),"IOT",_xlfn.XLOOKUP($K801&amp;"",IOT!$B$3:$B$1012&amp;"",IOT!$AB$3:$AB$1012,""),"Server",_xlfn.XLOOKUP($K801&amp;"",SERVER!$B$3:$B$1009&amp;"",SERVER!$AB$3:$AB$1009,""),""))))</f>
        <v/>
      </c>
      <c r="R801" s="43" t="str">
        <f>IF(tbl_handover[[#This Row],[Asset Code]]="","",COUNTIF(tbl_handover[Asset Code],tbl_handover[[#This Row],[Asset Code]]))</f>
        <v/>
      </c>
    </row>
    <row r="802" spans="1:18" x14ac:dyDescent="0.25">
      <c r="A802" s="43" t="str">
        <f>IF(B802&lt;&gt;"",SUBTOTAL(3,$B$1:B801),"")</f>
        <v/>
      </c>
      <c r="C802" s="74"/>
      <c r="D802" s="74"/>
      <c r="G802" s="1"/>
      <c r="K802" s="42"/>
      <c r="L802" t="str" cm="1">
        <f t="array" ref="L802">IF($K802="","",_xlfn.SWITCH($I802,"Computer",_xlfn.XLOOKUP($K802&amp;"",COMPUTER!$B$3:$B$1009&amp;"",COMPUTER!$I$3:$I$1009,""),"Display",_xlfn.XLOOKUP($K802&amp;"",DISPLAY!$B$3:$B$1000&amp;"",DISPLAY!$J$3:$J$1000,""),"Network Device",_xlfn.XLOOKUP($K802&amp;"",'NETWORK-DEVICES'!$B$3:$B$987&amp;"",'NETWORK-DEVICES'!$I$3:$I$987,""),"Peripheral",_xlfn.XLOOKUP($K802&amp;"",PERIPHERAL!$B$3:$B$954&amp;"",PERIPHERAL!$I$3:$I$954,""),"Utilities",_xlfn.XLOOKUP($K802&amp;"",UTILITIES!$B$3:$B$953&amp;"",UTILITIES!$H$3:$H$953,""),"IOT",_xlfn.XLOOKUP($K802&amp;"",IOT!$B$3:$B$1012&amp;"",IOT!$I$3:$I$1012,""),"SERVER",_xlfn.XLOOKUP($K802&amp;"",SERVER!$B$3:$B$1009&amp;"",SERVER!$I$3:$I$1009,""),""))</f>
        <v/>
      </c>
      <c r="M802" t="str" cm="1">
        <f t="array" ref="M802">IF($K802="","",_xlfn.SWITCH($I802,"Computer",_xlfn.XLOOKUP($K802&amp;"",COMPUTER!$B$3:$B$1009&amp;"",COMPUTER!$J$3:$J$1009,""),"Display",_xlfn.XLOOKUP($K802&amp;"",DISPLAY!$B$3:$B$1000&amp;"",DISPLAY!$K$3:$K$1000,""),"Network Device",_xlfn.XLOOKUP($K802&amp;"",'NETWORK-DEVICES'!$B$3:$B$987&amp;"",'NETWORK-DEVICES'!$I$3:$I$987,""),"Peripheral",_xlfn.XLOOKUP($K802&amp;"",PERIPHERAL!$B$3:$B$954&amp;"",PERIPHERAL!$J$3:$J$954,""),"Utilities",_xlfn.XLOOKUP($K802&amp;"",UTILITIES!$B$3:$B$953&amp;"",UTILITIES!$I$3:$I$953,""),"IOT",_xlfn.XLOOKUP($K802&amp;"",IOT!$B$3:$B$1012&amp;"",IOT!$J$3:$J$1012,""),"Server",_xlfn.XLOOKUP($K802&amp;"",SERVER!$B$3:$B$1009&amp;"",SERVER!$J$3:$J$1009,""),""))</f>
        <v/>
      </c>
      <c r="N802" s="1" t="str" cm="1">
        <f t="array" ref="N802">IF(OR($K802="",$I802="",$J802=""),"",_xlfn.LET(_xlpm.srcCat,_xlfn.SWITCH($I802,"Computer",_xlfn.XLOOKUP($K802&amp;"",COMPUTER!$B$3:$B$1009&amp;"",COMPUTER!$H$3:$H$1009,""),"Display",_xlfn.XLOOKUP($K802&amp;"",DISPLAY!$B$3:$B$1000&amp;"",DISPLAY!$H$3:$H$1000,""),"Network Device",_xlfn.XLOOKUP($K802&amp;"",'NETWORK-DEVICES'!$B$3:$B$987&amp;"",'NETWORK-DEVICES'!$H$3:$H$987,""),"Peripheral",_xlfn.XLOOKUP($K802&amp;"",PERIPHERAL!$B$3:$B$954&amp;"",PERIPHERAL!$H$3:$H$954,""),"Utilities",_xlfn.XLOOKUP($K802&amp;"",UTILITIES!$B$3:$B$953&amp;"",UTILITIES!$G$3:$G$953,""),"IOT",_xlfn.XLOOKUP($K802&amp;"",IOT!$B$3:$B$1012&amp;"",IOT!$H$3:$H$1012,""),"Server",_xlfn.XLOOKUP($K802&amp;"",SERVER!$B$3:$B$1009&amp;"",SERVER!$H$3:$H$1009,""),""),IF(TRIM(_xlpm.srcCat)&lt;&gt;TRIM($J802),"",_xlfn.SWITCH($I802,"Computer",_xlfn.XLOOKUP($K802&amp;"",COMPUTER!$B$3:$B$1009&amp;"",COMPUTER!$K$3:$K$1009,""),"Display",_xlfn.XLOOKUP($K802&amp;"",DISPLAY!$B$3:$B$1000&amp;"",DISPLAY!$L$3:$L$1000,""),"Network Device",_xlfn.XLOOKUP($K802&amp;"",'NETWORK-DEVICES'!$B$3:$B$987&amp;"",'NETWORK-DEVICES'!$K$3:$K$987,""),"Peripheral",_xlfn.XLOOKUP($K802&amp;"",PERIPHERAL!$B$3:$B$954&amp;"",PERIPHERAL!$K$3:$K$954,""),"Utilities",_xlfn.XLOOKUP($K802&amp;"",UTILITIES!$B$3:$B$953&amp;"",UTILITIES!$J$3:$J$953,""),"IOT",_xlfn.XLOOKUP($K802&amp;"",IOT!$B$3:$B$1012&amp;"",IOT!$K$4:$K$1012,""),"Server",_xlfn.XLOOKUP($K802&amp;"",SERVER!$B$3:$B$1009&amp;"",SERVER!$K$3:$K$1009,""),""))))</f>
        <v/>
      </c>
      <c r="O802" s="1" t="str" cm="1">
        <f t="array" ref="O802">IF(OR($K802="",$I802="",$J802=""),"",_xlfn.LET(_xlpm.srcCat,_xlfn.SWITCH($I802,"Computer",_xlfn.XLOOKUP($K802&amp;"",COMPUTER!$B$3:$B$1009&amp;"",COMPUTER!$H$3:$H$1009,""),"Display",_xlfn.XLOOKUP($K802&amp;"",DISPLAY!$B$3:$B$1000&amp;"",DISPLAY!$H$3:$H$1000,""),"Network Device",_xlfn.XLOOKUP($K802&amp;"",'NETWORK-DEVICES'!$B$3:$B$987&amp;"",'NETWORK-DEVICES'!$H$3:$H$987,""),"Peripheral",_xlfn.XLOOKUP($K802&amp;"",PERIPHERAL!$B$3:$B$954&amp;"",PERIPHERAL!$H$3:$H$954,""),"Utilities",_xlfn.XLOOKUP($K802&amp;"",UTILITIES!$B$3:$B$953&amp;"",UTILITIES!$G$3:$G$953,""),"IOT",_xlfn.XLOOKUP($K802&amp;"",IOT!$B$3:$B$1012&amp;"",IOT!$H$3:$H$1012,""),"Server",_xlfn.XLOOKUP($K802&amp;"",SERVER!$B$3:$B$1009&amp;"",SERVER!$H$3:$H$1009,""),""),IF(TRIM(_xlpm.srcCat)&lt;&gt;TRIM($J802),"",_xlfn.SWITCH($I802,"Computer",_xlfn.XLOOKUP($K802&amp;"",COMPUTER!$B$3:$B$1009&amp;"",COMPUTER!$E$3:$E$1009,""),"Display",_xlfn.XLOOKUP($K802&amp;"",DISPLAY!$B$3:$B$1000&amp;"",DISPLAY!$E$3:$E$1000,""),"Network Device",_xlfn.XLOOKUP($K802&amp;"",'NETWORK-DEVICES'!$B$3:$B$987&amp;"",'NETWORK-DEVICES'!$E$3:$E$987,""),"Peripheral",_xlfn.XLOOKUP($K802&amp;"",PERIPHERAL!$B$3:$B$954&amp;"",PERIPHERAL!$E$3:$E$954,""),"Utilities",_xlfn.XLOOKUP($K802&amp;"",UTILITIES!$B$3:$B$953&amp;"",UTILITIES!$E$3:$E$953,""),"IOT",_xlfn.XLOOKUP($K802&amp;"",IOT!$B$3:$B$1012&amp;"",IOT!$E$3:$E$1012,""),"Server",_xlfn.XLOOKUP($K802&amp;"",SERVER!$B$3:$B$1009&amp;"",SERVER!$E$3:$E$1009,""),""))))</f>
        <v/>
      </c>
      <c r="Q802" s="1" t="str" cm="1">
        <f t="array" ref="Q802">IF(OR($K802="",$I802="",$J802=""),"",_xlfn.LET(_xlpm.srcCat,_xlfn.SWITCH($I802,"Computer",_xlfn.XLOOKUP($K802&amp;"",COMPUTER!$B$3:$B$1009&amp;"",COMPUTER!$H$3:$H$1009,""),"Display",_xlfn.XLOOKUP($K802&amp;"",DISPLAY!$B$3:$B$1000&amp;"",DISPLAY!$H$3:$H$1000,""),"Network Device",_xlfn.XLOOKUP($K802&amp;"",'NETWORK-DEVICES'!$B$3:$B$987&amp;"",'NETWORK-DEVICES'!$H$3:$H$987,""),"Peripheral",_xlfn.XLOOKUP($K802&amp;"",PERIPHERAL!$B$3:$B$954&amp;"",PERIPHERAL!$H$3:$H$954,""),"Utilities",_xlfn.XLOOKUP($K802&amp;"",UTILITIES!$B$3:$B$953&amp;"",UTILITIES!$G$3:$G$953,""),"IOT",_xlfn.XLOOKUP($K802&amp;"",IOT!$B$3:$B$1012&amp;"",IOT!$H$3:$H$1012,""),"Server",_xlfn.XLOOKUP($K802&amp;"",SERVER!$B$3:$B$1009&amp;"",SERVER!$H$3:$H$1009,""),""),IF(TRIM(_xlpm.srcCat)&lt;&gt;TRIM($J802),"",_xlfn.SWITCH($I802,"Computer",_xlfn.XLOOKUP($K802&amp;"",COMPUTER!$B$3:$B$1009&amp;"",COMPUTER!$AM$3:$AM$1009,""),"Display",_xlfn.XLOOKUP($K802&amp;"",DISPLAY!$B$3:$B$1000&amp;"",DISPLAY!$V$3:$V$1000,""),"Network Device",_xlfn.XLOOKUP($K802&amp;"",'NETWORK-DEVICES'!$B$3:$B$987&amp;"",'NETWORK-DEVICES'!$AF$3:$AF$987,""),"Peripheral",_xlfn.XLOOKUP($K802&amp;"",PERIPHERAL!$B$3:$B$954&amp;"",PERIPHERAL!$Y$3:$Y$954,""),"Utilities",_xlfn.XLOOKUP($K802&amp;"",UTILITIES!$B$3:$B$953&amp;"",UTILITIES!$O$3:$O$953,""),"IOT",_xlfn.XLOOKUP($K802&amp;"",IOT!$B$3:$B$1012&amp;"",IOT!$AB$3:$AB$1012,""),"Server",_xlfn.XLOOKUP($K802&amp;"",SERVER!$B$3:$B$1009&amp;"",SERVER!$AB$3:$AB$1009,""),""))))</f>
        <v/>
      </c>
      <c r="R802" s="43" t="str">
        <f>IF(tbl_handover[[#This Row],[Asset Code]]="","",COUNTIF(tbl_handover[Asset Code],tbl_handover[[#This Row],[Asset Code]]))</f>
        <v/>
      </c>
    </row>
    <row r="803" spans="1:18" x14ac:dyDescent="0.25">
      <c r="A803" s="43" t="str">
        <f>IF(B803&lt;&gt;"",SUBTOTAL(3,$B$1:B802),"")</f>
        <v/>
      </c>
      <c r="C803" s="74"/>
      <c r="D803" s="74"/>
      <c r="G803" s="1"/>
      <c r="K803" s="42"/>
      <c r="L803" t="str" cm="1">
        <f t="array" ref="L803">IF($K803="","",_xlfn.SWITCH($I803,"Computer",_xlfn.XLOOKUP($K803&amp;"",COMPUTER!$B$3:$B$1009&amp;"",COMPUTER!$I$3:$I$1009,""),"Display",_xlfn.XLOOKUP($K803&amp;"",DISPLAY!$B$3:$B$1000&amp;"",DISPLAY!$J$3:$J$1000,""),"Network Device",_xlfn.XLOOKUP($K803&amp;"",'NETWORK-DEVICES'!$B$3:$B$987&amp;"",'NETWORK-DEVICES'!$I$3:$I$987,""),"Peripheral",_xlfn.XLOOKUP($K803&amp;"",PERIPHERAL!$B$3:$B$954&amp;"",PERIPHERAL!$I$3:$I$954,""),"Utilities",_xlfn.XLOOKUP($K803&amp;"",UTILITIES!$B$3:$B$953&amp;"",UTILITIES!$H$3:$H$953,""),"IOT",_xlfn.XLOOKUP($K803&amp;"",IOT!$B$3:$B$1012&amp;"",IOT!$I$3:$I$1012,""),"SERVER",_xlfn.XLOOKUP($K803&amp;"",SERVER!$B$3:$B$1009&amp;"",SERVER!$I$3:$I$1009,""),""))</f>
        <v/>
      </c>
      <c r="M803" t="str" cm="1">
        <f t="array" ref="M803">IF($K803="","",_xlfn.SWITCH($I803,"Computer",_xlfn.XLOOKUP($K803&amp;"",COMPUTER!$B$3:$B$1009&amp;"",COMPUTER!$J$3:$J$1009,""),"Display",_xlfn.XLOOKUP($K803&amp;"",DISPLAY!$B$3:$B$1000&amp;"",DISPLAY!$K$3:$K$1000,""),"Network Device",_xlfn.XLOOKUP($K803&amp;"",'NETWORK-DEVICES'!$B$3:$B$987&amp;"",'NETWORK-DEVICES'!$I$3:$I$987,""),"Peripheral",_xlfn.XLOOKUP($K803&amp;"",PERIPHERAL!$B$3:$B$954&amp;"",PERIPHERAL!$J$3:$J$954,""),"Utilities",_xlfn.XLOOKUP($K803&amp;"",UTILITIES!$B$3:$B$953&amp;"",UTILITIES!$I$3:$I$953,""),"IOT",_xlfn.XLOOKUP($K803&amp;"",IOT!$B$3:$B$1012&amp;"",IOT!$J$3:$J$1012,""),"Server",_xlfn.XLOOKUP($K803&amp;"",SERVER!$B$3:$B$1009&amp;"",SERVER!$J$3:$J$1009,""),""))</f>
        <v/>
      </c>
      <c r="N803" s="1" t="str" cm="1">
        <f t="array" ref="N803">IF(OR($K803="",$I803="",$J803=""),"",_xlfn.LET(_xlpm.srcCat,_xlfn.SWITCH($I803,"Computer",_xlfn.XLOOKUP($K803&amp;"",COMPUTER!$B$3:$B$1009&amp;"",COMPUTER!$H$3:$H$1009,""),"Display",_xlfn.XLOOKUP($K803&amp;"",DISPLAY!$B$3:$B$1000&amp;"",DISPLAY!$H$3:$H$1000,""),"Network Device",_xlfn.XLOOKUP($K803&amp;"",'NETWORK-DEVICES'!$B$3:$B$987&amp;"",'NETWORK-DEVICES'!$H$3:$H$987,""),"Peripheral",_xlfn.XLOOKUP($K803&amp;"",PERIPHERAL!$B$3:$B$954&amp;"",PERIPHERAL!$H$3:$H$954,""),"Utilities",_xlfn.XLOOKUP($K803&amp;"",UTILITIES!$B$3:$B$953&amp;"",UTILITIES!$G$3:$G$953,""),"IOT",_xlfn.XLOOKUP($K803&amp;"",IOT!$B$3:$B$1012&amp;"",IOT!$H$3:$H$1012,""),"Server",_xlfn.XLOOKUP($K803&amp;"",SERVER!$B$3:$B$1009&amp;"",SERVER!$H$3:$H$1009,""),""),IF(TRIM(_xlpm.srcCat)&lt;&gt;TRIM($J803),"",_xlfn.SWITCH($I803,"Computer",_xlfn.XLOOKUP($K803&amp;"",COMPUTER!$B$3:$B$1009&amp;"",COMPUTER!$K$3:$K$1009,""),"Display",_xlfn.XLOOKUP($K803&amp;"",DISPLAY!$B$3:$B$1000&amp;"",DISPLAY!$L$3:$L$1000,""),"Network Device",_xlfn.XLOOKUP($K803&amp;"",'NETWORK-DEVICES'!$B$3:$B$987&amp;"",'NETWORK-DEVICES'!$K$3:$K$987,""),"Peripheral",_xlfn.XLOOKUP($K803&amp;"",PERIPHERAL!$B$3:$B$954&amp;"",PERIPHERAL!$K$3:$K$954,""),"Utilities",_xlfn.XLOOKUP($K803&amp;"",UTILITIES!$B$3:$B$953&amp;"",UTILITIES!$J$3:$J$953,""),"IOT",_xlfn.XLOOKUP($K803&amp;"",IOT!$B$3:$B$1012&amp;"",IOT!$K$4:$K$1012,""),"Server",_xlfn.XLOOKUP($K803&amp;"",SERVER!$B$3:$B$1009&amp;"",SERVER!$K$3:$K$1009,""),""))))</f>
        <v/>
      </c>
      <c r="O803" s="1" t="str" cm="1">
        <f t="array" ref="O803">IF(OR($K803="",$I803="",$J803=""),"",_xlfn.LET(_xlpm.srcCat,_xlfn.SWITCH($I803,"Computer",_xlfn.XLOOKUP($K803&amp;"",COMPUTER!$B$3:$B$1009&amp;"",COMPUTER!$H$3:$H$1009,""),"Display",_xlfn.XLOOKUP($K803&amp;"",DISPLAY!$B$3:$B$1000&amp;"",DISPLAY!$H$3:$H$1000,""),"Network Device",_xlfn.XLOOKUP($K803&amp;"",'NETWORK-DEVICES'!$B$3:$B$987&amp;"",'NETWORK-DEVICES'!$H$3:$H$987,""),"Peripheral",_xlfn.XLOOKUP($K803&amp;"",PERIPHERAL!$B$3:$B$954&amp;"",PERIPHERAL!$H$3:$H$954,""),"Utilities",_xlfn.XLOOKUP($K803&amp;"",UTILITIES!$B$3:$B$953&amp;"",UTILITIES!$G$3:$G$953,""),"IOT",_xlfn.XLOOKUP($K803&amp;"",IOT!$B$3:$B$1012&amp;"",IOT!$H$3:$H$1012,""),"Server",_xlfn.XLOOKUP($K803&amp;"",SERVER!$B$3:$B$1009&amp;"",SERVER!$H$3:$H$1009,""),""),IF(TRIM(_xlpm.srcCat)&lt;&gt;TRIM($J803),"",_xlfn.SWITCH($I803,"Computer",_xlfn.XLOOKUP($K803&amp;"",COMPUTER!$B$3:$B$1009&amp;"",COMPUTER!$E$3:$E$1009,""),"Display",_xlfn.XLOOKUP($K803&amp;"",DISPLAY!$B$3:$B$1000&amp;"",DISPLAY!$E$3:$E$1000,""),"Network Device",_xlfn.XLOOKUP($K803&amp;"",'NETWORK-DEVICES'!$B$3:$B$987&amp;"",'NETWORK-DEVICES'!$E$3:$E$987,""),"Peripheral",_xlfn.XLOOKUP($K803&amp;"",PERIPHERAL!$B$3:$B$954&amp;"",PERIPHERAL!$E$3:$E$954,""),"Utilities",_xlfn.XLOOKUP($K803&amp;"",UTILITIES!$B$3:$B$953&amp;"",UTILITIES!$E$3:$E$953,""),"IOT",_xlfn.XLOOKUP($K803&amp;"",IOT!$B$3:$B$1012&amp;"",IOT!$E$3:$E$1012,""),"Server",_xlfn.XLOOKUP($K803&amp;"",SERVER!$B$3:$B$1009&amp;"",SERVER!$E$3:$E$1009,""),""))))</f>
        <v/>
      </c>
      <c r="Q803" s="1" t="str" cm="1">
        <f t="array" ref="Q803">IF(OR($K803="",$I803="",$J803=""),"",_xlfn.LET(_xlpm.srcCat,_xlfn.SWITCH($I803,"Computer",_xlfn.XLOOKUP($K803&amp;"",COMPUTER!$B$3:$B$1009&amp;"",COMPUTER!$H$3:$H$1009,""),"Display",_xlfn.XLOOKUP($K803&amp;"",DISPLAY!$B$3:$B$1000&amp;"",DISPLAY!$H$3:$H$1000,""),"Network Device",_xlfn.XLOOKUP($K803&amp;"",'NETWORK-DEVICES'!$B$3:$B$987&amp;"",'NETWORK-DEVICES'!$H$3:$H$987,""),"Peripheral",_xlfn.XLOOKUP($K803&amp;"",PERIPHERAL!$B$3:$B$954&amp;"",PERIPHERAL!$H$3:$H$954,""),"Utilities",_xlfn.XLOOKUP($K803&amp;"",UTILITIES!$B$3:$B$953&amp;"",UTILITIES!$G$3:$G$953,""),"IOT",_xlfn.XLOOKUP($K803&amp;"",IOT!$B$3:$B$1012&amp;"",IOT!$H$3:$H$1012,""),"Server",_xlfn.XLOOKUP($K803&amp;"",SERVER!$B$3:$B$1009&amp;"",SERVER!$H$3:$H$1009,""),""),IF(TRIM(_xlpm.srcCat)&lt;&gt;TRIM($J803),"",_xlfn.SWITCH($I803,"Computer",_xlfn.XLOOKUP($K803&amp;"",COMPUTER!$B$3:$B$1009&amp;"",COMPUTER!$AM$3:$AM$1009,""),"Display",_xlfn.XLOOKUP($K803&amp;"",DISPLAY!$B$3:$B$1000&amp;"",DISPLAY!$V$3:$V$1000,""),"Network Device",_xlfn.XLOOKUP($K803&amp;"",'NETWORK-DEVICES'!$B$3:$B$987&amp;"",'NETWORK-DEVICES'!$AF$3:$AF$987,""),"Peripheral",_xlfn.XLOOKUP($K803&amp;"",PERIPHERAL!$B$3:$B$954&amp;"",PERIPHERAL!$Y$3:$Y$954,""),"Utilities",_xlfn.XLOOKUP($K803&amp;"",UTILITIES!$B$3:$B$953&amp;"",UTILITIES!$O$3:$O$953,""),"IOT",_xlfn.XLOOKUP($K803&amp;"",IOT!$B$3:$B$1012&amp;"",IOT!$AB$3:$AB$1012,""),"Server",_xlfn.XLOOKUP($K803&amp;"",SERVER!$B$3:$B$1009&amp;"",SERVER!$AB$3:$AB$1009,""),""))))</f>
        <v/>
      </c>
      <c r="R803" s="43" t="str">
        <f>IF(tbl_handover[[#This Row],[Asset Code]]="","",COUNTIF(tbl_handover[Asset Code],tbl_handover[[#This Row],[Asset Code]]))</f>
        <v/>
      </c>
    </row>
    <row r="804" spans="1:18" x14ac:dyDescent="0.25">
      <c r="A804" s="43" t="str">
        <f>IF(B804&lt;&gt;"",SUBTOTAL(3,$B$1:B803),"")</f>
        <v/>
      </c>
      <c r="C804" s="74"/>
      <c r="D804" s="74"/>
      <c r="G804" s="1"/>
      <c r="K804" s="42"/>
      <c r="L804" t="str" cm="1">
        <f t="array" ref="L804">IF($K804="","",_xlfn.SWITCH($I804,"Computer",_xlfn.XLOOKUP($K804&amp;"",COMPUTER!$B$3:$B$1009&amp;"",COMPUTER!$I$3:$I$1009,""),"Display",_xlfn.XLOOKUP($K804&amp;"",DISPLAY!$B$3:$B$1000&amp;"",DISPLAY!$J$3:$J$1000,""),"Network Device",_xlfn.XLOOKUP($K804&amp;"",'NETWORK-DEVICES'!$B$3:$B$987&amp;"",'NETWORK-DEVICES'!$I$3:$I$987,""),"Peripheral",_xlfn.XLOOKUP($K804&amp;"",PERIPHERAL!$B$3:$B$954&amp;"",PERIPHERAL!$I$3:$I$954,""),"Utilities",_xlfn.XLOOKUP($K804&amp;"",UTILITIES!$B$3:$B$953&amp;"",UTILITIES!$H$3:$H$953,""),"IOT",_xlfn.XLOOKUP($K804&amp;"",IOT!$B$3:$B$1012&amp;"",IOT!$I$3:$I$1012,""),"SERVER",_xlfn.XLOOKUP($K804&amp;"",SERVER!$B$3:$B$1009&amp;"",SERVER!$I$3:$I$1009,""),""))</f>
        <v/>
      </c>
      <c r="M804" t="str" cm="1">
        <f t="array" ref="M804">IF($K804="","",_xlfn.SWITCH($I804,"Computer",_xlfn.XLOOKUP($K804&amp;"",COMPUTER!$B$3:$B$1009&amp;"",COMPUTER!$J$3:$J$1009,""),"Display",_xlfn.XLOOKUP($K804&amp;"",DISPLAY!$B$3:$B$1000&amp;"",DISPLAY!$K$3:$K$1000,""),"Network Device",_xlfn.XLOOKUP($K804&amp;"",'NETWORK-DEVICES'!$B$3:$B$987&amp;"",'NETWORK-DEVICES'!$I$3:$I$987,""),"Peripheral",_xlfn.XLOOKUP($K804&amp;"",PERIPHERAL!$B$3:$B$954&amp;"",PERIPHERAL!$J$3:$J$954,""),"Utilities",_xlfn.XLOOKUP($K804&amp;"",UTILITIES!$B$3:$B$953&amp;"",UTILITIES!$I$3:$I$953,""),"IOT",_xlfn.XLOOKUP($K804&amp;"",IOT!$B$3:$B$1012&amp;"",IOT!$J$3:$J$1012,""),"Server",_xlfn.XLOOKUP($K804&amp;"",SERVER!$B$3:$B$1009&amp;"",SERVER!$J$3:$J$1009,""),""))</f>
        <v/>
      </c>
      <c r="N804" s="1" t="str" cm="1">
        <f t="array" ref="N804">IF(OR($K804="",$I804="",$J804=""),"",_xlfn.LET(_xlpm.srcCat,_xlfn.SWITCH($I804,"Computer",_xlfn.XLOOKUP($K804&amp;"",COMPUTER!$B$3:$B$1009&amp;"",COMPUTER!$H$3:$H$1009,""),"Display",_xlfn.XLOOKUP($K804&amp;"",DISPLAY!$B$3:$B$1000&amp;"",DISPLAY!$H$3:$H$1000,""),"Network Device",_xlfn.XLOOKUP($K804&amp;"",'NETWORK-DEVICES'!$B$3:$B$987&amp;"",'NETWORK-DEVICES'!$H$3:$H$987,""),"Peripheral",_xlfn.XLOOKUP($K804&amp;"",PERIPHERAL!$B$3:$B$954&amp;"",PERIPHERAL!$H$3:$H$954,""),"Utilities",_xlfn.XLOOKUP($K804&amp;"",UTILITIES!$B$3:$B$953&amp;"",UTILITIES!$G$3:$G$953,""),"IOT",_xlfn.XLOOKUP($K804&amp;"",IOT!$B$3:$B$1012&amp;"",IOT!$H$3:$H$1012,""),"Server",_xlfn.XLOOKUP($K804&amp;"",SERVER!$B$3:$B$1009&amp;"",SERVER!$H$3:$H$1009,""),""),IF(TRIM(_xlpm.srcCat)&lt;&gt;TRIM($J804),"",_xlfn.SWITCH($I804,"Computer",_xlfn.XLOOKUP($K804&amp;"",COMPUTER!$B$3:$B$1009&amp;"",COMPUTER!$K$3:$K$1009,""),"Display",_xlfn.XLOOKUP($K804&amp;"",DISPLAY!$B$3:$B$1000&amp;"",DISPLAY!$L$3:$L$1000,""),"Network Device",_xlfn.XLOOKUP($K804&amp;"",'NETWORK-DEVICES'!$B$3:$B$987&amp;"",'NETWORK-DEVICES'!$K$3:$K$987,""),"Peripheral",_xlfn.XLOOKUP($K804&amp;"",PERIPHERAL!$B$3:$B$954&amp;"",PERIPHERAL!$K$3:$K$954,""),"Utilities",_xlfn.XLOOKUP($K804&amp;"",UTILITIES!$B$3:$B$953&amp;"",UTILITIES!$J$3:$J$953,""),"IOT",_xlfn.XLOOKUP($K804&amp;"",IOT!$B$3:$B$1012&amp;"",IOT!$K$4:$K$1012,""),"Server",_xlfn.XLOOKUP($K804&amp;"",SERVER!$B$3:$B$1009&amp;"",SERVER!$K$3:$K$1009,""),""))))</f>
        <v/>
      </c>
      <c r="O804" s="1" t="str" cm="1">
        <f t="array" ref="O804">IF(OR($K804="",$I804="",$J804=""),"",_xlfn.LET(_xlpm.srcCat,_xlfn.SWITCH($I804,"Computer",_xlfn.XLOOKUP($K804&amp;"",COMPUTER!$B$3:$B$1009&amp;"",COMPUTER!$H$3:$H$1009,""),"Display",_xlfn.XLOOKUP($K804&amp;"",DISPLAY!$B$3:$B$1000&amp;"",DISPLAY!$H$3:$H$1000,""),"Network Device",_xlfn.XLOOKUP($K804&amp;"",'NETWORK-DEVICES'!$B$3:$B$987&amp;"",'NETWORK-DEVICES'!$H$3:$H$987,""),"Peripheral",_xlfn.XLOOKUP($K804&amp;"",PERIPHERAL!$B$3:$B$954&amp;"",PERIPHERAL!$H$3:$H$954,""),"Utilities",_xlfn.XLOOKUP($K804&amp;"",UTILITIES!$B$3:$B$953&amp;"",UTILITIES!$G$3:$G$953,""),"IOT",_xlfn.XLOOKUP($K804&amp;"",IOT!$B$3:$B$1012&amp;"",IOT!$H$3:$H$1012,""),"Server",_xlfn.XLOOKUP($K804&amp;"",SERVER!$B$3:$B$1009&amp;"",SERVER!$H$3:$H$1009,""),""),IF(TRIM(_xlpm.srcCat)&lt;&gt;TRIM($J804),"",_xlfn.SWITCH($I804,"Computer",_xlfn.XLOOKUP($K804&amp;"",COMPUTER!$B$3:$B$1009&amp;"",COMPUTER!$E$3:$E$1009,""),"Display",_xlfn.XLOOKUP($K804&amp;"",DISPLAY!$B$3:$B$1000&amp;"",DISPLAY!$E$3:$E$1000,""),"Network Device",_xlfn.XLOOKUP($K804&amp;"",'NETWORK-DEVICES'!$B$3:$B$987&amp;"",'NETWORK-DEVICES'!$E$3:$E$987,""),"Peripheral",_xlfn.XLOOKUP($K804&amp;"",PERIPHERAL!$B$3:$B$954&amp;"",PERIPHERAL!$E$3:$E$954,""),"Utilities",_xlfn.XLOOKUP($K804&amp;"",UTILITIES!$B$3:$B$953&amp;"",UTILITIES!$E$3:$E$953,""),"IOT",_xlfn.XLOOKUP($K804&amp;"",IOT!$B$3:$B$1012&amp;"",IOT!$E$3:$E$1012,""),"Server",_xlfn.XLOOKUP($K804&amp;"",SERVER!$B$3:$B$1009&amp;"",SERVER!$E$3:$E$1009,""),""))))</f>
        <v/>
      </c>
      <c r="Q804" s="1" t="str" cm="1">
        <f t="array" ref="Q804">IF(OR($K804="",$I804="",$J804=""),"",_xlfn.LET(_xlpm.srcCat,_xlfn.SWITCH($I804,"Computer",_xlfn.XLOOKUP($K804&amp;"",COMPUTER!$B$3:$B$1009&amp;"",COMPUTER!$H$3:$H$1009,""),"Display",_xlfn.XLOOKUP($K804&amp;"",DISPLAY!$B$3:$B$1000&amp;"",DISPLAY!$H$3:$H$1000,""),"Network Device",_xlfn.XLOOKUP($K804&amp;"",'NETWORK-DEVICES'!$B$3:$B$987&amp;"",'NETWORK-DEVICES'!$H$3:$H$987,""),"Peripheral",_xlfn.XLOOKUP($K804&amp;"",PERIPHERAL!$B$3:$B$954&amp;"",PERIPHERAL!$H$3:$H$954,""),"Utilities",_xlfn.XLOOKUP($K804&amp;"",UTILITIES!$B$3:$B$953&amp;"",UTILITIES!$G$3:$G$953,""),"IOT",_xlfn.XLOOKUP($K804&amp;"",IOT!$B$3:$B$1012&amp;"",IOT!$H$3:$H$1012,""),"Server",_xlfn.XLOOKUP($K804&amp;"",SERVER!$B$3:$B$1009&amp;"",SERVER!$H$3:$H$1009,""),""),IF(TRIM(_xlpm.srcCat)&lt;&gt;TRIM($J804),"",_xlfn.SWITCH($I804,"Computer",_xlfn.XLOOKUP($K804&amp;"",COMPUTER!$B$3:$B$1009&amp;"",COMPUTER!$AM$3:$AM$1009,""),"Display",_xlfn.XLOOKUP($K804&amp;"",DISPLAY!$B$3:$B$1000&amp;"",DISPLAY!$V$3:$V$1000,""),"Network Device",_xlfn.XLOOKUP($K804&amp;"",'NETWORK-DEVICES'!$B$3:$B$987&amp;"",'NETWORK-DEVICES'!$AF$3:$AF$987,""),"Peripheral",_xlfn.XLOOKUP($K804&amp;"",PERIPHERAL!$B$3:$B$954&amp;"",PERIPHERAL!$Y$3:$Y$954,""),"Utilities",_xlfn.XLOOKUP($K804&amp;"",UTILITIES!$B$3:$B$953&amp;"",UTILITIES!$O$3:$O$953,""),"IOT",_xlfn.XLOOKUP($K804&amp;"",IOT!$B$3:$B$1012&amp;"",IOT!$AB$3:$AB$1012,""),"Server",_xlfn.XLOOKUP($K804&amp;"",SERVER!$B$3:$B$1009&amp;"",SERVER!$AB$3:$AB$1009,""),""))))</f>
        <v/>
      </c>
      <c r="R804" s="43" t="str">
        <f>IF(tbl_handover[[#This Row],[Asset Code]]="","",COUNTIF(tbl_handover[Asset Code],tbl_handover[[#This Row],[Asset Code]]))</f>
        <v/>
      </c>
    </row>
    <row r="805" spans="1:18" x14ac:dyDescent="0.25">
      <c r="A805" s="43" t="str">
        <f>IF(B805&lt;&gt;"",SUBTOTAL(3,$B$1:B804),"")</f>
        <v/>
      </c>
      <c r="C805" s="74"/>
      <c r="D805" s="74"/>
      <c r="G805" s="1"/>
      <c r="K805" s="42"/>
      <c r="L805" t="str" cm="1">
        <f t="array" ref="L805">IF($K805="","",_xlfn.SWITCH($I805,"Computer",_xlfn.XLOOKUP($K805&amp;"",COMPUTER!$B$3:$B$1009&amp;"",COMPUTER!$I$3:$I$1009,""),"Display",_xlfn.XLOOKUP($K805&amp;"",DISPLAY!$B$3:$B$1000&amp;"",DISPLAY!$J$3:$J$1000,""),"Network Device",_xlfn.XLOOKUP($K805&amp;"",'NETWORK-DEVICES'!$B$3:$B$987&amp;"",'NETWORK-DEVICES'!$I$3:$I$987,""),"Peripheral",_xlfn.XLOOKUP($K805&amp;"",PERIPHERAL!$B$3:$B$954&amp;"",PERIPHERAL!$I$3:$I$954,""),"Utilities",_xlfn.XLOOKUP($K805&amp;"",UTILITIES!$B$3:$B$953&amp;"",UTILITIES!$H$3:$H$953,""),"IOT",_xlfn.XLOOKUP($K805&amp;"",IOT!$B$3:$B$1012&amp;"",IOT!$I$3:$I$1012,""),"SERVER",_xlfn.XLOOKUP($K805&amp;"",SERVER!$B$3:$B$1009&amp;"",SERVER!$I$3:$I$1009,""),""))</f>
        <v/>
      </c>
      <c r="M805" t="str" cm="1">
        <f t="array" ref="M805">IF($K805="","",_xlfn.SWITCH($I805,"Computer",_xlfn.XLOOKUP($K805&amp;"",COMPUTER!$B$3:$B$1009&amp;"",COMPUTER!$J$3:$J$1009,""),"Display",_xlfn.XLOOKUP($K805&amp;"",DISPLAY!$B$3:$B$1000&amp;"",DISPLAY!$K$3:$K$1000,""),"Network Device",_xlfn.XLOOKUP($K805&amp;"",'NETWORK-DEVICES'!$B$3:$B$987&amp;"",'NETWORK-DEVICES'!$I$3:$I$987,""),"Peripheral",_xlfn.XLOOKUP($K805&amp;"",PERIPHERAL!$B$3:$B$954&amp;"",PERIPHERAL!$J$3:$J$954,""),"Utilities",_xlfn.XLOOKUP($K805&amp;"",UTILITIES!$B$3:$B$953&amp;"",UTILITIES!$I$3:$I$953,""),"IOT",_xlfn.XLOOKUP($K805&amp;"",IOT!$B$3:$B$1012&amp;"",IOT!$J$3:$J$1012,""),"Server",_xlfn.XLOOKUP($K805&amp;"",SERVER!$B$3:$B$1009&amp;"",SERVER!$J$3:$J$1009,""),""))</f>
        <v/>
      </c>
      <c r="N805" s="1" t="str" cm="1">
        <f t="array" ref="N805">IF(OR($K805="",$I805="",$J805=""),"",_xlfn.LET(_xlpm.srcCat,_xlfn.SWITCH($I805,"Computer",_xlfn.XLOOKUP($K805&amp;"",COMPUTER!$B$3:$B$1009&amp;"",COMPUTER!$H$3:$H$1009,""),"Display",_xlfn.XLOOKUP($K805&amp;"",DISPLAY!$B$3:$B$1000&amp;"",DISPLAY!$H$3:$H$1000,""),"Network Device",_xlfn.XLOOKUP($K805&amp;"",'NETWORK-DEVICES'!$B$3:$B$987&amp;"",'NETWORK-DEVICES'!$H$3:$H$987,""),"Peripheral",_xlfn.XLOOKUP($K805&amp;"",PERIPHERAL!$B$3:$B$954&amp;"",PERIPHERAL!$H$3:$H$954,""),"Utilities",_xlfn.XLOOKUP($K805&amp;"",UTILITIES!$B$3:$B$953&amp;"",UTILITIES!$G$3:$G$953,""),"IOT",_xlfn.XLOOKUP($K805&amp;"",IOT!$B$3:$B$1012&amp;"",IOT!$H$3:$H$1012,""),"Server",_xlfn.XLOOKUP($K805&amp;"",SERVER!$B$3:$B$1009&amp;"",SERVER!$H$3:$H$1009,""),""),IF(TRIM(_xlpm.srcCat)&lt;&gt;TRIM($J805),"",_xlfn.SWITCH($I805,"Computer",_xlfn.XLOOKUP($K805&amp;"",COMPUTER!$B$3:$B$1009&amp;"",COMPUTER!$K$3:$K$1009,""),"Display",_xlfn.XLOOKUP($K805&amp;"",DISPLAY!$B$3:$B$1000&amp;"",DISPLAY!$L$3:$L$1000,""),"Network Device",_xlfn.XLOOKUP($K805&amp;"",'NETWORK-DEVICES'!$B$3:$B$987&amp;"",'NETWORK-DEVICES'!$K$3:$K$987,""),"Peripheral",_xlfn.XLOOKUP($K805&amp;"",PERIPHERAL!$B$3:$B$954&amp;"",PERIPHERAL!$K$3:$K$954,""),"Utilities",_xlfn.XLOOKUP($K805&amp;"",UTILITIES!$B$3:$B$953&amp;"",UTILITIES!$J$3:$J$953,""),"IOT",_xlfn.XLOOKUP($K805&amp;"",IOT!$B$3:$B$1012&amp;"",IOT!$K$4:$K$1012,""),"Server",_xlfn.XLOOKUP($K805&amp;"",SERVER!$B$3:$B$1009&amp;"",SERVER!$K$3:$K$1009,""),""))))</f>
        <v/>
      </c>
      <c r="O805" s="1" t="str" cm="1">
        <f t="array" ref="O805">IF(OR($K805="",$I805="",$J805=""),"",_xlfn.LET(_xlpm.srcCat,_xlfn.SWITCH($I805,"Computer",_xlfn.XLOOKUP($K805&amp;"",COMPUTER!$B$3:$B$1009&amp;"",COMPUTER!$H$3:$H$1009,""),"Display",_xlfn.XLOOKUP($K805&amp;"",DISPLAY!$B$3:$B$1000&amp;"",DISPLAY!$H$3:$H$1000,""),"Network Device",_xlfn.XLOOKUP($K805&amp;"",'NETWORK-DEVICES'!$B$3:$B$987&amp;"",'NETWORK-DEVICES'!$H$3:$H$987,""),"Peripheral",_xlfn.XLOOKUP($K805&amp;"",PERIPHERAL!$B$3:$B$954&amp;"",PERIPHERAL!$H$3:$H$954,""),"Utilities",_xlfn.XLOOKUP($K805&amp;"",UTILITIES!$B$3:$B$953&amp;"",UTILITIES!$G$3:$G$953,""),"IOT",_xlfn.XLOOKUP($K805&amp;"",IOT!$B$3:$B$1012&amp;"",IOT!$H$3:$H$1012,""),"Server",_xlfn.XLOOKUP($K805&amp;"",SERVER!$B$3:$B$1009&amp;"",SERVER!$H$3:$H$1009,""),""),IF(TRIM(_xlpm.srcCat)&lt;&gt;TRIM($J805),"",_xlfn.SWITCH($I805,"Computer",_xlfn.XLOOKUP($K805&amp;"",COMPUTER!$B$3:$B$1009&amp;"",COMPUTER!$E$3:$E$1009,""),"Display",_xlfn.XLOOKUP($K805&amp;"",DISPLAY!$B$3:$B$1000&amp;"",DISPLAY!$E$3:$E$1000,""),"Network Device",_xlfn.XLOOKUP($K805&amp;"",'NETWORK-DEVICES'!$B$3:$B$987&amp;"",'NETWORK-DEVICES'!$E$3:$E$987,""),"Peripheral",_xlfn.XLOOKUP($K805&amp;"",PERIPHERAL!$B$3:$B$954&amp;"",PERIPHERAL!$E$3:$E$954,""),"Utilities",_xlfn.XLOOKUP($K805&amp;"",UTILITIES!$B$3:$B$953&amp;"",UTILITIES!$E$3:$E$953,""),"IOT",_xlfn.XLOOKUP($K805&amp;"",IOT!$B$3:$B$1012&amp;"",IOT!$E$3:$E$1012,""),"Server",_xlfn.XLOOKUP($K805&amp;"",SERVER!$B$3:$B$1009&amp;"",SERVER!$E$3:$E$1009,""),""))))</f>
        <v/>
      </c>
      <c r="Q805" s="1" t="str" cm="1">
        <f t="array" ref="Q805">IF(OR($K805="",$I805="",$J805=""),"",_xlfn.LET(_xlpm.srcCat,_xlfn.SWITCH($I805,"Computer",_xlfn.XLOOKUP($K805&amp;"",COMPUTER!$B$3:$B$1009&amp;"",COMPUTER!$H$3:$H$1009,""),"Display",_xlfn.XLOOKUP($K805&amp;"",DISPLAY!$B$3:$B$1000&amp;"",DISPLAY!$H$3:$H$1000,""),"Network Device",_xlfn.XLOOKUP($K805&amp;"",'NETWORK-DEVICES'!$B$3:$B$987&amp;"",'NETWORK-DEVICES'!$H$3:$H$987,""),"Peripheral",_xlfn.XLOOKUP($K805&amp;"",PERIPHERAL!$B$3:$B$954&amp;"",PERIPHERAL!$H$3:$H$954,""),"Utilities",_xlfn.XLOOKUP($K805&amp;"",UTILITIES!$B$3:$B$953&amp;"",UTILITIES!$G$3:$G$953,""),"IOT",_xlfn.XLOOKUP($K805&amp;"",IOT!$B$3:$B$1012&amp;"",IOT!$H$3:$H$1012,""),"Server",_xlfn.XLOOKUP($K805&amp;"",SERVER!$B$3:$B$1009&amp;"",SERVER!$H$3:$H$1009,""),""),IF(TRIM(_xlpm.srcCat)&lt;&gt;TRIM($J805),"",_xlfn.SWITCH($I805,"Computer",_xlfn.XLOOKUP($K805&amp;"",COMPUTER!$B$3:$B$1009&amp;"",COMPUTER!$AM$3:$AM$1009,""),"Display",_xlfn.XLOOKUP($K805&amp;"",DISPLAY!$B$3:$B$1000&amp;"",DISPLAY!$V$3:$V$1000,""),"Network Device",_xlfn.XLOOKUP($K805&amp;"",'NETWORK-DEVICES'!$B$3:$B$987&amp;"",'NETWORK-DEVICES'!$AF$3:$AF$987,""),"Peripheral",_xlfn.XLOOKUP($K805&amp;"",PERIPHERAL!$B$3:$B$954&amp;"",PERIPHERAL!$Y$3:$Y$954,""),"Utilities",_xlfn.XLOOKUP($K805&amp;"",UTILITIES!$B$3:$B$953&amp;"",UTILITIES!$O$3:$O$953,""),"IOT",_xlfn.XLOOKUP($K805&amp;"",IOT!$B$3:$B$1012&amp;"",IOT!$AB$3:$AB$1012,""),"Server",_xlfn.XLOOKUP($K805&amp;"",SERVER!$B$3:$B$1009&amp;"",SERVER!$AB$3:$AB$1009,""),""))))</f>
        <v/>
      </c>
      <c r="R805" s="43" t="str">
        <f>IF(tbl_handover[[#This Row],[Asset Code]]="","",COUNTIF(tbl_handover[Asset Code],tbl_handover[[#This Row],[Asset Code]]))</f>
        <v/>
      </c>
    </row>
    <row r="806" spans="1:18" x14ac:dyDescent="0.25">
      <c r="A806" s="43" t="str">
        <f>IF(B806&lt;&gt;"",SUBTOTAL(3,$B$1:B805),"")</f>
        <v/>
      </c>
      <c r="C806" s="74"/>
      <c r="D806" s="74"/>
      <c r="G806" s="1"/>
      <c r="K806" s="42"/>
      <c r="L806" t="str" cm="1">
        <f t="array" ref="L806">IF($K806="","",_xlfn.SWITCH($I806,"Computer",_xlfn.XLOOKUP($K806&amp;"",COMPUTER!$B$3:$B$1009&amp;"",COMPUTER!$I$3:$I$1009,""),"Display",_xlfn.XLOOKUP($K806&amp;"",DISPLAY!$B$3:$B$1000&amp;"",DISPLAY!$J$3:$J$1000,""),"Network Device",_xlfn.XLOOKUP($K806&amp;"",'NETWORK-DEVICES'!$B$3:$B$987&amp;"",'NETWORK-DEVICES'!$I$3:$I$987,""),"Peripheral",_xlfn.XLOOKUP($K806&amp;"",PERIPHERAL!$B$3:$B$954&amp;"",PERIPHERAL!$I$3:$I$954,""),"Utilities",_xlfn.XLOOKUP($K806&amp;"",UTILITIES!$B$3:$B$953&amp;"",UTILITIES!$H$3:$H$953,""),"IOT",_xlfn.XLOOKUP($K806&amp;"",IOT!$B$3:$B$1012&amp;"",IOT!$I$3:$I$1012,""),"SERVER",_xlfn.XLOOKUP($K806&amp;"",SERVER!$B$3:$B$1009&amp;"",SERVER!$I$3:$I$1009,""),""))</f>
        <v/>
      </c>
      <c r="M806" t="str" cm="1">
        <f t="array" ref="M806">IF($K806="","",_xlfn.SWITCH($I806,"Computer",_xlfn.XLOOKUP($K806&amp;"",COMPUTER!$B$3:$B$1009&amp;"",COMPUTER!$J$3:$J$1009,""),"Display",_xlfn.XLOOKUP($K806&amp;"",DISPLAY!$B$3:$B$1000&amp;"",DISPLAY!$K$3:$K$1000,""),"Network Device",_xlfn.XLOOKUP($K806&amp;"",'NETWORK-DEVICES'!$B$3:$B$987&amp;"",'NETWORK-DEVICES'!$I$3:$I$987,""),"Peripheral",_xlfn.XLOOKUP($K806&amp;"",PERIPHERAL!$B$3:$B$954&amp;"",PERIPHERAL!$J$3:$J$954,""),"Utilities",_xlfn.XLOOKUP($K806&amp;"",UTILITIES!$B$3:$B$953&amp;"",UTILITIES!$I$3:$I$953,""),"IOT",_xlfn.XLOOKUP($K806&amp;"",IOT!$B$3:$B$1012&amp;"",IOT!$J$3:$J$1012,""),"Server",_xlfn.XLOOKUP($K806&amp;"",SERVER!$B$3:$B$1009&amp;"",SERVER!$J$3:$J$1009,""),""))</f>
        <v/>
      </c>
      <c r="N806" s="1" t="str" cm="1">
        <f t="array" ref="N806">IF(OR($K806="",$I806="",$J806=""),"",_xlfn.LET(_xlpm.srcCat,_xlfn.SWITCH($I806,"Computer",_xlfn.XLOOKUP($K806&amp;"",COMPUTER!$B$3:$B$1009&amp;"",COMPUTER!$H$3:$H$1009,""),"Display",_xlfn.XLOOKUP($K806&amp;"",DISPLAY!$B$3:$B$1000&amp;"",DISPLAY!$H$3:$H$1000,""),"Network Device",_xlfn.XLOOKUP($K806&amp;"",'NETWORK-DEVICES'!$B$3:$B$987&amp;"",'NETWORK-DEVICES'!$H$3:$H$987,""),"Peripheral",_xlfn.XLOOKUP($K806&amp;"",PERIPHERAL!$B$3:$B$954&amp;"",PERIPHERAL!$H$3:$H$954,""),"Utilities",_xlfn.XLOOKUP($K806&amp;"",UTILITIES!$B$3:$B$953&amp;"",UTILITIES!$G$3:$G$953,""),"IOT",_xlfn.XLOOKUP($K806&amp;"",IOT!$B$3:$B$1012&amp;"",IOT!$H$3:$H$1012,""),"Server",_xlfn.XLOOKUP($K806&amp;"",SERVER!$B$3:$B$1009&amp;"",SERVER!$H$3:$H$1009,""),""),IF(TRIM(_xlpm.srcCat)&lt;&gt;TRIM($J806),"",_xlfn.SWITCH($I806,"Computer",_xlfn.XLOOKUP($K806&amp;"",COMPUTER!$B$3:$B$1009&amp;"",COMPUTER!$K$3:$K$1009,""),"Display",_xlfn.XLOOKUP($K806&amp;"",DISPLAY!$B$3:$B$1000&amp;"",DISPLAY!$L$3:$L$1000,""),"Network Device",_xlfn.XLOOKUP($K806&amp;"",'NETWORK-DEVICES'!$B$3:$B$987&amp;"",'NETWORK-DEVICES'!$K$3:$K$987,""),"Peripheral",_xlfn.XLOOKUP($K806&amp;"",PERIPHERAL!$B$3:$B$954&amp;"",PERIPHERAL!$K$3:$K$954,""),"Utilities",_xlfn.XLOOKUP($K806&amp;"",UTILITIES!$B$3:$B$953&amp;"",UTILITIES!$J$3:$J$953,""),"IOT",_xlfn.XLOOKUP($K806&amp;"",IOT!$B$3:$B$1012&amp;"",IOT!$K$4:$K$1012,""),"Server",_xlfn.XLOOKUP($K806&amp;"",SERVER!$B$3:$B$1009&amp;"",SERVER!$K$3:$K$1009,""),""))))</f>
        <v/>
      </c>
      <c r="O806" s="1" t="str" cm="1">
        <f t="array" ref="O806">IF(OR($K806="",$I806="",$J806=""),"",_xlfn.LET(_xlpm.srcCat,_xlfn.SWITCH($I806,"Computer",_xlfn.XLOOKUP($K806&amp;"",COMPUTER!$B$3:$B$1009&amp;"",COMPUTER!$H$3:$H$1009,""),"Display",_xlfn.XLOOKUP($K806&amp;"",DISPLAY!$B$3:$B$1000&amp;"",DISPLAY!$H$3:$H$1000,""),"Network Device",_xlfn.XLOOKUP($K806&amp;"",'NETWORK-DEVICES'!$B$3:$B$987&amp;"",'NETWORK-DEVICES'!$H$3:$H$987,""),"Peripheral",_xlfn.XLOOKUP($K806&amp;"",PERIPHERAL!$B$3:$B$954&amp;"",PERIPHERAL!$H$3:$H$954,""),"Utilities",_xlfn.XLOOKUP($K806&amp;"",UTILITIES!$B$3:$B$953&amp;"",UTILITIES!$G$3:$G$953,""),"IOT",_xlfn.XLOOKUP($K806&amp;"",IOT!$B$3:$B$1012&amp;"",IOT!$H$3:$H$1012,""),"Server",_xlfn.XLOOKUP($K806&amp;"",SERVER!$B$3:$B$1009&amp;"",SERVER!$H$3:$H$1009,""),""),IF(TRIM(_xlpm.srcCat)&lt;&gt;TRIM($J806),"",_xlfn.SWITCH($I806,"Computer",_xlfn.XLOOKUP($K806&amp;"",COMPUTER!$B$3:$B$1009&amp;"",COMPUTER!$E$3:$E$1009,""),"Display",_xlfn.XLOOKUP($K806&amp;"",DISPLAY!$B$3:$B$1000&amp;"",DISPLAY!$E$3:$E$1000,""),"Network Device",_xlfn.XLOOKUP($K806&amp;"",'NETWORK-DEVICES'!$B$3:$B$987&amp;"",'NETWORK-DEVICES'!$E$3:$E$987,""),"Peripheral",_xlfn.XLOOKUP($K806&amp;"",PERIPHERAL!$B$3:$B$954&amp;"",PERIPHERAL!$E$3:$E$954,""),"Utilities",_xlfn.XLOOKUP($K806&amp;"",UTILITIES!$B$3:$B$953&amp;"",UTILITIES!$E$3:$E$953,""),"IOT",_xlfn.XLOOKUP($K806&amp;"",IOT!$B$3:$B$1012&amp;"",IOT!$E$3:$E$1012,""),"Server",_xlfn.XLOOKUP($K806&amp;"",SERVER!$B$3:$B$1009&amp;"",SERVER!$E$3:$E$1009,""),""))))</f>
        <v/>
      </c>
      <c r="Q806" s="1" t="str" cm="1">
        <f t="array" ref="Q806">IF(OR($K806="",$I806="",$J806=""),"",_xlfn.LET(_xlpm.srcCat,_xlfn.SWITCH($I806,"Computer",_xlfn.XLOOKUP($K806&amp;"",COMPUTER!$B$3:$B$1009&amp;"",COMPUTER!$H$3:$H$1009,""),"Display",_xlfn.XLOOKUP($K806&amp;"",DISPLAY!$B$3:$B$1000&amp;"",DISPLAY!$H$3:$H$1000,""),"Network Device",_xlfn.XLOOKUP($K806&amp;"",'NETWORK-DEVICES'!$B$3:$B$987&amp;"",'NETWORK-DEVICES'!$H$3:$H$987,""),"Peripheral",_xlfn.XLOOKUP($K806&amp;"",PERIPHERAL!$B$3:$B$954&amp;"",PERIPHERAL!$H$3:$H$954,""),"Utilities",_xlfn.XLOOKUP($K806&amp;"",UTILITIES!$B$3:$B$953&amp;"",UTILITIES!$G$3:$G$953,""),"IOT",_xlfn.XLOOKUP($K806&amp;"",IOT!$B$3:$B$1012&amp;"",IOT!$H$3:$H$1012,""),"Server",_xlfn.XLOOKUP($K806&amp;"",SERVER!$B$3:$B$1009&amp;"",SERVER!$H$3:$H$1009,""),""),IF(TRIM(_xlpm.srcCat)&lt;&gt;TRIM($J806),"",_xlfn.SWITCH($I806,"Computer",_xlfn.XLOOKUP($K806&amp;"",COMPUTER!$B$3:$B$1009&amp;"",COMPUTER!$AM$3:$AM$1009,""),"Display",_xlfn.XLOOKUP($K806&amp;"",DISPLAY!$B$3:$B$1000&amp;"",DISPLAY!$V$3:$V$1000,""),"Network Device",_xlfn.XLOOKUP($K806&amp;"",'NETWORK-DEVICES'!$B$3:$B$987&amp;"",'NETWORK-DEVICES'!$AF$3:$AF$987,""),"Peripheral",_xlfn.XLOOKUP($K806&amp;"",PERIPHERAL!$B$3:$B$954&amp;"",PERIPHERAL!$Y$3:$Y$954,""),"Utilities",_xlfn.XLOOKUP($K806&amp;"",UTILITIES!$B$3:$B$953&amp;"",UTILITIES!$O$3:$O$953,""),"IOT",_xlfn.XLOOKUP($K806&amp;"",IOT!$B$3:$B$1012&amp;"",IOT!$AB$3:$AB$1012,""),"Server",_xlfn.XLOOKUP($K806&amp;"",SERVER!$B$3:$B$1009&amp;"",SERVER!$AB$3:$AB$1009,""),""))))</f>
        <v/>
      </c>
      <c r="R806" s="43" t="str">
        <f>IF(tbl_handover[[#This Row],[Asset Code]]="","",COUNTIF(tbl_handover[Asset Code],tbl_handover[[#This Row],[Asset Code]]))</f>
        <v/>
      </c>
    </row>
    <row r="807" spans="1:18" x14ac:dyDescent="0.25">
      <c r="A807" s="43" t="str">
        <f>IF(B807&lt;&gt;"",SUBTOTAL(3,$B$1:B806),"")</f>
        <v/>
      </c>
      <c r="C807" s="74"/>
      <c r="D807" s="74"/>
      <c r="G807" s="1"/>
      <c r="K807" s="42"/>
      <c r="L807" t="str" cm="1">
        <f t="array" ref="L807">IF($K807="","",_xlfn.SWITCH($I807,"Computer",_xlfn.XLOOKUP($K807&amp;"",COMPUTER!$B$3:$B$1009&amp;"",COMPUTER!$I$3:$I$1009,""),"Display",_xlfn.XLOOKUP($K807&amp;"",DISPLAY!$B$3:$B$1000&amp;"",DISPLAY!$J$3:$J$1000,""),"Network Device",_xlfn.XLOOKUP($K807&amp;"",'NETWORK-DEVICES'!$B$3:$B$987&amp;"",'NETWORK-DEVICES'!$I$3:$I$987,""),"Peripheral",_xlfn.XLOOKUP($K807&amp;"",PERIPHERAL!$B$3:$B$954&amp;"",PERIPHERAL!$I$3:$I$954,""),"Utilities",_xlfn.XLOOKUP($K807&amp;"",UTILITIES!$B$3:$B$953&amp;"",UTILITIES!$H$3:$H$953,""),"IOT",_xlfn.XLOOKUP($K807&amp;"",IOT!$B$3:$B$1012&amp;"",IOT!$I$3:$I$1012,""),"SERVER",_xlfn.XLOOKUP($K807&amp;"",SERVER!$B$3:$B$1009&amp;"",SERVER!$I$3:$I$1009,""),""))</f>
        <v/>
      </c>
      <c r="M807" t="str" cm="1">
        <f t="array" ref="M807">IF($K807="","",_xlfn.SWITCH($I807,"Computer",_xlfn.XLOOKUP($K807&amp;"",COMPUTER!$B$3:$B$1009&amp;"",COMPUTER!$J$3:$J$1009,""),"Display",_xlfn.XLOOKUP($K807&amp;"",DISPLAY!$B$3:$B$1000&amp;"",DISPLAY!$K$3:$K$1000,""),"Network Device",_xlfn.XLOOKUP($K807&amp;"",'NETWORK-DEVICES'!$B$3:$B$987&amp;"",'NETWORK-DEVICES'!$I$3:$I$987,""),"Peripheral",_xlfn.XLOOKUP($K807&amp;"",PERIPHERAL!$B$3:$B$954&amp;"",PERIPHERAL!$J$3:$J$954,""),"Utilities",_xlfn.XLOOKUP($K807&amp;"",UTILITIES!$B$3:$B$953&amp;"",UTILITIES!$I$3:$I$953,""),"IOT",_xlfn.XLOOKUP($K807&amp;"",IOT!$B$3:$B$1012&amp;"",IOT!$J$3:$J$1012,""),"Server",_xlfn.XLOOKUP($K807&amp;"",SERVER!$B$3:$B$1009&amp;"",SERVER!$J$3:$J$1009,""),""))</f>
        <v/>
      </c>
      <c r="N807" s="1" t="str" cm="1">
        <f t="array" ref="N807">IF(OR($K807="",$I807="",$J807=""),"",_xlfn.LET(_xlpm.srcCat,_xlfn.SWITCH($I807,"Computer",_xlfn.XLOOKUP($K807&amp;"",COMPUTER!$B$3:$B$1009&amp;"",COMPUTER!$H$3:$H$1009,""),"Display",_xlfn.XLOOKUP($K807&amp;"",DISPLAY!$B$3:$B$1000&amp;"",DISPLAY!$H$3:$H$1000,""),"Network Device",_xlfn.XLOOKUP($K807&amp;"",'NETWORK-DEVICES'!$B$3:$B$987&amp;"",'NETWORK-DEVICES'!$H$3:$H$987,""),"Peripheral",_xlfn.XLOOKUP($K807&amp;"",PERIPHERAL!$B$3:$B$954&amp;"",PERIPHERAL!$H$3:$H$954,""),"Utilities",_xlfn.XLOOKUP($K807&amp;"",UTILITIES!$B$3:$B$953&amp;"",UTILITIES!$G$3:$G$953,""),"IOT",_xlfn.XLOOKUP($K807&amp;"",IOT!$B$3:$B$1012&amp;"",IOT!$H$3:$H$1012,""),"Server",_xlfn.XLOOKUP($K807&amp;"",SERVER!$B$3:$B$1009&amp;"",SERVER!$H$3:$H$1009,""),""),IF(TRIM(_xlpm.srcCat)&lt;&gt;TRIM($J807),"",_xlfn.SWITCH($I807,"Computer",_xlfn.XLOOKUP($K807&amp;"",COMPUTER!$B$3:$B$1009&amp;"",COMPUTER!$K$3:$K$1009,""),"Display",_xlfn.XLOOKUP($K807&amp;"",DISPLAY!$B$3:$B$1000&amp;"",DISPLAY!$L$3:$L$1000,""),"Network Device",_xlfn.XLOOKUP($K807&amp;"",'NETWORK-DEVICES'!$B$3:$B$987&amp;"",'NETWORK-DEVICES'!$K$3:$K$987,""),"Peripheral",_xlfn.XLOOKUP($K807&amp;"",PERIPHERAL!$B$3:$B$954&amp;"",PERIPHERAL!$K$3:$K$954,""),"Utilities",_xlfn.XLOOKUP($K807&amp;"",UTILITIES!$B$3:$B$953&amp;"",UTILITIES!$J$3:$J$953,""),"IOT",_xlfn.XLOOKUP($K807&amp;"",IOT!$B$3:$B$1012&amp;"",IOT!$K$4:$K$1012,""),"Server",_xlfn.XLOOKUP($K807&amp;"",SERVER!$B$3:$B$1009&amp;"",SERVER!$K$3:$K$1009,""),""))))</f>
        <v/>
      </c>
      <c r="O807" s="1" t="str" cm="1">
        <f t="array" ref="O807">IF(OR($K807="",$I807="",$J807=""),"",_xlfn.LET(_xlpm.srcCat,_xlfn.SWITCH($I807,"Computer",_xlfn.XLOOKUP($K807&amp;"",COMPUTER!$B$3:$B$1009&amp;"",COMPUTER!$H$3:$H$1009,""),"Display",_xlfn.XLOOKUP($K807&amp;"",DISPLAY!$B$3:$B$1000&amp;"",DISPLAY!$H$3:$H$1000,""),"Network Device",_xlfn.XLOOKUP($K807&amp;"",'NETWORK-DEVICES'!$B$3:$B$987&amp;"",'NETWORK-DEVICES'!$H$3:$H$987,""),"Peripheral",_xlfn.XLOOKUP($K807&amp;"",PERIPHERAL!$B$3:$B$954&amp;"",PERIPHERAL!$H$3:$H$954,""),"Utilities",_xlfn.XLOOKUP($K807&amp;"",UTILITIES!$B$3:$B$953&amp;"",UTILITIES!$G$3:$G$953,""),"IOT",_xlfn.XLOOKUP($K807&amp;"",IOT!$B$3:$B$1012&amp;"",IOT!$H$3:$H$1012,""),"Server",_xlfn.XLOOKUP($K807&amp;"",SERVER!$B$3:$B$1009&amp;"",SERVER!$H$3:$H$1009,""),""),IF(TRIM(_xlpm.srcCat)&lt;&gt;TRIM($J807),"",_xlfn.SWITCH($I807,"Computer",_xlfn.XLOOKUP($K807&amp;"",COMPUTER!$B$3:$B$1009&amp;"",COMPUTER!$E$3:$E$1009,""),"Display",_xlfn.XLOOKUP($K807&amp;"",DISPLAY!$B$3:$B$1000&amp;"",DISPLAY!$E$3:$E$1000,""),"Network Device",_xlfn.XLOOKUP($K807&amp;"",'NETWORK-DEVICES'!$B$3:$B$987&amp;"",'NETWORK-DEVICES'!$E$3:$E$987,""),"Peripheral",_xlfn.XLOOKUP($K807&amp;"",PERIPHERAL!$B$3:$B$954&amp;"",PERIPHERAL!$E$3:$E$954,""),"Utilities",_xlfn.XLOOKUP($K807&amp;"",UTILITIES!$B$3:$B$953&amp;"",UTILITIES!$E$3:$E$953,""),"IOT",_xlfn.XLOOKUP($K807&amp;"",IOT!$B$3:$B$1012&amp;"",IOT!$E$3:$E$1012,""),"Server",_xlfn.XLOOKUP($K807&amp;"",SERVER!$B$3:$B$1009&amp;"",SERVER!$E$3:$E$1009,""),""))))</f>
        <v/>
      </c>
      <c r="Q807" s="1" t="str" cm="1">
        <f t="array" ref="Q807">IF(OR($K807="",$I807="",$J807=""),"",_xlfn.LET(_xlpm.srcCat,_xlfn.SWITCH($I807,"Computer",_xlfn.XLOOKUP($K807&amp;"",COMPUTER!$B$3:$B$1009&amp;"",COMPUTER!$H$3:$H$1009,""),"Display",_xlfn.XLOOKUP($K807&amp;"",DISPLAY!$B$3:$B$1000&amp;"",DISPLAY!$H$3:$H$1000,""),"Network Device",_xlfn.XLOOKUP($K807&amp;"",'NETWORK-DEVICES'!$B$3:$B$987&amp;"",'NETWORK-DEVICES'!$H$3:$H$987,""),"Peripheral",_xlfn.XLOOKUP($K807&amp;"",PERIPHERAL!$B$3:$B$954&amp;"",PERIPHERAL!$H$3:$H$954,""),"Utilities",_xlfn.XLOOKUP($K807&amp;"",UTILITIES!$B$3:$B$953&amp;"",UTILITIES!$G$3:$G$953,""),"IOT",_xlfn.XLOOKUP($K807&amp;"",IOT!$B$3:$B$1012&amp;"",IOT!$H$3:$H$1012,""),"Server",_xlfn.XLOOKUP($K807&amp;"",SERVER!$B$3:$B$1009&amp;"",SERVER!$H$3:$H$1009,""),""),IF(TRIM(_xlpm.srcCat)&lt;&gt;TRIM($J807),"",_xlfn.SWITCH($I807,"Computer",_xlfn.XLOOKUP($K807&amp;"",COMPUTER!$B$3:$B$1009&amp;"",COMPUTER!$AM$3:$AM$1009,""),"Display",_xlfn.XLOOKUP($K807&amp;"",DISPLAY!$B$3:$B$1000&amp;"",DISPLAY!$V$3:$V$1000,""),"Network Device",_xlfn.XLOOKUP($K807&amp;"",'NETWORK-DEVICES'!$B$3:$B$987&amp;"",'NETWORK-DEVICES'!$AF$3:$AF$987,""),"Peripheral",_xlfn.XLOOKUP($K807&amp;"",PERIPHERAL!$B$3:$B$954&amp;"",PERIPHERAL!$Y$3:$Y$954,""),"Utilities",_xlfn.XLOOKUP($K807&amp;"",UTILITIES!$B$3:$B$953&amp;"",UTILITIES!$O$3:$O$953,""),"IOT",_xlfn.XLOOKUP($K807&amp;"",IOT!$B$3:$B$1012&amp;"",IOT!$AB$3:$AB$1012,""),"Server",_xlfn.XLOOKUP($K807&amp;"",SERVER!$B$3:$B$1009&amp;"",SERVER!$AB$3:$AB$1009,""),""))))</f>
        <v/>
      </c>
      <c r="R807" s="43" t="str">
        <f>IF(tbl_handover[[#This Row],[Asset Code]]="","",COUNTIF(tbl_handover[Asset Code],tbl_handover[[#This Row],[Asset Code]]))</f>
        <v/>
      </c>
    </row>
    <row r="808" spans="1:18" x14ac:dyDescent="0.25">
      <c r="A808" s="43" t="str">
        <f>IF(B808&lt;&gt;"",SUBTOTAL(3,$B$1:B807),"")</f>
        <v/>
      </c>
      <c r="C808" s="74"/>
      <c r="D808" s="74"/>
      <c r="G808" s="1"/>
      <c r="K808" s="42"/>
      <c r="L808" t="str" cm="1">
        <f t="array" ref="L808">IF($K808="","",_xlfn.SWITCH($I808,"Computer",_xlfn.XLOOKUP($K808&amp;"",COMPUTER!$B$3:$B$1009&amp;"",COMPUTER!$I$3:$I$1009,""),"Display",_xlfn.XLOOKUP($K808&amp;"",DISPLAY!$B$3:$B$1000&amp;"",DISPLAY!$J$3:$J$1000,""),"Network Device",_xlfn.XLOOKUP($K808&amp;"",'NETWORK-DEVICES'!$B$3:$B$987&amp;"",'NETWORK-DEVICES'!$I$3:$I$987,""),"Peripheral",_xlfn.XLOOKUP($K808&amp;"",PERIPHERAL!$B$3:$B$954&amp;"",PERIPHERAL!$I$3:$I$954,""),"Utilities",_xlfn.XLOOKUP($K808&amp;"",UTILITIES!$B$3:$B$953&amp;"",UTILITIES!$H$3:$H$953,""),"IOT",_xlfn.XLOOKUP($K808&amp;"",IOT!$B$3:$B$1012&amp;"",IOT!$I$3:$I$1012,""),"SERVER",_xlfn.XLOOKUP($K808&amp;"",SERVER!$B$3:$B$1009&amp;"",SERVER!$I$3:$I$1009,""),""))</f>
        <v/>
      </c>
      <c r="M808" t="str" cm="1">
        <f t="array" ref="M808">IF($K808="","",_xlfn.SWITCH($I808,"Computer",_xlfn.XLOOKUP($K808&amp;"",COMPUTER!$B$3:$B$1009&amp;"",COMPUTER!$J$3:$J$1009,""),"Display",_xlfn.XLOOKUP($K808&amp;"",DISPLAY!$B$3:$B$1000&amp;"",DISPLAY!$K$3:$K$1000,""),"Network Device",_xlfn.XLOOKUP($K808&amp;"",'NETWORK-DEVICES'!$B$3:$B$987&amp;"",'NETWORK-DEVICES'!$I$3:$I$987,""),"Peripheral",_xlfn.XLOOKUP($K808&amp;"",PERIPHERAL!$B$3:$B$954&amp;"",PERIPHERAL!$J$3:$J$954,""),"Utilities",_xlfn.XLOOKUP($K808&amp;"",UTILITIES!$B$3:$B$953&amp;"",UTILITIES!$I$3:$I$953,""),"IOT",_xlfn.XLOOKUP($K808&amp;"",IOT!$B$3:$B$1012&amp;"",IOT!$J$3:$J$1012,""),"Server",_xlfn.XLOOKUP($K808&amp;"",SERVER!$B$3:$B$1009&amp;"",SERVER!$J$3:$J$1009,""),""))</f>
        <v/>
      </c>
      <c r="N808" s="1" t="str" cm="1">
        <f t="array" ref="N808">IF(OR($K808="",$I808="",$J808=""),"",_xlfn.LET(_xlpm.srcCat,_xlfn.SWITCH($I808,"Computer",_xlfn.XLOOKUP($K808&amp;"",COMPUTER!$B$3:$B$1009&amp;"",COMPUTER!$H$3:$H$1009,""),"Display",_xlfn.XLOOKUP($K808&amp;"",DISPLAY!$B$3:$B$1000&amp;"",DISPLAY!$H$3:$H$1000,""),"Network Device",_xlfn.XLOOKUP($K808&amp;"",'NETWORK-DEVICES'!$B$3:$B$987&amp;"",'NETWORK-DEVICES'!$H$3:$H$987,""),"Peripheral",_xlfn.XLOOKUP($K808&amp;"",PERIPHERAL!$B$3:$B$954&amp;"",PERIPHERAL!$H$3:$H$954,""),"Utilities",_xlfn.XLOOKUP($K808&amp;"",UTILITIES!$B$3:$B$953&amp;"",UTILITIES!$G$3:$G$953,""),"IOT",_xlfn.XLOOKUP($K808&amp;"",IOT!$B$3:$B$1012&amp;"",IOT!$H$3:$H$1012,""),"Server",_xlfn.XLOOKUP($K808&amp;"",SERVER!$B$3:$B$1009&amp;"",SERVER!$H$3:$H$1009,""),""),IF(TRIM(_xlpm.srcCat)&lt;&gt;TRIM($J808),"",_xlfn.SWITCH($I808,"Computer",_xlfn.XLOOKUP($K808&amp;"",COMPUTER!$B$3:$B$1009&amp;"",COMPUTER!$K$3:$K$1009,""),"Display",_xlfn.XLOOKUP($K808&amp;"",DISPLAY!$B$3:$B$1000&amp;"",DISPLAY!$L$3:$L$1000,""),"Network Device",_xlfn.XLOOKUP($K808&amp;"",'NETWORK-DEVICES'!$B$3:$B$987&amp;"",'NETWORK-DEVICES'!$K$3:$K$987,""),"Peripheral",_xlfn.XLOOKUP($K808&amp;"",PERIPHERAL!$B$3:$B$954&amp;"",PERIPHERAL!$K$3:$K$954,""),"Utilities",_xlfn.XLOOKUP($K808&amp;"",UTILITIES!$B$3:$B$953&amp;"",UTILITIES!$J$3:$J$953,""),"IOT",_xlfn.XLOOKUP($K808&amp;"",IOT!$B$3:$B$1012&amp;"",IOT!$K$4:$K$1012,""),"Server",_xlfn.XLOOKUP($K808&amp;"",SERVER!$B$3:$B$1009&amp;"",SERVER!$K$3:$K$1009,""),""))))</f>
        <v/>
      </c>
      <c r="O808" s="1" t="str" cm="1">
        <f t="array" ref="O808">IF(OR($K808="",$I808="",$J808=""),"",_xlfn.LET(_xlpm.srcCat,_xlfn.SWITCH($I808,"Computer",_xlfn.XLOOKUP($K808&amp;"",COMPUTER!$B$3:$B$1009&amp;"",COMPUTER!$H$3:$H$1009,""),"Display",_xlfn.XLOOKUP($K808&amp;"",DISPLAY!$B$3:$B$1000&amp;"",DISPLAY!$H$3:$H$1000,""),"Network Device",_xlfn.XLOOKUP($K808&amp;"",'NETWORK-DEVICES'!$B$3:$B$987&amp;"",'NETWORK-DEVICES'!$H$3:$H$987,""),"Peripheral",_xlfn.XLOOKUP($K808&amp;"",PERIPHERAL!$B$3:$B$954&amp;"",PERIPHERAL!$H$3:$H$954,""),"Utilities",_xlfn.XLOOKUP($K808&amp;"",UTILITIES!$B$3:$B$953&amp;"",UTILITIES!$G$3:$G$953,""),"IOT",_xlfn.XLOOKUP($K808&amp;"",IOT!$B$3:$B$1012&amp;"",IOT!$H$3:$H$1012,""),"Server",_xlfn.XLOOKUP($K808&amp;"",SERVER!$B$3:$B$1009&amp;"",SERVER!$H$3:$H$1009,""),""),IF(TRIM(_xlpm.srcCat)&lt;&gt;TRIM($J808),"",_xlfn.SWITCH($I808,"Computer",_xlfn.XLOOKUP($K808&amp;"",COMPUTER!$B$3:$B$1009&amp;"",COMPUTER!$E$3:$E$1009,""),"Display",_xlfn.XLOOKUP($K808&amp;"",DISPLAY!$B$3:$B$1000&amp;"",DISPLAY!$E$3:$E$1000,""),"Network Device",_xlfn.XLOOKUP($K808&amp;"",'NETWORK-DEVICES'!$B$3:$B$987&amp;"",'NETWORK-DEVICES'!$E$3:$E$987,""),"Peripheral",_xlfn.XLOOKUP($K808&amp;"",PERIPHERAL!$B$3:$B$954&amp;"",PERIPHERAL!$E$3:$E$954,""),"Utilities",_xlfn.XLOOKUP($K808&amp;"",UTILITIES!$B$3:$B$953&amp;"",UTILITIES!$E$3:$E$953,""),"IOT",_xlfn.XLOOKUP($K808&amp;"",IOT!$B$3:$B$1012&amp;"",IOT!$E$3:$E$1012,""),"Server",_xlfn.XLOOKUP($K808&amp;"",SERVER!$B$3:$B$1009&amp;"",SERVER!$E$3:$E$1009,""),""))))</f>
        <v/>
      </c>
      <c r="Q808" s="1" t="str" cm="1">
        <f t="array" ref="Q808">IF(OR($K808="",$I808="",$J808=""),"",_xlfn.LET(_xlpm.srcCat,_xlfn.SWITCH($I808,"Computer",_xlfn.XLOOKUP($K808&amp;"",COMPUTER!$B$3:$B$1009&amp;"",COMPUTER!$H$3:$H$1009,""),"Display",_xlfn.XLOOKUP($K808&amp;"",DISPLAY!$B$3:$B$1000&amp;"",DISPLAY!$H$3:$H$1000,""),"Network Device",_xlfn.XLOOKUP($K808&amp;"",'NETWORK-DEVICES'!$B$3:$B$987&amp;"",'NETWORK-DEVICES'!$H$3:$H$987,""),"Peripheral",_xlfn.XLOOKUP($K808&amp;"",PERIPHERAL!$B$3:$B$954&amp;"",PERIPHERAL!$H$3:$H$954,""),"Utilities",_xlfn.XLOOKUP($K808&amp;"",UTILITIES!$B$3:$B$953&amp;"",UTILITIES!$G$3:$G$953,""),"IOT",_xlfn.XLOOKUP($K808&amp;"",IOT!$B$3:$B$1012&amp;"",IOT!$H$3:$H$1012,""),"Server",_xlfn.XLOOKUP($K808&amp;"",SERVER!$B$3:$B$1009&amp;"",SERVER!$H$3:$H$1009,""),""),IF(TRIM(_xlpm.srcCat)&lt;&gt;TRIM($J808),"",_xlfn.SWITCH($I808,"Computer",_xlfn.XLOOKUP($K808&amp;"",COMPUTER!$B$3:$B$1009&amp;"",COMPUTER!$AM$3:$AM$1009,""),"Display",_xlfn.XLOOKUP($K808&amp;"",DISPLAY!$B$3:$B$1000&amp;"",DISPLAY!$V$3:$V$1000,""),"Network Device",_xlfn.XLOOKUP($K808&amp;"",'NETWORK-DEVICES'!$B$3:$B$987&amp;"",'NETWORK-DEVICES'!$AF$3:$AF$987,""),"Peripheral",_xlfn.XLOOKUP($K808&amp;"",PERIPHERAL!$B$3:$B$954&amp;"",PERIPHERAL!$Y$3:$Y$954,""),"Utilities",_xlfn.XLOOKUP($K808&amp;"",UTILITIES!$B$3:$B$953&amp;"",UTILITIES!$O$3:$O$953,""),"IOT",_xlfn.XLOOKUP($K808&amp;"",IOT!$B$3:$B$1012&amp;"",IOT!$AB$3:$AB$1012,""),"Server",_xlfn.XLOOKUP($K808&amp;"",SERVER!$B$3:$B$1009&amp;"",SERVER!$AB$3:$AB$1009,""),""))))</f>
        <v/>
      </c>
      <c r="R808" s="43" t="str">
        <f>IF(tbl_handover[[#This Row],[Asset Code]]="","",COUNTIF(tbl_handover[Asset Code],tbl_handover[[#This Row],[Asset Code]]))</f>
        <v/>
      </c>
    </row>
    <row r="809" spans="1:18" x14ac:dyDescent="0.25">
      <c r="A809" s="43" t="str">
        <f>IF(B809&lt;&gt;"",SUBTOTAL(3,$B$1:B808),"")</f>
        <v/>
      </c>
      <c r="C809" s="74"/>
      <c r="D809" s="74"/>
      <c r="G809" s="1"/>
      <c r="K809" s="42"/>
      <c r="L809" t="str" cm="1">
        <f t="array" ref="L809">IF($K809="","",_xlfn.SWITCH($I809,"Computer",_xlfn.XLOOKUP($K809&amp;"",COMPUTER!$B$3:$B$1009&amp;"",COMPUTER!$I$3:$I$1009,""),"Display",_xlfn.XLOOKUP($K809&amp;"",DISPLAY!$B$3:$B$1000&amp;"",DISPLAY!$J$3:$J$1000,""),"Network Device",_xlfn.XLOOKUP($K809&amp;"",'NETWORK-DEVICES'!$B$3:$B$987&amp;"",'NETWORK-DEVICES'!$I$3:$I$987,""),"Peripheral",_xlfn.XLOOKUP($K809&amp;"",PERIPHERAL!$B$3:$B$954&amp;"",PERIPHERAL!$I$3:$I$954,""),"Utilities",_xlfn.XLOOKUP($K809&amp;"",UTILITIES!$B$3:$B$953&amp;"",UTILITIES!$H$3:$H$953,""),"IOT",_xlfn.XLOOKUP($K809&amp;"",IOT!$B$3:$B$1012&amp;"",IOT!$I$3:$I$1012,""),"SERVER",_xlfn.XLOOKUP($K809&amp;"",SERVER!$B$3:$B$1009&amp;"",SERVER!$I$3:$I$1009,""),""))</f>
        <v/>
      </c>
      <c r="M809" t="str" cm="1">
        <f t="array" ref="M809">IF($K809="","",_xlfn.SWITCH($I809,"Computer",_xlfn.XLOOKUP($K809&amp;"",COMPUTER!$B$3:$B$1009&amp;"",COMPUTER!$J$3:$J$1009,""),"Display",_xlfn.XLOOKUP($K809&amp;"",DISPLAY!$B$3:$B$1000&amp;"",DISPLAY!$K$3:$K$1000,""),"Network Device",_xlfn.XLOOKUP($K809&amp;"",'NETWORK-DEVICES'!$B$3:$B$987&amp;"",'NETWORK-DEVICES'!$I$3:$I$987,""),"Peripheral",_xlfn.XLOOKUP($K809&amp;"",PERIPHERAL!$B$3:$B$954&amp;"",PERIPHERAL!$J$3:$J$954,""),"Utilities",_xlfn.XLOOKUP($K809&amp;"",UTILITIES!$B$3:$B$953&amp;"",UTILITIES!$I$3:$I$953,""),"IOT",_xlfn.XLOOKUP($K809&amp;"",IOT!$B$3:$B$1012&amp;"",IOT!$J$3:$J$1012,""),"Server",_xlfn.XLOOKUP($K809&amp;"",SERVER!$B$3:$B$1009&amp;"",SERVER!$J$3:$J$1009,""),""))</f>
        <v/>
      </c>
      <c r="N809" s="1" t="str" cm="1">
        <f t="array" ref="N809">IF(OR($K809="",$I809="",$J809=""),"",_xlfn.LET(_xlpm.srcCat,_xlfn.SWITCH($I809,"Computer",_xlfn.XLOOKUP($K809&amp;"",COMPUTER!$B$3:$B$1009&amp;"",COMPUTER!$H$3:$H$1009,""),"Display",_xlfn.XLOOKUP($K809&amp;"",DISPLAY!$B$3:$B$1000&amp;"",DISPLAY!$H$3:$H$1000,""),"Network Device",_xlfn.XLOOKUP($K809&amp;"",'NETWORK-DEVICES'!$B$3:$B$987&amp;"",'NETWORK-DEVICES'!$H$3:$H$987,""),"Peripheral",_xlfn.XLOOKUP($K809&amp;"",PERIPHERAL!$B$3:$B$954&amp;"",PERIPHERAL!$H$3:$H$954,""),"Utilities",_xlfn.XLOOKUP($K809&amp;"",UTILITIES!$B$3:$B$953&amp;"",UTILITIES!$G$3:$G$953,""),"IOT",_xlfn.XLOOKUP($K809&amp;"",IOT!$B$3:$B$1012&amp;"",IOT!$H$3:$H$1012,""),"Server",_xlfn.XLOOKUP($K809&amp;"",SERVER!$B$3:$B$1009&amp;"",SERVER!$H$3:$H$1009,""),""),IF(TRIM(_xlpm.srcCat)&lt;&gt;TRIM($J809),"",_xlfn.SWITCH($I809,"Computer",_xlfn.XLOOKUP($K809&amp;"",COMPUTER!$B$3:$B$1009&amp;"",COMPUTER!$K$3:$K$1009,""),"Display",_xlfn.XLOOKUP($K809&amp;"",DISPLAY!$B$3:$B$1000&amp;"",DISPLAY!$L$3:$L$1000,""),"Network Device",_xlfn.XLOOKUP($K809&amp;"",'NETWORK-DEVICES'!$B$3:$B$987&amp;"",'NETWORK-DEVICES'!$K$3:$K$987,""),"Peripheral",_xlfn.XLOOKUP($K809&amp;"",PERIPHERAL!$B$3:$B$954&amp;"",PERIPHERAL!$K$3:$K$954,""),"Utilities",_xlfn.XLOOKUP($K809&amp;"",UTILITIES!$B$3:$B$953&amp;"",UTILITIES!$J$3:$J$953,""),"IOT",_xlfn.XLOOKUP($K809&amp;"",IOT!$B$3:$B$1012&amp;"",IOT!$K$4:$K$1012,""),"Server",_xlfn.XLOOKUP($K809&amp;"",SERVER!$B$3:$B$1009&amp;"",SERVER!$K$3:$K$1009,""),""))))</f>
        <v/>
      </c>
      <c r="O809" s="1" t="str" cm="1">
        <f t="array" ref="O809">IF(OR($K809="",$I809="",$J809=""),"",_xlfn.LET(_xlpm.srcCat,_xlfn.SWITCH($I809,"Computer",_xlfn.XLOOKUP($K809&amp;"",COMPUTER!$B$3:$B$1009&amp;"",COMPUTER!$H$3:$H$1009,""),"Display",_xlfn.XLOOKUP($K809&amp;"",DISPLAY!$B$3:$B$1000&amp;"",DISPLAY!$H$3:$H$1000,""),"Network Device",_xlfn.XLOOKUP($K809&amp;"",'NETWORK-DEVICES'!$B$3:$B$987&amp;"",'NETWORK-DEVICES'!$H$3:$H$987,""),"Peripheral",_xlfn.XLOOKUP($K809&amp;"",PERIPHERAL!$B$3:$B$954&amp;"",PERIPHERAL!$H$3:$H$954,""),"Utilities",_xlfn.XLOOKUP($K809&amp;"",UTILITIES!$B$3:$B$953&amp;"",UTILITIES!$G$3:$G$953,""),"IOT",_xlfn.XLOOKUP($K809&amp;"",IOT!$B$3:$B$1012&amp;"",IOT!$H$3:$H$1012,""),"Server",_xlfn.XLOOKUP($K809&amp;"",SERVER!$B$3:$B$1009&amp;"",SERVER!$H$3:$H$1009,""),""),IF(TRIM(_xlpm.srcCat)&lt;&gt;TRIM($J809),"",_xlfn.SWITCH($I809,"Computer",_xlfn.XLOOKUP($K809&amp;"",COMPUTER!$B$3:$B$1009&amp;"",COMPUTER!$E$3:$E$1009,""),"Display",_xlfn.XLOOKUP($K809&amp;"",DISPLAY!$B$3:$B$1000&amp;"",DISPLAY!$E$3:$E$1000,""),"Network Device",_xlfn.XLOOKUP($K809&amp;"",'NETWORK-DEVICES'!$B$3:$B$987&amp;"",'NETWORK-DEVICES'!$E$3:$E$987,""),"Peripheral",_xlfn.XLOOKUP($K809&amp;"",PERIPHERAL!$B$3:$B$954&amp;"",PERIPHERAL!$E$3:$E$954,""),"Utilities",_xlfn.XLOOKUP($K809&amp;"",UTILITIES!$B$3:$B$953&amp;"",UTILITIES!$E$3:$E$953,""),"IOT",_xlfn.XLOOKUP($K809&amp;"",IOT!$B$3:$B$1012&amp;"",IOT!$E$3:$E$1012,""),"Server",_xlfn.XLOOKUP($K809&amp;"",SERVER!$B$3:$B$1009&amp;"",SERVER!$E$3:$E$1009,""),""))))</f>
        <v/>
      </c>
      <c r="Q809" s="1" t="str" cm="1">
        <f t="array" ref="Q809">IF(OR($K809="",$I809="",$J809=""),"",_xlfn.LET(_xlpm.srcCat,_xlfn.SWITCH($I809,"Computer",_xlfn.XLOOKUP($K809&amp;"",COMPUTER!$B$3:$B$1009&amp;"",COMPUTER!$H$3:$H$1009,""),"Display",_xlfn.XLOOKUP($K809&amp;"",DISPLAY!$B$3:$B$1000&amp;"",DISPLAY!$H$3:$H$1000,""),"Network Device",_xlfn.XLOOKUP($K809&amp;"",'NETWORK-DEVICES'!$B$3:$B$987&amp;"",'NETWORK-DEVICES'!$H$3:$H$987,""),"Peripheral",_xlfn.XLOOKUP($K809&amp;"",PERIPHERAL!$B$3:$B$954&amp;"",PERIPHERAL!$H$3:$H$954,""),"Utilities",_xlfn.XLOOKUP($K809&amp;"",UTILITIES!$B$3:$B$953&amp;"",UTILITIES!$G$3:$G$953,""),"IOT",_xlfn.XLOOKUP($K809&amp;"",IOT!$B$3:$B$1012&amp;"",IOT!$H$3:$H$1012,""),"Server",_xlfn.XLOOKUP($K809&amp;"",SERVER!$B$3:$B$1009&amp;"",SERVER!$H$3:$H$1009,""),""),IF(TRIM(_xlpm.srcCat)&lt;&gt;TRIM($J809),"",_xlfn.SWITCH($I809,"Computer",_xlfn.XLOOKUP($K809&amp;"",COMPUTER!$B$3:$B$1009&amp;"",COMPUTER!$AM$3:$AM$1009,""),"Display",_xlfn.XLOOKUP($K809&amp;"",DISPLAY!$B$3:$B$1000&amp;"",DISPLAY!$V$3:$V$1000,""),"Network Device",_xlfn.XLOOKUP($K809&amp;"",'NETWORK-DEVICES'!$B$3:$B$987&amp;"",'NETWORK-DEVICES'!$AF$3:$AF$987,""),"Peripheral",_xlfn.XLOOKUP($K809&amp;"",PERIPHERAL!$B$3:$B$954&amp;"",PERIPHERAL!$Y$3:$Y$954,""),"Utilities",_xlfn.XLOOKUP($K809&amp;"",UTILITIES!$B$3:$B$953&amp;"",UTILITIES!$O$3:$O$953,""),"IOT",_xlfn.XLOOKUP($K809&amp;"",IOT!$B$3:$B$1012&amp;"",IOT!$AB$3:$AB$1012,""),"Server",_xlfn.XLOOKUP($K809&amp;"",SERVER!$B$3:$B$1009&amp;"",SERVER!$AB$3:$AB$1009,""),""))))</f>
        <v/>
      </c>
      <c r="R809" s="43" t="str">
        <f>IF(tbl_handover[[#This Row],[Asset Code]]="","",COUNTIF(tbl_handover[Asset Code],tbl_handover[[#This Row],[Asset Code]]))</f>
        <v/>
      </c>
    </row>
    <row r="810" spans="1:18" x14ac:dyDescent="0.25">
      <c r="A810" s="43" t="str">
        <f>IF(B810&lt;&gt;"",SUBTOTAL(3,$B$1:B809),"")</f>
        <v/>
      </c>
      <c r="C810" s="74"/>
      <c r="D810" s="74"/>
      <c r="G810" s="1"/>
      <c r="K810" s="42"/>
      <c r="L810" t="str" cm="1">
        <f t="array" ref="L810">IF($K810="","",_xlfn.SWITCH($I810,"Computer",_xlfn.XLOOKUP($K810&amp;"",COMPUTER!$B$3:$B$1009&amp;"",COMPUTER!$I$3:$I$1009,""),"Display",_xlfn.XLOOKUP($K810&amp;"",DISPLAY!$B$3:$B$1000&amp;"",DISPLAY!$J$3:$J$1000,""),"Network Device",_xlfn.XLOOKUP($K810&amp;"",'NETWORK-DEVICES'!$B$3:$B$987&amp;"",'NETWORK-DEVICES'!$I$3:$I$987,""),"Peripheral",_xlfn.XLOOKUP($K810&amp;"",PERIPHERAL!$B$3:$B$954&amp;"",PERIPHERAL!$I$3:$I$954,""),"Utilities",_xlfn.XLOOKUP($K810&amp;"",UTILITIES!$B$3:$B$953&amp;"",UTILITIES!$H$3:$H$953,""),"IOT",_xlfn.XLOOKUP($K810&amp;"",IOT!$B$3:$B$1012&amp;"",IOT!$I$3:$I$1012,""),"SERVER",_xlfn.XLOOKUP($K810&amp;"",SERVER!$B$3:$B$1009&amp;"",SERVER!$I$3:$I$1009,""),""))</f>
        <v/>
      </c>
      <c r="M810" t="str" cm="1">
        <f t="array" ref="M810">IF($K810="","",_xlfn.SWITCH($I810,"Computer",_xlfn.XLOOKUP($K810&amp;"",COMPUTER!$B$3:$B$1009&amp;"",COMPUTER!$J$3:$J$1009,""),"Display",_xlfn.XLOOKUP($K810&amp;"",DISPLAY!$B$3:$B$1000&amp;"",DISPLAY!$K$3:$K$1000,""),"Network Device",_xlfn.XLOOKUP($K810&amp;"",'NETWORK-DEVICES'!$B$3:$B$987&amp;"",'NETWORK-DEVICES'!$I$3:$I$987,""),"Peripheral",_xlfn.XLOOKUP($K810&amp;"",PERIPHERAL!$B$3:$B$954&amp;"",PERIPHERAL!$J$3:$J$954,""),"Utilities",_xlfn.XLOOKUP($K810&amp;"",UTILITIES!$B$3:$B$953&amp;"",UTILITIES!$I$3:$I$953,""),"IOT",_xlfn.XLOOKUP($K810&amp;"",IOT!$B$3:$B$1012&amp;"",IOT!$J$3:$J$1012,""),"Server",_xlfn.XLOOKUP($K810&amp;"",SERVER!$B$3:$B$1009&amp;"",SERVER!$J$3:$J$1009,""),""))</f>
        <v/>
      </c>
      <c r="N810" s="1" t="str" cm="1">
        <f t="array" ref="N810">IF(OR($K810="",$I810="",$J810=""),"",_xlfn.LET(_xlpm.srcCat,_xlfn.SWITCH($I810,"Computer",_xlfn.XLOOKUP($K810&amp;"",COMPUTER!$B$3:$B$1009&amp;"",COMPUTER!$H$3:$H$1009,""),"Display",_xlfn.XLOOKUP($K810&amp;"",DISPLAY!$B$3:$B$1000&amp;"",DISPLAY!$H$3:$H$1000,""),"Network Device",_xlfn.XLOOKUP($K810&amp;"",'NETWORK-DEVICES'!$B$3:$B$987&amp;"",'NETWORK-DEVICES'!$H$3:$H$987,""),"Peripheral",_xlfn.XLOOKUP($K810&amp;"",PERIPHERAL!$B$3:$B$954&amp;"",PERIPHERAL!$H$3:$H$954,""),"Utilities",_xlfn.XLOOKUP($K810&amp;"",UTILITIES!$B$3:$B$953&amp;"",UTILITIES!$G$3:$G$953,""),"IOT",_xlfn.XLOOKUP($K810&amp;"",IOT!$B$3:$B$1012&amp;"",IOT!$H$3:$H$1012,""),"Server",_xlfn.XLOOKUP($K810&amp;"",SERVER!$B$3:$B$1009&amp;"",SERVER!$H$3:$H$1009,""),""),IF(TRIM(_xlpm.srcCat)&lt;&gt;TRIM($J810),"",_xlfn.SWITCH($I810,"Computer",_xlfn.XLOOKUP($K810&amp;"",COMPUTER!$B$3:$B$1009&amp;"",COMPUTER!$K$3:$K$1009,""),"Display",_xlfn.XLOOKUP($K810&amp;"",DISPLAY!$B$3:$B$1000&amp;"",DISPLAY!$L$3:$L$1000,""),"Network Device",_xlfn.XLOOKUP($K810&amp;"",'NETWORK-DEVICES'!$B$3:$B$987&amp;"",'NETWORK-DEVICES'!$K$3:$K$987,""),"Peripheral",_xlfn.XLOOKUP($K810&amp;"",PERIPHERAL!$B$3:$B$954&amp;"",PERIPHERAL!$K$3:$K$954,""),"Utilities",_xlfn.XLOOKUP($K810&amp;"",UTILITIES!$B$3:$B$953&amp;"",UTILITIES!$J$3:$J$953,""),"IOT",_xlfn.XLOOKUP($K810&amp;"",IOT!$B$3:$B$1012&amp;"",IOT!$K$4:$K$1012,""),"Server",_xlfn.XLOOKUP($K810&amp;"",SERVER!$B$3:$B$1009&amp;"",SERVER!$K$3:$K$1009,""),""))))</f>
        <v/>
      </c>
      <c r="O810" s="1" t="str" cm="1">
        <f t="array" ref="O810">IF(OR($K810="",$I810="",$J810=""),"",_xlfn.LET(_xlpm.srcCat,_xlfn.SWITCH($I810,"Computer",_xlfn.XLOOKUP($K810&amp;"",COMPUTER!$B$3:$B$1009&amp;"",COMPUTER!$H$3:$H$1009,""),"Display",_xlfn.XLOOKUP($K810&amp;"",DISPLAY!$B$3:$B$1000&amp;"",DISPLAY!$H$3:$H$1000,""),"Network Device",_xlfn.XLOOKUP($K810&amp;"",'NETWORK-DEVICES'!$B$3:$B$987&amp;"",'NETWORK-DEVICES'!$H$3:$H$987,""),"Peripheral",_xlfn.XLOOKUP($K810&amp;"",PERIPHERAL!$B$3:$B$954&amp;"",PERIPHERAL!$H$3:$H$954,""),"Utilities",_xlfn.XLOOKUP($K810&amp;"",UTILITIES!$B$3:$B$953&amp;"",UTILITIES!$G$3:$G$953,""),"IOT",_xlfn.XLOOKUP($K810&amp;"",IOT!$B$3:$B$1012&amp;"",IOT!$H$3:$H$1012,""),"Server",_xlfn.XLOOKUP($K810&amp;"",SERVER!$B$3:$B$1009&amp;"",SERVER!$H$3:$H$1009,""),""),IF(TRIM(_xlpm.srcCat)&lt;&gt;TRIM($J810),"",_xlfn.SWITCH($I810,"Computer",_xlfn.XLOOKUP($K810&amp;"",COMPUTER!$B$3:$B$1009&amp;"",COMPUTER!$E$3:$E$1009,""),"Display",_xlfn.XLOOKUP($K810&amp;"",DISPLAY!$B$3:$B$1000&amp;"",DISPLAY!$E$3:$E$1000,""),"Network Device",_xlfn.XLOOKUP($K810&amp;"",'NETWORK-DEVICES'!$B$3:$B$987&amp;"",'NETWORK-DEVICES'!$E$3:$E$987,""),"Peripheral",_xlfn.XLOOKUP($K810&amp;"",PERIPHERAL!$B$3:$B$954&amp;"",PERIPHERAL!$E$3:$E$954,""),"Utilities",_xlfn.XLOOKUP($K810&amp;"",UTILITIES!$B$3:$B$953&amp;"",UTILITIES!$E$3:$E$953,""),"IOT",_xlfn.XLOOKUP($K810&amp;"",IOT!$B$3:$B$1012&amp;"",IOT!$E$3:$E$1012,""),"Server",_xlfn.XLOOKUP($K810&amp;"",SERVER!$B$3:$B$1009&amp;"",SERVER!$E$3:$E$1009,""),""))))</f>
        <v/>
      </c>
      <c r="Q810" s="1" t="str" cm="1">
        <f t="array" ref="Q810">IF(OR($K810="",$I810="",$J810=""),"",_xlfn.LET(_xlpm.srcCat,_xlfn.SWITCH($I810,"Computer",_xlfn.XLOOKUP($K810&amp;"",COMPUTER!$B$3:$B$1009&amp;"",COMPUTER!$H$3:$H$1009,""),"Display",_xlfn.XLOOKUP($K810&amp;"",DISPLAY!$B$3:$B$1000&amp;"",DISPLAY!$H$3:$H$1000,""),"Network Device",_xlfn.XLOOKUP($K810&amp;"",'NETWORK-DEVICES'!$B$3:$B$987&amp;"",'NETWORK-DEVICES'!$H$3:$H$987,""),"Peripheral",_xlfn.XLOOKUP($K810&amp;"",PERIPHERAL!$B$3:$B$954&amp;"",PERIPHERAL!$H$3:$H$954,""),"Utilities",_xlfn.XLOOKUP($K810&amp;"",UTILITIES!$B$3:$B$953&amp;"",UTILITIES!$G$3:$G$953,""),"IOT",_xlfn.XLOOKUP($K810&amp;"",IOT!$B$3:$B$1012&amp;"",IOT!$H$3:$H$1012,""),"Server",_xlfn.XLOOKUP($K810&amp;"",SERVER!$B$3:$B$1009&amp;"",SERVER!$H$3:$H$1009,""),""),IF(TRIM(_xlpm.srcCat)&lt;&gt;TRIM($J810),"",_xlfn.SWITCH($I810,"Computer",_xlfn.XLOOKUP($K810&amp;"",COMPUTER!$B$3:$B$1009&amp;"",COMPUTER!$AM$3:$AM$1009,""),"Display",_xlfn.XLOOKUP($K810&amp;"",DISPLAY!$B$3:$B$1000&amp;"",DISPLAY!$V$3:$V$1000,""),"Network Device",_xlfn.XLOOKUP($K810&amp;"",'NETWORK-DEVICES'!$B$3:$B$987&amp;"",'NETWORK-DEVICES'!$AF$3:$AF$987,""),"Peripheral",_xlfn.XLOOKUP($K810&amp;"",PERIPHERAL!$B$3:$B$954&amp;"",PERIPHERAL!$Y$3:$Y$954,""),"Utilities",_xlfn.XLOOKUP($K810&amp;"",UTILITIES!$B$3:$B$953&amp;"",UTILITIES!$O$3:$O$953,""),"IOT",_xlfn.XLOOKUP($K810&amp;"",IOT!$B$3:$B$1012&amp;"",IOT!$AB$3:$AB$1012,""),"Server",_xlfn.XLOOKUP($K810&amp;"",SERVER!$B$3:$B$1009&amp;"",SERVER!$AB$3:$AB$1009,""),""))))</f>
        <v/>
      </c>
      <c r="R810" s="43" t="str">
        <f>IF(tbl_handover[[#This Row],[Asset Code]]="","",COUNTIF(tbl_handover[Asset Code],tbl_handover[[#This Row],[Asset Code]]))</f>
        <v/>
      </c>
    </row>
    <row r="811" spans="1:18" x14ac:dyDescent="0.25">
      <c r="A811" s="43" t="str">
        <f>IF(B811&lt;&gt;"",SUBTOTAL(3,$B$1:B810),"")</f>
        <v/>
      </c>
      <c r="C811" s="74"/>
      <c r="D811" s="74"/>
      <c r="G811" s="1"/>
      <c r="K811" s="42"/>
      <c r="L811" t="str" cm="1">
        <f t="array" ref="L811">IF($K811="","",_xlfn.SWITCH($I811,"Computer",_xlfn.XLOOKUP($K811&amp;"",COMPUTER!$B$3:$B$1009&amp;"",COMPUTER!$I$3:$I$1009,""),"Display",_xlfn.XLOOKUP($K811&amp;"",DISPLAY!$B$3:$B$1000&amp;"",DISPLAY!$J$3:$J$1000,""),"Network Device",_xlfn.XLOOKUP($K811&amp;"",'NETWORK-DEVICES'!$B$3:$B$987&amp;"",'NETWORK-DEVICES'!$I$3:$I$987,""),"Peripheral",_xlfn.XLOOKUP($K811&amp;"",PERIPHERAL!$B$3:$B$954&amp;"",PERIPHERAL!$I$3:$I$954,""),"Utilities",_xlfn.XLOOKUP($K811&amp;"",UTILITIES!$B$3:$B$953&amp;"",UTILITIES!$H$3:$H$953,""),"IOT",_xlfn.XLOOKUP($K811&amp;"",IOT!$B$3:$B$1012&amp;"",IOT!$I$3:$I$1012,""),"SERVER",_xlfn.XLOOKUP($K811&amp;"",SERVER!$B$3:$B$1009&amp;"",SERVER!$I$3:$I$1009,""),""))</f>
        <v/>
      </c>
      <c r="M811" t="str" cm="1">
        <f t="array" ref="M811">IF($K811="","",_xlfn.SWITCH($I811,"Computer",_xlfn.XLOOKUP($K811&amp;"",COMPUTER!$B$3:$B$1009&amp;"",COMPUTER!$J$3:$J$1009,""),"Display",_xlfn.XLOOKUP($K811&amp;"",DISPLAY!$B$3:$B$1000&amp;"",DISPLAY!$K$3:$K$1000,""),"Network Device",_xlfn.XLOOKUP($K811&amp;"",'NETWORK-DEVICES'!$B$3:$B$987&amp;"",'NETWORK-DEVICES'!$I$3:$I$987,""),"Peripheral",_xlfn.XLOOKUP($K811&amp;"",PERIPHERAL!$B$3:$B$954&amp;"",PERIPHERAL!$J$3:$J$954,""),"Utilities",_xlfn.XLOOKUP($K811&amp;"",UTILITIES!$B$3:$B$953&amp;"",UTILITIES!$I$3:$I$953,""),"IOT",_xlfn.XLOOKUP($K811&amp;"",IOT!$B$3:$B$1012&amp;"",IOT!$J$3:$J$1012,""),"Server",_xlfn.XLOOKUP($K811&amp;"",SERVER!$B$3:$B$1009&amp;"",SERVER!$J$3:$J$1009,""),""))</f>
        <v/>
      </c>
      <c r="N811" s="1" t="str" cm="1">
        <f t="array" ref="N811">IF(OR($K811="",$I811="",$J811=""),"",_xlfn.LET(_xlpm.srcCat,_xlfn.SWITCH($I811,"Computer",_xlfn.XLOOKUP($K811&amp;"",COMPUTER!$B$3:$B$1009&amp;"",COMPUTER!$H$3:$H$1009,""),"Display",_xlfn.XLOOKUP($K811&amp;"",DISPLAY!$B$3:$B$1000&amp;"",DISPLAY!$H$3:$H$1000,""),"Network Device",_xlfn.XLOOKUP($K811&amp;"",'NETWORK-DEVICES'!$B$3:$B$987&amp;"",'NETWORK-DEVICES'!$H$3:$H$987,""),"Peripheral",_xlfn.XLOOKUP($K811&amp;"",PERIPHERAL!$B$3:$B$954&amp;"",PERIPHERAL!$H$3:$H$954,""),"Utilities",_xlfn.XLOOKUP($K811&amp;"",UTILITIES!$B$3:$B$953&amp;"",UTILITIES!$G$3:$G$953,""),"IOT",_xlfn.XLOOKUP($K811&amp;"",IOT!$B$3:$B$1012&amp;"",IOT!$H$3:$H$1012,""),"Server",_xlfn.XLOOKUP($K811&amp;"",SERVER!$B$3:$B$1009&amp;"",SERVER!$H$3:$H$1009,""),""),IF(TRIM(_xlpm.srcCat)&lt;&gt;TRIM($J811),"",_xlfn.SWITCH($I811,"Computer",_xlfn.XLOOKUP($K811&amp;"",COMPUTER!$B$3:$B$1009&amp;"",COMPUTER!$K$3:$K$1009,""),"Display",_xlfn.XLOOKUP($K811&amp;"",DISPLAY!$B$3:$B$1000&amp;"",DISPLAY!$L$3:$L$1000,""),"Network Device",_xlfn.XLOOKUP($K811&amp;"",'NETWORK-DEVICES'!$B$3:$B$987&amp;"",'NETWORK-DEVICES'!$K$3:$K$987,""),"Peripheral",_xlfn.XLOOKUP($K811&amp;"",PERIPHERAL!$B$3:$B$954&amp;"",PERIPHERAL!$K$3:$K$954,""),"Utilities",_xlfn.XLOOKUP($K811&amp;"",UTILITIES!$B$3:$B$953&amp;"",UTILITIES!$J$3:$J$953,""),"IOT",_xlfn.XLOOKUP($K811&amp;"",IOT!$B$3:$B$1012&amp;"",IOT!$K$4:$K$1012,""),"Server",_xlfn.XLOOKUP($K811&amp;"",SERVER!$B$3:$B$1009&amp;"",SERVER!$K$3:$K$1009,""),""))))</f>
        <v/>
      </c>
      <c r="O811" s="1" t="str" cm="1">
        <f t="array" ref="O811">IF(OR($K811="",$I811="",$J811=""),"",_xlfn.LET(_xlpm.srcCat,_xlfn.SWITCH($I811,"Computer",_xlfn.XLOOKUP($K811&amp;"",COMPUTER!$B$3:$B$1009&amp;"",COMPUTER!$H$3:$H$1009,""),"Display",_xlfn.XLOOKUP($K811&amp;"",DISPLAY!$B$3:$B$1000&amp;"",DISPLAY!$H$3:$H$1000,""),"Network Device",_xlfn.XLOOKUP($K811&amp;"",'NETWORK-DEVICES'!$B$3:$B$987&amp;"",'NETWORK-DEVICES'!$H$3:$H$987,""),"Peripheral",_xlfn.XLOOKUP($K811&amp;"",PERIPHERAL!$B$3:$B$954&amp;"",PERIPHERAL!$H$3:$H$954,""),"Utilities",_xlfn.XLOOKUP($K811&amp;"",UTILITIES!$B$3:$B$953&amp;"",UTILITIES!$G$3:$G$953,""),"IOT",_xlfn.XLOOKUP($K811&amp;"",IOT!$B$3:$B$1012&amp;"",IOT!$H$3:$H$1012,""),"Server",_xlfn.XLOOKUP($K811&amp;"",SERVER!$B$3:$B$1009&amp;"",SERVER!$H$3:$H$1009,""),""),IF(TRIM(_xlpm.srcCat)&lt;&gt;TRIM($J811),"",_xlfn.SWITCH($I811,"Computer",_xlfn.XLOOKUP($K811&amp;"",COMPUTER!$B$3:$B$1009&amp;"",COMPUTER!$E$3:$E$1009,""),"Display",_xlfn.XLOOKUP($K811&amp;"",DISPLAY!$B$3:$B$1000&amp;"",DISPLAY!$E$3:$E$1000,""),"Network Device",_xlfn.XLOOKUP($K811&amp;"",'NETWORK-DEVICES'!$B$3:$B$987&amp;"",'NETWORK-DEVICES'!$E$3:$E$987,""),"Peripheral",_xlfn.XLOOKUP($K811&amp;"",PERIPHERAL!$B$3:$B$954&amp;"",PERIPHERAL!$E$3:$E$954,""),"Utilities",_xlfn.XLOOKUP($K811&amp;"",UTILITIES!$B$3:$B$953&amp;"",UTILITIES!$E$3:$E$953,""),"IOT",_xlfn.XLOOKUP($K811&amp;"",IOT!$B$3:$B$1012&amp;"",IOT!$E$3:$E$1012,""),"Server",_xlfn.XLOOKUP($K811&amp;"",SERVER!$B$3:$B$1009&amp;"",SERVER!$E$3:$E$1009,""),""))))</f>
        <v/>
      </c>
      <c r="Q811" s="1" t="str" cm="1">
        <f t="array" ref="Q811">IF(OR($K811="",$I811="",$J811=""),"",_xlfn.LET(_xlpm.srcCat,_xlfn.SWITCH($I811,"Computer",_xlfn.XLOOKUP($K811&amp;"",COMPUTER!$B$3:$B$1009&amp;"",COMPUTER!$H$3:$H$1009,""),"Display",_xlfn.XLOOKUP($K811&amp;"",DISPLAY!$B$3:$B$1000&amp;"",DISPLAY!$H$3:$H$1000,""),"Network Device",_xlfn.XLOOKUP($K811&amp;"",'NETWORK-DEVICES'!$B$3:$B$987&amp;"",'NETWORK-DEVICES'!$H$3:$H$987,""),"Peripheral",_xlfn.XLOOKUP($K811&amp;"",PERIPHERAL!$B$3:$B$954&amp;"",PERIPHERAL!$H$3:$H$954,""),"Utilities",_xlfn.XLOOKUP($K811&amp;"",UTILITIES!$B$3:$B$953&amp;"",UTILITIES!$G$3:$G$953,""),"IOT",_xlfn.XLOOKUP($K811&amp;"",IOT!$B$3:$B$1012&amp;"",IOT!$H$3:$H$1012,""),"Server",_xlfn.XLOOKUP($K811&amp;"",SERVER!$B$3:$B$1009&amp;"",SERVER!$H$3:$H$1009,""),""),IF(TRIM(_xlpm.srcCat)&lt;&gt;TRIM($J811),"",_xlfn.SWITCH($I811,"Computer",_xlfn.XLOOKUP($K811&amp;"",COMPUTER!$B$3:$B$1009&amp;"",COMPUTER!$AM$3:$AM$1009,""),"Display",_xlfn.XLOOKUP($K811&amp;"",DISPLAY!$B$3:$B$1000&amp;"",DISPLAY!$V$3:$V$1000,""),"Network Device",_xlfn.XLOOKUP($K811&amp;"",'NETWORK-DEVICES'!$B$3:$B$987&amp;"",'NETWORK-DEVICES'!$AF$3:$AF$987,""),"Peripheral",_xlfn.XLOOKUP($K811&amp;"",PERIPHERAL!$B$3:$B$954&amp;"",PERIPHERAL!$Y$3:$Y$954,""),"Utilities",_xlfn.XLOOKUP($K811&amp;"",UTILITIES!$B$3:$B$953&amp;"",UTILITIES!$O$3:$O$953,""),"IOT",_xlfn.XLOOKUP($K811&amp;"",IOT!$B$3:$B$1012&amp;"",IOT!$AB$3:$AB$1012,""),"Server",_xlfn.XLOOKUP($K811&amp;"",SERVER!$B$3:$B$1009&amp;"",SERVER!$AB$3:$AB$1009,""),""))))</f>
        <v/>
      </c>
      <c r="R811" s="43" t="str">
        <f>IF(tbl_handover[[#This Row],[Asset Code]]="","",COUNTIF(tbl_handover[Asset Code],tbl_handover[[#This Row],[Asset Code]]))</f>
        <v/>
      </c>
    </row>
    <row r="812" spans="1:18" x14ac:dyDescent="0.25">
      <c r="A812" s="43" t="str">
        <f>IF(B812&lt;&gt;"",SUBTOTAL(3,$B$1:B811),"")</f>
        <v/>
      </c>
      <c r="C812" s="74"/>
      <c r="D812" s="74"/>
      <c r="G812" s="1"/>
      <c r="K812" s="42"/>
      <c r="L812" t="str" cm="1">
        <f t="array" ref="L812">IF($K812="","",_xlfn.SWITCH($I812,"Computer",_xlfn.XLOOKUP($K812&amp;"",COMPUTER!$B$3:$B$1009&amp;"",COMPUTER!$I$3:$I$1009,""),"Display",_xlfn.XLOOKUP($K812&amp;"",DISPLAY!$B$3:$B$1000&amp;"",DISPLAY!$J$3:$J$1000,""),"Network Device",_xlfn.XLOOKUP($K812&amp;"",'NETWORK-DEVICES'!$B$3:$B$987&amp;"",'NETWORK-DEVICES'!$I$3:$I$987,""),"Peripheral",_xlfn.XLOOKUP($K812&amp;"",PERIPHERAL!$B$3:$B$954&amp;"",PERIPHERAL!$I$3:$I$954,""),"Utilities",_xlfn.XLOOKUP($K812&amp;"",UTILITIES!$B$3:$B$953&amp;"",UTILITIES!$H$3:$H$953,""),"IOT",_xlfn.XLOOKUP($K812&amp;"",IOT!$B$3:$B$1012&amp;"",IOT!$I$3:$I$1012,""),"SERVER",_xlfn.XLOOKUP($K812&amp;"",SERVER!$B$3:$B$1009&amp;"",SERVER!$I$3:$I$1009,""),""))</f>
        <v/>
      </c>
      <c r="M812" t="str" cm="1">
        <f t="array" ref="M812">IF($K812="","",_xlfn.SWITCH($I812,"Computer",_xlfn.XLOOKUP($K812&amp;"",COMPUTER!$B$3:$B$1009&amp;"",COMPUTER!$J$3:$J$1009,""),"Display",_xlfn.XLOOKUP($K812&amp;"",DISPLAY!$B$3:$B$1000&amp;"",DISPLAY!$K$3:$K$1000,""),"Network Device",_xlfn.XLOOKUP($K812&amp;"",'NETWORK-DEVICES'!$B$3:$B$987&amp;"",'NETWORK-DEVICES'!$I$3:$I$987,""),"Peripheral",_xlfn.XLOOKUP($K812&amp;"",PERIPHERAL!$B$3:$B$954&amp;"",PERIPHERAL!$J$3:$J$954,""),"Utilities",_xlfn.XLOOKUP($K812&amp;"",UTILITIES!$B$3:$B$953&amp;"",UTILITIES!$I$3:$I$953,""),"IOT",_xlfn.XLOOKUP($K812&amp;"",IOT!$B$3:$B$1012&amp;"",IOT!$J$3:$J$1012,""),"Server",_xlfn.XLOOKUP($K812&amp;"",SERVER!$B$3:$B$1009&amp;"",SERVER!$J$3:$J$1009,""),""))</f>
        <v/>
      </c>
      <c r="N812" s="1" t="str" cm="1">
        <f t="array" ref="N812">IF(OR($K812="",$I812="",$J812=""),"",_xlfn.LET(_xlpm.srcCat,_xlfn.SWITCH($I812,"Computer",_xlfn.XLOOKUP($K812&amp;"",COMPUTER!$B$3:$B$1009&amp;"",COMPUTER!$H$3:$H$1009,""),"Display",_xlfn.XLOOKUP($K812&amp;"",DISPLAY!$B$3:$B$1000&amp;"",DISPLAY!$H$3:$H$1000,""),"Network Device",_xlfn.XLOOKUP($K812&amp;"",'NETWORK-DEVICES'!$B$3:$B$987&amp;"",'NETWORK-DEVICES'!$H$3:$H$987,""),"Peripheral",_xlfn.XLOOKUP($K812&amp;"",PERIPHERAL!$B$3:$B$954&amp;"",PERIPHERAL!$H$3:$H$954,""),"Utilities",_xlfn.XLOOKUP($K812&amp;"",UTILITIES!$B$3:$B$953&amp;"",UTILITIES!$G$3:$G$953,""),"IOT",_xlfn.XLOOKUP($K812&amp;"",IOT!$B$3:$B$1012&amp;"",IOT!$H$3:$H$1012,""),"Server",_xlfn.XLOOKUP($K812&amp;"",SERVER!$B$3:$B$1009&amp;"",SERVER!$H$3:$H$1009,""),""),IF(TRIM(_xlpm.srcCat)&lt;&gt;TRIM($J812),"",_xlfn.SWITCH($I812,"Computer",_xlfn.XLOOKUP($K812&amp;"",COMPUTER!$B$3:$B$1009&amp;"",COMPUTER!$K$3:$K$1009,""),"Display",_xlfn.XLOOKUP($K812&amp;"",DISPLAY!$B$3:$B$1000&amp;"",DISPLAY!$L$3:$L$1000,""),"Network Device",_xlfn.XLOOKUP($K812&amp;"",'NETWORK-DEVICES'!$B$3:$B$987&amp;"",'NETWORK-DEVICES'!$K$3:$K$987,""),"Peripheral",_xlfn.XLOOKUP($K812&amp;"",PERIPHERAL!$B$3:$B$954&amp;"",PERIPHERAL!$K$3:$K$954,""),"Utilities",_xlfn.XLOOKUP($K812&amp;"",UTILITIES!$B$3:$B$953&amp;"",UTILITIES!$J$3:$J$953,""),"IOT",_xlfn.XLOOKUP($K812&amp;"",IOT!$B$3:$B$1012&amp;"",IOT!$K$4:$K$1012,""),"Server",_xlfn.XLOOKUP($K812&amp;"",SERVER!$B$3:$B$1009&amp;"",SERVER!$K$3:$K$1009,""),""))))</f>
        <v/>
      </c>
      <c r="O812" s="1" t="str" cm="1">
        <f t="array" ref="O812">IF(OR($K812="",$I812="",$J812=""),"",_xlfn.LET(_xlpm.srcCat,_xlfn.SWITCH($I812,"Computer",_xlfn.XLOOKUP($K812&amp;"",COMPUTER!$B$3:$B$1009&amp;"",COMPUTER!$H$3:$H$1009,""),"Display",_xlfn.XLOOKUP($K812&amp;"",DISPLAY!$B$3:$B$1000&amp;"",DISPLAY!$H$3:$H$1000,""),"Network Device",_xlfn.XLOOKUP($K812&amp;"",'NETWORK-DEVICES'!$B$3:$B$987&amp;"",'NETWORK-DEVICES'!$H$3:$H$987,""),"Peripheral",_xlfn.XLOOKUP($K812&amp;"",PERIPHERAL!$B$3:$B$954&amp;"",PERIPHERAL!$H$3:$H$954,""),"Utilities",_xlfn.XLOOKUP($K812&amp;"",UTILITIES!$B$3:$B$953&amp;"",UTILITIES!$G$3:$G$953,""),"IOT",_xlfn.XLOOKUP($K812&amp;"",IOT!$B$3:$B$1012&amp;"",IOT!$H$3:$H$1012,""),"Server",_xlfn.XLOOKUP($K812&amp;"",SERVER!$B$3:$B$1009&amp;"",SERVER!$H$3:$H$1009,""),""),IF(TRIM(_xlpm.srcCat)&lt;&gt;TRIM($J812),"",_xlfn.SWITCH($I812,"Computer",_xlfn.XLOOKUP($K812&amp;"",COMPUTER!$B$3:$B$1009&amp;"",COMPUTER!$E$3:$E$1009,""),"Display",_xlfn.XLOOKUP($K812&amp;"",DISPLAY!$B$3:$B$1000&amp;"",DISPLAY!$E$3:$E$1000,""),"Network Device",_xlfn.XLOOKUP($K812&amp;"",'NETWORK-DEVICES'!$B$3:$B$987&amp;"",'NETWORK-DEVICES'!$E$3:$E$987,""),"Peripheral",_xlfn.XLOOKUP($K812&amp;"",PERIPHERAL!$B$3:$B$954&amp;"",PERIPHERAL!$E$3:$E$954,""),"Utilities",_xlfn.XLOOKUP($K812&amp;"",UTILITIES!$B$3:$B$953&amp;"",UTILITIES!$E$3:$E$953,""),"IOT",_xlfn.XLOOKUP($K812&amp;"",IOT!$B$3:$B$1012&amp;"",IOT!$E$3:$E$1012,""),"Server",_xlfn.XLOOKUP($K812&amp;"",SERVER!$B$3:$B$1009&amp;"",SERVER!$E$3:$E$1009,""),""))))</f>
        <v/>
      </c>
      <c r="Q812" s="1" t="str" cm="1">
        <f t="array" ref="Q812">IF(OR($K812="",$I812="",$J812=""),"",_xlfn.LET(_xlpm.srcCat,_xlfn.SWITCH($I812,"Computer",_xlfn.XLOOKUP($K812&amp;"",COMPUTER!$B$3:$B$1009&amp;"",COMPUTER!$H$3:$H$1009,""),"Display",_xlfn.XLOOKUP($K812&amp;"",DISPLAY!$B$3:$B$1000&amp;"",DISPLAY!$H$3:$H$1000,""),"Network Device",_xlfn.XLOOKUP($K812&amp;"",'NETWORK-DEVICES'!$B$3:$B$987&amp;"",'NETWORK-DEVICES'!$H$3:$H$987,""),"Peripheral",_xlfn.XLOOKUP($K812&amp;"",PERIPHERAL!$B$3:$B$954&amp;"",PERIPHERAL!$H$3:$H$954,""),"Utilities",_xlfn.XLOOKUP($K812&amp;"",UTILITIES!$B$3:$B$953&amp;"",UTILITIES!$G$3:$G$953,""),"IOT",_xlfn.XLOOKUP($K812&amp;"",IOT!$B$3:$B$1012&amp;"",IOT!$H$3:$H$1012,""),"Server",_xlfn.XLOOKUP($K812&amp;"",SERVER!$B$3:$B$1009&amp;"",SERVER!$H$3:$H$1009,""),""),IF(TRIM(_xlpm.srcCat)&lt;&gt;TRIM($J812),"",_xlfn.SWITCH($I812,"Computer",_xlfn.XLOOKUP($K812&amp;"",COMPUTER!$B$3:$B$1009&amp;"",COMPUTER!$AM$3:$AM$1009,""),"Display",_xlfn.XLOOKUP($K812&amp;"",DISPLAY!$B$3:$B$1000&amp;"",DISPLAY!$V$3:$V$1000,""),"Network Device",_xlfn.XLOOKUP($K812&amp;"",'NETWORK-DEVICES'!$B$3:$B$987&amp;"",'NETWORK-DEVICES'!$AF$3:$AF$987,""),"Peripheral",_xlfn.XLOOKUP($K812&amp;"",PERIPHERAL!$B$3:$B$954&amp;"",PERIPHERAL!$Y$3:$Y$954,""),"Utilities",_xlfn.XLOOKUP($K812&amp;"",UTILITIES!$B$3:$B$953&amp;"",UTILITIES!$O$3:$O$953,""),"IOT",_xlfn.XLOOKUP($K812&amp;"",IOT!$B$3:$B$1012&amp;"",IOT!$AB$3:$AB$1012,""),"Server",_xlfn.XLOOKUP($K812&amp;"",SERVER!$B$3:$B$1009&amp;"",SERVER!$AB$3:$AB$1009,""),""))))</f>
        <v/>
      </c>
      <c r="R812" s="43" t="str">
        <f>IF(tbl_handover[[#This Row],[Asset Code]]="","",COUNTIF(tbl_handover[Asset Code],tbl_handover[[#This Row],[Asset Code]]))</f>
        <v/>
      </c>
    </row>
    <row r="813" spans="1:18" x14ac:dyDescent="0.25">
      <c r="A813" s="43" t="str">
        <f>IF(B813&lt;&gt;"",SUBTOTAL(3,$B$1:B812),"")</f>
        <v/>
      </c>
      <c r="C813" s="74"/>
      <c r="D813" s="74"/>
      <c r="G813" s="1"/>
      <c r="K813" s="42"/>
      <c r="L813" t="str" cm="1">
        <f t="array" ref="L813">IF($K813="","",_xlfn.SWITCH($I813,"Computer",_xlfn.XLOOKUP($K813&amp;"",COMPUTER!$B$3:$B$1009&amp;"",COMPUTER!$I$3:$I$1009,""),"Display",_xlfn.XLOOKUP($K813&amp;"",DISPLAY!$B$3:$B$1000&amp;"",DISPLAY!$J$3:$J$1000,""),"Network Device",_xlfn.XLOOKUP($K813&amp;"",'NETWORK-DEVICES'!$B$3:$B$987&amp;"",'NETWORK-DEVICES'!$I$3:$I$987,""),"Peripheral",_xlfn.XLOOKUP($K813&amp;"",PERIPHERAL!$B$3:$B$954&amp;"",PERIPHERAL!$I$3:$I$954,""),"Utilities",_xlfn.XLOOKUP($K813&amp;"",UTILITIES!$B$3:$B$953&amp;"",UTILITIES!$H$3:$H$953,""),"IOT",_xlfn.XLOOKUP($K813&amp;"",IOT!$B$3:$B$1012&amp;"",IOT!$I$3:$I$1012,""),"SERVER",_xlfn.XLOOKUP($K813&amp;"",SERVER!$B$3:$B$1009&amp;"",SERVER!$I$3:$I$1009,""),""))</f>
        <v/>
      </c>
      <c r="M813" t="str" cm="1">
        <f t="array" ref="M813">IF($K813="","",_xlfn.SWITCH($I813,"Computer",_xlfn.XLOOKUP($K813&amp;"",COMPUTER!$B$3:$B$1009&amp;"",COMPUTER!$J$3:$J$1009,""),"Display",_xlfn.XLOOKUP($K813&amp;"",DISPLAY!$B$3:$B$1000&amp;"",DISPLAY!$K$3:$K$1000,""),"Network Device",_xlfn.XLOOKUP($K813&amp;"",'NETWORK-DEVICES'!$B$3:$B$987&amp;"",'NETWORK-DEVICES'!$I$3:$I$987,""),"Peripheral",_xlfn.XLOOKUP($K813&amp;"",PERIPHERAL!$B$3:$B$954&amp;"",PERIPHERAL!$J$3:$J$954,""),"Utilities",_xlfn.XLOOKUP($K813&amp;"",UTILITIES!$B$3:$B$953&amp;"",UTILITIES!$I$3:$I$953,""),"IOT",_xlfn.XLOOKUP($K813&amp;"",IOT!$B$3:$B$1012&amp;"",IOT!$J$3:$J$1012,""),"Server",_xlfn.XLOOKUP($K813&amp;"",SERVER!$B$3:$B$1009&amp;"",SERVER!$J$3:$J$1009,""),""))</f>
        <v/>
      </c>
      <c r="N813" s="1" t="str" cm="1">
        <f t="array" ref="N813">IF(OR($K813="",$I813="",$J813=""),"",_xlfn.LET(_xlpm.srcCat,_xlfn.SWITCH($I813,"Computer",_xlfn.XLOOKUP($K813&amp;"",COMPUTER!$B$3:$B$1009&amp;"",COMPUTER!$H$3:$H$1009,""),"Display",_xlfn.XLOOKUP($K813&amp;"",DISPLAY!$B$3:$B$1000&amp;"",DISPLAY!$H$3:$H$1000,""),"Network Device",_xlfn.XLOOKUP($K813&amp;"",'NETWORK-DEVICES'!$B$3:$B$987&amp;"",'NETWORK-DEVICES'!$H$3:$H$987,""),"Peripheral",_xlfn.XLOOKUP($K813&amp;"",PERIPHERAL!$B$3:$B$954&amp;"",PERIPHERAL!$H$3:$H$954,""),"Utilities",_xlfn.XLOOKUP($K813&amp;"",UTILITIES!$B$3:$B$953&amp;"",UTILITIES!$G$3:$G$953,""),"IOT",_xlfn.XLOOKUP($K813&amp;"",IOT!$B$3:$B$1012&amp;"",IOT!$H$3:$H$1012,""),"Server",_xlfn.XLOOKUP($K813&amp;"",SERVER!$B$3:$B$1009&amp;"",SERVER!$H$3:$H$1009,""),""),IF(TRIM(_xlpm.srcCat)&lt;&gt;TRIM($J813),"",_xlfn.SWITCH($I813,"Computer",_xlfn.XLOOKUP($K813&amp;"",COMPUTER!$B$3:$B$1009&amp;"",COMPUTER!$K$3:$K$1009,""),"Display",_xlfn.XLOOKUP($K813&amp;"",DISPLAY!$B$3:$B$1000&amp;"",DISPLAY!$L$3:$L$1000,""),"Network Device",_xlfn.XLOOKUP($K813&amp;"",'NETWORK-DEVICES'!$B$3:$B$987&amp;"",'NETWORK-DEVICES'!$K$3:$K$987,""),"Peripheral",_xlfn.XLOOKUP($K813&amp;"",PERIPHERAL!$B$3:$B$954&amp;"",PERIPHERAL!$K$3:$K$954,""),"Utilities",_xlfn.XLOOKUP($K813&amp;"",UTILITIES!$B$3:$B$953&amp;"",UTILITIES!$J$3:$J$953,""),"IOT",_xlfn.XLOOKUP($K813&amp;"",IOT!$B$3:$B$1012&amp;"",IOT!$K$4:$K$1012,""),"Server",_xlfn.XLOOKUP($K813&amp;"",SERVER!$B$3:$B$1009&amp;"",SERVER!$K$3:$K$1009,""),""))))</f>
        <v/>
      </c>
      <c r="O813" s="1" t="str" cm="1">
        <f t="array" ref="O813">IF(OR($K813="",$I813="",$J813=""),"",_xlfn.LET(_xlpm.srcCat,_xlfn.SWITCH($I813,"Computer",_xlfn.XLOOKUP($K813&amp;"",COMPUTER!$B$3:$B$1009&amp;"",COMPUTER!$H$3:$H$1009,""),"Display",_xlfn.XLOOKUP($K813&amp;"",DISPLAY!$B$3:$B$1000&amp;"",DISPLAY!$H$3:$H$1000,""),"Network Device",_xlfn.XLOOKUP($K813&amp;"",'NETWORK-DEVICES'!$B$3:$B$987&amp;"",'NETWORK-DEVICES'!$H$3:$H$987,""),"Peripheral",_xlfn.XLOOKUP($K813&amp;"",PERIPHERAL!$B$3:$B$954&amp;"",PERIPHERAL!$H$3:$H$954,""),"Utilities",_xlfn.XLOOKUP($K813&amp;"",UTILITIES!$B$3:$B$953&amp;"",UTILITIES!$G$3:$G$953,""),"IOT",_xlfn.XLOOKUP($K813&amp;"",IOT!$B$3:$B$1012&amp;"",IOT!$H$3:$H$1012,""),"Server",_xlfn.XLOOKUP($K813&amp;"",SERVER!$B$3:$B$1009&amp;"",SERVER!$H$3:$H$1009,""),""),IF(TRIM(_xlpm.srcCat)&lt;&gt;TRIM($J813),"",_xlfn.SWITCH($I813,"Computer",_xlfn.XLOOKUP($K813&amp;"",COMPUTER!$B$3:$B$1009&amp;"",COMPUTER!$E$3:$E$1009,""),"Display",_xlfn.XLOOKUP($K813&amp;"",DISPLAY!$B$3:$B$1000&amp;"",DISPLAY!$E$3:$E$1000,""),"Network Device",_xlfn.XLOOKUP($K813&amp;"",'NETWORK-DEVICES'!$B$3:$B$987&amp;"",'NETWORK-DEVICES'!$E$3:$E$987,""),"Peripheral",_xlfn.XLOOKUP($K813&amp;"",PERIPHERAL!$B$3:$B$954&amp;"",PERIPHERAL!$E$3:$E$954,""),"Utilities",_xlfn.XLOOKUP($K813&amp;"",UTILITIES!$B$3:$B$953&amp;"",UTILITIES!$E$3:$E$953,""),"IOT",_xlfn.XLOOKUP($K813&amp;"",IOT!$B$3:$B$1012&amp;"",IOT!$E$3:$E$1012,""),"Server",_xlfn.XLOOKUP($K813&amp;"",SERVER!$B$3:$B$1009&amp;"",SERVER!$E$3:$E$1009,""),""))))</f>
        <v/>
      </c>
      <c r="Q813" s="1" t="str" cm="1">
        <f t="array" ref="Q813">IF(OR($K813="",$I813="",$J813=""),"",_xlfn.LET(_xlpm.srcCat,_xlfn.SWITCH($I813,"Computer",_xlfn.XLOOKUP($K813&amp;"",COMPUTER!$B$3:$B$1009&amp;"",COMPUTER!$H$3:$H$1009,""),"Display",_xlfn.XLOOKUP($K813&amp;"",DISPLAY!$B$3:$B$1000&amp;"",DISPLAY!$H$3:$H$1000,""),"Network Device",_xlfn.XLOOKUP($K813&amp;"",'NETWORK-DEVICES'!$B$3:$B$987&amp;"",'NETWORK-DEVICES'!$H$3:$H$987,""),"Peripheral",_xlfn.XLOOKUP($K813&amp;"",PERIPHERAL!$B$3:$B$954&amp;"",PERIPHERAL!$H$3:$H$954,""),"Utilities",_xlfn.XLOOKUP($K813&amp;"",UTILITIES!$B$3:$B$953&amp;"",UTILITIES!$G$3:$G$953,""),"IOT",_xlfn.XLOOKUP($K813&amp;"",IOT!$B$3:$B$1012&amp;"",IOT!$H$3:$H$1012,""),"Server",_xlfn.XLOOKUP($K813&amp;"",SERVER!$B$3:$B$1009&amp;"",SERVER!$H$3:$H$1009,""),""),IF(TRIM(_xlpm.srcCat)&lt;&gt;TRIM($J813),"",_xlfn.SWITCH($I813,"Computer",_xlfn.XLOOKUP($K813&amp;"",COMPUTER!$B$3:$B$1009&amp;"",COMPUTER!$AM$3:$AM$1009,""),"Display",_xlfn.XLOOKUP($K813&amp;"",DISPLAY!$B$3:$B$1000&amp;"",DISPLAY!$V$3:$V$1000,""),"Network Device",_xlfn.XLOOKUP($K813&amp;"",'NETWORK-DEVICES'!$B$3:$B$987&amp;"",'NETWORK-DEVICES'!$AF$3:$AF$987,""),"Peripheral",_xlfn.XLOOKUP($K813&amp;"",PERIPHERAL!$B$3:$B$954&amp;"",PERIPHERAL!$Y$3:$Y$954,""),"Utilities",_xlfn.XLOOKUP($K813&amp;"",UTILITIES!$B$3:$B$953&amp;"",UTILITIES!$O$3:$O$953,""),"IOT",_xlfn.XLOOKUP($K813&amp;"",IOT!$B$3:$B$1012&amp;"",IOT!$AB$3:$AB$1012,""),"Server",_xlfn.XLOOKUP($K813&amp;"",SERVER!$B$3:$B$1009&amp;"",SERVER!$AB$3:$AB$1009,""),""))))</f>
        <v/>
      </c>
      <c r="R813" s="43" t="str">
        <f>IF(tbl_handover[[#This Row],[Asset Code]]="","",COUNTIF(tbl_handover[Asset Code],tbl_handover[[#This Row],[Asset Code]]))</f>
        <v/>
      </c>
    </row>
    <row r="814" spans="1:18" x14ac:dyDescent="0.25">
      <c r="A814" s="43" t="str">
        <f>IF(B814&lt;&gt;"",SUBTOTAL(3,$B$1:B813),"")</f>
        <v/>
      </c>
      <c r="C814" s="74"/>
      <c r="D814" s="74"/>
      <c r="G814" s="1"/>
      <c r="K814" s="42"/>
      <c r="L814" t="str" cm="1">
        <f t="array" ref="L814">IF($K814="","",_xlfn.SWITCH($I814,"Computer",_xlfn.XLOOKUP($K814&amp;"",COMPUTER!$B$3:$B$1009&amp;"",COMPUTER!$I$3:$I$1009,""),"Display",_xlfn.XLOOKUP($K814&amp;"",DISPLAY!$B$3:$B$1000&amp;"",DISPLAY!$J$3:$J$1000,""),"Network Device",_xlfn.XLOOKUP($K814&amp;"",'NETWORK-DEVICES'!$B$3:$B$987&amp;"",'NETWORK-DEVICES'!$I$3:$I$987,""),"Peripheral",_xlfn.XLOOKUP($K814&amp;"",PERIPHERAL!$B$3:$B$954&amp;"",PERIPHERAL!$I$3:$I$954,""),"Utilities",_xlfn.XLOOKUP($K814&amp;"",UTILITIES!$B$3:$B$953&amp;"",UTILITIES!$H$3:$H$953,""),"IOT",_xlfn.XLOOKUP($K814&amp;"",IOT!$B$3:$B$1012&amp;"",IOT!$I$3:$I$1012,""),"SERVER",_xlfn.XLOOKUP($K814&amp;"",SERVER!$B$3:$B$1009&amp;"",SERVER!$I$3:$I$1009,""),""))</f>
        <v/>
      </c>
      <c r="M814" t="str" cm="1">
        <f t="array" ref="M814">IF($K814="","",_xlfn.SWITCH($I814,"Computer",_xlfn.XLOOKUP($K814&amp;"",COMPUTER!$B$3:$B$1009&amp;"",COMPUTER!$J$3:$J$1009,""),"Display",_xlfn.XLOOKUP($K814&amp;"",DISPLAY!$B$3:$B$1000&amp;"",DISPLAY!$K$3:$K$1000,""),"Network Device",_xlfn.XLOOKUP($K814&amp;"",'NETWORK-DEVICES'!$B$3:$B$987&amp;"",'NETWORK-DEVICES'!$I$3:$I$987,""),"Peripheral",_xlfn.XLOOKUP($K814&amp;"",PERIPHERAL!$B$3:$B$954&amp;"",PERIPHERAL!$J$3:$J$954,""),"Utilities",_xlfn.XLOOKUP($K814&amp;"",UTILITIES!$B$3:$B$953&amp;"",UTILITIES!$I$3:$I$953,""),"IOT",_xlfn.XLOOKUP($K814&amp;"",IOT!$B$3:$B$1012&amp;"",IOT!$J$3:$J$1012,""),"Server",_xlfn.XLOOKUP($K814&amp;"",SERVER!$B$3:$B$1009&amp;"",SERVER!$J$3:$J$1009,""),""))</f>
        <v/>
      </c>
      <c r="N814" s="1" t="str" cm="1">
        <f t="array" ref="N814">IF(OR($K814="",$I814="",$J814=""),"",_xlfn.LET(_xlpm.srcCat,_xlfn.SWITCH($I814,"Computer",_xlfn.XLOOKUP($K814&amp;"",COMPUTER!$B$3:$B$1009&amp;"",COMPUTER!$H$3:$H$1009,""),"Display",_xlfn.XLOOKUP($K814&amp;"",DISPLAY!$B$3:$B$1000&amp;"",DISPLAY!$H$3:$H$1000,""),"Network Device",_xlfn.XLOOKUP($K814&amp;"",'NETWORK-DEVICES'!$B$3:$B$987&amp;"",'NETWORK-DEVICES'!$H$3:$H$987,""),"Peripheral",_xlfn.XLOOKUP($K814&amp;"",PERIPHERAL!$B$3:$B$954&amp;"",PERIPHERAL!$H$3:$H$954,""),"Utilities",_xlfn.XLOOKUP($K814&amp;"",UTILITIES!$B$3:$B$953&amp;"",UTILITIES!$G$3:$G$953,""),"IOT",_xlfn.XLOOKUP($K814&amp;"",IOT!$B$3:$B$1012&amp;"",IOT!$H$3:$H$1012,""),"Server",_xlfn.XLOOKUP($K814&amp;"",SERVER!$B$3:$B$1009&amp;"",SERVER!$H$3:$H$1009,""),""),IF(TRIM(_xlpm.srcCat)&lt;&gt;TRIM($J814),"",_xlfn.SWITCH($I814,"Computer",_xlfn.XLOOKUP($K814&amp;"",COMPUTER!$B$3:$B$1009&amp;"",COMPUTER!$K$3:$K$1009,""),"Display",_xlfn.XLOOKUP($K814&amp;"",DISPLAY!$B$3:$B$1000&amp;"",DISPLAY!$L$3:$L$1000,""),"Network Device",_xlfn.XLOOKUP($K814&amp;"",'NETWORK-DEVICES'!$B$3:$B$987&amp;"",'NETWORK-DEVICES'!$K$3:$K$987,""),"Peripheral",_xlfn.XLOOKUP($K814&amp;"",PERIPHERAL!$B$3:$B$954&amp;"",PERIPHERAL!$K$3:$K$954,""),"Utilities",_xlfn.XLOOKUP($K814&amp;"",UTILITIES!$B$3:$B$953&amp;"",UTILITIES!$J$3:$J$953,""),"IOT",_xlfn.XLOOKUP($K814&amp;"",IOT!$B$3:$B$1012&amp;"",IOT!$K$4:$K$1012,""),"Server",_xlfn.XLOOKUP($K814&amp;"",SERVER!$B$3:$B$1009&amp;"",SERVER!$K$3:$K$1009,""),""))))</f>
        <v/>
      </c>
      <c r="O814" s="1" t="str" cm="1">
        <f t="array" ref="O814">IF(OR($K814="",$I814="",$J814=""),"",_xlfn.LET(_xlpm.srcCat,_xlfn.SWITCH($I814,"Computer",_xlfn.XLOOKUP($K814&amp;"",COMPUTER!$B$3:$B$1009&amp;"",COMPUTER!$H$3:$H$1009,""),"Display",_xlfn.XLOOKUP($K814&amp;"",DISPLAY!$B$3:$B$1000&amp;"",DISPLAY!$H$3:$H$1000,""),"Network Device",_xlfn.XLOOKUP($K814&amp;"",'NETWORK-DEVICES'!$B$3:$B$987&amp;"",'NETWORK-DEVICES'!$H$3:$H$987,""),"Peripheral",_xlfn.XLOOKUP($K814&amp;"",PERIPHERAL!$B$3:$B$954&amp;"",PERIPHERAL!$H$3:$H$954,""),"Utilities",_xlfn.XLOOKUP($K814&amp;"",UTILITIES!$B$3:$B$953&amp;"",UTILITIES!$G$3:$G$953,""),"IOT",_xlfn.XLOOKUP($K814&amp;"",IOT!$B$3:$B$1012&amp;"",IOT!$H$3:$H$1012,""),"Server",_xlfn.XLOOKUP($K814&amp;"",SERVER!$B$3:$B$1009&amp;"",SERVER!$H$3:$H$1009,""),""),IF(TRIM(_xlpm.srcCat)&lt;&gt;TRIM($J814),"",_xlfn.SWITCH($I814,"Computer",_xlfn.XLOOKUP($K814&amp;"",COMPUTER!$B$3:$B$1009&amp;"",COMPUTER!$E$3:$E$1009,""),"Display",_xlfn.XLOOKUP($K814&amp;"",DISPLAY!$B$3:$B$1000&amp;"",DISPLAY!$E$3:$E$1000,""),"Network Device",_xlfn.XLOOKUP($K814&amp;"",'NETWORK-DEVICES'!$B$3:$B$987&amp;"",'NETWORK-DEVICES'!$E$3:$E$987,""),"Peripheral",_xlfn.XLOOKUP($K814&amp;"",PERIPHERAL!$B$3:$B$954&amp;"",PERIPHERAL!$E$3:$E$954,""),"Utilities",_xlfn.XLOOKUP($K814&amp;"",UTILITIES!$B$3:$B$953&amp;"",UTILITIES!$E$3:$E$953,""),"IOT",_xlfn.XLOOKUP($K814&amp;"",IOT!$B$3:$B$1012&amp;"",IOT!$E$3:$E$1012,""),"Server",_xlfn.XLOOKUP($K814&amp;"",SERVER!$B$3:$B$1009&amp;"",SERVER!$E$3:$E$1009,""),""))))</f>
        <v/>
      </c>
      <c r="Q814" s="1" t="str" cm="1">
        <f t="array" ref="Q814">IF(OR($K814="",$I814="",$J814=""),"",_xlfn.LET(_xlpm.srcCat,_xlfn.SWITCH($I814,"Computer",_xlfn.XLOOKUP($K814&amp;"",COMPUTER!$B$3:$B$1009&amp;"",COMPUTER!$H$3:$H$1009,""),"Display",_xlfn.XLOOKUP($K814&amp;"",DISPLAY!$B$3:$B$1000&amp;"",DISPLAY!$H$3:$H$1000,""),"Network Device",_xlfn.XLOOKUP($K814&amp;"",'NETWORK-DEVICES'!$B$3:$B$987&amp;"",'NETWORK-DEVICES'!$H$3:$H$987,""),"Peripheral",_xlfn.XLOOKUP($K814&amp;"",PERIPHERAL!$B$3:$B$954&amp;"",PERIPHERAL!$H$3:$H$954,""),"Utilities",_xlfn.XLOOKUP($K814&amp;"",UTILITIES!$B$3:$B$953&amp;"",UTILITIES!$G$3:$G$953,""),"IOT",_xlfn.XLOOKUP($K814&amp;"",IOT!$B$3:$B$1012&amp;"",IOT!$H$3:$H$1012,""),"Server",_xlfn.XLOOKUP($K814&amp;"",SERVER!$B$3:$B$1009&amp;"",SERVER!$H$3:$H$1009,""),""),IF(TRIM(_xlpm.srcCat)&lt;&gt;TRIM($J814),"",_xlfn.SWITCH($I814,"Computer",_xlfn.XLOOKUP($K814&amp;"",COMPUTER!$B$3:$B$1009&amp;"",COMPUTER!$AM$3:$AM$1009,""),"Display",_xlfn.XLOOKUP($K814&amp;"",DISPLAY!$B$3:$B$1000&amp;"",DISPLAY!$V$3:$V$1000,""),"Network Device",_xlfn.XLOOKUP($K814&amp;"",'NETWORK-DEVICES'!$B$3:$B$987&amp;"",'NETWORK-DEVICES'!$AF$3:$AF$987,""),"Peripheral",_xlfn.XLOOKUP($K814&amp;"",PERIPHERAL!$B$3:$B$954&amp;"",PERIPHERAL!$Y$3:$Y$954,""),"Utilities",_xlfn.XLOOKUP($K814&amp;"",UTILITIES!$B$3:$B$953&amp;"",UTILITIES!$O$3:$O$953,""),"IOT",_xlfn.XLOOKUP($K814&amp;"",IOT!$B$3:$B$1012&amp;"",IOT!$AB$3:$AB$1012,""),"Server",_xlfn.XLOOKUP($K814&amp;"",SERVER!$B$3:$B$1009&amp;"",SERVER!$AB$3:$AB$1009,""),""))))</f>
        <v/>
      </c>
      <c r="R814" s="43" t="str">
        <f>IF(tbl_handover[[#This Row],[Asset Code]]="","",COUNTIF(tbl_handover[Asset Code],tbl_handover[[#This Row],[Asset Code]]))</f>
        <v/>
      </c>
    </row>
    <row r="815" spans="1:18" x14ac:dyDescent="0.25">
      <c r="A815" s="43" t="str">
        <f>IF(B815&lt;&gt;"",SUBTOTAL(3,$B$1:B814),"")</f>
        <v/>
      </c>
      <c r="C815" s="74"/>
      <c r="D815" s="74"/>
      <c r="G815" s="1"/>
      <c r="K815" s="42"/>
      <c r="L815" t="str" cm="1">
        <f t="array" ref="L815">IF($K815="","",_xlfn.SWITCH($I815,"Computer",_xlfn.XLOOKUP($K815&amp;"",COMPUTER!$B$3:$B$1009&amp;"",COMPUTER!$I$3:$I$1009,""),"Display",_xlfn.XLOOKUP($K815&amp;"",DISPLAY!$B$3:$B$1000&amp;"",DISPLAY!$J$3:$J$1000,""),"Network Device",_xlfn.XLOOKUP($K815&amp;"",'NETWORK-DEVICES'!$B$3:$B$987&amp;"",'NETWORK-DEVICES'!$I$3:$I$987,""),"Peripheral",_xlfn.XLOOKUP($K815&amp;"",PERIPHERAL!$B$3:$B$954&amp;"",PERIPHERAL!$I$3:$I$954,""),"Utilities",_xlfn.XLOOKUP($K815&amp;"",UTILITIES!$B$3:$B$953&amp;"",UTILITIES!$H$3:$H$953,""),"IOT",_xlfn.XLOOKUP($K815&amp;"",IOT!$B$3:$B$1012&amp;"",IOT!$I$3:$I$1012,""),"SERVER",_xlfn.XLOOKUP($K815&amp;"",SERVER!$B$3:$B$1009&amp;"",SERVER!$I$3:$I$1009,""),""))</f>
        <v/>
      </c>
      <c r="M815" t="str" cm="1">
        <f t="array" ref="M815">IF($K815="","",_xlfn.SWITCH($I815,"Computer",_xlfn.XLOOKUP($K815&amp;"",COMPUTER!$B$3:$B$1009&amp;"",COMPUTER!$J$3:$J$1009,""),"Display",_xlfn.XLOOKUP($K815&amp;"",DISPLAY!$B$3:$B$1000&amp;"",DISPLAY!$K$3:$K$1000,""),"Network Device",_xlfn.XLOOKUP($K815&amp;"",'NETWORK-DEVICES'!$B$3:$B$987&amp;"",'NETWORK-DEVICES'!$I$3:$I$987,""),"Peripheral",_xlfn.XLOOKUP($K815&amp;"",PERIPHERAL!$B$3:$B$954&amp;"",PERIPHERAL!$J$3:$J$954,""),"Utilities",_xlfn.XLOOKUP($K815&amp;"",UTILITIES!$B$3:$B$953&amp;"",UTILITIES!$I$3:$I$953,""),"IOT",_xlfn.XLOOKUP($K815&amp;"",IOT!$B$3:$B$1012&amp;"",IOT!$J$3:$J$1012,""),"Server",_xlfn.XLOOKUP($K815&amp;"",SERVER!$B$3:$B$1009&amp;"",SERVER!$J$3:$J$1009,""),""))</f>
        <v/>
      </c>
      <c r="N815" s="1" t="str" cm="1">
        <f t="array" ref="N815">IF(OR($K815="",$I815="",$J815=""),"",_xlfn.LET(_xlpm.srcCat,_xlfn.SWITCH($I815,"Computer",_xlfn.XLOOKUP($K815&amp;"",COMPUTER!$B$3:$B$1009&amp;"",COMPUTER!$H$3:$H$1009,""),"Display",_xlfn.XLOOKUP($K815&amp;"",DISPLAY!$B$3:$B$1000&amp;"",DISPLAY!$H$3:$H$1000,""),"Network Device",_xlfn.XLOOKUP($K815&amp;"",'NETWORK-DEVICES'!$B$3:$B$987&amp;"",'NETWORK-DEVICES'!$H$3:$H$987,""),"Peripheral",_xlfn.XLOOKUP($K815&amp;"",PERIPHERAL!$B$3:$B$954&amp;"",PERIPHERAL!$H$3:$H$954,""),"Utilities",_xlfn.XLOOKUP($K815&amp;"",UTILITIES!$B$3:$B$953&amp;"",UTILITIES!$G$3:$G$953,""),"IOT",_xlfn.XLOOKUP($K815&amp;"",IOT!$B$3:$B$1012&amp;"",IOT!$H$3:$H$1012,""),"Server",_xlfn.XLOOKUP($K815&amp;"",SERVER!$B$3:$B$1009&amp;"",SERVER!$H$3:$H$1009,""),""),IF(TRIM(_xlpm.srcCat)&lt;&gt;TRIM($J815),"",_xlfn.SWITCH($I815,"Computer",_xlfn.XLOOKUP($K815&amp;"",COMPUTER!$B$3:$B$1009&amp;"",COMPUTER!$K$3:$K$1009,""),"Display",_xlfn.XLOOKUP($K815&amp;"",DISPLAY!$B$3:$B$1000&amp;"",DISPLAY!$L$3:$L$1000,""),"Network Device",_xlfn.XLOOKUP($K815&amp;"",'NETWORK-DEVICES'!$B$3:$B$987&amp;"",'NETWORK-DEVICES'!$K$3:$K$987,""),"Peripheral",_xlfn.XLOOKUP($K815&amp;"",PERIPHERAL!$B$3:$B$954&amp;"",PERIPHERAL!$K$3:$K$954,""),"Utilities",_xlfn.XLOOKUP($K815&amp;"",UTILITIES!$B$3:$B$953&amp;"",UTILITIES!$J$3:$J$953,""),"IOT",_xlfn.XLOOKUP($K815&amp;"",IOT!$B$3:$B$1012&amp;"",IOT!$K$4:$K$1012,""),"Server",_xlfn.XLOOKUP($K815&amp;"",SERVER!$B$3:$B$1009&amp;"",SERVER!$K$3:$K$1009,""),""))))</f>
        <v/>
      </c>
      <c r="O815" s="1" t="str" cm="1">
        <f t="array" ref="O815">IF(OR($K815="",$I815="",$J815=""),"",_xlfn.LET(_xlpm.srcCat,_xlfn.SWITCH($I815,"Computer",_xlfn.XLOOKUP($K815&amp;"",COMPUTER!$B$3:$B$1009&amp;"",COMPUTER!$H$3:$H$1009,""),"Display",_xlfn.XLOOKUP($K815&amp;"",DISPLAY!$B$3:$B$1000&amp;"",DISPLAY!$H$3:$H$1000,""),"Network Device",_xlfn.XLOOKUP($K815&amp;"",'NETWORK-DEVICES'!$B$3:$B$987&amp;"",'NETWORK-DEVICES'!$H$3:$H$987,""),"Peripheral",_xlfn.XLOOKUP($K815&amp;"",PERIPHERAL!$B$3:$B$954&amp;"",PERIPHERAL!$H$3:$H$954,""),"Utilities",_xlfn.XLOOKUP($K815&amp;"",UTILITIES!$B$3:$B$953&amp;"",UTILITIES!$G$3:$G$953,""),"IOT",_xlfn.XLOOKUP($K815&amp;"",IOT!$B$3:$B$1012&amp;"",IOT!$H$3:$H$1012,""),"Server",_xlfn.XLOOKUP($K815&amp;"",SERVER!$B$3:$B$1009&amp;"",SERVER!$H$3:$H$1009,""),""),IF(TRIM(_xlpm.srcCat)&lt;&gt;TRIM($J815),"",_xlfn.SWITCH($I815,"Computer",_xlfn.XLOOKUP($K815&amp;"",COMPUTER!$B$3:$B$1009&amp;"",COMPUTER!$E$3:$E$1009,""),"Display",_xlfn.XLOOKUP($K815&amp;"",DISPLAY!$B$3:$B$1000&amp;"",DISPLAY!$E$3:$E$1000,""),"Network Device",_xlfn.XLOOKUP($K815&amp;"",'NETWORK-DEVICES'!$B$3:$B$987&amp;"",'NETWORK-DEVICES'!$E$3:$E$987,""),"Peripheral",_xlfn.XLOOKUP($K815&amp;"",PERIPHERAL!$B$3:$B$954&amp;"",PERIPHERAL!$E$3:$E$954,""),"Utilities",_xlfn.XLOOKUP($K815&amp;"",UTILITIES!$B$3:$B$953&amp;"",UTILITIES!$E$3:$E$953,""),"IOT",_xlfn.XLOOKUP($K815&amp;"",IOT!$B$3:$B$1012&amp;"",IOT!$E$3:$E$1012,""),"Server",_xlfn.XLOOKUP($K815&amp;"",SERVER!$B$3:$B$1009&amp;"",SERVER!$E$3:$E$1009,""),""))))</f>
        <v/>
      </c>
      <c r="Q815" s="1" t="str" cm="1">
        <f t="array" ref="Q815">IF(OR($K815="",$I815="",$J815=""),"",_xlfn.LET(_xlpm.srcCat,_xlfn.SWITCH($I815,"Computer",_xlfn.XLOOKUP($K815&amp;"",COMPUTER!$B$3:$B$1009&amp;"",COMPUTER!$H$3:$H$1009,""),"Display",_xlfn.XLOOKUP($K815&amp;"",DISPLAY!$B$3:$B$1000&amp;"",DISPLAY!$H$3:$H$1000,""),"Network Device",_xlfn.XLOOKUP($K815&amp;"",'NETWORK-DEVICES'!$B$3:$B$987&amp;"",'NETWORK-DEVICES'!$H$3:$H$987,""),"Peripheral",_xlfn.XLOOKUP($K815&amp;"",PERIPHERAL!$B$3:$B$954&amp;"",PERIPHERAL!$H$3:$H$954,""),"Utilities",_xlfn.XLOOKUP($K815&amp;"",UTILITIES!$B$3:$B$953&amp;"",UTILITIES!$G$3:$G$953,""),"IOT",_xlfn.XLOOKUP($K815&amp;"",IOT!$B$3:$B$1012&amp;"",IOT!$H$3:$H$1012,""),"Server",_xlfn.XLOOKUP($K815&amp;"",SERVER!$B$3:$B$1009&amp;"",SERVER!$H$3:$H$1009,""),""),IF(TRIM(_xlpm.srcCat)&lt;&gt;TRIM($J815),"",_xlfn.SWITCH($I815,"Computer",_xlfn.XLOOKUP($K815&amp;"",COMPUTER!$B$3:$B$1009&amp;"",COMPUTER!$AM$3:$AM$1009,""),"Display",_xlfn.XLOOKUP($K815&amp;"",DISPLAY!$B$3:$B$1000&amp;"",DISPLAY!$V$3:$V$1000,""),"Network Device",_xlfn.XLOOKUP($K815&amp;"",'NETWORK-DEVICES'!$B$3:$B$987&amp;"",'NETWORK-DEVICES'!$AF$3:$AF$987,""),"Peripheral",_xlfn.XLOOKUP($K815&amp;"",PERIPHERAL!$B$3:$B$954&amp;"",PERIPHERAL!$Y$3:$Y$954,""),"Utilities",_xlfn.XLOOKUP($K815&amp;"",UTILITIES!$B$3:$B$953&amp;"",UTILITIES!$O$3:$O$953,""),"IOT",_xlfn.XLOOKUP($K815&amp;"",IOT!$B$3:$B$1012&amp;"",IOT!$AB$3:$AB$1012,""),"Server",_xlfn.XLOOKUP($K815&amp;"",SERVER!$B$3:$B$1009&amp;"",SERVER!$AB$3:$AB$1009,""),""))))</f>
        <v/>
      </c>
      <c r="R815" s="43" t="str">
        <f>IF(tbl_handover[[#This Row],[Asset Code]]="","",COUNTIF(tbl_handover[Asset Code],tbl_handover[[#This Row],[Asset Code]]))</f>
        <v/>
      </c>
    </row>
    <row r="816" spans="1:18" x14ac:dyDescent="0.25">
      <c r="A816" s="43" t="str">
        <f>IF(B816&lt;&gt;"",SUBTOTAL(3,$B$1:B815),"")</f>
        <v/>
      </c>
      <c r="C816" s="74"/>
      <c r="D816" s="74"/>
      <c r="G816" s="1"/>
      <c r="K816" s="42"/>
      <c r="L816" t="str" cm="1">
        <f t="array" ref="L816">IF($K816="","",_xlfn.SWITCH($I816,"Computer",_xlfn.XLOOKUP($K816&amp;"",COMPUTER!$B$3:$B$1009&amp;"",COMPUTER!$I$3:$I$1009,""),"Display",_xlfn.XLOOKUP($K816&amp;"",DISPLAY!$B$3:$B$1000&amp;"",DISPLAY!$J$3:$J$1000,""),"Network Device",_xlfn.XLOOKUP($K816&amp;"",'NETWORK-DEVICES'!$B$3:$B$987&amp;"",'NETWORK-DEVICES'!$I$3:$I$987,""),"Peripheral",_xlfn.XLOOKUP($K816&amp;"",PERIPHERAL!$B$3:$B$954&amp;"",PERIPHERAL!$I$3:$I$954,""),"Utilities",_xlfn.XLOOKUP($K816&amp;"",UTILITIES!$B$3:$B$953&amp;"",UTILITIES!$H$3:$H$953,""),"IOT",_xlfn.XLOOKUP($K816&amp;"",IOT!$B$3:$B$1012&amp;"",IOT!$I$3:$I$1012,""),"SERVER",_xlfn.XLOOKUP($K816&amp;"",SERVER!$B$3:$B$1009&amp;"",SERVER!$I$3:$I$1009,""),""))</f>
        <v/>
      </c>
      <c r="M816" t="str" cm="1">
        <f t="array" ref="M816">IF($K816="","",_xlfn.SWITCH($I816,"Computer",_xlfn.XLOOKUP($K816&amp;"",COMPUTER!$B$3:$B$1009&amp;"",COMPUTER!$J$3:$J$1009,""),"Display",_xlfn.XLOOKUP($K816&amp;"",DISPLAY!$B$3:$B$1000&amp;"",DISPLAY!$K$3:$K$1000,""),"Network Device",_xlfn.XLOOKUP($K816&amp;"",'NETWORK-DEVICES'!$B$3:$B$987&amp;"",'NETWORK-DEVICES'!$I$3:$I$987,""),"Peripheral",_xlfn.XLOOKUP($K816&amp;"",PERIPHERAL!$B$3:$B$954&amp;"",PERIPHERAL!$J$3:$J$954,""),"Utilities",_xlfn.XLOOKUP($K816&amp;"",UTILITIES!$B$3:$B$953&amp;"",UTILITIES!$I$3:$I$953,""),"IOT",_xlfn.XLOOKUP($K816&amp;"",IOT!$B$3:$B$1012&amp;"",IOT!$J$3:$J$1012,""),"Server",_xlfn.XLOOKUP($K816&amp;"",SERVER!$B$3:$B$1009&amp;"",SERVER!$J$3:$J$1009,""),""))</f>
        <v/>
      </c>
      <c r="N816" s="1" t="str" cm="1">
        <f t="array" ref="N816">IF(OR($K816="",$I816="",$J816=""),"",_xlfn.LET(_xlpm.srcCat,_xlfn.SWITCH($I816,"Computer",_xlfn.XLOOKUP($K816&amp;"",COMPUTER!$B$3:$B$1009&amp;"",COMPUTER!$H$3:$H$1009,""),"Display",_xlfn.XLOOKUP($K816&amp;"",DISPLAY!$B$3:$B$1000&amp;"",DISPLAY!$H$3:$H$1000,""),"Network Device",_xlfn.XLOOKUP($K816&amp;"",'NETWORK-DEVICES'!$B$3:$B$987&amp;"",'NETWORK-DEVICES'!$H$3:$H$987,""),"Peripheral",_xlfn.XLOOKUP($K816&amp;"",PERIPHERAL!$B$3:$B$954&amp;"",PERIPHERAL!$H$3:$H$954,""),"Utilities",_xlfn.XLOOKUP($K816&amp;"",UTILITIES!$B$3:$B$953&amp;"",UTILITIES!$G$3:$G$953,""),"IOT",_xlfn.XLOOKUP($K816&amp;"",IOT!$B$3:$B$1012&amp;"",IOT!$H$3:$H$1012,""),"Server",_xlfn.XLOOKUP($K816&amp;"",SERVER!$B$3:$B$1009&amp;"",SERVER!$H$3:$H$1009,""),""),IF(TRIM(_xlpm.srcCat)&lt;&gt;TRIM($J816),"",_xlfn.SWITCH($I816,"Computer",_xlfn.XLOOKUP($K816&amp;"",COMPUTER!$B$3:$B$1009&amp;"",COMPUTER!$K$3:$K$1009,""),"Display",_xlfn.XLOOKUP($K816&amp;"",DISPLAY!$B$3:$B$1000&amp;"",DISPLAY!$L$3:$L$1000,""),"Network Device",_xlfn.XLOOKUP($K816&amp;"",'NETWORK-DEVICES'!$B$3:$B$987&amp;"",'NETWORK-DEVICES'!$K$3:$K$987,""),"Peripheral",_xlfn.XLOOKUP($K816&amp;"",PERIPHERAL!$B$3:$B$954&amp;"",PERIPHERAL!$K$3:$K$954,""),"Utilities",_xlfn.XLOOKUP($K816&amp;"",UTILITIES!$B$3:$B$953&amp;"",UTILITIES!$J$3:$J$953,""),"IOT",_xlfn.XLOOKUP($K816&amp;"",IOT!$B$3:$B$1012&amp;"",IOT!$K$4:$K$1012,""),"Server",_xlfn.XLOOKUP($K816&amp;"",SERVER!$B$3:$B$1009&amp;"",SERVER!$K$3:$K$1009,""),""))))</f>
        <v/>
      </c>
      <c r="O816" s="1" t="str" cm="1">
        <f t="array" ref="O816">IF(OR($K816="",$I816="",$J816=""),"",_xlfn.LET(_xlpm.srcCat,_xlfn.SWITCH($I816,"Computer",_xlfn.XLOOKUP($K816&amp;"",COMPUTER!$B$3:$B$1009&amp;"",COMPUTER!$H$3:$H$1009,""),"Display",_xlfn.XLOOKUP($K816&amp;"",DISPLAY!$B$3:$B$1000&amp;"",DISPLAY!$H$3:$H$1000,""),"Network Device",_xlfn.XLOOKUP($K816&amp;"",'NETWORK-DEVICES'!$B$3:$B$987&amp;"",'NETWORK-DEVICES'!$H$3:$H$987,""),"Peripheral",_xlfn.XLOOKUP($K816&amp;"",PERIPHERAL!$B$3:$B$954&amp;"",PERIPHERAL!$H$3:$H$954,""),"Utilities",_xlfn.XLOOKUP($K816&amp;"",UTILITIES!$B$3:$B$953&amp;"",UTILITIES!$G$3:$G$953,""),"IOT",_xlfn.XLOOKUP($K816&amp;"",IOT!$B$3:$B$1012&amp;"",IOT!$H$3:$H$1012,""),"Server",_xlfn.XLOOKUP($K816&amp;"",SERVER!$B$3:$B$1009&amp;"",SERVER!$H$3:$H$1009,""),""),IF(TRIM(_xlpm.srcCat)&lt;&gt;TRIM($J816),"",_xlfn.SWITCH($I816,"Computer",_xlfn.XLOOKUP($K816&amp;"",COMPUTER!$B$3:$B$1009&amp;"",COMPUTER!$E$3:$E$1009,""),"Display",_xlfn.XLOOKUP($K816&amp;"",DISPLAY!$B$3:$B$1000&amp;"",DISPLAY!$E$3:$E$1000,""),"Network Device",_xlfn.XLOOKUP($K816&amp;"",'NETWORK-DEVICES'!$B$3:$B$987&amp;"",'NETWORK-DEVICES'!$E$3:$E$987,""),"Peripheral",_xlfn.XLOOKUP($K816&amp;"",PERIPHERAL!$B$3:$B$954&amp;"",PERIPHERAL!$E$3:$E$954,""),"Utilities",_xlfn.XLOOKUP($K816&amp;"",UTILITIES!$B$3:$B$953&amp;"",UTILITIES!$E$3:$E$953,""),"IOT",_xlfn.XLOOKUP($K816&amp;"",IOT!$B$3:$B$1012&amp;"",IOT!$E$3:$E$1012,""),"Server",_xlfn.XLOOKUP($K816&amp;"",SERVER!$B$3:$B$1009&amp;"",SERVER!$E$3:$E$1009,""),""))))</f>
        <v/>
      </c>
      <c r="Q816" s="1" t="str" cm="1">
        <f t="array" ref="Q816">IF(OR($K816="",$I816="",$J816=""),"",_xlfn.LET(_xlpm.srcCat,_xlfn.SWITCH($I816,"Computer",_xlfn.XLOOKUP($K816&amp;"",COMPUTER!$B$3:$B$1009&amp;"",COMPUTER!$H$3:$H$1009,""),"Display",_xlfn.XLOOKUP($K816&amp;"",DISPLAY!$B$3:$B$1000&amp;"",DISPLAY!$H$3:$H$1000,""),"Network Device",_xlfn.XLOOKUP($K816&amp;"",'NETWORK-DEVICES'!$B$3:$B$987&amp;"",'NETWORK-DEVICES'!$H$3:$H$987,""),"Peripheral",_xlfn.XLOOKUP($K816&amp;"",PERIPHERAL!$B$3:$B$954&amp;"",PERIPHERAL!$H$3:$H$954,""),"Utilities",_xlfn.XLOOKUP($K816&amp;"",UTILITIES!$B$3:$B$953&amp;"",UTILITIES!$G$3:$G$953,""),"IOT",_xlfn.XLOOKUP($K816&amp;"",IOT!$B$3:$B$1012&amp;"",IOT!$H$3:$H$1012,""),"Server",_xlfn.XLOOKUP($K816&amp;"",SERVER!$B$3:$B$1009&amp;"",SERVER!$H$3:$H$1009,""),""),IF(TRIM(_xlpm.srcCat)&lt;&gt;TRIM($J816),"",_xlfn.SWITCH($I816,"Computer",_xlfn.XLOOKUP($K816&amp;"",COMPUTER!$B$3:$B$1009&amp;"",COMPUTER!$AM$3:$AM$1009,""),"Display",_xlfn.XLOOKUP($K816&amp;"",DISPLAY!$B$3:$B$1000&amp;"",DISPLAY!$V$3:$V$1000,""),"Network Device",_xlfn.XLOOKUP($K816&amp;"",'NETWORK-DEVICES'!$B$3:$B$987&amp;"",'NETWORK-DEVICES'!$AF$3:$AF$987,""),"Peripheral",_xlfn.XLOOKUP($K816&amp;"",PERIPHERAL!$B$3:$B$954&amp;"",PERIPHERAL!$Y$3:$Y$954,""),"Utilities",_xlfn.XLOOKUP($K816&amp;"",UTILITIES!$B$3:$B$953&amp;"",UTILITIES!$O$3:$O$953,""),"IOT",_xlfn.XLOOKUP($K816&amp;"",IOT!$B$3:$B$1012&amp;"",IOT!$AB$3:$AB$1012,""),"Server",_xlfn.XLOOKUP($K816&amp;"",SERVER!$B$3:$B$1009&amp;"",SERVER!$AB$3:$AB$1009,""),""))))</f>
        <v/>
      </c>
      <c r="R816" s="43" t="str">
        <f>IF(tbl_handover[[#This Row],[Asset Code]]="","",COUNTIF(tbl_handover[Asset Code],tbl_handover[[#This Row],[Asset Code]]))</f>
        <v/>
      </c>
    </row>
    <row r="817" spans="1:18" x14ac:dyDescent="0.25">
      <c r="A817" s="43" t="str">
        <f>IF(B817&lt;&gt;"",SUBTOTAL(3,$B$1:B816),"")</f>
        <v/>
      </c>
      <c r="C817" s="74"/>
      <c r="D817" s="74"/>
      <c r="G817" s="1"/>
      <c r="K817" s="42"/>
      <c r="L817" t="str" cm="1">
        <f t="array" ref="L817">IF($K817="","",_xlfn.SWITCH($I817,"Computer",_xlfn.XLOOKUP($K817&amp;"",COMPUTER!$B$3:$B$1009&amp;"",COMPUTER!$I$3:$I$1009,""),"Display",_xlfn.XLOOKUP($K817&amp;"",DISPLAY!$B$3:$B$1000&amp;"",DISPLAY!$J$3:$J$1000,""),"Network Device",_xlfn.XLOOKUP($K817&amp;"",'NETWORK-DEVICES'!$B$3:$B$987&amp;"",'NETWORK-DEVICES'!$I$3:$I$987,""),"Peripheral",_xlfn.XLOOKUP($K817&amp;"",PERIPHERAL!$B$3:$B$954&amp;"",PERIPHERAL!$I$3:$I$954,""),"Utilities",_xlfn.XLOOKUP($K817&amp;"",UTILITIES!$B$3:$B$953&amp;"",UTILITIES!$H$3:$H$953,""),"IOT",_xlfn.XLOOKUP($K817&amp;"",IOT!$B$3:$B$1012&amp;"",IOT!$I$3:$I$1012,""),"SERVER",_xlfn.XLOOKUP($K817&amp;"",SERVER!$B$3:$B$1009&amp;"",SERVER!$I$3:$I$1009,""),""))</f>
        <v/>
      </c>
      <c r="M817" t="str" cm="1">
        <f t="array" ref="M817">IF($K817="","",_xlfn.SWITCH($I817,"Computer",_xlfn.XLOOKUP($K817&amp;"",COMPUTER!$B$3:$B$1009&amp;"",COMPUTER!$J$3:$J$1009,""),"Display",_xlfn.XLOOKUP($K817&amp;"",DISPLAY!$B$3:$B$1000&amp;"",DISPLAY!$K$3:$K$1000,""),"Network Device",_xlfn.XLOOKUP($K817&amp;"",'NETWORK-DEVICES'!$B$3:$B$987&amp;"",'NETWORK-DEVICES'!$I$3:$I$987,""),"Peripheral",_xlfn.XLOOKUP($K817&amp;"",PERIPHERAL!$B$3:$B$954&amp;"",PERIPHERAL!$J$3:$J$954,""),"Utilities",_xlfn.XLOOKUP($K817&amp;"",UTILITIES!$B$3:$B$953&amp;"",UTILITIES!$I$3:$I$953,""),"IOT",_xlfn.XLOOKUP($K817&amp;"",IOT!$B$3:$B$1012&amp;"",IOT!$J$3:$J$1012,""),"Server",_xlfn.XLOOKUP($K817&amp;"",SERVER!$B$3:$B$1009&amp;"",SERVER!$J$3:$J$1009,""),""))</f>
        <v/>
      </c>
      <c r="N817" s="1" t="str" cm="1">
        <f t="array" ref="N817">IF(OR($K817="",$I817="",$J817=""),"",_xlfn.LET(_xlpm.srcCat,_xlfn.SWITCH($I817,"Computer",_xlfn.XLOOKUP($K817&amp;"",COMPUTER!$B$3:$B$1009&amp;"",COMPUTER!$H$3:$H$1009,""),"Display",_xlfn.XLOOKUP($K817&amp;"",DISPLAY!$B$3:$B$1000&amp;"",DISPLAY!$H$3:$H$1000,""),"Network Device",_xlfn.XLOOKUP($K817&amp;"",'NETWORK-DEVICES'!$B$3:$B$987&amp;"",'NETWORK-DEVICES'!$H$3:$H$987,""),"Peripheral",_xlfn.XLOOKUP($K817&amp;"",PERIPHERAL!$B$3:$B$954&amp;"",PERIPHERAL!$H$3:$H$954,""),"Utilities",_xlfn.XLOOKUP($K817&amp;"",UTILITIES!$B$3:$B$953&amp;"",UTILITIES!$G$3:$G$953,""),"IOT",_xlfn.XLOOKUP($K817&amp;"",IOT!$B$3:$B$1012&amp;"",IOT!$H$3:$H$1012,""),"Server",_xlfn.XLOOKUP($K817&amp;"",SERVER!$B$3:$B$1009&amp;"",SERVER!$H$3:$H$1009,""),""),IF(TRIM(_xlpm.srcCat)&lt;&gt;TRIM($J817),"",_xlfn.SWITCH($I817,"Computer",_xlfn.XLOOKUP($K817&amp;"",COMPUTER!$B$3:$B$1009&amp;"",COMPUTER!$K$3:$K$1009,""),"Display",_xlfn.XLOOKUP($K817&amp;"",DISPLAY!$B$3:$B$1000&amp;"",DISPLAY!$L$3:$L$1000,""),"Network Device",_xlfn.XLOOKUP($K817&amp;"",'NETWORK-DEVICES'!$B$3:$B$987&amp;"",'NETWORK-DEVICES'!$K$3:$K$987,""),"Peripheral",_xlfn.XLOOKUP($K817&amp;"",PERIPHERAL!$B$3:$B$954&amp;"",PERIPHERAL!$K$3:$K$954,""),"Utilities",_xlfn.XLOOKUP($K817&amp;"",UTILITIES!$B$3:$B$953&amp;"",UTILITIES!$J$3:$J$953,""),"IOT",_xlfn.XLOOKUP($K817&amp;"",IOT!$B$3:$B$1012&amp;"",IOT!$K$4:$K$1012,""),"Server",_xlfn.XLOOKUP($K817&amp;"",SERVER!$B$3:$B$1009&amp;"",SERVER!$K$3:$K$1009,""),""))))</f>
        <v/>
      </c>
      <c r="O817" s="1" t="str" cm="1">
        <f t="array" ref="O817">IF(OR($K817="",$I817="",$J817=""),"",_xlfn.LET(_xlpm.srcCat,_xlfn.SWITCH($I817,"Computer",_xlfn.XLOOKUP($K817&amp;"",COMPUTER!$B$3:$B$1009&amp;"",COMPUTER!$H$3:$H$1009,""),"Display",_xlfn.XLOOKUP($K817&amp;"",DISPLAY!$B$3:$B$1000&amp;"",DISPLAY!$H$3:$H$1000,""),"Network Device",_xlfn.XLOOKUP($K817&amp;"",'NETWORK-DEVICES'!$B$3:$B$987&amp;"",'NETWORK-DEVICES'!$H$3:$H$987,""),"Peripheral",_xlfn.XLOOKUP($K817&amp;"",PERIPHERAL!$B$3:$B$954&amp;"",PERIPHERAL!$H$3:$H$954,""),"Utilities",_xlfn.XLOOKUP($K817&amp;"",UTILITIES!$B$3:$B$953&amp;"",UTILITIES!$G$3:$G$953,""),"IOT",_xlfn.XLOOKUP($K817&amp;"",IOT!$B$3:$B$1012&amp;"",IOT!$H$3:$H$1012,""),"Server",_xlfn.XLOOKUP($K817&amp;"",SERVER!$B$3:$B$1009&amp;"",SERVER!$H$3:$H$1009,""),""),IF(TRIM(_xlpm.srcCat)&lt;&gt;TRIM($J817),"",_xlfn.SWITCH($I817,"Computer",_xlfn.XLOOKUP($K817&amp;"",COMPUTER!$B$3:$B$1009&amp;"",COMPUTER!$E$3:$E$1009,""),"Display",_xlfn.XLOOKUP($K817&amp;"",DISPLAY!$B$3:$B$1000&amp;"",DISPLAY!$E$3:$E$1000,""),"Network Device",_xlfn.XLOOKUP($K817&amp;"",'NETWORK-DEVICES'!$B$3:$B$987&amp;"",'NETWORK-DEVICES'!$E$3:$E$987,""),"Peripheral",_xlfn.XLOOKUP($K817&amp;"",PERIPHERAL!$B$3:$B$954&amp;"",PERIPHERAL!$E$3:$E$954,""),"Utilities",_xlfn.XLOOKUP($K817&amp;"",UTILITIES!$B$3:$B$953&amp;"",UTILITIES!$E$3:$E$953,""),"IOT",_xlfn.XLOOKUP($K817&amp;"",IOT!$B$3:$B$1012&amp;"",IOT!$E$3:$E$1012,""),"Server",_xlfn.XLOOKUP($K817&amp;"",SERVER!$B$3:$B$1009&amp;"",SERVER!$E$3:$E$1009,""),""))))</f>
        <v/>
      </c>
      <c r="Q817" s="1" t="str" cm="1">
        <f t="array" ref="Q817">IF(OR($K817="",$I817="",$J817=""),"",_xlfn.LET(_xlpm.srcCat,_xlfn.SWITCH($I817,"Computer",_xlfn.XLOOKUP($K817&amp;"",COMPUTER!$B$3:$B$1009&amp;"",COMPUTER!$H$3:$H$1009,""),"Display",_xlfn.XLOOKUP($K817&amp;"",DISPLAY!$B$3:$B$1000&amp;"",DISPLAY!$H$3:$H$1000,""),"Network Device",_xlfn.XLOOKUP($K817&amp;"",'NETWORK-DEVICES'!$B$3:$B$987&amp;"",'NETWORK-DEVICES'!$H$3:$H$987,""),"Peripheral",_xlfn.XLOOKUP($K817&amp;"",PERIPHERAL!$B$3:$B$954&amp;"",PERIPHERAL!$H$3:$H$954,""),"Utilities",_xlfn.XLOOKUP($K817&amp;"",UTILITIES!$B$3:$B$953&amp;"",UTILITIES!$G$3:$G$953,""),"IOT",_xlfn.XLOOKUP($K817&amp;"",IOT!$B$3:$B$1012&amp;"",IOT!$H$3:$H$1012,""),"Server",_xlfn.XLOOKUP($K817&amp;"",SERVER!$B$3:$B$1009&amp;"",SERVER!$H$3:$H$1009,""),""),IF(TRIM(_xlpm.srcCat)&lt;&gt;TRIM($J817),"",_xlfn.SWITCH($I817,"Computer",_xlfn.XLOOKUP($K817&amp;"",COMPUTER!$B$3:$B$1009&amp;"",COMPUTER!$AM$3:$AM$1009,""),"Display",_xlfn.XLOOKUP($K817&amp;"",DISPLAY!$B$3:$B$1000&amp;"",DISPLAY!$V$3:$V$1000,""),"Network Device",_xlfn.XLOOKUP($K817&amp;"",'NETWORK-DEVICES'!$B$3:$B$987&amp;"",'NETWORK-DEVICES'!$AF$3:$AF$987,""),"Peripheral",_xlfn.XLOOKUP($K817&amp;"",PERIPHERAL!$B$3:$B$954&amp;"",PERIPHERAL!$Y$3:$Y$954,""),"Utilities",_xlfn.XLOOKUP($K817&amp;"",UTILITIES!$B$3:$B$953&amp;"",UTILITIES!$O$3:$O$953,""),"IOT",_xlfn.XLOOKUP($K817&amp;"",IOT!$B$3:$B$1012&amp;"",IOT!$AB$3:$AB$1012,""),"Server",_xlfn.XLOOKUP($K817&amp;"",SERVER!$B$3:$B$1009&amp;"",SERVER!$AB$3:$AB$1009,""),""))))</f>
        <v/>
      </c>
      <c r="R817" s="43" t="str">
        <f>IF(tbl_handover[[#This Row],[Asset Code]]="","",COUNTIF(tbl_handover[Asset Code],tbl_handover[[#This Row],[Asset Code]]))</f>
        <v/>
      </c>
    </row>
    <row r="818" spans="1:18" x14ac:dyDescent="0.25">
      <c r="A818" s="43" t="str">
        <f>IF(B818&lt;&gt;"",SUBTOTAL(3,$B$1:B817),"")</f>
        <v/>
      </c>
      <c r="C818" s="74"/>
      <c r="D818" s="74"/>
      <c r="G818" s="1"/>
      <c r="K818" s="42"/>
      <c r="L818" t="str" cm="1">
        <f t="array" ref="L818">IF($K818="","",_xlfn.SWITCH($I818,"Computer",_xlfn.XLOOKUP($K818&amp;"",COMPUTER!$B$3:$B$1009&amp;"",COMPUTER!$I$3:$I$1009,""),"Display",_xlfn.XLOOKUP($K818&amp;"",DISPLAY!$B$3:$B$1000&amp;"",DISPLAY!$J$3:$J$1000,""),"Network Device",_xlfn.XLOOKUP($K818&amp;"",'NETWORK-DEVICES'!$B$3:$B$987&amp;"",'NETWORK-DEVICES'!$I$3:$I$987,""),"Peripheral",_xlfn.XLOOKUP($K818&amp;"",PERIPHERAL!$B$3:$B$954&amp;"",PERIPHERAL!$I$3:$I$954,""),"Utilities",_xlfn.XLOOKUP($K818&amp;"",UTILITIES!$B$3:$B$953&amp;"",UTILITIES!$H$3:$H$953,""),"IOT",_xlfn.XLOOKUP($K818&amp;"",IOT!$B$3:$B$1012&amp;"",IOT!$I$3:$I$1012,""),"SERVER",_xlfn.XLOOKUP($K818&amp;"",SERVER!$B$3:$B$1009&amp;"",SERVER!$I$3:$I$1009,""),""))</f>
        <v/>
      </c>
      <c r="M818" t="str" cm="1">
        <f t="array" ref="M818">IF($K818="","",_xlfn.SWITCH($I818,"Computer",_xlfn.XLOOKUP($K818&amp;"",COMPUTER!$B$3:$B$1009&amp;"",COMPUTER!$J$3:$J$1009,""),"Display",_xlfn.XLOOKUP($K818&amp;"",DISPLAY!$B$3:$B$1000&amp;"",DISPLAY!$K$3:$K$1000,""),"Network Device",_xlfn.XLOOKUP($K818&amp;"",'NETWORK-DEVICES'!$B$3:$B$987&amp;"",'NETWORK-DEVICES'!$I$3:$I$987,""),"Peripheral",_xlfn.XLOOKUP($K818&amp;"",PERIPHERAL!$B$3:$B$954&amp;"",PERIPHERAL!$J$3:$J$954,""),"Utilities",_xlfn.XLOOKUP($K818&amp;"",UTILITIES!$B$3:$B$953&amp;"",UTILITIES!$I$3:$I$953,""),"IOT",_xlfn.XLOOKUP($K818&amp;"",IOT!$B$3:$B$1012&amp;"",IOT!$J$3:$J$1012,""),"Server",_xlfn.XLOOKUP($K818&amp;"",SERVER!$B$3:$B$1009&amp;"",SERVER!$J$3:$J$1009,""),""))</f>
        <v/>
      </c>
      <c r="N818" s="1" t="str" cm="1">
        <f t="array" ref="N818">IF(OR($K818="",$I818="",$J818=""),"",_xlfn.LET(_xlpm.srcCat,_xlfn.SWITCH($I818,"Computer",_xlfn.XLOOKUP($K818&amp;"",COMPUTER!$B$3:$B$1009&amp;"",COMPUTER!$H$3:$H$1009,""),"Display",_xlfn.XLOOKUP($K818&amp;"",DISPLAY!$B$3:$B$1000&amp;"",DISPLAY!$H$3:$H$1000,""),"Network Device",_xlfn.XLOOKUP($K818&amp;"",'NETWORK-DEVICES'!$B$3:$B$987&amp;"",'NETWORK-DEVICES'!$H$3:$H$987,""),"Peripheral",_xlfn.XLOOKUP($K818&amp;"",PERIPHERAL!$B$3:$B$954&amp;"",PERIPHERAL!$H$3:$H$954,""),"Utilities",_xlfn.XLOOKUP($K818&amp;"",UTILITIES!$B$3:$B$953&amp;"",UTILITIES!$G$3:$G$953,""),"IOT",_xlfn.XLOOKUP($K818&amp;"",IOT!$B$3:$B$1012&amp;"",IOT!$H$3:$H$1012,""),"Server",_xlfn.XLOOKUP($K818&amp;"",SERVER!$B$3:$B$1009&amp;"",SERVER!$H$3:$H$1009,""),""),IF(TRIM(_xlpm.srcCat)&lt;&gt;TRIM($J818),"",_xlfn.SWITCH($I818,"Computer",_xlfn.XLOOKUP($K818&amp;"",COMPUTER!$B$3:$B$1009&amp;"",COMPUTER!$K$3:$K$1009,""),"Display",_xlfn.XLOOKUP($K818&amp;"",DISPLAY!$B$3:$B$1000&amp;"",DISPLAY!$L$3:$L$1000,""),"Network Device",_xlfn.XLOOKUP($K818&amp;"",'NETWORK-DEVICES'!$B$3:$B$987&amp;"",'NETWORK-DEVICES'!$K$3:$K$987,""),"Peripheral",_xlfn.XLOOKUP($K818&amp;"",PERIPHERAL!$B$3:$B$954&amp;"",PERIPHERAL!$K$3:$K$954,""),"Utilities",_xlfn.XLOOKUP($K818&amp;"",UTILITIES!$B$3:$B$953&amp;"",UTILITIES!$J$3:$J$953,""),"IOT",_xlfn.XLOOKUP($K818&amp;"",IOT!$B$3:$B$1012&amp;"",IOT!$K$4:$K$1012,""),"Server",_xlfn.XLOOKUP($K818&amp;"",SERVER!$B$3:$B$1009&amp;"",SERVER!$K$3:$K$1009,""),""))))</f>
        <v/>
      </c>
      <c r="O818" s="1" t="str" cm="1">
        <f t="array" ref="O818">IF(OR($K818="",$I818="",$J818=""),"",_xlfn.LET(_xlpm.srcCat,_xlfn.SWITCH($I818,"Computer",_xlfn.XLOOKUP($K818&amp;"",COMPUTER!$B$3:$B$1009&amp;"",COMPUTER!$H$3:$H$1009,""),"Display",_xlfn.XLOOKUP($K818&amp;"",DISPLAY!$B$3:$B$1000&amp;"",DISPLAY!$H$3:$H$1000,""),"Network Device",_xlfn.XLOOKUP($K818&amp;"",'NETWORK-DEVICES'!$B$3:$B$987&amp;"",'NETWORK-DEVICES'!$H$3:$H$987,""),"Peripheral",_xlfn.XLOOKUP($K818&amp;"",PERIPHERAL!$B$3:$B$954&amp;"",PERIPHERAL!$H$3:$H$954,""),"Utilities",_xlfn.XLOOKUP($K818&amp;"",UTILITIES!$B$3:$B$953&amp;"",UTILITIES!$G$3:$G$953,""),"IOT",_xlfn.XLOOKUP($K818&amp;"",IOT!$B$3:$B$1012&amp;"",IOT!$H$3:$H$1012,""),"Server",_xlfn.XLOOKUP($K818&amp;"",SERVER!$B$3:$B$1009&amp;"",SERVER!$H$3:$H$1009,""),""),IF(TRIM(_xlpm.srcCat)&lt;&gt;TRIM($J818),"",_xlfn.SWITCH($I818,"Computer",_xlfn.XLOOKUP($K818&amp;"",COMPUTER!$B$3:$B$1009&amp;"",COMPUTER!$E$3:$E$1009,""),"Display",_xlfn.XLOOKUP($K818&amp;"",DISPLAY!$B$3:$B$1000&amp;"",DISPLAY!$E$3:$E$1000,""),"Network Device",_xlfn.XLOOKUP($K818&amp;"",'NETWORK-DEVICES'!$B$3:$B$987&amp;"",'NETWORK-DEVICES'!$E$3:$E$987,""),"Peripheral",_xlfn.XLOOKUP($K818&amp;"",PERIPHERAL!$B$3:$B$954&amp;"",PERIPHERAL!$E$3:$E$954,""),"Utilities",_xlfn.XLOOKUP($K818&amp;"",UTILITIES!$B$3:$B$953&amp;"",UTILITIES!$E$3:$E$953,""),"IOT",_xlfn.XLOOKUP($K818&amp;"",IOT!$B$3:$B$1012&amp;"",IOT!$E$3:$E$1012,""),"Server",_xlfn.XLOOKUP($K818&amp;"",SERVER!$B$3:$B$1009&amp;"",SERVER!$E$3:$E$1009,""),""))))</f>
        <v/>
      </c>
      <c r="Q818" s="1" t="str" cm="1">
        <f t="array" ref="Q818">IF(OR($K818="",$I818="",$J818=""),"",_xlfn.LET(_xlpm.srcCat,_xlfn.SWITCH($I818,"Computer",_xlfn.XLOOKUP($K818&amp;"",COMPUTER!$B$3:$B$1009&amp;"",COMPUTER!$H$3:$H$1009,""),"Display",_xlfn.XLOOKUP($K818&amp;"",DISPLAY!$B$3:$B$1000&amp;"",DISPLAY!$H$3:$H$1000,""),"Network Device",_xlfn.XLOOKUP($K818&amp;"",'NETWORK-DEVICES'!$B$3:$B$987&amp;"",'NETWORK-DEVICES'!$H$3:$H$987,""),"Peripheral",_xlfn.XLOOKUP($K818&amp;"",PERIPHERAL!$B$3:$B$954&amp;"",PERIPHERAL!$H$3:$H$954,""),"Utilities",_xlfn.XLOOKUP($K818&amp;"",UTILITIES!$B$3:$B$953&amp;"",UTILITIES!$G$3:$G$953,""),"IOT",_xlfn.XLOOKUP($K818&amp;"",IOT!$B$3:$B$1012&amp;"",IOT!$H$3:$H$1012,""),"Server",_xlfn.XLOOKUP($K818&amp;"",SERVER!$B$3:$B$1009&amp;"",SERVER!$H$3:$H$1009,""),""),IF(TRIM(_xlpm.srcCat)&lt;&gt;TRIM($J818),"",_xlfn.SWITCH($I818,"Computer",_xlfn.XLOOKUP($K818&amp;"",COMPUTER!$B$3:$B$1009&amp;"",COMPUTER!$AM$3:$AM$1009,""),"Display",_xlfn.XLOOKUP($K818&amp;"",DISPLAY!$B$3:$B$1000&amp;"",DISPLAY!$V$3:$V$1000,""),"Network Device",_xlfn.XLOOKUP($K818&amp;"",'NETWORK-DEVICES'!$B$3:$B$987&amp;"",'NETWORK-DEVICES'!$AF$3:$AF$987,""),"Peripheral",_xlfn.XLOOKUP($K818&amp;"",PERIPHERAL!$B$3:$B$954&amp;"",PERIPHERAL!$Y$3:$Y$954,""),"Utilities",_xlfn.XLOOKUP($K818&amp;"",UTILITIES!$B$3:$B$953&amp;"",UTILITIES!$O$3:$O$953,""),"IOT",_xlfn.XLOOKUP($K818&amp;"",IOT!$B$3:$B$1012&amp;"",IOT!$AB$3:$AB$1012,""),"Server",_xlfn.XLOOKUP($K818&amp;"",SERVER!$B$3:$B$1009&amp;"",SERVER!$AB$3:$AB$1009,""),""))))</f>
        <v/>
      </c>
      <c r="R818" s="43" t="str">
        <f>IF(tbl_handover[[#This Row],[Asset Code]]="","",COUNTIF(tbl_handover[Asset Code],tbl_handover[[#This Row],[Asset Code]]))</f>
        <v/>
      </c>
    </row>
    <row r="819" spans="1:18" x14ac:dyDescent="0.25">
      <c r="A819" s="43" t="str">
        <f>IF(B819&lt;&gt;"",SUBTOTAL(3,$B$1:B818),"")</f>
        <v/>
      </c>
      <c r="C819" s="74"/>
      <c r="D819" s="74"/>
      <c r="G819" s="1"/>
      <c r="K819" s="42"/>
      <c r="L819" t="str" cm="1">
        <f t="array" ref="L819">IF($K819="","",_xlfn.SWITCH($I819,"Computer",_xlfn.XLOOKUP($K819&amp;"",COMPUTER!$B$3:$B$1009&amp;"",COMPUTER!$I$3:$I$1009,""),"Display",_xlfn.XLOOKUP($K819&amp;"",DISPLAY!$B$3:$B$1000&amp;"",DISPLAY!$J$3:$J$1000,""),"Network Device",_xlfn.XLOOKUP($K819&amp;"",'NETWORK-DEVICES'!$B$3:$B$987&amp;"",'NETWORK-DEVICES'!$I$3:$I$987,""),"Peripheral",_xlfn.XLOOKUP($K819&amp;"",PERIPHERAL!$B$3:$B$954&amp;"",PERIPHERAL!$I$3:$I$954,""),"Utilities",_xlfn.XLOOKUP($K819&amp;"",UTILITIES!$B$3:$B$953&amp;"",UTILITIES!$H$3:$H$953,""),"IOT",_xlfn.XLOOKUP($K819&amp;"",IOT!$B$3:$B$1012&amp;"",IOT!$I$3:$I$1012,""),"SERVER",_xlfn.XLOOKUP($K819&amp;"",SERVER!$B$3:$B$1009&amp;"",SERVER!$I$3:$I$1009,""),""))</f>
        <v/>
      </c>
      <c r="M819" t="str" cm="1">
        <f t="array" ref="M819">IF($K819="","",_xlfn.SWITCH($I819,"Computer",_xlfn.XLOOKUP($K819&amp;"",COMPUTER!$B$3:$B$1009&amp;"",COMPUTER!$J$3:$J$1009,""),"Display",_xlfn.XLOOKUP($K819&amp;"",DISPLAY!$B$3:$B$1000&amp;"",DISPLAY!$K$3:$K$1000,""),"Network Device",_xlfn.XLOOKUP($K819&amp;"",'NETWORK-DEVICES'!$B$3:$B$987&amp;"",'NETWORK-DEVICES'!$I$3:$I$987,""),"Peripheral",_xlfn.XLOOKUP($K819&amp;"",PERIPHERAL!$B$3:$B$954&amp;"",PERIPHERAL!$J$3:$J$954,""),"Utilities",_xlfn.XLOOKUP($K819&amp;"",UTILITIES!$B$3:$B$953&amp;"",UTILITIES!$I$3:$I$953,""),"IOT",_xlfn.XLOOKUP($K819&amp;"",IOT!$B$3:$B$1012&amp;"",IOT!$J$3:$J$1012,""),"Server",_xlfn.XLOOKUP($K819&amp;"",SERVER!$B$3:$B$1009&amp;"",SERVER!$J$3:$J$1009,""),""))</f>
        <v/>
      </c>
      <c r="N819" s="1" t="str" cm="1">
        <f t="array" ref="N819">IF(OR($K819="",$I819="",$J819=""),"",_xlfn.LET(_xlpm.srcCat,_xlfn.SWITCH($I819,"Computer",_xlfn.XLOOKUP($K819&amp;"",COMPUTER!$B$3:$B$1009&amp;"",COMPUTER!$H$3:$H$1009,""),"Display",_xlfn.XLOOKUP($K819&amp;"",DISPLAY!$B$3:$B$1000&amp;"",DISPLAY!$H$3:$H$1000,""),"Network Device",_xlfn.XLOOKUP($K819&amp;"",'NETWORK-DEVICES'!$B$3:$B$987&amp;"",'NETWORK-DEVICES'!$H$3:$H$987,""),"Peripheral",_xlfn.XLOOKUP($K819&amp;"",PERIPHERAL!$B$3:$B$954&amp;"",PERIPHERAL!$H$3:$H$954,""),"Utilities",_xlfn.XLOOKUP($K819&amp;"",UTILITIES!$B$3:$B$953&amp;"",UTILITIES!$G$3:$G$953,""),"IOT",_xlfn.XLOOKUP($K819&amp;"",IOT!$B$3:$B$1012&amp;"",IOT!$H$3:$H$1012,""),"Server",_xlfn.XLOOKUP($K819&amp;"",SERVER!$B$3:$B$1009&amp;"",SERVER!$H$3:$H$1009,""),""),IF(TRIM(_xlpm.srcCat)&lt;&gt;TRIM($J819),"",_xlfn.SWITCH($I819,"Computer",_xlfn.XLOOKUP($K819&amp;"",COMPUTER!$B$3:$B$1009&amp;"",COMPUTER!$K$3:$K$1009,""),"Display",_xlfn.XLOOKUP($K819&amp;"",DISPLAY!$B$3:$B$1000&amp;"",DISPLAY!$L$3:$L$1000,""),"Network Device",_xlfn.XLOOKUP($K819&amp;"",'NETWORK-DEVICES'!$B$3:$B$987&amp;"",'NETWORK-DEVICES'!$K$3:$K$987,""),"Peripheral",_xlfn.XLOOKUP($K819&amp;"",PERIPHERAL!$B$3:$B$954&amp;"",PERIPHERAL!$K$3:$K$954,""),"Utilities",_xlfn.XLOOKUP($K819&amp;"",UTILITIES!$B$3:$B$953&amp;"",UTILITIES!$J$3:$J$953,""),"IOT",_xlfn.XLOOKUP($K819&amp;"",IOT!$B$3:$B$1012&amp;"",IOT!$K$4:$K$1012,""),"Server",_xlfn.XLOOKUP($K819&amp;"",SERVER!$B$3:$B$1009&amp;"",SERVER!$K$3:$K$1009,""),""))))</f>
        <v/>
      </c>
      <c r="O819" s="1" t="str" cm="1">
        <f t="array" ref="O819">IF(OR($K819="",$I819="",$J819=""),"",_xlfn.LET(_xlpm.srcCat,_xlfn.SWITCH($I819,"Computer",_xlfn.XLOOKUP($K819&amp;"",COMPUTER!$B$3:$B$1009&amp;"",COMPUTER!$H$3:$H$1009,""),"Display",_xlfn.XLOOKUP($K819&amp;"",DISPLAY!$B$3:$B$1000&amp;"",DISPLAY!$H$3:$H$1000,""),"Network Device",_xlfn.XLOOKUP($K819&amp;"",'NETWORK-DEVICES'!$B$3:$B$987&amp;"",'NETWORK-DEVICES'!$H$3:$H$987,""),"Peripheral",_xlfn.XLOOKUP($K819&amp;"",PERIPHERAL!$B$3:$B$954&amp;"",PERIPHERAL!$H$3:$H$954,""),"Utilities",_xlfn.XLOOKUP($K819&amp;"",UTILITIES!$B$3:$B$953&amp;"",UTILITIES!$G$3:$G$953,""),"IOT",_xlfn.XLOOKUP($K819&amp;"",IOT!$B$3:$B$1012&amp;"",IOT!$H$3:$H$1012,""),"Server",_xlfn.XLOOKUP($K819&amp;"",SERVER!$B$3:$B$1009&amp;"",SERVER!$H$3:$H$1009,""),""),IF(TRIM(_xlpm.srcCat)&lt;&gt;TRIM($J819),"",_xlfn.SWITCH($I819,"Computer",_xlfn.XLOOKUP($K819&amp;"",COMPUTER!$B$3:$B$1009&amp;"",COMPUTER!$E$3:$E$1009,""),"Display",_xlfn.XLOOKUP($K819&amp;"",DISPLAY!$B$3:$B$1000&amp;"",DISPLAY!$E$3:$E$1000,""),"Network Device",_xlfn.XLOOKUP($K819&amp;"",'NETWORK-DEVICES'!$B$3:$B$987&amp;"",'NETWORK-DEVICES'!$E$3:$E$987,""),"Peripheral",_xlfn.XLOOKUP($K819&amp;"",PERIPHERAL!$B$3:$B$954&amp;"",PERIPHERAL!$E$3:$E$954,""),"Utilities",_xlfn.XLOOKUP($K819&amp;"",UTILITIES!$B$3:$B$953&amp;"",UTILITIES!$E$3:$E$953,""),"IOT",_xlfn.XLOOKUP($K819&amp;"",IOT!$B$3:$B$1012&amp;"",IOT!$E$3:$E$1012,""),"Server",_xlfn.XLOOKUP($K819&amp;"",SERVER!$B$3:$B$1009&amp;"",SERVER!$E$3:$E$1009,""),""))))</f>
        <v/>
      </c>
      <c r="Q819" s="1" t="str" cm="1">
        <f t="array" ref="Q819">IF(OR($K819="",$I819="",$J819=""),"",_xlfn.LET(_xlpm.srcCat,_xlfn.SWITCH($I819,"Computer",_xlfn.XLOOKUP($K819&amp;"",COMPUTER!$B$3:$B$1009&amp;"",COMPUTER!$H$3:$H$1009,""),"Display",_xlfn.XLOOKUP($K819&amp;"",DISPLAY!$B$3:$B$1000&amp;"",DISPLAY!$H$3:$H$1000,""),"Network Device",_xlfn.XLOOKUP($K819&amp;"",'NETWORK-DEVICES'!$B$3:$B$987&amp;"",'NETWORK-DEVICES'!$H$3:$H$987,""),"Peripheral",_xlfn.XLOOKUP($K819&amp;"",PERIPHERAL!$B$3:$B$954&amp;"",PERIPHERAL!$H$3:$H$954,""),"Utilities",_xlfn.XLOOKUP($K819&amp;"",UTILITIES!$B$3:$B$953&amp;"",UTILITIES!$G$3:$G$953,""),"IOT",_xlfn.XLOOKUP($K819&amp;"",IOT!$B$3:$B$1012&amp;"",IOT!$H$3:$H$1012,""),"Server",_xlfn.XLOOKUP($K819&amp;"",SERVER!$B$3:$B$1009&amp;"",SERVER!$H$3:$H$1009,""),""),IF(TRIM(_xlpm.srcCat)&lt;&gt;TRIM($J819),"",_xlfn.SWITCH($I819,"Computer",_xlfn.XLOOKUP($K819&amp;"",COMPUTER!$B$3:$B$1009&amp;"",COMPUTER!$AM$3:$AM$1009,""),"Display",_xlfn.XLOOKUP($K819&amp;"",DISPLAY!$B$3:$B$1000&amp;"",DISPLAY!$V$3:$V$1000,""),"Network Device",_xlfn.XLOOKUP($K819&amp;"",'NETWORK-DEVICES'!$B$3:$B$987&amp;"",'NETWORK-DEVICES'!$AF$3:$AF$987,""),"Peripheral",_xlfn.XLOOKUP($K819&amp;"",PERIPHERAL!$B$3:$B$954&amp;"",PERIPHERAL!$Y$3:$Y$954,""),"Utilities",_xlfn.XLOOKUP($K819&amp;"",UTILITIES!$B$3:$B$953&amp;"",UTILITIES!$O$3:$O$953,""),"IOT",_xlfn.XLOOKUP($K819&amp;"",IOT!$B$3:$B$1012&amp;"",IOT!$AB$3:$AB$1012,""),"Server",_xlfn.XLOOKUP($K819&amp;"",SERVER!$B$3:$B$1009&amp;"",SERVER!$AB$3:$AB$1009,""),""))))</f>
        <v/>
      </c>
      <c r="R819" s="43" t="str">
        <f>IF(tbl_handover[[#This Row],[Asset Code]]="","",COUNTIF(tbl_handover[Asset Code],tbl_handover[[#This Row],[Asset Code]]))</f>
        <v/>
      </c>
    </row>
    <row r="820" spans="1:18" x14ac:dyDescent="0.25">
      <c r="A820" s="43" t="str">
        <f>IF(B820&lt;&gt;"",SUBTOTAL(3,$B$1:B819),"")</f>
        <v/>
      </c>
      <c r="C820" s="74"/>
      <c r="D820" s="74"/>
      <c r="G820" s="1"/>
      <c r="K820" s="42"/>
      <c r="L820" t="str" cm="1">
        <f t="array" ref="L820">IF($K820="","",_xlfn.SWITCH($I820,"Computer",_xlfn.XLOOKUP($K820&amp;"",COMPUTER!$B$3:$B$1009&amp;"",COMPUTER!$I$3:$I$1009,""),"Display",_xlfn.XLOOKUP($K820&amp;"",DISPLAY!$B$3:$B$1000&amp;"",DISPLAY!$J$3:$J$1000,""),"Network Device",_xlfn.XLOOKUP($K820&amp;"",'NETWORK-DEVICES'!$B$3:$B$987&amp;"",'NETWORK-DEVICES'!$I$3:$I$987,""),"Peripheral",_xlfn.XLOOKUP($K820&amp;"",PERIPHERAL!$B$3:$B$954&amp;"",PERIPHERAL!$I$3:$I$954,""),"Utilities",_xlfn.XLOOKUP($K820&amp;"",UTILITIES!$B$3:$B$953&amp;"",UTILITIES!$H$3:$H$953,""),"IOT",_xlfn.XLOOKUP($K820&amp;"",IOT!$B$3:$B$1012&amp;"",IOT!$I$3:$I$1012,""),"SERVER",_xlfn.XLOOKUP($K820&amp;"",SERVER!$B$3:$B$1009&amp;"",SERVER!$I$3:$I$1009,""),""))</f>
        <v/>
      </c>
      <c r="M820" t="str" cm="1">
        <f t="array" ref="M820">IF($K820="","",_xlfn.SWITCH($I820,"Computer",_xlfn.XLOOKUP($K820&amp;"",COMPUTER!$B$3:$B$1009&amp;"",COMPUTER!$J$3:$J$1009,""),"Display",_xlfn.XLOOKUP($K820&amp;"",DISPLAY!$B$3:$B$1000&amp;"",DISPLAY!$K$3:$K$1000,""),"Network Device",_xlfn.XLOOKUP($K820&amp;"",'NETWORK-DEVICES'!$B$3:$B$987&amp;"",'NETWORK-DEVICES'!$I$3:$I$987,""),"Peripheral",_xlfn.XLOOKUP($K820&amp;"",PERIPHERAL!$B$3:$B$954&amp;"",PERIPHERAL!$J$3:$J$954,""),"Utilities",_xlfn.XLOOKUP($K820&amp;"",UTILITIES!$B$3:$B$953&amp;"",UTILITIES!$I$3:$I$953,""),"IOT",_xlfn.XLOOKUP($K820&amp;"",IOT!$B$3:$B$1012&amp;"",IOT!$J$3:$J$1012,""),"Server",_xlfn.XLOOKUP($K820&amp;"",SERVER!$B$3:$B$1009&amp;"",SERVER!$J$3:$J$1009,""),""))</f>
        <v/>
      </c>
      <c r="N820" s="1" t="str" cm="1">
        <f t="array" ref="N820">IF(OR($K820="",$I820="",$J820=""),"",_xlfn.LET(_xlpm.srcCat,_xlfn.SWITCH($I820,"Computer",_xlfn.XLOOKUP($K820&amp;"",COMPUTER!$B$3:$B$1009&amp;"",COMPUTER!$H$3:$H$1009,""),"Display",_xlfn.XLOOKUP($K820&amp;"",DISPLAY!$B$3:$B$1000&amp;"",DISPLAY!$H$3:$H$1000,""),"Network Device",_xlfn.XLOOKUP($K820&amp;"",'NETWORK-DEVICES'!$B$3:$B$987&amp;"",'NETWORK-DEVICES'!$H$3:$H$987,""),"Peripheral",_xlfn.XLOOKUP($K820&amp;"",PERIPHERAL!$B$3:$B$954&amp;"",PERIPHERAL!$H$3:$H$954,""),"Utilities",_xlfn.XLOOKUP($K820&amp;"",UTILITIES!$B$3:$B$953&amp;"",UTILITIES!$G$3:$G$953,""),"IOT",_xlfn.XLOOKUP($K820&amp;"",IOT!$B$3:$B$1012&amp;"",IOT!$H$3:$H$1012,""),"Server",_xlfn.XLOOKUP($K820&amp;"",SERVER!$B$3:$B$1009&amp;"",SERVER!$H$3:$H$1009,""),""),IF(TRIM(_xlpm.srcCat)&lt;&gt;TRIM($J820),"",_xlfn.SWITCH($I820,"Computer",_xlfn.XLOOKUP($K820&amp;"",COMPUTER!$B$3:$B$1009&amp;"",COMPUTER!$K$3:$K$1009,""),"Display",_xlfn.XLOOKUP($K820&amp;"",DISPLAY!$B$3:$B$1000&amp;"",DISPLAY!$L$3:$L$1000,""),"Network Device",_xlfn.XLOOKUP($K820&amp;"",'NETWORK-DEVICES'!$B$3:$B$987&amp;"",'NETWORK-DEVICES'!$K$3:$K$987,""),"Peripheral",_xlfn.XLOOKUP($K820&amp;"",PERIPHERAL!$B$3:$B$954&amp;"",PERIPHERAL!$K$3:$K$954,""),"Utilities",_xlfn.XLOOKUP($K820&amp;"",UTILITIES!$B$3:$B$953&amp;"",UTILITIES!$J$3:$J$953,""),"IOT",_xlfn.XLOOKUP($K820&amp;"",IOT!$B$3:$B$1012&amp;"",IOT!$K$4:$K$1012,""),"Server",_xlfn.XLOOKUP($K820&amp;"",SERVER!$B$3:$B$1009&amp;"",SERVER!$K$3:$K$1009,""),""))))</f>
        <v/>
      </c>
      <c r="O820" s="1" t="str" cm="1">
        <f t="array" ref="O820">IF(OR($K820="",$I820="",$J820=""),"",_xlfn.LET(_xlpm.srcCat,_xlfn.SWITCH($I820,"Computer",_xlfn.XLOOKUP($K820&amp;"",COMPUTER!$B$3:$B$1009&amp;"",COMPUTER!$H$3:$H$1009,""),"Display",_xlfn.XLOOKUP($K820&amp;"",DISPLAY!$B$3:$B$1000&amp;"",DISPLAY!$H$3:$H$1000,""),"Network Device",_xlfn.XLOOKUP($K820&amp;"",'NETWORK-DEVICES'!$B$3:$B$987&amp;"",'NETWORK-DEVICES'!$H$3:$H$987,""),"Peripheral",_xlfn.XLOOKUP($K820&amp;"",PERIPHERAL!$B$3:$B$954&amp;"",PERIPHERAL!$H$3:$H$954,""),"Utilities",_xlfn.XLOOKUP($K820&amp;"",UTILITIES!$B$3:$B$953&amp;"",UTILITIES!$G$3:$G$953,""),"IOT",_xlfn.XLOOKUP($K820&amp;"",IOT!$B$3:$B$1012&amp;"",IOT!$H$3:$H$1012,""),"Server",_xlfn.XLOOKUP($K820&amp;"",SERVER!$B$3:$B$1009&amp;"",SERVER!$H$3:$H$1009,""),""),IF(TRIM(_xlpm.srcCat)&lt;&gt;TRIM($J820),"",_xlfn.SWITCH($I820,"Computer",_xlfn.XLOOKUP($K820&amp;"",COMPUTER!$B$3:$B$1009&amp;"",COMPUTER!$E$3:$E$1009,""),"Display",_xlfn.XLOOKUP($K820&amp;"",DISPLAY!$B$3:$B$1000&amp;"",DISPLAY!$E$3:$E$1000,""),"Network Device",_xlfn.XLOOKUP($K820&amp;"",'NETWORK-DEVICES'!$B$3:$B$987&amp;"",'NETWORK-DEVICES'!$E$3:$E$987,""),"Peripheral",_xlfn.XLOOKUP($K820&amp;"",PERIPHERAL!$B$3:$B$954&amp;"",PERIPHERAL!$E$3:$E$954,""),"Utilities",_xlfn.XLOOKUP($K820&amp;"",UTILITIES!$B$3:$B$953&amp;"",UTILITIES!$E$3:$E$953,""),"IOT",_xlfn.XLOOKUP($K820&amp;"",IOT!$B$3:$B$1012&amp;"",IOT!$E$3:$E$1012,""),"Server",_xlfn.XLOOKUP($K820&amp;"",SERVER!$B$3:$B$1009&amp;"",SERVER!$E$3:$E$1009,""),""))))</f>
        <v/>
      </c>
      <c r="Q820" s="1" t="str" cm="1">
        <f t="array" ref="Q820">IF(OR($K820="",$I820="",$J820=""),"",_xlfn.LET(_xlpm.srcCat,_xlfn.SWITCH($I820,"Computer",_xlfn.XLOOKUP($K820&amp;"",COMPUTER!$B$3:$B$1009&amp;"",COMPUTER!$H$3:$H$1009,""),"Display",_xlfn.XLOOKUP($K820&amp;"",DISPLAY!$B$3:$B$1000&amp;"",DISPLAY!$H$3:$H$1000,""),"Network Device",_xlfn.XLOOKUP($K820&amp;"",'NETWORK-DEVICES'!$B$3:$B$987&amp;"",'NETWORK-DEVICES'!$H$3:$H$987,""),"Peripheral",_xlfn.XLOOKUP($K820&amp;"",PERIPHERAL!$B$3:$B$954&amp;"",PERIPHERAL!$H$3:$H$954,""),"Utilities",_xlfn.XLOOKUP($K820&amp;"",UTILITIES!$B$3:$B$953&amp;"",UTILITIES!$G$3:$G$953,""),"IOT",_xlfn.XLOOKUP($K820&amp;"",IOT!$B$3:$B$1012&amp;"",IOT!$H$3:$H$1012,""),"Server",_xlfn.XLOOKUP($K820&amp;"",SERVER!$B$3:$B$1009&amp;"",SERVER!$H$3:$H$1009,""),""),IF(TRIM(_xlpm.srcCat)&lt;&gt;TRIM($J820),"",_xlfn.SWITCH($I820,"Computer",_xlfn.XLOOKUP($K820&amp;"",COMPUTER!$B$3:$B$1009&amp;"",COMPUTER!$AM$3:$AM$1009,""),"Display",_xlfn.XLOOKUP($K820&amp;"",DISPLAY!$B$3:$B$1000&amp;"",DISPLAY!$V$3:$V$1000,""),"Network Device",_xlfn.XLOOKUP($K820&amp;"",'NETWORK-DEVICES'!$B$3:$B$987&amp;"",'NETWORK-DEVICES'!$AF$3:$AF$987,""),"Peripheral",_xlfn.XLOOKUP($K820&amp;"",PERIPHERAL!$B$3:$B$954&amp;"",PERIPHERAL!$Y$3:$Y$954,""),"Utilities",_xlfn.XLOOKUP($K820&amp;"",UTILITIES!$B$3:$B$953&amp;"",UTILITIES!$O$3:$O$953,""),"IOT",_xlfn.XLOOKUP($K820&amp;"",IOT!$B$3:$B$1012&amp;"",IOT!$AB$3:$AB$1012,""),"Server",_xlfn.XLOOKUP($K820&amp;"",SERVER!$B$3:$B$1009&amp;"",SERVER!$AB$3:$AB$1009,""),""))))</f>
        <v/>
      </c>
      <c r="R820" s="43" t="str">
        <f>IF(tbl_handover[[#This Row],[Asset Code]]="","",COUNTIF(tbl_handover[Asset Code],tbl_handover[[#This Row],[Asset Code]]))</f>
        <v/>
      </c>
    </row>
    <row r="821" spans="1:18" x14ac:dyDescent="0.25">
      <c r="A821" s="43" t="str">
        <f>IF(B821&lt;&gt;"",SUBTOTAL(3,$B$1:B820),"")</f>
        <v/>
      </c>
      <c r="C821" s="74"/>
      <c r="D821" s="74"/>
      <c r="G821" s="1"/>
      <c r="K821" s="42"/>
      <c r="L821" t="str" cm="1">
        <f t="array" ref="L821">IF($K821="","",_xlfn.SWITCH($I821,"Computer",_xlfn.XLOOKUP($K821&amp;"",COMPUTER!$B$3:$B$1009&amp;"",COMPUTER!$I$3:$I$1009,""),"Display",_xlfn.XLOOKUP($K821&amp;"",DISPLAY!$B$3:$B$1000&amp;"",DISPLAY!$J$3:$J$1000,""),"Network Device",_xlfn.XLOOKUP($K821&amp;"",'NETWORK-DEVICES'!$B$3:$B$987&amp;"",'NETWORK-DEVICES'!$I$3:$I$987,""),"Peripheral",_xlfn.XLOOKUP($K821&amp;"",PERIPHERAL!$B$3:$B$954&amp;"",PERIPHERAL!$I$3:$I$954,""),"Utilities",_xlfn.XLOOKUP($K821&amp;"",UTILITIES!$B$3:$B$953&amp;"",UTILITIES!$H$3:$H$953,""),"IOT",_xlfn.XLOOKUP($K821&amp;"",IOT!$B$3:$B$1012&amp;"",IOT!$I$3:$I$1012,""),"SERVER",_xlfn.XLOOKUP($K821&amp;"",SERVER!$B$3:$B$1009&amp;"",SERVER!$I$3:$I$1009,""),""))</f>
        <v/>
      </c>
      <c r="M821" t="str" cm="1">
        <f t="array" ref="M821">IF($K821="","",_xlfn.SWITCH($I821,"Computer",_xlfn.XLOOKUP($K821&amp;"",COMPUTER!$B$3:$B$1009&amp;"",COMPUTER!$J$3:$J$1009,""),"Display",_xlfn.XLOOKUP($K821&amp;"",DISPLAY!$B$3:$B$1000&amp;"",DISPLAY!$K$3:$K$1000,""),"Network Device",_xlfn.XLOOKUP($K821&amp;"",'NETWORK-DEVICES'!$B$3:$B$987&amp;"",'NETWORK-DEVICES'!$I$3:$I$987,""),"Peripheral",_xlfn.XLOOKUP($K821&amp;"",PERIPHERAL!$B$3:$B$954&amp;"",PERIPHERAL!$J$3:$J$954,""),"Utilities",_xlfn.XLOOKUP($K821&amp;"",UTILITIES!$B$3:$B$953&amp;"",UTILITIES!$I$3:$I$953,""),"IOT",_xlfn.XLOOKUP($K821&amp;"",IOT!$B$3:$B$1012&amp;"",IOT!$J$3:$J$1012,""),"Server",_xlfn.XLOOKUP($K821&amp;"",SERVER!$B$3:$B$1009&amp;"",SERVER!$J$3:$J$1009,""),""))</f>
        <v/>
      </c>
      <c r="N821" s="1" t="str" cm="1">
        <f t="array" ref="N821">IF(OR($K821="",$I821="",$J821=""),"",_xlfn.LET(_xlpm.srcCat,_xlfn.SWITCH($I821,"Computer",_xlfn.XLOOKUP($K821&amp;"",COMPUTER!$B$3:$B$1009&amp;"",COMPUTER!$H$3:$H$1009,""),"Display",_xlfn.XLOOKUP($K821&amp;"",DISPLAY!$B$3:$B$1000&amp;"",DISPLAY!$H$3:$H$1000,""),"Network Device",_xlfn.XLOOKUP($K821&amp;"",'NETWORK-DEVICES'!$B$3:$B$987&amp;"",'NETWORK-DEVICES'!$H$3:$H$987,""),"Peripheral",_xlfn.XLOOKUP($K821&amp;"",PERIPHERAL!$B$3:$B$954&amp;"",PERIPHERAL!$H$3:$H$954,""),"Utilities",_xlfn.XLOOKUP($K821&amp;"",UTILITIES!$B$3:$B$953&amp;"",UTILITIES!$G$3:$G$953,""),"IOT",_xlfn.XLOOKUP($K821&amp;"",IOT!$B$3:$B$1012&amp;"",IOT!$H$3:$H$1012,""),"Server",_xlfn.XLOOKUP($K821&amp;"",SERVER!$B$3:$B$1009&amp;"",SERVER!$H$3:$H$1009,""),""),IF(TRIM(_xlpm.srcCat)&lt;&gt;TRIM($J821),"",_xlfn.SWITCH($I821,"Computer",_xlfn.XLOOKUP($K821&amp;"",COMPUTER!$B$3:$B$1009&amp;"",COMPUTER!$K$3:$K$1009,""),"Display",_xlfn.XLOOKUP($K821&amp;"",DISPLAY!$B$3:$B$1000&amp;"",DISPLAY!$L$3:$L$1000,""),"Network Device",_xlfn.XLOOKUP($K821&amp;"",'NETWORK-DEVICES'!$B$3:$B$987&amp;"",'NETWORK-DEVICES'!$K$3:$K$987,""),"Peripheral",_xlfn.XLOOKUP($K821&amp;"",PERIPHERAL!$B$3:$B$954&amp;"",PERIPHERAL!$K$3:$K$954,""),"Utilities",_xlfn.XLOOKUP($K821&amp;"",UTILITIES!$B$3:$B$953&amp;"",UTILITIES!$J$3:$J$953,""),"IOT",_xlfn.XLOOKUP($K821&amp;"",IOT!$B$3:$B$1012&amp;"",IOT!$K$4:$K$1012,""),"Server",_xlfn.XLOOKUP($K821&amp;"",SERVER!$B$3:$B$1009&amp;"",SERVER!$K$3:$K$1009,""),""))))</f>
        <v/>
      </c>
      <c r="O821" s="1" t="str" cm="1">
        <f t="array" ref="O821">IF(OR($K821="",$I821="",$J821=""),"",_xlfn.LET(_xlpm.srcCat,_xlfn.SWITCH($I821,"Computer",_xlfn.XLOOKUP($K821&amp;"",COMPUTER!$B$3:$B$1009&amp;"",COMPUTER!$H$3:$H$1009,""),"Display",_xlfn.XLOOKUP($K821&amp;"",DISPLAY!$B$3:$B$1000&amp;"",DISPLAY!$H$3:$H$1000,""),"Network Device",_xlfn.XLOOKUP($K821&amp;"",'NETWORK-DEVICES'!$B$3:$B$987&amp;"",'NETWORK-DEVICES'!$H$3:$H$987,""),"Peripheral",_xlfn.XLOOKUP($K821&amp;"",PERIPHERAL!$B$3:$B$954&amp;"",PERIPHERAL!$H$3:$H$954,""),"Utilities",_xlfn.XLOOKUP($K821&amp;"",UTILITIES!$B$3:$B$953&amp;"",UTILITIES!$G$3:$G$953,""),"IOT",_xlfn.XLOOKUP($K821&amp;"",IOT!$B$3:$B$1012&amp;"",IOT!$H$3:$H$1012,""),"Server",_xlfn.XLOOKUP($K821&amp;"",SERVER!$B$3:$B$1009&amp;"",SERVER!$H$3:$H$1009,""),""),IF(TRIM(_xlpm.srcCat)&lt;&gt;TRIM($J821),"",_xlfn.SWITCH($I821,"Computer",_xlfn.XLOOKUP($K821&amp;"",COMPUTER!$B$3:$B$1009&amp;"",COMPUTER!$E$3:$E$1009,""),"Display",_xlfn.XLOOKUP($K821&amp;"",DISPLAY!$B$3:$B$1000&amp;"",DISPLAY!$E$3:$E$1000,""),"Network Device",_xlfn.XLOOKUP($K821&amp;"",'NETWORK-DEVICES'!$B$3:$B$987&amp;"",'NETWORK-DEVICES'!$E$3:$E$987,""),"Peripheral",_xlfn.XLOOKUP($K821&amp;"",PERIPHERAL!$B$3:$B$954&amp;"",PERIPHERAL!$E$3:$E$954,""),"Utilities",_xlfn.XLOOKUP($K821&amp;"",UTILITIES!$B$3:$B$953&amp;"",UTILITIES!$E$3:$E$953,""),"IOT",_xlfn.XLOOKUP($K821&amp;"",IOT!$B$3:$B$1012&amp;"",IOT!$E$3:$E$1012,""),"Server",_xlfn.XLOOKUP($K821&amp;"",SERVER!$B$3:$B$1009&amp;"",SERVER!$E$3:$E$1009,""),""))))</f>
        <v/>
      </c>
      <c r="Q821" s="1" t="str" cm="1">
        <f t="array" ref="Q821">IF(OR($K821="",$I821="",$J821=""),"",_xlfn.LET(_xlpm.srcCat,_xlfn.SWITCH($I821,"Computer",_xlfn.XLOOKUP($K821&amp;"",COMPUTER!$B$3:$B$1009&amp;"",COMPUTER!$H$3:$H$1009,""),"Display",_xlfn.XLOOKUP($K821&amp;"",DISPLAY!$B$3:$B$1000&amp;"",DISPLAY!$H$3:$H$1000,""),"Network Device",_xlfn.XLOOKUP($K821&amp;"",'NETWORK-DEVICES'!$B$3:$B$987&amp;"",'NETWORK-DEVICES'!$H$3:$H$987,""),"Peripheral",_xlfn.XLOOKUP($K821&amp;"",PERIPHERAL!$B$3:$B$954&amp;"",PERIPHERAL!$H$3:$H$954,""),"Utilities",_xlfn.XLOOKUP($K821&amp;"",UTILITIES!$B$3:$B$953&amp;"",UTILITIES!$G$3:$G$953,""),"IOT",_xlfn.XLOOKUP($K821&amp;"",IOT!$B$3:$B$1012&amp;"",IOT!$H$3:$H$1012,""),"Server",_xlfn.XLOOKUP($K821&amp;"",SERVER!$B$3:$B$1009&amp;"",SERVER!$H$3:$H$1009,""),""),IF(TRIM(_xlpm.srcCat)&lt;&gt;TRIM($J821),"",_xlfn.SWITCH($I821,"Computer",_xlfn.XLOOKUP($K821&amp;"",COMPUTER!$B$3:$B$1009&amp;"",COMPUTER!$AM$3:$AM$1009,""),"Display",_xlfn.XLOOKUP($K821&amp;"",DISPLAY!$B$3:$B$1000&amp;"",DISPLAY!$V$3:$V$1000,""),"Network Device",_xlfn.XLOOKUP($K821&amp;"",'NETWORK-DEVICES'!$B$3:$B$987&amp;"",'NETWORK-DEVICES'!$AF$3:$AF$987,""),"Peripheral",_xlfn.XLOOKUP($K821&amp;"",PERIPHERAL!$B$3:$B$954&amp;"",PERIPHERAL!$Y$3:$Y$954,""),"Utilities",_xlfn.XLOOKUP($K821&amp;"",UTILITIES!$B$3:$B$953&amp;"",UTILITIES!$O$3:$O$953,""),"IOT",_xlfn.XLOOKUP($K821&amp;"",IOT!$B$3:$B$1012&amp;"",IOT!$AB$3:$AB$1012,""),"Server",_xlfn.XLOOKUP($K821&amp;"",SERVER!$B$3:$B$1009&amp;"",SERVER!$AB$3:$AB$1009,""),""))))</f>
        <v/>
      </c>
      <c r="R821" s="43" t="str">
        <f>IF(tbl_handover[[#This Row],[Asset Code]]="","",COUNTIF(tbl_handover[Asset Code],tbl_handover[[#This Row],[Asset Code]]))</f>
        <v/>
      </c>
    </row>
    <row r="822" spans="1:18" x14ac:dyDescent="0.25">
      <c r="A822" s="43" t="str">
        <f>IF(B822&lt;&gt;"",SUBTOTAL(3,$B$1:B821),"")</f>
        <v/>
      </c>
      <c r="C822" s="74"/>
      <c r="D822" s="74"/>
      <c r="G822" s="1"/>
      <c r="K822" s="42"/>
      <c r="L822" t="str" cm="1">
        <f t="array" ref="L822">IF($K822="","",_xlfn.SWITCH($I822,"Computer",_xlfn.XLOOKUP($K822&amp;"",COMPUTER!$B$3:$B$1009&amp;"",COMPUTER!$I$3:$I$1009,""),"Display",_xlfn.XLOOKUP($K822&amp;"",DISPLAY!$B$3:$B$1000&amp;"",DISPLAY!$J$3:$J$1000,""),"Network Device",_xlfn.XLOOKUP($K822&amp;"",'NETWORK-DEVICES'!$B$3:$B$987&amp;"",'NETWORK-DEVICES'!$I$3:$I$987,""),"Peripheral",_xlfn.XLOOKUP($K822&amp;"",PERIPHERAL!$B$3:$B$954&amp;"",PERIPHERAL!$I$3:$I$954,""),"Utilities",_xlfn.XLOOKUP($K822&amp;"",UTILITIES!$B$3:$B$953&amp;"",UTILITIES!$H$3:$H$953,""),"IOT",_xlfn.XLOOKUP($K822&amp;"",IOT!$B$3:$B$1012&amp;"",IOT!$I$3:$I$1012,""),"SERVER",_xlfn.XLOOKUP($K822&amp;"",SERVER!$B$3:$B$1009&amp;"",SERVER!$I$3:$I$1009,""),""))</f>
        <v/>
      </c>
      <c r="M822" t="str" cm="1">
        <f t="array" ref="M822">IF($K822="","",_xlfn.SWITCH($I822,"Computer",_xlfn.XLOOKUP($K822&amp;"",COMPUTER!$B$3:$B$1009&amp;"",COMPUTER!$J$3:$J$1009,""),"Display",_xlfn.XLOOKUP($K822&amp;"",DISPLAY!$B$3:$B$1000&amp;"",DISPLAY!$K$3:$K$1000,""),"Network Device",_xlfn.XLOOKUP($K822&amp;"",'NETWORK-DEVICES'!$B$3:$B$987&amp;"",'NETWORK-DEVICES'!$I$3:$I$987,""),"Peripheral",_xlfn.XLOOKUP($K822&amp;"",PERIPHERAL!$B$3:$B$954&amp;"",PERIPHERAL!$J$3:$J$954,""),"Utilities",_xlfn.XLOOKUP($K822&amp;"",UTILITIES!$B$3:$B$953&amp;"",UTILITIES!$I$3:$I$953,""),"IOT",_xlfn.XLOOKUP($K822&amp;"",IOT!$B$3:$B$1012&amp;"",IOT!$J$3:$J$1012,""),"Server",_xlfn.XLOOKUP($K822&amp;"",SERVER!$B$3:$B$1009&amp;"",SERVER!$J$3:$J$1009,""),""))</f>
        <v/>
      </c>
      <c r="N822" s="1" t="str" cm="1">
        <f t="array" ref="N822">IF(OR($K822="",$I822="",$J822=""),"",_xlfn.LET(_xlpm.srcCat,_xlfn.SWITCH($I822,"Computer",_xlfn.XLOOKUP($K822&amp;"",COMPUTER!$B$3:$B$1009&amp;"",COMPUTER!$H$3:$H$1009,""),"Display",_xlfn.XLOOKUP($K822&amp;"",DISPLAY!$B$3:$B$1000&amp;"",DISPLAY!$H$3:$H$1000,""),"Network Device",_xlfn.XLOOKUP($K822&amp;"",'NETWORK-DEVICES'!$B$3:$B$987&amp;"",'NETWORK-DEVICES'!$H$3:$H$987,""),"Peripheral",_xlfn.XLOOKUP($K822&amp;"",PERIPHERAL!$B$3:$B$954&amp;"",PERIPHERAL!$H$3:$H$954,""),"Utilities",_xlfn.XLOOKUP($K822&amp;"",UTILITIES!$B$3:$B$953&amp;"",UTILITIES!$G$3:$G$953,""),"IOT",_xlfn.XLOOKUP($K822&amp;"",IOT!$B$3:$B$1012&amp;"",IOT!$H$3:$H$1012,""),"Server",_xlfn.XLOOKUP($K822&amp;"",SERVER!$B$3:$B$1009&amp;"",SERVER!$H$3:$H$1009,""),""),IF(TRIM(_xlpm.srcCat)&lt;&gt;TRIM($J822),"",_xlfn.SWITCH($I822,"Computer",_xlfn.XLOOKUP($K822&amp;"",COMPUTER!$B$3:$B$1009&amp;"",COMPUTER!$K$3:$K$1009,""),"Display",_xlfn.XLOOKUP($K822&amp;"",DISPLAY!$B$3:$B$1000&amp;"",DISPLAY!$L$3:$L$1000,""),"Network Device",_xlfn.XLOOKUP($K822&amp;"",'NETWORK-DEVICES'!$B$3:$B$987&amp;"",'NETWORK-DEVICES'!$K$3:$K$987,""),"Peripheral",_xlfn.XLOOKUP($K822&amp;"",PERIPHERAL!$B$3:$B$954&amp;"",PERIPHERAL!$K$3:$K$954,""),"Utilities",_xlfn.XLOOKUP($K822&amp;"",UTILITIES!$B$3:$B$953&amp;"",UTILITIES!$J$3:$J$953,""),"IOT",_xlfn.XLOOKUP($K822&amp;"",IOT!$B$3:$B$1012&amp;"",IOT!$K$4:$K$1012,""),"Server",_xlfn.XLOOKUP($K822&amp;"",SERVER!$B$3:$B$1009&amp;"",SERVER!$K$3:$K$1009,""),""))))</f>
        <v/>
      </c>
      <c r="O822" s="1" t="str" cm="1">
        <f t="array" ref="O822">IF(OR($K822="",$I822="",$J822=""),"",_xlfn.LET(_xlpm.srcCat,_xlfn.SWITCH($I822,"Computer",_xlfn.XLOOKUP($K822&amp;"",COMPUTER!$B$3:$B$1009&amp;"",COMPUTER!$H$3:$H$1009,""),"Display",_xlfn.XLOOKUP($K822&amp;"",DISPLAY!$B$3:$B$1000&amp;"",DISPLAY!$H$3:$H$1000,""),"Network Device",_xlfn.XLOOKUP($K822&amp;"",'NETWORK-DEVICES'!$B$3:$B$987&amp;"",'NETWORK-DEVICES'!$H$3:$H$987,""),"Peripheral",_xlfn.XLOOKUP($K822&amp;"",PERIPHERAL!$B$3:$B$954&amp;"",PERIPHERAL!$H$3:$H$954,""),"Utilities",_xlfn.XLOOKUP($K822&amp;"",UTILITIES!$B$3:$B$953&amp;"",UTILITIES!$G$3:$G$953,""),"IOT",_xlfn.XLOOKUP($K822&amp;"",IOT!$B$3:$B$1012&amp;"",IOT!$H$3:$H$1012,""),"Server",_xlfn.XLOOKUP($K822&amp;"",SERVER!$B$3:$B$1009&amp;"",SERVER!$H$3:$H$1009,""),""),IF(TRIM(_xlpm.srcCat)&lt;&gt;TRIM($J822),"",_xlfn.SWITCH($I822,"Computer",_xlfn.XLOOKUP($K822&amp;"",COMPUTER!$B$3:$B$1009&amp;"",COMPUTER!$E$3:$E$1009,""),"Display",_xlfn.XLOOKUP($K822&amp;"",DISPLAY!$B$3:$B$1000&amp;"",DISPLAY!$E$3:$E$1000,""),"Network Device",_xlfn.XLOOKUP($K822&amp;"",'NETWORK-DEVICES'!$B$3:$B$987&amp;"",'NETWORK-DEVICES'!$E$3:$E$987,""),"Peripheral",_xlfn.XLOOKUP($K822&amp;"",PERIPHERAL!$B$3:$B$954&amp;"",PERIPHERAL!$E$3:$E$954,""),"Utilities",_xlfn.XLOOKUP($K822&amp;"",UTILITIES!$B$3:$B$953&amp;"",UTILITIES!$E$3:$E$953,""),"IOT",_xlfn.XLOOKUP($K822&amp;"",IOT!$B$3:$B$1012&amp;"",IOT!$E$3:$E$1012,""),"Server",_xlfn.XLOOKUP($K822&amp;"",SERVER!$B$3:$B$1009&amp;"",SERVER!$E$3:$E$1009,""),""))))</f>
        <v/>
      </c>
      <c r="Q822" s="1" t="str" cm="1">
        <f t="array" ref="Q822">IF(OR($K822="",$I822="",$J822=""),"",_xlfn.LET(_xlpm.srcCat,_xlfn.SWITCH($I822,"Computer",_xlfn.XLOOKUP($K822&amp;"",COMPUTER!$B$3:$B$1009&amp;"",COMPUTER!$H$3:$H$1009,""),"Display",_xlfn.XLOOKUP($K822&amp;"",DISPLAY!$B$3:$B$1000&amp;"",DISPLAY!$H$3:$H$1000,""),"Network Device",_xlfn.XLOOKUP($K822&amp;"",'NETWORK-DEVICES'!$B$3:$B$987&amp;"",'NETWORK-DEVICES'!$H$3:$H$987,""),"Peripheral",_xlfn.XLOOKUP($K822&amp;"",PERIPHERAL!$B$3:$B$954&amp;"",PERIPHERAL!$H$3:$H$954,""),"Utilities",_xlfn.XLOOKUP($K822&amp;"",UTILITIES!$B$3:$B$953&amp;"",UTILITIES!$G$3:$G$953,""),"IOT",_xlfn.XLOOKUP($K822&amp;"",IOT!$B$3:$B$1012&amp;"",IOT!$H$3:$H$1012,""),"Server",_xlfn.XLOOKUP($K822&amp;"",SERVER!$B$3:$B$1009&amp;"",SERVER!$H$3:$H$1009,""),""),IF(TRIM(_xlpm.srcCat)&lt;&gt;TRIM($J822),"",_xlfn.SWITCH($I822,"Computer",_xlfn.XLOOKUP($K822&amp;"",COMPUTER!$B$3:$B$1009&amp;"",COMPUTER!$AM$3:$AM$1009,""),"Display",_xlfn.XLOOKUP($K822&amp;"",DISPLAY!$B$3:$B$1000&amp;"",DISPLAY!$V$3:$V$1000,""),"Network Device",_xlfn.XLOOKUP($K822&amp;"",'NETWORK-DEVICES'!$B$3:$B$987&amp;"",'NETWORK-DEVICES'!$AF$3:$AF$987,""),"Peripheral",_xlfn.XLOOKUP($K822&amp;"",PERIPHERAL!$B$3:$B$954&amp;"",PERIPHERAL!$Y$3:$Y$954,""),"Utilities",_xlfn.XLOOKUP($K822&amp;"",UTILITIES!$B$3:$B$953&amp;"",UTILITIES!$O$3:$O$953,""),"IOT",_xlfn.XLOOKUP($K822&amp;"",IOT!$B$3:$B$1012&amp;"",IOT!$AB$3:$AB$1012,""),"Server",_xlfn.XLOOKUP($K822&amp;"",SERVER!$B$3:$B$1009&amp;"",SERVER!$AB$3:$AB$1009,""),""))))</f>
        <v/>
      </c>
      <c r="R822" s="43" t="str">
        <f>IF(tbl_handover[[#This Row],[Asset Code]]="","",COUNTIF(tbl_handover[Asset Code],tbl_handover[[#This Row],[Asset Code]]))</f>
        <v/>
      </c>
    </row>
    <row r="823" spans="1:18" x14ac:dyDescent="0.25">
      <c r="A823" s="43" t="str">
        <f>IF(B823&lt;&gt;"",SUBTOTAL(3,$B$1:B822),"")</f>
        <v/>
      </c>
      <c r="C823" s="74"/>
      <c r="D823" s="74"/>
      <c r="G823" s="1"/>
      <c r="K823" s="42"/>
      <c r="L823" t="str" cm="1">
        <f t="array" ref="L823">IF($K823="","",_xlfn.SWITCH($I823,"Computer",_xlfn.XLOOKUP($K823&amp;"",COMPUTER!$B$3:$B$1009&amp;"",COMPUTER!$I$3:$I$1009,""),"Display",_xlfn.XLOOKUP($K823&amp;"",DISPLAY!$B$3:$B$1000&amp;"",DISPLAY!$J$3:$J$1000,""),"Network Device",_xlfn.XLOOKUP($K823&amp;"",'NETWORK-DEVICES'!$B$3:$B$987&amp;"",'NETWORK-DEVICES'!$I$3:$I$987,""),"Peripheral",_xlfn.XLOOKUP($K823&amp;"",PERIPHERAL!$B$3:$B$954&amp;"",PERIPHERAL!$I$3:$I$954,""),"Utilities",_xlfn.XLOOKUP($K823&amp;"",UTILITIES!$B$3:$B$953&amp;"",UTILITIES!$H$3:$H$953,""),"IOT",_xlfn.XLOOKUP($K823&amp;"",IOT!$B$3:$B$1012&amp;"",IOT!$I$3:$I$1012,""),"SERVER",_xlfn.XLOOKUP($K823&amp;"",SERVER!$B$3:$B$1009&amp;"",SERVER!$I$3:$I$1009,""),""))</f>
        <v/>
      </c>
      <c r="M823" t="str" cm="1">
        <f t="array" ref="M823">IF($K823="","",_xlfn.SWITCH($I823,"Computer",_xlfn.XLOOKUP($K823&amp;"",COMPUTER!$B$3:$B$1009&amp;"",COMPUTER!$J$3:$J$1009,""),"Display",_xlfn.XLOOKUP($K823&amp;"",DISPLAY!$B$3:$B$1000&amp;"",DISPLAY!$K$3:$K$1000,""),"Network Device",_xlfn.XLOOKUP($K823&amp;"",'NETWORK-DEVICES'!$B$3:$B$987&amp;"",'NETWORK-DEVICES'!$I$3:$I$987,""),"Peripheral",_xlfn.XLOOKUP($K823&amp;"",PERIPHERAL!$B$3:$B$954&amp;"",PERIPHERAL!$J$3:$J$954,""),"Utilities",_xlfn.XLOOKUP($K823&amp;"",UTILITIES!$B$3:$B$953&amp;"",UTILITIES!$I$3:$I$953,""),"IOT",_xlfn.XLOOKUP($K823&amp;"",IOT!$B$3:$B$1012&amp;"",IOT!$J$3:$J$1012,""),"Server",_xlfn.XLOOKUP($K823&amp;"",SERVER!$B$3:$B$1009&amp;"",SERVER!$J$3:$J$1009,""),""))</f>
        <v/>
      </c>
      <c r="N823" s="1" t="str" cm="1">
        <f t="array" ref="N823">IF(OR($K823="",$I823="",$J823=""),"",_xlfn.LET(_xlpm.srcCat,_xlfn.SWITCH($I823,"Computer",_xlfn.XLOOKUP($K823&amp;"",COMPUTER!$B$3:$B$1009&amp;"",COMPUTER!$H$3:$H$1009,""),"Display",_xlfn.XLOOKUP($K823&amp;"",DISPLAY!$B$3:$B$1000&amp;"",DISPLAY!$H$3:$H$1000,""),"Network Device",_xlfn.XLOOKUP($K823&amp;"",'NETWORK-DEVICES'!$B$3:$B$987&amp;"",'NETWORK-DEVICES'!$H$3:$H$987,""),"Peripheral",_xlfn.XLOOKUP($K823&amp;"",PERIPHERAL!$B$3:$B$954&amp;"",PERIPHERAL!$H$3:$H$954,""),"Utilities",_xlfn.XLOOKUP($K823&amp;"",UTILITIES!$B$3:$B$953&amp;"",UTILITIES!$G$3:$G$953,""),"IOT",_xlfn.XLOOKUP($K823&amp;"",IOT!$B$3:$B$1012&amp;"",IOT!$H$3:$H$1012,""),"Server",_xlfn.XLOOKUP($K823&amp;"",SERVER!$B$3:$B$1009&amp;"",SERVER!$H$3:$H$1009,""),""),IF(TRIM(_xlpm.srcCat)&lt;&gt;TRIM($J823),"",_xlfn.SWITCH($I823,"Computer",_xlfn.XLOOKUP($K823&amp;"",COMPUTER!$B$3:$B$1009&amp;"",COMPUTER!$K$3:$K$1009,""),"Display",_xlfn.XLOOKUP($K823&amp;"",DISPLAY!$B$3:$B$1000&amp;"",DISPLAY!$L$3:$L$1000,""),"Network Device",_xlfn.XLOOKUP($K823&amp;"",'NETWORK-DEVICES'!$B$3:$B$987&amp;"",'NETWORK-DEVICES'!$K$3:$K$987,""),"Peripheral",_xlfn.XLOOKUP($K823&amp;"",PERIPHERAL!$B$3:$B$954&amp;"",PERIPHERAL!$K$3:$K$954,""),"Utilities",_xlfn.XLOOKUP($K823&amp;"",UTILITIES!$B$3:$B$953&amp;"",UTILITIES!$J$3:$J$953,""),"IOT",_xlfn.XLOOKUP($K823&amp;"",IOT!$B$3:$B$1012&amp;"",IOT!$K$4:$K$1012,""),"Server",_xlfn.XLOOKUP($K823&amp;"",SERVER!$B$3:$B$1009&amp;"",SERVER!$K$3:$K$1009,""),""))))</f>
        <v/>
      </c>
      <c r="O823" s="1" t="str" cm="1">
        <f t="array" ref="O823">IF(OR($K823="",$I823="",$J823=""),"",_xlfn.LET(_xlpm.srcCat,_xlfn.SWITCH($I823,"Computer",_xlfn.XLOOKUP($K823&amp;"",COMPUTER!$B$3:$B$1009&amp;"",COMPUTER!$H$3:$H$1009,""),"Display",_xlfn.XLOOKUP($K823&amp;"",DISPLAY!$B$3:$B$1000&amp;"",DISPLAY!$H$3:$H$1000,""),"Network Device",_xlfn.XLOOKUP($K823&amp;"",'NETWORK-DEVICES'!$B$3:$B$987&amp;"",'NETWORK-DEVICES'!$H$3:$H$987,""),"Peripheral",_xlfn.XLOOKUP($K823&amp;"",PERIPHERAL!$B$3:$B$954&amp;"",PERIPHERAL!$H$3:$H$954,""),"Utilities",_xlfn.XLOOKUP($K823&amp;"",UTILITIES!$B$3:$B$953&amp;"",UTILITIES!$G$3:$G$953,""),"IOT",_xlfn.XLOOKUP($K823&amp;"",IOT!$B$3:$B$1012&amp;"",IOT!$H$3:$H$1012,""),"Server",_xlfn.XLOOKUP($K823&amp;"",SERVER!$B$3:$B$1009&amp;"",SERVER!$H$3:$H$1009,""),""),IF(TRIM(_xlpm.srcCat)&lt;&gt;TRIM($J823),"",_xlfn.SWITCH($I823,"Computer",_xlfn.XLOOKUP($K823&amp;"",COMPUTER!$B$3:$B$1009&amp;"",COMPUTER!$E$3:$E$1009,""),"Display",_xlfn.XLOOKUP($K823&amp;"",DISPLAY!$B$3:$B$1000&amp;"",DISPLAY!$E$3:$E$1000,""),"Network Device",_xlfn.XLOOKUP($K823&amp;"",'NETWORK-DEVICES'!$B$3:$B$987&amp;"",'NETWORK-DEVICES'!$E$3:$E$987,""),"Peripheral",_xlfn.XLOOKUP($K823&amp;"",PERIPHERAL!$B$3:$B$954&amp;"",PERIPHERAL!$E$3:$E$954,""),"Utilities",_xlfn.XLOOKUP($K823&amp;"",UTILITIES!$B$3:$B$953&amp;"",UTILITIES!$E$3:$E$953,""),"IOT",_xlfn.XLOOKUP($K823&amp;"",IOT!$B$3:$B$1012&amp;"",IOT!$E$3:$E$1012,""),"Server",_xlfn.XLOOKUP($K823&amp;"",SERVER!$B$3:$B$1009&amp;"",SERVER!$E$3:$E$1009,""),""))))</f>
        <v/>
      </c>
      <c r="Q823" s="1" t="str" cm="1">
        <f t="array" ref="Q823">IF(OR($K823="",$I823="",$J823=""),"",_xlfn.LET(_xlpm.srcCat,_xlfn.SWITCH($I823,"Computer",_xlfn.XLOOKUP($K823&amp;"",COMPUTER!$B$3:$B$1009&amp;"",COMPUTER!$H$3:$H$1009,""),"Display",_xlfn.XLOOKUP($K823&amp;"",DISPLAY!$B$3:$B$1000&amp;"",DISPLAY!$H$3:$H$1000,""),"Network Device",_xlfn.XLOOKUP($K823&amp;"",'NETWORK-DEVICES'!$B$3:$B$987&amp;"",'NETWORK-DEVICES'!$H$3:$H$987,""),"Peripheral",_xlfn.XLOOKUP($K823&amp;"",PERIPHERAL!$B$3:$B$954&amp;"",PERIPHERAL!$H$3:$H$954,""),"Utilities",_xlfn.XLOOKUP($K823&amp;"",UTILITIES!$B$3:$B$953&amp;"",UTILITIES!$G$3:$G$953,""),"IOT",_xlfn.XLOOKUP($K823&amp;"",IOT!$B$3:$B$1012&amp;"",IOT!$H$3:$H$1012,""),"Server",_xlfn.XLOOKUP($K823&amp;"",SERVER!$B$3:$B$1009&amp;"",SERVER!$H$3:$H$1009,""),""),IF(TRIM(_xlpm.srcCat)&lt;&gt;TRIM($J823),"",_xlfn.SWITCH($I823,"Computer",_xlfn.XLOOKUP($K823&amp;"",COMPUTER!$B$3:$B$1009&amp;"",COMPUTER!$AM$3:$AM$1009,""),"Display",_xlfn.XLOOKUP($K823&amp;"",DISPLAY!$B$3:$B$1000&amp;"",DISPLAY!$V$3:$V$1000,""),"Network Device",_xlfn.XLOOKUP($K823&amp;"",'NETWORK-DEVICES'!$B$3:$B$987&amp;"",'NETWORK-DEVICES'!$AF$3:$AF$987,""),"Peripheral",_xlfn.XLOOKUP($K823&amp;"",PERIPHERAL!$B$3:$B$954&amp;"",PERIPHERAL!$Y$3:$Y$954,""),"Utilities",_xlfn.XLOOKUP($K823&amp;"",UTILITIES!$B$3:$B$953&amp;"",UTILITIES!$O$3:$O$953,""),"IOT",_xlfn.XLOOKUP($K823&amp;"",IOT!$B$3:$B$1012&amp;"",IOT!$AB$3:$AB$1012,""),"Server",_xlfn.XLOOKUP($K823&amp;"",SERVER!$B$3:$B$1009&amp;"",SERVER!$AB$3:$AB$1009,""),""))))</f>
        <v/>
      </c>
      <c r="R823" s="43" t="str">
        <f>IF(tbl_handover[[#This Row],[Asset Code]]="","",COUNTIF(tbl_handover[Asset Code],tbl_handover[[#This Row],[Asset Code]]))</f>
        <v/>
      </c>
    </row>
    <row r="824" spans="1:18" x14ac:dyDescent="0.25">
      <c r="A824" s="43" t="str">
        <f>IF(B824&lt;&gt;"",SUBTOTAL(3,$B$1:B823),"")</f>
        <v/>
      </c>
      <c r="C824" s="74"/>
      <c r="D824" s="74"/>
      <c r="G824" s="1"/>
      <c r="K824" s="42"/>
      <c r="L824" t="str" cm="1">
        <f t="array" ref="L824">IF($K824="","",_xlfn.SWITCH($I824,"Computer",_xlfn.XLOOKUP($K824&amp;"",COMPUTER!$B$3:$B$1009&amp;"",COMPUTER!$I$3:$I$1009,""),"Display",_xlfn.XLOOKUP($K824&amp;"",DISPLAY!$B$3:$B$1000&amp;"",DISPLAY!$J$3:$J$1000,""),"Network Device",_xlfn.XLOOKUP($K824&amp;"",'NETWORK-DEVICES'!$B$3:$B$987&amp;"",'NETWORK-DEVICES'!$I$3:$I$987,""),"Peripheral",_xlfn.XLOOKUP($K824&amp;"",PERIPHERAL!$B$3:$B$954&amp;"",PERIPHERAL!$I$3:$I$954,""),"Utilities",_xlfn.XLOOKUP($K824&amp;"",UTILITIES!$B$3:$B$953&amp;"",UTILITIES!$H$3:$H$953,""),"IOT",_xlfn.XLOOKUP($K824&amp;"",IOT!$B$3:$B$1012&amp;"",IOT!$I$3:$I$1012,""),"SERVER",_xlfn.XLOOKUP($K824&amp;"",SERVER!$B$3:$B$1009&amp;"",SERVER!$I$3:$I$1009,""),""))</f>
        <v/>
      </c>
      <c r="M824" t="str" cm="1">
        <f t="array" ref="M824">IF($K824="","",_xlfn.SWITCH($I824,"Computer",_xlfn.XLOOKUP($K824&amp;"",COMPUTER!$B$3:$B$1009&amp;"",COMPUTER!$J$3:$J$1009,""),"Display",_xlfn.XLOOKUP($K824&amp;"",DISPLAY!$B$3:$B$1000&amp;"",DISPLAY!$K$3:$K$1000,""),"Network Device",_xlfn.XLOOKUP($K824&amp;"",'NETWORK-DEVICES'!$B$3:$B$987&amp;"",'NETWORK-DEVICES'!$I$3:$I$987,""),"Peripheral",_xlfn.XLOOKUP($K824&amp;"",PERIPHERAL!$B$3:$B$954&amp;"",PERIPHERAL!$J$3:$J$954,""),"Utilities",_xlfn.XLOOKUP($K824&amp;"",UTILITIES!$B$3:$B$953&amp;"",UTILITIES!$I$3:$I$953,""),"IOT",_xlfn.XLOOKUP($K824&amp;"",IOT!$B$3:$B$1012&amp;"",IOT!$J$3:$J$1012,""),"Server",_xlfn.XLOOKUP($K824&amp;"",SERVER!$B$3:$B$1009&amp;"",SERVER!$J$3:$J$1009,""),""))</f>
        <v/>
      </c>
      <c r="N824" s="1" t="str" cm="1">
        <f t="array" ref="N824">IF(OR($K824="",$I824="",$J824=""),"",_xlfn.LET(_xlpm.srcCat,_xlfn.SWITCH($I824,"Computer",_xlfn.XLOOKUP($K824&amp;"",COMPUTER!$B$3:$B$1009&amp;"",COMPUTER!$H$3:$H$1009,""),"Display",_xlfn.XLOOKUP($K824&amp;"",DISPLAY!$B$3:$B$1000&amp;"",DISPLAY!$H$3:$H$1000,""),"Network Device",_xlfn.XLOOKUP($K824&amp;"",'NETWORK-DEVICES'!$B$3:$B$987&amp;"",'NETWORK-DEVICES'!$H$3:$H$987,""),"Peripheral",_xlfn.XLOOKUP($K824&amp;"",PERIPHERAL!$B$3:$B$954&amp;"",PERIPHERAL!$H$3:$H$954,""),"Utilities",_xlfn.XLOOKUP($K824&amp;"",UTILITIES!$B$3:$B$953&amp;"",UTILITIES!$G$3:$G$953,""),"IOT",_xlfn.XLOOKUP($K824&amp;"",IOT!$B$3:$B$1012&amp;"",IOT!$H$3:$H$1012,""),"Server",_xlfn.XLOOKUP($K824&amp;"",SERVER!$B$3:$B$1009&amp;"",SERVER!$H$3:$H$1009,""),""),IF(TRIM(_xlpm.srcCat)&lt;&gt;TRIM($J824),"",_xlfn.SWITCH($I824,"Computer",_xlfn.XLOOKUP($K824&amp;"",COMPUTER!$B$3:$B$1009&amp;"",COMPUTER!$K$3:$K$1009,""),"Display",_xlfn.XLOOKUP($K824&amp;"",DISPLAY!$B$3:$B$1000&amp;"",DISPLAY!$L$3:$L$1000,""),"Network Device",_xlfn.XLOOKUP($K824&amp;"",'NETWORK-DEVICES'!$B$3:$B$987&amp;"",'NETWORK-DEVICES'!$K$3:$K$987,""),"Peripheral",_xlfn.XLOOKUP($K824&amp;"",PERIPHERAL!$B$3:$B$954&amp;"",PERIPHERAL!$K$3:$K$954,""),"Utilities",_xlfn.XLOOKUP($K824&amp;"",UTILITIES!$B$3:$B$953&amp;"",UTILITIES!$J$3:$J$953,""),"IOT",_xlfn.XLOOKUP($K824&amp;"",IOT!$B$3:$B$1012&amp;"",IOT!$K$4:$K$1012,""),"Server",_xlfn.XLOOKUP($K824&amp;"",SERVER!$B$3:$B$1009&amp;"",SERVER!$K$3:$K$1009,""),""))))</f>
        <v/>
      </c>
      <c r="O824" s="1" t="str" cm="1">
        <f t="array" ref="O824">IF(OR($K824="",$I824="",$J824=""),"",_xlfn.LET(_xlpm.srcCat,_xlfn.SWITCH($I824,"Computer",_xlfn.XLOOKUP($K824&amp;"",COMPUTER!$B$3:$B$1009&amp;"",COMPUTER!$H$3:$H$1009,""),"Display",_xlfn.XLOOKUP($K824&amp;"",DISPLAY!$B$3:$B$1000&amp;"",DISPLAY!$H$3:$H$1000,""),"Network Device",_xlfn.XLOOKUP($K824&amp;"",'NETWORK-DEVICES'!$B$3:$B$987&amp;"",'NETWORK-DEVICES'!$H$3:$H$987,""),"Peripheral",_xlfn.XLOOKUP($K824&amp;"",PERIPHERAL!$B$3:$B$954&amp;"",PERIPHERAL!$H$3:$H$954,""),"Utilities",_xlfn.XLOOKUP($K824&amp;"",UTILITIES!$B$3:$B$953&amp;"",UTILITIES!$G$3:$G$953,""),"IOT",_xlfn.XLOOKUP($K824&amp;"",IOT!$B$3:$B$1012&amp;"",IOT!$H$3:$H$1012,""),"Server",_xlfn.XLOOKUP($K824&amp;"",SERVER!$B$3:$B$1009&amp;"",SERVER!$H$3:$H$1009,""),""),IF(TRIM(_xlpm.srcCat)&lt;&gt;TRIM($J824),"",_xlfn.SWITCH($I824,"Computer",_xlfn.XLOOKUP($K824&amp;"",COMPUTER!$B$3:$B$1009&amp;"",COMPUTER!$E$3:$E$1009,""),"Display",_xlfn.XLOOKUP($K824&amp;"",DISPLAY!$B$3:$B$1000&amp;"",DISPLAY!$E$3:$E$1000,""),"Network Device",_xlfn.XLOOKUP($K824&amp;"",'NETWORK-DEVICES'!$B$3:$B$987&amp;"",'NETWORK-DEVICES'!$E$3:$E$987,""),"Peripheral",_xlfn.XLOOKUP($K824&amp;"",PERIPHERAL!$B$3:$B$954&amp;"",PERIPHERAL!$E$3:$E$954,""),"Utilities",_xlfn.XLOOKUP($K824&amp;"",UTILITIES!$B$3:$B$953&amp;"",UTILITIES!$E$3:$E$953,""),"IOT",_xlfn.XLOOKUP($K824&amp;"",IOT!$B$3:$B$1012&amp;"",IOT!$E$3:$E$1012,""),"Server",_xlfn.XLOOKUP($K824&amp;"",SERVER!$B$3:$B$1009&amp;"",SERVER!$E$3:$E$1009,""),""))))</f>
        <v/>
      </c>
      <c r="Q824" s="1" t="str" cm="1">
        <f t="array" ref="Q824">IF(OR($K824="",$I824="",$J824=""),"",_xlfn.LET(_xlpm.srcCat,_xlfn.SWITCH($I824,"Computer",_xlfn.XLOOKUP($K824&amp;"",COMPUTER!$B$3:$B$1009&amp;"",COMPUTER!$H$3:$H$1009,""),"Display",_xlfn.XLOOKUP($K824&amp;"",DISPLAY!$B$3:$B$1000&amp;"",DISPLAY!$H$3:$H$1000,""),"Network Device",_xlfn.XLOOKUP($K824&amp;"",'NETWORK-DEVICES'!$B$3:$B$987&amp;"",'NETWORK-DEVICES'!$H$3:$H$987,""),"Peripheral",_xlfn.XLOOKUP($K824&amp;"",PERIPHERAL!$B$3:$B$954&amp;"",PERIPHERAL!$H$3:$H$954,""),"Utilities",_xlfn.XLOOKUP($K824&amp;"",UTILITIES!$B$3:$B$953&amp;"",UTILITIES!$G$3:$G$953,""),"IOT",_xlfn.XLOOKUP($K824&amp;"",IOT!$B$3:$B$1012&amp;"",IOT!$H$3:$H$1012,""),"Server",_xlfn.XLOOKUP($K824&amp;"",SERVER!$B$3:$B$1009&amp;"",SERVER!$H$3:$H$1009,""),""),IF(TRIM(_xlpm.srcCat)&lt;&gt;TRIM($J824),"",_xlfn.SWITCH($I824,"Computer",_xlfn.XLOOKUP($K824&amp;"",COMPUTER!$B$3:$B$1009&amp;"",COMPUTER!$AM$3:$AM$1009,""),"Display",_xlfn.XLOOKUP($K824&amp;"",DISPLAY!$B$3:$B$1000&amp;"",DISPLAY!$V$3:$V$1000,""),"Network Device",_xlfn.XLOOKUP($K824&amp;"",'NETWORK-DEVICES'!$B$3:$B$987&amp;"",'NETWORK-DEVICES'!$AF$3:$AF$987,""),"Peripheral",_xlfn.XLOOKUP($K824&amp;"",PERIPHERAL!$B$3:$B$954&amp;"",PERIPHERAL!$Y$3:$Y$954,""),"Utilities",_xlfn.XLOOKUP($K824&amp;"",UTILITIES!$B$3:$B$953&amp;"",UTILITIES!$O$3:$O$953,""),"IOT",_xlfn.XLOOKUP($K824&amp;"",IOT!$B$3:$B$1012&amp;"",IOT!$AB$3:$AB$1012,""),"Server",_xlfn.XLOOKUP($K824&amp;"",SERVER!$B$3:$B$1009&amp;"",SERVER!$AB$3:$AB$1009,""),""))))</f>
        <v/>
      </c>
      <c r="R824" s="43" t="str">
        <f>IF(tbl_handover[[#This Row],[Asset Code]]="","",COUNTIF(tbl_handover[Asset Code],tbl_handover[[#This Row],[Asset Code]]))</f>
        <v/>
      </c>
    </row>
    <row r="825" spans="1:18" x14ac:dyDescent="0.25">
      <c r="A825" s="43" t="str">
        <f>IF(B825&lt;&gt;"",SUBTOTAL(3,$B$1:B824),"")</f>
        <v/>
      </c>
      <c r="C825" s="74"/>
      <c r="D825" s="74"/>
      <c r="G825" s="1"/>
      <c r="K825" s="42"/>
      <c r="L825" t="str" cm="1">
        <f t="array" ref="L825">IF($K825="","",_xlfn.SWITCH($I825,"Computer",_xlfn.XLOOKUP($K825&amp;"",COMPUTER!$B$3:$B$1009&amp;"",COMPUTER!$I$3:$I$1009,""),"Display",_xlfn.XLOOKUP($K825&amp;"",DISPLAY!$B$3:$B$1000&amp;"",DISPLAY!$J$3:$J$1000,""),"Network Device",_xlfn.XLOOKUP($K825&amp;"",'NETWORK-DEVICES'!$B$3:$B$987&amp;"",'NETWORK-DEVICES'!$I$3:$I$987,""),"Peripheral",_xlfn.XLOOKUP($K825&amp;"",PERIPHERAL!$B$3:$B$954&amp;"",PERIPHERAL!$I$3:$I$954,""),"Utilities",_xlfn.XLOOKUP($K825&amp;"",UTILITIES!$B$3:$B$953&amp;"",UTILITIES!$H$3:$H$953,""),"IOT",_xlfn.XLOOKUP($K825&amp;"",IOT!$B$3:$B$1012&amp;"",IOT!$I$3:$I$1012,""),"SERVER",_xlfn.XLOOKUP($K825&amp;"",SERVER!$B$3:$B$1009&amp;"",SERVER!$I$3:$I$1009,""),""))</f>
        <v/>
      </c>
      <c r="M825" t="str" cm="1">
        <f t="array" ref="M825">IF($K825="","",_xlfn.SWITCH($I825,"Computer",_xlfn.XLOOKUP($K825&amp;"",COMPUTER!$B$3:$B$1009&amp;"",COMPUTER!$J$3:$J$1009,""),"Display",_xlfn.XLOOKUP($K825&amp;"",DISPLAY!$B$3:$B$1000&amp;"",DISPLAY!$K$3:$K$1000,""),"Network Device",_xlfn.XLOOKUP($K825&amp;"",'NETWORK-DEVICES'!$B$3:$B$987&amp;"",'NETWORK-DEVICES'!$I$3:$I$987,""),"Peripheral",_xlfn.XLOOKUP($K825&amp;"",PERIPHERAL!$B$3:$B$954&amp;"",PERIPHERAL!$J$3:$J$954,""),"Utilities",_xlfn.XLOOKUP($K825&amp;"",UTILITIES!$B$3:$B$953&amp;"",UTILITIES!$I$3:$I$953,""),"IOT",_xlfn.XLOOKUP($K825&amp;"",IOT!$B$3:$B$1012&amp;"",IOT!$J$3:$J$1012,""),"Server",_xlfn.XLOOKUP($K825&amp;"",SERVER!$B$3:$B$1009&amp;"",SERVER!$J$3:$J$1009,""),""))</f>
        <v/>
      </c>
      <c r="N825" s="1" t="str" cm="1">
        <f t="array" ref="N825">IF(OR($K825="",$I825="",$J825=""),"",_xlfn.LET(_xlpm.srcCat,_xlfn.SWITCH($I825,"Computer",_xlfn.XLOOKUP($K825&amp;"",COMPUTER!$B$3:$B$1009&amp;"",COMPUTER!$H$3:$H$1009,""),"Display",_xlfn.XLOOKUP($K825&amp;"",DISPLAY!$B$3:$B$1000&amp;"",DISPLAY!$H$3:$H$1000,""),"Network Device",_xlfn.XLOOKUP($K825&amp;"",'NETWORK-DEVICES'!$B$3:$B$987&amp;"",'NETWORK-DEVICES'!$H$3:$H$987,""),"Peripheral",_xlfn.XLOOKUP($K825&amp;"",PERIPHERAL!$B$3:$B$954&amp;"",PERIPHERAL!$H$3:$H$954,""),"Utilities",_xlfn.XLOOKUP($K825&amp;"",UTILITIES!$B$3:$B$953&amp;"",UTILITIES!$G$3:$G$953,""),"IOT",_xlfn.XLOOKUP($K825&amp;"",IOT!$B$3:$B$1012&amp;"",IOT!$H$3:$H$1012,""),"Server",_xlfn.XLOOKUP($K825&amp;"",SERVER!$B$3:$B$1009&amp;"",SERVER!$H$3:$H$1009,""),""),IF(TRIM(_xlpm.srcCat)&lt;&gt;TRIM($J825),"",_xlfn.SWITCH($I825,"Computer",_xlfn.XLOOKUP($K825&amp;"",COMPUTER!$B$3:$B$1009&amp;"",COMPUTER!$K$3:$K$1009,""),"Display",_xlfn.XLOOKUP($K825&amp;"",DISPLAY!$B$3:$B$1000&amp;"",DISPLAY!$L$3:$L$1000,""),"Network Device",_xlfn.XLOOKUP($K825&amp;"",'NETWORK-DEVICES'!$B$3:$B$987&amp;"",'NETWORK-DEVICES'!$K$3:$K$987,""),"Peripheral",_xlfn.XLOOKUP($K825&amp;"",PERIPHERAL!$B$3:$B$954&amp;"",PERIPHERAL!$K$3:$K$954,""),"Utilities",_xlfn.XLOOKUP($K825&amp;"",UTILITIES!$B$3:$B$953&amp;"",UTILITIES!$J$3:$J$953,""),"IOT",_xlfn.XLOOKUP($K825&amp;"",IOT!$B$3:$B$1012&amp;"",IOT!$K$4:$K$1012,""),"Server",_xlfn.XLOOKUP($K825&amp;"",SERVER!$B$3:$B$1009&amp;"",SERVER!$K$3:$K$1009,""),""))))</f>
        <v/>
      </c>
      <c r="O825" s="1" t="str" cm="1">
        <f t="array" ref="O825">IF(OR($K825="",$I825="",$J825=""),"",_xlfn.LET(_xlpm.srcCat,_xlfn.SWITCH($I825,"Computer",_xlfn.XLOOKUP($K825&amp;"",COMPUTER!$B$3:$B$1009&amp;"",COMPUTER!$H$3:$H$1009,""),"Display",_xlfn.XLOOKUP($K825&amp;"",DISPLAY!$B$3:$B$1000&amp;"",DISPLAY!$H$3:$H$1000,""),"Network Device",_xlfn.XLOOKUP($K825&amp;"",'NETWORK-DEVICES'!$B$3:$B$987&amp;"",'NETWORK-DEVICES'!$H$3:$H$987,""),"Peripheral",_xlfn.XLOOKUP($K825&amp;"",PERIPHERAL!$B$3:$B$954&amp;"",PERIPHERAL!$H$3:$H$954,""),"Utilities",_xlfn.XLOOKUP($K825&amp;"",UTILITIES!$B$3:$B$953&amp;"",UTILITIES!$G$3:$G$953,""),"IOT",_xlfn.XLOOKUP($K825&amp;"",IOT!$B$3:$B$1012&amp;"",IOT!$H$3:$H$1012,""),"Server",_xlfn.XLOOKUP($K825&amp;"",SERVER!$B$3:$B$1009&amp;"",SERVER!$H$3:$H$1009,""),""),IF(TRIM(_xlpm.srcCat)&lt;&gt;TRIM($J825),"",_xlfn.SWITCH($I825,"Computer",_xlfn.XLOOKUP($K825&amp;"",COMPUTER!$B$3:$B$1009&amp;"",COMPUTER!$E$3:$E$1009,""),"Display",_xlfn.XLOOKUP($K825&amp;"",DISPLAY!$B$3:$B$1000&amp;"",DISPLAY!$E$3:$E$1000,""),"Network Device",_xlfn.XLOOKUP($K825&amp;"",'NETWORK-DEVICES'!$B$3:$B$987&amp;"",'NETWORK-DEVICES'!$E$3:$E$987,""),"Peripheral",_xlfn.XLOOKUP($K825&amp;"",PERIPHERAL!$B$3:$B$954&amp;"",PERIPHERAL!$E$3:$E$954,""),"Utilities",_xlfn.XLOOKUP($K825&amp;"",UTILITIES!$B$3:$B$953&amp;"",UTILITIES!$E$3:$E$953,""),"IOT",_xlfn.XLOOKUP($K825&amp;"",IOT!$B$3:$B$1012&amp;"",IOT!$E$3:$E$1012,""),"Server",_xlfn.XLOOKUP($K825&amp;"",SERVER!$B$3:$B$1009&amp;"",SERVER!$E$3:$E$1009,""),""))))</f>
        <v/>
      </c>
      <c r="Q825" s="1" t="str" cm="1">
        <f t="array" ref="Q825">IF(OR($K825="",$I825="",$J825=""),"",_xlfn.LET(_xlpm.srcCat,_xlfn.SWITCH($I825,"Computer",_xlfn.XLOOKUP($K825&amp;"",COMPUTER!$B$3:$B$1009&amp;"",COMPUTER!$H$3:$H$1009,""),"Display",_xlfn.XLOOKUP($K825&amp;"",DISPLAY!$B$3:$B$1000&amp;"",DISPLAY!$H$3:$H$1000,""),"Network Device",_xlfn.XLOOKUP($K825&amp;"",'NETWORK-DEVICES'!$B$3:$B$987&amp;"",'NETWORK-DEVICES'!$H$3:$H$987,""),"Peripheral",_xlfn.XLOOKUP($K825&amp;"",PERIPHERAL!$B$3:$B$954&amp;"",PERIPHERAL!$H$3:$H$954,""),"Utilities",_xlfn.XLOOKUP($K825&amp;"",UTILITIES!$B$3:$B$953&amp;"",UTILITIES!$G$3:$G$953,""),"IOT",_xlfn.XLOOKUP($K825&amp;"",IOT!$B$3:$B$1012&amp;"",IOT!$H$3:$H$1012,""),"Server",_xlfn.XLOOKUP($K825&amp;"",SERVER!$B$3:$B$1009&amp;"",SERVER!$H$3:$H$1009,""),""),IF(TRIM(_xlpm.srcCat)&lt;&gt;TRIM($J825),"",_xlfn.SWITCH($I825,"Computer",_xlfn.XLOOKUP($K825&amp;"",COMPUTER!$B$3:$B$1009&amp;"",COMPUTER!$AM$3:$AM$1009,""),"Display",_xlfn.XLOOKUP($K825&amp;"",DISPLAY!$B$3:$B$1000&amp;"",DISPLAY!$V$3:$V$1000,""),"Network Device",_xlfn.XLOOKUP($K825&amp;"",'NETWORK-DEVICES'!$B$3:$B$987&amp;"",'NETWORK-DEVICES'!$AF$3:$AF$987,""),"Peripheral",_xlfn.XLOOKUP($K825&amp;"",PERIPHERAL!$B$3:$B$954&amp;"",PERIPHERAL!$Y$3:$Y$954,""),"Utilities",_xlfn.XLOOKUP($K825&amp;"",UTILITIES!$B$3:$B$953&amp;"",UTILITIES!$O$3:$O$953,""),"IOT",_xlfn.XLOOKUP($K825&amp;"",IOT!$B$3:$B$1012&amp;"",IOT!$AB$3:$AB$1012,""),"Server",_xlfn.XLOOKUP($K825&amp;"",SERVER!$B$3:$B$1009&amp;"",SERVER!$AB$3:$AB$1009,""),""))))</f>
        <v/>
      </c>
      <c r="R825" s="43" t="str">
        <f>IF(tbl_handover[[#This Row],[Asset Code]]="","",COUNTIF(tbl_handover[Asset Code],tbl_handover[[#This Row],[Asset Code]]))</f>
        <v/>
      </c>
    </row>
    <row r="826" spans="1:18" x14ac:dyDescent="0.25">
      <c r="A826" s="43" t="str">
        <f>IF(B826&lt;&gt;"",SUBTOTAL(3,$B$1:B825),"")</f>
        <v/>
      </c>
      <c r="C826" s="74"/>
      <c r="D826" s="74"/>
      <c r="G826" s="1"/>
      <c r="K826" s="42"/>
      <c r="L826" t="str" cm="1">
        <f t="array" ref="L826">IF($K826="","",_xlfn.SWITCH($I826,"Computer",_xlfn.XLOOKUP($K826&amp;"",COMPUTER!$B$3:$B$1009&amp;"",COMPUTER!$I$3:$I$1009,""),"Display",_xlfn.XLOOKUP($K826&amp;"",DISPLAY!$B$3:$B$1000&amp;"",DISPLAY!$J$3:$J$1000,""),"Network Device",_xlfn.XLOOKUP($K826&amp;"",'NETWORK-DEVICES'!$B$3:$B$987&amp;"",'NETWORK-DEVICES'!$I$3:$I$987,""),"Peripheral",_xlfn.XLOOKUP($K826&amp;"",PERIPHERAL!$B$3:$B$954&amp;"",PERIPHERAL!$I$3:$I$954,""),"Utilities",_xlfn.XLOOKUP($K826&amp;"",UTILITIES!$B$3:$B$953&amp;"",UTILITIES!$H$3:$H$953,""),"IOT",_xlfn.XLOOKUP($K826&amp;"",IOT!$B$3:$B$1012&amp;"",IOT!$I$3:$I$1012,""),"SERVER",_xlfn.XLOOKUP($K826&amp;"",SERVER!$B$3:$B$1009&amp;"",SERVER!$I$3:$I$1009,""),""))</f>
        <v/>
      </c>
      <c r="M826" t="str" cm="1">
        <f t="array" ref="M826">IF($K826="","",_xlfn.SWITCH($I826,"Computer",_xlfn.XLOOKUP($K826&amp;"",COMPUTER!$B$3:$B$1009&amp;"",COMPUTER!$J$3:$J$1009,""),"Display",_xlfn.XLOOKUP($K826&amp;"",DISPLAY!$B$3:$B$1000&amp;"",DISPLAY!$K$3:$K$1000,""),"Network Device",_xlfn.XLOOKUP($K826&amp;"",'NETWORK-DEVICES'!$B$3:$B$987&amp;"",'NETWORK-DEVICES'!$I$3:$I$987,""),"Peripheral",_xlfn.XLOOKUP($K826&amp;"",PERIPHERAL!$B$3:$B$954&amp;"",PERIPHERAL!$J$3:$J$954,""),"Utilities",_xlfn.XLOOKUP($K826&amp;"",UTILITIES!$B$3:$B$953&amp;"",UTILITIES!$I$3:$I$953,""),"IOT",_xlfn.XLOOKUP($K826&amp;"",IOT!$B$3:$B$1012&amp;"",IOT!$J$3:$J$1012,""),"Server",_xlfn.XLOOKUP($K826&amp;"",SERVER!$B$3:$B$1009&amp;"",SERVER!$J$3:$J$1009,""),""))</f>
        <v/>
      </c>
      <c r="N826" s="1" t="str" cm="1">
        <f t="array" ref="N826">IF(OR($K826="",$I826="",$J826=""),"",_xlfn.LET(_xlpm.srcCat,_xlfn.SWITCH($I826,"Computer",_xlfn.XLOOKUP($K826&amp;"",COMPUTER!$B$3:$B$1009&amp;"",COMPUTER!$H$3:$H$1009,""),"Display",_xlfn.XLOOKUP($K826&amp;"",DISPLAY!$B$3:$B$1000&amp;"",DISPLAY!$H$3:$H$1000,""),"Network Device",_xlfn.XLOOKUP($K826&amp;"",'NETWORK-DEVICES'!$B$3:$B$987&amp;"",'NETWORK-DEVICES'!$H$3:$H$987,""),"Peripheral",_xlfn.XLOOKUP($K826&amp;"",PERIPHERAL!$B$3:$B$954&amp;"",PERIPHERAL!$H$3:$H$954,""),"Utilities",_xlfn.XLOOKUP($K826&amp;"",UTILITIES!$B$3:$B$953&amp;"",UTILITIES!$G$3:$G$953,""),"IOT",_xlfn.XLOOKUP($K826&amp;"",IOT!$B$3:$B$1012&amp;"",IOT!$H$3:$H$1012,""),"Server",_xlfn.XLOOKUP($K826&amp;"",SERVER!$B$3:$B$1009&amp;"",SERVER!$H$3:$H$1009,""),""),IF(TRIM(_xlpm.srcCat)&lt;&gt;TRIM($J826),"",_xlfn.SWITCH($I826,"Computer",_xlfn.XLOOKUP($K826&amp;"",COMPUTER!$B$3:$B$1009&amp;"",COMPUTER!$K$3:$K$1009,""),"Display",_xlfn.XLOOKUP($K826&amp;"",DISPLAY!$B$3:$B$1000&amp;"",DISPLAY!$L$3:$L$1000,""),"Network Device",_xlfn.XLOOKUP($K826&amp;"",'NETWORK-DEVICES'!$B$3:$B$987&amp;"",'NETWORK-DEVICES'!$K$3:$K$987,""),"Peripheral",_xlfn.XLOOKUP($K826&amp;"",PERIPHERAL!$B$3:$B$954&amp;"",PERIPHERAL!$K$3:$K$954,""),"Utilities",_xlfn.XLOOKUP($K826&amp;"",UTILITIES!$B$3:$B$953&amp;"",UTILITIES!$J$3:$J$953,""),"IOT",_xlfn.XLOOKUP($K826&amp;"",IOT!$B$3:$B$1012&amp;"",IOT!$K$4:$K$1012,""),"Server",_xlfn.XLOOKUP($K826&amp;"",SERVER!$B$3:$B$1009&amp;"",SERVER!$K$3:$K$1009,""),""))))</f>
        <v/>
      </c>
      <c r="O826" s="1" t="str" cm="1">
        <f t="array" ref="O826">IF(OR($K826="",$I826="",$J826=""),"",_xlfn.LET(_xlpm.srcCat,_xlfn.SWITCH($I826,"Computer",_xlfn.XLOOKUP($K826&amp;"",COMPUTER!$B$3:$B$1009&amp;"",COMPUTER!$H$3:$H$1009,""),"Display",_xlfn.XLOOKUP($K826&amp;"",DISPLAY!$B$3:$B$1000&amp;"",DISPLAY!$H$3:$H$1000,""),"Network Device",_xlfn.XLOOKUP($K826&amp;"",'NETWORK-DEVICES'!$B$3:$B$987&amp;"",'NETWORK-DEVICES'!$H$3:$H$987,""),"Peripheral",_xlfn.XLOOKUP($K826&amp;"",PERIPHERAL!$B$3:$B$954&amp;"",PERIPHERAL!$H$3:$H$954,""),"Utilities",_xlfn.XLOOKUP($K826&amp;"",UTILITIES!$B$3:$B$953&amp;"",UTILITIES!$G$3:$G$953,""),"IOT",_xlfn.XLOOKUP($K826&amp;"",IOT!$B$3:$B$1012&amp;"",IOT!$H$3:$H$1012,""),"Server",_xlfn.XLOOKUP($K826&amp;"",SERVER!$B$3:$B$1009&amp;"",SERVER!$H$3:$H$1009,""),""),IF(TRIM(_xlpm.srcCat)&lt;&gt;TRIM($J826),"",_xlfn.SWITCH($I826,"Computer",_xlfn.XLOOKUP($K826&amp;"",COMPUTER!$B$3:$B$1009&amp;"",COMPUTER!$E$3:$E$1009,""),"Display",_xlfn.XLOOKUP($K826&amp;"",DISPLAY!$B$3:$B$1000&amp;"",DISPLAY!$E$3:$E$1000,""),"Network Device",_xlfn.XLOOKUP($K826&amp;"",'NETWORK-DEVICES'!$B$3:$B$987&amp;"",'NETWORK-DEVICES'!$E$3:$E$987,""),"Peripheral",_xlfn.XLOOKUP($K826&amp;"",PERIPHERAL!$B$3:$B$954&amp;"",PERIPHERAL!$E$3:$E$954,""),"Utilities",_xlfn.XLOOKUP($K826&amp;"",UTILITIES!$B$3:$B$953&amp;"",UTILITIES!$E$3:$E$953,""),"IOT",_xlfn.XLOOKUP($K826&amp;"",IOT!$B$3:$B$1012&amp;"",IOT!$E$3:$E$1012,""),"Server",_xlfn.XLOOKUP($K826&amp;"",SERVER!$B$3:$B$1009&amp;"",SERVER!$E$3:$E$1009,""),""))))</f>
        <v/>
      </c>
      <c r="Q826" s="1" t="str" cm="1">
        <f t="array" ref="Q826">IF(OR($K826="",$I826="",$J826=""),"",_xlfn.LET(_xlpm.srcCat,_xlfn.SWITCH($I826,"Computer",_xlfn.XLOOKUP($K826&amp;"",COMPUTER!$B$3:$B$1009&amp;"",COMPUTER!$H$3:$H$1009,""),"Display",_xlfn.XLOOKUP($K826&amp;"",DISPLAY!$B$3:$B$1000&amp;"",DISPLAY!$H$3:$H$1000,""),"Network Device",_xlfn.XLOOKUP($K826&amp;"",'NETWORK-DEVICES'!$B$3:$B$987&amp;"",'NETWORK-DEVICES'!$H$3:$H$987,""),"Peripheral",_xlfn.XLOOKUP($K826&amp;"",PERIPHERAL!$B$3:$B$954&amp;"",PERIPHERAL!$H$3:$H$954,""),"Utilities",_xlfn.XLOOKUP($K826&amp;"",UTILITIES!$B$3:$B$953&amp;"",UTILITIES!$G$3:$G$953,""),"IOT",_xlfn.XLOOKUP($K826&amp;"",IOT!$B$3:$B$1012&amp;"",IOT!$H$3:$H$1012,""),"Server",_xlfn.XLOOKUP($K826&amp;"",SERVER!$B$3:$B$1009&amp;"",SERVER!$H$3:$H$1009,""),""),IF(TRIM(_xlpm.srcCat)&lt;&gt;TRIM($J826),"",_xlfn.SWITCH($I826,"Computer",_xlfn.XLOOKUP($K826&amp;"",COMPUTER!$B$3:$B$1009&amp;"",COMPUTER!$AM$3:$AM$1009,""),"Display",_xlfn.XLOOKUP($K826&amp;"",DISPLAY!$B$3:$B$1000&amp;"",DISPLAY!$V$3:$V$1000,""),"Network Device",_xlfn.XLOOKUP($K826&amp;"",'NETWORK-DEVICES'!$B$3:$B$987&amp;"",'NETWORK-DEVICES'!$AF$3:$AF$987,""),"Peripheral",_xlfn.XLOOKUP($K826&amp;"",PERIPHERAL!$B$3:$B$954&amp;"",PERIPHERAL!$Y$3:$Y$954,""),"Utilities",_xlfn.XLOOKUP($K826&amp;"",UTILITIES!$B$3:$B$953&amp;"",UTILITIES!$O$3:$O$953,""),"IOT",_xlfn.XLOOKUP($K826&amp;"",IOT!$B$3:$B$1012&amp;"",IOT!$AB$3:$AB$1012,""),"Server",_xlfn.XLOOKUP($K826&amp;"",SERVER!$B$3:$B$1009&amp;"",SERVER!$AB$3:$AB$1009,""),""))))</f>
        <v/>
      </c>
      <c r="R826" s="43" t="str">
        <f>IF(tbl_handover[[#This Row],[Asset Code]]="","",COUNTIF(tbl_handover[Asset Code],tbl_handover[[#This Row],[Asset Code]]))</f>
        <v/>
      </c>
    </row>
    <row r="827" spans="1:18" x14ac:dyDescent="0.25">
      <c r="A827" s="43" t="str">
        <f>IF(B827&lt;&gt;"",SUBTOTAL(3,$B$1:B826),"")</f>
        <v/>
      </c>
      <c r="C827" s="74"/>
      <c r="D827" s="74"/>
      <c r="G827" s="1"/>
      <c r="K827" s="42"/>
      <c r="L827" t="str" cm="1">
        <f t="array" ref="L827">IF($K827="","",_xlfn.SWITCH($I827,"Computer",_xlfn.XLOOKUP($K827&amp;"",COMPUTER!$B$3:$B$1009&amp;"",COMPUTER!$I$3:$I$1009,""),"Display",_xlfn.XLOOKUP($K827&amp;"",DISPLAY!$B$3:$B$1000&amp;"",DISPLAY!$J$3:$J$1000,""),"Network Device",_xlfn.XLOOKUP($K827&amp;"",'NETWORK-DEVICES'!$B$3:$B$987&amp;"",'NETWORK-DEVICES'!$I$3:$I$987,""),"Peripheral",_xlfn.XLOOKUP($K827&amp;"",PERIPHERAL!$B$3:$B$954&amp;"",PERIPHERAL!$I$3:$I$954,""),"Utilities",_xlfn.XLOOKUP($K827&amp;"",UTILITIES!$B$3:$B$953&amp;"",UTILITIES!$H$3:$H$953,""),"IOT",_xlfn.XLOOKUP($K827&amp;"",IOT!$B$3:$B$1012&amp;"",IOT!$I$3:$I$1012,""),"SERVER",_xlfn.XLOOKUP($K827&amp;"",SERVER!$B$3:$B$1009&amp;"",SERVER!$I$3:$I$1009,""),""))</f>
        <v/>
      </c>
      <c r="M827" t="str" cm="1">
        <f t="array" ref="M827">IF($K827="","",_xlfn.SWITCH($I827,"Computer",_xlfn.XLOOKUP($K827&amp;"",COMPUTER!$B$3:$B$1009&amp;"",COMPUTER!$J$3:$J$1009,""),"Display",_xlfn.XLOOKUP($K827&amp;"",DISPLAY!$B$3:$B$1000&amp;"",DISPLAY!$K$3:$K$1000,""),"Network Device",_xlfn.XLOOKUP($K827&amp;"",'NETWORK-DEVICES'!$B$3:$B$987&amp;"",'NETWORK-DEVICES'!$I$3:$I$987,""),"Peripheral",_xlfn.XLOOKUP($K827&amp;"",PERIPHERAL!$B$3:$B$954&amp;"",PERIPHERAL!$J$3:$J$954,""),"Utilities",_xlfn.XLOOKUP($K827&amp;"",UTILITIES!$B$3:$B$953&amp;"",UTILITIES!$I$3:$I$953,""),"IOT",_xlfn.XLOOKUP($K827&amp;"",IOT!$B$3:$B$1012&amp;"",IOT!$J$3:$J$1012,""),"Server",_xlfn.XLOOKUP($K827&amp;"",SERVER!$B$3:$B$1009&amp;"",SERVER!$J$3:$J$1009,""),""))</f>
        <v/>
      </c>
      <c r="N827" s="1" t="str" cm="1">
        <f t="array" ref="N827">IF(OR($K827="",$I827="",$J827=""),"",_xlfn.LET(_xlpm.srcCat,_xlfn.SWITCH($I827,"Computer",_xlfn.XLOOKUP($K827&amp;"",COMPUTER!$B$3:$B$1009&amp;"",COMPUTER!$H$3:$H$1009,""),"Display",_xlfn.XLOOKUP($K827&amp;"",DISPLAY!$B$3:$B$1000&amp;"",DISPLAY!$H$3:$H$1000,""),"Network Device",_xlfn.XLOOKUP($K827&amp;"",'NETWORK-DEVICES'!$B$3:$B$987&amp;"",'NETWORK-DEVICES'!$H$3:$H$987,""),"Peripheral",_xlfn.XLOOKUP($K827&amp;"",PERIPHERAL!$B$3:$B$954&amp;"",PERIPHERAL!$H$3:$H$954,""),"Utilities",_xlfn.XLOOKUP($K827&amp;"",UTILITIES!$B$3:$B$953&amp;"",UTILITIES!$G$3:$G$953,""),"IOT",_xlfn.XLOOKUP($K827&amp;"",IOT!$B$3:$B$1012&amp;"",IOT!$H$3:$H$1012,""),"Server",_xlfn.XLOOKUP($K827&amp;"",SERVER!$B$3:$B$1009&amp;"",SERVER!$H$3:$H$1009,""),""),IF(TRIM(_xlpm.srcCat)&lt;&gt;TRIM($J827),"",_xlfn.SWITCH($I827,"Computer",_xlfn.XLOOKUP($K827&amp;"",COMPUTER!$B$3:$B$1009&amp;"",COMPUTER!$K$3:$K$1009,""),"Display",_xlfn.XLOOKUP($K827&amp;"",DISPLAY!$B$3:$B$1000&amp;"",DISPLAY!$L$3:$L$1000,""),"Network Device",_xlfn.XLOOKUP($K827&amp;"",'NETWORK-DEVICES'!$B$3:$B$987&amp;"",'NETWORK-DEVICES'!$K$3:$K$987,""),"Peripheral",_xlfn.XLOOKUP($K827&amp;"",PERIPHERAL!$B$3:$B$954&amp;"",PERIPHERAL!$K$3:$K$954,""),"Utilities",_xlfn.XLOOKUP($K827&amp;"",UTILITIES!$B$3:$B$953&amp;"",UTILITIES!$J$3:$J$953,""),"IOT",_xlfn.XLOOKUP($K827&amp;"",IOT!$B$3:$B$1012&amp;"",IOT!$K$4:$K$1012,""),"Server",_xlfn.XLOOKUP($K827&amp;"",SERVER!$B$3:$B$1009&amp;"",SERVER!$K$3:$K$1009,""),""))))</f>
        <v/>
      </c>
      <c r="O827" s="1" t="str" cm="1">
        <f t="array" ref="O827">IF(OR($K827="",$I827="",$J827=""),"",_xlfn.LET(_xlpm.srcCat,_xlfn.SWITCH($I827,"Computer",_xlfn.XLOOKUP($K827&amp;"",COMPUTER!$B$3:$B$1009&amp;"",COMPUTER!$H$3:$H$1009,""),"Display",_xlfn.XLOOKUP($K827&amp;"",DISPLAY!$B$3:$B$1000&amp;"",DISPLAY!$H$3:$H$1000,""),"Network Device",_xlfn.XLOOKUP($K827&amp;"",'NETWORK-DEVICES'!$B$3:$B$987&amp;"",'NETWORK-DEVICES'!$H$3:$H$987,""),"Peripheral",_xlfn.XLOOKUP($K827&amp;"",PERIPHERAL!$B$3:$B$954&amp;"",PERIPHERAL!$H$3:$H$954,""),"Utilities",_xlfn.XLOOKUP($K827&amp;"",UTILITIES!$B$3:$B$953&amp;"",UTILITIES!$G$3:$G$953,""),"IOT",_xlfn.XLOOKUP($K827&amp;"",IOT!$B$3:$B$1012&amp;"",IOT!$H$3:$H$1012,""),"Server",_xlfn.XLOOKUP($K827&amp;"",SERVER!$B$3:$B$1009&amp;"",SERVER!$H$3:$H$1009,""),""),IF(TRIM(_xlpm.srcCat)&lt;&gt;TRIM($J827),"",_xlfn.SWITCH($I827,"Computer",_xlfn.XLOOKUP($K827&amp;"",COMPUTER!$B$3:$B$1009&amp;"",COMPUTER!$E$3:$E$1009,""),"Display",_xlfn.XLOOKUP($K827&amp;"",DISPLAY!$B$3:$B$1000&amp;"",DISPLAY!$E$3:$E$1000,""),"Network Device",_xlfn.XLOOKUP($K827&amp;"",'NETWORK-DEVICES'!$B$3:$B$987&amp;"",'NETWORK-DEVICES'!$E$3:$E$987,""),"Peripheral",_xlfn.XLOOKUP($K827&amp;"",PERIPHERAL!$B$3:$B$954&amp;"",PERIPHERAL!$E$3:$E$954,""),"Utilities",_xlfn.XLOOKUP($K827&amp;"",UTILITIES!$B$3:$B$953&amp;"",UTILITIES!$E$3:$E$953,""),"IOT",_xlfn.XLOOKUP($K827&amp;"",IOT!$B$3:$B$1012&amp;"",IOT!$E$3:$E$1012,""),"Server",_xlfn.XLOOKUP($K827&amp;"",SERVER!$B$3:$B$1009&amp;"",SERVER!$E$3:$E$1009,""),""))))</f>
        <v/>
      </c>
      <c r="Q827" s="1" t="str" cm="1">
        <f t="array" ref="Q827">IF(OR($K827="",$I827="",$J827=""),"",_xlfn.LET(_xlpm.srcCat,_xlfn.SWITCH($I827,"Computer",_xlfn.XLOOKUP($K827&amp;"",COMPUTER!$B$3:$B$1009&amp;"",COMPUTER!$H$3:$H$1009,""),"Display",_xlfn.XLOOKUP($K827&amp;"",DISPLAY!$B$3:$B$1000&amp;"",DISPLAY!$H$3:$H$1000,""),"Network Device",_xlfn.XLOOKUP($K827&amp;"",'NETWORK-DEVICES'!$B$3:$B$987&amp;"",'NETWORK-DEVICES'!$H$3:$H$987,""),"Peripheral",_xlfn.XLOOKUP($K827&amp;"",PERIPHERAL!$B$3:$B$954&amp;"",PERIPHERAL!$H$3:$H$954,""),"Utilities",_xlfn.XLOOKUP($K827&amp;"",UTILITIES!$B$3:$B$953&amp;"",UTILITIES!$G$3:$G$953,""),"IOT",_xlfn.XLOOKUP($K827&amp;"",IOT!$B$3:$B$1012&amp;"",IOT!$H$3:$H$1012,""),"Server",_xlfn.XLOOKUP($K827&amp;"",SERVER!$B$3:$B$1009&amp;"",SERVER!$H$3:$H$1009,""),""),IF(TRIM(_xlpm.srcCat)&lt;&gt;TRIM($J827),"",_xlfn.SWITCH($I827,"Computer",_xlfn.XLOOKUP($K827&amp;"",COMPUTER!$B$3:$B$1009&amp;"",COMPUTER!$AM$3:$AM$1009,""),"Display",_xlfn.XLOOKUP($K827&amp;"",DISPLAY!$B$3:$B$1000&amp;"",DISPLAY!$V$3:$V$1000,""),"Network Device",_xlfn.XLOOKUP($K827&amp;"",'NETWORK-DEVICES'!$B$3:$B$987&amp;"",'NETWORK-DEVICES'!$AF$3:$AF$987,""),"Peripheral",_xlfn.XLOOKUP($K827&amp;"",PERIPHERAL!$B$3:$B$954&amp;"",PERIPHERAL!$Y$3:$Y$954,""),"Utilities",_xlfn.XLOOKUP($K827&amp;"",UTILITIES!$B$3:$B$953&amp;"",UTILITIES!$O$3:$O$953,""),"IOT",_xlfn.XLOOKUP($K827&amp;"",IOT!$B$3:$B$1012&amp;"",IOT!$AB$3:$AB$1012,""),"Server",_xlfn.XLOOKUP($K827&amp;"",SERVER!$B$3:$B$1009&amp;"",SERVER!$AB$3:$AB$1009,""),""))))</f>
        <v/>
      </c>
      <c r="R827" s="43" t="str">
        <f>IF(tbl_handover[[#This Row],[Asset Code]]="","",COUNTIF(tbl_handover[Asset Code],tbl_handover[[#This Row],[Asset Code]]))</f>
        <v/>
      </c>
    </row>
    <row r="828" spans="1:18" x14ac:dyDescent="0.25">
      <c r="A828" s="43" t="str">
        <f>IF(B828&lt;&gt;"",SUBTOTAL(3,$B$1:B827),"")</f>
        <v/>
      </c>
      <c r="C828" s="74"/>
      <c r="D828" s="74"/>
      <c r="G828" s="1"/>
      <c r="K828" s="42"/>
      <c r="L828" t="str" cm="1">
        <f t="array" ref="L828">IF($K828="","",_xlfn.SWITCH($I828,"Computer",_xlfn.XLOOKUP($K828&amp;"",COMPUTER!$B$3:$B$1009&amp;"",COMPUTER!$I$3:$I$1009,""),"Display",_xlfn.XLOOKUP($K828&amp;"",DISPLAY!$B$3:$B$1000&amp;"",DISPLAY!$J$3:$J$1000,""),"Network Device",_xlfn.XLOOKUP($K828&amp;"",'NETWORK-DEVICES'!$B$3:$B$987&amp;"",'NETWORK-DEVICES'!$I$3:$I$987,""),"Peripheral",_xlfn.XLOOKUP($K828&amp;"",PERIPHERAL!$B$3:$B$954&amp;"",PERIPHERAL!$I$3:$I$954,""),"Utilities",_xlfn.XLOOKUP($K828&amp;"",UTILITIES!$B$3:$B$953&amp;"",UTILITIES!$H$3:$H$953,""),"IOT",_xlfn.XLOOKUP($K828&amp;"",IOT!$B$3:$B$1012&amp;"",IOT!$I$3:$I$1012,""),"SERVER",_xlfn.XLOOKUP($K828&amp;"",SERVER!$B$3:$B$1009&amp;"",SERVER!$I$3:$I$1009,""),""))</f>
        <v/>
      </c>
      <c r="M828" t="str" cm="1">
        <f t="array" ref="M828">IF($K828="","",_xlfn.SWITCH($I828,"Computer",_xlfn.XLOOKUP($K828&amp;"",COMPUTER!$B$3:$B$1009&amp;"",COMPUTER!$J$3:$J$1009,""),"Display",_xlfn.XLOOKUP($K828&amp;"",DISPLAY!$B$3:$B$1000&amp;"",DISPLAY!$K$3:$K$1000,""),"Network Device",_xlfn.XLOOKUP($K828&amp;"",'NETWORK-DEVICES'!$B$3:$B$987&amp;"",'NETWORK-DEVICES'!$I$3:$I$987,""),"Peripheral",_xlfn.XLOOKUP($K828&amp;"",PERIPHERAL!$B$3:$B$954&amp;"",PERIPHERAL!$J$3:$J$954,""),"Utilities",_xlfn.XLOOKUP($K828&amp;"",UTILITIES!$B$3:$B$953&amp;"",UTILITIES!$I$3:$I$953,""),"IOT",_xlfn.XLOOKUP($K828&amp;"",IOT!$B$3:$B$1012&amp;"",IOT!$J$3:$J$1012,""),"Server",_xlfn.XLOOKUP($K828&amp;"",SERVER!$B$3:$B$1009&amp;"",SERVER!$J$3:$J$1009,""),""))</f>
        <v/>
      </c>
      <c r="N828" s="1" t="str" cm="1">
        <f t="array" ref="N828">IF(OR($K828="",$I828="",$J828=""),"",_xlfn.LET(_xlpm.srcCat,_xlfn.SWITCH($I828,"Computer",_xlfn.XLOOKUP($K828&amp;"",COMPUTER!$B$3:$B$1009&amp;"",COMPUTER!$H$3:$H$1009,""),"Display",_xlfn.XLOOKUP($K828&amp;"",DISPLAY!$B$3:$B$1000&amp;"",DISPLAY!$H$3:$H$1000,""),"Network Device",_xlfn.XLOOKUP($K828&amp;"",'NETWORK-DEVICES'!$B$3:$B$987&amp;"",'NETWORK-DEVICES'!$H$3:$H$987,""),"Peripheral",_xlfn.XLOOKUP($K828&amp;"",PERIPHERAL!$B$3:$B$954&amp;"",PERIPHERAL!$H$3:$H$954,""),"Utilities",_xlfn.XLOOKUP($K828&amp;"",UTILITIES!$B$3:$B$953&amp;"",UTILITIES!$G$3:$G$953,""),"IOT",_xlfn.XLOOKUP($K828&amp;"",IOT!$B$3:$B$1012&amp;"",IOT!$H$3:$H$1012,""),"Server",_xlfn.XLOOKUP($K828&amp;"",SERVER!$B$3:$B$1009&amp;"",SERVER!$H$3:$H$1009,""),""),IF(TRIM(_xlpm.srcCat)&lt;&gt;TRIM($J828),"",_xlfn.SWITCH($I828,"Computer",_xlfn.XLOOKUP($K828&amp;"",COMPUTER!$B$3:$B$1009&amp;"",COMPUTER!$K$3:$K$1009,""),"Display",_xlfn.XLOOKUP($K828&amp;"",DISPLAY!$B$3:$B$1000&amp;"",DISPLAY!$L$3:$L$1000,""),"Network Device",_xlfn.XLOOKUP($K828&amp;"",'NETWORK-DEVICES'!$B$3:$B$987&amp;"",'NETWORK-DEVICES'!$K$3:$K$987,""),"Peripheral",_xlfn.XLOOKUP($K828&amp;"",PERIPHERAL!$B$3:$B$954&amp;"",PERIPHERAL!$K$3:$K$954,""),"Utilities",_xlfn.XLOOKUP($K828&amp;"",UTILITIES!$B$3:$B$953&amp;"",UTILITIES!$J$3:$J$953,""),"IOT",_xlfn.XLOOKUP($K828&amp;"",IOT!$B$3:$B$1012&amp;"",IOT!$K$4:$K$1012,""),"Server",_xlfn.XLOOKUP($K828&amp;"",SERVER!$B$3:$B$1009&amp;"",SERVER!$K$3:$K$1009,""),""))))</f>
        <v/>
      </c>
      <c r="O828" s="1" t="str" cm="1">
        <f t="array" ref="O828">IF(OR($K828="",$I828="",$J828=""),"",_xlfn.LET(_xlpm.srcCat,_xlfn.SWITCH($I828,"Computer",_xlfn.XLOOKUP($K828&amp;"",COMPUTER!$B$3:$B$1009&amp;"",COMPUTER!$H$3:$H$1009,""),"Display",_xlfn.XLOOKUP($K828&amp;"",DISPLAY!$B$3:$B$1000&amp;"",DISPLAY!$H$3:$H$1000,""),"Network Device",_xlfn.XLOOKUP($K828&amp;"",'NETWORK-DEVICES'!$B$3:$B$987&amp;"",'NETWORK-DEVICES'!$H$3:$H$987,""),"Peripheral",_xlfn.XLOOKUP($K828&amp;"",PERIPHERAL!$B$3:$B$954&amp;"",PERIPHERAL!$H$3:$H$954,""),"Utilities",_xlfn.XLOOKUP($K828&amp;"",UTILITIES!$B$3:$B$953&amp;"",UTILITIES!$G$3:$G$953,""),"IOT",_xlfn.XLOOKUP($K828&amp;"",IOT!$B$3:$B$1012&amp;"",IOT!$H$3:$H$1012,""),"Server",_xlfn.XLOOKUP($K828&amp;"",SERVER!$B$3:$B$1009&amp;"",SERVER!$H$3:$H$1009,""),""),IF(TRIM(_xlpm.srcCat)&lt;&gt;TRIM($J828),"",_xlfn.SWITCH($I828,"Computer",_xlfn.XLOOKUP($K828&amp;"",COMPUTER!$B$3:$B$1009&amp;"",COMPUTER!$E$3:$E$1009,""),"Display",_xlfn.XLOOKUP($K828&amp;"",DISPLAY!$B$3:$B$1000&amp;"",DISPLAY!$E$3:$E$1000,""),"Network Device",_xlfn.XLOOKUP($K828&amp;"",'NETWORK-DEVICES'!$B$3:$B$987&amp;"",'NETWORK-DEVICES'!$E$3:$E$987,""),"Peripheral",_xlfn.XLOOKUP($K828&amp;"",PERIPHERAL!$B$3:$B$954&amp;"",PERIPHERAL!$E$3:$E$954,""),"Utilities",_xlfn.XLOOKUP($K828&amp;"",UTILITIES!$B$3:$B$953&amp;"",UTILITIES!$E$3:$E$953,""),"IOT",_xlfn.XLOOKUP($K828&amp;"",IOT!$B$3:$B$1012&amp;"",IOT!$E$3:$E$1012,""),"Server",_xlfn.XLOOKUP($K828&amp;"",SERVER!$B$3:$B$1009&amp;"",SERVER!$E$3:$E$1009,""),""))))</f>
        <v/>
      </c>
      <c r="Q828" s="1" t="str" cm="1">
        <f t="array" ref="Q828">IF(OR($K828="",$I828="",$J828=""),"",_xlfn.LET(_xlpm.srcCat,_xlfn.SWITCH($I828,"Computer",_xlfn.XLOOKUP($K828&amp;"",COMPUTER!$B$3:$B$1009&amp;"",COMPUTER!$H$3:$H$1009,""),"Display",_xlfn.XLOOKUP($K828&amp;"",DISPLAY!$B$3:$B$1000&amp;"",DISPLAY!$H$3:$H$1000,""),"Network Device",_xlfn.XLOOKUP($K828&amp;"",'NETWORK-DEVICES'!$B$3:$B$987&amp;"",'NETWORK-DEVICES'!$H$3:$H$987,""),"Peripheral",_xlfn.XLOOKUP($K828&amp;"",PERIPHERAL!$B$3:$B$954&amp;"",PERIPHERAL!$H$3:$H$954,""),"Utilities",_xlfn.XLOOKUP($K828&amp;"",UTILITIES!$B$3:$B$953&amp;"",UTILITIES!$G$3:$G$953,""),"IOT",_xlfn.XLOOKUP($K828&amp;"",IOT!$B$3:$B$1012&amp;"",IOT!$H$3:$H$1012,""),"Server",_xlfn.XLOOKUP($K828&amp;"",SERVER!$B$3:$B$1009&amp;"",SERVER!$H$3:$H$1009,""),""),IF(TRIM(_xlpm.srcCat)&lt;&gt;TRIM($J828),"",_xlfn.SWITCH($I828,"Computer",_xlfn.XLOOKUP($K828&amp;"",COMPUTER!$B$3:$B$1009&amp;"",COMPUTER!$AM$3:$AM$1009,""),"Display",_xlfn.XLOOKUP($K828&amp;"",DISPLAY!$B$3:$B$1000&amp;"",DISPLAY!$V$3:$V$1000,""),"Network Device",_xlfn.XLOOKUP($K828&amp;"",'NETWORK-DEVICES'!$B$3:$B$987&amp;"",'NETWORK-DEVICES'!$AF$3:$AF$987,""),"Peripheral",_xlfn.XLOOKUP($K828&amp;"",PERIPHERAL!$B$3:$B$954&amp;"",PERIPHERAL!$Y$3:$Y$954,""),"Utilities",_xlfn.XLOOKUP($K828&amp;"",UTILITIES!$B$3:$B$953&amp;"",UTILITIES!$O$3:$O$953,""),"IOT",_xlfn.XLOOKUP($K828&amp;"",IOT!$B$3:$B$1012&amp;"",IOT!$AB$3:$AB$1012,""),"Server",_xlfn.XLOOKUP($K828&amp;"",SERVER!$B$3:$B$1009&amp;"",SERVER!$AB$3:$AB$1009,""),""))))</f>
        <v/>
      </c>
      <c r="R828" s="43" t="str">
        <f>IF(tbl_handover[[#This Row],[Asset Code]]="","",COUNTIF(tbl_handover[Asset Code],tbl_handover[[#This Row],[Asset Code]]))</f>
        <v/>
      </c>
    </row>
    <row r="829" spans="1:18" x14ac:dyDescent="0.25">
      <c r="A829" s="43" t="str">
        <f>IF(B829&lt;&gt;"",SUBTOTAL(3,$B$1:B828),"")</f>
        <v/>
      </c>
      <c r="C829" s="74"/>
      <c r="D829" s="74"/>
      <c r="G829" s="1"/>
      <c r="K829" s="42"/>
      <c r="L829" t="str" cm="1">
        <f t="array" ref="L829">IF($K829="","",_xlfn.SWITCH($I829,"Computer",_xlfn.XLOOKUP($K829&amp;"",COMPUTER!$B$3:$B$1009&amp;"",COMPUTER!$I$3:$I$1009,""),"Display",_xlfn.XLOOKUP($K829&amp;"",DISPLAY!$B$3:$B$1000&amp;"",DISPLAY!$J$3:$J$1000,""),"Network Device",_xlfn.XLOOKUP($K829&amp;"",'NETWORK-DEVICES'!$B$3:$B$987&amp;"",'NETWORK-DEVICES'!$I$3:$I$987,""),"Peripheral",_xlfn.XLOOKUP($K829&amp;"",PERIPHERAL!$B$3:$B$954&amp;"",PERIPHERAL!$I$3:$I$954,""),"Utilities",_xlfn.XLOOKUP($K829&amp;"",UTILITIES!$B$3:$B$953&amp;"",UTILITIES!$H$3:$H$953,""),"IOT",_xlfn.XLOOKUP($K829&amp;"",IOT!$B$3:$B$1012&amp;"",IOT!$I$3:$I$1012,""),"SERVER",_xlfn.XLOOKUP($K829&amp;"",SERVER!$B$3:$B$1009&amp;"",SERVER!$I$3:$I$1009,""),""))</f>
        <v/>
      </c>
      <c r="M829" t="str" cm="1">
        <f t="array" ref="M829">IF($K829="","",_xlfn.SWITCH($I829,"Computer",_xlfn.XLOOKUP($K829&amp;"",COMPUTER!$B$3:$B$1009&amp;"",COMPUTER!$J$3:$J$1009,""),"Display",_xlfn.XLOOKUP($K829&amp;"",DISPLAY!$B$3:$B$1000&amp;"",DISPLAY!$K$3:$K$1000,""),"Network Device",_xlfn.XLOOKUP($K829&amp;"",'NETWORK-DEVICES'!$B$3:$B$987&amp;"",'NETWORK-DEVICES'!$I$3:$I$987,""),"Peripheral",_xlfn.XLOOKUP($K829&amp;"",PERIPHERAL!$B$3:$B$954&amp;"",PERIPHERAL!$J$3:$J$954,""),"Utilities",_xlfn.XLOOKUP($K829&amp;"",UTILITIES!$B$3:$B$953&amp;"",UTILITIES!$I$3:$I$953,""),"IOT",_xlfn.XLOOKUP($K829&amp;"",IOT!$B$3:$B$1012&amp;"",IOT!$J$3:$J$1012,""),"Server",_xlfn.XLOOKUP($K829&amp;"",SERVER!$B$3:$B$1009&amp;"",SERVER!$J$3:$J$1009,""),""))</f>
        <v/>
      </c>
      <c r="N829" s="1" t="str" cm="1">
        <f t="array" ref="N829">IF(OR($K829="",$I829="",$J829=""),"",_xlfn.LET(_xlpm.srcCat,_xlfn.SWITCH($I829,"Computer",_xlfn.XLOOKUP($K829&amp;"",COMPUTER!$B$3:$B$1009&amp;"",COMPUTER!$H$3:$H$1009,""),"Display",_xlfn.XLOOKUP($K829&amp;"",DISPLAY!$B$3:$B$1000&amp;"",DISPLAY!$H$3:$H$1000,""),"Network Device",_xlfn.XLOOKUP($K829&amp;"",'NETWORK-DEVICES'!$B$3:$B$987&amp;"",'NETWORK-DEVICES'!$H$3:$H$987,""),"Peripheral",_xlfn.XLOOKUP($K829&amp;"",PERIPHERAL!$B$3:$B$954&amp;"",PERIPHERAL!$H$3:$H$954,""),"Utilities",_xlfn.XLOOKUP($K829&amp;"",UTILITIES!$B$3:$B$953&amp;"",UTILITIES!$G$3:$G$953,""),"IOT",_xlfn.XLOOKUP($K829&amp;"",IOT!$B$3:$B$1012&amp;"",IOT!$H$3:$H$1012,""),"Server",_xlfn.XLOOKUP($K829&amp;"",SERVER!$B$3:$B$1009&amp;"",SERVER!$H$3:$H$1009,""),""),IF(TRIM(_xlpm.srcCat)&lt;&gt;TRIM($J829),"",_xlfn.SWITCH($I829,"Computer",_xlfn.XLOOKUP($K829&amp;"",COMPUTER!$B$3:$B$1009&amp;"",COMPUTER!$K$3:$K$1009,""),"Display",_xlfn.XLOOKUP($K829&amp;"",DISPLAY!$B$3:$B$1000&amp;"",DISPLAY!$L$3:$L$1000,""),"Network Device",_xlfn.XLOOKUP($K829&amp;"",'NETWORK-DEVICES'!$B$3:$B$987&amp;"",'NETWORK-DEVICES'!$K$3:$K$987,""),"Peripheral",_xlfn.XLOOKUP($K829&amp;"",PERIPHERAL!$B$3:$B$954&amp;"",PERIPHERAL!$K$3:$K$954,""),"Utilities",_xlfn.XLOOKUP($K829&amp;"",UTILITIES!$B$3:$B$953&amp;"",UTILITIES!$J$3:$J$953,""),"IOT",_xlfn.XLOOKUP($K829&amp;"",IOT!$B$3:$B$1012&amp;"",IOT!$K$4:$K$1012,""),"Server",_xlfn.XLOOKUP($K829&amp;"",SERVER!$B$3:$B$1009&amp;"",SERVER!$K$3:$K$1009,""),""))))</f>
        <v/>
      </c>
      <c r="O829" s="1" t="str" cm="1">
        <f t="array" ref="O829">IF(OR($K829="",$I829="",$J829=""),"",_xlfn.LET(_xlpm.srcCat,_xlfn.SWITCH($I829,"Computer",_xlfn.XLOOKUP($K829&amp;"",COMPUTER!$B$3:$B$1009&amp;"",COMPUTER!$H$3:$H$1009,""),"Display",_xlfn.XLOOKUP($K829&amp;"",DISPLAY!$B$3:$B$1000&amp;"",DISPLAY!$H$3:$H$1000,""),"Network Device",_xlfn.XLOOKUP($K829&amp;"",'NETWORK-DEVICES'!$B$3:$B$987&amp;"",'NETWORK-DEVICES'!$H$3:$H$987,""),"Peripheral",_xlfn.XLOOKUP($K829&amp;"",PERIPHERAL!$B$3:$B$954&amp;"",PERIPHERAL!$H$3:$H$954,""),"Utilities",_xlfn.XLOOKUP($K829&amp;"",UTILITIES!$B$3:$B$953&amp;"",UTILITIES!$G$3:$G$953,""),"IOT",_xlfn.XLOOKUP($K829&amp;"",IOT!$B$3:$B$1012&amp;"",IOT!$H$3:$H$1012,""),"Server",_xlfn.XLOOKUP($K829&amp;"",SERVER!$B$3:$B$1009&amp;"",SERVER!$H$3:$H$1009,""),""),IF(TRIM(_xlpm.srcCat)&lt;&gt;TRIM($J829),"",_xlfn.SWITCH($I829,"Computer",_xlfn.XLOOKUP($K829&amp;"",COMPUTER!$B$3:$B$1009&amp;"",COMPUTER!$E$3:$E$1009,""),"Display",_xlfn.XLOOKUP($K829&amp;"",DISPLAY!$B$3:$B$1000&amp;"",DISPLAY!$E$3:$E$1000,""),"Network Device",_xlfn.XLOOKUP($K829&amp;"",'NETWORK-DEVICES'!$B$3:$B$987&amp;"",'NETWORK-DEVICES'!$E$3:$E$987,""),"Peripheral",_xlfn.XLOOKUP($K829&amp;"",PERIPHERAL!$B$3:$B$954&amp;"",PERIPHERAL!$E$3:$E$954,""),"Utilities",_xlfn.XLOOKUP($K829&amp;"",UTILITIES!$B$3:$B$953&amp;"",UTILITIES!$E$3:$E$953,""),"IOT",_xlfn.XLOOKUP($K829&amp;"",IOT!$B$3:$B$1012&amp;"",IOT!$E$3:$E$1012,""),"Server",_xlfn.XLOOKUP($K829&amp;"",SERVER!$B$3:$B$1009&amp;"",SERVER!$E$3:$E$1009,""),""))))</f>
        <v/>
      </c>
      <c r="Q829" s="1" t="str" cm="1">
        <f t="array" ref="Q829">IF(OR($K829="",$I829="",$J829=""),"",_xlfn.LET(_xlpm.srcCat,_xlfn.SWITCH($I829,"Computer",_xlfn.XLOOKUP($K829&amp;"",COMPUTER!$B$3:$B$1009&amp;"",COMPUTER!$H$3:$H$1009,""),"Display",_xlfn.XLOOKUP($K829&amp;"",DISPLAY!$B$3:$B$1000&amp;"",DISPLAY!$H$3:$H$1000,""),"Network Device",_xlfn.XLOOKUP($K829&amp;"",'NETWORK-DEVICES'!$B$3:$B$987&amp;"",'NETWORK-DEVICES'!$H$3:$H$987,""),"Peripheral",_xlfn.XLOOKUP($K829&amp;"",PERIPHERAL!$B$3:$B$954&amp;"",PERIPHERAL!$H$3:$H$954,""),"Utilities",_xlfn.XLOOKUP($K829&amp;"",UTILITIES!$B$3:$B$953&amp;"",UTILITIES!$G$3:$G$953,""),"IOT",_xlfn.XLOOKUP($K829&amp;"",IOT!$B$3:$B$1012&amp;"",IOT!$H$3:$H$1012,""),"Server",_xlfn.XLOOKUP($K829&amp;"",SERVER!$B$3:$B$1009&amp;"",SERVER!$H$3:$H$1009,""),""),IF(TRIM(_xlpm.srcCat)&lt;&gt;TRIM($J829),"",_xlfn.SWITCH($I829,"Computer",_xlfn.XLOOKUP($K829&amp;"",COMPUTER!$B$3:$B$1009&amp;"",COMPUTER!$AM$3:$AM$1009,""),"Display",_xlfn.XLOOKUP($K829&amp;"",DISPLAY!$B$3:$B$1000&amp;"",DISPLAY!$V$3:$V$1000,""),"Network Device",_xlfn.XLOOKUP($K829&amp;"",'NETWORK-DEVICES'!$B$3:$B$987&amp;"",'NETWORK-DEVICES'!$AF$3:$AF$987,""),"Peripheral",_xlfn.XLOOKUP($K829&amp;"",PERIPHERAL!$B$3:$B$954&amp;"",PERIPHERAL!$Y$3:$Y$954,""),"Utilities",_xlfn.XLOOKUP($K829&amp;"",UTILITIES!$B$3:$B$953&amp;"",UTILITIES!$O$3:$O$953,""),"IOT",_xlfn.XLOOKUP($K829&amp;"",IOT!$B$3:$B$1012&amp;"",IOT!$AB$3:$AB$1012,""),"Server",_xlfn.XLOOKUP($K829&amp;"",SERVER!$B$3:$B$1009&amp;"",SERVER!$AB$3:$AB$1009,""),""))))</f>
        <v/>
      </c>
      <c r="R829" s="43" t="str">
        <f>IF(tbl_handover[[#This Row],[Asset Code]]="","",COUNTIF(tbl_handover[Asset Code],tbl_handover[[#This Row],[Asset Code]]))</f>
        <v/>
      </c>
    </row>
    <row r="830" spans="1:18" x14ac:dyDescent="0.25">
      <c r="A830" s="43" t="str">
        <f>IF(B830&lt;&gt;"",SUBTOTAL(3,$B$1:B829),"")</f>
        <v/>
      </c>
      <c r="C830" s="74"/>
      <c r="D830" s="74"/>
      <c r="G830" s="1"/>
      <c r="K830" s="42"/>
      <c r="L830" t="str" cm="1">
        <f t="array" ref="L830">IF($K830="","",_xlfn.SWITCH($I830,"Computer",_xlfn.XLOOKUP($K830&amp;"",COMPUTER!$B$3:$B$1009&amp;"",COMPUTER!$I$3:$I$1009,""),"Display",_xlfn.XLOOKUP($K830&amp;"",DISPLAY!$B$3:$B$1000&amp;"",DISPLAY!$J$3:$J$1000,""),"Network Device",_xlfn.XLOOKUP($K830&amp;"",'NETWORK-DEVICES'!$B$3:$B$987&amp;"",'NETWORK-DEVICES'!$I$3:$I$987,""),"Peripheral",_xlfn.XLOOKUP($K830&amp;"",PERIPHERAL!$B$3:$B$954&amp;"",PERIPHERAL!$I$3:$I$954,""),"Utilities",_xlfn.XLOOKUP($K830&amp;"",UTILITIES!$B$3:$B$953&amp;"",UTILITIES!$H$3:$H$953,""),"IOT",_xlfn.XLOOKUP($K830&amp;"",IOT!$B$3:$B$1012&amp;"",IOT!$I$3:$I$1012,""),"SERVER",_xlfn.XLOOKUP($K830&amp;"",SERVER!$B$3:$B$1009&amp;"",SERVER!$I$3:$I$1009,""),""))</f>
        <v/>
      </c>
      <c r="M830" t="str" cm="1">
        <f t="array" ref="M830">IF($K830="","",_xlfn.SWITCH($I830,"Computer",_xlfn.XLOOKUP($K830&amp;"",COMPUTER!$B$3:$B$1009&amp;"",COMPUTER!$J$3:$J$1009,""),"Display",_xlfn.XLOOKUP($K830&amp;"",DISPLAY!$B$3:$B$1000&amp;"",DISPLAY!$K$3:$K$1000,""),"Network Device",_xlfn.XLOOKUP($K830&amp;"",'NETWORK-DEVICES'!$B$3:$B$987&amp;"",'NETWORK-DEVICES'!$I$3:$I$987,""),"Peripheral",_xlfn.XLOOKUP($K830&amp;"",PERIPHERAL!$B$3:$B$954&amp;"",PERIPHERAL!$J$3:$J$954,""),"Utilities",_xlfn.XLOOKUP($K830&amp;"",UTILITIES!$B$3:$B$953&amp;"",UTILITIES!$I$3:$I$953,""),"IOT",_xlfn.XLOOKUP($K830&amp;"",IOT!$B$3:$B$1012&amp;"",IOT!$J$3:$J$1012,""),"Server",_xlfn.XLOOKUP($K830&amp;"",SERVER!$B$3:$B$1009&amp;"",SERVER!$J$3:$J$1009,""),""))</f>
        <v/>
      </c>
      <c r="N830" s="1" t="str" cm="1">
        <f t="array" ref="N830">IF(OR($K830="",$I830="",$J830=""),"",_xlfn.LET(_xlpm.srcCat,_xlfn.SWITCH($I830,"Computer",_xlfn.XLOOKUP($K830&amp;"",COMPUTER!$B$3:$B$1009&amp;"",COMPUTER!$H$3:$H$1009,""),"Display",_xlfn.XLOOKUP($K830&amp;"",DISPLAY!$B$3:$B$1000&amp;"",DISPLAY!$H$3:$H$1000,""),"Network Device",_xlfn.XLOOKUP($K830&amp;"",'NETWORK-DEVICES'!$B$3:$B$987&amp;"",'NETWORK-DEVICES'!$H$3:$H$987,""),"Peripheral",_xlfn.XLOOKUP($K830&amp;"",PERIPHERAL!$B$3:$B$954&amp;"",PERIPHERAL!$H$3:$H$954,""),"Utilities",_xlfn.XLOOKUP($K830&amp;"",UTILITIES!$B$3:$B$953&amp;"",UTILITIES!$G$3:$G$953,""),"IOT",_xlfn.XLOOKUP($K830&amp;"",IOT!$B$3:$B$1012&amp;"",IOT!$H$3:$H$1012,""),"Server",_xlfn.XLOOKUP($K830&amp;"",SERVER!$B$3:$B$1009&amp;"",SERVER!$H$3:$H$1009,""),""),IF(TRIM(_xlpm.srcCat)&lt;&gt;TRIM($J830),"",_xlfn.SWITCH($I830,"Computer",_xlfn.XLOOKUP($K830&amp;"",COMPUTER!$B$3:$B$1009&amp;"",COMPUTER!$K$3:$K$1009,""),"Display",_xlfn.XLOOKUP($K830&amp;"",DISPLAY!$B$3:$B$1000&amp;"",DISPLAY!$L$3:$L$1000,""),"Network Device",_xlfn.XLOOKUP($K830&amp;"",'NETWORK-DEVICES'!$B$3:$B$987&amp;"",'NETWORK-DEVICES'!$K$3:$K$987,""),"Peripheral",_xlfn.XLOOKUP($K830&amp;"",PERIPHERAL!$B$3:$B$954&amp;"",PERIPHERAL!$K$3:$K$954,""),"Utilities",_xlfn.XLOOKUP($K830&amp;"",UTILITIES!$B$3:$B$953&amp;"",UTILITIES!$J$3:$J$953,""),"IOT",_xlfn.XLOOKUP($K830&amp;"",IOT!$B$3:$B$1012&amp;"",IOT!$K$4:$K$1012,""),"Server",_xlfn.XLOOKUP($K830&amp;"",SERVER!$B$3:$B$1009&amp;"",SERVER!$K$3:$K$1009,""),""))))</f>
        <v/>
      </c>
      <c r="O830" s="1" t="str" cm="1">
        <f t="array" ref="O830">IF(OR($K830="",$I830="",$J830=""),"",_xlfn.LET(_xlpm.srcCat,_xlfn.SWITCH($I830,"Computer",_xlfn.XLOOKUP($K830&amp;"",COMPUTER!$B$3:$B$1009&amp;"",COMPUTER!$H$3:$H$1009,""),"Display",_xlfn.XLOOKUP($K830&amp;"",DISPLAY!$B$3:$B$1000&amp;"",DISPLAY!$H$3:$H$1000,""),"Network Device",_xlfn.XLOOKUP($K830&amp;"",'NETWORK-DEVICES'!$B$3:$B$987&amp;"",'NETWORK-DEVICES'!$H$3:$H$987,""),"Peripheral",_xlfn.XLOOKUP($K830&amp;"",PERIPHERAL!$B$3:$B$954&amp;"",PERIPHERAL!$H$3:$H$954,""),"Utilities",_xlfn.XLOOKUP($K830&amp;"",UTILITIES!$B$3:$B$953&amp;"",UTILITIES!$G$3:$G$953,""),"IOT",_xlfn.XLOOKUP($K830&amp;"",IOT!$B$3:$B$1012&amp;"",IOT!$H$3:$H$1012,""),"Server",_xlfn.XLOOKUP($K830&amp;"",SERVER!$B$3:$B$1009&amp;"",SERVER!$H$3:$H$1009,""),""),IF(TRIM(_xlpm.srcCat)&lt;&gt;TRIM($J830),"",_xlfn.SWITCH($I830,"Computer",_xlfn.XLOOKUP($K830&amp;"",COMPUTER!$B$3:$B$1009&amp;"",COMPUTER!$E$3:$E$1009,""),"Display",_xlfn.XLOOKUP($K830&amp;"",DISPLAY!$B$3:$B$1000&amp;"",DISPLAY!$E$3:$E$1000,""),"Network Device",_xlfn.XLOOKUP($K830&amp;"",'NETWORK-DEVICES'!$B$3:$B$987&amp;"",'NETWORK-DEVICES'!$E$3:$E$987,""),"Peripheral",_xlfn.XLOOKUP($K830&amp;"",PERIPHERAL!$B$3:$B$954&amp;"",PERIPHERAL!$E$3:$E$954,""),"Utilities",_xlfn.XLOOKUP($K830&amp;"",UTILITIES!$B$3:$B$953&amp;"",UTILITIES!$E$3:$E$953,""),"IOT",_xlfn.XLOOKUP($K830&amp;"",IOT!$B$3:$B$1012&amp;"",IOT!$E$3:$E$1012,""),"Server",_xlfn.XLOOKUP($K830&amp;"",SERVER!$B$3:$B$1009&amp;"",SERVER!$E$3:$E$1009,""),""))))</f>
        <v/>
      </c>
      <c r="Q830" s="1" t="str" cm="1">
        <f t="array" ref="Q830">IF(OR($K830="",$I830="",$J830=""),"",_xlfn.LET(_xlpm.srcCat,_xlfn.SWITCH($I830,"Computer",_xlfn.XLOOKUP($K830&amp;"",COMPUTER!$B$3:$B$1009&amp;"",COMPUTER!$H$3:$H$1009,""),"Display",_xlfn.XLOOKUP($K830&amp;"",DISPLAY!$B$3:$B$1000&amp;"",DISPLAY!$H$3:$H$1000,""),"Network Device",_xlfn.XLOOKUP($K830&amp;"",'NETWORK-DEVICES'!$B$3:$B$987&amp;"",'NETWORK-DEVICES'!$H$3:$H$987,""),"Peripheral",_xlfn.XLOOKUP($K830&amp;"",PERIPHERAL!$B$3:$B$954&amp;"",PERIPHERAL!$H$3:$H$954,""),"Utilities",_xlfn.XLOOKUP($K830&amp;"",UTILITIES!$B$3:$B$953&amp;"",UTILITIES!$G$3:$G$953,""),"IOT",_xlfn.XLOOKUP($K830&amp;"",IOT!$B$3:$B$1012&amp;"",IOT!$H$3:$H$1012,""),"Server",_xlfn.XLOOKUP($K830&amp;"",SERVER!$B$3:$B$1009&amp;"",SERVER!$H$3:$H$1009,""),""),IF(TRIM(_xlpm.srcCat)&lt;&gt;TRIM($J830),"",_xlfn.SWITCH($I830,"Computer",_xlfn.XLOOKUP($K830&amp;"",COMPUTER!$B$3:$B$1009&amp;"",COMPUTER!$AM$3:$AM$1009,""),"Display",_xlfn.XLOOKUP($K830&amp;"",DISPLAY!$B$3:$B$1000&amp;"",DISPLAY!$V$3:$V$1000,""),"Network Device",_xlfn.XLOOKUP($K830&amp;"",'NETWORK-DEVICES'!$B$3:$B$987&amp;"",'NETWORK-DEVICES'!$AF$3:$AF$987,""),"Peripheral",_xlfn.XLOOKUP($K830&amp;"",PERIPHERAL!$B$3:$B$954&amp;"",PERIPHERAL!$Y$3:$Y$954,""),"Utilities",_xlfn.XLOOKUP($K830&amp;"",UTILITIES!$B$3:$B$953&amp;"",UTILITIES!$O$3:$O$953,""),"IOT",_xlfn.XLOOKUP($K830&amp;"",IOT!$B$3:$B$1012&amp;"",IOT!$AB$3:$AB$1012,""),"Server",_xlfn.XLOOKUP($K830&amp;"",SERVER!$B$3:$B$1009&amp;"",SERVER!$AB$3:$AB$1009,""),""))))</f>
        <v/>
      </c>
      <c r="R830" s="43" t="str">
        <f>IF(tbl_handover[[#This Row],[Asset Code]]="","",COUNTIF(tbl_handover[Asset Code],tbl_handover[[#This Row],[Asset Code]]))</f>
        <v/>
      </c>
    </row>
    <row r="831" spans="1:18" x14ac:dyDescent="0.25">
      <c r="A831" s="43" t="str">
        <f>IF(B831&lt;&gt;"",SUBTOTAL(3,$B$1:B830),"")</f>
        <v/>
      </c>
      <c r="C831" s="74"/>
      <c r="D831" s="74"/>
      <c r="G831" s="1"/>
      <c r="K831" s="42"/>
      <c r="L831" t="str" cm="1">
        <f t="array" ref="L831">IF($K831="","",_xlfn.SWITCH($I831,"Computer",_xlfn.XLOOKUP($K831&amp;"",COMPUTER!$B$3:$B$1009&amp;"",COMPUTER!$I$3:$I$1009,""),"Display",_xlfn.XLOOKUP($K831&amp;"",DISPLAY!$B$3:$B$1000&amp;"",DISPLAY!$J$3:$J$1000,""),"Network Device",_xlfn.XLOOKUP($K831&amp;"",'NETWORK-DEVICES'!$B$3:$B$987&amp;"",'NETWORK-DEVICES'!$I$3:$I$987,""),"Peripheral",_xlfn.XLOOKUP($K831&amp;"",PERIPHERAL!$B$3:$B$954&amp;"",PERIPHERAL!$I$3:$I$954,""),"Utilities",_xlfn.XLOOKUP($K831&amp;"",UTILITIES!$B$3:$B$953&amp;"",UTILITIES!$H$3:$H$953,""),"IOT",_xlfn.XLOOKUP($K831&amp;"",IOT!$B$3:$B$1012&amp;"",IOT!$I$3:$I$1012,""),"SERVER",_xlfn.XLOOKUP($K831&amp;"",SERVER!$B$3:$B$1009&amp;"",SERVER!$I$3:$I$1009,""),""))</f>
        <v/>
      </c>
      <c r="M831" t="str" cm="1">
        <f t="array" ref="M831">IF($K831="","",_xlfn.SWITCH($I831,"Computer",_xlfn.XLOOKUP($K831&amp;"",COMPUTER!$B$3:$B$1009&amp;"",COMPUTER!$J$3:$J$1009,""),"Display",_xlfn.XLOOKUP($K831&amp;"",DISPLAY!$B$3:$B$1000&amp;"",DISPLAY!$K$3:$K$1000,""),"Network Device",_xlfn.XLOOKUP($K831&amp;"",'NETWORK-DEVICES'!$B$3:$B$987&amp;"",'NETWORK-DEVICES'!$I$3:$I$987,""),"Peripheral",_xlfn.XLOOKUP($K831&amp;"",PERIPHERAL!$B$3:$B$954&amp;"",PERIPHERAL!$J$3:$J$954,""),"Utilities",_xlfn.XLOOKUP($K831&amp;"",UTILITIES!$B$3:$B$953&amp;"",UTILITIES!$I$3:$I$953,""),"IOT",_xlfn.XLOOKUP($K831&amp;"",IOT!$B$3:$B$1012&amp;"",IOT!$J$3:$J$1012,""),"Server",_xlfn.XLOOKUP($K831&amp;"",SERVER!$B$3:$B$1009&amp;"",SERVER!$J$3:$J$1009,""),""))</f>
        <v/>
      </c>
      <c r="N831" s="1" t="str" cm="1">
        <f t="array" ref="N831">IF(OR($K831="",$I831="",$J831=""),"",_xlfn.LET(_xlpm.srcCat,_xlfn.SWITCH($I831,"Computer",_xlfn.XLOOKUP($K831&amp;"",COMPUTER!$B$3:$B$1009&amp;"",COMPUTER!$H$3:$H$1009,""),"Display",_xlfn.XLOOKUP($K831&amp;"",DISPLAY!$B$3:$B$1000&amp;"",DISPLAY!$H$3:$H$1000,""),"Network Device",_xlfn.XLOOKUP($K831&amp;"",'NETWORK-DEVICES'!$B$3:$B$987&amp;"",'NETWORK-DEVICES'!$H$3:$H$987,""),"Peripheral",_xlfn.XLOOKUP($K831&amp;"",PERIPHERAL!$B$3:$B$954&amp;"",PERIPHERAL!$H$3:$H$954,""),"Utilities",_xlfn.XLOOKUP($K831&amp;"",UTILITIES!$B$3:$B$953&amp;"",UTILITIES!$G$3:$G$953,""),"IOT",_xlfn.XLOOKUP($K831&amp;"",IOT!$B$3:$B$1012&amp;"",IOT!$H$3:$H$1012,""),"Server",_xlfn.XLOOKUP($K831&amp;"",SERVER!$B$3:$B$1009&amp;"",SERVER!$H$3:$H$1009,""),""),IF(TRIM(_xlpm.srcCat)&lt;&gt;TRIM($J831),"",_xlfn.SWITCH($I831,"Computer",_xlfn.XLOOKUP($K831&amp;"",COMPUTER!$B$3:$B$1009&amp;"",COMPUTER!$K$3:$K$1009,""),"Display",_xlfn.XLOOKUP($K831&amp;"",DISPLAY!$B$3:$B$1000&amp;"",DISPLAY!$L$3:$L$1000,""),"Network Device",_xlfn.XLOOKUP($K831&amp;"",'NETWORK-DEVICES'!$B$3:$B$987&amp;"",'NETWORK-DEVICES'!$K$3:$K$987,""),"Peripheral",_xlfn.XLOOKUP($K831&amp;"",PERIPHERAL!$B$3:$B$954&amp;"",PERIPHERAL!$K$3:$K$954,""),"Utilities",_xlfn.XLOOKUP($K831&amp;"",UTILITIES!$B$3:$B$953&amp;"",UTILITIES!$J$3:$J$953,""),"IOT",_xlfn.XLOOKUP($K831&amp;"",IOT!$B$3:$B$1012&amp;"",IOT!$K$4:$K$1012,""),"Server",_xlfn.XLOOKUP($K831&amp;"",SERVER!$B$3:$B$1009&amp;"",SERVER!$K$3:$K$1009,""),""))))</f>
        <v/>
      </c>
      <c r="O831" s="1" t="str" cm="1">
        <f t="array" ref="O831">IF(OR($K831="",$I831="",$J831=""),"",_xlfn.LET(_xlpm.srcCat,_xlfn.SWITCH($I831,"Computer",_xlfn.XLOOKUP($K831&amp;"",COMPUTER!$B$3:$B$1009&amp;"",COMPUTER!$H$3:$H$1009,""),"Display",_xlfn.XLOOKUP($K831&amp;"",DISPLAY!$B$3:$B$1000&amp;"",DISPLAY!$H$3:$H$1000,""),"Network Device",_xlfn.XLOOKUP($K831&amp;"",'NETWORK-DEVICES'!$B$3:$B$987&amp;"",'NETWORK-DEVICES'!$H$3:$H$987,""),"Peripheral",_xlfn.XLOOKUP($K831&amp;"",PERIPHERAL!$B$3:$B$954&amp;"",PERIPHERAL!$H$3:$H$954,""),"Utilities",_xlfn.XLOOKUP($K831&amp;"",UTILITIES!$B$3:$B$953&amp;"",UTILITIES!$G$3:$G$953,""),"IOT",_xlfn.XLOOKUP($K831&amp;"",IOT!$B$3:$B$1012&amp;"",IOT!$H$3:$H$1012,""),"Server",_xlfn.XLOOKUP($K831&amp;"",SERVER!$B$3:$B$1009&amp;"",SERVER!$H$3:$H$1009,""),""),IF(TRIM(_xlpm.srcCat)&lt;&gt;TRIM($J831),"",_xlfn.SWITCH($I831,"Computer",_xlfn.XLOOKUP($K831&amp;"",COMPUTER!$B$3:$B$1009&amp;"",COMPUTER!$E$3:$E$1009,""),"Display",_xlfn.XLOOKUP($K831&amp;"",DISPLAY!$B$3:$B$1000&amp;"",DISPLAY!$E$3:$E$1000,""),"Network Device",_xlfn.XLOOKUP($K831&amp;"",'NETWORK-DEVICES'!$B$3:$B$987&amp;"",'NETWORK-DEVICES'!$E$3:$E$987,""),"Peripheral",_xlfn.XLOOKUP($K831&amp;"",PERIPHERAL!$B$3:$B$954&amp;"",PERIPHERAL!$E$3:$E$954,""),"Utilities",_xlfn.XLOOKUP($K831&amp;"",UTILITIES!$B$3:$B$953&amp;"",UTILITIES!$E$3:$E$953,""),"IOT",_xlfn.XLOOKUP($K831&amp;"",IOT!$B$3:$B$1012&amp;"",IOT!$E$3:$E$1012,""),"Server",_xlfn.XLOOKUP($K831&amp;"",SERVER!$B$3:$B$1009&amp;"",SERVER!$E$3:$E$1009,""),""))))</f>
        <v/>
      </c>
      <c r="Q831" s="1" t="str" cm="1">
        <f t="array" ref="Q831">IF(OR($K831="",$I831="",$J831=""),"",_xlfn.LET(_xlpm.srcCat,_xlfn.SWITCH($I831,"Computer",_xlfn.XLOOKUP($K831&amp;"",COMPUTER!$B$3:$B$1009&amp;"",COMPUTER!$H$3:$H$1009,""),"Display",_xlfn.XLOOKUP($K831&amp;"",DISPLAY!$B$3:$B$1000&amp;"",DISPLAY!$H$3:$H$1000,""),"Network Device",_xlfn.XLOOKUP($K831&amp;"",'NETWORK-DEVICES'!$B$3:$B$987&amp;"",'NETWORK-DEVICES'!$H$3:$H$987,""),"Peripheral",_xlfn.XLOOKUP($K831&amp;"",PERIPHERAL!$B$3:$B$954&amp;"",PERIPHERAL!$H$3:$H$954,""),"Utilities",_xlfn.XLOOKUP($K831&amp;"",UTILITIES!$B$3:$B$953&amp;"",UTILITIES!$G$3:$G$953,""),"IOT",_xlfn.XLOOKUP($K831&amp;"",IOT!$B$3:$B$1012&amp;"",IOT!$H$3:$H$1012,""),"Server",_xlfn.XLOOKUP($K831&amp;"",SERVER!$B$3:$B$1009&amp;"",SERVER!$H$3:$H$1009,""),""),IF(TRIM(_xlpm.srcCat)&lt;&gt;TRIM($J831),"",_xlfn.SWITCH($I831,"Computer",_xlfn.XLOOKUP($K831&amp;"",COMPUTER!$B$3:$B$1009&amp;"",COMPUTER!$AM$3:$AM$1009,""),"Display",_xlfn.XLOOKUP($K831&amp;"",DISPLAY!$B$3:$B$1000&amp;"",DISPLAY!$V$3:$V$1000,""),"Network Device",_xlfn.XLOOKUP($K831&amp;"",'NETWORK-DEVICES'!$B$3:$B$987&amp;"",'NETWORK-DEVICES'!$AF$3:$AF$987,""),"Peripheral",_xlfn.XLOOKUP($K831&amp;"",PERIPHERAL!$B$3:$B$954&amp;"",PERIPHERAL!$Y$3:$Y$954,""),"Utilities",_xlfn.XLOOKUP($K831&amp;"",UTILITIES!$B$3:$B$953&amp;"",UTILITIES!$O$3:$O$953,""),"IOT",_xlfn.XLOOKUP($K831&amp;"",IOT!$B$3:$B$1012&amp;"",IOT!$AB$3:$AB$1012,""),"Server",_xlfn.XLOOKUP($K831&amp;"",SERVER!$B$3:$B$1009&amp;"",SERVER!$AB$3:$AB$1009,""),""))))</f>
        <v/>
      </c>
      <c r="R831" s="43" t="str">
        <f>IF(tbl_handover[[#This Row],[Asset Code]]="","",COUNTIF(tbl_handover[Asset Code],tbl_handover[[#This Row],[Asset Code]]))</f>
        <v/>
      </c>
    </row>
    <row r="832" spans="1:18" x14ac:dyDescent="0.25">
      <c r="A832" s="43" t="str">
        <f>IF(B832&lt;&gt;"",SUBTOTAL(3,$B$1:B831),"")</f>
        <v/>
      </c>
      <c r="C832" s="74"/>
      <c r="D832" s="74"/>
      <c r="G832" s="1"/>
      <c r="K832" s="42"/>
      <c r="L832" t="str" cm="1">
        <f t="array" ref="L832">IF($K832="","",_xlfn.SWITCH($I832,"Computer",_xlfn.XLOOKUP($K832&amp;"",COMPUTER!$B$3:$B$1009&amp;"",COMPUTER!$I$3:$I$1009,""),"Display",_xlfn.XLOOKUP($K832&amp;"",DISPLAY!$B$3:$B$1000&amp;"",DISPLAY!$J$3:$J$1000,""),"Network Device",_xlfn.XLOOKUP($K832&amp;"",'NETWORK-DEVICES'!$B$3:$B$987&amp;"",'NETWORK-DEVICES'!$I$3:$I$987,""),"Peripheral",_xlfn.XLOOKUP($K832&amp;"",PERIPHERAL!$B$3:$B$954&amp;"",PERIPHERAL!$I$3:$I$954,""),"Utilities",_xlfn.XLOOKUP($K832&amp;"",UTILITIES!$B$3:$B$953&amp;"",UTILITIES!$H$3:$H$953,""),"IOT",_xlfn.XLOOKUP($K832&amp;"",IOT!$B$3:$B$1012&amp;"",IOT!$I$3:$I$1012,""),"SERVER",_xlfn.XLOOKUP($K832&amp;"",SERVER!$B$3:$B$1009&amp;"",SERVER!$I$3:$I$1009,""),""))</f>
        <v/>
      </c>
      <c r="M832" t="str" cm="1">
        <f t="array" ref="M832">IF($K832="","",_xlfn.SWITCH($I832,"Computer",_xlfn.XLOOKUP($K832&amp;"",COMPUTER!$B$3:$B$1009&amp;"",COMPUTER!$J$3:$J$1009,""),"Display",_xlfn.XLOOKUP($K832&amp;"",DISPLAY!$B$3:$B$1000&amp;"",DISPLAY!$K$3:$K$1000,""),"Network Device",_xlfn.XLOOKUP($K832&amp;"",'NETWORK-DEVICES'!$B$3:$B$987&amp;"",'NETWORK-DEVICES'!$I$3:$I$987,""),"Peripheral",_xlfn.XLOOKUP($K832&amp;"",PERIPHERAL!$B$3:$B$954&amp;"",PERIPHERAL!$J$3:$J$954,""),"Utilities",_xlfn.XLOOKUP($K832&amp;"",UTILITIES!$B$3:$B$953&amp;"",UTILITIES!$I$3:$I$953,""),"IOT",_xlfn.XLOOKUP($K832&amp;"",IOT!$B$3:$B$1012&amp;"",IOT!$J$3:$J$1012,""),"Server",_xlfn.XLOOKUP($K832&amp;"",SERVER!$B$3:$B$1009&amp;"",SERVER!$J$3:$J$1009,""),""))</f>
        <v/>
      </c>
      <c r="N832" s="1" t="str" cm="1">
        <f t="array" ref="N832">IF(OR($K832="",$I832="",$J832=""),"",_xlfn.LET(_xlpm.srcCat,_xlfn.SWITCH($I832,"Computer",_xlfn.XLOOKUP($K832&amp;"",COMPUTER!$B$3:$B$1009&amp;"",COMPUTER!$H$3:$H$1009,""),"Display",_xlfn.XLOOKUP($K832&amp;"",DISPLAY!$B$3:$B$1000&amp;"",DISPLAY!$H$3:$H$1000,""),"Network Device",_xlfn.XLOOKUP($K832&amp;"",'NETWORK-DEVICES'!$B$3:$B$987&amp;"",'NETWORK-DEVICES'!$H$3:$H$987,""),"Peripheral",_xlfn.XLOOKUP($K832&amp;"",PERIPHERAL!$B$3:$B$954&amp;"",PERIPHERAL!$H$3:$H$954,""),"Utilities",_xlfn.XLOOKUP($K832&amp;"",UTILITIES!$B$3:$B$953&amp;"",UTILITIES!$G$3:$G$953,""),"IOT",_xlfn.XLOOKUP($K832&amp;"",IOT!$B$3:$B$1012&amp;"",IOT!$H$3:$H$1012,""),"Server",_xlfn.XLOOKUP($K832&amp;"",SERVER!$B$3:$B$1009&amp;"",SERVER!$H$3:$H$1009,""),""),IF(TRIM(_xlpm.srcCat)&lt;&gt;TRIM($J832),"",_xlfn.SWITCH($I832,"Computer",_xlfn.XLOOKUP($K832&amp;"",COMPUTER!$B$3:$B$1009&amp;"",COMPUTER!$K$3:$K$1009,""),"Display",_xlfn.XLOOKUP($K832&amp;"",DISPLAY!$B$3:$B$1000&amp;"",DISPLAY!$L$3:$L$1000,""),"Network Device",_xlfn.XLOOKUP($K832&amp;"",'NETWORK-DEVICES'!$B$3:$B$987&amp;"",'NETWORK-DEVICES'!$K$3:$K$987,""),"Peripheral",_xlfn.XLOOKUP($K832&amp;"",PERIPHERAL!$B$3:$B$954&amp;"",PERIPHERAL!$K$3:$K$954,""),"Utilities",_xlfn.XLOOKUP($K832&amp;"",UTILITIES!$B$3:$B$953&amp;"",UTILITIES!$J$3:$J$953,""),"IOT",_xlfn.XLOOKUP($K832&amp;"",IOT!$B$3:$B$1012&amp;"",IOT!$K$4:$K$1012,""),"Server",_xlfn.XLOOKUP($K832&amp;"",SERVER!$B$3:$B$1009&amp;"",SERVER!$K$3:$K$1009,""),""))))</f>
        <v/>
      </c>
      <c r="O832" s="1" t="str" cm="1">
        <f t="array" ref="O832">IF(OR($K832="",$I832="",$J832=""),"",_xlfn.LET(_xlpm.srcCat,_xlfn.SWITCH($I832,"Computer",_xlfn.XLOOKUP($K832&amp;"",COMPUTER!$B$3:$B$1009&amp;"",COMPUTER!$H$3:$H$1009,""),"Display",_xlfn.XLOOKUP($K832&amp;"",DISPLAY!$B$3:$B$1000&amp;"",DISPLAY!$H$3:$H$1000,""),"Network Device",_xlfn.XLOOKUP($K832&amp;"",'NETWORK-DEVICES'!$B$3:$B$987&amp;"",'NETWORK-DEVICES'!$H$3:$H$987,""),"Peripheral",_xlfn.XLOOKUP($K832&amp;"",PERIPHERAL!$B$3:$B$954&amp;"",PERIPHERAL!$H$3:$H$954,""),"Utilities",_xlfn.XLOOKUP($K832&amp;"",UTILITIES!$B$3:$B$953&amp;"",UTILITIES!$G$3:$G$953,""),"IOT",_xlfn.XLOOKUP($K832&amp;"",IOT!$B$3:$B$1012&amp;"",IOT!$H$3:$H$1012,""),"Server",_xlfn.XLOOKUP($K832&amp;"",SERVER!$B$3:$B$1009&amp;"",SERVER!$H$3:$H$1009,""),""),IF(TRIM(_xlpm.srcCat)&lt;&gt;TRIM($J832),"",_xlfn.SWITCH($I832,"Computer",_xlfn.XLOOKUP($K832&amp;"",COMPUTER!$B$3:$B$1009&amp;"",COMPUTER!$E$3:$E$1009,""),"Display",_xlfn.XLOOKUP($K832&amp;"",DISPLAY!$B$3:$B$1000&amp;"",DISPLAY!$E$3:$E$1000,""),"Network Device",_xlfn.XLOOKUP($K832&amp;"",'NETWORK-DEVICES'!$B$3:$B$987&amp;"",'NETWORK-DEVICES'!$E$3:$E$987,""),"Peripheral",_xlfn.XLOOKUP($K832&amp;"",PERIPHERAL!$B$3:$B$954&amp;"",PERIPHERAL!$E$3:$E$954,""),"Utilities",_xlfn.XLOOKUP($K832&amp;"",UTILITIES!$B$3:$B$953&amp;"",UTILITIES!$E$3:$E$953,""),"IOT",_xlfn.XLOOKUP($K832&amp;"",IOT!$B$3:$B$1012&amp;"",IOT!$E$3:$E$1012,""),"Server",_xlfn.XLOOKUP($K832&amp;"",SERVER!$B$3:$B$1009&amp;"",SERVER!$E$3:$E$1009,""),""))))</f>
        <v/>
      </c>
      <c r="Q832" s="1" t="str" cm="1">
        <f t="array" ref="Q832">IF(OR($K832="",$I832="",$J832=""),"",_xlfn.LET(_xlpm.srcCat,_xlfn.SWITCH($I832,"Computer",_xlfn.XLOOKUP($K832&amp;"",COMPUTER!$B$3:$B$1009&amp;"",COMPUTER!$H$3:$H$1009,""),"Display",_xlfn.XLOOKUP($K832&amp;"",DISPLAY!$B$3:$B$1000&amp;"",DISPLAY!$H$3:$H$1000,""),"Network Device",_xlfn.XLOOKUP($K832&amp;"",'NETWORK-DEVICES'!$B$3:$B$987&amp;"",'NETWORK-DEVICES'!$H$3:$H$987,""),"Peripheral",_xlfn.XLOOKUP($K832&amp;"",PERIPHERAL!$B$3:$B$954&amp;"",PERIPHERAL!$H$3:$H$954,""),"Utilities",_xlfn.XLOOKUP($K832&amp;"",UTILITIES!$B$3:$B$953&amp;"",UTILITIES!$G$3:$G$953,""),"IOT",_xlfn.XLOOKUP($K832&amp;"",IOT!$B$3:$B$1012&amp;"",IOT!$H$3:$H$1012,""),"Server",_xlfn.XLOOKUP($K832&amp;"",SERVER!$B$3:$B$1009&amp;"",SERVER!$H$3:$H$1009,""),""),IF(TRIM(_xlpm.srcCat)&lt;&gt;TRIM($J832),"",_xlfn.SWITCH($I832,"Computer",_xlfn.XLOOKUP($K832&amp;"",COMPUTER!$B$3:$B$1009&amp;"",COMPUTER!$AM$3:$AM$1009,""),"Display",_xlfn.XLOOKUP($K832&amp;"",DISPLAY!$B$3:$B$1000&amp;"",DISPLAY!$V$3:$V$1000,""),"Network Device",_xlfn.XLOOKUP($K832&amp;"",'NETWORK-DEVICES'!$B$3:$B$987&amp;"",'NETWORK-DEVICES'!$AF$3:$AF$987,""),"Peripheral",_xlfn.XLOOKUP($K832&amp;"",PERIPHERAL!$B$3:$B$954&amp;"",PERIPHERAL!$Y$3:$Y$954,""),"Utilities",_xlfn.XLOOKUP($K832&amp;"",UTILITIES!$B$3:$B$953&amp;"",UTILITIES!$O$3:$O$953,""),"IOT",_xlfn.XLOOKUP($K832&amp;"",IOT!$B$3:$B$1012&amp;"",IOT!$AB$3:$AB$1012,""),"Server",_xlfn.XLOOKUP($K832&amp;"",SERVER!$B$3:$B$1009&amp;"",SERVER!$AB$3:$AB$1009,""),""))))</f>
        <v/>
      </c>
      <c r="R832" s="43" t="str">
        <f>IF(tbl_handover[[#This Row],[Asset Code]]="","",COUNTIF(tbl_handover[Asset Code],tbl_handover[[#This Row],[Asset Code]]))</f>
        <v/>
      </c>
    </row>
    <row r="833" spans="1:18" x14ac:dyDescent="0.25">
      <c r="A833" s="43" t="str">
        <f>IF(B833&lt;&gt;"",SUBTOTAL(3,$B$1:B832),"")</f>
        <v/>
      </c>
      <c r="C833" s="74"/>
      <c r="D833" s="74"/>
      <c r="G833" s="1"/>
      <c r="K833" s="42"/>
      <c r="L833" t="str" cm="1">
        <f t="array" ref="L833">IF($K833="","",_xlfn.SWITCH($I833,"Computer",_xlfn.XLOOKUP($K833&amp;"",COMPUTER!$B$3:$B$1009&amp;"",COMPUTER!$I$3:$I$1009,""),"Display",_xlfn.XLOOKUP($K833&amp;"",DISPLAY!$B$3:$B$1000&amp;"",DISPLAY!$J$3:$J$1000,""),"Network Device",_xlfn.XLOOKUP($K833&amp;"",'NETWORK-DEVICES'!$B$3:$B$987&amp;"",'NETWORK-DEVICES'!$I$3:$I$987,""),"Peripheral",_xlfn.XLOOKUP($K833&amp;"",PERIPHERAL!$B$3:$B$954&amp;"",PERIPHERAL!$I$3:$I$954,""),"Utilities",_xlfn.XLOOKUP($K833&amp;"",UTILITIES!$B$3:$B$953&amp;"",UTILITIES!$H$3:$H$953,""),"IOT",_xlfn.XLOOKUP($K833&amp;"",IOT!$B$3:$B$1012&amp;"",IOT!$I$3:$I$1012,""),"SERVER",_xlfn.XLOOKUP($K833&amp;"",SERVER!$B$3:$B$1009&amp;"",SERVER!$I$3:$I$1009,""),""))</f>
        <v/>
      </c>
      <c r="M833" t="str" cm="1">
        <f t="array" ref="M833">IF($K833="","",_xlfn.SWITCH($I833,"Computer",_xlfn.XLOOKUP($K833&amp;"",COMPUTER!$B$3:$B$1009&amp;"",COMPUTER!$J$3:$J$1009,""),"Display",_xlfn.XLOOKUP($K833&amp;"",DISPLAY!$B$3:$B$1000&amp;"",DISPLAY!$K$3:$K$1000,""),"Network Device",_xlfn.XLOOKUP($K833&amp;"",'NETWORK-DEVICES'!$B$3:$B$987&amp;"",'NETWORK-DEVICES'!$I$3:$I$987,""),"Peripheral",_xlfn.XLOOKUP($K833&amp;"",PERIPHERAL!$B$3:$B$954&amp;"",PERIPHERAL!$J$3:$J$954,""),"Utilities",_xlfn.XLOOKUP($K833&amp;"",UTILITIES!$B$3:$B$953&amp;"",UTILITIES!$I$3:$I$953,""),"IOT",_xlfn.XLOOKUP($K833&amp;"",IOT!$B$3:$B$1012&amp;"",IOT!$J$3:$J$1012,""),"Server",_xlfn.XLOOKUP($K833&amp;"",SERVER!$B$3:$B$1009&amp;"",SERVER!$J$3:$J$1009,""),""))</f>
        <v/>
      </c>
      <c r="N833" s="1" t="str" cm="1">
        <f t="array" ref="N833">IF(OR($K833="",$I833="",$J833=""),"",_xlfn.LET(_xlpm.srcCat,_xlfn.SWITCH($I833,"Computer",_xlfn.XLOOKUP($K833&amp;"",COMPUTER!$B$3:$B$1009&amp;"",COMPUTER!$H$3:$H$1009,""),"Display",_xlfn.XLOOKUP($K833&amp;"",DISPLAY!$B$3:$B$1000&amp;"",DISPLAY!$H$3:$H$1000,""),"Network Device",_xlfn.XLOOKUP($K833&amp;"",'NETWORK-DEVICES'!$B$3:$B$987&amp;"",'NETWORK-DEVICES'!$H$3:$H$987,""),"Peripheral",_xlfn.XLOOKUP($K833&amp;"",PERIPHERAL!$B$3:$B$954&amp;"",PERIPHERAL!$H$3:$H$954,""),"Utilities",_xlfn.XLOOKUP($K833&amp;"",UTILITIES!$B$3:$B$953&amp;"",UTILITIES!$G$3:$G$953,""),"IOT",_xlfn.XLOOKUP($K833&amp;"",IOT!$B$3:$B$1012&amp;"",IOT!$H$3:$H$1012,""),"Server",_xlfn.XLOOKUP($K833&amp;"",SERVER!$B$3:$B$1009&amp;"",SERVER!$H$3:$H$1009,""),""),IF(TRIM(_xlpm.srcCat)&lt;&gt;TRIM($J833),"",_xlfn.SWITCH($I833,"Computer",_xlfn.XLOOKUP($K833&amp;"",COMPUTER!$B$3:$B$1009&amp;"",COMPUTER!$K$3:$K$1009,""),"Display",_xlfn.XLOOKUP($K833&amp;"",DISPLAY!$B$3:$B$1000&amp;"",DISPLAY!$L$3:$L$1000,""),"Network Device",_xlfn.XLOOKUP($K833&amp;"",'NETWORK-DEVICES'!$B$3:$B$987&amp;"",'NETWORK-DEVICES'!$K$3:$K$987,""),"Peripheral",_xlfn.XLOOKUP($K833&amp;"",PERIPHERAL!$B$3:$B$954&amp;"",PERIPHERAL!$K$3:$K$954,""),"Utilities",_xlfn.XLOOKUP($K833&amp;"",UTILITIES!$B$3:$B$953&amp;"",UTILITIES!$J$3:$J$953,""),"IOT",_xlfn.XLOOKUP($K833&amp;"",IOT!$B$3:$B$1012&amp;"",IOT!$K$4:$K$1012,""),"Server",_xlfn.XLOOKUP($K833&amp;"",SERVER!$B$3:$B$1009&amp;"",SERVER!$K$3:$K$1009,""),""))))</f>
        <v/>
      </c>
      <c r="O833" s="1" t="str" cm="1">
        <f t="array" ref="O833">IF(OR($K833="",$I833="",$J833=""),"",_xlfn.LET(_xlpm.srcCat,_xlfn.SWITCH($I833,"Computer",_xlfn.XLOOKUP($K833&amp;"",COMPUTER!$B$3:$B$1009&amp;"",COMPUTER!$H$3:$H$1009,""),"Display",_xlfn.XLOOKUP($K833&amp;"",DISPLAY!$B$3:$B$1000&amp;"",DISPLAY!$H$3:$H$1000,""),"Network Device",_xlfn.XLOOKUP($K833&amp;"",'NETWORK-DEVICES'!$B$3:$B$987&amp;"",'NETWORK-DEVICES'!$H$3:$H$987,""),"Peripheral",_xlfn.XLOOKUP($K833&amp;"",PERIPHERAL!$B$3:$B$954&amp;"",PERIPHERAL!$H$3:$H$954,""),"Utilities",_xlfn.XLOOKUP($K833&amp;"",UTILITIES!$B$3:$B$953&amp;"",UTILITIES!$G$3:$G$953,""),"IOT",_xlfn.XLOOKUP($K833&amp;"",IOT!$B$3:$B$1012&amp;"",IOT!$H$3:$H$1012,""),"Server",_xlfn.XLOOKUP($K833&amp;"",SERVER!$B$3:$B$1009&amp;"",SERVER!$H$3:$H$1009,""),""),IF(TRIM(_xlpm.srcCat)&lt;&gt;TRIM($J833),"",_xlfn.SWITCH($I833,"Computer",_xlfn.XLOOKUP($K833&amp;"",COMPUTER!$B$3:$B$1009&amp;"",COMPUTER!$E$3:$E$1009,""),"Display",_xlfn.XLOOKUP($K833&amp;"",DISPLAY!$B$3:$B$1000&amp;"",DISPLAY!$E$3:$E$1000,""),"Network Device",_xlfn.XLOOKUP($K833&amp;"",'NETWORK-DEVICES'!$B$3:$B$987&amp;"",'NETWORK-DEVICES'!$E$3:$E$987,""),"Peripheral",_xlfn.XLOOKUP($K833&amp;"",PERIPHERAL!$B$3:$B$954&amp;"",PERIPHERAL!$E$3:$E$954,""),"Utilities",_xlfn.XLOOKUP($K833&amp;"",UTILITIES!$B$3:$B$953&amp;"",UTILITIES!$E$3:$E$953,""),"IOT",_xlfn.XLOOKUP($K833&amp;"",IOT!$B$3:$B$1012&amp;"",IOT!$E$3:$E$1012,""),"Server",_xlfn.XLOOKUP($K833&amp;"",SERVER!$B$3:$B$1009&amp;"",SERVER!$E$3:$E$1009,""),""))))</f>
        <v/>
      </c>
      <c r="Q833" s="1" t="str" cm="1">
        <f t="array" ref="Q833">IF(OR($K833="",$I833="",$J833=""),"",_xlfn.LET(_xlpm.srcCat,_xlfn.SWITCH($I833,"Computer",_xlfn.XLOOKUP($K833&amp;"",COMPUTER!$B$3:$B$1009&amp;"",COMPUTER!$H$3:$H$1009,""),"Display",_xlfn.XLOOKUP($K833&amp;"",DISPLAY!$B$3:$B$1000&amp;"",DISPLAY!$H$3:$H$1000,""),"Network Device",_xlfn.XLOOKUP($K833&amp;"",'NETWORK-DEVICES'!$B$3:$B$987&amp;"",'NETWORK-DEVICES'!$H$3:$H$987,""),"Peripheral",_xlfn.XLOOKUP($K833&amp;"",PERIPHERAL!$B$3:$B$954&amp;"",PERIPHERAL!$H$3:$H$954,""),"Utilities",_xlfn.XLOOKUP($K833&amp;"",UTILITIES!$B$3:$B$953&amp;"",UTILITIES!$G$3:$G$953,""),"IOT",_xlfn.XLOOKUP($K833&amp;"",IOT!$B$3:$B$1012&amp;"",IOT!$H$3:$H$1012,""),"Server",_xlfn.XLOOKUP($K833&amp;"",SERVER!$B$3:$B$1009&amp;"",SERVER!$H$3:$H$1009,""),""),IF(TRIM(_xlpm.srcCat)&lt;&gt;TRIM($J833),"",_xlfn.SWITCH($I833,"Computer",_xlfn.XLOOKUP($K833&amp;"",COMPUTER!$B$3:$B$1009&amp;"",COMPUTER!$AM$3:$AM$1009,""),"Display",_xlfn.XLOOKUP($K833&amp;"",DISPLAY!$B$3:$B$1000&amp;"",DISPLAY!$V$3:$V$1000,""),"Network Device",_xlfn.XLOOKUP($K833&amp;"",'NETWORK-DEVICES'!$B$3:$B$987&amp;"",'NETWORK-DEVICES'!$AF$3:$AF$987,""),"Peripheral",_xlfn.XLOOKUP($K833&amp;"",PERIPHERAL!$B$3:$B$954&amp;"",PERIPHERAL!$Y$3:$Y$954,""),"Utilities",_xlfn.XLOOKUP($K833&amp;"",UTILITIES!$B$3:$B$953&amp;"",UTILITIES!$O$3:$O$953,""),"IOT",_xlfn.XLOOKUP($K833&amp;"",IOT!$B$3:$B$1012&amp;"",IOT!$AB$3:$AB$1012,""),"Server",_xlfn.XLOOKUP($K833&amp;"",SERVER!$B$3:$B$1009&amp;"",SERVER!$AB$3:$AB$1009,""),""))))</f>
        <v/>
      </c>
      <c r="R833" s="43" t="str">
        <f>IF(tbl_handover[[#This Row],[Asset Code]]="","",COUNTIF(tbl_handover[Asset Code],tbl_handover[[#This Row],[Asset Code]]))</f>
        <v/>
      </c>
    </row>
    <row r="834" spans="1:18" x14ac:dyDescent="0.25">
      <c r="A834" s="43" t="str">
        <f>IF(B834&lt;&gt;"",SUBTOTAL(3,$B$1:B833),"")</f>
        <v/>
      </c>
      <c r="C834" s="74"/>
      <c r="D834" s="74"/>
      <c r="G834" s="1"/>
      <c r="K834" s="42"/>
      <c r="L834" t="str" cm="1">
        <f t="array" ref="L834">IF($K834="","",_xlfn.SWITCH($I834,"Computer",_xlfn.XLOOKUP($K834&amp;"",COMPUTER!$B$3:$B$1009&amp;"",COMPUTER!$I$3:$I$1009,""),"Display",_xlfn.XLOOKUP($K834&amp;"",DISPLAY!$B$3:$B$1000&amp;"",DISPLAY!$J$3:$J$1000,""),"Network Device",_xlfn.XLOOKUP($K834&amp;"",'NETWORK-DEVICES'!$B$3:$B$987&amp;"",'NETWORK-DEVICES'!$I$3:$I$987,""),"Peripheral",_xlfn.XLOOKUP($K834&amp;"",PERIPHERAL!$B$3:$B$954&amp;"",PERIPHERAL!$I$3:$I$954,""),"Utilities",_xlfn.XLOOKUP($K834&amp;"",UTILITIES!$B$3:$B$953&amp;"",UTILITIES!$H$3:$H$953,""),"IOT",_xlfn.XLOOKUP($K834&amp;"",IOT!$B$3:$B$1012&amp;"",IOT!$I$3:$I$1012,""),"SERVER",_xlfn.XLOOKUP($K834&amp;"",SERVER!$B$3:$B$1009&amp;"",SERVER!$I$3:$I$1009,""),""))</f>
        <v/>
      </c>
      <c r="M834" t="str" cm="1">
        <f t="array" ref="M834">IF($K834="","",_xlfn.SWITCH($I834,"Computer",_xlfn.XLOOKUP($K834&amp;"",COMPUTER!$B$3:$B$1009&amp;"",COMPUTER!$J$3:$J$1009,""),"Display",_xlfn.XLOOKUP($K834&amp;"",DISPLAY!$B$3:$B$1000&amp;"",DISPLAY!$K$3:$K$1000,""),"Network Device",_xlfn.XLOOKUP($K834&amp;"",'NETWORK-DEVICES'!$B$3:$B$987&amp;"",'NETWORK-DEVICES'!$I$3:$I$987,""),"Peripheral",_xlfn.XLOOKUP($K834&amp;"",PERIPHERAL!$B$3:$B$954&amp;"",PERIPHERAL!$J$3:$J$954,""),"Utilities",_xlfn.XLOOKUP($K834&amp;"",UTILITIES!$B$3:$B$953&amp;"",UTILITIES!$I$3:$I$953,""),"IOT",_xlfn.XLOOKUP($K834&amp;"",IOT!$B$3:$B$1012&amp;"",IOT!$J$3:$J$1012,""),"Server",_xlfn.XLOOKUP($K834&amp;"",SERVER!$B$3:$B$1009&amp;"",SERVER!$J$3:$J$1009,""),""))</f>
        <v/>
      </c>
      <c r="N834" s="1" t="str" cm="1">
        <f t="array" ref="N834">IF(OR($K834="",$I834="",$J834=""),"",_xlfn.LET(_xlpm.srcCat,_xlfn.SWITCH($I834,"Computer",_xlfn.XLOOKUP($K834&amp;"",COMPUTER!$B$3:$B$1009&amp;"",COMPUTER!$H$3:$H$1009,""),"Display",_xlfn.XLOOKUP($K834&amp;"",DISPLAY!$B$3:$B$1000&amp;"",DISPLAY!$H$3:$H$1000,""),"Network Device",_xlfn.XLOOKUP($K834&amp;"",'NETWORK-DEVICES'!$B$3:$B$987&amp;"",'NETWORK-DEVICES'!$H$3:$H$987,""),"Peripheral",_xlfn.XLOOKUP($K834&amp;"",PERIPHERAL!$B$3:$B$954&amp;"",PERIPHERAL!$H$3:$H$954,""),"Utilities",_xlfn.XLOOKUP($K834&amp;"",UTILITIES!$B$3:$B$953&amp;"",UTILITIES!$G$3:$G$953,""),"IOT",_xlfn.XLOOKUP($K834&amp;"",IOT!$B$3:$B$1012&amp;"",IOT!$H$3:$H$1012,""),"Server",_xlfn.XLOOKUP($K834&amp;"",SERVER!$B$3:$B$1009&amp;"",SERVER!$H$3:$H$1009,""),""),IF(TRIM(_xlpm.srcCat)&lt;&gt;TRIM($J834),"",_xlfn.SWITCH($I834,"Computer",_xlfn.XLOOKUP($K834&amp;"",COMPUTER!$B$3:$B$1009&amp;"",COMPUTER!$K$3:$K$1009,""),"Display",_xlfn.XLOOKUP($K834&amp;"",DISPLAY!$B$3:$B$1000&amp;"",DISPLAY!$L$3:$L$1000,""),"Network Device",_xlfn.XLOOKUP($K834&amp;"",'NETWORK-DEVICES'!$B$3:$B$987&amp;"",'NETWORK-DEVICES'!$K$3:$K$987,""),"Peripheral",_xlfn.XLOOKUP($K834&amp;"",PERIPHERAL!$B$3:$B$954&amp;"",PERIPHERAL!$K$3:$K$954,""),"Utilities",_xlfn.XLOOKUP($K834&amp;"",UTILITIES!$B$3:$B$953&amp;"",UTILITIES!$J$3:$J$953,""),"IOT",_xlfn.XLOOKUP($K834&amp;"",IOT!$B$3:$B$1012&amp;"",IOT!$K$4:$K$1012,""),"Server",_xlfn.XLOOKUP($K834&amp;"",SERVER!$B$3:$B$1009&amp;"",SERVER!$K$3:$K$1009,""),""))))</f>
        <v/>
      </c>
      <c r="O834" s="1" t="str" cm="1">
        <f t="array" ref="O834">IF(OR($K834="",$I834="",$J834=""),"",_xlfn.LET(_xlpm.srcCat,_xlfn.SWITCH($I834,"Computer",_xlfn.XLOOKUP($K834&amp;"",COMPUTER!$B$3:$B$1009&amp;"",COMPUTER!$H$3:$H$1009,""),"Display",_xlfn.XLOOKUP($K834&amp;"",DISPLAY!$B$3:$B$1000&amp;"",DISPLAY!$H$3:$H$1000,""),"Network Device",_xlfn.XLOOKUP($K834&amp;"",'NETWORK-DEVICES'!$B$3:$B$987&amp;"",'NETWORK-DEVICES'!$H$3:$H$987,""),"Peripheral",_xlfn.XLOOKUP($K834&amp;"",PERIPHERAL!$B$3:$B$954&amp;"",PERIPHERAL!$H$3:$H$954,""),"Utilities",_xlfn.XLOOKUP($K834&amp;"",UTILITIES!$B$3:$B$953&amp;"",UTILITIES!$G$3:$G$953,""),"IOT",_xlfn.XLOOKUP($K834&amp;"",IOT!$B$3:$B$1012&amp;"",IOT!$H$3:$H$1012,""),"Server",_xlfn.XLOOKUP($K834&amp;"",SERVER!$B$3:$B$1009&amp;"",SERVER!$H$3:$H$1009,""),""),IF(TRIM(_xlpm.srcCat)&lt;&gt;TRIM($J834),"",_xlfn.SWITCH($I834,"Computer",_xlfn.XLOOKUP($K834&amp;"",COMPUTER!$B$3:$B$1009&amp;"",COMPUTER!$E$3:$E$1009,""),"Display",_xlfn.XLOOKUP($K834&amp;"",DISPLAY!$B$3:$B$1000&amp;"",DISPLAY!$E$3:$E$1000,""),"Network Device",_xlfn.XLOOKUP($K834&amp;"",'NETWORK-DEVICES'!$B$3:$B$987&amp;"",'NETWORK-DEVICES'!$E$3:$E$987,""),"Peripheral",_xlfn.XLOOKUP($K834&amp;"",PERIPHERAL!$B$3:$B$954&amp;"",PERIPHERAL!$E$3:$E$954,""),"Utilities",_xlfn.XLOOKUP($K834&amp;"",UTILITIES!$B$3:$B$953&amp;"",UTILITIES!$E$3:$E$953,""),"IOT",_xlfn.XLOOKUP($K834&amp;"",IOT!$B$3:$B$1012&amp;"",IOT!$E$3:$E$1012,""),"Server",_xlfn.XLOOKUP($K834&amp;"",SERVER!$B$3:$B$1009&amp;"",SERVER!$E$3:$E$1009,""),""))))</f>
        <v/>
      </c>
      <c r="Q834" s="1" t="str" cm="1">
        <f t="array" ref="Q834">IF(OR($K834="",$I834="",$J834=""),"",_xlfn.LET(_xlpm.srcCat,_xlfn.SWITCH($I834,"Computer",_xlfn.XLOOKUP($K834&amp;"",COMPUTER!$B$3:$B$1009&amp;"",COMPUTER!$H$3:$H$1009,""),"Display",_xlfn.XLOOKUP($K834&amp;"",DISPLAY!$B$3:$B$1000&amp;"",DISPLAY!$H$3:$H$1000,""),"Network Device",_xlfn.XLOOKUP($K834&amp;"",'NETWORK-DEVICES'!$B$3:$B$987&amp;"",'NETWORK-DEVICES'!$H$3:$H$987,""),"Peripheral",_xlfn.XLOOKUP($K834&amp;"",PERIPHERAL!$B$3:$B$954&amp;"",PERIPHERAL!$H$3:$H$954,""),"Utilities",_xlfn.XLOOKUP($K834&amp;"",UTILITIES!$B$3:$B$953&amp;"",UTILITIES!$G$3:$G$953,""),"IOT",_xlfn.XLOOKUP($K834&amp;"",IOT!$B$3:$B$1012&amp;"",IOT!$H$3:$H$1012,""),"Server",_xlfn.XLOOKUP($K834&amp;"",SERVER!$B$3:$B$1009&amp;"",SERVER!$H$3:$H$1009,""),""),IF(TRIM(_xlpm.srcCat)&lt;&gt;TRIM($J834),"",_xlfn.SWITCH($I834,"Computer",_xlfn.XLOOKUP($K834&amp;"",COMPUTER!$B$3:$B$1009&amp;"",COMPUTER!$AM$3:$AM$1009,""),"Display",_xlfn.XLOOKUP($K834&amp;"",DISPLAY!$B$3:$B$1000&amp;"",DISPLAY!$V$3:$V$1000,""),"Network Device",_xlfn.XLOOKUP($K834&amp;"",'NETWORK-DEVICES'!$B$3:$B$987&amp;"",'NETWORK-DEVICES'!$AF$3:$AF$987,""),"Peripheral",_xlfn.XLOOKUP($K834&amp;"",PERIPHERAL!$B$3:$B$954&amp;"",PERIPHERAL!$Y$3:$Y$954,""),"Utilities",_xlfn.XLOOKUP($K834&amp;"",UTILITIES!$B$3:$B$953&amp;"",UTILITIES!$O$3:$O$953,""),"IOT",_xlfn.XLOOKUP($K834&amp;"",IOT!$B$3:$B$1012&amp;"",IOT!$AB$3:$AB$1012,""),"Server",_xlfn.XLOOKUP($K834&amp;"",SERVER!$B$3:$B$1009&amp;"",SERVER!$AB$3:$AB$1009,""),""))))</f>
        <v/>
      </c>
      <c r="R834" s="43" t="str">
        <f>IF(tbl_handover[[#This Row],[Asset Code]]="","",COUNTIF(tbl_handover[Asset Code],tbl_handover[[#This Row],[Asset Code]]))</f>
        <v/>
      </c>
    </row>
    <row r="835" spans="1:18" x14ac:dyDescent="0.25">
      <c r="A835" s="43" t="str">
        <f>IF(B835&lt;&gt;"",SUBTOTAL(3,$B$1:B834),"")</f>
        <v/>
      </c>
      <c r="C835" s="74"/>
      <c r="D835" s="74"/>
      <c r="G835" s="1"/>
      <c r="K835" s="42"/>
      <c r="L835" t="str" cm="1">
        <f t="array" ref="L835">IF($K835="","",_xlfn.SWITCH($I835,"Computer",_xlfn.XLOOKUP($K835&amp;"",COMPUTER!$B$3:$B$1009&amp;"",COMPUTER!$I$3:$I$1009,""),"Display",_xlfn.XLOOKUP($K835&amp;"",DISPLAY!$B$3:$B$1000&amp;"",DISPLAY!$J$3:$J$1000,""),"Network Device",_xlfn.XLOOKUP($K835&amp;"",'NETWORK-DEVICES'!$B$3:$B$987&amp;"",'NETWORK-DEVICES'!$I$3:$I$987,""),"Peripheral",_xlfn.XLOOKUP($K835&amp;"",PERIPHERAL!$B$3:$B$954&amp;"",PERIPHERAL!$I$3:$I$954,""),"Utilities",_xlfn.XLOOKUP($K835&amp;"",UTILITIES!$B$3:$B$953&amp;"",UTILITIES!$H$3:$H$953,""),"IOT",_xlfn.XLOOKUP($K835&amp;"",IOT!$B$3:$B$1012&amp;"",IOT!$I$3:$I$1012,""),"SERVER",_xlfn.XLOOKUP($K835&amp;"",SERVER!$B$3:$B$1009&amp;"",SERVER!$I$3:$I$1009,""),""))</f>
        <v/>
      </c>
      <c r="M835" t="str" cm="1">
        <f t="array" ref="M835">IF($K835="","",_xlfn.SWITCH($I835,"Computer",_xlfn.XLOOKUP($K835&amp;"",COMPUTER!$B$3:$B$1009&amp;"",COMPUTER!$J$3:$J$1009,""),"Display",_xlfn.XLOOKUP($K835&amp;"",DISPLAY!$B$3:$B$1000&amp;"",DISPLAY!$K$3:$K$1000,""),"Network Device",_xlfn.XLOOKUP($K835&amp;"",'NETWORK-DEVICES'!$B$3:$B$987&amp;"",'NETWORK-DEVICES'!$I$3:$I$987,""),"Peripheral",_xlfn.XLOOKUP($K835&amp;"",PERIPHERAL!$B$3:$B$954&amp;"",PERIPHERAL!$J$3:$J$954,""),"Utilities",_xlfn.XLOOKUP($K835&amp;"",UTILITIES!$B$3:$B$953&amp;"",UTILITIES!$I$3:$I$953,""),"IOT",_xlfn.XLOOKUP($K835&amp;"",IOT!$B$3:$B$1012&amp;"",IOT!$J$3:$J$1012,""),"Server",_xlfn.XLOOKUP($K835&amp;"",SERVER!$B$3:$B$1009&amp;"",SERVER!$J$3:$J$1009,""),""))</f>
        <v/>
      </c>
      <c r="N835" s="1" t="str" cm="1">
        <f t="array" ref="N835">IF(OR($K835="",$I835="",$J835=""),"",_xlfn.LET(_xlpm.srcCat,_xlfn.SWITCH($I835,"Computer",_xlfn.XLOOKUP($K835&amp;"",COMPUTER!$B$3:$B$1009&amp;"",COMPUTER!$H$3:$H$1009,""),"Display",_xlfn.XLOOKUP($K835&amp;"",DISPLAY!$B$3:$B$1000&amp;"",DISPLAY!$H$3:$H$1000,""),"Network Device",_xlfn.XLOOKUP($K835&amp;"",'NETWORK-DEVICES'!$B$3:$B$987&amp;"",'NETWORK-DEVICES'!$H$3:$H$987,""),"Peripheral",_xlfn.XLOOKUP($K835&amp;"",PERIPHERAL!$B$3:$B$954&amp;"",PERIPHERAL!$H$3:$H$954,""),"Utilities",_xlfn.XLOOKUP($K835&amp;"",UTILITIES!$B$3:$B$953&amp;"",UTILITIES!$G$3:$G$953,""),"IOT",_xlfn.XLOOKUP($K835&amp;"",IOT!$B$3:$B$1012&amp;"",IOT!$H$3:$H$1012,""),"Server",_xlfn.XLOOKUP($K835&amp;"",SERVER!$B$3:$B$1009&amp;"",SERVER!$H$3:$H$1009,""),""),IF(TRIM(_xlpm.srcCat)&lt;&gt;TRIM($J835),"",_xlfn.SWITCH($I835,"Computer",_xlfn.XLOOKUP($K835&amp;"",COMPUTER!$B$3:$B$1009&amp;"",COMPUTER!$K$3:$K$1009,""),"Display",_xlfn.XLOOKUP($K835&amp;"",DISPLAY!$B$3:$B$1000&amp;"",DISPLAY!$L$3:$L$1000,""),"Network Device",_xlfn.XLOOKUP($K835&amp;"",'NETWORK-DEVICES'!$B$3:$B$987&amp;"",'NETWORK-DEVICES'!$K$3:$K$987,""),"Peripheral",_xlfn.XLOOKUP($K835&amp;"",PERIPHERAL!$B$3:$B$954&amp;"",PERIPHERAL!$K$3:$K$954,""),"Utilities",_xlfn.XLOOKUP($K835&amp;"",UTILITIES!$B$3:$B$953&amp;"",UTILITIES!$J$3:$J$953,""),"IOT",_xlfn.XLOOKUP($K835&amp;"",IOT!$B$3:$B$1012&amp;"",IOT!$K$4:$K$1012,""),"Server",_xlfn.XLOOKUP($K835&amp;"",SERVER!$B$3:$B$1009&amp;"",SERVER!$K$3:$K$1009,""),""))))</f>
        <v/>
      </c>
      <c r="O835" s="1" t="str" cm="1">
        <f t="array" ref="O835">IF(OR($K835="",$I835="",$J835=""),"",_xlfn.LET(_xlpm.srcCat,_xlfn.SWITCH($I835,"Computer",_xlfn.XLOOKUP($K835&amp;"",COMPUTER!$B$3:$B$1009&amp;"",COMPUTER!$H$3:$H$1009,""),"Display",_xlfn.XLOOKUP($K835&amp;"",DISPLAY!$B$3:$B$1000&amp;"",DISPLAY!$H$3:$H$1000,""),"Network Device",_xlfn.XLOOKUP($K835&amp;"",'NETWORK-DEVICES'!$B$3:$B$987&amp;"",'NETWORK-DEVICES'!$H$3:$H$987,""),"Peripheral",_xlfn.XLOOKUP($K835&amp;"",PERIPHERAL!$B$3:$B$954&amp;"",PERIPHERAL!$H$3:$H$954,""),"Utilities",_xlfn.XLOOKUP($K835&amp;"",UTILITIES!$B$3:$B$953&amp;"",UTILITIES!$G$3:$G$953,""),"IOT",_xlfn.XLOOKUP($K835&amp;"",IOT!$B$3:$B$1012&amp;"",IOT!$H$3:$H$1012,""),"Server",_xlfn.XLOOKUP($K835&amp;"",SERVER!$B$3:$B$1009&amp;"",SERVER!$H$3:$H$1009,""),""),IF(TRIM(_xlpm.srcCat)&lt;&gt;TRIM($J835),"",_xlfn.SWITCH($I835,"Computer",_xlfn.XLOOKUP($K835&amp;"",COMPUTER!$B$3:$B$1009&amp;"",COMPUTER!$E$3:$E$1009,""),"Display",_xlfn.XLOOKUP($K835&amp;"",DISPLAY!$B$3:$B$1000&amp;"",DISPLAY!$E$3:$E$1000,""),"Network Device",_xlfn.XLOOKUP($K835&amp;"",'NETWORK-DEVICES'!$B$3:$B$987&amp;"",'NETWORK-DEVICES'!$E$3:$E$987,""),"Peripheral",_xlfn.XLOOKUP($K835&amp;"",PERIPHERAL!$B$3:$B$954&amp;"",PERIPHERAL!$E$3:$E$954,""),"Utilities",_xlfn.XLOOKUP($K835&amp;"",UTILITIES!$B$3:$B$953&amp;"",UTILITIES!$E$3:$E$953,""),"IOT",_xlfn.XLOOKUP($K835&amp;"",IOT!$B$3:$B$1012&amp;"",IOT!$E$3:$E$1012,""),"Server",_xlfn.XLOOKUP($K835&amp;"",SERVER!$B$3:$B$1009&amp;"",SERVER!$E$3:$E$1009,""),""))))</f>
        <v/>
      </c>
      <c r="Q835" s="1" t="str" cm="1">
        <f t="array" ref="Q835">IF(OR($K835="",$I835="",$J835=""),"",_xlfn.LET(_xlpm.srcCat,_xlfn.SWITCH($I835,"Computer",_xlfn.XLOOKUP($K835&amp;"",COMPUTER!$B$3:$B$1009&amp;"",COMPUTER!$H$3:$H$1009,""),"Display",_xlfn.XLOOKUP($K835&amp;"",DISPLAY!$B$3:$B$1000&amp;"",DISPLAY!$H$3:$H$1000,""),"Network Device",_xlfn.XLOOKUP($K835&amp;"",'NETWORK-DEVICES'!$B$3:$B$987&amp;"",'NETWORK-DEVICES'!$H$3:$H$987,""),"Peripheral",_xlfn.XLOOKUP($K835&amp;"",PERIPHERAL!$B$3:$B$954&amp;"",PERIPHERAL!$H$3:$H$954,""),"Utilities",_xlfn.XLOOKUP($K835&amp;"",UTILITIES!$B$3:$B$953&amp;"",UTILITIES!$G$3:$G$953,""),"IOT",_xlfn.XLOOKUP($K835&amp;"",IOT!$B$3:$B$1012&amp;"",IOT!$H$3:$H$1012,""),"Server",_xlfn.XLOOKUP($K835&amp;"",SERVER!$B$3:$B$1009&amp;"",SERVER!$H$3:$H$1009,""),""),IF(TRIM(_xlpm.srcCat)&lt;&gt;TRIM($J835),"",_xlfn.SWITCH($I835,"Computer",_xlfn.XLOOKUP($K835&amp;"",COMPUTER!$B$3:$B$1009&amp;"",COMPUTER!$AM$3:$AM$1009,""),"Display",_xlfn.XLOOKUP($K835&amp;"",DISPLAY!$B$3:$B$1000&amp;"",DISPLAY!$V$3:$V$1000,""),"Network Device",_xlfn.XLOOKUP($K835&amp;"",'NETWORK-DEVICES'!$B$3:$B$987&amp;"",'NETWORK-DEVICES'!$AF$3:$AF$987,""),"Peripheral",_xlfn.XLOOKUP($K835&amp;"",PERIPHERAL!$B$3:$B$954&amp;"",PERIPHERAL!$Y$3:$Y$954,""),"Utilities",_xlfn.XLOOKUP($K835&amp;"",UTILITIES!$B$3:$B$953&amp;"",UTILITIES!$O$3:$O$953,""),"IOT",_xlfn.XLOOKUP($K835&amp;"",IOT!$B$3:$B$1012&amp;"",IOT!$AB$3:$AB$1012,""),"Server",_xlfn.XLOOKUP($K835&amp;"",SERVER!$B$3:$B$1009&amp;"",SERVER!$AB$3:$AB$1009,""),""))))</f>
        <v/>
      </c>
      <c r="R835" s="43" t="str">
        <f>IF(tbl_handover[[#This Row],[Asset Code]]="","",COUNTIF(tbl_handover[Asset Code],tbl_handover[[#This Row],[Asset Code]]))</f>
        <v/>
      </c>
    </row>
    <row r="836" spans="1:18" x14ac:dyDescent="0.25">
      <c r="A836" s="43" t="str">
        <f>IF(B836&lt;&gt;"",SUBTOTAL(3,$B$1:B835),"")</f>
        <v/>
      </c>
      <c r="C836" s="74"/>
      <c r="D836" s="74"/>
      <c r="G836" s="1"/>
      <c r="K836" s="42"/>
      <c r="L836" t="str" cm="1">
        <f t="array" ref="L836">IF($K836="","",_xlfn.SWITCH($I836,"Computer",_xlfn.XLOOKUP($K836&amp;"",COMPUTER!$B$3:$B$1009&amp;"",COMPUTER!$I$3:$I$1009,""),"Display",_xlfn.XLOOKUP($K836&amp;"",DISPLAY!$B$3:$B$1000&amp;"",DISPLAY!$J$3:$J$1000,""),"Network Device",_xlfn.XLOOKUP($K836&amp;"",'NETWORK-DEVICES'!$B$3:$B$987&amp;"",'NETWORK-DEVICES'!$I$3:$I$987,""),"Peripheral",_xlfn.XLOOKUP($K836&amp;"",PERIPHERAL!$B$3:$B$954&amp;"",PERIPHERAL!$I$3:$I$954,""),"Utilities",_xlfn.XLOOKUP($K836&amp;"",UTILITIES!$B$3:$B$953&amp;"",UTILITIES!$H$3:$H$953,""),"IOT",_xlfn.XLOOKUP($K836&amp;"",IOT!$B$3:$B$1012&amp;"",IOT!$I$3:$I$1012,""),"SERVER",_xlfn.XLOOKUP($K836&amp;"",SERVER!$B$3:$B$1009&amp;"",SERVER!$I$3:$I$1009,""),""))</f>
        <v/>
      </c>
      <c r="M836" t="str" cm="1">
        <f t="array" ref="M836">IF($K836="","",_xlfn.SWITCH($I836,"Computer",_xlfn.XLOOKUP($K836&amp;"",COMPUTER!$B$3:$B$1009&amp;"",COMPUTER!$J$3:$J$1009,""),"Display",_xlfn.XLOOKUP($K836&amp;"",DISPLAY!$B$3:$B$1000&amp;"",DISPLAY!$K$3:$K$1000,""),"Network Device",_xlfn.XLOOKUP($K836&amp;"",'NETWORK-DEVICES'!$B$3:$B$987&amp;"",'NETWORK-DEVICES'!$I$3:$I$987,""),"Peripheral",_xlfn.XLOOKUP($K836&amp;"",PERIPHERAL!$B$3:$B$954&amp;"",PERIPHERAL!$J$3:$J$954,""),"Utilities",_xlfn.XLOOKUP($K836&amp;"",UTILITIES!$B$3:$B$953&amp;"",UTILITIES!$I$3:$I$953,""),"IOT",_xlfn.XLOOKUP($K836&amp;"",IOT!$B$3:$B$1012&amp;"",IOT!$J$3:$J$1012,""),"Server",_xlfn.XLOOKUP($K836&amp;"",SERVER!$B$3:$B$1009&amp;"",SERVER!$J$3:$J$1009,""),""))</f>
        <v/>
      </c>
      <c r="N836" s="1" t="str" cm="1">
        <f t="array" ref="N836">IF(OR($K836="",$I836="",$J836=""),"",_xlfn.LET(_xlpm.srcCat,_xlfn.SWITCH($I836,"Computer",_xlfn.XLOOKUP($K836&amp;"",COMPUTER!$B$3:$B$1009&amp;"",COMPUTER!$H$3:$H$1009,""),"Display",_xlfn.XLOOKUP($K836&amp;"",DISPLAY!$B$3:$B$1000&amp;"",DISPLAY!$H$3:$H$1000,""),"Network Device",_xlfn.XLOOKUP($K836&amp;"",'NETWORK-DEVICES'!$B$3:$B$987&amp;"",'NETWORK-DEVICES'!$H$3:$H$987,""),"Peripheral",_xlfn.XLOOKUP($K836&amp;"",PERIPHERAL!$B$3:$B$954&amp;"",PERIPHERAL!$H$3:$H$954,""),"Utilities",_xlfn.XLOOKUP($K836&amp;"",UTILITIES!$B$3:$B$953&amp;"",UTILITIES!$G$3:$G$953,""),"IOT",_xlfn.XLOOKUP($K836&amp;"",IOT!$B$3:$B$1012&amp;"",IOT!$H$3:$H$1012,""),"Server",_xlfn.XLOOKUP($K836&amp;"",SERVER!$B$3:$B$1009&amp;"",SERVER!$H$3:$H$1009,""),""),IF(TRIM(_xlpm.srcCat)&lt;&gt;TRIM($J836),"",_xlfn.SWITCH($I836,"Computer",_xlfn.XLOOKUP($K836&amp;"",COMPUTER!$B$3:$B$1009&amp;"",COMPUTER!$K$3:$K$1009,""),"Display",_xlfn.XLOOKUP($K836&amp;"",DISPLAY!$B$3:$B$1000&amp;"",DISPLAY!$L$3:$L$1000,""),"Network Device",_xlfn.XLOOKUP($K836&amp;"",'NETWORK-DEVICES'!$B$3:$B$987&amp;"",'NETWORK-DEVICES'!$K$3:$K$987,""),"Peripheral",_xlfn.XLOOKUP($K836&amp;"",PERIPHERAL!$B$3:$B$954&amp;"",PERIPHERAL!$K$3:$K$954,""),"Utilities",_xlfn.XLOOKUP($K836&amp;"",UTILITIES!$B$3:$B$953&amp;"",UTILITIES!$J$3:$J$953,""),"IOT",_xlfn.XLOOKUP($K836&amp;"",IOT!$B$3:$B$1012&amp;"",IOT!$K$4:$K$1012,""),"Server",_xlfn.XLOOKUP($K836&amp;"",SERVER!$B$3:$B$1009&amp;"",SERVER!$K$3:$K$1009,""),""))))</f>
        <v/>
      </c>
      <c r="O836" s="1" t="str" cm="1">
        <f t="array" ref="O836">IF(OR($K836="",$I836="",$J836=""),"",_xlfn.LET(_xlpm.srcCat,_xlfn.SWITCH($I836,"Computer",_xlfn.XLOOKUP($K836&amp;"",COMPUTER!$B$3:$B$1009&amp;"",COMPUTER!$H$3:$H$1009,""),"Display",_xlfn.XLOOKUP($K836&amp;"",DISPLAY!$B$3:$B$1000&amp;"",DISPLAY!$H$3:$H$1000,""),"Network Device",_xlfn.XLOOKUP($K836&amp;"",'NETWORK-DEVICES'!$B$3:$B$987&amp;"",'NETWORK-DEVICES'!$H$3:$H$987,""),"Peripheral",_xlfn.XLOOKUP($K836&amp;"",PERIPHERAL!$B$3:$B$954&amp;"",PERIPHERAL!$H$3:$H$954,""),"Utilities",_xlfn.XLOOKUP($K836&amp;"",UTILITIES!$B$3:$B$953&amp;"",UTILITIES!$G$3:$G$953,""),"IOT",_xlfn.XLOOKUP($K836&amp;"",IOT!$B$3:$B$1012&amp;"",IOT!$H$3:$H$1012,""),"Server",_xlfn.XLOOKUP($K836&amp;"",SERVER!$B$3:$B$1009&amp;"",SERVER!$H$3:$H$1009,""),""),IF(TRIM(_xlpm.srcCat)&lt;&gt;TRIM($J836),"",_xlfn.SWITCH($I836,"Computer",_xlfn.XLOOKUP($K836&amp;"",COMPUTER!$B$3:$B$1009&amp;"",COMPUTER!$E$3:$E$1009,""),"Display",_xlfn.XLOOKUP($K836&amp;"",DISPLAY!$B$3:$B$1000&amp;"",DISPLAY!$E$3:$E$1000,""),"Network Device",_xlfn.XLOOKUP($K836&amp;"",'NETWORK-DEVICES'!$B$3:$B$987&amp;"",'NETWORK-DEVICES'!$E$3:$E$987,""),"Peripheral",_xlfn.XLOOKUP($K836&amp;"",PERIPHERAL!$B$3:$B$954&amp;"",PERIPHERAL!$E$3:$E$954,""),"Utilities",_xlfn.XLOOKUP($K836&amp;"",UTILITIES!$B$3:$B$953&amp;"",UTILITIES!$E$3:$E$953,""),"IOT",_xlfn.XLOOKUP($K836&amp;"",IOT!$B$3:$B$1012&amp;"",IOT!$E$3:$E$1012,""),"Server",_xlfn.XLOOKUP($K836&amp;"",SERVER!$B$3:$B$1009&amp;"",SERVER!$E$3:$E$1009,""),""))))</f>
        <v/>
      </c>
      <c r="Q836" s="1" t="str" cm="1">
        <f t="array" ref="Q836">IF(OR($K836="",$I836="",$J836=""),"",_xlfn.LET(_xlpm.srcCat,_xlfn.SWITCH($I836,"Computer",_xlfn.XLOOKUP($K836&amp;"",COMPUTER!$B$3:$B$1009&amp;"",COMPUTER!$H$3:$H$1009,""),"Display",_xlfn.XLOOKUP($K836&amp;"",DISPLAY!$B$3:$B$1000&amp;"",DISPLAY!$H$3:$H$1000,""),"Network Device",_xlfn.XLOOKUP($K836&amp;"",'NETWORK-DEVICES'!$B$3:$B$987&amp;"",'NETWORK-DEVICES'!$H$3:$H$987,""),"Peripheral",_xlfn.XLOOKUP($K836&amp;"",PERIPHERAL!$B$3:$B$954&amp;"",PERIPHERAL!$H$3:$H$954,""),"Utilities",_xlfn.XLOOKUP($K836&amp;"",UTILITIES!$B$3:$B$953&amp;"",UTILITIES!$G$3:$G$953,""),"IOT",_xlfn.XLOOKUP($K836&amp;"",IOT!$B$3:$B$1012&amp;"",IOT!$H$3:$H$1012,""),"Server",_xlfn.XLOOKUP($K836&amp;"",SERVER!$B$3:$B$1009&amp;"",SERVER!$H$3:$H$1009,""),""),IF(TRIM(_xlpm.srcCat)&lt;&gt;TRIM($J836),"",_xlfn.SWITCH($I836,"Computer",_xlfn.XLOOKUP($K836&amp;"",COMPUTER!$B$3:$B$1009&amp;"",COMPUTER!$AM$3:$AM$1009,""),"Display",_xlfn.XLOOKUP($K836&amp;"",DISPLAY!$B$3:$B$1000&amp;"",DISPLAY!$V$3:$V$1000,""),"Network Device",_xlfn.XLOOKUP($K836&amp;"",'NETWORK-DEVICES'!$B$3:$B$987&amp;"",'NETWORK-DEVICES'!$AF$3:$AF$987,""),"Peripheral",_xlfn.XLOOKUP($K836&amp;"",PERIPHERAL!$B$3:$B$954&amp;"",PERIPHERAL!$Y$3:$Y$954,""),"Utilities",_xlfn.XLOOKUP($K836&amp;"",UTILITIES!$B$3:$B$953&amp;"",UTILITIES!$O$3:$O$953,""),"IOT",_xlfn.XLOOKUP($K836&amp;"",IOT!$B$3:$B$1012&amp;"",IOT!$AB$3:$AB$1012,""),"Server",_xlfn.XLOOKUP($K836&amp;"",SERVER!$B$3:$B$1009&amp;"",SERVER!$AB$3:$AB$1009,""),""))))</f>
        <v/>
      </c>
      <c r="R836" s="43" t="str">
        <f>IF(tbl_handover[[#This Row],[Asset Code]]="","",COUNTIF(tbl_handover[Asset Code],tbl_handover[[#This Row],[Asset Code]]))</f>
        <v/>
      </c>
    </row>
    <row r="837" spans="1:18" x14ac:dyDescent="0.25">
      <c r="A837" s="43" t="str">
        <f>IF(B837&lt;&gt;"",SUBTOTAL(3,$B$1:B836),"")</f>
        <v/>
      </c>
      <c r="C837" s="74"/>
      <c r="D837" s="74"/>
      <c r="G837" s="1"/>
      <c r="K837" s="42"/>
      <c r="L837" t="str" cm="1">
        <f t="array" ref="L837">IF($K837="","",_xlfn.SWITCH($I837,"Computer",_xlfn.XLOOKUP($K837&amp;"",COMPUTER!$B$3:$B$1009&amp;"",COMPUTER!$I$3:$I$1009,""),"Display",_xlfn.XLOOKUP($K837&amp;"",DISPLAY!$B$3:$B$1000&amp;"",DISPLAY!$J$3:$J$1000,""),"Network Device",_xlfn.XLOOKUP($K837&amp;"",'NETWORK-DEVICES'!$B$3:$B$987&amp;"",'NETWORK-DEVICES'!$I$3:$I$987,""),"Peripheral",_xlfn.XLOOKUP($K837&amp;"",PERIPHERAL!$B$3:$B$954&amp;"",PERIPHERAL!$I$3:$I$954,""),"Utilities",_xlfn.XLOOKUP($K837&amp;"",UTILITIES!$B$3:$B$953&amp;"",UTILITIES!$H$3:$H$953,""),"IOT",_xlfn.XLOOKUP($K837&amp;"",IOT!$B$3:$B$1012&amp;"",IOT!$I$3:$I$1012,""),"SERVER",_xlfn.XLOOKUP($K837&amp;"",SERVER!$B$3:$B$1009&amp;"",SERVER!$I$3:$I$1009,""),""))</f>
        <v/>
      </c>
      <c r="M837" t="str" cm="1">
        <f t="array" ref="M837">IF($K837="","",_xlfn.SWITCH($I837,"Computer",_xlfn.XLOOKUP($K837&amp;"",COMPUTER!$B$3:$B$1009&amp;"",COMPUTER!$J$3:$J$1009,""),"Display",_xlfn.XLOOKUP($K837&amp;"",DISPLAY!$B$3:$B$1000&amp;"",DISPLAY!$K$3:$K$1000,""),"Network Device",_xlfn.XLOOKUP($K837&amp;"",'NETWORK-DEVICES'!$B$3:$B$987&amp;"",'NETWORK-DEVICES'!$I$3:$I$987,""),"Peripheral",_xlfn.XLOOKUP($K837&amp;"",PERIPHERAL!$B$3:$B$954&amp;"",PERIPHERAL!$J$3:$J$954,""),"Utilities",_xlfn.XLOOKUP($K837&amp;"",UTILITIES!$B$3:$B$953&amp;"",UTILITIES!$I$3:$I$953,""),"IOT",_xlfn.XLOOKUP($K837&amp;"",IOT!$B$3:$B$1012&amp;"",IOT!$J$3:$J$1012,""),"Server",_xlfn.XLOOKUP($K837&amp;"",SERVER!$B$3:$B$1009&amp;"",SERVER!$J$3:$J$1009,""),""))</f>
        <v/>
      </c>
      <c r="N837" s="1" t="str" cm="1">
        <f t="array" ref="N837">IF(OR($K837="",$I837="",$J837=""),"",_xlfn.LET(_xlpm.srcCat,_xlfn.SWITCH($I837,"Computer",_xlfn.XLOOKUP($K837&amp;"",COMPUTER!$B$3:$B$1009&amp;"",COMPUTER!$H$3:$H$1009,""),"Display",_xlfn.XLOOKUP($K837&amp;"",DISPLAY!$B$3:$B$1000&amp;"",DISPLAY!$H$3:$H$1000,""),"Network Device",_xlfn.XLOOKUP($K837&amp;"",'NETWORK-DEVICES'!$B$3:$B$987&amp;"",'NETWORK-DEVICES'!$H$3:$H$987,""),"Peripheral",_xlfn.XLOOKUP($K837&amp;"",PERIPHERAL!$B$3:$B$954&amp;"",PERIPHERAL!$H$3:$H$954,""),"Utilities",_xlfn.XLOOKUP($K837&amp;"",UTILITIES!$B$3:$B$953&amp;"",UTILITIES!$G$3:$G$953,""),"IOT",_xlfn.XLOOKUP($K837&amp;"",IOT!$B$3:$B$1012&amp;"",IOT!$H$3:$H$1012,""),"Server",_xlfn.XLOOKUP($K837&amp;"",SERVER!$B$3:$B$1009&amp;"",SERVER!$H$3:$H$1009,""),""),IF(TRIM(_xlpm.srcCat)&lt;&gt;TRIM($J837),"",_xlfn.SWITCH($I837,"Computer",_xlfn.XLOOKUP($K837&amp;"",COMPUTER!$B$3:$B$1009&amp;"",COMPUTER!$K$3:$K$1009,""),"Display",_xlfn.XLOOKUP($K837&amp;"",DISPLAY!$B$3:$B$1000&amp;"",DISPLAY!$L$3:$L$1000,""),"Network Device",_xlfn.XLOOKUP($K837&amp;"",'NETWORK-DEVICES'!$B$3:$B$987&amp;"",'NETWORK-DEVICES'!$K$3:$K$987,""),"Peripheral",_xlfn.XLOOKUP($K837&amp;"",PERIPHERAL!$B$3:$B$954&amp;"",PERIPHERAL!$K$3:$K$954,""),"Utilities",_xlfn.XLOOKUP($K837&amp;"",UTILITIES!$B$3:$B$953&amp;"",UTILITIES!$J$3:$J$953,""),"IOT",_xlfn.XLOOKUP($K837&amp;"",IOT!$B$3:$B$1012&amp;"",IOT!$K$4:$K$1012,""),"Server",_xlfn.XLOOKUP($K837&amp;"",SERVER!$B$3:$B$1009&amp;"",SERVER!$K$3:$K$1009,""),""))))</f>
        <v/>
      </c>
      <c r="O837" s="1" t="str" cm="1">
        <f t="array" ref="O837">IF(OR($K837="",$I837="",$J837=""),"",_xlfn.LET(_xlpm.srcCat,_xlfn.SWITCH($I837,"Computer",_xlfn.XLOOKUP($K837&amp;"",COMPUTER!$B$3:$B$1009&amp;"",COMPUTER!$H$3:$H$1009,""),"Display",_xlfn.XLOOKUP($K837&amp;"",DISPLAY!$B$3:$B$1000&amp;"",DISPLAY!$H$3:$H$1000,""),"Network Device",_xlfn.XLOOKUP($K837&amp;"",'NETWORK-DEVICES'!$B$3:$B$987&amp;"",'NETWORK-DEVICES'!$H$3:$H$987,""),"Peripheral",_xlfn.XLOOKUP($K837&amp;"",PERIPHERAL!$B$3:$B$954&amp;"",PERIPHERAL!$H$3:$H$954,""),"Utilities",_xlfn.XLOOKUP($K837&amp;"",UTILITIES!$B$3:$B$953&amp;"",UTILITIES!$G$3:$G$953,""),"IOT",_xlfn.XLOOKUP($K837&amp;"",IOT!$B$3:$B$1012&amp;"",IOT!$H$3:$H$1012,""),"Server",_xlfn.XLOOKUP($K837&amp;"",SERVER!$B$3:$B$1009&amp;"",SERVER!$H$3:$H$1009,""),""),IF(TRIM(_xlpm.srcCat)&lt;&gt;TRIM($J837),"",_xlfn.SWITCH($I837,"Computer",_xlfn.XLOOKUP($K837&amp;"",COMPUTER!$B$3:$B$1009&amp;"",COMPUTER!$E$3:$E$1009,""),"Display",_xlfn.XLOOKUP($K837&amp;"",DISPLAY!$B$3:$B$1000&amp;"",DISPLAY!$E$3:$E$1000,""),"Network Device",_xlfn.XLOOKUP($K837&amp;"",'NETWORK-DEVICES'!$B$3:$B$987&amp;"",'NETWORK-DEVICES'!$E$3:$E$987,""),"Peripheral",_xlfn.XLOOKUP($K837&amp;"",PERIPHERAL!$B$3:$B$954&amp;"",PERIPHERAL!$E$3:$E$954,""),"Utilities",_xlfn.XLOOKUP($K837&amp;"",UTILITIES!$B$3:$B$953&amp;"",UTILITIES!$E$3:$E$953,""),"IOT",_xlfn.XLOOKUP($K837&amp;"",IOT!$B$3:$B$1012&amp;"",IOT!$E$3:$E$1012,""),"Server",_xlfn.XLOOKUP($K837&amp;"",SERVER!$B$3:$B$1009&amp;"",SERVER!$E$3:$E$1009,""),""))))</f>
        <v/>
      </c>
      <c r="Q837" s="1" t="str" cm="1">
        <f t="array" ref="Q837">IF(OR($K837="",$I837="",$J837=""),"",_xlfn.LET(_xlpm.srcCat,_xlfn.SWITCH($I837,"Computer",_xlfn.XLOOKUP($K837&amp;"",COMPUTER!$B$3:$B$1009&amp;"",COMPUTER!$H$3:$H$1009,""),"Display",_xlfn.XLOOKUP($K837&amp;"",DISPLAY!$B$3:$B$1000&amp;"",DISPLAY!$H$3:$H$1000,""),"Network Device",_xlfn.XLOOKUP($K837&amp;"",'NETWORK-DEVICES'!$B$3:$B$987&amp;"",'NETWORK-DEVICES'!$H$3:$H$987,""),"Peripheral",_xlfn.XLOOKUP($K837&amp;"",PERIPHERAL!$B$3:$B$954&amp;"",PERIPHERAL!$H$3:$H$954,""),"Utilities",_xlfn.XLOOKUP($K837&amp;"",UTILITIES!$B$3:$B$953&amp;"",UTILITIES!$G$3:$G$953,""),"IOT",_xlfn.XLOOKUP($K837&amp;"",IOT!$B$3:$B$1012&amp;"",IOT!$H$3:$H$1012,""),"Server",_xlfn.XLOOKUP($K837&amp;"",SERVER!$B$3:$B$1009&amp;"",SERVER!$H$3:$H$1009,""),""),IF(TRIM(_xlpm.srcCat)&lt;&gt;TRIM($J837),"",_xlfn.SWITCH($I837,"Computer",_xlfn.XLOOKUP($K837&amp;"",COMPUTER!$B$3:$B$1009&amp;"",COMPUTER!$AM$3:$AM$1009,""),"Display",_xlfn.XLOOKUP($K837&amp;"",DISPLAY!$B$3:$B$1000&amp;"",DISPLAY!$V$3:$V$1000,""),"Network Device",_xlfn.XLOOKUP($K837&amp;"",'NETWORK-DEVICES'!$B$3:$B$987&amp;"",'NETWORK-DEVICES'!$AF$3:$AF$987,""),"Peripheral",_xlfn.XLOOKUP($K837&amp;"",PERIPHERAL!$B$3:$B$954&amp;"",PERIPHERAL!$Y$3:$Y$954,""),"Utilities",_xlfn.XLOOKUP($K837&amp;"",UTILITIES!$B$3:$B$953&amp;"",UTILITIES!$O$3:$O$953,""),"IOT",_xlfn.XLOOKUP($K837&amp;"",IOT!$B$3:$B$1012&amp;"",IOT!$AB$3:$AB$1012,""),"Server",_xlfn.XLOOKUP($K837&amp;"",SERVER!$B$3:$B$1009&amp;"",SERVER!$AB$3:$AB$1009,""),""))))</f>
        <v/>
      </c>
      <c r="R837" s="43" t="str">
        <f>IF(tbl_handover[[#This Row],[Asset Code]]="","",COUNTIF(tbl_handover[Asset Code],tbl_handover[[#This Row],[Asset Code]]))</f>
        <v/>
      </c>
    </row>
    <row r="838" spans="1:18" x14ac:dyDescent="0.25">
      <c r="A838" s="43" t="str">
        <f>IF(B838&lt;&gt;"",SUBTOTAL(3,$B$1:B837),"")</f>
        <v/>
      </c>
      <c r="C838" s="74"/>
      <c r="D838" s="74"/>
      <c r="G838" s="1"/>
      <c r="K838" s="42"/>
      <c r="L838" t="str" cm="1">
        <f t="array" ref="L838">IF($K838="","",_xlfn.SWITCH($I838,"Computer",_xlfn.XLOOKUP($K838&amp;"",COMPUTER!$B$3:$B$1009&amp;"",COMPUTER!$I$3:$I$1009,""),"Display",_xlfn.XLOOKUP($K838&amp;"",DISPLAY!$B$3:$B$1000&amp;"",DISPLAY!$J$3:$J$1000,""),"Network Device",_xlfn.XLOOKUP($K838&amp;"",'NETWORK-DEVICES'!$B$3:$B$987&amp;"",'NETWORK-DEVICES'!$I$3:$I$987,""),"Peripheral",_xlfn.XLOOKUP($K838&amp;"",PERIPHERAL!$B$3:$B$954&amp;"",PERIPHERAL!$I$3:$I$954,""),"Utilities",_xlfn.XLOOKUP($K838&amp;"",UTILITIES!$B$3:$B$953&amp;"",UTILITIES!$H$3:$H$953,""),"IOT",_xlfn.XLOOKUP($K838&amp;"",IOT!$B$3:$B$1012&amp;"",IOT!$I$3:$I$1012,""),"SERVER",_xlfn.XLOOKUP($K838&amp;"",SERVER!$B$3:$B$1009&amp;"",SERVER!$I$3:$I$1009,""),""))</f>
        <v/>
      </c>
      <c r="M838" t="str" cm="1">
        <f t="array" ref="M838">IF($K838="","",_xlfn.SWITCH($I838,"Computer",_xlfn.XLOOKUP($K838&amp;"",COMPUTER!$B$3:$B$1009&amp;"",COMPUTER!$J$3:$J$1009,""),"Display",_xlfn.XLOOKUP($K838&amp;"",DISPLAY!$B$3:$B$1000&amp;"",DISPLAY!$K$3:$K$1000,""),"Network Device",_xlfn.XLOOKUP($K838&amp;"",'NETWORK-DEVICES'!$B$3:$B$987&amp;"",'NETWORK-DEVICES'!$I$3:$I$987,""),"Peripheral",_xlfn.XLOOKUP($K838&amp;"",PERIPHERAL!$B$3:$B$954&amp;"",PERIPHERAL!$J$3:$J$954,""),"Utilities",_xlfn.XLOOKUP($K838&amp;"",UTILITIES!$B$3:$B$953&amp;"",UTILITIES!$I$3:$I$953,""),"IOT",_xlfn.XLOOKUP($K838&amp;"",IOT!$B$3:$B$1012&amp;"",IOT!$J$3:$J$1012,""),"Server",_xlfn.XLOOKUP($K838&amp;"",SERVER!$B$3:$B$1009&amp;"",SERVER!$J$3:$J$1009,""),""))</f>
        <v/>
      </c>
      <c r="N838" s="1" t="str" cm="1">
        <f t="array" ref="N838">IF(OR($K838="",$I838="",$J838=""),"",_xlfn.LET(_xlpm.srcCat,_xlfn.SWITCH($I838,"Computer",_xlfn.XLOOKUP($K838&amp;"",COMPUTER!$B$3:$B$1009&amp;"",COMPUTER!$H$3:$H$1009,""),"Display",_xlfn.XLOOKUP($K838&amp;"",DISPLAY!$B$3:$B$1000&amp;"",DISPLAY!$H$3:$H$1000,""),"Network Device",_xlfn.XLOOKUP($K838&amp;"",'NETWORK-DEVICES'!$B$3:$B$987&amp;"",'NETWORK-DEVICES'!$H$3:$H$987,""),"Peripheral",_xlfn.XLOOKUP($K838&amp;"",PERIPHERAL!$B$3:$B$954&amp;"",PERIPHERAL!$H$3:$H$954,""),"Utilities",_xlfn.XLOOKUP($K838&amp;"",UTILITIES!$B$3:$B$953&amp;"",UTILITIES!$G$3:$G$953,""),"IOT",_xlfn.XLOOKUP($K838&amp;"",IOT!$B$3:$B$1012&amp;"",IOT!$H$3:$H$1012,""),"Server",_xlfn.XLOOKUP($K838&amp;"",SERVER!$B$3:$B$1009&amp;"",SERVER!$H$3:$H$1009,""),""),IF(TRIM(_xlpm.srcCat)&lt;&gt;TRIM($J838),"",_xlfn.SWITCH($I838,"Computer",_xlfn.XLOOKUP($K838&amp;"",COMPUTER!$B$3:$B$1009&amp;"",COMPUTER!$K$3:$K$1009,""),"Display",_xlfn.XLOOKUP($K838&amp;"",DISPLAY!$B$3:$B$1000&amp;"",DISPLAY!$L$3:$L$1000,""),"Network Device",_xlfn.XLOOKUP($K838&amp;"",'NETWORK-DEVICES'!$B$3:$B$987&amp;"",'NETWORK-DEVICES'!$K$3:$K$987,""),"Peripheral",_xlfn.XLOOKUP($K838&amp;"",PERIPHERAL!$B$3:$B$954&amp;"",PERIPHERAL!$K$3:$K$954,""),"Utilities",_xlfn.XLOOKUP($K838&amp;"",UTILITIES!$B$3:$B$953&amp;"",UTILITIES!$J$3:$J$953,""),"IOT",_xlfn.XLOOKUP($K838&amp;"",IOT!$B$3:$B$1012&amp;"",IOT!$K$4:$K$1012,""),"Server",_xlfn.XLOOKUP($K838&amp;"",SERVER!$B$3:$B$1009&amp;"",SERVER!$K$3:$K$1009,""),""))))</f>
        <v/>
      </c>
      <c r="O838" s="1" t="str" cm="1">
        <f t="array" ref="O838">IF(OR($K838="",$I838="",$J838=""),"",_xlfn.LET(_xlpm.srcCat,_xlfn.SWITCH($I838,"Computer",_xlfn.XLOOKUP($K838&amp;"",COMPUTER!$B$3:$B$1009&amp;"",COMPUTER!$H$3:$H$1009,""),"Display",_xlfn.XLOOKUP($K838&amp;"",DISPLAY!$B$3:$B$1000&amp;"",DISPLAY!$H$3:$H$1000,""),"Network Device",_xlfn.XLOOKUP($K838&amp;"",'NETWORK-DEVICES'!$B$3:$B$987&amp;"",'NETWORK-DEVICES'!$H$3:$H$987,""),"Peripheral",_xlfn.XLOOKUP($K838&amp;"",PERIPHERAL!$B$3:$B$954&amp;"",PERIPHERAL!$H$3:$H$954,""),"Utilities",_xlfn.XLOOKUP($K838&amp;"",UTILITIES!$B$3:$B$953&amp;"",UTILITIES!$G$3:$G$953,""),"IOT",_xlfn.XLOOKUP($K838&amp;"",IOT!$B$3:$B$1012&amp;"",IOT!$H$3:$H$1012,""),"Server",_xlfn.XLOOKUP($K838&amp;"",SERVER!$B$3:$B$1009&amp;"",SERVER!$H$3:$H$1009,""),""),IF(TRIM(_xlpm.srcCat)&lt;&gt;TRIM($J838),"",_xlfn.SWITCH($I838,"Computer",_xlfn.XLOOKUP($K838&amp;"",COMPUTER!$B$3:$B$1009&amp;"",COMPUTER!$E$3:$E$1009,""),"Display",_xlfn.XLOOKUP($K838&amp;"",DISPLAY!$B$3:$B$1000&amp;"",DISPLAY!$E$3:$E$1000,""),"Network Device",_xlfn.XLOOKUP($K838&amp;"",'NETWORK-DEVICES'!$B$3:$B$987&amp;"",'NETWORK-DEVICES'!$E$3:$E$987,""),"Peripheral",_xlfn.XLOOKUP($K838&amp;"",PERIPHERAL!$B$3:$B$954&amp;"",PERIPHERAL!$E$3:$E$954,""),"Utilities",_xlfn.XLOOKUP($K838&amp;"",UTILITIES!$B$3:$B$953&amp;"",UTILITIES!$E$3:$E$953,""),"IOT",_xlfn.XLOOKUP($K838&amp;"",IOT!$B$3:$B$1012&amp;"",IOT!$E$3:$E$1012,""),"Server",_xlfn.XLOOKUP($K838&amp;"",SERVER!$B$3:$B$1009&amp;"",SERVER!$E$3:$E$1009,""),""))))</f>
        <v/>
      </c>
      <c r="Q838" s="1" t="str" cm="1">
        <f t="array" ref="Q838">IF(OR($K838="",$I838="",$J838=""),"",_xlfn.LET(_xlpm.srcCat,_xlfn.SWITCH($I838,"Computer",_xlfn.XLOOKUP($K838&amp;"",COMPUTER!$B$3:$B$1009&amp;"",COMPUTER!$H$3:$H$1009,""),"Display",_xlfn.XLOOKUP($K838&amp;"",DISPLAY!$B$3:$B$1000&amp;"",DISPLAY!$H$3:$H$1000,""),"Network Device",_xlfn.XLOOKUP($K838&amp;"",'NETWORK-DEVICES'!$B$3:$B$987&amp;"",'NETWORK-DEVICES'!$H$3:$H$987,""),"Peripheral",_xlfn.XLOOKUP($K838&amp;"",PERIPHERAL!$B$3:$B$954&amp;"",PERIPHERAL!$H$3:$H$954,""),"Utilities",_xlfn.XLOOKUP($K838&amp;"",UTILITIES!$B$3:$B$953&amp;"",UTILITIES!$G$3:$G$953,""),"IOT",_xlfn.XLOOKUP($K838&amp;"",IOT!$B$3:$B$1012&amp;"",IOT!$H$3:$H$1012,""),"Server",_xlfn.XLOOKUP($K838&amp;"",SERVER!$B$3:$B$1009&amp;"",SERVER!$H$3:$H$1009,""),""),IF(TRIM(_xlpm.srcCat)&lt;&gt;TRIM($J838),"",_xlfn.SWITCH($I838,"Computer",_xlfn.XLOOKUP($K838&amp;"",COMPUTER!$B$3:$B$1009&amp;"",COMPUTER!$AM$3:$AM$1009,""),"Display",_xlfn.XLOOKUP($K838&amp;"",DISPLAY!$B$3:$B$1000&amp;"",DISPLAY!$V$3:$V$1000,""),"Network Device",_xlfn.XLOOKUP($K838&amp;"",'NETWORK-DEVICES'!$B$3:$B$987&amp;"",'NETWORK-DEVICES'!$AF$3:$AF$987,""),"Peripheral",_xlfn.XLOOKUP($K838&amp;"",PERIPHERAL!$B$3:$B$954&amp;"",PERIPHERAL!$Y$3:$Y$954,""),"Utilities",_xlfn.XLOOKUP($K838&amp;"",UTILITIES!$B$3:$B$953&amp;"",UTILITIES!$O$3:$O$953,""),"IOT",_xlfn.XLOOKUP($K838&amp;"",IOT!$B$3:$B$1012&amp;"",IOT!$AB$3:$AB$1012,""),"Server",_xlfn.XLOOKUP($K838&amp;"",SERVER!$B$3:$B$1009&amp;"",SERVER!$AB$3:$AB$1009,""),""))))</f>
        <v/>
      </c>
      <c r="R838" s="43" t="str">
        <f>IF(tbl_handover[[#This Row],[Asset Code]]="","",COUNTIF(tbl_handover[Asset Code],tbl_handover[[#This Row],[Asset Code]]))</f>
        <v/>
      </c>
    </row>
    <row r="839" spans="1:18" x14ac:dyDescent="0.25">
      <c r="A839" s="43" t="str">
        <f>IF(B839&lt;&gt;"",SUBTOTAL(3,$B$1:B838),"")</f>
        <v/>
      </c>
      <c r="C839" s="74"/>
      <c r="D839" s="74"/>
      <c r="G839" s="1"/>
      <c r="K839" s="42"/>
      <c r="L839" t="str" cm="1">
        <f t="array" ref="L839">IF($K839="","",_xlfn.SWITCH($I839,"Computer",_xlfn.XLOOKUP($K839&amp;"",COMPUTER!$B$3:$B$1009&amp;"",COMPUTER!$I$3:$I$1009,""),"Display",_xlfn.XLOOKUP($K839&amp;"",DISPLAY!$B$3:$B$1000&amp;"",DISPLAY!$J$3:$J$1000,""),"Network Device",_xlfn.XLOOKUP($K839&amp;"",'NETWORK-DEVICES'!$B$3:$B$987&amp;"",'NETWORK-DEVICES'!$I$3:$I$987,""),"Peripheral",_xlfn.XLOOKUP($K839&amp;"",PERIPHERAL!$B$3:$B$954&amp;"",PERIPHERAL!$I$3:$I$954,""),"Utilities",_xlfn.XLOOKUP($K839&amp;"",UTILITIES!$B$3:$B$953&amp;"",UTILITIES!$H$3:$H$953,""),"IOT",_xlfn.XLOOKUP($K839&amp;"",IOT!$B$3:$B$1012&amp;"",IOT!$I$3:$I$1012,""),"SERVER",_xlfn.XLOOKUP($K839&amp;"",SERVER!$B$3:$B$1009&amp;"",SERVER!$I$3:$I$1009,""),""))</f>
        <v/>
      </c>
      <c r="M839" t="str" cm="1">
        <f t="array" ref="M839">IF($K839="","",_xlfn.SWITCH($I839,"Computer",_xlfn.XLOOKUP($K839&amp;"",COMPUTER!$B$3:$B$1009&amp;"",COMPUTER!$J$3:$J$1009,""),"Display",_xlfn.XLOOKUP($K839&amp;"",DISPLAY!$B$3:$B$1000&amp;"",DISPLAY!$K$3:$K$1000,""),"Network Device",_xlfn.XLOOKUP($K839&amp;"",'NETWORK-DEVICES'!$B$3:$B$987&amp;"",'NETWORK-DEVICES'!$I$3:$I$987,""),"Peripheral",_xlfn.XLOOKUP($K839&amp;"",PERIPHERAL!$B$3:$B$954&amp;"",PERIPHERAL!$J$3:$J$954,""),"Utilities",_xlfn.XLOOKUP($K839&amp;"",UTILITIES!$B$3:$B$953&amp;"",UTILITIES!$I$3:$I$953,""),"IOT",_xlfn.XLOOKUP($K839&amp;"",IOT!$B$3:$B$1012&amp;"",IOT!$J$3:$J$1012,""),"Server",_xlfn.XLOOKUP($K839&amp;"",SERVER!$B$3:$B$1009&amp;"",SERVER!$J$3:$J$1009,""),""))</f>
        <v/>
      </c>
      <c r="N839" s="1" t="str" cm="1">
        <f t="array" ref="N839">IF(OR($K839="",$I839="",$J839=""),"",_xlfn.LET(_xlpm.srcCat,_xlfn.SWITCH($I839,"Computer",_xlfn.XLOOKUP($K839&amp;"",COMPUTER!$B$3:$B$1009&amp;"",COMPUTER!$H$3:$H$1009,""),"Display",_xlfn.XLOOKUP($K839&amp;"",DISPLAY!$B$3:$B$1000&amp;"",DISPLAY!$H$3:$H$1000,""),"Network Device",_xlfn.XLOOKUP($K839&amp;"",'NETWORK-DEVICES'!$B$3:$B$987&amp;"",'NETWORK-DEVICES'!$H$3:$H$987,""),"Peripheral",_xlfn.XLOOKUP($K839&amp;"",PERIPHERAL!$B$3:$B$954&amp;"",PERIPHERAL!$H$3:$H$954,""),"Utilities",_xlfn.XLOOKUP($K839&amp;"",UTILITIES!$B$3:$B$953&amp;"",UTILITIES!$G$3:$G$953,""),"IOT",_xlfn.XLOOKUP($K839&amp;"",IOT!$B$3:$B$1012&amp;"",IOT!$H$3:$H$1012,""),"Server",_xlfn.XLOOKUP($K839&amp;"",SERVER!$B$3:$B$1009&amp;"",SERVER!$H$3:$H$1009,""),""),IF(TRIM(_xlpm.srcCat)&lt;&gt;TRIM($J839),"",_xlfn.SWITCH($I839,"Computer",_xlfn.XLOOKUP($K839&amp;"",COMPUTER!$B$3:$B$1009&amp;"",COMPUTER!$K$3:$K$1009,""),"Display",_xlfn.XLOOKUP($K839&amp;"",DISPLAY!$B$3:$B$1000&amp;"",DISPLAY!$L$3:$L$1000,""),"Network Device",_xlfn.XLOOKUP($K839&amp;"",'NETWORK-DEVICES'!$B$3:$B$987&amp;"",'NETWORK-DEVICES'!$K$3:$K$987,""),"Peripheral",_xlfn.XLOOKUP($K839&amp;"",PERIPHERAL!$B$3:$B$954&amp;"",PERIPHERAL!$K$3:$K$954,""),"Utilities",_xlfn.XLOOKUP($K839&amp;"",UTILITIES!$B$3:$B$953&amp;"",UTILITIES!$J$3:$J$953,""),"IOT",_xlfn.XLOOKUP($K839&amp;"",IOT!$B$3:$B$1012&amp;"",IOT!$K$4:$K$1012,""),"Server",_xlfn.XLOOKUP($K839&amp;"",SERVER!$B$3:$B$1009&amp;"",SERVER!$K$3:$K$1009,""),""))))</f>
        <v/>
      </c>
      <c r="O839" s="1" t="str" cm="1">
        <f t="array" ref="O839">IF(OR($K839="",$I839="",$J839=""),"",_xlfn.LET(_xlpm.srcCat,_xlfn.SWITCH($I839,"Computer",_xlfn.XLOOKUP($K839&amp;"",COMPUTER!$B$3:$B$1009&amp;"",COMPUTER!$H$3:$H$1009,""),"Display",_xlfn.XLOOKUP($K839&amp;"",DISPLAY!$B$3:$B$1000&amp;"",DISPLAY!$H$3:$H$1000,""),"Network Device",_xlfn.XLOOKUP($K839&amp;"",'NETWORK-DEVICES'!$B$3:$B$987&amp;"",'NETWORK-DEVICES'!$H$3:$H$987,""),"Peripheral",_xlfn.XLOOKUP($K839&amp;"",PERIPHERAL!$B$3:$B$954&amp;"",PERIPHERAL!$H$3:$H$954,""),"Utilities",_xlfn.XLOOKUP($K839&amp;"",UTILITIES!$B$3:$B$953&amp;"",UTILITIES!$G$3:$G$953,""),"IOT",_xlfn.XLOOKUP($K839&amp;"",IOT!$B$3:$B$1012&amp;"",IOT!$H$3:$H$1012,""),"Server",_xlfn.XLOOKUP($K839&amp;"",SERVER!$B$3:$B$1009&amp;"",SERVER!$H$3:$H$1009,""),""),IF(TRIM(_xlpm.srcCat)&lt;&gt;TRIM($J839),"",_xlfn.SWITCH($I839,"Computer",_xlfn.XLOOKUP($K839&amp;"",COMPUTER!$B$3:$B$1009&amp;"",COMPUTER!$E$3:$E$1009,""),"Display",_xlfn.XLOOKUP($K839&amp;"",DISPLAY!$B$3:$B$1000&amp;"",DISPLAY!$E$3:$E$1000,""),"Network Device",_xlfn.XLOOKUP($K839&amp;"",'NETWORK-DEVICES'!$B$3:$B$987&amp;"",'NETWORK-DEVICES'!$E$3:$E$987,""),"Peripheral",_xlfn.XLOOKUP($K839&amp;"",PERIPHERAL!$B$3:$B$954&amp;"",PERIPHERAL!$E$3:$E$954,""),"Utilities",_xlfn.XLOOKUP($K839&amp;"",UTILITIES!$B$3:$B$953&amp;"",UTILITIES!$E$3:$E$953,""),"IOT",_xlfn.XLOOKUP($K839&amp;"",IOT!$B$3:$B$1012&amp;"",IOT!$E$3:$E$1012,""),"Server",_xlfn.XLOOKUP($K839&amp;"",SERVER!$B$3:$B$1009&amp;"",SERVER!$E$3:$E$1009,""),""))))</f>
        <v/>
      </c>
      <c r="Q839" s="1" t="str" cm="1">
        <f t="array" ref="Q839">IF(OR($K839="",$I839="",$J839=""),"",_xlfn.LET(_xlpm.srcCat,_xlfn.SWITCH($I839,"Computer",_xlfn.XLOOKUP($K839&amp;"",COMPUTER!$B$3:$B$1009&amp;"",COMPUTER!$H$3:$H$1009,""),"Display",_xlfn.XLOOKUP($K839&amp;"",DISPLAY!$B$3:$B$1000&amp;"",DISPLAY!$H$3:$H$1000,""),"Network Device",_xlfn.XLOOKUP($K839&amp;"",'NETWORK-DEVICES'!$B$3:$B$987&amp;"",'NETWORK-DEVICES'!$H$3:$H$987,""),"Peripheral",_xlfn.XLOOKUP($K839&amp;"",PERIPHERAL!$B$3:$B$954&amp;"",PERIPHERAL!$H$3:$H$954,""),"Utilities",_xlfn.XLOOKUP($K839&amp;"",UTILITIES!$B$3:$B$953&amp;"",UTILITIES!$G$3:$G$953,""),"IOT",_xlfn.XLOOKUP($K839&amp;"",IOT!$B$3:$B$1012&amp;"",IOT!$H$3:$H$1012,""),"Server",_xlfn.XLOOKUP($K839&amp;"",SERVER!$B$3:$B$1009&amp;"",SERVER!$H$3:$H$1009,""),""),IF(TRIM(_xlpm.srcCat)&lt;&gt;TRIM($J839),"",_xlfn.SWITCH($I839,"Computer",_xlfn.XLOOKUP($K839&amp;"",COMPUTER!$B$3:$B$1009&amp;"",COMPUTER!$AM$3:$AM$1009,""),"Display",_xlfn.XLOOKUP($K839&amp;"",DISPLAY!$B$3:$B$1000&amp;"",DISPLAY!$V$3:$V$1000,""),"Network Device",_xlfn.XLOOKUP($K839&amp;"",'NETWORK-DEVICES'!$B$3:$B$987&amp;"",'NETWORK-DEVICES'!$AF$3:$AF$987,""),"Peripheral",_xlfn.XLOOKUP($K839&amp;"",PERIPHERAL!$B$3:$B$954&amp;"",PERIPHERAL!$Y$3:$Y$954,""),"Utilities",_xlfn.XLOOKUP($K839&amp;"",UTILITIES!$B$3:$B$953&amp;"",UTILITIES!$O$3:$O$953,""),"IOT",_xlfn.XLOOKUP($K839&amp;"",IOT!$B$3:$B$1012&amp;"",IOT!$AB$3:$AB$1012,""),"Server",_xlfn.XLOOKUP($K839&amp;"",SERVER!$B$3:$B$1009&amp;"",SERVER!$AB$3:$AB$1009,""),""))))</f>
        <v/>
      </c>
      <c r="R839" s="43" t="str">
        <f>IF(tbl_handover[[#This Row],[Asset Code]]="","",COUNTIF(tbl_handover[Asset Code],tbl_handover[[#This Row],[Asset Code]]))</f>
        <v/>
      </c>
    </row>
    <row r="840" spans="1:18" x14ac:dyDescent="0.25">
      <c r="A840" s="43" t="str">
        <f>IF(B840&lt;&gt;"",SUBTOTAL(3,$B$1:B839),"")</f>
        <v/>
      </c>
      <c r="C840" s="74"/>
      <c r="D840" s="74"/>
      <c r="G840" s="1"/>
      <c r="K840" s="42"/>
      <c r="L840" t="str" cm="1">
        <f t="array" ref="L840">IF($K840="","",_xlfn.SWITCH($I840,"Computer",_xlfn.XLOOKUP($K840&amp;"",COMPUTER!$B$3:$B$1009&amp;"",COMPUTER!$I$3:$I$1009,""),"Display",_xlfn.XLOOKUP($K840&amp;"",DISPLAY!$B$3:$B$1000&amp;"",DISPLAY!$J$3:$J$1000,""),"Network Device",_xlfn.XLOOKUP($K840&amp;"",'NETWORK-DEVICES'!$B$3:$B$987&amp;"",'NETWORK-DEVICES'!$I$3:$I$987,""),"Peripheral",_xlfn.XLOOKUP($K840&amp;"",PERIPHERAL!$B$3:$B$954&amp;"",PERIPHERAL!$I$3:$I$954,""),"Utilities",_xlfn.XLOOKUP($K840&amp;"",UTILITIES!$B$3:$B$953&amp;"",UTILITIES!$H$3:$H$953,""),"IOT",_xlfn.XLOOKUP($K840&amp;"",IOT!$B$3:$B$1012&amp;"",IOT!$I$3:$I$1012,""),"SERVER",_xlfn.XLOOKUP($K840&amp;"",SERVER!$B$3:$B$1009&amp;"",SERVER!$I$3:$I$1009,""),""))</f>
        <v/>
      </c>
      <c r="M840" t="str" cm="1">
        <f t="array" ref="M840">IF($K840="","",_xlfn.SWITCH($I840,"Computer",_xlfn.XLOOKUP($K840&amp;"",COMPUTER!$B$3:$B$1009&amp;"",COMPUTER!$J$3:$J$1009,""),"Display",_xlfn.XLOOKUP($K840&amp;"",DISPLAY!$B$3:$B$1000&amp;"",DISPLAY!$K$3:$K$1000,""),"Network Device",_xlfn.XLOOKUP($K840&amp;"",'NETWORK-DEVICES'!$B$3:$B$987&amp;"",'NETWORK-DEVICES'!$I$3:$I$987,""),"Peripheral",_xlfn.XLOOKUP($K840&amp;"",PERIPHERAL!$B$3:$B$954&amp;"",PERIPHERAL!$J$3:$J$954,""),"Utilities",_xlfn.XLOOKUP($K840&amp;"",UTILITIES!$B$3:$B$953&amp;"",UTILITIES!$I$3:$I$953,""),"IOT",_xlfn.XLOOKUP($K840&amp;"",IOT!$B$3:$B$1012&amp;"",IOT!$J$3:$J$1012,""),"Server",_xlfn.XLOOKUP($K840&amp;"",SERVER!$B$3:$B$1009&amp;"",SERVER!$J$3:$J$1009,""),""))</f>
        <v/>
      </c>
      <c r="N840" s="1" t="str" cm="1">
        <f t="array" ref="N840">IF(OR($K840="",$I840="",$J840=""),"",_xlfn.LET(_xlpm.srcCat,_xlfn.SWITCH($I840,"Computer",_xlfn.XLOOKUP($K840&amp;"",COMPUTER!$B$3:$B$1009&amp;"",COMPUTER!$H$3:$H$1009,""),"Display",_xlfn.XLOOKUP($K840&amp;"",DISPLAY!$B$3:$B$1000&amp;"",DISPLAY!$H$3:$H$1000,""),"Network Device",_xlfn.XLOOKUP($K840&amp;"",'NETWORK-DEVICES'!$B$3:$B$987&amp;"",'NETWORK-DEVICES'!$H$3:$H$987,""),"Peripheral",_xlfn.XLOOKUP($K840&amp;"",PERIPHERAL!$B$3:$B$954&amp;"",PERIPHERAL!$H$3:$H$954,""),"Utilities",_xlfn.XLOOKUP($K840&amp;"",UTILITIES!$B$3:$B$953&amp;"",UTILITIES!$G$3:$G$953,""),"IOT",_xlfn.XLOOKUP($K840&amp;"",IOT!$B$3:$B$1012&amp;"",IOT!$H$3:$H$1012,""),"Server",_xlfn.XLOOKUP($K840&amp;"",SERVER!$B$3:$B$1009&amp;"",SERVER!$H$3:$H$1009,""),""),IF(TRIM(_xlpm.srcCat)&lt;&gt;TRIM($J840),"",_xlfn.SWITCH($I840,"Computer",_xlfn.XLOOKUP($K840&amp;"",COMPUTER!$B$3:$B$1009&amp;"",COMPUTER!$K$3:$K$1009,""),"Display",_xlfn.XLOOKUP($K840&amp;"",DISPLAY!$B$3:$B$1000&amp;"",DISPLAY!$L$3:$L$1000,""),"Network Device",_xlfn.XLOOKUP($K840&amp;"",'NETWORK-DEVICES'!$B$3:$B$987&amp;"",'NETWORK-DEVICES'!$K$3:$K$987,""),"Peripheral",_xlfn.XLOOKUP($K840&amp;"",PERIPHERAL!$B$3:$B$954&amp;"",PERIPHERAL!$K$3:$K$954,""),"Utilities",_xlfn.XLOOKUP($K840&amp;"",UTILITIES!$B$3:$B$953&amp;"",UTILITIES!$J$3:$J$953,""),"IOT",_xlfn.XLOOKUP($K840&amp;"",IOT!$B$3:$B$1012&amp;"",IOT!$K$4:$K$1012,""),"Server",_xlfn.XLOOKUP($K840&amp;"",SERVER!$B$3:$B$1009&amp;"",SERVER!$K$3:$K$1009,""),""))))</f>
        <v/>
      </c>
      <c r="O840" s="1" t="str" cm="1">
        <f t="array" ref="O840">IF(OR($K840="",$I840="",$J840=""),"",_xlfn.LET(_xlpm.srcCat,_xlfn.SWITCH($I840,"Computer",_xlfn.XLOOKUP($K840&amp;"",COMPUTER!$B$3:$B$1009&amp;"",COMPUTER!$H$3:$H$1009,""),"Display",_xlfn.XLOOKUP($K840&amp;"",DISPLAY!$B$3:$B$1000&amp;"",DISPLAY!$H$3:$H$1000,""),"Network Device",_xlfn.XLOOKUP($K840&amp;"",'NETWORK-DEVICES'!$B$3:$B$987&amp;"",'NETWORK-DEVICES'!$H$3:$H$987,""),"Peripheral",_xlfn.XLOOKUP($K840&amp;"",PERIPHERAL!$B$3:$B$954&amp;"",PERIPHERAL!$H$3:$H$954,""),"Utilities",_xlfn.XLOOKUP($K840&amp;"",UTILITIES!$B$3:$B$953&amp;"",UTILITIES!$G$3:$G$953,""),"IOT",_xlfn.XLOOKUP($K840&amp;"",IOT!$B$3:$B$1012&amp;"",IOT!$H$3:$H$1012,""),"Server",_xlfn.XLOOKUP($K840&amp;"",SERVER!$B$3:$B$1009&amp;"",SERVER!$H$3:$H$1009,""),""),IF(TRIM(_xlpm.srcCat)&lt;&gt;TRIM($J840),"",_xlfn.SWITCH($I840,"Computer",_xlfn.XLOOKUP($K840&amp;"",COMPUTER!$B$3:$B$1009&amp;"",COMPUTER!$E$3:$E$1009,""),"Display",_xlfn.XLOOKUP($K840&amp;"",DISPLAY!$B$3:$B$1000&amp;"",DISPLAY!$E$3:$E$1000,""),"Network Device",_xlfn.XLOOKUP($K840&amp;"",'NETWORK-DEVICES'!$B$3:$B$987&amp;"",'NETWORK-DEVICES'!$E$3:$E$987,""),"Peripheral",_xlfn.XLOOKUP($K840&amp;"",PERIPHERAL!$B$3:$B$954&amp;"",PERIPHERAL!$E$3:$E$954,""),"Utilities",_xlfn.XLOOKUP($K840&amp;"",UTILITIES!$B$3:$B$953&amp;"",UTILITIES!$E$3:$E$953,""),"IOT",_xlfn.XLOOKUP($K840&amp;"",IOT!$B$3:$B$1012&amp;"",IOT!$E$3:$E$1012,""),"Server",_xlfn.XLOOKUP($K840&amp;"",SERVER!$B$3:$B$1009&amp;"",SERVER!$E$3:$E$1009,""),""))))</f>
        <v/>
      </c>
      <c r="Q840" s="1" t="str" cm="1">
        <f t="array" ref="Q840">IF(OR($K840="",$I840="",$J840=""),"",_xlfn.LET(_xlpm.srcCat,_xlfn.SWITCH($I840,"Computer",_xlfn.XLOOKUP($K840&amp;"",COMPUTER!$B$3:$B$1009&amp;"",COMPUTER!$H$3:$H$1009,""),"Display",_xlfn.XLOOKUP($K840&amp;"",DISPLAY!$B$3:$B$1000&amp;"",DISPLAY!$H$3:$H$1000,""),"Network Device",_xlfn.XLOOKUP($K840&amp;"",'NETWORK-DEVICES'!$B$3:$B$987&amp;"",'NETWORK-DEVICES'!$H$3:$H$987,""),"Peripheral",_xlfn.XLOOKUP($K840&amp;"",PERIPHERAL!$B$3:$B$954&amp;"",PERIPHERAL!$H$3:$H$954,""),"Utilities",_xlfn.XLOOKUP($K840&amp;"",UTILITIES!$B$3:$B$953&amp;"",UTILITIES!$G$3:$G$953,""),"IOT",_xlfn.XLOOKUP($K840&amp;"",IOT!$B$3:$B$1012&amp;"",IOT!$H$3:$H$1012,""),"Server",_xlfn.XLOOKUP($K840&amp;"",SERVER!$B$3:$B$1009&amp;"",SERVER!$H$3:$H$1009,""),""),IF(TRIM(_xlpm.srcCat)&lt;&gt;TRIM($J840),"",_xlfn.SWITCH($I840,"Computer",_xlfn.XLOOKUP($K840&amp;"",COMPUTER!$B$3:$B$1009&amp;"",COMPUTER!$AM$3:$AM$1009,""),"Display",_xlfn.XLOOKUP($K840&amp;"",DISPLAY!$B$3:$B$1000&amp;"",DISPLAY!$V$3:$V$1000,""),"Network Device",_xlfn.XLOOKUP($K840&amp;"",'NETWORK-DEVICES'!$B$3:$B$987&amp;"",'NETWORK-DEVICES'!$AF$3:$AF$987,""),"Peripheral",_xlfn.XLOOKUP($K840&amp;"",PERIPHERAL!$B$3:$B$954&amp;"",PERIPHERAL!$Y$3:$Y$954,""),"Utilities",_xlfn.XLOOKUP($K840&amp;"",UTILITIES!$B$3:$B$953&amp;"",UTILITIES!$O$3:$O$953,""),"IOT",_xlfn.XLOOKUP($K840&amp;"",IOT!$B$3:$B$1012&amp;"",IOT!$AB$3:$AB$1012,""),"Server",_xlfn.XLOOKUP($K840&amp;"",SERVER!$B$3:$B$1009&amp;"",SERVER!$AB$3:$AB$1009,""),""))))</f>
        <v/>
      </c>
      <c r="R840" s="43" t="str">
        <f>IF(tbl_handover[[#This Row],[Asset Code]]="","",COUNTIF(tbl_handover[Asset Code],tbl_handover[[#This Row],[Asset Code]]))</f>
        <v/>
      </c>
    </row>
    <row r="841" spans="1:18" x14ac:dyDescent="0.25">
      <c r="A841" s="43" t="str">
        <f>IF(B841&lt;&gt;"",SUBTOTAL(3,$B$1:B840),"")</f>
        <v/>
      </c>
      <c r="C841" s="74"/>
      <c r="D841" s="74"/>
      <c r="G841" s="1"/>
      <c r="K841" s="42"/>
      <c r="L841" t="str" cm="1">
        <f t="array" ref="L841">IF($K841="","",_xlfn.SWITCH($I841,"Computer",_xlfn.XLOOKUP($K841&amp;"",COMPUTER!$B$3:$B$1009&amp;"",COMPUTER!$I$3:$I$1009,""),"Display",_xlfn.XLOOKUP($K841&amp;"",DISPLAY!$B$3:$B$1000&amp;"",DISPLAY!$J$3:$J$1000,""),"Network Device",_xlfn.XLOOKUP($K841&amp;"",'NETWORK-DEVICES'!$B$3:$B$987&amp;"",'NETWORK-DEVICES'!$I$3:$I$987,""),"Peripheral",_xlfn.XLOOKUP($K841&amp;"",PERIPHERAL!$B$3:$B$954&amp;"",PERIPHERAL!$I$3:$I$954,""),"Utilities",_xlfn.XLOOKUP($K841&amp;"",UTILITIES!$B$3:$B$953&amp;"",UTILITIES!$H$3:$H$953,""),"IOT",_xlfn.XLOOKUP($K841&amp;"",IOT!$B$3:$B$1012&amp;"",IOT!$I$3:$I$1012,""),"SERVER",_xlfn.XLOOKUP($K841&amp;"",SERVER!$B$3:$B$1009&amp;"",SERVER!$I$3:$I$1009,""),""))</f>
        <v/>
      </c>
      <c r="M841" t="str" cm="1">
        <f t="array" ref="M841">IF($K841="","",_xlfn.SWITCH($I841,"Computer",_xlfn.XLOOKUP($K841&amp;"",COMPUTER!$B$3:$B$1009&amp;"",COMPUTER!$J$3:$J$1009,""),"Display",_xlfn.XLOOKUP($K841&amp;"",DISPLAY!$B$3:$B$1000&amp;"",DISPLAY!$K$3:$K$1000,""),"Network Device",_xlfn.XLOOKUP($K841&amp;"",'NETWORK-DEVICES'!$B$3:$B$987&amp;"",'NETWORK-DEVICES'!$I$3:$I$987,""),"Peripheral",_xlfn.XLOOKUP($K841&amp;"",PERIPHERAL!$B$3:$B$954&amp;"",PERIPHERAL!$J$3:$J$954,""),"Utilities",_xlfn.XLOOKUP($K841&amp;"",UTILITIES!$B$3:$B$953&amp;"",UTILITIES!$I$3:$I$953,""),"IOT",_xlfn.XLOOKUP($K841&amp;"",IOT!$B$3:$B$1012&amp;"",IOT!$J$3:$J$1012,""),"Server",_xlfn.XLOOKUP($K841&amp;"",SERVER!$B$3:$B$1009&amp;"",SERVER!$J$3:$J$1009,""),""))</f>
        <v/>
      </c>
      <c r="N841" s="1" t="str" cm="1">
        <f t="array" ref="N841">IF(OR($K841="",$I841="",$J841=""),"",_xlfn.LET(_xlpm.srcCat,_xlfn.SWITCH($I841,"Computer",_xlfn.XLOOKUP($K841&amp;"",COMPUTER!$B$3:$B$1009&amp;"",COMPUTER!$H$3:$H$1009,""),"Display",_xlfn.XLOOKUP($K841&amp;"",DISPLAY!$B$3:$B$1000&amp;"",DISPLAY!$H$3:$H$1000,""),"Network Device",_xlfn.XLOOKUP($K841&amp;"",'NETWORK-DEVICES'!$B$3:$B$987&amp;"",'NETWORK-DEVICES'!$H$3:$H$987,""),"Peripheral",_xlfn.XLOOKUP($K841&amp;"",PERIPHERAL!$B$3:$B$954&amp;"",PERIPHERAL!$H$3:$H$954,""),"Utilities",_xlfn.XLOOKUP($K841&amp;"",UTILITIES!$B$3:$B$953&amp;"",UTILITIES!$G$3:$G$953,""),"IOT",_xlfn.XLOOKUP($K841&amp;"",IOT!$B$3:$B$1012&amp;"",IOT!$H$3:$H$1012,""),"Server",_xlfn.XLOOKUP($K841&amp;"",SERVER!$B$3:$B$1009&amp;"",SERVER!$H$3:$H$1009,""),""),IF(TRIM(_xlpm.srcCat)&lt;&gt;TRIM($J841),"",_xlfn.SWITCH($I841,"Computer",_xlfn.XLOOKUP($K841&amp;"",COMPUTER!$B$3:$B$1009&amp;"",COMPUTER!$K$3:$K$1009,""),"Display",_xlfn.XLOOKUP($K841&amp;"",DISPLAY!$B$3:$B$1000&amp;"",DISPLAY!$L$3:$L$1000,""),"Network Device",_xlfn.XLOOKUP($K841&amp;"",'NETWORK-DEVICES'!$B$3:$B$987&amp;"",'NETWORK-DEVICES'!$K$3:$K$987,""),"Peripheral",_xlfn.XLOOKUP($K841&amp;"",PERIPHERAL!$B$3:$B$954&amp;"",PERIPHERAL!$K$3:$K$954,""),"Utilities",_xlfn.XLOOKUP($K841&amp;"",UTILITIES!$B$3:$B$953&amp;"",UTILITIES!$J$3:$J$953,""),"IOT",_xlfn.XLOOKUP($K841&amp;"",IOT!$B$3:$B$1012&amp;"",IOT!$K$4:$K$1012,""),"Server",_xlfn.XLOOKUP($K841&amp;"",SERVER!$B$3:$B$1009&amp;"",SERVER!$K$3:$K$1009,""),""))))</f>
        <v/>
      </c>
      <c r="O841" s="1" t="str" cm="1">
        <f t="array" ref="O841">IF(OR($K841="",$I841="",$J841=""),"",_xlfn.LET(_xlpm.srcCat,_xlfn.SWITCH($I841,"Computer",_xlfn.XLOOKUP($K841&amp;"",COMPUTER!$B$3:$B$1009&amp;"",COMPUTER!$H$3:$H$1009,""),"Display",_xlfn.XLOOKUP($K841&amp;"",DISPLAY!$B$3:$B$1000&amp;"",DISPLAY!$H$3:$H$1000,""),"Network Device",_xlfn.XLOOKUP($K841&amp;"",'NETWORK-DEVICES'!$B$3:$B$987&amp;"",'NETWORK-DEVICES'!$H$3:$H$987,""),"Peripheral",_xlfn.XLOOKUP($K841&amp;"",PERIPHERAL!$B$3:$B$954&amp;"",PERIPHERAL!$H$3:$H$954,""),"Utilities",_xlfn.XLOOKUP($K841&amp;"",UTILITIES!$B$3:$B$953&amp;"",UTILITIES!$G$3:$G$953,""),"IOT",_xlfn.XLOOKUP($K841&amp;"",IOT!$B$3:$B$1012&amp;"",IOT!$H$3:$H$1012,""),"Server",_xlfn.XLOOKUP($K841&amp;"",SERVER!$B$3:$B$1009&amp;"",SERVER!$H$3:$H$1009,""),""),IF(TRIM(_xlpm.srcCat)&lt;&gt;TRIM($J841),"",_xlfn.SWITCH($I841,"Computer",_xlfn.XLOOKUP($K841&amp;"",COMPUTER!$B$3:$B$1009&amp;"",COMPUTER!$E$3:$E$1009,""),"Display",_xlfn.XLOOKUP($K841&amp;"",DISPLAY!$B$3:$B$1000&amp;"",DISPLAY!$E$3:$E$1000,""),"Network Device",_xlfn.XLOOKUP($K841&amp;"",'NETWORK-DEVICES'!$B$3:$B$987&amp;"",'NETWORK-DEVICES'!$E$3:$E$987,""),"Peripheral",_xlfn.XLOOKUP($K841&amp;"",PERIPHERAL!$B$3:$B$954&amp;"",PERIPHERAL!$E$3:$E$954,""),"Utilities",_xlfn.XLOOKUP($K841&amp;"",UTILITIES!$B$3:$B$953&amp;"",UTILITIES!$E$3:$E$953,""),"IOT",_xlfn.XLOOKUP($K841&amp;"",IOT!$B$3:$B$1012&amp;"",IOT!$E$3:$E$1012,""),"Server",_xlfn.XLOOKUP($K841&amp;"",SERVER!$B$3:$B$1009&amp;"",SERVER!$E$3:$E$1009,""),""))))</f>
        <v/>
      </c>
      <c r="Q841" s="1" t="str" cm="1">
        <f t="array" ref="Q841">IF(OR($K841="",$I841="",$J841=""),"",_xlfn.LET(_xlpm.srcCat,_xlfn.SWITCH($I841,"Computer",_xlfn.XLOOKUP($K841&amp;"",COMPUTER!$B$3:$B$1009&amp;"",COMPUTER!$H$3:$H$1009,""),"Display",_xlfn.XLOOKUP($K841&amp;"",DISPLAY!$B$3:$B$1000&amp;"",DISPLAY!$H$3:$H$1000,""),"Network Device",_xlfn.XLOOKUP($K841&amp;"",'NETWORK-DEVICES'!$B$3:$B$987&amp;"",'NETWORK-DEVICES'!$H$3:$H$987,""),"Peripheral",_xlfn.XLOOKUP($K841&amp;"",PERIPHERAL!$B$3:$B$954&amp;"",PERIPHERAL!$H$3:$H$954,""),"Utilities",_xlfn.XLOOKUP($K841&amp;"",UTILITIES!$B$3:$B$953&amp;"",UTILITIES!$G$3:$G$953,""),"IOT",_xlfn.XLOOKUP($K841&amp;"",IOT!$B$3:$B$1012&amp;"",IOT!$H$3:$H$1012,""),"Server",_xlfn.XLOOKUP($K841&amp;"",SERVER!$B$3:$B$1009&amp;"",SERVER!$H$3:$H$1009,""),""),IF(TRIM(_xlpm.srcCat)&lt;&gt;TRIM($J841),"",_xlfn.SWITCH($I841,"Computer",_xlfn.XLOOKUP($K841&amp;"",COMPUTER!$B$3:$B$1009&amp;"",COMPUTER!$AM$3:$AM$1009,""),"Display",_xlfn.XLOOKUP($K841&amp;"",DISPLAY!$B$3:$B$1000&amp;"",DISPLAY!$V$3:$V$1000,""),"Network Device",_xlfn.XLOOKUP($K841&amp;"",'NETWORK-DEVICES'!$B$3:$B$987&amp;"",'NETWORK-DEVICES'!$AF$3:$AF$987,""),"Peripheral",_xlfn.XLOOKUP($K841&amp;"",PERIPHERAL!$B$3:$B$954&amp;"",PERIPHERAL!$Y$3:$Y$954,""),"Utilities",_xlfn.XLOOKUP($K841&amp;"",UTILITIES!$B$3:$B$953&amp;"",UTILITIES!$O$3:$O$953,""),"IOT",_xlfn.XLOOKUP($K841&amp;"",IOT!$B$3:$B$1012&amp;"",IOT!$AB$3:$AB$1012,""),"Server",_xlfn.XLOOKUP($K841&amp;"",SERVER!$B$3:$B$1009&amp;"",SERVER!$AB$3:$AB$1009,""),""))))</f>
        <v/>
      </c>
      <c r="R841" s="43" t="str">
        <f>IF(tbl_handover[[#This Row],[Asset Code]]="","",COUNTIF(tbl_handover[Asset Code],tbl_handover[[#This Row],[Asset Code]]))</f>
        <v/>
      </c>
    </row>
    <row r="842" spans="1:18" x14ac:dyDescent="0.25">
      <c r="A842" s="43" t="str">
        <f>IF(B842&lt;&gt;"",SUBTOTAL(3,$B$1:B841),"")</f>
        <v/>
      </c>
      <c r="C842" s="74"/>
      <c r="D842" s="74"/>
      <c r="G842" s="1"/>
      <c r="K842" s="42"/>
      <c r="L842" t="str" cm="1">
        <f t="array" ref="L842">IF($K842="","",_xlfn.SWITCH($I842,"Computer",_xlfn.XLOOKUP($K842&amp;"",COMPUTER!$B$3:$B$1009&amp;"",COMPUTER!$I$3:$I$1009,""),"Display",_xlfn.XLOOKUP($K842&amp;"",DISPLAY!$B$3:$B$1000&amp;"",DISPLAY!$J$3:$J$1000,""),"Network Device",_xlfn.XLOOKUP($K842&amp;"",'NETWORK-DEVICES'!$B$3:$B$987&amp;"",'NETWORK-DEVICES'!$I$3:$I$987,""),"Peripheral",_xlfn.XLOOKUP($K842&amp;"",PERIPHERAL!$B$3:$B$954&amp;"",PERIPHERAL!$I$3:$I$954,""),"Utilities",_xlfn.XLOOKUP($K842&amp;"",UTILITIES!$B$3:$B$953&amp;"",UTILITIES!$H$3:$H$953,""),"IOT",_xlfn.XLOOKUP($K842&amp;"",IOT!$B$3:$B$1012&amp;"",IOT!$I$3:$I$1012,""),"SERVER",_xlfn.XLOOKUP($K842&amp;"",SERVER!$B$3:$B$1009&amp;"",SERVER!$I$3:$I$1009,""),""))</f>
        <v/>
      </c>
      <c r="M842" t="str" cm="1">
        <f t="array" ref="M842">IF($K842="","",_xlfn.SWITCH($I842,"Computer",_xlfn.XLOOKUP($K842&amp;"",COMPUTER!$B$3:$B$1009&amp;"",COMPUTER!$J$3:$J$1009,""),"Display",_xlfn.XLOOKUP($K842&amp;"",DISPLAY!$B$3:$B$1000&amp;"",DISPLAY!$K$3:$K$1000,""),"Network Device",_xlfn.XLOOKUP($K842&amp;"",'NETWORK-DEVICES'!$B$3:$B$987&amp;"",'NETWORK-DEVICES'!$I$3:$I$987,""),"Peripheral",_xlfn.XLOOKUP($K842&amp;"",PERIPHERAL!$B$3:$B$954&amp;"",PERIPHERAL!$J$3:$J$954,""),"Utilities",_xlfn.XLOOKUP($K842&amp;"",UTILITIES!$B$3:$B$953&amp;"",UTILITIES!$I$3:$I$953,""),"IOT",_xlfn.XLOOKUP($K842&amp;"",IOT!$B$3:$B$1012&amp;"",IOT!$J$3:$J$1012,""),"Server",_xlfn.XLOOKUP($K842&amp;"",SERVER!$B$3:$B$1009&amp;"",SERVER!$J$3:$J$1009,""),""))</f>
        <v/>
      </c>
      <c r="N842" s="1" t="str" cm="1">
        <f t="array" ref="N842">IF(OR($K842="",$I842="",$J842=""),"",_xlfn.LET(_xlpm.srcCat,_xlfn.SWITCH($I842,"Computer",_xlfn.XLOOKUP($K842&amp;"",COMPUTER!$B$3:$B$1009&amp;"",COMPUTER!$H$3:$H$1009,""),"Display",_xlfn.XLOOKUP($K842&amp;"",DISPLAY!$B$3:$B$1000&amp;"",DISPLAY!$H$3:$H$1000,""),"Network Device",_xlfn.XLOOKUP($K842&amp;"",'NETWORK-DEVICES'!$B$3:$B$987&amp;"",'NETWORK-DEVICES'!$H$3:$H$987,""),"Peripheral",_xlfn.XLOOKUP($K842&amp;"",PERIPHERAL!$B$3:$B$954&amp;"",PERIPHERAL!$H$3:$H$954,""),"Utilities",_xlfn.XLOOKUP($K842&amp;"",UTILITIES!$B$3:$B$953&amp;"",UTILITIES!$G$3:$G$953,""),"IOT",_xlfn.XLOOKUP($K842&amp;"",IOT!$B$3:$B$1012&amp;"",IOT!$H$3:$H$1012,""),"Server",_xlfn.XLOOKUP($K842&amp;"",SERVER!$B$3:$B$1009&amp;"",SERVER!$H$3:$H$1009,""),""),IF(TRIM(_xlpm.srcCat)&lt;&gt;TRIM($J842),"",_xlfn.SWITCH($I842,"Computer",_xlfn.XLOOKUP($K842&amp;"",COMPUTER!$B$3:$B$1009&amp;"",COMPUTER!$K$3:$K$1009,""),"Display",_xlfn.XLOOKUP($K842&amp;"",DISPLAY!$B$3:$B$1000&amp;"",DISPLAY!$L$3:$L$1000,""),"Network Device",_xlfn.XLOOKUP($K842&amp;"",'NETWORK-DEVICES'!$B$3:$B$987&amp;"",'NETWORK-DEVICES'!$K$3:$K$987,""),"Peripheral",_xlfn.XLOOKUP($K842&amp;"",PERIPHERAL!$B$3:$B$954&amp;"",PERIPHERAL!$K$3:$K$954,""),"Utilities",_xlfn.XLOOKUP($K842&amp;"",UTILITIES!$B$3:$B$953&amp;"",UTILITIES!$J$3:$J$953,""),"IOT",_xlfn.XLOOKUP($K842&amp;"",IOT!$B$3:$B$1012&amp;"",IOT!$K$4:$K$1012,""),"Server",_xlfn.XLOOKUP($K842&amp;"",SERVER!$B$3:$B$1009&amp;"",SERVER!$K$3:$K$1009,""),""))))</f>
        <v/>
      </c>
      <c r="O842" s="1" t="str" cm="1">
        <f t="array" ref="O842">IF(OR($K842="",$I842="",$J842=""),"",_xlfn.LET(_xlpm.srcCat,_xlfn.SWITCH($I842,"Computer",_xlfn.XLOOKUP($K842&amp;"",COMPUTER!$B$3:$B$1009&amp;"",COMPUTER!$H$3:$H$1009,""),"Display",_xlfn.XLOOKUP($K842&amp;"",DISPLAY!$B$3:$B$1000&amp;"",DISPLAY!$H$3:$H$1000,""),"Network Device",_xlfn.XLOOKUP($K842&amp;"",'NETWORK-DEVICES'!$B$3:$B$987&amp;"",'NETWORK-DEVICES'!$H$3:$H$987,""),"Peripheral",_xlfn.XLOOKUP($K842&amp;"",PERIPHERAL!$B$3:$B$954&amp;"",PERIPHERAL!$H$3:$H$954,""),"Utilities",_xlfn.XLOOKUP($K842&amp;"",UTILITIES!$B$3:$B$953&amp;"",UTILITIES!$G$3:$G$953,""),"IOT",_xlfn.XLOOKUP($K842&amp;"",IOT!$B$3:$B$1012&amp;"",IOT!$H$3:$H$1012,""),"Server",_xlfn.XLOOKUP($K842&amp;"",SERVER!$B$3:$B$1009&amp;"",SERVER!$H$3:$H$1009,""),""),IF(TRIM(_xlpm.srcCat)&lt;&gt;TRIM($J842),"",_xlfn.SWITCH($I842,"Computer",_xlfn.XLOOKUP($K842&amp;"",COMPUTER!$B$3:$B$1009&amp;"",COMPUTER!$E$3:$E$1009,""),"Display",_xlfn.XLOOKUP($K842&amp;"",DISPLAY!$B$3:$B$1000&amp;"",DISPLAY!$E$3:$E$1000,""),"Network Device",_xlfn.XLOOKUP($K842&amp;"",'NETWORK-DEVICES'!$B$3:$B$987&amp;"",'NETWORK-DEVICES'!$E$3:$E$987,""),"Peripheral",_xlfn.XLOOKUP($K842&amp;"",PERIPHERAL!$B$3:$B$954&amp;"",PERIPHERAL!$E$3:$E$954,""),"Utilities",_xlfn.XLOOKUP($K842&amp;"",UTILITIES!$B$3:$B$953&amp;"",UTILITIES!$E$3:$E$953,""),"IOT",_xlfn.XLOOKUP($K842&amp;"",IOT!$B$3:$B$1012&amp;"",IOT!$E$3:$E$1012,""),"Server",_xlfn.XLOOKUP($K842&amp;"",SERVER!$B$3:$B$1009&amp;"",SERVER!$E$3:$E$1009,""),""))))</f>
        <v/>
      </c>
      <c r="Q842" s="1" t="str" cm="1">
        <f t="array" ref="Q842">IF(OR($K842="",$I842="",$J842=""),"",_xlfn.LET(_xlpm.srcCat,_xlfn.SWITCH($I842,"Computer",_xlfn.XLOOKUP($K842&amp;"",COMPUTER!$B$3:$B$1009&amp;"",COMPUTER!$H$3:$H$1009,""),"Display",_xlfn.XLOOKUP($K842&amp;"",DISPLAY!$B$3:$B$1000&amp;"",DISPLAY!$H$3:$H$1000,""),"Network Device",_xlfn.XLOOKUP($K842&amp;"",'NETWORK-DEVICES'!$B$3:$B$987&amp;"",'NETWORK-DEVICES'!$H$3:$H$987,""),"Peripheral",_xlfn.XLOOKUP($K842&amp;"",PERIPHERAL!$B$3:$B$954&amp;"",PERIPHERAL!$H$3:$H$954,""),"Utilities",_xlfn.XLOOKUP($K842&amp;"",UTILITIES!$B$3:$B$953&amp;"",UTILITIES!$G$3:$G$953,""),"IOT",_xlfn.XLOOKUP($K842&amp;"",IOT!$B$3:$B$1012&amp;"",IOT!$H$3:$H$1012,""),"Server",_xlfn.XLOOKUP($K842&amp;"",SERVER!$B$3:$B$1009&amp;"",SERVER!$H$3:$H$1009,""),""),IF(TRIM(_xlpm.srcCat)&lt;&gt;TRIM($J842),"",_xlfn.SWITCH($I842,"Computer",_xlfn.XLOOKUP($K842&amp;"",COMPUTER!$B$3:$B$1009&amp;"",COMPUTER!$AM$3:$AM$1009,""),"Display",_xlfn.XLOOKUP($K842&amp;"",DISPLAY!$B$3:$B$1000&amp;"",DISPLAY!$V$3:$V$1000,""),"Network Device",_xlfn.XLOOKUP($K842&amp;"",'NETWORK-DEVICES'!$B$3:$B$987&amp;"",'NETWORK-DEVICES'!$AF$3:$AF$987,""),"Peripheral",_xlfn.XLOOKUP($K842&amp;"",PERIPHERAL!$B$3:$B$954&amp;"",PERIPHERAL!$Y$3:$Y$954,""),"Utilities",_xlfn.XLOOKUP($K842&amp;"",UTILITIES!$B$3:$B$953&amp;"",UTILITIES!$O$3:$O$953,""),"IOT",_xlfn.XLOOKUP($K842&amp;"",IOT!$B$3:$B$1012&amp;"",IOT!$AB$3:$AB$1012,""),"Server",_xlfn.XLOOKUP($K842&amp;"",SERVER!$B$3:$B$1009&amp;"",SERVER!$AB$3:$AB$1009,""),""))))</f>
        <v/>
      </c>
      <c r="R842" s="43" t="str">
        <f>IF(tbl_handover[[#This Row],[Asset Code]]="","",COUNTIF(tbl_handover[Asset Code],tbl_handover[[#This Row],[Asset Code]]))</f>
        <v/>
      </c>
    </row>
    <row r="843" spans="1:18" x14ac:dyDescent="0.25">
      <c r="A843" s="43" t="str">
        <f>IF(B843&lt;&gt;"",SUBTOTAL(3,$B$1:B842),"")</f>
        <v/>
      </c>
      <c r="C843" s="74"/>
      <c r="D843" s="74"/>
      <c r="G843" s="1"/>
      <c r="K843" s="42"/>
      <c r="L843" t="str" cm="1">
        <f t="array" ref="L843">IF($K843="","",_xlfn.SWITCH($I843,"Computer",_xlfn.XLOOKUP($K843&amp;"",COMPUTER!$B$3:$B$1009&amp;"",COMPUTER!$I$3:$I$1009,""),"Display",_xlfn.XLOOKUP($K843&amp;"",DISPLAY!$B$3:$B$1000&amp;"",DISPLAY!$J$3:$J$1000,""),"Network Device",_xlfn.XLOOKUP($K843&amp;"",'NETWORK-DEVICES'!$B$3:$B$987&amp;"",'NETWORK-DEVICES'!$I$3:$I$987,""),"Peripheral",_xlfn.XLOOKUP($K843&amp;"",PERIPHERAL!$B$3:$B$954&amp;"",PERIPHERAL!$I$3:$I$954,""),"Utilities",_xlfn.XLOOKUP($K843&amp;"",UTILITIES!$B$3:$B$953&amp;"",UTILITIES!$H$3:$H$953,""),"IOT",_xlfn.XLOOKUP($K843&amp;"",IOT!$B$3:$B$1012&amp;"",IOT!$I$3:$I$1012,""),"SERVER",_xlfn.XLOOKUP($K843&amp;"",SERVER!$B$3:$B$1009&amp;"",SERVER!$I$3:$I$1009,""),""))</f>
        <v/>
      </c>
      <c r="M843" t="str" cm="1">
        <f t="array" ref="M843">IF($K843="","",_xlfn.SWITCH($I843,"Computer",_xlfn.XLOOKUP($K843&amp;"",COMPUTER!$B$3:$B$1009&amp;"",COMPUTER!$J$3:$J$1009,""),"Display",_xlfn.XLOOKUP($K843&amp;"",DISPLAY!$B$3:$B$1000&amp;"",DISPLAY!$K$3:$K$1000,""),"Network Device",_xlfn.XLOOKUP($K843&amp;"",'NETWORK-DEVICES'!$B$3:$B$987&amp;"",'NETWORK-DEVICES'!$I$3:$I$987,""),"Peripheral",_xlfn.XLOOKUP($K843&amp;"",PERIPHERAL!$B$3:$B$954&amp;"",PERIPHERAL!$J$3:$J$954,""),"Utilities",_xlfn.XLOOKUP($K843&amp;"",UTILITIES!$B$3:$B$953&amp;"",UTILITIES!$I$3:$I$953,""),"IOT",_xlfn.XLOOKUP($K843&amp;"",IOT!$B$3:$B$1012&amp;"",IOT!$J$3:$J$1012,""),"Server",_xlfn.XLOOKUP($K843&amp;"",SERVER!$B$3:$B$1009&amp;"",SERVER!$J$3:$J$1009,""),""))</f>
        <v/>
      </c>
      <c r="N843" s="1" t="str" cm="1">
        <f t="array" ref="N843">IF(OR($K843="",$I843="",$J843=""),"",_xlfn.LET(_xlpm.srcCat,_xlfn.SWITCH($I843,"Computer",_xlfn.XLOOKUP($K843&amp;"",COMPUTER!$B$3:$B$1009&amp;"",COMPUTER!$H$3:$H$1009,""),"Display",_xlfn.XLOOKUP($K843&amp;"",DISPLAY!$B$3:$B$1000&amp;"",DISPLAY!$H$3:$H$1000,""),"Network Device",_xlfn.XLOOKUP($K843&amp;"",'NETWORK-DEVICES'!$B$3:$B$987&amp;"",'NETWORK-DEVICES'!$H$3:$H$987,""),"Peripheral",_xlfn.XLOOKUP($K843&amp;"",PERIPHERAL!$B$3:$B$954&amp;"",PERIPHERAL!$H$3:$H$954,""),"Utilities",_xlfn.XLOOKUP($K843&amp;"",UTILITIES!$B$3:$B$953&amp;"",UTILITIES!$G$3:$G$953,""),"IOT",_xlfn.XLOOKUP($K843&amp;"",IOT!$B$3:$B$1012&amp;"",IOT!$H$3:$H$1012,""),"Server",_xlfn.XLOOKUP($K843&amp;"",SERVER!$B$3:$B$1009&amp;"",SERVER!$H$3:$H$1009,""),""),IF(TRIM(_xlpm.srcCat)&lt;&gt;TRIM($J843),"",_xlfn.SWITCH($I843,"Computer",_xlfn.XLOOKUP($K843&amp;"",COMPUTER!$B$3:$B$1009&amp;"",COMPUTER!$K$3:$K$1009,""),"Display",_xlfn.XLOOKUP($K843&amp;"",DISPLAY!$B$3:$B$1000&amp;"",DISPLAY!$L$3:$L$1000,""),"Network Device",_xlfn.XLOOKUP($K843&amp;"",'NETWORK-DEVICES'!$B$3:$B$987&amp;"",'NETWORK-DEVICES'!$K$3:$K$987,""),"Peripheral",_xlfn.XLOOKUP($K843&amp;"",PERIPHERAL!$B$3:$B$954&amp;"",PERIPHERAL!$K$3:$K$954,""),"Utilities",_xlfn.XLOOKUP($K843&amp;"",UTILITIES!$B$3:$B$953&amp;"",UTILITIES!$J$3:$J$953,""),"IOT",_xlfn.XLOOKUP($K843&amp;"",IOT!$B$3:$B$1012&amp;"",IOT!$K$4:$K$1012,""),"Server",_xlfn.XLOOKUP($K843&amp;"",SERVER!$B$3:$B$1009&amp;"",SERVER!$K$3:$K$1009,""),""))))</f>
        <v/>
      </c>
      <c r="O843" s="1" t="str" cm="1">
        <f t="array" ref="O843">IF(OR($K843="",$I843="",$J843=""),"",_xlfn.LET(_xlpm.srcCat,_xlfn.SWITCH($I843,"Computer",_xlfn.XLOOKUP($K843&amp;"",COMPUTER!$B$3:$B$1009&amp;"",COMPUTER!$H$3:$H$1009,""),"Display",_xlfn.XLOOKUP($K843&amp;"",DISPLAY!$B$3:$B$1000&amp;"",DISPLAY!$H$3:$H$1000,""),"Network Device",_xlfn.XLOOKUP($K843&amp;"",'NETWORK-DEVICES'!$B$3:$B$987&amp;"",'NETWORK-DEVICES'!$H$3:$H$987,""),"Peripheral",_xlfn.XLOOKUP($K843&amp;"",PERIPHERAL!$B$3:$B$954&amp;"",PERIPHERAL!$H$3:$H$954,""),"Utilities",_xlfn.XLOOKUP($K843&amp;"",UTILITIES!$B$3:$B$953&amp;"",UTILITIES!$G$3:$G$953,""),"IOT",_xlfn.XLOOKUP($K843&amp;"",IOT!$B$3:$B$1012&amp;"",IOT!$H$3:$H$1012,""),"Server",_xlfn.XLOOKUP($K843&amp;"",SERVER!$B$3:$B$1009&amp;"",SERVER!$H$3:$H$1009,""),""),IF(TRIM(_xlpm.srcCat)&lt;&gt;TRIM($J843),"",_xlfn.SWITCH($I843,"Computer",_xlfn.XLOOKUP($K843&amp;"",COMPUTER!$B$3:$B$1009&amp;"",COMPUTER!$E$3:$E$1009,""),"Display",_xlfn.XLOOKUP($K843&amp;"",DISPLAY!$B$3:$B$1000&amp;"",DISPLAY!$E$3:$E$1000,""),"Network Device",_xlfn.XLOOKUP($K843&amp;"",'NETWORK-DEVICES'!$B$3:$B$987&amp;"",'NETWORK-DEVICES'!$E$3:$E$987,""),"Peripheral",_xlfn.XLOOKUP($K843&amp;"",PERIPHERAL!$B$3:$B$954&amp;"",PERIPHERAL!$E$3:$E$954,""),"Utilities",_xlfn.XLOOKUP($K843&amp;"",UTILITIES!$B$3:$B$953&amp;"",UTILITIES!$E$3:$E$953,""),"IOT",_xlfn.XLOOKUP($K843&amp;"",IOT!$B$3:$B$1012&amp;"",IOT!$E$3:$E$1012,""),"Server",_xlfn.XLOOKUP($K843&amp;"",SERVER!$B$3:$B$1009&amp;"",SERVER!$E$3:$E$1009,""),""))))</f>
        <v/>
      </c>
      <c r="Q843" s="1" t="str" cm="1">
        <f t="array" ref="Q843">IF(OR($K843="",$I843="",$J843=""),"",_xlfn.LET(_xlpm.srcCat,_xlfn.SWITCH($I843,"Computer",_xlfn.XLOOKUP($K843&amp;"",COMPUTER!$B$3:$B$1009&amp;"",COMPUTER!$H$3:$H$1009,""),"Display",_xlfn.XLOOKUP($K843&amp;"",DISPLAY!$B$3:$B$1000&amp;"",DISPLAY!$H$3:$H$1000,""),"Network Device",_xlfn.XLOOKUP($K843&amp;"",'NETWORK-DEVICES'!$B$3:$B$987&amp;"",'NETWORK-DEVICES'!$H$3:$H$987,""),"Peripheral",_xlfn.XLOOKUP($K843&amp;"",PERIPHERAL!$B$3:$B$954&amp;"",PERIPHERAL!$H$3:$H$954,""),"Utilities",_xlfn.XLOOKUP($K843&amp;"",UTILITIES!$B$3:$B$953&amp;"",UTILITIES!$G$3:$G$953,""),"IOT",_xlfn.XLOOKUP($K843&amp;"",IOT!$B$3:$B$1012&amp;"",IOT!$H$3:$H$1012,""),"Server",_xlfn.XLOOKUP($K843&amp;"",SERVER!$B$3:$B$1009&amp;"",SERVER!$H$3:$H$1009,""),""),IF(TRIM(_xlpm.srcCat)&lt;&gt;TRIM($J843),"",_xlfn.SWITCH($I843,"Computer",_xlfn.XLOOKUP($K843&amp;"",COMPUTER!$B$3:$B$1009&amp;"",COMPUTER!$AM$3:$AM$1009,""),"Display",_xlfn.XLOOKUP($K843&amp;"",DISPLAY!$B$3:$B$1000&amp;"",DISPLAY!$V$3:$V$1000,""),"Network Device",_xlfn.XLOOKUP($K843&amp;"",'NETWORK-DEVICES'!$B$3:$B$987&amp;"",'NETWORK-DEVICES'!$AF$3:$AF$987,""),"Peripheral",_xlfn.XLOOKUP($K843&amp;"",PERIPHERAL!$B$3:$B$954&amp;"",PERIPHERAL!$Y$3:$Y$954,""),"Utilities",_xlfn.XLOOKUP($K843&amp;"",UTILITIES!$B$3:$B$953&amp;"",UTILITIES!$O$3:$O$953,""),"IOT",_xlfn.XLOOKUP($K843&amp;"",IOT!$B$3:$B$1012&amp;"",IOT!$AB$3:$AB$1012,""),"Server",_xlfn.XLOOKUP($K843&amp;"",SERVER!$B$3:$B$1009&amp;"",SERVER!$AB$3:$AB$1009,""),""))))</f>
        <v/>
      </c>
      <c r="R843" s="43" t="str">
        <f>IF(tbl_handover[[#This Row],[Asset Code]]="","",COUNTIF(tbl_handover[Asset Code],tbl_handover[[#This Row],[Asset Code]]))</f>
        <v/>
      </c>
    </row>
    <row r="844" spans="1:18" x14ac:dyDescent="0.25">
      <c r="A844" s="43" t="str">
        <f>IF(B844&lt;&gt;"",SUBTOTAL(3,$B$1:B843),"")</f>
        <v/>
      </c>
      <c r="C844" s="74"/>
      <c r="D844" s="74"/>
      <c r="G844" s="1"/>
      <c r="K844" s="42"/>
      <c r="L844" t="str" cm="1">
        <f t="array" ref="L844">IF($K844="","",_xlfn.SWITCH($I844,"Computer",_xlfn.XLOOKUP($K844&amp;"",COMPUTER!$B$3:$B$1009&amp;"",COMPUTER!$I$3:$I$1009,""),"Display",_xlfn.XLOOKUP($K844&amp;"",DISPLAY!$B$3:$B$1000&amp;"",DISPLAY!$J$3:$J$1000,""),"Network Device",_xlfn.XLOOKUP($K844&amp;"",'NETWORK-DEVICES'!$B$3:$B$987&amp;"",'NETWORK-DEVICES'!$I$3:$I$987,""),"Peripheral",_xlfn.XLOOKUP($K844&amp;"",PERIPHERAL!$B$3:$B$954&amp;"",PERIPHERAL!$I$3:$I$954,""),"Utilities",_xlfn.XLOOKUP($K844&amp;"",UTILITIES!$B$3:$B$953&amp;"",UTILITIES!$H$3:$H$953,""),"IOT",_xlfn.XLOOKUP($K844&amp;"",IOT!$B$3:$B$1012&amp;"",IOT!$I$3:$I$1012,""),"SERVER",_xlfn.XLOOKUP($K844&amp;"",SERVER!$B$3:$B$1009&amp;"",SERVER!$I$3:$I$1009,""),""))</f>
        <v/>
      </c>
      <c r="M844" t="str" cm="1">
        <f t="array" ref="M844">IF($K844="","",_xlfn.SWITCH($I844,"Computer",_xlfn.XLOOKUP($K844&amp;"",COMPUTER!$B$3:$B$1009&amp;"",COMPUTER!$J$3:$J$1009,""),"Display",_xlfn.XLOOKUP($K844&amp;"",DISPLAY!$B$3:$B$1000&amp;"",DISPLAY!$K$3:$K$1000,""),"Network Device",_xlfn.XLOOKUP($K844&amp;"",'NETWORK-DEVICES'!$B$3:$B$987&amp;"",'NETWORK-DEVICES'!$I$3:$I$987,""),"Peripheral",_xlfn.XLOOKUP($K844&amp;"",PERIPHERAL!$B$3:$B$954&amp;"",PERIPHERAL!$J$3:$J$954,""),"Utilities",_xlfn.XLOOKUP($K844&amp;"",UTILITIES!$B$3:$B$953&amp;"",UTILITIES!$I$3:$I$953,""),"IOT",_xlfn.XLOOKUP($K844&amp;"",IOT!$B$3:$B$1012&amp;"",IOT!$J$3:$J$1012,""),"Server",_xlfn.XLOOKUP($K844&amp;"",SERVER!$B$3:$B$1009&amp;"",SERVER!$J$3:$J$1009,""),""))</f>
        <v/>
      </c>
      <c r="N844" s="1" t="str" cm="1">
        <f t="array" ref="N844">IF(OR($K844="",$I844="",$J844=""),"",_xlfn.LET(_xlpm.srcCat,_xlfn.SWITCH($I844,"Computer",_xlfn.XLOOKUP($K844&amp;"",COMPUTER!$B$3:$B$1009&amp;"",COMPUTER!$H$3:$H$1009,""),"Display",_xlfn.XLOOKUP($K844&amp;"",DISPLAY!$B$3:$B$1000&amp;"",DISPLAY!$H$3:$H$1000,""),"Network Device",_xlfn.XLOOKUP($K844&amp;"",'NETWORK-DEVICES'!$B$3:$B$987&amp;"",'NETWORK-DEVICES'!$H$3:$H$987,""),"Peripheral",_xlfn.XLOOKUP($K844&amp;"",PERIPHERAL!$B$3:$B$954&amp;"",PERIPHERAL!$H$3:$H$954,""),"Utilities",_xlfn.XLOOKUP($K844&amp;"",UTILITIES!$B$3:$B$953&amp;"",UTILITIES!$G$3:$G$953,""),"IOT",_xlfn.XLOOKUP($K844&amp;"",IOT!$B$3:$B$1012&amp;"",IOT!$H$3:$H$1012,""),"Server",_xlfn.XLOOKUP($K844&amp;"",SERVER!$B$3:$B$1009&amp;"",SERVER!$H$3:$H$1009,""),""),IF(TRIM(_xlpm.srcCat)&lt;&gt;TRIM($J844),"",_xlfn.SWITCH($I844,"Computer",_xlfn.XLOOKUP($K844&amp;"",COMPUTER!$B$3:$B$1009&amp;"",COMPUTER!$K$3:$K$1009,""),"Display",_xlfn.XLOOKUP($K844&amp;"",DISPLAY!$B$3:$B$1000&amp;"",DISPLAY!$L$3:$L$1000,""),"Network Device",_xlfn.XLOOKUP($K844&amp;"",'NETWORK-DEVICES'!$B$3:$B$987&amp;"",'NETWORK-DEVICES'!$K$3:$K$987,""),"Peripheral",_xlfn.XLOOKUP($K844&amp;"",PERIPHERAL!$B$3:$B$954&amp;"",PERIPHERAL!$K$3:$K$954,""),"Utilities",_xlfn.XLOOKUP($K844&amp;"",UTILITIES!$B$3:$B$953&amp;"",UTILITIES!$J$3:$J$953,""),"IOT",_xlfn.XLOOKUP($K844&amp;"",IOT!$B$3:$B$1012&amp;"",IOT!$K$4:$K$1012,""),"Server",_xlfn.XLOOKUP($K844&amp;"",SERVER!$B$3:$B$1009&amp;"",SERVER!$K$3:$K$1009,""),""))))</f>
        <v/>
      </c>
      <c r="O844" s="1" t="str" cm="1">
        <f t="array" ref="O844">IF(OR($K844="",$I844="",$J844=""),"",_xlfn.LET(_xlpm.srcCat,_xlfn.SWITCH($I844,"Computer",_xlfn.XLOOKUP($K844&amp;"",COMPUTER!$B$3:$B$1009&amp;"",COMPUTER!$H$3:$H$1009,""),"Display",_xlfn.XLOOKUP($K844&amp;"",DISPLAY!$B$3:$B$1000&amp;"",DISPLAY!$H$3:$H$1000,""),"Network Device",_xlfn.XLOOKUP($K844&amp;"",'NETWORK-DEVICES'!$B$3:$B$987&amp;"",'NETWORK-DEVICES'!$H$3:$H$987,""),"Peripheral",_xlfn.XLOOKUP($K844&amp;"",PERIPHERAL!$B$3:$B$954&amp;"",PERIPHERAL!$H$3:$H$954,""),"Utilities",_xlfn.XLOOKUP($K844&amp;"",UTILITIES!$B$3:$B$953&amp;"",UTILITIES!$G$3:$G$953,""),"IOT",_xlfn.XLOOKUP($K844&amp;"",IOT!$B$3:$B$1012&amp;"",IOT!$H$3:$H$1012,""),"Server",_xlfn.XLOOKUP($K844&amp;"",SERVER!$B$3:$B$1009&amp;"",SERVER!$H$3:$H$1009,""),""),IF(TRIM(_xlpm.srcCat)&lt;&gt;TRIM($J844),"",_xlfn.SWITCH($I844,"Computer",_xlfn.XLOOKUP($K844&amp;"",COMPUTER!$B$3:$B$1009&amp;"",COMPUTER!$E$3:$E$1009,""),"Display",_xlfn.XLOOKUP($K844&amp;"",DISPLAY!$B$3:$B$1000&amp;"",DISPLAY!$E$3:$E$1000,""),"Network Device",_xlfn.XLOOKUP($K844&amp;"",'NETWORK-DEVICES'!$B$3:$B$987&amp;"",'NETWORK-DEVICES'!$E$3:$E$987,""),"Peripheral",_xlfn.XLOOKUP($K844&amp;"",PERIPHERAL!$B$3:$B$954&amp;"",PERIPHERAL!$E$3:$E$954,""),"Utilities",_xlfn.XLOOKUP($K844&amp;"",UTILITIES!$B$3:$B$953&amp;"",UTILITIES!$E$3:$E$953,""),"IOT",_xlfn.XLOOKUP($K844&amp;"",IOT!$B$3:$B$1012&amp;"",IOT!$E$3:$E$1012,""),"Server",_xlfn.XLOOKUP($K844&amp;"",SERVER!$B$3:$B$1009&amp;"",SERVER!$E$3:$E$1009,""),""))))</f>
        <v/>
      </c>
      <c r="Q844" s="1" t="str" cm="1">
        <f t="array" ref="Q844">IF(OR($K844="",$I844="",$J844=""),"",_xlfn.LET(_xlpm.srcCat,_xlfn.SWITCH($I844,"Computer",_xlfn.XLOOKUP($K844&amp;"",COMPUTER!$B$3:$B$1009&amp;"",COMPUTER!$H$3:$H$1009,""),"Display",_xlfn.XLOOKUP($K844&amp;"",DISPLAY!$B$3:$B$1000&amp;"",DISPLAY!$H$3:$H$1000,""),"Network Device",_xlfn.XLOOKUP($K844&amp;"",'NETWORK-DEVICES'!$B$3:$B$987&amp;"",'NETWORK-DEVICES'!$H$3:$H$987,""),"Peripheral",_xlfn.XLOOKUP($K844&amp;"",PERIPHERAL!$B$3:$B$954&amp;"",PERIPHERAL!$H$3:$H$954,""),"Utilities",_xlfn.XLOOKUP($K844&amp;"",UTILITIES!$B$3:$B$953&amp;"",UTILITIES!$G$3:$G$953,""),"IOT",_xlfn.XLOOKUP($K844&amp;"",IOT!$B$3:$B$1012&amp;"",IOT!$H$3:$H$1012,""),"Server",_xlfn.XLOOKUP($K844&amp;"",SERVER!$B$3:$B$1009&amp;"",SERVER!$H$3:$H$1009,""),""),IF(TRIM(_xlpm.srcCat)&lt;&gt;TRIM($J844),"",_xlfn.SWITCH($I844,"Computer",_xlfn.XLOOKUP($K844&amp;"",COMPUTER!$B$3:$B$1009&amp;"",COMPUTER!$AM$3:$AM$1009,""),"Display",_xlfn.XLOOKUP($K844&amp;"",DISPLAY!$B$3:$B$1000&amp;"",DISPLAY!$V$3:$V$1000,""),"Network Device",_xlfn.XLOOKUP($K844&amp;"",'NETWORK-DEVICES'!$B$3:$B$987&amp;"",'NETWORK-DEVICES'!$AF$3:$AF$987,""),"Peripheral",_xlfn.XLOOKUP($K844&amp;"",PERIPHERAL!$B$3:$B$954&amp;"",PERIPHERAL!$Y$3:$Y$954,""),"Utilities",_xlfn.XLOOKUP($K844&amp;"",UTILITIES!$B$3:$B$953&amp;"",UTILITIES!$O$3:$O$953,""),"IOT",_xlfn.XLOOKUP($K844&amp;"",IOT!$B$3:$B$1012&amp;"",IOT!$AB$3:$AB$1012,""),"Server",_xlfn.XLOOKUP($K844&amp;"",SERVER!$B$3:$B$1009&amp;"",SERVER!$AB$3:$AB$1009,""),""))))</f>
        <v/>
      </c>
      <c r="R844" s="43" t="str">
        <f>IF(tbl_handover[[#This Row],[Asset Code]]="","",COUNTIF(tbl_handover[Asset Code],tbl_handover[[#This Row],[Asset Code]]))</f>
        <v/>
      </c>
    </row>
    <row r="845" spans="1:18" x14ac:dyDescent="0.25">
      <c r="A845" s="43" t="str">
        <f>IF(B845&lt;&gt;"",SUBTOTAL(3,$B$1:B844),"")</f>
        <v/>
      </c>
      <c r="C845" s="74"/>
      <c r="D845" s="74"/>
      <c r="G845" s="1"/>
      <c r="K845" s="42"/>
      <c r="L845" t="str" cm="1">
        <f t="array" ref="L845">IF($K845="","",_xlfn.SWITCH($I845,"Computer",_xlfn.XLOOKUP($K845&amp;"",COMPUTER!$B$3:$B$1009&amp;"",COMPUTER!$I$3:$I$1009,""),"Display",_xlfn.XLOOKUP($K845&amp;"",DISPLAY!$B$3:$B$1000&amp;"",DISPLAY!$J$3:$J$1000,""),"Network Device",_xlfn.XLOOKUP($K845&amp;"",'NETWORK-DEVICES'!$B$3:$B$987&amp;"",'NETWORK-DEVICES'!$I$3:$I$987,""),"Peripheral",_xlfn.XLOOKUP($K845&amp;"",PERIPHERAL!$B$3:$B$954&amp;"",PERIPHERAL!$I$3:$I$954,""),"Utilities",_xlfn.XLOOKUP($K845&amp;"",UTILITIES!$B$3:$B$953&amp;"",UTILITIES!$H$3:$H$953,""),"IOT",_xlfn.XLOOKUP($K845&amp;"",IOT!$B$3:$B$1012&amp;"",IOT!$I$3:$I$1012,""),"SERVER",_xlfn.XLOOKUP($K845&amp;"",SERVER!$B$3:$B$1009&amp;"",SERVER!$I$3:$I$1009,""),""))</f>
        <v/>
      </c>
      <c r="M845" t="str" cm="1">
        <f t="array" ref="M845">IF($K845="","",_xlfn.SWITCH($I845,"Computer",_xlfn.XLOOKUP($K845&amp;"",COMPUTER!$B$3:$B$1009&amp;"",COMPUTER!$J$3:$J$1009,""),"Display",_xlfn.XLOOKUP($K845&amp;"",DISPLAY!$B$3:$B$1000&amp;"",DISPLAY!$K$3:$K$1000,""),"Network Device",_xlfn.XLOOKUP($K845&amp;"",'NETWORK-DEVICES'!$B$3:$B$987&amp;"",'NETWORK-DEVICES'!$I$3:$I$987,""),"Peripheral",_xlfn.XLOOKUP($K845&amp;"",PERIPHERAL!$B$3:$B$954&amp;"",PERIPHERAL!$J$3:$J$954,""),"Utilities",_xlfn.XLOOKUP($K845&amp;"",UTILITIES!$B$3:$B$953&amp;"",UTILITIES!$I$3:$I$953,""),"IOT",_xlfn.XLOOKUP($K845&amp;"",IOT!$B$3:$B$1012&amp;"",IOT!$J$3:$J$1012,""),"Server",_xlfn.XLOOKUP($K845&amp;"",SERVER!$B$3:$B$1009&amp;"",SERVER!$J$3:$J$1009,""),""))</f>
        <v/>
      </c>
      <c r="N845" s="1" t="str" cm="1">
        <f t="array" ref="N845">IF(OR($K845="",$I845="",$J845=""),"",_xlfn.LET(_xlpm.srcCat,_xlfn.SWITCH($I845,"Computer",_xlfn.XLOOKUP($K845&amp;"",COMPUTER!$B$3:$B$1009&amp;"",COMPUTER!$H$3:$H$1009,""),"Display",_xlfn.XLOOKUP($K845&amp;"",DISPLAY!$B$3:$B$1000&amp;"",DISPLAY!$H$3:$H$1000,""),"Network Device",_xlfn.XLOOKUP($K845&amp;"",'NETWORK-DEVICES'!$B$3:$B$987&amp;"",'NETWORK-DEVICES'!$H$3:$H$987,""),"Peripheral",_xlfn.XLOOKUP($K845&amp;"",PERIPHERAL!$B$3:$B$954&amp;"",PERIPHERAL!$H$3:$H$954,""),"Utilities",_xlfn.XLOOKUP($K845&amp;"",UTILITIES!$B$3:$B$953&amp;"",UTILITIES!$G$3:$G$953,""),"IOT",_xlfn.XLOOKUP($K845&amp;"",IOT!$B$3:$B$1012&amp;"",IOT!$H$3:$H$1012,""),"Server",_xlfn.XLOOKUP($K845&amp;"",SERVER!$B$3:$B$1009&amp;"",SERVER!$H$3:$H$1009,""),""),IF(TRIM(_xlpm.srcCat)&lt;&gt;TRIM($J845),"",_xlfn.SWITCH($I845,"Computer",_xlfn.XLOOKUP($K845&amp;"",COMPUTER!$B$3:$B$1009&amp;"",COMPUTER!$K$3:$K$1009,""),"Display",_xlfn.XLOOKUP($K845&amp;"",DISPLAY!$B$3:$B$1000&amp;"",DISPLAY!$L$3:$L$1000,""),"Network Device",_xlfn.XLOOKUP($K845&amp;"",'NETWORK-DEVICES'!$B$3:$B$987&amp;"",'NETWORK-DEVICES'!$K$3:$K$987,""),"Peripheral",_xlfn.XLOOKUP($K845&amp;"",PERIPHERAL!$B$3:$B$954&amp;"",PERIPHERAL!$K$3:$K$954,""),"Utilities",_xlfn.XLOOKUP($K845&amp;"",UTILITIES!$B$3:$B$953&amp;"",UTILITIES!$J$3:$J$953,""),"IOT",_xlfn.XLOOKUP($K845&amp;"",IOT!$B$3:$B$1012&amp;"",IOT!$K$4:$K$1012,""),"Server",_xlfn.XLOOKUP($K845&amp;"",SERVER!$B$3:$B$1009&amp;"",SERVER!$K$3:$K$1009,""),""))))</f>
        <v/>
      </c>
      <c r="O845" s="1" t="str" cm="1">
        <f t="array" ref="O845">IF(OR($K845="",$I845="",$J845=""),"",_xlfn.LET(_xlpm.srcCat,_xlfn.SWITCH($I845,"Computer",_xlfn.XLOOKUP($K845&amp;"",COMPUTER!$B$3:$B$1009&amp;"",COMPUTER!$H$3:$H$1009,""),"Display",_xlfn.XLOOKUP($K845&amp;"",DISPLAY!$B$3:$B$1000&amp;"",DISPLAY!$H$3:$H$1000,""),"Network Device",_xlfn.XLOOKUP($K845&amp;"",'NETWORK-DEVICES'!$B$3:$B$987&amp;"",'NETWORK-DEVICES'!$H$3:$H$987,""),"Peripheral",_xlfn.XLOOKUP($K845&amp;"",PERIPHERAL!$B$3:$B$954&amp;"",PERIPHERAL!$H$3:$H$954,""),"Utilities",_xlfn.XLOOKUP($K845&amp;"",UTILITIES!$B$3:$B$953&amp;"",UTILITIES!$G$3:$G$953,""),"IOT",_xlfn.XLOOKUP($K845&amp;"",IOT!$B$3:$B$1012&amp;"",IOT!$H$3:$H$1012,""),"Server",_xlfn.XLOOKUP($K845&amp;"",SERVER!$B$3:$B$1009&amp;"",SERVER!$H$3:$H$1009,""),""),IF(TRIM(_xlpm.srcCat)&lt;&gt;TRIM($J845),"",_xlfn.SWITCH($I845,"Computer",_xlfn.XLOOKUP($K845&amp;"",COMPUTER!$B$3:$B$1009&amp;"",COMPUTER!$E$3:$E$1009,""),"Display",_xlfn.XLOOKUP($K845&amp;"",DISPLAY!$B$3:$B$1000&amp;"",DISPLAY!$E$3:$E$1000,""),"Network Device",_xlfn.XLOOKUP($K845&amp;"",'NETWORK-DEVICES'!$B$3:$B$987&amp;"",'NETWORK-DEVICES'!$E$3:$E$987,""),"Peripheral",_xlfn.XLOOKUP($K845&amp;"",PERIPHERAL!$B$3:$B$954&amp;"",PERIPHERAL!$E$3:$E$954,""),"Utilities",_xlfn.XLOOKUP($K845&amp;"",UTILITIES!$B$3:$B$953&amp;"",UTILITIES!$E$3:$E$953,""),"IOT",_xlfn.XLOOKUP($K845&amp;"",IOT!$B$3:$B$1012&amp;"",IOT!$E$3:$E$1012,""),"Server",_xlfn.XLOOKUP($K845&amp;"",SERVER!$B$3:$B$1009&amp;"",SERVER!$E$3:$E$1009,""),""))))</f>
        <v/>
      </c>
      <c r="Q845" s="1" t="str" cm="1">
        <f t="array" ref="Q845">IF(OR($K845="",$I845="",$J845=""),"",_xlfn.LET(_xlpm.srcCat,_xlfn.SWITCH($I845,"Computer",_xlfn.XLOOKUP($K845&amp;"",COMPUTER!$B$3:$B$1009&amp;"",COMPUTER!$H$3:$H$1009,""),"Display",_xlfn.XLOOKUP($K845&amp;"",DISPLAY!$B$3:$B$1000&amp;"",DISPLAY!$H$3:$H$1000,""),"Network Device",_xlfn.XLOOKUP($K845&amp;"",'NETWORK-DEVICES'!$B$3:$B$987&amp;"",'NETWORK-DEVICES'!$H$3:$H$987,""),"Peripheral",_xlfn.XLOOKUP($K845&amp;"",PERIPHERAL!$B$3:$B$954&amp;"",PERIPHERAL!$H$3:$H$954,""),"Utilities",_xlfn.XLOOKUP($K845&amp;"",UTILITIES!$B$3:$B$953&amp;"",UTILITIES!$G$3:$G$953,""),"IOT",_xlfn.XLOOKUP($K845&amp;"",IOT!$B$3:$B$1012&amp;"",IOT!$H$3:$H$1012,""),"Server",_xlfn.XLOOKUP($K845&amp;"",SERVER!$B$3:$B$1009&amp;"",SERVER!$H$3:$H$1009,""),""),IF(TRIM(_xlpm.srcCat)&lt;&gt;TRIM($J845),"",_xlfn.SWITCH($I845,"Computer",_xlfn.XLOOKUP($K845&amp;"",COMPUTER!$B$3:$B$1009&amp;"",COMPUTER!$AM$3:$AM$1009,""),"Display",_xlfn.XLOOKUP($K845&amp;"",DISPLAY!$B$3:$B$1000&amp;"",DISPLAY!$V$3:$V$1000,""),"Network Device",_xlfn.XLOOKUP($K845&amp;"",'NETWORK-DEVICES'!$B$3:$B$987&amp;"",'NETWORK-DEVICES'!$AF$3:$AF$987,""),"Peripheral",_xlfn.XLOOKUP($K845&amp;"",PERIPHERAL!$B$3:$B$954&amp;"",PERIPHERAL!$Y$3:$Y$954,""),"Utilities",_xlfn.XLOOKUP($K845&amp;"",UTILITIES!$B$3:$B$953&amp;"",UTILITIES!$O$3:$O$953,""),"IOT",_xlfn.XLOOKUP($K845&amp;"",IOT!$B$3:$B$1012&amp;"",IOT!$AB$3:$AB$1012,""),"Server",_xlfn.XLOOKUP($K845&amp;"",SERVER!$B$3:$B$1009&amp;"",SERVER!$AB$3:$AB$1009,""),""))))</f>
        <v/>
      </c>
      <c r="R845" s="43" t="str">
        <f>IF(tbl_handover[[#This Row],[Asset Code]]="","",COUNTIF(tbl_handover[Asset Code],tbl_handover[[#This Row],[Asset Code]]))</f>
        <v/>
      </c>
    </row>
    <row r="846" spans="1:18" x14ac:dyDescent="0.25">
      <c r="A846" s="43" t="str">
        <f>IF(B846&lt;&gt;"",SUBTOTAL(3,$B$1:B845),"")</f>
        <v/>
      </c>
      <c r="C846" s="74"/>
      <c r="D846" s="74"/>
      <c r="G846" s="1"/>
      <c r="K846" s="42"/>
      <c r="L846" t="str" cm="1">
        <f t="array" ref="L846">IF($K846="","",_xlfn.SWITCH($I846,"Computer",_xlfn.XLOOKUP($K846&amp;"",COMPUTER!$B$3:$B$1009&amp;"",COMPUTER!$I$3:$I$1009,""),"Display",_xlfn.XLOOKUP($K846&amp;"",DISPLAY!$B$3:$B$1000&amp;"",DISPLAY!$J$3:$J$1000,""),"Network Device",_xlfn.XLOOKUP($K846&amp;"",'NETWORK-DEVICES'!$B$3:$B$987&amp;"",'NETWORK-DEVICES'!$I$3:$I$987,""),"Peripheral",_xlfn.XLOOKUP($K846&amp;"",PERIPHERAL!$B$3:$B$954&amp;"",PERIPHERAL!$I$3:$I$954,""),"Utilities",_xlfn.XLOOKUP($K846&amp;"",UTILITIES!$B$3:$B$953&amp;"",UTILITIES!$H$3:$H$953,""),"IOT",_xlfn.XLOOKUP($K846&amp;"",IOT!$B$3:$B$1012&amp;"",IOT!$I$3:$I$1012,""),"SERVER",_xlfn.XLOOKUP($K846&amp;"",SERVER!$B$3:$B$1009&amp;"",SERVER!$I$3:$I$1009,""),""))</f>
        <v/>
      </c>
      <c r="M846" t="str" cm="1">
        <f t="array" ref="M846">IF($K846="","",_xlfn.SWITCH($I846,"Computer",_xlfn.XLOOKUP($K846&amp;"",COMPUTER!$B$3:$B$1009&amp;"",COMPUTER!$J$3:$J$1009,""),"Display",_xlfn.XLOOKUP($K846&amp;"",DISPLAY!$B$3:$B$1000&amp;"",DISPLAY!$K$3:$K$1000,""),"Network Device",_xlfn.XLOOKUP($K846&amp;"",'NETWORK-DEVICES'!$B$3:$B$987&amp;"",'NETWORK-DEVICES'!$I$3:$I$987,""),"Peripheral",_xlfn.XLOOKUP($K846&amp;"",PERIPHERAL!$B$3:$B$954&amp;"",PERIPHERAL!$J$3:$J$954,""),"Utilities",_xlfn.XLOOKUP($K846&amp;"",UTILITIES!$B$3:$B$953&amp;"",UTILITIES!$I$3:$I$953,""),"IOT",_xlfn.XLOOKUP($K846&amp;"",IOT!$B$3:$B$1012&amp;"",IOT!$J$3:$J$1012,""),"Server",_xlfn.XLOOKUP($K846&amp;"",SERVER!$B$3:$B$1009&amp;"",SERVER!$J$3:$J$1009,""),""))</f>
        <v/>
      </c>
      <c r="N846" s="1" t="str" cm="1">
        <f t="array" ref="N846">IF(OR($K846="",$I846="",$J846=""),"",_xlfn.LET(_xlpm.srcCat,_xlfn.SWITCH($I846,"Computer",_xlfn.XLOOKUP($K846&amp;"",COMPUTER!$B$3:$B$1009&amp;"",COMPUTER!$H$3:$H$1009,""),"Display",_xlfn.XLOOKUP($K846&amp;"",DISPLAY!$B$3:$B$1000&amp;"",DISPLAY!$H$3:$H$1000,""),"Network Device",_xlfn.XLOOKUP($K846&amp;"",'NETWORK-DEVICES'!$B$3:$B$987&amp;"",'NETWORK-DEVICES'!$H$3:$H$987,""),"Peripheral",_xlfn.XLOOKUP($K846&amp;"",PERIPHERAL!$B$3:$B$954&amp;"",PERIPHERAL!$H$3:$H$954,""),"Utilities",_xlfn.XLOOKUP($K846&amp;"",UTILITIES!$B$3:$B$953&amp;"",UTILITIES!$G$3:$G$953,""),"IOT",_xlfn.XLOOKUP($K846&amp;"",IOT!$B$3:$B$1012&amp;"",IOT!$H$3:$H$1012,""),"Server",_xlfn.XLOOKUP($K846&amp;"",SERVER!$B$3:$B$1009&amp;"",SERVER!$H$3:$H$1009,""),""),IF(TRIM(_xlpm.srcCat)&lt;&gt;TRIM($J846),"",_xlfn.SWITCH($I846,"Computer",_xlfn.XLOOKUP($K846&amp;"",COMPUTER!$B$3:$B$1009&amp;"",COMPUTER!$K$3:$K$1009,""),"Display",_xlfn.XLOOKUP($K846&amp;"",DISPLAY!$B$3:$B$1000&amp;"",DISPLAY!$L$3:$L$1000,""),"Network Device",_xlfn.XLOOKUP($K846&amp;"",'NETWORK-DEVICES'!$B$3:$B$987&amp;"",'NETWORK-DEVICES'!$K$3:$K$987,""),"Peripheral",_xlfn.XLOOKUP($K846&amp;"",PERIPHERAL!$B$3:$B$954&amp;"",PERIPHERAL!$K$3:$K$954,""),"Utilities",_xlfn.XLOOKUP($K846&amp;"",UTILITIES!$B$3:$B$953&amp;"",UTILITIES!$J$3:$J$953,""),"IOT",_xlfn.XLOOKUP($K846&amp;"",IOT!$B$3:$B$1012&amp;"",IOT!$K$4:$K$1012,""),"Server",_xlfn.XLOOKUP($K846&amp;"",SERVER!$B$3:$B$1009&amp;"",SERVER!$K$3:$K$1009,""),""))))</f>
        <v/>
      </c>
      <c r="O846" s="1" t="str" cm="1">
        <f t="array" ref="O846">IF(OR($K846="",$I846="",$J846=""),"",_xlfn.LET(_xlpm.srcCat,_xlfn.SWITCH($I846,"Computer",_xlfn.XLOOKUP($K846&amp;"",COMPUTER!$B$3:$B$1009&amp;"",COMPUTER!$H$3:$H$1009,""),"Display",_xlfn.XLOOKUP($K846&amp;"",DISPLAY!$B$3:$B$1000&amp;"",DISPLAY!$H$3:$H$1000,""),"Network Device",_xlfn.XLOOKUP($K846&amp;"",'NETWORK-DEVICES'!$B$3:$B$987&amp;"",'NETWORK-DEVICES'!$H$3:$H$987,""),"Peripheral",_xlfn.XLOOKUP($K846&amp;"",PERIPHERAL!$B$3:$B$954&amp;"",PERIPHERAL!$H$3:$H$954,""),"Utilities",_xlfn.XLOOKUP($K846&amp;"",UTILITIES!$B$3:$B$953&amp;"",UTILITIES!$G$3:$G$953,""),"IOT",_xlfn.XLOOKUP($K846&amp;"",IOT!$B$3:$B$1012&amp;"",IOT!$H$3:$H$1012,""),"Server",_xlfn.XLOOKUP($K846&amp;"",SERVER!$B$3:$B$1009&amp;"",SERVER!$H$3:$H$1009,""),""),IF(TRIM(_xlpm.srcCat)&lt;&gt;TRIM($J846),"",_xlfn.SWITCH($I846,"Computer",_xlfn.XLOOKUP($K846&amp;"",COMPUTER!$B$3:$B$1009&amp;"",COMPUTER!$E$3:$E$1009,""),"Display",_xlfn.XLOOKUP($K846&amp;"",DISPLAY!$B$3:$B$1000&amp;"",DISPLAY!$E$3:$E$1000,""),"Network Device",_xlfn.XLOOKUP($K846&amp;"",'NETWORK-DEVICES'!$B$3:$B$987&amp;"",'NETWORK-DEVICES'!$E$3:$E$987,""),"Peripheral",_xlfn.XLOOKUP($K846&amp;"",PERIPHERAL!$B$3:$B$954&amp;"",PERIPHERAL!$E$3:$E$954,""),"Utilities",_xlfn.XLOOKUP($K846&amp;"",UTILITIES!$B$3:$B$953&amp;"",UTILITIES!$E$3:$E$953,""),"IOT",_xlfn.XLOOKUP($K846&amp;"",IOT!$B$3:$B$1012&amp;"",IOT!$E$3:$E$1012,""),"Server",_xlfn.XLOOKUP($K846&amp;"",SERVER!$B$3:$B$1009&amp;"",SERVER!$E$3:$E$1009,""),""))))</f>
        <v/>
      </c>
      <c r="Q846" s="1" t="str" cm="1">
        <f t="array" ref="Q846">IF(OR($K846="",$I846="",$J846=""),"",_xlfn.LET(_xlpm.srcCat,_xlfn.SWITCH($I846,"Computer",_xlfn.XLOOKUP($K846&amp;"",COMPUTER!$B$3:$B$1009&amp;"",COMPUTER!$H$3:$H$1009,""),"Display",_xlfn.XLOOKUP($K846&amp;"",DISPLAY!$B$3:$B$1000&amp;"",DISPLAY!$H$3:$H$1000,""),"Network Device",_xlfn.XLOOKUP($K846&amp;"",'NETWORK-DEVICES'!$B$3:$B$987&amp;"",'NETWORK-DEVICES'!$H$3:$H$987,""),"Peripheral",_xlfn.XLOOKUP($K846&amp;"",PERIPHERAL!$B$3:$B$954&amp;"",PERIPHERAL!$H$3:$H$954,""),"Utilities",_xlfn.XLOOKUP($K846&amp;"",UTILITIES!$B$3:$B$953&amp;"",UTILITIES!$G$3:$G$953,""),"IOT",_xlfn.XLOOKUP($K846&amp;"",IOT!$B$3:$B$1012&amp;"",IOT!$H$3:$H$1012,""),"Server",_xlfn.XLOOKUP($K846&amp;"",SERVER!$B$3:$B$1009&amp;"",SERVER!$H$3:$H$1009,""),""),IF(TRIM(_xlpm.srcCat)&lt;&gt;TRIM($J846),"",_xlfn.SWITCH($I846,"Computer",_xlfn.XLOOKUP($K846&amp;"",COMPUTER!$B$3:$B$1009&amp;"",COMPUTER!$AM$3:$AM$1009,""),"Display",_xlfn.XLOOKUP($K846&amp;"",DISPLAY!$B$3:$B$1000&amp;"",DISPLAY!$V$3:$V$1000,""),"Network Device",_xlfn.XLOOKUP($K846&amp;"",'NETWORK-DEVICES'!$B$3:$B$987&amp;"",'NETWORK-DEVICES'!$AF$3:$AF$987,""),"Peripheral",_xlfn.XLOOKUP($K846&amp;"",PERIPHERAL!$B$3:$B$954&amp;"",PERIPHERAL!$Y$3:$Y$954,""),"Utilities",_xlfn.XLOOKUP($K846&amp;"",UTILITIES!$B$3:$B$953&amp;"",UTILITIES!$O$3:$O$953,""),"IOT",_xlfn.XLOOKUP($K846&amp;"",IOT!$B$3:$B$1012&amp;"",IOT!$AB$3:$AB$1012,""),"Server",_xlfn.XLOOKUP($K846&amp;"",SERVER!$B$3:$B$1009&amp;"",SERVER!$AB$3:$AB$1009,""),""))))</f>
        <v/>
      </c>
      <c r="R846" s="43" t="str">
        <f>IF(tbl_handover[[#This Row],[Asset Code]]="","",COUNTIF(tbl_handover[Asset Code],tbl_handover[[#This Row],[Asset Code]]))</f>
        <v/>
      </c>
    </row>
    <row r="847" spans="1:18" x14ac:dyDescent="0.25">
      <c r="A847" s="43" t="str">
        <f>IF(B847&lt;&gt;"",SUBTOTAL(3,$B$1:B846),"")</f>
        <v/>
      </c>
      <c r="C847" s="74"/>
      <c r="D847" s="74"/>
      <c r="G847" s="1"/>
      <c r="K847" s="42"/>
      <c r="L847" t="str" cm="1">
        <f t="array" ref="L847">IF($K847="","",_xlfn.SWITCH($I847,"Computer",_xlfn.XLOOKUP($K847&amp;"",COMPUTER!$B$3:$B$1009&amp;"",COMPUTER!$I$3:$I$1009,""),"Display",_xlfn.XLOOKUP($K847&amp;"",DISPLAY!$B$3:$B$1000&amp;"",DISPLAY!$J$3:$J$1000,""),"Network Device",_xlfn.XLOOKUP($K847&amp;"",'NETWORK-DEVICES'!$B$3:$B$987&amp;"",'NETWORK-DEVICES'!$I$3:$I$987,""),"Peripheral",_xlfn.XLOOKUP($K847&amp;"",PERIPHERAL!$B$3:$B$954&amp;"",PERIPHERAL!$I$3:$I$954,""),"Utilities",_xlfn.XLOOKUP($K847&amp;"",UTILITIES!$B$3:$B$953&amp;"",UTILITIES!$H$3:$H$953,""),"IOT",_xlfn.XLOOKUP($K847&amp;"",IOT!$B$3:$B$1012&amp;"",IOT!$I$3:$I$1012,""),"SERVER",_xlfn.XLOOKUP($K847&amp;"",SERVER!$B$3:$B$1009&amp;"",SERVER!$I$3:$I$1009,""),""))</f>
        <v/>
      </c>
      <c r="M847" t="str" cm="1">
        <f t="array" ref="M847">IF($K847="","",_xlfn.SWITCH($I847,"Computer",_xlfn.XLOOKUP($K847&amp;"",COMPUTER!$B$3:$B$1009&amp;"",COMPUTER!$J$3:$J$1009,""),"Display",_xlfn.XLOOKUP($K847&amp;"",DISPLAY!$B$3:$B$1000&amp;"",DISPLAY!$K$3:$K$1000,""),"Network Device",_xlfn.XLOOKUP($K847&amp;"",'NETWORK-DEVICES'!$B$3:$B$987&amp;"",'NETWORK-DEVICES'!$I$3:$I$987,""),"Peripheral",_xlfn.XLOOKUP($K847&amp;"",PERIPHERAL!$B$3:$B$954&amp;"",PERIPHERAL!$J$3:$J$954,""),"Utilities",_xlfn.XLOOKUP($K847&amp;"",UTILITIES!$B$3:$B$953&amp;"",UTILITIES!$I$3:$I$953,""),"IOT",_xlfn.XLOOKUP($K847&amp;"",IOT!$B$3:$B$1012&amp;"",IOT!$J$3:$J$1012,""),"Server",_xlfn.XLOOKUP($K847&amp;"",SERVER!$B$3:$B$1009&amp;"",SERVER!$J$3:$J$1009,""),""))</f>
        <v/>
      </c>
      <c r="N847" s="1" t="str" cm="1">
        <f t="array" ref="N847">IF(OR($K847="",$I847="",$J847=""),"",_xlfn.LET(_xlpm.srcCat,_xlfn.SWITCH($I847,"Computer",_xlfn.XLOOKUP($K847&amp;"",COMPUTER!$B$3:$B$1009&amp;"",COMPUTER!$H$3:$H$1009,""),"Display",_xlfn.XLOOKUP($K847&amp;"",DISPLAY!$B$3:$B$1000&amp;"",DISPLAY!$H$3:$H$1000,""),"Network Device",_xlfn.XLOOKUP($K847&amp;"",'NETWORK-DEVICES'!$B$3:$B$987&amp;"",'NETWORK-DEVICES'!$H$3:$H$987,""),"Peripheral",_xlfn.XLOOKUP($K847&amp;"",PERIPHERAL!$B$3:$B$954&amp;"",PERIPHERAL!$H$3:$H$954,""),"Utilities",_xlfn.XLOOKUP($K847&amp;"",UTILITIES!$B$3:$B$953&amp;"",UTILITIES!$G$3:$G$953,""),"IOT",_xlfn.XLOOKUP($K847&amp;"",IOT!$B$3:$B$1012&amp;"",IOT!$H$3:$H$1012,""),"Server",_xlfn.XLOOKUP($K847&amp;"",SERVER!$B$3:$B$1009&amp;"",SERVER!$H$3:$H$1009,""),""),IF(TRIM(_xlpm.srcCat)&lt;&gt;TRIM($J847),"",_xlfn.SWITCH($I847,"Computer",_xlfn.XLOOKUP($K847&amp;"",COMPUTER!$B$3:$B$1009&amp;"",COMPUTER!$K$3:$K$1009,""),"Display",_xlfn.XLOOKUP($K847&amp;"",DISPLAY!$B$3:$B$1000&amp;"",DISPLAY!$L$3:$L$1000,""),"Network Device",_xlfn.XLOOKUP($K847&amp;"",'NETWORK-DEVICES'!$B$3:$B$987&amp;"",'NETWORK-DEVICES'!$K$3:$K$987,""),"Peripheral",_xlfn.XLOOKUP($K847&amp;"",PERIPHERAL!$B$3:$B$954&amp;"",PERIPHERAL!$K$3:$K$954,""),"Utilities",_xlfn.XLOOKUP($K847&amp;"",UTILITIES!$B$3:$B$953&amp;"",UTILITIES!$J$3:$J$953,""),"IOT",_xlfn.XLOOKUP($K847&amp;"",IOT!$B$3:$B$1012&amp;"",IOT!$K$4:$K$1012,""),"Server",_xlfn.XLOOKUP($K847&amp;"",SERVER!$B$3:$B$1009&amp;"",SERVER!$K$3:$K$1009,""),""))))</f>
        <v/>
      </c>
      <c r="O847" s="1" t="str" cm="1">
        <f t="array" ref="O847">IF(OR($K847="",$I847="",$J847=""),"",_xlfn.LET(_xlpm.srcCat,_xlfn.SWITCH($I847,"Computer",_xlfn.XLOOKUP($K847&amp;"",COMPUTER!$B$3:$B$1009&amp;"",COMPUTER!$H$3:$H$1009,""),"Display",_xlfn.XLOOKUP($K847&amp;"",DISPLAY!$B$3:$B$1000&amp;"",DISPLAY!$H$3:$H$1000,""),"Network Device",_xlfn.XLOOKUP($K847&amp;"",'NETWORK-DEVICES'!$B$3:$B$987&amp;"",'NETWORK-DEVICES'!$H$3:$H$987,""),"Peripheral",_xlfn.XLOOKUP($K847&amp;"",PERIPHERAL!$B$3:$B$954&amp;"",PERIPHERAL!$H$3:$H$954,""),"Utilities",_xlfn.XLOOKUP($K847&amp;"",UTILITIES!$B$3:$B$953&amp;"",UTILITIES!$G$3:$G$953,""),"IOT",_xlfn.XLOOKUP($K847&amp;"",IOT!$B$3:$B$1012&amp;"",IOT!$H$3:$H$1012,""),"Server",_xlfn.XLOOKUP($K847&amp;"",SERVER!$B$3:$B$1009&amp;"",SERVER!$H$3:$H$1009,""),""),IF(TRIM(_xlpm.srcCat)&lt;&gt;TRIM($J847),"",_xlfn.SWITCH($I847,"Computer",_xlfn.XLOOKUP($K847&amp;"",COMPUTER!$B$3:$B$1009&amp;"",COMPUTER!$E$3:$E$1009,""),"Display",_xlfn.XLOOKUP($K847&amp;"",DISPLAY!$B$3:$B$1000&amp;"",DISPLAY!$E$3:$E$1000,""),"Network Device",_xlfn.XLOOKUP($K847&amp;"",'NETWORK-DEVICES'!$B$3:$B$987&amp;"",'NETWORK-DEVICES'!$E$3:$E$987,""),"Peripheral",_xlfn.XLOOKUP($K847&amp;"",PERIPHERAL!$B$3:$B$954&amp;"",PERIPHERAL!$E$3:$E$954,""),"Utilities",_xlfn.XLOOKUP($K847&amp;"",UTILITIES!$B$3:$B$953&amp;"",UTILITIES!$E$3:$E$953,""),"IOT",_xlfn.XLOOKUP($K847&amp;"",IOT!$B$3:$B$1012&amp;"",IOT!$E$3:$E$1012,""),"Server",_xlfn.XLOOKUP($K847&amp;"",SERVER!$B$3:$B$1009&amp;"",SERVER!$E$3:$E$1009,""),""))))</f>
        <v/>
      </c>
      <c r="Q847" s="1" t="str" cm="1">
        <f t="array" ref="Q847">IF(OR($K847="",$I847="",$J847=""),"",_xlfn.LET(_xlpm.srcCat,_xlfn.SWITCH($I847,"Computer",_xlfn.XLOOKUP($K847&amp;"",COMPUTER!$B$3:$B$1009&amp;"",COMPUTER!$H$3:$H$1009,""),"Display",_xlfn.XLOOKUP($K847&amp;"",DISPLAY!$B$3:$B$1000&amp;"",DISPLAY!$H$3:$H$1000,""),"Network Device",_xlfn.XLOOKUP($K847&amp;"",'NETWORK-DEVICES'!$B$3:$B$987&amp;"",'NETWORK-DEVICES'!$H$3:$H$987,""),"Peripheral",_xlfn.XLOOKUP($K847&amp;"",PERIPHERAL!$B$3:$B$954&amp;"",PERIPHERAL!$H$3:$H$954,""),"Utilities",_xlfn.XLOOKUP($K847&amp;"",UTILITIES!$B$3:$B$953&amp;"",UTILITIES!$G$3:$G$953,""),"IOT",_xlfn.XLOOKUP($K847&amp;"",IOT!$B$3:$B$1012&amp;"",IOT!$H$3:$H$1012,""),"Server",_xlfn.XLOOKUP($K847&amp;"",SERVER!$B$3:$B$1009&amp;"",SERVER!$H$3:$H$1009,""),""),IF(TRIM(_xlpm.srcCat)&lt;&gt;TRIM($J847),"",_xlfn.SWITCH($I847,"Computer",_xlfn.XLOOKUP($K847&amp;"",COMPUTER!$B$3:$B$1009&amp;"",COMPUTER!$AM$3:$AM$1009,""),"Display",_xlfn.XLOOKUP($K847&amp;"",DISPLAY!$B$3:$B$1000&amp;"",DISPLAY!$V$3:$V$1000,""),"Network Device",_xlfn.XLOOKUP($K847&amp;"",'NETWORK-DEVICES'!$B$3:$B$987&amp;"",'NETWORK-DEVICES'!$AF$3:$AF$987,""),"Peripheral",_xlfn.XLOOKUP($K847&amp;"",PERIPHERAL!$B$3:$B$954&amp;"",PERIPHERAL!$Y$3:$Y$954,""),"Utilities",_xlfn.XLOOKUP($K847&amp;"",UTILITIES!$B$3:$B$953&amp;"",UTILITIES!$O$3:$O$953,""),"IOT",_xlfn.XLOOKUP($K847&amp;"",IOT!$B$3:$B$1012&amp;"",IOT!$AB$3:$AB$1012,""),"Server",_xlfn.XLOOKUP($K847&amp;"",SERVER!$B$3:$B$1009&amp;"",SERVER!$AB$3:$AB$1009,""),""))))</f>
        <v/>
      </c>
      <c r="R847" s="43" t="str">
        <f>IF(tbl_handover[[#This Row],[Asset Code]]="","",COUNTIF(tbl_handover[Asset Code],tbl_handover[[#This Row],[Asset Code]]))</f>
        <v/>
      </c>
    </row>
    <row r="848" spans="1:18" x14ac:dyDescent="0.25">
      <c r="A848" s="43" t="str">
        <f>IF(B848&lt;&gt;"",SUBTOTAL(3,$B$1:B847),"")</f>
        <v/>
      </c>
      <c r="C848" s="74"/>
      <c r="D848" s="74"/>
      <c r="G848" s="1"/>
      <c r="K848" s="42"/>
      <c r="L848" t="str" cm="1">
        <f t="array" ref="L848">IF($K848="","",_xlfn.SWITCH($I848,"Computer",_xlfn.XLOOKUP($K848&amp;"",COMPUTER!$B$3:$B$1009&amp;"",COMPUTER!$I$3:$I$1009,""),"Display",_xlfn.XLOOKUP($K848&amp;"",DISPLAY!$B$3:$B$1000&amp;"",DISPLAY!$J$3:$J$1000,""),"Network Device",_xlfn.XLOOKUP($K848&amp;"",'NETWORK-DEVICES'!$B$3:$B$987&amp;"",'NETWORK-DEVICES'!$I$3:$I$987,""),"Peripheral",_xlfn.XLOOKUP($K848&amp;"",PERIPHERAL!$B$3:$B$954&amp;"",PERIPHERAL!$I$3:$I$954,""),"Utilities",_xlfn.XLOOKUP($K848&amp;"",UTILITIES!$B$3:$B$953&amp;"",UTILITIES!$H$3:$H$953,""),"IOT",_xlfn.XLOOKUP($K848&amp;"",IOT!$B$3:$B$1012&amp;"",IOT!$I$3:$I$1012,""),"SERVER",_xlfn.XLOOKUP($K848&amp;"",SERVER!$B$3:$B$1009&amp;"",SERVER!$I$3:$I$1009,""),""))</f>
        <v/>
      </c>
      <c r="M848" t="str" cm="1">
        <f t="array" ref="M848">IF($K848="","",_xlfn.SWITCH($I848,"Computer",_xlfn.XLOOKUP($K848&amp;"",COMPUTER!$B$3:$B$1009&amp;"",COMPUTER!$J$3:$J$1009,""),"Display",_xlfn.XLOOKUP($K848&amp;"",DISPLAY!$B$3:$B$1000&amp;"",DISPLAY!$K$3:$K$1000,""),"Network Device",_xlfn.XLOOKUP($K848&amp;"",'NETWORK-DEVICES'!$B$3:$B$987&amp;"",'NETWORK-DEVICES'!$I$3:$I$987,""),"Peripheral",_xlfn.XLOOKUP($K848&amp;"",PERIPHERAL!$B$3:$B$954&amp;"",PERIPHERAL!$J$3:$J$954,""),"Utilities",_xlfn.XLOOKUP($K848&amp;"",UTILITIES!$B$3:$B$953&amp;"",UTILITIES!$I$3:$I$953,""),"IOT",_xlfn.XLOOKUP($K848&amp;"",IOT!$B$3:$B$1012&amp;"",IOT!$J$3:$J$1012,""),"Server",_xlfn.XLOOKUP($K848&amp;"",SERVER!$B$3:$B$1009&amp;"",SERVER!$J$3:$J$1009,""),""))</f>
        <v/>
      </c>
      <c r="N848" s="1" t="str" cm="1">
        <f t="array" ref="N848">IF(OR($K848="",$I848="",$J848=""),"",_xlfn.LET(_xlpm.srcCat,_xlfn.SWITCH($I848,"Computer",_xlfn.XLOOKUP($K848&amp;"",COMPUTER!$B$3:$B$1009&amp;"",COMPUTER!$H$3:$H$1009,""),"Display",_xlfn.XLOOKUP($K848&amp;"",DISPLAY!$B$3:$B$1000&amp;"",DISPLAY!$H$3:$H$1000,""),"Network Device",_xlfn.XLOOKUP($K848&amp;"",'NETWORK-DEVICES'!$B$3:$B$987&amp;"",'NETWORK-DEVICES'!$H$3:$H$987,""),"Peripheral",_xlfn.XLOOKUP($K848&amp;"",PERIPHERAL!$B$3:$B$954&amp;"",PERIPHERAL!$H$3:$H$954,""),"Utilities",_xlfn.XLOOKUP($K848&amp;"",UTILITIES!$B$3:$B$953&amp;"",UTILITIES!$G$3:$G$953,""),"IOT",_xlfn.XLOOKUP($K848&amp;"",IOT!$B$3:$B$1012&amp;"",IOT!$H$3:$H$1012,""),"Server",_xlfn.XLOOKUP($K848&amp;"",SERVER!$B$3:$B$1009&amp;"",SERVER!$H$3:$H$1009,""),""),IF(TRIM(_xlpm.srcCat)&lt;&gt;TRIM($J848),"",_xlfn.SWITCH($I848,"Computer",_xlfn.XLOOKUP($K848&amp;"",COMPUTER!$B$3:$B$1009&amp;"",COMPUTER!$K$3:$K$1009,""),"Display",_xlfn.XLOOKUP($K848&amp;"",DISPLAY!$B$3:$B$1000&amp;"",DISPLAY!$L$3:$L$1000,""),"Network Device",_xlfn.XLOOKUP($K848&amp;"",'NETWORK-DEVICES'!$B$3:$B$987&amp;"",'NETWORK-DEVICES'!$K$3:$K$987,""),"Peripheral",_xlfn.XLOOKUP($K848&amp;"",PERIPHERAL!$B$3:$B$954&amp;"",PERIPHERAL!$K$3:$K$954,""),"Utilities",_xlfn.XLOOKUP($K848&amp;"",UTILITIES!$B$3:$B$953&amp;"",UTILITIES!$J$3:$J$953,""),"IOT",_xlfn.XLOOKUP($K848&amp;"",IOT!$B$3:$B$1012&amp;"",IOT!$K$4:$K$1012,""),"Server",_xlfn.XLOOKUP($K848&amp;"",SERVER!$B$3:$B$1009&amp;"",SERVER!$K$3:$K$1009,""),""))))</f>
        <v/>
      </c>
      <c r="O848" s="1" t="str" cm="1">
        <f t="array" ref="O848">IF(OR($K848="",$I848="",$J848=""),"",_xlfn.LET(_xlpm.srcCat,_xlfn.SWITCH($I848,"Computer",_xlfn.XLOOKUP($K848&amp;"",COMPUTER!$B$3:$B$1009&amp;"",COMPUTER!$H$3:$H$1009,""),"Display",_xlfn.XLOOKUP($K848&amp;"",DISPLAY!$B$3:$B$1000&amp;"",DISPLAY!$H$3:$H$1000,""),"Network Device",_xlfn.XLOOKUP($K848&amp;"",'NETWORK-DEVICES'!$B$3:$B$987&amp;"",'NETWORK-DEVICES'!$H$3:$H$987,""),"Peripheral",_xlfn.XLOOKUP($K848&amp;"",PERIPHERAL!$B$3:$B$954&amp;"",PERIPHERAL!$H$3:$H$954,""),"Utilities",_xlfn.XLOOKUP($K848&amp;"",UTILITIES!$B$3:$B$953&amp;"",UTILITIES!$G$3:$G$953,""),"IOT",_xlfn.XLOOKUP($K848&amp;"",IOT!$B$3:$B$1012&amp;"",IOT!$H$3:$H$1012,""),"Server",_xlfn.XLOOKUP($K848&amp;"",SERVER!$B$3:$B$1009&amp;"",SERVER!$H$3:$H$1009,""),""),IF(TRIM(_xlpm.srcCat)&lt;&gt;TRIM($J848),"",_xlfn.SWITCH($I848,"Computer",_xlfn.XLOOKUP($K848&amp;"",COMPUTER!$B$3:$B$1009&amp;"",COMPUTER!$E$3:$E$1009,""),"Display",_xlfn.XLOOKUP($K848&amp;"",DISPLAY!$B$3:$B$1000&amp;"",DISPLAY!$E$3:$E$1000,""),"Network Device",_xlfn.XLOOKUP($K848&amp;"",'NETWORK-DEVICES'!$B$3:$B$987&amp;"",'NETWORK-DEVICES'!$E$3:$E$987,""),"Peripheral",_xlfn.XLOOKUP($K848&amp;"",PERIPHERAL!$B$3:$B$954&amp;"",PERIPHERAL!$E$3:$E$954,""),"Utilities",_xlfn.XLOOKUP($K848&amp;"",UTILITIES!$B$3:$B$953&amp;"",UTILITIES!$E$3:$E$953,""),"IOT",_xlfn.XLOOKUP($K848&amp;"",IOT!$B$3:$B$1012&amp;"",IOT!$E$3:$E$1012,""),"Server",_xlfn.XLOOKUP($K848&amp;"",SERVER!$B$3:$B$1009&amp;"",SERVER!$E$3:$E$1009,""),""))))</f>
        <v/>
      </c>
      <c r="Q848" s="1" t="str" cm="1">
        <f t="array" ref="Q848">IF(OR($K848="",$I848="",$J848=""),"",_xlfn.LET(_xlpm.srcCat,_xlfn.SWITCH($I848,"Computer",_xlfn.XLOOKUP($K848&amp;"",COMPUTER!$B$3:$B$1009&amp;"",COMPUTER!$H$3:$H$1009,""),"Display",_xlfn.XLOOKUP($K848&amp;"",DISPLAY!$B$3:$B$1000&amp;"",DISPLAY!$H$3:$H$1000,""),"Network Device",_xlfn.XLOOKUP($K848&amp;"",'NETWORK-DEVICES'!$B$3:$B$987&amp;"",'NETWORK-DEVICES'!$H$3:$H$987,""),"Peripheral",_xlfn.XLOOKUP($K848&amp;"",PERIPHERAL!$B$3:$B$954&amp;"",PERIPHERAL!$H$3:$H$954,""),"Utilities",_xlfn.XLOOKUP($K848&amp;"",UTILITIES!$B$3:$B$953&amp;"",UTILITIES!$G$3:$G$953,""),"IOT",_xlfn.XLOOKUP($K848&amp;"",IOT!$B$3:$B$1012&amp;"",IOT!$H$3:$H$1012,""),"Server",_xlfn.XLOOKUP($K848&amp;"",SERVER!$B$3:$B$1009&amp;"",SERVER!$H$3:$H$1009,""),""),IF(TRIM(_xlpm.srcCat)&lt;&gt;TRIM($J848),"",_xlfn.SWITCH($I848,"Computer",_xlfn.XLOOKUP($K848&amp;"",COMPUTER!$B$3:$B$1009&amp;"",COMPUTER!$AM$3:$AM$1009,""),"Display",_xlfn.XLOOKUP($K848&amp;"",DISPLAY!$B$3:$B$1000&amp;"",DISPLAY!$V$3:$V$1000,""),"Network Device",_xlfn.XLOOKUP($K848&amp;"",'NETWORK-DEVICES'!$B$3:$B$987&amp;"",'NETWORK-DEVICES'!$AF$3:$AF$987,""),"Peripheral",_xlfn.XLOOKUP($K848&amp;"",PERIPHERAL!$B$3:$B$954&amp;"",PERIPHERAL!$Y$3:$Y$954,""),"Utilities",_xlfn.XLOOKUP($K848&amp;"",UTILITIES!$B$3:$B$953&amp;"",UTILITIES!$O$3:$O$953,""),"IOT",_xlfn.XLOOKUP($K848&amp;"",IOT!$B$3:$B$1012&amp;"",IOT!$AB$3:$AB$1012,""),"Server",_xlfn.XLOOKUP($K848&amp;"",SERVER!$B$3:$B$1009&amp;"",SERVER!$AB$3:$AB$1009,""),""))))</f>
        <v/>
      </c>
      <c r="R848" s="43" t="str">
        <f>IF(tbl_handover[[#This Row],[Asset Code]]="","",COUNTIF(tbl_handover[Asset Code],tbl_handover[[#This Row],[Asset Code]]))</f>
        <v/>
      </c>
    </row>
    <row r="849" spans="1:18" x14ac:dyDescent="0.25">
      <c r="A849" s="43" t="str">
        <f>IF(B849&lt;&gt;"",SUBTOTAL(3,$B$1:B848),"")</f>
        <v/>
      </c>
      <c r="C849" s="74"/>
      <c r="D849" s="74"/>
      <c r="G849" s="1"/>
      <c r="K849" s="42"/>
      <c r="L849" t="str" cm="1">
        <f t="array" ref="L849">IF($K849="","",_xlfn.SWITCH($I849,"Computer",_xlfn.XLOOKUP($K849&amp;"",COMPUTER!$B$3:$B$1009&amp;"",COMPUTER!$I$3:$I$1009,""),"Display",_xlfn.XLOOKUP($K849&amp;"",DISPLAY!$B$3:$B$1000&amp;"",DISPLAY!$J$3:$J$1000,""),"Network Device",_xlfn.XLOOKUP($K849&amp;"",'NETWORK-DEVICES'!$B$3:$B$987&amp;"",'NETWORK-DEVICES'!$I$3:$I$987,""),"Peripheral",_xlfn.XLOOKUP($K849&amp;"",PERIPHERAL!$B$3:$B$954&amp;"",PERIPHERAL!$I$3:$I$954,""),"Utilities",_xlfn.XLOOKUP($K849&amp;"",UTILITIES!$B$3:$B$953&amp;"",UTILITIES!$H$3:$H$953,""),"IOT",_xlfn.XLOOKUP($K849&amp;"",IOT!$B$3:$B$1012&amp;"",IOT!$I$3:$I$1012,""),"SERVER",_xlfn.XLOOKUP($K849&amp;"",SERVER!$B$3:$B$1009&amp;"",SERVER!$I$3:$I$1009,""),""))</f>
        <v/>
      </c>
      <c r="M849" t="str" cm="1">
        <f t="array" ref="M849">IF($K849="","",_xlfn.SWITCH($I849,"Computer",_xlfn.XLOOKUP($K849&amp;"",COMPUTER!$B$3:$B$1009&amp;"",COMPUTER!$J$3:$J$1009,""),"Display",_xlfn.XLOOKUP($K849&amp;"",DISPLAY!$B$3:$B$1000&amp;"",DISPLAY!$K$3:$K$1000,""),"Network Device",_xlfn.XLOOKUP($K849&amp;"",'NETWORK-DEVICES'!$B$3:$B$987&amp;"",'NETWORK-DEVICES'!$I$3:$I$987,""),"Peripheral",_xlfn.XLOOKUP($K849&amp;"",PERIPHERAL!$B$3:$B$954&amp;"",PERIPHERAL!$J$3:$J$954,""),"Utilities",_xlfn.XLOOKUP($K849&amp;"",UTILITIES!$B$3:$B$953&amp;"",UTILITIES!$I$3:$I$953,""),"IOT",_xlfn.XLOOKUP($K849&amp;"",IOT!$B$3:$B$1012&amp;"",IOT!$J$3:$J$1012,""),"Server",_xlfn.XLOOKUP($K849&amp;"",SERVER!$B$3:$B$1009&amp;"",SERVER!$J$3:$J$1009,""),""))</f>
        <v/>
      </c>
      <c r="N849" s="1" t="str" cm="1">
        <f t="array" ref="N849">IF(OR($K849="",$I849="",$J849=""),"",_xlfn.LET(_xlpm.srcCat,_xlfn.SWITCH($I849,"Computer",_xlfn.XLOOKUP($K849&amp;"",COMPUTER!$B$3:$B$1009&amp;"",COMPUTER!$H$3:$H$1009,""),"Display",_xlfn.XLOOKUP($K849&amp;"",DISPLAY!$B$3:$B$1000&amp;"",DISPLAY!$H$3:$H$1000,""),"Network Device",_xlfn.XLOOKUP($K849&amp;"",'NETWORK-DEVICES'!$B$3:$B$987&amp;"",'NETWORK-DEVICES'!$H$3:$H$987,""),"Peripheral",_xlfn.XLOOKUP($K849&amp;"",PERIPHERAL!$B$3:$B$954&amp;"",PERIPHERAL!$H$3:$H$954,""),"Utilities",_xlfn.XLOOKUP($K849&amp;"",UTILITIES!$B$3:$B$953&amp;"",UTILITIES!$G$3:$G$953,""),"IOT",_xlfn.XLOOKUP($K849&amp;"",IOT!$B$3:$B$1012&amp;"",IOT!$H$3:$H$1012,""),"Server",_xlfn.XLOOKUP($K849&amp;"",SERVER!$B$3:$B$1009&amp;"",SERVER!$H$3:$H$1009,""),""),IF(TRIM(_xlpm.srcCat)&lt;&gt;TRIM($J849),"",_xlfn.SWITCH($I849,"Computer",_xlfn.XLOOKUP($K849&amp;"",COMPUTER!$B$3:$B$1009&amp;"",COMPUTER!$K$3:$K$1009,""),"Display",_xlfn.XLOOKUP($K849&amp;"",DISPLAY!$B$3:$B$1000&amp;"",DISPLAY!$L$3:$L$1000,""),"Network Device",_xlfn.XLOOKUP($K849&amp;"",'NETWORK-DEVICES'!$B$3:$B$987&amp;"",'NETWORK-DEVICES'!$K$3:$K$987,""),"Peripheral",_xlfn.XLOOKUP($K849&amp;"",PERIPHERAL!$B$3:$B$954&amp;"",PERIPHERAL!$K$3:$K$954,""),"Utilities",_xlfn.XLOOKUP($K849&amp;"",UTILITIES!$B$3:$B$953&amp;"",UTILITIES!$J$3:$J$953,""),"IOT",_xlfn.XLOOKUP($K849&amp;"",IOT!$B$3:$B$1012&amp;"",IOT!$K$4:$K$1012,""),"Server",_xlfn.XLOOKUP($K849&amp;"",SERVER!$B$3:$B$1009&amp;"",SERVER!$K$3:$K$1009,""),""))))</f>
        <v/>
      </c>
      <c r="O849" s="1" t="str" cm="1">
        <f t="array" ref="O849">IF(OR($K849="",$I849="",$J849=""),"",_xlfn.LET(_xlpm.srcCat,_xlfn.SWITCH($I849,"Computer",_xlfn.XLOOKUP($K849&amp;"",COMPUTER!$B$3:$B$1009&amp;"",COMPUTER!$H$3:$H$1009,""),"Display",_xlfn.XLOOKUP($K849&amp;"",DISPLAY!$B$3:$B$1000&amp;"",DISPLAY!$H$3:$H$1000,""),"Network Device",_xlfn.XLOOKUP($K849&amp;"",'NETWORK-DEVICES'!$B$3:$B$987&amp;"",'NETWORK-DEVICES'!$H$3:$H$987,""),"Peripheral",_xlfn.XLOOKUP($K849&amp;"",PERIPHERAL!$B$3:$B$954&amp;"",PERIPHERAL!$H$3:$H$954,""),"Utilities",_xlfn.XLOOKUP($K849&amp;"",UTILITIES!$B$3:$B$953&amp;"",UTILITIES!$G$3:$G$953,""),"IOT",_xlfn.XLOOKUP($K849&amp;"",IOT!$B$3:$B$1012&amp;"",IOT!$H$3:$H$1012,""),"Server",_xlfn.XLOOKUP($K849&amp;"",SERVER!$B$3:$B$1009&amp;"",SERVER!$H$3:$H$1009,""),""),IF(TRIM(_xlpm.srcCat)&lt;&gt;TRIM($J849),"",_xlfn.SWITCH($I849,"Computer",_xlfn.XLOOKUP($K849&amp;"",COMPUTER!$B$3:$B$1009&amp;"",COMPUTER!$E$3:$E$1009,""),"Display",_xlfn.XLOOKUP($K849&amp;"",DISPLAY!$B$3:$B$1000&amp;"",DISPLAY!$E$3:$E$1000,""),"Network Device",_xlfn.XLOOKUP($K849&amp;"",'NETWORK-DEVICES'!$B$3:$B$987&amp;"",'NETWORK-DEVICES'!$E$3:$E$987,""),"Peripheral",_xlfn.XLOOKUP($K849&amp;"",PERIPHERAL!$B$3:$B$954&amp;"",PERIPHERAL!$E$3:$E$954,""),"Utilities",_xlfn.XLOOKUP($K849&amp;"",UTILITIES!$B$3:$B$953&amp;"",UTILITIES!$E$3:$E$953,""),"IOT",_xlfn.XLOOKUP($K849&amp;"",IOT!$B$3:$B$1012&amp;"",IOT!$E$3:$E$1012,""),"Server",_xlfn.XLOOKUP($K849&amp;"",SERVER!$B$3:$B$1009&amp;"",SERVER!$E$3:$E$1009,""),""))))</f>
        <v/>
      </c>
      <c r="Q849" s="1" t="str" cm="1">
        <f t="array" ref="Q849">IF(OR($K849="",$I849="",$J849=""),"",_xlfn.LET(_xlpm.srcCat,_xlfn.SWITCH($I849,"Computer",_xlfn.XLOOKUP($K849&amp;"",COMPUTER!$B$3:$B$1009&amp;"",COMPUTER!$H$3:$H$1009,""),"Display",_xlfn.XLOOKUP($K849&amp;"",DISPLAY!$B$3:$B$1000&amp;"",DISPLAY!$H$3:$H$1000,""),"Network Device",_xlfn.XLOOKUP($K849&amp;"",'NETWORK-DEVICES'!$B$3:$B$987&amp;"",'NETWORK-DEVICES'!$H$3:$H$987,""),"Peripheral",_xlfn.XLOOKUP($K849&amp;"",PERIPHERAL!$B$3:$B$954&amp;"",PERIPHERAL!$H$3:$H$954,""),"Utilities",_xlfn.XLOOKUP($K849&amp;"",UTILITIES!$B$3:$B$953&amp;"",UTILITIES!$G$3:$G$953,""),"IOT",_xlfn.XLOOKUP($K849&amp;"",IOT!$B$3:$B$1012&amp;"",IOT!$H$3:$H$1012,""),"Server",_xlfn.XLOOKUP($K849&amp;"",SERVER!$B$3:$B$1009&amp;"",SERVER!$H$3:$H$1009,""),""),IF(TRIM(_xlpm.srcCat)&lt;&gt;TRIM($J849),"",_xlfn.SWITCH($I849,"Computer",_xlfn.XLOOKUP($K849&amp;"",COMPUTER!$B$3:$B$1009&amp;"",COMPUTER!$AM$3:$AM$1009,""),"Display",_xlfn.XLOOKUP($K849&amp;"",DISPLAY!$B$3:$B$1000&amp;"",DISPLAY!$V$3:$V$1000,""),"Network Device",_xlfn.XLOOKUP($K849&amp;"",'NETWORK-DEVICES'!$B$3:$B$987&amp;"",'NETWORK-DEVICES'!$AF$3:$AF$987,""),"Peripheral",_xlfn.XLOOKUP($K849&amp;"",PERIPHERAL!$B$3:$B$954&amp;"",PERIPHERAL!$Y$3:$Y$954,""),"Utilities",_xlfn.XLOOKUP($K849&amp;"",UTILITIES!$B$3:$B$953&amp;"",UTILITIES!$O$3:$O$953,""),"IOT",_xlfn.XLOOKUP($K849&amp;"",IOT!$B$3:$B$1012&amp;"",IOT!$AB$3:$AB$1012,""),"Server",_xlfn.XLOOKUP($K849&amp;"",SERVER!$B$3:$B$1009&amp;"",SERVER!$AB$3:$AB$1009,""),""))))</f>
        <v/>
      </c>
      <c r="R849" s="43" t="str">
        <f>IF(tbl_handover[[#This Row],[Asset Code]]="","",COUNTIF(tbl_handover[Asset Code],tbl_handover[[#This Row],[Asset Code]]))</f>
        <v/>
      </c>
    </row>
    <row r="850" spans="1:18" x14ac:dyDescent="0.25">
      <c r="A850" s="43" t="str">
        <f>IF(B850&lt;&gt;"",SUBTOTAL(3,$B$1:B849),"")</f>
        <v/>
      </c>
      <c r="C850" s="74"/>
      <c r="D850" s="74"/>
      <c r="G850" s="1"/>
      <c r="K850" s="42"/>
      <c r="L850" t="str" cm="1">
        <f t="array" ref="L850">IF($K850="","",_xlfn.SWITCH($I850,"Computer",_xlfn.XLOOKUP($K850&amp;"",COMPUTER!$B$3:$B$1009&amp;"",COMPUTER!$I$3:$I$1009,""),"Display",_xlfn.XLOOKUP($K850&amp;"",DISPLAY!$B$3:$B$1000&amp;"",DISPLAY!$J$3:$J$1000,""),"Network Device",_xlfn.XLOOKUP($K850&amp;"",'NETWORK-DEVICES'!$B$3:$B$987&amp;"",'NETWORK-DEVICES'!$I$3:$I$987,""),"Peripheral",_xlfn.XLOOKUP($K850&amp;"",PERIPHERAL!$B$3:$B$954&amp;"",PERIPHERAL!$I$3:$I$954,""),"Utilities",_xlfn.XLOOKUP($K850&amp;"",UTILITIES!$B$3:$B$953&amp;"",UTILITIES!$H$3:$H$953,""),"IOT",_xlfn.XLOOKUP($K850&amp;"",IOT!$B$3:$B$1012&amp;"",IOT!$I$3:$I$1012,""),"SERVER",_xlfn.XLOOKUP($K850&amp;"",SERVER!$B$3:$B$1009&amp;"",SERVER!$I$3:$I$1009,""),""))</f>
        <v/>
      </c>
      <c r="M850" t="str" cm="1">
        <f t="array" ref="M850">IF($K850="","",_xlfn.SWITCH($I850,"Computer",_xlfn.XLOOKUP($K850&amp;"",COMPUTER!$B$3:$B$1009&amp;"",COMPUTER!$J$3:$J$1009,""),"Display",_xlfn.XLOOKUP($K850&amp;"",DISPLAY!$B$3:$B$1000&amp;"",DISPLAY!$K$3:$K$1000,""),"Network Device",_xlfn.XLOOKUP($K850&amp;"",'NETWORK-DEVICES'!$B$3:$B$987&amp;"",'NETWORK-DEVICES'!$I$3:$I$987,""),"Peripheral",_xlfn.XLOOKUP($K850&amp;"",PERIPHERAL!$B$3:$B$954&amp;"",PERIPHERAL!$J$3:$J$954,""),"Utilities",_xlfn.XLOOKUP($K850&amp;"",UTILITIES!$B$3:$B$953&amp;"",UTILITIES!$I$3:$I$953,""),"IOT",_xlfn.XLOOKUP($K850&amp;"",IOT!$B$3:$B$1012&amp;"",IOT!$J$3:$J$1012,""),"Server",_xlfn.XLOOKUP($K850&amp;"",SERVER!$B$3:$B$1009&amp;"",SERVER!$J$3:$J$1009,""),""))</f>
        <v/>
      </c>
      <c r="N850" s="1" t="str" cm="1">
        <f t="array" ref="N850">IF(OR($K850="",$I850="",$J850=""),"",_xlfn.LET(_xlpm.srcCat,_xlfn.SWITCH($I850,"Computer",_xlfn.XLOOKUP($K850&amp;"",COMPUTER!$B$3:$B$1009&amp;"",COMPUTER!$H$3:$H$1009,""),"Display",_xlfn.XLOOKUP($K850&amp;"",DISPLAY!$B$3:$B$1000&amp;"",DISPLAY!$H$3:$H$1000,""),"Network Device",_xlfn.XLOOKUP($K850&amp;"",'NETWORK-DEVICES'!$B$3:$B$987&amp;"",'NETWORK-DEVICES'!$H$3:$H$987,""),"Peripheral",_xlfn.XLOOKUP($K850&amp;"",PERIPHERAL!$B$3:$B$954&amp;"",PERIPHERAL!$H$3:$H$954,""),"Utilities",_xlfn.XLOOKUP($K850&amp;"",UTILITIES!$B$3:$B$953&amp;"",UTILITIES!$G$3:$G$953,""),"IOT",_xlfn.XLOOKUP($K850&amp;"",IOT!$B$3:$B$1012&amp;"",IOT!$H$3:$H$1012,""),"Server",_xlfn.XLOOKUP($K850&amp;"",SERVER!$B$3:$B$1009&amp;"",SERVER!$H$3:$H$1009,""),""),IF(TRIM(_xlpm.srcCat)&lt;&gt;TRIM($J850),"",_xlfn.SWITCH($I850,"Computer",_xlfn.XLOOKUP($K850&amp;"",COMPUTER!$B$3:$B$1009&amp;"",COMPUTER!$K$3:$K$1009,""),"Display",_xlfn.XLOOKUP($K850&amp;"",DISPLAY!$B$3:$B$1000&amp;"",DISPLAY!$L$3:$L$1000,""),"Network Device",_xlfn.XLOOKUP($K850&amp;"",'NETWORK-DEVICES'!$B$3:$B$987&amp;"",'NETWORK-DEVICES'!$K$3:$K$987,""),"Peripheral",_xlfn.XLOOKUP($K850&amp;"",PERIPHERAL!$B$3:$B$954&amp;"",PERIPHERAL!$K$3:$K$954,""),"Utilities",_xlfn.XLOOKUP($K850&amp;"",UTILITIES!$B$3:$B$953&amp;"",UTILITIES!$J$3:$J$953,""),"IOT",_xlfn.XLOOKUP($K850&amp;"",IOT!$B$3:$B$1012&amp;"",IOT!$K$4:$K$1012,""),"Server",_xlfn.XLOOKUP($K850&amp;"",SERVER!$B$3:$B$1009&amp;"",SERVER!$K$3:$K$1009,""),""))))</f>
        <v/>
      </c>
      <c r="O850" s="1" t="str" cm="1">
        <f t="array" ref="O850">IF(OR($K850="",$I850="",$J850=""),"",_xlfn.LET(_xlpm.srcCat,_xlfn.SWITCH($I850,"Computer",_xlfn.XLOOKUP($K850&amp;"",COMPUTER!$B$3:$B$1009&amp;"",COMPUTER!$H$3:$H$1009,""),"Display",_xlfn.XLOOKUP($K850&amp;"",DISPLAY!$B$3:$B$1000&amp;"",DISPLAY!$H$3:$H$1000,""),"Network Device",_xlfn.XLOOKUP($K850&amp;"",'NETWORK-DEVICES'!$B$3:$B$987&amp;"",'NETWORK-DEVICES'!$H$3:$H$987,""),"Peripheral",_xlfn.XLOOKUP($K850&amp;"",PERIPHERAL!$B$3:$B$954&amp;"",PERIPHERAL!$H$3:$H$954,""),"Utilities",_xlfn.XLOOKUP($K850&amp;"",UTILITIES!$B$3:$B$953&amp;"",UTILITIES!$G$3:$G$953,""),"IOT",_xlfn.XLOOKUP($K850&amp;"",IOT!$B$3:$B$1012&amp;"",IOT!$H$3:$H$1012,""),"Server",_xlfn.XLOOKUP($K850&amp;"",SERVER!$B$3:$B$1009&amp;"",SERVER!$H$3:$H$1009,""),""),IF(TRIM(_xlpm.srcCat)&lt;&gt;TRIM($J850),"",_xlfn.SWITCH($I850,"Computer",_xlfn.XLOOKUP($K850&amp;"",COMPUTER!$B$3:$B$1009&amp;"",COMPUTER!$E$3:$E$1009,""),"Display",_xlfn.XLOOKUP($K850&amp;"",DISPLAY!$B$3:$B$1000&amp;"",DISPLAY!$E$3:$E$1000,""),"Network Device",_xlfn.XLOOKUP($K850&amp;"",'NETWORK-DEVICES'!$B$3:$B$987&amp;"",'NETWORK-DEVICES'!$E$3:$E$987,""),"Peripheral",_xlfn.XLOOKUP($K850&amp;"",PERIPHERAL!$B$3:$B$954&amp;"",PERIPHERAL!$E$3:$E$954,""),"Utilities",_xlfn.XLOOKUP($K850&amp;"",UTILITIES!$B$3:$B$953&amp;"",UTILITIES!$E$3:$E$953,""),"IOT",_xlfn.XLOOKUP($K850&amp;"",IOT!$B$3:$B$1012&amp;"",IOT!$E$3:$E$1012,""),"Server",_xlfn.XLOOKUP($K850&amp;"",SERVER!$B$3:$B$1009&amp;"",SERVER!$E$3:$E$1009,""),""))))</f>
        <v/>
      </c>
      <c r="Q850" s="1" t="str" cm="1">
        <f t="array" ref="Q850">IF(OR($K850="",$I850="",$J850=""),"",_xlfn.LET(_xlpm.srcCat,_xlfn.SWITCH($I850,"Computer",_xlfn.XLOOKUP($K850&amp;"",COMPUTER!$B$3:$B$1009&amp;"",COMPUTER!$H$3:$H$1009,""),"Display",_xlfn.XLOOKUP($K850&amp;"",DISPLAY!$B$3:$B$1000&amp;"",DISPLAY!$H$3:$H$1000,""),"Network Device",_xlfn.XLOOKUP($K850&amp;"",'NETWORK-DEVICES'!$B$3:$B$987&amp;"",'NETWORK-DEVICES'!$H$3:$H$987,""),"Peripheral",_xlfn.XLOOKUP($K850&amp;"",PERIPHERAL!$B$3:$B$954&amp;"",PERIPHERAL!$H$3:$H$954,""),"Utilities",_xlfn.XLOOKUP($K850&amp;"",UTILITIES!$B$3:$B$953&amp;"",UTILITIES!$G$3:$G$953,""),"IOT",_xlfn.XLOOKUP($K850&amp;"",IOT!$B$3:$B$1012&amp;"",IOT!$H$3:$H$1012,""),"Server",_xlfn.XLOOKUP($K850&amp;"",SERVER!$B$3:$B$1009&amp;"",SERVER!$H$3:$H$1009,""),""),IF(TRIM(_xlpm.srcCat)&lt;&gt;TRIM($J850),"",_xlfn.SWITCH($I850,"Computer",_xlfn.XLOOKUP($K850&amp;"",COMPUTER!$B$3:$B$1009&amp;"",COMPUTER!$AM$3:$AM$1009,""),"Display",_xlfn.XLOOKUP($K850&amp;"",DISPLAY!$B$3:$B$1000&amp;"",DISPLAY!$V$3:$V$1000,""),"Network Device",_xlfn.XLOOKUP($K850&amp;"",'NETWORK-DEVICES'!$B$3:$B$987&amp;"",'NETWORK-DEVICES'!$AF$3:$AF$987,""),"Peripheral",_xlfn.XLOOKUP($K850&amp;"",PERIPHERAL!$B$3:$B$954&amp;"",PERIPHERAL!$Y$3:$Y$954,""),"Utilities",_xlfn.XLOOKUP($K850&amp;"",UTILITIES!$B$3:$B$953&amp;"",UTILITIES!$O$3:$O$953,""),"IOT",_xlfn.XLOOKUP($K850&amp;"",IOT!$B$3:$B$1012&amp;"",IOT!$AB$3:$AB$1012,""),"Server",_xlfn.XLOOKUP($K850&amp;"",SERVER!$B$3:$B$1009&amp;"",SERVER!$AB$3:$AB$1009,""),""))))</f>
        <v/>
      </c>
      <c r="R850" s="43" t="str">
        <f>IF(tbl_handover[[#This Row],[Asset Code]]="","",COUNTIF(tbl_handover[Asset Code],tbl_handover[[#This Row],[Asset Code]]))</f>
        <v/>
      </c>
    </row>
    <row r="851" spans="1:18" x14ac:dyDescent="0.25">
      <c r="A851" s="43" t="str">
        <f>IF(B851&lt;&gt;"",SUBTOTAL(3,$B$1:B850),"")</f>
        <v/>
      </c>
      <c r="C851" s="74"/>
      <c r="D851" s="74"/>
      <c r="G851" s="1"/>
      <c r="K851" s="42"/>
      <c r="L851" t="str" cm="1">
        <f t="array" ref="L851">IF($K851="","",_xlfn.SWITCH($I851,"Computer",_xlfn.XLOOKUP($K851&amp;"",COMPUTER!$B$3:$B$1009&amp;"",COMPUTER!$I$3:$I$1009,""),"Display",_xlfn.XLOOKUP($K851&amp;"",DISPLAY!$B$3:$B$1000&amp;"",DISPLAY!$J$3:$J$1000,""),"Network Device",_xlfn.XLOOKUP($K851&amp;"",'NETWORK-DEVICES'!$B$3:$B$987&amp;"",'NETWORK-DEVICES'!$I$3:$I$987,""),"Peripheral",_xlfn.XLOOKUP($K851&amp;"",PERIPHERAL!$B$3:$B$954&amp;"",PERIPHERAL!$I$3:$I$954,""),"Utilities",_xlfn.XLOOKUP($K851&amp;"",UTILITIES!$B$3:$B$953&amp;"",UTILITIES!$H$3:$H$953,""),"IOT",_xlfn.XLOOKUP($K851&amp;"",IOT!$B$3:$B$1012&amp;"",IOT!$I$3:$I$1012,""),"SERVER",_xlfn.XLOOKUP($K851&amp;"",SERVER!$B$3:$B$1009&amp;"",SERVER!$I$3:$I$1009,""),""))</f>
        <v/>
      </c>
      <c r="M851" t="str" cm="1">
        <f t="array" ref="M851">IF($K851="","",_xlfn.SWITCH($I851,"Computer",_xlfn.XLOOKUP($K851&amp;"",COMPUTER!$B$3:$B$1009&amp;"",COMPUTER!$J$3:$J$1009,""),"Display",_xlfn.XLOOKUP($K851&amp;"",DISPLAY!$B$3:$B$1000&amp;"",DISPLAY!$K$3:$K$1000,""),"Network Device",_xlfn.XLOOKUP($K851&amp;"",'NETWORK-DEVICES'!$B$3:$B$987&amp;"",'NETWORK-DEVICES'!$I$3:$I$987,""),"Peripheral",_xlfn.XLOOKUP($K851&amp;"",PERIPHERAL!$B$3:$B$954&amp;"",PERIPHERAL!$J$3:$J$954,""),"Utilities",_xlfn.XLOOKUP($K851&amp;"",UTILITIES!$B$3:$B$953&amp;"",UTILITIES!$I$3:$I$953,""),"IOT",_xlfn.XLOOKUP($K851&amp;"",IOT!$B$3:$B$1012&amp;"",IOT!$J$3:$J$1012,""),"Server",_xlfn.XLOOKUP($K851&amp;"",SERVER!$B$3:$B$1009&amp;"",SERVER!$J$3:$J$1009,""),""))</f>
        <v/>
      </c>
      <c r="N851" s="1" t="str" cm="1">
        <f t="array" ref="N851">IF(OR($K851="",$I851="",$J851=""),"",_xlfn.LET(_xlpm.srcCat,_xlfn.SWITCH($I851,"Computer",_xlfn.XLOOKUP($K851&amp;"",COMPUTER!$B$3:$B$1009&amp;"",COMPUTER!$H$3:$H$1009,""),"Display",_xlfn.XLOOKUP($K851&amp;"",DISPLAY!$B$3:$B$1000&amp;"",DISPLAY!$H$3:$H$1000,""),"Network Device",_xlfn.XLOOKUP($K851&amp;"",'NETWORK-DEVICES'!$B$3:$B$987&amp;"",'NETWORK-DEVICES'!$H$3:$H$987,""),"Peripheral",_xlfn.XLOOKUP($K851&amp;"",PERIPHERAL!$B$3:$B$954&amp;"",PERIPHERAL!$H$3:$H$954,""),"Utilities",_xlfn.XLOOKUP($K851&amp;"",UTILITIES!$B$3:$B$953&amp;"",UTILITIES!$G$3:$G$953,""),"IOT",_xlfn.XLOOKUP($K851&amp;"",IOT!$B$3:$B$1012&amp;"",IOT!$H$3:$H$1012,""),"Server",_xlfn.XLOOKUP($K851&amp;"",SERVER!$B$3:$B$1009&amp;"",SERVER!$H$3:$H$1009,""),""),IF(TRIM(_xlpm.srcCat)&lt;&gt;TRIM($J851),"",_xlfn.SWITCH($I851,"Computer",_xlfn.XLOOKUP($K851&amp;"",COMPUTER!$B$3:$B$1009&amp;"",COMPUTER!$K$3:$K$1009,""),"Display",_xlfn.XLOOKUP($K851&amp;"",DISPLAY!$B$3:$B$1000&amp;"",DISPLAY!$L$3:$L$1000,""),"Network Device",_xlfn.XLOOKUP($K851&amp;"",'NETWORK-DEVICES'!$B$3:$B$987&amp;"",'NETWORK-DEVICES'!$K$3:$K$987,""),"Peripheral",_xlfn.XLOOKUP($K851&amp;"",PERIPHERAL!$B$3:$B$954&amp;"",PERIPHERAL!$K$3:$K$954,""),"Utilities",_xlfn.XLOOKUP($K851&amp;"",UTILITIES!$B$3:$B$953&amp;"",UTILITIES!$J$3:$J$953,""),"IOT",_xlfn.XLOOKUP($K851&amp;"",IOT!$B$3:$B$1012&amp;"",IOT!$K$4:$K$1012,""),"Server",_xlfn.XLOOKUP($K851&amp;"",SERVER!$B$3:$B$1009&amp;"",SERVER!$K$3:$K$1009,""),""))))</f>
        <v/>
      </c>
      <c r="O851" s="1" t="str" cm="1">
        <f t="array" ref="O851">IF(OR($K851="",$I851="",$J851=""),"",_xlfn.LET(_xlpm.srcCat,_xlfn.SWITCH($I851,"Computer",_xlfn.XLOOKUP($K851&amp;"",COMPUTER!$B$3:$B$1009&amp;"",COMPUTER!$H$3:$H$1009,""),"Display",_xlfn.XLOOKUP($K851&amp;"",DISPLAY!$B$3:$B$1000&amp;"",DISPLAY!$H$3:$H$1000,""),"Network Device",_xlfn.XLOOKUP($K851&amp;"",'NETWORK-DEVICES'!$B$3:$B$987&amp;"",'NETWORK-DEVICES'!$H$3:$H$987,""),"Peripheral",_xlfn.XLOOKUP($K851&amp;"",PERIPHERAL!$B$3:$B$954&amp;"",PERIPHERAL!$H$3:$H$954,""),"Utilities",_xlfn.XLOOKUP($K851&amp;"",UTILITIES!$B$3:$B$953&amp;"",UTILITIES!$G$3:$G$953,""),"IOT",_xlfn.XLOOKUP($K851&amp;"",IOT!$B$3:$B$1012&amp;"",IOT!$H$3:$H$1012,""),"Server",_xlfn.XLOOKUP($K851&amp;"",SERVER!$B$3:$B$1009&amp;"",SERVER!$H$3:$H$1009,""),""),IF(TRIM(_xlpm.srcCat)&lt;&gt;TRIM($J851),"",_xlfn.SWITCH($I851,"Computer",_xlfn.XLOOKUP($K851&amp;"",COMPUTER!$B$3:$B$1009&amp;"",COMPUTER!$E$3:$E$1009,""),"Display",_xlfn.XLOOKUP($K851&amp;"",DISPLAY!$B$3:$B$1000&amp;"",DISPLAY!$E$3:$E$1000,""),"Network Device",_xlfn.XLOOKUP($K851&amp;"",'NETWORK-DEVICES'!$B$3:$B$987&amp;"",'NETWORK-DEVICES'!$E$3:$E$987,""),"Peripheral",_xlfn.XLOOKUP($K851&amp;"",PERIPHERAL!$B$3:$B$954&amp;"",PERIPHERAL!$E$3:$E$954,""),"Utilities",_xlfn.XLOOKUP($K851&amp;"",UTILITIES!$B$3:$B$953&amp;"",UTILITIES!$E$3:$E$953,""),"IOT",_xlfn.XLOOKUP($K851&amp;"",IOT!$B$3:$B$1012&amp;"",IOT!$E$3:$E$1012,""),"Server",_xlfn.XLOOKUP($K851&amp;"",SERVER!$B$3:$B$1009&amp;"",SERVER!$E$3:$E$1009,""),""))))</f>
        <v/>
      </c>
      <c r="Q851" s="1" t="str" cm="1">
        <f t="array" ref="Q851">IF(OR($K851="",$I851="",$J851=""),"",_xlfn.LET(_xlpm.srcCat,_xlfn.SWITCH($I851,"Computer",_xlfn.XLOOKUP($K851&amp;"",COMPUTER!$B$3:$B$1009&amp;"",COMPUTER!$H$3:$H$1009,""),"Display",_xlfn.XLOOKUP($K851&amp;"",DISPLAY!$B$3:$B$1000&amp;"",DISPLAY!$H$3:$H$1000,""),"Network Device",_xlfn.XLOOKUP($K851&amp;"",'NETWORK-DEVICES'!$B$3:$B$987&amp;"",'NETWORK-DEVICES'!$H$3:$H$987,""),"Peripheral",_xlfn.XLOOKUP($K851&amp;"",PERIPHERAL!$B$3:$B$954&amp;"",PERIPHERAL!$H$3:$H$954,""),"Utilities",_xlfn.XLOOKUP($K851&amp;"",UTILITIES!$B$3:$B$953&amp;"",UTILITIES!$G$3:$G$953,""),"IOT",_xlfn.XLOOKUP($K851&amp;"",IOT!$B$3:$B$1012&amp;"",IOT!$H$3:$H$1012,""),"Server",_xlfn.XLOOKUP($K851&amp;"",SERVER!$B$3:$B$1009&amp;"",SERVER!$H$3:$H$1009,""),""),IF(TRIM(_xlpm.srcCat)&lt;&gt;TRIM($J851),"",_xlfn.SWITCH($I851,"Computer",_xlfn.XLOOKUP($K851&amp;"",COMPUTER!$B$3:$B$1009&amp;"",COMPUTER!$AM$3:$AM$1009,""),"Display",_xlfn.XLOOKUP($K851&amp;"",DISPLAY!$B$3:$B$1000&amp;"",DISPLAY!$V$3:$V$1000,""),"Network Device",_xlfn.XLOOKUP($K851&amp;"",'NETWORK-DEVICES'!$B$3:$B$987&amp;"",'NETWORK-DEVICES'!$AF$3:$AF$987,""),"Peripheral",_xlfn.XLOOKUP($K851&amp;"",PERIPHERAL!$B$3:$B$954&amp;"",PERIPHERAL!$Y$3:$Y$954,""),"Utilities",_xlfn.XLOOKUP($K851&amp;"",UTILITIES!$B$3:$B$953&amp;"",UTILITIES!$O$3:$O$953,""),"IOT",_xlfn.XLOOKUP($K851&amp;"",IOT!$B$3:$B$1012&amp;"",IOT!$AB$3:$AB$1012,""),"Server",_xlfn.XLOOKUP($K851&amp;"",SERVER!$B$3:$B$1009&amp;"",SERVER!$AB$3:$AB$1009,""),""))))</f>
        <v/>
      </c>
      <c r="R851" s="43" t="str">
        <f>IF(tbl_handover[[#This Row],[Asset Code]]="","",COUNTIF(tbl_handover[Asset Code],tbl_handover[[#This Row],[Asset Code]]))</f>
        <v/>
      </c>
    </row>
    <row r="852" spans="1:18" x14ac:dyDescent="0.25">
      <c r="A852" s="43" t="str">
        <f>IF(B852&lt;&gt;"",SUBTOTAL(3,$B$1:B851),"")</f>
        <v/>
      </c>
      <c r="C852" s="74"/>
      <c r="D852" s="74"/>
      <c r="G852" s="1"/>
      <c r="K852" s="42"/>
      <c r="L852" t="str" cm="1">
        <f t="array" ref="L852">IF($K852="","",_xlfn.SWITCH($I852,"Computer",_xlfn.XLOOKUP($K852&amp;"",COMPUTER!$B$3:$B$1009&amp;"",COMPUTER!$I$3:$I$1009,""),"Display",_xlfn.XLOOKUP($K852&amp;"",DISPLAY!$B$3:$B$1000&amp;"",DISPLAY!$J$3:$J$1000,""),"Network Device",_xlfn.XLOOKUP($K852&amp;"",'NETWORK-DEVICES'!$B$3:$B$987&amp;"",'NETWORK-DEVICES'!$I$3:$I$987,""),"Peripheral",_xlfn.XLOOKUP($K852&amp;"",PERIPHERAL!$B$3:$B$954&amp;"",PERIPHERAL!$I$3:$I$954,""),"Utilities",_xlfn.XLOOKUP($K852&amp;"",UTILITIES!$B$3:$B$953&amp;"",UTILITIES!$H$3:$H$953,""),"IOT",_xlfn.XLOOKUP($K852&amp;"",IOT!$B$3:$B$1012&amp;"",IOT!$I$3:$I$1012,""),"SERVER",_xlfn.XLOOKUP($K852&amp;"",SERVER!$B$3:$B$1009&amp;"",SERVER!$I$3:$I$1009,""),""))</f>
        <v/>
      </c>
      <c r="M852" t="str" cm="1">
        <f t="array" ref="M852">IF($K852="","",_xlfn.SWITCH($I852,"Computer",_xlfn.XLOOKUP($K852&amp;"",COMPUTER!$B$3:$B$1009&amp;"",COMPUTER!$J$3:$J$1009,""),"Display",_xlfn.XLOOKUP($K852&amp;"",DISPLAY!$B$3:$B$1000&amp;"",DISPLAY!$K$3:$K$1000,""),"Network Device",_xlfn.XLOOKUP($K852&amp;"",'NETWORK-DEVICES'!$B$3:$B$987&amp;"",'NETWORK-DEVICES'!$I$3:$I$987,""),"Peripheral",_xlfn.XLOOKUP($K852&amp;"",PERIPHERAL!$B$3:$B$954&amp;"",PERIPHERAL!$J$3:$J$954,""),"Utilities",_xlfn.XLOOKUP($K852&amp;"",UTILITIES!$B$3:$B$953&amp;"",UTILITIES!$I$3:$I$953,""),"IOT",_xlfn.XLOOKUP($K852&amp;"",IOT!$B$3:$B$1012&amp;"",IOT!$J$3:$J$1012,""),"Server",_xlfn.XLOOKUP($K852&amp;"",SERVER!$B$3:$B$1009&amp;"",SERVER!$J$3:$J$1009,""),""))</f>
        <v/>
      </c>
      <c r="N852" s="1" t="str" cm="1">
        <f t="array" ref="N852">IF(OR($K852="",$I852="",$J852=""),"",_xlfn.LET(_xlpm.srcCat,_xlfn.SWITCH($I852,"Computer",_xlfn.XLOOKUP($K852&amp;"",COMPUTER!$B$3:$B$1009&amp;"",COMPUTER!$H$3:$H$1009,""),"Display",_xlfn.XLOOKUP($K852&amp;"",DISPLAY!$B$3:$B$1000&amp;"",DISPLAY!$H$3:$H$1000,""),"Network Device",_xlfn.XLOOKUP($K852&amp;"",'NETWORK-DEVICES'!$B$3:$B$987&amp;"",'NETWORK-DEVICES'!$H$3:$H$987,""),"Peripheral",_xlfn.XLOOKUP($K852&amp;"",PERIPHERAL!$B$3:$B$954&amp;"",PERIPHERAL!$H$3:$H$954,""),"Utilities",_xlfn.XLOOKUP($K852&amp;"",UTILITIES!$B$3:$B$953&amp;"",UTILITIES!$G$3:$G$953,""),"IOT",_xlfn.XLOOKUP($K852&amp;"",IOT!$B$3:$B$1012&amp;"",IOT!$H$3:$H$1012,""),"Server",_xlfn.XLOOKUP($K852&amp;"",SERVER!$B$3:$B$1009&amp;"",SERVER!$H$3:$H$1009,""),""),IF(TRIM(_xlpm.srcCat)&lt;&gt;TRIM($J852),"",_xlfn.SWITCH($I852,"Computer",_xlfn.XLOOKUP($K852&amp;"",COMPUTER!$B$3:$B$1009&amp;"",COMPUTER!$K$3:$K$1009,""),"Display",_xlfn.XLOOKUP($K852&amp;"",DISPLAY!$B$3:$B$1000&amp;"",DISPLAY!$L$3:$L$1000,""),"Network Device",_xlfn.XLOOKUP($K852&amp;"",'NETWORK-DEVICES'!$B$3:$B$987&amp;"",'NETWORK-DEVICES'!$K$3:$K$987,""),"Peripheral",_xlfn.XLOOKUP($K852&amp;"",PERIPHERAL!$B$3:$B$954&amp;"",PERIPHERAL!$K$3:$K$954,""),"Utilities",_xlfn.XLOOKUP($K852&amp;"",UTILITIES!$B$3:$B$953&amp;"",UTILITIES!$J$3:$J$953,""),"IOT",_xlfn.XLOOKUP($K852&amp;"",IOT!$B$3:$B$1012&amp;"",IOT!$K$4:$K$1012,""),"Server",_xlfn.XLOOKUP($K852&amp;"",SERVER!$B$3:$B$1009&amp;"",SERVER!$K$3:$K$1009,""),""))))</f>
        <v/>
      </c>
      <c r="O852" s="1" t="str" cm="1">
        <f t="array" ref="O852">IF(OR($K852="",$I852="",$J852=""),"",_xlfn.LET(_xlpm.srcCat,_xlfn.SWITCH($I852,"Computer",_xlfn.XLOOKUP($K852&amp;"",COMPUTER!$B$3:$B$1009&amp;"",COMPUTER!$H$3:$H$1009,""),"Display",_xlfn.XLOOKUP($K852&amp;"",DISPLAY!$B$3:$B$1000&amp;"",DISPLAY!$H$3:$H$1000,""),"Network Device",_xlfn.XLOOKUP($K852&amp;"",'NETWORK-DEVICES'!$B$3:$B$987&amp;"",'NETWORK-DEVICES'!$H$3:$H$987,""),"Peripheral",_xlfn.XLOOKUP($K852&amp;"",PERIPHERAL!$B$3:$B$954&amp;"",PERIPHERAL!$H$3:$H$954,""),"Utilities",_xlfn.XLOOKUP($K852&amp;"",UTILITIES!$B$3:$B$953&amp;"",UTILITIES!$G$3:$G$953,""),"IOT",_xlfn.XLOOKUP($K852&amp;"",IOT!$B$3:$B$1012&amp;"",IOT!$H$3:$H$1012,""),"Server",_xlfn.XLOOKUP($K852&amp;"",SERVER!$B$3:$B$1009&amp;"",SERVER!$H$3:$H$1009,""),""),IF(TRIM(_xlpm.srcCat)&lt;&gt;TRIM($J852),"",_xlfn.SWITCH($I852,"Computer",_xlfn.XLOOKUP($K852&amp;"",COMPUTER!$B$3:$B$1009&amp;"",COMPUTER!$E$3:$E$1009,""),"Display",_xlfn.XLOOKUP($K852&amp;"",DISPLAY!$B$3:$B$1000&amp;"",DISPLAY!$E$3:$E$1000,""),"Network Device",_xlfn.XLOOKUP($K852&amp;"",'NETWORK-DEVICES'!$B$3:$B$987&amp;"",'NETWORK-DEVICES'!$E$3:$E$987,""),"Peripheral",_xlfn.XLOOKUP($K852&amp;"",PERIPHERAL!$B$3:$B$954&amp;"",PERIPHERAL!$E$3:$E$954,""),"Utilities",_xlfn.XLOOKUP($K852&amp;"",UTILITIES!$B$3:$B$953&amp;"",UTILITIES!$E$3:$E$953,""),"IOT",_xlfn.XLOOKUP($K852&amp;"",IOT!$B$3:$B$1012&amp;"",IOT!$E$3:$E$1012,""),"Server",_xlfn.XLOOKUP($K852&amp;"",SERVER!$B$3:$B$1009&amp;"",SERVER!$E$3:$E$1009,""),""))))</f>
        <v/>
      </c>
      <c r="Q852" s="1" t="str" cm="1">
        <f t="array" ref="Q852">IF(OR($K852="",$I852="",$J852=""),"",_xlfn.LET(_xlpm.srcCat,_xlfn.SWITCH($I852,"Computer",_xlfn.XLOOKUP($K852&amp;"",COMPUTER!$B$3:$B$1009&amp;"",COMPUTER!$H$3:$H$1009,""),"Display",_xlfn.XLOOKUP($K852&amp;"",DISPLAY!$B$3:$B$1000&amp;"",DISPLAY!$H$3:$H$1000,""),"Network Device",_xlfn.XLOOKUP($K852&amp;"",'NETWORK-DEVICES'!$B$3:$B$987&amp;"",'NETWORK-DEVICES'!$H$3:$H$987,""),"Peripheral",_xlfn.XLOOKUP($K852&amp;"",PERIPHERAL!$B$3:$B$954&amp;"",PERIPHERAL!$H$3:$H$954,""),"Utilities",_xlfn.XLOOKUP($K852&amp;"",UTILITIES!$B$3:$B$953&amp;"",UTILITIES!$G$3:$G$953,""),"IOT",_xlfn.XLOOKUP($K852&amp;"",IOT!$B$3:$B$1012&amp;"",IOT!$H$3:$H$1012,""),"Server",_xlfn.XLOOKUP($K852&amp;"",SERVER!$B$3:$B$1009&amp;"",SERVER!$H$3:$H$1009,""),""),IF(TRIM(_xlpm.srcCat)&lt;&gt;TRIM($J852),"",_xlfn.SWITCH($I852,"Computer",_xlfn.XLOOKUP($K852&amp;"",COMPUTER!$B$3:$B$1009&amp;"",COMPUTER!$AM$3:$AM$1009,""),"Display",_xlfn.XLOOKUP($K852&amp;"",DISPLAY!$B$3:$B$1000&amp;"",DISPLAY!$V$3:$V$1000,""),"Network Device",_xlfn.XLOOKUP($K852&amp;"",'NETWORK-DEVICES'!$B$3:$B$987&amp;"",'NETWORK-DEVICES'!$AF$3:$AF$987,""),"Peripheral",_xlfn.XLOOKUP($K852&amp;"",PERIPHERAL!$B$3:$B$954&amp;"",PERIPHERAL!$Y$3:$Y$954,""),"Utilities",_xlfn.XLOOKUP($K852&amp;"",UTILITIES!$B$3:$B$953&amp;"",UTILITIES!$O$3:$O$953,""),"IOT",_xlfn.XLOOKUP($K852&amp;"",IOT!$B$3:$B$1012&amp;"",IOT!$AB$3:$AB$1012,""),"Server",_xlfn.XLOOKUP($K852&amp;"",SERVER!$B$3:$B$1009&amp;"",SERVER!$AB$3:$AB$1009,""),""))))</f>
        <v/>
      </c>
      <c r="R852" s="43" t="str">
        <f>IF(tbl_handover[[#This Row],[Asset Code]]="","",COUNTIF(tbl_handover[Asset Code],tbl_handover[[#This Row],[Asset Code]]))</f>
        <v/>
      </c>
    </row>
    <row r="853" spans="1:18" x14ac:dyDescent="0.25">
      <c r="A853" s="43" t="str">
        <f>IF(B853&lt;&gt;"",SUBTOTAL(3,$B$1:B852),"")</f>
        <v/>
      </c>
      <c r="C853" s="74"/>
      <c r="D853" s="74"/>
      <c r="G853" s="1"/>
      <c r="K853" s="42"/>
      <c r="L853" t="str" cm="1">
        <f t="array" ref="L853">IF($K853="","",_xlfn.SWITCH($I853,"Computer",_xlfn.XLOOKUP($K853&amp;"",COMPUTER!$B$3:$B$1009&amp;"",COMPUTER!$I$3:$I$1009,""),"Display",_xlfn.XLOOKUP($K853&amp;"",DISPLAY!$B$3:$B$1000&amp;"",DISPLAY!$J$3:$J$1000,""),"Network Device",_xlfn.XLOOKUP($K853&amp;"",'NETWORK-DEVICES'!$B$3:$B$987&amp;"",'NETWORK-DEVICES'!$I$3:$I$987,""),"Peripheral",_xlfn.XLOOKUP($K853&amp;"",PERIPHERAL!$B$3:$B$954&amp;"",PERIPHERAL!$I$3:$I$954,""),"Utilities",_xlfn.XLOOKUP($K853&amp;"",UTILITIES!$B$3:$B$953&amp;"",UTILITIES!$H$3:$H$953,""),"IOT",_xlfn.XLOOKUP($K853&amp;"",IOT!$B$3:$B$1012&amp;"",IOT!$I$3:$I$1012,""),"SERVER",_xlfn.XLOOKUP($K853&amp;"",SERVER!$B$3:$B$1009&amp;"",SERVER!$I$3:$I$1009,""),""))</f>
        <v/>
      </c>
      <c r="M853" t="str" cm="1">
        <f t="array" ref="M853">IF($K853="","",_xlfn.SWITCH($I853,"Computer",_xlfn.XLOOKUP($K853&amp;"",COMPUTER!$B$3:$B$1009&amp;"",COMPUTER!$J$3:$J$1009,""),"Display",_xlfn.XLOOKUP($K853&amp;"",DISPLAY!$B$3:$B$1000&amp;"",DISPLAY!$K$3:$K$1000,""),"Network Device",_xlfn.XLOOKUP($K853&amp;"",'NETWORK-DEVICES'!$B$3:$B$987&amp;"",'NETWORK-DEVICES'!$I$3:$I$987,""),"Peripheral",_xlfn.XLOOKUP($K853&amp;"",PERIPHERAL!$B$3:$B$954&amp;"",PERIPHERAL!$J$3:$J$954,""),"Utilities",_xlfn.XLOOKUP($K853&amp;"",UTILITIES!$B$3:$B$953&amp;"",UTILITIES!$I$3:$I$953,""),"IOT",_xlfn.XLOOKUP($K853&amp;"",IOT!$B$3:$B$1012&amp;"",IOT!$J$3:$J$1012,""),"Server",_xlfn.XLOOKUP($K853&amp;"",SERVER!$B$3:$B$1009&amp;"",SERVER!$J$3:$J$1009,""),""))</f>
        <v/>
      </c>
      <c r="N853" s="1" t="str" cm="1">
        <f t="array" ref="N853">IF(OR($K853="",$I853="",$J853=""),"",_xlfn.LET(_xlpm.srcCat,_xlfn.SWITCH($I853,"Computer",_xlfn.XLOOKUP($K853&amp;"",COMPUTER!$B$3:$B$1009&amp;"",COMPUTER!$H$3:$H$1009,""),"Display",_xlfn.XLOOKUP($K853&amp;"",DISPLAY!$B$3:$B$1000&amp;"",DISPLAY!$H$3:$H$1000,""),"Network Device",_xlfn.XLOOKUP($K853&amp;"",'NETWORK-DEVICES'!$B$3:$B$987&amp;"",'NETWORK-DEVICES'!$H$3:$H$987,""),"Peripheral",_xlfn.XLOOKUP($K853&amp;"",PERIPHERAL!$B$3:$B$954&amp;"",PERIPHERAL!$H$3:$H$954,""),"Utilities",_xlfn.XLOOKUP($K853&amp;"",UTILITIES!$B$3:$B$953&amp;"",UTILITIES!$G$3:$G$953,""),"IOT",_xlfn.XLOOKUP($K853&amp;"",IOT!$B$3:$B$1012&amp;"",IOT!$H$3:$H$1012,""),"Server",_xlfn.XLOOKUP($K853&amp;"",SERVER!$B$3:$B$1009&amp;"",SERVER!$H$3:$H$1009,""),""),IF(TRIM(_xlpm.srcCat)&lt;&gt;TRIM($J853),"",_xlfn.SWITCH($I853,"Computer",_xlfn.XLOOKUP($K853&amp;"",COMPUTER!$B$3:$B$1009&amp;"",COMPUTER!$K$3:$K$1009,""),"Display",_xlfn.XLOOKUP($K853&amp;"",DISPLAY!$B$3:$B$1000&amp;"",DISPLAY!$L$3:$L$1000,""),"Network Device",_xlfn.XLOOKUP($K853&amp;"",'NETWORK-DEVICES'!$B$3:$B$987&amp;"",'NETWORK-DEVICES'!$K$3:$K$987,""),"Peripheral",_xlfn.XLOOKUP($K853&amp;"",PERIPHERAL!$B$3:$B$954&amp;"",PERIPHERAL!$K$3:$K$954,""),"Utilities",_xlfn.XLOOKUP($K853&amp;"",UTILITIES!$B$3:$B$953&amp;"",UTILITIES!$J$3:$J$953,""),"IOT",_xlfn.XLOOKUP($K853&amp;"",IOT!$B$3:$B$1012&amp;"",IOT!$K$4:$K$1012,""),"Server",_xlfn.XLOOKUP($K853&amp;"",SERVER!$B$3:$B$1009&amp;"",SERVER!$K$3:$K$1009,""),""))))</f>
        <v/>
      </c>
      <c r="O853" s="1" t="str" cm="1">
        <f t="array" ref="O853">IF(OR($K853="",$I853="",$J853=""),"",_xlfn.LET(_xlpm.srcCat,_xlfn.SWITCH($I853,"Computer",_xlfn.XLOOKUP($K853&amp;"",COMPUTER!$B$3:$B$1009&amp;"",COMPUTER!$H$3:$H$1009,""),"Display",_xlfn.XLOOKUP($K853&amp;"",DISPLAY!$B$3:$B$1000&amp;"",DISPLAY!$H$3:$H$1000,""),"Network Device",_xlfn.XLOOKUP($K853&amp;"",'NETWORK-DEVICES'!$B$3:$B$987&amp;"",'NETWORK-DEVICES'!$H$3:$H$987,""),"Peripheral",_xlfn.XLOOKUP($K853&amp;"",PERIPHERAL!$B$3:$B$954&amp;"",PERIPHERAL!$H$3:$H$954,""),"Utilities",_xlfn.XLOOKUP($K853&amp;"",UTILITIES!$B$3:$B$953&amp;"",UTILITIES!$G$3:$G$953,""),"IOT",_xlfn.XLOOKUP($K853&amp;"",IOT!$B$3:$B$1012&amp;"",IOT!$H$3:$H$1012,""),"Server",_xlfn.XLOOKUP($K853&amp;"",SERVER!$B$3:$B$1009&amp;"",SERVER!$H$3:$H$1009,""),""),IF(TRIM(_xlpm.srcCat)&lt;&gt;TRIM($J853),"",_xlfn.SWITCH($I853,"Computer",_xlfn.XLOOKUP($K853&amp;"",COMPUTER!$B$3:$B$1009&amp;"",COMPUTER!$E$3:$E$1009,""),"Display",_xlfn.XLOOKUP($K853&amp;"",DISPLAY!$B$3:$B$1000&amp;"",DISPLAY!$E$3:$E$1000,""),"Network Device",_xlfn.XLOOKUP($K853&amp;"",'NETWORK-DEVICES'!$B$3:$B$987&amp;"",'NETWORK-DEVICES'!$E$3:$E$987,""),"Peripheral",_xlfn.XLOOKUP($K853&amp;"",PERIPHERAL!$B$3:$B$954&amp;"",PERIPHERAL!$E$3:$E$954,""),"Utilities",_xlfn.XLOOKUP($K853&amp;"",UTILITIES!$B$3:$B$953&amp;"",UTILITIES!$E$3:$E$953,""),"IOT",_xlfn.XLOOKUP($K853&amp;"",IOT!$B$3:$B$1012&amp;"",IOT!$E$3:$E$1012,""),"Server",_xlfn.XLOOKUP($K853&amp;"",SERVER!$B$3:$B$1009&amp;"",SERVER!$E$3:$E$1009,""),""))))</f>
        <v/>
      </c>
      <c r="Q853" s="1" t="str" cm="1">
        <f t="array" ref="Q853">IF(OR($K853="",$I853="",$J853=""),"",_xlfn.LET(_xlpm.srcCat,_xlfn.SWITCH($I853,"Computer",_xlfn.XLOOKUP($K853&amp;"",COMPUTER!$B$3:$B$1009&amp;"",COMPUTER!$H$3:$H$1009,""),"Display",_xlfn.XLOOKUP($K853&amp;"",DISPLAY!$B$3:$B$1000&amp;"",DISPLAY!$H$3:$H$1000,""),"Network Device",_xlfn.XLOOKUP($K853&amp;"",'NETWORK-DEVICES'!$B$3:$B$987&amp;"",'NETWORK-DEVICES'!$H$3:$H$987,""),"Peripheral",_xlfn.XLOOKUP($K853&amp;"",PERIPHERAL!$B$3:$B$954&amp;"",PERIPHERAL!$H$3:$H$954,""),"Utilities",_xlfn.XLOOKUP($K853&amp;"",UTILITIES!$B$3:$B$953&amp;"",UTILITIES!$G$3:$G$953,""),"IOT",_xlfn.XLOOKUP($K853&amp;"",IOT!$B$3:$B$1012&amp;"",IOT!$H$3:$H$1012,""),"Server",_xlfn.XLOOKUP($K853&amp;"",SERVER!$B$3:$B$1009&amp;"",SERVER!$H$3:$H$1009,""),""),IF(TRIM(_xlpm.srcCat)&lt;&gt;TRIM($J853),"",_xlfn.SWITCH($I853,"Computer",_xlfn.XLOOKUP($K853&amp;"",COMPUTER!$B$3:$B$1009&amp;"",COMPUTER!$AM$3:$AM$1009,""),"Display",_xlfn.XLOOKUP($K853&amp;"",DISPLAY!$B$3:$B$1000&amp;"",DISPLAY!$V$3:$V$1000,""),"Network Device",_xlfn.XLOOKUP($K853&amp;"",'NETWORK-DEVICES'!$B$3:$B$987&amp;"",'NETWORK-DEVICES'!$AF$3:$AF$987,""),"Peripheral",_xlfn.XLOOKUP($K853&amp;"",PERIPHERAL!$B$3:$B$954&amp;"",PERIPHERAL!$Y$3:$Y$954,""),"Utilities",_xlfn.XLOOKUP($K853&amp;"",UTILITIES!$B$3:$B$953&amp;"",UTILITIES!$O$3:$O$953,""),"IOT",_xlfn.XLOOKUP($K853&amp;"",IOT!$B$3:$B$1012&amp;"",IOT!$AB$3:$AB$1012,""),"Server",_xlfn.XLOOKUP($K853&amp;"",SERVER!$B$3:$B$1009&amp;"",SERVER!$AB$3:$AB$1009,""),""))))</f>
        <v/>
      </c>
      <c r="R853" s="43" t="str">
        <f>IF(tbl_handover[[#This Row],[Asset Code]]="","",COUNTIF(tbl_handover[Asset Code],tbl_handover[[#This Row],[Asset Code]]))</f>
        <v/>
      </c>
    </row>
    <row r="854" spans="1:18" x14ac:dyDescent="0.25">
      <c r="A854" s="43" t="str">
        <f>IF(B854&lt;&gt;"",SUBTOTAL(3,$B$1:B853),"")</f>
        <v/>
      </c>
      <c r="C854" s="74"/>
      <c r="D854" s="74"/>
      <c r="G854" s="1"/>
      <c r="K854" s="42"/>
      <c r="L854" t="str" cm="1">
        <f t="array" ref="L854">IF($K854="","",_xlfn.SWITCH($I854,"Computer",_xlfn.XLOOKUP($K854&amp;"",COMPUTER!$B$3:$B$1009&amp;"",COMPUTER!$I$3:$I$1009,""),"Display",_xlfn.XLOOKUP($K854&amp;"",DISPLAY!$B$3:$B$1000&amp;"",DISPLAY!$J$3:$J$1000,""),"Network Device",_xlfn.XLOOKUP($K854&amp;"",'NETWORK-DEVICES'!$B$3:$B$987&amp;"",'NETWORK-DEVICES'!$I$3:$I$987,""),"Peripheral",_xlfn.XLOOKUP($K854&amp;"",PERIPHERAL!$B$3:$B$954&amp;"",PERIPHERAL!$I$3:$I$954,""),"Utilities",_xlfn.XLOOKUP($K854&amp;"",UTILITIES!$B$3:$B$953&amp;"",UTILITIES!$H$3:$H$953,""),"IOT",_xlfn.XLOOKUP($K854&amp;"",IOT!$B$3:$B$1012&amp;"",IOT!$I$3:$I$1012,""),"SERVER",_xlfn.XLOOKUP($K854&amp;"",SERVER!$B$3:$B$1009&amp;"",SERVER!$I$3:$I$1009,""),""))</f>
        <v/>
      </c>
      <c r="M854" t="str" cm="1">
        <f t="array" ref="M854">IF($K854="","",_xlfn.SWITCH($I854,"Computer",_xlfn.XLOOKUP($K854&amp;"",COMPUTER!$B$3:$B$1009&amp;"",COMPUTER!$J$3:$J$1009,""),"Display",_xlfn.XLOOKUP($K854&amp;"",DISPLAY!$B$3:$B$1000&amp;"",DISPLAY!$K$3:$K$1000,""),"Network Device",_xlfn.XLOOKUP($K854&amp;"",'NETWORK-DEVICES'!$B$3:$B$987&amp;"",'NETWORK-DEVICES'!$I$3:$I$987,""),"Peripheral",_xlfn.XLOOKUP($K854&amp;"",PERIPHERAL!$B$3:$B$954&amp;"",PERIPHERAL!$J$3:$J$954,""),"Utilities",_xlfn.XLOOKUP($K854&amp;"",UTILITIES!$B$3:$B$953&amp;"",UTILITIES!$I$3:$I$953,""),"IOT",_xlfn.XLOOKUP($K854&amp;"",IOT!$B$3:$B$1012&amp;"",IOT!$J$3:$J$1012,""),"Server",_xlfn.XLOOKUP($K854&amp;"",SERVER!$B$3:$B$1009&amp;"",SERVER!$J$3:$J$1009,""),""))</f>
        <v/>
      </c>
      <c r="N854" s="1" t="str" cm="1">
        <f t="array" ref="N854">IF(OR($K854="",$I854="",$J854=""),"",_xlfn.LET(_xlpm.srcCat,_xlfn.SWITCH($I854,"Computer",_xlfn.XLOOKUP($K854&amp;"",COMPUTER!$B$3:$B$1009&amp;"",COMPUTER!$H$3:$H$1009,""),"Display",_xlfn.XLOOKUP($K854&amp;"",DISPLAY!$B$3:$B$1000&amp;"",DISPLAY!$H$3:$H$1000,""),"Network Device",_xlfn.XLOOKUP($K854&amp;"",'NETWORK-DEVICES'!$B$3:$B$987&amp;"",'NETWORK-DEVICES'!$H$3:$H$987,""),"Peripheral",_xlfn.XLOOKUP($K854&amp;"",PERIPHERAL!$B$3:$B$954&amp;"",PERIPHERAL!$H$3:$H$954,""),"Utilities",_xlfn.XLOOKUP($K854&amp;"",UTILITIES!$B$3:$B$953&amp;"",UTILITIES!$G$3:$G$953,""),"IOT",_xlfn.XLOOKUP($K854&amp;"",IOT!$B$3:$B$1012&amp;"",IOT!$H$3:$H$1012,""),"Server",_xlfn.XLOOKUP($K854&amp;"",SERVER!$B$3:$B$1009&amp;"",SERVER!$H$3:$H$1009,""),""),IF(TRIM(_xlpm.srcCat)&lt;&gt;TRIM($J854),"",_xlfn.SWITCH($I854,"Computer",_xlfn.XLOOKUP($K854&amp;"",COMPUTER!$B$3:$B$1009&amp;"",COMPUTER!$K$3:$K$1009,""),"Display",_xlfn.XLOOKUP($K854&amp;"",DISPLAY!$B$3:$B$1000&amp;"",DISPLAY!$L$3:$L$1000,""),"Network Device",_xlfn.XLOOKUP($K854&amp;"",'NETWORK-DEVICES'!$B$3:$B$987&amp;"",'NETWORK-DEVICES'!$K$3:$K$987,""),"Peripheral",_xlfn.XLOOKUP($K854&amp;"",PERIPHERAL!$B$3:$B$954&amp;"",PERIPHERAL!$K$3:$K$954,""),"Utilities",_xlfn.XLOOKUP($K854&amp;"",UTILITIES!$B$3:$B$953&amp;"",UTILITIES!$J$3:$J$953,""),"IOT",_xlfn.XLOOKUP($K854&amp;"",IOT!$B$3:$B$1012&amp;"",IOT!$K$4:$K$1012,""),"Server",_xlfn.XLOOKUP($K854&amp;"",SERVER!$B$3:$B$1009&amp;"",SERVER!$K$3:$K$1009,""),""))))</f>
        <v/>
      </c>
      <c r="O854" s="1" t="str" cm="1">
        <f t="array" ref="O854">IF(OR($K854="",$I854="",$J854=""),"",_xlfn.LET(_xlpm.srcCat,_xlfn.SWITCH($I854,"Computer",_xlfn.XLOOKUP($K854&amp;"",COMPUTER!$B$3:$B$1009&amp;"",COMPUTER!$H$3:$H$1009,""),"Display",_xlfn.XLOOKUP($K854&amp;"",DISPLAY!$B$3:$B$1000&amp;"",DISPLAY!$H$3:$H$1000,""),"Network Device",_xlfn.XLOOKUP($K854&amp;"",'NETWORK-DEVICES'!$B$3:$B$987&amp;"",'NETWORK-DEVICES'!$H$3:$H$987,""),"Peripheral",_xlfn.XLOOKUP($K854&amp;"",PERIPHERAL!$B$3:$B$954&amp;"",PERIPHERAL!$H$3:$H$954,""),"Utilities",_xlfn.XLOOKUP($K854&amp;"",UTILITIES!$B$3:$B$953&amp;"",UTILITIES!$G$3:$G$953,""),"IOT",_xlfn.XLOOKUP($K854&amp;"",IOT!$B$3:$B$1012&amp;"",IOT!$H$3:$H$1012,""),"Server",_xlfn.XLOOKUP($K854&amp;"",SERVER!$B$3:$B$1009&amp;"",SERVER!$H$3:$H$1009,""),""),IF(TRIM(_xlpm.srcCat)&lt;&gt;TRIM($J854),"",_xlfn.SWITCH($I854,"Computer",_xlfn.XLOOKUP($K854&amp;"",COMPUTER!$B$3:$B$1009&amp;"",COMPUTER!$E$3:$E$1009,""),"Display",_xlfn.XLOOKUP($K854&amp;"",DISPLAY!$B$3:$B$1000&amp;"",DISPLAY!$E$3:$E$1000,""),"Network Device",_xlfn.XLOOKUP($K854&amp;"",'NETWORK-DEVICES'!$B$3:$B$987&amp;"",'NETWORK-DEVICES'!$E$3:$E$987,""),"Peripheral",_xlfn.XLOOKUP($K854&amp;"",PERIPHERAL!$B$3:$B$954&amp;"",PERIPHERAL!$E$3:$E$954,""),"Utilities",_xlfn.XLOOKUP($K854&amp;"",UTILITIES!$B$3:$B$953&amp;"",UTILITIES!$E$3:$E$953,""),"IOT",_xlfn.XLOOKUP($K854&amp;"",IOT!$B$3:$B$1012&amp;"",IOT!$E$3:$E$1012,""),"Server",_xlfn.XLOOKUP($K854&amp;"",SERVER!$B$3:$B$1009&amp;"",SERVER!$E$3:$E$1009,""),""))))</f>
        <v/>
      </c>
      <c r="Q854" s="1" t="str" cm="1">
        <f t="array" ref="Q854">IF(OR($K854="",$I854="",$J854=""),"",_xlfn.LET(_xlpm.srcCat,_xlfn.SWITCH($I854,"Computer",_xlfn.XLOOKUP($K854&amp;"",COMPUTER!$B$3:$B$1009&amp;"",COMPUTER!$H$3:$H$1009,""),"Display",_xlfn.XLOOKUP($K854&amp;"",DISPLAY!$B$3:$B$1000&amp;"",DISPLAY!$H$3:$H$1000,""),"Network Device",_xlfn.XLOOKUP($K854&amp;"",'NETWORK-DEVICES'!$B$3:$B$987&amp;"",'NETWORK-DEVICES'!$H$3:$H$987,""),"Peripheral",_xlfn.XLOOKUP($K854&amp;"",PERIPHERAL!$B$3:$B$954&amp;"",PERIPHERAL!$H$3:$H$954,""),"Utilities",_xlfn.XLOOKUP($K854&amp;"",UTILITIES!$B$3:$B$953&amp;"",UTILITIES!$G$3:$G$953,""),"IOT",_xlfn.XLOOKUP($K854&amp;"",IOT!$B$3:$B$1012&amp;"",IOT!$H$3:$H$1012,""),"Server",_xlfn.XLOOKUP($K854&amp;"",SERVER!$B$3:$B$1009&amp;"",SERVER!$H$3:$H$1009,""),""),IF(TRIM(_xlpm.srcCat)&lt;&gt;TRIM($J854),"",_xlfn.SWITCH($I854,"Computer",_xlfn.XLOOKUP($K854&amp;"",COMPUTER!$B$3:$B$1009&amp;"",COMPUTER!$AM$3:$AM$1009,""),"Display",_xlfn.XLOOKUP($K854&amp;"",DISPLAY!$B$3:$B$1000&amp;"",DISPLAY!$V$3:$V$1000,""),"Network Device",_xlfn.XLOOKUP($K854&amp;"",'NETWORK-DEVICES'!$B$3:$B$987&amp;"",'NETWORK-DEVICES'!$AF$3:$AF$987,""),"Peripheral",_xlfn.XLOOKUP($K854&amp;"",PERIPHERAL!$B$3:$B$954&amp;"",PERIPHERAL!$Y$3:$Y$954,""),"Utilities",_xlfn.XLOOKUP($K854&amp;"",UTILITIES!$B$3:$B$953&amp;"",UTILITIES!$O$3:$O$953,""),"IOT",_xlfn.XLOOKUP($K854&amp;"",IOT!$B$3:$B$1012&amp;"",IOT!$AB$3:$AB$1012,""),"Server",_xlfn.XLOOKUP($K854&amp;"",SERVER!$B$3:$B$1009&amp;"",SERVER!$AB$3:$AB$1009,""),""))))</f>
        <v/>
      </c>
      <c r="R854" s="43" t="str">
        <f>IF(tbl_handover[[#This Row],[Asset Code]]="","",COUNTIF(tbl_handover[Asset Code],tbl_handover[[#This Row],[Asset Code]]))</f>
        <v/>
      </c>
    </row>
    <row r="855" spans="1:18" x14ac:dyDescent="0.25">
      <c r="A855" s="43" t="str">
        <f>IF(B855&lt;&gt;"",SUBTOTAL(3,$B$1:B854),"")</f>
        <v/>
      </c>
      <c r="C855" s="74"/>
      <c r="D855" s="74"/>
      <c r="G855" s="1"/>
      <c r="K855" s="42"/>
      <c r="L855" t="str" cm="1">
        <f t="array" ref="L855">IF($K855="","",_xlfn.SWITCH($I855,"Computer",_xlfn.XLOOKUP($K855&amp;"",COMPUTER!$B$3:$B$1009&amp;"",COMPUTER!$I$3:$I$1009,""),"Display",_xlfn.XLOOKUP($K855&amp;"",DISPLAY!$B$3:$B$1000&amp;"",DISPLAY!$J$3:$J$1000,""),"Network Device",_xlfn.XLOOKUP($K855&amp;"",'NETWORK-DEVICES'!$B$3:$B$987&amp;"",'NETWORK-DEVICES'!$I$3:$I$987,""),"Peripheral",_xlfn.XLOOKUP($K855&amp;"",PERIPHERAL!$B$3:$B$954&amp;"",PERIPHERAL!$I$3:$I$954,""),"Utilities",_xlfn.XLOOKUP($K855&amp;"",UTILITIES!$B$3:$B$953&amp;"",UTILITIES!$H$3:$H$953,""),"IOT",_xlfn.XLOOKUP($K855&amp;"",IOT!$B$3:$B$1012&amp;"",IOT!$I$3:$I$1012,""),"SERVER",_xlfn.XLOOKUP($K855&amp;"",SERVER!$B$3:$B$1009&amp;"",SERVER!$I$3:$I$1009,""),""))</f>
        <v/>
      </c>
      <c r="M855" t="str" cm="1">
        <f t="array" ref="M855">IF($K855="","",_xlfn.SWITCH($I855,"Computer",_xlfn.XLOOKUP($K855&amp;"",COMPUTER!$B$3:$B$1009&amp;"",COMPUTER!$J$3:$J$1009,""),"Display",_xlfn.XLOOKUP($K855&amp;"",DISPLAY!$B$3:$B$1000&amp;"",DISPLAY!$K$3:$K$1000,""),"Network Device",_xlfn.XLOOKUP($K855&amp;"",'NETWORK-DEVICES'!$B$3:$B$987&amp;"",'NETWORK-DEVICES'!$I$3:$I$987,""),"Peripheral",_xlfn.XLOOKUP($K855&amp;"",PERIPHERAL!$B$3:$B$954&amp;"",PERIPHERAL!$J$3:$J$954,""),"Utilities",_xlfn.XLOOKUP($K855&amp;"",UTILITIES!$B$3:$B$953&amp;"",UTILITIES!$I$3:$I$953,""),"IOT",_xlfn.XLOOKUP($K855&amp;"",IOT!$B$3:$B$1012&amp;"",IOT!$J$3:$J$1012,""),"Server",_xlfn.XLOOKUP($K855&amp;"",SERVER!$B$3:$B$1009&amp;"",SERVER!$J$3:$J$1009,""),""))</f>
        <v/>
      </c>
      <c r="N855" s="1" t="str" cm="1">
        <f t="array" ref="N855">IF(OR($K855="",$I855="",$J855=""),"",_xlfn.LET(_xlpm.srcCat,_xlfn.SWITCH($I855,"Computer",_xlfn.XLOOKUP($K855&amp;"",COMPUTER!$B$3:$B$1009&amp;"",COMPUTER!$H$3:$H$1009,""),"Display",_xlfn.XLOOKUP($K855&amp;"",DISPLAY!$B$3:$B$1000&amp;"",DISPLAY!$H$3:$H$1000,""),"Network Device",_xlfn.XLOOKUP($K855&amp;"",'NETWORK-DEVICES'!$B$3:$B$987&amp;"",'NETWORK-DEVICES'!$H$3:$H$987,""),"Peripheral",_xlfn.XLOOKUP($K855&amp;"",PERIPHERAL!$B$3:$B$954&amp;"",PERIPHERAL!$H$3:$H$954,""),"Utilities",_xlfn.XLOOKUP($K855&amp;"",UTILITIES!$B$3:$B$953&amp;"",UTILITIES!$G$3:$G$953,""),"IOT",_xlfn.XLOOKUP($K855&amp;"",IOT!$B$3:$B$1012&amp;"",IOT!$H$3:$H$1012,""),"Server",_xlfn.XLOOKUP($K855&amp;"",SERVER!$B$3:$B$1009&amp;"",SERVER!$H$3:$H$1009,""),""),IF(TRIM(_xlpm.srcCat)&lt;&gt;TRIM($J855),"",_xlfn.SWITCH($I855,"Computer",_xlfn.XLOOKUP($K855&amp;"",COMPUTER!$B$3:$B$1009&amp;"",COMPUTER!$K$3:$K$1009,""),"Display",_xlfn.XLOOKUP($K855&amp;"",DISPLAY!$B$3:$B$1000&amp;"",DISPLAY!$L$3:$L$1000,""),"Network Device",_xlfn.XLOOKUP($K855&amp;"",'NETWORK-DEVICES'!$B$3:$B$987&amp;"",'NETWORK-DEVICES'!$K$3:$K$987,""),"Peripheral",_xlfn.XLOOKUP($K855&amp;"",PERIPHERAL!$B$3:$B$954&amp;"",PERIPHERAL!$K$3:$K$954,""),"Utilities",_xlfn.XLOOKUP($K855&amp;"",UTILITIES!$B$3:$B$953&amp;"",UTILITIES!$J$3:$J$953,""),"IOT",_xlfn.XLOOKUP($K855&amp;"",IOT!$B$3:$B$1012&amp;"",IOT!$K$4:$K$1012,""),"Server",_xlfn.XLOOKUP($K855&amp;"",SERVER!$B$3:$B$1009&amp;"",SERVER!$K$3:$K$1009,""),""))))</f>
        <v/>
      </c>
      <c r="O855" s="1" t="str" cm="1">
        <f t="array" ref="O855">IF(OR($K855="",$I855="",$J855=""),"",_xlfn.LET(_xlpm.srcCat,_xlfn.SWITCH($I855,"Computer",_xlfn.XLOOKUP($K855&amp;"",COMPUTER!$B$3:$B$1009&amp;"",COMPUTER!$H$3:$H$1009,""),"Display",_xlfn.XLOOKUP($K855&amp;"",DISPLAY!$B$3:$B$1000&amp;"",DISPLAY!$H$3:$H$1000,""),"Network Device",_xlfn.XLOOKUP($K855&amp;"",'NETWORK-DEVICES'!$B$3:$B$987&amp;"",'NETWORK-DEVICES'!$H$3:$H$987,""),"Peripheral",_xlfn.XLOOKUP($K855&amp;"",PERIPHERAL!$B$3:$B$954&amp;"",PERIPHERAL!$H$3:$H$954,""),"Utilities",_xlfn.XLOOKUP($K855&amp;"",UTILITIES!$B$3:$B$953&amp;"",UTILITIES!$G$3:$G$953,""),"IOT",_xlfn.XLOOKUP($K855&amp;"",IOT!$B$3:$B$1012&amp;"",IOT!$H$3:$H$1012,""),"Server",_xlfn.XLOOKUP($K855&amp;"",SERVER!$B$3:$B$1009&amp;"",SERVER!$H$3:$H$1009,""),""),IF(TRIM(_xlpm.srcCat)&lt;&gt;TRIM($J855),"",_xlfn.SWITCH($I855,"Computer",_xlfn.XLOOKUP($K855&amp;"",COMPUTER!$B$3:$B$1009&amp;"",COMPUTER!$E$3:$E$1009,""),"Display",_xlfn.XLOOKUP($K855&amp;"",DISPLAY!$B$3:$B$1000&amp;"",DISPLAY!$E$3:$E$1000,""),"Network Device",_xlfn.XLOOKUP($K855&amp;"",'NETWORK-DEVICES'!$B$3:$B$987&amp;"",'NETWORK-DEVICES'!$E$3:$E$987,""),"Peripheral",_xlfn.XLOOKUP($K855&amp;"",PERIPHERAL!$B$3:$B$954&amp;"",PERIPHERAL!$E$3:$E$954,""),"Utilities",_xlfn.XLOOKUP($K855&amp;"",UTILITIES!$B$3:$B$953&amp;"",UTILITIES!$E$3:$E$953,""),"IOT",_xlfn.XLOOKUP($K855&amp;"",IOT!$B$3:$B$1012&amp;"",IOT!$E$3:$E$1012,""),"Server",_xlfn.XLOOKUP($K855&amp;"",SERVER!$B$3:$B$1009&amp;"",SERVER!$E$3:$E$1009,""),""))))</f>
        <v/>
      </c>
      <c r="Q855" s="1" t="str" cm="1">
        <f t="array" ref="Q855">IF(OR($K855="",$I855="",$J855=""),"",_xlfn.LET(_xlpm.srcCat,_xlfn.SWITCH($I855,"Computer",_xlfn.XLOOKUP($K855&amp;"",COMPUTER!$B$3:$B$1009&amp;"",COMPUTER!$H$3:$H$1009,""),"Display",_xlfn.XLOOKUP($K855&amp;"",DISPLAY!$B$3:$B$1000&amp;"",DISPLAY!$H$3:$H$1000,""),"Network Device",_xlfn.XLOOKUP($K855&amp;"",'NETWORK-DEVICES'!$B$3:$B$987&amp;"",'NETWORK-DEVICES'!$H$3:$H$987,""),"Peripheral",_xlfn.XLOOKUP($K855&amp;"",PERIPHERAL!$B$3:$B$954&amp;"",PERIPHERAL!$H$3:$H$954,""),"Utilities",_xlfn.XLOOKUP($K855&amp;"",UTILITIES!$B$3:$B$953&amp;"",UTILITIES!$G$3:$G$953,""),"IOT",_xlfn.XLOOKUP($K855&amp;"",IOT!$B$3:$B$1012&amp;"",IOT!$H$3:$H$1012,""),"Server",_xlfn.XLOOKUP($K855&amp;"",SERVER!$B$3:$B$1009&amp;"",SERVER!$H$3:$H$1009,""),""),IF(TRIM(_xlpm.srcCat)&lt;&gt;TRIM($J855),"",_xlfn.SWITCH($I855,"Computer",_xlfn.XLOOKUP($K855&amp;"",COMPUTER!$B$3:$B$1009&amp;"",COMPUTER!$AM$3:$AM$1009,""),"Display",_xlfn.XLOOKUP($K855&amp;"",DISPLAY!$B$3:$B$1000&amp;"",DISPLAY!$V$3:$V$1000,""),"Network Device",_xlfn.XLOOKUP($K855&amp;"",'NETWORK-DEVICES'!$B$3:$B$987&amp;"",'NETWORK-DEVICES'!$AF$3:$AF$987,""),"Peripheral",_xlfn.XLOOKUP($K855&amp;"",PERIPHERAL!$B$3:$B$954&amp;"",PERIPHERAL!$Y$3:$Y$954,""),"Utilities",_xlfn.XLOOKUP($K855&amp;"",UTILITIES!$B$3:$B$953&amp;"",UTILITIES!$O$3:$O$953,""),"IOT",_xlfn.XLOOKUP($K855&amp;"",IOT!$B$3:$B$1012&amp;"",IOT!$AB$3:$AB$1012,""),"Server",_xlfn.XLOOKUP($K855&amp;"",SERVER!$B$3:$B$1009&amp;"",SERVER!$AB$3:$AB$1009,""),""))))</f>
        <v/>
      </c>
      <c r="R855" s="43" t="str">
        <f>IF(tbl_handover[[#This Row],[Asset Code]]="","",COUNTIF(tbl_handover[Asset Code],tbl_handover[[#This Row],[Asset Code]]))</f>
        <v/>
      </c>
    </row>
    <row r="856" spans="1:18" x14ac:dyDescent="0.25">
      <c r="A856" s="43" t="str">
        <f>IF(B856&lt;&gt;"",SUBTOTAL(3,$B$1:B855),"")</f>
        <v/>
      </c>
      <c r="C856" s="74"/>
      <c r="D856" s="74"/>
      <c r="G856" s="1"/>
      <c r="K856" s="42"/>
      <c r="L856" t="str" cm="1">
        <f t="array" ref="L856">IF($K856="","",_xlfn.SWITCH($I856,"Computer",_xlfn.XLOOKUP($K856&amp;"",COMPUTER!$B$3:$B$1009&amp;"",COMPUTER!$I$3:$I$1009,""),"Display",_xlfn.XLOOKUP($K856&amp;"",DISPLAY!$B$3:$B$1000&amp;"",DISPLAY!$J$3:$J$1000,""),"Network Device",_xlfn.XLOOKUP($K856&amp;"",'NETWORK-DEVICES'!$B$3:$B$987&amp;"",'NETWORK-DEVICES'!$I$3:$I$987,""),"Peripheral",_xlfn.XLOOKUP($K856&amp;"",PERIPHERAL!$B$3:$B$954&amp;"",PERIPHERAL!$I$3:$I$954,""),"Utilities",_xlfn.XLOOKUP($K856&amp;"",UTILITIES!$B$3:$B$953&amp;"",UTILITIES!$H$3:$H$953,""),"IOT",_xlfn.XLOOKUP($K856&amp;"",IOT!$B$3:$B$1012&amp;"",IOT!$I$3:$I$1012,""),"SERVER",_xlfn.XLOOKUP($K856&amp;"",SERVER!$B$3:$B$1009&amp;"",SERVER!$I$3:$I$1009,""),""))</f>
        <v/>
      </c>
      <c r="M856" t="str" cm="1">
        <f t="array" ref="M856">IF($K856="","",_xlfn.SWITCH($I856,"Computer",_xlfn.XLOOKUP($K856&amp;"",COMPUTER!$B$3:$B$1009&amp;"",COMPUTER!$J$3:$J$1009,""),"Display",_xlfn.XLOOKUP($K856&amp;"",DISPLAY!$B$3:$B$1000&amp;"",DISPLAY!$K$3:$K$1000,""),"Network Device",_xlfn.XLOOKUP($K856&amp;"",'NETWORK-DEVICES'!$B$3:$B$987&amp;"",'NETWORK-DEVICES'!$I$3:$I$987,""),"Peripheral",_xlfn.XLOOKUP($K856&amp;"",PERIPHERAL!$B$3:$B$954&amp;"",PERIPHERAL!$J$3:$J$954,""),"Utilities",_xlfn.XLOOKUP($K856&amp;"",UTILITIES!$B$3:$B$953&amp;"",UTILITIES!$I$3:$I$953,""),"IOT",_xlfn.XLOOKUP($K856&amp;"",IOT!$B$3:$B$1012&amp;"",IOT!$J$3:$J$1012,""),"Server",_xlfn.XLOOKUP($K856&amp;"",SERVER!$B$3:$B$1009&amp;"",SERVER!$J$3:$J$1009,""),""))</f>
        <v/>
      </c>
      <c r="N856" s="1" t="str" cm="1">
        <f t="array" ref="N856">IF(OR($K856="",$I856="",$J856=""),"",_xlfn.LET(_xlpm.srcCat,_xlfn.SWITCH($I856,"Computer",_xlfn.XLOOKUP($K856&amp;"",COMPUTER!$B$3:$B$1009&amp;"",COMPUTER!$H$3:$H$1009,""),"Display",_xlfn.XLOOKUP($K856&amp;"",DISPLAY!$B$3:$B$1000&amp;"",DISPLAY!$H$3:$H$1000,""),"Network Device",_xlfn.XLOOKUP($K856&amp;"",'NETWORK-DEVICES'!$B$3:$B$987&amp;"",'NETWORK-DEVICES'!$H$3:$H$987,""),"Peripheral",_xlfn.XLOOKUP($K856&amp;"",PERIPHERAL!$B$3:$B$954&amp;"",PERIPHERAL!$H$3:$H$954,""),"Utilities",_xlfn.XLOOKUP($K856&amp;"",UTILITIES!$B$3:$B$953&amp;"",UTILITIES!$G$3:$G$953,""),"IOT",_xlfn.XLOOKUP($K856&amp;"",IOT!$B$3:$B$1012&amp;"",IOT!$H$3:$H$1012,""),"Server",_xlfn.XLOOKUP($K856&amp;"",SERVER!$B$3:$B$1009&amp;"",SERVER!$H$3:$H$1009,""),""),IF(TRIM(_xlpm.srcCat)&lt;&gt;TRIM($J856),"",_xlfn.SWITCH($I856,"Computer",_xlfn.XLOOKUP($K856&amp;"",COMPUTER!$B$3:$B$1009&amp;"",COMPUTER!$K$3:$K$1009,""),"Display",_xlfn.XLOOKUP($K856&amp;"",DISPLAY!$B$3:$B$1000&amp;"",DISPLAY!$L$3:$L$1000,""),"Network Device",_xlfn.XLOOKUP($K856&amp;"",'NETWORK-DEVICES'!$B$3:$B$987&amp;"",'NETWORK-DEVICES'!$K$3:$K$987,""),"Peripheral",_xlfn.XLOOKUP($K856&amp;"",PERIPHERAL!$B$3:$B$954&amp;"",PERIPHERAL!$K$3:$K$954,""),"Utilities",_xlfn.XLOOKUP($K856&amp;"",UTILITIES!$B$3:$B$953&amp;"",UTILITIES!$J$3:$J$953,""),"IOT",_xlfn.XLOOKUP($K856&amp;"",IOT!$B$3:$B$1012&amp;"",IOT!$K$4:$K$1012,""),"Server",_xlfn.XLOOKUP($K856&amp;"",SERVER!$B$3:$B$1009&amp;"",SERVER!$K$3:$K$1009,""),""))))</f>
        <v/>
      </c>
      <c r="O856" s="1" t="str" cm="1">
        <f t="array" ref="O856">IF(OR($K856="",$I856="",$J856=""),"",_xlfn.LET(_xlpm.srcCat,_xlfn.SWITCH($I856,"Computer",_xlfn.XLOOKUP($K856&amp;"",COMPUTER!$B$3:$B$1009&amp;"",COMPUTER!$H$3:$H$1009,""),"Display",_xlfn.XLOOKUP($K856&amp;"",DISPLAY!$B$3:$B$1000&amp;"",DISPLAY!$H$3:$H$1000,""),"Network Device",_xlfn.XLOOKUP($K856&amp;"",'NETWORK-DEVICES'!$B$3:$B$987&amp;"",'NETWORK-DEVICES'!$H$3:$H$987,""),"Peripheral",_xlfn.XLOOKUP($K856&amp;"",PERIPHERAL!$B$3:$B$954&amp;"",PERIPHERAL!$H$3:$H$954,""),"Utilities",_xlfn.XLOOKUP($K856&amp;"",UTILITIES!$B$3:$B$953&amp;"",UTILITIES!$G$3:$G$953,""),"IOT",_xlfn.XLOOKUP($K856&amp;"",IOT!$B$3:$B$1012&amp;"",IOT!$H$3:$H$1012,""),"Server",_xlfn.XLOOKUP($K856&amp;"",SERVER!$B$3:$B$1009&amp;"",SERVER!$H$3:$H$1009,""),""),IF(TRIM(_xlpm.srcCat)&lt;&gt;TRIM($J856),"",_xlfn.SWITCH($I856,"Computer",_xlfn.XLOOKUP($K856&amp;"",COMPUTER!$B$3:$B$1009&amp;"",COMPUTER!$E$3:$E$1009,""),"Display",_xlfn.XLOOKUP($K856&amp;"",DISPLAY!$B$3:$B$1000&amp;"",DISPLAY!$E$3:$E$1000,""),"Network Device",_xlfn.XLOOKUP($K856&amp;"",'NETWORK-DEVICES'!$B$3:$B$987&amp;"",'NETWORK-DEVICES'!$E$3:$E$987,""),"Peripheral",_xlfn.XLOOKUP($K856&amp;"",PERIPHERAL!$B$3:$B$954&amp;"",PERIPHERAL!$E$3:$E$954,""),"Utilities",_xlfn.XLOOKUP($K856&amp;"",UTILITIES!$B$3:$B$953&amp;"",UTILITIES!$E$3:$E$953,""),"IOT",_xlfn.XLOOKUP($K856&amp;"",IOT!$B$3:$B$1012&amp;"",IOT!$E$3:$E$1012,""),"Server",_xlfn.XLOOKUP($K856&amp;"",SERVER!$B$3:$B$1009&amp;"",SERVER!$E$3:$E$1009,""),""))))</f>
        <v/>
      </c>
      <c r="Q856" s="1" t="str" cm="1">
        <f t="array" ref="Q856">IF(OR($K856="",$I856="",$J856=""),"",_xlfn.LET(_xlpm.srcCat,_xlfn.SWITCH($I856,"Computer",_xlfn.XLOOKUP($K856&amp;"",COMPUTER!$B$3:$B$1009&amp;"",COMPUTER!$H$3:$H$1009,""),"Display",_xlfn.XLOOKUP($K856&amp;"",DISPLAY!$B$3:$B$1000&amp;"",DISPLAY!$H$3:$H$1000,""),"Network Device",_xlfn.XLOOKUP($K856&amp;"",'NETWORK-DEVICES'!$B$3:$B$987&amp;"",'NETWORK-DEVICES'!$H$3:$H$987,""),"Peripheral",_xlfn.XLOOKUP($K856&amp;"",PERIPHERAL!$B$3:$B$954&amp;"",PERIPHERAL!$H$3:$H$954,""),"Utilities",_xlfn.XLOOKUP($K856&amp;"",UTILITIES!$B$3:$B$953&amp;"",UTILITIES!$G$3:$G$953,""),"IOT",_xlfn.XLOOKUP($K856&amp;"",IOT!$B$3:$B$1012&amp;"",IOT!$H$3:$H$1012,""),"Server",_xlfn.XLOOKUP($K856&amp;"",SERVER!$B$3:$B$1009&amp;"",SERVER!$H$3:$H$1009,""),""),IF(TRIM(_xlpm.srcCat)&lt;&gt;TRIM($J856),"",_xlfn.SWITCH($I856,"Computer",_xlfn.XLOOKUP($K856&amp;"",COMPUTER!$B$3:$B$1009&amp;"",COMPUTER!$AM$3:$AM$1009,""),"Display",_xlfn.XLOOKUP($K856&amp;"",DISPLAY!$B$3:$B$1000&amp;"",DISPLAY!$V$3:$V$1000,""),"Network Device",_xlfn.XLOOKUP($K856&amp;"",'NETWORK-DEVICES'!$B$3:$B$987&amp;"",'NETWORK-DEVICES'!$AF$3:$AF$987,""),"Peripheral",_xlfn.XLOOKUP($K856&amp;"",PERIPHERAL!$B$3:$B$954&amp;"",PERIPHERAL!$Y$3:$Y$954,""),"Utilities",_xlfn.XLOOKUP($K856&amp;"",UTILITIES!$B$3:$B$953&amp;"",UTILITIES!$O$3:$O$953,""),"IOT",_xlfn.XLOOKUP($K856&amp;"",IOT!$B$3:$B$1012&amp;"",IOT!$AB$3:$AB$1012,""),"Server",_xlfn.XLOOKUP($K856&amp;"",SERVER!$B$3:$B$1009&amp;"",SERVER!$AB$3:$AB$1009,""),""))))</f>
        <v/>
      </c>
      <c r="R856" s="43" t="str">
        <f>IF(tbl_handover[[#This Row],[Asset Code]]="","",COUNTIF(tbl_handover[Asset Code],tbl_handover[[#This Row],[Asset Code]]))</f>
        <v/>
      </c>
    </row>
    <row r="857" spans="1:18" x14ac:dyDescent="0.25">
      <c r="A857" s="43" t="str">
        <f>IF(B857&lt;&gt;"",SUBTOTAL(3,$B$1:B856),"")</f>
        <v/>
      </c>
      <c r="C857" s="74"/>
      <c r="D857" s="74"/>
      <c r="G857" s="1"/>
      <c r="K857" s="42"/>
      <c r="L857" t="str" cm="1">
        <f t="array" ref="L857">IF($K857="","",_xlfn.SWITCH($I857,"Computer",_xlfn.XLOOKUP($K857&amp;"",COMPUTER!$B$3:$B$1009&amp;"",COMPUTER!$I$3:$I$1009,""),"Display",_xlfn.XLOOKUP($K857&amp;"",DISPLAY!$B$3:$B$1000&amp;"",DISPLAY!$J$3:$J$1000,""),"Network Device",_xlfn.XLOOKUP($K857&amp;"",'NETWORK-DEVICES'!$B$3:$B$987&amp;"",'NETWORK-DEVICES'!$I$3:$I$987,""),"Peripheral",_xlfn.XLOOKUP($K857&amp;"",PERIPHERAL!$B$3:$B$954&amp;"",PERIPHERAL!$I$3:$I$954,""),"Utilities",_xlfn.XLOOKUP($K857&amp;"",UTILITIES!$B$3:$B$953&amp;"",UTILITIES!$H$3:$H$953,""),"IOT",_xlfn.XLOOKUP($K857&amp;"",IOT!$B$3:$B$1012&amp;"",IOT!$I$3:$I$1012,""),"SERVER",_xlfn.XLOOKUP($K857&amp;"",SERVER!$B$3:$B$1009&amp;"",SERVER!$I$3:$I$1009,""),""))</f>
        <v/>
      </c>
      <c r="M857" t="str" cm="1">
        <f t="array" ref="M857">IF($K857="","",_xlfn.SWITCH($I857,"Computer",_xlfn.XLOOKUP($K857&amp;"",COMPUTER!$B$3:$B$1009&amp;"",COMPUTER!$J$3:$J$1009,""),"Display",_xlfn.XLOOKUP($K857&amp;"",DISPLAY!$B$3:$B$1000&amp;"",DISPLAY!$K$3:$K$1000,""),"Network Device",_xlfn.XLOOKUP($K857&amp;"",'NETWORK-DEVICES'!$B$3:$B$987&amp;"",'NETWORK-DEVICES'!$I$3:$I$987,""),"Peripheral",_xlfn.XLOOKUP($K857&amp;"",PERIPHERAL!$B$3:$B$954&amp;"",PERIPHERAL!$J$3:$J$954,""),"Utilities",_xlfn.XLOOKUP($K857&amp;"",UTILITIES!$B$3:$B$953&amp;"",UTILITIES!$I$3:$I$953,""),"IOT",_xlfn.XLOOKUP($K857&amp;"",IOT!$B$3:$B$1012&amp;"",IOT!$J$3:$J$1012,""),"Server",_xlfn.XLOOKUP($K857&amp;"",SERVER!$B$3:$B$1009&amp;"",SERVER!$J$3:$J$1009,""),""))</f>
        <v/>
      </c>
      <c r="N857" s="1" t="str" cm="1">
        <f t="array" ref="N857">IF(OR($K857="",$I857="",$J857=""),"",_xlfn.LET(_xlpm.srcCat,_xlfn.SWITCH($I857,"Computer",_xlfn.XLOOKUP($K857&amp;"",COMPUTER!$B$3:$B$1009&amp;"",COMPUTER!$H$3:$H$1009,""),"Display",_xlfn.XLOOKUP($K857&amp;"",DISPLAY!$B$3:$B$1000&amp;"",DISPLAY!$H$3:$H$1000,""),"Network Device",_xlfn.XLOOKUP($K857&amp;"",'NETWORK-DEVICES'!$B$3:$B$987&amp;"",'NETWORK-DEVICES'!$H$3:$H$987,""),"Peripheral",_xlfn.XLOOKUP($K857&amp;"",PERIPHERAL!$B$3:$B$954&amp;"",PERIPHERAL!$H$3:$H$954,""),"Utilities",_xlfn.XLOOKUP($K857&amp;"",UTILITIES!$B$3:$B$953&amp;"",UTILITIES!$G$3:$G$953,""),"IOT",_xlfn.XLOOKUP($K857&amp;"",IOT!$B$3:$B$1012&amp;"",IOT!$H$3:$H$1012,""),"Server",_xlfn.XLOOKUP($K857&amp;"",SERVER!$B$3:$B$1009&amp;"",SERVER!$H$3:$H$1009,""),""),IF(TRIM(_xlpm.srcCat)&lt;&gt;TRIM($J857),"",_xlfn.SWITCH($I857,"Computer",_xlfn.XLOOKUP($K857&amp;"",COMPUTER!$B$3:$B$1009&amp;"",COMPUTER!$K$3:$K$1009,""),"Display",_xlfn.XLOOKUP($K857&amp;"",DISPLAY!$B$3:$B$1000&amp;"",DISPLAY!$L$3:$L$1000,""),"Network Device",_xlfn.XLOOKUP($K857&amp;"",'NETWORK-DEVICES'!$B$3:$B$987&amp;"",'NETWORK-DEVICES'!$K$3:$K$987,""),"Peripheral",_xlfn.XLOOKUP($K857&amp;"",PERIPHERAL!$B$3:$B$954&amp;"",PERIPHERAL!$K$3:$K$954,""),"Utilities",_xlfn.XLOOKUP($K857&amp;"",UTILITIES!$B$3:$B$953&amp;"",UTILITIES!$J$3:$J$953,""),"IOT",_xlfn.XLOOKUP($K857&amp;"",IOT!$B$3:$B$1012&amp;"",IOT!$K$4:$K$1012,""),"Server",_xlfn.XLOOKUP($K857&amp;"",SERVER!$B$3:$B$1009&amp;"",SERVER!$K$3:$K$1009,""),""))))</f>
        <v/>
      </c>
      <c r="O857" s="1" t="str" cm="1">
        <f t="array" ref="O857">IF(OR($K857="",$I857="",$J857=""),"",_xlfn.LET(_xlpm.srcCat,_xlfn.SWITCH($I857,"Computer",_xlfn.XLOOKUP($K857&amp;"",COMPUTER!$B$3:$B$1009&amp;"",COMPUTER!$H$3:$H$1009,""),"Display",_xlfn.XLOOKUP($K857&amp;"",DISPLAY!$B$3:$B$1000&amp;"",DISPLAY!$H$3:$H$1000,""),"Network Device",_xlfn.XLOOKUP($K857&amp;"",'NETWORK-DEVICES'!$B$3:$B$987&amp;"",'NETWORK-DEVICES'!$H$3:$H$987,""),"Peripheral",_xlfn.XLOOKUP($K857&amp;"",PERIPHERAL!$B$3:$B$954&amp;"",PERIPHERAL!$H$3:$H$954,""),"Utilities",_xlfn.XLOOKUP($K857&amp;"",UTILITIES!$B$3:$B$953&amp;"",UTILITIES!$G$3:$G$953,""),"IOT",_xlfn.XLOOKUP($K857&amp;"",IOT!$B$3:$B$1012&amp;"",IOT!$H$3:$H$1012,""),"Server",_xlfn.XLOOKUP($K857&amp;"",SERVER!$B$3:$B$1009&amp;"",SERVER!$H$3:$H$1009,""),""),IF(TRIM(_xlpm.srcCat)&lt;&gt;TRIM($J857),"",_xlfn.SWITCH($I857,"Computer",_xlfn.XLOOKUP($K857&amp;"",COMPUTER!$B$3:$B$1009&amp;"",COMPUTER!$E$3:$E$1009,""),"Display",_xlfn.XLOOKUP($K857&amp;"",DISPLAY!$B$3:$B$1000&amp;"",DISPLAY!$E$3:$E$1000,""),"Network Device",_xlfn.XLOOKUP($K857&amp;"",'NETWORK-DEVICES'!$B$3:$B$987&amp;"",'NETWORK-DEVICES'!$E$3:$E$987,""),"Peripheral",_xlfn.XLOOKUP($K857&amp;"",PERIPHERAL!$B$3:$B$954&amp;"",PERIPHERAL!$E$3:$E$954,""),"Utilities",_xlfn.XLOOKUP($K857&amp;"",UTILITIES!$B$3:$B$953&amp;"",UTILITIES!$E$3:$E$953,""),"IOT",_xlfn.XLOOKUP($K857&amp;"",IOT!$B$3:$B$1012&amp;"",IOT!$E$3:$E$1012,""),"Server",_xlfn.XLOOKUP($K857&amp;"",SERVER!$B$3:$B$1009&amp;"",SERVER!$E$3:$E$1009,""),""))))</f>
        <v/>
      </c>
      <c r="Q857" s="1" t="str" cm="1">
        <f t="array" ref="Q857">IF(OR($K857="",$I857="",$J857=""),"",_xlfn.LET(_xlpm.srcCat,_xlfn.SWITCH($I857,"Computer",_xlfn.XLOOKUP($K857&amp;"",COMPUTER!$B$3:$B$1009&amp;"",COMPUTER!$H$3:$H$1009,""),"Display",_xlfn.XLOOKUP($K857&amp;"",DISPLAY!$B$3:$B$1000&amp;"",DISPLAY!$H$3:$H$1000,""),"Network Device",_xlfn.XLOOKUP($K857&amp;"",'NETWORK-DEVICES'!$B$3:$B$987&amp;"",'NETWORK-DEVICES'!$H$3:$H$987,""),"Peripheral",_xlfn.XLOOKUP($K857&amp;"",PERIPHERAL!$B$3:$B$954&amp;"",PERIPHERAL!$H$3:$H$954,""),"Utilities",_xlfn.XLOOKUP($K857&amp;"",UTILITIES!$B$3:$B$953&amp;"",UTILITIES!$G$3:$G$953,""),"IOT",_xlfn.XLOOKUP($K857&amp;"",IOT!$B$3:$B$1012&amp;"",IOT!$H$3:$H$1012,""),"Server",_xlfn.XLOOKUP($K857&amp;"",SERVER!$B$3:$B$1009&amp;"",SERVER!$H$3:$H$1009,""),""),IF(TRIM(_xlpm.srcCat)&lt;&gt;TRIM($J857),"",_xlfn.SWITCH($I857,"Computer",_xlfn.XLOOKUP($K857&amp;"",COMPUTER!$B$3:$B$1009&amp;"",COMPUTER!$AM$3:$AM$1009,""),"Display",_xlfn.XLOOKUP($K857&amp;"",DISPLAY!$B$3:$B$1000&amp;"",DISPLAY!$V$3:$V$1000,""),"Network Device",_xlfn.XLOOKUP($K857&amp;"",'NETWORK-DEVICES'!$B$3:$B$987&amp;"",'NETWORK-DEVICES'!$AF$3:$AF$987,""),"Peripheral",_xlfn.XLOOKUP($K857&amp;"",PERIPHERAL!$B$3:$B$954&amp;"",PERIPHERAL!$Y$3:$Y$954,""),"Utilities",_xlfn.XLOOKUP($K857&amp;"",UTILITIES!$B$3:$B$953&amp;"",UTILITIES!$O$3:$O$953,""),"IOT",_xlfn.XLOOKUP($K857&amp;"",IOT!$B$3:$B$1012&amp;"",IOT!$AB$3:$AB$1012,""),"Server",_xlfn.XLOOKUP($K857&amp;"",SERVER!$B$3:$B$1009&amp;"",SERVER!$AB$3:$AB$1009,""),""))))</f>
        <v/>
      </c>
      <c r="R857" s="43" t="str">
        <f>IF(tbl_handover[[#This Row],[Asset Code]]="","",COUNTIF(tbl_handover[Asset Code],tbl_handover[[#This Row],[Asset Code]]))</f>
        <v/>
      </c>
    </row>
    <row r="858" spans="1:18" x14ac:dyDescent="0.25">
      <c r="A858" s="43" t="str">
        <f>IF(B858&lt;&gt;"",SUBTOTAL(3,$B$1:B857),"")</f>
        <v/>
      </c>
      <c r="C858" s="74"/>
      <c r="D858" s="74"/>
      <c r="G858" s="1"/>
      <c r="K858" s="42"/>
      <c r="L858" t="str" cm="1">
        <f t="array" ref="L858">IF($K858="","",_xlfn.SWITCH($I858,"Computer",_xlfn.XLOOKUP($K858&amp;"",COMPUTER!$B$3:$B$1009&amp;"",COMPUTER!$I$3:$I$1009,""),"Display",_xlfn.XLOOKUP($K858&amp;"",DISPLAY!$B$3:$B$1000&amp;"",DISPLAY!$J$3:$J$1000,""),"Network Device",_xlfn.XLOOKUP($K858&amp;"",'NETWORK-DEVICES'!$B$3:$B$987&amp;"",'NETWORK-DEVICES'!$I$3:$I$987,""),"Peripheral",_xlfn.XLOOKUP($K858&amp;"",PERIPHERAL!$B$3:$B$954&amp;"",PERIPHERAL!$I$3:$I$954,""),"Utilities",_xlfn.XLOOKUP($K858&amp;"",UTILITIES!$B$3:$B$953&amp;"",UTILITIES!$H$3:$H$953,""),"IOT",_xlfn.XLOOKUP($K858&amp;"",IOT!$B$3:$B$1012&amp;"",IOT!$I$3:$I$1012,""),"SERVER",_xlfn.XLOOKUP($K858&amp;"",SERVER!$B$3:$B$1009&amp;"",SERVER!$I$3:$I$1009,""),""))</f>
        <v/>
      </c>
      <c r="M858" t="str" cm="1">
        <f t="array" ref="M858">IF($K858="","",_xlfn.SWITCH($I858,"Computer",_xlfn.XLOOKUP($K858&amp;"",COMPUTER!$B$3:$B$1009&amp;"",COMPUTER!$J$3:$J$1009,""),"Display",_xlfn.XLOOKUP($K858&amp;"",DISPLAY!$B$3:$B$1000&amp;"",DISPLAY!$K$3:$K$1000,""),"Network Device",_xlfn.XLOOKUP($K858&amp;"",'NETWORK-DEVICES'!$B$3:$B$987&amp;"",'NETWORK-DEVICES'!$I$3:$I$987,""),"Peripheral",_xlfn.XLOOKUP($K858&amp;"",PERIPHERAL!$B$3:$B$954&amp;"",PERIPHERAL!$J$3:$J$954,""),"Utilities",_xlfn.XLOOKUP($K858&amp;"",UTILITIES!$B$3:$B$953&amp;"",UTILITIES!$I$3:$I$953,""),"IOT",_xlfn.XLOOKUP($K858&amp;"",IOT!$B$3:$B$1012&amp;"",IOT!$J$3:$J$1012,""),"Server",_xlfn.XLOOKUP($K858&amp;"",SERVER!$B$3:$B$1009&amp;"",SERVER!$J$3:$J$1009,""),""))</f>
        <v/>
      </c>
      <c r="N858" s="1" t="str" cm="1">
        <f t="array" ref="N858">IF(OR($K858="",$I858="",$J858=""),"",_xlfn.LET(_xlpm.srcCat,_xlfn.SWITCH($I858,"Computer",_xlfn.XLOOKUP($K858&amp;"",COMPUTER!$B$3:$B$1009&amp;"",COMPUTER!$H$3:$H$1009,""),"Display",_xlfn.XLOOKUP($K858&amp;"",DISPLAY!$B$3:$B$1000&amp;"",DISPLAY!$H$3:$H$1000,""),"Network Device",_xlfn.XLOOKUP($K858&amp;"",'NETWORK-DEVICES'!$B$3:$B$987&amp;"",'NETWORK-DEVICES'!$H$3:$H$987,""),"Peripheral",_xlfn.XLOOKUP($K858&amp;"",PERIPHERAL!$B$3:$B$954&amp;"",PERIPHERAL!$H$3:$H$954,""),"Utilities",_xlfn.XLOOKUP($K858&amp;"",UTILITIES!$B$3:$B$953&amp;"",UTILITIES!$G$3:$G$953,""),"IOT",_xlfn.XLOOKUP($K858&amp;"",IOT!$B$3:$B$1012&amp;"",IOT!$H$3:$H$1012,""),"Server",_xlfn.XLOOKUP($K858&amp;"",SERVER!$B$3:$B$1009&amp;"",SERVER!$H$3:$H$1009,""),""),IF(TRIM(_xlpm.srcCat)&lt;&gt;TRIM($J858),"",_xlfn.SWITCH($I858,"Computer",_xlfn.XLOOKUP($K858&amp;"",COMPUTER!$B$3:$B$1009&amp;"",COMPUTER!$K$3:$K$1009,""),"Display",_xlfn.XLOOKUP($K858&amp;"",DISPLAY!$B$3:$B$1000&amp;"",DISPLAY!$L$3:$L$1000,""),"Network Device",_xlfn.XLOOKUP($K858&amp;"",'NETWORK-DEVICES'!$B$3:$B$987&amp;"",'NETWORK-DEVICES'!$K$3:$K$987,""),"Peripheral",_xlfn.XLOOKUP($K858&amp;"",PERIPHERAL!$B$3:$B$954&amp;"",PERIPHERAL!$K$3:$K$954,""),"Utilities",_xlfn.XLOOKUP($K858&amp;"",UTILITIES!$B$3:$B$953&amp;"",UTILITIES!$J$3:$J$953,""),"IOT",_xlfn.XLOOKUP($K858&amp;"",IOT!$B$3:$B$1012&amp;"",IOT!$K$4:$K$1012,""),"Server",_xlfn.XLOOKUP($K858&amp;"",SERVER!$B$3:$B$1009&amp;"",SERVER!$K$3:$K$1009,""),""))))</f>
        <v/>
      </c>
      <c r="O858" s="1" t="str" cm="1">
        <f t="array" ref="O858">IF(OR($K858="",$I858="",$J858=""),"",_xlfn.LET(_xlpm.srcCat,_xlfn.SWITCH($I858,"Computer",_xlfn.XLOOKUP($K858&amp;"",COMPUTER!$B$3:$B$1009&amp;"",COMPUTER!$H$3:$H$1009,""),"Display",_xlfn.XLOOKUP($K858&amp;"",DISPLAY!$B$3:$B$1000&amp;"",DISPLAY!$H$3:$H$1000,""),"Network Device",_xlfn.XLOOKUP($K858&amp;"",'NETWORK-DEVICES'!$B$3:$B$987&amp;"",'NETWORK-DEVICES'!$H$3:$H$987,""),"Peripheral",_xlfn.XLOOKUP($K858&amp;"",PERIPHERAL!$B$3:$B$954&amp;"",PERIPHERAL!$H$3:$H$954,""),"Utilities",_xlfn.XLOOKUP($K858&amp;"",UTILITIES!$B$3:$B$953&amp;"",UTILITIES!$G$3:$G$953,""),"IOT",_xlfn.XLOOKUP($K858&amp;"",IOT!$B$3:$B$1012&amp;"",IOT!$H$3:$H$1012,""),"Server",_xlfn.XLOOKUP($K858&amp;"",SERVER!$B$3:$B$1009&amp;"",SERVER!$H$3:$H$1009,""),""),IF(TRIM(_xlpm.srcCat)&lt;&gt;TRIM($J858),"",_xlfn.SWITCH($I858,"Computer",_xlfn.XLOOKUP($K858&amp;"",COMPUTER!$B$3:$B$1009&amp;"",COMPUTER!$E$3:$E$1009,""),"Display",_xlfn.XLOOKUP($K858&amp;"",DISPLAY!$B$3:$B$1000&amp;"",DISPLAY!$E$3:$E$1000,""),"Network Device",_xlfn.XLOOKUP($K858&amp;"",'NETWORK-DEVICES'!$B$3:$B$987&amp;"",'NETWORK-DEVICES'!$E$3:$E$987,""),"Peripheral",_xlfn.XLOOKUP($K858&amp;"",PERIPHERAL!$B$3:$B$954&amp;"",PERIPHERAL!$E$3:$E$954,""),"Utilities",_xlfn.XLOOKUP($K858&amp;"",UTILITIES!$B$3:$B$953&amp;"",UTILITIES!$E$3:$E$953,""),"IOT",_xlfn.XLOOKUP($K858&amp;"",IOT!$B$3:$B$1012&amp;"",IOT!$E$3:$E$1012,""),"Server",_xlfn.XLOOKUP($K858&amp;"",SERVER!$B$3:$B$1009&amp;"",SERVER!$E$3:$E$1009,""),""))))</f>
        <v/>
      </c>
      <c r="Q858" s="1" t="str" cm="1">
        <f t="array" ref="Q858">IF(OR($K858="",$I858="",$J858=""),"",_xlfn.LET(_xlpm.srcCat,_xlfn.SWITCH($I858,"Computer",_xlfn.XLOOKUP($K858&amp;"",COMPUTER!$B$3:$B$1009&amp;"",COMPUTER!$H$3:$H$1009,""),"Display",_xlfn.XLOOKUP($K858&amp;"",DISPLAY!$B$3:$B$1000&amp;"",DISPLAY!$H$3:$H$1000,""),"Network Device",_xlfn.XLOOKUP($K858&amp;"",'NETWORK-DEVICES'!$B$3:$B$987&amp;"",'NETWORK-DEVICES'!$H$3:$H$987,""),"Peripheral",_xlfn.XLOOKUP($K858&amp;"",PERIPHERAL!$B$3:$B$954&amp;"",PERIPHERAL!$H$3:$H$954,""),"Utilities",_xlfn.XLOOKUP($K858&amp;"",UTILITIES!$B$3:$B$953&amp;"",UTILITIES!$G$3:$G$953,""),"IOT",_xlfn.XLOOKUP($K858&amp;"",IOT!$B$3:$B$1012&amp;"",IOT!$H$3:$H$1012,""),"Server",_xlfn.XLOOKUP($K858&amp;"",SERVER!$B$3:$B$1009&amp;"",SERVER!$H$3:$H$1009,""),""),IF(TRIM(_xlpm.srcCat)&lt;&gt;TRIM($J858),"",_xlfn.SWITCH($I858,"Computer",_xlfn.XLOOKUP($K858&amp;"",COMPUTER!$B$3:$B$1009&amp;"",COMPUTER!$AM$3:$AM$1009,""),"Display",_xlfn.XLOOKUP($K858&amp;"",DISPLAY!$B$3:$B$1000&amp;"",DISPLAY!$V$3:$V$1000,""),"Network Device",_xlfn.XLOOKUP($K858&amp;"",'NETWORK-DEVICES'!$B$3:$B$987&amp;"",'NETWORK-DEVICES'!$AF$3:$AF$987,""),"Peripheral",_xlfn.XLOOKUP($K858&amp;"",PERIPHERAL!$B$3:$B$954&amp;"",PERIPHERAL!$Y$3:$Y$954,""),"Utilities",_xlfn.XLOOKUP($K858&amp;"",UTILITIES!$B$3:$B$953&amp;"",UTILITIES!$O$3:$O$953,""),"IOT",_xlfn.XLOOKUP($K858&amp;"",IOT!$B$3:$B$1012&amp;"",IOT!$AB$3:$AB$1012,""),"Server",_xlfn.XLOOKUP($K858&amp;"",SERVER!$B$3:$B$1009&amp;"",SERVER!$AB$3:$AB$1009,""),""))))</f>
        <v/>
      </c>
      <c r="R858" s="43" t="str">
        <f>IF(tbl_handover[[#This Row],[Asset Code]]="","",COUNTIF(tbl_handover[Asset Code],tbl_handover[[#This Row],[Asset Code]]))</f>
        <v/>
      </c>
    </row>
    <row r="859" spans="1:18" x14ac:dyDescent="0.25">
      <c r="A859" s="43" t="str">
        <f>IF(B859&lt;&gt;"",SUBTOTAL(3,$B$1:B858),"")</f>
        <v/>
      </c>
      <c r="C859" s="74"/>
      <c r="D859" s="74"/>
      <c r="G859" s="1"/>
      <c r="K859" s="42"/>
      <c r="L859" t="str" cm="1">
        <f t="array" ref="L859">IF($K859="","",_xlfn.SWITCH($I859,"Computer",_xlfn.XLOOKUP($K859&amp;"",COMPUTER!$B$3:$B$1009&amp;"",COMPUTER!$I$3:$I$1009,""),"Display",_xlfn.XLOOKUP($K859&amp;"",DISPLAY!$B$3:$B$1000&amp;"",DISPLAY!$J$3:$J$1000,""),"Network Device",_xlfn.XLOOKUP($K859&amp;"",'NETWORK-DEVICES'!$B$3:$B$987&amp;"",'NETWORK-DEVICES'!$I$3:$I$987,""),"Peripheral",_xlfn.XLOOKUP($K859&amp;"",PERIPHERAL!$B$3:$B$954&amp;"",PERIPHERAL!$I$3:$I$954,""),"Utilities",_xlfn.XLOOKUP($K859&amp;"",UTILITIES!$B$3:$B$953&amp;"",UTILITIES!$H$3:$H$953,""),"IOT",_xlfn.XLOOKUP($K859&amp;"",IOT!$B$3:$B$1012&amp;"",IOT!$I$3:$I$1012,""),"SERVER",_xlfn.XLOOKUP($K859&amp;"",SERVER!$B$3:$B$1009&amp;"",SERVER!$I$3:$I$1009,""),""))</f>
        <v/>
      </c>
      <c r="M859" t="str" cm="1">
        <f t="array" ref="M859">IF($K859="","",_xlfn.SWITCH($I859,"Computer",_xlfn.XLOOKUP($K859&amp;"",COMPUTER!$B$3:$B$1009&amp;"",COMPUTER!$J$3:$J$1009,""),"Display",_xlfn.XLOOKUP($K859&amp;"",DISPLAY!$B$3:$B$1000&amp;"",DISPLAY!$K$3:$K$1000,""),"Network Device",_xlfn.XLOOKUP($K859&amp;"",'NETWORK-DEVICES'!$B$3:$B$987&amp;"",'NETWORK-DEVICES'!$I$3:$I$987,""),"Peripheral",_xlfn.XLOOKUP($K859&amp;"",PERIPHERAL!$B$3:$B$954&amp;"",PERIPHERAL!$J$3:$J$954,""),"Utilities",_xlfn.XLOOKUP($K859&amp;"",UTILITIES!$B$3:$B$953&amp;"",UTILITIES!$I$3:$I$953,""),"IOT",_xlfn.XLOOKUP($K859&amp;"",IOT!$B$3:$B$1012&amp;"",IOT!$J$3:$J$1012,""),"Server",_xlfn.XLOOKUP($K859&amp;"",SERVER!$B$3:$B$1009&amp;"",SERVER!$J$3:$J$1009,""),""))</f>
        <v/>
      </c>
      <c r="N859" s="1" t="str" cm="1">
        <f t="array" ref="N859">IF(OR($K859="",$I859="",$J859=""),"",_xlfn.LET(_xlpm.srcCat,_xlfn.SWITCH($I859,"Computer",_xlfn.XLOOKUP($K859&amp;"",COMPUTER!$B$3:$B$1009&amp;"",COMPUTER!$H$3:$H$1009,""),"Display",_xlfn.XLOOKUP($K859&amp;"",DISPLAY!$B$3:$B$1000&amp;"",DISPLAY!$H$3:$H$1000,""),"Network Device",_xlfn.XLOOKUP($K859&amp;"",'NETWORK-DEVICES'!$B$3:$B$987&amp;"",'NETWORK-DEVICES'!$H$3:$H$987,""),"Peripheral",_xlfn.XLOOKUP($K859&amp;"",PERIPHERAL!$B$3:$B$954&amp;"",PERIPHERAL!$H$3:$H$954,""),"Utilities",_xlfn.XLOOKUP($K859&amp;"",UTILITIES!$B$3:$B$953&amp;"",UTILITIES!$G$3:$G$953,""),"IOT",_xlfn.XLOOKUP($K859&amp;"",IOT!$B$3:$B$1012&amp;"",IOT!$H$3:$H$1012,""),"Server",_xlfn.XLOOKUP($K859&amp;"",SERVER!$B$3:$B$1009&amp;"",SERVER!$H$3:$H$1009,""),""),IF(TRIM(_xlpm.srcCat)&lt;&gt;TRIM($J859),"",_xlfn.SWITCH($I859,"Computer",_xlfn.XLOOKUP($K859&amp;"",COMPUTER!$B$3:$B$1009&amp;"",COMPUTER!$K$3:$K$1009,""),"Display",_xlfn.XLOOKUP($K859&amp;"",DISPLAY!$B$3:$B$1000&amp;"",DISPLAY!$L$3:$L$1000,""),"Network Device",_xlfn.XLOOKUP($K859&amp;"",'NETWORK-DEVICES'!$B$3:$B$987&amp;"",'NETWORK-DEVICES'!$K$3:$K$987,""),"Peripheral",_xlfn.XLOOKUP($K859&amp;"",PERIPHERAL!$B$3:$B$954&amp;"",PERIPHERAL!$K$3:$K$954,""),"Utilities",_xlfn.XLOOKUP($K859&amp;"",UTILITIES!$B$3:$B$953&amp;"",UTILITIES!$J$3:$J$953,""),"IOT",_xlfn.XLOOKUP($K859&amp;"",IOT!$B$3:$B$1012&amp;"",IOT!$K$4:$K$1012,""),"Server",_xlfn.XLOOKUP($K859&amp;"",SERVER!$B$3:$B$1009&amp;"",SERVER!$K$3:$K$1009,""),""))))</f>
        <v/>
      </c>
      <c r="O859" s="1" t="str" cm="1">
        <f t="array" ref="O859">IF(OR($K859="",$I859="",$J859=""),"",_xlfn.LET(_xlpm.srcCat,_xlfn.SWITCH($I859,"Computer",_xlfn.XLOOKUP($K859&amp;"",COMPUTER!$B$3:$B$1009&amp;"",COMPUTER!$H$3:$H$1009,""),"Display",_xlfn.XLOOKUP($K859&amp;"",DISPLAY!$B$3:$B$1000&amp;"",DISPLAY!$H$3:$H$1000,""),"Network Device",_xlfn.XLOOKUP($K859&amp;"",'NETWORK-DEVICES'!$B$3:$B$987&amp;"",'NETWORK-DEVICES'!$H$3:$H$987,""),"Peripheral",_xlfn.XLOOKUP($K859&amp;"",PERIPHERAL!$B$3:$B$954&amp;"",PERIPHERAL!$H$3:$H$954,""),"Utilities",_xlfn.XLOOKUP($K859&amp;"",UTILITIES!$B$3:$B$953&amp;"",UTILITIES!$G$3:$G$953,""),"IOT",_xlfn.XLOOKUP($K859&amp;"",IOT!$B$3:$B$1012&amp;"",IOT!$H$3:$H$1012,""),"Server",_xlfn.XLOOKUP($K859&amp;"",SERVER!$B$3:$B$1009&amp;"",SERVER!$H$3:$H$1009,""),""),IF(TRIM(_xlpm.srcCat)&lt;&gt;TRIM($J859),"",_xlfn.SWITCH($I859,"Computer",_xlfn.XLOOKUP($K859&amp;"",COMPUTER!$B$3:$B$1009&amp;"",COMPUTER!$E$3:$E$1009,""),"Display",_xlfn.XLOOKUP($K859&amp;"",DISPLAY!$B$3:$B$1000&amp;"",DISPLAY!$E$3:$E$1000,""),"Network Device",_xlfn.XLOOKUP($K859&amp;"",'NETWORK-DEVICES'!$B$3:$B$987&amp;"",'NETWORK-DEVICES'!$E$3:$E$987,""),"Peripheral",_xlfn.XLOOKUP($K859&amp;"",PERIPHERAL!$B$3:$B$954&amp;"",PERIPHERAL!$E$3:$E$954,""),"Utilities",_xlfn.XLOOKUP($K859&amp;"",UTILITIES!$B$3:$B$953&amp;"",UTILITIES!$E$3:$E$953,""),"IOT",_xlfn.XLOOKUP($K859&amp;"",IOT!$B$3:$B$1012&amp;"",IOT!$E$3:$E$1012,""),"Server",_xlfn.XLOOKUP($K859&amp;"",SERVER!$B$3:$B$1009&amp;"",SERVER!$E$3:$E$1009,""),""))))</f>
        <v/>
      </c>
      <c r="Q859" s="1" t="str" cm="1">
        <f t="array" ref="Q859">IF(OR($K859="",$I859="",$J859=""),"",_xlfn.LET(_xlpm.srcCat,_xlfn.SWITCH($I859,"Computer",_xlfn.XLOOKUP($K859&amp;"",COMPUTER!$B$3:$B$1009&amp;"",COMPUTER!$H$3:$H$1009,""),"Display",_xlfn.XLOOKUP($K859&amp;"",DISPLAY!$B$3:$B$1000&amp;"",DISPLAY!$H$3:$H$1000,""),"Network Device",_xlfn.XLOOKUP($K859&amp;"",'NETWORK-DEVICES'!$B$3:$B$987&amp;"",'NETWORK-DEVICES'!$H$3:$H$987,""),"Peripheral",_xlfn.XLOOKUP($K859&amp;"",PERIPHERAL!$B$3:$B$954&amp;"",PERIPHERAL!$H$3:$H$954,""),"Utilities",_xlfn.XLOOKUP($K859&amp;"",UTILITIES!$B$3:$B$953&amp;"",UTILITIES!$G$3:$G$953,""),"IOT",_xlfn.XLOOKUP($K859&amp;"",IOT!$B$3:$B$1012&amp;"",IOT!$H$3:$H$1012,""),"Server",_xlfn.XLOOKUP($K859&amp;"",SERVER!$B$3:$B$1009&amp;"",SERVER!$H$3:$H$1009,""),""),IF(TRIM(_xlpm.srcCat)&lt;&gt;TRIM($J859),"",_xlfn.SWITCH($I859,"Computer",_xlfn.XLOOKUP($K859&amp;"",COMPUTER!$B$3:$B$1009&amp;"",COMPUTER!$AM$3:$AM$1009,""),"Display",_xlfn.XLOOKUP($K859&amp;"",DISPLAY!$B$3:$B$1000&amp;"",DISPLAY!$V$3:$V$1000,""),"Network Device",_xlfn.XLOOKUP($K859&amp;"",'NETWORK-DEVICES'!$B$3:$B$987&amp;"",'NETWORK-DEVICES'!$AF$3:$AF$987,""),"Peripheral",_xlfn.XLOOKUP($K859&amp;"",PERIPHERAL!$B$3:$B$954&amp;"",PERIPHERAL!$Y$3:$Y$954,""),"Utilities",_xlfn.XLOOKUP($K859&amp;"",UTILITIES!$B$3:$B$953&amp;"",UTILITIES!$O$3:$O$953,""),"IOT",_xlfn.XLOOKUP($K859&amp;"",IOT!$B$3:$B$1012&amp;"",IOT!$AB$3:$AB$1012,""),"Server",_xlfn.XLOOKUP($K859&amp;"",SERVER!$B$3:$B$1009&amp;"",SERVER!$AB$3:$AB$1009,""),""))))</f>
        <v/>
      </c>
      <c r="R859" s="43" t="str">
        <f>IF(tbl_handover[[#This Row],[Asset Code]]="","",COUNTIF(tbl_handover[Asset Code],tbl_handover[[#This Row],[Asset Code]]))</f>
        <v/>
      </c>
    </row>
    <row r="860" spans="1:18" x14ac:dyDescent="0.25">
      <c r="A860" s="43" t="str">
        <f>IF(B860&lt;&gt;"",SUBTOTAL(3,$B$1:B859),"")</f>
        <v/>
      </c>
      <c r="C860" s="74"/>
      <c r="D860" s="74"/>
      <c r="G860" s="1"/>
      <c r="K860" s="42"/>
      <c r="L860" t="str" cm="1">
        <f t="array" ref="L860">IF($K860="","",_xlfn.SWITCH($I860,"Computer",_xlfn.XLOOKUP($K860&amp;"",COMPUTER!$B$3:$B$1009&amp;"",COMPUTER!$I$3:$I$1009,""),"Display",_xlfn.XLOOKUP($K860&amp;"",DISPLAY!$B$3:$B$1000&amp;"",DISPLAY!$J$3:$J$1000,""),"Network Device",_xlfn.XLOOKUP($K860&amp;"",'NETWORK-DEVICES'!$B$3:$B$987&amp;"",'NETWORK-DEVICES'!$I$3:$I$987,""),"Peripheral",_xlfn.XLOOKUP($K860&amp;"",PERIPHERAL!$B$3:$B$954&amp;"",PERIPHERAL!$I$3:$I$954,""),"Utilities",_xlfn.XLOOKUP($K860&amp;"",UTILITIES!$B$3:$B$953&amp;"",UTILITIES!$H$3:$H$953,""),"IOT",_xlfn.XLOOKUP($K860&amp;"",IOT!$B$3:$B$1012&amp;"",IOT!$I$3:$I$1012,""),"SERVER",_xlfn.XLOOKUP($K860&amp;"",SERVER!$B$3:$B$1009&amp;"",SERVER!$I$3:$I$1009,""),""))</f>
        <v/>
      </c>
      <c r="M860" t="str" cm="1">
        <f t="array" ref="M860">IF($K860="","",_xlfn.SWITCH($I860,"Computer",_xlfn.XLOOKUP($K860&amp;"",COMPUTER!$B$3:$B$1009&amp;"",COMPUTER!$J$3:$J$1009,""),"Display",_xlfn.XLOOKUP($K860&amp;"",DISPLAY!$B$3:$B$1000&amp;"",DISPLAY!$K$3:$K$1000,""),"Network Device",_xlfn.XLOOKUP($K860&amp;"",'NETWORK-DEVICES'!$B$3:$B$987&amp;"",'NETWORK-DEVICES'!$I$3:$I$987,""),"Peripheral",_xlfn.XLOOKUP($K860&amp;"",PERIPHERAL!$B$3:$B$954&amp;"",PERIPHERAL!$J$3:$J$954,""),"Utilities",_xlfn.XLOOKUP($K860&amp;"",UTILITIES!$B$3:$B$953&amp;"",UTILITIES!$I$3:$I$953,""),"IOT",_xlfn.XLOOKUP($K860&amp;"",IOT!$B$3:$B$1012&amp;"",IOT!$J$3:$J$1012,""),"Server",_xlfn.XLOOKUP($K860&amp;"",SERVER!$B$3:$B$1009&amp;"",SERVER!$J$3:$J$1009,""),""))</f>
        <v/>
      </c>
      <c r="N860" s="1" t="str" cm="1">
        <f t="array" ref="N860">IF(OR($K860="",$I860="",$J860=""),"",_xlfn.LET(_xlpm.srcCat,_xlfn.SWITCH($I860,"Computer",_xlfn.XLOOKUP($K860&amp;"",COMPUTER!$B$3:$B$1009&amp;"",COMPUTER!$H$3:$H$1009,""),"Display",_xlfn.XLOOKUP($K860&amp;"",DISPLAY!$B$3:$B$1000&amp;"",DISPLAY!$H$3:$H$1000,""),"Network Device",_xlfn.XLOOKUP($K860&amp;"",'NETWORK-DEVICES'!$B$3:$B$987&amp;"",'NETWORK-DEVICES'!$H$3:$H$987,""),"Peripheral",_xlfn.XLOOKUP($K860&amp;"",PERIPHERAL!$B$3:$B$954&amp;"",PERIPHERAL!$H$3:$H$954,""),"Utilities",_xlfn.XLOOKUP($K860&amp;"",UTILITIES!$B$3:$B$953&amp;"",UTILITIES!$G$3:$G$953,""),"IOT",_xlfn.XLOOKUP($K860&amp;"",IOT!$B$3:$B$1012&amp;"",IOT!$H$3:$H$1012,""),"Server",_xlfn.XLOOKUP($K860&amp;"",SERVER!$B$3:$B$1009&amp;"",SERVER!$H$3:$H$1009,""),""),IF(TRIM(_xlpm.srcCat)&lt;&gt;TRIM($J860),"",_xlfn.SWITCH($I860,"Computer",_xlfn.XLOOKUP($K860&amp;"",COMPUTER!$B$3:$B$1009&amp;"",COMPUTER!$K$3:$K$1009,""),"Display",_xlfn.XLOOKUP($K860&amp;"",DISPLAY!$B$3:$B$1000&amp;"",DISPLAY!$L$3:$L$1000,""),"Network Device",_xlfn.XLOOKUP($K860&amp;"",'NETWORK-DEVICES'!$B$3:$B$987&amp;"",'NETWORK-DEVICES'!$K$3:$K$987,""),"Peripheral",_xlfn.XLOOKUP($K860&amp;"",PERIPHERAL!$B$3:$B$954&amp;"",PERIPHERAL!$K$3:$K$954,""),"Utilities",_xlfn.XLOOKUP($K860&amp;"",UTILITIES!$B$3:$B$953&amp;"",UTILITIES!$J$3:$J$953,""),"IOT",_xlfn.XLOOKUP($K860&amp;"",IOT!$B$3:$B$1012&amp;"",IOT!$K$4:$K$1012,""),"Server",_xlfn.XLOOKUP($K860&amp;"",SERVER!$B$3:$B$1009&amp;"",SERVER!$K$3:$K$1009,""),""))))</f>
        <v/>
      </c>
      <c r="O860" s="1" t="str" cm="1">
        <f t="array" ref="O860">IF(OR($K860="",$I860="",$J860=""),"",_xlfn.LET(_xlpm.srcCat,_xlfn.SWITCH($I860,"Computer",_xlfn.XLOOKUP($K860&amp;"",COMPUTER!$B$3:$B$1009&amp;"",COMPUTER!$H$3:$H$1009,""),"Display",_xlfn.XLOOKUP($K860&amp;"",DISPLAY!$B$3:$B$1000&amp;"",DISPLAY!$H$3:$H$1000,""),"Network Device",_xlfn.XLOOKUP($K860&amp;"",'NETWORK-DEVICES'!$B$3:$B$987&amp;"",'NETWORK-DEVICES'!$H$3:$H$987,""),"Peripheral",_xlfn.XLOOKUP($K860&amp;"",PERIPHERAL!$B$3:$B$954&amp;"",PERIPHERAL!$H$3:$H$954,""),"Utilities",_xlfn.XLOOKUP($K860&amp;"",UTILITIES!$B$3:$B$953&amp;"",UTILITIES!$G$3:$G$953,""),"IOT",_xlfn.XLOOKUP($K860&amp;"",IOT!$B$3:$B$1012&amp;"",IOT!$H$3:$H$1012,""),"Server",_xlfn.XLOOKUP($K860&amp;"",SERVER!$B$3:$B$1009&amp;"",SERVER!$H$3:$H$1009,""),""),IF(TRIM(_xlpm.srcCat)&lt;&gt;TRIM($J860),"",_xlfn.SWITCH($I860,"Computer",_xlfn.XLOOKUP($K860&amp;"",COMPUTER!$B$3:$B$1009&amp;"",COMPUTER!$E$3:$E$1009,""),"Display",_xlfn.XLOOKUP($K860&amp;"",DISPLAY!$B$3:$B$1000&amp;"",DISPLAY!$E$3:$E$1000,""),"Network Device",_xlfn.XLOOKUP($K860&amp;"",'NETWORK-DEVICES'!$B$3:$B$987&amp;"",'NETWORK-DEVICES'!$E$3:$E$987,""),"Peripheral",_xlfn.XLOOKUP($K860&amp;"",PERIPHERAL!$B$3:$B$954&amp;"",PERIPHERAL!$E$3:$E$954,""),"Utilities",_xlfn.XLOOKUP($K860&amp;"",UTILITIES!$B$3:$B$953&amp;"",UTILITIES!$E$3:$E$953,""),"IOT",_xlfn.XLOOKUP($K860&amp;"",IOT!$B$3:$B$1012&amp;"",IOT!$E$3:$E$1012,""),"Server",_xlfn.XLOOKUP($K860&amp;"",SERVER!$B$3:$B$1009&amp;"",SERVER!$E$3:$E$1009,""),""))))</f>
        <v/>
      </c>
      <c r="Q860" s="1" t="str" cm="1">
        <f t="array" ref="Q860">IF(OR($K860="",$I860="",$J860=""),"",_xlfn.LET(_xlpm.srcCat,_xlfn.SWITCH($I860,"Computer",_xlfn.XLOOKUP($K860&amp;"",COMPUTER!$B$3:$B$1009&amp;"",COMPUTER!$H$3:$H$1009,""),"Display",_xlfn.XLOOKUP($K860&amp;"",DISPLAY!$B$3:$B$1000&amp;"",DISPLAY!$H$3:$H$1000,""),"Network Device",_xlfn.XLOOKUP($K860&amp;"",'NETWORK-DEVICES'!$B$3:$B$987&amp;"",'NETWORK-DEVICES'!$H$3:$H$987,""),"Peripheral",_xlfn.XLOOKUP($K860&amp;"",PERIPHERAL!$B$3:$B$954&amp;"",PERIPHERAL!$H$3:$H$954,""),"Utilities",_xlfn.XLOOKUP($K860&amp;"",UTILITIES!$B$3:$B$953&amp;"",UTILITIES!$G$3:$G$953,""),"IOT",_xlfn.XLOOKUP($K860&amp;"",IOT!$B$3:$B$1012&amp;"",IOT!$H$3:$H$1012,""),"Server",_xlfn.XLOOKUP($K860&amp;"",SERVER!$B$3:$B$1009&amp;"",SERVER!$H$3:$H$1009,""),""),IF(TRIM(_xlpm.srcCat)&lt;&gt;TRIM($J860),"",_xlfn.SWITCH($I860,"Computer",_xlfn.XLOOKUP($K860&amp;"",COMPUTER!$B$3:$B$1009&amp;"",COMPUTER!$AM$3:$AM$1009,""),"Display",_xlfn.XLOOKUP($K860&amp;"",DISPLAY!$B$3:$B$1000&amp;"",DISPLAY!$V$3:$V$1000,""),"Network Device",_xlfn.XLOOKUP($K860&amp;"",'NETWORK-DEVICES'!$B$3:$B$987&amp;"",'NETWORK-DEVICES'!$AF$3:$AF$987,""),"Peripheral",_xlfn.XLOOKUP($K860&amp;"",PERIPHERAL!$B$3:$B$954&amp;"",PERIPHERAL!$Y$3:$Y$954,""),"Utilities",_xlfn.XLOOKUP($K860&amp;"",UTILITIES!$B$3:$B$953&amp;"",UTILITIES!$O$3:$O$953,""),"IOT",_xlfn.XLOOKUP($K860&amp;"",IOT!$B$3:$B$1012&amp;"",IOT!$AB$3:$AB$1012,""),"Server",_xlfn.XLOOKUP($K860&amp;"",SERVER!$B$3:$B$1009&amp;"",SERVER!$AB$3:$AB$1009,""),""))))</f>
        <v/>
      </c>
      <c r="R860" s="43" t="str">
        <f>IF(tbl_handover[[#This Row],[Asset Code]]="","",COUNTIF(tbl_handover[Asset Code],tbl_handover[[#This Row],[Asset Code]]))</f>
        <v/>
      </c>
    </row>
    <row r="861" spans="1:18" x14ac:dyDescent="0.25">
      <c r="A861" s="43" t="str">
        <f>IF(B861&lt;&gt;"",SUBTOTAL(3,$B$1:B860),"")</f>
        <v/>
      </c>
      <c r="C861" s="74"/>
      <c r="D861" s="74"/>
      <c r="G861" s="1"/>
      <c r="K861" s="42"/>
      <c r="L861" t="str" cm="1">
        <f t="array" ref="L861">IF($K861="","",_xlfn.SWITCH($I861,"Computer",_xlfn.XLOOKUP($K861&amp;"",COMPUTER!$B$3:$B$1009&amp;"",COMPUTER!$I$3:$I$1009,""),"Display",_xlfn.XLOOKUP($K861&amp;"",DISPLAY!$B$3:$B$1000&amp;"",DISPLAY!$J$3:$J$1000,""),"Network Device",_xlfn.XLOOKUP($K861&amp;"",'NETWORK-DEVICES'!$B$3:$B$987&amp;"",'NETWORK-DEVICES'!$I$3:$I$987,""),"Peripheral",_xlfn.XLOOKUP($K861&amp;"",PERIPHERAL!$B$3:$B$954&amp;"",PERIPHERAL!$I$3:$I$954,""),"Utilities",_xlfn.XLOOKUP($K861&amp;"",UTILITIES!$B$3:$B$953&amp;"",UTILITIES!$H$3:$H$953,""),"IOT",_xlfn.XLOOKUP($K861&amp;"",IOT!$B$3:$B$1012&amp;"",IOT!$I$3:$I$1012,""),"SERVER",_xlfn.XLOOKUP($K861&amp;"",SERVER!$B$3:$B$1009&amp;"",SERVER!$I$3:$I$1009,""),""))</f>
        <v/>
      </c>
      <c r="M861" t="str" cm="1">
        <f t="array" ref="M861">IF($K861="","",_xlfn.SWITCH($I861,"Computer",_xlfn.XLOOKUP($K861&amp;"",COMPUTER!$B$3:$B$1009&amp;"",COMPUTER!$J$3:$J$1009,""),"Display",_xlfn.XLOOKUP($K861&amp;"",DISPLAY!$B$3:$B$1000&amp;"",DISPLAY!$K$3:$K$1000,""),"Network Device",_xlfn.XLOOKUP($K861&amp;"",'NETWORK-DEVICES'!$B$3:$B$987&amp;"",'NETWORK-DEVICES'!$I$3:$I$987,""),"Peripheral",_xlfn.XLOOKUP($K861&amp;"",PERIPHERAL!$B$3:$B$954&amp;"",PERIPHERAL!$J$3:$J$954,""),"Utilities",_xlfn.XLOOKUP($K861&amp;"",UTILITIES!$B$3:$B$953&amp;"",UTILITIES!$I$3:$I$953,""),"IOT",_xlfn.XLOOKUP($K861&amp;"",IOT!$B$3:$B$1012&amp;"",IOT!$J$3:$J$1012,""),"Server",_xlfn.XLOOKUP($K861&amp;"",SERVER!$B$3:$B$1009&amp;"",SERVER!$J$3:$J$1009,""),""))</f>
        <v/>
      </c>
      <c r="N861" s="1" t="str" cm="1">
        <f t="array" ref="N861">IF(OR($K861="",$I861="",$J861=""),"",_xlfn.LET(_xlpm.srcCat,_xlfn.SWITCH($I861,"Computer",_xlfn.XLOOKUP($K861&amp;"",COMPUTER!$B$3:$B$1009&amp;"",COMPUTER!$H$3:$H$1009,""),"Display",_xlfn.XLOOKUP($K861&amp;"",DISPLAY!$B$3:$B$1000&amp;"",DISPLAY!$H$3:$H$1000,""),"Network Device",_xlfn.XLOOKUP($K861&amp;"",'NETWORK-DEVICES'!$B$3:$B$987&amp;"",'NETWORK-DEVICES'!$H$3:$H$987,""),"Peripheral",_xlfn.XLOOKUP($K861&amp;"",PERIPHERAL!$B$3:$B$954&amp;"",PERIPHERAL!$H$3:$H$954,""),"Utilities",_xlfn.XLOOKUP($K861&amp;"",UTILITIES!$B$3:$B$953&amp;"",UTILITIES!$G$3:$G$953,""),"IOT",_xlfn.XLOOKUP($K861&amp;"",IOT!$B$3:$B$1012&amp;"",IOT!$H$3:$H$1012,""),"Server",_xlfn.XLOOKUP($K861&amp;"",SERVER!$B$3:$B$1009&amp;"",SERVER!$H$3:$H$1009,""),""),IF(TRIM(_xlpm.srcCat)&lt;&gt;TRIM($J861),"",_xlfn.SWITCH($I861,"Computer",_xlfn.XLOOKUP($K861&amp;"",COMPUTER!$B$3:$B$1009&amp;"",COMPUTER!$K$3:$K$1009,""),"Display",_xlfn.XLOOKUP($K861&amp;"",DISPLAY!$B$3:$B$1000&amp;"",DISPLAY!$L$3:$L$1000,""),"Network Device",_xlfn.XLOOKUP($K861&amp;"",'NETWORK-DEVICES'!$B$3:$B$987&amp;"",'NETWORK-DEVICES'!$K$3:$K$987,""),"Peripheral",_xlfn.XLOOKUP($K861&amp;"",PERIPHERAL!$B$3:$B$954&amp;"",PERIPHERAL!$K$3:$K$954,""),"Utilities",_xlfn.XLOOKUP($K861&amp;"",UTILITIES!$B$3:$B$953&amp;"",UTILITIES!$J$3:$J$953,""),"IOT",_xlfn.XLOOKUP($K861&amp;"",IOT!$B$3:$B$1012&amp;"",IOT!$K$4:$K$1012,""),"Server",_xlfn.XLOOKUP($K861&amp;"",SERVER!$B$3:$B$1009&amp;"",SERVER!$K$3:$K$1009,""),""))))</f>
        <v/>
      </c>
      <c r="O861" s="1" t="str" cm="1">
        <f t="array" ref="O861">IF(OR($K861="",$I861="",$J861=""),"",_xlfn.LET(_xlpm.srcCat,_xlfn.SWITCH($I861,"Computer",_xlfn.XLOOKUP($K861&amp;"",COMPUTER!$B$3:$B$1009&amp;"",COMPUTER!$H$3:$H$1009,""),"Display",_xlfn.XLOOKUP($K861&amp;"",DISPLAY!$B$3:$B$1000&amp;"",DISPLAY!$H$3:$H$1000,""),"Network Device",_xlfn.XLOOKUP($K861&amp;"",'NETWORK-DEVICES'!$B$3:$B$987&amp;"",'NETWORK-DEVICES'!$H$3:$H$987,""),"Peripheral",_xlfn.XLOOKUP($K861&amp;"",PERIPHERAL!$B$3:$B$954&amp;"",PERIPHERAL!$H$3:$H$954,""),"Utilities",_xlfn.XLOOKUP($K861&amp;"",UTILITIES!$B$3:$B$953&amp;"",UTILITIES!$G$3:$G$953,""),"IOT",_xlfn.XLOOKUP($K861&amp;"",IOT!$B$3:$B$1012&amp;"",IOT!$H$3:$H$1012,""),"Server",_xlfn.XLOOKUP($K861&amp;"",SERVER!$B$3:$B$1009&amp;"",SERVER!$H$3:$H$1009,""),""),IF(TRIM(_xlpm.srcCat)&lt;&gt;TRIM($J861),"",_xlfn.SWITCH($I861,"Computer",_xlfn.XLOOKUP($K861&amp;"",COMPUTER!$B$3:$B$1009&amp;"",COMPUTER!$E$3:$E$1009,""),"Display",_xlfn.XLOOKUP($K861&amp;"",DISPLAY!$B$3:$B$1000&amp;"",DISPLAY!$E$3:$E$1000,""),"Network Device",_xlfn.XLOOKUP($K861&amp;"",'NETWORK-DEVICES'!$B$3:$B$987&amp;"",'NETWORK-DEVICES'!$E$3:$E$987,""),"Peripheral",_xlfn.XLOOKUP($K861&amp;"",PERIPHERAL!$B$3:$B$954&amp;"",PERIPHERAL!$E$3:$E$954,""),"Utilities",_xlfn.XLOOKUP($K861&amp;"",UTILITIES!$B$3:$B$953&amp;"",UTILITIES!$E$3:$E$953,""),"IOT",_xlfn.XLOOKUP($K861&amp;"",IOT!$B$3:$B$1012&amp;"",IOT!$E$3:$E$1012,""),"Server",_xlfn.XLOOKUP($K861&amp;"",SERVER!$B$3:$B$1009&amp;"",SERVER!$E$3:$E$1009,""),""))))</f>
        <v/>
      </c>
      <c r="Q861" s="1" t="str" cm="1">
        <f t="array" ref="Q861">IF(OR($K861="",$I861="",$J861=""),"",_xlfn.LET(_xlpm.srcCat,_xlfn.SWITCH($I861,"Computer",_xlfn.XLOOKUP($K861&amp;"",COMPUTER!$B$3:$B$1009&amp;"",COMPUTER!$H$3:$H$1009,""),"Display",_xlfn.XLOOKUP($K861&amp;"",DISPLAY!$B$3:$B$1000&amp;"",DISPLAY!$H$3:$H$1000,""),"Network Device",_xlfn.XLOOKUP($K861&amp;"",'NETWORK-DEVICES'!$B$3:$B$987&amp;"",'NETWORK-DEVICES'!$H$3:$H$987,""),"Peripheral",_xlfn.XLOOKUP($K861&amp;"",PERIPHERAL!$B$3:$B$954&amp;"",PERIPHERAL!$H$3:$H$954,""),"Utilities",_xlfn.XLOOKUP($K861&amp;"",UTILITIES!$B$3:$B$953&amp;"",UTILITIES!$G$3:$G$953,""),"IOT",_xlfn.XLOOKUP($K861&amp;"",IOT!$B$3:$B$1012&amp;"",IOT!$H$3:$H$1012,""),"Server",_xlfn.XLOOKUP($K861&amp;"",SERVER!$B$3:$B$1009&amp;"",SERVER!$H$3:$H$1009,""),""),IF(TRIM(_xlpm.srcCat)&lt;&gt;TRIM($J861),"",_xlfn.SWITCH($I861,"Computer",_xlfn.XLOOKUP($K861&amp;"",COMPUTER!$B$3:$B$1009&amp;"",COMPUTER!$AM$3:$AM$1009,""),"Display",_xlfn.XLOOKUP($K861&amp;"",DISPLAY!$B$3:$B$1000&amp;"",DISPLAY!$V$3:$V$1000,""),"Network Device",_xlfn.XLOOKUP($K861&amp;"",'NETWORK-DEVICES'!$B$3:$B$987&amp;"",'NETWORK-DEVICES'!$AF$3:$AF$987,""),"Peripheral",_xlfn.XLOOKUP($K861&amp;"",PERIPHERAL!$B$3:$B$954&amp;"",PERIPHERAL!$Y$3:$Y$954,""),"Utilities",_xlfn.XLOOKUP($K861&amp;"",UTILITIES!$B$3:$B$953&amp;"",UTILITIES!$O$3:$O$953,""),"IOT",_xlfn.XLOOKUP($K861&amp;"",IOT!$B$3:$B$1012&amp;"",IOT!$AB$3:$AB$1012,""),"Server",_xlfn.XLOOKUP($K861&amp;"",SERVER!$B$3:$B$1009&amp;"",SERVER!$AB$3:$AB$1009,""),""))))</f>
        <v/>
      </c>
      <c r="R861" s="43" t="str">
        <f>IF(tbl_handover[[#This Row],[Asset Code]]="","",COUNTIF(tbl_handover[Asset Code],tbl_handover[[#This Row],[Asset Code]]))</f>
        <v/>
      </c>
    </row>
    <row r="862" spans="1:18" x14ac:dyDescent="0.25">
      <c r="A862" s="43" t="str">
        <f>IF(B862&lt;&gt;"",SUBTOTAL(3,$B$1:B861),"")</f>
        <v/>
      </c>
      <c r="C862" s="74"/>
      <c r="D862" s="74"/>
      <c r="G862" s="1"/>
      <c r="K862" s="42"/>
      <c r="L862" t="str" cm="1">
        <f t="array" ref="L862">IF($K862="","",_xlfn.SWITCH($I862,"Computer",_xlfn.XLOOKUP($K862&amp;"",COMPUTER!$B$3:$B$1009&amp;"",COMPUTER!$I$3:$I$1009,""),"Display",_xlfn.XLOOKUP($K862&amp;"",DISPLAY!$B$3:$B$1000&amp;"",DISPLAY!$J$3:$J$1000,""),"Network Device",_xlfn.XLOOKUP($K862&amp;"",'NETWORK-DEVICES'!$B$3:$B$987&amp;"",'NETWORK-DEVICES'!$I$3:$I$987,""),"Peripheral",_xlfn.XLOOKUP($K862&amp;"",PERIPHERAL!$B$3:$B$954&amp;"",PERIPHERAL!$I$3:$I$954,""),"Utilities",_xlfn.XLOOKUP($K862&amp;"",UTILITIES!$B$3:$B$953&amp;"",UTILITIES!$H$3:$H$953,""),"IOT",_xlfn.XLOOKUP($K862&amp;"",IOT!$B$3:$B$1012&amp;"",IOT!$I$3:$I$1012,""),"SERVER",_xlfn.XLOOKUP($K862&amp;"",SERVER!$B$3:$B$1009&amp;"",SERVER!$I$3:$I$1009,""),""))</f>
        <v/>
      </c>
      <c r="M862" t="str" cm="1">
        <f t="array" ref="M862">IF($K862="","",_xlfn.SWITCH($I862,"Computer",_xlfn.XLOOKUP($K862&amp;"",COMPUTER!$B$3:$B$1009&amp;"",COMPUTER!$J$3:$J$1009,""),"Display",_xlfn.XLOOKUP($K862&amp;"",DISPLAY!$B$3:$B$1000&amp;"",DISPLAY!$K$3:$K$1000,""),"Network Device",_xlfn.XLOOKUP($K862&amp;"",'NETWORK-DEVICES'!$B$3:$B$987&amp;"",'NETWORK-DEVICES'!$I$3:$I$987,""),"Peripheral",_xlfn.XLOOKUP($K862&amp;"",PERIPHERAL!$B$3:$B$954&amp;"",PERIPHERAL!$J$3:$J$954,""),"Utilities",_xlfn.XLOOKUP($K862&amp;"",UTILITIES!$B$3:$B$953&amp;"",UTILITIES!$I$3:$I$953,""),"IOT",_xlfn.XLOOKUP($K862&amp;"",IOT!$B$3:$B$1012&amp;"",IOT!$J$3:$J$1012,""),"Server",_xlfn.XLOOKUP($K862&amp;"",SERVER!$B$3:$B$1009&amp;"",SERVER!$J$3:$J$1009,""),""))</f>
        <v/>
      </c>
      <c r="N862" s="1" t="str" cm="1">
        <f t="array" ref="N862">IF(OR($K862="",$I862="",$J862=""),"",_xlfn.LET(_xlpm.srcCat,_xlfn.SWITCH($I862,"Computer",_xlfn.XLOOKUP($K862&amp;"",COMPUTER!$B$3:$B$1009&amp;"",COMPUTER!$H$3:$H$1009,""),"Display",_xlfn.XLOOKUP($K862&amp;"",DISPLAY!$B$3:$B$1000&amp;"",DISPLAY!$H$3:$H$1000,""),"Network Device",_xlfn.XLOOKUP($K862&amp;"",'NETWORK-DEVICES'!$B$3:$B$987&amp;"",'NETWORK-DEVICES'!$H$3:$H$987,""),"Peripheral",_xlfn.XLOOKUP($K862&amp;"",PERIPHERAL!$B$3:$B$954&amp;"",PERIPHERAL!$H$3:$H$954,""),"Utilities",_xlfn.XLOOKUP($K862&amp;"",UTILITIES!$B$3:$B$953&amp;"",UTILITIES!$G$3:$G$953,""),"IOT",_xlfn.XLOOKUP($K862&amp;"",IOT!$B$3:$B$1012&amp;"",IOT!$H$3:$H$1012,""),"Server",_xlfn.XLOOKUP($K862&amp;"",SERVER!$B$3:$B$1009&amp;"",SERVER!$H$3:$H$1009,""),""),IF(TRIM(_xlpm.srcCat)&lt;&gt;TRIM($J862),"",_xlfn.SWITCH($I862,"Computer",_xlfn.XLOOKUP($K862&amp;"",COMPUTER!$B$3:$B$1009&amp;"",COMPUTER!$K$3:$K$1009,""),"Display",_xlfn.XLOOKUP($K862&amp;"",DISPLAY!$B$3:$B$1000&amp;"",DISPLAY!$L$3:$L$1000,""),"Network Device",_xlfn.XLOOKUP($K862&amp;"",'NETWORK-DEVICES'!$B$3:$B$987&amp;"",'NETWORK-DEVICES'!$K$3:$K$987,""),"Peripheral",_xlfn.XLOOKUP($K862&amp;"",PERIPHERAL!$B$3:$B$954&amp;"",PERIPHERAL!$K$3:$K$954,""),"Utilities",_xlfn.XLOOKUP($K862&amp;"",UTILITIES!$B$3:$B$953&amp;"",UTILITIES!$J$3:$J$953,""),"IOT",_xlfn.XLOOKUP($K862&amp;"",IOT!$B$3:$B$1012&amp;"",IOT!$K$4:$K$1012,""),"Server",_xlfn.XLOOKUP($K862&amp;"",SERVER!$B$3:$B$1009&amp;"",SERVER!$K$3:$K$1009,""),""))))</f>
        <v/>
      </c>
      <c r="O862" s="1" t="str" cm="1">
        <f t="array" ref="O862">IF(OR($K862="",$I862="",$J862=""),"",_xlfn.LET(_xlpm.srcCat,_xlfn.SWITCH($I862,"Computer",_xlfn.XLOOKUP($K862&amp;"",COMPUTER!$B$3:$B$1009&amp;"",COMPUTER!$H$3:$H$1009,""),"Display",_xlfn.XLOOKUP($K862&amp;"",DISPLAY!$B$3:$B$1000&amp;"",DISPLAY!$H$3:$H$1000,""),"Network Device",_xlfn.XLOOKUP($K862&amp;"",'NETWORK-DEVICES'!$B$3:$B$987&amp;"",'NETWORK-DEVICES'!$H$3:$H$987,""),"Peripheral",_xlfn.XLOOKUP($K862&amp;"",PERIPHERAL!$B$3:$B$954&amp;"",PERIPHERAL!$H$3:$H$954,""),"Utilities",_xlfn.XLOOKUP($K862&amp;"",UTILITIES!$B$3:$B$953&amp;"",UTILITIES!$G$3:$G$953,""),"IOT",_xlfn.XLOOKUP($K862&amp;"",IOT!$B$3:$B$1012&amp;"",IOT!$H$3:$H$1012,""),"Server",_xlfn.XLOOKUP($K862&amp;"",SERVER!$B$3:$B$1009&amp;"",SERVER!$H$3:$H$1009,""),""),IF(TRIM(_xlpm.srcCat)&lt;&gt;TRIM($J862),"",_xlfn.SWITCH($I862,"Computer",_xlfn.XLOOKUP($K862&amp;"",COMPUTER!$B$3:$B$1009&amp;"",COMPUTER!$E$3:$E$1009,""),"Display",_xlfn.XLOOKUP($K862&amp;"",DISPLAY!$B$3:$B$1000&amp;"",DISPLAY!$E$3:$E$1000,""),"Network Device",_xlfn.XLOOKUP($K862&amp;"",'NETWORK-DEVICES'!$B$3:$B$987&amp;"",'NETWORK-DEVICES'!$E$3:$E$987,""),"Peripheral",_xlfn.XLOOKUP($K862&amp;"",PERIPHERAL!$B$3:$B$954&amp;"",PERIPHERAL!$E$3:$E$954,""),"Utilities",_xlfn.XLOOKUP($K862&amp;"",UTILITIES!$B$3:$B$953&amp;"",UTILITIES!$E$3:$E$953,""),"IOT",_xlfn.XLOOKUP($K862&amp;"",IOT!$B$3:$B$1012&amp;"",IOT!$E$3:$E$1012,""),"Server",_xlfn.XLOOKUP($K862&amp;"",SERVER!$B$3:$B$1009&amp;"",SERVER!$E$3:$E$1009,""),""))))</f>
        <v/>
      </c>
      <c r="Q862" s="1" t="str" cm="1">
        <f t="array" ref="Q862">IF(OR($K862="",$I862="",$J862=""),"",_xlfn.LET(_xlpm.srcCat,_xlfn.SWITCH($I862,"Computer",_xlfn.XLOOKUP($K862&amp;"",COMPUTER!$B$3:$B$1009&amp;"",COMPUTER!$H$3:$H$1009,""),"Display",_xlfn.XLOOKUP($K862&amp;"",DISPLAY!$B$3:$B$1000&amp;"",DISPLAY!$H$3:$H$1000,""),"Network Device",_xlfn.XLOOKUP($K862&amp;"",'NETWORK-DEVICES'!$B$3:$B$987&amp;"",'NETWORK-DEVICES'!$H$3:$H$987,""),"Peripheral",_xlfn.XLOOKUP($K862&amp;"",PERIPHERAL!$B$3:$B$954&amp;"",PERIPHERAL!$H$3:$H$954,""),"Utilities",_xlfn.XLOOKUP($K862&amp;"",UTILITIES!$B$3:$B$953&amp;"",UTILITIES!$G$3:$G$953,""),"IOT",_xlfn.XLOOKUP($K862&amp;"",IOT!$B$3:$B$1012&amp;"",IOT!$H$3:$H$1012,""),"Server",_xlfn.XLOOKUP($K862&amp;"",SERVER!$B$3:$B$1009&amp;"",SERVER!$H$3:$H$1009,""),""),IF(TRIM(_xlpm.srcCat)&lt;&gt;TRIM($J862),"",_xlfn.SWITCH($I862,"Computer",_xlfn.XLOOKUP($K862&amp;"",COMPUTER!$B$3:$B$1009&amp;"",COMPUTER!$AM$3:$AM$1009,""),"Display",_xlfn.XLOOKUP($K862&amp;"",DISPLAY!$B$3:$B$1000&amp;"",DISPLAY!$V$3:$V$1000,""),"Network Device",_xlfn.XLOOKUP($K862&amp;"",'NETWORK-DEVICES'!$B$3:$B$987&amp;"",'NETWORK-DEVICES'!$AF$3:$AF$987,""),"Peripheral",_xlfn.XLOOKUP($K862&amp;"",PERIPHERAL!$B$3:$B$954&amp;"",PERIPHERAL!$Y$3:$Y$954,""),"Utilities",_xlfn.XLOOKUP($K862&amp;"",UTILITIES!$B$3:$B$953&amp;"",UTILITIES!$O$3:$O$953,""),"IOT",_xlfn.XLOOKUP($K862&amp;"",IOT!$B$3:$B$1012&amp;"",IOT!$AB$3:$AB$1012,""),"Server",_xlfn.XLOOKUP($K862&amp;"",SERVER!$B$3:$B$1009&amp;"",SERVER!$AB$3:$AB$1009,""),""))))</f>
        <v/>
      </c>
      <c r="R862" s="43" t="str">
        <f>IF(tbl_handover[[#This Row],[Asset Code]]="","",COUNTIF(tbl_handover[Asset Code],tbl_handover[[#This Row],[Asset Code]]))</f>
        <v/>
      </c>
    </row>
    <row r="863" spans="1:18" x14ac:dyDescent="0.25">
      <c r="A863" s="43" t="str">
        <f>IF(B863&lt;&gt;"",SUBTOTAL(3,$B$1:B862),"")</f>
        <v/>
      </c>
      <c r="C863" s="74"/>
      <c r="D863" s="74"/>
      <c r="G863" s="1"/>
      <c r="K863" s="42"/>
      <c r="L863" t="str" cm="1">
        <f t="array" ref="L863">IF($K863="","",_xlfn.SWITCH($I863,"Computer",_xlfn.XLOOKUP($K863&amp;"",COMPUTER!$B$3:$B$1009&amp;"",COMPUTER!$I$3:$I$1009,""),"Display",_xlfn.XLOOKUP($K863&amp;"",DISPLAY!$B$3:$B$1000&amp;"",DISPLAY!$J$3:$J$1000,""),"Network Device",_xlfn.XLOOKUP($K863&amp;"",'NETWORK-DEVICES'!$B$3:$B$987&amp;"",'NETWORK-DEVICES'!$I$3:$I$987,""),"Peripheral",_xlfn.XLOOKUP($K863&amp;"",PERIPHERAL!$B$3:$B$954&amp;"",PERIPHERAL!$I$3:$I$954,""),"Utilities",_xlfn.XLOOKUP($K863&amp;"",UTILITIES!$B$3:$B$953&amp;"",UTILITIES!$H$3:$H$953,""),"IOT",_xlfn.XLOOKUP($K863&amp;"",IOT!$B$3:$B$1012&amp;"",IOT!$I$3:$I$1012,""),"SERVER",_xlfn.XLOOKUP($K863&amp;"",SERVER!$B$3:$B$1009&amp;"",SERVER!$I$3:$I$1009,""),""))</f>
        <v/>
      </c>
      <c r="M863" t="str" cm="1">
        <f t="array" ref="M863">IF($K863="","",_xlfn.SWITCH($I863,"Computer",_xlfn.XLOOKUP($K863&amp;"",COMPUTER!$B$3:$B$1009&amp;"",COMPUTER!$J$3:$J$1009,""),"Display",_xlfn.XLOOKUP($K863&amp;"",DISPLAY!$B$3:$B$1000&amp;"",DISPLAY!$K$3:$K$1000,""),"Network Device",_xlfn.XLOOKUP($K863&amp;"",'NETWORK-DEVICES'!$B$3:$B$987&amp;"",'NETWORK-DEVICES'!$I$3:$I$987,""),"Peripheral",_xlfn.XLOOKUP($K863&amp;"",PERIPHERAL!$B$3:$B$954&amp;"",PERIPHERAL!$J$3:$J$954,""),"Utilities",_xlfn.XLOOKUP($K863&amp;"",UTILITIES!$B$3:$B$953&amp;"",UTILITIES!$I$3:$I$953,""),"IOT",_xlfn.XLOOKUP($K863&amp;"",IOT!$B$3:$B$1012&amp;"",IOT!$J$3:$J$1012,""),"Server",_xlfn.XLOOKUP($K863&amp;"",SERVER!$B$3:$B$1009&amp;"",SERVER!$J$3:$J$1009,""),""))</f>
        <v/>
      </c>
      <c r="N863" s="1" t="str" cm="1">
        <f t="array" ref="N863">IF(OR($K863="",$I863="",$J863=""),"",_xlfn.LET(_xlpm.srcCat,_xlfn.SWITCH($I863,"Computer",_xlfn.XLOOKUP($K863&amp;"",COMPUTER!$B$3:$B$1009&amp;"",COMPUTER!$H$3:$H$1009,""),"Display",_xlfn.XLOOKUP($K863&amp;"",DISPLAY!$B$3:$B$1000&amp;"",DISPLAY!$H$3:$H$1000,""),"Network Device",_xlfn.XLOOKUP($K863&amp;"",'NETWORK-DEVICES'!$B$3:$B$987&amp;"",'NETWORK-DEVICES'!$H$3:$H$987,""),"Peripheral",_xlfn.XLOOKUP($K863&amp;"",PERIPHERAL!$B$3:$B$954&amp;"",PERIPHERAL!$H$3:$H$954,""),"Utilities",_xlfn.XLOOKUP($K863&amp;"",UTILITIES!$B$3:$B$953&amp;"",UTILITIES!$G$3:$G$953,""),"IOT",_xlfn.XLOOKUP($K863&amp;"",IOT!$B$3:$B$1012&amp;"",IOT!$H$3:$H$1012,""),"Server",_xlfn.XLOOKUP($K863&amp;"",SERVER!$B$3:$B$1009&amp;"",SERVER!$H$3:$H$1009,""),""),IF(TRIM(_xlpm.srcCat)&lt;&gt;TRIM($J863),"",_xlfn.SWITCH($I863,"Computer",_xlfn.XLOOKUP($K863&amp;"",COMPUTER!$B$3:$B$1009&amp;"",COMPUTER!$K$3:$K$1009,""),"Display",_xlfn.XLOOKUP($K863&amp;"",DISPLAY!$B$3:$B$1000&amp;"",DISPLAY!$L$3:$L$1000,""),"Network Device",_xlfn.XLOOKUP($K863&amp;"",'NETWORK-DEVICES'!$B$3:$B$987&amp;"",'NETWORK-DEVICES'!$K$3:$K$987,""),"Peripheral",_xlfn.XLOOKUP($K863&amp;"",PERIPHERAL!$B$3:$B$954&amp;"",PERIPHERAL!$K$3:$K$954,""),"Utilities",_xlfn.XLOOKUP($K863&amp;"",UTILITIES!$B$3:$B$953&amp;"",UTILITIES!$J$3:$J$953,""),"IOT",_xlfn.XLOOKUP($K863&amp;"",IOT!$B$3:$B$1012&amp;"",IOT!$K$4:$K$1012,""),"Server",_xlfn.XLOOKUP($K863&amp;"",SERVER!$B$3:$B$1009&amp;"",SERVER!$K$3:$K$1009,""),""))))</f>
        <v/>
      </c>
      <c r="O863" s="1" t="str" cm="1">
        <f t="array" ref="O863">IF(OR($K863="",$I863="",$J863=""),"",_xlfn.LET(_xlpm.srcCat,_xlfn.SWITCH($I863,"Computer",_xlfn.XLOOKUP($K863&amp;"",COMPUTER!$B$3:$B$1009&amp;"",COMPUTER!$H$3:$H$1009,""),"Display",_xlfn.XLOOKUP($K863&amp;"",DISPLAY!$B$3:$B$1000&amp;"",DISPLAY!$H$3:$H$1000,""),"Network Device",_xlfn.XLOOKUP($K863&amp;"",'NETWORK-DEVICES'!$B$3:$B$987&amp;"",'NETWORK-DEVICES'!$H$3:$H$987,""),"Peripheral",_xlfn.XLOOKUP($K863&amp;"",PERIPHERAL!$B$3:$B$954&amp;"",PERIPHERAL!$H$3:$H$954,""),"Utilities",_xlfn.XLOOKUP($K863&amp;"",UTILITIES!$B$3:$B$953&amp;"",UTILITIES!$G$3:$G$953,""),"IOT",_xlfn.XLOOKUP($K863&amp;"",IOT!$B$3:$B$1012&amp;"",IOT!$H$3:$H$1012,""),"Server",_xlfn.XLOOKUP($K863&amp;"",SERVER!$B$3:$B$1009&amp;"",SERVER!$H$3:$H$1009,""),""),IF(TRIM(_xlpm.srcCat)&lt;&gt;TRIM($J863),"",_xlfn.SWITCH($I863,"Computer",_xlfn.XLOOKUP($K863&amp;"",COMPUTER!$B$3:$B$1009&amp;"",COMPUTER!$E$3:$E$1009,""),"Display",_xlfn.XLOOKUP($K863&amp;"",DISPLAY!$B$3:$B$1000&amp;"",DISPLAY!$E$3:$E$1000,""),"Network Device",_xlfn.XLOOKUP($K863&amp;"",'NETWORK-DEVICES'!$B$3:$B$987&amp;"",'NETWORK-DEVICES'!$E$3:$E$987,""),"Peripheral",_xlfn.XLOOKUP($K863&amp;"",PERIPHERAL!$B$3:$B$954&amp;"",PERIPHERAL!$E$3:$E$954,""),"Utilities",_xlfn.XLOOKUP($K863&amp;"",UTILITIES!$B$3:$B$953&amp;"",UTILITIES!$E$3:$E$953,""),"IOT",_xlfn.XLOOKUP($K863&amp;"",IOT!$B$3:$B$1012&amp;"",IOT!$E$3:$E$1012,""),"Server",_xlfn.XLOOKUP($K863&amp;"",SERVER!$B$3:$B$1009&amp;"",SERVER!$E$3:$E$1009,""),""))))</f>
        <v/>
      </c>
      <c r="Q863" s="1" t="str" cm="1">
        <f t="array" ref="Q863">IF(OR($K863="",$I863="",$J863=""),"",_xlfn.LET(_xlpm.srcCat,_xlfn.SWITCH($I863,"Computer",_xlfn.XLOOKUP($K863&amp;"",COMPUTER!$B$3:$B$1009&amp;"",COMPUTER!$H$3:$H$1009,""),"Display",_xlfn.XLOOKUP($K863&amp;"",DISPLAY!$B$3:$B$1000&amp;"",DISPLAY!$H$3:$H$1000,""),"Network Device",_xlfn.XLOOKUP($K863&amp;"",'NETWORK-DEVICES'!$B$3:$B$987&amp;"",'NETWORK-DEVICES'!$H$3:$H$987,""),"Peripheral",_xlfn.XLOOKUP($K863&amp;"",PERIPHERAL!$B$3:$B$954&amp;"",PERIPHERAL!$H$3:$H$954,""),"Utilities",_xlfn.XLOOKUP($K863&amp;"",UTILITIES!$B$3:$B$953&amp;"",UTILITIES!$G$3:$G$953,""),"IOT",_xlfn.XLOOKUP($K863&amp;"",IOT!$B$3:$B$1012&amp;"",IOT!$H$3:$H$1012,""),"Server",_xlfn.XLOOKUP($K863&amp;"",SERVER!$B$3:$B$1009&amp;"",SERVER!$H$3:$H$1009,""),""),IF(TRIM(_xlpm.srcCat)&lt;&gt;TRIM($J863),"",_xlfn.SWITCH($I863,"Computer",_xlfn.XLOOKUP($K863&amp;"",COMPUTER!$B$3:$B$1009&amp;"",COMPUTER!$AM$3:$AM$1009,""),"Display",_xlfn.XLOOKUP($K863&amp;"",DISPLAY!$B$3:$B$1000&amp;"",DISPLAY!$V$3:$V$1000,""),"Network Device",_xlfn.XLOOKUP($K863&amp;"",'NETWORK-DEVICES'!$B$3:$B$987&amp;"",'NETWORK-DEVICES'!$AF$3:$AF$987,""),"Peripheral",_xlfn.XLOOKUP($K863&amp;"",PERIPHERAL!$B$3:$B$954&amp;"",PERIPHERAL!$Y$3:$Y$954,""),"Utilities",_xlfn.XLOOKUP($K863&amp;"",UTILITIES!$B$3:$B$953&amp;"",UTILITIES!$O$3:$O$953,""),"IOT",_xlfn.XLOOKUP($K863&amp;"",IOT!$B$3:$B$1012&amp;"",IOT!$AB$3:$AB$1012,""),"Server",_xlfn.XLOOKUP($K863&amp;"",SERVER!$B$3:$B$1009&amp;"",SERVER!$AB$3:$AB$1009,""),""))))</f>
        <v/>
      </c>
      <c r="R863" s="43" t="str">
        <f>IF(tbl_handover[[#This Row],[Asset Code]]="","",COUNTIF(tbl_handover[Asset Code],tbl_handover[[#This Row],[Asset Code]]))</f>
        <v/>
      </c>
    </row>
    <row r="864" spans="1:18" x14ac:dyDescent="0.25">
      <c r="A864" s="43" t="str">
        <f>IF(B864&lt;&gt;"",SUBTOTAL(3,$B$1:B863),"")</f>
        <v/>
      </c>
      <c r="C864" s="74"/>
      <c r="D864" s="74"/>
      <c r="G864" s="1"/>
      <c r="K864" s="42"/>
      <c r="L864" t="str" cm="1">
        <f t="array" ref="L864">IF($K864="","",_xlfn.SWITCH($I864,"Computer",_xlfn.XLOOKUP($K864&amp;"",COMPUTER!$B$3:$B$1009&amp;"",COMPUTER!$I$3:$I$1009,""),"Display",_xlfn.XLOOKUP($K864&amp;"",DISPLAY!$B$3:$B$1000&amp;"",DISPLAY!$J$3:$J$1000,""),"Network Device",_xlfn.XLOOKUP($K864&amp;"",'NETWORK-DEVICES'!$B$3:$B$987&amp;"",'NETWORK-DEVICES'!$I$3:$I$987,""),"Peripheral",_xlfn.XLOOKUP($K864&amp;"",PERIPHERAL!$B$3:$B$954&amp;"",PERIPHERAL!$I$3:$I$954,""),"Utilities",_xlfn.XLOOKUP($K864&amp;"",UTILITIES!$B$3:$B$953&amp;"",UTILITIES!$H$3:$H$953,""),"IOT",_xlfn.XLOOKUP($K864&amp;"",IOT!$B$3:$B$1012&amp;"",IOT!$I$3:$I$1012,""),"SERVER",_xlfn.XLOOKUP($K864&amp;"",SERVER!$B$3:$B$1009&amp;"",SERVER!$I$3:$I$1009,""),""))</f>
        <v/>
      </c>
      <c r="M864" t="str" cm="1">
        <f t="array" ref="M864">IF($K864="","",_xlfn.SWITCH($I864,"Computer",_xlfn.XLOOKUP($K864&amp;"",COMPUTER!$B$3:$B$1009&amp;"",COMPUTER!$J$3:$J$1009,""),"Display",_xlfn.XLOOKUP($K864&amp;"",DISPLAY!$B$3:$B$1000&amp;"",DISPLAY!$K$3:$K$1000,""),"Network Device",_xlfn.XLOOKUP($K864&amp;"",'NETWORK-DEVICES'!$B$3:$B$987&amp;"",'NETWORK-DEVICES'!$I$3:$I$987,""),"Peripheral",_xlfn.XLOOKUP($K864&amp;"",PERIPHERAL!$B$3:$B$954&amp;"",PERIPHERAL!$J$3:$J$954,""),"Utilities",_xlfn.XLOOKUP($K864&amp;"",UTILITIES!$B$3:$B$953&amp;"",UTILITIES!$I$3:$I$953,""),"IOT",_xlfn.XLOOKUP($K864&amp;"",IOT!$B$3:$B$1012&amp;"",IOT!$J$3:$J$1012,""),"Server",_xlfn.XLOOKUP($K864&amp;"",SERVER!$B$3:$B$1009&amp;"",SERVER!$J$3:$J$1009,""),""))</f>
        <v/>
      </c>
      <c r="N864" s="1" t="str" cm="1">
        <f t="array" ref="N864">IF(OR($K864="",$I864="",$J864=""),"",_xlfn.LET(_xlpm.srcCat,_xlfn.SWITCH($I864,"Computer",_xlfn.XLOOKUP($K864&amp;"",COMPUTER!$B$3:$B$1009&amp;"",COMPUTER!$H$3:$H$1009,""),"Display",_xlfn.XLOOKUP($K864&amp;"",DISPLAY!$B$3:$B$1000&amp;"",DISPLAY!$H$3:$H$1000,""),"Network Device",_xlfn.XLOOKUP($K864&amp;"",'NETWORK-DEVICES'!$B$3:$B$987&amp;"",'NETWORK-DEVICES'!$H$3:$H$987,""),"Peripheral",_xlfn.XLOOKUP($K864&amp;"",PERIPHERAL!$B$3:$B$954&amp;"",PERIPHERAL!$H$3:$H$954,""),"Utilities",_xlfn.XLOOKUP($K864&amp;"",UTILITIES!$B$3:$B$953&amp;"",UTILITIES!$G$3:$G$953,""),"IOT",_xlfn.XLOOKUP($K864&amp;"",IOT!$B$3:$B$1012&amp;"",IOT!$H$3:$H$1012,""),"Server",_xlfn.XLOOKUP($K864&amp;"",SERVER!$B$3:$B$1009&amp;"",SERVER!$H$3:$H$1009,""),""),IF(TRIM(_xlpm.srcCat)&lt;&gt;TRIM($J864),"",_xlfn.SWITCH($I864,"Computer",_xlfn.XLOOKUP($K864&amp;"",COMPUTER!$B$3:$B$1009&amp;"",COMPUTER!$K$3:$K$1009,""),"Display",_xlfn.XLOOKUP($K864&amp;"",DISPLAY!$B$3:$B$1000&amp;"",DISPLAY!$L$3:$L$1000,""),"Network Device",_xlfn.XLOOKUP($K864&amp;"",'NETWORK-DEVICES'!$B$3:$B$987&amp;"",'NETWORK-DEVICES'!$K$3:$K$987,""),"Peripheral",_xlfn.XLOOKUP($K864&amp;"",PERIPHERAL!$B$3:$B$954&amp;"",PERIPHERAL!$K$3:$K$954,""),"Utilities",_xlfn.XLOOKUP($K864&amp;"",UTILITIES!$B$3:$B$953&amp;"",UTILITIES!$J$3:$J$953,""),"IOT",_xlfn.XLOOKUP($K864&amp;"",IOT!$B$3:$B$1012&amp;"",IOT!$K$4:$K$1012,""),"Server",_xlfn.XLOOKUP($K864&amp;"",SERVER!$B$3:$B$1009&amp;"",SERVER!$K$3:$K$1009,""),""))))</f>
        <v/>
      </c>
      <c r="O864" s="1" t="str" cm="1">
        <f t="array" ref="O864">IF(OR($K864="",$I864="",$J864=""),"",_xlfn.LET(_xlpm.srcCat,_xlfn.SWITCH($I864,"Computer",_xlfn.XLOOKUP($K864&amp;"",COMPUTER!$B$3:$B$1009&amp;"",COMPUTER!$H$3:$H$1009,""),"Display",_xlfn.XLOOKUP($K864&amp;"",DISPLAY!$B$3:$B$1000&amp;"",DISPLAY!$H$3:$H$1000,""),"Network Device",_xlfn.XLOOKUP($K864&amp;"",'NETWORK-DEVICES'!$B$3:$B$987&amp;"",'NETWORK-DEVICES'!$H$3:$H$987,""),"Peripheral",_xlfn.XLOOKUP($K864&amp;"",PERIPHERAL!$B$3:$B$954&amp;"",PERIPHERAL!$H$3:$H$954,""),"Utilities",_xlfn.XLOOKUP($K864&amp;"",UTILITIES!$B$3:$B$953&amp;"",UTILITIES!$G$3:$G$953,""),"IOT",_xlfn.XLOOKUP($K864&amp;"",IOT!$B$3:$B$1012&amp;"",IOT!$H$3:$H$1012,""),"Server",_xlfn.XLOOKUP($K864&amp;"",SERVER!$B$3:$B$1009&amp;"",SERVER!$H$3:$H$1009,""),""),IF(TRIM(_xlpm.srcCat)&lt;&gt;TRIM($J864),"",_xlfn.SWITCH($I864,"Computer",_xlfn.XLOOKUP($K864&amp;"",COMPUTER!$B$3:$B$1009&amp;"",COMPUTER!$E$3:$E$1009,""),"Display",_xlfn.XLOOKUP($K864&amp;"",DISPLAY!$B$3:$B$1000&amp;"",DISPLAY!$E$3:$E$1000,""),"Network Device",_xlfn.XLOOKUP($K864&amp;"",'NETWORK-DEVICES'!$B$3:$B$987&amp;"",'NETWORK-DEVICES'!$E$3:$E$987,""),"Peripheral",_xlfn.XLOOKUP($K864&amp;"",PERIPHERAL!$B$3:$B$954&amp;"",PERIPHERAL!$E$3:$E$954,""),"Utilities",_xlfn.XLOOKUP($K864&amp;"",UTILITIES!$B$3:$B$953&amp;"",UTILITIES!$E$3:$E$953,""),"IOT",_xlfn.XLOOKUP($K864&amp;"",IOT!$B$3:$B$1012&amp;"",IOT!$E$3:$E$1012,""),"Server",_xlfn.XLOOKUP($K864&amp;"",SERVER!$B$3:$B$1009&amp;"",SERVER!$E$3:$E$1009,""),""))))</f>
        <v/>
      </c>
      <c r="Q864" s="1" t="str" cm="1">
        <f t="array" ref="Q864">IF(OR($K864="",$I864="",$J864=""),"",_xlfn.LET(_xlpm.srcCat,_xlfn.SWITCH($I864,"Computer",_xlfn.XLOOKUP($K864&amp;"",COMPUTER!$B$3:$B$1009&amp;"",COMPUTER!$H$3:$H$1009,""),"Display",_xlfn.XLOOKUP($K864&amp;"",DISPLAY!$B$3:$B$1000&amp;"",DISPLAY!$H$3:$H$1000,""),"Network Device",_xlfn.XLOOKUP($K864&amp;"",'NETWORK-DEVICES'!$B$3:$B$987&amp;"",'NETWORK-DEVICES'!$H$3:$H$987,""),"Peripheral",_xlfn.XLOOKUP($K864&amp;"",PERIPHERAL!$B$3:$B$954&amp;"",PERIPHERAL!$H$3:$H$954,""),"Utilities",_xlfn.XLOOKUP($K864&amp;"",UTILITIES!$B$3:$B$953&amp;"",UTILITIES!$G$3:$G$953,""),"IOT",_xlfn.XLOOKUP($K864&amp;"",IOT!$B$3:$B$1012&amp;"",IOT!$H$3:$H$1012,""),"Server",_xlfn.XLOOKUP($K864&amp;"",SERVER!$B$3:$B$1009&amp;"",SERVER!$H$3:$H$1009,""),""),IF(TRIM(_xlpm.srcCat)&lt;&gt;TRIM($J864),"",_xlfn.SWITCH($I864,"Computer",_xlfn.XLOOKUP($K864&amp;"",COMPUTER!$B$3:$B$1009&amp;"",COMPUTER!$AM$3:$AM$1009,""),"Display",_xlfn.XLOOKUP($K864&amp;"",DISPLAY!$B$3:$B$1000&amp;"",DISPLAY!$V$3:$V$1000,""),"Network Device",_xlfn.XLOOKUP($K864&amp;"",'NETWORK-DEVICES'!$B$3:$B$987&amp;"",'NETWORK-DEVICES'!$AF$3:$AF$987,""),"Peripheral",_xlfn.XLOOKUP($K864&amp;"",PERIPHERAL!$B$3:$B$954&amp;"",PERIPHERAL!$Y$3:$Y$954,""),"Utilities",_xlfn.XLOOKUP($K864&amp;"",UTILITIES!$B$3:$B$953&amp;"",UTILITIES!$O$3:$O$953,""),"IOT",_xlfn.XLOOKUP($K864&amp;"",IOT!$B$3:$B$1012&amp;"",IOT!$AB$3:$AB$1012,""),"Server",_xlfn.XLOOKUP($K864&amp;"",SERVER!$B$3:$B$1009&amp;"",SERVER!$AB$3:$AB$1009,""),""))))</f>
        <v/>
      </c>
      <c r="R864" s="43" t="str">
        <f>IF(tbl_handover[[#This Row],[Asset Code]]="","",COUNTIF(tbl_handover[Asset Code],tbl_handover[[#This Row],[Asset Code]]))</f>
        <v/>
      </c>
    </row>
    <row r="865" spans="1:18" x14ac:dyDescent="0.25">
      <c r="A865" s="43" t="str">
        <f>IF(B865&lt;&gt;"",SUBTOTAL(3,$B$1:B864),"")</f>
        <v/>
      </c>
      <c r="C865" s="74"/>
      <c r="D865" s="74"/>
      <c r="G865" s="1"/>
      <c r="K865" s="42"/>
      <c r="L865" t="str" cm="1">
        <f t="array" ref="L865">IF($K865="","",_xlfn.SWITCH($I865,"Computer",_xlfn.XLOOKUP($K865&amp;"",COMPUTER!$B$3:$B$1009&amp;"",COMPUTER!$I$3:$I$1009,""),"Display",_xlfn.XLOOKUP($K865&amp;"",DISPLAY!$B$3:$B$1000&amp;"",DISPLAY!$J$3:$J$1000,""),"Network Device",_xlfn.XLOOKUP($K865&amp;"",'NETWORK-DEVICES'!$B$3:$B$987&amp;"",'NETWORK-DEVICES'!$I$3:$I$987,""),"Peripheral",_xlfn.XLOOKUP($K865&amp;"",PERIPHERAL!$B$3:$B$954&amp;"",PERIPHERAL!$I$3:$I$954,""),"Utilities",_xlfn.XLOOKUP($K865&amp;"",UTILITIES!$B$3:$B$953&amp;"",UTILITIES!$H$3:$H$953,""),"IOT",_xlfn.XLOOKUP($K865&amp;"",IOT!$B$3:$B$1012&amp;"",IOT!$I$3:$I$1012,""),"SERVER",_xlfn.XLOOKUP($K865&amp;"",SERVER!$B$3:$B$1009&amp;"",SERVER!$I$3:$I$1009,""),""))</f>
        <v/>
      </c>
      <c r="M865" t="str" cm="1">
        <f t="array" ref="M865">IF($K865="","",_xlfn.SWITCH($I865,"Computer",_xlfn.XLOOKUP($K865&amp;"",COMPUTER!$B$3:$B$1009&amp;"",COMPUTER!$J$3:$J$1009,""),"Display",_xlfn.XLOOKUP($K865&amp;"",DISPLAY!$B$3:$B$1000&amp;"",DISPLAY!$K$3:$K$1000,""),"Network Device",_xlfn.XLOOKUP($K865&amp;"",'NETWORK-DEVICES'!$B$3:$B$987&amp;"",'NETWORK-DEVICES'!$I$3:$I$987,""),"Peripheral",_xlfn.XLOOKUP($K865&amp;"",PERIPHERAL!$B$3:$B$954&amp;"",PERIPHERAL!$J$3:$J$954,""),"Utilities",_xlfn.XLOOKUP($K865&amp;"",UTILITIES!$B$3:$B$953&amp;"",UTILITIES!$I$3:$I$953,""),"IOT",_xlfn.XLOOKUP($K865&amp;"",IOT!$B$3:$B$1012&amp;"",IOT!$J$3:$J$1012,""),"Server",_xlfn.XLOOKUP($K865&amp;"",SERVER!$B$3:$B$1009&amp;"",SERVER!$J$3:$J$1009,""),""))</f>
        <v/>
      </c>
      <c r="N865" s="1" t="str" cm="1">
        <f t="array" ref="N865">IF(OR($K865="",$I865="",$J865=""),"",_xlfn.LET(_xlpm.srcCat,_xlfn.SWITCH($I865,"Computer",_xlfn.XLOOKUP($K865&amp;"",COMPUTER!$B$3:$B$1009&amp;"",COMPUTER!$H$3:$H$1009,""),"Display",_xlfn.XLOOKUP($K865&amp;"",DISPLAY!$B$3:$B$1000&amp;"",DISPLAY!$H$3:$H$1000,""),"Network Device",_xlfn.XLOOKUP($K865&amp;"",'NETWORK-DEVICES'!$B$3:$B$987&amp;"",'NETWORK-DEVICES'!$H$3:$H$987,""),"Peripheral",_xlfn.XLOOKUP($K865&amp;"",PERIPHERAL!$B$3:$B$954&amp;"",PERIPHERAL!$H$3:$H$954,""),"Utilities",_xlfn.XLOOKUP($K865&amp;"",UTILITIES!$B$3:$B$953&amp;"",UTILITIES!$G$3:$G$953,""),"IOT",_xlfn.XLOOKUP($K865&amp;"",IOT!$B$3:$B$1012&amp;"",IOT!$H$3:$H$1012,""),"Server",_xlfn.XLOOKUP($K865&amp;"",SERVER!$B$3:$B$1009&amp;"",SERVER!$H$3:$H$1009,""),""),IF(TRIM(_xlpm.srcCat)&lt;&gt;TRIM($J865),"",_xlfn.SWITCH($I865,"Computer",_xlfn.XLOOKUP($K865&amp;"",COMPUTER!$B$3:$B$1009&amp;"",COMPUTER!$K$3:$K$1009,""),"Display",_xlfn.XLOOKUP($K865&amp;"",DISPLAY!$B$3:$B$1000&amp;"",DISPLAY!$L$3:$L$1000,""),"Network Device",_xlfn.XLOOKUP($K865&amp;"",'NETWORK-DEVICES'!$B$3:$B$987&amp;"",'NETWORK-DEVICES'!$K$3:$K$987,""),"Peripheral",_xlfn.XLOOKUP($K865&amp;"",PERIPHERAL!$B$3:$B$954&amp;"",PERIPHERAL!$K$3:$K$954,""),"Utilities",_xlfn.XLOOKUP($K865&amp;"",UTILITIES!$B$3:$B$953&amp;"",UTILITIES!$J$3:$J$953,""),"IOT",_xlfn.XLOOKUP($K865&amp;"",IOT!$B$3:$B$1012&amp;"",IOT!$K$4:$K$1012,""),"Server",_xlfn.XLOOKUP($K865&amp;"",SERVER!$B$3:$B$1009&amp;"",SERVER!$K$3:$K$1009,""),""))))</f>
        <v/>
      </c>
      <c r="O865" s="1" t="str" cm="1">
        <f t="array" ref="O865">IF(OR($K865="",$I865="",$J865=""),"",_xlfn.LET(_xlpm.srcCat,_xlfn.SWITCH($I865,"Computer",_xlfn.XLOOKUP($K865&amp;"",COMPUTER!$B$3:$B$1009&amp;"",COMPUTER!$H$3:$H$1009,""),"Display",_xlfn.XLOOKUP($K865&amp;"",DISPLAY!$B$3:$B$1000&amp;"",DISPLAY!$H$3:$H$1000,""),"Network Device",_xlfn.XLOOKUP($K865&amp;"",'NETWORK-DEVICES'!$B$3:$B$987&amp;"",'NETWORK-DEVICES'!$H$3:$H$987,""),"Peripheral",_xlfn.XLOOKUP($K865&amp;"",PERIPHERAL!$B$3:$B$954&amp;"",PERIPHERAL!$H$3:$H$954,""),"Utilities",_xlfn.XLOOKUP($K865&amp;"",UTILITIES!$B$3:$B$953&amp;"",UTILITIES!$G$3:$G$953,""),"IOT",_xlfn.XLOOKUP($K865&amp;"",IOT!$B$3:$B$1012&amp;"",IOT!$H$3:$H$1012,""),"Server",_xlfn.XLOOKUP($K865&amp;"",SERVER!$B$3:$B$1009&amp;"",SERVER!$H$3:$H$1009,""),""),IF(TRIM(_xlpm.srcCat)&lt;&gt;TRIM($J865),"",_xlfn.SWITCH($I865,"Computer",_xlfn.XLOOKUP($K865&amp;"",COMPUTER!$B$3:$B$1009&amp;"",COMPUTER!$E$3:$E$1009,""),"Display",_xlfn.XLOOKUP($K865&amp;"",DISPLAY!$B$3:$B$1000&amp;"",DISPLAY!$E$3:$E$1000,""),"Network Device",_xlfn.XLOOKUP($K865&amp;"",'NETWORK-DEVICES'!$B$3:$B$987&amp;"",'NETWORK-DEVICES'!$E$3:$E$987,""),"Peripheral",_xlfn.XLOOKUP($K865&amp;"",PERIPHERAL!$B$3:$B$954&amp;"",PERIPHERAL!$E$3:$E$954,""),"Utilities",_xlfn.XLOOKUP($K865&amp;"",UTILITIES!$B$3:$B$953&amp;"",UTILITIES!$E$3:$E$953,""),"IOT",_xlfn.XLOOKUP($K865&amp;"",IOT!$B$3:$B$1012&amp;"",IOT!$E$3:$E$1012,""),"Server",_xlfn.XLOOKUP($K865&amp;"",SERVER!$B$3:$B$1009&amp;"",SERVER!$E$3:$E$1009,""),""))))</f>
        <v/>
      </c>
      <c r="Q865" s="1" t="str" cm="1">
        <f t="array" ref="Q865">IF(OR($K865="",$I865="",$J865=""),"",_xlfn.LET(_xlpm.srcCat,_xlfn.SWITCH($I865,"Computer",_xlfn.XLOOKUP($K865&amp;"",COMPUTER!$B$3:$B$1009&amp;"",COMPUTER!$H$3:$H$1009,""),"Display",_xlfn.XLOOKUP($K865&amp;"",DISPLAY!$B$3:$B$1000&amp;"",DISPLAY!$H$3:$H$1000,""),"Network Device",_xlfn.XLOOKUP($K865&amp;"",'NETWORK-DEVICES'!$B$3:$B$987&amp;"",'NETWORK-DEVICES'!$H$3:$H$987,""),"Peripheral",_xlfn.XLOOKUP($K865&amp;"",PERIPHERAL!$B$3:$B$954&amp;"",PERIPHERAL!$H$3:$H$954,""),"Utilities",_xlfn.XLOOKUP($K865&amp;"",UTILITIES!$B$3:$B$953&amp;"",UTILITIES!$G$3:$G$953,""),"IOT",_xlfn.XLOOKUP($K865&amp;"",IOT!$B$3:$B$1012&amp;"",IOT!$H$3:$H$1012,""),"Server",_xlfn.XLOOKUP($K865&amp;"",SERVER!$B$3:$B$1009&amp;"",SERVER!$H$3:$H$1009,""),""),IF(TRIM(_xlpm.srcCat)&lt;&gt;TRIM($J865),"",_xlfn.SWITCH($I865,"Computer",_xlfn.XLOOKUP($K865&amp;"",COMPUTER!$B$3:$B$1009&amp;"",COMPUTER!$AM$3:$AM$1009,""),"Display",_xlfn.XLOOKUP($K865&amp;"",DISPLAY!$B$3:$B$1000&amp;"",DISPLAY!$V$3:$V$1000,""),"Network Device",_xlfn.XLOOKUP($K865&amp;"",'NETWORK-DEVICES'!$B$3:$B$987&amp;"",'NETWORK-DEVICES'!$AF$3:$AF$987,""),"Peripheral",_xlfn.XLOOKUP($K865&amp;"",PERIPHERAL!$B$3:$B$954&amp;"",PERIPHERAL!$Y$3:$Y$954,""),"Utilities",_xlfn.XLOOKUP($K865&amp;"",UTILITIES!$B$3:$B$953&amp;"",UTILITIES!$O$3:$O$953,""),"IOT",_xlfn.XLOOKUP($K865&amp;"",IOT!$B$3:$B$1012&amp;"",IOT!$AB$3:$AB$1012,""),"Server",_xlfn.XLOOKUP($K865&amp;"",SERVER!$B$3:$B$1009&amp;"",SERVER!$AB$3:$AB$1009,""),""))))</f>
        <v/>
      </c>
      <c r="R865" s="43" t="str">
        <f>IF(tbl_handover[[#This Row],[Asset Code]]="","",COUNTIF(tbl_handover[Asset Code],tbl_handover[[#This Row],[Asset Code]]))</f>
        <v/>
      </c>
    </row>
    <row r="866" spans="1:18" x14ac:dyDescent="0.25">
      <c r="A866" s="43" t="str">
        <f>IF(B866&lt;&gt;"",SUBTOTAL(3,$B$1:B865),"")</f>
        <v/>
      </c>
      <c r="C866" s="74"/>
      <c r="D866" s="74"/>
      <c r="G866" s="1"/>
      <c r="K866" s="42"/>
      <c r="L866" t="str" cm="1">
        <f t="array" ref="L866">IF($K866="","",_xlfn.SWITCH($I866,"Computer",_xlfn.XLOOKUP($K866&amp;"",COMPUTER!$B$3:$B$1009&amp;"",COMPUTER!$I$3:$I$1009,""),"Display",_xlfn.XLOOKUP($K866&amp;"",DISPLAY!$B$3:$B$1000&amp;"",DISPLAY!$J$3:$J$1000,""),"Network Device",_xlfn.XLOOKUP($K866&amp;"",'NETWORK-DEVICES'!$B$3:$B$987&amp;"",'NETWORK-DEVICES'!$I$3:$I$987,""),"Peripheral",_xlfn.XLOOKUP($K866&amp;"",PERIPHERAL!$B$3:$B$954&amp;"",PERIPHERAL!$I$3:$I$954,""),"Utilities",_xlfn.XLOOKUP($K866&amp;"",UTILITIES!$B$3:$B$953&amp;"",UTILITIES!$H$3:$H$953,""),"IOT",_xlfn.XLOOKUP($K866&amp;"",IOT!$B$3:$B$1012&amp;"",IOT!$I$3:$I$1012,""),"SERVER",_xlfn.XLOOKUP($K866&amp;"",SERVER!$B$3:$B$1009&amp;"",SERVER!$I$3:$I$1009,""),""))</f>
        <v/>
      </c>
      <c r="M866" t="str" cm="1">
        <f t="array" ref="M866">IF($K866="","",_xlfn.SWITCH($I866,"Computer",_xlfn.XLOOKUP($K866&amp;"",COMPUTER!$B$3:$B$1009&amp;"",COMPUTER!$J$3:$J$1009,""),"Display",_xlfn.XLOOKUP($K866&amp;"",DISPLAY!$B$3:$B$1000&amp;"",DISPLAY!$K$3:$K$1000,""),"Network Device",_xlfn.XLOOKUP($K866&amp;"",'NETWORK-DEVICES'!$B$3:$B$987&amp;"",'NETWORK-DEVICES'!$I$3:$I$987,""),"Peripheral",_xlfn.XLOOKUP($K866&amp;"",PERIPHERAL!$B$3:$B$954&amp;"",PERIPHERAL!$J$3:$J$954,""),"Utilities",_xlfn.XLOOKUP($K866&amp;"",UTILITIES!$B$3:$B$953&amp;"",UTILITIES!$I$3:$I$953,""),"IOT",_xlfn.XLOOKUP($K866&amp;"",IOT!$B$3:$B$1012&amp;"",IOT!$J$3:$J$1012,""),"Server",_xlfn.XLOOKUP($K866&amp;"",SERVER!$B$3:$B$1009&amp;"",SERVER!$J$3:$J$1009,""),""))</f>
        <v/>
      </c>
      <c r="N866" s="1" t="str" cm="1">
        <f t="array" ref="N866">IF(OR($K866="",$I866="",$J866=""),"",_xlfn.LET(_xlpm.srcCat,_xlfn.SWITCH($I866,"Computer",_xlfn.XLOOKUP($K866&amp;"",COMPUTER!$B$3:$B$1009&amp;"",COMPUTER!$H$3:$H$1009,""),"Display",_xlfn.XLOOKUP($K866&amp;"",DISPLAY!$B$3:$B$1000&amp;"",DISPLAY!$H$3:$H$1000,""),"Network Device",_xlfn.XLOOKUP($K866&amp;"",'NETWORK-DEVICES'!$B$3:$B$987&amp;"",'NETWORK-DEVICES'!$H$3:$H$987,""),"Peripheral",_xlfn.XLOOKUP($K866&amp;"",PERIPHERAL!$B$3:$B$954&amp;"",PERIPHERAL!$H$3:$H$954,""),"Utilities",_xlfn.XLOOKUP($K866&amp;"",UTILITIES!$B$3:$B$953&amp;"",UTILITIES!$G$3:$G$953,""),"IOT",_xlfn.XLOOKUP($K866&amp;"",IOT!$B$3:$B$1012&amp;"",IOT!$H$3:$H$1012,""),"Server",_xlfn.XLOOKUP($K866&amp;"",SERVER!$B$3:$B$1009&amp;"",SERVER!$H$3:$H$1009,""),""),IF(TRIM(_xlpm.srcCat)&lt;&gt;TRIM($J866),"",_xlfn.SWITCH($I866,"Computer",_xlfn.XLOOKUP($K866&amp;"",COMPUTER!$B$3:$B$1009&amp;"",COMPUTER!$K$3:$K$1009,""),"Display",_xlfn.XLOOKUP($K866&amp;"",DISPLAY!$B$3:$B$1000&amp;"",DISPLAY!$L$3:$L$1000,""),"Network Device",_xlfn.XLOOKUP($K866&amp;"",'NETWORK-DEVICES'!$B$3:$B$987&amp;"",'NETWORK-DEVICES'!$K$3:$K$987,""),"Peripheral",_xlfn.XLOOKUP($K866&amp;"",PERIPHERAL!$B$3:$B$954&amp;"",PERIPHERAL!$K$3:$K$954,""),"Utilities",_xlfn.XLOOKUP($K866&amp;"",UTILITIES!$B$3:$B$953&amp;"",UTILITIES!$J$3:$J$953,""),"IOT",_xlfn.XLOOKUP($K866&amp;"",IOT!$B$3:$B$1012&amp;"",IOT!$K$4:$K$1012,""),"Server",_xlfn.XLOOKUP($K866&amp;"",SERVER!$B$3:$B$1009&amp;"",SERVER!$K$3:$K$1009,""),""))))</f>
        <v/>
      </c>
      <c r="O866" s="1" t="str" cm="1">
        <f t="array" ref="O866">IF(OR($K866="",$I866="",$J866=""),"",_xlfn.LET(_xlpm.srcCat,_xlfn.SWITCH($I866,"Computer",_xlfn.XLOOKUP($K866&amp;"",COMPUTER!$B$3:$B$1009&amp;"",COMPUTER!$H$3:$H$1009,""),"Display",_xlfn.XLOOKUP($K866&amp;"",DISPLAY!$B$3:$B$1000&amp;"",DISPLAY!$H$3:$H$1000,""),"Network Device",_xlfn.XLOOKUP($K866&amp;"",'NETWORK-DEVICES'!$B$3:$B$987&amp;"",'NETWORK-DEVICES'!$H$3:$H$987,""),"Peripheral",_xlfn.XLOOKUP($K866&amp;"",PERIPHERAL!$B$3:$B$954&amp;"",PERIPHERAL!$H$3:$H$954,""),"Utilities",_xlfn.XLOOKUP($K866&amp;"",UTILITIES!$B$3:$B$953&amp;"",UTILITIES!$G$3:$G$953,""),"IOT",_xlfn.XLOOKUP($K866&amp;"",IOT!$B$3:$B$1012&amp;"",IOT!$H$3:$H$1012,""),"Server",_xlfn.XLOOKUP($K866&amp;"",SERVER!$B$3:$B$1009&amp;"",SERVER!$H$3:$H$1009,""),""),IF(TRIM(_xlpm.srcCat)&lt;&gt;TRIM($J866),"",_xlfn.SWITCH($I866,"Computer",_xlfn.XLOOKUP($K866&amp;"",COMPUTER!$B$3:$B$1009&amp;"",COMPUTER!$E$3:$E$1009,""),"Display",_xlfn.XLOOKUP($K866&amp;"",DISPLAY!$B$3:$B$1000&amp;"",DISPLAY!$E$3:$E$1000,""),"Network Device",_xlfn.XLOOKUP($K866&amp;"",'NETWORK-DEVICES'!$B$3:$B$987&amp;"",'NETWORK-DEVICES'!$E$3:$E$987,""),"Peripheral",_xlfn.XLOOKUP($K866&amp;"",PERIPHERAL!$B$3:$B$954&amp;"",PERIPHERAL!$E$3:$E$954,""),"Utilities",_xlfn.XLOOKUP($K866&amp;"",UTILITIES!$B$3:$B$953&amp;"",UTILITIES!$E$3:$E$953,""),"IOT",_xlfn.XLOOKUP($K866&amp;"",IOT!$B$3:$B$1012&amp;"",IOT!$E$3:$E$1012,""),"Server",_xlfn.XLOOKUP($K866&amp;"",SERVER!$B$3:$B$1009&amp;"",SERVER!$E$3:$E$1009,""),""))))</f>
        <v/>
      </c>
      <c r="Q866" s="1" t="str" cm="1">
        <f t="array" ref="Q866">IF(OR($K866="",$I866="",$J866=""),"",_xlfn.LET(_xlpm.srcCat,_xlfn.SWITCH($I866,"Computer",_xlfn.XLOOKUP($K866&amp;"",COMPUTER!$B$3:$B$1009&amp;"",COMPUTER!$H$3:$H$1009,""),"Display",_xlfn.XLOOKUP($K866&amp;"",DISPLAY!$B$3:$B$1000&amp;"",DISPLAY!$H$3:$H$1000,""),"Network Device",_xlfn.XLOOKUP($K866&amp;"",'NETWORK-DEVICES'!$B$3:$B$987&amp;"",'NETWORK-DEVICES'!$H$3:$H$987,""),"Peripheral",_xlfn.XLOOKUP($K866&amp;"",PERIPHERAL!$B$3:$B$954&amp;"",PERIPHERAL!$H$3:$H$954,""),"Utilities",_xlfn.XLOOKUP($K866&amp;"",UTILITIES!$B$3:$B$953&amp;"",UTILITIES!$G$3:$G$953,""),"IOT",_xlfn.XLOOKUP($K866&amp;"",IOT!$B$3:$B$1012&amp;"",IOT!$H$3:$H$1012,""),"Server",_xlfn.XLOOKUP($K866&amp;"",SERVER!$B$3:$B$1009&amp;"",SERVER!$H$3:$H$1009,""),""),IF(TRIM(_xlpm.srcCat)&lt;&gt;TRIM($J866),"",_xlfn.SWITCH($I866,"Computer",_xlfn.XLOOKUP($K866&amp;"",COMPUTER!$B$3:$B$1009&amp;"",COMPUTER!$AM$3:$AM$1009,""),"Display",_xlfn.XLOOKUP($K866&amp;"",DISPLAY!$B$3:$B$1000&amp;"",DISPLAY!$V$3:$V$1000,""),"Network Device",_xlfn.XLOOKUP($K866&amp;"",'NETWORK-DEVICES'!$B$3:$B$987&amp;"",'NETWORK-DEVICES'!$AF$3:$AF$987,""),"Peripheral",_xlfn.XLOOKUP($K866&amp;"",PERIPHERAL!$B$3:$B$954&amp;"",PERIPHERAL!$Y$3:$Y$954,""),"Utilities",_xlfn.XLOOKUP($K866&amp;"",UTILITIES!$B$3:$B$953&amp;"",UTILITIES!$O$3:$O$953,""),"IOT",_xlfn.XLOOKUP($K866&amp;"",IOT!$B$3:$B$1012&amp;"",IOT!$AB$3:$AB$1012,""),"Server",_xlfn.XLOOKUP($K866&amp;"",SERVER!$B$3:$B$1009&amp;"",SERVER!$AB$3:$AB$1009,""),""))))</f>
        <v/>
      </c>
      <c r="R866" s="43" t="str">
        <f>IF(tbl_handover[[#This Row],[Asset Code]]="","",COUNTIF(tbl_handover[Asset Code],tbl_handover[[#This Row],[Asset Code]]))</f>
        <v/>
      </c>
    </row>
    <row r="867" spans="1:18" x14ac:dyDescent="0.25">
      <c r="A867" s="43" t="str">
        <f>IF(B867&lt;&gt;"",SUBTOTAL(3,$B$1:B866),"")</f>
        <v/>
      </c>
      <c r="C867" s="74"/>
      <c r="D867" s="74"/>
      <c r="G867" s="1"/>
      <c r="K867" s="42"/>
      <c r="L867" t="str" cm="1">
        <f t="array" ref="L867">IF($K867="","",_xlfn.SWITCH($I867,"Computer",_xlfn.XLOOKUP($K867&amp;"",COMPUTER!$B$3:$B$1009&amp;"",COMPUTER!$I$3:$I$1009,""),"Display",_xlfn.XLOOKUP($K867&amp;"",DISPLAY!$B$3:$B$1000&amp;"",DISPLAY!$J$3:$J$1000,""),"Network Device",_xlfn.XLOOKUP($K867&amp;"",'NETWORK-DEVICES'!$B$3:$B$987&amp;"",'NETWORK-DEVICES'!$I$3:$I$987,""),"Peripheral",_xlfn.XLOOKUP($K867&amp;"",PERIPHERAL!$B$3:$B$954&amp;"",PERIPHERAL!$I$3:$I$954,""),"Utilities",_xlfn.XLOOKUP($K867&amp;"",UTILITIES!$B$3:$B$953&amp;"",UTILITIES!$H$3:$H$953,""),"IOT",_xlfn.XLOOKUP($K867&amp;"",IOT!$B$3:$B$1012&amp;"",IOT!$I$3:$I$1012,""),"SERVER",_xlfn.XLOOKUP($K867&amp;"",SERVER!$B$3:$B$1009&amp;"",SERVER!$I$3:$I$1009,""),""))</f>
        <v/>
      </c>
      <c r="M867" t="str" cm="1">
        <f t="array" ref="M867">IF($K867="","",_xlfn.SWITCH($I867,"Computer",_xlfn.XLOOKUP($K867&amp;"",COMPUTER!$B$3:$B$1009&amp;"",COMPUTER!$J$3:$J$1009,""),"Display",_xlfn.XLOOKUP($K867&amp;"",DISPLAY!$B$3:$B$1000&amp;"",DISPLAY!$K$3:$K$1000,""),"Network Device",_xlfn.XLOOKUP($K867&amp;"",'NETWORK-DEVICES'!$B$3:$B$987&amp;"",'NETWORK-DEVICES'!$I$3:$I$987,""),"Peripheral",_xlfn.XLOOKUP($K867&amp;"",PERIPHERAL!$B$3:$B$954&amp;"",PERIPHERAL!$J$3:$J$954,""),"Utilities",_xlfn.XLOOKUP($K867&amp;"",UTILITIES!$B$3:$B$953&amp;"",UTILITIES!$I$3:$I$953,""),"IOT",_xlfn.XLOOKUP($K867&amp;"",IOT!$B$3:$B$1012&amp;"",IOT!$J$3:$J$1012,""),"Server",_xlfn.XLOOKUP($K867&amp;"",SERVER!$B$3:$B$1009&amp;"",SERVER!$J$3:$J$1009,""),""))</f>
        <v/>
      </c>
      <c r="N867" s="1" t="str" cm="1">
        <f t="array" ref="N867">IF(OR($K867="",$I867="",$J867=""),"",_xlfn.LET(_xlpm.srcCat,_xlfn.SWITCH($I867,"Computer",_xlfn.XLOOKUP($K867&amp;"",COMPUTER!$B$3:$B$1009&amp;"",COMPUTER!$H$3:$H$1009,""),"Display",_xlfn.XLOOKUP($K867&amp;"",DISPLAY!$B$3:$B$1000&amp;"",DISPLAY!$H$3:$H$1000,""),"Network Device",_xlfn.XLOOKUP($K867&amp;"",'NETWORK-DEVICES'!$B$3:$B$987&amp;"",'NETWORK-DEVICES'!$H$3:$H$987,""),"Peripheral",_xlfn.XLOOKUP($K867&amp;"",PERIPHERAL!$B$3:$B$954&amp;"",PERIPHERAL!$H$3:$H$954,""),"Utilities",_xlfn.XLOOKUP($K867&amp;"",UTILITIES!$B$3:$B$953&amp;"",UTILITIES!$G$3:$G$953,""),"IOT",_xlfn.XLOOKUP($K867&amp;"",IOT!$B$3:$B$1012&amp;"",IOT!$H$3:$H$1012,""),"Server",_xlfn.XLOOKUP($K867&amp;"",SERVER!$B$3:$B$1009&amp;"",SERVER!$H$3:$H$1009,""),""),IF(TRIM(_xlpm.srcCat)&lt;&gt;TRIM($J867),"",_xlfn.SWITCH($I867,"Computer",_xlfn.XLOOKUP($K867&amp;"",COMPUTER!$B$3:$B$1009&amp;"",COMPUTER!$K$3:$K$1009,""),"Display",_xlfn.XLOOKUP($K867&amp;"",DISPLAY!$B$3:$B$1000&amp;"",DISPLAY!$L$3:$L$1000,""),"Network Device",_xlfn.XLOOKUP($K867&amp;"",'NETWORK-DEVICES'!$B$3:$B$987&amp;"",'NETWORK-DEVICES'!$K$3:$K$987,""),"Peripheral",_xlfn.XLOOKUP($K867&amp;"",PERIPHERAL!$B$3:$B$954&amp;"",PERIPHERAL!$K$3:$K$954,""),"Utilities",_xlfn.XLOOKUP($K867&amp;"",UTILITIES!$B$3:$B$953&amp;"",UTILITIES!$J$3:$J$953,""),"IOT",_xlfn.XLOOKUP($K867&amp;"",IOT!$B$3:$B$1012&amp;"",IOT!$K$4:$K$1012,""),"Server",_xlfn.XLOOKUP($K867&amp;"",SERVER!$B$3:$B$1009&amp;"",SERVER!$K$3:$K$1009,""),""))))</f>
        <v/>
      </c>
      <c r="O867" s="1" t="str" cm="1">
        <f t="array" ref="O867">IF(OR($K867="",$I867="",$J867=""),"",_xlfn.LET(_xlpm.srcCat,_xlfn.SWITCH($I867,"Computer",_xlfn.XLOOKUP($K867&amp;"",COMPUTER!$B$3:$B$1009&amp;"",COMPUTER!$H$3:$H$1009,""),"Display",_xlfn.XLOOKUP($K867&amp;"",DISPLAY!$B$3:$B$1000&amp;"",DISPLAY!$H$3:$H$1000,""),"Network Device",_xlfn.XLOOKUP($K867&amp;"",'NETWORK-DEVICES'!$B$3:$B$987&amp;"",'NETWORK-DEVICES'!$H$3:$H$987,""),"Peripheral",_xlfn.XLOOKUP($K867&amp;"",PERIPHERAL!$B$3:$B$954&amp;"",PERIPHERAL!$H$3:$H$954,""),"Utilities",_xlfn.XLOOKUP($K867&amp;"",UTILITIES!$B$3:$B$953&amp;"",UTILITIES!$G$3:$G$953,""),"IOT",_xlfn.XLOOKUP($K867&amp;"",IOT!$B$3:$B$1012&amp;"",IOT!$H$3:$H$1012,""),"Server",_xlfn.XLOOKUP($K867&amp;"",SERVER!$B$3:$B$1009&amp;"",SERVER!$H$3:$H$1009,""),""),IF(TRIM(_xlpm.srcCat)&lt;&gt;TRIM($J867),"",_xlfn.SWITCH($I867,"Computer",_xlfn.XLOOKUP($K867&amp;"",COMPUTER!$B$3:$B$1009&amp;"",COMPUTER!$E$3:$E$1009,""),"Display",_xlfn.XLOOKUP($K867&amp;"",DISPLAY!$B$3:$B$1000&amp;"",DISPLAY!$E$3:$E$1000,""),"Network Device",_xlfn.XLOOKUP($K867&amp;"",'NETWORK-DEVICES'!$B$3:$B$987&amp;"",'NETWORK-DEVICES'!$E$3:$E$987,""),"Peripheral",_xlfn.XLOOKUP($K867&amp;"",PERIPHERAL!$B$3:$B$954&amp;"",PERIPHERAL!$E$3:$E$954,""),"Utilities",_xlfn.XLOOKUP($K867&amp;"",UTILITIES!$B$3:$B$953&amp;"",UTILITIES!$E$3:$E$953,""),"IOT",_xlfn.XLOOKUP($K867&amp;"",IOT!$B$3:$B$1012&amp;"",IOT!$E$3:$E$1012,""),"Server",_xlfn.XLOOKUP($K867&amp;"",SERVER!$B$3:$B$1009&amp;"",SERVER!$E$3:$E$1009,""),""))))</f>
        <v/>
      </c>
      <c r="Q867" s="1" t="str" cm="1">
        <f t="array" ref="Q867">IF(OR($K867="",$I867="",$J867=""),"",_xlfn.LET(_xlpm.srcCat,_xlfn.SWITCH($I867,"Computer",_xlfn.XLOOKUP($K867&amp;"",COMPUTER!$B$3:$B$1009&amp;"",COMPUTER!$H$3:$H$1009,""),"Display",_xlfn.XLOOKUP($K867&amp;"",DISPLAY!$B$3:$B$1000&amp;"",DISPLAY!$H$3:$H$1000,""),"Network Device",_xlfn.XLOOKUP($K867&amp;"",'NETWORK-DEVICES'!$B$3:$B$987&amp;"",'NETWORK-DEVICES'!$H$3:$H$987,""),"Peripheral",_xlfn.XLOOKUP($K867&amp;"",PERIPHERAL!$B$3:$B$954&amp;"",PERIPHERAL!$H$3:$H$954,""),"Utilities",_xlfn.XLOOKUP($K867&amp;"",UTILITIES!$B$3:$B$953&amp;"",UTILITIES!$G$3:$G$953,""),"IOT",_xlfn.XLOOKUP($K867&amp;"",IOT!$B$3:$B$1012&amp;"",IOT!$H$3:$H$1012,""),"Server",_xlfn.XLOOKUP($K867&amp;"",SERVER!$B$3:$B$1009&amp;"",SERVER!$H$3:$H$1009,""),""),IF(TRIM(_xlpm.srcCat)&lt;&gt;TRIM($J867),"",_xlfn.SWITCH($I867,"Computer",_xlfn.XLOOKUP($K867&amp;"",COMPUTER!$B$3:$B$1009&amp;"",COMPUTER!$AM$3:$AM$1009,""),"Display",_xlfn.XLOOKUP($K867&amp;"",DISPLAY!$B$3:$B$1000&amp;"",DISPLAY!$V$3:$V$1000,""),"Network Device",_xlfn.XLOOKUP($K867&amp;"",'NETWORK-DEVICES'!$B$3:$B$987&amp;"",'NETWORK-DEVICES'!$AF$3:$AF$987,""),"Peripheral",_xlfn.XLOOKUP($K867&amp;"",PERIPHERAL!$B$3:$B$954&amp;"",PERIPHERAL!$Y$3:$Y$954,""),"Utilities",_xlfn.XLOOKUP($K867&amp;"",UTILITIES!$B$3:$B$953&amp;"",UTILITIES!$O$3:$O$953,""),"IOT",_xlfn.XLOOKUP($K867&amp;"",IOT!$B$3:$B$1012&amp;"",IOT!$AB$3:$AB$1012,""),"Server",_xlfn.XLOOKUP($K867&amp;"",SERVER!$B$3:$B$1009&amp;"",SERVER!$AB$3:$AB$1009,""),""))))</f>
        <v/>
      </c>
      <c r="R867" s="43" t="str">
        <f>IF(tbl_handover[[#This Row],[Asset Code]]="","",COUNTIF(tbl_handover[Asset Code],tbl_handover[[#This Row],[Asset Code]]))</f>
        <v/>
      </c>
    </row>
    <row r="868" spans="1:18" x14ac:dyDescent="0.25">
      <c r="A868" s="43" t="str">
        <f>IF(B868&lt;&gt;"",SUBTOTAL(3,$B$1:B867),"")</f>
        <v/>
      </c>
      <c r="C868" s="74"/>
      <c r="D868" s="74"/>
      <c r="G868" s="1"/>
      <c r="K868" s="42"/>
      <c r="L868" t="str" cm="1">
        <f t="array" ref="L868">IF($K868="","",_xlfn.SWITCH($I868,"Computer",_xlfn.XLOOKUP($K868&amp;"",COMPUTER!$B$3:$B$1009&amp;"",COMPUTER!$I$3:$I$1009,""),"Display",_xlfn.XLOOKUP($K868&amp;"",DISPLAY!$B$3:$B$1000&amp;"",DISPLAY!$J$3:$J$1000,""),"Network Device",_xlfn.XLOOKUP($K868&amp;"",'NETWORK-DEVICES'!$B$3:$B$987&amp;"",'NETWORK-DEVICES'!$I$3:$I$987,""),"Peripheral",_xlfn.XLOOKUP($K868&amp;"",PERIPHERAL!$B$3:$B$954&amp;"",PERIPHERAL!$I$3:$I$954,""),"Utilities",_xlfn.XLOOKUP($K868&amp;"",UTILITIES!$B$3:$B$953&amp;"",UTILITIES!$H$3:$H$953,""),"IOT",_xlfn.XLOOKUP($K868&amp;"",IOT!$B$3:$B$1012&amp;"",IOT!$I$3:$I$1012,""),"SERVER",_xlfn.XLOOKUP($K868&amp;"",SERVER!$B$3:$B$1009&amp;"",SERVER!$I$3:$I$1009,""),""))</f>
        <v/>
      </c>
      <c r="M868" t="str" cm="1">
        <f t="array" ref="M868">IF($K868="","",_xlfn.SWITCH($I868,"Computer",_xlfn.XLOOKUP($K868&amp;"",COMPUTER!$B$3:$B$1009&amp;"",COMPUTER!$J$3:$J$1009,""),"Display",_xlfn.XLOOKUP($K868&amp;"",DISPLAY!$B$3:$B$1000&amp;"",DISPLAY!$K$3:$K$1000,""),"Network Device",_xlfn.XLOOKUP($K868&amp;"",'NETWORK-DEVICES'!$B$3:$B$987&amp;"",'NETWORK-DEVICES'!$I$3:$I$987,""),"Peripheral",_xlfn.XLOOKUP($K868&amp;"",PERIPHERAL!$B$3:$B$954&amp;"",PERIPHERAL!$J$3:$J$954,""),"Utilities",_xlfn.XLOOKUP($K868&amp;"",UTILITIES!$B$3:$B$953&amp;"",UTILITIES!$I$3:$I$953,""),"IOT",_xlfn.XLOOKUP($K868&amp;"",IOT!$B$3:$B$1012&amp;"",IOT!$J$3:$J$1012,""),"Server",_xlfn.XLOOKUP($K868&amp;"",SERVER!$B$3:$B$1009&amp;"",SERVER!$J$3:$J$1009,""),""))</f>
        <v/>
      </c>
      <c r="N868" s="1" t="str" cm="1">
        <f t="array" ref="N868">IF(OR($K868="",$I868="",$J868=""),"",_xlfn.LET(_xlpm.srcCat,_xlfn.SWITCH($I868,"Computer",_xlfn.XLOOKUP($K868&amp;"",COMPUTER!$B$3:$B$1009&amp;"",COMPUTER!$H$3:$H$1009,""),"Display",_xlfn.XLOOKUP($K868&amp;"",DISPLAY!$B$3:$B$1000&amp;"",DISPLAY!$H$3:$H$1000,""),"Network Device",_xlfn.XLOOKUP($K868&amp;"",'NETWORK-DEVICES'!$B$3:$B$987&amp;"",'NETWORK-DEVICES'!$H$3:$H$987,""),"Peripheral",_xlfn.XLOOKUP($K868&amp;"",PERIPHERAL!$B$3:$B$954&amp;"",PERIPHERAL!$H$3:$H$954,""),"Utilities",_xlfn.XLOOKUP($K868&amp;"",UTILITIES!$B$3:$B$953&amp;"",UTILITIES!$G$3:$G$953,""),"IOT",_xlfn.XLOOKUP($K868&amp;"",IOT!$B$3:$B$1012&amp;"",IOT!$H$3:$H$1012,""),"Server",_xlfn.XLOOKUP($K868&amp;"",SERVER!$B$3:$B$1009&amp;"",SERVER!$H$3:$H$1009,""),""),IF(TRIM(_xlpm.srcCat)&lt;&gt;TRIM($J868),"",_xlfn.SWITCH($I868,"Computer",_xlfn.XLOOKUP($K868&amp;"",COMPUTER!$B$3:$B$1009&amp;"",COMPUTER!$K$3:$K$1009,""),"Display",_xlfn.XLOOKUP($K868&amp;"",DISPLAY!$B$3:$B$1000&amp;"",DISPLAY!$L$3:$L$1000,""),"Network Device",_xlfn.XLOOKUP($K868&amp;"",'NETWORK-DEVICES'!$B$3:$B$987&amp;"",'NETWORK-DEVICES'!$K$3:$K$987,""),"Peripheral",_xlfn.XLOOKUP($K868&amp;"",PERIPHERAL!$B$3:$B$954&amp;"",PERIPHERAL!$K$3:$K$954,""),"Utilities",_xlfn.XLOOKUP($K868&amp;"",UTILITIES!$B$3:$B$953&amp;"",UTILITIES!$J$3:$J$953,""),"IOT",_xlfn.XLOOKUP($K868&amp;"",IOT!$B$3:$B$1012&amp;"",IOT!$K$4:$K$1012,""),"Server",_xlfn.XLOOKUP($K868&amp;"",SERVER!$B$3:$B$1009&amp;"",SERVER!$K$3:$K$1009,""),""))))</f>
        <v/>
      </c>
      <c r="O868" s="1" t="str" cm="1">
        <f t="array" ref="O868">IF(OR($K868="",$I868="",$J868=""),"",_xlfn.LET(_xlpm.srcCat,_xlfn.SWITCH($I868,"Computer",_xlfn.XLOOKUP($K868&amp;"",COMPUTER!$B$3:$B$1009&amp;"",COMPUTER!$H$3:$H$1009,""),"Display",_xlfn.XLOOKUP($K868&amp;"",DISPLAY!$B$3:$B$1000&amp;"",DISPLAY!$H$3:$H$1000,""),"Network Device",_xlfn.XLOOKUP($K868&amp;"",'NETWORK-DEVICES'!$B$3:$B$987&amp;"",'NETWORK-DEVICES'!$H$3:$H$987,""),"Peripheral",_xlfn.XLOOKUP($K868&amp;"",PERIPHERAL!$B$3:$B$954&amp;"",PERIPHERAL!$H$3:$H$954,""),"Utilities",_xlfn.XLOOKUP($K868&amp;"",UTILITIES!$B$3:$B$953&amp;"",UTILITIES!$G$3:$G$953,""),"IOT",_xlfn.XLOOKUP($K868&amp;"",IOT!$B$3:$B$1012&amp;"",IOT!$H$3:$H$1012,""),"Server",_xlfn.XLOOKUP($K868&amp;"",SERVER!$B$3:$B$1009&amp;"",SERVER!$H$3:$H$1009,""),""),IF(TRIM(_xlpm.srcCat)&lt;&gt;TRIM($J868),"",_xlfn.SWITCH($I868,"Computer",_xlfn.XLOOKUP($K868&amp;"",COMPUTER!$B$3:$B$1009&amp;"",COMPUTER!$E$3:$E$1009,""),"Display",_xlfn.XLOOKUP($K868&amp;"",DISPLAY!$B$3:$B$1000&amp;"",DISPLAY!$E$3:$E$1000,""),"Network Device",_xlfn.XLOOKUP($K868&amp;"",'NETWORK-DEVICES'!$B$3:$B$987&amp;"",'NETWORK-DEVICES'!$E$3:$E$987,""),"Peripheral",_xlfn.XLOOKUP($K868&amp;"",PERIPHERAL!$B$3:$B$954&amp;"",PERIPHERAL!$E$3:$E$954,""),"Utilities",_xlfn.XLOOKUP($K868&amp;"",UTILITIES!$B$3:$B$953&amp;"",UTILITIES!$E$3:$E$953,""),"IOT",_xlfn.XLOOKUP($K868&amp;"",IOT!$B$3:$B$1012&amp;"",IOT!$E$3:$E$1012,""),"Server",_xlfn.XLOOKUP($K868&amp;"",SERVER!$B$3:$B$1009&amp;"",SERVER!$E$3:$E$1009,""),""))))</f>
        <v/>
      </c>
      <c r="Q868" s="1" t="str" cm="1">
        <f t="array" ref="Q868">IF(OR($K868="",$I868="",$J868=""),"",_xlfn.LET(_xlpm.srcCat,_xlfn.SWITCH($I868,"Computer",_xlfn.XLOOKUP($K868&amp;"",COMPUTER!$B$3:$B$1009&amp;"",COMPUTER!$H$3:$H$1009,""),"Display",_xlfn.XLOOKUP($K868&amp;"",DISPLAY!$B$3:$B$1000&amp;"",DISPLAY!$H$3:$H$1000,""),"Network Device",_xlfn.XLOOKUP($K868&amp;"",'NETWORK-DEVICES'!$B$3:$B$987&amp;"",'NETWORK-DEVICES'!$H$3:$H$987,""),"Peripheral",_xlfn.XLOOKUP($K868&amp;"",PERIPHERAL!$B$3:$B$954&amp;"",PERIPHERAL!$H$3:$H$954,""),"Utilities",_xlfn.XLOOKUP($K868&amp;"",UTILITIES!$B$3:$B$953&amp;"",UTILITIES!$G$3:$G$953,""),"IOT",_xlfn.XLOOKUP($K868&amp;"",IOT!$B$3:$B$1012&amp;"",IOT!$H$3:$H$1012,""),"Server",_xlfn.XLOOKUP($K868&amp;"",SERVER!$B$3:$B$1009&amp;"",SERVER!$H$3:$H$1009,""),""),IF(TRIM(_xlpm.srcCat)&lt;&gt;TRIM($J868),"",_xlfn.SWITCH($I868,"Computer",_xlfn.XLOOKUP($K868&amp;"",COMPUTER!$B$3:$B$1009&amp;"",COMPUTER!$AM$3:$AM$1009,""),"Display",_xlfn.XLOOKUP($K868&amp;"",DISPLAY!$B$3:$B$1000&amp;"",DISPLAY!$V$3:$V$1000,""),"Network Device",_xlfn.XLOOKUP($K868&amp;"",'NETWORK-DEVICES'!$B$3:$B$987&amp;"",'NETWORK-DEVICES'!$AF$3:$AF$987,""),"Peripheral",_xlfn.XLOOKUP($K868&amp;"",PERIPHERAL!$B$3:$B$954&amp;"",PERIPHERAL!$Y$3:$Y$954,""),"Utilities",_xlfn.XLOOKUP($K868&amp;"",UTILITIES!$B$3:$B$953&amp;"",UTILITIES!$O$3:$O$953,""),"IOT",_xlfn.XLOOKUP($K868&amp;"",IOT!$B$3:$B$1012&amp;"",IOT!$AB$3:$AB$1012,""),"Server",_xlfn.XLOOKUP($K868&amp;"",SERVER!$B$3:$B$1009&amp;"",SERVER!$AB$3:$AB$1009,""),""))))</f>
        <v/>
      </c>
      <c r="R868" s="43" t="str">
        <f>IF(tbl_handover[[#This Row],[Asset Code]]="","",COUNTIF(tbl_handover[Asset Code],tbl_handover[[#This Row],[Asset Code]]))</f>
        <v/>
      </c>
    </row>
    <row r="869" spans="1:18" x14ac:dyDescent="0.25">
      <c r="A869" s="43" t="str">
        <f>IF(B869&lt;&gt;"",SUBTOTAL(3,$B$1:B868),"")</f>
        <v/>
      </c>
      <c r="C869" s="74"/>
      <c r="D869" s="74"/>
      <c r="G869" s="1"/>
      <c r="K869" s="42"/>
      <c r="L869" t="str" cm="1">
        <f t="array" ref="L869">IF($K869="","",_xlfn.SWITCH($I869,"Computer",_xlfn.XLOOKUP($K869&amp;"",COMPUTER!$B$3:$B$1009&amp;"",COMPUTER!$I$3:$I$1009,""),"Display",_xlfn.XLOOKUP($K869&amp;"",DISPLAY!$B$3:$B$1000&amp;"",DISPLAY!$J$3:$J$1000,""),"Network Device",_xlfn.XLOOKUP($K869&amp;"",'NETWORK-DEVICES'!$B$3:$B$987&amp;"",'NETWORK-DEVICES'!$I$3:$I$987,""),"Peripheral",_xlfn.XLOOKUP($K869&amp;"",PERIPHERAL!$B$3:$B$954&amp;"",PERIPHERAL!$I$3:$I$954,""),"Utilities",_xlfn.XLOOKUP($K869&amp;"",UTILITIES!$B$3:$B$953&amp;"",UTILITIES!$H$3:$H$953,""),"IOT",_xlfn.XLOOKUP($K869&amp;"",IOT!$B$3:$B$1012&amp;"",IOT!$I$3:$I$1012,""),"SERVER",_xlfn.XLOOKUP($K869&amp;"",SERVER!$B$3:$B$1009&amp;"",SERVER!$I$3:$I$1009,""),""))</f>
        <v/>
      </c>
      <c r="M869" t="str" cm="1">
        <f t="array" ref="M869">IF($K869="","",_xlfn.SWITCH($I869,"Computer",_xlfn.XLOOKUP($K869&amp;"",COMPUTER!$B$3:$B$1009&amp;"",COMPUTER!$J$3:$J$1009,""),"Display",_xlfn.XLOOKUP($K869&amp;"",DISPLAY!$B$3:$B$1000&amp;"",DISPLAY!$K$3:$K$1000,""),"Network Device",_xlfn.XLOOKUP($K869&amp;"",'NETWORK-DEVICES'!$B$3:$B$987&amp;"",'NETWORK-DEVICES'!$I$3:$I$987,""),"Peripheral",_xlfn.XLOOKUP($K869&amp;"",PERIPHERAL!$B$3:$B$954&amp;"",PERIPHERAL!$J$3:$J$954,""),"Utilities",_xlfn.XLOOKUP($K869&amp;"",UTILITIES!$B$3:$B$953&amp;"",UTILITIES!$I$3:$I$953,""),"IOT",_xlfn.XLOOKUP($K869&amp;"",IOT!$B$3:$B$1012&amp;"",IOT!$J$3:$J$1012,""),"Server",_xlfn.XLOOKUP($K869&amp;"",SERVER!$B$3:$B$1009&amp;"",SERVER!$J$3:$J$1009,""),""))</f>
        <v/>
      </c>
      <c r="N869" s="1" t="str" cm="1">
        <f t="array" ref="N869">IF(OR($K869="",$I869="",$J869=""),"",_xlfn.LET(_xlpm.srcCat,_xlfn.SWITCH($I869,"Computer",_xlfn.XLOOKUP($K869&amp;"",COMPUTER!$B$3:$B$1009&amp;"",COMPUTER!$H$3:$H$1009,""),"Display",_xlfn.XLOOKUP($K869&amp;"",DISPLAY!$B$3:$B$1000&amp;"",DISPLAY!$H$3:$H$1000,""),"Network Device",_xlfn.XLOOKUP($K869&amp;"",'NETWORK-DEVICES'!$B$3:$B$987&amp;"",'NETWORK-DEVICES'!$H$3:$H$987,""),"Peripheral",_xlfn.XLOOKUP($K869&amp;"",PERIPHERAL!$B$3:$B$954&amp;"",PERIPHERAL!$H$3:$H$954,""),"Utilities",_xlfn.XLOOKUP($K869&amp;"",UTILITIES!$B$3:$B$953&amp;"",UTILITIES!$G$3:$G$953,""),"IOT",_xlfn.XLOOKUP($K869&amp;"",IOT!$B$3:$B$1012&amp;"",IOT!$H$3:$H$1012,""),"Server",_xlfn.XLOOKUP($K869&amp;"",SERVER!$B$3:$B$1009&amp;"",SERVER!$H$3:$H$1009,""),""),IF(TRIM(_xlpm.srcCat)&lt;&gt;TRIM($J869),"",_xlfn.SWITCH($I869,"Computer",_xlfn.XLOOKUP($K869&amp;"",COMPUTER!$B$3:$B$1009&amp;"",COMPUTER!$K$3:$K$1009,""),"Display",_xlfn.XLOOKUP($K869&amp;"",DISPLAY!$B$3:$B$1000&amp;"",DISPLAY!$L$3:$L$1000,""),"Network Device",_xlfn.XLOOKUP($K869&amp;"",'NETWORK-DEVICES'!$B$3:$B$987&amp;"",'NETWORK-DEVICES'!$K$3:$K$987,""),"Peripheral",_xlfn.XLOOKUP($K869&amp;"",PERIPHERAL!$B$3:$B$954&amp;"",PERIPHERAL!$K$3:$K$954,""),"Utilities",_xlfn.XLOOKUP($K869&amp;"",UTILITIES!$B$3:$B$953&amp;"",UTILITIES!$J$3:$J$953,""),"IOT",_xlfn.XLOOKUP($K869&amp;"",IOT!$B$3:$B$1012&amp;"",IOT!$K$4:$K$1012,""),"Server",_xlfn.XLOOKUP($K869&amp;"",SERVER!$B$3:$B$1009&amp;"",SERVER!$K$3:$K$1009,""),""))))</f>
        <v/>
      </c>
      <c r="O869" s="1" t="str" cm="1">
        <f t="array" ref="O869">IF(OR($K869="",$I869="",$J869=""),"",_xlfn.LET(_xlpm.srcCat,_xlfn.SWITCH($I869,"Computer",_xlfn.XLOOKUP($K869&amp;"",COMPUTER!$B$3:$B$1009&amp;"",COMPUTER!$H$3:$H$1009,""),"Display",_xlfn.XLOOKUP($K869&amp;"",DISPLAY!$B$3:$B$1000&amp;"",DISPLAY!$H$3:$H$1000,""),"Network Device",_xlfn.XLOOKUP($K869&amp;"",'NETWORK-DEVICES'!$B$3:$B$987&amp;"",'NETWORK-DEVICES'!$H$3:$H$987,""),"Peripheral",_xlfn.XLOOKUP($K869&amp;"",PERIPHERAL!$B$3:$B$954&amp;"",PERIPHERAL!$H$3:$H$954,""),"Utilities",_xlfn.XLOOKUP($K869&amp;"",UTILITIES!$B$3:$B$953&amp;"",UTILITIES!$G$3:$G$953,""),"IOT",_xlfn.XLOOKUP($K869&amp;"",IOT!$B$3:$B$1012&amp;"",IOT!$H$3:$H$1012,""),"Server",_xlfn.XLOOKUP($K869&amp;"",SERVER!$B$3:$B$1009&amp;"",SERVER!$H$3:$H$1009,""),""),IF(TRIM(_xlpm.srcCat)&lt;&gt;TRIM($J869),"",_xlfn.SWITCH($I869,"Computer",_xlfn.XLOOKUP($K869&amp;"",COMPUTER!$B$3:$B$1009&amp;"",COMPUTER!$E$3:$E$1009,""),"Display",_xlfn.XLOOKUP($K869&amp;"",DISPLAY!$B$3:$B$1000&amp;"",DISPLAY!$E$3:$E$1000,""),"Network Device",_xlfn.XLOOKUP($K869&amp;"",'NETWORK-DEVICES'!$B$3:$B$987&amp;"",'NETWORK-DEVICES'!$E$3:$E$987,""),"Peripheral",_xlfn.XLOOKUP($K869&amp;"",PERIPHERAL!$B$3:$B$954&amp;"",PERIPHERAL!$E$3:$E$954,""),"Utilities",_xlfn.XLOOKUP($K869&amp;"",UTILITIES!$B$3:$B$953&amp;"",UTILITIES!$E$3:$E$953,""),"IOT",_xlfn.XLOOKUP($K869&amp;"",IOT!$B$3:$B$1012&amp;"",IOT!$E$3:$E$1012,""),"Server",_xlfn.XLOOKUP($K869&amp;"",SERVER!$B$3:$B$1009&amp;"",SERVER!$E$3:$E$1009,""),""))))</f>
        <v/>
      </c>
      <c r="Q869" s="1" t="str" cm="1">
        <f t="array" ref="Q869">IF(OR($K869="",$I869="",$J869=""),"",_xlfn.LET(_xlpm.srcCat,_xlfn.SWITCH($I869,"Computer",_xlfn.XLOOKUP($K869&amp;"",COMPUTER!$B$3:$B$1009&amp;"",COMPUTER!$H$3:$H$1009,""),"Display",_xlfn.XLOOKUP($K869&amp;"",DISPLAY!$B$3:$B$1000&amp;"",DISPLAY!$H$3:$H$1000,""),"Network Device",_xlfn.XLOOKUP($K869&amp;"",'NETWORK-DEVICES'!$B$3:$B$987&amp;"",'NETWORK-DEVICES'!$H$3:$H$987,""),"Peripheral",_xlfn.XLOOKUP($K869&amp;"",PERIPHERAL!$B$3:$B$954&amp;"",PERIPHERAL!$H$3:$H$954,""),"Utilities",_xlfn.XLOOKUP($K869&amp;"",UTILITIES!$B$3:$B$953&amp;"",UTILITIES!$G$3:$G$953,""),"IOT",_xlfn.XLOOKUP($K869&amp;"",IOT!$B$3:$B$1012&amp;"",IOT!$H$3:$H$1012,""),"Server",_xlfn.XLOOKUP($K869&amp;"",SERVER!$B$3:$B$1009&amp;"",SERVER!$H$3:$H$1009,""),""),IF(TRIM(_xlpm.srcCat)&lt;&gt;TRIM($J869),"",_xlfn.SWITCH($I869,"Computer",_xlfn.XLOOKUP($K869&amp;"",COMPUTER!$B$3:$B$1009&amp;"",COMPUTER!$AM$3:$AM$1009,""),"Display",_xlfn.XLOOKUP($K869&amp;"",DISPLAY!$B$3:$B$1000&amp;"",DISPLAY!$V$3:$V$1000,""),"Network Device",_xlfn.XLOOKUP($K869&amp;"",'NETWORK-DEVICES'!$B$3:$B$987&amp;"",'NETWORK-DEVICES'!$AF$3:$AF$987,""),"Peripheral",_xlfn.XLOOKUP($K869&amp;"",PERIPHERAL!$B$3:$B$954&amp;"",PERIPHERAL!$Y$3:$Y$954,""),"Utilities",_xlfn.XLOOKUP($K869&amp;"",UTILITIES!$B$3:$B$953&amp;"",UTILITIES!$O$3:$O$953,""),"IOT",_xlfn.XLOOKUP($K869&amp;"",IOT!$B$3:$B$1012&amp;"",IOT!$AB$3:$AB$1012,""),"Server",_xlfn.XLOOKUP($K869&amp;"",SERVER!$B$3:$B$1009&amp;"",SERVER!$AB$3:$AB$1009,""),""))))</f>
        <v/>
      </c>
      <c r="R869" s="43" t="str">
        <f>IF(tbl_handover[[#This Row],[Asset Code]]="","",COUNTIF(tbl_handover[Asset Code],tbl_handover[[#This Row],[Asset Code]]))</f>
        <v/>
      </c>
    </row>
    <row r="870" spans="1:18" x14ac:dyDescent="0.25">
      <c r="A870" s="43" t="str">
        <f>IF(B870&lt;&gt;"",SUBTOTAL(3,$B$1:B869),"")</f>
        <v/>
      </c>
      <c r="C870" s="74"/>
      <c r="D870" s="74"/>
      <c r="G870" s="1"/>
      <c r="K870" s="42"/>
      <c r="L870" t="str" cm="1">
        <f t="array" ref="L870">IF($K870="","",_xlfn.SWITCH($I870,"Computer",_xlfn.XLOOKUP($K870&amp;"",COMPUTER!$B$3:$B$1009&amp;"",COMPUTER!$I$3:$I$1009,""),"Display",_xlfn.XLOOKUP($K870&amp;"",DISPLAY!$B$3:$B$1000&amp;"",DISPLAY!$J$3:$J$1000,""),"Network Device",_xlfn.XLOOKUP($K870&amp;"",'NETWORK-DEVICES'!$B$3:$B$987&amp;"",'NETWORK-DEVICES'!$I$3:$I$987,""),"Peripheral",_xlfn.XLOOKUP($K870&amp;"",PERIPHERAL!$B$3:$B$954&amp;"",PERIPHERAL!$I$3:$I$954,""),"Utilities",_xlfn.XLOOKUP($K870&amp;"",UTILITIES!$B$3:$B$953&amp;"",UTILITIES!$H$3:$H$953,""),"IOT",_xlfn.XLOOKUP($K870&amp;"",IOT!$B$3:$B$1012&amp;"",IOT!$I$3:$I$1012,""),"SERVER",_xlfn.XLOOKUP($K870&amp;"",SERVER!$B$3:$B$1009&amp;"",SERVER!$I$3:$I$1009,""),""))</f>
        <v/>
      </c>
      <c r="M870" t="str" cm="1">
        <f t="array" ref="M870">IF($K870="","",_xlfn.SWITCH($I870,"Computer",_xlfn.XLOOKUP($K870&amp;"",COMPUTER!$B$3:$B$1009&amp;"",COMPUTER!$J$3:$J$1009,""),"Display",_xlfn.XLOOKUP($K870&amp;"",DISPLAY!$B$3:$B$1000&amp;"",DISPLAY!$K$3:$K$1000,""),"Network Device",_xlfn.XLOOKUP($K870&amp;"",'NETWORK-DEVICES'!$B$3:$B$987&amp;"",'NETWORK-DEVICES'!$I$3:$I$987,""),"Peripheral",_xlfn.XLOOKUP($K870&amp;"",PERIPHERAL!$B$3:$B$954&amp;"",PERIPHERAL!$J$3:$J$954,""),"Utilities",_xlfn.XLOOKUP($K870&amp;"",UTILITIES!$B$3:$B$953&amp;"",UTILITIES!$I$3:$I$953,""),"IOT",_xlfn.XLOOKUP($K870&amp;"",IOT!$B$3:$B$1012&amp;"",IOT!$J$3:$J$1012,""),"Server",_xlfn.XLOOKUP($K870&amp;"",SERVER!$B$3:$B$1009&amp;"",SERVER!$J$3:$J$1009,""),""))</f>
        <v/>
      </c>
      <c r="N870" s="1" t="str" cm="1">
        <f t="array" ref="N870">IF(OR($K870="",$I870="",$J870=""),"",_xlfn.LET(_xlpm.srcCat,_xlfn.SWITCH($I870,"Computer",_xlfn.XLOOKUP($K870&amp;"",COMPUTER!$B$3:$B$1009&amp;"",COMPUTER!$H$3:$H$1009,""),"Display",_xlfn.XLOOKUP($K870&amp;"",DISPLAY!$B$3:$B$1000&amp;"",DISPLAY!$H$3:$H$1000,""),"Network Device",_xlfn.XLOOKUP($K870&amp;"",'NETWORK-DEVICES'!$B$3:$B$987&amp;"",'NETWORK-DEVICES'!$H$3:$H$987,""),"Peripheral",_xlfn.XLOOKUP($K870&amp;"",PERIPHERAL!$B$3:$B$954&amp;"",PERIPHERAL!$H$3:$H$954,""),"Utilities",_xlfn.XLOOKUP($K870&amp;"",UTILITIES!$B$3:$B$953&amp;"",UTILITIES!$G$3:$G$953,""),"IOT",_xlfn.XLOOKUP($K870&amp;"",IOT!$B$3:$B$1012&amp;"",IOT!$H$3:$H$1012,""),"Server",_xlfn.XLOOKUP($K870&amp;"",SERVER!$B$3:$B$1009&amp;"",SERVER!$H$3:$H$1009,""),""),IF(TRIM(_xlpm.srcCat)&lt;&gt;TRIM($J870),"",_xlfn.SWITCH($I870,"Computer",_xlfn.XLOOKUP($K870&amp;"",COMPUTER!$B$3:$B$1009&amp;"",COMPUTER!$K$3:$K$1009,""),"Display",_xlfn.XLOOKUP($K870&amp;"",DISPLAY!$B$3:$B$1000&amp;"",DISPLAY!$L$3:$L$1000,""),"Network Device",_xlfn.XLOOKUP($K870&amp;"",'NETWORK-DEVICES'!$B$3:$B$987&amp;"",'NETWORK-DEVICES'!$K$3:$K$987,""),"Peripheral",_xlfn.XLOOKUP($K870&amp;"",PERIPHERAL!$B$3:$B$954&amp;"",PERIPHERAL!$K$3:$K$954,""),"Utilities",_xlfn.XLOOKUP($K870&amp;"",UTILITIES!$B$3:$B$953&amp;"",UTILITIES!$J$3:$J$953,""),"IOT",_xlfn.XLOOKUP($K870&amp;"",IOT!$B$3:$B$1012&amp;"",IOT!$K$4:$K$1012,""),"Server",_xlfn.XLOOKUP($K870&amp;"",SERVER!$B$3:$B$1009&amp;"",SERVER!$K$3:$K$1009,""),""))))</f>
        <v/>
      </c>
      <c r="O870" s="1" t="str" cm="1">
        <f t="array" ref="O870">IF(OR($K870="",$I870="",$J870=""),"",_xlfn.LET(_xlpm.srcCat,_xlfn.SWITCH($I870,"Computer",_xlfn.XLOOKUP($K870&amp;"",COMPUTER!$B$3:$B$1009&amp;"",COMPUTER!$H$3:$H$1009,""),"Display",_xlfn.XLOOKUP($K870&amp;"",DISPLAY!$B$3:$B$1000&amp;"",DISPLAY!$H$3:$H$1000,""),"Network Device",_xlfn.XLOOKUP($K870&amp;"",'NETWORK-DEVICES'!$B$3:$B$987&amp;"",'NETWORK-DEVICES'!$H$3:$H$987,""),"Peripheral",_xlfn.XLOOKUP($K870&amp;"",PERIPHERAL!$B$3:$B$954&amp;"",PERIPHERAL!$H$3:$H$954,""),"Utilities",_xlfn.XLOOKUP($K870&amp;"",UTILITIES!$B$3:$B$953&amp;"",UTILITIES!$G$3:$G$953,""),"IOT",_xlfn.XLOOKUP($K870&amp;"",IOT!$B$3:$B$1012&amp;"",IOT!$H$3:$H$1012,""),"Server",_xlfn.XLOOKUP($K870&amp;"",SERVER!$B$3:$B$1009&amp;"",SERVER!$H$3:$H$1009,""),""),IF(TRIM(_xlpm.srcCat)&lt;&gt;TRIM($J870),"",_xlfn.SWITCH($I870,"Computer",_xlfn.XLOOKUP($K870&amp;"",COMPUTER!$B$3:$B$1009&amp;"",COMPUTER!$E$3:$E$1009,""),"Display",_xlfn.XLOOKUP($K870&amp;"",DISPLAY!$B$3:$B$1000&amp;"",DISPLAY!$E$3:$E$1000,""),"Network Device",_xlfn.XLOOKUP($K870&amp;"",'NETWORK-DEVICES'!$B$3:$B$987&amp;"",'NETWORK-DEVICES'!$E$3:$E$987,""),"Peripheral",_xlfn.XLOOKUP($K870&amp;"",PERIPHERAL!$B$3:$B$954&amp;"",PERIPHERAL!$E$3:$E$954,""),"Utilities",_xlfn.XLOOKUP($K870&amp;"",UTILITIES!$B$3:$B$953&amp;"",UTILITIES!$E$3:$E$953,""),"IOT",_xlfn.XLOOKUP($K870&amp;"",IOT!$B$3:$B$1012&amp;"",IOT!$E$3:$E$1012,""),"Server",_xlfn.XLOOKUP($K870&amp;"",SERVER!$B$3:$B$1009&amp;"",SERVER!$E$3:$E$1009,""),""))))</f>
        <v/>
      </c>
      <c r="Q870" s="1" t="str" cm="1">
        <f t="array" ref="Q870">IF(OR($K870="",$I870="",$J870=""),"",_xlfn.LET(_xlpm.srcCat,_xlfn.SWITCH($I870,"Computer",_xlfn.XLOOKUP($K870&amp;"",COMPUTER!$B$3:$B$1009&amp;"",COMPUTER!$H$3:$H$1009,""),"Display",_xlfn.XLOOKUP($K870&amp;"",DISPLAY!$B$3:$B$1000&amp;"",DISPLAY!$H$3:$H$1000,""),"Network Device",_xlfn.XLOOKUP($K870&amp;"",'NETWORK-DEVICES'!$B$3:$B$987&amp;"",'NETWORK-DEVICES'!$H$3:$H$987,""),"Peripheral",_xlfn.XLOOKUP($K870&amp;"",PERIPHERAL!$B$3:$B$954&amp;"",PERIPHERAL!$H$3:$H$954,""),"Utilities",_xlfn.XLOOKUP($K870&amp;"",UTILITIES!$B$3:$B$953&amp;"",UTILITIES!$G$3:$G$953,""),"IOT",_xlfn.XLOOKUP($K870&amp;"",IOT!$B$3:$B$1012&amp;"",IOT!$H$3:$H$1012,""),"Server",_xlfn.XLOOKUP($K870&amp;"",SERVER!$B$3:$B$1009&amp;"",SERVER!$H$3:$H$1009,""),""),IF(TRIM(_xlpm.srcCat)&lt;&gt;TRIM($J870),"",_xlfn.SWITCH($I870,"Computer",_xlfn.XLOOKUP($K870&amp;"",COMPUTER!$B$3:$B$1009&amp;"",COMPUTER!$AM$3:$AM$1009,""),"Display",_xlfn.XLOOKUP($K870&amp;"",DISPLAY!$B$3:$B$1000&amp;"",DISPLAY!$V$3:$V$1000,""),"Network Device",_xlfn.XLOOKUP($K870&amp;"",'NETWORK-DEVICES'!$B$3:$B$987&amp;"",'NETWORK-DEVICES'!$AF$3:$AF$987,""),"Peripheral",_xlfn.XLOOKUP($K870&amp;"",PERIPHERAL!$B$3:$B$954&amp;"",PERIPHERAL!$Y$3:$Y$954,""),"Utilities",_xlfn.XLOOKUP($K870&amp;"",UTILITIES!$B$3:$B$953&amp;"",UTILITIES!$O$3:$O$953,""),"IOT",_xlfn.XLOOKUP($K870&amp;"",IOT!$B$3:$B$1012&amp;"",IOT!$AB$3:$AB$1012,""),"Server",_xlfn.XLOOKUP($K870&amp;"",SERVER!$B$3:$B$1009&amp;"",SERVER!$AB$3:$AB$1009,""),""))))</f>
        <v/>
      </c>
      <c r="R870" s="43" t="str">
        <f>IF(tbl_handover[[#This Row],[Asset Code]]="","",COUNTIF(tbl_handover[Asset Code],tbl_handover[[#This Row],[Asset Code]]))</f>
        <v/>
      </c>
    </row>
    <row r="871" spans="1:18" x14ac:dyDescent="0.25">
      <c r="A871" s="43" t="str">
        <f>IF(B871&lt;&gt;"",SUBTOTAL(3,$B$1:B870),"")</f>
        <v/>
      </c>
      <c r="C871" s="74"/>
      <c r="D871" s="74"/>
      <c r="G871" s="1"/>
      <c r="K871" s="42"/>
      <c r="L871" t="str" cm="1">
        <f t="array" ref="L871">IF($K871="","",_xlfn.SWITCH($I871,"Computer",_xlfn.XLOOKUP($K871&amp;"",COMPUTER!$B$3:$B$1009&amp;"",COMPUTER!$I$3:$I$1009,""),"Display",_xlfn.XLOOKUP($K871&amp;"",DISPLAY!$B$3:$B$1000&amp;"",DISPLAY!$J$3:$J$1000,""),"Network Device",_xlfn.XLOOKUP($K871&amp;"",'NETWORK-DEVICES'!$B$3:$B$987&amp;"",'NETWORK-DEVICES'!$I$3:$I$987,""),"Peripheral",_xlfn.XLOOKUP($K871&amp;"",PERIPHERAL!$B$3:$B$954&amp;"",PERIPHERAL!$I$3:$I$954,""),"Utilities",_xlfn.XLOOKUP($K871&amp;"",UTILITIES!$B$3:$B$953&amp;"",UTILITIES!$H$3:$H$953,""),"IOT",_xlfn.XLOOKUP($K871&amp;"",IOT!$B$3:$B$1012&amp;"",IOT!$I$3:$I$1012,""),"SERVER",_xlfn.XLOOKUP($K871&amp;"",SERVER!$B$3:$B$1009&amp;"",SERVER!$I$3:$I$1009,""),""))</f>
        <v/>
      </c>
      <c r="M871" t="str" cm="1">
        <f t="array" ref="M871">IF($K871="","",_xlfn.SWITCH($I871,"Computer",_xlfn.XLOOKUP($K871&amp;"",COMPUTER!$B$3:$B$1009&amp;"",COMPUTER!$J$3:$J$1009,""),"Display",_xlfn.XLOOKUP($K871&amp;"",DISPLAY!$B$3:$B$1000&amp;"",DISPLAY!$K$3:$K$1000,""),"Network Device",_xlfn.XLOOKUP($K871&amp;"",'NETWORK-DEVICES'!$B$3:$B$987&amp;"",'NETWORK-DEVICES'!$I$3:$I$987,""),"Peripheral",_xlfn.XLOOKUP($K871&amp;"",PERIPHERAL!$B$3:$B$954&amp;"",PERIPHERAL!$J$3:$J$954,""),"Utilities",_xlfn.XLOOKUP($K871&amp;"",UTILITIES!$B$3:$B$953&amp;"",UTILITIES!$I$3:$I$953,""),"IOT",_xlfn.XLOOKUP($K871&amp;"",IOT!$B$3:$B$1012&amp;"",IOT!$J$3:$J$1012,""),"Server",_xlfn.XLOOKUP($K871&amp;"",SERVER!$B$3:$B$1009&amp;"",SERVER!$J$3:$J$1009,""),""))</f>
        <v/>
      </c>
      <c r="N871" s="1" t="str" cm="1">
        <f t="array" ref="N871">IF(OR($K871="",$I871="",$J871=""),"",_xlfn.LET(_xlpm.srcCat,_xlfn.SWITCH($I871,"Computer",_xlfn.XLOOKUP($K871&amp;"",COMPUTER!$B$3:$B$1009&amp;"",COMPUTER!$H$3:$H$1009,""),"Display",_xlfn.XLOOKUP($K871&amp;"",DISPLAY!$B$3:$B$1000&amp;"",DISPLAY!$H$3:$H$1000,""),"Network Device",_xlfn.XLOOKUP($K871&amp;"",'NETWORK-DEVICES'!$B$3:$B$987&amp;"",'NETWORK-DEVICES'!$H$3:$H$987,""),"Peripheral",_xlfn.XLOOKUP($K871&amp;"",PERIPHERAL!$B$3:$B$954&amp;"",PERIPHERAL!$H$3:$H$954,""),"Utilities",_xlfn.XLOOKUP($K871&amp;"",UTILITIES!$B$3:$B$953&amp;"",UTILITIES!$G$3:$G$953,""),"IOT",_xlfn.XLOOKUP($K871&amp;"",IOT!$B$3:$B$1012&amp;"",IOT!$H$3:$H$1012,""),"Server",_xlfn.XLOOKUP($K871&amp;"",SERVER!$B$3:$B$1009&amp;"",SERVER!$H$3:$H$1009,""),""),IF(TRIM(_xlpm.srcCat)&lt;&gt;TRIM($J871),"",_xlfn.SWITCH($I871,"Computer",_xlfn.XLOOKUP($K871&amp;"",COMPUTER!$B$3:$B$1009&amp;"",COMPUTER!$K$3:$K$1009,""),"Display",_xlfn.XLOOKUP($K871&amp;"",DISPLAY!$B$3:$B$1000&amp;"",DISPLAY!$L$3:$L$1000,""),"Network Device",_xlfn.XLOOKUP($K871&amp;"",'NETWORK-DEVICES'!$B$3:$B$987&amp;"",'NETWORK-DEVICES'!$K$3:$K$987,""),"Peripheral",_xlfn.XLOOKUP($K871&amp;"",PERIPHERAL!$B$3:$B$954&amp;"",PERIPHERAL!$K$3:$K$954,""),"Utilities",_xlfn.XLOOKUP($K871&amp;"",UTILITIES!$B$3:$B$953&amp;"",UTILITIES!$J$3:$J$953,""),"IOT",_xlfn.XLOOKUP($K871&amp;"",IOT!$B$3:$B$1012&amp;"",IOT!$K$4:$K$1012,""),"Server",_xlfn.XLOOKUP($K871&amp;"",SERVER!$B$3:$B$1009&amp;"",SERVER!$K$3:$K$1009,""),""))))</f>
        <v/>
      </c>
      <c r="O871" s="1" t="str" cm="1">
        <f t="array" ref="O871">IF(OR($K871="",$I871="",$J871=""),"",_xlfn.LET(_xlpm.srcCat,_xlfn.SWITCH($I871,"Computer",_xlfn.XLOOKUP($K871&amp;"",COMPUTER!$B$3:$B$1009&amp;"",COMPUTER!$H$3:$H$1009,""),"Display",_xlfn.XLOOKUP($K871&amp;"",DISPLAY!$B$3:$B$1000&amp;"",DISPLAY!$H$3:$H$1000,""),"Network Device",_xlfn.XLOOKUP($K871&amp;"",'NETWORK-DEVICES'!$B$3:$B$987&amp;"",'NETWORK-DEVICES'!$H$3:$H$987,""),"Peripheral",_xlfn.XLOOKUP($K871&amp;"",PERIPHERAL!$B$3:$B$954&amp;"",PERIPHERAL!$H$3:$H$954,""),"Utilities",_xlfn.XLOOKUP($K871&amp;"",UTILITIES!$B$3:$B$953&amp;"",UTILITIES!$G$3:$G$953,""),"IOT",_xlfn.XLOOKUP($K871&amp;"",IOT!$B$3:$B$1012&amp;"",IOT!$H$3:$H$1012,""),"Server",_xlfn.XLOOKUP($K871&amp;"",SERVER!$B$3:$B$1009&amp;"",SERVER!$H$3:$H$1009,""),""),IF(TRIM(_xlpm.srcCat)&lt;&gt;TRIM($J871),"",_xlfn.SWITCH($I871,"Computer",_xlfn.XLOOKUP($K871&amp;"",COMPUTER!$B$3:$B$1009&amp;"",COMPUTER!$E$3:$E$1009,""),"Display",_xlfn.XLOOKUP($K871&amp;"",DISPLAY!$B$3:$B$1000&amp;"",DISPLAY!$E$3:$E$1000,""),"Network Device",_xlfn.XLOOKUP($K871&amp;"",'NETWORK-DEVICES'!$B$3:$B$987&amp;"",'NETWORK-DEVICES'!$E$3:$E$987,""),"Peripheral",_xlfn.XLOOKUP($K871&amp;"",PERIPHERAL!$B$3:$B$954&amp;"",PERIPHERAL!$E$3:$E$954,""),"Utilities",_xlfn.XLOOKUP($K871&amp;"",UTILITIES!$B$3:$B$953&amp;"",UTILITIES!$E$3:$E$953,""),"IOT",_xlfn.XLOOKUP($K871&amp;"",IOT!$B$3:$B$1012&amp;"",IOT!$E$3:$E$1012,""),"Server",_xlfn.XLOOKUP($K871&amp;"",SERVER!$B$3:$B$1009&amp;"",SERVER!$E$3:$E$1009,""),""))))</f>
        <v/>
      </c>
      <c r="Q871" s="1" t="str" cm="1">
        <f t="array" ref="Q871">IF(OR($K871="",$I871="",$J871=""),"",_xlfn.LET(_xlpm.srcCat,_xlfn.SWITCH($I871,"Computer",_xlfn.XLOOKUP($K871&amp;"",COMPUTER!$B$3:$B$1009&amp;"",COMPUTER!$H$3:$H$1009,""),"Display",_xlfn.XLOOKUP($K871&amp;"",DISPLAY!$B$3:$B$1000&amp;"",DISPLAY!$H$3:$H$1000,""),"Network Device",_xlfn.XLOOKUP($K871&amp;"",'NETWORK-DEVICES'!$B$3:$B$987&amp;"",'NETWORK-DEVICES'!$H$3:$H$987,""),"Peripheral",_xlfn.XLOOKUP($K871&amp;"",PERIPHERAL!$B$3:$B$954&amp;"",PERIPHERAL!$H$3:$H$954,""),"Utilities",_xlfn.XLOOKUP($K871&amp;"",UTILITIES!$B$3:$B$953&amp;"",UTILITIES!$G$3:$G$953,""),"IOT",_xlfn.XLOOKUP($K871&amp;"",IOT!$B$3:$B$1012&amp;"",IOT!$H$3:$H$1012,""),"Server",_xlfn.XLOOKUP($K871&amp;"",SERVER!$B$3:$B$1009&amp;"",SERVER!$H$3:$H$1009,""),""),IF(TRIM(_xlpm.srcCat)&lt;&gt;TRIM($J871),"",_xlfn.SWITCH($I871,"Computer",_xlfn.XLOOKUP($K871&amp;"",COMPUTER!$B$3:$B$1009&amp;"",COMPUTER!$AM$3:$AM$1009,""),"Display",_xlfn.XLOOKUP($K871&amp;"",DISPLAY!$B$3:$B$1000&amp;"",DISPLAY!$V$3:$V$1000,""),"Network Device",_xlfn.XLOOKUP($K871&amp;"",'NETWORK-DEVICES'!$B$3:$B$987&amp;"",'NETWORK-DEVICES'!$AF$3:$AF$987,""),"Peripheral",_xlfn.XLOOKUP($K871&amp;"",PERIPHERAL!$B$3:$B$954&amp;"",PERIPHERAL!$Y$3:$Y$954,""),"Utilities",_xlfn.XLOOKUP($K871&amp;"",UTILITIES!$B$3:$B$953&amp;"",UTILITIES!$O$3:$O$953,""),"IOT",_xlfn.XLOOKUP($K871&amp;"",IOT!$B$3:$B$1012&amp;"",IOT!$AB$3:$AB$1012,""),"Server",_xlfn.XLOOKUP($K871&amp;"",SERVER!$B$3:$B$1009&amp;"",SERVER!$AB$3:$AB$1009,""),""))))</f>
        <v/>
      </c>
      <c r="R871" s="43" t="str">
        <f>IF(tbl_handover[[#This Row],[Asset Code]]="","",COUNTIF(tbl_handover[Asset Code],tbl_handover[[#This Row],[Asset Code]]))</f>
        <v/>
      </c>
    </row>
    <row r="872" spans="1:18" x14ac:dyDescent="0.25">
      <c r="A872" s="43" t="str">
        <f>IF(B872&lt;&gt;"",SUBTOTAL(3,$B$1:B871),"")</f>
        <v/>
      </c>
      <c r="C872" s="74"/>
      <c r="D872" s="74"/>
      <c r="G872" s="1"/>
      <c r="K872" s="42"/>
      <c r="L872" t="str" cm="1">
        <f t="array" ref="L872">IF($K872="","",_xlfn.SWITCH($I872,"Computer",_xlfn.XLOOKUP($K872&amp;"",COMPUTER!$B$3:$B$1009&amp;"",COMPUTER!$I$3:$I$1009,""),"Display",_xlfn.XLOOKUP($K872&amp;"",DISPLAY!$B$3:$B$1000&amp;"",DISPLAY!$J$3:$J$1000,""),"Network Device",_xlfn.XLOOKUP($K872&amp;"",'NETWORK-DEVICES'!$B$3:$B$987&amp;"",'NETWORK-DEVICES'!$I$3:$I$987,""),"Peripheral",_xlfn.XLOOKUP($K872&amp;"",PERIPHERAL!$B$3:$B$954&amp;"",PERIPHERAL!$I$3:$I$954,""),"Utilities",_xlfn.XLOOKUP($K872&amp;"",UTILITIES!$B$3:$B$953&amp;"",UTILITIES!$H$3:$H$953,""),"IOT",_xlfn.XLOOKUP($K872&amp;"",IOT!$B$3:$B$1012&amp;"",IOT!$I$3:$I$1012,""),"SERVER",_xlfn.XLOOKUP($K872&amp;"",SERVER!$B$3:$B$1009&amp;"",SERVER!$I$3:$I$1009,""),""))</f>
        <v/>
      </c>
      <c r="M872" t="str" cm="1">
        <f t="array" ref="M872">IF($K872="","",_xlfn.SWITCH($I872,"Computer",_xlfn.XLOOKUP($K872&amp;"",COMPUTER!$B$3:$B$1009&amp;"",COMPUTER!$J$3:$J$1009,""),"Display",_xlfn.XLOOKUP($K872&amp;"",DISPLAY!$B$3:$B$1000&amp;"",DISPLAY!$K$3:$K$1000,""),"Network Device",_xlfn.XLOOKUP($K872&amp;"",'NETWORK-DEVICES'!$B$3:$B$987&amp;"",'NETWORK-DEVICES'!$I$3:$I$987,""),"Peripheral",_xlfn.XLOOKUP($K872&amp;"",PERIPHERAL!$B$3:$B$954&amp;"",PERIPHERAL!$J$3:$J$954,""),"Utilities",_xlfn.XLOOKUP($K872&amp;"",UTILITIES!$B$3:$B$953&amp;"",UTILITIES!$I$3:$I$953,""),"IOT",_xlfn.XLOOKUP($K872&amp;"",IOT!$B$3:$B$1012&amp;"",IOT!$J$3:$J$1012,""),"Server",_xlfn.XLOOKUP($K872&amp;"",SERVER!$B$3:$B$1009&amp;"",SERVER!$J$3:$J$1009,""),""))</f>
        <v/>
      </c>
      <c r="N872" s="1" t="str" cm="1">
        <f t="array" ref="N872">IF(OR($K872="",$I872="",$J872=""),"",_xlfn.LET(_xlpm.srcCat,_xlfn.SWITCH($I872,"Computer",_xlfn.XLOOKUP($K872&amp;"",COMPUTER!$B$3:$B$1009&amp;"",COMPUTER!$H$3:$H$1009,""),"Display",_xlfn.XLOOKUP($K872&amp;"",DISPLAY!$B$3:$B$1000&amp;"",DISPLAY!$H$3:$H$1000,""),"Network Device",_xlfn.XLOOKUP($K872&amp;"",'NETWORK-DEVICES'!$B$3:$B$987&amp;"",'NETWORK-DEVICES'!$H$3:$H$987,""),"Peripheral",_xlfn.XLOOKUP($K872&amp;"",PERIPHERAL!$B$3:$B$954&amp;"",PERIPHERAL!$H$3:$H$954,""),"Utilities",_xlfn.XLOOKUP($K872&amp;"",UTILITIES!$B$3:$B$953&amp;"",UTILITIES!$G$3:$G$953,""),"IOT",_xlfn.XLOOKUP($K872&amp;"",IOT!$B$3:$B$1012&amp;"",IOT!$H$3:$H$1012,""),"Server",_xlfn.XLOOKUP($K872&amp;"",SERVER!$B$3:$B$1009&amp;"",SERVER!$H$3:$H$1009,""),""),IF(TRIM(_xlpm.srcCat)&lt;&gt;TRIM($J872),"",_xlfn.SWITCH($I872,"Computer",_xlfn.XLOOKUP($K872&amp;"",COMPUTER!$B$3:$B$1009&amp;"",COMPUTER!$K$3:$K$1009,""),"Display",_xlfn.XLOOKUP($K872&amp;"",DISPLAY!$B$3:$B$1000&amp;"",DISPLAY!$L$3:$L$1000,""),"Network Device",_xlfn.XLOOKUP($K872&amp;"",'NETWORK-DEVICES'!$B$3:$B$987&amp;"",'NETWORK-DEVICES'!$K$3:$K$987,""),"Peripheral",_xlfn.XLOOKUP($K872&amp;"",PERIPHERAL!$B$3:$B$954&amp;"",PERIPHERAL!$K$3:$K$954,""),"Utilities",_xlfn.XLOOKUP($K872&amp;"",UTILITIES!$B$3:$B$953&amp;"",UTILITIES!$J$3:$J$953,""),"IOT",_xlfn.XLOOKUP($K872&amp;"",IOT!$B$3:$B$1012&amp;"",IOT!$K$4:$K$1012,""),"Server",_xlfn.XLOOKUP($K872&amp;"",SERVER!$B$3:$B$1009&amp;"",SERVER!$K$3:$K$1009,""),""))))</f>
        <v/>
      </c>
      <c r="O872" s="1" t="str" cm="1">
        <f t="array" ref="O872">IF(OR($K872="",$I872="",$J872=""),"",_xlfn.LET(_xlpm.srcCat,_xlfn.SWITCH($I872,"Computer",_xlfn.XLOOKUP($K872&amp;"",COMPUTER!$B$3:$B$1009&amp;"",COMPUTER!$H$3:$H$1009,""),"Display",_xlfn.XLOOKUP($K872&amp;"",DISPLAY!$B$3:$B$1000&amp;"",DISPLAY!$H$3:$H$1000,""),"Network Device",_xlfn.XLOOKUP($K872&amp;"",'NETWORK-DEVICES'!$B$3:$B$987&amp;"",'NETWORK-DEVICES'!$H$3:$H$987,""),"Peripheral",_xlfn.XLOOKUP($K872&amp;"",PERIPHERAL!$B$3:$B$954&amp;"",PERIPHERAL!$H$3:$H$954,""),"Utilities",_xlfn.XLOOKUP($K872&amp;"",UTILITIES!$B$3:$B$953&amp;"",UTILITIES!$G$3:$G$953,""),"IOT",_xlfn.XLOOKUP($K872&amp;"",IOT!$B$3:$B$1012&amp;"",IOT!$H$3:$H$1012,""),"Server",_xlfn.XLOOKUP($K872&amp;"",SERVER!$B$3:$B$1009&amp;"",SERVER!$H$3:$H$1009,""),""),IF(TRIM(_xlpm.srcCat)&lt;&gt;TRIM($J872),"",_xlfn.SWITCH($I872,"Computer",_xlfn.XLOOKUP($K872&amp;"",COMPUTER!$B$3:$B$1009&amp;"",COMPUTER!$E$3:$E$1009,""),"Display",_xlfn.XLOOKUP($K872&amp;"",DISPLAY!$B$3:$B$1000&amp;"",DISPLAY!$E$3:$E$1000,""),"Network Device",_xlfn.XLOOKUP($K872&amp;"",'NETWORK-DEVICES'!$B$3:$B$987&amp;"",'NETWORK-DEVICES'!$E$3:$E$987,""),"Peripheral",_xlfn.XLOOKUP($K872&amp;"",PERIPHERAL!$B$3:$B$954&amp;"",PERIPHERAL!$E$3:$E$954,""),"Utilities",_xlfn.XLOOKUP($K872&amp;"",UTILITIES!$B$3:$B$953&amp;"",UTILITIES!$E$3:$E$953,""),"IOT",_xlfn.XLOOKUP($K872&amp;"",IOT!$B$3:$B$1012&amp;"",IOT!$E$3:$E$1012,""),"Server",_xlfn.XLOOKUP($K872&amp;"",SERVER!$B$3:$B$1009&amp;"",SERVER!$E$3:$E$1009,""),""))))</f>
        <v/>
      </c>
      <c r="Q872" s="1" t="str" cm="1">
        <f t="array" ref="Q872">IF(OR($K872="",$I872="",$J872=""),"",_xlfn.LET(_xlpm.srcCat,_xlfn.SWITCH($I872,"Computer",_xlfn.XLOOKUP($K872&amp;"",COMPUTER!$B$3:$B$1009&amp;"",COMPUTER!$H$3:$H$1009,""),"Display",_xlfn.XLOOKUP($K872&amp;"",DISPLAY!$B$3:$B$1000&amp;"",DISPLAY!$H$3:$H$1000,""),"Network Device",_xlfn.XLOOKUP($K872&amp;"",'NETWORK-DEVICES'!$B$3:$B$987&amp;"",'NETWORK-DEVICES'!$H$3:$H$987,""),"Peripheral",_xlfn.XLOOKUP($K872&amp;"",PERIPHERAL!$B$3:$B$954&amp;"",PERIPHERAL!$H$3:$H$954,""),"Utilities",_xlfn.XLOOKUP($K872&amp;"",UTILITIES!$B$3:$B$953&amp;"",UTILITIES!$G$3:$G$953,""),"IOT",_xlfn.XLOOKUP($K872&amp;"",IOT!$B$3:$B$1012&amp;"",IOT!$H$3:$H$1012,""),"Server",_xlfn.XLOOKUP($K872&amp;"",SERVER!$B$3:$B$1009&amp;"",SERVER!$H$3:$H$1009,""),""),IF(TRIM(_xlpm.srcCat)&lt;&gt;TRIM($J872),"",_xlfn.SWITCH($I872,"Computer",_xlfn.XLOOKUP($K872&amp;"",COMPUTER!$B$3:$B$1009&amp;"",COMPUTER!$AM$3:$AM$1009,""),"Display",_xlfn.XLOOKUP($K872&amp;"",DISPLAY!$B$3:$B$1000&amp;"",DISPLAY!$V$3:$V$1000,""),"Network Device",_xlfn.XLOOKUP($K872&amp;"",'NETWORK-DEVICES'!$B$3:$B$987&amp;"",'NETWORK-DEVICES'!$AF$3:$AF$987,""),"Peripheral",_xlfn.XLOOKUP($K872&amp;"",PERIPHERAL!$B$3:$B$954&amp;"",PERIPHERAL!$Y$3:$Y$954,""),"Utilities",_xlfn.XLOOKUP($K872&amp;"",UTILITIES!$B$3:$B$953&amp;"",UTILITIES!$O$3:$O$953,""),"IOT",_xlfn.XLOOKUP($K872&amp;"",IOT!$B$3:$B$1012&amp;"",IOT!$AB$3:$AB$1012,""),"Server",_xlfn.XLOOKUP($K872&amp;"",SERVER!$B$3:$B$1009&amp;"",SERVER!$AB$3:$AB$1009,""),""))))</f>
        <v/>
      </c>
      <c r="R872" s="43" t="str">
        <f>IF(tbl_handover[[#This Row],[Asset Code]]="","",COUNTIF(tbl_handover[Asset Code],tbl_handover[[#This Row],[Asset Code]]))</f>
        <v/>
      </c>
    </row>
    <row r="873" spans="1:18" x14ac:dyDescent="0.25">
      <c r="A873" s="43" t="str">
        <f>IF(B873&lt;&gt;"",SUBTOTAL(3,$B$1:B872),"")</f>
        <v/>
      </c>
      <c r="C873" s="74"/>
      <c r="D873" s="74"/>
      <c r="G873" s="1"/>
      <c r="K873" s="42"/>
      <c r="L873" t="str" cm="1">
        <f t="array" ref="L873">IF($K873="","",_xlfn.SWITCH($I873,"Computer",_xlfn.XLOOKUP($K873&amp;"",COMPUTER!$B$3:$B$1009&amp;"",COMPUTER!$I$3:$I$1009,""),"Display",_xlfn.XLOOKUP($K873&amp;"",DISPLAY!$B$3:$B$1000&amp;"",DISPLAY!$J$3:$J$1000,""),"Network Device",_xlfn.XLOOKUP($K873&amp;"",'NETWORK-DEVICES'!$B$3:$B$987&amp;"",'NETWORK-DEVICES'!$I$3:$I$987,""),"Peripheral",_xlfn.XLOOKUP($K873&amp;"",PERIPHERAL!$B$3:$B$954&amp;"",PERIPHERAL!$I$3:$I$954,""),"Utilities",_xlfn.XLOOKUP($K873&amp;"",UTILITIES!$B$3:$B$953&amp;"",UTILITIES!$H$3:$H$953,""),"IOT",_xlfn.XLOOKUP($K873&amp;"",IOT!$B$3:$B$1012&amp;"",IOT!$I$3:$I$1012,""),"SERVER",_xlfn.XLOOKUP($K873&amp;"",SERVER!$B$3:$B$1009&amp;"",SERVER!$I$3:$I$1009,""),""))</f>
        <v/>
      </c>
      <c r="M873" t="str" cm="1">
        <f t="array" ref="M873">IF($K873="","",_xlfn.SWITCH($I873,"Computer",_xlfn.XLOOKUP($K873&amp;"",COMPUTER!$B$3:$B$1009&amp;"",COMPUTER!$J$3:$J$1009,""),"Display",_xlfn.XLOOKUP($K873&amp;"",DISPLAY!$B$3:$B$1000&amp;"",DISPLAY!$K$3:$K$1000,""),"Network Device",_xlfn.XLOOKUP($K873&amp;"",'NETWORK-DEVICES'!$B$3:$B$987&amp;"",'NETWORK-DEVICES'!$I$3:$I$987,""),"Peripheral",_xlfn.XLOOKUP($K873&amp;"",PERIPHERAL!$B$3:$B$954&amp;"",PERIPHERAL!$J$3:$J$954,""),"Utilities",_xlfn.XLOOKUP($K873&amp;"",UTILITIES!$B$3:$B$953&amp;"",UTILITIES!$I$3:$I$953,""),"IOT",_xlfn.XLOOKUP($K873&amp;"",IOT!$B$3:$B$1012&amp;"",IOT!$J$3:$J$1012,""),"Server",_xlfn.XLOOKUP($K873&amp;"",SERVER!$B$3:$B$1009&amp;"",SERVER!$J$3:$J$1009,""),""))</f>
        <v/>
      </c>
      <c r="N873" s="1" t="str" cm="1">
        <f t="array" ref="N873">IF(OR($K873="",$I873="",$J873=""),"",_xlfn.LET(_xlpm.srcCat,_xlfn.SWITCH($I873,"Computer",_xlfn.XLOOKUP($K873&amp;"",COMPUTER!$B$3:$B$1009&amp;"",COMPUTER!$H$3:$H$1009,""),"Display",_xlfn.XLOOKUP($K873&amp;"",DISPLAY!$B$3:$B$1000&amp;"",DISPLAY!$H$3:$H$1000,""),"Network Device",_xlfn.XLOOKUP($K873&amp;"",'NETWORK-DEVICES'!$B$3:$B$987&amp;"",'NETWORK-DEVICES'!$H$3:$H$987,""),"Peripheral",_xlfn.XLOOKUP($K873&amp;"",PERIPHERAL!$B$3:$B$954&amp;"",PERIPHERAL!$H$3:$H$954,""),"Utilities",_xlfn.XLOOKUP($K873&amp;"",UTILITIES!$B$3:$B$953&amp;"",UTILITIES!$G$3:$G$953,""),"IOT",_xlfn.XLOOKUP($K873&amp;"",IOT!$B$3:$B$1012&amp;"",IOT!$H$3:$H$1012,""),"Server",_xlfn.XLOOKUP($K873&amp;"",SERVER!$B$3:$B$1009&amp;"",SERVER!$H$3:$H$1009,""),""),IF(TRIM(_xlpm.srcCat)&lt;&gt;TRIM($J873),"",_xlfn.SWITCH($I873,"Computer",_xlfn.XLOOKUP($K873&amp;"",COMPUTER!$B$3:$B$1009&amp;"",COMPUTER!$K$3:$K$1009,""),"Display",_xlfn.XLOOKUP($K873&amp;"",DISPLAY!$B$3:$B$1000&amp;"",DISPLAY!$L$3:$L$1000,""),"Network Device",_xlfn.XLOOKUP($K873&amp;"",'NETWORK-DEVICES'!$B$3:$B$987&amp;"",'NETWORK-DEVICES'!$K$3:$K$987,""),"Peripheral",_xlfn.XLOOKUP($K873&amp;"",PERIPHERAL!$B$3:$B$954&amp;"",PERIPHERAL!$K$3:$K$954,""),"Utilities",_xlfn.XLOOKUP($K873&amp;"",UTILITIES!$B$3:$B$953&amp;"",UTILITIES!$J$3:$J$953,""),"IOT",_xlfn.XLOOKUP($K873&amp;"",IOT!$B$3:$B$1012&amp;"",IOT!$K$4:$K$1012,""),"Server",_xlfn.XLOOKUP($K873&amp;"",SERVER!$B$3:$B$1009&amp;"",SERVER!$K$3:$K$1009,""),""))))</f>
        <v/>
      </c>
      <c r="O873" s="1" t="str" cm="1">
        <f t="array" ref="O873">IF(OR($K873="",$I873="",$J873=""),"",_xlfn.LET(_xlpm.srcCat,_xlfn.SWITCH($I873,"Computer",_xlfn.XLOOKUP($K873&amp;"",COMPUTER!$B$3:$B$1009&amp;"",COMPUTER!$H$3:$H$1009,""),"Display",_xlfn.XLOOKUP($K873&amp;"",DISPLAY!$B$3:$B$1000&amp;"",DISPLAY!$H$3:$H$1000,""),"Network Device",_xlfn.XLOOKUP($K873&amp;"",'NETWORK-DEVICES'!$B$3:$B$987&amp;"",'NETWORK-DEVICES'!$H$3:$H$987,""),"Peripheral",_xlfn.XLOOKUP($K873&amp;"",PERIPHERAL!$B$3:$B$954&amp;"",PERIPHERAL!$H$3:$H$954,""),"Utilities",_xlfn.XLOOKUP($K873&amp;"",UTILITIES!$B$3:$B$953&amp;"",UTILITIES!$G$3:$G$953,""),"IOT",_xlfn.XLOOKUP($K873&amp;"",IOT!$B$3:$B$1012&amp;"",IOT!$H$3:$H$1012,""),"Server",_xlfn.XLOOKUP($K873&amp;"",SERVER!$B$3:$B$1009&amp;"",SERVER!$H$3:$H$1009,""),""),IF(TRIM(_xlpm.srcCat)&lt;&gt;TRIM($J873),"",_xlfn.SWITCH($I873,"Computer",_xlfn.XLOOKUP($K873&amp;"",COMPUTER!$B$3:$B$1009&amp;"",COMPUTER!$E$3:$E$1009,""),"Display",_xlfn.XLOOKUP($K873&amp;"",DISPLAY!$B$3:$B$1000&amp;"",DISPLAY!$E$3:$E$1000,""),"Network Device",_xlfn.XLOOKUP($K873&amp;"",'NETWORK-DEVICES'!$B$3:$B$987&amp;"",'NETWORK-DEVICES'!$E$3:$E$987,""),"Peripheral",_xlfn.XLOOKUP($K873&amp;"",PERIPHERAL!$B$3:$B$954&amp;"",PERIPHERAL!$E$3:$E$954,""),"Utilities",_xlfn.XLOOKUP($K873&amp;"",UTILITIES!$B$3:$B$953&amp;"",UTILITIES!$E$3:$E$953,""),"IOT",_xlfn.XLOOKUP($K873&amp;"",IOT!$B$3:$B$1012&amp;"",IOT!$E$3:$E$1012,""),"Server",_xlfn.XLOOKUP($K873&amp;"",SERVER!$B$3:$B$1009&amp;"",SERVER!$E$3:$E$1009,""),""))))</f>
        <v/>
      </c>
      <c r="Q873" s="1" t="str" cm="1">
        <f t="array" ref="Q873">IF(OR($K873="",$I873="",$J873=""),"",_xlfn.LET(_xlpm.srcCat,_xlfn.SWITCH($I873,"Computer",_xlfn.XLOOKUP($K873&amp;"",COMPUTER!$B$3:$B$1009&amp;"",COMPUTER!$H$3:$H$1009,""),"Display",_xlfn.XLOOKUP($K873&amp;"",DISPLAY!$B$3:$B$1000&amp;"",DISPLAY!$H$3:$H$1000,""),"Network Device",_xlfn.XLOOKUP($K873&amp;"",'NETWORK-DEVICES'!$B$3:$B$987&amp;"",'NETWORK-DEVICES'!$H$3:$H$987,""),"Peripheral",_xlfn.XLOOKUP($K873&amp;"",PERIPHERAL!$B$3:$B$954&amp;"",PERIPHERAL!$H$3:$H$954,""),"Utilities",_xlfn.XLOOKUP($K873&amp;"",UTILITIES!$B$3:$B$953&amp;"",UTILITIES!$G$3:$G$953,""),"IOT",_xlfn.XLOOKUP($K873&amp;"",IOT!$B$3:$B$1012&amp;"",IOT!$H$3:$H$1012,""),"Server",_xlfn.XLOOKUP($K873&amp;"",SERVER!$B$3:$B$1009&amp;"",SERVER!$H$3:$H$1009,""),""),IF(TRIM(_xlpm.srcCat)&lt;&gt;TRIM($J873),"",_xlfn.SWITCH($I873,"Computer",_xlfn.XLOOKUP($K873&amp;"",COMPUTER!$B$3:$B$1009&amp;"",COMPUTER!$AM$3:$AM$1009,""),"Display",_xlfn.XLOOKUP($K873&amp;"",DISPLAY!$B$3:$B$1000&amp;"",DISPLAY!$V$3:$V$1000,""),"Network Device",_xlfn.XLOOKUP($K873&amp;"",'NETWORK-DEVICES'!$B$3:$B$987&amp;"",'NETWORK-DEVICES'!$AF$3:$AF$987,""),"Peripheral",_xlfn.XLOOKUP($K873&amp;"",PERIPHERAL!$B$3:$B$954&amp;"",PERIPHERAL!$Y$3:$Y$954,""),"Utilities",_xlfn.XLOOKUP($K873&amp;"",UTILITIES!$B$3:$B$953&amp;"",UTILITIES!$O$3:$O$953,""),"IOT",_xlfn.XLOOKUP($K873&amp;"",IOT!$B$3:$B$1012&amp;"",IOT!$AB$3:$AB$1012,""),"Server",_xlfn.XLOOKUP($K873&amp;"",SERVER!$B$3:$B$1009&amp;"",SERVER!$AB$3:$AB$1009,""),""))))</f>
        <v/>
      </c>
      <c r="R873" s="43" t="str">
        <f>IF(tbl_handover[[#This Row],[Asset Code]]="","",COUNTIF(tbl_handover[Asset Code],tbl_handover[[#This Row],[Asset Code]]))</f>
        <v/>
      </c>
    </row>
    <row r="874" spans="1:18" x14ac:dyDescent="0.25">
      <c r="A874" s="43" t="str">
        <f>IF(B874&lt;&gt;"",SUBTOTAL(3,$B$1:B873),"")</f>
        <v/>
      </c>
      <c r="C874" s="74"/>
      <c r="D874" s="74"/>
      <c r="G874" s="1"/>
      <c r="K874" s="42"/>
      <c r="L874" t="str" cm="1">
        <f t="array" ref="L874">IF($K874="","",_xlfn.SWITCH($I874,"Computer",_xlfn.XLOOKUP($K874&amp;"",COMPUTER!$B$3:$B$1009&amp;"",COMPUTER!$I$3:$I$1009,""),"Display",_xlfn.XLOOKUP($K874&amp;"",DISPLAY!$B$3:$B$1000&amp;"",DISPLAY!$J$3:$J$1000,""),"Network Device",_xlfn.XLOOKUP($K874&amp;"",'NETWORK-DEVICES'!$B$3:$B$987&amp;"",'NETWORK-DEVICES'!$I$3:$I$987,""),"Peripheral",_xlfn.XLOOKUP($K874&amp;"",PERIPHERAL!$B$3:$B$954&amp;"",PERIPHERAL!$I$3:$I$954,""),"Utilities",_xlfn.XLOOKUP($K874&amp;"",UTILITIES!$B$3:$B$953&amp;"",UTILITIES!$H$3:$H$953,""),"IOT",_xlfn.XLOOKUP($K874&amp;"",IOT!$B$3:$B$1012&amp;"",IOT!$I$3:$I$1012,""),"SERVER",_xlfn.XLOOKUP($K874&amp;"",SERVER!$B$3:$B$1009&amp;"",SERVER!$I$3:$I$1009,""),""))</f>
        <v/>
      </c>
      <c r="M874" t="str" cm="1">
        <f t="array" ref="M874">IF($K874="","",_xlfn.SWITCH($I874,"Computer",_xlfn.XLOOKUP($K874&amp;"",COMPUTER!$B$3:$B$1009&amp;"",COMPUTER!$J$3:$J$1009,""),"Display",_xlfn.XLOOKUP($K874&amp;"",DISPLAY!$B$3:$B$1000&amp;"",DISPLAY!$K$3:$K$1000,""),"Network Device",_xlfn.XLOOKUP($K874&amp;"",'NETWORK-DEVICES'!$B$3:$B$987&amp;"",'NETWORK-DEVICES'!$I$3:$I$987,""),"Peripheral",_xlfn.XLOOKUP($K874&amp;"",PERIPHERAL!$B$3:$B$954&amp;"",PERIPHERAL!$J$3:$J$954,""),"Utilities",_xlfn.XLOOKUP($K874&amp;"",UTILITIES!$B$3:$B$953&amp;"",UTILITIES!$I$3:$I$953,""),"IOT",_xlfn.XLOOKUP($K874&amp;"",IOT!$B$3:$B$1012&amp;"",IOT!$J$3:$J$1012,""),"Server",_xlfn.XLOOKUP($K874&amp;"",SERVER!$B$3:$B$1009&amp;"",SERVER!$J$3:$J$1009,""),""))</f>
        <v/>
      </c>
      <c r="N874" s="1" t="str" cm="1">
        <f t="array" ref="N874">IF(OR($K874="",$I874="",$J874=""),"",_xlfn.LET(_xlpm.srcCat,_xlfn.SWITCH($I874,"Computer",_xlfn.XLOOKUP($K874&amp;"",COMPUTER!$B$3:$B$1009&amp;"",COMPUTER!$H$3:$H$1009,""),"Display",_xlfn.XLOOKUP($K874&amp;"",DISPLAY!$B$3:$B$1000&amp;"",DISPLAY!$H$3:$H$1000,""),"Network Device",_xlfn.XLOOKUP($K874&amp;"",'NETWORK-DEVICES'!$B$3:$B$987&amp;"",'NETWORK-DEVICES'!$H$3:$H$987,""),"Peripheral",_xlfn.XLOOKUP($K874&amp;"",PERIPHERAL!$B$3:$B$954&amp;"",PERIPHERAL!$H$3:$H$954,""),"Utilities",_xlfn.XLOOKUP($K874&amp;"",UTILITIES!$B$3:$B$953&amp;"",UTILITIES!$G$3:$G$953,""),"IOT",_xlfn.XLOOKUP($K874&amp;"",IOT!$B$3:$B$1012&amp;"",IOT!$H$3:$H$1012,""),"Server",_xlfn.XLOOKUP($K874&amp;"",SERVER!$B$3:$B$1009&amp;"",SERVER!$H$3:$H$1009,""),""),IF(TRIM(_xlpm.srcCat)&lt;&gt;TRIM($J874),"",_xlfn.SWITCH($I874,"Computer",_xlfn.XLOOKUP($K874&amp;"",COMPUTER!$B$3:$B$1009&amp;"",COMPUTER!$K$3:$K$1009,""),"Display",_xlfn.XLOOKUP($K874&amp;"",DISPLAY!$B$3:$B$1000&amp;"",DISPLAY!$L$3:$L$1000,""),"Network Device",_xlfn.XLOOKUP($K874&amp;"",'NETWORK-DEVICES'!$B$3:$B$987&amp;"",'NETWORK-DEVICES'!$K$3:$K$987,""),"Peripheral",_xlfn.XLOOKUP($K874&amp;"",PERIPHERAL!$B$3:$B$954&amp;"",PERIPHERAL!$K$3:$K$954,""),"Utilities",_xlfn.XLOOKUP($K874&amp;"",UTILITIES!$B$3:$B$953&amp;"",UTILITIES!$J$3:$J$953,""),"IOT",_xlfn.XLOOKUP($K874&amp;"",IOT!$B$3:$B$1012&amp;"",IOT!$K$4:$K$1012,""),"Server",_xlfn.XLOOKUP($K874&amp;"",SERVER!$B$3:$B$1009&amp;"",SERVER!$K$3:$K$1009,""),""))))</f>
        <v/>
      </c>
      <c r="O874" s="1" t="str" cm="1">
        <f t="array" ref="O874">IF(OR($K874="",$I874="",$J874=""),"",_xlfn.LET(_xlpm.srcCat,_xlfn.SWITCH($I874,"Computer",_xlfn.XLOOKUP($K874&amp;"",COMPUTER!$B$3:$B$1009&amp;"",COMPUTER!$H$3:$H$1009,""),"Display",_xlfn.XLOOKUP($K874&amp;"",DISPLAY!$B$3:$B$1000&amp;"",DISPLAY!$H$3:$H$1000,""),"Network Device",_xlfn.XLOOKUP($K874&amp;"",'NETWORK-DEVICES'!$B$3:$B$987&amp;"",'NETWORK-DEVICES'!$H$3:$H$987,""),"Peripheral",_xlfn.XLOOKUP($K874&amp;"",PERIPHERAL!$B$3:$B$954&amp;"",PERIPHERAL!$H$3:$H$954,""),"Utilities",_xlfn.XLOOKUP($K874&amp;"",UTILITIES!$B$3:$B$953&amp;"",UTILITIES!$G$3:$G$953,""),"IOT",_xlfn.XLOOKUP($K874&amp;"",IOT!$B$3:$B$1012&amp;"",IOT!$H$3:$H$1012,""),"Server",_xlfn.XLOOKUP($K874&amp;"",SERVER!$B$3:$B$1009&amp;"",SERVER!$H$3:$H$1009,""),""),IF(TRIM(_xlpm.srcCat)&lt;&gt;TRIM($J874),"",_xlfn.SWITCH($I874,"Computer",_xlfn.XLOOKUP($K874&amp;"",COMPUTER!$B$3:$B$1009&amp;"",COMPUTER!$E$3:$E$1009,""),"Display",_xlfn.XLOOKUP($K874&amp;"",DISPLAY!$B$3:$B$1000&amp;"",DISPLAY!$E$3:$E$1000,""),"Network Device",_xlfn.XLOOKUP($K874&amp;"",'NETWORK-DEVICES'!$B$3:$B$987&amp;"",'NETWORK-DEVICES'!$E$3:$E$987,""),"Peripheral",_xlfn.XLOOKUP($K874&amp;"",PERIPHERAL!$B$3:$B$954&amp;"",PERIPHERAL!$E$3:$E$954,""),"Utilities",_xlfn.XLOOKUP($K874&amp;"",UTILITIES!$B$3:$B$953&amp;"",UTILITIES!$E$3:$E$953,""),"IOT",_xlfn.XLOOKUP($K874&amp;"",IOT!$B$3:$B$1012&amp;"",IOT!$E$3:$E$1012,""),"Server",_xlfn.XLOOKUP($K874&amp;"",SERVER!$B$3:$B$1009&amp;"",SERVER!$E$3:$E$1009,""),""))))</f>
        <v/>
      </c>
      <c r="Q874" s="1" t="str" cm="1">
        <f t="array" ref="Q874">IF(OR($K874="",$I874="",$J874=""),"",_xlfn.LET(_xlpm.srcCat,_xlfn.SWITCH($I874,"Computer",_xlfn.XLOOKUP($K874&amp;"",COMPUTER!$B$3:$B$1009&amp;"",COMPUTER!$H$3:$H$1009,""),"Display",_xlfn.XLOOKUP($K874&amp;"",DISPLAY!$B$3:$B$1000&amp;"",DISPLAY!$H$3:$H$1000,""),"Network Device",_xlfn.XLOOKUP($K874&amp;"",'NETWORK-DEVICES'!$B$3:$B$987&amp;"",'NETWORK-DEVICES'!$H$3:$H$987,""),"Peripheral",_xlfn.XLOOKUP($K874&amp;"",PERIPHERAL!$B$3:$B$954&amp;"",PERIPHERAL!$H$3:$H$954,""),"Utilities",_xlfn.XLOOKUP($K874&amp;"",UTILITIES!$B$3:$B$953&amp;"",UTILITIES!$G$3:$G$953,""),"IOT",_xlfn.XLOOKUP($K874&amp;"",IOT!$B$3:$B$1012&amp;"",IOT!$H$3:$H$1012,""),"Server",_xlfn.XLOOKUP($K874&amp;"",SERVER!$B$3:$B$1009&amp;"",SERVER!$H$3:$H$1009,""),""),IF(TRIM(_xlpm.srcCat)&lt;&gt;TRIM($J874),"",_xlfn.SWITCH($I874,"Computer",_xlfn.XLOOKUP($K874&amp;"",COMPUTER!$B$3:$B$1009&amp;"",COMPUTER!$AM$3:$AM$1009,""),"Display",_xlfn.XLOOKUP($K874&amp;"",DISPLAY!$B$3:$B$1000&amp;"",DISPLAY!$V$3:$V$1000,""),"Network Device",_xlfn.XLOOKUP($K874&amp;"",'NETWORK-DEVICES'!$B$3:$B$987&amp;"",'NETWORK-DEVICES'!$AF$3:$AF$987,""),"Peripheral",_xlfn.XLOOKUP($K874&amp;"",PERIPHERAL!$B$3:$B$954&amp;"",PERIPHERAL!$Y$3:$Y$954,""),"Utilities",_xlfn.XLOOKUP($K874&amp;"",UTILITIES!$B$3:$B$953&amp;"",UTILITIES!$O$3:$O$953,""),"IOT",_xlfn.XLOOKUP($K874&amp;"",IOT!$B$3:$B$1012&amp;"",IOT!$AB$3:$AB$1012,""),"Server",_xlfn.XLOOKUP($K874&amp;"",SERVER!$B$3:$B$1009&amp;"",SERVER!$AB$3:$AB$1009,""),""))))</f>
        <v/>
      </c>
      <c r="R874" s="43" t="str">
        <f>IF(tbl_handover[[#This Row],[Asset Code]]="","",COUNTIF(tbl_handover[Asset Code],tbl_handover[[#This Row],[Asset Code]]))</f>
        <v/>
      </c>
    </row>
    <row r="875" spans="1:18" x14ac:dyDescent="0.25">
      <c r="A875" s="43" t="str">
        <f>IF(B875&lt;&gt;"",SUBTOTAL(3,$B$1:B874),"")</f>
        <v/>
      </c>
      <c r="C875" s="74"/>
      <c r="D875" s="74"/>
      <c r="G875" s="1"/>
      <c r="K875" s="42"/>
      <c r="L875" t="str" cm="1">
        <f t="array" ref="L875">IF($K875="","",_xlfn.SWITCH($I875,"Computer",_xlfn.XLOOKUP($K875&amp;"",COMPUTER!$B$3:$B$1009&amp;"",COMPUTER!$I$3:$I$1009,""),"Display",_xlfn.XLOOKUP($K875&amp;"",DISPLAY!$B$3:$B$1000&amp;"",DISPLAY!$J$3:$J$1000,""),"Network Device",_xlfn.XLOOKUP($K875&amp;"",'NETWORK-DEVICES'!$B$3:$B$987&amp;"",'NETWORK-DEVICES'!$I$3:$I$987,""),"Peripheral",_xlfn.XLOOKUP($K875&amp;"",PERIPHERAL!$B$3:$B$954&amp;"",PERIPHERAL!$I$3:$I$954,""),"Utilities",_xlfn.XLOOKUP($K875&amp;"",UTILITIES!$B$3:$B$953&amp;"",UTILITIES!$H$3:$H$953,""),"IOT",_xlfn.XLOOKUP($K875&amp;"",IOT!$B$3:$B$1012&amp;"",IOT!$I$3:$I$1012,""),"SERVER",_xlfn.XLOOKUP($K875&amp;"",SERVER!$B$3:$B$1009&amp;"",SERVER!$I$3:$I$1009,""),""))</f>
        <v/>
      </c>
      <c r="M875" t="str" cm="1">
        <f t="array" ref="M875">IF($K875="","",_xlfn.SWITCH($I875,"Computer",_xlfn.XLOOKUP($K875&amp;"",COMPUTER!$B$3:$B$1009&amp;"",COMPUTER!$J$3:$J$1009,""),"Display",_xlfn.XLOOKUP($K875&amp;"",DISPLAY!$B$3:$B$1000&amp;"",DISPLAY!$K$3:$K$1000,""),"Network Device",_xlfn.XLOOKUP($K875&amp;"",'NETWORK-DEVICES'!$B$3:$B$987&amp;"",'NETWORK-DEVICES'!$I$3:$I$987,""),"Peripheral",_xlfn.XLOOKUP($K875&amp;"",PERIPHERAL!$B$3:$B$954&amp;"",PERIPHERAL!$J$3:$J$954,""),"Utilities",_xlfn.XLOOKUP($K875&amp;"",UTILITIES!$B$3:$B$953&amp;"",UTILITIES!$I$3:$I$953,""),"IOT",_xlfn.XLOOKUP($K875&amp;"",IOT!$B$3:$B$1012&amp;"",IOT!$J$3:$J$1012,""),"Server",_xlfn.XLOOKUP($K875&amp;"",SERVER!$B$3:$B$1009&amp;"",SERVER!$J$3:$J$1009,""),""))</f>
        <v/>
      </c>
      <c r="N875" s="1" t="str" cm="1">
        <f t="array" ref="N875">IF(OR($K875="",$I875="",$J875=""),"",_xlfn.LET(_xlpm.srcCat,_xlfn.SWITCH($I875,"Computer",_xlfn.XLOOKUP($K875&amp;"",COMPUTER!$B$3:$B$1009&amp;"",COMPUTER!$H$3:$H$1009,""),"Display",_xlfn.XLOOKUP($K875&amp;"",DISPLAY!$B$3:$B$1000&amp;"",DISPLAY!$H$3:$H$1000,""),"Network Device",_xlfn.XLOOKUP($K875&amp;"",'NETWORK-DEVICES'!$B$3:$B$987&amp;"",'NETWORK-DEVICES'!$H$3:$H$987,""),"Peripheral",_xlfn.XLOOKUP($K875&amp;"",PERIPHERAL!$B$3:$B$954&amp;"",PERIPHERAL!$H$3:$H$954,""),"Utilities",_xlfn.XLOOKUP($K875&amp;"",UTILITIES!$B$3:$B$953&amp;"",UTILITIES!$G$3:$G$953,""),"IOT",_xlfn.XLOOKUP($K875&amp;"",IOT!$B$3:$B$1012&amp;"",IOT!$H$3:$H$1012,""),"Server",_xlfn.XLOOKUP($K875&amp;"",SERVER!$B$3:$B$1009&amp;"",SERVER!$H$3:$H$1009,""),""),IF(TRIM(_xlpm.srcCat)&lt;&gt;TRIM($J875),"",_xlfn.SWITCH($I875,"Computer",_xlfn.XLOOKUP($K875&amp;"",COMPUTER!$B$3:$B$1009&amp;"",COMPUTER!$K$3:$K$1009,""),"Display",_xlfn.XLOOKUP($K875&amp;"",DISPLAY!$B$3:$B$1000&amp;"",DISPLAY!$L$3:$L$1000,""),"Network Device",_xlfn.XLOOKUP($K875&amp;"",'NETWORK-DEVICES'!$B$3:$B$987&amp;"",'NETWORK-DEVICES'!$K$3:$K$987,""),"Peripheral",_xlfn.XLOOKUP($K875&amp;"",PERIPHERAL!$B$3:$B$954&amp;"",PERIPHERAL!$K$3:$K$954,""),"Utilities",_xlfn.XLOOKUP($K875&amp;"",UTILITIES!$B$3:$B$953&amp;"",UTILITIES!$J$3:$J$953,""),"IOT",_xlfn.XLOOKUP($K875&amp;"",IOT!$B$3:$B$1012&amp;"",IOT!$K$4:$K$1012,""),"Server",_xlfn.XLOOKUP($K875&amp;"",SERVER!$B$3:$B$1009&amp;"",SERVER!$K$3:$K$1009,""),""))))</f>
        <v/>
      </c>
      <c r="O875" s="1" t="str" cm="1">
        <f t="array" ref="O875">IF(OR($K875="",$I875="",$J875=""),"",_xlfn.LET(_xlpm.srcCat,_xlfn.SWITCH($I875,"Computer",_xlfn.XLOOKUP($K875&amp;"",COMPUTER!$B$3:$B$1009&amp;"",COMPUTER!$H$3:$H$1009,""),"Display",_xlfn.XLOOKUP($K875&amp;"",DISPLAY!$B$3:$B$1000&amp;"",DISPLAY!$H$3:$H$1000,""),"Network Device",_xlfn.XLOOKUP($K875&amp;"",'NETWORK-DEVICES'!$B$3:$B$987&amp;"",'NETWORK-DEVICES'!$H$3:$H$987,""),"Peripheral",_xlfn.XLOOKUP($K875&amp;"",PERIPHERAL!$B$3:$B$954&amp;"",PERIPHERAL!$H$3:$H$954,""),"Utilities",_xlfn.XLOOKUP($K875&amp;"",UTILITIES!$B$3:$B$953&amp;"",UTILITIES!$G$3:$G$953,""),"IOT",_xlfn.XLOOKUP($K875&amp;"",IOT!$B$3:$B$1012&amp;"",IOT!$H$3:$H$1012,""),"Server",_xlfn.XLOOKUP($K875&amp;"",SERVER!$B$3:$B$1009&amp;"",SERVER!$H$3:$H$1009,""),""),IF(TRIM(_xlpm.srcCat)&lt;&gt;TRIM($J875),"",_xlfn.SWITCH($I875,"Computer",_xlfn.XLOOKUP($K875&amp;"",COMPUTER!$B$3:$B$1009&amp;"",COMPUTER!$E$3:$E$1009,""),"Display",_xlfn.XLOOKUP($K875&amp;"",DISPLAY!$B$3:$B$1000&amp;"",DISPLAY!$E$3:$E$1000,""),"Network Device",_xlfn.XLOOKUP($K875&amp;"",'NETWORK-DEVICES'!$B$3:$B$987&amp;"",'NETWORK-DEVICES'!$E$3:$E$987,""),"Peripheral",_xlfn.XLOOKUP($K875&amp;"",PERIPHERAL!$B$3:$B$954&amp;"",PERIPHERAL!$E$3:$E$954,""),"Utilities",_xlfn.XLOOKUP($K875&amp;"",UTILITIES!$B$3:$B$953&amp;"",UTILITIES!$E$3:$E$953,""),"IOT",_xlfn.XLOOKUP($K875&amp;"",IOT!$B$3:$B$1012&amp;"",IOT!$E$3:$E$1012,""),"Server",_xlfn.XLOOKUP($K875&amp;"",SERVER!$B$3:$B$1009&amp;"",SERVER!$E$3:$E$1009,""),""))))</f>
        <v/>
      </c>
      <c r="Q875" s="1" t="str" cm="1">
        <f t="array" ref="Q875">IF(OR($K875="",$I875="",$J875=""),"",_xlfn.LET(_xlpm.srcCat,_xlfn.SWITCH($I875,"Computer",_xlfn.XLOOKUP($K875&amp;"",COMPUTER!$B$3:$B$1009&amp;"",COMPUTER!$H$3:$H$1009,""),"Display",_xlfn.XLOOKUP($K875&amp;"",DISPLAY!$B$3:$B$1000&amp;"",DISPLAY!$H$3:$H$1000,""),"Network Device",_xlfn.XLOOKUP($K875&amp;"",'NETWORK-DEVICES'!$B$3:$B$987&amp;"",'NETWORK-DEVICES'!$H$3:$H$987,""),"Peripheral",_xlfn.XLOOKUP($K875&amp;"",PERIPHERAL!$B$3:$B$954&amp;"",PERIPHERAL!$H$3:$H$954,""),"Utilities",_xlfn.XLOOKUP($K875&amp;"",UTILITIES!$B$3:$B$953&amp;"",UTILITIES!$G$3:$G$953,""),"IOT",_xlfn.XLOOKUP($K875&amp;"",IOT!$B$3:$B$1012&amp;"",IOT!$H$3:$H$1012,""),"Server",_xlfn.XLOOKUP($K875&amp;"",SERVER!$B$3:$B$1009&amp;"",SERVER!$H$3:$H$1009,""),""),IF(TRIM(_xlpm.srcCat)&lt;&gt;TRIM($J875),"",_xlfn.SWITCH($I875,"Computer",_xlfn.XLOOKUP($K875&amp;"",COMPUTER!$B$3:$B$1009&amp;"",COMPUTER!$AM$3:$AM$1009,""),"Display",_xlfn.XLOOKUP($K875&amp;"",DISPLAY!$B$3:$B$1000&amp;"",DISPLAY!$V$3:$V$1000,""),"Network Device",_xlfn.XLOOKUP($K875&amp;"",'NETWORK-DEVICES'!$B$3:$B$987&amp;"",'NETWORK-DEVICES'!$AF$3:$AF$987,""),"Peripheral",_xlfn.XLOOKUP($K875&amp;"",PERIPHERAL!$B$3:$B$954&amp;"",PERIPHERAL!$Y$3:$Y$954,""),"Utilities",_xlfn.XLOOKUP($K875&amp;"",UTILITIES!$B$3:$B$953&amp;"",UTILITIES!$O$3:$O$953,""),"IOT",_xlfn.XLOOKUP($K875&amp;"",IOT!$B$3:$B$1012&amp;"",IOT!$AB$3:$AB$1012,""),"Server",_xlfn.XLOOKUP($K875&amp;"",SERVER!$B$3:$B$1009&amp;"",SERVER!$AB$3:$AB$1009,""),""))))</f>
        <v/>
      </c>
      <c r="R875" s="43" t="str">
        <f>IF(tbl_handover[[#This Row],[Asset Code]]="","",COUNTIF(tbl_handover[Asset Code],tbl_handover[[#This Row],[Asset Code]]))</f>
        <v/>
      </c>
    </row>
    <row r="876" spans="1:18" x14ac:dyDescent="0.25">
      <c r="A876" s="43" t="str">
        <f>IF(B876&lt;&gt;"",SUBTOTAL(3,$B$1:B875),"")</f>
        <v/>
      </c>
      <c r="C876" s="74"/>
      <c r="D876" s="74"/>
      <c r="G876" s="1"/>
      <c r="K876" s="42"/>
      <c r="L876" t="str" cm="1">
        <f t="array" ref="L876">IF($K876="","",_xlfn.SWITCH($I876,"Computer",_xlfn.XLOOKUP($K876&amp;"",COMPUTER!$B$3:$B$1009&amp;"",COMPUTER!$I$3:$I$1009,""),"Display",_xlfn.XLOOKUP($K876&amp;"",DISPLAY!$B$3:$B$1000&amp;"",DISPLAY!$J$3:$J$1000,""),"Network Device",_xlfn.XLOOKUP($K876&amp;"",'NETWORK-DEVICES'!$B$3:$B$987&amp;"",'NETWORK-DEVICES'!$I$3:$I$987,""),"Peripheral",_xlfn.XLOOKUP($K876&amp;"",PERIPHERAL!$B$3:$B$954&amp;"",PERIPHERAL!$I$3:$I$954,""),"Utilities",_xlfn.XLOOKUP($K876&amp;"",UTILITIES!$B$3:$B$953&amp;"",UTILITIES!$H$3:$H$953,""),"IOT",_xlfn.XLOOKUP($K876&amp;"",IOT!$B$3:$B$1012&amp;"",IOT!$I$3:$I$1012,""),"SERVER",_xlfn.XLOOKUP($K876&amp;"",SERVER!$B$3:$B$1009&amp;"",SERVER!$I$3:$I$1009,""),""))</f>
        <v/>
      </c>
      <c r="M876" t="str" cm="1">
        <f t="array" ref="M876">IF($K876="","",_xlfn.SWITCH($I876,"Computer",_xlfn.XLOOKUP($K876&amp;"",COMPUTER!$B$3:$B$1009&amp;"",COMPUTER!$J$3:$J$1009,""),"Display",_xlfn.XLOOKUP($K876&amp;"",DISPLAY!$B$3:$B$1000&amp;"",DISPLAY!$K$3:$K$1000,""),"Network Device",_xlfn.XLOOKUP($K876&amp;"",'NETWORK-DEVICES'!$B$3:$B$987&amp;"",'NETWORK-DEVICES'!$I$3:$I$987,""),"Peripheral",_xlfn.XLOOKUP($K876&amp;"",PERIPHERAL!$B$3:$B$954&amp;"",PERIPHERAL!$J$3:$J$954,""),"Utilities",_xlfn.XLOOKUP($K876&amp;"",UTILITIES!$B$3:$B$953&amp;"",UTILITIES!$I$3:$I$953,""),"IOT",_xlfn.XLOOKUP($K876&amp;"",IOT!$B$3:$B$1012&amp;"",IOT!$J$3:$J$1012,""),"Server",_xlfn.XLOOKUP($K876&amp;"",SERVER!$B$3:$B$1009&amp;"",SERVER!$J$3:$J$1009,""),""))</f>
        <v/>
      </c>
      <c r="N876" s="1" t="str" cm="1">
        <f t="array" ref="N876">IF(OR($K876="",$I876="",$J876=""),"",_xlfn.LET(_xlpm.srcCat,_xlfn.SWITCH($I876,"Computer",_xlfn.XLOOKUP($K876&amp;"",COMPUTER!$B$3:$B$1009&amp;"",COMPUTER!$H$3:$H$1009,""),"Display",_xlfn.XLOOKUP($K876&amp;"",DISPLAY!$B$3:$B$1000&amp;"",DISPLAY!$H$3:$H$1000,""),"Network Device",_xlfn.XLOOKUP($K876&amp;"",'NETWORK-DEVICES'!$B$3:$B$987&amp;"",'NETWORK-DEVICES'!$H$3:$H$987,""),"Peripheral",_xlfn.XLOOKUP($K876&amp;"",PERIPHERAL!$B$3:$B$954&amp;"",PERIPHERAL!$H$3:$H$954,""),"Utilities",_xlfn.XLOOKUP($K876&amp;"",UTILITIES!$B$3:$B$953&amp;"",UTILITIES!$G$3:$G$953,""),"IOT",_xlfn.XLOOKUP($K876&amp;"",IOT!$B$3:$B$1012&amp;"",IOT!$H$3:$H$1012,""),"Server",_xlfn.XLOOKUP($K876&amp;"",SERVER!$B$3:$B$1009&amp;"",SERVER!$H$3:$H$1009,""),""),IF(TRIM(_xlpm.srcCat)&lt;&gt;TRIM($J876),"",_xlfn.SWITCH($I876,"Computer",_xlfn.XLOOKUP($K876&amp;"",COMPUTER!$B$3:$B$1009&amp;"",COMPUTER!$K$3:$K$1009,""),"Display",_xlfn.XLOOKUP($K876&amp;"",DISPLAY!$B$3:$B$1000&amp;"",DISPLAY!$L$3:$L$1000,""),"Network Device",_xlfn.XLOOKUP($K876&amp;"",'NETWORK-DEVICES'!$B$3:$B$987&amp;"",'NETWORK-DEVICES'!$K$3:$K$987,""),"Peripheral",_xlfn.XLOOKUP($K876&amp;"",PERIPHERAL!$B$3:$B$954&amp;"",PERIPHERAL!$K$3:$K$954,""),"Utilities",_xlfn.XLOOKUP($K876&amp;"",UTILITIES!$B$3:$B$953&amp;"",UTILITIES!$J$3:$J$953,""),"IOT",_xlfn.XLOOKUP($K876&amp;"",IOT!$B$3:$B$1012&amp;"",IOT!$K$4:$K$1012,""),"Server",_xlfn.XLOOKUP($K876&amp;"",SERVER!$B$3:$B$1009&amp;"",SERVER!$K$3:$K$1009,""),""))))</f>
        <v/>
      </c>
      <c r="O876" s="1" t="str" cm="1">
        <f t="array" ref="O876">IF(OR($K876="",$I876="",$J876=""),"",_xlfn.LET(_xlpm.srcCat,_xlfn.SWITCH($I876,"Computer",_xlfn.XLOOKUP($K876&amp;"",COMPUTER!$B$3:$B$1009&amp;"",COMPUTER!$H$3:$H$1009,""),"Display",_xlfn.XLOOKUP($K876&amp;"",DISPLAY!$B$3:$B$1000&amp;"",DISPLAY!$H$3:$H$1000,""),"Network Device",_xlfn.XLOOKUP($K876&amp;"",'NETWORK-DEVICES'!$B$3:$B$987&amp;"",'NETWORK-DEVICES'!$H$3:$H$987,""),"Peripheral",_xlfn.XLOOKUP($K876&amp;"",PERIPHERAL!$B$3:$B$954&amp;"",PERIPHERAL!$H$3:$H$954,""),"Utilities",_xlfn.XLOOKUP($K876&amp;"",UTILITIES!$B$3:$B$953&amp;"",UTILITIES!$G$3:$G$953,""),"IOT",_xlfn.XLOOKUP($K876&amp;"",IOT!$B$3:$B$1012&amp;"",IOT!$H$3:$H$1012,""),"Server",_xlfn.XLOOKUP($K876&amp;"",SERVER!$B$3:$B$1009&amp;"",SERVER!$H$3:$H$1009,""),""),IF(TRIM(_xlpm.srcCat)&lt;&gt;TRIM($J876),"",_xlfn.SWITCH($I876,"Computer",_xlfn.XLOOKUP($K876&amp;"",COMPUTER!$B$3:$B$1009&amp;"",COMPUTER!$E$3:$E$1009,""),"Display",_xlfn.XLOOKUP($K876&amp;"",DISPLAY!$B$3:$B$1000&amp;"",DISPLAY!$E$3:$E$1000,""),"Network Device",_xlfn.XLOOKUP($K876&amp;"",'NETWORK-DEVICES'!$B$3:$B$987&amp;"",'NETWORK-DEVICES'!$E$3:$E$987,""),"Peripheral",_xlfn.XLOOKUP($K876&amp;"",PERIPHERAL!$B$3:$B$954&amp;"",PERIPHERAL!$E$3:$E$954,""),"Utilities",_xlfn.XLOOKUP($K876&amp;"",UTILITIES!$B$3:$B$953&amp;"",UTILITIES!$E$3:$E$953,""),"IOT",_xlfn.XLOOKUP($K876&amp;"",IOT!$B$3:$B$1012&amp;"",IOT!$E$3:$E$1012,""),"Server",_xlfn.XLOOKUP($K876&amp;"",SERVER!$B$3:$B$1009&amp;"",SERVER!$E$3:$E$1009,""),""))))</f>
        <v/>
      </c>
      <c r="Q876" s="1" t="str" cm="1">
        <f t="array" ref="Q876">IF(OR($K876="",$I876="",$J876=""),"",_xlfn.LET(_xlpm.srcCat,_xlfn.SWITCH($I876,"Computer",_xlfn.XLOOKUP($K876&amp;"",COMPUTER!$B$3:$B$1009&amp;"",COMPUTER!$H$3:$H$1009,""),"Display",_xlfn.XLOOKUP($K876&amp;"",DISPLAY!$B$3:$B$1000&amp;"",DISPLAY!$H$3:$H$1000,""),"Network Device",_xlfn.XLOOKUP($K876&amp;"",'NETWORK-DEVICES'!$B$3:$B$987&amp;"",'NETWORK-DEVICES'!$H$3:$H$987,""),"Peripheral",_xlfn.XLOOKUP($K876&amp;"",PERIPHERAL!$B$3:$B$954&amp;"",PERIPHERAL!$H$3:$H$954,""),"Utilities",_xlfn.XLOOKUP($K876&amp;"",UTILITIES!$B$3:$B$953&amp;"",UTILITIES!$G$3:$G$953,""),"IOT",_xlfn.XLOOKUP($K876&amp;"",IOT!$B$3:$B$1012&amp;"",IOT!$H$3:$H$1012,""),"Server",_xlfn.XLOOKUP($K876&amp;"",SERVER!$B$3:$B$1009&amp;"",SERVER!$H$3:$H$1009,""),""),IF(TRIM(_xlpm.srcCat)&lt;&gt;TRIM($J876),"",_xlfn.SWITCH($I876,"Computer",_xlfn.XLOOKUP($K876&amp;"",COMPUTER!$B$3:$B$1009&amp;"",COMPUTER!$AM$3:$AM$1009,""),"Display",_xlfn.XLOOKUP($K876&amp;"",DISPLAY!$B$3:$B$1000&amp;"",DISPLAY!$V$3:$V$1000,""),"Network Device",_xlfn.XLOOKUP($K876&amp;"",'NETWORK-DEVICES'!$B$3:$B$987&amp;"",'NETWORK-DEVICES'!$AF$3:$AF$987,""),"Peripheral",_xlfn.XLOOKUP($K876&amp;"",PERIPHERAL!$B$3:$B$954&amp;"",PERIPHERAL!$Y$3:$Y$954,""),"Utilities",_xlfn.XLOOKUP($K876&amp;"",UTILITIES!$B$3:$B$953&amp;"",UTILITIES!$O$3:$O$953,""),"IOT",_xlfn.XLOOKUP($K876&amp;"",IOT!$B$3:$B$1012&amp;"",IOT!$AB$3:$AB$1012,""),"Server",_xlfn.XLOOKUP($K876&amp;"",SERVER!$B$3:$B$1009&amp;"",SERVER!$AB$3:$AB$1009,""),""))))</f>
        <v/>
      </c>
      <c r="R876" s="43" t="str">
        <f>IF(tbl_handover[[#This Row],[Asset Code]]="","",COUNTIF(tbl_handover[Asset Code],tbl_handover[[#This Row],[Asset Code]]))</f>
        <v/>
      </c>
    </row>
    <row r="877" spans="1:18" x14ac:dyDescent="0.25">
      <c r="A877" s="43" t="str">
        <f>IF(B877&lt;&gt;"",SUBTOTAL(3,$B$1:B876),"")</f>
        <v/>
      </c>
      <c r="C877" s="74"/>
      <c r="D877" s="74"/>
      <c r="G877" s="1"/>
      <c r="K877" s="42"/>
      <c r="L877" t="str" cm="1">
        <f t="array" ref="L877">IF($K877="","",_xlfn.SWITCH($I877,"Computer",_xlfn.XLOOKUP($K877&amp;"",COMPUTER!$B$3:$B$1009&amp;"",COMPUTER!$I$3:$I$1009,""),"Display",_xlfn.XLOOKUP($K877&amp;"",DISPLAY!$B$3:$B$1000&amp;"",DISPLAY!$J$3:$J$1000,""),"Network Device",_xlfn.XLOOKUP($K877&amp;"",'NETWORK-DEVICES'!$B$3:$B$987&amp;"",'NETWORK-DEVICES'!$I$3:$I$987,""),"Peripheral",_xlfn.XLOOKUP($K877&amp;"",PERIPHERAL!$B$3:$B$954&amp;"",PERIPHERAL!$I$3:$I$954,""),"Utilities",_xlfn.XLOOKUP($K877&amp;"",UTILITIES!$B$3:$B$953&amp;"",UTILITIES!$H$3:$H$953,""),"IOT",_xlfn.XLOOKUP($K877&amp;"",IOT!$B$3:$B$1012&amp;"",IOT!$I$3:$I$1012,""),"SERVER",_xlfn.XLOOKUP($K877&amp;"",SERVER!$B$3:$B$1009&amp;"",SERVER!$I$3:$I$1009,""),""))</f>
        <v/>
      </c>
      <c r="M877" t="str" cm="1">
        <f t="array" ref="M877">IF($K877="","",_xlfn.SWITCH($I877,"Computer",_xlfn.XLOOKUP($K877&amp;"",COMPUTER!$B$3:$B$1009&amp;"",COMPUTER!$J$3:$J$1009,""),"Display",_xlfn.XLOOKUP($K877&amp;"",DISPLAY!$B$3:$B$1000&amp;"",DISPLAY!$K$3:$K$1000,""),"Network Device",_xlfn.XLOOKUP($K877&amp;"",'NETWORK-DEVICES'!$B$3:$B$987&amp;"",'NETWORK-DEVICES'!$I$3:$I$987,""),"Peripheral",_xlfn.XLOOKUP($K877&amp;"",PERIPHERAL!$B$3:$B$954&amp;"",PERIPHERAL!$J$3:$J$954,""),"Utilities",_xlfn.XLOOKUP($K877&amp;"",UTILITIES!$B$3:$B$953&amp;"",UTILITIES!$I$3:$I$953,""),"IOT",_xlfn.XLOOKUP($K877&amp;"",IOT!$B$3:$B$1012&amp;"",IOT!$J$3:$J$1012,""),"Server",_xlfn.XLOOKUP($K877&amp;"",SERVER!$B$3:$B$1009&amp;"",SERVER!$J$3:$J$1009,""),""))</f>
        <v/>
      </c>
      <c r="N877" s="1" t="str" cm="1">
        <f t="array" ref="N877">IF(OR($K877="",$I877="",$J877=""),"",_xlfn.LET(_xlpm.srcCat,_xlfn.SWITCH($I877,"Computer",_xlfn.XLOOKUP($K877&amp;"",COMPUTER!$B$3:$B$1009&amp;"",COMPUTER!$H$3:$H$1009,""),"Display",_xlfn.XLOOKUP($K877&amp;"",DISPLAY!$B$3:$B$1000&amp;"",DISPLAY!$H$3:$H$1000,""),"Network Device",_xlfn.XLOOKUP($K877&amp;"",'NETWORK-DEVICES'!$B$3:$B$987&amp;"",'NETWORK-DEVICES'!$H$3:$H$987,""),"Peripheral",_xlfn.XLOOKUP($K877&amp;"",PERIPHERAL!$B$3:$B$954&amp;"",PERIPHERAL!$H$3:$H$954,""),"Utilities",_xlfn.XLOOKUP($K877&amp;"",UTILITIES!$B$3:$B$953&amp;"",UTILITIES!$G$3:$G$953,""),"IOT",_xlfn.XLOOKUP($K877&amp;"",IOT!$B$3:$B$1012&amp;"",IOT!$H$3:$H$1012,""),"Server",_xlfn.XLOOKUP($K877&amp;"",SERVER!$B$3:$B$1009&amp;"",SERVER!$H$3:$H$1009,""),""),IF(TRIM(_xlpm.srcCat)&lt;&gt;TRIM($J877),"",_xlfn.SWITCH($I877,"Computer",_xlfn.XLOOKUP($K877&amp;"",COMPUTER!$B$3:$B$1009&amp;"",COMPUTER!$K$3:$K$1009,""),"Display",_xlfn.XLOOKUP($K877&amp;"",DISPLAY!$B$3:$B$1000&amp;"",DISPLAY!$L$3:$L$1000,""),"Network Device",_xlfn.XLOOKUP($K877&amp;"",'NETWORK-DEVICES'!$B$3:$B$987&amp;"",'NETWORK-DEVICES'!$K$3:$K$987,""),"Peripheral",_xlfn.XLOOKUP($K877&amp;"",PERIPHERAL!$B$3:$B$954&amp;"",PERIPHERAL!$K$3:$K$954,""),"Utilities",_xlfn.XLOOKUP($K877&amp;"",UTILITIES!$B$3:$B$953&amp;"",UTILITIES!$J$3:$J$953,""),"IOT",_xlfn.XLOOKUP($K877&amp;"",IOT!$B$3:$B$1012&amp;"",IOT!$K$4:$K$1012,""),"Server",_xlfn.XLOOKUP($K877&amp;"",SERVER!$B$3:$B$1009&amp;"",SERVER!$K$3:$K$1009,""),""))))</f>
        <v/>
      </c>
      <c r="O877" s="1" t="str" cm="1">
        <f t="array" ref="O877">IF(OR($K877="",$I877="",$J877=""),"",_xlfn.LET(_xlpm.srcCat,_xlfn.SWITCH($I877,"Computer",_xlfn.XLOOKUP($K877&amp;"",COMPUTER!$B$3:$B$1009&amp;"",COMPUTER!$H$3:$H$1009,""),"Display",_xlfn.XLOOKUP($K877&amp;"",DISPLAY!$B$3:$B$1000&amp;"",DISPLAY!$H$3:$H$1000,""),"Network Device",_xlfn.XLOOKUP($K877&amp;"",'NETWORK-DEVICES'!$B$3:$B$987&amp;"",'NETWORK-DEVICES'!$H$3:$H$987,""),"Peripheral",_xlfn.XLOOKUP($K877&amp;"",PERIPHERAL!$B$3:$B$954&amp;"",PERIPHERAL!$H$3:$H$954,""),"Utilities",_xlfn.XLOOKUP($K877&amp;"",UTILITIES!$B$3:$B$953&amp;"",UTILITIES!$G$3:$G$953,""),"IOT",_xlfn.XLOOKUP($K877&amp;"",IOT!$B$3:$B$1012&amp;"",IOT!$H$3:$H$1012,""),"Server",_xlfn.XLOOKUP($K877&amp;"",SERVER!$B$3:$B$1009&amp;"",SERVER!$H$3:$H$1009,""),""),IF(TRIM(_xlpm.srcCat)&lt;&gt;TRIM($J877),"",_xlfn.SWITCH($I877,"Computer",_xlfn.XLOOKUP($K877&amp;"",COMPUTER!$B$3:$B$1009&amp;"",COMPUTER!$E$3:$E$1009,""),"Display",_xlfn.XLOOKUP($K877&amp;"",DISPLAY!$B$3:$B$1000&amp;"",DISPLAY!$E$3:$E$1000,""),"Network Device",_xlfn.XLOOKUP($K877&amp;"",'NETWORK-DEVICES'!$B$3:$B$987&amp;"",'NETWORK-DEVICES'!$E$3:$E$987,""),"Peripheral",_xlfn.XLOOKUP($K877&amp;"",PERIPHERAL!$B$3:$B$954&amp;"",PERIPHERAL!$E$3:$E$954,""),"Utilities",_xlfn.XLOOKUP($K877&amp;"",UTILITIES!$B$3:$B$953&amp;"",UTILITIES!$E$3:$E$953,""),"IOT",_xlfn.XLOOKUP($K877&amp;"",IOT!$B$3:$B$1012&amp;"",IOT!$E$3:$E$1012,""),"Server",_xlfn.XLOOKUP($K877&amp;"",SERVER!$B$3:$B$1009&amp;"",SERVER!$E$3:$E$1009,""),""))))</f>
        <v/>
      </c>
      <c r="Q877" s="1" t="str" cm="1">
        <f t="array" ref="Q877">IF(OR($K877="",$I877="",$J877=""),"",_xlfn.LET(_xlpm.srcCat,_xlfn.SWITCH($I877,"Computer",_xlfn.XLOOKUP($K877&amp;"",COMPUTER!$B$3:$B$1009&amp;"",COMPUTER!$H$3:$H$1009,""),"Display",_xlfn.XLOOKUP($K877&amp;"",DISPLAY!$B$3:$B$1000&amp;"",DISPLAY!$H$3:$H$1000,""),"Network Device",_xlfn.XLOOKUP($K877&amp;"",'NETWORK-DEVICES'!$B$3:$B$987&amp;"",'NETWORK-DEVICES'!$H$3:$H$987,""),"Peripheral",_xlfn.XLOOKUP($K877&amp;"",PERIPHERAL!$B$3:$B$954&amp;"",PERIPHERAL!$H$3:$H$954,""),"Utilities",_xlfn.XLOOKUP($K877&amp;"",UTILITIES!$B$3:$B$953&amp;"",UTILITIES!$G$3:$G$953,""),"IOT",_xlfn.XLOOKUP($K877&amp;"",IOT!$B$3:$B$1012&amp;"",IOT!$H$3:$H$1012,""),"Server",_xlfn.XLOOKUP($K877&amp;"",SERVER!$B$3:$B$1009&amp;"",SERVER!$H$3:$H$1009,""),""),IF(TRIM(_xlpm.srcCat)&lt;&gt;TRIM($J877),"",_xlfn.SWITCH($I877,"Computer",_xlfn.XLOOKUP($K877&amp;"",COMPUTER!$B$3:$B$1009&amp;"",COMPUTER!$AM$3:$AM$1009,""),"Display",_xlfn.XLOOKUP($K877&amp;"",DISPLAY!$B$3:$B$1000&amp;"",DISPLAY!$V$3:$V$1000,""),"Network Device",_xlfn.XLOOKUP($K877&amp;"",'NETWORK-DEVICES'!$B$3:$B$987&amp;"",'NETWORK-DEVICES'!$AF$3:$AF$987,""),"Peripheral",_xlfn.XLOOKUP($K877&amp;"",PERIPHERAL!$B$3:$B$954&amp;"",PERIPHERAL!$Y$3:$Y$954,""),"Utilities",_xlfn.XLOOKUP($K877&amp;"",UTILITIES!$B$3:$B$953&amp;"",UTILITIES!$O$3:$O$953,""),"IOT",_xlfn.XLOOKUP($K877&amp;"",IOT!$B$3:$B$1012&amp;"",IOT!$AB$3:$AB$1012,""),"Server",_xlfn.XLOOKUP($K877&amp;"",SERVER!$B$3:$B$1009&amp;"",SERVER!$AB$3:$AB$1009,""),""))))</f>
        <v/>
      </c>
      <c r="R877" s="43" t="str">
        <f>IF(tbl_handover[[#This Row],[Asset Code]]="","",COUNTIF(tbl_handover[Asset Code],tbl_handover[[#This Row],[Asset Code]]))</f>
        <v/>
      </c>
    </row>
    <row r="878" spans="1:18" x14ac:dyDescent="0.25">
      <c r="A878" s="43" t="str">
        <f>IF(B878&lt;&gt;"",SUBTOTAL(3,$B$1:B877),"")</f>
        <v/>
      </c>
      <c r="C878" s="74"/>
      <c r="D878" s="74"/>
      <c r="G878" s="1"/>
      <c r="K878" s="42"/>
      <c r="L878" t="str" cm="1">
        <f t="array" ref="L878">IF($K878="","",_xlfn.SWITCH($I878,"Computer",_xlfn.XLOOKUP($K878&amp;"",COMPUTER!$B$3:$B$1009&amp;"",COMPUTER!$I$3:$I$1009,""),"Display",_xlfn.XLOOKUP($K878&amp;"",DISPLAY!$B$3:$B$1000&amp;"",DISPLAY!$J$3:$J$1000,""),"Network Device",_xlfn.XLOOKUP($K878&amp;"",'NETWORK-DEVICES'!$B$3:$B$987&amp;"",'NETWORK-DEVICES'!$I$3:$I$987,""),"Peripheral",_xlfn.XLOOKUP($K878&amp;"",PERIPHERAL!$B$3:$B$954&amp;"",PERIPHERAL!$I$3:$I$954,""),"Utilities",_xlfn.XLOOKUP($K878&amp;"",UTILITIES!$B$3:$B$953&amp;"",UTILITIES!$H$3:$H$953,""),"IOT",_xlfn.XLOOKUP($K878&amp;"",IOT!$B$3:$B$1012&amp;"",IOT!$I$3:$I$1012,""),"SERVER",_xlfn.XLOOKUP($K878&amp;"",SERVER!$B$3:$B$1009&amp;"",SERVER!$I$3:$I$1009,""),""))</f>
        <v/>
      </c>
      <c r="M878" t="str" cm="1">
        <f t="array" ref="M878">IF($K878="","",_xlfn.SWITCH($I878,"Computer",_xlfn.XLOOKUP($K878&amp;"",COMPUTER!$B$3:$B$1009&amp;"",COMPUTER!$J$3:$J$1009,""),"Display",_xlfn.XLOOKUP($K878&amp;"",DISPLAY!$B$3:$B$1000&amp;"",DISPLAY!$K$3:$K$1000,""),"Network Device",_xlfn.XLOOKUP($K878&amp;"",'NETWORK-DEVICES'!$B$3:$B$987&amp;"",'NETWORK-DEVICES'!$I$3:$I$987,""),"Peripheral",_xlfn.XLOOKUP($K878&amp;"",PERIPHERAL!$B$3:$B$954&amp;"",PERIPHERAL!$J$3:$J$954,""),"Utilities",_xlfn.XLOOKUP($K878&amp;"",UTILITIES!$B$3:$B$953&amp;"",UTILITIES!$I$3:$I$953,""),"IOT",_xlfn.XLOOKUP($K878&amp;"",IOT!$B$3:$B$1012&amp;"",IOT!$J$3:$J$1012,""),"Server",_xlfn.XLOOKUP($K878&amp;"",SERVER!$B$3:$B$1009&amp;"",SERVER!$J$3:$J$1009,""),""))</f>
        <v/>
      </c>
      <c r="N878" s="1" t="str" cm="1">
        <f t="array" ref="N878">IF(OR($K878="",$I878="",$J878=""),"",_xlfn.LET(_xlpm.srcCat,_xlfn.SWITCH($I878,"Computer",_xlfn.XLOOKUP($K878&amp;"",COMPUTER!$B$3:$B$1009&amp;"",COMPUTER!$H$3:$H$1009,""),"Display",_xlfn.XLOOKUP($K878&amp;"",DISPLAY!$B$3:$B$1000&amp;"",DISPLAY!$H$3:$H$1000,""),"Network Device",_xlfn.XLOOKUP($K878&amp;"",'NETWORK-DEVICES'!$B$3:$B$987&amp;"",'NETWORK-DEVICES'!$H$3:$H$987,""),"Peripheral",_xlfn.XLOOKUP($K878&amp;"",PERIPHERAL!$B$3:$B$954&amp;"",PERIPHERAL!$H$3:$H$954,""),"Utilities",_xlfn.XLOOKUP($K878&amp;"",UTILITIES!$B$3:$B$953&amp;"",UTILITIES!$G$3:$G$953,""),"IOT",_xlfn.XLOOKUP($K878&amp;"",IOT!$B$3:$B$1012&amp;"",IOT!$H$3:$H$1012,""),"Server",_xlfn.XLOOKUP($K878&amp;"",SERVER!$B$3:$B$1009&amp;"",SERVER!$H$3:$H$1009,""),""),IF(TRIM(_xlpm.srcCat)&lt;&gt;TRIM($J878),"",_xlfn.SWITCH($I878,"Computer",_xlfn.XLOOKUP($K878&amp;"",COMPUTER!$B$3:$B$1009&amp;"",COMPUTER!$K$3:$K$1009,""),"Display",_xlfn.XLOOKUP($K878&amp;"",DISPLAY!$B$3:$B$1000&amp;"",DISPLAY!$L$3:$L$1000,""),"Network Device",_xlfn.XLOOKUP($K878&amp;"",'NETWORK-DEVICES'!$B$3:$B$987&amp;"",'NETWORK-DEVICES'!$K$3:$K$987,""),"Peripheral",_xlfn.XLOOKUP($K878&amp;"",PERIPHERAL!$B$3:$B$954&amp;"",PERIPHERAL!$K$3:$K$954,""),"Utilities",_xlfn.XLOOKUP($K878&amp;"",UTILITIES!$B$3:$B$953&amp;"",UTILITIES!$J$3:$J$953,""),"IOT",_xlfn.XLOOKUP($K878&amp;"",IOT!$B$3:$B$1012&amp;"",IOT!$K$4:$K$1012,""),"Server",_xlfn.XLOOKUP($K878&amp;"",SERVER!$B$3:$B$1009&amp;"",SERVER!$K$3:$K$1009,""),""))))</f>
        <v/>
      </c>
      <c r="O878" s="1" t="str" cm="1">
        <f t="array" ref="O878">IF(OR($K878="",$I878="",$J878=""),"",_xlfn.LET(_xlpm.srcCat,_xlfn.SWITCH($I878,"Computer",_xlfn.XLOOKUP($K878&amp;"",COMPUTER!$B$3:$B$1009&amp;"",COMPUTER!$H$3:$H$1009,""),"Display",_xlfn.XLOOKUP($K878&amp;"",DISPLAY!$B$3:$B$1000&amp;"",DISPLAY!$H$3:$H$1000,""),"Network Device",_xlfn.XLOOKUP($K878&amp;"",'NETWORK-DEVICES'!$B$3:$B$987&amp;"",'NETWORK-DEVICES'!$H$3:$H$987,""),"Peripheral",_xlfn.XLOOKUP($K878&amp;"",PERIPHERAL!$B$3:$B$954&amp;"",PERIPHERAL!$H$3:$H$954,""),"Utilities",_xlfn.XLOOKUP($K878&amp;"",UTILITIES!$B$3:$B$953&amp;"",UTILITIES!$G$3:$G$953,""),"IOT",_xlfn.XLOOKUP($K878&amp;"",IOT!$B$3:$B$1012&amp;"",IOT!$H$3:$H$1012,""),"Server",_xlfn.XLOOKUP($K878&amp;"",SERVER!$B$3:$B$1009&amp;"",SERVER!$H$3:$H$1009,""),""),IF(TRIM(_xlpm.srcCat)&lt;&gt;TRIM($J878),"",_xlfn.SWITCH($I878,"Computer",_xlfn.XLOOKUP($K878&amp;"",COMPUTER!$B$3:$B$1009&amp;"",COMPUTER!$E$3:$E$1009,""),"Display",_xlfn.XLOOKUP($K878&amp;"",DISPLAY!$B$3:$B$1000&amp;"",DISPLAY!$E$3:$E$1000,""),"Network Device",_xlfn.XLOOKUP($K878&amp;"",'NETWORK-DEVICES'!$B$3:$B$987&amp;"",'NETWORK-DEVICES'!$E$3:$E$987,""),"Peripheral",_xlfn.XLOOKUP($K878&amp;"",PERIPHERAL!$B$3:$B$954&amp;"",PERIPHERAL!$E$3:$E$954,""),"Utilities",_xlfn.XLOOKUP($K878&amp;"",UTILITIES!$B$3:$B$953&amp;"",UTILITIES!$E$3:$E$953,""),"IOT",_xlfn.XLOOKUP($K878&amp;"",IOT!$B$3:$B$1012&amp;"",IOT!$E$3:$E$1012,""),"Server",_xlfn.XLOOKUP($K878&amp;"",SERVER!$B$3:$B$1009&amp;"",SERVER!$E$3:$E$1009,""),""))))</f>
        <v/>
      </c>
      <c r="Q878" s="1" t="str" cm="1">
        <f t="array" ref="Q878">IF(OR($K878="",$I878="",$J878=""),"",_xlfn.LET(_xlpm.srcCat,_xlfn.SWITCH($I878,"Computer",_xlfn.XLOOKUP($K878&amp;"",COMPUTER!$B$3:$B$1009&amp;"",COMPUTER!$H$3:$H$1009,""),"Display",_xlfn.XLOOKUP($K878&amp;"",DISPLAY!$B$3:$B$1000&amp;"",DISPLAY!$H$3:$H$1000,""),"Network Device",_xlfn.XLOOKUP($K878&amp;"",'NETWORK-DEVICES'!$B$3:$B$987&amp;"",'NETWORK-DEVICES'!$H$3:$H$987,""),"Peripheral",_xlfn.XLOOKUP($K878&amp;"",PERIPHERAL!$B$3:$B$954&amp;"",PERIPHERAL!$H$3:$H$954,""),"Utilities",_xlfn.XLOOKUP($K878&amp;"",UTILITIES!$B$3:$B$953&amp;"",UTILITIES!$G$3:$G$953,""),"IOT",_xlfn.XLOOKUP($K878&amp;"",IOT!$B$3:$B$1012&amp;"",IOT!$H$3:$H$1012,""),"Server",_xlfn.XLOOKUP($K878&amp;"",SERVER!$B$3:$B$1009&amp;"",SERVER!$H$3:$H$1009,""),""),IF(TRIM(_xlpm.srcCat)&lt;&gt;TRIM($J878),"",_xlfn.SWITCH($I878,"Computer",_xlfn.XLOOKUP($K878&amp;"",COMPUTER!$B$3:$B$1009&amp;"",COMPUTER!$AM$3:$AM$1009,""),"Display",_xlfn.XLOOKUP($K878&amp;"",DISPLAY!$B$3:$B$1000&amp;"",DISPLAY!$V$3:$V$1000,""),"Network Device",_xlfn.XLOOKUP($K878&amp;"",'NETWORK-DEVICES'!$B$3:$B$987&amp;"",'NETWORK-DEVICES'!$AF$3:$AF$987,""),"Peripheral",_xlfn.XLOOKUP($K878&amp;"",PERIPHERAL!$B$3:$B$954&amp;"",PERIPHERAL!$Y$3:$Y$954,""),"Utilities",_xlfn.XLOOKUP($K878&amp;"",UTILITIES!$B$3:$B$953&amp;"",UTILITIES!$O$3:$O$953,""),"IOT",_xlfn.XLOOKUP($K878&amp;"",IOT!$B$3:$B$1012&amp;"",IOT!$AB$3:$AB$1012,""),"Server",_xlfn.XLOOKUP($K878&amp;"",SERVER!$B$3:$B$1009&amp;"",SERVER!$AB$3:$AB$1009,""),""))))</f>
        <v/>
      </c>
      <c r="R878" s="43" t="str">
        <f>IF(tbl_handover[[#This Row],[Asset Code]]="","",COUNTIF(tbl_handover[Asset Code],tbl_handover[[#This Row],[Asset Code]]))</f>
        <v/>
      </c>
    </row>
    <row r="879" spans="1:18" x14ac:dyDescent="0.25">
      <c r="A879" s="43" t="str">
        <f>IF(B879&lt;&gt;"",SUBTOTAL(3,$B$1:B878),"")</f>
        <v/>
      </c>
      <c r="C879" s="74"/>
      <c r="D879" s="74"/>
      <c r="G879" s="1"/>
      <c r="K879" s="42"/>
      <c r="L879" t="str" cm="1">
        <f t="array" ref="L879">IF($K879="","",_xlfn.SWITCH($I879,"Computer",_xlfn.XLOOKUP($K879&amp;"",COMPUTER!$B$3:$B$1009&amp;"",COMPUTER!$I$3:$I$1009,""),"Display",_xlfn.XLOOKUP($K879&amp;"",DISPLAY!$B$3:$B$1000&amp;"",DISPLAY!$J$3:$J$1000,""),"Network Device",_xlfn.XLOOKUP($K879&amp;"",'NETWORK-DEVICES'!$B$3:$B$987&amp;"",'NETWORK-DEVICES'!$I$3:$I$987,""),"Peripheral",_xlfn.XLOOKUP($K879&amp;"",PERIPHERAL!$B$3:$B$954&amp;"",PERIPHERAL!$I$3:$I$954,""),"Utilities",_xlfn.XLOOKUP($K879&amp;"",UTILITIES!$B$3:$B$953&amp;"",UTILITIES!$H$3:$H$953,""),"IOT",_xlfn.XLOOKUP($K879&amp;"",IOT!$B$3:$B$1012&amp;"",IOT!$I$3:$I$1012,""),"SERVER",_xlfn.XLOOKUP($K879&amp;"",SERVER!$B$3:$B$1009&amp;"",SERVER!$I$3:$I$1009,""),""))</f>
        <v/>
      </c>
      <c r="M879" t="str" cm="1">
        <f t="array" ref="M879">IF($K879="","",_xlfn.SWITCH($I879,"Computer",_xlfn.XLOOKUP($K879&amp;"",COMPUTER!$B$3:$B$1009&amp;"",COMPUTER!$J$3:$J$1009,""),"Display",_xlfn.XLOOKUP($K879&amp;"",DISPLAY!$B$3:$B$1000&amp;"",DISPLAY!$K$3:$K$1000,""),"Network Device",_xlfn.XLOOKUP($K879&amp;"",'NETWORK-DEVICES'!$B$3:$B$987&amp;"",'NETWORK-DEVICES'!$I$3:$I$987,""),"Peripheral",_xlfn.XLOOKUP($K879&amp;"",PERIPHERAL!$B$3:$B$954&amp;"",PERIPHERAL!$J$3:$J$954,""),"Utilities",_xlfn.XLOOKUP($K879&amp;"",UTILITIES!$B$3:$B$953&amp;"",UTILITIES!$I$3:$I$953,""),"IOT",_xlfn.XLOOKUP($K879&amp;"",IOT!$B$3:$B$1012&amp;"",IOT!$J$3:$J$1012,""),"Server",_xlfn.XLOOKUP($K879&amp;"",SERVER!$B$3:$B$1009&amp;"",SERVER!$J$3:$J$1009,""),""))</f>
        <v/>
      </c>
      <c r="N879" s="1" t="str" cm="1">
        <f t="array" ref="N879">IF(OR($K879="",$I879="",$J879=""),"",_xlfn.LET(_xlpm.srcCat,_xlfn.SWITCH($I879,"Computer",_xlfn.XLOOKUP($K879&amp;"",COMPUTER!$B$3:$B$1009&amp;"",COMPUTER!$H$3:$H$1009,""),"Display",_xlfn.XLOOKUP($K879&amp;"",DISPLAY!$B$3:$B$1000&amp;"",DISPLAY!$H$3:$H$1000,""),"Network Device",_xlfn.XLOOKUP($K879&amp;"",'NETWORK-DEVICES'!$B$3:$B$987&amp;"",'NETWORK-DEVICES'!$H$3:$H$987,""),"Peripheral",_xlfn.XLOOKUP($K879&amp;"",PERIPHERAL!$B$3:$B$954&amp;"",PERIPHERAL!$H$3:$H$954,""),"Utilities",_xlfn.XLOOKUP($K879&amp;"",UTILITIES!$B$3:$B$953&amp;"",UTILITIES!$G$3:$G$953,""),"IOT",_xlfn.XLOOKUP($K879&amp;"",IOT!$B$3:$B$1012&amp;"",IOT!$H$3:$H$1012,""),"Server",_xlfn.XLOOKUP($K879&amp;"",SERVER!$B$3:$B$1009&amp;"",SERVER!$H$3:$H$1009,""),""),IF(TRIM(_xlpm.srcCat)&lt;&gt;TRIM($J879),"",_xlfn.SWITCH($I879,"Computer",_xlfn.XLOOKUP($K879&amp;"",COMPUTER!$B$3:$B$1009&amp;"",COMPUTER!$K$3:$K$1009,""),"Display",_xlfn.XLOOKUP($K879&amp;"",DISPLAY!$B$3:$B$1000&amp;"",DISPLAY!$L$3:$L$1000,""),"Network Device",_xlfn.XLOOKUP($K879&amp;"",'NETWORK-DEVICES'!$B$3:$B$987&amp;"",'NETWORK-DEVICES'!$K$3:$K$987,""),"Peripheral",_xlfn.XLOOKUP($K879&amp;"",PERIPHERAL!$B$3:$B$954&amp;"",PERIPHERAL!$K$3:$K$954,""),"Utilities",_xlfn.XLOOKUP($K879&amp;"",UTILITIES!$B$3:$B$953&amp;"",UTILITIES!$J$3:$J$953,""),"IOT",_xlfn.XLOOKUP($K879&amp;"",IOT!$B$3:$B$1012&amp;"",IOT!$K$4:$K$1012,""),"Server",_xlfn.XLOOKUP($K879&amp;"",SERVER!$B$3:$B$1009&amp;"",SERVER!$K$3:$K$1009,""),""))))</f>
        <v/>
      </c>
      <c r="O879" s="1" t="str" cm="1">
        <f t="array" ref="O879">IF(OR($K879="",$I879="",$J879=""),"",_xlfn.LET(_xlpm.srcCat,_xlfn.SWITCH($I879,"Computer",_xlfn.XLOOKUP($K879&amp;"",COMPUTER!$B$3:$B$1009&amp;"",COMPUTER!$H$3:$H$1009,""),"Display",_xlfn.XLOOKUP($K879&amp;"",DISPLAY!$B$3:$B$1000&amp;"",DISPLAY!$H$3:$H$1000,""),"Network Device",_xlfn.XLOOKUP($K879&amp;"",'NETWORK-DEVICES'!$B$3:$B$987&amp;"",'NETWORK-DEVICES'!$H$3:$H$987,""),"Peripheral",_xlfn.XLOOKUP($K879&amp;"",PERIPHERAL!$B$3:$B$954&amp;"",PERIPHERAL!$H$3:$H$954,""),"Utilities",_xlfn.XLOOKUP($K879&amp;"",UTILITIES!$B$3:$B$953&amp;"",UTILITIES!$G$3:$G$953,""),"IOT",_xlfn.XLOOKUP($K879&amp;"",IOT!$B$3:$B$1012&amp;"",IOT!$H$3:$H$1012,""),"Server",_xlfn.XLOOKUP($K879&amp;"",SERVER!$B$3:$B$1009&amp;"",SERVER!$H$3:$H$1009,""),""),IF(TRIM(_xlpm.srcCat)&lt;&gt;TRIM($J879),"",_xlfn.SWITCH($I879,"Computer",_xlfn.XLOOKUP($K879&amp;"",COMPUTER!$B$3:$B$1009&amp;"",COMPUTER!$E$3:$E$1009,""),"Display",_xlfn.XLOOKUP($K879&amp;"",DISPLAY!$B$3:$B$1000&amp;"",DISPLAY!$E$3:$E$1000,""),"Network Device",_xlfn.XLOOKUP($K879&amp;"",'NETWORK-DEVICES'!$B$3:$B$987&amp;"",'NETWORK-DEVICES'!$E$3:$E$987,""),"Peripheral",_xlfn.XLOOKUP($K879&amp;"",PERIPHERAL!$B$3:$B$954&amp;"",PERIPHERAL!$E$3:$E$954,""),"Utilities",_xlfn.XLOOKUP($K879&amp;"",UTILITIES!$B$3:$B$953&amp;"",UTILITIES!$E$3:$E$953,""),"IOT",_xlfn.XLOOKUP($K879&amp;"",IOT!$B$3:$B$1012&amp;"",IOT!$E$3:$E$1012,""),"Server",_xlfn.XLOOKUP($K879&amp;"",SERVER!$B$3:$B$1009&amp;"",SERVER!$E$3:$E$1009,""),""))))</f>
        <v/>
      </c>
      <c r="Q879" s="1" t="str" cm="1">
        <f t="array" ref="Q879">IF(OR($K879="",$I879="",$J879=""),"",_xlfn.LET(_xlpm.srcCat,_xlfn.SWITCH($I879,"Computer",_xlfn.XLOOKUP($K879&amp;"",COMPUTER!$B$3:$B$1009&amp;"",COMPUTER!$H$3:$H$1009,""),"Display",_xlfn.XLOOKUP($K879&amp;"",DISPLAY!$B$3:$B$1000&amp;"",DISPLAY!$H$3:$H$1000,""),"Network Device",_xlfn.XLOOKUP($K879&amp;"",'NETWORK-DEVICES'!$B$3:$B$987&amp;"",'NETWORK-DEVICES'!$H$3:$H$987,""),"Peripheral",_xlfn.XLOOKUP($K879&amp;"",PERIPHERAL!$B$3:$B$954&amp;"",PERIPHERAL!$H$3:$H$954,""),"Utilities",_xlfn.XLOOKUP($K879&amp;"",UTILITIES!$B$3:$B$953&amp;"",UTILITIES!$G$3:$G$953,""),"IOT",_xlfn.XLOOKUP($K879&amp;"",IOT!$B$3:$B$1012&amp;"",IOT!$H$3:$H$1012,""),"Server",_xlfn.XLOOKUP($K879&amp;"",SERVER!$B$3:$B$1009&amp;"",SERVER!$H$3:$H$1009,""),""),IF(TRIM(_xlpm.srcCat)&lt;&gt;TRIM($J879),"",_xlfn.SWITCH($I879,"Computer",_xlfn.XLOOKUP($K879&amp;"",COMPUTER!$B$3:$B$1009&amp;"",COMPUTER!$AM$3:$AM$1009,""),"Display",_xlfn.XLOOKUP($K879&amp;"",DISPLAY!$B$3:$B$1000&amp;"",DISPLAY!$V$3:$V$1000,""),"Network Device",_xlfn.XLOOKUP($K879&amp;"",'NETWORK-DEVICES'!$B$3:$B$987&amp;"",'NETWORK-DEVICES'!$AF$3:$AF$987,""),"Peripheral",_xlfn.XLOOKUP($K879&amp;"",PERIPHERAL!$B$3:$B$954&amp;"",PERIPHERAL!$Y$3:$Y$954,""),"Utilities",_xlfn.XLOOKUP($K879&amp;"",UTILITIES!$B$3:$B$953&amp;"",UTILITIES!$O$3:$O$953,""),"IOT",_xlfn.XLOOKUP($K879&amp;"",IOT!$B$3:$B$1012&amp;"",IOT!$AB$3:$AB$1012,""),"Server",_xlfn.XLOOKUP($K879&amp;"",SERVER!$B$3:$B$1009&amp;"",SERVER!$AB$3:$AB$1009,""),""))))</f>
        <v/>
      </c>
      <c r="R879" s="43" t="str">
        <f>IF(tbl_handover[[#This Row],[Asset Code]]="","",COUNTIF(tbl_handover[Asset Code],tbl_handover[[#This Row],[Asset Code]]))</f>
        <v/>
      </c>
    </row>
    <row r="880" spans="1:18" x14ac:dyDescent="0.25">
      <c r="A880" s="43" t="str">
        <f>IF(B880&lt;&gt;"",SUBTOTAL(3,$B$1:B879),"")</f>
        <v/>
      </c>
      <c r="C880" s="74"/>
      <c r="D880" s="74"/>
      <c r="G880" s="1"/>
      <c r="K880" s="42"/>
      <c r="L880" t="str" cm="1">
        <f t="array" ref="L880">IF($K880="","",_xlfn.SWITCH($I880,"Computer",_xlfn.XLOOKUP($K880&amp;"",COMPUTER!$B$3:$B$1009&amp;"",COMPUTER!$I$3:$I$1009,""),"Display",_xlfn.XLOOKUP($K880&amp;"",DISPLAY!$B$3:$B$1000&amp;"",DISPLAY!$J$3:$J$1000,""),"Network Device",_xlfn.XLOOKUP($K880&amp;"",'NETWORK-DEVICES'!$B$3:$B$987&amp;"",'NETWORK-DEVICES'!$I$3:$I$987,""),"Peripheral",_xlfn.XLOOKUP($K880&amp;"",PERIPHERAL!$B$3:$B$954&amp;"",PERIPHERAL!$I$3:$I$954,""),"Utilities",_xlfn.XLOOKUP($K880&amp;"",UTILITIES!$B$3:$B$953&amp;"",UTILITIES!$H$3:$H$953,""),"IOT",_xlfn.XLOOKUP($K880&amp;"",IOT!$B$3:$B$1012&amp;"",IOT!$I$3:$I$1012,""),"SERVER",_xlfn.XLOOKUP($K880&amp;"",SERVER!$B$3:$B$1009&amp;"",SERVER!$I$3:$I$1009,""),""))</f>
        <v/>
      </c>
      <c r="M880" t="str" cm="1">
        <f t="array" ref="M880">IF($K880="","",_xlfn.SWITCH($I880,"Computer",_xlfn.XLOOKUP($K880&amp;"",COMPUTER!$B$3:$B$1009&amp;"",COMPUTER!$J$3:$J$1009,""),"Display",_xlfn.XLOOKUP($K880&amp;"",DISPLAY!$B$3:$B$1000&amp;"",DISPLAY!$K$3:$K$1000,""),"Network Device",_xlfn.XLOOKUP($K880&amp;"",'NETWORK-DEVICES'!$B$3:$B$987&amp;"",'NETWORK-DEVICES'!$I$3:$I$987,""),"Peripheral",_xlfn.XLOOKUP($K880&amp;"",PERIPHERAL!$B$3:$B$954&amp;"",PERIPHERAL!$J$3:$J$954,""),"Utilities",_xlfn.XLOOKUP($K880&amp;"",UTILITIES!$B$3:$B$953&amp;"",UTILITIES!$I$3:$I$953,""),"IOT",_xlfn.XLOOKUP($K880&amp;"",IOT!$B$3:$B$1012&amp;"",IOT!$J$3:$J$1012,""),"Server",_xlfn.XLOOKUP($K880&amp;"",SERVER!$B$3:$B$1009&amp;"",SERVER!$J$3:$J$1009,""),""))</f>
        <v/>
      </c>
      <c r="N880" s="1" t="str" cm="1">
        <f t="array" ref="N880">IF(OR($K880="",$I880="",$J880=""),"",_xlfn.LET(_xlpm.srcCat,_xlfn.SWITCH($I880,"Computer",_xlfn.XLOOKUP($K880&amp;"",COMPUTER!$B$3:$B$1009&amp;"",COMPUTER!$H$3:$H$1009,""),"Display",_xlfn.XLOOKUP($K880&amp;"",DISPLAY!$B$3:$B$1000&amp;"",DISPLAY!$H$3:$H$1000,""),"Network Device",_xlfn.XLOOKUP($K880&amp;"",'NETWORK-DEVICES'!$B$3:$B$987&amp;"",'NETWORK-DEVICES'!$H$3:$H$987,""),"Peripheral",_xlfn.XLOOKUP($K880&amp;"",PERIPHERAL!$B$3:$B$954&amp;"",PERIPHERAL!$H$3:$H$954,""),"Utilities",_xlfn.XLOOKUP($K880&amp;"",UTILITIES!$B$3:$B$953&amp;"",UTILITIES!$G$3:$G$953,""),"IOT",_xlfn.XLOOKUP($K880&amp;"",IOT!$B$3:$B$1012&amp;"",IOT!$H$3:$H$1012,""),"Server",_xlfn.XLOOKUP($K880&amp;"",SERVER!$B$3:$B$1009&amp;"",SERVER!$H$3:$H$1009,""),""),IF(TRIM(_xlpm.srcCat)&lt;&gt;TRIM($J880),"",_xlfn.SWITCH($I880,"Computer",_xlfn.XLOOKUP($K880&amp;"",COMPUTER!$B$3:$B$1009&amp;"",COMPUTER!$K$3:$K$1009,""),"Display",_xlfn.XLOOKUP($K880&amp;"",DISPLAY!$B$3:$B$1000&amp;"",DISPLAY!$L$3:$L$1000,""),"Network Device",_xlfn.XLOOKUP($K880&amp;"",'NETWORK-DEVICES'!$B$3:$B$987&amp;"",'NETWORK-DEVICES'!$K$3:$K$987,""),"Peripheral",_xlfn.XLOOKUP($K880&amp;"",PERIPHERAL!$B$3:$B$954&amp;"",PERIPHERAL!$K$3:$K$954,""),"Utilities",_xlfn.XLOOKUP($K880&amp;"",UTILITIES!$B$3:$B$953&amp;"",UTILITIES!$J$3:$J$953,""),"IOT",_xlfn.XLOOKUP($K880&amp;"",IOT!$B$3:$B$1012&amp;"",IOT!$K$4:$K$1012,""),"Server",_xlfn.XLOOKUP($K880&amp;"",SERVER!$B$3:$B$1009&amp;"",SERVER!$K$3:$K$1009,""),""))))</f>
        <v/>
      </c>
      <c r="O880" s="1" t="str" cm="1">
        <f t="array" ref="O880">IF(OR($K880="",$I880="",$J880=""),"",_xlfn.LET(_xlpm.srcCat,_xlfn.SWITCH($I880,"Computer",_xlfn.XLOOKUP($K880&amp;"",COMPUTER!$B$3:$B$1009&amp;"",COMPUTER!$H$3:$H$1009,""),"Display",_xlfn.XLOOKUP($K880&amp;"",DISPLAY!$B$3:$B$1000&amp;"",DISPLAY!$H$3:$H$1000,""),"Network Device",_xlfn.XLOOKUP($K880&amp;"",'NETWORK-DEVICES'!$B$3:$B$987&amp;"",'NETWORK-DEVICES'!$H$3:$H$987,""),"Peripheral",_xlfn.XLOOKUP($K880&amp;"",PERIPHERAL!$B$3:$B$954&amp;"",PERIPHERAL!$H$3:$H$954,""),"Utilities",_xlfn.XLOOKUP($K880&amp;"",UTILITIES!$B$3:$B$953&amp;"",UTILITIES!$G$3:$G$953,""),"IOT",_xlfn.XLOOKUP($K880&amp;"",IOT!$B$3:$B$1012&amp;"",IOT!$H$3:$H$1012,""),"Server",_xlfn.XLOOKUP($K880&amp;"",SERVER!$B$3:$B$1009&amp;"",SERVER!$H$3:$H$1009,""),""),IF(TRIM(_xlpm.srcCat)&lt;&gt;TRIM($J880),"",_xlfn.SWITCH($I880,"Computer",_xlfn.XLOOKUP($K880&amp;"",COMPUTER!$B$3:$B$1009&amp;"",COMPUTER!$E$3:$E$1009,""),"Display",_xlfn.XLOOKUP($K880&amp;"",DISPLAY!$B$3:$B$1000&amp;"",DISPLAY!$E$3:$E$1000,""),"Network Device",_xlfn.XLOOKUP($K880&amp;"",'NETWORK-DEVICES'!$B$3:$B$987&amp;"",'NETWORK-DEVICES'!$E$3:$E$987,""),"Peripheral",_xlfn.XLOOKUP($K880&amp;"",PERIPHERAL!$B$3:$B$954&amp;"",PERIPHERAL!$E$3:$E$954,""),"Utilities",_xlfn.XLOOKUP($K880&amp;"",UTILITIES!$B$3:$B$953&amp;"",UTILITIES!$E$3:$E$953,""),"IOT",_xlfn.XLOOKUP($K880&amp;"",IOT!$B$3:$B$1012&amp;"",IOT!$E$3:$E$1012,""),"Server",_xlfn.XLOOKUP($K880&amp;"",SERVER!$B$3:$B$1009&amp;"",SERVER!$E$3:$E$1009,""),""))))</f>
        <v/>
      </c>
      <c r="Q880" s="1" t="str" cm="1">
        <f t="array" ref="Q880">IF(OR($K880="",$I880="",$J880=""),"",_xlfn.LET(_xlpm.srcCat,_xlfn.SWITCH($I880,"Computer",_xlfn.XLOOKUP($K880&amp;"",COMPUTER!$B$3:$B$1009&amp;"",COMPUTER!$H$3:$H$1009,""),"Display",_xlfn.XLOOKUP($K880&amp;"",DISPLAY!$B$3:$B$1000&amp;"",DISPLAY!$H$3:$H$1000,""),"Network Device",_xlfn.XLOOKUP($K880&amp;"",'NETWORK-DEVICES'!$B$3:$B$987&amp;"",'NETWORK-DEVICES'!$H$3:$H$987,""),"Peripheral",_xlfn.XLOOKUP($K880&amp;"",PERIPHERAL!$B$3:$B$954&amp;"",PERIPHERAL!$H$3:$H$954,""),"Utilities",_xlfn.XLOOKUP($K880&amp;"",UTILITIES!$B$3:$B$953&amp;"",UTILITIES!$G$3:$G$953,""),"IOT",_xlfn.XLOOKUP($K880&amp;"",IOT!$B$3:$B$1012&amp;"",IOT!$H$3:$H$1012,""),"Server",_xlfn.XLOOKUP($K880&amp;"",SERVER!$B$3:$B$1009&amp;"",SERVER!$H$3:$H$1009,""),""),IF(TRIM(_xlpm.srcCat)&lt;&gt;TRIM($J880),"",_xlfn.SWITCH($I880,"Computer",_xlfn.XLOOKUP($K880&amp;"",COMPUTER!$B$3:$B$1009&amp;"",COMPUTER!$AM$3:$AM$1009,""),"Display",_xlfn.XLOOKUP($K880&amp;"",DISPLAY!$B$3:$B$1000&amp;"",DISPLAY!$V$3:$V$1000,""),"Network Device",_xlfn.XLOOKUP($K880&amp;"",'NETWORK-DEVICES'!$B$3:$B$987&amp;"",'NETWORK-DEVICES'!$AF$3:$AF$987,""),"Peripheral",_xlfn.XLOOKUP($K880&amp;"",PERIPHERAL!$B$3:$B$954&amp;"",PERIPHERAL!$Y$3:$Y$954,""),"Utilities",_xlfn.XLOOKUP($K880&amp;"",UTILITIES!$B$3:$B$953&amp;"",UTILITIES!$O$3:$O$953,""),"IOT",_xlfn.XLOOKUP($K880&amp;"",IOT!$B$3:$B$1012&amp;"",IOT!$AB$3:$AB$1012,""),"Server",_xlfn.XLOOKUP($K880&amp;"",SERVER!$B$3:$B$1009&amp;"",SERVER!$AB$3:$AB$1009,""),""))))</f>
        <v/>
      </c>
      <c r="R880" s="43" t="str">
        <f>IF(tbl_handover[[#This Row],[Asset Code]]="","",COUNTIF(tbl_handover[Asset Code],tbl_handover[[#This Row],[Asset Code]]))</f>
        <v/>
      </c>
    </row>
    <row r="881" spans="1:18" x14ac:dyDescent="0.25">
      <c r="A881" s="43" t="str">
        <f>IF(B881&lt;&gt;"",SUBTOTAL(3,$B$1:B880),"")</f>
        <v/>
      </c>
      <c r="C881" s="74"/>
      <c r="D881" s="74"/>
      <c r="G881" s="1"/>
      <c r="K881" s="42"/>
      <c r="L881" t="str" cm="1">
        <f t="array" ref="L881">IF($K881="","",_xlfn.SWITCH($I881,"Computer",_xlfn.XLOOKUP($K881&amp;"",COMPUTER!$B$3:$B$1009&amp;"",COMPUTER!$I$3:$I$1009,""),"Display",_xlfn.XLOOKUP($K881&amp;"",DISPLAY!$B$3:$B$1000&amp;"",DISPLAY!$J$3:$J$1000,""),"Network Device",_xlfn.XLOOKUP($K881&amp;"",'NETWORK-DEVICES'!$B$3:$B$987&amp;"",'NETWORK-DEVICES'!$I$3:$I$987,""),"Peripheral",_xlfn.XLOOKUP($K881&amp;"",PERIPHERAL!$B$3:$B$954&amp;"",PERIPHERAL!$I$3:$I$954,""),"Utilities",_xlfn.XLOOKUP($K881&amp;"",UTILITIES!$B$3:$B$953&amp;"",UTILITIES!$H$3:$H$953,""),"IOT",_xlfn.XLOOKUP($K881&amp;"",IOT!$B$3:$B$1012&amp;"",IOT!$I$3:$I$1012,""),"SERVER",_xlfn.XLOOKUP($K881&amp;"",SERVER!$B$3:$B$1009&amp;"",SERVER!$I$3:$I$1009,""),""))</f>
        <v/>
      </c>
      <c r="M881" t="str" cm="1">
        <f t="array" ref="M881">IF($K881="","",_xlfn.SWITCH($I881,"Computer",_xlfn.XLOOKUP($K881&amp;"",COMPUTER!$B$3:$B$1009&amp;"",COMPUTER!$J$3:$J$1009,""),"Display",_xlfn.XLOOKUP($K881&amp;"",DISPLAY!$B$3:$B$1000&amp;"",DISPLAY!$K$3:$K$1000,""),"Network Device",_xlfn.XLOOKUP($K881&amp;"",'NETWORK-DEVICES'!$B$3:$B$987&amp;"",'NETWORK-DEVICES'!$I$3:$I$987,""),"Peripheral",_xlfn.XLOOKUP($K881&amp;"",PERIPHERAL!$B$3:$B$954&amp;"",PERIPHERAL!$J$3:$J$954,""),"Utilities",_xlfn.XLOOKUP($K881&amp;"",UTILITIES!$B$3:$B$953&amp;"",UTILITIES!$I$3:$I$953,""),"IOT",_xlfn.XLOOKUP($K881&amp;"",IOT!$B$3:$B$1012&amp;"",IOT!$J$3:$J$1012,""),"Server",_xlfn.XLOOKUP($K881&amp;"",SERVER!$B$3:$B$1009&amp;"",SERVER!$J$3:$J$1009,""),""))</f>
        <v/>
      </c>
      <c r="N881" s="1" t="str" cm="1">
        <f t="array" ref="N881">IF(OR($K881="",$I881="",$J881=""),"",_xlfn.LET(_xlpm.srcCat,_xlfn.SWITCH($I881,"Computer",_xlfn.XLOOKUP($K881&amp;"",COMPUTER!$B$3:$B$1009&amp;"",COMPUTER!$H$3:$H$1009,""),"Display",_xlfn.XLOOKUP($K881&amp;"",DISPLAY!$B$3:$B$1000&amp;"",DISPLAY!$H$3:$H$1000,""),"Network Device",_xlfn.XLOOKUP($K881&amp;"",'NETWORK-DEVICES'!$B$3:$B$987&amp;"",'NETWORK-DEVICES'!$H$3:$H$987,""),"Peripheral",_xlfn.XLOOKUP($K881&amp;"",PERIPHERAL!$B$3:$B$954&amp;"",PERIPHERAL!$H$3:$H$954,""),"Utilities",_xlfn.XLOOKUP($K881&amp;"",UTILITIES!$B$3:$B$953&amp;"",UTILITIES!$G$3:$G$953,""),"IOT",_xlfn.XLOOKUP($K881&amp;"",IOT!$B$3:$B$1012&amp;"",IOT!$H$3:$H$1012,""),"Server",_xlfn.XLOOKUP($K881&amp;"",SERVER!$B$3:$B$1009&amp;"",SERVER!$H$3:$H$1009,""),""),IF(TRIM(_xlpm.srcCat)&lt;&gt;TRIM($J881),"",_xlfn.SWITCH($I881,"Computer",_xlfn.XLOOKUP($K881&amp;"",COMPUTER!$B$3:$B$1009&amp;"",COMPUTER!$K$3:$K$1009,""),"Display",_xlfn.XLOOKUP($K881&amp;"",DISPLAY!$B$3:$B$1000&amp;"",DISPLAY!$L$3:$L$1000,""),"Network Device",_xlfn.XLOOKUP($K881&amp;"",'NETWORK-DEVICES'!$B$3:$B$987&amp;"",'NETWORK-DEVICES'!$K$3:$K$987,""),"Peripheral",_xlfn.XLOOKUP($K881&amp;"",PERIPHERAL!$B$3:$B$954&amp;"",PERIPHERAL!$K$3:$K$954,""),"Utilities",_xlfn.XLOOKUP($K881&amp;"",UTILITIES!$B$3:$B$953&amp;"",UTILITIES!$J$3:$J$953,""),"IOT",_xlfn.XLOOKUP($K881&amp;"",IOT!$B$3:$B$1012&amp;"",IOT!$K$4:$K$1012,""),"Server",_xlfn.XLOOKUP($K881&amp;"",SERVER!$B$3:$B$1009&amp;"",SERVER!$K$3:$K$1009,""),""))))</f>
        <v/>
      </c>
      <c r="O881" s="1" t="str" cm="1">
        <f t="array" ref="O881">IF(OR($K881="",$I881="",$J881=""),"",_xlfn.LET(_xlpm.srcCat,_xlfn.SWITCH($I881,"Computer",_xlfn.XLOOKUP($K881&amp;"",COMPUTER!$B$3:$B$1009&amp;"",COMPUTER!$H$3:$H$1009,""),"Display",_xlfn.XLOOKUP($K881&amp;"",DISPLAY!$B$3:$B$1000&amp;"",DISPLAY!$H$3:$H$1000,""),"Network Device",_xlfn.XLOOKUP($K881&amp;"",'NETWORK-DEVICES'!$B$3:$B$987&amp;"",'NETWORK-DEVICES'!$H$3:$H$987,""),"Peripheral",_xlfn.XLOOKUP($K881&amp;"",PERIPHERAL!$B$3:$B$954&amp;"",PERIPHERAL!$H$3:$H$954,""),"Utilities",_xlfn.XLOOKUP($K881&amp;"",UTILITIES!$B$3:$B$953&amp;"",UTILITIES!$G$3:$G$953,""),"IOT",_xlfn.XLOOKUP($K881&amp;"",IOT!$B$3:$B$1012&amp;"",IOT!$H$3:$H$1012,""),"Server",_xlfn.XLOOKUP($K881&amp;"",SERVER!$B$3:$B$1009&amp;"",SERVER!$H$3:$H$1009,""),""),IF(TRIM(_xlpm.srcCat)&lt;&gt;TRIM($J881),"",_xlfn.SWITCH($I881,"Computer",_xlfn.XLOOKUP($K881&amp;"",COMPUTER!$B$3:$B$1009&amp;"",COMPUTER!$E$3:$E$1009,""),"Display",_xlfn.XLOOKUP($K881&amp;"",DISPLAY!$B$3:$B$1000&amp;"",DISPLAY!$E$3:$E$1000,""),"Network Device",_xlfn.XLOOKUP($K881&amp;"",'NETWORK-DEVICES'!$B$3:$B$987&amp;"",'NETWORK-DEVICES'!$E$3:$E$987,""),"Peripheral",_xlfn.XLOOKUP($K881&amp;"",PERIPHERAL!$B$3:$B$954&amp;"",PERIPHERAL!$E$3:$E$954,""),"Utilities",_xlfn.XLOOKUP($K881&amp;"",UTILITIES!$B$3:$B$953&amp;"",UTILITIES!$E$3:$E$953,""),"IOT",_xlfn.XLOOKUP($K881&amp;"",IOT!$B$3:$B$1012&amp;"",IOT!$E$3:$E$1012,""),"Server",_xlfn.XLOOKUP($K881&amp;"",SERVER!$B$3:$B$1009&amp;"",SERVER!$E$3:$E$1009,""),""))))</f>
        <v/>
      </c>
      <c r="Q881" s="1" t="str" cm="1">
        <f t="array" ref="Q881">IF(OR($K881="",$I881="",$J881=""),"",_xlfn.LET(_xlpm.srcCat,_xlfn.SWITCH($I881,"Computer",_xlfn.XLOOKUP($K881&amp;"",COMPUTER!$B$3:$B$1009&amp;"",COMPUTER!$H$3:$H$1009,""),"Display",_xlfn.XLOOKUP($K881&amp;"",DISPLAY!$B$3:$B$1000&amp;"",DISPLAY!$H$3:$H$1000,""),"Network Device",_xlfn.XLOOKUP($K881&amp;"",'NETWORK-DEVICES'!$B$3:$B$987&amp;"",'NETWORK-DEVICES'!$H$3:$H$987,""),"Peripheral",_xlfn.XLOOKUP($K881&amp;"",PERIPHERAL!$B$3:$B$954&amp;"",PERIPHERAL!$H$3:$H$954,""),"Utilities",_xlfn.XLOOKUP($K881&amp;"",UTILITIES!$B$3:$B$953&amp;"",UTILITIES!$G$3:$G$953,""),"IOT",_xlfn.XLOOKUP($K881&amp;"",IOT!$B$3:$B$1012&amp;"",IOT!$H$3:$H$1012,""),"Server",_xlfn.XLOOKUP($K881&amp;"",SERVER!$B$3:$B$1009&amp;"",SERVER!$H$3:$H$1009,""),""),IF(TRIM(_xlpm.srcCat)&lt;&gt;TRIM($J881),"",_xlfn.SWITCH($I881,"Computer",_xlfn.XLOOKUP($K881&amp;"",COMPUTER!$B$3:$B$1009&amp;"",COMPUTER!$AM$3:$AM$1009,""),"Display",_xlfn.XLOOKUP($K881&amp;"",DISPLAY!$B$3:$B$1000&amp;"",DISPLAY!$V$3:$V$1000,""),"Network Device",_xlfn.XLOOKUP($K881&amp;"",'NETWORK-DEVICES'!$B$3:$B$987&amp;"",'NETWORK-DEVICES'!$AF$3:$AF$987,""),"Peripheral",_xlfn.XLOOKUP($K881&amp;"",PERIPHERAL!$B$3:$B$954&amp;"",PERIPHERAL!$Y$3:$Y$954,""),"Utilities",_xlfn.XLOOKUP($K881&amp;"",UTILITIES!$B$3:$B$953&amp;"",UTILITIES!$O$3:$O$953,""),"IOT",_xlfn.XLOOKUP($K881&amp;"",IOT!$B$3:$B$1012&amp;"",IOT!$AB$3:$AB$1012,""),"Server",_xlfn.XLOOKUP($K881&amp;"",SERVER!$B$3:$B$1009&amp;"",SERVER!$AB$3:$AB$1009,""),""))))</f>
        <v/>
      </c>
      <c r="R881" s="43" t="str">
        <f>IF(tbl_handover[[#This Row],[Asset Code]]="","",COUNTIF(tbl_handover[Asset Code],tbl_handover[[#This Row],[Asset Code]]))</f>
        <v/>
      </c>
    </row>
    <row r="882" spans="1:18" x14ac:dyDescent="0.25">
      <c r="A882" s="43" t="str">
        <f>IF(B882&lt;&gt;"",SUBTOTAL(3,$B$1:B881),"")</f>
        <v/>
      </c>
      <c r="C882" s="74"/>
      <c r="D882" s="74"/>
      <c r="G882" s="1"/>
      <c r="K882" s="42"/>
      <c r="L882" t="str" cm="1">
        <f t="array" ref="L882">IF($K882="","",_xlfn.SWITCH($I882,"Computer",_xlfn.XLOOKUP($K882&amp;"",COMPUTER!$B$3:$B$1009&amp;"",COMPUTER!$I$3:$I$1009,""),"Display",_xlfn.XLOOKUP($K882&amp;"",DISPLAY!$B$3:$B$1000&amp;"",DISPLAY!$J$3:$J$1000,""),"Network Device",_xlfn.XLOOKUP($K882&amp;"",'NETWORK-DEVICES'!$B$3:$B$987&amp;"",'NETWORK-DEVICES'!$I$3:$I$987,""),"Peripheral",_xlfn.XLOOKUP($K882&amp;"",PERIPHERAL!$B$3:$B$954&amp;"",PERIPHERAL!$I$3:$I$954,""),"Utilities",_xlfn.XLOOKUP($K882&amp;"",UTILITIES!$B$3:$B$953&amp;"",UTILITIES!$H$3:$H$953,""),"IOT",_xlfn.XLOOKUP($K882&amp;"",IOT!$B$3:$B$1012&amp;"",IOT!$I$3:$I$1012,""),"SERVER",_xlfn.XLOOKUP($K882&amp;"",SERVER!$B$3:$B$1009&amp;"",SERVER!$I$3:$I$1009,""),""))</f>
        <v/>
      </c>
      <c r="M882" t="str" cm="1">
        <f t="array" ref="M882">IF($K882="","",_xlfn.SWITCH($I882,"Computer",_xlfn.XLOOKUP($K882&amp;"",COMPUTER!$B$3:$B$1009&amp;"",COMPUTER!$J$3:$J$1009,""),"Display",_xlfn.XLOOKUP($K882&amp;"",DISPLAY!$B$3:$B$1000&amp;"",DISPLAY!$K$3:$K$1000,""),"Network Device",_xlfn.XLOOKUP($K882&amp;"",'NETWORK-DEVICES'!$B$3:$B$987&amp;"",'NETWORK-DEVICES'!$I$3:$I$987,""),"Peripheral",_xlfn.XLOOKUP($K882&amp;"",PERIPHERAL!$B$3:$B$954&amp;"",PERIPHERAL!$J$3:$J$954,""),"Utilities",_xlfn.XLOOKUP($K882&amp;"",UTILITIES!$B$3:$B$953&amp;"",UTILITIES!$I$3:$I$953,""),"IOT",_xlfn.XLOOKUP($K882&amp;"",IOT!$B$3:$B$1012&amp;"",IOT!$J$3:$J$1012,""),"Server",_xlfn.XLOOKUP($K882&amp;"",SERVER!$B$3:$B$1009&amp;"",SERVER!$J$3:$J$1009,""),""))</f>
        <v/>
      </c>
      <c r="N882" s="1" t="str" cm="1">
        <f t="array" ref="N882">IF(OR($K882="",$I882="",$J882=""),"",_xlfn.LET(_xlpm.srcCat,_xlfn.SWITCH($I882,"Computer",_xlfn.XLOOKUP($K882&amp;"",COMPUTER!$B$3:$B$1009&amp;"",COMPUTER!$H$3:$H$1009,""),"Display",_xlfn.XLOOKUP($K882&amp;"",DISPLAY!$B$3:$B$1000&amp;"",DISPLAY!$H$3:$H$1000,""),"Network Device",_xlfn.XLOOKUP($K882&amp;"",'NETWORK-DEVICES'!$B$3:$B$987&amp;"",'NETWORK-DEVICES'!$H$3:$H$987,""),"Peripheral",_xlfn.XLOOKUP($K882&amp;"",PERIPHERAL!$B$3:$B$954&amp;"",PERIPHERAL!$H$3:$H$954,""),"Utilities",_xlfn.XLOOKUP($K882&amp;"",UTILITIES!$B$3:$B$953&amp;"",UTILITIES!$G$3:$G$953,""),"IOT",_xlfn.XLOOKUP($K882&amp;"",IOT!$B$3:$B$1012&amp;"",IOT!$H$3:$H$1012,""),"Server",_xlfn.XLOOKUP($K882&amp;"",SERVER!$B$3:$B$1009&amp;"",SERVER!$H$3:$H$1009,""),""),IF(TRIM(_xlpm.srcCat)&lt;&gt;TRIM($J882),"",_xlfn.SWITCH($I882,"Computer",_xlfn.XLOOKUP($K882&amp;"",COMPUTER!$B$3:$B$1009&amp;"",COMPUTER!$K$3:$K$1009,""),"Display",_xlfn.XLOOKUP($K882&amp;"",DISPLAY!$B$3:$B$1000&amp;"",DISPLAY!$L$3:$L$1000,""),"Network Device",_xlfn.XLOOKUP($K882&amp;"",'NETWORK-DEVICES'!$B$3:$B$987&amp;"",'NETWORK-DEVICES'!$K$3:$K$987,""),"Peripheral",_xlfn.XLOOKUP($K882&amp;"",PERIPHERAL!$B$3:$B$954&amp;"",PERIPHERAL!$K$3:$K$954,""),"Utilities",_xlfn.XLOOKUP($K882&amp;"",UTILITIES!$B$3:$B$953&amp;"",UTILITIES!$J$3:$J$953,""),"IOT",_xlfn.XLOOKUP($K882&amp;"",IOT!$B$3:$B$1012&amp;"",IOT!$K$4:$K$1012,""),"Server",_xlfn.XLOOKUP($K882&amp;"",SERVER!$B$3:$B$1009&amp;"",SERVER!$K$3:$K$1009,""),""))))</f>
        <v/>
      </c>
      <c r="O882" s="1" t="str" cm="1">
        <f t="array" ref="O882">IF(OR($K882="",$I882="",$J882=""),"",_xlfn.LET(_xlpm.srcCat,_xlfn.SWITCH($I882,"Computer",_xlfn.XLOOKUP($K882&amp;"",COMPUTER!$B$3:$B$1009&amp;"",COMPUTER!$H$3:$H$1009,""),"Display",_xlfn.XLOOKUP($K882&amp;"",DISPLAY!$B$3:$B$1000&amp;"",DISPLAY!$H$3:$H$1000,""),"Network Device",_xlfn.XLOOKUP($K882&amp;"",'NETWORK-DEVICES'!$B$3:$B$987&amp;"",'NETWORK-DEVICES'!$H$3:$H$987,""),"Peripheral",_xlfn.XLOOKUP($K882&amp;"",PERIPHERAL!$B$3:$B$954&amp;"",PERIPHERAL!$H$3:$H$954,""),"Utilities",_xlfn.XLOOKUP($K882&amp;"",UTILITIES!$B$3:$B$953&amp;"",UTILITIES!$G$3:$G$953,""),"IOT",_xlfn.XLOOKUP($K882&amp;"",IOT!$B$3:$B$1012&amp;"",IOT!$H$3:$H$1012,""),"Server",_xlfn.XLOOKUP($K882&amp;"",SERVER!$B$3:$B$1009&amp;"",SERVER!$H$3:$H$1009,""),""),IF(TRIM(_xlpm.srcCat)&lt;&gt;TRIM($J882),"",_xlfn.SWITCH($I882,"Computer",_xlfn.XLOOKUP($K882&amp;"",COMPUTER!$B$3:$B$1009&amp;"",COMPUTER!$E$3:$E$1009,""),"Display",_xlfn.XLOOKUP($K882&amp;"",DISPLAY!$B$3:$B$1000&amp;"",DISPLAY!$E$3:$E$1000,""),"Network Device",_xlfn.XLOOKUP($K882&amp;"",'NETWORK-DEVICES'!$B$3:$B$987&amp;"",'NETWORK-DEVICES'!$E$3:$E$987,""),"Peripheral",_xlfn.XLOOKUP($K882&amp;"",PERIPHERAL!$B$3:$B$954&amp;"",PERIPHERAL!$E$3:$E$954,""),"Utilities",_xlfn.XLOOKUP($K882&amp;"",UTILITIES!$B$3:$B$953&amp;"",UTILITIES!$E$3:$E$953,""),"IOT",_xlfn.XLOOKUP($K882&amp;"",IOT!$B$3:$B$1012&amp;"",IOT!$E$3:$E$1012,""),"Server",_xlfn.XLOOKUP($K882&amp;"",SERVER!$B$3:$B$1009&amp;"",SERVER!$E$3:$E$1009,""),""))))</f>
        <v/>
      </c>
      <c r="Q882" s="1" t="str" cm="1">
        <f t="array" ref="Q882">IF(OR($K882="",$I882="",$J882=""),"",_xlfn.LET(_xlpm.srcCat,_xlfn.SWITCH($I882,"Computer",_xlfn.XLOOKUP($K882&amp;"",COMPUTER!$B$3:$B$1009&amp;"",COMPUTER!$H$3:$H$1009,""),"Display",_xlfn.XLOOKUP($K882&amp;"",DISPLAY!$B$3:$B$1000&amp;"",DISPLAY!$H$3:$H$1000,""),"Network Device",_xlfn.XLOOKUP($K882&amp;"",'NETWORK-DEVICES'!$B$3:$B$987&amp;"",'NETWORK-DEVICES'!$H$3:$H$987,""),"Peripheral",_xlfn.XLOOKUP($K882&amp;"",PERIPHERAL!$B$3:$B$954&amp;"",PERIPHERAL!$H$3:$H$954,""),"Utilities",_xlfn.XLOOKUP($K882&amp;"",UTILITIES!$B$3:$B$953&amp;"",UTILITIES!$G$3:$G$953,""),"IOT",_xlfn.XLOOKUP($K882&amp;"",IOT!$B$3:$B$1012&amp;"",IOT!$H$3:$H$1012,""),"Server",_xlfn.XLOOKUP($K882&amp;"",SERVER!$B$3:$B$1009&amp;"",SERVER!$H$3:$H$1009,""),""),IF(TRIM(_xlpm.srcCat)&lt;&gt;TRIM($J882),"",_xlfn.SWITCH($I882,"Computer",_xlfn.XLOOKUP($K882&amp;"",COMPUTER!$B$3:$B$1009&amp;"",COMPUTER!$AM$3:$AM$1009,""),"Display",_xlfn.XLOOKUP($K882&amp;"",DISPLAY!$B$3:$B$1000&amp;"",DISPLAY!$V$3:$V$1000,""),"Network Device",_xlfn.XLOOKUP($K882&amp;"",'NETWORK-DEVICES'!$B$3:$B$987&amp;"",'NETWORK-DEVICES'!$AF$3:$AF$987,""),"Peripheral",_xlfn.XLOOKUP($K882&amp;"",PERIPHERAL!$B$3:$B$954&amp;"",PERIPHERAL!$Y$3:$Y$954,""),"Utilities",_xlfn.XLOOKUP($K882&amp;"",UTILITIES!$B$3:$B$953&amp;"",UTILITIES!$O$3:$O$953,""),"IOT",_xlfn.XLOOKUP($K882&amp;"",IOT!$B$3:$B$1012&amp;"",IOT!$AB$3:$AB$1012,""),"Server",_xlfn.XLOOKUP($K882&amp;"",SERVER!$B$3:$B$1009&amp;"",SERVER!$AB$3:$AB$1009,""),""))))</f>
        <v/>
      </c>
      <c r="R882" s="43" t="str">
        <f>IF(tbl_handover[[#This Row],[Asset Code]]="","",COUNTIF(tbl_handover[Asset Code],tbl_handover[[#This Row],[Asset Code]]))</f>
        <v/>
      </c>
    </row>
    <row r="883" spans="1:18" x14ac:dyDescent="0.25">
      <c r="A883" s="43" t="str">
        <f>IF(B883&lt;&gt;"",SUBTOTAL(3,$B$1:B882),"")</f>
        <v/>
      </c>
      <c r="C883" s="74"/>
      <c r="D883" s="74"/>
      <c r="G883" s="1"/>
      <c r="K883" s="42"/>
      <c r="L883" t="str" cm="1">
        <f t="array" ref="L883">IF($K883="","",_xlfn.SWITCH($I883,"Computer",_xlfn.XLOOKUP($K883&amp;"",COMPUTER!$B$3:$B$1009&amp;"",COMPUTER!$I$3:$I$1009,""),"Display",_xlfn.XLOOKUP($K883&amp;"",DISPLAY!$B$3:$B$1000&amp;"",DISPLAY!$J$3:$J$1000,""),"Network Device",_xlfn.XLOOKUP($K883&amp;"",'NETWORK-DEVICES'!$B$3:$B$987&amp;"",'NETWORK-DEVICES'!$I$3:$I$987,""),"Peripheral",_xlfn.XLOOKUP($K883&amp;"",PERIPHERAL!$B$3:$B$954&amp;"",PERIPHERAL!$I$3:$I$954,""),"Utilities",_xlfn.XLOOKUP($K883&amp;"",UTILITIES!$B$3:$B$953&amp;"",UTILITIES!$H$3:$H$953,""),"IOT",_xlfn.XLOOKUP($K883&amp;"",IOT!$B$3:$B$1012&amp;"",IOT!$I$3:$I$1012,""),"SERVER",_xlfn.XLOOKUP($K883&amp;"",SERVER!$B$3:$B$1009&amp;"",SERVER!$I$3:$I$1009,""),""))</f>
        <v/>
      </c>
      <c r="M883" t="str" cm="1">
        <f t="array" ref="M883">IF($K883="","",_xlfn.SWITCH($I883,"Computer",_xlfn.XLOOKUP($K883&amp;"",COMPUTER!$B$3:$B$1009&amp;"",COMPUTER!$J$3:$J$1009,""),"Display",_xlfn.XLOOKUP($K883&amp;"",DISPLAY!$B$3:$B$1000&amp;"",DISPLAY!$K$3:$K$1000,""),"Network Device",_xlfn.XLOOKUP($K883&amp;"",'NETWORK-DEVICES'!$B$3:$B$987&amp;"",'NETWORK-DEVICES'!$I$3:$I$987,""),"Peripheral",_xlfn.XLOOKUP($K883&amp;"",PERIPHERAL!$B$3:$B$954&amp;"",PERIPHERAL!$J$3:$J$954,""),"Utilities",_xlfn.XLOOKUP($K883&amp;"",UTILITIES!$B$3:$B$953&amp;"",UTILITIES!$I$3:$I$953,""),"IOT",_xlfn.XLOOKUP($K883&amp;"",IOT!$B$3:$B$1012&amp;"",IOT!$J$3:$J$1012,""),"Server",_xlfn.XLOOKUP($K883&amp;"",SERVER!$B$3:$B$1009&amp;"",SERVER!$J$3:$J$1009,""),""))</f>
        <v/>
      </c>
      <c r="N883" s="1" t="str" cm="1">
        <f t="array" ref="N883">IF(OR($K883="",$I883="",$J883=""),"",_xlfn.LET(_xlpm.srcCat,_xlfn.SWITCH($I883,"Computer",_xlfn.XLOOKUP($K883&amp;"",COMPUTER!$B$3:$B$1009&amp;"",COMPUTER!$H$3:$H$1009,""),"Display",_xlfn.XLOOKUP($K883&amp;"",DISPLAY!$B$3:$B$1000&amp;"",DISPLAY!$H$3:$H$1000,""),"Network Device",_xlfn.XLOOKUP($K883&amp;"",'NETWORK-DEVICES'!$B$3:$B$987&amp;"",'NETWORK-DEVICES'!$H$3:$H$987,""),"Peripheral",_xlfn.XLOOKUP($K883&amp;"",PERIPHERAL!$B$3:$B$954&amp;"",PERIPHERAL!$H$3:$H$954,""),"Utilities",_xlfn.XLOOKUP($K883&amp;"",UTILITIES!$B$3:$B$953&amp;"",UTILITIES!$G$3:$G$953,""),"IOT",_xlfn.XLOOKUP($K883&amp;"",IOT!$B$3:$B$1012&amp;"",IOT!$H$3:$H$1012,""),"Server",_xlfn.XLOOKUP($K883&amp;"",SERVER!$B$3:$B$1009&amp;"",SERVER!$H$3:$H$1009,""),""),IF(TRIM(_xlpm.srcCat)&lt;&gt;TRIM($J883),"",_xlfn.SWITCH($I883,"Computer",_xlfn.XLOOKUP($K883&amp;"",COMPUTER!$B$3:$B$1009&amp;"",COMPUTER!$K$3:$K$1009,""),"Display",_xlfn.XLOOKUP($K883&amp;"",DISPLAY!$B$3:$B$1000&amp;"",DISPLAY!$L$3:$L$1000,""),"Network Device",_xlfn.XLOOKUP($K883&amp;"",'NETWORK-DEVICES'!$B$3:$B$987&amp;"",'NETWORK-DEVICES'!$K$3:$K$987,""),"Peripheral",_xlfn.XLOOKUP($K883&amp;"",PERIPHERAL!$B$3:$B$954&amp;"",PERIPHERAL!$K$3:$K$954,""),"Utilities",_xlfn.XLOOKUP($K883&amp;"",UTILITIES!$B$3:$B$953&amp;"",UTILITIES!$J$3:$J$953,""),"IOT",_xlfn.XLOOKUP($K883&amp;"",IOT!$B$3:$B$1012&amp;"",IOT!$K$4:$K$1012,""),"Server",_xlfn.XLOOKUP($K883&amp;"",SERVER!$B$3:$B$1009&amp;"",SERVER!$K$3:$K$1009,""),""))))</f>
        <v/>
      </c>
      <c r="O883" s="1" t="str" cm="1">
        <f t="array" ref="O883">IF(OR($K883="",$I883="",$J883=""),"",_xlfn.LET(_xlpm.srcCat,_xlfn.SWITCH($I883,"Computer",_xlfn.XLOOKUP($K883&amp;"",COMPUTER!$B$3:$B$1009&amp;"",COMPUTER!$H$3:$H$1009,""),"Display",_xlfn.XLOOKUP($K883&amp;"",DISPLAY!$B$3:$B$1000&amp;"",DISPLAY!$H$3:$H$1000,""),"Network Device",_xlfn.XLOOKUP($K883&amp;"",'NETWORK-DEVICES'!$B$3:$B$987&amp;"",'NETWORK-DEVICES'!$H$3:$H$987,""),"Peripheral",_xlfn.XLOOKUP($K883&amp;"",PERIPHERAL!$B$3:$B$954&amp;"",PERIPHERAL!$H$3:$H$954,""),"Utilities",_xlfn.XLOOKUP($K883&amp;"",UTILITIES!$B$3:$B$953&amp;"",UTILITIES!$G$3:$G$953,""),"IOT",_xlfn.XLOOKUP($K883&amp;"",IOT!$B$3:$B$1012&amp;"",IOT!$H$3:$H$1012,""),"Server",_xlfn.XLOOKUP($K883&amp;"",SERVER!$B$3:$B$1009&amp;"",SERVER!$H$3:$H$1009,""),""),IF(TRIM(_xlpm.srcCat)&lt;&gt;TRIM($J883),"",_xlfn.SWITCH($I883,"Computer",_xlfn.XLOOKUP($K883&amp;"",COMPUTER!$B$3:$B$1009&amp;"",COMPUTER!$E$3:$E$1009,""),"Display",_xlfn.XLOOKUP($K883&amp;"",DISPLAY!$B$3:$B$1000&amp;"",DISPLAY!$E$3:$E$1000,""),"Network Device",_xlfn.XLOOKUP($K883&amp;"",'NETWORK-DEVICES'!$B$3:$B$987&amp;"",'NETWORK-DEVICES'!$E$3:$E$987,""),"Peripheral",_xlfn.XLOOKUP($K883&amp;"",PERIPHERAL!$B$3:$B$954&amp;"",PERIPHERAL!$E$3:$E$954,""),"Utilities",_xlfn.XLOOKUP($K883&amp;"",UTILITIES!$B$3:$B$953&amp;"",UTILITIES!$E$3:$E$953,""),"IOT",_xlfn.XLOOKUP($K883&amp;"",IOT!$B$3:$B$1012&amp;"",IOT!$E$3:$E$1012,""),"Server",_xlfn.XLOOKUP($K883&amp;"",SERVER!$B$3:$B$1009&amp;"",SERVER!$E$3:$E$1009,""),""))))</f>
        <v/>
      </c>
      <c r="Q883" s="1" t="str" cm="1">
        <f t="array" ref="Q883">IF(OR($K883="",$I883="",$J883=""),"",_xlfn.LET(_xlpm.srcCat,_xlfn.SWITCH($I883,"Computer",_xlfn.XLOOKUP($K883&amp;"",COMPUTER!$B$3:$B$1009&amp;"",COMPUTER!$H$3:$H$1009,""),"Display",_xlfn.XLOOKUP($K883&amp;"",DISPLAY!$B$3:$B$1000&amp;"",DISPLAY!$H$3:$H$1000,""),"Network Device",_xlfn.XLOOKUP($K883&amp;"",'NETWORK-DEVICES'!$B$3:$B$987&amp;"",'NETWORK-DEVICES'!$H$3:$H$987,""),"Peripheral",_xlfn.XLOOKUP($K883&amp;"",PERIPHERAL!$B$3:$B$954&amp;"",PERIPHERAL!$H$3:$H$954,""),"Utilities",_xlfn.XLOOKUP($K883&amp;"",UTILITIES!$B$3:$B$953&amp;"",UTILITIES!$G$3:$G$953,""),"IOT",_xlfn.XLOOKUP($K883&amp;"",IOT!$B$3:$B$1012&amp;"",IOT!$H$3:$H$1012,""),"Server",_xlfn.XLOOKUP($K883&amp;"",SERVER!$B$3:$B$1009&amp;"",SERVER!$H$3:$H$1009,""),""),IF(TRIM(_xlpm.srcCat)&lt;&gt;TRIM($J883),"",_xlfn.SWITCH($I883,"Computer",_xlfn.XLOOKUP($K883&amp;"",COMPUTER!$B$3:$B$1009&amp;"",COMPUTER!$AM$3:$AM$1009,""),"Display",_xlfn.XLOOKUP($K883&amp;"",DISPLAY!$B$3:$B$1000&amp;"",DISPLAY!$V$3:$V$1000,""),"Network Device",_xlfn.XLOOKUP($K883&amp;"",'NETWORK-DEVICES'!$B$3:$B$987&amp;"",'NETWORK-DEVICES'!$AF$3:$AF$987,""),"Peripheral",_xlfn.XLOOKUP($K883&amp;"",PERIPHERAL!$B$3:$B$954&amp;"",PERIPHERAL!$Y$3:$Y$954,""),"Utilities",_xlfn.XLOOKUP($K883&amp;"",UTILITIES!$B$3:$B$953&amp;"",UTILITIES!$O$3:$O$953,""),"IOT",_xlfn.XLOOKUP($K883&amp;"",IOT!$B$3:$B$1012&amp;"",IOT!$AB$3:$AB$1012,""),"Server",_xlfn.XLOOKUP($K883&amp;"",SERVER!$B$3:$B$1009&amp;"",SERVER!$AB$3:$AB$1009,""),""))))</f>
        <v/>
      </c>
      <c r="R883" s="43" t="str">
        <f>IF(tbl_handover[[#This Row],[Asset Code]]="","",COUNTIF(tbl_handover[Asset Code],tbl_handover[[#This Row],[Asset Code]]))</f>
        <v/>
      </c>
    </row>
    <row r="884" spans="1:18" x14ac:dyDescent="0.25">
      <c r="A884" s="43" t="str">
        <f>IF(B884&lt;&gt;"",SUBTOTAL(3,$B$1:B883),"")</f>
        <v/>
      </c>
      <c r="C884" s="74"/>
      <c r="D884" s="74"/>
      <c r="G884" s="1"/>
      <c r="K884" s="42"/>
      <c r="L884" t="str" cm="1">
        <f t="array" ref="L884">IF($K884="","",_xlfn.SWITCH($I884,"Computer",_xlfn.XLOOKUP($K884&amp;"",COMPUTER!$B$3:$B$1009&amp;"",COMPUTER!$I$3:$I$1009,""),"Display",_xlfn.XLOOKUP($K884&amp;"",DISPLAY!$B$3:$B$1000&amp;"",DISPLAY!$J$3:$J$1000,""),"Network Device",_xlfn.XLOOKUP($K884&amp;"",'NETWORK-DEVICES'!$B$3:$B$987&amp;"",'NETWORK-DEVICES'!$I$3:$I$987,""),"Peripheral",_xlfn.XLOOKUP($K884&amp;"",PERIPHERAL!$B$3:$B$954&amp;"",PERIPHERAL!$I$3:$I$954,""),"Utilities",_xlfn.XLOOKUP($K884&amp;"",UTILITIES!$B$3:$B$953&amp;"",UTILITIES!$H$3:$H$953,""),"IOT",_xlfn.XLOOKUP($K884&amp;"",IOT!$B$3:$B$1012&amp;"",IOT!$I$3:$I$1012,""),"SERVER",_xlfn.XLOOKUP($K884&amp;"",SERVER!$B$3:$B$1009&amp;"",SERVER!$I$3:$I$1009,""),""))</f>
        <v/>
      </c>
      <c r="M884" t="str" cm="1">
        <f t="array" ref="M884">IF($K884="","",_xlfn.SWITCH($I884,"Computer",_xlfn.XLOOKUP($K884&amp;"",COMPUTER!$B$3:$B$1009&amp;"",COMPUTER!$J$3:$J$1009,""),"Display",_xlfn.XLOOKUP($K884&amp;"",DISPLAY!$B$3:$B$1000&amp;"",DISPLAY!$K$3:$K$1000,""),"Network Device",_xlfn.XLOOKUP($K884&amp;"",'NETWORK-DEVICES'!$B$3:$B$987&amp;"",'NETWORK-DEVICES'!$I$3:$I$987,""),"Peripheral",_xlfn.XLOOKUP($K884&amp;"",PERIPHERAL!$B$3:$B$954&amp;"",PERIPHERAL!$J$3:$J$954,""),"Utilities",_xlfn.XLOOKUP($K884&amp;"",UTILITIES!$B$3:$B$953&amp;"",UTILITIES!$I$3:$I$953,""),"IOT",_xlfn.XLOOKUP($K884&amp;"",IOT!$B$3:$B$1012&amp;"",IOT!$J$3:$J$1012,""),"Server",_xlfn.XLOOKUP($K884&amp;"",SERVER!$B$3:$B$1009&amp;"",SERVER!$J$3:$J$1009,""),""))</f>
        <v/>
      </c>
      <c r="N884" s="1" t="str" cm="1">
        <f t="array" ref="N884">IF(OR($K884="",$I884="",$J884=""),"",_xlfn.LET(_xlpm.srcCat,_xlfn.SWITCH($I884,"Computer",_xlfn.XLOOKUP($K884&amp;"",COMPUTER!$B$3:$B$1009&amp;"",COMPUTER!$H$3:$H$1009,""),"Display",_xlfn.XLOOKUP($K884&amp;"",DISPLAY!$B$3:$B$1000&amp;"",DISPLAY!$H$3:$H$1000,""),"Network Device",_xlfn.XLOOKUP($K884&amp;"",'NETWORK-DEVICES'!$B$3:$B$987&amp;"",'NETWORK-DEVICES'!$H$3:$H$987,""),"Peripheral",_xlfn.XLOOKUP($K884&amp;"",PERIPHERAL!$B$3:$B$954&amp;"",PERIPHERAL!$H$3:$H$954,""),"Utilities",_xlfn.XLOOKUP($K884&amp;"",UTILITIES!$B$3:$B$953&amp;"",UTILITIES!$G$3:$G$953,""),"IOT",_xlfn.XLOOKUP($K884&amp;"",IOT!$B$3:$B$1012&amp;"",IOT!$H$3:$H$1012,""),"Server",_xlfn.XLOOKUP($K884&amp;"",SERVER!$B$3:$B$1009&amp;"",SERVER!$H$3:$H$1009,""),""),IF(TRIM(_xlpm.srcCat)&lt;&gt;TRIM($J884),"",_xlfn.SWITCH($I884,"Computer",_xlfn.XLOOKUP($K884&amp;"",COMPUTER!$B$3:$B$1009&amp;"",COMPUTER!$K$3:$K$1009,""),"Display",_xlfn.XLOOKUP($K884&amp;"",DISPLAY!$B$3:$B$1000&amp;"",DISPLAY!$L$3:$L$1000,""),"Network Device",_xlfn.XLOOKUP($K884&amp;"",'NETWORK-DEVICES'!$B$3:$B$987&amp;"",'NETWORK-DEVICES'!$K$3:$K$987,""),"Peripheral",_xlfn.XLOOKUP($K884&amp;"",PERIPHERAL!$B$3:$B$954&amp;"",PERIPHERAL!$K$3:$K$954,""),"Utilities",_xlfn.XLOOKUP($K884&amp;"",UTILITIES!$B$3:$B$953&amp;"",UTILITIES!$J$3:$J$953,""),"IOT",_xlfn.XLOOKUP($K884&amp;"",IOT!$B$3:$B$1012&amp;"",IOT!$K$4:$K$1012,""),"Server",_xlfn.XLOOKUP($K884&amp;"",SERVER!$B$3:$B$1009&amp;"",SERVER!$K$3:$K$1009,""),""))))</f>
        <v/>
      </c>
      <c r="O884" s="1" t="str" cm="1">
        <f t="array" ref="O884">IF(OR($K884="",$I884="",$J884=""),"",_xlfn.LET(_xlpm.srcCat,_xlfn.SWITCH($I884,"Computer",_xlfn.XLOOKUP($K884&amp;"",COMPUTER!$B$3:$B$1009&amp;"",COMPUTER!$H$3:$H$1009,""),"Display",_xlfn.XLOOKUP($K884&amp;"",DISPLAY!$B$3:$B$1000&amp;"",DISPLAY!$H$3:$H$1000,""),"Network Device",_xlfn.XLOOKUP($K884&amp;"",'NETWORK-DEVICES'!$B$3:$B$987&amp;"",'NETWORK-DEVICES'!$H$3:$H$987,""),"Peripheral",_xlfn.XLOOKUP($K884&amp;"",PERIPHERAL!$B$3:$B$954&amp;"",PERIPHERAL!$H$3:$H$954,""),"Utilities",_xlfn.XLOOKUP($K884&amp;"",UTILITIES!$B$3:$B$953&amp;"",UTILITIES!$G$3:$G$953,""),"IOT",_xlfn.XLOOKUP($K884&amp;"",IOT!$B$3:$B$1012&amp;"",IOT!$H$3:$H$1012,""),"Server",_xlfn.XLOOKUP($K884&amp;"",SERVER!$B$3:$B$1009&amp;"",SERVER!$H$3:$H$1009,""),""),IF(TRIM(_xlpm.srcCat)&lt;&gt;TRIM($J884),"",_xlfn.SWITCH($I884,"Computer",_xlfn.XLOOKUP($K884&amp;"",COMPUTER!$B$3:$B$1009&amp;"",COMPUTER!$E$3:$E$1009,""),"Display",_xlfn.XLOOKUP($K884&amp;"",DISPLAY!$B$3:$B$1000&amp;"",DISPLAY!$E$3:$E$1000,""),"Network Device",_xlfn.XLOOKUP($K884&amp;"",'NETWORK-DEVICES'!$B$3:$B$987&amp;"",'NETWORK-DEVICES'!$E$3:$E$987,""),"Peripheral",_xlfn.XLOOKUP($K884&amp;"",PERIPHERAL!$B$3:$B$954&amp;"",PERIPHERAL!$E$3:$E$954,""),"Utilities",_xlfn.XLOOKUP($K884&amp;"",UTILITIES!$B$3:$B$953&amp;"",UTILITIES!$E$3:$E$953,""),"IOT",_xlfn.XLOOKUP($K884&amp;"",IOT!$B$3:$B$1012&amp;"",IOT!$E$3:$E$1012,""),"Server",_xlfn.XLOOKUP($K884&amp;"",SERVER!$B$3:$B$1009&amp;"",SERVER!$E$3:$E$1009,""),""))))</f>
        <v/>
      </c>
      <c r="Q884" s="1" t="str" cm="1">
        <f t="array" ref="Q884">IF(OR($K884="",$I884="",$J884=""),"",_xlfn.LET(_xlpm.srcCat,_xlfn.SWITCH($I884,"Computer",_xlfn.XLOOKUP($K884&amp;"",COMPUTER!$B$3:$B$1009&amp;"",COMPUTER!$H$3:$H$1009,""),"Display",_xlfn.XLOOKUP($K884&amp;"",DISPLAY!$B$3:$B$1000&amp;"",DISPLAY!$H$3:$H$1000,""),"Network Device",_xlfn.XLOOKUP($K884&amp;"",'NETWORK-DEVICES'!$B$3:$B$987&amp;"",'NETWORK-DEVICES'!$H$3:$H$987,""),"Peripheral",_xlfn.XLOOKUP($K884&amp;"",PERIPHERAL!$B$3:$B$954&amp;"",PERIPHERAL!$H$3:$H$954,""),"Utilities",_xlfn.XLOOKUP($K884&amp;"",UTILITIES!$B$3:$B$953&amp;"",UTILITIES!$G$3:$G$953,""),"IOT",_xlfn.XLOOKUP($K884&amp;"",IOT!$B$3:$B$1012&amp;"",IOT!$H$3:$H$1012,""),"Server",_xlfn.XLOOKUP($K884&amp;"",SERVER!$B$3:$B$1009&amp;"",SERVER!$H$3:$H$1009,""),""),IF(TRIM(_xlpm.srcCat)&lt;&gt;TRIM($J884),"",_xlfn.SWITCH($I884,"Computer",_xlfn.XLOOKUP($K884&amp;"",COMPUTER!$B$3:$B$1009&amp;"",COMPUTER!$AM$3:$AM$1009,""),"Display",_xlfn.XLOOKUP($K884&amp;"",DISPLAY!$B$3:$B$1000&amp;"",DISPLAY!$V$3:$V$1000,""),"Network Device",_xlfn.XLOOKUP($K884&amp;"",'NETWORK-DEVICES'!$B$3:$B$987&amp;"",'NETWORK-DEVICES'!$AF$3:$AF$987,""),"Peripheral",_xlfn.XLOOKUP($K884&amp;"",PERIPHERAL!$B$3:$B$954&amp;"",PERIPHERAL!$Y$3:$Y$954,""),"Utilities",_xlfn.XLOOKUP($K884&amp;"",UTILITIES!$B$3:$B$953&amp;"",UTILITIES!$O$3:$O$953,""),"IOT",_xlfn.XLOOKUP($K884&amp;"",IOT!$B$3:$B$1012&amp;"",IOT!$AB$3:$AB$1012,""),"Server",_xlfn.XLOOKUP($K884&amp;"",SERVER!$B$3:$B$1009&amp;"",SERVER!$AB$3:$AB$1009,""),""))))</f>
        <v/>
      </c>
      <c r="R884" s="43" t="str">
        <f>IF(tbl_handover[[#This Row],[Asset Code]]="","",COUNTIF(tbl_handover[Asset Code],tbl_handover[[#This Row],[Asset Code]]))</f>
        <v/>
      </c>
    </row>
    <row r="885" spans="1:18" x14ac:dyDescent="0.25">
      <c r="A885" s="43" t="str">
        <f>IF(B885&lt;&gt;"",SUBTOTAL(3,$B$1:B884),"")</f>
        <v/>
      </c>
      <c r="C885" s="74"/>
      <c r="D885" s="74"/>
      <c r="G885" s="1"/>
      <c r="K885" s="42"/>
      <c r="L885" t="str" cm="1">
        <f t="array" ref="L885">IF($K885="","",_xlfn.SWITCH($I885,"Computer",_xlfn.XLOOKUP($K885&amp;"",COMPUTER!$B$3:$B$1009&amp;"",COMPUTER!$I$3:$I$1009,""),"Display",_xlfn.XLOOKUP($K885&amp;"",DISPLAY!$B$3:$B$1000&amp;"",DISPLAY!$J$3:$J$1000,""),"Network Device",_xlfn.XLOOKUP($K885&amp;"",'NETWORK-DEVICES'!$B$3:$B$987&amp;"",'NETWORK-DEVICES'!$I$3:$I$987,""),"Peripheral",_xlfn.XLOOKUP($K885&amp;"",PERIPHERAL!$B$3:$B$954&amp;"",PERIPHERAL!$I$3:$I$954,""),"Utilities",_xlfn.XLOOKUP($K885&amp;"",UTILITIES!$B$3:$B$953&amp;"",UTILITIES!$H$3:$H$953,""),"IOT",_xlfn.XLOOKUP($K885&amp;"",IOT!$B$3:$B$1012&amp;"",IOT!$I$3:$I$1012,""),"SERVER",_xlfn.XLOOKUP($K885&amp;"",SERVER!$B$3:$B$1009&amp;"",SERVER!$I$3:$I$1009,""),""))</f>
        <v/>
      </c>
      <c r="M885" t="str" cm="1">
        <f t="array" ref="M885">IF($K885="","",_xlfn.SWITCH($I885,"Computer",_xlfn.XLOOKUP($K885&amp;"",COMPUTER!$B$3:$B$1009&amp;"",COMPUTER!$J$3:$J$1009,""),"Display",_xlfn.XLOOKUP($K885&amp;"",DISPLAY!$B$3:$B$1000&amp;"",DISPLAY!$K$3:$K$1000,""),"Network Device",_xlfn.XLOOKUP($K885&amp;"",'NETWORK-DEVICES'!$B$3:$B$987&amp;"",'NETWORK-DEVICES'!$I$3:$I$987,""),"Peripheral",_xlfn.XLOOKUP($K885&amp;"",PERIPHERAL!$B$3:$B$954&amp;"",PERIPHERAL!$J$3:$J$954,""),"Utilities",_xlfn.XLOOKUP($K885&amp;"",UTILITIES!$B$3:$B$953&amp;"",UTILITIES!$I$3:$I$953,""),"IOT",_xlfn.XLOOKUP($K885&amp;"",IOT!$B$3:$B$1012&amp;"",IOT!$J$3:$J$1012,""),"Server",_xlfn.XLOOKUP($K885&amp;"",SERVER!$B$3:$B$1009&amp;"",SERVER!$J$3:$J$1009,""),""))</f>
        <v/>
      </c>
      <c r="N885" s="1" t="str" cm="1">
        <f t="array" ref="N885">IF(OR($K885="",$I885="",$J885=""),"",_xlfn.LET(_xlpm.srcCat,_xlfn.SWITCH($I885,"Computer",_xlfn.XLOOKUP($K885&amp;"",COMPUTER!$B$3:$B$1009&amp;"",COMPUTER!$H$3:$H$1009,""),"Display",_xlfn.XLOOKUP($K885&amp;"",DISPLAY!$B$3:$B$1000&amp;"",DISPLAY!$H$3:$H$1000,""),"Network Device",_xlfn.XLOOKUP($K885&amp;"",'NETWORK-DEVICES'!$B$3:$B$987&amp;"",'NETWORK-DEVICES'!$H$3:$H$987,""),"Peripheral",_xlfn.XLOOKUP($K885&amp;"",PERIPHERAL!$B$3:$B$954&amp;"",PERIPHERAL!$H$3:$H$954,""),"Utilities",_xlfn.XLOOKUP($K885&amp;"",UTILITIES!$B$3:$B$953&amp;"",UTILITIES!$G$3:$G$953,""),"IOT",_xlfn.XLOOKUP($K885&amp;"",IOT!$B$3:$B$1012&amp;"",IOT!$H$3:$H$1012,""),"Server",_xlfn.XLOOKUP($K885&amp;"",SERVER!$B$3:$B$1009&amp;"",SERVER!$H$3:$H$1009,""),""),IF(TRIM(_xlpm.srcCat)&lt;&gt;TRIM($J885),"",_xlfn.SWITCH($I885,"Computer",_xlfn.XLOOKUP($K885&amp;"",COMPUTER!$B$3:$B$1009&amp;"",COMPUTER!$K$3:$K$1009,""),"Display",_xlfn.XLOOKUP($K885&amp;"",DISPLAY!$B$3:$B$1000&amp;"",DISPLAY!$L$3:$L$1000,""),"Network Device",_xlfn.XLOOKUP($K885&amp;"",'NETWORK-DEVICES'!$B$3:$B$987&amp;"",'NETWORK-DEVICES'!$K$3:$K$987,""),"Peripheral",_xlfn.XLOOKUP($K885&amp;"",PERIPHERAL!$B$3:$B$954&amp;"",PERIPHERAL!$K$3:$K$954,""),"Utilities",_xlfn.XLOOKUP($K885&amp;"",UTILITIES!$B$3:$B$953&amp;"",UTILITIES!$J$3:$J$953,""),"IOT",_xlfn.XLOOKUP($K885&amp;"",IOT!$B$3:$B$1012&amp;"",IOT!$K$4:$K$1012,""),"Server",_xlfn.XLOOKUP($K885&amp;"",SERVER!$B$3:$B$1009&amp;"",SERVER!$K$3:$K$1009,""),""))))</f>
        <v/>
      </c>
      <c r="O885" s="1" t="str" cm="1">
        <f t="array" ref="O885">IF(OR($K885="",$I885="",$J885=""),"",_xlfn.LET(_xlpm.srcCat,_xlfn.SWITCH($I885,"Computer",_xlfn.XLOOKUP($K885&amp;"",COMPUTER!$B$3:$B$1009&amp;"",COMPUTER!$H$3:$H$1009,""),"Display",_xlfn.XLOOKUP($K885&amp;"",DISPLAY!$B$3:$B$1000&amp;"",DISPLAY!$H$3:$H$1000,""),"Network Device",_xlfn.XLOOKUP($K885&amp;"",'NETWORK-DEVICES'!$B$3:$B$987&amp;"",'NETWORK-DEVICES'!$H$3:$H$987,""),"Peripheral",_xlfn.XLOOKUP($K885&amp;"",PERIPHERAL!$B$3:$B$954&amp;"",PERIPHERAL!$H$3:$H$954,""),"Utilities",_xlfn.XLOOKUP($K885&amp;"",UTILITIES!$B$3:$B$953&amp;"",UTILITIES!$G$3:$G$953,""),"IOT",_xlfn.XLOOKUP($K885&amp;"",IOT!$B$3:$B$1012&amp;"",IOT!$H$3:$H$1012,""),"Server",_xlfn.XLOOKUP($K885&amp;"",SERVER!$B$3:$B$1009&amp;"",SERVER!$H$3:$H$1009,""),""),IF(TRIM(_xlpm.srcCat)&lt;&gt;TRIM($J885),"",_xlfn.SWITCH($I885,"Computer",_xlfn.XLOOKUP($K885&amp;"",COMPUTER!$B$3:$B$1009&amp;"",COMPUTER!$E$3:$E$1009,""),"Display",_xlfn.XLOOKUP($K885&amp;"",DISPLAY!$B$3:$B$1000&amp;"",DISPLAY!$E$3:$E$1000,""),"Network Device",_xlfn.XLOOKUP($K885&amp;"",'NETWORK-DEVICES'!$B$3:$B$987&amp;"",'NETWORK-DEVICES'!$E$3:$E$987,""),"Peripheral",_xlfn.XLOOKUP($K885&amp;"",PERIPHERAL!$B$3:$B$954&amp;"",PERIPHERAL!$E$3:$E$954,""),"Utilities",_xlfn.XLOOKUP($K885&amp;"",UTILITIES!$B$3:$B$953&amp;"",UTILITIES!$E$3:$E$953,""),"IOT",_xlfn.XLOOKUP($K885&amp;"",IOT!$B$3:$B$1012&amp;"",IOT!$E$3:$E$1012,""),"Server",_xlfn.XLOOKUP($K885&amp;"",SERVER!$B$3:$B$1009&amp;"",SERVER!$E$3:$E$1009,""),""))))</f>
        <v/>
      </c>
      <c r="Q885" s="1" t="str" cm="1">
        <f t="array" ref="Q885">IF(OR($K885="",$I885="",$J885=""),"",_xlfn.LET(_xlpm.srcCat,_xlfn.SWITCH($I885,"Computer",_xlfn.XLOOKUP($K885&amp;"",COMPUTER!$B$3:$B$1009&amp;"",COMPUTER!$H$3:$H$1009,""),"Display",_xlfn.XLOOKUP($K885&amp;"",DISPLAY!$B$3:$B$1000&amp;"",DISPLAY!$H$3:$H$1000,""),"Network Device",_xlfn.XLOOKUP($K885&amp;"",'NETWORK-DEVICES'!$B$3:$B$987&amp;"",'NETWORK-DEVICES'!$H$3:$H$987,""),"Peripheral",_xlfn.XLOOKUP($K885&amp;"",PERIPHERAL!$B$3:$B$954&amp;"",PERIPHERAL!$H$3:$H$954,""),"Utilities",_xlfn.XLOOKUP($K885&amp;"",UTILITIES!$B$3:$B$953&amp;"",UTILITIES!$G$3:$G$953,""),"IOT",_xlfn.XLOOKUP($K885&amp;"",IOT!$B$3:$B$1012&amp;"",IOT!$H$3:$H$1012,""),"Server",_xlfn.XLOOKUP($K885&amp;"",SERVER!$B$3:$B$1009&amp;"",SERVER!$H$3:$H$1009,""),""),IF(TRIM(_xlpm.srcCat)&lt;&gt;TRIM($J885),"",_xlfn.SWITCH($I885,"Computer",_xlfn.XLOOKUP($K885&amp;"",COMPUTER!$B$3:$B$1009&amp;"",COMPUTER!$AM$3:$AM$1009,""),"Display",_xlfn.XLOOKUP($K885&amp;"",DISPLAY!$B$3:$B$1000&amp;"",DISPLAY!$V$3:$V$1000,""),"Network Device",_xlfn.XLOOKUP($K885&amp;"",'NETWORK-DEVICES'!$B$3:$B$987&amp;"",'NETWORK-DEVICES'!$AF$3:$AF$987,""),"Peripheral",_xlfn.XLOOKUP($K885&amp;"",PERIPHERAL!$B$3:$B$954&amp;"",PERIPHERAL!$Y$3:$Y$954,""),"Utilities",_xlfn.XLOOKUP($K885&amp;"",UTILITIES!$B$3:$B$953&amp;"",UTILITIES!$O$3:$O$953,""),"IOT",_xlfn.XLOOKUP($K885&amp;"",IOT!$B$3:$B$1012&amp;"",IOT!$AB$3:$AB$1012,""),"Server",_xlfn.XLOOKUP($K885&amp;"",SERVER!$B$3:$B$1009&amp;"",SERVER!$AB$3:$AB$1009,""),""))))</f>
        <v/>
      </c>
      <c r="R885" s="43" t="str">
        <f>IF(tbl_handover[[#This Row],[Asset Code]]="","",COUNTIF(tbl_handover[Asset Code],tbl_handover[[#This Row],[Asset Code]]))</f>
        <v/>
      </c>
    </row>
    <row r="886" spans="1:18" x14ac:dyDescent="0.25">
      <c r="A886" s="43" t="str">
        <f>IF(B886&lt;&gt;"",SUBTOTAL(3,$B$1:B885),"")</f>
        <v/>
      </c>
      <c r="C886" s="74"/>
      <c r="D886" s="74"/>
      <c r="G886" s="1"/>
      <c r="K886" s="42"/>
      <c r="L886" t="str" cm="1">
        <f t="array" ref="L886">IF($K886="","",_xlfn.SWITCH($I886,"Computer",_xlfn.XLOOKUP($K886&amp;"",COMPUTER!$B$3:$B$1009&amp;"",COMPUTER!$I$3:$I$1009,""),"Display",_xlfn.XLOOKUP($K886&amp;"",DISPLAY!$B$3:$B$1000&amp;"",DISPLAY!$J$3:$J$1000,""),"Network Device",_xlfn.XLOOKUP($K886&amp;"",'NETWORK-DEVICES'!$B$3:$B$987&amp;"",'NETWORK-DEVICES'!$I$3:$I$987,""),"Peripheral",_xlfn.XLOOKUP($K886&amp;"",PERIPHERAL!$B$3:$B$954&amp;"",PERIPHERAL!$I$3:$I$954,""),"Utilities",_xlfn.XLOOKUP($K886&amp;"",UTILITIES!$B$3:$B$953&amp;"",UTILITIES!$H$3:$H$953,""),"IOT",_xlfn.XLOOKUP($K886&amp;"",IOT!$B$3:$B$1012&amp;"",IOT!$I$3:$I$1012,""),"SERVER",_xlfn.XLOOKUP($K886&amp;"",SERVER!$B$3:$B$1009&amp;"",SERVER!$I$3:$I$1009,""),""))</f>
        <v/>
      </c>
      <c r="M886" t="str" cm="1">
        <f t="array" ref="M886">IF($K886="","",_xlfn.SWITCH($I886,"Computer",_xlfn.XLOOKUP($K886&amp;"",COMPUTER!$B$3:$B$1009&amp;"",COMPUTER!$J$3:$J$1009,""),"Display",_xlfn.XLOOKUP($K886&amp;"",DISPLAY!$B$3:$B$1000&amp;"",DISPLAY!$K$3:$K$1000,""),"Network Device",_xlfn.XLOOKUP($K886&amp;"",'NETWORK-DEVICES'!$B$3:$B$987&amp;"",'NETWORK-DEVICES'!$I$3:$I$987,""),"Peripheral",_xlfn.XLOOKUP($K886&amp;"",PERIPHERAL!$B$3:$B$954&amp;"",PERIPHERAL!$J$3:$J$954,""),"Utilities",_xlfn.XLOOKUP($K886&amp;"",UTILITIES!$B$3:$B$953&amp;"",UTILITIES!$I$3:$I$953,""),"IOT",_xlfn.XLOOKUP($K886&amp;"",IOT!$B$3:$B$1012&amp;"",IOT!$J$3:$J$1012,""),"Server",_xlfn.XLOOKUP($K886&amp;"",SERVER!$B$3:$B$1009&amp;"",SERVER!$J$3:$J$1009,""),""))</f>
        <v/>
      </c>
      <c r="N886" s="1" t="str" cm="1">
        <f t="array" ref="N886">IF(OR($K886="",$I886="",$J886=""),"",_xlfn.LET(_xlpm.srcCat,_xlfn.SWITCH($I886,"Computer",_xlfn.XLOOKUP($K886&amp;"",COMPUTER!$B$3:$B$1009&amp;"",COMPUTER!$H$3:$H$1009,""),"Display",_xlfn.XLOOKUP($K886&amp;"",DISPLAY!$B$3:$B$1000&amp;"",DISPLAY!$H$3:$H$1000,""),"Network Device",_xlfn.XLOOKUP($K886&amp;"",'NETWORK-DEVICES'!$B$3:$B$987&amp;"",'NETWORK-DEVICES'!$H$3:$H$987,""),"Peripheral",_xlfn.XLOOKUP($K886&amp;"",PERIPHERAL!$B$3:$B$954&amp;"",PERIPHERAL!$H$3:$H$954,""),"Utilities",_xlfn.XLOOKUP($K886&amp;"",UTILITIES!$B$3:$B$953&amp;"",UTILITIES!$G$3:$G$953,""),"IOT",_xlfn.XLOOKUP($K886&amp;"",IOT!$B$3:$B$1012&amp;"",IOT!$H$3:$H$1012,""),"Server",_xlfn.XLOOKUP($K886&amp;"",SERVER!$B$3:$B$1009&amp;"",SERVER!$H$3:$H$1009,""),""),IF(TRIM(_xlpm.srcCat)&lt;&gt;TRIM($J886),"",_xlfn.SWITCH($I886,"Computer",_xlfn.XLOOKUP($K886&amp;"",COMPUTER!$B$3:$B$1009&amp;"",COMPUTER!$K$3:$K$1009,""),"Display",_xlfn.XLOOKUP($K886&amp;"",DISPLAY!$B$3:$B$1000&amp;"",DISPLAY!$L$3:$L$1000,""),"Network Device",_xlfn.XLOOKUP($K886&amp;"",'NETWORK-DEVICES'!$B$3:$B$987&amp;"",'NETWORK-DEVICES'!$K$3:$K$987,""),"Peripheral",_xlfn.XLOOKUP($K886&amp;"",PERIPHERAL!$B$3:$B$954&amp;"",PERIPHERAL!$K$3:$K$954,""),"Utilities",_xlfn.XLOOKUP($K886&amp;"",UTILITIES!$B$3:$B$953&amp;"",UTILITIES!$J$3:$J$953,""),"IOT",_xlfn.XLOOKUP($K886&amp;"",IOT!$B$3:$B$1012&amp;"",IOT!$K$4:$K$1012,""),"Server",_xlfn.XLOOKUP($K886&amp;"",SERVER!$B$3:$B$1009&amp;"",SERVER!$K$3:$K$1009,""),""))))</f>
        <v/>
      </c>
      <c r="O886" s="1" t="str" cm="1">
        <f t="array" ref="O886">IF(OR($K886="",$I886="",$J886=""),"",_xlfn.LET(_xlpm.srcCat,_xlfn.SWITCH($I886,"Computer",_xlfn.XLOOKUP($K886&amp;"",COMPUTER!$B$3:$B$1009&amp;"",COMPUTER!$H$3:$H$1009,""),"Display",_xlfn.XLOOKUP($K886&amp;"",DISPLAY!$B$3:$B$1000&amp;"",DISPLAY!$H$3:$H$1000,""),"Network Device",_xlfn.XLOOKUP($K886&amp;"",'NETWORK-DEVICES'!$B$3:$B$987&amp;"",'NETWORK-DEVICES'!$H$3:$H$987,""),"Peripheral",_xlfn.XLOOKUP($K886&amp;"",PERIPHERAL!$B$3:$B$954&amp;"",PERIPHERAL!$H$3:$H$954,""),"Utilities",_xlfn.XLOOKUP($K886&amp;"",UTILITIES!$B$3:$B$953&amp;"",UTILITIES!$G$3:$G$953,""),"IOT",_xlfn.XLOOKUP($K886&amp;"",IOT!$B$3:$B$1012&amp;"",IOT!$H$3:$H$1012,""),"Server",_xlfn.XLOOKUP($K886&amp;"",SERVER!$B$3:$B$1009&amp;"",SERVER!$H$3:$H$1009,""),""),IF(TRIM(_xlpm.srcCat)&lt;&gt;TRIM($J886),"",_xlfn.SWITCH($I886,"Computer",_xlfn.XLOOKUP($K886&amp;"",COMPUTER!$B$3:$B$1009&amp;"",COMPUTER!$E$3:$E$1009,""),"Display",_xlfn.XLOOKUP($K886&amp;"",DISPLAY!$B$3:$B$1000&amp;"",DISPLAY!$E$3:$E$1000,""),"Network Device",_xlfn.XLOOKUP($K886&amp;"",'NETWORK-DEVICES'!$B$3:$B$987&amp;"",'NETWORK-DEVICES'!$E$3:$E$987,""),"Peripheral",_xlfn.XLOOKUP($K886&amp;"",PERIPHERAL!$B$3:$B$954&amp;"",PERIPHERAL!$E$3:$E$954,""),"Utilities",_xlfn.XLOOKUP($K886&amp;"",UTILITIES!$B$3:$B$953&amp;"",UTILITIES!$E$3:$E$953,""),"IOT",_xlfn.XLOOKUP($K886&amp;"",IOT!$B$3:$B$1012&amp;"",IOT!$E$3:$E$1012,""),"Server",_xlfn.XLOOKUP($K886&amp;"",SERVER!$B$3:$B$1009&amp;"",SERVER!$E$3:$E$1009,""),""))))</f>
        <v/>
      </c>
      <c r="Q886" s="1" t="str" cm="1">
        <f t="array" ref="Q886">IF(OR($K886="",$I886="",$J886=""),"",_xlfn.LET(_xlpm.srcCat,_xlfn.SWITCH($I886,"Computer",_xlfn.XLOOKUP($K886&amp;"",COMPUTER!$B$3:$B$1009&amp;"",COMPUTER!$H$3:$H$1009,""),"Display",_xlfn.XLOOKUP($K886&amp;"",DISPLAY!$B$3:$B$1000&amp;"",DISPLAY!$H$3:$H$1000,""),"Network Device",_xlfn.XLOOKUP($K886&amp;"",'NETWORK-DEVICES'!$B$3:$B$987&amp;"",'NETWORK-DEVICES'!$H$3:$H$987,""),"Peripheral",_xlfn.XLOOKUP($K886&amp;"",PERIPHERAL!$B$3:$B$954&amp;"",PERIPHERAL!$H$3:$H$954,""),"Utilities",_xlfn.XLOOKUP($K886&amp;"",UTILITIES!$B$3:$B$953&amp;"",UTILITIES!$G$3:$G$953,""),"IOT",_xlfn.XLOOKUP($K886&amp;"",IOT!$B$3:$B$1012&amp;"",IOT!$H$3:$H$1012,""),"Server",_xlfn.XLOOKUP($K886&amp;"",SERVER!$B$3:$B$1009&amp;"",SERVER!$H$3:$H$1009,""),""),IF(TRIM(_xlpm.srcCat)&lt;&gt;TRIM($J886),"",_xlfn.SWITCH($I886,"Computer",_xlfn.XLOOKUP($K886&amp;"",COMPUTER!$B$3:$B$1009&amp;"",COMPUTER!$AM$3:$AM$1009,""),"Display",_xlfn.XLOOKUP($K886&amp;"",DISPLAY!$B$3:$B$1000&amp;"",DISPLAY!$V$3:$V$1000,""),"Network Device",_xlfn.XLOOKUP($K886&amp;"",'NETWORK-DEVICES'!$B$3:$B$987&amp;"",'NETWORK-DEVICES'!$AF$3:$AF$987,""),"Peripheral",_xlfn.XLOOKUP($K886&amp;"",PERIPHERAL!$B$3:$B$954&amp;"",PERIPHERAL!$Y$3:$Y$954,""),"Utilities",_xlfn.XLOOKUP($K886&amp;"",UTILITIES!$B$3:$B$953&amp;"",UTILITIES!$O$3:$O$953,""),"IOT",_xlfn.XLOOKUP($K886&amp;"",IOT!$B$3:$B$1012&amp;"",IOT!$AB$3:$AB$1012,""),"Server",_xlfn.XLOOKUP($K886&amp;"",SERVER!$B$3:$B$1009&amp;"",SERVER!$AB$3:$AB$1009,""),""))))</f>
        <v/>
      </c>
      <c r="R886" s="43" t="str">
        <f>IF(tbl_handover[[#This Row],[Asset Code]]="","",COUNTIF(tbl_handover[Asset Code],tbl_handover[[#This Row],[Asset Code]]))</f>
        <v/>
      </c>
    </row>
    <row r="887" spans="1:18" x14ac:dyDescent="0.25">
      <c r="A887" s="43" t="str">
        <f>IF(B887&lt;&gt;"",SUBTOTAL(3,$B$1:B886),"")</f>
        <v/>
      </c>
      <c r="C887" s="74"/>
      <c r="D887" s="74"/>
      <c r="G887" s="1"/>
      <c r="K887" s="42"/>
      <c r="L887" t="str" cm="1">
        <f t="array" ref="L887">IF($K887="","",_xlfn.SWITCH($I887,"Computer",_xlfn.XLOOKUP($K887&amp;"",COMPUTER!$B$3:$B$1009&amp;"",COMPUTER!$I$3:$I$1009,""),"Display",_xlfn.XLOOKUP($K887&amp;"",DISPLAY!$B$3:$B$1000&amp;"",DISPLAY!$J$3:$J$1000,""),"Network Device",_xlfn.XLOOKUP($K887&amp;"",'NETWORK-DEVICES'!$B$3:$B$987&amp;"",'NETWORK-DEVICES'!$I$3:$I$987,""),"Peripheral",_xlfn.XLOOKUP($K887&amp;"",PERIPHERAL!$B$3:$B$954&amp;"",PERIPHERAL!$I$3:$I$954,""),"Utilities",_xlfn.XLOOKUP($K887&amp;"",UTILITIES!$B$3:$B$953&amp;"",UTILITIES!$H$3:$H$953,""),"IOT",_xlfn.XLOOKUP($K887&amp;"",IOT!$B$3:$B$1012&amp;"",IOT!$I$3:$I$1012,""),"SERVER",_xlfn.XLOOKUP($K887&amp;"",SERVER!$B$3:$B$1009&amp;"",SERVER!$I$3:$I$1009,""),""))</f>
        <v/>
      </c>
      <c r="M887" t="str" cm="1">
        <f t="array" ref="M887">IF($K887="","",_xlfn.SWITCH($I887,"Computer",_xlfn.XLOOKUP($K887&amp;"",COMPUTER!$B$3:$B$1009&amp;"",COMPUTER!$J$3:$J$1009,""),"Display",_xlfn.XLOOKUP($K887&amp;"",DISPLAY!$B$3:$B$1000&amp;"",DISPLAY!$K$3:$K$1000,""),"Network Device",_xlfn.XLOOKUP($K887&amp;"",'NETWORK-DEVICES'!$B$3:$B$987&amp;"",'NETWORK-DEVICES'!$I$3:$I$987,""),"Peripheral",_xlfn.XLOOKUP($K887&amp;"",PERIPHERAL!$B$3:$B$954&amp;"",PERIPHERAL!$J$3:$J$954,""),"Utilities",_xlfn.XLOOKUP($K887&amp;"",UTILITIES!$B$3:$B$953&amp;"",UTILITIES!$I$3:$I$953,""),"IOT",_xlfn.XLOOKUP($K887&amp;"",IOT!$B$3:$B$1012&amp;"",IOT!$J$3:$J$1012,""),"Server",_xlfn.XLOOKUP($K887&amp;"",SERVER!$B$3:$B$1009&amp;"",SERVER!$J$3:$J$1009,""),""))</f>
        <v/>
      </c>
      <c r="N887" s="1" t="str" cm="1">
        <f t="array" ref="N887">IF(OR($K887="",$I887="",$J887=""),"",_xlfn.LET(_xlpm.srcCat,_xlfn.SWITCH($I887,"Computer",_xlfn.XLOOKUP($K887&amp;"",COMPUTER!$B$3:$B$1009&amp;"",COMPUTER!$H$3:$H$1009,""),"Display",_xlfn.XLOOKUP($K887&amp;"",DISPLAY!$B$3:$B$1000&amp;"",DISPLAY!$H$3:$H$1000,""),"Network Device",_xlfn.XLOOKUP($K887&amp;"",'NETWORK-DEVICES'!$B$3:$B$987&amp;"",'NETWORK-DEVICES'!$H$3:$H$987,""),"Peripheral",_xlfn.XLOOKUP($K887&amp;"",PERIPHERAL!$B$3:$B$954&amp;"",PERIPHERAL!$H$3:$H$954,""),"Utilities",_xlfn.XLOOKUP($K887&amp;"",UTILITIES!$B$3:$B$953&amp;"",UTILITIES!$G$3:$G$953,""),"IOT",_xlfn.XLOOKUP($K887&amp;"",IOT!$B$3:$B$1012&amp;"",IOT!$H$3:$H$1012,""),"Server",_xlfn.XLOOKUP($K887&amp;"",SERVER!$B$3:$B$1009&amp;"",SERVER!$H$3:$H$1009,""),""),IF(TRIM(_xlpm.srcCat)&lt;&gt;TRIM($J887),"",_xlfn.SWITCH($I887,"Computer",_xlfn.XLOOKUP($K887&amp;"",COMPUTER!$B$3:$B$1009&amp;"",COMPUTER!$K$3:$K$1009,""),"Display",_xlfn.XLOOKUP($K887&amp;"",DISPLAY!$B$3:$B$1000&amp;"",DISPLAY!$L$3:$L$1000,""),"Network Device",_xlfn.XLOOKUP($K887&amp;"",'NETWORK-DEVICES'!$B$3:$B$987&amp;"",'NETWORK-DEVICES'!$K$3:$K$987,""),"Peripheral",_xlfn.XLOOKUP($K887&amp;"",PERIPHERAL!$B$3:$B$954&amp;"",PERIPHERAL!$K$3:$K$954,""),"Utilities",_xlfn.XLOOKUP($K887&amp;"",UTILITIES!$B$3:$B$953&amp;"",UTILITIES!$J$3:$J$953,""),"IOT",_xlfn.XLOOKUP($K887&amp;"",IOT!$B$3:$B$1012&amp;"",IOT!$K$4:$K$1012,""),"Server",_xlfn.XLOOKUP($K887&amp;"",SERVER!$B$3:$B$1009&amp;"",SERVER!$K$3:$K$1009,""),""))))</f>
        <v/>
      </c>
      <c r="O887" s="1" t="str" cm="1">
        <f t="array" ref="O887">IF(OR($K887="",$I887="",$J887=""),"",_xlfn.LET(_xlpm.srcCat,_xlfn.SWITCH($I887,"Computer",_xlfn.XLOOKUP($K887&amp;"",COMPUTER!$B$3:$B$1009&amp;"",COMPUTER!$H$3:$H$1009,""),"Display",_xlfn.XLOOKUP($K887&amp;"",DISPLAY!$B$3:$B$1000&amp;"",DISPLAY!$H$3:$H$1000,""),"Network Device",_xlfn.XLOOKUP($K887&amp;"",'NETWORK-DEVICES'!$B$3:$B$987&amp;"",'NETWORK-DEVICES'!$H$3:$H$987,""),"Peripheral",_xlfn.XLOOKUP($K887&amp;"",PERIPHERAL!$B$3:$B$954&amp;"",PERIPHERAL!$H$3:$H$954,""),"Utilities",_xlfn.XLOOKUP($K887&amp;"",UTILITIES!$B$3:$B$953&amp;"",UTILITIES!$G$3:$G$953,""),"IOT",_xlfn.XLOOKUP($K887&amp;"",IOT!$B$3:$B$1012&amp;"",IOT!$H$3:$H$1012,""),"Server",_xlfn.XLOOKUP($K887&amp;"",SERVER!$B$3:$B$1009&amp;"",SERVER!$H$3:$H$1009,""),""),IF(TRIM(_xlpm.srcCat)&lt;&gt;TRIM($J887),"",_xlfn.SWITCH($I887,"Computer",_xlfn.XLOOKUP($K887&amp;"",COMPUTER!$B$3:$B$1009&amp;"",COMPUTER!$E$3:$E$1009,""),"Display",_xlfn.XLOOKUP($K887&amp;"",DISPLAY!$B$3:$B$1000&amp;"",DISPLAY!$E$3:$E$1000,""),"Network Device",_xlfn.XLOOKUP($K887&amp;"",'NETWORK-DEVICES'!$B$3:$B$987&amp;"",'NETWORK-DEVICES'!$E$3:$E$987,""),"Peripheral",_xlfn.XLOOKUP($K887&amp;"",PERIPHERAL!$B$3:$B$954&amp;"",PERIPHERAL!$E$3:$E$954,""),"Utilities",_xlfn.XLOOKUP($K887&amp;"",UTILITIES!$B$3:$B$953&amp;"",UTILITIES!$E$3:$E$953,""),"IOT",_xlfn.XLOOKUP($K887&amp;"",IOT!$B$3:$B$1012&amp;"",IOT!$E$3:$E$1012,""),"Server",_xlfn.XLOOKUP($K887&amp;"",SERVER!$B$3:$B$1009&amp;"",SERVER!$E$3:$E$1009,""),""))))</f>
        <v/>
      </c>
      <c r="Q887" s="1" t="str" cm="1">
        <f t="array" ref="Q887">IF(OR($K887="",$I887="",$J887=""),"",_xlfn.LET(_xlpm.srcCat,_xlfn.SWITCH($I887,"Computer",_xlfn.XLOOKUP($K887&amp;"",COMPUTER!$B$3:$B$1009&amp;"",COMPUTER!$H$3:$H$1009,""),"Display",_xlfn.XLOOKUP($K887&amp;"",DISPLAY!$B$3:$B$1000&amp;"",DISPLAY!$H$3:$H$1000,""),"Network Device",_xlfn.XLOOKUP($K887&amp;"",'NETWORK-DEVICES'!$B$3:$B$987&amp;"",'NETWORK-DEVICES'!$H$3:$H$987,""),"Peripheral",_xlfn.XLOOKUP($K887&amp;"",PERIPHERAL!$B$3:$B$954&amp;"",PERIPHERAL!$H$3:$H$954,""),"Utilities",_xlfn.XLOOKUP($K887&amp;"",UTILITIES!$B$3:$B$953&amp;"",UTILITIES!$G$3:$G$953,""),"IOT",_xlfn.XLOOKUP($K887&amp;"",IOT!$B$3:$B$1012&amp;"",IOT!$H$3:$H$1012,""),"Server",_xlfn.XLOOKUP($K887&amp;"",SERVER!$B$3:$B$1009&amp;"",SERVER!$H$3:$H$1009,""),""),IF(TRIM(_xlpm.srcCat)&lt;&gt;TRIM($J887),"",_xlfn.SWITCH($I887,"Computer",_xlfn.XLOOKUP($K887&amp;"",COMPUTER!$B$3:$B$1009&amp;"",COMPUTER!$AM$3:$AM$1009,""),"Display",_xlfn.XLOOKUP($K887&amp;"",DISPLAY!$B$3:$B$1000&amp;"",DISPLAY!$V$3:$V$1000,""),"Network Device",_xlfn.XLOOKUP($K887&amp;"",'NETWORK-DEVICES'!$B$3:$B$987&amp;"",'NETWORK-DEVICES'!$AF$3:$AF$987,""),"Peripheral",_xlfn.XLOOKUP($K887&amp;"",PERIPHERAL!$B$3:$B$954&amp;"",PERIPHERAL!$Y$3:$Y$954,""),"Utilities",_xlfn.XLOOKUP($K887&amp;"",UTILITIES!$B$3:$B$953&amp;"",UTILITIES!$O$3:$O$953,""),"IOT",_xlfn.XLOOKUP($K887&amp;"",IOT!$B$3:$B$1012&amp;"",IOT!$AB$3:$AB$1012,""),"Server",_xlfn.XLOOKUP($K887&amp;"",SERVER!$B$3:$B$1009&amp;"",SERVER!$AB$3:$AB$1009,""),""))))</f>
        <v/>
      </c>
      <c r="R887" s="43" t="str">
        <f>IF(tbl_handover[[#This Row],[Asset Code]]="","",COUNTIF(tbl_handover[Asset Code],tbl_handover[[#This Row],[Asset Code]]))</f>
        <v/>
      </c>
    </row>
    <row r="888" spans="1:18" x14ac:dyDescent="0.25">
      <c r="A888" s="43" t="str">
        <f>IF(B888&lt;&gt;"",SUBTOTAL(3,$B$1:B887),"")</f>
        <v/>
      </c>
      <c r="C888" s="74"/>
      <c r="D888" s="74"/>
      <c r="G888" s="1"/>
      <c r="K888" s="42"/>
      <c r="L888" t="str" cm="1">
        <f t="array" ref="L888">IF($K888="","",_xlfn.SWITCH($I888,"Computer",_xlfn.XLOOKUP($K888&amp;"",COMPUTER!$B$3:$B$1009&amp;"",COMPUTER!$I$3:$I$1009,""),"Display",_xlfn.XLOOKUP($K888&amp;"",DISPLAY!$B$3:$B$1000&amp;"",DISPLAY!$J$3:$J$1000,""),"Network Device",_xlfn.XLOOKUP($K888&amp;"",'NETWORK-DEVICES'!$B$3:$B$987&amp;"",'NETWORK-DEVICES'!$I$3:$I$987,""),"Peripheral",_xlfn.XLOOKUP($K888&amp;"",PERIPHERAL!$B$3:$B$954&amp;"",PERIPHERAL!$I$3:$I$954,""),"Utilities",_xlfn.XLOOKUP($K888&amp;"",UTILITIES!$B$3:$B$953&amp;"",UTILITIES!$H$3:$H$953,""),"IOT",_xlfn.XLOOKUP($K888&amp;"",IOT!$B$3:$B$1012&amp;"",IOT!$I$3:$I$1012,""),"SERVER",_xlfn.XLOOKUP($K888&amp;"",SERVER!$B$3:$B$1009&amp;"",SERVER!$I$3:$I$1009,""),""))</f>
        <v/>
      </c>
      <c r="M888" t="str" cm="1">
        <f t="array" ref="M888">IF($K888="","",_xlfn.SWITCH($I888,"Computer",_xlfn.XLOOKUP($K888&amp;"",COMPUTER!$B$3:$B$1009&amp;"",COMPUTER!$J$3:$J$1009,""),"Display",_xlfn.XLOOKUP($K888&amp;"",DISPLAY!$B$3:$B$1000&amp;"",DISPLAY!$K$3:$K$1000,""),"Network Device",_xlfn.XLOOKUP($K888&amp;"",'NETWORK-DEVICES'!$B$3:$B$987&amp;"",'NETWORK-DEVICES'!$I$3:$I$987,""),"Peripheral",_xlfn.XLOOKUP($K888&amp;"",PERIPHERAL!$B$3:$B$954&amp;"",PERIPHERAL!$J$3:$J$954,""),"Utilities",_xlfn.XLOOKUP($K888&amp;"",UTILITIES!$B$3:$B$953&amp;"",UTILITIES!$I$3:$I$953,""),"IOT",_xlfn.XLOOKUP($K888&amp;"",IOT!$B$3:$B$1012&amp;"",IOT!$J$3:$J$1012,""),"Server",_xlfn.XLOOKUP($K888&amp;"",SERVER!$B$3:$B$1009&amp;"",SERVER!$J$3:$J$1009,""),""))</f>
        <v/>
      </c>
      <c r="N888" s="1" t="str" cm="1">
        <f t="array" ref="N888">IF(OR($K888="",$I888="",$J888=""),"",_xlfn.LET(_xlpm.srcCat,_xlfn.SWITCH($I888,"Computer",_xlfn.XLOOKUP($K888&amp;"",COMPUTER!$B$3:$B$1009&amp;"",COMPUTER!$H$3:$H$1009,""),"Display",_xlfn.XLOOKUP($K888&amp;"",DISPLAY!$B$3:$B$1000&amp;"",DISPLAY!$H$3:$H$1000,""),"Network Device",_xlfn.XLOOKUP($K888&amp;"",'NETWORK-DEVICES'!$B$3:$B$987&amp;"",'NETWORK-DEVICES'!$H$3:$H$987,""),"Peripheral",_xlfn.XLOOKUP($K888&amp;"",PERIPHERAL!$B$3:$B$954&amp;"",PERIPHERAL!$H$3:$H$954,""),"Utilities",_xlfn.XLOOKUP($K888&amp;"",UTILITIES!$B$3:$B$953&amp;"",UTILITIES!$G$3:$G$953,""),"IOT",_xlfn.XLOOKUP($K888&amp;"",IOT!$B$3:$B$1012&amp;"",IOT!$H$3:$H$1012,""),"Server",_xlfn.XLOOKUP($K888&amp;"",SERVER!$B$3:$B$1009&amp;"",SERVER!$H$3:$H$1009,""),""),IF(TRIM(_xlpm.srcCat)&lt;&gt;TRIM($J888),"",_xlfn.SWITCH($I888,"Computer",_xlfn.XLOOKUP($K888&amp;"",COMPUTER!$B$3:$B$1009&amp;"",COMPUTER!$K$3:$K$1009,""),"Display",_xlfn.XLOOKUP($K888&amp;"",DISPLAY!$B$3:$B$1000&amp;"",DISPLAY!$L$3:$L$1000,""),"Network Device",_xlfn.XLOOKUP($K888&amp;"",'NETWORK-DEVICES'!$B$3:$B$987&amp;"",'NETWORK-DEVICES'!$K$3:$K$987,""),"Peripheral",_xlfn.XLOOKUP($K888&amp;"",PERIPHERAL!$B$3:$B$954&amp;"",PERIPHERAL!$K$3:$K$954,""),"Utilities",_xlfn.XLOOKUP($K888&amp;"",UTILITIES!$B$3:$B$953&amp;"",UTILITIES!$J$3:$J$953,""),"IOT",_xlfn.XLOOKUP($K888&amp;"",IOT!$B$3:$B$1012&amp;"",IOT!$K$4:$K$1012,""),"Server",_xlfn.XLOOKUP($K888&amp;"",SERVER!$B$3:$B$1009&amp;"",SERVER!$K$3:$K$1009,""),""))))</f>
        <v/>
      </c>
      <c r="O888" s="1" t="str" cm="1">
        <f t="array" ref="O888">IF(OR($K888="",$I888="",$J888=""),"",_xlfn.LET(_xlpm.srcCat,_xlfn.SWITCH($I888,"Computer",_xlfn.XLOOKUP($K888&amp;"",COMPUTER!$B$3:$B$1009&amp;"",COMPUTER!$H$3:$H$1009,""),"Display",_xlfn.XLOOKUP($K888&amp;"",DISPLAY!$B$3:$B$1000&amp;"",DISPLAY!$H$3:$H$1000,""),"Network Device",_xlfn.XLOOKUP($K888&amp;"",'NETWORK-DEVICES'!$B$3:$B$987&amp;"",'NETWORK-DEVICES'!$H$3:$H$987,""),"Peripheral",_xlfn.XLOOKUP($K888&amp;"",PERIPHERAL!$B$3:$B$954&amp;"",PERIPHERAL!$H$3:$H$954,""),"Utilities",_xlfn.XLOOKUP($K888&amp;"",UTILITIES!$B$3:$B$953&amp;"",UTILITIES!$G$3:$G$953,""),"IOT",_xlfn.XLOOKUP($K888&amp;"",IOT!$B$3:$B$1012&amp;"",IOT!$H$3:$H$1012,""),"Server",_xlfn.XLOOKUP($K888&amp;"",SERVER!$B$3:$B$1009&amp;"",SERVER!$H$3:$H$1009,""),""),IF(TRIM(_xlpm.srcCat)&lt;&gt;TRIM($J888),"",_xlfn.SWITCH($I888,"Computer",_xlfn.XLOOKUP($K888&amp;"",COMPUTER!$B$3:$B$1009&amp;"",COMPUTER!$E$3:$E$1009,""),"Display",_xlfn.XLOOKUP($K888&amp;"",DISPLAY!$B$3:$B$1000&amp;"",DISPLAY!$E$3:$E$1000,""),"Network Device",_xlfn.XLOOKUP($K888&amp;"",'NETWORK-DEVICES'!$B$3:$B$987&amp;"",'NETWORK-DEVICES'!$E$3:$E$987,""),"Peripheral",_xlfn.XLOOKUP($K888&amp;"",PERIPHERAL!$B$3:$B$954&amp;"",PERIPHERAL!$E$3:$E$954,""),"Utilities",_xlfn.XLOOKUP($K888&amp;"",UTILITIES!$B$3:$B$953&amp;"",UTILITIES!$E$3:$E$953,""),"IOT",_xlfn.XLOOKUP($K888&amp;"",IOT!$B$3:$B$1012&amp;"",IOT!$E$3:$E$1012,""),"Server",_xlfn.XLOOKUP($K888&amp;"",SERVER!$B$3:$B$1009&amp;"",SERVER!$E$3:$E$1009,""),""))))</f>
        <v/>
      </c>
      <c r="Q888" s="1" t="str" cm="1">
        <f t="array" ref="Q888">IF(OR($K888="",$I888="",$J888=""),"",_xlfn.LET(_xlpm.srcCat,_xlfn.SWITCH($I888,"Computer",_xlfn.XLOOKUP($K888&amp;"",COMPUTER!$B$3:$B$1009&amp;"",COMPUTER!$H$3:$H$1009,""),"Display",_xlfn.XLOOKUP($K888&amp;"",DISPLAY!$B$3:$B$1000&amp;"",DISPLAY!$H$3:$H$1000,""),"Network Device",_xlfn.XLOOKUP($K888&amp;"",'NETWORK-DEVICES'!$B$3:$B$987&amp;"",'NETWORK-DEVICES'!$H$3:$H$987,""),"Peripheral",_xlfn.XLOOKUP($K888&amp;"",PERIPHERAL!$B$3:$B$954&amp;"",PERIPHERAL!$H$3:$H$954,""),"Utilities",_xlfn.XLOOKUP($K888&amp;"",UTILITIES!$B$3:$B$953&amp;"",UTILITIES!$G$3:$G$953,""),"IOT",_xlfn.XLOOKUP($K888&amp;"",IOT!$B$3:$B$1012&amp;"",IOT!$H$3:$H$1012,""),"Server",_xlfn.XLOOKUP($K888&amp;"",SERVER!$B$3:$B$1009&amp;"",SERVER!$H$3:$H$1009,""),""),IF(TRIM(_xlpm.srcCat)&lt;&gt;TRIM($J888),"",_xlfn.SWITCH($I888,"Computer",_xlfn.XLOOKUP($K888&amp;"",COMPUTER!$B$3:$B$1009&amp;"",COMPUTER!$AM$3:$AM$1009,""),"Display",_xlfn.XLOOKUP($K888&amp;"",DISPLAY!$B$3:$B$1000&amp;"",DISPLAY!$V$3:$V$1000,""),"Network Device",_xlfn.XLOOKUP($K888&amp;"",'NETWORK-DEVICES'!$B$3:$B$987&amp;"",'NETWORK-DEVICES'!$AF$3:$AF$987,""),"Peripheral",_xlfn.XLOOKUP($K888&amp;"",PERIPHERAL!$B$3:$B$954&amp;"",PERIPHERAL!$Y$3:$Y$954,""),"Utilities",_xlfn.XLOOKUP($K888&amp;"",UTILITIES!$B$3:$B$953&amp;"",UTILITIES!$O$3:$O$953,""),"IOT",_xlfn.XLOOKUP($K888&amp;"",IOT!$B$3:$B$1012&amp;"",IOT!$AB$3:$AB$1012,""),"Server",_xlfn.XLOOKUP($K888&amp;"",SERVER!$B$3:$B$1009&amp;"",SERVER!$AB$3:$AB$1009,""),""))))</f>
        <v/>
      </c>
      <c r="R888" s="43" t="str">
        <f>IF(tbl_handover[[#This Row],[Asset Code]]="","",COUNTIF(tbl_handover[Asset Code],tbl_handover[[#This Row],[Asset Code]]))</f>
        <v/>
      </c>
    </row>
    <row r="889" spans="1:18" x14ac:dyDescent="0.25">
      <c r="A889" s="43" t="str">
        <f>IF(B889&lt;&gt;"",SUBTOTAL(3,$B$1:B888),"")</f>
        <v/>
      </c>
      <c r="C889" s="74"/>
      <c r="D889" s="74"/>
      <c r="G889" s="1"/>
      <c r="K889" s="42"/>
      <c r="L889" t="str" cm="1">
        <f t="array" ref="L889">IF($K889="","",_xlfn.SWITCH($I889,"Computer",_xlfn.XLOOKUP($K889&amp;"",COMPUTER!$B$3:$B$1009&amp;"",COMPUTER!$I$3:$I$1009,""),"Display",_xlfn.XLOOKUP($K889&amp;"",DISPLAY!$B$3:$B$1000&amp;"",DISPLAY!$J$3:$J$1000,""),"Network Device",_xlfn.XLOOKUP($K889&amp;"",'NETWORK-DEVICES'!$B$3:$B$987&amp;"",'NETWORK-DEVICES'!$I$3:$I$987,""),"Peripheral",_xlfn.XLOOKUP($K889&amp;"",PERIPHERAL!$B$3:$B$954&amp;"",PERIPHERAL!$I$3:$I$954,""),"Utilities",_xlfn.XLOOKUP($K889&amp;"",UTILITIES!$B$3:$B$953&amp;"",UTILITIES!$H$3:$H$953,""),"IOT",_xlfn.XLOOKUP($K889&amp;"",IOT!$B$3:$B$1012&amp;"",IOT!$I$3:$I$1012,""),"SERVER",_xlfn.XLOOKUP($K889&amp;"",SERVER!$B$3:$B$1009&amp;"",SERVER!$I$3:$I$1009,""),""))</f>
        <v/>
      </c>
      <c r="M889" t="str" cm="1">
        <f t="array" ref="M889">IF($K889="","",_xlfn.SWITCH($I889,"Computer",_xlfn.XLOOKUP($K889&amp;"",COMPUTER!$B$3:$B$1009&amp;"",COMPUTER!$J$3:$J$1009,""),"Display",_xlfn.XLOOKUP($K889&amp;"",DISPLAY!$B$3:$B$1000&amp;"",DISPLAY!$K$3:$K$1000,""),"Network Device",_xlfn.XLOOKUP($K889&amp;"",'NETWORK-DEVICES'!$B$3:$B$987&amp;"",'NETWORK-DEVICES'!$I$3:$I$987,""),"Peripheral",_xlfn.XLOOKUP($K889&amp;"",PERIPHERAL!$B$3:$B$954&amp;"",PERIPHERAL!$J$3:$J$954,""),"Utilities",_xlfn.XLOOKUP($K889&amp;"",UTILITIES!$B$3:$B$953&amp;"",UTILITIES!$I$3:$I$953,""),"IOT",_xlfn.XLOOKUP($K889&amp;"",IOT!$B$3:$B$1012&amp;"",IOT!$J$3:$J$1012,""),"Server",_xlfn.XLOOKUP($K889&amp;"",SERVER!$B$3:$B$1009&amp;"",SERVER!$J$3:$J$1009,""),""))</f>
        <v/>
      </c>
      <c r="N889" s="1" t="str" cm="1">
        <f t="array" ref="N889">IF(OR($K889="",$I889="",$J889=""),"",_xlfn.LET(_xlpm.srcCat,_xlfn.SWITCH($I889,"Computer",_xlfn.XLOOKUP($K889&amp;"",COMPUTER!$B$3:$B$1009&amp;"",COMPUTER!$H$3:$H$1009,""),"Display",_xlfn.XLOOKUP($K889&amp;"",DISPLAY!$B$3:$B$1000&amp;"",DISPLAY!$H$3:$H$1000,""),"Network Device",_xlfn.XLOOKUP($K889&amp;"",'NETWORK-DEVICES'!$B$3:$B$987&amp;"",'NETWORK-DEVICES'!$H$3:$H$987,""),"Peripheral",_xlfn.XLOOKUP($K889&amp;"",PERIPHERAL!$B$3:$B$954&amp;"",PERIPHERAL!$H$3:$H$954,""),"Utilities",_xlfn.XLOOKUP($K889&amp;"",UTILITIES!$B$3:$B$953&amp;"",UTILITIES!$G$3:$G$953,""),"IOT",_xlfn.XLOOKUP($K889&amp;"",IOT!$B$3:$B$1012&amp;"",IOT!$H$3:$H$1012,""),"Server",_xlfn.XLOOKUP($K889&amp;"",SERVER!$B$3:$B$1009&amp;"",SERVER!$H$3:$H$1009,""),""),IF(TRIM(_xlpm.srcCat)&lt;&gt;TRIM($J889),"",_xlfn.SWITCH($I889,"Computer",_xlfn.XLOOKUP($K889&amp;"",COMPUTER!$B$3:$B$1009&amp;"",COMPUTER!$K$3:$K$1009,""),"Display",_xlfn.XLOOKUP($K889&amp;"",DISPLAY!$B$3:$B$1000&amp;"",DISPLAY!$L$3:$L$1000,""),"Network Device",_xlfn.XLOOKUP($K889&amp;"",'NETWORK-DEVICES'!$B$3:$B$987&amp;"",'NETWORK-DEVICES'!$K$3:$K$987,""),"Peripheral",_xlfn.XLOOKUP($K889&amp;"",PERIPHERAL!$B$3:$B$954&amp;"",PERIPHERAL!$K$3:$K$954,""),"Utilities",_xlfn.XLOOKUP($K889&amp;"",UTILITIES!$B$3:$B$953&amp;"",UTILITIES!$J$3:$J$953,""),"IOT",_xlfn.XLOOKUP($K889&amp;"",IOT!$B$3:$B$1012&amp;"",IOT!$K$4:$K$1012,""),"Server",_xlfn.XLOOKUP($K889&amp;"",SERVER!$B$3:$B$1009&amp;"",SERVER!$K$3:$K$1009,""),""))))</f>
        <v/>
      </c>
      <c r="O889" s="1" t="str" cm="1">
        <f t="array" ref="O889">IF(OR($K889="",$I889="",$J889=""),"",_xlfn.LET(_xlpm.srcCat,_xlfn.SWITCH($I889,"Computer",_xlfn.XLOOKUP($K889&amp;"",COMPUTER!$B$3:$B$1009&amp;"",COMPUTER!$H$3:$H$1009,""),"Display",_xlfn.XLOOKUP($K889&amp;"",DISPLAY!$B$3:$B$1000&amp;"",DISPLAY!$H$3:$H$1000,""),"Network Device",_xlfn.XLOOKUP($K889&amp;"",'NETWORK-DEVICES'!$B$3:$B$987&amp;"",'NETWORK-DEVICES'!$H$3:$H$987,""),"Peripheral",_xlfn.XLOOKUP($K889&amp;"",PERIPHERAL!$B$3:$B$954&amp;"",PERIPHERAL!$H$3:$H$954,""),"Utilities",_xlfn.XLOOKUP($K889&amp;"",UTILITIES!$B$3:$B$953&amp;"",UTILITIES!$G$3:$G$953,""),"IOT",_xlfn.XLOOKUP($K889&amp;"",IOT!$B$3:$B$1012&amp;"",IOT!$H$3:$H$1012,""),"Server",_xlfn.XLOOKUP($K889&amp;"",SERVER!$B$3:$B$1009&amp;"",SERVER!$H$3:$H$1009,""),""),IF(TRIM(_xlpm.srcCat)&lt;&gt;TRIM($J889),"",_xlfn.SWITCH($I889,"Computer",_xlfn.XLOOKUP($K889&amp;"",COMPUTER!$B$3:$B$1009&amp;"",COMPUTER!$E$3:$E$1009,""),"Display",_xlfn.XLOOKUP($K889&amp;"",DISPLAY!$B$3:$B$1000&amp;"",DISPLAY!$E$3:$E$1000,""),"Network Device",_xlfn.XLOOKUP($K889&amp;"",'NETWORK-DEVICES'!$B$3:$B$987&amp;"",'NETWORK-DEVICES'!$E$3:$E$987,""),"Peripheral",_xlfn.XLOOKUP($K889&amp;"",PERIPHERAL!$B$3:$B$954&amp;"",PERIPHERAL!$E$3:$E$954,""),"Utilities",_xlfn.XLOOKUP($K889&amp;"",UTILITIES!$B$3:$B$953&amp;"",UTILITIES!$E$3:$E$953,""),"IOT",_xlfn.XLOOKUP($K889&amp;"",IOT!$B$3:$B$1012&amp;"",IOT!$E$3:$E$1012,""),"Server",_xlfn.XLOOKUP($K889&amp;"",SERVER!$B$3:$B$1009&amp;"",SERVER!$E$3:$E$1009,""),""))))</f>
        <v/>
      </c>
      <c r="Q889" s="1" t="str" cm="1">
        <f t="array" ref="Q889">IF(OR($K889="",$I889="",$J889=""),"",_xlfn.LET(_xlpm.srcCat,_xlfn.SWITCH($I889,"Computer",_xlfn.XLOOKUP($K889&amp;"",COMPUTER!$B$3:$B$1009&amp;"",COMPUTER!$H$3:$H$1009,""),"Display",_xlfn.XLOOKUP($K889&amp;"",DISPLAY!$B$3:$B$1000&amp;"",DISPLAY!$H$3:$H$1000,""),"Network Device",_xlfn.XLOOKUP($K889&amp;"",'NETWORK-DEVICES'!$B$3:$B$987&amp;"",'NETWORK-DEVICES'!$H$3:$H$987,""),"Peripheral",_xlfn.XLOOKUP($K889&amp;"",PERIPHERAL!$B$3:$B$954&amp;"",PERIPHERAL!$H$3:$H$954,""),"Utilities",_xlfn.XLOOKUP($K889&amp;"",UTILITIES!$B$3:$B$953&amp;"",UTILITIES!$G$3:$G$953,""),"IOT",_xlfn.XLOOKUP($K889&amp;"",IOT!$B$3:$B$1012&amp;"",IOT!$H$3:$H$1012,""),"Server",_xlfn.XLOOKUP($K889&amp;"",SERVER!$B$3:$B$1009&amp;"",SERVER!$H$3:$H$1009,""),""),IF(TRIM(_xlpm.srcCat)&lt;&gt;TRIM($J889),"",_xlfn.SWITCH($I889,"Computer",_xlfn.XLOOKUP($K889&amp;"",COMPUTER!$B$3:$B$1009&amp;"",COMPUTER!$AM$3:$AM$1009,""),"Display",_xlfn.XLOOKUP($K889&amp;"",DISPLAY!$B$3:$B$1000&amp;"",DISPLAY!$V$3:$V$1000,""),"Network Device",_xlfn.XLOOKUP($K889&amp;"",'NETWORK-DEVICES'!$B$3:$B$987&amp;"",'NETWORK-DEVICES'!$AF$3:$AF$987,""),"Peripheral",_xlfn.XLOOKUP($K889&amp;"",PERIPHERAL!$B$3:$B$954&amp;"",PERIPHERAL!$Y$3:$Y$954,""),"Utilities",_xlfn.XLOOKUP($K889&amp;"",UTILITIES!$B$3:$B$953&amp;"",UTILITIES!$O$3:$O$953,""),"IOT",_xlfn.XLOOKUP($K889&amp;"",IOT!$B$3:$B$1012&amp;"",IOT!$AB$3:$AB$1012,""),"Server",_xlfn.XLOOKUP($K889&amp;"",SERVER!$B$3:$B$1009&amp;"",SERVER!$AB$3:$AB$1009,""),""))))</f>
        <v/>
      </c>
      <c r="R889" s="43" t="str">
        <f>IF(tbl_handover[[#This Row],[Asset Code]]="","",COUNTIF(tbl_handover[Asset Code],tbl_handover[[#This Row],[Asset Code]]))</f>
        <v/>
      </c>
    </row>
    <row r="890" spans="1:18" x14ac:dyDescent="0.25">
      <c r="A890" s="43" t="str">
        <f>IF(B890&lt;&gt;"",SUBTOTAL(3,$B$1:B889),"")</f>
        <v/>
      </c>
      <c r="C890" s="74"/>
      <c r="D890" s="74"/>
      <c r="G890" s="1"/>
      <c r="K890" s="42"/>
      <c r="L890" t="str" cm="1">
        <f t="array" ref="L890">IF($K890="","",_xlfn.SWITCH($I890,"Computer",_xlfn.XLOOKUP($K890&amp;"",COMPUTER!$B$3:$B$1009&amp;"",COMPUTER!$I$3:$I$1009,""),"Display",_xlfn.XLOOKUP($K890&amp;"",DISPLAY!$B$3:$B$1000&amp;"",DISPLAY!$J$3:$J$1000,""),"Network Device",_xlfn.XLOOKUP($K890&amp;"",'NETWORK-DEVICES'!$B$3:$B$987&amp;"",'NETWORK-DEVICES'!$I$3:$I$987,""),"Peripheral",_xlfn.XLOOKUP($K890&amp;"",PERIPHERAL!$B$3:$B$954&amp;"",PERIPHERAL!$I$3:$I$954,""),"Utilities",_xlfn.XLOOKUP($K890&amp;"",UTILITIES!$B$3:$B$953&amp;"",UTILITIES!$H$3:$H$953,""),"IOT",_xlfn.XLOOKUP($K890&amp;"",IOT!$B$3:$B$1012&amp;"",IOT!$I$3:$I$1012,""),"SERVER",_xlfn.XLOOKUP($K890&amp;"",SERVER!$B$3:$B$1009&amp;"",SERVER!$I$3:$I$1009,""),""))</f>
        <v/>
      </c>
      <c r="M890" t="str" cm="1">
        <f t="array" ref="M890">IF($K890="","",_xlfn.SWITCH($I890,"Computer",_xlfn.XLOOKUP($K890&amp;"",COMPUTER!$B$3:$B$1009&amp;"",COMPUTER!$J$3:$J$1009,""),"Display",_xlfn.XLOOKUP($K890&amp;"",DISPLAY!$B$3:$B$1000&amp;"",DISPLAY!$K$3:$K$1000,""),"Network Device",_xlfn.XLOOKUP($K890&amp;"",'NETWORK-DEVICES'!$B$3:$B$987&amp;"",'NETWORK-DEVICES'!$I$3:$I$987,""),"Peripheral",_xlfn.XLOOKUP($K890&amp;"",PERIPHERAL!$B$3:$B$954&amp;"",PERIPHERAL!$J$3:$J$954,""),"Utilities",_xlfn.XLOOKUP($K890&amp;"",UTILITIES!$B$3:$B$953&amp;"",UTILITIES!$I$3:$I$953,""),"IOT",_xlfn.XLOOKUP($K890&amp;"",IOT!$B$3:$B$1012&amp;"",IOT!$J$3:$J$1012,""),"Server",_xlfn.XLOOKUP($K890&amp;"",SERVER!$B$3:$B$1009&amp;"",SERVER!$J$3:$J$1009,""),""))</f>
        <v/>
      </c>
      <c r="N890" s="1" t="str" cm="1">
        <f t="array" ref="N890">IF(OR($K890="",$I890="",$J890=""),"",_xlfn.LET(_xlpm.srcCat,_xlfn.SWITCH($I890,"Computer",_xlfn.XLOOKUP($K890&amp;"",COMPUTER!$B$3:$B$1009&amp;"",COMPUTER!$H$3:$H$1009,""),"Display",_xlfn.XLOOKUP($K890&amp;"",DISPLAY!$B$3:$B$1000&amp;"",DISPLAY!$H$3:$H$1000,""),"Network Device",_xlfn.XLOOKUP($K890&amp;"",'NETWORK-DEVICES'!$B$3:$B$987&amp;"",'NETWORK-DEVICES'!$H$3:$H$987,""),"Peripheral",_xlfn.XLOOKUP($K890&amp;"",PERIPHERAL!$B$3:$B$954&amp;"",PERIPHERAL!$H$3:$H$954,""),"Utilities",_xlfn.XLOOKUP($K890&amp;"",UTILITIES!$B$3:$B$953&amp;"",UTILITIES!$G$3:$G$953,""),"IOT",_xlfn.XLOOKUP($K890&amp;"",IOT!$B$3:$B$1012&amp;"",IOT!$H$3:$H$1012,""),"Server",_xlfn.XLOOKUP($K890&amp;"",SERVER!$B$3:$B$1009&amp;"",SERVER!$H$3:$H$1009,""),""),IF(TRIM(_xlpm.srcCat)&lt;&gt;TRIM($J890),"",_xlfn.SWITCH($I890,"Computer",_xlfn.XLOOKUP($K890&amp;"",COMPUTER!$B$3:$B$1009&amp;"",COMPUTER!$K$3:$K$1009,""),"Display",_xlfn.XLOOKUP($K890&amp;"",DISPLAY!$B$3:$B$1000&amp;"",DISPLAY!$L$3:$L$1000,""),"Network Device",_xlfn.XLOOKUP($K890&amp;"",'NETWORK-DEVICES'!$B$3:$B$987&amp;"",'NETWORK-DEVICES'!$K$3:$K$987,""),"Peripheral",_xlfn.XLOOKUP($K890&amp;"",PERIPHERAL!$B$3:$B$954&amp;"",PERIPHERAL!$K$3:$K$954,""),"Utilities",_xlfn.XLOOKUP($K890&amp;"",UTILITIES!$B$3:$B$953&amp;"",UTILITIES!$J$3:$J$953,""),"IOT",_xlfn.XLOOKUP($K890&amp;"",IOT!$B$3:$B$1012&amp;"",IOT!$K$4:$K$1012,""),"Server",_xlfn.XLOOKUP($K890&amp;"",SERVER!$B$3:$B$1009&amp;"",SERVER!$K$3:$K$1009,""),""))))</f>
        <v/>
      </c>
      <c r="O890" s="1" t="str" cm="1">
        <f t="array" ref="O890">IF(OR($K890="",$I890="",$J890=""),"",_xlfn.LET(_xlpm.srcCat,_xlfn.SWITCH($I890,"Computer",_xlfn.XLOOKUP($K890&amp;"",COMPUTER!$B$3:$B$1009&amp;"",COMPUTER!$H$3:$H$1009,""),"Display",_xlfn.XLOOKUP($K890&amp;"",DISPLAY!$B$3:$B$1000&amp;"",DISPLAY!$H$3:$H$1000,""),"Network Device",_xlfn.XLOOKUP($K890&amp;"",'NETWORK-DEVICES'!$B$3:$B$987&amp;"",'NETWORK-DEVICES'!$H$3:$H$987,""),"Peripheral",_xlfn.XLOOKUP($K890&amp;"",PERIPHERAL!$B$3:$B$954&amp;"",PERIPHERAL!$H$3:$H$954,""),"Utilities",_xlfn.XLOOKUP($K890&amp;"",UTILITIES!$B$3:$B$953&amp;"",UTILITIES!$G$3:$G$953,""),"IOT",_xlfn.XLOOKUP($K890&amp;"",IOT!$B$3:$B$1012&amp;"",IOT!$H$3:$H$1012,""),"Server",_xlfn.XLOOKUP($K890&amp;"",SERVER!$B$3:$B$1009&amp;"",SERVER!$H$3:$H$1009,""),""),IF(TRIM(_xlpm.srcCat)&lt;&gt;TRIM($J890),"",_xlfn.SWITCH($I890,"Computer",_xlfn.XLOOKUP($K890&amp;"",COMPUTER!$B$3:$B$1009&amp;"",COMPUTER!$E$3:$E$1009,""),"Display",_xlfn.XLOOKUP($K890&amp;"",DISPLAY!$B$3:$B$1000&amp;"",DISPLAY!$E$3:$E$1000,""),"Network Device",_xlfn.XLOOKUP($K890&amp;"",'NETWORK-DEVICES'!$B$3:$B$987&amp;"",'NETWORK-DEVICES'!$E$3:$E$987,""),"Peripheral",_xlfn.XLOOKUP($K890&amp;"",PERIPHERAL!$B$3:$B$954&amp;"",PERIPHERAL!$E$3:$E$954,""),"Utilities",_xlfn.XLOOKUP($K890&amp;"",UTILITIES!$B$3:$B$953&amp;"",UTILITIES!$E$3:$E$953,""),"IOT",_xlfn.XLOOKUP($K890&amp;"",IOT!$B$3:$B$1012&amp;"",IOT!$E$3:$E$1012,""),"Server",_xlfn.XLOOKUP($K890&amp;"",SERVER!$B$3:$B$1009&amp;"",SERVER!$E$3:$E$1009,""),""))))</f>
        <v/>
      </c>
      <c r="Q890" s="1" t="str" cm="1">
        <f t="array" ref="Q890">IF(OR($K890="",$I890="",$J890=""),"",_xlfn.LET(_xlpm.srcCat,_xlfn.SWITCH($I890,"Computer",_xlfn.XLOOKUP($K890&amp;"",COMPUTER!$B$3:$B$1009&amp;"",COMPUTER!$H$3:$H$1009,""),"Display",_xlfn.XLOOKUP($K890&amp;"",DISPLAY!$B$3:$B$1000&amp;"",DISPLAY!$H$3:$H$1000,""),"Network Device",_xlfn.XLOOKUP($K890&amp;"",'NETWORK-DEVICES'!$B$3:$B$987&amp;"",'NETWORK-DEVICES'!$H$3:$H$987,""),"Peripheral",_xlfn.XLOOKUP($K890&amp;"",PERIPHERAL!$B$3:$B$954&amp;"",PERIPHERAL!$H$3:$H$954,""),"Utilities",_xlfn.XLOOKUP($K890&amp;"",UTILITIES!$B$3:$B$953&amp;"",UTILITIES!$G$3:$G$953,""),"IOT",_xlfn.XLOOKUP($K890&amp;"",IOT!$B$3:$B$1012&amp;"",IOT!$H$3:$H$1012,""),"Server",_xlfn.XLOOKUP($K890&amp;"",SERVER!$B$3:$B$1009&amp;"",SERVER!$H$3:$H$1009,""),""),IF(TRIM(_xlpm.srcCat)&lt;&gt;TRIM($J890),"",_xlfn.SWITCH($I890,"Computer",_xlfn.XLOOKUP($K890&amp;"",COMPUTER!$B$3:$B$1009&amp;"",COMPUTER!$AM$3:$AM$1009,""),"Display",_xlfn.XLOOKUP($K890&amp;"",DISPLAY!$B$3:$B$1000&amp;"",DISPLAY!$V$3:$V$1000,""),"Network Device",_xlfn.XLOOKUP($K890&amp;"",'NETWORK-DEVICES'!$B$3:$B$987&amp;"",'NETWORK-DEVICES'!$AF$3:$AF$987,""),"Peripheral",_xlfn.XLOOKUP($K890&amp;"",PERIPHERAL!$B$3:$B$954&amp;"",PERIPHERAL!$Y$3:$Y$954,""),"Utilities",_xlfn.XLOOKUP($K890&amp;"",UTILITIES!$B$3:$B$953&amp;"",UTILITIES!$O$3:$O$953,""),"IOT",_xlfn.XLOOKUP($K890&amp;"",IOT!$B$3:$B$1012&amp;"",IOT!$AB$3:$AB$1012,""),"Server",_xlfn.XLOOKUP($K890&amp;"",SERVER!$B$3:$B$1009&amp;"",SERVER!$AB$3:$AB$1009,""),""))))</f>
        <v/>
      </c>
      <c r="R890" s="43" t="str">
        <f>IF(tbl_handover[[#This Row],[Asset Code]]="","",COUNTIF(tbl_handover[Asset Code],tbl_handover[[#This Row],[Asset Code]]))</f>
        <v/>
      </c>
    </row>
    <row r="891" spans="1:18" x14ac:dyDescent="0.25">
      <c r="A891" s="43" t="str">
        <f>IF(B891&lt;&gt;"",SUBTOTAL(3,$B$1:B890),"")</f>
        <v/>
      </c>
      <c r="C891" s="74"/>
      <c r="D891" s="74"/>
      <c r="G891" s="1"/>
      <c r="K891" s="42"/>
      <c r="L891" t="str" cm="1">
        <f t="array" ref="L891">IF($K891="","",_xlfn.SWITCH($I891,"Computer",_xlfn.XLOOKUP($K891&amp;"",COMPUTER!$B$3:$B$1009&amp;"",COMPUTER!$I$3:$I$1009,""),"Display",_xlfn.XLOOKUP($K891&amp;"",DISPLAY!$B$3:$B$1000&amp;"",DISPLAY!$J$3:$J$1000,""),"Network Device",_xlfn.XLOOKUP($K891&amp;"",'NETWORK-DEVICES'!$B$3:$B$987&amp;"",'NETWORK-DEVICES'!$I$3:$I$987,""),"Peripheral",_xlfn.XLOOKUP($K891&amp;"",PERIPHERAL!$B$3:$B$954&amp;"",PERIPHERAL!$I$3:$I$954,""),"Utilities",_xlfn.XLOOKUP($K891&amp;"",UTILITIES!$B$3:$B$953&amp;"",UTILITIES!$H$3:$H$953,""),"IOT",_xlfn.XLOOKUP($K891&amp;"",IOT!$B$3:$B$1012&amp;"",IOT!$I$3:$I$1012,""),"SERVER",_xlfn.XLOOKUP($K891&amp;"",SERVER!$B$3:$B$1009&amp;"",SERVER!$I$3:$I$1009,""),""))</f>
        <v/>
      </c>
      <c r="M891" t="str" cm="1">
        <f t="array" ref="M891">IF($K891="","",_xlfn.SWITCH($I891,"Computer",_xlfn.XLOOKUP($K891&amp;"",COMPUTER!$B$3:$B$1009&amp;"",COMPUTER!$J$3:$J$1009,""),"Display",_xlfn.XLOOKUP($K891&amp;"",DISPLAY!$B$3:$B$1000&amp;"",DISPLAY!$K$3:$K$1000,""),"Network Device",_xlfn.XLOOKUP($K891&amp;"",'NETWORK-DEVICES'!$B$3:$B$987&amp;"",'NETWORK-DEVICES'!$I$3:$I$987,""),"Peripheral",_xlfn.XLOOKUP($K891&amp;"",PERIPHERAL!$B$3:$B$954&amp;"",PERIPHERAL!$J$3:$J$954,""),"Utilities",_xlfn.XLOOKUP($K891&amp;"",UTILITIES!$B$3:$B$953&amp;"",UTILITIES!$I$3:$I$953,""),"IOT",_xlfn.XLOOKUP($K891&amp;"",IOT!$B$3:$B$1012&amp;"",IOT!$J$3:$J$1012,""),"Server",_xlfn.XLOOKUP($K891&amp;"",SERVER!$B$3:$B$1009&amp;"",SERVER!$J$3:$J$1009,""),""))</f>
        <v/>
      </c>
      <c r="N891" s="1" t="str" cm="1">
        <f t="array" ref="N891">IF(OR($K891="",$I891="",$J891=""),"",_xlfn.LET(_xlpm.srcCat,_xlfn.SWITCH($I891,"Computer",_xlfn.XLOOKUP($K891&amp;"",COMPUTER!$B$3:$B$1009&amp;"",COMPUTER!$H$3:$H$1009,""),"Display",_xlfn.XLOOKUP($K891&amp;"",DISPLAY!$B$3:$B$1000&amp;"",DISPLAY!$H$3:$H$1000,""),"Network Device",_xlfn.XLOOKUP($K891&amp;"",'NETWORK-DEVICES'!$B$3:$B$987&amp;"",'NETWORK-DEVICES'!$H$3:$H$987,""),"Peripheral",_xlfn.XLOOKUP($K891&amp;"",PERIPHERAL!$B$3:$B$954&amp;"",PERIPHERAL!$H$3:$H$954,""),"Utilities",_xlfn.XLOOKUP($K891&amp;"",UTILITIES!$B$3:$B$953&amp;"",UTILITIES!$G$3:$G$953,""),"IOT",_xlfn.XLOOKUP($K891&amp;"",IOT!$B$3:$B$1012&amp;"",IOT!$H$3:$H$1012,""),"Server",_xlfn.XLOOKUP($K891&amp;"",SERVER!$B$3:$B$1009&amp;"",SERVER!$H$3:$H$1009,""),""),IF(TRIM(_xlpm.srcCat)&lt;&gt;TRIM($J891),"",_xlfn.SWITCH($I891,"Computer",_xlfn.XLOOKUP($K891&amp;"",COMPUTER!$B$3:$B$1009&amp;"",COMPUTER!$K$3:$K$1009,""),"Display",_xlfn.XLOOKUP($K891&amp;"",DISPLAY!$B$3:$B$1000&amp;"",DISPLAY!$L$3:$L$1000,""),"Network Device",_xlfn.XLOOKUP($K891&amp;"",'NETWORK-DEVICES'!$B$3:$B$987&amp;"",'NETWORK-DEVICES'!$K$3:$K$987,""),"Peripheral",_xlfn.XLOOKUP($K891&amp;"",PERIPHERAL!$B$3:$B$954&amp;"",PERIPHERAL!$K$3:$K$954,""),"Utilities",_xlfn.XLOOKUP($K891&amp;"",UTILITIES!$B$3:$B$953&amp;"",UTILITIES!$J$3:$J$953,""),"IOT",_xlfn.XLOOKUP($K891&amp;"",IOT!$B$3:$B$1012&amp;"",IOT!$K$4:$K$1012,""),"Server",_xlfn.XLOOKUP($K891&amp;"",SERVER!$B$3:$B$1009&amp;"",SERVER!$K$3:$K$1009,""),""))))</f>
        <v/>
      </c>
      <c r="O891" s="1" t="str" cm="1">
        <f t="array" ref="O891">IF(OR($K891="",$I891="",$J891=""),"",_xlfn.LET(_xlpm.srcCat,_xlfn.SWITCH($I891,"Computer",_xlfn.XLOOKUP($K891&amp;"",COMPUTER!$B$3:$B$1009&amp;"",COMPUTER!$H$3:$H$1009,""),"Display",_xlfn.XLOOKUP($K891&amp;"",DISPLAY!$B$3:$B$1000&amp;"",DISPLAY!$H$3:$H$1000,""),"Network Device",_xlfn.XLOOKUP($K891&amp;"",'NETWORK-DEVICES'!$B$3:$B$987&amp;"",'NETWORK-DEVICES'!$H$3:$H$987,""),"Peripheral",_xlfn.XLOOKUP($K891&amp;"",PERIPHERAL!$B$3:$B$954&amp;"",PERIPHERAL!$H$3:$H$954,""),"Utilities",_xlfn.XLOOKUP($K891&amp;"",UTILITIES!$B$3:$B$953&amp;"",UTILITIES!$G$3:$G$953,""),"IOT",_xlfn.XLOOKUP($K891&amp;"",IOT!$B$3:$B$1012&amp;"",IOT!$H$3:$H$1012,""),"Server",_xlfn.XLOOKUP($K891&amp;"",SERVER!$B$3:$B$1009&amp;"",SERVER!$H$3:$H$1009,""),""),IF(TRIM(_xlpm.srcCat)&lt;&gt;TRIM($J891),"",_xlfn.SWITCH($I891,"Computer",_xlfn.XLOOKUP($K891&amp;"",COMPUTER!$B$3:$B$1009&amp;"",COMPUTER!$E$3:$E$1009,""),"Display",_xlfn.XLOOKUP($K891&amp;"",DISPLAY!$B$3:$B$1000&amp;"",DISPLAY!$E$3:$E$1000,""),"Network Device",_xlfn.XLOOKUP($K891&amp;"",'NETWORK-DEVICES'!$B$3:$B$987&amp;"",'NETWORK-DEVICES'!$E$3:$E$987,""),"Peripheral",_xlfn.XLOOKUP($K891&amp;"",PERIPHERAL!$B$3:$B$954&amp;"",PERIPHERAL!$E$3:$E$954,""),"Utilities",_xlfn.XLOOKUP($K891&amp;"",UTILITIES!$B$3:$B$953&amp;"",UTILITIES!$E$3:$E$953,""),"IOT",_xlfn.XLOOKUP($K891&amp;"",IOT!$B$3:$B$1012&amp;"",IOT!$E$3:$E$1012,""),"Server",_xlfn.XLOOKUP($K891&amp;"",SERVER!$B$3:$B$1009&amp;"",SERVER!$E$3:$E$1009,""),""))))</f>
        <v/>
      </c>
      <c r="Q891" s="1" t="str" cm="1">
        <f t="array" ref="Q891">IF(OR($K891="",$I891="",$J891=""),"",_xlfn.LET(_xlpm.srcCat,_xlfn.SWITCH($I891,"Computer",_xlfn.XLOOKUP($K891&amp;"",COMPUTER!$B$3:$B$1009&amp;"",COMPUTER!$H$3:$H$1009,""),"Display",_xlfn.XLOOKUP($K891&amp;"",DISPLAY!$B$3:$B$1000&amp;"",DISPLAY!$H$3:$H$1000,""),"Network Device",_xlfn.XLOOKUP($K891&amp;"",'NETWORK-DEVICES'!$B$3:$B$987&amp;"",'NETWORK-DEVICES'!$H$3:$H$987,""),"Peripheral",_xlfn.XLOOKUP($K891&amp;"",PERIPHERAL!$B$3:$B$954&amp;"",PERIPHERAL!$H$3:$H$954,""),"Utilities",_xlfn.XLOOKUP($K891&amp;"",UTILITIES!$B$3:$B$953&amp;"",UTILITIES!$G$3:$G$953,""),"IOT",_xlfn.XLOOKUP($K891&amp;"",IOT!$B$3:$B$1012&amp;"",IOT!$H$3:$H$1012,""),"Server",_xlfn.XLOOKUP($K891&amp;"",SERVER!$B$3:$B$1009&amp;"",SERVER!$H$3:$H$1009,""),""),IF(TRIM(_xlpm.srcCat)&lt;&gt;TRIM($J891),"",_xlfn.SWITCH($I891,"Computer",_xlfn.XLOOKUP($K891&amp;"",COMPUTER!$B$3:$B$1009&amp;"",COMPUTER!$AM$3:$AM$1009,""),"Display",_xlfn.XLOOKUP($K891&amp;"",DISPLAY!$B$3:$B$1000&amp;"",DISPLAY!$V$3:$V$1000,""),"Network Device",_xlfn.XLOOKUP($K891&amp;"",'NETWORK-DEVICES'!$B$3:$B$987&amp;"",'NETWORK-DEVICES'!$AF$3:$AF$987,""),"Peripheral",_xlfn.XLOOKUP($K891&amp;"",PERIPHERAL!$B$3:$B$954&amp;"",PERIPHERAL!$Y$3:$Y$954,""),"Utilities",_xlfn.XLOOKUP($K891&amp;"",UTILITIES!$B$3:$B$953&amp;"",UTILITIES!$O$3:$O$953,""),"IOT",_xlfn.XLOOKUP($K891&amp;"",IOT!$B$3:$B$1012&amp;"",IOT!$AB$3:$AB$1012,""),"Server",_xlfn.XLOOKUP($K891&amp;"",SERVER!$B$3:$B$1009&amp;"",SERVER!$AB$3:$AB$1009,""),""))))</f>
        <v/>
      </c>
      <c r="R891" s="43" t="str">
        <f>IF(tbl_handover[[#This Row],[Asset Code]]="","",COUNTIF(tbl_handover[Asset Code],tbl_handover[[#This Row],[Asset Code]]))</f>
        <v/>
      </c>
    </row>
    <row r="892" spans="1:18" x14ac:dyDescent="0.25">
      <c r="A892" s="43" t="str">
        <f>IF(B892&lt;&gt;"",SUBTOTAL(3,$B$1:B891),"")</f>
        <v/>
      </c>
      <c r="C892" s="74"/>
      <c r="D892" s="74"/>
      <c r="G892" s="1"/>
      <c r="K892" s="42"/>
      <c r="L892" t="str" cm="1">
        <f t="array" ref="L892">IF($K892="","",_xlfn.SWITCH($I892,"Computer",_xlfn.XLOOKUP($K892&amp;"",COMPUTER!$B$3:$B$1009&amp;"",COMPUTER!$I$3:$I$1009,""),"Display",_xlfn.XLOOKUP($K892&amp;"",DISPLAY!$B$3:$B$1000&amp;"",DISPLAY!$J$3:$J$1000,""),"Network Device",_xlfn.XLOOKUP($K892&amp;"",'NETWORK-DEVICES'!$B$3:$B$987&amp;"",'NETWORK-DEVICES'!$I$3:$I$987,""),"Peripheral",_xlfn.XLOOKUP($K892&amp;"",PERIPHERAL!$B$3:$B$954&amp;"",PERIPHERAL!$I$3:$I$954,""),"Utilities",_xlfn.XLOOKUP($K892&amp;"",UTILITIES!$B$3:$B$953&amp;"",UTILITIES!$H$3:$H$953,""),"IOT",_xlfn.XLOOKUP($K892&amp;"",IOT!$B$3:$B$1012&amp;"",IOT!$I$3:$I$1012,""),"SERVER",_xlfn.XLOOKUP($K892&amp;"",SERVER!$B$3:$B$1009&amp;"",SERVER!$I$3:$I$1009,""),""))</f>
        <v/>
      </c>
      <c r="M892" t="str" cm="1">
        <f t="array" ref="M892">IF($K892="","",_xlfn.SWITCH($I892,"Computer",_xlfn.XLOOKUP($K892&amp;"",COMPUTER!$B$3:$B$1009&amp;"",COMPUTER!$J$3:$J$1009,""),"Display",_xlfn.XLOOKUP($K892&amp;"",DISPLAY!$B$3:$B$1000&amp;"",DISPLAY!$K$3:$K$1000,""),"Network Device",_xlfn.XLOOKUP($K892&amp;"",'NETWORK-DEVICES'!$B$3:$B$987&amp;"",'NETWORK-DEVICES'!$I$3:$I$987,""),"Peripheral",_xlfn.XLOOKUP($K892&amp;"",PERIPHERAL!$B$3:$B$954&amp;"",PERIPHERAL!$J$3:$J$954,""),"Utilities",_xlfn.XLOOKUP($K892&amp;"",UTILITIES!$B$3:$B$953&amp;"",UTILITIES!$I$3:$I$953,""),"IOT",_xlfn.XLOOKUP($K892&amp;"",IOT!$B$3:$B$1012&amp;"",IOT!$J$3:$J$1012,""),"Server",_xlfn.XLOOKUP($K892&amp;"",SERVER!$B$3:$B$1009&amp;"",SERVER!$J$3:$J$1009,""),""))</f>
        <v/>
      </c>
      <c r="N892" s="1" t="str" cm="1">
        <f t="array" ref="N892">IF(OR($K892="",$I892="",$J892=""),"",_xlfn.LET(_xlpm.srcCat,_xlfn.SWITCH($I892,"Computer",_xlfn.XLOOKUP($K892&amp;"",COMPUTER!$B$3:$B$1009&amp;"",COMPUTER!$H$3:$H$1009,""),"Display",_xlfn.XLOOKUP($K892&amp;"",DISPLAY!$B$3:$B$1000&amp;"",DISPLAY!$H$3:$H$1000,""),"Network Device",_xlfn.XLOOKUP($K892&amp;"",'NETWORK-DEVICES'!$B$3:$B$987&amp;"",'NETWORK-DEVICES'!$H$3:$H$987,""),"Peripheral",_xlfn.XLOOKUP($K892&amp;"",PERIPHERAL!$B$3:$B$954&amp;"",PERIPHERAL!$H$3:$H$954,""),"Utilities",_xlfn.XLOOKUP($K892&amp;"",UTILITIES!$B$3:$B$953&amp;"",UTILITIES!$G$3:$G$953,""),"IOT",_xlfn.XLOOKUP($K892&amp;"",IOT!$B$3:$B$1012&amp;"",IOT!$H$3:$H$1012,""),"Server",_xlfn.XLOOKUP($K892&amp;"",SERVER!$B$3:$B$1009&amp;"",SERVER!$H$3:$H$1009,""),""),IF(TRIM(_xlpm.srcCat)&lt;&gt;TRIM($J892),"",_xlfn.SWITCH($I892,"Computer",_xlfn.XLOOKUP($K892&amp;"",COMPUTER!$B$3:$B$1009&amp;"",COMPUTER!$K$3:$K$1009,""),"Display",_xlfn.XLOOKUP($K892&amp;"",DISPLAY!$B$3:$B$1000&amp;"",DISPLAY!$L$3:$L$1000,""),"Network Device",_xlfn.XLOOKUP($K892&amp;"",'NETWORK-DEVICES'!$B$3:$B$987&amp;"",'NETWORK-DEVICES'!$K$3:$K$987,""),"Peripheral",_xlfn.XLOOKUP($K892&amp;"",PERIPHERAL!$B$3:$B$954&amp;"",PERIPHERAL!$K$3:$K$954,""),"Utilities",_xlfn.XLOOKUP($K892&amp;"",UTILITIES!$B$3:$B$953&amp;"",UTILITIES!$J$3:$J$953,""),"IOT",_xlfn.XLOOKUP($K892&amp;"",IOT!$B$3:$B$1012&amp;"",IOT!$K$4:$K$1012,""),"Server",_xlfn.XLOOKUP($K892&amp;"",SERVER!$B$3:$B$1009&amp;"",SERVER!$K$3:$K$1009,""),""))))</f>
        <v/>
      </c>
      <c r="O892" s="1" t="str" cm="1">
        <f t="array" ref="O892">IF(OR($K892="",$I892="",$J892=""),"",_xlfn.LET(_xlpm.srcCat,_xlfn.SWITCH($I892,"Computer",_xlfn.XLOOKUP($K892&amp;"",COMPUTER!$B$3:$B$1009&amp;"",COMPUTER!$H$3:$H$1009,""),"Display",_xlfn.XLOOKUP($K892&amp;"",DISPLAY!$B$3:$B$1000&amp;"",DISPLAY!$H$3:$H$1000,""),"Network Device",_xlfn.XLOOKUP($K892&amp;"",'NETWORK-DEVICES'!$B$3:$B$987&amp;"",'NETWORK-DEVICES'!$H$3:$H$987,""),"Peripheral",_xlfn.XLOOKUP($K892&amp;"",PERIPHERAL!$B$3:$B$954&amp;"",PERIPHERAL!$H$3:$H$954,""),"Utilities",_xlfn.XLOOKUP($K892&amp;"",UTILITIES!$B$3:$B$953&amp;"",UTILITIES!$G$3:$G$953,""),"IOT",_xlfn.XLOOKUP($K892&amp;"",IOT!$B$3:$B$1012&amp;"",IOT!$H$3:$H$1012,""),"Server",_xlfn.XLOOKUP($K892&amp;"",SERVER!$B$3:$B$1009&amp;"",SERVER!$H$3:$H$1009,""),""),IF(TRIM(_xlpm.srcCat)&lt;&gt;TRIM($J892),"",_xlfn.SWITCH($I892,"Computer",_xlfn.XLOOKUP($K892&amp;"",COMPUTER!$B$3:$B$1009&amp;"",COMPUTER!$E$3:$E$1009,""),"Display",_xlfn.XLOOKUP($K892&amp;"",DISPLAY!$B$3:$B$1000&amp;"",DISPLAY!$E$3:$E$1000,""),"Network Device",_xlfn.XLOOKUP($K892&amp;"",'NETWORK-DEVICES'!$B$3:$B$987&amp;"",'NETWORK-DEVICES'!$E$3:$E$987,""),"Peripheral",_xlfn.XLOOKUP($K892&amp;"",PERIPHERAL!$B$3:$B$954&amp;"",PERIPHERAL!$E$3:$E$954,""),"Utilities",_xlfn.XLOOKUP($K892&amp;"",UTILITIES!$B$3:$B$953&amp;"",UTILITIES!$E$3:$E$953,""),"IOT",_xlfn.XLOOKUP($K892&amp;"",IOT!$B$3:$B$1012&amp;"",IOT!$E$3:$E$1012,""),"Server",_xlfn.XLOOKUP($K892&amp;"",SERVER!$B$3:$B$1009&amp;"",SERVER!$E$3:$E$1009,""),""))))</f>
        <v/>
      </c>
      <c r="Q892" s="1" t="str" cm="1">
        <f t="array" ref="Q892">IF(OR($K892="",$I892="",$J892=""),"",_xlfn.LET(_xlpm.srcCat,_xlfn.SWITCH($I892,"Computer",_xlfn.XLOOKUP($K892&amp;"",COMPUTER!$B$3:$B$1009&amp;"",COMPUTER!$H$3:$H$1009,""),"Display",_xlfn.XLOOKUP($K892&amp;"",DISPLAY!$B$3:$B$1000&amp;"",DISPLAY!$H$3:$H$1000,""),"Network Device",_xlfn.XLOOKUP($K892&amp;"",'NETWORK-DEVICES'!$B$3:$B$987&amp;"",'NETWORK-DEVICES'!$H$3:$H$987,""),"Peripheral",_xlfn.XLOOKUP($K892&amp;"",PERIPHERAL!$B$3:$B$954&amp;"",PERIPHERAL!$H$3:$H$954,""),"Utilities",_xlfn.XLOOKUP($K892&amp;"",UTILITIES!$B$3:$B$953&amp;"",UTILITIES!$G$3:$G$953,""),"IOT",_xlfn.XLOOKUP($K892&amp;"",IOT!$B$3:$B$1012&amp;"",IOT!$H$3:$H$1012,""),"Server",_xlfn.XLOOKUP($K892&amp;"",SERVER!$B$3:$B$1009&amp;"",SERVER!$H$3:$H$1009,""),""),IF(TRIM(_xlpm.srcCat)&lt;&gt;TRIM($J892),"",_xlfn.SWITCH($I892,"Computer",_xlfn.XLOOKUP($K892&amp;"",COMPUTER!$B$3:$B$1009&amp;"",COMPUTER!$AM$3:$AM$1009,""),"Display",_xlfn.XLOOKUP($K892&amp;"",DISPLAY!$B$3:$B$1000&amp;"",DISPLAY!$V$3:$V$1000,""),"Network Device",_xlfn.XLOOKUP($K892&amp;"",'NETWORK-DEVICES'!$B$3:$B$987&amp;"",'NETWORK-DEVICES'!$AF$3:$AF$987,""),"Peripheral",_xlfn.XLOOKUP($K892&amp;"",PERIPHERAL!$B$3:$B$954&amp;"",PERIPHERAL!$Y$3:$Y$954,""),"Utilities",_xlfn.XLOOKUP($K892&amp;"",UTILITIES!$B$3:$B$953&amp;"",UTILITIES!$O$3:$O$953,""),"IOT",_xlfn.XLOOKUP($K892&amp;"",IOT!$B$3:$B$1012&amp;"",IOT!$AB$3:$AB$1012,""),"Server",_xlfn.XLOOKUP($K892&amp;"",SERVER!$B$3:$B$1009&amp;"",SERVER!$AB$3:$AB$1009,""),""))))</f>
        <v/>
      </c>
      <c r="R892" s="43" t="str">
        <f>IF(tbl_handover[[#This Row],[Asset Code]]="","",COUNTIF(tbl_handover[Asset Code],tbl_handover[[#This Row],[Asset Code]]))</f>
        <v/>
      </c>
    </row>
    <row r="893" spans="1:18" x14ac:dyDescent="0.25">
      <c r="A893" s="43" t="str">
        <f>IF(B893&lt;&gt;"",SUBTOTAL(3,$B$1:B892),"")</f>
        <v/>
      </c>
      <c r="C893" s="74"/>
      <c r="D893" s="74"/>
      <c r="G893" s="1"/>
      <c r="K893" s="42"/>
      <c r="L893" t="str" cm="1">
        <f t="array" ref="L893">IF($K893="","",_xlfn.SWITCH($I893,"Computer",_xlfn.XLOOKUP($K893&amp;"",COMPUTER!$B$3:$B$1009&amp;"",COMPUTER!$I$3:$I$1009,""),"Display",_xlfn.XLOOKUP($K893&amp;"",DISPLAY!$B$3:$B$1000&amp;"",DISPLAY!$J$3:$J$1000,""),"Network Device",_xlfn.XLOOKUP($K893&amp;"",'NETWORK-DEVICES'!$B$3:$B$987&amp;"",'NETWORK-DEVICES'!$I$3:$I$987,""),"Peripheral",_xlfn.XLOOKUP($K893&amp;"",PERIPHERAL!$B$3:$B$954&amp;"",PERIPHERAL!$I$3:$I$954,""),"Utilities",_xlfn.XLOOKUP($K893&amp;"",UTILITIES!$B$3:$B$953&amp;"",UTILITIES!$H$3:$H$953,""),"IOT",_xlfn.XLOOKUP($K893&amp;"",IOT!$B$3:$B$1012&amp;"",IOT!$I$3:$I$1012,""),"SERVER",_xlfn.XLOOKUP($K893&amp;"",SERVER!$B$3:$B$1009&amp;"",SERVER!$I$3:$I$1009,""),""))</f>
        <v/>
      </c>
      <c r="M893" t="str" cm="1">
        <f t="array" ref="M893">IF($K893="","",_xlfn.SWITCH($I893,"Computer",_xlfn.XLOOKUP($K893&amp;"",COMPUTER!$B$3:$B$1009&amp;"",COMPUTER!$J$3:$J$1009,""),"Display",_xlfn.XLOOKUP($K893&amp;"",DISPLAY!$B$3:$B$1000&amp;"",DISPLAY!$K$3:$K$1000,""),"Network Device",_xlfn.XLOOKUP($K893&amp;"",'NETWORK-DEVICES'!$B$3:$B$987&amp;"",'NETWORK-DEVICES'!$I$3:$I$987,""),"Peripheral",_xlfn.XLOOKUP($K893&amp;"",PERIPHERAL!$B$3:$B$954&amp;"",PERIPHERAL!$J$3:$J$954,""),"Utilities",_xlfn.XLOOKUP($K893&amp;"",UTILITIES!$B$3:$B$953&amp;"",UTILITIES!$I$3:$I$953,""),"IOT",_xlfn.XLOOKUP($K893&amp;"",IOT!$B$3:$B$1012&amp;"",IOT!$J$3:$J$1012,""),"Server",_xlfn.XLOOKUP($K893&amp;"",SERVER!$B$3:$B$1009&amp;"",SERVER!$J$3:$J$1009,""),""))</f>
        <v/>
      </c>
      <c r="N893" s="1" t="str" cm="1">
        <f t="array" ref="N893">IF(OR($K893="",$I893="",$J893=""),"",_xlfn.LET(_xlpm.srcCat,_xlfn.SWITCH($I893,"Computer",_xlfn.XLOOKUP($K893&amp;"",COMPUTER!$B$3:$B$1009&amp;"",COMPUTER!$H$3:$H$1009,""),"Display",_xlfn.XLOOKUP($K893&amp;"",DISPLAY!$B$3:$B$1000&amp;"",DISPLAY!$H$3:$H$1000,""),"Network Device",_xlfn.XLOOKUP($K893&amp;"",'NETWORK-DEVICES'!$B$3:$B$987&amp;"",'NETWORK-DEVICES'!$H$3:$H$987,""),"Peripheral",_xlfn.XLOOKUP($K893&amp;"",PERIPHERAL!$B$3:$B$954&amp;"",PERIPHERAL!$H$3:$H$954,""),"Utilities",_xlfn.XLOOKUP($K893&amp;"",UTILITIES!$B$3:$B$953&amp;"",UTILITIES!$G$3:$G$953,""),"IOT",_xlfn.XLOOKUP($K893&amp;"",IOT!$B$3:$B$1012&amp;"",IOT!$H$3:$H$1012,""),"Server",_xlfn.XLOOKUP($K893&amp;"",SERVER!$B$3:$B$1009&amp;"",SERVER!$H$3:$H$1009,""),""),IF(TRIM(_xlpm.srcCat)&lt;&gt;TRIM($J893),"",_xlfn.SWITCH($I893,"Computer",_xlfn.XLOOKUP($K893&amp;"",COMPUTER!$B$3:$B$1009&amp;"",COMPUTER!$K$3:$K$1009,""),"Display",_xlfn.XLOOKUP($K893&amp;"",DISPLAY!$B$3:$B$1000&amp;"",DISPLAY!$L$3:$L$1000,""),"Network Device",_xlfn.XLOOKUP($K893&amp;"",'NETWORK-DEVICES'!$B$3:$B$987&amp;"",'NETWORK-DEVICES'!$K$3:$K$987,""),"Peripheral",_xlfn.XLOOKUP($K893&amp;"",PERIPHERAL!$B$3:$B$954&amp;"",PERIPHERAL!$K$3:$K$954,""),"Utilities",_xlfn.XLOOKUP($K893&amp;"",UTILITIES!$B$3:$B$953&amp;"",UTILITIES!$J$3:$J$953,""),"IOT",_xlfn.XLOOKUP($K893&amp;"",IOT!$B$3:$B$1012&amp;"",IOT!$K$4:$K$1012,""),"Server",_xlfn.XLOOKUP($K893&amp;"",SERVER!$B$3:$B$1009&amp;"",SERVER!$K$3:$K$1009,""),""))))</f>
        <v/>
      </c>
      <c r="O893" s="1" t="str" cm="1">
        <f t="array" ref="O893">IF(OR($K893="",$I893="",$J893=""),"",_xlfn.LET(_xlpm.srcCat,_xlfn.SWITCH($I893,"Computer",_xlfn.XLOOKUP($K893&amp;"",COMPUTER!$B$3:$B$1009&amp;"",COMPUTER!$H$3:$H$1009,""),"Display",_xlfn.XLOOKUP($K893&amp;"",DISPLAY!$B$3:$B$1000&amp;"",DISPLAY!$H$3:$H$1000,""),"Network Device",_xlfn.XLOOKUP($K893&amp;"",'NETWORK-DEVICES'!$B$3:$B$987&amp;"",'NETWORK-DEVICES'!$H$3:$H$987,""),"Peripheral",_xlfn.XLOOKUP($K893&amp;"",PERIPHERAL!$B$3:$B$954&amp;"",PERIPHERAL!$H$3:$H$954,""),"Utilities",_xlfn.XLOOKUP($K893&amp;"",UTILITIES!$B$3:$B$953&amp;"",UTILITIES!$G$3:$G$953,""),"IOT",_xlfn.XLOOKUP($K893&amp;"",IOT!$B$3:$B$1012&amp;"",IOT!$H$3:$H$1012,""),"Server",_xlfn.XLOOKUP($K893&amp;"",SERVER!$B$3:$B$1009&amp;"",SERVER!$H$3:$H$1009,""),""),IF(TRIM(_xlpm.srcCat)&lt;&gt;TRIM($J893),"",_xlfn.SWITCH($I893,"Computer",_xlfn.XLOOKUP($K893&amp;"",COMPUTER!$B$3:$B$1009&amp;"",COMPUTER!$E$3:$E$1009,""),"Display",_xlfn.XLOOKUP($K893&amp;"",DISPLAY!$B$3:$B$1000&amp;"",DISPLAY!$E$3:$E$1000,""),"Network Device",_xlfn.XLOOKUP($K893&amp;"",'NETWORK-DEVICES'!$B$3:$B$987&amp;"",'NETWORK-DEVICES'!$E$3:$E$987,""),"Peripheral",_xlfn.XLOOKUP($K893&amp;"",PERIPHERAL!$B$3:$B$954&amp;"",PERIPHERAL!$E$3:$E$954,""),"Utilities",_xlfn.XLOOKUP($K893&amp;"",UTILITIES!$B$3:$B$953&amp;"",UTILITIES!$E$3:$E$953,""),"IOT",_xlfn.XLOOKUP($K893&amp;"",IOT!$B$3:$B$1012&amp;"",IOT!$E$3:$E$1012,""),"Server",_xlfn.XLOOKUP($K893&amp;"",SERVER!$B$3:$B$1009&amp;"",SERVER!$E$3:$E$1009,""),""))))</f>
        <v/>
      </c>
      <c r="Q893" s="1" t="str" cm="1">
        <f t="array" ref="Q893">IF(OR($K893="",$I893="",$J893=""),"",_xlfn.LET(_xlpm.srcCat,_xlfn.SWITCH($I893,"Computer",_xlfn.XLOOKUP($K893&amp;"",COMPUTER!$B$3:$B$1009&amp;"",COMPUTER!$H$3:$H$1009,""),"Display",_xlfn.XLOOKUP($K893&amp;"",DISPLAY!$B$3:$B$1000&amp;"",DISPLAY!$H$3:$H$1000,""),"Network Device",_xlfn.XLOOKUP($K893&amp;"",'NETWORK-DEVICES'!$B$3:$B$987&amp;"",'NETWORK-DEVICES'!$H$3:$H$987,""),"Peripheral",_xlfn.XLOOKUP($K893&amp;"",PERIPHERAL!$B$3:$B$954&amp;"",PERIPHERAL!$H$3:$H$954,""),"Utilities",_xlfn.XLOOKUP($K893&amp;"",UTILITIES!$B$3:$B$953&amp;"",UTILITIES!$G$3:$G$953,""),"IOT",_xlfn.XLOOKUP($K893&amp;"",IOT!$B$3:$B$1012&amp;"",IOT!$H$3:$H$1012,""),"Server",_xlfn.XLOOKUP($K893&amp;"",SERVER!$B$3:$B$1009&amp;"",SERVER!$H$3:$H$1009,""),""),IF(TRIM(_xlpm.srcCat)&lt;&gt;TRIM($J893),"",_xlfn.SWITCH($I893,"Computer",_xlfn.XLOOKUP($K893&amp;"",COMPUTER!$B$3:$B$1009&amp;"",COMPUTER!$AM$3:$AM$1009,""),"Display",_xlfn.XLOOKUP($K893&amp;"",DISPLAY!$B$3:$B$1000&amp;"",DISPLAY!$V$3:$V$1000,""),"Network Device",_xlfn.XLOOKUP($K893&amp;"",'NETWORK-DEVICES'!$B$3:$B$987&amp;"",'NETWORK-DEVICES'!$AF$3:$AF$987,""),"Peripheral",_xlfn.XLOOKUP($K893&amp;"",PERIPHERAL!$B$3:$B$954&amp;"",PERIPHERAL!$Y$3:$Y$954,""),"Utilities",_xlfn.XLOOKUP($K893&amp;"",UTILITIES!$B$3:$B$953&amp;"",UTILITIES!$O$3:$O$953,""),"IOT",_xlfn.XLOOKUP($K893&amp;"",IOT!$B$3:$B$1012&amp;"",IOT!$AB$3:$AB$1012,""),"Server",_xlfn.XLOOKUP($K893&amp;"",SERVER!$B$3:$B$1009&amp;"",SERVER!$AB$3:$AB$1009,""),""))))</f>
        <v/>
      </c>
      <c r="R893" s="43" t="str">
        <f>IF(tbl_handover[[#This Row],[Asset Code]]="","",COUNTIF(tbl_handover[Asset Code],tbl_handover[[#This Row],[Asset Code]]))</f>
        <v/>
      </c>
    </row>
    <row r="894" spans="1:18" x14ac:dyDescent="0.25">
      <c r="A894" s="43" t="str">
        <f>IF(B894&lt;&gt;"",SUBTOTAL(3,$B$1:B893),"")</f>
        <v/>
      </c>
      <c r="C894" s="74"/>
      <c r="D894" s="74"/>
      <c r="G894" s="1"/>
      <c r="K894" s="42"/>
      <c r="L894" t="str" cm="1">
        <f t="array" ref="L894">IF($K894="","",_xlfn.SWITCH($I894,"Computer",_xlfn.XLOOKUP($K894&amp;"",COMPUTER!$B$3:$B$1009&amp;"",COMPUTER!$I$3:$I$1009,""),"Display",_xlfn.XLOOKUP($K894&amp;"",DISPLAY!$B$3:$B$1000&amp;"",DISPLAY!$J$3:$J$1000,""),"Network Device",_xlfn.XLOOKUP($K894&amp;"",'NETWORK-DEVICES'!$B$3:$B$987&amp;"",'NETWORK-DEVICES'!$I$3:$I$987,""),"Peripheral",_xlfn.XLOOKUP($K894&amp;"",PERIPHERAL!$B$3:$B$954&amp;"",PERIPHERAL!$I$3:$I$954,""),"Utilities",_xlfn.XLOOKUP($K894&amp;"",UTILITIES!$B$3:$B$953&amp;"",UTILITIES!$H$3:$H$953,""),"IOT",_xlfn.XLOOKUP($K894&amp;"",IOT!$B$3:$B$1012&amp;"",IOT!$I$3:$I$1012,""),"SERVER",_xlfn.XLOOKUP($K894&amp;"",SERVER!$B$3:$B$1009&amp;"",SERVER!$I$3:$I$1009,""),""))</f>
        <v/>
      </c>
      <c r="M894" t="str" cm="1">
        <f t="array" ref="M894">IF($K894="","",_xlfn.SWITCH($I894,"Computer",_xlfn.XLOOKUP($K894&amp;"",COMPUTER!$B$3:$B$1009&amp;"",COMPUTER!$J$3:$J$1009,""),"Display",_xlfn.XLOOKUP($K894&amp;"",DISPLAY!$B$3:$B$1000&amp;"",DISPLAY!$K$3:$K$1000,""),"Network Device",_xlfn.XLOOKUP($K894&amp;"",'NETWORK-DEVICES'!$B$3:$B$987&amp;"",'NETWORK-DEVICES'!$I$3:$I$987,""),"Peripheral",_xlfn.XLOOKUP($K894&amp;"",PERIPHERAL!$B$3:$B$954&amp;"",PERIPHERAL!$J$3:$J$954,""),"Utilities",_xlfn.XLOOKUP($K894&amp;"",UTILITIES!$B$3:$B$953&amp;"",UTILITIES!$I$3:$I$953,""),"IOT",_xlfn.XLOOKUP($K894&amp;"",IOT!$B$3:$B$1012&amp;"",IOT!$J$3:$J$1012,""),"Server",_xlfn.XLOOKUP($K894&amp;"",SERVER!$B$3:$B$1009&amp;"",SERVER!$J$3:$J$1009,""),""))</f>
        <v/>
      </c>
      <c r="N894" s="1" t="str" cm="1">
        <f t="array" ref="N894">IF(OR($K894="",$I894="",$J894=""),"",_xlfn.LET(_xlpm.srcCat,_xlfn.SWITCH($I894,"Computer",_xlfn.XLOOKUP($K894&amp;"",COMPUTER!$B$3:$B$1009&amp;"",COMPUTER!$H$3:$H$1009,""),"Display",_xlfn.XLOOKUP($K894&amp;"",DISPLAY!$B$3:$B$1000&amp;"",DISPLAY!$H$3:$H$1000,""),"Network Device",_xlfn.XLOOKUP($K894&amp;"",'NETWORK-DEVICES'!$B$3:$B$987&amp;"",'NETWORK-DEVICES'!$H$3:$H$987,""),"Peripheral",_xlfn.XLOOKUP($K894&amp;"",PERIPHERAL!$B$3:$B$954&amp;"",PERIPHERAL!$H$3:$H$954,""),"Utilities",_xlfn.XLOOKUP($K894&amp;"",UTILITIES!$B$3:$B$953&amp;"",UTILITIES!$G$3:$G$953,""),"IOT",_xlfn.XLOOKUP($K894&amp;"",IOT!$B$3:$B$1012&amp;"",IOT!$H$3:$H$1012,""),"Server",_xlfn.XLOOKUP($K894&amp;"",SERVER!$B$3:$B$1009&amp;"",SERVER!$H$3:$H$1009,""),""),IF(TRIM(_xlpm.srcCat)&lt;&gt;TRIM($J894),"",_xlfn.SWITCH($I894,"Computer",_xlfn.XLOOKUP($K894&amp;"",COMPUTER!$B$3:$B$1009&amp;"",COMPUTER!$K$3:$K$1009,""),"Display",_xlfn.XLOOKUP($K894&amp;"",DISPLAY!$B$3:$B$1000&amp;"",DISPLAY!$L$3:$L$1000,""),"Network Device",_xlfn.XLOOKUP($K894&amp;"",'NETWORK-DEVICES'!$B$3:$B$987&amp;"",'NETWORK-DEVICES'!$K$3:$K$987,""),"Peripheral",_xlfn.XLOOKUP($K894&amp;"",PERIPHERAL!$B$3:$B$954&amp;"",PERIPHERAL!$K$3:$K$954,""),"Utilities",_xlfn.XLOOKUP($K894&amp;"",UTILITIES!$B$3:$B$953&amp;"",UTILITIES!$J$3:$J$953,""),"IOT",_xlfn.XLOOKUP($K894&amp;"",IOT!$B$3:$B$1012&amp;"",IOT!$K$4:$K$1012,""),"Server",_xlfn.XLOOKUP($K894&amp;"",SERVER!$B$3:$B$1009&amp;"",SERVER!$K$3:$K$1009,""),""))))</f>
        <v/>
      </c>
      <c r="O894" s="1" t="str" cm="1">
        <f t="array" ref="O894">IF(OR($K894="",$I894="",$J894=""),"",_xlfn.LET(_xlpm.srcCat,_xlfn.SWITCH($I894,"Computer",_xlfn.XLOOKUP($K894&amp;"",COMPUTER!$B$3:$B$1009&amp;"",COMPUTER!$H$3:$H$1009,""),"Display",_xlfn.XLOOKUP($K894&amp;"",DISPLAY!$B$3:$B$1000&amp;"",DISPLAY!$H$3:$H$1000,""),"Network Device",_xlfn.XLOOKUP($K894&amp;"",'NETWORK-DEVICES'!$B$3:$B$987&amp;"",'NETWORK-DEVICES'!$H$3:$H$987,""),"Peripheral",_xlfn.XLOOKUP($K894&amp;"",PERIPHERAL!$B$3:$B$954&amp;"",PERIPHERAL!$H$3:$H$954,""),"Utilities",_xlfn.XLOOKUP($K894&amp;"",UTILITIES!$B$3:$B$953&amp;"",UTILITIES!$G$3:$G$953,""),"IOT",_xlfn.XLOOKUP($K894&amp;"",IOT!$B$3:$B$1012&amp;"",IOT!$H$3:$H$1012,""),"Server",_xlfn.XLOOKUP($K894&amp;"",SERVER!$B$3:$B$1009&amp;"",SERVER!$H$3:$H$1009,""),""),IF(TRIM(_xlpm.srcCat)&lt;&gt;TRIM($J894),"",_xlfn.SWITCH($I894,"Computer",_xlfn.XLOOKUP($K894&amp;"",COMPUTER!$B$3:$B$1009&amp;"",COMPUTER!$E$3:$E$1009,""),"Display",_xlfn.XLOOKUP($K894&amp;"",DISPLAY!$B$3:$B$1000&amp;"",DISPLAY!$E$3:$E$1000,""),"Network Device",_xlfn.XLOOKUP($K894&amp;"",'NETWORK-DEVICES'!$B$3:$B$987&amp;"",'NETWORK-DEVICES'!$E$3:$E$987,""),"Peripheral",_xlfn.XLOOKUP($K894&amp;"",PERIPHERAL!$B$3:$B$954&amp;"",PERIPHERAL!$E$3:$E$954,""),"Utilities",_xlfn.XLOOKUP($K894&amp;"",UTILITIES!$B$3:$B$953&amp;"",UTILITIES!$E$3:$E$953,""),"IOT",_xlfn.XLOOKUP($K894&amp;"",IOT!$B$3:$B$1012&amp;"",IOT!$E$3:$E$1012,""),"Server",_xlfn.XLOOKUP($K894&amp;"",SERVER!$B$3:$B$1009&amp;"",SERVER!$E$3:$E$1009,""),""))))</f>
        <v/>
      </c>
      <c r="Q894" s="1" t="str" cm="1">
        <f t="array" ref="Q894">IF(OR($K894="",$I894="",$J894=""),"",_xlfn.LET(_xlpm.srcCat,_xlfn.SWITCH($I894,"Computer",_xlfn.XLOOKUP($K894&amp;"",COMPUTER!$B$3:$B$1009&amp;"",COMPUTER!$H$3:$H$1009,""),"Display",_xlfn.XLOOKUP($K894&amp;"",DISPLAY!$B$3:$B$1000&amp;"",DISPLAY!$H$3:$H$1000,""),"Network Device",_xlfn.XLOOKUP($K894&amp;"",'NETWORK-DEVICES'!$B$3:$B$987&amp;"",'NETWORK-DEVICES'!$H$3:$H$987,""),"Peripheral",_xlfn.XLOOKUP($K894&amp;"",PERIPHERAL!$B$3:$B$954&amp;"",PERIPHERAL!$H$3:$H$954,""),"Utilities",_xlfn.XLOOKUP($K894&amp;"",UTILITIES!$B$3:$B$953&amp;"",UTILITIES!$G$3:$G$953,""),"IOT",_xlfn.XLOOKUP($K894&amp;"",IOT!$B$3:$B$1012&amp;"",IOT!$H$3:$H$1012,""),"Server",_xlfn.XLOOKUP($K894&amp;"",SERVER!$B$3:$B$1009&amp;"",SERVER!$H$3:$H$1009,""),""),IF(TRIM(_xlpm.srcCat)&lt;&gt;TRIM($J894),"",_xlfn.SWITCH($I894,"Computer",_xlfn.XLOOKUP($K894&amp;"",COMPUTER!$B$3:$B$1009&amp;"",COMPUTER!$AM$3:$AM$1009,""),"Display",_xlfn.XLOOKUP($K894&amp;"",DISPLAY!$B$3:$B$1000&amp;"",DISPLAY!$V$3:$V$1000,""),"Network Device",_xlfn.XLOOKUP($K894&amp;"",'NETWORK-DEVICES'!$B$3:$B$987&amp;"",'NETWORK-DEVICES'!$AF$3:$AF$987,""),"Peripheral",_xlfn.XLOOKUP($K894&amp;"",PERIPHERAL!$B$3:$B$954&amp;"",PERIPHERAL!$Y$3:$Y$954,""),"Utilities",_xlfn.XLOOKUP($K894&amp;"",UTILITIES!$B$3:$B$953&amp;"",UTILITIES!$O$3:$O$953,""),"IOT",_xlfn.XLOOKUP($K894&amp;"",IOT!$B$3:$B$1012&amp;"",IOT!$AB$3:$AB$1012,""),"Server",_xlfn.XLOOKUP($K894&amp;"",SERVER!$B$3:$B$1009&amp;"",SERVER!$AB$3:$AB$1009,""),""))))</f>
        <v/>
      </c>
      <c r="R894" s="43" t="str">
        <f>IF(tbl_handover[[#This Row],[Asset Code]]="","",COUNTIF(tbl_handover[Asset Code],tbl_handover[[#This Row],[Asset Code]]))</f>
        <v/>
      </c>
    </row>
    <row r="895" spans="1:18" x14ac:dyDescent="0.25">
      <c r="A895" s="43" t="str">
        <f>IF(B895&lt;&gt;"",SUBTOTAL(3,$B$1:B894),"")</f>
        <v/>
      </c>
      <c r="C895" s="74"/>
      <c r="D895" s="74"/>
      <c r="G895" s="1"/>
      <c r="K895" s="42"/>
      <c r="L895" t="str" cm="1">
        <f t="array" ref="L895">IF($K895="","",_xlfn.SWITCH($I895,"Computer",_xlfn.XLOOKUP($K895&amp;"",COMPUTER!$B$3:$B$1009&amp;"",COMPUTER!$I$3:$I$1009,""),"Display",_xlfn.XLOOKUP($K895&amp;"",DISPLAY!$B$3:$B$1000&amp;"",DISPLAY!$J$3:$J$1000,""),"Network Device",_xlfn.XLOOKUP($K895&amp;"",'NETWORK-DEVICES'!$B$3:$B$987&amp;"",'NETWORK-DEVICES'!$I$3:$I$987,""),"Peripheral",_xlfn.XLOOKUP($K895&amp;"",PERIPHERAL!$B$3:$B$954&amp;"",PERIPHERAL!$I$3:$I$954,""),"Utilities",_xlfn.XLOOKUP($K895&amp;"",UTILITIES!$B$3:$B$953&amp;"",UTILITIES!$H$3:$H$953,""),"IOT",_xlfn.XLOOKUP($K895&amp;"",IOT!$B$3:$B$1012&amp;"",IOT!$I$3:$I$1012,""),"SERVER",_xlfn.XLOOKUP($K895&amp;"",SERVER!$B$3:$B$1009&amp;"",SERVER!$I$3:$I$1009,""),""))</f>
        <v/>
      </c>
      <c r="M895" t="str" cm="1">
        <f t="array" ref="M895">IF($K895="","",_xlfn.SWITCH($I895,"Computer",_xlfn.XLOOKUP($K895&amp;"",COMPUTER!$B$3:$B$1009&amp;"",COMPUTER!$J$3:$J$1009,""),"Display",_xlfn.XLOOKUP($K895&amp;"",DISPLAY!$B$3:$B$1000&amp;"",DISPLAY!$K$3:$K$1000,""),"Network Device",_xlfn.XLOOKUP($K895&amp;"",'NETWORK-DEVICES'!$B$3:$B$987&amp;"",'NETWORK-DEVICES'!$I$3:$I$987,""),"Peripheral",_xlfn.XLOOKUP($K895&amp;"",PERIPHERAL!$B$3:$B$954&amp;"",PERIPHERAL!$J$3:$J$954,""),"Utilities",_xlfn.XLOOKUP($K895&amp;"",UTILITIES!$B$3:$B$953&amp;"",UTILITIES!$I$3:$I$953,""),"IOT",_xlfn.XLOOKUP($K895&amp;"",IOT!$B$3:$B$1012&amp;"",IOT!$J$3:$J$1012,""),"Server",_xlfn.XLOOKUP($K895&amp;"",SERVER!$B$3:$B$1009&amp;"",SERVER!$J$3:$J$1009,""),""))</f>
        <v/>
      </c>
      <c r="N895" s="1" t="str" cm="1">
        <f t="array" ref="N895">IF(OR($K895="",$I895="",$J895=""),"",_xlfn.LET(_xlpm.srcCat,_xlfn.SWITCH($I895,"Computer",_xlfn.XLOOKUP($K895&amp;"",COMPUTER!$B$3:$B$1009&amp;"",COMPUTER!$H$3:$H$1009,""),"Display",_xlfn.XLOOKUP($K895&amp;"",DISPLAY!$B$3:$B$1000&amp;"",DISPLAY!$H$3:$H$1000,""),"Network Device",_xlfn.XLOOKUP($K895&amp;"",'NETWORK-DEVICES'!$B$3:$B$987&amp;"",'NETWORK-DEVICES'!$H$3:$H$987,""),"Peripheral",_xlfn.XLOOKUP($K895&amp;"",PERIPHERAL!$B$3:$B$954&amp;"",PERIPHERAL!$H$3:$H$954,""),"Utilities",_xlfn.XLOOKUP($K895&amp;"",UTILITIES!$B$3:$B$953&amp;"",UTILITIES!$G$3:$G$953,""),"IOT",_xlfn.XLOOKUP($K895&amp;"",IOT!$B$3:$B$1012&amp;"",IOT!$H$3:$H$1012,""),"Server",_xlfn.XLOOKUP($K895&amp;"",SERVER!$B$3:$B$1009&amp;"",SERVER!$H$3:$H$1009,""),""),IF(TRIM(_xlpm.srcCat)&lt;&gt;TRIM($J895),"",_xlfn.SWITCH($I895,"Computer",_xlfn.XLOOKUP($K895&amp;"",COMPUTER!$B$3:$B$1009&amp;"",COMPUTER!$K$3:$K$1009,""),"Display",_xlfn.XLOOKUP($K895&amp;"",DISPLAY!$B$3:$B$1000&amp;"",DISPLAY!$L$3:$L$1000,""),"Network Device",_xlfn.XLOOKUP($K895&amp;"",'NETWORK-DEVICES'!$B$3:$B$987&amp;"",'NETWORK-DEVICES'!$K$3:$K$987,""),"Peripheral",_xlfn.XLOOKUP($K895&amp;"",PERIPHERAL!$B$3:$B$954&amp;"",PERIPHERAL!$K$3:$K$954,""),"Utilities",_xlfn.XLOOKUP($K895&amp;"",UTILITIES!$B$3:$B$953&amp;"",UTILITIES!$J$3:$J$953,""),"IOT",_xlfn.XLOOKUP($K895&amp;"",IOT!$B$3:$B$1012&amp;"",IOT!$K$4:$K$1012,""),"Server",_xlfn.XLOOKUP($K895&amp;"",SERVER!$B$3:$B$1009&amp;"",SERVER!$K$3:$K$1009,""),""))))</f>
        <v/>
      </c>
      <c r="O895" s="1" t="str" cm="1">
        <f t="array" ref="O895">IF(OR($K895="",$I895="",$J895=""),"",_xlfn.LET(_xlpm.srcCat,_xlfn.SWITCH($I895,"Computer",_xlfn.XLOOKUP($K895&amp;"",COMPUTER!$B$3:$B$1009&amp;"",COMPUTER!$H$3:$H$1009,""),"Display",_xlfn.XLOOKUP($K895&amp;"",DISPLAY!$B$3:$B$1000&amp;"",DISPLAY!$H$3:$H$1000,""),"Network Device",_xlfn.XLOOKUP($K895&amp;"",'NETWORK-DEVICES'!$B$3:$B$987&amp;"",'NETWORK-DEVICES'!$H$3:$H$987,""),"Peripheral",_xlfn.XLOOKUP($K895&amp;"",PERIPHERAL!$B$3:$B$954&amp;"",PERIPHERAL!$H$3:$H$954,""),"Utilities",_xlfn.XLOOKUP($K895&amp;"",UTILITIES!$B$3:$B$953&amp;"",UTILITIES!$G$3:$G$953,""),"IOT",_xlfn.XLOOKUP($K895&amp;"",IOT!$B$3:$B$1012&amp;"",IOT!$H$3:$H$1012,""),"Server",_xlfn.XLOOKUP($K895&amp;"",SERVER!$B$3:$B$1009&amp;"",SERVER!$H$3:$H$1009,""),""),IF(TRIM(_xlpm.srcCat)&lt;&gt;TRIM($J895),"",_xlfn.SWITCH($I895,"Computer",_xlfn.XLOOKUP($K895&amp;"",COMPUTER!$B$3:$B$1009&amp;"",COMPUTER!$E$3:$E$1009,""),"Display",_xlfn.XLOOKUP($K895&amp;"",DISPLAY!$B$3:$B$1000&amp;"",DISPLAY!$E$3:$E$1000,""),"Network Device",_xlfn.XLOOKUP($K895&amp;"",'NETWORK-DEVICES'!$B$3:$B$987&amp;"",'NETWORK-DEVICES'!$E$3:$E$987,""),"Peripheral",_xlfn.XLOOKUP($K895&amp;"",PERIPHERAL!$B$3:$B$954&amp;"",PERIPHERAL!$E$3:$E$954,""),"Utilities",_xlfn.XLOOKUP($K895&amp;"",UTILITIES!$B$3:$B$953&amp;"",UTILITIES!$E$3:$E$953,""),"IOT",_xlfn.XLOOKUP($K895&amp;"",IOT!$B$3:$B$1012&amp;"",IOT!$E$3:$E$1012,""),"Server",_xlfn.XLOOKUP($K895&amp;"",SERVER!$B$3:$B$1009&amp;"",SERVER!$E$3:$E$1009,""),""))))</f>
        <v/>
      </c>
      <c r="Q895" s="1" t="str" cm="1">
        <f t="array" ref="Q895">IF(OR($K895="",$I895="",$J895=""),"",_xlfn.LET(_xlpm.srcCat,_xlfn.SWITCH($I895,"Computer",_xlfn.XLOOKUP($K895&amp;"",COMPUTER!$B$3:$B$1009&amp;"",COMPUTER!$H$3:$H$1009,""),"Display",_xlfn.XLOOKUP($K895&amp;"",DISPLAY!$B$3:$B$1000&amp;"",DISPLAY!$H$3:$H$1000,""),"Network Device",_xlfn.XLOOKUP($K895&amp;"",'NETWORK-DEVICES'!$B$3:$B$987&amp;"",'NETWORK-DEVICES'!$H$3:$H$987,""),"Peripheral",_xlfn.XLOOKUP($K895&amp;"",PERIPHERAL!$B$3:$B$954&amp;"",PERIPHERAL!$H$3:$H$954,""),"Utilities",_xlfn.XLOOKUP($K895&amp;"",UTILITIES!$B$3:$B$953&amp;"",UTILITIES!$G$3:$G$953,""),"IOT",_xlfn.XLOOKUP($K895&amp;"",IOT!$B$3:$B$1012&amp;"",IOT!$H$3:$H$1012,""),"Server",_xlfn.XLOOKUP($K895&amp;"",SERVER!$B$3:$B$1009&amp;"",SERVER!$H$3:$H$1009,""),""),IF(TRIM(_xlpm.srcCat)&lt;&gt;TRIM($J895),"",_xlfn.SWITCH($I895,"Computer",_xlfn.XLOOKUP($K895&amp;"",COMPUTER!$B$3:$B$1009&amp;"",COMPUTER!$AM$3:$AM$1009,""),"Display",_xlfn.XLOOKUP($K895&amp;"",DISPLAY!$B$3:$B$1000&amp;"",DISPLAY!$V$3:$V$1000,""),"Network Device",_xlfn.XLOOKUP($K895&amp;"",'NETWORK-DEVICES'!$B$3:$B$987&amp;"",'NETWORK-DEVICES'!$AF$3:$AF$987,""),"Peripheral",_xlfn.XLOOKUP($K895&amp;"",PERIPHERAL!$B$3:$B$954&amp;"",PERIPHERAL!$Y$3:$Y$954,""),"Utilities",_xlfn.XLOOKUP($K895&amp;"",UTILITIES!$B$3:$B$953&amp;"",UTILITIES!$O$3:$O$953,""),"IOT",_xlfn.XLOOKUP($K895&amp;"",IOT!$B$3:$B$1012&amp;"",IOT!$AB$3:$AB$1012,""),"Server",_xlfn.XLOOKUP($K895&amp;"",SERVER!$B$3:$B$1009&amp;"",SERVER!$AB$3:$AB$1009,""),""))))</f>
        <v/>
      </c>
      <c r="R895" s="43" t="str">
        <f>IF(tbl_handover[[#This Row],[Asset Code]]="","",COUNTIF(tbl_handover[Asset Code],tbl_handover[[#This Row],[Asset Code]]))</f>
        <v/>
      </c>
    </row>
    <row r="896" spans="1:18" x14ac:dyDescent="0.25">
      <c r="A896" s="43" t="str">
        <f>IF(B896&lt;&gt;"",SUBTOTAL(3,$B$1:B895),"")</f>
        <v/>
      </c>
      <c r="C896" s="74"/>
      <c r="D896" s="74"/>
      <c r="G896" s="1"/>
      <c r="K896" s="42"/>
      <c r="L896" t="str" cm="1">
        <f t="array" ref="L896">IF($K896="","",_xlfn.SWITCH($I896,"Computer",_xlfn.XLOOKUP($K896&amp;"",COMPUTER!$B$3:$B$1009&amp;"",COMPUTER!$I$3:$I$1009,""),"Display",_xlfn.XLOOKUP($K896&amp;"",DISPLAY!$B$3:$B$1000&amp;"",DISPLAY!$J$3:$J$1000,""),"Network Device",_xlfn.XLOOKUP($K896&amp;"",'NETWORK-DEVICES'!$B$3:$B$987&amp;"",'NETWORK-DEVICES'!$I$3:$I$987,""),"Peripheral",_xlfn.XLOOKUP($K896&amp;"",PERIPHERAL!$B$3:$B$954&amp;"",PERIPHERAL!$I$3:$I$954,""),"Utilities",_xlfn.XLOOKUP($K896&amp;"",UTILITIES!$B$3:$B$953&amp;"",UTILITIES!$H$3:$H$953,""),"IOT",_xlfn.XLOOKUP($K896&amp;"",IOT!$B$3:$B$1012&amp;"",IOT!$I$3:$I$1012,""),"SERVER",_xlfn.XLOOKUP($K896&amp;"",SERVER!$B$3:$B$1009&amp;"",SERVER!$I$3:$I$1009,""),""))</f>
        <v/>
      </c>
      <c r="M896" t="str" cm="1">
        <f t="array" ref="M896">IF($K896="","",_xlfn.SWITCH($I896,"Computer",_xlfn.XLOOKUP($K896&amp;"",COMPUTER!$B$3:$B$1009&amp;"",COMPUTER!$J$3:$J$1009,""),"Display",_xlfn.XLOOKUP($K896&amp;"",DISPLAY!$B$3:$B$1000&amp;"",DISPLAY!$K$3:$K$1000,""),"Network Device",_xlfn.XLOOKUP($K896&amp;"",'NETWORK-DEVICES'!$B$3:$B$987&amp;"",'NETWORK-DEVICES'!$I$3:$I$987,""),"Peripheral",_xlfn.XLOOKUP($K896&amp;"",PERIPHERAL!$B$3:$B$954&amp;"",PERIPHERAL!$J$3:$J$954,""),"Utilities",_xlfn.XLOOKUP($K896&amp;"",UTILITIES!$B$3:$B$953&amp;"",UTILITIES!$I$3:$I$953,""),"IOT",_xlfn.XLOOKUP($K896&amp;"",IOT!$B$3:$B$1012&amp;"",IOT!$J$3:$J$1012,""),"Server",_xlfn.XLOOKUP($K896&amp;"",SERVER!$B$3:$B$1009&amp;"",SERVER!$J$3:$J$1009,""),""))</f>
        <v/>
      </c>
      <c r="N896" s="1" t="str" cm="1">
        <f t="array" ref="N896">IF(OR($K896="",$I896="",$J896=""),"",_xlfn.LET(_xlpm.srcCat,_xlfn.SWITCH($I896,"Computer",_xlfn.XLOOKUP($K896&amp;"",COMPUTER!$B$3:$B$1009&amp;"",COMPUTER!$H$3:$H$1009,""),"Display",_xlfn.XLOOKUP($K896&amp;"",DISPLAY!$B$3:$B$1000&amp;"",DISPLAY!$H$3:$H$1000,""),"Network Device",_xlfn.XLOOKUP($K896&amp;"",'NETWORK-DEVICES'!$B$3:$B$987&amp;"",'NETWORK-DEVICES'!$H$3:$H$987,""),"Peripheral",_xlfn.XLOOKUP($K896&amp;"",PERIPHERAL!$B$3:$B$954&amp;"",PERIPHERAL!$H$3:$H$954,""),"Utilities",_xlfn.XLOOKUP($K896&amp;"",UTILITIES!$B$3:$B$953&amp;"",UTILITIES!$G$3:$G$953,""),"IOT",_xlfn.XLOOKUP($K896&amp;"",IOT!$B$3:$B$1012&amp;"",IOT!$H$3:$H$1012,""),"Server",_xlfn.XLOOKUP($K896&amp;"",SERVER!$B$3:$B$1009&amp;"",SERVER!$H$3:$H$1009,""),""),IF(TRIM(_xlpm.srcCat)&lt;&gt;TRIM($J896),"",_xlfn.SWITCH($I896,"Computer",_xlfn.XLOOKUP($K896&amp;"",COMPUTER!$B$3:$B$1009&amp;"",COMPUTER!$K$3:$K$1009,""),"Display",_xlfn.XLOOKUP($K896&amp;"",DISPLAY!$B$3:$B$1000&amp;"",DISPLAY!$L$3:$L$1000,""),"Network Device",_xlfn.XLOOKUP($K896&amp;"",'NETWORK-DEVICES'!$B$3:$B$987&amp;"",'NETWORK-DEVICES'!$K$3:$K$987,""),"Peripheral",_xlfn.XLOOKUP($K896&amp;"",PERIPHERAL!$B$3:$B$954&amp;"",PERIPHERAL!$K$3:$K$954,""),"Utilities",_xlfn.XLOOKUP($K896&amp;"",UTILITIES!$B$3:$B$953&amp;"",UTILITIES!$J$3:$J$953,""),"IOT",_xlfn.XLOOKUP($K896&amp;"",IOT!$B$3:$B$1012&amp;"",IOT!$K$4:$K$1012,""),"Server",_xlfn.XLOOKUP($K896&amp;"",SERVER!$B$3:$B$1009&amp;"",SERVER!$K$3:$K$1009,""),""))))</f>
        <v/>
      </c>
      <c r="O896" s="1" t="str" cm="1">
        <f t="array" ref="O896">IF(OR($K896="",$I896="",$J896=""),"",_xlfn.LET(_xlpm.srcCat,_xlfn.SWITCH($I896,"Computer",_xlfn.XLOOKUP($K896&amp;"",COMPUTER!$B$3:$B$1009&amp;"",COMPUTER!$H$3:$H$1009,""),"Display",_xlfn.XLOOKUP($K896&amp;"",DISPLAY!$B$3:$B$1000&amp;"",DISPLAY!$H$3:$H$1000,""),"Network Device",_xlfn.XLOOKUP($K896&amp;"",'NETWORK-DEVICES'!$B$3:$B$987&amp;"",'NETWORK-DEVICES'!$H$3:$H$987,""),"Peripheral",_xlfn.XLOOKUP($K896&amp;"",PERIPHERAL!$B$3:$B$954&amp;"",PERIPHERAL!$H$3:$H$954,""),"Utilities",_xlfn.XLOOKUP($K896&amp;"",UTILITIES!$B$3:$B$953&amp;"",UTILITIES!$G$3:$G$953,""),"IOT",_xlfn.XLOOKUP($K896&amp;"",IOT!$B$3:$B$1012&amp;"",IOT!$H$3:$H$1012,""),"Server",_xlfn.XLOOKUP($K896&amp;"",SERVER!$B$3:$B$1009&amp;"",SERVER!$H$3:$H$1009,""),""),IF(TRIM(_xlpm.srcCat)&lt;&gt;TRIM($J896),"",_xlfn.SWITCH($I896,"Computer",_xlfn.XLOOKUP($K896&amp;"",COMPUTER!$B$3:$B$1009&amp;"",COMPUTER!$E$3:$E$1009,""),"Display",_xlfn.XLOOKUP($K896&amp;"",DISPLAY!$B$3:$B$1000&amp;"",DISPLAY!$E$3:$E$1000,""),"Network Device",_xlfn.XLOOKUP($K896&amp;"",'NETWORK-DEVICES'!$B$3:$B$987&amp;"",'NETWORK-DEVICES'!$E$3:$E$987,""),"Peripheral",_xlfn.XLOOKUP($K896&amp;"",PERIPHERAL!$B$3:$B$954&amp;"",PERIPHERAL!$E$3:$E$954,""),"Utilities",_xlfn.XLOOKUP($K896&amp;"",UTILITIES!$B$3:$B$953&amp;"",UTILITIES!$E$3:$E$953,""),"IOT",_xlfn.XLOOKUP($K896&amp;"",IOT!$B$3:$B$1012&amp;"",IOT!$E$3:$E$1012,""),"Server",_xlfn.XLOOKUP($K896&amp;"",SERVER!$B$3:$B$1009&amp;"",SERVER!$E$3:$E$1009,""),""))))</f>
        <v/>
      </c>
      <c r="Q896" s="1" t="str" cm="1">
        <f t="array" ref="Q896">IF(OR($K896="",$I896="",$J896=""),"",_xlfn.LET(_xlpm.srcCat,_xlfn.SWITCH($I896,"Computer",_xlfn.XLOOKUP($K896&amp;"",COMPUTER!$B$3:$B$1009&amp;"",COMPUTER!$H$3:$H$1009,""),"Display",_xlfn.XLOOKUP($K896&amp;"",DISPLAY!$B$3:$B$1000&amp;"",DISPLAY!$H$3:$H$1000,""),"Network Device",_xlfn.XLOOKUP($K896&amp;"",'NETWORK-DEVICES'!$B$3:$B$987&amp;"",'NETWORK-DEVICES'!$H$3:$H$987,""),"Peripheral",_xlfn.XLOOKUP($K896&amp;"",PERIPHERAL!$B$3:$B$954&amp;"",PERIPHERAL!$H$3:$H$954,""),"Utilities",_xlfn.XLOOKUP($K896&amp;"",UTILITIES!$B$3:$B$953&amp;"",UTILITIES!$G$3:$G$953,""),"IOT",_xlfn.XLOOKUP($K896&amp;"",IOT!$B$3:$B$1012&amp;"",IOT!$H$3:$H$1012,""),"Server",_xlfn.XLOOKUP($K896&amp;"",SERVER!$B$3:$B$1009&amp;"",SERVER!$H$3:$H$1009,""),""),IF(TRIM(_xlpm.srcCat)&lt;&gt;TRIM($J896),"",_xlfn.SWITCH($I896,"Computer",_xlfn.XLOOKUP($K896&amp;"",COMPUTER!$B$3:$B$1009&amp;"",COMPUTER!$AM$3:$AM$1009,""),"Display",_xlfn.XLOOKUP($K896&amp;"",DISPLAY!$B$3:$B$1000&amp;"",DISPLAY!$V$3:$V$1000,""),"Network Device",_xlfn.XLOOKUP($K896&amp;"",'NETWORK-DEVICES'!$B$3:$B$987&amp;"",'NETWORK-DEVICES'!$AF$3:$AF$987,""),"Peripheral",_xlfn.XLOOKUP($K896&amp;"",PERIPHERAL!$B$3:$B$954&amp;"",PERIPHERAL!$Y$3:$Y$954,""),"Utilities",_xlfn.XLOOKUP($K896&amp;"",UTILITIES!$B$3:$B$953&amp;"",UTILITIES!$O$3:$O$953,""),"IOT",_xlfn.XLOOKUP($K896&amp;"",IOT!$B$3:$B$1012&amp;"",IOT!$AB$3:$AB$1012,""),"Server",_xlfn.XLOOKUP($K896&amp;"",SERVER!$B$3:$B$1009&amp;"",SERVER!$AB$3:$AB$1009,""),""))))</f>
        <v/>
      </c>
      <c r="R896" s="43" t="str">
        <f>IF(tbl_handover[[#This Row],[Asset Code]]="","",COUNTIF(tbl_handover[Asset Code],tbl_handover[[#This Row],[Asset Code]]))</f>
        <v/>
      </c>
    </row>
    <row r="897" spans="1:18" x14ac:dyDescent="0.25">
      <c r="A897" s="43" t="str">
        <f>IF(B897&lt;&gt;"",SUBTOTAL(3,$B$1:B896),"")</f>
        <v/>
      </c>
      <c r="C897" s="74"/>
      <c r="D897" s="74"/>
      <c r="G897" s="1"/>
      <c r="K897" s="42"/>
      <c r="L897" t="str" cm="1">
        <f t="array" ref="L897">IF($K897="","",_xlfn.SWITCH($I897,"Computer",_xlfn.XLOOKUP($K897&amp;"",COMPUTER!$B$3:$B$1009&amp;"",COMPUTER!$I$3:$I$1009,""),"Display",_xlfn.XLOOKUP($K897&amp;"",DISPLAY!$B$3:$B$1000&amp;"",DISPLAY!$J$3:$J$1000,""),"Network Device",_xlfn.XLOOKUP($K897&amp;"",'NETWORK-DEVICES'!$B$3:$B$987&amp;"",'NETWORK-DEVICES'!$I$3:$I$987,""),"Peripheral",_xlfn.XLOOKUP($K897&amp;"",PERIPHERAL!$B$3:$B$954&amp;"",PERIPHERAL!$I$3:$I$954,""),"Utilities",_xlfn.XLOOKUP($K897&amp;"",UTILITIES!$B$3:$B$953&amp;"",UTILITIES!$H$3:$H$953,""),"IOT",_xlfn.XLOOKUP($K897&amp;"",IOT!$B$3:$B$1012&amp;"",IOT!$I$3:$I$1012,""),"SERVER",_xlfn.XLOOKUP($K897&amp;"",SERVER!$B$3:$B$1009&amp;"",SERVER!$I$3:$I$1009,""),""))</f>
        <v/>
      </c>
      <c r="M897" t="str" cm="1">
        <f t="array" ref="M897">IF($K897="","",_xlfn.SWITCH($I897,"Computer",_xlfn.XLOOKUP($K897&amp;"",COMPUTER!$B$3:$B$1009&amp;"",COMPUTER!$J$3:$J$1009,""),"Display",_xlfn.XLOOKUP($K897&amp;"",DISPLAY!$B$3:$B$1000&amp;"",DISPLAY!$K$3:$K$1000,""),"Network Device",_xlfn.XLOOKUP($K897&amp;"",'NETWORK-DEVICES'!$B$3:$B$987&amp;"",'NETWORK-DEVICES'!$I$3:$I$987,""),"Peripheral",_xlfn.XLOOKUP($K897&amp;"",PERIPHERAL!$B$3:$B$954&amp;"",PERIPHERAL!$J$3:$J$954,""),"Utilities",_xlfn.XLOOKUP($K897&amp;"",UTILITIES!$B$3:$B$953&amp;"",UTILITIES!$I$3:$I$953,""),"IOT",_xlfn.XLOOKUP($K897&amp;"",IOT!$B$3:$B$1012&amp;"",IOT!$J$3:$J$1012,""),"Server",_xlfn.XLOOKUP($K897&amp;"",SERVER!$B$3:$B$1009&amp;"",SERVER!$J$3:$J$1009,""),""))</f>
        <v/>
      </c>
      <c r="N897" s="1" t="str" cm="1">
        <f t="array" ref="N897">IF(OR($K897="",$I897="",$J897=""),"",_xlfn.LET(_xlpm.srcCat,_xlfn.SWITCH($I897,"Computer",_xlfn.XLOOKUP($K897&amp;"",COMPUTER!$B$3:$B$1009&amp;"",COMPUTER!$H$3:$H$1009,""),"Display",_xlfn.XLOOKUP($K897&amp;"",DISPLAY!$B$3:$B$1000&amp;"",DISPLAY!$H$3:$H$1000,""),"Network Device",_xlfn.XLOOKUP($K897&amp;"",'NETWORK-DEVICES'!$B$3:$B$987&amp;"",'NETWORK-DEVICES'!$H$3:$H$987,""),"Peripheral",_xlfn.XLOOKUP($K897&amp;"",PERIPHERAL!$B$3:$B$954&amp;"",PERIPHERAL!$H$3:$H$954,""),"Utilities",_xlfn.XLOOKUP($K897&amp;"",UTILITIES!$B$3:$B$953&amp;"",UTILITIES!$G$3:$G$953,""),"IOT",_xlfn.XLOOKUP($K897&amp;"",IOT!$B$3:$B$1012&amp;"",IOT!$H$3:$H$1012,""),"Server",_xlfn.XLOOKUP($K897&amp;"",SERVER!$B$3:$B$1009&amp;"",SERVER!$H$3:$H$1009,""),""),IF(TRIM(_xlpm.srcCat)&lt;&gt;TRIM($J897),"",_xlfn.SWITCH($I897,"Computer",_xlfn.XLOOKUP($K897&amp;"",COMPUTER!$B$3:$B$1009&amp;"",COMPUTER!$K$3:$K$1009,""),"Display",_xlfn.XLOOKUP($K897&amp;"",DISPLAY!$B$3:$B$1000&amp;"",DISPLAY!$L$3:$L$1000,""),"Network Device",_xlfn.XLOOKUP($K897&amp;"",'NETWORK-DEVICES'!$B$3:$B$987&amp;"",'NETWORK-DEVICES'!$K$3:$K$987,""),"Peripheral",_xlfn.XLOOKUP($K897&amp;"",PERIPHERAL!$B$3:$B$954&amp;"",PERIPHERAL!$K$3:$K$954,""),"Utilities",_xlfn.XLOOKUP($K897&amp;"",UTILITIES!$B$3:$B$953&amp;"",UTILITIES!$J$3:$J$953,""),"IOT",_xlfn.XLOOKUP($K897&amp;"",IOT!$B$3:$B$1012&amp;"",IOT!$K$4:$K$1012,""),"Server",_xlfn.XLOOKUP($K897&amp;"",SERVER!$B$3:$B$1009&amp;"",SERVER!$K$3:$K$1009,""),""))))</f>
        <v/>
      </c>
      <c r="O897" s="1" t="str" cm="1">
        <f t="array" ref="O897">IF(OR($K897="",$I897="",$J897=""),"",_xlfn.LET(_xlpm.srcCat,_xlfn.SWITCH($I897,"Computer",_xlfn.XLOOKUP($K897&amp;"",COMPUTER!$B$3:$B$1009&amp;"",COMPUTER!$H$3:$H$1009,""),"Display",_xlfn.XLOOKUP($K897&amp;"",DISPLAY!$B$3:$B$1000&amp;"",DISPLAY!$H$3:$H$1000,""),"Network Device",_xlfn.XLOOKUP($K897&amp;"",'NETWORK-DEVICES'!$B$3:$B$987&amp;"",'NETWORK-DEVICES'!$H$3:$H$987,""),"Peripheral",_xlfn.XLOOKUP($K897&amp;"",PERIPHERAL!$B$3:$B$954&amp;"",PERIPHERAL!$H$3:$H$954,""),"Utilities",_xlfn.XLOOKUP($K897&amp;"",UTILITIES!$B$3:$B$953&amp;"",UTILITIES!$G$3:$G$953,""),"IOT",_xlfn.XLOOKUP($K897&amp;"",IOT!$B$3:$B$1012&amp;"",IOT!$H$3:$H$1012,""),"Server",_xlfn.XLOOKUP($K897&amp;"",SERVER!$B$3:$B$1009&amp;"",SERVER!$H$3:$H$1009,""),""),IF(TRIM(_xlpm.srcCat)&lt;&gt;TRIM($J897),"",_xlfn.SWITCH($I897,"Computer",_xlfn.XLOOKUP($K897&amp;"",COMPUTER!$B$3:$B$1009&amp;"",COMPUTER!$E$3:$E$1009,""),"Display",_xlfn.XLOOKUP($K897&amp;"",DISPLAY!$B$3:$B$1000&amp;"",DISPLAY!$E$3:$E$1000,""),"Network Device",_xlfn.XLOOKUP($K897&amp;"",'NETWORK-DEVICES'!$B$3:$B$987&amp;"",'NETWORK-DEVICES'!$E$3:$E$987,""),"Peripheral",_xlfn.XLOOKUP($K897&amp;"",PERIPHERAL!$B$3:$B$954&amp;"",PERIPHERAL!$E$3:$E$954,""),"Utilities",_xlfn.XLOOKUP($K897&amp;"",UTILITIES!$B$3:$B$953&amp;"",UTILITIES!$E$3:$E$953,""),"IOT",_xlfn.XLOOKUP($K897&amp;"",IOT!$B$3:$B$1012&amp;"",IOT!$E$3:$E$1012,""),"Server",_xlfn.XLOOKUP($K897&amp;"",SERVER!$B$3:$B$1009&amp;"",SERVER!$E$3:$E$1009,""),""))))</f>
        <v/>
      </c>
      <c r="Q897" s="1" t="str" cm="1">
        <f t="array" ref="Q897">IF(OR($K897="",$I897="",$J897=""),"",_xlfn.LET(_xlpm.srcCat,_xlfn.SWITCH($I897,"Computer",_xlfn.XLOOKUP($K897&amp;"",COMPUTER!$B$3:$B$1009&amp;"",COMPUTER!$H$3:$H$1009,""),"Display",_xlfn.XLOOKUP($K897&amp;"",DISPLAY!$B$3:$B$1000&amp;"",DISPLAY!$H$3:$H$1000,""),"Network Device",_xlfn.XLOOKUP($K897&amp;"",'NETWORK-DEVICES'!$B$3:$B$987&amp;"",'NETWORK-DEVICES'!$H$3:$H$987,""),"Peripheral",_xlfn.XLOOKUP($K897&amp;"",PERIPHERAL!$B$3:$B$954&amp;"",PERIPHERAL!$H$3:$H$954,""),"Utilities",_xlfn.XLOOKUP($K897&amp;"",UTILITIES!$B$3:$B$953&amp;"",UTILITIES!$G$3:$G$953,""),"IOT",_xlfn.XLOOKUP($K897&amp;"",IOT!$B$3:$B$1012&amp;"",IOT!$H$3:$H$1012,""),"Server",_xlfn.XLOOKUP($K897&amp;"",SERVER!$B$3:$B$1009&amp;"",SERVER!$H$3:$H$1009,""),""),IF(TRIM(_xlpm.srcCat)&lt;&gt;TRIM($J897),"",_xlfn.SWITCH($I897,"Computer",_xlfn.XLOOKUP($K897&amp;"",COMPUTER!$B$3:$B$1009&amp;"",COMPUTER!$AM$3:$AM$1009,""),"Display",_xlfn.XLOOKUP($K897&amp;"",DISPLAY!$B$3:$B$1000&amp;"",DISPLAY!$V$3:$V$1000,""),"Network Device",_xlfn.XLOOKUP($K897&amp;"",'NETWORK-DEVICES'!$B$3:$B$987&amp;"",'NETWORK-DEVICES'!$AF$3:$AF$987,""),"Peripheral",_xlfn.XLOOKUP($K897&amp;"",PERIPHERAL!$B$3:$B$954&amp;"",PERIPHERAL!$Y$3:$Y$954,""),"Utilities",_xlfn.XLOOKUP($K897&amp;"",UTILITIES!$B$3:$B$953&amp;"",UTILITIES!$O$3:$O$953,""),"IOT",_xlfn.XLOOKUP($K897&amp;"",IOT!$B$3:$B$1012&amp;"",IOT!$AB$3:$AB$1012,""),"Server",_xlfn.XLOOKUP($K897&amp;"",SERVER!$B$3:$B$1009&amp;"",SERVER!$AB$3:$AB$1009,""),""))))</f>
        <v/>
      </c>
      <c r="R897" s="43" t="str">
        <f>IF(tbl_handover[[#This Row],[Asset Code]]="","",COUNTIF(tbl_handover[Asset Code],tbl_handover[[#This Row],[Asset Code]]))</f>
        <v/>
      </c>
    </row>
    <row r="898" spans="1:18" x14ac:dyDescent="0.25">
      <c r="A898" s="43" t="str">
        <f>IF(B898&lt;&gt;"",SUBTOTAL(3,$B$1:B897),"")</f>
        <v/>
      </c>
      <c r="C898" s="74"/>
      <c r="D898" s="74"/>
      <c r="G898" s="1"/>
      <c r="K898" s="42"/>
      <c r="L898" t="str" cm="1">
        <f t="array" ref="L898">IF($K898="","",_xlfn.SWITCH($I898,"Computer",_xlfn.XLOOKUP($K898&amp;"",COMPUTER!$B$3:$B$1009&amp;"",COMPUTER!$I$3:$I$1009,""),"Display",_xlfn.XLOOKUP($K898&amp;"",DISPLAY!$B$3:$B$1000&amp;"",DISPLAY!$J$3:$J$1000,""),"Network Device",_xlfn.XLOOKUP($K898&amp;"",'NETWORK-DEVICES'!$B$3:$B$987&amp;"",'NETWORK-DEVICES'!$I$3:$I$987,""),"Peripheral",_xlfn.XLOOKUP($K898&amp;"",PERIPHERAL!$B$3:$B$954&amp;"",PERIPHERAL!$I$3:$I$954,""),"Utilities",_xlfn.XLOOKUP($K898&amp;"",UTILITIES!$B$3:$B$953&amp;"",UTILITIES!$H$3:$H$953,""),"IOT",_xlfn.XLOOKUP($K898&amp;"",IOT!$B$3:$B$1012&amp;"",IOT!$I$3:$I$1012,""),"SERVER",_xlfn.XLOOKUP($K898&amp;"",SERVER!$B$3:$B$1009&amp;"",SERVER!$I$3:$I$1009,""),""))</f>
        <v/>
      </c>
      <c r="M898" t="str" cm="1">
        <f t="array" ref="M898">IF($K898="","",_xlfn.SWITCH($I898,"Computer",_xlfn.XLOOKUP($K898&amp;"",COMPUTER!$B$3:$B$1009&amp;"",COMPUTER!$J$3:$J$1009,""),"Display",_xlfn.XLOOKUP($K898&amp;"",DISPLAY!$B$3:$B$1000&amp;"",DISPLAY!$K$3:$K$1000,""),"Network Device",_xlfn.XLOOKUP($K898&amp;"",'NETWORK-DEVICES'!$B$3:$B$987&amp;"",'NETWORK-DEVICES'!$I$3:$I$987,""),"Peripheral",_xlfn.XLOOKUP($K898&amp;"",PERIPHERAL!$B$3:$B$954&amp;"",PERIPHERAL!$J$3:$J$954,""),"Utilities",_xlfn.XLOOKUP($K898&amp;"",UTILITIES!$B$3:$B$953&amp;"",UTILITIES!$I$3:$I$953,""),"IOT",_xlfn.XLOOKUP($K898&amp;"",IOT!$B$3:$B$1012&amp;"",IOT!$J$3:$J$1012,""),"Server",_xlfn.XLOOKUP($K898&amp;"",SERVER!$B$3:$B$1009&amp;"",SERVER!$J$3:$J$1009,""),""))</f>
        <v/>
      </c>
      <c r="N898" s="1" t="str" cm="1">
        <f t="array" ref="N898">IF(OR($K898="",$I898="",$J898=""),"",_xlfn.LET(_xlpm.srcCat,_xlfn.SWITCH($I898,"Computer",_xlfn.XLOOKUP($K898&amp;"",COMPUTER!$B$3:$B$1009&amp;"",COMPUTER!$H$3:$H$1009,""),"Display",_xlfn.XLOOKUP($K898&amp;"",DISPLAY!$B$3:$B$1000&amp;"",DISPLAY!$H$3:$H$1000,""),"Network Device",_xlfn.XLOOKUP($K898&amp;"",'NETWORK-DEVICES'!$B$3:$B$987&amp;"",'NETWORK-DEVICES'!$H$3:$H$987,""),"Peripheral",_xlfn.XLOOKUP($K898&amp;"",PERIPHERAL!$B$3:$B$954&amp;"",PERIPHERAL!$H$3:$H$954,""),"Utilities",_xlfn.XLOOKUP($K898&amp;"",UTILITIES!$B$3:$B$953&amp;"",UTILITIES!$G$3:$G$953,""),"IOT",_xlfn.XLOOKUP($K898&amp;"",IOT!$B$3:$B$1012&amp;"",IOT!$H$3:$H$1012,""),"Server",_xlfn.XLOOKUP($K898&amp;"",SERVER!$B$3:$B$1009&amp;"",SERVER!$H$3:$H$1009,""),""),IF(TRIM(_xlpm.srcCat)&lt;&gt;TRIM($J898),"",_xlfn.SWITCH($I898,"Computer",_xlfn.XLOOKUP($K898&amp;"",COMPUTER!$B$3:$B$1009&amp;"",COMPUTER!$K$3:$K$1009,""),"Display",_xlfn.XLOOKUP($K898&amp;"",DISPLAY!$B$3:$B$1000&amp;"",DISPLAY!$L$3:$L$1000,""),"Network Device",_xlfn.XLOOKUP($K898&amp;"",'NETWORK-DEVICES'!$B$3:$B$987&amp;"",'NETWORK-DEVICES'!$K$3:$K$987,""),"Peripheral",_xlfn.XLOOKUP($K898&amp;"",PERIPHERAL!$B$3:$B$954&amp;"",PERIPHERAL!$K$3:$K$954,""),"Utilities",_xlfn.XLOOKUP($K898&amp;"",UTILITIES!$B$3:$B$953&amp;"",UTILITIES!$J$3:$J$953,""),"IOT",_xlfn.XLOOKUP($K898&amp;"",IOT!$B$3:$B$1012&amp;"",IOT!$K$4:$K$1012,""),"Server",_xlfn.XLOOKUP($K898&amp;"",SERVER!$B$3:$B$1009&amp;"",SERVER!$K$3:$K$1009,""),""))))</f>
        <v/>
      </c>
      <c r="O898" s="1" t="str" cm="1">
        <f t="array" ref="O898">IF(OR($K898="",$I898="",$J898=""),"",_xlfn.LET(_xlpm.srcCat,_xlfn.SWITCH($I898,"Computer",_xlfn.XLOOKUP($K898&amp;"",COMPUTER!$B$3:$B$1009&amp;"",COMPUTER!$H$3:$H$1009,""),"Display",_xlfn.XLOOKUP($K898&amp;"",DISPLAY!$B$3:$B$1000&amp;"",DISPLAY!$H$3:$H$1000,""),"Network Device",_xlfn.XLOOKUP($K898&amp;"",'NETWORK-DEVICES'!$B$3:$B$987&amp;"",'NETWORK-DEVICES'!$H$3:$H$987,""),"Peripheral",_xlfn.XLOOKUP($K898&amp;"",PERIPHERAL!$B$3:$B$954&amp;"",PERIPHERAL!$H$3:$H$954,""),"Utilities",_xlfn.XLOOKUP($K898&amp;"",UTILITIES!$B$3:$B$953&amp;"",UTILITIES!$G$3:$G$953,""),"IOT",_xlfn.XLOOKUP($K898&amp;"",IOT!$B$3:$B$1012&amp;"",IOT!$H$3:$H$1012,""),"Server",_xlfn.XLOOKUP($K898&amp;"",SERVER!$B$3:$B$1009&amp;"",SERVER!$H$3:$H$1009,""),""),IF(TRIM(_xlpm.srcCat)&lt;&gt;TRIM($J898),"",_xlfn.SWITCH($I898,"Computer",_xlfn.XLOOKUP($K898&amp;"",COMPUTER!$B$3:$B$1009&amp;"",COMPUTER!$E$3:$E$1009,""),"Display",_xlfn.XLOOKUP($K898&amp;"",DISPLAY!$B$3:$B$1000&amp;"",DISPLAY!$E$3:$E$1000,""),"Network Device",_xlfn.XLOOKUP($K898&amp;"",'NETWORK-DEVICES'!$B$3:$B$987&amp;"",'NETWORK-DEVICES'!$E$3:$E$987,""),"Peripheral",_xlfn.XLOOKUP($K898&amp;"",PERIPHERAL!$B$3:$B$954&amp;"",PERIPHERAL!$E$3:$E$954,""),"Utilities",_xlfn.XLOOKUP($K898&amp;"",UTILITIES!$B$3:$B$953&amp;"",UTILITIES!$E$3:$E$953,""),"IOT",_xlfn.XLOOKUP($K898&amp;"",IOT!$B$3:$B$1012&amp;"",IOT!$E$3:$E$1012,""),"Server",_xlfn.XLOOKUP($K898&amp;"",SERVER!$B$3:$B$1009&amp;"",SERVER!$E$3:$E$1009,""),""))))</f>
        <v/>
      </c>
      <c r="Q898" s="1" t="str" cm="1">
        <f t="array" ref="Q898">IF(OR($K898="",$I898="",$J898=""),"",_xlfn.LET(_xlpm.srcCat,_xlfn.SWITCH($I898,"Computer",_xlfn.XLOOKUP($K898&amp;"",COMPUTER!$B$3:$B$1009&amp;"",COMPUTER!$H$3:$H$1009,""),"Display",_xlfn.XLOOKUP($K898&amp;"",DISPLAY!$B$3:$B$1000&amp;"",DISPLAY!$H$3:$H$1000,""),"Network Device",_xlfn.XLOOKUP($K898&amp;"",'NETWORK-DEVICES'!$B$3:$B$987&amp;"",'NETWORK-DEVICES'!$H$3:$H$987,""),"Peripheral",_xlfn.XLOOKUP($K898&amp;"",PERIPHERAL!$B$3:$B$954&amp;"",PERIPHERAL!$H$3:$H$954,""),"Utilities",_xlfn.XLOOKUP($K898&amp;"",UTILITIES!$B$3:$B$953&amp;"",UTILITIES!$G$3:$G$953,""),"IOT",_xlfn.XLOOKUP($K898&amp;"",IOT!$B$3:$B$1012&amp;"",IOT!$H$3:$H$1012,""),"Server",_xlfn.XLOOKUP($K898&amp;"",SERVER!$B$3:$B$1009&amp;"",SERVER!$H$3:$H$1009,""),""),IF(TRIM(_xlpm.srcCat)&lt;&gt;TRIM($J898),"",_xlfn.SWITCH($I898,"Computer",_xlfn.XLOOKUP($K898&amp;"",COMPUTER!$B$3:$B$1009&amp;"",COMPUTER!$AM$3:$AM$1009,""),"Display",_xlfn.XLOOKUP($K898&amp;"",DISPLAY!$B$3:$B$1000&amp;"",DISPLAY!$V$3:$V$1000,""),"Network Device",_xlfn.XLOOKUP($K898&amp;"",'NETWORK-DEVICES'!$B$3:$B$987&amp;"",'NETWORK-DEVICES'!$AF$3:$AF$987,""),"Peripheral",_xlfn.XLOOKUP($K898&amp;"",PERIPHERAL!$B$3:$B$954&amp;"",PERIPHERAL!$Y$3:$Y$954,""),"Utilities",_xlfn.XLOOKUP($K898&amp;"",UTILITIES!$B$3:$B$953&amp;"",UTILITIES!$O$3:$O$953,""),"IOT",_xlfn.XLOOKUP($K898&amp;"",IOT!$B$3:$B$1012&amp;"",IOT!$AB$3:$AB$1012,""),"Server",_xlfn.XLOOKUP($K898&amp;"",SERVER!$B$3:$B$1009&amp;"",SERVER!$AB$3:$AB$1009,""),""))))</f>
        <v/>
      </c>
      <c r="R898" s="43" t="str">
        <f>IF(tbl_handover[[#This Row],[Asset Code]]="","",COUNTIF(tbl_handover[Asset Code],tbl_handover[[#This Row],[Asset Code]]))</f>
        <v/>
      </c>
    </row>
    <row r="899" spans="1:18" x14ac:dyDescent="0.25">
      <c r="A899" s="43" t="str">
        <f>IF(B899&lt;&gt;"",SUBTOTAL(3,$B$1:B898),"")</f>
        <v/>
      </c>
      <c r="C899" s="74"/>
      <c r="D899" s="74"/>
      <c r="G899" s="1"/>
      <c r="K899" s="42"/>
      <c r="L899" t="str" cm="1">
        <f t="array" ref="L899">IF($K899="","",_xlfn.SWITCH($I899,"Computer",_xlfn.XLOOKUP($K899&amp;"",COMPUTER!$B$3:$B$1009&amp;"",COMPUTER!$I$3:$I$1009,""),"Display",_xlfn.XLOOKUP($K899&amp;"",DISPLAY!$B$3:$B$1000&amp;"",DISPLAY!$J$3:$J$1000,""),"Network Device",_xlfn.XLOOKUP($K899&amp;"",'NETWORK-DEVICES'!$B$3:$B$987&amp;"",'NETWORK-DEVICES'!$I$3:$I$987,""),"Peripheral",_xlfn.XLOOKUP($K899&amp;"",PERIPHERAL!$B$3:$B$954&amp;"",PERIPHERAL!$I$3:$I$954,""),"Utilities",_xlfn.XLOOKUP($K899&amp;"",UTILITIES!$B$3:$B$953&amp;"",UTILITIES!$H$3:$H$953,""),"IOT",_xlfn.XLOOKUP($K899&amp;"",IOT!$B$3:$B$1012&amp;"",IOT!$I$3:$I$1012,""),"SERVER",_xlfn.XLOOKUP($K899&amp;"",SERVER!$B$3:$B$1009&amp;"",SERVER!$I$3:$I$1009,""),""))</f>
        <v/>
      </c>
      <c r="M899" t="str" cm="1">
        <f t="array" ref="M899">IF($K899="","",_xlfn.SWITCH($I899,"Computer",_xlfn.XLOOKUP($K899&amp;"",COMPUTER!$B$3:$B$1009&amp;"",COMPUTER!$J$3:$J$1009,""),"Display",_xlfn.XLOOKUP($K899&amp;"",DISPLAY!$B$3:$B$1000&amp;"",DISPLAY!$K$3:$K$1000,""),"Network Device",_xlfn.XLOOKUP($K899&amp;"",'NETWORK-DEVICES'!$B$3:$B$987&amp;"",'NETWORK-DEVICES'!$I$3:$I$987,""),"Peripheral",_xlfn.XLOOKUP($K899&amp;"",PERIPHERAL!$B$3:$B$954&amp;"",PERIPHERAL!$J$3:$J$954,""),"Utilities",_xlfn.XLOOKUP($K899&amp;"",UTILITIES!$B$3:$B$953&amp;"",UTILITIES!$I$3:$I$953,""),"IOT",_xlfn.XLOOKUP($K899&amp;"",IOT!$B$3:$B$1012&amp;"",IOT!$J$3:$J$1012,""),"Server",_xlfn.XLOOKUP($K899&amp;"",SERVER!$B$3:$B$1009&amp;"",SERVER!$J$3:$J$1009,""),""))</f>
        <v/>
      </c>
      <c r="N899" s="1" t="str" cm="1">
        <f t="array" ref="N899">IF(OR($K899="",$I899="",$J899=""),"",_xlfn.LET(_xlpm.srcCat,_xlfn.SWITCH($I899,"Computer",_xlfn.XLOOKUP($K899&amp;"",COMPUTER!$B$3:$B$1009&amp;"",COMPUTER!$H$3:$H$1009,""),"Display",_xlfn.XLOOKUP($K899&amp;"",DISPLAY!$B$3:$B$1000&amp;"",DISPLAY!$H$3:$H$1000,""),"Network Device",_xlfn.XLOOKUP($K899&amp;"",'NETWORK-DEVICES'!$B$3:$B$987&amp;"",'NETWORK-DEVICES'!$H$3:$H$987,""),"Peripheral",_xlfn.XLOOKUP($K899&amp;"",PERIPHERAL!$B$3:$B$954&amp;"",PERIPHERAL!$H$3:$H$954,""),"Utilities",_xlfn.XLOOKUP($K899&amp;"",UTILITIES!$B$3:$B$953&amp;"",UTILITIES!$G$3:$G$953,""),"IOT",_xlfn.XLOOKUP($K899&amp;"",IOT!$B$3:$B$1012&amp;"",IOT!$H$3:$H$1012,""),"Server",_xlfn.XLOOKUP($K899&amp;"",SERVER!$B$3:$B$1009&amp;"",SERVER!$H$3:$H$1009,""),""),IF(TRIM(_xlpm.srcCat)&lt;&gt;TRIM($J899),"",_xlfn.SWITCH($I899,"Computer",_xlfn.XLOOKUP($K899&amp;"",COMPUTER!$B$3:$B$1009&amp;"",COMPUTER!$K$3:$K$1009,""),"Display",_xlfn.XLOOKUP($K899&amp;"",DISPLAY!$B$3:$B$1000&amp;"",DISPLAY!$L$3:$L$1000,""),"Network Device",_xlfn.XLOOKUP($K899&amp;"",'NETWORK-DEVICES'!$B$3:$B$987&amp;"",'NETWORK-DEVICES'!$K$3:$K$987,""),"Peripheral",_xlfn.XLOOKUP($K899&amp;"",PERIPHERAL!$B$3:$B$954&amp;"",PERIPHERAL!$K$3:$K$954,""),"Utilities",_xlfn.XLOOKUP($K899&amp;"",UTILITIES!$B$3:$B$953&amp;"",UTILITIES!$J$3:$J$953,""),"IOT",_xlfn.XLOOKUP($K899&amp;"",IOT!$B$3:$B$1012&amp;"",IOT!$K$4:$K$1012,""),"Server",_xlfn.XLOOKUP($K899&amp;"",SERVER!$B$3:$B$1009&amp;"",SERVER!$K$3:$K$1009,""),""))))</f>
        <v/>
      </c>
      <c r="O899" s="1" t="str" cm="1">
        <f t="array" ref="O899">IF(OR($K899="",$I899="",$J899=""),"",_xlfn.LET(_xlpm.srcCat,_xlfn.SWITCH($I899,"Computer",_xlfn.XLOOKUP($K899&amp;"",COMPUTER!$B$3:$B$1009&amp;"",COMPUTER!$H$3:$H$1009,""),"Display",_xlfn.XLOOKUP($K899&amp;"",DISPLAY!$B$3:$B$1000&amp;"",DISPLAY!$H$3:$H$1000,""),"Network Device",_xlfn.XLOOKUP($K899&amp;"",'NETWORK-DEVICES'!$B$3:$B$987&amp;"",'NETWORK-DEVICES'!$H$3:$H$987,""),"Peripheral",_xlfn.XLOOKUP($K899&amp;"",PERIPHERAL!$B$3:$B$954&amp;"",PERIPHERAL!$H$3:$H$954,""),"Utilities",_xlfn.XLOOKUP($K899&amp;"",UTILITIES!$B$3:$B$953&amp;"",UTILITIES!$G$3:$G$953,""),"IOT",_xlfn.XLOOKUP($K899&amp;"",IOT!$B$3:$B$1012&amp;"",IOT!$H$3:$H$1012,""),"Server",_xlfn.XLOOKUP($K899&amp;"",SERVER!$B$3:$B$1009&amp;"",SERVER!$H$3:$H$1009,""),""),IF(TRIM(_xlpm.srcCat)&lt;&gt;TRIM($J899),"",_xlfn.SWITCH($I899,"Computer",_xlfn.XLOOKUP($K899&amp;"",COMPUTER!$B$3:$B$1009&amp;"",COMPUTER!$E$3:$E$1009,""),"Display",_xlfn.XLOOKUP($K899&amp;"",DISPLAY!$B$3:$B$1000&amp;"",DISPLAY!$E$3:$E$1000,""),"Network Device",_xlfn.XLOOKUP($K899&amp;"",'NETWORK-DEVICES'!$B$3:$B$987&amp;"",'NETWORK-DEVICES'!$E$3:$E$987,""),"Peripheral",_xlfn.XLOOKUP($K899&amp;"",PERIPHERAL!$B$3:$B$954&amp;"",PERIPHERAL!$E$3:$E$954,""),"Utilities",_xlfn.XLOOKUP($K899&amp;"",UTILITIES!$B$3:$B$953&amp;"",UTILITIES!$E$3:$E$953,""),"IOT",_xlfn.XLOOKUP($K899&amp;"",IOT!$B$3:$B$1012&amp;"",IOT!$E$3:$E$1012,""),"Server",_xlfn.XLOOKUP($K899&amp;"",SERVER!$B$3:$B$1009&amp;"",SERVER!$E$3:$E$1009,""),""))))</f>
        <v/>
      </c>
      <c r="Q899" s="1" t="str" cm="1">
        <f t="array" ref="Q899">IF(OR($K899="",$I899="",$J899=""),"",_xlfn.LET(_xlpm.srcCat,_xlfn.SWITCH($I899,"Computer",_xlfn.XLOOKUP($K899&amp;"",COMPUTER!$B$3:$B$1009&amp;"",COMPUTER!$H$3:$H$1009,""),"Display",_xlfn.XLOOKUP($K899&amp;"",DISPLAY!$B$3:$B$1000&amp;"",DISPLAY!$H$3:$H$1000,""),"Network Device",_xlfn.XLOOKUP($K899&amp;"",'NETWORK-DEVICES'!$B$3:$B$987&amp;"",'NETWORK-DEVICES'!$H$3:$H$987,""),"Peripheral",_xlfn.XLOOKUP($K899&amp;"",PERIPHERAL!$B$3:$B$954&amp;"",PERIPHERAL!$H$3:$H$954,""),"Utilities",_xlfn.XLOOKUP($K899&amp;"",UTILITIES!$B$3:$B$953&amp;"",UTILITIES!$G$3:$G$953,""),"IOT",_xlfn.XLOOKUP($K899&amp;"",IOT!$B$3:$B$1012&amp;"",IOT!$H$3:$H$1012,""),"Server",_xlfn.XLOOKUP($K899&amp;"",SERVER!$B$3:$B$1009&amp;"",SERVER!$H$3:$H$1009,""),""),IF(TRIM(_xlpm.srcCat)&lt;&gt;TRIM($J899),"",_xlfn.SWITCH($I899,"Computer",_xlfn.XLOOKUP($K899&amp;"",COMPUTER!$B$3:$B$1009&amp;"",COMPUTER!$AM$3:$AM$1009,""),"Display",_xlfn.XLOOKUP($K899&amp;"",DISPLAY!$B$3:$B$1000&amp;"",DISPLAY!$V$3:$V$1000,""),"Network Device",_xlfn.XLOOKUP($K899&amp;"",'NETWORK-DEVICES'!$B$3:$B$987&amp;"",'NETWORK-DEVICES'!$AF$3:$AF$987,""),"Peripheral",_xlfn.XLOOKUP($K899&amp;"",PERIPHERAL!$B$3:$B$954&amp;"",PERIPHERAL!$Y$3:$Y$954,""),"Utilities",_xlfn.XLOOKUP($K899&amp;"",UTILITIES!$B$3:$B$953&amp;"",UTILITIES!$O$3:$O$953,""),"IOT",_xlfn.XLOOKUP($K899&amp;"",IOT!$B$3:$B$1012&amp;"",IOT!$AB$3:$AB$1012,""),"Server",_xlfn.XLOOKUP($K899&amp;"",SERVER!$B$3:$B$1009&amp;"",SERVER!$AB$3:$AB$1009,""),""))))</f>
        <v/>
      </c>
      <c r="R899" s="43" t="str">
        <f>IF(tbl_handover[[#This Row],[Asset Code]]="","",COUNTIF(tbl_handover[Asset Code],tbl_handover[[#This Row],[Asset Code]]))</f>
        <v/>
      </c>
    </row>
    <row r="900" spans="1:18" x14ac:dyDescent="0.25">
      <c r="A900" s="43" t="str">
        <f>IF(B900&lt;&gt;"",SUBTOTAL(3,$B$1:B899),"")</f>
        <v/>
      </c>
      <c r="C900" s="74"/>
      <c r="D900" s="74"/>
      <c r="G900" s="1"/>
      <c r="K900" s="42"/>
      <c r="L900" t="str" cm="1">
        <f t="array" ref="L900">IF($K900="","",_xlfn.SWITCH($I900,"Computer",_xlfn.XLOOKUP($K900&amp;"",COMPUTER!$B$3:$B$1009&amp;"",COMPUTER!$I$3:$I$1009,""),"Display",_xlfn.XLOOKUP($K900&amp;"",DISPLAY!$B$3:$B$1000&amp;"",DISPLAY!$J$3:$J$1000,""),"Network Device",_xlfn.XLOOKUP($K900&amp;"",'NETWORK-DEVICES'!$B$3:$B$987&amp;"",'NETWORK-DEVICES'!$I$3:$I$987,""),"Peripheral",_xlfn.XLOOKUP($K900&amp;"",PERIPHERAL!$B$3:$B$954&amp;"",PERIPHERAL!$I$3:$I$954,""),"Utilities",_xlfn.XLOOKUP($K900&amp;"",UTILITIES!$B$3:$B$953&amp;"",UTILITIES!$H$3:$H$953,""),"IOT",_xlfn.XLOOKUP($K900&amp;"",IOT!$B$3:$B$1012&amp;"",IOT!$I$3:$I$1012,""),"SERVER",_xlfn.XLOOKUP($K900&amp;"",SERVER!$B$3:$B$1009&amp;"",SERVER!$I$3:$I$1009,""),""))</f>
        <v/>
      </c>
      <c r="M900" t="str" cm="1">
        <f t="array" ref="M900">IF($K900="","",_xlfn.SWITCH($I900,"Computer",_xlfn.XLOOKUP($K900&amp;"",COMPUTER!$B$3:$B$1009&amp;"",COMPUTER!$J$3:$J$1009,""),"Display",_xlfn.XLOOKUP($K900&amp;"",DISPLAY!$B$3:$B$1000&amp;"",DISPLAY!$K$3:$K$1000,""),"Network Device",_xlfn.XLOOKUP($K900&amp;"",'NETWORK-DEVICES'!$B$3:$B$987&amp;"",'NETWORK-DEVICES'!$I$3:$I$987,""),"Peripheral",_xlfn.XLOOKUP($K900&amp;"",PERIPHERAL!$B$3:$B$954&amp;"",PERIPHERAL!$J$3:$J$954,""),"Utilities",_xlfn.XLOOKUP($K900&amp;"",UTILITIES!$B$3:$B$953&amp;"",UTILITIES!$I$3:$I$953,""),"IOT",_xlfn.XLOOKUP($K900&amp;"",IOT!$B$3:$B$1012&amp;"",IOT!$J$3:$J$1012,""),"Server",_xlfn.XLOOKUP($K900&amp;"",SERVER!$B$3:$B$1009&amp;"",SERVER!$J$3:$J$1009,""),""))</f>
        <v/>
      </c>
      <c r="N900" s="1" t="str" cm="1">
        <f t="array" ref="N900">IF(OR($K900="",$I900="",$J900=""),"",_xlfn.LET(_xlpm.srcCat,_xlfn.SWITCH($I900,"Computer",_xlfn.XLOOKUP($K900&amp;"",COMPUTER!$B$3:$B$1009&amp;"",COMPUTER!$H$3:$H$1009,""),"Display",_xlfn.XLOOKUP($K900&amp;"",DISPLAY!$B$3:$B$1000&amp;"",DISPLAY!$H$3:$H$1000,""),"Network Device",_xlfn.XLOOKUP($K900&amp;"",'NETWORK-DEVICES'!$B$3:$B$987&amp;"",'NETWORK-DEVICES'!$H$3:$H$987,""),"Peripheral",_xlfn.XLOOKUP($K900&amp;"",PERIPHERAL!$B$3:$B$954&amp;"",PERIPHERAL!$H$3:$H$954,""),"Utilities",_xlfn.XLOOKUP($K900&amp;"",UTILITIES!$B$3:$B$953&amp;"",UTILITIES!$G$3:$G$953,""),"IOT",_xlfn.XLOOKUP($K900&amp;"",IOT!$B$3:$B$1012&amp;"",IOT!$H$3:$H$1012,""),"Server",_xlfn.XLOOKUP($K900&amp;"",SERVER!$B$3:$B$1009&amp;"",SERVER!$H$3:$H$1009,""),""),IF(TRIM(_xlpm.srcCat)&lt;&gt;TRIM($J900),"",_xlfn.SWITCH($I900,"Computer",_xlfn.XLOOKUP($K900&amp;"",COMPUTER!$B$3:$B$1009&amp;"",COMPUTER!$K$3:$K$1009,""),"Display",_xlfn.XLOOKUP($K900&amp;"",DISPLAY!$B$3:$B$1000&amp;"",DISPLAY!$L$3:$L$1000,""),"Network Device",_xlfn.XLOOKUP($K900&amp;"",'NETWORK-DEVICES'!$B$3:$B$987&amp;"",'NETWORK-DEVICES'!$K$3:$K$987,""),"Peripheral",_xlfn.XLOOKUP($K900&amp;"",PERIPHERAL!$B$3:$B$954&amp;"",PERIPHERAL!$K$3:$K$954,""),"Utilities",_xlfn.XLOOKUP($K900&amp;"",UTILITIES!$B$3:$B$953&amp;"",UTILITIES!$J$3:$J$953,""),"IOT",_xlfn.XLOOKUP($K900&amp;"",IOT!$B$3:$B$1012&amp;"",IOT!$K$4:$K$1012,""),"Server",_xlfn.XLOOKUP($K900&amp;"",SERVER!$B$3:$B$1009&amp;"",SERVER!$K$3:$K$1009,""),""))))</f>
        <v/>
      </c>
      <c r="O900" s="1" t="str" cm="1">
        <f t="array" ref="O900">IF(OR($K900="",$I900="",$J900=""),"",_xlfn.LET(_xlpm.srcCat,_xlfn.SWITCH($I900,"Computer",_xlfn.XLOOKUP($K900&amp;"",COMPUTER!$B$3:$B$1009&amp;"",COMPUTER!$H$3:$H$1009,""),"Display",_xlfn.XLOOKUP($K900&amp;"",DISPLAY!$B$3:$B$1000&amp;"",DISPLAY!$H$3:$H$1000,""),"Network Device",_xlfn.XLOOKUP($K900&amp;"",'NETWORK-DEVICES'!$B$3:$B$987&amp;"",'NETWORK-DEVICES'!$H$3:$H$987,""),"Peripheral",_xlfn.XLOOKUP($K900&amp;"",PERIPHERAL!$B$3:$B$954&amp;"",PERIPHERAL!$H$3:$H$954,""),"Utilities",_xlfn.XLOOKUP($K900&amp;"",UTILITIES!$B$3:$B$953&amp;"",UTILITIES!$G$3:$G$953,""),"IOT",_xlfn.XLOOKUP($K900&amp;"",IOT!$B$3:$B$1012&amp;"",IOT!$H$3:$H$1012,""),"Server",_xlfn.XLOOKUP($K900&amp;"",SERVER!$B$3:$B$1009&amp;"",SERVER!$H$3:$H$1009,""),""),IF(TRIM(_xlpm.srcCat)&lt;&gt;TRIM($J900),"",_xlfn.SWITCH($I900,"Computer",_xlfn.XLOOKUP($K900&amp;"",COMPUTER!$B$3:$B$1009&amp;"",COMPUTER!$E$3:$E$1009,""),"Display",_xlfn.XLOOKUP($K900&amp;"",DISPLAY!$B$3:$B$1000&amp;"",DISPLAY!$E$3:$E$1000,""),"Network Device",_xlfn.XLOOKUP($K900&amp;"",'NETWORK-DEVICES'!$B$3:$B$987&amp;"",'NETWORK-DEVICES'!$E$3:$E$987,""),"Peripheral",_xlfn.XLOOKUP($K900&amp;"",PERIPHERAL!$B$3:$B$954&amp;"",PERIPHERAL!$E$3:$E$954,""),"Utilities",_xlfn.XLOOKUP($K900&amp;"",UTILITIES!$B$3:$B$953&amp;"",UTILITIES!$E$3:$E$953,""),"IOT",_xlfn.XLOOKUP($K900&amp;"",IOT!$B$3:$B$1012&amp;"",IOT!$E$3:$E$1012,""),"Server",_xlfn.XLOOKUP($K900&amp;"",SERVER!$B$3:$B$1009&amp;"",SERVER!$E$3:$E$1009,""),""))))</f>
        <v/>
      </c>
      <c r="Q900" s="1" t="str" cm="1">
        <f t="array" ref="Q900">IF(OR($K900="",$I900="",$J900=""),"",_xlfn.LET(_xlpm.srcCat,_xlfn.SWITCH($I900,"Computer",_xlfn.XLOOKUP($K900&amp;"",COMPUTER!$B$3:$B$1009&amp;"",COMPUTER!$H$3:$H$1009,""),"Display",_xlfn.XLOOKUP($K900&amp;"",DISPLAY!$B$3:$B$1000&amp;"",DISPLAY!$H$3:$H$1000,""),"Network Device",_xlfn.XLOOKUP($K900&amp;"",'NETWORK-DEVICES'!$B$3:$B$987&amp;"",'NETWORK-DEVICES'!$H$3:$H$987,""),"Peripheral",_xlfn.XLOOKUP($K900&amp;"",PERIPHERAL!$B$3:$B$954&amp;"",PERIPHERAL!$H$3:$H$954,""),"Utilities",_xlfn.XLOOKUP($K900&amp;"",UTILITIES!$B$3:$B$953&amp;"",UTILITIES!$G$3:$G$953,""),"IOT",_xlfn.XLOOKUP($K900&amp;"",IOT!$B$3:$B$1012&amp;"",IOT!$H$3:$H$1012,""),"Server",_xlfn.XLOOKUP($K900&amp;"",SERVER!$B$3:$B$1009&amp;"",SERVER!$H$3:$H$1009,""),""),IF(TRIM(_xlpm.srcCat)&lt;&gt;TRIM($J900),"",_xlfn.SWITCH($I900,"Computer",_xlfn.XLOOKUP($K900&amp;"",COMPUTER!$B$3:$B$1009&amp;"",COMPUTER!$AM$3:$AM$1009,""),"Display",_xlfn.XLOOKUP($K900&amp;"",DISPLAY!$B$3:$B$1000&amp;"",DISPLAY!$V$3:$V$1000,""),"Network Device",_xlfn.XLOOKUP($K900&amp;"",'NETWORK-DEVICES'!$B$3:$B$987&amp;"",'NETWORK-DEVICES'!$AF$3:$AF$987,""),"Peripheral",_xlfn.XLOOKUP($K900&amp;"",PERIPHERAL!$B$3:$B$954&amp;"",PERIPHERAL!$Y$3:$Y$954,""),"Utilities",_xlfn.XLOOKUP($K900&amp;"",UTILITIES!$B$3:$B$953&amp;"",UTILITIES!$O$3:$O$953,""),"IOT",_xlfn.XLOOKUP($K900&amp;"",IOT!$B$3:$B$1012&amp;"",IOT!$AB$3:$AB$1012,""),"Server",_xlfn.XLOOKUP($K900&amp;"",SERVER!$B$3:$B$1009&amp;"",SERVER!$AB$3:$AB$1009,""),""))))</f>
        <v/>
      </c>
      <c r="R900" s="43" t="str">
        <f>IF(tbl_handover[[#This Row],[Asset Code]]="","",COUNTIF(tbl_handover[Asset Code],tbl_handover[[#This Row],[Asset Code]]))</f>
        <v/>
      </c>
    </row>
    <row r="901" spans="1:18" x14ac:dyDescent="0.25">
      <c r="A901" s="43" t="str">
        <f>IF(B901&lt;&gt;"",SUBTOTAL(3,$B$1:B900),"")</f>
        <v/>
      </c>
      <c r="C901" s="74"/>
      <c r="D901" s="74"/>
      <c r="G901" s="1"/>
      <c r="K901" s="42"/>
      <c r="L901" t="str" cm="1">
        <f t="array" ref="L901">IF($K901="","",_xlfn.SWITCH($I901,"Computer",_xlfn.XLOOKUP($K901&amp;"",COMPUTER!$B$3:$B$1009&amp;"",COMPUTER!$I$3:$I$1009,""),"Display",_xlfn.XLOOKUP($K901&amp;"",DISPLAY!$B$3:$B$1000&amp;"",DISPLAY!$J$3:$J$1000,""),"Network Device",_xlfn.XLOOKUP($K901&amp;"",'NETWORK-DEVICES'!$B$3:$B$987&amp;"",'NETWORK-DEVICES'!$I$3:$I$987,""),"Peripheral",_xlfn.XLOOKUP($K901&amp;"",PERIPHERAL!$B$3:$B$954&amp;"",PERIPHERAL!$I$3:$I$954,""),"Utilities",_xlfn.XLOOKUP($K901&amp;"",UTILITIES!$B$3:$B$953&amp;"",UTILITIES!$H$3:$H$953,""),"IOT",_xlfn.XLOOKUP($K901&amp;"",IOT!$B$3:$B$1012&amp;"",IOT!$I$3:$I$1012,""),"SERVER",_xlfn.XLOOKUP($K901&amp;"",SERVER!$B$3:$B$1009&amp;"",SERVER!$I$3:$I$1009,""),""))</f>
        <v/>
      </c>
      <c r="M901" t="str" cm="1">
        <f t="array" ref="M901">IF($K901="","",_xlfn.SWITCH($I901,"Computer",_xlfn.XLOOKUP($K901&amp;"",COMPUTER!$B$3:$B$1009&amp;"",COMPUTER!$J$3:$J$1009,""),"Display",_xlfn.XLOOKUP($K901&amp;"",DISPLAY!$B$3:$B$1000&amp;"",DISPLAY!$K$3:$K$1000,""),"Network Device",_xlfn.XLOOKUP($K901&amp;"",'NETWORK-DEVICES'!$B$3:$B$987&amp;"",'NETWORK-DEVICES'!$I$3:$I$987,""),"Peripheral",_xlfn.XLOOKUP($K901&amp;"",PERIPHERAL!$B$3:$B$954&amp;"",PERIPHERAL!$J$3:$J$954,""),"Utilities",_xlfn.XLOOKUP($K901&amp;"",UTILITIES!$B$3:$B$953&amp;"",UTILITIES!$I$3:$I$953,""),"IOT",_xlfn.XLOOKUP($K901&amp;"",IOT!$B$3:$B$1012&amp;"",IOT!$J$3:$J$1012,""),"Server",_xlfn.XLOOKUP($K901&amp;"",SERVER!$B$3:$B$1009&amp;"",SERVER!$J$3:$J$1009,""),""))</f>
        <v/>
      </c>
      <c r="N901" s="1" t="str" cm="1">
        <f t="array" ref="N901">IF(OR($K901="",$I901="",$J901=""),"",_xlfn.LET(_xlpm.srcCat,_xlfn.SWITCH($I901,"Computer",_xlfn.XLOOKUP($K901&amp;"",COMPUTER!$B$3:$B$1009&amp;"",COMPUTER!$H$3:$H$1009,""),"Display",_xlfn.XLOOKUP($K901&amp;"",DISPLAY!$B$3:$B$1000&amp;"",DISPLAY!$H$3:$H$1000,""),"Network Device",_xlfn.XLOOKUP($K901&amp;"",'NETWORK-DEVICES'!$B$3:$B$987&amp;"",'NETWORK-DEVICES'!$H$3:$H$987,""),"Peripheral",_xlfn.XLOOKUP($K901&amp;"",PERIPHERAL!$B$3:$B$954&amp;"",PERIPHERAL!$H$3:$H$954,""),"Utilities",_xlfn.XLOOKUP($K901&amp;"",UTILITIES!$B$3:$B$953&amp;"",UTILITIES!$G$3:$G$953,""),"IOT",_xlfn.XLOOKUP($K901&amp;"",IOT!$B$3:$B$1012&amp;"",IOT!$H$3:$H$1012,""),"Server",_xlfn.XLOOKUP($K901&amp;"",SERVER!$B$3:$B$1009&amp;"",SERVER!$H$3:$H$1009,""),""),IF(TRIM(_xlpm.srcCat)&lt;&gt;TRIM($J901),"",_xlfn.SWITCH($I901,"Computer",_xlfn.XLOOKUP($K901&amp;"",COMPUTER!$B$3:$B$1009&amp;"",COMPUTER!$K$3:$K$1009,""),"Display",_xlfn.XLOOKUP($K901&amp;"",DISPLAY!$B$3:$B$1000&amp;"",DISPLAY!$L$3:$L$1000,""),"Network Device",_xlfn.XLOOKUP($K901&amp;"",'NETWORK-DEVICES'!$B$3:$B$987&amp;"",'NETWORK-DEVICES'!$K$3:$K$987,""),"Peripheral",_xlfn.XLOOKUP($K901&amp;"",PERIPHERAL!$B$3:$B$954&amp;"",PERIPHERAL!$K$3:$K$954,""),"Utilities",_xlfn.XLOOKUP($K901&amp;"",UTILITIES!$B$3:$B$953&amp;"",UTILITIES!$J$3:$J$953,""),"IOT",_xlfn.XLOOKUP($K901&amp;"",IOT!$B$3:$B$1012&amp;"",IOT!$K$4:$K$1012,""),"Server",_xlfn.XLOOKUP($K901&amp;"",SERVER!$B$3:$B$1009&amp;"",SERVER!$K$3:$K$1009,""),""))))</f>
        <v/>
      </c>
      <c r="O901" s="1" t="str" cm="1">
        <f t="array" ref="O901">IF(OR($K901="",$I901="",$J901=""),"",_xlfn.LET(_xlpm.srcCat,_xlfn.SWITCH($I901,"Computer",_xlfn.XLOOKUP($K901&amp;"",COMPUTER!$B$3:$B$1009&amp;"",COMPUTER!$H$3:$H$1009,""),"Display",_xlfn.XLOOKUP($K901&amp;"",DISPLAY!$B$3:$B$1000&amp;"",DISPLAY!$H$3:$H$1000,""),"Network Device",_xlfn.XLOOKUP($K901&amp;"",'NETWORK-DEVICES'!$B$3:$B$987&amp;"",'NETWORK-DEVICES'!$H$3:$H$987,""),"Peripheral",_xlfn.XLOOKUP($K901&amp;"",PERIPHERAL!$B$3:$B$954&amp;"",PERIPHERAL!$H$3:$H$954,""),"Utilities",_xlfn.XLOOKUP($K901&amp;"",UTILITIES!$B$3:$B$953&amp;"",UTILITIES!$G$3:$G$953,""),"IOT",_xlfn.XLOOKUP($K901&amp;"",IOT!$B$3:$B$1012&amp;"",IOT!$H$3:$H$1012,""),"Server",_xlfn.XLOOKUP($K901&amp;"",SERVER!$B$3:$B$1009&amp;"",SERVER!$H$3:$H$1009,""),""),IF(TRIM(_xlpm.srcCat)&lt;&gt;TRIM($J901),"",_xlfn.SWITCH($I901,"Computer",_xlfn.XLOOKUP($K901&amp;"",COMPUTER!$B$3:$B$1009&amp;"",COMPUTER!$E$3:$E$1009,""),"Display",_xlfn.XLOOKUP($K901&amp;"",DISPLAY!$B$3:$B$1000&amp;"",DISPLAY!$E$3:$E$1000,""),"Network Device",_xlfn.XLOOKUP($K901&amp;"",'NETWORK-DEVICES'!$B$3:$B$987&amp;"",'NETWORK-DEVICES'!$E$3:$E$987,""),"Peripheral",_xlfn.XLOOKUP($K901&amp;"",PERIPHERAL!$B$3:$B$954&amp;"",PERIPHERAL!$E$3:$E$954,""),"Utilities",_xlfn.XLOOKUP($K901&amp;"",UTILITIES!$B$3:$B$953&amp;"",UTILITIES!$E$3:$E$953,""),"IOT",_xlfn.XLOOKUP($K901&amp;"",IOT!$B$3:$B$1012&amp;"",IOT!$E$3:$E$1012,""),"Server",_xlfn.XLOOKUP($K901&amp;"",SERVER!$B$3:$B$1009&amp;"",SERVER!$E$3:$E$1009,""),""))))</f>
        <v/>
      </c>
      <c r="Q901" s="1" t="str" cm="1">
        <f t="array" ref="Q901">IF(OR($K901="",$I901="",$J901=""),"",_xlfn.LET(_xlpm.srcCat,_xlfn.SWITCH($I901,"Computer",_xlfn.XLOOKUP($K901&amp;"",COMPUTER!$B$3:$B$1009&amp;"",COMPUTER!$H$3:$H$1009,""),"Display",_xlfn.XLOOKUP($K901&amp;"",DISPLAY!$B$3:$B$1000&amp;"",DISPLAY!$H$3:$H$1000,""),"Network Device",_xlfn.XLOOKUP($K901&amp;"",'NETWORK-DEVICES'!$B$3:$B$987&amp;"",'NETWORK-DEVICES'!$H$3:$H$987,""),"Peripheral",_xlfn.XLOOKUP($K901&amp;"",PERIPHERAL!$B$3:$B$954&amp;"",PERIPHERAL!$H$3:$H$954,""),"Utilities",_xlfn.XLOOKUP($K901&amp;"",UTILITIES!$B$3:$B$953&amp;"",UTILITIES!$G$3:$G$953,""),"IOT",_xlfn.XLOOKUP($K901&amp;"",IOT!$B$3:$B$1012&amp;"",IOT!$H$3:$H$1012,""),"Server",_xlfn.XLOOKUP($K901&amp;"",SERVER!$B$3:$B$1009&amp;"",SERVER!$H$3:$H$1009,""),""),IF(TRIM(_xlpm.srcCat)&lt;&gt;TRIM($J901),"",_xlfn.SWITCH($I901,"Computer",_xlfn.XLOOKUP($K901&amp;"",COMPUTER!$B$3:$B$1009&amp;"",COMPUTER!$AM$3:$AM$1009,""),"Display",_xlfn.XLOOKUP($K901&amp;"",DISPLAY!$B$3:$B$1000&amp;"",DISPLAY!$V$3:$V$1000,""),"Network Device",_xlfn.XLOOKUP($K901&amp;"",'NETWORK-DEVICES'!$B$3:$B$987&amp;"",'NETWORK-DEVICES'!$AF$3:$AF$987,""),"Peripheral",_xlfn.XLOOKUP($K901&amp;"",PERIPHERAL!$B$3:$B$954&amp;"",PERIPHERAL!$Y$3:$Y$954,""),"Utilities",_xlfn.XLOOKUP($K901&amp;"",UTILITIES!$B$3:$B$953&amp;"",UTILITIES!$O$3:$O$953,""),"IOT",_xlfn.XLOOKUP($K901&amp;"",IOT!$B$3:$B$1012&amp;"",IOT!$AB$3:$AB$1012,""),"Server",_xlfn.XLOOKUP($K901&amp;"",SERVER!$B$3:$B$1009&amp;"",SERVER!$AB$3:$AB$1009,""),""))))</f>
        <v/>
      </c>
      <c r="R901" s="43" t="str">
        <f>IF(tbl_handover[[#This Row],[Asset Code]]="","",COUNTIF(tbl_handover[Asset Code],tbl_handover[[#This Row],[Asset Code]]))</f>
        <v/>
      </c>
    </row>
    <row r="902" spans="1:18" x14ac:dyDescent="0.25">
      <c r="A902" s="43" t="str">
        <f>IF(B902&lt;&gt;"",SUBTOTAL(3,$B$1:B901),"")</f>
        <v/>
      </c>
      <c r="C902" s="74"/>
      <c r="D902" s="74"/>
      <c r="G902" s="1"/>
      <c r="K902" s="42"/>
      <c r="L902" t="str" cm="1">
        <f t="array" ref="L902">IF($K902="","",_xlfn.SWITCH($I902,"Computer",_xlfn.XLOOKUP($K902&amp;"",COMPUTER!$B$3:$B$1009&amp;"",COMPUTER!$I$3:$I$1009,""),"Display",_xlfn.XLOOKUP($K902&amp;"",DISPLAY!$B$3:$B$1000&amp;"",DISPLAY!$J$3:$J$1000,""),"Network Device",_xlfn.XLOOKUP($K902&amp;"",'NETWORK-DEVICES'!$B$3:$B$987&amp;"",'NETWORK-DEVICES'!$I$3:$I$987,""),"Peripheral",_xlfn.XLOOKUP($K902&amp;"",PERIPHERAL!$B$3:$B$954&amp;"",PERIPHERAL!$I$3:$I$954,""),"Utilities",_xlfn.XLOOKUP($K902&amp;"",UTILITIES!$B$3:$B$953&amp;"",UTILITIES!$H$3:$H$953,""),"IOT",_xlfn.XLOOKUP($K902&amp;"",IOT!$B$3:$B$1012&amp;"",IOT!$I$3:$I$1012,""),"SERVER",_xlfn.XLOOKUP($K902&amp;"",SERVER!$B$3:$B$1009&amp;"",SERVER!$I$3:$I$1009,""),""))</f>
        <v/>
      </c>
      <c r="M902" t="str" cm="1">
        <f t="array" ref="M902">IF($K902="","",_xlfn.SWITCH($I902,"Computer",_xlfn.XLOOKUP($K902&amp;"",COMPUTER!$B$3:$B$1009&amp;"",COMPUTER!$J$3:$J$1009,""),"Display",_xlfn.XLOOKUP($K902&amp;"",DISPLAY!$B$3:$B$1000&amp;"",DISPLAY!$K$3:$K$1000,""),"Network Device",_xlfn.XLOOKUP($K902&amp;"",'NETWORK-DEVICES'!$B$3:$B$987&amp;"",'NETWORK-DEVICES'!$I$3:$I$987,""),"Peripheral",_xlfn.XLOOKUP($K902&amp;"",PERIPHERAL!$B$3:$B$954&amp;"",PERIPHERAL!$J$3:$J$954,""),"Utilities",_xlfn.XLOOKUP($K902&amp;"",UTILITIES!$B$3:$B$953&amp;"",UTILITIES!$I$3:$I$953,""),"IOT",_xlfn.XLOOKUP($K902&amp;"",IOT!$B$3:$B$1012&amp;"",IOT!$J$3:$J$1012,""),"Server",_xlfn.XLOOKUP($K902&amp;"",SERVER!$B$3:$B$1009&amp;"",SERVER!$J$3:$J$1009,""),""))</f>
        <v/>
      </c>
      <c r="N902" s="1" t="str" cm="1">
        <f t="array" ref="N902">IF(OR($K902="",$I902="",$J902=""),"",_xlfn.LET(_xlpm.srcCat,_xlfn.SWITCH($I902,"Computer",_xlfn.XLOOKUP($K902&amp;"",COMPUTER!$B$3:$B$1009&amp;"",COMPUTER!$H$3:$H$1009,""),"Display",_xlfn.XLOOKUP($K902&amp;"",DISPLAY!$B$3:$B$1000&amp;"",DISPLAY!$H$3:$H$1000,""),"Network Device",_xlfn.XLOOKUP($K902&amp;"",'NETWORK-DEVICES'!$B$3:$B$987&amp;"",'NETWORK-DEVICES'!$H$3:$H$987,""),"Peripheral",_xlfn.XLOOKUP($K902&amp;"",PERIPHERAL!$B$3:$B$954&amp;"",PERIPHERAL!$H$3:$H$954,""),"Utilities",_xlfn.XLOOKUP($K902&amp;"",UTILITIES!$B$3:$B$953&amp;"",UTILITIES!$G$3:$G$953,""),"IOT",_xlfn.XLOOKUP($K902&amp;"",IOT!$B$3:$B$1012&amp;"",IOT!$H$3:$H$1012,""),"Server",_xlfn.XLOOKUP($K902&amp;"",SERVER!$B$3:$B$1009&amp;"",SERVER!$H$3:$H$1009,""),""),IF(TRIM(_xlpm.srcCat)&lt;&gt;TRIM($J902),"",_xlfn.SWITCH($I902,"Computer",_xlfn.XLOOKUP($K902&amp;"",COMPUTER!$B$3:$B$1009&amp;"",COMPUTER!$K$3:$K$1009,""),"Display",_xlfn.XLOOKUP($K902&amp;"",DISPLAY!$B$3:$B$1000&amp;"",DISPLAY!$L$3:$L$1000,""),"Network Device",_xlfn.XLOOKUP($K902&amp;"",'NETWORK-DEVICES'!$B$3:$B$987&amp;"",'NETWORK-DEVICES'!$K$3:$K$987,""),"Peripheral",_xlfn.XLOOKUP($K902&amp;"",PERIPHERAL!$B$3:$B$954&amp;"",PERIPHERAL!$K$3:$K$954,""),"Utilities",_xlfn.XLOOKUP($K902&amp;"",UTILITIES!$B$3:$B$953&amp;"",UTILITIES!$J$3:$J$953,""),"IOT",_xlfn.XLOOKUP($K902&amp;"",IOT!$B$3:$B$1012&amp;"",IOT!$K$4:$K$1012,""),"Server",_xlfn.XLOOKUP($K902&amp;"",SERVER!$B$3:$B$1009&amp;"",SERVER!$K$3:$K$1009,""),""))))</f>
        <v/>
      </c>
      <c r="O902" s="1" t="str" cm="1">
        <f t="array" ref="O902">IF(OR($K902="",$I902="",$J902=""),"",_xlfn.LET(_xlpm.srcCat,_xlfn.SWITCH($I902,"Computer",_xlfn.XLOOKUP($K902&amp;"",COMPUTER!$B$3:$B$1009&amp;"",COMPUTER!$H$3:$H$1009,""),"Display",_xlfn.XLOOKUP($K902&amp;"",DISPLAY!$B$3:$B$1000&amp;"",DISPLAY!$H$3:$H$1000,""),"Network Device",_xlfn.XLOOKUP($K902&amp;"",'NETWORK-DEVICES'!$B$3:$B$987&amp;"",'NETWORK-DEVICES'!$H$3:$H$987,""),"Peripheral",_xlfn.XLOOKUP($K902&amp;"",PERIPHERAL!$B$3:$B$954&amp;"",PERIPHERAL!$H$3:$H$954,""),"Utilities",_xlfn.XLOOKUP($K902&amp;"",UTILITIES!$B$3:$B$953&amp;"",UTILITIES!$G$3:$G$953,""),"IOT",_xlfn.XLOOKUP($K902&amp;"",IOT!$B$3:$B$1012&amp;"",IOT!$H$3:$H$1012,""),"Server",_xlfn.XLOOKUP($K902&amp;"",SERVER!$B$3:$B$1009&amp;"",SERVER!$H$3:$H$1009,""),""),IF(TRIM(_xlpm.srcCat)&lt;&gt;TRIM($J902),"",_xlfn.SWITCH($I902,"Computer",_xlfn.XLOOKUP($K902&amp;"",COMPUTER!$B$3:$B$1009&amp;"",COMPUTER!$E$3:$E$1009,""),"Display",_xlfn.XLOOKUP($K902&amp;"",DISPLAY!$B$3:$B$1000&amp;"",DISPLAY!$E$3:$E$1000,""),"Network Device",_xlfn.XLOOKUP($K902&amp;"",'NETWORK-DEVICES'!$B$3:$B$987&amp;"",'NETWORK-DEVICES'!$E$3:$E$987,""),"Peripheral",_xlfn.XLOOKUP($K902&amp;"",PERIPHERAL!$B$3:$B$954&amp;"",PERIPHERAL!$E$3:$E$954,""),"Utilities",_xlfn.XLOOKUP($K902&amp;"",UTILITIES!$B$3:$B$953&amp;"",UTILITIES!$E$3:$E$953,""),"IOT",_xlfn.XLOOKUP($K902&amp;"",IOT!$B$3:$B$1012&amp;"",IOT!$E$3:$E$1012,""),"Server",_xlfn.XLOOKUP($K902&amp;"",SERVER!$B$3:$B$1009&amp;"",SERVER!$E$3:$E$1009,""),""))))</f>
        <v/>
      </c>
      <c r="Q902" s="1" t="str" cm="1">
        <f t="array" ref="Q902">IF(OR($K902="",$I902="",$J902=""),"",_xlfn.LET(_xlpm.srcCat,_xlfn.SWITCH($I902,"Computer",_xlfn.XLOOKUP($K902&amp;"",COMPUTER!$B$3:$B$1009&amp;"",COMPUTER!$H$3:$H$1009,""),"Display",_xlfn.XLOOKUP($K902&amp;"",DISPLAY!$B$3:$B$1000&amp;"",DISPLAY!$H$3:$H$1000,""),"Network Device",_xlfn.XLOOKUP($K902&amp;"",'NETWORK-DEVICES'!$B$3:$B$987&amp;"",'NETWORK-DEVICES'!$H$3:$H$987,""),"Peripheral",_xlfn.XLOOKUP($K902&amp;"",PERIPHERAL!$B$3:$B$954&amp;"",PERIPHERAL!$H$3:$H$954,""),"Utilities",_xlfn.XLOOKUP($K902&amp;"",UTILITIES!$B$3:$B$953&amp;"",UTILITIES!$G$3:$G$953,""),"IOT",_xlfn.XLOOKUP($K902&amp;"",IOT!$B$3:$B$1012&amp;"",IOT!$H$3:$H$1012,""),"Server",_xlfn.XLOOKUP($K902&amp;"",SERVER!$B$3:$B$1009&amp;"",SERVER!$H$3:$H$1009,""),""),IF(TRIM(_xlpm.srcCat)&lt;&gt;TRIM($J902),"",_xlfn.SWITCH($I902,"Computer",_xlfn.XLOOKUP($K902&amp;"",COMPUTER!$B$3:$B$1009&amp;"",COMPUTER!$AM$3:$AM$1009,""),"Display",_xlfn.XLOOKUP($K902&amp;"",DISPLAY!$B$3:$B$1000&amp;"",DISPLAY!$V$3:$V$1000,""),"Network Device",_xlfn.XLOOKUP($K902&amp;"",'NETWORK-DEVICES'!$B$3:$B$987&amp;"",'NETWORK-DEVICES'!$AF$3:$AF$987,""),"Peripheral",_xlfn.XLOOKUP($K902&amp;"",PERIPHERAL!$B$3:$B$954&amp;"",PERIPHERAL!$Y$3:$Y$954,""),"Utilities",_xlfn.XLOOKUP($K902&amp;"",UTILITIES!$B$3:$B$953&amp;"",UTILITIES!$O$3:$O$953,""),"IOT",_xlfn.XLOOKUP($K902&amp;"",IOT!$B$3:$B$1012&amp;"",IOT!$AB$3:$AB$1012,""),"Server",_xlfn.XLOOKUP($K902&amp;"",SERVER!$B$3:$B$1009&amp;"",SERVER!$AB$3:$AB$1009,""),""))))</f>
        <v/>
      </c>
      <c r="R902" s="43" t="str">
        <f>IF(tbl_handover[[#This Row],[Asset Code]]="","",COUNTIF(tbl_handover[Asset Code],tbl_handover[[#This Row],[Asset Code]]))</f>
        <v/>
      </c>
    </row>
    <row r="903" spans="1:18" x14ac:dyDescent="0.25">
      <c r="A903" s="43" t="str">
        <f>IF(B903&lt;&gt;"",SUBTOTAL(3,$B$1:B902),"")</f>
        <v/>
      </c>
      <c r="C903" s="74"/>
      <c r="D903" s="74"/>
      <c r="G903" s="1"/>
      <c r="K903" s="42"/>
      <c r="L903" t="str" cm="1">
        <f t="array" ref="L903">IF($K903="","",_xlfn.SWITCH($I903,"Computer",_xlfn.XLOOKUP($K903&amp;"",COMPUTER!$B$3:$B$1009&amp;"",COMPUTER!$I$3:$I$1009,""),"Display",_xlfn.XLOOKUP($K903&amp;"",DISPLAY!$B$3:$B$1000&amp;"",DISPLAY!$J$3:$J$1000,""),"Network Device",_xlfn.XLOOKUP($K903&amp;"",'NETWORK-DEVICES'!$B$3:$B$987&amp;"",'NETWORK-DEVICES'!$I$3:$I$987,""),"Peripheral",_xlfn.XLOOKUP($K903&amp;"",PERIPHERAL!$B$3:$B$954&amp;"",PERIPHERAL!$I$3:$I$954,""),"Utilities",_xlfn.XLOOKUP($K903&amp;"",UTILITIES!$B$3:$B$953&amp;"",UTILITIES!$H$3:$H$953,""),"IOT",_xlfn.XLOOKUP($K903&amp;"",IOT!$B$3:$B$1012&amp;"",IOT!$I$3:$I$1012,""),"SERVER",_xlfn.XLOOKUP($K903&amp;"",SERVER!$B$3:$B$1009&amp;"",SERVER!$I$3:$I$1009,""),""))</f>
        <v/>
      </c>
      <c r="M903" t="str" cm="1">
        <f t="array" ref="M903">IF($K903="","",_xlfn.SWITCH($I903,"Computer",_xlfn.XLOOKUP($K903&amp;"",COMPUTER!$B$3:$B$1009&amp;"",COMPUTER!$J$3:$J$1009,""),"Display",_xlfn.XLOOKUP($K903&amp;"",DISPLAY!$B$3:$B$1000&amp;"",DISPLAY!$K$3:$K$1000,""),"Network Device",_xlfn.XLOOKUP($K903&amp;"",'NETWORK-DEVICES'!$B$3:$B$987&amp;"",'NETWORK-DEVICES'!$I$3:$I$987,""),"Peripheral",_xlfn.XLOOKUP($K903&amp;"",PERIPHERAL!$B$3:$B$954&amp;"",PERIPHERAL!$J$3:$J$954,""),"Utilities",_xlfn.XLOOKUP($K903&amp;"",UTILITIES!$B$3:$B$953&amp;"",UTILITIES!$I$3:$I$953,""),"IOT",_xlfn.XLOOKUP($K903&amp;"",IOT!$B$3:$B$1012&amp;"",IOT!$J$3:$J$1012,""),"Server",_xlfn.XLOOKUP($K903&amp;"",SERVER!$B$3:$B$1009&amp;"",SERVER!$J$3:$J$1009,""),""))</f>
        <v/>
      </c>
      <c r="N903" s="1" t="str" cm="1">
        <f t="array" ref="N903">IF(OR($K903="",$I903="",$J903=""),"",_xlfn.LET(_xlpm.srcCat,_xlfn.SWITCH($I903,"Computer",_xlfn.XLOOKUP($K903&amp;"",COMPUTER!$B$3:$B$1009&amp;"",COMPUTER!$H$3:$H$1009,""),"Display",_xlfn.XLOOKUP($K903&amp;"",DISPLAY!$B$3:$B$1000&amp;"",DISPLAY!$H$3:$H$1000,""),"Network Device",_xlfn.XLOOKUP($K903&amp;"",'NETWORK-DEVICES'!$B$3:$B$987&amp;"",'NETWORK-DEVICES'!$H$3:$H$987,""),"Peripheral",_xlfn.XLOOKUP($K903&amp;"",PERIPHERAL!$B$3:$B$954&amp;"",PERIPHERAL!$H$3:$H$954,""),"Utilities",_xlfn.XLOOKUP($K903&amp;"",UTILITIES!$B$3:$B$953&amp;"",UTILITIES!$G$3:$G$953,""),"IOT",_xlfn.XLOOKUP($K903&amp;"",IOT!$B$3:$B$1012&amp;"",IOT!$H$3:$H$1012,""),"Server",_xlfn.XLOOKUP($K903&amp;"",SERVER!$B$3:$B$1009&amp;"",SERVER!$H$3:$H$1009,""),""),IF(TRIM(_xlpm.srcCat)&lt;&gt;TRIM($J903),"",_xlfn.SWITCH($I903,"Computer",_xlfn.XLOOKUP($K903&amp;"",COMPUTER!$B$3:$B$1009&amp;"",COMPUTER!$K$3:$K$1009,""),"Display",_xlfn.XLOOKUP($K903&amp;"",DISPLAY!$B$3:$B$1000&amp;"",DISPLAY!$L$3:$L$1000,""),"Network Device",_xlfn.XLOOKUP($K903&amp;"",'NETWORK-DEVICES'!$B$3:$B$987&amp;"",'NETWORK-DEVICES'!$K$3:$K$987,""),"Peripheral",_xlfn.XLOOKUP($K903&amp;"",PERIPHERAL!$B$3:$B$954&amp;"",PERIPHERAL!$K$3:$K$954,""),"Utilities",_xlfn.XLOOKUP($K903&amp;"",UTILITIES!$B$3:$B$953&amp;"",UTILITIES!$J$3:$J$953,""),"IOT",_xlfn.XLOOKUP($K903&amp;"",IOT!$B$3:$B$1012&amp;"",IOT!$K$4:$K$1012,""),"Server",_xlfn.XLOOKUP($K903&amp;"",SERVER!$B$3:$B$1009&amp;"",SERVER!$K$3:$K$1009,""),""))))</f>
        <v/>
      </c>
      <c r="O903" s="1" t="str" cm="1">
        <f t="array" ref="O903">IF(OR($K903="",$I903="",$J903=""),"",_xlfn.LET(_xlpm.srcCat,_xlfn.SWITCH($I903,"Computer",_xlfn.XLOOKUP($K903&amp;"",COMPUTER!$B$3:$B$1009&amp;"",COMPUTER!$H$3:$H$1009,""),"Display",_xlfn.XLOOKUP($K903&amp;"",DISPLAY!$B$3:$B$1000&amp;"",DISPLAY!$H$3:$H$1000,""),"Network Device",_xlfn.XLOOKUP($K903&amp;"",'NETWORK-DEVICES'!$B$3:$B$987&amp;"",'NETWORK-DEVICES'!$H$3:$H$987,""),"Peripheral",_xlfn.XLOOKUP($K903&amp;"",PERIPHERAL!$B$3:$B$954&amp;"",PERIPHERAL!$H$3:$H$954,""),"Utilities",_xlfn.XLOOKUP($K903&amp;"",UTILITIES!$B$3:$B$953&amp;"",UTILITIES!$G$3:$G$953,""),"IOT",_xlfn.XLOOKUP($K903&amp;"",IOT!$B$3:$B$1012&amp;"",IOT!$H$3:$H$1012,""),"Server",_xlfn.XLOOKUP($K903&amp;"",SERVER!$B$3:$B$1009&amp;"",SERVER!$H$3:$H$1009,""),""),IF(TRIM(_xlpm.srcCat)&lt;&gt;TRIM($J903),"",_xlfn.SWITCH($I903,"Computer",_xlfn.XLOOKUP($K903&amp;"",COMPUTER!$B$3:$B$1009&amp;"",COMPUTER!$E$3:$E$1009,""),"Display",_xlfn.XLOOKUP($K903&amp;"",DISPLAY!$B$3:$B$1000&amp;"",DISPLAY!$E$3:$E$1000,""),"Network Device",_xlfn.XLOOKUP($K903&amp;"",'NETWORK-DEVICES'!$B$3:$B$987&amp;"",'NETWORK-DEVICES'!$E$3:$E$987,""),"Peripheral",_xlfn.XLOOKUP($K903&amp;"",PERIPHERAL!$B$3:$B$954&amp;"",PERIPHERAL!$E$3:$E$954,""),"Utilities",_xlfn.XLOOKUP($K903&amp;"",UTILITIES!$B$3:$B$953&amp;"",UTILITIES!$E$3:$E$953,""),"IOT",_xlfn.XLOOKUP($K903&amp;"",IOT!$B$3:$B$1012&amp;"",IOT!$E$3:$E$1012,""),"Server",_xlfn.XLOOKUP($K903&amp;"",SERVER!$B$3:$B$1009&amp;"",SERVER!$E$3:$E$1009,""),""))))</f>
        <v/>
      </c>
      <c r="Q903" s="1" t="str" cm="1">
        <f t="array" ref="Q903">IF(OR($K903="",$I903="",$J903=""),"",_xlfn.LET(_xlpm.srcCat,_xlfn.SWITCH($I903,"Computer",_xlfn.XLOOKUP($K903&amp;"",COMPUTER!$B$3:$B$1009&amp;"",COMPUTER!$H$3:$H$1009,""),"Display",_xlfn.XLOOKUP($K903&amp;"",DISPLAY!$B$3:$B$1000&amp;"",DISPLAY!$H$3:$H$1000,""),"Network Device",_xlfn.XLOOKUP($K903&amp;"",'NETWORK-DEVICES'!$B$3:$B$987&amp;"",'NETWORK-DEVICES'!$H$3:$H$987,""),"Peripheral",_xlfn.XLOOKUP($K903&amp;"",PERIPHERAL!$B$3:$B$954&amp;"",PERIPHERAL!$H$3:$H$954,""),"Utilities",_xlfn.XLOOKUP($K903&amp;"",UTILITIES!$B$3:$B$953&amp;"",UTILITIES!$G$3:$G$953,""),"IOT",_xlfn.XLOOKUP($K903&amp;"",IOT!$B$3:$B$1012&amp;"",IOT!$H$3:$H$1012,""),"Server",_xlfn.XLOOKUP($K903&amp;"",SERVER!$B$3:$B$1009&amp;"",SERVER!$H$3:$H$1009,""),""),IF(TRIM(_xlpm.srcCat)&lt;&gt;TRIM($J903),"",_xlfn.SWITCH($I903,"Computer",_xlfn.XLOOKUP($K903&amp;"",COMPUTER!$B$3:$B$1009&amp;"",COMPUTER!$AM$3:$AM$1009,""),"Display",_xlfn.XLOOKUP($K903&amp;"",DISPLAY!$B$3:$B$1000&amp;"",DISPLAY!$V$3:$V$1000,""),"Network Device",_xlfn.XLOOKUP($K903&amp;"",'NETWORK-DEVICES'!$B$3:$B$987&amp;"",'NETWORK-DEVICES'!$AF$3:$AF$987,""),"Peripheral",_xlfn.XLOOKUP($K903&amp;"",PERIPHERAL!$B$3:$B$954&amp;"",PERIPHERAL!$Y$3:$Y$954,""),"Utilities",_xlfn.XLOOKUP($K903&amp;"",UTILITIES!$B$3:$B$953&amp;"",UTILITIES!$O$3:$O$953,""),"IOT",_xlfn.XLOOKUP($K903&amp;"",IOT!$B$3:$B$1012&amp;"",IOT!$AB$3:$AB$1012,""),"Server",_xlfn.XLOOKUP($K903&amp;"",SERVER!$B$3:$B$1009&amp;"",SERVER!$AB$3:$AB$1009,""),""))))</f>
        <v/>
      </c>
      <c r="R903" s="43" t="str">
        <f>IF(tbl_handover[[#This Row],[Asset Code]]="","",COUNTIF(tbl_handover[Asset Code],tbl_handover[[#This Row],[Asset Code]]))</f>
        <v/>
      </c>
    </row>
    <row r="904" spans="1:18" x14ac:dyDescent="0.25">
      <c r="A904" s="43" t="str">
        <f>IF(B904&lt;&gt;"",SUBTOTAL(3,$B$1:B903),"")</f>
        <v/>
      </c>
      <c r="C904" s="74"/>
      <c r="D904" s="74"/>
      <c r="G904" s="1"/>
      <c r="K904" s="42"/>
      <c r="L904" t="str" cm="1">
        <f t="array" ref="L904">IF($K904="","",_xlfn.SWITCH($I904,"Computer",_xlfn.XLOOKUP($K904&amp;"",COMPUTER!$B$3:$B$1009&amp;"",COMPUTER!$I$3:$I$1009,""),"Display",_xlfn.XLOOKUP($K904&amp;"",DISPLAY!$B$3:$B$1000&amp;"",DISPLAY!$J$3:$J$1000,""),"Network Device",_xlfn.XLOOKUP($K904&amp;"",'NETWORK-DEVICES'!$B$3:$B$987&amp;"",'NETWORK-DEVICES'!$I$3:$I$987,""),"Peripheral",_xlfn.XLOOKUP($K904&amp;"",PERIPHERAL!$B$3:$B$954&amp;"",PERIPHERAL!$I$3:$I$954,""),"Utilities",_xlfn.XLOOKUP($K904&amp;"",UTILITIES!$B$3:$B$953&amp;"",UTILITIES!$H$3:$H$953,""),"IOT",_xlfn.XLOOKUP($K904&amp;"",IOT!$B$3:$B$1012&amp;"",IOT!$I$3:$I$1012,""),"SERVER",_xlfn.XLOOKUP($K904&amp;"",SERVER!$B$3:$B$1009&amp;"",SERVER!$I$3:$I$1009,""),""))</f>
        <v/>
      </c>
      <c r="M904" t="str" cm="1">
        <f t="array" ref="M904">IF($K904="","",_xlfn.SWITCH($I904,"Computer",_xlfn.XLOOKUP($K904&amp;"",COMPUTER!$B$3:$B$1009&amp;"",COMPUTER!$J$3:$J$1009,""),"Display",_xlfn.XLOOKUP($K904&amp;"",DISPLAY!$B$3:$B$1000&amp;"",DISPLAY!$K$3:$K$1000,""),"Network Device",_xlfn.XLOOKUP($K904&amp;"",'NETWORK-DEVICES'!$B$3:$B$987&amp;"",'NETWORK-DEVICES'!$I$3:$I$987,""),"Peripheral",_xlfn.XLOOKUP($K904&amp;"",PERIPHERAL!$B$3:$B$954&amp;"",PERIPHERAL!$J$3:$J$954,""),"Utilities",_xlfn.XLOOKUP($K904&amp;"",UTILITIES!$B$3:$B$953&amp;"",UTILITIES!$I$3:$I$953,""),"IOT",_xlfn.XLOOKUP($K904&amp;"",IOT!$B$3:$B$1012&amp;"",IOT!$J$3:$J$1012,""),"Server",_xlfn.XLOOKUP($K904&amp;"",SERVER!$B$3:$B$1009&amp;"",SERVER!$J$3:$J$1009,""),""))</f>
        <v/>
      </c>
      <c r="N904" s="1" t="str" cm="1">
        <f t="array" ref="N904">IF(OR($K904="",$I904="",$J904=""),"",_xlfn.LET(_xlpm.srcCat,_xlfn.SWITCH($I904,"Computer",_xlfn.XLOOKUP($K904&amp;"",COMPUTER!$B$3:$B$1009&amp;"",COMPUTER!$H$3:$H$1009,""),"Display",_xlfn.XLOOKUP($K904&amp;"",DISPLAY!$B$3:$B$1000&amp;"",DISPLAY!$H$3:$H$1000,""),"Network Device",_xlfn.XLOOKUP($K904&amp;"",'NETWORK-DEVICES'!$B$3:$B$987&amp;"",'NETWORK-DEVICES'!$H$3:$H$987,""),"Peripheral",_xlfn.XLOOKUP($K904&amp;"",PERIPHERAL!$B$3:$B$954&amp;"",PERIPHERAL!$H$3:$H$954,""),"Utilities",_xlfn.XLOOKUP($K904&amp;"",UTILITIES!$B$3:$B$953&amp;"",UTILITIES!$G$3:$G$953,""),"IOT",_xlfn.XLOOKUP($K904&amp;"",IOT!$B$3:$B$1012&amp;"",IOT!$H$3:$H$1012,""),"Server",_xlfn.XLOOKUP($K904&amp;"",SERVER!$B$3:$B$1009&amp;"",SERVER!$H$3:$H$1009,""),""),IF(TRIM(_xlpm.srcCat)&lt;&gt;TRIM($J904),"",_xlfn.SWITCH($I904,"Computer",_xlfn.XLOOKUP($K904&amp;"",COMPUTER!$B$3:$B$1009&amp;"",COMPUTER!$K$3:$K$1009,""),"Display",_xlfn.XLOOKUP($K904&amp;"",DISPLAY!$B$3:$B$1000&amp;"",DISPLAY!$L$3:$L$1000,""),"Network Device",_xlfn.XLOOKUP($K904&amp;"",'NETWORK-DEVICES'!$B$3:$B$987&amp;"",'NETWORK-DEVICES'!$K$3:$K$987,""),"Peripheral",_xlfn.XLOOKUP($K904&amp;"",PERIPHERAL!$B$3:$B$954&amp;"",PERIPHERAL!$K$3:$K$954,""),"Utilities",_xlfn.XLOOKUP($K904&amp;"",UTILITIES!$B$3:$B$953&amp;"",UTILITIES!$J$3:$J$953,""),"IOT",_xlfn.XLOOKUP($K904&amp;"",IOT!$B$3:$B$1012&amp;"",IOT!$K$4:$K$1012,""),"Server",_xlfn.XLOOKUP($K904&amp;"",SERVER!$B$3:$B$1009&amp;"",SERVER!$K$3:$K$1009,""),""))))</f>
        <v/>
      </c>
      <c r="O904" s="1" t="str" cm="1">
        <f t="array" ref="O904">IF(OR($K904="",$I904="",$J904=""),"",_xlfn.LET(_xlpm.srcCat,_xlfn.SWITCH($I904,"Computer",_xlfn.XLOOKUP($K904&amp;"",COMPUTER!$B$3:$B$1009&amp;"",COMPUTER!$H$3:$H$1009,""),"Display",_xlfn.XLOOKUP($K904&amp;"",DISPLAY!$B$3:$B$1000&amp;"",DISPLAY!$H$3:$H$1000,""),"Network Device",_xlfn.XLOOKUP($K904&amp;"",'NETWORK-DEVICES'!$B$3:$B$987&amp;"",'NETWORK-DEVICES'!$H$3:$H$987,""),"Peripheral",_xlfn.XLOOKUP($K904&amp;"",PERIPHERAL!$B$3:$B$954&amp;"",PERIPHERAL!$H$3:$H$954,""),"Utilities",_xlfn.XLOOKUP($K904&amp;"",UTILITIES!$B$3:$B$953&amp;"",UTILITIES!$G$3:$G$953,""),"IOT",_xlfn.XLOOKUP($K904&amp;"",IOT!$B$3:$B$1012&amp;"",IOT!$H$3:$H$1012,""),"Server",_xlfn.XLOOKUP($K904&amp;"",SERVER!$B$3:$B$1009&amp;"",SERVER!$H$3:$H$1009,""),""),IF(TRIM(_xlpm.srcCat)&lt;&gt;TRIM($J904),"",_xlfn.SWITCH($I904,"Computer",_xlfn.XLOOKUP($K904&amp;"",COMPUTER!$B$3:$B$1009&amp;"",COMPUTER!$E$3:$E$1009,""),"Display",_xlfn.XLOOKUP($K904&amp;"",DISPLAY!$B$3:$B$1000&amp;"",DISPLAY!$E$3:$E$1000,""),"Network Device",_xlfn.XLOOKUP($K904&amp;"",'NETWORK-DEVICES'!$B$3:$B$987&amp;"",'NETWORK-DEVICES'!$E$3:$E$987,""),"Peripheral",_xlfn.XLOOKUP($K904&amp;"",PERIPHERAL!$B$3:$B$954&amp;"",PERIPHERAL!$E$3:$E$954,""),"Utilities",_xlfn.XLOOKUP($K904&amp;"",UTILITIES!$B$3:$B$953&amp;"",UTILITIES!$E$3:$E$953,""),"IOT",_xlfn.XLOOKUP($K904&amp;"",IOT!$B$3:$B$1012&amp;"",IOT!$E$3:$E$1012,""),"Server",_xlfn.XLOOKUP($K904&amp;"",SERVER!$B$3:$B$1009&amp;"",SERVER!$E$3:$E$1009,""),""))))</f>
        <v/>
      </c>
      <c r="Q904" s="1" t="str" cm="1">
        <f t="array" ref="Q904">IF(OR($K904="",$I904="",$J904=""),"",_xlfn.LET(_xlpm.srcCat,_xlfn.SWITCH($I904,"Computer",_xlfn.XLOOKUP($K904&amp;"",COMPUTER!$B$3:$B$1009&amp;"",COMPUTER!$H$3:$H$1009,""),"Display",_xlfn.XLOOKUP($K904&amp;"",DISPLAY!$B$3:$B$1000&amp;"",DISPLAY!$H$3:$H$1000,""),"Network Device",_xlfn.XLOOKUP($K904&amp;"",'NETWORK-DEVICES'!$B$3:$B$987&amp;"",'NETWORK-DEVICES'!$H$3:$H$987,""),"Peripheral",_xlfn.XLOOKUP($K904&amp;"",PERIPHERAL!$B$3:$B$954&amp;"",PERIPHERAL!$H$3:$H$954,""),"Utilities",_xlfn.XLOOKUP($K904&amp;"",UTILITIES!$B$3:$B$953&amp;"",UTILITIES!$G$3:$G$953,""),"IOT",_xlfn.XLOOKUP($K904&amp;"",IOT!$B$3:$B$1012&amp;"",IOT!$H$3:$H$1012,""),"Server",_xlfn.XLOOKUP($K904&amp;"",SERVER!$B$3:$B$1009&amp;"",SERVER!$H$3:$H$1009,""),""),IF(TRIM(_xlpm.srcCat)&lt;&gt;TRIM($J904),"",_xlfn.SWITCH($I904,"Computer",_xlfn.XLOOKUP($K904&amp;"",COMPUTER!$B$3:$B$1009&amp;"",COMPUTER!$AM$3:$AM$1009,""),"Display",_xlfn.XLOOKUP($K904&amp;"",DISPLAY!$B$3:$B$1000&amp;"",DISPLAY!$V$3:$V$1000,""),"Network Device",_xlfn.XLOOKUP($K904&amp;"",'NETWORK-DEVICES'!$B$3:$B$987&amp;"",'NETWORK-DEVICES'!$AF$3:$AF$987,""),"Peripheral",_xlfn.XLOOKUP($K904&amp;"",PERIPHERAL!$B$3:$B$954&amp;"",PERIPHERAL!$Y$3:$Y$954,""),"Utilities",_xlfn.XLOOKUP($K904&amp;"",UTILITIES!$B$3:$B$953&amp;"",UTILITIES!$O$3:$O$953,""),"IOT",_xlfn.XLOOKUP($K904&amp;"",IOT!$B$3:$B$1012&amp;"",IOT!$AB$3:$AB$1012,""),"Server",_xlfn.XLOOKUP($K904&amp;"",SERVER!$B$3:$B$1009&amp;"",SERVER!$AB$3:$AB$1009,""),""))))</f>
        <v/>
      </c>
      <c r="R904" s="43" t="str">
        <f>IF(tbl_handover[[#This Row],[Asset Code]]="","",COUNTIF(tbl_handover[Asset Code],tbl_handover[[#This Row],[Asset Code]]))</f>
        <v/>
      </c>
    </row>
    <row r="905" spans="1:18" x14ac:dyDescent="0.25">
      <c r="A905" s="43" t="str">
        <f>IF(B905&lt;&gt;"",SUBTOTAL(3,$B$1:B904),"")</f>
        <v/>
      </c>
      <c r="C905" s="74"/>
      <c r="D905" s="74"/>
      <c r="G905" s="1"/>
      <c r="K905" s="42"/>
      <c r="L905" t="str" cm="1">
        <f t="array" ref="L905">IF($K905="","",_xlfn.SWITCH($I905,"Computer",_xlfn.XLOOKUP($K905&amp;"",COMPUTER!$B$3:$B$1009&amp;"",COMPUTER!$I$3:$I$1009,""),"Display",_xlfn.XLOOKUP($K905&amp;"",DISPLAY!$B$3:$B$1000&amp;"",DISPLAY!$J$3:$J$1000,""),"Network Device",_xlfn.XLOOKUP($K905&amp;"",'NETWORK-DEVICES'!$B$3:$B$987&amp;"",'NETWORK-DEVICES'!$I$3:$I$987,""),"Peripheral",_xlfn.XLOOKUP($K905&amp;"",PERIPHERAL!$B$3:$B$954&amp;"",PERIPHERAL!$I$3:$I$954,""),"Utilities",_xlfn.XLOOKUP($K905&amp;"",UTILITIES!$B$3:$B$953&amp;"",UTILITIES!$H$3:$H$953,""),"IOT",_xlfn.XLOOKUP($K905&amp;"",IOT!$B$3:$B$1012&amp;"",IOT!$I$3:$I$1012,""),"SERVER",_xlfn.XLOOKUP($K905&amp;"",SERVER!$B$3:$B$1009&amp;"",SERVER!$I$3:$I$1009,""),""))</f>
        <v/>
      </c>
      <c r="M905" t="str" cm="1">
        <f t="array" ref="M905">IF($K905="","",_xlfn.SWITCH($I905,"Computer",_xlfn.XLOOKUP($K905&amp;"",COMPUTER!$B$3:$B$1009&amp;"",COMPUTER!$J$3:$J$1009,""),"Display",_xlfn.XLOOKUP($K905&amp;"",DISPLAY!$B$3:$B$1000&amp;"",DISPLAY!$K$3:$K$1000,""),"Network Device",_xlfn.XLOOKUP($K905&amp;"",'NETWORK-DEVICES'!$B$3:$B$987&amp;"",'NETWORK-DEVICES'!$I$3:$I$987,""),"Peripheral",_xlfn.XLOOKUP($K905&amp;"",PERIPHERAL!$B$3:$B$954&amp;"",PERIPHERAL!$J$3:$J$954,""),"Utilities",_xlfn.XLOOKUP($K905&amp;"",UTILITIES!$B$3:$B$953&amp;"",UTILITIES!$I$3:$I$953,""),"IOT",_xlfn.XLOOKUP($K905&amp;"",IOT!$B$3:$B$1012&amp;"",IOT!$J$3:$J$1012,""),"Server",_xlfn.XLOOKUP($K905&amp;"",SERVER!$B$3:$B$1009&amp;"",SERVER!$J$3:$J$1009,""),""))</f>
        <v/>
      </c>
      <c r="N905" s="1" t="str" cm="1">
        <f t="array" ref="N905">IF(OR($K905="",$I905="",$J905=""),"",_xlfn.LET(_xlpm.srcCat,_xlfn.SWITCH($I905,"Computer",_xlfn.XLOOKUP($K905&amp;"",COMPUTER!$B$3:$B$1009&amp;"",COMPUTER!$H$3:$H$1009,""),"Display",_xlfn.XLOOKUP($K905&amp;"",DISPLAY!$B$3:$B$1000&amp;"",DISPLAY!$H$3:$H$1000,""),"Network Device",_xlfn.XLOOKUP($K905&amp;"",'NETWORK-DEVICES'!$B$3:$B$987&amp;"",'NETWORK-DEVICES'!$H$3:$H$987,""),"Peripheral",_xlfn.XLOOKUP($K905&amp;"",PERIPHERAL!$B$3:$B$954&amp;"",PERIPHERAL!$H$3:$H$954,""),"Utilities",_xlfn.XLOOKUP($K905&amp;"",UTILITIES!$B$3:$B$953&amp;"",UTILITIES!$G$3:$G$953,""),"IOT",_xlfn.XLOOKUP($K905&amp;"",IOT!$B$3:$B$1012&amp;"",IOT!$H$3:$H$1012,""),"Server",_xlfn.XLOOKUP($K905&amp;"",SERVER!$B$3:$B$1009&amp;"",SERVER!$H$3:$H$1009,""),""),IF(TRIM(_xlpm.srcCat)&lt;&gt;TRIM($J905),"",_xlfn.SWITCH($I905,"Computer",_xlfn.XLOOKUP($K905&amp;"",COMPUTER!$B$3:$B$1009&amp;"",COMPUTER!$K$3:$K$1009,""),"Display",_xlfn.XLOOKUP($K905&amp;"",DISPLAY!$B$3:$B$1000&amp;"",DISPLAY!$L$3:$L$1000,""),"Network Device",_xlfn.XLOOKUP($K905&amp;"",'NETWORK-DEVICES'!$B$3:$B$987&amp;"",'NETWORK-DEVICES'!$K$3:$K$987,""),"Peripheral",_xlfn.XLOOKUP($K905&amp;"",PERIPHERAL!$B$3:$B$954&amp;"",PERIPHERAL!$K$3:$K$954,""),"Utilities",_xlfn.XLOOKUP($K905&amp;"",UTILITIES!$B$3:$B$953&amp;"",UTILITIES!$J$3:$J$953,""),"IOT",_xlfn.XLOOKUP($K905&amp;"",IOT!$B$3:$B$1012&amp;"",IOT!$K$4:$K$1012,""),"Server",_xlfn.XLOOKUP($K905&amp;"",SERVER!$B$3:$B$1009&amp;"",SERVER!$K$3:$K$1009,""),""))))</f>
        <v/>
      </c>
      <c r="O905" s="1" t="str" cm="1">
        <f t="array" ref="O905">IF(OR($K905="",$I905="",$J905=""),"",_xlfn.LET(_xlpm.srcCat,_xlfn.SWITCH($I905,"Computer",_xlfn.XLOOKUP($K905&amp;"",COMPUTER!$B$3:$B$1009&amp;"",COMPUTER!$H$3:$H$1009,""),"Display",_xlfn.XLOOKUP($K905&amp;"",DISPLAY!$B$3:$B$1000&amp;"",DISPLAY!$H$3:$H$1000,""),"Network Device",_xlfn.XLOOKUP($K905&amp;"",'NETWORK-DEVICES'!$B$3:$B$987&amp;"",'NETWORK-DEVICES'!$H$3:$H$987,""),"Peripheral",_xlfn.XLOOKUP($K905&amp;"",PERIPHERAL!$B$3:$B$954&amp;"",PERIPHERAL!$H$3:$H$954,""),"Utilities",_xlfn.XLOOKUP($K905&amp;"",UTILITIES!$B$3:$B$953&amp;"",UTILITIES!$G$3:$G$953,""),"IOT",_xlfn.XLOOKUP($K905&amp;"",IOT!$B$3:$B$1012&amp;"",IOT!$H$3:$H$1012,""),"Server",_xlfn.XLOOKUP($K905&amp;"",SERVER!$B$3:$B$1009&amp;"",SERVER!$H$3:$H$1009,""),""),IF(TRIM(_xlpm.srcCat)&lt;&gt;TRIM($J905),"",_xlfn.SWITCH($I905,"Computer",_xlfn.XLOOKUP($K905&amp;"",COMPUTER!$B$3:$B$1009&amp;"",COMPUTER!$E$3:$E$1009,""),"Display",_xlfn.XLOOKUP($K905&amp;"",DISPLAY!$B$3:$B$1000&amp;"",DISPLAY!$E$3:$E$1000,""),"Network Device",_xlfn.XLOOKUP($K905&amp;"",'NETWORK-DEVICES'!$B$3:$B$987&amp;"",'NETWORK-DEVICES'!$E$3:$E$987,""),"Peripheral",_xlfn.XLOOKUP($K905&amp;"",PERIPHERAL!$B$3:$B$954&amp;"",PERIPHERAL!$E$3:$E$954,""),"Utilities",_xlfn.XLOOKUP($K905&amp;"",UTILITIES!$B$3:$B$953&amp;"",UTILITIES!$E$3:$E$953,""),"IOT",_xlfn.XLOOKUP($K905&amp;"",IOT!$B$3:$B$1012&amp;"",IOT!$E$3:$E$1012,""),"Server",_xlfn.XLOOKUP($K905&amp;"",SERVER!$B$3:$B$1009&amp;"",SERVER!$E$3:$E$1009,""),""))))</f>
        <v/>
      </c>
      <c r="Q905" s="1" t="str" cm="1">
        <f t="array" ref="Q905">IF(OR($K905="",$I905="",$J905=""),"",_xlfn.LET(_xlpm.srcCat,_xlfn.SWITCH($I905,"Computer",_xlfn.XLOOKUP($K905&amp;"",COMPUTER!$B$3:$B$1009&amp;"",COMPUTER!$H$3:$H$1009,""),"Display",_xlfn.XLOOKUP($K905&amp;"",DISPLAY!$B$3:$B$1000&amp;"",DISPLAY!$H$3:$H$1000,""),"Network Device",_xlfn.XLOOKUP($K905&amp;"",'NETWORK-DEVICES'!$B$3:$B$987&amp;"",'NETWORK-DEVICES'!$H$3:$H$987,""),"Peripheral",_xlfn.XLOOKUP($K905&amp;"",PERIPHERAL!$B$3:$B$954&amp;"",PERIPHERAL!$H$3:$H$954,""),"Utilities",_xlfn.XLOOKUP($K905&amp;"",UTILITIES!$B$3:$B$953&amp;"",UTILITIES!$G$3:$G$953,""),"IOT",_xlfn.XLOOKUP($K905&amp;"",IOT!$B$3:$B$1012&amp;"",IOT!$H$3:$H$1012,""),"Server",_xlfn.XLOOKUP($K905&amp;"",SERVER!$B$3:$B$1009&amp;"",SERVER!$H$3:$H$1009,""),""),IF(TRIM(_xlpm.srcCat)&lt;&gt;TRIM($J905),"",_xlfn.SWITCH($I905,"Computer",_xlfn.XLOOKUP($K905&amp;"",COMPUTER!$B$3:$B$1009&amp;"",COMPUTER!$AM$3:$AM$1009,""),"Display",_xlfn.XLOOKUP($K905&amp;"",DISPLAY!$B$3:$B$1000&amp;"",DISPLAY!$V$3:$V$1000,""),"Network Device",_xlfn.XLOOKUP($K905&amp;"",'NETWORK-DEVICES'!$B$3:$B$987&amp;"",'NETWORK-DEVICES'!$AF$3:$AF$987,""),"Peripheral",_xlfn.XLOOKUP($K905&amp;"",PERIPHERAL!$B$3:$B$954&amp;"",PERIPHERAL!$Y$3:$Y$954,""),"Utilities",_xlfn.XLOOKUP($K905&amp;"",UTILITIES!$B$3:$B$953&amp;"",UTILITIES!$O$3:$O$953,""),"IOT",_xlfn.XLOOKUP($K905&amp;"",IOT!$B$3:$B$1012&amp;"",IOT!$AB$3:$AB$1012,""),"Server",_xlfn.XLOOKUP($K905&amp;"",SERVER!$B$3:$B$1009&amp;"",SERVER!$AB$3:$AB$1009,""),""))))</f>
        <v/>
      </c>
      <c r="R905" s="43" t="str">
        <f>IF(tbl_handover[[#This Row],[Asset Code]]="","",COUNTIF(tbl_handover[Asset Code],tbl_handover[[#This Row],[Asset Code]]))</f>
        <v/>
      </c>
    </row>
    <row r="906" spans="1:18" x14ac:dyDescent="0.25">
      <c r="A906" s="43" t="str">
        <f>IF(B906&lt;&gt;"",SUBTOTAL(3,$B$1:B905),"")</f>
        <v/>
      </c>
      <c r="C906" s="74"/>
      <c r="D906" s="74"/>
      <c r="G906" s="1"/>
      <c r="K906" s="42"/>
      <c r="L906" t="str" cm="1">
        <f t="array" ref="L906">IF($K906="","",_xlfn.SWITCH($I906,"Computer",_xlfn.XLOOKUP($K906&amp;"",COMPUTER!$B$3:$B$1009&amp;"",COMPUTER!$I$3:$I$1009,""),"Display",_xlfn.XLOOKUP($K906&amp;"",DISPLAY!$B$3:$B$1000&amp;"",DISPLAY!$J$3:$J$1000,""),"Network Device",_xlfn.XLOOKUP($K906&amp;"",'NETWORK-DEVICES'!$B$3:$B$987&amp;"",'NETWORK-DEVICES'!$I$3:$I$987,""),"Peripheral",_xlfn.XLOOKUP($K906&amp;"",PERIPHERAL!$B$3:$B$954&amp;"",PERIPHERAL!$I$3:$I$954,""),"Utilities",_xlfn.XLOOKUP($K906&amp;"",UTILITIES!$B$3:$B$953&amp;"",UTILITIES!$H$3:$H$953,""),"IOT",_xlfn.XLOOKUP($K906&amp;"",IOT!$B$3:$B$1012&amp;"",IOT!$I$3:$I$1012,""),"SERVER",_xlfn.XLOOKUP($K906&amp;"",SERVER!$B$3:$B$1009&amp;"",SERVER!$I$3:$I$1009,""),""))</f>
        <v/>
      </c>
      <c r="M906" t="str" cm="1">
        <f t="array" ref="M906">IF($K906="","",_xlfn.SWITCH($I906,"Computer",_xlfn.XLOOKUP($K906&amp;"",COMPUTER!$B$3:$B$1009&amp;"",COMPUTER!$J$3:$J$1009,""),"Display",_xlfn.XLOOKUP($K906&amp;"",DISPLAY!$B$3:$B$1000&amp;"",DISPLAY!$K$3:$K$1000,""),"Network Device",_xlfn.XLOOKUP($K906&amp;"",'NETWORK-DEVICES'!$B$3:$B$987&amp;"",'NETWORK-DEVICES'!$I$3:$I$987,""),"Peripheral",_xlfn.XLOOKUP($K906&amp;"",PERIPHERAL!$B$3:$B$954&amp;"",PERIPHERAL!$J$3:$J$954,""),"Utilities",_xlfn.XLOOKUP($K906&amp;"",UTILITIES!$B$3:$B$953&amp;"",UTILITIES!$I$3:$I$953,""),"IOT",_xlfn.XLOOKUP($K906&amp;"",IOT!$B$3:$B$1012&amp;"",IOT!$J$3:$J$1012,""),"Server",_xlfn.XLOOKUP($K906&amp;"",SERVER!$B$3:$B$1009&amp;"",SERVER!$J$3:$J$1009,""),""))</f>
        <v/>
      </c>
      <c r="N906" s="1" t="str" cm="1">
        <f t="array" ref="N906">IF(OR($K906="",$I906="",$J906=""),"",_xlfn.LET(_xlpm.srcCat,_xlfn.SWITCH($I906,"Computer",_xlfn.XLOOKUP($K906&amp;"",COMPUTER!$B$3:$B$1009&amp;"",COMPUTER!$H$3:$H$1009,""),"Display",_xlfn.XLOOKUP($K906&amp;"",DISPLAY!$B$3:$B$1000&amp;"",DISPLAY!$H$3:$H$1000,""),"Network Device",_xlfn.XLOOKUP($K906&amp;"",'NETWORK-DEVICES'!$B$3:$B$987&amp;"",'NETWORK-DEVICES'!$H$3:$H$987,""),"Peripheral",_xlfn.XLOOKUP($K906&amp;"",PERIPHERAL!$B$3:$B$954&amp;"",PERIPHERAL!$H$3:$H$954,""),"Utilities",_xlfn.XLOOKUP($K906&amp;"",UTILITIES!$B$3:$B$953&amp;"",UTILITIES!$G$3:$G$953,""),"IOT",_xlfn.XLOOKUP($K906&amp;"",IOT!$B$3:$B$1012&amp;"",IOT!$H$3:$H$1012,""),"Server",_xlfn.XLOOKUP($K906&amp;"",SERVER!$B$3:$B$1009&amp;"",SERVER!$H$3:$H$1009,""),""),IF(TRIM(_xlpm.srcCat)&lt;&gt;TRIM($J906),"",_xlfn.SWITCH($I906,"Computer",_xlfn.XLOOKUP($K906&amp;"",COMPUTER!$B$3:$B$1009&amp;"",COMPUTER!$K$3:$K$1009,""),"Display",_xlfn.XLOOKUP($K906&amp;"",DISPLAY!$B$3:$B$1000&amp;"",DISPLAY!$L$3:$L$1000,""),"Network Device",_xlfn.XLOOKUP($K906&amp;"",'NETWORK-DEVICES'!$B$3:$B$987&amp;"",'NETWORK-DEVICES'!$K$3:$K$987,""),"Peripheral",_xlfn.XLOOKUP($K906&amp;"",PERIPHERAL!$B$3:$B$954&amp;"",PERIPHERAL!$K$3:$K$954,""),"Utilities",_xlfn.XLOOKUP($K906&amp;"",UTILITIES!$B$3:$B$953&amp;"",UTILITIES!$J$3:$J$953,""),"IOT",_xlfn.XLOOKUP($K906&amp;"",IOT!$B$3:$B$1012&amp;"",IOT!$K$4:$K$1012,""),"Server",_xlfn.XLOOKUP($K906&amp;"",SERVER!$B$3:$B$1009&amp;"",SERVER!$K$3:$K$1009,""),""))))</f>
        <v/>
      </c>
      <c r="O906" s="1" t="str" cm="1">
        <f t="array" ref="O906">IF(OR($K906="",$I906="",$J906=""),"",_xlfn.LET(_xlpm.srcCat,_xlfn.SWITCH($I906,"Computer",_xlfn.XLOOKUP($K906&amp;"",COMPUTER!$B$3:$B$1009&amp;"",COMPUTER!$H$3:$H$1009,""),"Display",_xlfn.XLOOKUP($K906&amp;"",DISPLAY!$B$3:$B$1000&amp;"",DISPLAY!$H$3:$H$1000,""),"Network Device",_xlfn.XLOOKUP($K906&amp;"",'NETWORK-DEVICES'!$B$3:$B$987&amp;"",'NETWORK-DEVICES'!$H$3:$H$987,""),"Peripheral",_xlfn.XLOOKUP($K906&amp;"",PERIPHERAL!$B$3:$B$954&amp;"",PERIPHERAL!$H$3:$H$954,""),"Utilities",_xlfn.XLOOKUP($K906&amp;"",UTILITIES!$B$3:$B$953&amp;"",UTILITIES!$G$3:$G$953,""),"IOT",_xlfn.XLOOKUP($K906&amp;"",IOT!$B$3:$B$1012&amp;"",IOT!$H$3:$H$1012,""),"Server",_xlfn.XLOOKUP($K906&amp;"",SERVER!$B$3:$B$1009&amp;"",SERVER!$H$3:$H$1009,""),""),IF(TRIM(_xlpm.srcCat)&lt;&gt;TRIM($J906),"",_xlfn.SWITCH($I906,"Computer",_xlfn.XLOOKUP($K906&amp;"",COMPUTER!$B$3:$B$1009&amp;"",COMPUTER!$E$3:$E$1009,""),"Display",_xlfn.XLOOKUP($K906&amp;"",DISPLAY!$B$3:$B$1000&amp;"",DISPLAY!$E$3:$E$1000,""),"Network Device",_xlfn.XLOOKUP($K906&amp;"",'NETWORK-DEVICES'!$B$3:$B$987&amp;"",'NETWORK-DEVICES'!$E$3:$E$987,""),"Peripheral",_xlfn.XLOOKUP($K906&amp;"",PERIPHERAL!$B$3:$B$954&amp;"",PERIPHERAL!$E$3:$E$954,""),"Utilities",_xlfn.XLOOKUP($K906&amp;"",UTILITIES!$B$3:$B$953&amp;"",UTILITIES!$E$3:$E$953,""),"IOT",_xlfn.XLOOKUP($K906&amp;"",IOT!$B$3:$B$1012&amp;"",IOT!$E$3:$E$1012,""),"Server",_xlfn.XLOOKUP($K906&amp;"",SERVER!$B$3:$B$1009&amp;"",SERVER!$E$3:$E$1009,""),""))))</f>
        <v/>
      </c>
      <c r="Q906" s="1" t="str" cm="1">
        <f t="array" ref="Q906">IF(OR($K906="",$I906="",$J906=""),"",_xlfn.LET(_xlpm.srcCat,_xlfn.SWITCH($I906,"Computer",_xlfn.XLOOKUP($K906&amp;"",COMPUTER!$B$3:$B$1009&amp;"",COMPUTER!$H$3:$H$1009,""),"Display",_xlfn.XLOOKUP($K906&amp;"",DISPLAY!$B$3:$B$1000&amp;"",DISPLAY!$H$3:$H$1000,""),"Network Device",_xlfn.XLOOKUP($K906&amp;"",'NETWORK-DEVICES'!$B$3:$B$987&amp;"",'NETWORK-DEVICES'!$H$3:$H$987,""),"Peripheral",_xlfn.XLOOKUP($K906&amp;"",PERIPHERAL!$B$3:$B$954&amp;"",PERIPHERAL!$H$3:$H$954,""),"Utilities",_xlfn.XLOOKUP($K906&amp;"",UTILITIES!$B$3:$B$953&amp;"",UTILITIES!$G$3:$G$953,""),"IOT",_xlfn.XLOOKUP($K906&amp;"",IOT!$B$3:$B$1012&amp;"",IOT!$H$3:$H$1012,""),"Server",_xlfn.XLOOKUP($K906&amp;"",SERVER!$B$3:$B$1009&amp;"",SERVER!$H$3:$H$1009,""),""),IF(TRIM(_xlpm.srcCat)&lt;&gt;TRIM($J906),"",_xlfn.SWITCH($I906,"Computer",_xlfn.XLOOKUP($K906&amp;"",COMPUTER!$B$3:$B$1009&amp;"",COMPUTER!$AM$3:$AM$1009,""),"Display",_xlfn.XLOOKUP($K906&amp;"",DISPLAY!$B$3:$B$1000&amp;"",DISPLAY!$V$3:$V$1000,""),"Network Device",_xlfn.XLOOKUP($K906&amp;"",'NETWORK-DEVICES'!$B$3:$B$987&amp;"",'NETWORK-DEVICES'!$AF$3:$AF$987,""),"Peripheral",_xlfn.XLOOKUP($K906&amp;"",PERIPHERAL!$B$3:$B$954&amp;"",PERIPHERAL!$Y$3:$Y$954,""),"Utilities",_xlfn.XLOOKUP($K906&amp;"",UTILITIES!$B$3:$B$953&amp;"",UTILITIES!$O$3:$O$953,""),"IOT",_xlfn.XLOOKUP($K906&amp;"",IOT!$B$3:$B$1012&amp;"",IOT!$AB$3:$AB$1012,""),"Server",_xlfn.XLOOKUP($K906&amp;"",SERVER!$B$3:$B$1009&amp;"",SERVER!$AB$3:$AB$1009,""),""))))</f>
        <v/>
      </c>
      <c r="R906" s="43" t="str">
        <f>IF(tbl_handover[[#This Row],[Asset Code]]="","",COUNTIF(tbl_handover[Asset Code],tbl_handover[[#This Row],[Asset Code]]))</f>
        <v/>
      </c>
    </row>
    <row r="907" spans="1:18" x14ac:dyDescent="0.25">
      <c r="A907" s="43" t="str">
        <f>IF(B907&lt;&gt;"",SUBTOTAL(3,$B$1:B906),"")</f>
        <v/>
      </c>
      <c r="C907" s="74"/>
      <c r="D907" s="74"/>
      <c r="G907" s="1"/>
      <c r="K907" s="42"/>
      <c r="L907" t="str" cm="1">
        <f t="array" ref="L907">IF($K907="","",_xlfn.SWITCH($I907,"Computer",_xlfn.XLOOKUP($K907&amp;"",COMPUTER!$B$3:$B$1009&amp;"",COMPUTER!$I$3:$I$1009,""),"Display",_xlfn.XLOOKUP($K907&amp;"",DISPLAY!$B$3:$B$1000&amp;"",DISPLAY!$J$3:$J$1000,""),"Network Device",_xlfn.XLOOKUP($K907&amp;"",'NETWORK-DEVICES'!$B$3:$B$987&amp;"",'NETWORK-DEVICES'!$I$3:$I$987,""),"Peripheral",_xlfn.XLOOKUP($K907&amp;"",PERIPHERAL!$B$3:$B$954&amp;"",PERIPHERAL!$I$3:$I$954,""),"Utilities",_xlfn.XLOOKUP($K907&amp;"",UTILITIES!$B$3:$B$953&amp;"",UTILITIES!$H$3:$H$953,""),"IOT",_xlfn.XLOOKUP($K907&amp;"",IOT!$B$3:$B$1012&amp;"",IOT!$I$3:$I$1012,""),"SERVER",_xlfn.XLOOKUP($K907&amp;"",SERVER!$B$3:$B$1009&amp;"",SERVER!$I$3:$I$1009,""),""))</f>
        <v/>
      </c>
      <c r="M907" t="str" cm="1">
        <f t="array" ref="M907">IF($K907="","",_xlfn.SWITCH($I907,"Computer",_xlfn.XLOOKUP($K907&amp;"",COMPUTER!$B$3:$B$1009&amp;"",COMPUTER!$J$3:$J$1009,""),"Display",_xlfn.XLOOKUP($K907&amp;"",DISPLAY!$B$3:$B$1000&amp;"",DISPLAY!$K$3:$K$1000,""),"Network Device",_xlfn.XLOOKUP($K907&amp;"",'NETWORK-DEVICES'!$B$3:$B$987&amp;"",'NETWORK-DEVICES'!$I$3:$I$987,""),"Peripheral",_xlfn.XLOOKUP($K907&amp;"",PERIPHERAL!$B$3:$B$954&amp;"",PERIPHERAL!$J$3:$J$954,""),"Utilities",_xlfn.XLOOKUP($K907&amp;"",UTILITIES!$B$3:$B$953&amp;"",UTILITIES!$I$3:$I$953,""),"IOT",_xlfn.XLOOKUP($K907&amp;"",IOT!$B$3:$B$1012&amp;"",IOT!$J$3:$J$1012,""),"Server",_xlfn.XLOOKUP($K907&amp;"",SERVER!$B$3:$B$1009&amp;"",SERVER!$J$3:$J$1009,""),""))</f>
        <v/>
      </c>
      <c r="N907" s="1" t="str" cm="1">
        <f t="array" ref="N907">IF(OR($K907="",$I907="",$J907=""),"",_xlfn.LET(_xlpm.srcCat,_xlfn.SWITCH($I907,"Computer",_xlfn.XLOOKUP($K907&amp;"",COMPUTER!$B$3:$B$1009&amp;"",COMPUTER!$H$3:$H$1009,""),"Display",_xlfn.XLOOKUP($K907&amp;"",DISPLAY!$B$3:$B$1000&amp;"",DISPLAY!$H$3:$H$1000,""),"Network Device",_xlfn.XLOOKUP($K907&amp;"",'NETWORK-DEVICES'!$B$3:$B$987&amp;"",'NETWORK-DEVICES'!$H$3:$H$987,""),"Peripheral",_xlfn.XLOOKUP($K907&amp;"",PERIPHERAL!$B$3:$B$954&amp;"",PERIPHERAL!$H$3:$H$954,""),"Utilities",_xlfn.XLOOKUP($K907&amp;"",UTILITIES!$B$3:$B$953&amp;"",UTILITIES!$G$3:$G$953,""),"IOT",_xlfn.XLOOKUP($K907&amp;"",IOT!$B$3:$B$1012&amp;"",IOT!$H$3:$H$1012,""),"Server",_xlfn.XLOOKUP($K907&amp;"",SERVER!$B$3:$B$1009&amp;"",SERVER!$H$3:$H$1009,""),""),IF(TRIM(_xlpm.srcCat)&lt;&gt;TRIM($J907),"",_xlfn.SWITCH($I907,"Computer",_xlfn.XLOOKUP($K907&amp;"",COMPUTER!$B$3:$B$1009&amp;"",COMPUTER!$K$3:$K$1009,""),"Display",_xlfn.XLOOKUP($K907&amp;"",DISPLAY!$B$3:$B$1000&amp;"",DISPLAY!$L$3:$L$1000,""),"Network Device",_xlfn.XLOOKUP($K907&amp;"",'NETWORK-DEVICES'!$B$3:$B$987&amp;"",'NETWORK-DEVICES'!$K$3:$K$987,""),"Peripheral",_xlfn.XLOOKUP($K907&amp;"",PERIPHERAL!$B$3:$B$954&amp;"",PERIPHERAL!$K$3:$K$954,""),"Utilities",_xlfn.XLOOKUP($K907&amp;"",UTILITIES!$B$3:$B$953&amp;"",UTILITIES!$J$3:$J$953,""),"IOT",_xlfn.XLOOKUP($K907&amp;"",IOT!$B$3:$B$1012&amp;"",IOT!$K$4:$K$1012,""),"Server",_xlfn.XLOOKUP($K907&amp;"",SERVER!$B$3:$B$1009&amp;"",SERVER!$K$3:$K$1009,""),""))))</f>
        <v/>
      </c>
      <c r="O907" s="1" t="str" cm="1">
        <f t="array" ref="O907">IF(OR($K907="",$I907="",$J907=""),"",_xlfn.LET(_xlpm.srcCat,_xlfn.SWITCH($I907,"Computer",_xlfn.XLOOKUP($K907&amp;"",COMPUTER!$B$3:$B$1009&amp;"",COMPUTER!$H$3:$H$1009,""),"Display",_xlfn.XLOOKUP($K907&amp;"",DISPLAY!$B$3:$B$1000&amp;"",DISPLAY!$H$3:$H$1000,""),"Network Device",_xlfn.XLOOKUP($K907&amp;"",'NETWORK-DEVICES'!$B$3:$B$987&amp;"",'NETWORK-DEVICES'!$H$3:$H$987,""),"Peripheral",_xlfn.XLOOKUP($K907&amp;"",PERIPHERAL!$B$3:$B$954&amp;"",PERIPHERAL!$H$3:$H$954,""),"Utilities",_xlfn.XLOOKUP($K907&amp;"",UTILITIES!$B$3:$B$953&amp;"",UTILITIES!$G$3:$G$953,""),"IOT",_xlfn.XLOOKUP($K907&amp;"",IOT!$B$3:$B$1012&amp;"",IOT!$H$3:$H$1012,""),"Server",_xlfn.XLOOKUP($K907&amp;"",SERVER!$B$3:$B$1009&amp;"",SERVER!$H$3:$H$1009,""),""),IF(TRIM(_xlpm.srcCat)&lt;&gt;TRIM($J907),"",_xlfn.SWITCH($I907,"Computer",_xlfn.XLOOKUP($K907&amp;"",COMPUTER!$B$3:$B$1009&amp;"",COMPUTER!$E$3:$E$1009,""),"Display",_xlfn.XLOOKUP($K907&amp;"",DISPLAY!$B$3:$B$1000&amp;"",DISPLAY!$E$3:$E$1000,""),"Network Device",_xlfn.XLOOKUP($K907&amp;"",'NETWORK-DEVICES'!$B$3:$B$987&amp;"",'NETWORK-DEVICES'!$E$3:$E$987,""),"Peripheral",_xlfn.XLOOKUP($K907&amp;"",PERIPHERAL!$B$3:$B$954&amp;"",PERIPHERAL!$E$3:$E$954,""),"Utilities",_xlfn.XLOOKUP($K907&amp;"",UTILITIES!$B$3:$B$953&amp;"",UTILITIES!$E$3:$E$953,""),"IOT",_xlfn.XLOOKUP($K907&amp;"",IOT!$B$3:$B$1012&amp;"",IOT!$E$3:$E$1012,""),"Server",_xlfn.XLOOKUP($K907&amp;"",SERVER!$B$3:$B$1009&amp;"",SERVER!$E$3:$E$1009,""),""))))</f>
        <v/>
      </c>
      <c r="Q907" s="1" t="str" cm="1">
        <f t="array" ref="Q907">IF(OR($K907="",$I907="",$J907=""),"",_xlfn.LET(_xlpm.srcCat,_xlfn.SWITCH($I907,"Computer",_xlfn.XLOOKUP($K907&amp;"",COMPUTER!$B$3:$B$1009&amp;"",COMPUTER!$H$3:$H$1009,""),"Display",_xlfn.XLOOKUP($K907&amp;"",DISPLAY!$B$3:$B$1000&amp;"",DISPLAY!$H$3:$H$1000,""),"Network Device",_xlfn.XLOOKUP($K907&amp;"",'NETWORK-DEVICES'!$B$3:$B$987&amp;"",'NETWORK-DEVICES'!$H$3:$H$987,""),"Peripheral",_xlfn.XLOOKUP($K907&amp;"",PERIPHERAL!$B$3:$B$954&amp;"",PERIPHERAL!$H$3:$H$954,""),"Utilities",_xlfn.XLOOKUP($K907&amp;"",UTILITIES!$B$3:$B$953&amp;"",UTILITIES!$G$3:$G$953,""),"IOT",_xlfn.XLOOKUP($K907&amp;"",IOT!$B$3:$B$1012&amp;"",IOT!$H$3:$H$1012,""),"Server",_xlfn.XLOOKUP($K907&amp;"",SERVER!$B$3:$B$1009&amp;"",SERVER!$H$3:$H$1009,""),""),IF(TRIM(_xlpm.srcCat)&lt;&gt;TRIM($J907),"",_xlfn.SWITCH($I907,"Computer",_xlfn.XLOOKUP($K907&amp;"",COMPUTER!$B$3:$B$1009&amp;"",COMPUTER!$AM$3:$AM$1009,""),"Display",_xlfn.XLOOKUP($K907&amp;"",DISPLAY!$B$3:$B$1000&amp;"",DISPLAY!$V$3:$V$1000,""),"Network Device",_xlfn.XLOOKUP($K907&amp;"",'NETWORK-DEVICES'!$B$3:$B$987&amp;"",'NETWORK-DEVICES'!$AF$3:$AF$987,""),"Peripheral",_xlfn.XLOOKUP($K907&amp;"",PERIPHERAL!$B$3:$B$954&amp;"",PERIPHERAL!$Y$3:$Y$954,""),"Utilities",_xlfn.XLOOKUP($K907&amp;"",UTILITIES!$B$3:$B$953&amp;"",UTILITIES!$O$3:$O$953,""),"IOT",_xlfn.XLOOKUP($K907&amp;"",IOT!$B$3:$B$1012&amp;"",IOT!$AB$3:$AB$1012,""),"Server",_xlfn.XLOOKUP($K907&amp;"",SERVER!$B$3:$B$1009&amp;"",SERVER!$AB$3:$AB$1009,""),""))))</f>
        <v/>
      </c>
      <c r="R907" s="43" t="str">
        <f>IF(tbl_handover[[#This Row],[Asset Code]]="","",COUNTIF(tbl_handover[Asset Code],tbl_handover[[#This Row],[Asset Code]]))</f>
        <v/>
      </c>
    </row>
    <row r="908" spans="1:18" x14ac:dyDescent="0.25">
      <c r="A908" s="43" t="str">
        <f>IF(B908&lt;&gt;"",SUBTOTAL(3,$B$1:B907),"")</f>
        <v/>
      </c>
      <c r="C908" s="74"/>
      <c r="D908" s="74"/>
      <c r="G908" s="1"/>
      <c r="K908" s="42"/>
      <c r="L908" t="str" cm="1">
        <f t="array" ref="L908">IF($K908="","",_xlfn.SWITCH($I908,"Computer",_xlfn.XLOOKUP($K908&amp;"",COMPUTER!$B$3:$B$1009&amp;"",COMPUTER!$I$3:$I$1009,""),"Display",_xlfn.XLOOKUP($K908&amp;"",DISPLAY!$B$3:$B$1000&amp;"",DISPLAY!$J$3:$J$1000,""),"Network Device",_xlfn.XLOOKUP($K908&amp;"",'NETWORK-DEVICES'!$B$3:$B$987&amp;"",'NETWORK-DEVICES'!$I$3:$I$987,""),"Peripheral",_xlfn.XLOOKUP($K908&amp;"",PERIPHERAL!$B$3:$B$954&amp;"",PERIPHERAL!$I$3:$I$954,""),"Utilities",_xlfn.XLOOKUP($K908&amp;"",UTILITIES!$B$3:$B$953&amp;"",UTILITIES!$H$3:$H$953,""),"IOT",_xlfn.XLOOKUP($K908&amp;"",IOT!$B$3:$B$1012&amp;"",IOT!$I$3:$I$1012,""),"SERVER",_xlfn.XLOOKUP($K908&amp;"",SERVER!$B$3:$B$1009&amp;"",SERVER!$I$3:$I$1009,""),""))</f>
        <v/>
      </c>
      <c r="M908" t="str" cm="1">
        <f t="array" ref="M908">IF($K908="","",_xlfn.SWITCH($I908,"Computer",_xlfn.XLOOKUP($K908&amp;"",COMPUTER!$B$3:$B$1009&amp;"",COMPUTER!$J$3:$J$1009,""),"Display",_xlfn.XLOOKUP($K908&amp;"",DISPLAY!$B$3:$B$1000&amp;"",DISPLAY!$K$3:$K$1000,""),"Network Device",_xlfn.XLOOKUP($K908&amp;"",'NETWORK-DEVICES'!$B$3:$B$987&amp;"",'NETWORK-DEVICES'!$I$3:$I$987,""),"Peripheral",_xlfn.XLOOKUP($K908&amp;"",PERIPHERAL!$B$3:$B$954&amp;"",PERIPHERAL!$J$3:$J$954,""),"Utilities",_xlfn.XLOOKUP($K908&amp;"",UTILITIES!$B$3:$B$953&amp;"",UTILITIES!$I$3:$I$953,""),"IOT",_xlfn.XLOOKUP($K908&amp;"",IOT!$B$3:$B$1012&amp;"",IOT!$J$3:$J$1012,""),"Server",_xlfn.XLOOKUP($K908&amp;"",SERVER!$B$3:$B$1009&amp;"",SERVER!$J$3:$J$1009,""),""))</f>
        <v/>
      </c>
      <c r="N908" s="1" t="str" cm="1">
        <f t="array" ref="N908">IF(OR($K908="",$I908="",$J908=""),"",_xlfn.LET(_xlpm.srcCat,_xlfn.SWITCH($I908,"Computer",_xlfn.XLOOKUP($K908&amp;"",COMPUTER!$B$3:$B$1009&amp;"",COMPUTER!$H$3:$H$1009,""),"Display",_xlfn.XLOOKUP($K908&amp;"",DISPLAY!$B$3:$B$1000&amp;"",DISPLAY!$H$3:$H$1000,""),"Network Device",_xlfn.XLOOKUP($K908&amp;"",'NETWORK-DEVICES'!$B$3:$B$987&amp;"",'NETWORK-DEVICES'!$H$3:$H$987,""),"Peripheral",_xlfn.XLOOKUP($K908&amp;"",PERIPHERAL!$B$3:$B$954&amp;"",PERIPHERAL!$H$3:$H$954,""),"Utilities",_xlfn.XLOOKUP($K908&amp;"",UTILITIES!$B$3:$B$953&amp;"",UTILITIES!$G$3:$G$953,""),"IOT",_xlfn.XLOOKUP($K908&amp;"",IOT!$B$3:$B$1012&amp;"",IOT!$H$3:$H$1012,""),"Server",_xlfn.XLOOKUP($K908&amp;"",SERVER!$B$3:$B$1009&amp;"",SERVER!$H$3:$H$1009,""),""),IF(TRIM(_xlpm.srcCat)&lt;&gt;TRIM($J908),"",_xlfn.SWITCH($I908,"Computer",_xlfn.XLOOKUP($K908&amp;"",COMPUTER!$B$3:$B$1009&amp;"",COMPUTER!$K$3:$K$1009,""),"Display",_xlfn.XLOOKUP($K908&amp;"",DISPLAY!$B$3:$B$1000&amp;"",DISPLAY!$L$3:$L$1000,""),"Network Device",_xlfn.XLOOKUP($K908&amp;"",'NETWORK-DEVICES'!$B$3:$B$987&amp;"",'NETWORK-DEVICES'!$K$3:$K$987,""),"Peripheral",_xlfn.XLOOKUP($K908&amp;"",PERIPHERAL!$B$3:$B$954&amp;"",PERIPHERAL!$K$3:$K$954,""),"Utilities",_xlfn.XLOOKUP($K908&amp;"",UTILITIES!$B$3:$B$953&amp;"",UTILITIES!$J$3:$J$953,""),"IOT",_xlfn.XLOOKUP($K908&amp;"",IOT!$B$3:$B$1012&amp;"",IOT!$K$4:$K$1012,""),"Server",_xlfn.XLOOKUP($K908&amp;"",SERVER!$B$3:$B$1009&amp;"",SERVER!$K$3:$K$1009,""),""))))</f>
        <v/>
      </c>
      <c r="O908" s="1" t="str" cm="1">
        <f t="array" ref="O908">IF(OR($K908="",$I908="",$J908=""),"",_xlfn.LET(_xlpm.srcCat,_xlfn.SWITCH($I908,"Computer",_xlfn.XLOOKUP($K908&amp;"",COMPUTER!$B$3:$B$1009&amp;"",COMPUTER!$H$3:$H$1009,""),"Display",_xlfn.XLOOKUP($K908&amp;"",DISPLAY!$B$3:$B$1000&amp;"",DISPLAY!$H$3:$H$1000,""),"Network Device",_xlfn.XLOOKUP($K908&amp;"",'NETWORK-DEVICES'!$B$3:$B$987&amp;"",'NETWORK-DEVICES'!$H$3:$H$987,""),"Peripheral",_xlfn.XLOOKUP($K908&amp;"",PERIPHERAL!$B$3:$B$954&amp;"",PERIPHERAL!$H$3:$H$954,""),"Utilities",_xlfn.XLOOKUP($K908&amp;"",UTILITIES!$B$3:$B$953&amp;"",UTILITIES!$G$3:$G$953,""),"IOT",_xlfn.XLOOKUP($K908&amp;"",IOT!$B$3:$B$1012&amp;"",IOT!$H$3:$H$1012,""),"Server",_xlfn.XLOOKUP($K908&amp;"",SERVER!$B$3:$B$1009&amp;"",SERVER!$H$3:$H$1009,""),""),IF(TRIM(_xlpm.srcCat)&lt;&gt;TRIM($J908),"",_xlfn.SWITCH($I908,"Computer",_xlfn.XLOOKUP($K908&amp;"",COMPUTER!$B$3:$B$1009&amp;"",COMPUTER!$E$3:$E$1009,""),"Display",_xlfn.XLOOKUP($K908&amp;"",DISPLAY!$B$3:$B$1000&amp;"",DISPLAY!$E$3:$E$1000,""),"Network Device",_xlfn.XLOOKUP($K908&amp;"",'NETWORK-DEVICES'!$B$3:$B$987&amp;"",'NETWORK-DEVICES'!$E$3:$E$987,""),"Peripheral",_xlfn.XLOOKUP($K908&amp;"",PERIPHERAL!$B$3:$B$954&amp;"",PERIPHERAL!$E$3:$E$954,""),"Utilities",_xlfn.XLOOKUP($K908&amp;"",UTILITIES!$B$3:$B$953&amp;"",UTILITIES!$E$3:$E$953,""),"IOT",_xlfn.XLOOKUP($K908&amp;"",IOT!$B$3:$B$1012&amp;"",IOT!$E$3:$E$1012,""),"Server",_xlfn.XLOOKUP($K908&amp;"",SERVER!$B$3:$B$1009&amp;"",SERVER!$E$3:$E$1009,""),""))))</f>
        <v/>
      </c>
      <c r="Q908" s="1" t="str" cm="1">
        <f t="array" ref="Q908">IF(OR($K908="",$I908="",$J908=""),"",_xlfn.LET(_xlpm.srcCat,_xlfn.SWITCH($I908,"Computer",_xlfn.XLOOKUP($K908&amp;"",COMPUTER!$B$3:$B$1009&amp;"",COMPUTER!$H$3:$H$1009,""),"Display",_xlfn.XLOOKUP($K908&amp;"",DISPLAY!$B$3:$B$1000&amp;"",DISPLAY!$H$3:$H$1000,""),"Network Device",_xlfn.XLOOKUP($K908&amp;"",'NETWORK-DEVICES'!$B$3:$B$987&amp;"",'NETWORK-DEVICES'!$H$3:$H$987,""),"Peripheral",_xlfn.XLOOKUP($K908&amp;"",PERIPHERAL!$B$3:$B$954&amp;"",PERIPHERAL!$H$3:$H$954,""),"Utilities",_xlfn.XLOOKUP($K908&amp;"",UTILITIES!$B$3:$B$953&amp;"",UTILITIES!$G$3:$G$953,""),"IOT",_xlfn.XLOOKUP($K908&amp;"",IOT!$B$3:$B$1012&amp;"",IOT!$H$3:$H$1012,""),"Server",_xlfn.XLOOKUP($K908&amp;"",SERVER!$B$3:$B$1009&amp;"",SERVER!$H$3:$H$1009,""),""),IF(TRIM(_xlpm.srcCat)&lt;&gt;TRIM($J908),"",_xlfn.SWITCH($I908,"Computer",_xlfn.XLOOKUP($K908&amp;"",COMPUTER!$B$3:$B$1009&amp;"",COMPUTER!$AM$3:$AM$1009,""),"Display",_xlfn.XLOOKUP($K908&amp;"",DISPLAY!$B$3:$B$1000&amp;"",DISPLAY!$V$3:$V$1000,""),"Network Device",_xlfn.XLOOKUP($K908&amp;"",'NETWORK-DEVICES'!$B$3:$B$987&amp;"",'NETWORK-DEVICES'!$AF$3:$AF$987,""),"Peripheral",_xlfn.XLOOKUP($K908&amp;"",PERIPHERAL!$B$3:$B$954&amp;"",PERIPHERAL!$Y$3:$Y$954,""),"Utilities",_xlfn.XLOOKUP($K908&amp;"",UTILITIES!$B$3:$B$953&amp;"",UTILITIES!$O$3:$O$953,""),"IOT",_xlfn.XLOOKUP($K908&amp;"",IOT!$B$3:$B$1012&amp;"",IOT!$AB$3:$AB$1012,""),"Server",_xlfn.XLOOKUP($K908&amp;"",SERVER!$B$3:$B$1009&amp;"",SERVER!$AB$3:$AB$1009,""),""))))</f>
        <v/>
      </c>
      <c r="R908" s="43" t="str">
        <f>IF(tbl_handover[[#This Row],[Asset Code]]="","",COUNTIF(tbl_handover[Asset Code],tbl_handover[[#This Row],[Asset Code]]))</f>
        <v/>
      </c>
    </row>
    <row r="909" spans="1:18" x14ac:dyDescent="0.25">
      <c r="A909" s="43" t="str">
        <f>IF(B909&lt;&gt;"",SUBTOTAL(3,$B$1:B908),"")</f>
        <v/>
      </c>
      <c r="C909" s="74"/>
      <c r="D909" s="74"/>
      <c r="G909" s="1"/>
      <c r="K909" s="42"/>
      <c r="L909" t="str" cm="1">
        <f t="array" ref="L909">IF($K909="","",_xlfn.SWITCH($I909,"Computer",_xlfn.XLOOKUP($K909&amp;"",COMPUTER!$B$3:$B$1009&amp;"",COMPUTER!$I$3:$I$1009,""),"Display",_xlfn.XLOOKUP($K909&amp;"",DISPLAY!$B$3:$B$1000&amp;"",DISPLAY!$J$3:$J$1000,""),"Network Device",_xlfn.XLOOKUP($K909&amp;"",'NETWORK-DEVICES'!$B$3:$B$987&amp;"",'NETWORK-DEVICES'!$I$3:$I$987,""),"Peripheral",_xlfn.XLOOKUP($K909&amp;"",PERIPHERAL!$B$3:$B$954&amp;"",PERIPHERAL!$I$3:$I$954,""),"Utilities",_xlfn.XLOOKUP($K909&amp;"",UTILITIES!$B$3:$B$953&amp;"",UTILITIES!$H$3:$H$953,""),"IOT",_xlfn.XLOOKUP($K909&amp;"",IOT!$B$3:$B$1012&amp;"",IOT!$I$3:$I$1012,""),"SERVER",_xlfn.XLOOKUP($K909&amp;"",SERVER!$B$3:$B$1009&amp;"",SERVER!$I$3:$I$1009,""),""))</f>
        <v/>
      </c>
      <c r="M909" t="str" cm="1">
        <f t="array" ref="M909">IF($K909="","",_xlfn.SWITCH($I909,"Computer",_xlfn.XLOOKUP($K909&amp;"",COMPUTER!$B$3:$B$1009&amp;"",COMPUTER!$J$3:$J$1009,""),"Display",_xlfn.XLOOKUP($K909&amp;"",DISPLAY!$B$3:$B$1000&amp;"",DISPLAY!$K$3:$K$1000,""),"Network Device",_xlfn.XLOOKUP($K909&amp;"",'NETWORK-DEVICES'!$B$3:$B$987&amp;"",'NETWORK-DEVICES'!$I$3:$I$987,""),"Peripheral",_xlfn.XLOOKUP($K909&amp;"",PERIPHERAL!$B$3:$B$954&amp;"",PERIPHERAL!$J$3:$J$954,""),"Utilities",_xlfn.XLOOKUP($K909&amp;"",UTILITIES!$B$3:$B$953&amp;"",UTILITIES!$I$3:$I$953,""),"IOT",_xlfn.XLOOKUP($K909&amp;"",IOT!$B$3:$B$1012&amp;"",IOT!$J$3:$J$1012,""),"Server",_xlfn.XLOOKUP($K909&amp;"",SERVER!$B$3:$B$1009&amp;"",SERVER!$J$3:$J$1009,""),""))</f>
        <v/>
      </c>
      <c r="N909" s="1" t="str" cm="1">
        <f t="array" ref="N909">IF(OR($K909="",$I909="",$J909=""),"",_xlfn.LET(_xlpm.srcCat,_xlfn.SWITCH($I909,"Computer",_xlfn.XLOOKUP($K909&amp;"",COMPUTER!$B$3:$B$1009&amp;"",COMPUTER!$H$3:$H$1009,""),"Display",_xlfn.XLOOKUP($K909&amp;"",DISPLAY!$B$3:$B$1000&amp;"",DISPLAY!$H$3:$H$1000,""),"Network Device",_xlfn.XLOOKUP($K909&amp;"",'NETWORK-DEVICES'!$B$3:$B$987&amp;"",'NETWORK-DEVICES'!$H$3:$H$987,""),"Peripheral",_xlfn.XLOOKUP($K909&amp;"",PERIPHERAL!$B$3:$B$954&amp;"",PERIPHERAL!$H$3:$H$954,""),"Utilities",_xlfn.XLOOKUP($K909&amp;"",UTILITIES!$B$3:$B$953&amp;"",UTILITIES!$G$3:$G$953,""),"IOT",_xlfn.XLOOKUP($K909&amp;"",IOT!$B$3:$B$1012&amp;"",IOT!$H$3:$H$1012,""),"Server",_xlfn.XLOOKUP($K909&amp;"",SERVER!$B$3:$B$1009&amp;"",SERVER!$H$3:$H$1009,""),""),IF(TRIM(_xlpm.srcCat)&lt;&gt;TRIM($J909),"",_xlfn.SWITCH($I909,"Computer",_xlfn.XLOOKUP($K909&amp;"",COMPUTER!$B$3:$B$1009&amp;"",COMPUTER!$K$3:$K$1009,""),"Display",_xlfn.XLOOKUP($K909&amp;"",DISPLAY!$B$3:$B$1000&amp;"",DISPLAY!$L$3:$L$1000,""),"Network Device",_xlfn.XLOOKUP($K909&amp;"",'NETWORK-DEVICES'!$B$3:$B$987&amp;"",'NETWORK-DEVICES'!$K$3:$K$987,""),"Peripheral",_xlfn.XLOOKUP($K909&amp;"",PERIPHERAL!$B$3:$B$954&amp;"",PERIPHERAL!$K$3:$K$954,""),"Utilities",_xlfn.XLOOKUP($K909&amp;"",UTILITIES!$B$3:$B$953&amp;"",UTILITIES!$J$3:$J$953,""),"IOT",_xlfn.XLOOKUP($K909&amp;"",IOT!$B$3:$B$1012&amp;"",IOT!$K$4:$K$1012,""),"Server",_xlfn.XLOOKUP($K909&amp;"",SERVER!$B$3:$B$1009&amp;"",SERVER!$K$3:$K$1009,""),""))))</f>
        <v/>
      </c>
      <c r="O909" s="1" t="str" cm="1">
        <f t="array" ref="O909">IF(OR($K909="",$I909="",$J909=""),"",_xlfn.LET(_xlpm.srcCat,_xlfn.SWITCH($I909,"Computer",_xlfn.XLOOKUP($K909&amp;"",COMPUTER!$B$3:$B$1009&amp;"",COMPUTER!$H$3:$H$1009,""),"Display",_xlfn.XLOOKUP($K909&amp;"",DISPLAY!$B$3:$B$1000&amp;"",DISPLAY!$H$3:$H$1000,""),"Network Device",_xlfn.XLOOKUP($K909&amp;"",'NETWORK-DEVICES'!$B$3:$B$987&amp;"",'NETWORK-DEVICES'!$H$3:$H$987,""),"Peripheral",_xlfn.XLOOKUP($K909&amp;"",PERIPHERAL!$B$3:$B$954&amp;"",PERIPHERAL!$H$3:$H$954,""),"Utilities",_xlfn.XLOOKUP($K909&amp;"",UTILITIES!$B$3:$B$953&amp;"",UTILITIES!$G$3:$G$953,""),"IOT",_xlfn.XLOOKUP($K909&amp;"",IOT!$B$3:$B$1012&amp;"",IOT!$H$3:$H$1012,""),"Server",_xlfn.XLOOKUP($K909&amp;"",SERVER!$B$3:$B$1009&amp;"",SERVER!$H$3:$H$1009,""),""),IF(TRIM(_xlpm.srcCat)&lt;&gt;TRIM($J909),"",_xlfn.SWITCH($I909,"Computer",_xlfn.XLOOKUP($K909&amp;"",COMPUTER!$B$3:$B$1009&amp;"",COMPUTER!$E$3:$E$1009,""),"Display",_xlfn.XLOOKUP($K909&amp;"",DISPLAY!$B$3:$B$1000&amp;"",DISPLAY!$E$3:$E$1000,""),"Network Device",_xlfn.XLOOKUP($K909&amp;"",'NETWORK-DEVICES'!$B$3:$B$987&amp;"",'NETWORK-DEVICES'!$E$3:$E$987,""),"Peripheral",_xlfn.XLOOKUP($K909&amp;"",PERIPHERAL!$B$3:$B$954&amp;"",PERIPHERAL!$E$3:$E$954,""),"Utilities",_xlfn.XLOOKUP($K909&amp;"",UTILITIES!$B$3:$B$953&amp;"",UTILITIES!$E$3:$E$953,""),"IOT",_xlfn.XLOOKUP($K909&amp;"",IOT!$B$3:$B$1012&amp;"",IOT!$E$3:$E$1012,""),"Server",_xlfn.XLOOKUP($K909&amp;"",SERVER!$B$3:$B$1009&amp;"",SERVER!$E$3:$E$1009,""),""))))</f>
        <v/>
      </c>
      <c r="Q909" s="1" t="str" cm="1">
        <f t="array" ref="Q909">IF(OR($K909="",$I909="",$J909=""),"",_xlfn.LET(_xlpm.srcCat,_xlfn.SWITCH($I909,"Computer",_xlfn.XLOOKUP($K909&amp;"",COMPUTER!$B$3:$B$1009&amp;"",COMPUTER!$H$3:$H$1009,""),"Display",_xlfn.XLOOKUP($K909&amp;"",DISPLAY!$B$3:$B$1000&amp;"",DISPLAY!$H$3:$H$1000,""),"Network Device",_xlfn.XLOOKUP($K909&amp;"",'NETWORK-DEVICES'!$B$3:$B$987&amp;"",'NETWORK-DEVICES'!$H$3:$H$987,""),"Peripheral",_xlfn.XLOOKUP($K909&amp;"",PERIPHERAL!$B$3:$B$954&amp;"",PERIPHERAL!$H$3:$H$954,""),"Utilities",_xlfn.XLOOKUP($K909&amp;"",UTILITIES!$B$3:$B$953&amp;"",UTILITIES!$G$3:$G$953,""),"IOT",_xlfn.XLOOKUP($K909&amp;"",IOT!$B$3:$B$1012&amp;"",IOT!$H$3:$H$1012,""),"Server",_xlfn.XLOOKUP($K909&amp;"",SERVER!$B$3:$B$1009&amp;"",SERVER!$H$3:$H$1009,""),""),IF(TRIM(_xlpm.srcCat)&lt;&gt;TRIM($J909),"",_xlfn.SWITCH($I909,"Computer",_xlfn.XLOOKUP($K909&amp;"",COMPUTER!$B$3:$B$1009&amp;"",COMPUTER!$AM$3:$AM$1009,""),"Display",_xlfn.XLOOKUP($K909&amp;"",DISPLAY!$B$3:$B$1000&amp;"",DISPLAY!$V$3:$V$1000,""),"Network Device",_xlfn.XLOOKUP($K909&amp;"",'NETWORK-DEVICES'!$B$3:$B$987&amp;"",'NETWORK-DEVICES'!$AF$3:$AF$987,""),"Peripheral",_xlfn.XLOOKUP($K909&amp;"",PERIPHERAL!$B$3:$B$954&amp;"",PERIPHERAL!$Y$3:$Y$954,""),"Utilities",_xlfn.XLOOKUP($K909&amp;"",UTILITIES!$B$3:$B$953&amp;"",UTILITIES!$O$3:$O$953,""),"IOT",_xlfn.XLOOKUP($K909&amp;"",IOT!$B$3:$B$1012&amp;"",IOT!$AB$3:$AB$1012,""),"Server",_xlfn.XLOOKUP($K909&amp;"",SERVER!$B$3:$B$1009&amp;"",SERVER!$AB$3:$AB$1009,""),""))))</f>
        <v/>
      </c>
      <c r="R909" s="43" t="str">
        <f>IF(tbl_handover[[#This Row],[Asset Code]]="","",COUNTIF(tbl_handover[Asset Code],tbl_handover[[#This Row],[Asset Code]]))</f>
        <v/>
      </c>
    </row>
    <row r="910" spans="1:18" x14ac:dyDescent="0.25">
      <c r="A910" s="43" t="str">
        <f>IF(B910&lt;&gt;"",SUBTOTAL(3,$B$1:B909),"")</f>
        <v/>
      </c>
      <c r="C910" s="74"/>
      <c r="D910" s="74"/>
      <c r="G910" s="1"/>
      <c r="K910" s="42"/>
      <c r="L910" t="str" cm="1">
        <f t="array" ref="L910">IF($K910="","",_xlfn.SWITCH($I910,"Computer",_xlfn.XLOOKUP($K910&amp;"",COMPUTER!$B$3:$B$1009&amp;"",COMPUTER!$I$3:$I$1009,""),"Display",_xlfn.XLOOKUP($K910&amp;"",DISPLAY!$B$3:$B$1000&amp;"",DISPLAY!$J$3:$J$1000,""),"Network Device",_xlfn.XLOOKUP($K910&amp;"",'NETWORK-DEVICES'!$B$3:$B$987&amp;"",'NETWORK-DEVICES'!$I$3:$I$987,""),"Peripheral",_xlfn.XLOOKUP($K910&amp;"",PERIPHERAL!$B$3:$B$954&amp;"",PERIPHERAL!$I$3:$I$954,""),"Utilities",_xlfn.XLOOKUP($K910&amp;"",UTILITIES!$B$3:$B$953&amp;"",UTILITIES!$H$3:$H$953,""),"IOT",_xlfn.XLOOKUP($K910&amp;"",IOT!$B$3:$B$1012&amp;"",IOT!$I$3:$I$1012,""),"SERVER",_xlfn.XLOOKUP($K910&amp;"",SERVER!$B$3:$B$1009&amp;"",SERVER!$I$3:$I$1009,""),""))</f>
        <v/>
      </c>
      <c r="M910" t="str" cm="1">
        <f t="array" ref="M910">IF($K910="","",_xlfn.SWITCH($I910,"Computer",_xlfn.XLOOKUP($K910&amp;"",COMPUTER!$B$3:$B$1009&amp;"",COMPUTER!$J$3:$J$1009,""),"Display",_xlfn.XLOOKUP($K910&amp;"",DISPLAY!$B$3:$B$1000&amp;"",DISPLAY!$K$3:$K$1000,""),"Network Device",_xlfn.XLOOKUP($K910&amp;"",'NETWORK-DEVICES'!$B$3:$B$987&amp;"",'NETWORK-DEVICES'!$I$3:$I$987,""),"Peripheral",_xlfn.XLOOKUP($K910&amp;"",PERIPHERAL!$B$3:$B$954&amp;"",PERIPHERAL!$J$3:$J$954,""),"Utilities",_xlfn.XLOOKUP($K910&amp;"",UTILITIES!$B$3:$B$953&amp;"",UTILITIES!$I$3:$I$953,""),"IOT",_xlfn.XLOOKUP($K910&amp;"",IOT!$B$3:$B$1012&amp;"",IOT!$J$3:$J$1012,""),"Server",_xlfn.XLOOKUP($K910&amp;"",SERVER!$B$3:$B$1009&amp;"",SERVER!$J$3:$J$1009,""),""))</f>
        <v/>
      </c>
      <c r="N910" s="1" t="str" cm="1">
        <f t="array" ref="N910">IF(OR($K910="",$I910="",$J910=""),"",_xlfn.LET(_xlpm.srcCat,_xlfn.SWITCH($I910,"Computer",_xlfn.XLOOKUP($K910&amp;"",COMPUTER!$B$3:$B$1009&amp;"",COMPUTER!$H$3:$H$1009,""),"Display",_xlfn.XLOOKUP($K910&amp;"",DISPLAY!$B$3:$B$1000&amp;"",DISPLAY!$H$3:$H$1000,""),"Network Device",_xlfn.XLOOKUP($K910&amp;"",'NETWORK-DEVICES'!$B$3:$B$987&amp;"",'NETWORK-DEVICES'!$H$3:$H$987,""),"Peripheral",_xlfn.XLOOKUP($K910&amp;"",PERIPHERAL!$B$3:$B$954&amp;"",PERIPHERAL!$H$3:$H$954,""),"Utilities",_xlfn.XLOOKUP($K910&amp;"",UTILITIES!$B$3:$B$953&amp;"",UTILITIES!$G$3:$G$953,""),"IOT",_xlfn.XLOOKUP($K910&amp;"",IOT!$B$3:$B$1012&amp;"",IOT!$H$3:$H$1012,""),"Server",_xlfn.XLOOKUP($K910&amp;"",SERVER!$B$3:$B$1009&amp;"",SERVER!$H$3:$H$1009,""),""),IF(TRIM(_xlpm.srcCat)&lt;&gt;TRIM($J910),"",_xlfn.SWITCH($I910,"Computer",_xlfn.XLOOKUP($K910&amp;"",COMPUTER!$B$3:$B$1009&amp;"",COMPUTER!$K$3:$K$1009,""),"Display",_xlfn.XLOOKUP($K910&amp;"",DISPLAY!$B$3:$B$1000&amp;"",DISPLAY!$L$3:$L$1000,""),"Network Device",_xlfn.XLOOKUP($K910&amp;"",'NETWORK-DEVICES'!$B$3:$B$987&amp;"",'NETWORK-DEVICES'!$K$3:$K$987,""),"Peripheral",_xlfn.XLOOKUP($K910&amp;"",PERIPHERAL!$B$3:$B$954&amp;"",PERIPHERAL!$K$3:$K$954,""),"Utilities",_xlfn.XLOOKUP($K910&amp;"",UTILITIES!$B$3:$B$953&amp;"",UTILITIES!$J$3:$J$953,""),"IOT",_xlfn.XLOOKUP($K910&amp;"",IOT!$B$3:$B$1012&amp;"",IOT!$K$4:$K$1012,""),"Server",_xlfn.XLOOKUP($K910&amp;"",SERVER!$B$3:$B$1009&amp;"",SERVER!$K$3:$K$1009,""),""))))</f>
        <v/>
      </c>
      <c r="O910" s="1" t="str" cm="1">
        <f t="array" ref="O910">IF(OR($K910="",$I910="",$J910=""),"",_xlfn.LET(_xlpm.srcCat,_xlfn.SWITCH($I910,"Computer",_xlfn.XLOOKUP($K910&amp;"",COMPUTER!$B$3:$B$1009&amp;"",COMPUTER!$H$3:$H$1009,""),"Display",_xlfn.XLOOKUP($K910&amp;"",DISPLAY!$B$3:$B$1000&amp;"",DISPLAY!$H$3:$H$1000,""),"Network Device",_xlfn.XLOOKUP($K910&amp;"",'NETWORK-DEVICES'!$B$3:$B$987&amp;"",'NETWORK-DEVICES'!$H$3:$H$987,""),"Peripheral",_xlfn.XLOOKUP($K910&amp;"",PERIPHERAL!$B$3:$B$954&amp;"",PERIPHERAL!$H$3:$H$954,""),"Utilities",_xlfn.XLOOKUP($K910&amp;"",UTILITIES!$B$3:$B$953&amp;"",UTILITIES!$G$3:$G$953,""),"IOT",_xlfn.XLOOKUP($K910&amp;"",IOT!$B$3:$B$1012&amp;"",IOT!$H$3:$H$1012,""),"Server",_xlfn.XLOOKUP($K910&amp;"",SERVER!$B$3:$B$1009&amp;"",SERVER!$H$3:$H$1009,""),""),IF(TRIM(_xlpm.srcCat)&lt;&gt;TRIM($J910),"",_xlfn.SWITCH($I910,"Computer",_xlfn.XLOOKUP($K910&amp;"",COMPUTER!$B$3:$B$1009&amp;"",COMPUTER!$E$3:$E$1009,""),"Display",_xlfn.XLOOKUP($K910&amp;"",DISPLAY!$B$3:$B$1000&amp;"",DISPLAY!$E$3:$E$1000,""),"Network Device",_xlfn.XLOOKUP($K910&amp;"",'NETWORK-DEVICES'!$B$3:$B$987&amp;"",'NETWORK-DEVICES'!$E$3:$E$987,""),"Peripheral",_xlfn.XLOOKUP($K910&amp;"",PERIPHERAL!$B$3:$B$954&amp;"",PERIPHERAL!$E$3:$E$954,""),"Utilities",_xlfn.XLOOKUP($K910&amp;"",UTILITIES!$B$3:$B$953&amp;"",UTILITIES!$E$3:$E$953,""),"IOT",_xlfn.XLOOKUP($K910&amp;"",IOT!$B$3:$B$1012&amp;"",IOT!$E$3:$E$1012,""),"Server",_xlfn.XLOOKUP($K910&amp;"",SERVER!$B$3:$B$1009&amp;"",SERVER!$E$3:$E$1009,""),""))))</f>
        <v/>
      </c>
      <c r="Q910" s="1" t="str" cm="1">
        <f t="array" ref="Q910">IF(OR($K910="",$I910="",$J910=""),"",_xlfn.LET(_xlpm.srcCat,_xlfn.SWITCH($I910,"Computer",_xlfn.XLOOKUP($K910&amp;"",COMPUTER!$B$3:$B$1009&amp;"",COMPUTER!$H$3:$H$1009,""),"Display",_xlfn.XLOOKUP($K910&amp;"",DISPLAY!$B$3:$B$1000&amp;"",DISPLAY!$H$3:$H$1000,""),"Network Device",_xlfn.XLOOKUP($K910&amp;"",'NETWORK-DEVICES'!$B$3:$B$987&amp;"",'NETWORK-DEVICES'!$H$3:$H$987,""),"Peripheral",_xlfn.XLOOKUP($K910&amp;"",PERIPHERAL!$B$3:$B$954&amp;"",PERIPHERAL!$H$3:$H$954,""),"Utilities",_xlfn.XLOOKUP($K910&amp;"",UTILITIES!$B$3:$B$953&amp;"",UTILITIES!$G$3:$G$953,""),"IOT",_xlfn.XLOOKUP($K910&amp;"",IOT!$B$3:$B$1012&amp;"",IOT!$H$3:$H$1012,""),"Server",_xlfn.XLOOKUP($K910&amp;"",SERVER!$B$3:$B$1009&amp;"",SERVER!$H$3:$H$1009,""),""),IF(TRIM(_xlpm.srcCat)&lt;&gt;TRIM($J910),"",_xlfn.SWITCH($I910,"Computer",_xlfn.XLOOKUP($K910&amp;"",COMPUTER!$B$3:$B$1009&amp;"",COMPUTER!$AM$3:$AM$1009,""),"Display",_xlfn.XLOOKUP($K910&amp;"",DISPLAY!$B$3:$B$1000&amp;"",DISPLAY!$V$3:$V$1000,""),"Network Device",_xlfn.XLOOKUP($K910&amp;"",'NETWORK-DEVICES'!$B$3:$B$987&amp;"",'NETWORK-DEVICES'!$AF$3:$AF$987,""),"Peripheral",_xlfn.XLOOKUP($K910&amp;"",PERIPHERAL!$B$3:$B$954&amp;"",PERIPHERAL!$Y$3:$Y$954,""),"Utilities",_xlfn.XLOOKUP($K910&amp;"",UTILITIES!$B$3:$B$953&amp;"",UTILITIES!$O$3:$O$953,""),"IOT",_xlfn.XLOOKUP($K910&amp;"",IOT!$B$3:$B$1012&amp;"",IOT!$AB$3:$AB$1012,""),"Server",_xlfn.XLOOKUP($K910&amp;"",SERVER!$B$3:$B$1009&amp;"",SERVER!$AB$3:$AB$1009,""),""))))</f>
        <v/>
      </c>
      <c r="R910" s="43" t="str">
        <f>IF(tbl_handover[[#This Row],[Asset Code]]="","",COUNTIF(tbl_handover[Asset Code],tbl_handover[[#This Row],[Asset Code]]))</f>
        <v/>
      </c>
    </row>
    <row r="911" spans="1:18" x14ac:dyDescent="0.25">
      <c r="A911" s="43" t="str">
        <f>IF(B911&lt;&gt;"",SUBTOTAL(3,$B$1:B910),"")</f>
        <v/>
      </c>
      <c r="C911" s="74"/>
      <c r="D911" s="74"/>
      <c r="G911" s="1"/>
      <c r="K911" s="42"/>
      <c r="L911" t="str" cm="1">
        <f t="array" ref="L911">IF($K911="","",_xlfn.SWITCH($I911,"Computer",_xlfn.XLOOKUP($K911&amp;"",COMPUTER!$B$3:$B$1009&amp;"",COMPUTER!$I$3:$I$1009,""),"Display",_xlfn.XLOOKUP($K911&amp;"",DISPLAY!$B$3:$B$1000&amp;"",DISPLAY!$J$3:$J$1000,""),"Network Device",_xlfn.XLOOKUP($K911&amp;"",'NETWORK-DEVICES'!$B$3:$B$987&amp;"",'NETWORK-DEVICES'!$I$3:$I$987,""),"Peripheral",_xlfn.XLOOKUP($K911&amp;"",PERIPHERAL!$B$3:$B$954&amp;"",PERIPHERAL!$I$3:$I$954,""),"Utilities",_xlfn.XLOOKUP($K911&amp;"",UTILITIES!$B$3:$B$953&amp;"",UTILITIES!$H$3:$H$953,""),"IOT",_xlfn.XLOOKUP($K911&amp;"",IOT!$B$3:$B$1012&amp;"",IOT!$I$3:$I$1012,""),"SERVER",_xlfn.XLOOKUP($K911&amp;"",SERVER!$B$3:$B$1009&amp;"",SERVER!$I$3:$I$1009,""),""))</f>
        <v/>
      </c>
      <c r="M911" t="str" cm="1">
        <f t="array" ref="M911">IF($K911="","",_xlfn.SWITCH($I911,"Computer",_xlfn.XLOOKUP($K911&amp;"",COMPUTER!$B$3:$B$1009&amp;"",COMPUTER!$J$3:$J$1009,""),"Display",_xlfn.XLOOKUP($K911&amp;"",DISPLAY!$B$3:$B$1000&amp;"",DISPLAY!$K$3:$K$1000,""),"Network Device",_xlfn.XLOOKUP($K911&amp;"",'NETWORK-DEVICES'!$B$3:$B$987&amp;"",'NETWORK-DEVICES'!$I$3:$I$987,""),"Peripheral",_xlfn.XLOOKUP($K911&amp;"",PERIPHERAL!$B$3:$B$954&amp;"",PERIPHERAL!$J$3:$J$954,""),"Utilities",_xlfn.XLOOKUP($K911&amp;"",UTILITIES!$B$3:$B$953&amp;"",UTILITIES!$I$3:$I$953,""),"IOT",_xlfn.XLOOKUP($K911&amp;"",IOT!$B$3:$B$1012&amp;"",IOT!$J$3:$J$1012,""),"Server",_xlfn.XLOOKUP($K911&amp;"",SERVER!$B$3:$B$1009&amp;"",SERVER!$J$3:$J$1009,""),""))</f>
        <v/>
      </c>
      <c r="N911" s="1" t="str" cm="1">
        <f t="array" ref="N911">IF(OR($K911="",$I911="",$J911=""),"",_xlfn.LET(_xlpm.srcCat,_xlfn.SWITCH($I911,"Computer",_xlfn.XLOOKUP($K911&amp;"",COMPUTER!$B$3:$B$1009&amp;"",COMPUTER!$H$3:$H$1009,""),"Display",_xlfn.XLOOKUP($K911&amp;"",DISPLAY!$B$3:$B$1000&amp;"",DISPLAY!$H$3:$H$1000,""),"Network Device",_xlfn.XLOOKUP($K911&amp;"",'NETWORK-DEVICES'!$B$3:$B$987&amp;"",'NETWORK-DEVICES'!$H$3:$H$987,""),"Peripheral",_xlfn.XLOOKUP($K911&amp;"",PERIPHERAL!$B$3:$B$954&amp;"",PERIPHERAL!$H$3:$H$954,""),"Utilities",_xlfn.XLOOKUP($K911&amp;"",UTILITIES!$B$3:$B$953&amp;"",UTILITIES!$G$3:$G$953,""),"IOT",_xlfn.XLOOKUP($K911&amp;"",IOT!$B$3:$B$1012&amp;"",IOT!$H$3:$H$1012,""),"Server",_xlfn.XLOOKUP($K911&amp;"",SERVER!$B$3:$B$1009&amp;"",SERVER!$H$3:$H$1009,""),""),IF(TRIM(_xlpm.srcCat)&lt;&gt;TRIM($J911),"",_xlfn.SWITCH($I911,"Computer",_xlfn.XLOOKUP($K911&amp;"",COMPUTER!$B$3:$B$1009&amp;"",COMPUTER!$K$3:$K$1009,""),"Display",_xlfn.XLOOKUP($K911&amp;"",DISPLAY!$B$3:$B$1000&amp;"",DISPLAY!$L$3:$L$1000,""),"Network Device",_xlfn.XLOOKUP($K911&amp;"",'NETWORK-DEVICES'!$B$3:$B$987&amp;"",'NETWORK-DEVICES'!$K$3:$K$987,""),"Peripheral",_xlfn.XLOOKUP($K911&amp;"",PERIPHERAL!$B$3:$B$954&amp;"",PERIPHERAL!$K$3:$K$954,""),"Utilities",_xlfn.XLOOKUP($K911&amp;"",UTILITIES!$B$3:$B$953&amp;"",UTILITIES!$J$3:$J$953,""),"IOT",_xlfn.XLOOKUP($K911&amp;"",IOT!$B$3:$B$1012&amp;"",IOT!$K$4:$K$1012,""),"Server",_xlfn.XLOOKUP($K911&amp;"",SERVER!$B$3:$B$1009&amp;"",SERVER!$K$3:$K$1009,""),""))))</f>
        <v/>
      </c>
      <c r="O911" s="1" t="str" cm="1">
        <f t="array" ref="O911">IF(OR($K911="",$I911="",$J911=""),"",_xlfn.LET(_xlpm.srcCat,_xlfn.SWITCH($I911,"Computer",_xlfn.XLOOKUP($K911&amp;"",COMPUTER!$B$3:$B$1009&amp;"",COMPUTER!$H$3:$H$1009,""),"Display",_xlfn.XLOOKUP($K911&amp;"",DISPLAY!$B$3:$B$1000&amp;"",DISPLAY!$H$3:$H$1000,""),"Network Device",_xlfn.XLOOKUP($K911&amp;"",'NETWORK-DEVICES'!$B$3:$B$987&amp;"",'NETWORK-DEVICES'!$H$3:$H$987,""),"Peripheral",_xlfn.XLOOKUP($K911&amp;"",PERIPHERAL!$B$3:$B$954&amp;"",PERIPHERAL!$H$3:$H$954,""),"Utilities",_xlfn.XLOOKUP($K911&amp;"",UTILITIES!$B$3:$B$953&amp;"",UTILITIES!$G$3:$G$953,""),"IOT",_xlfn.XLOOKUP($K911&amp;"",IOT!$B$3:$B$1012&amp;"",IOT!$H$3:$H$1012,""),"Server",_xlfn.XLOOKUP($K911&amp;"",SERVER!$B$3:$B$1009&amp;"",SERVER!$H$3:$H$1009,""),""),IF(TRIM(_xlpm.srcCat)&lt;&gt;TRIM($J911),"",_xlfn.SWITCH($I911,"Computer",_xlfn.XLOOKUP($K911&amp;"",COMPUTER!$B$3:$B$1009&amp;"",COMPUTER!$E$3:$E$1009,""),"Display",_xlfn.XLOOKUP($K911&amp;"",DISPLAY!$B$3:$B$1000&amp;"",DISPLAY!$E$3:$E$1000,""),"Network Device",_xlfn.XLOOKUP($K911&amp;"",'NETWORK-DEVICES'!$B$3:$B$987&amp;"",'NETWORK-DEVICES'!$E$3:$E$987,""),"Peripheral",_xlfn.XLOOKUP($K911&amp;"",PERIPHERAL!$B$3:$B$954&amp;"",PERIPHERAL!$E$3:$E$954,""),"Utilities",_xlfn.XLOOKUP($K911&amp;"",UTILITIES!$B$3:$B$953&amp;"",UTILITIES!$E$3:$E$953,""),"IOT",_xlfn.XLOOKUP($K911&amp;"",IOT!$B$3:$B$1012&amp;"",IOT!$E$3:$E$1012,""),"Server",_xlfn.XLOOKUP($K911&amp;"",SERVER!$B$3:$B$1009&amp;"",SERVER!$E$3:$E$1009,""),""))))</f>
        <v/>
      </c>
      <c r="Q911" s="1" t="str" cm="1">
        <f t="array" ref="Q911">IF(OR($K911="",$I911="",$J911=""),"",_xlfn.LET(_xlpm.srcCat,_xlfn.SWITCH($I911,"Computer",_xlfn.XLOOKUP($K911&amp;"",COMPUTER!$B$3:$B$1009&amp;"",COMPUTER!$H$3:$H$1009,""),"Display",_xlfn.XLOOKUP($K911&amp;"",DISPLAY!$B$3:$B$1000&amp;"",DISPLAY!$H$3:$H$1000,""),"Network Device",_xlfn.XLOOKUP($K911&amp;"",'NETWORK-DEVICES'!$B$3:$B$987&amp;"",'NETWORK-DEVICES'!$H$3:$H$987,""),"Peripheral",_xlfn.XLOOKUP($K911&amp;"",PERIPHERAL!$B$3:$B$954&amp;"",PERIPHERAL!$H$3:$H$954,""),"Utilities",_xlfn.XLOOKUP($K911&amp;"",UTILITIES!$B$3:$B$953&amp;"",UTILITIES!$G$3:$G$953,""),"IOT",_xlfn.XLOOKUP($K911&amp;"",IOT!$B$3:$B$1012&amp;"",IOT!$H$3:$H$1012,""),"Server",_xlfn.XLOOKUP($K911&amp;"",SERVER!$B$3:$B$1009&amp;"",SERVER!$H$3:$H$1009,""),""),IF(TRIM(_xlpm.srcCat)&lt;&gt;TRIM($J911),"",_xlfn.SWITCH($I911,"Computer",_xlfn.XLOOKUP($K911&amp;"",COMPUTER!$B$3:$B$1009&amp;"",COMPUTER!$AM$3:$AM$1009,""),"Display",_xlfn.XLOOKUP($K911&amp;"",DISPLAY!$B$3:$B$1000&amp;"",DISPLAY!$V$3:$V$1000,""),"Network Device",_xlfn.XLOOKUP($K911&amp;"",'NETWORK-DEVICES'!$B$3:$B$987&amp;"",'NETWORK-DEVICES'!$AF$3:$AF$987,""),"Peripheral",_xlfn.XLOOKUP($K911&amp;"",PERIPHERAL!$B$3:$B$954&amp;"",PERIPHERAL!$Y$3:$Y$954,""),"Utilities",_xlfn.XLOOKUP($K911&amp;"",UTILITIES!$B$3:$B$953&amp;"",UTILITIES!$O$3:$O$953,""),"IOT",_xlfn.XLOOKUP($K911&amp;"",IOT!$B$3:$B$1012&amp;"",IOT!$AB$3:$AB$1012,""),"Server",_xlfn.XLOOKUP($K911&amp;"",SERVER!$B$3:$B$1009&amp;"",SERVER!$AB$3:$AB$1009,""),""))))</f>
        <v/>
      </c>
      <c r="R911" s="43" t="str">
        <f>IF(tbl_handover[[#This Row],[Asset Code]]="","",COUNTIF(tbl_handover[Asset Code],tbl_handover[[#This Row],[Asset Code]]))</f>
        <v/>
      </c>
    </row>
    <row r="912" spans="1:18" x14ac:dyDescent="0.25">
      <c r="A912" s="43" t="str">
        <f>IF(B912&lt;&gt;"",SUBTOTAL(3,$B$1:B911),"")</f>
        <v/>
      </c>
      <c r="C912" s="74"/>
      <c r="D912" s="74"/>
      <c r="G912" s="1"/>
      <c r="K912" s="42"/>
      <c r="L912" t="str" cm="1">
        <f t="array" ref="L912">IF($K912="","",_xlfn.SWITCH($I912,"Computer",_xlfn.XLOOKUP($K912&amp;"",COMPUTER!$B$3:$B$1009&amp;"",COMPUTER!$I$3:$I$1009,""),"Display",_xlfn.XLOOKUP($K912&amp;"",DISPLAY!$B$3:$B$1000&amp;"",DISPLAY!$J$3:$J$1000,""),"Network Device",_xlfn.XLOOKUP($K912&amp;"",'NETWORK-DEVICES'!$B$3:$B$987&amp;"",'NETWORK-DEVICES'!$I$3:$I$987,""),"Peripheral",_xlfn.XLOOKUP($K912&amp;"",PERIPHERAL!$B$3:$B$954&amp;"",PERIPHERAL!$I$3:$I$954,""),"Utilities",_xlfn.XLOOKUP($K912&amp;"",UTILITIES!$B$3:$B$953&amp;"",UTILITIES!$H$3:$H$953,""),"IOT",_xlfn.XLOOKUP($K912&amp;"",IOT!$B$3:$B$1012&amp;"",IOT!$I$3:$I$1012,""),"SERVER",_xlfn.XLOOKUP($K912&amp;"",SERVER!$B$3:$B$1009&amp;"",SERVER!$I$3:$I$1009,""),""))</f>
        <v/>
      </c>
      <c r="M912" t="str" cm="1">
        <f t="array" ref="M912">IF($K912="","",_xlfn.SWITCH($I912,"Computer",_xlfn.XLOOKUP($K912&amp;"",COMPUTER!$B$3:$B$1009&amp;"",COMPUTER!$J$3:$J$1009,""),"Display",_xlfn.XLOOKUP($K912&amp;"",DISPLAY!$B$3:$B$1000&amp;"",DISPLAY!$K$3:$K$1000,""),"Network Device",_xlfn.XLOOKUP($K912&amp;"",'NETWORK-DEVICES'!$B$3:$B$987&amp;"",'NETWORK-DEVICES'!$I$3:$I$987,""),"Peripheral",_xlfn.XLOOKUP($K912&amp;"",PERIPHERAL!$B$3:$B$954&amp;"",PERIPHERAL!$J$3:$J$954,""),"Utilities",_xlfn.XLOOKUP($K912&amp;"",UTILITIES!$B$3:$B$953&amp;"",UTILITIES!$I$3:$I$953,""),"IOT",_xlfn.XLOOKUP($K912&amp;"",IOT!$B$3:$B$1012&amp;"",IOT!$J$3:$J$1012,""),"Server",_xlfn.XLOOKUP($K912&amp;"",SERVER!$B$3:$B$1009&amp;"",SERVER!$J$3:$J$1009,""),""))</f>
        <v/>
      </c>
      <c r="N912" s="1" t="str" cm="1">
        <f t="array" ref="N912">IF(OR($K912="",$I912="",$J912=""),"",_xlfn.LET(_xlpm.srcCat,_xlfn.SWITCH($I912,"Computer",_xlfn.XLOOKUP($K912&amp;"",COMPUTER!$B$3:$B$1009&amp;"",COMPUTER!$H$3:$H$1009,""),"Display",_xlfn.XLOOKUP($K912&amp;"",DISPLAY!$B$3:$B$1000&amp;"",DISPLAY!$H$3:$H$1000,""),"Network Device",_xlfn.XLOOKUP($K912&amp;"",'NETWORK-DEVICES'!$B$3:$B$987&amp;"",'NETWORK-DEVICES'!$H$3:$H$987,""),"Peripheral",_xlfn.XLOOKUP($K912&amp;"",PERIPHERAL!$B$3:$B$954&amp;"",PERIPHERAL!$H$3:$H$954,""),"Utilities",_xlfn.XLOOKUP($K912&amp;"",UTILITIES!$B$3:$B$953&amp;"",UTILITIES!$G$3:$G$953,""),"IOT",_xlfn.XLOOKUP($K912&amp;"",IOT!$B$3:$B$1012&amp;"",IOT!$H$3:$H$1012,""),"Server",_xlfn.XLOOKUP($K912&amp;"",SERVER!$B$3:$B$1009&amp;"",SERVER!$H$3:$H$1009,""),""),IF(TRIM(_xlpm.srcCat)&lt;&gt;TRIM($J912),"",_xlfn.SWITCH($I912,"Computer",_xlfn.XLOOKUP($K912&amp;"",COMPUTER!$B$3:$B$1009&amp;"",COMPUTER!$K$3:$K$1009,""),"Display",_xlfn.XLOOKUP($K912&amp;"",DISPLAY!$B$3:$B$1000&amp;"",DISPLAY!$L$3:$L$1000,""),"Network Device",_xlfn.XLOOKUP($K912&amp;"",'NETWORK-DEVICES'!$B$3:$B$987&amp;"",'NETWORK-DEVICES'!$K$3:$K$987,""),"Peripheral",_xlfn.XLOOKUP($K912&amp;"",PERIPHERAL!$B$3:$B$954&amp;"",PERIPHERAL!$K$3:$K$954,""),"Utilities",_xlfn.XLOOKUP($K912&amp;"",UTILITIES!$B$3:$B$953&amp;"",UTILITIES!$J$3:$J$953,""),"IOT",_xlfn.XLOOKUP($K912&amp;"",IOT!$B$3:$B$1012&amp;"",IOT!$K$4:$K$1012,""),"Server",_xlfn.XLOOKUP($K912&amp;"",SERVER!$B$3:$B$1009&amp;"",SERVER!$K$3:$K$1009,""),""))))</f>
        <v/>
      </c>
      <c r="O912" s="1" t="str" cm="1">
        <f t="array" ref="O912">IF(OR($K912="",$I912="",$J912=""),"",_xlfn.LET(_xlpm.srcCat,_xlfn.SWITCH($I912,"Computer",_xlfn.XLOOKUP($K912&amp;"",COMPUTER!$B$3:$B$1009&amp;"",COMPUTER!$H$3:$H$1009,""),"Display",_xlfn.XLOOKUP($K912&amp;"",DISPLAY!$B$3:$B$1000&amp;"",DISPLAY!$H$3:$H$1000,""),"Network Device",_xlfn.XLOOKUP($K912&amp;"",'NETWORK-DEVICES'!$B$3:$B$987&amp;"",'NETWORK-DEVICES'!$H$3:$H$987,""),"Peripheral",_xlfn.XLOOKUP($K912&amp;"",PERIPHERAL!$B$3:$B$954&amp;"",PERIPHERAL!$H$3:$H$954,""),"Utilities",_xlfn.XLOOKUP($K912&amp;"",UTILITIES!$B$3:$B$953&amp;"",UTILITIES!$G$3:$G$953,""),"IOT",_xlfn.XLOOKUP($K912&amp;"",IOT!$B$3:$B$1012&amp;"",IOT!$H$3:$H$1012,""),"Server",_xlfn.XLOOKUP($K912&amp;"",SERVER!$B$3:$B$1009&amp;"",SERVER!$H$3:$H$1009,""),""),IF(TRIM(_xlpm.srcCat)&lt;&gt;TRIM($J912),"",_xlfn.SWITCH($I912,"Computer",_xlfn.XLOOKUP($K912&amp;"",COMPUTER!$B$3:$B$1009&amp;"",COMPUTER!$E$3:$E$1009,""),"Display",_xlfn.XLOOKUP($K912&amp;"",DISPLAY!$B$3:$B$1000&amp;"",DISPLAY!$E$3:$E$1000,""),"Network Device",_xlfn.XLOOKUP($K912&amp;"",'NETWORK-DEVICES'!$B$3:$B$987&amp;"",'NETWORK-DEVICES'!$E$3:$E$987,""),"Peripheral",_xlfn.XLOOKUP($K912&amp;"",PERIPHERAL!$B$3:$B$954&amp;"",PERIPHERAL!$E$3:$E$954,""),"Utilities",_xlfn.XLOOKUP($K912&amp;"",UTILITIES!$B$3:$B$953&amp;"",UTILITIES!$E$3:$E$953,""),"IOT",_xlfn.XLOOKUP($K912&amp;"",IOT!$B$3:$B$1012&amp;"",IOT!$E$3:$E$1012,""),"Server",_xlfn.XLOOKUP($K912&amp;"",SERVER!$B$3:$B$1009&amp;"",SERVER!$E$3:$E$1009,""),""))))</f>
        <v/>
      </c>
      <c r="Q912" s="1" t="str" cm="1">
        <f t="array" ref="Q912">IF(OR($K912="",$I912="",$J912=""),"",_xlfn.LET(_xlpm.srcCat,_xlfn.SWITCH($I912,"Computer",_xlfn.XLOOKUP($K912&amp;"",COMPUTER!$B$3:$B$1009&amp;"",COMPUTER!$H$3:$H$1009,""),"Display",_xlfn.XLOOKUP($K912&amp;"",DISPLAY!$B$3:$B$1000&amp;"",DISPLAY!$H$3:$H$1000,""),"Network Device",_xlfn.XLOOKUP($K912&amp;"",'NETWORK-DEVICES'!$B$3:$B$987&amp;"",'NETWORK-DEVICES'!$H$3:$H$987,""),"Peripheral",_xlfn.XLOOKUP($K912&amp;"",PERIPHERAL!$B$3:$B$954&amp;"",PERIPHERAL!$H$3:$H$954,""),"Utilities",_xlfn.XLOOKUP($K912&amp;"",UTILITIES!$B$3:$B$953&amp;"",UTILITIES!$G$3:$G$953,""),"IOT",_xlfn.XLOOKUP($K912&amp;"",IOT!$B$3:$B$1012&amp;"",IOT!$H$3:$H$1012,""),"Server",_xlfn.XLOOKUP($K912&amp;"",SERVER!$B$3:$B$1009&amp;"",SERVER!$H$3:$H$1009,""),""),IF(TRIM(_xlpm.srcCat)&lt;&gt;TRIM($J912),"",_xlfn.SWITCH($I912,"Computer",_xlfn.XLOOKUP($K912&amp;"",COMPUTER!$B$3:$B$1009&amp;"",COMPUTER!$AM$3:$AM$1009,""),"Display",_xlfn.XLOOKUP($K912&amp;"",DISPLAY!$B$3:$B$1000&amp;"",DISPLAY!$V$3:$V$1000,""),"Network Device",_xlfn.XLOOKUP($K912&amp;"",'NETWORK-DEVICES'!$B$3:$B$987&amp;"",'NETWORK-DEVICES'!$AF$3:$AF$987,""),"Peripheral",_xlfn.XLOOKUP($K912&amp;"",PERIPHERAL!$B$3:$B$954&amp;"",PERIPHERAL!$Y$3:$Y$954,""),"Utilities",_xlfn.XLOOKUP($K912&amp;"",UTILITIES!$B$3:$B$953&amp;"",UTILITIES!$O$3:$O$953,""),"IOT",_xlfn.XLOOKUP($K912&amp;"",IOT!$B$3:$B$1012&amp;"",IOT!$AB$3:$AB$1012,""),"Server",_xlfn.XLOOKUP($K912&amp;"",SERVER!$B$3:$B$1009&amp;"",SERVER!$AB$3:$AB$1009,""),""))))</f>
        <v/>
      </c>
      <c r="R912" s="43" t="str">
        <f>IF(tbl_handover[[#This Row],[Asset Code]]="","",COUNTIF(tbl_handover[Asset Code],tbl_handover[[#This Row],[Asset Code]]))</f>
        <v/>
      </c>
    </row>
    <row r="913" spans="1:18" x14ac:dyDescent="0.25">
      <c r="A913" s="43" t="str">
        <f>IF(B913&lt;&gt;"",SUBTOTAL(3,$B$1:B912),"")</f>
        <v/>
      </c>
      <c r="C913" s="74"/>
      <c r="D913" s="74"/>
      <c r="G913" s="1"/>
      <c r="K913" s="42"/>
      <c r="L913" t="str" cm="1">
        <f t="array" ref="L913">IF($K913="","",_xlfn.SWITCH($I913,"Computer",_xlfn.XLOOKUP($K913&amp;"",COMPUTER!$B$3:$B$1009&amp;"",COMPUTER!$I$3:$I$1009,""),"Display",_xlfn.XLOOKUP($K913&amp;"",DISPLAY!$B$3:$B$1000&amp;"",DISPLAY!$J$3:$J$1000,""),"Network Device",_xlfn.XLOOKUP($K913&amp;"",'NETWORK-DEVICES'!$B$3:$B$987&amp;"",'NETWORK-DEVICES'!$I$3:$I$987,""),"Peripheral",_xlfn.XLOOKUP($K913&amp;"",PERIPHERAL!$B$3:$B$954&amp;"",PERIPHERAL!$I$3:$I$954,""),"Utilities",_xlfn.XLOOKUP($K913&amp;"",UTILITIES!$B$3:$B$953&amp;"",UTILITIES!$H$3:$H$953,""),"IOT",_xlfn.XLOOKUP($K913&amp;"",IOT!$B$3:$B$1012&amp;"",IOT!$I$3:$I$1012,""),"SERVER",_xlfn.XLOOKUP($K913&amp;"",SERVER!$B$3:$B$1009&amp;"",SERVER!$I$3:$I$1009,""),""))</f>
        <v/>
      </c>
      <c r="M913" t="str" cm="1">
        <f t="array" ref="M913">IF($K913="","",_xlfn.SWITCH($I913,"Computer",_xlfn.XLOOKUP($K913&amp;"",COMPUTER!$B$3:$B$1009&amp;"",COMPUTER!$J$3:$J$1009,""),"Display",_xlfn.XLOOKUP($K913&amp;"",DISPLAY!$B$3:$B$1000&amp;"",DISPLAY!$K$3:$K$1000,""),"Network Device",_xlfn.XLOOKUP($K913&amp;"",'NETWORK-DEVICES'!$B$3:$B$987&amp;"",'NETWORK-DEVICES'!$I$3:$I$987,""),"Peripheral",_xlfn.XLOOKUP($K913&amp;"",PERIPHERAL!$B$3:$B$954&amp;"",PERIPHERAL!$J$3:$J$954,""),"Utilities",_xlfn.XLOOKUP($K913&amp;"",UTILITIES!$B$3:$B$953&amp;"",UTILITIES!$I$3:$I$953,""),"IOT",_xlfn.XLOOKUP($K913&amp;"",IOT!$B$3:$B$1012&amp;"",IOT!$J$3:$J$1012,""),"Server",_xlfn.XLOOKUP($K913&amp;"",SERVER!$B$3:$B$1009&amp;"",SERVER!$J$3:$J$1009,""),""))</f>
        <v/>
      </c>
      <c r="N913" s="1" t="str" cm="1">
        <f t="array" ref="N913">IF(OR($K913="",$I913="",$J913=""),"",_xlfn.LET(_xlpm.srcCat,_xlfn.SWITCH($I913,"Computer",_xlfn.XLOOKUP($K913&amp;"",COMPUTER!$B$3:$B$1009&amp;"",COMPUTER!$H$3:$H$1009,""),"Display",_xlfn.XLOOKUP($K913&amp;"",DISPLAY!$B$3:$B$1000&amp;"",DISPLAY!$H$3:$H$1000,""),"Network Device",_xlfn.XLOOKUP($K913&amp;"",'NETWORK-DEVICES'!$B$3:$B$987&amp;"",'NETWORK-DEVICES'!$H$3:$H$987,""),"Peripheral",_xlfn.XLOOKUP($K913&amp;"",PERIPHERAL!$B$3:$B$954&amp;"",PERIPHERAL!$H$3:$H$954,""),"Utilities",_xlfn.XLOOKUP($K913&amp;"",UTILITIES!$B$3:$B$953&amp;"",UTILITIES!$G$3:$G$953,""),"IOT",_xlfn.XLOOKUP($K913&amp;"",IOT!$B$3:$B$1012&amp;"",IOT!$H$3:$H$1012,""),"Server",_xlfn.XLOOKUP($K913&amp;"",SERVER!$B$3:$B$1009&amp;"",SERVER!$H$3:$H$1009,""),""),IF(TRIM(_xlpm.srcCat)&lt;&gt;TRIM($J913),"",_xlfn.SWITCH($I913,"Computer",_xlfn.XLOOKUP($K913&amp;"",COMPUTER!$B$3:$B$1009&amp;"",COMPUTER!$K$3:$K$1009,""),"Display",_xlfn.XLOOKUP($K913&amp;"",DISPLAY!$B$3:$B$1000&amp;"",DISPLAY!$L$3:$L$1000,""),"Network Device",_xlfn.XLOOKUP($K913&amp;"",'NETWORK-DEVICES'!$B$3:$B$987&amp;"",'NETWORK-DEVICES'!$K$3:$K$987,""),"Peripheral",_xlfn.XLOOKUP($K913&amp;"",PERIPHERAL!$B$3:$B$954&amp;"",PERIPHERAL!$K$3:$K$954,""),"Utilities",_xlfn.XLOOKUP($K913&amp;"",UTILITIES!$B$3:$B$953&amp;"",UTILITIES!$J$3:$J$953,""),"IOT",_xlfn.XLOOKUP($K913&amp;"",IOT!$B$3:$B$1012&amp;"",IOT!$K$4:$K$1012,""),"Server",_xlfn.XLOOKUP($K913&amp;"",SERVER!$B$3:$B$1009&amp;"",SERVER!$K$3:$K$1009,""),""))))</f>
        <v/>
      </c>
      <c r="O913" s="1" t="str" cm="1">
        <f t="array" ref="O913">IF(OR($K913="",$I913="",$J913=""),"",_xlfn.LET(_xlpm.srcCat,_xlfn.SWITCH($I913,"Computer",_xlfn.XLOOKUP($K913&amp;"",COMPUTER!$B$3:$B$1009&amp;"",COMPUTER!$H$3:$H$1009,""),"Display",_xlfn.XLOOKUP($K913&amp;"",DISPLAY!$B$3:$B$1000&amp;"",DISPLAY!$H$3:$H$1000,""),"Network Device",_xlfn.XLOOKUP($K913&amp;"",'NETWORK-DEVICES'!$B$3:$B$987&amp;"",'NETWORK-DEVICES'!$H$3:$H$987,""),"Peripheral",_xlfn.XLOOKUP($K913&amp;"",PERIPHERAL!$B$3:$B$954&amp;"",PERIPHERAL!$H$3:$H$954,""),"Utilities",_xlfn.XLOOKUP($K913&amp;"",UTILITIES!$B$3:$B$953&amp;"",UTILITIES!$G$3:$G$953,""),"IOT",_xlfn.XLOOKUP($K913&amp;"",IOT!$B$3:$B$1012&amp;"",IOT!$H$3:$H$1012,""),"Server",_xlfn.XLOOKUP($K913&amp;"",SERVER!$B$3:$B$1009&amp;"",SERVER!$H$3:$H$1009,""),""),IF(TRIM(_xlpm.srcCat)&lt;&gt;TRIM($J913),"",_xlfn.SWITCH($I913,"Computer",_xlfn.XLOOKUP($K913&amp;"",COMPUTER!$B$3:$B$1009&amp;"",COMPUTER!$E$3:$E$1009,""),"Display",_xlfn.XLOOKUP($K913&amp;"",DISPLAY!$B$3:$B$1000&amp;"",DISPLAY!$E$3:$E$1000,""),"Network Device",_xlfn.XLOOKUP($K913&amp;"",'NETWORK-DEVICES'!$B$3:$B$987&amp;"",'NETWORK-DEVICES'!$E$3:$E$987,""),"Peripheral",_xlfn.XLOOKUP($K913&amp;"",PERIPHERAL!$B$3:$B$954&amp;"",PERIPHERAL!$E$3:$E$954,""),"Utilities",_xlfn.XLOOKUP($K913&amp;"",UTILITIES!$B$3:$B$953&amp;"",UTILITIES!$E$3:$E$953,""),"IOT",_xlfn.XLOOKUP($K913&amp;"",IOT!$B$3:$B$1012&amp;"",IOT!$E$3:$E$1012,""),"Server",_xlfn.XLOOKUP($K913&amp;"",SERVER!$B$3:$B$1009&amp;"",SERVER!$E$3:$E$1009,""),""))))</f>
        <v/>
      </c>
      <c r="Q913" s="1" t="str" cm="1">
        <f t="array" ref="Q913">IF(OR($K913="",$I913="",$J913=""),"",_xlfn.LET(_xlpm.srcCat,_xlfn.SWITCH($I913,"Computer",_xlfn.XLOOKUP($K913&amp;"",COMPUTER!$B$3:$B$1009&amp;"",COMPUTER!$H$3:$H$1009,""),"Display",_xlfn.XLOOKUP($K913&amp;"",DISPLAY!$B$3:$B$1000&amp;"",DISPLAY!$H$3:$H$1000,""),"Network Device",_xlfn.XLOOKUP($K913&amp;"",'NETWORK-DEVICES'!$B$3:$B$987&amp;"",'NETWORK-DEVICES'!$H$3:$H$987,""),"Peripheral",_xlfn.XLOOKUP($K913&amp;"",PERIPHERAL!$B$3:$B$954&amp;"",PERIPHERAL!$H$3:$H$954,""),"Utilities",_xlfn.XLOOKUP($K913&amp;"",UTILITIES!$B$3:$B$953&amp;"",UTILITIES!$G$3:$G$953,""),"IOT",_xlfn.XLOOKUP($K913&amp;"",IOT!$B$3:$B$1012&amp;"",IOT!$H$3:$H$1012,""),"Server",_xlfn.XLOOKUP($K913&amp;"",SERVER!$B$3:$B$1009&amp;"",SERVER!$H$3:$H$1009,""),""),IF(TRIM(_xlpm.srcCat)&lt;&gt;TRIM($J913),"",_xlfn.SWITCH($I913,"Computer",_xlfn.XLOOKUP($K913&amp;"",COMPUTER!$B$3:$B$1009&amp;"",COMPUTER!$AM$3:$AM$1009,""),"Display",_xlfn.XLOOKUP($K913&amp;"",DISPLAY!$B$3:$B$1000&amp;"",DISPLAY!$V$3:$V$1000,""),"Network Device",_xlfn.XLOOKUP($K913&amp;"",'NETWORK-DEVICES'!$B$3:$B$987&amp;"",'NETWORK-DEVICES'!$AF$3:$AF$987,""),"Peripheral",_xlfn.XLOOKUP($K913&amp;"",PERIPHERAL!$B$3:$B$954&amp;"",PERIPHERAL!$Y$3:$Y$954,""),"Utilities",_xlfn.XLOOKUP($K913&amp;"",UTILITIES!$B$3:$B$953&amp;"",UTILITIES!$O$3:$O$953,""),"IOT",_xlfn.XLOOKUP($K913&amp;"",IOT!$B$3:$B$1012&amp;"",IOT!$AB$3:$AB$1012,""),"Server",_xlfn.XLOOKUP($K913&amp;"",SERVER!$B$3:$B$1009&amp;"",SERVER!$AB$3:$AB$1009,""),""))))</f>
        <v/>
      </c>
      <c r="R913" s="43" t="str">
        <f>IF(tbl_handover[[#This Row],[Asset Code]]="","",COUNTIF(tbl_handover[Asset Code],tbl_handover[[#This Row],[Asset Code]]))</f>
        <v/>
      </c>
    </row>
    <row r="914" spans="1:18" x14ac:dyDescent="0.25">
      <c r="A914" s="43" t="str">
        <f>IF(B914&lt;&gt;"",SUBTOTAL(3,$B$1:B913),"")</f>
        <v/>
      </c>
      <c r="C914" s="74"/>
      <c r="D914" s="74"/>
      <c r="G914" s="1"/>
      <c r="K914" s="42"/>
      <c r="L914" t="str" cm="1">
        <f t="array" ref="L914">IF($K914="","",_xlfn.SWITCH($I914,"Computer",_xlfn.XLOOKUP($K914&amp;"",COMPUTER!$B$3:$B$1009&amp;"",COMPUTER!$I$3:$I$1009,""),"Display",_xlfn.XLOOKUP($K914&amp;"",DISPLAY!$B$3:$B$1000&amp;"",DISPLAY!$J$3:$J$1000,""),"Network Device",_xlfn.XLOOKUP($K914&amp;"",'NETWORK-DEVICES'!$B$3:$B$987&amp;"",'NETWORK-DEVICES'!$I$3:$I$987,""),"Peripheral",_xlfn.XLOOKUP($K914&amp;"",PERIPHERAL!$B$3:$B$954&amp;"",PERIPHERAL!$I$3:$I$954,""),"Utilities",_xlfn.XLOOKUP($K914&amp;"",UTILITIES!$B$3:$B$953&amp;"",UTILITIES!$H$3:$H$953,""),"IOT",_xlfn.XLOOKUP($K914&amp;"",IOT!$B$3:$B$1012&amp;"",IOT!$I$3:$I$1012,""),"SERVER",_xlfn.XLOOKUP($K914&amp;"",SERVER!$B$3:$B$1009&amp;"",SERVER!$I$3:$I$1009,""),""))</f>
        <v/>
      </c>
      <c r="M914" t="str" cm="1">
        <f t="array" ref="M914">IF($K914="","",_xlfn.SWITCH($I914,"Computer",_xlfn.XLOOKUP($K914&amp;"",COMPUTER!$B$3:$B$1009&amp;"",COMPUTER!$J$3:$J$1009,""),"Display",_xlfn.XLOOKUP($K914&amp;"",DISPLAY!$B$3:$B$1000&amp;"",DISPLAY!$K$3:$K$1000,""),"Network Device",_xlfn.XLOOKUP($K914&amp;"",'NETWORK-DEVICES'!$B$3:$B$987&amp;"",'NETWORK-DEVICES'!$I$3:$I$987,""),"Peripheral",_xlfn.XLOOKUP($K914&amp;"",PERIPHERAL!$B$3:$B$954&amp;"",PERIPHERAL!$J$3:$J$954,""),"Utilities",_xlfn.XLOOKUP($K914&amp;"",UTILITIES!$B$3:$B$953&amp;"",UTILITIES!$I$3:$I$953,""),"IOT",_xlfn.XLOOKUP($K914&amp;"",IOT!$B$3:$B$1012&amp;"",IOT!$J$3:$J$1012,""),"Server",_xlfn.XLOOKUP($K914&amp;"",SERVER!$B$3:$B$1009&amp;"",SERVER!$J$3:$J$1009,""),""))</f>
        <v/>
      </c>
      <c r="N914" s="1" t="str" cm="1">
        <f t="array" ref="N914">IF(OR($K914="",$I914="",$J914=""),"",_xlfn.LET(_xlpm.srcCat,_xlfn.SWITCH($I914,"Computer",_xlfn.XLOOKUP($K914&amp;"",COMPUTER!$B$3:$B$1009&amp;"",COMPUTER!$H$3:$H$1009,""),"Display",_xlfn.XLOOKUP($K914&amp;"",DISPLAY!$B$3:$B$1000&amp;"",DISPLAY!$H$3:$H$1000,""),"Network Device",_xlfn.XLOOKUP($K914&amp;"",'NETWORK-DEVICES'!$B$3:$B$987&amp;"",'NETWORK-DEVICES'!$H$3:$H$987,""),"Peripheral",_xlfn.XLOOKUP($K914&amp;"",PERIPHERAL!$B$3:$B$954&amp;"",PERIPHERAL!$H$3:$H$954,""),"Utilities",_xlfn.XLOOKUP($K914&amp;"",UTILITIES!$B$3:$B$953&amp;"",UTILITIES!$G$3:$G$953,""),"IOT",_xlfn.XLOOKUP($K914&amp;"",IOT!$B$3:$B$1012&amp;"",IOT!$H$3:$H$1012,""),"Server",_xlfn.XLOOKUP($K914&amp;"",SERVER!$B$3:$B$1009&amp;"",SERVER!$H$3:$H$1009,""),""),IF(TRIM(_xlpm.srcCat)&lt;&gt;TRIM($J914),"",_xlfn.SWITCH($I914,"Computer",_xlfn.XLOOKUP($K914&amp;"",COMPUTER!$B$3:$B$1009&amp;"",COMPUTER!$K$3:$K$1009,""),"Display",_xlfn.XLOOKUP($K914&amp;"",DISPLAY!$B$3:$B$1000&amp;"",DISPLAY!$L$3:$L$1000,""),"Network Device",_xlfn.XLOOKUP($K914&amp;"",'NETWORK-DEVICES'!$B$3:$B$987&amp;"",'NETWORK-DEVICES'!$K$3:$K$987,""),"Peripheral",_xlfn.XLOOKUP($K914&amp;"",PERIPHERAL!$B$3:$B$954&amp;"",PERIPHERAL!$K$3:$K$954,""),"Utilities",_xlfn.XLOOKUP($K914&amp;"",UTILITIES!$B$3:$B$953&amp;"",UTILITIES!$J$3:$J$953,""),"IOT",_xlfn.XLOOKUP($K914&amp;"",IOT!$B$3:$B$1012&amp;"",IOT!$K$4:$K$1012,""),"Server",_xlfn.XLOOKUP($K914&amp;"",SERVER!$B$3:$B$1009&amp;"",SERVER!$K$3:$K$1009,""),""))))</f>
        <v/>
      </c>
      <c r="O914" s="1" t="str" cm="1">
        <f t="array" ref="O914">IF(OR($K914="",$I914="",$J914=""),"",_xlfn.LET(_xlpm.srcCat,_xlfn.SWITCH($I914,"Computer",_xlfn.XLOOKUP($K914&amp;"",COMPUTER!$B$3:$B$1009&amp;"",COMPUTER!$H$3:$H$1009,""),"Display",_xlfn.XLOOKUP($K914&amp;"",DISPLAY!$B$3:$B$1000&amp;"",DISPLAY!$H$3:$H$1000,""),"Network Device",_xlfn.XLOOKUP($K914&amp;"",'NETWORK-DEVICES'!$B$3:$B$987&amp;"",'NETWORK-DEVICES'!$H$3:$H$987,""),"Peripheral",_xlfn.XLOOKUP($K914&amp;"",PERIPHERAL!$B$3:$B$954&amp;"",PERIPHERAL!$H$3:$H$954,""),"Utilities",_xlfn.XLOOKUP($K914&amp;"",UTILITIES!$B$3:$B$953&amp;"",UTILITIES!$G$3:$G$953,""),"IOT",_xlfn.XLOOKUP($K914&amp;"",IOT!$B$3:$B$1012&amp;"",IOT!$H$3:$H$1012,""),"Server",_xlfn.XLOOKUP($K914&amp;"",SERVER!$B$3:$B$1009&amp;"",SERVER!$H$3:$H$1009,""),""),IF(TRIM(_xlpm.srcCat)&lt;&gt;TRIM($J914),"",_xlfn.SWITCH($I914,"Computer",_xlfn.XLOOKUP($K914&amp;"",COMPUTER!$B$3:$B$1009&amp;"",COMPUTER!$E$3:$E$1009,""),"Display",_xlfn.XLOOKUP($K914&amp;"",DISPLAY!$B$3:$B$1000&amp;"",DISPLAY!$E$3:$E$1000,""),"Network Device",_xlfn.XLOOKUP($K914&amp;"",'NETWORK-DEVICES'!$B$3:$B$987&amp;"",'NETWORK-DEVICES'!$E$3:$E$987,""),"Peripheral",_xlfn.XLOOKUP($K914&amp;"",PERIPHERAL!$B$3:$B$954&amp;"",PERIPHERAL!$E$3:$E$954,""),"Utilities",_xlfn.XLOOKUP($K914&amp;"",UTILITIES!$B$3:$B$953&amp;"",UTILITIES!$E$3:$E$953,""),"IOT",_xlfn.XLOOKUP($K914&amp;"",IOT!$B$3:$B$1012&amp;"",IOT!$E$3:$E$1012,""),"Server",_xlfn.XLOOKUP($K914&amp;"",SERVER!$B$3:$B$1009&amp;"",SERVER!$E$3:$E$1009,""),""))))</f>
        <v/>
      </c>
      <c r="Q914" s="1" t="str" cm="1">
        <f t="array" ref="Q914">IF(OR($K914="",$I914="",$J914=""),"",_xlfn.LET(_xlpm.srcCat,_xlfn.SWITCH($I914,"Computer",_xlfn.XLOOKUP($K914&amp;"",COMPUTER!$B$3:$B$1009&amp;"",COMPUTER!$H$3:$H$1009,""),"Display",_xlfn.XLOOKUP($K914&amp;"",DISPLAY!$B$3:$B$1000&amp;"",DISPLAY!$H$3:$H$1000,""),"Network Device",_xlfn.XLOOKUP($K914&amp;"",'NETWORK-DEVICES'!$B$3:$B$987&amp;"",'NETWORK-DEVICES'!$H$3:$H$987,""),"Peripheral",_xlfn.XLOOKUP($K914&amp;"",PERIPHERAL!$B$3:$B$954&amp;"",PERIPHERAL!$H$3:$H$954,""),"Utilities",_xlfn.XLOOKUP($K914&amp;"",UTILITIES!$B$3:$B$953&amp;"",UTILITIES!$G$3:$G$953,""),"IOT",_xlfn.XLOOKUP($K914&amp;"",IOT!$B$3:$B$1012&amp;"",IOT!$H$3:$H$1012,""),"Server",_xlfn.XLOOKUP($K914&amp;"",SERVER!$B$3:$B$1009&amp;"",SERVER!$H$3:$H$1009,""),""),IF(TRIM(_xlpm.srcCat)&lt;&gt;TRIM($J914),"",_xlfn.SWITCH($I914,"Computer",_xlfn.XLOOKUP($K914&amp;"",COMPUTER!$B$3:$B$1009&amp;"",COMPUTER!$AM$3:$AM$1009,""),"Display",_xlfn.XLOOKUP($K914&amp;"",DISPLAY!$B$3:$B$1000&amp;"",DISPLAY!$V$3:$V$1000,""),"Network Device",_xlfn.XLOOKUP($K914&amp;"",'NETWORK-DEVICES'!$B$3:$B$987&amp;"",'NETWORK-DEVICES'!$AF$3:$AF$987,""),"Peripheral",_xlfn.XLOOKUP($K914&amp;"",PERIPHERAL!$B$3:$B$954&amp;"",PERIPHERAL!$Y$3:$Y$954,""),"Utilities",_xlfn.XLOOKUP($K914&amp;"",UTILITIES!$B$3:$B$953&amp;"",UTILITIES!$O$3:$O$953,""),"IOT",_xlfn.XLOOKUP($K914&amp;"",IOT!$B$3:$B$1012&amp;"",IOT!$AB$3:$AB$1012,""),"Server",_xlfn.XLOOKUP($K914&amp;"",SERVER!$B$3:$B$1009&amp;"",SERVER!$AB$3:$AB$1009,""),""))))</f>
        <v/>
      </c>
      <c r="R914" s="43" t="str">
        <f>IF(tbl_handover[[#This Row],[Asset Code]]="","",COUNTIF(tbl_handover[Asset Code],tbl_handover[[#This Row],[Asset Code]]))</f>
        <v/>
      </c>
    </row>
    <row r="915" spans="1:18" x14ac:dyDescent="0.25">
      <c r="A915" s="43" t="str">
        <f>IF(B915&lt;&gt;"",SUBTOTAL(3,$B$1:B914),"")</f>
        <v/>
      </c>
      <c r="C915" s="74"/>
      <c r="D915" s="74"/>
      <c r="G915" s="1"/>
      <c r="K915" s="42"/>
      <c r="L915" t="str" cm="1">
        <f t="array" ref="L915">IF($K915="","",_xlfn.SWITCH($I915,"Computer",_xlfn.XLOOKUP($K915&amp;"",COMPUTER!$B$3:$B$1009&amp;"",COMPUTER!$I$3:$I$1009,""),"Display",_xlfn.XLOOKUP($K915&amp;"",DISPLAY!$B$3:$B$1000&amp;"",DISPLAY!$J$3:$J$1000,""),"Network Device",_xlfn.XLOOKUP($K915&amp;"",'NETWORK-DEVICES'!$B$3:$B$987&amp;"",'NETWORK-DEVICES'!$I$3:$I$987,""),"Peripheral",_xlfn.XLOOKUP($K915&amp;"",PERIPHERAL!$B$3:$B$954&amp;"",PERIPHERAL!$I$3:$I$954,""),"Utilities",_xlfn.XLOOKUP($K915&amp;"",UTILITIES!$B$3:$B$953&amp;"",UTILITIES!$H$3:$H$953,""),"IOT",_xlfn.XLOOKUP($K915&amp;"",IOT!$B$3:$B$1012&amp;"",IOT!$I$3:$I$1012,""),"SERVER",_xlfn.XLOOKUP($K915&amp;"",SERVER!$B$3:$B$1009&amp;"",SERVER!$I$3:$I$1009,""),""))</f>
        <v/>
      </c>
      <c r="M915" t="str" cm="1">
        <f t="array" ref="M915">IF($K915="","",_xlfn.SWITCH($I915,"Computer",_xlfn.XLOOKUP($K915&amp;"",COMPUTER!$B$3:$B$1009&amp;"",COMPUTER!$J$3:$J$1009,""),"Display",_xlfn.XLOOKUP($K915&amp;"",DISPLAY!$B$3:$B$1000&amp;"",DISPLAY!$K$3:$K$1000,""),"Network Device",_xlfn.XLOOKUP($K915&amp;"",'NETWORK-DEVICES'!$B$3:$B$987&amp;"",'NETWORK-DEVICES'!$I$3:$I$987,""),"Peripheral",_xlfn.XLOOKUP($K915&amp;"",PERIPHERAL!$B$3:$B$954&amp;"",PERIPHERAL!$J$3:$J$954,""),"Utilities",_xlfn.XLOOKUP($K915&amp;"",UTILITIES!$B$3:$B$953&amp;"",UTILITIES!$I$3:$I$953,""),"IOT",_xlfn.XLOOKUP($K915&amp;"",IOT!$B$3:$B$1012&amp;"",IOT!$J$3:$J$1012,""),"Server",_xlfn.XLOOKUP($K915&amp;"",SERVER!$B$3:$B$1009&amp;"",SERVER!$J$3:$J$1009,""),""))</f>
        <v/>
      </c>
      <c r="N915" s="1" t="str" cm="1">
        <f t="array" ref="N915">IF(OR($K915="",$I915="",$J915=""),"",_xlfn.LET(_xlpm.srcCat,_xlfn.SWITCH($I915,"Computer",_xlfn.XLOOKUP($K915&amp;"",COMPUTER!$B$3:$B$1009&amp;"",COMPUTER!$H$3:$H$1009,""),"Display",_xlfn.XLOOKUP($K915&amp;"",DISPLAY!$B$3:$B$1000&amp;"",DISPLAY!$H$3:$H$1000,""),"Network Device",_xlfn.XLOOKUP($K915&amp;"",'NETWORK-DEVICES'!$B$3:$B$987&amp;"",'NETWORK-DEVICES'!$H$3:$H$987,""),"Peripheral",_xlfn.XLOOKUP($K915&amp;"",PERIPHERAL!$B$3:$B$954&amp;"",PERIPHERAL!$H$3:$H$954,""),"Utilities",_xlfn.XLOOKUP($K915&amp;"",UTILITIES!$B$3:$B$953&amp;"",UTILITIES!$G$3:$G$953,""),"IOT",_xlfn.XLOOKUP($K915&amp;"",IOT!$B$3:$B$1012&amp;"",IOT!$H$3:$H$1012,""),"Server",_xlfn.XLOOKUP($K915&amp;"",SERVER!$B$3:$B$1009&amp;"",SERVER!$H$3:$H$1009,""),""),IF(TRIM(_xlpm.srcCat)&lt;&gt;TRIM($J915),"",_xlfn.SWITCH($I915,"Computer",_xlfn.XLOOKUP($K915&amp;"",COMPUTER!$B$3:$B$1009&amp;"",COMPUTER!$K$3:$K$1009,""),"Display",_xlfn.XLOOKUP($K915&amp;"",DISPLAY!$B$3:$B$1000&amp;"",DISPLAY!$L$3:$L$1000,""),"Network Device",_xlfn.XLOOKUP($K915&amp;"",'NETWORK-DEVICES'!$B$3:$B$987&amp;"",'NETWORK-DEVICES'!$K$3:$K$987,""),"Peripheral",_xlfn.XLOOKUP($K915&amp;"",PERIPHERAL!$B$3:$B$954&amp;"",PERIPHERAL!$K$3:$K$954,""),"Utilities",_xlfn.XLOOKUP($K915&amp;"",UTILITIES!$B$3:$B$953&amp;"",UTILITIES!$J$3:$J$953,""),"IOT",_xlfn.XLOOKUP($K915&amp;"",IOT!$B$3:$B$1012&amp;"",IOT!$K$4:$K$1012,""),"Server",_xlfn.XLOOKUP($K915&amp;"",SERVER!$B$3:$B$1009&amp;"",SERVER!$K$3:$K$1009,""),""))))</f>
        <v/>
      </c>
      <c r="O915" s="1" t="str" cm="1">
        <f t="array" ref="O915">IF(OR($K915="",$I915="",$J915=""),"",_xlfn.LET(_xlpm.srcCat,_xlfn.SWITCH($I915,"Computer",_xlfn.XLOOKUP($K915&amp;"",COMPUTER!$B$3:$B$1009&amp;"",COMPUTER!$H$3:$H$1009,""),"Display",_xlfn.XLOOKUP($K915&amp;"",DISPLAY!$B$3:$B$1000&amp;"",DISPLAY!$H$3:$H$1000,""),"Network Device",_xlfn.XLOOKUP($K915&amp;"",'NETWORK-DEVICES'!$B$3:$B$987&amp;"",'NETWORK-DEVICES'!$H$3:$H$987,""),"Peripheral",_xlfn.XLOOKUP($K915&amp;"",PERIPHERAL!$B$3:$B$954&amp;"",PERIPHERAL!$H$3:$H$954,""),"Utilities",_xlfn.XLOOKUP($K915&amp;"",UTILITIES!$B$3:$B$953&amp;"",UTILITIES!$G$3:$G$953,""),"IOT",_xlfn.XLOOKUP($K915&amp;"",IOT!$B$3:$B$1012&amp;"",IOT!$H$3:$H$1012,""),"Server",_xlfn.XLOOKUP($K915&amp;"",SERVER!$B$3:$B$1009&amp;"",SERVER!$H$3:$H$1009,""),""),IF(TRIM(_xlpm.srcCat)&lt;&gt;TRIM($J915),"",_xlfn.SWITCH($I915,"Computer",_xlfn.XLOOKUP($K915&amp;"",COMPUTER!$B$3:$B$1009&amp;"",COMPUTER!$E$3:$E$1009,""),"Display",_xlfn.XLOOKUP($K915&amp;"",DISPLAY!$B$3:$B$1000&amp;"",DISPLAY!$E$3:$E$1000,""),"Network Device",_xlfn.XLOOKUP($K915&amp;"",'NETWORK-DEVICES'!$B$3:$B$987&amp;"",'NETWORK-DEVICES'!$E$3:$E$987,""),"Peripheral",_xlfn.XLOOKUP($K915&amp;"",PERIPHERAL!$B$3:$B$954&amp;"",PERIPHERAL!$E$3:$E$954,""),"Utilities",_xlfn.XLOOKUP($K915&amp;"",UTILITIES!$B$3:$B$953&amp;"",UTILITIES!$E$3:$E$953,""),"IOT",_xlfn.XLOOKUP($K915&amp;"",IOT!$B$3:$B$1012&amp;"",IOT!$E$3:$E$1012,""),"Server",_xlfn.XLOOKUP($K915&amp;"",SERVER!$B$3:$B$1009&amp;"",SERVER!$E$3:$E$1009,""),""))))</f>
        <v/>
      </c>
      <c r="Q915" s="1" t="str" cm="1">
        <f t="array" ref="Q915">IF(OR($K915="",$I915="",$J915=""),"",_xlfn.LET(_xlpm.srcCat,_xlfn.SWITCH($I915,"Computer",_xlfn.XLOOKUP($K915&amp;"",COMPUTER!$B$3:$B$1009&amp;"",COMPUTER!$H$3:$H$1009,""),"Display",_xlfn.XLOOKUP($K915&amp;"",DISPLAY!$B$3:$B$1000&amp;"",DISPLAY!$H$3:$H$1000,""),"Network Device",_xlfn.XLOOKUP($K915&amp;"",'NETWORK-DEVICES'!$B$3:$B$987&amp;"",'NETWORK-DEVICES'!$H$3:$H$987,""),"Peripheral",_xlfn.XLOOKUP($K915&amp;"",PERIPHERAL!$B$3:$B$954&amp;"",PERIPHERAL!$H$3:$H$954,""),"Utilities",_xlfn.XLOOKUP($K915&amp;"",UTILITIES!$B$3:$B$953&amp;"",UTILITIES!$G$3:$G$953,""),"IOT",_xlfn.XLOOKUP($K915&amp;"",IOT!$B$3:$B$1012&amp;"",IOT!$H$3:$H$1012,""),"Server",_xlfn.XLOOKUP($K915&amp;"",SERVER!$B$3:$B$1009&amp;"",SERVER!$H$3:$H$1009,""),""),IF(TRIM(_xlpm.srcCat)&lt;&gt;TRIM($J915),"",_xlfn.SWITCH($I915,"Computer",_xlfn.XLOOKUP($K915&amp;"",COMPUTER!$B$3:$B$1009&amp;"",COMPUTER!$AM$3:$AM$1009,""),"Display",_xlfn.XLOOKUP($K915&amp;"",DISPLAY!$B$3:$B$1000&amp;"",DISPLAY!$V$3:$V$1000,""),"Network Device",_xlfn.XLOOKUP($K915&amp;"",'NETWORK-DEVICES'!$B$3:$B$987&amp;"",'NETWORK-DEVICES'!$AF$3:$AF$987,""),"Peripheral",_xlfn.XLOOKUP($K915&amp;"",PERIPHERAL!$B$3:$B$954&amp;"",PERIPHERAL!$Y$3:$Y$954,""),"Utilities",_xlfn.XLOOKUP($K915&amp;"",UTILITIES!$B$3:$B$953&amp;"",UTILITIES!$O$3:$O$953,""),"IOT",_xlfn.XLOOKUP($K915&amp;"",IOT!$B$3:$B$1012&amp;"",IOT!$AB$3:$AB$1012,""),"Server",_xlfn.XLOOKUP($K915&amp;"",SERVER!$B$3:$B$1009&amp;"",SERVER!$AB$3:$AB$1009,""),""))))</f>
        <v/>
      </c>
      <c r="R915" s="43" t="str">
        <f>IF(tbl_handover[[#This Row],[Asset Code]]="","",COUNTIF(tbl_handover[Asset Code],tbl_handover[[#This Row],[Asset Code]]))</f>
        <v/>
      </c>
    </row>
    <row r="916" spans="1:18" x14ac:dyDescent="0.25">
      <c r="A916" s="43" t="str">
        <f>IF(B916&lt;&gt;"",SUBTOTAL(3,$B$1:B915),"")</f>
        <v/>
      </c>
      <c r="C916" s="74"/>
      <c r="D916" s="74"/>
      <c r="G916" s="1"/>
      <c r="K916" s="42"/>
      <c r="L916" t="str" cm="1">
        <f t="array" ref="L916">IF($K916="","",_xlfn.SWITCH($I916,"Computer",_xlfn.XLOOKUP($K916&amp;"",COMPUTER!$B$3:$B$1009&amp;"",COMPUTER!$I$3:$I$1009,""),"Display",_xlfn.XLOOKUP($K916&amp;"",DISPLAY!$B$3:$B$1000&amp;"",DISPLAY!$J$3:$J$1000,""),"Network Device",_xlfn.XLOOKUP($K916&amp;"",'NETWORK-DEVICES'!$B$3:$B$987&amp;"",'NETWORK-DEVICES'!$I$3:$I$987,""),"Peripheral",_xlfn.XLOOKUP($K916&amp;"",PERIPHERAL!$B$3:$B$954&amp;"",PERIPHERAL!$I$3:$I$954,""),"Utilities",_xlfn.XLOOKUP($K916&amp;"",UTILITIES!$B$3:$B$953&amp;"",UTILITIES!$H$3:$H$953,""),"IOT",_xlfn.XLOOKUP($K916&amp;"",IOT!$B$3:$B$1012&amp;"",IOT!$I$3:$I$1012,""),"SERVER",_xlfn.XLOOKUP($K916&amp;"",SERVER!$B$3:$B$1009&amp;"",SERVER!$I$3:$I$1009,""),""))</f>
        <v/>
      </c>
      <c r="M916" t="str" cm="1">
        <f t="array" ref="M916">IF($K916="","",_xlfn.SWITCH($I916,"Computer",_xlfn.XLOOKUP($K916&amp;"",COMPUTER!$B$3:$B$1009&amp;"",COMPUTER!$J$3:$J$1009,""),"Display",_xlfn.XLOOKUP($K916&amp;"",DISPLAY!$B$3:$B$1000&amp;"",DISPLAY!$K$3:$K$1000,""),"Network Device",_xlfn.XLOOKUP($K916&amp;"",'NETWORK-DEVICES'!$B$3:$B$987&amp;"",'NETWORK-DEVICES'!$I$3:$I$987,""),"Peripheral",_xlfn.XLOOKUP($K916&amp;"",PERIPHERAL!$B$3:$B$954&amp;"",PERIPHERAL!$J$3:$J$954,""),"Utilities",_xlfn.XLOOKUP($K916&amp;"",UTILITIES!$B$3:$B$953&amp;"",UTILITIES!$I$3:$I$953,""),"IOT",_xlfn.XLOOKUP($K916&amp;"",IOT!$B$3:$B$1012&amp;"",IOT!$J$3:$J$1012,""),"Server",_xlfn.XLOOKUP($K916&amp;"",SERVER!$B$3:$B$1009&amp;"",SERVER!$J$3:$J$1009,""),""))</f>
        <v/>
      </c>
      <c r="N916" s="1" t="str" cm="1">
        <f t="array" ref="N916">IF(OR($K916="",$I916="",$J916=""),"",_xlfn.LET(_xlpm.srcCat,_xlfn.SWITCH($I916,"Computer",_xlfn.XLOOKUP($K916&amp;"",COMPUTER!$B$3:$B$1009&amp;"",COMPUTER!$H$3:$H$1009,""),"Display",_xlfn.XLOOKUP($K916&amp;"",DISPLAY!$B$3:$B$1000&amp;"",DISPLAY!$H$3:$H$1000,""),"Network Device",_xlfn.XLOOKUP($K916&amp;"",'NETWORK-DEVICES'!$B$3:$B$987&amp;"",'NETWORK-DEVICES'!$H$3:$H$987,""),"Peripheral",_xlfn.XLOOKUP($K916&amp;"",PERIPHERAL!$B$3:$B$954&amp;"",PERIPHERAL!$H$3:$H$954,""),"Utilities",_xlfn.XLOOKUP($K916&amp;"",UTILITIES!$B$3:$B$953&amp;"",UTILITIES!$G$3:$G$953,""),"IOT",_xlfn.XLOOKUP($K916&amp;"",IOT!$B$3:$B$1012&amp;"",IOT!$H$3:$H$1012,""),"Server",_xlfn.XLOOKUP($K916&amp;"",SERVER!$B$3:$B$1009&amp;"",SERVER!$H$3:$H$1009,""),""),IF(TRIM(_xlpm.srcCat)&lt;&gt;TRIM($J916),"",_xlfn.SWITCH($I916,"Computer",_xlfn.XLOOKUP($K916&amp;"",COMPUTER!$B$3:$B$1009&amp;"",COMPUTER!$K$3:$K$1009,""),"Display",_xlfn.XLOOKUP($K916&amp;"",DISPLAY!$B$3:$B$1000&amp;"",DISPLAY!$L$3:$L$1000,""),"Network Device",_xlfn.XLOOKUP($K916&amp;"",'NETWORK-DEVICES'!$B$3:$B$987&amp;"",'NETWORK-DEVICES'!$K$3:$K$987,""),"Peripheral",_xlfn.XLOOKUP($K916&amp;"",PERIPHERAL!$B$3:$B$954&amp;"",PERIPHERAL!$K$3:$K$954,""),"Utilities",_xlfn.XLOOKUP($K916&amp;"",UTILITIES!$B$3:$B$953&amp;"",UTILITIES!$J$3:$J$953,""),"IOT",_xlfn.XLOOKUP($K916&amp;"",IOT!$B$3:$B$1012&amp;"",IOT!$K$4:$K$1012,""),"Server",_xlfn.XLOOKUP($K916&amp;"",SERVER!$B$3:$B$1009&amp;"",SERVER!$K$3:$K$1009,""),""))))</f>
        <v/>
      </c>
      <c r="O916" s="1" t="str" cm="1">
        <f t="array" ref="O916">IF(OR($K916="",$I916="",$J916=""),"",_xlfn.LET(_xlpm.srcCat,_xlfn.SWITCH($I916,"Computer",_xlfn.XLOOKUP($K916&amp;"",COMPUTER!$B$3:$B$1009&amp;"",COMPUTER!$H$3:$H$1009,""),"Display",_xlfn.XLOOKUP($K916&amp;"",DISPLAY!$B$3:$B$1000&amp;"",DISPLAY!$H$3:$H$1000,""),"Network Device",_xlfn.XLOOKUP($K916&amp;"",'NETWORK-DEVICES'!$B$3:$B$987&amp;"",'NETWORK-DEVICES'!$H$3:$H$987,""),"Peripheral",_xlfn.XLOOKUP($K916&amp;"",PERIPHERAL!$B$3:$B$954&amp;"",PERIPHERAL!$H$3:$H$954,""),"Utilities",_xlfn.XLOOKUP($K916&amp;"",UTILITIES!$B$3:$B$953&amp;"",UTILITIES!$G$3:$G$953,""),"IOT",_xlfn.XLOOKUP($K916&amp;"",IOT!$B$3:$B$1012&amp;"",IOT!$H$3:$H$1012,""),"Server",_xlfn.XLOOKUP($K916&amp;"",SERVER!$B$3:$B$1009&amp;"",SERVER!$H$3:$H$1009,""),""),IF(TRIM(_xlpm.srcCat)&lt;&gt;TRIM($J916),"",_xlfn.SWITCH($I916,"Computer",_xlfn.XLOOKUP($K916&amp;"",COMPUTER!$B$3:$B$1009&amp;"",COMPUTER!$E$3:$E$1009,""),"Display",_xlfn.XLOOKUP($K916&amp;"",DISPLAY!$B$3:$B$1000&amp;"",DISPLAY!$E$3:$E$1000,""),"Network Device",_xlfn.XLOOKUP($K916&amp;"",'NETWORK-DEVICES'!$B$3:$B$987&amp;"",'NETWORK-DEVICES'!$E$3:$E$987,""),"Peripheral",_xlfn.XLOOKUP($K916&amp;"",PERIPHERAL!$B$3:$B$954&amp;"",PERIPHERAL!$E$3:$E$954,""),"Utilities",_xlfn.XLOOKUP($K916&amp;"",UTILITIES!$B$3:$B$953&amp;"",UTILITIES!$E$3:$E$953,""),"IOT",_xlfn.XLOOKUP($K916&amp;"",IOT!$B$3:$B$1012&amp;"",IOT!$E$3:$E$1012,""),"Server",_xlfn.XLOOKUP($K916&amp;"",SERVER!$B$3:$B$1009&amp;"",SERVER!$E$3:$E$1009,""),""))))</f>
        <v/>
      </c>
      <c r="Q916" s="1" t="str" cm="1">
        <f t="array" ref="Q916">IF(OR($K916="",$I916="",$J916=""),"",_xlfn.LET(_xlpm.srcCat,_xlfn.SWITCH($I916,"Computer",_xlfn.XLOOKUP($K916&amp;"",COMPUTER!$B$3:$B$1009&amp;"",COMPUTER!$H$3:$H$1009,""),"Display",_xlfn.XLOOKUP($K916&amp;"",DISPLAY!$B$3:$B$1000&amp;"",DISPLAY!$H$3:$H$1000,""),"Network Device",_xlfn.XLOOKUP($K916&amp;"",'NETWORK-DEVICES'!$B$3:$B$987&amp;"",'NETWORK-DEVICES'!$H$3:$H$987,""),"Peripheral",_xlfn.XLOOKUP($K916&amp;"",PERIPHERAL!$B$3:$B$954&amp;"",PERIPHERAL!$H$3:$H$954,""),"Utilities",_xlfn.XLOOKUP($K916&amp;"",UTILITIES!$B$3:$B$953&amp;"",UTILITIES!$G$3:$G$953,""),"IOT",_xlfn.XLOOKUP($K916&amp;"",IOT!$B$3:$B$1012&amp;"",IOT!$H$3:$H$1012,""),"Server",_xlfn.XLOOKUP($K916&amp;"",SERVER!$B$3:$B$1009&amp;"",SERVER!$H$3:$H$1009,""),""),IF(TRIM(_xlpm.srcCat)&lt;&gt;TRIM($J916),"",_xlfn.SWITCH($I916,"Computer",_xlfn.XLOOKUP($K916&amp;"",COMPUTER!$B$3:$B$1009&amp;"",COMPUTER!$AM$3:$AM$1009,""),"Display",_xlfn.XLOOKUP($K916&amp;"",DISPLAY!$B$3:$B$1000&amp;"",DISPLAY!$V$3:$V$1000,""),"Network Device",_xlfn.XLOOKUP($K916&amp;"",'NETWORK-DEVICES'!$B$3:$B$987&amp;"",'NETWORK-DEVICES'!$AF$3:$AF$987,""),"Peripheral",_xlfn.XLOOKUP($K916&amp;"",PERIPHERAL!$B$3:$B$954&amp;"",PERIPHERAL!$Y$3:$Y$954,""),"Utilities",_xlfn.XLOOKUP($K916&amp;"",UTILITIES!$B$3:$B$953&amp;"",UTILITIES!$O$3:$O$953,""),"IOT",_xlfn.XLOOKUP($K916&amp;"",IOT!$B$3:$B$1012&amp;"",IOT!$AB$3:$AB$1012,""),"Server",_xlfn.XLOOKUP($K916&amp;"",SERVER!$B$3:$B$1009&amp;"",SERVER!$AB$3:$AB$1009,""),""))))</f>
        <v/>
      </c>
      <c r="R916" s="43" t="str">
        <f>IF(tbl_handover[[#This Row],[Asset Code]]="","",COUNTIF(tbl_handover[Asset Code],tbl_handover[[#This Row],[Asset Code]]))</f>
        <v/>
      </c>
    </row>
    <row r="917" spans="1:18" x14ac:dyDescent="0.25">
      <c r="A917" s="43" t="str">
        <f>IF(B917&lt;&gt;"",SUBTOTAL(3,$B$1:B916),"")</f>
        <v/>
      </c>
      <c r="C917" s="74"/>
      <c r="D917" s="74"/>
      <c r="G917" s="1"/>
      <c r="K917" s="42"/>
      <c r="L917" t="str" cm="1">
        <f t="array" ref="L917">IF($K917="","",_xlfn.SWITCH($I917,"Computer",_xlfn.XLOOKUP($K917&amp;"",COMPUTER!$B$3:$B$1009&amp;"",COMPUTER!$I$3:$I$1009,""),"Display",_xlfn.XLOOKUP($K917&amp;"",DISPLAY!$B$3:$B$1000&amp;"",DISPLAY!$J$3:$J$1000,""),"Network Device",_xlfn.XLOOKUP($K917&amp;"",'NETWORK-DEVICES'!$B$3:$B$987&amp;"",'NETWORK-DEVICES'!$I$3:$I$987,""),"Peripheral",_xlfn.XLOOKUP($K917&amp;"",PERIPHERAL!$B$3:$B$954&amp;"",PERIPHERAL!$I$3:$I$954,""),"Utilities",_xlfn.XLOOKUP($K917&amp;"",UTILITIES!$B$3:$B$953&amp;"",UTILITIES!$H$3:$H$953,""),"IOT",_xlfn.XLOOKUP($K917&amp;"",IOT!$B$3:$B$1012&amp;"",IOT!$I$3:$I$1012,""),"SERVER",_xlfn.XLOOKUP($K917&amp;"",SERVER!$B$3:$B$1009&amp;"",SERVER!$I$3:$I$1009,""),""))</f>
        <v/>
      </c>
      <c r="M917" t="str" cm="1">
        <f t="array" ref="M917">IF($K917="","",_xlfn.SWITCH($I917,"Computer",_xlfn.XLOOKUP($K917&amp;"",COMPUTER!$B$3:$B$1009&amp;"",COMPUTER!$J$3:$J$1009,""),"Display",_xlfn.XLOOKUP($K917&amp;"",DISPLAY!$B$3:$B$1000&amp;"",DISPLAY!$K$3:$K$1000,""),"Network Device",_xlfn.XLOOKUP($K917&amp;"",'NETWORK-DEVICES'!$B$3:$B$987&amp;"",'NETWORK-DEVICES'!$I$3:$I$987,""),"Peripheral",_xlfn.XLOOKUP($K917&amp;"",PERIPHERAL!$B$3:$B$954&amp;"",PERIPHERAL!$J$3:$J$954,""),"Utilities",_xlfn.XLOOKUP($K917&amp;"",UTILITIES!$B$3:$B$953&amp;"",UTILITIES!$I$3:$I$953,""),"IOT",_xlfn.XLOOKUP($K917&amp;"",IOT!$B$3:$B$1012&amp;"",IOT!$J$3:$J$1012,""),"Server",_xlfn.XLOOKUP($K917&amp;"",SERVER!$B$3:$B$1009&amp;"",SERVER!$J$3:$J$1009,""),""))</f>
        <v/>
      </c>
      <c r="N917" s="1" t="str" cm="1">
        <f t="array" ref="N917">IF(OR($K917="",$I917="",$J917=""),"",_xlfn.LET(_xlpm.srcCat,_xlfn.SWITCH($I917,"Computer",_xlfn.XLOOKUP($K917&amp;"",COMPUTER!$B$3:$B$1009&amp;"",COMPUTER!$H$3:$H$1009,""),"Display",_xlfn.XLOOKUP($K917&amp;"",DISPLAY!$B$3:$B$1000&amp;"",DISPLAY!$H$3:$H$1000,""),"Network Device",_xlfn.XLOOKUP($K917&amp;"",'NETWORK-DEVICES'!$B$3:$B$987&amp;"",'NETWORK-DEVICES'!$H$3:$H$987,""),"Peripheral",_xlfn.XLOOKUP($K917&amp;"",PERIPHERAL!$B$3:$B$954&amp;"",PERIPHERAL!$H$3:$H$954,""),"Utilities",_xlfn.XLOOKUP($K917&amp;"",UTILITIES!$B$3:$B$953&amp;"",UTILITIES!$G$3:$G$953,""),"IOT",_xlfn.XLOOKUP($K917&amp;"",IOT!$B$3:$B$1012&amp;"",IOT!$H$3:$H$1012,""),"Server",_xlfn.XLOOKUP($K917&amp;"",SERVER!$B$3:$B$1009&amp;"",SERVER!$H$3:$H$1009,""),""),IF(TRIM(_xlpm.srcCat)&lt;&gt;TRIM($J917),"",_xlfn.SWITCH($I917,"Computer",_xlfn.XLOOKUP($K917&amp;"",COMPUTER!$B$3:$B$1009&amp;"",COMPUTER!$K$3:$K$1009,""),"Display",_xlfn.XLOOKUP($K917&amp;"",DISPLAY!$B$3:$B$1000&amp;"",DISPLAY!$L$3:$L$1000,""),"Network Device",_xlfn.XLOOKUP($K917&amp;"",'NETWORK-DEVICES'!$B$3:$B$987&amp;"",'NETWORK-DEVICES'!$K$3:$K$987,""),"Peripheral",_xlfn.XLOOKUP($K917&amp;"",PERIPHERAL!$B$3:$B$954&amp;"",PERIPHERAL!$K$3:$K$954,""),"Utilities",_xlfn.XLOOKUP($K917&amp;"",UTILITIES!$B$3:$B$953&amp;"",UTILITIES!$J$3:$J$953,""),"IOT",_xlfn.XLOOKUP($K917&amp;"",IOT!$B$3:$B$1012&amp;"",IOT!$K$4:$K$1012,""),"Server",_xlfn.XLOOKUP($K917&amp;"",SERVER!$B$3:$B$1009&amp;"",SERVER!$K$3:$K$1009,""),""))))</f>
        <v/>
      </c>
      <c r="O917" s="1" t="str" cm="1">
        <f t="array" ref="O917">IF(OR($K917="",$I917="",$J917=""),"",_xlfn.LET(_xlpm.srcCat,_xlfn.SWITCH($I917,"Computer",_xlfn.XLOOKUP($K917&amp;"",COMPUTER!$B$3:$B$1009&amp;"",COMPUTER!$H$3:$H$1009,""),"Display",_xlfn.XLOOKUP($K917&amp;"",DISPLAY!$B$3:$B$1000&amp;"",DISPLAY!$H$3:$H$1000,""),"Network Device",_xlfn.XLOOKUP($K917&amp;"",'NETWORK-DEVICES'!$B$3:$B$987&amp;"",'NETWORK-DEVICES'!$H$3:$H$987,""),"Peripheral",_xlfn.XLOOKUP($K917&amp;"",PERIPHERAL!$B$3:$B$954&amp;"",PERIPHERAL!$H$3:$H$954,""),"Utilities",_xlfn.XLOOKUP($K917&amp;"",UTILITIES!$B$3:$B$953&amp;"",UTILITIES!$G$3:$G$953,""),"IOT",_xlfn.XLOOKUP($K917&amp;"",IOT!$B$3:$B$1012&amp;"",IOT!$H$3:$H$1012,""),"Server",_xlfn.XLOOKUP($K917&amp;"",SERVER!$B$3:$B$1009&amp;"",SERVER!$H$3:$H$1009,""),""),IF(TRIM(_xlpm.srcCat)&lt;&gt;TRIM($J917),"",_xlfn.SWITCH($I917,"Computer",_xlfn.XLOOKUP($K917&amp;"",COMPUTER!$B$3:$B$1009&amp;"",COMPUTER!$E$3:$E$1009,""),"Display",_xlfn.XLOOKUP($K917&amp;"",DISPLAY!$B$3:$B$1000&amp;"",DISPLAY!$E$3:$E$1000,""),"Network Device",_xlfn.XLOOKUP($K917&amp;"",'NETWORK-DEVICES'!$B$3:$B$987&amp;"",'NETWORK-DEVICES'!$E$3:$E$987,""),"Peripheral",_xlfn.XLOOKUP($K917&amp;"",PERIPHERAL!$B$3:$B$954&amp;"",PERIPHERAL!$E$3:$E$954,""),"Utilities",_xlfn.XLOOKUP($K917&amp;"",UTILITIES!$B$3:$B$953&amp;"",UTILITIES!$E$3:$E$953,""),"IOT",_xlfn.XLOOKUP($K917&amp;"",IOT!$B$3:$B$1012&amp;"",IOT!$E$3:$E$1012,""),"Server",_xlfn.XLOOKUP($K917&amp;"",SERVER!$B$3:$B$1009&amp;"",SERVER!$E$3:$E$1009,""),""))))</f>
        <v/>
      </c>
      <c r="Q917" s="1" t="str" cm="1">
        <f t="array" ref="Q917">IF(OR($K917="",$I917="",$J917=""),"",_xlfn.LET(_xlpm.srcCat,_xlfn.SWITCH($I917,"Computer",_xlfn.XLOOKUP($K917&amp;"",COMPUTER!$B$3:$B$1009&amp;"",COMPUTER!$H$3:$H$1009,""),"Display",_xlfn.XLOOKUP($K917&amp;"",DISPLAY!$B$3:$B$1000&amp;"",DISPLAY!$H$3:$H$1000,""),"Network Device",_xlfn.XLOOKUP($K917&amp;"",'NETWORK-DEVICES'!$B$3:$B$987&amp;"",'NETWORK-DEVICES'!$H$3:$H$987,""),"Peripheral",_xlfn.XLOOKUP($K917&amp;"",PERIPHERAL!$B$3:$B$954&amp;"",PERIPHERAL!$H$3:$H$954,""),"Utilities",_xlfn.XLOOKUP($K917&amp;"",UTILITIES!$B$3:$B$953&amp;"",UTILITIES!$G$3:$G$953,""),"IOT",_xlfn.XLOOKUP($K917&amp;"",IOT!$B$3:$B$1012&amp;"",IOT!$H$3:$H$1012,""),"Server",_xlfn.XLOOKUP($K917&amp;"",SERVER!$B$3:$B$1009&amp;"",SERVER!$H$3:$H$1009,""),""),IF(TRIM(_xlpm.srcCat)&lt;&gt;TRIM($J917),"",_xlfn.SWITCH($I917,"Computer",_xlfn.XLOOKUP($K917&amp;"",COMPUTER!$B$3:$B$1009&amp;"",COMPUTER!$AM$3:$AM$1009,""),"Display",_xlfn.XLOOKUP($K917&amp;"",DISPLAY!$B$3:$B$1000&amp;"",DISPLAY!$V$3:$V$1000,""),"Network Device",_xlfn.XLOOKUP($K917&amp;"",'NETWORK-DEVICES'!$B$3:$B$987&amp;"",'NETWORK-DEVICES'!$AF$3:$AF$987,""),"Peripheral",_xlfn.XLOOKUP($K917&amp;"",PERIPHERAL!$B$3:$B$954&amp;"",PERIPHERAL!$Y$3:$Y$954,""),"Utilities",_xlfn.XLOOKUP($K917&amp;"",UTILITIES!$B$3:$B$953&amp;"",UTILITIES!$O$3:$O$953,""),"IOT",_xlfn.XLOOKUP($K917&amp;"",IOT!$B$3:$B$1012&amp;"",IOT!$AB$3:$AB$1012,""),"Server",_xlfn.XLOOKUP($K917&amp;"",SERVER!$B$3:$B$1009&amp;"",SERVER!$AB$3:$AB$1009,""),""))))</f>
        <v/>
      </c>
      <c r="R917" s="43" t="str">
        <f>IF(tbl_handover[[#This Row],[Asset Code]]="","",COUNTIF(tbl_handover[Asset Code],tbl_handover[[#This Row],[Asset Code]]))</f>
        <v/>
      </c>
    </row>
    <row r="918" spans="1:18" x14ac:dyDescent="0.25">
      <c r="A918" s="43" t="str">
        <f>IF(B918&lt;&gt;"",SUBTOTAL(3,$B$1:B917),"")</f>
        <v/>
      </c>
      <c r="C918" s="74"/>
      <c r="D918" s="74"/>
      <c r="G918" s="1"/>
      <c r="K918" s="42"/>
      <c r="L918" t="str" cm="1">
        <f t="array" ref="L918">IF($K918="","",_xlfn.SWITCH($I918,"Computer",_xlfn.XLOOKUP($K918&amp;"",COMPUTER!$B$3:$B$1009&amp;"",COMPUTER!$I$3:$I$1009,""),"Display",_xlfn.XLOOKUP($K918&amp;"",DISPLAY!$B$3:$B$1000&amp;"",DISPLAY!$J$3:$J$1000,""),"Network Device",_xlfn.XLOOKUP($K918&amp;"",'NETWORK-DEVICES'!$B$3:$B$987&amp;"",'NETWORK-DEVICES'!$I$3:$I$987,""),"Peripheral",_xlfn.XLOOKUP($K918&amp;"",PERIPHERAL!$B$3:$B$954&amp;"",PERIPHERAL!$I$3:$I$954,""),"Utilities",_xlfn.XLOOKUP($K918&amp;"",UTILITIES!$B$3:$B$953&amp;"",UTILITIES!$H$3:$H$953,""),"IOT",_xlfn.XLOOKUP($K918&amp;"",IOT!$B$3:$B$1012&amp;"",IOT!$I$3:$I$1012,""),"SERVER",_xlfn.XLOOKUP($K918&amp;"",SERVER!$B$3:$B$1009&amp;"",SERVER!$I$3:$I$1009,""),""))</f>
        <v/>
      </c>
      <c r="M918" t="str" cm="1">
        <f t="array" ref="M918">IF($K918="","",_xlfn.SWITCH($I918,"Computer",_xlfn.XLOOKUP($K918&amp;"",COMPUTER!$B$3:$B$1009&amp;"",COMPUTER!$J$3:$J$1009,""),"Display",_xlfn.XLOOKUP($K918&amp;"",DISPLAY!$B$3:$B$1000&amp;"",DISPLAY!$K$3:$K$1000,""),"Network Device",_xlfn.XLOOKUP($K918&amp;"",'NETWORK-DEVICES'!$B$3:$B$987&amp;"",'NETWORK-DEVICES'!$I$3:$I$987,""),"Peripheral",_xlfn.XLOOKUP($K918&amp;"",PERIPHERAL!$B$3:$B$954&amp;"",PERIPHERAL!$J$3:$J$954,""),"Utilities",_xlfn.XLOOKUP($K918&amp;"",UTILITIES!$B$3:$B$953&amp;"",UTILITIES!$I$3:$I$953,""),"IOT",_xlfn.XLOOKUP($K918&amp;"",IOT!$B$3:$B$1012&amp;"",IOT!$J$3:$J$1012,""),"Server",_xlfn.XLOOKUP($K918&amp;"",SERVER!$B$3:$B$1009&amp;"",SERVER!$J$3:$J$1009,""),""))</f>
        <v/>
      </c>
      <c r="N918" s="1" t="str" cm="1">
        <f t="array" ref="N918">IF(OR($K918="",$I918="",$J918=""),"",_xlfn.LET(_xlpm.srcCat,_xlfn.SWITCH($I918,"Computer",_xlfn.XLOOKUP($K918&amp;"",COMPUTER!$B$3:$B$1009&amp;"",COMPUTER!$H$3:$H$1009,""),"Display",_xlfn.XLOOKUP($K918&amp;"",DISPLAY!$B$3:$B$1000&amp;"",DISPLAY!$H$3:$H$1000,""),"Network Device",_xlfn.XLOOKUP($K918&amp;"",'NETWORK-DEVICES'!$B$3:$B$987&amp;"",'NETWORK-DEVICES'!$H$3:$H$987,""),"Peripheral",_xlfn.XLOOKUP($K918&amp;"",PERIPHERAL!$B$3:$B$954&amp;"",PERIPHERAL!$H$3:$H$954,""),"Utilities",_xlfn.XLOOKUP($K918&amp;"",UTILITIES!$B$3:$B$953&amp;"",UTILITIES!$G$3:$G$953,""),"IOT",_xlfn.XLOOKUP($K918&amp;"",IOT!$B$3:$B$1012&amp;"",IOT!$H$3:$H$1012,""),"Server",_xlfn.XLOOKUP($K918&amp;"",SERVER!$B$3:$B$1009&amp;"",SERVER!$H$3:$H$1009,""),""),IF(TRIM(_xlpm.srcCat)&lt;&gt;TRIM($J918),"",_xlfn.SWITCH($I918,"Computer",_xlfn.XLOOKUP($K918&amp;"",COMPUTER!$B$3:$B$1009&amp;"",COMPUTER!$K$3:$K$1009,""),"Display",_xlfn.XLOOKUP($K918&amp;"",DISPLAY!$B$3:$B$1000&amp;"",DISPLAY!$L$3:$L$1000,""),"Network Device",_xlfn.XLOOKUP($K918&amp;"",'NETWORK-DEVICES'!$B$3:$B$987&amp;"",'NETWORK-DEVICES'!$K$3:$K$987,""),"Peripheral",_xlfn.XLOOKUP($K918&amp;"",PERIPHERAL!$B$3:$B$954&amp;"",PERIPHERAL!$K$3:$K$954,""),"Utilities",_xlfn.XLOOKUP($K918&amp;"",UTILITIES!$B$3:$B$953&amp;"",UTILITIES!$J$3:$J$953,""),"IOT",_xlfn.XLOOKUP($K918&amp;"",IOT!$B$3:$B$1012&amp;"",IOT!$K$4:$K$1012,""),"Server",_xlfn.XLOOKUP($K918&amp;"",SERVER!$B$3:$B$1009&amp;"",SERVER!$K$3:$K$1009,""),""))))</f>
        <v/>
      </c>
      <c r="O918" s="1" t="str" cm="1">
        <f t="array" ref="O918">IF(OR($K918="",$I918="",$J918=""),"",_xlfn.LET(_xlpm.srcCat,_xlfn.SWITCH($I918,"Computer",_xlfn.XLOOKUP($K918&amp;"",COMPUTER!$B$3:$B$1009&amp;"",COMPUTER!$H$3:$H$1009,""),"Display",_xlfn.XLOOKUP($K918&amp;"",DISPLAY!$B$3:$B$1000&amp;"",DISPLAY!$H$3:$H$1000,""),"Network Device",_xlfn.XLOOKUP($K918&amp;"",'NETWORK-DEVICES'!$B$3:$B$987&amp;"",'NETWORK-DEVICES'!$H$3:$H$987,""),"Peripheral",_xlfn.XLOOKUP($K918&amp;"",PERIPHERAL!$B$3:$B$954&amp;"",PERIPHERAL!$H$3:$H$954,""),"Utilities",_xlfn.XLOOKUP($K918&amp;"",UTILITIES!$B$3:$B$953&amp;"",UTILITIES!$G$3:$G$953,""),"IOT",_xlfn.XLOOKUP($K918&amp;"",IOT!$B$3:$B$1012&amp;"",IOT!$H$3:$H$1012,""),"Server",_xlfn.XLOOKUP($K918&amp;"",SERVER!$B$3:$B$1009&amp;"",SERVER!$H$3:$H$1009,""),""),IF(TRIM(_xlpm.srcCat)&lt;&gt;TRIM($J918),"",_xlfn.SWITCH($I918,"Computer",_xlfn.XLOOKUP($K918&amp;"",COMPUTER!$B$3:$B$1009&amp;"",COMPUTER!$E$3:$E$1009,""),"Display",_xlfn.XLOOKUP($K918&amp;"",DISPLAY!$B$3:$B$1000&amp;"",DISPLAY!$E$3:$E$1000,""),"Network Device",_xlfn.XLOOKUP($K918&amp;"",'NETWORK-DEVICES'!$B$3:$B$987&amp;"",'NETWORK-DEVICES'!$E$3:$E$987,""),"Peripheral",_xlfn.XLOOKUP($K918&amp;"",PERIPHERAL!$B$3:$B$954&amp;"",PERIPHERAL!$E$3:$E$954,""),"Utilities",_xlfn.XLOOKUP($K918&amp;"",UTILITIES!$B$3:$B$953&amp;"",UTILITIES!$E$3:$E$953,""),"IOT",_xlfn.XLOOKUP($K918&amp;"",IOT!$B$3:$B$1012&amp;"",IOT!$E$3:$E$1012,""),"Server",_xlfn.XLOOKUP($K918&amp;"",SERVER!$B$3:$B$1009&amp;"",SERVER!$E$3:$E$1009,""),""))))</f>
        <v/>
      </c>
      <c r="Q918" s="1" t="str" cm="1">
        <f t="array" ref="Q918">IF(OR($K918="",$I918="",$J918=""),"",_xlfn.LET(_xlpm.srcCat,_xlfn.SWITCH($I918,"Computer",_xlfn.XLOOKUP($K918&amp;"",COMPUTER!$B$3:$B$1009&amp;"",COMPUTER!$H$3:$H$1009,""),"Display",_xlfn.XLOOKUP($K918&amp;"",DISPLAY!$B$3:$B$1000&amp;"",DISPLAY!$H$3:$H$1000,""),"Network Device",_xlfn.XLOOKUP($K918&amp;"",'NETWORK-DEVICES'!$B$3:$B$987&amp;"",'NETWORK-DEVICES'!$H$3:$H$987,""),"Peripheral",_xlfn.XLOOKUP($K918&amp;"",PERIPHERAL!$B$3:$B$954&amp;"",PERIPHERAL!$H$3:$H$954,""),"Utilities",_xlfn.XLOOKUP($K918&amp;"",UTILITIES!$B$3:$B$953&amp;"",UTILITIES!$G$3:$G$953,""),"IOT",_xlfn.XLOOKUP($K918&amp;"",IOT!$B$3:$B$1012&amp;"",IOT!$H$3:$H$1012,""),"Server",_xlfn.XLOOKUP($K918&amp;"",SERVER!$B$3:$B$1009&amp;"",SERVER!$H$3:$H$1009,""),""),IF(TRIM(_xlpm.srcCat)&lt;&gt;TRIM($J918),"",_xlfn.SWITCH($I918,"Computer",_xlfn.XLOOKUP($K918&amp;"",COMPUTER!$B$3:$B$1009&amp;"",COMPUTER!$AM$3:$AM$1009,""),"Display",_xlfn.XLOOKUP($K918&amp;"",DISPLAY!$B$3:$B$1000&amp;"",DISPLAY!$V$3:$V$1000,""),"Network Device",_xlfn.XLOOKUP($K918&amp;"",'NETWORK-DEVICES'!$B$3:$B$987&amp;"",'NETWORK-DEVICES'!$AF$3:$AF$987,""),"Peripheral",_xlfn.XLOOKUP($K918&amp;"",PERIPHERAL!$B$3:$B$954&amp;"",PERIPHERAL!$Y$3:$Y$954,""),"Utilities",_xlfn.XLOOKUP($K918&amp;"",UTILITIES!$B$3:$B$953&amp;"",UTILITIES!$O$3:$O$953,""),"IOT",_xlfn.XLOOKUP($K918&amp;"",IOT!$B$3:$B$1012&amp;"",IOT!$AB$3:$AB$1012,""),"Server",_xlfn.XLOOKUP($K918&amp;"",SERVER!$B$3:$B$1009&amp;"",SERVER!$AB$3:$AB$1009,""),""))))</f>
        <v/>
      </c>
      <c r="R918" s="43" t="str">
        <f>IF(tbl_handover[[#This Row],[Asset Code]]="","",COUNTIF(tbl_handover[Asset Code],tbl_handover[[#This Row],[Asset Code]]))</f>
        <v/>
      </c>
    </row>
    <row r="919" spans="1:18" x14ac:dyDescent="0.25">
      <c r="A919" s="43" t="str">
        <f>IF(B919&lt;&gt;"",SUBTOTAL(3,$B$1:B918),"")</f>
        <v/>
      </c>
      <c r="C919" s="74"/>
      <c r="D919" s="74"/>
      <c r="G919" s="1"/>
      <c r="K919" s="42"/>
      <c r="L919" t="str" cm="1">
        <f t="array" ref="L919">IF($K919="","",_xlfn.SWITCH($I919,"Computer",_xlfn.XLOOKUP($K919&amp;"",COMPUTER!$B$3:$B$1009&amp;"",COMPUTER!$I$3:$I$1009,""),"Display",_xlfn.XLOOKUP($K919&amp;"",DISPLAY!$B$3:$B$1000&amp;"",DISPLAY!$J$3:$J$1000,""),"Network Device",_xlfn.XLOOKUP($K919&amp;"",'NETWORK-DEVICES'!$B$3:$B$987&amp;"",'NETWORK-DEVICES'!$I$3:$I$987,""),"Peripheral",_xlfn.XLOOKUP($K919&amp;"",PERIPHERAL!$B$3:$B$954&amp;"",PERIPHERAL!$I$3:$I$954,""),"Utilities",_xlfn.XLOOKUP($K919&amp;"",UTILITIES!$B$3:$B$953&amp;"",UTILITIES!$H$3:$H$953,""),"IOT",_xlfn.XLOOKUP($K919&amp;"",IOT!$B$3:$B$1012&amp;"",IOT!$I$3:$I$1012,""),"SERVER",_xlfn.XLOOKUP($K919&amp;"",SERVER!$B$3:$B$1009&amp;"",SERVER!$I$3:$I$1009,""),""))</f>
        <v/>
      </c>
      <c r="M919" t="str" cm="1">
        <f t="array" ref="M919">IF($K919="","",_xlfn.SWITCH($I919,"Computer",_xlfn.XLOOKUP($K919&amp;"",COMPUTER!$B$3:$B$1009&amp;"",COMPUTER!$J$3:$J$1009,""),"Display",_xlfn.XLOOKUP($K919&amp;"",DISPLAY!$B$3:$B$1000&amp;"",DISPLAY!$K$3:$K$1000,""),"Network Device",_xlfn.XLOOKUP($K919&amp;"",'NETWORK-DEVICES'!$B$3:$B$987&amp;"",'NETWORK-DEVICES'!$I$3:$I$987,""),"Peripheral",_xlfn.XLOOKUP($K919&amp;"",PERIPHERAL!$B$3:$B$954&amp;"",PERIPHERAL!$J$3:$J$954,""),"Utilities",_xlfn.XLOOKUP($K919&amp;"",UTILITIES!$B$3:$B$953&amp;"",UTILITIES!$I$3:$I$953,""),"IOT",_xlfn.XLOOKUP($K919&amp;"",IOT!$B$3:$B$1012&amp;"",IOT!$J$3:$J$1012,""),"Server",_xlfn.XLOOKUP($K919&amp;"",SERVER!$B$3:$B$1009&amp;"",SERVER!$J$3:$J$1009,""),""))</f>
        <v/>
      </c>
      <c r="N919" s="1" t="str" cm="1">
        <f t="array" ref="N919">IF(OR($K919="",$I919="",$J919=""),"",_xlfn.LET(_xlpm.srcCat,_xlfn.SWITCH($I919,"Computer",_xlfn.XLOOKUP($K919&amp;"",COMPUTER!$B$3:$B$1009&amp;"",COMPUTER!$H$3:$H$1009,""),"Display",_xlfn.XLOOKUP($K919&amp;"",DISPLAY!$B$3:$B$1000&amp;"",DISPLAY!$H$3:$H$1000,""),"Network Device",_xlfn.XLOOKUP($K919&amp;"",'NETWORK-DEVICES'!$B$3:$B$987&amp;"",'NETWORK-DEVICES'!$H$3:$H$987,""),"Peripheral",_xlfn.XLOOKUP($K919&amp;"",PERIPHERAL!$B$3:$B$954&amp;"",PERIPHERAL!$H$3:$H$954,""),"Utilities",_xlfn.XLOOKUP($K919&amp;"",UTILITIES!$B$3:$B$953&amp;"",UTILITIES!$G$3:$G$953,""),"IOT",_xlfn.XLOOKUP($K919&amp;"",IOT!$B$3:$B$1012&amp;"",IOT!$H$3:$H$1012,""),"Server",_xlfn.XLOOKUP($K919&amp;"",SERVER!$B$3:$B$1009&amp;"",SERVER!$H$3:$H$1009,""),""),IF(TRIM(_xlpm.srcCat)&lt;&gt;TRIM($J919),"",_xlfn.SWITCH($I919,"Computer",_xlfn.XLOOKUP($K919&amp;"",COMPUTER!$B$3:$B$1009&amp;"",COMPUTER!$K$3:$K$1009,""),"Display",_xlfn.XLOOKUP($K919&amp;"",DISPLAY!$B$3:$B$1000&amp;"",DISPLAY!$L$3:$L$1000,""),"Network Device",_xlfn.XLOOKUP($K919&amp;"",'NETWORK-DEVICES'!$B$3:$B$987&amp;"",'NETWORK-DEVICES'!$K$3:$K$987,""),"Peripheral",_xlfn.XLOOKUP($K919&amp;"",PERIPHERAL!$B$3:$B$954&amp;"",PERIPHERAL!$K$3:$K$954,""),"Utilities",_xlfn.XLOOKUP($K919&amp;"",UTILITIES!$B$3:$B$953&amp;"",UTILITIES!$J$3:$J$953,""),"IOT",_xlfn.XLOOKUP($K919&amp;"",IOT!$B$3:$B$1012&amp;"",IOT!$K$4:$K$1012,""),"Server",_xlfn.XLOOKUP($K919&amp;"",SERVER!$B$3:$B$1009&amp;"",SERVER!$K$3:$K$1009,""),""))))</f>
        <v/>
      </c>
      <c r="O919" s="1" t="str" cm="1">
        <f t="array" ref="O919">IF(OR($K919="",$I919="",$J919=""),"",_xlfn.LET(_xlpm.srcCat,_xlfn.SWITCH($I919,"Computer",_xlfn.XLOOKUP($K919&amp;"",COMPUTER!$B$3:$B$1009&amp;"",COMPUTER!$H$3:$H$1009,""),"Display",_xlfn.XLOOKUP($K919&amp;"",DISPLAY!$B$3:$B$1000&amp;"",DISPLAY!$H$3:$H$1000,""),"Network Device",_xlfn.XLOOKUP($K919&amp;"",'NETWORK-DEVICES'!$B$3:$B$987&amp;"",'NETWORK-DEVICES'!$H$3:$H$987,""),"Peripheral",_xlfn.XLOOKUP($K919&amp;"",PERIPHERAL!$B$3:$B$954&amp;"",PERIPHERAL!$H$3:$H$954,""),"Utilities",_xlfn.XLOOKUP($K919&amp;"",UTILITIES!$B$3:$B$953&amp;"",UTILITIES!$G$3:$G$953,""),"IOT",_xlfn.XLOOKUP($K919&amp;"",IOT!$B$3:$B$1012&amp;"",IOT!$H$3:$H$1012,""),"Server",_xlfn.XLOOKUP($K919&amp;"",SERVER!$B$3:$B$1009&amp;"",SERVER!$H$3:$H$1009,""),""),IF(TRIM(_xlpm.srcCat)&lt;&gt;TRIM($J919),"",_xlfn.SWITCH($I919,"Computer",_xlfn.XLOOKUP($K919&amp;"",COMPUTER!$B$3:$B$1009&amp;"",COMPUTER!$E$3:$E$1009,""),"Display",_xlfn.XLOOKUP($K919&amp;"",DISPLAY!$B$3:$B$1000&amp;"",DISPLAY!$E$3:$E$1000,""),"Network Device",_xlfn.XLOOKUP($K919&amp;"",'NETWORK-DEVICES'!$B$3:$B$987&amp;"",'NETWORK-DEVICES'!$E$3:$E$987,""),"Peripheral",_xlfn.XLOOKUP($K919&amp;"",PERIPHERAL!$B$3:$B$954&amp;"",PERIPHERAL!$E$3:$E$954,""),"Utilities",_xlfn.XLOOKUP($K919&amp;"",UTILITIES!$B$3:$B$953&amp;"",UTILITIES!$E$3:$E$953,""),"IOT",_xlfn.XLOOKUP($K919&amp;"",IOT!$B$3:$B$1012&amp;"",IOT!$E$3:$E$1012,""),"Server",_xlfn.XLOOKUP($K919&amp;"",SERVER!$B$3:$B$1009&amp;"",SERVER!$E$3:$E$1009,""),""))))</f>
        <v/>
      </c>
      <c r="Q919" s="1" t="str" cm="1">
        <f t="array" ref="Q919">IF(OR($K919="",$I919="",$J919=""),"",_xlfn.LET(_xlpm.srcCat,_xlfn.SWITCH($I919,"Computer",_xlfn.XLOOKUP($K919&amp;"",COMPUTER!$B$3:$B$1009&amp;"",COMPUTER!$H$3:$H$1009,""),"Display",_xlfn.XLOOKUP($K919&amp;"",DISPLAY!$B$3:$B$1000&amp;"",DISPLAY!$H$3:$H$1000,""),"Network Device",_xlfn.XLOOKUP($K919&amp;"",'NETWORK-DEVICES'!$B$3:$B$987&amp;"",'NETWORK-DEVICES'!$H$3:$H$987,""),"Peripheral",_xlfn.XLOOKUP($K919&amp;"",PERIPHERAL!$B$3:$B$954&amp;"",PERIPHERAL!$H$3:$H$954,""),"Utilities",_xlfn.XLOOKUP($K919&amp;"",UTILITIES!$B$3:$B$953&amp;"",UTILITIES!$G$3:$G$953,""),"IOT",_xlfn.XLOOKUP($K919&amp;"",IOT!$B$3:$B$1012&amp;"",IOT!$H$3:$H$1012,""),"Server",_xlfn.XLOOKUP($K919&amp;"",SERVER!$B$3:$B$1009&amp;"",SERVER!$H$3:$H$1009,""),""),IF(TRIM(_xlpm.srcCat)&lt;&gt;TRIM($J919),"",_xlfn.SWITCH($I919,"Computer",_xlfn.XLOOKUP($K919&amp;"",COMPUTER!$B$3:$B$1009&amp;"",COMPUTER!$AM$3:$AM$1009,""),"Display",_xlfn.XLOOKUP($K919&amp;"",DISPLAY!$B$3:$B$1000&amp;"",DISPLAY!$V$3:$V$1000,""),"Network Device",_xlfn.XLOOKUP($K919&amp;"",'NETWORK-DEVICES'!$B$3:$B$987&amp;"",'NETWORK-DEVICES'!$AF$3:$AF$987,""),"Peripheral",_xlfn.XLOOKUP($K919&amp;"",PERIPHERAL!$B$3:$B$954&amp;"",PERIPHERAL!$Y$3:$Y$954,""),"Utilities",_xlfn.XLOOKUP($K919&amp;"",UTILITIES!$B$3:$B$953&amp;"",UTILITIES!$O$3:$O$953,""),"IOT",_xlfn.XLOOKUP($K919&amp;"",IOT!$B$3:$B$1012&amp;"",IOT!$AB$3:$AB$1012,""),"Server",_xlfn.XLOOKUP($K919&amp;"",SERVER!$B$3:$B$1009&amp;"",SERVER!$AB$3:$AB$1009,""),""))))</f>
        <v/>
      </c>
      <c r="R919" s="43" t="str">
        <f>IF(tbl_handover[[#This Row],[Asset Code]]="","",COUNTIF(tbl_handover[Asset Code],tbl_handover[[#This Row],[Asset Code]]))</f>
        <v/>
      </c>
    </row>
    <row r="920" spans="1:18" x14ac:dyDescent="0.25">
      <c r="A920" s="43" t="str">
        <f>IF(B920&lt;&gt;"",SUBTOTAL(3,$B$1:B919),"")</f>
        <v/>
      </c>
      <c r="C920" s="74"/>
      <c r="D920" s="74"/>
      <c r="G920" s="1"/>
      <c r="K920" s="42"/>
      <c r="L920" t="str" cm="1">
        <f t="array" ref="L920">IF($K920="","",_xlfn.SWITCH($I920,"Computer",_xlfn.XLOOKUP($K920&amp;"",COMPUTER!$B$3:$B$1009&amp;"",COMPUTER!$I$3:$I$1009,""),"Display",_xlfn.XLOOKUP($K920&amp;"",DISPLAY!$B$3:$B$1000&amp;"",DISPLAY!$J$3:$J$1000,""),"Network Device",_xlfn.XLOOKUP($K920&amp;"",'NETWORK-DEVICES'!$B$3:$B$987&amp;"",'NETWORK-DEVICES'!$I$3:$I$987,""),"Peripheral",_xlfn.XLOOKUP($K920&amp;"",PERIPHERAL!$B$3:$B$954&amp;"",PERIPHERAL!$I$3:$I$954,""),"Utilities",_xlfn.XLOOKUP($K920&amp;"",UTILITIES!$B$3:$B$953&amp;"",UTILITIES!$H$3:$H$953,""),"IOT",_xlfn.XLOOKUP($K920&amp;"",IOT!$B$3:$B$1012&amp;"",IOT!$I$3:$I$1012,""),"SERVER",_xlfn.XLOOKUP($K920&amp;"",SERVER!$B$3:$B$1009&amp;"",SERVER!$I$3:$I$1009,""),""))</f>
        <v/>
      </c>
      <c r="M920" t="str" cm="1">
        <f t="array" ref="M920">IF($K920="","",_xlfn.SWITCH($I920,"Computer",_xlfn.XLOOKUP($K920&amp;"",COMPUTER!$B$3:$B$1009&amp;"",COMPUTER!$J$3:$J$1009,""),"Display",_xlfn.XLOOKUP($K920&amp;"",DISPLAY!$B$3:$B$1000&amp;"",DISPLAY!$K$3:$K$1000,""),"Network Device",_xlfn.XLOOKUP($K920&amp;"",'NETWORK-DEVICES'!$B$3:$B$987&amp;"",'NETWORK-DEVICES'!$I$3:$I$987,""),"Peripheral",_xlfn.XLOOKUP($K920&amp;"",PERIPHERAL!$B$3:$B$954&amp;"",PERIPHERAL!$J$3:$J$954,""),"Utilities",_xlfn.XLOOKUP($K920&amp;"",UTILITIES!$B$3:$B$953&amp;"",UTILITIES!$I$3:$I$953,""),"IOT",_xlfn.XLOOKUP($K920&amp;"",IOT!$B$3:$B$1012&amp;"",IOT!$J$3:$J$1012,""),"Server",_xlfn.XLOOKUP($K920&amp;"",SERVER!$B$3:$B$1009&amp;"",SERVER!$J$3:$J$1009,""),""))</f>
        <v/>
      </c>
      <c r="N920" s="1" t="str" cm="1">
        <f t="array" ref="N920">IF(OR($K920="",$I920="",$J920=""),"",_xlfn.LET(_xlpm.srcCat,_xlfn.SWITCH($I920,"Computer",_xlfn.XLOOKUP($K920&amp;"",COMPUTER!$B$3:$B$1009&amp;"",COMPUTER!$H$3:$H$1009,""),"Display",_xlfn.XLOOKUP($K920&amp;"",DISPLAY!$B$3:$B$1000&amp;"",DISPLAY!$H$3:$H$1000,""),"Network Device",_xlfn.XLOOKUP($K920&amp;"",'NETWORK-DEVICES'!$B$3:$B$987&amp;"",'NETWORK-DEVICES'!$H$3:$H$987,""),"Peripheral",_xlfn.XLOOKUP($K920&amp;"",PERIPHERAL!$B$3:$B$954&amp;"",PERIPHERAL!$H$3:$H$954,""),"Utilities",_xlfn.XLOOKUP($K920&amp;"",UTILITIES!$B$3:$B$953&amp;"",UTILITIES!$G$3:$G$953,""),"IOT",_xlfn.XLOOKUP($K920&amp;"",IOT!$B$3:$B$1012&amp;"",IOT!$H$3:$H$1012,""),"Server",_xlfn.XLOOKUP($K920&amp;"",SERVER!$B$3:$B$1009&amp;"",SERVER!$H$3:$H$1009,""),""),IF(TRIM(_xlpm.srcCat)&lt;&gt;TRIM($J920),"",_xlfn.SWITCH($I920,"Computer",_xlfn.XLOOKUP($K920&amp;"",COMPUTER!$B$3:$B$1009&amp;"",COMPUTER!$K$3:$K$1009,""),"Display",_xlfn.XLOOKUP($K920&amp;"",DISPLAY!$B$3:$B$1000&amp;"",DISPLAY!$L$3:$L$1000,""),"Network Device",_xlfn.XLOOKUP($K920&amp;"",'NETWORK-DEVICES'!$B$3:$B$987&amp;"",'NETWORK-DEVICES'!$K$3:$K$987,""),"Peripheral",_xlfn.XLOOKUP($K920&amp;"",PERIPHERAL!$B$3:$B$954&amp;"",PERIPHERAL!$K$3:$K$954,""),"Utilities",_xlfn.XLOOKUP($K920&amp;"",UTILITIES!$B$3:$B$953&amp;"",UTILITIES!$J$3:$J$953,""),"IOT",_xlfn.XLOOKUP($K920&amp;"",IOT!$B$3:$B$1012&amp;"",IOT!$K$4:$K$1012,""),"Server",_xlfn.XLOOKUP($K920&amp;"",SERVER!$B$3:$B$1009&amp;"",SERVER!$K$3:$K$1009,""),""))))</f>
        <v/>
      </c>
      <c r="O920" s="1" t="str" cm="1">
        <f t="array" ref="O920">IF(OR($K920="",$I920="",$J920=""),"",_xlfn.LET(_xlpm.srcCat,_xlfn.SWITCH($I920,"Computer",_xlfn.XLOOKUP($K920&amp;"",COMPUTER!$B$3:$B$1009&amp;"",COMPUTER!$H$3:$H$1009,""),"Display",_xlfn.XLOOKUP($K920&amp;"",DISPLAY!$B$3:$B$1000&amp;"",DISPLAY!$H$3:$H$1000,""),"Network Device",_xlfn.XLOOKUP($K920&amp;"",'NETWORK-DEVICES'!$B$3:$B$987&amp;"",'NETWORK-DEVICES'!$H$3:$H$987,""),"Peripheral",_xlfn.XLOOKUP($K920&amp;"",PERIPHERAL!$B$3:$B$954&amp;"",PERIPHERAL!$H$3:$H$954,""),"Utilities",_xlfn.XLOOKUP($K920&amp;"",UTILITIES!$B$3:$B$953&amp;"",UTILITIES!$G$3:$G$953,""),"IOT",_xlfn.XLOOKUP($K920&amp;"",IOT!$B$3:$B$1012&amp;"",IOT!$H$3:$H$1012,""),"Server",_xlfn.XLOOKUP($K920&amp;"",SERVER!$B$3:$B$1009&amp;"",SERVER!$H$3:$H$1009,""),""),IF(TRIM(_xlpm.srcCat)&lt;&gt;TRIM($J920),"",_xlfn.SWITCH($I920,"Computer",_xlfn.XLOOKUP($K920&amp;"",COMPUTER!$B$3:$B$1009&amp;"",COMPUTER!$E$3:$E$1009,""),"Display",_xlfn.XLOOKUP($K920&amp;"",DISPLAY!$B$3:$B$1000&amp;"",DISPLAY!$E$3:$E$1000,""),"Network Device",_xlfn.XLOOKUP($K920&amp;"",'NETWORK-DEVICES'!$B$3:$B$987&amp;"",'NETWORK-DEVICES'!$E$3:$E$987,""),"Peripheral",_xlfn.XLOOKUP($K920&amp;"",PERIPHERAL!$B$3:$B$954&amp;"",PERIPHERAL!$E$3:$E$954,""),"Utilities",_xlfn.XLOOKUP($K920&amp;"",UTILITIES!$B$3:$B$953&amp;"",UTILITIES!$E$3:$E$953,""),"IOT",_xlfn.XLOOKUP($K920&amp;"",IOT!$B$3:$B$1012&amp;"",IOT!$E$3:$E$1012,""),"Server",_xlfn.XLOOKUP($K920&amp;"",SERVER!$B$3:$B$1009&amp;"",SERVER!$E$3:$E$1009,""),""))))</f>
        <v/>
      </c>
      <c r="Q920" s="1" t="str" cm="1">
        <f t="array" ref="Q920">IF(OR($K920="",$I920="",$J920=""),"",_xlfn.LET(_xlpm.srcCat,_xlfn.SWITCH($I920,"Computer",_xlfn.XLOOKUP($K920&amp;"",COMPUTER!$B$3:$B$1009&amp;"",COMPUTER!$H$3:$H$1009,""),"Display",_xlfn.XLOOKUP($K920&amp;"",DISPLAY!$B$3:$B$1000&amp;"",DISPLAY!$H$3:$H$1000,""),"Network Device",_xlfn.XLOOKUP($K920&amp;"",'NETWORK-DEVICES'!$B$3:$B$987&amp;"",'NETWORK-DEVICES'!$H$3:$H$987,""),"Peripheral",_xlfn.XLOOKUP($K920&amp;"",PERIPHERAL!$B$3:$B$954&amp;"",PERIPHERAL!$H$3:$H$954,""),"Utilities",_xlfn.XLOOKUP($K920&amp;"",UTILITIES!$B$3:$B$953&amp;"",UTILITIES!$G$3:$G$953,""),"IOT",_xlfn.XLOOKUP($K920&amp;"",IOT!$B$3:$B$1012&amp;"",IOT!$H$3:$H$1012,""),"Server",_xlfn.XLOOKUP($K920&amp;"",SERVER!$B$3:$B$1009&amp;"",SERVER!$H$3:$H$1009,""),""),IF(TRIM(_xlpm.srcCat)&lt;&gt;TRIM($J920),"",_xlfn.SWITCH($I920,"Computer",_xlfn.XLOOKUP($K920&amp;"",COMPUTER!$B$3:$B$1009&amp;"",COMPUTER!$AM$3:$AM$1009,""),"Display",_xlfn.XLOOKUP($K920&amp;"",DISPLAY!$B$3:$B$1000&amp;"",DISPLAY!$V$3:$V$1000,""),"Network Device",_xlfn.XLOOKUP($K920&amp;"",'NETWORK-DEVICES'!$B$3:$B$987&amp;"",'NETWORK-DEVICES'!$AF$3:$AF$987,""),"Peripheral",_xlfn.XLOOKUP($K920&amp;"",PERIPHERAL!$B$3:$B$954&amp;"",PERIPHERAL!$Y$3:$Y$954,""),"Utilities",_xlfn.XLOOKUP($K920&amp;"",UTILITIES!$B$3:$B$953&amp;"",UTILITIES!$O$3:$O$953,""),"IOT",_xlfn.XLOOKUP($K920&amp;"",IOT!$B$3:$B$1012&amp;"",IOT!$AB$3:$AB$1012,""),"Server",_xlfn.XLOOKUP($K920&amp;"",SERVER!$B$3:$B$1009&amp;"",SERVER!$AB$3:$AB$1009,""),""))))</f>
        <v/>
      </c>
      <c r="R920" s="43" t="str">
        <f>IF(tbl_handover[[#This Row],[Asset Code]]="","",COUNTIF(tbl_handover[Asset Code],tbl_handover[[#This Row],[Asset Code]]))</f>
        <v/>
      </c>
    </row>
    <row r="921" spans="1:18" x14ac:dyDescent="0.25">
      <c r="A921" s="43" t="str">
        <f>IF(B921&lt;&gt;"",SUBTOTAL(3,$B$1:B920),"")</f>
        <v/>
      </c>
      <c r="C921" s="74"/>
      <c r="D921" s="74"/>
      <c r="G921" s="1"/>
      <c r="K921" s="42"/>
      <c r="L921" t="str" cm="1">
        <f t="array" ref="L921">IF($K921="","",_xlfn.SWITCH($I921,"Computer",_xlfn.XLOOKUP($K921&amp;"",COMPUTER!$B$3:$B$1009&amp;"",COMPUTER!$I$3:$I$1009,""),"Display",_xlfn.XLOOKUP($K921&amp;"",DISPLAY!$B$3:$B$1000&amp;"",DISPLAY!$J$3:$J$1000,""),"Network Device",_xlfn.XLOOKUP($K921&amp;"",'NETWORK-DEVICES'!$B$3:$B$987&amp;"",'NETWORK-DEVICES'!$I$3:$I$987,""),"Peripheral",_xlfn.XLOOKUP($K921&amp;"",PERIPHERAL!$B$3:$B$954&amp;"",PERIPHERAL!$I$3:$I$954,""),"Utilities",_xlfn.XLOOKUP($K921&amp;"",UTILITIES!$B$3:$B$953&amp;"",UTILITIES!$H$3:$H$953,""),"IOT",_xlfn.XLOOKUP($K921&amp;"",IOT!$B$3:$B$1012&amp;"",IOT!$I$3:$I$1012,""),"SERVER",_xlfn.XLOOKUP($K921&amp;"",SERVER!$B$3:$B$1009&amp;"",SERVER!$I$3:$I$1009,""),""))</f>
        <v/>
      </c>
      <c r="M921" t="str" cm="1">
        <f t="array" ref="M921">IF($K921="","",_xlfn.SWITCH($I921,"Computer",_xlfn.XLOOKUP($K921&amp;"",COMPUTER!$B$3:$B$1009&amp;"",COMPUTER!$J$3:$J$1009,""),"Display",_xlfn.XLOOKUP($K921&amp;"",DISPLAY!$B$3:$B$1000&amp;"",DISPLAY!$K$3:$K$1000,""),"Network Device",_xlfn.XLOOKUP($K921&amp;"",'NETWORK-DEVICES'!$B$3:$B$987&amp;"",'NETWORK-DEVICES'!$I$3:$I$987,""),"Peripheral",_xlfn.XLOOKUP($K921&amp;"",PERIPHERAL!$B$3:$B$954&amp;"",PERIPHERAL!$J$3:$J$954,""),"Utilities",_xlfn.XLOOKUP($K921&amp;"",UTILITIES!$B$3:$B$953&amp;"",UTILITIES!$I$3:$I$953,""),"IOT",_xlfn.XLOOKUP($K921&amp;"",IOT!$B$3:$B$1012&amp;"",IOT!$J$3:$J$1012,""),"Server",_xlfn.XLOOKUP($K921&amp;"",SERVER!$B$3:$B$1009&amp;"",SERVER!$J$3:$J$1009,""),""))</f>
        <v/>
      </c>
      <c r="N921" s="1" t="str" cm="1">
        <f t="array" ref="N921">IF(OR($K921="",$I921="",$J921=""),"",_xlfn.LET(_xlpm.srcCat,_xlfn.SWITCH($I921,"Computer",_xlfn.XLOOKUP($K921&amp;"",COMPUTER!$B$3:$B$1009&amp;"",COMPUTER!$H$3:$H$1009,""),"Display",_xlfn.XLOOKUP($K921&amp;"",DISPLAY!$B$3:$B$1000&amp;"",DISPLAY!$H$3:$H$1000,""),"Network Device",_xlfn.XLOOKUP($K921&amp;"",'NETWORK-DEVICES'!$B$3:$B$987&amp;"",'NETWORK-DEVICES'!$H$3:$H$987,""),"Peripheral",_xlfn.XLOOKUP($K921&amp;"",PERIPHERAL!$B$3:$B$954&amp;"",PERIPHERAL!$H$3:$H$954,""),"Utilities",_xlfn.XLOOKUP($K921&amp;"",UTILITIES!$B$3:$B$953&amp;"",UTILITIES!$G$3:$G$953,""),"IOT",_xlfn.XLOOKUP($K921&amp;"",IOT!$B$3:$B$1012&amp;"",IOT!$H$3:$H$1012,""),"Server",_xlfn.XLOOKUP($K921&amp;"",SERVER!$B$3:$B$1009&amp;"",SERVER!$H$3:$H$1009,""),""),IF(TRIM(_xlpm.srcCat)&lt;&gt;TRIM($J921),"",_xlfn.SWITCH($I921,"Computer",_xlfn.XLOOKUP($K921&amp;"",COMPUTER!$B$3:$B$1009&amp;"",COMPUTER!$K$3:$K$1009,""),"Display",_xlfn.XLOOKUP($K921&amp;"",DISPLAY!$B$3:$B$1000&amp;"",DISPLAY!$L$3:$L$1000,""),"Network Device",_xlfn.XLOOKUP($K921&amp;"",'NETWORK-DEVICES'!$B$3:$B$987&amp;"",'NETWORK-DEVICES'!$K$3:$K$987,""),"Peripheral",_xlfn.XLOOKUP($K921&amp;"",PERIPHERAL!$B$3:$B$954&amp;"",PERIPHERAL!$K$3:$K$954,""),"Utilities",_xlfn.XLOOKUP($K921&amp;"",UTILITIES!$B$3:$B$953&amp;"",UTILITIES!$J$3:$J$953,""),"IOT",_xlfn.XLOOKUP($K921&amp;"",IOT!$B$3:$B$1012&amp;"",IOT!$K$4:$K$1012,""),"Server",_xlfn.XLOOKUP($K921&amp;"",SERVER!$B$3:$B$1009&amp;"",SERVER!$K$3:$K$1009,""),""))))</f>
        <v/>
      </c>
      <c r="O921" s="1" t="str" cm="1">
        <f t="array" ref="O921">IF(OR($K921="",$I921="",$J921=""),"",_xlfn.LET(_xlpm.srcCat,_xlfn.SWITCH($I921,"Computer",_xlfn.XLOOKUP($K921&amp;"",COMPUTER!$B$3:$B$1009&amp;"",COMPUTER!$H$3:$H$1009,""),"Display",_xlfn.XLOOKUP($K921&amp;"",DISPLAY!$B$3:$B$1000&amp;"",DISPLAY!$H$3:$H$1000,""),"Network Device",_xlfn.XLOOKUP($K921&amp;"",'NETWORK-DEVICES'!$B$3:$B$987&amp;"",'NETWORK-DEVICES'!$H$3:$H$987,""),"Peripheral",_xlfn.XLOOKUP($K921&amp;"",PERIPHERAL!$B$3:$B$954&amp;"",PERIPHERAL!$H$3:$H$954,""),"Utilities",_xlfn.XLOOKUP($K921&amp;"",UTILITIES!$B$3:$B$953&amp;"",UTILITIES!$G$3:$G$953,""),"IOT",_xlfn.XLOOKUP($K921&amp;"",IOT!$B$3:$B$1012&amp;"",IOT!$H$3:$H$1012,""),"Server",_xlfn.XLOOKUP($K921&amp;"",SERVER!$B$3:$B$1009&amp;"",SERVER!$H$3:$H$1009,""),""),IF(TRIM(_xlpm.srcCat)&lt;&gt;TRIM($J921),"",_xlfn.SWITCH($I921,"Computer",_xlfn.XLOOKUP($K921&amp;"",COMPUTER!$B$3:$B$1009&amp;"",COMPUTER!$E$3:$E$1009,""),"Display",_xlfn.XLOOKUP($K921&amp;"",DISPLAY!$B$3:$B$1000&amp;"",DISPLAY!$E$3:$E$1000,""),"Network Device",_xlfn.XLOOKUP($K921&amp;"",'NETWORK-DEVICES'!$B$3:$B$987&amp;"",'NETWORK-DEVICES'!$E$3:$E$987,""),"Peripheral",_xlfn.XLOOKUP($K921&amp;"",PERIPHERAL!$B$3:$B$954&amp;"",PERIPHERAL!$E$3:$E$954,""),"Utilities",_xlfn.XLOOKUP($K921&amp;"",UTILITIES!$B$3:$B$953&amp;"",UTILITIES!$E$3:$E$953,""),"IOT",_xlfn.XLOOKUP($K921&amp;"",IOT!$B$3:$B$1012&amp;"",IOT!$E$3:$E$1012,""),"Server",_xlfn.XLOOKUP($K921&amp;"",SERVER!$B$3:$B$1009&amp;"",SERVER!$E$3:$E$1009,""),""))))</f>
        <v/>
      </c>
      <c r="Q921" s="1" t="str" cm="1">
        <f t="array" ref="Q921">IF(OR($K921="",$I921="",$J921=""),"",_xlfn.LET(_xlpm.srcCat,_xlfn.SWITCH($I921,"Computer",_xlfn.XLOOKUP($K921&amp;"",COMPUTER!$B$3:$B$1009&amp;"",COMPUTER!$H$3:$H$1009,""),"Display",_xlfn.XLOOKUP($K921&amp;"",DISPLAY!$B$3:$B$1000&amp;"",DISPLAY!$H$3:$H$1000,""),"Network Device",_xlfn.XLOOKUP($K921&amp;"",'NETWORK-DEVICES'!$B$3:$B$987&amp;"",'NETWORK-DEVICES'!$H$3:$H$987,""),"Peripheral",_xlfn.XLOOKUP($K921&amp;"",PERIPHERAL!$B$3:$B$954&amp;"",PERIPHERAL!$H$3:$H$954,""),"Utilities",_xlfn.XLOOKUP($K921&amp;"",UTILITIES!$B$3:$B$953&amp;"",UTILITIES!$G$3:$G$953,""),"IOT",_xlfn.XLOOKUP($K921&amp;"",IOT!$B$3:$B$1012&amp;"",IOT!$H$3:$H$1012,""),"Server",_xlfn.XLOOKUP($K921&amp;"",SERVER!$B$3:$B$1009&amp;"",SERVER!$H$3:$H$1009,""),""),IF(TRIM(_xlpm.srcCat)&lt;&gt;TRIM($J921),"",_xlfn.SWITCH($I921,"Computer",_xlfn.XLOOKUP($K921&amp;"",COMPUTER!$B$3:$B$1009&amp;"",COMPUTER!$AM$3:$AM$1009,""),"Display",_xlfn.XLOOKUP($K921&amp;"",DISPLAY!$B$3:$B$1000&amp;"",DISPLAY!$V$3:$V$1000,""),"Network Device",_xlfn.XLOOKUP($K921&amp;"",'NETWORK-DEVICES'!$B$3:$B$987&amp;"",'NETWORK-DEVICES'!$AF$3:$AF$987,""),"Peripheral",_xlfn.XLOOKUP($K921&amp;"",PERIPHERAL!$B$3:$B$954&amp;"",PERIPHERAL!$Y$3:$Y$954,""),"Utilities",_xlfn.XLOOKUP($K921&amp;"",UTILITIES!$B$3:$B$953&amp;"",UTILITIES!$O$3:$O$953,""),"IOT",_xlfn.XLOOKUP($K921&amp;"",IOT!$B$3:$B$1012&amp;"",IOT!$AB$3:$AB$1012,""),"Server",_xlfn.XLOOKUP($K921&amp;"",SERVER!$B$3:$B$1009&amp;"",SERVER!$AB$3:$AB$1009,""),""))))</f>
        <v/>
      </c>
      <c r="R921" s="43" t="str">
        <f>IF(tbl_handover[[#This Row],[Asset Code]]="","",COUNTIF(tbl_handover[Asset Code],tbl_handover[[#This Row],[Asset Code]]))</f>
        <v/>
      </c>
    </row>
    <row r="922" spans="1:18" x14ac:dyDescent="0.25">
      <c r="A922" s="43" t="str">
        <f>IF(B922&lt;&gt;"",SUBTOTAL(3,$B$1:B921),"")</f>
        <v/>
      </c>
      <c r="C922" s="74"/>
      <c r="D922" s="74"/>
      <c r="G922" s="1"/>
      <c r="K922" s="42"/>
      <c r="L922" t="str" cm="1">
        <f t="array" ref="L922">IF($K922="","",_xlfn.SWITCH($I922,"Computer",_xlfn.XLOOKUP($K922&amp;"",COMPUTER!$B$3:$B$1009&amp;"",COMPUTER!$I$3:$I$1009,""),"Display",_xlfn.XLOOKUP($K922&amp;"",DISPLAY!$B$3:$B$1000&amp;"",DISPLAY!$J$3:$J$1000,""),"Network Device",_xlfn.XLOOKUP($K922&amp;"",'NETWORK-DEVICES'!$B$3:$B$987&amp;"",'NETWORK-DEVICES'!$I$3:$I$987,""),"Peripheral",_xlfn.XLOOKUP($K922&amp;"",PERIPHERAL!$B$3:$B$954&amp;"",PERIPHERAL!$I$3:$I$954,""),"Utilities",_xlfn.XLOOKUP($K922&amp;"",UTILITIES!$B$3:$B$953&amp;"",UTILITIES!$H$3:$H$953,""),"IOT",_xlfn.XLOOKUP($K922&amp;"",IOT!$B$3:$B$1012&amp;"",IOT!$I$3:$I$1012,""),"SERVER",_xlfn.XLOOKUP($K922&amp;"",SERVER!$B$3:$B$1009&amp;"",SERVER!$I$3:$I$1009,""),""))</f>
        <v/>
      </c>
      <c r="M922" t="str" cm="1">
        <f t="array" ref="M922">IF($K922="","",_xlfn.SWITCH($I922,"Computer",_xlfn.XLOOKUP($K922&amp;"",COMPUTER!$B$3:$B$1009&amp;"",COMPUTER!$J$3:$J$1009,""),"Display",_xlfn.XLOOKUP($K922&amp;"",DISPLAY!$B$3:$B$1000&amp;"",DISPLAY!$K$3:$K$1000,""),"Network Device",_xlfn.XLOOKUP($K922&amp;"",'NETWORK-DEVICES'!$B$3:$B$987&amp;"",'NETWORK-DEVICES'!$I$3:$I$987,""),"Peripheral",_xlfn.XLOOKUP($K922&amp;"",PERIPHERAL!$B$3:$B$954&amp;"",PERIPHERAL!$J$3:$J$954,""),"Utilities",_xlfn.XLOOKUP($K922&amp;"",UTILITIES!$B$3:$B$953&amp;"",UTILITIES!$I$3:$I$953,""),"IOT",_xlfn.XLOOKUP($K922&amp;"",IOT!$B$3:$B$1012&amp;"",IOT!$J$3:$J$1012,""),"Server",_xlfn.XLOOKUP($K922&amp;"",SERVER!$B$3:$B$1009&amp;"",SERVER!$J$3:$J$1009,""),""))</f>
        <v/>
      </c>
      <c r="N922" s="1" t="str" cm="1">
        <f t="array" ref="N922">IF(OR($K922="",$I922="",$J922=""),"",_xlfn.LET(_xlpm.srcCat,_xlfn.SWITCH($I922,"Computer",_xlfn.XLOOKUP($K922&amp;"",COMPUTER!$B$3:$B$1009&amp;"",COMPUTER!$H$3:$H$1009,""),"Display",_xlfn.XLOOKUP($K922&amp;"",DISPLAY!$B$3:$B$1000&amp;"",DISPLAY!$H$3:$H$1000,""),"Network Device",_xlfn.XLOOKUP($K922&amp;"",'NETWORK-DEVICES'!$B$3:$B$987&amp;"",'NETWORK-DEVICES'!$H$3:$H$987,""),"Peripheral",_xlfn.XLOOKUP($K922&amp;"",PERIPHERAL!$B$3:$B$954&amp;"",PERIPHERAL!$H$3:$H$954,""),"Utilities",_xlfn.XLOOKUP($K922&amp;"",UTILITIES!$B$3:$B$953&amp;"",UTILITIES!$G$3:$G$953,""),"IOT",_xlfn.XLOOKUP($K922&amp;"",IOT!$B$3:$B$1012&amp;"",IOT!$H$3:$H$1012,""),"Server",_xlfn.XLOOKUP($K922&amp;"",SERVER!$B$3:$B$1009&amp;"",SERVER!$H$3:$H$1009,""),""),IF(TRIM(_xlpm.srcCat)&lt;&gt;TRIM($J922),"",_xlfn.SWITCH($I922,"Computer",_xlfn.XLOOKUP($K922&amp;"",COMPUTER!$B$3:$B$1009&amp;"",COMPUTER!$K$3:$K$1009,""),"Display",_xlfn.XLOOKUP($K922&amp;"",DISPLAY!$B$3:$B$1000&amp;"",DISPLAY!$L$3:$L$1000,""),"Network Device",_xlfn.XLOOKUP($K922&amp;"",'NETWORK-DEVICES'!$B$3:$B$987&amp;"",'NETWORK-DEVICES'!$K$3:$K$987,""),"Peripheral",_xlfn.XLOOKUP($K922&amp;"",PERIPHERAL!$B$3:$B$954&amp;"",PERIPHERAL!$K$3:$K$954,""),"Utilities",_xlfn.XLOOKUP($K922&amp;"",UTILITIES!$B$3:$B$953&amp;"",UTILITIES!$J$3:$J$953,""),"IOT",_xlfn.XLOOKUP($K922&amp;"",IOT!$B$3:$B$1012&amp;"",IOT!$K$4:$K$1012,""),"Server",_xlfn.XLOOKUP($K922&amp;"",SERVER!$B$3:$B$1009&amp;"",SERVER!$K$3:$K$1009,""),""))))</f>
        <v/>
      </c>
      <c r="O922" s="1" t="str" cm="1">
        <f t="array" ref="O922">IF(OR($K922="",$I922="",$J922=""),"",_xlfn.LET(_xlpm.srcCat,_xlfn.SWITCH($I922,"Computer",_xlfn.XLOOKUP($K922&amp;"",COMPUTER!$B$3:$B$1009&amp;"",COMPUTER!$H$3:$H$1009,""),"Display",_xlfn.XLOOKUP($K922&amp;"",DISPLAY!$B$3:$B$1000&amp;"",DISPLAY!$H$3:$H$1000,""),"Network Device",_xlfn.XLOOKUP($K922&amp;"",'NETWORK-DEVICES'!$B$3:$B$987&amp;"",'NETWORK-DEVICES'!$H$3:$H$987,""),"Peripheral",_xlfn.XLOOKUP($K922&amp;"",PERIPHERAL!$B$3:$B$954&amp;"",PERIPHERAL!$H$3:$H$954,""),"Utilities",_xlfn.XLOOKUP($K922&amp;"",UTILITIES!$B$3:$B$953&amp;"",UTILITIES!$G$3:$G$953,""),"IOT",_xlfn.XLOOKUP($K922&amp;"",IOT!$B$3:$B$1012&amp;"",IOT!$H$3:$H$1012,""),"Server",_xlfn.XLOOKUP($K922&amp;"",SERVER!$B$3:$B$1009&amp;"",SERVER!$H$3:$H$1009,""),""),IF(TRIM(_xlpm.srcCat)&lt;&gt;TRIM($J922),"",_xlfn.SWITCH($I922,"Computer",_xlfn.XLOOKUP($K922&amp;"",COMPUTER!$B$3:$B$1009&amp;"",COMPUTER!$E$3:$E$1009,""),"Display",_xlfn.XLOOKUP($K922&amp;"",DISPLAY!$B$3:$B$1000&amp;"",DISPLAY!$E$3:$E$1000,""),"Network Device",_xlfn.XLOOKUP($K922&amp;"",'NETWORK-DEVICES'!$B$3:$B$987&amp;"",'NETWORK-DEVICES'!$E$3:$E$987,""),"Peripheral",_xlfn.XLOOKUP($K922&amp;"",PERIPHERAL!$B$3:$B$954&amp;"",PERIPHERAL!$E$3:$E$954,""),"Utilities",_xlfn.XLOOKUP($K922&amp;"",UTILITIES!$B$3:$B$953&amp;"",UTILITIES!$E$3:$E$953,""),"IOT",_xlfn.XLOOKUP($K922&amp;"",IOT!$B$3:$B$1012&amp;"",IOT!$E$3:$E$1012,""),"Server",_xlfn.XLOOKUP($K922&amp;"",SERVER!$B$3:$B$1009&amp;"",SERVER!$E$3:$E$1009,""),""))))</f>
        <v/>
      </c>
      <c r="Q922" s="1" t="str" cm="1">
        <f t="array" ref="Q922">IF(OR($K922="",$I922="",$J922=""),"",_xlfn.LET(_xlpm.srcCat,_xlfn.SWITCH($I922,"Computer",_xlfn.XLOOKUP($K922&amp;"",COMPUTER!$B$3:$B$1009&amp;"",COMPUTER!$H$3:$H$1009,""),"Display",_xlfn.XLOOKUP($K922&amp;"",DISPLAY!$B$3:$B$1000&amp;"",DISPLAY!$H$3:$H$1000,""),"Network Device",_xlfn.XLOOKUP($K922&amp;"",'NETWORK-DEVICES'!$B$3:$B$987&amp;"",'NETWORK-DEVICES'!$H$3:$H$987,""),"Peripheral",_xlfn.XLOOKUP($K922&amp;"",PERIPHERAL!$B$3:$B$954&amp;"",PERIPHERAL!$H$3:$H$954,""),"Utilities",_xlfn.XLOOKUP($K922&amp;"",UTILITIES!$B$3:$B$953&amp;"",UTILITIES!$G$3:$G$953,""),"IOT",_xlfn.XLOOKUP($K922&amp;"",IOT!$B$3:$B$1012&amp;"",IOT!$H$3:$H$1012,""),"Server",_xlfn.XLOOKUP($K922&amp;"",SERVER!$B$3:$B$1009&amp;"",SERVER!$H$3:$H$1009,""),""),IF(TRIM(_xlpm.srcCat)&lt;&gt;TRIM($J922),"",_xlfn.SWITCH($I922,"Computer",_xlfn.XLOOKUP($K922&amp;"",COMPUTER!$B$3:$B$1009&amp;"",COMPUTER!$AM$3:$AM$1009,""),"Display",_xlfn.XLOOKUP($K922&amp;"",DISPLAY!$B$3:$B$1000&amp;"",DISPLAY!$V$3:$V$1000,""),"Network Device",_xlfn.XLOOKUP($K922&amp;"",'NETWORK-DEVICES'!$B$3:$B$987&amp;"",'NETWORK-DEVICES'!$AF$3:$AF$987,""),"Peripheral",_xlfn.XLOOKUP($K922&amp;"",PERIPHERAL!$B$3:$B$954&amp;"",PERIPHERAL!$Y$3:$Y$954,""),"Utilities",_xlfn.XLOOKUP($K922&amp;"",UTILITIES!$B$3:$B$953&amp;"",UTILITIES!$O$3:$O$953,""),"IOT",_xlfn.XLOOKUP($K922&amp;"",IOT!$B$3:$B$1012&amp;"",IOT!$AB$3:$AB$1012,""),"Server",_xlfn.XLOOKUP($K922&amp;"",SERVER!$B$3:$B$1009&amp;"",SERVER!$AB$3:$AB$1009,""),""))))</f>
        <v/>
      </c>
      <c r="R922" s="43" t="str">
        <f>IF(tbl_handover[[#This Row],[Asset Code]]="","",COUNTIF(tbl_handover[Asset Code],tbl_handover[[#This Row],[Asset Code]]))</f>
        <v/>
      </c>
    </row>
    <row r="923" spans="1:18" x14ac:dyDescent="0.25">
      <c r="A923" s="43" t="str">
        <f>IF(B923&lt;&gt;"",SUBTOTAL(3,$B$1:B922),"")</f>
        <v/>
      </c>
      <c r="C923" s="74"/>
      <c r="D923" s="74"/>
      <c r="G923" s="1"/>
      <c r="K923" s="42"/>
      <c r="L923" t="str" cm="1">
        <f t="array" ref="L923">IF($K923="","",_xlfn.SWITCH($I923,"Computer",_xlfn.XLOOKUP($K923&amp;"",COMPUTER!$B$3:$B$1009&amp;"",COMPUTER!$I$3:$I$1009,""),"Display",_xlfn.XLOOKUP($K923&amp;"",DISPLAY!$B$3:$B$1000&amp;"",DISPLAY!$J$3:$J$1000,""),"Network Device",_xlfn.XLOOKUP($K923&amp;"",'NETWORK-DEVICES'!$B$3:$B$987&amp;"",'NETWORK-DEVICES'!$I$3:$I$987,""),"Peripheral",_xlfn.XLOOKUP($K923&amp;"",PERIPHERAL!$B$3:$B$954&amp;"",PERIPHERAL!$I$3:$I$954,""),"Utilities",_xlfn.XLOOKUP($K923&amp;"",UTILITIES!$B$3:$B$953&amp;"",UTILITIES!$H$3:$H$953,""),"IOT",_xlfn.XLOOKUP($K923&amp;"",IOT!$B$3:$B$1012&amp;"",IOT!$I$3:$I$1012,""),"SERVER",_xlfn.XLOOKUP($K923&amp;"",SERVER!$B$3:$B$1009&amp;"",SERVER!$I$3:$I$1009,""),""))</f>
        <v/>
      </c>
      <c r="M923" t="str" cm="1">
        <f t="array" ref="M923">IF($K923="","",_xlfn.SWITCH($I923,"Computer",_xlfn.XLOOKUP($K923&amp;"",COMPUTER!$B$3:$B$1009&amp;"",COMPUTER!$J$3:$J$1009,""),"Display",_xlfn.XLOOKUP($K923&amp;"",DISPLAY!$B$3:$B$1000&amp;"",DISPLAY!$K$3:$K$1000,""),"Network Device",_xlfn.XLOOKUP($K923&amp;"",'NETWORK-DEVICES'!$B$3:$B$987&amp;"",'NETWORK-DEVICES'!$I$3:$I$987,""),"Peripheral",_xlfn.XLOOKUP($K923&amp;"",PERIPHERAL!$B$3:$B$954&amp;"",PERIPHERAL!$J$3:$J$954,""),"Utilities",_xlfn.XLOOKUP($K923&amp;"",UTILITIES!$B$3:$B$953&amp;"",UTILITIES!$I$3:$I$953,""),"IOT",_xlfn.XLOOKUP($K923&amp;"",IOT!$B$3:$B$1012&amp;"",IOT!$J$3:$J$1012,""),"Server",_xlfn.XLOOKUP($K923&amp;"",SERVER!$B$3:$B$1009&amp;"",SERVER!$J$3:$J$1009,""),""))</f>
        <v/>
      </c>
      <c r="N923" s="1" t="str" cm="1">
        <f t="array" ref="N923">IF(OR($K923="",$I923="",$J923=""),"",_xlfn.LET(_xlpm.srcCat,_xlfn.SWITCH($I923,"Computer",_xlfn.XLOOKUP($K923&amp;"",COMPUTER!$B$3:$B$1009&amp;"",COMPUTER!$H$3:$H$1009,""),"Display",_xlfn.XLOOKUP($K923&amp;"",DISPLAY!$B$3:$B$1000&amp;"",DISPLAY!$H$3:$H$1000,""),"Network Device",_xlfn.XLOOKUP($K923&amp;"",'NETWORK-DEVICES'!$B$3:$B$987&amp;"",'NETWORK-DEVICES'!$H$3:$H$987,""),"Peripheral",_xlfn.XLOOKUP($K923&amp;"",PERIPHERAL!$B$3:$B$954&amp;"",PERIPHERAL!$H$3:$H$954,""),"Utilities",_xlfn.XLOOKUP($K923&amp;"",UTILITIES!$B$3:$B$953&amp;"",UTILITIES!$G$3:$G$953,""),"IOT",_xlfn.XLOOKUP($K923&amp;"",IOT!$B$3:$B$1012&amp;"",IOT!$H$3:$H$1012,""),"Server",_xlfn.XLOOKUP($K923&amp;"",SERVER!$B$3:$B$1009&amp;"",SERVER!$H$3:$H$1009,""),""),IF(TRIM(_xlpm.srcCat)&lt;&gt;TRIM($J923),"",_xlfn.SWITCH($I923,"Computer",_xlfn.XLOOKUP($K923&amp;"",COMPUTER!$B$3:$B$1009&amp;"",COMPUTER!$K$3:$K$1009,""),"Display",_xlfn.XLOOKUP($K923&amp;"",DISPLAY!$B$3:$B$1000&amp;"",DISPLAY!$L$3:$L$1000,""),"Network Device",_xlfn.XLOOKUP($K923&amp;"",'NETWORK-DEVICES'!$B$3:$B$987&amp;"",'NETWORK-DEVICES'!$K$3:$K$987,""),"Peripheral",_xlfn.XLOOKUP($K923&amp;"",PERIPHERAL!$B$3:$B$954&amp;"",PERIPHERAL!$K$3:$K$954,""),"Utilities",_xlfn.XLOOKUP($K923&amp;"",UTILITIES!$B$3:$B$953&amp;"",UTILITIES!$J$3:$J$953,""),"IOT",_xlfn.XLOOKUP($K923&amp;"",IOT!$B$3:$B$1012&amp;"",IOT!$K$4:$K$1012,""),"Server",_xlfn.XLOOKUP($K923&amp;"",SERVER!$B$3:$B$1009&amp;"",SERVER!$K$3:$K$1009,""),""))))</f>
        <v/>
      </c>
      <c r="O923" s="1" t="str" cm="1">
        <f t="array" ref="O923">IF(OR($K923="",$I923="",$J923=""),"",_xlfn.LET(_xlpm.srcCat,_xlfn.SWITCH($I923,"Computer",_xlfn.XLOOKUP($K923&amp;"",COMPUTER!$B$3:$B$1009&amp;"",COMPUTER!$H$3:$H$1009,""),"Display",_xlfn.XLOOKUP($K923&amp;"",DISPLAY!$B$3:$B$1000&amp;"",DISPLAY!$H$3:$H$1000,""),"Network Device",_xlfn.XLOOKUP($K923&amp;"",'NETWORK-DEVICES'!$B$3:$B$987&amp;"",'NETWORK-DEVICES'!$H$3:$H$987,""),"Peripheral",_xlfn.XLOOKUP($K923&amp;"",PERIPHERAL!$B$3:$B$954&amp;"",PERIPHERAL!$H$3:$H$954,""),"Utilities",_xlfn.XLOOKUP($K923&amp;"",UTILITIES!$B$3:$B$953&amp;"",UTILITIES!$G$3:$G$953,""),"IOT",_xlfn.XLOOKUP($K923&amp;"",IOT!$B$3:$B$1012&amp;"",IOT!$H$3:$H$1012,""),"Server",_xlfn.XLOOKUP($K923&amp;"",SERVER!$B$3:$B$1009&amp;"",SERVER!$H$3:$H$1009,""),""),IF(TRIM(_xlpm.srcCat)&lt;&gt;TRIM($J923),"",_xlfn.SWITCH($I923,"Computer",_xlfn.XLOOKUP($K923&amp;"",COMPUTER!$B$3:$B$1009&amp;"",COMPUTER!$E$3:$E$1009,""),"Display",_xlfn.XLOOKUP($K923&amp;"",DISPLAY!$B$3:$B$1000&amp;"",DISPLAY!$E$3:$E$1000,""),"Network Device",_xlfn.XLOOKUP($K923&amp;"",'NETWORK-DEVICES'!$B$3:$B$987&amp;"",'NETWORK-DEVICES'!$E$3:$E$987,""),"Peripheral",_xlfn.XLOOKUP($K923&amp;"",PERIPHERAL!$B$3:$B$954&amp;"",PERIPHERAL!$E$3:$E$954,""),"Utilities",_xlfn.XLOOKUP($K923&amp;"",UTILITIES!$B$3:$B$953&amp;"",UTILITIES!$E$3:$E$953,""),"IOT",_xlfn.XLOOKUP($K923&amp;"",IOT!$B$3:$B$1012&amp;"",IOT!$E$3:$E$1012,""),"Server",_xlfn.XLOOKUP($K923&amp;"",SERVER!$B$3:$B$1009&amp;"",SERVER!$E$3:$E$1009,""),""))))</f>
        <v/>
      </c>
      <c r="Q923" s="1" t="str" cm="1">
        <f t="array" ref="Q923">IF(OR($K923="",$I923="",$J923=""),"",_xlfn.LET(_xlpm.srcCat,_xlfn.SWITCH($I923,"Computer",_xlfn.XLOOKUP($K923&amp;"",COMPUTER!$B$3:$B$1009&amp;"",COMPUTER!$H$3:$H$1009,""),"Display",_xlfn.XLOOKUP($K923&amp;"",DISPLAY!$B$3:$B$1000&amp;"",DISPLAY!$H$3:$H$1000,""),"Network Device",_xlfn.XLOOKUP($K923&amp;"",'NETWORK-DEVICES'!$B$3:$B$987&amp;"",'NETWORK-DEVICES'!$H$3:$H$987,""),"Peripheral",_xlfn.XLOOKUP($K923&amp;"",PERIPHERAL!$B$3:$B$954&amp;"",PERIPHERAL!$H$3:$H$954,""),"Utilities",_xlfn.XLOOKUP($K923&amp;"",UTILITIES!$B$3:$B$953&amp;"",UTILITIES!$G$3:$G$953,""),"IOT",_xlfn.XLOOKUP($K923&amp;"",IOT!$B$3:$B$1012&amp;"",IOT!$H$3:$H$1012,""),"Server",_xlfn.XLOOKUP($K923&amp;"",SERVER!$B$3:$B$1009&amp;"",SERVER!$H$3:$H$1009,""),""),IF(TRIM(_xlpm.srcCat)&lt;&gt;TRIM($J923),"",_xlfn.SWITCH($I923,"Computer",_xlfn.XLOOKUP($K923&amp;"",COMPUTER!$B$3:$B$1009&amp;"",COMPUTER!$AM$3:$AM$1009,""),"Display",_xlfn.XLOOKUP($K923&amp;"",DISPLAY!$B$3:$B$1000&amp;"",DISPLAY!$V$3:$V$1000,""),"Network Device",_xlfn.XLOOKUP($K923&amp;"",'NETWORK-DEVICES'!$B$3:$B$987&amp;"",'NETWORK-DEVICES'!$AF$3:$AF$987,""),"Peripheral",_xlfn.XLOOKUP($K923&amp;"",PERIPHERAL!$B$3:$B$954&amp;"",PERIPHERAL!$Y$3:$Y$954,""),"Utilities",_xlfn.XLOOKUP($K923&amp;"",UTILITIES!$B$3:$B$953&amp;"",UTILITIES!$O$3:$O$953,""),"IOT",_xlfn.XLOOKUP($K923&amp;"",IOT!$B$3:$B$1012&amp;"",IOT!$AB$3:$AB$1012,""),"Server",_xlfn.XLOOKUP($K923&amp;"",SERVER!$B$3:$B$1009&amp;"",SERVER!$AB$3:$AB$1009,""),""))))</f>
        <v/>
      </c>
      <c r="R923" s="43" t="str">
        <f>IF(tbl_handover[[#This Row],[Asset Code]]="","",COUNTIF(tbl_handover[Asset Code],tbl_handover[[#This Row],[Asset Code]]))</f>
        <v/>
      </c>
    </row>
    <row r="924" spans="1:18" x14ac:dyDescent="0.25">
      <c r="A924" s="43" t="str">
        <f>IF(B924&lt;&gt;"",SUBTOTAL(3,$B$1:B923),"")</f>
        <v/>
      </c>
      <c r="C924" s="74"/>
      <c r="D924" s="74"/>
      <c r="G924" s="1"/>
      <c r="K924" s="42"/>
      <c r="L924" t="str" cm="1">
        <f t="array" ref="L924">IF($K924="","",_xlfn.SWITCH($I924,"Computer",_xlfn.XLOOKUP($K924&amp;"",COMPUTER!$B$3:$B$1009&amp;"",COMPUTER!$I$3:$I$1009,""),"Display",_xlfn.XLOOKUP($K924&amp;"",DISPLAY!$B$3:$B$1000&amp;"",DISPLAY!$J$3:$J$1000,""),"Network Device",_xlfn.XLOOKUP($K924&amp;"",'NETWORK-DEVICES'!$B$3:$B$987&amp;"",'NETWORK-DEVICES'!$I$3:$I$987,""),"Peripheral",_xlfn.XLOOKUP($K924&amp;"",PERIPHERAL!$B$3:$B$954&amp;"",PERIPHERAL!$I$3:$I$954,""),"Utilities",_xlfn.XLOOKUP($K924&amp;"",UTILITIES!$B$3:$B$953&amp;"",UTILITIES!$H$3:$H$953,""),"IOT",_xlfn.XLOOKUP($K924&amp;"",IOT!$B$3:$B$1012&amp;"",IOT!$I$3:$I$1012,""),"SERVER",_xlfn.XLOOKUP($K924&amp;"",SERVER!$B$3:$B$1009&amp;"",SERVER!$I$3:$I$1009,""),""))</f>
        <v/>
      </c>
      <c r="M924" t="str" cm="1">
        <f t="array" ref="M924">IF($K924="","",_xlfn.SWITCH($I924,"Computer",_xlfn.XLOOKUP($K924&amp;"",COMPUTER!$B$3:$B$1009&amp;"",COMPUTER!$J$3:$J$1009,""),"Display",_xlfn.XLOOKUP($K924&amp;"",DISPLAY!$B$3:$B$1000&amp;"",DISPLAY!$K$3:$K$1000,""),"Network Device",_xlfn.XLOOKUP($K924&amp;"",'NETWORK-DEVICES'!$B$3:$B$987&amp;"",'NETWORK-DEVICES'!$I$3:$I$987,""),"Peripheral",_xlfn.XLOOKUP($K924&amp;"",PERIPHERAL!$B$3:$B$954&amp;"",PERIPHERAL!$J$3:$J$954,""),"Utilities",_xlfn.XLOOKUP($K924&amp;"",UTILITIES!$B$3:$B$953&amp;"",UTILITIES!$I$3:$I$953,""),"IOT",_xlfn.XLOOKUP($K924&amp;"",IOT!$B$3:$B$1012&amp;"",IOT!$J$3:$J$1012,""),"Server",_xlfn.XLOOKUP($K924&amp;"",SERVER!$B$3:$B$1009&amp;"",SERVER!$J$3:$J$1009,""),""))</f>
        <v/>
      </c>
      <c r="N924" s="1" t="str" cm="1">
        <f t="array" ref="N924">IF(OR($K924="",$I924="",$J924=""),"",_xlfn.LET(_xlpm.srcCat,_xlfn.SWITCH($I924,"Computer",_xlfn.XLOOKUP($K924&amp;"",COMPUTER!$B$3:$B$1009&amp;"",COMPUTER!$H$3:$H$1009,""),"Display",_xlfn.XLOOKUP($K924&amp;"",DISPLAY!$B$3:$B$1000&amp;"",DISPLAY!$H$3:$H$1000,""),"Network Device",_xlfn.XLOOKUP($K924&amp;"",'NETWORK-DEVICES'!$B$3:$B$987&amp;"",'NETWORK-DEVICES'!$H$3:$H$987,""),"Peripheral",_xlfn.XLOOKUP($K924&amp;"",PERIPHERAL!$B$3:$B$954&amp;"",PERIPHERAL!$H$3:$H$954,""),"Utilities",_xlfn.XLOOKUP($K924&amp;"",UTILITIES!$B$3:$B$953&amp;"",UTILITIES!$G$3:$G$953,""),"IOT",_xlfn.XLOOKUP($K924&amp;"",IOT!$B$3:$B$1012&amp;"",IOT!$H$3:$H$1012,""),"Server",_xlfn.XLOOKUP($K924&amp;"",SERVER!$B$3:$B$1009&amp;"",SERVER!$H$3:$H$1009,""),""),IF(TRIM(_xlpm.srcCat)&lt;&gt;TRIM($J924),"",_xlfn.SWITCH($I924,"Computer",_xlfn.XLOOKUP($K924&amp;"",COMPUTER!$B$3:$B$1009&amp;"",COMPUTER!$K$3:$K$1009,""),"Display",_xlfn.XLOOKUP($K924&amp;"",DISPLAY!$B$3:$B$1000&amp;"",DISPLAY!$L$3:$L$1000,""),"Network Device",_xlfn.XLOOKUP($K924&amp;"",'NETWORK-DEVICES'!$B$3:$B$987&amp;"",'NETWORK-DEVICES'!$K$3:$K$987,""),"Peripheral",_xlfn.XLOOKUP($K924&amp;"",PERIPHERAL!$B$3:$B$954&amp;"",PERIPHERAL!$K$3:$K$954,""),"Utilities",_xlfn.XLOOKUP($K924&amp;"",UTILITIES!$B$3:$B$953&amp;"",UTILITIES!$J$3:$J$953,""),"IOT",_xlfn.XLOOKUP($K924&amp;"",IOT!$B$3:$B$1012&amp;"",IOT!$K$4:$K$1012,""),"Server",_xlfn.XLOOKUP($K924&amp;"",SERVER!$B$3:$B$1009&amp;"",SERVER!$K$3:$K$1009,""),""))))</f>
        <v/>
      </c>
      <c r="O924" s="1" t="str" cm="1">
        <f t="array" ref="O924">IF(OR($K924="",$I924="",$J924=""),"",_xlfn.LET(_xlpm.srcCat,_xlfn.SWITCH($I924,"Computer",_xlfn.XLOOKUP($K924&amp;"",COMPUTER!$B$3:$B$1009&amp;"",COMPUTER!$H$3:$H$1009,""),"Display",_xlfn.XLOOKUP($K924&amp;"",DISPLAY!$B$3:$B$1000&amp;"",DISPLAY!$H$3:$H$1000,""),"Network Device",_xlfn.XLOOKUP($K924&amp;"",'NETWORK-DEVICES'!$B$3:$B$987&amp;"",'NETWORK-DEVICES'!$H$3:$H$987,""),"Peripheral",_xlfn.XLOOKUP($K924&amp;"",PERIPHERAL!$B$3:$B$954&amp;"",PERIPHERAL!$H$3:$H$954,""),"Utilities",_xlfn.XLOOKUP($K924&amp;"",UTILITIES!$B$3:$B$953&amp;"",UTILITIES!$G$3:$G$953,""),"IOT",_xlfn.XLOOKUP($K924&amp;"",IOT!$B$3:$B$1012&amp;"",IOT!$H$3:$H$1012,""),"Server",_xlfn.XLOOKUP($K924&amp;"",SERVER!$B$3:$B$1009&amp;"",SERVER!$H$3:$H$1009,""),""),IF(TRIM(_xlpm.srcCat)&lt;&gt;TRIM($J924),"",_xlfn.SWITCH($I924,"Computer",_xlfn.XLOOKUP($K924&amp;"",COMPUTER!$B$3:$B$1009&amp;"",COMPUTER!$E$3:$E$1009,""),"Display",_xlfn.XLOOKUP($K924&amp;"",DISPLAY!$B$3:$B$1000&amp;"",DISPLAY!$E$3:$E$1000,""),"Network Device",_xlfn.XLOOKUP($K924&amp;"",'NETWORK-DEVICES'!$B$3:$B$987&amp;"",'NETWORK-DEVICES'!$E$3:$E$987,""),"Peripheral",_xlfn.XLOOKUP($K924&amp;"",PERIPHERAL!$B$3:$B$954&amp;"",PERIPHERAL!$E$3:$E$954,""),"Utilities",_xlfn.XLOOKUP($K924&amp;"",UTILITIES!$B$3:$B$953&amp;"",UTILITIES!$E$3:$E$953,""),"IOT",_xlfn.XLOOKUP($K924&amp;"",IOT!$B$3:$B$1012&amp;"",IOT!$E$3:$E$1012,""),"Server",_xlfn.XLOOKUP($K924&amp;"",SERVER!$B$3:$B$1009&amp;"",SERVER!$E$3:$E$1009,""),""))))</f>
        <v/>
      </c>
      <c r="Q924" s="1" t="str" cm="1">
        <f t="array" ref="Q924">IF(OR($K924="",$I924="",$J924=""),"",_xlfn.LET(_xlpm.srcCat,_xlfn.SWITCH($I924,"Computer",_xlfn.XLOOKUP($K924&amp;"",COMPUTER!$B$3:$B$1009&amp;"",COMPUTER!$H$3:$H$1009,""),"Display",_xlfn.XLOOKUP($K924&amp;"",DISPLAY!$B$3:$B$1000&amp;"",DISPLAY!$H$3:$H$1000,""),"Network Device",_xlfn.XLOOKUP($K924&amp;"",'NETWORK-DEVICES'!$B$3:$B$987&amp;"",'NETWORK-DEVICES'!$H$3:$H$987,""),"Peripheral",_xlfn.XLOOKUP($K924&amp;"",PERIPHERAL!$B$3:$B$954&amp;"",PERIPHERAL!$H$3:$H$954,""),"Utilities",_xlfn.XLOOKUP($K924&amp;"",UTILITIES!$B$3:$B$953&amp;"",UTILITIES!$G$3:$G$953,""),"IOT",_xlfn.XLOOKUP($K924&amp;"",IOT!$B$3:$B$1012&amp;"",IOT!$H$3:$H$1012,""),"Server",_xlfn.XLOOKUP($K924&amp;"",SERVER!$B$3:$B$1009&amp;"",SERVER!$H$3:$H$1009,""),""),IF(TRIM(_xlpm.srcCat)&lt;&gt;TRIM($J924),"",_xlfn.SWITCH($I924,"Computer",_xlfn.XLOOKUP($K924&amp;"",COMPUTER!$B$3:$B$1009&amp;"",COMPUTER!$AM$3:$AM$1009,""),"Display",_xlfn.XLOOKUP($K924&amp;"",DISPLAY!$B$3:$B$1000&amp;"",DISPLAY!$V$3:$V$1000,""),"Network Device",_xlfn.XLOOKUP($K924&amp;"",'NETWORK-DEVICES'!$B$3:$B$987&amp;"",'NETWORK-DEVICES'!$AF$3:$AF$987,""),"Peripheral",_xlfn.XLOOKUP($K924&amp;"",PERIPHERAL!$B$3:$B$954&amp;"",PERIPHERAL!$Y$3:$Y$954,""),"Utilities",_xlfn.XLOOKUP($K924&amp;"",UTILITIES!$B$3:$B$953&amp;"",UTILITIES!$O$3:$O$953,""),"IOT",_xlfn.XLOOKUP($K924&amp;"",IOT!$B$3:$B$1012&amp;"",IOT!$AB$3:$AB$1012,""),"Server",_xlfn.XLOOKUP($K924&amp;"",SERVER!$B$3:$B$1009&amp;"",SERVER!$AB$3:$AB$1009,""),""))))</f>
        <v/>
      </c>
      <c r="R924" s="43" t="str">
        <f>IF(tbl_handover[[#This Row],[Asset Code]]="","",COUNTIF(tbl_handover[Asset Code],tbl_handover[[#This Row],[Asset Code]]))</f>
        <v/>
      </c>
    </row>
    <row r="925" spans="1:18" x14ac:dyDescent="0.25">
      <c r="A925" s="43" t="str">
        <f>IF(B925&lt;&gt;"",SUBTOTAL(3,$B$1:B924),"")</f>
        <v/>
      </c>
      <c r="C925" s="74"/>
      <c r="D925" s="74"/>
      <c r="G925" s="1"/>
      <c r="K925" s="42"/>
      <c r="L925" t="str" cm="1">
        <f t="array" ref="L925">IF($K925="","",_xlfn.SWITCH($I925,"Computer",_xlfn.XLOOKUP($K925&amp;"",COMPUTER!$B$3:$B$1009&amp;"",COMPUTER!$I$3:$I$1009,""),"Display",_xlfn.XLOOKUP($K925&amp;"",DISPLAY!$B$3:$B$1000&amp;"",DISPLAY!$J$3:$J$1000,""),"Network Device",_xlfn.XLOOKUP($K925&amp;"",'NETWORK-DEVICES'!$B$3:$B$987&amp;"",'NETWORK-DEVICES'!$I$3:$I$987,""),"Peripheral",_xlfn.XLOOKUP($K925&amp;"",PERIPHERAL!$B$3:$B$954&amp;"",PERIPHERAL!$I$3:$I$954,""),"Utilities",_xlfn.XLOOKUP($K925&amp;"",UTILITIES!$B$3:$B$953&amp;"",UTILITIES!$H$3:$H$953,""),"IOT",_xlfn.XLOOKUP($K925&amp;"",IOT!$B$3:$B$1012&amp;"",IOT!$I$3:$I$1012,""),"SERVER",_xlfn.XLOOKUP($K925&amp;"",SERVER!$B$3:$B$1009&amp;"",SERVER!$I$3:$I$1009,""),""))</f>
        <v/>
      </c>
      <c r="M925" t="str" cm="1">
        <f t="array" ref="M925">IF($K925="","",_xlfn.SWITCH($I925,"Computer",_xlfn.XLOOKUP($K925&amp;"",COMPUTER!$B$3:$B$1009&amp;"",COMPUTER!$J$3:$J$1009,""),"Display",_xlfn.XLOOKUP($K925&amp;"",DISPLAY!$B$3:$B$1000&amp;"",DISPLAY!$K$3:$K$1000,""),"Network Device",_xlfn.XLOOKUP($K925&amp;"",'NETWORK-DEVICES'!$B$3:$B$987&amp;"",'NETWORK-DEVICES'!$I$3:$I$987,""),"Peripheral",_xlfn.XLOOKUP($K925&amp;"",PERIPHERAL!$B$3:$B$954&amp;"",PERIPHERAL!$J$3:$J$954,""),"Utilities",_xlfn.XLOOKUP($K925&amp;"",UTILITIES!$B$3:$B$953&amp;"",UTILITIES!$I$3:$I$953,""),"IOT",_xlfn.XLOOKUP($K925&amp;"",IOT!$B$3:$B$1012&amp;"",IOT!$J$3:$J$1012,""),"Server",_xlfn.XLOOKUP($K925&amp;"",SERVER!$B$3:$B$1009&amp;"",SERVER!$J$3:$J$1009,""),""))</f>
        <v/>
      </c>
      <c r="N925" s="1" t="str" cm="1">
        <f t="array" ref="N925">IF(OR($K925="",$I925="",$J925=""),"",_xlfn.LET(_xlpm.srcCat,_xlfn.SWITCH($I925,"Computer",_xlfn.XLOOKUP($K925&amp;"",COMPUTER!$B$3:$B$1009&amp;"",COMPUTER!$H$3:$H$1009,""),"Display",_xlfn.XLOOKUP($K925&amp;"",DISPLAY!$B$3:$B$1000&amp;"",DISPLAY!$H$3:$H$1000,""),"Network Device",_xlfn.XLOOKUP($K925&amp;"",'NETWORK-DEVICES'!$B$3:$B$987&amp;"",'NETWORK-DEVICES'!$H$3:$H$987,""),"Peripheral",_xlfn.XLOOKUP($K925&amp;"",PERIPHERAL!$B$3:$B$954&amp;"",PERIPHERAL!$H$3:$H$954,""),"Utilities",_xlfn.XLOOKUP($K925&amp;"",UTILITIES!$B$3:$B$953&amp;"",UTILITIES!$G$3:$G$953,""),"IOT",_xlfn.XLOOKUP($K925&amp;"",IOT!$B$3:$B$1012&amp;"",IOT!$H$3:$H$1012,""),"Server",_xlfn.XLOOKUP($K925&amp;"",SERVER!$B$3:$B$1009&amp;"",SERVER!$H$3:$H$1009,""),""),IF(TRIM(_xlpm.srcCat)&lt;&gt;TRIM($J925),"",_xlfn.SWITCH($I925,"Computer",_xlfn.XLOOKUP($K925&amp;"",COMPUTER!$B$3:$B$1009&amp;"",COMPUTER!$K$3:$K$1009,""),"Display",_xlfn.XLOOKUP($K925&amp;"",DISPLAY!$B$3:$B$1000&amp;"",DISPLAY!$L$3:$L$1000,""),"Network Device",_xlfn.XLOOKUP($K925&amp;"",'NETWORK-DEVICES'!$B$3:$B$987&amp;"",'NETWORK-DEVICES'!$K$3:$K$987,""),"Peripheral",_xlfn.XLOOKUP($K925&amp;"",PERIPHERAL!$B$3:$B$954&amp;"",PERIPHERAL!$K$3:$K$954,""),"Utilities",_xlfn.XLOOKUP($K925&amp;"",UTILITIES!$B$3:$B$953&amp;"",UTILITIES!$J$3:$J$953,""),"IOT",_xlfn.XLOOKUP($K925&amp;"",IOT!$B$3:$B$1012&amp;"",IOT!$K$4:$K$1012,""),"Server",_xlfn.XLOOKUP($K925&amp;"",SERVER!$B$3:$B$1009&amp;"",SERVER!$K$3:$K$1009,""),""))))</f>
        <v/>
      </c>
      <c r="O925" s="1" t="str" cm="1">
        <f t="array" ref="O925">IF(OR($K925="",$I925="",$J925=""),"",_xlfn.LET(_xlpm.srcCat,_xlfn.SWITCH($I925,"Computer",_xlfn.XLOOKUP($K925&amp;"",COMPUTER!$B$3:$B$1009&amp;"",COMPUTER!$H$3:$H$1009,""),"Display",_xlfn.XLOOKUP($K925&amp;"",DISPLAY!$B$3:$B$1000&amp;"",DISPLAY!$H$3:$H$1000,""),"Network Device",_xlfn.XLOOKUP($K925&amp;"",'NETWORK-DEVICES'!$B$3:$B$987&amp;"",'NETWORK-DEVICES'!$H$3:$H$987,""),"Peripheral",_xlfn.XLOOKUP($K925&amp;"",PERIPHERAL!$B$3:$B$954&amp;"",PERIPHERAL!$H$3:$H$954,""),"Utilities",_xlfn.XLOOKUP($K925&amp;"",UTILITIES!$B$3:$B$953&amp;"",UTILITIES!$G$3:$G$953,""),"IOT",_xlfn.XLOOKUP($K925&amp;"",IOT!$B$3:$B$1012&amp;"",IOT!$H$3:$H$1012,""),"Server",_xlfn.XLOOKUP($K925&amp;"",SERVER!$B$3:$B$1009&amp;"",SERVER!$H$3:$H$1009,""),""),IF(TRIM(_xlpm.srcCat)&lt;&gt;TRIM($J925),"",_xlfn.SWITCH($I925,"Computer",_xlfn.XLOOKUP($K925&amp;"",COMPUTER!$B$3:$B$1009&amp;"",COMPUTER!$E$3:$E$1009,""),"Display",_xlfn.XLOOKUP($K925&amp;"",DISPLAY!$B$3:$B$1000&amp;"",DISPLAY!$E$3:$E$1000,""),"Network Device",_xlfn.XLOOKUP($K925&amp;"",'NETWORK-DEVICES'!$B$3:$B$987&amp;"",'NETWORK-DEVICES'!$E$3:$E$987,""),"Peripheral",_xlfn.XLOOKUP($K925&amp;"",PERIPHERAL!$B$3:$B$954&amp;"",PERIPHERAL!$E$3:$E$954,""),"Utilities",_xlfn.XLOOKUP($K925&amp;"",UTILITIES!$B$3:$B$953&amp;"",UTILITIES!$E$3:$E$953,""),"IOT",_xlfn.XLOOKUP($K925&amp;"",IOT!$B$3:$B$1012&amp;"",IOT!$E$3:$E$1012,""),"Server",_xlfn.XLOOKUP($K925&amp;"",SERVER!$B$3:$B$1009&amp;"",SERVER!$E$3:$E$1009,""),""))))</f>
        <v/>
      </c>
      <c r="Q925" s="1" t="str" cm="1">
        <f t="array" ref="Q925">IF(OR($K925="",$I925="",$J925=""),"",_xlfn.LET(_xlpm.srcCat,_xlfn.SWITCH($I925,"Computer",_xlfn.XLOOKUP($K925&amp;"",COMPUTER!$B$3:$B$1009&amp;"",COMPUTER!$H$3:$H$1009,""),"Display",_xlfn.XLOOKUP($K925&amp;"",DISPLAY!$B$3:$B$1000&amp;"",DISPLAY!$H$3:$H$1000,""),"Network Device",_xlfn.XLOOKUP($K925&amp;"",'NETWORK-DEVICES'!$B$3:$B$987&amp;"",'NETWORK-DEVICES'!$H$3:$H$987,""),"Peripheral",_xlfn.XLOOKUP($K925&amp;"",PERIPHERAL!$B$3:$B$954&amp;"",PERIPHERAL!$H$3:$H$954,""),"Utilities",_xlfn.XLOOKUP($K925&amp;"",UTILITIES!$B$3:$B$953&amp;"",UTILITIES!$G$3:$G$953,""),"IOT",_xlfn.XLOOKUP($K925&amp;"",IOT!$B$3:$B$1012&amp;"",IOT!$H$3:$H$1012,""),"Server",_xlfn.XLOOKUP($K925&amp;"",SERVER!$B$3:$B$1009&amp;"",SERVER!$H$3:$H$1009,""),""),IF(TRIM(_xlpm.srcCat)&lt;&gt;TRIM($J925),"",_xlfn.SWITCH($I925,"Computer",_xlfn.XLOOKUP($K925&amp;"",COMPUTER!$B$3:$B$1009&amp;"",COMPUTER!$AM$3:$AM$1009,""),"Display",_xlfn.XLOOKUP($K925&amp;"",DISPLAY!$B$3:$B$1000&amp;"",DISPLAY!$V$3:$V$1000,""),"Network Device",_xlfn.XLOOKUP($K925&amp;"",'NETWORK-DEVICES'!$B$3:$B$987&amp;"",'NETWORK-DEVICES'!$AF$3:$AF$987,""),"Peripheral",_xlfn.XLOOKUP($K925&amp;"",PERIPHERAL!$B$3:$B$954&amp;"",PERIPHERAL!$Y$3:$Y$954,""),"Utilities",_xlfn.XLOOKUP($K925&amp;"",UTILITIES!$B$3:$B$953&amp;"",UTILITIES!$O$3:$O$953,""),"IOT",_xlfn.XLOOKUP($K925&amp;"",IOT!$B$3:$B$1012&amp;"",IOT!$AB$3:$AB$1012,""),"Server",_xlfn.XLOOKUP($K925&amp;"",SERVER!$B$3:$B$1009&amp;"",SERVER!$AB$3:$AB$1009,""),""))))</f>
        <v/>
      </c>
      <c r="R925" s="43" t="str">
        <f>IF(tbl_handover[[#This Row],[Asset Code]]="","",COUNTIF(tbl_handover[Asset Code],tbl_handover[[#This Row],[Asset Code]]))</f>
        <v/>
      </c>
    </row>
    <row r="926" spans="1:18" x14ac:dyDescent="0.25">
      <c r="A926" s="43" t="str">
        <f>IF(B926&lt;&gt;"",SUBTOTAL(3,$B$1:B925),"")</f>
        <v/>
      </c>
      <c r="C926" s="74"/>
      <c r="D926" s="74"/>
      <c r="G926" s="1"/>
      <c r="K926" s="42"/>
      <c r="L926" t="str" cm="1">
        <f t="array" ref="L926">IF($K926="","",_xlfn.SWITCH($I926,"Computer",_xlfn.XLOOKUP($K926&amp;"",COMPUTER!$B$3:$B$1009&amp;"",COMPUTER!$I$3:$I$1009,""),"Display",_xlfn.XLOOKUP($K926&amp;"",DISPLAY!$B$3:$B$1000&amp;"",DISPLAY!$J$3:$J$1000,""),"Network Device",_xlfn.XLOOKUP($K926&amp;"",'NETWORK-DEVICES'!$B$3:$B$987&amp;"",'NETWORK-DEVICES'!$I$3:$I$987,""),"Peripheral",_xlfn.XLOOKUP($K926&amp;"",PERIPHERAL!$B$3:$B$954&amp;"",PERIPHERAL!$I$3:$I$954,""),"Utilities",_xlfn.XLOOKUP($K926&amp;"",UTILITIES!$B$3:$B$953&amp;"",UTILITIES!$H$3:$H$953,""),"IOT",_xlfn.XLOOKUP($K926&amp;"",IOT!$B$3:$B$1012&amp;"",IOT!$I$3:$I$1012,""),"SERVER",_xlfn.XLOOKUP($K926&amp;"",SERVER!$B$3:$B$1009&amp;"",SERVER!$I$3:$I$1009,""),""))</f>
        <v/>
      </c>
      <c r="M926" t="str" cm="1">
        <f t="array" ref="M926">IF($K926="","",_xlfn.SWITCH($I926,"Computer",_xlfn.XLOOKUP($K926&amp;"",COMPUTER!$B$3:$B$1009&amp;"",COMPUTER!$J$3:$J$1009,""),"Display",_xlfn.XLOOKUP($K926&amp;"",DISPLAY!$B$3:$B$1000&amp;"",DISPLAY!$K$3:$K$1000,""),"Network Device",_xlfn.XLOOKUP($K926&amp;"",'NETWORK-DEVICES'!$B$3:$B$987&amp;"",'NETWORK-DEVICES'!$I$3:$I$987,""),"Peripheral",_xlfn.XLOOKUP($K926&amp;"",PERIPHERAL!$B$3:$B$954&amp;"",PERIPHERAL!$J$3:$J$954,""),"Utilities",_xlfn.XLOOKUP($K926&amp;"",UTILITIES!$B$3:$B$953&amp;"",UTILITIES!$I$3:$I$953,""),"IOT",_xlfn.XLOOKUP($K926&amp;"",IOT!$B$3:$B$1012&amp;"",IOT!$J$3:$J$1012,""),"Server",_xlfn.XLOOKUP($K926&amp;"",SERVER!$B$3:$B$1009&amp;"",SERVER!$J$3:$J$1009,""),""))</f>
        <v/>
      </c>
      <c r="N926" s="1" t="str" cm="1">
        <f t="array" ref="N926">IF(OR($K926="",$I926="",$J926=""),"",_xlfn.LET(_xlpm.srcCat,_xlfn.SWITCH($I926,"Computer",_xlfn.XLOOKUP($K926&amp;"",COMPUTER!$B$3:$B$1009&amp;"",COMPUTER!$H$3:$H$1009,""),"Display",_xlfn.XLOOKUP($K926&amp;"",DISPLAY!$B$3:$B$1000&amp;"",DISPLAY!$H$3:$H$1000,""),"Network Device",_xlfn.XLOOKUP($K926&amp;"",'NETWORK-DEVICES'!$B$3:$B$987&amp;"",'NETWORK-DEVICES'!$H$3:$H$987,""),"Peripheral",_xlfn.XLOOKUP($K926&amp;"",PERIPHERAL!$B$3:$B$954&amp;"",PERIPHERAL!$H$3:$H$954,""),"Utilities",_xlfn.XLOOKUP($K926&amp;"",UTILITIES!$B$3:$B$953&amp;"",UTILITIES!$G$3:$G$953,""),"IOT",_xlfn.XLOOKUP($K926&amp;"",IOT!$B$3:$B$1012&amp;"",IOT!$H$3:$H$1012,""),"Server",_xlfn.XLOOKUP($K926&amp;"",SERVER!$B$3:$B$1009&amp;"",SERVER!$H$3:$H$1009,""),""),IF(TRIM(_xlpm.srcCat)&lt;&gt;TRIM($J926),"",_xlfn.SWITCH($I926,"Computer",_xlfn.XLOOKUP($K926&amp;"",COMPUTER!$B$3:$B$1009&amp;"",COMPUTER!$K$3:$K$1009,""),"Display",_xlfn.XLOOKUP($K926&amp;"",DISPLAY!$B$3:$B$1000&amp;"",DISPLAY!$L$3:$L$1000,""),"Network Device",_xlfn.XLOOKUP($K926&amp;"",'NETWORK-DEVICES'!$B$3:$B$987&amp;"",'NETWORK-DEVICES'!$K$3:$K$987,""),"Peripheral",_xlfn.XLOOKUP($K926&amp;"",PERIPHERAL!$B$3:$B$954&amp;"",PERIPHERAL!$K$3:$K$954,""),"Utilities",_xlfn.XLOOKUP($K926&amp;"",UTILITIES!$B$3:$B$953&amp;"",UTILITIES!$J$3:$J$953,""),"IOT",_xlfn.XLOOKUP($K926&amp;"",IOT!$B$3:$B$1012&amp;"",IOT!$K$4:$K$1012,""),"Server",_xlfn.XLOOKUP($K926&amp;"",SERVER!$B$3:$B$1009&amp;"",SERVER!$K$3:$K$1009,""),""))))</f>
        <v/>
      </c>
      <c r="O926" s="1" t="str" cm="1">
        <f t="array" ref="O926">IF(OR($K926="",$I926="",$J926=""),"",_xlfn.LET(_xlpm.srcCat,_xlfn.SWITCH($I926,"Computer",_xlfn.XLOOKUP($K926&amp;"",COMPUTER!$B$3:$B$1009&amp;"",COMPUTER!$H$3:$H$1009,""),"Display",_xlfn.XLOOKUP($K926&amp;"",DISPLAY!$B$3:$B$1000&amp;"",DISPLAY!$H$3:$H$1000,""),"Network Device",_xlfn.XLOOKUP($K926&amp;"",'NETWORK-DEVICES'!$B$3:$B$987&amp;"",'NETWORK-DEVICES'!$H$3:$H$987,""),"Peripheral",_xlfn.XLOOKUP($K926&amp;"",PERIPHERAL!$B$3:$B$954&amp;"",PERIPHERAL!$H$3:$H$954,""),"Utilities",_xlfn.XLOOKUP($K926&amp;"",UTILITIES!$B$3:$B$953&amp;"",UTILITIES!$G$3:$G$953,""),"IOT",_xlfn.XLOOKUP($K926&amp;"",IOT!$B$3:$B$1012&amp;"",IOT!$H$3:$H$1012,""),"Server",_xlfn.XLOOKUP($K926&amp;"",SERVER!$B$3:$B$1009&amp;"",SERVER!$H$3:$H$1009,""),""),IF(TRIM(_xlpm.srcCat)&lt;&gt;TRIM($J926),"",_xlfn.SWITCH($I926,"Computer",_xlfn.XLOOKUP($K926&amp;"",COMPUTER!$B$3:$B$1009&amp;"",COMPUTER!$E$3:$E$1009,""),"Display",_xlfn.XLOOKUP($K926&amp;"",DISPLAY!$B$3:$B$1000&amp;"",DISPLAY!$E$3:$E$1000,""),"Network Device",_xlfn.XLOOKUP($K926&amp;"",'NETWORK-DEVICES'!$B$3:$B$987&amp;"",'NETWORK-DEVICES'!$E$3:$E$987,""),"Peripheral",_xlfn.XLOOKUP($K926&amp;"",PERIPHERAL!$B$3:$B$954&amp;"",PERIPHERAL!$E$3:$E$954,""),"Utilities",_xlfn.XLOOKUP($K926&amp;"",UTILITIES!$B$3:$B$953&amp;"",UTILITIES!$E$3:$E$953,""),"IOT",_xlfn.XLOOKUP($K926&amp;"",IOT!$B$3:$B$1012&amp;"",IOT!$E$3:$E$1012,""),"Server",_xlfn.XLOOKUP($K926&amp;"",SERVER!$B$3:$B$1009&amp;"",SERVER!$E$3:$E$1009,""),""))))</f>
        <v/>
      </c>
      <c r="Q926" s="1" t="str" cm="1">
        <f t="array" ref="Q926">IF(OR($K926="",$I926="",$J926=""),"",_xlfn.LET(_xlpm.srcCat,_xlfn.SWITCH($I926,"Computer",_xlfn.XLOOKUP($K926&amp;"",COMPUTER!$B$3:$B$1009&amp;"",COMPUTER!$H$3:$H$1009,""),"Display",_xlfn.XLOOKUP($K926&amp;"",DISPLAY!$B$3:$B$1000&amp;"",DISPLAY!$H$3:$H$1000,""),"Network Device",_xlfn.XLOOKUP($K926&amp;"",'NETWORK-DEVICES'!$B$3:$B$987&amp;"",'NETWORK-DEVICES'!$H$3:$H$987,""),"Peripheral",_xlfn.XLOOKUP($K926&amp;"",PERIPHERAL!$B$3:$B$954&amp;"",PERIPHERAL!$H$3:$H$954,""),"Utilities",_xlfn.XLOOKUP($K926&amp;"",UTILITIES!$B$3:$B$953&amp;"",UTILITIES!$G$3:$G$953,""),"IOT",_xlfn.XLOOKUP($K926&amp;"",IOT!$B$3:$B$1012&amp;"",IOT!$H$3:$H$1012,""),"Server",_xlfn.XLOOKUP($K926&amp;"",SERVER!$B$3:$B$1009&amp;"",SERVER!$H$3:$H$1009,""),""),IF(TRIM(_xlpm.srcCat)&lt;&gt;TRIM($J926),"",_xlfn.SWITCH($I926,"Computer",_xlfn.XLOOKUP($K926&amp;"",COMPUTER!$B$3:$B$1009&amp;"",COMPUTER!$AM$3:$AM$1009,""),"Display",_xlfn.XLOOKUP($K926&amp;"",DISPLAY!$B$3:$B$1000&amp;"",DISPLAY!$V$3:$V$1000,""),"Network Device",_xlfn.XLOOKUP($K926&amp;"",'NETWORK-DEVICES'!$B$3:$B$987&amp;"",'NETWORK-DEVICES'!$AF$3:$AF$987,""),"Peripheral",_xlfn.XLOOKUP($K926&amp;"",PERIPHERAL!$B$3:$B$954&amp;"",PERIPHERAL!$Y$3:$Y$954,""),"Utilities",_xlfn.XLOOKUP($K926&amp;"",UTILITIES!$B$3:$B$953&amp;"",UTILITIES!$O$3:$O$953,""),"IOT",_xlfn.XLOOKUP($K926&amp;"",IOT!$B$3:$B$1012&amp;"",IOT!$AB$3:$AB$1012,""),"Server",_xlfn.XLOOKUP($K926&amp;"",SERVER!$B$3:$B$1009&amp;"",SERVER!$AB$3:$AB$1009,""),""))))</f>
        <v/>
      </c>
      <c r="R926" s="43" t="str">
        <f>IF(tbl_handover[[#This Row],[Asset Code]]="","",COUNTIF(tbl_handover[Asset Code],tbl_handover[[#This Row],[Asset Code]]))</f>
        <v/>
      </c>
    </row>
    <row r="927" spans="1:18" x14ac:dyDescent="0.25">
      <c r="A927" s="43" t="str">
        <f>IF(B927&lt;&gt;"",SUBTOTAL(3,$B$1:B926),"")</f>
        <v/>
      </c>
      <c r="C927" s="74"/>
      <c r="D927" s="74"/>
      <c r="G927" s="1"/>
      <c r="K927" s="42"/>
      <c r="L927" t="str" cm="1">
        <f t="array" ref="L927">IF($K927="","",_xlfn.SWITCH($I927,"Computer",_xlfn.XLOOKUP($K927&amp;"",COMPUTER!$B$3:$B$1009&amp;"",COMPUTER!$I$3:$I$1009,""),"Display",_xlfn.XLOOKUP($K927&amp;"",DISPLAY!$B$3:$B$1000&amp;"",DISPLAY!$J$3:$J$1000,""),"Network Device",_xlfn.XLOOKUP($K927&amp;"",'NETWORK-DEVICES'!$B$3:$B$987&amp;"",'NETWORK-DEVICES'!$I$3:$I$987,""),"Peripheral",_xlfn.XLOOKUP($K927&amp;"",PERIPHERAL!$B$3:$B$954&amp;"",PERIPHERAL!$I$3:$I$954,""),"Utilities",_xlfn.XLOOKUP($K927&amp;"",UTILITIES!$B$3:$B$953&amp;"",UTILITIES!$H$3:$H$953,""),"IOT",_xlfn.XLOOKUP($K927&amp;"",IOT!$B$3:$B$1012&amp;"",IOT!$I$3:$I$1012,""),"SERVER",_xlfn.XLOOKUP($K927&amp;"",SERVER!$B$3:$B$1009&amp;"",SERVER!$I$3:$I$1009,""),""))</f>
        <v/>
      </c>
      <c r="M927" t="str" cm="1">
        <f t="array" ref="M927">IF($K927="","",_xlfn.SWITCH($I927,"Computer",_xlfn.XLOOKUP($K927&amp;"",COMPUTER!$B$3:$B$1009&amp;"",COMPUTER!$J$3:$J$1009,""),"Display",_xlfn.XLOOKUP($K927&amp;"",DISPLAY!$B$3:$B$1000&amp;"",DISPLAY!$K$3:$K$1000,""),"Network Device",_xlfn.XLOOKUP($K927&amp;"",'NETWORK-DEVICES'!$B$3:$B$987&amp;"",'NETWORK-DEVICES'!$I$3:$I$987,""),"Peripheral",_xlfn.XLOOKUP($K927&amp;"",PERIPHERAL!$B$3:$B$954&amp;"",PERIPHERAL!$J$3:$J$954,""),"Utilities",_xlfn.XLOOKUP($K927&amp;"",UTILITIES!$B$3:$B$953&amp;"",UTILITIES!$I$3:$I$953,""),"IOT",_xlfn.XLOOKUP($K927&amp;"",IOT!$B$3:$B$1012&amp;"",IOT!$J$3:$J$1012,""),"Server",_xlfn.XLOOKUP($K927&amp;"",SERVER!$B$3:$B$1009&amp;"",SERVER!$J$3:$J$1009,""),""))</f>
        <v/>
      </c>
      <c r="N927" s="1" t="str" cm="1">
        <f t="array" ref="N927">IF(OR($K927="",$I927="",$J927=""),"",_xlfn.LET(_xlpm.srcCat,_xlfn.SWITCH($I927,"Computer",_xlfn.XLOOKUP($K927&amp;"",COMPUTER!$B$3:$B$1009&amp;"",COMPUTER!$H$3:$H$1009,""),"Display",_xlfn.XLOOKUP($K927&amp;"",DISPLAY!$B$3:$B$1000&amp;"",DISPLAY!$H$3:$H$1000,""),"Network Device",_xlfn.XLOOKUP($K927&amp;"",'NETWORK-DEVICES'!$B$3:$B$987&amp;"",'NETWORK-DEVICES'!$H$3:$H$987,""),"Peripheral",_xlfn.XLOOKUP($K927&amp;"",PERIPHERAL!$B$3:$B$954&amp;"",PERIPHERAL!$H$3:$H$954,""),"Utilities",_xlfn.XLOOKUP($K927&amp;"",UTILITIES!$B$3:$B$953&amp;"",UTILITIES!$G$3:$G$953,""),"IOT",_xlfn.XLOOKUP($K927&amp;"",IOT!$B$3:$B$1012&amp;"",IOT!$H$3:$H$1012,""),"Server",_xlfn.XLOOKUP($K927&amp;"",SERVER!$B$3:$B$1009&amp;"",SERVER!$H$3:$H$1009,""),""),IF(TRIM(_xlpm.srcCat)&lt;&gt;TRIM($J927),"",_xlfn.SWITCH($I927,"Computer",_xlfn.XLOOKUP($K927&amp;"",COMPUTER!$B$3:$B$1009&amp;"",COMPUTER!$K$3:$K$1009,""),"Display",_xlfn.XLOOKUP($K927&amp;"",DISPLAY!$B$3:$B$1000&amp;"",DISPLAY!$L$3:$L$1000,""),"Network Device",_xlfn.XLOOKUP($K927&amp;"",'NETWORK-DEVICES'!$B$3:$B$987&amp;"",'NETWORK-DEVICES'!$K$3:$K$987,""),"Peripheral",_xlfn.XLOOKUP($K927&amp;"",PERIPHERAL!$B$3:$B$954&amp;"",PERIPHERAL!$K$3:$K$954,""),"Utilities",_xlfn.XLOOKUP($K927&amp;"",UTILITIES!$B$3:$B$953&amp;"",UTILITIES!$J$3:$J$953,""),"IOT",_xlfn.XLOOKUP($K927&amp;"",IOT!$B$3:$B$1012&amp;"",IOT!$K$4:$K$1012,""),"Server",_xlfn.XLOOKUP($K927&amp;"",SERVER!$B$3:$B$1009&amp;"",SERVER!$K$3:$K$1009,""),""))))</f>
        <v/>
      </c>
      <c r="O927" s="1" t="str" cm="1">
        <f t="array" ref="O927">IF(OR($K927="",$I927="",$J927=""),"",_xlfn.LET(_xlpm.srcCat,_xlfn.SWITCH($I927,"Computer",_xlfn.XLOOKUP($K927&amp;"",COMPUTER!$B$3:$B$1009&amp;"",COMPUTER!$H$3:$H$1009,""),"Display",_xlfn.XLOOKUP($K927&amp;"",DISPLAY!$B$3:$B$1000&amp;"",DISPLAY!$H$3:$H$1000,""),"Network Device",_xlfn.XLOOKUP($K927&amp;"",'NETWORK-DEVICES'!$B$3:$B$987&amp;"",'NETWORK-DEVICES'!$H$3:$H$987,""),"Peripheral",_xlfn.XLOOKUP($K927&amp;"",PERIPHERAL!$B$3:$B$954&amp;"",PERIPHERAL!$H$3:$H$954,""),"Utilities",_xlfn.XLOOKUP($K927&amp;"",UTILITIES!$B$3:$B$953&amp;"",UTILITIES!$G$3:$G$953,""),"IOT",_xlfn.XLOOKUP($K927&amp;"",IOT!$B$3:$B$1012&amp;"",IOT!$H$3:$H$1012,""),"Server",_xlfn.XLOOKUP($K927&amp;"",SERVER!$B$3:$B$1009&amp;"",SERVER!$H$3:$H$1009,""),""),IF(TRIM(_xlpm.srcCat)&lt;&gt;TRIM($J927),"",_xlfn.SWITCH($I927,"Computer",_xlfn.XLOOKUP($K927&amp;"",COMPUTER!$B$3:$B$1009&amp;"",COMPUTER!$E$3:$E$1009,""),"Display",_xlfn.XLOOKUP($K927&amp;"",DISPLAY!$B$3:$B$1000&amp;"",DISPLAY!$E$3:$E$1000,""),"Network Device",_xlfn.XLOOKUP($K927&amp;"",'NETWORK-DEVICES'!$B$3:$B$987&amp;"",'NETWORK-DEVICES'!$E$3:$E$987,""),"Peripheral",_xlfn.XLOOKUP($K927&amp;"",PERIPHERAL!$B$3:$B$954&amp;"",PERIPHERAL!$E$3:$E$954,""),"Utilities",_xlfn.XLOOKUP($K927&amp;"",UTILITIES!$B$3:$B$953&amp;"",UTILITIES!$E$3:$E$953,""),"IOT",_xlfn.XLOOKUP($K927&amp;"",IOT!$B$3:$B$1012&amp;"",IOT!$E$3:$E$1012,""),"Server",_xlfn.XLOOKUP($K927&amp;"",SERVER!$B$3:$B$1009&amp;"",SERVER!$E$3:$E$1009,""),""))))</f>
        <v/>
      </c>
      <c r="Q927" s="1" t="str" cm="1">
        <f t="array" ref="Q927">IF(OR($K927="",$I927="",$J927=""),"",_xlfn.LET(_xlpm.srcCat,_xlfn.SWITCH($I927,"Computer",_xlfn.XLOOKUP($K927&amp;"",COMPUTER!$B$3:$B$1009&amp;"",COMPUTER!$H$3:$H$1009,""),"Display",_xlfn.XLOOKUP($K927&amp;"",DISPLAY!$B$3:$B$1000&amp;"",DISPLAY!$H$3:$H$1000,""),"Network Device",_xlfn.XLOOKUP($K927&amp;"",'NETWORK-DEVICES'!$B$3:$B$987&amp;"",'NETWORK-DEVICES'!$H$3:$H$987,""),"Peripheral",_xlfn.XLOOKUP($K927&amp;"",PERIPHERAL!$B$3:$B$954&amp;"",PERIPHERAL!$H$3:$H$954,""),"Utilities",_xlfn.XLOOKUP($K927&amp;"",UTILITIES!$B$3:$B$953&amp;"",UTILITIES!$G$3:$G$953,""),"IOT",_xlfn.XLOOKUP($K927&amp;"",IOT!$B$3:$B$1012&amp;"",IOT!$H$3:$H$1012,""),"Server",_xlfn.XLOOKUP($K927&amp;"",SERVER!$B$3:$B$1009&amp;"",SERVER!$H$3:$H$1009,""),""),IF(TRIM(_xlpm.srcCat)&lt;&gt;TRIM($J927),"",_xlfn.SWITCH($I927,"Computer",_xlfn.XLOOKUP($K927&amp;"",COMPUTER!$B$3:$B$1009&amp;"",COMPUTER!$AM$3:$AM$1009,""),"Display",_xlfn.XLOOKUP($K927&amp;"",DISPLAY!$B$3:$B$1000&amp;"",DISPLAY!$V$3:$V$1000,""),"Network Device",_xlfn.XLOOKUP($K927&amp;"",'NETWORK-DEVICES'!$B$3:$B$987&amp;"",'NETWORK-DEVICES'!$AF$3:$AF$987,""),"Peripheral",_xlfn.XLOOKUP($K927&amp;"",PERIPHERAL!$B$3:$B$954&amp;"",PERIPHERAL!$Y$3:$Y$954,""),"Utilities",_xlfn.XLOOKUP($K927&amp;"",UTILITIES!$B$3:$B$953&amp;"",UTILITIES!$O$3:$O$953,""),"IOT",_xlfn.XLOOKUP($K927&amp;"",IOT!$B$3:$B$1012&amp;"",IOT!$AB$3:$AB$1012,""),"Server",_xlfn.XLOOKUP($K927&amp;"",SERVER!$B$3:$B$1009&amp;"",SERVER!$AB$3:$AB$1009,""),""))))</f>
        <v/>
      </c>
      <c r="R927" s="43" t="str">
        <f>IF(tbl_handover[[#This Row],[Asset Code]]="","",COUNTIF(tbl_handover[Asset Code],tbl_handover[[#This Row],[Asset Code]]))</f>
        <v/>
      </c>
    </row>
    <row r="928" spans="1:18" x14ac:dyDescent="0.25">
      <c r="A928" s="43" t="str">
        <f>IF(B928&lt;&gt;"",SUBTOTAL(3,$B$1:B927),"")</f>
        <v/>
      </c>
      <c r="C928" s="74"/>
      <c r="D928" s="74"/>
      <c r="G928" s="1"/>
      <c r="K928" s="42"/>
      <c r="L928" t="str" cm="1">
        <f t="array" ref="L928">IF($K928="","",_xlfn.SWITCH($I928,"Computer",_xlfn.XLOOKUP($K928&amp;"",COMPUTER!$B$3:$B$1009&amp;"",COMPUTER!$I$3:$I$1009,""),"Display",_xlfn.XLOOKUP($K928&amp;"",DISPLAY!$B$3:$B$1000&amp;"",DISPLAY!$J$3:$J$1000,""),"Network Device",_xlfn.XLOOKUP($K928&amp;"",'NETWORK-DEVICES'!$B$3:$B$987&amp;"",'NETWORK-DEVICES'!$I$3:$I$987,""),"Peripheral",_xlfn.XLOOKUP($K928&amp;"",PERIPHERAL!$B$3:$B$954&amp;"",PERIPHERAL!$I$3:$I$954,""),"Utilities",_xlfn.XLOOKUP($K928&amp;"",UTILITIES!$B$3:$B$953&amp;"",UTILITIES!$H$3:$H$953,""),"IOT",_xlfn.XLOOKUP($K928&amp;"",IOT!$B$3:$B$1012&amp;"",IOT!$I$3:$I$1012,""),"SERVER",_xlfn.XLOOKUP($K928&amp;"",SERVER!$B$3:$B$1009&amp;"",SERVER!$I$3:$I$1009,""),""))</f>
        <v/>
      </c>
      <c r="M928" t="str" cm="1">
        <f t="array" ref="M928">IF($K928="","",_xlfn.SWITCH($I928,"Computer",_xlfn.XLOOKUP($K928&amp;"",COMPUTER!$B$3:$B$1009&amp;"",COMPUTER!$J$3:$J$1009,""),"Display",_xlfn.XLOOKUP($K928&amp;"",DISPLAY!$B$3:$B$1000&amp;"",DISPLAY!$K$3:$K$1000,""),"Network Device",_xlfn.XLOOKUP($K928&amp;"",'NETWORK-DEVICES'!$B$3:$B$987&amp;"",'NETWORK-DEVICES'!$I$3:$I$987,""),"Peripheral",_xlfn.XLOOKUP($K928&amp;"",PERIPHERAL!$B$3:$B$954&amp;"",PERIPHERAL!$J$3:$J$954,""),"Utilities",_xlfn.XLOOKUP($K928&amp;"",UTILITIES!$B$3:$B$953&amp;"",UTILITIES!$I$3:$I$953,""),"IOT",_xlfn.XLOOKUP($K928&amp;"",IOT!$B$3:$B$1012&amp;"",IOT!$J$3:$J$1012,""),"Server",_xlfn.XLOOKUP($K928&amp;"",SERVER!$B$3:$B$1009&amp;"",SERVER!$J$3:$J$1009,""),""))</f>
        <v/>
      </c>
      <c r="N928" s="1" t="str" cm="1">
        <f t="array" ref="N928">IF(OR($K928="",$I928="",$J928=""),"",_xlfn.LET(_xlpm.srcCat,_xlfn.SWITCH($I928,"Computer",_xlfn.XLOOKUP($K928&amp;"",COMPUTER!$B$3:$B$1009&amp;"",COMPUTER!$H$3:$H$1009,""),"Display",_xlfn.XLOOKUP($K928&amp;"",DISPLAY!$B$3:$B$1000&amp;"",DISPLAY!$H$3:$H$1000,""),"Network Device",_xlfn.XLOOKUP($K928&amp;"",'NETWORK-DEVICES'!$B$3:$B$987&amp;"",'NETWORK-DEVICES'!$H$3:$H$987,""),"Peripheral",_xlfn.XLOOKUP($K928&amp;"",PERIPHERAL!$B$3:$B$954&amp;"",PERIPHERAL!$H$3:$H$954,""),"Utilities",_xlfn.XLOOKUP($K928&amp;"",UTILITIES!$B$3:$B$953&amp;"",UTILITIES!$G$3:$G$953,""),"IOT",_xlfn.XLOOKUP($K928&amp;"",IOT!$B$3:$B$1012&amp;"",IOT!$H$3:$H$1012,""),"Server",_xlfn.XLOOKUP($K928&amp;"",SERVER!$B$3:$B$1009&amp;"",SERVER!$H$3:$H$1009,""),""),IF(TRIM(_xlpm.srcCat)&lt;&gt;TRIM($J928),"",_xlfn.SWITCH($I928,"Computer",_xlfn.XLOOKUP($K928&amp;"",COMPUTER!$B$3:$B$1009&amp;"",COMPUTER!$K$3:$K$1009,""),"Display",_xlfn.XLOOKUP($K928&amp;"",DISPLAY!$B$3:$B$1000&amp;"",DISPLAY!$L$3:$L$1000,""),"Network Device",_xlfn.XLOOKUP($K928&amp;"",'NETWORK-DEVICES'!$B$3:$B$987&amp;"",'NETWORK-DEVICES'!$K$3:$K$987,""),"Peripheral",_xlfn.XLOOKUP($K928&amp;"",PERIPHERAL!$B$3:$B$954&amp;"",PERIPHERAL!$K$3:$K$954,""),"Utilities",_xlfn.XLOOKUP($K928&amp;"",UTILITIES!$B$3:$B$953&amp;"",UTILITIES!$J$3:$J$953,""),"IOT",_xlfn.XLOOKUP($K928&amp;"",IOT!$B$3:$B$1012&amp;"",IOT!$K$4:$K$1012,""),"Server",_xlfn.XLOOKUP($K928&amp;"",SERVER!$B$3:$B$1009&amp;"",SERVER!$K$3:$K$1009,""),""))))</f>
        <v/>
      </c>
      <c r="O928" s="1" t="str" cm="1">
        <f t="array" ref="O928">IF(OR($K928="",$I928="",$J928=""),"",_xlfn.LET(_xlpm.srcCat,_xlfn.SWITCH($I928,"Computer",_xlfn.XLOOKUP($K928&amp;"",COMPUTER!$B$3:$B$1009&amp;"",COMPUTER!$H$3:$H$1009,""),"Display",_xlfn.XLOOKUP($K928&amp;"",DISPLAY!$B$3:$B$1000&amp;"",DISPLAY!$H$3:$H$1000,""),"Network Device",_xlfn.XLOOKUP($K928&amp;"",'NETWORK-DEVICES'!$B$3:$B$987&amp;"",'NETWORK-DEVICES'!$H$3:$H$987,""),"Peripheral",_xlfn.XLOOKUP($K928&amp;"",PERIPHERAL!$B$3:$B$954&amp;"",PERIPHERAL!$H$3:$H$954,""),"Utilities",_xlfn.XLOOKUP($K928&amp;"",UTILITIES!$B$3:$B$953&amp;"",UTILITIES!$G$3:$G$953,""),"IOT",_xlfn.XLOOKUP($K928&amp;"",IOT!$B$3:$B$1012&amp;"",IOT!$H$3:$H$1012,""),"Server",_xlfn.XLOOKUP($K928&amp;"",SERVER!$B$3:$B$1009&amp;"",SERVER!$H$3:$H$1009,""),""),IF(TRIM(_xlpm.srcCat)&lt;&gt;TRIM($J928),"",_xlfn.SWITCH($I928,"Computer",_xlfn.XLOOKUP($K928&amp;"",COMPUTER!$B$3:$B$1009&amp;"",COMPUTER!$E$3:$E$1009,""),"Display",_xlfn.XLOOKUP($K928&amp;"",DISPLAY!$B$3:$B$1000&amp;"",DISPLAY!$E$3:$E$1000,""),"Network Device",_xlfn.XLOOKUP($K928&amp;"",'NETWORK-DEVICES'!$B$3:$B$987&amp;"",'NETWORK-DEVICES'!$E$3:$E$987,""),"Peripheral",_xlfn.XLOOKUP($K928&amp;"",PERIPHERAL!$B$3:$B$954&amp;"",PERIPHERAL!$E$3:$E$954,""),"Utilities",_xlfn.XLOOKUP($K928&amp;"",UTILITIES!$B$3:$B$953&amp;"",UTILITIES!$E$3:$E$953,""),"IOT",_xlfn.XLOOKUP($K928&amp;"",IOT!$B$3:$B$1012&amp;"",IOT!$E$3:$E$1012,""),"Server",_xlfn.XLOOKUP($K928&amp;"",SERVER!$B$3:$B$1009&amp;"",SERVER!$E$3:$E$1009,""),""))))</f>
        <v/>
      </c>
      <c r="Q928" s="1" t="str" cm="1">
        <f t="array" ref="Q928">IF(OR($K928="",$I928="",$J928=""),"",_xlfn.LET(_xlpm.srcCat,_xlfn.SWITCH($I928,"Computer",_xlfn.XLOOKUP($K928&amp;"",COMPUTER!$B$3:$B$1009&amp;"",COMPUTER!$H$3:$H$1009,""),"Display",_xlfn.XLOOKUP($K928&amp;"",DISPLAY!$B$3:$B$1000&amp;"",DISPLAY!$H$3:$H$1000,""),"Network Device",_xlfn.XLOOKUP($K928&amp;"",'NETWORK-DEVICES'!$B$3:$B$987&amp;"",'NETWORK-DEVICES'!$H$3:$H$987,""),"Peripheral",_xlfn.XLOOKUP($K928&amp;"",PERIPHERAL!$B$3:$B$954&amp;"",PERIPHERAL!$H$3:$H$954,""),"Utilities",_xlfn.XLOOKUP($K928&amp;"",UTILITIES!$B$3:$B$953&amp;"",UTILITIES!$G$3:$G$953,""),"IOT",_xlfn.XLOOKUP($K928&amp;"",IOT!$B$3:$B$1012&amp;"",IOT!$H$3:$H$1012,""),"Server",_xlfn.XLOOKUP($K928&amp;"",SERVER!$B$3:$B$1009&amp;"",SERVER!$H$3:$H$1009,""),""),IF(TRIM(_xlpm.srcCat)&lt;&gt;TRIM($J928),"",_xlfn.SWITCH($I928,"Computer",_xlfn.XLOOKUP($K928&amp;"",COMPUTER!$B$3:$B$1009&amp;"",COMPUTER!$AM$3:$AM$1009,""),"Display",_xlfn.XLOOKUP($K928&amp;"",DISPLAY!$B$3:$B$1000&amp;"",DISPLAY!$V$3:$V$1000,""),"Network Device",_xlfn.XLOOKUP($K928&amp;"",'NETWORK-DEVICES'!$B$3:$B$987&amp;"",'NETWORK-DEVICES'!$AF$3:$AF$987,""),"Peripheral",_xlfn.XLOOKUP($K928&amp;"",PERIPHERAL!$B$3:$B$954&amp;"",PERIPHERAL!$Y$3:$Y$954,""),"Utilities",_xlfn.XLOOKUP($K928&amp;"",UTILITIES!$B$3:$B$953&amp;"",UTILITIES!$O$3:$O$953,""),"IOT",_xlfn.XLOOKUP($K928&amp;"",IOT!$B$3:$B$1012&amp;"",IOT!$AB$3:$AB$1012,""),"Server",_xlfn.XLOOKUP($K928&amp;"",SERVER!$B$3:$B$1009&amp;"",SERVER!$AB$3:$AB$1009,""),""))))</f>
        <v/>
      </c>
      <c r="R928" s="43" t="str">
        <f>IF(tbl_handover[[#This Row],[Asset Code]]="","",COUNTIF(tbl_handover[Asset Code],tbl_handover[[#This Row],[Asset Code]]))</f>
        <v/>
      </c>
    </row>
    <row r="929" spans="1:18" x14ac:dyDescent="0.25">
      <c r="A929" s="43" t="str">
        <f>IF(B929&lt;&gt;"",SUBTOTAL(3,$B$1:B928),"")</f>
        <v/>
      </c>
      <c r="C929" s="74"/>
      <c r="D929" s="74"/>
      <c r="G929" s="1"/>
      <c r="K929" s="42"/>
      <c r="L929" t="str" cm="1">
        <f t="array" ref="L929">IF($K929="","",_xlfn.SWITCH($I929,"Computer",_xlfn.XLOOKUP($K929&amp;"",COMPUTER!$B$3:$B$1009&amp;"",COMPUTER!$I$3:$I$1009,""),"Display",_xlfn.XLOOKUP($K929&amp;"",DISPLAY!$B$3:$B$1000&amp;"",DISPLAY!$J$3:$J$1000,""),"Network Device",_xlfn.XLOOKUP($K929&amp;"",'NETWORK-DEVICES'!$B$3:$B$987&amp;"",'NETWORK-DEVICES'!$I$3:$I$987,""),"Peripheral",_xlfn.XLOOKUP($K929&amp;"",PERIPHERAL!$B$3:$B$954&amp;"",PERIPHERAL!$I$3:$I$954,""),"Utilities",_xlfn.XLOOKUP($K929&amp;"",UTILITIES!$B$3:$B$953&amp;"",UTILITIES!$H$3:$H$953,""),"IOT",_xlfn.XLOOKUP($K929&amp;"",IOT!$B$3:$B$1012&amp;"",IOT!$I$3:$I$1012,""),"SERVER",_xlfn.XLOOKUP($K929&amp;"",SERVER!$B$3:$B$1009&amp;"",SERVER!$I$3:$I$1009,""),""))</f>
        <v/>
      </c>
      <c r="M929" t="str" cm="1">
        <f t="array" ref="M929">IF($K929="","",_xlfn.SWITCH($I929,"Computer",_xlfn.XLOOKUP($K929&amp;"",COMPUTER!$B$3:$B$1009&amp;"",COMPUTER!$J$3:$J$1009,""),"Display",_xlfn.XLOOKUP($K929&amp;"",DISPLAY!$B$3:$B$1000&amp;"",DISPLAY!$K$3:$K$1000,""),"Network Device",_xlfn.XLOOKUP($K929&amp;"",'NETWORK-DEVICES'!$B$3:$B$987&amp;"",'NETWORK-DEVICES'!$I$3:$I$987,""),"Peripheral",_xlfn.XLOOKUP($K929&amp;"",PERIPHERAL!$B$3:$B$954&amp;"",PERIPHERAL!$J$3:$J$954,""),"Utilities",_xlfn.XLOOKUP($K929&amp;"",UTILITIES!$B$3:$B$953&amp;"",UTILITIES!$I$3:$I$953,""),"IOT",_xlfn.XLOOKUP($K929&amp;"",IOT!$B$3:$B$1012&amp;"",IOT!$J$3:$J$1012,""),"Server",_xlfn.XLOOKUP($K929&amp;"",SERVER!$B$3:$B$1009&amp;"",SERVER!$J$3:$J$1009,""),""))</f>
        <v/>
      </c>
      <c r="N929" s="1" t="str" cm="1">
        <f t="array" ref="N929">IF(OR($K929="",$I929="",$J929=""),"",_xlfn.LET(_xlpm.srcCat,_xlfn.SWITCH($I929,"Computer",_xlfn.XLOOKUP($K929&amp;"",COMPUTER!$B$3:$B$1009&amp;"",COMPUTER!$H$3:$H$1009,""),"Display",_xlfn.XLOOKUP($K929&amp;"",DISPLAY!$B$3:$B$1000&amp;"",DISPLAY!$H$3:$H$1000,""),"Network Device",_xlfn.XLOOKUP($K929&amp;"",'NETWORK-DEVICES'!$B$3:$B$987&amp;"",'NETWORK-DEVICES'!$H$3:$H$987,""),"Peripheral",_xlfn.XLOOKUP($K929&amp;"",PERIPHERAL!$B$3:$B$954&amp;"",PERIPHERAL!$H$3:$H$954,""),"Utilities",_xlfn.XLOOKUP($K929&amp;"",UTILITIES!$B$3:$B$953&amp;"",UTILITIES!$G$3:$G$953,""),"IOT",_xlfn.XLOOKUP($K929&amp;"",IOT!$B$3:$B$1012&amp;"",IOT!$H$3:$H$1012,""),"Server",_xlfn.XLOOKUP($K929&amp;"",SERVER!$B$3:$B$1009&amp;"",SERVER!$H$3:$H$1009,""),""),IF(TRIM(_xlpm.srcCat)&lt;&gt;TRIM($J929),"",_xlfn.SWITCH($I929,"Computer",_xlfn.XLOOKUP($K929&amp;"",COMPUTER!$B$3:$B$1009&amp;"",COMPUTER!$K$3:$K$1009,""),"Display",_xlfn.XLOOKUP($K929&amp;"",DISPLAY!$B$3:$B$1000&amp;"",DISPLAY!$L$3:$L$1000,""),"Network Device",_xlfn.XLOOKUP($K929&amp;"",'NETWORK-DEVICES'!$B$3:$B$987&amp;"",'NETWORK-DEVICES'!$K$3:$K$987,""),"Peripheral",_xlfn.XLOOKUP($K929&amp;"",PERIPHERAL!$B$3:$B$954&amp;"",PERIPHERAL!$K$3:$K$954,""),"Utilities",_xlfn.XLOOKUP($K929&amp;"",UTILITIES!$B$3:$B$953&amp;"",UTILITIES!$J$3:$J$953,""),"IOT",_xlfn.XLOOKUP($K929&amp;"",IOT!$B$3:$B$1012&amp;"",IOT!$K$4:$K$1012,""),"Server",_xlfn.XLOOKUP($K929&amp;"",SERVER!$B$3:$B$1009&amp;"",SERVER!$K$3:$K$1009,""),""))))</f>
        <v/>
      </c>
      <c r="O929" s="1" t="str" cm="1">
        <f t="array" ref="O929">IF(OR($K929="",$I929="",$J929=""),"",_xlfn.LET(_xlpm.srcCat,_xlfn.SWITCH($I929,"Computer",_xlfn.XLOOKUP($K929&amp;"",COMPUTER!$B$3:$B$1009&amp;"",COMPUTER!$H$3:$H$1009,""),"Display",_xlfn.XLOOKUP($K929&amp;"",DISPLAY!$B$3:$B$1000&amp;"",DISPLAY!$H$3:$H$1000,""),"Network Device",_xlfn.XLOOKUP($K929&amp;"",'NETWORK-DEVICES'!$B$3:$B$987&amp;"",'NETWORK-DEVICES'!$H$3:$H$987,""),"Peripheral",_xlfn.XLOOKUP($K929&amp;"",PERIPHERAL!$B$3:$B$954&amp;"",PERIPHERAL!$H$3:$H$954,""),"Utilities",_xlfn.XLOOKUP($K929&amp;"",UTILITIES!$B$3:$B$953&amp;"",UTILITIES!$G$3:$G$953,""),"IOT",_xlfn.XLOOKUP($K929&amp;"",IOT!$B$3:$B$1012&amp;"",IOT!$H$3:$H$1012,""),"Server",_xlfn.XLOOKUP($K929&amp;"",SERVER!$B$3:$B$1009&amp;"",SERVER!$H$3:$H$1009,""),""),IF(TRIM(_xlpm.srcCat)&lt;&gt;TRIM($J929),"",_xlfn.SWITCH($I929,"Computer",_xlfn.XLOOKUP($K929&amp;"",COMPUTER!$B$3:$B$1009&amp;"",COMPUTER!$E$3:$E$1009,""),"Display",_xlfn.XLOOKUP($K929&amp;"",DISPLAY!$B$3:$B$1000&amp;"",DISPLAY!$E$3:$E$1000,""),"Network Device",_xlfn.XLOOKUP($K929&amp;"",'NETWORK-DEVICES'!$B$3:$B$987&amp;"",'NETWORK-DEVICES'!$E$3:$E$987,""),"Peripheral",_xlfn.XLOOKUP($K929&amp;"",PERIPHERAL!$B$3:$B$954&amp;"",PERIPHERAL!$E$3:$E$954,""),"Utilities",_xlfn.XLOOKUP($K929&amp;"",UTILITIES!$B$3:$B$953&amp;"",UTILITIES!$E$3:$E$953,""),"IOT",_xlfn.XLOOKUP($K929&amp;"",IOT!$B$3:$B$1012&amp;"",IOT!$E$3:$E$1012,""),"Server",_xlfn.XLOOKUP($K929&amp;"",SERVER!$B$3:$B$1009&amp;"",SERVER!$E$3:$E$1009,""),""))))</f>
        <v/>
      </c>
      <c r="Q929" s="1" t="str" cm="1">
        <f t="array" ref="Q929">IF(OR($K929="",$I929="",$J929=""),"",_xlfn.LET(_xlpm.srcCat,_xlfn.SWITCH($I929,"Computer",_xlfn.XLOOKUP($K929&amp;"",COMPUTER!$B$3:$B$1009&amp;"",COMPUTER!$H$3:$H$1009,""),"Display",_xlfn.XLOOKUP($K929&amp;"",DISPLAY!$B$3:$B$1000&amp;"",DISPLAY!$H$3:$H$1000,""),"Network Device",_xlfn.XLOOKUP($K929&amp;"",'NETWORK-DEVICES'!$B$3:$B$987&amp;"",'NETWORK-DEVICES'!$H$3:$H$987,""),"Peripheral",_xlfn.XLOOKUP($K929&amp;"",PERIPHERAL!$B$3:$B$954&amp;"",PERIPHERAL!$H$3:$H$954,""),"Utilities",_xlfn.XLOOKUP($K929&amp;"",UTILITIES!$B$3:$B$953&amp;"",UTILITIES!$G$3:$G$953,""),"IOT",_xlfn.XLOOKUP($K929&amp;"",IOT!$B$3:$B$1012&amp;"",IOT!$H$3:$H$1012,""),"Server",_xlfn.XLOOKUP($K929&amp;"",SERVER!$B$3:$B$1009&amp;"",SERVER!$H$3:$H$1009,""),""),IF(TRIM(_xlpm.srcCat)&lt;&gt;TRIM($J929),"",_xlfn.SWITCH($I929,"Computer",_xlfn.XLOOKUP($K929&amp;"",COMPUTER!$B$3:$B$1009&amp;"",COMPUTER!$AM$3:$AM$1009,""),"Display",_xlfn.XLOOKUP($K929&amp;"",DISPLAY!$B$3:$B$1000&amp;"",DISPLAY!$V$3:$V$1000,""),"Network Device",_xlfn.XLOOKUP($K929&amp;"",'NETWORK-DEVICES'!$B$3:$B$987&amp;"",'NETWORK-DEVICES'!$AF$3:$AF$987,""),"Peripheral",_xlfn.XLOOKUP($K929&amp;"",PERIPHERAL!$B$3:$B$954&amp;"",PERIPHERAL!$Y$3:$Y$954,""),"Utilities",_xlfn.XLOOKUP($K929&amp;"",UTILITIES!$B$3:$B$953&amp;"",UTILITIES!$O$3:$O$953,""),"IOT",_xlfn.XLOOKUP($K929&amp;"",IOT!$B$3:$B$1012&amp;"",IOT!$AB$3:$AB$1012,""),"Server",_xlfn.XLOOKUP($K929&amp;"",SERVER!$B$3:$B$1009&amp;"",SERVER!$AB$3:$AB$1009,""),""))))</f>
        <v/>
      </c>
      <c r="R929" s="43" t="str">
        <f>IF(tbl_handover[[#This Row],[Asset Code]]="","",COUNTIF(tbl_handover[Asset Code],tbl_handover[[#This Row],[Asset Code]]))</f>
        <v/>
      </c>
    </row>
    <row r="930" spans="1:18" x14ac:dyDescent="0.25">
      <c r="A930" s="43" t="str">
        <f>IF(B930&lt;&gt;"",SUBTOTAL(3,$B$1:B929),"")</f>
        <v/>
      </c>
      <c r="C930" s="74"/>
      <c r="D930" s="74"/>
      <c r="G930" s="1"/>
      <c r="K930" s="42"/>
      <c r="L930" t="str" cm="1">
        <f t="array" ref="L930">IF($K930="","",_xlfn.SWITCH($I930,"Computer",_xlfn.XLOOKUP($K930&amp;"",COMPUTER!$B$3:$B$1009&amp;"",COMPUTER!$I$3:$I$1009,""),"Display",_xlfn.XLOOKUP($K930&amp;"",DISPLAY!$B$3:$B$1000&amp;"",DISPLAY!$J$3:$J$1000,""),"Network Device",_xlfn.XLOOKUP($K930&amp;"",'NETWORK-DEVICES'!$B$3:$B$987&amp;"",'NETWORK-DEVICES'!$I$3:$I$987,""),"Peripheral",_xlfn.XLOOKUP($K930&amp;"",PERIPHERAL!$B$3:$B$954&amp;"",PERIPHERAL!$I$3:$I$954,""),"Utilities",_xlfn.XLOOKUP($K930&amp;"",UTILITIES!$B$3:$B$953&amp;"",UTILITIES!$H$3:$H$953,""),"IOT",_xlfn.XLOOKUP($K930&amp;"",IOT!$B$3:$B$1012&amp;"",IOT!$I$3:$I$1012,""),"SERVER",_xlfn.XLOOKUP($K930&amp;"",SERVER!$B$3:$B$1009&amp;"",SERVER!$I$3:$I$1009,""),""))</f>
        <v/>
      </c>
      <c r="M930" t="str" cm="1">
        <f t="array" ref="M930">IF($K930="","",_xlfn.SWITCH($I930,"Computer",_xlfn.XLOOKUP($K930&amp;"",COMPUTER!$B$3:$B$1009&amp;"",COMPUTER!$J$3:$J$1009,""),"Display",_xlfn.XLOOKUP($K930&amp;"",DISPLAY!$B$3:$B$1000&amp;"",DISPLAY!$K$3:$K$1000,""),"Network Device",_xlfn.XLOOKUP($K930&amp;"",'NETWORK-DEVICES'!$B$3:$B$987&amp;"",'NETWORK-DEVICES'!$I$3:$I$987,""),"Peripheral",_xlfn.XLOOKUP($K930&amp;"",PERIPHERAL!$B$3:$B$954&amp;"",PERIPHERAL!$J$3:$J$954,""),"Utilities",_xlfn.XLOOKUP($K930&amp;"",UTILITIES!$B$3:$B$953&amp;"",UTILITIES!$I$3:$I$953,""),"IOT",_xlfn.XLOOKUP($K930&amp;"",IOT!$B$3:$B$1012&amp;"",IOT!$J$3:$J$1012,""),"Server",_xlfn.XLOOKUP($K930&amp;"",SERVER!$B$3:$B$1009&amp;"",SERVER!$J$3:$J$1009,""),""))</f>
        <v/>
      </c>
      <c r="N930" s="1" t="str" cm="1">
        <f t="array" ref="N930">IF(OR($K930="",$I930="",$J930=""),"",_xlfn.LET(_xlpm.srcCat,_xlfn.SWITCH($I930,"Computer",_xlfn.XLOOKUP($K930&amp;"",COMPUTER!$B$3:$B$1009&amp;"",COMPUTER!$H$3:$H$1009,""),"Display",_xlfn.XLOOKUP($K930&amp;"",DISPLAY!$B$3:$B$1000&amp;"",DISPLAY!$H$3:$H$1000,""),"Network Device",_xlfn.XLOOKUP($K930&amp;"",'NETWORK-DEVICES'!$B$3:$B$987&amp;"",'NETWORK-DEVICES'!$H$3:$H$987,""),"Peripheral",_xlfn.XLOOKUP($K930&amp;"",PERIPHERAL!$B$3:$B$954&amp;"",PERIPHERAL!$H$3:$H$954,""),"Utilities",_xlfn.XLOOKUP($K930&amp;"",UTILITIES!$B$3:$B$953&amp;"",UTILITIES!$G$3:$G$953,""),"IOT",_xlfn.XLOOKUP($K930&amp;"",IOT!$B$3:$B$1012&amp;"",IOT!$H$3:$H$1012,""),"Server",_xlfn.XLOOKUP($K930&amp;"",SERVER!$B$3:$B$1009&amp;"",SERVER!$H$3:$H$1009,""),""),IF(TRIM(_xlpm.srcCat)&lt;&gt;TRIM($J930),"",_xlfn.SWITCH($I930,"Computer",_xlfn.XLOOKUP($K930&amp;"",COMPUTER!$B$3:$B$1009&amp;"",COMPUTER!$K$3:$K$1009,""),"Display",_xlfn.XLOOKUP($K930&amp;"",DISPLAY!$B$3:$B$1000&amp;"",DISPLAY!$L$3:$L$1000,""),"Network Device",_xlfn.XLOOKUP($K930&amp;"",'NETWORK-DEVICES'!$B$3:$B$987&amp;"",'NETWORK-DEVICES'!$K$3:$K$987,""),"Peripheral",_xlfn.XLOOKUP($K930&amp;"",PERIPHERAL!$B$3:$B$954&amp;"",PERIPHERAL!$K$3:$K$954,""),"Utilities",_xlfn.XLOOKUP($K930&amp;"",UTILITIES!$B$3:$B$953&amp;"",UTILITIES!$J$3:$J$953,""),"IOT",_xlfn.XLOOKUP($K930&amp;"",IOT!$B$3:$B$1012&amp;"",IOT!$K$4:$K$1012,""),"Server",_xlfn.XLOOKUP($K930&amp;"",SERVER!$B$3:$B$1009&amp;"",SERVER!$K$3:$K$1009,""),""))))</f>
        <v/>
      </c>
      <c r="O930" s="1" t="str" cm="1">
        <f t="array" ref="O930">IF(OR($K930="",$I930="",$J930=""),"",_xlfn.LET(_xlpm.srcCat,_xlfn.SWITCH($I930,"Computer",_xlfn.XLOOKUP($K930&amp;"",COMPUTER!$B$3:$B$1009&amp;"",COMPUTER!$H$3:$H$1009,""),"Display",_xlfn.XLOOKUP($K930&amp;"",DISPLAY!$B$3:$B$1000&amp;"",DISPLAY!$H$3:$H$1000,""),"Network Device",_xlfn.XLOOKUP($K930&amp;"",'NETWORK-DEVICES'!$B$3:$B$987&amp;"",'NETWORK-DEVICES'!$H$3:$H$987,""),"Peripheral",_xlfn.XLOOKUP($K930&amp;"",PERIPHERAL!$B$3:$B$954&amp;"",PERIPHERAL!$H$3:$H$954,""),"Utilities",_xlfn.XLOOKUP($K930&amp;"",UTILITIES!$B$3:$B$953&amp;"",UTILITIES!$G$3:$G$953,""),"IOT",_xlfn.XLOOKUP($K930&amp;"",IOT!$B$3:$B$1012&amp;"",IOT!$H$3:$H$1012,""),"Server",_xlfn.XLOOKUP($K930&amp;"",SERVER!$B$3:$B$1009&amp;"",SERVER!$H$3:$H$1009,""),""),IF(TRIM(_xlpm.srcCat)&lt;&gt;TRIM($J930),"",_xlfn.SWITCH($I930,"Computer",_xlfn.XLOOKUP($K930&amp;"",COMPUTER!$B$3:$B$1009&amp;"",COMPUTER!$E$3:$E$1009,""),"Display",_xlfn.XLOOKUP($K930&amp;"",DISPLAY!$B$3:$B$1000&amp;"",DISPLAY!$E$3:$E$1000,""),"Network Device",_xlfn.XLOOKUP($K930&amp;"",'NETWORK-DEVICES'!$B$3:$B$987&amp;"",'NETWORK-DEVICES'!$E$3:$E$987,""),"Peripheral",_xlfn.XLOOKUP($K930&amp;"",PERIPHERAL!$B$3:$B$954&amp;"",PERIPHERAL!$E$3:$E$954,""),"Utilities",_xlfn.XLOOKUP($K930&amp;"",UTILITIES!$B$3:$B$953&amp;"",UTILITIES!$E$3:$E$953,""),"IOT",_xlfn.XLOOKUP($K930&amp;"",IOT!$B$3:$B$1012&amp;"",IOT!$E$3:$E$1012,""),"Server",_xlfn.XLOOKUP($K930&amp;"",SERVER!$B$3:$B$1009&amp;"",SERVER!$E$3:$E$1009,""),""))))</f>
        <v/>
      </c>
      <c r="Q930" s="1" t="str" cm="1">
        <f t="array" ref="Q930">IF(OR($K930="",$I930="",$J930=""),"",_xlfn.LET(_xlpm.srcCat,_xlfn.SWITCH($I930,"Computer",_xlfn.XLOOKUP($K930&amp;"",COMPUTER!$B$3:$B$1009&amp;"",COMPUTER!$H$3:$H$1009,""),"Display",_xlfn.XLOOKUP($K930&amp;"",DISPLAY!$B$3:$B$1000&amp;"",DISPLAY!$H$3:$H$1000,""),"Network Device",_xlfn.XLOOKUP($K930&amp;"",'NETWORK-DEVICES'!$B$3:$B$987&amp;"",'NETWORK-DEVICES'!$H$3:$H$987,""),"Peripheral",_xlfn.XLOOKUP($K930&amp;"",PERIPHERAL!$B$3:$B$954&amp;"",PERIPHERAL!$H$3:$H$954,""),"Utilities",_xlfn.XLOOKUP($K930&amp;"",UTILITIES!$B$3:$B$953&amp;"",UTILITIES!$G$3:$G$953,""),"IOT",_xlfn.XLOOKUP($K930&amp;"",IOT!$B$3:$B$1012&amp;"",IOT!$H$3:$H$1012,""),"Server",_xlfn.XLOOKUP($K930&amp;"",SERVER!$B$3:$B$1009&amp;"",SERVER!$H$3:$H$1009,""),""),IF(TRIM(_xlpm.srcCat)&lt;&gt;TRIM($J930),"",_xlfn.SWITCH($I930,"Computer",_xlfn.XLOOKUP($K930&amp;"",COMPUTER!$B$3:$B$1009&amp;"",COMPUTER!$AM$3:$AM$1009,""),"Display",_xlfn.XLOOKUP($K930&amp;"",DISPLAY!$B$3:$B$1000&amp;"",DISPLAY!$V$3:$V$1000,""),"Network Device",_xlfn.XLOOKUP($K930&amp;"",'NETWORK-DEVICES'!$B$3:$B$987&amp;"",'NETWORK-DEVICES'!$AF$3:$AF$987,""),"Peripheral",_xlfn.XLOOKUP($K930&amp;"",PERIPHERAL!$B$3:$B$954&amp;"",PERIPHERAL!$Y$3:$Y$954,""),"Utilities",_xlfn.XLOOKUP($K930&amp;"",UTILITIES!$B$3:$B$953&amp;"",UTILITIES!$O$3:$O$953,""),"IOT",_xlfn.XLOOKUP($K930&amp;"",IOT!$B$3:$B$1012&amp;"",IOT!$AB$3:$AB$1012,""),"Server",_xlfn.XLOOKUP($K930&amp;"",SERVER!$B$3:$B$1009&amp;"",SERVER!$AB$3:$AB$1009,""),""))))</f>
        <v/>
      </c>
      <c r="R930" s="43" t="str">
        <f>IF(tbl_handover[[#This Row],[Asset Code]]="","",COUNTIF(tbl_handover[Asset Code],tbl_handover[[#This Row],[Asset Code]]))</f>
        <v/>
      </c>
    </row>
    <row r="931" spans="1:18" x14ac:dyDescent="0.25">
      <c r="A931" s="43" t="str">
        <f>IF(B931&lt;&gt;"",SUBTOTAL(3,$B$1:B930),"")</f>
        <v/>
      </c>
      <c r="C931" s="74"/>
      <c r="D931" s="74"/>
      <c r="G931" s="1"/>
      <c r="K931" s="42"/>
      <c r="L931" t="str" cm="1">
        <f t="array" ref="L931">IF($K931="","",_xlfn.SWITCH($I931,"Computer",_xlfn.XLOOKUP($K931&amp;"",COMPUTER!$B$3:$B$1009&amp;"",COMPUTER!$I$3:$I$1009,""),"Display",_xlfn.XLOOKUP($K931&amp;"",DISPLAY!$B$3:$B$1000&amp;"",DISPLAY!$J$3:$J$1000,""),"Network Device",_xlfn.XLOOKUP($K931&amp;"",'NETWORK-DEVICES'!$B$3:$B$987&amp;"",'NETWORK-DEVICES'!$I$3:$I$987,""),"Peripheral",_xlfn.XLOOKUP($K931&amp;"",PERIPHERAL!$B$3:$B$954&amp;"",PERIPHERAL!$I$3:$I$954,""),"Utilities",_xlfn.XLOOKUP($K931&amp;"",UTILITIES!$B$3:$B$953&amp;"",UTILITIES!$H$3:$H$953,""),"IOT",_xlfn.XLOOKUP($K931&amp;"",IOT!$B$3:$B$1012&amp;"",IOT!$I$3:$I$1012,""),"SERVER",_xlfn.XLOOKUP($K931&amp;"",SERVER!$B$3:$B$1009&amp;"",SERVER!$I$3:$I$1009,""),""))</f>
        <v/>
      </c>
      <c r="M931" t="str" cm="1">
        <f t="array" ref="M931">IF($K931="","",_xlfn.SWITCH($I931,"Computer",_xlfn.XLOOKUP($K931&amp;"",COMPUTER!$B$3:$B$1009&amp;"",COMPUTER!$J$3:$J$1009,""),"Display",_xlfn.XLOOKUP($K931&amp;"",DISPLAY!$B$3:$B$1000&amp;"",DISPLAY!$K$3:$K$1000,""),"Network Device",_xlfn.XLOOKUP($K931&amp;"",'NETWORK-DEVICES'!$B$3:$B$987&amp;"",'NETWORK-DEVICES'!$I$3:$I$987,""),"Peripheral",_xlfn.XLOOKUP($K931&amp;"",PERIPHERAL!$B$3:$B$954&amp;"",PERIPHERAL!$J$3:$J$954,""),"Utilities",_xlfn.XLOOKUP($K931&amp;"",UTILITIES!$B$3:$B$953&amp;"",UTILITIES!$I$3:$I$953,""),"IOT",_xlfn.XLOOKUP($K931&amp;"",IOT!$B$3:$B$1012&amp;"",IOT!$J$3:$J$1012,""),"Server",_xlfn.XLOOKUP($K931&amp;"",SERVER!$B$3:$B$1009&amp;"",SERVER!$J$3:$J$1009,""),""))</f>
        <v/>
      </c>
      <c r="N931" s="1" t="str" cm="1">
        <f t="array" ref="N931">IF(OR($K931="",$I931="",$J931=""),"",_xlfn.LET(_xlpm.srcCat,_xlfn.SWITCH($I931,"Computer",_xlfn.XLOOKUP($K931&amp;"",COMPUTER!$B$3:$B$1009&amp;"",COMPUTER!$H$3:$H$1009,""),"Display",_xlfn.XLOOKUP($K931&amp;"",DISPLAY!$B$3:$B$1000&amp;"",DISPLAY!$H$3:$H$1000,""),"Network Device",_xlfn.XLOOKUP($K931&amp;"",'NETWORK-DEVICES'!$B$3:$B$987&amp;"",'NETWORK-DEVICES'!$H$3:$H$987,""),"Peripheral",_xlfn.XLOOKUP($K931&amp;"",PERIPHERAL!$B$3:$B$954&amp;"",PERIPHERAL!$H$3:$H$954,""),"Utilities",_xlfn.XLOOKUP($K931&amp;"",UTILITIES!$B$3:$B$953&amp;"",UTILITIES!$G$3:$G$953,""),"IOT",_xlfn.XLOOKUP($K931&amp;"",IOT!$B$3:$B$1012&amp;"",IOT!$H$3:$H$1012,""),"Server",_xlfn.XLOOKUP($K931&amp;"",SERVER!$B$3:$B$1009&amp;"",SERVER!$H$3:$H$1009,""),""),IF(TRIM(_xlpm.srcCat)&lt;&gt;TRIM($J931),"",_xlfn.SWITCH($I931,"Computer",_xlfn.XLOOKUP($K931&amp;"",COMPUTER!$B$3:$B$1009&amp;"",COMPUTER!$K$3:$K$1009,""),"Display",_xlfn.XLOOKUP($K931&amp;"",DISPLAY!$B$3:$B$1000&amp;"",DISPLAY!$L$3:$L$1000,""),"Network Device",_xlfn.XLOOKUP($K931&amp;"",'NETWORK-DEVICES'!$B$3:$B$987&amp;"",'NETWORK-DEVICES'!$K$3:$K$987,""),"Peripheral",_xlfn.XLOOKUP($K931&amp;"",PERIPHERAL!$B$3:$B$954&amp;"",PERIPHERAL!$K$3:$K$954,""),"Utilities",_xlfn.XLOOKUP($K931&amp;"",UTILITIES!$B$3:$B$953&amp;"",UTILITIES!$J$3:$J$953,""),"IOT",_xlfn.XLOOKUP($K931&amp;"",IOT!$B$3:$B$1012&amp;"",IOT!$K$4:$K$1012,""),"Server",_xlfn.XLOOKUP($K931&amp;"",SERVER!$B$3:$B$1009&amp;"",SERVER!$K$3:$K$1009,""),""))))</f>
        <v/>
      </c>
      <c r="O931" s="1" t="str" cm="1">
        <f t="array" ref="O931">IF(OR($K931="",$I931="",$J931=""),"",_xlfn.LET(_xlpm.srcCat,_xlfn.SWITCH($I931,"Computer",_xlfn.XLOOKUP($K931&amp;"",COMPUTER!$B$3:$B$1009&amp;"",COMPUTER!$H$3:$H$1009,""),"Display",_xlfn.XLOOKUP($K931&amp;"",DISPLAY!$B$3:$B$1000&amp;"",DISPLAY!$H$3:$H$1000,""),"Network Device",_xlfn.XLOOKUP($K931&amp;"",'NETWORK-DEVICES'!$B$3:$B$987&amp;"",'NETWORK-DEVICES'!$H$3:$H$987,""),"Peripheral",_xlfn.XLOOKUP($K931&amp;"",PERIPHERAL!$B$3:$B$954&amp;"",PERIPHERAL!$H$3:$H$954,""),"Utilities",_xlfn.XLOOKUP($K931&amp;"",UTILITIES!$B$3:$B$953&amp;"",UTILITIES!$G$3:$G$953,""),"IOT",_xlfn.XLOOKUP($K931&amp;"",IOT!$B$3:$B$1012&amp;"",IOT!$H$3:$H$1012,""),"Server",_xlfn.XLOOKUP($K931&amp;"",SERVER!$B$3:$B$1009&amp;"",SERVER!$H$3:$H$1009,""),""),IF(TRIM(_xlpm.srcCat)&lt;&gt;TRIM($J931),"",_xlfn.SWITCH($I931,"Computer",_xlfn.XLOOKUP($K931&amp;"",COMPUTER!$B$3:$B$1009&amp;"",COMPUTER!$E$3:$E$1009,""),"Display",_xlfn.XLOOKUP($K931&amp;"",DISPLAY!$B$3:$B$1000&amp;"",DISPLAY!$E$3:$E$1000,""),"Network Device",_xlfn.XLOOKUP($K931&amp;"",'NETWORK-DEVICES'!$B$3:$B$987&amp;"",'NETWORK-DEVICES'!$E$3:$E$987,""),"Peripheral",_xlfn.XLOOKUP($K931&amp;"",PERIPHERAL!$B$3:$B$954&amp;"",PERIPHERAL!$E$3:$E$954,""),"Utilities",_xlfn.XLOOKUP($K931&amp;"",UTILITIES!$B$3:$B$953&amp;"",UTILITIES!$E$3:$E$953,""),"IOT",_xlfn.XLOOKUP($K931&amp;"",IOT!$B$3:$B$1012&amp;"",IOT!$E$3:$E$1012,""),"Server",_xlfn.XLOOKUP($K931&amp;"",SERVER!$B$3:$B$1009&amp;"",SERVER!$E$3:$E$1009,""),""))))</f>
        <v/>
      </c>
      <c r="Q931" s="1" t="str" cm="1">
        <f t="array" ref="Q931">IF(OR($K931="",$I931="",$J931=""),"",_xlfn.LET(_xlpm.srcCat,_xlfn.SWITCH($I931,"Computer",_xlfn.XLOOKUP($K931&amp;"",COMPUTER!$B$3:$B$1009&amp;"",COMPUTER!$H$3:$H$1009,""),"Display",_xlfn.XLOOKUP($K931&amp;"",DISPLAY!$B$3:$B$1000&amp;"",DISPLAY!$H$3:$H$1000,""),"Network Device",_xlfn.XLOOKUP($K931&amp;"",'NETWORK-DEVICES'!$B$3:$B$987&amp;"",'NETWORK-DEVICES'!$H$3:$H$987,""),"Peripheral",_xlfn.XLOOKUP($K931&amp;"",PERIPHERAL!$B$3:$B$954&amp;"",PERIPHERAL!$H$3:$H$954,""),"Utilities",_xlfn.XLOOKUP($K931&amp;"",UTILITIES!$B$3:$B$953&amp;"",UTILITIES!$G$3:$G$953,""),"IOT",_xlfn.XLOOKUP($K931&amp;"",IOT!$B$3:$B$1012&amp;"",IOT!$H$3:$H$1012,""),"Server",_xlfn.XLOOKUP($K931&amp;"",SERVER!$B$3:$B$1009&amp;"",SERVER!$H$3:$H$1009,""),""),IF(TRIM(_xlpm.srcCat)&lt;&gt;TRIM($J931),"",_xlfn.SWITCH($I931,"Computer",_xlfn.XLOOKUP($K931&amp;"",COMPUTER!$B$3:$B$1009&amp;"",COMPUTER!$AM$3:$AM$1009,""),"Display",_xlfn.XLOOKUP($K931&amp;"",DISPLAY!$B$3:$B$1000&amp;"",DISPLAY!$V$3:$V$1000,""),"Network Device",_xlfn.XLOOKUP($K931&amp;"",'NETWORK-DEVICES'!$B$3:$B$987&amp;"",'NETWORK-DEVICES'!$AF$3:$AF$987,""),"Peripheral",_xlfn.XLOOKUP($K931&amp;"",PERIPHERAL!$B$3:$B$954&amp;"",PERIPHERAL!$Y$3:$Y$954,""),"Utilities",_xlfn.XLOOKUP($K931&amp;"",UTILITIES!$B$3:$B$953&amp;"",UTILITIES!$O$3:$O$953,""),"IOT",_xlfn.XLOOKUP($K931&amp;"",IOT!$B$3:$B$1012&amp;"",IOT!$AB$3:$AB$1012,""),"Server",_xlfn.XLOOKUP($K931&amp;"",SERVER!$B$3:$B$1009&amp;"",SERVER!$AB$3:$AB$1009,""),""))))</f>
        <v/>
      </c>
      <c r="R931" s="43" t="str">
        <f>IF(tbl_handover[[#This Row],[Asset Code]]="","",COUNTIF(tbl_handover[Asset Code],tbl_handover[[#This Row],[Asset Code]]))</f>
        <v/>
      </c>
    </row>
    <row r="932" spans="1:18" x14ac:dyDescent="0.25">
      <c r="A932" s="43" t="str">
        <f>IF(B932&lt;&gt;"",SUBTOTAL(3,$B$1:B931),"")</f>
        <v/>
      </c>
      <c r="C932" s="74"/>
      <c r="D932" s="74"/>
      <c r="G932" s="1"/>
      <c r="K932" s="42"/>
      <c r="L932" t="str" cm="1">
        <f t="array" ref="L932">IF($K932="","",_xlfn.SWITCH($I932,"Computer",_xlfn.XLOOKUP($K932&amp;"",COMPUTER!$B$3:$B$1009&amp;"",COMPUTER!$I$3:$I$1009,""),"Display",_xlfn.XLOOKUP($K932&amp;"",DISPLAY!$B$3:$B$1000&amp;"",DISPLAY!$J$3:$J$1000,""),"Network Device",_xlfn.XLOOKUP($K932&amp;"",'NETWORK-DEVICES'!$B$3:$B$987&amp;"",'NETWORK-DEVICES'!$I$3:$I$987,""),"Peripheral",_xlfn.XLOOKUP($K932&amp;"",PERIPHERAL!$B$3:$B$954&amp;"",PERIPHERAL!$I$3:$I$954,""),"Utilities",_xlfn.XLOOKUP($K932&amp;"",UTILITIES!$B$3:$B$953&amp;"",UTILITIES!$H$3:$H$953,""),"IOT",_xlfn.XLOOKUP($K932&amp;"",IOT!$B$3:$B$1012&amp;"",IOT!$I$3:$I$1012,""),"SERVER",_xlfn.XLOOKUP($K932&amp;"",SERVER!$B$3:$B$1009&amp;"",SERVER!$I$3:$I$1009,""),""))</f>
        <v/>
      </c>
      <c r="M932" t="str" cm="1">
        <f t="array" ref="M932">IF($K932="","",_xlfn.SWITCH($I932,"Computer",_xlfn.XLOOKUP($K932&amp;"",COMPUTER!$B$3:$B$1009&amp;"",COMPUTER!$J$3:$J$1009,""),"Display",_xlfn.XLOOKUP($K932&amp;"",DISPLAY!$B$3:$B$1000&amp;"",DISPLAY!$K$3:$K$1000,""),"Network Device",_xlfn.XLOOKUP($K932&amp;"",'NETWORK-DEVICES'!$B$3:$B$987&amp;"",'NETWORK-DEVICES'!$I$3:$I$987,""),"Peripheral",_xlfn.XLOOKUP($K932&amp;"",PERIPHERAL!$B$3:$B$954&amp;"",PERIPHERAL!$J$3:$J$954,""),"Utilities",_xlfn.XLOOKUP($K932&amp;"",UTILITIES!$B$3:$B$953&amp;"",UTILITIES!$I$3:$I$953,""),"IOT",_xlfn.XLOOKUP($K932&amp;"",IOT!$B$3:$B$1012&amp;"",IOT!$J$3:$J$1012,""),"Server",_xlfn.XLOOKUP($K932&amp;"",SERVER!$B$3:$B$1009&amp;"",SERVER!$J$3:$J$1009,""),""))</f>
        <v/>
      </c>
      <c r="N932" s="1" t="str" cm="1">
        <f t="array" ref="N932">IF(OR($K932="",$I932="",$J932=""),"",_xlfn.LET(_xlpm.srcCat,_xlfn.SWITCH($I932,"Computer",_xlfn.XLOOKUP($K932&amp;"",COMPUTER!$B$3:$B$1009&amp;"",COMPUTER!$H$3:$H$1009,""),"Display",_xlfn.XLOOKUP($K932&amp;"",DISPLAY!$B$3:$B$1000&amp;"",DISPLAY!$H$3:$H$1000,""),"Network Device",_xlfn.XLOOKUP($K932&amp;"",'NETWORK-DEVICES'!$B$3:$B$987&amp;"",'NETWORK-DEVICES'!$H$3:$H$987,""),"Peripheral",_xlfn.XLOOKUP($K932&amp;"",PERIPHERAL!$B$3:$B$954&amp;"",PERIPHERAL!$H$3:$H$954,""),"Utilities",_xlfn.XLOOKUP($K932&amp;"",UTILITIES!$B$3:$B$953&amp;"",UTILITIES!$G$3:$G$953,""),"IOT",_xlfn.XLOOKUP($K932&amp;"",IOT!$B$3:$B$1012&amp;"",IOT!$H$3:$H$1012,""),"Server",_xlfn.XLOOKUP($K932&amp;"",SERVER!$B$3:$B$1009&amp;"",SERVER!$H$3:$H$1009,""),""),IF(TRIM(_xlpm.srcCat)&lt;&gt;TRIM($J932),"",_xlfn.SWITCH($I932,"Computer",_xlfn.XLOOKUP($K932&amp;"",COMPUTER!$B$3:$B$1009&amp;"",COMPUTER!$K$3:$K$1009,""),"Display",_xlfn.XLOOKUP($K932&amp;"",DISPLAY!$B$3:$B$1000&amp;"",DISPLAY!$L$3:$L$1000,""),"Network Device",_xlfn.XLOOKUP($K932&amp;"",'NETWORK-DEVICES'!$B$3:$B$987&amp;"",'NETWORK-DEVICES'!$K$3:$K$987,""),"Peripheral",_xlfn.XLOOKUP($K932&amp;"",PERIPHERAL!$B$3:$B$954&amp;"",PERIPHERAL!$K$3:$K$954,""),"Utilities",_xlfn.XLOOKUP($K932&amp;"",UTILITIES!$B$3:$B$953&amp;"",UTILITIES!$J$3:$J$953,""),"IOT",_xlfn.XLOOKUP($K932&amp;"",IOT!$B$3:$B$1012&amp;"",IOT!$K$4:$K$1012,""),"Server",_xlfn.XLOOKUP($K932&amp;"",SERVER!$B$3:$B$1009&amp;"",SERVER!$K$3:$K$1009,""),""))))</f>
        <v/>
      </c>
      <c r="O932" s="1" t="str" cm="1">
        <f t="array" ref="O932">IF(OR($K932="",$I932="",$J932=""),"",_xlfn.LET(_xlpm.srcCat,_xlfn.SWITCH($I932,"Computer",_xlfn.XLOOKUP($K932&amp;"",COMPUTER!$B$3:$B$1009&amp;"",COMPUTER!$H$3:$H$1009,""),"Display",_xlfn.XLOOKUP($K932&amp;"",DISPLAY!$B$3:$B$1000&amp;"",DISPLAY!$H$3:$H$1000,""),"Network Device",_xlfn.XLOOKUP($K932&amp;"",'NETWORK-DEVICES'!$B$3:$B$987&amp;"",'NETWORK-DEVICES'!$H$3:$H$987,""),"Peripheral",_xlfn.XLOOKUP($K932&amp;"",PERIPHERAL!$B$3:$B$954&amp;"",PERIPHERAL!$H$3:$H$954,""),"Utilities",_xlfn.XLOOKUP($K932&amp;"",UTILITIES!$B$3:$B$953&amp;"",UTILITIES!$G$3:$G$953,""),"IOT",_xlfn.XLOOKUP($K932&amp;"",IOT!$B$3:$B$1012&amp;"",IOT!$H$3:$H$1012,""),"Server",_xlfn.XLOOKUP($K932&amp;"",SERVER!$B$3:$B$1009&amp;"",SERVER!$H$3:$H$1009,""),""),IF(TRIM(_xlpm.srcCat)&lt;&gt;TRIM($J932),"",_xlfn.SWITCH($I932,"Computer",_xlfn.XLOOKUP($K932&amp;"",COMPUTER!$B$3:$B$1009&amp;"",COMPUTER!$E$3:$E$1009,""),"Display",_xlfn.XLOOKUP($K932&amp;"",DISPLAY!$B$3:$B$1000&amp;"",DISPLAY!$E$3:$E$1000,""),"Network Device",_xlfn.XLOOKUP($K932&amp;"",'NETWORK-DEVICES'!$B$3:$B$987&amp;"",'NETWORK-DEVICES'!$E$3:$E$987,""),"Peripheral",_xlfn.XLOOKUP($K932&amp;"",PERIPHERAL!$B$3:$B$954&amp;"",PERIPHERAL!$E$3:$E$954,""),"Utilities",_xlfn.XLOOKUP($K932&amp;"",UTILITIES!$B$3:$B$953&amp;"",UTILITIES!$E$3:$E$953,""),"IOT",_xlfn.XLOOKUP($K932&amp;"",IOT!$B$3:$B$1012&amp;"",IOT!$E$3:$E$1012,""),"Server",_xlfn.XLOOKUP($K932&amp;"",SERVER!$B$3:$B$1009&amp;"",SERVER!$E$3:$E$1009,""),""))))</f>
        <v/>
      </c>
      <c r="Q932" s="1" t="str" cm="1">
        <f t="array" ref="Q932">IF(OR($K932="",$I932="",$J932=""),"",_xlfn.LET(_xlpm.srcCat,_xlfn.SWITCH($I932,"Computer",_xlfn.XLOOKUP($K932&amp;"",COMPUTER!$B$3:$B$1009&amp;"",COMPUTER!$H$3:$H$1009,""),"Display",_xlfn.XLOOKUP($K932&amp;"",DISPLAY!$B$3:$B$1000&amp;"",DISPLAY!$H$3:$H$1000,""),"Network Device",_xlfn.XLOOKUP($K932&amp;"",'NETWORK-DEVICES'!$B$3:$B$987&amp;"",'NETWORK-DEVICES'!$H$3:$H$987,""),"Peripheral",_xlfn.XLOOKUP($K932&amp;"",PERIPHERAL!$B$3:$B$954&amp;"",PERIPHERAL!$H$3:$H$954,""),"Utilities",_xlfn.XLOOKUP($K932&amp;"",UTILITIES!$B$3:$B$953&amp;"",UTILITIES!$G$3:$G$953,""),"IOT",_xlfn.XLOOKUP($K932&amp;"",IOT!$B$3:$B$1012&amp;"",IOT!$H$3:$H$1012,""),"Server",_xlfn.XLOOKUP($K932&amp;"",SERVER!$B$3:$B$1009&amp;"",SERVER!$H$3:$H$1009,""),""),IF(TRIM(_xlpm.srcCat)&lt;&gt;TRIM($J932),"",_xlfn.SWITCH($I932,"Computer",_xlfn.XLOOKUP($K932&amp;"",COMPUTER!$B$3:$B$1009&amp;"",COMPUTER!$AM$3:$AM$1009,""),"Display",_xlfn.XLOOKUP($K932&amp;"",DISPLAY!$B$3:$B$1000&amp;"",DISPLAY!$V$3:$V$1000,""),"Network Device",_xlfn.XLOOKUP($K932&amp;"",'NETWORK-DEVICES'!$B$3:$B$987&amp;"",'NETWORK-DEVICES'!$AF$3:$AF$987,""),"Peripheral",_xlfn.XLOOKUP($K932&amp;"",PERIPHERAL!$B$3:$B$954&amp;"",PERIPHERAL!$Y$3:$Y$954,""),"Utilities",_xlfn.XLOOKUP($K932&amp;"",UTILITIES!$B$3:$B$953&amp;"",UTILITIES!$O$3:$O$953,""),"IOT",_xlfn.XLOOKUP($K932&amp;"",IOT!$B$3:$B$1012&amp;"",IOT!$AB$3:$AB$1012,""),"Server",_xlfn.XLOOKUP($K932&amp;"",SERVER!$B$3:$B$1009&amp;"",SERVER!$AB$3:$AB$1009,""),""))))</f>
        <v/>
      </c>
      <c r="R932" s="43" t="str">
        <f>IF(tbl_handover[[#This Row],[Asset Code]]="","",COUNTIF(tbl_handover[Asset Code],tbl_handover[[#This Row],[Asset Code]]))</f>
        <v/>
      </c>
    </row>
    <row r="933" spans="1:18" x14ac:dyDescent="0.25">
      <c r="A933" s="43" t="str">
        <f>IF(B933&lt;&gt;"",SUBTOTAL(3,$B$1:B932),"")</f>
        <v/>
      </c>
      <c r="C933" s="74"/>
      <c r="D933" s="74"/>
      <c r="G933" s="1"/>
      <c r="K933" s="42"/>
      <c r="L933" t="str" cm="1">
        <f t="array" ref="L933">IF($K933="","",_xlfn.SWITCH($I933,"Computer",_xlfn.XLOOKUP($K933&amp;"",COMPUTER!$B$3:$B$1009&amp;"",COMPUTER!$I$3:$I$1009,""),"Display",_xlfn.XLOOKUP($K933&amp;"",DISPLAY!$B$3:$B$1000&amp;"",DISPLAY!$J$3:$J$1000,""),"Network Device",_xlfn.XLOOKUP($K933&amp;"",'NETWORK-DEVICES'!$B$3:$B$987&amp;"",'NETWORK-DEVICES'!$I$3:$I$987,""),"Peripheral",_xlfn.XLOOKUP($K933&amp;"",PERIPHERAL!$B$3:$B$954&amp;"",PERIPHERAL!$I$3:$I$954,""),"Utilities",_xlfn.XLOOKUP($K933&amp;"",UTILITIES!$B$3:$B$953&amp;"",UTILITIES!$H$3:$H$953,""),"IOT",_xlfn.XLOOKUP($K933&amp;"",IOT!$B$3:$B$1012&amp;"",IOT!$I$3:$I$1012,""),"SERVER",_xlfn.XLOOKUP($K933&amp;"",SERVER!$B$3:$B$1009&amp;"",SERVER!$I$3:$I$1009,""),""))</f>
        <v/>
      </c>
      <c r="M933" t="str" cm="1">
        <f t="array" ref="M933">IF($K933="","",_xlfn.SWITCH($I933,"Computer",_xlfn.XLOOKUP($K933&amp;"",COMPUTER!$B$3:$B$1009&amp;"",COMPUTER!$J$3:$J$1009,""),"Display",_xlfn.XLOOKUP($K933&amp;"",DISPLAY!$B$3:$B$1000&amp;"",DISPLAY!$K$3:$K$1000,""),"Network Device",_xlfn.XLOOKUP($K933&amp;"",'NETWORK-DEVICES'!$B$3:$B$987&amp;"",'NETWORK-DEVICES'!$I$3:$I$987,""),"Peripheral",_xlfn.XLOOKUP($K933&amp;"",PERIPHERAL!$B$3:$B$954&amp;"",PERIPHERAL!$J$3:$J$954,""),"Utilities",_xlfn.XLOOKUP($K933&amp;"",UTILITIES!$B$3:$B$953&amp;"",UTILITIES!$I$3:$I$953,""),"IOT",_xlfn.XLOOKUP($K933&amp;"",IOT!$B$3:$B$1012&amp;"",IOT!$J$3:$J$1012,""),"Server",_xlfn.XLOOKUP($K933&amp;"",SERVER!$B$3:$B$1009&amp;"",SERVER!$J$3:$J$1009,""),""))</f>
        <v/>
      </c>
      <c r="N933" s="1" t="str" cm="1">
        <f t="array" ref="N933">IF(OR($K933="",$I933="",$J933=""),"",_xlfn.LET(_xlpm.srcCat,_xlfn.SWITCH($I933,"Computer",_xlfn.XLOOKUP($K933&amp;"",COMPUTER!$B$3:$B$1009&amp;"",COMPUTER!$H$3:$H$1009,""),"Display",_xlfn.XLOOKUP($K933&amp;"",DISPLAY!$B$3:$B$1000&amp;"",DISPLAY!$H$3:$H$1000,""),"Network Device",_xlfn.XLOOKUP($K933&amp;"",'NETWORK-DEVICES'!$B$3:$B$987&amp;"",'NETWORK-DEVICES'!$H$3:$H$987,""),"Peripheral",_xlfn.XLOOKUP($K933&amp;"",PERIPHERAL!$B$3:$B$954&amp;"",PERIPHERAL!$H$3:$H$954,""),"Utilities",_xlfn.XLOOKUP($K933&amp;"",UTILITIES!$B$3:$B$953&amp;"",UTILITIES!$G$3:$G$953,""),"IOT",_xlfn.XLOOKUP($K933&amp;"",IOT!$B$3:$B$1012&amp;"",IOT!$H$3:$H$1012,""),"Server",_xlfn.XLOOKUP($K933&amp;"",SERVER!$B$3:$B$1009&amp;"",SERVER!$H$3:$H$1009,""),""),IF(TRIM(_xlpm.srcCat)&lt;&gt;TRIM($J933),"",_xlfn.SWITCH($I933,"Computer",_xlfn.XLOOKUP($K933&amp;"",COMPUTER!$B$3:$B$1009&amp;"",COMPUTER!$K$3:$K$1009,""),"Display",_xlfn.XLOOKUP($K933&amp;"",DISPLAY!$B$3:$B$1000&amp;"",DISPLAY!$L$3:$L$1000,""),"Network Device",_xlfn.XLOOKUP($K933&amp;"",'NETWORK-DEVICES'!$B$3:$B$987&amp;"",'NETWORK-DEVICES'!$K$3:$K$987,""),"Peripheral",_xlfn.XLOOKUP($K933&amp;"",PERIPHERAL!$B$3:$B$954&amp;"",PERIPHERAL!$K$3:$K$954,""),"Utilities",_xlfn.XLOOKUP($K933&amp;"",UTILITIES!$B$3:$B$953&amp;"",UTILITIES!$J$3:$J$953,""),"IOT",_xlfn.XLOOKUP($K933&amp;"",IOT!$B$3:$B$1012&amp;"",IOT!$K$4:$K$1012,""),"Server",_xlfn.XLOOKUP($K933&amp;"",SERVER!$B$3:$B$1009&amp;"",SERVER!$K$3:$K$1009,""),""))))</f>
        <v/>
      </c>
      <c r="O933" s="1" t="str" cm="1">
        <f t="array" ref="O933">IF(OR($K933="",$I933="",$J933=""),"",_xlfn.LET(_xlpm.srcCat,_xlfn.SWITCH($I933,"Computer",_xlfn.XLOOKUP($K933&amp;"",COMPUTER!$B$3:$B$1009&amp;"",COMPUTER!$H$3:$H$1009,""),"Display",_xlfn.XLOOKUP($K933&amp;"",DISPLAY!$B$3:$B$1000&amp;"",DISPLAY!$H$3:$H$1000,""),"Network Device",_xlfn.XLOOKUP($K933&amp;"",'NETWORK-DEVICES'!$B$3:$B$987&amp;"",'NETWORK-DEVICES'!$H$3:$H$987,""),"Peripheral",_xlfn.XLOOKUP($K933&amp;"",PERIPHERAL!$B$3:$B$954&amp;"",PERIPHERAL!$H$3:$H$954,""),"Utilities",_xlfn.XLOOKUP($K933&amp;"",UTILITIES!$B$3:$B$953&amp;"",UTILITIES!$G$3:$G$953,""),"IOT",_xlfn.XLOOKUP($K933&amp;"",IOT!$B$3:$B$1012&amp;"",IOT!$H$3:$H$1012,""),"Server",_xlfn.XLOOKUP($K933&amp;"",SERVER!$B$3:$B$1009&amp;"",SERVER!$H$3:$H$1009,""),""),IF(TRIM(_xlpm.srcCat)&lt;&gt;TRIM($J933),"",_xlfn.SWITCH($I933,"Computer",_xlfn.XLOOKUP($K933&amp;"",COMPUTER!$B$3:$B$1009&amp;"",COMPUTER!$E$3:$E$1009,""),"Display",_xlfn.XLOOKUP($K933&amp;"",DISPLAY!$B$3:$B$1000&amp;"",DISPLAY!$E$3:$E$1000,""),"Network Device",_xlfn.XLOOKUP($K933&amp;"",'NETWORK-DEVICES'!$B$3:$B$987&amp;"",'NETWORK-DEVICES'!$E$3:$E$987,""),"Peripheral",_xlfn.XLOOKUP($K933&amp;"",PERIPHERAL!$B$3:$B$954&amp;"",PERIPHERAL!$E$3:$E$954,""),"Utilities",_xlfn.XLOOKUP($K933&amp;"",UTILITIES!$B$3:$B$953&amp;"",UTILITIES!$E$3:$E$953,""),"IOT",_xlfn.XLOOKUP($K933&amp;"",IOT!$B$3:$B$1012&amp;"",IOT!$E$3:$E$1012,""),"Server",_xlfn.XLOOKUP($K933&amp;"",SERVER!$B$3:$B$1009&amp;"",SERVER!$E$3:$E$1009,""),""))))</f>
        <v/>
      </c>
      <c r="Q933" s="1" t="str" cm="1">
        <f t="array" ref="Q933">IF(OR($K933="",$I933="",$J933=""),"",_xlfn.LET(_xlpm.srcCat,_xlfn.SWITCH($I933,"Computer",_xlfn.XLOOKUP($K933&amp;"",COMPUTER!$B$3:$B$1009&amp;"",COMPUTER!$H$3:$H$1009,""),"Display",_xlfn.XLOOKUP($K933&amp;"",DISPLAY!$B$3:$B$1000&amp;"",DISPLAY!$H$3:$H$1000,""),"Network Device",_xlfn.XLOOKUP($K933&amp;"",'NETWORK-DEVICES'!$B$3:$B$987&amp;"",'NETWORK-DEVICES'!$H$3:$H$987,""),"Peripheral",_xlfn.XLOOKUP($K933&amp;"",PERIPHERAL!$B$3:$B$954&amp;"",PERIPHERAL!$H$3:$H$954,""),"Utilities",_xlfn.XLOOKUP($K933&amp;"",UTILITIES!$B$3:$B$953&amp;"",UTILITIES!$G$3:$G$953,""),"IOT",_xlfn.XLOOKUP($K933&amp;"",IOT!$B$3:$B$1012&amp;"",IOT!$H$3:$H$1012,""),"Server",_xlfn.XLOOKUP($K933&amp;"",SERVER!$B$3:$B$1009&amp;"",SERVER!$H$3:$H$1009,""),""),IF(TRIM(_xlpm.srcCat)&lt;&gt;TRIM($J933),"",_xlfn.SWITCH($I933,"Computer",_xlfn.XLOOKUP($K933&amp;"",COMPUTER!$B$3:$B$1009&amp;"",COMPUTER!$AM$3:$AM$1009,""),"Display",_xlfn.XLOOKUP($K933&amp;"",DISPLAY!$B$3:$B$1000&amp;"",DISPLAY!$V$3:$V$1000,""),"Network Device",_xlfn.XLOOKUP($K933&amp;"",'NETWORK-DEVICES'!$B$3:$B$987&amp;"",'NETWORK-DEVICES'!$AF$3:$AF$987,""),"Peripheral",_xlfn.XLOOKUP($K933&amp;"",PERIPHERAL!$B$3:$B$954&amp;"",PERIPHERAL!$Y$3:$Y$954,""),"Utilities",_xlfn.XLOOKUP($K933&amp;"",UTILITIES!$B$3:$B$953&amp;"",UTILITIES!$O$3:$O$953,""),"IOT",_xlfn.XLOOKUP($K933&amp;"",IOT!$B$3:$B$1012&amp;"",IOT!$AB$3:$AB$1012,""),"Server",_xlfn.XLOOKUP($K933&amp;"",SERVER!$B$3:$B$1009&amp;"",SERVER!$AB$3:$AB$1009,""),""))))</f>
        <v/>
      </c>
      <c r="R933" s="43" t="str">
        <f>IF(tbl_handover[[#This Row],[Asset Code]]="","",COUNTIF(tbl_handover[Asset Code],tbl_handover[[#This Row],[Asset Code]]))</f>
        <v/>
      </c>
    </row>
    <row r="934" spans="1:18" x14ac:dyDescent="0.25">
      <c r="A934" s="43" t="str">
        <f>IF(B934&lt;&gt;"",SUBTOTAL(3,$B$1:B933),"")</f>
        <v/>
      </c>
      <c r="C934" s="74"/>
      <c r="D934" s="74"/>
      <c r="G934" s="1"/>
      <c r="K934" s="42"/>
      <c r="L934" t="str" cm="1">
        <f t="array" ref="L934">IF($K934="","",_xlfn.SWITCH($I934,"Computer",_xlfn.XLOOKUP($K934&amp;"",COMPUTER!$B$3:$B$1009&amp;"",COMPUTER!$I$3:$I$1009,""),"Display",_xlfn.XLOOKUP($K934&amp;"",DISPLAY!$B$3:$B$1000&amp;"",DISPLAY!$J$3:$J$1000,""),"Network Device",_xlfn.XLOOKUP($K934&amp;"",'NETWORK-DEVICES'!$B$3:$B$987&amp;"",'NETWORK-DEVICES'!$I$3:$I$987,""),"Peripheral",_xlfn.XLOOKUP($K934&amp;"",PERIPHERAL!$B$3:$B$954&amp;"",PERIPHERAL!$I$3:$I$954,""),"Utilities",_xlfn.XLOOKUP($K934&amp;"",UTILITIES!$B$3:$B$953&amp;"",UTILITIES!$H$3:$H$953,""),"IOT",_xlfn.XLOOKUP($K934&amp;"",IOT!$B$3:$B$1012&amp;"",IOT!$I$3:$I$1012,""),"SERVER",_xlfn.XLOOKUP($K934&amp;"",SERVER!$B$3:$B$1009&amp;"",SERVER!$I$3:$I$1009,""),""))</f>
        <v/>
      </c>
      <c r="M934" t="str" cm="1">
        <f t="array" ref="M934">IF($K934="","",_xlfn.SWITCH($I934,"Computer",_xlfn.XLOOKUP($K934&amp;"",COMPUTER!$B$3:$B$1009&amp;"",COMPUTER!$J$3:$J$1009,""),"Display",_xlfn.XLOOKUP($K934&amp;"",DISPLAY!$B$3:$B$1000&amp;"",DISPLAY!$K$3:$K$1000,""),"Network Device",_xlfn.XLOOKUP($K934&amp;"",'NETWORK-DEVICES'!$B$3:$B$987&amp;"",'NETWORK-DEVICES'!$I$3:$I$987,""),"Peripheral",_xlfn.XLOOKUP($K934&amp;"",PERIPHERAL!$B$3:$B$954&amp;"",PERIPHERAL!$J$3:$J$954,""),"Utilities",_xlfn.XLOOKUP($K934&amp;"",UTILITIES!$B$3:$B$953&amp;"",UTILITIES!$I$3:$I$953,""),"IOT",_xlfn.XLOOKUP($K934&amp;"",IOT!$B$3:$B$1012&amp;"",IOT!$J$3:$J$1012,""),"Server",_xlfn.XLOOKUP($K934&amp;"",SERVER!$B$3:$B$1009&amp;"",SERVER!$J$3:$J$1009,""),""))</f>
        <v/>
      </c>
      <c r="N934" s="1" t="str" cm="1">
        <f t="array" ref="N934">IF(OR($K934="",$I934="",$J934=""),"",_xlfn.LET(_xlpm.srcCat,_xlfn.SWITCH($I934,"Computer",_xlfn.XLOOKUP($K934&amp;"",COMPUTER!$B$3:$B$1009&amp;"",COMPUTER!$H$3:$H$1009,""),"Display",_xlfn.XLOOKUP($K934&amp;"",DISPLAY!$B$3:$B$1000&amp;"",DISPLAY!$H$3:$H$1000,""),"Network Device",_xlfn.XLOOKUP($K934&amp;"",'NETWORK-DEVICES'!$B$3:$B$987&amp;"",'NETWORK-DEVICES'!$H$3:$H$987,""),"Peripheral",_xlfn.XLOOKUP($K934&amp;"",PERIPHERAL!$B$3:$B$954&amp;"",PERIPHERAL!$H$3:$H$954,""),"Utilities",_xlfn.XLOOKUP($K934&amp;"",UTILITIES!$B$3:$B$953&amp;"",UTILITIES!$G$3:$G$953,""),"IOT",_xlfn.XLOOKUP($K934&amp;"",IOT!$B$3:$B$1012&amp;"",IOT!$H$3:$H$1012,""),"Server",_xlfn.XLOOKUP($K934&amp;"",SERVER!$B$3:$B$1009&amp;"",SERVER!$H$3:$H$1009,""),""),IF(TRIM(_xlpm.srcCat)&lt;&gt;TRIM($J934),"",_xlfn.SWITCH($I934,"Computer",_xlfn.XLOOKUP($K934&amp;"",COMPUTER!$B$3:$B$1009&amp;"",COMPUTER!$K$3:$K$1009,""),"Display",_xlfn.XLOOKUP($K934&amp;"",DISPLAY!$B$3:$B$1000&amp;"",DISPLAY!$L$3:$L$1000,""),"Network Device",_xlfn.XLOOKUP($K934&amp;"",'NETWORK-DEVICES'!$B$3:$B$987&amp;"",'NETWORK-DEVICES'!$K$3:$K$987,""),"Peripheral",_xlfn.XLOOKUP($K934&amp;"",PERIPHERAL!$B$3:$B$954&amp;"",PERIPHERAL!$K$3:$K$954,""),"Utilities",_xlfn.XLOOKUP($K934&amp;"",UTILITIES!$B$3:$B$953&amp;"",UTILITIES!$J$3:$J$953,""),"IOT",_xlfn.XLOOKUP($K934&amp;"",IOT!$B$3:$B$1012&amp;"",IOT!$K$4:$K$1012,""),"Server",_xlfn.XLOOKUP($K934&amp;"",SERVER!$B$3:$B$1009&amp;"",SERVER!$K$3:$K$1009,""),""))))</f>
        <v/>
      </c>
      <c r="O934" s="1" t="str" cm="1">
        <f t="array" ref="O934">IF(OR($K934="",$I934="",$J934=""),"",_xlfn.LET(_xlpm.srcCat,_xlfn.SWITCH($I934,"Computer",_xlfn.XLOOKUP($K934&amp;"",COMPUTER!$B$3:$B$1009&amp;"",COMPUTER!$H$3:$H$1009,""),"Display",_xlfn.XLOOKUP($K934&amp;"",DISPLAY!$B$3:$B$1000&amp;"",DISPLAY!$H$3:$H$1000,""),"Network Device",_xlfn.XLOOKUP($K934&amp;"",'NETWORK-DEVICES'!$B$3:$B$987&amp;"",'NETWORK-DEVICES'!$H$3:$H$987,""),"Peripheral",_xlfn.XLOOKUP($K934&amp;"",PERIPHERAL!$B$3:$B$954&amp;"",PERIPHERAL!$H$3:$H$954,""),"Utilities",_xlfn.XLOOKUP($K934&amp;"",UTILITIES!$B$3:$B$953&amp;"",UTILITIES!$G$3:$G$953,""),"IOT",_xlfn.XLOOKUP($K934&amp;"",IOT!$B$3:$B$1012&amp;"",IOT!$H$3:$H$1012,""),"Server",_xlfn.XLOOKUP($K934&amp;"",SERVER!$B$3:$B$1009&amp;"",SERVER!$H$3:$H$1009,""),""),IF(TRIM(_xlpm.srcCat)&lt;&gt;TRIM($J934),"",_xlfn.SWITCH($I934,"Computer",_xlfn.XLOOKUP($K934&amp;"",COMPUTER!$B$3:$B$1009&amp;"",COMPUTER!$E$3:$E$1009,""),"Display",_xlfn.XLOOKUP($K934&amp;"",DISPLAY!$B$3:$B$1000&amp;"",DISPLAY!$E$3:$E$1000,""),"Network Device",_xlfn.XLOOKUP($K934&amp;"",'NETWORK-DEVICES'!$B$3:$B$987&amp;"",'NETWORK-DEVICES'!$E$3:$E$987,""),"Peripheral",_xlfn.XLOOKUP($K934&amp;"",PERIPHERAL!$B$3:$B$954&amp;"",PERIPHERAL!$E$3:$E$954,""),"Utilities",_xlfn.XLOOKUP($K934&amp;"",UTILITIES!$B$3:$B$953&amp;"",UTILITIES!$E$3:$E$953,""),"IOT",_xlfn.XLOOKUP($K934&amp;"",IOT!$B$3:$B$1012&amp;"",IOT!$E$3:$E$1012,""),"Server",_xlfn.XLOOKUP($K934&amp;"",SERVER!$B$3:$B$1009&amp;"",SERVER!$E$3:$E$1009,""),""))))</f>
        <v/>
      </c>
      <c r="Q934" s="1" t="str" cm="1">
        <f t="array" ref="Q934">IF(OR($K934="",$I934="",$J934=""),"",_xlfn.LET(_xlpm.srcCat,_xlfn.SWITCH($I934,"Computer",_xlfn.XLOOKUP($K934&amp;"",COMPUTER!$B$3:$B$1009&amp;"",COMPUTER!$H$3:$H$1009,""),"Display",_xlfn.XLOOKUP($K934&amp;"",DISPLAY!$B$3:$B$1000&amp;"",DISPLAY!$H$3:$H$1000,""),"Network Device",_xlfn.XLOOKUP($K934&amp;"",'NETWORK-DEVICES'!$B$3:$B$987&amp;"",'NETWORK-DEVICES'!$H$3:$H$987,""),"Peripheral",_xlfn.XLOOKUP($K934&amp;"",PERIPHERAL!$B$3:$B$954&amp;"",PERIPHERAL!$H$3:$H$954,""),"Utilities",_xlfn.XLOOKUP($K934&amp;"",UTILITIES!$B$3:$B$953&amp;"",UTILITIES!$G$3:$G$953,""),"IOT",_xlfn.XLOOKUP($K934&amp;"",IOT!$B$3:$B$1012&amp;"",IOT!$H$3:$H$1012,""),"Server",_xlfn.XLOOKUP($K934&amp;"",SERVER!$B$3:$B$1009&amp;"",SERVER!$H$3:$H$1009,""),""),IF(TRIM(_xlpm.srcCat)&lt;&gt;TRIM($J934),"",_xlfn.SWITCH($I934,"Computer",_xlfn.XLOOKUP($K934&amp;"",COMPUTER!$B$3:$B$1009&amp;"",COMPUTER!$AM$3:$AM$1009,""),"Display",_xlfn.XLOOKUP($K934&amp;"",DISPLAY!$B$3:$B$1000&amp;"",DISPLAY!$V$3:$V$1000,""),"Network Device",_xlfn.XLOOKUP($K934&amp;"",'NETWORK-DEVICES'!$B$3:$B$987&amp;"",'NETWORK-DEVICES'!$AF$3:$AF$987,""),"Peripheral",_xlfn.XLOOKUP($K934&amp;"",PERIPHERAL!$B$3:$B$954&amp;"",PERIPHERAL!$Y$3:$Y$954,""),"Utilities",_xlfn.XLOOKUP($K934&amp;"",UTILITIES!$B$3:$B$953&amp;"",UTILITIES!$O$3:$O$953,""),"IOT",_xlfn.XLOOKUP($K934&amp;"",IOT!$B$3:$B$1012&amp;"",IOT!$AB$3:$AB$1012,""),"Server",_xlfn.XLOOKUP($K934&amp;"",SERVER!$B$3:$B$1009&amp;"",SERVER!$AB$3:$AB$1009,""),""))))</f>
        <v/>
      </c>
      <c r="R934" s="43" t="str">
        <f>IF(tbl_handover[[#This Row],[Asset Code]]="","",COUNTIF(tbl_handover[Asset Code],tbl_handover[[#This Row],[Asset Code]]))</f>
        <v/>
      </c>
    </row>
    <row r="935" spans="1:18" x14ac:dyDescent="0.25">
      <c r="A935" s="43" t="str">
        <f>IF(B935&lt;&gt;"",SUBTOTAL(3,$B$1:B934),"")</f>
        <v/>
      </c>
      <c r="C935" s="74"/>
      <c r="D935" s="74"/>
      <c r="G935" s="1"/>
      <c r="K935" s="42"/>
      <c r="L935" t="str" cm="1">
        <f t="array" ref="L935">IF($K935="","",_xlfn.SWITCH($I935,"Computer",_xlfn.XLOOKUP($K935&amp;"",COMPUTER!$B$3:$B$1009&amp;"",COMPUTER!$I$3:$I$1009,""),"Display",_xlfn.XLOOKUP($K935&amp;"",DISPLAY!$B$3:$B$1000&amp;"",DISPLAY!$J$3:$J$1000,""),"Network Device",_xlfn.XLOOKUP($K935&amp;"",'NETWORK-DEVICES'!$B$3:$B$987&amp;"",'NETWORK-DEVICES'!$I$3:$I$987,""),"Peripheral",_xlfn.XLOOKUP($K935&amp;"",PERIPHERAL!$B$3:$B$954&amp;"",PERIPHERAL!$I$3:$I$954,""),"Utilities",_xlfn.XLOOKUP($K935&amp;"",UTILITIES!$B$3:$B$953&amp;"",UTILITIES!$H$3:$H$953,""),"IOT",_xlfn.XLOOKUP($K935&amp;"",IOT!$B$3:$B$1012&amp;"",IOT!$I$3:$I$1012,""),"SERVER",_xlfn.XLOOKUP($K935&amp;"",SERVER!$B$3:$B$1009&amp;"",SERVER!$I$3:$I$1009,""),""))</f>
        <v/>
      </c>
      <c r="M935" t="str" cm="1">
        <f t="array" ref="M935">IF($K935="","",_xlfn.SWITCH($I935,"Computer",_xlfn.XLOOKUP($K935&amp;"",COMPUTER!$B$3:$B$1009&amp;"",COMPUTER!$J$3:$J$1009,""),"Display",_xlfn.XLOOKUP($K935&amp;"",DISPLAY!$B$3:$B$1000&amp;"",DISPLAY!$K$3:$K$1000,""),"Network Device",_xlfn.XLOOKUP($K935&amp;"",'NETWORK-DEVICES'!$B$3:$B$987&amp;"",'NETWORK-DEVICES'!$I$3:$I$987,""),"Peripheral",_xlfn.XLOOKUP($K935&amp;"",PERIPHERAL!$B$3:$B$954&amp;"",PERIPHERAL!$J$3:$J$954,""),"Utilities",_xlfn.XLOOKUP($K935&amp;"",UTILITIES!$B$3:$B$953&amp;"",UTILITIES!$I$3:$I$953,""),"IOT",_xlfn.XLOOKUP($K935&amp;"",IOT!$B$3:$B$1012&amp;"",IOT!$J$3:$J$1012,""),"Server",_xlfn.XLOOKUP($K935&amp;"",SERVER!$B$3:$B$1009&amp;"",SERVER!$J$3:$J$1009,""),""))</f>
        <v/>
      </c>
      <c r="N935" s="1" t="str" cm="1">
        <f t="array" ref="N935">IF(OR($K935="",$I935="",$J935=""),"",_xlfn.LET(_xlpm.srcCat,_xlfn.SWITCH($I935,"Computer",_xlfn.XLOOKUP($K935&amp;"",COMPUTER!$B$3:$B$1009&amp;"",COMPUTER!$H$3:$H$1009,""),"Display",_xlfn.XLOOKUP($K935&amp;"",DISPLAY!$B$3:$B$1000&amp;"",DISPLAY!$H$3:$H$1000,""),"Network Device",_xlfn.XLOOKUP($K935&amp;"",'NETWORK-DEVICES'!$B$3:$B$987&amp;"",'NETWORK-DEVICES'!$H$3:$H$987,""),"Peripheral",_xlfn.XLOOKUP($K935&amp;"",PERIPHERAL!$B$3:$B$954&amp;"",PERIPHERAL!$H$3:$H$954,""),"Utilities",_xlfn.XLOOKUP($K935&amp;"",UTILITIES!$B$3:$B$953&amp;"",UTILITIES!$G$3:$G$953,""),"IOT",_xlfn.XLOOKUP($K935&amp;"",IOT!$B$3:$B$1012&amp;"",IOT!$H$3:$H$1012,""),"Server",_xlfn.XLOOKUP($K935&amp;"",SERVER!$B$3:$B$1009&amp;"",SERVER!$H$3:$H$1009,""),""),IF(TRIM(_xlpm.srcCat)&lt;&gt;TRIM($J935),"",_xlfn.SWITCH($I935,"Computer",_xlfn.XLOOKUP($K935&amp;"",COMPUTER!$B$3:$B$1009&amp;"",COMPUTER!$K$3:$K$1009,""),"Display",_xlfn.XLOOKUP($K935&amp;"",DISPLAY!$B$3:$B$1000&amp;"",DISPLAY!$L$3:$L$1000,""),"Network Device",_xlfn.XLOOKUP($K935&amp;"",'NETWORK-DEVICES'!$B$3:$B$987&amp;"",'NETWORK-DEVICES'!$K$3:$K$987,""),"Peripheral",_xlfn.XLOOKUP($K935&amp;"",PERIPHERAL!$B$3:$B$954&amp;"",PERIPHERAL!$K$3:$K$954,""),"Utilities",_xlfn.XLOOKUP($K935&amp;"",UTILITIES!$B$3:$B$953&amp;"",UTILITIES!$J$3:$J$953,""),"IOT",_xlfn.XLOOKUP($K935&amp;"",IOT!$B$3:$B$1012&amp;"",IOT!$K$4:$K$1012,""),"Server",_xlfn.XLOOKUP($K935&amp;"",SERVER!$B$3:$B$1009&amp;"",SERVER!$K$3:$K$1009,""),""))))</f>
        <v/>
      </c>
      <c r="O935" s="1" t="str" cm="1">
        <f t="array" ref="O935">IF(OR($K935="",$I935="",$J935=""),"",_xlfn.LET(_xlpm.srcCat,_xlfn.SWITCH($I935,"Computer",_xlfn.XLOOKUP($K935&amp;"",COMPUTER!$B$3:$B$1009&amp;"",COMPUTER!$H$3:$H$1009,""),"Display",_xlfn.XLOOKUP($K935&amp;"",DISPLAY!$B$3:$B$1000&amp;"",DISPLAY!$H$3:$H$1000,""),"Network Device",_xlfn.XLOOKUP($K935&amp;"",'NETWORK-DEVICES'!$B$3:$B$987&amp;"",'NETWORK-DEVICES'!$H$3:$H$987,""),"Peripheral",_xlfn.XLOOKUP($K935&amp;"",PERIPHERAL!$B$3:$B$954&amp;"",PERIPHERAL!$H$3:$H$954,""),"Utilities",_xlfn.XLOOKUP($K935&amp;"",UTILITIES!$B$3:$B$953&amp;"",UTILITIES!$G$3:$G$953,""),"IOT",_xlfn.XLOOKUP($K935&amp;"",IOT!$B$3:$B$1012&amp;"",IOT!$H$3:$H$1012,""),"Server",_xlfn.XLOOKUP($K935&amp;"",SERVER!$B$3:$B$1009&amp;"",SERVER!$H$3:$H$1009,""),""),IF(TRIM(_xlpm.srcCat)&lt;&gt;TRIM($J935),"",_xlfn.SWITCH($I935,"Computer",_xlfn.XLOOKUP($K935&amp;"",COMPUTER!$B$3:$B$1009&amp;"",COMPUTER!$E$3:$E$1009,""),"Display",_xlfn.XLOOKUP($K935&amp;"",DISPLAY!$B$3:$B$1000&amp;"",DISPLAY!$E$3:$E$1000,""),"Network Device",_xlfn.XLOOKUP($K935&amp;"",'NETWORK-DEVICES'!$B$3:$B$987&amp;"",'NETWORK-DEVICES'!$E$3:$E$987,""),"Peripheral",_xlfn.XLOOKUP($K935&amp;"",PERIPHERAL!$B$3:$B$954&amp;"",PERIPHERAL!$E$3:$E$954,""),"Utilities",_xlfn.XLOOKUP($K935&amp;"",UTILITIES!$B$3:$B$953&amp;"",UTILITIES!$E$3:$E$953,""),"IOT",_xlfn.XLOOKUP($K935&amp;"",IOT!$B$3:$B$1012&amp;"",IOT!$E$3:$E$1012,""),"Server",_xlfn.XLOOKUP($K935&amp;"",SERVER!$B$3:$B$1009&amp;"",SERVER!$E$3:$E$1009,""),""))))</f>
        <v/>
      </c>
      <c r="Q935" s="1" t="str" cm="1">
        <f t="array" ref="Q935">IF(OR($K935="",$I935="",$J935=""),"",_xlfn.LET(_xlpm.srcCat,_xlfn.SWITCH($I935,"Computer",_xlfn.XLOOKUP($K935&amp;"",COMPUTER!$B$3:$B$1009&amp;"",COMPUTER!$H$3:$H$1009,""),"Display",_xlfn.XLOOKUP($K935&amp;"",DISPLAY!$B$3:$B$1000&amp;"",DISPLAY!$H$3:$H$1000,""),"Network Device",_xlfn.XLOOKUP($K935&amp;"",'NETWORK-DEVICES'!$B$3:$B$987&amp;"",'NETWORK-DEVICES'!$H$3:$H$987,""),"Peripheral",_xlfn.XLOOKUP($K935&amp;"",PERIPHERAL!$B$3:$B$954&amp;"",PERIPHERAL!$H$3:$H$954,""),"Utilities",_xlfn.XLOOKUP($K935&amp;"",UTILITIES!$B$3:$B$953&amp;"",UTILITIES!$G$3:$G$953,""),"IOT",_xlfn.XLOOKUP($K935&amp;"",IOT!$B$3:$B$1012&amp;"",IOT!$H$3:$H$1012,""),"Server",_xlfn.XLOOKUP($K935&amp;"",SERVER!$B$3:$B$1009&amp;"",SERVER!$H$3:$H$1009,""),""),IF(TRIM(_xlpm.srcCat)&lt;&gt;TRIM($J935),"",_xlfn.SWITCH($I935,"Computer",_xlfn.XLOOKUP($K935&amp;"",COMPUTER!$B$3:$B$1009&amp;"",COMPUTER!$AM$3:$AM$1009,""),"Display",_xlfn.XLOOKUP($K935&amp;"",DISPLAY!$B$3:$B$1000&amp;"",DISPLAY!$V$3:$V$1000,""),"Network Device",_xlfn.XLOOKUP($K935&amp;"",'NETWORK-DEVICES'!$B$3:$B$987&amp;"",'NETWORK-DEVICES'!$AF$3:$AF$987,""),"Peripheral",_xlfn.XLOOKUP($K935&amp;"",PERIPHERAL!$B$3:$B$954&amp;"",PERIPHERAL!$Y$3:$Y$954,""),"Utilities",_xlfn.XLOOKUP($K935&amp;"",UTILITIES!$B$3:$B$953&amp;"",UTILITIES!$O$3:$O$953,""),"IOT",_xlfn.XLOOKUP($K935&amp;"",IOT!$B$3:$B$1012&amp;"",IOT!$AB$3:$AB$1012,""),"Server",_xlfn.XLOOKUP($K935&amp;"",SERVER!$B$3:$B$1009&amp;"",SERVER!$AB$3:$AB$1009,""),""))))</f>
        <v/>
      </c>
      <c r="R935" s="43" t="str">
        <f>IF(tbl_handover[[#This Row],[Asset Code]]="","",COUNTIF(tbl_handover[Asset Code],tbl_handover[[#This Row],[Asset Code]]))</f>
        <v/>
      </c>
    </row>
    <row r="936" spans="1:18" x14ac:dyDescent="0.25">
      <c r="A936" s="43" t="str">
        <f>IF(B936&lt;&gt;"",SUBTOTAL(3,$B$1:B935),"")</f>
        <v/>
      </c>
      <c r="C936" s="74"/>
      <c r="D936" s="74"/>
      <c r="G936" s="1"/>
      <c r="K936" s="42"/>
      <c r="L936" t="str" cm="1">
        <f t="array" ref="L936">IF($K936="","",_xlfn.SWITCH($I936,"Computer",_xlfn.XLOOKUP($K936&amp;"",COMPUTER!$B$3:$B$1009&amp;"",COMPUTER!$I$3:$I$1009,""),"Display",_xlfn.XLOOKUP($K936&amp;"",DISPLAY!$B$3:$B$1000&amp;"",DISPLAY!$J$3:$J$1000,""),"Network Device",_xlfn.XLOOKUP($K936&amp;"",'NETWORK-DEVICES'!$B$3:$B$987&amp;"",'NETWORK-DEVICES'!$I$3:$I$987,""),"Peripheral",_xlfn.XLOOKUP($K936&amp;"",PERIPHERAL!$B$3:$B$954&amp;"",PERIPHERAL!$I$3:$I$954,""),"Utilities",_xlfn.XLOOKUP($K936&amp;"",UTILITIES!$B$3:$B$953&amp;"",UTILITIES!$H$3:$H$953,""),"IOT",_xlfn.XLOOKUP($K936&amp;"",IOT!$B$3:$B$1012&amp;"",IOT!$I$3:$I$1012,""),"SERVER",_xlfn.XLOOKUP($K936&amp;"",SERVER!$B$3:$B$1009&amp;"",SERVER!$I$3:$I$1009,""),""))</f>
        <v/>
      </c>
      <c r="M936" t="str" cm="1">
        <f t="array" ref="M936">IF($K936="","",_xlfn.SWITCH($I936,"Computer",_xlfn.XLOOKUP($K936&amp;"",COMPUTER!$B$3:$B$1009&amp;"",COMPUTER!$J$3:$J$1009,""),"Display",_xlfn.XLOOKUP($K936&amp;"",DISPLAY!$B$3:$B$1000&amp;"",DISPLAY!$K$3:$K$1000,""),"Network Device",_xlfn.XLOOKUP($K936&amp;"",'NETWORK-DEVICES'!$B$3:$B$987&amp;"",'NETWORK-DEVICES'!$I$3:$I$987,""),"Peripheral",_xlfn.XLOOKUP($K936&amp;"",PERIPHERAL!$B$3:$B$954&amp;"",PERIPHERAL!$J$3:$J$954,""),"Utilities",_xlfn.XLOOKUP($K936&amp;"",UTILITIES!$B$3:$B$953&amp;"",UTILITIES!$I$3:$I$953,""),"IOT",_xlfn.XLOOKUP($K936&amp;"",IOT!$B$3:$B$1012&amp;"",IOT!$J$3:$J$1012,""),"Server",_xlfn.XLOOKUP($K936&amp;"",SERVER!$B$3:$B$1009&amp;"",SERVER!$J$3:$J$1009,""),""))</f>
        <v/>
      </c>
      <c r="N936" s="1" t="str" cm="1">
        <f t="array" ref="N936">IF(OR($K936="",$I936="",$J936=""),"",_xlfn.LET(_xlpm.srcCat,_xlfn.SWITCH($I936,"Computer",_xlfn.XLOOKUP($K936&amp;"",COMPUTER!$B$3:$B$1009&amp;"",COMPUTER!$H$3:$H$1009,""),"Display",_xlfn.XLOOKUP($K936&amp;"",DISPLAY!$B$3:$B$1000&amp;"",DISPLAY!$H$3:$H$1000,""),"Network Device",_xlfn.XLOOKUP($K936&amp;"",'NETWORK-DEVICES'!$B$3:$B$987&amp;"",'NETWORK-DEVICES'!$H$3:$H$987,""),"Peripheral",_xlfn.XLOOKUP($K936&amp;"",PERIPHERAL!$B$3:$B$954&amp;"",PERIPHERAL!$H$3:$H$954,""),"Utilities",_xlfn.XLOOKUP($K936&amp;"",UTILITIES!$B$3:$B$953&amp;"",UTILITIES!$G$3:$G$953,""),"IOT",_xlfn.XLOOKUP($K936&amp;"",IOT!$B$3:$B$1012&amp;"",IOT!$H$3:$H$1012,""),"Server",_xlfn.XLOOKUP($K936&amp;"",SERVER!$B$3:$B$1009&amp;"",SERVER!$H$3:$H$1009,""),""),IF(TRIM(_xlpm.srcCat)&lt;&gt;TRIM($J936),"",_xlfn.SWITCH($I936,"Computer",_xlfn.XLOOKUP($K936&amp;"",COMPUTER!$B$3:$B$1009&amp;"",COMPUTER!$K$3:$K$1009,""),"Display",_xlfn.XLOOKUP($K936&amp;"",DISPLAY!$B$3:$B$1000&amp;"",DISPLAY!$L$3:$L$1000,""),"Network Device",_xlfn.XLOOKUP($K936&amp;"",'NETWORK-DEVICES'!$B$3:$B$987&amp;"",'NETWORK-DEVICES'!$K$3:$K$987,""),"Peripheral",_xlfn.XLOOKUP($K936&amp;"",PERIPHERAL!$B$3:$B$954&amp;"",PERIPHERAL!$K$3:$K$954,""),"Utilities",_xlfn.XLOOKUP($K936&amp;"",UTILITIES!$B$3:$B$953&amp;"",UTILITIES!$J$3:$J$953,""),"IOT",_xlfn.XLOOKUP($K936&amp;"",IOT!$B$3:$B$1012&amp;"",IOT!$K$4:$K$1012,""),"Server",_xlfn.XLOOKUP($K936&amp;"",SERVER!$B$3:$B$1009&amp;"",SERVER!$K$3:$K$1009,""),""))))</f>
        <v/>
      </c>
      <c r="O936" s="1" t="str" cm="1">
        <f t="array" ref="O936">IF(OR($K936="",$I936="",$J936=""),"",_xlfn.LET(_xlpm.srcCat,_xlfn.SWITCH($I936,"Computer",_xlfn.XLOOKUP($K936&amp;"",COMPUTER!$B$3:$B$1009&amp;"",COMPUTER!$H$3:$H$1009,""),"Display",_xlfn.XLOOKUP($K936&amp;"",DISPLAY!$B$3:$B$1000&amp;"",DISPLAY!$H$3:$H$1000,""),"Network Device",_xlfn.XLOOKUP($K936&amp;"",'NETWORK-DEVICES'!$B$3:$B$987&amp;"",'NETWORK-DEVICES'!$H$3:$H$987,""),"Peripheral",_xlfn.XLOOKUP($K936&amp;"",PERIPHERAL!$B$3:$B$954&amp;"",PERIPHERAL!$H$3:$H$954,""),"Utilities",_xlfn.XLOOKUP($K936&amp;"",UTILITIES!$B$3:$B$953&amp;"",UTILITIES!$G$3:$G$953,""),"IOT",_xlfn.XLOOKUP($K936&amp;"",IOT!$B$3:$B$1012&amp;"",IOT!$H$3:$H$1012,""),"Server",_xlfn.XLOOKUP($K936&amp;"",SERVER!$B$3:$B$1009&amp;"",SERVER!$H$3:$H$1009,""),""),IF(TRIM(_xlpm.srcCat)&lt;&gt;TRIM($J936),"",_xlfn.SWITCH($I936,"Computer",_xlfn.XLOOKUP($K936&amp;"",COMPUTER!$B$3:$B$1009&amp;"",COMPUTER!$E$3:$E$1009,""),"Display",_xlfn.XLOOKUP($K936&amp;"",DISPLAY!$B$3:$B$1000&amp;"",DISPLAY!$E$3:$E$1000,""),"Network Device",_xlfn.XLOOKUP($K936&amp;"",'NETWORK-DEVICES'!$B$3:$B$987&amp;"",'NETWORK-DEVICES'!$E$3:$E$987,""),"Peripheral",_xlfn.XLOOKUP($K936&amp;"",PERIPHERAL!$B$3:$B$954&amp;"",PERIPHERAL!$E$3:$E$954,""),"Utilities",_xlfn.XLOOKUP($K936&amp;"",UTILITIES!$B$3:$B$953&amp;"",UTILITIES!$E$3:$E$953,""),"IOT",_xlfn.XLOOKUP($K936&amp;"",IOT!$B$3:$B$1012&amp;"",IOT!$E$3:$E$1012,""),"Server",_xlfn.XLOOKUP($K936&amp;"",SERVER!$B$3:$B$1009&amp;"",SERVER!$E$3:$E$1009,""),""))))</f>
        <v/>
      </c>
      <c r="Q936" s="1" t="str" cm="1">
        <f t="array" ref="Q936">IF(OR($K936="",$I936="",$J936=""),"",_xlfn.LET(_xlpm.srcCat,_xlfn.SWITCH($I936,"Computer",_xlfn.XLOOKUP($K936&amp;"",COMPUTER!$B$3:$B$1009&amp;"",COMPUTER!$H$3:$H$1009,""),"Display",_xlfn.XLOOKUP($K936&amp;"",DISPLAY!$B$3:$B$1000&amp;"",DISPLAY!$H$3:$H$1000,""),"Network Device",_xlfn.XLOOKUP($K936&amp;"",'NETWORK-DEVICES'!$B$3:$B$987&amp;"",'NETWORK-DEVICES'!$H$3:$H$987,""),"Peripheral",_xlfn.XLOOKUP($K936&amp;"",PERIPHERAL!$B$3:$B$954&amp;"",PERIPHERAL!$H$3:$H$954,""),"Utilities",_xlfn.XLOOKUP($K936&amp;"",UTILITIES!$B$3:$B$953&amp;"",UTILITIES!$G$3:$G$953,""),"IOT",_xlfn.XLOOKUP($K936&amp;"",IOT!$B$3:$B$1012&amp;"",IOT!$H$3:$H$1012,""),"Server",_xlfn.XLOOKUP($K936&amp;"",SERVER!$B$3:$B$1009&amp;"",SERVER!$H$3:$H$1009,""),""),IF(TRIM(_xlpm.srcCat)&lt;&gt;TRIM($J936),"",_xlfn.SWITCH($I936,"Computer",_xlfn.XLOOKUP($K936&amp;"",COMPUTER!$B$3:$B$1009&amp;"",COMPUTER!$AM$3:$AM$1009,""),"Display",_xlfn.XLOOKUP($K936&amp;"",DISPLAY!$B$3:$B$1000&amp;"",DISPLAY!$V$3:$V$1000,""),"Network Device",_xlfn.XLOOKUP($K936&amp;"",'NETWORK-DEVICES'!$B$3:$B$987&amp;"",'NETWORK-DEVICES'!$AF$3:$AF$987,""),"Peripheral",_xlfn.XLOOKUP($K936&amp;"",PERIPHERAL!$B$3:$B$954&amp;"",PERIPHERAL!$Y$3:$Y$954,""),"Utilities",_xlfn.XLOOKUP($K936&amp;"",UTILITIES!$B$3:$B$953&amp;"",UTILITIES!$O$3:$O$953,""),"IOT",_xlfn.XLOOKUP($K936&amp;"",IOT!$B$3:$B$1012&amp;"",IOT!$AB$3:$AB$1012,""),"Server",_xlfn.XLOOKUP($K936&amp;"",SERVER!$B$3:$B$1009&amp;"",SERVER!$AB$3:$AB$1009,""),""))))</f>
        <v/>
      </c>
      <c r="R936" s="43" t="str">
        <f>IF(tbl_handover[[#This Row],[Asset Code]]="","",COUNTIF(tbl_handover[Asset Code],tbl_handover[[#This Row],[Asset Code]]))</f>
        <v/>
      </c>
    </row>
    <row r="937" spans="1:18" x14ac:dyDescent="0.25">
      <c r="A937" s="43" t="str">
        <f>IF(B937&lt;&gt;"",SUBTOTAL(3,$B$1:B936),"")</f>
        <v/>
      </c>
      <c r="C937" s="74"/>
      <c r="D937" s="74"/>
      <c r="G937" s="1"/>
      <c r="K937" s="42"/>
      <c r="L937" t="str" cm="1">
        <f t="array" ref="L937">IF($K937="","",_xlfn.SWITCH($I937,"Computer",_xlfn.XLOOKUP($K937&amp;"",COMPUTER!$B$3:$B$1009&amp;"",COMPUTER!$I$3:$I$1009,""),"Display",_xlfn.XLOOKUP($K937&amp;"",DISPLAY!$B$3:$B$1000&amp;"",DISPLAY!$J$3:$J$1000,""),"Network Device",_xlfn.XLOOKUP($K937&amp;"",'NETWORK-DEVICES'!$B$3:$B$987&amp;"",'NETWORK-DEVICES'!$I$3:$I$987,""),"Peripheral",_xlfn.XLOOKUP($K937&amp;"",PERIPHERAL!$B$3:$B$954&amp;"",PERIPHERAL!$I$3:$I$954,""),"Utilities",_xlfn.XLOOKUP($K937&amp;"",UTILITIES!$B$3:$B$953&amp;"",UTILITIES!$H$3:$H$953,""),"IOT",_xlfn.XLOOKUP($K937&amp;"",IOT!$B$3:$B$1012&amp;"",IOT!$I$3:$I$1012,""),"SERVER",_xlfn.XLOOKUP($K937&amp;"",SERVER!$B$3:$B$1009&amp;"",SERVER!$I$3:$I$1009,""),""))</f>
        <v/>
      </c>
      <c r="M937" t="str" cm="1">
        <f t="array" ref="M937">IF($K937="","",_xlfn.SWITCH($I937,"Computer",_xlfn.XLOOKUP($K937&amp;"",COMPUTER!$B$3:$B$1009&amp;"",COMPUTER!$J$3:$J$1009,""),"Display",_xlfn.XLOOKUP($K937&amp;"",DISPLAY!$B$3:$B$1000&amp;"",DISPLAY!$K$3:$K$1000,""),"Network Device",_xlfn.XLOOKUP($K937&amp;"",'NETWORK-DEVICES'!$B$3:$B$987&amp;"",'NETWORK-DEVICES'!$I$3:$I$987,""),"Peripheral",_xlfn.XLOOKUP($K937&amp;"",PERIPHERAL!$B$3:$B$954&amp;"",PERIPHERAL!$J$3:$J$954,""),"Utilities",_xlfn.XLOOKUP($K937&amp;"",UTILITIES!$B$3:$B$953&amp;"",UTILITIES!$I$3:$I$953,""),"IOT",_xlfn.XLOOKUP($K937&amp;"",IOT!$B$3:$B$1012&amp;"",IOT!$J$3:$J$1012,""),"Server",_xlfn.XLOOKUP($K937&amp;"",SERVER!$B$3:$B$1009&amp;"",SERVER!$J$3:$J$1009,""),""))</f>
        <v/>
      </c>
      <c r="N937" s="1" t="str" cm="1">
        <f t="array" ref="N937">IF(OR($K937="",$I937="",$J937=""),"",_xlfn.LET(_xlpm.srcCat,_xlfn.SWITCH($I937,"Computer",_xlfn.XLOOKUP($K937&amp;"",COMPUTER!$B$3:$B$1009&amp;"",COMPUTER!$H$3:$H$1009,""),"Display",_xlfn.XLOOKUP($K937&amp;"",DISPLAY!$B$3:$B$1000&amp;"",DISPLAY!$H$3:$H$1000,""),"Network Device",_xlfn.XLOOKUP($K937&amp;"",'NETWORK-DEVICES'!$B$3:$B$987&amp;"",'NETWORK-DEVICES'!$H$3:$H$987,""),"Peripheral",_xlfn.XLOOKUP($K937&amp;"",PERIPHERAL!$B$3:$B$954&amp;"",PERIPHERAL!$H$3:$H$954,""),"Utilities",_xlfn.XLOOKUP($K937&amp;"",UTILITIES!$B$3:$B$953&amp;"",UTILITIES!$G$3:$G$953,""),"IOT",_xlfn.XLOOKUP($K937&amp;"",IOT!$B$3:$B$1012&amp;"",IOT!$H$3:$H$1012,""),"Server",_xlfn.XLOOKUP($K937&amp;"",SERVER!$B$3:$B$1009&amp;"",SERVER!$H$3:$H$1009,""),""),IF(TRIM(_xlpm.srcCat)&lt;&gt;TRIM($J937),"",_xlfn.SWITCH($I937,"Computer",_xlfn.XLOOKUP($K937&amp;"",COMPUTER!$B$3:$B$1009&amp;"",COMPUTER!$K$3:$K$1009,""),"Display",_xlfn.XLOOKUP($K937&amp;"",DISPLAY!$B$3:$B$1000&amp;"",DISPLAY!$L$3:$L$1000,""),"Network Device",_xlfn.XLOOKUP($K937&amp;"",'NETWORK-DEVICES'!$B$3:$B$987&amp;"",'NETWORK-DEVICES'!$K$3:$K$987,""),"Peripheral",_xlfn.XLOOKUP($K937&amp;"",PERIPHERAL!$B$3:$B$954&amp;"",PERIPHERAL!$K$3:$K$954,""),"Utilities",_xlfn.XLOOKUP($K937&amp;"",UTILITIES!$B$3:$B$953&amp;"",UTILITIES!$J$3:$J$953,""),"IOT",_xlfn.XLOOKUP($K937&amp;"",IOT!$B$3:$B$1012&amp;"",IOT!$K$4:$K$1012,""),"Server",_xlfn.XLOOKUP($K937&amp;"",SERVER!$B$3:$B$1009&amp;"",SERVER!$K$3:$K$1009,""),""))))</f>
        <v/>
      </c>
      <c r="O937" s="1" t="str" cm="1">
        <f t="array" ref="O937">IF(OR($K937="",$I937="",$J937=""),"",_xlfn.LET(_xlpm.srcCat,_xlfn.SWITCH($I937,"Computer",_xlfn.XLOOKUP($K937&amp;"",COMPUTER!$B$3:$B$1009&amp;"",COMPUTER!$H$3:$H$1009,""),"Display",_xlfn.XLOOKUP($K937&amp;"",DISPLAY!$B$3:$B$1000&amp;"",DISPLAY!$H$3:$H$1000,""),"Network Device",_xlfn.XLOOKUP($K937&amp;"",'NETWORK-DEVICES'!$B$3:$B$987&amp;"",'NETWORK-DEVICES'!$H$3:$H$987,""),"Peripheral",_xlfn.XLOOKUP($K937&amp;"",PERIPHERAL!$B$3:$B$954&amp;"",PERIPHERAL!$H$3:$H$954,""),"Utilities",_xlfn.XLOOKUP($K937&amp;"",UTILITIES!$B$3:$B$953&amp;"",UTILITIES!$G$3:$G$953,""),"IOT",_xlfn.XLOOKUP($K937&amp;"",IOT!$B$3:$B$1012&amp;"",IOT!$H$3:$H$1012,""),"Server",_xlfn.XLOOKUP($K937&amp;"",SERVER!$B$3:$B$1009&amp;"",SERVER!$H$3:$H$1009,""),""),IF(TRIM(_xlpm.srcCat)&lt;&gt;TRIM($J937),"",_xlfn.SWITCH($I937,"Computer",_xlfn.XLOOKUP($K937&amp;"",COMPUTER!$B$3:$B$1009&amp;"",COMPUTER!$E$3:$E$1009,""),"Display",_xlfn.XLOOKUP($K937&amp;"",DISPLAY!$B$3:$B$1000&amp;"",DISPLAY!$E$3:$E$1000,""),"Network Device",_xlfn.XLOOKUP($K937&amp;"",'NETWORK-DEVICES'!$B$3:$B$987&amp;"",'NETWORK-DEVICES'!$E$3:$E$987,""),"Peripheral",_xlfn.XLOOKUP($K937&amp;"",PERIPHERAL!$B$3:$B$954&amp;"",PERIPHERAL!$E$3:$E$954,""),"Utilities",_xlfn.XLOOKUP($K937&amp;"",UTILITIES!$B$3:$B$953&amp;"",UTILITIES!$E$3:$E$953,""),"IOT",_xlfn.XLOOKUP($K937&amp;"",IOT!$B$3:$B$1012&amp;"",IOT!$E$3:$E$1012,""),"Server",_xlfn.XLOOKUP($K937&amp;"",SERVER!$B$3:$B$1009&amp;"",SERVER!$E$3:$E$1009,""),""))))</f>
        <v/>
      </c>
      <c r="Q937" s="1" t="str" cm="1">
        <f t="array" ref="Q937">IF(OR($K937="",$I937="",$J937=""),"",_xlfn.LET(_xlpm.srcCat,_xlfn.SWITCH($I937,"Computer",_xlfn.XLOOKUP($K937&amp;"",COMPUTER!$B$3:$B$1009&amp;"",COMPUTER!$H$3:$H$1009,""),"Display",_xlfn.XLOOKUP($K937&amp;"",DISPLAY!$B$3:$B$1000&amp;"",DISPLAY!$H$3:$H$1000,""),"Network Device",_xlfn.XLOOKUP($K937&amp;"",'NETWORK-DEVICES'!$B$3:$B$987&amp;"",'NETWORK-DEVICES'!$H$3:$H$987,""),"Peripheral",_xlfn.XLOOKUP($K937&amp;"",PERIPHERAL!$B$3:$B$954&amp;"",PERIPHERAL!$H$3:$H$954,""),"Utilities",_xlfn.XLOOKUP($K937&amp;"",UTILITIES!$B$3:$B$953&amp;"",UTILITIES!$G$3:$G$953,""),"IOT",_xlfn.XLOOKUP($K937&amp;"",IOT!$B$3:$B$1012&amp;"",IOT!$H$3:$H$1012,""),"Server",_xlfn.XLOOKUP($K937&amp;"",SERVER!$B$3:$B$1009&amp;"",SERVER!$H$3:$H$1009,""),""),IF(TRIM(_xlpm.srcCat)&lt;&gt;TRIM($J937),"",_xlfn.SWITCH($I937,"Computer",_xlfn.XLOOKUP($K937&amp;"",COMPUTER!$B$3:$B$1009&amp;"",COMPUTER!$AM$3:$AM$1009,""),"Display",_xlfn.XLOOKUP($K937&amp;"",DISPLAY!$B$3:$B$1000&amp;"",DISPLAY!$V$3:$V$1000,""),"Network Device",_xlfn.XLOOKUP($K937&amp;"",'NETWORK-DEVICES'!$B$3:$B$987&amp;"",'NETWORK-DEVICES'!$AF$3:$AF$987,""),"Peripheral",_xlfn.XLOOKUP($K937&amp;"",PERIPHERAL!$B$3:$B$954&amp;"",PERIPHERAL!$Y$3:$Y$954,""),"Utilities",_xlfn.XLOOKUP($K937&amp;"",UTILITIES!$B$3:$B$953&amp;"",UTILITIES!$O$3:$O$953,""),"IOT",_xlfn.XLOOKUP($K937&amp;"",IOT!$B$3:$B$1012&amp;"",IOT!$AB$3:$AB$1012,""),"Server",_xlfn.XLOOKUP($K937&amp;"",SERVER!$B$3:$B$1009&amp;"",SERVER!$AB$3:$AB$1009,""),""))))</f>
        <v/>
      </c>
      <c r="R937" s="43" t="str">
        <f>IF(tbl_handover[[#This Row],[Asset Code]]="","",COUNTIF(tbl_handover[Asset Code],tbl_handover[[#This Row],[Asset Code]]))</f>
        <v/>
      </c>
    </row>
    <row r="938" spans="1:18" x14ac:dyDescent="0.25">
      <c r="A938" s="43" t="str">
        <f>IF(B938&lt;&gt;"",SUBTOTAL(3,$B$1:B937),"")</f>
        <v/>
      </c>
      <c r="C938" s="74"/>
      <c r="D938" s="74"/>
      <c r="G938" s="1"/>
      <c r="K938" s="42"/>
      <c r="L938" t="str" cm="1">
        <f t="array" ref="L938">IF($K938="","",_xlfn.SWITCH($I938,"Computer",_xlfn.XLOOKUP($K938&amp;"",COMPUTER!$B$3:$B$1009&amp;"",COMPUTER!$I$3:$I$1009,""),"Display",_xlfn.XLOOKUP($K938&amp;"",DISPLAY!$B$3:$B$1000&amp;"",DISPLAY!$J$3:$J$1000,""),"Network Device",_xlfn.XLOOKUP($K938&amp;"",'NETWORK-DEVICES'!$B$3:$B$987&amp;"",'NETWORK-DEVICES'!$I$3:$I$987,""),"Peripheral",_xlfn.XLOOKUP($K938&amp;"",PERIPHERAL!$B$3:$B$954&amp;"",PERIPHERAL!$I$3:$I$954,""),"Utilities",_xlfn.XLOOKUP($K938&amp;"",UTILITIES!$B$3:$B$953&amp;"",UTILITIES!$H$3:$H$953,""),"IOT",_xlfn.XLOOKUP($K938&amp;"",IOT!$B$3:$B$1012&amp;"",IOT!$I$3:$I$1012,""),"SERVER",_xlfn.XLOOKUP($K938&amp;"",SERVER!$B$3:$B$1009&amp;"",SERVER!$I$3:$I$1009,""),""))</f>
        <v/>
      </c>
      <c r="M938" t="str" cm="1">
        <f t="array" ref="M938">IF($K938="","",_xlfn.SWITCH($I938,"Computer",_xlfn.XLOOKUP($K938&amp;"",COMPUTER!$B$3:$B$1009&amp;"",COMPUTER!$J$3:$J$1009,""),"Display",_xlfn.XLOOKUP($K938&amp;"",DISPLAY!$B$3:$B$1000&amp;"",DISPLAY!$K$3:$K$1000,""),"Network Device",_xlfn.XLOOKUP($K938&amp;"",'NETWORK-DEVICES'!$B$3:$B$987&amp;"",'NETWORK-DEVICES'!$I$3:$I$987,""),"Peripheral",_xlfn.XLOOKUP($K938&amp;"",PERIPHERAL!$B$3:$B$954&amp;"",PERIPHERAL!$J$3:$J$954,""),"Utilities",_xlfn.XLOOKUP($K938&amp;"",UTILITIES!$B$3:$B$953&amp;"",UTILITIES!$I$3:$I$953,""),"IOT",_xlfn.XLOOKUP($K938&amp;"",IOT!$B$3:$B$1012&amp;"",IOT!$J$3:$J$1012,""),"Server",_xlfn.XLOOKUP($K938&amp;"",SERVER!$B$3:$B$1009&amp;"",SERVER!$J$3:$J$1009,""),""))</f>
        <v/>
      </c>
      <c r="N938" s="1" t="str" cm="1">
        <f t="array" ref="N938">IF(OR($K938="",$I938="",$J938=""),"",_xlfn.LET(_xlpm.srcCat,_xlfn.SWITCH($I938,"Computer",_xlfn.XLOOKUP($K938&amp;"",COMPUTER!$B$3:$B$1009&amp;"",COMPUTER!$H$3:$H$1009,""),"Display",_xlfn.XLOOKUP($K938&amp;"",DISPLAY!$B$3:$B$1000&amp;"",DISPLAY!$H$3:$H$1000,""),"Network Device",_xlfn.XLOOKUP($K938&amp;"",'NETWORK-DEVICES'!$B$3:$B$987&amp;"",'NETWORK-DEVICES'!$H$3:$H$987,""),"Peripheral",_xlfn.XLOOKUP($K938&amp;"",PERIPHERAL!$B$3:$B$954&amp;"",PERIPHERAL!$H$3:$H$954,""),"Utilities",_xlfn.XLOOKUP($K938&amp;"",UTILITIES!$B$3:$B$953&amp;"",UTILITIES!$G$3:$G$953,""),"IOT",_xlfn.XLOOKUP($K938&amp;"",IOT!$B$3:$B$1012&amp;"",IOT!$H$3:$H$1012,""),"Server",_xlfn.XLOOKUP($K938&amp;"",SERVER!$B$3:$B$1009&amp;"",SERVER!$H$3:$H$1009,""),""),IF(TRIM(_xlpm.srcCat)&lt;&gt;TRIM($J938),"",_xlfn.SWITCH($I938,"Computer",_xlfn.XLOOKUP($K938&amp;"",COMPUTER!$B$3:$B$1009&amp;"",COMPUTER!$K$3:$K$1009,""),"Display",_xlfn.XLOOKUP($K938&amp;"",DISPLAY!$B$3:$B$1000&amp;"",DISPLAY!$L$3:$L$1000,""),"Network Device",_xlfn.XLOOKUP($K938&amp;"",'NETWORK-DEVICES'!$B$3:$B$987&amp;"",'NETWORK-DEVICES'!$K$3:$K$987,""),"Peripheral",_xlfn.XLOOKUP($K938&amp;"",PERIPHERAL!$B$3:$B$954&amp;"",PERIPHERAL!$K$3:$K$954,""),"Utilities",_xlfn.XLOOKUP($K938&amp;"",UTILITIES!$B$3:$B$953&amp;"",UTILITIES!$J$3:$J$953,""),"IOT",_xlfn.XLOOKUP($K938&amp;"",IOT!$B$3:$B$1012&amp;"",IOT!$K$4:$K$1012,""),"Server",_xlfn.XLOOKUP($K938&amp;"",SERVER!$B$3:$B$1009&amp;"",SERVER!$K$3:$K$1009,""),""))))</f>
        <v/>
      </c>
      <c r="O938" s="1" t="str" cm="1">
        <f t="array" ref="O938">IF(OR($K938="",$I938="",$J938=""),"",_xlfn.LET(_xlpm.srcCat,_xlfn.SWITCH($I938,"Computer",_xlfn.XLOOKUP($K938&amp;"",COMPUTER!$B$3:$B$1009&amp;"",COMPUTER!$H$3:$H$1009,""),"Display",_xlfn.XLOOKUP($K938&amp;"",DISPLAY!$B$3:$B$1000&amp;"",DISPLAY!$H$3:$H$1000,""),"Network Device",_xlfn.XLOOKUP($K938&amp;"",'NETWORK-DEVICES'!$B$3:$B$987&amp;"",'NETWORK-DEVICES'!$H$3:$H$987,""),"Peripheral",_xlfn.XLOOKUP($K938&amp;"",PERIPHERAL!$B$3:$B$954&amp;"",PERIPHERAL!$H$3:$H$954,""),"Utilities",_xlfn.XLOOKUP($K938&amp;"",UTILITIES!$B$3:$B$953&amp;"",UTILITIES!$G$3:$G$953,""),"IOT",_xlfn.XLOOKUP($K938&amp;"",IOT!$B$3:$B$1012&amp;"",IOT!$H$3:$H$1012,""),"Server",_xlfn.XLOOKUP($K938&amp;"",SERVER!$B$3:$B$1009&amp;"",SERVER!$H$3:$H$1009,""),""),IF(TRIM(_xlpm.srcCat)&lt;&gt;TRIM($J938),"",_xlfn.SWITCH($I938,"Computer",_xlfn.XLOOKUP($K938&amp;"",COMPUTER!$B$3:$B$1009&amp;"",COMPUTER!$E$3:$E$1009,""),"Display",_xlfn.XLOOKUP($K938&amp;"",DISPLAY!$B$3:$B$1000&amp;"",DISPLAY!$E$3:$E$1000,""),"Network Device",_xlfn.XLOOKUP($K938&amp;"",'NETWORK-DEVICES'!$B$3:$B$987&amp;"",'NETWORK-DEVICES'!$E$3:$E$987,""),"Peripheral",_xlfn.XLOOKUP($K938&amp;"",PERIPHERAL!$B$3:$B$954&amp;"",PERIPHERAL!$E$3:$E$954,""),"Utilities",_xlfn.XLOOKUP($K938&amp;"",UTILITIES!$B$3:$B$953&amp;"",UTILITIES!$E$3:$E$953,""),"IOT",_xlfn.XLOOKUP($K938&amp;"",IOT!$B$3:$B$1012&amp;"",IOT!$E$3:$E$1012,""),"Server",_xlfn.XLOOKUP($K938&amp;"",SERVER!$B$3:$B$1009&amp;"",SERVER!$E$3:$E$1009,""),""))))</f>
        <v/>
      </c>
      <c r="Q938" s="1" t="str" cm="1">
        <f t="array" ref="Q938">IF(OR($K938="",$I938="",$J938=""),"",_xlfn.LET(_xlpm.srcCat,_xlfn.SWITCH($I938,"Computer",_xlfn.XLOOKUP($K938&amp;"",COMPUTER!$B$3:$B$1009&amp;"",COMPUTER!$H$3:$H$1009,""),"Display",_xlfn.XLOOKUP($K938&amp;"",DISPLAY!$B$3:$B$1000&amp;"",DISPLAY!$H$3:$H$1000,""),"Network Device",_xlfn.XLOOKUP($K938&amp;"",'NETWORK-DEVICES'!$B$3:$B$987&amp;"",'NETWORK-DEVICES'!$H$3:$H$987,""),"Peripheral",_xlfn.XLOOKUP($K938&amp;"",PERIPHERAL!$B$3:$B$954&amp;"",PERIPHERAL!$H$3:$H$954,""),"Utilities",_xlfn.XLOOKUP($K938&amp;"",UTILITIES!$B$3:$B$953&amp;"",UTILITIES!$G$3:$G$953,""),"IOT",_xlfn.XLOOKUP($K938&amp;"",IOT!$B$3:$B$1012&amp;"",IOT!$H$3:$H$1012,""),"Server",_xlfn.XLOOKUP($K938&amp;"",SERVER!$B$3:$B$1009&amp;"",SERVER!$H$3:$H$1009,""),""),IF(TRIM(_xlpm.srcCat)&lt;&gt;TRIM($J938),"",_xlfn.SWITCH($I938,"Computer",_xlfn.XLOOKUP($K938&amp;"",COMPUTER!$B$3:$B$1009&amp;"",COMPUTER!$AM$3:$AM$1009,""),"Display",_xlfn.XLOOKUP($K938&amp;"",DISPLAY!$B$3:$B$1000&amp;"",DISPLAY!$V$3:$V$1000,""),"Network Device",_xlfn.XLOOKUP($K938&amp;"",'NETWORK-DEVICES'!$B$3:$B$987&amp;"",'NETWORK-DEVICES'!$AF$3:$AF$987,""),"Peripheral",_xlfn.XLOOKUP($K938&amp;"",PERIPHERAL!$B$3:$B$954&amp;"",PERIPHERAL!$Y$3:$Y$954,""),"Utilities",_xlfn.XLOOKUP($K938&amp;"",UTILITIES!$B$3:$B$953&amp;"",UTILITIES!$O$3:$O$953,""),"IOT",_xlfn.XLOOKUP($K938&amp;"",IOT!$B$3:$B$1012&amp;"",IOT!$AB$3:$AB$1012,""),"Server",_xlfn.XLOOKUP($K938&amp;"",SERVER!$B$3:$B$1009&amp;"",SERVER!$AB$3:$AB$1009,""),""))))</f>
        <v/>
      </c>
      <c r="R938" s="43" t="str">
        <f>IF(tbl_handover[[#This Row],[Asset Code]]="","",COUNTIF(tbl_handover[Asset Code],tbl_handover[[#This Row],[Asset Code]]))</f>
        <v/>
      </c>
    </row>
    <row r="939" spans="1:18" x14ac:dyDescent="0.25">
      <c r="A939" s="43" t="str">
        <f>IF(B939&lt;&gt;"",SUBTOTAL(3,$B$1:B938),"")</f>
        <v/>
      </c>
      <c r="C939" s="74"/>
      <c r="D939" s="74"/>
      <c r="G939" s="1"/>
      <c r="K939" s="42"/>
      <c r="L939" t="str" cm="1">
        <f t="array" ref="L939">IF($K939="","",_xlfn.SWITCH($I939,"Computer",_xlfn.XLOOKUP($K939&amp;"",COMPUTER!$B$3:$B$1009&amp;"",COMPUTER!$I$3:$I$1009,""),"Display",_xlfn.XLOOKUP($K939&amp;"",DISPLAY!$B$3:$B$1000&amp;"",DISPLAY!$J$3:$J$1000,""),"Network Device",_xlfn.XLOOKUP($K939&amp;"",'NETWORK-DEVICES'!$B$3:$B$987&amp;"",'NETWORK-DEVICES'!$I$3:$I$987,""),"Peripheral",_xlfn.XLOOKUP($K939&amp;"",PERIPHERAL!$B$3:$B$954&amp;"",PERIPHERAL!$I$3:$I$954,""),"Utilities",_xlfn.XLOOKUP($K939&amp;"",UTILITIES!$B$3:$B$953&amp;"",UTILITIES!$H$3:$H$953,""),"IOT",_xlfn.XLOOKUP($K939&amp;"",IOT!$B$3:$B$1012&amp;"",IOT!$I$3:$I$1012,""),"SERVER",_xlfn.XLOOKUP($K939&amp;"",SERVER!$B$3:$B$1009&amp;"",SERVER!$I$3:$I$1009,""),""))</f>
        <v/>
      </c>
      <c r="M939" t="str" cm="1">
        <f t="array" ref="M939">IF($K939="","",_xlfn.SWITCH($I939,"Computer",_xlfn.XLOOKUP($K939&amp;"",COMPUTER!$B$3:$B$1009&amp;"",COMPUTER!$J$3:$J$1009,""),"Display",_xlfn.XLOOKUP($K939&amp;"",DISPLAY!$B$3:$B$1000&amp;"",DISPLAY!$K$3:$K$1000,""),"Network Device",_xlfn.XLOOKUP($K939&amp;"",'NETWORK-DEVICES'!$B$3:$B$987&amp;"",'NETWORK-DEVICES'!$I$3:$I$987,""),"Peripheral",_xlfn.XLOOKUP($K939&amp;"",PERIPHERAL!$B$3:$B$954&amp;"",PERIPHERAL!$J$3:$J$954,""),"Utilities",_xlfn.XLOOKUP($K939&amp;"",UTILITIES!$B$3:$B$953&amp;"",UTILITIES!$I$3:$I$953,""),"IOT",_xlfn.XLOOKUP($K939&amp;"",IOT!$B$3:$B$1012&amp;"",IOT!$J$3:$J$1012,""),"Server",_xlfn.XLOOKUP($K939&amp;"",SERVER!$B$3:$B$1009&amp;"",SERVER!$J$3:$J$1009,""),""))</f>
        <v/>
      </c>
      <c r="N939" s="1" t="str" cm="1">
        <f t="array" ref="N939">IF(OR($K939="",$I939="",$J939=""),"",_xlfn.LET(_xlpm.srcCat,_xlfn.SWITCH($I939,"Computer",_xlfn.XLOOKUP($K939&amp;"",COMPUTER!$B$3:$B$1009&amp;"",COMPUTER!$H$3:$H$1009,""),"Display",_xlfn.XLOOKUP($K939&amp;"",DISPLAY!$B$3:$B$1000&amp;"",DISPLAY!$H$3:$H$1000,""),"Network Device",_xlfn.XLOOKUP($K939&amp;"",'NETWORK-DEVICES'!$B$3:$B$987&amp;"",'NETWORK-DEVICES'!$H$3:$H$987,""),"Peripheral",_xlfn.XLOOKUP($K939&amp;"",PERIPHERAL!$B$3:$B$954&amp;"",PERIPHERAL!$H$3:$H$954,""),"Utilities",_xlfn.XLOOKUP($K939&amp;"",UTILITIES!$B$3:$B$953&amp;"",UTILITIES!$G$3:$G$953,""),"IOT",_xlfn.XLOOKUP($K939&amp;"",IOT!$B$3:$B$1012&amp;"",IOT!$H$3:$H$1012,""),"Server",_xlfn.XLOOKUP($K939&amp;"",SERVER!$B$3:$B$1009&amp;"",SERVER!$H$3:$H$1009,""),""),IF(TRIM(_xlpm.srcCat)&lt;&gt;TRIM($J939),"",_xlfn.SWITCH($I939,"Computer",_xlfn.XLOOKUP($K939&amp;"",COMPUTER!$B$3:$B$1009&amp;"",COMPUTER!$K$3:$K$1009,""),"Display",_xlfn.XLOOKUP($K939&amp;"",DISPLAY!$B$3:$B$1000&amp;"",DISPLAY!$L$3:$L$1000,""),"Network Device",_xlfn.XLOOKUP($K939&amp;"",'NETWORK-DEVICES'!$B$3:$B$987&amp;"",'NETWORK-DEVICES'!$K$3:$K$987,""),"Peripheral",_xlfn.XLOOKUP($K939&amp;"",PERIPHERAL!$B$3:$B$954&amp;"",PERIPHERAL!$K$3:$K$954,""),"Utilities",_xlfn.XLOOKUP($K939&amp;"",UTILITIES!$B$3:$B$953&amp;"",UTILITIES!$J$3:$J$953,""),"IOT",_xlfn.XLOOKUP($K939&amp;"",IOT!$B$3:$B$1012&amp;"",IOT!$K$4:$K$1012,""),"Server",_xlfn.XLOOKUP($K939&amp;"",SERVER!$B$3:$B$1009&amp;"",SERVER!$K$3:$K$1009,""),""))))</f>
        <v/>
      </c>
      <c r="O939" s="1" t="str" cm="1">
        <f t="array" ref="O939">IF(OR($K939="",$I939="",$J939=""),"",_xlfn.LET(_xlpm.srcCat,_xlfn.SWITCH($I939,"Computer",_xlfn.XLOOKUP($K939&amp;"",COMPUTER!$B$3:$B$1009&amp;"",COMPUTER!$H$3:$H$1009,""),"Display",_xlfn.XLOOKUP($K939&amp;"",DISPLAY!$B$3:$B$1000&amp;"",DISPLAY!$H$3:$H$1000,""),"Network Device",_xlfn.XLOOKUP($K939&amp;"",'NETWORK-DEVICES'!$B$3:$B$987&amp;"",'NETWORK-DEVICES'!$H$3:$H$987,""),"Peripheral",_xlfn.XLOOKUP($K939&amp;"",PERIPHERAL!$B$3:$B$954&amp;"",PERIPHERAL!$H$3:$H$954,""),"Utilities",_xlfn.XLOOKUP($K939&amp;"",UTILITIES!$B$3:$B$953&amp;"",UTILITIES!$G$3:$G$953,""),"IOT",_xlfn.XLOOKUP($K939&amp;"",IOT!$B$3:$B$1012&amp;"",IOT!$H$3:$H$1012,""),"Server",_xlfn.XLOOKUP($K939&amp;"",SERVER!$B$3:$B$1009&amp;"",SERVER!$H$3:$H$1009,""),""),IF(TRIM(_xlpm.srcCat)&lt;&gt;TRIM($J939),"",_xlfn.SWITCH($I939,"Computer",_xlfn.XLOOKUP($K939&amp;"",COMPUTER!$B$3:$B$1009&amp;"",COMPUTER!$E$3:$E$1009,""),"Display",_xlfn.XLOOKUP($K939&amp;"",DISPLAY!$B$3:$B$1000&amp;"",DISPLAY!$E$3:$E$1000,""),"Network Device",_xlfn.XLOOKUP($K939&amp;"",'NETWORK-DEVICES'!$B$3:$B$987&amp;"",'NETWORK-DEVICES'!$E$3:$E$987,""),"Peripheral",_xlfn.XLOOKUP($K939&amp;"",PERIPHERAL!$B$3:$B$954&amp;"",PERIPHERAL!$E$3:$E$954,""),"Utilities",_xlfn.XLOOKUP($K939&amp;"",UTILITIES!$B$3:$B$953&amp;"",UTILITIES!$E$3:$E$953,""),"IOT",_xlfn.XLOOKUP($K939&amp;"",IOT!$B$3:$B$1012&amp;"",IOT!$E$3:$E$1012,""),"Server",_xlfn.XLOOKUP($K939&amp;"",SERVER!$B$3:$B$1009&amp;"",SERVER!$E$3:$E$1009,""),""))))</f>
        <v/>
      </c>
      <c r="Q939" s="1" t="str" cm="1">
        <f t="array" ref="Q939">IF(OR($K939="",$I939="",$J939=""),"",_xlfn.LET(_xlpm.srcCat,_xlfn.SWITCH($I939,"Computer",_xlfn.XLOOKUP($K939&amp;"",COMPUTER!$B$3:$B$1009&amp;"",COMPUTER!$H$3:$H$1009,""),"Display",_xlfn.XLOOKUP($K939&amp;"",DISPLAY!$B$3:$B$1000&amp;"",DISPLAY!$H$3:$H$1000,""),"Network Device",_xlfn.XLOOKUP($K939&amp;"",'NETWORK-DEVICES'!$B$3:$B$987&amp;"",'NETWORK-DEVICES'!$H$3:$H$987,""),"Peripheral",_xlfn.XLOOKUP($K939&amp;"",PERIPHERAL!$B$3:$B$954&amp;"",PERIPHERAL!$H$3:$H$954,""),"Utilities",_xlfn.XLOOKUP($K939&amp;"",UTILITIES!$B$3:$B$953&amp;"",UTILITIES!$G$3:$G$953,""),"IOT",_xlfn.XLOOKUP($K939&amp;"",IOT!$B$3:$B$1012&amp;"",IOT!$H$3:$H$1012,""),"Server",_xlfn.XLOOKUP($K939&amp;"",SERVER!$B$3:$B$1009&amp;"",SERVER!$H$3:$H$1009,""),""),IF(TRIM(_xlpm.srcCat)&lt;&gt;TRIM($J939),"",_xlfn.SWITCH($I939,"Computer",_xlfn.XLOOKUP($K939&amp;"",COMPUTER!$B$3:$B$1009&amp;"",COMPUTER!$AM$3:$AM$1009,""),"Display",_xlfn.XLOOKUP($K939&amp;"",DISPLAY!$B$3:$B$1000&amp;"",DISPLAY!$V$3:$V$1000,""),"Network Device",_xlfn.XLOOKUP($K939&amp;"",'NETWORK-DEVICES'!$B$3:$B$987&amp;"",'NETWORK-DEVICES'!$AF$3:$AF$987,""),"Peripheral",_xlfn.XLOOKUP($K939&amp;"",PERIPHERAL!$B$3:$B$954&amp;"",PERIPHERAL!$Y$3:$Y$954,""),"Utilities",_xlfn.XLOOKUP($K939&amp;"",UTILITIES!$B$3:$B$953&amp;"",UTILITIES!$O$3:$O$953,""),"IOT",_xlfn.XLOOKUP($K939&amp;"",IOT!$B$3:$B$1012&amp;"",IOT!$AB$3:$AB$1012,""),"Server",_xlfn.XLOOKUP($K939&amp;"",SERVER!$B$3:$B$1009&amp;"",SERVER!$AB$3:$AB$1009,""),""))))</f>
        <v/>
      </c>
      <c r="R939" s="43" t="str">
        <f>IF(tbl_handover[[#This Row],[Asset Code]]="","",COUNTIF(tbl_handover[Asset Code],tbl_handover[[#This Row],[Asset Code]]))</f>
        <v/>
      </c>
    </row>
    <row r="940" spans="1:18" x14ac:dyDescent="0.25">
      <c r="A940" s="43" t="str">
        <f>IF(B940&lt;&gt;"",SUBTOTAL(3,$B$1:B939),"")</f>
        <v/>
      </c>
      <c r="C940" s="74"/>
      <c r="D940" s="74"/>
      <c r="G940" s="1"/>
      <c r="K940" s="42"/>
      <c r="L940" t="str" cm="1">
        <f t="array" ref="L940">IF($K940="","",_xlfn.SWITCH($I940,"Computer",_xlfn.XLOOKUP($K940&amp;"",COMPUTER!$B$3:$B$1009&amp;"",COMPUTER!$I$3:$I$1009,""),"Display",_xlfn.XLOOKUP($K940&amp;"",DISPLAY!$B$3:$B$1000&amp;"",DISPLAY!$J$3:$J$1000,""),"Network Device",_xlfn.XLOOKUP($K940&amp;"",'NETWORK-DEVICES'!$B$3:$B$987&amp;"",'NETWORK-DEVICES'!$I$3:$I$987,""),"Peripheral",_xlfn.XLOOKUP($K940&amp;"",PERIPHERAL!$B$3:$B$954&amp;"",PERIPHERAL!$I$3:$I$954,""),"Utilities",_xlfn.XLOOKUP($K940&amp;"",UTILITIES!$B$3:$B$953&amp;"",UTILITIES!$H$3:$H$953,""),"IOT",_xlfn.XLOOKUP($K940&amp;"",IOT!$B$3:$B$1012&amp;"",IOT!$I$3:$I$1012,""),"SERVER",_xlfn.XLOOKUP($K940&amp;"",SERVER!$B$3:$B$1009&amp;"",SERVER!$I$3:$I$1009,""),""))</f>
        <v/>
      </c>
      <c r="M940" t="str" cm="1">
        <f t="array" ref="M940">IF($K940="","",_xlfn.SWITCH($I940,"Computer",_xlfn.XLOOKUP($K940&amp;"",COMPUTER!$B$3:$B$1009&amp;"",COMPUTER!$J$3:$J$1009,""),"Display",_xlfn.XLOOKUP($K940&amp;"",DISPLAY!$B$3:$B$1000&amp;"",DISPLAY!$K$3:$K$1000,""),"Network Device",_xlfn.XLOOKUP($K940&amp;"",'NETWORK-DEVICES'!$B$3:$B$987&amp;"",'NETWORK-DEVICES'!$I$3:$I$987,""),"Peripheral",_xlfn.XLOOKUP($K940&amp;"",PERIPHERAL!$B$3:$B$954&amp;"",PERIPHERAL!$J$3:$J$954,""),"Utilities",_xlfn.XLOOKUP($K940&amp;"",UTILITIES!$B$3:$B$953&amp;"",UTILITIES!$I$3:$I$953,""),"IOT",_xlfn.XLOOKUP($K940&amp;"",IOT!$B$3:$B$1012&amp;"",IOT!$J$3:$J$1012,""),"Server",_xlfn.XLOOKUP($K940&amp;"",SERVER!$B$3:$B$1009&amp;"",SERVER!$J$3:$J$1009,""),""))</f>
        <v/>
      </c>
      <c r="N940" s="1" t="str" cm="1">
        <f t="array" ref="N940">IF(OR($K940="",$I940="",$J940=""),"",_xlfn.LET(_xlpm.srcCat,_xlfn.SWITCH($I940,"Computer",_xlfn.XLOOKUP($K940&amp;"",COMPUTER!$B$3:$B$1009&amp;"",COMPUTER!$H$3:$H$1009,""),"Display",_xlfn.XLOOKUP($K940&amp;"",DISPLAY!$B$3:$B$1000&amp;"",DISPLAY!$H$3:$H$1000,""),"Network Device",_xlfn.XLOOKUP($K940&amp;"",'NETWORK-DEVICES'!$B$3:$B$987&amp;"",'NETWORK-DEVICES'!$H$3:$H$987,""),"Peripheral",_xlfn.XLOOKUP($K940&amp;"",PERIPHERAL!$B$3:$B$954&amp;"",PERIPHERAL!$H$3:$H$954,""),"Utilities",_xlfn.XLOOKUP($K940&amp;"",UTILITIES!$B$3:$B$953&amp;"",UTILITIES!$G$3:$G$953,""),"IOT",_xlfn.XLOOKUP($K940&amp;"",IOT!$B$3:$B$1012&amp;"",IOT!$H$3:$H$1012,""),"Server",_xlfn.XLOOKUP($K940&amp;"",SERVER!$B$3:$B$1009&amp;"",SERVER!$H$3:$H$1009,""),""),IF(TRIM(_xlpm.srcCat)&lt;&gt;TRIM($J940),"",_xlfn.SWITCH($I940,"Computer",_xlfn.XLOOKUP($K940&amp;"",COMPUTER!$B$3:$B$1009&amp;"",COMPUTER!$K$3:$K$1009,""),"Display",_xlfn.XLOOKUP($K940&amp;"",DISPLAY!$B$3:$B$1000&amp;"",DISPLAY!$L$3:$L$1000,""),"Network Device",_xlfn.XLOOKUP($K940&amp;"",'NETWORK-DEVICES'!$B$3:$B$987&amp;"",'NETWORK-DEVICES'!$K$3:$K$987,""),"Peripheral",_xlfn.XLOOKUP($K940&amp;"",PERIPHERAL!$B$3:$B$954&amp;"",PERIPHERAL!$K$3:$K$954,""),"Utilities",_xlfn.XLOOKUP($K940&amp;"",UTILITIES!$B$3:$B$953&amp;"",UTILITIES!$J$3:$J$953,""),"IOT",_xlfn.XLOOKUP($K940&amp;"",IOT!$B$3:$B$1012&amp;"",IOT!$K$4:$K$1012,""),"Server",_xlfn.XLOOKUP($K940&amp;"",SERVER!$B$3:$B$1009&amp;"",SERVER!$K$3:$K$1009,""),""))))</f>
        <v/>
      </c>
      <c r="O940" s="1" t="str" cm="1">
        <f t="array" ref="O940">IF(OR($K940="",$I940="",$J940=""),"",_xlfn.LET(_xlpm.srcCat,_xlfn.SWITCH($I940,"Computer",_xlfn.XLOOKUP($K940&amp;"",COMPUTER!$B$3:$B$1009&amp;"",COMPUTER!$H$3:$H$1009,""),"Display",_xlfn.XLOOKUP($K940&amp;"",DISPLAY!$B$3:$B$1000&amp;"",DISPLAY!$H$3:$H$1000,""),"Network Device",_xlfn.XLOOKUP($K940&amp;"",'NETWORK-DEVICES'!$B$3:$B$987&amp;"",'NETWORK-DEVICES'!$H$3:$H$987,""),"Peripheral",_xlfn.XLOOKUP($K940&amp;"",PERIPHERAL!$B$3:$B$954&amp;"",PERIPHERAL!$H$3:$H$954,""),"Utilities",_xlfn.XLOOKUP($K940&amp;"",UTILITIES!$B$3:$B$953&amp;"",UTILITIES!$G$3:$G$953,""),"IOT",_xlfn.XLOOKUP($K940&amp;"",IOT!$B$3:$B$1012&amp;"",IOT!$H$3:$H$1012,""),"Server",_xlfn.XLOOKUP($K940&amp;"",SERVER!$B$3:$B$1009&amp;"",SERVER!$H$3:$H$1009,""),""),IF(TRIM(_xlpm.srcCat)&lt;&gt;TRIM($J940),"",_xlfn.SWITCH($I940,"Computer",_xlfn.XLOOKUP($K940&amp;"",COMPUTER!$B$3:$B$1009&amp;"",COMPUTER!$E$3:$E$1009,""),"Display",_xlfn.XLOOKUP($K940&amp;"",DISPLAY!$B$3:$B$1000&amp;"",DISPLAY!$E$3:$E$1000,""),"Network Device",_xlfn.XLOOKUP($K940&amp;"",'NETWORK-DEVICES'!$B$3:$B$987&amp;"",'NETWORK-DEVICES'!$E$3:$E$987,""),"Peripheral",_xlfn.XLOOKUP($K940&amp;"",PERIPHERAL!$B$3:$B$954&amp;"",PERIPHERAL!$E$3:$E$954,""),"Utilities",_xlfn.XLOOKUP($K940&amp;"",UTILITIES!$B$3:$B$953&amp;"",UTILITIES!$E$3:$E$953,""),"IOT",_xlfn.XLOOKUP($K940&amp;"",IOT!$B$3:$B$1012&amp;"",IOT!$E$3:$E$1012,""),"Server",_xlfn.XLOOKUP($K940&amp;"",SERVER!$B$3:$B$1009&amp;"",SERVER!$E$3:$E$1009,""),""))))</f>
        <v/>
      </c>
      <c r="Q940" s="1" t="str" cm="1">
        <f t="array" ref="Q940">IF(OR($K940="",$I940="",$J940=""),"",_xlfn.LET(_xlpm.srcCat,_xlfn.SWITCH($I940,"Computer",_xlfn.XLOOKUP($K940&amp;"",COMPUTER!$B$3:$B$1009&amp;"",COMPUTER!$H$3:$H$1009,""),"Display",_xlfn.XLOOKUP($K940&amp;"",DISPLAY!$B$3:$B$1000&amp;"",DISPLAY!$H$3:$H$1000,""),"Network Device",_xlfn.XLOOKUP($K940&amp;"",'NETWORK-DEVICES'!$B$3:$B$987&amp;"",'NETWORK-DEVICES'!$H$3:$H$987,""),"Peripheral",_xlfn.XLOOKUP($K940&amp;"",PERIPHERAL!$B$3:$B$954&amp;"",PERIPHERAL!$H$3:$H$954,""),"Utilities",_xlfn.XLOOKUP($K940&amp;"",UTILITIES!$B$3:$B$953&amp;"",UTILITIES!$G$3:$G$953,""),"IOT",_xlfn.XLOOKUP($K940&amp;"",IOT!$B$3:$B$1012&amp;"",IOT!$H$3:$H$1012,""),"Server",_xlfn.XLOOKUP($K940&amp;"",SERVER!$B$3:$B$1009&amp;"",SERVER!$H$3:$H$1009,""),""),IF(TRIM(_xlpm.srcCat)&lt;&gt;TRIM($J940),"",_xlfn.SWITCH($I940,"Computer",_xlfn.XLOOKUP($K940&amp;"",COMPUTER!$B$3:$B$1009&amp;"",COMPUTER!$AM$3:$AM$1009,""),"Display",_xlfn.XLOOKUP($K940&amp;"",DISPLAY!$B$3:$B$1000&amp;"",DISPLAY!$V$3:$V$1000,""),"Network Device",_xlfn.XLOOKUP($K940&amp;"",'NETWORK-DEVICES'!$B$3:$B$987&amp;"",'NETWORK-DEVICES'!$AF$3:$AF$987,""),"Peripheral",_xlfn.XLOOKUP($K940&amp;"",PERIPHERAL!$B$3:$B$954&amp;"",PERIPHERAL!$Y$3:$Y$954,""),"Utilities",_xlfn.XLOOKUP($K940&amp;"",UTILITIES!$B$3:$B$953&amp;"",UTILITIES!$O$3:$O$953,""),"IOT",_xlfn.XLOOKUP($K940&amp;"",IOT!$B$3:$B$1012&amp;"",IOT!$AB$3:$AB$1012,""),"Server",_xlfn.XLOOKUP($K940&amp;"",SERVER!$B$3:$B$1009&amp;"",SERVER!$AB$3:$AB$1009,""),""))))</f>
        <v/>
      </c>
      <c r="R940" s="43" t="str">
        <f>IF(tbl_handover[[#This Row],[Asset Code]]="","",COUNTIF(tbl_handover[Asset Code],tbl_handover[[#This Row],[Asset Code]]))</f>
        <v/>
      </c>
    </row>
    <row r="941" spans="1:18" x14ac:dyDescent="0.25">
      <c r="A941" s="43" t="str">
        <f>IF(B941&lt;&gt;"",SUBTOTAL(3,$B$1:B940),"")</f>
        <v/>
      </c>
      <c r="C941" s="74"/>
      <c r="D941" s="74"/>
      <c r="G941" s="1"/>
      <c r="K941" s="42"/>
      <c r="L941" t="str" cm="1">
        <f t="array" ref="L941">IF($K941="","",_xlfn.SWITCH($I941,"Computer",_xlfn.XLOOKUP($K941&amp;"",COMPUTER!$B$3:$B$1009&amp;"",COMPUTER!$I$3:$I$1009,""),"Display",_xlfn.XLOOKUP($K941&amp;"",DISPLAY!$B$3:$B$1000&amp;"",DISPLAY!$J$3:$J$1000,""),"Network Device",_xlfn.XLOOKUP($K941&amp;"",'NETWORK-DEVICES'!$B$3:$B$987&amp;"",'NETWORK-DEVICES'!$I$3:$I$987,""),"Peripheral",_xlfn.XLOOKUP($K941&amp;"",PERIPHERAL!$B$3:$B$954&amp;"",PERIPHERAL!$I$3:$I$954,""),"Utilities",_xlfn.XLOOKUP($K941&amp;"",UTILITIES!$B$3:$B$953&amp;"",UTILITIES!$H$3:$H$953,""),"IOT",_xlfn.XLOOKUP($K941&amp;"",IOT!$B$3:$B$1012&amp;"",IOT!$I$3:$I$1012,""),"SERVER",_xlfn.XLOOKUP($K941&amp;"",SERVER!$B$3:$B$1009&amp;"",SERVER!$I$3:$I$1009,""),""))</f>
        <v/>
      </c>
      <c r="M941" t="str" cm="1">
        <f t="array" ref="M941">IF($K941="","",_xlfn.SWITCH($I941,"Computer",_xlfn.XLOOKUP($K941&amp;"",COMPUTER!$B$3:$B$1009&amp;"",COMPUTER!$J$3:$J$1009,""),"Display",_xlfn.XLOOKUP($K941&amp;"",DISPLAY!$B$3:$B$1000&amp;"",DISPLAY!$K$3:$K$1000,""),"Network Device",_xlfn.XLOOKUP($K941&amp;"",'NETWORK-DEVICES'!$B$3:$B$987&amp;"",'NETWORK-DEVICES'!$I$3:$I$987,""),"Peripheral",_xlfn.XLOOKUP($K941&amp;"",PERIPHERAL!$B$3:$B$954&amp;"",PERIPHERAL!$J$3:$J$954,""),"Utilities",_xlfn.XLOOKUP($K941&amp;"",UTILITIES!$B$3:$B$953&amp;"",UTILITIES!$I$3:$I$953,""),"IOT",_xlfn.XLOOKUP($K941&amp;"",IOT!$B$3:$B$1012&amp;"",IOT!$J$3:$J$1012,""),"Server",_xlfn.XLOOKUP($K941&amp;"",SERVER!$B$3:$B$1009&amp;"",SERVER!$J$3:$J$1009,""),""))</f>
        <v/>
      </c>
      <c r="N941" s="1" t="str" cm="1">
        <f t="array" ref="N941">IF(OR($K941="",$I941="",$J941=""),"",_xlfn.LET(_xlpm.srcCat,_xlfn.SWITCH($I941,"Computer",_xlfn.XLOOKUP($K941&amp;"",COMPUTER!$B$3:$B$1009&amp;"",COMPUTER!$H$3:$H$1009,""),"Display",_xlfn.XLOOKUP($K941&amp;"",DISPLAY!$B$3:$B$1000&amp;"",DISPLAY!$H$3:$H$1000,""),"Network Device",_xlfn.XLOOKUP($K941&amp;"",'NETWORK-DEVICES'!$B$3:$B$987&amp;"",'NETWORK-DEVICES'!$H$3:$H$987,""),"Peripheral",_xlfn.XLOOKUP($K941&amp;"",PERIPHERAL!$B$3:$B$954&amp;"",PERIPHERAL!$H$3:$H$954,""),"Utilities",_xlfn.XLOOKUP($K941&amp;"",UTILITIES!$B$3:$B$953&amp;"",UTILITIES!$G$3:$G$953,""),"IOT",_xlfn.XLOOKUP($K941&amp;"",IOT!$B$3:$B$1012&amp;"",IOT!$H$3:$H$1012,""),"Server",_xlfn.XLOOKUP($K941&amp;"",SERVER!$B$3:$B$1009&amp;"",SERVER!$H$3:$H$1009,""),""),IF(TRIM(_xlpm.srcCat)&lt;&gt;TRIM($J941),"",_xlfn.SWITCH($I941,"Computer",_xlfn.XLOOKUP($K941&amp;"",COMPUTER!$B$3:$B$1009&amp;"",COMPUTER!$K$3:$K$1009,""),"Display",_xlfn.XLOOKUP($K941&amp;"",DISPLAY!$B$3:$B$1000&amp;"",DISPLAY!$L$3:$L$1000,""),"Network Device",_xlfn.XLOOKUP($K941&amp;"",'NETWORK-DEVICES'!$B$3:$B$987&amp;"",'NETWORK-DEVICES'!$K$3:$K$987,""),"Peripheral",_xlfn.XLOOKUP($K941&amp;"",PERIPHERAL!$B$3:$B$954&amp;"",PERIPHERAL!$K$3:$K$954,""),"Utilities",_xlfn.XLOOKUP($K941&amp;"",UTILITIES!$B$3:$B$953&amp;"",UTILITIES!$J$3:$J$953,""),"IOT",_xlfn.XLOOKUP($K941&amp;"",IOT!$B$3:$B$1012&amp;"",IOT!$K$4:$K$1012,""),"Server",_xlfn.XLOOKUP($K941&amp;"",SERVER!$B$3:$B$1009&amp;"",SERVER!$K$3:$K$1009,""),""))))</f>
        <v/>
      </c>
      <c r="O941" s="1" t="str" cm="1">
        <f t="array" ref="O941">IF(OR($K941="",$I941="",$J941=""),"",_xlfn.LET(_xlpm.srcCat,_xlfn.SWITCH($I941,"Computer",_xlfn.XLOOKUP($K941&amp;"",COMPUTER!$B$3:$B$1009&amp;"",COMPUTER!$H$3:$H$1009,""),"Display",_xlfn.XLOOKUP($K941&amp;"",DISPLAY!$B$3:$B$1000&amp;"",DISPLAY!$H$3:$H$1000,""),"Network Device",_xlfn.XLOOKUP($K941&amp;"",'NETWORK-DEVICES'!$B$3:$B$987&amp;"",'NETWORK-DEVICES'!$H$3:$H$987,""),"Peripheral",_xlfn.XLOOKUP($K941&amp;"",PERIPHERAL!$B$3:$B$954&amp;"",PERIPHERAL!$H$3:$H$954,""),"Utilities",_xlfn.XLOOKUP($K941&amp;"",UTILITIES!$B$3:$B$953&amp;"",UTILITIES!$G$3:$G$953,""),"IOT",_xlfn.XLOOKUP($K941&amp;"",IOT!$B$3:$B$1012&amp;"",IOT!$H$3:$H$1012,""),"Server",_xlfn.XLOOKUP($K941&amp;"",SERVER!$B$3:$B$1009&amp;"",SERVER!$H$3:$H$1009,""),""),IF(TRIM(_xlpm.srcCat)&lt;&gt;TRIM($J941),"",_xlfn.SWITCH($I941,"Computer",_xlfn.XLOOKUP($K941&amp;"",COMPUTER!$B$3:$B$1009&amp;"",COMPUTER!$E$3:$E$1009,""),"Display",_xlfn.XLOOKUP($K941&amp;"",DISPLAY!$B$3:$B$1000&amp;"",DISPLAY!$E$3:$E$1000,""),"Network Device",_xlfn.XLOOKUP($K941&amp;"",'NETWORK-DEVICES'!$B$3:$B$987&amp;"",'NETWORK-DEVICES'!$E$3:$E$987,""),"Peripheral",_xlfn.XLOOKUP($K941&amp;"",PERIPHERAL!$B$3:$B$954&amp;"",PERIPHERAL!$E$3:$E$954,""),"Utilities",_xlfn.XLOOKUP($K941&amp;"",UTILITIES!$B$3:$B$953&amp;"",UTILITIES!$E$3:$E$953,""),"IOT",_xlfn.XLOOKUP($K941&amp;"",IOT!$B$3:$B$1012&amp;"",IOT!$E$3:$E$1012,""),"Server",_xlfn.XLOOKUP($K941&amp;"",SERVER!$B$3:$B$1009&amp;"",SERVER!$E$3:$E$1009,""),""))))</f>
        <v/>
      </c>
      <c r="Q941" s="1" t="str" cm="1">
        <f t="array" ref="Q941">IF(OR($K941="",$I941="",$J941=""),"",_xlfn.LET(_xlpm.srcCat,_xlfn.SWITCH($I941,"Computer",_xlfn.XLOOKUP($K941&amp;"",COMPUTER!$B$3:$B$1009&amp;"",COMPUTER!$H$3:$H$1009,""),"Display",_xlfn.XLOOKUP($K941&amp;"",DISPLAY!$B$3:$B$1000&amp;"",DISPLAY!$H$3:$H$1000,""),"Network Device",_xlfn.XLOOKUP($K941&amp;"",'NETWORK-DEVICES'!$B$3:$B$987&amp;"",'NETWORK-DEVICES'!$H$3:$H$987,""),"Peripheral",_xlfn.XLOOKUP($K941&amp;"",PERIPHERAL!$B$3:$B$954&amp;"",PERIPHERAL!$H$3:$H$954,""),"Utilities",_xlfn.XLOOKUP($K941&amp;"",UTILITIES!$B$3:$B$953&amp;"",UTILITIES!$G$3:$G$953,""),"IOT",_xlfn.XLOOKUP($K941&amp;"",IOT!$B$3:$B$1012&amp;"",IOT!$H$3:$H$1012,""),"Server",_xlfn.XLOOKUP($K941&amp;"",SERVER!$B$3:$B$1009&amp;"",SERVER!$H$3:$H$1009,""),""),IF(TRIM(_xlpm.srcCat)&lt;&gt;TRIM($J941),"",_xlfn.SWITCH($I941,"Computer",_xlfn.XLOOKUP($K941&amp;"",COMPUTER!$B$3:$B$1009&amp;"",COMPUTER!$AM$3:$AM$1009,""),"Display",_xlfn.XLOOKUP($K941&amp;"",DISPLAY!$B$3:$B$1000&amp;"",DISPLAY!$V$3:$V$1000,""),"Network Device",_xlfn.XLOOKUP($K941&amp;"",'NETWORK-DEVICES'!$B$3:$B$987&amp;"",'NETWORK-DEVICES'!$AF$3:$AF$987,""),"Peripheral",_xlfn.XLOOKUP($K941&amp;"",PERIPHERAL!$B$3:$B$954&amp;"",PERIPHERAL!$Y$3:$Y$954,""),"Utilities",_xlfn.XLOOKUP($K941&amp;"",UTILITIES!$B$3:$B$953&amp;"",UTILITIES!$O$3:$O$953,""),"IOT",_xlfn.XLOOKUP($K941&amp;"",IOT!$B$3:$B$1012&amp;"",IOT!$AB$3:$AB$1012,""),"Server",_xlfn.XLOOKUP($K941&amp;"",SERVER!$B$3:$B$1009&amp;"",SERVER!$AB$3:$AB$1009,""),""))))</f>
        <v/>
      </c>
      <c r="R941" s="43" t="str">
        <f>IF(tbl_handover[[#This Row],[Asset Code]]="","",COUNTIF(tbl_handover[Asset Code],tbl_handover[[#This Row],[Asset Code]]))</f>
        <v/>
      </c>
    </row>
    <row r="942" spans="1:18" x14ac:dyDescent="0.25">
      <c r="A942" s="43" t="str">
        <f>IF(B942&lt;&gt;"",SUBTOTAL(3,$B$1:B941),"")</f>
        <v/>
      </c>
      <c r="C942" s="74"/>
      <c r="D942" s="74"/>
      <c r="G942" s="1"/>
      <c r="K942" s="42"/>
      <c r="L942" t="str" cm="1">
        <f t="array" ref="L942">IF($K942="","",_xlfn.SWITCH($I942,"Computer",_xlfn.XLOOKUP($K942&amp;"",COMPUTER!$B$3:$B$1009&amp;"",COMPUTER!$I$3:$I$1009,""),"Display",_xlfn.XLOOKUP($K942&amp;"",DISPLAY!$B$3:$B$1000&amp;"",DISPLAY!$J$3:$J$1000,""),"Network Device",_xlfn.XLOOKUP($K942&amp;"",'NETWORK-DEVICES'!$B$3:$B$987&amp;"",'NETWORK-DEVICES'!$I$3:$I$987,""),"Peripheral",_xlfn.XLOOKUP($K942&amp;"",PERIPHERAL!$B$3:$B$954&amp;"",PERIPHERAL!$I$3:$I$954,""),"Utilities",_xlfn.XLOOKUP($K942&amp;"",UTILITIES!$B$3:$B$953&amp;"",UTILITIES!$H$3:$H$953,""),"IOT",_xlfn.XLOOKUP($K942&amp;"",IOT!$B$3:$B$1012&amp;"",IOT!$I$3:$I$1012,""),"SERVER",_xlfn.XLOOKUP($K942&amp;"",SERVER!$B$3:$B$1009&amp;"",SERVER!$I$3:$I$1009,""),""))</f>
        <v/>
      </c>
      <c r="M942" t="str" cm="1">
        <f t="array" ref="M942">IF($K942="","",_xlfn.SWITCH($I942,"Computer",_xlfn.XLOOKUP($K942&amp;"",COMPUTER!$B$3:$B$1009&amp;"",COMPUTER!$J$3:$J$1009,""),"Display",_xlfn.XLOOKUP($K942&amp;"",DISPLAY!$B$3:$B$1000&amp;"",DISPLAY!$K$3:$K$1000,""),"Network Device",_xlfn.XLOOKUP($K942&amp;"",'NETWORK-DEVICES'!$B$3:$B$987&amp;"",'NETWORK-DEVICES'!$I$3:$I$987,""),"Peripheral",_xlfn.XLOOKUP($K942&amp;"",PERIPHERAL!$B$3:$B$954&amp;"",PERIPHERAL!$J$3:$J$954,""),"Utilities",_xlfn.XLOOKUP($K942&amp;"",UTILITIES!$B$3:$B$953&amp;"",UTILITIES!$I$3:$I$953,""),"IOT",_xlfn.XLOOKUP($K942&amp;"",IOT!$B$3:$B$1012&amp;"",IOT!$J$3:$J$1012,""),"Server",_xlfn.XLOOKUP($K942&amp;"",SERVER!$B$3:$B$1009&amp;"",SERVER!$J$3:$J$1009,""),""))</f>
        <v/>
      </c>
      <c r="N942" s="1" t="str" cm="1">
        <f t="array" ref="N942">IF(OR($K942="",$I942="",$J942=""),"",_xlfn.LET(_xlpm.srcCat,_xlfn.SWITCH($I942,"Computer",_xlfn.XLOOKUP($K942&amp;"",COMPUTER!$B$3:$B$1009&amp;"",COMPUTER!$H$3:$H$1009,""),"Display",_xlfn.XLOOKUP($K942&amp;"",DISPLAY!$B$3:$B$1000&amp;"",DISPLAY!$H$3:$H$1000,""),"Network Device",_xlfn.XLOOKUP($K942&amp;"",'NETWORK-DEVICES'!$B$3:$B$987&amp;"",'NETWORK-DEVICES'!$H$3:$H$987,""),"Peripheral",_xlfn.XLOOKUP($K942&amp;"",PERIPHERAL!$B$3:$B$954&amp;"",PERIPHERAL!$H$3:$H$954,""),"Utilities",_xlfn.XLOOKUP($K942&amp;"",UTILITIES!$B$3:$B$953&amp;"",UTILITIES!$G$3:$G$953,""),"IOT",_xlfn.XLOOKUP($K942&amp;"",IOT!$B$3:$B$1012&amp;"",IOT!$H$3:$H$1012,""),"Server",_xlfn.XLOOKUP($K942&amp;"",SERVER!$B$3:$B$1009&amp;"",SERVER!$H$3:$H$1009,""),""),IF(TRIM(_xlpm.srcCat)&lt;&gt;TRIM($J942),"",_xlfn.SWITCH($I942,"Computer",_xlfn.XLOOKUP($K942&amp;"",COMPUTER!$B$3:$B$1009&amp;"",COMPUTER!$K$3:$K$1009,""),"Display",_xlfn.XLOOKUP($K942&amp;"",DISPLAY!$B$3:$B$1000&amp;"",DISPLAY!$L$3:$L$1000,""),"Network Device",_xlfn.XLOOKUP($K942&amp;"",'NETWORK-DEVICES'!$B$3:$B$987&amp;"",'NETWORK-DEVICES'!$K$3:$K$987,""),"Peripheral",_xlfn.XLOOKUP($K942&amp;"",PERIPHERAL!$B$3:$B$954&amp;"",PERIPHERAL!$K$3:$K$954,""),"Utilities",_xlfn.XLOOKUP($K942&amp;"",UTILITIES!$B$3:$B$953&amp;"",UTILITIES!$J$3:$J$953,""),"IOT",_xlfn.XLOOKUP($K942&amp;"",IOT!$B$3:$B$1012&amp;"",IOT!$K$4:$K$1012,""),"Server",_xlfn.XLOOKUP($K942&amp;"",SERVER!$B$3:$B$1009&amp;"",SERVER!$K$3:$K$1009,""),""))))</f>
        <v/>
      </c>
      <c r="O942" s="1" t="str" cm="1">
        <f t="array" ref="O942">IF(OR($K942="",$I942="",$J942=""),"",_xlfn.LET(_xlpm.srcCat,_xlfn.SWITCH($I942,"Computer",_xlfn.XLOOKUP($K942&amp;"",COMPUTER!$B$3:$B$1009&amp;"",COMPUTER!$H$3:$H$1009,""),"Display",_xlfn.XLOOKUP($K942&amp;"",DISPLAY!$B$3:$B$1000&amp;"",DISPLAY!$H$3:$H$1000,""),"Network Device",_xlfn.XLOOKUP($K942&amp;"",'NETWORK-DEVICES'!$B$3:$B$987&amp;"",'NETWORK-DEVICES'!$H$3:$H$987,""),"Peripheral",_xlfn.XLOOKUP($K942&amp;"",PERIPHERAL!$B$3:$B$954&amp;"",PERIPHERAL!$H$3:$H$954,""),"Utilities",_xlfn.XLOOKUP($K942&amp;"",UTILITIES!$B$3:$B$953&amp;"",UTILITIES!$G$3:$G$953,""),"IOT",_xlfn.XLOOKUP($K942&amp;"",IOT!$B$3:$B$1012&amp;"",IOT!$H$3:$H$1012,""),"Server",_xlfn.XLOOKUP($K942&amp;"",SERVER!$B$3:$B$1009&amp;"",SERVER!$H$3:$H$1009,""),""),IF(TRIM(_xlpm.srcCat)&lt;&gt;TRIM($J942),"",_xlfn.SWITCH($I942,"Computer",_xlfn.XLOOKUP($K942&amp;"",COMPUTER!$B$3:$B$1009&amp;"",COMPUTER!$E$3:$E$1009,""),"Display",_xlfn.XLOOKUP($K942&amp;"",DISPLAY!$B$3:$B$1000&amp;"",DISPLAY!$E$3:$E$1000,""),"Network Device",_xlfn.XLOOKUP($K942&amp;"",'NETWORK-DEVICES'!$B$3:$B$987&amp;"",'NETWORK-DEVICES'!$E$3:$E$987,""),"Peripheral",_xlfn.XLOOKUP($K942&amp;"",PERIPHERAL!$B$3:$B$954&amp;"",PERIPHERAL!$E$3:$E$954,""),"Utilities",_xlfn.XLOOKUP($K942&amp;"",UTILITIES!$B$3:$B$953&amp;"",UTILITIES!$E$3:$E$953,""),"IOT",_xlfn.XLOOKUP($K942&amp;"",IOT!$B$3:$B$1012&amp;"",IOT!$E$3:$E$1012,""),"Server",_xlfn.XLOOKUP($K942&amp;"",SERVER!$B$3:$B$1009&amp;"",SERVER!$E$3:$E$1009,""),""))))</f>
        <v/>
      </c>
      <c r="Q942" s="1" t="str" cm="1">
        <f t="array" ref="Q942">IF(OR($K942="",$I942="",$J942=""),"",_xlfn.LET(_xlpm.srcCat,_xlfn.SWITCH($I942,"Computer",_xlfn.XLOOKUP($K942&amp;"",COMPUTER!$B$3:$B$1009&amp;"",COMPUTER!$H$3:$H$1009,""),"Display",_xlfn.XLOOKUP($K942&amp;"",DISPLAY!$B$3:$B$1000&amp;"",DISPLAY!$H$3:$H$1000,""),"Network Device",_xlfn.XLOOKUP($K942&amp;"",'NETWORK-DEVICES'!$B$3:$B$987&amp;"",'NETWORK-DEVICES'!$H$3:$H$987,""),"Peripheral",_xlfn.XLOOKUP($K942&amp;"",PERIPHERAL!$B$3:$B$954&amp;"",PERIPHERAL!$H$3:$H$954,""),"Utilities",_xlfn.XLOOKUP($K942&amp;"",UTILITIES!$B$3:$B$953&amp;"",UTILITIES!$G$3:$G$953,""),"IOT",_xlfn.XLOOKUP($K942&amp;"",IOT!$B$3:$B$1012&amp;"",IOT!$H$3:$H$1012,""),"Server",_xlfn.XLOOKUP($K942&amp;"",SERVER!$B$3:$B$1009&amp;"",SERVER!$H$3:$H$1009,""),""),IF(TRIM(_xlpm.srcCat)&lt;&gt;TRIM($J942),"",_xlfn.SWITCH($I942,"Computer",_xlfn.XLOOKUP($K942&amp;"",COMPUTER!$B$3:$B$1009&amp;"",COMPUTER!$AM$3:$AM$1009,""),"Display",_xlfn.XLOOKUP($K942&amp;"",DISPLAY!$B$3:$B$1000&amp;"",DISPLAY!$V$3:$V$1000,""),"Network Device",_xlfn.XLOOKUP($K942&amp;"",'NETWORK-DEVICES'!$B$3:$B$987&amp;"",'NETWORK-DEVICES'!$AF$3:$AF$987,""),"Peripheral",_xlfn.XLOOKUP($K942&amp;"",PERIPHERAL!$B$3:$B$954&amp;"",PERIPHERAL!$Y$3:$Y$954,""),"Utilities",_xlfn.XLOOKUP($K942&amp;"",UTILITIES!$B$3:$B$953&amp;"",UTILITIES!$O$3:$O$953,""),"IOT",_xlfn.XLOOKUP($K942&amp;"",IOT!$B$3:$B$1012&amp;"",IOT!$AB$3:$AB$1012,""),"Server",_xlfn.XLOOKUP($K942&amp;"",SERVER!$B$3:$B$1009&amp;"",SERVER!$AB$3:$AB$1009,""),""))))</f>
        <v/>
      </c>
      <c r="R942" s="43" t="str">
        <f>IF(tbl_handover[[#This Row],[Asset Code]]="","",COUNTIF(tbl_handover[Asset Code],tbl_handover[[#This Row],[Asset Code]]))</f>
        <v/>
      </c>
    </row>
    <row r="943" spans="1:18" x14ac:dyDescent="0.25">
      <c r="A943" s="43" t="str">
        <f>IF(B943&lt;&gt;"",SUBTOTAL(3,$B$1:B942),"")</f>
        <v/>
      </c>
      <c r="C943" s="74"/>
      <c r="D943" s="74"/>
      <c r="G943" s="1"/>
      <c r="K943" s="42"/>
      <c r="L943" t="str" cm="1">
        <f t="array" ref="L943">IF($K943="","",_xlfn.SWITCH($I943,"Computer",_xlfn.XLOOKUP($K943&amp;"",COMPUTER!$B$3:$B$1009&amp;"",COMPUTER!$I$3:$I$1009,""),"Display",_xlfn.XLOOKUP($K943&amp;"",DISPLAY!$B$3:$B$1000&amp;"",DISPLAY!$J$3:$J$1000,""),"Network Device",_xlfn.XLOOKUP($K943&amp;"",'NETWORK-DEVICES'!$B$3:$B$987&amp;"",'NETWORK-DEVICES'!$I$3:$I$987,""),"Peripheral",_xlfn.XLOOKUP($K943&amp;"",PERIPHERAL!$B$3:$B$954&amp;"",PERIPHERAL!$I$3:$I$954,""),"Utilities",_xlfn.XLOOKUP($K943&amp;"",UTILITIES!$B$3:$B$953&amp;"",UTILITIES!$H$3:$H$953,""),"IOT",_xlfn.XLOOKUP($K943&amp;"",IOT!$B$3:$B$1012&amp;"",IOT!$I$3:$I$1012,""),"SERVER",_xlfn.XLOOKUP($K943&amp;"",SERVER!$B$3:$B$1009&amp;"",SERVER!$I$3:$I$1009,""),""))</f>
        <v/>
      </c>
      <c r="M943" t="str" cm="1">
        <f t="array" ref="M943">IF($K943="","",_xlfn.SWITCH($I943,"Computer",_xlfn.XLOOKUP($K943&amp;"",COMPUTER!$B$3:$B$1009&amp;"",COMPUTER!$J$3:$J$1009,""),"Display",_xlfn.XLOOKUP($K943&amp;"",DISPLAY!$B$3:$B$1000&amp;"",DISPLAY!$K$3:$K$1000,""),"Network Device",_xlfn.XLOOKUP($K943&amp;"",'NETWORK-DEVICES'!$B$3:$B$987&amp;"",'NETWORK-DEVICES'!$I$3:$I$987,""),"Peripheral",_xlfn.XLOOKUP($K943&amp;"",PERIPHERAL!$B$3:$B$954&amp;"",PERIPHERAL!$J$3:$J$954,""),"Utilities",_xlfn.XLOOKUP($K943&amp;"",UTILITIES!$B$3:$B$953&amp;"",UTILITIES!$I$3:$I$953,""),"IOT",_xlfn.XLOOKUP($K943&amp;"",IOT!$B$3:$B$1012&amp;"",IOT!$J$3:$J$1012,""),"Server",_xlfn.XLOOKUP($K943&amp;"",SERVER!$B$3:$B$1009&amp;"",SERVER!$J$3:$J$1009,""),""))</f>
        <v/>
      </c>
      <c r="N943" s="1" t="str" cm="1">
        <f t="array" ref="N943">IF(OR($K943="",$I943="",$J943=""),"",_xlfn.LET(_xlpm.srcCat,_xlfn.SWITCH($I943,"Computer",_xlfn.XLOOKUP($K943&amp;"",COMPUTER!$B$3:$B$1009&amp;"",COMPUTER!$H$3:$H$1009,""),"Display",_xlfn.XLOOKUP($K943&amp;"",DISPLAY!$B$3:$B$1000&amp;"",DISPLAY!$H$3:$H$1000,""),"Network Device",_xlfn.XLOOKUP($K943&amp;"",'NETWORK-DEVICES'!$B$3:$B$987&amp;"",'NETWORK-DEVICES'!$H$3:$H$987,""),"Peripheral",_xlfn.XLOOKUP($K943&amp;"",PERIPHERAL!$B$3:$B$954&amp;"",PERIPHERAL!$H$3:$H$954,""),"Utilities",_xlfn.XLOOKUP($K943&amp;"",UTILITIES!$B$3:$B$953&amp;"",UTILITIES!$G$3:$G$953,""),"IOT",_xlfn.XLOOKUP($K943&amp;"",IOT!$B$3:$B$1012&amp;"",IOT!$H$3:$H$1012,""),"Server",_xlfn.XLOOKUP($K943&amp;"",SERVER!$B$3:$B$1009&amp;"",SERVER!$H$3:$H$1009,""),""),IF(TRIM(_xlpm.srcCat)&lt;&gt;TRIM($J943),"",_xlfn.SWITCH($I943,"Computer",_xlfn.XLOOKUP($K943&amp;"",COMPUTER!$B$3:$B$1009&amp;"",COMPUTER!$K$3:$K$1009,""),"Display",_xlfn.XLOOKUP($K943&amp;"",DISPLAY!$B$3:$B$1000&amp;"",DISPLAY!$L$3:$L$1000,""),"Network Device",_xlfn.XLOOKUP($K943&amp;"",'NETWORK-DEVICES'!$B$3:$B$987&amp;"",'NETWORK-DEVICES'!$K$3:$K$987,""),"Peripheral",_xlfn.XLOOKUP($K943&amp;"",PERIPHERAL!$B$3:$B$954&amp;"",PERIPHERAL!$K$3:$K$954,""),"Utilities",_xlfn.XLOOKUP($K943&amp;"",UTILITIES!$B$3:$B$953&amp;"",UTILITIES!$J$3:$J$953,""),"IOT",_xlfn.XLOOKUP($K943&amp;"",IOT!$B$3:$B$1012&amp;"",IOT!$K$4:$K$1012,""),"Server",_xlfn.XLOOKUP($K943&amp;"",SERVER!$B$3:$B$1009&amp;"",SERVER!$K$3:$K$1009,""),""))))</f>
        <v/>
      </c>
      <c r="O943" s="1" t="str" cm="1">
        <f t="array" ref="O943">IF(OR($K943="",$I943="",$J943=""),"",_xlfn.LET(_xlpm.srcCat,_xlfn.SWITCH($I943,"Computer",_xlfn.XLOOKUP($K943&amp;"",COMPUTER!$B$3:$B$1009&amp;"",COMPUTER!$H$3:$H$1009,""),"Display",_xlfn.XLOOKUP($K943&amp;"",DISPLAY!$B$3:$B$1000&amp;"",DISPLAY!$H$3:$H$1000,""),"Network Device",_xlfn.XLOOKUP($K943&amp;"",'NETWORK-DEVICES'!$B$3:$B$987&amp;"",'NETWORK-DEVICES'!$H$3:$H$987,""),"Peripheral",_xlfn.XLOOKUP($K943&amp;"",PERIPHERAL!$B$3:$B$954&amp;"",PERIPHERAL!$H$3:$H$954,""),"Utilities",_xlfn.XLOOKUP($K943&amp;"",UTILITIES!$B$3:$B$953&amp;"",UTILITIES!$G$3:$G$953,""),"IOT",_xlfn.XLOOKUP($K943&amp;"",IOT!$B$3:$B$1012&amp;"",IOT!$H$3:$H$1012,""),"Server",_xlfn.XLOOKUP($K943&amp;"",SERVER!$B$3:$B$1009&amp;"",SERVER!$H$3:$H$1009,""),""),IF(TRIM(_xlpm.srcCat)&lt;&gt;TRIM($J943),"",_xlfn.SWITCH($I943,"Computer",_xlfn.XLOOKUP($K943&amp;"",COMPUTER!$B$3:$B$1009&amp;"",COMPUTER!$E$3:$E$1009,""),"Display",_xlfn.XLOOKUP($K943&amp;"",DISPLAY!$B$3:$B$1000&amp;"",DISPLAY!$E$3:$E$1000,""),"Network Device",_xlfn.XLOOKUP($K943&amp;"",'NETWORK-DEVICES'!$B$3:$B$987&amp;"",'NETWORK-DEVICES'!$E$3:$E$987,""),"Peripheral",_xlfn.XLOOKUP($K943&amp;"",PERIPHERAL!$B$3:$B$954&amp;"",PERIPHERAL!$E$3:$E$954,""),"Utilities",_xlfn.XLOOKUP($K943&amp;"",UTILITIES!$B$3:$B$953&amp;"",UTILITIES!$E$3:$E$953,""),"IOT",_xlfn.XLOOKUP($K943&amp;"",IOT!$B$3:$B$1012&amp;"",IOT!$E$3:$E$1012,""),"Server",_xlfn.XLOOKUP($K943&amp;"",SERVER!$B$3:$B$1009&amp;"",SERVER!$E$3:$E$1009,""),""))))</f>
        <v/>
      </c>
      <c r="Q943" s="1" t="str" cm="1">
        <f t="array" ref="Q943">IF(OR($K943="",$I943="",$J943=""),"",_xlfn.LET(_xlpm.srcCat,_xlfn.SWITCH($I943,"Computer",_xlfn.XLOOKUP($K943&amp;"",COMPUTER!$B$3:$B$1009&amp;"",COMPUTER!$H$3:$H$1009,""),"Display",_xlfn.XLOOKUP($K943&amp;"",DISPLAY!$B$3:$B$1000&amp;"",DISPLAY!$H$3:$H$1000,""),"Network Device",_xlfn.XLOOKUP($K943&amp;"",'NETWORK-DEVICES'!$B$3:$B$987&amp;"",'NETWORK-DEVICES'!$H$3:$H$987,""),"Peripheral",_xlfn.XLOOKUP($K943&amp;"",PERIPHERAL!$B$3:$B$954&amp;"",PERIPHERAL!$H$3:$H$954,""),"Utilities",_xlfn.XLOOKUP($K943&amp;"",UTILITIES!$B$3:$B$953&amp;"",UTILITIES!$G$3:$G$953,""),"IOT",_xlfn.XLOOKUP($K943&amp;"",IOT!$B$3:$B$1012&amp;"",IOT!$H$3:$H$1012,""),"Server",_xlfn.XLOOKUP($K943&amp;"",SERVER!$B$3:$B$1009&amp;"",SERVER!$H$3:$H$1009,""),""),IF(TRIM(_xlpm.srcCat)&lt;&gt;TRIM($J943),"",_xlfn.SWITCH($I943,"Computer",_xlfn.XLOOKUP($K943&amp;"",COMPUTER!$B$3:$B$1009&amp;"",COMPUTER!$AM$3:$AM$1009,""),"Display",_xlfn.XLOOKUP($K943&amp;"",DISPLAY!$B$3:$B$1000&amp;"",DISPLAY!$V$3:$V$1000,""),"Network Device",_xlfn.XLOOKUP($K943&amp;"",'NETWORK-DEVICES'!$B$3:$B$987&amp;"",'NETWORK-DEVICES'!$AF$3:$AF$987,""),"Peripheral",_xlfn.XLOOKUP($K943&amp;"",PERIPHERAL!$B$3:$B$954&amp;"",PERIPHERAL!$Y$3:$Y$954,""),"Utilities",_xlfn.XLOOKUP($K943&amp;"",UTILITIES!$B$3:$B$953&amp;"",UTILITIES!$O$3:$O$953,""),"IOT",_xlfn.XLOOKUP($K943&amp;"",IOT!$B$3:$B$1012&amp;"",IOT!$AB$3:$AB$1012,""),"Server",_xlfn.XLOOKUP($K943&amp;"",SERVER!$B$3:$B$1009&amp;"",SERVER!$AB$3:$AB$1009,""),""))))</f>
        <v/>
      </c>
      <c r="R943" s="43" t="str">
        <f>IF(tbl_handover[[#This Row],[Asset Code]]="","",COUNTIF(tbl_handover[Asset Code],tbl_handover[[#This Row],[Asset Code]]))</f>
        <v/>
      </c>
    </row>
    <row r="944" spans="1:18" x14ac:dyDescent="0.25">
      <c r="A944" s="43" t="str">
        <f>IF(B944&lt;&gt;"",SUBTOTAL(3,$B$1:B943),"")</f>
        <v/>
      </c>
      <c r="C944" s="74"/>
      <c r="D944" s="74"/>
      <c r="G944" s="1"/>
      <c r="K944" s="42"/>
      <c r="L944" t="str" cm="1">
        <f t="array" ref="L944">IF($K944="","",_xlfn.SWITCH($I944,"Computer",_xlfn.XLOOKUP($K944&amp;"",COMPUTER!$B$3:$B$1009&amp;"",COMPUTER!$I$3:$I$1009,""),"Display",_xlfn.XLOOKUP($K944&amp;"",DISPLAY!$B$3:$B$1000&amp;"",DISPLAY!$J$3:$J$1000,""),"Network Device",_xlfn.XLOOKUP($K944&amp;"",'NETWORK-DEVICES'!$B$3:$B$987&amp;"",'NETWORK-DEVICES'!$I$3:$I$987,""),"Peripheral",_xlfn.XLOOKUP($K944&amp;"",PERIPHERAL!$B$3:$B$954&amp;"",PERIPHERAL!$I$3:$I$954,""),"Utilities",_xlfn.XLOOKUP($K944&amp;"",UTILITIES!$B$3:$B$953&amp;"",UTILITIES!$H$3:$H$953,""),"IOT",_xlfn.XLOOKUP($K944&amp;"",IOT!$B$3:$B$1012&amp;"",IOT!$I$3:$I$1012,""),"SERVER",_xlfn.XLOOKUP($K944&amp;"",SERVER!$B$3:$B$1009&amp;"",SERVER!$I$3:$I$1009,""),""))</f>
        <v/>
      </c>
      <c r="M944" t="str" cm="1">
        <f t="array" ref="M944">IF($K944="","",_xlfn.SWITCH($I944,"Computer",_xlfn.XLOOKUP($K944&amp;"",COMPUTER!$B$3:$B$1009&amp;"",COMPUTER!$J$3:$J$1009,""),"Display",_xlfn.XLOOKUP($K944&amp;"",DISPLAY!$B$3:$B$1000&amp;"",DISPLAY!$K$3:$K$1000,""),"Network Device",_xlfn.XLOOKUP($K944&amp;"",'NETWORK-DEVICES'!$B$3:$B$987&amp;"",'NETWORK-DEVICES'!$I$3:$I$987,""),"Peripheral",_xlfn.XLOOKUP($K944&amp;"",PERIPHERAL!$B$3:$B$954&amp;"",PERIPHERAL!$J$3:$J$954,""),"Utilities",_xlfn.XLOOKUP($K944&amp;"",UTILITIES!$B$3:$B$953&amp;"",UTILITIES!$I$3:$I$953,""),"IOT",_xlfn.XLOOKUP($K944&amp;"",IOT!$B$3:$B$1012&amp;"",IOT!$J$3:$J$1012,""),"Server",_xlfn.XLOOKUP($K944&amp;"",SERVER!$B$3:$B$1009&amp;"",SERVER!$J$3:$J$1009,""),""))</f>
        <v/>
      </c>
      <c r="N944" s="1" t="str" cm="1">
        <f t="array" ref="N944">IF(OR($K944="",$I944="",$J944=""),"",_xlfn.LET(_xlpm.srcCat,_xlfn.SWITCH($I944,"Computer",_xlfn.XLOOKUP($K944&amp;"",COMPUTER!$B$3:$B$1009&amp;"",COMPUTER!$H$3:$H$1009,""),"Display",_xlfn.XLOOKUP($K944&amp;"",DISPLAY!$B$3:$B$1000&amp;"",DISPLAY!$H$3:$H$1000,""),"Network Device",_xlfn.XLOOKUP($K944&amp;"",'NETWORK-DEVICES'!$B$3:$B$987&amp;"",'NETWORK-DEVICES'!$H$3:$H$987,""),"Peripheral",_xlfn.XLOOKUP($K944&amp;"",PERIPHERAL!$B$3:$B$954&amp;"",PERIPHERAL!$H$3:$H$954,""),"Utilities",_xlfn.XLOOKUP($K944&amp;"",UTILITIES!$B$3:$B$953&amp;"",UTILITIES!$G$3:$G$953,""),"IOT",_xlfn.XLOOKUP($K944&amp;"",IOT!$B$3:$B$1012&amp;"",IOT!$H$3:$H$1012,""),"Server",_xlfn.XLOOKUP($K944&amp;"",SERVER!$B$3:$B$1009&amp;"",SERVER!$H$3:$H$1009,""),""),IF(TRIM(_xlpm.srcCat)&lt;&gt;TRIM($J944),"",_xlfn.SWITCH($I944,"Computer",_xlfn.XLOOKUP($K944&amp;"",COMPUTER!$B$3:$B$1009&amp;"",COMPUTER!$K$3:$K$1009,""),"Display",_xlfn.XLOOKUP($K944&amp;"",DISPLAY!$B$3:$B$1000&amp;"",DISPLAY!$L$3:$L$1000,""),"Network Device",_xlfn.XLOOKUP($K944&amp;"",'NETWORK-DEVICES'!$B$3:$B$987&amp;"",'NETWORK-DEVICES'!$K$3:$K$987,""),"Peripheral",_xlfn.XLOOKUP($K944&amp;"",PERIPHERAL!$B$3:$B$954&amp;"",PERIPHERAL!$K$3:$K$954,""),"Utilities",_xlfn.XLOOKUP($K944&amp;"",UTILITIES!$B$3:$B$953&amp;"",UTILITIES!$J$3:$J$953,""),"IOT",_xlfn.XLOOKUP($K944&amp;"",IOT!$B$3:$B$1012&amp;"",IOT!$K$4:$K$1012,""),"Server",_xlfn.XLOOKUP($K944&amp;"",SERVER!$B$3:$B$1009&amp;"",SERVER!$K$3:$K$1009,""),""))))</f>
        <v/>
      </c>
      <c r="O944" s="1" t="str" cm="1">
        <f t="array" ref="O944">IF(OR($K944="",$I944="",$J944=""),"",_xlfn.LET(_xlpm.srcCat,_xlfn.SWITCH($I944,"Computer",_xlfn.XLOOKUP($K944&amp;"",COMPUTER!$B$3:$B$1009&amp;"",COMPUTER!$H$3:$H$1009,""),"Display",_xlfn.XLOOKUP($K944&amp;"",DISPLAY!$B$3:$B$1000&amp;"",DISPLAY!$H$3:$H$1000,""),"Network Device",_xlfn.XLOOKUP($K944&amp;"",'NETWORK-DEVICES'!$B$3:$B$987&amp;"",'NETWORK-DEVICES'!$H$3:$H$987,""),"Peripheral",_xlfn.XLOOKUP($K944&amp;"",PERIPHERAL!$B$3:$B$954&amp;"",PERIPHERAL!$H$3:$H$954,""),"Utilities",_xlfn.XLOOKUP($K944&amp;"",UTILITIES!$B$3:$B$953&amp;"",UTILITIES!$G$3:$G$953,""),"IOT",_xlfn.XLOOKUP($K944&amp;"",IOT!$B$3:$B$1012&amp;"",IOT!$H$3:$H$1012,""),"Server",_xlfn.XLOOKUP($K944&amp;"",SERVER!$B$3:$B$1009&amp;"",SERVER!$H$3:$H$1009,""),""),IF(TRIM(_xlpm.srcCat)&lt;&gt;TRIM($J944),"",_xlfn.SWITCH($I944,"Computer",_xlfn.XLOOKUP($K944&amp;"",COMPUTER!$B$3:$B$1009&amp;"",COMPUTER!$E$3:$E$1009,""),"Display",_xlfn.XLOOKUP($K944&amp;"",DISPLAY!$B$3:$B$1000&amp;"",DISPLAY!$E$3:$E$1000,""),"Network Device",_xlfn.XLOOKUP($K944&amp;"",'NETWORK-DEVICES'!$B$3:$B$987&amp;"",'NETWORK-DEVICES'!$E$3:$E$987,""),"Peripheral",_xlfn.XLOOKUP($K944&amp;"",PERIPHERAL!$B$3:$B$954&amp;"",PERIPHERAL!$E$3:$E$954,""),"Utilities",_xlfn.XLOOKUP($K944&amp;"",UTILITIES!$B$3:$B$953&amp;"",UTILITIES!$E$3:$E$953,""),"IOT",_xlfn.XLOOKUP($K944&amp;"",IOT!$B$3:$B$1012&amp;"",IOT!$E$3:$E$1012,""),"Server",_xlfn.XLOOKUP($K944&amp;"",SERVER!$B$3:$B$1009&amp;"",SERVER!$E$3:$E$1009,""),""))))</f>
        <v/>
      </c>
      <c r="Q944" s="1" t="str" cm="1">
        <f t="array" ref="Q944">IF(OR($K944="",$I944="",$J944=""),"",_xlfn.LET(_xlpm.srcCat,_xlfn.SWITCH($I944,"Computer",_xlfn.XLOOKUP($K944&amp;"",COMPUTER!$B$3:$B$1009&amp;"",COMPUTER!$H$3:$H$1009,""),"Display",_xlfn.XLOOKUP($K944&amp;"",DISPLAY!$B$3:$B$1000&amp;"",DISPLAY!$H$3:$H$1000,""),"Network Device",_xlfn.XLOOKUP($K944&amp;"",'NETWORK-DEVICES'!$B$3:$B$987&amp;"",'NETWORK-DEVICES'!$H$3:$H$987,""),"Peripheral",_xlfn.XLOOKUP($K944&amp;"",PERIPHERAL!$B$3:$B$954&amp;"",PERIPHERAL!$H$3:$H$954,""),"Utilities",_xlfn.XLOOKUP($K944&amp;"",UTILITIES!$B$3:$B$953&amp;"",UTILITIES!$G$3:$G$953,""),"IOT",_xlfn.XLOOKUP($K944&amp;"",IOT!$B$3:$B$1012&amp;"",IOT!$H$3:$H$1012,""),"Server",_xlfn.XLOOKUP($K944&amp;"",SERVER!$B$3:$B$1009&amp;"",SERVER!$H$3:$H$1009,""),""),IF(TRIM(_xlpm.srcCat)&lt;&gt;TRIM($J944),"",_xlfn.SWITCH($I944,"Computer",_xlfn.XLOOKUP($K944&amp;"",COMPUTER!$B$3:$B$1009&amp;"",COMPUTER!$AM$3:$AM$1009,""),"Display",_xlfn.XLOOKUP($K944&amp;"",DISPLAY!$B$3:$B$1000&amp;"",DISPLAY!$V$3:$V$1000,""),"Network Device",_xlfn.XLOOKUP($K944&amp;"",'NETWORK-DEVICES'!$B$3:$B$987&amp;"",'NETWORK-DEVICES'!$AF$3:$AF$987,""),"Peripheral",_xlfn.XLOOKUP($K944&amp;"",PERIPHERAL!$B$3:$B$954&amp;"",PERIPHERAL!$Y$3:$Y$954,""),"Utilities",_xlfn.XLOOKUP($K944&amp;"",UTILITIES!$B$3:$B$953&amp;"",UTILITIES!$O$3:$O$953,""),"IOT",_xlfn.XLOOKUP($K944&amp;"",IOT!$B$3:$B$1012&amp;"",IOT!$AB$3:$AB$1012,""),"Server",_xlfn.XLOOKUP($K944&amp;"",SERVER!$B$3:$B$1009&amp;"",SERVER!$AB$3:$AB$1009,""),""))))</f>
        <v/>
      </c>
      <c r="R944" s="43" t="str">
        <f>IF(tbl_handover[[#This Row],[Asset Code]]="","",COUNTIF(tbl_handover[Asset Code],tbl_handover[[#This Row],[Asset Code]]))</f>
        <v/>
      </c>
    </row>
    <row r="945" spans="1:18" x14ac:dyDescent="0.25">
      <c r="A945" s="43" t="str">
        <f>IF(B945&lt;&gt;"",SUBTOTAL(3,$B$1:B944),"")</f>
        <v/>
      </c>
      <c r="C945" s="74"/>
      <c r="D945" s="74"/>
      <c r="G945" s="1"/>
      <c r="K945" s="42"/>
      <c r="L945" t="str" cm="1">
        <f t="array" ref="L945">IF($K945="","",_xlfn.SWITCH($I945,"Computer",_xlfn.XLOOKUP($K945&amp;"",COMPUTER!$B$3:$B$1009&amp;"",COMPUTER!$I$3:$I$1009,""),"Display",_xlfn.XLOOKUP($K945&amp;"",DISPLAY!$B$3:$B$1000&amp;"",DISPLAY!$J$3:$J$1000,""),"Network Device",_xlfn.XLOOKUP($K945&amp;"",'NETWORK-DEVICES'!$B$3:$B$987&amp;"",'NETWORK-DEVICES'!$I$3:$I$987,""),"Peripheral",_xlfn.XLOOKUP($K945&amp;"",PERIPHERAL!$B$3:$B$954&amp;"",PERIPHERAL!$I$3:$I$954,""),"Utilities",_xlfn.XLOOKUP($K945&amp;"",UTILITIES!$B$3:$B$953&amp;"",UTILITIES!$H$3:$H$953,""),"IOT",_xlfn.XLOOKUP($K945&amp;"",IOT!$B$3:$B$1012&amp;"",IOT!$I$3:$I$1012,""),"SERVER",_xlfn.XLOOKUP($K945&amp;"",SERVER!$B$3:$B$1009&amp;"",SERVER!$I$3:$I$1009,""),""))</f>
        <v/>
      </c>
      <c r="M945" t="str" cm="1">
        <f t="array" ref="M945">IF($K945="","",_xlfn.SWITCH($I945,"Computer",_xlfn.XLOOKUP($K945&amp;"",COMPUTER!$B$3:$B$1009&amp;"",COMPUTER!$J$3:$J$1009,""),"Display",_xlfn.XLOOKUP($K945&amp;"",DISPLAY!$B$3:$B$1000&amp;"",DISPLAY!$K$3:$K$1000,""),"Network Device",_xlfn.XLOOKUP($K945&amp;"",'NETWORK-DEVICES'!$B$3:$B$987&amp;"",'NETWORK-DEVICES'!$I$3:$I$987,""),"Peripheral",_xlfn.XLOOKUP($K945&amp;"",PERIPHERAL!$B$3:$B$954&amp;"",PERIPHERAL!$J$3:$J$954,""),"Utilities",_xlfn.XLOOKUP($K945&amp;"",UTILITIES!$B$3:$B$953&amp;"",UTILITIES!$I$3:$I$953,""),"IOT",_xlfn.XLOOKUP($K945&amp;"",IOT!$B$3:$B$1012&amp;"",IOT!$J$3:$J$1012,""),"Server",_xlfn.XLOOKUP($K945&amp;"",SERVER!$B$3:$B$1009&amp;"",SERVER!$J$3:$J$1009,""),""))</f>
        <v/>
      </c>
      <c r="N945" s="1" t="str" cm="1">
        <f t="array" ref="N945">IF(OR($K945="",$I945="",$J945=""),"",_xlfn.LET(_xlpm.srcCat,_xlfn.SWITCH($I945,"Computer",_xlfn.XLOOKUP($K945&amp;"",COMPUTER!$B$3:$B$1009&amp;"",COMPUTER!$H$3:$H$1009,""),"Display",_xlfn.XLOOKUP($K945&amp;"",DISPLAY!$B$3:$B$1000&amp;"",DISPLAY!$H$3:$H$1000,""),"Network Device",_xlfn.XLOOKUP($K945&amp;"",'NETWORK-DEVICES'!$B$3:$B$987&amp;"",'NETWORK-DEVICES'!$H$3:$H$987,""),"Peripheral",_xlfn.XLOOKUP($K945&amp;"",PERIPHERAL!$B$3:$B$954&amp;"",PERIPHERAL!$H$3:$H$954,""),"Utilities",_xlfn.XLOOKUP($K945&amp;"",UTILITIES!$B$3:$B$953&amp;"",UTILITIES!$G$3:$G$953,""),"IOT",_xlfn.XLOOKUP($K945&amp;"",IOT!$B$3:$B$1012&amp;"",IOT!$H$3:$H$1012,""),"Server",_xlfn.XLOOKUP($K945&amp;"",SERVER!$B$3:$B$1009&amp;"",SERVER!$H$3:$H$1009,""),""),IF(TRIM(_xlpm.srcCat)&lt;&gt;TRIM($J945),"",_xlfn.SWITCH($I945,"Computer",_xlfn.XLOOKUP($K945&amp;"",COMPUTER!$B$3:$B$1009&amp;"",COMPUTER!$K$3:$K$1009,""),"Display",_xlfn.XLOOKUP($K945&amp;"",DISPLAY!$B$3:$B$1000&amp;"",DISPLAY!$L$3:$L$1000,""),"Network Device",_xlfn.XLOOKUP($K945&amp;"",'NETWORK-DEVICES'!$B$3:$B$987&amp;"",'NETWORK-DEVICES'!$K$3:$K$987,""),"Peripheral",_xlfn.XLOOKUP($K945&amp;"",PERIPHERAL!$B$3:$B$954&amp;"",PERIPHERAL!$K$3:$K$954,""),"Utilities",_xlfn.XLOOKUP($K945&amp;"",UTILITIES!$B$3:$B$953&amp;"",UTILITIES!$J$3:$J$953,""),"IOT",_xlfn.XLOOKUP($K945&amp;"",IOT!$B$3:$B$1012&amp;"",IOT!$K$4:$K$1012,""),"Server",_xlfn.XLOOKUP($K945&amp;"",SERVER!$B$3:$B$1009&amp;"",SERVER!$K$3:$K$1009,""),""))))</f>
        <v/>
      </c>
      <c r="O945" s="1" t="str" cm="1">
        <f t="array" ref="O945">IF(OR($K945="",$I945="",$J945=""),"",_xlfn.LET(_xlpm.srcCat,_xlfn.SWITCH($I945,"Computer",_xlfn.XLOOKUP($K945&amp;"",COMPUTER!$B$3:$B$1009&amp;"",COMPUTER!$H$3:$H$1009,""),"Display",_xlfn.XLOOKUP($K945&amp;"",DISPLAY!$B$3:$B$1000&amp;"",DISPLAY!$H$3:$H$1000,""),"Network Device",_xlfn.XLOOKUP($K945&amp;"",'NETWORK-DEVICES'!$B$3:$B$987&amp;"",'NETWORK-DEVICES'!$H$3:$H$987,""),"Peripheral",_xlfn.XLOOKUP($K945&amp;"",PERIPHERAL!$B$3:$B$954&amp;"",PERIPHERAL!$H$3:$H$954,""),"Utilities",_xlfn.XLOOKUP($K945&amp;"",UTILITIES!$B$3:$B$953&amp;"",UTILITIES!$G$3:$G$953,""),"IOT",_xlfn.XLOOKUP($K945&amp;"",IOT!$B$3:$B$1012&amp;"",IOT!$H$3:$H$1012,""),"Server",_xlfn.XLOOKUP($K945&amp;"",SERVER!$B$3:$B$1009&amp;"",SERVER!$H$3:$H$1009,""),""),IF(TRIM(_xlpm.srcCat)&lt;&gt;TRIM($J945),"",_xlfn.SWITCH($I945,"Computer",_xlfn.XLOOKUP($K945&amp;"",COMPUTER!$B$3:$B$1009&amp;"",COMPUTER!$E$3:$E$1009,""),"Display",_xlfn.XLOOKUP($K945&amp;"",DISPLAY!$B$3:$B$1000&amp;"",DISPLAY!$E$3:$E$1000,""),"Network Device",_xlfn.XLOOKUP($K945&amp;"",'NETWORK-DEVICES'!$B$3:$B$987&amp;"",'NETWORK-DEVICES'!$E$3:$E$987,""),"Peripheral",_xlfn.XLOOKUP($K945&amp;"",PERIPHERAL!$B$3:$B$954&amp;"",PERIPHERAL!$E$3:$E$954,""),"Utilities",_xlfn.XLOOKUP($K945&amp;"",UTILITIES!$B$3:$B$953&amp;"",UTILITIES!$E$3:$E$953,""),"IOT",_xlfn.XLOOKUP($K945&amp;"",IOT!$B$3:$B$1012&amp;"",IOT!$E$3:$E$1012,""),"Server",_xlfn.XLOOKUP($K945&amp;"",SERVER!$B$3:$B$1009&amp;"",SERVER!$E$3:$E$1009,""),""))))</f>
        <v/>
      </c>
      <c r="Q945" s="1" t="str" cm="1">
        <f t="array" ref="Q945">IF(OR($K945="",$I945="",$J945=""),"",_xlfn.LET(_xlpm.srcCat,_xlfn.SWITCH($I945,"Computer",_xlfn.XLOOKUP($K945&amp;"",COMPUTER!$B$3:$B$1009&amp;"",COMPUTER!$H$3:$H$1009,""),"Display",_xlfn.XLOOKUP($K945&amp;"",DISPLAY!$B$3:$B$1000&amp;"",DISPLAY!$H$3:$H$1000,""),"Network Device",_xlfn.XLOOKUP($K945&amp;"",'NETWORK-DEVICES'!$B$3:$B$987&amp;"",'NETWORK-DEVICES'!$H$3:$H$987,""),"Peripheral",_xlfn.XLOOKUP($K945&amp;"",PERIPHERAL!$B$3:$B$954&amp;"",PERIPHERAL!$H$3:$H$954,""),"Utilities",_xlfn.XLOOKUP($K945&amp;"",UTILITIES!$B$3:$B$953&amp;"",UTILITIES!$G$3:$G$953,""),"IOT",_xlfn.XLOOKUP($K945&amp;"",IOT!$B$3:$B$1012&amp;"",IOT!$H$3:$H$1012,""),"Server",_xlfn.XLOOKUP($K945&amp;"",SERVER!$B$3:$B$1009&amp;"",SERVER!$H$3:$H$1009,""),""),IF(TRIM(_xlpm.srcCat)&lt;&gt;TRIM($J945),"",_xlfn.SWITCH($I945,"Computer",_xlfn.XLOOKUP($K945&amp;"",COMPUTER!$B$3:$B$1009&amp;"",COMPUTER!$AM$3:$AM$1009,""),"Display",_xlfn.XLOOKUP($K945&amp;"",DISPLAY!$B$3:$B$1000&amp;"",DISPLAY!$V$3:$V$1000,""),"Network Device",_xlfn.XLOOKUP($K945&amp;"",'NETWORK-DEVICES'!$B$3:$B$987&amp;"",'NETWORK-DEVICES'!$AF$3:$AF$987,""),"Peripheral",_xlfn.XLOOKUP($K945&amp;"",PERIPHERAL!$B$3:$B$954&amp;"",PERIPHERAL!$Y$3:$Y$954,""),"Utilities",_xlfn.XLOOKUP($K945&amp;"",UTILITIES!$B$3:$B$953&amp;"",UTILITIES!$O$3:$O$953,""),"IOT",_xlfn.XLOOKUP($K945&amp;"",IOT!$B$3:$B$1012&amp;"",IOT!$AB$3:$AB$1012,""),"Server",_xlfn.XLOOKUP($K945&amp;"",SERVER!$B$3:$B$1009&amp;"",SERVER!$AB$3:$AB$1009,""),""))))</f>
        <v/>
      </c>
      <c r="R945" s="43" t="str">
        <f>IF(tbl_handover[[#This Row],[Asset Code]]="","",COUNTIF(tbl_handover[Asset Code],tbl_handover[[#This Row],[Asset Code]]))</f>
        <v/>
      </c>
    </row>
    <row r="946" spans="1:18" x14ac:dyDescent="0.25">
      <c r="A946" s="43" t="str">
        <f>IF(B946&lt;&gt;"",SUBTOTAL(3,$B$1:B945),"")</f>
        <v/>
      </c>
      <c r="C946" s="74"/>
      <c r="D946" s="74"/>
      <c r="G946" s="1"/>
      <c r="K946" s="42"/>
      <c r="L946" t="str" cm="1">
        <f t="array" ref="L946">IF($K946="","",_xlfn.SWITCH($I946,"Computer",_xlfn.XLOOKUP($K946&amp;"",COMPUTER!$B$3:$B$1009&amp;"",COMPUTER!$I$3:$I$1009,""),"Display",_xlfn.XLOOKUP($K946&amp;"",DISPLAY!$B$3:$B$1000&amp;"",DISPLAY!$J$3:$J$1000,""),"Network Device",_xlfn.XLOOKUP($K946&amp;"",'NETWORK-DEVICES'!$B$3:$B$987&amp;"",'NETWORK-DEVICES'!$I$3:$I$987,""),"Peripheral",_xlfn.XLOOKUP($K946&amp;"",PERIPHERAL!$B$3:$B$954&amp;"",PERIPHERAL!$I$3:$I$954,""),"Utilities",_xlfn.XLOOKUP($K946&amp;"",UTILITIES!$B$3:$B$953&amp;"",UTILITIES!$H$3:$H$953,""),"IOT",_xlfn.XLOOKUP($K946&amp;"",IOT!$B$3:$B$1012&amp;"",IOT!$I$3:$I$1012,""),"SERVER",_xlfn.XLOOKUP($K946&amp;"",SERVER!$B$3:$B$1009&amp;"",SERVER!$I$3:$I$1009,""),""))</f>
        <v/>
      </c>
      <c r="M946" t="str" cm="1">
        <f t="array" ref="M946">IF($K946="","",_xlfn.SWITCH($I946,"Computer",_xlfn.XLOOKUP($K946&amp;"",COMPUTER!$B$3:$B$1009&amp;"",COMPUTER!$J$3:$J$1009,""),"Display",_xlfn.XLOOKUP($K946&amp;"",DISPLAY!$B$3:$B$1000&amp;"",DISPLAY!$K$3:$K$1000,""),"Network Device",_xlfn.XLOOKUP($K946&amp;"",'NETWORK-DEVICES'!$B$3:$B$987&amp;"",'NETWORK-DEVICES'!$I$3:$I$987,""),"Peripheral",_xlfn.XLOOKUP($K946&amp;"",PERIPHERAL!$B$3:$B$954&amp;"",PERIPHERAL!$J$3:$J$954,""),"Utilities",_xlfn.XLOOKUP($K946&amp;"",UTILITIES!$B$3:$B$953&amp;"",UTILITIES!$I$3:$I$953,""),"IOT",_xlfn.XLOOKUP($K946&amp;"",IOT!$B$3:$B$1012&amp;"",IOT!$J$3:$J$1012,""),"Server",_xlfn.XLOOKUP($K946&amp;"",SERVER!$B$3:$B$1009&amp;"",SERVER!$J$3:$J$1009,""),""))</f>
        <v/>
      </c>
      <c r="N946" s="1" t="str" cm="1">
        <f t="array" ref="N946">IF(OR($K946="",$I946="",$J946=""),"",_xlfn.LET(_xlpm.srcCat,_xlfn.SWITCH($I946,"Computer",_xlfn.XLOOKUP($K946&amp;"",COMPUTER!$B$3:$B$1009&amp;"",COMPUTER!$H$3:$H$1009,""),"Display",_xlfn.XLOOKUP($K946&amp;"",DISPLAY!$B$3:$B$1000&amp;"",DISPLAY!$H$3:$H$1000,""),"Network Device",_xlfn.XLOOKUP($K946&amp;"",'NETWORK-DEVICES'!$B$3:$B$987&amp;"",'NETWORK-DEVICES'!$H$3:$H$987,""),"Peripheral",_xlfn.XLOOKUP($K946&amp;"",PERIPHERAL!$B$3:$B$954&amp;"",PERIPHERAL!$H$3:$H$954,""),"Utilities",_xlfn.XLOOKUP($K946&amp;"",UTILITIES!$B$3:$B$953&amp;"",UTILITIES!$G$3:$G$953,""),"IOT",_xlfn.XLOOKUP($K946&amp;"",IOT!$B$3:$B$1012&amp;"",IOT!$H$3:$H$1012,""),"Server",_xlfn.XLOOKUP($K946&amp;"",SERVER!$B$3:$B$1009&amp;"",SERVER!$H$3:$H$1009,""),""),IF(TRIM(_xlpm.srcCat)&lt;&gt;TRIM($J946),"",_xlfn.SWITCH($I946,"Computer",_xlfn.XLOOKUP($K946&amp;"",COMPUTER!$B$3:$B$1009&amp;"",COMPUTER!$K$3:$K$1009,""),"Display",_xlfn.XLOOKUP($K946&amp;"",DISPLAY!$B$3:$B$1000&amp;"",DISPLAY!$L$3:$L$1000,""),"Network Device",_xlfn.XLOOKUP($K946&amp;"",'NETWORK-DEVICES'!$B$3:$B$987&amp;"",'NETWORK-DEVICES'!$K$3:$K$987,""),"Peripheral",_xlfn.XLOOKUP($K946&amp;"",PERIPHERAL!$B$3:$B$954&amp;"",PERIPHERAL!$K$3:$K$954,""),"Utilities",_xlfn.XLOOKUP($K946&amp;"",UTILITIES!$B$3:$B$953&amp;"",UTILITIES!$J$3:$J$953,""),"IOT",_xlfn.XLOOKUP($K946&amp;"",IOT!$B$3:$B$1012&amp;"",IOT!$K$4:$K$1012,""),"Server",_xlfn.XLOOKUP($K946&amp;"",SERVER!$B$3:$B$1009&amp;"",SERVER!$K$3:$K$1009,""),""))))</f>
        <v/>
      </c>
      <c r="O946" s="1" t="str" cm="1">
        <f t="array" ref="O946">IF(OR($K946="",$I946="",$J946=""),"",_xlfn.LET(_xlpm.srcCat,_xlfn.SWITCH($I946,"Computer",_xlfn.XLOOKUP($K946&amp;"",COMPUTER!$B$3:$B$1009&amp;"",COMPUTER!$H$3:$H$1009,""),"Display",_xlfn.XLOOKUP($K946&amp;"",DISPLAY!$B$3:$B$1000&amp;"",DISPLAY!$H$3:$H$1000,""),"Network Device",_xlfn.XLOOKUP($K946&amp;"",'NETWORK-DEVICES'!$B$3:$B$987&amp;"",'NETWORK-DEVICES'!$H$3:$H$987,""),"Peripheral",_xlfn.XLOOKUP($K946&amp;"",PERIPHERAL!$B$3:$B$954&amp;"",PERIPHERAL!$H$3:$H$954,""),"Utilities",_xlfn.XLOOKUP($K946&amp;"",UTILITIES!$B$3:$B$953&amp;"",UTILITIES!$G$3:$G$953,""),"IOT",_xlfn.XLOOKUP($K946&amp;"",IOT!$B$3:$B$1012&amp;"",IOT!$H$3:$H$1012,""),"Server",_xlfn.XLOOKUP($K946&amp;"",SERVER!$B$3:$B$1009&amp;"",SERVER!$H$3:$H$1009,""),""),IF(TRIM(_xlpm.srcCat)&lt;&gt;TRIM($J946),"",_xlfn.SWITCH($I946,"Computer",_xlfn.XLOOKUP($K946&amp;"",COMPUTER!$B$3:$B$1009&amp;"",COMPUTER!$E$3:$E$1009,""),"Display",_xlfn.XLOOKUP($K946&amp;"",DISPLAY!$B$3:$B$1000&amp;"",DISPLAY!$E$3:$E$1000,""),"Network Device",_xlfn.XLOOKUP($K946&amp;"",'NETWORK-DEVICES'!$B$3:$B$987&amp;"",'NETWORK-DEVICES'!$E$3:$E$987,""),"Peripheral",_xlfn.XLOOKUP($K946&amp;"",PERIPHERAL!$B$3:$B$954&amp;"",PERIPHERAL!$E$3:$E$954,""),"Utilities",_xlfn.XLOOKUP($K946&amp;"",UTILITIES!$B$3:$B$953&amp;"",UTILITIES!$E$3:$E$953,""),"IOT",_xlfn.XLOOKUP($K946&amp;"",IOT!$B$3:$B$1012&amp;"",IOT!$E$3:$E$1012,""),"Server",_xlfn.XLOOKUP($K946&amp;"",SERVER!$B$3:$B$1009&amp;"",SERVER!$E$3:$E$1009,""),""))))</f>
        <v/>
      </c>
      <c r="Q946" s="1" t="str" cm="1">
        <f t="array" ref="Q946">IF(OR($K946="",$I946="",$J946=""),"",_xlfn.LET(_xlpm.srcCat,_xlfn.SWITCH($I946,"Computer",_xlfn.XLOOKUP($K946&amp;"",COMPUTER!$B$3:$B$1009&amp;"",COMPUTER!$H$3:$H$1009,""),"Display",_xlfn.XLOOKUP($K946&amp;"",DISPLAY!$B$3:$B$1000&amp;"",DISPLAY!$H$3:$H$1000,""),"Network Device",_xlfn.XLOOKUP($K946&amp;"",'NETWORK-DEVICES'!$B$3:$B$987&amp;"",'NETWORK-DEVICES'!$H$3:$H$987,""),"Peripheral",_xlfn.XLOOKUP($K946&amp;"",PERIPHERAL!$B$3:$B$954&amp;"",PERIPHERAL!$H$3:$H$954,""),"Utilities",_xlfn.XLOOKUP($K946&amp;"",UTILITIES!$B$3:$B$953&amp;"",UTILITIES!$G$3:$G$953,""),"IOT",_xlfn.XLOOKUP($K946&amp;"",IOT!$B$3:$B$1012&amp;"",IOT!$H$3:$H$1012,""),"Server",_xlfn.XLOOKUP($K946&amp;"",SERVER!$B$3:$B$1009&amp;"",SERVER!$H$3:$H$1009,""),""),IF(TRIM(_xlpm.srcCat)&lt;&gt;TRIM($J946),"",_xlfn.SWITCH($I946,"Computer",_xlfn.XLOOKUP($K946&amp;"",COMPUTER!$B$3:$B$1009&amp;"",COMPUTER!$AM$3:$AM$1009,""),"Display",_xlfn.XLOOKUP($K946&amp;"",DISPLAY!$B$3:$B$1000&amp;"",DISPLAY!$V$3:$V$1000,""),"Network Device",_xlfn.XLOOKUP($K946&amp;"",'NETWORK-DEVICES'!$B$3:$B$987&amp;"",'NETWORK-DEVICES'!$AF$3:$AF$987,""),"Peripheral",_xlfn.XLOOKUP($K946&amp;"",PERIPHERAL!$B$3:$B$954&amp;"",PERIPHERAL!$Y$3:$Y$954,""),"Utilities",_xlfn.XLOOKUP($K946&amp;"",UTILITIES!$B$3:$B$953&amp;"",UTILITIES!$O$3:$O$953,""),"IOT",_xlfn.XLOOKUP($K946&amp;"",IOT!$B$3:$B$1012&amp;"",IOT!$AB$3:$AB$1012,""),"Server",_xlfn.XLOOKUP($K946&amp;"",SERVER!$B$3:$B$1009&amp;"",SERVER!$AB$3:$AB$1009,""),""))))</f>
        <v/>
      </c>
      <c r="R946" s="43" t="str">
        <f>IF(tbl_handover[[#This Row],[Asset Code]]="","",COUNTIF(tbl_handover[Asset Code],tbl_handover[[#This Row],[Asset Code]]))</f>
        <v/>
      </c>
    </row>
    <row r="947" spans="1:18" x14ac:dyDescent="0.25">
      <c r="A947" s="43" t="str">
        <f>IF(B947&lt;&gt;"",SUBTOTAL(3,$B$1:B946),"")</f>
        <v/>
      </c>
      <c r="C947" s="74"/>
      <c r="D947" s="74"/>
      <c r="G947" s="1"/>
      <c r="K947" s="42"/>
      <c r="L947" t="str" cm="1">
        <f t="array" ref="L947">IF($K947="","",_xlfn.SWITCH($I947,"Computer",_xlfn.XLOOKUP($K947&amp;"",COMPUTER!$B$3:$B$1009&amp;"",COMPUTER!$I$3:$I$1009,""),"Display",_xlfn.XLOOKUP($K947&amp;"",DISPLAY!$B$3:$B$1000&amp;"",DISPLAY!$J$3:$J$1000,""),"Network Device",_xlfn.XLOOKUP($K947&amp;"",'NETWORK-DEVICES'!$B$3:$B$987&amp;"",'NETWORK-DEVICES'!$I$3:$I$987,""),"Peripheral",_xlfn.XLOOKUP($K947&amp;"",PERIPHERAL!$B$3:$B$954&amp;"",PERIPHERAL!$I$3:$I$954,""),"Utilities",_xlfn.XLOOKUP($K947&amp;"",UTILITIES!$B$3:$B$953&amp;"",UTILITIES!$H$3:$H$953,""),"IOT",_xlfn.XLOOKUP($K947&amp;"",IOT!$B$3:$B$1012&amp;"",IOT!$I$3:$I$1012,""),"SERVER",_xlfn.XLOOKUP($K947&amp;"",SERVER!$B$3:$B$1009&amp;"",SERVER!$I$3:$I$1009,""),""))</f>
        <v/>
      </c>
      <c r="M947" t="str" cm="1">
        <f t="array" ref="M947">IF($K947="","",_xlfn.SWITCH($I947,"Computer",_xlfn.XLOOKUP($K947&amp;"",COMPUTER!$B$3:$B$1009&amp;"",COMPUTER!$J$3:$J$1009,""),"Display",_xlfn.XLOOKUP($K947&amp;"",DISPLAY!$B$3:$B$1000&amp;"",DISPLAY!$K$3:$K$1000,""),"Network Device",_xlfn.XLOOKUP($K947&amp;"",'NETWORK-DEVICES'!$B$3:$B$987&amp;"",'NETWORK-DEVICES'!$I$3:$I$987,""),"Peripheral",_xlfn.XLOOKUP($K947&amp;"",PERIPHERAL!$B$3:$B$954&amp;"",PERIPHERAL!$J$3:$J$954,""),"Utilities",_xlfn.XLOOKUP($K947&amp;"",UTILITIES!$B$3:$B$953&amp;"",UTILITIES!$I$3:$I$953,""),"IOT",_xlfn.XLOOKUP($K947&amp;"",IOT!$B$3:$B$1012&amp;"",IOT!$J$3:$J$1012,""),"Server",_xlfn.XLOOKUP($K947&amp;"",SERVER!$B$3:$B$1009&amp;"",SERVER!$J$3:$J$1009,""),""))</f>
        <v/>
      </c>
      <c r="N947" s="1" t="str" cm="1">
        <f t="array" ref="N947">IF(OR($K947="",$I947="",$J947=""),"",_xlfn.LET(_xlpm.srcCat,_xlfn.SWITCH($I947,"Computer",_xlfn.XLOOKUP($K947&amp;"",COMPUTER!$B$3:$B$1009&amp;"",COMPUTER!$H$3:$H$1009,""),"Display",_xlfn.XLOOKUP($K947&amp;"",DISPLAY!$B$3:$B$1000&amp;"",DISPLAY!$H$3:$H$1000,""),"Network Device",_xlfn.XLOOKUP($K947&amp;"",'NETWORK-DEVICES'!$B$3:$B$987&amp;"",'NETWORK-DEVICES'!$H$3:$H$987,""),"Peripheral",_xlfn.XLOOKUP($K947&amp;"",PERIPHERAL!$B$3:$B$954&amp;"",PERIPHERAL!$H$3:$H$954,""),"Utilities",_xlfn.XLOOKUP($K947&amp;"",UTILITIES!$B$3:$B$953&amp;"",UTILITIES!$G$3:$G$953,""),"IOT",_xlfn.XLOOKUP($K947&amp;"",IOT!$B$3:$B$1012&amp;"",IOT!$H$3:$H$1012,""),"Server",_xlfn.XLOOKUP($K947&amp;"",SERVER!$B$3:$B$1009&amp;"",SERVER!$H$3:$H$1009,""),""),IF(TRIM(_xlpm.srcCat)&lt;&gt;TRIM($J947),"",_xlfn.SWITCH($I947,"Computer",_xlfn.XLOOKUP($K947&amp;"",COMPUTER!$B$3:$B$1009&amp;"",COMPUTER!$K$3:$K$1009,""),"Display",_xlfn.XLOOKUP($K947&amp;"",DISPLAY!$B$3:$B$1000&amp;"",DISPLAY!$L$3:$L$1000,""),"Network Device",_xlfn.XLOOKUP($K947&amp;"",'NETWORK-DEVICES'!$B$3:$B$987&amp;"",'NETWORK-DEVICES'!$K$3:$K$987,""),"Peripheral",_xlfn.XLOOKUP($K947&amp;"",PERIPHERAL!$B$3:$B$954&amp;"",PERIPHERAL!$K$3:$K$954,""),"Utilities",_xlfn.XLOOKUP($K947&amp;"",UTILITIES!$B$3:$B$953&amp;"",UTILITIES!$J$3:$J$953,""),"IOT",_xlfn.XLOOKUP($K947&amp;"",IOT!$B$3:$B$1012&amp;"",IOT!$K$4:$K$1012,""),"Server",_xlfn.XLOOKUP($K947&amp;"",SERVER!$B$3:$B$1009&amp;"",SERVER!$K$3:$K$1009,""),""))))</f>
        <v/>
      </c>
      <c r="O947" s="1" t="str" cm="1">
        <f t="array" ref="O947">IF(OR($K947="",$I947="",$J947=""),"",_xlfn.LET(_xlpm.srcCat,_xlfn.SWITCH($I947,"Computer",_xlfn.XLOOKUP($K947&amp;"",COMPUTER!$B$3:$B$1009&amp;"",COMPUTER!$H$3:$H$1009,""),"Display",_xlfn.XLOOKUP($K947&amp;"",DISPLAY!$B$3:$B$1000&amp;"",DISPLAY!$H$3:$H$1000,""),"Network Device",_xlfn.XLOOKUP($K947&amp;"",'NETWORK-DEVICES'!$B$3:$B$987&amp;"",'NETWORK-DEVICES'!$H$3:$H$987,""),"Peripheral",_xlfn.XLOOKUP($K947&amp;"",PERIPHERAL!$B$3:$B$954&amp;"",PERIPHERAL!$H$3:$H$954,""),"Utilities",_xlfn.XLOOKUP($K947&amp;"",UTILITIES!$B$3:$B$953&amp;"",UTILITIES!$G$3:$G$953,""),"IOT",_xlfn.XLOOKUP($K947&amp;"",IOT!$B$3:$B$1012&amp;"",IOT!$H$3:$H$1012,""),"Server",_xlfn.XLOOKUP($K947&amp;"",SERVER!$B$3:$B$1009&amp;"",SERVER!$H$3:$H$1009,""),""),IF(TRIM(_xlpm.srcCat)&lt;&gt;TRIM($J947),"",_xlfn.SWITCH($I947,"Computer",_xlfn.XLOOKUP($K947&amp;"",COMPUTER!$B$3:$B$1009&amp;"",COMPUTER!$E$3:$E$1009,""),"Display",_xlfn.XLOOKUP($K947&amp;"",DISPLAY!$B$3:$B$1000&amp;"",DISPLAY!$E$3:$E$1000,""),"Network Device",_xlfn.XLOOKUP($K947&amp;"",'NETWORK-DEVICES'!$B$3:$B$987&amp;"",'NETWORK-DEVICES'!$E$3:$E$987,""),"Peripheral",_xlfn.XLOOKUP($K947&amp;"",PERIPHERAL!$B$3:$B$954&amp;"",PERIPHERAL!$E$3:$E$954,""),"Utilities",_xlfn.XLOOKUP($K947&amp;"",UTILITIES!$B$3:$B$953&amp;"",UTILITIES!$E$3:$E$953,""),"IOT",_xlfn.XLOOKUP($K947&amp;"",IOT!$B$3:$B$1012&amp;"",IOT!$E$3:$E$1012,""),"Server",_xlfn.XLOOKUP($K947&amp;"",SERVER!$B$3:$B$1009&amp;"",SERVER!$E$3:$E$1009,""),""))))</f>
        <v/>
      </c>
      <c r="Q947" s="1" t="str" cm="1">
        <f t="array" ref="Q947">IF(OR($K947="",$I947="",$J947=""),"",_xlfn.LET(_xlpm.srcCat,_xlfn.SWITCH($I947,"Computer",_xlfn.XLOOKUP($K947&amp;"",COMPUTER!$B$3:$B$1009&amp;"",COMPUTER!$H$3:$H$1009,""),"Display",_xlfn.XLOOKUP($K947&amp;"",DISPLAY!$B$3:$B$1000&amp;"",DISPLAY!$H$3:$H$1000,""),"Network Device",_xlfn.XLOOKUP($K947&amp;"",'NETWORK-DEVICES'!$B$3:$B$987&amp;"",'NETWORK-DEVICES'!$H$3:$H$987,""),"Peripheral",_xlfn.XLOOKUP($K947&amp;"",PERIPHERAL!$B$3:$B$954&amp;"",PERIPHERAL!$H$3:$H$954,""),"Utilities",_xlfn.XLOOKUP($K947&amp;"",UTILITIES!$B$3:$B$953&amp;"",UTILITIES!$G$3:$G$953,""),"IOT",_xlfn.XLOOKUP($K947&amp;"",IOT!$B$3:$B$1012&amp;"",IOT!$H$3:$H$1012,""),"Server",_xlfn.XLOOKUP($K947&amp;"",SERVER!$B$3:$B$1009&amp;"",SERVER!$H$3:$H$1009,""),""),IF(TRIM(_xlpm.srcCat)&lt;&gt;TRIM($J947),"",_xlfn.SWITCH($I947,"Computer",_xlfn.XLOOKUP($K947&amp;"",COMPUTER!$B$3:$B$1009&amp;"",COMPUTER!$AM$3:$AM$1009,""),"Display",_xlfn.XLOOKUP($K947&amp;"",DISPLAY!$B$3:$B$1000&amp;"",DISPLAY!$V$3:$V$1000,""),"Network Device",_xlfn.XLOOKUP($K947&amp;"",'NETWORK-DEVICES'!$B$3:$B$987&amp;"",'NETWORK-DEVICES'!$AF$3:$AF$987,""),"Peripheral",_xlfn.XLOOKUP($K947&amp;"",PERIPHERAL!$B$3:$B$954&amp;"",PERIPHERAL!$Y$3:$Y$954,""),"Utilities",_xlfn.XLOOKUP($K947&amp;"",UTILITIES!$B$3:$B$953&amp;"",UTILITIES!$O$3:$O$953,""),"IOT",_xlfn.XLOOKUP($K947&amp;"",IOT!$B$3:$B$1012&amp;"",IOT!$AB$3:$AB$1012,""),"Server",_xlfn.XLOOKUP($K947&amp;"",SERVER!$B$3:$B$1009&amp;"",SERVER!$AB$3:$AB$1009,""),""))))</f>
        <v/>
      </c>
      <c r="R947" s="43" t="str">
        <f>IF(tbl_handover[[#This Row],[Asset Code]]="","",COUNTIF(tbl_handover[Asset Code],tbl_handover[[#This Row],[Asset Code]]))</f>
        <v/>
      </c>
    </row>
    <row r="948" spans="1:18" x14ac:dyDescent="0.25">
      <c r="A948" s="43" t="str">
        <f>IF(B948&lt;&gt;"",SUBTOTAL(3,$B$1:B947),"")</f>
        <v/>
      </c>
      <c r="C948" s="74"/>
      <c r="D948" s="74"/>
      <c r="G948" s="1"/>
      <c r="K948" s="42"/>
      <c r="L948" t="str" cm="1">
        <f t="array" ref="L948">IF($K948="","",_xlfn.SWITCH($I948,"Computer",_xlfn.XLOOKUP($K948&amp;"",COMPUTER!$B$3:$B$1009&amp;"",COMPUTER!$I$3:$I$1009,""),"Display",_xlfn.XLOOKUP($K948&amp;"",DISPLAY!$B$3:$B$1000&amp;"",DISPLAY!$J$3:$J$1000,""),"Network Device",_xlfn.XLOOKUP($K948&amp;"",'NETWORK-DEVICES'!$B$3:$B$987&amp;"",'NETWORK-DEVICES'!$I$3:$I$987,""),"Peripheral",_xlfn.XLOOKUP($K948&amp;"",PERIPHERAL!$B$3:$B$954&amp;"",PERIPHERAL!$I$3:$I$954,""),"Utilities",_xlfn.XLOOKUP($K948&amp;"",UTILITIES!$B$3:$B$953&amp;"",UTILITIES!$H$3:$H$953,""),"IOT",_xlfn.XLOOKUP($K948&amp;"",IOT!$B$3:$B$1012&amp;"",IOT!$I$3:$I$1012,""),"SERVER",_xlfn.XLOOKUP($K948&amp;"",SERVER!$B$3:$B$1009&amp;"",SERVER!$I$3:$I$1009,""),""))</f>
        <v/>
      </c>
      <c r="M948" t="str" cm="1">
        <f t="array" ref="M948">IF($K948="","",_xlfn.SWITCH($I948,"Computer",_xlfn.XLOOKUP($K948&amp;"",COMPUTER!$B$3:$B$1009&amp;"",COMPUTER!$J$3:$J$1009,""),"Display",_xlfn.XLOOKUP($K948&amp;"",DISPLAY!$B$3:$B$1000&amp;"",DISPLAY!$K$3:$K$1000,""),"Network Device",_xlfn.XLOOKUP($K948&amp;"",'NETWORK-DEVICES'!$B$3:$B$987&amp;"",'NETWORK-DEVICES'!$I$3:$I$987,""),"Peripheral",_xlfn.XLOOKUP($K948&amp;"",PERIPHERAL!$B$3:$B$954&amp;"",PERIPHERAL!$J$3:$J$954,""),"Utilities",_xlfn.XLOOKUP($K948&amp;"",UTILITIES!$B$3:$B$953&amp;"",UTILITIES!$I$3:$I$953,""),"IOT",_xlfn.XLOOKUP($K948&amp;"",IOT!$B$3:$B$1012&amp;"",IOT!$J$3:$J$1012,""),"Server",_xlfn.XLOOKUP($K948&amp;"",SERVER!$B$3:$B$1009&amp;"",SERVER!$J$3:$J$1009,""),""))</f>
        <v/>
      </c>
      <c r="N948" s="1" t="str" cm="1">
        <f t="array" ref="N948">IF(OR($K948="",$I948="",$J948=""),"",_xlfn.LET(_xlpm.srcCat,_xlfn.SWITCH($I948,"Computer",_xlfn.XLOOKUP($K948&amp;"",COMPUTER!$B$3:$B$1009&amp;"",COMPUTER!$H$3:$H$1009,""),"Display",_xlfn.XLOOKUP($K948&amp;"",DISPLAY!$B$3:$B$1000&amp;"",DISPLAY!$H$3:$H$1000,""),"Network Device",_xlfn.XLOOKUP($K948&amp;"",'NETWORK-DEVICES'!$B$3:$B$987&amp;"",'NETWORK-DEVICES'!$H$3:$H$987,""),"Peripheral",_xlfn.XLOOKUP($K948&amp;"",PERIPHERAL!$B$3:$B$954&amp;"",PERIPHERAL!$H$3:$H$954,""),"Utilities",_xlfn.XLOOKUP($K948&amp;"",UTILITIES!$B$3:$B$953&amp;"",UTILITIES!$G$3:$G$953,""),"IOT",_xlfn.XLOOKUP($K948&amp;"",IOT!$B$3:$B$1012&amp;"",IOT!$H$3:$H$1012,""),"Server",_xlfn.XLOOKUP($K948&amp;"",SERVER!$B$3:$B$1009&amp;"",SERVER!$H$3:$H$1009,""),""),IF(TRIM(_xlpm.srcCat)&lt;&gt;TRIM($J948),"",_xlfn.SWITCH($I948,"Computer",_xlfn.XLOOKUP($K948&amp;"",COMPUTER!$B$3:$B$1009&amp;"",COMPUTER!$K$3:$K$1009,""),"Display",_xlfn.XLOOKUP($K948&amp;"",DISPLAY!$B$3:$B$1000&amp;"",DISPLAY!$L$3:$L$1000,""),"Network Device",_xlfn.XLOOKUP($K948&amp;"",'NETWORK-DEVICES'!$B$3:$B$987&amp;"",'NETWORK-DEVICES'!$K$3:$K$987,""),"Peripheral",_xlfn.XLOOKUP($K948&amp;"",PERIPHERAL!$B$3:$B$954&amp;"",PERIPHERAL!$K$3:$K$954,""),"Utilities",_xlfn.XLOOKUP($K948&amp;"",UTILITIES!$B$3:$B$953&amp;"",UTILITIES!$J$3:$J$953,""),"IOT",_xlfn.XLOOKUP($K948&amp;"",IOT!$B$3:$B$1012&amp;"",IOT!$K$4:$K$1012,""),"Server",_xlfn.XLOOKUP($K948&amp;"",SERVER!$B$3:$B$1009&amp;"",SERVER!$K$3:$K$1009,""),""))))</f>
        <v/>
      </c>
      <c r="O948" s="1" t="str" cm="1">
        <f t="array" ref="O948">IF(OR($K948="",$I948="",$J948=""),"",_xlfn.LET(_xlpm.srcCat,_xlfn.SWITCH($I948,"Computer",_xlfn.XLOOKUP($K948&amp;"",COMPUTER!$B$3:$B$1009&amp;"",COMPUTER!$H$3:$H$1009,""),"Display",_xlfn.XLOOKUP($K948&amp;"",DISPLAY!$B$3:$B$1000&amp;"",DISPLAY!$H$3:$H$1000,""),"Network Device",_xlfn.XLOOKUP($K948&amp;"",'NETWORK-DEVICES'!$B$3:$B$987&amp;"",'NETWORK-DEVICES'!$H$3:$H$987,""),"Peripheral",_xlfn.XLOOKUP($K948&amp;"",PERIPHERAL!$B$3:$B$954&amp;"",PERIPHERAL!$H$3:$H$954,""),"Utilities",_xlfn.XLOOKUP($K948&amp;"",UTILITIES!$B$3:$B$953&amp;"",UTILITIES!$G$3:$G$953,""),"IOT",_xlfn.XLOOKUP($K948&amp;"",IOT!$B$3:$B$1012&amp;"",IOT!$H$3:$H$1012,""),"Server",_xlfn.XLOOKUP($K948&amp;"",SERVER!$B$3:$B$1009&amp;"",SERVER!$H$3:$H$1009,""),""),IF(TRIM(_xlpm.srcCat)&lt;&gt;TRIM($J948),"",_xlfn.SWITCH($I948,"Computer",_xlfn.XLOOKUP($K948&amp;"",COMPUTER!$B$3:$B$1009&amp;"",COMPUTER!$E$3:$E$1009,""),"Display",_xlfn.XLOOKUP($K948&amp;"",DISPLAY!$B$3:$B$1000&amp;"",DISPLAY!$E$3:$E$1000,""),"Network Device",_xlfn.XLOOKUP($K948&amp;"",'NETWORK-DEVICES'!$B$3:$B$987&amp;"",'NETWORK-DEVICES'!$E$3:$E$987,""),"Peripheral",_xlfn.XLOOKUP($K948&amp;"",PERIPHERAL!$B$3:$B$954&amp;"",PERIPHERAL!$E$3:$E$954,""),"Utilities",_xlfn.XLOOKUP($K948&amp;"",UTILITIES!$B$3:$B$953&amp;"",UTILITIES!$E$3:$E$953,""),"IOT",_xlfn.XLOOKUP($K948&amp;"",IOT!$B$3:$B$1012&amp;"",IOT!$E$3:$E$1012,""),"Server",_xlfn.XLOOKUP($K948&amp;"",SERVER!$B$3:$B$1009&amp;"",SERVER!$E$3:$E$1009,""),""))))</f>
        <v/>
      </c>
      <c r="Q948" s="1" t="str" cm="1">
        <f t="array" ref="Q948">IF(OR($K948="",$I948="",$J948=""),"",_xlfn.LET(_xlpm.srcCat,_xlfn.SWITCH($I948,"Computer",_xlfn.XLOOKUP($K948&amp;"",COMPUTER!$B$3:$B$1009&amp;"",COMPUTER!$H$3:$H$1009,""),"Display",_xlfn.XLOOKUP($K948&amp;"",DISPLAY!$B$3:$B$1000&amp;"",DISPLAY!$H$3:$H$1000,""),"Network Device",_xlfn.XLOOKUP($K948&amp;"",'NETWORK-DEVICES'!$B$3:$B$987&amp;"",'NETWORK-DEVICES'!$H$3:$H$987,""),"Peripheral",_xlfn.XLOOKUP($K948&amp;"",PERIPHERAL!$B$3:$B$954&amp;"",PERIPHERAL!$H$3:$H$954,""),"Utilities",_xlfn.XLOOKUP($K948&amp;"",UTILITIES!$B$3:$B$953&amp;"",UTILITIES!$G$3:$G$953,""),"IOT",_xlfn.XLOOKUP($K948&amp;"",IOT!$B$3:$B$1012&amp;"",IOT!$H$3:$H$1012,""),"Server",_xlfn.XLOOKUP($K948&amp;"",SERVER!$B$3:$B$1009&amp;"",SERVER!$H$3:$H$1009,""),""),IF(TRIM(_xlpm.srcCat)&lt;&gt;TRIM($J948),"",_xlfn.SWITCH($I948,"Computer",_xlfn.XLOOKUP($K948&amp;"",COMPUTER!$B$3:$B$1009&amp;"",COMPUTER!$AM$3:$AM$1009,""),"Display",_xlfn.XLOOKUP($K948&amp;"",DISPLAY!$B$3:$B$1000&amp;"",DISPLAY!$V$3:$V$1000,""),"Network Device",_xlfn.XLOOKUP($K948&amp;"",'NETWORK-DEVICES'!$B$3:$B$987&amp;"",'NETWORK-DEVICES'!$AF$3:$AF$987,""),"Peripheral",_xlfn.XLOOKUP($K948&amp;"",PERIPHERAL!$B$3:$B$954&amp;"",PERIPHERAL!$Y$3:$Y$954,""),"Utilities",_xlfn.XLOOKUP($K948&amp;"",UTILITIES!$B$3:$B$953&amp;"",UTILITIES!$O$3:$O$953,""),"IOT",_xlfn.XLOOKUP($K948&amp;"",IOT!$B$3:$B$1012&amp;"",IOT!$AB$3:$AB$1012,""),"Server",_xlfn.XLOOKUP($K948&amp;"",SERVER!$B$3:$B$1009&amp;"",SERVER!$AB$3:$AB$1009,""),""))))</f>
        <v/>
      </c>
      <c r="R948" s="43" t="str">
        <f>IF(tbl_handover[[#This Row],[Asset Code]]="","",COUNTIF(tbl_handover[Asset Code],tbl_handover[[#This Row],[Asset Code]]))</f>
        <v/>
      </c>
    </row>
    <row r="949" spans="1:18" x14ac:dyDescent="0.25">
      <c r="A949" s="43" t="str">
        <f>IF(B949&lt;&gt;"",SUBTOTAL(3,$B$1:B948),"")</f>
        <v/>
      </c>
      <c r="C949" s="74"/>
      <c r="D949" s="74"/>
      <c r="G949" s="1"/>
      <c r="K949" s="42"/>
      <c r="L949" t="str" cm="1">
        <f t="array" ref="L949">IF($K949="","",_xlfn.SWITCH($I949,"Computer",_xlfn.XLOOKUP($K949&amp;"",COMPUTER!$B$3:$B$1009&amp;"",COMPUTER!$I$3:$I$1009,""),"Display",_xlfn.XLOOKUP($K949&amp;"",DISPLAY!$B$3:$B$1000&amp;"",DISPLAY!$J$3:$J$1000,""),"Network Device",_xlfn.XLOOKUP($K949&amp;"",'NETWORK-DEVICES'!$B$3:$B$987&amp;"",'NETWORK-DEVICES'!$I$3:$I$987,""),"Peripheral",_xlfn.XLOOKUP($K949&amp;"",PERIPHERAL!$B$3:$B$954&amp;"",PERIPHERAL!$I$3:$I$954,""),"Utilities",_xlfn.XLOOKUP($K949&amp;"",UTILITIES!$B$3:$B$953&amp;"",UTILITIES!$H$3:$H$953,""),"IOT",_xlfn.XLOOKUP($K949&amp;"",IOT!$B$3:$B$1012&amp;"",IOT!$I$3:$I$1012,""),"SERVER",_xlfn.XLOOKUP($K949&amp;"",SERVER!$B$3:$B$1009&amp;"",SERVER!$I$3:$I$1009,""),""))</f>
        <v/>
      </c>
      <c r="M949" t="str" cm="1">
        <f t="array" ref="M949">IF($K949="","",_xlfn.SWITCH($I949,"Computer",_xlfn.XLOOKUP($K949&amp;"",COMPUTER!$B$3:$B$1009&amp;"",COMPUTER!$J$3:$J$1009,""),"Display",_xlfn.XLOOKUP($K949&amp;"",DISPLAY!$B$3:$B$1000&amp;"",DISPLAY!$K$3:$K$1000,""),"Network Device",_xlfn.XLOOKUP($K949&amp;"",'NETWORK-DEVICES'!$B$3:$B$987&amp;"",'NETWORK-DEVICES'!$I$3:$I$987,""),"Peripheral",_xlfn.XLOOKUP($K949&amp;"",PERIPHERAL!$B$3:$B$954&amp;"",PERIPHERAL!$J$3:$J$954,""),"Utilities",_xlfn.XLOOKUP($K949&amp;"",UTILITIES!$B$3:$B$953&amp;"",UTILITIES!$I$3:$I$953,""),"IOT",_xlfn.XLOOKUP($K949&amp;"",IOT!$B$3:$B$1012&amp;"",IOT!$J$3:$J$1012,""),"Server",_xlfn.XLOOKUP($K949&amp;"",SERVER!$B$3:$B$1009&amp;"",SERVER!$J$3:$J$1009,""),""))</f>
        <v/>
      </c>
      <c r="N949" s="1" t="str" cm="1">
        <f t="array" ref="N949">IF(OR($K949="",$I949="",$J949=""),"",_xlfn.LET(_xlpm.srcCat,_xlfn.SWITCH($I949,"Computer",_xlfn.XLOOKUP($K949&amp;"",COMPUTER!$B$3:$B$1009&amp;"",COMPUTER!$H$3:$H$1009,""),"Display",_xlfn.XLOOKUP($K949&amp;"",DISPLAY!$B$3:$B$1000&amp;"",DISPLAY!$H$3:$H$1000,""),"Network Device",_xlfn.XLOOKUP($K949&amp;"",'NETWORK-DEVICES'!$B$3:$B$987&amp;"",'NETWORK-DEVICES'!$H$3:$H$987,""),"Peripheral",_xlfn.XLOOKUP($K949&amp;"",PERIPHERAL!$B$3:$B$954&amp;"",PERIPHERAL!$H$3:$H$954,""),"Utilities",_xlfn.XLOOKUP($K949&amp;"",UTILITIES!$B$3:$B$953&amp;"",UTILITIES!$G$3:$G$953,""),"IOT",_xlfn.XLOOKUP($K949&amp;"",IOT!$B$3:$B$1012&amp;"",IOT!$H$3:$H$1012,""),"Server",_xlfn.XLOOKUP($K949&amp;"",SERVER!$B$3:$B$1009&amp;"",SERVER!$H$3:$H$1009,""),""),IF(TRIM(_xlpm.srcCat)&lt;&gt;TRIM($J949),"",_xlfn.SWITCH($I949,"Computer",_xlfn.XLOOKUP($K949&amp;"",COMPUTER!$B$3:$B$1009&amp;"",COMPUTER!$K$3:$K$1009,""),"Display",_xlfn.XLOOKUP($K949&amp;"",DISPLAY!$B$3:$B$1000&amp;"",DISPLAY!$L$3:$L$1000,""),"Network Device",_xlfn.XLOOKUP($K949&amp;"",'NETWORK-DEVICES'!$B$3:$B$987&amp;"",'NETWORK-DEVICES'!$K$3:$K$987,""),"Peripheral",_xlfn.XLOOKUP($K949&amp;"",PERIPHERAL!$B$3:$B$954&amp;"",PERIPHERAL!$K$3:$K$954,""),"Utilities",_xlfn.XLOOKUP($K949&amp;"",UTILITIES!$B$3:$B$953&amp;"",UTILITIES!$J$3:$J$953,""),"IOT",_xlfn.XLOOKUP($K949&amp;"",IOT!$B$3:$B$1012&amp;"",IOT!$K$4:$K$1012,""),"Server",_xlfn.XLOOKUP($K949&amp;"",SERVER!$B$3:$B$1009&amp;"",SERVER!$K$3:$K$1009,""),""))))</f>
        <v/>
      </c>
      <c r="O949" s="1" t="str" cm="1">
        <f t="array" ref="O949">IF(OR($K949="",$I949="",$J949=""),"",_xlfn.LET(_xlpm.srcCat,_xlfn.SWITCH($I949,"Computer",_xlfn.XLOOKUP($K949&amp;"",COMPUTER!$B$3:$B$1009&amp;"",COMPUTER!$H$3:$H$1009,""),"Display",_xlfn.XLOOKUP($K949&amp;"",DISPLAY!$B$3:$B$1000&amp;"",DISPLAY!$H$3:$H$1000,""),"Network Device",_xlfn.XLOOKUP($K949&amp;"",'NETWORK-DEVICES'!$B$3:$B$987&amp;"",'NETWORK-DEVICES'!$H$3:$H$987,""),"Peripheral",_xlfn.XLOOKUP($K949&amp;"",PERIPHERAL!$B$3:$B$954&amp;"",PERIPHERAL!$H$3:$H$954,""),"Utilities",_xlfn.XLOOKUP($K949&amp;"",UTILITIES!$B$3:$B$953&amp;"",UTILITIES!$G$3:$G$953,""),"IOT",_xlfn.XLOOKUP($K949&amp;"",IOT!$B$3:$B$1012&amp;"",IOT!$H$3:$H$1012,""),"Server",_xlfn.XLOOKUP($K949&amp;"",SERVER!$B$3:$B$1009&amp;"",SERVER!$H$3:$H$1009,""),""),IF(TRIM(_xlpm.srcCat)&lt;&gt;TRIM($J949),"",_xlfn.SWITCH($I949,"Computer",_xlfn.XLOOKUP($K949&amp;"",COMPUTER!$B$3:$B$1009&amp;"",COMPUTER!$E$3:$E$1009,""),"Display",_xlfn.XLOOKUP($K949&amp;"",DISPLAY!$B$3:$B$1000&amp;"",DISPLAY!$E$3:$E$1000,""),"Network Device",_xlfn.XLOOKUP($K949&amp;"",'NETWORK-DEVICES'!$B$3:$B$987&amp;"",'NETWORK-DEVICES'!$E$3:$E$987,""),"Peripheral",_xlfn.XLOOKUP($K949&amp;"",PERIPHERAL!$B$3:$B$954&amp;"",PERIPHERAL!$E$3:$E$954,""),"Utilities",_xlfn.XLOOKUP($K949&amp;"",UTILITIES!$B$3:$B$953&amp;"",UTILITIES!$E$3:$E$953,""),"IOT",_xlfn.XLOOKUP($K949&amp;"",IOT!$B$3:$B$1012&amp;"",IOT!$E$3:$E$1012,""),"Server",_xlfn.XLOOKUP($K949&amp;"",SERVER!$B$3:$B$1009&amp;"",SERVER!$E$3:$E$1009,""),""))))</f>
        <v/>
      </c>
      <c r="Q949" s="1" t="str" cm="1">
        <f t="array" ref="Q949">IF(OR($K949="",$I949="",$J949=""),"",_xlfn.LET(_xlpm.srcCat,_xlfn.SWITCH($I949,"Computer",_xlfn.XLOOKUP($K949&amp;"",COMPUTER!$B$3:$B$1009&amp;"",COMPUTER!$H$3:$H$1009,""),"Display",_xlfn.XLOOKUP($K949&amp;"",DISPLAY!$B$3:$B$1000&amp;"",DISPLAY!$H$3:$H$1000,""),"Network Device",_xlfn.XLOOKUP($K949&amp;"",'NETWORK-DEVICES'!$B$3:$B$987&amp;"",'NETWORK-DEVICES'!$H$3:$H$987,""),"Peripheral",_xlfn.XLOOKUP($K949&amp;"",PERIPHERAL!$B$3:$B$954&amp;"",PERIPHERAL!$H$3:$H$954,""),"Utilities",_xlfn.XLOOKUP($K949&amp;"",UTILITIES!$B$3:$B$953&amp;"",UTILITIES!$G$3:$G$953,""),"IOT",_xlfn.XLOOKUP($K949&amp;"",IOT!$B$3:$B$1012&amp;"",IOT!$H$3:$H$1012,""),"Server",_xlfn.XLOOKUP($K949&amp;"",SERVER!$B$3:$B$1009&amp;"",SERVER!$H$3:$H$1009,""),""),IF(TRIM(_xlpm.srcCat)&lt;&gt;TRIM($J949),"",_xlfn.SWITCH($I949,"Computer",_xlfn.XLOOKUP($K949&amp;"",COMPUTER!$B$3:$B$1009&amp;"",COMPUTER!$AM$3:$AM$1009,""),"Display",_xlfn.XLOOKUP($K949&amp;"",DISPLAY!$B$3:$B$1000&amp;"",DISPLAY!$V$3:$V$1000,""),"Network Device",_xlfn.XLOOKUP($K949&amp;"",'NETWORK-DEVICES'!$B$3:$B$987&amp;"",'NETWORK-DEVICES'!$AF$3:$AF$987,""),"Peripheral",_xlfn.XLOOKUP($K949&amp;"",PERIPHERAL!$B$3:$B$954&amp;"",PERIPHERAL!$Y$3:$Y$954,""),"Utilities",_xlfn.XLOOKUP($K949&amp;"",UTILITIES!$B$3:$B$953&amp;"",UTILITIES!$O$3:$O$953,""),"IOT",_xlfn.XLOOKUP($K949&amp;"",IOT!$B$3:$B$1012&amp;"",IOT!$AB$3:$AB$1012,""),"Server",_xlfn.XLOOKUP($K949&amp;"",SERVER!$B$3:$B$1009&amp;"",SERVER!$AB$3:$AB$1009,""),""))))</f>
        <v/>
      </c>
      <c r="R949" s="43" t="str">
        <f>IF(tbl_handover[[#This Row],[Asset Code]]="","",COUNTIF(tbl_handover[Asset Code],tbl_handover[[#This Row],[Asset Code]]))</f>
        <v/>
      </c>
    </row>
    <row r="950" spans="1:18" x14ac:dyDescent="0.25">
      <c r="A950" s="43" t="str">
        <f>IF(B950&lt;&gt;"",SUBTOTAL(3,$B$1:B949),"")</f>
        <v/>
      </c>
      <c r="C950" s="74"/>
      <c r="D950" s="74"/>
      <c r="G950" s="1"/>
      <c r="K950" s="42"/>
      <c r="L950" t="str" cm="1">
        <f t="array" ref="L950">IF($K950="","",_xlfn.SWITCH($I950,"Computer",_xlfn.XLOOKUP($K950&amp;"",COMPUTER!$B$3:$B$1009&amp;"",COMPUTER!$I$3:$I$1009,""),"Display",_xlfn.XLOOKUP($K950&amp;"",DISPLAY!$B$3:$B$1000&amp;"",DISPLAY!$J$3:$J$1000,""),"Network Device",_xlfn.XLOOKUP($K950&amp;"",'NETWORK-DEVICES'!$B$3:$B$987&amp;"",'NETWORK-DEVICES'!$I$3:$I$987,""),"Peripheral",_xlfn.XLOOKUP($K950&amp;"",PERIPHERAL!$B$3:$B$954&amp;"",PERIPHERAL!$I$3:$I$954,""),"Utilities",_xlfn.XLOOKUP($K950&amp;"",UTILITIES!$B$3:$B$953&amp;"",UTILITIES!$H$3:$H$953,""),"IOT",_xlfn.XLOOKUP($K950&amp;"",IOT!$B$3:$B$1012&amp;"",IOT!$I$3:$I$1012,""),"SERVER",_xlfn.XLOOKUP($K950&amp;"",SERVER!$B$3:$B$1009&amp;"",SERVER!$I$3:$I$1009,""),""))</f>
        <v/>
      </c>
      <c r="M950" t="str" cm="1">
        <f t="array" ref="M950">IF($K950="","",_xlfn.SWITCH($I950,"Computer",_xlfn.XLOOKUP($K950&amp;"",COMPUTER!$B$3:$B$1009&amp;"",COMPUTER!$J$3:$J$1009,""),"Display",_xlfn.XLOOKUP($K950&amp;"",DISPLAY!$B$3:$B$1000&amp;"",DISPLAY!$K$3:$K$1000,""),"Network Device",_xlfn.XLOOKUP($K950&amp;"",'NETWORK-DEVICES'!$B$3:$B$987&amp;"",'NETWORK-DEVICES'!$I$3:$I$987,""),"Peripheral",_xlfn.XLOOKUP($K950&amp;"",PERIPHERAL!$B$3:$B$954&amp;"",PERIPHERAL!$J$3:$J$954,""),"Utilities",_xlfn.XLOOKUP($K950&amp;"",UTILITIES!$B$3:$B$953&amp;"",UTILITIES!$I$3:$I$953,""),"IOT",_xlfn.XLOOKUP($K950&amp;"",IOT!$B$3:$B$1012&amp;"",IOT!$J$3:$J$1012,""),"Server",_xlfn.XLOOKUP($K950&amp;"",SERVER!$B$3:$B$1009&amp;"",SERVER!$J$3:$J$1009,""),""))</f>
        <v/>
      </c>
      <c r="N950" s="1" t="str" cm="1">
        <f t="array" ref="N950">IF(OR($K950="",$I950="",$J950=""),"",_xlfn.LET(_xlpm.srcCat,_xlfn.SWITCH($I950,"Computer",_xlfn.XLOOKUP($K950&amp;"",COMPUTER!$B$3:$B$1009&amp;"",COMPUTER!$H$3:$H$1009,""),"Display",_xlfn.XLOOKUP($K950&amp;"",DISPLAY!$B$3:$B$1000&amp;"",DISPLAY!$H$3:$H$1000,""),"Network Device",_xlfn.XLOOKUP($K950&amp;"",'NETWORK-DEVICES'!$B$3:$B$987&amp;"",'NETWORK-DEVICES'!$H$3:$H$987,""),"Peripheral",_xlfn.XLOOKUP($K950&amp;"",PERIPHERAL!$B$3:$B$954&amp;"",PERIPHERAL!$H$3:$H$954,""),"Utilities",_xlfn.XLOOKUP($K950&amp;"",UTILITIES!$B$3:$B$953&amp;"",UTILITIES!$G$3:$G$953,""),"IOT",_xlfn.XLOOKUP($K950&amp;"",IOT!$B$3:$B$1012&amp;"",IOT!$H$3:$H$1012,""),"Server",_xlfn.XLOOKUP($K950&amp;"",SERVER!$B$3:$B$1009&amp;"",SERVER!$H$3:$H$1009,""),""),IF(TRIM(_xlpm.srcCat)&lt;&gt;TRIM($J950),"",_xlfn.SWITCH($I950,"Computer",_xlfn.XLOOKUP($K950&amp;"",COMPUTER!$B$3:$B$1009&amp;"",COMPUTER!$K$3:$K$1009,""),"Display",_xlfn.XLOOKUP($K950&amp;"",DISPLAY!$B$3:$B$1000&amp;"",DISPLAY!$L$3:$L$1000,""),"Network Device",_xlfn.XLOOKUP($K950&amp;"",'NETWORK-DEVICES'!$B$3:$B$987&amp;"",'NETWORK-DEVICES'!$K$3:$K$987,""),"Peripheral",_xlfn.XLOOKUP($K950&amp;"",PERIPHERAL!$B$3:$B$954&amp;"",PERIPHERAL!$K$3:$K$954,""),"Utilities",_xlfn.XLOOKUP($K950&amp;"",UTILITIES!$B$3:$B$953&amp;"",UTILITIES!$J$3:$J$953,""),"IOT",_xlfn.XLOOKUP($K950&amp;"",IOT!$B$3:$B$1012&amp;"",IOT!$K$4:$K$1012,""),"Server",_xlfn.XLOOKUP($K950&amp;"",SERVER!$B$3:$B$1009&amp;"",SERVER!$K$3:$K$1009,""),""))))</f>
        <v/>
      </c>
      <c r="O950" s="1" t="str" cm="1">
        <f t="array" ref="O950">IF(OR($K950="",$I950="",$J950=""),"",_xlfn.LET(_xlpm.srcCat,_xlfn.SWITCH($I950,"Computer",_xlfn.XLOOKUP($K950&amp;"",COMPUTER!$B$3:$B$1009&amp;"",COMPUTER!$H$3:$H$1009,""),"Display",_xlfn.XLOOKUP($K950&amp;"",DISPLAY!$B$3:$B$1000&amp;"",DISPLAY!$H$3:$H$1000,""),"Network Device",_xlfn.XLOOKUP($K950&amp;"",'NETWORK-DEVICES'!$B$3:$B$987&amp;"",'NETWORK-DEVICES'!$H$3:$H$987,""),"Peripheral",_xlfn.XLOOKUP($K950&amp;"",PERIPHERAL!$B$3:$B$954&amp;"",PERIPHERAL!$H$3:$H$954,""),"Utilities",_xlfn.XLOOKUP($K950&amp;"",UTILITIES!$B$3:$B$953&amp;"",UTILITIES!$G$3:$G$953,""),"IOT",_xlfn.XLOOKUP($K950&amp;"",IOT!$B$3:$B$1012&amp;"",IOT!$H$3:$H$1012,""),"Server",_xlfn.XLOOKUP($K950&amp;"",SERVER!$B$3:$B$1009&amp;"",SERVER!$H$3:$H$1009,""),""),IF(TRIM(_xlpm.srcCat)&lt;&gt;TRIM($J950),"",_xlfn.SWITCH($I950,"Computer",_xlfn.XLOOKUP($K950&amp;"",COMPUTER!$B$3:$B$1009&amp;"",COMPUTER!$E$3:$E$1009,""),"Display",_xlfn.XLOOKUP($K950&amp;"",DISPLAY!$B$3:$B$1000&amp;"",DISPLAY!$E$3:$E$1000,""),"Network Device",_xlfn.XLOOKUP($K950&amp;"",'NETWORK-DEVICES'!$B$3:$B$987&amp;"",'NETWORK-DEVICES'!$E$3:$E$987,""),"Peripheral",_xlfn.XLOOKUP($K950&amp;"",PERIPHERAL!$B$3:$B$954&amp;"",PERIPHERAL!$E$3:$E$954,""),"Utilities",_xlfn.XLOOKUP($K950&amp;"",UTILITIES!$B$3:$B$953&amp;"",UTILITIES!$E$3:$E$953,""),"IOT",_xlfn.XLOOKUP($K950&amp;"",IOT!$B$3:$B$1012&amp;"",IOT!$E$3:$E$1012,""),"Server",_xlfn.XLOOKUP($K950&amp;"",SERVER!$B$3:$B$1009&amp;"",SERVER!$E$3:$E$1009,""),""))))</f>
        <v/>
      </c>
      <c r="Q950" s="1" t="str" cm="1">
        <f t="array" ref="Q950">IF(OR($K950="",$I950="",$J950=""),"",_xlfn.LET(_xlpm.srcCat,_xlfn.SWITCH($I950,"Computer",_xlfn.XLOOKUP($K950&amp;"",COMPUTER!$B$3:$B$1009&amp;"",COMPUTER!$H$3:$H$1009,""),"Display",_xlfn.XLOOKUP($K950&amp;"",DISPLAY!$B$3:$B$1000&amp;"",DISPLAY!$H$3:$H$1000,""),"Network Device",_xlfn.XLOOKUP($K950&amp;"",'NETWORK-DEVICES'!$B$3:$B$987&amp;"",'NETWORK-DEVICES'!$H$3:$H$987,""),"Peripheral",_xlfn.XLOOKUP($K950&amp;"",PERIPHERAL!$B$3:$B$954&amp;"",PERIPHERAL!$H$3:$H$954,""),"Utilities",_xlfn.XLOOKUP($K950&amp;"",UTILITIES!$B$3:$B$953&amp;"",UTILITIES!$G$3:$G$953,""),"IOT",_xlfn.XLOOKUP($K950&amp;"",IOT!$B$3:$B$1012&amp;"",IOT!$H$3:$H$1012,""),"Server",_xlfn.XLOOKUP($K950&amp;"",SERVER!$B$3:$B$1009&amp;"",SERVER!$H$3:$H$1009,""),""),IF(TRIM(_xlpm.srcCat)&lt;&gt;TRIM($J950),"",_xlfn.SWITCH($I950,"Computer",_xlfn.XLOOKUP($K950&amp;"",COMPUTER!$B$3:$B$1009&amp;"",COMPUTER!$AM$3:$AM$1009,""),"Display",_xlfn.XLOOKUP($K950&amp;"",DISPLAY!$B$3:$B$1000&amp;"",DISPLAY!$V$3:$V$1000,""),"Network Device",_xlfn.XLOOKUP($K950&amp;"",'NETWORK-DEVICES'!$B$3:$B$987&amp;"",'NETWORK-DEVICES'!$AF$3:$AF$987,""),"Peripheral",_xlfn.XLOOKUP($K950&amp;"",PERIPHERAL!$B$3:$B$954&amp;"",PERIPHERAL!$Y$3:$Y$954,""),"Utilities",_xlfn.XLOOKUP($K950&amp;"",UTILITIES!$B$3:$B$953&amp;"",UTILITIES!$O$3:$O$953,""),"IOT",_xlfn.XLOOKUP($K950&amp;"",IOT!$B$3:$B$1012&amp;"",IOT!$AB$3:$AB$1012,""),"Server",_xlfn.XLOOKUP($K950&amp;"",SERVER!$B$3:$B$1009&amp;"",SERVER!$AB$3:$AB$1009,""),""))))</f>
        <v/>
      </c>
      <c r="R950" s="43" t="str">
        <f>IF(tbl_handover[[#This Row],[Asset Code]]="","",COUNTIF(tbl_handover[Asset Code],tbl_handover[[#This Row],[Asset Code]]))</f>
        <v/>
      </c>
    </row>
    <row r="951" spans="1:18" x14ac:dyDescent="0.25">
      <c r="A951" s="43" t="str">
        <f>IF(B951&lt;&gt;"",SUBTOTAL(3,$B$1:B950),"")</f>
        <v/>
      </c>
      <c r="C951" s="74"/>
      <c r="D951" s="74"/>
      <c r="G951" s="1"/>
      <c r="K951" s="42"/>
      <c r="L951" t="str" cm="1">
        <f t="array" ref="L951">IF($K951="","",_xlfn.SWITCH($I951,"Computer",_xlfn.XLOOKUP($K951&amp;"",COMPUTER!$B$3:$B$1009&amp;"",COMPUTER!$I$3:$I$1009,""),"Display",_xlfn.XLOOKUP($K951&amp;"",DISPLAY!$B$3:$B$1000&amp;"",DISPLAY!$J$3:$J$1000,""),"Network Device",_xlfn.XLOOKUP($K951&amp;"",'NETWORK-DEVICES'!$B$3:$B$987&amp;"",'NETWORK-DEVICES'!$I$3:$I$987,""),"Peripheral",_xlfn.XLOOKUP($K951&amp;"",PERIPHERAL!$B$3:$B$954&amp;"",PERIPHERAL!$I$3:$I$954,""),"Utilities",_xlfn.XLOOKUP($K951&amp;"",UTILITIES!$B$3:$B$953&amp;"",UTILITIES!$H$3:$H$953,""),"IOT",_xlfn.XLOOKUP($K951&amp;"",IOT!$B$3:$B$1012&amp;"",IOT!$I$3:$I$1012,""),"SERVER",_xlfn.XLOOKUP($K951&amp;"",SERVER!$B$3:$B$1009&amp;"",SERVER!$I$3:$I$1009,""),""))</f>
        <v/>
      </c>
      <c r="M951" t="str" cm="1">
        <f t="array" ref="M951">IF($K951="","",_xlfn.SWITCH($I951,"Computer",_xlfn.XLOOKUP($K951&amp;"",COMPUTER!$B$3:$B$1009&amp;"",COMPUTER!$J$3:$J$1009,""),"Display",_xlfn.XLOOKUP($K951&amp;"",DISPLAY!$B$3:$B$1000&amp;"",DISPLAY!$K$3:$K$1000,""),"Network Device",_xlfn.XLOOKUP($K951&amp;"",'NETWORK-DEVICES'!$B$3:$B$987&amp;"",'NETWORK-DEVICES'!$I$3:$I$987,""),"Peripheral",_xlfn.XLOOKUP($K951&amp;"",PERIPHERAL!$B$3:$B$954&amp;"",PERIPHERAL!$J$3:$J$954,""),"Utilities",_xlfn.XLOOKUP($K951&amp;"",UTILITIES!$B$3:$B$953&amp;"",UTILITIES!$I$3:$I$953,""),"IOT",_xlfn.XLOOKUP($K951&amp;"",IOT!$B$3:$B$1012&amp;"",IOT!$J$3:$J$1012,""),"Server",_xlfn.XLOOKUP($K951&amp;"",SERVER!$B$3:$B$1009&amp;"",SERVER!$J$3:$J$1009,""),""))</f>
        <v/>
      </c>
      <c r="N951" s="1" t="str" cm="1">
        <f t="array" ref="N951">IF(OR($K951="",$I951="",$J951=""),"",_xlfn.LET(_xlpm.srcCat,_xlfn.SWITCH($I951,"Computer",_xlfn.XLOOKUP($K951&amp;"",COMPUTER!$B$3:$B$1009&amp;"",COMPUTER!$H$3:$H$1009,""),"Display",_xlfn.XLOOKUP($K951&amp;"",DISPLAY!$B$3:$B$1000&amp;"",DISPLAY!$H$3:$H$1000,""),"Network Device",_xlfn.XLOOKUP($K951&amp;"",'NETWORK-DEVICES'!$B$3:$B$987&amp;"",'NETWORK-DEVICES'!$H$3:$H$987,""),"Peripheral",_xlfn.XLOOKUP($K951&amp;"",PERIPHERAL!$B$3:$B$954&amp;"",PERIPHERAL!$H$3:$H$954,""),"Utilities",_xlfn.XLOOKUP($K951&amp;"",UTILITIES!$B$3:$B$953&amp;"",UTILITIES!$G$3:$G$953,""),"IOT",_xlfn.XLOOKUP($K951&amp;"",IOT!$B$3:$B$1012&amp;"",IOT!$H$3:$H$1012,""),"Server",_xlfn.XLOOKUP($K951&amp;"",SERVER!$B$3:$B$1009&amp;"",SERVER!$H$3:$H$1009,""),""),IF(TRIM(_xlpm.srcCat)&lt;&gt;TRIM($J951),"",_xlfn.SWITCH($I951,"Computer",_xlfn.XLOOKUP($K951&amp;"",COMPUTER!$B$3:$B$1009&amp;"",COMPUTER!$K$3:$K$1009,""),"Display",_xlfn.XLOOKUP($K951&amp;"",DISPLAY!$B$3:$B$1000&amp;"",DISPLAY!$L$3:$L$1000,""),"Network Device",_xlfn.XLOOKUP($K951&amp;"",'NETWORK-DEVICES'!$B$3:$B$987&amp;"",'NETWORK-DEVICES'!$K$3:$K$987,""),"Peripheral",_xlfn.XLOOKUP($K951&amp;"",PERIPHERAL!$B$3:$B$954&amp;"",PERIPHERAL!$K$3:$K$954,""),"Utilities",_xlfn.XLOOKUP($K951&amp;"",UTILITIES!$B$3:$B$953&amp;"",UTILITIES!$J$3:$J$953,""),"IOT",_xlfn.XLOOKUP($K951&amp;"",IOT!$B$3:$B$1012&amp;"",IOT!$K$4:$K$1012,""),"Server",_xlfn.XLOOKUP($K951&amp;"",SERVER!$B$3:$B$1009&amp;"",SERVER!$K$3:$K$1009,""),""))))</f>
        <v/>
      </c>
      <c r="O951" s="1" t="str" cm="1">
        <f t="array" ref="O951">IF(OR($K951="",$I951="",$J951=""),"",_xlfn.LET(_xlpm.srcCat,_xlfn.SWITCH($I951,"Computer",_xlfn.XLOOKUP($K951&amp;"",COMPUTER!$B$3:$B$1009&amp;"",COMPUTER!$H$3:$H$1009,""),"Display",_xlfn.XLOOKUP($K951&amp;"",DISPLAY!$B$3:$B$1000&amp;"",DISPLAY!$H$3:$H$1000,""),"Network Device",_xlfn.XLOOKUP($K951&amp;"",'NETWORK-DEVICES'!$B$3:$B$987&amp;"",'NETWORK-DEVICES'!$H$3:$H$987,""),"Peripheral",_xlfn.XLOOKUP($K951&amp;"",PERIPHERAL!$B$3:$B$954&amp;"",PERIPHERAL!$H$3:$H$954,""),"Utilities",_xlfn.XLOOKUP($K951&amp;"",UTILITIES!$B$3:$B$953&amp;"",UTILITIES!$G$3:$G$953,""),"IOT",_xlfn.XLOOKUP($K951&amp;"",IOT!$B$3:$B$1012&amp;"",IOT!$H$3:$H$1012,""),"Server",_xlfn.XLOOKUP($K951&amp;"",SERVER!$B$3:$B$1009&amp;"",SERVER!$H$3:$H$1009,""),""),IF(TRIM(_xlpm.srcCat)&lt;&gt;TRIM($J951),"",_xlfn.SWITCH($I951,"Computer",_xlfn.XLOOKUP($K951&amp;"",COMPUTER!$B$3:$B$1009&amp;"",COMPUTER!$E$3:$E$1009,""),"Display",_xlfn.XLOOKUP($K951&amp;"",DISPLAY!$B$3:$B$1000&amp;"",DISPLAY!$E$3:$E$1000,""),"Network Device",_xlfn.XLOOKUP($K951&amp;"",'NETWORK-DEVICES'!$B$3:$B$987&amp;"",'NETWORK-DEVICES'!$E$3:$E$987,""),"Peripheral",_xlfn.XLOOKUP($K951&amp;"",PERIPHERAL!$B$3:$B$954&amp;"",PERIPHERAL!$E$3:$E$954,""),"Utilities",_xlfn.XLOOKUP($K951&amp;"",UTILITIES!$B$3:$B$953&amp;"",UTILITIES!$E$3:$E$953,""),"IOT",_xlfn.XLOOKUP($K951&amp;"",IOT!$B$3:$B$1012&amp;"",IOT!$E$3:$E$1012,""),"Server",_xlfn.XLOOKUP($K951&amp;"",SERVER!$B$3:$B$1009&amp;"",SERVER!$E$3:$E$1009,""),""))))</f>
        <v/>
      </c>
      <c r="Q951" s="1" t="str" cm="1">
        <f t="array" ref="Q951">IF(OR($K951="",$I951="",$J951=""),"",_xlfn.LET(_xlpm.srcCat,_xlfn.SWITCH($I951,"Computer",_xlfn.XLOOKUP($K951&amp;"",COMPUTER!$B$3:$B$1009&amp;"",COMPUTER!$H$3:$H$1009,""),"Display",_xlfn.XLOOKUP($K951&amp;"",DISPLAY!$B$3:$B$1000&amp;"",DISPLAY!$H$3:$H$1000,""),"Network Device",_xlfn.XLOOKUP($K951&amp;"",'NETWORK-DEVICES'!$B$3:$B$987&amp;"",'NETWORK-DEVICES'!$H$3:$H$987,""),"Peripheral",_xlfn.XLOOKUP($K951&amp;"",PERIPHERAL!$B$3:$B$954&amp;"",PERIPHERAL!$H$3:$H$954,""),"Utilities",_xlfn.XLOOKUP($K951&amp;"",UTILITIES!$B$3:$B$953&amp;"",UTILITIES!$G$3:$G$953,""),"IOT",_xlfn.XLOOKUP($K951&amp;"",IOT!$B$3:$B$1012&amp;"",IOT!$H$3:$H$1012,""),"Server",_xlfn.XLOOKUP($K951&amp;"",SERVER!$B$3:$B$1009&amp;"",SERVER!$H$3:$H$1009,""),""),IF(TRIM(_xlpm.srcCat)&lt;&gt;TRIM($J951),"",_xlfn.SWITCH($I951,"Computer",_xlfn.XLOOKUP($K951&amp;"",COMPUTER!$B$3:$B$1009&amp;"",COMPUTER!$AM$3:$AM$1009,""),"Display",_xlfn.XLOOKUP($K951&amp;"",DISPLAY!$B$3:$B$1000&amp;"",DISPLAY!$V$3:$V$1000,""),"Network Device",_xlfn.XLOOKUP($K951&amp;"",'NETWORK-DEVICES'!$B$3:$B$987&amp;"",'NETWORK-DEVICES'!$AF$3:$AF$987,""),"Peripheral",_xlfn.XLOOKUP($K951&amp;"",PERIPHERAL!$B$3:$B$954&amp;"",PERIPHERAL!$Y$3:$Y$954,""),"Utilities",_xlfn.XLOOKUP($K951&amp;"",UTILITIES!$B$3:$B$953&amp;"",UTILITIES!$O$3:$O$953,""),"IOT",_xlfn.XLOOKUP($K951&amp;"",IOT!$B$3:$B$1012&amp;"",IOT!$AB$3:$AB$1012,""),"Server",_xlfn.XLOOKUP($K951&amp;"",SERVER!$B$3:$B$1009&amp;"",SERVER!$AB$3:$AB$1009,""),""))))</f>
        <v/>
      </c>
      <c r="R951" s="43" t="str">
        <f>IF(tbl_handover[[#This Row],[Asset Code]]="","",COUNTIF(tbl_handover[Asset Code],tbl_handover[[#This Row],[Asset Code]]))</f>
        <v/>
      </c>
    </row>
    <row r="952" spans="1:18" x14ac:dyDescent="0.25">
      <c r="A952" s="43" t="str">
        <f>IF(B952&lt;&gt;"",SUBTOTAL(3,$B$1:B951),"")</f>
        <v/>
      </c>
      <c r="C952" s="74"/>
      <c r="D952" s="74"/>
      <c r="G952" s="1"/>
      <c r="K952" s="42"/>
      <c r="L952" t="str" cm="1">
        <f t="array" ref="L952">IF($K952="","",_xlfn.SWITCH($I952,"Computer",_xlfn.XLOOKUP($K952&amp;"",COMPUTER!$B$3:$B$1009&amp;"",COMPUTER!$I$3:$I$1009,""),"Display",_xlfn.XLOOKUP($K952&amp;"",DISPLAY!$B$3:$B$1000&amp;"",DISPLAY!$J$3:$J$1000,""),"Network Device",_xlfn.XLOOKUP($K952&amp;"",'NETWORK-DEVICES'!$B$3:$B$987&amp;"",'NETWORK-DEVICES'!$I$3:$I$987,""),"Peripheral",_xlfn.XLOOKUP($K952&amp;"",PERIPHERAL!$B$3:$B$954&amp;"",PERIPHERAL!$I$3:$I$954,""),"Utilities",_xlfn.XLOOKUP($K952&amp;"",UTILITIES!$B$3:$B$953&amp;"",UTILITIES!$H$3:$H$953,""),"IOT",_xlfn.XLOOKUP($K952&amp;"",IOT!$B$3:$B$1012&amp;"",IOT!$I$3:$I$1012,""),"SERVER",_xlfn.XLOOKUP($K952&amp;"",SERVER!$B$3:$B$1009&amp;"",SERVER!$I$3:$I$1009,""),""))</f>
        <v/>
      </c>
      <c r="M952" t="str" cm="1">
        <f t="array" ref="M952">IF($K952="","",_xlfn.SWITCH($I952,"Computer",_xlfn.XLOOKUP($K952&amp;"",COMPUTER!$B$3:$B$1009&amp;"",COMPUTER!$J$3:$J$1009,""),"Display",_xlfn.XLOOKUP($K952&amp;"",DISPLAY!$B$3:$B$1000&amp;"",DISPLAY!$K$3:$K$1000,""),"Network Device",_xlfn.XLOOKUP($K952&amp;"",'NETWORK-DEVICES'!$B$3:$B$987&amp;"",'NETWORK-DEVICES'!$I$3:$I$987,""),"Peripheral",_xlfn.XLOOKUP($K952&amp;"",PERIPHERAL!$B$3:$B$954&amp;"",PERIPHERAL!$J$3:$J$954,""),"Utilities",_xlfn.XLOOKUP($K952&amp;"",UTILITIES!$B$3:$B$953&amp;"",UTILITIES!$I$3:$I$953,""),"IOT",_xlfn.XLOOKUP($K952&amp;"",IOT!$B$3:$B$1012&amp;"",IOT!$J$3:$J$1012,""),"Server",_xlfn.XLOOKUP($K952&amp;"",SERVER!$B$3:$B$1009&amp;"",SERVER!$J$3:$J$1009,""),""))</f>
        <v/>
      </c>
      <c r="N952" s="1" t="str" cm="1">
        <f t="array" ref="N952">IF(OR($K952="",$I952="",$J952=""),"",_xlfn.LET(_xlpm.srcCat,_xlfn.SWITCH($I952,"Computer",_xlfn.XLOOKUP($K952&amp;"",COMPUTER!$B$3:$B$1009&amp;"",COMPUTER!$H$3:$H$1009,""),"Display",_xlfn.XLOOKUP($K952&amp;"",DISPLAY!$B$3:$B$1000&amp;"",DISPLAY!$H$3:$H$1000,""),"Network Device",_xlfn.XLOOKUP($K952&amp;"",'NETWORK-DEVICES'!$B$3:$B$987&amp;"",'NETWORK-DEVICES'!$H$3:$H$987,""),"Peripheral",_xlfn.XLOOKUP($K952&amp;"",PERIPHERAL!$B$3:$B$954&amp;"",PERIPHERAL!$H$3:$H$954,""),"Utilities",_xlfn.XLOOKUP($K952&amp;"",UTILITIES!$B$3:$B$953&amp;"",UTILITIES!$G$3:$G$953,""),"IOT",_xlfn.XLOOKUP($K952&amp;"",IOT!$B$3:$B$1012&amp;"",IOT!$H$3:$H$1012,""),"Server",_xlfn.XLOOKUP($K952&amp;"",SERVER!$B$3:$B$1009&amp;"",SERVER!$H$3:$H$1009,""),""),IF(TRIM(_xlpm.srcCat)&lt;&gt;TRIM($J952),"",_xlfn.SWITCH($I952,"Computer",_xlfn.XLOOKUP($K952&amp;"",COMPUTER!$B$3:$B$1009&amp;"",COMPUTER!$K$3:$K$1009,""),"Display",_xlfn.XLOOKUP($K952&amp;"",DISPLAY!$B$3:$B$1000&amp;"",DISPLAY!$L$3:$L$1000,""),"Network Device",_xlfn.XLOOKUP($K952&amp;"",'NETWORK-DEVICES'!$B$3:$B$987&amp;"",'NETWORK-DEVICES'!$K$3:$K$987,""),"Peripheral",_xlfn.XLOOKUP($K952&amp;"",PERIPHERAL!$B$3:$B$954&amp;"",PERIPHERAL!$K$3:$K$954,""),"Utilities",_xlfn.XLOOKUP($K952&amp;"",UTILITIES!$B$3:$B$953&amp;"",UTILITIES!$J$3:$J$953,""),"IOT",_xlfn.XLOOKUP($K952&amp;"",IOT!$B$3:$B$1012&amp;"",IOT!$K$4:$K$1012,""),"Server",_xlfn.XLOOKUP($K952&amp;"",SERVER!$B$3:$B$1009&amp;"",SERVER!$K$3:$K$1009,""),""))))</f>
        <v/>
      </c>
      <c r="O952" s="1" t="str" cm="1">
        <f t="array" ref="O952">IF(OR($K952="",$I952="",$J952=""),"",_xlfn.LET(_xlpm.srcCat,_xlfn.SWITCH($I952,"Computer",_xlfn.XLOOKUP($K952&amp;"",COMPUTER!$B$3:$B$1009&amp;"",COMPUTER!$H$3:$H$1009,""),"Display",_xlfn.XLOOKUP($K952&amp;"",DISPLAY!$B$3:$B$1000&amp;"",DISPLAY!$H$3:$H$1000,""),"Network Device",_xlfn.XLOOKUP($K952&amp;"",'NETWORK-DEVICES'!$B$3:$B$987&amp;"",'NETWORK-DEVICES'!$H$3:$H$987,""),"Peripheral",_xlfn.XLOOKUP($K952&amp;"",PERIPHERAL!$B$3:$B$954&amp;"",PERIPHERAL!$H$3:$H$954,""),"Utilities",_xlfn.XLOOKUP($K952&amp;"",UTILITIES!$B$3:$B$953&amp;"",UTILITIES!$G$3:$G$953,""),"IOT",_xlfn.XLOOKUP($K952&amp;"",IOT!$B$3:$B$1012&amp;"",IOT!$H$3:$H$1012,""),"Server",_xlfn.XLOOKUP($K952&amp;"",SERVER!$B$3:$B$1009&amp;"",SERVER!$H$3:$H$1009,""),""),IF(TRIM(_xlpm.srcCat)&lt;&gt;TRIM($J952),"",_xlfn.SWITCH($I952,"Computer",_xlfn.XLOOKUP($K952&amp;"",COMPUTER!$B$3:$B$1009&amp;"",COMPUTER!$E$3:$E$1009,""),"Display",_xlfn.XLOOKUP($K952&amp;"",DISPLAY!$B$3:$B$1000&amp;"",DISPLAY!$E$3:$E$1000,""),"Network Device",_xlfn.XLOOKUP($K952&amp;"",'NETWORK-DEVICES'!$B$3:$B$987&amp;"",'NETWORK-DEVICES'!$E$3:$E$987,""),"Peripheral",_xlfn.XLOOKUP($K952&amp;"",PERIPHERAL!$B$3:$B$954&amp;"",PERIPHERAL!$E$3:$E$954,""),"Utilities",_xlfn.XLOOKUP($K952&amp;"",UTILITIES!$B$3:$B$953&amp;"",UTILITIES!$E$3:$E$953,""),"IOT",_xlfn.XLOOKUP($K952&amp;"",IOT!$B$3:$B$1012&amp;"",IOT!$E$3:$E$1012,""),"Server",_xlfn.XLOOKUP($K952&amp;"",SERVER!$B$3:$B$1009&amp;"",SERVER!$E$3:$E$1009,""),""))))</f>
        <v/>
      </c>
      <c r="Q952" s="1" t="str" cm="1">
        <f t="array" ref="Q952">IF(OR($K952="",$I952="",$J952=""),"",_xlfn.LET(_xlpm.srcCat,_xlfn.SWITCH($I952,"Computer",_xlfn.XLOOKUP($K952&amp;"",COMPUTER!$B$3:$B$1009&amp;"",COMPUTER!$H$3:$H$1009,""),"Display",_xlfn.XLOOKUP($K952&amp;"",DISPLAY!$B$3:$B$1000&amp;"",DISPLAY!$H$3:$H$1000,""),"Network Device",_xlfn.XLOOKUP($K952&amp;"",'NETWORK-DEVICES'!$B$3:$B$987&amp;"",'NETWORK-DEVICES'!$H$3:$H$987,""),"Peripheral",_xlfn.XLOOKUP($K952&amp;"",PERIPHERAL!$B$3:$B$954&amp;"",PERIPHERAL!$H$3:$H$954,""),"Utilities",_xlfn.XLOOKUP($K952&amp;"",UTILITIES!$B$3:$B$953&amp;"",UTILITIES!$G$3:$G$953,""),"IOT",_xlfn.XLOOKUP($K952&amp;"",IOT!$B$3:$B$1012&amp;"",IOT!$H$3:$H$1012,""),"Server",_xlfn.XLOOKUP($K952&amp;"",SERVER!$B$3:$B$1009&amp;"",SERVER!$H$3:$H$1009,""),""),IF(TRIM(_xlpm.srcCat)&lt;&gt;TRIM($J952),"",_xlfn.SWITCH($I952,"Computer",_xlfn.XLOOKUP($K952&amp;"",COMPUTER!$B$3:$B$1009&amp;"",COMPUTER!$AM$3:$AM$1009,""),"Display",_xlfn.XLOOKUP($K952&amp;"",DISPLAY!$B$3:$B$1000&amp;"",DISPLAY!$V$3:$V$1000,""),"Network Device",_xlfn.XLOOKUP($K952&amp;"",'NETWORK-DEVICES'!$B$3:$B$987&amp;"",'NETWORK-DEVICES'!$AF$3:$AF$987,""),"Peripheral",_xlfn.XLOOKUP($K952&amp;"",PERIPHERAL!$B$3:$B$954&amp;"",PERIPHERAL!$Y$3:$Y$954,""),"Utilities",_xlfn.XLOOKUP($K952&amp;"",UTILITIES!$B$3:$B$953&amp;"",UTILITIES!$O$3:$O$953,""),"IOT",_xlfn.XLOOKUP($K952&amp;"",IOT!$B$3:$B$1012&amp;"",IOT!$AB$3:$AB$1012,""),"Server",_xlfn.XLOOKUP($K952&amp;"",SERVER!$B$3:$B$1009&amp;"",SERVER!$AB$3:$AB$1009,""),""))))</f>
        <v/>
      </c>
      <c r="R952" s="43" t="str">
        <f>IF(tbl_handover[[#This Row],[Asset Code]]="","",COUNTIF(tbl_handover[Asset Code],tbl_handover[[#This Row],[Asset Code]]))</f>
        <v/>
      </c>
    </row>
    <row r="953" spans="1:18" x14ac:dyDescent="0.25">
      <c r="A953" s="43" t="str">
        <f>IF(B953&lt;&gt;"",SUBTOTAL(3,$B$1:B952),"")</f>
        <v/>
      </c>
      <c r="C953" s="74"/>
      <c r="D953" s="74"/>
      <c r="G953" s="1"/>
      <c r="K953" s="42"/>
      <c r="L953" t="str" cm="1">
        <f t="array" ref="L953">IF($K953="","",_xlfn.SWITCH($I953,"Computer",_xlfn.XLOOKUP($K953&amp;"",COMPUTER!$B$3:$B$1009&amp;"",COMPUTER!$I$3:$I$1009,""),"Display",_xlfn.XLOOKUP($K953&amp;"",DISPLAY!$B$3:$B$1000&amp;"",DISPLAY!$J$3:$J$1000,""),"Network Device",_xlfn.XLOOKUP($K953&amp;"",'NETWORK-DEVICES'!$B$3:$B$987&amp;"",'NETWORK-DEVICES'!$I$3:$I$987,""),"Peripheral",_xlfn.XLOOKUP($K953&amp;"",PERIPHERAL!$B$3:$B$954&amp;"",PERIPHERAL!$I$3:$I$954,""),"Utilities",_xlfn.XLOOKUP($K953&amp;"",UTILITIES!$B$3:$B$953&amp;"",UTILITIES!$H$3:$H$953,""),"IOT",_xlfn.XLOOKUP($K953&amp;"",IOT!$B$3:$B$1012&amp;"",IOT!$I$3:$I$1012,""),"SERVER",_xlfn.XLOOKUP($K953&amp;"",SERVER!$B$3:$B$1009&amp;"",SERVER!$I$3:$I$1009,""),""))</f>
        <v/>
      </c>
      <c r="M953" t="str" cm="1">
        <f t="array" ref="M953">IF($K953="","",_xlfn.SWITCH($I953,"Computer",_xlfn.XLOOKUP($K953&amp;"",COMPUTER!$B$3:$B$1009&amp;"",COMPUTER!$J$3:$J$1009,""),"Display",_xlfn.XLOOKUP($K953&amp;"",DISPLAY!$B$3:$B$1000&amp;"",DISPLAY!$K$3:$K$1000,""),"Network Device",_xlfn.XLOOKUP($K953&amp;"",'NETWORK-DEVICES'!$B$3:$B$987&amp;"",'NETWORK-DEVICES'!$I$3:$I$987,""),"Peripheral",_xlfn.XLOOKUP($K953&amp;"",PERIPHERAL!$B$3:$B$954&amp;"",PERIPHERAL!$J$3:$J$954,""),"Utilities",_xlfn.XLOOKUP($K953&amp;"",UTILITIES!$B$3:$B$953&amp;"",UTILITIES!$I$3:$I$953,""),"IOT",_xlfn.XLOOKUP($K953&amp;"",IOT!$B$3:$B$1012&amp;"",IOT!$J$3:$J$1012,""),"Server",_xlfn.XLOOKUP($K953&amp;"",SERVER!$B$3:$B$1009&amp;"",SERVER!$J$3:$J$1009,""),""))</f>
        <v/>
      </c>
      <c r="N953" s="1" t="str" cm="1">
        <f t="array" ref="N953">IF(OR($K953="",$I953="",$J953=""),"",_xlfn.LET(_xlpm.srcCat,_xlfn.SWITCH($I953,"Computer",_xlfn.XLOOKUP($K953&amp;"",COMPUTER!$B$3:$B$1009&amp;"",COMPUTER!$H$3:$H$1009,""),"Display",_xlfn.XLOOKUP($K953&amp;"",DISPLAY!$B$3:$B$1000&amp;"",DISPLAY!$H$3:$H$1000,""),"Network Device",_xlfn.XLOOKUP($K953&amp;"",'NETWORK-DEVICES'!$B$3:$B$987&amp;"",'NETWORK-DEVICES'!$H$3:$H$987,""),"Peripheral",_xlfn.XLOOKUP($K953&amp;"",PERIPHERAL!$B$3:$B$954&amp;"",PERIPHERAL!$H$3:$H$954,""),"Utilities",_xlfn.XLOOKUP($K953&amp;"",UTILITIES!$B$3:$B$953&amp;"",UTILITIES!$G$3:$G$953,""),"IOT",_xlfn.XLOOKUP($K953&amp;"",IOT!$B$3:$B$1012&amp;"",IOT!$H$3:$H$1012,""),"Server",_xlfn.XLOOKUP($K953&amp;"",SERVER!$B$3:$B$1009&amp;"",SERVER!$H$3:$H$1009,""),""),IF(TRIM(_xlpm.srcCat)&lt;&gt;TRIM($J953),"",_xlfn.SWITCH($I953,"Computer",_xlfn.XLOOKUP($K953&amp;"",COMPUTER!$B$3:$B$1009&amp;"",COMPUTER!$K$3:$K$1009,""),"Display",_xlfn.XLOOKUP($K953&amp;"",DISPLAY!$B$3:$B$1000&amp;"",DISPLAY!$L$3:$L$1000,""),"Network Device",_xlfn.XLOOKUP($K953&amp;"",'NETWORK-DEVICES'!$B$3:$B$987&amp;"",'NETWORK-DEVICES'!$K$3:$K$987,""),"Peripheral",_xlfn.XLOOKUP($K953&amp;"",PERIPHERAL!$B$3:$B$954&amp;"",PERIPHERAL!$K$3:$K$954,""),"Utilities",_xlfn.XLOOKUP($K953&amp;"",UTILITIES!$B$3:$B$953&amp;"",UTILITIES!$J$3:$J$953,""),"IOT",_xlfn.XLOOKUP($K953&amp;"",IOT!$B$3:$B$1012&amp;"",IOT!$K$4:$K$1012,""),"Server",_xlfn.XLOOKUP($K953&amp;"",SERVER!$B$3:$B$1009&amp;"",SERVER!$K$3:$K$1009,""),""))))</f>
        <v/>
      </c>
      <c r="O953" s="1" t="str" cm="1">
        <f t="array" ref="O953">IF(OR($K953="",$I953="",$J953=""),"",_xlfn.LET(_xlpm.srcCat,_xlfn.SWITCH($I953,"Computer",_xlfn.XLOOKUP($K953&amp;"",COMPUTER!$B$3:$B$1009&amp;"",COMPUTER!$H$3:$H$1009,""),"Display",_xlfn.XLOOKUP($K953&amp;"",DISPLAY!$B$3:$B$1000&amp;"",DISPLAY!$H$3:$H$1000,""),"Network Device",_xlfn.XLOOKUP($K953&amp;"",'NETWORK-DEVICES'!$B$3:$B$987&amp;"",'NETWORK-DEVICES'!$H$3:$H$987,""),"Peripheral",_xlfn.XLOOKUP($K953&amp;"",PERIPHERAL!$B$3:$B$954&amp;"",PERIPHERAL!$H$3:$H$954,""),"Utilities",_xlfn.XLOOKUP($K953&amp;"",UTILITIES!$B$3:$B$953&amp;"",UTILITIES!$G$3:$G$953,""),"IOT",_xlfn.XLOOKUP($K953&amp;"",IOT!$B$3:$B$1012&amp;"",IOT!$H$3:$H$1012,""),"Server",_xlfn.XLOOKUP($K953&amp;"",SERVER!$B$3:$B$1009&amp;"",SERVER!$H$3:$H$1009,""),""),IF(TRIM(_xlpm.srcCat)&lt;&gt;TRIM($J953),"",_xlfn.SWITCH($I953,"Computer",_xlfn.XLOOKUP($K953&amp;"",COMPUTER!$B$3:$B$1009&amp;"",COMPUTER!$E$3:$E$1009,""),"Display",_xlfn.XLOOKUP($K953&amp;"",DISPLAY!$B$3:$B$1000&amp;"",DISPLAY!$E$3:$E$1000,""),"Network Device",_xlfn.XLOOKUP($K953&amp;"",'NETWORK-DEVICES'!$B$3:$B$987&amp;"",'NETWORK-DEVICES'!$E$3:$E$987,""),"Peripheral",_xlfn.XLOOKUP($K953&amp;"",PERIPHERAL!$B$3:$B$954&amp;"",PERIPHERAL!$E$3:$E$954,""),"Utilities",_xlfn.XLOOKUP($K953&amp;"",UTILITIES!$B$3:$B$953&amp;"",UTILITIES!$E$3:$E$953,""),"IOT",_xlfn.XLOOKUP($K953&amp;"",IOT!$B$3:$B$1012&amp;"",IOT!$E$3:$E$1012,""),"Server",_xlfn.XLOOKUP($K953&amp;"",SERVER!$B$3:$B$1009&amp;"",SERVER!$E$3:$E$1009,""),""))))</f>
        <v/>
      </c>
      <c r="Q953" s="1" t="str" cm="1">
        <f t="array" ref="Q953">IF(OR($K953="",$I953="",$J953=""),"",_xlfn.LET(_xlpm.srcCat,_xlfn.SWITCH($I953,"Computer",_xlfn.XLOOKUP($K953&amp;"",COMPUTER!$B$3:$B$1009&amp;"",COMPUTER!$H$3:$H$1009,""),"Display",_xlfn.XLOOKUP($K953&amp;"",DISPLAY!$B$3:$B$1000&amp;"",DISPLAY!$H$3:$H$1000,""),"Network Device",_xlfn.XLOOKUP($K953&amp;"",'NETWORK-DEVICES'!$B$3:$B$987&amp;"",'NETWORK-DEVICES'!$H$3:$H$987,""),"Peripheral",_xlfn.XLOOKUP($K953&amp;"",PERIPHERAL!$B$3:$B$954&amp;"",PERIPHERAL!$H$3:$H$954,""),"Utilities",_xlfn.XLOOKUP($K953&amp;"",UTILITIES!$B$3:$B$953&amp;"",UTILITIES!$G$3:$G$953,""),"IOT",_xlfn.XLOOKUP($K953&amp;"",IOT!$B$3:$B$1012&amp;"",IOT!$H$3:$H$1012,""),"Server",_xlfn.XLOOKUP($K953&amp;"",SERVER!$B$3:$B$1009&amp;"",SERVER!$H$3:$H$1009,""),""),IF(TRIM(_xlpm.srcCat)&lt;&gt;TRIM($J953),"",_xlfn.SWITCH($I953,"Computer",_xlfn.XLOOKUP($K953&amp;"",COMPUTER!$B$3:$B$1009&amp;"",COMPUTER!$AM$3:$AM$1009,""),"Display",_xlfn.XLOOKUP($K953&amp;"",DISPLAY!$B$3:$B$1000&amp;"",DISPLAY!$V$3:$V$1000,""),"Network Device",_xlfn.XLOOKUP($K953&amp;"",'NETWORK-DEVICES'!$B$3:$B$987&amp;"",'NETWORK-DEVICES'!$AF$3:$AF$987,""),"Peripheral",_xlfn.XLOOKUP($K953&amp;"",PERIPHERAL!$B$3:$B$954&amp;"",PERIPHERAL!$Y$3:$Y$954,""),"Utilities",_xlfn.XLOOKUP($K953&amp;"",UTILITIES!$B$3:$B$953&amp;"",UTILITIES!$O$3:$O$953,""),"IOT",_xlfn.XLOOKUP($K953&amp;"",IOT!$B$3:$B$1012&amp;"",IOT!$AB$3:$AB$1012,""),"Server",_xlfn.XLOOKUP($K953&amp;"",SERVER!$B$3:$B$1009&amp;"",SERVER!$AB$3:$AB$1009,""),""))))</f>
        <v/>
      </c>
      <c r="R953" s="43" t="str">
        <f>IF(tbl_handover[[#This Row],[Asset Code]]="","",COUNTIF(tbl_handover[Asset Code],tbl_handover[[#This Row],[Asset Code]]))</f>
        <v/>
      </c>
    </row>
    <row r="954" spans="1:18" x14ac:dyDescent="0.25">
      <c r="A954" s="43" t="str">
        <f>IF(B954&lt;&gt;"",SUBTOTAL(3,$B$1:B953),"")</f>
        <v/>
      </c>
      <c r="C954" s="74"/>
      <c r="D954" s="74"/>
      <c r="G954" s="1"/>
      <c r="K954" s="42"/>
      <c r="L954" t="str" cm="1">
        <f t="array" ref="L954">IF($K954="","",_xlfn.SWITCH($I954,"Computer",_xlfn.XLOOKUP($K954&amp;"",COMPUTER!$B$3:$B$1009&amp;"",COMPUTER!$I$3:$I$1009,""),"Display",_xlfn.XLOOKUP($K954&amp;"",DISPLAY!$B$3:$B$1000&amp;"",DISPLAY!$J$3:$J$1000,""),"Network Device",_xlfn.XLOOKUP($K954&amp;"",'NETWORK-DEVICES'!$B$3:$B$987&amp;"",'NETWORK-DEVICES'!$I$3:$I$987,""),"Peripheral",_xlfn.XLOOKUP($K954&amp;"",PERIPHERAL!$B$3:$B$954&amp;"",PERIPHERAL!$I$3:$I$954,""),"Utilities",_xlfn.XLOOKUP($K954&amp;"",UTILITIES!$B$3:$B$953&amp;"",UTILITIES!$H$3:$H$953,""),"IOT",_xlfn.XLOOKUP($K954&amp;"",IOT!$B$3:$B$1012&amp;"",IOT!$I$3:$I$1012,""),"SERVER",_xlfn.XLOOKUP($K954&amp;"",SERVER!$B$3:$B$1009&amp;"",SERVER!$I$3:$I$1009,""),""))</f>
        <v/>
      </c>
      <c r="M954" t="str" cm="1">
        <f t="array" ref="M954">IF($K954="","",_xlfn.SWITCH($I954,"Computer",_xlfn.XLOOKUP($K954&amp;"",COMPUTER!$B$3:$B$1009&amp;"",COMPUTER!$J$3:$J$1009,""),"Display",_xlfn.XLOOKUP($K954&amp;"",DISPLAY!$B$3:$B$1000&amp;"",DISPLAY!$K$3:$K$1000,""),"Network Device",_xlfn.XLOOKUP($K954&amp;"",'NETWORK-DEVICES'!$B$3:$B$987&amp;"",'NETWORK-DEVICES'!$I$3:$I$987,""),"Peripheral",_xlfn.XLOOKUP($K954&amp;"",PERIPHERAL!$B$3:$B$954&amp;"",PERIPHERAL!$J$3:$J$954,""),"Utilities",_xlfn.XLOOKUP($K954&amp;"",UTILITIES!$B$3:$B$953&amp;"",UTILITIES!$I$3:$I$953,""),"IOT",_xlfn.XLOOKUP($K954&amp;"",IOT!$B$3:$B$1012&amp;"",IOT!$J$3:$J$1012,""),"Server",_xlfn.XLOOKUP($K954&amp;"",SERVER!$B$3:$B$1009&amp;"",SERVER!$J$3:$J$1009,""),""))</f>
        <v/>
      </c>
      <c r="N954" s="1" t="str" cm="1">
        <f t="array" ref="N954">IF(OR($K954="",$I954="",$J954=""),"",_xlfn.LET(_xlpm.srcCat,_xlfn.SWITCH($I954,"Computer",_xlfn.XLOOKUP($K954&amp;"",COMPUTER!$B$3:$B$1009&amp;"",COMPUTER!$H$3:$H$1009,""),"Display",_xlfn.XLOOKUP($K954&amp;"",DISPLAY!$B$3:$B$1000&amp;"",DISPLAY!$H$3:$H$1000,""),"Network Device",_xlfn.XLOOKUP($K954&amp;"",'NETWORK-DEVICES'!$B$3:$B$987&amp;"",'NETWORK-DEVICES'!$H$3:$H$987,""),"Peripheral",_xlfn.XLOOKUP($K954&amp;"",PERIPHERAL!$B$3:$B$954&amp;"",PERIPHERAL!$H$3:$H$954,""),"Utilities",_xlfn.XLOOKUP($K954&amp;"",UTILITIES!$B$3:$B$953&amp;"",UTILITIES!$G$3:$G$953,""),"IOT",_xlfn.XLOOKUP($K954&amp;"",IOT!$B$3:$B$1012&amp;"",IOT!$H$3:$H$1012,""),"Server",_xlfn.XLOOKUP($K954&amp;"",SERVER!$B$3:$B$1009&amp;"",SERVER!$H$3:$H$1009,""),""),IF(TRIM(_xlpm.srcCat)&lt;&gt;TRIM($J954),"",_xlfn.SWITCH($I954,"Computer",_xlfn.XLOOKUP($K954&amp;"",COMPUTER!$B$3:$B$1009&amp;"",COMPUTER!$K$3:$K$1009,""),"Display",_xlfn.XLOOKUP($K954&amp;"",DISPLAY!$B$3:$B$1000&amp;"",DISPLAY!$L$3:$L$1000,""),"Network Device",_xlfn.XLOOKUP($K954&amp;"",'NETWORK-DEVICES'!$B$3:$B$987&amp;"",'NETWORK-DEVICES'!$K$3:$K$987,""),"Peripheral",_xlfn.XLOOKUP($K954&amp;"",PERIPHERAL!$B$3:$B$954&amp;"",PERIPHERAL!$K$3:$K$954,""),"Utilities",_xlfn.XLOOKUP($K954&amp;"",UTILITIES!$B$3:$B$953&amp;"",UTILITIES!$J$3:$J$953,""),"IOT",_xlfn.XLOOKUP($K954&amp;"",IOT!$B$3:$B$1012&amp;"",IOT!$K$4:$K$1012,""),"Server",_xlfn.XLOOKUP($K954&amp;"",SERVER!$B$3:$B$1009&amp;"",SERVER!$K$3:$K$1009,""),""))))</f>
        <v/>
      </c>
      <c r="O954" s="1" t="str" cm="1">
        <f t="array" ref="O954">IF(OR($K954="",$I954="",$J954=""),"",_xlfn.LET(_xlpm.srcCat,_xlfn.SWITCH($I954,"Computer",_xlfn.XLOOKUP($K954&amp;"",COMPUTER!$B$3:$B$1009&amp;"",COMPUTER!$H$3:$H$1009,""),"Display",_xlfn.XLOOKUP($K954&amp;"",DISPLAY!$B$3:$B$1000&amp;"",DISPLAY!$H$3:$H$1000,""),"Network Device",_xlfn.XLOOKUP($K954&amp;"",'NETWORK-DEVICES'!$B$3:$B$987&amp;"",'NETWORK-DEVICES'!$H$3:$H$987,""),"Peripheral",_xlfn.XLOOKUP($K954&amp;"",PERIPHERAL!$B$3:$B$954&amp;"",PERIPHERAL!$H$3:$H$954,""),"Utilities",_xlfn.XLOOKUP($K954&amp;"",UTILITIES!$B$3:$B$953&amp;"",UTILITIES!$G$3:$G$953,""),"IOT",_xlfn.XLOOKUP($K954&amp;"",IOT!$B$3:$B$1012&amp;"",IOT!$H$3:$H$1012,""),"Server",_xlfn.XLOOKUP($K954&amp;"",SERVER!$B$3:$B$1009&amp;"",SERVER!$H$3:$H$1009,""),""),IF(TRIM(_xlpm.srcCat)&lt;&gt;TRIM($J954),"",_xlfn.SWITCH($I954,"Computer",_xlfn.XLOOKUP($K954&amp;"",COMPUTER!$B$3:$B$1009&amp;"",COMPUTER!$E$3:$E$1009,""),"Display",_xlfn.XLOOKUP($K954&amp;"",DISPLAY!$B$3:$B$1000&amp;"",DISPLAY!$E$3:$E$1000,""),"Network Device",_xlfn.XLOOKUP($K954&amp;"",'NETWORK-DEVICES'!$B$3:$B$987&amp;"",'NETWORK-DEVICES'!$E$3:$E$987,""),"Peripheral",_xlfn.XLOOKUP($K954&amp;"",PERIPHERAL!$B$3:$B$954&amp;"",PERIPHERAL!$E$3:$E$954,""),"Utilities",_xlfn.XLOOKUP($K954&amp;"",UTILITIES!$B$3:$B$953&amp;"",UTILITIES!$E$3:$E$953,""),"IOT",_xlfn.XLOOKUP($K954&amp;"",IOT!$B$3:$B$1012&amp;"",IOT!$E$3:$E$1012,""),"Server",_xlfn.XLOOKUP($K954&amp;"",SERVER!$B$3:$B$1009&amp;"",SERVER!$E$3:$E$1009,""),""))))</f>
        <v/>
      </c>
      <c r="Q954" s="1" t="str" cm="1">
        <f t="array" ref="Q954">IF(OR($K954="",$I954="",$J954=""),"",_xlfn.LET(_xlpm.srcCat,_xlfn.SWITCH($I954,"Computer",_xlfn.XLOOKUP($K954&amp;"",COMPUTER!$B$3:$B$1009&amp;"",COMPUTER!$H$3:$H$1009,""),"Display",_xlfn.XLOOKUP($K954&amp;"",DISPLAY!$B$3:$B$1000&amp;"",DISPLAY!$H$3:$H$1000,""),"Network Device",_xlfn.XLOOKUP($K954&amp;"",'NETWORK-DEVICES'!$B$3:$B$987&amp;"",'NETWORK-DEVICES'!$H$3:$H$987,""),"Peripheral",_xlfn.XLOOKUP($K954&amp;"",PERIPHERAL!$B$3:$B$954&amp;"",PERIPHERAL!$H$3:$H$954,""),"Utilities",_xlfn.XLOOKUP($K954&amp;"",UTILITIES!$B$3:$B$953&amp;"",UTILITIES!$G$3:$G$953,""),"IOT",_xlfn.XLOOKUP($K954&amp;"",IOT!$B$3:$B$1012&amp;"",IOT!$H$3:$H$1012,""),"Server",_xlfn.XLOOKUP($K954&amp;"",SERVER!$B$3:$B$1009&amp;"",SERVER!$H$3:$H$1009,""),""),IF(TRIM(_xlpm.srcCat)&lt;&gt;TRIM($J954),"",_xlfn.SWITCH($I954,"Computer",_xlfn.XLOOKUP($K954&amp;"",COMPUTER!$B$3:$B$1009&amp;"",COMPUTER!$AM$3:$AM$1009,""),"Display",_xlfn.XLOOKUP($K954&amp;"",DISPLAY!$B$3:$B$1000&amp;"",DISPLAY!$V$3:$V$1000,""),"Network Device",_xlfn.XLOOKUP($K954&amp;"",'NETWORK-DEVICES'!$B$3:$B$987&amp;"",'NETWORK-DEVICES'!$AF$3:$AF$987,""),"Peripheral",_xlfn.XLOOKUP($K954&amp;"",PERIPHERAL!$B$3:$B$954&amp;"",PERIPHERAL!$Y$3:$Y$954,""),"Utilities",_xlfn.XLOOKUP($K954&amp;"",UTILITIES!$B$3:$B$953&amp;"",UTILITIES!$O$3:$O$953,""),"IOT",_xlfn.XLOOKUP($K954&amp;"",IOT!$B$3:$B$1012&amp;"",IOT!$AB$3:$AB$1012,""),"Server",_xlfn.XLOOKUP($K954&amp;"",SERVER!$B$3:$B$1009&amp;"",SERVER!$AB$3:$AB$1009,""),""))))</f>
        <v/>
      </c>
      <c r="R954" s="43" t="str">
        <f>IF(tbl_handover[[#This Row],[Asset Code]]="","",COUNTIF(tbl_handover[Asset Code],tbl_handover[[#This Row],[Asset Code]]))</f>
        <v/>
      </c>
    </row>
    <row r="955" spans="1:18" x14ac:dyDescent="0.25">
      <c r="A955" s="43" t="str">
        <f>IF(B955&lt;&gt;"",SUBTOTAL(3,$B$1:B954),"")</f>
        <v/>
      </c>
      <c r="C955" s="74"/>
      <c r="D955" s="74"/>
      <c r="G955" s="1"/>
      <c r="K955" s="42"/>
      <c r="L955" t="str" cm="1">
        <f t="array" ref="L955">IF($K955="","",_xlfn.SWITCH($I955,"Computer",_xlfn.XLOOKUP($K955&amp;"",COMPUTER!$B$3:$B$1009&amp;"",COMPUTER!$I$3:$I$1009,""),"Display",_xlfn.XLOOKUP($K955&amp;"",DISPLAY!$B$3:$B$1000&amp;"",DISPLAY!$J$3:$J$1000,""),"Network Device",_xlfn.XLOOKUP($K955&amp;"",'NETWORK-DEVICES'!$B$3:$B$987&amp;"",'NETWORK-DEVICES'!$I$3:$I$987,""),"Peripheral",_xlfn.XLOOKUP($K955&amp;"",PERIPHERAL!$B$3:$B$954&amp;"",PERIPHERAL!$I$3:$I$954,""),"Utilities",_xlfn.XLOOKUP($K955&amp;"",UTILITIES!$B$3:$B$953&amp;"",UTILITIES!$H$3:$H$953,""),"IOT",_xlfn.XLOOKUP($K955&amp;"",IOT!$B$3:$B$1012&amp;"",IOT!$I$3:$I$1012,""),"SERVER",_xlfn.XLOOKUP($K955&amp;"",SERVER!$B$3:$B$1009&amp;"",SERVER!$I$3:$I$1009,""),""))</f>
        <v/>
      </c>
      <c r="M955" t="str" cm="1">
        <f t="array" ref="M955">IF($K955="","",_xlfn.SWITCH($I955,"Computer",_xlfn.XLOOKUP($K955&amp;"",COMPUTER!$B$3:$B$1009&amp;"",COMPUTER!$J$3:$J$1009,""),"Display",_xlfn.XLOOKUP($K955&amp;"",DISPLAY!$B$3:$B$1000&amp;"",DISPLAY!$K$3:$K$1000,""),"Network Device",_xlfn.XLOOKUP($K955&amp;"",'NETWORK-DEVICES'!$B$3:$B$987&amp;"",'NETWORK-DEVICES'!$I$3:$I$987,""),"Peripheral",_xlfn.XLOOKUP($K955&amp;"",PERIPHERAL!$B$3:$B$954&amp;"",PERIPHERAL!$J$3:$J$954,""),"Utilities",_xlfn.XLOOKUP($K955&amp;"",UTILITIES!$B$3:$B$953&amp;"",UTILITIES!$I$3:$I$953,""),"IOT",_xlfn.XLOOKUP($K955&amp;"",IOT!$B$3:$B$1012&amp;"",IOT!$J$3:$J$1012,""),"Server",_xlfn.XLOOKUP($K955&amp;"",SERVER!$B$3:$B$1009&amp;"",SERVER!$J$3:$J$1009,""),""))</f>
        <v/>
      </c>
      <c r="N955" s="1" t="str" cm="1">
        <f t="array" ref="N955">IF(OR($K955="",$I955="",$J955=""),"",_xlfn.LET(_xlpm.srcCat,_xlfn.SWITCH($I955,"Computer",_xlfn.XLOOKUP($K955&amp;"",COMPUTER!$B$3:$B$1009&amp;"",COMPUTER!$H$3:$H$1009,""),"Display",_xlfn.XLOOKUP($K955&amp;"",DISPLAY!$B$3:$B$1000&amp;"",DISPLAY!$H$3:$H$1000,""),"Network Device",_xlfn.XLOOKUP($K955&amp;"",'NETWORK-DEVICES'!$B$3:$B$987&amp;"",'NETWORK-DEVICES'!$H$3:$H$987,""),"Peripheral",_xlfn.XLOOKUP($K955&amp;"",PERIPHERAL!$B$3:$B$954&amp;"",PERIPHERAL!$H$3:$H$954,""),"Utilities",_xlfn.XLOOKUP($K955&amp;"",UTILITIES!$B$3:$B$953&amp;"",UTILITIES!$G$3:$G$953,""),"IOT",_xlfn.XLOOKUP($K955&amp;"",IOT!$B$3:$B$1012&amp;"",IOT!$H$3:$H$1012,""),"Server",_xlfn.XLOOKUP($K955&amp;"",SERVER!$B$3:$B$1009&amp;"",SERVER!$H$3:$H$1009,""),""),IF(TRIM(_xlpm.srcCat)&lt;&gt;TRIM($J955),"",_xlfn.SWITCH($I955,"Computer",_xlfn.XLOOKUP($K955&amp;"",COMPUTER!$B$3:$B$1009&amp;"",COMPUTER!$K$3:$K$1009,""),"Display",_xlfn.XLOOKUP($K955&amp;"",DISPLAY!$B$3:$B$1000&amp;"",DISPLAY!$L$3:$L$1000,""),"Network Device",_xlfn.XLOOKUP($K955&amp;"",'NETWORK-DEVICES'!$B$3:$B$987&amp;"",'NETWORK-DEVICES'!$K$3:$K$987,""),"Peripheral",_xlfn.XLOOKUP($K955&amp;"",PERIPHERAL!$B$3:$B$954&amp;"",PERIPHERAL!$K$3:$K$954,""),"Utilities",_xlfn.XLOOKUP($K955&amp;"",UTILITIES!$B$3:$B$953&amp;"",UTILITIES!$J$3:$J$953,""),"IOT",_xlfn.XLOOKUP($K955&amp;"",IOT!$B$3:$B$1012&amp;"",IOT!$K$4:$K$1012,""),"Server",_xlfn.XLOOKUP($K955&amp;"",SERVER!$B$3:$B$1009&amp;"",SERVER!$K$3:$K$1009,""),""))))</f>
        <v/>
      </c>
      <c r="O955" s="1" t="str" cm="1">
        <f t="array" ref="O955">IF(OR($K955="",$I955="",$J955=""),"",_xlfn.LET(_xlpm.srcCat,_xlfn.SWITCH($I955,"Computer",_xlfn.XLOOKUP($K955&amp;"",COMPUTER!$B$3:$B$1009&amp;"",COMPUTER!$H$3:$H$1009,""),"Display",_xlfn.XLOOKUP($K955&amp;"",DISPLAY!$B$3:$B$1000&amp;"",DISPLAY!$H$3:$H$1000,""),"Network Device",_xlfn.XLOOKUP($K955&amp;"",'NETWORK-DEVICES'!$B$3:$B$987&amp;"",'NETWORK-DEVICES'!$H$3:$H$987,""),"Peripheral",_xlfn.XLOOKUP($K955&amp;"",PERIPHERAL!$B$3:$B$954&amp;"",PERIPHERAL!$H$3:$H$954,""),"Utilities",_xlfn.XLOOKUP($K955&amp;"",UTILITIES!$B$3:$B$953&amp;"",UTILITIES!$G$3:$G$953,""),"IOT",_xlfn.XLOOKUP($K955&amp;"",IOT!$B$3:$B$1012&amp;"",IOT!$H$3:$H$1012,""),"Server",_xlfn.XLOOKUP($K955&amp;"",SERVER!$B$3:$B$1009&amp;"",SERVER!$H$3:$H$1009,""),""),IF(TRIM(_xlpm.srcCat)&lt;&gt;TRIM($J955),"",_xlfn.SWITCH($I955,"Computer",_xlfn.XLOOKUP($K955&amp;"",COMPUTER!$B$3:$B$1009&amp;"",COMPUTER!$E$3:$E$1009,""),"Display",_xlfn.XLOOKUP($K955&amp;"",DISPLAY!$B$3:$B$1000&amp;"",DISPLAY!$E$3:$E$1000,""),"Network Device",_xlfn.XLOOKUP($K955&amp;"",'NETWORK-DEVICES'!$B$3:$B$987&amp;"",'NETWORK-DEVICES'!$E$3:$E$987,""),"Peripheral",_xlfn.XLOOKUP($K955&amp;"",PERIPHERAL!$B$3:$B$954&amp;"",PERIPHERAL!$E$3:$E$954,""),"Utilities",_xlfn.XLOOKUP($K955&amp;"",UTILITIES!$B$3:$B$953&amp;"",UTILITIES!$E$3:$E$953,""),"IOT",_xlfn.XLOOKUP($K955&amp;"",IOT!$B$3:$B$1012&amp;"",IOT!$E$3:$E$1012,""),"Server",_xlfn.XLOOKUP($K955&amp;"",SERVER!$B$3:$B$1009&amp;"",SERVER!$E$3:$E$1009,""),""))))</f>
        <v/>
      </c>
      <c r="Q955" s="1" t="str" cm="1">
        <f t="array" ref="Q955">IF(OR($K955="",$I955="",$J955=""),"",_xlfn.LET(_xlpm.srcCat,_xlfn.SWITCH($I955,"Computer",_xlfn.XLOOKUP($K955&amp;"",COMPUTER!$B$3:$B$1009&amp;"",COMPUTER!$H$3:$H$1009,""),"Display",_xlfn.XLOOKUP($K955&amp;"",DISPLAY!$B$3:$B$1000&amp;"",DISPLAY!$H$3:$H$1000,""),"Network Device",_xlfn.XLOOKUP($K955&amp;"",'NETWORK-DEVICES'!$B$3:$B$987&amp;"",'NETWORK-DEVICES'!$H$3:$H$987,""),"Peripheral",_xlfn.XLOOKUP($K955&amp;"",PERIPHERAL!$B$3:$B$954&amp;"",PERIPHERAL!$H$3:$H$954,""),"Utilities",_xlfn.XLOOKUP($K955&amp;"",UTILITIES!$B$3:$B$953&amp;"",UTILITIES!$G$3:$G$953,""),"IOT",_xlfn.XLOOKUP($K955&amp;"",IOT!$B$3:$B$1012&amp;"",IOT!$H$3:$H$1012,""),"Server",_xlfn.XLOOKUP($K955&amp;"",SERVER!$B$3:$B$1009&amp;"",SERVER!$H$3:$H$1009,""),""),IF(TRIM(_xlpm.srcCat)&lt;&gt;TRIM($J955),"",_xlfn.SWITCH($I955,"Computer",_xlfn.XLOOKUP($K955&amp;"",COMPUTER!$B$3:$B$1009&amp;"",COMPUTER!$AM$3:$AM$1009,""),"Display",_xlfn.XLOOKUP($K955&amp;"",DISPLAY!$B$3:$B$1000&amp;"",DISPLAY!$V$3:$V$1000,""),"Network Device",_xlfn.XLOOKUP($K955&amp;"",'NETWORK-DEVICES'!$B$3:$B$987&amp;"",'NETWORK-DEVICES'!$AF$3:$AF$987,""),"Peripheral",_xlfn.XLOOKUP($K955&amp;"",PERIPHERAL!$B$3:$B$954&amp;"",PERIPHERAL!$Y$3:$Y$954,""),"Utilities",_xlfn.XLOOKUP($K955&amp;"",UTILITIES!$B$3:$B$953&amp;"",UTILITIES!$O$3:$O$953,""),"IOT",_xlfn.XLOOKUP($K955&amp;"",IOT!$B$3:$B$1012&amp;"",IOT!$AB$3:$AB$1012,""),"Server",_xlfn.XLOOKUP($K955&amp;"",SERVER!$B$3:$B$1009&amp;"",SERVER!$AB$3:$AB$1009,""),""))))</f>
        <v/>
      </c>
      <c r="R955" s="43" t="str">
        <f>IF(tbl_handover[[#This Row],[Asset Code]]="","",COUNTIF(tbl_handover[Asset Code],tbl_handover[[#This Row],[Asset Code]]))</f>
        <v/>
      </c>
    </row>
    <row r="956" spans="1:18" x14ac:dyDescent="0.25">
      <c r="A956" s="43" t="str">
        <f>IF(B956&lt;&gt;"",SUBTOTAL(3,$B$1:B955),"")</f>
        <v/>
      </c>
      <c r="C956" s="74"/>
      <c r="D956" s="74"/>
      <c r="G956" s="1"/>
      <c r="K956" s="42"/>
      <c r="L956" t="str" cm="1">
        <f t="array" ref="L956">IF($K956="","",_xlfn.SWITCH($I956,"Computer",_xlfn.XLOOKUP($K956&amp;"",COMPUTER!$B$3:$B$1009&amp;"",COMPUTER!$I$3:$I$1009,""),"Display",_xlfn.XLOOKUP($K956&amp;"",DISPLAY!$B$3:$B$1000&amp;"",DISPLAY!$J$3:$J$1000,""),"Network Device",_xlfn.XLOOKUP($K956&amp;"",'NETWORK-DEVICES'!$B$3:$B$987&amp;"",'NETWORK-DEVICES'!$I$3:$I$987,""),"Peripheral",_xlfn.XLOOKUP($K956&amp;"",PERIPHERAL!$B$3:$B$954&amp;"",PERIPHERAL!$I$3:$I$954,""),"Utilities",_xlfn.XLOOKUP($K956&amp;"",UTILITIES!$B$3:$B$953&amp;"",UTILITIES!$H$3:$H$953,""),"IOT",_xlfn.XLOOKUP($K956&amp;"",IOT!$B$3:$B$1012&amp;"",IOT!$I$3:$I$1012,""),"SERVER",_xlfn.XLOOKUP($K956&amp;"",SERVER!$B$3:$B$1009&amp;"",SERVER!$I$3:$I$1009,""),""))</f>
        <v/>
      </c>
      <c r="M956" t="str" cm="1">
        <f t="array" ref="M956">IF($K956="","",_xlfn.SWITCH($I956,"Computer",_xlfn.XLOOKUP($K956&amp;"",COMPUTER!$B$3:$B$1009&amp;"",COMPUTER!$J$3:$J$1009,""),"Display",_xlfn.XLOOKUP($K956&amp;"",DISPLAY!$B$3:$B$1000&amp;"",DISPLAY!$K$3:$K$1000,""),"Network Device",_xlfn.XLOOKUP($K956&amp;"",'NETWORK-DEVICES'!$B$3:$B$987&amp;"",'NETWORK-DEVICES'!$I$3:$I$987,""),"Peripheral",_xlfn.XLOOKUP($K956&amp;"",PERIPHERAL!$B$3:$B$954&amp;"",PERIPHERAL!$J$3:$J$954,""),"Utilities",_xlfn.XLOOKUP($K956&amp;"",UTILITIES!$B$3:$B$953&amp;"",UTILITIES!$I$3:$I$953,""),"IOT",_xlfn.XLOOKUP($K956&amp;"",IOT!$B$3:$B$1012&amp;"",IOT!$J$3:$J$1012,""),"Server",_xlfn.XLOOKUP($K956&amp;"",SERVER!$B$3:$B$1009&amp;"",SERVER!$J$3:$J$1009,""),""))</f>
        <v/>
      </c>
      <c r="N956" s="1" t="str" cm="1">
        <f t="array" ref="N956">IF(OR($K956="",$I956="",$J956=""),"",_xlfn.LET(_xlpm.srcCat,_xlfn.SWITCH($I956,"Computer",_xlfn.XLOOKUP($K956&amp;"",COMPUTER!$B$3:$B$1009&amp;"",COMPUTER!$H$3:$H$1009,""),"Display",_xlfn.XLOOKUP($K956&amp;"",DISPLAY!$B$3:$B$1000&amp;"",DISPLAY!$H$3:$H$1000,""),"Network Device",_xlfn.XLOOKUP($K956&amp;"",'NETWORK-DEVICES'!$B$3:$B$987&amp;"",'NETWORK-DEVICES'!$H$3:$H$987,""),"Peripheral",_xlfn.XLOOKUP($K956&amp;"",PERIPHERAL!$B$3:$B$954&amp;"",PERIPHERAL!$H$3:$H$954,""),"Utilities",_xlfn.XLOOKUP($K956&amp;"",UTILITIES!$B$3:$B$953&amp;"",UTILITIES!$G$3:$G$953,""),"IOT",_xlfn.XLOOKUP($K956&amp;"",IOT!$B$3:$B$1012&amp;"",IOT!$H$3:$H$1012,""),"Server",_xlfn.XLOOKUP($K956&amp;"",SERVER!$B$3:$B$1009&amp;"",SERVER!$H$3:$H$1009,""),""),IF(TRIM(_xlpm.srcCat)&lt;&gt;TRIM($J956),"",_xlfn.SWITCH($I956,"Computer",_xlfn.XLOOKUP($K956&amp;"",COMPUTER!$B$3:$B$1009&amp;"",COMPUTER!$K$3:$K$1009,""),"Display",_xlfn.XLOOKUP($K956&amp;"",DISPLAY!$B$3:$B$1000&amp;"",DISPLAY!$L$3:$L$1000,""),"Network Device",_xlfn.XLOOKUP($K956&amp;"",'NETWORK-DEVICES'!$B$3:$B$987&amp;"",'NETWORK-DEVICES'!$K$3:$K$987,""),"Peripheral",_xlfn.XLOOKUP($K956&amp;"",PERIPHERAL!$B$3:$B$954&amp;"",PERIPHERAL!$K$3:$K$954,""),"Utilities",_xlfn.XLOOKUP($K956&amp;"",UTILITIES!$B$3:$B$953&amp;"",UTILITIES!$J$3:$J$953,""),"IOT",_xlfn.XLOOKUP($K956&amp;"",IOT!$B$3:$B$1012&amp;"",IOT!$K$4:$K$1012,""),"Server",_xlfn.XLOOKUP($K956&amp;"",SERVER!$B$3:$B$1009&amp;"",SERVER!$K$3:$K$1009,""),""))))</f>
        <v/>
      </c>
      <c r="O956" s="1" t="str" cm="1">
        <f t="array" ref="O956">IF(OR($K956="",$I956="",$J956=""),"",_xlfn.LET(_xlpm.srcCat,_xlfn.SWITCH($I956,"Computer",_xlfn.XLOOKUP($K956&amp;"",COMPUTER!$B$3:$B$1009&amp;"",COMPUTER!$H$3:$H$1009,""),"Display",_xlfn.XLOOKUP($K956&amp;"",DISPLAY!$B$3:$B$1000&amp;"",DISPLAY!$H$3:$H$1000,""),"Network Device",_xlfn.XLOOKUP($K956&amp;"",'NETWORK-DEVICES'!$B$3:$B$987&amp;"",'NETWORK-DEVICES'!$H$3:$H$987,""),"Peripheral",_xlfn.XLOOKUP($K956&amp;"",PERIPHERAL!$B$3:$B$954&amp;"",PERIPHERAL!$H$3:$H$954,""),"Utilities",_xlfn.XLOOKUP($K956&amp;"",UTILITIES!$B$3:$B$953&amp;"",UTILITIES!$G$3:$G$953,""),"IOT",_xlfn.XLOOKUP($K956&amp;"",IOT!$B$3:$B$1012&amp;"",IOT!$H$3:$H$1012,""),"Server",_xlfn.XLOOKUP($K956&amp;"",SERVER!$B$3:$B$1009&amp;"",SERVER!$H$3:$H$1009,""),""),IF(TRIM(_xlpm.srcCat)&lt;&gt;TRIM($J956),"",_xlfn.SWITCH($I956,"Computer",_xlfn.XLOOKUP($K956&amp;"",COMPUTER!$B$3:$B$1009&amp;"",COMPUTER!$E$3:$E$1009,""),"Display",_xlfn.XLOOKUP($K956&amp;"",DISPLAY!$B$3:$B$1000&amp;"",DISPLAY!$E$3:$E$1000,""),"Network Device",_xlfn.XLOOKUP($K956&amp;"",'NETWORK-DEVICES'!$B$3:$B$987&amp;"",'NETWORK-DEVICES'!$E$3:$E$987,""),"Peripheral",_xlfn.XLOOKUP($K956&amp;"",PERIPHERAL!$B$3:$B$954&amp;"",PERIPHERAL!$E$3:$E$954,""),"Utilities",_xlfn.XLOOKUP($K956&amp;"",UTILITIES!$B$3:$B$953&amp;"",UTILITIES!$E$3:$E$953,""),"IOT",_xlfn.XLOOKUP($K956&amp;"",IOT!$B$3:$B$1012&amp;"",IOT!$E$3:$E$1012,""),"Server",_xlfn.XLOOKUP($K956&amp;"",SERVER!$B$3:$B$1009&amp;"",SERVER!$E$3:$E$1009,""),""))))</f>
        <v/>
      </c>
      <c r="Q956" s="1" t="str" cm="1">
        <f t="array" ref="Q956">IF(OR($K956="",$I956="",$J956=""),"",_xlfn.LET(_xlpm.srcCat,_xlfn.SWITCH($I956,"Computer",_xlfn.XLOOKUP($K956&amp;"",COMPUTER!$B$3:$B$1009&amp;"",COMPUTER!$H$3:$H$1009,""),"Display",_xlfn.XLOOKUP($K956&amp;"",DISPLAY!$B$3:$B$1000&amp;"",DISPLAY!$H$3:$H$1000,""),"Network Device",_xlfn.XLOOKUP($K956&amp;"",'NETWORK-DEVICES'!$B$3:$B$987&amp;"",'NETWORK-DEVICES'!$H$3:$H$987,""),"Peripheral",_xlfn.XLOOKUP($K956&amp;"",PERIPHERAL!$B$3:$B$954&amp;"",PERIPHERAL!$H$3:$H$954,""),"Utilities",_xlfn.XLOOKUP($K956&amp;"",UTILITIES!$B$3:$B$953&amp;"",UTILITIES!$G$3:$G$953,""),"IOT",_xlfn.XLOOKUP($K956&amp;"",IOT!$B$3:$B$1012&amp;"",IOT!$H$3:$H$1012,""),"Server",_xlfn.XLOOKUP($K956&amp;"",SERVER!$B$3:$B$1009&amp;"",SERVER!$H$3:$H$1009,""),""),IF(TRIM(_xlpm.srcCat)&lt;&gt;TRIM($J956),"",_xlfn.SWITCH($I956,"Computer",_xlfn.XLOOKUP($K956&amp;"",COMPUTER!$B$3:$B$1009&amp;"",COMPUTER!$AM$3:$AM$1009,""),"Display",_xlfn.XLOOKUP($K956&amp;"",DISPLAY!$B$3:$B$1000&amp;"",DISPLAY!$V$3:$V$1000,""),"Network Device",_xlfn.XLOOKUP($K956&amp;"",'NETWORK-DEVICES'!$B$3:$B$987&amp;"",'NETWORK-DEVICES'!$AF$3:$AF$987,""),"Peripheral",_xlfn.XLOOKUP($K956&amp;"",PERIPHERAL!$B$3:$B$954&amp;"",PERIPHERAL!$Y$3:$Y$954,""),"Utilities",_xlfn.XLOOKUP($K956&amp;"",UTILITIES!$B$3:$B$953&amp;"",UTILITIES!$O$3:$O$953,""),"IOT",_xlfn.XLOOKUP($K956&amp;"",IOT!$B$3:$B$1012&amp;"",IOT!$AB$3:$AB$1012,""),"Server",_xlfn.XLOOKUP($K956&amp;"",SERVER!$B$3:$B$1009&amp;"",SERVER!$AB$3:$AB$1009,""),""))))</f>
        <v/>
      </c>
      <c r="R956" s="43" t="str">
        <f>IF(tbl_handover[[#This Row],[Asset Code]]="","",COUNTIF(tbl_handover[Asset Code],tbl_handover[[#This Row],[Asset Code]]))</f>
        <v/>
      </c>
    </row>
    <row r="957" spans="1:18" x14ac:dyDescent="0.25">
      <c r="A957" s="43" t="str">
        <f>IF(B957&lt;&gt;"",SUBTOTAL(3,$B$1:B956),"")</f>
        <v/>
      </c>
      <c r="C957" s="74"/>
      <c r="D957" s="74"/>
      <c r="G957" s="1"/>
      <c r="K957" s="42"/>
      <c r="L957" t="str" cm="1">
        <f t="array" ref="L957">IF($K957="","",_xlfn.SWITCH($I957,"Computer",_xlfn.XLOOKUP($K957&amp;"",COMPUTER!$B$3:$B$1009&amp;"",COMPUTER!$I$3:$I$1009,""),"Display",_xlfn.XLOOKUP($K957&amp;"",DISPLAY!$B$3:$B$1000&amp;"",DISPLAY!$J$3:$J$1000,""),"Network Device",_xlfn.XLOOKUP($K957&amp;"",'NETWORK-DEVICES'!$B$3:$B$987&amp;"",'NETWORK-DEVICES'!$I$3:$I$987,""),"Peripheral",_xlfn.XLOOKUP($K957&amp;"",PERIPHERAL!$B$3:$B$954&amp;"",PERIPHERAL!$I$3:$I$954,""),"Utilities",_xlfn.XLOOKUP($K957&amp;"",UTILITIES!$B$3:$B$953&amp;"",UTILITIES!$H$3:$H$953,""),"IOT",_xlfn.XLOOKUP($K957&amp;"",IOT!$B$3:$B$1012&amp;"",IOT!$I$3:$I$1012,""),"SERVER",_xlfn.XLOOKUP($K957&amp;"",SERVER!$B$3:$B$1009&amp;"",SERVER!$I$3:$I$1009,""),""))</f>
        <v/>
      </c>
      <c r="M957" t="str" cm="1">
        <f t="array" ref="M957">IF($K957="","",_xlfn.SWITCH($I957,"Computer",_xlfn.XLOOKUP($K957&amp;"",COMPUTER!$B$3:$B$1009&amp;"",COMPUTER!$J$3:$J$1009,""),"Display",_xlfn.XLOOKUP($K957&amp;"",DISPLAY!$B$3:$B$1000&amp;"",DISPLAY!$K$3:$K$1000,""),"Network Device",_xlfn.XLOOKUP($K957&amp;"",'NETWORK-DEVICES'!$B$3:$B$987&amp;"",'NETWORK-DEVICES'!$I$3:$I$987,""),"Peripheral",_xlfn.XLOOKUP($K957&amp;"",PERIPHERAL!$B$3:$B$954&amp;"",PERIPHERAL!$J$3:$J$954,""),"Utilities",_xlfn.XLOOKUP($K957&amp;"",UTILITIES!$B$3:$B$953&amp;"",UTILITIES!$I$3:$I$953,""),"IOT",_xlfn.XLOOKUP($K957&amp;"",IOT!$B$3:$B$1012&amp;"",IOT!$J$3:$J$1012,""),"Server",_xlfn.XLOOKUP($K957&amp;"",SERVER!$B$3:$B$1009&amp;"",SERVER!$J$3:$J$1009,""),""))</f>
        <v/>
      </c>
      <c r="N957" s="1" t="str" cm="1">
        <f t="array" ref="N957">IF(OR($K957="",$I957="",$J957=""),"",_xlfn.LET(_xlpm.srcCat,_xlfn.SWITCH($I957,"Computer",_xlfn.XLOOKUP($K957&amp;"",COMPUTER!$B$3:$B$1009&amp;"",COMPUTER!$H$3:$H$1009,""),"Display",_xlfn.XLOOKUP($K957&amp;"",DISPLAY!$B$3:$B$1000&amp;"",DISPLAY!$H$3:$H$1000,""),"Network Device",_xlfn.XLOOKUP($K957&amp;"",'NETWORK-DEVICES'!$B$3:$B$987&amp;"",'NETWORK-DEVICES'!$H$3:$H$987,""),"Peripheral",_xlfn.XLOOKUP($K957&amp;"",PERIPHERAL!$B$3:$B$954&amp;"",PERIPHERAL!$H$3:$H$954,""),"Utilities",_xlfn.XLOOKUP($K957&amp;"",UTILITIES!$B$3:$B$953&amp;"",UTILITIES!$G$3:$G$953,""),"IOT",_xlfn.XLOOKUP($K957&amp;"",IOT!$B$3:$B$1012&amp;"",IOT!$H$3:$H$1012,""),"Server",_xlfn.XLOOKUP($K957&amp;"",SERVER!$B$3:$B$1009&amp;"",SERVER!$H$3:$H$1009,""),""),IF(TRIM(_xlpm.srcCat)&lt;&gt;TRIM($J957),"",_xlfn.SWITCH($I957,"Computer",_xlfn.XLOOKUP($K957&amp;"",COMPUTER!$B$3:$B$1009&amp;"",COMPUTER!$K$3:$K$1009,""),"Display",_xlfn.XLOOKUP($K957&amp;"",DISPLAY!$B$3:$B$1000&amp;"",DISPLAY!$L$3:$L$1000,""),"Network Device",_xlfn.XLOOKUP($K957&amp;"",'NETWORK-DEVICES'!$B$3:$B$987&amp;"",'NETWORK-DEVICES'!$K$3:$K$987,""),"Peripheral",_xlfn.XLOOKUP($K957&amp;"",PERIPHERAL!$B$3:$B$954&amp;"",PERIPHERAL!$K$3:$K$954,""),"Utilities",_xlfn.XLOOKUP($K957&amp;"",UTILITIES!$B$3:$B$953&amp;"",UTILITIES!$J$3:$J$953,""),"IOT",_xlfn.XLOOKUP($K957&amp;"",IOT!$B$3:$B$1012&amp;"",IOT!$K$4:$K$1012,""),"Server",_xlfn.XLOOKUP($K957&amp;"",SERVER!$B$3:$B$1009&amp;"",SERVER!$K$3:$K$1009,""),""))))</f>
        <v/>
      </c>
      <c r="O957" s="1" t="str" cm="1">
        <f t="array" ref="O957">IF(OR($K957="",$I957="",$J957=""),"",_xlfn.LET(_xlpm.srcCat,_xlfn.SWITCH($I957,"Computer",_xlfn.XLOOKUP($K957&amp;"",COMPUTER!$B$3:$B$1009&amp;"",COMPUTER!$H$3:$H$1009,""),"Display",_xlfn.XLOOKUP($K957&amp;"",DISPLAY!$B$3:$B$1000&amp;"",DISPLAY!$H$3:$H$1000,""),"Network Device",_xlfn.XLOOKUP($K957&amp;"",'NETWORK-DEVICES'!$B$3:$B$987&amp;"",'NETWORK-DEVICES'!$H$3:$H$987,""),"Peripheral",_xlfn.XLOOKUP($K957&amp;"",PERIPHERAL!$B$3:$B$954&amp;"",PERIPHERAL!$H$3:$H$954,""),"Utilities",_xlfn.XLOOKUP($K957&amp;"",UTILITIES!$B$3:$B$953&amp;"",UTILITIES!$G$3:$G$953,""),"IOT",_xlfn.XLOOKUP($K957&amp;"",IOT!$B$3:$B$1012&amp;"",IOT!$H$3:$H$1012,""),"Server",_xlfn.XLOOKUP($K957&amp;"",SERVER!$B$3:$B$1009&amp;"",SERVER!$H$3:$H$1009,""),""),IF(TRIM(_xlpm.srcCat)&lt;&gt;TRIM($J957),"",_xlfn.SWITCH($I957,"Computer",_xlfn.XLOOKUP($K957&amp;"",COMPUTER!$B$3:$B$1009&amp;"",COMPUTER!$E$3:$E$1009,""),"Display",_xlfn.XLOOKUP($K957&amp;"",DISPLAY!$B$3:$B$1000&amp;"",DISPLAY!$E$3:$E$1000,""),"Network Device",_xlfn.XLOOKUP($K957&amp;"",'NETWORK-DEVICES'!$B$3:$B$987&amp;"",'NETWORK-DEVICES'!$E$3:$E$987,""),"Peripheral",_xlfn.XLOOKUP($K957&amp;"",PERIPHERAL!$B$3:$B$954&amp;"",PERIPHERAL!$E$3:$E$954,""),"Utilities",_xlfn.XLOOKUP($K957&amp;"",UTILITIES!$B$3:$B$953&amp;"",UTILITIES!$E$3:$E$953,""),"IOT",_xlfn.XLOOKUP($K957&amp;"",IOT!$B$3:$B$1012&amp;"",IOT!$E$3:$E$1012,""),"Server",_xlfn.XLOOKUP($K957&amp;"",SERVER!$B$3:$B$1009&amp;"",SERVER!$E$3:$E$1009,""),""))))</f>
        <v/>
      </c>
      <c r="Q957" s="1" t="str" cm="1">
        <f t="array" ref="Q957">IF(OR($K957="",$I957="",$J957=""),"",_xlfn.LET(_xlpm.srcCat,_xlfn.SWITCH($I957,"Computer",_xlfn.XLOOKUP($K957&amp;"",COMPUTER!$B$3:$B$1009&amp;"",COMPUTER!$H$3:$H$1009,""),"Display",_xlfn.XLOOKUP($K957&amp;"",DISPLAY!$B$3:$B$1000&amp;"",DISPLAY!$H$3:$H$1000,""),"Network Device",_xlfn.XLOOKUP($K957&amp;"",'NETWORK-DEVICES'!$B$3:$B$987&amp;"",'NETWORK-DEVICES'!$H$3:$H$987,""),"Peripheral",_xlfn.XLOOKUP($K957&amp;"",PERIPHERAL!$B$3:$B$954&amp;"",PERIPHERAL!$H$3:$H$954,""),"Utilities",_xlfn.XLOOKUP($K957&amp;"",UTILITIES!$B$3:$B$953&amp;"",UTILITIES!$G$3:$G$953,""),"IOT",_xlfn.XLOOKUP($K957&amp;"",IOT!$B$3:$B$1012&amp;"",IOT!$H$3:$H$1012,""),"Server",_xlfn.XLOOKUP($K957&amp;"",SERVER!$B$3:$B$1009&amp;"",SERVER!$H$3:$H$1009,""),""),IF(TRIM(_xlpm.srcCat)&lt;&gt;TRIM($J957),"",_xlfn.SWITCH($I957,"Computer",_xlfn.XLOOKUP($K957&amp;"",COMPUTER!$B$3:$B$1009&amp;"",COMPUTER!$AM$3:$AM$1009,""),"Display",_xlfn.XLOOKUP($K957&amp;"",DISPLAY!$B$3:$B$1000&amp;"",DISPLAY!$V$3:$V$1000,""),"Network Device",_xlfn.XLOOKUP($K957&amp;"",'NETWORK-DEVICES'!$B$3:$B$987&amp;"",'NETWORK-DEVICES'!$AF$3:$AF$987,""),"Peripheral",_xlfn.XLOOKUP($K957&amp;"",PERIPHERAL!$B$3:$B$954&amp;"",PERIPHERAL!$Y$3:$Y$954,""),"Utilities",_xlfn.XLOOKUP($K957&amp;"",UTILITIES!$B$3:$B$953&amp;"",UTILITIES!$O$3:$O$953,""),"IOT",_xlfn.XLOOKUP($K957&amp;"",IOT!$B$3:$B$1012&amp;"",IOT!$AB$3:$AB$1012,""),"Server",_xlfn.XLOOKUP($K957&amp;"",SERVER!$B$3:$B$1009&amp;"",SERVER!$AB$3:$AB$1009,""),""))))</f>
        <v/>
      </c>
      <c r="R957" s="43" t="str">
        <f>IF(tbl_handover[[#This Row],[Asset Code]]="","",COUNTIF(tbl_handover[Asset Code],tbl_handover[[#This Row],[Asset Code]]))</f>
        <v/>
      </c>
    </row>
    <row r="958" spans="1:18" x14ac:dyDescent="0.25">
      <c r="A958" s="43" t="str">
        <f>IF(B958&lt;&gt;"",SUBTOTAL(3,$B$1:B957),"")</f>
        <v/>
      </c>
      <c r="C958" s="74"/>
      <c r="D958" s="74"/>
      <c r="G958" s="1"/>
      <c r="K958" s="42"/>
      <c r="L958" t="str" cm="1">
        <f t="array" ref="L958">IF($K958="","",_xlfn.SWITCH($I958,"Computer",_xlfn.XLOOKUP($K958&amp;"",COMPUTER!$B$3:$B$1009&amp;"",COMPUTER!$I$3:$I$1009,""),"Display",_xlfn.XLOOKUP($K958&amp;"",DISPLAY!$B$3:$B$1000&amp;"",DISPLAY!$J$3:$J$1000,""),"Network Device",_xlfn.XLOOKUP($K958&amp;"",'NETWORK-DEVICES'!$B$3:$B$987&amp;"",'NETWORK-DEVICES'!$I$3:$I$987,""),"Peripheral",_xlfn.XLOOKUP($K958&amp;"",PERIPHERAL!$B$3:$B$954&amp;"",PERIPHERAL!$I$3:$I$954,""),"Utilities",_xlfn.XLOOKUP($K958&amp;"",UTILITIES!$B$3:$B$953&amp;"",UTILITIES!$H$3:$H$953,""),"IOT",_xlfn.XLOOKUP($K958&amp;"",IOT!$B$3:$B$1012&amp;"",IOT!$I$3:$I$1012,""),"SERVER",_xlfn.XLOOKUP($K958&amp;"",SERVER!$B$3:$B$1009&amp;"",SERVER!$I$3:$I$1009,""),""))</f>
        <v/>
      </c>
      <c r="M958" t="str" cm="1">
        <f t="array" ref="M958">IF($K958="","",_xlfn.SWITCH($I958,"Computer",_xlfn.XLOOKUP($K958&amp;"",COMPUTER!$B$3:$B$1009&amp;"",COMPUTER!$J$3:$J$1009,""),"Display",_xlfn.XLOOKUP($K958&amp;"",DISPLAY!$B$3:$B$1000&amp;"",DISPLAY!$K$3:$K$1000,""),"Network Device",_xlfn.XLOOKUP($K958&amp;"",'NETWORK-DEVICES'!$B$3:$B$987&amp;"",'NETWORK-DEVICES'!$I$3:$I$987,""),"Peripheral",_xlfn.XLOOKUP($K958&amp;"",PERIPHERAL!$B$3:$B$954&amp;"",PERIPHERAL!$J$3:$J$954,""),"Utilities",_xlfn.XLOOKUP($K958&amp;"",UTILITIES!$B$3:$B$953&amp;"",UTILITIES!$I$3:$I$953,""),"IOT",_xlfn.XLOOKUP($K958&amp;"",IOT!$B$3:$B$1012&amp;"",IOT!$J$3:$J$1012,""),"Server",_xlfn.XLOOKUP($K958&amp;"",SERVER!$B$3:$B$1009&amp;"",SERVER!$J$3:$J$1009,""),""))</f>
        <v/>
      </c>
      <c r="N958" s="1" t="str" cm="1">
        <f t="array" ref="N958">IF(OR($K958="",$I958="",$J958=""),"",_xlfn.LET(_xlpm.srcCat,_xlfn.SWITCH($I958,"Computer",_xlfn.XLOOKUP($K958&amp;"",COMPUTER!$B$3:$B$1009&amp;"",COMPUTER!$H$3:$H$1009,""),"Display",_xlfn.XLOOKUP($K958&amp;"",DISPLAY!$B$3:$B$1000&amp;"",DISPLAY!$H$3:$H$1000,""),"Network Device",_xlfn.XLOOKUP($K958&amp;"",'NETWORK-DEVICES'!$B$3:$B$987&amp;"",'NETWORK-DEVICES'!$H$3:$H$987,""),"Peripheral",_xlfn.XLOOKUP($K958&amp;"",PERIPHERAL!$B$3:$B$954&amp;"",PERIPHERAL!$H$3:$H$954,""),"Utilities",_xlfn.XLOOKUP($K958&amp;"",UTILITIES!$B$3:$B$953&amp;"",UTILITIES!$G$3:$G$953,""),"IOT",_xlfn.XLOOKUP($K958&amp;"",IOT!$B$3:$B$1012&amp;"",IOT!$H$3:$H$1012,""),"Server",_xlfn.XLOOKUP($K958&amp;"",SERVER!$B$3:$B$1009&amp;"",SERVER!$H$3:$H$1009,""),""),IF(TRIM(_xlpm.srcCat)&lt;&gt;TRIM($J958),"",_xlfn.SWITCH($I958,"Computer",_xlfn.XLOOKUP($K958&amp;"",COMPUTER!$B$3:$B$1009&amp;"",COMPUTER!$K$3:$K$1009,""),"Display",_xlfn.XLOOKUP($K958&amp;"",DISPLAY!$B$3:$B$1000&amp;"",DISPLAY!$L$3:$L$1000,""),"Network Device",_xlfn.XLOOKUP($K958&amp;"",'NETWORK-DEVICES'!$B$3:$B$987&amp;"",'NETWORK-DEVICES'!$K$3:$K$987,""),"Peripheral",_xlfn.XLOOKUP($K958&amp;"",PERIPHERAL!$B$3:$B$954&amp;"",PERIPHERAL!$K$3:$K$954,""),"Utilities",_xlfn.XLOOKUP($K958&amp;"",UTILITIES!$B$3:$B$953&amp;"",UTILITIES!$J$3:$J$953,""),"IOT",_xlfn.XLOOKUP($K958&amp;"",IOT!$B$3:$B$1012&amp;"",IOT!$K$4:$K$1012,""),"Server",_xlfn.XLOOKUP($K958&amp;"",SERVER!$B$3:$B$1009&amp;"",SERVER!$K$3:$K$1009,""),""))))</f>
        <v/>
      </c>
      <c r="O958" s="1" t="str" cm="1">
        <f t="array" ref="O958">IF(OR($K958="",$I958="",$J958=""),"",_xlfn.LET(_xlpm.srcCat,_xlfn.SWITCH($I958,"Computer",_xlfn.XLOOKUP($K958&amp;"",COMPUTER!$B$3:$B$1009&amp;"",COMPUTER!$H$3:$H$1009,""),"Display",_xlfn.XLOOKUP($K958&amp;"",DISPLAY!$B$3:$B$1000&amp;"",DISPLAY!$H$3:$H$1000,""),"Network Device",_xlfn.XLOOKUP($K958&amp;"",'NETWORK-DEVICES'!$B$3:$B$987&amp;"",'NETWORK-DEVICES'!$H$3:$H$987,""),"Peripheral",_xlfn.XLOOKUP($K958&amp;"",PERIPHERAL!$B$3:$B$954&amp;"",PERIPHERAL!$H$3:$H$954,""),"Utilities",_xlfn.XLOOKUP($K958&amp;"",UTILITIES!$B$3:$B$953&amp;"",UTILITIES!$G$3:$G$953,""),"IOT",_xlfn.XLOOKUP($K958&amp;"",IOT!$B$3:$B$1012&amp;"",IOT!$H$3:$H$1012,""),"Server",_xlfn.XLOOKUP($K958&amp;"",SERVER!$B$3:$B$1009&amp;"",SERVER!$H$3:$H$1009,""),""),IF(TRIM(_xlpm.srcCat)&lt;&gt;TRIM($J958),"",_xlfn.SWITCH($I958,"Computer",_xlfn.XLOOKUP($K958&amp;"",COMPUTER!$B$3:$B$1009&amp;"",COMPUTER!$E$3:$E$1009,""),"Display",_xlfn.XLOOKUP($K958&amp;"",DISPLAY!$B$3:$B$1000&amp;"",DISPLAY!$E$3:$E$1000,""),"Network Device",_xlfn.XLOOKUP($K958&amp;"",'NETWORK-DEVICES'!$B$3:$B$987&amp;"",'NETWORK-DEVICES'!$E$3:$E$987,""),"Peripheral",_xlfn.XLOOKUP($K958&amp;"",PERIPHERAL!$B$3:$B$954&amp;"",PERIPHERAL!$E$3:$E$954,""),"Utilities",_xlfn.XLOOKUP($K958&amp;"",UTILITIES!$B$3:$B$953&amp;"",UTILITIES!$E$3:$E$953,""),"IOT",_xlfn.XLOOKUP($K958&amp;"",IOT!$B$3:$B$1012&amp;"",IOT!$E$3:$E$1012,""),"Server",_xlfn.XLOOKUP($K958&amp;"",SERVER!$B$3:$B$1009&amp;"",SERVER!$E$3:$E$1009,""),""))))</f>
        <v/>
      </c>
      <c r="Q958" s="1" t="str" cm="1">
        <f t="array" ref="Q958">IF(OR($K958="",$I958="",$J958=""),"",_xlfn.LET(_xlpm.srcCat,_xlfn.SWITCH($I958,"Computer",_xlfn.XLOOKUP($K958&amp;"",COMPUTER!$B$3:$B$1009&amp;"",COMPUTER!$H$3:$H$1009,""),"Display",_xlfn.XLOOKUP($K958&amp;"",DISPLAY!$B$3:$B$1000&amp;"",DISPLAY!$H$3:$H$1000,""),"Network Device",_xlfn.XLOOKUP($K958&amp;"",'NETWORK-DEVICES'!$B$3:$B$987&amp;"",'NETWORK-DEVICES'!$H$3:$H$987,""),"Peripheral",_xlfn.XLOOKUP($K958&amp;"",PERIPHERAL!$B$3:$B$954&amp;"",PERIPHERAL!$H$3:$H$954,""),"Utilities",_xlfn.XLOOKUP($K958&amp;"",UTILITIES!$B$3:$B$953&amp;"",UTILITIES!$G$3:$G$953,""),"IOT",_xlfn.XLOOKUP($K958&amp;"",IOT!$B$3:$B$1012&amp;"",IOT!$H$3:$H$1012,""),"Server",_xlfn.XLOOKUP($K958&amp;"",SERVER!$B$3:$B$1009&amp;"",SERVER!$H$3:$H$1009,""),""),IF(TRIM(_xlpm.srcCat)&lt;&gt;TRIM($J958),"",_xlfn.SWITCH($I958,"Computer",_xlfn.XLOOKUP($K958&amp;"",COMPUTER!$B$3:$B$1009&amp;"",COMPUTER!$AM$3:$AM$1009,""),"Display",_xlfn.XLOOKUP($K958&amp;"",DISPLAY!$B$3:$B$1000&amp;"",DISPLAY!$V$3:$V$1000,""),"Network Device",_xlfn.XLOOKUP($K958&amp;"",'NETWORK-DEVICES'!$B$3:$B$987&amp;"",'NETWORK-DEVICES'!$AF$3:$AF$987,""),"Peripheral",_xlfn.XLOOKUP($K958&amp;"",PERIPHERAL!$B$3:$B$954&amp;"",PERIPHERAL!$Y$3:$Y$954,""),"Utilities",_xlfn.XLOOKUP($K958&amp;"",UTILITIES!$B$3:$B$953&amp;"",UTILITIES!$O$3:$O$953,""),"IOT",_xlfn.XLOOKUP($K958&amp;"",IOT!$B$3:$B$1012&amp;"",IOT!$AB$3:$AB$1012,""),"Server",_xlfn.XLOOKUP($K958&amp;"",SERVER!$B$3:$B$1009&amp;"",SERVER!$AB$3:$AB$1009,""),""))))</f>
        <v/>
      </c>
      <c r="R958" s="43" t="str">
        <f>IF(tbl_handover[[#This Row],[Asset Code]]="","",COUNTIF(tbl_handover[Asset Code],tbl_handover[[#This Row],[Asset Code]]))</f>
        <v/>
      </c>
    </row>
    <row r="959" spans="1:18" x14ac:dyDescent="0.25">
      <c r="A959" s="43" t="str">
        <f>IF(B959&lt;&gt;"",SUBTOTAL(3,$B$1:B958),"")</f>
        <v/>
      </c>
      <c r="C959" s="74"/>
      <c r="D959" s="74"/>
      <c r="G959" s="1"/>
      <c r="K959" s="42"/>
      <c r="L959" t="str" cm="1">
        <f t="array" ref="L959">IF($K959="","",_xlfn.SWITCH($I959,"Computer",_xlfn.XLOOKUP($K959&amp;"",COMPUTER!$B$3:$B$1009&amp;"",COMPUTER!$I$3:$I$1009,""),"Display",_xlfn.XLOOKUP($K959&amp;"",DISPLAY!$B$3:$B$1000&amp;"",DISPLAY!$J$3:$J$1000,""),"Network Device",_xlfn.XLOOKUP($K959&amp;"",'NETWORK-DEVICES'!$B$3:$B$987&amp;"",'NETWORK-DEVICES'!$I$3:$I$987,""),"Peripheral",_xlfn.XLOOKUP($K959&amp;"",PERIPHERAL!$B$3:$B$954&amp;"",PERIPHERAL!$I$3:$I$954,""),"Utilities",_xlfn.XLOOKUP($K959&amp;"",UTILITIES!$B$3:$B$953&amp;"",UTILITIES!$H$3:$H$953,""),"IOT",_xlfn.XLOOKUP($K959&amp;"",IOT!$B$3:$B$1012&amp;"",IOT!$I$3:$I$1012,""),"SERVER",_xlfn.XLOOKUP($K959&amp;"",SERVER!$B$3:$B$1009&amp;"",SERVER!$I$3:$I$1009,""),""))</f>
        <v/>
      </c>
      <c r="M959" t="str" cm="1">
        <f t="array" ref="M959">IF($K959="","",_xlfn.SWITCH($I959,"Computer",_xlfn.XLOOKUP($K959&amp;"",COMPUTER!$B$3:$B$1009&amp;"",COMPUTER!$J$3:$J$1009,""),"Display",_xlfn.XLOOKUP($K959&amp;"",DISPLAY!$B$3:$B$1000&amp;"",DISPLAY!$K$3:$K$1000,""),"Network Device",_xlfn.XLOOKUP($K959&amp;"",'NETWORK-DEVICES'!$B$3:$B$987&amp;"",'NETWORK-DEVICES'!$I$3:$I$987,""),"Peripheral",_xlfn.XLOOKUP($K959&amp;"",PERIPHERAL!$B$3:$B$954&amp;"",PERIPHERAL!$J$3:$J$954,""),"Utilities",_xlfn.XLOOKUP($K959&amp;"",UTILITIES!$B$3:$B$953&amp;"",UTILITIES!$I$3:$I$953,""),"IOT",_xlfn.XLOOKUP($K959&amp;"",IOT!$B$3:$B$1012&amp;"",IOT!$J$3:$J$1012,""),"Server",_xlfn.XLOOKUP($K959&amp;"",SERVER!$B$3:$B$1009&amp;"",SERVER!$J$3:$J$1009,""),""))</f>
        <v/>
      </c>
      <c r="N959" s="1" t="str" cm="1">
        <f t="array" ref="N959">IF(OR($K959="",$I959="",$J959=""),"",_xlfn.LET(_xlpm.srcCat,_xlfn.SWITCH($I959,"Computer",_xlfn.XLOOKUP($K959&amp;"",COMPUTER!$B$3:$B$1009&amp;"",COMPUTER!$H$3:$H$1009,""),"Display",_xlfn.XLOOKUP($K959&amp;"",DISPLAY!$B$3:$B$1000&amp;"",DISPLAY!$H$3:$H$1000,""),"Network Device",_xlfn.XLOOKUP($K959&amp;"",'NETWORK-DEVICES'!$B$3:$B$987&amp;"",'NETWORK-DEVICES'!$H$3:$H$987,""),"Peripheral",_xlfn.XLOOKUP($K959&amp;"",PERIPHERAL!$B$3:$B$954&amp;"",PERIPHERAL!$H$3:$H$954,""),"Utilities",_xlfn.XLOOKUP($K959&amp;"",UTILITIES!$B$3:$B$953&amp;"",UTILITIES!$G$3:$G$953,""),"IOT",_xlfn.XLOOKUP($K959&amp;"",IOT!$B$3:$B$1012&amp;"",IOT!$H$3:$H$1012,""),"Server",_xlfn.XLOOKUP($K959&amp;"",SERVER!$B$3:$B$1009&amp;"",SERVER!$H$3:$H$1009,""),""),IF(TRIM(_xlpm.srcCat)&lt;&gt;TRIM($J959),"",_xlfn.SWITCH($I959,"Computer",_xlfn.XLOOKUP($K959&amp;"",COMPUTER!$B$3:$B$1009&amp;"",COMPUTER!$K$3:$K$1009,""),"Display",_xlfn.XLOOKUP($K959&amp;"",DISPLAY!$B$3:$B$1000&amp;"",DISPLAY!$L$3:$L$1000,""),"Network Device",_xlfn.XLOOKUP($K959&amp;"",'NETWORK-DEVICES'!$B$3:$B$987&amp;"",'NETWORK-DEVICES'!$K$3:$K$987,""),"Peripheral",_xlfn.XLOOKUP($K959&amp;"",PERIPHERAL!$B$3:$B$954&amp;"",PERIPHERAL!$K$3:$K$954,""),"Utilities",_xlfn.XLOOKUP($K959&amp;"",UTILITIES!$B$3:$B$953&amp;"",UTILITIES!$J$3:$J$953,""),"IOT",_xlfn.XLOOKUP($K959&amp;"",IOT!$B$3:$B$1012&amp;"",IOT!$K$4:$K$1012,""),"Server",_xlfn.XLOOKUP($K959&amp;"",SERVER!$B$3:$B$1009&amp;"",SERVER!$K$3:$K$1009,""),""))))</f>
        <v/>
      </c>
      <c r="O959" s="1" t="str" cm="1">
        <f t="array" ref="O959">IF(OR($K959="",$I959="",$J959=""),"",_xlfn.LET(_xlpm.srcCat,_xlfn.SWITCH($I959,"Computer",_xlfn.XLOOKUP($K959&amp;"",COMPUTER!$B$3:$B$1009&amp;"",COMPUTER!$H$3:$H$1009,""),"Display",_xlfn.XLOOKUP($K959&amp;"",DISPLAY!$B$3:$B$1000&amp;"",DISPLAY!$H$3:$H$1000,""),"Network Device",_xlfn.XLOOKUP($K959&amp;"",'NETWORK-DEVICES'!$B$3:$B$987&amp;"",'NETWORK-DEVICES'!$H$3:$H$987,""),"Peripheral",_xlfn.XLOOKUP($K959&amp;"",PERIPHERAL!$B$3:$B$954&amp;"",PERIPHERAL!$H$3:$H$954,""),"Utilities",_xlfn.XLOOKUP($K959&amp;"",UTILITIES!$B$3:$B$953&amp;"",UTILITIES!$G$3:$G$953,""),"IOT",_xlfn.XLOOKUP($K959&amp;"",IOT!$B$3:$B$1012&amp;"",IOT!$H$3:$H$1012,""),"Server",_xlfn.XLOOKUP($K959&amp;"",SERVER!$B$3:$B$1009&amp;"",SERVER!$H$3:$H$1009,""),""),IF(TRIM(_xlpm.srcCat)&lt;&gt;TRIM($J959),"",_xlfn.SWITCH($I959,"Computer",_xlfn.XLOOKUP($K959&amp;"",COMPUTER!$B$3:$B$1009&amp;"",COMPUTER!$E$3:$E$1009,""),"Display",_xlfn.XLOOKUP($K959&amp;"",DISPLAY!$B$3:$B$1000&amp;"",DISPLAY!$E$3:$E$1000,""),"Network Device",_xlfn.XLOOKUP($K959&amp;"",'NETWORK-DEVICES'!$B$3:$B$987&amp;"",'NETWORK-DEVICES'!$E$3:$E$987,""),"Peripheral",_xlfn.XLOOKUP($K959&amp;"",PERIPHERAL!$B$3:$B$954&amp;"",PERIPHERAL!$E$3:$E$954,""),"Utilities",_xlfn.XLOOKUP($K959&amp;"",UTILITIES!$B$3:$B$953&amp;"",UTILITIES!$E$3:$E$953,""),"IOT",_xlfn.XLOOKUP($K959&amp;"",IOT!$B$3:$B$1012&amp;"",IOT!$E$3:$E$1012,""),"Server",_xlfn.XLOOKUP($K959&amp;"",SERVER!$B$3:$B$1009&amp;"",SERVER!$E$3:$E$1009,""),""))))</f>
        <v/>
      </c>
      <c r="Q959" s="1" t="str" cm="1">
        <f t="array" ref="Q959">IF(OR($K959="",$I959="",$J959=""),"",_xlfn.LET(_xlpm.srcCat,_xlfn.SWITCH($I959,"Computer",_xlfn.XLOOKUP($K959&amp;"",COMPUTER!$B$3:$B$1009&amp;"",COMPUTER!$H$3:$H$1009,""),"Display",_xlfn.XLOOKUP($K959&amp;"",DISPLAY!$B$3:$B$1000&amp;"",DISPLAY!$H$3:$H$1000,""),"Network Device",_xlfn.XLOOKUP($K959&amp;"",'NETWORK-DEVICES'!$B$3:$B$987&amp;"",'NETWORK-DEVICES'!$H$3:$H$987,""),"Peripheral",_xlfn.XLOOKUP($K959&amp;"",PERIPHERAL!$B$3:$B$954&amp;"",PERIPHERAL!$H$3:$H$954,""),"Utilities",_xlfn.XLOOKUP($K959&amp;"",UTILITIES!$B$3:$B$953&amp;"",UTILITIES!$G$3:$G$953,""),"IOT",_xlfn.XLOOKUP($K959&amp;"",IOT!$B$3:$B$1012&amp;"",IOT!$H$3:$H$1012,""),"Server",_xlfn.XLOOKUP($K959&amp;"",SERVER!$B$3:$B$1009&amp;"",SERVER!$H$3:$H$1009,""),""),IF(TRIM(_xlpm.srcCat)&lt;&gt;TRIM($J959),"",_xlfn.SWITCH($I959,"Computer",_xlfn.XLOOKUP($K959&amp;"",COMPUTER!$B$3:$B$1009&amp;"",COMPUTER!$AM$3:$AM$1009,""),"Display",_xlfn.XLOOKUP($K959&amp;"",DISPLAY!$B$3:$B$1000&amp;"",DISPLAY!$V$3:$V$1000,""),"Network Device",_xlfn.XLOOKUP($K959&amp;"",'NETWORK-DEVICES'!$B$3:$B$987&amp;"",'NETWORK-DEVICES'!$AF$3:$AF$987,""),"Peripheral",_xlfn.XLOOKUP($K959&amp;"",PERIPHERAL!$B$3:$B$954&amp;"",PERIPHERAL!$Y$3:$Y$954,""),"Utilities",_xlfn.XLOOKUP($K959&amp;"",UTILITIES!$B$3:$B$953&amp;"",UTILITIES!$O$3:$O$953,""),"IOT",_xlfn.XLOOKUP($K959&amp;"",IOT!$B$3:$B$1012&amp;"",IOT!$AB$3:$AB$1012,""),"Server",_xlfn.XLOOKUP($K959&amp;"",SERVER!$B$3:$B$1009&amp;"",SERVER!$AB$3:$AB$1009,""),""))))</f>
        <v/>
      </c>
      <c r="R959" s="43" t="str">
        <f>IF(tbl_handover[[#This Row],[Asset Code]]="","",COUNTIF(tbl_handover[Asset Code],tbl_handover[[#This Row],[Asset Code]]))</f>
        <v/>
      </c>
    </row>
    <row r="960" spans="1:18" x14ac:dyDescent="0.25">
      <c r="A960" s="43" t="str">
        <f>IF(B960&lt;&gt;"",SUBTOTAL(3,$B$1:B959),"")</f>
        <v/>
      </c>
      <c r="C960" s="74"/>
      <c r="D960" s="74"/>
      <c r="G960" s="1"/>
      <c r="K960" s="42"/>
      <c r="L960" t="str" cm="1">
        <f t="array" ref="L960">IF($K960="","",_xlfn.SWITCH($I960,"Computer",_xlfn.XLOOKUP($K960&amp;"",COMPUTER!$B$3:$B$1009&amp;"",COMPUTER!$I$3:$I$1009,""),"Display",_xlfn.XLOOKUP($K960&amp;"",DISPLAY!$B$3:$B$1000&amp;"",DISPLAY!$J$3:$J$1000,""),"Network Device",_xlfn.XLOOKUP($K960&amp;"",'NETWORK-DEVICES'!$B$3:$B$987&amp;"",'NETWORK-DEVICES'!$I$3:$I$987,""),"Peripheral",_xlfn.XLOOKUP($K960&amp;"",PERIPHERAL!$B$3:$B$954&amp;"",PERIPHERAL!$I$3:$I$954,""),"Utilities",_xlfn.XLOOKUP($K960&amp;"",UTILITIES!$B$3:$B$953&amp;"",UTILITIES!$H$3:$H$953,""),"IOT",_xlfn.XLOOKUP($K960&amp;"",IOT!$B$3:$B$1012&amp;"",IOT!$I$3:$I$1012,""),"SERVER",_xlfn.XLOOKUP($K960&amp;"",SERVER!$B$3:$B$1009&amp;"",SERVER!$I$3:$I$1009,""),""))</f>
        <v/>
      </c>
      <c r="M960" t="str" cm="1">
        <f t="array" ref="M960">IF($K960="","",_xlfn.SWITCH($I960,"Computer",_xlfn.XLOOKUP($K960&amp;"",COMPUTER!$B$3:$B$1009&amp;"",COMPUTER!$J$3:$J$1009,""),"Display",_xlfn.XLOOKUP($K960&amp;"",DISPLAY!$B$3:$B$1000&amp;"",DISPLAY!$K$3:$K$1000,""),"Network Device",_xlfn.XLOOKUP($K960&amp;"",'NETWORK-DEVICES'!$B$3:$B$987&amp;"",'NETWORK-DEVICES'!$I$3:$I$987,""),"Peripheral",_xlfn.XLOOKUP($K960&amp;"",PERIPHERAL!$B$3:$B$954&amp;"",PERIPHERAL!$J$3:$J$954,""),"Utilities",_xlfn.XLOOKUP($K960&amp;"",UTILITIES!$B$3:$B$953&amp;"",UTILITIES!$I$3:$I$953,""),"IOT",_xlfn.XLOOKUP($K960&amp;"",IOT!$B$3:$B$1012&amp;"",IOT!$J$3:$J$1012,""),"Server",_xlfn.XLOOKUP($K960&amp;"",SERVER!$B$3:$B$1009&amp;"",SERVER!$J$3:$J$1009,""),""))</f>
        <v/>
      </c>
      <c r="N960" s="1" t="str" cm="1">
        <f t="array" ref="N960">IF(OR($K960="",$I960="",$J960=""),"",_xlfn.LET(_xlpm.srcCat,_xlfn.SWITCH($I960,"Computer",_xlfn.XLOOKUP($K960&amp;"",COMPUTER!$B$3:$B$1009&amp;"",COMPUTER!$H$3:$H$1009,""),"Display",_xlfn.XLOOKUP($K960&amp;"",DISPLAY!$B$3:$B$1000&amp;"",DISPLAY!$H$3:$H$1000,""),"Network Device",_xlfn.XLOOKUP($K960&amp;"",'NETWORK-DEVICES'!$B$3:$B$987&amp;"",'NETWORK-DEVICES'!$H$3:$H$987,""),"Peripheral",_xlfn.XLOOKUP($K960&amp;"",PERIPHERAL!$B$3:$B$954&amp;"",PERIPHERAL!$H$3:$H$954,""),"Utilities",_xlfn.XLOOKUP($K960&amp;"",UTILITIES!$B$3:$B$953&amp;"",UTILITIES!$G$3:$G$953,""),"IOT",_xlfn.XLOOKUP($K960&amp;"",IOT!$B$3:$B$1012&amp;"",IOT!$H$3:$H$1012,""),"Server",_xlfn.XLOOKUP($K960&amp;"",SERVER!$B$3:$B$1009&amp;"",SERVER!$H$3:$H$1009,""),""),IF(TRIM(_xlpm.srcCat)&lt;&gt;TRIM($J960),"",_xlfn.SWITCH($I960,"Computer",_xlfn.XLOOKUP($K960&amp;"",COMPUTER!$B$3:$B$1009&amp;"",COMPUTER!$K$3:$K$1009,""),"Display",_xlfn.XLOOKUP($K960&amp;"",DISPLAY!$B$3:$B$1000&amp;"",DISPLAY!$L$3:$L$1000,""),"Network Device",_xlfn.XLOOKUP($K960&amp;"",'NETWORK-DEVICES'!$B$3:$B$987&amp;"",'NETWORK-DEVICES'!$K$3:$K$987,""),"Peripheral",_xlfn.XLOOKUP($K960&amp;"",PERIPHERAL!$B$3:$B$954&amp;"",PERIPHERAL!$K$3:$K$954,""),"Utilities",_xlfn.XLOOKUP($K960&amp;"",UTILITIES!$B$3:$B$953&amp;"",UTILITIES!$J$3:$J$953,""),"IOT",_xlfn.XLOOKUP($K960&amp;"",IOT!$B$3:$B$1012&amp;"",IOT!$K$4:$K$1012,""),"Server",_xlfn.XLOOKUP($K960&amp;"",SERVER!$B$3:$B$1009&amp;"",SERVER!$K$3:$K$1009,""),""))))</f>
        <v/>
      </c>
      <c r="O960" s="1" t="str" cm="1">
        <f t="array" ref="O960">IF(OR($K960="",$I960="",$J960=""),"",_xlfn.LET(_xlpm.srcCat,_xlfn.SWITCH($I960,"Computer",_xlfn.XLOOKUP($K960&amp;"",COMPUTER!$B$3:$B$1009&amp;"",COMPUTER!$H$3:$H$1009,""),"Display",_xlfn.XLOOKUP($K960&amp;"",DISPLAY!$B$3:$B$1000&amp;"",DISPLAY!$H$3:$H$1000,""),"Network Device",_xlfn.XLOOKUP($K960&amp;"",'NETWORK-DEVICES'!$B$3:$B$987&amp;"",'NETWORK-DEVICES'!$H$3:$H$987,""),"Peripheral",_xlfn.XLOOKUP($K960&amp;"",PERIPHERAL!$B$3:$B$954&amp;"",PERIPHERAL!$H$3:$H$954,""),"Utilities",_xlfn.XLOOKUP($K960&amp;"",UTILITIES!$B$3:$B$953&amp;"",UTILITIES!$G$3:$G$953,""),"IOT",_xlfn.XLOOKUP($K960&amp;"",IOT!$B$3:$B$1012&amp;"",IOT!$H$3:$H$1012,""),"Server",_xlfn.XLOOKUP($K960&amp;"",SERVER!$B$3:$B$1009&amp;"",SERVER!$H$3:$H$1009,""),""),IF(TRIM(_xlpm.srcCat)&lt;&gt;TRIM($J960),"",_xlfn.SWITCH($I960,"Computer",_xlfn.XLOOKUP($K960&amp;"",COMPUTER!$B$3:$B$1009&amp;"",COMPUTER!$E$3:$E$1009,""),"Display",_xlfn.XLOOKUP($K960&amp;"",DISPLAY!$B$3:$B$1000&amp;"",DISPLAY!$E$3:$E$1000,""),"Network Device",_xlfn.XLOOKUP($K960&amp;"",'NETWORK-DEVICES'!$B$3:$B$987&amp;"",'NETWORK-DEVICES'!$E$3:$E$987,""),"Peripheral",_xlfn.XLOOKUP($K960&amp;"",PERIPHERAL!$B$3:$B$954&amp;"",PERIPHERAL!$E$3:$E$954,""),"Utilities",_xlfn.XLOOKUP($K960&amp;"",UTILITIES!$B$3:$B$953&amp;"",UTILITIES!$E$3:$E$953,""),"IOT",_xlfn.XLOOKUP($K960&amp;"",IOT!$B$3:$B$1012&amp;"",IOT!$E$3:$E$1012,""),"Server",_xlfn.XLOOKUP($K960&amp;"",SERVER!$B$3:$B$1009&amp;"",SERVER!$E$3:$E$1009,""),""))))</f>
        <v/>
      </c>
      <c r="Q960" s="1" t="str" cm="1">
        <f t="array" ref="Q960">IF(OR($K960="",$I960="",$J960=""),"",_xlfn.LET(_xlpm.srcCat,_xlfn.SWITCH($I960,"Computer",_xlfn.XLOOKUP($K960&amp;"",COMPUTER!$B$3:$B$1009&amp;"",COMPUTER!$H$3:$H$1009,""),"Display",_xlfn.XLOOKUP($K960&amp;"",DISPLAY!$B$3:$B$1000&amp;"",DISPLAY!$H$3:$H$1000,""),"Network Device",_xlfn.XLOOKUP($K960&amp;"",'NETWORK-DEVICES'!$B$3:$B$987&amp;"",'NETWORK-DEVICES'!$H$3:$H$987,""),"Peripheral",_xlfn.XLOOKUP($K960&amp;"",PERIPHERAL!$B$3:$B$954&amp;"",PERIPHERAL!$H$3:$H$954,""),"Utilities",_xlfn.XLOOKUP($K960&amp;"",UTILITIES!$B$3:$B$953&amp;"",UTILITIES!$G$3:$G$953,""),"IOT",_xlfn.XLOOKUP($K960&amp;"",IOT!$B$3:$B$1012&amp;"",IOT!$H$3:$H$1012,""),"Server",_xlfn.XLOOKUP($K960&amp;"",SERVER!$B$3:$B$1009&amp;"",SERVER!$H$3:$H$1009,""),""),IF(TRIM(_xlpm.srcCat)&lt;&gt;TRIM($J960),"",_xlfn.SWITCH($I960,"Computer",_xlfn.XLOOKUP($K960&amp;"",COMPUTER!$B$3:$B$1009&amp;"",COMPUTER!$AM$3:$AM$1009,""),"Display",_xlfn.XLOOKUP($K960&amp;"",DISPLAY!$B$3:$B$1000&amp;"",DISPLAY!$V$3:$V$1000,""),"Network Device",_xlfn.XLOOKUP($K960&amp;"",'NETWORK-DEVICES'!$B$3:$B$987&amp;"",'NETWORK-DEVICES'!$AF$3:$AF$987,""),"Peripheral",_xlfn.XLOOKUP($K960&amp;"",PERIPHERAL!$B$3:$B$954&amp;"",PERIPHERAL!$Y$3:$Y$954,""),"Utilities",_xlfn.XLOOKUP($K960&amp;"",UTILITIES!$B$3:$B$953&amp;"",UTILITIES!$O$3:$O$953,""),"IOT",_xlfn.XLOOKUP($K960&amp;"",IOT!$B$3:$B$1012&amp;"",IOT!$AB$3:$AB$1012,""),"Server",_xlfn.XLOOKUP($K960&amp;"",SERVER!$B$3:$B$1009&amp;"",SERVER!$AB$3:$AB$1009,""),""))))</f>
        <v/>
      </c>
      <c r="R960" s="43" t="str">
        <f>IF(tbl_handover[[#This Row],[Asset Code]]="","",COUNTIF(tbl_handover[Asset Code],tbl_handover[[#This Row],[Asset Code]]))</f>
        <v/>
      </c>
    </row>
    <row r="961" spans="1:18" x14ac:dyDescent="0.25">
      <c r="A961" s="43" t="str">
        <f>IF(B961&lt;&gt;"",SUBTOTAL(3,$B$1:B960),"")</f>
        <v/>
      </c>
      <c r="C961" s="74"/>
      <c r="D961" s="74"/>
      <c r="G961" s="1"/>
      <c r="K961" s="42"/>
      <c r="L961" t="str" cm="1">
        <f t="array" ref="L961">IF($K961="","",_xlfn.SWITCH($I961,"Computer",_xlfn.XLOOKUP($K961&amp;"",COMPUTER!$B$3:$B$1009&amp;"",COMPUTER!$I$3:$I$1009,""),"Display",_xlfn.XLOOKUP($K961&amp;"",DISPLAY!$B$3:$B$1000&amp;"",DISPLAY!$J$3:$J$1000,""),"Network Device",_xlfn.XLOOKUP($K961&amp;"",'NETWORK-DEVICES'!$B$3:$B$987&amp;"",'NETWORK-DEVICES'!$I$3:$I$987,""),"Peripheral",_xlfn.XLOOKUP($K961&amp;"",PERIPHERAL!$B$3:$B$954&amp;"",PERIPHERAL!$I$3:$I$954,""),"Utilities",_xlfn.XLOOKUP($K961&amp;"",UTILITIES!$B$3:$B$953&amp;"",UTILITIES!$H$3:$H$953,""),"IOT",_xlfn.XLOOKUP($K961&amp;"",IOT!$B$3:$B$1012&amp;"",IOT!$I$3:$I$1012,""),"SERVER",_xlfn.XLOOKUP($K961&amp;"",SERVER!$B$3:$B$1009&amp;"",SERVER!$I$3:$I$1009,""),""))</f>
        <v/>
      </c>
      <c r="M961" t="str" cm="1">
        <f t="array" ref="M961">IF($K961="","",_xlfn.SWITCH($I961,"Computer",_xlfn.XLOOKUP($K961&amp;"",COMPUTER!$B$3:$B$1009&amp;"",COMPUTER!$J$3:$J$1009,""),"Display",_xlfn.XLOOKUP($K961&amp;"",DISPLAY!$B$3:$B$1000&amp;"",DISPLAY!$K$3:$K$1000,""),"Network Device",_xlfn.XLOOKUP($K961&amp;"",'NETWORK-DEVICES'!$B$3:$B$987&amp;"",'NETWORK-DEVICES'!$I$3:$I$987,""),"Peripheral",_xlfn.XLOOKUP($K961&amp;"",PERIPHERAL!$B$3:$B$954&amp;"",PERIPHERAL!$J$3:$J$954,""),"Utilities",_xlfn.XLOOKUP($K961&amp;"",UTILITIES!$B$3:$B$953&amp;"",UTILITIES!$I$3:$I$953,""),"IOT",_xlfn.XLOOKUP($K961&amp;"",IOT!$B$3:$B$1012&amp;"",IOT!$J$3:$J$1012,""),"Server",_xlfn.XLOOKUP($K961&amp;"",SERVER!$B$3:$B$1009&amp;"",SERVER!$J$3:$J$1009,""),""))</f>
        <v/>
      </c>
      <c r="N961" s="1" t="str" cm="1">
        <f t="array" ref="N961">IF(OR($K961="",$I961="",$J961=""),"",_xlfn.LET(_xlpm.srcCat,_xlfn.SWITCH($I961,"Computer",_xlfn.XLOOKUP($K961&amp;"",COMPUTER!$B$3:$B$1009&amp;"",COMPUTER!$H$3:$H$1009,""),"Display",_xlfn.XLOOKUP($K961&amp;"",DISPLAY!$B$3:$B$1000&amp;"",DISPLAY!$H$3:$H$1000,""),"Network Device",_xlfn.XLOOKUP($K961&amp;"",'NETWORK-DEVICES'!$B$3:$B$987&amp;"",'NETWORK-DEVICES'!$H$3:$H$987,""),"Peripheral",_xlfn.XLOOKUP($K961&amp;"",PERIPHERAL!$B$3:$B$954&amp;"",PERIPHERAL!$H$3:$H$954,""),"Utilities",_xlfn.XLOOKUP($K961&amp;"",UTILITIES!$B$3:$B$953&amp;"",UTILITIES!$G$3:$G$953,""),"IOT",_xlfn.XLOOKUP($K961&amp;"",IOT!$B$3:$B$1012&amp;"",IOT!$H$3:$H$1012,""),"Server",_xlfn.XLOOKUP($K961&amp;"",SERVER!$B$3:$B$1009&amp;"",SERVER!$H$3:$H$1009,""),""),IF(TRIM(_xlpm.srcCat)&lt;&gt;TRIM($J961),"",_xlfn.SWITCH($I961,"Computer",_xlfn.XLOOKUP($K961&amp;"",COMPUTER!$B$3:$B$1009&amp;"",COMPUTER!$K$3:$K$1009,""),"Display",_xlfn.XLOOKUP($K961&amp;"",DISPLAY!$B$3:$B$1000&amp;"",DISPLAY!$L$3:$L$1000,""),"Network Device",_xlfn.XLOOKUP($K961&amp;"",'NETWORK-DEVICES'!$B$3:$B$987&amp;"",'NETWORK-DEVICES'!$K$3:$K$987,""),"Peripheral",_xlfn.XLOOKUP($K961&amp;"",PERIPHERAL!$B$3:$B$954&amp;"",PERIPHERAL!$K$3:$K$954,""),"Utilities",_xlfn.XLOOKUP($K961&amp;"",UTILITIES!$B$3:$B$953&amp;"",UTILITIES!$J$3:$J$953,""),"IOT",_xlfn.XLOOKUP($K961&amp;"",IOT!$B$3:$B$1012&amp;"",IOT!$K$4:$K$1012,""),"Server",_xlfn.XLOOKUP($K961&amp;"",SERVER!$B$3:$B$1009&amp;"",SERVER!$K$3:$K$1009,""),""))))</f>
        <v/>
      </c>
      <c r="O961" s="1" t="str" cm="1">
        <f t="array" ref="O961">IF(OR($K961="",$I961="",$J961=""),"",_xlfn.LET(_xlpm.srcCat,_xlfn.SWITCH($I961,"Computer",_xlfn.XLOOKUP($K961&amp;"",COMPUTER!$B$3:$B$1009&amp;"",COMPUTER!$H$3:$H$1009,""),"Display",_xlfn.XLOOKUP($K961&amp;"",DISPLAY!$B$3:$B$1000&amp;"",DISPLAY!$H$3:$H$1000,""),"Network Device",_xlfn.XLOOKUP($K961&amp;"",'NETWORK-DEVICES'!$B$3:$B$987&amp;"",'NETWORK-DEVICES'!$H$3:$H$987,""),"Peripheral",_xlfn.XLOOKUP($K961&amp;"",PERIPHERAL!$B$3:$B$954&amp;"",PERIPHERAL!$H$3:$H$954,""),"Utilities",_xlfn.XLOOKUP($K961&amp;"",UTILITIES!$B$3:$B$953&amp;"",UTILITIES!$G$3:$G$953,""),"IOT",_xlfn.XLOOKUP($K961&amp;"",IOT!$B$3:$B$1012&amp;"",IOT!$H$3:$H$1012,""),"Server",_xlfn.XLOOKUP($K961&amp;"",SERVER!$B$3:$B$1009&amp;"",SERVER!$H$3:$H$1009,""),""),IF(TRIM(_xlpm.srcCat)&lt;&gt;TRIM($J961),"",_xlfn.SWITCH($I961,"Computer",_xlfn.XLOOKUP($K961&amp;"",COMPUTER!$B$3:$B$1009&amp;"",COMPUTER!$E$3:$E$1009,""),"Display",_xlfn.XLOOKUP($K961&amp;"",DISPLAY!$B$3:$B$1000&amp;"",DISPLAY!$E$3:$E$1000,""),"Network Device",_xlfn.XLOOKUP($K961&amp;"",'NETWORK-DEVICES'!$B$3:$B$987&amp;"",'NETWORK-DEVICES'!$E$3:$E$987,""),"Peripheral",_xlfn.XLOOKUP($K961&amp;"",PERIPHERAL!$B$3:$B$954&amp;"",PERIPHERAL!$E$3:$E$954,""),"Utilities",_xlfn.XLOOKUP($K961&amp;"",UTILITIES!$B$3:$B$953&amp;"",UTILITIES!$E$3:$E$953,""),"IOT",_xlfn.XLOOKUP($K961&amp;"",IOT!$B$3:$B$1012&amp;"",IOT!$E$3:$E$1012,""),"Server",_xlfn.XLOOKUP($K961&amp;"",SERVER!$B$3:$B$1009&amp;"",SERVER!$E$3:$E$1009,""),""))))</f>
        <v/>
      </c>
      <c r="Q961" s="1" t="str" cm="1">
        <f t="array" ref="Q961">IF(OR($K961="",$I961="",$J961=""),"",_xlfn.LET(_xlpm.srcCat,_xlfn.SWITCH($I961,"Computer",_xlfn.XLOOKUP($K961&amp;"",COMPUTER!$B$3:$B$1009&amp;"",COMPUTER!$H$3:$H$1009,""),"Display",_xlfn.XLOOKUP($K961&amp;"",DISPLAY!$B$3:$B$1000&amp;"",DISPLAY!$H$3:$H$1000,""),"Network Device",_xlfn.XLOOKUP($K961&amp;"",'NETWORK-DEVICES'!$B$3:$B$987&amp;"",'NETWORK-DEVICES'!$H$3:$H$987,""),"Peripheral",_xlfn.XLOOKUP($K961&amp;"",PERIPHERAL!$B$3:$B$954&amp;"",PERIPHERAL!$H$3:$H$954,""),"Utilities",_xlfn.XLOOKUP($K961&amp;"",UTILITIES!$B$3:$B$953&amp;"",UTILITIES!$G$3:$G$953,""),"IOT",_xlfn.XLOOKUP($K961&amp;"",IOT!$B$3:$B$1012&amp;"",IOT!$H$3:$H$1012,""),"Server",_xlfn.XLOOKUP($K961&amp;"",SERVER!$B$3:$B$1009&amp;"",SERVER!$H$3:$H$1009,""),""),IF(TRIM(_xlpm.srcCat)&lt;&gt;TRIM($J961),"",_xlfn.SWITCH($I961,"Computer",_xlfn.XLOOKUP($K961&amp;"",COMPUTER!$B$3:$B$1009&amp;"",COMPUTER!$AM$3:$AM$1009,""),"Display",_xlfn.XLOOKUP($K961&amp;"",DISPLAY!$B$3:$B$1000&amp;"",DISPLAY!$V$3:$V$1000,""),"Network Device",_xlfn.XLOOKUP($K961&amp;"",'NETWORK-DEVICES'!$B$3:$B$987&amp;"",'NETWORK-DEVICES'!$AF$3:$AF$987,""),"Peripheral",_xlfn.XLOOKUP($K961&amp;"",PERIPHERAL!$B$3:$B$954&amp;"",PERIPHERAL!$Y$3:$Y$954,""),"Utilities",_xlfn.XLOOKUP($K961&amp;"",UTILITIES!$B$3:$B$953&amp;"",UTILITIES!$O$3:$O$953,""),"IOT",_xlfn.XLOOKUP($K961&amp;"",IOT!$B$3:$B$1012&amp;"",IOT!$AB$3:$AB$1012,""),"Server",_xlfn.XLOOKUP($K961&amp;"",SERVER!$B$3:$B$1009&amp;"",SERVER!$AB$3:$AB$1009,""),""))))</f>
        <v/>
      </c>
      <c r="R961" s="43" t="str">
        <f>IF(tbl_handover[[#This Row],[Asset Code]]="","",COUNTIF(tbl_handover[Asset Code],tbl_handover[[#This Row],[Asset Code]]))</f>
        <v/>
      </c>
    </row>
    <row r="962" spans="1:18" x14ac:dyDescent="0.25">
      <c r="A962" s="43" t="str">
        <f>IF(B962&lt;&gt;"",SUBTOTAL(3,$B$1:B961),"")</f>
        <v/>
      </c>
      <c r="C962" s="74"/>
      <c r="D962" s="74"/>
      <c r="G962" s="1"/>
      <c r="K962" s="42"/>
      <c r="L962" t="str" cm="1">
        <f t="array" ref="L962">IF($K962="","",_xlfn.SWITCH($I962,"Computer",_xlfn.XLOOKUP($K962&amp;"",COMPUTER!$B$3:$B$1009&amp;"",COMPUTER!$I$3:$I$1009,""),"Display",_xlfn.XLOOKUP($K962&amp;"",DISPLAY!$B$3:$B$1000&amp;"",DISPLAY!$J$3:$J$1000,""),"Network Device",_xlfn.XLOOKUP($K962&amp;"",'NETWORK-DEVICES'!$B$3:$B$987&amp;"",'NETWORK-DEVICES'!$I$3:$I$987,""),"Peripheral",_xlfn.XLOOKUP($K962&amp;"",PERIPHERAL!$B$3:$B$954&amp;"",PERIPHERAL!$I$3:$I$954,""),"Utilities",_xlfn.XLOOKUP($K962&amp;"",UTILITIES!$B$3:$B$953&amp;"",UTILITIES!$H$3:$H$953,""),"IOT",_xlfn.XLOOKUP($K962&amp;"",IOT!$B$3:$B$1012&amp;"",IOT!$I$3:$I$1012,""),"SERVER",_xlfn.XLOOKUP($K962&amp;"",SERVER!$B$3:$B$1009&amp;"",SERVER!$I$3:$I$1009,""),""))</f>
        <v/>
      </c>
      <c r="M962" t="str" cm="1">
        <f t="array" ref="M962">IF($K962="","",_xlfn.SWITCH($I962,"Computer",_xlfn.XLOOKUP($K962&amp;"",COMPUTER!$B$3:$B$1009&amp;"",COMPUTER!$J$3:$J$1009,""),"Display",_xlfn.XLOOKUP($K962&amp;"",DISPLAY!$B$3:$B$1000&amp;"",DISPLAY!$K$3:$K$1000,""),"Network Device",_xlfn.XLOOKUP($K962&amp;"",'NETWORK-DEVICES'!$B$3:$B$987&amp;"",'NETWORK-DEVICES'!$I$3:$I$987,""),"Peripheral",_xlfn.XLOOKUP($K962&amp;"",PERIPHERAL!$B$3:$B$954&amp;"",PERIPHERAL!$J$3:$J$954,""),"Utilities",_xlfn.XLOOKUP($K962&amp;"",UTILITIES!$B$3:$B$953&amp;"",UTILITIES!$I$3:$I$953,""),"IOT",_xlfn.XLOOKUP($K962&amp;"",IOT!$B$3:$B$1012&amp;"",IOT!$J$3:$J$1012,""),"Server",_xlfn.XLOOKUP($K962&amp;"",SERVER!$B$3:$B$1009&amp;"",SERVER!$J$3:$J$1009,""),""))</f>
        <v/>
      </c>
      <c r="N962" s="1" t="str" cm="1">
        <f t="array" ref="N962">IF(OR($K962="",$I962="",$J962=""),"",_xlfn.LET(_xlpm.srcCat,_xlfn.SWITCH($I962,"Computer",_xlfn.XLOOKUP($K962&amp;"",COMPUTER!$B$3:$B$1009&amp;"",COMPUTER!$H$3:$H$1009,""),"Display",_xlfn.XLOOKUP($K962&amp;"",DISPLAY!$B$3:$B$1000&amp;"",DISPLAY!$H$3:$H$1000,""),"Network Device",_xlfn.XLOOKUP($K962&amp;"",'NETWORK-DEVICES'!$B$3:$B$987&amp;"",'NETWORK-DEVICES'!$H$3:$H$987,""),"Peripheral",_xlfn.XLOOKUP($K962&amp;"",PERIPHERAL!$B$3:$B$954&amp;"",PERIPHERAL!$H$3:$H$954,""),"Utilities",_xlfn.XLOOKUP($K962&amp;"",UTILITIES!$B$3:$B$953&amp;"",UTILITIES!$G$3:$G$953,""),"IOT",_xlfn.XLOOKUP($K962&amp;"",IOT!$B$3:$B$1012&amp;"",IOT!$H$3:$H$1012,""),"Server",_xlfn.XLOOKUP($K962&amp;"",SERVER!$B$3:$B$1009&amp;"",SERVER!$H$3:$H$1009,""),""),IF(TRIM(_xlpm.srcCat)&lt;&gt;TRIM($J962),"",_xlfn.SWITCH($I962,"Computer",_xlfn.XLOOKUP($K962&amp;"",COMPUTER!$B$3:$B$1009&amp;"",COMPUTER!$K$3:$K$1009,""),"Display",_xlfn.XLOOKUP($K962&amp;"",DISPLAY!$B$3:$B$1000&amp;"",DISPLAY!$L$3:$L$1000,""),"Network Device",_xlfn.XLOOKUP($K962&amp;"",'NETWORK-DEVICES'!$B$3:$B$987&amp;"",'NETWORK-DEVICES'!$K$3:$K$987,""),"Peripheral",_xlfn.XLOOKUP($K962&amp;"",PERIPHERAL!$B$3:$B$954&amp;"",PERIPHERAL!$K$3:$K$954,""),"Utilities",_xlfn.XLOOKUP($K962&amp;"",UTILITIES!$B$3:$B$953&amp;"",UTILITIES!$J$3:$J$953,""),"IOT",_xlfn.XLOOKUP($K962&amp;"",IOT!$B$3:$B$1012&amp;"",IOT!$K$4:$K$1012,""),"Server",_xlfn.XLOOKUP($K962&amp;"",SERVER!$B$3:$B$1009&amp;"",SERVER!$K$3:$K$1009,""),""))))</f>
        <v/>
      </c>
      <c r="O962" s="1" t="str" cm="1">
        <f t="array" ref="O962">IF(OR($K962="",$I962="",$J962=""),"",_xlfn.LET(_xlpm.srcCat,_xlfn.SWITCH($I962,"Computer",_xlfn.XLOOKUP($K962&amp;"",COMPUTER!$B$3:$B$1009&amp;"",COMPUTER!$H$3:$H$1009,""),"Display",_xlfn.XLOOKUP($K962&amp;"",DISPLAY!$B$3:$B$1000&amp;"",DISPLAY!$H$3:$H$1000,""),"Network Device",_xlfn.XLOOKUP($K962&amp;"",'NETWORK-DEVICES'!$B$3:$B$987&amp;"",'NETWORK-DEVICES'!$H$3:$H$987,""),"Peripheral",_xlfn.XLOOKUP($K962&amp;"",PERIPHERAL!$B$3:$B$954&amp;"",PERIPHERAL!$H$3:$H$954,""),"Utilities",_xlfn.XLOOKUP($K962&amp;"",UTILITIES!$B$3:$B$953&amp;"",UTILITIES!$G$3:$G$953,""),"IOT",_xlfn.XLOOKUP($K962&amp;"",IOT!$B$3:$B$1012&amp;"",IOT!$H$3:$H$1012,""),"Server",_xlfn.XLOOKUP($K962&amp;"",SERVER!$B$3:$B$1009&amp;"",SERVER!$H$3:$H$1009,""),""),IF(TRIM(_xlpm.srcCat)&lt;&gt;TRIM($J962),"",_xlfn.SWITCH($I962,"Computer",_xlfn.XLOOKUP($K962&amp;"",COMPUTER!$B$3:$B$1009&amp;"",COMPUTER!$E$3:$E$1009,""),"Display",_xlfn.XLOOKUP($K962&amp;"",DISPLAY!$B$3:$B$1000&amp;"",DISPLAY!$E$3:$E$1000,""),"Network Device",_xlfn.XLOOKUP($K962&amp;"",'NETWORK-DEVICES'!$B$3:$B$987&amp;"",'NETWORK-DEVICES'!$E$3:$E$987,""),"Peripheral",_xlfn.XLOOKUP($K962&amp;"",PERIPHERAL!$B$3:$B$954&amp;"",PERIPHERAL!$E$3:$E$954,""),"Utilities",_xlfn.XLOOKUP($K962&amp;"",UTILITIES!$B$3:$B$953&amp;"",UTILITIES!$E$3:$E$953,""),"IOT",_xlfn.XLOOKUP($K962&amp;"",IOT!$B$3:$B$1012&amp;"",IOT!$E$3:$E$1012,""),"Server",_xlfn.XLOOKUP($K962&amp;"",SERVER!$B$3:$B$1009&amp;"",SERVER!$E$3:$E$1009,""),""))))</f>
        <v/>
      </c>
      <c r="Q962" s="1" t="str" cm="1">
        <f t="array" ref="Q962">IF(OR($K962="",$I962="",$J962=""),"",_xlfn.LET(_xlpm.srcCat,_xlfn.SWITCH($I962,"Computer",_xlfn.XLOOKUP($K962&amp;"",COMPUTER!$B$3:$B$1009&amp;"",COMPUTER!$H$3:$H$1009,""),"Display",_xlfn.XLOOKUP($K962&amp;"",DISPLAY!$B$3:$B$1000&amp;"",DISPLAY!$H$3:$H$1000,""),"Network Device",_xlfn.XLOOKUP($K962&amp;"",'NETWORK-DEVICES'!$B$3:$B$987&amp;"",'NETWORK-DEVICES'!$H$3:$H$987,""),"Peripheral",_xlfn.XLOOKUP($K962&amp;"",PERIPHERAL!$B$3:$B$954&amp;"",PERIPHERAL!$H$3:$H$954,""),"Utilities",_xlfn.XLOOKUP($K962&amp;"",UTILITIES!$B$3:$B$953&amp;"",UTILITIES!$G$3:$G$953,""),"IOT",_xlfn.XLOOKUP($K962&amp;"",IOT!$B$3:$B$1012&amp;"",IOT!$H$3:$H$1012,""),"Server",_xlfn.XLOOKUP($K962&amp;"",SERVER!$B$3:$B$1009&amp;"",SERVER!$H$3:$H$1009,""),""),IF(TRIM(_xlpm.srcCat)&lt;&gt;TRIM($J962),"",_xlfn.SWITCH($I962,"Computer",_xlfn.XLOOKUP($K962&amp;"",COMPUTER!$B$3:$B$1009&amp;"",COMPUTER!$AM$3:$AM$1009,""),"Display",_xlfn.XLOOKUP($K962&amp;"",DISPLAY!$B$3:$B$1000&amp;"",DISPLAY!$V$3:$V$1000,""),"Network Device",_xlfn.XLOOKUP($K962&amp;"",'NETWORK-DEVICES'!$B$3:$B$987&amp;"",'NETWORK-DEVICES'!$AF$3:$AF$987,""),"Peripheral",_xlfn.XLOOKUP($K962&amp;"",PERIPHERAL!$B$3:$B$954&amp;"",PERIPHERAL!$Y$3:$Y$954,""),"Utilities",_xlfn.XLOOKUP($K962&amp;"",UTILITIES!$B$3:$B$953&amp;"",UTILITIES!$O$3:$O$953,""),"IOT",_xlfn.XLOOKUP($K962&amp;"",IOT!$B$3:$B$1012&amp;"",IOT!$AB$3:$AB$1012,""),"Server",_xlfn.XLOOKUP($K962&amp;"",SERVER!$B$3:$B$1009&amp;"",SERVER!$AB$3:$AB$1009,""),""))))</f>
        <v/>
      </c>
      <c r="R962" s="43" t="str">
        <f>IF(tbl_handover[[#This Row],[Asset Code]]="","",COUNTIF(tbl_handover[Asset Code],tbl_handover[[#This Row],[Asset Code]]))</f>
        <v/>
      </c>
    </row>
    <row r="963" spans="1:18" x14ac:dyDescent="0.25">
      <c r="A963" s="43" t="str">
        <f>IF(B963&lt;&gt;"",SUBTOTAL(3,$B$1:B962),"")</f>
        <v/>
      </c>
      <c r="C963" s="74"/>
      <c r="D963" s="74"/>
      <c r="G963" s="1"/>
      <c r="K963" s="42"/>
      <c r="L963" t="str" cm="1">
        <f t="array" ref="L963">IF($K963="","",_xlfn.SWITCH($I963,"Computer",_xlfn.XLOOKUP($K963&amp;"",COMPUTER!$B$3:$B$1009&amp;"",COMPUTER!$I$3:$I$1009,""),"Display",_xlfn.XLOOKUP($K963&amp;"",DISPLAY!$B$3:$B$1000&amp;"",DISPLAY!$J$3:$J$1000,""),"Network Device",_xlfn.XLOOKUP($K963&amp;"",'NETWORK-DEVICES'!$B$3:$B$987&amp;"",'NETWORK-DEVICES'!$I$3:$I$987,""),"Peripheral",_xlfn.XLOOKUP($K963&amp;"",PERIPHERAL!$B$3:$B$954&amp;"",PERIPHERAL!$I$3:$I$954,""),"Utilities",_xlfn.XLOOKUP($K963&amp;"",UTILITIES!$B$3:$B$953&amp;"",UTILITIES!$H$3:$H$953,""),"IOT",_xlfn.XLOOKUP($K963&amp;"",IOT!$B$3:$B$1012&amp;"",IOT!$I$3:$I$1012,""),"SERVER",_xlfn.XLOOKUP($K963&amp;"",SERVER!$B$3:$B$1009&amp;"",SERVER!$I$3:$I$1009,""),""))</f>
        <v/>
      </c>
      <c r="M963" t="str" cm="1">
        <f t="array" ref="M963">IF($K963="","",_xlfn.SWITCH($I963,"Computer",_xlfn.XLOOKUP($K963&amp;"",COMPUTER!$B$3:$B$1009&amp;"",COMPUTER!$J$3:$J$1009,""),"Display",_xlfn.XLOOKUP($K963&amp;"",DISPLAY!$B$3:$B$1000&amp;"",DISPLAY!$K$3:$K$1000,""),"Network Device",_xlfn.XLOOKUP($K963&amp;"",'NETWORK-DEVICES'!$B$3:$B$987&amp;"",'NETWORK-DEVICES'!$I$3:$I$987,""),"Peripheral",_xlfn.XLOOKUP($K963&amp;"",PERIPHERAL!$B$3:$B$954&amp;"",PERIPHERAL!$J$3:$J$954,""),"Utilities",_xlfn.XLOOKUP($K963&amp;"",UTILITIES!$B$3:$B$953&amp;"",UTILITIES!$I$3:$I$953,""),"IOT",_xlfn.XLOOKUP($K963&amp;"",IOT!$B$3:$B$1012&amp;"",IOT!$J$3:$J$1012,""),"Server",_xlfn.XLOOKUP($K963&amp;"",SERVER!$B$3:$B$1009&amp;"",SERVER!$J$3:$J$1009,""),""))</f>
        <v/>
      </c>
      <c r="N963" s="1" t="str" cm="1">
        <f t="array" ref="N963">IF(OR($K963="",$I963="",$J963=""),"",_xlfn.LET(_xlpm.srcCat,_xlfn.SWITCH($I963,"Computer",_xlfn.XLOOKUP($K963&amp;"",COMPUTER!$B$3:$B$1009&amp;"",COMPUTER!$H$3:$H$1009,""),"Display",_xlfn.XLOOKUP($K963&amp;"",DISPLAY!$B$3:$B$1000&amp;"",DISPLAY!$H$3:$H$1000,""),"Network Device",_xlfn.XLOOKUP($K963&amp;"",'NETWORK-DEVICES'!$B$3:$B$987&amp;"",'NETWORK-DEVICES'!$H$3:$H$987,""),"Peripheral",_xlfn.XLOOKUP($K963&amp;"",PERIPHERAL!$B$3:$B$954&amp;"",PERIPHERAL!$H$3:$H$954,""),"Utilities",_xlfn.XLOOKUP($K963&amp;"",UTILITIES!$B$3:$B$953&amp;"",UTILITIES!$G$3:$G$953,""),"IOT",_xlfn.XLOOKUP($K963&amp;"",IOT!$B$3:$B$1012&amp;"",IOT!$H$3:$H$1012,""),"Server",_xlfn.XLOOKUP($K963&amp;"",SERVER!$B$3:$B$1009&amp;"",SERVER!$H$3:$H$1009,""),""),IF(TRIM(_xlpm.srcCat)&lt;&gt;TRIM($J963),"",_xlfn.SWITCH($I963,"Computer",_xlfn.XLOOKUP($K963&amp;"",COMPUTER!$B$3:$B$1009&amp;"",COMPUTER!$K$3:$K$1009,""),"Display",_xlfn.XLOOKUP($K963&amp;"",DISPLAY!$B$3:$B$1000&amp;"",DISPLAY!$L$3:$L$1000,""),"Network Device",_xlfn.XLOOKUP($K963&amp;"",'NETWORK-DEVICES'!$B$3:$B$987&amp;"",'NETWORK-DEVICES'!$K$3:$K$987,""),"Peripheral",_xlfn.XLOOKUP($K963&amp;"",PERIPHERAL!$B$3:$B$954&amp;"",PERIPHERAL!$K$3:$K$954,""),"Utilities",_xlfn.XLOOKUP($K963&amp;"",UTILITIES!$B$3:$B$953&amp;"",UTILITIES!$J$3:$J$953,""),"IOT",_xlfn.XLOOKUP($K963&amp;"",IOT!$B$3:$B$1012&amp;"",IOT!$K$4:$K$1012,""),"Server",_xlfn.XLOOKUP($K963&amp;"",SERVER!$B$3:$B$1009&amp;"",SERVER!$K$3:$K$1009,""),""))))</f>
        <v/>
      </c>
      <c r="O963" s="1" t="str" cm="1">
        <f t="array" ref="O963">IF(OR($K963="",$I963="",$J963=""),"",_xlfn.LET(_xlpm.srcCat,_xlfn.SWITCH($I963,"Computer",_xlfn.XLOOKUP($K963&amp;"",COMPUTER!$B$3:$B$1009&amp;"",COMPUTER!$H$3:$H$1009,""),"Display",_xlfn.XLOOKUP($K963&amp;"",DISPLAY!$B$3:$B$1000&amp;"",DISPLAY!$H$3:$H$1000,""),"Network Device",_xlfn.XLOOKUP($K963&amp;"",'NETWORK-DEVICES'!$B$3:$B$987&amp;"",'NETWORK-DEVICES'!$H$3:$H$987,""),"Peripheral",_xlfn.XLOOKUP($K963&amp;"",PERIPHERAL!$B$3:$B$954&amp;"",PERIPHERAL!$H$3:$H$954,""),"Utilities",_xlfn.XLOOKUP($K963&amp;"",UTILITIES!$B$3:$B$953&amp;"",UTILITIES!$G$3:$G$953,""),"IOT",_xlfn.XLOOKUP($K963&amp;"",IOT!$B$3:$B$1012&amp;"",IOT!$H$3:$H$1012,""),"Server",_xlfn.XLOOKUP($K963&amp;"",SERVER!$B$3:$B$1009&amp;"",SERVER!$H$3:$H$1009,""),""),IF(TRIM(_xlpm.srcCat)&lt;&gt;TRIM($J963),"",_xlfn.SWITCH($I963,"Computer",_xlfn.XLOOKUP($K963&amp;"",COMPUTER!$B$3:$B$1009&amp;"",COMPUTER!$E$3:$E$1009,""),"Display",_xlfn.XLOOKUP($K963&amp;"",DISPLAY!$B$3:$B$1000&amp;"",DISPLAY!$E$3:$E$1000,""),"Network Device",_xlfn.XLOOKUP($K963&amp;"",'NETWORK-DEVICES'!$B$3:$B$987&amp;"",'NETWORK-DEVICES'!$E$3:$E$987,""),"Peripheral",_xlfn.XLOOKUP($K963&amp;"",PERIPHERAL!$B$3:$B$954&amp;"",PERIPHERAL!$E$3:$E$954,""),"Utilities",_xlfn.XLOOKUP($K963&amp;"",UTILITIES!$B$3:$B$953&amp;"",UTILITIES!$E$3:$E$953,""),"IOT",_xlfn.XLOOKUP($K963&amp;"",IOT!$B$3:$B$1012&amp;"",IOT!$E$3:$E$1012,""),"Server",_xlfn.XLOOKUP($K963&amp;"",SERVER!$B$3:$B$1009&amp;"",SERVER!$E$3:$E$1009,""),""))))</f>
        <v/>
      </c>
      <c r="Q963" s="1" t="str" cm="1">
        <f t="array" ref="Q963">IF(OR($K963="",$I963="",$J963=""),"",_xlfn.LET(_xlpm.srcCat,_xlfn.SWITCH($I963,"Computer",_xlfn.XLOOKUP($K963&amp;"",COMPUTER!$B$3:$B$1009&amp;"",COMPUTER!$H$3:$H$1009,""),"Display",_xlfn.XLOOKUP($K963&amp;"",DISPLAY!$B$3:$B$1000&amp;"",DISPLAY!$H$3:$H$1000,""),"Network Device",_xlfn.XLOOKUP($K963&amp;"",'NETWORK-DEVICES'!$B$3:$B$987&amp;"",'NETWORK-DEVICES'!$H$3:$H$987,""),"Peripheral",_xlfn.XLOOKUP($K963&amp;"",PERIPHERAL!$B$3:$B$954&amp;"",PERIPHERAL!$H$3:$H$954,""),"Utilities",_xlfn.XLOOKUP($K963&amp;"",UTILITIES!$B$3:$B$953&amp;"",UTILITIES!$G$3:$G$953,""),"IOT",_xlfn.XLOOKUP($K963&amp;"",IOT!$B$3:$B$1012&amp;"",IOT!$H$3:$H$1012,""),"Server",_xlfn.XLOOKUP($K963&amp;"",SERVER!$B$3:$B$1009&amp;"",SERVER!$H$3:$H$1009,""),""),IF(TRIM(_xlpm.srcCat)&lt;&gt;TRIM($J963),"",_xlfn.SWITCH($I963,"Computer",_xlfn.XLOOKUP($K963&amp;"",COMPUTER!$B$3:$B$1009&amp;"",COMPUTER!$AM$3:$AM$1009,""),"Display",_xlfn.XLOOKUP($K963&amp;"",DISPLAY!$B$3:$B$1000&amp;"",DISPLAY!$V$3:$V$1000,""),"Network Device",_xlfn.XLOOKUP($K963&amp;"",'NETWORK-DEVICES'!$B$3:$B$987&amp;"",'NETWORK-DEVICES'!$AF$3:$AF$987,""),"Peripheral",_xlfn.XLOOKUP($K963&amp;"",PERIPHERAL!$B$3:$B$954&amp;"",PERIPHERAL!$Y$3:$Y$954,""),"Utilities",_xlfn.XLOOKUP($K963&amp;"",UTILITIES!$B$3:$B$953&amp;"",UTILITIES!$O$3:$O$953,""),"IOT",_xlfn.XLOOKUP($K963&amp;"",IOT!$B$3:$B$1012&amp;"",IOT!$AB$3:$AB$1012,""),"Server",_xlfn.XLOOKUP($K963&amp;"",SERVER!$B$3:$B$1009&amp;"",SERVER!$AB$3:$AB$1009,""),""))))</f>
        <v/>
      </c>
      <c r="R963" s="43" t="str">
        <f>IF(tbl_handover[[#This Row],[Asset Code]]="","",COUNTIF(tbl_handover[Asset Code],tbl_handover[[#This Row],[Asset Code]]))</f>
        <v/>
      </c>
    </row>
    <row r="964" spans="1:18" x14ac:dyDescent="0.25">
      <c r="A964" s="43" t="str">
        <f>IF(B964&lt;&gt;"",SUBTOTAL(3,$B$1:B963),"")</f>
        <v/>
      </c>
      <c r="C964" s="74"/>
      <c r="D964" s="74"/>
      <c r="G964" s="1"/>
      <c r="K964" s="42"/>
      <c r="L964" t="str" cm="1">
        <f t="array" ref="L964">IF($K964="","",_xlfn.SWITCH($I964,"Computer",_xlfn.XLOOKUP($K964&amp;"",COMPUTER!$B$3:$B$1009&amp;"",COMPUTER!$I$3:$I$1009,""),"Display",_xlfn.XLOOKUP($K964&amp;"",DISPLAY!$B$3:$B$1000&amp;"",DISPLAY!$J$3:$J$1000,""),"Network Device",_xlfn.XLOOKUP($K964&amp;"",'NETWORK-DEVICES'!$B$3:$B$987&amp;"",'NETWORK-DEVICES'!$I$3:$I$987,""),"Peripheral",_xlfn.XLOOKUP($K964&amp;"",PERIPHERAL!$B$3:$B$954&amp;"",PERIPHERAL!$I$3:$I$954,""),"Utilities",_xlfn.XLOOKUP($K964&amp;"",UTILITIES!$B$3:$B$953&amp;"",UTILITIES!$H$3:$H$953,""),"IOT",_xlfn.XLOOKUP($K964&amp;"",IOT!$B$3:$B$1012&amp;"",IOT!$I$3:$I$1012,""),"SERVER",_xlfn.XLOOKUP($K964&amp;"",SERVER!$B$3:$B$1009&amp;"",SERVER!$I$3:$I$1009,""),""))</f>
        <v/>
      </c>
      <c r="M964" t="str" cm="1">
        <f t="array" ref="M964">IF($K964="","",_xlfn.SWITCH($I964,"Computer",_xlfn.XLOOKUP($K964&amp;"",COMPUTER!$B$3:$B$1009&amp;"",COMPUTER!$J$3:$J$1009,""),"Display",_xlfn.XLOOKUP($K964&amp;"",DISPLAY!$B$3:$B$1000&amp;"",DISPLAY!$K$3:$K$1000,""),"Network Device",_xlfn.XLOOKUP($K964&amp;"",'NETWORK-DEVICES'!$B$3:$B$987&amp;"",'NETWORK-DEVICES'!$I$3:$I$987,""),"Peripheral",_xlfn.XLOOKUP($K964&amp;"",PERIPHERAL!$B$3:$B$954&amp;"",PERIPHERAL!$J$3:$J$954,""),"Utilities",_xlfn.XLOOKUP($K964&amp;"",UTILITIES!$B$3:$B$953&amp;"",UTILITIES!$I$3:$I$953,""),"IOT",_xlfn.XLOOKUP($K964&amp;"",IOT!$B$3:$B$1012&amp;"",IOT!$J$3:$J$1012,""),"Server",_xlfn.XLOOKUP($K964&amp;"",SERVER!$B$3:$B$1009&amp;"",SERVER!$J$3:$J$1009,""),""))</f>
        <v/>
      </c>
      <c r="N964" s="1" t="str" cm="1">
        <f t="array" ref="N964">IF(OR($K964="",$I964="",$J964=""),"",_xlfn.LET(_xlpm.srcCat,_xlfn.SWITCH($I964,"Computer",_xlfn.XLOOKUP($K964&amp;"",COMPUTER!$B$3:$B$1009&amp;"",COMPUTER!$H$3:$H$1009,""),"Display",_xlfn.XLOOKUP($K964&amp;"",DISPLAY!$B$3:$B$1000&amp;"",DISPLAY!$H$3:$H$1000,""),"Network Device",_xlfn.XLOOKUP($K964&amp;"",'NETWORK-DEVICES'!$B$3:$B$987&amp;"",'NETWORK-DEVICES'!$H$3:$H$987,""),"Peripheral",_xlfn.XLOOKUP($K964&amp;"",PERIPHERAL!$B$3:$B$954&amp;"",PERIPHERAL!$H$3:$H$954,""),"Utilities",_xlfn.XLOOKUP($K964&amp;"",UTILITIES!$B$3:$B$953&amp;"",UTILITIES!$G$3:$G$953,""),"IOT",_xlfn.XLOOKUP($K964&amp;"",IOT!$B$3:$B$1012&amp;"",IOT!$H$3:$H$1012,""),"Server",_xlfn.XLOOKUP($K964&amp;"",SERVER!$B$3:$B$1009&amp;"",SERVER!$H$3:$H$1009,""),""),IF(TRIM(_xlpm.srcCat)&lt;&gt;TRIM($J964),"",_xlfn.SWITCH($I964,"Computer",_xlfn.XLOOKUP($K964&amp;"",COMPUTER!$B$3:$B$1009&amp;"",COMPUTER!$K$3:$K$1009,""),"Display",_xlfn.XLOOKUP($K964&amp;"",DISPLAY!$B$3:$B$1000&amp;"",DISPLAY!$L$3:$L$1000,""),"Network Device",_xlfn.XLOOKUP($K964&amp;"",'NETWORK-DEVICES'!$B$3:$B$987&amp;"",'NETWORK-DEVICES'!$K$3:$K$987,""),"Peripheral",_xlfn.XLOOKUP($K964&amp;"",PERIPHERAL!$B$3:$B$954&amp;"",PERIPHERAL!$K$3:$K$954,""),"Utilities",_xlfn.XLOOKUP($K964&amp;"",UTILITIES!$B$3:$B$953&amp;"",UTILITIES!$J$3:$J$953,""),"IOT",_xlfn.XLOOKUP($K964&amp;"",IOT!$B$3:$B$1012&amp;"",IOT!$K$4:$K$1012,""),"Server",_xlfn.XLOOKUP($K964&amp;"",SERVER!$B$3:$B$1009&amp;"",SERVER!$K$3:$K$1009,""),""))))</f>
        <v/>
      </c>
      <c r="O964" s="1" t="str" cm="1">
        <f t="array" ref="O964">IF(OR($K964="",$I964="",$J964=""),"",_xlfn.LET(_xlpm.srcCat,_xlfn.SWITCH($I964,"Computer",_xlfn.XLOOKUP($K964&amp;"",COMPUTER!$B$3:$B$1009&amp;"",COMPUTER!$H$3:$H$1009,""),"Display",_xlfn.XLOOKUP($K964&amp;"",DISPLAY!$B$3:$B$1000&amp;"",DISPLAY!$H$3:$H$1000,""),"Network Device",_xlfn.XLOOKUP($K964&amp;"",'NETWORK-DEVICES'!$B$3:$B$987&amp;"",'NETWORK-DEVICES'!$H$3:$H$987,""),"Peripheral",_xlfn.XLOOKUP($K964&amp;"",PERIPHERAL!$B$3:$B$954&amp;"",PERIPHERAL!$H$3:$H$954,""),"Utilities",_xlfn.XLOOKUP($K964&amp;"",UTILITIES!$B$3:$B$953&amp;"",UTILITIES!$G$3:$G$953,""),"IOT",_xlfn.XLOOKUP($K964&amp;"",IOT!$B$3:$B$1012&amp;"",IOT!$H$3:$H$1012,""),"Server",_xlfn.XLOOKUP($K964&amp;"",SERVER!$B$3:$B$1009&amp;"",SERVER!$H$3:$H$1009,""),""),IF(TRIM(_xlpm.srcCat)&lt;&gt;TRIM($J964),"",_xlfn.SWITCH($I964,"Computer",_xlfn.XLOOKUP($K964&amp;"",COMPUTER!$B$3:$B$1009&amp;"",COMPUTER!$E$3:$E$1009,""),"Display",_xlfn.XLOOKUP($K964&amp;"",DISPLAY!$B$3:$B$1000&amp;"",DISPLAY!$E$3:$E$1000,""),"Network Device",_xlfn.XLOOKUP($K964&amp;"",'NETWORK-DEVICES'!$B$3:$B$987&amp;"",'NETWORK-DEVICES'!$E$3:$E$987,""),"Peripheral",_xlfn.XLOOKUP($K964&amp;"",PERIPHERAL!$B$3:$B$954&amp;"",PERIPHERAL!$E$3:$E$954,""),"Utilities",_xlfn.XLOOKUP($K964&amp;"",UTILITIES!$B$3:$B$953&amp;"",UTILITIES!$E$3:$E$953,""),"IOT",_xlfn.XLOOKUP($K964&amp;"",IOT!$B$3:$B$1012&amp;"",IOT!$E$3:$E$1012,""),"Server",_xlfn.XLOOKUP($K964&amp;"",SERVER!$B$3:$B$1009&amp;"",SERVER!$E$3:$E$1009,""),""))))</f>
        <v/>
      </c>
      <c r="Q964" s="1" t="str" cm="1">
        <f t="array" ref="Q964">IF(OR($K964="",$I964="",$J964=""),"",_xlfn.LET(_xlpm.srcCat,_xlfn.SWITCH($I964,"Computer",_xlfn.XLOOKUP($K964&amp;"",COMPUTER!$B$3:$B$1009&amp;"",COMPUTER!$H$3:$H$1009,""),"Display",_xlfn.XLOOKUP($K964&amp;"",DISPLAY!$B$3:$B$1000&amp;"",DISPLAY!$H$3:$H$1000,""),"Network Device",_xlfn.XLOOKUP($K964&amp;"",'NETWORK-DEVICES'!$B$3:$B$987&amp;"",'NETWORK-DEVICES'!$H$3:$H$987,""),"Peripheral",_xlfn.XLOOKUP($K964&amp;"",PERIPHERAL!$B$3:$B$954&amp;"",PERIPHERAL!$H$3:$H$954,""),"Utilities",_xlfn.XLOOKUP($K964&amp;"",UTILITIES!$B$3:$B$953&amp;"",UTILITIES!$G$3:$G$953,""),"IOT",_xlfn.XLOOKUP($K964&amp;"",IOT!$B$3:$B$1012&amp;"",IOT!$H$3:$H$1012,""),"Server",_xlfn.XLOOKUP($K964&amp;"",SERVER!$B$3:$B$1009&amp;"",SERVER!$H$3:$H$1009,""),""),IF(TRIM(_xlpm.srcCat)&lt;&gt;TRIM($J964),"",_xlfn.SWITCH($I964,"Computer",_xlfn.XLOOKUP($K964&amp;"",COMPUTER!$B$3:$B$1009&amp;"",COMPUTER!$AM$3:$AM$1009,""),"Display",_xlfn.XLOOKUP($K964&amp;"",DISPLAY!$B$3:$B$1000&amp;"",DISPLAY!$V$3:$V$1000,""),"Network Device",_xlfn.XLOOKUP($K964&amp;"",'NETWORK-DEVICES'!$B$3:$B$987&amp;"",'NETWORK-DEVICES'!$AF$3:$AF$987,""),"Peripheral",_xlfn.XLOOKUP($K964&amp;"",PERIPHERAL!$B$3:$B$954&amp;"",PERIPHERAL!$Y$3:$Y$954,""),"Utilities",_xlfn.XLOOKUP($K964&amp;"",UTILITIES!$B$3:$B$953&amp;"",UTILITIES!$O$3:$O$953,""),"IOT",_xlfn.XLOOKUP($K964&amp;"",IOT!$B$3:$B$1012&amp;"",IOT!$AB$3:$AB$1012,""),"Server",_xlfn.XLOOKUP($K964&amp;"",SERVER!$B$3:$B$1009&amp;"",SERVER!$AB$3:$AB$1009,""),""))))</f>
        <v/>
      </c>
      <c r="R964" s="43" t="str">
        <f>IF(tbl_handover[[#This Row],[Asset Code]]="","",COUNTIF(tbl_handover[Asset Code],tbl_handover[[#This Row],[Asset Code]]))</f>
        <v/>
      </c>
    </row>
    <row r="965" spans="1:18" x14ac:dyDescent="0.25">
      <c r="A965" s="43" t="str">
        <f>IF(B965&lt;&gt;"",SUBTOTAL(3,$B$1:B964),"")</f>
        <v/>
      </c>
      <c r="C965" s="74"/>
      <c r="D965" s="74"/>
      <c r="G965" s="1"/>
      <c r="K965" s="42"/>
      <c r="L965" t="str" cm="1">
        <f t="array" ref="L965">IF($K965="","",_xlfn.SWITCH($I965,"Computer",_xlfn.XLOOKUP($K965&amp;"",COMPUTER!$B$3:$B$1009&amp;"",COMPUTER!$I$3:$I$1009,""),"Display",_xlfn.XLOOKUP($K965&amp;"",DISPLAY!$B$3:$B$1000&amp;"",DISPLAY!$J$3:$J$1000,""),"Network Device",_xlfn.XLOOKUP($K965&amp;"",'NETWORK-DEVICES'!$B$3:$B$987&amp;"",'NETWORK-DEVICES'!$I$3:$I$987,""),"Peripheral",_xlfn.XLOOKUP($K965&amp;"",PERIPHERAL!$B$3:$B$954&amp;"",PERIPHERAL!$I$3:$I$954,""),"Utilities",_xlfn.XLOOKUP($K965&amp;"",UTILITIES!$B$3:$B$953&amp;"",UTILITIES!$H$3:$H$953,""),"IOT",_xlfn.XLOOKUP($K965&amp;"",IOT!$B$3:$B$1012&amp;"",IOT!$I$3:$I$1012,""),"SERVER",_xlfn.XLOOKUP($K965&amp;"",SERVER!$B$3:$B$1009&amp;"",SERVER!$I$3:$I$1009,""),""))</f>
        <v/>
      </c>
      <c r="M965" t="str" cm="1">
        <f t="array" ref="M965">IF($K965="","",_xlfn.SWITCH($I965,"Computer",_xlfn.XLOOKUP($K965&amp;"",COMPUTER!$B$3:$B$1009&amp;"",COMPUTER!$J$3:$J$1009,""),"Display",_xlfn.XLOOKUP($K965&amp;"",DISPLAY!$B$3:$B$1000&amp;"",DISPLAY!$K$3:$K$1000,""),"Network Device",_xlfn.XLOOKUP($K965&amp;"",'NETWORK-DEVICES'!$B$3:$B$987&amp;"",'NETWORK-DEVICES'!$I$3:$I$987,""),"Peripheral",_xlfn.XLOOKUP($K965&amp;"",PERIPHERAL!$B$3:$B$954&amp;"",PERIPHERAL!$J$3:$J$954,""),"Utilities",_xlfn.XLOOKUP($K965&amp;"",UTILITIES!$B$3:$B$953&amp;"",UTILITIES!$I$3:$I$953,""),"IOT",_xlfn.XLOOKUP($K965&amp;"",IOT!$B$3:$B$1012&amp;"",IOT!$J$3:$J$1012,""),"Server",_xlfn.XLOOKUP($K965&amp;"",SERVER!$B$3:$B$1009&amp;"",SERVER!$J$3:$J$1009,""),""))</f>
        <v/>
      </c>
      <c r="N965" s="1" t="str" cm="1">
        <f t="array" ref="N965">IF(OR($K965="",$I965="",$J965=""),"",_xlfn.LET(_xlpm.srcCat,_xlfn.SWITCH($I965,"Computer",_xlfn.XLOOKUP($K965&amp;"",COMPUTER!$B$3:$B$1009&amp;"",COMPUTER!$H$3:$H$1009,""),"Display",_xlfn.XLOOKUP($K965&amp;"",DISPLAY!$B$3:$B$1000&amp;"",DISPLAY!$H$3:$H$1000,""),"Network Device",_xlfn.XLOOKUP($K965&amp;"",'NETWORK-DEVICES'!$B$3:$B$987&amp;"",'NETWORK-DEVICES'!$H$3:$H$987,""),"Peripheral",_xlfn.XLOOKUP($K965&amp;"",PERIPHERAL!$B$3:$B$954&amp;"",PERIPHERAL!$H$3:$H$954,""),"Utilities",_xlfn.XLOOKUP($K965&amp;"",UTILITIES!$B$3:$B$953&amp;"",UTILITIES!$G$3:$G$953,""),"IOT",_xlfn.XLOOKUP($K965&amp;"",IOT!$B$3:$B$1012&amp;"",IOT!$H$3:$H$1012,""),"Server",_xlfn.XLOOKUP($K965&amp;"",SERVER!$B$3:$B$1009&amp;"",SERVER!$H$3:$H$1009,""),""),IF(TRIM(_xlpm.srcCat)&lt;&gt;TRIM($J965),"",_xlfn.SWITCH($I965,"Computer",_xlfn.XLOOKUP($K965&amp;"",COMPUTER!$B$3:$B$1009&amp;"",COMPUTER!$K$3:$K$1009,""),"Display",_xlfn.XLOOKUP($K965&amp;"",DISPLAY!$B$3:$B$1000&amp;"",DISPLAY!$L$3:$L$1000,""),"Network Device",_xlfn.XLOOKUP($K965&amp;"",'NETWORK-DEVICES'!$B$3:$B$987&amp;"",'NETWORK-DEVICES'!$K$3:$K$987,""),"Peripheral",_xlfn.XLOOKUP($K965&amp;"",PERIPHERAL!$B$3:$B$954&amp;"",PERIPHERAL!$K$3:$K$954,""),"Utilities",_xlfn.XLOOKUP($K965&amp;"",UTILITIES!$B$3:$B$953&amp;"",UTILITIES!$J$3:$J$953,""),"IOT",_xlfn.XLOOKUP($K965&amp;"",IOT!$B$3:$B$1012&amp;"",IOT!$K$4:$K$1012,""),"Server",_xlfn.XLOOKUP($K965&amp;"",SERVER!$B$3:$B$1009&amp;"",SERVER!$K$3:$K$1009,""),""))))</f>
        <v/>
      </c>
      <c r="O965" s="1" t="str" cm="1">
        <f t="array" ref="O965">IF(OR($K965="",$I965="",$J965=""),"",_xlfn.LET(_xlpm.srcCat,_xlfn.SWITCH($I965,"Computer",_xlfn.XLOOKUP($K965&amp;"",COMPUTER!$B$3:$B$1009&amp;"",COMPUTER!$H$3:$H$1009,""),"Display",_xlfn.XLOOKUP($K965&amp;"",DISPLAY!$B$3:$B$1000&amp;"",DISPLAY!$H$3:$H$1000,""),"Network Device",_xlfn.XLOOKUP($K965&amp;"",'NETWORK-DEVICES'!$B$3:$B$987&amp;"",'NETWORK-DEVICES'!$H$3:$H$987,""),"Peripheral",_xlfn.XLOOKUP($K965&amp;"",PERIPHERAL!$B$3:$B$954&amp;"",PERIPHERAL!$H$3:$H$954,""),"Utilities",_xlfn.XLOOKUP($K965&amp;"",UTILITIES!$B$3:$B$953&amp;"",UTILITIES!$G$3:$G$953,""),"IOT",_xlfn.XLOOKUP($K965&amp;"",IOT!$B$3:$B$1012&amp;"",IOT!$H$3:$H$1012,""),"Server",_xlfn.XLOOKUP($K965&amp;"",SERVER!$B$3:$B$1009&amp;"",SERVER!$H$3:$H$1009,""),""),IF(TRIM(_xlpm.srcCat)&lt;&gt;TRIM($J965),"",_xlfn.SWITCH($I965,"Computer",_xlfn.XLOOKUP($K965&amp;"",COMPUTER!$B$3:$B$1009&amp;"",COMPUTER!$E$3:$E$1009,""),"Display",_xlfn.XLOOKUP($K965&amp;"",DISPLAY!$B$3:$B$1000&amp;"",DISPLAY!$E$3:$E$1000,""),"Network Device",_xlfn.XLOOKUP($K965&amp;"",'NETWORK-DEVICES'!$B$3:$B$987&amp;"",'NETWORK-DEVICES'!$E$3:$E$987,""),"Peripheral",_xlfn.XLOOKUP($K965&amp;"",PERIPHERAL!$B$3:$B$954&amp;"",PERIPHERAL!$E$3:$E$954,""),"Utilities",_xlfn.XLOOKUP($K965&amp;"",UTILITIES!$B$3:$B$953&amp;"",UTILITIES!$E$3:$E$953,""),"IOT",_xlfn.XLOOKUP($K965&amp;"",IOT!$B$3:$B$1012&amp;"",IOT!$E$3:$E$1012,""),"Server",_xlfn.XLOOKUP($K965&amp;"",SERVER!$B$3:$B$1009&amp;"",SERVER!$E$3:$E$1009,""),""))))</f>
        <v/>
      </c>
      <c r="Q965" s="1" t="str" cm="1">
        <f t="array" ref="Q965">IF(OR($K965="",$I965="",$J965=""),"",_xlfn.LET(_xlpm.srcCat,_xlfn.SWITCH($I965,"Computer",_xlfn.XLOOKUP($K965&amp;"",COMPUTER!$B$3:$B$1009&amp;"",COMPUTER!$H$3:$H$1009,""),"Display",_xlfn.XLOOKUP($K965&amp;"",DISPLAY!$B$3:$B$1000&amp;"",DISPLAY!$H$3:$H$1000,""),"Network Device",_xlfn.XLOOKUP($K965&amp;"",'NETWORK-DEVICES'!$B$3:$B$987&amp;"",'NETWORK-DEVICES'!$H$3:$H$987,""),"Peripheral",_xlfn.XLOOKUP($K965&amp;"",PERIPHERAL!$B$3:$B$954&amp;"",PERIPHERAL!$H$3:$H$954,""),"Utilities",_xlfn.XLOOKUP($K965&amp;"",UTILITIES!$B$3:$B$953&amp;"",UTILITIES!$G$3:$G$953,""),"IOT",_xlfn.XLOOKUP($K965&amp;"",IOT!$B$3:$B$1012&amp;"",IOT!$H$3:$H$1012,""),"Server",_xlfn.XLOOKUP($K965&amp;"",SERVER!$B$3:$B$1009&amp;"",SERVER!$H$3:$H$1009,""),""),IF(TRIM(_xlpm.srcCat)&lt;&gt;TRIM($J965),"",_xlfn.SWITCH($I965,"Computer",_xlfn.XLOOKUP($K965&amp;"",COMPUTER!$B$3:$B$1009&amp;"",COMPUTER!$AM$3:$AM$1009,""),"Display",_xlfn.XLOOKUP($K965&amp;"",DISPLAY!$B$3:$B$1000&amp;"",DISPLAY!$V$3:$V$1000,""),"Network Device",_xlfn.XLOOKUP($K965&amp;"",'NETWORK-DEVICES'!$B$3:$B$987&amp;"",'NETWORK-DEVICES'!$AF$3:$AF$987,""),"Peripheral",_xlfn.XLOOKUP($K965&amp;"",PERIPHERAL!$B$3:$B$954&amp;"",PERIPHERAL!$Y$3:$Y$954,""),"Utilities",_xlfn.XLOOKUP($K965&amp;"",UTILITIES!$B$3:$B$953&amp;"",UTILITIES!$O$3:$O$953,""),"IOT",_xlfn.XLOOKUP($K965&amp;"",IOT!$B$3:$B$1012&amp;"",IOT!$AB$3:$AB$1012,""),"Server",_xlfn.XLOOKUP($K965&amp;"",SERVER!$B$3:$B$1009&amp;"",SERVER!$AB$3:$AB$1009,""),""))))</f>
        <v/>
      </c>
      <c r="R965" s="43" t="str">
        <f>IF(tbl_handover[[#This Row],[Asset Code]]="","",COUNTIF(tbl_handover[Asset Code],tbl_handover[[#This Row],[Asset Code]]))</f>
        <v/>
      </c>
    </row>
    <row r="966" spans="1:18" x14ac:dyDescent="0.25">
      <c r="A966" s="43" t="str">
        <f>IF(B966&lt;&gt;"",SUBTOTAL(3,$B$1:B965),"")</f>
        <v/>
      </c>
      <c r="C966" s="74"/>
      <c r="D966" s="74"/>
      <c r="G966" s="1"/>
      <c r="K966" s="42"/>
      <c r="L966" t="str" cm="1">
        <f t="array" ref="L966">IF($K966="","",_xlfn.SWITCH($I966,"Computer",_xlfn.XLOOKUP($K966&amp;"",COMPUTER!$B$3:$B$1009&amp;"",COMPUTER!$I$3:$I$1009,""),"Display",_xlfn.XLOOKUP($K966&amp;"",DISPLAY!$B$3:$B$1000&amp;"",DISPLAY!$J$3:$J$1000,""),"Network Device",_xlfn.XLOOKUP($K966&amp;"",'NETWORK-DEVICES'!$B$3:$B$987&amp;"",'NETWORK-DEVICES'!$I$3:$I$987,""),"Peripheral",_xlfn.XLOOKUP($K966&amp;"",PERIPHERAL!$B$3:$B$954&amp;"",PERIPHERAL!$I$3:$I$954,""),"Utilities",_xlfn.XLOOKUP($K966&amp;"",UTILITIES!$B$3:$B$953&amp;"",UTILITIES!$H$3:$H$953,""),"IOT",_xlfn.XLOOKUP($K966&amp;"",IOT!$B$3:$B$1012&amp;"",IOT!$I$3:$I$1012,""),"SERVER",_xlfn.XLOOKUP($K966&amp;"",SERVER!$B$3:$B$1009&amp;"",SERVER!$I$3:$I$1009,""),""))</f>
        <v/>
      </c>
      <c r="M966" t="str" cm="1">
        <f t="array" ref="M966">IF($K966="","",_xlfn.SWITCH($I966,"Computer",_xlfn.XLOOKUP($K966&amp;"",COMPUTER!$B$3:$B$1009&amp;"",COMPUTER!$J$3:$J$1009,""),"Display",_xlfn.XLOOKUP($K966&amp;"",DISPLAY!$B$3:$B$1000&amp;"",DISPLAY!$K$3:$K$1000,""),"Network Device",_xlfn.XLOOKUP($K966&amp;"",'NETWORK-DEVICES'!$B$3:$B$987&amp;"",'NETWORK-DEVICES'!$I$3:$I$987,""),"Peripheral",_xlfn.XLOOKUP($K966&amp;"",PERIPHERAL!$B$3:$B$954&amp;"",PERIPHERAL!$J$3:$J$954,""),"Utilities",_xlfn.XLOOKUP($K966&amp;"",UTILITIES!$B$3:$B$953&amp;"",UTILITIES!$I$3:$I$953,""),"IOT",_xlfn.XLOOKUP($K966&amp;"",IOT!$B$3:$B$1012&amp;"",IOT!$J$3:$J$1012,""),"Server",_xlfn.XLOOKUP($K966&amp;"",SERVER!$B$3:$B$1009&amp;"",SERVER!$J$3:$J$1009,""),""))</f>
        <v/>
      </c>
      <c r="N966" s="1" t="str" cm="1">
        <f t="array" ref="N966">IF(OR($K966="",$I966="",$J966=""),"",_xlfn.LET(_xlpm.srcCat,_xlfn.SWITCH($I966,"Computer",_xlfn.XLOOKUP($K966&amp;"",COMPUTER!$B$3:$B$1009&amp;"",COMPUTER!$H$3:$H$1009,""),"Display",_xlfn.XLOOKUP($K966&amp;"",DISPLAY!$B$3:$B$1000&amp;"",DISPLAY!$H$3:$H$1000,""),"Network Device",_xlfn.XLOOKUP($K966&amp;"",'NETWORK-DEVICES'!$B$3:$B$987&amp;"",'NETWORK-DEVICES'!$H$3:$H$987,""),"Peripheral",_xlfn.XLOOKUP($K966&amp;"",PERIPHERAL!$B$3:$B$954&amp;"",PERIPHERAL!$H$3:$H$954,""),"Utilities",_xlfn.XLOOKUP($K966&amp;"",UTILITIES!$B$3:$B$953&amp;"",UTILITIES!$G$3:$G$953,""),"IOT",_xlfn.XLOOKUP($K966&amp;"",IOT!$B$3:$B$1012&amp;"",IOT!$H$3:$H$1012,""),"Server",_xlfn.XLOOKUP($K966&amp;"",SERVER!$B$3:$B$1009&amp;"",SERVER!$H$3:$H$1009,""),""),IF(TRIM(_xlpm.srcCat)&lt;&gt;TRIM($J966),"",_xlfn.SWITCH($I966,"Computer",_xlfn.XLOOKUP($K966&amp;"",COMPUTER!$B$3:$B$1009&amp;"",COMPUTER!$K$3:$K$1009,""),"Display",_xlfn.XLOOKUP($K966&amp;"",DISPLAY!$B$3:$B$1000&amp;"",DISPLAY!$L$3:$L$1000,""),"Network Device",_xlfn.XLOOKUP($K966&amp;"",'NETWORK-DEVICES'!$B$3:$B$987&amp;"",'NETWORK-DEVICES'!$K$3:$K$987,""),"Peripheral",_xlfn.XLOOKUP($K966&amp;"",PERIPHERAL!$B$3:$B$954&amp;"",PERIPHERAL!$K$3:$K$954,""),"Utilities",_xlfn.XLOOKUP($K966&amp;"",UTILITIES!$B$3:$B$953&amp;"",UTILITIES!$J$3:$J$953,""),"IOT",_xlfn.XLOOKUP($K966&amp;"",IOT!$B$3:$B$1012&amp;"",IOT!$K$4:$K$1012,""),"Server",_xlfn.XLOOKUP($K966&amp;"",SERVER!$B$3:$B$1009&amp;"",SERVER!$K$3:$K$1009,""),""))))</f>
        <v/>
      </c>
      <c r="O966" s="1" t="str" cm="1">
        <f t="array" ref="O966">IF(OR($K966="",$I966="",$J966=""),"",_xlfn.LET(_xlpm.srcCat,_xlfn.SWITCH($I966,"Computer",_xlfn.XLOOKUP($K966&amp;"",COMPUTER!$B$3:$B$1009&amp;"",COMPUTER!$H$3:$H$1009,""),"Display",_xlfn.XLOOKUP($K966&amp;"",DISPLAY!$B$3:$B$1000&amp;"",DISPLAY!$H$3:$H$1000,""),"Network Device",_xlfn.XLOOKUP($K966&amp;"",'NETWORK-DEVICES'!$B$3:$B$987&amp;"",'NETWORK-DEVICES'!$H$3:$H$987,""),"Peripheral",_xlfn.XLOOKUP($K966&amp;"",PERIPHERAL!$B$3:$B$954&amp;"",PERIPHERAL!$H$3:$H$954,""),"Utilities",_xlfn.XLOOKUP($K966&amp;"",UTILITIES!$B$3:$B$953&amp;"",UTILITIES!$G$3:$G$953,""),"IOT",_xlfn.XLOOKUP($K966&amp;"",IOT!$B$3:$B$1012&amp;"",IOT!$H$3:$H$1012,""),"Server",_xlfn.XLOOKUP($K966&amp;"",SERVER!$B$3:$B$1009&amp;"",SERVER!$H$3:$H$1009,""),""),IF(TRIM(_xlpm.srcCat)&lt;&gt;TRIM($J966),"",_xlfn.SWITCH($I966,"Computer",_xlfn.XLOOKUP($K966&amp;"",COMPUTER!$B$3:$B$1009&amp;"",COMPUTER!$E$3:$E$1009,""),"Display",_xlfn.XLOOKUP($K966&amp;"",DISPLAY!$B$3:$B$1000&amp;"",DISPLAY!$E$3:$E$1000,""),"Network Device",_xlfn.XLOOKUP($K966&amp;"",'NETWORK-DEVICES'!$B$3:$B$987&amp;"",'NETWORK-DEVICES'!$E$3:$E$987,""),"Peripheral",_xlfn.XLOOKUP($K966&amp;"",PERIPHERAL!$B$3:$B$954&amp;"",PERIPHERAL!$E$3:$E$954,""),"Utilities",_xlfn.XLOOKUP($K966&amp;"",UTILITIES!$B$3:$B$953&amp;"",UTILITIES!$E$3:$E$953,""),"IOT",_xlfn.XLOOKUP($K966&amp;"",IOT!$B$3:$B$1012&amp;"",IOT!$E$3:$E$1012,""),"Server",_xlfn.XLOOKUP($K966&amp;"",SERVER!$B$3:$B$1009&amp;"",SERVER!$E$3:$E$1009,""),""))))</f>
        <v/>
      </c>
      <c r="Q966" s="1" t="str" cm="1">
        <f t="array" ref="Q966">IF(OR($K966="",$I966="",$J966=""),"",_xlfn.LET(_xlpm.srcCat,_xlfn.SWITCH($I966,"Computer",_xlfn.XLOOKUP($K966&amp;"",COMPUTER!$B$3:$B$1009&amp;"",COMPUTER!$H$3:$H$1009,""),"Display",_xlfn.XLOOKUP($K966&amp;"",DISPLAY!$B$3:$B$1000&amp;"",DISPLAY!$H$3:$H$1000,""),"Network Device",_xlfn.XLOOKUP($K966&amp;"",'NETWORK-DEVICES'!$B$3:$B$987&amp;"",'NETWORK-DEVICES'!$H$3:$H$987,""),"Peripheral",_xlfn.XLOOKUP($K966&amp;"",PERIPHERAL!$B$3:$B$954&amp;"",PERIPHERAL!$H$3:$H$954,""),"Utilities",_xlfn.XLOOKUP($K966&amp;"",UTILITIES!$B$3:$B$953&amp;"",UTILITIES!$G$3:$G$953,""),"IOT",_xlfn.XLOOKUP($K966&amp;"",IOT!$B$3:$B$1012&amp;"",IOT!$H$3:$H$1012,""),"Server",_xlfn.XLOOKUP($K966&amp;"",SERVER!$B$3:$B$1009&amp;"",SERVER!$H$3:$H$1009,""),""),IF(TRIM(_xlpm.srcCat)&lt;&gt;TRIM($J966),"",_xlfn.SWITCH($I966,"Computer",_xlfn.XLOOKUP($K966&amp;"",COMPUTER!$B$3:$B$1009&amp;"",COMPUTER!$AM$3:$AM$1009,""),"Display",_xlfn.XLOOKUP($K966&amp;"",DISPLAY!$B$3:$B$1000&amp;"",DISPLAY!$V$3:$V$1000,""),"Network Device",_xlfn.XLOOKUP($K966&amp;"",'NETWORK-DEVICES'!$B$3:$B$987&amp;"",'NETWORK-DEVICES'!$AF$3:$AF$987,""),"Peripheral",_xlfn.XLOOKUP($K966&amp;"",PERIPHERAL!$B$3:$B$954&amp;"",PERIPHERAL!$Y$3:$Y$954,""),"Utilities",_xlfn.XLOOKUP($K966&amp;"",UTILITIES!$B$3:$B$953&amp;"",UTILITIES!$O$3:$O$953,""),"IOT",_xlfn.XLOOKUP($K966&amp;"",IOT!$B$3:$B$1012&amp;"",IOT!$AB$3:$AB$1012,""),"Server",_xlfn.XLOOKUP($K966&amp;"",SERVER!$B$3:$B$1009&amp;"",SERVER!$AB$3:$AB$1009,""),""))))</f>
        <v/>
      </c>
      <c r="R966" s="43" t="str">
        <f>IF(tbl_handover[[#This Row],[Asset Code]]="","",COUNTIF(tbl_handover[Asset Code],tbl_handover[[#This Row],[Asset Code]]))</f>
        <v/>
      </c>
    </row>
    <row r="967" spans="1:18" x14ac:dyDescent="0.25">
      <c r="A967" s="43" t="str">
        <f>IF(B967&lt;&gt;"",SUBTOTAL(3,$B$1:B966),"")</f>
        <v/>
      </c>
      <c r="C967" s="74"/>
      <c r="D967" s="74"/>
      <c r="G967" s="1"/>
      <c r="K967" s="42"/>
      <c r="L967" t="str" cm="1">
        <f t="array" ref="L967">IF($K967="","",_xlfn.SWITCH($I967,"Computer",_xlfn.XLOOKUP($K967&amp;"",COMPUTER!$B$3:$B$1009&amp;"",COMPUTER!$I$3:$I$1009,""),"Display",_xlfn.XLOOKUP($K967&amp;"",DISPLAY!$B$3:$B$1000&amp;"",DISPLAY!$J$3:$J$1000,""),"Network Device",_xlfn.XLOOKUP($K967&amp;"",'NETWORK-DEVICES'!$B$3:$B$987&amp;"",'NETWORK-DEVICES'!$I$3:$I$987,""),"Peripheral",_xlfn.XLOOKUP($K967&amp;"",PERIPHERAL!$B$3:$B$954&amp;"",PERIPHERAL!$I$3:$I$954,""),"Utilities",_xlfn.XLOOKUP($K967&amp;"",UTILITIES!$B$3:$B$953&amp;"",UTILITIES!$H$3:$H$953,""),"IOT",_xlfn.XLOOKUP($K967&amp;"",IOT!$B$3:$B$1012&amp;"",IOT!$I$3:$I$1012,""),"SERVER",_xlfn.XLOOKUP($K967&amp;"",SERVER!$B$3:$B$1009&amp;"",SERVER!$I$3:$I$1009,""),""))</f>
        <v/>
      </c>
      <c r="M967" t="str" cm="1">
        <f t="array" ref="M967">IF($K967="","",_xlfn.SWITCH($I967,"Computer",_xlfn.XLOOKUP($K967&amp;"",COMPUTER!$B$3:$B$1009&amp;"",COMPUTER!$J$3:$J$1009,""),"Display",_xlfn.XLOOKUP($K967&amp;"",DISPLAY!$B$3:$B$1000&amp;"",DISPLAY!$K$3:$K$1000,""),"Network Device",_xlfn.XLOOKUP($K967&amp;"",'NETWORK-DEVICES'!$B$3:$B$987&amp;"",'NETWORK-DEVICES'!$I$3:$I$987,""),"Peripheral",_xlfn.XLOOKUP($K967&amp;"",PERIPHERAL!$B$3:$B$954&amp;"",PERIPHERAL!$J$3:$J$954,""),"Utilities",_xlfn.XLOOKUP($K967&amp;"",UTILITIES!$B$3:$B$953&amp;"",UTILITIES!$I$3:$I$953,""),"IOT",_xlfn.XLOOKUP($K967&amp;"",IOT!$B$3:$B$1012&amp;"",IOT!$J$3:$J$1012,""),"Server",_xlfn.XLOOKUP($K967&amp;"",SERVER!$B$3:$B$1009&amp;"",SERVER!$J$3:$J$1009,""),""))</f>
        <v/>
      </c>
      <c r="N967" s="1" t="str" cm="1">
        <f t="array" ref="N967">IF(OR($K967="",$I967="",$J967=""),"",_xlfn.LET(_xlpm.srcCat,_xlfn.SWITCH($I967,"Computer",_xlfn.XLOOKUP($K967&amp;"",COMPUTER!$B$3:$B$1009&amp;"",COMPUTER!$H$3:$H$1009,""),"Display",_xlfn.XLOOKUP($K967&amp;"",DISPLAY!$B$3:$B$1000&amp;"",DISPLAY!$H$3:$H$1000,""),"Network Device",_xlfn.XLOOKUP($K967&amp;"",'NETWORK-DEVICES'!$B$3:$B$987&amp;"",'NETWORK-DEVICES'!$H$3:$H$987,""),"Peripheral",_xlfn.XLOOKUP($K967&amp;"",PERIPHERAL!$B$3:$B$954&amp;"",PERIPHERAL!$H$3:$H$954,""),"Utilities",_xlfn.XLOOKUP($K967&amp;"",UTILITIES!$B$3:$B$953&amp;"",UTILITIES!$G$3:$G$953,""),"IOT",_xlfn.XLOOKUP($K967&amp;"",IOT!$B$3:$B$1012&amp;"",IOT!$H$3:$H$1012,""),"Server",_xlfn.XLOOKUP($K967&amp;"",SERVER!$B$3:$B$1009&amp;"",SERVER!$H$3:$H$1009,""),""),IF(TRIM(_xlpm.srcCat)&lt;&gt;TRIM($J967),"",_xlfn.SWITCH($I967,"Computer",_xlfn.XLOOKUP($K967&amp;"",COMPUTER!$B$3:$B$1009&amp;"",COMPUTER!$K$3:$K$1009,""),"Display",_xlfn.XLOOKUP($K967&amp;"",DISPLAY!$B$3:$B$1000&amp;"",DISPLAY!$L$3:$L$1000,""),"Network Device",_xlfn.XLOOKUP($K967&amp;"",'NETWORK-DEVICES'!$B$3:$B$987&amp;"",'NETWORK-DEVICES'!$K$3:$K$987,""),"Peripheral",_xlfn.XLOOKUP($K967&amp;"",PERIPHERAL!$B$3:$B$954&amp;"",PERIPHERAL!$K$3:$K$954,""),"Utilities",_xlfn.XLOOKUP($K967&amp;"",UTILITIES!$B$3:$B$953&amp;"",UTILITIES!$J$3:$J$953,""),"IOT",_xlfn.XLOOKUP($K967&amp;"",IOT!$B$3:$B$1012&amp;"",IOT!$K$4:$K$1012,""),"Server",_xlfn.XLOOKUP($K967&amp;"",SERVER!$B$3:$B$1009&amp;"",SERVER!$K$3:$K$1009,""),""))))</f>
        <v/>
      </c>
      <c r="O967" s="1" t="str" cm="1">
        <f t="array" ref="O967">IF(OR($K967="",$I967="",$J967=""),"",_xlfn.LET(_xlpm.srcCat,_xlfn.SWITCH($I967,"Computer",_xlfn.XLOOKUP($K967&amp;"",COMPUTER!$B$3:$B$1009&amp;"",COMPUTER!$H$3:$H$1009,""),"Display",_xlfn.XLOOKUP($K967&amp;"",DISPLAY!$B$3:$B$1000&amp;"",DISPLAY!$H$3:$H$1000,""),"Network Device",_xlfn.XLOOKUP($K967&amp;"",'NETWORK-DEVICES'!$B$3:$B$987&amp;"",'NETWORK-DEVICES'!$H$3:$H$987,""),"Peripheral",_xlfn.XLOOKUP($K967&amp;"",PERIPHERAL!$B$3:$B$954&amp;"",PERIPHERAL!$H$3:$H$954,""),"Utilities",_xlfn.XLOOKUP($K967&amp;"",UTILITIES!$B$3:$B$953&amp;"",UTILITIES!$G$3:$G$953,""),"IOT",_xlfn.XLOOKUP($K967&amp;"",IOT!$B$3:$B$1012&amp;"",IOT!$H$3:$H$1012,""),"Server",_xlfn.XLOOKUP($K967&amp;"",SERVER!$B$3:$B$1009&amp;"",SERVER!$H$3:$H$1009,""),""),IF(TRIM(_xlpm.srcCat)&lt;&gt;TRIM($J967),"",_xlfn.SWITCH($I967,"Computer",_xlfn.XLOOKUP($K967&amp;"",COMPUTER!$B$3:$B$1009&amp;"",COMPUTER!$E$3:$E$1009,""),"Display",_xlfn.XLOOKUP($K967&amp;"",DISPLAY!$B$3:$B$1000&amp;"",DISPLAY!$E$3:$E$1000,""),"Network Device",_xlfn.XLOOKUP($K967&amp;"",'NETWORK-DEVICES'!$B$3:$B$987&amp;"",'NETWORK-DEVICES'!$E$3:$E$987,""),"Peripheral",_xlfn.XLOOKUP($K967&amp;"",PERIPHERAL!$B$3:$B$954&amp;"",PERIPHERAL!$E$3:$E$954,""),"Utilities",_xlfn.XLOOKUP($K967&amp;"",UTILITIES!$B$3:$B$953&amp;"",UTILITIES!$E$3:$E$953,""),"IOT",_xlfn.XLOOKUP($K967&amp;"",IOT!$B$3:$B$1012&amp;"",IOT!$E$3:$E$1012,""),"Server",_xlfn.XLOOKUP($K967&amp;"",SERVER!$B$3:$B$1009&amp;"",SERVER!$E$3:$E$1009,""),""))))</f>
        <v/>
      </c>
      <c r="Q967" s="1" t="str" cm="1">
        <f t="array" ref="Q967">IF(OR($K967="",$I967="",$J967=""),"",_xlfn.LET(_xlpm.srcCat,_xlfn.SWITCH($I967,"Computer",_xlfn.XLOOKUP($K967&amp;"",COMPUTER!$B$3:$B$1009&amp;"",COMPUTER!$H$3:$H$1009,""),"Display",_xlfn.XLOOKUP($K967&amp;"",DISPLAY!$B$3:$B$1000&amp;"",DISPLAY!$H$3:$H$1000,""),"Network Device",_xlfn.XLOOKUP($K967&amp;"",'NETWORK-DEVICES'!$B$3:$B$987&amp;"",'NETWORK-DEVICES'!$H$3:$H$987,""),"Peripheral",_xlfn.XLOOKUP($K967&amp;"",PERIPHERAL!$B$3:$B$954&amp;"",PERIPHERAL!$H$3:$H$954,""),"Utilities",_xlfn.XLOOKUP($K967&amp;"",UTILITIES!$B$3:$B$953&amp;"",UTILITIES!$G$3:$G$953,""),"IOT",_xlfn.XLOOKUP($K967&amp;"",IOT!$B$3:$B$1012&amp;"",IOT!$H$3:$H$1012,""),"Server",_xlfn.XLOOKUP($K967&amp;"",SERVER!$B$3:$B$1009&amp;"",SERVER!$H$3:$H$1009,""),""),IF(TRIM(_xlpm.srcCat)&lt;&gt;TRIM($J967),"",_xlfn.SWITCH($I967,"Computer",_xlfn.XLOOKUP($K967&amp;"",COMPUTER!$B$3:$B$1009&amp;"",COMPUTER!$AM$3:$AM$1009,""),"Display",_xlfn.XLOOKUP($K967&amp;"",DISPLAY!$B$3:$B$1000&amp;"",DISPLAY!$V$3:$V$1000,""),"Network Device",_xlfn.XLOOKUP($K967&amp;"",'NETWORK-DEVICES'!$B$3:$B$987&amp;"",'NETWORK-DEVICES'!$AF$3:$AF$987,""),"Peripheral",_xlfn.XLOOKUP($K967&amp;"",PERIPHERAL!$B$3:$B$954&amp;"",PERIPHERAL!$Y$3:$Y$954,""),"Utilities",_xlfn.XLOOKUP($K967&amp;"",UTILITIES!$B$3:$B$953&amp;"",UTILITIES!$O$3:$O$953,""),"IOT",_xlfn.XLOOKUP($K967&amp;"",IOT!$B$3:$B$1012&amp;"",IOT!$AB$3:$AB$1012,""),"Server",_xlfn.XLOOKUP($K967&amp;"",SERVER!$B$3:$B$1009&amp;"",SERVER!$AB$3:$AB$1009,""),""))))</f>
        <v/>
      </c>
      <c r="R967" s="43" t="str">
        <f>IF(tbl_handover[[#This Row],[Asset Code]]="","",COUNTIF(tbl_handover[Asset Code],tbl_handover[[#This Row],[Asset Code]]))</f>
        <v/>
      </c>
    </row>
    <row r="968" spans="1:18" x14ac:dyDescent="0.25">
      <c r="A968" s="43" t="str">
        <f>IF(B968&lt;&gt;"",SUBTOTAL(3,$B$1:B967),"")</f>
        <v/>
      </c>
      <c r="C968" s="74"/>
      <c r="D968" s="74"/>
      <c r="G968" s="1"/>
      <c r="K968" s="42"/>
      <c r="L968" t="str" cm="1">
        <f t="array" ref="L968">IF($K968="","",_xlfn.SWITCH($I968,"Computer",_xlfn.XLOOKUP($K968&amp;"",COMPUTER!$B$3:$B$1009&amp;"",COMPUTER!$I$3:$I$1009,""),"Display",_xlfn.XLOOKUP($K968&amp;"",DISPLAY!$B$3:$B$1000&amp;"",DISPLAY!$J$3:$J$1000,""),"Network Device",_xlfn.XLOOKUP($K968&amp;"",'NETWORK-DEVICES'!$B$3:$B$987&amp;"",'NETWORK-DEVICES'!$I$3:$I$987,""),"Peripheral",_xlfn.XLOOKUP($K968&amp;"",PERIPHERAL!$B$3:$B$954&amp;"",PERIPHERAL!$I$3:$I$954,""),"Utilities",_xlfn.XLOOKUP($K968&amp;"",UTILITIES!$B$3:$B$953&amp;"",UTILITIES!$H$3:$H$953,""),"IOT",_xlfn.XLOOKUP($K968&amp;"",IOT!$B$3:$B$1012&amp;"",IOT!$I$3:$I$1012,""),"SERVER",_xlfn.XLOOKUP($K968&amp;"",SERVER!$B$3:$B$1009&amp;"",SERVER!$I$3:$I$1009,""),""))</f>
        <v/>
      </c>
      <c r="M968" t="str" cm="1">
        <f t="array" ref="M968">IF($K968="","",_xlfn.SWITCH($I968,"Computer",_xlfn.XLOOKUP($K968&amp;"",COMPUTER!$B$3:$B$1009&amp;"",COMPUTER!$J$3:$J$1009,""),"Display",_xlfn.XLOOKUP($K968&amp;"",DISPLAY!$B$3:$B$1000&amp;"",DISPLAY!$K$3:$K$1000,""),"Network Device",_xlfn.XLOOKUP($K968&amp;"",'NETWORK-DEVICES'!$B$3:$B$987&amp;"",'NETWORK-DEVICES'!$I$3:$I$987,""),"Peripheral",_xlfn.XLOOKUP($K968&amp;"",PERIPHERAL!$B$3:$B$954&amp;"",PERIPHERAL!$J$3:$J$954,""),"Utilities",_xlfn.XLOOKUP($K968&amp;"",UTILITIES!$B$3:$B$953&amp;"",UTILITIES!$I$3:$I$953,""),"IOT",_xlfn.XLOOKUP($K968&amp;"",IOT!$B$3:$B$1012&amp;"",IOT!$J$3:$J$1012,""),"Server",_xlfn.XLOOKUP($K968&amp;"",SERVER!$B$3:$B$1009&amp;"",SERVER!$J$3:$J$1009,""),""))</f>
        <v/>
      </c>
      <c r="N968" s="1" t="str" cm="1">
        <f t="array" ref="N968">IF(OR($K968="",$I968="",$J968=""),"",_xlfn.LET(_xlpm.srcCat,_xlfn.SWITCH($I968,"Computer",_xlfn.XLOOKUP($K968&amp;"",COMPUTER!$B$3:$B$1009&amp;"",COMPUTER!$H$3:$H$1009,""),"Display",_xlfn.XLOOKUP($K968&amp;"",DISPLAY!$B$3:$B$1000&amp;"",DISPLAY!$H$3:$H$1000,""),"Network Device",_xlfn.XLOOKUP($K968&amp;"",'NETWORK-DEVICES'!$B$3:$B$987&amp;"",'NETWORK-DEVICES'!$H$3:$H$987,""),"Peripheral",_xlfn.XLOOKUP($K968&amp;"",PERIPHERAL!$B$3:$B$954&amp;"",PERIPHERAL!$H$3:$H$954,""),"Utilities",_xlfn.XLOOKUP($K968&amp;"",UTILITIES!$B$3:$B$953&amp;"",UTILITIES!$G$3:$G$953,""),"IOT",_xlfn.XLOOKUP($K968&amp;"",IOT!$B$3:$B$1012&amp;"",IOT!$H$3:$H$1012,""),"Server",_xlfn.XLOOKUP($K968&amp;"",SERVER!$B$3:$B$1009&amp;"",SERVER!$H$3:$H$1009,""),""),IF(TRIM(_xlpm.srcCat)&lt;&gt;TRIM($J968),"",_xlfn.SWITCH($I968,"Computer",_xlfn.XLOOKUP($K968&amp;"",COMPUTER!$B$3:$B$1009&amp;"",COMPUTER!$K$3:$K$1009,""),"Display",_xlfn.XLOOKUP($K968&amp;"",DISPLAY!$B$3:$B$1000&amp;"",DISPLAY!$L$3:$L$1000,""),"Network Device",_xlfn.XLOOKUP($K968&amp;"",'NETWORK-DEVICES'!$B$3:$B$987&amp;"",'NETWORK-DEVICES'!$K$3:$K$987,""),"Peripheral",_xlfn.XLOOKUP($K968&amp;"",PERIPHERAL!$B$3:$B$954&amp;"",PERIPHERAL!$K$3:$K$954,""),"Utilities",_xlfn.XLOOKUP($K968&amp;"",UTILITIES!$B$3:$B$953&amp;"",UTILITIES!$J$3:$J$953,""),"IOT",_xlfn.XLOOKUP($K968&amp;"",IOT!$B$3:$B$1012&amp;"",IOT!$K$4:$K$1012,""),"Server",_xlfn.XLOOKUP($K968&amp;"",SERVER!$B$3:$B$1009&amp;"",SERVER!$K$3:$K$1009,""),""))))</f>
        <v/>
      </c>
      <c r="O968" s="1" t="str" cm="1">
        <f t="array" ref="O968">IF(OR($K968="",$I968="",$J968=""),"",_xlfn.LET(_xlpm.srcCat,_xlfn.SWITCH($I968,"Computer",_xlfn.XLOOKUP($K968&amp;"",COMPUTER!$B$3:$B$1009&amp;"",COMPUTER!$H$3:$H$1009,""),"Display",_xlfn.XLOOKUP($K968&amp;"",DISPLAY!$B$3:$B$1000&amp;"",DISPLAY!$H$3:$H$1000,""),"Network Device",_xlfn.XLOOKUP($K968&amp;"",'NETWORK-DEVICES'!$B$3:$B$987&amp;"",'NETWORK-DEVICES'!$H$3:$H$987,""),"Peripheral",_xlfn.XLOOKUP($K968&amp;"",PERIPHERAL!$B$3:$B$954&amp;"",PERIPHERAL!$H$3:$H$954,""),"Utilities",_xlfn.XLOOKUP($K968&amp;"",UTILITIES!$B$3:$B$953&amp;"",UTILITIES!$G$3:$G$953,""),"IOT",_xlfn.XLOOKUP($K968&amp;"",IOT!$B$3:$B$1012&amp;"",IOT!$H$3:$H$1012,""),"Server",_xlfn.XLOOKUP($K968&amp;"",SERVER!$B$3:$B$1009&amp;"",SERVER!$H$3:$H$1009,""),""),IF(TRIM(_xlpm.srcCat)&lt;&gt;TRIM($J968),"",_xlfn.SWITCH($I968,"Computer",_xlfn.XLOOKUP($K968&amp;"",COMPUTER!$B$3:$B$1009&amp;"",COMPUTER!$E$3:$E$1009,""),"Display",_xlfn.XLOOKUP($K968&amp;"",DISPLAY!$B$3:$B$1000&amp;"",DISPLAY!$E$3:$E$1000,""),"Network Device",_xlfn.XLOOKUP($K968&amp;"",'NETWORK-DEVICES'!$B$3:$B$987&amp;"",'NETWORK-DEVICES'!$E$3:$E$987,""),"Peripheral",_xlfn.XLOOKUP($K968&amp;"",PERIPHERAL!$B$3:$B$954&amp;"",PERIPHERAL!$E$3:$E$954,""),"Utilities",_xlfn.XLOOKUP($K968&amp;"",UTILITIES!$B$3:$B$953&amp;"",UTILITIES!$E$3:$E$953,""),"IOT",_xlfn.XLOOKUP($K968&amp;"",IOT!$B$3:$B$1012&amp;"",IOT!$E$3:$E$1012,""),"Server",_xlfn.XLOOKUP($K968&amp;"",SERVER!$B$3:$B$1009&amp;"",SERVER!$E$3:$E$1009,""),""))))</f>
        <v/>
      </c>
      <c r="Q968" s="1" t="str" cm="1">
        <f t="array" ref="Q968">IF(OR($K968="",$I968="",$J968=""),"",_xlfn.LET(_xlpm.srcCat,_xlfn.SWITCH($I968,"Computer",_xlfn.XLOOKUP($K968&amp;"",COMPUTER!$B$3:$B$1009&amp;"",COMPUTER!$H$3:$H$1009,""),"Display",_xlfn.XLOOKUP($K968&amp;"",DISPLAY!$B$3:$B$1000&amp;"",DISPLAY!$H$3:$H$1000,""),"Network Device",_xlfn.XLOOKUP($K968&amp;"",'NETWORK-DEVICES'!$B$3:$B$987&amp;"",'NETWORK-DEVICES'!$H$3:$H$987,""),"Peripheral",_xlfn.XLOOKUP($K968&amp;"",PERIPHERAL!$B$3:$B$954&amp;"",PERIPHERAL!$H$3:$H$954,""),"Utilities",_xlfn.XLOOKUP($K968&amp;"",UTILITIES!$B$3:$B$953&amp;"",UTILITIES!$G$3:$G$953,""),"IOT",_xlfn.XLOOKUP($K968&amp;"",IOT!$B$3:$B$1012&amp;"",IOT!$H$3:$H$1012,""),"Server",_xlfn.XLOOKUP($K968&amp;"",SERVER!$B$3:$B$1009&amp;"",SERVER!$H$3:$H$1009,""),""),IF(TRIM(_xlpm.srcCat)&lt;&gt;TRIM($J968),"",_xlfn.SWITCH($I968,"Computer",_xlfn.XLOOKUP($K968&amp;"",COMPUTER!$B$3:$B$1009&amp;"",COMPUTER!$AM$3:$AM$1009,""),"Display",_xlfn.XLOOKUP($K968&amp;"",DISPLAY!$B$3:$B$1000&amp;"",DISPLAY!$V$3:$V$1000,""),"Network Device",_xlfn.XLOOKUP($K968&amp;"",'NETWORK-DEVICES'!$B$3:$B$987&amp;"",'NETWORK-DEVICES'!$AF$3:$AF$987,""),"Peripheral",_xlfn.XLOOKUP($K968&amp;"",PERIPHERAL!$B$3:$B$954&amp;"",PERIPHERAL!$Y$3:$Y$954,""),"Utilities",_xlfn.XLOOKUP($K968&amp;"",UTILITIES!$B$3:$B$953&amp;"",UTILITIES!$O$3:$O$953,""),"IOT",_xlfn.XLOOKUP($K968&amp;"",IOT!$B$3:$B$1012&amp;"",IOT!$AB$3:$AB$1012,""),"Server",_xlfn.XLOOKUP($K968&amp;"",SERVER!$B$3:$B$1009&amp;"",SERVER!$AB$3:$AB$1009,""),""))))</f>
        <v/>
      </c>
      <c r="R968" s="43" t="str">
        <f>IF(tbl_handover[[#This Row],[Asset Code]]="","",COUNTIF(tbl_handover[Asset Code],tbl_handover[[#This Row],[Asset Code]]))</f>
        <v/>
      </c>
    </row>
    <row r="969" spans="1:18" x14ac:dyDescent="0.25">
      <c r="A969" s="43" t="str">
        <f>IF(B969&lt;&gt;"",SUBTOTAL(3,$B$1:B968),"")</f>
        <v/>
      </c>
      <c r="C969" s="74"/>
      <c r="D969" s="74"/>
      <c r="G969" s="1"/>
      <c r="K969" s="42"/>
      <c r="L969" t="str" cm="1">
        <f t="array" ref="L969">IF($K969="","",_xlfn.SWITCH($I969,"Computer",_xlfn.XLOOKUP($K969&amp;"",COMPUTER!$B$3:$B$1009&amp;"",COMPUTER!$I$3:$I$1009,""),"Display",_xlfn.XLOOKUP($K969&amp;"",DISPLAY!$B$3:$B$1000&amp;"",DISPLAY!$J$3:$J$1000,""),"Network Device",_xlfn.XLOOKUP($K969&amp;"",'NETWORK-DEVICES'!$B$3:$B$987&amp;"",'NETWORK-DEVICES'!$I$3:$I$987,""),"Peripheral",_xlfn.XLOOKUP($K969&amp;"",PERIPHERAL!$B$3:$B$954&amp;"",PERIPHERAL!$I$3:$I$954,""),"Utilities",_xlfn.XLOOKUP($K969&amp;"",UTILITIES!$B$3:$B$953&amp;"",UTILITIES!$H$3:$H$953,""),"IOT",_xlfn.XLOOKUP($K969&amp;"",IOT!$B$3:$B$1012&amp;"",IOT!$I$3:$I$1012,""),"SERVER",_xlfn.XLOOKUP($K969&amp;"",SERVER!$B$3:$B$1009&amp;"",SERVER!$I$3:$I$1009,""),""))</f>
        <v/>
      </c>
      <c r="M969" t="str" cm="1">
        <f t="array" ref="M969">IF($K969="","",_xlfn.SWITCH($I969,"Computer",_xlfn.XLOOKUP($K969&amp;"",COMPUTER!$B$3:$B$1009&amp;"",COMPUTER!$J$3:$J$1009,""),"Display",_xlfn.XLOOKUP($K969&amp;"",DISPLAY!$B$3:$B$1000&amp;"",DISPLAY!$K$3:$K$1000,""),"Network Device",_xlfn.XLOOKUP($K969&amp;"",'NETWORK-DEVICES'!$B$3:$B$987&amp;"",'NETWORK-DEVICES'!$I$3:$I$987,""),"Peripheral",_xlfn.XLOOKUP($K969&amp;"",PERIPHERAL!$B$3:$B$954&amp;"",PERIPHERAL!$J$3:$J$954,""),"Utilities",_xlfn.XLOOKUP($K969&amp;"",UTILITIES!$B$3:$B$953&amp;"",UTILITIES!$I$3:$I$953,""),"IOT",_xlfn.XLOOKUP($K969&amp;"",IOT!$B$3:$B$1012&amp;"",IOT!$J$3:$J$1012,""),"Server",_xlfn.XLOOKUP($K969&amp;"",SERVER!$B$3:$B$1009&amp;"",SERVER!$J$3:$J$1009,""),""))</f>
        <v/>
      </c>
      <c r="N969" s="1" t="str" cm="1">
        <f t="array" ref="N969">IF(OR($K969="",$I969="",$J969=""),"",_xlfn.LET(_xlpm.srcCat,_xlfn.SWITCH($I969,"Computer",_xlfn.XLOOKUP($K969&amp;"",COMPUTER!$B$3:$B$1009&amp;"",COMPUTER!$H$3:$H$1009,""),"Display",_xlfn.XLOOKUP($K969&amp;"",DISPLAY!$B$3:$B$1000&amp;"",DISPLAY!$H$3:$H$1000,""),"Network Device",_xlfn.XLOOKUP($K969&amp;"",'NETWORK-DEVICES'!$B$3:$B$987&amp;"",'NETWORK-DEVICES'!$H$3:$H$987,""),"Peripheral",_xlfn.XLOOKUP($K969&amp;"",PERIPHERAL!$B$3:$B$954&amp;"",PERIPHERAL!$H$3:$H$954,""),"Utilities",_xlfn.XLOOKUP($K969&amp;"",UTILITIES!$B$3:$B$953&amp;"",UTILITIES!$G$3:$G$953,""),"IOT",_xlfn.XLOOKUP($K969&amp;"",IOT!$B$3:$B$1012&amp;"",IOT!$H$3:$H$1012,""),"Server",_xlfn.XLOOKUP($K969&amp;"",SERVER!$B$3:$B$1009&amp;"",SERVER!$H$3:$H$1009,""),""),IF(TRIM(_xlpm.srcCat)&lt;&gt;TRIM($J969),"",_xlfn.SWITCH($I969,"Computer",_xlfn.XLOOKUP($K969&amp;"",COMPUTER!$B$3:$B$1009&amp;"",COMPUTER!$K$3:$K$1009,""),"Display",_xlfn.XLOOKUP($K969&amp;"",DISPLAY!$B$3:$B$1000&amp;"",DISPLAY!$L$3:$L$1000,""),"Network Device",_xlfn.XLOOKUP($K969&amp;"",'NETWORK-DEVICES'!$B$3:$B$987&amp;"",'NETWORK-DEVICES'!$K$3:$K$987,""),"Peripheral",_xlfn.XLOOKUP($K969&amp;"",PERIPHERAL!$B$3:$B$954&amp;"",PERIPHERAL!$K$3:$K$954,""),"Utilities",_xlfn.XLOOKUP($K969&amp;"",UTILITIES!$B$3:$B$953&amp;"",UTILITIES!$J$3:$J$953,""),"IOT",_xlfn.XLOOKUP($K969&amp;"",IOT!$B$3:$B$1012&amp;"",IOT!$K$4:$K$1012,""),"Server",_xlfn.XLOOKUP($K969&amp;"",SERVER!$B$3:$B$1009&amp;"",SERVER!$K$3:$K$1009,""),""))))</f>
        <v/>
      </c>
      <c r="O969" s="1" t="str" cm="1">
        <f t="array" ref="O969">IF(OR($K969="",$I969="",$J969=""),"",_xlfn.LET(_xlpm.srcCat,_xlfn.SWITCH($I969,"Computer",_xlfn.XLOOKUP($K969&amp;"",COMPUTER!$B$3:$B$1009&amp;"",COMPUTER!$H$3:$H$1009,""),"Display",_xlfn.XLOOKUP($K969&amp;"",DISPLAY!$B$3:$B$1000&amp;"",DISPLAY!$H$3:$H$1000,""),"Network Device",_xlfn.XLOOKUP($K969&amp;"",'NETWORK-DEVICES'!$B$3:$B$987&amp;"",'NETWORK-DEVICES'!$H$3:$H$987,""),"Peripheral",_xlfn.XLOOKUP($K969&amp;"",PERIPHERAL!$B$3:$B$954&amp;"",PERIPHERAL!$H$3:$H$954,""),"Utilities",_xlfn.XLOOKUP($K969&amp;"",UTILITIES!$B$3:$B$953&amp;"",UTILITIES!$G$3:$G$953,""),"IOT",_xlfn.XLOOKUP($K969&amp;"",IOT!$B$3:$B$1012&amp;"",IOT!$H$3:$H$1012,""),"Server",_xlfn.XLOOKUP($K969&amp;"",SERVER!$B$3:$B$1009&amp;"",SERVER!$H$3:$H$1009,""),""),IF(TRIM(_xlpm.srcCat)&lt;&gt;TRIM($J969),"",_xlfn.SWITCH($I969,"Computer",_xlfn.XLOOKUP($K969&amp;"",COMPUTER!$B$3:$B$1009&amp;"",COMPUTER!$E$3:$E$1009,""),"Display",_xlfn.XLOOKUP($K969&amp;"",DISPLAY!$B$3:$B$1000&amp;"",DISPLAY!$E$3:$E$1000,""),"Network Device",_xlfn.XLOOKUP($K969&amp;"",'NETWORK-DEVICES'!$B$3:$B$987&amp;"",'NETWORK-DEVICES'!$E$3:$E$987,""),"Peripheral",_xlfn.XLOOKUP($K969&amp;"",PERIPHERAL!$B$3:$B$954&amp;"",PERIPHERAL!$E$3:$E$954,""),"Utilities",_xlfn.XLOOKUP($K969&amp;"",UTILITIES!$B$3:$B$953&amp;"",UTILITIES!$E$3:$E$953,""),"IOT",_xlfn.XLOOKUP($K969&amp;"",IOT!$B$3:$B$1012&amp;"",IOT!$E$3:$E$1012,""),"Server",_xlfn.XLOOKUP($K969&amp;"",SERVER!$B$3:$B$1009&amp;"",SERVER!$E$3:$E$1009,""),""))))</f>
        <v/>
      </c>
      <c r="Q969" s="1" t="str" cm="1">
        <f t="array" ref="Q969">IF(OR($K969="",$I969="",$J969=""),"",_xlfn.LET(_xlpm.srcCat,_xlfn.SWITCH($I969,"Computer",_xlfn.XLOOKUP($K969&amp;"",COMPUTER!$B$3:$B$1009&amp;"",COMPUTER!$H$3:$H$1009,""),"Display",_xlfn.XLOOKUP($K969&amp;"",DISPLAY!$B$3:$B$1000&amp;"",DISPLAY!$H$3:$H$1000,""),"Network Device",_xlfn.XLOOKUP($K969&amp;"",'NETWORK-DEVICES'!$B$3:$B$987&amp;"",'NETWORK-DEVICES'!$H$3:$H$987,""),"Peripheral",_xlfn.XLOOKUP($K969&amp;"",PERIPHERAL!$B$3:$B$954&amp;"",PERIPHERAL!$H$3:$H$954,""),"Utilities",_xlfn.XLOOKUP($K969&amp;"",UTILITIES!$B$3:$B$953&amp;"",UTILITIES!$G$3:$G$953,""),"IOT",_xlfn.XLOOKUP($K969&amp;"",IOT!$B$3:$B$1012&amp;"",IOT!$H$3:$H$1012,""),"Server",_xlfn.XLOOKUP($K969&amp;"",SERVER!$B$3:$B$1009&amp;"",SERVER!$H$3:$H$1009,""),""),IF(TRIM(_xlpm.srcCat)&lt;&gt;TRIM($J969),"",_xlfn.SWITCH($I969,"Computer",_xlfn.XLOOKUP($K969&amp;"",COMPUTER!$B$3:$B$1009&amp;"",COMPUTER!$AM$3:$AM$1009,""),"Display",_xlfn.XLOOKUP($K969&amp;"",DISPLAY!$B$3:$B$1000&amp;"",DISPLAY!$V$3:$V$1000,""),"Network Device",_xlfn.XLOOKUP($K969&amp;"",'NETWORK-DEVICES'!$B$3:$B$987&amp;"",'NETWORK-DEVICES'!$AF$3:$AF$987,""),"Peripheral",_xlfn.XLOOKUP($K969&amp;"",PERIPHERAL!$B$3:$B$954&amp;"",PERIPHERAL!$Y$3:$Y$954,""),"Utilities",_xlfn.XLOOKUP($K969&amp;"",UTILITIES!$B$3:$B$953&amp;"",UTILITIES!$O$3:$O$953,""),"IOT",_xlfn.XLOOKUP($K969&amp;"",IOT!$B$3:$B$1012&amp;"",IOT!$AB$3:$AB$1012,""),"Server",_xlfn.XLOOKUP($K969&amp;"",SERVER!$B$3:$B$1009&amp;"",SERVER!$AB$3:$AB$1009,""),""))))</f>
        <v/>
      </c>
      <c r="R969" s="43" t="str">
        <f>IF(tbl_handover[[#This Row],[Asset Code]]="","",COUNTIF(tbl_handover[Asset Code],tbl_handover[[#This Row],[Asset Code]]))</f>
        <v/>
      </c>
    </row>
    <row r="970" spans="1:18" x14ac:dyDescent="0.25">
      <c r="A970" s="43" t="str">
        <f>IF(B970&lt;&gt;"",SUBTOTAL(3,$B$1:B969),"")</f>
        <v/>
      </c>
      <c r="C970" s="74"/>
      <c r="D970" s="74"/>
      <c r="G970" s="1"/>
      <c r="K970" s="42"/>
      <c r="L970" t="str" cm="1">
        <f t="array" ref="L970">IF($K970="","",_xlfn.SWITCH($I970,"Computer",_xlfn.XLOOKUP($K970&amp;"",COMPUTER!$B$3:$B$1009&amp;"",COMPUTER!$I$3:$I$1009,""),"Display",_xlfn.XLOOKUP($K970&amp;"",DISPLAY!$B$3:$B$1000&amp;"",DISPLAY!$J$3:$J$1000,""),"Network Device",_xlfn.XLOOKUP($K970&amp;"",'NETWORK-DEVICES'!$B$3:$B$987&amp;"",'NETWORK-DEVICES'!$I$3:$I$987,""),"Peripheral",_xlfn.XLOOKUP($K970&amp;"",PERIPHERAL!$B$3:$B$954&amp;"",PERIPHERAL!$I$3:$I$954,""),"Utilities",_xlfn.XLOOKUP($K970&amp;"",UTILITIES!$B$3:$B$953&amp;"",UTILITIES!$H$3:$H$953,""),"IOT",_xlfn.XLOOKUP($K970&amp;"",IOT!$B$3:$B$1012&amp;"",IOT!$I$3:$I$1012,""),"SERVER",_xlfn.XLOOKUP($K970&amp;"",SERVER!$B$3:$B$1009&amp;"",SERVER!$I$3:$I$1009,""),""))</f>
        <v/>
      </c>
      <c r="M970" t="str" cm="1">
        <f t="array" ref="M970">IF($K970="","",_xlfn.SWITCH($I970,"Computer",_xlfn.XLOOKUP($K970&amp;"",COMPUTER!$B$3:$B$1009&amp;"",COMPUTER!$J$3:$J$1009,""),"Display",_xlfn.XLOOKUP($K970&amp;"",DISPLAY!$B$3:$B$1000&amp;"",DISPLAY!$K$3:$K$1000,""),"Network Device",_xlfn.XLOOKUP($K970&amp;"",'NETWORK-DEVICES'!$B$3:$B$987&amp;"",'NETWORK-DEVICES'!$I$3:$I$987,""),"Peripheral",_xlfn.XLOOKUP($K970&amp;"",PERIPHERAL!$B$3:$B$954&amp;"",PERIPHERAL!$J$3:$J$954,""),"Utilities",_xlfn.XLOOKUP($K970&amp;"",UTILITIES!$B$3:$B$953&amp;"",UTILITIES!$I$3:$I$953,""),"IOT",_xlfn.XLOOKUP($K970&amp;"",IOT!$B$3:$B$1012&amp;"",IOT!$J$3:$J$1012,""),"Server",_xlfn.XLOOKUP($K970&amp;"",SERVER!$B$3:$B$1009&amp;"",SERVER!$J$3:$J$1009,""),""))</f>
        <v/>
      </c>
      <c r="N970" s="1" t="str" cm="1">
        <f t="array" ref="N970">IF(OR($K970="",$I970="",$J970=""),"",_xlfn.LET(_xlpm.srcCat,_xlfn.SWITCH($I970,"Computer",_xlfn.XLOOKUP($K970&amp;"",COMPUTER!$B$3:$B$1009&amp;"",COMPUTER!$H$3:$H$1009,""),"Display",_xlfn.XLOOKUP($K970&amp;"",DISPLAY!$B$3:$B$1000&amp;"",DISPLAY!$H$3:$H$1000,""),"Network Device",_xlfn.XLOOKUP($K970&amp;"",'NETWORK-DEVICES'!$B$3:$B$987&amp;"",'NETWORK-DEVICES'!$H$3:$H$987,""),"Peripheral",_xlfn.XLOOKUP($K970&amp;"",PERIPHERAL!$B$3:$B$954&amp;"",PERIPHERAL!$H$3:$H$954,""),"Utilities",_xlfn.XLOOKUP($K970&amp;"",UTILITIES!$B$3:$B$953&amp;"",UTILITIES!$G$3:$G$953,""),"IOT",_xlfn.XLOOKUP($K970&amp;"",IOT!$B$3:$B$1012&amp;"",IOT!$H$3:$H$1012,""),"Server",_xlfn.XLOOKUP($K970&amp;"",SERVER!$B$3:$B$1009&amp;"",SERVER!$H$3:$H$1009,""),""),IF(TRIM(_xlpm.srcCat)&lt;&gt;TRIM($J970),"",_xlfn.SWITCH($I970,"Computer",_xlfn.XLOOKUP($K970&amp;"",COMPUTER!$B$3:$B$1009&amp;"",COMPUTER!$K$3:$K$1009,""),"Display",_xlfn.XLOOKUP($K970&amp;"",DISPLAY!$B$3:$B$1000&amp;"",DISPLAY!$L$3:$L$1000,""),"Network Device",_xlfn.XLOOKUP($K970&amp;"",'NETWORK-DEVICES'!$B$3:$B$987&amp;"",'NETWORK-DEVICES'!$K$3:$K$987,""),"Peripheral",_xlfn.XLOOKUP($K970&amp;"",PERIPHERAL!$B$3:$B$954&amp;"",PERIPHERAL!$K$3:$K$954,""),"Utilities",_xlfn.XLOOKUP($K970&amp;"",UTILITIES!$B$3:$B$953&amp;"",UTILITIES!$J$3:$J$953,""),"IOT",_xlfn.XLOOKUP($K970&amp;"",IOT!$B$3:$B$1012&amp;"",IOT!$K$4:$K$1012,""),"Server",_xlfn.XLOOKUP($K970&amp;"",SERVER!$B$3:$B$1009&amp;"",SERVER!$K$3:$K$1009,""),""))))</f>
        <v/>
      </c>
      <c r="O970" s="1" t="str" cm="1">
        <f t="array" ref="O970">IF(OR($K970="",$I970="",$J970=""),"",_xlfn.LET(_xlpm.srcCat,_xlfn.SWITCH($I970,"Computer",_xlfn.XLOOKUP($K970&amp;"",COMPUTER!$B$3:$B$1009&amp;"",COMPUTER!$H$3:$H$1009,""),"Display",_xlfn.XLOOKUP($K970&amp;"",DISPLAY!$B$3:$B$1000&amp;"",DISPLAY!$H$3:$H$1000,""),"Network Device",_xlfn.XLOOKUP($K970&amp;"",'NETWORK-DEVICES'!$B$3:$B$987&amp;"",'NETWORK-DEVICES'!$H$3:$H$987,""),"Peripheral",_xlfn.XLOOKUP($K970&amp;"",PERIPHERAL!$B$3:$B$954&amp;"",PERIPHERAL!$H$3:$H$954,""),"Utilities",_xlfn.XLOOKUP($K970&amp;"",UTILITIES!$B$3:$B$953&amp;"",UTILITIES!$G$3:$G$953,""),"IOT",_xlfn.XLOOKUP($K970&amp;"",IOT!$B$3:$B$1012&amp;"",IOT!$H$3:$H$1012,""),"Server",_xlfn.XLOOKUP($K970&amp;"",SERVER!$B$3:$B$1009&amp;"",SERVER!$H$3:$H$1009,""),""),IF(TRIM(_xlpm.srcCat)&lt;&gt;TRIM($J970),"",_xlfn.SWITCH($I970,"Computer",_xlfn.XLOOKUP($K970&amp;"",COMPUTER!$B$3:$B$1009&amp;"",COMPUTER!$E$3:$E$1009,""),"Display",_xlfn.XLOOKUP($K970&amp;"",DISPLAY!$B$3:$B$1000&amp;"",DISPLAY!$E$3:$E$1000,""),"Network Device",_xlfn.XLOOKUP($K970&amp;"",'NETWORK-DEVICES'!$B$3:$B$987&amp;"",'NETWORK-DEVICES'!$E$3:$E$987,""),"Peripheral",_xlfn.XLOOKUP($K970&amp;"",PERIPHERAL!$B$3:$B$954&amp;"",PERIPHERAL!$E$3:$E$954,""),"Utilities",_xlfn.XLOOKUP($K970&amp;"",UTILITIES!$B$3:$B$953&amp;"",UTILITIES!$E$3:$E$953,""),"IOT",_xlfn.XLOOKUP($K970&amp;"",IOT!$B$3:$B$1012&amp;"",IOT!$E$3:$E$1012,""),"Server",_xlfn.XLOOKUP($K970&amp;"",SERVER!$B$3:$B$1009&amp;"",SERVER!$E$3:$E$1009,""),""))))</f>
        <v/>
      </c>
      <c r="Q970" s="1" t="str" cm="1">
        <f t="array" ref="Q970">IF(OR($K970="",$I970="",$J970=""),"",_xlfn.LET(_xlpm.srcCat,_xlfn.SWITCH($I970,"Computer",_xlfn.XLOOKUP($K970&amp;"",COMPUTER!$B$3:$B$1009&amp;"",COMPUTER!$H$3:$H$1009,""),"Display",_xlfn.XLOOKUP($K970&amp;"",DISPLAY!$B$3:$B$1000&amp;"",DISPLAY!$H$3:$H$1000,""),"Network Device",_xlfn.XLOOKUP($K970&amp;"",'NETWORK-DEVICES'!$B$3:$B$987&amp;"",'NETWORK-DEVICES'!$H$3:$H$987,""),"Peripheral",_xlfn.XLOOKUP($K970&amp;"",PERIPHERAL!$B$3:$B$954&amp;"",PERIPHERAL!$H$3:$H$954,""),"Utilities",_xlfn.XLOOKUP($K970&amp;"",UTILITIES!$B$3:$B$953&amp;"",UTILITIES!$G$3:$G$953,""),"IOT",_xlfn.XLOOKUP($K970&amp;"",IOT!$B$3:$B$1012&amp;"",IOT!$H$3:$H$1012,""),"Server",_xlfn.XLOOKUP($K970&amp;"",SERVER!$B$3:$B$1009&amp;"",SERVER!$H$3:$H$1009,""),""),IF(TRIM(_xlpm.srcCat)&lt;&gt;TRIM($J970),"",_xlfn.SWITCH($I970,"Computer",_xlfn.XLOOKUP($K970&amp;"",COMPUTER!$B$3:$B$1009&amp;"",COMPUTER!$AM$3:$AM$1009,""),"Display",_xlfn.XLOOKUP($K970&amp;"",DISPLAY!$B$3:$B$1000&amp;"",DISPLAY!$V$3:$V$1000,""),"Network Device",_xlfn.XLOOKUP($K970&amp;"",'NETWORK-DEVICES'!$B$3:$B$987&amp;"",'NETWORK-DEVICES'!$AF$3:$AF$987,""),"Peripheral",_xlfn.XLOOKUP($K970&amp;"",PERIPHERAL!$B$3:$B$954&amp;"",PERIPHERAL!$Y$3:$Y$954,""),"Utilities",_xlfn.XLOOKUP($K970&amp;"",UTILITIES!$B$3:$B$953&amp;"",UTILITIES!$O$3:$O$953,""),"IOT",_xlfn.XLOOKUP($K970&amp;"",IOT!$B$3:$B$1012&amp;"",IOT!$AB$3:$AB$1012,""),"Server",_xlfn.XLOOKUP($K970&amp;"",SERVER!$B$3:$B$1009&amp;"",SERVER!$AB$3:$AB$1009,""),""))))</f>
        <v/>
      </c>
      <c r="R970" s="43" t="str">
        <f>IF(tbl_handover[[#This Row],[Asset Code]]="","",COUNTIF(tbl_handover[Asset Code],tbl_handover[[#This Row],[Asset Code]]))</f>
        <v/>
      </c>
    </row>
    <row r="971" spans="1:18" x14ac:dyDescent="0.25">
      <c r="A971" s="43" t="str">
        <f>IF(B971&lt;&gt;"",SUBTOTAL(3,$B$1:B970),"")</f>
        <v/>
      </c>
      <c r="C971" s="74"/>
      <c r="D971" s="74"/>
      <c r="G971" s="1"/>
      <c r="K971" s="42"/>
      <c r="L971" t="str" cm="1">
        <f t="array" ref="L971">IF($K971="","",_xlfn.SWITCH($I971,"Computer",_xlfn.XLOOKUP($K971&amp;"",COMPUTER!$B$3:$B$1009&amp;"",COMPUTER!$I$3:$I$1009,""),"Display",_xlfn.XLOOKUP($K971&amp;"",DISPLAY!$B$3:$B$1000&amp;"",DISPLAY!$J$3:$J$1000,""),"Network Device",_xlfn.XLOOKUP($K971&amp;"",'NETWORK-DEVICES'!$B$3:$B$987&amp;"",'NETWORK-DEVICES'!$I$3:$I$987,""),"Peripheral",_xlfn.XLOOKUP($K971&amp;"",PERIPHERAL!$B$3:$B$954&amp;"",PERIPHERAL!$I$3:$I$954,""),"Utilities",_xlfn.XLOOKUP($K971&amp;"",UTILITIES!$B$3:$B$953&amp;"",UTILITIES!$H$3:$H$953,""),"IOT",_xlfn.XLOOKUP($K971&amp;"",IOT!$B$3:$B$1012&amp;"",IOT!$I$3:$I$1012,""),"SERVER",_xlfn.XLOOKUP($K971&amp;"",SERVER!$B$3:$B$1009&amp;"",SERVER!$I$3:$I$1009,""),""))</f>
        <v/>
      </c>
      <c r="M971" t="str" cm="1">
        <f t="array" ref="M971">IF($K971="","",_xlfn.SWITCH($I971,"Computer",_xlfn.XLOOKUP($K971&amp;"",COMPUTER!$B$3:$B$1009&amp;"",COMPUTER!$J$3:$J$1009,""),"Display",_xlfn.XLOOKUP($K971&amp;"",DISPLAY!$B$3:$B$1000&amp;"",DISPLAY!$K$3:$K$1000,""),"Network Device",_xlfn.XLOOKUP($K971&amp;"",'NETWORK-DEVICES'!$B$3:$B$987&amp;"",'NETWORK-DEVICES'!$I$3:$I$987,""),"Peripheral",_xlfn.XLOOKUP($K971&amp;"",PERIPHERAL!$B$3:$B$954&amp;"",PERIPHERAL!$J$3:$J$954,""),"Utilities",_xlfn.XLOOKUP($K971&amp;"",UTILITIES!$B$3:$B$953&amp;"",UTILITIES!$I$3:$I$953,""),"IOT",_xlfn.XLOOKUP($K971&amp;"",IOT!$B$3:$B$1012&amp;"",IOT!$J$3:$J$1012,""),"Server",_xlfn.XLOOKUP($K971&amp;"",SERVER!$B$3:$B$1009&amp;"",SERVER!$J$3:$J$1009,""),""))</f>
        <v/>
      </c>
      <c r="N971" s="1" t="str" cm="1">
        <f t="array" ref="N971">IF(OR($K971="",$I971="",$J971=""),"",_xlfn.LET(_xlpm.srcCat,_xlfn.SWITCH($I971,"Computer",_xlfn.XLOOKUP($K971&amp;"",COMPUTER!$B$3:$B$1009&amp;"",COMPUTER!$H$3:$H$1009,""),"Display",_xlfn.XLOOKUP($K971&amp;"",DISPLAY!$B$3:$B$1000&amp;"",DISPLAY!$H$3:$H$1000,""),"Network Device",_xlfn.XLOOKUP($K971&amp;"",'NETWORK-DEVICES'!$B$3:$B$987&amp;"",'NETWORK-DEVICES'!$H$3:$H$987,""),"Peripheral",_xlfn.XLOOKUP($K971&amp;"",PERIPHERAL!$B$3:$B$954&amp;"",PERIPHERAL!$H$3:$H$954,""),"Utilities",_xlfn.XLOOKUP($K971&amp;"",UTILITIES!$B$3:$B$953&amp;"",UTILITIES!$G$3:$G$953,""),"IOT",_xlfn.XLOOKUP($K971&amp;"",IOT!$B$3:$B$1012&amp;"",IOT!$H$3:$H$1012,""),"Server",_xlfn.XLOOKUP($K971&amp;"",SERVER!$B$3:$B$1009&amp;"",SERVER!$H$3:$H$1009,""),""),IF(TRIM(_xlpm.srcCat)&lt;&gt;TRIM($J971),"",_xlfn.SWITCH($I971,"Computer",_xlfn.XLOOKUP($K971&amp;"",COMPUTER!$B$3:$B$1009&amp;"",COMPUTER!$K$3:$K$1009,""),"Display",_xlfn.XLOOKUP($K971&amp;"",DISPLAY!$B$3:$B$1000&amp;"",DISPLAY!$L$3:$L$1000,""),"Network Device",_xlfn.XLOOKUP($K971&amp;"",'NETWORK-DEVICES'!$B$3:$B$987&amp;"",'NETWORK-DEVICES'!$K$3:$K$987,""),"Peripheral",_xlfn.XLOOKUP($K971&amp;"",PERIPHERAL!$B$3:$B$954&amp;"",PERIPHERAL!$K$3:$K$954,""),"Utilities",_xlfn.XLOOKUP($K971&amp;"",UTILITIES!$B$3:$B$953&amp;"",UTILITIES!$J$3:$J$953,""),"IOT",_xlfn.XLOOKUP($K971&amp;"",IOT!$B$3:$B$1012&amp;"",IOT!$K$4:$K$1012,""),"Server",_xlfn.XLOOKUP($K971&amp;"",SERVER!$B$3:$B$1009&amp;"",SERVER!$K$3:$K$1009,""),""))))</f>
        <v/>
      </c>
      <c r="O971" s="1" t="str" cm="1">
        <f t="array" ref="O971">IF(OR($K971="",$I971="",$J971=""),"",_xlfn.LET(_xlpm.srcCat,_xlfn.SWITCH($I971,"Computer",_xlfn.XLOOKUP($K971&amp;"",COMPUTER!$B$3:$B$1009&amp;"",COMPUTER!$H$3:$H$1009,""),"Display",_xlfn.XLOOKUP($K971&amp;"",DISPLAY!$B$3:$B$1000&amp;"",DISPLAY!$H$3:$H$1000,""),"Network Device",_xlfn.XLOOKUP($K971&amp;"",'NETWORK-DEVICES'!$B$3:$B$987&amp;"",'NETWORK-DEVICES'!$H$3:$H$987,""),"Peripheral",_xlfn.XLOOKUP($K971&amp;"",PERIPHERAL!$B$3:$B$954&amp;"",PERIPHERAL!$H$3:$H$954,""),"Utilities",_xlfn.XLOOKUP($K971&amp;"",UTILITIES!$B$3:$B$953&amp;"",UTILITIES!$G$3:$G$953,""),"IOT",_xlfn.XLOOKUP($K971&amp;"",IOT!$B$3:$B$1012&amp;"",IOT!$H$3:$H$1012,""),"Server",_xlfn.XLOOKUP($K971&amp;"",SERVER!$B$3:$B$1009&amp;"",SERVER!$H$3:$H$1009,""),""),IF(TRIM(_xlpm.srcCat)&lt;&gt;TRIM($J971),"",_xlfn.SWITCH($I971,"Computer",_xlfn.XLOOKUP($K971&amp;"",COMPUTER!$B$3:$B$1009&amp;"",COMPUTER!$E$3:$E$1009,""),"Display",_xlfn.XLOOKUP($K971&amp;"",DISPLAY!$B$3:$B$1000&amp;"",DISPLAY!$E$3:$E$1000,""),"Network Device",_xlfn.XLOOKUP($K971&amp;"",'NETWORK-DEVICES'!$B$3:$B$987&amp;"",'NETWORK-DEVICES'!$E$3:$E$987,""),"Peripheral",_xlfn.XLOOKUP($K971&amp;"",PERIPHERAL!$B$3:$B$954&amp;"",PERIPHERAL!$E$3:$E$954,""),"Utilities",_xlfn.XLOOKUP($K971&amp;"",UTILITIES!$B$3:$B$953&amp;"",UTILITIES!$E$3:$E$953,""),"IOT",_xlfn.XLOOKUP($K971&amp;"",IOT!$B$3:$B$1012&amp;"",IOT!$E$3:$E$1012,""),"Server",_xlfn.XLOOKUP($K971&amp;"",SERVER!$B$3:$B$1009&amp;"",SERVER!$E$3:$E$1009,""),""))))</f>
        <v/>
      </c>
      <c r="Q971" s="1" t="str" cm="1">
        <f t="array" ref="Q971">IF(OR($K971="",$I971="",$J971=""),"",_xlfn.LET(_xlpm.srcCat,_xlfn.SWITCH($I971,"Computer",_xlfn.XLOOKUP($K971&amp;"",COMPUTER!$B$3:$B$1009&amp;"",COMPUTER!$H$3:$H$1009,""),"Display",_xlfn.XLOOKUP($K971&amp;"",DISPLAY!$B$3:$B$1000&amp;"",DISPLAY!$H$3:$H$1000,""),"Network Device",_xlfn.XLOOKUP($K971&amp;"",'NETWORK-DEVICES'!$B$3:$B$987&amp;"",'NETWORK-DEVICES'!$H$3:$H$987,""),"Peripheral",_xlfn.XLOOKUP($K971&amp;"",PERIPHERAL!$B$3:$B$954&amp;"",PERIPHERAL!$H$3:$H$954,""),"Utilities",_xlfn.XLOOKUP($K971&amp;"",UTILITIES!$B$3:$B$953&amp;"",UTILITIES!$G$3:$G$953,""),"IOT",_xlfn.XLOOKUP($K971&amp;"",IOT!$B$3:$B$1012&amp;"",IOT!$H$3:$H$1012,""),"Server",_xlfn.XLOOKUP($K971&amp;"",SERVER!$B$3:$B$1009&amp;"",SERVER!$H$3:$H$1009,""),""),IF(TRIM(_xlpm.srcCat)&lt;&gt;TRIM($J971),"",_xlfn.SWITCH($I971,"Computer",_xlfn.XLOOKUP($K971&amp;"",COMPUTER!$B$3:$B$1009&amp;"",COMPUTER!$AM$3:$AM$1009,""),"Display",_xlfn.XLOOKUP($K971&amp;"",DISPLAY!$B$3:$B$1000&amp;"",DISPLAY!$V$3:$V$1000,""),"Network Device",_xlfn.XLOOKUP($K971&amp;"",'NETWORK-DEVICES'!$B$3:$B$987&amp;"",'NETWORK-DEVICES'!$AF$3:$AF$987,""),"Peripheral",_xlfn.XLOOKUP($K971&amp;"",PERIPHERAL!$B$3:$B$954&amp;"",PERIPHERAL!$Y$3:$Y$954,""),"Utilities",_xlfn.XLOOKUP($K971&amp;"",UTILITIES!$B$3:$B$953&amp;"",UTILITIES!$O$3:$O$953,""),"IOT",_xlfn.XLOOKUP($K971&amp;"",IOT!$B$3:$B$1012&amp;"",IOT!$AB$3:$AB$1012,""),"Server",_xlfn.XLOOKUP($K971&amp;"",SERVER!$B$3:$B$1009&amp;"",SERVER!$AB$3:$AB$1009,""),""))))</f>
        <v/>
      </c>
      <c r="R971" s="43" t="str">
        <f>IF(tbl_handover[[#This Row],[Asset Code]]="","",COUNTIF(tbl_handover[Asset Code],tbl_handover[[#This Row],[Asset Code]]))</f>
        <v/>
      </c>
    </row>
    <row r="972" spans="1:18" x14ac:dyDescent="0.25">
      <c r="A972" s="43" t="str">
        <f>IF(B972&lt;&gt;"",SUBTOTAL(3,$B$1:B971),"")</f>
        <v/>
      </c>
      <c r="C972" s="74"/>
      <c r="D972" s="74"/>
      <c r="G972" s="1"/>
      <c r="K972" s="42"/>
      <c r="L972" t="str" cm="1">
        <f t="array" ref="L972">IF($K972="","",_xlfn.SWITCH($I972,"Computer",_xlfn.XLOOKUP($K972&amp;"",COMPUTER!$B$3:$B$1009&amp;"",COMPUTER!$I$3:$I$1009,""),"Display",_xlfn.XLOOKUP($K972&amp;"",DISPLAY!$B$3:$B$1000&amp;"",DISPLAY!$J$3:$J$1000,""),"Network Device",_xlfn.XLOOKUP($K972&amp;"",'NETWORK-DEVICES'!$B$3:$B$987&amp;"",'NETWORK-DEVICES'!$I$3:$I$987,""),"Peripheral",_xlfn.XLOOKUP($K972&amp;"",PERIPHERAL!$B$3:$B$954&amp;"",PERIPHERAL!$I$3:$I$954,""),"Utilities",_xlfn.XLOOKUP($K972&amp;"",UTILITIES!$B$3:$B$953&amp;"",UTILITIES!$H$3:$H$953,""),"IOT",_xlfn.XLOOKUP($K972&amp;"",IOT!$B$3:$B$1012&amp;"",IOT!$I$3:$I$1012,""),"SERVER",_xlfn.XLOOKUP($K972&amp;"",SERVER!$B$3:$B$1009&amp;"",SERVER!$I$3:$I$1009,""),""))</f>
        <v/>
      </c>
      <c r="M972" t="str" cm="1">
        <f t="array" ref="M972">IF($K972="","",_xlfn.SWITCH($I972,"Computer",_xlfn.XLOOKUP($K972&amp;"",COMPUTER!$B$3:$B$1009&amp;"",COMPUTER!$J$3:$J$1009,""),"Display",_xlfn.XLOOKUP($K972&amp;"",DISPLAY!$B$3:$B$1000&amp;"",DISPLAY!$K$3:$K$1000,""),"Network Device",_xlfn.XLOOKUP($K972&amp;"",'NETWORK-DEVICES'!$B$3:$B$987&amp;"",'NETWORK-DEVICES'!$I$3:$I$987,""),"Peripheral",_xlfn.XLOOKUP($K972&amp;"",PERIPHERAL!$B$3:$B$954&amp;"",PERIPHERAL!$J$3:$J$954,""),"Utilities",_xlfn.XLOOKUP($K972&amp;"",UTILITIES!$B$3:$B$953&amp;"",UTILITIES!$I$3:$I$953,""),"IOT",_xlfn.XLOOKUP($K972&amp;"",IOT!$B$3:$B$1012&amp;"",IOT!$J$3:$J$1012,""),"Server",_xlfn.XLOOKUP($K972&amp;"",SERVER!$B$3:$B$1009&amp;"",SERVER!$J$3:$J$1009,""),""))</f>
        <v/>
      </c>
      <c r="N972" s="1" t="str" cm="1">
        <f t="array" ref="N972">IF(OR($K972="",$I972="",$J972=""),"",_xlfn.LET(_xlpm.srcCat,_xlfn.SWITCH($I972,"Computer",_xlfn.XLOOKUP($K972&amp;"",COMPUTER!$B$3:$B$1009&amp;"",COMPUTER!$H$3:$H$1009,""),"Display",_xlfn.XLOOKUP($K972&amp;"",DISPLAY!$B$3:$B$1000&amp;"",DISPLAY!$H$3:$H$1000,""),"Network Device",_xlfn.XLOOKUP($K972&amp;"",'NETWORK-DEVICES'!$B$3:$B$987&amp;"",'NETWORK-DEVICES'!$H$3:$H$987,""),"Peripheral",_xlfn.XLOOKUP($K972&amp;"",PERIPHERAL!$B$3:$B$954&amp;"",PERIPHERAL!$H$3:$H$954,""),"Utilities",_xlfn.XLOOKUP($K972&amp;"",UTILITIES!$B$3:$B$953&amp;"",UTILITIES!$G$3:$G$953,""),"IOT",_xlfn.XLOOKUP($K972&amp;"",IOT!$B$3:$B$1012&amp;"",IOT!$H$3:$H$1012,""),"Server",_xlfn.XLOOKUP($K972&amp;"",SERVER!$B$3:$B$1009&amp;"",SERVER!$H$3:$H$1009,""),""),IF(TRIM(_xlpm.srcCat)&lt;&gt;TRIM($J972),"",_xlfn.SWITCH($I972,"Computer",_xlfn.XLOOKUP($K972&amp;"",COMPUTER!$B$3:$B$1009&amp;"",COMPUTER!$K$3:$K$1009,""),"Display",_xlfn.XLOOKUP($K972&amp;"",DISPLAY!$B$3:$B$1000&amp;"",DISPLAY!$L$3:$L$1000,""),"Network Device",_xlfn.XLOOKUP($K972&amp;"",'NETWORK-DEVICES'!$B$3:$B$987&amp;"",'NETWORK-DEVICES'!$K$3:$K$987,""),"Peripheral",_xlfn.XLOOKUP($K972&amp;"",PERIPHERAL!$B$3:$B$954&amp;"",PERIPHERAL!$K$3:$K$954,""),"Utilities",_xlfn.XLOOKUP($K972&amp;"",UTILITIES!$B$3:$B$953&amp;"",UTILITIES!$J$3:$J$953,""),"IOT",_xlfn.XLOOKUP($K972&amp;"",IOT!$B$3:$B$1012&amp;"",IOT!$K$4:$K$1012,""),"Server",_xlfn.XLOOKUP($K972&amp;"",SERVER!$B$3:$B$1009&amp;"",SERVER!$K$3:$K$1009,""),""))))</f>
        <v/>
      </c>
      <c r="O972" s="1" t="str" cm="1">
        <f t="array" ref="O972">IF(OR($K972="",$I972="",$J972=""),"",_xlfn.LET(_xlpm.srcCat,_xlfn.SWITCH($I972,"Computer",_xlfn.XLOOKUP($K972&amp;"",COMPUTER!$B$3:$B$1009&amp;"",COMPUTER!$H$3:$H$1009,""),"Display",_xlfn.XLOOKUP($K972&amp;"",DISPLAY!$B$3:$B$1000&amp;"",DISPLAY!$H$3:$H$1000,""),"Network Device",_xlfn.XLOOKUP($K972&amp;"",'NETWORK-DEVICES'!$B$3:$B$987&amp;"",'NETWORK-DEVICES'!$H$3:$H$987,""),"Peripheral",_xlfn.XLOOKUP($K972&amp;"",PERIPHERAL!$B$3:$B$954&amp;"",PERIPHERAL!$H$3:$H$954,""),"Utilities",_xlfn.XLOOKUP($K972&amp;"",UTILITIES!$B$3:$B$953&amp;"",UTILITIES!$G$3:$G$953,""),"IOT",_xlfn.XLOOKUP($K972&amp;"",IOT!$B$3:$B$1012&amp;"",IOT!$H$3:$H$1012,""),"Server",_xlfn.XLOOKUP($K972&amp;"",SERVER!$B$3:$B$1009&amp;"",SERVER!$H$3:$H$1009,""),""),IF(TRIM(_xlpm.srcCat)&lt;&gt;TRIM($J972),"",_xlfn.SWITCH($I972,"Computer",_xlfn.XLOOKUP($K972&amp;"",COMPUTER!$B$3:$B$1009&amp;"",COMPUTER!$E$3:$E$1009,""),"Display",_xlfn.XLOOKUP($K972&amp;"",DISPLAY!$B$3:$B$1000&amp;"",DISPLAY!$E$3:$E$1000,""),"Network Device",_xlfn.XLOOKUP($K972&amp;"",'NETWORK-DEVICES'!$B$3:$B$987&amp;"",'NETWORK-DEVICES'!$E$3:$E$987,""),"Peripheral",_xlfn.XLOOKUP($K972&amp;"",PERIPHERAL!$B$3:$B$954&amp;"",PERIPHERAL!$E$3:$E$954,""),"Utilities",_xlfn.XLOOKUP($K972&amp;"",UTILITIES!$B$3:$B$953&amp;"",UTILITIES!$E$3:$E$953,""),"IOT",_xlfn.XLOOKUP($K972&amp;"",IOT!$B$3:$B$1012&amp;"",IOT!$E$3:$E$1012,""),"Server",_xlfn.XLOOKUP($K972&amp;"",SERVER!$B$3:$B$1009&amp;"",SERVER!$E$3:$E$1009,""),""))))</f>
        <v/>
      </c>
      <c r="Q972" s="1" t="str" cm="1">
        <f t="array" ref="Q972">IF(OR($K972="",$I972="",$J972=""),"",_xlfn.LET(_xlpm.srcCat,_xlfn.SWITCH($I972,"Computer",_xlfn.XLOOKUP($K972&amp;"",COMPUTER!$B$3:$B$1009&amp;"",COMPUTER!$H$3:$H$1009,""),"Display",_xlfn.XLOOKUP($K972&amp;"",DISPLAY!$B$3:$B$1000&amp;"",DISPLAY!$H$3:$H$1000,""),"Network Device",_xlfn.XLOOKUP($K972&amp;"",'NETWORK-DEVICES'!$B$3:$B$987&amp;"",'NETWORK-DEVICES'!$H$3:$H$987,""),"Peripheral",_xlfn.XLOOKUP($K972&amp;"",PERIPHERAL!$B$3:$B$954&amp;"",PERIPHERAL!$H$3:$H$954,""),"Utilities",_xlfn.XLOOKUP($K972&amp;"",UTILITIES!$B$3:$B$953&amp;"",UTILITIES!$G$3:$G$953,""),"IOT",_xlfn.XLOOKUP($K972&amp;"",IOT!$B$3:$B$1012&amp;"",IOT!$H$3:$H$1012,""),"Server",_xlfn.XLOOKUP($K972&amp;"",SERVER!$B$3:$B$1009&amp;"",SERVER!$H$3:$H$1009,""),""),IF(TRIM(_xlpm.srcCat)&lt;&gt;TRIM($J972),"",_xlfn.SWITCH($I972,"Computer",_xlfn.XLOOKUP($K972&amp;"",COMPUTER!$B$3:$B$1009&amp;"",COMPUTER!$AM$3:$AM$1009,""),"Display",_xlfn.XLOOKUP($K972&amp;"",DISPLAY!$B$3:$B$1000&amp;"",DISPLAY!$V$3:$V$1000,""),"Network Device",_xlfn.XLOOKUP($K972&amp;"",'NETWORK-DEVICES'!$B$3:$B$987&amp;"",'NETWORK-DEVICES'!$AF$3:$AF$987,""),"Peripheral",_xlfn.XLOOKUP($K972&amp;"",PERIPHERAL!$B$3:$B$954&amp;"",PERIPHERAL!$Y$3:$Y$954,""),"Utilities",_xlfn.XLOOKUP($K972&amp;"",UTILITIES!$B$3:$B$953&amp;"",UTILITIES!$O$3:$O$953,""),"IOT",_xlfn.XLOOKUP($K972&amp;"",IOT!$B$3:$B$1012&amp;"",IOT!$AB$3:$AB$1012,""),"Server",_xlfn.XLOOKUP($K972&amp;"",SERVER!$B$3:$B$1009&amp;"",SERVER!$AB$3:$AB$1009,""),""))))</f>
        <v/>
      </c>
      <c r="R972" s="43" t="str">
        <f>IF(tbl_handover[[#This Row],[Asset Code]]="","",COUNTIF(tbl_handover[Asset Code],tbl_handover[[#This Row],[Asset Code]]))</f>
        <v/>
      </c>
    </row>
    <row r="973" spans="1:18" x14ac:dyDescent="0.25">
      <c r="A973" s="43" t="str">
        <f>IF(B973&lt;&gt;"",SUBTOTAL(3,$B$1:B972),"")</f>
        <v/>
      </c>
      <c r="C973" s="74"/>
      <c r="D973" s="74"/>
      <c r="G973" s="1"/>
      <c r="K973" s="42"/>
      <c r="L973" t="str" cm="1">
        <f t="array" ref="L973">IF($K973="","",_xlfn.SWITCH($I973,"Computer",_xlfn.XLOOKUP($K973&amp;"",COMPUTER!$B$3:$B$1009&amp;"",COMPUTER!$I$3:$I$1009,""),"Display",_xlfn.XLOOKUP($K973&amp;"",DISPLAY!$B$3:$B$1000&amp;"",DISPLAY!$J$3:$J$1000,""),"Network Device",_xlfn.XLOOKUP($K973&amp;"",'NETWORK-DEVICES'!$B$3:$B$987&amp;"",'NETWORK-DEVICES'!$I$3:$I$987,""),"Peripheral",_xlfn.XLOOKUP($K973&amp;"",PERIPHERAL!$B$3:$B$954&amp;"",PERIPHERAL!$I$3:$I$954,""),"Utilities",_xlfn.XLOOKUP($K973&amp;"",UTILITIES!$B$3:$B$953&amp;"",UTILITIES!$H$3:$H$953,""),"IOT",_xlfn.XLOOKUP($K973&amp;"",IOT!$B$3:$B$1012&amp;"",IOT!$I$3:$I$1012,""),"SERVER",_xlfn.XLOOKUP($K973&amp;"",SERVER!$B$3:$B$1009&amp;"",SERVER!$I$3:$I$1009,""),""))</f>
        <v/>
      </c>
      <c r="M973" t="str" cm="1">
        <f t="array" ref="M973">IF($K973="","",_xlfn.SWITCH($I973,"Computer",_xlfn.XLOOKUP($K973&amp;"",COMPUTER!$B$3:$B$1009&amp;"",COMPUTER!$J$3:$J$1009,""),"Display",_xlfn.XLOOKUP($K973&amp;"",DISPLAY!$B$3:$B$1000&amp;"",DISPLAY!$K$3:$K$1000,""),"Network Device",_xlfn.XLOOKUP($K973&amp;"",'NETWORK-DEVICES'!$B$3:$B$987&amp;"",'NETWORK-DEVICES'!$I$3:$I$987,""),"Peripheral",_xlfn.XLOOKUP($K973&amp;"",PERIPHERAL!$B$3:$B$954&amp;"",PERIPHERAL!$J$3:$J$954,""),"Utilities",_xlfn.XLOOKUP($K973&amp;"",UTILITIES!$B$3:$B$953&amp;"",UTILITIES!$I$3:$I$953,""),"IOT",_xlfn.XLOOKUP($K973&amp;"",IOT!$B$3:$B$1012&amp;"",IOT!$J$3:$J$1012,""),"Server",_xlfn.XLOOKUP($K973&amp;"",SERVER!$B$3:$B$1009&amp;"",SERVER!$J$3:$J$1009,""),""))</f>
        <v/>
      </c>
      <c r="N973" s="1" t="str" cm="1">
        <f t="array" ref="N973">IF(OR($K973="",$I973="",$J973=""),"",_xlfn.LET(_xlpm.srcCat,_xlfn.SWITCH($I973,"Computer",_xlfn.XLOOKUP($K973&amp;"",COMPUTER!$B$3:$B$1009&amp;"",COMPUTER!$H$3:$H$1009,""),"Display",_xlfn.XLOOKUP($K973&amp;"",DISPLAY!$B$3:$B$1000&amp;"",DISPLAY!$H$3:$H$1000,""),"Network Device",_xlfn.XLOOKUP($K973&amp;"",'NETWORK-DEVICES'!$B$3:$B$987&amp;"",'NETWORK-DEVICES'!$H$3:$H$987,""),"Peripheral",_xlfn.XLOOKUP($K973&amp;"",PERIPHERAL!$B$3:$B$954&amp;"",PERIPHERAL!$H$3:$H$954,""),"Utilities",_xlfn.XLOOKUP($K973&amp;"",UTILITIES!$B$3:$B$953&amp;"",UTILITIES!$G$3:$G$953,""),"IOT",_xlfn.XLOOKUP($K973&amp;"",IOT!$B$3:$B$1012&amp;"",IOT!$H$3:$H$1012,""),"Server",_xlfn.XLOOKUP($K973&amp;"",SERVER!$B$3:$B$1009&amp;"",SERVER!$H$3:$H$1009,""),""),IF(TRIM(_xlpm.srcCat)&lt;&gt;TRIM($J973),"",_xlfn.SWITCH($I973,"Computer",_xlfn.XLOOKUP($K973&amp;"",COMPUTER!$B$3:$B$1009&amp;"",COMPUTER!$K$3:$K$1009,""),"Display",_xlfn.XLOOKUP($K973&amp;"",DISPLAY!$B$3:$B$1000&amp;"",DISPLAY!$L$3:$L$1000,""),"Network Device",_xlfn.XLOOKUP($K973&amp;"",'NETWORK-DEVICES'!$B$3:$B$987&amp;"",'NETWORK-DEVICES'!$K$3:$K$987,""),"Peripheral",_xlfn.XLOOKUP($K973&amp;"",PERIPHERAL!$B$3:$B$954&amp;"",PERIPHERAL!$K$3:$K$954,""),"Utilities",_xlfn.XLOOKUP($K973&amp;"",UTILITIES!$B$3:$B$953&amp;"",UTILITIES!$J$3:$J$953,""),"IOT",_xlfn.XLOOKUP($K973&amp;"",IOT!$B$3:$B$1012&amp;"",IOT!$K$4:$K$1012,""),"Server",_xlfn.XLOOKUP($K973&amp;"",SERVER!$B$3:$B$1009&amp;"",SERVER!$K$3:$K$1009,""),""))))</f>
        <v/>
      </c>
      <c r="O973" s="1" t="str" cm="1">
        <f t="array" ref="O973">IF(OR($K973="",$I973="",$J973=""),"",_xlfn.LET(_xlpm.srcCat,_xlfn.SWITCH($I973,"Computer",_xlfn.XLOOKUP($K973&amp;"",COMPUTER!$B$3:$B$1009&amp;"",COMPUTER!$H$3:$H$1009,""),"Display",_xlfn.XLOOKUP($K973&amp;"",DISPLAY!$B$3:$B$1000&amp;"",DISPLAY!$H$3:$H$1000,""),"Network Device",_xlfn.XLOOKUP($K973&amp;"",'NETWORK-DEVICES'!$B$3:$B$987&amp;"",'NETWORK-DEVICES'!$H$3:$H$987,""),"Peripheral",_xlfn.XLOOKUP($K973&amp;"",PERIPHERAL!$B$3:$B$954&amp;"",PERIPHERAL!$H$3:$H$954,""),"Utilities",_xlfn.XLOOKUP($K973&amp;"",UTILITIES!$B$3:$B$953&amp;"",UTILITIES!$G$3:$G$953,""),"IOT",_xlfn.XLOOKUP($K973&amp;"",IOT!$B$3:$B$1012&amp;"",IOT!$H$3:$H$1012,""),"Server",_xlfn.XLOOKUP($K973&amp;"",SERVER!$B$3:$B$1009&amp;"",SERVER!$H$3:$H$1009,""),""),IF(TRIM(_xlpm.srcCat)&lt;&gt;TRIM($J973),"",_xlfn.SWITCH($I973,"Computer",_xlfn.XLOOKUP($K973&amp;"",COMPUTER!$B$3:$B$1009&amp;"",COMPUTER!$E$3:$E$1009,""),"Display",_xlfn.XLOOKUP($K973&amp;"",DISPLAY!$B$3:$B$1000&amp;"",DISPLAY!$E$3:$E$1000,""),"Network Device",_xlfn.XLOOKUP($K973&amp;"",'NETWORK-DEVICES'!$B$3:$B$987&amp;"",'NETWORK-DEVICES'!$E$3:$E$987,""),"Peripheral",_xlfn.XLOOKUP($K973&amp;"",PERIPHERAL!$B$3:$B$954&amp;"",PERIPHERAL!$E$3:$E$954,""),"Utilities",_xlfn.XLOOKUP($K973&amp;"",UTILITIES!$B$3:$B$953&amp;"",UTILITIES!$E$3:$E$953,""),"IOT",_xlfn.XLOOKUP($K973&amp;"",IOT!$B$3:$B$1012&amp;"",IOT!$E$3:$E$1012,""),"Server",_xlfn.XLOOKUP($K973&amp;"",SERVER!$B$3:$B$1009&amp;"",SERVER!$E$3:$E$1009,""),""))))</f>
        <v/>
      </c>
      <c r="Q973" s="1" t="str" cm="1">
        <f t="array" ref="Q973">IF(OR($K973="",$I973="",$J973=""),"",_xlfn.LET(_xlpm.srcCat,_xlfn.SWITCH($I973,"Computer",_xlfn.XLOOKUP($K973&amp;"",COMPUTER!$B$3:$B$1009&amp;"",COMPUTER!$H$3:$H$1009,""),"Display",_xlfn.XLOOKUP($K973&amp;"",DISPLAY!$B$3:$B$1000&amp;"",DISPLAY!$H$3:$H$1000,""),"Network Device",_xlfn.XLOOKUP($K973&amp;"",'NETWORK-DEVICES'!$B$3:$B$987&amp;"",'NETWORK-DEVICES'!$H$3:$H$987,""),"Peripheral",_xlfn.XLOOKUP($K973&amp;"",PERIPHERAL!$B$3:$B$954&amp;"",PERIPHERAL!$H$3:$H$954,""),"Utilities",_xlfn.XLOOKUP($K973&amp;"",UTILITIES!$B$3:$B$953&amp;"",UTILITIES!$G$3:$G$953,""),"IOT",_xlfn.XLOOKUP($K973&amp;"",IOT!$B$3:$B$1012&amp;"",IOT!$H$3:$H$1012,""),"Server",_xlfn.XLOOKUP($K973&amp;"",SERVER!$B$3:$B$1009&amp;"",SERVER!$H$3:$H$1009,""),""),IF(TRIM(_xlpm.srcCat)&lt;&gt;TRIM($J973),"",_xlfn.SWITCH($I973,"Computer",_xlfn.XLOOKUP($K973&amp;"",COMPUTER!$B$3:$B$1009&amp;"",COMPUTER!$AM$3:$AM$1009,""),"Display",_xlfn.XLOOKUP($K973&amp;"",DISPLAY!$B$3:$B$1000&amp;"",DISPLAY!$V$3:$V$1000,""),"Network Device",_xlfn.XLOOKUP($K973&amp;"",'NETWORK-DEVICES'!$B$3:$B$987&amp;"",'NETWORK-DEVICES'!$AF$3:$AF$987,""),"Peripheral",_xlfn.XLOOKUP($K973&amp;"",PERIPHERAL!$B$3:$B$954&amp;"",PERIPHERAL!$Y$3:$Y$954,""),"Utilities",_xlfn.XLOOKUP($K973&amp;"",UTILITIES!$B$3:$B$953&amp;"",UTILITIES!$O$3:$O$953,""),"IOT",_xlfn.XLOOKUP($K973&amp;"",IOT!$B$3:$B$1012&amp;"",IOT!$AB$3:$AB$1012,""),"Server",_xlfn.XLOOKUP($K973&amp;"",SERVER!$B$3:$B$1009&amp;"",SERVER!$AB$3:$AB$1009,""),""))))</f>
        <v/>
      </c>
      <c r="R973" s="43" t="str">
        <f>IF(tbl_handover[[#This Row],[Asset Code]]="","",COUNTIF(tbl_handover[Asset Code],tbl_handover[[#This Row],[Asset Code]]))</f>
        <v/>
      </c>
    </row>
    <row r="974" spans="1:18" x14ac:dyDescent="0.25">
      <c r="A974" s="43" t="str">
        <f>IF(B974&lt;&gt;"",SUBTOTAL(3,$B$1:B973),"")</f>
        <v/>
      </c>
      <c r="C974" s="74"/>
      <c r="D974" s="74"/>
      <c r="G974" s="1"/>
      <c r="K974" s="42"/>
      <c r="L974" t="str" cm="1">
        <f t="array" ref="L974">IF($K974="","",_xlfn.SWITCH($I974,"Computer",_xlfn.XLOOKUP($K974&amp;"",COMPUTER!$B$3:$B$1009&amp;"",COMPUTER!$I$3:$I$1009,""),"Display",_xlfn.XLOOKUP($K974&amp;"",DISPLAY!$B$3:$B$1000&amp;"",DISPLAY!$J$3:$J$1000,""),"Network Device",_xlfn.XLOOKUP($K974&amp;"",'NETWORK-DEVICES'!$B$3:$B$987&amp;"",'NETWORK-DEVICES'!$I$3:$I$987,""),"Peripheral",_xlfn.XLOOKUP($K974&amp;"",PERIPHERAL!$B$3:$B$954&amp;"",PERIPHERAL!$I$3:$I$954,""),"Utilities",_xlfn.XLOOKUP($K974&amp;"",UTILITIES!$B$3:$B$953&amp;"",UTILITIES!$H$3:$H$953,""),"IOT",_xlfn.XLOOKUP($K974&amp;"",IOT!$B$3:$B$1012&amp;"",IOT!$I$3:$I$1012,""),"SERVER",_xlfn.XLOOKUP($K974&amp;"",SERVER!$B$3:$B$1009&amp;"",SERVER!$I$3:$I$1009,""),""))</f>
        <v/>
      </c>
      <c r="M974" t="str" cm="1">
        <f t="array" ref="M974">IF($K974="","",_xlfn.SWITCH($I974,"Computer",_xlfn.XLOOKUP($K974&amp;"",COMPUTER!$B$3:$B$1009&amp;"",COMPUTER!$J$3:$J$1009,""),"Display",_xlfn.XLOOKUP($K974&amp;"",DISPLAY!$B$3:$B$1000&amp;"",DISPLAY!$K$3:$K$1000,""),"Network Device",_xlfn.XLOOKUP($K974&amp;"",'NETWORK-DEVICES'!$B$3:$B$987&amp;"",'NETWORK-DEVICES'!$I$3:$I$987,""),"Peripheral",_xlfn.XLOOKUP($K974&amp;"",PERIPHERAL!$B$3:$B$954&amp;"",PERIPHERAL!$J$3:$J$954,""),"Utilities",_xlfn.XLOOKUP($K974&amp;"",UTILITIES!$B$3:$B$953&amp;"",UTILITIES!$I$3:$I$953,""),"IOT",_xlfn.XLOOKUP($K974&amp;"",IOT!$B$3:$B$1012&amp;"",IOT!$J$3:$J$1012,""),"Server",_xlfn.XLOOKUP($K974&amp;"",SERVER!$B$3:$B$1009&amp;"",SERVER!$J$3:$J$1009,""),""))</f>
        <v/>
      </c>
      <c r="N974" s="1" t="str" cm="1">
        <f t="array" ref="N974">IF(OR($K974="",$I974="",$J974=""),"",_xlfn.LET(_xlpm.srcCat,_xlfn.SWITCH($I974,"Computer",_xlfn.XLOOKUP($K974&amp;"",COMPUTER!$B$3:$B$1009&amp;"",COMPUTER!$H$3:$H$1009,""),"Display",_xlfn.XLOOKUP($K974&amp;"",DISPLAY!$B$3:$B$1000&amp;"",DISPLAY!$H$3:$H$1000,""),"Network Device",_xlfn.XLOOKUP($K974&amp;"",'NETWORK-DEVICES'!$B$3:$B$987&amp;"",'NETWORK-DEVICES'!$H$3:$H$987,""),"Peripheral",_xlfn.XLOOKUP($K974&amp;"",PERIPHERAL!$B$3:$B$954&amp;"",PERIPHERAL!$H$3:$H$954,""),"Utilities",_xlfn.XLOOKUP($K974&amp;"",UTILITIES!$B$3:$B$953&amp;"",UTILITIES!$G$3:$G$953,""),"IOT",_xlfn.XLOOKUP($K974&amp;"",IOT!$B$3:$B$1012&amp;"",IOT!$H$3:$H$1012,""),"Server",_xlfn.XLOOKUP($K974&amp;"",SERVER!$B$3:$B$1009&amp;"",SERVER!$H$3:$H$1009,""),""),IF(TRIM(_xlpm.srcCat)&lt;&gt;TRIM($J974),"",_xlfn.SWITCH($I974,"Computer",_xlfn.XLOOKUP($K974&amp;"",COMPUTER!$B$3:$B$1009&amp;"",COMPUTER!$K$3:$K$1009,""),"Display",_xlfn.XLOOKUP($K974&amp;"",DISPLAY!$B$3:$B$1000&amp;"",DISPLAY!$L$3:$L$1000,""),"Network Device",_xlfn.XLOOKUP($K974&amp;"",'NETWORK-DEVICES'!$B$3:$B$987&amp;"",'NETWORK-DEVICES'!$K$3:$K$987,""),"Peripheral",_xlfn.XLOOKUP($K974&amp;"",PERIPHERAL!$B$3:$B$954&amp;"",PERIPHERAL!$K$3:$K$954,""),"Utilities",_xlfn.XLOOKUP($K974&amp;"",UTILITIES!$B$3:$B$953&amp;"",UTILITIES!$J$3:$J$953,""),"IOT",_xlfn.XLOOKUP($K974&amp;"",IOT!$B$3:$B$1012&amp;"",IOT!$K$4:$K$1012,""),"Server",_xlfn.XLOOKUP($K974&amp;"",SERVER!$B$3:$B$1009&amp;"",SERVER!$K$3:$K$1009,""),""))))</f>
        <v/>
      </c>
      <c r="O974" s="1" t="str" cm="1">
        <f t="array" ref="O974">IF(OR($K974="",$I974="",$J974=""),"",_xlfn.LET(_xlpm.srcCat,_xlfn.SWITCH($I974,"Computer",_xlfn.XLOOKUP($K974&amp;"",COMPUTER!$B$3:$B$1009&amp;"",COMPUTER!$H$3:$H$1009,""),"Display",_xlfn.XLOOKUP($K974&amp;"",DISPLAY!$B$3:$B$1000&amp;"",DISPLAY!$H$3:$H$1000,""),"Network Device",_xlfn.XLOOKUP($K974&amp;"",'NETWORK-DEVICES'!$B$3:$B$987&amp;"",'NETWORK-DEVICES'!$H$3:$H$987,""),"Peripheral",_xlfn.XLOOKUP($K974&amp;"",PERIPHERAL!$B$3:$B$954&amp;"",PERIPHERAL!$H$3:$H$954,""),"Utilities",_xlfn.XLOOKUP($K974&amp;"",UTILITIES!$B$3:$B$953&amp;"",UTILITIES!$G$3:$G$953,""),"IOT",_xlfn.XLOOKUP($K974&amp;"",IOT!$B$3:$B$1012&amp;"",IOT!$H$3:$H$1012,""),"Server",_xlfn.XLOOKUP($K974&amp;"",SERVER!$B$3:$B$1009&amp;"",SERVER!$H$3:$H$1009,""),""),IF(TRIM(_xlpm.srcCat)&lt;&gt;TRIM($J974),"",_xlfn.SWITCH($I974,"Computer",_xlfn.XLOOKUP($K974&amp;"",COMPUTER!$B$3:$B$1009&amp;"",COMPUTER!$E$3:$E$1009,""),"Display",_xlfn.XLOOKUP($K974&amp;"",DISPLAY!$B$3:$B$1000&amp;"",DISPLAY!$E$3:$E$1000,""),"Network Device",_xlfn.XLOOKUP($K974&amp;"",'NETWORK-DEVICES'!$B$3:$B$987&amp;"",'NETWORK-DEVICES'!$E$3:$E$987,""),"Peripheral",_xlfn.XLOOKUP($K974&amp;"",PERIPHERAL!$B$3:$B$954&amp;"",PERIPHERAL!$E$3:$E$954,""),"Utilities",_xlfn.XLOOKUP($K974&amp;"",UTILITIES!$B$3:$B$953&amp;"",UTILITIES!$E$3:$E$953,""),"IOT",_xlfn.XLOOKUP($K974&amp;"",IOT!$B$3:$B$1012&amp;"",IOT!$E$3:$E$1012,""),"Server",_xlfn.XLOOKUP($K974&amp;"",SERVER!$B$3:$B$1009&amp;"",SERVER!$E$3:$E$1009,""),""))))</f>
        <v/>
      </c>
      <c r="Q974" s="1" t="str" cm="1">
        <f t="array" ref="Q974">IF(OR($K974="",$I974="",$J974=""),"",_xlfn.LET(_xlpm.srcCat,_xlfn.SWITCH($I974,"Computer",_xlfn.XLOOKUP($K974&amp;"",COMPUTER!$B$3:$B$1009&amp;"",COMPUTER!$H$3:$H$1009,""),"Display",_xlfn.XLOOKUP($K974&amp;"",DISPLAY!$B$3:$B$1000&amp;"",DISPLAY!$H$3:$H$1000,""),"Network Device",_xlfn.XLOOKUP($K974&amp;"",'NETWORK-DEVICES'!$B$3:$B$987&amp;"",'NETWORK-DEVICES'!$H$3:$H$987,""),"Peripheral",_xlfn.XLOOKUP($K974&amp;"",PERIPHERAL!$B$3:$B$954&amp;"",PERIPHERAL!$H$3:$H$954,""),"Utilities",_xlfn.XLOOKUP($K974&amp;"",UTILITIES!$B$3:$B$953&amp;"",UTILITIES!$G$3:$G$953,""),"IOT",_xlfn.XLOOKUP($K974&amp;"",IOT!$B$3:$B$1012&amp;"",IOT!$H$3:$H$1012,""),"Server",_xlfn.XLOOKUP($K974&amp;"",SERVER!$B$3:$B$1009&amp;"",SERVER!$H$3:$H$1009,""),""),IF(TRIM(_xlpm.srcCat)&lt;&gt;TRIM($J974),"",_xlfn.SWITCH($I974,"Computer",_xlfn.XLOOKUP($K974&amp;"",COMPUTER!$B$3:$B$1009&amp;"",COMPUTER!$AM$3:$AM$1009,""),"Display",_xlfn.XLOOKUP($K974&amp;"",DISPLAY!$B$3:$B$1000&amp;"",DISPLAY!$V$3:$V$1000,""),"Network Device",_xlfn.XLOOKUP($K974&amp;"",'NETWORK-DEVICES'!$B$3:$B$987&amp;"",'NETWORK-DEVICES'!$AF$3:$AF$987,""),"Peripheral",_xlfn.XLOOKUP($K974&amp;"",PERIPHERAL!$B$3:$B$954&amp;"",PERIPHERAL!$Y$3:$Y$954,""),"Utilities",_xlfn.XLOOKUP($K974&amp;"",UTILITIES!$B$3:$B$953&amp;"",UTILITIES!$O$3:$O$953,""),"IOT",_xlfn.XLOOKUP($K974&amp;"",IOT!$B$3:$B$1012&amp;"",IOT!$AB$3:$AB$1012,""),"Server",_xlfn.XLOOKUP($K974&amp;"",SERVER!$B$3:$B$1009&amp;"",SERVER!$AB$3:$AB$1009,""),""))))</f>
        <v/>
      </c>
      <c r="R974" s="43" t="str">
        <f>IF(tbl_handover[[#This Row],[Asset Code]]="","",COUNTIF(tbl_handover[Asset Code],tbl_handover[[#This Row],[Asset Code]]))</f>
        <v/>
      </c>
    </row>
    <row r="975" spans="1:18" x14ac:dyDescent="0.25">
      <c r="A975" s="43" t="str">
        <f>IF(B975&lt;&gt;"",SUBTOTAL(3,$B$1:B974),"")</f>
        <v/>
      </c>
      <c r="C975" s="74"/>
      <c r="D975" s="74"/>
      <c r="G975" s="1"/>
      <c r="K975" s="42"/>
      <c r="L975" t="str" cm="1">
        <f t="array" ref="L975">IF($K975="","",_xlfn.SWITCH($I975,"Computer",_xlfn.XLOOKUP($K975&amp;"",COMPUTER!$B$3:$B$1009&amp;"",COMPUTER!$I$3:$I$1009,""),"Display",_xlfn.XLOOKUP($K975&amp;"",DISPLAY!$B$3:$B$1000&amp;"",DISPLAY!$J$3:$J$1000,""),"Network Device",_xlfn.XLOOKUP($K975&amp;"",'NETWORK-DEVICES'!$B$3:$B$987&amp;"",'NETWORK-DEVICES'!$I$3:$I$987,""),"Peripheral",_xlfn.XLOOKUP($K975&amp;"",PERIPHERAL!$B$3:$B$954&amp;"",PERIPHERAL!$I$3:$I$954,""),"Utilities",_xlfn.XLOOKUP($K975&amp;"",UTILITIES!$B$3:$B$953&amp;"",UTILITIES!$H$3:$H$953,""),"IOT",_xlfn.XLOOKUP($K975&amp;"",IOT!$B$3:$B$1012&amp;"",IOT!$I$3:$I$1012,""),"SERVER",_xlfn.XLOOKUP($K975&amp;"",SERVER!$B$3:$B$1009&amp;"",SERVER!$I$3:$I$1009,""),""))</f>
        <v/>
      </c>
      <c r="M975" t="str" cm="1">
        <f t="array" ref="M975">IF($K975="","",_xlfn.SWITCH($I975,"Computer",_xlfn.XLOOKUP($K975&amp;"",COMPUTER!$B$3:$B$1009&amp;"",COMPUTER!$J$3:$J$1009,""),"Display",_xlfn.XLOOKUP($K975&amp;"",DISPLAY!$B$3:$B$1000&amp;"",DISPLAY!$K$3:$K$1000,""),"Network Device",_xlfn.XLOOKUP($K975&amp;"",'NETWORK-DEVICES'!$B$3:$B$987&amp;"",'NETWORK-DEVICES'!$I$3:$I$987,""),"Peripheral",_xlfn.XLOOKUP($K975&amp;"",PERIPHERAL!$B$3:$B$954&amp;"",PERIPHERAL!$J$3:$J$954,""),"Utilities",_xlfn.XLOOKUP($K975&amp;"",UTILITIES!$B$3:$B$953&amp;"",UTILITIES!$I$3:$I$953,""),"IOT",_xlfn.XLOOKUP($K975&amp;"",IOT!$B$3:$B$1012&amp;"",IOT!$J$3:$J$1012,""),"Server",_xlfn.XLOOKUP($K975&amp;"",SERVER!$B$3:$B$1009&amp;"",SERVER!$J$3:$J$1009,""),""))</f>
        <v/>
      </c>
      <c r="N975" s="1" t="str" cm="1">
        <f t="array" ref="N975">IF(OR($K975="",$I975="",$J975=""),"",_xlfn.LET(_xlpm.srcCat,_xlfn.SWITCH($I975,"Computer",_xlfn.XLOOKUP($K975&amp;"",COMPUTER!$B$3:$B$1009&amp;"",COMPUTER!$H$3:$H$1009,""),"Display",_xlfn.XLOOKUP($K975&amp;"",DISPLAY!$B$3:$B$1000&amp;"",DISPLAY!$H$3:$H$1000,""),"Network Device",_xlfn.XLOOKUP($K975&amp;"",'NETWORK-DEVICES'!$B$3:$B$987&amp;"",'NETWORK-DEVICES'!$H$3:$H$987,""),"Peripheral",_xlfn.XLOOKUP($K975&amp;"",PERIPHERAL!$B$3:$B$954&amp;"",PERIPHERAL!$H$3:$H$954,""),"Utilities",_xlfn.XLOOKUP($K975&amp;"",UTILITIES!$B$3:$B$953&amp;"",UTILITIES!$G$3:$G$953,""),"IOT",_xlfn.XLOOKUP($K975&amp;"",IOT!$B$3:$B$1012&amp;"",IOT!$H$3:$H$1012,""),"Server",_xlfn.XLOOKUP($K975&amp;"",SERVER!$B$3:$B$1009&amp;"",SERVER!$H$3:$H$1009,""),""),IF(TRIM(_xlpm.srcCat)&lt;&gt;TRIM($J975),"",_xlfn.SWITCH($I975,"Computer",_xlfn.XLOOKUP($K975&amp;"",COMPUTER!$B$3:$B$1009&amp;"",COMPUTER!$K$3:$K$1009,""),"Display",_xlfn.XLOOKUP($K975&amp;"",DISPLAY!$B$3:$B$1000&amp;"",DISPLAY!$L$3:$L$1000,""),"Network Device",_xlfn.XLOOKUP($K975&amp;"",'NETWORK-DEVICES'!$B$3:$B$987&amp;"",'NETWORK-DEVICES'!$K$3:$K$987,""),"Peripheral",_xlfn.XLOOKUP($K975&amp;"",PERIPHERAL!$B$3:$B$954&amp;"",PERIPHERAL!$K$3:$K$954,""),"Utilities",_xlfn.XLOOKUP($K975&amp;"",UTILITIES!$B$3:$B$953&amp;"",UTILITIES!$J$3:$J$953,""),"IOT",_xlfn.XLOOKUP($K975&amp;"",IOT!$B$3:$B$1012&amp;"",IOT!$K$4:$K$1012,""),"Server",_xlfn.XLOOKUP($K975&amp;"",SERVER!$B$3:$B$1009&amp;"",SERVER!$K$3:$K$1009,""),""))))</f>
        <v/>
      </c>
      <c r="O975" s="1" t="str" cm="1">
        <f t="array" ref="O975">IF(OR($K975="",$I975="",$J975=""),"",_xlfn.LET(_xlpm.srcCat,_xlfn.SWITCH($I975,"Computer",_xlfn.XLOOKUP($K975&amp;"",COMPUTER!$B$3:$B$1009&amp;"",COMPUTER!$H$3:$H$1009,""),"Display",_xlfn.XLOOKUP($K975&amp;"",DISPLAY!$B$3:$B$1000&amp;"",DISPLAY!$H$3:$H$1000,""),"Network Device",_xlfn.XLOOKUP($K975&amp;"",'NETWORK-DEVICES'!$B$3:$B$987&amp;"",'NETWORK-DEVICES'!$H$3:$H$987,""),"Peripheral",_xlfn.XLOOKUP($K975&amp;"",PERIPHERAL!$B$3:$B$954&amp;"",PERIPHERAL!$H$3:$H$954,""),"Utilities",_xlfn.XLOOKUP($K975&amp;"",UTILITIES!$B$3:$B$953&amp;"",UTILITIES!$G$3:$G$953,""),"IOT",_xlfn.XLOOKUP($K975&amp;"",IOT!$B$3:$B$1012&amp;"",IOT!$H$3:$H$1012,""),"Server",_xlfn.XLOOKUP($K975&amp;"",SERVER!$B$3:$B$1009&amp;"",SERVER!$H$3:$H$1009,""),""),IF(TRIM(_xlpm.srcCat)&lt;&gt;TRIM($J975),"",_xlfn.SWITCH($I975,"Computer",_xlfn.XLOOKUP($K975&amp;"",COMPUTER!$B$3:$B$1009&amp;"",COMPUTER!$E$3:$E$1009,""),"Display",_xlfn.XLOOKUP($K975&amp;"",DISPLAY!$B$3:$B$1000&amp;"",DISPLAY!$E$3:$E$1000,""),"Network Device",_xlfn.XLOOKUP($K975&amp;"",'NETWORK-DEVICES'!$B$3:$B$987&amp;"",'NETWORK-DEVICES'!$E$3:$E$987,""),"Peripheral",_xlfn.XLOOKUP($K975&amp;"",PERIPHERAL!$B$3:$B$954&amp;"",PERIPHERAL!$E$3:$E$954,""),"Utilities",_xlfn.XLOOKUP($K975&amp;"",UTILITIES!$B$3:$B$953&amp;"",UTILITIES!$E$3:$E$953,""),"IOT",_xlfn.XLOOKUP($K975&amp;"",IOT!$B$3:$B$1012&amp;"",IOT!$E$3:$E$1012,""),"Server",_xlfn.XLOOKUP($K975&amp;"",SERVER!$B$3:$B$1009&amp;"",SERVER!$E$3:$E$1009,""),""))))</f>
        <v/>
      </c>
      <c r="Q975" s="1" t="str" cm="1">
        <f t="array" ref="Q975">IF(OR($K975="",$I975="",$J975=""),"",_xlfn.LET(_xlpm.srcCat,_xlfn.SWITCH($I975,"Computer",_xlfn.XLOOKUP($K975&amp;"",COMPUTER!$B$3:$B$1009&amp;"",COMPUTER!$H$3:$H$1009,""),"Display",_xlfn.XLOOKUP($K975&amp;"",DISPLAY!$B$3:$B$1000&amp;"",DISPLAY!$H$3:$H$1000,""),"Network Device",_xlfn.XLOOKUP($K975&amp;"",'NETWORK-DEVICES'!$B$3:$B$987&amp;"",'NETWORK-DEVICES'!$H$3:$H$987,""),"Peripheral",_xlfn.XLOOKUP($K975&amp;"",PERIPHERAL!$B$3:$B$954&amp;"",PERIPHERAL!$H$3:$H$954,""),"Utilities",_xlfn.XLOOKUP($K975&amp;"",UTILITIES!$B$3:$B$953&amp;"",UTILITIES!$G$3:$G$953,""),"IOT",_xlfn.XLOOKUP($K975&amp;"",IOT!$B$3:$B$1012&amp;"",IOT!$H$3:$H$1012,""),"Server",_xlfn.XLOOKUP($K975&amp;"",SERVER!$B$3:$B$1009&amp;"",SERVER!$H$3:$H$1009,""),""),IF(TRIM(_xlpm.srcCat)&lt;&gt;TRIM($J975),"",_xlfn.SWITCH($I975,"Computer",_xlfn.XLOOKUP($K975&amp;"",COMPUTER!$B$3:$B$1009&amp;"",COMPUTER!$AM$3:$AM$1009,""),"Display",_xlfn.XLOOKUP($K975&amp;"",DISPLAY!$B$3:$B$1000&amp;"",DISPLAY!$V$3:$V$1000,""),"Network Device",_xlfn.XLOOKUP($K975&amp;"",'NETWORK-DEVICES'!$B$3:$B$987&amp;"",'NETWORK-DEVICES'!$AF$3:$AF$987,""),"Peripheral",_xlfn.XLOOKUP($K975&amp;"",PERIPHERAL!$B$3:$B$954&amp;"",PERIPHERAL!$Y$3:$Y$954,""),"Utilities",_xlfn.XLOOKUP($K975&amp;"",UTILITIES!$B$3:$B$953&amp;"",UTILITIES!$O$3:$O$953,""),"IOT",_xlfn.XLOOKUP($K975&amp;"",IOT!$B$3:$B$1012&amp;"",IOT!$AB$3:$AB$1012,""),"Server",_xlfn.XLOOKUP($K975&amp;"",SERVER!$B$3:$B$1009&amp;"",SERVER!$AB$3:$AB$1009,""),""))))</f>
        <v/>
      </c>
      <c r="R975" s="43" t="str">
        <f>IF(tbl_handover[[#This Row],[Asset Code]]="","",COUNTIF(tbl_handover[Asset Code],tbl_handover[[#This Row],[Asset Code]]))</f>
        <v/>
      </c>
    </row>
    <row r="976" spans="1:18" x14ac:dyDescent="0.25">
      <c r="A976" s="43" t="str">
        <f>IF(B976&lt;&gt;"",SUBTOTAL(3,$B$1:B975),"")</f>
        <v/>
      </c>
      <c r="C976" s="74"/>
      <c r="D976" s="74"/>
      <c r="G976" s="1"/>
      <c r="K976" s="42"/>
      <c r="L976" t="str" cm="1">
        <f t="array" ref="L976">IF($K976="","",_xlfn.SWITCH($I976,"Computer",_xlfn.XLOOKUP($K976&amp;"",COMPUTER!$B$3:$B$1009&amp;"",COMPUTER!$I$3:$I$1009,""),"Display",_xlfn.XLOOKUP($K976&amp;"",DISPLAY!$B$3:$B$1000&amp;"",DISPLAY!$J$3:$J$1000,""),"Network Device",_xlfn.XLOOKUP($K976&amp;"",'NETWORK-DEVICES'!$B$3:$B$987&amp;"",'NETWORK-DEVICES'!$I$3:$I$987,""),"Peripheral",_xlfn.XLOOKUP($K976&amp;"",PERIPHERAL!$B$3:$B$954&amp;"",PERIPHERAL!$I$3:$I$954,""),"Utilities",_xlfn.XLOOKUP($K976&amp;"",UTILITIES!$B$3:$B$953&amp;"",UTILITIES!$H$3:$H$953,""),"IOT",_xlfn.XLOOKUP($K976&amp;"",IOT!$B$3:$B$1012&amp;"",IOT!$I$3:$I$1012,""),"SERVER",_xlfn.XLOOKUP($K976&amp;"",SERVER!$B$3:$B$1009&amp;"",SERVER!$I$3:$I$1009,""),""))</f>
        <v/>
      </c>
      <c r="M976" t="str" cm="1">
        <f t="array" ref="M976">IF($K976="","",_xlfn.SWITCH($I976,"Computer",_xlfn.XLOOKUP($K976&amp;"",COMPUTER!$B$3:$B$1009&amp;"",COMPUTER!$J$3:$J$1009,""),"Display",_xlfn.XLOOKUP($K976&amp;"",DISPLAY!$B$3:$B$1000&amp;"",DISPLAY!$K$3:$K$1000,""),"Network Device",_xlfn.XLOOKUP($K976&amp;"",'NETWORK-DEVICES'!$B$3:$B$987&amp;"",'NETWORK-DEVICES'!$I$3:$I$987,""),"Peripheral",_xlfn.XLOOKUP($K976&amp;"",PERIPHERAL!$B$3:$B$954&amp;"",PERIPHERAL!$J$3:$J$954,""),"Utilities",_xlfn.XLOOKUP($K976&amp;"",UTILITIES!$B$3:$B$953&amp;"",UTILITIES!$I$3:$I$953,""),"IOT",_xlfn.XLOOKUP($K976&amp;"",IOT!$B$3:$B$1012&amp;"",IOT!$J$3:$J$1012,""),"Server",_xlfn.XLOOKUP($K976&amp;"",SERVER!$B$3:$B$1009&amp;"",SERVER!$J$3:$J$1009,""),""))</f>
        <v/>
      </c>
      <c r="N976" s="1" t="str" cm="1">
        <f t="array" ref="N976">IF(OR($K976="",$I976="",$J976=""),"",_xlfn.LET(_xlpm.srcCat,_xlfn.SWITCH($I976,"Computer",_xlfn.XLOOKUP($K976&amp;"",COMPUTER!$B$3:$B$1009&amp;"",COMPUTER!$H$3:$H$1009,""),"Display",_xlfn.XLOOKUP($K976&amp;"",DISPLAY!$B$3:$B$1000&amp;"",DISPLAY!$H$3:$H$1000,""),"Network Device",_xlfn.XLOOKUP($K976&amp;"",'NETWORK-DEVICES'!$B$3:$B$987&amp;"",'NETWORK-DEVICES'!$H$3:$H$987,""),"Peripheral",_xlfn.XLOOKUP($K976&amp;"",PERIPHERAL!$B$3:$B$954&amp;"",PERIPHERAL!$H$3:$H$954,""),"Utilities",_xlfn.XLOOKUP($K976&amp;"",UTILITIES!$B$3:$B$953&amp;"",UTILITIES!$G$3:$G$953,""),"IOT",_xlfn.XLOOKUP($K976&amp;"",IOT!$B$3:$B$1012&amp;"",IOT!$H$3:$H$1012,""),"Server",_xlfn.XLOOKUP($K976&amp;"",SERVER!$B$3:$B$1009&amp;"",SERVER!$H$3:$H$1009,""),""),IF(TRIM(_xlpm.srcCat)&lt;&gt;TRIM($J976),"",_xlfn.SWITCH($I976,"Computer",_xlfn.XLOOKUP($K976&amp;"",COMPUTER!$B$3:$B$1009&amp;"",COMPUTER!$K$3:$K$1009,""),"Display",_xlfn.XLOOKUP($K976&amp;"",DISPLAY!$B$3:$B$1000&amp;"",DISPLAY!$L$3:$L$1000,""),"Network Device",_xlfn.XLOOKUP($K976&amp;"",'NETWORK-DEVICES'!$B$3:$B$987&amp;"",'NETWORK-DEVICES'!$K$3:$K$987,""),"Peripheral",_xlfn.XLOOKUP($K976&amp;"",PERIPHERAL!$B$3:$B$954&amp;"",PERIPHERAL!$K$3:$K$954,""),"Utilities",_xlfn.XLOOKUP($K976&amp;"",UTILITIES!$B$3:$B$953&amp;"",UTILITIES!$J$3:$J$953,""),"IOT",_xlfn.XLOOKUP($K976&amp;"",IOT!$B$3:$B$1012&amp;"",IOT!$K$4:$K$1012,""),"Server",_xlfn.XLOOKUP($K976&amp;"",SERVER!$B$3:$B$1009&amp;"",SERVER!$K$3:$K$1009,""),""))))</f>
        <v/>
      </c>
      <c r="O976" s="1" t="str" cm="1">
        <f t="array" ref="O976">IF(OR($K976="",$I976="",$J976=""),"",_xlfn.LET(_xlpm.srcCat,_xlfn.SWITCH($I976,"Computer",_xlfn.XLOOKUP($K976&amp;"",COMPUTER!$B$3:$B$1009&amp;"",COMPUTER!$H$3:$H$1009,""),"Display",_xlfn.XLOOKUP($K976&amp;"",DISPLAY!$B$3:$B$1000&amp;"",DISPLAY!$H$3:$H$1000,""),"Network Device",_xlfn.XLOOKUP($K976&amp;"",'NETWORK-DEVICES'!$B$3:$B$987&amp;"",'NETWORK-DEVICES'!$H$3:$H$987,""),"Peripheral",_xlfn.XLOOKUP($K976&amp;"",PERIPHERAL!$B$3:$B$954&amp;"",PERIPHERAL!$H$3:$H$954,""),"Utilities",_xlfn.XLOOKUP($K976&amp;"",UTILITIES!$B$3:$B$953&amp;"",UTILITIES!$G$3:$G$953,""),"IOT",_xlfn.XLOOKUP($K976&amp;"",IOT!$B$3:$B$1012&amp;"",IOT!$H$3:$H$1012,""),"Server",_xlfn.XLOOKUP($K976&amp;"",SERVER!$B$3:$B$1009&amp;"",SERVER!$H$3:$H$1009,""),""),IF(TRIM(_xlpm.srcCat)&lt;&gt;TRIM($J976),"",_xlfn.SWITCH($I976,"Computer",_xlfn.XLOOKUP($K976&amp;"",COMPUTER!$B$3:$B$1009&amp;"",COMPUTER!$E$3:$E$1009,""),"Display",_xlfn.XLOOKUP($K976&amp;"",DISPLAY!$B$3:$B$1000&amp;"",DISPLAY!$E$3:$E$1000,""),"Network Device",_xlfn.XLOOKUP($K976&amp;"",'NETWORK-DEVICES'!$B$3:$B$987&amp;"",'NETWORK-DEVICES'!$E$3:$E$987,""),"Peripheral",_xlfn.XLOOKUP($K976&amp;"",PERIPHERAL!$B$3:$B$954&amp;"",PERIPHERAL!$E$3:$E$954,""),"Utilities",_xlfn.XLOOKUP($K976&amp;"",UTILITIES!$B$3:$B$953&amp;"",UTILITIES!$E$3:$E$953,""),"IOT",_xlfn.XLOOKUP($K976&amp;"",IOT!$B$3:$B$1012&amp;"",IOT!$E$3:$E$1012,""),"Server",_xlfn.XLOOKUP($K976&amp;"",SERVER!$B$3:$B$1009&amp;"",SERVER!$E$3:$E$1009,""),""))))</f>
        <v/>
      </c>
      <c r="Q976" s="1" t="str" cm="1">
        <f t="array" ref="Q976">IF(OR($K976="",$I976="",$J976=""),"",_xlfn.LET(_xlpm.srcCat,_xlfn.SWITCH($I976,"Computer",_xlfn.XLOOKUP($K976&amp;"",COMPUTER!$B$3:$B$1009&amp;"",COMPUTER!$H$3:$H$1009,""),"Display",_xlfn.XLOOKUP($K976&amp;"",DISPLAY!$B$3:$B$1000&amp;"",DISPLAY!$H$3:$H$1000,""),"Network Device",_xlfn.XLOOKUP($K976&amp;"",'NETWORK-DEVICES'!$B$3:$B$987&amp;"",'NETWORK-DEVICES'!$H$3:$H$987,""),"Peripheral",_xlfn.XLOOKUP($K976&amp;"",PERIPHERAL!$B$3:$B$954&amp;"",PERIPHERAL!$H$3:$H$954,""),"Utilities",_xlfn.XLOOKUP($K976&amp;"",UTILITIES!$B$3:$B$953&amp;"",UTILITIES!$G$3:$G$953,""),"IOT",_xlfn.XLOOKUP($K976&amp;"",IOT!$B$3:$B$1012&amp;"",IOT!$H$3:$H$1012,""),"Server",_xlfn.XLOOKUP($K976&amp;"",SERVER!$B$3:$B$1009&amp;"",SERVER!$H$3:$H$1009,""),""),IF(TRIM(_xlpm.srcCat)&lt;&gt;TRIM($J976),"",_xlfn.SWITCH($I976,"Computer",_xlfn.XLOOKUP($K976&amp;"",COMPUTER!$B$3:$B$1009&amp;"",COMPUTER!$AM$3:$AM$1009,""),"Display",_xlfn.XLOOKUP($K976&amp;"",DISPLAY!$B$3:$B$1000&amp;"",DISPLAY!$V$3:$V$1000,""),"Network Device",_xlfn.XLOOKUP($K976&amp;"",'NETWORK-DEVICES'!$B$3:$B$987&amp;"",'NETWORK-DEVICES'!$AF$3:$AF$987,""),"Peripheral",_xlfn.XLOOKUP($K976&amp;"",PERIPHERAL!$B$3:$B$954&amp;"",PERIPHERAL!$Y$3:$Y$954,""),"Utilities",_xlfn.XLOOKUP($K976&amp;"",UTILITIES!$B$3:$B$953&amp;"",UTILITIES!$O$3:$O$953,""),"IOT",_xlfn.XLOOKUP($K976&amp;"",IOT!$B$3:$B$1012&amp;"",IOT!$AB$3:$AB$1012,""),"Server",_xlfn.XLOOKUP($K976&amp;"",SERVER!$B$3:$B$1009&amp;"",SERVER!$AB$3:$AB$1009,""),""))))</f>
        <v/>
      </c>
      <c r="R976" s="43" t="str">
        <f>IF(tbl_handover[[#This Row],[Asset Code]]="","",COUNTIF(tbl_handover[Asset Code],tbl_handover[[#This Row],[Asset Code]]))</f>
        <v/>
      </c>
    </row>
    <row r="977" spans="1:18" x14ac:dyDescent="0.25">
      <c r="A977" s="43" t="str">
        <f>IF(B977&lt;&gt;"",SUBTOTAL(3,$B$1:B976),"")</f>
        <v/>
      </c>
      <c r="C977" s="74"/>
      <c r="D977" s="74"/>
      <c r="G977" s="1"/>
      <c r="K977" s="42"/>
      <c r="L977" t="str" cm="1">
        <f t="array" ref="L977">IF($K977="","",_xlfn.SWITCH($I977,"Computer",_xlfn.XLOOKUP($K977&amp;"",COMPUTER!$B$3:$B$1009&amp;"",COMPUTER!$I$3:$I$1009,""),"Display",_xlfn.XLOOKUP($K977&amp;"",DISPLAY!$B$3:$B$1000&amp;"",DISPLAY!$J$3:$J$1000,""),"Network Device",_xlfn.XLOOKUP($K977&amp;"",'NETWORK-DEVICES'!$B$3:$B$987&amp;"",'NETWORK-DEVICES'!$I$3:$I$987,""),"Peripheral",_xlfn.XLOOKUP($K977&amp;"",PERIPHERAL!$B$3:$B$954&amp;"",PERIPHERAL!$I$3:$I$954,""),"Utilities",_xlfn.XLOOKUP($K977&amp;"",UTILITIES!$B$3:$B$953&amp;"",UTILITIES!$H$3:$H$953,""),"IOT",_xlfn.XLOOKUP($K977&amp;"",IOT!$B$3:$B$1012&amp;"",IOT!$I$3:$I$1012,""),"SERVER",_xlfn.XLOOKUP($K977&amp;"",SERVER!$B$3:$B$1009&amp;"",SERVER!$I$3:$I$1009,""),""))</f>
        <v/>
      </c>
      <c r="M977" t="str" cm="1">
        <f t="array" ref="M977">IF($K977="","",_xlfn.SWITCH($I977,"Computer",_xlfn.XLOOKUP($K977&amp;"",COMPUTER!$B$3:$B$1009&amp;"",COMPUTER!$J$3:$J$1009,""),"Display",_xlfn.XLOOKUP($K977&amp;"",DISPLAY!$B$3:$B$1000&amp;"",DISPLAY!$K$3:$K$1000,""),"Network Device",_xlfn.XLOOKUP($K977&amp;"",'NETWORK-DEVICES'!$B$3:$B$987&amp;"",'NETWORK-DEVICES'!$I$3:$I$987,""),"Peripheral",_xlfn.XLOOKUP($K977&amp;"",PERIPHERAL!$B$3:$B$954&amp;"",PERIPHERAL!$J$3:$J$954,""),"Utilities",_xlfn.XLOOKUP($K977&amp;"",UTILITIES!$B$3:$B$953&amp;"",UTILITIES!$I$3:$I$953,""),"IOT",_xlfn.XLOOKUP($K977&amp;"",IOT!$B$3:$B$1012&amp;"",IOT!$J$3:$J$1012,""),"Server",_xlfn.XLOOKUP($K977&amp;"",SERVER!$B$3:$B$1009&amp;"",SERVER!$J$3:$J$1009,""),""))</f>
        <v/>
      </c>
      <c r="N977" s="1" t="str" cm="1">
        <f t="array" ref="N977">IF(OR($K977="",$I977="",$J977=""),"",_xlfn.LET(_xlpm.srcCat,_xlfn.SWITCH($I977,"Computer",_xlfn.XLOOKUP($K977&amp;"",COMPUTER!$B$3:$B$1009&amp;"",COMPUTER!$H$3:$H$1009,""),"Display",_xlfn.XLOOKUP($K977&amp;"",DISPLAY!$B$3:$B$1000&amp;"",DISPLAY!$H$3:$H$1000,""),"Network Device",_xlfn.XLOOKUP($K977&amp;"",'NETWORK-DEVICES'!$B$3:$B$987&amp;"",'NETWORK-DEVICES'!$H$3:$H$987,""),"Peripheral",_xlfn.XLOOKUP($K977&amp;"",PERIPHERAL!$B$3:$B$954&amp;"",PERIPHERAL!$H$3:$H$954,""),"Utilities",_xlfn.XLOOKUP($K977&amp;"",UTILITIES!$B$3:$B$953&amp;"",UTILITIES!$G$3:$G$953,""),"IOT",_xlfn.XLOOKUP($K977&amp;"",IOT!$B$3:$B$1012&amp;"",IOT!$H$3:$H$1012,""),"Server",_xlfn.XLOOKUP($K977&amp;"",SERVER!$B$3:$B$1009&amp;"",SERVER!$H$3:$H$1009,""),""),IF(TRIM(_xlpm.srcCat)&lt;&gt;TRIM($J977),"",_xlfn.SWITCH($I977,"Computer",_xlfn.XLOOKUP($K977&amp;"",COMPUTER!$B$3:$B$1009&amp;"",COMPUTER!$K$3:$K$1009,""),"Display",_xlfn.XLOOKUP($K977&amp;"",DISPLAY!$B$3:$B$1000&amp;"",DISPLAY!$L$3:$L$1000,""),"Network Device",_xlfn.XLOOKUP($K977&amp;"",'NETWORK-DEVICES'!$B$3:$B$987&amp;"",'NETWORK-DEVICES'!$K$3:$K$987,""),"Peripheral",_xlfn.XLOOKUP($K977&amp;"",PERIPHERAL!$B$3:$B$954&amp;"",PERIPHERAL!$K$3:$K$954,""),"Utilities",_xlfn.XLOOKUP($K977&amp;"",UTILITIES!$B$3:$B$953&amp;"",UTILITIES!$J$3:$J$953,""),"IOT",_xlfn.XLOOKUP($K977&amp;"",IOT!$B$3:$B$1012&amp;"",IOT!$K$4:$K$1012,""),"Server",_xlfn.XLOOKUP($K977&amp;"",SERVER!$B$3:$B$1009&amp;"",SERVER!$K$3:$K$1009,""),""))))</f>
        <v/>
      </c>
      <c r="O977" s="1" t="str" cm="1">
        <f t="array" ref="O977">IF(OR($K977="",$I977="",$J977=""),"",_xlfn.LET(_xlpm.srcCat,_xlfn.SWITCH($I977,"Computer",_xlfn.XLOOKUP($K977&amp;"",COMPUTER!$B$3:$B$1009&amp;"",COMPUTER!$H$3:$H$1009,""),"Display",_xlfn.XLOOKUP($K977&amp;"",DISPLAY!$B$3:$B$1000&amp;"",DISPLAY!$H$3:$H$1000,""),"Network Device",_xlfn.XLOOKUP($K977&amp;"",'NETWORK-DEVICES'!$B$3:$B$987&amp;"",'NETWORK-DEVICES'!$H$3:$H$987,""),"Peripheral",_xlfn.XLOOKUP($K977&amp;"",PERIPHERAL!$B$3:$B$954&amp;"",PERIPHERAL!$H$3:$H$954,""),"Utilities",_xlfn.XLOOKUP($K977&amp;"",UTILITIES!$B$3:$B$953&amp;"",UTILITIES!$G$3:$G$953,""),"IOT",_xlfn.XLOOKUP($K977&amp;"",IOT!$B$3:$B$1012&amp;"",IOT!$H$3:$H$1012,""),"Server",_xlfn.XLOOKUP($K977&amp;"",SERVER!$B$3:$B$1009&amp;"",SERVER!$H$3:$H$1009,""),""),IF(TRIM(_xlpm.srcCat)&lt;&gt;TRIM($J977),"",_xlfn.SWITCH($I977,"Computer",_xlfn.XLOOKUP($K977&amp;"",COMPUTER!$B$3:$B$1009&amp;"",COMPUTER!$E$3:$E$1009,""),"Display",_xlfn.XLOOKUP($K977&amp;"",DISPLAY!$B$3:$B$1000&amp;"",DISPLAY!$E$3:$E$1000,""),"Network Device",_xlfn.XLOOKUP($K977&amp;"",'NETWORK-DEVICES'!$B$3:$B$987&amp;"",'NETWORK-DEVICES'!$E$3:$E$987,""),"Peripheral",_xlfn.XLOOKUP($K977&amp;"",PERIPHERAL!$B$3:$B$954&amp;"",PERIPHERAL!$E$3:$E$954,""),"Utilities",_xlfn.XLOOKUP($K977&amp;"",UTILITIES!$B$3:$B$953&amp;"",UTILITIES!$E$3:$E$953,""),"IOT",_xlfn.XLOOKUP($K977&amp;"",IOT!$B$3:$B$1012&amp;"",IOT!$E$3:$E$1012,""),"Server",_xlfn.XLOOKUP($K977&amp;"",SERVER!$B$3:$B$1009&amp;"",SERVER!$E$3:$E$1009,""),""))))</f>
        <v/>
      </c>
      <c r="Q977" s="1" t="str" cm="1">
        <f t="array" ref="Q977">IF(OR($K977="",$I977="",$J977=""),"",_xlfn.LET(_xlpm.srcCat,_xlfn.SWITCH($I977,"Computer",_xlfn.XLOOKUP($K977&amp;"",COMPUTER!$B$3:$B$1009&amp;"",COMPUTER!$H$3:$H$1009,""),"Display",_xlfn.XLOOKUP($K977&amp;"",DISPLAY!$B$3:$B$1000&amp;"",DISPLAY!$H$3:$H$1000,""),"Network Device",_xlfn.XLOOKUP($K977&amp;"",'NETWORK-DEVICES'!$B$3:$B$987&amp;"",'NETWORK-DEVICES'!$H$3:$H$987,""),"Peripheral",_xlfn.XLOOKUP($K977&amp;"",PERIPHERAL!$B$3:$B$954&amp;"",PERIPHERAL!$H$3:$H$954,""),"Utilities",_xlfn.XLOOKUP($K977&amp;"",UTILITIES!$B$3:$B$953&amp;"",UTILITIES!$G$3:$G$953,""),"IOT",_xlfn.XLOOKUP($K977&amp;"",IOT!$B$3:$B$1012&amp;"",IOT!$H$3:$H$1012,""),"Server",_xlfn.XLOOKUP($K977&amp;"",SERVER!$B$3:$B$1009&amp;"",SERVER!$H$3:$H$1009,""),""),IF(TRIM(_xlpm.srcCat)&lt;&gt;TRIM($J977),"",_xlfn.SWITCH($I977,"Computer",_xlfn.XLOOKUP($K977&amp;"",COMPUTER!$B$3:$B$1009&amp;"",COMPUTER!$AM$3:$AM$1009,""),"Display",_xlfn.XLOOKUP($K977&amp;"",DISPLAY!$B$3:$B$1000&amp;"",DISPLAY!$V$3:$V$1000,""),"Network Device",_xlfn.XLOOKUP($K977&amp;"",'NETWORK-DEVICES'!$B$3:$B$987&amp;"",'NETWORK-DEVICES'!$AF$3:$AF$987,""),"Peripheral",_xlfn.XLOOKUP($K977&amp;"",PERIPHERAL!$B$3:$B$954&amp;"",PERIPHERAL!$Y$3:$Y$954,""),"Utilities",_xlfn.XLOOKUP($K977&amp;"",UTILITIES!$B$3:$B$953&amp;"",UTILITIES!$O$3:$O$953,""),"IOT",_xlfn.XLOOKUP($K977&amp;"",IOT!$B$3:$B$1012&amp;"",IOT!$AB$3:$AB$1012,""),"Server",_xlfn.XLOOKUP($K977&amp;"",SERVER!$B$3:$B$1009&amp;"",SERVER!$AB$3:$AB$1009,""),""))))</f>
        <v/>
      </c>
      <c r="R977" s="43" t="str">
        <f>IF(tbl_handover[[#This Row],[Asset Code]]="","",COUNTIF(tbl_handover[Asset Code],tbl_handover[[#This Row],[Asset Code]]))</f>
        <v/>
      </c>
    </row>
    <row r="978" spans="1:18" x14ac:dyDescent="0.25">
      <c r="A978" s="43" t="str">
        <f>IF(B978&lt;&gt;"",SUBTOTAL(3,$B$1:B977),"")</f>
        <v/>
      </c>
      <c r="C978" s="74"/>
      <c r="D978" s="74"/>
      <c r="G978" s="1"/>
      <c r="K978" s="42"/>
      <c r="L978" t="str" cm="1">
        <f t="array" ref="L978">IF($K978="","",_xlfn.SWITCH($I978,"Computer",_xlfn.XLOOKUP($K978&amp;"",COMPUTER!$B$3:$B$1009&amp;"",COMPUTER!$I$3:$I$1009,""),"Display",_xlfn.XLOOKUP($K978&amp;"",DISPLAY!$B$3:$B$1000&amp;"",DISPLAY!$J$3:$J$1000,""),"Network Device",_xlfn.XLOOKUP($K978&amp;"",'NETWORK-DEVICES'!$B$3:$B$987&amp;"",'NETWORK-DEVICES'!$I$3:$I$987,""),"Peripheral",_xlfn.XLOOKUP($K978&amp;"",PERIPHERAL!$B$3:$B$954&amp;"",PERIPHERAL!$I$3:$I$954,""),"Utilities",_xlfn.XLOOKUP($K978&amp;"",UTILITIES!$B$3:$B$953&amp;"",UTILITIES!$H$3:$H$953,""),"IOT",_xlfn.XLOOKUP($K978&amp;"",IOT!$B$3:$B$1012&amp;"",IOT!$I$3:$I$1012,""),"SERVER",_xlfn.XLOOKUP($K978&amp;"",SERVER!$B$3:$B$1009&amp;"",SERVER!$I$3:$I$1009,""),""))</f>
        <v/>
      </c>
      <c r="M978" t="str" cm="1">
        <f t="array" ref="M978">IF($K978="","",_xlfn.SWITCH($I978,"Computer",_xlfn.XLOOKUP($K978&amp;"",COMPUTER!$B$3:$B$1009&amp;"",COMPUTER!$J$3:$J$1009,""),"Display",_xlfn.XLOOKUP($K978&amp;"",DISPLAY!$B$3:$B$1000&amp;"",DISPLAY!$K$3:$K$1000,""),"Network Device",_xlfn.XLOOKUP($K978&amp;"",'NETWORK-DEVICES'!$B$3:$B$987&amp;"",'NETWORK-DEVICES'!$I$3:$I$987,""),"Peripheral",_xlfn.XLOOKUP($K978&amp;"",PERIPHERAL!$B$3:$B$954&amp;"",PERIPHERAL!$J$3:$J$954,""),"Utilities",_xlfn.XLOOKUP($K978&amp;"",UTILITIES!$B$3:$B$953&amp;"",UTILITIES!$I$3:$I$953,""),"IOT",_xlfn.XLOOKUP($K978&amp;"",IOT!$B$3:$B$1012&amp;"",IOT!$J$3:$J$1012,""),"Server",_xlfn.XLOOKUP($K978&amp;"",SERVER!$B$3:$B$1009&amp;"",SERVER!$J$3:$J$1009,""),""))</f>
        <v/>
      </c>
      <c r="N978" s="1" t="str" cm="1">
        <f t="array" ref="N978">IF(OR($K978="",$I978="",$J978=""),"",_xlfn.LET(_xlpm.srcCat,_xlfn.SWITCH($I978,"Computer",_xlfn.XLOOKUP($K978&amp;"",COMPUTER!$B$3:$B$1009&amp;"",COMPUTER!$H$3:$H$1009,""),"Display",_xlfn.XLOOKUP($K978&amp;"",DISPLAY!$B$3:$B$1000&amp;"",DISPLAY!$H$3:$H$1000,""),"Network Device",_xlfn.XLOOKUP($K978&amp;"",'NETWORK-DEVICES'!$B$3:$B$987&amp;"",'NETWORK-DEVICES'!$H$3:$H$987,""),"Peripheral",_xlfn.XLOOKUP($K978&amp;"",PERIPHERAL!$B$3:$B$954&amp;"",PERIPHERAL!$H$3:$H$954,""),"Utilities",_xlfn.XLOOKUP($K978&amp;"",UTILITIES!$B$3:$B$953&amp;"",UTILITIES!$G$3:$G$953,""),"IOT",_xlfn.XLOOKUP($K978&amp;"",IOT!$B$3:$B$1012&amp;"",IOT!$H$3:$H$1012,""),"Server",_xlfn.XLOOKUP($K978&amp;"",SERVER!$B$3:$B$1009&amp;"",SERVER!$H$3:$H$1009,""),""),IF(TRIM(_xlpm.srcCat)&lt;&gt;TRIM($J978),"",_xlfn.SWITCH($I978,"Computer",_xlfn.XLOOKUP($K978&amp;"",COMPUTER!$B$3:$B$1009&amp;"",COMPUTER!$K$3:$K$1009,""),"Display",_xlfn.XLOOKUP($K978&amp;"",DISPLAY!$B$3:$B$1000&amp;"",DISPLAY!$L$3:$L$1000,""),"Network Device",_xlfn.XLOOKUP($K978&amp;"",'NETWORK-DEVICES'!$B$3:$B$987&amp;"",'NETWORK-DEVICES'!$K$3:$K$987,""),"Peripheral",_xlfn.XLOOKUP($K978&amp;"",PERIPHERAL!$B$3:$B$954&amp;"",PERIPHERAL!$K$3:$K$954,""),"Utilities",_xlfn.XLOOKUP($K978&amp;"",UTILITIES!$B$3:$B$953&amp;"",UTILITIES!$J$3:$J$953,""),"IOT",_xlfn.XLOOKUP($K978&amp;"",IOT!$B$3:$B$1012&amp;"",IOT!$K$4:$K$1012,""),"Server",_xlfn.XLOOKUP($K978&amp;"",SERVER!$B$3:$B$1009&amp;"",SERVER!$K$3:$K$1009,""),""))))</f>
        <v/>
      </c>
      <c r="O978" s="1" t="str" cm="1">
        <f t="array" ref="O978">IF(OR($K978="",$I978="",$J978=""),"",_xlfn.LET(_xlpm.srcCat,_xlfn.SWITCH($I978,"Computer",_xlfn.XLOOKUP($K978&amp;"",COMPUTER!$B$3:$B$1009&amp;"",COMPUTER!$H$3:$H$1009,""),"Display",_xlfn.XLOOKUP($K978&amp;"",DISPLAY!$B$3:$B$1000&amp;"",DISPLAY!$H$3:$H$1000,""),"Network Device",_xlfn.XLOOKUP($K978&amp;"",'NETWORK-DEVICES'!$B$3:$B$987&amp;"",'NETWORK-DEVICES'!$H$3:$H$987,""),"Peripheral",_xlfn.XLOOKUP($K978&amp;"",PERIPHERAL!$B$3:$B$954&amp;"",PERIPHERAL!$H$3:$H$954,""),"Utilities",_xlfn.XLOOKUP($K978&amp;"",UTILITIES!$B$3:$B$953&amp;"",UTILITIES!$G$3:$G$953,""),"IOT",_xlfn.XLOOKUP($K978&amp;"",IOT!$B$3:$B$1012&amp;"",IOT!$H$3:$H$1012,""),"Server",_xlfn.XLOOKUP($K978&amp;"",SERVER!$B$3:$B$1009&amp;"",SERVER!$H$3:$H$1009,""),""),IF(TRIM(_xlpm.srcCat)&lt;&gt;TRIM($J978),"",_xlfn.SWITCH($I978,"Computer",_xlfn.XLOOKUP($K978&amp;"",COMPUTER!$B$3:$B$1009&amp;"",COMPUTER!$E$3:$E$1009,""),"Display",_xlfn.XLOOKUP($K978&amp;"",DISPLAY!$B$3:$B$1000&amp;"",DISPLAY!$E$3:$E$1000,""),"Network Device",_xlfn.XLOOKUP($K978&amp;"",'NETWORK-DEVICES'!$B$3:$B$987&amp;"",'NETWORK-DEVICES'!$E$3:$E$987,""),"Peripheral",_xlfn.XLOOKUP($K978&amp;"",PERIPHERAL!$B$3:$B$954&amp;"",PERIPHERAL!$E$3:$E$954,""),"Utilities",_xlfn.XLOOKUP($K978&amp;"",UTILITIES!$B$3:$B$953&amp;"",UTILITIES!$E$3:$E$953,""),"IOT",_xlfn.XLOOKUP($K978&amp;"",IOT!$B$3:$B$1012&amp;"",IOT!$E$3:$E$1012,""),"Server",_xlfn.XLOOKUP($K978&amp;"",SERVER!$B$3:$B$1009&amp;"",SERVER!$E$3:$E$1009,""),""))))</f>
        <v/>
      </c>
      <c r="Q978" s="1" t="str" cm="1">
        <f t="array" ref="Q978">IF(OR($K978="",$I978="",$J978=""),"",_xlfn.LET(_xlpm.srcCat,_xlfn.SWITCH($I978,"Computer",_xlfn.XLOOKUP($K978&amp;"",COMPUTER!$B$3:$B$1009&amp;"",COMPUTER!$H$3:$H$1009,""),"Display",_xlfn.XLOOKUP($K978&amp;"",DISPLAY!$B$3:$B$1000&amp;"",DISPLAY!$H$3:$H$1000,""),"Network Device",_xlfn.XLOOKUP($K978&amp;"",'NETWORK-DEVICES'!$B$3:$B$987&amp;"",'NETWORK-DEVICES'!$H$3:$H$987,""),"Peripheral",_xlfn.XLOOKUP($K978&amp;"",PERIPHERAL!$B$3:$B$954&amp;"",PERIPHERAL!$H$3:$H$954,""),"Utilities",_xlfn.XLOOKUP($K978&amp;"",UTILITIES!$B$3:$B$953&amp;"",UTILITIES!$G$3:$G$953,""),"IOT",_xlfn.XLOOKUP($K978&amp;"",IOT!$B$3:$B$1012&amp;"",IOT!$H$3:$H$1012,""),"Server",_xlfn.XLOOKUP($K978&amp;"",SERVER!$B$3:$B$1009&amp;"",SERVER!$H$3:$H$1009,""),""),IF(TRIM(_xlpm.srcCat)&lt;&gt;TRIM($J978),"",_xlfn.SWITCH($I978,"Computer",_xlfn.XLOOKUP($K978&amp;"",COMPUTER!$B$3:$B$1009&amp;"",COMPUTER!$AM$3:$AM$1009,""),"Display",_xlfn.XLOOKUP($K978&amp;"",DISPLAY!$B$3:$B$1000&amp;"",DISPLAY!$V$3:$V$1000,""),"Network Device",_xlfn.XLOOKUP($K978&amp;"",'NETWORK-DEVICES'!$B$3:$B$987&amp;"",'NETWORK-DEVICES'!$AF$3:$AF$987,""),"Peripheral",_xlfn.XLOOKUP($K978&amp;"",PERIPHERAL!$B$3:$B$954&amp;"",PERIPHERAL!$Y$3:$Y$954,""),"Utilities",_xlfn.XLOOKUP($K978&amp;"",UTILITIES!$B$3:$B$953&amp;"",UTILITIES!$O$3:$O$953,""),"IOT",_xlfn.XLOOKUP($K978&amp;"",IOT!$B$3:$B$1012&amp;"",IOT!$AB$3:$AB$1012,""),"Server",_xlfn.XLOOKUP($K978&amp;"",SERVER!$B$3:$B$1009&amp;"",SERVER!$AB$3:$AB$1009,""),""))))</f>
        <v/>
      </c>
      <c r="R978" s="43" t="str">
        <f>IF(tbl_handover[[#This Row],[Asset Code]]="","",COUNTIF(tbl_handover[Asset Code],tbl_handover[[#This Row],[Asset Code]]))</f>
        <v/>
      </c>
    </row>
    <row r="979" spans="1:18" x14ac:dyDescent="0.25">
      <c r="A979" s="43" t="str">
        <f>IF(B979&lt;&gt;"",SUBTOTAL(3,$B$1:B978),"")</f>
        <v/>
      </c>
      <c r="C979" s="74"/>
      <c r="D979" s="74"/>
      <c r="G979" s="1"/>
      <c r="K979" s="42"/>
      <c r="L979" t="str" cm="1">
        <f t="array" ref="L979">IF($K979="","",_xlfn.SWITCH($I979,"Computer",_xlfn.XLOOKUP($K979&amp;"",COMPUTER!$B$3:$B$1009&amp;"",COMPUTER!$I$3:$I$1009,""),"Display",_xlfn.XLOOKUP($K979&amp;"",DISPLAY!$B$3:$B$1000&amp;"",DISPLAY!$J$3:$J$1000,""),"Network Device",_xlfn.XLOOKUP($K979&amp;"",'NETWORK-DEVICES'!$B$3:$B$987&amp;"",'NETWORK-DEVICES'!$I$3:$I$987,""),"Peripheral",_xlfn.XLOOKUP($K979&amp;"",PERIPHERAL!$B$3:$B$954&amp;"",PERIPHERAL!$I$3:$I$954,""),"Utilities",_xlfn.XLOOKUP($K979&amp;"",UTILITIES!$B$3:$B$953&amp;"",UTILITIES!$H$3:$H$953,""),"IOT",_xlfn.XLOOKUP($K979&amp;"",IOT!$B$3:$B$1012&amp;"",IOT!$I$3:$I$1012,""),"SERVER",_xlfn.XLOOKUP($K979&amp;"",SERVER!$B$3:$B$1009&amp;"",SERVER!$I$3:$I$1009,""),""))</f>
        <v/>
      </c>
      <c r="M979" t="str" cm="1">
        <f t="array" ref="M979">IF($K979="","",_xlfn.SWITCH($I979,"Computer",_xlfn.XLOOKUP($K979&amp;"",COMPUTER!$B$3:$B$1009&amp;"",COMPUTER!$J$3:$J$1009,""),"Display",_xlfn.XLOOKUP($K979&amp;"",DISPLAY!$B$3:$B$1000&amp;"",DISPLAY!$K$3:$K$1000,""),"Network Device",_xlfn.XLOOKUP($K979&amp;"",'NETWORK-DEVICES'!$B$3:$B$987&amp;"",'NETWORK-DEVICES'!$I$3:$I$987,""),"Peripheral",_xlfn.XLOOKUP($K979&amp;"",PERIPHERAL!$B$3:$B$954&amp;"",PERIPHERAL!$J$3:$J$954,""),"Utilities",_xlfn.XLOOKUP($K979&amp;"",UTILITIES!$B$3:$B$953&amp;"",UTILITIES!$I$3:$I$953,""),"IOT",_xlfn.XLOOKUP($K979&amp;"",IOT!$B$3:$B$1012&amp;"",IOT!$J$3:$J$1012,""),"Server",_xlfn.XLOOKUP($K979&amp;"",SERVER!$B$3:$B$1009&amp;"",SERVER!$J$3:$J$1009,""),""))</f>
        <v/>
      </c>
      <c r="N979" s="1" t="str" cm="1">
        <f t="array" ref="N979">IF(OR($K979="",$I979="",$J979=""),"",_xlfn.LET(_xlpm.srcCat,_xlfn.SWITCH($I979,"Computer",_xlfn.XLOOKUP($K979&amp;"",COMPUTER!$B$3:$B$1009&amp;"",COMPUTER!$H$3:$H$1009,""),"Display",_xlfn.XLOOKUP($K979&amp;"",DISPLAY!$B$3:$B$1000&amp;"",DISPLAY!$H$3:$H$1000,""),"Network Device",_xlfn.XLOOKUP($K979&amp;"",'NETWORK-DEVICES'!$B$3:$B$987&amp;"",'NETWORK-DEVICES'!$H$3:$H$987,""),"Peripheral",_xlfn.XLOOKUP($K979&amp;"",PERIPHERAL!$B$3:$B$954&amp;"",PERIPHERAL!$H$3:$H$954,""),"Utilities",_xlfn.XLOOKUP($K979&amp;"",UTILITIES!$B$3:$B$953&amp;"",UTILITIES!$G$3:$G$953,""),"IOT",_xlfn.XLOOKUP($K979&amp;"",IOT!$B$3:$B$1012&amp;"",IOT!$H$3:$H$1012,""),"Server",_xlfn.XLOOKUP($K979&amp;"",SERVER!$B$3:$B$1009&amp;"",SERVER!$H$3:$H$1009,""),""),IF(TRIM(_xlpm.srcCat)&lt;&gt;TRIM($J979),"",_xlfn.SWITCH($I979,"Computer",_xlfn.XLOOKUP($K979&amp;"",COMPUTER!$B$3:$B$1009&amp;"",COMPUTER!$K$3:$K$1009,""),"Display",_xlfn.XLOOKUP($K979&amp;"",DISPLAY!$B$3:$B$1000&amp;"",DISPLAY!$L$3:$L$1000,""),"Network Device",_xlfn.XLOOKUP($K979&amp;"",'NETWORK-DEVICES'!$B$3:$B$987&amp;"",'NETWORK-DEVICES'!$K$3:$K$987,""),"Peripheral",_xlfn.XLOOKUP($K979&amp;"",PERIPHERAL!$B$3:$B$954&amp;"",PERIPHERAL!$K$3:$K$954,""),"Utilities",_xlfn.XLOOKUP($K979&amp;"",UTILITIES!$B$3:$B$953&amp;"",UTILITIES!$J$3:$J$953,""),"IOT",_xlfn.XLOOKUP($K979&amp;"",IOT!$B$3:$B$1012&amp;"",IOT!$K$4:$K$1012,""),"Server",_xlfn.XLOOKUP($K979&amp;"",SERVER!$B$3:$B$1009&amp;"",SERVER!$K$3:$K$1009,""),""))))</f>
        <v/>
      </c>
      <c r="O979" s="1" t="str" cm="1">
        <f t="array" ref="O979">IF(OR($K979="",$I979="",$J979=""),"",_xlfn.LET(_xlpm.srcCat,_xlfn.SWITCH($I979,"Computer",_xlfn.XLOOKUP($K979&amp;"",COMPUTER!$B$3:$B$1009&amp;"",COMPUTER!$H$3:$H$1009,""),"Display",_xlfn.XLOOKUP($K979&amp;"",DISPLAY!$B$3:$B$1000&amp;"",DISPLAY!$H$3:$H$1000,""),"Network Device",_xlfn.XLOOKUP($K979&amp;"",'NETWORK-DEVICES'!$B$3:$B$987&amp;"",'NETWORK-DEVICES'!$H$3:$H$987,""),"Peripheral",_xlfn.XLOOKUP($K979&amp;"",PERIPHERAL!$B$3:$B$954&amp;"",PERIPHERAL!$H$3:$H$954,""),"Utilities",_xlfn.XLOOKUP($K979&amp;"",UTILITIES!$B$3:$B$953&amp;"",UTILITIES!$G$3:$G$953,""),"IOT",_xlfn.XLOOKUP($K979&amp;"",IOT!$B$3:$B$1012&amp;"",IOT!$H$3:$H$1012,""),"Server",_xlfn.XLOOKUP($K979&amp;"",SERVER!$B$3:$B$1009&amp;"",SERVER!$H$3:$H$1009,""),""),IF(TRIM(_xlpm.srcCat)&lt;&gt;TRIM($J979),"",_xlfn.SWITCH($I979,"Computer",_xlfn.XLOOKUP($K979&amp;"",COMPUTER!$B$3:$B$1009&amp;"",COMPUTER!$E$3:$E$1009,""),"Display",_xlfn.XLOOKUP($K979&amp;"",DISPLAY!$B$3:$B$1000&amp;"",DISPLAY!$E$3:$E$1000,""),"Network Device",_xlfn.XLOOKUP($K979&amp;"",'NETWORK-DEVICES'!$B$3:$B$987&amp;"",'NETWORK-DEVICES'!$E$3:$E$987,""),"Peripheral",_xlfn.XLOOKUP($K979&amp;"",PERIPHERAL!$B$3:$B$954&amp;"",PERIPHERAL!$E$3:$E$954,""),"Utilities",_xlfn.XLOOKUP($K979&amp;"",UTILITIES!$B$3:$B$953&amp;"",UTILITIES!$E$3:$E$953,""),"IOT",_xlfn.XLOOKUP($K979&amp;"",IOT!$B$3:$B$1012&amp;"",IOT!$E$3:$E$1012,""),"Server",_xlfn.XLOOKUP($K979&amp;"",SERVER!$B$3:$B$1009&amp;"",SERVER!$E$3:$E$1009,""),""))))</f>
        <v/>
      </c>
      <c r="Q979" s="1" t="str" cm="1">
        <f t="array" ref="Q979">IF(OR($K979="",$I979="",$J979=""),"",_xlfn.LET(_xlpm.srcCat,_xlfn.SWITCH($I979,"Computer",_xlfn.XLOOKUP($K979&amp;"",COMPUTER!$B$3:$B$1009&amp;"",COMPUTER!$H$3:$H$1009,""),"Display",_xlfn.XLOOKUP($K979&amp;"",DISPLAY!$B$3:$B$1000&amp;"",DISPLAY!$H$3:$H$1000,""),"Network Device",_xlfn.XLOOKUP($K979&amp;"",'NETWORK-DEVICES'!$B$3:$B$987&amp;"",'NETWORK-DEVICES'!$H$3:$H$987,""),"Peripheral",_xlfn.XLOOKUP($K979&amp;"",PERIPHERAL!$B$3:$B$954&amp;"",PERIPHERAL!$H$3:$H$954,""),"Utilities",_xlfn.XLOOKUP($K979&amp;"",UTILITIES!$B$3:$B$953&amp;"",UTILITIES!$G$3:$G$953,""),"IOT",_xlfn.XLOOKUP($K979&amp;"",IOT!$B$3:$B$1012&amp;"",IOT!$H$3:$H$1012,""),"Server",_xlfn.XLOOKUP($K979&amp;"",SERVER!$B$3:$B$1009&amp;"",SERVER!$H$3:$H$1009,""),""),IF(TRIM(_xlpm.srcCat)&lt;&gt;TRIM($J979),"",_xlfn.SWITCH($I979,"Computer",_xlfn.XLOOKUP($K979&amp;"",COMPUTER!$B$3:$B$1009&amp;"",COMPUTER!$AM$3:$AM$1009,""),"Display",_xlfn.XLOOKUP($K979&amp;"",DISPLAY!$B$3:$B$1000&amp;"",DISPLAY!$V$3:$V$1000,""),"Network Device",_xlfn.XLOOKUP($K979&amp;"",'NETWORK-DEVICES'!$B$3:$B$987&amp;"",'NETWORK-DEVICES'!$AF$3:$AF$987,""),"Peripheral",_xlfn.XLOOKUP($K979&amp;"",PERIPHERAL!$B$3:$B$954&amp;"",PERIPHERAL!$Y$3:$Y$954,""),"Utilities",_xlfn.XLOOKUP($K979&amp;"",UTILITIES!$B$3:$B$953&amp;"",UTILITIES!$O$3:$O$953,""),"IOT",_xlfn.XLOOKUP($K979&amp;"",IOT!$B$3:$B$1012&amp;"",IOT!$AB$3:$AB$1012,""),"Server",_xlfn.XLOOKUP($K979&amp;"",SERVER!$B$3:$B$1009&amp;"",SERVER!$AB$3:$AB$1009,""),""))))</f>
        <v/>
      </c>
      <c r="R979" s="43" t="str">
        <f>IF(tbl_handover[[#This Row],[Asset Code]]="","",COUNTIF(tbl_handover[Asset Code],tbl_handover[[#This Row],[Asset Code]]))</f>
        <v/>
      </c>
    </row>
    <row r="980" spans="1:18" x14ac:dyDescent="0.25">
      <c r="A980" s="43" t="str">
        <f>IF(B980&lt;&gt;"",SUBTOTAL(3,$B$1:B979),"")</f>
        <v/>
      </c>
      <c r="C980" s="74"/>
      <c r="D980" s="74"/>
      <c r="G980" s="1"/>
      <c r="K980" s="42"/>
      <c r="L980" t="str" cm="1">
        <f t="array" ref="L980">IF($K980="","",_xlfn.SWITCH($I980,"Computer",_xlfn.XLOOKUP($K980&amp;"",COMPUTER!$B$3:$B$1009&amp;"",COMPUTER!$I$3:$I$1009,""),"Display",_xlfn.XLOOKUP($K980&amp;"",DISPLAY!$B$3:$B$1000&amp;"",DISPLAY!$J$3:$J$1000,""),"Network Device",_xlfn.XLOOKUP($K980&amp;"",'NETWORK-DEVICES'!$B$3:$B$987&amp;"",'NETWORK-DEVICES'!$I$3:$I$987,""),"Peripheral",_xlfn.XLOOKUP($K980&amp;"",PERIPHERAL!$B$3:$B$954&amp;"",PERIPHERAL!$I$3:$I$954,""),"Utilities",_xlfn.XLOOKUP($K980&amp;"",UTILITIES!$B$3:$B$953&amp;"",UTILITIES!$H$3:$H$953,""),"IOT",_xlfn.XLOOKUP($K980&amp;"",IOT!$B$3:$B$1012&amp;"",IOT!$I$3:$I$1012,""),"SERVER",_xlfn.XLOOKUP($K980&amp;"",SERVER!$B$3:$B$1009&amp;"",SERVER!$I$3:$I$1009,""),""))</f>
        <v/>
      </c>
      <c r="M980" t="str" cm="1">
        <f t="array" ref="M980">IF($K980="","",_xlfn.SWITCH($I980,"Computer",_xlfn.XLOOKUP($K980&amp;"",COMPUTER!$B$3:$B$1009&amp;"",COMPUTER!$J$3:$J$1009,""),"Display",_xlfn.XLOOKUP($K980&amp;"",DISPLAY!$B$3:$B$1000&amp;"",DISPLAY!$K$3:$K$1000,""),"Network Device",_xlfn.XLOOKUP($K980&amp;"",'NETWORK-DEVICES'!$B$3:$B$987&amp;"",'NETWORK-DEVICES'!$I$3:$I$987,""),"Peripheral",_xlfn.XLOOKUP($K980&amp;"",PERIPHERAL!$B$3:$B$954&amp;"",PERIPHERAL!$J$3:$J$954,""),"Utilities",_xlfn.XLOOKUP($K980&amp;"",UTILITIES!$B$3:$B$953&amp;"",UTILITIES!$I$3:$I$953,""),"IOT",_xlfn.XLOOKUP($K980&amp;"",IOT!$B$3:$B$1012&amp;"",IOT!$J$3:$J$1012,""),"Server",_xlfn.XLOOKUP($K980&amp;"",SERVER!$B$3:$B$1009&amp;"",SERVER!$J$3:$J$1009,""),""))</f>
        <v/>
      </c>
      <c r="N980" s="1" t="str" cm="1">
        <f t="array" ref="N980">IF(OR($K980="",$I980="",$J980=""),"",_xlfn.LET(_xlpm.srcCat,_xlfn.SWITCH($I980,"Computer",_xlfn.XLOOKUP($K980&amp;"",COMPUTER!$B$3:$B$1009&amp;"",COMPUTER!$H$3:$H$1009,""),"Display",_xlfn.XLOOKUP($K980&amp;"",DISPLAY!$B$3:$B$1000&amp;"",DISPLAY!$H$3:$H$1000,""),"Network Device",_xlfn.XLOOKUP($K980&amp;"",'NETWORK-DEVICES'!$B$3:$B$987&amp;"",'NETWORK-DEVICES'!$H$3:$H$987,""),"Peripheral",_xlfn.XLOOKUP($K980&amp;"",PERIPHERAL!$B$3:$B$954&amp;"",PERIPHERAL!$H$3:$H$954,""),"Utilities",_xlfn.XLOOKUP($K980&amp;"",UTILITIES!$B$3:$B$953&amp;"",UTILITIES!$G$3:$G$953,""),"IOT",_xlfn.XLOOKUP($K980&amp;"",IOT!$B$3:$B$1012&amp;"",IOT!$H$3:$H$1012,""),"Server",_xlfn.XLOOKUP($K980&amp;"",SERVER!$B$3:$B$1009&amp;"",SERVER!$H$3:$H$1009,""),""),IF(TRIM(_xlpm.srcCat)&lt;&gt;TRIM($J980),"",_xlfn.SWITCH($I980,"Computer",_xlfn.XLOOKUP($K980&amp;"",COMPUTER!$B$3:$B$1009&amp;"",COMPUTER!$K$3:$K$1009,""),"Display",_xlfn.XLOOKUP($K980&amp;"",DISPLAY!$B$3:$B$1000&amp;"",DISPLAY!$L$3:$L$1000,""),"Network Device",_xlfn.XLOOKUP($K980&amp;"",'NETWORK-DEVICES'!$B$3:$B$987&amp;"",'NETWORK-DEVICES'!$K$3:$K$987,""),"Peripheral",_xlfn.XLOOKUP($K980&amp;"",PERIPHERAL!$B$3:$B$954&amp;"",PERIPHERAL!$K$3:$K$954,""),"Utilities",_xlfn.XLOOKUP($K980&amp;"",UTILITIES!$B$3:$B$953&amp;"",UTILITIES!$J$3:$J$953,""),"IOT",_xlfn.XLOOKUP($K980&amp;"",IOT!$B$3:$B$1012&amp;"",IOT!$K$4:$K$1012,""),"Server",_xlfn.XLOOKUP($K980&amp;"",SERVER!$B$3:$B$1009&amp;"",SERVER!$K$3:$K$1009,""),""))))</f>
        <v/>
      </c>
      <c r="O980" s="1" t="str" cm="1">
        <f t="array" ref="O980">IF(OR($K980="",$I980="",$J980=""),"",_xlfn.LET(_xlpm.srcCat,_xlfn.SWITCH($I980,"Computer",_xlfn.XLOOKUP($K980&amp;"",COMPUTER!$B$3:$B$1009&amp;"",COMPUTER!$H$3:$H$1009,""),"Display",_xlfn.XLOOKUP($K980&amp;"",DISPLAY!$B$3:$B$1000&amp;"",DISPLAY!$H$3:$H$1000,""),"Network Device",_xlfn.XLOOKUP($K980&amp;"",'NETWORK-DEVICES'!$B$3:$B$987&amp;"",'NETWORK-DEVICES'!$H$3:$H$987,""),"Peripheral",_xlfn.XLOOKUP($K980&amp;"",PERIPHERAL!$B$3:$B$954&amp;"",PERIPHERAL!$H$3:$H$954,""),"Utilities",_xlfn.XLOOKUP($K980&amp;"",UTILITIES!$B$3:$B$953&amp;"",UTILITIES!$G$3:$G$953,""),"IOT",_xlfn.XLOOKUP($K980&amp;"",IOT!$B$3:$B$1012&amp;"",IOT!$H$3:$H$1012,""),"Server",_xlfn.XLOOKUP($K980&amp;"",SERVER!$B$3:$B$1009&amp;"",SERVER!$H$3:$H$1009,""),""),IF(TRIM(_xlpm.srcCat)&lt;&gt;TRIM($J980),"",_xlfn.SWITCH($I980,"Computer",_xlfn.XLOOKUP($K980&amp;"",COMPUTER!$B$3:$B$1009&amp;"",COMPUTER!$E$3:$E$1009,""),"Display",_xlfn.XLOOKUP($K980&amp;"",DISPLAY!$B$3:$B$1000&amp;"",DISPLAY!$E$3:$E$1000,""),"Network Device",_xlfn.XLOOKUP($K980&amp;"",'NETWORK-DEVICES'!$B$3:$B$987&amp;"",'NETWORK-DEVICES'!$E$3:$E$987,""),"Peripheral",_xlfn.XLOOKUP($K980&amp;"",PERIPHERAL!$B$3:$B$954&amp;"",PERIPHERAL!$E$3:$E$954,""),"Utilities",_xlfn.XLOOKUP($K980&amp;"",UTILITIES!$B$3:$B$953&amp;"",UTILITIES!$E$3:$E$953,""),"IOT",_xlfn.XLOOKUP($K980&amp;"",IOT!$B$3:$B$1012&amp;"",IOT!$E$3:$E$1012,""),"Server",_xlfn.XLOOKUP($K980&amp;"",SERVER!$B$3:$B$1009&amp;"",SERVER!$E$3:$E$1009,""),""))))</f>
        <v/>
      </c>
      <c r="Q980" s="1" t="str" cm="1">
        <f t="array" ref="Q980">IF(OR($K980="",$I980="",$J980=""),"",_xlfn.LET(_xlpm.srcCat,_xlfn.SWITCH($I980,"Computer",_xlfn.XLOOKUP($K980&amp;"",COMPUTER!$B$3:$B$1009&amp;"",COMPUTER!$H$3:$H$1009,""),"Display",_xlfn.XLOOKUP($K980&amp;"",DISPLAY!$B$3:$B$1000&amp;"",DISPLAY!$H$3:$H$1000,""),"Network Device",_xlfn.XLOOKUP($K980&amp;"",'NETWORK-DEVICES'!$B$3:$B$987&amp;"",'NETWORK-DEVICES'!$H$3:$H$987,""),"Peripheral",_xlfn.XLOOKUP($K980&amp;"",PERIPHERAL!$B$3:$B$954&amp;"",PERIPHERAL!$H$3:$H$954,""),"Utilities",_xlfn.XLOOKUP($K980&amp;"",UTILITIES!$B$3:$B$953&amp;"",UTILITIES!$G$3:$G$953,""),"IOT",_xlfn.XLOOKUP($K980&amp;"",IOT!$B$3:$B$1012&amp;"",IOT!$H$3:$H$1012,""),"Server",_xlfn.XLOOKUP($K980&amp;"",SERVER!$B$3:$B$1009&amp;"",SERVER!$H$3:$H$1009,""),""),IF(TRIM(_xlpm.srcCat)&lt;&gt;TRIM($J980),"",_xlfn.SWITCH($I980,"Computer",_xlfn.XLOOKUP($K980&amp;"",COMPUTER!$B$3:$B$1009&amp;"",COMPUTER!$AM$3:$AM$1009,""),"Display",_xlfn.XLOOKUP($K980&amp;"",DISPLAY!$B$3:$B$1000&amp;"",DISPLAY!$V$3:$V$1000,""),"Network Device",_xlfn.XLOOKUP($K980&amp;"",'NETWORK-DEVICES'!$B$3:$B$987&amp;"",'NETWORK-DEVICES'!$AF$3:$AF$987,""),"Peripheral",_xlfn.XLOOKUP($K980&amp;"",PERIPHERAL!$B$3:$B$954&amp;"",PERIPHERAL!$Y$3:$Y$954,""),"Utilities",_xlfn.XLOOKUP($K980&amp;"",UTILITIES!$B$3:$B$953&amp;"",UTILITIES!$O$3:$O$953,""),"IOT",_xlfn.XLOOKUP($K980&amp;"",IOT!$B$3:$B$1012&amp;"",IOT!$AB$3:$AB$1012,""),"Server",_xlfn.XLOOKUP($K980&amp;"",SERVER!$B$3:$B$1009&amp;"",SERVER!$AB$3:$AB$1009,""),""))))</f>
        <v/>
      </c>
      <c r="R980" s="43" t="str">
        <f>IF(tbl_handover[[#This Row],[Asset Code]]="","",COUNTIF(tbl_handover[Asset Code],tbl_handover[[#This Row],[Asset Code]]))</f>
        <v/>
      </c>
    </row>
    <row r="981" spans="1:18" x14ac:dyDescent="0.25">
      <c r="A981" s="43" t="str">
        <f>IF(B981&lt;&gt;"",SUBTOTAL(3,$B$1:B980),"")</f>
        <v/>
      </c>
      <c r="C981" s="74"/>
      <c r="D981" s="74"/>
      <c r="G981" s="1"/>
      <c r="K981" s="42"/>
      <c r="L981" t="str" cm="1">
        <f t="array" ref="L981">IF($K981="","",_xlfn.SWITCH($I981,"Computer",_xlfn.XLOOKUP($K981&amp;"",COMPUTER!$B$3:$B$1009&amp;"",COMPUTER!$I$3:$I$1009,""),"Display",_xlfn.XLOOKUP($K981&amp;"",DISPLAY!$B$3:$B$1000&amp;"",DISPLAY!$J$3:$J$1000,""),"Network Device",_xlfn.XLOOKUP($K981&amp;"",'NETWORK-DEVICES'!$B$3:$B$987&amp;"",'NETWORK-DEVICES'!$I$3:$I$987,""),"Peripheral",_xlfn.XLOOKUP($K981&amp;"",PERIPHERAL!$B$3:$B$954&amp;"",PERIPHERAL!$I$3:$I$954,""),"Utilities",_xlfn.XLOOKUP($K981&amp;"",UTILITIES!$B$3:$B$953&amp;"",UTILITIES!$H$3:$H$953,""),"IOT",_xlfn.XLOOKUP($K981&amp;"",IOT!$B$3:$B$1012&amp;"",IOT!$I$3:$I$1012,""),"SERVER",_xlfn.XLOOKUP($K981&amp;"",SERVER!$B$3:$B$1009&amp;"",SERVER!$I$3:$I$1009,""),""))</f>
        <v/>
      </c>
      <c r="M981" t="str" cm="1">
        <f t="array" ref="M981">IF($K981="","",_xlfn.SWITCH($I981,"Computer",_xlfn.XLOOKUP($K981&amp;"",COMPUTER!$B$3:$B$1009&amp;"",COMPUTER!$J$3:$J$1009,""),"Display",_xlfn.XLOOKUP($K981&amp;"",DISPLAY!$B$3:$B$1000&amp;"",DISPLAY!$K$3:$K$1000,""),"Network Device",_xlfn.XLOOKUP($K981&amp;"",'NETWORK-DEVICES'!$B$3:$B$987&amp;"",'NETWORK-DEVICES'!$I$3:$I$987,""),"Peripheral",_xlfn.XLOOKUP($K981&amp;"",PERIPHERAL!$B$3:$B$954&amp;"",PERIPHERAL!$J$3:$J$954,""),"Utilities",_xlfn.XLOOKUP($K981&amp;"",UTILITIES!$B$3:$B$953&amp;"",UTILITIES!$I$3:$I$953,""),"IOT",_xlfn.XLOOKUP($K981&amp;"",IOT!$B$3:$B$1012&amp;"",IOT!$J$3:$J$1012,""),"Server",_xlfn.XLOOKUP($K981&amp;"",SERVER!$B$3:$B$1009&amp;"",SERVER!$J$3:$J$1009,""),""))</f>
        <v/>
      </c>
      <c r="N981" s="1" t="str" cm="1">
        <f t="array" ref="N981">IF(OR($K981="",$I981="",$J981=""),"",_xlfn.LET(_xlpm.srcCat,_xlfn.SWITCH($I981,"Computer",_xlfn.XLOOKUP($K981&amp;"",COMPUTER!$B$3:$B$1009&amp;"",COMPUTER!$H$3:$H$1009,""),"Display",_xlfn.XLOOKUP($K981&amp;"",DISPLAY!$B$3:$B$1000&amp;"",DISPLAY!$H$3:$H$1000,""),"Network Device",_xlfn.XLOOKUP($K981&amp;"",'NETWORK-DEVICES'!$B$3:$B$987&amp;"",'NETWORK-DEVICES'!$H$3:$H$987,""),"Peripheral",_xlfn.XLOOKUP($K981&amp;"",PERIPHERAL!$B$3:$B$954&amp;"",PERIPHERAL!$H$3:$H$954,""),"Utilities",_xlfn.XLOOKUP($K981&amp;"",UTILITIES!$B$3:$B$953&amp;"",UTILITIES!$G$3:$G$953,""),"IOT",_xlfn.XLOOKUP($K981&amp;"",IOT!$B$3:$B$1012&amp;"",IOT!$H$3:$H$1012,""),"Server",_xlfn.XLOOKUP($K981&amp;"",SERVER!$B$3:$B$1009&amp;"",SERVER!$H$3:$H$1009,""),""),IF(TRIM(_xlpm.srcCat)&lt;&gt;TRIM($J981),"",_xlfn.SWITCH($I981,"Computer",_xlfn.XLOOKUP($K981&amp;"",COMPUTER!$B$3:$B$1009&amp;"",COMPUTER!$K$3:$K$1009,""),"Display",_xlfn.XLOOKUP($K981&amp;"",DISPLAY!$B$3:$B$1000&amp;"",DISPLAY!$L$3:$L$1000,""),"Network Device",_xlfn.XLOOKUP($K981&amp;"",'NETWORK-DEVICES'!$B$3:$B$987&amp;"",'NETWORK-DEVICES'!$K$3:$K$987,""),"Peripheral",_xlfn.XLOOKUP($K981&amp;"",PERIPHERAL!$B$3:$B$954&amp;"",PERIPHERAL!$K$3:$K$954,""),"Utilities",_xlfn.XLOOKUP($K981&amp;"",UTILITIES!$B$3:$B$953&amp;"",UTILITIES!$J$3:$J$953,""),"IOT",_xlfn.XLOOKUP($K981&amp;"",IOT!$B$3:$B$1012&amp;"",IOT!$K$4:$K$1012,""),"Server",_xlfn.XLOOKUP($K981&amp;"",SERVER!$B$3:$B$1009&amp;"",SERVER!$K$3:$K$1009,""),""))))</f>
        <v/>
      </c>
      <c r="O981" s="1" t="str" cm="1">
        <f t="array" ref="O981">IF(OR($K981="",$I981="",$J981=""),"",_xlfn.LET(_xlpm.srcCat,_xlfn.SWITCH($I981,"Computer",_xlfn.XLOOKUP($K981&amp;"",COMPUTER!$B$3:$B$1009&amp;"",COMPUTER!$H$3:$H$1009,""),"Display",_xlfn.XLOOKUP($K981&amp;"",DISPLAY!$B$3:$B$1000&amp;"",DISPLAY!$H$3:$H$1000,""),"Network Device",_xlfn.XLOOKUP($K981&amp;"",'NETWORK-DEVICES'!$B$3:$B$987&amp;"",'NETWORK-DEVICES'!$H$3:$H$987,""),"Peripheral",_xlfn.XLOOKUP($K981&amp;"",PERIPHERAL!$B$3:$B$954&amp;"",PERIPHERAL!$H$3:$H$954,""),"Utilities",_xlfn.XLOOKUP($K981&amp;"",UTILITIES!$B$3:$B$953&amp;"",UTILITIES!$G$3:$G$953,""),"IOT",_xlfn.XLOOKUP($K981&amp;"",IOT!$B$3:$B$1012&amp;"",IOT!$H$3:$H$1012,""),"Server",_xlfn.XLOOKUP($K981&amp;"",SERVER!$B$3:$B$1009&amp;"",SERVER!$H$3:$H$1009,""),""),IF(TRIM(_xlpm.srcCat)&lt;&gt;TRIM($J981),"",_xlfn.SWITCH($I981,"Computer",_xlfn.XLOOKUP($K981&amp;"",COMPUTER!$B$3:$B$1009&amp;"",COMPUTER!$E$3:$E$1009,""),"Display",_xlfn.XLOOKUP($K981&amp;"",DISPLAY!$B$3:$B$1000&amp;"",DISPLAY!$E$3:$E$1000,""),"Network Device",_xlfn.XLOOKUP($K981&amp;"",'NETWORK-DEVICES'!$B$3:$B$987&amp;"",'NETWORK-DEVICES'!$E$3:$E$987,""),"Peripheral",_xlfn.XLOOKUP($K981&amp;"",PERIPHERAL!$B$3:$B$954&amp;"",PERIPHERAL!$E$3:$E$954,""),"Utilities",_xlfn.XLOOKUP($K981&amp;"",UTILITIES!$B$3:$B$953&amp;"",UTILITIES!$E$3:$E$953,""),"IOT",_xlfn.XLOOKUP($K981&amp;"",IOT!$B$3:$B$1012&amp;"",IOT!$E$3:$E$1012,""),"Server",_xlfn.XLOOKUP($K981&amp;"",SERVER!$B$3:$B$1009&amp;"",SERVER!$E$3:$E$1009,""),""))))</f>
        <v/>
      </c>
      <c r="Q981" s="1" t="str" cm="1">
        <f t="array" ref="Q981">IF(OR($K981="",$I981="",$J981=""),"",_xlfn.LET(_xlpm.srcCat,_xlfn.SWITCH($I981,"Computer",_xlfn.XLOOKUP($K981&amp;"",COMPUTER!$B$3:$B$1009&amp;"",COMPUTER!$H$3:$H$1009,""),"Display",_xlfn.XLOOKUP($K981&amp;"",DISPLAY!$B$3:$B$1000&amp;"",DISPLAY!$H$3:$H$1000,""),"Network Device",_xlfn.XLOOKUP($K981&amp;"",'NETWORK-DEVICES'!$B$3:$B$987&amp;"",'NETWORK-DEVICES'!$H$3:$H$987,""),"Peripheral",_xlfn.XLOOKUP($K981&amp;"",PERIPHERAL!$B$3:$B$954&amp;"",PERIPHERAL!$H$3:$H$954,""),"Utilities",_xlfn.XLOOKUP($K981&amp;"",UTILITIES!$B$3:$B$953&amp;"",UTILITIES!$G$3:$G$953,""),"IOT",_xlfn.XLOOKUP($K981&amp;"",IOT!$B$3:$B$1012&amp;"",IOT!$H$3:$H$1012,""),"Server",_xlfn.XLOOKUP($K981&amp;"",SERVER!$B$3:$B$1009&amp;"",SERVER!$H$3:$H$1009,""),""),IF(TRIM(_xlpm.srcCat)&lt;&gt;TRIM($J981),"",_xlfn.SWITCH($I981,"Computer",_xlfn.XLOOKUP($K981&amp;"",COMPUTER!$B$3:$B$1009&amp;"",COMPUTER!$AM$3:$AM$1009,""),"Display",_xlfn.XLOOKUP($K981&amp;"",DISPLAY!$B$3:$B$1000&amp;"",DISPLAY!$V$3:$V$1000,""),"Network Device",_xlfn.XLOOKUP($K981&amp;"",'NETWORK-DEVICES'!$B$3:$B$987&amp;"",'NETWORK-DEVICES'!$AF$3:$AF$987,""),"Peripheral",_xlfn.XLOOKUP($K981&amp;"",PERIPHERAL!$B$3:$B$954&amp;"",PERIPHERAL!$Y$3:$Y$954,""),"Utilities",_xlfn.XLOOKUP($K981&amp;"",UTILITIES!$B$3:$B$953&amp;"",UTILITIES!$O$3:$O$953,""),"IOT",_xlfn.XLOOKUP($K981&amp;"",IOT!$B$3:$B$1012&amp;"",IOT!$AB$3:$AB$1012,""),"Server",_xlfn.XLOOKUP($K981&amp;"",SERVER!$B$3:$B$1009&amp;"",SERVER!$AB$3:$AB$1009,""),""))))</f>
        <v/>
      </c>
      <c r="R981" s="43" t="str">
        <f>IF(tbl_handover[[#This Row],[Asset Code]]="","",COUNTIF(tbl_handover[Asset Code],tbl_handover[[#This Row],[Asset Code]]))</f>
        <v/>
      </c>
    </row>
    <row r="982" spans="1:18" x14ac:dyDescent="0.25">
      <c r="A982" s="43" t="str">
        <f>IF(B982&lt;&gt;"",SUBTOTAL(3,$B$1:B981),"")</f>
        <v/>
      </c>
      <c r="C982" s="74"/>
      <c r="D982" s="74"/>
      <c r="G982" s="1"/>
      <c r="K982" s="42"/>
      <c r="L982" t="str" cm="1">
        <f t="array" ref="L982">IF($K982="","",_xlfn.SWITCH($I982,"Computer",_xlfn.XLOOKUP($K982&amp;"",COMPUTER!$B$3:$B$1009&amp;"",COMPUTER!$I$3:$I$1009,""),"Display",_xlfn.XLOOKUP($K982&amp;"",DISPLAY!$B$3:$B$1000&amp;"",DISPLAY!$J$3:$J$1000,""),"Network Device",_xlfn.XLOOKUP($K982&amp;"",'NETWORK-DEVICES'!$B$3:$B$987&amp;"",'NETWORK-DEVICES'!$I$3:$I$987,""),"Peripheral",_xlfn.XLOOKUP($K982&amp;"",PERIPHERAL!$B$3:$B$954&amp;"",PERIPHERAL!$I$3:$I$954,""),"Utilities",_xlfn.XLOOKUP($K982&amp;"",UTILITIES!$B$3:$B$953&amp;"",UTILITIES!$H$3:$H$953,""),"IOT",_xlfn.XLOOKUP($K982&amp;"",IOT!$B$3:$B$1012&amp;"",IOT!$I$3:$I$1012,""),"SERVER",_xlfn.XLOOKUP($K982&amp;"",SERVER!$B$3:$B$1009&amp;"",SERVER!$I$3:$I$1009,""),""))</f>
        <v/>
      </c>
      <c r="M982" t="str" cm="1">
        <f t="array" ref="M982">IF($K982="","",_xlfn.SWITCH($I982,"Computer",_xlfn.XLOOKUP($K982&amp;"",COMPUTER!$B$3:$B$1009&amp;"",COMPUTER!$J$3:$J$1009,""),"Display",_xlfn.XLOOKUP($K982&amp;"",DISPLAY!$B$3:$B$1000&amp;"",DISPLAY!$K$3:$K$1000,""),"Network Device",_xlfn.XLOOKUP($K982&amp;"",'NETWORK-DEVICES'!$B$3:$B$987&amp;"",'NETWORK-DEVICES'!$I$3:$I$987,""),"Peripheral",_xlfn.XLOOKUP($K982&amp;"",PERIPHERAL!$B$3:$B$954&amp;"",PERIPHERAL!$J$3:$J$954,""),"Utilities",_xlfn.XLOOKUP($K982&amp;"",UTILITIES!$B$3:$B$953&amp;"",UTILITIES!$I$3:$I$953,""),"IOT",_xlfn.XLOOKUP($K982&amp;"",IOT!$B$3:$B$1012&amp;"",IOT!$J$3:$J$1012,""),"Server",_xlfn.XLOOKUP($K982&amp;"",SERVER!$B$3:$B$1009&amp;"",SERVER!$J$3:$J$1009,""),""))</f>
        <v/>
      </c>
      <c r="N982" s="1" t="str" cm="1">
        <f t="array" ref="N982">IF(OR($K982="",$I982="",$J982=""),"",_xlfn.LET(_xlpm.srcCat,_xlfn.SWITCH($I982,"Computer",_xlfn.XLOOKUP($K982&amp;"",COMPUTER!$B$3:$B$1009&amp;"",COMPUTER!$H$3:$H$1009,""),"Display",_xlfn.XLOOKUP($K982&amp;"",DISPLAY!$B$3:$B$1000&amp;"",DISPLAY!$H$3:$H$1000,""),"Network Device",_xlfn.XLOOKUP($K982&amp;"",'NETWORK-DEVICES'!$B$3:$B$987&amp;"",'NETWORK-DEVICES'!$H$3:$H$987,""),"Peripheral",_xlfn.XLOOKUP($K982&amp;"",PERIPHERAL!$B$3:$B$954&amp;"",PERIPHERAL!$H$3:$H$954,""),"Utilities",_xlfn.XLOOKUP($K982&amp;"",UTILITIES!$B$3:$B$953&amp;"",UTILITIES!$G$3:$G$953,""),"IOT",_xlfn.XLOOKUP($K982&amp;"",IOT!$B$3:$B$1012&amp;"",IOT!$H$3:$H$1012,""),"Server",_xlfn.XLOOKUP($K982&amp;"",SERVER!$B$3:$B$1009&amp;"",SERVER!$H$3:$H$1009,""),""),IF(TRIM(_xlpm.srcCat)&lt;&gt;TRIM($J982),"",_xlfn.SWITCH($I982,"Computer",_xlfn.XLOOKUP($K982&amp;"",COMPUTER!$B$3:$B$1009&amp;"",COMPUTER!$K$3:$K$1009,""),"Display",_xlfn.XLOOKUP($K982&amp;"",DISPLAY!$B$3:$B$1000&amp;"",DISPLAY!$L$3:$L$1000,""),"Network Device",_xlfn.XLOOKUP($K982&amp;"",'NETWORK-DEVICES'!$B$3:$B$987&amp;"",'NETWORK-DEVICES'!$K$3:$K$987,""),"Peripheral",_xlfn.XLOOKUP($K982&amp;"",PERIPHERAL!$B$3:$B$954&amp;"",PERIPHERAL!$K$3:$K$954,""),"Utilities",_xlfn.XLOOKUP($K982&amp;"",UTILITIES!$B$3:$B$953&amp;"",UTILITIES!$J$3:$J$953,""),"IOT",_xlfn.XLOOKUP($K982&amp;"",IOT!$B$3:$B$1012&amp;"",IOT!$K$4:$K$1012,""),"Server",_xlfn.XLOOKUP($K982&amp;"",SERVER!$B$3:$B$1009&amp;"",SERVER!$K$3:$K$1009,""),""))))</f>
        <v/>
      </c>
      <c r="O982" s="1" t="str" cm="1">
        <f t="array" ref="O982">IF(OR($K982="",$I982="",$J982=""),"",_xlfn.LET(_xlpm.srcCat,_xlfn.SWITCH($I982,"Computer",_xlfn.XLOOKUP($K982&amp;"",COMPUTER!$B$3:$B$1009&amp;"",COMPUTER!$H$3:$H$1009,""),"Display",_xlfn.XLOOKUP($K982&amp;"",DISPLAY!$B$3:$B$1000&amp;"",DISPLAY!$H$3:$H$1000,""),"Network Device",_xlfn.XLOOKUP($K982&amp;"",'NETWORK-DEVICES'!$B$3:$B$987&amp;"",'NETWORK-DEVICES'!$H$3:$H$987,""),"Peripheral",_xlfn.XLOOKUP($K982&amp;"",PERIPHERAL!$B$3:$B$954&amp;"",PERIPHERAL!$H$3:$H$954,""),"Utilities",_xlfn.XLOOKUP($K982&amp;"",UTILITIES!$B$3:$B$953&amp;"",UTILITIES!$G$3:$G$953,""),"IOT",_xlfn.XLOOKUP($K982&amp;"",IOT!$B$3:$B$1012&amp;"",IOT!$H$3:$H$1012,""),"Server",_xlfn.XLOOKUP($K982&amp;"",SERVER!$B$3:$B$1009&amp;"",SERVER!$H$3:$H$1009,""),""),IF(TRIM(_xlpm.srcCat)&lt;&gt;TRIM($J982),"",_xlfn.SWITCH($I982,"Computer",_xlfn.XLOOKUP($K982&amp;"",COMPUTER!$B$3:$B$1009&amp;"",COMPUTER!$E$3:$E$1009,""),"Display",_xlfn.XLOOKUP($K982&amp;"",DISPLAY!$B$3:$B$1000&amp;"",DISPLAY!$E$3:$E$1000,""),"Network Device",_xlfn.XLOOKUP($K982&amp;"",'NETWORK-DEVICES'!$B$3:$B$987&amp;"",'NETWORK-DEVICES'!$E$3:$E$987,""),"Peripheral",_xlfn.XLOOKUP($K982&amp;"",PERIPHERAL!$B$3:$B$954&amp;"",PERIPHERAL!$E$3:$E$954,""),"Utilities",_xlfn.XLOOKUP($K982&amp;"",UTILITIES!$B$3:$B$953&amp;"",UTILITIES!$E$3:$E$953,""),"IOT",_xlfn.XLOOKUP($K982&amp;"",IOT!$B$3:$B$1012&amp;"",IOT!$E$3:$E$1012,""),"Server",_xlfn.XLOOKUP($K982&amp;"",SERVER!$B$3:$B$1009&amp;"",SERVER!$E$3:$E$1009,""),""))))</f>
        <v/>
      </c>
      <c r="Q982" s="1" t="str" cm="1">
        <f t="array" ref="Q982">IF(OR($K982="",$I982="",$J982=""),"",_xlfn.LET(_xlpm.srcCat,_xlfn.SWITCH($I982,"Computer",_xlfn.XLOOKUP($K982&amp;"",COMPUTER!$B$3:$B$1009&amp;"",COMPUTER!$H$3:$H$1009,""),"Display",_xlfn.XLOOKUP($K982&amp;"",DISPLAY!$B$3:$B$1000&amp;"",DISPLAY!$H$3:$H$1000,""),"Network Device",_xlfn.XLOOKUP($K982&amp;"",'NETWORK-DEVICES'!$B$3:$B$987&amp;"",'NETWORK-DEVICES'!$H$3:$H$987,""),"Peripheral",_xlfn.XLOOKUP($K982&amp;"",PERIPHERAL!$B$3:$B$954&amp;"",PERIPHERAL!$H$3:$H$954,""),"Utilities",_xlfn.XLOOKUP($K982&amp;"",UTILITIES!$B$3:$B$953&amp;"",UTILITIES!$G$3:$G$953,""),"IOT",_xlfn.XLOOKUP($K982&amp;"",IOT!$B$3:$B$1012&amp;"",IOT!$H$3:$H$1012,""),"Server",_xlfn.XLOOKUP($K982&amp;"",SERVER!$B$3:$B$1009&amp;"",SERVER!$H$3:$H$1009,""),""),IF(TRIM(_xlpm.srcCat)&lt;&gt;TRIM($J982),"",_xlfn.SWITCH($I982,"Computer",_xlfn.XLOOKUP($K982&amp;"",COMPUTER!$B$3:$B$1009&amp;"",COMPUTER!$AM$3:$AM$1009,""),"Display",_xlfn.XLOOKUP($K982&amp;"",DISPLAY!$B$3:$B$1000&amp;"",DISPLAY!$V$3:$V$1000,""),"Network Device",_xlfn.XLOOKUP($K982&amp;"",'NETWORK-DEVICES'!$B$3:$B$987&amp;"",'NETWORK-DEVICES'!$AF$3:$AF$987,""),"Peripheral",_xlfn.XLOOKUP($K982&amp;"",PERIPHERAL!$B$3:$B$954&amp;"",PERIPHERAL!$Y$3:$Y$954,""),"Utilities",_xlfn.XLOOKUP($K982&amp;"",UTILITIES!$B$3:$B$953&amp;"",UTILITIES!$O$3:$O$953,""),"IOT",_xlfn.XLOOKUP($K982&amp;"",IOT!$B$3:$B$1012&amp;"",IOT!$AB$3:$AB$1012,""),"Server",_xlfn.XLOOKUP($K982&amp;"",SERVER!$B$3:$B$1009&amp;"",SERVER!$AB$3:$AB$1009,""),""))))</f>
        <v/>
      </c>
      <c r="R982" s="43" t="str">
        <f>IF(tbl_handover[[#This Row],[Asset Code]]="","",COUNTIF(tbl_handover[Asset Code],tbl_handover[[#This Row],[Asset Code]]))</f>
        <v/>
      </c>
    </row>
    <row r="983" spans="1:18" x14ac:dyDescent="0.25">
      <c r="A983" s="43" t="str">
        <f>IF(B983&lt;&gt;"",SUBTOTAL(3,$B$1:B982),"")</f>
        <v/>
      </c>
      <c r="C983" s="74"/>
      <c r="D983" s="74"/>
      <c r="G983" s="1"/>
      <c r="K983" s="42"/>
      <c r="L983" t="str" cm="1">
        <f t="array" ref="L983">IF($K983="","",_xlfn.SWITCH($I983,"Computer",_xlfn.XLOOKUP($K983&amp;"",COMPUTER!$B$3:$B$1009&amp;"",COMPUTER!$I$3:$I$1009,""),"Display",_xlfn.XLOOKUP($K983&amp;"",DISPLAY!$B$3:$B$1000&amp;"",DISPLAY!$J$3:$J$1000,""),"Network Device",_xlfn.XLOOKUP($K983&amp;"",'NETWORK-DEVICES'!$B$3:$B$987&amp;"",'NETWORK-DEVICES'!$I$3:$I$987,""),"Peripheral",_xlfn.XLOOKUP($K983&amp;"",PERIPHERAL!$B$3:$B$954&amp;"",PERIPHERAL!$I$3:$I$954,""),"Utilities",_xlfn.XLOOKUP($K983&amp;"",UTILITIES!$B$3:$B$953&amp;"",UTILITIES!$H$3:$H$953,""),"IOT",_xlfn.XLOOKUP($K983&amp;"",IOT!$B$3:$B$1012&amp;"",IOT!$I$3:$I$1012,""),"SERVER",_xlfn.XLOOKUP($K983&amp;"",SERVER!$B$3:$B$1009&amp;"",SERVER!$I$3:$I$1009,""),""))</f>
        <v/>
      </c>
      <c r="M983" t="str" cm="1">
        <f t="array" ref="M983">IF($K983="","",_xlfn.SWITCH($I983,"Computer",_xlfn.XLOOKUP($K983&amp;"",COMPUTER!$B$3:$B$1009&amp;"",COMPUTER!$J$3:$J$1009,""),"Display",_xlfn.XLOOKUP($K983&amp;"",DISPLAY!$B$3:$B$1000&amp;"",DISPLAY!$K$3:$K$1000,""),"Network Device",_xlfn.XLOOKUP($K983&amp;"",'NETWORK-DEVICES'!$B$3:$B$987&amp;"",'NETWORK-DEVICES'!$I$3:$I$987,""),"Peripheral",_xlfn.XLOOKUP($K983&amp;"",PERIPHERAL!$B$3:$B$954&amp;"",PERIPHERAL!$J$3:$J$954,""),"Utilities",_xlfn.XLOOKUP($K983&amp;"",UTILITIES!$B$3:$B$953&amp;"",UTILITIES!$I$3:$I$953,""),"IOT",_xlfn.XLOOKUP($K983&amp;"",IOT!$B$3:$B$1012&amp;"",IOT!$J$3:$J$1012,""),"Server",_xlfn.XLOOKUP($K983&amp;"",SERVER!$B$3:$B$1009&amp;"",SERVER!$J$3:$J$1009,""),""))</f>
        <v/>
      </c>
      <c r="N983" s="1" t="str" cm="1">
        <f t="array" ref="N983">IF(OR($K983="",$I983="",$J983=""),"",_xlfn.LET(_xlpm.srcCat,_xlfn.SWITCH($I983,"Computer",_xlfn.XLOOKUP($K983&amp;"",COMPUTER!$B$3:$B$1009&amp;"",COMPUTER!$H$3:$H$1009,""),"Display",_xlfn.XLOOKUP($K983&amp;"",DISPLAY!$B$3:$B$1000&amp;"",DISPLAY!$H$3:$H$1000,""),"Network Device",_xlfn.XLOOKUP($K983&amp;"",'NETWORK-DEVICES'!$B$3:$B$987&amp;"",'NETWORK-DEVICES'!$H$3:$H$987,""),"Peripheral",_xlfn.XLOOKUP($K983&amp;"",PERIPHERAL!$B$3:$B$954&amp;"",PERIPHERAL!$H$3:$H$954,""),"Utilities",_xlfn.XLOOKUP($K983&amp;"",UTILITIES!$B$3:$B$953&amp;"",UTILITIES!$G$3:$G$953,""),"IOT",_xlfn.XLOOKUP($K983&amp;"",IOT!$B$3:$B$1012&amp;"",IOT!$H$3:$H$1012,""),"Server",_xlfn.XLOOKUP($K983&amp;"",SERVER!$B$3:$B$1009&amp;"",SERVER!$H$3:$H$1009,""),""),IF(TRIM(_xlpm.srcCat)&lt;&gt;TRIM($J983),"",_xlfn.SWITCH($I983,"Computer",_xlfn.XLOOKUP($K983&amp;"",COMPUTER!$B$3:$B$1009&amp;"",COMPUTER!$K$3:$K$1009,""),"Display",_xlfn.XLOOKUP($K983&amp;"",DISPLAY!$B$3:$B$1000&amp;"",DISPLAY!$L$3:$L$1000,""),"Network Device",_xlfn.XLOOKUP($K983&amp;"",'NETWORK-DEVICES'!$B$3:$B$987&amp;"",'NETWORK-DEVICES'!$K$3:$K$987,""),"Peripheral",_xlfn.XLOOKUP($K983&amp;"",PERIPHERAL!$B$3:$B$954&amp;"",PERIPHERAL!$K$3:$K$954,""),"Utilities",_xlfn.XLOOKUP($K983&amp;"",UTILITIES!$B$3:$B$953&amp;"",UTILITIES!$J$3:$J$953,""),"IOT",_xlfn.XLOOKUP($K983&amp;"",IOT!$B$3:$B$1012&amp;"",IOT!$K$4:$K$1012,""),"Server",_xlfn.XLOOKUP($K983&amp;"",SERVER!$B$3:$B$1009&amp;"",SERVER!$K$3:$K$1009,""),""))))</f>
        <v/>
      </c>
      <c r="O983" s="1" t="str" cm="1">
        <f t="array" ref="O983">IF(OR($K983="",$I983="",$J983=""),"",_xlfn.LET(_xlpm.srcCat,_xlfn.SWITCH($I983,"Computer",_xlfn.XLOOKUP($K983&amp;"",COMPUTER!$B$3:$B$1009&amp;"",COMPUTER!$H$3:$H$1009,""),"Display",_xlfn.XLOOKUP($K983&amp;"",DISPLAY!$B$3:$B$1000&amp;"",DISPLAY!$H$3:$H$1000,""),"Network Device",_xlfn.XLOOKUP($K983&amp;"",'NETWORK-DEVICES'!$B$3:$B$987&amp;"",'NETWORK-DEVICES'!$H$3:$H$987,""),"Peripheral",_xlfn.XLOOKUP($K983&amp;"",PERIPHERAL!$B$3:$B$954&amp;"",PERIPHERAL!$H$3:$H$954,""),"Utilities",_xlfn.XLOOKUP($K983&amp;"",UTILITIES!$B$3:$B$953&amp;"",UTILITIES!$G$3:$G$953,""),"IOT",_xlfn.XLOOKUP($K983&amp;"",IOT!$B$3:$B$1012&amp;"",IOT!$H$3:$H$1012,""),"Server",_xlfn.XLOOKUP($K983&amp;"",SERVER!$B$3:$B$1009&amp;"",SERVER!$H$3:$H$1009,""),""),IF(TRIM(_xlpm.srcCat)&lt;&gt;TRIM($J983),"",_xlfn.SWITCH($I983,"Computer",_xlfn.XLOOKUP($K983&amp;"",COMPUTER!$B$3:$B$1009&amp;"",COMPUTER!$E$3:$E$1009,""),"Display",_xlfn.XLOOKUP($K983&amp;"",DISPLAY!$B$3:$B$1000&amp;"",DISPLAY!$E$3:$E$1000,""),"Network Device",_xlfn.XLOOKUP($K983&amp;"",'NETWORK-DEVICES'!$B$3:$B$987&amp;"",'NETWORK-DEVICES'!$E$3:$E$987,""),"Peripheral",_xlfn.XLOOKUP($K983&amp;"",PERIPHERAL!$B$3:$B$954&amp;"",PERIPHERAL!$E$3:$E$954,""),"Utilities",_xlfn.XLOOKUP($K983&amp;"",UTILITIES!$B$3:$B$953&amp;"",UTILITIES!$E$3:$E$953,""),"IOT",_xlfn.XLOOKUP($K983&amp;"",IOT!$B$3:$B$1012&amp;"",IOT!$E$3:$E$1012,""),"Server",_xlfn.XLOOKUP($K983&amp;"",SERVER!$B$3:$B$1009&amp;"",SERVER!$E$3:$E$1009,""),""))))</f>
        <v/>
      </c>
      <c r="Q983" s="1" t="str" cm="1">
        <f t="array" ref="Q983">IF(OR($K983="",$I983="",$J983=""),"",_xlfn.LET(_xlpm.srcCat,_xlfn.SWITCH($I983,"Computer",_xlfn.XLOOKUP($K983&amp;"",COMPUTER!$B$3:$B$1009&amp;"",COMPUTER!$H$3:$H$1009,""),"Display",_xlfn.XLOOKUP($K983&amp;"",DISPLAY!$B$3:$B$1000&amp;"",DISPLAY!$H$3:$H$1000,""),"Network Device",_xlfn.XLOOKUP($K983&amp;"",'NETWORK-DEVICES'!$B$3:$B$987&amp;"",'NETWORK-DEVICES'!$H$3:$H$987,""),"Peripheral",_xlfn.XLOOKUP($K983&amp;"",PERIPHERAL!$B$3:$B$954&amp;"",PERIPHERAL!$H$3:$H$954,""),"Utilities",_xlfn.XLOOKUP($K983&amp;"",UTILITIES!$B$3:$B$953&amp;"",UTILITIES!$G$3:$G$953,""),"IOT",_xlfn.XLOOKUP($K983&amp;"",IOT!$B$3:$B$1012&amp;"",IOT!$H$3:$H$1012,""),"Server",_xlfn.XLOOKUP($K983&amp;"",SERVER!$B$3:$B$1009&amp;"",SERVER!$H$3:$H$1009,""),""),IF(TRIM(_xlpm.srcCat)&lt;&gt;TRIM($J983),"",_xlfn.SWITCH($I983,"Computer",_xlfn.XLOOKUP($K983&amp;"",COMPUTER!$B$3:$B$1009&amp;"",COMPUTER!$AM$3:$AM$1009,""),"Display",_xlfn.XLOOKUP($K983&amp;"",DISPLAY!$B$3:$B$1000&amp;"",DISPLAY!$V$3:$V$1000,""),"Network Device",_xlfn.XLOOKUP($K983&amp;"",'NETWORK-DEVICES'!$B$3:$B$987&amp;"",'NETWORK-DEVICES'!$AF$3:$AF$987,""),"Peripheral",_xlfn.XLOOKUP($K983&amp;"",PERIPHERAL!$B$3:$B$954&amp;"",PERIPHERAL!$Y$3:$Y$954,""),"Utilities",_xlfn.XLOOKUP($K983&amp;"",UTILITIES!$B$3:$B$953&amp;"",UTILITIES!$O$3:$O$953,""),"IOT",_xlfn.XLOOKUP($K983&amp;"",IOT!$B$3:$B$1012&amp;"",IOT!$AB$3:$AB$1012,""),"Server",_xlfn.XLOOKUP($K983&amp;"",SERVER!$B$3:$B$1009&amp;"",SERVER!$AB$3:$AB$1009,""),""))))</f>
        <v/>
      </c>
      <c r="R983" s="43" t="str">
        <f>IF(tbl_handover[[#This Row],[Asset Code]]="","",COUNTIF(tbl_handover[Asset Code],tbl_handover[[#This Row],[Asset Code]]))</f>
        <v/>
      </c>
    </row>
    <row r="984" spans="1:18" x14ac:dyDescent="0.25">
      <c r="A984" s="43" t="str">
        <f>IF(B984&lt;&gt;"",SUBTOTAL(3,$B$1:B983),"")</f>
        <v/>
      </c>
      <c r="C984" s="74"/>
      <c r="D984" s="74"/>
      <c r="G984" s="1"/>
      <c r="K984" s="42"/>
      <c r="L984" t="str" cm="1">
        <f t="array" ref="L984">IF($K984="","",_xlfn.SWITCH($I984,"Computer",_xlfn.XLOOKUP($K984&amp;"",COMPUTER!$B$3:$B$1009&amp;"",COMPUTER!$I$3:$I$1009,""),"Display",_xlfn.XLOOKUP($K984&amp;"",DISPLAY!$B$3:$B$1000&amp;"",DISPLAY!$J$3:$J$1000,""),"Network Device",_xlfn.XLOOKUP($K984&amp;"",'NETWORK-DEVICES'!$B$3:$B$987&amp;"",'NETWORK-DEVICES'!$I$3:$I$987,""),"Peripheral",_xlfn.XLOOKUP($K984&amp;"",PERIPHERAL!$B$3:$B$954&amp;"",PERIPHERAL!$I$3:$I$954,""),"Utilities",_xlfn.XLOOKUP($K984&amp;"",UTILITIES!$B$3:$B$953&amp;"",UTILITIES!$H$3:$H$953,""),"IOT",_xlfn.XLOOKUP($K984&amp;"",IOT!$B$3:$B$1012&amp;"",IOT!$I$3:$I$1012,""),"SERVER",_xlfn.XLOOKUP($K984&amp;"",SERVER!$B$3:$B$1009&amp;"",SERVER!$I$3:$I$1009,""),""))</f>
        <v/>
      </c>
      <c r="M984" t="str" cm="1">
        <f t="array" ref="M984">IF($K984="","",_xlfn.SWITCH($I984,"Computer",_xlfn.XLOOKUP($K984&amp;"",COMPUTER!$B$3:$B$1009&amp;"",COMPUTER!$J$3:$J$1009,""),"Display",_xlfn.XLOOKUP($K984&amp;"",DISPLAY!$B$3:$B$1000&amp;"",DISPLAY!$K$3:$K$1000,""),"Network Device",_xlfn.XLOOKUP($K984&amp;"",'NETWORK-DEVICES'!$B$3:$B$987&amp;"",'NETWORK-DEVICES'!$I$3:$I$987,""),"Peripheral",_xlfn.XLOOKUP($K984&amp;"",PERIPHERAL!$B$3:$B$954&amp;"",PERIPHERAL!$J$3:$J$954,""),"Utilities",_xlfn.XLOOKUP($K984&amp;"",UTILITIES!$B$3:$B$953&amp;"",UTILITIES!$I$3:$I$953,""),"IOT",_xlfn.XLOOKUP($K984&amp;"",IOT!$B$3:$B$1012&amp;"",IOT!$J$3:$J$1012,""),"Server",_xlfn.XLOOKUP($K984&amp;"",SERVER!$B$3:$B$1009&amp;"",SERVER!$J$3:$J$1009,""),""))</f>
        <v/>
      </c>
      <c r="N984" s="1" t="str" cm="1">
        <f t="array" ref="N984">IF(OR($K984="",$I984="",$J984=""),"",_xlfn.LET(_xlpm.srcCat,_xlfn.SWITCH($I984,"Computer",_xlfn.XLOOKUP($K984&amp;"",COMPUTER!$B$3:$B$1009&amp;"",COMPUTER!$H$3:$H$1009,""),"Display",_xlfn.XLOOKUP($K984&amp;"",DISPLAY!$B$3:$B$1000&amp;"",DISPLAY!$H$3:$H$1000,""),"Network Device",_xlfn.XLOOKUP($K984&amp;"",'NETWORK-DEVICES'!$B$3:$B$987&amp;"",'NETWORK-DEVICES'!$H$3:$H$987,""),"Peripheral",_xlfn.XLOOKUP($K984&amp;"",PERIPHERAL!$B$3:$B$954&amp;"",PERIPHERAL!$H$3:$H$954,""),"Utilities",_xlfn.XLOOKUP($K984&amp;"",UTILITIES!$B$3:$B$953&amp;"",UTILITIES!$G$3:$G$953,""),"IOT",_xlfn.XLOOKUP($K984&amp;"",IOT!$B$3:$B$1012&amp;"",IOT!$H$3:$H$1012,""),"Server",_xlfn.XLOOKUP($K984&amp;"",SERVER!$B$3:$B$1009&amp;"",SERVER!$H$3:$H$1009,""),""),IF(TRIM(_xlpm.srcCat)&lt;&gt;TRIM($J984),"",_xlfn.SWITCH($I984,"Computer",_xlfn.XLOOKUP($K984&amp;"",COMPUTER!$B$3:$B$1009&amp;"",COMPUTER!$K$3:$K$1009,""),"Display",_xlfn.XLOOKUP($K984&amp;"",DISPLAY!$B$3:$B$1000&amp;"",DISPLAY!$L$3:$L$1000,""),"Network Device",_xlfn.XLOOKUP($K984&amp;"",'NETWORK-DEVICES'!$B$3:$B$987&amp;"",'NETWORK-DEVICES'!$K$3:$K$987,""),"Peripheral",_xlfn.XLOOKUP($K984&amp;"",PERIPHERAL!$B$3:$B$954&amp;"",PERIPHERAL!$K$3:$K$954,""),"Utilities",_xlfn.XLOOKUP($K984&amp;"",UTILITIES!$B$3:$B$953&amp;"",UTILITIES!$J$3:$J$953,""),"IOT",_xlfn.XLOOKUP($K984&amp;"",IOT!$B$3:$B$1012&amp;"",IOT!$K$4:$K$1012,""),"Server",_xlfn.XLOOKUP($K984&amp;"",SERVER!$B$3:$B$1009&amp;"",SERVER!$K$3:$K$1009,""),""))))</f>
        <v/>
      </c>
      <c r="O984" s="1" t="str" cm="1">
        <f t="array" ref="O984">IF(OR($K984="",$I984="",$J984=""),"",_xlfn.LET(_xlpm.srcCat,_xlfn.SWITCH($I984,"Computer",_xlfn.XLOOKUP($K984&amp;"",COMPUTER!$B$3:$B$1009&amp;"",COMPUTER!$H$3:$H$1009,""),"Display",_xlfn.XLOOKUP($K984&amp;"",DISPLAY!$B$3:$B$1000&amp;"",DISPLAY!$H$3:$H$1000,""),"Network Device",_xlfn.XLOOKUP($K984&amp;"",'NETWORK-DEVICES'!$B$3:$B$987&amp;"",'NETWORK-DEVICES'!$H$3:$H$987,""),"Peripheral",_xlfn.XLOOKUP($K984&amp;"",PERIPHERAL!$B$3:$B$954&amp;"",PERIPHERAL!$H$3:$H$954,""),"Utilities",_xlfn.XLOOKUP($K984&amp;"",UTILITIES!$B$3:$B$953&amp;"",UTILITIES!$G$3:$G$953,""),"IOT",_xlfn.XLOOKUP($K984&amp;"",IOT!$B$3:$B$1012&amp;"",IOT!$H$3:$H$1012,""),"Server",_xlfn.XLOOKUP($K984&amp;"",SERVER!$B$3:$B$1009&amp;"",SERVER!$H$3:$H$1009,""),""),IF(TRIM(_xlpm.srcCat)&lt;&gt;TRIM($J984),"",_xlfn.SWITCH($I984,"Computer",_xlfn.XLOOKUP($K984&amp;"",COMPUTER!$B$3:$B$1009&amp;"",COMPUTER!$E$3:$E$1009,""),"Display",_xlfn.XLOOKUP($K984&amp;"",DISPLAY!$B$3:$B$1000&amp;"",DISPLAY!$E$3:$E$1000,""),"Network Device",_xlfn.XLOOKUP($K984&amp;"",'NETWORK-DEVICES'!$B$3:$B$987&amp;"",'NETWORK-DEVICES'!$E$3:$E$987,""),"Peripheral",_xlfn.XLOOKUP($K984&amp;"",PERIPHERAL!$B$3:$B$954&amp;"",PERIPHERAL!$E$3:$E$954,""),"Utilities",_xlfn.XLOOKUP($K984&amp;"",UTILITIES!$B$3:$B$953&amp;"",UTILITIES!$E$3:$E$953,""),"IOT",_xlfn.XLOOKUP($K984&amp;"",IOT!$B$3:$B$1012&amp;"",IOT!$E$3:$E$1012,""),"Server",_xlfn.XLOOKUP($K984&amp;"",SERVER!$B$3:$B$1009&amp;"",SERVER!$E$3:$E$1009,""),""))))</f>
        <v/>
      </c>
      <c r="Q984" s="1" t="str" cm="1">
        <f t="array" ref="Q984">IF(OR($K984="",$I984="",$J984=""),"",_xlfn.LET(_xlpm.srcCat,_xlfn.SWITCH($I984,"Computer",_xlfn.XLOOKUP($K984&amp;"",COMPUTER!$B$3:$B$1009&amp;"",COMPUTER!$H$3:$H$1009,""),"Display",_xlfn.XLOOKUP($K984&amp;"",DISPLAY!$B$3:$B$1000&amp;"",DISPLAY!$H$3:$H$1000,""),"Network Device",_xlfn.XLOOKUP($K984&amp;"",'NETWORK-DEVICES'!$B$3:$B$987&amp;"",'NETWORK-DEVICES'!$H$3:$H$987,""),"Peripheral",_xlfn.XLOOKUP($K984&amp;"",PERIPHERAL!$B$3:$B$954&amp;"",PERIPHERAL!$H$3:$H$954,""),"Utilities",_xlfn.XLOOKUP($K984&amp;"",UTILITIES!$B$3:$B$953&amp;"",UTILITIES!$G$3:$G$953,""),"IOT",_xlfn.XLOOKUP($K984&amp;"",IOT!$B$3:$B$1012&amp;"",IOT!$H$3:$H$1012,""),"Server",_xlfn.XLOOKUP($K984&amp;"",SERVER!$B$3:$B$1009&amp;"",SERVER!$H$3:$H$1009,""),""),IF(TRIM(_xlpm.srcCat)&lt;&gt;TRIM($J984),"",_xlfn.SWITCH($I984,"Computer",_xlfn.XLOOKUP($K984&amp;"",COMPUTER!$B$3:$B$1009&amp;"",COMPUTER!$AM$3:$AM$1009,""),"Display",_xlfn.XLOOKUP($K984&amp;"",DISPLAY!$B$3:$B$1000&amp;"",DISPLAY!$V$3:$V$1000,""),"Network Device",_xlfn.XLOOKUP($K984&amp;"",'NETWORK-DEVICES'!$B$3:$B$987&amp;"",'NETWORK-DEVICES'!$AF$3:$AF$987,""),"Peripheral",_xlfn.XLOOKUP($K984&amp;"",PERIPHERAL!$B$3:$B$954&amp;"",PERIPHERAL!$Y$3:$Y$954,""),"Utilities",_xlfn.XLOOKUP($K984&amp;"",UTILITIES!$B$3:$B$953&amp;"",UTILITIES!$O$3:$O$953,""),"IOT",_xlfn.XLOOKUP($K984&amp;"",IOT!$B$3:$B$1012&amp;"",IOT!$AB$3:$AB$1012,""),"Server",_xlfn.XLOOKUP($K984&amp;"",SERVER!$B$3:$B$1009&amp;"",SERVER!$AB$3:$AB$1009,""),""))))</f>
        <v/>
      </c>
      <c r="R984" s="43" t="str">
        <f>IF(tbl_handover[[#This Row],[Asset Code]]="","",COUNTIF(tbl_handover[Asset Code],tbl_handover[[#This Row],[Asset Code]]))</f>
        <v/>
      </c>
    </row>
    <row r="985" spans="1:18" x14ac:dyDescent="0.25">
      <c r="A985" s="43" t="str">
        <f>IF(B985&lt;&gt;"",SUBTOTAL(3,$B$1:B984),"")</f>
        <v/>
      </c>
      <c r="C985" s="74"/>
      <c r="D985" s="74"/>
      <c r="G985" s="1"/>
      <c r="K985" s="42"/>
      <c r="L985" t="str" cm="1">
        <f t="array" ref="L985">IF($K985="","",_xlfn.SWITCH($I985,"Computer",_xlfn.XLOOKUP($K985&amp;"",COMPUTER!$B$3:$B$1009&amp;"",COMPUTER!$I$3:$I$1009,""),"Display",_xlfn.XLOOKUP($K985&amp;"",DISPLAY!$B$3:$B$1000&amp;"",DISPLAY!$J$3:$J$1000,""),"Network Device",_xlfn.XLOOKUP($K985&amp;"",'NETWORK-DEVICES'!$B$3:$B$987&amp;"",'NETWORK-DEVICES'!$I$3:$I$987,""),"Peripheral",_xlfn.XLOOKUP($K985&amp;"",PERIPHERAL!$B$3:$B$954&amp;"",PERIPHERAL!$I$3:$I$954,""),"Utilities",_xlfn.XLOOKUP($K985&amp;"",UTILITIES!$B$3:$B$953&amp;"",UTILITIES!$H$3:$H$953,""),"IOT",_xlfn.XLOOKUP($K985&amp;"",IOT!$B$3:$B$1012&amp;"",IOT!$I$3:$I$1012,""),"SERVER",_xlfn.XLOOKUP($K985&amp;"",SERVER!$B$3:$B$1009&amp;"",SERVER!$I$3:$I$1009,""),""))</f>
        <v/>
      </c>
      <c r="M985" t="str" cm="1">
        <f t="array" ref="M985">IF($K985="","",_xlfn.SWITCH($I985,"Computer",_xlfn.XLOOKUP($K985&amp;"",COMPUTER!$B$3:$B$1009&amp;"",COMPUTER!$J$3:$J$1009,""),"Display",_xlfn.XLOOKUP($K985&amp;"",DISPLAY!$B$3:$B$1000&amp;"",DISPLAY!$K$3:$K$1000,""),"Network Device",_xlfn.XLOOKUP($K985&amp;"",'NETWORK-DEVICES'!$B$3:$B$987&amp;"",'NETWORK-DEVICES'!$I$3:$I$987,""),"Peripheral",_xlfn.XLOOKUP($K985&amp;"",PERIPHERAL!$B$3:$B$954&amp;"",PERIPHERAL!$J$3:$J$954,""),"Utilities",_xlfn.XLOOKUP($K985&amp;"",UTILITIES!$B$3:$B$953&amp;"",UTILITIES!$I$3:$I$953,""),"IOT",_xlfn.XLOOKUP($K985&amp;"",IOT!$B$3:$B$1012&amp;"",IOT!$J$3:$J$1012,""),"Server",_xlfn.XLOOKUP($K985&amp;"",SERVER!$B$3:$B$1009&amp;"",SERVER!$J$3:$J$1009,""),""))</f>
        <v/>
      </c>
      <c r="N985" s="1" t="str" cm="1">
        <f t="array" ref="N985">IF(OR($K985="",$I985="",$J985=""),"",_xlfn.LET(_xlpm.srcCat,_xlfn.SWITCH($I985,"Computer",_xlfn.XLOOKUP($K985&amp;"",COMPUTER!$B$3:$B$1009&amp;"",COMPUTER!$H$3:$H$1009,""),"Display",_xlfn.XLOOKUP($K985&amp;"",DISPLAY!$B$3:$B$1000&amp;"",DISPLAY!$H$3:$H$1000,""),"Network Device",_xlfn.XLOOKUP($K985&amp;"",'NETWORK-DEVICES'!$B$3:$B$987&amp;"",'NETWORK-DEVICES'!$H$3:$H$987,""),"Peripheral",_xlfn.XLOOKUP($K985&amp;"",PERIPHERAL!$B$3:$B$954&amp;"",PERIPHERAL!$H$3:$H$954,""),"Utilities",_xlfn.XLOOKUP($K985&amp;"",UTILITIES!$B$3:$B$953&amp;"",UTILITIES!$G$3:$G$953,""),"IOT",_xlfn.XLOOKUP($K985&amp;"",IOT!$B$3:$B$1012&amp;"",IOT!$H$3:$H$1012,""),"Server",_xlfn.XLOOKUP($K985&amp;"",SERVER!$B$3:$B$1009&amp;"",SERVER!$H$3:$H$1009,""),""),IF(TRIM(_xlpm.srcCat)&lt;&gt;TRIM($J985),"",_xlfn.SWITCH($I985,"Computer",_xlfn.XLOOKUP($K985&amp;"",COMPUTER!$B$3:$B$1009&amp;"",COMPUTER!$K$3:$K$1009,""),"Display",_xlfn.XLOOKUP($K985&amp;"",DISPLAY!$B$3:$B$1000&amp;"",DISPLAY!$L$3:$L$1000,""),"Network Device",_xlfn.XLOOKUP($K985&amp;"",'NETWORK-DEVICES'!$B$3:$B$987&amp;"",'NETWORK-DEVICES'!$K$3:$K$987,""),"Peripheral",_xlfn.XLOOKUP($K985&amp;"",PERIPHERAL!$B$3:$B$954&amp;"",PERIPHERAL!$K$3:$K$954,""),"Utilities",_xlfn.XLOOKUP($K985&amp;"",UTILITIES!$B$3:$B$953&amp;"",UTILITIES!$J$3:$J$953,""),"IOT",_xlfn.XLOOKUP($K985&amp;"",IOT!$B$3:$B$1012&amp;"",IOT!$K$4:$K$1012,""),"Server",_xlfn.XLOOKUP($K985&amp;"",SERVER!$B$3:$B$1009&amp;"",SERVER!$K$3:$K$1009,""),""))))</f>
        <v/>
      </c>
      <c r="O985" s="1" t="str" cm="1">
        <f t="array" ref="O985">IF(OR($K985="",$I985="",$J985=""),"",_xlfn.LET(_xlpm.srcCat,_xlfn.SWITCH($I985,"Computer",_xlfn.XLOOKUP($K985&amp;"",COMPUTER!$B$3:$B$1009&amp;"",COMPUTER!$H$3:$H$1009,""),"Display",_xlfn.XLOOKUP($K985&amp;"",DISPLAY!$B$3:$B$1000&amp;"",DISPLAY!$H$3:$H$1000,""),"Network Device",_xlfn.XLOOKUP($K985&amp;"",'NETWORK-DEVICES'!$B$3:$B$987&amp;"",'NETWORK-DEVICES'!$H$3:$H$987,""),"Peripheral",_xlfn.XLOOKUP($K985&amp;"",PERIPHERAL!$B$3:$B$954&amp;"",PERIPHERAL!$H$3:$H$954,""),"Utilities",_xlfn.XLOOKUP($K985&amp;"",UTILITIES!$B$3:$B$953&amp;"",UTILITIES!$G$3:$G$953,""),"IOT",_xlfn.XLOOKUP($K985&amp;"",IOT!$B$3:$B$1012&amp;"",IOT!$H$3:$H$1012,""),"Server",_xlfn.XLOOKUP($K985&amp;"",SERVER!$B$3:$B$1009&amp;"",SERVER!$H$3:$H$1009,""),""),IF(TRIM(_xlpm.srcCat)&lt;&gt;TRIM($J985),"",_xlfn.SWITCH($I985,"Computer",_xlfn.XLOOKUP($K985&amp;"",COMPUTER!$B$3:$B$1009&amp;"",COMPUTER!$E$3:$E$1009,""),"Display",_xlfn.XLOOKUP($K985&amp;"",DISPLAY!$B$3:$B$1000&amp;"",DISPLAY!$E$3:$E$1000,""),"Network Device",_xlfn.XLOOKUP($K985&amp;"",'NETWORK-DEVICES'!$B$3:$B$987&amp;"",'NETWORK-DEVICES'!$E$3:$E$987,""),"Peripheral",_xlfn.XLOOKUP($K985&amp;"",PERIPHERAL!$B$3:$B$954&amp;"",PERIPHERAL!$E$3:$E$954,""),"Utilities",_xlfn.XLOOKUP($K985&amp;"",UTILITIES!$B$3:$B$953&amp;"",UTILITIES!$E$3:$E$953,""),"IOT",_xlfn.XLOOKUP($K985&amp;"",IOT!$B$3:$B$1012&amp;"",IOT!$E$3:$E$1012,""),"Server",_xlfn.XLOOKUP($K985&amp;"",SERVER!$B$3:$B$1009&amp;"",SERVER!$E$3:$E$1009,""),""))))</f>
        <v/>
      </c>
      <c r="Q985" s="1" t="str" cm="1">
        <f t="array" ref="Q985">IF(OR($K985="",$I985="",$J985=""),"",_xlfn.LET(_xlpm.srcCat,_xlfn.SWITCH($I985,"Computer",_xlfn.XLOOKUP($K985&amp;"",COMPUTER!$B$3:$B$1009&amp;"",COMPUTER!$H$3:$H$1009,""),"Display",_xlfn.XLOOKUP($K985&amp;"",DISPLAY!$B$3:$B$1000&amp;"",DISPLAY!$H$3:$H$1000,""),"Network Device",_xlfn.XLOOKUP($K985&amp;"",'NETWORK-DEVICES'!$B$3:$B$987&amp;"",'NETWORK-DEVICES'!$H$3:$H$987,""),"Peripheral",_xlfn.XLOOKUP($K985&amp;"",PERIPHERAL!$B$3:$B$954&amp;"",PERIPHERAL!$H$3:$H$954,""),"Utilities",_xlfn.XLOOKUP($K985&amp;"",UTILITIES!$B$3:$B$953&amp;"",UTILITIES!$G$3:$G$953,""),"IOT",_xlfn.XLOOKUP($K985&amp;"",IOT!$B$3:$B$1012&amp;"",IOT!$H$3:$H$1012,""),"Server",_xlfn.XLOOKUP($K985&amp;"",SERVER!$B$3:$B$1009&amp;"",SERVER!$H$3:$H$1009,""),""),IF(TRIM(_xlpm.srcCat)&lt;&gt;TRIM($J985),"",_xlfn.SWITCH($I985,"Computer",_xlfn.XLOOKUP($K985&amp;"",COMPUTER!$B$3:$B$1009&amp;"",COMPUTER!$AM$3:$AM$1009,""),"Display",_xlfn.XLOOKUP($K985&amp;"",DISPLAY!$B$3:$B$1000&amp;"",DISPLAY!$V$3:$V$1000,""),"Network Device",_xlfn.XLOOKUP($K985&amp;"",'NETWORK-DEVICES'!$B$3:$B$987&amp;"",'NETWORK-DEVICES'!$AF$3:$AF$987,""),"Peripheral",_xlfn.XLOOKUP($K985&amp;"",PERIPHERAL!$B$3:$B$954&amp;"",PERIPHERAL!$Y$3:$Y$954,""),"Utilities",_xlfn.XLOOKUP($K985&amp;"",UTILITIES!$B$3:$B$953&amp;"",UTILITIES!$O$3:$O$953,""),"IOT",_xlfn.XLOOKUP($K985&amp;"",IOT!$B$3:$B$1012&amp;"",IOT!$AB$3:$AB$1012,""),"Server",_xlfn.XLOOKUP($K985&amp;"",SERVER!$B$3:$B$1009&amp;"",SERVER!$AB$3:$AB$1009,""),""))))</f>
        <v/>
      </c>
      <c r="R985" s="43" t="str">
        <f>IF(tbl_handover[[#This Row],[Asset Code]]="","",COUNTIF(tbl_handover[Asset Code],tbl_handover[[#This Row],[Asset Code]]))</f>
        <v/>
      </c>
    </row>
    <row r="986" spans="1:18" x14ac:dyDescent="0.25">
      <c r="A986" s="43" t="str">
        <f>IF(B986&lt;&gt;"",SUBTOTAL(3,$B$1:B985),"")</f>
        <v/>
      </c>
      <c r="C986" s="74"/>
      <c r="D986" s="74"/>
      <c r="G986" s="1"/>
      <c r="K986" s="42"/>
      <c r="L986" t="str" cm="1">
        <f t="array" ref="L986">IF($K986="","",_xlfn.SWITCH($I986,"Computer",_xlfn.XLOOKUP($K986&amp;"",COMPUTER!$B$3:$B$1009&amp;"",COMPUTER!$I$3:$I$1009,""),"Display",_xlfn.XLOOKUP($K986&amp;"",DISPLAY!$B$3:$B$1000&amp;"",DISPLAY!$J$3:$J$1000,""),"Network Device",_xlfn.XLOOKUP($K986&amp;"",'NETWORK-DEVICES'!$B$3:$B$987&amp;"",'NETWORK-DEVICES'!$I$3:$I$987,""),"Peripheral",_xlfn.XLOOKUP($K986&amp;"",PERIPHERAL!$B$3:$B$954&amp;"",PERIPHERAL!$I$3:$I$954,""),"Utilities",_xlfn.XLOOKUP($K986&amp;"",UTILITIES!$B$3:$B$953&amp;"",UTILITIES!$H$3:$H$953,""),"IOT",_xlfn.XLOOKUP($K986&amp;"",IOT!$B$3:$B$1012&amp;"",IOT!$I$3:$I$1012,""),"SERVER",_xlfn.XLOOKUP($K986&amp;"",SERVER!$B$3:$B$1009&amp;"",SERVER!$I$3:$I$1009,""),""))</f>
        <v/>
      </c>
      <c r="M986" t="str" cm="1">
        <f t="array" ref="M986">IF($K986="","",_xlfn.SWITCH($I986,"Computer",_xlfn.XLOOKUP($K986&amp;"",COMPUTER!$B$3:$B$1009&amp;"",COMPUTER!$J$3:$J$1009,""),"Display",_xlfn.XLOOKUP($K986&amp;"",DISPLAY!$B$3:$B$1000&amp;"",DISPLAY!$K$3:$K$1000,""),"Network Device",_xlfn.XLOOKUP($K986&amp;"",'NETWORK-DEVICES'!$B$3:$B$987&amp;"",'NETWORK-DEVICES'!$I$3:$I$987,""),"Peripheral",_xlfn.XLOOKUP($K986&amp;"",PERIPHERAL!$B$3:$B$954&amp;"",PERIPHERAL!$J$3:$J$954,""),"Utilities",_xlfn.XLOOKUP($K986&amp;"",UTILITIES!$B$3:$B$953&amp;"",UTILITIES!$I$3:$I$953,""),"IOT",_xlfn.XLOOKUP($K986&amp;"",IOT!$B$3:$B$1012&amp;"",IOT!$J$3:$J$1012,""),"Server",_xlfn.XLOOKUP($K986&amp;"",SERVER!$B$3:$B$1009&amp;"",SERVER!$J$3:$J$1009,""),""))</f>
        <v/>
      </c>
      <c r="N986" s="1" t="str" cm="1">
        <f t="array" ref="N986">IF(OR($K986="",$I986="",$J986=""),"",_xlfn.LET(_xlpm.srcCat,_xlfn.SWITCH($I986,"Computer",_xlfn.XLOOKUP($K986&amp;"",COMPUTER!$B$3:$B$1009&amp;"",COMPUTER!$H$3:$H$1009,""),"Display",_xlfn.XLOOKUP($K986&amp;"",DISPLAY!$B$3:$B$1000&amp;"",DISPLAY!$H$3:$H$1000,""),"Network Device",_xlfn.XLOOKUP($K986&amp;"",'NETWORK-DEVICES'!$B$3:$B$987&amp;"",'NETWORK-DEVICES'!$H$3:$H$987,""),"Peripheral",_xlfn.XLOOKUP($K986&amp;"",PERIPHERAL!$B$3:$B$954&amp;"",PERIPHERAL!$H$3:$H$954,""),"Utilities",_xlfn.XLOOKUP($K986&amp;"",UTILITIES!$B$3:$B$953&amp;"",UTILITIES!$G$3:$G$953,""),"IOT",_xlfn.XLOOKUP($K986&amp;"",IOT!$B$3:$B$1012&amp;"",IOT!$H$3:$H$1012,""),"Server",_xlfn.XLOOKUP($K986&amp;"",SERVER!$B$3:$B$1009&amp;"",SERVER!$H$3:$H$1009,""),""),IF(TRIM(_xlpm.srcCat)&lt;&gt;TRIM($J986),"",_xlfn.SWITCH($I986,"Computer",_xlfn.XLOOKUP($K986&amp;"",COMPUTER!$B$3:$B$1009&amp;"",COMPUTER!$K$3:$K$1009,""),"Display",_xlfn.XLOOKUP($K986&amp;"",DISPLAY!$B$3:$B$1000&amp;"",DISPLAY!$L$3:$L$1000,""),"Network Device",_xlfn.XLOOKUP($K986&amp;"",'NETWORK-DEVICES'!$B$3:$B$987&amp;"",'NETWORK-DEVICES'!$K$3:$K$987,""),"Peripheral",_xlfn.XLOOKUP($K986&amp;"",PERIPHERAL!$B$3:$B$954&amp;"",PERIPHERAL!$K$3:$K$954,""),"Utilities",_xlfn.XLOOKUP($K986&amp;"",UTILITIES!$B$3:$B$953&amp;"",UTILITIES!$J$3:$J$953,""),"IOT",_xlfn.XLOOKUP($K986&amp;"",IOT!$B$3:$B$1012&amp;"",IOT!$K$4:$K$1012,""),"Server",_xlfn.XLOOKUP($K986&amp;"",SERVER!$B$3:$B$1009&amp;"",SERVER!$K$3:$K$1009,""),""))))</f>
        <v/>
      </c>
      <c r="O986" s="1" t="str" cm="1">
        <f t="array" ref="O986">IF(OR($K986="",$I986="",$J986=""),"",_xlfn.LET(_xlpm.srcCat,_xlfn.SWITCH($I986,"Computer",_xlfn.XLOOKUP($K986&amp;"",COMPUTER!$B$3:$B$1009&amp;"",COMPUTER!$H$3:$H$1009,""),"Display",_xlfn.XLOOKUP($K986&amp;"",DISPLAY!$B$3:$B$1000&amp;"",DISPLAY!$H$3:$H$1000,""),"Network Device",_xlfn.XLOOKUP($K986&amp;"",'NETWORK-DEVICES'!$B$3:$B$987&amp;"",'NETWORK-DEVICES'!$H$3:$H$987,""),"Peripheral",_xlfn.XLOOKUP($K986&amp;"",PERIPHERAL!$B$3:$B$954&amp;"",PERIPHERAL!$H$3:$H$954,""),"Utilities",_xlfn.XLOOKUP($K986&amp;"",UTILITIES!$B$3:$B$953&amp;"",UTILITIES!$G$3:$G$953,""),"IOT",_xlfn.XLOOKUP($K986&amp;"",IOT!$B$3:$B$1012&amp;"",IOT!$H$3:$H$1012,""),"Server",_xlfn.XLOOKUP($K986&amp;"",SERVER!$B$3:$B$1009&amp;"",SERVER!$H$3:$H$1009,""),""),IF(TRIM(_xlpm.srcCat)&lt;&gt;TRIM($J986),"",_xlfn.SWITCH($I986,"Computer",_xlfn.XLOOKUP($K986&amp;"",COMPUTER!$B$3:$B$1009&amp;"",COMPUTER!$E$3:$E$1009,""),"Display",_xlfn.XLOOKUP($K986&amp;"",DISPLAY!$B$3:$B$1000&amp;"",DISPLAY!$E$3:$E$1000,""),"Network Device",_xlfn.XLOOKUP($K986&amp;"",'NETWORK-DEVICES'!$B$3:$B$987&amp;"",'NETWORK-DEVICES'!$E$3:$E$987,""),"Peripheral",_xlfn.XLOOKUP($K986&amp;"",PERIPHERAL!$B$3:$B$954&amp;"",PERIPHERAL!$E$3:$E$954,""),"Utilities",_xlfn.XLOOKUP($K986&amp;"",UTILITIES!$B$3:$B$953&amp;"",UTILITIES!$E$3:$E$953,""),"IOT",_xlfn.XLOOKUP($K986&amp;"",IOT!$B$3:$B$1012&amp;"",IOT!$E$3:$E$1012,""),"Server",_xlfn.XLOOKUP($K986&amp;"",SERVER!$B$3:$B$1009&amp;"",SERVER!$E$3:$E$1009,""),""))))</f>
        <v/>
      </c>
      <c r="Q986" s="1" t="str" cm="1">
        <f t="array" ref="Q986">IF(OR($K986="",$I986="",$J986=""),"",_xlfn.LET(_xlpm.srcCat,_xlfn.SWITCH($I986,"Computer",_xlfn.XLOOKUP($K986&amp;"",COMPUTER!$B$3:$B$1009&amp;"",COMPUTER!$H$3:$H$1009,""),"Display",_xlfn.XLOOKUP($K986&amp;"",DISPLAY!$B$3:$B$1000&amp;"",DISPLAY!$H$3:$H$1000,""),"Network Device",_xlfn.XLOOKUP($K986&amp;"",'NETWORK-DEVICES'!$B$3:$B$987&amp;"",'NETWORK-DEVICES'!$H$3:$H$987,""),"Peripheral",_xlfn.XLOOKUP($K986&amp;"",PERIPHERAL!$B$3:$B$954&amp;"",PERIPHERAL!$H$3:$H$954,""),"Utilities",_xlfn.XLOOKUP($K986&amp;"",UTILITIES!$B$3:$B$953&amp;"",UTILITIES!$G$3:$G$953,""),"IOT",_xlfn.XLOOKUP($K986&amp;"",IOT!$B$3:$B$1012&amp;"",IOT!$H$3:$H$1012,""),"Server",_xlfn.XLOOKUP($K986&amp;"",SERVER!$B$3:$B$1009&amp;"",SERVER!$H$3:$H$1009,""),""),IF(TRIM(_xlpm.srcCat)&lt;&gt;TRIM($J986),"",_xlfn.SWITCH($I986,"Computer",_xlfn.XLOOKUP($K986&amp;"",COMPUTER!$B$3:$B$1009&amp;"",COMPUTER!$AM$3:$AM$1009,""),"Display",_xlfn.XLOOKUP($K986&amp;"",DISPLAY!$B$3:$B$1000&amp;"",DISPLAY!$V$3:$V$1000,""),"Network Device",_xlfn.XLOOKUP($K986&amp;"",'NETWORK-DEVICES'!$B$3:$B$987&amp;"",'NETWORK-DEVICES'!$AF$3:$AF$987,""),"Peripheral",_xlfn.XLOOKUP($K986&amp;"",PERIPHERAL!$B$3:$B$954&amp;"",PERIPHERAL!$Y$3:$Y$954,""),"Utilities",_xlfn.XLOOKUP($K986&amp;"",UTILITIES!$B$3:$B$953&amp;"",UTILITIES!$O$3:$O$953,""),"IOT",_xlfn.XLOOKUP($K986&amp;"",IOT!$B$3:$B$1012&amp;"",IOT!$AB$3:$AB$1012,""),"Server",_xlfn.XLOOKUP($K986&amp;"",SERVER!$B$3:$B$1009&amp;"",SERVER!$AB$3:$AB$1009,""),""))))</f>
        <v/>
      </c>
      <c r="R986" s="43" t="str">
        <f>IF(tbl_handover[[#This Row],[Asset Code]]="","",COUNTIF(tbl_handover[Asset Code],tbl_handover[[#This Row],[Asset Code]]))</f>
        <v/>
      </c>
    </row>
    <row r="987" spans="1:18" x14ac:dyDescent="0.25">
      <c r="A987" s="43" t="str">
        <f>IF(B987&lt;&gt;"",SUBTOTAL(3,$B$1:B986),"")</f>
        <v/>
      </c>
      <c r="C987" s="74"/>
      <c r="D987" s="74"/>
      <c r="G987" s="1"/>
      <c r="K987" s="42"/>
      <c r="L987" t="str" cm="1">
        <f t="array" ref="L987">IF($K987="","",_xlfn.SWITCH($I987,"Computer",_xlfn.XLOOKUP($K987&amp;"",COMPUTER!$B$3:$B$1009&amp;"",COMPUTER!$I$3:$I$1009,""),"Display",_xlfn.XLOOKUP($K987&amp;"",DISPLAY!$B$3:$B$1000&amp;"",DISPLAY!$J$3:$J$1000,""),"Network Device",_xlfn.XLOOKUP($K987&amp;"",'NETWORK-DEVICES'!$B$3:$B$987&amp;"",'NETWORK-DEVICES'!$I$3:$I$987,""),"Peripheral",_xlfn.XLOOKUP($K987&amp;"",PERIPHERAL!$B$3:$B$954&amp;"",PERIPHERAL!$I$3:$I$954,""),"Utilities",_xlfn.XLOOKUP($K987&amp;"",UTILITIES!$B$3:$B$953&amp;"",UTILITIES!$H$3:$H$953,""),"IOT",_xlfn.XLOOKUP($K987&amp;"",IOT!$B$3:$B$1012&amp;"",IOT!$I$3:$I$1012,""),"SERVER",_xlfn.XLOOKUP($K987&amp;"",SERVER!$B$3:$B$1009&amp;"",SERVER!$I$3:$I$1009,""),""))</f>
        <v/>
      </c>
      <c r="M987" t="str" cm="1">
        <f t="array" ref="M987">IF($K987="","",_xlfn.SWITCH($I987,"Computer",_xlfn.XLOOKUP($K987&amp;"",COMPUTER!$B$3:$B$1009&amp;"",COMPUTER!$J$3:$J$1009,""),"Display",_xlfn.XLOOKUP($K987&amp;"",DISPLAY!$B$3:$B$1000&amp;"",DISPLAY!$K$3:$K$1000,""),"Network Device",_xlfn.XLOOKUP($K987&amp;"",'NETWORK-DEVICES'!$B$3:$B$987&amp;"",'NETWORK-DEVICES'!$I$3:$I$987,""),"Peripheral",_xlfn.XLOOKUP($K987&amp;"",PERIPHERAL!$B$3:$B$954&amp;"",PERIPHERAL!$J$3:$J$954,""),"Utilities",_xlfn.XLOOKUP($K987&amp;"",UTILITIES!$B$3:$B$953&amp;"",UTILITIES!$I$3:$I$953,""),"IOT",_xlfn.XLOOKUP($K987&amp;"",IOT!$B$3:$B$1012&amp;"",IOT!$J$3:$J$1012,""),"Server",_xlfn.XLOOKUP($K987&amp;"",SERVER!$B$3:$B$1009&amp;"",SERVER!$J$3:$J$1009,""),""))</f>
        <v/>
      </c>
      <c r="N987" s="1" t="str" cm="1">
        <f t="array" ref="N987">IF(OR($K987="",$I987="",$J987=""),"",_xlfn.LET(_xlpm.srcCat,_xlfn.SWITCH($I987,"Computer",_xlfn.XLOOKUP($K987&amp;"",COMPUTER!$B$3:$B$1009&amp;"",COMPUTER!$H$3:$H$1009,""),"Display",_xlfn.XLOOKUP($K987&amp;"",DISPLAY!$B$3:$B$1000&amp;"",DISPLAY!$H$3:$H$1000,""),"Network Device",_xlfn.XLOOKUP($K987&amp;"",'NETWORK-DEVICES'!$B$3:$B$987&amp;"",'NETWORK-DEVICES'!$H$3:$H$987,""),"Peripheral",_xlfn.XLOOKUP($K987&amp;"",PERIPHERAL!$B$3:$B$954&amp;"",PERIPHERAL!$H$3:$H$954,""),"Utilities",_xlfn.XLOOKUP($K987&amp;"",UTILITIES!$B$3:$B$953&amp;"",UTILITIES!$G$3:$G$953,""),"IOT",_xlfn.XLOOKUP($K987&amp;"",IOT!$B$3:$B$1012&amp;"",IOT!$H$3:$H$1012,""),"Server",_xlfn.XLOOKUP($K987&amp;"",SERVER!$B$3:$B$1009&amp;"",SERVER!$H$3:$H$1009,""),""),IF(TRIM(_xlpm.srcCat)&lt;&gt;TRIM($J987),"",_xlfn.SWITCH($I987,"Computer",_xlfn.XLOOKUP($K987&amp;"",COMPUTER!$B$3:$B$1009&amp;"",COMPUTER!$K$3:$K$1009,""),"Display",_xlfn.XLOOKUP($K987&amp;"",DISPLAY!$B$3:$B$1000&amp;"",DISPLAY!$L$3:$L$1000,""),"Network Device",_xlfn.XLOOKUP($K987&amp;"",'NETWORK-DEVICES'!$B$3:$B$987&amp;"",'NETWORK-DEVICES'!$K$3:$K$987,""),"Peripheral",_xlfn.XLOOKUP($K987&amp;"",PERIPHERAL!$B$3:$B$954&amp;"",PERIPHERAL!$K$3:$K$954,""),"Utilities",_xlfn.XLOOKUP($K987&amp;"",UTILITIES!$B$3:$B$953&amp;"",UTILITIES!$J$3:$J$953,""),"IOT",_xlfn.XLOOKUP($K987&amp;"",IOT!$B$3:$B$1012&amp;"",IOT!$K$4:$K$1012,""),"Server",_xlfn.XLOOKUP($K987&amp;"",SERVER!$B$3:$B$1009&amp;"",SERVER!$K$3:$K$1009,""),""))))</f>
        <v/>
      </c>
      <c r="O987" s="1" t="str" cm="1">
        <f t="array" ref="O987">IF(OR($K987="",$I987="",$J987=""),"",_xlfn.LET(_xlpm.srcCat,_xlfn.SWITCH($I987,"Computer",_xlfn.XLOOKUP($K987&amp;"",COMPUTER!$B$3:$B$1009&amp;"",COMPUTER!$H$3:$H$1009,""),"Display",_xlfn.XLOOKUP($K987&amp;"",DISPLAY!$B$3:$B$1000&amp;"",DISPLAY!$H$3:$H$1000,""),"Network Device",_xlfn.XLOOKUP($K987&amp;"",'NETWORK-DEVICES'!$B$3:$B$987&amp;"",'NETWORK-DEVICES'!$H$3:$H$987,""),"Peripheral",_xlfn.XLOOKUP($K987&amp;"",PERIPHERAL!$B$3:$B$954&amp;"",PERIPHERAL!$H$3:$H$954,""),"Utilities",_xlfn.XLOOKUP($K987&amp;"",UTILITIES!$B$3:$B$953&amp;"",UTILITIES!$G$3:$G$953,""),"IOT",_xlfn.XLOOKUP($K987&amp;"",IOT!$B$3:$B$1012&amp;"",IOT!$H$3:$H$1012,""),"Server",_xlfn.XLOOKUP($K987&amp;"",SERVER!$B$3:$B$1009&amp;"",SERVER!$H$3:$H$1009,""),""),IF(TRIM(_xlpm.srcCat)&lt;&gt;TRIM($J987),"",_xlfn.SWITCH($I987,"Computer",_xlfn.XLOOKUP($K987&amp;"",COMPUTER!$B$3:$B$1009&amp;"",COMPUTER!$E$3:$E$1009,""),"Display",_xlfn.XLOOKUP($K987&amp;"",DISPLAY!$B$3:$B$1000&amp;"",DISPLAY!$E$3:$E$1000,""),"Network Device",_xlfn.XLOOKUP($K987&amp;"",'NETWORK-DEVICES'!$B$3:$B$987&amp;"",'NETWORK-DEVICES'!$E$3:$E$987,""),"Peripheral",_xlfn.XLOOKUP($K987&amp;"",PERIPHERAL!$B$3:$B$954&amp;"",PERIPHERAL!$E$3:$E$954,""),"Utilities",_xlfn.XLOOKUP($K987&amp;"",UTILITIES!$B$3:$B$953&amp;"",UTILITIES!$E$3:$E$953,""),"IOT",_xlfn.XLOOKUP($K987&amp;"",IOT!$B$3:$B$1012&amp;"",IOT!$E$3:$E$1012,""),"Server",_xlfn.XLOOKUP($K987&amp;"",SERVER!$B$3:$B$1009&amp;"",SERVER!$E$3:$E$1009,""),""))))</f>
        <v/>
      </c>
      <c r="Q987" s="1" t="str" cm="1">
        <f t="array" ref="Q987">IF(OR($K987="",$I987="",$J987=""),"",_xlfn.LET(_xlpm.srcCat,_xlfn.SWITCH($I987,"Computer",_xlfn.XLOOKUP($K987&amp;"",COMPUTER!$B$3:$B$1009&amp;"",COMPUTER!$H$3:$H$1009,""),"Display",_xlfn.XLOOKUP($K987&amp;"",DISPLAY!$B$3:$B$1000&amp;"",DISPLAY!$H$3:$H$1000,""),"Network Device",_xlfn.XLOOKUP($K987&amp;"",'NETWORK-DEVICES'!$B$3:$B$987&amp;"",'NETWORK-DEVICES'!$H$3:$H$987,""),"Peripheral",_xlfn.XLOOKUP($K987&amp;"",PERIPHERAL!$B$3:$B$954&amp;"",PERIPHERAL!$H$3:$H$954,""),"Utilities",_xlfn.XLOOKUP($K987&amp;"",UTILITIES!$B$3:$B$953&amp;"",UTILITIES!$G$3:$G$953,""),"IOT",_xlfn.XLOOKUP($K987&amp;"",IOT!$B$3:$B$1012&amp;"",IOT!$H$3:$H$1012,""),"Server",_xlfn.XLOOKUP($K987&amp;"",SERVER!$B$3:$B$1009&amp;"",SERVER!$H$3:$H$1009,""),""),IF(TRIM(_xlpm.srcCat)&lt;&gt;TRIM($J987),"",_xlfn.SWITCH($I987,"Computer",_xlfn.XLOOKUP($K987&amp;"",COMPUTER!$B$3:$B$1009&amp;"",COMPUTER!$AM$3:$AM$1009,""),"Display",_xlfn.XLOOKUP($K987&amp;"",DISPLAY!$B$3:$B$1000&amp;"",DISPLAY!$V$3:$V$1000,""),"Network Device",_xlfn.XLOOKUP($K987&amp;"",'NETWORK-DEVICES'!$B$3:$B$987&amp;"",'NETWORK-DEVICES'!$AF$3:$AF$987,""),"Peripheral",_xlfn.XLOOKUP($K987&amp;"",PERIPHERAL!$B$3:$B$954&amp;"",PERIPHERAL!$Y$3:$Y$954,""),"Utilities",_xlfn.XLOOKUP($K987&amp;"",UTILITIES!$B$3:$B$953&amp;"",UTILITIES!$O$3:$O$953,""),"IOT",_xlfn.XLOOKUP($K987&amp;"",IOT!$B$3:$B$1012&amp;"",IOT!$AB$3:$AB$1012,""),"Server",_xlfn.XLOOKUP($K987&amp;"",SERVER!$B$3:$B$1009&amp;"",SERVER!$AB$3:$AB$1009,""),""))))</f>
        <v/>
      </c>
      <c r="R987" s="43" t="str">
        <f>IF(tbl_handover[[#This Row],[Asset Code]]="","",COUNTIF(tbl_handover[Asset Code],tbl_handover[[#This Row],[Asset Code]]))</f>
        <v/>
      </c>
    </row>
    <row r="988" spans="1:18" x14ac:dyDescent="0.25">
      <c r="A988" s="43" t="str">
        <f>IF(B988&lt;&gt;"",SUBTOTAL(3,$B$1:B987),"")</f>
        <v/>
      </c>
      <c r="C988" s="74"/>
      <c r="D988" s="74"/>
      <c r="G988" s="1"/>
      <c r="K988" s="42"/>
      <c r="L988" t="str" cm="1">
        <f t="array" ref="L988">IF($K988="","",_xlfn.SWITCH($I988,"Computer",_xlfn.XLOOKUP($K988&amp;"",COMPUTER!$B$3:$B$1009&amp;"",COMPUTER!$I$3:$I$1009,""),"Display",_xlfn.XLOOKUP($K988&amp;"",DISPLAY!$B$3:$B$1000&amp;"",DISPLAY!$J$3:$J$1000,""),"Network Device",_xlfn.XLOOKUP($K988&amp;"",'NETWORK-DEVICES'!$B$3:$B$987&amp;"",'NETWORK-DEVICES'!$I$3:$I$987,""),"Peripheral",_xlfn.XLOOKUP($K988&amp;"",PERIPHERAL!$B$3:$B$954&amp;"",PERIPHERAL!$I$3:$I$954,""),"Utilities",_xlfn.XLOOKUP($K988&amp;"",UTILITIES!$B$3:$B$953&amp;"",UTILITIES!$H$3:$H$953,""),"IOT",_xlfn.XLOOKUP($K988&amp;"",IOT!$B$3:$B$1012&amp;"",IOT!$I$3:$I$1012,""),"SERVER",_xlfn.XLOOKUP($K988&amp;"",SERVER!$B$3:$B$1009&amp;"",SERVER!$I$3:$I$1009,""),""))</f>
        <v/>
      </c>
      <c r="M988" t="str" cm="1">
        <f t="array" ref="M988">IF($K988="","",_xlfn.SWITCH($I988,"Computer",_xlfn.XLOOKUP($K988&amp;"",COMPUTER!$B$3:$B$1009&amp;"",COMPUTER!$J$3:$J$1009,""),"Display",_xlfn.XLOOKUP($K988&amp;"",DISPLAY!$B$3:$B$1000&amp;"",DISPLAY!$K$3:$K$1000,""),"Network Device",_xlfn.XLOOKUP($K988&amp;"",'NETWORK-DEVICES'!$B$3:$B$987&amp;"",'NETWORK-DEVICES'!$I$3:$I$987,""),"Peripheral",_xlfn.XLOOKUP($K988&amp;"",PERIPHERAL!$B$3:$B$954&amp;"",PERIPHERAL!$J$3:$J$954,""),"Utilities",_xlfn.XLOOKUP($K988&amp;"",UTILITIES!$B$3:$B$953&amp;"",UTILITIES!$I$3:$I$953,""),"IOT",_xlfn.XLOOKUP($K988&amp;"",IOT!$B$3:$B$1012&amp;"",IOT!$J$3:$J$1012,""),"Server",_xlfn.XLOOKUP($K988&amp;"",SERVER!$B$3:$B$1009&amp;"",SERVER!$J$3:$J$1009,""),""))</f>
        <v/>
      </c>
      <c r="N988" s="1" t="str" cm="1">
        <f t="array" ref="N988">IF(OR($K988="",$I988="",$J988=""),"",_xlfn.LET(_xlpm.srcCat,_xlfn.SWITCH($I988,"Computer",_xlfn.XLOOKUP($K988&amp;"",COMPUTER!$B$3:$B$1009&amp;"",COMPUTER!$H$3:$H$1009,""),"Display",_xlfn.XLOOKUP($K988&amp;"",DISPLAY!$B$3:$B$1000&amp;"",DISPLAY!$H$3:$H$1000,""),"Network Device",_xlfn.XLOOKUP($K988&amp;"",'NETWORK-DEVICES'!$B$3:$B$987&amp;"",'NETWORK-DEVICES'!$H$3:$H$987,""),"Peripheral",_xlfn.XLOOKUP($K988&amp;"",PERIPHERAL!$B$3:$B$954&amp;"",PERIPHERAL!$H$3:$H$954,""),"Utilities",_xlfn.XLOOKUP($K988&amp;"",UTILITIES!$B$3:$B$953&amp;"",UTILITIES!$G$3:$G$953,""),"IOT",_xlfn.XLOOKUP($K988&amp;"",IOT!$B$3:$B$1012&amp;"",IOT!$H$3:$H$1012,""),"Server",_xlfn.XLOOKUP($K988&amp;"",SERVER!$B$3:$B$1009&amp;"",SERVER!$H$3:$H$1009,""),""),IF(TRIM(_xlpm.srcCat)&lt;&gt;TRIM($J988),"",_xlfn.SWITCH($I988,"Computer",_xlfn.XLOOKUP($K988&amp;"",COMPUTER!$B$3:$B$1009&amp;"",COMPUTER!$K$3:$K$1009,""),"Display",_xlfn.XLOOKUP($K988&amp;"",DISPLAY!$B$3:$B$1000&amp;"",DISPLAY!$L$3:$L$1000,""),"Network Device",_xlfn.XLOOKUP($K988&amp;"",'NETWORK-DEVICES'!$B$3:$B$987&amp;"",'NETWORK-DEVICES'!$K$3:$K$987,""),"Peripheral",_xlfn.XLOOKUP($K988&amp;"",PERIPHERAL!$B$3:$B$954&amp;"",PERIPHERAL!$K$3:$K$954,""),"Utilities",_xlfn.XLOOKUP($K988&amp;"",UTILITIES!$B$3:$B$953&amp;"",UTILITIES!$J$3:$J$953,""),"IOT",_xlfn.XLOOKUP($K988&amp;"",IOT!$B$3:$B$1012&amp;"",IOT!$K$4:$K$1012,""),"Server",_xlfn.XLOOKUP($K988&amp;"",SERVER!$B$3:$B$1009&amp;"",SERVER!$K$3:$K$1009,""),""))))</f>
        <v/>
      </c>
      <c r="O988" s="1" t="str" cm="1">
        <f t="array" ref="O988">IF(OR($K988="",$I988="",$J988=""),"",_xlfn.LET(_xlpm.srcCat,_xlfn.SWITCH($I988,"Computer",_xlfn.XLOOKUP($K988&amp;"",COMPUTER!$B$3:$B$1009&amp;"",COMPUTER!$H$3:$H$1009,""),"Display",_xlfn.XLOOKUP($K988&amp;"",DISPLAY!$B$3:$B$1000&amp;"",DISPLAY!$H$3:$H$1000,""),"Network Device",_xlfn.XLOOKUP($K988&amp;"",'NETWORK-DEVICES'!$B$3:$B$987&amp;"",'NETWORK-DEVICES'!$H$3:$H$987,""),"Peripheral",_xlfn.XLOOKUP($K988&amp;"",PERIPHERAL!$B$3:$B$954&amp;"",PERIPHERAL!$H$3:$H$954,""),"Utilities",_xlfn.XLOOKUP($K988&amp;"",UTILITIES!$B$3:$B$953&amp;"",UTILITIES!$G$3:$G$953,""),"IOT",_xlfn.XLOOKUP($K988&amp;"",IOT!$B$3:$B$1012&amp;"",IOT!$H$3:$H$1012,""),"Server",_xlfn.XLOOKUP($K988&amp;"",SERVER!$B$3:$B$1009&amp;"",SERVER!$H$3:$H$1009,""),""),IF(TRIM(_xlpm.srcCat)&lt;&gt;TRIM($J988),"",_xlfn.SWITCH($I988,"Computer",_xlfn.XLOOKUP($K988&amp;"",COMPUTER!$B$3:$B$1009&amp;"",COMPUTER!$E$3:$E$1009,""),"Display",_xlfn.XLOOKUP($K988&amp;"",DISPLAY!$B$3:$B$1000&amp;"",DISPLAY!$E$3:$E$1000,""),"Network Device",_xlfn.XLOOKUP($K988&amp;"",'NETWORK-DEVICES'!$B$3:$B$987&amp;"",'NETWORK-DEVICES'!$E$3:$E$987,""),"Peripheral",_xlfn.XLOOKUP($K988&amp;"",PERIPHERAL!$B$3:$B$954&amp;"",PERIPHERAL!$E$3:$E$954,""),"Utilities",_xlfn.XLOOKUP($K988&amp;"",UTILITIES!$B$3:$B$953&amp;"",UTILITIES!$E$3:$E$953,""),"IOT",_xlfn.XLOOKUP($K988&amp;"",IOT!$B$3:$B$1012&amp;"",IOT!$E$3:$E$1012,""),"Server",_xlfn.XLOOKUP($K988&amp;"",SERVER!$B$3:$B$1009&amp;"",SERVER!$E$3:$E$1009,""),""))))</f>
        <v/>
      </c>
      <c r="Q988" s="1" t="str" cm="1">
        <f t="array" ref="Q988">IF(OR($K988="",$I988="",$J988=""),"",_xlfn.LET(_xlpm.srcCat,_xlfn.SWITCH($I988,"Computer",_xlfn.XLOOKUP($K988&amp;"",COMPUTER!$B$3:$B$1009&amp;"",COMPUTER!$H$3:$H$1009,""),"Display",_xlfn.XLOOKUP($K988&amp;"",DISPLAY!$B$3:$B$1000&amp;"",DISPLAY!$H$3:$H$1000,""),"Network Device",_xlfn.XLOOKUP($K988&amp;"",'NETWORK-DEVICES'!$B$3:$B$987&amp;"",'NETWORK-DEVICES'!$H$3:$H$987,""),"Peripheral",_xlfn.XLOOKUP($K988&amp;"",PERIPHERAL!$B$3:$B$954&amp;"",PERIPHERAL!$H$3:$H$954,""),"Utilities",_xlfn.XLOOKUP($K988&amp;"",UTILITIES!$B$3:$B$953&amp;"",UTILITIES!$G$3:$G$953,""),"IOT",_xlfn.XLOOKUP($K988&amp;"",IOT!$B$3:$B$1012&amp;"",IOT!$H$3:$H$1012,""),"Server",_xlfn.XLOOKUP($K988&amp;"",SERVER!$B$3:$B$1009&amp;"",SERVER!$H$3:$H$1009,""),""),IF(TRIM(_xlpm.srcCat)&lt;&gt;TRIM($J988),"",_xlfn.SWITCH($I988,"Computer",_xlfn.XLOOKUP($K988&amp;"",COMPUTER!$B$3:$B$1009&amp;"",COMPUTER!$AM$3:$AM$1009,""),"Display",_xlfn.XLOOKUP($K988&amp;"",DISPLAY!$B$3:$B$1000&amp;"",DISPLAY!$V$3:$V$1000,""),"Network Device",_xlfn.XLOOKUP($K988&amp;"",'NETWORK-DEVICES'!$B$3:$B$987&amp;"",'NETWORK-DEVICES'!$AF$3:$AF$987,""),"Peripheral",_xlfn.XLOOKUP($K988&amp;"",PERIPHERAL!$B$3:$B$954&amp;"",PERIPHERAL!$Y$3:$Y$954,""),"Utilities",_xlfn.XLOOKUP($K988&amp;"",UTILITIES!$B$3:$B$953&amp;"",UTILITIES!$O$3:$O$953,""),"IOT",_xlfn.XLOOKUP($K988&amp;"",IOT!$B$3:$B$1012&amp;"",IOT!$AB$3:$AB$1012,""),"Server",_xlfn.XLOOKUP($K988&amp;"",SERVER!$B$3:$B$1009&amp;"",SERVER!$AB$3:$AB$1009,""),""))))</f>
        <v/>
      </c>
      <c r="R988" s="43" t="str">
        <f>IF(tbl_handover[[#This Row],[Asset Code]]="","",COUNTIF(tbl_handover[Asset Code],tbl_handover[[#This Row],[Asset Code]]))</f>
        <v/>
      </c>
    </row>
    <row r="989" spans="1:18" x14ac:dyDescent="0.25">
      <c r="A989" s="43" t="str">
        <f>IF(B989&lt;&gt;"",SUBTOTAL(3,$B$1:B988),"")</f>
        <v/>
      </c>
      <c r="C989" s="74"/>
      <c r="D989" s="74"/>
      <c r="G989" s="1"/>
      <c r="K989" s="42"/>
      <c r="L989" t="str" cm="1">
        <f t="array" ref="L989">IF($K989="","",_xlfn.SWITCH($I989,"Computer",_xlfn.XLOOKUP($K989&amp;"",COMPUTER!$B$3:$B$1009&amp;"",COMPUTER!$I$3:$I$1009,""),"Display",_xlfn.XLOOKUP($K989&amp;"",DISPLAY!$B$3:$B$1000&amp;"",DISPLAY!$J$3:$J$1000,""),"Network Device",_xlfn.XLOOKUP($K989&amp;"",'NETWORK-DEVICES'!$B$3:$B$987&amp;"",'NETWORK-DEVICES'!$I$3:$I$987,""),"Peripheral",_xlfn.XLOOKUP($K989&amp;"",PERIPHERAL!$B$3:$B$954&amp;"",PERIPHERAL!$I$3:$I$954,""),"Utilities",_xlfn.XLOOKUP($K989&amp;"",UTILITIES!$B$3:$B$953&amp;"",UTILITIES!$H$3:$H$953,""),"IOT",_xlfn.XLOOKUP($K989&amp;"",IOT!$B$3:$B$1012&amp;"",IOT!$I$3:$I$1012,""),"SERVER",_xlfn.XLOOKUP($K989&amp;"",SERVER!$B$3:$B$1009&amp;"",SERVER!$I$3:$I$1009,""),""))</f>
        <v/>
      </c>
      <c r="M989" t="str" cm="1">
        <f t="array" ref="M989">IF($K989="","",_xlfn.SWITCH($I989,"Computer",_xlfn.XLOOKUP($K989&amp;"",COMPUTER!$B$3:$B$1009&amp;"",COMPUTER!$J$3:$J$1009,""),"Display",_xlfn.XLOOKUP($K989&amp;"",DISPLAY!$B$3:$B$1000&amp;"",DISPLAY!$K$3:$K$1000,""),"Network Device",_xlfn.XLOOKUP($K989&amp;"",'NETWORK-DEVICES'!$B$3:$B$987&amp;"",'NETWORK-DEVICES'!$I$3:$I$987,""),"Peripheral",_xlfn.XLOOKUP($K989&amp;"",PERIPHERAL!$B$3:$B$954&amp;"",PERIPHERAL!$J$3:$J$954,""),"Utilities",_xlfn.XLOOKUP($K989&amp;"",UTILITIES!$B$3:$B$953&amp;"",UTILITIES!$I$3:$I$953,""),"IOT",_xlfn.XLOOKUP($K989&amp;"",IOT!$B$3:$B$1012&amp;"",IOT!$J$3:$J$1012,""),"Server",_xlfn.XLOOKUP($K989&amp;"",SERVER!$B$3:$B$1009&amp;"",SERVER!$J$3:$J$1009,""),""))</f>
        <v/>
      </c>
      <c r="N989" s="1" t="str" cm="1">
        <f t="array" ref="N989">IF(OR($K989="",$I989="",$J989=""),"",_xlfn.LET(_xlpm.srcCat,_xlfn.SWITCH($I989,"Computer",_xlfn.XLOOKUP($K989&amp;"",COMPUTER!$B$3:$B$1009&amp;"",COMPUTER!$H$3:$H$1009,""),"Display",_xlfn.XLOOKUP($K989&amp;"",DISPLAY!$B$3:$B$1000&amp;"",DISPLAY!$H$3:$H$1000,""),"Network Device",_xlfn.XLOOKUP($K989&amp;"",'NETWORK-DEVICES'!$B$3:$B$987&amp;"",'NETWORK-DEVICES'!$H$3:$H$987,""),"Peripheral",_xlfn.XLOOKUP($K989&amp;"",PERIPHERAL!$B$3:$B$954&amp;"",PERIPHERAL!$H$3:$H$954,""),"Utilities",_xlfn.XLOOKUP($K989&amp;"",UTILITIES!$B$3:$B$953&amp;"",UTILITIES!$G$3:$G$953,""),"IOT",_xlfn.XLOOKUP($K989&amp;"",IOT!$B$3:$B$1012&amp;"",IOT!$H$3:$H$1012,""),"Server",_xlfn.XLOOKUP($K989&amp;"",SERVER!$B$3:$B$1009&amp;"",SERVER!$H$3:$H$1009,""),""),IF(TRIM(_xlpm.srcCat)&lt;&gt;TRIM($J989),"",_xlfn.SWITCH($I989,"Computer",_xlfn.XLOOKUP($K989&amp;"",COMPUTER!$B$3:$B$1009&amp;"",COMPUTER!$K$3:$K$1009,""),"Display",_xlfn.XLOOKUP($K989&amp;"",DISPLAY!$B$3:$B$1000&amp;"",DISPLAY!$L$3:$L$1000,""),"Network Device",_xlfn.XLOOKUP($K989&amp;"",'NETWORK-DEVICES'!$B$3:$B$987&amp;"",'NETWORK-DEVICES'!$K$3:$K$987,""),"Peripheral",_xlfn.XLOOKUP($K989&amp;"",PERIPHERAL!$B$3:$B$954&amp;"",PERIPHERAL!$K$3:$K$954,""),"Utilities",_xlfn.XLOOKUP($K989&amp;"",UTILITIES!$B$3:$B$953&amp;"",UTILITIES!$J$3:$J$953,""),"IOT",_xlfn.XLOOKUP($K989&amp;"",IOT!$B$3:$B$1012&amp;"",IOT!$K$4:$K$1012,""),"Server",_xlfn.XLOOKUP($K989&amp;"",SERVER!$B$3:$B$1009&amp;"",SERVER!$K$3:$K$1009,""),""))))</f>
        <v/>
      </c>
      <c r="O989" s="1" t="str" cm="1">
        <f t="array" ref="O989">IF(OR($K989="",$I989="",$J989=""),"",_xlfn.LET(_xlpm.srcCat,_xlfn.SWITCH($I989,"Computer",_xlfn.XLOOKUP($K989&amp;"",COMPUTER!$B$3:$B$1009&amp;"",COMPUTER!$H$3:$H$1009,""),"Display",_xlfn.XLOOKUP($K989&amp;"",DISPLAY!$B$3:$B$1000&amp;"",DISPLAY!$H$3:$H$1000,""),"Network Device",_xlfn.XLOOKUP($K989&amp;"",'NETWORK-DEVICES'!$B$3:$B$987&amp;"",'NETWORK-DEVICES'!$H$3:$H$987,""),"Peripheral",_xlfn.XLOOKUP($K989&amp;"",PERIPHERAL!$B$3:$B$954&amp;"",PERIPHERAL!$H$3:$H$954,""),"Utilities",_xlfn.XLOOKUP($K989&amp;"",UTILITIES!$B$3:$B$953&amp;"",UTILITIES!$G$3:$G$953,""),"IOT",_xlfn.XLOOKUP($K989&amp;"",IOT!$B$3:$B$1012&amp;"",IOT!$H$3:$H$1012,""),"Server",_xlfn.XLOOKUP($K989&amp;"",SERVER!$B$3:$B$1009&amp;"",SERVER!$H$3:$H$1009,""),""),IF(TRIM(_xlpm.srcCat)&lt;&gt;TRIM($J989),"",_xlfn.SWITCH($I989,"Computer",_xlfn.XLOOKUP($K989&amp;"",COMPUTER!$B$3:$B$1009&amp;"",COMPUTER!$E$3:$E$1009,""),"Display",_xlfn.XLOOKUP($K989&amp;"",DISPLAY!$B$3:$B$1000&amp;"",DISPLAY!$E$3:$E$1000,""),"Network Device",_xlfn.XLOOKUP($K989&amp;"",'NETWORK-DEVICES'!$B$3:$B$987&amp;"",'NETWORK-DEVICES'!$E$3:$E$987,""),"Peripheral",_xlfn.XLOOKUP($K989&amp;"",PERIPHERAL!$B$3:$B$954&amp;"",PERIPHERAL!$E$3:$E$954,""),"Utilities",_xlfn.XLOOKUP($K989&amp;"",UTILITIES!$B$3:$B$953&amp;"",UTILITIES!$E$3:$E$953,""),"IOT",_xlfn.XLOOKUP($K989&amp;"",IOT!$B$3:$B$1012&amp;"",IOT!$E$3:$E$1012,""),"Server",_xlfn.XLOOKUP($K989&amp;"",SERVER!$B$3:$B$1009&amp;"",SERVER!$E$3:$E$1009,""),""))))</f>
        <v/>
      </c>
      <c r="Q989" s="1" t="str" cm="1">
        <f t="array" ref="Q989">IF(OR($K989="",$I989="",$J989=""),"",_xlfn.LET(_xlpm.srcCat,_xlfn.SWITCH($I989,"Computer",_xlfn.XLOOKUP($K989&amp;"",COMPUTER!$B$3:$B$1009&amp;"",COMPUTER!$H$3:$H$1009,""),"Display",_xlfn.XLOOKUP($K989&amp;"",DISPLAY!$B$3:$B$1000&amp;"",DISPLAY!$H$3:$H$1000,""),"Network Device",_xlfn.XLOOKUP($K989&amp;"",'NETWORK-DEVICES'!$B$3:$B$987&amp;"",'NETWORK-DEVICES'!$H$3:$H$987,""),"Peripheral",_xlfn.XLOOKUP($K989&amp;"",PERIPHERAL!$B$3:$B$954&amp;"",PERIPHERAL!$H$3:$H$954,""),"Utilities",_xlfn.XLOOKUP($K989&amp;"",UTILITIES!$B$3:$B$953&amp;"",UTILITIES!$G$3:$G$953,""),"IOT",_xlfn.XLOOKUP($K989&amp;"",IOT!$B$3:$B$1012&amp;"",IOT!$H$3:$H$1012,""),"Server",_xlfn.XLOOKUP($K989&amp;"",SERVER!$B$3:$B$1009&amp;"",SERVER!$H$3:$H$1009,""),""),IF(TRIM(_xlpm.srcCat)&lt;&gt;TRIM($J989),"",_xlfn.SWITCH($I989,"Computer",_xlfn.XLOOKUP($K989&amp;"",COMPUTER!$B$3:$B$1009&amp;"",COMPUTER!$AM$3:$AM$1009,""),"Display",_xlfn.XLOOKUP($K989&amp;"",DISPLAY!$B$3:$B$1000&amp;"",DISPLAY!$V$3:$V$1000,""),"Network Device",_xlfn.XLOOKUP($K989&amp;"",'NETWORK-DEVICES'!$B$3:$B$987&amp;"",'NETWORK-DEVICES'!$AF$3:$AF$987,""),"Peripheral",_xlfn.XLOOKUP($K989&amp;"",PERIPHERAL!$B$3:$B$954&amp;"",PERIPHERAL!$Y$3:$Y$954,""),"Utilities",_xlfn.XLOOKUP($K989&amp;"",UTILITIES!$B$3:$B$953&amp;"",UTILITIES!$O$3:$O$953,""),"IOT",_xlfn.XLOOKUP($K989&amp;"",IOT!$B$3:$B$1012&amp;"",IOT!$AB$3:$AB$1012,""),"Server",_xlfn.XLOOKUP($K989&amp;"",SERVER!$B$3:$B$1009&amp;"",SERVER!$AB$3:$AB$1009,""),""))))</f>
        <v/>
      </c>
      <c r="R989" s="43" t="str">
        <f>IF(tbl_handover[[#This Row],[Asset Code]]="","",COUNTIF(tbl_handover[Asset Code],tbl_handover[[#This Row],[Asset Code]]))</f>
        <v/>
      </c>
    </row>
    <row r="990" spans="1:18" x14ac:dyDescent="0.25">
      <c r="A990" s="43" t="str">
        <f>IF(B990&lt;&gt;"",SUBTOTAL(3,$B$1:B989),"")</f>
        <v/>
      </c>
      <c r="C990" s="74"/>
      <c r="D990" s="74"/>
      <c r="G990" s="1"/>
      <c r="K990" s="42"/>
      <c r="L990" t="str" cm="1">
        <f t="array" ref="L990">IF($K990="","",_xlfn.SWITCH($I990,"Computer",_xlfn.XLOOKUP($K990&amp;"",COMPUTER!$B$3:$B$1009&amp;"",COMPUTER!$I$3:$I$1009,""),"Display",_xlfn.XLOOKUP($K990&amp;"",DISPLAY!$B$3:$B$1000&amp;"",DISPLAY!$J$3:$J$1000,""),"Network Device",_xlfn.XLOOKUP($K990&amp;"",'NETWORK-DEVICES'!$B$3:$B$987&amp;"",'NETWORK-DEVICES'!$I$3:$I$987,""),"Peripheral",_xlfn.XLOOKUP($K990&amp;"",PERIPHERAL!$B$3:$B$954&amp;"",PERIPHERAL!$I$3:$I$954,""),"Utilities",_xlfn.XLOOKUP($K990&amp;"",UTILITIES!$B$3:$B$953&amp;"",UTILITIES!$H$3:$H$953,""),"IOT",_xlfn.XLOOKUP($K990&amp;"",IOT!$B$3:$B$1012&amp;"",IOT!$I$3:$I$1012,""),"SERVER",_xlfn.XLOOKUP($K990&amp;"",SERVER!$B$3:$B$1009&amp;"",SERVER!$I$3:$I$1009,""),""))</f>
        <v/>
      </c>
      <c r="M990" t="str" cm="1">
        <f t="array" ref="M990">IF($K990="","",_xlfn.SWITCH($I990,"Computer",_xlfn.XLOOKUP($K990&amp;"",COMPUTER!$B$3:$B$1009&amp;"",COMPUTER!$J$3:$J$1009,""),"Display",_xlfn.XLOOKUP($K990&amp;"",DISPLAY!$B$3:$B$1000&amp;"",DISPLAY!$K$3:$K$1000,""),"Network Device",_xlfn.XLOOKUP($K990&amp;"",'NETWORK-DEVICES'!$B$3:$B$987&amp;"",'NETWORK-DEVICES'!$I$3:$I$987,""),"Peripheral",_xlfn.XLOOKUP($K990&amp;"",PERIPHERAL!$B$3:$B$954&amp;"",PERIPHERAL!$J$3:$J$954,""),"Utilities",_xlfn.XLOOKUP($K990&amp;"",UTILITIES!$B$3:$B$953&amp;"",UTILITIES!$I$3:$I$953,""),"IOT",_xlfn.XLOOKUP($K990&amp;"",IOT!$B$3:$B$1012&amp;"",IOT!$J$3:$J$1012,""),"Server",_xlfn.XLOOKUP($K990&amp;"",SERVER!$B$3:$B$1009&amp;"",SERVER!$J$3:$J$1009,""),""))</f>
        <v/>
      </c>
      <c r="N990" s="1" t="str" cm="1">
        <f t="array" ref="N990">IF(OR($K990="",$I990="",$J990=""),"",_xlfn.LET(_xlpm.srcCat,_xlfn.SWITCH($I990,"Computer",_xlfn.XLOOKUP($K990&amp;"",COMPUTER!$B$3:$B$1009&amp;"",COMPUTER!$H$3:$H$1009,""),"Display",_xlfn.XLOOKUP($K990&amp;"",DISPLAY!$B$3:$B$1000&amp;"",DISPLAY!$H$3:$H$1000,""),"Network Device",_xlfn.XLOOKUP($K990&amp;"",'NETWORK-DEVICES'!$B$3:$B$987&amp;"",'NETWORK-DEVICES'!$H$3:$H$987,""),"Peripheral",_xlfn.XLOOKUP($K990&amp;"",PERIPHERAL!$B$3:$B$954&amp;"",PERIPHERAL!$H$3:$H$954,""),"Utilities",_xlfn.XLOOKUP($K990&amp;"",UTILITIES!$B$3:$B$953&amp;"",UTILITIES!$G$3:$G$953,""),"IOT",_xlfn.XLOOKUP($K990&amp;"",IOT!$B$3:$B$1012&amp;"",IOT!$H$3:$H$1012,""),"Server",_xlfn.XLOOKUP($K990&amp;"",SERVER!$B$3:$B$1009&amp;"",SERVER!$H$3:$H$1009,""),""),IF(TRIM(_xlpm.srcCat)&lt;&gt;TRIM($J990),"",_xlfn.SWITCH($I990,"Computer",_xlfn.XLOOKUP($K990&amp;"",COMPUTER!$B$3:$B$1009&amp;"",COMPUTER!$K$3:$K$1009,""),"Display",_xlfn.XLOOKUP($K990&amp;"",DISPLAY!$B$3:$B$1000&amp;"",DISPLAY!$L$3:$L$1000,""),"Network Device",_xlfn.XLOOKUP($K990&amp;"",'NETWORK-DEVICES'!$B$3:$B$987&amp;"",'NETWORK-DEVICES'!$K$3:$K$987,""),"Peripheral",_xlfn.XLOOKUP($K990&amp;"",PERIPHERAL!$B$3:$B$954&amp;"",PERIPHERAL!$K$3:$K$954,""),"Utilities",_xlfn.XLOOKUP($K990&amp;"",UTILITIES!$B$3:$B$953&amp;"",UTILITIES!$J$3:$J$953,""),"IOT",_xlfn.XLOOKUP($K990&amp;"",IOT!$B$3:$B$1012&amp;"",IOT!$K$4:$K$1012,""),"Server",_xlfn.XLOOKUP($K990&amp;"",SERVER!$B$3:$B$1009&amp;"",SERVER!$K$3:$K$1009,""),""))))</f>
        <v/>
      </c>
      <c r="O990" s="1" t="str" cm="1">
        <f t="array" ref="O990">IF(OR($K990="",$I990="",$J990=""),"",_xlfn.LET(_xlpm.srcCat,_xlfn.SWITCH($I990,"Computer",_xlfn.XLOOKUP($K990&amp;"",COMPUTER!$B$3:$B$1009&amp;"",COMPUTER!$H$3:$H$1009,""),"Display",_xlfn.XLOOKUP($K990&amp;"",DISPLAY!$B$3:$B$1000&amp;"",DISPLAY!$H$3:$H$1000,""),"Network Device",_xlfn.XLOOKUP($K990&amp;"",'NETWORK-DEVICES'!$B$3:$B$987&amp;"",'NETWORK-DEVICES'!$H$3:$H$987,""),"Peripheral",_xlfn.XLOOKUP($K990&amp;"",PERIPHERAL!$B$3:$B$954&amp;"",PERIPHERAL!$H$3:$H$954,""),"Utilities",_xlfn.XLOOKUP($K990&amp;"",UTILITIES!$B$3:$B$953&amp;"",UTILITIES!$G$3:$G$953,""),"IOT",_xlfn.XLOOKUP($K990&amp;"",IOT!$B$3:$B$1012&amp;"",IOT!$H$3:$H$1012,""),"Server",_xlfn.XLOOKUP($K990&amp;"",SERVER!$B$3:$B$1009&amp;"",SERVER!$H$3:$H$1009,""),""),IF(TRIM(_xlpm.srcCat)&lt;&gt;TRIM($J990),"",_xlfn.SWITCH($I990,"Computer",_xlfn.XLOOKUP($K990&amp;"",COMPUTER!$B$3:$B$1009&amp;"",COMPUTER!$E$3:$E$1009,""),"Display",_xlfn.XLOOKUP($K990&amp;"",DISPLAY!$B$3:$B$1000&amp;"",DISPLAY!$E$3:$E$1000,""),"Network Device",_xlfn.XLOOKUP($K990&amp;"",'NETWORK-DEVICES'!$B$3:$B$987&amp;"",'NETWORK-DEVICES'!$E$3:$E$987,""),"Peripheral",_xlfn.XLOOKUP($K990&amp;"",PERIPHERAL!$B$3:$B$954&amp;"",PERIPHERAL!$E$3:$E$954,""),"Utilities",_xlfn.XLOOKUP($K990&amp;"",UTILITIES!$B$3:$B$953&amp;"",UTILITIES!$E$3:$E$953,""),"IOT",_xlfn.XLOOKUP($K990&amp;"",IOT!$B$3:$B$1012&amp;"",IOT!$E$3:$E$1012,""),"Server",_xlfn.XLOOKUP($K990&amp;"",SERVER!$B$3:$B$1009&amp;"",SERVER!$E$3:$E$1009,""),""))))</f>
        <v/>
      </c>
      <c r="Q990" s="1" t="str" cm="1">
        <f t="array" ref="Q990">IF(OR($K990="",$I990="",$J990=""),"",_xlfn.LET(_xlpm.srcCat,_xlfn.SWITCH($I990,"Computer",_xlfn.XLOOKUP($K990&amp;"",COMPUTER!$B$3:$B$1009&amp;"",COMPUTER!$H$3:$H$1009,""),"Display",_xlfn.XLOOKUP($K990&amp;"",DISPLAY!$B$3:$B$1000&amp;"",DISPLAY!$H$3:$H$1000,""),"Network Device",_xlfn.XLOOKUP($K990&amp;"",'NETWORK-DEVICES'!$B$3:$B$987&amp;"",'NETWORK-DEVICES'!$H$3:$H$987,""),"Peripheral",_xlfn.XLOOKUP($K990&amp;"",PERIPHERAL!$B$3:$B$954&amp;"",PERIPHERAL!$H$3:$H$954,""),"Utilities",_xlfn.XLOOKUP($K990&amp;"",UTILITIES!$B$3:$B$953&amp;"",UTILITIES!$G$3:$G$953,""),"IOT",_xlfn.XLOOKUP($K990&amp;"",IOT!$B$3:$B$1012&amp;"",IOT!$H$3:$H$1012,""),"Server",_xlfn.XLOOKUP($K990&amp;"",SERVER!$B$3:$B$1009&amp;"",SERVER!$H$3:$H$1009,""),""),IF(TRIM(_xlpm.srcCat)&lt;&gt;TRIM($J990),"",_xlfn.SWITCH($I990,"Computer",_xlfn.XLOOKUP($K990&amp;"",COMPUTER!$B$3:$B$1009&amp;"",COMPUTER!$AM$3:$AM$1009,""),"Display",_xlfn.XLOOKUP($K990&amp;"",DISPLAY!$B$3:$B$1000&amp;"",DISPLAY!$V$3:$V$1000,""),"Network Device",_xlfn.XLOOKUP($K990&amp;"",'NETWORK-DEVICES'!$B$3:$B$987&amp;"",'NETWORK-DEVICES'!$AF$3:$AF$987,""),"Peripheral",_xlfn.XLOOKUP($K990&amp;"",PERIPHERAL!$B$3:$B$954&amp;"",PERIPHERAL!$Y$3:$Y$954,""),"Utilities",_xlfn.XLOOKUP($K990&amp;"",UTILITIES!$B$3:$B$953&amp;"",UTILITIES!$O$3:$O$953,""),"IOT",_xlfn.XLOOKUP($K990&amp;"",IOT!$B$3:$B$1012&amp;"",IOT!$AB$3:$AB$1012,""),"Server",_xlfn.XLOOKUP($K990&amp;"",SERVER!$B$3:$B$1009&amp;"",SERVER!$AB$3:$AB$1009,""),""))))</f>
        <v/>
      </c>
      <c r="R990" s="43" t="str">
        <f>IF(tbl_handover[[#This Row],[Asset Code]]="","",COUNTIF(tbl_handover[Asset Code],tbl_handover[[#This Row],[Asset Code]]))</f>
        <v/>
      </c>
    </row>
    <row r="991" spans="1:18" x14ac:dyDescent="0.25">
      <c r="A991" s="43" t="str">
        <f>IF(B991&lt;&gt;"",SUBTOTAL(3,$B$1:B990),"")</f>
        <v/>
      </c>
      <c r="C991" s="74"/>
      <c r="D991" s="74"/>
      <c r="G991" s="1"/>
      <c r="K991" s="42"/>
      <c r="L991" t="str" cm="1">
        <f t="array" ref="L991">IF($K991="","",_xlfn.SWITCH($I991,"Computer",_xlfn.XLOOKUP($K991&amp;"",COMPUTER!$B$3:$B$1009&amp;"",COMPUTER!$I$3:$I$1009,""),"Display",_xlfn.XLOOKUP($K991&amp;"",DISPLAY!$B$3:$B$1000&amp;"",DISPLAY!$J$3:$J$1000,""),"Network Device",_xlfn.XLOOKUP($K991&amp;"",'NETWORK-DEVICES'!$B$3:$B$987&amp;"",'NETWORK-DEVICES'!$I$3:$I$987,""),"Peripheral",_xlfn.XLOOKUP($K991&amp;"",PERIPHERAL!$B$3:$B$954&amp;"",PERIPHERAL!$I$3:$I$954,""),"Utilities",_xlfn.XLOOKUP($K991&amp;"",UTILITIES!$B$3:$B$953&amp;"",UTILITIES!$H$3:$H$953,""),"IOT",_xlfn.XLOOKUP($K991&amp;"",IOT!$B$3:$B$1012&amp;"",IOT!$I$3:$I$1012,""),"SERVER",_xlfn.XLOOKUP($K991&amp;"",SERVER!$B$3:$B$1009&amp;"",SERVER!$I$3:$I$1009,""),""))</f>
        <v/>
      </c>
      <c r="M991" t="str" cm="1">
        <f t="array" ref="M991">IF($K991="","",_xlfn.SWITCH($I991,"Computer",_xlfn.XLOOKUP($K991&amp;"",COMPUTER!$B$3:$B$1009&amp;"",COMPUTER!$J$3:$J$1009,""),"Display",_xlfn.XLOOKUP($K991&amp;"",DISPLAY!$B$3:$B$1000&amp;"",DISPLAY!$K$3:$K$1000,""),"Network Device",_xlfn.XLOOKUP($K991&amp;"",'NETWORK-DEVICES'!$B$3:$B$987&amp;"",'NETWORK-DEVICES'!$I$3:$I$987,""),"Peripheral",_xlfn.XLOOKUP($K991&amp;"",PERIPHERAL!$B$3:$B$954&amp;"",PERIPHERAL!$J$3:$J$954,""),"Utilities",_xlfn.XLOOKUP($K991&amp;"",UTILITIES!$B$3:$B$953&amp;"",UTILITIES!$I$3:$I$953,""),"IOT",_xlfn.XLOOKUP($K991&amp;"",IOT!$B$3:$B$1012&amp;"",IOT!$J$3:$J$1012,""),"Server",_xlfn.XLOOKUP($K991&amp;"",SERVER!$B$3:$B$1009&amp;"",SERVER!$J$3:$J$1009,""),""))</f>
        <v/>
      </c>
      <c r="N991" s="1" t="str" cm="1">
        <f t="array" ref="N991">IF(OR($K991="",$I991="",$J991=""),"",_xlfn.LET(_xlpm.srcCat,_xlfn.SWITCH($I991,"Computer",_xlfn.XLOOKUP($K991&amp;"",COMPUTER!$B$3:$B$1009&amp;"",COMPUTER!$H$3:$H$1009,""),"Display",_xlfn.XLOOKUP($K991&amp;"",DISPLAY!$B$3:$B$1000&amp;"",DISPLAY!$H$3:$H$1000,""),"Network Device",_xlfn.XLOOKUP($K991&amp;"",'NETWORK-DEVICES'!$B$3:$B$987&amp;"",'NETWORK-DEVICES'!$H$3:$H$987,""),"Peripheral",_xlfn.XLOOKUP($K991&amp;"",PERIPHERAL!$B$3:$B$954&amp;"",PERIPHERAL!$H$3:$H$954,""),"Utilities",_xlfn.XLOOKUP($K991&amp;"",UTILITIES!$B$3:$B$953&amp;"",UTILITIES!$G$3:$G$953,""),"IOT",_xlfn.XLOOKUP($K991&amp;"",IOT!$B$3:$B$1012&amp;"",IOT!$H$3:$H$1012,""),"Server",_xlfn.XLOOKUP($K991&amp;"",SERVER!$B$3:$B$1009&amp;"",SERVER!$H$3:$H$1009,""),""),IF(TRIM(_xlpm.srcCat)&lt;&gt;TRIM($J991),"",_xlfn.SWITCH($I991,"Computer",_xlfn.XLOOKUP($K991&amp;"",COMPUTER!$B$3:$B$1009&amp;"",COMPUTER!$K$3:$K$1009,""),"Display",_xlfn.XLOOKUP($K991&amp;"",DISPLAY!$B$3:$B$1000&amp;"",DISPLAY!$L$3:$L$1000,""),"Network Device",_xlfn.XLOOKUP($K991&amp;"",'NETWORK-DEVICES'!$B$3:$B$987&amp;"",'NETWORK-DEVICES'!$K$3:$K$987,""),"Peripheral",_xlfn.XLOOKUP($K991&amp;"",PERIPHERAL!$B$3:$B$954&amp;"",PERIPHERAL!$K$3:$K$954,""),"Utilities",_xlfn.XLOOKUP($K991&amp;"",UTILITIES!$B$3:$B$953&amp;"",UTILITIES!$J$3:$J$953,""),"IOT",_xlfn.XLOOKUP($K991&amp;"",IOT!$B$3:$B$1012&amp;"",IOT!$K$4:$K$1012,""),"Server",_xlfn.XLOOKUP($K991&amp;"",SERVER!$B$3:$B$1009&amp;"",SERVER!$K$3:$K$1009,""),""))))</f>
        <v/>
      </c>
      <c r="O991" s="1" t="str" cm="1">
        <f t="array" ref="O991">IF(OR($K991="",$I991="",$J991=""),"",_xlfn.LET(_xlpm.srcCat,_xlfn.SWITCH($I991,"Computer",_xlfn.XLOOKUP($K991&amp;"",COMPUTER!$B$3:$B$1009&amp;"",COMPUTER!$H$3:$H$1009,""),"Display",_xlfn.XLOOKUP($K991&amp;"",DISPLAY!$B$3:$B$1000&amp;"",DISPLAY!$H$3:$H$1000,""),"Network Device",_xlfn.XLOOKUP($K991&amp;"",'NETWORK-DEVICES'!$B$3:$B$987&amp;"",'NETWORK-DEVICES'!$H$3:$H$987,""),"Peripheral",_xlfn.XLOOKUP($K991&amp;"",PERIPHERAL!$B$3:$B$954&amp;"",PERIPHERAL!$H$3:$H$954,""),"Utilities",_xlfn.XLOOKUP($K991&amp;"",UTILITIES!$B$3:$B$953&amp;"",UTILITIES!$G$3:$G$953,""),"IOT",_xlfn.XLOOKUP($K991&amp;"",IOT!$B$3:$B$1012&amp;"",IOT!$H$3:$H$1012,""),"Server",_xlfn.XLOOKUP($K991&amp;"",SERVER!$B$3:$B$1009&amp;"",SERVER!$H$3:$H$1009,""),""),IF(TRIM(_xlpm.srcCat)&lt;&gt;TRIM($J991),"",_xlfn.SWITCH($I991,"Computer",_xlfn.XLOOKUP($K991&amp;"",COMPUTER!$B$3:$B$1009&amp;"",COMPUTER!$E$3:$E$1009,""),"Display",_xlfn.XLOOKUP($K991&amp;"",DISPLAY!$B$3:$B$1000&amp;"",DISPLAY!$E$3:$E$1000,""),"Network Device",_xlfn.XLOOKUP($K991&amp;"",'NETWORK-DEVICES'!$B$3:$B$987&amp;"",'NETWORK-DEVICES'!$E$3:$E$987,""),"Peripheral",_xlfn.XLOOKUP($K991&amp;"",PERIPHERAL!$B$3:$B$954&amp;"",PERIPHERAL!$E$3:$E$954,""),"Utilities",_xlfn.XLOOKUP($K991&amp;"",UTILITIES!$B$3:$B$953&amp;"",UTILITIES!$E$3:$E$953,""),"IOT",_xlfn.XLOOKUP($K991&amp;"",IOT!$B$3:$B$1012&amp;"",IOT!$E$3:$E$1012,""),"Server",_xlfn.XLOOKUP($K991&amp;"",SERVER!$B$3:$B$1009&amp;"",SERVER!$E$3:$E$1009,""),""))))</f>
        <v/>
      </c>
      <c r="Q991" s="1" t="str" cm="1">
        <f t="array" ref="Q991">IF(OR($K991="",$I991="",$J991=""),"",_xlfn.LET(_xlpm.srcCat,_xlfn.SWITCH($I991,"Computer",_xlfn.XLOOKUP($K991&amp;"",COMPUTER!$B$3:$B$1009&amp;"",COMPUTER!$H$3:$H$1009,""),"Display",_xlfn.XLOOKUP($K991&amp;"",DISPLAY!$B$3:$B$1000&amp;"",DISPLAY!$H$3:$H$1000,""),"Network Device",_xlfn.XLOOKUP($K991&amp;"",'NETWORK-DEVICES'!$B$3:$B$987&amp;"",'NETWORK-DEVICES'!$H$3:$H$987,""),"Peripheral",_xlfn.XLOOKUP($K991&amp;"",PERIPHERAL!$B$3:$B$954&amp;"",PERIPHERAL!$H$3:$H$954,""),"Utilities",_xlfn.XLOOKUP($K991&amp;"",UTILITIES!$B$3:$B$953&amp;"",UTILITIES!$G$3:$G$953,""),"IOT",_xlfn.XLOOKUP($K991&amp;"",IOT!$B$3:$B$1012&amp;"",IOT!$H$3:$H$1012,""),"Server",_xlfn.XLOOKUP($K991&amp;"",SERVER!$B$3:$B$1009&amp;"",SERVER!$H$3:$H$1009,""),""),IF(TRIM(_xlpm.srcCat)&lt;&gt;TRIM($J991),"",_xlfn.SWITCH($I991,"Computer",_xlfn.XLOOKUP($K991&amp;"",COMPUTER!$B$3:$B$1009&amp;"",COMPUTER!$AM$3:$AM$1009,""),"Display",_xlfn.XLOOKUP($K991&amp;"",DISPLAY!$B$3:$B$1000&amp;"",DISPLAY!$V$3:$V$1000,""),"Network Device",_xlfn.XLOOKUP($K991&amp;"",'NETWORK-DEVICES'!$B$3:$B$987&amp;"",'NETWORK-DEVICES'!$AF$3:$AF$987,""),"Peripheral",_xlfn.XLOOKUP($K991&amp;"",PERIPHERAL!$B$3:$B$954&amp;"",PERIPHERAL!$Y$3:$Y$954,""),"Utilities",_xlfn.XLOOKUP($K991&amp;"",UTILITIES!$B$3:$B$953&amp;"",UTILITIES!$O$3:$O$953,""),"IOT",_xlfn.XLOOKUP($K991&amp;"",IOT!$B$3:$B$1012&amp;"",IOT!$AB$3:$AB$1012,""),"Server",_xlfn.XLOOKUP($K991&amp;"",SERVER!$B$3:$B$1009&amp;"",SERVER!$AB$3:$AB$1009,""),""))))</f>
        <v/>
      </c>
      <c r="R991" s="43" t="str">
        <f>IF(tbl_handover[[#This Row],[Asset Code]]="","",COUNTIF(tbl_handover[Asset Code],tbl_handover[[#This Row],[Asset Code]]))</f>
        <v/>
      </c>
    </row>
    <row r="992" spans="1:18" x14ac:dyDescent="0.25">
      <c r="A992" s="43" t="str">
        <f>IF(B992&lt;&gt;"",SUBTOTAL(3,$B$1:B991),"")</f>
        <v/>
      </c>
      <c r="C992" s="74"/>
      <c r="D992" s="74"/>
      <c r="G992" s="1"/>
      <c r="K992" s="42"/>
      <c r="L992" t="str" cm="1">
        <f t="array" ref="L992">IF($K992="","",_xlfn.SWITCH($I992,"Computer",_xlfn.XLOOKUP($K992&amp;"",COMPUTER!$B$3:$B$1009&amp;"",COMPUTER!$I$3:$I$1009,""),"Display",_xlfn.XLOOKUP($K992&amp;"",DISPLAY!$B$3:$B$1000&amp;"",DISPLAY!$J$3:$J$1000,""),"Network Device",_xlfn.XLOOKUP($K992&amp;"",'NETWORK-DEVICES'!$B$3:$B$987&amp;"",'NETWORK-DEVICES'!$I$3:$I$987,""),"Peripheral",_xlfn.XLOOKUP($K992&amp;"",PERIPHERAL!$B$3:$B$954&amp;"",PERIPHERAL!$I$3:$I$954,""),"Utilities",_xlfn.XLOOKUP($K992&amp;"",UTILITIES!$B$3:$B$953&amp;"",UTILITIES!$H$3:$H$953,""),"IOT",_xlfn.XLOOKUP($K992&amp;"",IOT!$B$3:$B$1012&amp;"",IOT!$I$3:$I$1012,""),"SERVER",_xlfn.XLOOKUP($K992&amp;"",SERVER!$B$3:$B$1009&amp;"",SERVER!$I$3:$I$1009,""),""))</f>
        <v/>
      </c>
      <c r="M992" t="str" cm="1">
        <f t="array" ref="M992">IF($K992="","",_xlfn.SWITCH($I992,"Computer",_xlfn.XLOOKUP($K992&amp;"",COMPUTER!$B$3:$B$1009&amp;"",COMPUTER!$J$3:$J$1009,""),"Display",_xlfn.XLOOKUP($K992&amp;"",DISPLAY!$B$3:$B$1000&amp;"",DISPLAY!$K$3:$K$1000,""),"Network Device",_xlfn.XLOOKUP($K992&amp;"",'NETWORK-DEVICES'!$B$3:$B$987&amp;"",'NETWORK-DEVICES'!$I$3:$I$987,""),"Peripheral",_xlfn.XLOOKUP($K992&amp;"",PERIPHERAL!$B$3:$B$954&amp;"",PERIPHERAL!$J$3:$J$954,""),"Utilities",_xlfn.XLOOKUP($K992&amp;"",UTILITIES!$B$3:$B$953&amp;"",UTILITIES!$I$3:$I$953,""),"IOT",_xlfn.XLOOKUP($K992&amp;"",IOT!$B$3:$B$1012&amp;"",IOT!$J$3:$J$1012,""),"Server",_xlfn.XLOOKUP($K992&amp;"",SERVER!$B$3:$B$1009&amp;"",SERVER!$J$3:$J$1009,""),""))</f>
        <v/>
      </c>
      <c r="N992" s="1" t="str" cm="1">
        <f t="array" ref="N992">IF(OR($K992="",$I992="",$J992=""),"",_xlfn.LET(_xlpm.srcCat,_xlfn.SWITCH($I992,"Computer",_xlfn.XLOOKUP($K992&amp;"",COMPUTER!$B$3:$B$1009&amp;"",COMPUTER!$H$3:$H$1009,""),"Display",_xlfn.XLOOKUP($K992&amp;"",DISPLAY!$B$3:$B$1000&amp;"",DISPLAY!$H$3:$H$1000,""),"Network Device",_xlfn.XLOOKUP($K992&amp;"",'NETWORK-DEVICES'!$B$3:$B$987&amp;"",'NETWORK-DEVICES'!$H$3:$H$987,""),"Peripheral",_xlfn.XLOOKUP($K992&amp;"",PERIPHERAL!$B$3:$B$954&amp;"",PERIPHERAL!$H$3:$H$954,""),"Utilities",_xlfn.XLOOKUP($K992&amp;"",UTILITIES!$B$3:$B$953&amp;"",UTILITIES!$G$3:$G$953,""),"IOT",_xlfn.XLOOKUP($K992&amp;"",IOT!$B$3:$B$1012&amp;"",IOT!$H$3:$H$1012,""),"Server",_xlfn.XLOOKUP($K992&amp;"",SERVER!$B$3:$B$1009&amp;"",SERVER!$H$3:$H$1009,""),""),IF(TRIM(_xlpm.srcCat)&lt;&gt;TRIM($J992),"",_xlfn.SWITCH($I992,"Computer",_xlfn.XLOOKUP($K992&amp;"",COMPUTER!$B$3:$B$1009&amp;"",COMPUTER!$K$3:$K$1009,""),"Display",_xlfn.XLOOKUP($K992&amp;"",DISPLAY!$B$3:$B$1000&amp;"",DISPLAY!$L$3:$L$1000,""),"Network Device",_xlfn.XLOOKUP($K992&amp;"",'NETWORK-DEVICES'!$B$3:$B$987&amp;"",'NETWORK-DEVICES'!$K$3:$K$987,""),"Peripheral",_xlfn.XLOOKUP($K992&amp;"",PERIPHERAL!$B$3:$B$954&amp;"",PERIPHERAL!$K$3:$K$954,""),"Utilities",_xlfn.XLOOKUP($K992&amp;"",UTILITIES!$B$3:$B$953&amp;"",UTILITIES!$J$3:$J$953,""),"IOT",_xlfn.XLOOKUP($K992&amp;"",IOT!$B$3:$B$1012&amp;"",IOT!$K$4:$K$1012,""),"Server",_xlfn.XLOOKUP($K992&amp;"",SERVER!$B$3:$B$1009&amp;"",SERVER!$K$3:$K$1009,""),""))))</f>
        <v/>
      </c>
      <c r="O992" s="1" t="str" cm="1">
        <f t="array" ref="O992">IF(OR($K992="",$I992="",$J992=""),"",_xlfn.LET(_xlpm.srcCat,_xlfn.SWITCH($I992,"Computer",_xlfn.XLOOKUP($K992&amp;"",COMPUTER!$B$3:$B$1009&amp;"",COMPUTER!$H$3:$H$1009,""),"Display",_xlfn.XLOOKUP($K992&amp;"",DISPLAY!$B$3:$B$1000&amp;"",DISPLAY!$H$3:$H$1000,""),"Network Device",_xlfn.XLOOKUP($K992&amp;"",'NETWORK-DEVICES'!$B$3:$B$987&amp;"",'NETWORK-DEVICES'!$H$3:$H$987,""),"Peripheral",_xlfn.XLOOKUP($K992&amp;"",PERIPHERAL!$B$3:$B$954&amp;"",PERIPHERAL!$H$3:$H$954,""),"Utilities",_xlfn.XLOOKUP($K992&amp;"",UTILITIES!$B$3:$B$953&amp;"",UTILITIES!$G$3:$G$953,""),"IOT",_xlfn.XLOOKUP($K992&amp;"",IOT!$B$3:$B$1012&amp;"",IOT!$H$3:$H$1012,""),"Server",_xlfn.XLOOKUP($K992&amp;"",SERVER!$B$3:$B$1009&amp;"",SERVER!$H$3:$H$1009,""),""),IF(TRIM(_xlpm.srcCat)&lt;&gt;TRIM($J992),"",_xlfn.SWITCH($I992,"Computer",_xlfn.XLOOKUP($K992&amp;"",COMPUTER!$B$3:$B$1009&amp;"",COMPUTER!$E$3:$E$1009,""),"Display",_xlfn.XLOOKUP($K992&amp;"",DISPLAY!$B$3:$B$1000&amp;"",DISPLAY!$E$3:$E$1000,""),"Network Device",_xlfn.XLOOKUP($K992&amp;"",'NETWORK-DEVICES'!$B$3:$B$987&amp;"",'NETWORK-DEVICES'!$E$3:$E$987,""),"Peripheral",_xlfn.XLOOKUP($K992&amp;"",PERIPHERAL!$B$3:$B$954&amp;"",PERIPHERAL!$E$3:$E$954,""),"Utilities",_xlfn.XLOOKUP($K992&amp;"",UTILITIES!$B$3:$B$953&amp;"",UTILITIES!$E$3:$E$953,""),"IOT",_xlfn.XLOOKUP($K992&amp;"",IOT!$B$3:$B$1012&amp;"",IOT!$E$3:$E$1012,""),"Server",_xlfn.XLOOKUP($K992&amp;"",SERVER!$B$3:$B$1009&amp;"",SERVER!$E$3:$E$1009,""),""))))</f>
        <v/>
      </c>
      <c r="Q992" s="1" t="str" cm="1">
        <f t="array" ref="Q992">IF(OR($K992="",$I992="",$J992=""),"",_xlfn.LET(_xlpm.srcCat,_xlfn.SWITCH($I992,"Computer",_xlfn.XLOOKUP($K992&amp;"",COMPUTER!$B$3:$B$1009&amp;"",COMPUTER!$H$3:$H$1009,""),"Display",_xlfn.XLOOKUP($K992&amp;"",DISPLAY!$B$3:$B$1000&amp;"",DISPLAY!$H$3:$H$1000,""),"Network Device",_xlfn.XLOOKUP($K992&amp;"",'NETWORK-DEVICES'!$B$3:$B$987&amp;"",'NETWORK-DEVICES'!$H$3:$H$987,""),"Peripheral",_xlfn.XLOOKUP($K992&amp;"",PERIPHERAL!$B$3:$B$954&amp;"",PERIPHERAL!$H$3:$H$954,""),"Utilities",_xlfn.XLOOKUP($K992&amp;"",UTILITIES!$B$3:$B$953&amp;"",UTILITIES!$G$3:$G$953,""),"IOT",_xlfn.XLOOKUP($K992&amp;"",IOT!$B$3:$B$1012&amp;"",IOT!$H$3:$H$1012,""),"Server",_xlfn.XLOOKUP($K992&amp;"",SERVER!$B$3:$B$1009&amp;"",SERVER!$H$3:$H$1009,""),""),IF(TRIM(_xlpm.srcCat)&lt;&gt;TRIM($J992),"",_xlfn.SWITCH($I992,"Computer",_xlfn.XLOOKUP($K992&amp;"",COMPUTER!$B$3:$B$1009&amp;"",COMPUTER!$AM$3:$AM$1009,""),"Display",_xlfn.XLOOKUP($K992&amp;"",DISPLAY!$B$3:$B$1000&amp;"",DISPLAY!$V$3:$V$1000,""),"Network Device",_xlfn.XLOOKUP($K992&amp;"",'NETWORK-DEVICES'!$B$3:$B$987&amp;"",'NETWORK-DEVICES'!$AF$3:$AF$987,""),"Peripheral",_xlfn.XLOOKUP($K992&amp;"",PERIPHERAL!$B$3:$B$954&amp;"",PERIPHERAL!$Y$3:$Y$954,""),"Utilities",_xlfn.XLOOKUP($K992&amp;"",UTILITIES!$B$3:$B$953&amp;"",UTILITIES!$O$3:$O$953,""),"IOT",_xlfn.XLOOKUP($K992&amp;"",IOT!$B$3:$B$1012&amp;"",IOT!$AB$3:$AB$1012,""),"Server",_xlfn.XLOOKUP($K992&amp;"",SERVER!$B$3:$B$1009&amp;"",SERVER!$AB$3:$AB$1009,""),""))))</f>
        <v/>
      </c>
      <c r="R992" s="43" t="str">
        <f>IF(tbl_handover[[#This Row],[Asset Code]]="","",COUNTIF(tbl_handover[Asset Code],tbl_handover[[#This Row],[Asset Code]]))</f>
        <v/>
      </c>
    </row>
    <row r="993" spans="1:18" x14ac:dyDescent="0.25">
      <c r="A993" s="43" t="str">
        <f>IF(B993&lt;&gt;"",SUBTOTAL(3,$B$1:B992),"")</f>
        <v/>
      </c>
      <c r="C993" s="74"/>
      <c r="D993" s="74"/>
      <c r="G993" s="1"/>
      <c r="K993" s="42"/>
      <c r="L993" t="str" cm="1">
        <f t="array" ref="L993">IF($K993="","",_xlfn.SWITCH($I993,"Computer",_xlfn.XLOOKUP($K993&amp;"",COMPUTER!$B$3:$B$1009&amp;"",COMPUTER!$I$3:$I$1009,""),"Display",_xlfn.XLOOKUP($K993&amp;"",DISPLAY!$B$3:$B$1000&amp;"",DISPLAY!$J$3:$J$1000,""),"Network Device",_xlfn.XLOOKUP($K993&amp;"",'NETWORK-DEVICES'!$B$3:$B$987&amp;"",'NETWORK-DEVICES'!$I$3:$I$987,""),"Peripheral",_xlfn.XLOOKUP($K993&amp;"",PERIPHERAL!$B$3:$B$954&amp;"",PERIPHERAL!$I$3:$I$954,""),"Utilities",_xlfn.XLOOKUP($K993&amp;"",UTILITIES!$B$3:$B$953&amp;"",UTILITIES!$H$3:$H$953,""),"IOT",_xlfn.XLOOKUP($K993&amp;"",IOT!$B$3:$B$1012&amp;"",IOT!$I$3:$I$1012,""),"SERVER",_xlfn.XLOOKUP($K993&amp;"",SERVER!$B$3:$B$1009&amp;"",SERVER!$I$3:$I$1009,""),""))</f>
        <v/>
      </c>
      <c r="M993" t="str" cm="1">
        <f t="array" ref="M993">IF($K993="","",_xlfn.SWITCH($I993,"Computer",_xlfn.XLOOKUP($K993&amp;"",COMPUTER!$B$3:$B$1009&amp;"",COMPUTER!$J$3:$J$1009,""),"Display",_xlfn.XLOOKUP($K993&amp;"",DISPLAY!$B$3:$B$1000&amp;"",DISPLAY!$K$3:$K$1000,""),"Network Device",_xlfn.XLOOKUP($K993&amp;"",'NETWORK-DEVICES'!$B$3:$B$987&amp;"",'NETWORK-DEVICES'!$I$3:$I$987,""),"Peripheral",_xlfn.XLOOKUP($K993&amp;"",PERIPHERAL!$B$3:$B$954&amp;"",PERIPHERAL!$J$3:$J$954,""),"Utilities",_xlfn.XLOOKUP($K993&amp;"",UTILITIES!$B$3:$B$953&amp;"",UTILITIES!$I$3:$I$953,""),"IOT",_xlfn.XLOOKUP($K993&amp;"",IOT!$B$3:$B$1012&amp;"",IOT!$J$3:$J$1012,""),"Server",_xlfn.XLOOKUP($K993&amp;"",SERVER!$B$3:$B$1009&amp;"",SERVER!$J$3:$J$1009,""),""))</f>
        <v/>
      </c>
      <c r="N993" s="1" t="str" cm="1">
        <f t="array" ref="N993">IF(OR($K993="",$I993="",$J993=""),"",_xlfn.LET(_xlpm.srcCat,_xlfn.SWITCH($I993,"Computer",_xlfn.XLOOKUP($K993&amp;"",COMPUTER!$B$3:$B$1009&amp;"",COMPUTER!$H$3:$H$1009,""),"Display",_xlfn.XLOOKUP($K993&amp;"",DISPLAY!$B$3:$B$1000&amp;"",DISPLAY!$H$3:$H$1000,""),"Network Device",_xlfn.XLOOKUP($K993&amp;"",'NETWORK-DEVICES'!$B$3:$B$987&amp;"",'NETWORK-DEVICES'!$H$3:$H$987,""),"Peripheral",_xlfn.XLOOKUP($K993&amp;"",PERIPHERAL!$B$3:$B$954&amp;"",PERIPHERAL!$H$3:$H$954,""),"Utilities",_xlfn.XLOOKUP($K993&amp;"",UTILITIES!$B$3:$B$953&amp;"",UTILITIES!$G$3:$G$953,""),"IOT",_xlfn.XLOOKUP($K993&amp;"",IOT!$B$3:$B$1012&amp;"",IOT!$H$3:$H$1012,""),"Server",_xlfn.XLOOKUP($K993&amp;"",SERVER!$B$3:$B$1009&amp;"",SERVER!$H$3:$H$1009,""),""),IF(TRIM(_xlpm.srcCat)&lt;&gt;TRIM($J993),"",_xlfn.SWITCH($I993,"Computer",_xlfn.XLOOKUP($K993&amp;"",COMPUTER!$B$3:$B$1009&amp;"",COMPUTER!$K$3:$K$1009,""),"Display",_xlfn.XLOOKUP($K993&amp;"",DISPLAY!$B$3:$B$1000&amp;"",DISPLAY!$L$3:$L$1000,""),"Network Device",_xlfn.XLOOKUP($K993&amp;"",'NETWORK-DEVICES'!$B$3:$B$987&amp;"",'NETWORK-DEVICES'!$K$3:$K$987,""),"Peripheral",_xlfn.XLOOKUP($K993&amp;"",PERIPHERAL!$B$3:$B$954&amp;"",PERIPHERAL!$K$3:$K$954,""),"Utilities",_xlfn.XLOOKUP($K993&amp;"",UTILITIES!$B$3:$B$953&amp;"",UTILITIES!$J$3:$J$953,""),"IOT",_xlfn.XLOOKUP($K993&amp;"",IOT!$B$3:$B$1012&amp;"",IOT!$K$4:$K$1012,""),"Server",_xlfn.XLOOKUP($K993&amp;"",SERVER!$B$3:$B$1009&amp;"",SERVER!$K$3:$K$1009,""),""))))</f>
        <v/>
      </c>
      <c r="O993" s="1" t="str" cm="1">
        <f t="array" ref="O993">IF(OR($K993="",$I993="",$J993=""),"",_xlfn.LET(_xlpm.srcCat,_xlfn.SWITCH($I993,"Computer",_xlfn.XLOOKUP($K993&amp;"",COMPUTER!$B$3:$B$1009&amp;"",COMPUTER!$H$3:$H$1009,""),"Display",_xlfn.XLOOKUP($K993&amp;"",DISPLAY!$B$3:$B$1000&amp;"",DISPLAY!$H$3:$H$1000,""),"Network Device",_xlfn.XLOOKUP($K993&amp;"",'NETWORK-DEVICES'!$B$3:$B$987&amp;"",'NETWORK-DEVICES'!$H$3:$H$987,""),"Peripheral",_xlfn.XLOOKUP($K993&amp;"",PERIPHERAL!$B$3:$B$954&amp;"",PERIPHERAL!$H$3:$H$954,""),"Utilities",_xlfn.XLOOKUP($K993&amp;"",UTILITIES!$B$3:$B$953&amp;"",UTILITIES!$G$3:$G$953,""),"IOT",_xlfn.XLOOKUP($K993&amp;"",IOT!$B$3:$B$1012&amp;"",IOT!$H$3:$H$1012,""),"Server",_xlfn.XLOOKUP($K993&amp;"",SERVER!$B$3:$B$1009&amp;"",SERVER!$H$3:$H$1009,""),""),IF(TRIM(_xlpm.srcCat)&lt;&gt;TRIM($J993),"",_xlfn.SWITCH($I993,"Computer",_xlfn.XLOOKUP($K993&amp;"",COMPUTER!$B$3:$B$1009&amp;"",COMPUTER!$E$3:$E$1009,""),"Display",_xlfn.XLOOKUP($K993&amp;"",DISPLAY!$B$3:$B$1000&amp;"",DISPLAY!$E$3:$E$1000,""),"Network Device",_xlfn.XLOOKUP($K993&amp;"",'NETWORK-DEVICES'!$B$3:$B$987&amp;"",'NETWORK-DEVICES'!$E$3:$E$987,""),"Peripheral",_xlfn.XLOOKUP($K993&amp;"",PERIPHERAL!$B$3:$B$954&amp;"",PERIPHERAL!$E$3:$E$954,""),"Utilities",_xlfn.XLOOKUP($K993&amp;"",UTILITIES!$B$3:$B$953&amp;"",UTILITIES!$E$3:$E$953,""),"IOT",_xlfn.XLOOKUP($K993&amp;"",IOT!$B$3:$B$1012&amp;"",IOT!$E$3:$E$1012,""),"Server",_xlfn.XLOOKUP($K993&amp;"",SERVER!$B$3:$B$1009&amp;"",SERVER!$E$3:$E$1009,""),""))))</f>
        <v/>
      </c>
      <c r="Q993" s="1" t="str" cm="1">
        <f t="array" ref="Q993">IF(OR($K993="",$I993="",$J993=""),"",_xlfn.LET(_xlpm.srcCat,_xlfn.SWITCH($I993,"Computer",_xlfn.XLOOKUP($K993&amp;"",COMPUTER!$B$3:$B$1009&amp;"",COMPUTER!$H$3:$H$1009,""),"Display",_xlfn.XLOOKUP($K993&amp;"",DISPLAY!$B$3:$B$1000&amp;"",DISPLAY!$H$3:$H$1000,""),"Network Device",_xlfn.XLOOKUP($K993&amp;"",'NETWORK-DEVICES'!$B$3:$B$987&amp;"",'NETWORK-DEVICES'!$H$3:$H$987,""),"Peripheral",_xlfn.XLOOKUP($K993&amp;"",PERIPHERAL!$B$3:$B$954&amp;"",PERIPHERAL!$H$3:$H$954,""),"Utilities",_xlfn.XLOOKUP($K993&amp;"",UTILITIES!$B$3:$B$953&amp;"",UTILITIES!$G$3:$G$953,""),"IOT",_xlfn.XLOOKUP($K993&amp;"",IOT!$B$3:$B$1012&amp;"",IOT!$H$3:$H$1012,""),"Server",_xlfn.XLOOKUP($K993&amp;"",SERVER!$B$3:$B$1009&amp;"",SERVER!$H$3:$H$1009,""),""),IF(TRIM(_xlpm.srcCat)&lt;&gt;TRIM($J993),"",_xlfn.SWITCH($I993,"Computer",_xlfn.XLOOKUP($K993&amp;"",COMPUTER!$B$3:$B$1009&amp;"",COMPUTER!$AM$3:$AM$1009,""),"Display",_xlfn.XLOOKUP($K993&amp;"",DISPLAY!$B$3:$B$1000&amp;"",DISPLAY!$V$3:$V$1000,""),"Network Device",_xlfn.XLOOKUP($K993&amp;"",'NETWORK-DEVICES'!$B$3:$B$987&amp;"",'NETWORK-DEVICES'!$AF$3:$AF$987,""),"Peripheral",_xlfn.XLOOKUP($K993&amp;"",PERIPHERAL!$B$3:$B$954&amp;"",PERIPHERAL!$Y$3:$Y$954,""),"Utilities",_xlfn.XLOOKUP($K993&amp;"",UTILITIES!$B$3:$B$953&amp;"",UTILITIES!$O$3:$O$953,""),"IOT",_xlfn.XLOOKUP($K993&amp;"",IOT!$B$3:$B$1012&amp;"",IOT!$AB$3:$AB$1012,""),"Server",_xlfn.XLOOKUP($K993&amp;"",SERVER!$B$3:$B$1009&amp;"",SERVER!$AB$3:$AB$1009,""),""))))</f>
        <v/>
      </c>
      <c r="R993" s="43" t="str">
        <f>IF(tbl_handover[[#This Row],[Asset Code]]="","",COUNTIF(tbl_handover[Asset Code],tbl_handover[[#This Row],[Asset Code]]))</f>
        <v/>
      </c>
    </row>
    <row r="994" spans="1:18" x14ac:dyDescent="0.25">
      <c r="A994" s="43" t="str">
        <f>IF(B994&lt;&gt;"",SUBTOTAL(3,$B$1:B993),"")</f>
        <v/>
      </c>
      <c r="C994" s="74"/>
      <c r="D994" s="74"/>
      <c r="G994" s="1"/>
      <c r="K994" s="42"/>
      <c r="L994" t="str" cm="1">
        <f t="array" ref="L994">IF($K994="","",_xlfn.SWITCH($I994,"Computer",_xlfn.XLOOKUP($K994&amp;"",COMPUTER!$B$3:$B$1009&amp;"",COMPUTER!$I$3:$I$1009,""),"Display",_xlfn.XLOOKUP($K994&amp;"",DISPLAY!$B$3:$B$1000&amp;"",DISPLAY!$J$3:$J$1000,""),"Network Device",_xlfn.XLOOKUP($K994&amp;"",'NETWORK-DEVICES'!$B$3:$B$987&amp;"",'NETWORK-DEVICES'!$I$3:$I$987,""),"Peripheral",_xlfn.XLOOKUP($K994&amp;"",PERIPHERAL!$B$3:$B$954&amp;"",PERIPHERAL!$I$3:$I$954,""),"Utilities",_xlfn.XLOOKUP($K994&amp;"",UTILITIES!$B$3:$B$953&amp;"",UTILITIES!$H$3:$H$953,""),"IOT",_xlfn.XLOOKUP($K994&amp;"",IOT!$B$3:$B$1012&amp;"",IOT!$I$3:$I$1012,""),"SERVER",_xlfn.XLOOKUP($K994&amp;"",SERVER!$B$3:$B$1009&amp;"",SERVER!$I$3:$I$1009,""),""))</f>
        <v/>
      </c>
      <c r="M994" t="str" cm="1">
        <f t="array" ref="M994">IF($K994="","",_xlfn.SWITCH($I994,"Computer",_xlfn.XLOOKUP($K994&amp;"",COMPUTER!$B$3:$B$1009&amp;"",COMPUTER!$J$3:$J$1009,""),"Display",_xlfn.XLOOKUP($K994&amp;"",DISPLAY!$B$3:$B$1000&amp;"",DISPLAY!$K$3:$K$1000,""),"Network Device",_xlfn.XLOOKUP($K994&amp;"",'NETWORK-DEVICES'!$B$3:$B$987&amp;"",'NETWORK-DEVICES'!$I$3:$I$987,""),"Peripheral",_xlfn.XLOOKUP($K994&amp;"",PERIPHERAL!$B$3:$B$954&amp;"",PERIPHERAL!$J$3:$J$954,""),"Utilities",_xlfn.XLOOKUP($K994&amp;"",UTILITIES!$B$3:$B$953&amp;"",UTILITIES!$I$3:$I$953,""),"IOT",_xlfn.XLOOKUP($K994&amp;"",IOT!$B$3:$B$1012&amp;"",IOT!$J$3:$J$1012,""),"Server",_xlfn.XLOOKUP($K994&amp;"",SERVER!$B$3:$B$1009&amp;"",SERVER!$J$3:$J$1009,""),""))</f>
        <v/>
      </c>
      <c r="N994" s="1" t="str" cm="1">
        <f t="array" ref="N994">IF(OR($K994="",$I994="",$J994=""),"",_xlfn.LET(_xlpm.srcCat,_xlfn.SWITCH($I994,"Computer",_xlfn.XLOOKUP($K994&amp;"",COMPUTER!$B$3:$B$1009&amp;"",COMPUTER!$H$3:$H$1009,""),"Display",_xlfn.XLOOKUP($K994&amp;"",DISPLAY!$B$3:$B$1000&amp;"",DISPLAY!$H$3:$H$1000,""),"Network Device",_xlfn.XLOOKUP($K994&amp;"",'NETWORK-DEVICES'!$B$3:$B$987&amp;"",'NETWORK-DEVICES'!$H$3:$H$987,""),"Peripheral",_xlfn.XLOOKUP($K994&amp;"",PERIPHERAL!$B$3:$B$954&amp;"",PERIPHERAL!$H$3:$H$954,""),"Utilities",_xlfn.XLOOKUP($K994&amp;"",UTILITIES!$B$3:$B$953&amp;"",UTILITIES!$G$3:$G$953,""),"IOT",_xlfn.XLOOKUP($K994&amp;"",IOT!$B$3:$B$1012&amp;"",IOT!$H$3:$H$1012,""),"Server",_xlfn.XLOOKUP($K994&amp;"",SERVER!$B$3:$B$1009&amp;"",SERVER!$H$3:$H$1009,""),""),IF(TRIM(_xlpm.srcCat)&lt;&gt;TRIM($J994),"",_xlfn.SWITCH($I994,"Computer",_xlfn.XLOOKUP($K994&amp;"",COMPUTER!$B$3:$B$1009&amp;"",COMPUTER!$K$3:$K$1009,""),"Display",_xlfn.XLOOKUP($K994&amp;"",DISPLAY!$B$3:$B$1000&amp;"",DISPLAY!$L$3:$L$1000,""),"Network Device",_xlfn.XLOOKUP($K994&amp;"",'NETWORK-DEVICES'!$B$3:$B$987&amp;"",'NETWORK-DEVICES'!$K$3:$K$987,""),"Peripheral",_xlfn.XLOOKUP($K994&amp;"",PERIPHERAL!$B$3:$B$954&amp;"",PERIPHERAL!$K$3:$K$954,""),"Utilities",_xlfn.XLOOKUP($K994&amp;"",UTILITIES!$B$3:$B$953&amp;"",UTILITIES!$J$3:$J$953,""),"IOT",_xlfn.XLOOKUP($K994&amp;"",IOT!$B$3:$B$1012&amp;"",IOT!$K$4:$K$1012,""),"Server",_xlfn.XLOOKUP($K994&amp;"",SERVER!$B$3:$B$1009&amp;"",SERVER!$K$3:$K$1009,""),""))))</f>
        <v/>
      </c>
      <c r="O994" s="1" t="str" cm="1">
        <f t="array" ref="O994">IF(OR($K994="",$I994="",$J994=""),"",_xlfn.LET(_xlpm.srcCat,_xlfn.SWITCH($I994,"Computer",_xlfn.XLOOKUP($K994&amp;"",COMPUTER!$B$3:$B$1009&amp;"",COMPUTER!$H$3:$H$1009,""),"Display",_xlfn.XLOOKUP($K994&amp;"",DISPLAY!$B$3:$B$1000&amp;"",DISPLAY!$H$3:$H$1000,""),"Network Device",_xlfn.XLOOKUP($K994&amp;"",'NETWORK-DEVICES'!$B$3:$B$987&amp;"",'NETWORK-DEVICES'!$H$3:$H$987,""),"Peripheral",_xlfn.XLOOKUP($K994&amp;"",PERIPHERAL!$B$3:$B$954&amp;"",PERIPHERAL!$H$3:$H$954,""),"Utilities",_xlfn.XLOOKUP($K994&amp;"",UTILITIES!$B$3:$B$953&amp;"",UTILITIES!$G$3:$G$953,""),"IOT",_xlfn.XLOOKUP($K994&amp;"",IOT!$B$3:$B$1012&amp;"",IOT!$H$3:$H$1012,""),"Server",_xlfn.XLOOKUP($K994&amp;"",SERVER!$B$3:$B$1009&amp;"",SERVER!$H$3:$H$1009,""),""),IF(TRIM(_xlpm.srcCat)&lt;&gt;TRIM($J994),"",_xlfn.SWITCH($I994,"Computer",_xlfn.XLOOKUP($K994&amp;"",COMPUTER!$B$3:$B$1009&amp;"",COMPUTER!$E$3:$E$1009,""),"Display",_xlfn.XLOOKUP($K994&amp;"",DISPLAY!$B$3:$B$1000&amp;"",DISPLAY!$E$3:$E$1000,""),"Network Device",_xlfn.XLOOKUP($K994&amp;"",'NETWORK-DEVICES'!$B$3:$B$987&amp;"",'NETWORK-DEVICES'!$E$3:$E$987,""),"Peripheral",_xlfn.XLOOKUP($K994&amp;"",PERIPHERAL!$B$3:$B$954&amp;"",PERIPHERAL!$E$3:$E$954,""),"Utilities",_xlfn.XLOOKUP($K994&amp;"",UTILITIES!$B$3:$B$953&amp;"",UTILITIES!$E$3:$E$953,""),"IOT",_xlfn.XLOOKUP($K994&amp;"",IOT!$B$3:$B$1012&amp;"",IOT!$E$3:$E$1012,""),"Server",_xlfn.XLOOKUP($K994&amp;"",SERVER!$B$3:$B$1009&amp;"",SERVER!$E$3:$E$1009,""),""))))</f>
        <v/>
      </c>
      <c r="Q994" s="1" t="str" cm="1">
        <f t="array" ref="Q994">IF(OR($K994="",$I994="",$J994=""),"",_xlfn.LET(_xlpm.srcCat,_xlfn.SWITCH($I994,"Computer",_xlfn.XLOOKUP($K994&amp;"",COMPUTER!$B$3:$B$1009&amp;"",COMPUTER!$H$3:$H$1009,""),"Display",_xlfn.XLOOKUP($K994&amp;"",DISPLAY!$B$3:$B$1000&amp;"",DISPLAY!$H$3:$H$1000,""),"Network Device",_xlfn.XLOOKUP($K994&amp;"",'NETWORK-DEVICES'!$B$3:$B$987&amp;"",'NETWORK-DEVICES'!$H$3:$H$987,""),"Peripheral",_xlfn.XLOOKUP($K994&amp;"",PERIPHERAL!$B$3:$B$954&amp;"",PERIPHERAL!$H$3:$H$954,""),"Utilities",_xlfn.XLOOKUP($K994&amp;"",UTILITIES!$B$3:$B$953&amp;"",UTILITIES!$G$3:$G$953,""),"IOT",_xlfn.XLOOKUP($K994&amp;"",IOT!$B$3:$B$1012&amp;"",IOT!$H$3:$H$1012,""),"Server",_xlfn.XLOOKUP($K994&amp;"",SERVER!$B$3:$B$1009&amp;"",SERVER!$H$3:$H$1009,""),""),IF(TRIM(_xlpm.srcCat)&lt;&gt;TRIM($J994),"",_xlfn.SWITCH($I994,"Computer",_xlfn.XLOOKUP($K994&amp;"",COMPUTER!$B$3:$B$1009&amp;"",COMPUTER!$AM$3:$AM$1009,""),"Display",_xlfn.XLOOKUP($K994&amp;"",DISPLAY!$B$3:$B$1000&amp;"",DISPLAY!$V$3:$V$1000,""),"Network Device",_xlfn.XLOOKUP($K994&amp;"",'NETWORK-DEVICES'!$B$3:$B$987&amp;"",'NETWORK-DEVICES'!$AF$3:$AF$987,""),"Peripheral",_xlfn.XLOOKUP($K994&amp;"",PERIPHERAL!$B$3:$B$954&amp;"",PERIPHERAL!$Y$3:$Y$954,""),"Utilities",_xlfn.XLOOKUP($K994&amp;"",UTILITIES!$B$3:$B$953&amp;"",UTILITIES!$O$3:$O$953,""),"IOT",_xlfn.XLOOKUP($K994&amp;"",IOT!$B$3:$B$1012&amp;"",IOT!$AB$3:$AB$1012,""),"Server",_xlfn.XLOOKUP($K994&amp;"",SERVER!$B$3:$B$1009&amp;"",SERVER!$AB$3:$AB$1009,""),""))))</f>
        <v/>
      </c>
      <c r="R994" s="43" t="str">
        <f>IF(tbl_handover[[#This Row],[Asset Code]]="","",COUNTIF(tbl_handover[Asset Code],tbl_handover[[#This Row],[Asset Code]]))</f>
        <v/>
      </c>
    </row>
    <row r="995" spans="1:18" x14ac:dyDescent="0.25">
      <c r="A995" s="43" t="str">
        <f>IF(B995&lt;&gt;"",SUBTOTAL(3,$B$1:B994),"")</f>
        <v/>
      </c>
      <c r="C995" s="74"/>
      <c r="D995" s="74"/>
      <c r="G995" s="1"/>
      <c r="K995" s="42"/>
      <c r="L995" t="str" cm="1">
        <f t="array" ref="L995">IF($K995="","",_xlfn.SWITCH($I995,"Computer",_xlfn.XLOOKUP($K995&amp;"",COMPUTER!$B$3:$B$1009&amp;"",COMPUTER!$I$3:$I$1009,""),"Display",_xlfn.XLOOKUP($K995&amp;"",DISPLAY!$B$3:$B$1000&amp;"",DISPLAY!$J$3:$J$1000,""),"Network Device",_xlfn.XLOOKUP($K995&amp;"",'NETWORK-DEVICES'!$B$3:$B$987&amp;"",'NETWORK-DEVICES'!$I$3:$I$987,""),"Peripheral",_xlfn.XLOOKUP($K995&amp;"",PERIPHERAL!$B$3:$B$954&amp;"",PERIPHERAL!$I$3:$I$954,""),"Utilities",_xlfn.XLOOKUP($K995&amp;"",UTILITIES!$B$3:$B$953&amp;"",UTILITIES!$H$3:$H$953,""),"IOT",_xlfn.XLOOKUP($K995&amp;"",IOT!$B$3:$B$1012&amp;"",IOT!$I$3:$I$1012,""),"SERVER",_xlfn.XLOOKUP($K995&amp;"",SERVER!$B$3:$B$1009&amp;"",SERVER!$I$3:$I$1009,""),""))</f>
        <v/>
      </c>
      <c r="M995" t="str" cm="1">
        <f t="array" ref="M995">IF($K995="","",_xlfn.SWITCH($I995,"Computer",_xlfn.XLOOKUP($K995&amp;"",COMPUTER!$B$3:$B$1009&amp;"",COMPUTER!$J$3:$J$1009,""),"Display",_xlfn.XLOOKUP($K995&amp;"",DISPLAY!$B$3:$B$1000&amp;"",DISPLAY!$K$3:$K$1000,""),"Network Device",_xlfn.XLOOKUP($K995&amp;"",'NETWORK-DEVICES'!$B$3:$B$987&amp;"",'NETWORK-DEVICES'!$I$3:$I$987,""),"Peripheral",_xlfn.XLOOKUP($K995&amp;"",PERIPHERAL!$B$3:$B$954&amp;"",PERIPHERAL!$J$3:$J$954,""),"Utilities",_xlfn.XLOOKUP($K995&amp;"",UTILITIES!$B$3:$B$953&amp;"",UTILITIES!$I$3:$I$953,""),"IOT",_xlfn.XLOOKUP($K995&amp;"",IOT!$B$3:$B$1012&amp;"",IOT!$J$3:$J$1012,""),"Server",_xlfn.XLOOKUP($K995&amp;"",SERVER!$B$3:$B$1009&amp;"",SERVER!$J$3:$J$1009,""),""))</f>
        <v/>
      </c>
      <c r="N995" s="1" t="str" cm="1">
        <f t="array" ref="N995">IF(OR($K995="",$I995="",$J995=""),"",_xlfn.LET(_xlpm.srcCat,_xlfn.SWITCH($I995,"Computer",_xlfn.XLOOKUP($K995&amp;"",COMPUTER!$B$3:$B$1009&amp;"",COMPUTER!$H$3:$H$1009,""),"Display",_xlfn.XLOOKUP($K995&amp;"",DISPLAY!$B$3:$B$1000&amp;"",DISPLAY!$H$3:$H$1000,""),"Network Device",_xlfn.XLOOKUP($K995&amp;"",'NETWORK-DEVICES'!$B$3:$B$987&amp;"",'NETWORK-DEVICES'!$H$3:$H$987,""),"Peripheral",_xlfn.XLOOKUP($K995&amp;"",PERIPHERAL!$B$3:$B$954&amp;"",PERIPHERAL!$H$3:$H$954,""),"Utilities",_xlfn.XLOOKUP($K995&amp;"",UTILITIES!$B$3:$B$953&amp;"",UTILITIES!$G$3:$G$953,""),"IOT",_xlfn.XLOOKUP($K995&amp;"",IOT!$B$3:$B$1012&amp;"",IOT!$H$3:$H$1012,""),"Server",_xlfn.XLOOKUP($K995&amp;"",SERVER!$B$3:$B$1009&amp;"",SERVER!$H$3:$H$1009,""),""),IF(TRIM(_xlpm.srcCat)&lt;&gt;TRIM($J995),"",_xlfn.SWITCH($I995,"Computer",_xlfn.XLOOKUP($K995&amp;"",COMPUTER!$B$3:$B$1009&amp;"",COMPUTER!$K$3:$K$1009,""),"Display",_xlfn.XLOOKUP($K995&amp;"",DISPLAY!$B$3:$B$1000&amp;"",DISPLAY!$L$3:$L$1000,""),"Network Device",_xlfn.XLOOKUP($K995&amp;"",'NETWORK-DEVICES'!$B$3:$B$987&amp;"",'NETWORK-DEVICES'!$K$3:$K$987,""),"Peripheral",_xlfn.XLOOKUP($K995&amp;"",PERIPHERAL!$B$3:$B$954&amp;"",PERIPHERAL!$K$3:$K$954,""),"Utilities",_xlfn.XLOOKUP($K995&amp;"",UTILITIES!$B$3:$B$953&amp;"",UTILITIES!$J$3:$J$953,""),"IOT",_xlfn.XLOOKUP($K995&amp;"",IOT!$B$3:$B$1012&amp;"",IOT!$K$4:$K$1012,""),"Server",_xlfn.XLOOKUP($K995&amp;"",SERVER!$B$3:$B$1009&amp;"",SERVER!$K$3:$K$1009,""),""))))</f>
        <v/>
      </c>
      <c r="O995" s="1" t="str" cm="1">
        <f t="array" ref="O995">IF(OR($K995="",$I995="",$J995=""),"",_xlfn.LET(_xlpm.srcCat,_xlfn.SWITCH($I995,"Computer",_xlfn.XLOOKUP($K995&amp;"",COMPUTER!$B$3:$B$1009&amp;"",COMPUTER!$H$3:$H$1009,""),"Display",_xlfn.XLOOKUP($K995&amp;"",DISPLAY!$B$3:$B$1000&amp;"",DISPLAY!$H$3:$H$1000,""),"Network Device",_xlfn.XLOOKUP($K995&amp;"",'NETWORK-DEVICES'!$B$3:$B$987&amp;"",'NETWORK-DEVICES'!$H$3:$H$987,""),"Peripheral",_xlfn.XLOOKUP($K995&amp;"",PERIPHERAL!$B$3:$B$954&amp;"",PERIPHERAL!$H$3:$H$954,""),"Utilities",_xlfn.XLOOKUP($K995&amp;"",UTILITIES!$B$3:$B$953&amp;"",UTILITIES!$G$3:$G$953,""),"IOT",_xlfn.XLOOKUP($K995&amp;"",IOT!$B$3:$B$1012&amp;"",IOT!$H$3:$H$1012,""),"Server",_xlfn.XLOOKUP($K995&amp;"",SERVER!$B$3:$B$1009&amp;"",SERVER!$H$3:$H$1009,""),""),IF(TRIM(_xlpm.srcCat)&lt;&gt;TRIM($J995),"",_xlfn.SWITCH($I995,"Computer",_xlfn.XLOOKUP($K995&amp;"",COMPUTER!$B$3:$B$1009&amp;"",COMPUTER!$E$3:$E$1009,""),"Display",_xlfn.XLOOKUP($K995&amp;"",DISPLAY!$B$3:$B$1000&amp;"",DISPLAY!$E$3:$E$1000,""),"Network Device",_xlfn.XLOOKUP($K995&amp;"",'NETWORK-DEVICES'!$B$3:$B$987&amp;"",'NETWORK-DEVICES'!$E$3:$E$987,""),"Peripheral",_xlfn.XLOOKUP($K995&amp;"",PERIPHERAL!$B$3:$B$954&amp;"",PERIPHERAL!$E$3:$E$954,""),"Utilities",_xlfn.XLOOKUP($K995&amp;"",UTILITIES!$B$3:$B$953&amp;"",UTILITIES!$E$3:$E$953,""),"IOT",_xlfn.XLOOKUP($K995&amp;"",IOT!$B$3:$B$1012&amp;"",IOT!$E$3:$E$1012,""),"Server",_xlfn.XLOOKUP($K995&amp;"",SERVER!$B$3:$B$1009&amp;"",SERVER!$E$3:$E$1009,""),""))))</f>
        <v/>
      </c>
      <c r="Q995" s="1" t="str" cm="1">
        <f t="array" ref="Q995">IF(OR($K995="",$I995="",$J995=""),"",_xlfn.LET(_xlpm.srcCat,_xlfn.SWITCH($I995,"Computer",_xlfn.XLOOKUP($K995&amp;"",COMPUTER!$B$3:$B$1009&amp;"",COMPUTER!$H$3:$H$1009,""),"Display",_xlfn.XLOOKUP($K995&amp;"",DISPLAY!$B$3:$B$1000&amp;"",DISPLAY!$H$3:$H$1000,""),"Network Device",_xlfn.XLOOKUP($K995&amp;"",'NETWORK-DEVICES'!$B$3:$B$987&amp;"",'NETWORK-DEVICES'!$H$3:$H$987,""),"Peripheral",_xlfn.XLOOKUP($K995&amp;"",PERIPHERAL!$B$3:$B$954&amp;"",PERIPHERAL!$H$3:$H$954,""),"Utilities",_xlfn.XLOOKUP($K995&amp;"",UTILITIES!$B$3:$B$953&amp;"",UTILITIES!$G$3:$G$953,""),"IOT",_xlfn.XLOOKUP($K995&amp;"",IOT!$B$3:$B$1012&amp;"",IOT!$H$3:$H$1012,""),"Server",_xlfn.XLOOKUP($K995&amp;"",SERVER!$B$3:$B$1009&amp;"",SERVER!$H$3:$H$1009,""),""),IF(TRIM(_xlpm.srcCat)&lt;&gt;TRIM($J995),"",_xlfn.SWITCH($I995,"Computer",_xlfn.XLOOKUP($K995&amp;"",COMPUTER!$B$3:$B$1009&amp;"",COMPUTER!$AM$3:$AM$1009,""),"Display",_xlfn.XLOOKUP($K995&amp;"",DISPLAY!$B$3:$B$1000&amp;"",DISPLAY!$V$3:$V$1000,""),"Network Device",_xlfn.XLOOKUP($K995&amp;"",'NETWORK-DEVICES'!$B$3:$B$987&amp;"",'NETWORK-DEVICES'!$AF$3:$AF$987,""),"Peripheral",_xlfn.XLOOKUP($K995&amp;"",PERIPHERAL!$B$3:$B$954&amp;"",PERIPHERAL!$Y$3:$Y$954,""),"Utilities",_xlfn.XLOOKUP($K995&amp;"",UTILITIES!$B$3:$B$953&amp;"",UTILITIES!$O$3:$O$953,""),"IOT",_xlfn.XLOOKUP($K995&amp;"",IOT!$B$3:$B$1012&amp;"",IOT!$AB$3:$AB$1012,""),"Server",_xlfn.XLOOKUP($K995&amp;"",SERVER!$B$3:$B$1009&amp;"",SERVER!$AB$3:$AB$1009,""),""))))</f>
        <v/>
      </c>
      <c r="R995" s="43" t="str">
        <f>IF(tbl_handover[[#This Row],[Asset Code]]="","",COUNTIF(tbl_handover[Asset Code],tbl_handover[[#This Row],[Asset Code]]))</f>
        <v/>
      </c>
    </row>
    <row r="996" spans="1:18" x14ac:dyDescent="0.25">
      <c r="A996" s="43" t="str">
        <f>IF(B996&lt;&gt;"",SUBTOTAL(3,$B$1:B995),"")</f>
        <v/>
      </c>
      <c r="C996" s="74"/>
      <c r="D996" s="74"/>
      <c r="G996" s="1"/>
      <c r="K996" s="42"/>
      <c r="L996" t="str" cm="1">
        <f t="array" ref="L996">IF($K996="","",_xlfn.SWITCH($I996,"Computer",_xlfn.XLOOKUP($K996&amp;"",COMPUTER!$B$3:$B$1009&amp;"",COMPUTER!$I$3:$I$1009,""),"Display",_xlfn.XLOOKUP($K996&amp;"",DISPLAY!$B$3:$B$1000&amp;"",DISPLAY!$J$3:$J$1000,""),"Network Device",_xlfn.XLOOKUP($K996&amp;"",'NETWORK-DEVICES'!$B$3:$B$987&amp;"",'NETWORK-DEVICES'!$I$3:$I$987,""),"Peripheral",_xlfn.XLOOKUP($K996&amp;"",PERIPHERAL!$B$3:$B$954&amp;"",PERIPHERAL!$I$3:$I$954,""),"Utilities",_xlfn.XLOOKUP($K996&amp;"",UTILITIES!$B$3:$B$953&amp;"",UTILITIES!$H$3:$H$953,""),"IOT",_xlfn.XLOOKUP($K996&amp;"",IOT!$B$3:$B$1012&amp;"",IOT!$I$3:$I$1012,""),"SERVER",_xlfn.XLOOKUP($K996&amp;"",SERVER!$B$3:$B$1009&amp;"",SERVER!$I$3:$I$1009,""),""))</f>
        <v/>
      </c>
      <c r="M996" t="str" cm="1">
        <f t="array" ref="M996">IF($K996="","",_xlfn.SWITCH($I996,"Computer",_xlfn.XLOOKUP($K996&amp;"",COMPUTER!$B$3:$B$1009&amp;"",COMPUTER!$J$3:$J$1009,""),"Display",_xlfn.XLOOKUP($K996&amp;"",DISPLAY!$B$3:$B$1000&amp;"",DISPLAY!$K$3:$K$1000,""),"Network Device",_xlfn.XLOOKUP($K996&amp;"",'NETWORK-DEVICES'!$B$3:$B$987&amp;"",'NETWORK-DEVICES'!$I$3:$I$987,""),"Peripheral",_xlfn.XLOOKUP($K996&amp;"",PERIPHERAL!$B$3:$B$954&amp;"",PERIPHERAL!$J$3:$J$954,""),"Utilities",_xlfn.XLOOKUP($K996&amp;"",UTILITIES!$B$3:$B$953&amp;"",UTILITIES!$I$3:$I$953,""),"IOT",_xlfn.XLOOKUP($K996&amp;"",IOT!$B$3:$B$1012&amp;"",IOT!$J$3:$J$1012,""),"Server",_xlfn.XLOOKUP($K996&amp;"",SERVER!$B$3:$B$1009&amp;"",SERVER!$J$3:$J$1009,""),""))</f>
        <v/>
      </c>
      <c r="N996" s="1" t="str" cm="1">
        <f t="array" ref="N996">IF(OR($K996="",$I996="",$J996=""),"",_xlfn.LET(_xlpm.srcCat,_xlfn.SWITCH($I996,"Computer",_xlfn.XLOOKUP($K996&amp;"",COMPUTER!$B$3:$B$1009&amp;"",COMPUTER!$H$3:$H$1009,""),"Display",_xlfn.XLOOKUP($K996&amp;"",DISPLAY!$B$3:$B$1000&amp;"",DISPLAY!$H$3:$H$1000,""),"Network Device",_xlfn.XLOOKUP($K996&amp;"",'NETWORK-DEVICES'!$B$3:$B$987&amp;"",'NETWORK-DEVICES'!$H$3:$H$987,""),"Peripheral",_xlfn.XLOOKUP($K996&amp;"",PERIPHERAL!$B$3:$B$954&amp;"",PERIPHERAL!$H$3:$H$954,""),"Utilities",_xlfn.XLOOKUP($K996&amp;"",UTILITIES!$B$3:$B$953&amp;"",UTILITIES!$G$3:$G$953,""),"IOT",_xlfn.XLOOKUP($K996&amp;"",IOT!$B$3:$B$1012&amp;"",IOT!$H$3:$H$1012,""),"Server",_xlfn.XLOOKUP($K996&amp;"",SERVER!$B$3:$B$1009&amp;"",SERVER!$H$3:$H$1009,""),""),IF(TRIM(_xlpm.srcCat)&lt;&gt;TRIM($J996),"",_xlfn.SWITCH($I996,"Computer",_xlfn.XLOOKUP($K996&amp;"",COMPUTER!$B$3:$B$1009&amp;"",COMPUTER!$K$3:$K$1009,""),"Display",_xlfn.XLOOKUP($K996&amp;"",DISPLAY!$B$3:$B$1000&amp;"",DISPLAY!$L$3:$L$1000,""),"Network Device",_xlfn.XLOOKUP($K996&amp;"",'NETWORK-DEVICES'!$B$3:$B$987&amp;"",'NETWORK-DEVICES'!$K$3:$K$987,""),"Peripheral",_xlfn.XLOOKUP($K996&amp;"",PERIPHERAL!$B$3:$B$954&amp;"",PERIPHERAL!$K$3:$K$954,""),"Utilities",_xlfn.XLOOKUP($K996&amp;"",UTILITIES!$B$3:$B$953&amp;"",UTILITIES!$J$3:$J$953,""),"IOT",_xlfn.XLOOKUP($K996&amp;"",IOT!$B$3:$B$1012&amp;"",IOT!$K$4:$K$1012,""),"Server",_xlfn.XLOOKUP($K996&amp;"",SERVER!$B$3:$B$1009&amp;"",SERVER!$K$3:$K$1009,""),""))))</f>
        <v/>
      </c>
      <c r="O996" s="1" t="str" cm="1">
        <f t="array" ref="O996">IF(OR($K996="",$I996="",$J996=""),"",_xlfn.LET(_xlpm.srcCat,_xlfn.SWITCH($I996,"Computer",_xlfn.XLOOKUP($K996&amp;"",COMPUTER!$B$3:$B$1009&amp;"",COMPUTER!$H$3:$H$1009,""),"Display",_xlfn.XLOOKUP($K996&amp;"",DISPLAY!$B$3:$B$1000&amp;"",DISPLAY!$H$3:$H$1000,""),"Network Device",_xlfn.XLOOKUP($K996&amp;"",'NETWORK-DEVICES'!$B$3:$B$987&amp;"",'NETWORK-DEVICES'!$H$3:$H$987,""),"Peripheral",_xlfn.XLOOKUP($K996&amp;"",PERIPHERAL!$B$3:$B$954&amp;"",PERIPHERAL!$H$3:$H$954,""),"Utilities",_xlfn.XLOOKUP($K996&amp;"",UTILITIES!$B$3:$B$953&amp;"",UTILITIES!$G$3:$G$953,""),"IOT",_xlfn.XLOOKUP($K996&amp;"",IOT!$B$3:$B$1012&amp;"",IOT!$H$3:$H$1012,""),"Server",_xlfn.XLOOKUP($K996&amp;"",SERVER!$B$3:$B$1009&amp;"",SERVER!$H$3:$H$1009,""),""),IF(TRIM(_xlpm.srcCat)&lt;&gt;TRIM($J996),"",_xlfn.SWITCH($I996,"Computer",_xlfn.XLOOKUP($K996&amp;"",COMPUTER!$B$3:$B$1009&amp;"",COMPUTER!$E$3:$E$1009,""),"Display",_xlfn.XLOOKUP($K996&amp;"",DISPLAY!$B$3:$B$1000&amp;"",DISPLAY!$E$3:$E$1000,""),"Network Device",_xlfn.XLOOKUP($K996&amp;"",'NETWORK-DEVICES'!$B$3:$B$987&amp;"",'NETWORK-DEVICES'!$E$3:$E$987,""),"Peripheral",_xlfn.XLOOKUP($K996&amp;"",PERIPHERAL!$B$3:$B$954&amp;"",PERIPHERAL!$E$3:$E$954,""),"Utilities",_xlfn.XLOOKUP($K996&amp;"",UTILITIES!$B$3:$B$953&amp;"",UTILITIES!$E$3:$E$953,""),"IOT",_xlfn.XLOOKUP($K996&amp;"",IOT!$B$3:$B$1012&amp;"",IOT!$E$3:$E$1012,""),"Server",_xlfn.XLOOKUP($K996&amp;"",SERVER!$B$3:$B$1009&amp;"",SERVER!$E$3:$E$1009,""),""))))</f>
        <v/>
      </c>
      <c r="Q996" s="1" t="str" cm="1">
        <f t="array" ref="Q996">IF(OR($K996="",$I996="",$J996=""),"",_xlfn.LET(_xlpm.srcCat,_xlfn.SWITCH($I996,"Computer",_xlfn.XLOOKUP($K996&amp;"",COMPUTER!$B$3:$B$1009&amp;"",COMPUTER!$H$3:$H$1009,""),"Display",_xlfn.XLOOKUP($K996&amp;"",DISPLAY!$B$3:$B$1000&amp;"",DISPLAY!$H$3:$H$1000,""),"Network Device",_xlfn.XLOOKUP($K996&amp;"",'NETWORK-DEVICES'!$B$3:$B$987&amp;"",'NETWORK-DEVICES'!$H$3:$H$987,""),"Peripheral",_xlfn.XLOOKUP($K996&amp;"",PERIPHERAL!$B$3:$B$954&amp;"",PERIPHERAL!$H$3:$H$954,""),"Utilities",_xlfn.XLOOKUP($K996&amp;"",UTILITIES!$B$3:$B$953&amp;"",UTILITIES!$G$3:$G$953,""),"IOT",_xlfn.XLOOKUP($K996&amp;"",IOT!$B$3:$B$1012&amp;"",IOT!$H$3:$H$1012,""),"Server",_xlfn.XLOOKUP($K996&amp;"",SERVER!$B$3:$B$1009&amp;"",SERVER!$H$3:$H$1009,""),""),IF(TRIM(_xlpm.srcCat)&lt;&gt;TRIM($J996),"",_xlfn.SWITCH($I996,"Computer",_xlfn.XLOOKUP($K996&amp;"",COMPUTER!$B$3:$B$1009&amp;"",COMPUTER!$AM$3:$AM$1009,""),"Display",_xlfn.XLOOKUP($K996&amp;"",DISPLAY!$B$3:$B$1000&amp;"",DISPLAY!$V$3:$V$1000,""),"Network Device",_xlfn.XLOOKUP($K996&amp;"",'NETWORK-DEVICES'!$B$3:$B$987&amp;"",'NETWORK-DEVICES'!$AF$3:$AF$987,""),"Peripheral",_xlfn.XLOOKUP($K996&amp;"",PERIPHERAL!$B$3:$B$954&amp;"",PERIPHERAL!$Y$3:$Y$954,""),"Utilities",_xlfn.XLOOKUP($K996&amp;"",UTILITIES!$B$3:$B$953&amp;"",UTILITIES!$O$3:$O$953,""),"IOT",_xlfn.XLOOKUP($K996&amp;"",IOT!$B$3:$B$1012&amp;"",IOT!$AB$3:$AB$1012,""),"Server",_xlfn.XLOOKUP($K996&amp;"",SERVER!$B$3:$B$1009&amp;"",SERVER!$AB$3:$AB$1009,""),""))))</f>
        <v/>
      </c>
      <c r="R996" s="43" t="str">
        <f>IF(tbl_handover[[#This Row],[Asset Code]]="","",COUNTIF(tbl_handover[Asset Code],tbl_handover[[#This Row],[Asset Code]]))</f>
        <v/>
      </c>
    </row>
    <row r="997" spans="1:18" x14ac:dyDescent="0.25">
      <c r="A997" s="43" t="str">
        <f>IF(B997&lt;&gt;"",SUBTOTAL(3,$B$1:B996),"")</f>
        <v/>
      </c>
      <c r="C997" s="74"/>
      <c r="D997" s="74"/>
      <c r="G997" s="1"/>
      <c r="K997" s="42"/>
      <c r="L997" t="str" cm="1">
        <f t="array" ref="L997">IF($K997="","",_xlfn.SWITCH($I997,"Computer",_xlfn.XLOOKUP($K997&amp;"",COMPUTER!$B$3:$B$1009&amp;"",COMPUTER!$I$3:$I$1009,""),"Display",_xlfn.XLOOKUP($K997&amp;"",DISPLAY!$B$3:$B$1000&amp;"",DISPLAY!$J$3:$J$1000,""),"Network Device",_xlfn.XLOOKUP($K997&amp;"",'NETWORK-DEVICES'!$B$3:$B$987&amp;"",'NETWORK-DEVICES'!$I$3:$I$987,""),"Peripheral",_xlfn.XLOOKUP($K997&amp;"",PERIPHERAL!$B$3:$B$954&amp;"",PERIPHERAL!$I$3:$I$954,""),"Utilities",_xlfn.XLOOKUP($K997&amp;"",UTILITIES!$B$3:$B$953&amp;"",UTILITIES!$H$3:$H$953,""),"IOT",_xlfn.XLOOKUP($K997&amp;"",IOT!$B$3:$B$1012&amp;"",IOT!$I$3:$I$1012,""),"SERVER",_xlfn.XLOOKUP($K997&amp;"",SERVER!$B$3:$B$1009&amp;"",SERVER!$I$3:$I$1009,""),""))</f>
        <v/>
      </c>
      <c r="M997" t="str" cm="1">
        <f t="array" ref="M997">IF($K997="","",_xlfn.SWITCH($I997,"Computer",_xlfn.XLOOKUP($K997&amp;"",COMPUTER!$B$3:$B$1009&amp;"",COMPUTER!$J$3:$J$1009,""),"Display",_xlfn.XLOOKUP($K997&amp;"",DISPLAY!$B$3:$B$1000&amp;"",DISPLAY!$K$3:$K$1000,""),"Network Device",_xlfn.XLOOKUP($K997&amp;"",'NETWORK-DEVICES'!$B$3:$B$987&amp;"",'NETWORK-DEVICES'!$I$3:$I$987,""),"Peripheral",_xlfn.XLOOKUP($K997&amp;"",PERIPHERAL!$B$3:$B$954&amp;"",PERIPHERAL!$J$3:$J$954,""),"Utilities",_xlfn.XLOOKUP($K997&amp;"",UTILITIES!$B$3:$B$953&amp;"",UTILITIES!$I$3:$I$953,""),"IOT",_xlfn.XLOOKUP($K997&amp;"",IOT!$B$3:$B$1012&amp;"",IOT!$J$3:$J$1012,""),"Server",_xlfn.XLOOKUP($K997&amp;"",SERVER!$B$3:$B$1009&amp;"",SERVER!$J$3:$J$1009,""),""))</f>
        <v/>
      </c>
      <c r="N997" s="1" t="str" cm="1">
        <f t="array" ref="N997">IF(OR($K997="",$I997="",$J997=""),"",_xlfn.LET(_xlpm.srcCat,_xlfn.SWITCH($I997,"Computer",_xlfn.XLOOKUP($K997&amp;"",COMPUTER!$B$3:$B$1009&amp;"",COMPUTER!$H$3:$H$1009,""),"Display",_xlfn.XLOOKUP($K997&amp;"",DISPLAY!$B$3:$B$1000&amp;"",DISPLAY!$H$3:$H$1000,""),"Network Device",_xlfn.XLOOKUP($K997&amp;"",'NETWORK-DEVICES'!$B$3:$B$987&amp;"",'NETWORK-DEVICES'!$H$3:$H$987,""),"Peripheral",_xlfn.XLOOKUP($K997&amp;"",PERIPHERAL!$B$3:$B$954&amp;"",PERIPHERAL!$H$3:$H$954,""),"Utilities",_xlfn.XLOOKUP($K997&amp;"",UTILITIES!$B$3:$B$953&amp;"",UTILITIES!$G$3:$G$953,""),"IOT",_xlfn.XLOOKUP($K997&amp;"",IOT!$B$3:$B$1012&amp;"",IOT!$H$3:$H$1012,""),"Server",_xlfn.XLOOKUP($K997&amp;"",SERVER!$B$3:$B$1009&amp;"",SERVER!$H$3:$H$1009,""),""),IF(TRIM(_xlpm.srcCat)&lt;&gt;TRIM($J997),"",_xlfn.SWITCH($I997,"Computer",_xlfn.XLOOKUP($K997&amp;"",COMPUTER!$B$3:$B$1009&amp;"",COMPUTER!$K$3:$K$1009,""),"Display",_xlfn.XLOOKUP($K997&amp;"",DISPLAY!$B$3:$B$1000&amp;"",DISPLAY!$L$3:$L$1000,""),"Network Device",_xlfn.XLOOKUP($K997&amp;"",'NETWORK-DEVICES'!$B$3:$B$987&amp;"",'NETWORK-DEVICES'!$K$3:$K$987,""),"Peripheral",_xlfn.XLOOKUP($K997&amp;"",PERIPHERAL!$B$3:$B$954&amp;"",PERIPHERAL!$K$3:$K$954,""),"Utilities",_xlfn.XLOOKUP($K997&amp;"",UTILITIES!$B$3:$B$953&amp;"",UTILITIES!$J$3:$J$953,""),"IOT",_xlfn.XLOOKUP($K997&amp;"",IOT!$B$3:$B$1012&amp;"",IOT!$K$4:$K$1012,""),"Server",_xlfn.XLOOKUP($K997&amp;"",SERVER!$B$3:$B$1009&amp;"",SERVER!$K$3:$K$1009,""),""))))</f>
        <v/>
      </c>
      <c r="O997" s="1" t="str" cm="1">
        <f t="array" ref="O997">IF(OR($K997="",$I997="",$J997=""),"",_xlfn.LET(_xlpm.srcCat,_xlfn.SWITCH($I997,"Computer",_xlfn.XLOOKUP($K997&amp;"",COMPUTER!$B$3:$B$1009&amp;"",COMPUTER!$H$3:$H$1009,""),"Display",_xlfn.XLOOKUP($K997&amp;"",DISPLAY!$B$3:$B$1000&amp;"",DISPLAY!$H$3:$H$1000,""),"Network Device",_xlfn.XLOOKUP($K997&amp;"",'NETWORK-DEVICES'!$B$3:$B$987&amp;"",'NETWORK-DEVICES'!$H$3:$H$987,""),"Peripheral",_xlfn.XLOOKUP($K997&amp;"",PERIPHERAL!$B$3:$B$954&amp;"",PERIPHERAL!$H$3:$H$954,""),"Utilities",_xlfn.XLOOKUP($K997&amp;"",UTILITIES!$B$3:$B$953&amp;"",UTILITIES!$G$3:$G$953,""),"IOT",_xlfn.XLOOKUP($K997&amp;"",IOT!$B$3:$B$1012&amp;"",IOT!$H$3:$H$1012,""),"Server",_xlfn.XLOOKUP($K997&amp;"",SERVER!$B$3:$B$1009&amp;"",SERVER!$H$3:$H$1009,""),""),IF(TRIM(_xlpm.srcCat)&lt;&gt;TRIM($J997),"",_xlfn.SWITCH($I997,"Computer",_xlfn.XLOOKUP($K997&amp;"",COMPUTER!$B$3:$B$1009&amp;"",COMPUTER!$E$3:$E$1009,""),"Display",_xlfn.XLOOKUP($K997&amp;"",DISPLAY!$B$3:$B$1000&amp;"",DISPLAY!$E$3:$E$1000,""),"Network Device",_xlfn.XLOOKUP($K997&amp;"",'NETWORK-DEVICES'!$B$3:$B$987&amp;"",'NETWORK-DEVICES'!$E$3:$E$987,""),"Peripheral",_xlfn.XLOOKUP($K997&amp;"",PERIPHERAL!$B$3:$B$954&amp;"",PERIPHERAL!$E$3:$E$954,""),"Utilities",_xlfn.XLOOKUP($K997&amp;"",UTILITIES!$B$3:$B$953&amp;"",UTILITIES!$E$3:$E$953,""),"IOT",_xlfn.XLOOKUP($K997&amp;"",IOT!$B$3:$B$1012&amp;"",IOT!$E$3:$E$1012,""),"Server",_xlfn.XLOOKUP($K997&amp;"",SERVER!$B$3:$B$1009&amp;"",SERVER!$E$3:$E$1009,""),""))))</f>
        <v/>
      </c>
      <c r="Q997" s="1" t="str" cm="1">
        <f t="array" ref="Q997">IF(OR($K997="",$I997="",$J997=""),"",_xlfn.LET(_xlpm.srcCat,_xlfn.SWITCH($I997,"Computer",_xlfn.XLOOKUP($K997&amp;"",COMPUTER!$B$3:$B$1009&amp;"",COMPUTER!$H$3:$H$1009,""),"Display",_xlfn.XLOOKUP($K997&amp;"",DISPLAY!$B$3:$B$1000&amp;"",DISPLAY!$H$3:$H$1000,""),"Network Device",_xlfn.XLOOKUP($K997&amp;"",'NETWORK-DEVICES'!$B$3:$B$987&amp;"",'NETWORK-DEVICES'!$H$3:$H$987,""),"Peripheral",_xlfn.XLOOKUP($K997&amp;"",PERIPHERAL!$B$3:$B$954&amp;"",PERIPHERAL!$H$3:$H$954,""),"Utilities",_xlfn.XLOOKUP($K997&amp;"",UTILITIES!$B$3:$B$953&amp;"",UTILITIES!$G$3:$G$953,""),"IOT",_xlfn.XLOOKUP($K997&amp;"",IOT!$B$3:$B$1012&amp;"",IOT!$H$3:$H$1012,""),"Server",_xlfn.XLOOKUP($K997&amp;"",SERVER!$B$3:$B$1009&amp;"",SERVER!$H$3:$H$1009,""),""),IF(TRIM(_xlpm.srcCat)&lt;&gt;TRIM($J997),"",_xlfn.SWITCH($I997,"Computer",_xlfn.XLOOKUP($K997&amp;"",COMPUTER!$B$3:$B$1009&amp;"",COMPUTER!$AM$3:$AM$1009,""),"Display",_xlfn.XLOOKUP($K997&amp;"",DISPLAY!$B$3:$B$1000&amp;"",DISPLAY!$V$3:$V$1000,""),"Network Device",_xlfn.XLOOKUP($K997&amp;"",'NETWORK-DEVICES'!$B$3:$B$987&amp;"",'NETWORK-DEVICES'!$AF$3:$AF$987,""),"Peripheral",_xlfn.XLOOKUP($K997&amp;"",PERIPHERAL!$B$3:$B$954&amp;"",PERIPHERAL!$Y$3:$Y$954,""),"Utilities",_xlfn.XLOOKUP($K997&amp;"",UTILITIES!$B$3:$B$953&amp;"",UTILITIES!$O$3:$O$953,""),"IOT",_xlfn.XLOOKUP($K997&amp;"",IOT!$B$3:$B$1012&amp;"",IOT!$AB$3:$AB$1012,""),"Server",_xlfn.XLOOKUP($K997&amp;"",SERVER!$B$3:$B$1009&amp;"",SERVER!$AB$3:$AB$1009,""),""))))</f>
        <v/>
      </c>
      <c r="R997" s="43" t="str">
        <f>IF(tbl_handover[[#This Row],[Asset Code]]="","",COUNTIF(tbl_handover[Asset Code],tbl_handover[[#This Row],[Asset Code]]))</f>
        <v/>
      </c>
    </row>
    <row r="998" spans="1:18" x14ac:dyDescent="0.25">
      <c r="A998" s="43" t="str">
        <f>IF(B998&lt;&gt;"",SUBTOTAL(3,$B$1:B997),"")</f>
        <v/>
      </c>
      <c r="C998" s="74"/>
      <c r="D998" s="74"/>
      <c r="G998" s="1"/>
      <c r="K998" s="42"/>
      <c r="L998" t="str" cm="1">
        <f t="array" ref="L998">IF($K998="","",_xlfn.SWITCH($I998,"Computer",_xlfn.XLOOKUP($K998&amp;"",COMPUTER!$B$3:$B$1009&amp;"",COMPUTER!$I$3:$I$1009,""),"Display",_xlfn.XLOOKUP($K998&amp;"",DISPLAY!$B$3:$B$1000&amp;"",DISPLAY!$J$3:$J$1000,""),"Network Device",_xlfn.XLOOKUP($K998&amp;"",'NETWORK-DEVICES'!$B$3:$B$987&amp;"",'NETWORK-DEVICES'!$I$3:$I$987,""),"Peripheral",_xlfn.XLOOKUP($K998&amp;"",PERIPHERAL!$B$3:$B$954&amp;"",PERIPHERAL!$I$3:$I$954,""),"Utilities",_xlfn.XLOOKUP($K998&amp;"",UTILITIES!$B$3:$B$953&amp;"",UTILITIES!$H$3:$H$953,""),"IOT",_xlfn.XLOOKUP($K998&amp;"",IOT!$B$3:$B$1012&amp;"",IOT!$I$3:$I$1012,""),"SERVER",_xlfn.XLOOKUP($K998&amp;"",SERVER!$B$3:$B$1009&amp;"",SERVER!$I$3:$I$1009,""),""))</f>
        <v/>
      </c>
      <c r="M998" t="str" cm="1">
        <f t="array" ref="M998">IF($K998="","",_xlfn.SWITCH($I998,"Computer",_xlfn.XLOOKUP($K998&amp;"",COMPUTER!$B$3:$B$1009&amp;"",COMPUTER!$J$3:$J$1009,""),"Display",_xlfn.XLOOKUP($K998&amp;"",DISPLAY!$B$3:$B$1000&amp;"",DISPLAY!$K$3:$K$1000,""),"Network Device",_xlfn.XLOOKUP($K998&amp;"",'NETWORK-DEVICES'!$B$3:$B$987&amp;"",'NETWORK-DEVICES'!$I$3:$I$987,""),"Peripheral",_xlfn.XLOOKUP($K998&amp;"",PERIPHERAL!$B$3:$B$954&amp;"",PERIPHERAL!$J$3:$J$954,""),"Utilities",_xlfn.XLOOKUP($K998&amp;"",UTILITIES!$B$3:$B$953&amp;"",UTILITIES!$I$3:$I$953,""),"IOT",_xlfn.XLOOKUP($K998&amp;"",IOT!$B$3:$B$1012&amp;"",IOT!$J$3:$J$1012,""),"Server",_xlfn.XLOOKUP($K998&amp;"",SERVER!$B$3:$B$1009&amp;"",SERVER!$J$3:$J$1009,""),""))</f>
        <v/>
      </c>
      <c r="N998" s="1" t="str" cm="1">
        <f t="array" ref="N998">IF(OR($K998="",$I998="",$J998=""),"",_xlfn.LET(_xlpm.srcCat,_xlfn.SWITCH($I998,"Computer",_xlfn.XLOOKUP($K998&amp;"",COMPUTER!$B$3:$B$1009&amp;"",COMPUTER!$H$3:$H$1009,""),"Display",_xlfn.XLOOKUP($K998&amp;"",DISPLAY!$B$3:$B$1000&amp;"",DISPLAY!$H$3:$H$1000,""),"Network Device",_xlfn.XLOOKUP($K998&amp;"",'NETWORK-DEVICES'!$B$3:$B$987&amp;"",'NETWORK-DEVICES'!$H$3:$H$987,""),"Peripheral",_xlfn.XLOOKUP($K998&amp;"",PERIPHERAL!$B$3:$B$954&amp;"",PERIPHERAL!$H$3:$H$954,""),"Utilities",_xlfn.XLOOKUP($K998&amp;"",UTILITIES!$B$3:$B$953&amp;"",UTILITIES!$G$3:$G$953,""),"IOT",_xlfn.XLOOKUP($K998&amp;"",IOT!$B$3:$B$1012&amp;"",IOT!$H$3:$H$1012,""),"Server",_xlfn.XLOOKUP($K998&amp;"",SERVER!$B$3:$B$1009&amp;"",SERVER!$H$3:$H$1009,""),""),IF(TRIM(_xlpm.srcCat)&lt;&gt;TRIM($J998),"",_xlfn.SWITCH($I998,"Computer",_xlfn.XLOOKUP($K998&amp;"",COMPUTER!$B$3:$B$1009&amp;"",COMPUTER!$K$3:$K$1009,""),"Display",_xlfn.XLOOKUP($K998&amp;"",DISPLAY!$B$3:$B$1000&amp;"",DISPLAY!$L$3:$L$1000,""),"Network Device",_xlfn.XLOOKUP($K998&amp;"",'NETWORK-DEVICES'!$B$3:$B$987&amp;"",'NETWORK-DEVICES'!$K$3:$K$987,""),"Peripheral",_xlfn.XLOOKUP($K998&amp;"",PERIPHERAL!$B$3:$B$954&amp;"",PERIPHERAL!$K$3:$K$954,""),"Utilities",_xlfn.XLOOKUP($K998&amp;"",UTILITIES!$B$3:$B$953&amp;"",UTILITIES!$J$3:$J$953,""),"IOT",_xlfn.XLOOKUP($K998&amp;"",IOT!$B$3:$B$1012&amp;"",IOT!$K$4:$K$1012,""),"Server",_xlfn.XLOOKUP($K998&amp;"",SERVER!$B$3:$B$1009&amp;"",SERVER!$K$3:$K$1009,""),""))))</f>
        <v/>
      </c>
      <c r="O998" s="1" t="str" cm="1">
        <f t="array" ref="O998">IF(OR($K998="",$I998="",$J998=""),"",_xlfn.LET(_xlpm.srcCat,_xlfn.SWITCH($I998,"Computer",_xlfn.XLOOKUP($K998&amp;"",COMPUTER!$B$3:$B$1009&amp;"",COMPUTER!$H$3:$H$1009,""),"Display",_xlfn.XLOOKUP($K998&amp;"",DISPLAY!$B$3:$B$1000&amp;"",DISPLAY!$H$3:$H$1000,""),"Network Device",_xlfn.XLOOKUP($K998&amp;"",'NETWORK-DEVICES'!$B$3:$B$987&amp;"",'NETWORK-DEVICES'!$H$3:$H$987,""),"Peripheral",_xlfn.XLOOKUP($K998&amp;"",PERIPHERAL!$B$3:$B$954&amp;"",PERIPHERAL!$H$3:$H$954,""),"Utilities",_xlfn.XLOOKUP($K998&amp;"",UTILITIES!$B$3:$B$953&amp;"",UTILITIES!$G$3:$G$953,""),"IOT",_xlfn.XLOOKUP($K998&amp;"",IOT!$B$3:$B$1012&amp;"",IOT!$H$3:$H$1012,""),"Server",_xlfn.XLOOKUP($K998&amp;"",SERVER!$B$3:$B$1009&amp;"",SERVER!$H$3:$H$1009,""),""),IF(TRIM(_xlpm.srcCat)&lt;&gt;TRIM($J998),"",_xlfn.SWITCH($I998,"Computer",_xlfn.XLOOKUP($K998&amp;"",COMPUTER!$B$3:$B$1009&amp;"",COMPUTER!$E$3:$E$1009,""),"Display",_xlfn.XLOOKUP($K998&amp;"",DISPLAY!$B$3:$B$1000&amp;"",DISPLAY!$E$3:$E$1000,""),"Network Device",_xlfn.XLOOKUP($K998&amp;"",'NETWORK-DEVICES'!$B$3:$B$987&amp;"",'NETWORK-DEVICES'!$E$3:$E$987,""),"Peripheral",_xlfn.XLOOKUP($K998&amp;"",PERIPHERAL!$B$3:$B$954&amp;"",PERIPHERAL!$E$3:$E$954,""),"Utilities",_xlfn.XLOOKUP($K998&amp;"",UTILITIES!$B$3:$B$953&amp;"",UTILITIES!$E$3:$E$953,""),"IOT",_xlfn.XLOOKUP($K998&amp;"",IOT!$B$3:$B$1012&amp;"",IOT!$E$3:$E$1012,""),"Server",_xlfn.XLOOKUP($K998&amp;"",SERVER!$B$3:$B$1009&amp;"",SERVER!$E$3:$E$1009,""),""))))</f>
        <v/>
      </c>
      <c r="Q998" s="1" t="str" cm="1">
        <f t="array" ref="Q998">IF(OR($K998="",$I998="",$J998=""),"",_xlfn.LET(_xlpm.srcCat,_xlfn.SWITCH($I998,"Computer",_xlfn.XLOOKUP($K998&amp;"",COMPUTER!$B$3:$B$1009&amp;"",COMPUTER!$H$3:$H$1009,""),"Display",_xlfn.XLOOKUP($K998&amp;"",DISPLAY!$B$3:$B$1000&amp;"",DISPLAY!$H$3:$H$1000,""),"Network Device",_xlfn.XLOOKUP($K998&amp;"",'NETWORK-DEVICES'!$B$3:$B$987&amp;"",'NETWORK-DEVICES'!$H$3:$H$987,""),"Peripheral",_xlfn.XLOOKUP($K998&amp;"",PERIPHERAL!$B$3:$B$954&amp;"",PERIPHERAL!$H$3:$H$954,""),"Utilities",_xlfn.XLOOKUP($K998&amp;"",UTILITIES!$B$3:$B$953&amp;"",UTILITIES!$G$3:$G$953,""),"IOT",_xlfn.XLOOKUP($K998&amp;"",IOT!$B$3:$B$1012&amp;"",IOT!$H$3:$H$1012,""),"Server",_xlfn.XLOOKUP($K998&amp;"",SERVER!$B$3:$B$1009&amp;"",SERVER!$H$3:$H$1009,""),""),IF(TRIM(_xlpm.srcCat)&lt;&gt;TRIM($J998),"",_xlfn.SWITCH($I998,"Computer",_xlfn.XLOOKUP($K998&amp;"",COMPUTER!$B$3:$B$1009&amp;"",COMPUTER!$AM$3:$AM$1009,""),"Display",_xlfn.XLOOKUP($K998&amp;"",DISPLAY!$B$3:$B$1000&amp;"",DISPLAY!$V$3:$V$1000,""),"Network Device",_xlfn.XLOOKUP($K998&amp;"",'NETWORK-DEVICES'!$B$3:$B$987&amp;"",'NETWORK-DEVICES'!$AF$3:$AF$987,""),"Peripheral",_xlfn.XLOOKUP($K998&amp;"",PERIPHERAL!$B$3:$B$954&amp;"",PERIPHERAL!$Y$3:$Y$954,""),"Utilities",_xlfn.XLOOKUP($K998&amp;"",UTILITIES!$B$3:$B$953&amp;"",UTILITIES!$O$3:$O$953,""),"IOT",_xlfn.XLOOKUP($K998&amp;"",IOT!$B$3:$B$1012&amp;"",IOT!$AB$3:$AB$1012,""),"Server",_xlfn.XLOOKUP($K998&amp;"",SERVER!$B$3:$B$1009&amp;"",SERVER!$AB$3:$AB$1009,""),""))))</f>
        <v/>
      </c>
      <c r="R998" s="43" t="str">
        <f>IF(tbl_handover[[#This Row],[Asset Code]]="","",COUNTIF(tbl_handover[Asset Code],tbl_handover[[#This Row],[Asset Code]]))</f>
        <v/>
      </c>
    </row>
    <row r="999" spans="1:18" x14ac:dyDescent="0.25">
      <c r="A999" s="43" t="str">
        <f>IF(B999&lt;&gt;"",SUBTOTAL(3,$B$1:B998),"")</f>
        <v/>
      </c>
      <c r="C999" s="74"/>
      <c r="D999" s="74"/>
      <c r="G999" s="1"/>
      <c r="K999" s="42"/>
      <c r="L999" t="str" cm="1">
        <f t="array" ref="L999">IF($K999="","",_xlfn.SWITCH($I999,"Computer",_xlfn.XLOOKUP($K999&amp;"",COMPUTER!$B$3:$B$1009&amp;"",COMPUTER!$I$3:$I$1009,""),"Display",_xlfn.XLOOKUP($K999&amp;"",DISPLAY!$B$3:$B$1000&amp;"",DISPLAY!$J$3:$J$1000,""),"Network Device",_xlfn.XLOOKUP($K999&amp;"",'NETWORK-DEVICES'!$B$3:$B$987&amp;"",'NETWORK-DEVICES'!$I$3:$I$987,""),"Peripheral",_xlfn.XLOOKUP($K999&amp;"",PERIPHERAL!$B$3:$B$954&amp;"",PERIPHERAL!$I$3:$I$954,""),"Utilities",_xlfn.XLOOKUP($K999&amp;"",UTILITIES!$B$3:$B$953&amp;"",UTILITIES!$H$3:$H$953,""),"IOT",_xlfn.XLOOKUP($K999&amp;"",IOT!$B$3:$B$1012&amp;"",IOT!$I$3:$I$1012,""),"SERVER",_xlfn.XLOOKUP($K999&amp;"",SERVER!$B$3:$B$1009&amp;"",SERVER!$I$3:$I$1009,""),""))</f>
        <v/>
      </c>
      <c r="M999" t="str" cm="1">
        <f t="array" ref="M999">IF($K999="","",_xlfn.SWITCH($I999,"Computer",_xlfn.XLOOKUP($K999&amp;"",COMPUTER!$B$3:$B$1009&amp;"",COMPUTER!$J$3:$J$1009,""),"Display",_xlfn.XLOOKUP($K999&amp;"",DISPLAY!$B$3:$B$1000&amp;"",DISPLAY!$K$3:$K$1000,""),"Network Device",_xlfn.XLOOKUP($K999&amp;"",'NETWORK-DEVICES'!$B$3:$B$987&amp;"",'NETWORK-DEVICES'!$I$3:$I$987,""),"Peripheral",_xlfn.XLOOKUP($K999&amp;"",PERIPHERAL!$B$3:$B$954&amp;"",PERIPHERAL!$J$3:$J$954,""),"Utilities",_xlfn.XLOOKUP($K999&amp;"",UTILITIES!$B$3:$B$953&amp;"",UTILITIES!$I$3:$I$953,""),"IOT",_xlfn.XLOOKUP($K999&amp;"",IOT!$B$3:$B$1012&amp;"",IOT!$J$3:$J$1012,""),"Server",_xlfn.XLOOKUP($K999&amp;"",SERVER!$B$3:$B$1009&amp;"",SERVER!$J$3:$J$1009,""),""))</f>
        <v/>
      </c>
      <c r="N999" s="1" t="str" cm="1">
        <f t="array" ref="N999">IF(OR($K999="",$I999="",$J999=""),"",_xlfn.LET(_xlpm.srcCat,_xlfn.SWITCH($I999,"Computer",_xlfn.XLOOKUP($K999&amp;"",COMPUTER!$B$3:$B$1009&amp;"",COMPUTER!$H$3:$H$1009,""),"Display",_xlfn.XLOOKUP($K999&amp;"",DISPLAY!$B$3:$B$1000&amp;"",DISPLAY!$H$3:$H$1000,""),"Network Device",_xlfn.XLOOKUP($K999&amp;"",'NETWORK-DEVICES'!$B$3:$B$987&amp;"",'NETWORK-DEVICES'!$H$3:$H$987,""),"Peripheral",_xlfn.XLOOKUP($K999&amp;"",PERIPHERAL!$B$3:$B$954&amp;"",PERIPHERAL!$H$3:$H$954,""),"Utilities",_xlfn.XLOOKUP($K999&amp;"",UTILITIES!$B$3:$B$953&amp;"",UTILITIES!$G$3:$G$953,""),"IOT",_xlfn.XLOOKUP($K999&amp;"",IOT!$B$3:$B$1012&amp;"",IOT!$H$3:$H$1012,""),"Server",_xlfn.XLOOKUP($K999&amp;"",SERVER!$B$3:$B$1009&amp;"",SERVER!$H$3:$H$1009,""),""),IF(TRIM(_xlpm.srcCat)&lt;&gt;TRIM($J999),"",_xlfn.SWITCH($I999,"Computer",_xlfn.XLOOKUP($K999&amp;"",COMPUTER!$B$3:$B$1009&amp;"",COMPUTER!$K$3:$K$1009,""),"Display",_xlfn.XLOOKUP($K999&amp;"",DISPLAY!$B$3:$B$1000&amp;"",DISPLAY!$L$3:$L$1000,""),"Network Device",_xlfn.XLOOKUP($K999&amp;"",'NETWORK-DEVICES'!$B$3:$B$987&amp;"",'NETWORK-DEVICES'!$K$3:$K$987,""),"Peripheral",_xlfn.XLOOKUP($K999&amp;"",PERIPHERAL!$B$3:$B$954&amp;"",PERIPHERAL!$K$3:$K$954,""),"Utilities",_xlfn.XLOOKUP($K999&amp;"",UTILITIES!$B$3:$B$953&amp;"",UTILITIES!$J$3:$J$953,""),"IOT",_xlfn.XLOOKUP($K999&amp;"",IOT!$B$3:$B$1012&amp;"",IOT!$K$4:$K$1012,""),"Server",_xlfn.XLOOKUP($K999&amp;"",SERVER!$B$3:$B$1009&amp;"",SERVER!$K$3:$K$1009,""),""))))</f>
        <v/>
      </c>
      <c r="O999" s="1" t="str" cm="1">
        <f t="array" ref="O999">IF(OR($K999="",$I999="",$J999=""),"",_xlfn.LET(_xlpm.srcCat,_xlfn.SWITCH($I999,"Computer",_xlfn.XLOOKUP($K999&amp;"",COMPUTER!$B$3:$B$1009&amp;"",COMPUTER!$H$3:$H$1009,""),"Display",_xlfn.XLOOKUP($K999&amp;"",DISPLAY!$B$3:$B$1000&amp;"",DISPLAY!$H$3:$H$1000,""),"Network Device",_xlfn.XLOOKUP($K999&amp;"",'NETWORK-DEVICES'!$B$3:$B$987&amp;"",'NETWORK-DEVICES'!$H$3:$H$987,""),"Peripheral",_xlfn.XLOOKUP($K999&amp;"",PERIPHERAL!$B$3:$B$954&amp;"",PERIPHERAL!$H$3:$H$954,""),"Utilities",_xlfn.XLOOKUP($K999&amp;"",UTILITIES!$B$3:$B$953&amp;"",UTILITIES!$G$3:$G$953,""),"IOT",_xlfn.XLOOKUP($K999&amp;"",IOT!$B$3:$B$1012&amp;"",IOT!$H$3:$H$1012,""),"Server",_xlfn.XLOOKUP($K999&amp;"",SERVER!$B$3:$B$1009&amp;"",SERVER!$H$3:$H$1009,""),""),IF(TRIM(_xlpm.srcCat)&lt;&gt;TRIM($J999),"",_xlfn.SWITCH($I999,"Computer",_xlfn.XLOOKUP($K999&amp;"",COMPUTER!$B$3:$B$1009&amp;"",COMPUTER!$E$3:$E$1009,""),"Display",_xlfn.XLOOKUP($K999&amp;"",DISPLAY!$B$3:$B$1000&amp;"",DISPLAY!$E$3:$E$1000,""),"Network Device",_xlfn.XLOOKUP($K999&amp;"",'NETWORK-DEVICES'!$B$3:$B$987&amp;"",'NETWORK-DEVICES'!$E$3:$E$987,""),"Peripheral",_xlfn.XLOOKUP($K999&amp;"",PERIPHERAL!$B$3:$B$954&amp;"",PERIPHERAL!$E$3:$E$954,""),"Utilities",_xlfn.XLOOKUP($K999&amp;"",UTILITIES!$B$3:$B$953&amp;"",UTILITIES!$E$3:$E$953,""),"IOT",_xlfn.XLOOKUP($K999&amp;"",IOT!$B$3:$B$1012&amp;"",IOT!$E$3:$E$1012,""),"Server",_xlfn.XLOOKUP($K999&amp;"",SERVER!$B$3:$B$1009&amp;"",SERVER!$E$3:$E$1009,""),""))))</f>
        <v/>
      </c>
      <c r="Q999" s="1" t="str" cm="1">
        <f t="array" ref="Q999">IF(OR($K999="",$I999="",$J999=""),"",_xlfn.LET(_xlpm.srcCat,_xlfn.SWITCH($I999,"Computer",_xlfn.XLOOKUP($K999&amp;"",COMPUTER!$B$3:$B$1009&amp;"",COMPUTER!$H$3:$H$1009,""),"Display",_xlfn.XLOOKUP($K999&amp;"",DISPLAY!$B$3:$B$1000&amp;"",DISPLAY!$H$3:$H$1000,""),"Network Device",_xlfn.XLOOKUP($K999&amp;"",'NETWORK-DEVICES'!$B$3:$B$987&amp;"",'NETWORK-DEVICES'!$H$3:$H$987,""),"Peripheral",_xlfn.XLOOKUP($K999&amp;"",PERIPHERAL!$B$3:$B$954&amp;"",PERIPHERAL!$H$3:$H$954,""),"Utilities",_xlfn.XLOOKUP($K999&amp;"",UTILITIES!$B$3:$B$953&amp;"",UTILITIES!$G$3:$G$953,""),"IOT",_xlfn.XLOOKUP($K999&amp;"",IOT!$B$3:$B$1012&amp;"",IOT!$H$3:$H$1012,""),"Server",_xlfn.XLOOKUP($K999&amp;"",SERVER!$B$3:$B$1009&amp;"",SERVER!$H$3:$H$1009,""),""),IF(TRIM(_xlpm.srcCat)&lt;&gt;TRIM($J999),"",_xlfn.SWITCH($I999,"Computer",_xlfn.XLOOKUP($K999&amp;"",COMPUTER!$B$3:$B$1009&amp;"",COMPUTER!$AM$3:$AM$1009,""),"Display",_xlfn.XLOOKUP($K999&amp;"",DISPLAY!$B$3:$B$1000&amp;"",DISPLAY!$V$3:$V$1000,""),"Network Device",_xlfn.XLOOKUP($K999&amp;"",'NETWORK-DEVICES'!$B$3:$B$987&amp;"",'NETWORK-DEVICES'!$AF$3:$AF$987,""),"Peripheral",_xlfn.XLOOKUP($K999&amp;"",PERIPHERAL!$B$3:$B$954&amp;"",PERIPHERAL!$Y$3:$Y$954,""),"Utilities",_xlfn.XLOOKUP($K999&amp;"",UTILITIES!$B$3:$B$953&amp;"",UTILITIES!$O$3:$O$953,""),"IOT",_xlfn.XLOOKUP($K999&amp;"",IOT!$B$3:$B$1012&amp;"",IOT!$AB$3:$AB$1012,""),"Server",_xlfn.XLOOKUP($K999&amp;"",SERVER!$B$3:$B$1009&amp;"",SERVER!$AB$3:$AB$1009,""),""))))</f>
        <v/>
      </c>
      <c r="R999" s="43" t="str">
        <f>IF(tbl_handover[[#This Row],[Asset Code]]="","",COUNTIF(tbl_handover[Asset Code],tbl_handover[[#This Row],[Asset Code]]))</f>
        <v/>
      </c>
    </row>
    <row r="1000" spans="1:18" x14ac:dyDescent="0.25">
      <c r="A1000" s="43" t="str">
        <f>IF(B1000&lt;&gt;"",SUBTOTAL(3,$B$1:B999),"")</f>
        <v/>
      </c>
      <c r="C1000" s="74"/>
      <c r="D1000" s="74"/>
      <c r="G1000" s="1"/>
      <c r="K1000" s="42"/>
      <c r="L1000" t="str" cm="1">
        <f t="array" ref="L1000">IF($K1000="","",_xlfn.SWITCH($I1000,"Computer",_xlfn.XLOOKUP($K1000&amp;"",COMPUTER!$B$3:$B$1009&amp;"",COMPUTER!$I$3:$I$1009,""),"Display",_xlfn.XLOOKUP($K1000&amp;"",DISPLAY!$B$3:$B$1000&amp;"",DISPLAY!$J$3:$J$1000,""),"Network Device",_xlfn.XLOOKUP($K1000&amp;"",'NETWORK-DEVICES'!$B$3:$B$987&amp;"",'NETWORK-DEVICES'!$I$3:$I$987,""),"Peripheral",_xlfn.XLOOKUP($K1000&amp;"",PERIPHERAL!$B$3:$B$954&amp;"",PERIPHERAL!$I$3:$I$954,""),"Utilities",_xlfn.XLOOKUP($K1000&amp;"",UTILITIES!$B$3:$B$953&amp;"",UTILITIES!$H$3:$H$953,""),"IOT",_xlfn.XLOOKUP($K1000&amp;"",IOT!$B$3:$B$1012&amp;"",IOT!$I$3:$I$1012,""),"SERVER",_xlfn.XLOOKUP($K1000&amp;"",SERVER!$B$3:$B$1009&amp;"",SERVER!$I$3:$I$1009,""),""))</f>
        <v/>
      </c>
      <c r="M1000" t="str" cm="1">
        <f t="array" ref="M1000">IF($K1000="","",_xlfn.SWITCH($I1000,"Computer",_xlfn.XLOOKUP($K1000&amp;"",COMPUTER!$B$3:$B$1009&amp;"",COMPUTER!$J$3:$J$1009,""),"Display",_xlfn.XLOOKUP($K1000&amp;"",DISPLAY!$B$3:$B$1000&amp;"",DISPLAY!$K$3:$K$1000,""),"Network Device",_xlfn.XLOOKUP($K1000&amp;"",'NETWORK-DEVICES'!$B$3:$B$987&amp;"",'NETWORK-DEVICES'!$I$3:$I$987,""),"Peripheral",_xlfn.XLOOKUP($K1000&amp;"",PERIPHERAL!$B$3:$B$954&amp;"",PERIPHERAL!$J$3:$J$954,""),"Utilities",_xlfn.XLOOKUP($K1000&amp;"",UTILITIES!$B$3:$B$953&amp;"",UTILITIES!$I$3:$I$953,""),"IOT",_xlfn.XLOOKUP($K1000&amp;"",IOT!$B$3:$B$1012&amp;"",IOT!$J$3:$J$1012,""),"Server",_xlfn.XLOOKUP($K1000&amp;"",SERVER!$B$3:$B$1009&amp;"",SERVER!$J$3:$J$1009,""),""))</f>
        <v/>
      </c>
      <c r="N1000" s="1" t="str" cm="1">
        <f t="array" ref="N1000">IF(OR($K1000="",$I1000="",$J1000=""),"",_xlfn.LET(_xlpm.srcCat,_xlfn.SWITCH($I1000,"Computer",_xlfn.XLOOKUP($K1000&amp;"",COMPUTER!$B$3:$B$1009&amp;"",COMPUTER!$H$3:$H$1009,""),"Display",_xlfn.XLOOKUP($K1000&amp;"",DISPLAY!$B$3:$B$1000&amp;"",DISPLAY!$H$3:$H$1000,""),"Network Device",_xlfn.XLOOKUP($K1000&amp;"",'NETWORK-DEVICES'!$B$3:$B$987&amp;"",'NETWORK-DEVICES'!$H$3:$H$987,""),"Peripheral",_xlfn.XLOOKUP($K1000&amp;"",PERIPHERAL!$B$3:$B$954&amp;"",PERIPHERAL!$H$3:$H$954,""),"Utilities",_xlfn.XLOOKUP($K1000&amp;"",UTILITIES!$B$3:$B$953&amp;"",UTILITIES!$G$3:$G$953,""),"IOT",_xlfn.XLOOKUP($K1000&amp;"",IOT!$B$3:$B$1012&amp;"",IOT!$H$3:$H$1012,""),"Server",_xlfn.XLOOKUP($K1000&amp;"",SERVER!$B$3:$B$1009&amp;"",SERVER!$H$3:$H$1009,""),""),IF(TRIM(_xlpm.srcCat)&lt;&gt;TRIM($J1000),"",_xlfn.SWITCH($I1000,"Computer",_xlfn.XLOOKUP($K1000&amp;"",COMPUTER!$B$3:$B$1009&amp;"",COMPUTER!$K$3:$K$1009,""),"Display",_xlfn.XLOOKUP($K1000&amp;"",DISPLAY!$B$3:$B$1000&amp;"",DISPLAY!$L$3:$L$1000,""),"Network Device",_xlfn.XLOOKUP($K1000&amp;"",'NETWORK-DEVICES'!$B$3:$B$987&amp;"",'NETWORK-DEVICES'!$K$3:$K$987,""),"Peripheral",_xlfn.XLOOKUP($K1000&amp;"",PERIPHERAL!$B$3:$B$954&amp;"",PERIPHERAL!$K$3:$K$954,""),"Utilities",_xlfn.XLOOKUP($K1000&amp;"",UTILITIES!$B$3:$B$953&amp;"",UTILITIES!$J$3:$J$953,""),"IOT",_xlfn.XLOOKUP($K1000&amp;"",IOT!$B$3:$B$1012&amp;"",IOT!$K$4:$K$1012,""),"Server",_xlfn.XLOOKUP($K1000&amp;"",SERVER!$B$3:$B$1009&amp;"",SERVER!$K$3:$K$1009,""),""))))</f>
        <v/>
      </c>
      <c r="O1000" s="1" t="str" cm="1">
        <f t="array" ref="O1000">IF(OR($K1000="",$I1000="",$J1000=""),"",_xlfn.LET(_xlpm.srcCat,_xlfn.SWITCH($I1000,"Computer",_xlfn.XLOOKUP($K1000&amp;"",COMPUTER!$B$3:$B$1009&amp;"",COMPUTER!$H$3:$H$1009,""),"Display",_xlfn.XLOOKUP($K1000&amp;"",DISPLAY!$B$3:$B$1000&amp;"",DISPLAY!$H$3:$H$1000,""),"Network Device",_xlfn.XLOOKUP($K1000&amp;"",'NETWORK-DEVICES'!$B$3:$B$987&amp;"",'NETWORK-DEVICES'!$H$3:$H$987,""),"Peripheral",_xlfn.XLOOKUP($K1000&amp;"",PERIPHERAL!$B$3:$B$954&amp;"",PERIPHERAL!$H$3:$H$954,""),"Utilities",_xlfn.XLOOKUP($K1000&amp;"",UTILITIES!$B$3:$B$953&amp;"",UTILITIES!$G$3:$G$953,""),"IOT",_xlfn.XLOOKUP($K1000&amp;"",IOT!$B$3:$B$1012&amp;"",IOT!$H$3:$H$1012,""),"Server",_xlfn.XLOOKUP($K1000&amp;"",SERVER!$B$3:$B$1009&amp;"",SERVER!$H$3:$H$1009,""),""),IF(TRIM(_xlpm.srcCat)&lt;&gt;TRIM($J1000),"",_xlfn.SWITCH($I1000,"Computer",_xlfn.XLOOKUP($K1000&amp;"",COMPUTER!$B$3:$B$1009&amp;"",COMPUTER!$E$3:$E$1009,""),"Display",_xlfn.XLOOKUP($K1000&amp;"",DISPLAY!$B$3:$B$1000&amp;"",DISPLAY!$E$3:$E$1000,""),"Network Device",_xlfn.XLOOKUP($K1000&amp;"",'NETWORK-DEVICES'!$B$3:$B$987&amp;"",'NETWORK-DEVICES'!$E$3:$E$987,""),"Peripheral",_xlfn.XLOOKUP($K1000&amp;"",PERIPHERAL!$B$3:$B$954&amp;"",PERIPHERAL!$E$3:$E$954,""),"Utilities",_xlfn.XLOOKUP($K1000&amp;"",UTILITIES!$B$3:$B$953&amp;"",UTILITIES!$E$3:$E$953,""),"IOT",_xlfn.XLOOKUP($K1000&amp;"",IOT!$B$3:$B$1012&amp;"",IOT!$E$3:$E$1012,""),"Server",_xlfn.XLOOKUP($K1000&amp;"",SERVER!$B$3:$B$1009&amp;"",SERVER!$E$3:$E$1009,""),""))))</f>
        <v/>
      </c>
      <c r="Q1000" s="1" t="str" cm="1">
        <f t="array" ref="Q1000">IF(OR($K1000="",$I1000="",$J1000=""),"",_xlfn.LET(_xlpm.srcCat,_xlfn.SWITCH($I1000,"Computer",_xlfn.XLOOKUP($K1000&amp;"",COMPUTER!$B$3:$B$1009&amp;"",COMPUTER!$H$3:$H$1009,""),"Display",_xlfn.XLOOKUP($K1000&amp;"",DISPLAY!$B$3:$B$1000&amp;"",DISPLAY!$H$3:$H$1000,""),"Network Device",_xlfn.XLOOKUP($K1000&amp;"",'NETWORK-DEVICES'!$B$3:$B$987&amp;"",'NETWORK-DEVICES'!$H$3:$H$987,""),"Peripheral",_xlfn.XLOOKUP($K1000&amp;"",PERIPHERAL!$B$3:$B$954&amp;"",PERIPHERAL!$H$3:$H$954,""),"Utilities",_xlfn.XLOOKUP($K1000&amp;"",UTILITIES!$B$3:$B$953&amp;"",UTILITIES!$G$3:$G$953,""),"IOT",_xlfn.XLOOKUP($K1000&amp;"",IOT!$B$3:$B$1012&amp;"",IOT!$H$3:$H$1012,""),"Server",_xlfn.XLOOKUP($K1000&amp;"",SERVER!$B$3:$B$1009&amp;"",SERVER!$H$3:$H$1009,""),""),IF(TRIM(_xlpm.srcCat)&lt;&gt;TRIM($J1000),"",_xlfn.SWITCH($I1000,"Computer",_xlfn.XLOOKUP($K1000&amp;"",COMPUTER!$B$3:$B$1009&amp;"",COMPUTER!$AM$3:$AM$1009,""),"Display",_xlfn.XLOOKUP($K1000&amp;"",DISPLAY!$B$3:$B$1000&amp;"",DISPLAY!$V$3:$V$1000,""),"Network Device",_xlfn.XLOOKUP($K1000&amp;"",'NETWORK-DEVICES'!$B$3:$B$987&amp;"",'NETWORK-DEVICES'!$AF$3:$AF$987,""),"Peripheral",_xlfn.XLOOKUP($K1000&amp;"",PERIPHERAL!$B$3:$B$954&amp;"",PERIPHERAL!$Y$3:$Y$954,""),"Utilities",_xlfn.XLOOKUP($K1000&amp;"",UTILITIES!$B$3:$B$953&amp;"",UTILITIES!$O$3:$O$953,""),"IOT",_xlfn.XLOOKUP($K1000&amp;"",IOT!$B$3:$B$1012&amp;"",IOT!$AB$3:$AB$1012,""),"Server",_xlfn.XLOOKUP($K1000&amp;"",SERVER!$B$3:$B$1009&amp;"",SERVER!$AB$3:$AB$1009,""),""))))</f>
        <v/>
      </c>
      <c r="R1000" s="43" t="str">
        <f>IF(tbl_handover[[#This Row],[Asset Code]]="","",COUNTIF(tbl_handover[Asset Code],tbl_handover[[#This Row],[Asset Code]]))</f>
        <v/>
      </c>
    </row>
    <row r="1001" spans="1:18" x14ac:dyDescent="0.25">
      <c r="A1001" s="43" t="str">
        <f>IF(B1001&lt;&gt;"",SUBTOTAL(3,$B$1:B1000),"")</f>
        <v/>
      </c>
      <c r="C1001" s="74"/>
      <c r="D1001" s="74"/>
      <c r="G1001" s="1"/>
      <c r="K1001" s="42"/>
      <c r="L1001" t="str" cm="1">
        <f t="array" ref="L1001">IF($K1001="","",_xlfn.SWITCH($I1001,"Computer",_xlfn.XLOOKUP($K1001&amp;"",COMPUTER!$B$3:$B$1009&amp;"",COMPUTER!$I$3:$I$1009,""),"Display",_xlfn.XLOOKUP($K1001&amp;"",DISPLAY!$B$3:$B$1000&amp;"",DISPLAY!$J$3:$J$1000,""),"Network Device",_xlfn.XLOOKUP($K1001&amp;"",'NETWORK-DEVICES'!$B$3:$B$987&amp;"",'NETWORK-DEVICES'!$I$3:$I$987,""),"Peripheral",_xlfn.XLOOKUP($K1001&amp;"",PERIPHERAL!$B$3:$B$954&amp;"",PERIPHERAL!$I$3:$I$954,""),"Utilities",_xlfn.XLOOKUP($K1001&amp;"",UTILITIES!$B$3:$B$953&amp;"",UTILITIES!$H$3:$H$953,""),"IOT",_xlfn.XLOOKUP($K1001&amp;"",IOT!$B$3:$B$1012&amp;"",IOT!$I$3:$I$1012,""),"SERVER",_xlfn.XLOOKUP($K1001&amp;"",SERVER!$B$3:$B$1009&amp;"",SERVER!$I$3:$I$1009,""),""))</f>
        <v/>
      </c>
      <c r="M1001" t="str" cm="1">
        <f t="array" ref="M1001">IF($K1001="","",_xlfn.SWITCH($I1001,"Computer",_xlfn.XLOOKUP($K1001&amp;"",COMPUTER!$B$3:$B$1009&amp;"",COMPUTER!$J$3:$J$1009,""),"Display",_xlfn.XLOOKUP($K1001&amp;"",DISPLAY!$B$3:$B$1000&amp;"",DISPLAY!$K$3:$K$1000,""),"Network Device",_xlfn.XLOOKUP($K1001&amp;"",'NETWORK-DEVICES'!$B$3:$B$987&amp;"",'NETWORK-DEVICES'!$I$3:$I$987,""),"Peripheral",_xlfn.XLOOKUP($K1001&amp;"",PERIPHERAL!$B$3:$B$954&amp;"",PERIPHERAL!$J$3:$J$954,""),"Utilities",_xlfn.XLOOKUP($K1001&amp;"",UTILITIES!$B$3:$B$953&amp;"",UTILITIES!$I$3:$I$953,""),"IOT",_xlfn.XLOOKUP($K1001&amp;"",IOT!$B$3:$B$1012&amp;"",IOT!$J$3:$J$1012,""),"Server",_xlfn.XLOOKUP($K1001&amp;"",SERVER!$B$3:$B$1009&amp;"",SERVER!$J$3:$J$1009,""),""))</f>
        <v/>
      </c>
      <c r="N1001" s="1" t="str" cm="1">
        <f t="array" ref="N1001">IF(OR($K1001="",$I1001="",$J1001=""),"",_xlfn.LET(_xlpm.srcCat,_xlfn.SWITCH($I1001,"Computer",_xlfn.XLOOKUP($K1001&amp;"",COMPUTER!$B$3:$B$1009&amp;"",COMPUTER!$H$3:$H$1009,""),"Display",_xlfn.XLOOKUP($K1001&amp;"",DISPLAY!$B$3:$B$1000&amp;"",DISPLAY!$H$3:$H$1000,""),"Network Device",_xlfn.XLOOKUP($K1001&amp;"",'NETWORK-DEVICES'!$B$3:$B$987&amp;"",'NETWORK-DEVICES'!$H$3:$H$987,""),"Peripheral",_xlfn.XLOOKUP($K1001&amp;"",PERIPHERAL!$B$3:$B$954&amp;"",PERIPHERAL!$H$3:$H$954,""),"Utilities",_xlfn.XLOOKUP($K1001&amp;"",UTILITIES!$B$3:$B$953&amp;"",UTILITIES!$G$3:$G$953,""),"IOT",_xlfn.XLOOKUP($K1001&amp;"",IOT!$B$3:$B$1012&amp;"",IOT!$H$3:$H$1012,""),"Server",_xlfn.XLOOKUP($K1001&amp;"",SERVER!$B$3:$B$1009&amp;"",SERVER!$H$3:$H$1009,""),""),IF(TRIM(_xlpm.srcCat)&lt;&gt;TRIM($J1001),"",_xlfn.SWITCH($I1001,"Computer",_xlfn.XLOOKUP($K1001&amp;"",COMPUTER!$B$3:$B$1009&amp;"",COMPUTER!$K$3:$K$1009,""),"Display",_xlfn.XLOOKUP($K1001&amp;"",DISPLAY!$B$3:$B$1000&amp;"",DISPLAY!$L$3:$L$1000,""),"Network Device",_xlfn.XLOOKUP($K1001&amp;"",'NETWORK-DEVICES'!$B$3:$B$987&amp;"",'NETWORK-DEVICES'!$K$3:$K$987,""),"Peripheral",_xlfn.XLOOKUP($K1001&amp;"",PERIPHERAL!$B$3:$B$954&amp;"",PERIPHERAL!$K$3:$K$954,""),"Utilities",_xlfn.XLOOKUP($K1001&amp;"",UTILITIES!$B$3:$B$953&amp;"",UTILITIES!$J$3:$J$953,""),"IOT",_xlfn.XLOOKUP($K1001&amp;"",IOT!$B$3:$B$1012&amp;"",IOT!$K$4:$K$1012,""),"Server",_xlfn.XLOOKUP($K1001&amp;"",SERVER!$B$3:$B$1009&amp;"",SERVER!$K$3:$K$1009,""),""))))</f>
        <v/>
      </c>
      <c r="O1001" s="1" t="str" cm="1">
        <f t="array" ref="O1001">IF(OR($K1001="",$I1001="",$J1001=""),"",_xlfn.LET(_xlpm.srcCat,_xlfn.SWITCH($I1001,"Computer",_xlfn.XLOOKUP($K1001&amp;"",COMPUTER!$B$3:$B$1009&amp;"",COMPUTER!$H$3:$H$1009,""),"Display",_xlfn.XLOOKUP($K1001&amp;"",DISPLAY!$B$3:$B$1000&amp;"",DISPLAY!$H$3:$H$1000,""),"Network Device",_xlfn.XLOOKUP($K1001&amp;"",'NETWORK-DEVICES'!$B$3:$B$987&amp;"",'NETWORK-DEVICES'!$H$3:$H$987,""),"Peripheral",_xlfn.XLOOKUP($K1001&amp;"",PERIPHERAL!$B$3:$B$954&amp;"",PERIPHERAL!$H$3:$H$954,""),"Utilities",_xlfn.XLOOKUP($K1001&amp;"",UTILITIES!$B$3:$B$953&amp;"",UTILITIES!$G$3:$G$953,""),"IOT",_xlfn.XLOOKUP($K1001&amp;"",IOT!$B$3:$B$1012&amp;"",IOT!$H$3:$H$1012,""),"Server",_xlfn.XLOOKUP($K1001&amp;"",SERVER!$B$3:$B$1009&amp;"",SERVER!$H$3:$H$1009,""),""),IF(TRIM(_xlpm.srcCat)&lt;&gt;TRIM($J1001),"",_xlfn.SWITCH($I1001,"Computer",_xlfn.XLOOKUP($K1001&amp;"",COMPUTER!$B$3:$B$1009&amp;"",COMPUTER!$E$3:$E$1009,""),"Display",_xlfn.XLOOKUP($K1001&amp;"",DISPLAY!$B$3:$B$1000&amp;"",DISPLAY!$E$3:$E$1000,""),"Network Device",_xlfn.XLOOKUP($K1001&amp;"",'NETWORK-DEVICES'!$B$3:$B$987&amp;"",'NETWORK-DEVICES'!$E$3:$E$987,""),"Peripheral",_xlfn.XLOOKUP($K1001&amp;"",PERIPHERAL!$B$3:$B$954&amp;"",PERIPHERAL!$E$3:$E$954,""),"Utilities",_xlfn.XLOOKUP($K1001&amp;"",UTILITIES!$B$3:$B$953&amp;"",UTILITIES!$E$3:$E$953,""),"IOT",_xlfn.XLOOKUP($K1001&amp;"",IOT!$B$3:$B$1012&amp;"",IOT!$E$3:$E$1012,""),"Server",_xlfn.XLOOKUP($K1001&amp;"",SERVER!$B$3:$B$1009&amp;"",SERVER!$E$3:$E$1009,""),""))))</f>
        <v/>
      </c>
      <c r="Q1001" s="1" t="str" cm="1">
        <f t="array" ref="Q1001">IF(OR($K1001="",$I1001="",$J1001=""),"",_xlfn.LET(_xlpm.srcCat,_xlfn.SWITCH($I1001,"Computer",_xlfn.XLOOKUP($K1001&amp;"",COMPUTER!$B$3:$B$1009&amp;"",COMPUTER!$H$3:$H$1009,""),"Display",_xlfn.XLOOKUP($K1001&amp;"",DISPLAY!$B$3:$B$1000&amp;"",DISPLAY!$H$3:$H$1000,""),"Network Device",_xlfn.XLOOKUP($K1001&amp;"",'NETWORK-DEVICES'!$B$3:$B$987&amp;"",'NETWORK-DEVICES'!$H$3:$H$987,""),"Peripheral",_xlfn.XLOOKUP($K1001&amp;"",PERIPHERAL!$B$3:$B$954&amp;"",PERIPHERAL!$H$3:$H$954,""),"Utilities",_xlfn.XLOOKUP($K1001&amp;"",UTILITIES!$B$3:$B$953&amp;"",UTILITIES!$G$3:$G$953,""),"IOT",_xlfn.XLOOKUP($K1001&amp;"",IOT!$B$3:$B$1012&amp;"",IOT!$H$3:$H$1012,""),"Server",_xlfn.XLOOKUP($K1001&amp;"",SERVER!$B$3:$B$1009&amp;"",SERVER!$H$3:$H$1009,""),""),IF(TRIM(_xlpm.srcCat)&lt;&gt;TRIM($J1001),"",_xlfn.SWITCH($I1001,"Computer",_xlfn.XLOOKUP($K1001&amp;"",COMPUTER!$B$3:$B$1009&amp;"",COMPUTER!$AM$3:$AM$1009,""),"Display",_xlfn.XLOOKUP($K1001&amp;"",DISPLAY!$B$3:$B$1000&amp;"",DISPLAY!$V$3:$V$1000,""),"Network Device",_xlfn.XLOOKUP($K1001&amp;"",'NETWORK-DEVICES'!$B$3:$B$987&amp;"",'NETWORK-DEVICES'!$AF$3:$AF$987,""),"Peripheral",_xlfn.XLOOKUP($K1001&amp;"",PERIPHERAL!$B$3:$B$954&amp;"",PERIPHERAL!$Y$3:$Y$954,""),"Utilities",_xlfn.XLOOKUP($K1001&amp;"",UTILITIES!$B$3:$B$953&amp;"",UTILITIES!$O$3:$O$953,""),"IOT",_xlfn.XLOOKUP($K1001&amp;"",IOT!$B$3:$B$1012&amp;"",IOT!$AB$3:$AB$1012,""),"Server",_xlfn.XLOOKUP($K1001&amp;"",SERVER!$B$3:$B$1009&amp;"",SERVER!$AB$3:$AB$1009,""),""))))</f>
        <v/>
      </c>
      <c r="R1001" s="43" t="str">
        <f>IF(tbl_handover[[#This Row],[Asset Code]]="","",COUNTIF(tbl_handover[Asset Code],tbl_handover[[#This Row],[Asset Code]]))</f>
        <v/>
      </c>
    </row>
  </sheetData>
  <dataConsolidate/>
  <phoneticPr fontId="10" type="noConversion"/>
  <dataValidations xWindow="867" yWindow="744" count="5">
    <dataValidation type="list" allowBlank="1" showInputMessage="1" showErrorMessage="1" errorTitle="Category tidak valid" error="Pilih Category dari daftar yang tersedia." promptTitle="Pilih Category" prompt="Daftar bersumber dari sheet CODEX." sqref="I2:I1001" xr:uid="{A94786E5-936A-4B31-979B-8A2DDC2FC45C}">
      <formula1>Category_List</formula1>
    </dataValidation>
    <dataValidation type="list" allowBlank="1" showInputMessage="1" showErrorMessage="1" errorTitle="Asset Code tidak valid" error="Pilih Asset Code yang sesuai dengan Category dan Sub-Category serta belum digunakan pada handover lain." promptTitle="Pilih Asset Code" prompt="Daftar otomatis difilter dan kode yang sudah digunakan tidak ditampilkan." sqref="K2:K1001" xr:uid="{6C8A48CE-32D3-4E48-A0FE-DC0B5332F516}">
      <formula1>OFFSET(INDIRECT("'Asset Options'!"&amp;ADDRESS(2,ROW()+2)),0,0,MAX(1,COUNTA(INDIRECT("'Asset Options'!"&amp;ADDRESS(2,ROW()+2)&amp;":"&amp;ADDRESS(1000,ROW()+2)))),1)</formula1>
    </dataValidation>
    <dataValidation type="list" allowBlank="1" showInputMessage="1" showErrorMessage="1" errorTitle="Sub-Category tidak valid" error="Pilih Sub-Category yang sesuai dengan Category pada baris ini." promptTitle="Pilih Sub-Category" prompt="Pilih Category terlebih dahulu." sqref="J2:J1001" xr:uid="{34838297-5A95-4E7D-99EF-E6F3E8940CA7}">
      <formula1>INDIRECT("Cat_"&amp;SUBSTITUTE($I2," ","_"))</formula1>
    </dataValidation>
    <dataValidation type="date" allowBlank="1" showInputMessage="1" showErrorMessage="1" errorTitle="Tanggal tidak valid" error="Pilih atau masukkan tanggal antara 1 Januari 2000 dan 31 Desember 2099." promptTitle="Transfer Date" prompt="Pilih tanggal transfer atau masukkan tanggal dengan format dd/mm/yyyy." sqref="C2:C1001" xr:uid="{BFE0B7CA-8B5F-4796-8320-765B6EF9ACDC}">
      <formula1>36526</formula1>
      <formula2>73050</formula2>
    </dataValidation>
    <dataValidation type="list" allowBlank="1" showInputMessage="1" showErrorMessage="1" sqref="S2:S467" xr:uid="{BDF673AE-9E8C-4907-9568-2A784C236CA4}">
      <formula1>"SET,UNIT"</formula1>
    </dataValidation>
  </dataValidations>
  <pageMargins left="0.7" right="0.7" top="0.75" bottom="0.75" header="0.3" footer="0.3"/>
  <pageSetup paperSize="262" orientation="landscape" horizontalDpi="360" verticalDpi="360" r:id="rId1"/>
  <ignoredErrors>
    <ignoredError sqref="K2:K3" numberStoredAsText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867" yWindow="744" count="3">
        <x14:dataValidation type="list" allowBlank="1" showInputMessage="1" showErrorMessage="1" xr:uid="{3704AC9D-FCAD-4A7B-A643-D23A0FD5A0C4}">
          <x14:formula1>
            <xm:f>CODEX!$R$3:$R$13</xm:f>
          </x14:formula1>
          <xm:sqref>H2:H1001</xm:sqref>
        </x14:dataValidation>
        <x14:dataValidation type="list" allowBlank="1" showInputMessage="1" showErrorMessage="1" xr:uid="{4060FB55-5113-4C28-80D1-CF0BAD17A042}">
          <x14:formula1>
            <xm:f>CODEX!$U$3:$U$15</xm:f>
          </x14:formula1>
          <xm:sqref>G2:G1001</xm:sqref>
        </x14:dataValidation>
        <x14:dataValidation type="list" allowBlank="1" showInputMessage="1" showErrorMessage="1" xr:uid="{D3678922-E9ED-46CD-B246-E8E6168AB0DB}">
          <x14:formula1>
            <xm:f>CODEX!$F$3:$F$27</xm:f>
          </x14:formula1>
          <xm:sqref>P2:P1001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0B9A6-8B4E-4CD4-A3B6-10F4F4B34D32}">
  <dimension ref="B1:U98"/>
  <sheetViews>
    <sheetView zoomScaleNormal="100" workbookViewId="0">
      <selection activeCell="M13" sqref="M13"/>
    </sheetView>
  </sheetViews>
  <sheetFormatPr defaultRowHeight="15" x14ac:dyDescent="0.25"/>
  <cols>
    <col min="2" max="2" width="23.140625" bestFit="1" customWidth="1"/>
    <col min="4" max="4" width="12.28515625" bestFit="1" customWidth="1"/>
    <col min="6" max="6" width="11.42578125" customWidth="1"/>
    <col min="9" max="9" width="30.7109375" bestFit="1" customWidth="1"/>
    <col min="10" max="10" width="15.140625" bestFit="1" customWidth="1"/>
    <col min="11" max="11" width="11.140625" bestFit="1" customWidth="1"/>
    <col min="12" max="12" width="11.85546875" bestFit="1" customWidth="1"/>
    <col min="13" max="13" width="15.28515625" bestFit="1" customWidth="1"/>
    <col min="16" max="16" width="30.7109375" bestFit="1" customWidth="1"/>
    <col min="17" max="17" width="15.140625" bestFit="1" customWidth="1"/>
    <col min="18" max="18" width="7.7109375" bestFit="1" customWidth="1"/>
    <col min="19" max="19" width="7.140625" bestFit="1" customWidth="1"/>
    <col min="20" max="20" width="8" bestFit="1" customWidth="1"/>
    <col min="21" max="21" width="7" bestFit="1" customWidth="1"/>
  </cols>
  <sheetData>
    <row r="1" spans="2:21" ht="23.25" x14ac:dyDescent="0.25">
      <c r="B1" s="198" t="s">
        <v>1228</v>
      </c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</row>
    <row r="2" spans="2:21" x14ac:dyDescent="0.25">
      <c r="B2" s="199" t="s">
        <v>1</v>
      </c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</row>
    <row r="4" spans="2:21" x14ac:dyDescent="0.25"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</row>
    <row r="5" spans="2:21" ht="15.75" thickBot="1" x14ac:dyDescent="0.3">
      <c r="B5" s="193" t="s">
        <v>12</v>
      </c>
      <c r="C5" s="193"/>
      <c r="D5" s="193"/>
      <c r="E5" s="193"/>
      <c r="F5" s="193"/>
      <c r="G5" s="193"/>
      <c r="I5" s="215" t="s">
        <v>1229</v>
      </c>
      <c r="J5" s="193"/>
      <c r="K5" s="193"/>
      <c r="L5" s="193"/>
      <c r="M5" s="193"/>
    </row>
    <row r="6" spans="2:21" x14ac:dyDescent="0.25">
      <c r="B6" s="227" t="s">
        <v>1230</v>
      </c>
      <c r="C6" s="229" t="s">
        <v>1231</v>
      </c>
      <c r="D6" s="229" t="s">
        <v>1232</v>
      </c>
      <c r="E6" s="229" t="s">
        <v>1233</v>
      </c>
      <c r="F6" s="229" t="s">
        <v>1234</v>
      </c>
      <c r="G6" s="225" t="s">
        <v>1235</v>
      </c>
      <c r="I6" s="227" t="s">
        <v>1230</v>
      </c>
      <c r="J6" s="231" t="s">
        <v>1231</v>
      </c>
    </row>
    <row r="7" spans="2:21" ht="15.75" thickBot="1" x14ac:dyDescent="0.3">
      <c r="B7" s="228"/>
      <c r="C7" s="230"/>
      <c r="D7" s="230"/>
      <c r="E7" s="230"/>
      <c r="F7" s="230"/>
      <c r="G7" s="226"/>
      <c r="I7" s="228"/>
      <c r="J7" s="232"/>
      <c r="L7" s="223" t="s">
        <v>1236</v>
      </c>
      <c r="M7" s="223"/>
    </row>
    <row r="8" spans="2:21" ht="15" customHeight="1" x14ac:dyDescent="0.25">
      <c r="B8" s="95" t="s">
        <v>2</v>
      </c>
      <c r="C8" s="96">
        <f>COUNTIF(COMPUTER!$G$3:$G1048576,B8)</f>
        <v>57</v>
      </c>
      <c r="D8" s="96">
        <f>COUNTIF(COMPUTER!AP3:AP1048576,"Idle")</f>
        <v>7</v>
      </c>
      <c r="E8" s="96">
        <f>COUNTIF(COMPUTER!AP3:AP1048576,"In used by User")</f>
        <v>46</v>
      </c>
      <c r="F8" s="96">
        <f>COUNTIF(COMPUTER!AP3:AP1048576,"Shared")</f>
        <v>3</v>
      </c>
      <c r="G8" s="97">
        <f t="shared" ref="G8:G13" si="0">C8-(D8+E8+F8)</f>
        <v>1</v>
      </c>
      <c r="I8" s="146" t="s">
        <v>2</v>
      </c>
      <c r="J8" s="110">
        <f>COUNTIF(HANDOVER!$I$2:$I1002,I8)</f>
        <v>15</v>
      </c>
      <c r="L8" s="224" cm="1">
        <f t="array" ref="L8">ROWS(_xlfn.UNIQUE(_xlfn._xlws.FILTER(HANDOVER!$B$2:$B1001,HANDOVER!$B$2:$B1001&lt;&gt;"")))</f>
        <v>20</v>
      </c>
      <c r="M8" s="144"/>
    </row>
    <row r="9" spans="2:21" ht="15" customHeight="1" x14ac:dyDescent="0.25">
      <c r="B9" s="93" t="s">
        <v>3</v>
      </c>
      <c r="C9" s="92">
        <f>COUNTIF(DISPLAY!G3:G1048576,B9)</f>
        <v>22</v>
      </c>
      <c r="D9" s="92">
        <f>COUNTIF(DISPLAY!$X$3:$X$1048576,"Idle")</f>
        <v>3</v>
      </c>
      <c r="E9" s="92">
        <f>COUNTIF(DISPLAY!$X$3:$X$1048576,"In used by User")</f>
        <v>13</v>
      </c>
      <c r="F9" s="92">
        <f>COUNTIF(DISPLAY!$X$3:$X$1048576,"Shared")</f>
        <v>6</v>
      </c>
      <c r="G9" s="94">
        <f t="shared" si="0"/>
        <v>0</v>
      </c>
      <c r="I9" s="93" t="s">
        <v>3</v>
      </c>
      <c r="J9" s="97">
        <f>COUNTIF(HANDOVER!$I$2:$I1003,I9)</f>
        <v>7</v>
      </c>
      <c r="L9" s="224"/>
      <c r="M9" s="145" t="s">
        <v>1237</v>
      </c>
    </row>
    <row r="10" spans="2:21" ht="15" customHeight="1" x14ac:dyDescent="0.25">
      <c r="B10" s="93" t="s">
        <v>1238</v>
      </c>
      <c r="C10" s="92">
        <f>COUNTIF('NETWORK-DEVICES'!G3:G1500,"Network Device")</f>
        <v>8</v>
      </c>
      <c r="D10" s="92">
        <f>COUNTIF('NETWORK-DEVICES'!AI3:AI1048576,"Idle")</f>
        <v>0</v>
      </c>
      <c r="E10" s="92">
        <f>COUNTIF('NETWORK-DEVICES'!$AI$3:$AI$1048576,"In used by User")</f>
        <v>8</v>
      </c>
      <c r="F10" s="92">
        <f>COUNTIF('NETWORK-DEVICES'!$AI$3:$AI$1048576,"Shared")</f>
        <v>0</v>
      </c>
      <c r="G10" s="94">
        <f t="shared" si="0"/>
        <v>0</v>
      </c>
      <c r="I10" s="93" t="s">
        <v>1238</v>
      </c>
      <c r="J10" s="97">
        <f>COUNTIF(HANDOVER!$I$2:$I1004,I10)</f>
        <v>0</v>
      </c>
      <c r="L10" s="224"/>
      <c r="M10" s="144"/>
    </row>
    <row r="11" spans="2:21" x14ac:dyDescent="0.25">
      <c r="B11" s="93" t="s">
        <v>5</v>
      </c>
      <c r="C11" s="92">
        <f>COUNTIF(PERIPHERAL!G3:G1048576,B11)</f>
        <v>57</v>
      </c>
      <c r="D11" s="92">
        <f>COUNTIF(PERIPHERAL!$AA$3:$AA$1048576,"Idle")</f>
        <v>17</v>
      </c>
      <c r="E11" s="92">
        <f>COUNTIF(PERIPHERAL!$AA$3:$AA$1048576,"In used by User")</f>
        <v>35</v>
      </c>
      <c r="F11" s="92">
        <f>COUNTIF(PERIPHERAL!$AA$3:$AA$1048576,"Shared")</f>
        <v>5</v>
      </c>
      <c r="G11" s="94">
        <f t="shared" si="0"/>
        <v>0</v>
      </c>
      <c r="I11" s="93" t="s">
        <v>5</v>
      </c>
      <c r="J11" s="97">
        <f>COUNTIF(HANDOVER!$I$2:$I1005,I11)</f>
        <v>22</v>
      </c>
      <c r="L11" s="222" t="s">
        <v>1231</v>
      </c>
      <c r="M11" s="222"/>
    </row>
    <row r="12" spans="2:21" x14ac:dyDescent="0.25">
      <c r="B12" s="93" t="s">
        <v>6</v>
      </c>
      <c r="C12" s="92">
        <f>COUNTIF(UTILITIES!F3:F1048576,B12)</f>
        <v>6</v>
      </c>
      <c r="D12" s="92">
        <f>COUNTIF(UTILITIES!$P$3:$P$1048576,"Idle")</f>
        <v>0</v>
      </c>
      <c r="E12" s="92">
        <f>COUNTIF(UTILITIES!$P$3:$P$1048576,"In used by User")</f>
        <v>0</v>
      </c>
      <c r="F12" s="92">
        <f>COUNTIF(UTILITIES!$P$3:$P$1048576,"Shared")</f>
        <v>0</v>
      </c>
      <c r="G12" s="94">
        <f t="shared" si="0"/>
        <v>6</v>
      </c>
      <c r="I12" s="93" t="s">
        <v>6</v>
      </c>
      <c r="J12" s="97">
        <f>COUNTIF(HANDOVER!$I$2:$I1006,I12)</f>
        <v>3</v>
      </c>
      <c r="L12" s="221">
        <f>SUM(J8:J14)</f>
        <v>47</v>
      </c>
      <c r="M12" s="147"/>
    </row>
    <row r="13" spans="2:21" x14ac:dyDescent="0.25">
      <c r="B13" s="93" t="s">
        <v>874</v>
      </c>
      <c r="C13" s="92">
        <f>COUNTIF(IOT!$G$3:$G$1048576,B13)</f>
        <v>36</v>
      </c>
      <c r="D13" s="92">
        <f>COUNTIF(IOT!$AE$3:$AE$1048576,"Idle")</f>
        <v>0</v>
      </c>
      <c r="E13" s="92">
        <f>COUNTIF(IOT!$AE$3:$AE$1048576,"In used by User")</f>
        <v>36</v>
      </c>
      <c r="F13" s="92">
        <f>COUNTIF(IOT!$AE$3:$AE$1048576,"Shared")</f>
        <v>0</v>
      </c>
      <c r="G13" s="94">
        <f t="shared" si="0"/>
        <v>0</v>
      </c>
      <c r="I13" s="93" t="s">
        <v>874</v>
      </c>
      <c r="J13" s="97">
        <f>COUNTIF(HANDOVER!$I$2:$I1007,I13)</f>
        <v>0</v>
      </c>
      <c r="L13" s="221"/>
      <c r="M13" s="148" t="s">
        <v>1239</v>
      </c>
    </row>
    <row r="14" spans="2:21" ht="15.75" thickBot="1" x14ac:dyDescent="0.3">
      <c r="B14" s="131" t="s">
        <v>1240</v>
      </c>
      <c r="C14" s="132">
        <f>COUNTIF(SERVER!$G$3:$G$1048576,B14)</f>
        <v>2</v>
      </c>
      <c r="D14" s="132">
        <f>COUNTIF(SERVER!$AE$3:$AE$1048576,"Idle")</f>
        <v>0</v>
      </c>
      <c r="E14" s="132">
        <f>COUNTIF(SERVER!$AE$3:$AE$1048576,"In used by User")</f>
        <v>2</v>
      </c>
      <c r="F14" s="132">
        <f>COUNTIF(SERVER!$AE$3:$AE$1048576,"Shared")</f>
        <v>0</v>
      </c>
      <c r="G14" s="133">
        <f t="shared" ref="G14" si="1">C14-(D14+E14+F14)</f>
        <v>0</v>
      </c>
      <c r="I14" s="131" t="s">
        <v>1240</v>
      </c>
      <c r="J14" s="133">
        <f>COUNTIF(HANDOVER!$I$2:$I1008,I14)</f>
        <v>0</v>
      </c>
      <c r="L14" s="221"/>
      <c r="M14" s="147"/>
    </row>
    <row r="16" spans="2:21" ht="15.75" thickBot="1" x14ac:dyDescent="0.3">
      <c r="B16" s="193" t="s">
        <v>1241</v>
      </c>
      <c r="C16" s="193"/>
      <c r="D16" s="193"/>
      <c r="E16" s="193"/>
      <c r="F16" s="193"/>
      <c r="G16" s="108"/>
      <c r="I16" s="215" t="s">
        <v>1242</v>
      </c>
      <c r="J16" s="215"/>
      <c r="K16" s="215"/>
      <c r="L16" s="215"/>
      <c r="M16" s="215"/>
      <c r="N16" s="108"/>
      <c r="P16" s="215" t="s">
        <v>1243</v>
      </c>
      <c r="Q16" s="193"/>
      <c r="R16" s="193"/>
      <c r="S16" s="193"/>
      <c r="T16" s="193"/>
      <c r="U16" s="193"/>
    </row>
    <row r="17" spans="2:21" ht="15" customHeight="1" x14ac:dyDescent="0.25">
      <c r="B17" s="216" t="s">
        <v>1244</v>
      </c>
      <c r="C17" s="218" t="s">
        <v>1231</v>
      </c>
      <c r="I17" s="216" t="s">
        <v>1244</v>
      </c>
      <c r="J17" s="218" t="s">
        <v>1231</v>
      </c>
      <c r="P17" s="216" t="s">
        <v>1244</v>
      </c>
      <c r="Q17" s="218" t="s">
        <v>1231</v>
      </c>
    </row>
    <row r="18" spans="2:21" ht="15.75" thickBot="1" x14ac:dyDescent="0.3">
      <c r="B18" s="217"/>
      <c r="C18" s="219"/>
      <c r="I18" s="233"/>
      <c r="J18" s="234"/>
      <c r="P18" s="233"/>
      <c r="Q18" s="234"/>
    </row>
    <row r="19" spans="2:21" x14ac:dyDescent="0.25">
      <c r="B19" s="99" t="s">
        <v>77</v>
      </c>
      <c r="C19" s="101">
        <f>COUNTIF(COMPUTER!$H$3:$H$1048576,B19)</f>
        <v>19</v>
      </c>
      <c r="I19" s="109" t="s">
        <v>533</v>
      </c>
      <c r="J19" s="110">
        <f>COUNTIF(DISPLAY!$H$3:$H$1048576,I19)</f>
        <v>15</v>
      </c>
      <c r="P19" s="151" t="s">
        <v>1245</v>
      </c>
      <c r="Q19" s="94">
        <f>COUNTIF('NETWORK-DEVICES'!$H$3:$H1048576,P19)</f>
        <v>0</v>
      </c>
    </row>
    <row r="20" spans="2:21" x14ac:dyDescent="0.25">
      <c r="B20" s="100" t="s">
        <v>125</v>
      </c>
      <c r="C20" s="102">
        <f>COUNTIF(COMPUTER!$H$3:$H$1048576,B20)</f>
        <v>17</v>
      </c>
      <c r="I20" s="111" t="s">
        <v>510</v>
      </c>
      <c r="J20" s="94">
        <f>COUNTIF(DISPLAY!$H$3:$H$1048576,I20)</f>
        <v>6</v>
      </c>
      <c r="P20" s="151" t="s">
        <v>1246</v>
      </c>
      <c r="Q20" s="94">
        <f>COUNTIF('NETWORK-DEVICES'!$H$3:$H1048576,P20)</f>
        <v>0</v>
      </c>
    </row>
    <row r="21" spans="2:21" x14ac:dyDescent="0.25">
      <c r="B21" s="100" t="s">
        <v>240</v>
      </c>
      <c r="C21" s="102">
        <f>COUNTIF(COMPUTER!$H$3:$H$1048576,B21)</f>
        <v>2</v>
      </c>
      <c r="I21" s="111" t="s">
        <v>585</v>
      </c>
      <c r="J21" s="94">
        <f>COUNTIF(DISPLAY!$H$3:$H$1048576,I21)</f>
        <v>1</v>
      </c>
      <c r="P21" s="151" t="s">
        <v>1247</v>
      </c>
      <c r="Q21" s="94">
        <f>COUNTIF('NETWORK-DEVICES'!$H$3:$H1048576,P21)</f>
        <v>0</v>
      </c>
    </row>
    <row r="22" spans="2:21" ht="15.75" thickBot="1" x14ac:dyDescent="0.3">
      <c r="B22" s="100" t="s">
        <v>1248</v>
      </c>
      <c r="C22" s="102">
        <f>COUNTIF(COMPUTER!$H$3:$H$1048576,B22)</f>
        <v>0</v>
      </c>
      <c r="I22" s="152" t="s">
        <v>1249</v>
      </c>
      <c r="J22" s="153">
        <f>COUNTIF(DISPLAY!$H$3:$H$1048576,I22)</f>
        <v>0</v>
      </c>
      <c r="P22" s="151" t="s">
        <v>615</v>
      </c>
      <c r="Q22" s="94">
        <f>COUNTIF('NETWORK-DEVICES'!$H$3:$H1048576,P22)</f>
        <v>1</v>
      </c>
    </row>
    <row r="23" spans="2:21" ht="15.75" thickBot="1" x14ac:dyDescent="0.3">
      <c r="B23" s="107" t="s">
        <v>1231</v>
      </c>
      <c r="C23" s="103">
        <f>SUM(C19:C22)</f>
        <v>38</v>
      </c>
      <c r="I23" s="154" t="s">
        <v>1231</v>
      </c>
      <c r="J23" s="155">
        <f>SUM(J19:J22)</f>
        <v>22</v>
      </c>
      <c r="P23" s="156" t="s">
        <v>632</v>
      </c>
      <c r="Q23" s="153">
        <f>COUNTIF('NETWORK-DEVICES'!$H$3:$H1048576,P23)</f>
        <v>7</v>
      </c>
    </row>
    <row r="24" spans="2:21" ht="15.75" thickBot="1" x14ac:dyDescent="0.3">
      <c r="B24" s="149"/>
      <c r="C24" s="150"/>
      <c r="I24" s="149"/>
      <c r="J24" s="150"/>
      <c r="P24" s="154" t="s">
        <v>1231</v>
      </c>
      <c r="Q24" s="155">
        <f>SUM(Q19:Q23)</f>
        <v>8</v>
      </c>
    </row>
    <row r="25" spans="2:21" x14ac:dyDescent="0.25">
      <c r="B25" s="149"/>
      <c r="C25" s="150"/>
      <c r="I25" s="149"/>
      <c r="J25" s="150"/>
      <c r="P25" s="149"/>
      <c r="Q25" s="150"/>
    </row>
    <row r="27" spans="2:21" ht="15.75" thickBot="1" x14ac:dyDescent="0.3">
      <c r="B27" s="220" t="s">
        <v>1250</v>
      </c>
      <c r="C27" s="220"/>
      <c r="D27" s="220"/>
      <c r="E27" s="220"/>
      <c r="F27" s="220"/>
      <c r="G27" s="108"/>
      <c r="I27" s="220" t="s">
        <v>1251</v>
      </c>
      <c r="J27" s="220"/>
      <c r="K27" s="220"/>
      <c r="L27" s="220"/>
      <c r="M27" s="220"/>
      <c r="N27" s="108"/>
      <c r="P27" s="215" t="s">
        <v>1252</v>
      </c>
      <c r="Q27" s="193"/>
      <c r="R27" s="193"/>
      <c r="S27" s="193"/>
      <c r="T27" s="193"/>
      <c r="U27" s="193"/>
    </row>
    <row r="28" spans="2:21" ht="15.75" thickBot="1" x14ac:dyDescent="0.3">
      <c r="B28" s="104" t="s">
        <v>1253</v>
      </c>
      <c r="C28" s="85" t="s">
        <v>77</v>
      </c>
      <c r="D28" s="85" t="s">
        <v>127</v>
      </c>
      <c r="E28" s="85" t="s">
        <v>240</v>
      </c>
      <c r="F28" s="105" t="s">
        <v>1254</v>
      </c>
      <c r="I28" s="163" t="s">
        <v>1253</v>
      </c>
      <c r="J28" s="162" t="s">
        <v>1255</v>
      </c>
      <c r="K28" s="85" t="s">
        <v>510</v>
      </c>
      <c r="L28" s="85" t="s">
        <v>588</v>
      </c>
      <c r="M28" s="105" t="s">
        <v>1256</v>
      </c>
      <c r="P28" s="161" t="s">
        <v>1253</v>
      </c>
      <c r="Q28" s="160" t="s">
        <v>1245</v>
      </c>
      <c r="R28" s="158" t="s">
        <v>1246</v>
      </c>
      <c r="S28" s="158" t="s">
        <v>1247</v>
      </c>
      <c r="T28" s="158" t="s">
        <v>615</v>
      </c>
      <c r="U28" s="159" t="s">
        <v>632</v>
      </c>
    </row>
    <row r="29" spans="2:21" x14ac:dyDescent="0.25">
      <c r="B29" s="165" t="str">
        <f>CODEX!$F3</f>
        <v>Engineer Room</v>
      </c>
      <c r="C29" s="96">
        <f>IF(COUNTIFS(COMPUTER!$F$3:$F$1048576,$B29,COMPUTER!$H$3:$H$1048576,C$28)=0,"",COUNTIFS(COMPUTER!$F$3:$F$1048576,$B29,COMPUTER!$H$3:$H$1048576,C$28))</f>
        <v>4</v>
      </c>
      <c r="D29" s="96">
        <f>IF(COUNTIFS(COMPUTER!$F$3:$F$1048576,$B29,COMPUTER!$H$3:$H$1048576,D$28)=0,"",COUNTIFS(COMPUTER!$F$3:$F$1048576,$B29,COMPUTER!$H$3:$H$1048576,D$28))</f>
        <v>6</v>
      </c>
      <c r="E29" s="96">
        <f>IF(COUNTIFS(COMPUTER!$F$3:$F$1048576,$B29,COMPUTER!$H$3:$H$1048576,E$28)=0,"",COUNTIFS(COMPUTER!$F$3:$F$1048576,$B29,COMPUTER!$H$3:$H$1048576,E$28))</f>
        <v>1</v>
      </c>
      <c r="F29" s="96" t="str">
        <f>IF(COUNTIFS(COMPUTER!$F$3:$F$1048576,$B29,COMPUTER!$H$3:$H$1048576,F$28)=0,"",COUNTIFS(COMPUTER!$F$3:$F$1048576,$B29,COMPUTER!$H$3:$H$1048576,F$28))</f>
        <v/>
      </c>
      <c r="I29" s="165" t="str">
        <f>CODEX!$F3</f>
        <v>Engineer Room</v>
      </c>
      <c r="J29" s="96">
        <f>IF(COUNTIFS(DISPLAY!$F$3:$F$1048576,$I29,DISPLAY!$H$3:$H$1048576,J$28)=0,"",COUNTIFS(DISPLAY!$F$3:$F$1048576,$I29,DISPLAY!$H$3:$H$1048576,J$28))</f>
        <v>3</v>
      </c>
      <c r="K29" s="96">
        <f>IF(COUNTIFS(DISPLAY!$F$3:$F$1048576,$I29,DISPLAY!$H$3:$H$1048576,K$28)=0,"",COUNTIFS(DISPLAY!$F$3:$F$1048576,$I29,DISPLAY!$H$3:$H$1048576,K$28))</f>
        <v>1</v>
      </c>
      <c r="L29" s="96">
        <f>IF(COUNTIFS(DISPLAY!$F$3:$F$1048576,$I29,DISPLAY!$H$3:$H$1048576,L$28)=0,"",COUNTIFS(DISPLAY!$F$3:$F$1048576,$I29,DISPLAY!$H$3:$H$1048576,L$28))</f>
        <v>1</v>
      </c>
      <c r="M29" s="96" t="str">
        <f>IF(COUNTIFS(DISPLAY!$F$3:$F$1048576,$I29,DISPLAY!$H$3:$H$1048576,M$28)=0,"",COUNTIFS(DISPLAY!$F$3:$F$1048576,$I29,DISPLAY!$H$3:$H$1048576,M$28))</f>
        <v/>
      </c>
      <c r="P29" s="157" t="str">
        <f>CODEX!$F3</f>
        <v>Engineer Room</v>
      </c>
      <c r="Q29" s="96" t="str">
        <f>IF(COUNTIFS('NETWORK-DEVICES'!$F$3:$F$1048576,$P29,'NETWORK-DEVICES'!$H$3:$H$1048576,Q$28)=0,"",COUNTIFS('NETWORK-DEVICES'!$F$3:$F$1048576,$P29,'NETWORK-DEVICES'!$H$3:$H$1048576,Q$28))</f>
        <v/>
      </c>
      <c r="R29" s="96" t="str">
        <f>IF(COUNTIFS('NETWORK-DEVICES'!$F$3:$F$1048576,$P29,'NETWORK-DEVICES'!$H$3:$H$1048576,R$28)=0,"",COUNTIFS('NETWORK-DEVICES'!$F$3:$F$1048576,$P29,'NETWORK-DEVICES'!$H$3:$H$1048576,R$28))</f>
        <v/>
      </c>
      <c r="S29" s="96" t="str">
        <f>IF(COUNTIFS('NETWORK-DEVICES'!$F$3:$F$1048576,$P29,'NETWORK-DEVICES'!$H$3:$H$1048576,S$28)=0,"",COUNTIFS('NETWORK-DEVICES'!$F$3:$F$1048576,$P29,'NETWORK-DEVICES'!$H$3:$H$1048576,S$28))</f>
        <v/>
      </c>
      <c r="T29" s="96" t="str">
        <f>IF(COUNTIFS('NETWORK-DEVICES'!$F$3:$F$1048576,$P29,'NETWORK-DEVICES'!$H$3:$H$1048576,T$28)=0,"",COUNTIFS('NETWORK-DEVICES'!$F$3:$F$1048576,$P29,'NETWORK-DEVICES'!$H$3:$H$1048576,T$28))</f>
        <v/>
      </c>
      <c r="U29" s="96" t="str">
        <f>IF(COUNTIFS('NETWORK-DEVICES'!$F$3:$F$1048576,$P29,'NETWORK-DEVICES'!$H$3:$H$1048576,U$28)=0,"",COUNTIFS('NETWORK-DEVICES'!$F$3:$F$1048576,$P29,'NETWORK-DEVICES'!$H$3:$H$1048576,U$28))</f>
        <v/>
      </c>
    </row>
    <row r="30" spans="2:21" x14ac:dyDescent="0.25">
      <c r="B30" s="157" t="str">
        <f>CODEX!$F4</f>
        <v>Operations Room</v>
      </c>
      <c r="C30" s="92">
        <f>IF(COUNTIFS(COMPUTER!$F$3:$F$1048576,$B30,COMPUTER!$H$3:$H$1048576,C$28)=0,"",COUNTIFS(COMPUTER!$F$3:$F$1048576,$B30,COMPUTER!$H$3:$H$1048576,C$28))</f>
        <v>3</v>
      </c>
      <c r="D30" s="92">
        <f>IF(COUNTIFS(COMPUTER!$F$3:$F$1048576,$B30,COMPUTER!$H$3:$H$1048576,D$28)=0,"",COUNTIFS(COMPUTER!$F$3:$F$1048576,$B30,COMPUTER!$H$3:$H$1048576,D$28))</f>
        <v>1</v>
      </c>
      <c r="E30" s="92" t="str">
        <f>IF(COUNTIFS(COMPUTER!$F$3:$F$1048576,$B30,COMPUTER!$H$3:$H$1048576,E$28)=0,"",COUNTIFS(COMPUTER!$F$3:$F$1048576,$B30,COMPUTER!$H$3:$H$1048576,E$28))</f>
        <v/>
      </c>
      <c r="F30" s="92" t="str">
        <f>IF(COUNTIFS(COMPUTER!$F$3:$F$1048576,$B30,COMPUTER!$H$3:$H$1048576,F$28)=0,"",COUNTIFS(COMPUTER!$F$3:$F$1048576,$B30,COMPUTER!$H$3:$H$1048576,F$28))</f>
        <v/>
      </c>
      <c r="I30" s="157" t="str">
        <f>CODEX!$F4</f>
        <v>Operations Room</v>
      </c>
      <c r="J30" s="92">
        <f>IF(COUNTIFS(DISPLAY!$F$3:$F$1048576,$I30,DISPLAY!$H$3:$H$1048576,J$28)=0,"",COUNTIFS(DISPLAY!$F$3:$F$1048576,$I30,DISPLAY!$H$3:$H$1048576,J$28))</f>
        <v>3</v>
      </c>
      <c r="K30" s="92">
        <f>IF(COUNTIFS(DISPLAY!$F$3:$F$1048576,$I30,DISPLAY!$H$3:$H$1048576,K$28)=0,"",COUNTIFS(DISPLAY!$F$3:$F$1048576,$I30,DISPLAY!$H$3:$H$1048576,K$28))</f>
        <v>1</v>
      </c>
      <c r="L30" s="92" t="str">
        <f>IF(COUNTIFS(DISPLAY!$F$3:$F$1048576,$I30,DISPLAY!$H$3:$H$1048576,L$28)=0,"",COUNTIFS(DISPLAY!$F$3:$F$1048576,$I30,DISPLAY!$H$3:$H$1048576,L$28))</f>
        <v/>
      </c>
      <c r="M30" s="92" t="str">
        <f>IF(COUNTIFS(DISPLAY!$F$3:$F$1048576,$I30,DISPLAY!$H$3:$H$1048576,M$28)=0,"",COUNTIFS(DISPLAY!$F$3:$F$1048576,$I30,DISPLAY!$H$3:$H$1048576,M$28))</f>
        <v/>
      </c>
      <c r="P30" s="157" t="str">
        <f>CODEX!$F4</f>
        <v>Operations Room</v>
      </c>
      <c r="Q30" s="96" t="str">
        <f>IF(COUNTIFS('NETWORK-DEVICES'!$F$3:$F$1048576,$P30,'NETWORK-DEVICES'!$H$3:$H$1048576,Q$28)=0,"",COUNTIFS('NETWORK-DEVICES'!$F$3:$F$1048576,$P30,'NETWORK-DEVICES'!$H$3:$H$1048576,Q$28))</f>
        <v/>
      </c>
      <c r="R30" s="96" t="str">
        <f>IF(COUNTIFS('NETWORK-DEVICES'!$F$3:$F$1048576,$P30,'NETWORK-DEVICES'!$H$3:$H$1048576,R$28)=0,"",COUNTIFS('NETWORK-DEVICES'!$F$3:$F$1048576,$P30,'NETWORK-DEVICES'!$H$3:$H$1048576,R$28))</f>
        <v/>
      </c>
      <c r="S30" s="96" t="str">
        <f>IF(COUNTIFS('NETWORK-DEVICES'!$F$3:$F$1048576,$P30,'NETWORK-DEVICES'!$H$3:$H$1048576,S$28)=0,"",COUNTIFS('NETWORK-DEVICES'!$F$3:$F$1048576,$P30,'NETWORK-DEVICES'!$H$3:$H$1048576,S$28))</f>
        <v/>
      </c>
      <c r="T30" s="96" t="str">
        <f>IF(COUNTIFS('NETWORK-DEVICES'!$F$3:$F$1048576,$P30,'NETWORK-DEVICES'!$H$3:$H$1048576,T$28)=0,"",COUNTIFS('NETWORK-DEVICES'!$F$3:$F$1048576,$P30,'NETWORK-DEVICES'!$H$3:$H$1048576,T$28))</f>
        <v/>
      </c>
      <c r="U30" s="96" t="str">
        <f>IF(COUNTIFS('NETWORK-DEVICES'!$F$3:$F$1048576,$P30,'NETWORK-DEVICES'!$H$3:$H$1048576,U$28)=0,"",COUNTIFS('NETWORK-DEVICES'!$F$3:$F$1048576,$P30,'NETWORK-DEVICES'!$H$3:$H$1048576,U$28))</f>
        <v/>
      </c>
    </row>
    <row r="31" spans="2:21" x14ac:dyDescent="0.25">
      <c r="B31" s="157" t="str">
        <f>CODEX!$F5</f>
        <v>HSE Room</v>
      </c>
      <c r="C31" s="92">
        <f>IF(COUNTIFS(COMPUTER!$F$3:$F$1048576,$B31,COMPUTER!$H$3:$H$1048576,C$28)=0,"",COUNTIFS(COMPUTER!$F$3:$F$1048576,$B31,COMPUTER!$H$3:$H$1048576,C$28))</f>
        <v>1</v>
      </c>
      <c r="D31" s="92">
        <f>IF(COUNTIFS(COMPUTER!$F$3:$F$1048576,$B31,COMPUTER!$H$3:$H$1048576,D$28)=0,"",COUNTIFS(COMPUTER!$F$3:$F$1048576,$B31,COMPUTER!$H$3:$H$1048576,D$28))</f>
        <v>2</v>
      </c>
      <c r="E31" s="92">
        <f>IF(COUNTIFS(COMPUTER!$F$3:$F$1048576,$B31,COMPUTER!$H$3:$H$1048576,E$28)=0,"",COUNTIFS(COMPUTER!$F$3:$F$1048576,$B31,COMPUTER!$H$3:$H$1048576,E$28))</f>
        <v>1</v>
      </c>
      <c r="F31" s="92" t="str">
        <f>IF(COUNTIFS(COMPUTER!$F$3:$F$1048576,$B31,COMPUTER!$H$3:$H$1048576,F$28)=0,"",COUNTIFS(COMPUTER!$F$3:$F$1048576,$B31,COMPUTER!$H$3:$H$1048576,F$28))</f>
        <v/>
      </c>
      <c r="I31" s="157" t="str">
        <f>CODEX!$F5</f>
        <v>HSE Room</v>
      </c>
      <c r="J31" s="92">
        <f>IF(COUNTIFS(DISPLAY!$F$3:$F$1048576,$I31,DISPLAY!$H$3:$H$1048576,J$28)=0,"",COUNTIFS(DISPLAY!$F$3:$F$1048576,$I31,DISPLAY!$H$3:$H$1048576,J$28))</f>
        <v>1</v>
      </c>
      <c r="K31" s="92">
        <f>IF(COUNTIFS(DISPLAY!$F$3:$F$1048576,$I31,DISPLAY!$H$3:$H$1048576,K$28)=0,"",COUNTIFS(DISPLAY!$F$3:$F$1048576,$I31,DISPLAY!$H$3:$H$1048576,K$28))</f>
        <v>1</v>
      </c>
      <c r="L31" s="92" t="str">
        <f>IF(COUNTIFS(DISPLAY!$F$3:$F$1048576,$I31,DISPLAY!$H$3:$H$1048576,L$28)=0,"",COUNTIFS(DISPLAY!$F$3:$F$1048576,$I31,DISPLAY!$H$3:$H$1048576,L$28))</f>
        <v/>
      </c>
      <c r="M31" s="92" t="str">
        <f>IF(COUNTIFS(DISPLAY!$F$3:$F$1048576,$I31,DISPLAY!$H$3:$H$1048576,M$28)=0,"",COUNTIFS(DISPLAY!$F$3:$F$1048576,$I31,DISPLAY!$H$3:$H$1048576,M$28))</f>
        <v/>
      </c>
      <c r="P31" s="157" t="str">
        <f>CODEX!$F5</f>
        <v>HSE Room</v>
      </c>
      <c r="Q31" s="96" t="str">
        <f>IF(COUNTIFS('NETWORK-DEVICES'!$F$3:$F$1048576,$P31,'NETWORK-DEVICES'!$H$3:$H$1048576,Q$28)=0,"",COUNTIFS('NETWORK-DEVICES'!$F$3:$F$1048576,$P31,'NETWORK-DEVICES'!$H$3:$H$1048576,Q$28))</f>
        <v/>
      </c>
      <c r="R31" s="96" t="str">
        <f>IF(COUNTIFS('NETWORK-DEVICES'!$F$3:$F$1048576,$P31,'NETWORK-DEVICES'!$H$3:$H$1048576,R$28)=0,"",COUNTIFS('NETWORK-DEVICES'!$F$3:$F$1048576,$P31,'NETWORK-DEVICES'!$H$3:$H$1048576,R$28))</f>
        <v/>
      </c>
      <c r="S31" s="96" t="str">
        <f>IF(COUNTIFS('NETWORK-DEVICES'!$F$3:$F$1048576,$P31,'NETWORK-DEVICES'!$H$3:$H$1048576,S$28)=0,"",COUNTIFS('NETWORK-DEVICES'!$F$3:$F$1048576,$P31,'NETWORK-DEVICES'!$H$3:$H$1048576,S$28))</f>
        <v/>
      </c>
      <c r="T31" s="96" t="str">
        <f>IF(COUNTIFS('NETWORK-DEVICES'!$F$3:$F$1048576,$P31,'NETWORK-DEVICES'!$H$3:$H$1048576,T$28)=0,"",COUNTIFS('NETWORK-DEVICES'!$F$3:$F$1048576,$P31,'NETWORK-DEVICES'!$H$3:$H$1048576,T$28))</f>
        <v/>
      </c>
      <c r="U31" s="96" t="str">
        <f>IF(COUNTIFS('NETWORK-DEVICES'!$F$3:$F$1048576,$P31,'NETWORK-DEVICES'!$H$3:$H$1048576,U$28)=0,"",COUNTIFS('NETWORK-DEVICES'!$F$3:$F$1048576,$P31,'NETWORK-DEVICES'!$H$3:$H$1048576,U$28))</f>
        <v/>
      </c>
    </row>
    <row r="32" spans="2:21" x14ac:dyDescent="0.25">
      <c r="B32" s="157" t="str">
        <f>CODEX!$F6</f>
        <v>Equipment Room</v>
      </c>
      <c r="C32" s="92">
        <f>IF(COUNTIFS(COMPUTER!$F$3:$F$1048576,$B32,COMPUTER!$H$3:$H$1048576,C$28)=0,"",COUNTIFS(COMPUTER!$F$3:$F$1048576,$B32,COMPUTER!$H$3:$H$1048576,C$28))</f>
        <v>1</v>
      </c>
      <c r="D32" s="92">
        <f>IF(COUNTIFS(COMPUTER!$F$3:$F$1048576,$B32,COMPUTER!$H$3:$H$1048576,D$28)=0,"",COUNTIFS(COMPUTER!$F$3:$F$1048576,$B32,COMPUTER!$H$3:$H$1048576,D$28))</f>
        <v>3</v>
      </c>
      <c r="E32" s="92" t="str">
        <f>IF(COUNTIFS(COMPUTER!$F$3:$F$1048576,$B32,COMPUTER!$H$3:$H$1048576,E$28)=0,"",COUNTIFS(COMPUTER!$F$3:$F$1048576,$B32,COMPUTER!$H$3:$H$1048576,E$28))</f>
        <v/>
      </c>
      <c r="F32" s="92" t="str">
        <f>IF(COUNTIFS(COMPUTER!$F$3:$F$1048576,$B32,COMPUTER!$H$3:$H$1048576,F$28)=0,"",COUNTIFS(COMPUTER!$F$3:$F$1048576,$B32,COMPUTER!$H$3:$H$1048576,F$28))</f>
        <v/>
      </c>
      <c r="I32" s="157" t="str">
        <f>CODEX!$F6</f>
        <v>Equipment Room</v>
      </c>
      <c r="J32" s="92" t="str">
        <f>IF(COUNTIFS(DISPLAY!$F$3:$F$1048576,$I32,DISPLAY!$H$3:$H$1048576,J$28)=0,"",COUNTIFS(DISPLAY!$F$3:$F$1048576,$I32,DISPLAY!$H$3:$H$1048576,J$28))</f>
        <v/>
      </c>
      <c r="K32" s="92" t="str">
        <f>IF(COUNTIFS(DISPLAY!$F$3:$F$1048576,$I32,DISPLAY!$H$3:$H$1048576,K$28)=0,"",COUNTIFS(DISPLAY!$F$3:$F$1048576,$I32,DISPLAY!$H$3:$H$1048576,K$28))</f>
        <v/>
      </c>
      <c r="L32" s="92" t="str">
        <f>IF(COUNTIFS(DISPLAY!$F$3:$F$1048576,$I32,DISPLAY!$H$3:$H$1048576,L$28)=0,"",COUNTIFS(DISPLAY!$F$3:$F$1048576,$I32,DISPLAY!$H$3:$H$1048576,L$28))</f>
        <v/>
      </c>
      <c r="M32" s="92" t="str">
        <f>IF(COUNTIFS(DISPLAY!$F$3:$F$1048576,$I32,DISPLAY!$H$3:$H$1048576,M$28)=0,"",COUNTIFS(DISPLAY!$F$3:$F$1048576,$I32,DISPLAY!$H$3:$H$1048576,M$28))</f>
        <v/>
      </c>
      <c r="P32" s="157" t="str">
        <f>CODEX!$F6</f>
        <v>Equipment Room</v>
      </c>
      <c r="Q32" s="96" t="str">
        <f>IF(COUNTIFS('NETWORK-DEVICES'!$F$3:$F$1048576,$P32,'NETWORK-DEVICES'!$H$3:$H$1048576,Q$28)=0,"",COUNTIFS('NETWORK-DEVICES'!$F$3:$F$1048576,$P32,'NETWORK-DEVICES'!$H$3:$H$1048576,Q$28))</f>
        <v/>
      </c>
      <c r="R32" s="96" t="str">
        <f>IF(COUNTIFS('NETWORK-DEVICES'!$F$3:$F$1048576,$P32,'NETWORK-DEVICES'!$H$3:$H$1048576,R$28)=0,"",COUNTIFS('NETWORK-DEVICES'!$F$3:$F$1048576,$P32,'NETWORK-DEVICES'!$H$3:$H$1048576,R$28))</f>
        <v/>
      </c>
      <c r="S32" s="96" t="str">
        <f>IF(COUNTIFS('NETWORK-DEVICES'!$F$3:$F$1048576,$P32,'NETWORK-DEVICES'!$H$3:$H$1048576,S$28)=0,"",COUNTIFS('NETWORK-DEVICES'!$F$3:$F$1048576,$P32,'NETWORK-DEVICES'!$H$3:$H$1048576,S$28))</f>
        <v/>
      </c>
      <c r="T32" s="96" t="str">
        <f>IF(COUNTIFS('NETWORK-DEVICES'!$F$3:$F$1048576,$P32,'NETWORK-DEVICES'!$H$3:$H$1048576,T$28)=0,"",COUNTIFS('NETWORK-DEVICES'!$F$3:$F$1048576,$P32,'NETWORK-DEVICES'!$H$3:$H$1048576,T$28))</f>
        <v/>
      </c>
      <c r="U32" s="96" t="str">
        <f>IF(COUNTIFS('NETWORK-DEVICES'!$F$3:$F$1048576,$P32,'NETWORK-DEVICES'!$H$3:$H$1048576,U$28)=0,"",COUNTIFS('NETWORK-DEVICES'!$F$3:$F$1048576,$P32,'NETWORK-DEVICES'!$H$3:$H$1048576,U$28))</f>
        <v/>
      </c>
    </row>
    <row r="33" spans="2:21" x14ac:dyDescent="0.25">
      <c r="B33" s="157" t="str">
        <f>CODEX!$F7</f>
        <v>Labour Room</v>
      </c>
      <c r="C33" s="92">
        <f>IF(COUNTIFS(COMPUTER!$F$3:$F$1048576,$B33,COMPUTER!$H$3:$H$1048576,C$28)=0,"",COUNTIFS(COMPUTER!$F$3:$F$1048576,$B33,COMPUTER!$H$3:$H$1048576,C$28))</f>
        <v>1</v>
      </c>
      <c r="D33" s="92" t="str">
        <f>IF(COUNTIFS(COMPUTER!$F$3:$F$1048576,$B33,COMPUTER!$H$3:$H$1048576,D$28)=0,"",COUNTIFS(COMPUTER!$F$3:$F$1048576,$B33,COMPUTER!$H$3:$H$1048576,D$28))</f>
        <v/>
      </c>
      <c r="E33" s="92" t="str">
        <f>IF(COUNTIFS(COMPUTER!$F$3:$F$1048576,$B33,COMPUTER!$H$3:$H$1048576,E$28)=0,"",COUNTIFS(COMPUTER!$F$3:$F$1048576,$B33,COMPUTER!$H$3:$H$1048576,E$28))</f>
        <v/>
      </c>
      <c r="F33" s="92" t="str">
        <f>IF(COUNTIFS(COMPUTER!$F$3:$F$1048576,$B33,COMPUTER!$H$3:$H$1048576,F$28)=0,"",COUNTIFS(COMPUTER!$F$3:$F$1048576,$B33,COMPUTER!$H$3:$H$1048576,F$28))</f>
        <v/>
      </c>
      <c r="I33" s="157" t="str">
        <f>CODEX!$F7</f>
        <v>Labour Room</v>
      </c>
      <c r="J33" s="92">
        <f>IF(COUNTIFS(DISPLAY!$F$3:$F$1048576,$I33,DISPLAY!$H$3:$H$1048576,J$28)=0,"",COUNTIFS(DISPLAY!$F$3:$F$1048576,$I33,DISPLAY!$H$3:$H$1048576,J$28))</f>
        <v>2</v>
      </c>
      <c r="K33" s="92" t="str">
        <f>IF(COUNTIFS(DISPLAY!$F$3:$F$1048576,$I33,DISPLAY!$H$3:$H$1048576,K$28)=0,"",COUNTIFS(DISPLAY!$F$3:$F$1048576,$I33,DISPLAY!$H$3:$H$1048576,K$28))</f>
        <v/>
      </c>
      <c r="L33" s="92" t="str">
        <f>IF(COUNTIFS(DISPLAY!$F$3:$F$1048576,$I33,DISPLAY!$H$3:$H$1048576,L$28)=0,"",COUNTIFS(DISPLAY!$F$3:$F$1048576,$I33,DISPLAY!$H$3:$H$1048576,L$28))</f>
        <v/>
      </c>
      <c r="M33" s="92" t="str">
        <f>IF(COUNTIFS(DISPLAY!$F$3:$F$1048576,$I33,DISPLAY!$H$3:$H$1048576,M$28)=0,"",COUNTIFS(DISPLAY!$F$3:$F$1048576,$I33,DISPLAY!$H$3:$H$1048576,M$28))</f>
        <v/>
      </c>
      <c r="P33" s="157" t="str">
        <f>CODEX!$F7</f>
        <v>Labour Room</v>
      </c>
      <c r="Q33" s="96" t="str">
        <f>IF(COUNTIFS('NETWORK-DEVICES'!$F$3:$F$1048576,$P33,'NETWORK-DEVICES'!$H$3:$H$1048576,Q$28)=0,"",COUNTIFS('NETWORK-DEVICES'!$F$3:$F$1048576,$P33,'NETWORK-DEVICES'!$H$3:$H$1048576,Q$28))</f>
        <v/>
      </c>
      <c r="R33" s="96" t="str">
        <f>IF(COUNTIFS('NETWORK-DEVICES'!$F$3:$F$1048576,$P33,'NETWORK-DEVICES'!$H$3:$H$1048576,R$28)=0,"",COUNTIFS('NETWORK-DEVICES'!$F$3:$F$1048576,$P33,'NETWORK-DEVICES'!$H$3:$H$1048576,R$28))</f>
        <v/>
      </c>
      <c r="S33" s="96" t="str">
        <f>IF(COUNTIFS('NETWORK-DEVICES'!$F$3:$F$1048576,$P33,'NETWORK-DEVICES'!$H$3:$H$1048576,S$28)=0,"",COUNTIFS('NETWORK-DEVICES'!$F$3:$F$1048576,$P33,'NETWORK-DEVICES'!$H$3:$H$1048576,S$28))</f>
        <v/>
      </c>
      <c r="T33" s="96" t="str">
        <f>IF(COUNTIFS('NETWORK-DEVICES'!$F$3:$F$1048576,$P33,'NETWORK-DEVICES'!$H$3:$H$1048576,T$28)=0,"",COUNTIFS('NETWORK-DEVICES'!$F$3:$F$1048576,$P33,'NETWORK-DEVICES'!$H$3:$H$1048576,T$28))</f>
        <v/>
      </c>
      <c r="U33" s="96" t="str">
        <f>IF(COUNTIFS('NETWORK-DEVICES'!$F$3:$F$1048576,$P33,'NETWORK-DEVICES'!$H$3:$H$1048576,U$28)=0,"",COUNTIFS('NETWORK-DEVICES'!$F$3:$F$1048576,$P33,'NETWORK-DEVICES'!$H$3:$H$1048576,U$28))</f>
        <v/>
      </c>
    </row>
    <row r="34" spans="2:21" x14ac:dyDescent="0.25">
      <c r="B34" s="157" t="str">
        <f>CODEX!$F8</f>
        <v>Storage Room</v>
      </c>
      <c r="C34" s="92" t="str">
        <f>IF(COUNTIFS(COMPUTER!$F$3:$F$1048576,$B34,COMPUTER!$H$3:$H$1048576,C$28)=0,"",COUNTIFS(COMPUTER!$F$3:$F$1048576,$B34,COMPUTER!$H$3:$H$1048576,C$28))</f>
        <v/>
      </c>
      <c r="D34" s="92" t="str">
        <f>IF(COUNTIFS(COMPUTER!$F$3:$F$1048576,$B34,COMPUTER!$H$3:$H$1048576,D$28)=0,"",COUNTIFS(COMPUTER!$F$3:$F$1048576,$B34,COMPUTER!$H$3:$H$1048576,D$28))</f>
        <v/>
      </c>
      <c r="E34" s="92" t="str">
        <f>IF(COUNTIFS(COMPUTER!$F$3:$F$1048576,$B34,COMPUTER!$H$3:$H$1048576,E$28)=0,"",COUNTIFS(COMPUTER!$F$3:$F$1048576,$B34,COMPUTER!$H$3:$H$1048576,E$28))</f>
        <v/>
      </c>
      <c r="F34" s="92" t="str">
        <f>IF(COUNTIFS(COMPUTER!$F$3:$F$1048576,$B34,COMPUTER!$H$3:$H$1048576,F$28)=0,"",COUNTIFS(COMPUTER!$F$3:$F$1048576,$B34,COMPUTER!$H$3:$H$1048576,F$28))</f>
        <v/>
      </c>
      <c r="I34" s="157" t="str">
        <f>CODEX!$F8</f>
        <v>Storage Room</v>
      </c>
      <c r="J34" s="92" t="str">
        <f>IF(COUNTIFS(DISPLAY!$F$3:$F$1048576,$I34,DISPLAY!$H$3:$H$1048576,J$28)=0,"",COUNTIFS(DISPLAY!$F$3:$F$1048576,$I34,DISPLAY!$H$3:$H$1048576,J$28))</f>
        <v/>
      </c>
      <c r="K34" s="92" t="str">
        <f>IF(COUNTIFS(DISPLAY!$F$3:$F$1048576,$I34,DISPLAY!$H$3:$H$1048576,K$28)=0,"",COUNTIFS(DISPLAY!$F$3:$F$1048576,$I34,DISPLAY!$H$3:$H$1048576,K$28))</f>
        <v/>
      </c>
      <c r="L34" s="92" t="str">
        <f>IF(COUNTIFS(DISPLAY!$F$3:$F$1048576,$I34,DISPLAY!$H$3:$H$1048576,L$28)=0,"",COUNTIFS(DISPLAY!$F$3:$F$1048576,$I34,DISPLAY!$H$3:$H$1048576,L$28))</f>
        <v/>
      </c>
      <c r="M34" s="92" t="str">
        <f>IF(COUNTIFS(DISPLAY!$F$3:$F$1048576,$I34,DISPLAY!$H$3:$H$1048576,M$28)=0,"",COUNTIFS(DISPLAY!$F$3:$F$1048576,$I34,DISPLAY!$H$3:$H$1048576,M$28))</f>
        <v/>
      </c>
      <c r="P34" s="157" t="str">
        <f>CODEX!$F8</f>
        <v>Storage Room</v>
      </c>
      <c r="Q34" s="96" t="str">
        <f>IF(COUNTIFS('NETWORK-DEVICES'!$F$3:$F$1048576,$P34,'NETWORK-DEVICES'!$H$3:$H$1048576,Q$28)=0,"",COUNTIFS('NETWORK-DEVICES'!$F$3:$F$1048576,$P34,'NETWORK-DEVICES'!$H$3:$H$1048576,Q$28))</f>
        <v/>
      </c>
      <c r="R34" s="96" t="str">
        <f>IF(COUNTIFS('NETWORK-DEVICES'!$F$3:$F$1048576,$P34,'NETWORK-DEVICES'!$H$3:$H$1048576,R$28)=0,"",COUNTIFS('NETWORK-DEVICES'!$F$3:$F$1048576,$P34,'NETWORK-DEVICES'!$H$3:$H$1048576,R$28))</f>
        <v/>
      </c>
      <c r="S34" s="96" t="str">
        <f>IF(COUNTIFS('NETWORK-DEVICES'!$F$3:$F$1048576,$P34,'NETWORK-DEVICES'!$H$3:$H$1048576,S$28)=0,"",COUNTIFS('NETWORK-DEVICES'!$F$3:$F$1048576,$P34,'NETWORK-DEVICES'!$H$3:$H$1048576,S$28))</f>
        <v/>
      </c>
      <c r="T34" s="96" t="str">
        <f>IF(COUNTIFS('NETWORK-DEVICES'!$F$3:$F$1048576,$P34,'NETWORK-DEVICES'!$H$3:$H$1048576,T$28)=0,"",COUNTIFS('NETWORK-DEVICES'!$F$3:$F$1048576,$P34,'NETWORK-DEVICES'!$H$3:$H$1048576,T$28))</f>
        <v/>
      </c>
      <c r="U34" s="96" t="str">
        <f>IF(COUNTIFS('NETWORK-DEVICES'!$F$3:$F$1048576,$P34,'NETWORK-DEVICES'!$H$3:$H$1048576,U$28)=0,"",COUNTIFS('NETWORK-DEVICES'!$F$3:$F$1048576,$P34,'NETWORK-DEVICES'!$H$3:$H$1048576,U$28))</f>
        <v/>
      </c>
    </row>
    <row r="35" spans="2:21" x14ac:dyDescent="0.25">
      <c r="B35" s="157" t="str">
        <f>CODEX!$F9</f>
        <v>Loket Room</v>
      </c>
      <c r="C35" s="92">
        <f>IF(COUNTIFS(COMPUTER!$F$3:$F$1048576,$B35,COMPUTER!$H$3:$H$1048576,C$28)=0,"",COUNTIFS(COMPUTER!$F$3:$F$1048576,$B35,COMPUTER!$H$3:$H$1048576,C$28))</f>
        <v>2</v>
      </c>
      <c r="D35" s="92" t="str">
        <f>IF(COUNTIFS(COMPUTER!$F$3:$F$1048576,$B35,COMPUTER!$H$3:$H$1048576,D$28)=0,"",COUNTIFS(COMPUTER!$F$3:$F$1048576,$B35,COMPUTER!$H$3:$H$1048576,D$28))</f>
        <v/>
      </c>
      <c r="E35" s="92" t="str">
        <f>IF(COUNTIFS(COMPUTER!$F$3:$F$1048576,$B35,COMPUTER!$H$3:$H$1048576,E$28)=0,"",COUNTIFS(COMPUTER!$F$3:$F$1048576,$B35,COMPUTER!$H$3:$H$1048576,E$28))</f>
        <v/>
      </c>
      <c r="F35" s="92" t="str">
        <f>IF(COUNTIFS(COMPUTER!$F$3:$F$1048576,$B35,COMPUTER!$H$3:$H$1048576,F$28)=0,"",COUNTIFS(COMPUTER!$F$3:$F$1048576,$B35,COMPUTER!$H$3:$H$1048576,F$28))</f>
        <v/>
      </c>
      <c r="I35" s="157" t="str">
        <f>CODEX!$F9</f>
        <v>Loket Room</v>
      </c>
      <c r="J35" s="92">
        <f>IF(COUNTIFS(DISPLAY!$F$3:$F$1048576,$I35,DISPLAY!$H$3:$H$1048576,J$28)=0,"",COUNTIFS(DISPLAY!$F$3:$F$1048576,$I35,DISPLAY!$H$3:$H$1048576,J$28))</f>
        <v>2</v>
      </c>
      <c r="K35" s="92" t="str">
        <f>IF(COUNTIFS(DISPLAY!$F$3:$F$1048576,$I35,DISPLAY!$H$3:$H$1048576,K$28)=0,"",COUNTIFS(DISPLAY!$F$3:$F$1048576,$I35,DISPLAY!$H$3:$H$1048576,K$28))</f>
        <v/>
      </c>
      <c r="L35" s="92" t="str">
        <f>IF(COUNTIFS(DISPLAY!$F$3:$F$1048576,$I35,DISPLAY!$H$3:$H$1048576,L$28)=0,"",COUNTIFS(DISPLAY!$F$3:$F$1048576,$I35,DISPLAY!$H$3:$H$1048576,L$28))</f>
        <v/>
      </c>
      <c r="M35" s="92" t="str">
        <f>IF(COUNTIFS(DISPLAY!$F$3:$F$1048576,$I35,DISPLAY!$H$3:$H$1048576,M$28)=0,"",COUNTIFS(DISPLAY!$F$3:$F$1048576,$I35,DISPLAY!$H$3:$H$1048576,M$28))</f>
        <v/>
      </c>
      <c r="P35" s="157" t="str">
        <f>CODEX!$F9</f>
        <v>Loket Room</v>
      </c>
      <c r="Q35" s="96" t="str">
        <f>IF(COUNTIFS('NETWORK-DEVICES'!$F$3:$F$1048576,$P35,'NETWORK-DEVICES'!$H$3:$H$1048576,Q$28)=0,"",COUNTIFS('NETWORK-DEVICES'!$F$3:$F$1048576,$P35,'NETWORK-DEVICES'!$H$3:$H$1048576,Q$28))</f>
        <v/>
      </c>
      <c r="R35" s="96" t="str">
        <f>IF(COUNTIFS('NETWORK-DEVICES'!$F$3:$F$1048576,$P35,'NETWORK-DEVICES'!$H$3:$H$1048576,R$28)=0,"",COUNTIFS('NETWORK-DEVICES'!$F$3:$F$1048576,$P35,'NETWORK-DEVICES'!$H$3:$H$1048576,R$28))</f>
        <v/>
      </c>
      <c r="S35" s="96" t="str">
        <f>IF(COUNTIFS('NETWORK-DEVICES'!$F$3:$F$1048576,$P35,'NETWORK-DEVICES'!$H$3:$H$1048576,S$28)=0,"",COUNTIFS('NETWORK-DEVICES'!$F$3:$F$1048576,$P35,'NETWORK-DEVICES'!$H$3:$H$1048576,S$28))</f>
        <v/>
      </c>
      <c r="T35" s="96" t="str">
        <f>IF(COUNTIFS('NETWORK-DEVICES'!$F$3:$F$1048576,$P35,'NETWORK-DEVICES'!$H$3:$H$1048576,T$28)=0,"",COUNTIFS('NETWORK-DEVICES'!$F$3:$F$1048576,$P35,'NETWORK-DEVICES'!$H$3:$H$1048576,T$28))</f>
        <v/>
      </c>
      <c r="U35" s="96" t="str">
        <f>IF(COUNTIFS('NETWORK-DEVICES'!$F$3:$F$1048576,$P35,'NETWORK-DEVICES'!$H$3:$H$1048576,U$28)=0,"",COUNTIFS('NETWORK-DEVICES'!$F$3:$F$1048576,$P35,'NETWORK-DEVICES'!$H$3:$H$1048576,U$28))</f>
        <v/>
      </c>
    </row>
    <row r="36" spans="2:21" x14ac:dyDescent="0.25">
      <c r="B36" s="157" t="str">
        <f>CODEX!$F10</f>
        <v>Gate Office</v>
      </c>
      <c r="C36" s="92">
        <f>IF(COUNTIFS(COMPUTER!$F$3:$F$1048576,$B36,COMPUTER!$H$3:$H$1048576,C$28)=0,"",COUNTIFS(COMPUTER!$F$3:$F$1048576,$B36,COMPUTER!$H$3:$H$1048576,C$28))</f>
        <v>1</v>
      </c>
      <c r="D36" s="92" t="str">
        <f>IF(COUNTIFS(COMPUTER!$F$3:$F$1048576,$B36,COMPUTER!$H$3:$H$1048576,D$28)=0,"",COUNTIFS(COMPUTER!$F$3:$F$1048576,$B36,COMPUTER!$H$3:$H$1048576,D$28))</f>
        <v/>
      </c>
      <c r="E36" s="92" t="str">
        <f>IF(COUNTIFS(COMPUTER!$F$3:$F$1048576,$B36,COMPUTER!$H$3:$H$1048576,E$28)=0,"",COUNTIFS(COMPUTER!$F$3:$F$1048576,$B36,COMPUTER!$H$3:$H$1048576,E$28))</f>
        <v/>
      </c>
      <c r="F36" s="92" t="str">
        <f>IF(COUNTIFS(COMPUTER!$F$3:$F$1048576,$B36,COMPUTER!$H$3:$H$1048576,F$28)=0,"",COUNTIFS(COMPUTER!$F$3:$F$1048576,$B36,COMPUTER!$H$3:$H$1048576,F$28))</f>
        <v/>
      </c>
      <c r="I36" s="157" t="str">
        <f>CODEX!$F10</f>
        <v>Gate Office</v>
      </c>
      <c r="J36" s="92">
        <f>IF(COUNTIFS(DISPLAY!$F$3:$F$1048576,$I36,DISPLAY!$H$3:$H$1048576,J$28)=0,"",COUNTIFS(DISPLAY!$F$3:$F$1048576,$I36,DISPLAY!$H$3:$H$1048576,J$28))</f>
        <v>1</v>
      </c>
      <c r="K36" s="92" t="str">
        <f>IF(COUNTIFS(DISPLAY!$F$3:$F$1048576,$I36,DISPLAY!$H$3:$H$1048576,K$28)=0,"",COUNTIFS(DISPLAY!$F$3:$F$1048576,$I36,DISPLAY!$H$3:$H$1048576,K$28))</f>
        <v/>
      </c>
      <c r="L36" s="92" t="str">
        <f>IF(COUNTIFS(DISPLAY!$F$3:$F$1048576,$I36,DISPLAY!$H$3:$H$1048576,L$28)=0,"",COUNTIFS(DISPLAY!$F$3:$F$1048576,$I36,DISPLAY!$H$3:$H$1048576,L$28))</f>
        <v/>
      </c>
      <c r="M36" s="92" t="str">
        <f>IF(COUNTIFS(DISPLAY!$F$3:$F$1048576,$I36,DISPLAY!$H$3:$H$1048576,M$28)=0,"",COUNTIFS(DISPLAY!$F$3:$F$1048576,$I36,DISPLAY!$H$3:$H$1048576,M$28))</f>
        <v/>
      </c>
      <c r="P36" s="157" t="str">
        <f>CODEX!$F10</f>
        <v>Gate Office</v>
      </c>
      <c r="Q36" s="96" t="str">
        <f>IF(COUNTIFS('NETWORK-DEVICES'!$F$3:$F$1048576,$P36,'NETWORK-DEVICES'!$H$3:$H$1048576,Q$28)=0,"",COUNTIFS('NETWORK-DEVICES'!$F$3:$F$1048576,$P36,'NETWORK-DEVICES'!$H$3:$H$1048576,Q$28))</f>
        <v/>
      </c>
      <c r="R36" s="96" t="str">
        <f>IF(COUNTIFS('NETWORK-DEVICES'!$F$3:$F$1048576,$P36,'NETWORK-DEVICES'!$H$3:$H$1048576,R$28)=0,"",COUNTIFS('NETWORK-DEVICES'!$F$3:$F$1048576,$P36,'NETWORK-DEVICES'!$H$3:$H$1048576,R$28))</f>
        <v/>
      </c>
      <c r="S36" s="96" t="str">
        <f>IF(COUNTIFS('NETWORK-DEVICES'!$F$3:$F$1048576,$P36,'NETWORK-DEVICES'!$H$3:$H$1048576,S$28)=0,"",COUNTIFS('NETWORK-DEVICES'!$F$3:$F$1048576,$P36,'NETWORK-DEVICES'!$H$3:$H$1048576,S$28))</f>
        <v/>
      </c>
      <c r="T36" s="96" t="str">
        <f>IF(COUNTIFS('NETWORK-DEVICES'!$F$3:$F$1048576,$P36,'NETWORK-DEVICES'!$H$3:$H$1048576,T$28)=0,"",COUNTIFS('NETWORK-DEVICES'!$F$3:$F$1048576,$P36,'NETWORK-DEVICES'!$H$3:$H$1048576,T$28))</f>
        <v/>
      </c>
      <c r="U36" s="96" t="str">
        <f>IF(COUNTIFS('NETWORK-DEVICES'!$F$3:$F$1048576,$P36,'NETWORK-DEVICES'!$H$3:$H$1048576,U$28)=0,"",COUNTIFS('NETWORK-DEVICES'!$F$3:$F$1048576,$P36,'NETWORK-DEVICES'!$H$3:$H$1048576,U$28))</f>
        <v/>
      </c>
    </row>
    <row r="37" spans="2:21" x14ac:dyDescent="0.25">
      <c r="B37" s="157" t="str">
        <f>CODEX!$F11</f>
        <v>Security Pos 1</v>
      </c>
      <c r="C37" s="92">
        <f>IF(COUNTIFS(COMPUTER!$F$3:$F$1048576,$B37,COMPUTER!$H$3:$H$1048576,C$28)=0,"",COUNTIFS(COMPUTER!$F$3:$F$1048576,$B37,COMPUTER!$H$3:$H$1048576,C$28))</f>
        <v>1</v>
      </c>
      <c r="D37" s="92" t="str">
        <f>IF(COUNTIFS(COMPUTER!$F$3:$F$1048576,$B37,COMPUTER!$H$3:$H$1048576,D$28)=0,"",COUNTIFS(COMPUTER!$F$3:$F$1048576,$B37,COMPUTER!$H$3:$H$1048576,D$28))</f>
        <v/>
      </c>
      <c r="E37" s="92" t="str">
        <f>IF(COUNTIFS(COMPUTER!$F$3:$F$1048576,$B37,COMPUTER!$H$3:$H$1048576,E$28)=0,"",COUNTIFS(COMPUTER!$F$3:$F$1048576,$B37,COMPUTER!$H$3:$H$1048576,E$28))</f>
        <v/>
      </c>
      <c r="F37" s="92" t="str">
        <f>IF(COUNTIFS(COMPUTER!$F$3:$F$1048576,$B37,COMPUTER!$H$3:$H$1048576,F$28)=0,"",COUNTIFS(COMPUTER!$F$3:$F$1048576,$B37,COMPUTER!$H$3:$H$1048576,F$28))</f>
        <v/>
      </c>
      <c r="I37" s="157" t="str">
        <f>CODEX!$F11</f>
        <v>Security Pos 1</v>
      </c>
      <c r="J37" s="92">
        <f>IF(COUNTIFS(DISPLAY!$F$3:$F$1048576,$I37,DISPLAY!$H$3:$H$1048576,J$28)=0,"",COUNTIFS(DISPLAY!$F$3:$F$1048576,$I37,DISPLAY!$H$3:$H$1048576,J$28))</f>
        <v>1</v>
      </c>
      <c r="K37" s="92" t="str">
        <f>IF(COUNTIFS(DISPLAY!$F$3:$F$1048576,$I37,DISPLAY!$H$3:$H$1048576,K$28)=0,"",COUNTIFS(DISPLAY!$F$3:$F$1048576,$I37,DISPLAY!$H$3:$H$1048576,K$28))</f>
        <v/>
      </c>
      <c r="L37" s="92" t="str">
        <f>IF(COUNTIFS(DISPLAY!$F$3:$F$1048576,$I37,DISPLAY!$H$3:$H$1048576,L$28)=0,"",COUNTIFS(DISPLAY!$F$3:$F$1048576,$I37,DISPLAY!$H$3:$H$1048576,L$28))</f>
        <v/>
      </c>
      <c r="M37" s="92" t="str">
        <f>IF(COUNTIFS(DISPLAY!$F$3:$F$1048576,$I37,DISPLAY!$H$3:$H$1048576,M$28)=0,"",COUNTIFS(DISPLAY!$F$3:$F$1048576,$I37,DISPLAY!$H$3:$H$1048576,M$28))</f>
        <v/>
      </c>
      <c r="P37" s="157" t="str">
        <f>CODEX!$F11</f>
        <v>Security Pos 1</v>
      </c>
      <c r="Q37" s="96" t="str">
        <f>IF(COUNTIFS('NETWORK-DEVICES'!$F$3:$F$1048576,$P37,'NETWORK-DEVICES'!$H$3:$H$1048576,Q$28)=0,"",COUNTIFS('NETWORK-DEVICES'!$F$3:$F$1048576,$P37,'NETWORK-DEVICES'!$H$3:$H$1048576,Q$28))</f>
        <v/>
      </c>
      <c r="R37" s="96" t="str">
        <f>IF(COUNTIFS('NETWORK-DEVICES'!$F$3:$F$1048576,$P37,'NETWORK-DEVICES'!$H$3:$H$1048576,R$28)=0,"",COUNTIFS('NETWORK-DEVICES'!$F$3:$F$1048576,$P37,'NETWORK-DEVICES'!$H$3:$H$1048576,R$28))</f>
        <v/>
      </c>
      <c r="S37" s="96" t="str">
        <f>IF(COUNTIFS('NETWORK-DEVICES'!$F$3:$F$1048576,$P37,'NETWORK-DEVICES'!$H$3:$H$1048576,S$28)=0,"",COUNTIFS('NETWORK-DEVICES'!$F$3:$F$1048576,$P37,'NETWORK-DEVICES'!$H$3:$H$1048576,S$28))</f>
        <v/>
      </c>
      <c r="T37" s="96" t="str">
        <f>IF(COUNTIFS('NETWORK-DEVICES'!$F$3:$F$1048576,$P37,'NETWORK-DEVICES'!$H$3:$H$1048576,T$28)=0,"",COUNTIFS('NETWORK-DEVICES'!$F$3:$F$1048576,$P37,'NETWORK-DEVICES'!$H$3:$H$1048576,T$28))</f>
        <v/>
      </c>
      <c r="U37" s="96" t="str">
        <f>IF(COUNTIFS('NETWORK-DEVICES'!$F$3:$F$1048576,$P37,'NETWORK-DEVICES'!$H$3:$H$1048576,U$28)=0,"",COUNTIFS('NETWORK-DEVICES'!$F$3:$F$1048576,$P37,'NETWORK-DEVICES'!$H$3:$H$1048576,U$28))</f>
        <v/>
      </c>
    </row>
    <row r="38" spans="2:21" x14ac:dyDescent="0.25">
      <c r="B38" s="157" t="str">
        <f>CODEX!$F12</f>
        <v>IT Room</v>
      </c>
      <c r="C38" s="92" t="str">
        <f>IF(COUNTIFS(COMPUTER!$F$3:$F$1048576,$B38,COMPUTER!$H$3:$H$1048576,C$28)=0,"",COUNTIFS(COMPUTER!$F$3:$F$1048576,$B38,COMPUTER!$H$3:$H$1048576,C$28))</f>
        <v/>
      </c>
      <c r="D38" s="92" t="str">
        <f>IF(COUNTIFS(COMPUTER!$F$3:$F$1048576,$B38,COMPUTER!$H$3:$H$1048576,D$28)=0,"",COUNTIFS(COMPUTER!$F$3:$F$1048576,$B38,COMPUTER!$H$3:$H$1048576,D$28))</f>
        <v/>
      </c>
      <c r="E38" s="92" t="str">
        <f>IF(COUNTIFS(COMPUTER!$F$3:$F$1048576,$B38,COMPUTER!$H$3:$H$1048576,E$28)=0,"",COUNTIFS(COMPUTER!$F$3:$F$1048576,$B38,COMPUTER!$H$3:$H$1048576,E$28))</f>
        <v/>
      </c>
      <c r="F38" s="92" t="str">
        <f>IF(COUNTIFS(COMPUTER!$F$3:$F$1048576,$B38,COMPUTER!$H$3:$H$1048576,F$28)=0,"",COUNTIFS(COMPUTER!$F$3:$F$1048576,$B38,COMPUTER!$H$3:$H$1048576,F$28))</f>
        <v/>
      </c>
      <c r="I38" s="157" t="str">
        <f>CODEX!$F12</f>
        <v>IT Room</v>
      </c>
      <c r="J38" s="92" t="str">
        <f>IF(COUNTIFS(DISPLAY!$F$3:$F$1048576,$I38,DISPLAY!$H$3:$H$1048576,J$28)=0,"",COUNTIFS(DISPLAY!$F$3:$F$1048576,$I38,DISPLAY!$H$3:$H$1048576,J$28))</f>
        <v/>
      </c>
      <c r="K38" s="92" t="str">
        <f>IF(COUNTIFS(DISPLAY!$F$3:$F$1048576,$I38,DISPLAY!$H$3:$H$1048576,K$28)=0,"",COUNTIFS(DISPLAY!$F$3:$F$1048576,$I38,DISPLAY!$H$3:$H$1048576,K$28))</f>
        <v/>
      </c>
      <c r="L38" s="92" t="str">
        <f>IF(COUNTIFS(DISPLAY!$F$3:$F$1048576,$I38,DISPLAY!$H$3:$H$1048576,L$28)=0,"",COUNTIFS(DISPLAY!$F$3:$F$1048576,$I38,DISPLAY!$H$3:$H$1048576,L$28))</f>
        <v/>
      </c>
      <c r="M38" s="92" t="str">
        <f>IF(COUNTIFS(DISPLAY!$F$3:$F$1048576,$I38,DISPLAY!$H$3:$H$1048576,M$28)=0,"",COUNTIFS(DISPLAY!$F$3:$F$1048576,$I38,DISPLAY!$H$3:$H$1048576,M$28))</f>
        <v/>
      </c>
      <c r="P38" s="157" t="str">
        <f>CODEX!$F12</f>
        <v>IT Room</v>
      </c>
      <c r="Q38" s="96" t="str">
        <f>IF(COUNTIFS('NETWORK-DEVICES'!$F$3:$F$1048576,$P38,'NETWORK-DEVICES'!$H$3:$H$1048576,Q$28)=0,"",COUNTIFS('NETWORK-DEVICES'!$F$3:$F$1048576,$P38,'NETWORK-DEVICES'!$H$3:$H$1048576,Q$28))</f>
        <v/>
      </c>
      <c r="R38" s="96" t="str">
        <f>IF(COUNTIFS('NETWORK-DEVICES'!$F$3:$F$1048576,$P38,'NETWORK-DEVICES'!$H$3:$H$1048576,R$28)=0,"",COUNTIFS('NETWORK-DEVICES'!$F$3:$F$1048576,$P38,'NETWORK-DEVICES'!$H$3:$H$1048576,R$28))</f>
        <v/>
      </c>
      <c r="S38" s="96" t="str">
        <f>IF(COUNTIFS('NETWORK-DEVICES'!$F$3:$F$1048576,$P38,'NETWORK-DEVICES'!$H$3:$H$1048576,S$28)=0,"",COUNTIFS('NETWORK-DEVICES'!$F$3:$F$1048576,$P38,'NETWORK-DEVICES'!$H$3:$H$1048576,S$28))</f>
        <v/>
      </c>
      <c r="T38" s="96" t="str">
        <f>IF(COUNTIFS('NETWORK-DEVICES'!$F$3:$F$1048576,$P38,'NETWORK-DEVICES'!$H$3:$H$1048576,T$28)=0,"",COUNTIFS('NETWORK-DEVICES'!$F$3:$F$1048576,$P38,'NETWORK-DEVICES'!$H$3:$H$1048576,T$28))</f>
        <v/>
      </c>
      <c r="U38" s="96" t="str">
        <f>IF(COUNTIFS('NETWORK-DEVICES'!$F$3:$F$1048576,$P38,'NETWORK-DEVICES'!$H$3:$H$1048576,U$28)=0,"",COUNTIFS('NETWORK-DEVICES'!$F$3:$F$1048576,$P38,'NETWORK-DEVICES'!$H$3:$H$1048576,U$28))</f>
        <v/>
      </c>
    </row>
    <row r="39" spans="2:21" x14ac:dyDescent="0.25">
      <c r="B39" s="157" t="str">
        <f>CODEX!$F13</f>
        <v>Server Room</v>
      </c>
      <c r="C39" s="92" t="str">
        <f>IF(COUNTIFS(COMPUTER!$F$3:$F$1048576,$B39,COMPUTER!$H$3:$H$1048576,C$28)=0,"",COUNTIFS(COMPUTER!$F$3:$F$1048576,$B39,COMPUTER!$H$3:$H$1048576,C$28))</f>
        <v/>
      </c>
      <c r="D39" s="92" t="str">
        <f>IF(COUNTIFS(COMPUTER!$F$3:$F$1048576,$B39,COMPUTER!$H$3:$H$1048576,D$28)=0,"",COUNTIFS(COMPUTER!$F$3:$F$1048576,$B39,COMPUTER!$H$3:$H$1048576,D$28))</f>
        <v/>
      </c>
      <c r="E39" s="92" t="str">
        <f>IF(COUNTIFS(COMPUTER!$F$3:$F$1048576,$B39,COMPUTER!$H$3:$H$1048576,E$28)=0,"",COUNTIFS(COMPUTER!$F$3:$F$1048576,$B39,COMPUTER!$H$3:$H$1048576,E$28))</f>
        <v/>
      </c>
      <c r="F39" s="92" t="str">
        <f>IF(COUNTIFS(COMPUTER!$F$3:$F$1048576,$B39,COMPUTER!$H$3:$H$1048576,F$28)=0,"",COUNTIFS(COMPUTER!$F$3:$F$1048576,$B39,COMPUTER!$H$3:$H$1048576,F$28))</f>
        <v/>
      </c>
      <c r="I39" s="157" t="str">
        <f>CODEX!$F13</f>
        <v>Server Room</v>
      </c>
      <c r="J39" s="92" t="str">
        <f>IF(COUNTIFS(DISPLAY!$F$3:$F$1048576,$I39,DISPLAY!$H$3:$H$1048576,J$28)=0,"",COUNTIFS(DISPLAY!$F$3:$F$1048576,$I39,DISPLAY!$H$3:$H$1048576,J$28))</f>
        <v/>
      </c>
      <c r="K39" s="92" t="str">
        <f>IF(COUNTIFS(DISPLAY!$F$3:$F$1048576,$I39,DISPLAY!$H$3:$H$1048576,K$28)=0,"",COUNTIFS(DISPLAY!$F$3:$F$1048576,$I39,DISPLAY!$H$3:$H$1048576,K$28))</f>
        <v/>
      </c>
      <c r="L39" s="92" t="str">
        <f>IF(COUNTIFS(DISPLAY!$F$3:$F$1048576,$I39,DISPLAY!$H$3:$H$1048576,L$28)=0,"",COUNTIFS(DISPLAY!$F$3:$F$1048576,$I39,DISPLAY!$H$3:$H$1048576,L$28))</f>
        <v/>
      </c>
      <c r="M39" s="92" t="str">
        <f>IF(COUNTIFS(DISPLAY!$F$3:$F$1048576,$I39,DISPLAY!$H$3:$H$1048576,M$28)=0,"",COUNTIFS(DISPLAY!$F$3:$F$1048576,$I39,DISPLAY!$H$3:$H$1048576,M$28))</f>
        <v/>
      </c>
      <c r="P39" s="157" t="str">
        <f>CODEX!$F13</f>
        <v>Server Room</v>
      </c>
      <c r="Q39" s="96" t="str">
        <f>IF(COUNTIFS('NETWORK-DEVICES'!$F$3:$F$1048576,$P39,'NETWORK-DEVICES'!$H$3:$H$1048576,Q$28)=0,"",COUNTIFS('NETWORK-DEVICES'!$F$3:$F$1048576,$P39,'NETWORK-DEVICES'!$H$3:$H$1048576,Q$28))</f>
        <v/>
      </c>
      <c r="R39" s="96" t="str">
        <f>IF(COUNTIFS('NETWORK-DEVICES'!$F$3:$F$1048576,$P39,'NETWORK-DEVICES'!$H$3:$H$1048576,R$28)=0,"",COUNTIFS('NETWORK-DEVICES'!$F$3:$F$1048576,$P39,'NETWORK-DEVICES'!$H$3:$H$1048576,R$28))</f>
        <v/>
      </c>
      <c r="S39" s="96" t="str">
        <f>IF(COUNTIFS('NETWORK-DEVICES'!$F$3:$F$1048576,$P39,'NETWORK-DEVICES'!$H$3:$H$1048576,S$28)=0,"",COUNTIFS('NETWORK-DEVICES'!$F$3:$F$1048576,$P39,'NETWORK-DEVICES'!$H$3:$H$1048576,S$28))</f>
        <v/>
      </c>
      <c r="T39" s="96" t="str">
        <f>IF(COUNTIFS('NETWORK-DEVICES'!$F$3:$F$1048576,$P39,'NETWORK-DEVICES'!$H$3:$H$1048576,T$28)=0,"",COUNTIFS('NETWORK-DEVICES'!$F$3:$F$1048576,$P39,'NETWORK-DEVICES'!$H$3:$H$1048576,T$28))</f>
        <v/>
      </c>
      <c r="U39" s="96" t="str">
        <f>IF(COUNTIFS('NETWORK-DEVICES'!$F$3:$F$1048576,$P39,'NETWORK-DEVICES'!$H$3:$H$1048576,U$28)=0,"",COUNTIFS('NETWORK-DEVICES'!$F$3:$F$1048576,$P39,'NETWORK-DEVICES'!$H$3:$H$1048576,U$28))</f>
        <v/>
      </c>
    </row>
    <row r="40" spans="2:21" x14ac:dyDescent="0.25">
      <c r="B40" s="157" t="str">
        <f>CODEX!$F14</f>
        <v>Server Autogate</v>
      </c>
      <c r="C40" s="92" t="str">
        <f>IF(COUNTIFS(COMPUTER!$F$3:$F$1048576,$B40,COMPUTER!$H$3:$H$1048576,C$28)=0,"",COUNTIFS(COMPUTER!$F$3:$F$1048576,$B40,COMPUTER!$H$3:$H$1048576,C$28))</f>
        <v/>
      </c>
      <c r="D40" s="92" t="str">
        <f>IF(COUNTIFS(COMPUTER!$F$3:$F$1048576,$B40,COMPUTER!$H$3:$H$1048576,D$28)=0,"",COUNTIFS(COMPUTER!$F$3:$F$1048576,$B40,COMPUTER!$H$3:$H$1048576,D$28))</f>
        <v/>
      </c>
      <c r="E40" s="92" t="str">
        <f>IF(COUNTIFS(COMPUTER!$F$3:$F$1048576,$B40,COMPUTER!$H$3:$H$1048576,E$28)=0,"",COUNTIFS(COMPUTER!$F$3:$F$1048576,$B40,COMPUTER!$H$3:$H$1048576,E$28))</f>
        <v/>
      </c>
      <c r="F40" s="92" t="str">
        <f>IF(COUNTIFS(COMPUTER!$F$3:$F$1048576,$B40,COMPUTER!$H$3:$H$1048576,F$28)=0,"",COUNTIFS(COMPUTER!$F$3:$F$1048576,$B40,COMPUTER!$H$3:$H$1048576,F$28))</f>
        <v/>
      </c>
      <c r="I40" s="157" t="str">
        <f>CODEX!$F14</f>
        <v>Server Autogate</v>
      </c>
      <c r="J40" s="92" t="str">
        <f>IF(COUNTIFS(DISPLAY!$F$3:$F$1048576,$I40,DISPLAY!$H$3:$H$1048576,J$28)=0,"",COUNTIFS(DISPLAY!$F$3:$F$1048576,$I40,DISPLAY!$H$3:$H$1048576,J$28))</f>
        <v/>
      </c>
      <c r="K40" s="92" t="str">
        <f>IF(COUNTIFS(DISPLAY!$F$3:$F$1048576,$I40,DISPLAY!$H$3:$H$1048576,K$28)=0,"",COUNTIFS(DISPLAY!$F$3:$F$1048576,$I40,DISPLAY!$H$3:$H$1048576,K$28))</f>
        <v/>
      </c>
      <c r="L40" s="92" t="str">
        <f>IF(COUNTIFS(DISPLAY!$F$3:$F$1048576,$I40,DISPLAY!$H$3:$H$1048576,L$28)=0,"",COUNTIFS(DISPLAY!$F$3:$F$1048576,$I40,DISPLAY!$H$3:$H$1048576,L$28))</f>
        <v/>
      </c>
      <c r="M40" s="92" t="str">
        <f>IF(COUNTIFS(DISPLAY!$F$3:$F$1048576,$I40,DISPLAY!$H$3:$H$1048576,M$28)=0,"",COUNTIFS(DISPLAY!$F$3:$F$1048576,$I40,DISPLAY!$H$3:$H$1048576,M$28))</f>
        <v/>
      </c>
      <c r="P40" s="157" t="str">
        <f>CODEX!$F14</f>
        <v>Server Autogate</v>
      </c>
      <c r="Q40" s="96" t="str">
        <f>IF(COUNTIFS('NETWORK-DEVICES'!$F$3:$F$1048576,$P40,'NETWORK-DEVICES'!$H$3:$H$1048576,Q$28)=0,"",COUNTIFS('NETWORK-DEVICES'!$F$3:$F$1048576,$P40,'NETWORK-DEVICES'!$H$3:$H$1048576,Q$28))</f>
        <v/>
      </c>
      <c r="R40" s="96" t="str">
        <f>IF(COUNTIFS('NETWORK-DEVICES'!$F$3:$F$1048576,$P40,'NETWORK-DEVICES'!$H$3:$H$1048576,R$28)=0,"",COUNTIFS('NETWORK-DEVICES'!$F$3:$F$1048576,$P40,'NETWORK-DEVICES'!$H$3:$H$1048576,R$28))</f>
        <v/>
      </c>
      <c r="S40" s="96" t="str">
        <f>IF(COUNTIFS('NETWORK-DEVICES'!$F$3:$F$1048576,$P40,'NETWORK-DEVICES'!$H$3:$H$1048576,S$28)=0,"",COUNTIFS('NETWORK-DEVICES'!$F$3:$F$1048576,$P40,'NETWORK-DEVICES'!$H$3:$H$1048576,S$28))</f>
        <v/>
      </c>
      <c r="T40" s="96">
        <f>IF(COUNTIFS('NETWORK-DEVICES'!$F$3:$F$1048576,$P40,'NETWORK-DEVICES'!$H$3:$H$1048576,T$28)=0,"",COUNTIFS('NETWORK-DEVICES'!$F$3:$F$1048576,$P40,'NETWORK-DEVICES'!$H$3:$H$1048576,T$28))</f>
        <v>1</v>
      </c>
      <c r="U40" s="96">
        <f>IF(COUNTIFS('NETWORK-DEVICES'!$F$3:$F$1048576,$P40,'NETWORK-DEVICES'!$H$3:$H$1048576,U$28)=0,"",COUNTIFS('NETWORK-DEVICES'!$F$3:$F$1048576,$P40,'NETWORK-DEVICES'!$H$3:$H$1048576,U$28))</f>
        <v>1</v>
      </c>
    </row>
    <row r="41" spans="2:21" x14ac:dyDescent="0.25">
      <c r="B41" s="157" t="str">
        <f>CODEX!$F15</f>
        <v>IT Storage Room</v>
      </c>
      <c r="C41" s="92" t="str">
        <f>IF(COUNTIFS(COMPUTER!$F$3:$F$1048576,$B41,COMPUTER!$H$3:$H$1048576,C$28)=0,"",COUNTIFS(COMPUTER!$F$3:$F$1048576,$B41,COMPUTER!$H$3:$H$1048576,C$28))</f>
        <v/>
      </c>
      <c r="D41" s="92" t="str">
        <f>IF(COUNTIFS(COMPUTER!$F$3:$F$1048576,$B41,COMPUTER!$H$3:$H$1048576,D$28)=0,"",COUNTIFS(COMPUTER!$F$3:$F$1048576,$B41,COMPUTER!$H$3:$H$1048576,D$28))</f>
        <v/>
      </c>
      <c r="E41" s="92" t="str">
        <f>IF(COUNTIFS(COMPUTER!$F$3:$F$1048576,$B41,COMPUTER!$H$3:$H$1048576,E$28)=0,"",COUNTIFS(COMPUTER!$F$3:$F$1048576,$B41,COMPUTER!$H$3:$H$1048576,E$28))</f>
        <v/>
      </c>
      <c r="F41" s="92" t="str">
        <f>IF(COUNTIFS(COMPUTER!$F$3:$F$1048576,$B41,COMPUTER!$H$3:$H$1048576,F$28)=0,"",COUNTIFS(COMPUTER!$F$3:$F$1048576,$B41,COMPUTER!$H$3:$H$1048576,F$28))</f>
        <v/>
      </c>
      <c r="I41" s="157" t="str">
        <f>CODEX!$F15</f>
        <v>IT Storage Room</v>
      </c>
      <c r="J41" s="92" t="str">
        <f>IF(COUNTIFS(DISPLAY!$F$3:$F$1048576,$I41,DISPLAY!$H$3:$H$1048576,J$28)=0,"",COUNTIFS(DISPLAY!$F$3:$F$1048576,$I41,DISPLAY!$H$3:$H$1048576,J$28))</f>
        <v/>
      </c>
      <c r="K41" s="92" t="str">
        <f>IF(COUNTIFS(DISPLAY!$F$3:$F$1048576,$I41,DISPLAY!$H$3:$H$1048576,K$28)=0,"",COUNTIFS(DISPLAY!$F$3:$F$1048576,$I41,DISPLAY!$H$3:$H$1048576,K$28))</f>
        <v/>
      </c>
      <c r="L41" s="92" t="str">
        <f>IF(COUNTIFS(DISPLAY!$F$3:$F$1048576,$I41,DISPLAY!$H$3:$H$1048576,L$28)=0,"",COUNTIFS(DISPLAY!$F$3:$F$1048576,$I41,DISPLAY!$H$3:$H$1048576,L$28))</f>
        <v/>
      </c>
      <c r="M41" s="92" t="str">
        <f>IF(COUNTIFS(DISPLAY!$F$3:$F$1048576,$I41,DISPLAY!$H$3:$H$1048576,M$28)=0,"",COUNTIFS(DISPLAY!$F$3:$F$1048576,$I41,DISPLAY!$H$3:$H$1048576,M$28))</f>
        <v/>
      </c>
      <c r="P41" s="157" t="str">
        <f>CODEX!$F15</f>
        <v>IT Storage Room</v>
      </c>
      <c r="Q41" s="96" t="str">
        <f>IF(COUNTIFS('NETWORK-DEVICES'!$F$3:$F$1048576,$P41,'NETWORK-DEVICES'!$H$3:$H$1048576,Q$28)=0,"",COUNTIFS('NETWORK-DEVICES'!$F$3:$F$1048576,$P41,'NETWORK-DEVICES'!$H$3:$H$1048576,Q$28))</f>
        <v/>
      </c>
      <c r="R41" s="96" t="str">
        <f>IF(COUNTIFS('NETWORK-DEVICES'!$F$3:$F$1048576,$P41,'NETWORK-DEVICES'!$H$3:$H$1048576,R$28)=0,"",COUNTIFS('NETWORK-DEVICES'!$F$3:$F$1048576,$P41,'NETWORK-DEVICES'!$H$3:$H$1048576,R$28))</f>
        <v/>
      </c>
      <c r="S41" s="96" t="str">
        <f>IF(COUNTIFS('NETWORK-DEVICES'!$F$3:$F$1048576,$P41,'NETWORK-DEVICES'!$H$3:$H$1048576,S$28)=0,"",COUNTIFS('NETWORK-DEVICES'!$F$3:$F$1048576,$P41,'NETWORK-DEVICES'!$H$3:$H$1048576,S$28))</f>
        <v/>
      </c>
      <c r="T41" s="96" t="str">
        <f>IF(COUNTIFS('NETWORK-DEVICES'!$F$3:$F$1048576,$P41,'NETWORK-DEVICES'!$H$3:$H$1048576,T$28)=0,"",COUNTIFS('NETWORK-DEVICES'!$F$3:$F$1048576,$P41,'NETWORK-DEVICES'!$H$3:$H$1048576,T$28))</f>
        <v/>
      </c>
      <c r="U41" s="96" t="str">
        <f>IF(COUNTIFS('NETWORK-DEVICES'!$F$3:$F$1048576,$P41,'NETWORK-DEVICES'!$H$3:$H$1048576,U$28)=0,"",COUNTIFS('NETWORK-DEVICES'!$F$3:$F$1048576,$P41,'NETWORK-DEVICES'!$H$3:$H$1048576,U$28))</f>
        <v/>
      </c>
    </row>
    <row r="42" spans="2:21" x14ac:dyDescent="0.25">
      <c r="B42" s="157" t="str">
        <f>CODEX!$F16</f>
        <v>Jetty</v>
      </c>
      <c r="C42" s="92" t="str">
        <f>IF(COUNTIFS(COMPUTER!$F$3:$F$1048576,$B42,COMPUTER!$H$3:$H$1048576,C$28)=0,"",COUNTIFS(COMPUTER!$F$3:$F$1048576,$B42,COMPUTER!$H$3:$H$1048576,C$28))</f>
        <v/>
      </c>
      <c r="D42" s="92" t="str">
        <f>IF(COUNTIFS(COMPUTER!$F$3:$F$1048576,$B42,COMPUTER!$H$3:$H$1048576,D$28)=0,"",COUNTIFS(COMPUTER!$F$3:$F$1048576,$B42,COMPUTER!$H$3:$H$1048576,D$28))</f>
        <v/>
      </c>
      <c r="E42" s="92" t="str">
        <f>IF(COUNTIFS(COMPUTER!$F$3:$F$1048576,$B42,COMPUTER!$H$3:$H$1048576,E$28)=0,"",COUNTIFS(COMPUTER!$F$3:$F$1048576,$B42,COMPUTER!$H$3:$H$1048576,E$28))</f>
        <v/>
      </c>
      <c r="F42" s="92" t="str">
        <f>IF(COUNTIFS(COMPUTER!$F$3:$F$1048576,$B42,COMPUTER!$H$3:$H$1048576,F$28)=0,"",COUNTIFS(COMPUTER!$F$3:$F$1048576,$B42,COMPUTER!$H$3:$H$1048576,F$28))</f>
        <v/>
      </c>
      <c r="I42" s="157" t="str">
        <f>CODEX!$F16</f>
        <v>Jetty</v>
      </c>
      <c r="J42" s="92" t="str">
        <f>IF(COUNTIFS(DISPLAY!$F$3:$F$1048576,$I42,DISPLAY!$H$3:$H$1048576,J$28)=0,"",COUNTIFS(DISPLAY!$F$3:$F$1048576,$I42,DISPLAY!$H$3:$H$1048576,J$28))</f>
        <v/>
      </c>
      <c r="K42" s="92" t="str">
        <f>IF(COUNTIFS(DISPLAY!$F$3:$F$1048576,$I42,DISPLAY!$H$3:$H$1048576,K$28)=0,"",COUNTIFS(DISPLAY!$F$3:$F$1048576,$I42,DISPLAY!$H$3:$H$1048576,K$28))</f>
        <v/>
      </c>
      <c r="L42" s="92" t="str">
        <f>IF(COUNTIFS(DISPLAY!$F$3:$F$1048576,$I42,DISPLAY!$H$3:$H$1048576,L$28)=0,"",COUNTIFS(DISPLAY!$F$3:$F$1048576,$I42,DISPLAY!$H$3:$H$1048576,L$28))</f>
        <v/>
      </c>
      <c r="M42" s="92" t="str">
        <f>IF(COUNTIFS(DISPLAY!$F$3:$F$1048576,$I42,DISPLAY!$H$3:$H$1048576,M$28)=0,"",COUNTIFS(DISPLAY!$F$3:$F$1048576,$I42,DISPLAY!$H$3:$H$1048576,M$28))</f>
        <v/>
      </c>
      <c r="P42" s="157" t="str">
        <f>CODEX!$F16</f>
        <v>Jetty</v>
      </c>
      <c r="Q42" s="96" t="str">
        <f>IF(COUNTIFS('NETWORK-DEVICES'!$F$3:$F$1048576,$P42,'NETWORK-DEVICES'!$H$3:$H$1048576,Q$28)=0,"",COUNTIFS('NETWORK-DEVICES'!$F$3:$F$1048576,$P42,'NETWORK-DEVICES'!$H$3:$H$1048576,Q$28))</f>
        <v/>
      </c>
      <c r="R42" s="96" t="str">
        <f>IF(COUNTIFS('NETWORK-DEVICES'!$F$3:$F$1048576,$P42,'NETWORK-DEVICES'!$H$3:$H$1048576,R$28)=0,"",COUNTIFS('NETWORK-DEVICES'!$F$3:$F$1048576,$P42,'NETWORK-DEVICES'!$H$3:$H$1048576,R$28))</f>
        <v/>
      </c>
      <c r="S42" s="96" t="str">
        <f>IF(COUNTIFS('NETWORK-DEVICES'!$F$3:$F$1048576,$P42,'NETWORK-DEVICES'!$H$3:$H$1048576,S$28)=0,"",COUNTIFS('NETWORK-DEVICES'!$F$3:$F$1048576,$P42,'NETWORK-DEVICES'!$H$3:$H$1048576,S$28))</f>
        <v/>
      </c>
      <c r="T42" s="96" t="str">
        <f>IF(COUNTIFS('NETWORK-DEVICES'!$F$3:$F$1048576,$P42,'NETWORK-DEVICES'!$H$3:$H$1048576,T$28)=0,"",COUNTIFS('NETWORK-DEVICES'!$F$3:$F$1048576,$P42,'NETWORK-DEVICES'!$H$3:$H$1048576,T$28))</f>
        <v/>
      </c>
      <c r="U42" s="96" t="str">
        <f>IF(COUNTIFS('NETWORK-DEVICES'!$F$3:$F$1048576,$P42,'NETWORK-DEVICES'!$H$3:$H$1048576,U$28)=0,"",COUNTIFS('NETWORK-DEVICES'!$F$3:$F$1048576,$P42,'NETWORK-DEVICES'!$H$3:$H$1048576,U$28))</f>
        <v/>
      </c>
    </row>
    <row r="43" spans="2:21" x14ac:dyDescent="0.25">
      <c r="B43" s="157" t="str">
        <f>CODEX!$F17</f>
        <v>CY/Wharf Area</v>
      </c>
      <c r="C43" s="92" t="str">
        <f>IF(COUNTIFS(COMPUTER!$F$3:$F$1048576,$B43,COMPUTER!$H$3:$H$1048576,C$28)=0,"",COUNTIFS(COMPUTER!$F$3:$F$1048576,$B43,COMPUTER!$H$3:$H$1048576,C$28))</f>
        <v/>
      </c>
      <c r="D43" s="92" t="str">
        <f>IF(COUNTIFS(COMPUTER!$F$3:$F$1048576,$B43,COMPUTER!$H$3:$H$1048576,D$28)=0,"",COUNTIFS(COMPUTER!$F$3:$F$1048576,$B43,COMPUTER!$H$3:$H$1048576,D$28))</f>
        <v/>
      </c>
      <c r="E43" s="92" t="str">
        <f>IF(COUNTIFS(COMPUTER!$F$3:$F$1048576,$B43,COMPUTER!$H$3:$H$1048576,E$28)=0,"",COUNTIFS(COMPUTER!$F$3:$F$1048576,$B43,COMPUTER!$H$3:$H$1048576,E$28))</f>
        <v/>
      </c>
      <c r="F43" s="92" t="str">
        <f>IF(COUNTIFS(COMPUTER!$F$3:$F$1048576,$B43,COMPUTER!$H$3:$H$1048576,F$28)=0,"",COUNTIFS(COMPUTER!$F$3:$F$1048576,$B43,COMPUTER!$H$3:$H$1048576,F$28))</f>
        <v/>
      </c>
      <c r="I43" s="157" t="str">
        <f>CODEX!$F17</f>
        <v>CY/Wharf Area</v>
      </c>
      <c r="J43" s="92" t="str">
        <f>IF(COUNTIFS(DISPLAY!$F$3:$F$1048576,$I43,DISPLAY!$H$3:$H$1048576,J$28)=0,"",COUNTIFS(DISPLAY!$F$3:$F$1048576,$I43,DISPLAY!$H$3:$H$1048576,J$28))</f>
        <v/>
      </c>
      <c r="K43" s="92" t="str">
        <f>IF(COUNTIFS(DISPLAY!$F$3:$F$1048576,$I43,DISPLAY!$H$3:$H$1048576,K$28)=0,"",COUNTIFS(DISPLAY!$F$3:$F$1048576,$I43,DISPLAY!$H$3:$H$1048576,K$28))</f>
        <v/>
      </c>
      <c r="L43" s="92" t="str">
        <f>IF(COUNTIFS(DISPLAY!$F$3:$F$1048576,$I43,DISPLAY!$H$3:$H$1048576,L$28)=0,"",COUNTIFS(DISPLAY!$F$3:$F$1048576,$I43,DISPLAY!$H$3:$H$1048576,L$28))</f>
        <v/>
      </c>
      <c r="M43" s="92" t="str">
        <f>IF(COUNTIFS(DISPLAY!$F$3:$F$1048576,$I43,DISPLAY!$H$3:$H$1048576,M$28)=0,"",COUNTIFS(DISPLAY!$F$3:$F$1048576,$I43,DISPLAY!$H$3:$H$1048576,M$28))</f>
        <v/>
      </c>
      <c r="P43" s="157" t="str">
        <f>CODEX!$F17</f>
        <v>CY/Wharf Area</v>
      </c>
      <c r="Q43" s="96" t="str">
        <f>IF(COUNTIFS('NETWORK-DEVICES'!$F$3:$F$1048576,$P43,'NETWORK-DEVICES'!$H$3:$H$1048576,Q$28)=0,"",COUNTIFS('NETWORK-DEVICES'!$F$3:$F$1048576,$P43,'NETWORK-DEVICES'!$H$3:$H$1048576,Q$28))</f>
        <v/>
      </c>
      <c r="R43" s="96" t="str">
        <f>IF(COUNTIFS('NETWORK-DEVICES'!$F$3:$F$1048576,$P43,'NETWORK-DEVICES'!$H$3:$H$1048576,R$28)=0,"",COUNTIFS('NETWORK-DEVICES'!$F$3:$F$1048576,$P43,'NETWORK-DEVICES'!$H$3:$H$1048576,R$28))</f>
        <v/>
      </c>
      <c r="S43" s="96" t="str">
        <f>IF(COUNTIFS('NETWORK-DEVICES'!$F$3:$F$1048576,$P43,'NETWORK-DEVICES'!$H$3:$H$1048576,S$28)=0,"",COUNTIFS('NETWORK-DEVICES'!$F$3:$F$1048576,$P43,'NETWORK-DEVICES'!$H$3:$H$1048576,S$28))</f>
        <v/>
      </c>
      <c r="T43" s="96" t="str">
        <f>IF(COUNTIFS('NETWORK-DEVICES'!$F$3:$F$1048576,$P43,'NETWORK-DEVICES'!$H$3:$H$1048576,T$28)=0,"",COUNTIFS('NETWORK-DEVICES'!$F$3:$F$1048576,$P43,'NETWORK-DEVICES'!$H$3:$H$1048576,T$28))</f>
        <v/>
      </c>
      <c r="U43" s="96" t="str">
        <f>IF(COUNTIFS('NETWORK-DEVICES'!$F$3:$F$1048576,$P43,'NETWORK-DEVICES'!$H$3:$H$1048576,U$28)=0,"",COUNTIFS('NETWORK-DEVICES'!$F$3:$F$1048576,$P43,'NETWORK-DEVICES'!$H$3:$H$1048576,U$28))</f>
        <v/>
      </c>
    </row>
    <row r="44" spans="2:21" x14ac:dyDescent="0.25">
      <c r="B44" s="157" t="str">
        <f>CODEX!$F18</f>
        <v>Office B PGT</v>
      </c>
      <c r="C44" s="92" t="str">
        <f>IF(COUNTIFS(COMPUTER!$F$3:$F$1048576,$B44,COMPUTER!$H$3:$H$1048576,C$28)=0,"",COUNTIFS(COMPUTER!$F$3:$F$1048576,$B44,COMPUTER!$H$3:$H$1048576,C$28))</f>
        <v/>
      </c>
      <c r="D44" s="92">
        <f>IF(COUNTIFS(COMPUTER!$F$3:$F$1048576,$B44,COMPUTER!$H$3:$H$1048576,D$28)=0,"",COUNTIFS(COMPUTER!$F$3:$F$1048576,$B44,COMPUTER!$H$3:$H$1048576,D$28))</f>
        <v>1</v>
      </c>
      <c r="E44" s="92" t="str">
        <f>IF(COUNTIFS(COMPUTER!$F$3:$F$1048576,$B44,COMPUTER!$H$3:$H$1048576,E$28)=0,"",COUNTIFS(COMPUTER!$F$3:$F$1048576,$B44,COMPUTER!$H$3:$H$1048576,E$28))</f>
        <v/>
      </c>
      <c r="F44" s="92" t="str">
        <f>IF(COUNTIFS(COMPUTER!$F$3:$F$1048576,$B44,COMPUTER!$H$3:$H$1048576,F$28)=0,"",COUNTIFS(COMPUTER!$F$3:$F$1048576,$B44,COMPUTER!$H$3:$H$1048576,F$28))</f>
        <v/>
      </c>
      <c r="I44" s="157" t="str">
        <f>CODEX!$F18</f>
        <v>Office B PGT</v>
      </c>
      <c r="J44" s="92" t="str">
        <f>IF(COUNTIFS(DISPLAY!$F$3:$F$1048576,$I44,DISPLAY!$H$3:$H$1048576,J$28)=0,"",COUNTIFS(DISPLAY!$F$3:$F$1048576,$I44,DISPLAY!$H$3:$H$1048576,J$28))</f>
        <v/>
      </c>
      <c r="K44" s="92">
        <f>IF(COUNTIFS(DISPLAY!$F$3:$F$1048576,$I44,DISPLAY!$H$3:$H$1048576,K$28)=0,"",COUNTIFS(DISPLAY!$F$3:$F$1048576,$I44,DISPLAY!$H$3:$H$1048576,K$28))</f>
        <v>1</v>
      </c>
      <c r="L44" s="92" t="str">
        <f>IF(COUNTIFS(DISPLAY!$F$3:$F$1048576,$I44,DISPLAY!$H$3:$H$1048576,L$28)=0,"",COUNTIFS(DISPLAY!$F$3:$F$1048576,$I44,DISPLAY!$H$3:$H$1048576,L$28))</f>
        <v/>
      </c>
      <c r="M44" s="92" t="str">
        <f>IF(COUNTIFS(DISPLAY!$F$3:$F$1048576,$I44,DISPLAY!$H$3:$H$1048576,M$28)=0,"",COUNTIFS(DISPLAY!$F$3:$F$1048576,$I44,DISPLAY!$H$3:$H$1048576,M$28))</f>
        <v/>
      </c>
      <c r="P44" s="157" t="str">
        <f>CODEX!$F18</f>
        <v>Office B PGT</v>
      </c>
      <c r="Q44" s="96" t="str">
        <f>IF(COUNTIFS('NETWORK-DEVICES'!$F$3:$F$1048576,$P44,'NETWORK-DEVICES'!$H$3:$H$1048576,Q$28)=0,"",COUNTIFS('NETWORK-DEVICES'!$F$3:$F$1048576,$P44,'NETWORK-DEVICES'!$H$3:$H$1048576,Q$28))</f>
        <v/>
      </c>
      <c r="R44" s="96" t="str">
        <f>IF(COUNTIFS('NETWORK-DEVICES'!$F$3:$F$1048576,$P44,'NETWORK-DEVICES'!$H$3:$H$1048576,R$28)=0,"",COUNTIFS('NETWORK-DEVICES'!$F$3:$F$1048576,$P44,'NETWORK-DEVICES'!$H$3:$H$1048576,R$28))</f>
        <v/>
      </c>
      <c r="S44" s="96" t="str">
        <f>IF(COUNTIFS('NETWORK-DEVICES'!$F$3:$F$1048576,$P44,'NETWORK-DEVICES'!$H$3:$H$1048576,S$28)=0,"",COUNTIFS('NETWORK-DEVICES'!$F$3:$F$1048576,$P44,'NETWORK-DEVICES'!$H$3:$H$1048576,S$28))</f>
        <v/>
      </c>
      <c r="T44" s="96" t="str">
        <f>IF(COUNTIFS('NETWORK-DEVICES'!$F$3:$F$1048576,$P44,'NETWORK-DEVICES'!$H$3:$H$1048576,T$28)=0,"",COUNTIFS('NETWORK-DEVICES'!$F$3:$F$1048576,$P44,'NETWORK-DEVICES'!$H$3:$H$1048576,T$28))</f>
        <v/>
      </c>
      <c r="U44" s="96" t="str">
        <f>IF(COUNTIFS('NETWORK-DEVICES'!$F$3:$F$1048576,$P44,'NETWORK-DEVICES'!$H$3:$H$1048576,U$28)=0,"",COUNTIFS('NETWORK-DEVICES'!$F$3:$F$1048576,$P44,'NETWORK-DEVICES'!$H$3:$H$1048576,U$28))</f>
        <v/>
      </c>
    </row>
    <row r="45" spans="2:21" x14ac:dyDescent="0.25">
      <c r="B45" s="157" t="str">
        <f>CODEX!$F19</f>
        <v>Customs Gate</v>
      </c>
      <c r="C45" s="92" t="str">
        <f>IF(COUNTIFS(COMPUTER!$F$3:$F$1048576,$B45,COMPUTER!$H$3:$H$1048576,C$28)=0,"",COUNTIFS(COMPUTER!$F$3:$F$1048576,$B45,COMPUTER!$H$3:$H$1048576,C$28))</f>
        <v/>
      </c>
      <c r="D45" s="92" t="str">
        <f>IF(COUNTIFS(COMPUTER!$F$3:$F$1048576,$B45,COMPUTER!$H$3:$H$1048576,D$28)=0,"",COUNTIFS(COMPUTER!$F$3:$F$1048576,$B45,COMPUTER!$H$3:$H$1048576,D$28))</f>
        <v/>
      </c>
      <c r="E45" s="92" t="str">
        <f>IF(COUNTIFS(COMPUTER!$F$3:$F$1048576,$B45,COMPUTER!$H$3:$H$1048576,E$28)=0,"",COUNTIFS(COMPUTER!$F$3:$F$1048576,$B45,COMPUTER!$H$3:$H$1048576,E$28))</f>
        <v/>
      </c>
      <c r="F45" s="92" t="str">
        <f>IF(COUNTIFS(COMPUTER!$F$3:$F$1048576,$B45,COMPUTER!$H$3:$H$1048576,F$28)=0,"",COUNTIFS(COMPUTER!$F$3:$F$1048576,$B45,COMPUTER!$H$3:$H$1048576,F$28))</f>
        <v/>
      </c>
      <c r="I45" s="157" t="str">
        <f>CODEX!$F19</f>
        <v>Customs Gate</v>
      </c>
      <c r="J45" s="92" t="str">
        <f>IF(COUNTIFS(DISPLAY!$F$3:$F$1048576,$I45,DISPLAY!$H$3:$H$1048576,J$28)=0,"",COUNTIFS(DISPLAY!$F$3:$F$1048576,$I45,DISPLAY!$H$3:$H$1048576,J$28))</f>
        <v/>
      </c>
      <c r="K45" s="92" t="str">
        <f>IF(COUNTIFS(DISPLAY!$F$3:$F$1048576,$I45,DISPLAY!$H$3:$H$1048576,K$28)=0,"",COUNTIFS(DISPLAY!$F$3:$F$1048576,$I45,DISPLAY!$H$3:$H$1048576,K$28))</f>
        <v/>
      </c>
      <c r="L45" s="92" t="str">
        <f>IF(COUNTIFS(DISPLAY!$F$3:$F$1048576,$I45,DISPLAY!$H$3:$H$1048576,L$28)=0,"",COUNTIFS(DISPLAY!$F$3:$F$1048576,$I45,DISPLAY!$H$3:$H$1048576,L$28))</f>
        <v/>
      </c>
      <c r="M45" s="92" t="str">
        <f>IF(COUNTIFS(DISPLAY!$F$3:$F$1048576,$I45,DISPLAY!$H$3:$H$1048576,M$28)=0,"",COUNTIFS(DISPLAY!$F$3:$F$1048576,$I45,DISPLAY!$H$3:$H$1048576,M$28))</f>
        <v/>
      </c>
      <c r="P45" s="157" t="str">
        <f>CODEX!$F19</f>
        <v>Customs Gate</v>
      </c>
      <c r="Q45" s="96" t="str">
        <f>IF(COUNTIFS('NETWORK-DEVICES'!$F$3:$F$1048576,$P45,'NETWORK-DEVICES'!$H$3:$H$1048576,Q$28)=0,"",COUNTIFS('NETWORK-DEVICES'!$F$3:$F$1048576,$P45,'NETWORK-DEVICES'!$H$3:$H$1048576,Q$28))</f>
        <v/>
      </c>
      <c r="R45" s="96" t="str">
        <f>IF(COUNTIFS('NETWORK-DEVICES'!$F$3:$F$1048576,$P45,'NETWORK-DEVICES'!$H$3:$H$1048576,R$28)=0,"",COUNTIFS('NETWORK-DEVICES'!$F$3:$F$1048576,$P45,'NETWORK-DEVICES'!$H$3:$H$1048576,R$28))</f>
        <v/>
      </c>
      <c r="S45" s="96" t="str">
        <f>IF(COUNTIFS('NETWORK-DEVICES'!$F$3:$F$1048576,$P45,'NETWORK-DEVICES'!$H$3:$H$1048576,S$28)=0,"",COUNTIFS('NETWORK-DEVICES'!$F$3:$F$1048576,$P45,'NETWORK-DEVICES'!$H$3:$H$1048576,S$28))</f>
        <v/>
      </c>
      <c r="T45" s="96" t="str">
        <f>IF(COUNTIFS('NETWORK-DEVICES'!$F$3:$F$1048576,$P45,'NETWORK-DEVICES'!$H$3:$H$1048576,T$28)=0,"",COUNTIFS('NETWORK-DEVICES'!$F$3:$F$1048576,$P45,'NETWORK-DEVICES'!$H$3:$H$1048576,T$28))</f>
        <v/>
      </c>
      <c r="U45" s="96" t="str">
        <f>IF(COUNTIFS('NETWORK-DEVICES'!$F$3:$F$1048576,$P45,'NETWORK-DEVICES'!$H$3:$H$1048576,U$28)=0,"",COUNTIFS('NETWORK-DEVICES'!$F$3:$F$1048576,$P45,'NETWORK-DEVICES'!$H$3:$H$1048576,U$28))</f>
        <v/>
      </c>
    </row>
    <row r="46" spans="2:21" x14ac:dyDescent="0.25">
      <c r="B46" s="157" t="str">
        <f>CODEX!$F20</f>
        <v>Customs Building</v>
      </c>
      <c r="C46" s="92">
        <f>IF(COUNTIFS(COMPUTER!$F$3:$F$1048576,$B46,COMPUTER!$H$3:$H$1048576,C$28)=0,"",COUNTIFS(COMPUTER!$F$3:$F$1048576,$B46,COMPUTER!$H$3:$H$1048576,C$28))</f>
        <v>1</v>
      </c>
      <c r="D46" s="92" t="str">
        <f>IF(COUNTIFS(COMPUTER!$F$3:$F$1048576,$B46,COMPUTER!$H$3:$H$1048576,D$28)=0,"",COUNTIFS(COMPUTER!$F$3:$F$1048576,$B46,COMPUTER!$H$3:$H$1048576,D$28))</f>
        <v/>
      </c>
      <c r="E46" s="92" t="str">
        <f>IF(COUNTIFS(COMPUTER!$F$3:$F$1048576,$B46,COMPUTER!$H$3:$H$1048576,E$28)=0,"",COUNTIFS(COMPUTER!$F$3:$F$1048576,$B46,COMPUTER!$H$3:$H$1048576,E$28))</f>
        <v/>
      </c>
      <c r="F46" s="92" t="str">
        <f>IF(COUNTIFS(COMPUTER!$F$3:$F$1048576,$B46,COMPUTER!$H$3:$H$1048576,F$28)=0,"",COUNTIFS(COMPUTER!$F$3:$F$1048576,$B46,COMPUTER!$H$3:$H$1048576,F$28))</f>
        <v/>
      </c>
      <c r="I46" s="157" t="str">
        <f>CODEX!$F20</f>
        <v>Customs Building</v>
      </c>
      <c r="J46" s="92" t="str">
        <f>IF(COUNTIFS(DISPLAY!$F$3:$F$1048576,$I46,DISPLAY!$H$3:$H$1048576,J$28)=0,"",COUNTIFS(DISPLAY!$F$3:$F$1048576,$I46,DISPLAY!$H$3:$H$1048576,J$28))</f>
        <v/>
      </c>
      <c r="K46" s="92">
        <f>IF(COUNTIFS(DISPLAY!$F$3:$F$1048576,$I46,DISPLAY!$H$3:$H$1048576,K$28)=0,"",COUNTIFS(DISPLAY!$F$3:$F$1048576,$I46,DISPLAY!$H$3:$H$1048576,K$28))</f>
        <v>1</v>
      </c>
      <c r="L46" s="92" t="str">
        <f>IF(COUNTIFS(DISPLAY!$F$3:$F$1048576,$I46,DISPLAY!$H$3:$H$1048576,L$28)=0,"",COUNTIFS(DISPLAY!$F$3:$F$1048576,$I46,DISPLAY!$H$3:$H$1048576,L$28))</f>
        <v/>
      </c>
      <c r="M46" s="92" t="str">
        <f>IF(COUNTIFS(DISPLAY!$F$3:$F$1048576,$I46,DISPLAY!$H$3:$H$1048576,M$28)=0,"",COUNTIFS(DISPLAY!$F$3:$F$1048576,$I46,DISPLAY!$H$3:$H$1048576,M$28))</f>
        <v/>
      </c>
      <c r="P46" s="157" t="str">
        <f>CODEX!$F20</f>
        <v>Customs Building</v>
      </c>
      <c r="Q46" s="96" t="str">
        <f>IF(COUNTIFS('NETWORK-DEVICES'!$F$3:$F$1048576,$P46,'NETWORK-DEVICES'!$H$3:$H$1048576,Q$28)=0,"",COUNTIFS('NETWORK-DEVICES'!$F$3:$F$1048576,$P46,'NETWORK-DEVICES'!$H$3:$H$1048576,Q$28))</f>
        <v/>
      </c>
      <c r="R46" s="96" t="str">
        <f>IF(COUNTIFS('NETWORK-DEVICES'!$F$3:$F$1048576,$P46,'NETWORK-DEVICES'!$H$3:$H$1048576,R$28)=0,"",COUNTIFS('NETWORK-DEVICES'!$F$3:$F$1048576,$P46,'NETWORK-DEVICES'!$H$3:$H$1048576,R$28))</f>
        <v/>
      </c>
      <c r="S46" s="96" t="str">
        <f>IF(COUNTIFS('NETWORK-DEVICES'!$F$3:$F$1048576,$P46,'NETWORK-DEVICES'!$H$3:$H$1048576,S$28)=0,"",COUNTIFS('NETWORK-DEVICES'!$F$3:$F$1048576,$P46,'NETWORK-DEVICES'!$H$3:$H$1048576,S$28))</f>
        <v/>
      </c>
      <c r="T46" s="96" t="str">
        <f>IF(COUNTIFS('NETWORK-DEVICES'!$F$3:$F$1048576,$P46,'NETWORK-DEVICES'!$H$3:$H$1048576,T$28)=0,"",COUNTIFS('NETWORK-DEVICES'!$F$3:$F$1048576,$P46,'NETWORK-DEVICES'!$H$3:$H$1048576,T$28))</f>
        <v/>
      </c>
      <c r="U46" s="96" t="str">
        <f>IF(COUNTIFS('NETWORK-DEVICES'!$F$3:$F$1048576,$P46,'NETWORK-DEVICES'!$H$3:$H$1048576,U$28)=0,"",COUNTIFS('NETWORK-DEVICES'!$F$3:$F$1048576,$P46,'NETWORK-DEVICES'!$H$3:$H$1048576,U$28))</f>
        <v/>
      </c>
    </row>
    <row r="47" spans="2:21" x14ac:dyDescent="0.25">
      <c r="B47" s="157" t="str">
        <f>CODEX!$F21</f>
        <v>KSOP Building</v>
      </c>
      <c r="C47" s="92">
        <f>IF(COUNTIFS(COMPUTER!$F$3:$F$1048576,$B47,COMPUTER!$H$3:$H$1048576,C$28)=0,"",COUNTIFS(COMPUTER!$F$3:$F$1048576,$B47,COMPUTER!$H$3:$H$1048576,C$28))</f>
        <v>1</v>
      </c>
      <c r="D47" s="92" t="str">
        <f>IF(COUNTIFS(COMPUTER!$F$3:$F$1048576,$B47,COMPUTER!$H$3:$H$1048576,D$28)=0,"",COUNTIFS(COMPUTER!$F$3:$F$1048576,$B47,COMPUTER!$H$3:$H$1048576,D$28))</f>
        <v/>
      </c>
      <c r="E47" s="92" t="str">
        <f>IF(COUNTIFS(COMPUTER!$F$3:$F$1048576,$B47,COMPUTER!$H$3:$H$1048576,E$28)=0,"",COUNTIFS(COMPUTER!$F$3:$F$1048576,$B47,COMPUTER!$H$3:$H$1048576,E$28))</f>
        <v/>
      </c>
      <c r="F47" s="92" t="str">
        <f>IF(COUNTIFS(COMPUTER!$F$3:$F$1048576,$B47,COMPUTER!$H$3:$H$1048576,F$28)=0,"",COUNTIFS(COMPUTER!$F$3:$F$1048576,$B47,COMPUTER!$H$3:$H$1048576,F$28))</f>
        <v/>
      </c>
      <c r="I47" s="157" t="str">
        <f>CODEX!$F21</f>
        <v>KSOP Building</v>
      </c>
      <c r="J47" s="92" t="str">
        <f>IF(COUNTIFS(DISPLAY!$F$3:$F$1048576,$I47,DISPLAY!$H$3:$H$1048576,J$28)=0,"",COUNTIFS(DISPLAY!$F$3:$F$1048576,$I47,DISPLAY!$H$3:$H$1048576,J$28))</f>
        <v/>
      </c>
      <c r="K47" s="92">
        <f>IF(COUNTIFS(DISPLAY!$F$3:$F$1048576,$I47,DISPLAY!$H$3:$H$1048576,K$28)=0,"",COUNTIFS(DISPLAY!$F$3:$F$1048576,$I47,DISPLAY!$H$3:$H$1048576,K$28))</f>
        <v>1</v>
      </c>
      <c r="L47" s="92" t="str">
        <f>IF(COUNTIFS(DISPLAY!$F$3:$F$1048576,$I47,DISPLAY!$H$3:$H$1048576,L$28)=0,"",COUNTIFS(DISPLAY!$F$3:$F$1048576,$I47,DISPLAY!$H$3:$H$1048576,L$28))</f>
        <v/>
      </c>
      <c r="M47" s="92" t="str">
        <f>IF(COUNTIFS(DISPLAY!$F$3:$F$1048576,$I47,DISPLAY!$H$3:$H$1048576,M$28)=0,"",COUNTIFS(DISPLAY!$F$3:$F$1048576,$I47,DISPLAY!$H$3:$H$1048576,M$28))</f>
        <v/>
      </c>
      <c r="P47" s="157" t="str">
        <f>CODEX!$F21</f>
        <v>KSOP Building</v>
      </c>
      <c r="Q47" s="96" t="str">
        <f>IF(COUNTIFS('NETWORK-DEVICES'!$F$3:$F$1048576,$P47,'NETWORK-DEVICES'!$H$3:$H$1048576,Q$28)=0,"",COUNTIFS('NETWORK-DEVICES'!$F$3:$F$1048576,$P47,'NETWORK-DEVICES'!$H$3:$H$1048576,Q$28))</f>
        <v/>
      </c>
      <c r="R47" s="96" t="str">
        <f>IF(COUNTIFS('NETWORK-DEVICES'!$F$3:$F$1048576,$P47,'NETWORK-DEVICES'!$H$3:$H$1048576,R$28)=0,"",COUNTIFS('NETWORK-DEVICES'!$F$3:$F$1048576,$P47,'NETWORK-DEVICES'!$H$3:$H$1048576,R$28))</f>
        <v/>
      </c>
      <c r="S47" s="96" t="str">
        <f>IF(COUNTIFS('NETWORK-DEVICES'!$F$3:$F$1048576,$P47,'NETWORK-DEVICES'!$H$3:$H$1048576,S$28)=0,"",COUNTIFS('NETWORK-DEVICES'!$F$3:$F$1048576,$P47,'NETWORK-DEVICES'!$H$3:$H$1048576,S$28))</f>
        <v/>
      </c>
      <c r="T47" s="96" t="str">
        <f>IF(COUNTIFS('NETWORK-DEVICES'!$F$3:$F$1048576,$P47,'NETWORK-DEVICES'!$H$3:$H$1048576,T$28)=0,"",COUNTIFS('NETWORK-DEVICES'!$F$3:$F$1048576,$P47,'NETWORK-DEVICES'!$H$3:$H$1048576,T$28))</f>
        <v/>
      </c>
      <c r="U47" s="96" t="str">
        <f>IF(COUNTIFS('NETWORK-DEVICES'!$F$3:$F$1048576,$P47,'NETWORK-DEVICES'!$H$3:$H$1048576,U$28)=0,"",COUNTIFS('NETWORK-DEVICES'!$F$3:$F$1048576,$P47,'NETWORK-DEVICES'!$H$3:$H$1048576,U$28))</f>
        <v/>
      </c>
    </row>
    <row r="48" spans="2:21" x14ac:dyDescent="0.25">
      <c r="B48" s="157" t="str">
        <f>CODEX!$F22</f>
        <v>AGL Office</v>
      </c>
      <c r="C48" s="92" t="str">
        <f>IF(COUNTIFS(COMPUTER!$F$3:$F$1048576,$B48,COMPUTER!$H$3:$H$1048576,C$28)=0,"",COUNTIFS(COMPUTER!$F$3:$F$1048576,$B48,COMPUTER!$H$3:$H$1048576,C$28))</f>
        <v/>
      </c>
      <c r="D48" s="92">
        <f>IF(COUNTIFS(COMPUTER!$F$3:$F$1048576,$B48,COMPUTER!$H$3:$H$1048576,D$28)=0,"",COUNTIFS(COMPUTER!$F$3:$F$1048576,$B48,COMPUTER!$H$3:$H$1048576,D$28))</f>
        <v>1</v>
      </c>
      <c r="E48" s="92" t="str">
        <f>IF(COUNTIFS(COMPUTER!$F$3:$F$1048576,$B48,COMPUTER!$H$3:$H$1048576,E$28)=0,"",COUNTIFS(COMPUTER!$F$3:$F$1048576,$B48,COMPUTER!$H$3:$H$1048576,E$28))</f>
        <v/>
      </c>
      <c r="F48" s="92" t="str">
        <f>IF(COUNTIFS(COMPUTER!$F$3:$F$1048576,$B48,COMPUTER!$H$3:$H$1048576,F$28)=0,"",COUNTIFS(COMPUTER!$F$3:$F$1048576,$B48,COMPUTER!$H$3:$H$1048576,F$28))</f>
        <v/>
      </c>
      <c r="I48" s="157" t="str">
        <f>CODEX!$F22</f>
        <v>AGL Office</v>
      </c>
      <c r="J48" s="92" t="str">
        <f>IF(COUNTIFS(DISPLAY!$F$3:$F$1048576,$I48,DISPLAY!$H$3:$H$1048576,J$28)=0,"",COUNTIFS(DISPLAY!$F$3:$F$1048576,$I48,DISPLAY!$H$3:$H$1048576,J$28))</f>
        <v/>
      </c>
      <c r="K48" s="92" t="str">
        <f>IF(COUNTIFS(DISPLAY!$F$3:$F$1048576,$I48,DISPLAY!$H$3:$H$1048576,K$28)=0,"",COUNTIFS(DISPLAY!$F$3:$F$1048576,$I48,DISPLAY!$H$3:$H$1048576,K$28))</f>
        <v/>
      </c>
      <c r="L48" s="92" t="str">
        <f>IF(COUNTIFS(DISPLAY!$F$3:$F$1048576,$I48,DISPLAY!$H$3:$H$1048576,L$28)=0,"",COUNTIFS(DISPLAY!$F$3:$F$1048576,$I48,DISPLAY!$H$3:$H$1048576,L$28))</f>
        <v/>
      </c>
      <c r="M48" s="92" t="str">
        <f>IF(COUNTIFS(DISPLAY!$F$3:$F$1048576,$I48,DISPLAY!$H$3:$H$1048576,M$28)=0,"",COUNTIFS(DISPLAY!$F$3:$F$1048576,$I48,DISPLAY!$H$3:$H$1048576,M$28))</f>
        <v/>
      </c>
      <c r="P48" s="157" t="str">
        <f>CODEX!$F22</f>
        <v>AGL Office</v>
      </c>
      <c r="Q48" s="96" t="str">
        <f>IF(COUNTIFS('NETWORK-DEVICES'!$F$3:$F$1048576,$P48,'NETWORK-DEVICES'!$H$3:$H$1048576,Q$28)=0,"",COUNTIFS('NETWORK-DEVICES'!$F$3:$F$1048576,$P48,'NETWORK-DEVICES'!$H$3:$H$1048576,Q$28))</f>
        <v/>
      </c>
      <c r="R48" s="96" t="str">
        <f>IF(COUNTIFS('NETWORK-DEVICES'!$F$3:$F$1048576,$P48,'NETWORK-DEVICES'!$H$3:$H$1048576,R$28)=0,"",COUNTIFS('NETWORK-DEVICES'!$F$3:$F$1048576,$P48,'NETWORK-DEVICES'!$H$3:$H$1048576,R$28))</f>
        <v/>
      </c>
      <c r="S48" s="96" t="str">
        <f>IF(COUNTIFS('NETWORK-DEVICES'!$F$3:$F$1048576,$P48,'NETWORK-DEVICES'!$H$3:$H$1048576,S$28)=0,"",COUNTIFS('NETWORK-DEVICES'!$F$3:$F$1048576,$P48,'NETWORK-DEVICES'!$H$3:$H$1048576,S$28))</f>
        <v/>
      </c>
      <c r="T48" s="96" t="str">
        <f>IF(COUNTIFS('NETWORK-DEVICES'!$F$3:$F$1048576,$P48,'NETWORK-DEVICES'!$H$3:$H$1048576,T$28)=0,"",COUNTIFS('NETWORK-DEVICES'!$F$3:$F$1048576,$P48,'NETWORK-DEVICES'!$H$3:$H$1048576,T$28))</f>
        <v/>
      </c>
      <c r="U48" s="96" t="str">
        <f>IF(COUNTIFS('NETWORK-DEVICES'!$F$3:$F$1048576,$P48,'NETWORK-DEVICES'!$H$3:$H$1048576,U$28)=0,"",COUNTIFS('NETWORK-DEVICES'!$F$3:$F$1048576,$P48,'NETWORK-DEVICES'!$H$3:$H$1048576,U$28))</f>
        <v/>
      </c>
    </row>
    <row r="49" spans="2:21" x14ac:dyDescent="0.25">
      <c r="B49" s="157" t="str">
        <f>CODEX!$F23</f>
        <v>Customs Gate-In</v>
      </c>
      <c r="C49" s="92">
        <f>IF(COUNTIFS(COMPUTER!$F$3:$F$1048576,$B49,COMPUTER!$H$3:$H$1048576,C$28)=0,"",COUNTIFS(COMPUTER!$F$3:$F$1048576,$B49,COMPUTER!$H$3:$H$1048576,C$28))</f>
        <v>2</v>
      </c>
      <c r="D49" s="92" t="str">
        <f>IF(COUNTIFS(COMPUTER!$F$3:$F$1048576,$B49,COMPUTER!$H$3:$H$1048576,D$28)=0,"",COUNTIFS(COMPUTER!$F$3:$F$1048576,$B49,COMPUTER!$H$3:$H$1048576,D$28))</f>
        <v/>
      </c>
      <c r="E49" s="92" t="str">
        <f>IF(COUNTIFS(COMPUTER!$F$3:$F$1048576,$B49,COMPUTER!$H$3:$H$1048576,E$28)=0,"",COUNTIFS(COMPUTER!$F$3:$F$1048576,$B49,COMPUTER!$H$3:$H$1048576,E$28))</f>
        <v/>
      </c>
      <c r="F49" s="92" t="str">
        <f>IF(COUNTIFS(COMPUTER!$F$3:$F$1048576,$B49,COMPUTER!$H$3:$H$1048576,F$28)=0,"",COUNTIFS(COMPUTER!$F$3:$F$1048576,$B49,COMPUTER!$H$3:$H$1048576,F$28))</f>
        <v/>
      </c>
      <c r="I49" s="157" t="str">
        <f>CODEX!$F23</f>
        <v>Customs Gate-In</v>
      </c>
      <c r="J49" s="92">
        <f>IF(COUNTIFS(DISPLAY!$F$3:$F$1048576,$I49,DISPLAY!$H$3:$H$1048576,J$28)=0,"",COUNTIFS(DISPLAY!$F$3:$F$1048576,$I49,DISPLAY!$H$3:$H$1048576,J$28))</f>
        <v>1</v>
      </c>
      <c r="K49" s="92" t="str">
        <f>IF(COUNTIFS(DISPLAY!$F$3:$F$1048576,$I49,DISPLAY!$H$3:$H$1048576,K$28)=0,"",COUNTIFS(DISPLAY!$F$3:$F$1048576,$I49,DISPLAY!$H$3:$H$1048576,K$28))</f>
        <v/>
      </c>
      <c r="L49" s="92" t="str">
        <f>IF(COUNTIFS(DISPLAY!$F$3:$F$1048576,$I49,DISPLAY!$H$3:$H$1048576,L$28)=0,"",COUNTIFS(DISPLAY!$F$3:$F$1048576,$I49,DISPLAY!$H$3:$H$1048576,L$28))</f>
        <v/>
      </c>
      <c r="M49" s="92" t="str">
        <f>IF(COUNTIFS(DISPLAY!$F$3:$F$1048576,$I49,DISPLAY!$H$3:$H$1048576,M$28)=0,"",COUNTIFS(DISPLAY!$F$3:$F$1048576,$I49,DISPLAY!$H$3:$H$1048576,M$28))</f>
        <v/>
      </c>
      <c r="P49" s="157" t="str">
        <f>CODEX!$F23</f>
        <v>Customs Gate-In</v>
      </c>
      <c r="Q49" s="96" t="str">
        <f>IF(COUNTIFS('NETWORK-DEVICES'!$F$3:$F$1048576,$P49,'NETWORK-DEVICES'!$H$3:$H$1048576,Q$28)=0,"",COUNTIFS('NETWORK-DEVICES'!$F$3:$F$1048576,$P49,'NETWORK-DEVICES'!$H$3:$H$1048576,Q$28))</f>
        <v/>
      </c>
      <c r="R49" s="96" t="str">
        <f>IF(COUNTIFS('NETWORK-DEVICES'!$F$3:$F$1048576,$P49,'NETWORK-DEVICES'!$H$3:$H$1048576,R$28)=0,"",COUNTIFS('NETWORK-DEVICES'!$F$3:$F$1048576,$P49,'NETWORK-DEVICES'!$H$3:$H$1048576,R$28))</f>
        <v/>
      </c>
      <c r="S49" s="96" t="str">
        <f>IF(COUNTIFS('NETWORK-DEVICES'!$F$3:$F$1048576,$P49,'NETWORK-DEVICES'!$H$3:$H$1048576,S$28)=0,"",COUNTIFS('NETWORK-DEVICES'!$F$3:$F$1048576,$P49,'NETWORK-DEVICES'!$H$3:$H$1048576,S$28))</f>
        <v/>
      </c>
      <c r="T49" s="96" t="str">
        <f>IF(COUNTIFS('NETWORK-DEVICES'!$F$3:$F$1048576,$P49,'NETWORK-DEVICES'!$H$3:$H$1048576,T$28)=0,"",COUNTIFS('NETWORK-DEVICES'!$F$3:$F$1048576,$P49,'NETWORK-DEVICES'!$H$3:$H$1048576,T$28))</f>
        <v/>
      </c>
      <c r="U49" s="96" t="str">
        <f>IF(COUNTIFS('NETWORK-DEVICES'!$F$3:$F$1048576,$P49,'NETWORK-DEVICES'!$H$3:$H$1048576,U$28)=0,"",COUNTIFS('NETWORK-DEVICES'!$F$3:$F$1048576,$P49,'NETWORK-DEVICES'!$H$3:$H$1048576,U$28))</f>
        <v/>
      </c>
    </row>
    <row r="50" spans="2:21" x14ac:dyDescent="0.25">
      <c r="B50" s="157" t="str">
        <f>CODEX!$F24</f>
        <v>Customs Gate-Out</v>
      </c>
      <c r="C50" s="92">
        <f>IF(COUNTIFS(COMPUTER!$F$3:$F$1048576,$B50,COMPUTER!$H$3:$H$1048576,C$28)=0,"",COUNTIFS(COMPUTER!$F$3:$F$1048576,$B50,COMPUTER!$H$3:$H$1048576,C$28))</f>
        <v>1</v>
      </c>
      <c r="D50" s="92" t="str">
        <f>IF(COUNTIFS(COMPUTER!$F$3:$F$1048576,$B50,COMPUTER!$H$3:$H$1048576,D$28)=0,"",COUNTIFS(COMPUTER!$F$3:$F$1048576,$B50,COMPUTER!$H$3:$H$1048576,D$28))</f>
        <v/>
      </c>
      <c r="E50" s="92" t="str">
        <f>IF(COUNTIFS(COMPUTER!$F$3:$F$1048576,$B50,COMPUTER!$H$3:$H$1048576,E$28)=0,"",COUNTIFS(COMPUTER!$F$3:$F$1048576,$B50,COMPUTER!$H$3:$H$1048576,E$28))</f>
        <v/>
      </c>
      <c r="F50" s="92" t="str">
        <f>IF(COUNTIFS(COMPUTER!$F$3:$F$1048576,$B50,COMPUTER!$H$3:$H$1048576,F$28)=0,"",COUNTIFS(COMPUTER!$F$3:$F$1048576,$B50,COMPUTER!$H$3:$H$1048576,F$28))</f>
        <v/>
      </c>
      <c r="I50" s="157" t="str">
        <f>CODEX!$F24</f>
        <v>Customs Gate-Out</v>
      </c>
      <c r="J50" s="92">
        <f>IF(COUNTIFS(DISPLAY!$F$3:$F$1048576,$I50,DISPLAY!$H$3:$H$1048576,J$28)=0,"",COUNTIFS(DISPLAY!$F$3:$F$1048576,$I50,DISPLAY!$H$3:$H$1048576,J$28))</f>
        <v>1</v>
      </c>
      <c r="K50" s="92" t="str">
        <f>IF(COUNTIFS(DISPLAY!$F$3:$F$1048576,$I50,DISPLAY!$H$3:$H$1048576,K$28)=0,"",COUNTIFS(DISPLAY!$F$3:$F$1048576,$I50,DISPLAY!$H$3:$H$1048576,K$28))</f>
        <v/>
      </c>
      <c r="L50" s="92" t="str">
        <f>IF(COUNTIFS(DISPLAY!$F$3:$F$1048576,$I50,DISPLAY!$H$3:$H$1048576,L$28)=0,"",COUNTIFS(DISPLAY!$F$3:$F$1048576,$I50,DISPLAY!$H$3:$H$1048576,L$28))</f>
        <v/>
      </c>
      <c r="M50" s="92" t="str">
        <f>IF(COUNTIFS(DISPLAY!$F$3:$F$1048576,$I50,DISPLAY!$H$3:$H$1048576,M$28)=0,"",COUNTIFS(DISPLAY!$F$3:$F$1048576,$I50,DISPLAY!$H$3:$H$1048576,M$28))</f>
        <v/>
      </c>
      <c r="P50" s="157" t="str">
        <f>CODEX!$F24</f>
        <v>Customs Gate-Out</v>
      </c>
      <c r="Q50" s="96" t="str">
        <f>IF(COUNTIFS('NETWORK-DEVICES'!$F$3:$F$1048576,$P50,'NETWORK-DEVICES'!$H$3:$H$1048576,Q$28)=0,"",COUNTIFS('NETWORK-DEVICES'!$F$3:$F$1048576,$P50,'NETWORK-DEVICES'!$H$3:$H$1048576,Q$28))</f>
        <v/>
      </c>
      <c r="R50" s="96" t="str">
        <f>IF(COUNTIFS('NETWORK-DEVICES'!$F$3:$F$1048576,$P50,'NETWORK-DEVICES'!$H$3:$H$1048576,R$28)=0,"",COUNTIFS('NETWORK-DEVICES'!$F$3:$F$1048576,$P50,'NETWORK-DEVICES'!$H$3:$H$1048576,R$28))</f>
        <v/>
      </c>
      <c r="S50" s="96" t="str">
        <f>IF(COUNTIFS('NETWORK-DEVICES'!$F$3:$F$1048576,$P50,'NETWORK-DEVICES'!$H$3:$H$1048576,S$28)=0,"",COUNTIFS('NETWORK-DEVICES'!$F$3:$F$1048576,$P50,'NETWORK-DEVICES'!$H$3:$H$1048576,S$28))</f>
        <v/>
      </c>
      <c r="T50" s="96" t="str">
        <f>IF(COUNTIFS('NETWORK-DEVICES'!$F$3:$F$1048576,$P50,'NETWORK-DEVICES'!$H$3:$H$1048576,T$28)=0,"",COUNTIFS('NETWORK-DEVICES'!$F$3:$F$1048576,$P50,'NETWORK-DEVICES'!$H$3:$H$1048576,T$28))</f>
        <v/>
      </c>
      <c r="U50" s="96" t="str">
        <f>IF(COUNTIFS('NETWORK-DEVICES'!$F$3:$F$1048576,$P50,'NETWORK-DEVICES'!$H$3:$H$1048576,U$28)=0,"",COUNTIFS('NETWORK-DEVICES'!$F$3:$F$1048576,$P50,'NETWORK-DEVICES'!$H$3:$H$1048576,U$28))</f>
        <v/>
      </c>
    </row>
    <row r="51" spans="2:21" x14ac:dyDescent="0.25">
      <c r="B51" s="157" t="str">
        <f>CODEX!$F25</f>
        <v>Gate IN Area</v>
      </c>
      <c r="C51" s="92" t="str">
        <f>IF(COUNTIFS(COMPUTER!$F$3:$F$1048576,$B51,COMPUTER!$H$3:$H$1048576,C$28)=0,"",COUNTIFS(COMPUTER!$F$3:$F$1048576,$B51,COMPUTER!$H$3:$H$1048576,C$28))</f>
        <v/>
      </c>
      <c r="D51" s="92" t="str">
        <f>IF(COUNTIFS(COMPUTER!$F$3:$F$1048576,$B51,COMPUTER!$H$3:$H$1048576,D$28)=0,"",COUNTIFS(COMPUTER!$F$3:$F$1048576,$B51,COMPUTER!$H$3:$H$1048576,D$28))</f>
        <v/>
      </c>
      <c r="E51" s="92" t="str">
        <f>IF(COUNTIFS(COMPUTER!$F$3:$F$1048576,$B51,COMPUTER!$H$3:$H$1048576,E$28)=0,"",COUNTIFS(COMPUTER!$F$3:$F$1048576,$B51,COMPUTER!$H$3:$H$1048576,E$28))</f>
        <v/>
      </c>
      <c r="F51" s="92" t="str">
        <f>IF(COUNTIFS(COMPUTER!$F$3:$F$1048576,$B51,COMPUTER!$H$3:$H$1048576,F$28)=0,"",COUNTIFS(COMPUTER!$F$3:$F$1048576,$B51,COMPUTER!$H$3:$H$1048576,F$28))</f>
        <v/>
      </c>
      <c r="I51" s="157" t="str">
        <f>CODEX!$F25</f>
        <v>Gate IN Area</v>
      </c>
      <c r="J51" s="92" t="str">
        <f>IF(COUNTIFS(DISPLAY!$F$3:$F$1048576,$I51,DISPLAY!$H$3:$H$1048576,J$28)=0,"",COUNTIFS(DISPLAY!$F$3:$F$1048576,$I51,DISPLAY!$H$3:$H$1048576,J$28))</f>
        <v/>
      </c>
      <c r="K51" s="92" t="str">
        <f>IF(COUNTIFS(DISPLAY!$F$3:$F$1048576,$I51,DISPLAY!$H$3:$H$1048576,K$28)=0,"",COUNTIFS(DISPLAY!$F$3:$F$1048576,$I51,DISPLAY!$H$3:$H$1048576,K$28))</f>
        <v/>
      </c>
      <c r="L51" s="92" t="str">
        <f>IF(COUNTIFS(DISPLAY!$F$3:$F$1048576,$I51,DISPLAY!$H$3:$H$1048576,L$28)=0,"",COUNTIFS(DISPLAY!$F$3:$F$1048576,$I51,DISPLAY!$H$3:$H$1048576,L$28))</f>
        <v/>
      </c>
      <c r="M51" s="92" t="str">
        <f>IF(COUNTIFS(DISPLAY!$F$3:$F$1048576,$I51,DISPLAY!$H$3:$H$1048576,M$28)=0,"",COUNTIFS(DISPLAY!$F$3:$F$1048576,$I51,DISPLAY!$H$3:$H$1048576,M$28))</f>
        <v/>
      </c>
      <c r="P51" s="157" t="str">
        <f>CODEX!$F25</f>
        <v>Gate IN Area</v>
      </c>
      <c r="Q51" s="96" t="str">
        <f>IF(COUNTIFS('NETWORK-DEVICES'!$F$3:$F$1048576,$P51,'NETWORK-DEVICES'!$H$3:$H$1048576,Q$28)=0,"",COUNTIFS('NETWORK-DEVICES'!$F$3:$F$1048576,$P51,'NETWORK-DEVICES'!$H$3:$H$1048576,Q$28))</f>
        <v/>
      </c>
      <c r="R51" s="96" t="str">
        <f>IF(COUNTIFS('NETWORK-DEVICES'!$F$3:$F$1048576,$P51,'NETWORK-DEVICES'!$H$3:$H$1048576,R$28)=0,"",COUNTIFS('NETWORK-DEVICES'!$F$3:$F$1048576,$P51,'NETWORK-DEVICES'!$H$3:$H$1048576,R$28))</f>
        <v/>
      </c>
      <c r="S51" s="96" t="str">
        <f>IF(COUNTIFS('NETWORK-DEVICES'!$F$3:$F$1048576,$P51,'NETWORK-DEVICES'!$H$3:$H$1048576,S$28)=0,"",COUNTIFS('NETWORK-DEVICES'!$F$3:$F$1048576,$P51,'NETWORK-DEVICES'!$H$3:$H$1048576,S$28))</f>
        <v/>
      </c>
      <c r="T51" s="96" t="str">
        <f>IF(COUNTIFS('NETWORK-DEVICES'!$F$3:$F$1048576,$P51,'NETWORK-DEVICES'!$H$3:$H$1048576,T$28)=0,"",COUNTIFS('NETWORK-DEVICES'!$F$3:$F$1048576,$P51,'NETWORK-DEVICES'!$H$3:$H$1048576,T$28))</f>
        <v/>
      </c>
      <c r="U51" s="96">
        <f>IF(COUNTIFS('NETWORK-DEVICES'!$F$3:$F$1048576,$P51,'NETWORK-DEVICES'!$H$3:$H$1048576,U$28)=0,"",COUNTIFS('NETWORK-DEVICES'!$F$3:$F$1048576,$P51,'NETWORK-DEVICES'!$H$3:$H$1048576,U$28))</f>
        <v>3</v>
      </c>
    </row>
    <row r="52" spans="2:21" x14ac:dyDescent="0.25">
      <c r="B52" s="157" t="str">
        <f>CODEX!$F26</f>
        <v>Gate OUT Area</v>
      </c>
      <c r="C52" s="92" t="str">
        <f>IF(COUNTIFS(COMPUTER!$F$3:$F$1048576,$B52,COMPUTER!$H$3:$H$1048576,C$28)=0,"",COUNTIFS(COMPUTER!$F$3:$F$1048576,$B52,COMPUTER!$H$3:$H$1048576,C$28))</f>
        <v/>
      </c>
      <c r="D52" s="92" t="str">
        <f>IF(COUNTIFS(COMPUTER!$F$3:$F$1048576,$B52,COMPUTER!$H$3:$H$1048576,D$28)=0,"",COUNTIFS(COMPUTER!$F$3:$F$1048576,$B52,COMPUTER!$H$3:$H$1048576,D$28))</f>
        <v/>
      </c>
      <c r="E52" s="92" t="str">
        <f>IF(COUNTIFS(COMPUTER!$F$3:$F$1048576,$B52,COMPUTER!$H$3:$H$1048576,E$28)=0,"",COUNTIFS(COMPUTER!$F$3:$F$1048576,$B52,COMPUTER!$H$3:$H$1048576,E$28))</f>
        <v/>
      </c>
      <c r="F52" s="92" t="str">
        <f>IF(COUNTIFS(COMPUTER!$F$3:$F$1048576,$B52,COMPUTER!$H$3:$H$1048576,F$28)=0,"",COUNTIFS(COMPUTER!$F$3:$F$1048576,$B52,COMPUTER!$H$3:$H$1048576,F$28))</f>
        <v/>
      </c>
      <c r="I52" s="157" t="str">
        <f>CODEX!$F26</f>
        <v>Gate OUT Area</v>
      </c>
      <c r="J52" s="92" t="str">
        <f>IF(COUNTIFS(DISPLAY!$F$3:$F$1048576,$I52,DISPLAY!$H$3:$H$1048576,J$28)=0,"",COUNTIFS(DISPLAY!$F$3:$F$1048576,$I52,DISPLAY!$H$3:$H$1048576,J$28))</f>
        <v/>
      </c>
      <c r="K52" s="92" t="str">
        <f>IF(COUNTIFS(DISPLAY!$F$3:$F$1048576,$I52,DISPLAY!$H$3:$H$1048576,K$28)=0,"",COUNTIFS(DISPLAY!$F$3:$F$1048576,$I52,DISPLAY!$H$3:$H$1048576,K$28))</f>
        <v/>
      </c>
      <c r="L52" s="92" t="str">
        <f>IF(COUNTIFS(DISPLAY!$F$3:$F$1048576,$I52,DISPLAY!$H$3:$H$1048576,L$28)=0,"",COUNTIFS(DISPLAY!$F$3:$F$1048576,$I52,DISPLAY!$H$3:$H$1048576,L$28))</f>
        <v/>
      </c>
      <c r="M52" s="92" t="str">
        <f>IF(COUNTIFS(DISPLAY!$F$3:$F$1048576,$I52,DISPLAY!$H$3:$H$1048576,M$28)=0,"",COUNTIFS(DISPLAY!$F$3:$F$1048576,$I52,DISPLAY!$H$3:$H$1048576,M$28))</f>
        <v/>
      </c>
      <c r="P52" s="157" t="str">
        <f>CODEX!$F26</f>
        <v>Gate OUT Area</v>
      </c>
      <c r="Q52" s="96" t="str">
        <f>IF(COUNTIFS('NETWORK-DEVICES'!$F$3:$F$1048576,$P52,'NETWORK-DEVICES'!$H$3:$H$1048576,Q$28)=0,"",COUNTIFS('NETWORK-DEVICES'!$F$3:$F$1048576,$P52,'NETWORK-DEVICES'!$H$3:$H$1048576,Q$28))</f>
        <v/>
      </c>
      <c r="R52" s="96" t="str">
        <f>IF(COUNTIFS('NETWORK-DEVICES'!$F$3:$F$1048576,$P52,'NETWORK-DEVICES'!$H$3:$H$1048576,R$28)=0,"",COUNTIFS('NETWORK-DEVICES'!$F$3:$F$1048576,$P52,'NETWORK-DEVICES'!$H$3:$H$1048576,R$28))</f>
        <v/>
      </c>
      <c r="S52" s="96" t="str">
        <f>IF(COUNTIFS('NETWORK-DEVICES'!$F$3:$F$1048576,$P52,'NETWORK-DEVICES'!$H$3:$H$1048576,S$28)=0,"",COUNTIFS('NETWORK-DEVICES'!$F$3:$F$1048576,$P52,'NETWORK-DEVICES'!$H$3:$H$1048576,S$28))</f>
        <v/>
      </c>
      <c r="T52" s="96" t="str">
        <f>IF(COUNTIFS('NETWORK-DEVICES'!$F$3:$F$1048576,$P52,'NETWORK-DEVICES'!$H$3:$H$1048576,T$28)=0,"",COUNTIFS('NETWORK-DEVICES'!$F$3:$F$1048576,$P52,'NETWORK-DEVICES'!$H$3:$H$1048576,T$28))</f>
        <v/>
      </c>
      <c r="U52" s="96">
        <f>IF(COUNTIFS('NETWORK-DEVICES'!$F$3:$F$1048576,$P52,'NETWORK-DEVICES'!$H$3:$H$1048576,U$28)=0,"",COUNTIFS('NETWORK-DEVICES'!$F$3:$F$1048576,$P52,'NETWORK-DEVICES'!$H$3:$H$1048576,U$28))</f>
        <v>3</v>
      </c>
    </row>
    <row r="53" spans="2:21" x14ac:dyDescent="0.25">
      <c r="B53" s="157" t="str">
        <f>CODEX!$F27</f>
        <v>Senayan Office</v>
      </c>
      <c r="C53" s="92" t="str">
        <f>IF(COUNTIFS(COMPUTER!$F$3:$F$1048576,$B53,COMPUTER!$H$3:$H$1048576,C$28)=0,"",COUNTIFS(COMPUTER!$F$3:$F$1048576,$B53,COMPUTER!$H$3:$H$1048576,C$28))</f>
        <v/>
      </c>
      <c r="D53" s="92">
        <f>IF(COUNTIFS(COMPUTER!$F$3:$F$1048576,$B53,COMPUTER!$H$3:$H$1048576,D$28)=0,"",COUNTIFS(COMPUTER!$F$3:$F$1048576,$B53,COMPUTER!$H$3:$H$1048576,D$28))</f>
        <v>3</v>
      </c>
      <c r="E53" s="92" t="str">
        <f>IF(COUNTIFS(COMPUTER!$F$3:$F$1048576,$B53,COMPUTER!$H$3:$H$1048576,E$28)=0,"",COUNTIFS(COMPUTER!$F$3:$F$1048576,$B53,COMPUTER!$H$3:$H$1048576,E$28))</f>
        <v/>
      </c>
      <c r="F53" s="92" t="str">
        <f>IF(COUNTIFS(COMPUTER!$F$3:$F$1048576,$B53,COMPUTER!$H$3:$H$1048576,F$28)=0,"",COUNTIFS(COMPUTER!$F$3:$F$1048576,$B53,COMPUTER!$H$3:$H$1048576,F$28))</f>
        <v/>
      </c>
      <c r="I53" s="157" t="str">
        <f>CODEX!$F27</f>
        <v>Senayan Office</v>
      </c>
      <c r="J53" s="92" t="str">
        <f>IF(COUNTIFS(DISPLAY!$F$3:$F$1048576,$I53,DISPLAY!$H$3:$H$1048576,J$28)=0,"",COUNTIFS(DISPLAY!$F$3:$F$1048576,$I53,DISPLAY!$H$3:$H$1048576,J$28))</f>
        <v/>
      </c>
      <c r="K53" s="92" t="str">
        <f>IF(COUNTIFS(DISPLAY!$F$3:$F$1048576,$I53,DISPLAY!$H$3:$H$1048576,K$28)=0,"",COUNTIFS(DISPLAY!$F$3:$F$1048576,$I53,DISPLAY!$H$3:$H$1048576,K$28))</f>
        <v/>
      </c>
      <c r="L53" s="92" t="str">
        <f>IF(COUNTIFS(DISPLAY!$F$3:$F$1048576,$I53,DISPLAY!$H$3:$H$1048576,L$28)=0,"",COUNTIFS(DISPLAY!$F$3:$F$1048576,$I53,DISPLAY!$H$3:$H$1048576,L$28))</f>
        <v/>
      </c>
      <c r="M53" s="92" t="str">
        <f>IF(COUNTIFS(DISPLAY!$F$3:$F$1048576,$I53,DISPLAY!$H$3:$H$1048576,M$28)=0,"",COUNTIFS(DISPLAY!$F$3:$F$1048576,$I53,DISPLAY!$H$3:$H$1048576,M$28))</f>
        <v/>
      </c>
      <c r="P53" s="157" t="str">
        <f>CODEX!$F27</f>
        <v>Senayan Office</v>
      </c>
      <c r="Q53" s="96" t="str">
        <f>IF(COUNTIFS('NETWORK-DEVICES'!$F$3:$F$1048576,$P53,'NETWORK-DEVICES'!$H$3:$H$1048576,Q$28)=0,"",COUNTIFS('NETWORK-DEVICES'!$F$3:$F$1048576,$P53,'NETWORK-DEVICES'!$H$3:$H$1048576,Q$28))</f>
        <v/>
      </c>
      <c r="R53" s="96" t="str">
        <f>IF(COUNTIFS('NETWORK-DEVICES'!$F$3:$F$1048576,$P53,'NETWORK-DEVICES'!$H$3:$H$1048576,R$28)=0,"",COUNTIFS('NETWORK-DEVICES'!$F$3:$F$1048576,$P53,'NETWORK-DEVICES'!$H$3:$H$1048576,R$28))</f>
        <v/>
      </c>
      <c r="S53" s="96" t="str">
        <f>IF(COUNTIFS('NETWORK-DEVICES'!$F$3:$F$1048576,$P53,'NETWORK-DEVICES'!$H$3:$H$1048576,S$28)=0,"",COUNTIFS('NETWORK-DEVICES'!$F$3:$F$1048576,$P53,'NETWORK-DEVICES'!$H$3:$H$1048576,S$28))</f>
        <v/>
      </c>
      <c r="T53" s="96" t="str">
        <f>IF(COUNTIFS('NETWORK-DEVICES'!$F$3:$F$1048576,$P53,'NETWORK-DEVICES'!$H$3:$H$1048576,T$28)=0,"",COUNTIFS('NETWORK-DEVICES'!$F$3:$F$1048576,$P53,'NETWORK-DEVICES'!$H$3:$H$1048576,T$28))</f>
        <v/>
      </c>
      <c r="U53" s="96" t="str">
        <f>IF(COUNTIFS('NETWORK-DEVICES'!$F$3:$F$1048576,$P53,'NETWORK-DEVICES'!$H$3:$H$1048576,U$28)=0,"",COUNTIFS('NETWORK-DEVICES'!$F$3:$F$1048576,$P53,'NETWORK-DEVICES'!$H$3:$H$1048576,U$28))</f>
        <v/>
      </c>
    </row>
    <row r="54" spans="2:21" x14ac:dyDescent="0.25">
      <c r="B54" s="164"/>
    </row>
    <row r="55" spans="2:21" x14ac:dyDescent="0.25">
      <c r="B55" s="164"/>
    </row>
    <row r="57" spans="2:21" ht="15.75" thickBot="1" x14ac:dyDescent="0.3">
      <c r="B57" s="215" t="s">
        <v>1257</v>
      </c>
      <c r="C57" s="193"/>
      <c r="D57" s="193"/>
      <c r="E57" s="193"/>
      <c r="F57" s="193"/>
    </row>
    <row r="58" spans="2:21" x14ac:dyDescent="0.25">
      <c r="B58" s="216" t="s">
        <v>1244</v>
      </c>
      <c r="C58" s="218" t="s">
        <v>1231</v>
      </c>
    </row>
    <row r="59" spans="2:21" ht="15.75" thickBot="1" x14ac:dyDescent="0.3">
      <c r="B59" s="217"/>
      <c r="C59" s="219"/>
    </row>
    <row r="60" spans="2:21" x14ac:dyDescent="0.25">
      <c r="B60" s="173" t="s">
        <v>704</v>
      </c>
      <c r="C60" s="101">
        <f>COUNTIF(COMPUTER!$H$3:$H$1048576,#REF!)</f>
        <v>0</v>
      </c>
    </row>
    <row r="61" spans="2:21" x14ac:dyDescent="0.25">
      <c r="B61" s="174" t="s">
        <v>738</v>
      </c>
      <c r="C61" s="102">
        <f>COUNTIF(COMPUTER!$H$3:$H$1048576,#REF!)</f>
        <v>0</v>
      </c>
    </row>
    <row r="62" spans="2:21" x14ac:dyDescent="0.25">
      <c r="B62" s="174" t="s">
        <v>696</v>
      </c>
      <c r="C62" s="102">
        <f>COUNTIF(COMPUTER!$H$3:$H$1048576,#REF!)</f>
        <v>0</v>
      </c>
    </row>
    <row r="63" spans="2:21" x14ac:dyDescent="0.25">
      <c r="B63" s="174" t="s">
        <v>785</v>
      </c>
      <c r="C63" s="102">
        <f>COUNTIF(COMPUTER!$H$3:$H$1048576,#REF!)</f>
        <v>0</v>
      </c>
    </row>
    <row r="64" spans="2:21" x14ac:dyDescent="0.25">
      <c r="B64" s="174" t="s">
        <v>803</v>
      </c>
      <c r="C64" s="177"/>
    </row>
    <row r="65" spans="2:7" x14ac:dyDescent="0.25">
      <c r="B65" s="175" t="s">
        <v>790</v>
      </c>
      <c r="C65" s="178"/>
    </row>
    <row r="66" spans="2:7" x14ac:dyDescent="0.25">
      <c r="B66" s="175" t="s">
        <v>1258</v>
      </c>
      <c r="C66" s="178"/>
    </row>
    <row r="67" spans="2:7" x14ac:dyDescent="0.25">
      <c r="B67" s="174" t="s">
        <v>758</v>
      </c>
      <c r="C67" s="178"/>
    </row>
    <row r="68" spans="2:7" x14ac:dyDescent="0.25">
      <c r="B68" s="174" t="s">
        <v>745</v>
      </c>
      <c r="C68" s="178"/>
    </row>
    <row r="69" spans="2:7" ht="15.75" thickBot="1" x14ac:dyDescent="0.3">
      <c r="B69" s="176" t="s">
        <v>1259</v>
      </c>
      <c r="C69" s="179"/>
      <c r="G69" s="68"/>
    </row>
    <row r="70" spans="2:7" ht="15.75" thickBot="1" x14ac:dyDescent="0.3">
      <c r="B70" s="107" t="s">
        <v>1231</v>
      </c>
      <c r="C70" s="103">
        <f>SUM(C60:C63)</f>
        <v>0</v>
      </c>
      <c r="G70" s="68"/>
    </row>
    <row r="72" spans="2:7" ht="15.75" thickBot="1" x14ac:dyDescent="0.3">
      <c r="B72" s="220" t="s">
        <v>1250</v>
      </c>
      <c r="C72" s="220"/>
      <c r="D72" s="220"/>
      <c r="E72" s="220"/>
      <c r="F72" s="220"/>
    </row>
    <row r="73" spans="2:7" ht="15.75" thickBot="1" x14ac:dyDescent="0.3">
      <c r="B73" s="104" t="s">
        <v>1253</v>
      </c>
      <c r="C73" s="85" t="s">
        <v>77</v>
      </c>
      <c r="D73" s="85" t="s">
        <v>127</v>
      </c>
      <c r="E73" s="85" t="s">
        <v>240</v>
      </c>
      <c r="F73" s="105" t="s">
        <v>1254</v>
      </c>
    </row>
    <row r="74" spans="2:7" x14ac:dyDescent="0.25">
      <c r="B74" s="165">
        <f>CODEX!$F44</f>
        <v>0</v>
      </c>
      <c r="C74" s="96" t="str">
        <f>IF(COUNTIFS(COMPUTER!$F$3:$F$1048576,$B74,COMPUTER!$H$3:$H$1048576,C$28)=0,"",COUNTIFS(COMPUTER!$F$3:$F$1048576,$B74,COMPUTER!$H$3:$H$1048576,C$28))</f>
        <v/>
      </c>
      <c r="D74" s="96" t="str">
        <f>IF(COUNTIFS(COMPUTER!$F$3:$F$1048576,$B74,COMPUTER!$H$3:$H$1048576,D$28)=0,"",COUNTIFS(COMPUTER!$F$3:$F$1048576,$B74,COMPUTER!$H$3:$H$1048576,D$28))</f>
        <v/>
      </c>
      <c r="E74" s="96" t="str">
        <f>IF(COUNTIFS(COMPUTER!$F$3:$F$1048576,$B74,COMPUTER!$H$3:$H$1048576,E$28)=0,"",COUNTIFS(COMPUTER!$F$3:$F$1048576,$B74,COMPUTER!$H$3:$H$1048576,E$28))</f>
        <v/>
      </c>
      <c r="F74" s="96" t="str">
        <f>IF(COUNTIFS(COMPUTER!$F$3:$F$1048576,$B74,COMPUTER!$H$3:$H$1048576,F$28)=0,"",COUNTIFS(COMPUTER!$F$3:$F$1048576,$B74,COMPUTER!$H$3:$H$1048576,F$28))</f>
        <v/>
      </c>
    </row>
    <row r="75" spans="2:7" x14ac:dyDescent="0.25">
      <c r="B75" s="157">
        <f>CODEX!$F45</f>
        <v>0</v>
      </c>
      <c r="C75" s="92" t="str">
        <f>IF(COUNTIFS(COMPUTER!$F$3:$F$1048576,$B75,COMPUTER!$H$3:$H$1048576,C$28)=0,"",COUNTIFS(COMPUTER!$F$3:$F$1048576,$B75,COMPUTER!$H$3:$H$1048576,C$28))</f>
        <v/>
      </c>
      <c r="D75" s="92" t="str">
        <f>IF(COUNTIFS(COMPUTER!$F$3:$F$1048576,$B75,COMPUTER!$H$3:$H$1048576,D$28)=0,"",COUNTIFS(COMPUTER!$F$3:$F$1048576,$B75,COMPUTER!$H$3:$H$1048576,D$28))</f>
        <v/>
      </c>
      <c r="E75" s="92" t="str">
        <f>IF(COUNTIFS(COMPUTER!$F$3:$F$1048576,$B75,COMPUTER!$H$3:$H$1048576,E$28)=0,"",COUNTIFS(COMPUTER!$F$3:$F$1048576,$B75,COMPUTER!$H$3:$H$1048576,E$28))</f>
        <v/>
      </c>
      <c r="F75" s="92" t="str">
        <f>IF(COUNTIFS(COMPUTER!$F$3:$F$1048576,$B75,COMPUTER!$H$3:$H$1048576,F$28)=0,"",COUNTIFS(COMPUTER!$F$3:$F$1048576,$B75,COMPUTER!$H$3:$H$1048576,F$28))</f>
        <v/>
      </c>
    </row>
    <row r="76" spans="2:7" x14ac:dyDescent="0.25">
      <c r="B76" s="157">
        <f>CODEX!$F46</f>
        <v>0</v>
      </c>
      <c r="C76" s="92" t="str">
        <f>IF(COUNTIFS(COMPUTER!$F$3:$F$1048576,$B76,COMPUTER!$H$3:$H$1048576,C$28)=0,"",COUNTIFS(COMPUTER!$F$3:$F$1048576,$B76,COMPUTER!$H$3:$H$1048576,C$28))</f>
        <v/>
      </c>
      <c r="D76" s="92" t="str">
        <f>IF(COUNTIFS(COMPUTER!$F$3:$F$1048576,$B76,COMPUTER!$H$3:$H$1048576,D$28)=0,"",COUNTIFS(COMPUTER!$F$3:$F$1048576,$B76,COMPUTER!$H$3:$H$1048576,D$28))</f>
        <v/>
      </c>
      <c r="E76" s="92" t="str">
        <f>IF(COUNTIFS(COMPUTER!$F$3:$F$1048576,$B76,COMPUTER!$H$3:$H$1048576,E$28)=0,"",COUNTIFS(COMPUTER!$F$3:$F$1048576,$B76,COMPUTER!$H$3:$H$1048576,E$28))</f>
        <v/>
      </c>
      <c r="F76" s="92" t="str">
        <f>IF(COUNTIFS(COMPUTER!$F$3:$F$1048576,$B76,COMPUTER!$H$3:$H$1048576,F$28)=0,"",COUNTIFS(COMPUTER!$F$3:$F$1048576,$B76,COMPUTER!$H$3:$H$1048576,F$28))</f>
        <v/>
      </c>
    </row>
    <row r="77" spans="2:7" x14ac:dyDescent="0.25">
      <c r="B77" s="157">
        <f>CODEX!$F47</f>
        <v>0</v>
      </c>
      <c r="C77" s="92" t="str">
        <f>IF(COUNTIFS(COMPUTER!$F$3:$F$1048576,$B77,COMPUTER!$H$3:$H$1048576,C$28)=0,"",COUNTIFS(COMPUTER!$F$3:$F$1048576,$B77,COMPUTER!$H$3:$H$1048576,C$28))</f>
        <v/>
      </c>
      <c r="D77" s="92" t="str">
        <f>IF(COUNTIFS(COMPUTER!$F$3:$F$1048576,$B77,COMPUTER!$H$3:$H$1048576,D$28)=0,"",COUNTIFS(COMPUTER!$F$3:$F$1048576,$B77,COMPUTER!$H$3:$H$1048576,D$28))</f>
        <v/>
      </c>
      <c r="E77" s="92" t="str">
        <f>IF(COUNTIFS(COMPUTER!$F$3:$F$1048576,$B77,COMPUTER!$H$3:$H$1048576,E$28)=0,"",COUNTIFS(COMPUTER!$F$3:$F$1048576,$B77,COMPUTER!$H$3:$H$1048576,E$28))</f>
        <v/>
      </c>
      <c r="F77" s="92" t="str">
        <f>IF(COUNTIFS(COMPUTER!$F$3:$F$1048576,$B77,COMPUTER!$H$3:$H$1048576,F$28)=0,"",COUNTIFS(COMPUTER!$F$3:$F$1048576,$B77,COMPUTER!$H$3:$H$1048576,F$28))</f>
        <v/>
      </c>
    </row>
    <row r="78" spans="2:7" x14ac:dyDescent="0.25">
      <c r="B78" s="157">
        <f>CODEX!$F48</f>
        <v>0</v>
      </c>
      <c r="C78" s="92" t="str">
        <f>IF(COUNTIFS(COMPUTER!$F$3:$F$1048576,$B78,COMPUTER!$H$3:$H$1048576,C$28)=0,"",COUNTIFS(COMPUTER!$F$3:$F$1048576,$B78,COMPUTER!$H$3:$H$1048576,C$28))</f>
        <v/>
      </c>
      <c r="D78" s="92" t="str">
        <f>IF(COUNTIFS(COMPUTER!$F$3:$F$1048576,$B78,COMPUTER!$H$3:$H$1048576,D$28)=0,"",COUNTIFS(COMPUTER!$F$3:$F$1048576,$B78,COMPUTER!$H$3:$H$1048576,D$28))</f>
        <v/>
      </c>
      <c r="E78" s="92" t="str">
        <f>IF(COUNTIFS(COMPUTER!$F$3:$F$1048576,$B78,COMPUTER!$H$3:$H$1048576,E$28)=0,"",COUNTIFS(COMPUTER!$F$3:$F$1048576,$B78,COMPUTER!$H$3:$H$1048576,E$28))</f>
        <v/>
      </c>
      <c r="F78" s="92" t="str">
        <f>IF(COUNTIFS(COMPUTER!$F$3:$F$1048576,$B78,COMPUTER!$H$3:$H$1048576,F$28)=0,"",COUNTIFS(COMPUTER!$F$3:$F$1048576,$B78,COMPUTER!$H$3:$H$1048576,F$28))</f>
        <v/>
      </c>
    </row>
    <row r="79" spans="2:7" x14ac:dyDescent="0.25">
      <c r="B79" s="157">
        <f>CODEX!$F49</f>
        <v>0</v>
      </c>
      <c r="C79" s="92" t="str">
        <f>IF(COUNTIFS(COMPUTER!$F$3:$F$1048576,$B79,COMPUTER!$H$3:$H$1048576,C$28)=0,"",COUNTIFS(COMPUTER!$F$3:$F$1048576,$B79,COMPUTER!$H$3:$H$1048576,C$28))</f>
        <v/>
      </c>
      <c r="D79" s="92" t="str">
        <f>IF(COUNTIFS(COMPUTER!$F$3:$F$1048576,$B79,COMPUTER!$H$3:$H$1048576,D$28)=0,"",COUNTIFS(COMPUTER!$F$3:$F$1048576,$B79,COMPUTER!$H$3:$H$1048576,D$28))</f>
        <v/>
      </c>
      <c r="E79" s="92" t="str">
        <f>IF(COUNTIFS(COMPUTER!$F$3:$F$1048576,$B79,COMPUTER!$H$3:$H$1048576,E$28)=0,"",COUNTIFS(COMPUTER!$F$3:$F$1048576,$B79,COMPUTER!$H$3:$H$1048576,E$28))</f>
        <v/>
      </c>
      <c r="F79" s="92" t="str">
        <f>IF(COUNTIFS(COMPUTER!$F$3:$F$1048576,$B79,COMPUTER!$H$3:$H$1048576,F$28)=0,"",COUNTIFS(COMPUTER!$F$3:$F$1048576,$B79,COMPUTER!$H$3:$H$1048576,F$28))</f>
        <v/>
      </c>
    </row>
    <row r="80" spans="2:7" x14ac:dyDescent="0.25">
      <c r="B80" s="157">
        <f>CODEX!$F50</f>
        <v>0</v>
      </c>
      <c r="C80" s="92" t="str">
        <f>IF(COUNTIFS(COMPUTER!$F$3:$F$1048576,$B80,COMPUTER!$H$3:$H$1048576,C$28)=0,"",COUNTIFS(COMPUTER!$F$3:$F$1048576,$B80,COMPUTER!$H$3:$H$1048576,C$28))</f>
        <v/>
      </c>
      <c r="D80" s="92" t="str">
        <f>IF(COUNTIFS(COMPUTER!$F$3:$F$1048576,$B80,COMPUTER!$H$3:$H$1048576,D$28)=0,"",COUNTIFS(COMPUTER!$F$3:$F$1048576,$B80,COMPUTER!$H$3:$H$1048576,D$28))</f>
        <v/>
      </c>
      <c r="E80" s="92" t="str">
        <f>IF(COUNTIFS(COMPUTER!$F$3:$F$1048576,$B80,COMPUTER!$H$3:$H$1048576,E$28)=0,"",COUNTIFS(COMPUTER!$F$3:$F$1048576,$B80,COMPUTER!$H$3:$H$1048576,E$28))</f>
        <v/>
      </c>
      <c r="F80" s="92" t="str">
        <f>IF(COUNTIFS(COMPUTER!$F$3:$F$1048576,$B80,COMPUTER!$H$3:$H$1048576,F$28)=0,"",COUNTIFS(COMPUTER!$F$3:$F$1048576,$B80,COMPUTER!$H$3:$H$1048576,F$28))</f>
        <v/>
      </c>
    </row>
    <row r="81" spans="2:6" x14ac:dyDescent="0.25">
      <c r="B81" s="157">
        <f>CODEX!$F51</f>
        <v>0</v>
      </c>
      <c r="C81" s="92" t="str">
        <f>IF(COUNTIFS(COMPUTER!$F$3:$F$1048576,$B81,COMPUTER!$H$3:$H$1048576,C$28)=0,"",COUNTIFS(COMPUTER!$F$3:$F$1048576,$B81,COMPUTER!$H$3:$H$1048576,C$28))</f>
        <v/>
      </c>
      <c r="D81" s="92" t="str">
        <f>IF(COUNTIFS(COMPUTER!$F$3:$F$1048576,$B81,COMPUTER!$H$3:$H$1048576,D$28)=0,"",COUNTIFS(COMPUTER!$F$3:$F$1048576,$B81,COMPUTER!$H$3:$H$1048576,D$28))</f>
        <v/>
      </c>
      <c r="E81" s="92" t="str">
        <f>IF(COUNTIFS(COMPUTER!$F$3:$F$1048576,$B81,COMPUTER!$H$3:$H$1048576,E$28)=0,"",COUNTIFS(COMPUTER!$F$3:$F$1048576,$B81,COMPUTER!$H$3:$H$1048576,E$28))</f>
        <v/>
      </c>
      <c r="F81" s="92" t="str">
        <f>IF(COUNTIFS(COMPUTER!$F$3:$F$1048576,$B81,COMPUTER!$H$3:$H$1048576,F$28)=0,"",COUNTIFS(COMPUTER!$F$3:$F$1048576,$B81,COMPUTER!$H$3:$H$1048576,F$28))</f>
        <v/>
      </c>
    </row>
    <row r="82" spans="2:6" x14ac:dyDescent="0.25">
      <c r="B82" s="157">
        <f>CODEX!$F52</f>
        <v>0</v>
      </c>
      <c r="C82" s="92" t="str">
        <f>IF(COUNTIFS(COMPUTER!$F$3:$F$1048576,$B82,COMPUTER!$H$3:$H$1048576,C$28)=0,"",COUNTIFS(COMPUTER!$F$3:$F$1048576,$B82,COMPUTER!$H$3:$H$1048576,C$28))</f>
        <v/>
      </c>
      <c r="D82" s="92" t="str">
        <f>IF(COUNTIFS(COMPUTER!$F$3:$F$1048576,$B82,COMPUTER!$H$3:$H$1048576,D$28)=0,"",COUNTIFS(COMPUTER!$F$3:$F$1048576,$B82,COMPUTER!$H$3:$H$1048576,D$28))</f>
        <v/>
      </c>
      <c r="E82" s="92" t="str">
        <f>IF(COUNTIFS(COMPUTER!$F$3:$F$1048576,$B82,COMPUTER!$H$3:$H$1048576,E$28)=0,"",COUNTIFS(COMPUTER!$F$3:$F$1048576,$B82,COMPUTER!$H$3:$H$1048576,E$28))</f>
        <v/>
      </c>
      <c r="F82" s="92" t="str">
        <f>IF(COUNTIFS(COMPUTER!$F$3:$F$1048576,$B82,COMPUTER!$H$3:$H$1048576,F$28)=0,"",COUNTIFS(COMPUTER!$F$3:$F$1048576,$B82,COMPUTER!$H$3:$H$1048576,F$28))</f>
        <v/>
      </c>
    </row>
    <row r="83" spans="2:6" x14ac:dyDescent="0.25">
      <c r="B83" s="157">
        <f>CODEX!$F53</f>
        <v>0</v>
      </c>
      <c r="C83" s="92" t="str">
        <f>IF(COUNTIFS(COMPUTER!$F$3:$F$1048576,$B83,COMPUTER!$H$3:$H$1048576,C$28)=0,"",COUNTIFS(COMPUTER!$F$3:$F$1048576,$B83,COMPUTER!$H$3:$H$1048576,C$28))</f>
        <v/>
      </c>
      <c r="D83" s="92" t="str">
        <f>IF(COUNTIFS(COMPUTER!$F$3:$F$1048576,$B83,COMPUTER!$H$3:$H$1048576,D$28)=0,"",COUNTIFS(COMPUTER!$F$3:$F$1048576,$B83,COMPUTER!$H$3:$H$1048576,D$28))</f>
        <v/>
      </c>
      <c r="E83" s="92" t="str">
        <f>IF(COUNTIFS(COMPUTER!$F$3:$F$1048576,$B83,COMPUTER!$H$3:$H$1048576,E$28)=0,"",COUNTIFS(COMPUTER!$F$3:$F$1048576,$B83,COMPUTER!$H$3:$H$1048576,E$28))</f>
        <v/>
      </c>
      <c r="F83" s="92" t="str">
        <f>IF(COUNTIFS(COMPUTER!$F$3:$F$1048576,$B83,COMPUTER!$H$3:$H$1048576,F$28)=0,"",COUNTIFS(COMPUTER!$F$3:$F$1048576,$B83,COMPUTER!$H$3:$H$1048576,F$28))</f>
        <v/>
      </c>
    </row>
    <row r="84" spans="2:6" x14ac:dyDescent="0.25">
      <c r="B84" s="157">
        <f>CODEX!$F54</f>
        <v>0</v>
      </c>
      <c r="C84" s="92" t="str">
        <f>IF(COUNTIFS(COMPUTER!$F$3:$F$1048576,$B84,COMPUTER!$H$3:$H$1048576,C$28)=0,"",COUNTIFS(COMPUTER!$F$3:$F$1048576,$B84,COMPUTER!$H$3:$H$1048576,C$28))</f>
        <v/>
      </c>
      <c r="D84" s="92" t="str">
        <f>IF(COUNTIFS(COMPUTER!$F$3:$F$1048576,$B84,COMPUTER!$H$3:$H$1048576,D$28)=0,"",COUNTIFS(COMPUTER!$F$3:$F$1048576,$B84,COMPUTER!$H$3:$H$1048576,D$28))</f>
        <v/>
      </c>
      <c r="E84" s="92" t="str">
        <f>IF(COUNTIFS(COMPUTER!$F$3:$F$1048576,$B84,COMPUTER!$H$3:$H$1048576,E$28)=0,"",COUNTIFS(COMPUTER!$F$3:$F$1048576,$B84,COMPUTER!$H$3:$H$1048576,E$28))</f>
        <v/>
      </c>
      <c r="F84" s="92" t="str">
        <f>IF(COUNTIFS(COMPUTER!$F$3:$F$1048576,$B84,COMPUTER!$H$3:$H$1048576,F$28)=0,"",COUNTIFS(COMPUTER!$F$3:$F$1048576,$B84,COMPUTER!$H$3:$H$1048576,F$28))</f>
        <v/>
      </c>
    </row>
    <row r="85" spans="2:6" x14ac:dyDescent="0.25">
      <c r="B85" s="157">
        <f>CODEX!$F55</f>
        <v>0</v>
      </c>
      <c r="C85" s="92" t="str">
        <f>IF(COUNTIFS(COMPUTER!$F$3:$F$1048576,$B85,COMPUTER!$H$3:$H$1048576,C$28)=0,"",COUNTIFS(COMPUTER!$F$3:$F$1048576,$B85,COMPUTER!$H$3:$H$1048576,C$28))</f>
        <v/>
      </c>
      <c r="D85" s="92" t="str">
        <f>IF(COUNTIFS(COMPUTER!$F$3:$F$1048576,$B85,COMPUTER!$H$3:$H$1048576,D$28)=0,"",COUNTIFS(COMPUTER!$F$3:$F$1048576,$B85,COMPUTER!$H$3:$H$1048576,D$28))</f>
        <v/>
      </c>
      <c r="E85" s="92" t="str">
        <f>IF(COUNTIFS(COMPUTER!$F$3:$F$1048576,$B85,COMPUTER!$H$3:$H$1048576,E$28)=0,"",COUNTIFS(COMPUTER!$F$3:$F$1048576,$B85,COMPUTER!$H$3:$H$1048576,E$28))</f>
        <v/>
      </c>
      <c r="F85" s="92" t="str">
        <f>IF(COUNTIFS(COMPUTER!$F$3:$F$1048576,$B85,COMPUTER!$H$3:$H$1048576,F$28)=0,"",COUNTIFS(COMPUTER!$F$3:$F$1048576,$B85,COMPUTER!$H$3:$H$1048576,F$28))</f>
        <v/>
      </c>
    </row>
    <row r="86" spans="2:6" x14ac:dyDescent="0.25">
      <c r="B86" s="157">
        <f>CODEX!$F56</f>
        <v>0</v>
      </c>
      <c r="C86" s="92" t="str">
        <f>IF(COUNTIFS(COMPUTER!$F$3:$F$1048576,$B86,COMPUTER!$H$3:$H$1048576,C$28)=0,"",COUNTIFS(COMPUTER!$F$3:$F$1048576,$B86,COMPUTER!$H$3:$H$1048576,C$28))</f>
        <v/>
      </c>
      <c r="D86" s="92" t="str">
        <f>IF(COUNTIFS(COMPUTER!$F$3:$F$1048576,$B86,COMPUTER!$H$3:$H$1048576,D$28)=0,"",COUNTIFS(COMPUTER!$F$3:$F$1048576,$B86,COMPUTER!$H$3:$H$1048576,D$28))</f>
        <v/>
      </c>
      <c r="E86" s="92" t="str">
        <f>IF(COUNTIFS(COMPUTER!$F$3:$F$1048576,$B86,COMPUTER!$H$3:$H$1048576,E$28)=0,"",COUNTIFS(COMPUTER!$F$3:$F$1048576,$B86,COMPUTER!$H$3:$H$1048576,E$28))</f>
        <v/>
      </c>
      <c r="F86" s="92" t="str">
        <f>IF(COUNTIFS(COMPUTER!$F$3:$F$1048576,$B86,COMPUTER!$H$3:$H$1048576,F$28)=0,"",COUNTIFS(COMPUTER!$F$3:$F$1048576,$B86,COMPUTER!$H$3:$H$1048576,F$28))</f>
        <v/>
      </c>
    </row>
    <row r="87" spans="2:6" x14ac:dyDescent="0.25">
      <c r="B87" s="157">
        <f>CODEX!$F57</f>
        <v>0</v>
      </c>
      <c r="C87" s="92" t="str">
        <f>IF(COUNTIFS(COMPUTER!$F$3:$F$1048576,$B87,COMPUTER!$H$3:$H$1048576,C$28)=0,"",COUNTIFS(COMPUTER!$F$3:$F$1048576,$B87,COMPUTER!$H$3:$H$1048576,C$28))</f>
        <v/>
      </c>
      <c r="D87" s="92" t="str">
        <f>IF(COUNTIFS(COMPUTER!$F$3:$F$1048576,$B87,COMPUTER!$H$3:$H$1048576,D$28)=0,"",COUNTIFS(COMPUTER!$F$3:$F$1048576,$B87,COMPUTER!$H$3:$H$1048576,D$28))</f>
        <v/>
      </c>
      <c r="E87" s="92" t="str">
        <f>IF(COUNTIFS(COMPUTER!$F$3:$F$1048576,$B87,COMPUTER!$H$3:$H$1048576,E$28)=0,"",COUNTIFS(COMPUTER!$F$3:$F$1048576,$B87,COMPUTER!$H$3:$H$1048576,E$28))</f>
        <v/>
      </c>
      <c r="F87" s="92" t="str">
        <f>IF(COUNTIFS(COMPUTER!$F$3:$F$1048576,$B87,COMPUTER!$H$3:$H$1048576,F$28)=0,"",COUNTIFS(COMPUTER!$F$3:$F$1048576,$B87,COMPUTER!$H$3:$H$1048576,F$28))</f>
        <v/>
      </c>
    </row>
    <row r="88" spans="2:6" x14ac:dyDescent="0.25">
      <c r="B88" s="157">
        <f>CODEX!$F58</f>
        <v>0</v>
      </c>
      <c r="C88" s="92" t="str">
        <f>IF(COUNTIFS(COMPUTER!$F$3:$F$1048576,$B88,COMPUTER!$H$3:$H$1048576,C$28)=0,"",COUNTIFS(COMPUTER!$F$3:$F$1048576,$B88,COMPUTER!$H$3:$H$1048576,C$28))</f>
        <v/>
      </c>
      <c r="D88" s="92" t="str">
        <f>IF(COUNTIFS(COMPUTER!$F$3:$F$1048576,$B88,COMPUTER!$H$3:$H$1048576,D$28)=0,"",COUNTIFS(COMPUTER!$F$3:$F$1048576,$B88,COMPUTER!$H$3:$H$1048576,D$28))</f>
        <v/>
      </c>
      <c r="E88" s="92" t="str">
        <f>IF(COUNTIFS(COMPUTER!$F$3:$F$1048576,$B88,COMPUTER!$H$3:$H$1048576,E$28)=0,"",COUNTIFS(COMPUTER!$F$3:$F$1048576,$B88,COMPUTER!$H$3:$H$1048576,E$28))</f>
        <v/>
      </c>
      <c r="F88" s="92" t="str">
        <f>IF(COUNTIFS(COMPUTER!$F$3:$F$1048576,$B88,COMPUTER!$H$3:$H$1048576,F$28)=0,"",COUNTIFS(COMPUTER!$F$3:$F$1048576,$B88,COMPUTER!$H$3:$H$1048576,F$28))</f>
        <v/>
      </c>
    </row>
    <row r="89" spans="2:6" x14ac:dyDescent="0.25">
      <c r="B89" s="157">
        <f>CODEX!$F59</f>
        <v>0</v>
      </c>
      <c r="C89" s="92" t="str">
        <f>IF(COUNTIFS(COMPUTER!$F$3:$F$1048576,$B89,COMPUTER!$H$3:$H$1048576,C$28)=0,"",COUNTIFS(COMPUTER!$F$3:$F$1048576,$B89,COMPUTER!$H$3:$H$1048576,C$28))</f>
        <v/>
      </c>
      <c r="D89" s="92" t="str">
        <f>IF(COUNTIFS(COMPUTER!$F$3:$F$1048576,$B89,COMPUTER!$H$3:$H$1048576,D$28)=0,"",COUNTIFS(COMPUTER!$F$3:$F$1048576,$B89,COMPUTER!$H$3:$H$1048576,D$28))</f>
        <v/>
      </c>
      <c r="E89" s="92" t="str">
        <f>IF(COUNTIFS(COMPUTER!$F$3:$F$1048576,$B89,COMPUTER!$H$3:$H$1048576,E$28)=0,"",COUNTIFS(COMPUTER!$F$3:$F$1048576,$B89,COMPUTER!$H$3:$H$1048576,E$28))</f>
        <v/>
      </c>
      <c r="F89" s="92" t="str">
        <f>IF(COUNTIFS(COMPUTER!$F$3:$F$1048576,$B89,COMPUTER!$H$3:$H$1048576,F$28)=0,"",COUNTIFS(COMPUTER!$F$3:$F$1048576,$B89,COMPUTER!$H$3:$H$1048576,F$28))</f>
        <v/>
      </c>
    </row>
    <row r="90" spans="2:6" x14ac:dyDescent="0.25">
      <c r="B90" s="157">
        <f>CODEX!$F60</f>
        <v>0</v>
      </c>
      <c r="C90" s="92" t="str">
        <f>IF(COUNTIFS(COMPUTER!$F$3:$F$1048576,$B90,COMPUTER!$H$3:$H$1048576,C$28)=0,"",COUNTIFS(COMPUTER!$F$3:$F$1048576,$B90,COMPUTER!$H$3:$H$1048576,C$28))</f>
        <v/>
      </c>
      <c r="D90" s="92" t="str">
        <f>IF(COUNTIFS(COMPUTER!$F$3:$F$1048576,$B90,COMPUTER!$H$3:$H$1048576,D$28)=0,"",COUNTIFS(COMPUTER!$F$3:$F$1048576,$B90,COMPUTER!$H$3:$H$1048576,D$28))</f>
        <v/>
      </c>
      <c r="E90" s="92" t="str">
        <f>IF(COUNTIFS(COMPUTER!$F$3:$F$1048576,$B90,COMPUTER!$H$3:$H$1048576,E$28)=0,"",COUNTIFS(COMPUTER!$F$3:$F$1048576,$B90,COMPUTER!$H$3:$H$1048576,E$28))</f>
        <v/>
      </c>
      <c r="F90" s="92" t="str">
        <f>IF(COUNTIFS(COMPUTER!$F$3:$F$1048576,$B90,COMPUTER!$H$3:$H$1048576,F$28)=0,"",COUNTIFS(COMPUTER!$F$3:$F$1048576,$B90,COMPUTER!$H$3:$H$1048576,F$28))</f>
        <v/>
      </c>
    </row>
    <row r="91" spans="2:6" x14ac:dyDescent="0.25">
      <c r="B91" s="157">
        <f>CODEX!$F61</f>
        <v>0</v>
      </c>
      <c r="C91" s="92" t="str">
        <f>IF(COUNTIFS(COMPUTER!$F$3:$F$1048576,$B91,COMPUTER!$H$3:$H$1048576,C$28)=0,"",COUNTIFS(COMPUTER!$F$3:$F$1048576,$B91,COMPUTER!$H$3:$H$1048576,C$28))</f>
        <v/>
      </c>
      <c r="D91" s="92" t="str">
        <f>IF(COUNTIFS(COMPUTER!$F$3:$F$1048576,$B91,COMPUTER!$H$3:$H$1048576,D$28)=0,"",COUNTIFS(COMPUTER!$F$3:$F$1048576,$B91,COMPUTER!$H$3:$H$1048576,D$28))</f>
        <v/>
      </c>
      <c r="E91" s="92" t="str">
        <f>IF(COUNTIFS(COMPUTER!$F$3:$F$1048576,$B91,COMPUTER!$H$3:$H$1048576,E$28)=0,"",COUNTIFS(COMPUTER!$F$3:$F$1048576,$B91,COMPUTER!$H$3:$H$1048576,E$28))</f>
        <v/>
      </c>
      <c r="F91" s="92" t="str">
        <f>IF(COUNTIFS(COMPUTER!$F$3:$F$1048576,$B91,COMPUTER!$H$3:$H$1048576,F$28)=0,"",COUNTIFS(COMPUTER!$F$3:$F$1048576,$B91,COMPUTER!$H$3:$H$1048576,F$28))</f>
        <v/>
      </c>
    </row>
    <row r="92" spans="2:6" x14ac:dyDescent="0.25">
      <c r="B92" s="157">
        <f>CODEX!$F62</f>
        <v>0</v>
      </c>
      <c r="C92" s="92" t="str">
        <f>IF(COUNTIFS(COMPUTER!$F$3:$F$1048576,$B92,COMPUTER!$H$3:$H$1048576,C$28)=0,"",COUNTIFS(COMPUTER!$F$3:$F$1048576,$B92,COMPUTER!$H$3:$H$1048576,C$28))</f>
        <v/>
      </c>
      <c r="D92" s="92" t="str">
        <f>IF(COUNTIFS(COMPUTER!$F$3:$F$1048576,$B92,COMPUTER!$H$3:$H$1048576,D$28)=0,"",COUNTIFS(COMPUTER!$F$3:$F$1048576,$B92,COMPUTER!$H$3:$H$1048576,D$28))</f>
        <v/>
      </c>
      <c r="E92" s="92" t="str">
        <f>IF(COUNTIFS(COMPUTER!$F$3:$F$1048576,$B92,COMPUTER!$H$3:$H$1048576,E$28)=0,"",COUNTIFS(COMPUTER!$F$3:$F$1048576,$B92,COMPUTER!$H$3:$H$1048576,E$28))</f>
        <v/>
      </c>
      <c r="F92" s="92" t="str">
        <f>IF(COUNTIFS(COMPUTER!$F$3:$F$1048576,$B92,COMPUTER!$H$3:$H$1048576,F$28)=0,"",COUNTIFS(COMPUTER!$F$3:$F$1048576,$B92,COMPUTER!$H$3:$H$1048576,F$28))</f>
        <v/>
      </c>
    </row>
    <row r="93" spans="2:6" x14ac:dyDescent="0.25">
      <c r="B93" s="157">
        <f>CODEX!$F63</f>
        <v>0</v>
      </c>
      <c r="C93" s="92" t="str">
        <f>IF(COUNTIFS(COMPUTER!$F$3:$F$1048576,$B93,COMPUTER!$H$3:$H$1048576,C$28)=0,"",COUNTIFS(COMPUTER!$F$3:$F$1048576,$B93,COMPUTER!$H$3:$H$1048576,C$28))</f>
        <v/>
      </c>
      <c r="D93" s="92" t="str">
        <f>IF(COUNTIFS(COMPUTER!$F$3:$F$1048576,$B93,COMPUTER!$H$3:$H$1048576,D$28)=0,"",COUNTIFS(COMPUTER!$F$3:$F$1048576,$B93,COMPUTER!$H$3:$H$1048576,D$28))</f>
        <v/>
      </c>
      <c r="E93" s="92" t="str">
        <f>IF(COUNTIFS(COMPUTER!$F$3:$F$1048576,$B93,COMPUTER!$H$3:$H$1048576,E$28)=0,"",COUNTIFS(COMPUTER!$F$3:$F$1048576,$B93,COMPUTER!$H$3:$H$1048576,E$28))</f>
        <v/>
      </c>
      <c r="F93" s="92" t="str">
        <f>IF(COUNTIFS(COMPUTER!$F$3:$F$1048576,$B93,COMPUTER!$H$3:$H$1048576,F$28)=0,"",COUNTIFS(COMPUTER!$F$3:$F$1048576,$B93,COMPUTER!$H$3:$H$1048576,F$28))</f>
        <v/>
      </c>
    </row>
    <row r="94" spans="2:6" x14ac:dyDescent="0.25">
      <c r="B94" s="157">
        <f>CODEX!$F64</f>
        <v>0</v>
      </c>
      <c r="C94" s="92" t="str">
        <f>IF(COUNTIFS(COMPUTER!$F$3:$F$1048576,$B94,COMPUTER!$H$3:$H$1048576,C$28)=0,"",COUNTIFS(COMPUTER!$F$3:$F$1048576,$B94,COMPUTER!$H$3:$H$1048576,C$28))</f>
        <v/>
      </c>
      <c r="D94" s="92" t="str">
        <f>IF(COUNTIFS(COMPUTER!$F$3:$F$1048576,$B94,COMPUTER!$H$3:$H$1048576,D$28)=0,"",COUNTIFS(COMPUTER!$F$3:$F$1048576,$B94,COMPUTER!$H$3:$H$1048576,D$28))</f>
        <v/>
      </c>
      <c r="E94" s="92" t="str">
        <f>IF(COUNTIFS(COMPUTER!$F$3:$F$1048576,$B94,COMPUTER!$H$3:$H$1048576,E$28)=0,"",COUNTIFS(COMPUTER!$F$3:$F$1048576,$B94,COMPUTER!$H$3:$H$1048576,E$28))</f>
        <v/>
      </c>
      <c r="F94" s="92" t="str">
        <f>IF(COUNTIFS(COMPUTER!$F$3:$F$1048576,$B94,COMPUTER!$H$3:$H$1048576,F$28)=0,"",COUNTIFS(COMPUTER!$F$3:$F$1048576,$B94,COMPUTER!$H$3:$H$1048576,F$28))</f>
        <v/>
      </c>
    </row>
    <row r="95" spans="2:6" x14ac:dyDescent="0.25">
      <c r="B95" s="157">
        <f>CODEX!$F65</f>
        <v>0</v>
      </c>
      <c r="C95" s="92" t="str">
        <f>IF(COUNTIFS(COMPUTER!$F$3:$F$1048576,$B95,COMPUTER!$H$3:$H$1048576,C$28)=0,"",COUNTIFS(COMPUTER!$F$3:$F$1048576,$B95,COMPUTER!$H$3:$H$1048576,C$28))</f>
        <v/>
      </c>
      <c r="D95" s="92" t="str">
        <f>IF(COUNTIFS(COMPUTER!$F$3:$F$1048576,$B95,COMPUTER!$H$3:$H$1048576,D$28)=0,"",COUNTIFS(COMPUTER!$F$3:$F$1048576,$B95,COMPUTER!$H$3:$H$1048576,D$28))</f>
        <v/>
      </c>
      <c r="E95" s="92" t="str">
        <f>IF(COUNTIFS(COMPUTER!$F$3:$F$1048576,$B95,COMPUTER!$H$3:$H$1048576,E$28)=0,"",COUNTIFS(COMPUTER!$F$3:$F$1048576,$B95,COMPUTER!$H$3:$H$1048576,E$28))</f>
        <v/>
      </c>
      <c r="F95" s="92" t="str">
        <f>IF(COUNTIFS(COMPUTER!$F$3:$F$1048576,$B95,COMPUTER!$H$3:$H$1048576,F$28)=0,"",COUNTIFS(COMPUTER!$F$3:$F$1048576,$B95,COMPUTER!$H$3:$H$1048576,F$28))</f>
        <v/>
      </c>
    </row>
    <row r="96" spans="2:6" x14ac:dyDescent="0.25">
      <c r="B96" s="157">
        <f>CODEX!$F66</f>
        <v>0</v>
      </c>
      <c r="C96" s="92" t="str">
        <f>IF(COUNTIFS(COMPUTER!$F$3:$F$1048576,$B96,COMPUTER!$H$3:$H$1048576,C$28)=0,"",COUNTIFS(COMPUTER!$F$3:$F$1048576,$B96,COMPUTER!$H$3:$H$1048576,C$28))</f>
        <v/>
      </c>
      <c r="D96" s="92" t="str">
        <f>IF(COUNTIFS(COMPUTER!$F$3:$F$1048576,$B96,COMPUTER!$H$3:$H$1048576,D$28)=0,"",COUNTIFS(COMPUTER!$F$3:$F$1048576,$B96,COMPUTER!$H$3:$H$1048576,D$28))</f>
        <v/>
      </c>
      <c r="E96" s="92" t="str">
        <f>IF(COUNTIFS(COMPUTER!$F$3:$F$1048576,$B96,COMPUTER!$H$3:$H$1048576,E$28)=0,"",COUNTIFS(COMPUTER!$F$3:$F$1048576,$B96,COMPUTER!$H$3:$H$1048576,E$28))</f>
        <v/>
      </c>
      <c r="F96" s="92" t="str">
        <f>IF(COUNTIFS(COMPUTER!$F$3:$F$1048576,$B96,COMPUTER!$H$3:$H$1048576,F$28)=0,"",COUNTIFS(COMPUTER!$F$3:$F$1048576,$B96,COMPUTER!$H$3:$H$1048576,F$28))</f>
        <v/>
      </c>
    </row>
    <row r="97" spans="2:6" x14ac:dyDescent="0.25">
      <c r="B97" s="157">
        <f>CODEX!$F67</f>
        <v>0</v>
      </c>
      <c r="C97" s="92" t="str">
        <f>IF(COUNTIFS(COMPUTER!$F$3:$F$1048576,$B97,COMPUTER!$H$3:$H$1048576,C$28)=0,"",COUNTIFS(COMPUTER!$F$3:$F$1048576,$B97,COMPUTER!$H$3:$H$1048576,C$28))</f>
        <v/>
      </c>
      <c r="D97" s="92" t="str">
        <f>IF(COUNTIFS(COMPUTER!$F$3:$F$1048576,$B97,COMPUTER!$H$3:$H$1048576,D$28)=0,"",COUNTIFS(COMPUTER!$F$3:$F$1048576,$B97,COMPUTER!$H$3:$H$1048576,D$28))</f>
        <v/>
      </c>
      <c r="E97" s="92" t="str">
        <f>IF(COUNTIFS(COMPUTER!$F$3:$F$1048576,$B97,COMPUTER!$H$3:$H$1048576,E$28)=0,"",COUNTIFS(COMPUTER!$F$3:$F$1048576,$B97,COMPUTER!$H$3:$H$1048576,E$28))</f>
        <v/>
      </c>
      <c r="F97" s="92" t="str">
        <f>IF(COUNTIFS(COMPUTER!$F$3:$F$1048576,$B97,COMPUTER!$H$3:$H$1048576,F$28)=0,"",COUNTIFS(COMPUTER!$F$3:$F$1048576,$B97,COMPUTER!$H$3:$H$1048576,F$28))</f>
        <v/>
      </c>
    </row>
    <row r="98" spans="2:6" x14ac:dyDescent="0.25">
      <c r="B98" s="157">
        <f>CODEX!$F68</f>
        <v>0</v>
      </c>
      <c r="C98" s="92" t="str">
        <f>IF(COUNTIFS(COMPUTER!$F$3:$F$1048576,$B98,COMPUTER!$H$3:$H$1048576,C$28)=0,"",COUNTIFS(COMPUTER!$F$3:$F$1048576,$B98,COMPUTER!$H$3:$H$1048576,C$28))</f>
        <v/>
      </c>
      <c r="D98" s="92" t="str">
        <f>IF(COUNTIFS(COMPUTER!$F$3:$F$1048576,$B98,COMPUTER!$H$3:$H$1048576,D$28)=0,"",COUNTIFS(COMPUTER!$F$3:$F$1048576,$B98,COMPUTER!$H$3:$H$1048576,D$28))</f>
        <v/>
      </c>
      <c r="E98" s="92" t="str">
        <f>IF(COUNTIFS(COMPUTER!$F$3:$F$1048576,$B98,COMPUTER!$H$3:$H$1048576,E$28)=0,"",COUNTIFS(COMPUTER!$F$3:$F$1048576,$B98,COMPUTER!$H$3:$H$1048576,E$28))</f>
        <v/>
      </c>
      <c r="F98" s="92" t="str">
        <f>IF(COUNTIFS(COMPUTER!$F$3:$F$1048576,$B98,COMPUTER!$H$3:$H$1048576,F$28)=0,"",COUNTIFS(COMPUTER!$F$3:$F$1048576,$B98,COMPUTER!$H$3:$H$1048576,F$28))</f>
        <v/>
      </c>
    </row>
  </sheetData>
  <mergeCells count="32">
    <mergeCell ref="P16:U16"/>
    <mergeCell ref="P17:P18"/>
    <mergeCell ref="Q17:Q18"/>
    <mergeCell ref="P27:U27"/>
    <mergeCell ref="B17:B18"/>
    <mergeCell ref="C17:C18"/>
    <mergeCell ref="I17:I18"/>
    <mergeCell ref="J17:J18"/>
    <mergeCell ref="I27:M27"/>
    <mergeCell ref="B27:F27"/>
    <mergeCell ref="B16:F16"/>
    <mergeCell ref="I16:M16"/>
    <mergeCell ref="L11:M11"/>
    <mergeCell ref="L7:M7"/>
    <mergeCell ref="L8:L10"/>
    <mergeCell ref="B1:U1"/>
    <mergeCell ref="B2:U2"/>
    <mergeCell ref="G6:G7"/>
    <mergeCell ref="B5:G5"/>
    <mergeCell ref="I5:M5"/>
    <mergeCell ref="B6:B7"/>
    <mergeCell ref="C6:C7"/>
    <mergeCell ref="D6:D7"/>
    <mergeCell ref="E6:E7"/>
    <mergeCell ref="F6:F7"/>
    <mergeCell ref="I6:I7"/>
    <mergeCell ref="J6:J7"/>
    <mergeCell ref="B57:F57"/>
    <mergeCell ref="B58:B59"/>
    <mergeCell ref="C58:C59"/>
    <mergeCell ref="B72:F72"/>
    <mergeCell ref="L12:L14"/>
  </mergeCells>
  <pageMargins left="0.7" right="0.7" top="0.75" bottom="0.75" header="0.3" footer="0.3"/>
  <ignoredErrors>
    <ignoredError sqref="D13:F13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9E0C3-EC09-4B6F-A7B2-491949AF906C}">
  <dimension ref="A1:AR163"/>
  <sheetViews>
    <sheetView topLeftCell="V1" zoomScaleNormal="100" workbookViewId="0">
      <pane ySplit="2" topLeftCell="A19" activePane="bottomLeft" state="frozen"/>
      <selection activeCell="U1" sqref="U1"/>
      <selection pane="bottomLeft" activeCell="AC49" sqref="AC49"/>
    </sheetView>
  </sheetViews>
  <sheetFormatPr defaultColWidth="9" defaultRowHeight="12.75" x14ac:dyDescent="0.2"/>
  <cols>
    <col min="1" max="1" width="9" style="6"/>
    <col min="2" max="2" width="2" style="32" customWidth="1"/>
    <col min="3" max="3" width="21.5703125" style="6" bestFit="1" customWidth="1"/>
    <col min="4" max="4" width="2.28515625" style="32" customWidth="1"/>
    <col min="5" max="5" width="5.140625" style="6" customWidth="1"/>
    <col min="6" max="6" width="15.5703125" style="6" customWidth="1"/>
    <col min="7" max="7" width="2" style="32" customWidth="1"/>
    <col min="8" max="8" width="14.7109375" style="6" customWidth="1"/>
    <col min="9" max="9" width="2" style="32" customWidth="1"/>
    <col min="10" max="10" width="14.7109375" style="6" customWidth="1"/>
    <col min="11" max="11" width="2" style="32" customWidth="1"/>
    <col min="12" max="12" width="6.28515625" style="6" bestFit="1" customWidth="1"/>
    <col min="13" max="13" width="14.7109375" style="6" customWidth="1"/>
    <col min="14" max="14" width="2" style="32" customWidth="1"/>
    <col min="15" max="15" width="14.7109375" style="6" customWidth="1"/>
    <col min="16" max="16" width="2" style="32" customWidth="1"/>
    <col min="17" max="17" width="6.28515625" style="6" bestFit="1" customWidth="1"/>
    <col min="18" max="18" width="34" style="6" bestFit="1" customWidth="1"/>
    <col min="19" max="19" width="2" style="32" customWidth="1"/>
    <col min="20" max="20" width="8.85546875" style="6" bestFit="1" customWidth="1"/>
    <col min="21" max="21" width="24.28515625" style="6" bestFit="1" customWidth="1"/>
    <col min="22" max="22" width="2" style="32" customWidth="1"/>
    <col min="23" max="23" width="6" style="6" bestFit="1" customWidth="1"/>
    <col min="24" max="24" width="10.28515625" style="6" customWidth="1"/>
    <col min="25" max="25" width="13.140625" style="6" customWidth="1"/>
    <col min="26" max="26" width="30.42578125" style="6" bestFit="1" customWidth="1"/>
    <col min="27" max="27" width="13.140625" style="10" customWidth="1"/>
    <col min="28" max="28" width="30.42578125" style="67" bestFit="1" customWidth="1"/>
    <col min="29" max="29" width="7.140625" style="6" customWidth="1"/>
    <col min="30" max="30" width="33.140625" style="67" bestFit="1" customWidth="1"/>
    <col min="31" max="31" width="81.7109375" style="67" bestFit="1" customWidth="1"/>
    <col min="32" max="32" width="1.42578125" style="32" customWidth="1"/>
    <col min="33" max="33" width="9" style="6"/>
    <col min="34" max="34" width="7.140625" style="6" customWidth="1"/>
    <col min="35" max="35" width="9.28515625" style="6" bestFit="1" customWidth="1"/>
    <col min="36" max="36" width="9" style="6"/>
    <col min="37" max="37" width="13.140625" style="6" bestFit="1" customWidth="1"/>
    <col min="38" max="38" width="10" style="6" bestFit="1" customWidth="1"/>
    <col min="39" max="39" width="10.85546875" style="6" bestFit="1" customWidth="1"/>
    <col min="40" max="40" width="19.42578125" style="6" bestFit="1" customWidth="1"/>
    <col min="41" max="41" width="14.140625" style="6" bestFit="1" customWidth="1"/>
    <col min="42" max="42" width="20.7109375" style="6" bestFit="1" customWidth="1"/>
    <col min="43" max="43" width="20" style="6" bestFit="1" customWidth="1"/>
    <col min="44" max="16384" width="9" style="6"/>
  </cols>
  <sheetData>
    <row r="1" spans="1:44" x14ac:dyDescent="0.2">
      <c r="L1" s="11"/>
      <c r="Q1" s="11"/>
      <c r="R1" s="11"/>
      <c r="S1" s="33"/>
      <c r="T1" s="11"/>
      <c r="U1" s="11"/>
      <c r="V1" s="33"/>
      <c r="W1" s="11"/>
      <c r="X1" s="11"/>
      <c r="Y1" s="11"/>
      <c r="Z1" s="11"/>
      <c r="AA1" s="11"/>
      <c r="AB1" s="72"/>
      <c r="AC1" s="11"/>
      <c r="AD1" s="72"/>
      <c r="AE1" s="72"/>
      <c r="AF1" s="33"/>
      <c r="AI1" s="10" t="s">
        <v>1260</v>
      </c>
      <c r="AJ1" s="10"/>
      <c r="AK1" s="10" t="s">
        <v>1117</v>
      </c>
      <c r="AL1" s="10" t="s">
        <v>76</v>
      </c>
      <c r="AM1" s="10" t="s">
        <v>23</v>
      </c>
      <c r="AN1" s="10" t="s">
        <v>614</v>
      </c>
      <c r="AO1" s="10" t="s">
        <v>695</v>
      </c>
      <c r="AP1" s="10" t="s">
        <v>844</v>
      </c>
      <c r="AQ1" s="10" t="s">
        <v>874</v>
      </c>
      <c r="AR1" s="11" t="s">
        <v>1088</v>
      </c>
    </row>
    <row r="2" spans="1:44" s="11" customFormat="1" ht="25.5" x14ac:dyDescent="0.25">
      <c r="A2" s="30" t="s">
        <v>1261</v>
      </c>
      <c r="B2" s="138"/>
      <c r="C2" s="30" t="s">
        <v>690</v>
      </c>
      <c r="D2" s="138"/>
      <c r="E2" s="30" t="s">
        <v>25</v>
      </c>
      <c r="F2" s="30" t="s">
        <v>30</v>
      </c>
      <c r="G2" s="138"/>
      <c r="H2" s="30" t="s">
        <v>1262</v>
      </c>
      <c r="I2" s="138"/>
      <c r="J2" s="30" t="s">
        <v>1263</v>
      </c>
      <c r="K2" s="138"/>
      <c r="L2" s="30" t="s">
        <v>1264</v>
      </c>
      <c r="M2" s="30" t="s">
        <v>1265</v>
      </c>
      <c r="N2" s="138"/>
      <c r="O2" s="30" t="s">
        <v>1266</v>
      </c>
      <c r="P2" s="138"/>
      <c r="Q2" s="30" t="s">
        <v>1264</v>
      </c>
      <c r="R2" s="31" t="s">
        <v>1267</v>
      </c>
      <c r="S2" s="34"/>
      <c r="T2" s="30" t="s">
        <v>1268</v>
      </c>
      <c r="U2" s="30" t="s">
        <v>1269</v>
      </c>
      <c r="V2" s="33"/>
      <c r="W2" s="31" t="s">
        <v>1270</v>
      </c>
      <c r="X2" s="31" t="s">
        <v>1271</v>
      </c>
      <c r="Y2" s="31" t="s">
        <v>1272</v>
      </c>
      <c r="Z2" s="31" t="s">
        <v>1273</v>
      </c>
      <c r="AA2" s="31" t="s">
        <v>1272</v>
      </c>
      <c r="AB2" s="31" t="s">
        <v>1273</v>
      </c>
      <c r="AC2" s="31" t="s">
        <v>1274</v>
      </c>
      <c r="AD2" s="31" t="s">
        <v>1275</v>
      </c>
      <c r="AE2" s="31" t="s">
        <v>1276</v>
      </c>
      <c r="AF2" s="34"/>
      <c r="AI2" s="11" t="s">
        <v>105</v>
      </c>
      <c r="AK2" s="11" t="str">
        <f>AB4</f>
        <v>Computer</v>
      </c>
      <c r="AL2" s="11" t="str">
        <f>AD4</f>
        <v>PC</v>
      </c>
      <c r="AM2" s="11" t="str">
        <f>AD11</f>
        <v>Monitor</v>
      </c>
      <c r="AN2" s="11" t="str">
        <f t="shared" ref="AN2:AN7" si="0">AD18</f>
        <v>Access Point</v>
      </c>
      <c r="AO2" s="11" t="str">
        <f>AD27</f>
        <v>Printer</v>
      </c>
      <c r="AP2" s="11" t="str">
        <f>AD41</f>
        <v xml:space="preserve">Network Tools </v>
      </c>
      <c r="AQ2" s="11" t="str">
        <f>AD47</f>
        <v>AI &amp; Compute</v>
      </c>
      <c r="AR2" s="11" t="str">
        <f>AD53</f>
        <v>Server</v>
      </c>
    </row>
    <row r="3" spans="1:44" x14ac:dyDescent="0.2">
      <c r="A3" s="6" t="s">
        <v>485</v>
      </c>
      <c r="C3" s="6" t="s">
        <v>1277</v>
      </c>
      <c r="E3" s="11">
        <v>1</v>
      </c>
      <c r="F3" s="6" t="s">
        <v>124</v>
      </c>
      <c r="H3" s="6" t="s">
        <v>122</v>
      </c>
      <c r="J3" s="6" t="s">
        <v>104</v>
      </c>
      <c r="L3" s="10">
        <v>1</v>
      </c>
      <c r="M3" s="6" t="s">
        <v>105</v>
      </c>
      <c r="O3" s="6" t="s">
        <v>143</v>
      </c>
      <c r="Q3" s="10">
        <v>1</v>
      </c>
      <c r="R3" s="4" t="s">
        <v>836</v>
      </c>
      <c r="S3" s="35"/>
      <c r="T3" s="11">
        <v>1</v>
      </c>
      <c r="U3" s="6" t="s">
        <v>1278</v>
      </c>
      <c r="W3" s="38">
        <v>1</v>
      </c>
      <c r="X3" s="7" t="s">
        <v>105</v>
      </c>
      <c r="Y3" s="8" t="s">
        <v>1279</v>
      </c>
      <c r="Z3" s="68" t="s">
        <v>76</v>
      </c>
      <c r="AA3" s="38">
        <v>1</v>
      </c>
      <c r="AB3" s="38"/>
      <c r="AC3" s="38"/>
      <c r="AD3" s="38"/>
      <c r="AE3" s="38"/>
      <c r="AF3" s="66"/>
      <c r="AH3" s="7"/>
      <c r="AI3" s="7" t="s">
        <v>1178</v>
      </c>
      <c r="AJ3" s="11"/>
      <c r="AK3" s="11" t="str">
        <f>AB11</f>
        <v>Display</v>
      </c>
      <c r="AL3" s="11" t="str">
        <f>AD5</f>
        <v>Notebook</v>
      </c>
      <c r="AM3" s="11" t="str">
        <f>AD12</f>
        <v>TV</v>
      </c>
      <c r="AN3" s="11" t="str">
        <f t="shared" si="0"/>
        <v>Modem</v>
      </c>
      <c r="AO3" s="11" t="str">
        <f>AD28</f>
        <v>UPS</v>
      </c>
      <c r="AP3" s="11" t="str">
        <f>AD42</f>
        <v>Bracket TV + Port Electric</v>
      </c>
      <c r="AQ3" s="11" t="str">
        <f t="shared" ref="AQ3:AQ5" si="1">AD48</f>
        <v>Surveillance &amp; Autogate</v>
      </c>
      <c r="AR3" s="11"/>
    </row>
    <row r="4" spans="1:44" x14ac:dyDescent="0.2">
      <c r="A4" s="6" t="s">
        <v>74</v>
      </c>
      <c r="C4" s="6" t="s">
        <v>1280</v>
      </c>
      <c r="E4" s="11">
        <v>2</v>
      </c>
      <c r="F4" s="6" t="s">
        <v>211</v>
      </c>
      <c r="H4" s="6" t="s">
        <v>103</v>
      </c>
      <c r="J4" s="6" t="s">
        <v>354</v>
      </c>
      <c r="L4" s="10">
        <v>2</v>
      </c>
      <c r="M4" s="6" t="s">
        <v>1281</v>
      </c>
      <c r="O4" s="6" t="s">
        <v>154</v>
      </c>
      <c r="Q4" s="10">
        <v>2</v>
      </c>
      <c r="R4" s="4" t="s">
        <v>1172</v>
      </c>
      <c r="S4" s="35"/>
      <c r="T4" s="11">
        <v>2</v>
      </c>
      <c r="U4" s="6" t="s">
        <v>1282</v>
      </c>
      <c r="W4" s="38">
        <v>1</v>
      </c>
      <c r="X4" s="7" t="s">
        <v>105</v>
      </c>
      <c r="Y4" s="8" t="s">
        <v>1283</v>
      </c>
      <c r="Z4" s="68" t="s">
        <v>23</v>
      </c>
      <c r="AA4" s="8" t="s">
        <v>1279</v>
      </c>
      <c r="AB4" s="68" t="s">
        <v>76</v>
      </c>
      <c r="AC4" s="8" t="s">
        <v>1279</v>
      </c>
      <c r="AD4" s="68" t="s">
        <v>77</v>
      </c>
      <c r="AE4" s="68"/>
      <c r="AF4" s="66"/>
      <c r="AH4" s="7"/>
      <c r="AI4" s="7" t="s">
        <v>1284</v>
      </c>
      <c r="AJ4" s="11"/>
      <c r="AK4" s="11" t="str">
        <f>AB18</f>
        <v>Network Device</v>
      </c>
      <c r="AL4" s="11" t="str">
        <f>AD6</f>
        <v>AIO</v>
      </c>
      <c r="AM4" s="11" t="str">
        <f>AD13</f>
        <v>Projector</v>
      </c>
      <c r="AN4" s="11" t="str">
        <f t="shared" si="0"/>
        <v>Router</v>
      </c>
      <c r="AO4" s="11" t="str">
        <f>AD29</f>
        <v>MK SET</v>
      </c>
      <c r="AP4" s="11" t="str">
        <f>AD43</f>
        <v>Toolskit</v>
      </c>
      <c r="AQ4" s="11" t="str">
        <f t="shared" si="1"/>
        <v>Sensors &amp; Security</v>
      </c>
      <c r="AR4" s="11"/>
    </row>
    <row r="5" spans="1:44" x14ac:dyDescent="0.2">
      <c r="C5" s="6" t="s">
        <v>1285</v>
      </c>
      <c r="E5" s="11">
        <v>3</v>
      </c>
      <c r="F5" s="6" t="s">
        <v>203</v>
      </c>
      <c r="H5" s="6" t="s">
        <v>254</v>
      </c>
      <c r="J5" s="6" t="s">
        <v>1286</v>
      </c>
      <c r="L5" s="10">
        <v>3</v>
      </c>
      <c r="M5" s="6" t="s">
        <v>1178</v>
      </c>
      <c r="O5" s="6" t="s">
        <v>106</v>
      </c>
      <c r="Q5" s="10">
        <v>3</v>
      </c>
      <c r="R5" s="6" t="s">
        <v>1158</v>
      </c>
      <c r="S5" s="35"/>
      <c r="T5" s="11">
        <v>3</v>
      </c>
      <c r="U5" s="6" t="s">
        <v>1287</v>
      </c>
      <c r="W5" s="38">
        <v>1</v>
      </c>
      <c r="X5" s="7" t="s">
        <v>105</v>
      </c>
      <c r="Y5" s="8" t="s">
        <v>1288</v>
      </c>
      <c r="Z5" s="68" t="s">
        <v>614</v>
      </c>
      <c r="AA5" s="8" t="s">
        <v>1279</v>
      </c>
      <c r="AB5" s="68" t="s">
        <v>76</v>
      </c>
      <c r="AC5" s="8" t="s">
        <v>1283</v>
      </c>
      <c r="AD5" s="68" t="s">
        <v>125</v>
      </c>
      <c r="AE5" s="68"/>
      <c r="AF5" s="66"/>
      <c r="AH5" s="7"/>
      <c r="AI5" s="7"/>
      <c r="AJ5" s="11"/>
      <c r="AK5" s="11" t="str">
        <f>AB27</f>
        <v>Peripheral</v>
      </c>
      <c r="AL5" s="11" t="str">
        <f>AD7</f>
        <v>Handheld</v>
      </c>
      <c r="AM5" s="11" t="str">
        <f>AD14</f>
        <v>Videotron</v>
      </c>
      <c r="AN5" s="11" t="str">
        <f t="shared" si="0"/>
        <v>Firewall</v>
      </c>
      <c r="AO5" s="11" t="str">
        <f t="shared" ref="AO5:AO12" si="2">AD30</f>
        <v>Mouse</v>
      </c>
      <c r="AP5" s="11">
        <f>AD44</f>
        <v>0</v>
      </c>
      <c r="AQ5" s="11">
        <f t="shared" si="1"/>
        <v>0</v>
      </c>
      <c r="AR5" s="11"/>
    </row>
    <row r="6" spans="1:44" x14ac:dyDescent="0.2">
      <c r="C6" s="6" t="s">
        <v>124</v>
      </c>
      <c r="E6" s="11">
        <v>4</v>
      </c>
      <c r="F6" s="6" t="s">
        <v>186</v>
      </c>
      <c r="H6" s="6" t="s">
        <v>1289</v>
      </c>
      <c r="J6" s="6" t="s">
        <v>630</v>
      </c>
      <c r="L6" s="10">
        <v>4</v>
      </c>
      <c r="M6" s="6" t="s">
        <v>1290</v>
      </c>
      <c r="O6" s="6" t="s">
        <v>317</v>
      </c>
      <c r="Q6" s="10">
        <v>4</v>
      </c>
      <c r="R6" s="4" t="s">
        <v>1178</v>
      </c>
      <c r="S6" s="36"/>
      <c r="T6" s="11">
        <v>4</v>
      </c>
      <c r="U6" s="6" t="s">
        <v>1291</v>
      </c>
      <c r="W6" s="38">
        <v>1</v>
      </c>
      <c r="X6" s="7" t="s">
        <v>105</v>
      </c>
      <c r="Y6" s="8" t="s">
        <v>1292</v>
      </c>
      <c r="Z6" s="68" t="s">
        <v>695</v>
      </c>
      <c r="AA6" s="8" t="s">
        <v>1279</v>
      </c>
      <c r="AB6" s="68" t="s">
        <v>76</v>
      </c>
      <c r="AC6" s="8" t="s">
        <v>1288</v>
      </c>
      <c r="AD6" s="68" t="s">
        <v>240</v>
      </c>
      <c r="AE6" s="68"/>
      <c r="AF6" s="66"/>
      <c r="AI6" s="11"/>
      <c r="AJ6" s="11"/>
      <c r="AK6" s="11" t="str">
        <f>AB41</f>
        <v>Utilities</v>
      </c>
      <c r="AL6" s="11">
        <f>AD8</f>
        <v>0</v>
      </c>
      <c r="AM6" s="11">
        <f>AD15</f>
        <v>0</v>
      </c>
      <c r="AN6" s="11" t="str">
        <f t="shared" si="0"/>
        <v>Switch</v>
      </c>
      <c r="AO6" s="11" t="str">
        <f t="shared" si="2"/>
        <v>Keyboard</v>
      </c>
      <c r="AP6" s="11"/>
      <c r="AQ6" s="11"/>
    </row>
    <row r="7" spans="1:44" x14ac:dyDescent="0.2">
      <c r="C7" s="6" t="s">
        <v>186</v>
      </c>
      <c r="E7" s="11">
        <v>5</v>
      </c>
      <c r="F7" s="6" t="s">
        <v>197</v>
      </c>
      <c r="H7" s="6" t="s">
        <v>362</v>
      </c>
      <c r="J7" s="6" t="s">
        <v>1293</v>
      </c>
      <c r="L7" s="10">
        <v>5</v>
      </c>
      <c r="M7" s="6" t="s">
        <v>802</v>
      </c>
      <c r="Q7" s="10">
        <v>5</v>
      </c>
      <c r="R7" s="2" t="s">
        <v>1294</v>
      </c>
      <c r="S7" s="36"/>
      <c r="T7" s="11">
        <v>5</v>
      </c>
      <c r="U7" s="6" t="s">
        <v>1295</v>
      </c>
      <c r="W7" s="38">
        <v>1</v>
      </c>
      <c r="X7" s="7" t="s">
        <v>105</v>
      </c>
      <c r="Y7" s="8" t="s">
        <v>1296</v>
      </c>
      <c r="Z7" s="68" t="s">
        <v>844</v>
      </c>
      <c r="AA7" s="8" t="s">
        <v>1279</v>
      </c>
      <c r="AB7" s="68" t="s">
        <v>76</v>
      </c>
      <c r="AC7" s="8" t="s">
        <v>1292</v>
      </c>
      <c r="AD7" s="68" t="s">
        <v>256</v>
      </c>
      <c r="AE7" s="68"/>
      <c r="AF7" s="66"/>
      <c r="AI7" s="11"/>
      <c r="AJ7" s="11"/>
      <c r="AK7" s="11" t="str">
        <f>AB47</f>
        <v>IOT</v>
      </c>
      <c r="AL7" s="11"/>
      <c r="AM7" s="11"/>
      <c r="AN7" s="11">
        <f t="shared" si="0"/>
        <v>0</v>
      </c>
      <c r="AO7" s="11" t="str">
        <f t="shared" si="2"/>
        <v>External Storage</v>
      </c>
      <c r="AP7" s="11"/>
      <c r="AQ7" s="11"/>
    </row>
    <row r="8" spans="1:44" x14ac:dyDescent="0.2">
      <c r="C8" s="6" t="s">
        <v>211</v>
      </c>
      <c r="E8" s="11">
        <v>6</v>
      </c>
      <c r="F8" s="6" t="s">
        <v>1297</v>
      </c>
      <c r="J8" s="6" t="s">
        <v>1298</v>
      </c>
      <c r="L8" s="10"/>
      <c r="Q8" s="10">
        <v>6</v>
      </c>
      <c r="R8" s="2" t="s">
        <v>1201</v>
      </c>
      <c r="S8" s="36"/>
      <c r="T8" s="11">
        <v>6</v>
      </c>
      <c r="U8" s="6" t="s">
        <v>1299</v>
      </c>
      <c r="W8" s="38">
        <v>1</v>
      </c>
      <c r="X8" s="7" t="s">
        <v>105</v>
      </c>
      <c r="Y8" s="8" t="s">
        <v>1300</v>
      </c>
      <c r="Z8" s="68" t="s">
        <v>874</v>
      </c>
      <c r="AA8" s="8"/>
      <c r="AB8" s="68"/>
      <c r="AC8" s="8"/>
      <c r="AD8" s="68"/>
      <c r="AE8" s="68"/>
      <c r="AF8" s="66"/>
      <c r="AI8" s="11"/>
      <c r="AJ8" s="11"/>
      <c r="AK8" s="11" t="str">
        <f>AB53</f>
        <v>Server</v>
      </c>
      <c r="AL8" s="11"/>
      <c r="AM8" s="11"/>
      <c r="AN8" s="11"/>
      <c r="AO8" s="11" t="str">
        <f t="shared" si="2"/>
        <v>External Cam</v>
      </c>
      <c r="AP8" s="11"/>
      <c r="AQ8" s="11"/>
    </row>
    <row r="9" spans="1:44" x14ac:dyDescent="0.2">
      <c r="C9" s="6" t="s">
        <v>197</v>
      </c>
      <c r="E9" s="11">
        <v>7</v>
      </c>
      <c r="F9" s="6" t="s">
        <v>232</v>
      </c>
      <c r="L9" s="10"/>
      <c r="Q9" s="10">
        <v>7</v>
      </c>
      <c r="R9" s="2" t="s">
        <v>1221</v>
      </c>
      <c r="S9" s="36"/>
      <c r="T9" s="11">
        <v>7</v>
      </c>
      <c r="U9" s="6" t="s">
        <v>1301</v>
      </c>
      <c r="W9" s="38">
        <v>1</v>
      </c>
      <c r="X9" s="7" t="s">
        <v>105</v>
      </c>
      <c r="Y9" s="8" t="s">
        <v>1302</v>
      </c>
      <c r="Z9" s="72" t="s">
        <v>1088</v>
      </c>
      <c r="AE9" s="68"/>
      <c r="AI9" s="11"/>
      <c r="AJ9" s="11"/>
      <c r="AK9" s="11"/>
      <c r="AL9" s="11"/>
      <c r="AM9" s="11"/>
      <c r="AN9" s="11"/>
      <c r="AO9" s="11" t="str">
        <f t="shared" si="2"/>
        <v>Speaker</v>
      </c>
      <c r="AP9" s="11"/>
      <c r="AQ9" s="11"/>
    </row>
    <row r="10" spans="1:44" x14ac:dyDescent="0.2">
      <c r="C10" s="6" t="s">
        <v>771</v>
      </c>
      <c r="E10" s="11">
        <v>8</v>
      </c>
      <c r="F10" s="6" t="s">
        <v>319</v>
      </c>
      <c r="L10" s="10"/>
      <c r="Q10" s="10">
        <v>8</v>
      </c>
      <c r="R10" s="3" t="s">
        <v>1197</v>
      </c>
      <c r="S10" s="35"/>
      <c r="T10" s="11">
        <v>8</v>
      </c>
      <c r="U10" s="6" t="s">
        <v>1166</v>
      </c>
      <c r="W10" s="39">
        <v>2</v>
      </c>
      <c r="X10" s="7" t="s">
        <v>1281</v>
      </c>
      <c r="Y10" s="8" t="s">
        <v>1279</v>
      </c>
      <c r="Z10" s="68" t="s">
        <v>1303</v>
      </c>
      <c r="AE10" s="68"/>
      <c r="AI10" s="11"/>
      <c r="AJ10" s="11"/>
      <c r="AK10" s="11"/>
      <c r="AL10" s="11"/>
      <c r="AM10" s="11"/>
      <c r="AN10" s="11"/>
      <c r="AO10" s="11" t="str">
        <f t="shared" si="2"/>
        <v>Headphone</v>
      </c>
      <c r="AP10" s="11"/>
      <c r="AQ10" s="11"/>
    </row>
    <row r="11" spans="1:44" x14ac:dyDescent="0.2">
      <c r="C11" s="6" t="s">
        <v>1304</v>
      </c>
      <c r="E11" s="11">
        <v>9</v>
      </c>
      <c r="F11" s="6" t="s">
        <v>371</v>
      </c>
      <c r="L11" s="10"/>
      <c r="Q11" s="10">
        <v>9</v>
      </c>
      <c r="R11" s="4" t="s">
        <v>802</v>
      </c>
      <c r="S11" s="35"/>
      <c r="T11" s="11">
        <v>9</v>
      </c>
      <c r="U11" s="6" t="s">
        <v>1157</v>
      </c>
      <c r="W11" s="39">
        <v>2</v>
      </c>
      <c r="X11" s="7" t="s">
        <v>1305</v>
      </c>
      <c r="Y11" s="71" t="s">
        <v>1283</v>
      </c>
      <c r="Z11" s="68" t="s">
        <v>1306</v>
      </c>
      <c r="AA11" s="8" t="s">
        <v>1283</v>
      </c>
      <c r="AB11" s="68" t="s">
        <v>23</v>
      </c>
      <c r="AC11" s="8" t="s">
        <v>1279</v>
      </c>
      <c r="AD11" s="68" t="s">
        <v>533</v>
      </c>
      <c r="AE11" s="68"/>
      <c r="AI11" s="11"/>
      <c r="AJ11" s="11"/>
      <c r="AK11" s="11"/>
      <c r="AL11" s="11"/>
      <c r="AM11" s="11"/>
      <c r="AN11" s="11"/>
      <c r="AO11" s="11" t="str">
        <f t="shared" si="2"/>
        <v>Intercom</v>
      </c>
      <c r="AP11" s="11"/>
      <c r="AQ11" s="11"/>
    </row>
    <row r="12" spans="1:44" x14ac:dyDescent="0.2">
      <c r="C12" s="6" t="s">
        <v>809</v>
      </c>
      <c r="E12" s="11">
        <v>10</v>
      </c>
      <c r="F12" s="6" t="s">
        <v>1307</v>
      </c>
      <c r="L12" s="10"/>
      <c r="Q12" s="10">
        <v>10</v>
      </c>
      <c r="R12" s="4" t="s">
        <v>1142</v>
      </c>
      <c r="S12" s="35"/>
      <c r="T12" s="11">
        <v>10</v>
      </c>
      <c r="U12" s="6" t="s">
        <v>1218</v>
      </c>
      <c r="W12" s="39">
        <v>2</v>
      </c>
      <c r="X12" s="7" t="s">
        <v>1305</v>
      </c>
      <c r="Y12" s="8" t="s">
        <v>1288</v>
      </c>
      <c r="Z12" s="68" t="s">
        <v>1308</v>
      </c>
      <c r="AA12" s="8" t="s">
        <v>1283</v>
      </c>
      <c r="AB12" s="68" t="s">
        <v>23</v>
      </c>
      <c r="AC12" s="8" t="s">
        <v>1283</v>
      </c>
      <c r="AD12" s="68" t="s">
        <v>510</v>
      </c>
      <c r="AE12" s="68"/>
      <c r="AI12" s="11"/>
      <c r="AJ12" s="11"/>
      <c r="AK12" s="11"/>
      <c r="AL12" s="11"/>
      <c r="AM12" s="11"/>
      <c r="AN12" s="11"/>
      <c r="AO12" s="11">
        <f t="shared" si="2"/>
        <v>0</v>
      </c>
      <c r="AP12" s="11"/>
      <c r="AQ12" s="11"/>
    </row>
    <row r="13" spans="1:44" x14ac:dyDescent="0.2">
      <c r="C13" s="6" t="s">
        <v>1309</v>
      </c>
      <c r="E13" s="11">
        <v>11</v>
      </c>
      <c r="F13" s="6" t="s">
        <v>1310</v>
      </c>
      <c r="L13" s="11"/>
      <c r="Q13" s="10">
        <v>11</v>
      </c>
      <c r="R13" s="5" t="s">
        <v>1129</v>
      </c>
      <c r="T13" s="11">
        <v>11</v>
      </c>
      <c r="U13" s="6" t="s">
        <v>1177</v>
      </c>
      <c r="W13" s="39">
        <v>2</v>
      </c>
      <c r="X13" s="7" t="s">
        <v>1305</v>
      </c>
      <c r="Y13" s="71" t="s">
        <v>1292</v>
      </c>
      <c r="Z13" s="68" t="s">
        <v>1311</v>
      </c>
      <c r="AA13" s="8" t="s">
        <v>1283</v>
      </c>
      <c r="AB13" s="68" t="s">
        <v>23</v>
      </c>
      <c r="AC13" s="8" t="s">
        <v>1288</v>
      </c>
      <c r="AD13" s="68" t="s">
        <v>585</v>
      </c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4" x14ac:dyDescent="0.2">
      <c r="C14" s="6" t="s">
        <v>729</v>
      </c>
      <c r="E14" s="11">
        <v>12</v>
      </c>
      <c r="F14" s="6" t="s">
        <v>613</v>
      </c>
      <c r="T14" s="11">
        <v>12</v>
      </c>
      <c r="U14" s="6" t="s">
        <v>1128</v>
      </c>
      <c r="W14" s="40">
        <v>3</v>
      </c>
      <c r="X14" s="10" t="s">
        <v>1312</v>
      </c>
      <c r="Y14" s="8" t="s">
        <v>1279</v>
      </c>
      <c r="Z14" s="67" t="s">
        <v>1313</v>
      </c>
      <c r="AA14" s="8" t="s">
        <v>1283</v>
      </c>
      <c r="AB14" s="68" t="s">
        <v>23</v>
      </c>
      <c r="AC14" s="8" t="s">
        <v>1292</v>
      </c>
      <c r="AD14" s="68" t="s">
        <v>1314</v>
      </c>
      <c r="AE14" s="68"/>
      <c r="AF14" s="66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4" x14ac:dyDescent="0.2">
      <c r="C15" s="6" t="s">
        <v>730</v>
      </c>
      <c r="E15" s="11">
        <v>13</v>
      </c>
      <c r="F15" s="6" t="s">
        <v>1315</v>
      </c>
      <c r="T15" s="11">
        <v>13</v>
      </c>
      <c r="W15" s="40">
        <v>3</v>
      </c>
      <c r="X15" s="7" t="s">
        <v>1312</v>
      </c>
      <c r="Y15" s="71" t="s">
        <v>1283</v>
      </c>
      <c r="Z15" s="68" t="s">
        <v>1316</v>
      </c>
      <c r="AE15" s="68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1:44" x14ac:dyDescent="0.2">
      <c r="C16" s="6" t="s">
        <v>694</v>
      </c>
      <c r="E16" s="11">
        <v>14</v>
      </c>
      <c r="F16" s="6" t="s">
        <v>1317</v>
      </c>
      <c r="R16" s="9"/>
      <c r="S16" s="37"/>
      <c r="W16" s="40">
        <v>3</v>
      </c>
      <c r="X16" s="7" t="s">
        <v>1312</v>
      </c>
      <c r="Y16" s="8" t="s">
        <v>1288</v>
      </c>
      <c r="Z16" s="68" t="s">
        <v>1318</v>
      </c>
      <c r="AE16" s="68"/>
    </row>
    <row r="17" spans="3:31" x14ac:dyDescent="0.2">
      <c r="C17" s="6" t="s">
        <v>702</v>
      </c>
      <c r="E17" s="11">
        <v>15</v>
      </c>
      <c r="F17" s="6" t="s">
        <v>255</v>
      </c>
      <c r="W17" s="40">
        <v>3</v>
      </c>
      <c r="X17" s="7" t="s">
        <v>1312</v>
      </c>
      <c r="Y17" s="71" t="s">
        <v>1292</v>
      </c>
      <c r="Z17" s="68" t="s">
        <v>1319</v>
      </c>
      <c r="AE17" s="68"/>
    </row>
    <row r="18" spans="3:31" x14ac:dyDescent="0.2">
      <c r="C18" s="6" t="s">
        <v>756</v>
      </c>
      <c r="E18" s="11">
        <v>16</v>
      </c>
      <c r="F18" s="6" t="s">
        <v>478</v>
      </c>
      <c r="W18" s="41">
        <v>4</v>
      </c>
      <c r="X18" s="7" t="s">
        <v>1290</v>
      </c>
      <c r="Y18" s="8" t="s">
        <v>1279</v>
      </c>
      <c r="Z18" s="68" t="s">
        <v>1320</v>
      </c>
      <c r="AA18" s="8" t="s">
        <v>1288</v>
      </c>
      <c r="AB18" s="68" t="s">
        <v>614</v>
      </c>
      <c r="AC18" s="8" t="s">
        <v>1279</v>
      </c>
      <c r="AD18" s="68" t="s">
        <v>1245</v>
      </c>
      <c r="AE18" s="68"/>
    </row>
    <row r="19" spans="3:31" x14ac:dyDescent="0.2">
      <c r="C19" s="6" t="s">
        <v>371</v>
      </c>
      <c r="E19" s="11">
        <v>17</v>
      </c>
      <c r="F19" s="6" t="s">
        <v>1321</v>
      </c>
      <c r="W19" s="41">
        <v>4</v>
      </c>
      <c r="X19" s="7" t="s">
        <v>1290</v>
      </c>
      <c r="Y19" s="71" t="s">
        <v>1283</v>
      </c>
      <c r="Z19" s="68" t="s">
        <v>1322</v>
      </c>
      <c r="AA19" s="8" t="s">
        <v>1288</v>
      </c>
      <c r="AB19" s="68" t="s">
        <v>614</v>
      </c>
      <c r="AC19" s="8" t="s">
        <v>1283</v>
      </c>
      <c r="AD19" s="68" t="s">
        <v>1246</v>
      </c>
      <c r="AE19" s="68"/>
    </row>
    <row r="20" spans="3:31" x14ac:dyDescent="0.2">
      <c r="E20" s="11">
        <v>18</v>
      </c>
      <c r="F20" s="6" t="s">
        <v>75</v>
      </c>
      <c r="W20" s="41">
        <v>4</v>
      </c>
      <c r="X20" s="7" t="s">
        <v>1290</v>
      </c>
      <c r="Y20" s="8" t="s">
        <v>1288</v>
      </c>
      <c r="Z20" s="68" t="s">
        <v>1323</v>
      </c>
      <c r="AA20" s="8" t="s">
        <v>1288</v>
      </c>
      <c r="AB20" s="68" t="s">
        <v>614</v>
      </c>
      <c r="AC20" s="8" t="s">
        <v>1288</v>
      </c>
      <c r="AD20" s="68" t="s">
        <v>1247</v>
      </c>
      <c r="AE20" s="68"/>
    </row>
    <row r="21" spans="3:31" x14ac:dyDescent="0.2">
      <c r="E21" s="11">
        <v>19</v>
      </c>
      <c r="F21" s="6" t="s">
        <v>109</v>
      </c>
      <c r="W21" s="41">
        <v>4</v>
      </c>
      <c r="X21" s="7" t="s">
        <v>1290</v>
      </c>
      <c r="Y21" s="71" t="s">
        <v>1292</v>
      </c>
      <c r="Z21" s="68" t="s">
        <v>1324</v>
      </c>
      <c r="AA21" s="8" t="s">
        <v>1288</v>
      </c>
      <c r="AB21" s="68" t="s">
        <v>614</v>
      </c>
      <c r="AC21" s="8" t="s">
        <v>1292</v>
      </c>
      <c r="AD21" s="68" t="s">
        <v>615</v>
      </c>
      <c r="AE21" s="72"/>
    </row>
    <row r="22" spans="3:31" x14ac:dyDescent="0.2">
      <c r="E22" s="11">
        <v>20</v>
      </c>
      <c r="F22" s="6" t="s">
        <v>309</v>
      </c>
      <c r="W22" s="66">
        <v>5</v>
      </c>
      <c r="X22" s="7" t="s">
        <v>802</v>
      </c>
      <c r="Y22" s="8" t="s">
        <v>1279</v>
      </c>
      <c r="Z22" s="68" t="s">
        <v>1325</v>
      </c>
      <c r="AA22" s="8" t="s">
        <v>1288</v>
      </c>
      <c r="AB22" s="68" t="s">
        <v>614</v>
      </c>
      <c r="AC22" s="8" t="s">
        <v>1296</v>
      </c>
      <c r="AD22" s="68" t="s">
        <v>632</v>
      </c>
      <c r="AE22" s="68"/>
    </row>
    <row r="23" spans="3:31" x14ac:dyDescent="0.2">
      <c r="E23" s="11">
        <v>21</v>
      </c>
      <c r="F23" s="6" t="s">
        <v>178</v>
      </c>
      <c r="W23" s="66">
        <v>5</v>
      </c>
      <c r="X23" s="7" t="s">
        <v>802</v>
      </c>
      <c r="Y23" s="71" t="s">
        <v>1283</v>
      </c>
      <c r="Z23" s="68" t="s">
        <v>1326</v>
      </c>
      <c r="AE23" s="68"/>
    </row>
    <row r="24" spans="3:31" x14ac:dyDescent="0.2">
      <c r="E24" s="11">
        <v>22</v>
      </c>
      <c r="F24" s="6" t="s">
        <v>170</v>
      </c>
      <c r="W24" s="66">
        <v>5</v>
      </c>
      <c r="X24" s="7" t="s">
        <v>802</v>
      </c>
      <c r="Y24" s="8" t="s">
        <v>1288</v>
      </c>
      <c r="Z24" s="68" t="s">
        <v>1327</v>
      </c>
      <c r="AE24" s="68"/>
    </row>
    <row r="25" spans="3:31" x14ac:dyDescent="0.2">
      <c r="E25" s="11">
        <v>23</v>
      </c>
      <c r="F25" s="6" t="s">
        <v>646</v>
      </c>
      <c r="W25" s="66">
        <v>5</v>
      </c>
      <c r="X25" s="7" t="s">
        <v>802</v>
      </c>
      <c r="Y25" s="71" t="s">
        <v>1292</v>
      </c>
      <c r="Z25" s="68" t="s">
        <v>1328</v>
      </c>
      <c r="AE25" s="68"/>
    </row>
    <row r="26" spans="3:31" x14ac:dyDescent="0.2">
      <c r="E26" s="11">
        <v>24</v>
      </c>
      <c r="F26" s="6" t="s">
        <v>656</v>
      </c>
      <c r="W26" s="7"/>
      <c r="AE26" s="68"/>
    </row>
    <row r="27" spans="3:31" x14ac:dyDescent="0.2">
      <c r="E27" s="11">
        <v>25</v>
      </c>
      <c r="F27" s="6" t="s">
        <v>486</v>
      </c>
      <c r="W27" s="7"/>
      <c r="AA27" s="8" t="s">
        <v>1292</v>
      </c>
      <c r="AB27" s="68" t="s">
        <v>695</v>
      </c>
      <c r="AC27" s="8" t="s">
        <v>1279</v>
      </c>
      <c r="AD27" s="68" t="s">
        <v>704</v>
      </c>
      <c r="AE27" s="72"/>
    </row>
    <row r="28" spans="3:31" x14ac:dyDescent="0.2">
      <c r="W28" s="7"/>
      <c r="X28" s="7"/>
      <c r="Y28" s="7"/>
      <c r="Z28" s="7"/>
      <c r="AA28" s="8" t="s">
        <v>1292</v>
      </c>
      <c r="AB28" s="68" t="s">
        <v>695</v>
      </c>
      <c r="AC28" s="8" t="s">
        <v>1283</v>
      </c>
      <c r="AD28" s="68" t="s">
        <v>738</v>
      </c>
      <c r="AE28" s="72"/>
    </row>
    <row r="29" spans="3:31" x14ac:dyDescent="0.2">
      <c r="W29" s="7"/>
      <c r="X29" s="7"/>
      <c r="Y29" s="7"/>
      <c r="Z29" s="7"/>
      <c r="AA29" s="8" t="s">
        <v>1292</v>
      </c>
      <c r="AB29" s="68" t="s">
        <v>695</v>
      </c>
      <c r="AC29" s="8" t="s">
        <v>1288</v>
      </c>
      <c r="AD29" s="68" t="s">
        <v>696</v>
      </c>
      <c r="AE29" s="72"/>
    </row>
    <row r="30" spans="3:31" x14ac:dyDescent="0.2">
      <c r="W30" s="7"/>
      <c r="X30" s="7"/>
      <c r="Y30" s="7"/>
      <c r="Z30" s="7"/>
      <c r="AA30" s="8" t="s">
        <v>1292</v>
      </c>
      <c r="AB30" s="68" t="s">
        <v>695</v>
      </c>
      <c r="AC30" s="8" t="s">
        <v>1292</v>
      </c>
      <c r="AD30" s="68" t="s">
        <v>785</v>
      </c>
      <c r="AE30" s="68"/>
    </row>
    <row r="31" spans="3:31" x14ac:dyDescent="0.2">
      <c r="W31" s="7"/>
      <c r="X31" s="7"/>
      <c r="Y31" s="7"/>
      <c r="Z31" s="7"/>
      <c r="AA31" s="8" t="s">
        <v>1292</v>
      </c>
      <c r="AB31" s="68" t="s">
        <v>695</v>
      </c>
      <c r="AC31" s="8" t="s">
        <v>1296</v>
      </c>
      <c r="AD31" s="68" t="s">
        <v>803</v>
      </c>
      <c r="AE31" s="68"/>
    </row>
    <row r="32" spans="3:31" x14ac:dyDescent="0.2">
      <c r="W32" s="7"/>
      <c r="X32" s="7"/>
      <c r="Y32" s="7"/>
      <c r="Z32" s="7"/>
      <c r="AA32" s="8" t="s">
        <v>1292</v>
      </c>
      <c r="AB32" s="68" t="s">
        <v>695</v>
      </c>
      <c r="AC32" s="8" t="s">
        <v>1300</v>
      </c>
      <c r="AD32" s="72" t="s">
        <v>790</v>
      </c>
    </row>
    <row r="33" spans="18:31" x14ac:dyDescent="0.2">
      <c r="W33" s="7"/>
      <c r="X33" s="7"/>
      <c r="Y33" s="7"/>
      <c r="Z33" s="7"/>
      <c r="AA33" s="8" t="s">
        <v>1292</v>
      </c>
      <c r="AB33" s="68" t="s">
        <v>695</v>
      </c>
      <c r="AC33" s="8" t="s">
        <v>1302</v>
      </c>
      <c r="AD33" s="72" t="s">
        <v>1258</v>
      </c>
    </row>
    <row r="34" spans="18:31" x14ac:dyDescent="0.2">
      <c r="W34" s="7"/>
      <c r="X34" s="7"/>
      <c r="Y34" s="7"/>
      <c r="Z34" s="7"/>
      <c r="AA34" s="8" t="s">
        <v>1292</v>
      </c>
      <c r="AB34" s="68" t="s">
        <v>695</v>
      </c>
      <c r="AC34" s="8" t="s">
        <v>1329</v>
      </c>
      <c r="AD34" s="68" t="s">
        <v>758</v>
      </c>
    </row>
    <row r="35" spans="18:31" x14ac:dyDescent="0.2">
      <c r="W35" s="7"/>
      <c r="X35" s="7"/>
      <c r="Y35" s="7"/>
      <c r="Z35" s="7"/>
      <c r="AA35" s="8" t="s">
        <v>1292</v>
      </c>
      <c r="AB35" s="68" t="s">
        <v>695</v>
      </c>
      <c r="AC35" s="8" t="s">
        <v>1330</v>
      </c>
      <c r="AD35" s="68" t="s">
        <v>745</v>
      </c>
    </row>
    <row r="36" spans="18:31" x14ac:dyDescent="0.2">
      <c r="W36" s="7"/>
      <c r="X36" s="7"/>
      <c r="Y36" s="7"/>
      <c r="Z36" s="7"/>
      <c r="AA36" s="8" t="s">
        <v>1292</v>
      </c>
      <c r="AB36" s="68" t="s">
        <v>695</v>
      </c>
      <c r="AC36" s="8" t="s">
        <v>1331</v>
      </c>
      <c r="AD36" s="68" t="s">
        <v>1259</v>
      </c>
      <c r="AE36" s="68"/>
    </row>
    <row r="37" spans="18:31" x14ac:dyDescent="0.2">
      <c r="W37" s="7"/>
      <c r="X37" s="7"/>
      <c r="Y37" s="7"/>
      <c r="Z37" s="7"/>
    </row>
    <row r="38" spans="18:31" x14ac:dyDescent="0.2">
      <c r="W38" s="7"/>
      <c r="X38" s="7"/>
      <c r="Y38" s="7"/>
      <c r="Z38" s="7"/>
    </row>
    <row r="39" spans="18:31" x14ac:dyDescent="0.2">
      <c r="W39" s="7"/>
      <c r="X39" s="7"/>
      <c r="Y39" s="7"/>
      <c r="Z39" s="7"/>
    </row>
    <row r="40" spans="18:31" x14ac:dyDescent="0.2">
      <c r="W40" s="7"/>
      <c r="X40" s="7"/>
      <c r="Y40" s="7"/>
      <c r="Z40" s="7"/>
    </row>
    <row r="41" spans="18:31" x14ac:dyDescent="0.2">
      <c r="AA41" s="8" t="s">
        <v>1296</v>
      </c>
      <c r="AB41" s="68" t="s">
        <v>844</v>
      </c>
      <c r="AC41" s="8" t="s">
        <v>1279</v>
      </c>
      <c r="AD41" s="68" t="s">
        <v>854</v>
      </c>
      <c r="AE41" s="68"/>
    </row>
    <row r="42" spans="18:31" x14ac:dyDescent="0.2">
      <c r="R42" s="6" t="s">
        <v>1332</v>
      </c>
      <c r="AA42" s="8" t="s">
        <v>1296</v>
      </c>
      <c r="AB42" s="68" t="s">
        <v>844</v>
      </c>
      <c r="AC42" s="8" t="s">
        <v>1283</v>
      </c>
      <c r="AD42" s="68" t="s">
        <v>845</v>
      </c>
      <c r="AE42" s="68"/>
    </row>
    <row r="43" spans="18:31" x14ac:dyDescent="0.2">
      <c r="AA43" s="8" t="s">
        <v>1296</v>
      </c>
      <c r="AB43" s="68" t="s">
        <v>844</v>
      </c>
      <c r="AC43" s="8" t="s">
        <v>1288</v>
      </c>
      <c r="AD43" s="68" t="s">
        <v>1333</v>
      </c>
    </row>
    <row r="47" spans="18:31" x14ac:dyDescent="0.2">
      <c r="AA47" s="8" t="s">
        <v>1300</v>
      </c>
      <c r="AB47" s="68" t="s">
        <v>874</v>
      </c>
      <c r="AC47" s="8" t="s">
        <v>1279</v>
      </c>
      <c r="AD47" s="68" t="s">
        <v>875</v>
      </c>
      <c r="AE47" s="68" t="s">
        <v>1334</v>
      </c>
    </row>
    <row r="48" spans="18:31" ht="25.5" x14ac:dyDescent="0.2">
      <c r="AA48" s="8" t="s">
        <v>1300</v>
      </c>
      <c r="AB48" s="68" t="s">
        <v>874</v>
      </c>
      <c r="AC48" s="8" t="s">
        <v>1283</v>
      </c>
      <c r="AD48" s="68" t="s">
        <v>977</v>
      </c>
      <c r="AE48" s="139" t="s">
        <v>1335</v>
      </c>
    </row>
    <row r="49" spans="27:31" ht="25.5" x14ac:dyDescent="0.2">
      <c r="AA49" s="8" t="s">
        <v>1300</v>
      </c>
      <c r="AB49" s="68" t="s">
        <v>874</v>
      </c>
      <c r="AC49" s="8" t="s">
        <v>1288</v>
      </c>
      <c r="AD49" s="68" t="s">
        <v>1336</v>
      </c>
      <c r="AE49" s="139" t="s">
        <v>1337</v>
      </c>
    </row>
    <row r="53" spans="27:31" ht="51" x14ac:dyDescent="0.2">
      <c r="AA53" s="140" t="s">
        <v>1302</v>
      </c>
      <c r="AB53" s="72" t="s">
        <v>1088</v>
      </c>
      <c r="AC53" s="8" t="s">
        <v>1279</v>
      </c>
      <c r="AD53" s="72" t="s">
        <v>1088</v>
      </c>
      <c r="AE53" s="139" t="s">
        <v>1338</v>
      </c>
    </row>
    <row r="54" spans="27:31" x14ac:dyDescent="0.2">
      <c r="AA54" s="137"/>
      <c r="AC54" s="8"/>
    </row>
    <row r="55" spans="27:31" x14ac:dyDescent="0.2">
      <c r="AA55" s="137"/>
      <c r="AC55" s="71"/>
    </row>
    <row r="56" spans="27:31" x14ac:dyDescent="0.2">
      <c r="AA56" s="137"/>
      <c r="AC56" s="137"/>
    </row>
    <row r="57" spans="27:31" x14ac:dyDescent="0.2">
      <c r="AA57" s="39">
        <v>2</v>
      </c>
      <c r="AB57" s="39"/>
      <c r="AC57" s="39"/>
      <c r="AD57" s="39"/>
      <c r="AE57" s="39"/>
    </row>
    <row r="58" spans="27:31" x14ac:dyDescent="0.2">
      <c r="AA58" s="137" t="s">
        <v>1279</v>
      </c>
      <c r="AB58" s="67" t="s">
        <v>1303</v>
      </c>
      <c r="AC58" s="10" t="s">
        <v>1279</v>
      </c>
      <c r="AD58" s="67" t="s">
        <v>1339</v>
      </c>
    </row>
    <row r="59" spans="27:31" x14ac:dyDescent="0.2">
      <c r="AA59" s="137" t="s">
        <v>1279</v>
      </c>
      <c r="AB59" s="67" t="s">
        <v>1303</v>
      </c>
      <c r="AC59" s="10" t="s">
        <v>1283</v>
      </c>
      <c r="AD59" s="67" t="s">
        <v>1340</v>
      </c>
    </row>
    <row r="60" spans="27:31" x14ac:dyDescent="0.2">
      <c r="AA60" s="137" t="s">
        <v>1279</v>
      </c>
      <c r="AB60" s="67" t="s">
        <v>1303</v>
      </c>
      <c r="AC60" s="10" t="s">
        <v>1288</v>
      </c>
      <c r="AD60" s="67" t="s">
        <v>1341</v>
      </c>
    </row>
    <row r="61" spans="27:31" x14ac:dyDescent="0.2">
      <c r="AA61" s="137" t="s">
        <v>1279</v>
      </c>
      <c r="AB61" s="67" t="s">
        <v>1303</v>
      </c>
      <c r="AC61" s="10" t="s">
        <v>1292</v>
      </c>
      <c r="AD61" s="67" t="s">
        <v>1342</v>
      </c>
    </row>
    <row r="62" spans="27:31" x14ac:dyDescent="0.2">
      <c r="AA62" s="137" t="s">
        <v>1279</v>
      </c>
      <c r="AB62" s="67" t="s">
        <v>1303</v>
      </c>
      <c r="AC62" s="10" t="s">
        <v>1296</v>
      </c>
      <c r="AD62" s="67" t="s">
        <v>1343</v>
      </c>
    </row>
    <row r="63" spans="27:31" x14ac:dyDescent="0.2">
      <c r="AA63" s="137"/>
      <c r="AC63" s="10"/>
    </row>
    <row r="64" spans="27:31" x14ac:dyDescent="0.2">
      <c r="AA64" s="137" t="s">
        <v>1283</v>
      </c>
      <c r="AB64" s="67" t="s">
        <v>1306</v>
      </c>
      <c r="AC64" s="10" t="s">
        <v>1279</v>
      </c>
      <c r="AD64" s="67" t="s">
        <v>1344</v>
      </c>
    </row>
    <row r="65" spans="27:30" x14ac:dyDescent="0.2">
      <c r="AA65" s="137" t="s">
        <v>1283</v>
      </c>
      <c r="AB65" s="67" t="s">
        <v>1306</v>
      </c>
      <c r="AC65" s="10" t="s">
        <v>1283</v>
      </c>
      <c r="AD65" s="67" t="s">
        <v>1345</v>
      </c>
    </row>
    <row r="66" spans="27:30" x14ac:dyDescent="0.2">
      <c r="AA66" s="137" t="s">
        <v>1283</v>
      </c>
      <c r="AB66" s="67" t="s">
        <v>1306</v>
      </c>
      <c r="AC66" s="10" t="s">
        <v>1288</v>
      </c>
      <c r="AD66" s="67" t="s">
        <v>1346</v>
      </c>
    </row>
    <row r="67" spans="27:30" x14ac:dyDescent="0.2">
      <c r="AA67" s="137" t="s">
        <v>1283</v>
      </c>
      <c r="AB67" s="67" t="s">
        <v>1306</v>
      </c>
      <c r="AC67" s="10" t="s">
        <v>1292</v>
      </c>
      <c r="AD67" s="67" t="s">
        <v>1347</v>
      </c>
    </row>
    <row r="68" spans="27:30" x14ac:dyDescent="0.2">
      <c r="AA68" s="137" t="s">
        <v>1283</v>
      </c>
      <c r="AB68" s="67" t="s">
        <v>1306</v>
      </c>
      <c r="AC68" s="10" t="s">
        <v>1296</v>
      </c>
      <c r="AD68" s="67" t="s">
        <v>1348</v>
      </c>
    </row>
    <row r="69" spans="27:30" x14ac:dyDescent="0.2">
      <c r="AA69" s="137" t="s">
        <v>1283</v>
      </c>
      <c r="AB69" s="67" t="s">
        <v>1306</v>
      </c>
      <c r="AC69" s="10" t="s">
        <v>1300</v>
      </c>
      <c r="AD69" s="67" t="s">
        <v>1349</v>
      </c>
    </row>
    <row r="70" spans="27:30" x14ac:dyDescent="0.2">
      <c r="AA70" s="137"/>
      <c r="AC70" s="10"/>
    </row>
    <row r="71" spans="27:30" x14ac:dyDescent="0.2">
      <c r="AA71" s="137" t="s">
        <v>1288</v>
      </c>
      <c r="AB71" s="67" t="s">
        <v>1308</v>
      </c>
      <c r="AC71" s="10" t="s">
        <v>1279</v>
      </c>
      <c r="AD71" s="67" t="s">
        <v>1350</v>
      </c>
    </row>
    <row r="72" spans="27:30" x14ac:dyDescent="0.2">
      <c r="AA72" s="137" t="s">
        <v>1288</v>
      </c>
      <c r="AB72" s="67" t="s">
        <v>1308</v>
      </c>
      <c r="AC72" s="10" t="s">
        <v>1283</v>
      </c>
      <c r="AD72" s="67" t="s">
        <v>1351</v>
      </c>
    </row>
    <row r="73" spans="27:30" x14ac:dyDescent="0.2">
      <c r="AA73" s="137" t="s">
        <v>1288</v>
      </c>
      <c r="AB73" s="67" t="s">
        <v>1308</v>
      </c>
      <c r="AC73" s="10" t="s">
        <v>1288</v>
      </c>
      <c r="AD73" s="67" t="s">
        <v>1352</v>
      </c>
    </row>
    <row r="74" spans="27:30" x14ac:dyDescent="0.2">
      <c r="AA74" s="137" t="s">
        <v>1288</v>
      </c>
      <c r="AB74" s="67" t="s">
        <v>1308</v>
      </c>
      <c r="AC74" s="10" t="s">
        <v>1292</v>
      </c>
      <c r="AD74" s="67" t="s">
        <v>1353</v>
      </c>
    </row>
    <row r="75" spans="27:30" x14ac:dyDescent="0.2">
      <c r="AA75" s="137" t="s">
        <v>1288</v>
      </c>
      <c r="AB75" s="67" t="s">
        <v>1308</v>
      </c>
      <c r="AC75" s="10" t="s">
        <v>1296</v>
      </c>
      <c r="AD75" s="67" t="s">
        <v>1354</v>
      </c>
    </row>
    <row r="76" spans="27:30" x14ac:dyDescent="0.2">
      <c r="AA76" s="137"/>
      <c r="AC76" s="10"/>
    </row>
    <row r="77" spans="27:30" x14ac:dyDescent="0.2">
      <c r="AA77" s="137" t="s">
        <v>1292</v>
      </c>
      <c r="AB77" s="67" t="s">
        <v>1311</v>
      </c>
      <c r="AC77" s="10" t="s">
        <v>1279</v>
      </c>
      <c r="AD77" s="67" t="s">
        <v>1355</v>
      </c>
    </row>
    <row r="78" spans="27:30" x14ac:dyDescent="0.2">
      <c r="AA78" s="137" t="s">
        <v>1292</v>
      </c>
      <c r="AB78" s="67" t="s">
        <v>1311</v>
      </c>
      <c r="AC78" s="10" t="s">
        <v>1283</v>
      </c>
      <c r="AD78" s="67" t="s">
        <v>1356</v>
      </c>
    </row>
    <row r="79" spans="27:30" x14ac:dyDescent="0.2">
      <c r="AA79" s="137" t="s">
        <v>1292</v>
      </c>
      <c r="AB79" s="67" t="s">
        <v>1311</v>
      </c>
      <c r="AC79" s="10" t="s">
        <v>1288</v>
      </c>
      <c r="AD79" s="67" t="s">
        <v>1357</v>
      </c>
    </row>
    <row r="80" spans="27:30" x14ac:dyDescent="0.2">
      <c r="AA80" s="137" t="s">
        <v>1292</v>
      </c>
      <c r="AB80" s="67" t="s">
        <v>1311</v>
      </c>
      <c r="AC80" s="10" t="s">
        <v>1292</v>
      </c>
      <c r="AD80" s="67" t="s">
        <v>1358</v>
      </c>
    </row>
    <row r="81" spans="27:31" x14ac:dyDescent="0.2">
      <c r="AA81" s="137"/>
      <c r="AC81" s="10"/>
    </row>
    <row r="82" spans="27:31" x14ac:dyDescent="0.2">
      <c r="AA82" s="40">
        <v>3</v>
      </c>
      <c r="AB82" s="40"/>
      <c r="AC82" s="40"/>
      <c r="AD82" s="40"/>
      <c r="AE82" s="40"/>
    </row>
    <row r="83" spans="27:31" x14ac:dyDescent="0.2">
      <c r="AA83" s="137" t="s">
        <v>1279</v>
      </c>
      <c r="AB83" s="67" t="s">
        <v>1313</v>
      </c>
      <c r="AC83" s="10" t="s">
        <v>1279</v>
      </c>
      <c r="AD83" s="67" t="s">
        <v>1359</v>
      </c>
    </row>
    <row r="84" spans="27:31" x14ac:dyDescent="0.2">
      <c r="AA84" s="137" t="s">
        <v>1279</v>
      </c>
      <c r="AB84" s="67" t="s">
        <v>1313</v>
      </c>
      <c r="AC84" s="10" t="s">
        <v>1283</v>
      </c>
      <c r="AD84" s="67" t="s">
        <v>1360</v>
      </c>
    </row>
    <row r="85" spans="27:31" x14ac:dyDescent="0.2">
      <c r="AA85" s="137" t="s">
        <v>1279</v>
      </c>
      <c r="AB85" s="67" t="s">
        <v>1313</v>
      </c>
      <c r="AC85" s="10" t="s">
        <v>1288</v>
      </c>
      <c r="AD85" s="67" t="s">
        <v>1361</v>
      </c>
    </row>
    <row r="86" spans="27:31" x14ac:dyDescent="0.2">
      <c r="AA86" s="137" t="s">
        <v>1279</v>
      </c>
      <c r="AB86" s="67" t="s">
        <v>1313</v>
      </c>
      <c r="AC86" s="10" t="s">
        <v>1292</v>
      </c>
      <c r="AD86" s="67" t="s">
        <v>1362</v>
      </c>
    </row>
    <row r="87" spans="27:31" x14ac:dyDescent="0.2">
      <c r="AA87" s="137" t="s">
        <v>1279</v>
      </c>
      <c r="AB87" s="67" t="s">
        <v>1313</v>
      </c>
      <c r="AC87" s="10" t="s">
        <v>1296</v>
      </c>
      <c r="AD87" s="67" t="s">
        <v>1363</v>
      </c>
    </row>
    <row r="88" spans="27:31" x14ac:dyDescent="0.2">
      <c r="AA88" s="137" t="s">
        <v>1279</v>
      </c>
      <c r="AB88" s="67" t="s">
        <v>1313</v>
      </c>
      <c r="AC88" s="10" t="s">
        <v>1300</v>
      </c>
      <c r="AD88" s="67" t="s">
        <v>1364</v>
      </c>
    </row>
    <row r="89" spans="27:31" x14ac:dyDescent="0.2">
      <c r="AA89" s="137" t="s">
        <v>1279</v>
      </c>
      <c r="AB89" s="67" t="s">
        <v>1313</v>
      </c>
      <c r="AC89" s="10" t="s">
        <v>1302</v>
      </c>
      <c r="AD89" s="67" t="s">
        <v>1365</v>
      </c>
    </row>
    <row r="90" spans="27:31" x14ac:dyDescent="0.2">
      <c r="AA90" s="137"/>
      <c r="AC90" s="10"/>
    </row>
    <row r="91" spans="27:31" x14ac:dyDescent="0.2">
      <c r="AA91" s="137" t="s">
        <v>1283</v>
      </c>
      <c r="AB91" s="67" t="s">
        <v>1316</v>
      </c>
      <c r="AC91" s="10" t="s">
        <v>1279</v>
      </c>
      <c r="AD91" s="67" t="s">
        <v>1366</v>
      </c>
    </row>
    <row r="92" spans="27:31" x14ac:dyDescent="0.2">
      <c r="AA92" s="137" t="s">
        <v>1283</v>
      </c>
      <c r="AB92" s="67" t="s">
        <v>1316</v>
      </c>
      <c r="AC92" s="10" t="s">
        <v>1283</v>
      </c>
      <c r="AD92" s="67" t="s">
        <v>1367</v>
      </c>
    </row>
    <row r="93" spans="27:31" x14ac:dyDescent="0.2">
      <c r="AA93" s="137" t="s">
        <v>1283</v>
      </c>
      <c r="AB93" s="67" t="s">
        <v>1316</v>
      </c>
      <c r="AC93" s="10" t="s">
        <v>1288</v>
      </c>
      <c r="AD93" s="67" t="s">
        <v>1368</v>
      </c>
    </row>
    <row r="94" spans="27:31" x14ac:dyDescent="0.2">
      <c r="AA94" s="137" t="s">
        <v>1283</v>
      </c>
      <c r="AB94" s="67" t="s">
        <v>1316</v>
      </c>
      <c r="AC94" s="10" t="s">
        <v>1292</v>
      </c>
      <c r="AD94" s="67" t="s">
        <v>1369</v>
      </c>
    </row>
    <row r="95" spans="27:31" x14ac:dyDescent="0.2">
      <c r="AA95" s="137" t="s">
        <v>1283</v>
      </c>
      <c r="AB95" s="67" t="s">
        <v>1316</v>
      </c>
      <c r="AC95" s="10" t="s">
        <v>1296</v>
      </c>
      <c r="AD95" s="67" t="s">
        <v>1370</v>
      </c>
    </row>
    <row r="96" spans="27:31" x14ac:dyDescent="0.2">
      <c r="AA96" s="137" t="s">
        <v>1283</v>
      </c>
      <c r="AB96" s="67" t="s">
        <v>1316</v>
      </c>
      <c r="AC96" s="10" t="s">
        <v>1300</v>
      </c>
      <c r="AD96" s="67" t="s">
        <v>1371</v>
      </c>
    </row>
    <row r="97" spans="27:31" x14ac:dyDescent="0.2">
      <c r="AA97" s="137"/>
      <c r="AC97" s="10"/>
    </row>
    <row r="98" spans="27:31" x14ac:dyDescent="0.2">
      <c r="AA98" s="137" t="s">
        <v>1288</v>
      </c>
      <c r="AB98" s="67" t="s">
        <v>1318</v>
      </c>
      <c r="AC98" s="10" t="s">
        <v>1279</v>
      </c>
      <c r="AD98" s="67" t="s">
        <v>1372</v>
      </c>
    </row>
    <row r="99" spans="27:31" x14ac:dyDescent="0.2">
      <c r="AA99" s="137" t="s">
        <v>1288</v>
      </c>
      <c r="AB99" s="67" t="s">
        <v>1318</v>
      </c>
      <c r="AC99" s="10" t="s">
        <v>1283</v>
      </c>
      <c r="AD99" s="67" t="s">
        <v>1373</v>
      </c>
    </row>
    <row r="100" spans="27:31" x14ac:dyDescent="0.2">
      <c r="AA100" s="137" t="s">
        <v>1288</v>
      </c>
      <c r="AB100" s="67" t="s">
        <v>1318</v>
      </c>
      <c r="AC100" s="10" t="s">
        <v>1288</v>
      </c>
      <c r="AD100" s="67" t="s">
        <v>1374</v>
      </c>
    </row>
    <row r="101" spans="27:31" x14ac:dyDescent="0.2">
      <c r="AA101" s="137" t="s">
        <v>1288</v>
      </c>
      <c r="AB101" s="67" t="s">
        <v>1318</v>
      </c>
      <c r="AC101" s="10" t="s">
        <v>1292</v>
      </c>
      <c r="AD101" s="67" t="s">
        <v>1375</v>
      </c>
    </row>
    <row r="102" spans="27:31" x14ac:dyDescent="0.2">
      <c r="AA102" s="137" t="s">
        <v>1288</v>
      </c>
      <c r="AB102" s="67" t="s">
        <v>1318</v>
      </c>
      <c r="AC102" s="10" t="s">
        <v>1296</v>
      </c>
      <c r="AD102" s="67" t="s">
        <v>1376</v>
      </c>
    </row>
    <row r="103" spans="27:31" x14ac:dyDescent="0.2">
      <c r="AA103" s="137" t="s">
        <v>1288</v>
      </c>
      <c r="AB103" s="67" t="s">
        <v>1318</v>
      </c>
      <c r="AC103" s="10" t="s">
        <v>1300</v>
      </c>
      <c r="AD103" s="67" t="s">
        <v>1377</v>
      </c>
    </row>
    <row r="104" spans="27:31" x14ac:dyDescent="0.2">
      <c r="AA104" s="137"/>
      <c r="AC104" s="10"/>
    </row>
    <row r="105" spans="27:31" x14ac:dyDescent="0.2">
      <c r="AA105" s="137" t="s">
        <v>1292</v>
      </c>
      <c r="AB105" s="67" t="s">
        <v>1319</v>
      </c>
      <c r="AC105" s="10" t="s">
        <v>1279</v>
      </c>
      <c r="AD105" s="67" t="s">
        <v>1378</v>
      </c>
    </row>
    <row r="106" spans="27:31" x14ac:dyDescent="0.2">
      <c r="AA106" s="137" t="s">
        <v>1292</v>
      </c>
      <c r="AB106" s="67" t="s">
        <v>1319</v>
      </c>
      <c r="AC106" s="10" t="s">
        <v>1283</v>
      </c>
      <c r="AD106" s="67" t="s">
        <v>1379</v>
      </c>
    </row>
    <row r="107" spans="27:31" x14ac:dyDescent="0.2">
      <c r="AA107" s="137" t="s">
        <v>1292</v>
      </c>
      <c r="AB107" s="67" t="s">
        <v>1319</v>
      </c>
      <c r="AC107" s="10" t="s">
        <v>1288</v>
      </c>
      <c r="AD107" s="67" t="s">
        <v>1380</v>
      </c>
    </row>
    <row r="108" spans="27:31" x14ac:dyDescent="0.2">
      <c r="AA108" s="137" t="s">
        <v>1292</v>
      </c>
      <c r="AB108" s="67" t="s">
        <v>1319</v>
      </c>
      <c r="AC108" s="10" t="s">
        <v>1292</v>
      </c>
      <c r="AD108" s="67" t="s">
        <v>1381</v>
      </c>
    </row>
    <row r="109" spans="27:31" x14ac:dyDescent="0.2">
      <c r="AA109" s="137" t="s">
        <v>1292</v>
      </c>
      <c r="AB109" s="67" t="s">
        <v>1319</v>
      </c>
      <c r="AC109" s="10" t="s">
        <v>1296</v>
      </c>
      <c r="AD109" s="67" t="s">
        <v>1382</v>
      </c>
    </row>
    <row r="110" spans="27:31" x14ac:dyDescent="0.2">
      <c r="AA110" s="137" t="s">
        <v>1292</v>
      </c>
      <c r="AB110" s="67" t="s">
        <v>1319</v>
      </c>
      <c r="AC110" s="10" t="s">
        <v>1300</v>
      </c>
      <c r="AD110" s="67" t="s">
        <v>1383</v>
      </c>
    </row>
    <row r="111" spans="27:31" x14ac:dyDescent="0.2">
      <c r="AA111" s="137"/>
      <c r="AC111" s="10"/>
    </row>
    <row r="112" spans="27:31" x14ac:dyDescent="0.2">
      <c r="AA112" s="41">
        <v>4</v>
      </c>
      <c r="AB112" s="41"/>
      <c r="AC112" s="41"/>
      <c r="AD112" s="41"/>
      <c r="AE112" s="41"/>
    </row>
    <row r="113" spans="27:30" x14ac:dyDescent="0.2">
      <c r="AA113" s="137" t="s">
        <v>1279</v>
      </c>
      <c r="AB113" s="67" t="s">
        <v>1320</v>
      </c>
      <c r="AC113" s="10" t="s">
        <v>1279</v>
      </c>
      <c r="AD113" s="67" t="s">
        <v>1384</v>
      </c>
    </row>
    <row r="114" spans="27:30" x14ac:dyDescent="0.2">
      <c r="AA114" s="137" t="s">
        <v>1279</v>
      </c>
      <c r="AB114" s="67" t="s">
        <v>1320</v>
      </c>
      <c r="AC114" s="10" t="s">
        <v>1283</v>
      </c>
      <c r="AD114" s="67" t="s">
        <v>1385</v>
      </c>
    </row>
    <row r="115" spans="27:30" x14ac:dyDescent="0.2">
      <c r="AA115" s="137" t="s">
        <v>1279</v>
      </c>
      <c r="AB115" s="67" t="s">
        <v>1320</v>
      </c>
      <c r="AC115" s="10" t="s">
        <v>1288</v>
      </c>
      <c r="AD115" s="67" t="s">
        <v>1386</v>
      </c>
    </row>
    <row r="116" spans="27:30" x14ac:dyDescent="0.2">
      <c r="AA116" s="137" t="s">
        <v>1279</v>
      </c>
      <c r="AB116" s="67" t="s">
        <v>1320</v>
      </c>
      <c r="AC116" s="10" t="s">
        <v>1292</v>
      </c>
      <c r="AD116" s="67" t="s">
        <v>1387</v>
      </c>
    </row>
    <row r="117" spans="27:30" x14ac:dyDescent="0.2">
      <c r="AA117" s="137" t="s">
        <v>1279</v>
      </c>
      <c r="AB117" s="67" t="s">
        <v>1320</v>
      </c>
      <c r="AC117" s="10" t="s">
        <v>1296</v>
      </c>
      <c r="AD117" s="67" t="s">
        <v>1388</v>
      </c>
    </row>
    <row r="118" spans="27:30" x14ac:dyDescent="0.2">
      <c r="AA118" s="137" t="s">
        <v>1279</v>
      </c>
      <c r="AB118" s="67" t="s">
        <v>1320</v>
      </c>
      <c r="AC118" s="10" t="s">
        <v>1300</v>
      </c>
      <c r="AD118" s="67" t="s">
        <v>1389</v>
      </c>
    </row>
    <row r="119" spans="27:30" x14ac:dyDescent="0.2">
      <c r="AA119" s="137"/>
      <c r="AC119" s="10"/>
    </row>
    <row r="120" spans="27:30" x14ac:dyDescent="0.2">
      <c r="AA120" s="137" t="s">
        <v>1283</v>
      </c>
      <c r="AB120" s="67" t="s">
        <v>1322</v>
      </c>
      <c r="AC120" s="10" t="s">
        <v>1279</v>
      </c>
      <c r="AD120" s="67" t="s">
        <v>1390</v>
      </c>
    </row>
    <row r="121" spans="27:30" x14ac:dyDescent="0.2">
      <c r="AA121" s="137" t="s">
        <v>1283</v>
      </c>
      <c r="AB121" s="67" t="s">
        <v>1322</v>
      </c>
      <c r="AC121" s="10" t="s">
        <v>1283</v>
      </c>
      <c r="AD121" s="67" t="s">
        <v>1391</v>
      </c>
    </row>
    <row r="122" spans="27:30" x14ac:dyDescent="0.2">
      <c r="AA122" s="137" t="s">
        <v>1283</v>
      </c>
      <c r="AB122" s="67" t="s">
        <v>1322</v>
      </c>
      <c r="AC122" s="10" t="s">
        <v>1288</v>
      </c>
      <c r="AD122" s="67" t="s">
        <v>1392</v>
      </c>
    </row>
    <row r="123" spans="27:30" x14ac:dyDescent="0.2">
      <c r="AA123" s="137" t="s">
        <v>1283</v>
      </c>
      <c r="AB123" s="67" t="s">
        <v>1322</v>
      </c>
      <c r="AC123" s="10" t="s">
        <v>1292</v>
      </c>
      <c r="AD123" s="67" t="s">
        <v>1393</v>
      </c>
    </row>
    <row r="124" spans="27:30" x14ac:dyDescent="0.2">
      <c r="AA124" s="137" t="s">
        <v>1283</v>
      </c>
      <c r="AB124" s="67" t="s">
        <v>1322</v>
      </c>
      <c r="AC124" s="10" t="s">
        <v>1296</v>
      </c>
      <c r="AD124" s="67" t="s">
        <v>1394</v>
      </c>
    </row>
    <row r="125" spans="27:30" x14ac:dyDescent="0.2">
      <c r="AA125" s="137" t="s">
        <v>1283</v>
      </c>
      <c r="AB125" s="67" t="s">
        <v>1322</v>
      </c>
      <c r="AC125" s="10" t="s">
        <v>1300</v>
      </c>
      <c r="AD125" s="67" t="s">
        <v>1395</v>
      </c>
    </row>
    <row r="126" spans="27:30" x14ac:dyDescent="0.2">
      <c r="AA126" s="137"/>
      <c r="AC126" s="10"/>
    </row>
    <row r="127" spans="27:30" x14ac:dyDescent="0.2">
      <c r="AA127" s="137" t="s">
        <v>1288</v>
      </c>
      <c r="AB127" s="67" t="s">
        <v>1323</v>
      </c>
      <c r="AC127" s="10" t="s">
        <v>1279</v>
      </c>
      <c r="AD127" s="67" t="s">
        <v>1396</v>
      </c>
    </row>
    <row r="128" spans="27:30" x14ac:dyDescent="0.2">
      <c r="AA128" s="137" t="s">
        <v>1288</v>
      </c>
      <c r="AB128" s="67" t="s">
        <v>1323</v>
      </c>
      <c r="AC128" s="10" t="s">
        <v>1283</v>
      </c>
      <c r="AD128" s="67" t="s">
        <v>1397</v>
      </c>
    </row>
    <row r="129" spans="27:31" x14ac:dyDescent="0.2">
      <c r="AA129" s="137" t="s">
        <v>1288</v>
      </c>
      <c r="AB129" s="67" t="s">
        <v>1323</v>
      </c>
      <c r="AC129" s="10" t="s">
        <v>1288</v>
      </c>
      <c r="AD129" s="67" t="s">
        <v>1398</v>
      </c>
    </row>
    <row r="130" spans="27:31" x14ac:dyDescent="0.2">
      <c r="AA130" s="137" t="s">
        <v>1288</v>
      </c>
      <c r="AB130" s="67" t="s">
        <v>1323</v>
      </c>
      <c r="AC130" s="10" t="s">
        <v>1292</v>
      </c>
      <c r="AD130" s="67" t="s">
        <v>1399</v>
      </c>
    </row>
    <row r="131" spans="27:31" x14ac:dyDescent="0.2">
      <c r="AA131" s="137"/>
      <c r="AC131" s="10"/>
    </row>
    <row r="132" spans="27:31" x14ac:dyDescent="0.2">
      <c r="AA132" s="137" t="s">
        <v>1292</v>
      </c>
      <c r="AB132" s="67" t="s">
        <v>1324</v>
      </c>
      <c r="AC132" s="10" t="s">
        <v>1279</v>
      </c>
      <c r="AD132" s="67" t="s">
        <v>1400</v>
      </c>
    </row>
    <row r="133" spans="27:31" x14ac:dyDescent="0.2">
      <c r="AA133" s="137" t="s">
        <v>1292</v>
      </c>
      <c r="AB133" s="67" t="s">
        <v>1324</v>
      </c>
      <c r="AC133" s="10" t="s">
        <v>1283</v>
      </c>
      <c r="AD133" s="67" t="s">
        <v>1401</v>
      </c>
    </row>
    <row r="134" spans="27:31" x14ac:dyDescent="0.2">
      <c r="AA134" s="137" t="s">
        <v>1292</v>
      </c>
      <c r="AB134" s="67" t="s">
        <v>1324</v>
      </c>
      <c r="AC134" s="10" t="s">
        <v>1288</v>
      </c>
      <c r="AD134" s="67" t="s">
        <v>1402</v>
      </c>
    </row>
    <row r="135" spans="27:31" x14ac:dyDescent="0.2">
      <c r="AA135" s="137" t="s">
        <v>1292</v>
      </c>
      <c r="AB135" s="67" t="s">
        <v>1324</v>
      </c>
      <c r="AC135" s="10" t="s">
        <v>1292</v>
      </c>
      <c r="AD135" s="67" t="s">
        <v>1403</v>
      </c>
    </row>
    <row r="136" spans="27:31" x14ac:dyDescent="0.2">
      <c r="AA136" s="137"/>
      <c r="AC136" s="10"/>
    </row>
    <row r="137" spans="27:31" x14ac:dyDescent="0.2">
      <c r="AA137" s="66">
        <v>5</v>
      </c>
      <c r="AB137" s="66"/>
      <c r="AC137" s="66"/>
      <c r="AD137" s="66"/>
      <c r="AE137" s="66"/>
    </row>
    <row r="138" spans="27:31" x14ac:dyDescent="0.2">
      <c r="AA138" s="137" t="s">
        <v>1279</v>
      </c>
      <c r="AB138" s="67" t="s">
        <v>1325</v>
      </c>
      <c r="AC138" s="10" t="s">
        <v>1279</v>
      </c>
      <c r="AD138" s="67" t="s">
        <v>1404</v>
      </c>
    </row>
    <row r="139" spans="27:31" x14ac:dyDescent="0.2">
      <c r="AA139" s="137" t="s">
        <v>1279</v>
      </c>
      <c r="AB139" s="67" t="s">
        <v>1325</v>
      </c>
      <c r="AC139" s="10" t="s">
        <v>1283</v>
      </c>
      <c r="AD139" s="67" t="s">
        <v>1405</v>
      </c>
    </row>
    <row r="140" spans="27:31" x14ac:dyDescent="0.2">
      <c r="AA140" s="137" t="s">
        <v>1279</v>
      </c>
      <c r="AB140" s="67" t="s">
        <v>1325</v>
      </c>
      <c r="AC140" s="10" t="s">
        <v>1288</v>
      </c>
      <c r="AD140" s="67" t="s">
        <v>1406</v>
      </c>
    </row>
    <row r="141" spans="27:31" x14ac:dyDescent="0.2">
      <c r="AA141" s="137" t="s">
        <v>1279</v>
      </c>
      <c r="AB141" s="67" t="s">
        <v>1325</v>
      </c>
      <c r="AC141" s="10" t="s">
        <v>1292</v>
      </c>
      <c r="AD141" s="67" t="s">
        <v>1407</v>
      </c>
    </row>
    <row r="142" spans="27:31" x14ac:dyDescent="0.2">
      <c r="AA142" s="137" t="s">
        <v>1279</v>
      </c>
      <c r="AB142" s="67" t="s">
        <v>1325</v>
      </c>
      <c r="AC142" s="10" t="s">
        <v>1296</v>
      </c>
      <c r="AD142" s="67" t="s">
        <v>1408</v>
      </c>
    </row>
    <row r="143" spans="27:31" x14ac:dyDescent="0.2">
      <c r="AA143" s="137" t="s">
        <v>1279</v>
      </c>
      <c r="AB143" s="67" t="s">
        <v>1325</v>
      </c>
      <c r="AC143" s="10" t="s">
        <v>1300</v>
      </c>
      <c r="AD143" s="67" t="s">
        <v>1409</v>
      </c>
    </row>
    <row r="144" spans="27:31" x14ac:dyDescent="0.2">
      <c r="AA144" s="137"/>
      <c r="AC144" s="10"/>
    </row>
    <row r="145" spans="27:30" x14ac:dyDescent="0.2">
      <c r="AA145" s="137" t="s">
        <v>1283</v>
      </c>
      <c r="AB145" s="67" t="s">
        <v>1326</v>
      </c>
      <c r="AC145" s="10" t="s">
        <v>1279</v>
      </c>
      <c r="AD145" s="67" t="s">
        <v>1410</v>
      </c>
    </row>
    <row r="146" spans="27:30" x14ac:dyDescent="0.2">
      <c r="AA146" s="137" t="s">
        <v>1283</v>
      </c>
      <c r="AB146" s="67" t="s">
        <v>1326</v>
      </c>
      <c r="AC146" s="10" t="s">
        <v>1283</v>
      </c>
      <c r="AD146" s="67" t="s">
        <v>1411</v>
      </c>
    </row>
    <row r="147" spans="27:30" x14ac:dyDescent="0.2">
      <c r="AA147" s="137" t="s">
        <v>1283</v>
      </c>
      <c r="AB147" s="67" t="s">
        <v>1326</v>
      </c>
      <c r="AC147" s="10" t="s">
        <v>1288</v>
      </c>
      <c r="AD147" s="67" t="s">
        <v>1412</v>
      </c>
    </row>
    <row r="148" spans="27:30" x14ac:dyDescent="0.2">
      <c r="AA148" s="137" t="s">
        <v>1283</v>
      </c>
      <c r="AB148" s="67" t="s">
        <v>1326</v>
      </c>
      <c r="AC148" s="10" t="s">
        <v>1292</v>
      </c>
      <c r="AD148" s="67" t="s">
        <v>1413</v>
      </c>
    </row>
    <row r="149" spans="27:30" x14ac:dyDescent="0.2">
      <c r="AA149" s="137" t="s">
        <v>1283</v>
      </c>
      <c r="AB149" s="67" t="s">
        <v>1326</v>
      </c>
      <c r="AC149" s="10" t="s">
        <v>1296</v>
      </c>
      <c r="AD149" s="67" t="s">
        <v>1414</v>
      </c>
    </row>
    <row r="150" spans="27:30" x14ac:dyDescent="0.2">
      <c r="AA150" s="137" t="s">
        <v>1283</v>
      </c>
      <c r="AB150" s="67" t="s">
        <v>1326</v>
      </c>
      <c r="AC150" s="10" t="s">
        <v>1300</v>
      </c>
      <c r="AD150" s="67" t="s">
        <v>1415</v>
      </c>
    </row>
    <row r="151" spans="27:30" x14ac:dyDescent="0.2">
      <c r="AA151" s="137"/>
      <c r="AC151" s="10"/>
    </row>
    <row r="152" spans="27:30" x14ac:dyDescent="0.2">
      <c r="AA152" s="137" t="s">
        <v>1288</v>
      </c>
      <c r="AB152" s="67" t="s">
        <v>1327</v>
      </c>
      <c r="AC152" s="10" t="s">
        <v>1279</v>
      </c>
      <c r="AD152" s="67" t="s">
        <v>1416</v>
      </c>
    </row>
    <row r="153" spans="27:30" x14ac:dyDescent="0.2">
      <c r="AA153" s="137" t="s">
        <v>1288</v>
      </c>
      <c r="AB153" s="67" t="s">
        <v>1327</v>
      </c>
      <c r="AC153" s="10" t="s">
        <v>1283</v>
      </c>
      <c r="AD153" s="67" t="s">
        <v>1417</v>
      </c>
    </row>
    <row r="154" spans="27:30" x14ac:dyDescent="0.2">
      <c r="AA154" s="137" t="s">
        <v>1288</v>
      </c>
      <c r="AB154" s="67" t="s">
        <v>1327</v>
      </c>
      <c r="AC154" s="10" t="s">
        <v>1288</v>
      </c>
      <c r="AD154" s="67" t="s">
        <v>1418</v>
      </c>
    </row>
    <row r="155" spans="27:30" x14ac:dyDescent="0.2">
      <c r="AA155" s="137" t="s">
        <v>1288</v>
      </c>
      <c r="AB155" s="67" t="s">
        <v>1327</v>
      </c>
      <c r="AC155" s="10" t="s">
        <v>1292</v>
      </c>
      <c r="AD155" s="67" t="s">
        <v>1419</v>
      </c>
    </row>
    <row r="156" spans="27:30" x14ac:dyDescent="0.2">
      <c r="AA156" s="137" t="s">
        <v>1288</v>
      </c>
      <c r="AB156" s="67" t="s">
        <v>1327</v>
      </c>
      <c r="AC156" s="10" t="s">
        <v>1296</v>
      </c>
      <c r="AD156" s="67" t="s">
        <v>1420</v>
      </c>
    </row>
    <row r="157" spans="27:30" x14ac:dyDescent="0.2">
      <c r="AA157" s="137" t="s">
        <v>1288</v>
      </c>
      <c r="AB157" s="67" t="s">
        <v>1327</v>
      </c>
      <c r="AC157" s="10" t="s">
        <v>1300</v>
      </c>
      <c r="AD157" s="67" t="s">
        <v>1421</v>
      </c>
    </row>
    <row r="158" spans="27:30" x14ac:dyDescent="0.2">
      <c r="AA158" s="137"/>
      <c r="AC158" s="10"/>
    </row>
    <row r="159" spans="27:30" x14ac:dyDescent="0.2">
      <c r="AA159" s="137" t="s">
        <v>1292</v>
      </c>
      <c r="AB159" s="67" t="s">
        <v>1328</v>
      </c>
      <c r="AC159" s="10" t="s">
        <v>1279</v>
      </c>
      <c r="AD159" s="67" t="s">
        <v>1422</v>
      </c>
    </row>
    <row r="160" spans="27:30" x14ac:dyDescent="0.2">
      <c r="AA160" s="137" t="s">
        <v>1292</v>
      </c>
      <c r="AB160" s="67" t="s">
        <v>1328</v>
      </c>
      <c r="AC160" s="10" t="s">
        <v>1283</v>
      </c>
      <c r="AD160" s="67" t="s">
        <v>1423</v>
      </c>
    </row>
    <row r="161" spans="27:30" x14ac:dyDescent="0.2">
      <c r="AA161" s="137" t="s">
        <v>1292</v>
      </c>
      <c r="AB161" s="67" t="s">
        <v>1328</v>
      </c>
      <c r="AC161" s="10" t="s">
        <v>1288</v>
      </c>
      <c r="AD161" s="67" t="s">
        <v>1424</v>
      </c>
    </row>
    <row r="162" spans="27:30" x14ac:dyDescent="0.2">
      <c r="AA162" s="137" t="s">
        <v>1292</v>
      </c>
      <c r="AB162" s="67" t="s">
        <v>1328</v>
      </c>
      <c r="AC162" s="10" t="s">
        <v>1292</v>
      </c>
      <c r="AD162" s="67" t="s">
        <v>1425</v>
      </c>
    </row>
    <row r="163" spans="27:30" x14ac:dyDescent="0.2">
      <c r="AA163" s="137" t="s">
        <v>1292</v>
      </c>
      <c r="AB163" s="67" t="s">
        <v>1328</v>
      </c>
      <c r="AC163" s="10" t="s">
        <v>1296</v>
      </c>
      <c r="AD163" s="67" t="s">
        <v>1426</v>
      </c>
    </row>
  </sheetData>
  <phoneticPr fontId="10" type="noConversion"/>
  <pageMargins left="0.7" right="0.7" top="0.75" bottom="0.75" header="0.3" footer="0.3"/>
  <pageSetup paperSize="262" orientation="landscape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69EB7-968D-4CCB-AD1A-09BC8E2E326F}">
  <dimension ref="A1:AC7"/>
  <sheetViews>
    <sheetView zoomScaleNormal="100" workbookViewId="0">
      <selection activeCell="B5" sqref="B5"/>
    </sheetView>
  </sheetViews>
  <sheetFormatPr defaultColWidth="9.140625" defaultRowHeight="13.5" x14ac:dyDescent="0.25"/>
  <cols>
    <col min="1" max="1" width="8" style="24" customWidth="1"/>
    <col min="2" max="2" width="17.5703125" style="23" customWidth="1"/>
    <col min="3" max="3" width="13.28515625" style="25" customWidth="1"/>
    <col min="4" max="5" width="10.7109375" style="23" customWidth="1"/>
    <col min="6" max="6" width="12.42578125" style="23" customWidth="1"/>
    <col min="7" max="8" width="19.85546875" style="23" customWidth="1"/>
    <col min="9" max="9" width="15.85546875" style="23" customWidth="1"/>
    <col min="10" max="10" width="9" style="23" customWidth="1"/>
    <col min="11" max="11" width="15.5703125" style="23" customWidth="1"/>
    <col min="12" max="12" width="11" style="23" customWidth="1"/>
    <col min="13" max="13" width="14" style="23" customWidth="1"/>
    <col min="14" max="17" width="16.28515625" style="23" customWidth="1"/>
    <col min="18" max="20" width="18.42578125" style="23" customWidth="1"/>
    <col min="21" max="21" width="14.28515625" style="23" customWidth="1"/>
    <col min="22" max="22" width="9.42578125" style="23" customWidth="1"/>
    <col min="23" max="23" width="8.140625" style="23" customWidth="1"/>
    <col min="24" max="24" width="9.140625" style="23" bestFit="1"/>
    <col min="25" max="25" width="9.5703125" style="23" customWidth="1"/>
    <col min="26" max="26" width="12" style="23" customWidth="1"/>
    <col min="27" max="16384" width="9.140625" style="23"/>
  </cols>
  <sheetData>
    <row r="1" spans="1:29" ht="18.75" x14ac:dyDescent="0.3">
      <c r="A1" s="236" t="s">
        <v>1427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</row>
    <row r="3" spans="1:29" ht="15" customHeight="1" x14ac:dyDescent="0.25">
      <c r="A3" s="26"/>
      <c r="B3" s="27" t="s">
        <v>13</v>
      </c>
      <c r="C3" s="240" t="s">
        <v>14</v>
      </c>
      <c r="D3" s="241"/>
      <c r="E3" s="242" t="s">
        <v>15</v>
      </c>
      <c r="F3" s="243"/>
      <c r="G3" s="243"/>
      <c r="H3" s="243"/>
      <c r="I3" s="243"/>
      <c r="J3" s="244"/>
      <c r="K3" s="242" t="s">
        <v>16</v>
      </c>
      <c r="L3" s="243"/>
      <c r="M3" s="244"/>
      <c r="N3" s="237" t="s">
        <v>17</v>
      </c>
      <c r="O3" s="237"/>
      <c r="P3" s="237" t="s">
        <v>18</v>
      </c>
      <c r="Q3" s="237"/>
      <c r="R3" s="237" t="s">
        <v>19</v>
      </c>
      <c r="S3" s="237"/>
      <c r="T3" s="237"/>
      <c r="U3" s="237" t="s">
        <v>20</v>
      </c>
      <c r="V3" s="237"/>
      <c r="W3" s="237"/>
      <c r="X3" s="237"/>
      <c r="Y3" s="237"/>
      <c r="Z3" s="238" t="s">
        <v>63</v>
      </c>
      <c r="AA3" s="235" t="s">
        <v>24</v>
      </c>
      <c r="AB3" s="235"/>
      <c r="AC3" s="235"/>
    </row>
    <row r="4" spans="1:29" x14ac:dyDescent="0.25">
      <c r="A4" s="22" t="s">
        <v>25</v>
      </c>
      <c r="B4" s="22" t="s">
        <v>26</v>
      </c>
      <c r="C4" s="21" t="s">
        <v>27</v>
      </c>
      <c r="D4" s="20" t="s">
        <v>28</v>
      </c>
      <c r="E4" s="20" t="s">
        <v>29</v>
      </c>
      <c r="F4" s="20" t="s">
        <v>31</v>
      </c>
      <c r="G4" s="20" t="s">
        <v>33</v>
      </c>
      <c r="H4" s="20" t="s">
        <v>35</v>
      </c>
      <c r="I4" s="20" t="s">
        <v>37</v>
      </c>
      <c r="J4" s="20" t="s">
        <v>38</v>
      </c>
      <c r="K4" s="20" t="s">
        <v>39</v>
      </c>
      <c r="L4" s="20" t="s">
        <v>40</v>
      </c>
      <c r="M4" s="20" t="s">
        <v>41</v>
      </c>
      <c r="N4" s="20" t="s">
        <v>506</v>
      </c>
      <c r="O4" s="20" t="s">
        <v>1428</v>
      </c>
      <c r="P4" s="20" t="s">
        <v>506</v>
      </c>
      <c r="Q4" s="20" t="s">
        <v>1428</v>
      </c>
      <c r="R4" s="20" t="s">
        <v>36</v>
      </c>
      <c r="S4" s="20" t="s">
        <v>47</v>
      </c>
      <c r="T4" s="20" t="s">
        <v>48</v>
      </c>
      <c r="U4" s="20" t="s">
        <v>36</v>
      </c>
      <c r="V4" s="20" t="s">
        <v>38</v>
      </c>
      <c r="W4" s="20" t="s">
        <v>52</v>
      </c>
      <c r="X4" s="20" t="s">
        <v>53</v>
      </c>
      <c r="Y4" s="20" t="s">
        <v>54</v>
      </c>
      <c r="Z4" s="239"/>
      <c r="AA4" s="20" t="s">
        <v>68</v>
      </c>
      <c r="AB4" s="20" t="s">
        <v>69</v>
      </c>
      <c r="AC4" s="20" t="s">
        <v>70</v>
      </c>
    </row>
    <row r="5" spans="1:29" x14ac:dyDescent="0.25">
      <c r="A5" s="24">
        <v>1</v>
      </c>
      <c r="B5" s="23">
        <v>2601101001</v>
      </c>
      <c r="C5" s="25">
        <v>46023</v>
      </c>
      <c r="E5" s="23" t="s">
        <v>74</v>
      </c>
      <c r="F5" s="23" t="s">
        <v>1429</v>
      </c>
      <c r="G5" s="23" t="s">
        <v>1430</v>
      </c>
      <c r="K5" s="18" t="s">
        <v>1431</v>
      </c>
    </row>
    <row r="6" spans="1:29" x14ac:dyDescent="0.25">
      <c r="A6" s="24">
        <v>2</v>
      </c>
    </row>
    <row r="7" spans="1:29" x14ac:dyDescent="0.25">
      <c r="A7" s="24">
        <v>3</v>
      </c>
    </row>
  </sheetData>
  <mergeCells count="10">
    <mergeCell ref="AA3:AC3"/>
    <mergeCell ref="A1:AC1"/>
    <mergeCell ref="U3:Y3"/>
    <mergeCell ref="Z3:Z4"/>
    <mergeCell ref="C3:D3"/>
    <mergeCell ref="E3:J3"/>
    <mergeCell ref="K3:M3"/>
    <mergeCell ref="N3:O3"/>
    <mergeCell ref="P3:Q3"/>
    <mergeCell ref="R3:T3"/>
  </mergeCells>
  <conditionalFormatting sqref="B3:B4">
    <cfRule type="duplicateValues" dxfId="13" priority="3"/>
    <cfRule type="duplicateValues" dxfId="12" priority="4"/>
    <cfRule type="duplicateValues" dxfId="11" priority="5"/>
  </conditionalFormatting>
  <conditionalFormatting sqref="K5">
    <cfRule type="expression" priority="1">
      <formula>$H5="Tablet"</formula>
    </cfRule>
    <cfRule type="expression" dxfId="10" priority="2">
      <formula>$AI5="scrap"</formula>
    </cfRule>
  </conditionalFormatting>
  <conditionalFormatting sqref="M4 H4">
    <cfRule type="duplicateValues" dxfId="9" priority="8"/>
  </conditionalFormatting>
  <conditionalFormatting sqref="O3:O4">
    <cfRule type="duplicateValues" dxfId="8" priority="7"/>
  </conditionalFormatting>
  <conditionalFormatting sqref="Q3:Q4">
    <cfRule type="duplicateValues" dxfId="7" priority="6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6AB54E2-B57E-486D-B1BC-7EEDEED53D0C}">
          <x14:formula1>
            <xm:f>CODEX!$A$3:$A$13</xm:f>
          </x14:formula1>
          <xm:sqref>E5</xm:sqref>
        </x14:dataValidation>
        <x14:dataValidation type="list" allowBlank="1" showInputMessage="1" showErrorMessage="1" xr:uid="{76DD27E0-EEB5-44FC-9A95-3321F8249815}">
          <x14:formula1>
            <xm:f>CODEX!$AD$4:$AD$8</xm:f>
          </x14:formula1>
          <xm:sqref>F5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25B05-97E3-42B7-9C43-DC0166961892}">
  <dimension ref="A1:AH7"/>
  <sheetViews>
    <sheetView zoomScaleNormal="100" workbookViewId="0">
      <selection activeCell="J9" sqref="J9"/>
    </sheetView>
  </sheetViews>
  <sheetFormatPr defaultColWidth="9.140625" defaultRowHeight="13.5" x14ac:dyDescent="0.25"/>
  <cols>
    <col min="1" max="1" width="8" style="24" customWidth="1"/>
    <col min="2" max="2" width="17.5703125" style="23" customWidth="1"/>
    <col min="3" max="3" width="13.28515625" style="25" customWidth="1"/>
    <col min="4" max="5" width="10.7109375" style="23" customWidth="1"/>
    <col min="6" max="6" width="16.28515625" style="23" bestFit="1" customWidth="1"/>
    <col min="7" max="7" width="12.42578125" style="23" customWidth="1"/>
    <col min="8" max="9" width="19.85546875" style="23" customWidth="1"/>
    <col min="10" max="10" width="15.85546875" style="23" customWidth="1"/>
    <col min="11" max="11" width="9" style="23" customWidth="1"/>
    <col min="12" max="12" width="15.5703125" style="23" customWidth="1"/>
    <col min="13" max="13" width="11" style="23" customWidth="1"/>
    <col min="14" max="14" width="14" style="23" customWidth="1"/>
    <col min="15" max="18" width="16.28515625" style="23" customWidth="1"/>
    <col min="19" max="21" width="18.42578125" style="23" customWidth="1"/>
    <col min="22" max="22" width="14.28515625" style="23" customWidth="1"/>
    <col min="23" max="23" width="9.42578125" style="23" customWidth="1"/>
    <col min="24" max="24" width="8.140625" style="23" customWidth="1"/>
    <col min="25" max="25" width="9.140625" style="23"/>
    <col min="26" max="26" width="9.5703125" style="23" customWidth="1"/>
    <col min="27" max="27" width="14.42578125" style="23" customWidth="1"/>
    <col min="28" max="28" width="14.7109375" style="23" bestFit="1" customWidth="1"/>
    <col min="29" max="29" width="11.85546875" style="23" bestFit="1" customWidth="1"/>
    <col min="30" max="30" width="14.7109375" style="25" customWidth="1"/>
    <col min="31" max="31" width="12" style="23" customWidth="1"/>
    <col min="32" max="16384" width="9.140625" style="23"/>
  </cols>
  <sheetData>
    <row r="1" spans="1:34" ht="18.75" x14ac:dyDescent="0.3">
      <c r="A1" s="236" t="s">
        <v>1427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36"/>
    </row>
    <row r="3" spans="1:34" ht="15" customHeight="1" x14ac:dyDescent="0.25">
      <c r="A3" s="26"/>
      <c r="B3" s="27" t="s">
        <v>13</v>
      </c>
      <c r="C3" s="240" t="s">
        <v>14</v>
      </c>
      <c r="D3" s="241"/>
      <c r="E3" s="242" t="s">
        <v>15</v>
      </c>
      <c r="F3" s="243"/>
      <c r="G3" s="243"/>
      <c r="H3" s="243"/>
      <c r="I3" s="243"/>
      <c r="J3" s="243"/>
      <c r="K3" s="244"/>
      <c r="L3" s="242" t="s">
        <v>16</v>
      </c>
      <c r="M3" s="243"/>
      <c r="N3" s="244"/>
      <c r="O3" s="237" t="s">
        <v>17</v>
      </c>
      <c r="P3" s="237"/>
      <c r="Q3" s="237" t="s">
        <v>18</v>
      </c>
      <c r="R3" s="237"/>
      <c r="S3" s="237" t="s">
        <v>19</v>
      </c>
      <c r="T3" s="237"/>
      <c r="U3" s="237"/>
      <c r="V3" s="237" t="s">
        <v>20</v>
      </c>
      <c r="W3" s="237"/>
      <c r="X3" s="237"/>
      <c r="Y3" s="237"/>
      <c r="Z3" s="237"/>
      <c r="AA3" s="245" t="s">
        <v>1432</v>
      </c>
      <c r="AB3" s="246"/>
      <c r="AC3" s="246"/>
      <c r="AD3" s="247"/>
      <c r="AE3" s="238" t="s">
        <v>63</v>
      </c>
      <c r="AF3" s="235" t="s">
        <v>24</v>
      </c>
      <c r="AG3" s="235"/>
      <c r="AH3" s="235"/>
    </row>
    <row r="4" spans="1:34" x14ac:dyDescent="0.25">
      <c r="A4" s="22" t="s">
        <v>25</v>
      </c>
      <c r="B4" s="22" t="s">
        <v>26</v>
      </c>
      <c r="C4" s="21" t="s">
        <v>27</v>
      </c>
      <c r="D4" s="20" t="s">
        <v>28</v>
      </c>
      <c r="E4" s="20" t="s">
        <v>29</v>
      </c>
      <c r="F4" s="28" t="s">
        <v>30</v>
      </c>
      <c r="G4" s="20" t="s">
        <v>31</v>
      </c>
      <c r="H4" s="20" t="s">
        <v>33</v>
      </c>
      <c r="I4" s="20" t="s">
        <v>35</v>
      </c>
      <c r="J4" s="20" t="s">
        <v>37</v>
      </c>
      <c r="K4" s="20" t="s">
        <v>38</v>
      </c>
      <c r="L4" s="20" t="s">
        <v>39</v>
      </c>
      <c r="M4" s="20" t="s">
        <v>40</v>
      </c>
      <c r="N4" s="20" t="s">
        <v>41</v>
      </c>
      <c r="O4" s="20" t="s">
        <v>506</v>
      </c>
      <c r="P4" s="20" t="s">
        <v>1428</v>
      </c>
      <c r="Q4" s="20" t="s">
        <v>506</v>
      </c>
      <c r="R4" s="20" t="s">
        <v>1428</v>
      </c>
      <c r="S4" s="20" t="s">
        <v>36</v>
      </c>
      <c r="T4" s="20" t="s">
        <v>47</v>
      </c>
      <c r="U4" s="20" t="s">
        <v>48</v>
      </c>
      <c r="V4" s="20" t="s">
        <v>36</v>
      </c>
      <c r="W4" s="20" t="s">
        <v>38</v>
      </c>
      <c r="X4" s="20" t="s">
        <v>52</v>
      </c>
      <c r="Y4" s="20" t="s">
        <v>53</v>
      </c>
      <c r="Z4" s="20" t="s">
        <v>54</v>
      </c>
      <c r="AA4" s="28" t="s">
        <v>1433</v>
      </c>
      <c r="AB4" s="28" t="s">
        <v>1115</v>
      </c>
      <c r="AC4" s="28" t="s">
        <v>1116</v>
      </c>
      <c r="AD4" s="29" t="s">
        <v>1434</v>
      </c>
      <c r="AE4" s="239"/>
      <c r="AF4" s="20" t="s">
        <v>68</v>
      </c>
      <c r="AG4" s="20" t="s">
        <v>69</v>
      </c>
      <c r="AH4" s="20" t="s">
        <v>70</v>
      </c>
    </row>
    <row r="5" spans="1:34" x14ac:dyDescent="0.25">
      <c r="A5" s="24">
        <v>1</v>
      </c>
      <c r="B5" s="23">
        <v>2601101001</v>
      </c>
      <c r="C5" s="25">
        <v>46023</v>
      </c>
      <c r="E5" s="23" t="s">
        <v>74</v>
      </c>
      <c r="G5" s="23" t="s">
        <v>1429</v>
      </c>
      <c r="H5" s="23" t="s">
        <v>1430</v>
      </c>
      <c r="L5" s="18" t="s">
        <v>1431</v>
      </c>
    </row>
    <row r="6" spans="1:34" x14ac:dyDescent="0.25">
      <c r="A6" s="24">
        <v>2</v>
      </c>
    </row>
    <row r="7" spans="1:34" x14ac:dyDescent="0.25">
      <c r="A7" s="24">
        <v>3</v>
      </c>
    </row>
  </sheetData>
  <mergeCells count="11">
    <mergeCell ref="AF3:AH3"/>
    <mergeCell ref="A1:AH1"/>
    <mergeCell ref="C3:D3"/>
    <mergeCell ref="E3:K3"/>
    <mergeCell ref="L3:N3"/>
    <mergeCell ref="O3:P3"/>
    <mergeCell ref="Q3:R3"/>
    <mergeCell ref="S3:U3"/>
    <mergeCell ref="V3:Z3"/>
    <mergeCell ref="AA3:AD3"/>
    <mergeCell ref="AE3:AE4"/>
  </mergeCells>
  <conditionalFormatting sqref="B3:B4">
    <cfRule type="duplicateValues" dxfId="6" priority="3"/>
    <cfRule type="duplicateValues" dxfId="5" priority="4"/>
    <cfRule type="duplicateValues" dxfId="4" priority="5"/>
  </conditionalFormatting>
  <conditionalFormatting sqref="L5">
    <cfRule type="expression" priority="1">
      <formula>$I5="Tablet"</formula>
    </cfRule>
    <cfRule type="expression" dxfId="3" priority="2">
      <formula>$AN5="scrap"</formula>
    </cfRule>
  </conditionalFormatting>
  <conditionalFormatting sqref="N4 I4">
    <cfRule type="duplicateValues" dxfId="2" priority="8"/>
  </conditionalFormatting>
  <conditionalFormatting sqref="P3:P4">
    <cfRule type="duplicateValues" dxfId="1" priority="7"/>
  </conditionalFormatting>
  <conditionalFormatting sqref="R3:R4">
    <cfRule type="duplicateValues" dxfId="0" priority="6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E09065A-DB96-4FE1-97F2-53869CFDDFC3}">
          <x14:formula1>
            <xm:f>CODEX!$A$3:$A$13</xm:f>
          </x14:formula1>
          <xm:sqref>E5:F5</xm:sqref>
        </x14:dataValidation>
        <x14:dataValidation type="list" allowBlank="1" showInputMessage="1" showErrorMessage="1" xr:uid="{FB4C7526-ABAB-449C-8757-4DE0E1EF73FF}">
          <x14:formula1>
            <xm:f>CODEX!$AD$4:$AD$8</xm:f>
          </x14:formula1>
          <xm:sqref>G5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EFA1-C086-4065-A3DB-697446B44BF1}">
  <dimension ref="A1:ALN200"/>
  <sheetViews>
    <sheetView workbookViewId="0">
      <selection activeCell="D2" sqref="D2"/>
    </sheetView>
  </sheetViews>
  <sheetFormatPr defaultRowHeight="15" x14ac:dyDescent="0.25"/>
  <sheetData>
    <row r="1" spans="1:1002" x14ac:dyDescent="0.25">
      <c r="A1" s="52" t="s">
        <v>1117</v>
      </c>
      <c r="B1" s="52" t="s">
        <v>1118</v>
      </c>
      <c r="C1" s="52" t="s">
        <v>1119</v>
      </c>
      <c r="E1" s="52" t="s">
        <v>1435</v>
      </c>
    </row>
    <row r="2" spans="1:1002" x14ac:dyDescent="0.25">
      <c r="A2" t="str" cm="1">
        <f t="array" ref="A2:C200">_xlfn.LET(_xlpm.c,_xlfn.VSTACK(COMPUTER!$B$3:$B$1009,DISPLAY!$B$3:$B$1000,'NETWORK-DEVICES'!$B$3:$B$987,PERIPHERAL!$B$3:$B$954,UTILITIES!$B$3:$B$953,IOT!$B$3:$B$1003,SERVER!$B$3:$B$1000),_xlpm.s,_xlfn.VSTACK(COMPUTER!$H$3:$H$1009,DISPLAY!$H$3:$H$1000,'NETWORK-DEVICES'!$H$3:$H$987,PERIPHERAL!$H$3:$H$954,UTILITIES!$G$3:$G$953,IOT!$H$3:$H$1003,SERVER!$H$3:$H$1000),_xlpm.k,_xlfn.VSTACK(IF(COMPUTER!$B$3:$B$1009&lt;&gt;"","Computer",""),IF(DISPLAY!$B$3:$B$1000&lt;&gt;"","Display",""),IF('NETWORK-DEVICES'!$B$3:$B$987&lt;&gt;"","Network Device",""),IF(PERIPHERAL!$B$3:$B$954&lt;&gt;"","Peripheral",""),IF(UTILITIES!$B$3:$B$953&lt;&gt;"","Utilities",""),IF(IOT!$B$3:$B$1003&lt;&gt;"","IOT",""),IF(SERVER!$B$3:$B$1000&lt;&gt;"","Server","")),_xlfn._xlws.FILTER(_xlfn.HSTACK(_xlpm.k,_xlpm.s,_xlpm.c),_xlpm.c&lt;&gt;"",""))</f>
        <v>Computer</v>
      </c>
      <c r="B2" t="str">
        <v>PC</v>
      </c>
      <c r="C2" t="str">
        <v>2601101001</v>
      </c>
      <c r="D2" t="str" cm="1">
        <f t="array" ref="D2:D1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2601101001</v>
      </c>
      <c r="E2" t="str" cm="1">
        <f t="array" ref="E2:E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2601102002</v>
      </c>
      <c r="F2" t="str" cm="1">
        <f t="array" ref="F2:F21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2609104001</v>
      </c>
      <c r="G2" t="str" cm="1">
        <f t="array" ref="G2:G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2601105001</v>
      </c>
      <c r="H2" t="str" cm="1">
        <f t="array" ref="H2:H1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2609101001</v>
      </c>
      <c r="I2" t="str" cm="1">
        <f t="array" ref="I2:I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2601102001</v>
      </c>
      <c r="J2" t="str" cm="1">
        <f t="array" ref="J2:J21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2609104002</v>
      </c>
      <c r="K2" t="str" cm="1">
        <f t="array" ref="K2:K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2601105002</v>
      </c>
      <c r="L2" t="str" cm="1">
        <f t="array" ref="L2:L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2601102003</v>
      </c>
      <c r="M2" t="str" cm="1">
        <f t="array" ref="M2:M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2601105004</v>
      </c>
      <c r="N2" t="str" cm="1">
        <f t="array" ref="N2:N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2601102003</v>
      </c>
      <c r="O2" t="str" cm="1">
        <f t="array" ref="O2:O1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2609101003</v>
      </c>
      <c r="P2" t="str" cm="1">
        <f t="array" ref="P2:P1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2609102001</v>
      </c>
      <c r="Q2" t="str" cm="1">
        <f t="array" ref="Q2:Q21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2609104004</v>
      </c>
      <c r="R2" t="str" cm="1">
        <f t="array" ref="R2:R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2609104003</v>
      </c>
      <c r="S2" t="str" cm="1">
        <f t="array" ref="S2:S10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2609104010</v>
      </c>
      <c r="T2" t="str" cm="1">
        <f t="array" ref="T2:T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2609104011</v>
      </c>
      <c r="U2" t="str" cm="1">
        <f t="array" ref="U2:U15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2601101018</v>
      </c>
      <c r="V2" t="str" cm="1">
        <f t="array" ref="V2:V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2609104012</v>
      </c>
      <c r="W2" t="str" cm="1">
        <f t="array" ref="W2:W15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2601101018</v>
      </c>
      <c r="X2" t="str" cm="1">
        <f t="array" ref="X2:X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2609104013</v>
      </c>
      <c r="Y2" t="str" cm="1">
        <f t="array" ref="Y2:Y3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2609104015</v>
      </c>
      <c r="Z2" t="str" cm="1">
        <f t="array" ref="Z2:Z15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2609101002</v>
      </c>
      <c r="AA2" t="str" cm="1">
        <f t="array" ref="AA2:AA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2609104016</v>
      </c>
      <c r="AB2" t="str" cm="1">
        <f t="array" ref="AB2:AB1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2609101004</v>
      </c>
      <c r="AC2" t="str" cm="1">
        <f t="array" ref="AC2:AC1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2609101004</v>
      </c>
      <c r="AD2" t="str" cm="1">
        <f t="array" ref="AD2:AD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2609104017</v>
      </c>
      <c r="AE2" t="str" cm="1">
        <f t="array" ref="AE2:AE1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2609101004</v>
      </c>
      <c r="AF2" t="str" cm="1">
        <f t="array" ref="AF2:AF1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2609102001</v>
      </c>
      <c r="AG2" t="str" cm="1">
        <f t="array" ref="AG2:AG3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2601101009</v>
      </c>
      <c r="AH2" t="str" cm="1">
        <f t="array" ref="AH2:AH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2609104025</v>
      </c>
      <c r="AI2" t="str" cm="1">
        <f t="array" ref="AI2:AI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2609104017</v>
      </c>
      <c r="AJ2" t="str" cm="1">
        <f t="array" ref="A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2609104026</v>
      </c>
      <c r="AK2" t="str" cm="1">
        <f t="array" ref="AK2:AK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2609104017</v>
      </c>
      <c r="AL2" t="str" cm="1">
        <f t="array" ref="AL2:AL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2609104017</v>
      </c>
      <c r="AM2" t="str" cm="1">
        <f t="array" ref="AM2:AM18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2601101010</v>
      </c>
      <c r="AN2" t="str" cm="1">
        <f t="array" ref="AN2:AN1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2609101004</v>
      </c>
      <c r="AO2" t="str" cm="1">
        <f t="array" ref="AO2:AO1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2609102001</v>
      </c>
      <c r="AP2" t="str" cm="1">
        <f t="array" ref="AP2:AP21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2609104004</v>
      </c>
      <c r="AQ2" t="str" cm="1">
        <f t="array" ref="AQ2:AQ10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2601104008</v>
      </c>
      <c r="AR2" t="str" cm="1">
        <f t="array" ref="AR2:AR15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2601101017</v>
      </c>
      <c r="AS2" t="str" cm="1">
        <f t="array" ref="AS2:AS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2609104014</v>
      </c>
      <c r="AT2" t="str" cm="1">
        <f t="array" ref="AT2:AT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2609104017</v>
      </c>
      <c r="AU2" t="str" cm="1">
        <f t="array" ref="AU2:AU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2609104017</v>
      </c>
      <c r="AV2" t="str" cm="1">
        <f t="array" ref="AV2:AV4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2609104017</v>
      </c>
      <c r="AW2" t="str" cm="1">
        <f t="array" ref="AW2:AW18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2601101010</v>
      </c>
      <c r="AX2" t="str" cm="1">
        <f t="array" ref="AX2:AX18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>2601101010</v>
      </c>
      <c r="AY2" t="str" cm="1">
        <f t="array" ref="A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Z2" t="str" cm="1">
        <f t="array" ref="A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BA2" t="str" cm="1">
        <f t="array" ref="B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BB2" t="str" cm="1">
        <f t="array" ref="B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BC2" t="str" cm="1">
        <f t="array" ref="B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BD2" t="str" cm="1">
        <f t="array" ref="B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BE2" t="str" cm="1">
        <f t="array" ref="B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BF2" t="str" cm="1">
        <f t="array" ref="B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BG2" t="str" cm="1">
        <f t="array" ref="B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BH2" t="str" cm="1">
        <f t="array" ref="B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BI2" t="str" cm="1">
        <f t="array" ref="B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BJ2" t="str" cm="1">
        <f t="array" ref="B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BK2" t="str" cm="1">
        <f t="array" ref="B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BL2" t="str" cm="1">
        <f t="array" ref="B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BM2" t="str" cm="1">
        <f t="array" ref="B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BN2" t="str" cm="1">
        <f t="array" ref="B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BO2" t="str" cm="1">
        <f t="array" ref="B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BP2" t="str" cm="1">
        <f t="array" ref="B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BQ2" t="str" cm="1">
        <f t="array" ref="B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BR2" t="str" cm="1">
        <f t="array" ref="B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BS2" t="str" cm="1">
        <f t="array" ref="B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BT2" t="str" cm="1">
        <f t="array" ref="B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BU2" t="str" cm="1">
        <f t="array" ref="B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BV2" t="str" cm="1">
        <f t="array" ref="B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BW2" t="str" cm="1">
        <f t="array" ref="B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BX2" t="str" cm="1">
        <f t="array" ref="B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BY2" t="str" cm="1">
        <f t="array" ref="B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BZ2" t="str" cm="1">
        <f t="array" ref="B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CA2" t="str" cm="1">
        <f t="array" ref="C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CB2" t="str" cm="1">
        <f t="array" ref="C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CC2" t="str" cm="1">
        <f t="array" ref="C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CD2" t="str" cm="1">
        <f t="array" ref="C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CE2" t="str" cm="1">
        <f t="array" ref="C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CF2" t="str" cm="1">
        <f t="array" ref="C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CG2" t="str" cm="1">
        <f t="array" ref="C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CH2" t="str" cm="1">
        <f t="array" ref="C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CI2" t="str" cm="1">
        <f t="array" ref="C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CJ2" t="str" cm="1">
        <f t="array" ref="C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CK2" t="str" cm="1">
        <f t="array" ref="C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CL2" t="str" cm="1">
        <f t="array" ref="C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CM2" t="str" cm="1">
        <f t="array" ref="C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CN2" t="str" cm="1">
        <f t="array" ref="C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CO2" t="str" cm="1">
        <f t="array" ref="C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CP2" t="str" cm="1">
        <f t="array" ref="C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CQ2" t="str" cm="1">
        <f t="array" ref="C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CR2" t="str" cm="1">
        <f t="array" ref="C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CS2" t="str" cm="1">
        <f t="array" ref="C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CT2" t="str" cm="1">
        <f t="array" ref="C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CU2" t="str" cm="1">
        <f t="array" ref="C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CV2" t="str" cm="1">
        <f t="array" ref="C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CW2" t="str" cm="1">
        <f t="array" ref="C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CX2" t="str" cm="1">
        <f t="array" ref="C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CY2" t="str" cm="1">
        <f t="array" ref="C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CZ2" t="str" cm="1">
        <f t="array" ref="C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DA2" t="str" cm="1">
        <f t="array" ref="D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DB2" t="str" cm="1">
        <f t="array" ref="D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DC2" t="str" cm="1">
        <f t="array" ref="D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DD2" t="str" cm="1">
        <f t="array" ref="D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DE2" t="str" cm="1">
        <f t="array" ref="D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DF2" t="str" cm="1">
        <f t="array" ref="D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DG2" t="str" cm="1">
        <f t="array" ref="D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DH2" t="str" cm="1">
        <f t="array" ref="D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DI2" t="str" cm="1">
        <f t="array" ref="D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DJ2" t="str" cm="1">
        <f t="array" ref="D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DK2" t="str" cm="1">
        <f t="array" ref="D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DL2" t="str" cm="1">
        <f t="array" ref="D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DM2" t="str" cm="1">
        <f t="array" ref="D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DN2" t="str" cm="1">
        <f t="array" ref="D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DO2" t="str" cm="1">
        <f t="array" ref="D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DP2" t="str" cm="1">
        <f t="array" ref="D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DQ2" t="str" cm="1">
        <f t="array" ref="D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DR2" t="str" cm="1">
        <f t="array" ref="D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DS2" t="str" cm="1">
        <f t="array" ref="D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DT2" t="str" cm="1">
        <f t="array" ref="D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DU2" t="str" cm="1">
        <f t="array" ref="D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DV2" t="str" cm="1">
        <f t="array" ref="D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DW2" t="str" cm="1">
        <f t="array" ref="D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DX2" t="str" cm="1">
        <f t="array" ref="D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DY2" t="str" cm="1">
        <f t="array" ref="D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DZ2" t="str" cm="1">
        <f t="array" ref="D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EA2" t="str" cm="1">
        <f t="array" ref="E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EB2" t="str" cm="1">
        <f t="array" ref="E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EC2" t="str" cm="1">
        <f t="array" ref="E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ED2" t="str" cm="1">
        <f t="array" ref="E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EE2" t="str" cm="1">
        <f t="array" ref="E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EF2" t="str" cm="1">
        <f t="array" ref="E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EG2" t="str" cm="1">
        <f t="array" ref="E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EH2" t="str" cm="1">
        <f t="array" ref="E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EI2" t="str" cm="1">
        <f t="array" ref="E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EJ2" t="str" cm="1">
        <f t="array" ref="E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EK2" t="str" cm="1">
        <f t="array" ref="E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EL2" t="str" cm="1">
        <f t="array" ref="E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EM2" t="str" cm="1">
        <f t="array" ref="E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EN2" t="str" cm="1">
        <f t="array" ref="E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EO2" t="str" cm="1">
        <f t="array" ref="E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EP2" t="str" cm="1">
        <f t="array" ref="E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EQ2" t="str" cm="1">
        <f t="array" ref="E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ER2" t="str" cm="1">
        <f t="array" ref="E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ES2" t="str" cm="1">
        <f t="array" ref="E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ET2" t="str" cm="1">
        <f t="array" ref="E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EU2" t="str" cm="1">
        <f t="array" ref="E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EV2" t="str" cm="1">
        <f t="array" ref="E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EW2" t="str" cm="1">
        <f t="array" ref="E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EX2" t="str" cm="1">
        <f t="array" ref="E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EY2" t="str" cm="1">
        <f t="array" ref="E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EZ2" t="str" cm="1">
        <f t="array" ref="E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FA2" t="str" cm="1">
        <f t="array" ref="F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FB2" t="str" cm="1">
        <f t="array" ref="F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FC2" t="str" cm="1">
        <f t="array" ref="F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FD2" t="str" cm="1">
        <f t="array" ref="F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FE2" t="str" cm="1">
        <f t="array" ref="F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FF2" t="str" cm="1">
        <f t="array" ref="F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FG2" t="str" cm="1">
        <f t="array" ref="F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FH2" t="str" cm="1">
        <f t="array" ref="F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FI2" t="str" cm="1">
        <f t="array" ref="F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FJ2" t="str" cm="1">
        <f t="array" ref="F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FK2" t="str" cm="1">
        <f t="array" ref="F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FL2" t="str" cm="1">
        <f t="array" ref="F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FM2" t="str" cm="1">
        <f t="array" ref="F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FN2" t="str" cm="1">
        <f t="array" ref="F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FO2" t="str" cm="1">
        <f t="array" ref="F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FP2" t="str" cm="1">
        <f t="array" ref="F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FQ2" t="str" cm="1">
        <f t="array" ref="F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FR2" t="str" cm="1">
        <f t="array" ref="F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FS2" t="str" cm="1">
        <f t="array" ref="F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FT2" t="str" cm="1">
        <f t="array" ref="F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FU2" t="str" cm="1">
        <f t="array" ref="F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FV2" t="str" cm="1">
        <f t="array" ref="F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FW2" t="str" cm="1">
        <f t="array" ref="F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FX2" t="str" cm="1">
        <f t="array" ref="F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FY2" t="str" cm="1">
        <f t="array" ref="F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FZ2" t="str" cm="1">
        <f t="array" ref="F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GA2" t="str" cm="1">
        <f t="array" ref="G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GB2" t="str" cm="1">
        <f t="array" ref="G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GC2" t="str" cm="1">
        <f t="array" ref="G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GD2" t="str" cm="1">
        <f t="array" ref="G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GE2" t="str" cm="1">
        <f t="array" ref="G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GF2" t="str" cm="1">
        <f t="array" ref="G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GG2" t="str" cm="1">
        <f t="array" ref="G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GH2" t="str" cm="1">
        <f t="array" ref="G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GI2" t="str" cm="1">
        <f t="array" ref="G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GJ2" t="str" cm="1">
        <f t="array" ref="G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GK2" t="str" cm="1">
        <f t="array" ref="G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GL2" t="str" cm="1">
        <f t="array" ref="G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GM2" t="str" cm="1">
        <f t="array" ref="G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GN2" t="str" cm="1">
        <f t="array" ref="G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GO2" t="str" cm="1">
        <f t="array" ref="G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GP2" t="str" cm="1">
        <f t="array" ref="G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GQ2" t="str" cm="1">
        <f t="array" ref="G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GR2" t="str" cm="1">
        <f t="array" ref="G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GS2" t="str" cm="1">
        <f t="array" ref="G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GT2" t="str" cm="1">
        <f t="array" ref="G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GU2" t="str" cm="1">
        <f t="array" ref="G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GV2" t="str" cm="1">
        <f t="array" ref="G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GW2" t="str" cm="1">
        <f t="array" ref="G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GX2" t="str" cm="1">
        <f t="array" ref="G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GY2" t="str" cm="1">
        <f t="array" ref="G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GZ2" t="str" cm="1">
        <f t="array" ref="G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HA2" t="str" cm="1">
        <f t="array" ref="H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HB2" t="str" cm="1">
        <f t="array" ref="H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HC2" t="str" cm="1">
        <f t="array" ref="H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HD2" t="str" cm="1">
        <f t="array" ref="H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HE2" t="str" cm="1">
        <f t="array" ref="H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HF2" t="str" cm="1">
        <f t="array" ref="H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HG2" t="str" cm="1">
        <f t="array" ref="H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HH2" t="str" cm="1">
        <f t="array" ref="H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HI2" t="str" cm="1">
        <f t="array" ref="H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HJ2" t="str" cm="1">
        <f t="array" ref="H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HK2" t="str" cm="1">
        <f t="array" ref="H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HL2" t="str" cm="1">
        <f t="array" ref="H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HM2" t="str" cm="1">
        <f t="array" ref="H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HN2" t="str" cm="1">
        <f t="array" ref="H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HO2" t="str" cm="1">
        <f t="array" ref="H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HP2" t="str" cm="1">
        <f t="array" ref="H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HQ2" t="str" cm="1">
        <f t="array" ref="H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HR2" t="str" cm="1">
        <f t="array" ref="H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HS2" t="str" cm="1">
        <f t="array" ref="H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HT2" t="str" cm="1">
        <f t="array" ref="H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HU2" t="str" cm="1">
        <f t="array" ref="H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HV2" t="str" cm="1">
        <f t="array" ref="H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HW2" t="str" cm="1">
        <f t="array" ref="H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HX2" t="str" cm="1">
        <f t="array" ref="H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HY2" t="str" cm="1">
        <f t="array" ref="H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HZ2" t="str" cm="1">
        <f t="array" ref="H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IA2" t="str" cm="1">
        <f t="array" ref="I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IB2" t="str" cm="1">
        <f t="array" ref="I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IC2" t="str" cm="1">
        <f t="array" ref="I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ID2" t="str" cm="1">
        <f t="array" ref="I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IE2" t="str" cm="1">
        <f t="array" ref="I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IF2" t="str" cm="1">
        <f t="array" ref="I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IG2" t="str" cm="1">
        <f t="array" ref="I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IH2" t="str" cm="1">
        <f t="array" ref="I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II2" t="str" cm="1">
        <f t="array" ref="I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IJ2" t="str" cm="1">
        <f t="array" ref="I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IK2" t="str" cm="1">
        <f t="array" ref="I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IL2" t="str" cm="1">
        <f t="array" ref="I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IM2" t="str" cm="1">
        <f t="array" ref="I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IN2" t="str" cm="1">
        <f t="array" ref="I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IO2" t="str" cm="1">
        <f t="array" ref="I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IP2" t="str" cm="1">
        <f t="array" ref="I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IQ2" t="str" cm="1">
        <f t="array" ref="I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IR2" t="str" cm="1">
        <f t="array" ref="I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IS2" t="str" cm="1">
        <f t="array" ref="I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IT2" t="str" cm="1">
        <f t="array" ref="I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IU2" t="str" cm="1">
        <f t="array" ref="I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IV2" t="str" cm="1">
        <f t="array" ref="I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IW2" t="str" cm="1">
        <f t="array" ref="I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IX2" t="str" cm="1">
        <f t="array" ref="I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IY2" t="str" cm="1">
        <f t="array" ref="I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IZ2" t="str" cm="1">
        <f t="array" ref="I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JA2" t="str" cm="1">
        <f t="array" ref="J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JB2" t="str" cm="1">
        <f t="array" ref="J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JC2" t="str" cm="1">
        <f t="array" ref="J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JD2" t="str" cm="1">
        <f t="array" ref="J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JE2" t="str" cm="1">
        <f t="array" ref="J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JF2" t="str" cm="1">
        <f t="array" ref="J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JG2" t="str" cm="1">
        <f t="array" ref="J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JH2" t="str" cm="1">
        <f t="array" ref="J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JI2" t="str" cm="1">
        <f t="array" ref="J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JJ2" t="str" cm="1">
        <f t="array" ref="J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JK2" t="str" cm="1">
        <f t="array" ref="J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JL2" t="str" cm="1">
        <f t="array" ref="J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JM2" t="str" cm="1">
        <f t="array" ref="J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JN2" t="str" cm="1">
        <f t="array" ref="J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JO2" t="str" cm="1">
        <f t="array" ref="J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JP2" t="str" cm="1">
        <f t="array" ref="J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JQ2" t="str" cm="1">
        <f t="array" ref="J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JR2" t="str" cm="1">
        <f t="array" ref="J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JS2" t="str" cm="1">
        <f t="array" ref="J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JT2" t="str" cm="1">
        <f t="array" ref="J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JU2" t="str" cm="1">
        <f t="array" ref="J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JV2" t="str" cm="1">
        <f t="array" ref="J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JW2" t="str" cm="1">
        <f t="array" ref="J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JX2" t="str" cm="1">
        <f t="array" ref="J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JY2" t="str" cm="1">
        <f t="array" ref="J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JZ2" t="str" cm="1">
        <f t="array" ref="J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KA2" t="str" cm="1">
        <f t="array" ref="K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KB2" t="str" cm="1">
        <f t="array" ref="K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KC2" t="str" cm="1">
        <f t="array" ref="K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KD2" t="str" cm="1">
        <f t="array" ref="K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KE2" t="str" cm="1">
        <f t="array" ref="K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KF2" t="str" cm="1">
        <f t="array" ref="K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KG2" t="str" cm="1">
        <f t="array" ref="K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KH2" t="str" cm="1">
        <f t="array" ref="K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KI2" t="str" cm="1">
        <f t="array" ref="K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KJ2" t="str" cm="1">
        <f t="array" ref="K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KK2" t="str" cm="1">
        <f t="array" ref="K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KL2" t="str" cm="1">
        <f t="array" ref="K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KM2" t="str" cm="1">
        <f t="array" ref="K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KN2" t="str" cm="1">
        <f t="array" ref="K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KO2" t="str" cm="1">
        <f t="array" ref="K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KP2" t="str" cm="1">
        <f t="array" ref="K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KQ2" t="str" cm="1">
        <f t="array" ref="K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KR2" t="str" cm="1">
        <f t="array" ref="K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KS2" t="str" cm="1">
        <f t="array" ref="K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KT2" t="str" cm="1">
        <f t="array" ref="K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KU2" t="str" cm="1">
        <f t="array" ref="K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KV2" t="str" cm="1">
        <f t="array" ref="K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KW2" t="str" cm="1">
        <f t="array" ref="K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KX2" t="str" cm="1">
        <f t="array" ref="K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KY2" t="str" cm="1">
        <f t="array" ref="K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KZ2" t="str" cm="1">
        <f t="array" ref="K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LA2" t="str" cm="1">
        <f t="array" ref="L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LB2" t="str" cm="1">
        <f t="array" ref="L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LC2" t="str" cm="1">
        <f t="array" ref="L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LD2" t="str" cm="1">
        <f t="array" ref="L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LE2" t="str" cm="1">
        <f t="array" ref="L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LF2" t="str" cm="1">
        <f t="array" ref="L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LG2" t="str" cm="1">
        <f t="array" ref="L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LH2" t="str" cm="1">
        <f t="array" ref="L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LI2" t="str" cm="1">
        <f t="array" ref="L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LJ2" t="str" cm="1">
        <f t="array" ref="L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LK2" t="str" cm="1">
        <f t="array" ref="L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LL2" t="str" cm="1">
        <f t="array" ref="L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LM2" t="str" cm="1">
        <f t="array" ref="L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LN2" t="str" cm="1">
        <f t="array" ref="L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LO2" t="str" cm="1">
        <f t="array" ref="L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LP2" t="str" cm="1">
        <f t="array" ref="L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LQ2" t="str" cm="1">
        <f t="array" ref="L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LR2" t="str" cm="1">
        <f t="array" ref="L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LS2" t="str" cm="1">
        <f t="array" ref="L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LT2" t="str" cm="1">
        <f t="array" ref="L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LU2" t="str" cm="1">
        <f t="array" ref="L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LV2" t="str" cm="1">
        <f t="array" ref="L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LW2" t="str" cm="1">
        <f t="array" ref="L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LX2" t="str" cm="1">
        <f t="array" ref="L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LY2" t="str" cm="1">
        <f t="array" ref="L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LZ2" t="str" cm="1">
        <f t="array" ref="L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MA2" t="str" cm="1">
        <f t="array" ref="M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MB2" t="str" cm="1">
        <f t="array" ref="M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MC2" t="str" cm="1">
        <f t="array" ref="M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MD2" t="str" cm="1">
        <f t="array" ref="M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ME2" t="str" cm="1">
        <f t="array" ref="M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MF2" t="str" cm="1">
        <f t="array" ref="M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MG2" t="str" cm="1">
        <f t="array" ref="M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MH2" t="str" cm="1">
        <f t="array" ref="M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MI2" t="str" cm="1">
        <f t="array" ref="M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MJ2" t="str" cm="1">
        <f t="array" ref="M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MK2" t="str" cm="1">
        <f t="array" ref="M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ML2" t="str" cm="1">
        <f t="array" ref="M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MM2" t="str" cm="1">
        <f t="array" ref="M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MN2" t="str" cm="1">
        <f t="array" ref="M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MO2" t="str" cm="1">
        <f t="array" ref="M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MP2" t="str" cm="1">
        <f t="array" ref="M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MQ2" t="str" cm="1">
        <f t="array" ref="M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MR2" t="str" cm="1">
        <f t="array" ref="M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MS2" t="str" cm="1">
        <f t="array" ref="M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MT2" t="str" cm="1">
        <f t="array" ref="M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MU2" t="str" cm="1">
        <f t="array" ref="M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MV2" t="str" cm="1">
        <f t="array" ref="M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MW2" t="str" cm="1">
        <f t="array" ref="M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MX2" t="str" cm="1">
        <f t="array" ref="M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MY2" t="str" cm="1">
        <f t="array" ref="M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MZ2" t="str" cm="1">
        <f t="array" ref="M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NA2" t="str" cm="1">
        <f t="array" ref="N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NB2" t="str" cm="1">
        <f t="array" ref="N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NC2" t="str" cm="1">
        <f t="array" ref="N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ND2" t="str" cm="1">
        <f t="array" ref="N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NE2" t="str" cm="1">
        <f t="array" ref="N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NF2" t="str" cm="1">
        <f t="array" ref="N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NG2" t="str" cm="1">
        <f t="array" ref="N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NH2" t="str" cm="1">
        <f t="array" ref="N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NI2" t="str" cm="1">
        <f t="array" ref="N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NJ2" t="str" cm="1">
        <f t="array" ref="N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NK2" t="str" cm="1">
        <f t="array" ref="N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NL2" t="str" cm="1">
        <f t="array" ref="N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NM2" t="str" cm="1">
        <f t="array" ref="N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NN2" t="str" cm="1">
        <f t="array" ref="N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NO2" t="str" cm="1">
        <f t="array" ref="N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NP2" t="str" cm="1">
        <f t="array" ref="N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NQ2" t="str" cm="1">
        <f t="array" ref="N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NR2" t="str" cm="1">
        <f t="array" ref="N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NS2" t="str" cm="1">
        <f t="array" ref="N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NT2" t="str" cm="1">
        <f t="array" ref="N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NU2" t="str" cm="1">
        <f t="array" ref="N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NV2" t="str" cm="1">
        <f t="array" ref="N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NW2" t="str" cm="1">
        <f t="array" ref="N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NX2" t="str" cm="1">
        <f t="array" ref="N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NY2" t="str" cm="1">
        <f t="array" ref="N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NZ2" t="str" cm="1">
        <f t="array" ref="N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OA2" t="str" cm="1">
        <f t="array" ref="O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OB2" t="str" cm="1">
        <f t="array" ref="O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OC2" t="str" cm="1">
        <f t="array" ref="O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OD2" t="str" cm="1">
        <f t="array" ref="O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OE2" t="str" cm="1">
        <f t="array" ref="O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OF2" t="str" cm="1">
        <f t="array" ref="O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OG2" t="str" cm="1">
        <f t="array" ref="O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OH2" t="str" cm="1">
        <f t="array" ref="O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OI2" t="str" cm="1">
        <f t="array" ref="O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OJ2" t="str" cm="1">
        <f t="array" ref="O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OK2" t="str" cm="1">
        <f t="array" ref="O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OL2" t="str" cm="1">
        <f t="array" ref="O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OM2" t="str" cm="1">
        <f t="array" ref="O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ON2" t="str" cm="1">
        <f t="array" ref="O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OO2" t="str" cm="1">
        <f t="array" ref="O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OP2" t="str" cm="1">
        <f t="array" ref="O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OQ2" t="str" cm="1">
        <f t="array" ref="O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OR2" t="str" cm="1">
        <f t="array" ref="O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OS2" t="str" cm="1">
        <f t="array" ref="O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OT2" t="str" cm="1">
        <f t="array" ref="O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OU2" t="str" cm="1">
        <f t="array" ref="O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OV2" t="str" cm="1">
        <f t="array" ref="O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OW2" t="str" cm="1">
        <f t="array" ref="O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OX2" t="str" cm="1">
        <f t="array" ref="O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OY2" t="str" cm="1">
        <f t="array" ref="O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OZ2" t="str" cm="1">
        <f t="array" ref="O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PA2" t="str" cm="1">
        <f t="array" ref="P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PB2" t="str" cm="1">
        <f t="array" ref="P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PC2" t="str" cm="1">
        <f t="array" ref="P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PD2" t="str" cm="1">
        <f t="array" ref="P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PE2" t="str" cm="1">
        <f t="array" ref="P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PF2" t="str" cm="1">
        <f t="array" ref="P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PG2" t="str" cm="1">
        <f t="array" ref="P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PH2" t="str" cm="1">
        <f t="array" ref="P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PI2" t="str" cm="1">
        <f t="array" ref="P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PJ2" t="str" cm="1">
        <f t="array" ref="P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PK2" t="str" cm="1">
        <f t="array" ref="P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PL2" t="str" cm="1">
        <f t="array" ref="P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PM2" t="str" cm="1">
        <f t="array" ref="P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PN2" t="str" cm="1">
        <f t="array" ref="P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PO2" t="str" cm="1">
        <f t="array" ref="P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PP2" t="str" cm="1">
        <f t="array" ref="P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PQ2" t="str" cm="1">
        <f t="array" ref="P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PR2" t="str" cm="1">
        <f t="array" ref="P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PS2" t="str" cm="1">
        <f t="array" ref="P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PT2" t="str" cm="1">
        <f t="array" ref="P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PU2" t="str" cm="1">
        <f t="array" ref="P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PV2" t="str" cm="1">
        <f t="array" ref="P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PW2" t="str" cm="1">
        <f t="array" ref="P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PX2" t="str" cm="1">
        <f t="array" ref="P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PY2" t="str" cm="1">
        <f t="array" ref="P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PZ2" t="str" cm="1">
        <f t="array" ref="P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QA2" t="str" cm="1">
        <f t="array" ref="Q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QB2" t="str" cm="1">
        <f t="array" ref="Q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QC2" t="str" cm="1">
        <f t="array" ref="Q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QD2" t="str" cm="1">
        <f t="array" ref="Q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QE2" t="str" cm="1">
        <f t="array" ref="Q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QF2" t="str" cm="1">
        <f t="array" ref="Q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QG2" t="str" cm="1">
        <f t="array" ref="Q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QH2" t="str" cm="1">
        <f t="array" ref="Q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QI2" t="str" cm="1">
        <f t="array" ref="Q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QJ2" t="str" cm="1">
        <f t="array" ref="Q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QK2" t="str" cm="1">
        <f t="array" ref="Q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QL2" t="str" cm="1">
        <f t="array" ref="Q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QM2" t="str" cm="1">
        <f t="array" ref="Q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QN2" t="str" cm="1">
        <f t="array" ref="Q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QO2" t="str" cm="1">
        <f t="array" ref="Q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QP2" t="str" cm="1">
        <f t="array" ref="Q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QQ2" t="str" cm="1">
        <f t="array" ref="Q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QR2" t="str" cm="1">
        <f t="array" ref="Q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QS2" t="str" cm="1">
        <f t="array" ref="Q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QT2" t="str" cm="1">
        <f t="array" ref="Q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QU2" t="str" cm="1">
        <f t="array" ref="Q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QV2" t="str" cm="1">
        <f t="array" ref="Q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QW2" t="str" cm="1">
        <f t="array" ref="Q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QX2" t="str" cm="1">
        <f t="array" ref="Q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QY2" t="str" cm="1">
        <f t="array" ref="Q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QZ2" t="str" cm="1">
        <f t="array" ref="Q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RA2" t="str" cm="1">
        <f t="array" ref="R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RB2" t="str" cm="1">
        <f t="array" ref="R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RC2" t="str" cm="1">
        <f t="array" ref="R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RD2" t="str" cm="1">
        <f t="array" ref="R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RE2" t="str" cm="1">
        <f t="array" ref="R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RF2" t="str" cm="1">
        <f t="array" ref="R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RG2" t="str" cm="1">
        <f t="array" ref="R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RH2" t="str" cm="1">
        <f t="array" ref="R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RI2" t="str" cm="1">
        <f t="array" ref="R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RJ2" t="str" cm="1">
        <f t="array" ref="R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RK2" t="str" cm="1">
        <f t="array" ref="R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RL2" t="str" cm="1">
        <f t="array" ref="R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RM2" t="str" cm="1">
        <f t="array" ref="R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RN2" t="str" cm="1">
        <f t="array" ref="R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RO2" t="str" cm="1">
        <f t="array" ref="R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RP2" t="str" cm="1">
        <f t="array" ref="R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RQ2" t="str" cm="1">
        <f t="array" ref="R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RR2" t="str" cm="1">
        <f t="array" ref="R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RS2" t="str" cm="1">
        <f t="array" ref="R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RT2" t="str" cm="1">
        <f t="array" ref="R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RU2" t="str" cm="1">
        <f t="array" ref="R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RV2" t="str" cm="1">
        <f t="array" ref="R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RW2" t="str" cm="1">
        <f t="array" ref="R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RX2" t="str" cm="1">
        <f t="array" ref="R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RY2" t="str" cm="1">
        <f t="array" ref="R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RZ2" t="str" cm="1">
        <f t="array" ref="R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SA2" t="str" cm="1">
        <f t="array" ref="S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SB2" t="str" cm="1">
        <f t="array" ref="S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SC2" t="str" cm="1">
        <f t="array" ref="S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SD2" t="str" cm="1">
        <f t="array" ref="S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SE2" t="str" cm="1">
        <f t="array" ref="S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SF2" t="str" cm="1">
        <f t="array" ref="S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SG2" t="str" cm="1">
        <f t="array" ref="S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SH2" t="str" cm="1">
        <f t="array" ref="S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SI2" t="str" cm="1">
        <f t="array" ref="S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SJ2" t="str" cm="1">
        <f t="array" ref="S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SK2" t="str" cm="1">
        <f t="array" ref="S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SL2" t="str" cm="1">
        <f t="array" ref="S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SM2" t="str" cm="1">
        <f t="array" ref="S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SN2" t="str" cm="1">
        <f t="array" ref="S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SO2" t="str" cm="1">
        <f t="array" ref="S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SP2" t="str" cm="1">
        <f t="array" ref="S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SQ2" t="str" cm="1">
        <f t="array" ref="S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SR2" t="str" cm="1">
        <f t="array" ref="S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SS2" t="str" cm="1">
        <f t="array" ref="S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ST2" t="str" cm="1">
        <f t="array" ref="S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SU2" t="str" cm="1">
        <f t="array" ref="S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SV2" t="str" cm="1">
        <f t="array" ref="S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SW2" t="str" cm="1">
        <f t="array" ref="S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SX2" t="str" cm="1">
        <f t="array" ref="S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SY2" t="str" cm="1">
        <f t="array" ref="S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SZ2" t="str" cm="1">
        <f t="array" ref="S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TA2" t="str" cm="1">
        <f t="array" ref="T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TB2" t="str" cm="1">
        <f t="array" ref="T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TC2" t="str" cm="1">
        <f t="array" ref="T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TD2" t="str" cm="1">
        <f t="array" ref="T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TE2" t="str" cm="1">
        <f t="array" ref="T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TF2" t="str" cm="1">
        <f t="array" ref="T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TG2" t="str" cm="1">
        <f t="array" ref="T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TH2" t="str" cm="1">
        <f t="array" ref="T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TI2" t="str" cm="1">
        <f t="array" ref="T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TJ2" t="str" cm="1">
        <f t="array" ref="T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TK2" t="str" cm="1">
        <f t="array" ref="T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TL2" t="str" cm="1">
        <f t="array" ref="T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TM2" t="str" cm="1">
        <f t="array" ref="T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TN2" t="str" cm="1">
        <f t="array" ref="T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TO2" t="str" cm="1">
        <f t="array" ref="T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TP2" t="str" cm="1">
        <f t="array" ref="T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TQ2" t="str" cm="1">
        <f t="array" ref="T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TR2" t="str" cm="1">
        <f t="array" ref="T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TS2" t="str" cm="1">
        <f t="array" ref="T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TT2" t="str" cm="1">
        <f t="array" ref="T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TU2" t="str" cm="1">
        <f t="array" ref="T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TV2" t="str" cm="1">
        <f t="array" ref="T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TW2" t="str" cm="1">
        <f t="array" ref="T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TX2" t="str" cm="1">
        <f t="array" ref="T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TY2" t="str" cm="1">
        <f t="array" ref="T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TZ2" t="str" cm="1">
        <f t="array" ref="T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UA2" t="str" cm="1">
        <f t="array" ref="U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UB2" t="str" cm="1">
        <f t="array" ref="U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UC2" t="str" cm="1">
        <f t="array" ref="U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UD2" t="str" cm="1">
        <f t="array" ref="U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UE2" t="str" cm="1">
        <f t="array" ref="U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UF2" t="str" cm="1">
        <f t="array" ref="U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UG2" t="str" cm="1">
        <f t="array" ref="U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UH2" t="str" cm="1">
        <f t="array" ref="U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UI2" t="str" cm="1">
        <f t="array" ref="U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UJ2" t="str" cm="1">
        <f t="array" ref="U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UK2" t="str" cm="1">
        <f t="array" ref="U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UL2" t="str" cm="1">
        <f t="array" ref="U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UM2" t="str" cm="1">
        <f t="array" ref="U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UN2" t="str" cm="1">
        <f t="array" ref="U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UO2" t="str" cm="1">
        <f t="array" ref="U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UP2" t="str" cm="1">
        <f t="array" ref="U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UQ2" t="str" cm="1">
        <f t="array" ref="U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UR2" t="str" cm="1">
        <f t="array" ref="U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US2" t="str" cm="1">
        <f t="array" ref="U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UT2" t="str" cm="1">
        <f t="array" ref="U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UU2" t="str" cm="1">
        <f t="array" ref="U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UV2" t="str" cm="1">
        <f t="array" ref="U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UW2" t="str" cm="1">
        <f t="array" ref="U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UX2" t="str" cm="1">
        <f t="array" ref="U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UY2" t="str" cm="1">
        <f t="array" ref="U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UZ2" t="str" cm="1">
        <f t="array" ref="U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VA2" t="str" cm="1">
        <f t="array" ref="V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VB2" t="str" cm="1">
        <f t="array" ref="V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VC2" t="str" cm="1">
        <f t="array" ref="V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VD2" t="str" cm="1">
        <f t="array" ref="V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VE2" t="str" cm="1">
        <f t="array" ref="V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VF2" t="str" cm="1">
        <f t="array" ref="V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VG2" t="str" cm="1">
        <f t="array" ref="V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VH2" t="str" cm="1">
        <f t="array" ref="V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VI2" t="str" cm="1">
        <f t="array" ref="V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VJ2" t="str" cm="1">
        <f t="array" ref="V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VK2" t="str" cm="1">
        <f t="array" ref="V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VL2" t="str" cm="1">
        <f t="array" ref="V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VM2" t="str" cm="1">
        <f t="array" ref="V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VN2" t="str" cm="1">
        <f t="array" ref="V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VO2" t="str" cm="1">
        <f t="array" ref="V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VP2" t="str" cm="1">
        <f t="array" ref="V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VQ2" t="str" cm="1">
        <f t="array" ref="V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VR2" t="str" cm="1">
        <f t="array" ref="V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VS2" t="str" cm="1">
        <f t="array" ref="V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VT2" t="str" cm="1">
        <f t="array" ref="V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VU2" t="str" cm="1">
        <f t="array" ref="V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VV2" t="str" cm="1">
        <f t="array" ref="V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VW2" t="str" cm="1">
        <f t="array" ref="V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VX2" t="str" cm="1">
        <f t="array" ref="V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VY2" t="str" cm="1">
        <f t="array" ref="V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VZ2" t="str" cm="1">
        <f t="array" ref="V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WA2" t="str" cm="1">
        <f t="array" ref="W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WB2" t="str" cm="1">
        <f t="array" ref="W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WC2" t="str" cm="1">
        <f t="array" ref="W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WD2" t="str" cm="1">
        <f t="array" ref="W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WE2" t="str" cm="1">
        <f t="array" ref="W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WF2" t="str" cm="1">
        <f t="array" ref="W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WG2" t="str" cm="1">
        <f t="array" ref="W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WH2" t="str" cm="1">
        <f t="array" ref="W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WI2" t="str" cm="1">
        <f t="array" ref="W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WJ2" t="str" cm="1">
        <f t="array" ref="W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WK2" t="str" cm="1">
        <f t="array" ref="W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WL2" t="str" cm="1">
        <f t="array" ref="W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WM2" t="str" cm="1">
        <f t="array" ref="W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WN2" t="str" cm="1">
        <f t="array" ref="W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WO2" t="str" cm="1">
        <f t="array" ref="W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WP2" t="str" cm="1">
        <f t="array" ref="W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WQ2" t="str" cm="1">
        <f t="array" ref="W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WR2" t="str" cm="1">
        <f t="array" ref="W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WS2" t="str" cm="1">
        <f t="array" ref="W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WT2" t="str" cm="1">
        <f t="array" ref="W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WU2" t="str" cm="1">
        <f t="array" ref="W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WV2" t="str" cm="1">
        <f t="array" ref="W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WW2" t="str" cm="1">
        <f t="array" ref="W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WX2" t="str" cm="1">
        <f t="array" ref="W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WY2" t="str" cm="1">
        <f t="array" ref="W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WZ2" t="str" cm="1">
        <f t="array" ref="W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XA2" t="str" cm="1">
        <f t="array" ref="X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XB2" t="str" cm="1">
        <f t="array" ref="X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XC2" t="str" cm="1">
        <f t="array" ref="X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XD2" t="str" cm="1">
        <f t="array" ref="X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XE2" t="str" cm="1">
        <f t="array" ref="X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XF2" t="str" cm="1">
        <f t="array" ref="X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XG2" t="str" cm="1">
        <f t="array" ref="X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XH2" t="str" cm="1">
        <f t="array" ref="X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XI2" t="str" cm="1">
        <f t="array" ref="X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XJ2" t="str" cm="1">
        <f t="array" ref="X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XK2" t="str" cm="1">
        <f t="array" ref="X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XL2" t="str" cm="1">
        <f t="array" ref="X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XM2" t="str" cm="1">
        <f t="array" ref="X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XN2" t="str" cm="1">
        <f t="array" ref="X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XO2" t="str" cm="1">
        <f t="array" ref="X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XP2" t="str" cm="1">
        <f t="array" ref="X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XQ2" t="str" cm="1">
        <f t="array" ref="X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XR2" t="str" cm="1">
        <f t="array" ref="X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XS2" t="str" cm="1">
        <f t="array" ref="X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XT2" t="str" cm="1">
        <f t="array" ref="X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XU2" t="str" cm="1">
        <f t="array" ref="X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XV2" t="str" cm="1">
        <f t="array" ref="X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XW2" t="str" cm="1">
        <f t="array" ref="X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XX2" t="str" cm="1">
        <f t="array" ref="X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XY2" t="str" cm="1">
        <f t="array" ref="X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XZ2" t="str" cm="1">
        <f t="array" ref="X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YA2" t="str" cm="1">
        <f t="array" ref="Y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YB2" t="str" cm="1">
        <f t="array" ref="Y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YC2" t="str" cm="1">
        <f t="array" ref="Y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YD2" t="str" cm="1">
        <f t="array" ref="Y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YE2" t="str" cm="1">
        <f t="array" ref="Y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YF2" t="str" cm="1">
        <f t="array" ref="Y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YG2" t="str" cm="1">
        <f t="array" ref="Y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YH2" t="str" cm="1">
        <f t="array" ref="Y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YI2" t="str" cm="1">
        <f t="array" ref="Y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YJ2" t="str" cm="1">
        <f t="array" ref="Y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YK2" t="str" cm="1">
        <f t="array" ref="Y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YL2" t="str" cm="1">
        <f t="array" ref="Y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YM2" t="str" cm="1">
        <f t="array" ref="Y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YN2" t="str" cm="1">
        <f t="array" ref="Y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YO2" t="str" cm="1">
        <f t="array" ref="Y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YP2" t="str" cm="1">
        <f t="array" ref="Y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YQ2" t="str" cm="1">
        <f t="array" ref="Y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YR2" t="str" cm="1">
        <f t="array" ref="Y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YS2" t="str" cm="1">
        <f t="array" ref="Y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YT2" t="str" cm="1">
        <f t="array" ref="Y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YU2" t="str" cm="1">
        <f t="array" ref="Y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YV2" t="str" cm="1">
        <f t="array" ref="Y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YW2" t="str" cm="1">
        <f t="array" ref="Y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YX2" t="str" cm="1">
        <f t="array" ref="Y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YY2" t="str" cm="1">
        <f t="array" ref="Y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YZ2" t="str" cm="1">
        <f t="array" ref="Y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ZA2" t="str" cm="1">
        <f t="array" ref="Z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ZB2" t="str" cm="1">
        <f t="array" ref="Z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ZC2" t="str" cm="1">
        <f t="array" ref="Z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ZD2" t="str" cm="1">
        <f t="array" ref="Z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ZE2" t="str" cm="1">
        <f t="array" ref="Z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ZF2" t="str" cm="1">
        <f t="array" ref="Z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ZG2" t="str" cm="1">
        <f t="array" ref="Z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ZH2" t="str" cm="1">
        <f t="array" ref="Z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ZI2" t="str" cm="1">
        <f t="array" ref="Z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ZJ2" t="str" cm="1">
        <f t="array" ref="Z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ZK2" t="str" cm="1">
        <f t="array" ref="Z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ZL2" t="str" cm="1">
        <f t="array" ref="Z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ZM2" t="str" cm="1">
        <f t="array" ref="Z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ZN2" t="str" cm="1">
        <f t="array" ref="Z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ZO2" t="str" cm="1">
        <f t="array" ref="Z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ZP2" t="str" cm="1">
        <f t="array" ref="Z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ZQ2" t="str" cm="1">
        <f t="array" ref="Z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ZR2" t="str" cm="1">
        <f t="array" ref="Z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ZS2" t="str" cm="1">
        <f t="array" ref="Z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ZT2" t="str" cm="1">
        <f t="array" ref="Z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ZU2" t="str" cm="1">
        <f t="array" ref="Z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ZV2" t="str" cm="1">
        <f t="array" ref="Z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ZW2" t="str" cm="1">
        <f t="array" ref="Z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ZX2" t="str" cm="1">
        <f t="array" ref="Z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ZY2" t="str" cm="1">
        <f t="array" ref="Z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ZZ2" t="str" cm="1">
        <f t="array" ref="Z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AA2" t="str" cm="1">
        <f t="array" ref="AA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AB2" t="str" cm="1">
        <f t="array" ref="AA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AC2" t="str" cm="1">
        <f t="array" ref="AA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AD2" t="str" cm="1">
        <f t="array" ref="AA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AE2" t="str" cm="1">
        <f t="array" ref="AA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AF2" t="str" cm="1">
        <f t="array" ref="AA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AG2" t="str" cm="1">
        <f t="array" ref="AA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AH2" t="str" cm="1">
        <f t="array" ref="AA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AI2" t="str" cm="1">
        <f t="array" ref="AA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AJ2" t="str" cm="1">
        <f t="array" ref="AA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AK2" t="str" cm="1">
        <f t="array" ref="AA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AL2" t="str" cm="1">
        <f t="array" ref="AA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AM2" t="str" cm="1">
        <f t="array" ref="AA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AN2" t="str" cm="1">
        <f t="array" ref="AA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AO2" t="str" cm="1">
        <f t="array" ref="AA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AP2" t="str" cm="1">
        <f t="array" ref="AA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AQ2" t="str" cm="1">
        <f t="array" ref="AA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AR2" t="str" cm="1">
        <f t="array" ref="AA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AS2" t="str" cm="1">
        <f t="array" ref="AA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AT2" t="str" cm="1">
        <f t="array" ref="AA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AU2" t="str" cm="1">
        <f t="array" ref="AA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AV2" t="str" cm="1">
        <f t="array" ref="AA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AW2" t="str" cm="1">
        <f t="array" ref="AA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AX2" t="str" cm="1">
        <f t="array" ref="AA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AY2" t="str" cm="1">
        <f t="array" ref="AA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AZ2" t="str" cm="1">
        <f t="array" ref="AA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BA2" t="str" cm="1">
        <f t="array" ref="AB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BB2" t="str" cm="1">
        <f t="array" ref="AB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BC2" t="str" cm="1">
        <f t="array" ref="AB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BD2" t="str" cm="1">
        <f t="array" ref="AB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BE2" t="str" cm="1">
        <f t="array" ref="AB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BF2" t="str" cm="1">
        <f t="array" ref="AB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BG2" t="str" cm="1">
        <f t="array" ref="AB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BH2" t="str" cm="1">
        <f t="array" ref="AB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BI2" t="str" cm="1">
        <f t="array" ref="AB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BJ2" t="str" cm="1">
        <f t="array" ref="AB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BK2" t="str" cm="1">
        <f t="array" ref="AB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BL2" t="str" cm="1">
        <f t="array" ref="AB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BM2" t="str" cm="1">
        <f t="array" ref="AB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BN2" t="str" cm="1">
        <f t="array" ref="AB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BO2" t="str" cm="1">
        <f t="array" ref="AB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BP2" t="str" cm="1">
        <f t="array" ref="AB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BQ2" t="str" cm="1">
        <f t="array" ref="AB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BR2" t="str" cm="1">
        <f t="array" ref="AB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BS2" t="str" cm="1">
        <f t="array" ref="AB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BT2" t="str" cm="1">
        <f t="array" ref="AB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BU2" t="str" cm="1">
        <f t="array" ref="AB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BV2" t="str" cm="1">
        <f t="array" ref="AB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BW2" t="str" cm="1">
        <f t="array" ref="AB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BX2" t="str" cm="1">
        <f t="array" ref="AB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BY2" t="str" cm="1">
        <f t="array" ref="AB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BZ2" t="str" cm="1">
        <f t="array" ref="AB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CA2" t="str" cm="1">
        <f t="array" ref="AC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CB2" t="str" cm="1">
        <f t="array" ref="AC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CC2" t="str" cm="1">
        <f t="array" ref="AC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CD2" t="str" cm="1">
        <f t="array" ref="AC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CE2" t="str" cm="1">
        <f t="array" ref="AC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CF2" t="str" cm="1">
        <f t="array" ref="AC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CG2" t="str" cm="1">
        <f t="array" ref="AC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CH2" t="str" cm="1">
        <f t="array" ref="AC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CI2" t="str" cm="1">
        <f t="array" ref="AC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CJ2" t="str" cm="1">
        <f t="array" ref="AC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CK2" t="str" cm="1">
        <f t="array" ref="AC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CL2" t="str" cm="1">
        <f t="array" ref="AC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CM2" t="str" cm="1">
        <f t="array" ref="AC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CN2" t="str" cm="1">
        <f t="array" ref="AC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CO2" t="str" cm="1">
        <f t="array" ref="AC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CP2" t="str" cm="1">
        <f t="array" ref="AC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CQ2" t="str" cm="1">
        <f t="array" ref="AC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CR2" t="str" cm="1">
        <f t="array" ref="AC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CS2" t="str" cm="1">
        <f t="array" ref="AC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CT2" t="str" cm="1">
        <f t="array" ref="AC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CU2" t="str" cm="1">
        <f t="array" ref="AC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CV2" t="str" cm="1">
        <f t="array" ref="AC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CW2" t="str" cm="1">
        <f t="array" ref="AC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CX2" t="str" cm="1">
        <f t="array" ref="AC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CY2" t="str" cm="1">
        <f t="array" ref="AC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CZ2" t="str" cm="1">
        <f t="array" ref="AC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DA2" t="str" cm="1">
        <f t="array" ref="AD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DB2" t="str" cm="1">
        <f t="array" ref="AD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DC2" t="str" cm="1">
        <f t="array" ref="AD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DD2" t="str" cm="1">
        <f t="array" ref="AD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DE2" t="str" cm="1">
        <f t="array" ref="AD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DF2" t="str" cm="1">
        <f t="array" ref="AD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DG2" t="str" cm="1">
        <f t="array" ref="AD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DH2" t="str" cm="1">
        <f t="array" ref="AD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DI2" t="str" cm="1">
        <f t="array" ref="AD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DJ2" t="str" cm="1">
        <f t="array" ref="AD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DK2" t="str" cm="1">
        <f t="array" ref="AD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DL2" t="str" cm="1">
        <f t="array" ref="AD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DM2" t="str" cm="1">
        <f t="array" ref="AD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DN2" t="str" cm="1">
        <f t="array" ref="AD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DO2" t="str" cm="1">
        <f t="array" ref="AD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DP2" t="str" cm="1">
        <f t="array" ref="AD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DQ2" t="str" cm="1">
        <f t="array" ref="AD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DR2" t="str" cm="1">
        <f t="array" ref="AD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DS2" t="str" cm="1">
        <f t="array" ref="AD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DT2" t="str" cm="1">
        <f t="array" ref="AD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DU2" t="str" cm="1">
        <f t="array" ref="AD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DV2" t="str" cm="1">
        <f t="array" ref="AD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DW2" t="str" cm="1">
        <f t="array" ref="AD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DX2" t="str" cm="1">
        <f t="array" ref="AD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DY2" t="str" cm="1">
        <f t="array" ref="AD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DZ2" t="str" cm="1">
        <f t="array" ref="AD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EA2" t="str" cm="1">
        <f t="array" ref="AE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EB2" t="str" cm="1">
        <f t="array" ref="AE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EC2" t="str" cm="1">
        <f t="array" ref="AE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ED2" t="str" cm="1">
        <f t="array" ref="AE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EE2" t="str" cm="1">
        <f t="array" ref="AE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EF2" t="str" cm="1">
        <f t="array" ref="AE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EG2" t="str" cm="1">
        <f t="array" ref="AE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EH2" t="str" cm="1">
        <f t="array" ref="AE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EI2" t="str" cm="1">
        <f t="array" ref="AE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EJ2" t="str" cm="1">
        <f t="array" ref="AE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EK2" t="str" cm="1">
        <f t="array" ref="AE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EL2" t="str" cm="1">
        <f t="array" ref="AE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EM2" t="str" cm="1">
        <f t="array" ref="AE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EN2" t="str" cm="1">
        <f t="array" ref="AE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EO2" t="str" cm="1">
        <f t="array" ref="AE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EP2" t="str" cm="1">
        <f t="array" ref="AE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EQ2" t="str" cm="1">
        <f t="array" ref="AE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ER2" t="str" cm="1">
        <f t="array" ref="AE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ES2" t="str" cm="1">
        <f t="array" ref="AE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ET2" t="str" cm="1">
        <f t="array" ref="AE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EU2" t="str" cm="1">
        <f t="array" ref="AE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EV2" t="str" cm="1">
        <f t="array" ref="AE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EW2" t="str" cm="1">
        <f t="array" ref="AE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EX2" t="str" cm="1">
        <f t="array" ref="AE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EY2" t="str" cm="1">
        <f t="array" ref="AE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EZ2" t="str" cm="1">
        <f t="array" ref="AE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FA2" t="str" cm="1">
        <f t="array" ref="AF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FB2" t="str" cm="1">
        <f t="array" ref="AF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FC2" t="str" cm="1">
        <f t="array" ref="AF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FD2" t="str" cm="1">
        <f t="array" ref="AF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FE2" t="str" cm="1">
        <f t="array" ref="AF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FF2" t="str" cm="1">
        <f t="array" ref="AF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FG2" t="str" cm="1">
        <f t="array" ref="AF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FH2" t="str" cm="1">
        <f t="array" ref="AF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FI2" t="str" cm="1">
        <f t="array" ref="AF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FJ2" t="str" cm="1">
        <f t="array" ref="AF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FK2" t="str" cm="1">
        <f t="array" ref="AF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FL2" t="str" cm="1">
        <f t="array" ref="AF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FM2" t="str" cm="1">
        <f t="array" ref="AF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FN2" t="str" cm="1">
        <f t="array" ref="AF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FO2" t="str" cm="1">
        <f t="array" ref="AF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FP2" t="str" cm="1">
        <f t="array" ref="AF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FQ2" t="str" cm="1">
        <f t="array" ref="AF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FR2" t="str" cm="1">
        <f t="array" ref="AF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FS2" t="str" cm="1">
        <f t="array" ref="AF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FT2" t="str" cm="1">
        <f t="array" ref="AF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FU2" t="str" cm="1">
        <f t="array" ref="AF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FV2" t="str" cm="1">
        <f t="array" ref="AF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FW2" t="str" cm="1">
        <f t="array" ref="AF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FX2" t="str" cm="1">
        <f t="array" ref="AF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FY2" t="str" cm="1">
        <f t="array" ref="AF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FZ2" t="str" cm="1">
        <f t="array" ref="AF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GA2" t="str" cm="1">
        <f t="array" ref="AG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GB2" t="str" cm="1">
        <f t="array" ref="AG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GC2" t="str" cm="1">
        <f t="array" ref="AG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GD2" t="str" cm="1">
        <f t="array" ref="AG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GE2" t="str" cm="1">
        <f t="array" ref="AG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GF2" t="str" cm="1">
        <f t="array" ref="AG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GG2" t="str" cm="1">
        <f t="array" ref="AG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GH2" t="str" cm="1">
        <f t="array" ref="AG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GI2" t="str" cm="1">
        <f t="array" ref="AG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GJ2" t="str" cm="1">
        <f t="array" ref="AG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GK2" t="str" cm="1">
        <f t="array" ref="AG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GL2" t="str" cm="1">
        <f t="array" ref="AG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GM2" t="str" cm="1">
        <f t="array" ref="AG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GN2" t="str" cm="1">
        <f t="array" ref="AG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GO2" t="str" cm="1">
        <f t="array" ref="AG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GP2" t="str" cm="1">
        <f t="array" ref="AG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GQ2" t="str" cm="1">
        <f t="array" ref="AG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GR2" t="str" cm="1">
        <f t="array" ref="AG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GS2" t="str" cm="1">
        <f t="array" ref="AG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GT2" t="str" cm="1">
        <f t="array" ref="AG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GU2" t="str" cm="1">
        <f t="array" ref="AG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GV2" t="str" cm="1">
        <f t="array" ref="AG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GW2" t="str" cm="1">
        <f t="array" ref="AG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GX2" t="str" cm="1">
        <f t="array" ref="AG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GY2" t="str" cm="1">
        <f t="array" ref="AG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GZ2" t="str" cm="1">
        <f t="array" ref="AG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HA2" t="str" cm="1">
        <f t="array" ref="AH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HB2" t="str" cm="1">
        <f t="array" ref="AH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HC2" t="str" cm="1">
        <f t="array" ref="AH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HD2" t="str" cm="1">
        <f t="array" ref="AH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HE2" t="str" cm="1">
        <f t="array" ref="AH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HF2" t="str" cm="1">
        <f t="array" ref="AH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HG2" t="str" cm="1">
        <f t="array" ref="AH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HH2" t="str" cm="1">
        <f t="array" ref="AH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HI2" t="str" cm="1">
        <f t="array" ref="AH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HJ2" t="str" cm="1">
        <f t="array" ref="AH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HK2" t="str" cm="1">
        <f t="array" ref="AH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HL2" t="str" cm="1">
        <f t="array" ref="AH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HM2" t="str" cm="1">
        <f t="array" ref="AH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HN2" t="str" cm="1">
        <f t="array" ref="AH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HO2" t="str" cm="1">
        <f t="array" ref="AH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HP2" t="str" cm="1">
        <f t="array" ref="AH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HQ2" t="str" cm="1">
        <f t="array" ref="AH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HR2" t="str" cm="1">
        <f t="array" ref="AH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HS2" t="str" cm="1">
        <f t="array" ref="AH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HT2" t="str" cm="1">
        <f t="array" ref="AH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HU2" t="str" cm="1">
        <f t="array" ref="AH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HV2" t="str" cm="1">
        <f t="array" ref="AH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HW2" t="str" cm="1">
        <f t="array" ref="AH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HX2" t="str" cm="1">
        <f t="array" ref="AH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HY2" t="str" cm="1">
        <f t="array" ref="AH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HZ2" t="str" cm="1">
        <f t="array" ref="AH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IA2" t="str" cm="1">
        <f t="array" ref="AI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IB2" t="str" cm="1">
        <f t="array" ref="AI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IC2" t="str" cm="1">
        <f t="array" ref="AI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ID2" t="str" cm="1">
        <f t="array" ref="AI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IE2" t="str" cm="1">
        <f t="array" ref="AI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IF2" t="str" cm="1">
        <f t="array" ref="AI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IG2" t="str" cm="1">
        <f t="array" ref="AI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IH2" t="str" cm="1">
        <f t="array" ref="AI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II2" t="str" cm="1">
        <f t="array" ref="AI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IJ2" t="str" cm="1">
        <f t="array" ref="AI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IK2" t="str" cm="1">
        <f t="array" ref="AI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IL2" t="str" cm="1">
        <f t="array" ref="AI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IM2" t="str" cm="1">
        <f t="array" ref="AI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IN2" t="str" cm="1">
        <f t="array" ref="AI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IO2" t="str" cm="1">
        <f t="array" ref="AI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IP2" t="str" cm="1">
        <f t="array" ref="AI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IQ2" t="str" cm="1">
        <f t="array" ref="AI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IR2" t="str" cm="1">
        <f t="array" ref="AI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IS2" t="str" cm="1">
        <f t="array" ref="AI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IT2" t="str" cm="1">
        <f t="array" ref="AI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IU2" t="str" cm="1">
        <f t="array" ref="AI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IV2" t="str" cm="1">
        <f t="array" ref="AI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IW2" t="str" cm="1">
        <f t="array" ref="AI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IX2" t="str" cm="1">
        <f t="array" ref="AI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IY2" t="str" cm="1">
        <f t="array" ref="AI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IZ2" t="str" cm="1">
        <f t="array" ref="AI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JA2" t="str" cm="1">
        <f t="array" ref="AJ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JB2" t="str" cm="1">
        <f t="array" ref="AJ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JC2" t="str" cm="1">
        <f t="array" ref="AJ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JD2" t="str" cm="1">
        <f t="array" ref="AJ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JE2" t="str" cm="1">
        <f t="array" ref="AJ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JF2" t="str" cm="1">
        <f t="array" ref="AJ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JG2" t="str" cm="1">
        <f t="array" ref="AJ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JH2" t="str" cm="1">
        <f t="array" ref="AJ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JI2" t="str" cm="1">
        <f t="array" ref="AJ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JJ2" t="str" cm="1">
        <f t="array" ref="AJ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JK2" t="str" cm="1">
        <f t="array" ref="AJ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JL2" t="str" cm="1">
        <f t="array" ref="AJ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JM2" t="str" cm="1">
        <f t="array" ref="AJ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JN2" t="str" cm="1">
        <f t="array" ref="AJ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JO2" t="str" cm="1">
        <f t="array" ref="AJ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JP2" t="str" cm="1">
        <f t="array" ref="AJ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JQ2" t="str" cm="1">
        <f t="array" ref="AJ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JR2" t="str" cm="1">
        <f t="array" ref="AJ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JS2" t="str" cm="1">
        <f t="array" ref="AJ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JT2" t="str" cm="1">
        <f t="array" ref="AJ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JU2" t="str" cm="1">
        <f t="array" ref="AJ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JV2" t="str" cm="1">
        <f t="array" ref="AJ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JW2" t="str" cm="1">
        <f t="array" ref="AJ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JX2" t="str" cm="1">
        <f t="array" ref="AJ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JY2" t="str" cm="1">
        <f t="array" ref="AJ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JZ2" t="str" cm="1">
        <f t="array" ref="AJ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KA2" t="str" cm="1">
        <f t="array" ref="AK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KB2" t="str" cm="1">
        <f t="array" ref="AK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KC2" t="str" cm="1">
        <f t="array" ref="AK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KD2" t="str" cm="1">
        <f t="array" ref="AK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KE2" t="str" cm="1">
        <f t="array" ref="AK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KF2" t="str" cm="1">
        <f t="array" ref="AK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KG2" t="str" cm="1">
        <f t="array" ref="AK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KH2" t="str" cm="1">
        <f t="array" ref="AK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KI2" t="str" cm="1">
        <f t="array" ref="AK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KJ2" t="str" cm="1">
        <f t="array" ref="AK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KK2" t="str" cm="1">
        <f t="array" ref="AK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KL2" t="str" cm="1">
        <f t="array" ref="AK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KM2" t="str" cm="1">
        <f t="array" ref="AK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KN2" t="str" cm="1">
        <f t="array" ref="AK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KO2" t="str" cm="1">
        <f t="array" ref="AKO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KP2" t="str" cm="1">
        <f t="array" ref="AKP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KQ2" t="str" cm="1">
        <f t="array" ref="AKQ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KR2" t="str" cm="1">
        <f t="array" ref="AKR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KS2" t="str" cm="1">
        <f t="array" ref="AKS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KT2" t="str" cm="1">
        <f t="array" ref="AKT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KU2" t="str" cm="1">
        <f t="array" ref="AKU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KV2" t="str" cm="1">
        <f t="array" ref="AKV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KW2" t="str" cm="1">
        <f t="array" ref="AKW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KX2" t="str" cm="1">
        <f t="array" ref="AKX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KY2" t="str" cm="1">
        <f t="array" ref="AKY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KZ2" t="str" cm="1">
        <f t="array" ref="AKZ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LA2" t="str" cm="1">
        <f t="array" ref="ALA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LB2" t="str" cm="1">
        <f t="array" ref="ALB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LC2" t="str" cm="1">
        <f t="array" ref="ALC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LD2" t="str" cm="1">
        <f t="array" ref="ALD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LE2" t="str" cm="1">
        <f t="array" ref="ALE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LF2" t="str" cm="1">
        <f t="array" ref="ALF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LG2" t="str" cm="1">
        <f t="array" ref="ALG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LH2" t="str" cm="1">
        <f t="array" ref="ALH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LI2" t="str" cm="1">
        <f t="array" ref="ALI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LJ2" t="str" cm="1">
        <f t="array" ref="ALJ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LK2" t="str" cm="1">
        <f t="array" ref="ALK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LL2" t="str" cm="1">
        <f t="array" ref="ALL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LM2" t="str" cm="1">
        <f t="array" ref="ALM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  <c r="ALN2" t="str" cm="1">
        <f t="array" ref="ALN2">_xlfn.LET(_xlpm.m,_xlfn.ANCHORARRAY($A$2),_xlpm.cats,INDEX(_xlpm.m,0,1),_xlpm.subs,INDEX(_xlpm.m,0,2),_xlpm.codes,INDEX(_xlpm.m,0,3),_xlpm.r,COLUMN()-2,_xlpm.cat,INDEX(HANDOVER!$I:$I,_xlpm.r),_xlpm.sub,INDEX(HANDOVER!$J:$J,_xlpm.r),_xlpm.cur,INDEX(HANDOVER!$K:$K,_xlpm.r),_xlfn._xlws.FILTER(_xlpm.codes,(_xlpm.cats=_xlpm.cat)*(TRIM(_xlpm.subs)=TRIM(_xlpm.sub))*((COUNTIF(HANDOVER!$K$2:$K$1001,_xlpm.codes)-(--(_xlpm.cur=_xlpm.codes)))=0),""))</f>
        <v/>
      </c>
    </row>
    <row r="3" spans="1:1002" x14ac:dyDescent="0.25">
      <c r="A3" t="str">
        <v>Computer</v>
      </c>
      <c r="B3" t="str">
        <v>PC</v>
      </c>
      <c r="C3" t="str">
        <v>2609101001</v>
      </c>
      <c r="D3" t="str">
        <v>2609101004</v>
      </c>
      <c r="E3" t="str">
        <v>2601102003</v>
      </c>
      <c r="F3" t="str">
        <v>2609104004</v>
      </c>
      <c r="G3" t="str">
        <v>2603105001</v>
      </c>
      <c r="H3" t="str">
        <v>2609101004</v>
      </c>
      <c r="I3" t="str">
        <v>2601102003</v>
      </c>
      <c r="J3" t="str">
        <v>2609104004</v>
      </c>
      <c r="K3" t="str">
        <v>2603105001</v>
      </c>
      <c r="L3" t="str">
        <v>2609102005</v>
      </c>
      <c r="M3" t="str">
        <v>2603105001</v>
      </c>
      <c r="N3" t="str">
        <v>2601102004</v>
      </c>
      <c r="O3" t="str">
        <v>2609101004</v>
      </c>
      <c r="P3" t="str">
        <v>2609102002</v>
      </c>
      <c r="Q3" t="str">
        <v>2609104005</v>
      </c>
      <c r="R3" t="str">
        <v>2601104001</v>
      </c>
      <c r="S3" t="str">
        <v>2601104009</v>
      </c>
      <c r="T3" t="str">
        <v>2609104017</v>
      </c>
      <c r="U3" t="str">
        <v>2601101020</v>
      </c>
      <c r="V3" t="str">
        <v>2609104017</v>
      </c>
      <c r="W3" t="str">
        <v>2601101020</v>
      </c>
      <c r="X3" t="str">
        <v>2609104017</v>
      </c>
      <c r="Y3" t="str">
        <v>2609104028</v>
      </c>
      <c r="Z3" t="str">
        <v>2601101018</v>
      </c>
      <c r="AA3" t="str">
        <v>2609104017</v>
      </c>
      <c r="AB3" t="str">
        <v>2609101005</v>
      </c>
      <c r="AC3" t="str">
        <v>2609101006</v>
      </c>
      <c r="AD3" t="str">
        <v>2609104018</v>
      </c>
      <c r="AE3" t="str">
        <v>2609101006</v>
      </c>
      <c r="AF3" t="str">
        <v>2609102003</v>
      </c>
      <c r="AG3" t="str">
        <v>2601101030</v>
      </c>
      <c r="AH3" t="str">
        <v>2601104003</v>
      </c>
      <c r="AI3" t="str">
        <v>2609104018</v>
      </c>
      <c r="AK3" t="str">
        <v>2609104018</v>
      </c>
      <c r="AL3" t="str">
        <v>2609104018</v>
      </c>
      <c r="AM3" t="str">
        <v>2601101011</v>
      </c>
      <c r="AN3" t="str">
        <v>2609101006</v>
      </c>
      <c r="AO3" t="str">
        <v>2609102003</v>
      </c>
      <c r="AP3" t="str">
        <v>2609104005</v>
      </c>
      <c r="AQ3" t="str">
        <v>2601104009</v>
      </c>
      <c r="AR3" t="str">
        <v>2601101018</v>
      </c>
      <c r="AS3" t="str">
        <v>2609104017</v>
      </c>
      <c r="AT3" t="str">
        <v>2609104018</v>
      </c>
      <c r="AU3" t="str">
        <v>2609104018</v>
      </c>
      <c r="AV3" t="str">
        <v>2609104018</v>
      </c>
      <c r="AW3" t="str">
        <v>2601101011</v>
      </c>
      <c r="AX3" t="str">
        <v>2601101011</v>
      </c>
    </row>
    <row r="4" spans="1:1002" x14ac:dyDescent="0.25">
      <c r="A4" t="str">
        <v>Computer</v>
      </c>
      <c r="B4" t="str">
        <v>Notebook</v>
      </c>
      <c r="C4" t="str">
        <v>2609101002</v>
      </c>
      <c r="D4" t="str">
        <v>2609101006</v>
      </c>
      <c r="E4" t="str">
        <v>2609102006</v>
      </c>
      <c r="F4" t="str">
        <v>2609104005</v>
      </c>
      <c r="G4" t="str">
        <v>2603105002</v>
      </c>
      <c r="H4" t="str">
        <v>2609101006</v>
      </c>
      <c r="I4" t="str">
        <v>2609102006</v>
      </c>
      <c r="J4" t="str">
        <v>2609104005</v>
      </c>
      <c r="K4" t="str">
        <v>2603105002</v>
      </c>
      <c r="L4" t="str">
        <v>2609102006</v>
      </c>
      <c r="M4" t="str">
        <v>2603105002</v>
      </c>
      <c r="N4" t="str">
        <v>2609102006</v>
      </c>
      <c r="O4" t="str">
        <v>2609101006</v>
      </c>
      <c r="P4" t="str">
        <v>2609102003</v>
      </c>
      <c r="Q4" t="str">
        <v>2609104006</v>
      </c>
      <c r="R4" t="str">
        <v>2601104013</v>
      </c>
      <c r="S4" t="str">
        <v>2609104029</v>
      </c>
      <c r="T4" t="str">
        <v>2609104018</v>
      </c>
      <c r="U4" t="str">
        <v>2601101021</v>
      </c>
      <c r="V4" t="str">
        <v>2609104018</v>
      </c>
      <c r="W4" t="str">
        <v>2601101021</v>
      </c>
      <c r="X4" t="str">
        <v>2609104018</v>
      </c>
      <c r="Z4" t="str">
        <v>2601101020</v>
      </c>
      <c r="AA4" t="str">
        <v>2609104018</v>
      </c>
      <c r="AB4" t="str">
        <v>2609101006</v>
      </c>
      <c r="AC4" t="str">
        <v>2609101007</v>
      </c>
      <c r="AD4" t="str">
        <v>2609104027</v>
      </c>
      <c r="AE4" t="str">
        <v>2609101007</v>
      </c>
      <c r="AF4" t="str">
        <v>2609102004</v>
      </c>
      <c r="AH4" t="str">
        <v>2601104004</v>
      </c>
      <c r="AI4" t="str">
        <v>2609104019</v>
      </c>
      <c r="AK4" t="str">
        <v>2609104020</v>
      </c>
      <c r="AL4" t="str">
        <v>2609104021</v>
      </c>
      <c r="AM4" t="str">
        <v>2601101012</v>
      </c>
      <c r="AN4" t="str">
        <v>2609101007</v>
      </c>
      <c r="AO4" t="str">
        <v>2609102004</v>
      </c>
      <c r="AP4" t="str">
        <v>2609104006</v>
      </c>
      <c r="AQ4" t="str">
        <v>2609104029</v>
      </c>
      <c r="AR4" t="str">
        <v>2601101020</v>
      </c>
      <c r="AS4" t="str">
        <v>2609104018</v>
      </c>
      <c r="AT4" t="str">
        <v>2609104024</v>
      </c>
      <c r="AU4" t="str">
        <v>2609104022</v>
      </c>
      <c r="AV4" t="str">
        <v>2609104023</v>
      </c>
      <c r="AW4" t="str">
        <v>2601101012</v>
      </c>
      <c r="AX4" t="str">
        <v>2601101012</v>
      </c>
    </row>
    <row r="5" spans="1:1002" x14ac:dyDescent="0.25">
      <c r="A5" t="str">
        <v>Computer</v>
      </c>
      <c r="B5" t="str">
        <v>PC</v>
      </c>
      <c r="C5" t="str">
        <v>2609101003</v>
      </c>
      <c r="D5" t="str">
        <v>2609101007</v>
      </c>
      <c r="F5" t="str">
        <v>2609104006</v>
      </c>
      <c r="H5" t="str">
        <v>2609101007</v>
      </c>
      <c r="J5" t="str">
        <v>2609104006</v>
      </c>
      <c r="O5" t="str">
        <v>2609101007</v>
      </c>
      <c r="P5" t="str">
        <v>2609102004</v>
      </c>
      <c r="Q5" t="str">
        <v>2609104007</v>
      </c>
      <c r="S5" t="str">
        <v>2609104030</v>
      </c>
      <c r="U5" t="str">
        <v>2601101022</v>
      </c>
      <c r="W5" t="str">
        <v>2601101022</v>
      </c>
      <c r="Z5" t="str">
        <v>2601101021</v>
      </c>
      <c r="AB5" t="str">
        <v>2609101007</v>
      </c>
      <c r="AC5" t="str">
        <v>2601101002</v>
      </c>
      <c r="AE5" t="str">
        <v>2601101002</v>
      </c>
      <c r="AF5" t="str">
        <v>2601102005</v>
      </c>
      <c r="AM5" t="str">
        <v>2601101013</v>
      </c>
      <c r="AN5" t="str">
        <v>2601101002</v>
      </c>
      <c r="AO5" t="str">
        <v>2601102005</v>
      </c>
      <c r="AP5" t="str">
        <v>2609104007</v>
      </c>
      <c r="AQ5" t="str">
        <v>2609104030</v>
      </c>
      <c r="AR5" t="str">
        <v>2601101021</v>
      </c>
      <c r="AW5" t="str">
        <v>2601101013</v>
      </c>
      <c r="AX5" t="str">
        <v>2601101013</v>
      </c>
    </row>
    <row r="6" spans="1:1002" x14ac:dyDescent="0.25">
      <c r="A6" t="str">
        <v>Computer</v>
      </c>
      <c r="B6" t="str">
        <v>PC</v>
      </c>
      <c r="C6" t="str">
        <v>2609101004</v>
      </c>
      <c r="D6" t="str">
        <v>2601101002</v>
      </c>
      <c r="F6" t="str">
        <v>2609104007</v>
      </c>
      <c r="H6" t="str">
        <v>2601101002</v>
      </c>
      <c r="J6" t="str">
        <v>2609104007</v>
      </c>
      <c r="O6" t="str">
        <v>2601101002</v>
      </c>
      <c r="P6" t="str">
        <v>2601102005</v>
      </c>
      <c r="Q6" t="str">
        <v>2609104008</v>
      </c>
      <c r="S6" t="str">
        <v>2609104031</v>
      </c>
      <c r="U6" t="str">
        <v>2601101029</v>
      </c>
      <c r="W6" t="str">
        <v>2601101029</v>
      </c>
      <c r="Z6" t="str">
        <v>2601101022</v>
      </c>
      <c r="AB6" t="str">
        <v>2601101002</v>
      </c>
      <c r="AC6" t="str">
        <v>2601101003</v>
      </c>
      <c r="AE6" t="str">
        <v>2601101003</v>
      </c>
      <c r="AF6" t="str">
        <v>2601102006</v>
      </c>
      <c r="AM6" t="str">
        <v>2601101014</v>
      </c>
      <c r="AN6" t="str">
        <v>2601101003</v>
      </c>
      <c r="AO6" t="str">
        <v>2601102006</v>
      </c>
      <c r="AP6" t="str">
        <v>2609104008</v>
      </c>
      <c r="AQ6" t="str">
        <v>2609104031</v>
      </c>
      <c r="AR6" t="str">
        <v>2601101022</v>
      </c>
      <c r="AW6" t="str">
        <v>2601101014</v>
      </c>
      <c r="AX6" t="str">
        <v>2601101014</v>
      </c>
    </row>
    <row r="7" spans="1:1002" x14ac:dyDescent="0.25">
      <c r="A7" t="str">
        <v>Computer</v>
      </c>
      <c r="B7" t="str">
        <v>PC</v>
      </c>
      <c r="C7" t="str">
        <v>2609101005</v>
      </c>
      <c r="D7" t="str">
        <v>2601101003</v>
      </c>
      <c r="F7" t="str">
        <v>2609104008</v>
      </c>
      <c r="H7" t="str">
        <v>2601101003</v>
      </c>
      <c r="J7" t="str">
        <v>2609104008</v>
      </c>
      <c r="O7" t="str">
        <v>2601101003</v>
      </c>
      <c r="P7" t="str">
        <v>2601102006</v>
      </c>
      <c r="Q7" t="str">
        <v>2609104009</v>
      </c>
      <c r="S7" t="str">
        <v>2609104032</v>
      </c>
      <c r="U7" t="str">
        <v>2609101008</v>
      </c>
      <c r="W7" t="str">
        <v>2609101008</v>
      </c>
      <c r="Z7" t="str">
        <v>2601101029</v>
      </c>
      <c r="AB7" t="str">
        <v>2601101003</v>
      </c>
      <c r="AC7" t="str">
        <v>2601101005</v>
      </c>
      <c r="AE7" t="str">
        <v>2601101004</v>
      </c>
      <c r="AF7" t="str">
        <v>2601102007</v>
      </c>
      <c r="AM7" t="str">
        <v>2601101015</v>
      </c>
      <c r="AN7" t="str">
        <v>2601101005</v>
      </c>
      <c r="AO7" t="str">
        <v>2601102007</v>
      </c>
      <c r="AP7" t="str">
        <v>2601104002</v>
      </c>
      <c r="AQ7" t="str">
        <v>2609104032</v>
      </c>
      <c r="AR7" t="str">
        <v>2601101029</v>
      </c>
      <c r="AW7" t="str">
        <v>2601101015</v>
      </c>
      <c r="AX7" t="str">
        <v>2601101015</v>
      </c>
    </row>
    <row r="8" spans="1:1002" x14ac:dyDescent="0.25">
      <c r="A8" t="str">
        <v>Computer</v>
      </c>
      <c r="B8" t="str">
        <v>PC</v>
      </c>
      <c r="C8" t="str">
        <v>2609101006</v>
      </c>
      <c r="D8" t="str">
        <v>2601101005</v>
      </c>
      <c r="F8" t="str">
        <v>2601104002</v>
      </c>
      <c r="H8" t="str">
        <v>2601101005</v>
      </c>
      <c r="J8" t="str">
        <v>2601104002</v>
      </c>
      <c r="O8" t="str">
        <v>2601101005</v>
      </c>
      <c r="P8" t="str">
        <v>2601102007</v>
      </c>
      <c r="Q8" t="str">
        <v>2601104002</v>
      </c>
      <c r="S8" t="str">
        <v>2601104014</v>
      </c>
      <c r="U8" t="str">
        <v>2609101009</v>
      </c>
      <c r="W8" t="str">
        <v>2609101010</v>
      </c>
      <c r="Z8" t="str">
        <v>2609101008</v>
      </c>
      <c r="AB8" t="str">
        <v>2601101005</v>
      </c>
      <c r="AC8" t="str">
        <v>2601101006</v>
      </c>
      <c r="AE8" t="str">
        <v>2601101005</v>
      </c>
      <c r="AF8" t="str">
        <v>2601102008</v>
      </c>
      <c r="AM8" t="str">
        <v>2601101016</v>
      </c>
      <c r="AN8" t="str">
        <v>2601101006</v>
      </c>
      <c r="AO8" t="str">
        <v>2601102009</v>
      </c>
      <c r="AP8" t="str">
        <v>2601104005</v>
      </c>
      <c r="AQ8" t="str">
        <v>2601104014</v>
      </c>
      <c r="AR8" t="str">
        <v>2609101008</v>
      </c>
      <c r="AW8" t="str">
        <v>2601101016</v>
      </c>
      <c r="AX8" t="str">
        <v>2601101016</v>
      </c>
    </row>
    <row r="9" spans="1:1002" x14ac:dyDescent="0.25">
      <c r="A9" t="str">
        <v>Computer</v>
      </c>
      <c r="B9" t="str">
        <v>PC</v>
      </c>
      <c r="C9" t="str">
        <v>2609101007</v>
      </c>
      <c r="D9" t="str">
        <v>2601101006</v>
      </c>
      <c r="F9" t="str">
        <v>2601104005</v>
      </c>
      <c r="H9" t="str">
        <v>2601101006</v>
      </c>
      <c r="J9" t="str">
        <v>2601104005</v>
      </c>
      <c r="O9" t="str">
        <v>2601101006</v>
      </c>
      <c r="P9" t="str">
        <v>2601102009</v>
      </c>
      <c r="Q9" t="str">
        <v>2601104005</v>
      </c>
      <c r="S9" t="str">
        <v>2601104015</v>
      </c>
      <c r="U9" t="str">
        <v>2601101040</v>
      </c>
      <c r="W9" t="str">
        <v>2601101040</v>
      </c>
      <c r="Z9" t="str">
        <v>2601101040</v>
      </c>
      <c r="AB9" t="str">
        <v>2601101006</v>
      </c>
      <c r="AC9" t="str">
        <v>2601101007</v>
      </c>
      <c r="AE9" t="str">
        <v>2601101006</v>
      </c>
      <c r="AF9" t="str">
        <v>2601102009</v>
      </c>
      <c r="AM9" t="str">
        <v>2601101026</v>
      </c>
      <c r="AN9" t="str">
        <v>2601101007</v>
      </c>
      <c r="AO9" t="str">
        <v>2601102010</v>
      </c>
      <c r="AP9" t="str">
        <v>2601104006</v>
      </c>
      <c r="AQ9" t="str">
        <v>2601104015</v>
      </c>
      <c r="AR9" t="str">
        <v>2601101040</v>
      </c>
      <c r="AW9" t="str">
        <v>2601101026</v>
      </c>
      <c r="AX9" t="str">
        <v>2601101026</v>
      </c>
    </row>
    <row r="10" spans="1:1002" x14ac:dyDescent="0.25">
      <c r="A10" t="str">
        <v>Computer</v>
      </c>
      <c r="B10" t="str">
        <v>PC</v>
      </c>
      <c r="C10" t="str">
        <v>2601101002</v>
      </c>
      <c r="D10" t="str">
        <v>2601101007</v>
      </c>
      <c r="F10" t="str">
        <v>2601104006</v>
      </c>
      <c r="H10" t="str">
        <v>2601101007</v>
      </c>
      <c r="J10" t="str">
        <v>2601104006</v>
      </c>
      <c r="O10" t="str">
        <v>2601101007</v>
      </c>
      <c r="P10" t="str">
        <v>2601102011</v>
      </c>
      <c r="Q10" t="str">
        <v>2601104006</v>
      </c>
      <c r="S10" t="str">
        <v>2601104016</v>
      </c>
      <c r="U10" t="str">
        <v>2601101041</v>
      </c>
      <c r="W10" t="str">
        <v>2601101041</v>
      </c>
      <c r="Z10" t="str">
        <v>2601101041</v>
      </c>
      <c r="AB10" t="str">
        <v>2601101007</v>
      </c>
      <c r="AC10" t="str">
        <v>2601101008</v>
      </c>
      <c r="AE10" t="str">
        <v>2601101007</v>
      </c>
      <c r="AF10" t="str">
        <v>2601102011</v>
      </c>
      <c r="AM10" t="str">
        <v>2601101027</v>
      </c>
      <c r="AN10" t="str">
        <v>2601101008</v>
      </c>
      <c r="AO10" t="str">
        <v>2601102011</v>
      </c>
      <c r="AP10" t="str">
        <v>2601104010</v>
      </c>
      <c r="AQ10" t="str">
        <v>2601104016</v>
      </c>
      <c r="AR10" t="str">
        <v>2601101041</v>
      </c>
      <c r="AW10" t="str">
        <v>2601101027</v>
      </c>
      <c r="AX10" t="str">
        <v>2601101027</v>
      </c>
    </row>
    <row r="11" spans="1:1002" x14ac:dyDescent="0.25">
      <c r="A11" t="str">
        <v>Computer</v>
      </c>
      <c r="B11" t="str">
        <v>PC</v>
      </c>
      <c r="C11" t="str">
        <v>2601101003</v>
      </c>
      <c r="D11" t="str">
        <v>2601101008</v>
      </c>
      <c r="F11" t="str">
        <v>2601104011</v>
      </c>
      <c r="H11" t="str">
        <v>2601101008</v>
      </c>
      <c r="J11" t="str">
        <v>2601104011</v>
      </c>
      <c r="O11" t="str">
        <v>2601101008</v>
      </c>
      <c r="P11" t="str">
        <v>2601102012</v>
      </c>
      <c r="Q11" t="str">
        <v>2601104011</v>
      </c>
      <c r="U11" t="str">
        <v>2601101042</v>
      </c>
      <c r="W11" t="str">
        <v>2601101042</v>
      </c>
      <c r="Z11" t="str">
        <v>2601101042</v>
      </c>
      <c r="AB11" t="str">
        <v>2601101008</v>
      </c>
      <c r="AC11" t="str">
        <v>2601101019</v>
      </c>
      <c r="AE11" t="str">
        <v>2601101008</v>
      </c>
      <c r="AF11" t="str">
        <v>2601102012</v>
      </c>
      <c r="AM11" t="str">
        <v>2601101028</v>
      </c>
      <c r="AN11" t="str">
        <v>2601101019</v>
      </c>
      <c r="AO11" t="str">
        <v>2601102012</v>
      </c>
      <c r="AP11" t="str">
        <v>2601104011</v>
      </c>
      <c r="AR11" t="str">
        <v>2601101042</v>
      </c>
      <c r="AW11" t="str">
        <v>2601101028</v>
      </c>
      <c r="AX11" t="str">
        <v>2601101028</v>
      </c>
    </row>
    <row r="12" spans="1:1002" x14ac:dyDescent="0.25">
      <c r="A12" t="str">
        <v>Computer</v>
      </c>
      <c r="B12" t="str">
        <v>PC</v>
      </c>
      <c r="C12" t="str">
        <v>2601101004</v>
      </c>
      <c r="D12" t="str">
        <v>2601101019</v>
      </c>
      <c r="F12" t="str">
        <v>2601104012</v>
      </c>
      <c r="H12" t="str">
        <v>2601101019</v>
      </c>
      <c r="J12" t="str">
        <v>2601104012</v>
      </c>
      <c r="O12" t="str">
        <v>2601101019</v>
      </c>
      <c r="P12" t="str">
        <v>2601102013</v>
      </c>
      <c r="Q12" t="str">
        <v>2601104012</v>
      </c>
      <c r="U12" t="str">
        <v>2601101043</v>
      </c>
      <c r="W12" t="str">
        <v>2601101043</v>
      </c>
      <c r="Z12" t="str">
        <v>2601101043</v>
      </c>
      <c r="AB12" t="str">
        <v>2601101019</v>
      </c>
      <c r="AC12" t="str">
        <v>2601101023</v>
      </c>
      <c r="AE12" t="str">
        <v>2601101019</v>
      </c>
      <c r="AF12" t="str">
        <v>2601102013</v>
      </c>
      <c r="AM12" t="str">
        <v>2601101031</v>
      </c>
      <c r="AN12" t="str">
        <v>2601101023</v>
      </c>
      <c r="AO12" t="str">
        <v>2601102013</v>
      </c>
      <c r="AP12" t="str">
        <v>2601104012</v>
      </c>
      <c r="AR12" t="str">
        <v>2601101043</v>
      </c>
      <c r="AW12" t="str">
        <v>2601101031</v>
      </c>
      <c r="AX12" t="str">
        <v>2601101031</v>
      </c>
    </row>
    <row r="13" spans="1:1002" x14ac:dyDescent="0.25">
      <c r="A13" t="str">
        <v>Computer</v>
      </c>
      <c r="B13" t="str">
        <v>PC</v>
      </c>
      <c r="C13" t="str">
        <v>2601101005</v>
      </c>
      <c r="D13" t="str">
        <v>2601101023</v>
      </c>
      <c r="F13" t="str">
        <v>2609104033</v>
      </c>
      <c r="H13" t="str">
        <v>2601101023</v>
      </c>
      <c r="J13" t="str">
        <v>2609104033</v>
      </c>
      <c r="O13" t="str">
        <v>2601101023</v>
      </c>
      <c r="P13" t="str">
        <v>2601102014</v>
      </c>
      <c r="Q13" t="str">
        <v>2609104033</v>
      </c>
      <c r="U13" t="str">
        <v>2601101044</v>
      </c>
      <c r="W13" t="str">
        <v>2601101044</v>
      </c>
      <c r="Z13" t="str">
        <v>2601101044</v>
      </c>
      <c r="AB13" t="str">
        <v>2601101023</v>
      </c>
      <c r="AC13" t="str">
        <v>2601101024</v>
      </c>
      <c r="AE13" t="str">
        <v>2601101023</v>
      </c>
      <c r="AF13" t="str">
        <v>2601102014</v>
      </c>
      <c r="AM13" t="str">
        <v>2601101035</v>
      </c>
      <c r="AN13" t="str">
        <v>2601101024</v>
      </c>
      <c r="AO13" t="str">
        <v>2601102014</v>
      </c>
      <c r="AP13" t="str">
        <v>2609104033</v>
      </c>
      <c r="AR13" t="str">
        <v>2601101044</v>
      </c>
      <c r="AW13" t="str">
        <v>2601101032</v>
      </c>
      <c r="AX13" t="str">
        <v>2601101033</v>
      </c>
    </row>
    <row r="14" spans="1:1002" x14ac:dyDescent="0.25">
      <c r="A14" t="str">
        <v>Computer</v>
      </c>
      <c r="B14" t="str">
        <v>PC</v>
      </c>
      <c r="C14" t="str">
        <v>2601101006</v>
      </c>
      <c r="D14" t="str">
        <v>2601101024</v>
      </c>
      <c r="F14" t="str">
        <v>2609104034</v>
      </c>
      <c r="H14" t="str">
        <v>2601101024</v>
      </c>
      <c r="J14" t="str">
        <v>2609104034</v>
      </c>
      <c r="O14" t="str">
        <v>2601101024</v>
      </c>
      <c r="P14" t="str">
        <v>2601102015</v>
      </c>
      <c r="Q14" t="str">
        <v>2609104034</v>
      </c>
      <c r="U14" t="str">
        <v>2601101045</v>
      </c>
      <c r="W14" t="str">
        <v>2601101045</v>
      </c>
      <c r="Z14" t="str">
        <v>2601101045</v>
      </c>
      <c r="AB14" t="str">
        <v>2601101024</v>
      </c>
      <c r="AC14" t="str">
        <v>2601101025</v>
      </c>
      <c r="AE14" t="str">
        <v>2601101024</v>
      </c>
      <c r="AF14" t="str">
        <v>2601102015</v>
      </c>
      <c r="AM14" t="str">
        <v>2609101011</v>
      </c>
      <c r="AN14" t="str">
        <v>2601101034</v>
      </c>
      <c r="AO14" t="str">
        <v>2601102015</v>
      </c>
      <c r="AP14" t="str">
        <v>2609104034</v>
      </c>
      <c r="AR14" t="str">
        <v>2601101045</v>
      </c>
      <c r="AW14" t="str">
        <v>2601101035</v>
      </c>
      <c r="AX14" t="str">
        <v>2601101035</v>
      </c>
    </row>
    <row r="15" spans="1:1002" x14ac:dyDescent="0.25">
      <c r="A15" t="str">
        <v>Computer</v>
      </c>
      <c r="B15" t="str">
        <v>PC</v>
      </c>
      <c r="C15" t="str">
        <v>2601101007</v>
      </c>
      <c r="F15" t="str">
        <v>2609104035</v>
      </c>
      <c r="J15" t="str">
        <v>2609104035</v>
      </c>
      <c r="Q15" t="str">
        <v>2609104035</v>
      </c>
      <c r="U15" t="str">
        <v>2601101046</v>
      </c>
      <c r="W15" t="str">
        <v>2601101046</v>
      </c>
      <c r="Z15" t="str">
        <v>2601101046</v>
      </c>
      <c r="AM15" t="str">
        <v>2601101036</v>
      </c>
      <c r="AP15" t="str">
        <v>2609104035</v>
      </c>
      <c r="AR15" t="str">
        <v>2601101046</v>
      </c>
      <c r="AW15" t="str">
        <v>2601101036</v>
      </c>
      <c r="AX15" t="str">
        <v>2601101036</v>
      </c>
    </row>
    <row r="16" spans="1:1002" x14ac:dyDescent="0.25">
      <c r="A16" t="str">
        <v>Computer</v>
      </c>
      <c r="B16" t="str">
        <v>PC</v>
      </c>
      <c r="C16" t="str">
        <v>2601101008</v>
      </c>
      <c r="F16" t="str">
        <v>2609104036</v>
      </c>
      <c r="J16" t="str">
        <v>2609104036</v>
      </c>
      <c r="Q16" t="str">
        <v>2609104036</v>
      </c>
      <c r="AM16" t="str">
        <v>2601101037</v>
      </c>
      <c r="AP16" t="str">
        <v>2609104036</v>
      </c>
      <c r="AW16" t="str">
        <v>2601101037</v>
      </c>
      <c r="AX16" t="str">
        <v>2601101037</v>
      </c>
    </row>
    <row r="17" spans="1:50" x14ac:dyDescent="0.25">
      <c r="A17" t="str">
        <v>Computer</v>
      </c>
      <c r="B17" t="str">
        <v>AIO</v>
      </c>
      <c r="C17" t="str">
        <v>2601101009</v>
      </c>
      <c r="F17" t="str">
        <v>2609104037</v>
      </c>
      <c r="J17" t="str">
        <v>2609104037</v>
      </c>
      <c r="Q17" t="str">
        <v>2609104037</v>
      </c>
      <c r="AM17" t="str">
        <v>2601101038</v>
      </c>
      <c r="AP17" t="str">
        <v>2609104037</v>
      </c>
      <c r="AW17" t="str">
        <v>2601101038</v>
      </c>
      <c r="AX17" t="str">
        <v>2601101038</v>
      </c>
    </row>
    <row r="18" spans="1:50" x14ac:dyDescent="0.25">
      <c r="A18" t="str">
        <v>Computer</v>
      </c>
      <c r="B18" t="str">
        <v>Handheld</v>
      </c>
      <c r="C18" t="str">
        <v>2601101010</v>
      </c>
      <c r="F18" t="str">
        <v>2601104017</v>
      </c>
      <c r="J18" t="str">
        <v>2601104017</v>
      </c>
      <c r="Q18" t="str">
        <v>2601104017</v>
      </c>
      <c r="AM18" t="str">
        <v>2601101039</v>
      </c>
      <c r="AP18" t="str">
        <v>2601104017</v>
      </c>
      <c r="AW18" t="str">
        <v>2601101039</v>
      </c>
      <c r="AX18" t="str">
        <v>2601101039</v>
      </c>
    </row>
    <row r="19" spans="1:50" x14ac:dyDescent="0.25">
      <c r="A19" t="str">
        <v>Computer</v>
      </c>
      <c r="B19" t="str">
        <v>Handheld</v>
      </c>
      <c r="C19" t="str">
        <v>2601101011</v>
      </c>
      <c r="F19" t="str">
        <v>2601104018</v>
      </c>
      <c r="J19" t="str">
        <v>2601104018</v>
      </c>
      <c r="Q19" t="str">
        <v>2601104018</v>
      </c>
      <c r="AP19" t="str">
        <v>2601104018</v>
      </c>
    </row>
    <row r="20" spans="1:50" x14ac:dyDescent="0.25">
      <c r="A20" t="str">
        <v>Computer</v>
      </c>
      <c r="B20" t="str">
        <v>Handheld</v>
      </c>
      <c r="C20" t="str">
        <v>2601101012</v>
      </c>
      <c r="F20" t="str">
        <v>2601104019</v>
      </c>
      <c r="J20" t="str">
        <v>2601104019</v>
      </c>
      <c r="Q20" t="str">
        <v>2601104019</v>
      </c>
      <c r="AP20" t="str">
        <v>2601104019</v>
      </c>
    </row>
    <row r="21" spans="1:50" x14ac:dyDescent="0.25">
      <c r="A21" t="str">
        <v>Computer</v>
      </c>
      <c r="B21" t="str">
        <v>Handheld</v>
      </c>
      <c r="C21" t="str">
        <v>2601101013</v>
      </c>
      <c r="F21" t="str">
        <v>2601104020</v>
      </c>
      <c r="J21" t="str">
        <v>2601104020</v>
      </c>
      <c r="Q21" t="str">
        <v>2601104020</v>
      </c>
      <c r="AP21" t="str">
        <v>2601104020</v>
      </c>
    </row>
    <row r="22" spans="1:50" x14ac:dyDescent="0.25">
      <c r="A22" t="str">
        <v>Computer</v>
      </c>
      <c r="B22" t="str">
        <v>Handheld</v>
      </c>
      <c r="C22" t="str">
        <v>2601101014</v>
      </c>
    </row>
    <row r="23" spans="1:50" x14ac:dyDescent="0.25">
      <c r="A23" t="str">
        <v>Computer</v>
      </c>
      <c r="B23" t="str">
        <v>Handheld</v>
      </c>
      <c r="C23" t="str">
        <v>2601101015</v>
      </c>
    </row>
    <row r="24" spans="1:50" x14ac:dyDescent="0.25">
      <c r="A24" t="str">
        <v>Computer</v>
      </c>
      <c r="B24" t="str">
        <v>Handheld</v>
      </c>
      <c r="C24" t="str">
        <v>2601101016</v>
      </c>
    </row>
    <row r="25" spans="1:50" x14ac:dyDescent="0.25">
      <c r="A25" t="str">
        <v>Computer</v>
      </c>
      <c r="B25" t="str">
        <v>Notebook</v>
      </c>
      <c r="C25" t="str">
        <v>2601101017</v>
      </c>
    </row>
    <row r="26" spans="1:50" x14ac:dyDescent="0.25">
      <c r="A26" t="str">
        <v>Computer</v>
      </c>
      <c r="B26" t="str">
        <v>Notebook</v>
      </c>
      <c r="C26" t="str">
        <v>2601101018</v>
      </c>
    </row>
    <row r="27" spans="1:50" x14ac:dyDescent="0.25">
      <c r="A27" t="str">
        <v>Computer</v>
      </c>
      <c r="B27" t="str">
        <v>PC</v>
      </c>
      <c r="C27" t="str">
        <v>2601101019</v>
      </c>
    </row>
    <row r="28" spans="1:50" x14ac:dyDescent="0.25">
      <c r="A28" t="str">
        <v>Computer</v>
      </c>
      <c r="B28" t="str">
        <v>Notebook</v>
      </c>
      <c r="C28" t="str">
        <v>2601101020</v>
      </c>
    </row>
    <row r="29" spans="1:50" x14ac:dyDescent="0.25">
      <c r="A29" t="str">
        <v>Computer</v>
      </c>
      <c r="B29" t="str">
        <v>Notebook</v>
      </c>
      <c r="C29" t="str">
        <v>2601101021</v>
      </c>
    </row>
    <row r="30" spans="1:50" x14ac:dyDescent="0.25">
      <c r="A30" t="str">
        <v>Computer</v>
      </c>
      <c r="B30" t="str">
        <v>Notebook</v>
      </c>
      <c r="C30" t="str">
        <v>2601101022</v>
      </c>
    </row>
    <row r="31" spans="1:50" x14ac:dyDescent="0.25">
      <c r="A31" t="str">
        <v>Computer</v>
      </c>
      <c r="B31" t="str">
        <v>PC</v>
      </c>
      <c r="C31" t="str">
        <v>2601101023</v>
      </c>
    </row>
    <row r="32" spans="1:50" x14ac:dyDescent="0.25">
      <c r="A32" t="str">
        <v>Computer</v>
      </c>
      <c r="B32" t="str">
        <v>PC</v>
      </c>
      <c r="C32" t="str">
        <v>2601101024</v>
      </c>
    </row>
    <row r="33" spans="1:3" x14ac:dyDescent="0.25">
      <c r="A33" t="str">
        <v>Computer</v>
      </c>
      <c r="B33" t="str">
        <v>PC</v>
      </c>
      <c r="C33" t="str">
        <v>2601101025</v>
      </c>
    </row>
    <row r="34" spans="1:3" x14ac:dyDescent="0.25">
      <c r="A34" t="str">
        <v>Computer</v>
      </c>
      <c r="B34" t="str">
        <v>Handheld</v>
      </c>
      <c r="C34" t="str">
        <v>2601101026</v>
      </c>
    </row>
    <row r="35" spans="1:3" x14ac:dyDescent="0.25">
      <c r="A35" t="str">
        <v>Computer</v>
      </c>
      <c r="B35" t="str">
        <v>Handheld</v>
      </c>
      <c r="C35" t="str">
        <v>2601101027</v>
      </c>
    </row>
    <row r="36" spans="1:3" x14ac:dyDescent="0.25">
      <c r="A36" t="str">
        <v>Computer</v>
      </c>
      <c r="B36" t="str">
        <v>Handheld</v>
      </c>
      <c r="C36" t="str">
        <v>2601101028</v>
      </c>
    </row>
    <row r="37" spans="1:3" x14ac:dyDescent="0.25">
      <c r="A37" t="str">
        <v>Computer</v>
      </c>
      <c r="B37" t="str">
        <v>Notebook</v>
      </c>
      <c r="C37" t="str">
        <v>2601101029</v>
      </c>
    </row>
    <row r="38" spans="1:3" x14ac:dyDescent="0.25">
      <c r="A38" t="str">
        <v>Computer</v>
      </c>
      <c r="B38" t="str">
        <v>AIO</v>
      </c>
      <c r="C38" t="str">
        <v>2601101030</v>
      </c>
    </row>
    <row r="39" spans="1:3" x14ac:dyDescent="0.25">
      <c r="A39" t="str">
        <v>Computer</v>
      </c>
      <c r="B39" t="str">
        <v>Handheld</v>
      </c>
      <c r="C39" t="str">
        <v>2601101031</v>
      </c>
    </row>
    <row r="40" spans="1:3" x14ac:dyDescent="0.25">
      <c r="A40" t="str">
        <v>Computer</v>
      </c>
      <c r="B40" t="str">
        <v>Handheld</v>
      </c>
      <c r="C40" t="str">
        <v>2601101032</v>
      </c>
    </row>
    <row r="41" spans="1:3" x14ac:dyDescent="0.25">
      <c r="A41" t="str">
        <v>Computer</v>
      </c>
      <c r="B41" t="str">
        <v>Handheld</v>
      </c>
      <c r="C41" t="str">
        <v>2601101033</v>
      </c>
    </row>
    <row r="42" spans="1:3" x14ac:dyDescent="0.25">
      <c r="A42" t="str">
        <v>Computer</v>
      </c>
      <c r="B42" t="str">
        <v>PC</v>
      </c>
      <c r="C42" t="str">
        <v>2601101034</v>
      </c>
    </row>
    <row r="43" spans="1:3" x14ac:dyDescent="0.25">
      <c r="A43" t="str">
        <v>Computer</v>
      </c>
      <c r="B43" t="str">
        <v>Notebook</v>
      </c>
      <c r="C43" t="str">
        <v>2609101008</v>
      </c>
    </row>
    <row r="44" spans="1:3" x14ac:dyDescent="0.25">
      <c r="A44" t="str">
        <v>Computer</v>
      </c>
      <c r="B44" t="str">
        <v>Notebook</v>
      </c>
      <c r="C44" t="str">
        <v>2609101009</v>
      </c>
    </row>
    <row r="45" spans="1:3" x14ac:dyDescent="0.25">
      <c r="A45" t="str">
        <v>Computer</v>
      </c>
      <c r="B45" t="str">
        <v>Notebook</v>
      </c>
      <c r="C45" t="str">
        <v>2609101010</v>
      </c>
    </row>
    <row r="46" spans="1:3" x14ac:dyDescent="0.25">
      <c r="A46" t="str">
        <v>Computer</v>
      </c>
      <c r="B46" t="str">
        <v>Handheld</v>
      </c>
      <c r="C46" t="str">
        <v>2601101035</v>
      </c>
    </row>
    <row r="47" spans="1:3" x14ac:dyDescent="0.25">
      <c r="A47" t="str">
        <v>Computer</v>
      </c>
      <c r="B47" t="str">
        <v>Handheld</v>
      </c>
      <c r="C47" t="str">
        <v>2609101011</v>
      </c>
    </row>
    <row r="48" spans="1:3" x14ac:dyDescent="0.25">
      <c r="A48" t="str">
        <v>Computer</v>
      </c>
      <c r="B48" t="str">
        <v>Handheld</v>
      </c>
      <c r="C48" t="str">
        <v>2601101036</v>
      </c>
    </row>
    <row r="49" spans="1:3" x14ac:dyDescent="0.25">
      <c r="A49" t="str">
        <v>Computer</v>
      </c>
      <c r="B49" t="str">
        <v>Handheld</v>
      </c>
      <c r="C49" t="str">
        <v>2601101037</v>
      </c>
    </row>
    <row r="50" spans="1:3" x14ac:dyDescent="0.25">
      <c r="A50" t="str">
        <v>Computer</v>
      </c>
      <c r="B50" t="str">
        <v>Handheld</v>
      </c>
      <c r="C50" t="str">
        <v>2601101038</v>
      </c>
    </row>
    <row r="51" spans="1:3" x14ac:dyDescent="0.25">
      <c r="A51" t="str">
        <v>Computer</v>
      </c>
      <c r="B51" t="str">
        <v>Handheld</v>
      </c>
      <c r="C51" t="str">
        <v>2601101039</v>
      </c>
    </row>
    <row r="52" spans="1:3" x14ac:dyDescent="0.25">
      <c r="A52" t="str">
        <v>Computer</v>
      </c>
      <c r="B52" t="str">
        <v>Notebook</v>
      </c>
      <c r="C52" t="str">
        <v>2601101040</v>
      </c>
    </row>
    <row r="53" spans="1:3" x14ac:dyDescent="0.25">
      <c r="A53" t="str">
        <v>Computer</v>
      </c>
      <c r="B53" t="str">
        <v>Notebook</v>
      </c>
      <c r="C53" t="str">
        <v>2601101041</v>
      </c>
    </row>
    <row r="54" spans="1:3" x14ac:dyDescent="0.25">
      <c r="A54" t="str">
        <v>Computer</v>
      </c>
      <c r="B54" t="str">
        <v>Notebook</v>
      </c>
      <c r="C54" t="str">
        <v>2601101042</v>
      </c>
    </row>
    <row r="55" spans="1:3" x14ac:dyDescent="0.25">
      <c r="A55" t="str">
        <v>Computer</v>
      </c>
      <c r="B55" t="str">
        <v>Notebook</v>
      </c>
      <c r="C55" t="str">
        <v>2601101043</v>
      </c>
    </row>
    <row r="56" spans="1:3" x14ac:dyDescent="0.25">
      <c r="A56" t="str">
        <v>Computer</v>
      </c>
      <c r="B56" t="str">
        <v>Notebook</v>
      </c>
      <c r="C56" t="str">
        <v>2601101044</v>
      </c>
    </row>
    <row r="57" spans="1:3" x14ac:dyDescent="0.25">
      <c r="A57" t="str">
        <v>Computer</v>
      </c>
      <c r="B57" t="str">
        <v>Notebook</v>
      </c>
      <c r="C57" t="str">
        <v>2601101045</v>
      </c>
    </row>
    <row r="58" spans="1:3" x14ac:dyDescent="0.25">
      <c r="A58" t="str">
        <v>Computer</v>
      </c>
      <c r="B58" t="str">
        <v>Notebook</v>
      </c>
      <c r="C58" t="str">
        <v>2601101046</v>
      </c>
    </row>
    <row r="59" spans="1:3" x14ac:dyDescent="0.25">
      <c r="A59" t="str">
        <v>Display</v>
      </c>
      <c r="B59" t="str">
        <v>TV</v>
      </c>
      <c r="C59" t="str">
        <v>2601102001</v>
      </c>
    </row>
    <row r="60" spans="1:3" x14ac:dyDescent="0.25">
      <c r="A60" t="str">
        <v>Display</v>
      </c>
      <c r="B60" t="str">
        <v>TV</v>
      </c>
      <c r="C60" t="str">
        <v>2601102002</v>
      </c>
    </row>
    <row r="61" spans="1:3" x14ac:dyDescent="0.25">
      <c r="A61" t="str">
        <v>Display</v>
      </c>
      <c r="B61" t="str">
        <v>TV</v>
      </c>
      <c r="C61" t="str">
        <v>2601102003</v>
      </c>
    </row>
    <row r="62" spans="1:3" x14ac:dyDescent="0.25">
      <c r="A62" t="str">
        <v>Display</v>
      </c>
      <c r="B62" t="str">
        <v>TV</v>
      </c>
      <c r="C62" t="str">
        <v>2601102004</v>
      </c>
    </row>
    <row r="63" spans="1:3" x14ac:dyDescent="0.25">
      <c r="A63" t="str">
        <v>Display</v>
      </c>
      <c r="B63" t="str">
        <v>Monitor</v>
      </c>
      <c r="C63" t="str">
        <v>2609102001</v>
      </c>
    </row>
    <row r="64" spans="1:3" x14ac:dyDescent="0.25">
      <c r="A64" t="str">
        <v>Display</v>
      </c>
      <c r="B64" t="str">
        <v>Monitor</v>
      </c>
      <c r="C64" t="str">
        <v>2609102002</v>
      </c>
    </row>
    <row r="65" spans="1:3" x14ac:dyDescent="0.25">
      <c r="A65" t="str">
        <v>Display</v>
      </c>
      <c r="B65" t="str">
        <v>Monitor</v>
      </c>
      <c r="C65" t="str">
        <v>2609102003</v>
      </c>
    </row>
    <row r="66" spans="1:3" x14ac:dyDescent="0.25">
      <c r="A66" t="str">
        <v>Display</v>
      </c>
      <c r="B66" t="str">
        <v>Monitor</v>
      </c>
      <c r="C66" t="str">
        <v>2609102004</v>
      </c>
    </row>
    <row r="67" spans="1:3" x14ac:dyDescent="0.25">
      <c r="A67" t="str">
        <v>Display</v>
      </c>
      <c r="B67" t="str">
        <v>TV</v>
      </c>
      <c r="C67" t="str">
        <v>2609102005</v>
      </c>
    </row>
    <row r="68" spans="1:3" x14ac:dyDescent="0.25">
      <c r="A68" t="str">
        <v>Display</v>
      </c>
      <c r="B68" t="str">
        <v>Monitor</v>
      </c>
      <c r="C68" t="str">
        <v>2601102005</v>
      </c>
    </row>
    <row r="69" spans="1:3" x14ac:dyDescent="0.25">
      <c r="A69" t="str">
        <v>Display</v>
      </c>
      <c r="B69" t="str">
        <v>Monitor</v>
      </c>
      <c r="C69" t="str">
        <v>2601102006</v>
      </c>
    </row>
    <row r="70" spans="1:3" x14ac:dyDescent="0.25">
      <c r="A70" t="str">
        <v>Display</v>
      </c>
      <c r="B70" t="str">
        <v>Monitor</v>
      </c>
      <c r="C70" t="str">
        <v>2601102007</v>
      </c>
    </row>
    <row r="71" spans="1:3" x14ac:dyDescent="0.25">
      <c r="A71" t="str">
        <v>Display</v>
      </c>
      <c r="B71" t="str">
        <v>Monitor</v>
      </c>
      <c r="C71" t="str">
        <v>2601102008</v>
      </c>
    </row>
    <row r="72" spans="1:3" x14ac:dyDescent="0.25">
      <c r="A72" t="str">
        <v>Display</v>
      </c>
      <c r="B72" t="str">
        <v>Monitor</v>
      </c>
      <c r="C72" t="str">
        <v>2601102009</v>
      </c>
    </row>
    <row r="73" spans="1:3" x14ac:dyDescent="0.25">
      <c r="A73" t="str">
        <v>Display</v>
      </c>
      <c r="B73" t="str">
        <v>TV</v>
      </c>
      <c r="C73" t="str">
        <v>2609102006</v>
      </c>
    </row>
    <row r="74" spans="1:3" x14ac:dyDescent="0.25">
      <c r="A74" t="str">
        <v>Display</v>
      </c>
      <c r="B74" t="str">
        <v>Monitor</v>
      </c>
      <c r="C74" t="str">
        <v>2601102010</v>
      </c>
    </row>
    <row r="75" spans="1:3" x14ac:dyDescent="0.25">
      <c r="A75" t="str">
        <v>Display</v>
      </c>
      <c r="B75" t="str">
        <v>Monitor</v>
      </c>
      <c r="C75" t="str">
        <v>2601102011</v>
      </c>
    </row>
    <row r="76" spans="1:3" x14ac:dyDescent="0.25">
      <c r="A76" t="str">
        <v>Display</v>
      </c>
      <c r="B76" t="str">
        <v>Monitor</v>
      </c>
      <c r="C76" t="str">
        <v>2601102012</v>
      </c>
    </row>
    <row r="77" spans="1:3" x14ac:dyDescent="0.25">
      <c r="A77" t="str">
        <v>Display</v>
      </c>
      <c r="B77" t="str">
        <v>Monitor</v>
      </c>
      <c r="C77" t="str">
        <v>2601102013</v>
      </c>
    </row>
    <row r="78" spans="1:3" x14ac:dyDescent="0.25">
      <c r="A78" t="str">
        <v>Display</v>
      </c>
      <c r="B78" t="str">
        <v>Monitor</v>
      </c>
      <c r="C78" t="str">
        <v>2601102014</v>
      </c>
    </row>
    <row r="79" spans="1:3" x14ac:dyDescent="0.25">
      <c r="A79" t="str">
        <v>Display</v>
      </c>
      <c r="B79" t="str">
        <v>Projector</v>
      </c>
      <c r="C79" t="str">
        <v>2609102007</v>
      </c>
    </row>
    <row r="80" spans="1:3" x14ac:dyDescent="0.25">
      <c r="A80" t="str">
        <v>Display</v>
      </c>
      <c r="B80" t="str">
        <v>Monitor</v>
      </c>
      <c r="C80" t="str">
        <v>2601102015</v>
      </c>
    </row>
    <row r="81" spans="1:3" x14ac:dyDescent="0.25">
      <c r="A81" t="str">
        <v>Display</v>
      </c>
      <c r="B81">
        <v>0</v>
      </c>
      <c r="C81" t="str">
        <v>2601101036</v>
      </c>
    </row>
    <row r="82" spans="1:3" x14ac:dyDescent="0.25">
      <c r="A82" t="str">
        <v>Display</v>
      </c>
      <c r="B82">
        <v>0</v>
      </c>
      <c r="C82" t="str">
        <v>2601101037</v>
      </c>
    </row>
    <row r="83" spans="1:3" x14ac:dyDescent="0.25">
      <c r="A83" t="str">
        <v>Display</v>
      </c>
      <c r="B83">
        <v>0</v>
      </c>
      <c r="C83" t="str">
        <v>2601101038</v>
      </c>
    </row>
    <row r="84" spans="1:3" x14ac:dyDescent="0.25">
      <c r="A84" t="str">
        <v>Display</v>
      </c>
      <c r="B84">
        <v>0</v>
      </c>
      <c r="C84" t="str">
        <v>2601101039</v>
      </c>
    </row>
    <row r="85" spans="1:3" x14ac:dyDescent="0.25">
      <c r="A85" t="str">
        <v>Display</v>
      </c>
      <c r="B85">
        <v>0</v>
      </c>
      <c r="C85" t="str">
        <v>2601101040</v>
      </c>
    </row>
    <row r="86" spans="1:3" x14ac:dyDescent="0.25">
      <c r="A86" t="str">
        <v>Display</v>
      </c>
      <c r="B86">
        <v>0</v>
      </c>
      <c r="C86" t="str">
        <v>2601101041</v>
      </c>
    </row>
    <row r="87" spans="1:3" x14ac:dyDescent="0.25">
      <c r="A87" t="str">
        <v>Display</v>
      </c>
      <c r="B87">
        <v>0</v>
      </c>
      <c r="C87" t="str">
        <v>2601101042</v>
      </c>
    </row>
    <row r="88" spans="1:3" x14ac:dyDescent="0.25">
      <c r="A88" t="str">
        <v>Display</v>
      </c>
      <c r="B88">
        <v>0</v>
      </c>
      <c r="C88" t="str">
        <v>2601101043</v>
      </c>
    </row>
    <row r="89" spans="1:3" x14ac:dyDescent="0.25">
      <c r="A89" t="str">
        <v>Display</v>
      </c>
      <c r="B89">
        <v>0</v>
      </c>
      <c r="C89" t="str">
        <v>2601101044</v>
      </c>
    </row>
    <row r="90" spans="1:3" x14ac:dyDescent="0.25">
      <c r="A90" t="str">
        <v>Display</v>
      </c>
      <c r="B90">
        <v>0</v>
      </c>
      <c r="C90" t="str">
        <v>2601101045</v>
      </c>
    </row>
    <row r="91" spans="1:3" x14ac:dyDescent="0.25">
      <c r="A91" t="str">
        <v>Display</v>
      </c>
      <c r="B91">
        <v>0</v>
      </c>
      <c r="C91" t="str">
        <v>2601101046</v>
      </c>
    </row>
    <row r="92" spans="1:3" x14ac:dyDescent="0.25">
      <c r="A92" t="str">
        <v>Network Device</v>
      </c>
      <c r="B92" t="str">
        <v>Firewall</v>
      </c>
      <c r="C92" t="str">
        <v>2601103001</v>
      </c>
    </row>
    <row r="93" spans="1:3" x14ac:dyDescent="0.25">
      <c r="A93" t="str">
        <v>Network Device</v>
      </c>
      <c r="B93" t="str">
        <v>Switch</v>
      </c>
      <c r="C93" t="str">
        <v>2601103002</v>
      </c>
    </row>
    <row r="94" spans="1:3" x14ac:dyDescent="0.25">
      <c r="A94" t="str">
        <v>Network Device</v>
      </c>
      <c r="B94" t="str">
        <v>Switch</v>
      </c>
      <c r="C94" t="str">
        <v>2601103003</v>
      </c>
    </row>
    <row r="95" spans="1:3" x14ac:dyDescent="0.25">
      <c r="A95" t="str">
        <v>Network Device</v>
      </c>
      <c r="B95" t="str">
        <v>Switch</v>
      </c>
      <c r="C95" t="str">
        <v>2601103004</v>
      </c>
    </row>
    <row r="96" spans="1:3" x14ac:dyDescent="0.25">
      <c r="A96" t="str">
        <v>Network Device</v>
      </c>
      <c r="B96" t="str">
        <v>Switch</v>
      </c>
      <c r="C96" t="str">
        <v>2601103005</v>
      </c>
    </row>
    <row r="97" spans="1:3" x14ac:dyDescent="0.25">
      <c r="A97" t="str">
        <v>Network Device</v>
      </c>
      <c r="B97" t="str">
        <v>Switch</v>
      </c>
      <c r="C97" t="str">
        <v>2601103006</v>
      </c>
    </row>
    <row r="98" spans="1:3" x14ac:dyDescent="0.25">
      <c r="A98" t="str">
        <v>Network Device</v>
      </c>
      <c r="B98" t="str">
        <v>Switch</v>
      </c>
      <c r="C98" t="str">
        <v>2601103007</v>
      </c>
    </row>
    <row r="99" spans="1:3" x14ac:dyDescent="0.25">
      <c r="A99" t="str">
        <v>Network Device</v>
      </c>
      <c r="B99" t="str">
        <v>Switch</v>
      </c>
      <c r="C99" t="str">
        <v>2601103008</v>
      </c>
    </row>
    <row r="100" spans="1:3" x14ac:dyDescent="0.25">
      <c r="A100" t="str">
        <v>Peripheral</v>
      </c>
      <c r="B100" t="str">
        <v>MK SET</v>
      </c>
      <c r="C100" t="str">
        <v>2609104001</v>
      </c>
    </row>
    <row r="101" spans="1:3" x14ac:dyDescent="0.25">
      <c r="A101" t="str">
        <v>Peripheral</v>
      </c>
      <c r="B101" t="str">
        <v>MK SET</v>
      </c>
      <c r="C101" t="str">
        <v>2609104002</v>
      </c>
    </row>
    <row r="102" spans="1:3" x14ac:dyDescent="0.25">
      <c r="A102" t="str">
        <v>Peripheral</v>
      </c>
      <c r="B102" t="str">
        <v>Printer</v>
      </c>
      <c r="C102" t="str">
        <v>2609104003</v>
      </c>
    </row>
    <row r="103" spans="1:3" x14ac:dyDescent="0.25">
      <c r="A103" t="str">
        <v>Peripheral</v>
      </c>
      <c r="B103" t="str">
        <v>Printer</v>
      </c>
      <c r="C103" t="str">
        <v>2601104001</v>
      </c>
    </row>
    <row r="104" spans="1:3" x14ac:dyDescent="0.25">
      <c r="A104" t="str">
        <v>Peripheral</v>
      </c>
      <c r="B104" t="str">
        <v>MK SET</v>
      </c>
      <c r="C104" t="str">
        <v>2609104004</v>
      </c>
    </row>
    <row r="105" spans="1:3" x14ac:dyDescent="0.25">
      <c r="A105" t="str">
        <v>Peripheral</v>
      </c>
      <c r="B105" t="str">
        <v>MK SET</v>
      </c>
      <c r="C105" t="str">
        <v>2609104005</v>
      </c>
    </row>
    <row r="106" spans="1:3" x14ac:dyDescent="0.25">
      <c r="A106" t="str">
        <v>Peripheral</v>
      </c>
      <c r="B106" t="str">
        <v>MK SET</v>
      </c>
      <c r="C106" t="str">
        <v>2609104006</v>
      </c>
    </row>
    <row r="107" spans="1:3" x14ac:dyDescent="0.25">
      <c r="A107" t="str">
        <v>Peripheral</v>
      </c>
      <c r="B107" t="str">
        <v>MK SET</v>
      </c>
      <c r="C107" t="str">
        <v>2609104007</v>
      </c>
    </row>
    <row r="108" spans="1:3" x14ac:dyDescent="0.25">
      <c r="A108" t="str">
        <v>Peripheral</v>
      </c>
      <c r="B108" t="str">
        <v>MK SET</v>
      </c>
      <c r="C108" t="str">
        <v>2609104008</v>
      </c>
    </row>
    <row r="109" spans="1:3" x14ac:dyDescent="0.25">
      <c r="A109" t="str">
        <v>Peripheral</v>
      </c>
      <c r="B109" t="str">
        <v>MK SET</v>
      </c>
      <c r="C109" t="str">
        <v>2609104009</v>
      </c>
    </row>
    <row r="110" spans="1:3" x14ac:dyDescent="0.25">
      <c r="A110" t="str">
        <v>Peripheral</v>
      </c>
      <c r="B110" t="str">
        <v>UPS</v>
      </c>
      <c r="C110" t="str">
        <v>2609104010</v>
      </c>
    </row>
    <row r="111" spans="1:3" x14ac:dyDescent="0.25">
      <c r="A111" t="str">
        <v>Peripheral</v>
      </c>
      <c r="B111" t="str">
        <v>Headphone</v>
      </c>
      <c r="C111" t="str">
        <v>2609104011</v>
      </c>
    </row>
    <row r="112" spans="1:3" x14ac:dyDescent="0.25">
      <c r="A112" t="str">
        <v>Peripheral</v>
      </c>
      <c r="B112" t="str">
        <v>Headphone</v>
      </c>
      <c r="C112" t="str">
        <v>2609104012</v>
      </c>
    </row>
    <row r="113" spans="1:3" x14ac:dyDescent="0.25">
      <c r="A113" t="str">
        <v>Peripheral</v>
      </c>
      <c r="B113" t="str">
        <v>Headphone</v>
      </c>
      <c r="C113" t="str">
        <v>2609104013</v>
      </c>
    </row>
    <row r="114" spans="1:3" x14ac:dyDescent="0.25">
      <c r="A114" t="str">
        <v>Peripheral</v>
      </c>
      <c r="B114" t="str">
        <v>Headphone</v>
      </c>
      <c r="C114" t="str">
        <v>2609104014</v>
      </c>
    </row>
    <row r="115" spans="1:3" x14ac:dyDescent="0.25">
      <c r="A115" t="str">
        <v>Peripheral</v>
      </c>
      <c r="B115" t="str">
        <v>Speaker</v>
      </c>
      <c r="C115" t="str">
        <v>2609104015</v>
      </c>
    </row>
    <row r="116" spans="1:3" x14ac:dyDescent="0.25">
      <c r="A116" t="str">
        <v>Peripheral</v>
      </c>
      <c r="B116" t="str">
        <v>Headphone</v>
      </c>
      <c r="C116" t="str">
        <v>2609104016</v>
      </c>
    </row>
    <row r="117" spans="1:3" x14ac:dyDescent="0.25">
      <c r="A117" t="str">
        <v>Peripheral</v>
      </c>
      <c r="B117" t="str">
        <v>Headphone</v>
      </c>
      <c r="C117" t="str">
        <v>2609104017</v>
      </c>
    </row>
    <row r="118" spans="1:3" x14ac:dyDescent="0.25">
      <c r="A118" t="str">
        <v>Peripheral</v>
      </c>
      <c r="B118" t="str">
        <v>Headphone</v>
      </c>
      <c r="C118" t="str">
        <v>2609104018</v>
      </c>
    </row>
    <row r="119" spans="1:3" x14ac:dyDescent="0.25">
      <c r="A119" t="str">
        <v>Peripheral</v>
      </c>
      <c r="B119" t="str">
        <v>Headphone</v>
      </c>
      <c r="C119" t="str">
        <v>2609104019</v>
      </c>
    </row>
    <row r="120" spans="1:3" x14ac:dyDescent="0.25">
      <c r="A120" t="str">
        <v>Peripheral</v>
      </c>
      <c r="B120" t="str">
        <v>Headphone</v>
      </c>
      <c r="C120" t="str">
        <v>2609104020</v>
      </c>
    </row>
    <row r="121" spans="1:3" x14ac:dyDescent="0.25">
      <c r="A121" t="str">
        <v>Peripheral</v>
      </c>
      <c r="B121" t="str">
        <v>Headphone</v>
      </c>
      <c r="C121" t="str">
        <v>2609104021</v>
      </c>
    </row>
    <row r="122" spans="1:3" x14ac:dyDescent="0.25">
      <c r="A122" t="str">
        <v>Peripheral</v>
      </c>
      <c r="B122" t="str">
        <v>Headphone</v>
      </c>
      <c r="C122" t="str">
        <v>2609104022</v>
      </c>
    </row>
    <row r="123" spans="1:3" x14ac:dyDescent="0.25">
      <c r="A123" t="str">
        <v>Peripheral</v>
      </c>
      <c r="B123" t="str">
        <v>Headphone</v>
      </c>
      <c r="C123" t="str">
        <v>2609104023</v>
      </c>
    </row>
    <row r="124" spans="1:3" x14ac:dyDescent="0.25">
      <c r="A124" t="str">
        <v>Peripheral</v>
      </c>
      <c r="B124" t="str">
        <v>Headphone</v>
      </c>
      <c r="C124" t="str">
        <v>2609104024</v>
      </c>
    </row>
    <row r="125" spans="1:3" x14ac:dyDescent="0.25">
      <c r="A125" t="str">
        <v>Peripheral</v>
      </c>
      <c r="B125" t="str">
        <v>MK SET</v>
      </c>
      <c r="C125" t="str">
        <v>2601104002</v>
      </c>
    </row>
    <row r="126" spans="1:3" x14ac:dyDescent="0.25">
      <c r="A126" t="str">
        <v>Peripheral</v>
      </c>
      <c r="B126" t="str">
        <v>Mouse</v>
      </c>
      <c r="C126" t="str">
        <v>2609104025</v>
      </c>
    </row>
    <row r="127" spans="1:3" x14ac:dyDescent="0.25">
      <c r="A127" t="str">
        <v>Peripheral</v>
      </c>
      <c r="B127" t="str">
        <v>External Storage</v>
      </c>
      <c r="C127" t="str">
        <v>2609104026</v>
      </c>
    </row>
    <row r="128" spans="1:3" x14ac:dyDescent="0.25">
      <c r="A128" t="str">
        <v>Peripheral</v>
      </c>
      <c r="B128" t="str">
        <v>Headphone</v>
      </c>
      <c r="C128" t="str">
        <v>2609104027</v>
      </c>
    </row>
    <row r="129" spans="1:3" x14ac:dyDescent="0.25">
      <c r="A129" t="str">
        <v>Peripheral</v>
      </c>
      <c r="B129" t="str">
        <v>Mouse</v>
      </c>
      <c r="C129" t="str">
        <v>2601104003</v>
      </c>
    </row>
    <row r="130" spans="1:3" x14ac:dyDescent="0.25">
      <c r="A130" t="str">
        <v>Peripheral</v>
      </c>
      <c r="B130" t="str">
        <v>Mouse</v>
      </c>
      <c r="C130" t="str">
        <v>2601104004</v>
      </c>
    </row>
    <row r="131" spans="1:3" x14ac:dyDescent="0.25">
      <c r="A131" t="str">
        <v>Peripheral</v>
      </c>
      <c r="B131" t="str">
        <v>MK SET</v>
      </c>
      <c r="C131" t="str">
        <v>2601104005</v>
      </c>
    </row>
    <row r="132" spans="1:3" x14ac:dyDescent="0.25">
      <c r="A132" t="str">
        <v>Peripheral</v>
      </c>
      <c r="B132" t="str">
        <v>MK SET</v>
      </c>
      <c r="C132" t="str">
        <v>2601104006</v>
      </c>
    </row>
    <row r="133" spans="1:3" x14ac:dyDescent="0.25">
      <c r="A133" t="str">
        <v>Peripheral</v>
      </c>
      <c r="B133" t="str">
        <v>Keyboard</v>
      </c>
      <c r="C133" t="str">
        <v>2601104007</v>
      </c>
    </row>
    <row r="134" spans="1:3" x14ac:dyDescent="0.25">
      <c r="A134" t="str">
        <v>Peripheral</v>
      </c>
      <c r="B134" t="str">
        <v>UPS</v>
      </c>
      <c r="C134" t="str">
        <v>2601104008</v>
      </c>
    </row>
    <row r="135" spans="1:3" x14ac:dyDescent="0.25">
      <c r="A135" t="str">
        <v>Peripheral</v>
      </c>
      <c r="B135" t="str">
        <v>UPS</v>
      </c>
      <c r="C135" t="str">
        <v>2601104009</v>
      </c>
    </row>
    <row r="136" spans="1:3" x14ac:dyDescent="0.25">
      <c r="A136" t="str">
        <v>Peripheral</v>
      </c>
      <c r="B136" t="str">
        <v>MK SET</v>
      </c>
      <c r="C136" t="str">
        <v>2601104010</v>
      </c>
    </row>
    <row r="137" spans="1:3" x14ac:dyDescent="0.25">
      <c r="A137" t="str">
        <v>Peripheral</v>
      </c>
      <c r="B137" t="str">
        <v>MK SET</v>
      </c>
      <c r="C137" t="str">
        <v>2601104011</v>
      </c>
    </row>
    <row r="138" spans="1:3" x14ac:dyDescent="0.25">
      <c r="A138" t="str">
        <v>Peripheral</v>
      </c>
      <c r="B138" t="str">
        <v>MK SET</v>
      </c>
      <c r="C138" t="str">
        <v>2601104012</v>
      </c>
    </row>
    <row r="139" spans="1:3" x14ac:dyDescent="0.25">
      <c r="A139" t="str">
        <v>Peripheral</v>
      </c>
      <c r="B139" t="str">
        <v>Speaker</v>
      </c>
      <c r="C139" t="str">
        <v>2609104028</v>
      </c>
    </row>
    <row r="140" spans="1:3" x14ac:dyDescent="0.25">
      <c r="A140" t="str">
        <v>Peripheral</v>
      </c>
      <c r="B140" t="str">
        <v>UPS</v>
      </c>
      <c r="C140" t="str">
        <v>2609104029</v>
      </c>
    </row>
    <row r="141" spans="1:3" x14ac:dyDescent="0.25">
      <c r="A141" t="str">
        <v>Peripheral</v>
      </c>
      <c r="B141" t="str">
        <v>UPS</v>
      </c>
      <c r="C141" t="str">
        <v>2609104030</v>
      </c>
    </row>
    <row r="142" spans="1:3" x14ac:dyDescent="0.25">
      <c r="A142" t="str">
        <v>Peripheral</v>
      </c>
      <c r="B142" t="str">
        <v>UPS</v>
      </c>
      <c r="C142" t="str">
        <v>2609104031</v>
      </c>
    </row>
    <row r="143" spans="1:3" x14ac:dyDescent="0.25">
      <c r="A143" t="str">
        <v>Peripheral</v>
      </c>
      <c r="B143" t="str">
        <v>UPS</v>
      </c>
      <c r="C143" t="str">
        <v>2609104032</v>
      </c>
    </row>
    <row r="144" spans="1:3" x14ac:dyDescent="0.25">
      <c r="A144" t="str">
        <v>Peripheral</v>
      </c>
      <c r="B144" t="str">
        <v>MK SET</v>
      </c>
      <c r="C144" t="str">
        <v>2609104033</v>
      </c>
    </row>
    <row r="145" spans="1:3" x14ac:dyDescent="0.25">
      <c r="A145" t="str">
        <v>Peripheral</v>
      </c>
      <c r="B145" t="str">
        <v>MK SET</v>
      </c>
      <c r="C145" t="str">
        <v>2609104034</v>
      </c>
    </row>
    <row r="146" spans="1:3" x14ac:dyDescent="0.25">
      <c r="A146" t="str">
        <v>Peripheral</v>
      </c>
      <c r="B146" t="str">
        <v>MK SET</v>
      </c>
      <c r="C146" t="str">
        <v>2609104035</v>
      </c>
    </row>
    <row r="147" spans="1:3" x14ac:dyDescent="0.25">
      <c r="A147" t="str">
        <v>Peripheral</v>
      </c>
      <c r="B147" t="str">
        <v>MK SET</v>
      </c>
      <c r="C147" t="str">
        <v>2609104036</v>
      </c>
    </row>
    <row r="148" spans="1:3" x14ac:dyDescent="0.25">
      <c r="A148" t="str">
        <v>Peripheral</v>
      </c>
      <c r="B148" t="str">
        <v>MK SET</v>
      </c>
      <c r="C148" t="str">
        <v>2609104037</v>
      </c>
    </row>
    <row r="149" spans="1:3" x14ac:dyDescent="0.25">
      <c r="A149" t="str">
        <v>Peripheral</v>
      </c>
      <c r="B149" t="str">
        <v>Printer</v>
      </c>
      <c r="C149" t="str">
        <v>2601104013</v>
      </c>
    </row>
    <row r="150" spans="1:3" x14ac:dyDescent="0.25">
      <c r="A150" t="str">
        <v>Peripheral</v>
      </c>
      <c r="B150" t="str">
        <v>UPS</v>
      </c>
      <c r="C150" t="str">
        <v>2601104014</v>
      </c>
    </row>
    <row r="151" spans="1:3" x14ac:dyDescent="0.25">
      <c r="A151" t="str">
        <v>Peripheral</v>
      </c>
      <c r="B151" t="str">
        <v>UPS</v>
      </c>
      <c r="C151" t="str">
        <v>2601104015</v>
      </c>
    </row>
    <row r="152" spans="1:3" x14ac:dyDescent="0.25">
      <c r="A152" t="str">
        <v>Peripheral</v>
      </c>
      <c r="B152" t="str">
        <v>UPS</v>
      </c>
      <c r="C152" t="str">
        <v>2601104016</v>
      </c>
    </row>
    <row r="153" spans="1:3" x14ac:dyDescent="0.25">
      <c r="A153" t="str">
        <v>Peripheral</v>
      </c>
      <c r="B153" t="str">
        <v>MK SET</v>
      </c>
      <c r="C153" t="str">
        <v>2601104017</v>
      </c>
    </row>
    <row r="154" spans="1:3" x14ac:dyDescent="0.25">
      <c r="A154" t="str">
        <v>Peripheral</v>
      </c>
      <c r="B154" t="str">
        <v>MK SET</v>
      </c>
      <c r="C154" t="str">
        <v>2601104018</v>
      </c>
    </row>
    <row r="155" spans="1:3" x14ac:dyDescent="0.25">
      <c r="A155" t="str">
        <v>Peripheral</v>
      </c>
      <c r="B155" t="str">
        <v>MK SET</v>
      </c>
      <c r="C155" t="str">
        <v>2601104019</v>
      </c>
    </row>
    <row r="156" spans="1:3" x14ac:dyDescent="0.25">
      <c r="A156" t="str">
        <v>Peripheral</v>
      </c>
      <c r="B156" t="str">
        <v>MK SET</v>
      </c>
      <c r="C156" t="str">
        <v>2601104020</v>
      </c>
    </row>
    <row r="157" spans="1:3" x14ac:dyDescent="0.25">
      <c r="A157" t="str">
        <v>Utilities</v>
      </c>
      <c r="B157" t="str">
        <v>Bracket TV + Port Electric</v>
      </c>
      <c r="C157" t="str">
        <v>2601105001</v>
      </c>
    </row>
    <row r="158" spans="1:3" x14ac:dyDescent="0.25">
      <c r="A158" t="str">
        <v>Utilities</v>
      </c>
      <c r="B158" t="str">
        <v>Bracket TV + Port Electric</v>
      </c>
      <c r="C158" t="str">
        <v>2601105002</v>
      </c>
    </row>
    <row r="159" spans="1:3" x14ac:dyDescent="0.25">
      <c r="A159" t="str">
        <v>Utilities</v>
      </c>
      <c r="B159" t="str">
        <v xml:space="preserve">Network Tools </v>
      </c>
      <c r="C159" t="str">
        <v>2601105003</v>
      </c>
    </row>
    <row r="160" spans="1:3" x14ac:dyDescent="0.25">
      <c r="A160" t="str">
        <v>Utilities</v>
      </c>
      <c r="B160" t="str">
        <v>Bracket TV + Port Electric</v>
      </c>
      <c r="C160" t="str">
        <v>2601105004</v>
      </c>
    </row>
    <row r="161" spans="1:3" x14ac:dyDescent="0.25">
      <c r="A161" t="str">
        <v>Utilities</v>
      </c>
      <c r="B161" t="str">
        <v>Bracket TV + Port Electric</v>
      </c>
      <c r="C161" t="str">
        <v>2603105001</v>
      </c>
    </row>
    <row r="162" spans="1:3" x14ac:dyDescent="0.25">
      <c r="A162" t="str">
        <v>Utilities</v>
      </c>
      <c r="B162" t="str">
        <v>Bracket TV + Port Electric</v>
      </c>
      <c r="C162" t="str">
        <v>2603105002</v>
      </c>
    </row>
    <row r="163" spans="1:3" x14ac:dyDescent="0.25">
      <c r="A163" t="str">
        <v>IOT</v>
      </c>
      <c r="B163" t="str">
        <v>AI &amp; Compute</v>
      </c>
      <c r="C163" t="str">
        <v>2601106001</v>
      </c>
    </row>
    <row r="164" spans="1:3" x14ac:dyDescent="0.25">
      <c r="A164" t="str">
        <v>IOT</v>
      </c>
      <c r="B164" t="str">
        <v>AI &amp; Compute</v>
      </c>
      <c r="C164" t="str">
        <v>2601106002</v>
      </c>
    </row>
    <row r="165" spans="1:3" x14ac:dyDescent="0.25">
      <c r="A165" t="str">
        <v>IOT</v>
      </c>
      <c r="B165" t="str">
        <v>AI &amp; Compute</v>
      </c>
      <c r="C165" t="str">
        <v>2601106003</v>
      </c>
    </row>
    <row r="166" spans="1:3" x14ac:dyDescent="0.25">
      <c r="A166" t="str">
        <v>IOT</v>
      </c>
      <c r="B166" t="str">
        <v>AI &amp; Compute</v>
      </c>
      <c r="C166" t="str">
        <v>2601106004</v>
      </c>
    </row>
    <row r="167" spans="1:3" x14ac:dyDescent="0.25">
      <c r="A167" t="str">
        <v>IOT</v>
      </c>
      <c r="B167" t="str">
        <v>AI &amp; Compute</v>
      </c>
      <c r="C167" t="str">
        <v>2601106005</v>
      </c>
    </row>
    <row r="168" spans="1:3" x14ac:dyDescent="0.25">
      <c r="A168" t="str">
        <v>IOT</v>
      </c>
      <c r="B168" t="str">
        <v>AI &amp; Compute</v>
      </c>
      <c r="C168" t="str">
        <v>2601106006</v>
      </c>
    </row>
    <row r="169" spans="1:3" x14ac:dyDescent="0.25">
      <c r="A169" t="str">
        <v>IOT</v>
      </c>
      <c r="B169" t="str">
        <v>AI &amp; Compute</v>
      </c>
      <c r="C169" t="str">
        <v>2601106007</v>
      </c>
    </row>
    <row r="170" spans="1:3" x14ac:dyDescent="0.25">
      <c r="A170" t="str">
        <v>IOT</v>
      </c>
      <c r="B170" t="str">
        <v>AI &amp; Compute</v>
      </c>
      <c r="C170" t="str">
        <v>2601106008</v>
      </c>
    </row>
    <row r="171" spans="1:3" x14ac:dyDescent="0.25">
      <c r="A171" t="str">
        <v>IOT</v>
      </c>
      <c r="B171" t="str">
        <v>AI &amp; Compute</v>
      </c>
      <c r="C171" t="str">
        <v>2601106009</v>
      </c>
    </row>
    <row r="172" spans="1:3" x14ac:dyDescent="0.25">
      <c r="A172" t="str">
        <v>IOT</v>
      </c>
      <c r="B172" t="str">
        <v>AI &amp; Compute</v>
      </c>
      <c r="C172" t="str">
        <v>2601106010</v>
      </c>
    </row>
    <row r="173" spans="1:3" x14ac:dyDescent="0.25">
      <c r="A173" t="str">
        <v>IOT</v>
      </c>
      <c r="B173" t="str">
        <v>AI &amp; Compute</v>
      </c>
      <c r="C173" t="str">
        <v>2601106011</v>
      </c>
    </row>
    <row r="174" spans="1:3" x14ac:dyDescent="0.25">
      <c r="A174" t="str">
        <v>IOT</v>
      </c>
      <c r="B174" t="str">
        <v>AI &amp; Compute</v>
      </c>
      <c r="C174" t="str">
        <v>2601106012</v>
      </c>
    </row>
    <row r="175" spans="1:3" x14ac:dyDescent="0.25">
      <c r="A175" t="str">
        <v>IOT</v>
      </c>
      <c r="B175" t="str">
        <v>AI &amp; Compute</v>
      </c>
      <c r="C175" t="str">
        <v>2601106013</v>
      </c>
    </row>
    <row r="176" spans="1:3" x14ac:dyDescent="0.25">
      <c r="A176" t="str">
        <v>IOT</v>
      </c>
      <c r="B176" t="str">
        <v>AI &amp; Compute</v>
      </c>
      <c r="C176" t="str">
        <v>2601106014</v>
      </c>
    </row>
    <row r="177" spans="1:3" x14ac:dyDescent="0.25">
      <c r="A177" t="str">
        <v>IOT</v>
      </c>
      <c r="B177" t="str">
        <v>AI &amp; Compute</v>
      </c>
      <c r="C177" t="str">
        <v>2601106015</v>
      </c>
    </row>
    <row r="178" spans="1:3" x14ac:dyDescent="0.25">
      <c r="A178" t="str">
        <v>IOT</v>
      </c>
      <c r="B178" t="str">
        <v>AI &amp; Compute</v>
      </c>
      <c r="C178" t="str">
        <v>2601106016</v>
      </c>
    </row>
    <row r="179" spans="1:3" x14ac:dyDescent="0.25">
      <c r="A179" t="str">
        <v>IOT</v>
      </c>
      <c r="B179" t="str">
        <v>AI &amp; Compute</v>
      </c>
      <c r="C179" t="str">
        <v>2601106017</v>
      </c>
    </row>
    <row r="180" spans="1:3" x14ac:dyDescent="0.25">
      <c r="A180" t="str">
        <v>IOT</v>
      </c>
      <c r="B180" t="str">
        <v>AI &amp; Compute</v>
      </c>
      <c r="C180" t="str">
        <v>2601106018</v>
      </c>
    </row>
    <row r="181" spans="1:3" x14ac:dyDescent="0.25">
      <c r="A181" t="str">
        <v>IOT</v>
      </c>
      <c r="B181" t="str">
        <v>Surveillance &amp; Autogate</v>
      </c>
      <c r="C181" t="str">
        <v>2601106019</v>
      </c>
    </row>
    <row r="182" spans="1:3" x14ac:dyDescent="0.25">
      <c r="A182" t="str">
        <v>IOT</v>
      </c>
      <c r="B182" t="str">
        <v>Surveillance &amp; Autogate</v>
      </c>
      <c r="C182" t="str">
        <v>2601106020</v>
      </c>
    </row>
    <row r="183" spans="1:3" x14ac:dyDescent="0.25">
      <c r="A183" t="str">
        <v>IOT</v>
      </c>
      <c r="B183" t="str">
        <v>Surveillance &amp; Autogate</v>
      </c>
      <c r="C183" t="str">
        <v>2601106021</v>
      </c>
    </row>
    <row r="184" spans="1:3" x14ac:dyDescent="0.25">
      <c r="A184" t="str">
        <v>IOT</v>
      </c>
      <c r="B184" t="str">
        <v>Surveillance &amp; Autogate</v>
      </c>
      <c r="C184" t="str">
        <v>2601106022</v>
      </c>
    </row>
    <row r="185" spans="1:3" x14ac:dyDescent="0.25">
      <c r="A185" t="str">
        <v>IOT</v>
      </c>
      <c r="B185" t="str">
        <v>Surveillance &amp; Autogate</v>
      </c>
      <c r="C185" t="str">
        <v>2601106023</v>
      </c>
    </row>
    <row r="186" spans="1:3" x14ac:dyDescent="0.25">
      <c r="A186" t="str">
        <v>IOT</v>
      </c>
      <c r="B186" t="str">
        <v>Surveillance &amp; Autogate</v>
      </c>
      <c r="C186" t="str">
        <v>2601106024</v>
      </c>
    </row>
    <row r="187" spans="1:3" x14ac:dyDescent="0.25">
      <c r="A187" t="str">
        <v>IOT</v>
      </c>
      <c r="B187" t="str">
        <v>Surveillance &amp; Autogate</v>
      </c>
      <c r="C187" t="str">
        <v>2601106025</v>
      </c>
    </row>
    <row r="188" spans="1:3" x14ac:dyDescent="0.25">
      <c r="A188" t="str">
        <v>IOT</v>
      </c>
      <c r="B188" t="str">
        <v>Surveillance &amp; Autogate</v>
      </c>
      <c r="C188" t="str">
        <v>2601106026</v>
      </c>
    </row>
    <row r="189" spans="1:3" x14ac:dyDescent="0.25">
      <c r="A189" t="str">
        <v>IOT</v>
      </c>
      <c r="B189" t="str">
        <v>Surveillance &amp; Autogate</v>
      </c>
      <c r="C189" t="str">
        <v>2601106027</v>
      </c>
    </row>
    <row r="190" spans="1:3" x14ac:dyDescent="0.25">
      <c r="A190" t="str">
        <v>IOT</v>
      </c>
      <c r="B190" t="str">
        <v>Surveillance &amp; Autogate</v>
      </c>
      <c r="C190" t="str">
        <v>2601106028</v>
      </c>
    </row>
    <row r="191" spans="1:3" x14ac:dyDescent="0.25">
      <c r="A191" t="str">
        <v>IOT</v>
      </c>
      <c r="B191" t="str">
        <v>Surveillance &amp; Autogate</v>
      </c>
      <c r="C191" t="str">
        <v>2601106029</v>
      </c>
    </row>
    <row r="192" spans="1:3" x14ac:dyDescent="0.25">
      <c r="A192" t="str">
        <v>IOT</v>
      </c>
      <c r="B192" t="str">
        <v>Surveillance &amp; Autogate</v>
      </c>
      <c r="C192" t="str">
        <v>2601106030</v>
      </c>
    </row>
    <row r="193" spans="1:3" x14ac:dyDescent="0.25">
      <c r="A193" t="str">
        <v>IOT</v>
      </c>
      <c r="B193" t="str">
        <v>Surveillance &amp; Autogate</v>
      </c>
      <c r="C193" t="str">
        <v>2601106031</v>
      </c>
    </row>
    <row r="194" spans="1:3" x14ac:dyDescent="0.25">
      <c r="A194" t="str">
        <v>IOT</v>
      </c>
      <c r="B194" t="str">
        <v>Surveillance &amp; Autogate</v>
      </c>
      <c r="C194" t="str">
        <v>2601106032</v>
      </c>
    </row>
    <row r="195" spans="1:3" x14ac:dyDescent="0.25">
      <c r="A195" t="str">
        <v>IOT</v>
      </c>
      <c r="B195" t="str">
        <v>Surveillance &amp; Autogate</v>
      </c>
      <c r="C195" t="str">
        <v>2601106033</v>
      </c>
    </row>
    <row r="196" spans="1:3" x14ac:dyDescent="0.25">
      <c r="A196" t="str">
        <v>IOT</v>
      </c>
      <c r="B196" t="str">
        <v>Surveillance &amp; Autogate</v>
      </c>
      <c r="C196" t="str">
        <v>2601106034</v>
      </c>
    </row>
    <row r="197" spans="1:3" x14ac:dyDescent="0.25">
      <c r="A197" t="str">
        <v>IOT</v>
      </c>
      <c r="B197" t="str">
        <v>Surveillance &amp; Autogate</v>
      </c>
      <c r="C197" t="str">
        <v>2601106035</v>
      </c>
    </row>
    <row r="198" spans="1:3" x14ac:dyDescent="0.25">
      <c r="A198" t="str">
        <v>IOT</v>
      </c>
      <c r="B198" t="str">
        <v>Surveillance &amp; Autogate</v>
      </c>
      <c r="C198" t="str">
        <v>2601106036</v>
      </c>
    </row>
    <row r="199" spans="1:3" x14ac:dyDescent="0.25">
      <c r="A199" t="str">
        <v>Server</v>
      </c>
      <c r="B199" t="str">
        <v>Server</v>
      </c>
      <c r="C199" t="str">
        <v>2601107001</v>
      </c>
    </row>
    <row r="200" spans="1:3" x14ac:dyDescent="0.25">
      <c r="A200" t="str">
        <v>Server</v>
      </c>
      <c r="B200" t="str">
        <v>Server</v>
      </c>
      <c r="C200" t="str">
        <v>2601107002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35bf66-46b0-4901-95b3-087204986db2" xsi:nil="true"/>
    <lcf76f155ced4ddcb4097134ff3c332f xmlns="8fea27ec-8751-4fbc-a9c7-94b3e485e1b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DDC2E676CAF442BFF0786073F32B02" ma:contentTypeVersion="11" ma:contentTypeDescription="Create a new document." ma:contentTypeScope="" ma:versionID="1d8ae4d7e9e3bc81dbe81c281d0a902e">
  <xsd:schema xmlns:xsd="http://www.w3.org/2001/XMLSchema" xmlns:xs="http://www.w3.org/2001/XMLSchema" xmlns:p="http://schemas.microsoft.com/office/2006/metadata/properties" xmlns:ns2="8fea27ec-8751-4fbc-a9c7-94b3e485e1b8" xmlns:ns3="7135bf66-46b0-4901-95b3-087204986db2" targetNamespace="http://schemas.microsoft.com/office/2006/metadata/properties" ma:root="true" ma:fieldsID="79631591a556bd4fe9113ee4b5eb334a" ns2:_="" ns3:_="">
    <xsd:import namespace="8fea27ec-8751-4fbc-a9c7-94b3e485e1b8"/>
    <xsd:import namespace="7135bf66-46b0-4901-95b3-087204986d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a27ec-8751-4fbc-a9c7-94b3e485e1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5cf10e9-1f18-429a-a6bd-2409a566fd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35bf66-46b0-4901-95b3-087204986db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7e916d-bff3-43ff-888d-975c0a5283d1}" ma:internalName="TaxCatchAll" ma:showField="CatchAllData" ma:web="7135bf66-46b0-4901-95b3-087204986d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C6FB4F-B3F9-4180-802D-66A8275DA36D}">
  <ds:schemaRefs>
    <ds:schemaRef ds:uri="http://schemas.microsoft.com/office/2006/metadata/properties"/>
    <ds:schemaRef ds:uri="http://schemas.microsoft.com/office/infopath/2007/PartnerControls"/>
    <ds:schemaRef ds:uri="7135bf66-46b0-4901-95b3-087204986db2"/>
    <ds:schemaRef ds:uri="8fea27ec-8751-4fbc-a9c7-94b3e485e1b8"/>
  </ds:schemaRefs>
</ds:datastoreItem>
</file>

<file path=customXml/itemProps2.xml><?xml version="1.0" encoding="utf-8"?>
<ds:datastoreItem xmlns:ds="http://schemas.openxmlformats.org/officeDocument/2006/customXml" ds:itemID="{682AC086-4D6B-4D83-8D67-5A18893CA1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CA9DDC-F380-4F0D-8FFF-272BFFC7FD57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A2CD2AC6-3863-48D7-8F91-6DC97009B0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ea27ec-8751-4fbc-a9c7-94b3e485e1b8"/>
    <ds:schemaRef ds:uri="7135bf66-46b0-4901-95b3-087204986d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12</vt:i4>
      </vt:variant>
    </vt:vector>
  </HeadingPairs>
  <TitlesOfParts>
    <vt:vector size="26" baseType="lpstr">
      <vt:lpstr>Dashboard</vt:lpstr>
      <vt:lpstr>COMPUTER</vt:lpstr>
      <vt:lpstr>DISPLAY</vt:lpstr>
      <vt:lpstr>NETWORK-DEVICES</vt:lpstr>
      <vt:lpstr>PERIPHERAL</vt:lpstr>
      <vt:lpstr>UTILITIES</vt:lpstr>
      <vt:lpstr>IOT</vt:lpstr>
      <vt:lpstr>SERVER</vt:lpstr>
      <vt:lpstr>HANDOVER</vt:lpstr>
      <vt:lpstr>BASE-DATA</vt:lpstr>
      <vt:lpstr>CODEX</vt:lpstr>
      <vt:lpstr>LIST ASSET DATA</vt:lpstr>
      <vt:lpstr>Sample</vt:lpstr>
      <vt:lpstr>Asset Options</vt:lpstr>
      <vt:lpstr>Cat_Computer</vt:lpstr>
      <vt:lpstr>Cat_Display</vt:lpstr>
      <vt:lpstr>Cat_IOT</vt:lpstr>
      <vt:lpstr>Cat_Network_Device</vt:lpstr>
      <vt:lpstr>Cat_Peripheral</vt:lpstr>
      <vt:lpstr>Cat_Server</vt:lpstr>
      <vt:lpstr>Cat_Utilities</vt:lpstr>
      <vt:lpstr>Category_List</vt:lpstr>
      <vt:lpstr>IOT!COMPUTER</vt:lpstr>
      <vt:lpstr>SERVER!COMPUTER</vt:lpstr>
      <vt:lpstr>COMPUTER</vt:lpstr>
      <vt:lpstr>Owner_list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Support PGT</dc:creator>
  <cp:keywords/>
  <dc:description/>
  <cp:lastModifiedBy>Muhammad Danu</cp:lastModifiedBy>
  <cp:revision/>
  <dcterms:created xsi:type="dcterms:W3CDTF">2026-09-05T08:21:21Z</dcterms:created>
  <dcterms:modified xsi:type="dcterms:W3CDTF">2026-09-27T14:31:01Z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0x01010000DDC2E676CAF442BFF0786073F32B02</vt:lpwstr>
  </property>
  <property fmtid="{D5CDD505-2E9C-101B-9397-08002B2CF9AE}" pid="3" name="MediaServiceImageTags">
    <vt:lpwstr/>
  </property>
</Properties>
</file>